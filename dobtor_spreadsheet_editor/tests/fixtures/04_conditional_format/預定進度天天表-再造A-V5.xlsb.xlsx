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任泰北投\P11103-磺港溪再造C、D段護岸及步道整建工程（延壽橋至朝籟橋）等3項工程委託監造工作\11-磺港溪再造C段護岸及步道整建工程(延壽橋至三合橋)\12-文書資料\"/>
    </mc:Choice>
  </mc:AlternateContent>
  <xr:revisionPtr revIDLastSave="0" documentId="13_ncr:1_{B9CDA395-9661-4133-835D-97FB08F6EB0E}" xr6:coauthVersionLast="47" xr6:coauthVersionMax="47" xr10:uidLastSave="{00000000-0000-0000-0000-000000000000}"/>
  <bookViews>
    <workbookView xWindow="255" yWindow="60" windowWidth="27885" windowHeight="15420" tabRatio="1000" xr2:uid="{5C4EE6F7-06BA-445C-A011-ED223B92DB7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4" i="1" l="1"/>
  <c r="R93" i="1"/>
  <c r="Q93" i="1"/>
  <c r="B93" i="1"/>
  <c r="C93" i="1" s="1"/>
  <c r="D93" i="1" s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B90" i="1"/>
  <c r="BF4" i="1"/>
  <c r="BF3" i="1" s="1"/>
  <c r="BD4" i="1"/>
  <c r="BE3" i="1" s="1"/>
  <c r="BC4" i="1"/>
  <c r="BD3" i="1" s="1"/>
  <c r="BG4" i="1"/>
  <c r="BG3" i="1" s="1"/>
  <c r="BH4" i="1"/>
  <c r="S93" i="1" l="1"/>
  <c r="T93" i="1" s="1"/>
  <c r="U93" i="1" s="1"/>
  <c r="V93" i="1" s="1"/>
  <c r="W93" i="1" s="1"/>
  <c r="BG6" i="1"/>
  <c r="BG5" i="1"/>
  <c r="BH3" i="1"/>
  <c r="BH5" i="1" s="1"/>
  <c r="X93" i="1" l="1"/>
  <c r="Y93" i="1" s="1"/>
  <c r="Z93" i="1" s="1"/>
  <c r="AA93" i="1" s="1"/>
  <c r="AB93" i="1" s="1"/>
  <c r="AC93" i="1" s="1"/>
  <c r="BH6" i="1"/>
  <c r="AD93" i="1" l="1"/>
  <c r="AE93" i="1" s="1"/>
  <c r="Q90" i="1"/>
  <c r="R90" i="1" s="1"/>
  <c r="S90" i="1" s="1"/>
  <c r="T90" i="1" s="1"/>
  <c r="U90" i="1" s="1"/>
  <c r="C90" i="1"/>
  <c r="D90" i="1" s="1"/>
  <c r="E90" i="1" s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BA4" i="1"/>
  <c r="BB4" i="1"/>
  <c r="BC3" i="1" s="1"/>
  <c r="BD6" i="1" s="1"/>
  <c r="V90" i="1" l="1"/>
  <c r="W90" i="1" s="1"/>
  <c r="X90" i="1" s="1"/>
  <c r="Y90" i="1" s="1"/>
  <c r="Z90" i="1" s="1"/>
  <c r="B87" i="1"/>
  <c r="C87" i="1" s="1"/>
  <c r="D87" i="1" s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B84" i="1"/>
  <c r="C84" i="1" s="1"/>
  <c r="D84" i="1" s="1"/>
  <c r="E84" i="1" s="1"/>
  <c r="F84" i="1" s="1"/>
  <c r="G84" i="1" s="1"/>
  <c r="H84" i="1" s="1"/>
  <c r="I84" i="1" s="1"/>
  <c r="J84" i="1" s="1"/>
  <c r="B81" i="1"/>
  <c r="C81" i="1" s="1"/>
  <c r="D81" i="1" s="1"/>
  <c r="E81" i="1" s="1"/>
  <c r="F81" i="1" s="1"/>
  <c r="G81" i="1" s="1"/>
  <c r="H81" i="1" s="1"/>
  <c r="I81" i="1" s="1"/>
  <c r="B78" i="1"/>
  <c r="AA90" i="1" l="1"/>
  <c r="AB90" i="1" s="1"/>
  <c r="AC90" i="1" s="1"/>
  <c r="AD90" i="1" s="1"/>
  <c r="Q87" i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Y4" i="1"/>
  <c r="J81" i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K84" i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A81" i="1" l="1"/>
  <c r="AB81" i="1" s="1"/>
  <c r="AC81" i="1" s="1"/>
  <c r="AD81" i="1" s="1"/>
  <c r="AE81" i="1" s="1"/>
  <c r="AZ4" i="1"/>
  <c r="AX4" i="1"/>
  <c r="AY3" i="1" s="1"/>
  <c r="AV4" i="1"/>
  <c r="Q78" i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C78" i="1"/>
  <c r="D78" i="1" s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Q74" i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B74" i="1"/>
  <c r="C74" i="1" s="1"/>
  <c r="D74" i="1" s="1"/>
  <c r="E74" i="1" s="1"/>
  <c r="F74" i="1" s="1"/>
  <c r="G74" i="1" s="1"/>
  <c r="H74" i="1" l="1"/>
  <c r="I74" i="1" s="1"/>
  <c r="J74" i="1" s="1"/>
  <c r="K74" i="1" s="1"/>
  <c r="L74" i="1" s="1"/>
  <c r="M74" i="1" s="1"/>
  <c r="N74" i="1" s="1"/>
  <c r="O74" i="1" s="1"/>
  <c r="Q70" i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O4" i="1"/>
  <c r="BD5" i="1"/>
  <c r="BB3" i="1"/>
  <c r="BB5" i="1" s="1"/>
  <c r="BA3" i="1"/>
  <c r="BA5" i="1" s="1"/>
  <c r="AZ3" i="1"/>
  <c r="AZ5" i="1" s="1"/>
  <c r="BE5" i="1" l="1"/>
  <c r="BF5" i="1"/>
  <c r="BC5" i="1"/>
  <c r="BB6" i="1"/>
  <c r="AJ66" i="1"/>
  <c r="AI64" i="1"/>
  <c r="BF6" i="1" l="1"/>
  <c r="AP4" i="1"/>
  <c r="AP3" i="1" s="1"/>
  <c r="AW4" i="1"/>
  <c r="AU4" i="1"/>
  <c r="AT4" i="1"/>
  <c r="AS4" i="1"/>
  <c r="AR4" i="1"/>
  <c r="AQ4" i="1"/>
  <c r="AN4" i="1"/>
  <c r="AM4" i="1"/>
  <c r="AL4" i="1"/>
  <c r="AM3" i="1" s="1"/>
  <c r="AK4" i="1"/>
  <c r="AL3" i="1" s="1"/>
  <c r="AJ4" i="1"/>
  <c r="AK3" i="1" s="1"/>
  <c r="AI4" i="1"/>
  <c r="AJ3" i="1" s="1"/>
  <c r="AH4" i="1"/>
  <c r="AG4" i="1"/>
  <c r="AF4" i="1"/>
  <c r="AG3" i="1" s="1"/>
  <c r="AE4" i="1"/>
  <c r="AF3" i="1" s="1"/>
  <c r="AD4" i="1"/>
  <c r="AE3" i="1" s="1"/>
  <c r="AC4" i="1"/>
  <c r="AD3" i="1" s="1"/>
  <c r="AB4" i="1"/>
  <c r="AC3" i="1" s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I49" i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AH3" i="1" l="1"/>
  <c r="AH6" i="1" s="1"/>
  <c r="AA4" i="1"/>
  <c r="AB3" i="1" s="1"/>
  <c r="AB5" i="1" s="1"/>
  <c r="AI3" i="1"/>
  <c r="AN3" i="1"/>
  <c r="AO3" i="1"/>
  <c r="AA3" i="1"/>
  <c r="AB6" i="1" s="1"/>
  <c r="AW3" i="1"/>
  <c r="AV3" i="1"/>
  <c r="AU3" i="1"/>
  <c r="AV6" i="1" s="1"/>
  <c r="AT3" i="1"/>
  <c r="AR3" i="1"/>
  <c r="AS3" i="1"/>
  <c r="AT6" i="1" s="1"/>
  <c r="AQ3" i="1"/>
  <c r="AZ6" i="1"/>
  <c r="AY5" i="1"/>
  <c r="AX3" i="1"/>
  <c r="AX5" i="1" s="1"/>
  <c r="AP6" i="1"/>
  <c r="AN6" i="1"/>
  <c r="AL6" i="1"/>
  <c r="AJ6" i="1"/>
  <c r="AF6" i="1"/>
  <c r="AD6" i="1"/>
  <c r="X6" i="1"/>
  <c r="V6" i="1"/>
  <c r="T6" i="1"/>
  <c r="R6" i="1"/>
  <c r="P6" i="1"/>
  <c r="N6" i="1"/>
  <c r="L6" i="1"/>
  <c r="J6" i="1"/>
  <c r="H6" i="1"/>
  <c r="F6" i="1"/>
  <c r="D6" i="1"/>
  <c r="AR6" i="1" l="1"/>
  <c r="AX6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A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B6" i="1" l="1"/>
  <c r="Z5" i="1" l="1"/>
  <c r="Z6" i="1"/>
</calcChain>
</file>

<file path=xl/sharedStrings.xml><?xml version="1.0" encoding="utf-8"?>
<sst xmlns="http://schemas.openxmlformats.org/spreadsheetml/2006/main" count="164" uniqueCount="52">
  <si>
    <t>預定進度(%)</t>
    <phoneticPr fontId="3" type="noConversion"/>
  </si>
  <si>
    <t>預定累計進度(%)</t>
    <phoneticPr fontId="3" type="noConversion"/>
  </si>
  <si>
    <t>9/23~
9/30</t>
    <phoneticPr fontId="3" type="noConversion"/>
  </si>
  <si>
    <t>10/1~
10/15</t>
    <phoneticPr fontId="3" type="noConversion"/>
  </si>
  <si>
    <t>10/16~10/31</t>
    <phoneticPr fontId="3" type="noConversion"/>
  </si>
  <si>
    <t>11/1~
11/15</t>
    <phoneticPr fontId="3" type="noConversion"/>
  </si>
  <si>
    <t>11/16~11/30</t>
    <phoneticPr fontId="3" type="noConversion"/>
  </si>
  <si>
    <t>12/1~
12/15</t>
    <phoneticPr fontId="3" type="noConversion"/>
  </si>
  <si>
    <t>12/16~12/31</t>
    <phoneticPr fontId="3" type="noConversion"/>
  </si>
  <si>
    <t>1/1~
1/15</t>
    <phoneticPr fontId="3" type="noConversion"/>
  </si>
  <si>
    <t>1/16~
1/31</t>
    <phoneticPr fontId="3" type="noConversion"/>
  </si>
  <si>
    <t>2/1~
2/15</t>
    <phoneticPr fontId="3" type="noConversion"/>
  </si>
  <si>
    <t>2/16~
2/29</t>
    <phoneticPr fontId="3" type="noConversion"/>
  </si>
  <si>
    <t>3/1~
3/15</t>
    <phoneticPr fontId="3" type="noConversion"/>
  </si>
  <si>
    <t>3/16~
3/30</t>
    <phoneticPr fontId="3" type="noConversion"/>
  </si>
  <si>
    <t>4/1~
4/15</t>
    <phoneticPr fontId="3" type="noConversion"/>
  </si>
  <si>
    <t>4/16~
4/30</t>
    <phoneticPr fontId="3" type="noConversion"/>
  </si>
  <si>
    <t>5/1~
5/15</t>
    <phoneticPr fontId="3" type="noConversion"/>
  </si>
  <si>
    <t>5/16~
5/31</t>
    <phoneticPr fontId="3" type="noConversion"/>
  </si>
  <si>
    <t>6/1~
6/15</t>
    <phoneticPr fontId="3" type="noConversion"/>
  </si>
  <si>
    <t>6/16~
6/30</t>
    <phoneticPr fontId="3" type="noConversion"/>
  </si>
  <si>
    <t>7/1~
7/15</t>
    <phoneticPr fontId="3" type="noConversion"/>
  </si>
  <si>
    <t>7/16~
7/31</t>
    <phoneticPr fontId="3" type="noConversion"/>
  </si>
  <si>
    <t>8/1~
8/15</t>
    <phoneticPr fontId="3" type="noConversion"/>
  </si>
  <si>
    <t>8/16~
8/31</t>
    <phoneticPr fontId="3" type="noConversion"/>
  </si>
  <si>
    <t>9/1~
9/15</t>
    <phoneticPr fontId="3" type="noConversion"/>
  </si>
  <si>
    <t>9/16~
9/30</t>
    <phoneticPr fontId="3" type="noConversion"/>
  </si>
  <si>
    <t>2/16~
2/28</t>
    <phoneticPr fontId="3" type="noConversion"/>
  </si>
  <si>
    <t>112年</t>
    <phoneticPr fontId="4" type="noConversion"/>
  </si>
  <si>
    <t>113年</t>
    <phoneticPr fontId="3" type="noConversion"/>
  </si>
  <si>
    <t>114年</t>
    <phoneticPr fontId="3" type="noConversion"/>
  </si>
  <si>
    <t>每日進度</t>
    <phoneticPr fontId="3" type="noConversion"/>
  </si>
  <si>
    <t>預定</t>
    <phoneticPr fontId="5" type="noConversion"/>
  </si>
  <si>
    <t>實際</t>
    <phoneticPr fontId="5" type="noConversion"/>
  </si>
  <si>
    <t>112年</t>
    <phoneticPr fontId="2" type="noConversion"/>
  </si>
  <si>
    <t>113年</t>
    <phoneticPr fontId="2" type="noConversion"/>
  </si>
  <si>
    <t>114年</t>
    <phoneticPr fontId="2" type="noConversion"/>
  </si>
  <si>
    <t>月進度</t>
    <phoneticPr fontId="3" type="noConversion"/>
  </si>
  <si>
    <t>4變後</t>
  </si>
  <si>
    <t>4變後</t>
    <phoneticPr fontId="3" type="noConversion"/>
  </si>
  <si>
    <t>工期檢討</t>
    <phoneticPr fontId="3" type="noConversion"/>
  </si>
  <si>
    <t>10/1~
10/15</t>
    <phoneticPr fontId="3" type="noConversion"/>
  </si>
  <si>
    <t>10/16~
10/31</t>
    <phoneticPr fontId="3" type="noConversion"/>
  </si>
  <si>
    <t>11/1~
11/15</t>
    <phoneticPr fontId="3" type="noConversion"/>
  </si>
  <si>
    <t>11/16~
11/30</t>
    <phoneticPr fontId="3" type="noConversion"/>
  </si>
  <si>
    <t>12/1~
12/15</t>
    <phoneticPr fontId="3" type="noConversion"/>
  </si>
  <si>
    <t>12/16~
12/31</t>
    <phoneticPr fontId="3" type="noConversion"/>
  </si>
  <si>
    <t>1/1~
1/15</t>
    <phoneticPr fontId="3" type="noConversion"/>
  </si>
  <si>
    <t>1/16~
1/31</t>
    <phoneticPr fontId="3" type="noConversion"/>
  </si>
  <si>
    <t>115年</t>
    <phoneticPr fontId="2" type="noConversion"/>
  </si>
  <si>
    <t>2/1~
2/15</t>
    <phoneticPr fontId="3" type="noConversion"/>
  </si>
  <si>
    <t>2/16~
2/28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</si>
</sst>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_ "/>
    <numFmt numFmtId="177" formatCode="m/d;@"/>
    <numFmt numFmtId="178" formatCode="_-* #,##0_-;\-* #,##0_-;_-* &quot;-&quot;??_-;_-@_-"/>
    <numFmt numFmtId="179" formatCode="0_);[Red]\(0\)"/>
    <numFmt numFmtId="180" formatCode="m/d"/>
  </numFmts>
  <fonts count="1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9"/>
      <name val="微軟正黑體"/>
      <family val="2"/>
      <charset val="136"/>
    </font>
    <font>
      <sz val="20"/>
      <color theme="1"/>
      <name val="標楷體"/>
      <family val="4"/>
      <charset val="136"/>
    </font>
    <font>
      <b/>
      <sz val="20"/>
      <name val="標楷體"/>
      <family val="4"/>
      <charset val="136"/>
    </font>
    <font>
      <sz val="20"/>
      <name val="標楷體"/>
      <family val="4"/>
      <charset val="136"/>
    </font>
    <font>
      <sz val="20"/>
      <color rgb="FFFF000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18"/>
      <name val="標楷體"/>
      <family val="4"/>
      <charset val="136"/>
    </font>
    <font>
      <sz val="16"/>
      <name val="標楷體"/>
      <family val="4"/>
      <charset val="136"/>
    </font>
    <font>
      <sz val="20"/>
      <color rgb="FFFF0000"/>
      <name val="Microsoft JhengHei"/>
      <family val="4"/>
    </font>
    <font>
      <b/>
      <sz val="18"/>
      <color rgb="FFFF0000"/>
      <name val="標楷體"/>
      <family val="4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 style="thin">
        <color auto="1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/>
      <diagonal style="thin">
        <color indexed="64"/>
      </diagonal>
    </border>
    <border diagonalUp="1">
      <left/>
      <right style="thin">
        <color auto="1"/>
      </right>
      <top/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auto="1"/>
      </right>
      <top/>
      <bottom style="medium">
        <color indexed="64"/>
      </bottom>
      <diagonal style="thin">
        <color indexed="64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6" fillId="0" borderId="29" xfId="0" applyFont="1" applyBorder="1">
      <alignment vertical="center"/>
    </xf>
    <xf numFmtId="0" fontId="6" fillId="0" borderId="0" xfId="0" applyFont="1">
      <alignment vertical="center"/>
    </xf>
    <xf numFmtId="180" fontId="6" fillId="0" borderId="0" xfId="0" applyNumberFormat="1" applyFont="1">
      <alignment vertical="center"/>
    </xf>
    <xf numFmtId="0" fontId="6" fillId="0" borderId="30" xfId="0" applyFont="1" applyBorder="1">
      <alignment vertical="center"/>
    </xf>
    <xf numFmtId="49" fontId="7" fillId="2" borderId="22" xfId="0" applyNumberFormat="1" applyFont="1" applyFill="1" applyBorder="1" applyAlignment="1">
      <alignment horizontal="center" vertical="center" wrapText="1"/>
    </xf>
    <xf numFmtId="49" fontId="7" fillId="2" borderId="33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6" xfId="0" applyNumberFormat="1" applyFont="1" applyFill="1" applyBorder="1" applyAlignment="1">
      <alignment horizontal="center" vertical="center" wrapText="1"/>
    </xf>
    <xf numFmtId="49" fontId="7" fillId="2" borderId="32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justifyLastLine="1"/>
    </xf>
    <xf numFmtId="10" fontId="7" fillId="0" borderId="34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center" vertical="center"/>
    </xf>
    <xf numFmtId="10" fontId="7" fillId="0" borderId="36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 justifyLastLine="1"/>
    </xf>
    <xf numFmtId="10" fontId="7" fillId="0" borderId="3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7" fillId="0" borderId="13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77" fontId="8" fillId="0" borderId="37" xfId="0" applyNumberFormat="1" applyFont="1" applyBorder="1" applyAlignment="1">
      <alignment horizontal="center" vertical="center"/>
    </xf>
    <xf numFmtId="177" fontId="8" fillId="0" borderId="38" xfId="0" applyNumberFormat="1" applyFont="1" applyBorder="1" applyAlignment="1">
      <alignment horizontal="center" vertical="center"/>
    </xf>
    <xf numFmtId="178" fontId="8" fillId="0" borderId="0" xfId="0" applyNumberFormat="1" applyFont="1">
      <alignment vertical="center"/>
    </xf>
    <xf numFmtId="179" fontId="8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180" fontId="8" fillId="0" borderId="0" xfId="0" applyNumberFormat="1" applyFont="1">
      <alignment vertical="center"/>
    </xf>
    <xf numFmtId="0" fontId="8" fillId="0" borderId="31" xfId="0" applyFont="1" applyBorder="1" applyAlignment="1">
      <alignment horizontal="center" vertical="center"/>
    </xf>
    <xf numFmtId="10" fontId="8" fillId="0" borderId="17" xfId="2" applyNumberFormat="1" applyFont="1" applyFill="1" applyBorder="1" applyAlignment="1">
      <alignment horizontal="center" vertical="center"/>
    </xf>
    <xf numFmtId="10" fontId="8" fillId="0" borderId="18" xfId="2" applyNumberFormat="1" applyFont="1" applyFill="1" applyBorder="1" applyAlignment="1">
      <alignment horizontal="center" vertical="center"/>
    </xf>
    <xf numFmtId="178" fontId="8" fillId="0" borderId="0" xfId="1" applyNumberFormat="1" applyFont="1" applyFill="1" applyAlignment="1">
      <alignment vertical="center"/>
    </xf>
    <xf numFmtId="10" fontId="8" fillId="0" borderId="0" xfId="0" applyNumberFormat="1" applyFont="1">
      <alignment vertical="center"/>
    </xf>
    <xf numFmtId="0" fontId="8" fillId="0" borderId="15" xfId="0" applyFont="1" applyBorder="1" applyAlignment="1">
      <alignment horizontal="center" vertical="center"/>
    </xf>
    <xf numFmtId="10" fontId="8" fillId="0" borderId="24" xfId="2" applyNumberFormat="1" applyFont="1" applyFill="1" applyBorder="1" applyAlignment="1">
      <alignment horizontal="center" vertical="center"/>
    </xf>
    <xf numFmtId="10" fontId="8" fillId="0" borderId="25" xfId="2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0" fontId="8" fillId="0" borderId="16" xfId="2" applyNumberFormat="1" applyFont="1" applyFill="1" applyBorder="1" applyAlignment="1">
      <alignment horizontal="center" vertical="center"/>
    </xf>
    <xf numFmtId="10" fontId="8" fillId="0" borderId="23" xfId="2" applyNumberFormat="1" applyFont="1" applyFill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0" fontId="8" fillId="0" borderId="27" xfId="2" applyNumberFormat="1" applyFont="1" applyFill="1" applyBorder="1" applyAlignment="1">
      <alignment horizontal="center" vertical="center"/>
    </xf>
    <xf numFmtId="10" fontId="8" fillId="0" borderId="28" xfId="2" applyNumberFormat="1" applyFont="1" applyFill="1" applyBorder="1" applyAlignment="1">
      <alignment horizontal="center" vertical="center"/>
    </xf>
    <xf numFmtId="10" fontId="9" fillId="0" borderId="24" xfId="2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0" fontId="9" fillId="0" borderId="28" xfId="2" applyNumberFormat="1" applyFont="1" applyFill="1" applyBorder="1" applyAlignment="1">
      <alignment horizontal="center" vertical="center"/>
    </xf>
    <xf numFmtId="10" fontId="9" fillId="0" borderId="25" xfId="2" applyNumberFormat="1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9" fontId="9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180" fontId="9" fillId="0" borderId="0" xfId="0" applyNumberFormat="1" applyFont="1">
      <alignment vertical="center"/>
    </xf>
    <xf numFmtId="10" fontId="10" fillId="0" borderId="25" xfId="2" applyNumberFormat="1" applyFont="1" applyFill="1" applyBorder="1" applyAlignment="1">
      <alignment horizontal="center" vertical="center"/>
    </xf>
    <xf numFmtId="10" fontId="10" fillId="0" borderId="24" xfId="2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10" fontId="10" fillId="0" borderId="5" xfId="0" applyNumberFormat="1" applyFont="1" applyBorder="1" applyAlignment="1">
      <alignment horizontal="center" vertical="center"/>
    </xf>
    <xf numFmtId="10" fontId="11" fillId="0" borderId="5" xfId="0" applyNumberFormat="1" applyFont="1" applyBorder="1" applyAlignment="1">
      <alignment horizontal="center" vertical="center"/>
    </xf>
    <xf numFmtId="10" fontId="9" fillId="0" borderId="23" xfId="2" applyNumberFormat="1" applyFont="1" applyFill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0" fontId="8" fillId="3" borderId="24" xfId="2" applyNumberFormat="1" applyFont="1" applyFill="1" applyBorder="1" applyAlignment="1">
      <alignment horizontal="center" vertical="center"/>
    </xf>
    <xf numFmtId="10" fontId="9" fillId="3" borderId="24" xfId="2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77" fontId="8" fillId="0" borderId="20" xfId="0" applyNumberFormat="1" applyFont="1" applyFill="1" applyBorder="1" applyAlignment="1">
      <alignment horizontal="center" vertical="center"/>
    </xf>
    <xf numFmtId="177" fontId="8" fillId="4" borderId="20" xfId="0" applyNumberFormat="1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 wrapText="1"/>
    </xf>
    <xf numFmtId="10" fontId="8" fillId="5" borderId="17" xfId="2" applyNumberFormat="1" applyFont="1" applyFill="1" applyBorder="1" applyAlignment="1">
      <alignment horizontal="center" vertical="center"/>
    </xf>
    <xf numFmtId="10" fontId="8" fillId="5" borderId="18" xfId="2" applyNumberFormat="1" applyFont="1" applyFill="1" applyBorder="1" applyAlignment="1">
      <alignment horizontal="center" vertical="center"/>
    </xf>
    <xf numFmtId="10" fontId="13" fillId="0" borderId="24" xfId="2" applyNumberFormat="1" applyFont="1" applyFill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10" fontId="14" fillId="0" borderId="5" xfId="0" applyNumberFormat="1" applyFont="1" applyBorder="1" applyAlignment="1">
      <alignment horizontal="center" vertical="center"/>
    </xf>
    <xf numFmtId="177" fontId="8" fillId="6" borderId="26" xfId="0" applyNumberFormat="1" applyFont="1" applyFill="1" applyBorder="1" applyAlignment="1">
      <alignment horizontal="center" vertical="center"/>
    </xf>
    <xf numFmtId="10" fontId="9" fillId="0" borderId="48" xfId="2" applyNumberFormat="1" applyFont="1" applyFill="1" applyBorder="1" applyAlignment="1">
      <alignment horizontal="center" vertical="center"/>
    </xf>
    <xf numFmtId="10" fontId="9" fillId="0" borderId="49" xfId="2" applyNumberFormat="1" applyFont="1" applyFill="1" applyBorder="1" applyAlignment="1">
      <alignment horizontal="center" vertical="center"/>
    </xf>
    <xf numFmtId="10" fontId="8" fillId="0" borderId="49" xfId="2" applyNumberFormat="1" applyFont="1" applyFill="1" applyBorder="1" applyAlignment="1">
      <alignment horizontal="center" vertical="center"/>
    </xf>
    <xf numFmtId="10" fontId="13" fillId="0" borderId="49" xfId="2" applyNumberFormat="1" applyFont="1" applyFill="1" applyBorder="1" applyAlignment="1">
      <alignment horizontal="center" vertical="center"/>
    </xf>
    <xf numFmtId="10" fontId="9" fillId="7" borderId="50" xfId="2" applyNumberFormat="1" applyFont="1" applyFill="1" applyBorder="1" applyAlignment="1">
      <alignment horizontal="center" vertical="center"/>
    </xf>
    <xf numFmtId="10" fontId="8" fillId="0" borderId="48" xfId="2" applyNumberFormat="1" applyFont="1" applyFill="1" applyBorder="1" applyAlignment="1">
      <alignment horizontal="center" vertical="center"/>
    </xf>
    <xf numFmtId="10" fontId="8" fillId="0" borderId="50" xfId="2" applyNumberFormat="1" applyFont="1" applyFill="1" applyBorder="1" applyAlignment="1">
      <alignment horizontal="center" vertical="center"/>
    </xf>
    <xf numFmtId="10" fontId="9" fillId="7" borderId="49" xfId="2" applyNumberFormat="1" applyFont="1" applyFill="1" applyBorder="1" applyAlignment="1">
      <alignment horizontal="center" vertical="center"/>
    </xf>
    <xf numFmtId="10" fontId="9" fillId="7" borderId="24" xfId="2" applyNumberFormat="1" applyFont="1" applyFill="1" applyBorder="1" applyAlignment="1">
      <alignment horizontal="center" vertical="center"/>
    </xf>
    <xf numFmtId="10" fontId="10" fillId="0" borderId="0" xfId="2" applyNumberFormat="1" applyFont="1" applyAlignment="1">
      <alignment horizontal="center" vertical="center"/>
    </xf>
    <xf numFmtId="177" fontId="10" fillId="6" borderId="26" xfId="0" applyNumberFormat="1" applyFont="1" applyFill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8" fillId="0" borderId="26" xfId="0" applyNumberFormat="1" applyFont="1" applyFill="1" applyBorder="1" applyAlignment="1">
      <alignment horizontal="center" vertical="center"/>
    </xf>
    <xf numFmtId="10" fontId="7" fillId="0" borderId="48" xfId="2" applyNumberFormat="1" applyFont="1" applyFill="1" applyBorder="1" applyAlignment="1">
      <alignment horizontal="center" vertical="center"/>
    </xf>
    <xf numFmtId="10" fontId="8" fillId="8" borderId="17" xfId="2" applyNumberFormat="1" applyFont="1" applyFill="1" applyBorder="1" applyAlignment="1">
      <alignment horizontal="center" vertical="center"/>
    </xf>
    <xf numFmtId="10" fontId="9" fillId="8" borderId="24" xfId="2" applyNumberFormat="1" applyFont="1" applyFill="1" applyBorder="1" applyAlignment="1">
      <alignment horizontal="center" vertical="center"/>
    </xf>
    <xf numFmtId="10" fontId="10" fillId="0" borderId="48" xfId="2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177" fontId="8" fillId="0" borderId="39" xfId="0" applyNumberFormat="1" applyFont="1" applyBorder="1" applyAlignment="1">
      <alignment horizontal="center" vertical="center"/>
    </xf>
    <xf numFmtId="177" fontId="8" fillId="0" borderId="43" xfId="0" applyNumberFormat="1" applyFont="1" applyBorder="1" applyAlignment="1">
      <alignment horizontal="center" vertical="center"/>
    </xf>
    <xf numFmtId="177" fontId="8" fillId="0" borderId="44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45" xfId="0" applyNumberFormat="1" applyFont="1" applyBorder="1" applyAlignment="1">
      <alignment horizontal="center" vertical="center"/>
    </xf>
    <xf numFmtId="177" fontId="8" fillId="0" borderId="46" xfId="0" applyNumberFormat="1" applyFont="1" applyBorder="1" applyAlignment="1">
      <alignment horizontal="center" vertical="center"/>
    </xf>
    <xf numFmtId="177" fontId="8" fillId="0" borderId="41" xfId="0" applyNumberFormat="1" applyFont="1" applyBorder="1" applyAlignment="1">
      <alignment horizontal="center" vertical="center"/>
    </xf>
    <xf numFmtId="177" fontId="8" fillId="0" borderId="47" xfId="0" applyNumberFormat="1" applyFont="1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4907-D1D6-476F-8928-11B47DD80F52}">
  <dimension ref="A1:BN216"/>
  <sheetViews>
    <sheetView tabSelected="1" zoomScale="40" zoomScaleNormal="40" zoomScaleSheetLayoutView="25" zoomScalePageLayoutView="55" workbookViewId="0">
      <pane xSplit="795" ySplit="2310" topLeftCell="N86" activePane="bottomRight"/>
      <selection activeCell="G70" sqref="G70"/>
      <selection pane="topRight" activeCell="BE5" sqref="BE5"/>
      <selection pane="bottomLeft" activeCell="A95" sqref="A95:A96"/>
      <selection pane="bottomRight" activeCell="AM91" sqref="AM91"/>
    </sheetView>
  </sheetViews>
  <sheetFormatPr defaultRowHeight="36.75" customHeight="1"/>
  <cols>
    <col min="1" max="1" width="12.75" style="4" customWidth="1"/>
    <col min="2" max="60" width="16.625" style="2" customWidth="1"/>
    <col min="61" max="64" width="9" style="2"/>
    <col min="65" max="65" width="9" style="2" customWidth="1"/>
    <col min="66" max="66" width="9" style="3" customWidth="1"/>
    <col min="67" max="16384" width="9" style="2"/>
  </cols>
  <sheetData>
    <row r="1" spans="1:66" ht="42.75" customHeight="1" thickBot="1">
      <c r="A1" s="1"/>
      <c r="B1" s="94" t="s">
        <v>28</v>
      </c>
      <c r="C1" s="95"/>
      <c r="D1" s="95"/>
      <c r="E1" s="95"/>
      <c r="F1" s="96"/>
      <c r="G1" s="96"/>
      <c r="H1" s="97"/>
      <c r="I1" s="94" t="s">
        <v>29</v>
      </c>
      <c r="J1" s="98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6"/>
      <c r="AE1" s="96"/>
      <c r="AF1" s="97"/>
      <c r="AG1" s="94" t="s">
        <v>30</v>
      </c>
      <c r="AH1" s="98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6"/>
      <c r="AW1" s="96"/>
      <c r="AX1" s="97"/>
      <c r="BN1" s="3">
        <v>45192</v>
      </c>
    </row>
    <row r="2" spans="1:66" ht="54" customHeight="1" thickBot="1"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3</v>
      </c>
      <c r="AB2" s="6" t="s">
        <v>4</v>
      </c>
      <c r="AC2" s="6" t="s">
        <v>5</v>
      </c>
      <c r="AD2" s="6" t="s">
        <v>6</v>
      </c>
      <c r="AE2" s="6" t="s">
        <v>7</v>
      </c>
      <c r="AF2" s="7" t="s">
        <v>8</v>
      </c>
      <c r="AG2" s="9" t="s">
        <v>9</v>
      </c>
      <c r="AH2" s="10" t="s">
        <v>10</v>
      </c>
      <c r="AI2" s="10" t="s">
        <v>11</v>
      </c>
      <c r="AJ2" s="10" t="s">
        <v>27</v>
      </c>
      <c r="AK2" s="10" t="s">
        <v>13</v>
      </c>
      <c r="AL2" s="10" t="s">
        <v>14</v>
      </c>
      <c r="AM2" s="10" t="s">
        <v>15</v>
      </c>
      <c r="AN2" s="10" t="s">
        <v>16</v>
      </c>
      <c r="AO2" s="70" t="s">
        <v>17</v>
      </c>
      <c r="AP2" s="70" t="s">
        <v>18</v>
      </c>
      <c r="AQ2" s="10" t="s">
        <v>19</v>
      </c>
      <c r="AR2" s="10" t="s">
        <v>20</v>
      </c>
      <c r="AS2" s="10" t="s">
        <v>21</v>
      </c>
      <c r="AT2" s="10" t="s">
        <v>22</v>
      </c>
      <c r="AU2" s="10" t="s">
        <v>23</v>
      </c>
      <c r="AV2" s="10" t="s">
        <v>24</v>
      </c>
      <c r="AW2" s="10" t="s">
        <v>25</v>
      </c>
      <c r="AX2" s="11" t="s">
        <v>26</v>
      </c>
      <c r="AY2" s="11" t="s">
        <v>41</v>
      </c>
      <c r="AZ2" s="11" t="s">
        <v>42</v>
      </c>
      <c r="BA2" s="11" t="s">
        <v>43</v>
      </c>
      <c r="BB2" s="11" t="s">
        <v>44</v>
      </c>
      <c r="BC2" s="11" t="s">
        <v>45</v>
      </c>
      <c r="BD2" s="11" t="s">
        <v>46</v>
      </c>
      <c r="BE2" s="11" t="s">
        <v>47</v>
      </c>
      <c r="BF2" s="11" t="s">
        <v>48</v>
      </c>
      <c r="BG2" s="11" t="s">
        <v>50</v>
      </c>
      <c r="BH2" s="11" t="s">
        <v>51</v>
      </c>
      <c r="BN2" s="3">
        <v>45193</v>
      </c>
    </row>
    <row r="3" spans="1:66" ht="42.75" customHeight="1">
      <c r="A3" s="12" t="s">
        <v>0</v>
      </c>
      <c r="B3" s="13">
        <f>B4</f>
        <v>8.0000000000000002E-3</v>
      </c>
      <c r="C3" s="14">
        <f>C4-B4</f>
        <v>3.1800000000000002E-2</v>
      </c>
      <c r="D3" s="14">
        <f t="shared" ref="D3:Z3" si="0">D4-C4</f>
        <v>3.3200000000000007E-2</v>
      </c>
      <c r="E3" s="14">
        <f t="shared" si="0"/>
        <v>3.3200000000000007E-2</v>
      </c>
      <c r="F3" s="14">
        <f t="shared" si="0"/>
        <v>1.5399999999999997E-2</v>
      </c>
      <c r="G3" s="14">
        <f t="shared" si="0"/>
        <v>1.5399999999999997E-2</v>
      </c>
      <c r="H3" s="15">
        <f t="shared" si="0"/>
        <v>1.5399999999999997E-2</v>
      </c>
      <c r="I3" s="16">
        <f t="shared" si="0"/>
        <v>1.7399999999999999E-2</v>
      </c>
      <c r="J3" s="14">
        <f t="shared" si="0"/>
        <v>2.2199999999999998E-2</v>
      </c>
      <c r="K3" s="14">
        <f t="shared" si="0"/>
        <v>1.7199999999999993E-2</v>
      </c>
      <c r="L3" s="14">
        <f t="shared" si="0"/>
        <v>1.8300000000000011E-2</v>
      </c>
      <c r="M3" s="14">
        <f t="shared" si="0"/>
        <v>1.8499999999999989E-2</v>
      </c>
      <c r="N3" s="14">
        <f t="shared" si="0"/>
        <v>1.6500000000000015E-2</v>
      </c>
      <c r="O3" s="14">
        <f t="shared" si="0"/>
        <v>1.6799999999999982E-2</v>
      </c>
      <c r="P3" s="14">
        <f t="shared" si="0"/>
        <v>1.4100000000000001E-2</v>
      </c>
      <c r="Q3" s="14">
        <f t="shared" si="0"/>
        <v>1.4100000000000001E-2</v>
      </c>
      <c r="R3" s="14">
        <f t="shared" si="0"/>
        <v>1.4100000000000001E-2</v>
      </c>
      <c r="S3" s="14">
        <f t="shared" si="0"/>
        <v>1.4100000000000001E-2</v>
      </c>
      <c r="T3" s="14">
        <f t="shared" si="0"/>
        <v>1.4100000000000001E-2</v>
      </c>
      <c r="U3" s="14">
        <f t="shared" si="0"/>
        <v>1.2000000000000011E-2</v>
      </c>
      <c r="V3" s="14">
        <f t="shared" si="0"/>
        <v>1.2000000000000011E-2</v>
      </c>
      <c r="W3" s="14">
        <f t="shared" si="0"/>
        <v>1.2000000000000011E-2</v>
      </c>
      <c r="X3" s="14">
        <f t="shared" si="0"/>
        <v>1.2000000000000011E-2</v>
      </c>
      <c r="Y3" s="14">
        <f t="shared" si="0"/>
        <v>1.100000000000001E-2</v>
      </c>
      <c r="Z3" s="57">
        <f t="shared" si="0"/>
        <v>2.0799999999999985E-2</v>
      </c>
      <c r="AA3" s="14">
        <f t="shared" ref="AA3:BB3" si="1">AA4-Z4</f>
        <v>9.2066666666666963E-3</v>
      </c>
      <c r="AB3" s="14">
        <f t="shared" si="1"/>
        <v>8.3933333333332527E-3</v>
      </c>
      <c r="AC3" s="14">
        <f t="shared" si="1"/>
        <v>1.4500000000000013E-2</v>
      </c>
      <c r="AD3" s="14">
        <f t="shared" si="1"/>
        <v>1.4500000000000013E-2</v>
      </c>
      <c r="AE3" s="14">
        <f t="shared" si="1"/>
        <v>1.639999999999997E-2</v>
      </c>
      <c r="AF3" s="15">
        <f t="shared" si="1"/>
        <v>1.710000000000006E-2</v>
      </c>
      <c r="AG3" s="14">
        <f t="shared" si="1"/>
        <v>2.0100000000000007E-2</v>
      </c>
      <c r="AH3" s="14">
        <f t="shared" si="1"/>
        <v>2.0100000000000007E-2</v>
      </c>
      <c r="AI3" s="14">
        <f t="shared" si="1"/>
        <v>2.0099999999999896E-2</v>
      </c>
      <c r="AJ3" s="14">
        <f t="shared" si="1"/>
        <v>2.0400000000000085E-2</v>
      </c>
      <c r="AK3" s="14">
        <f t="shared" si="1"/>
        <v>2.1399999999999975E-2</v>
      </c>
      <c r="AL3" s="14">
        <f t="shared" si="1"/>
        <v>2.3100000000000009E-2</v>
      </c>
      <c r="AM3" s="14">
        <f t="shared" si="1"/>
        <v>3.3000000000000029E-2</v>
      </c>
      <c r="AN3" s="14">
        <f t="shared" si="1"/>
        <v>3.2999999999999918E-2</v>
      </c>
      <c r="AO3" s="14">
        <f t="shared" si="1"/>
        <v>1.5199999999999991E-2</v>
      </c>
      <c r="AP3" s="14">
        <f t="shared" si="1"/>
        <v>1.5900000000000025E-2</v>
      </c>
      <c r="AQ3" s="14">
        <f t="shared" si="1"/>
        <v>1.5900000000000025E-2</v>
      </c>
      <c r="AR3" s="14">
        <f t="shared" si="1"/>
        <v>1.6000000000000014E-2</v>
      </c>
      <c r="AS3" s="14">
        <f t="shared" si="1"/>
        <v>1.6000000000000014E-2</v>
      </c>
      <c r="AT3" s="14">
        <f t="shared" si="1"/>
        <v>1.6100000000000003E-2</v>
      </c>
      <c r="AU3" s="14">
        <f t="shared" si="1"/>
        <v>1.6099999999999892E-2</v>
      </c>
      <c r="AV3" s="14">
        <f t="shared" si="1"/>
        <v>1.6200000000000103E-2</v>
      </c>
      <c r="AW3" s="14">
        <f t="shared" si="1"/>
        <v>1.6599999999999837E-2</v>
      </c>
      <c r="AX3" s="17">
        <f t="shared" si="1"/>
        <v>1.660000000000017E-2</v>
      </c>
      <c r="AY3" s="14">
        <f t="shared" si="1"/>
        <v>1.6499999999999848E-2</v>
      </c>
      <c r="AZ3" s="14">
        <f t="shared" si="1"/>
        <v>1.770000000000016E-2</v>
      </c>
      <c r="BA3" s="14">
        <f t="shared" si="1"/>
        <v>1.7999999999999905E-2</v>
      </c>
      <c r="BB3" s="14">
        <f t="shared" si="1"/>
        <v>2.1199999999999997E-2</v>
      </c>
      <c r="BC3" s="14">
        <f>BC4-BB4</f>
        <v>1.8100000000000005E-2</v>
      </c>
      <c r="BD3" s="14">
        <f t="shared" ref="BD3" si="2">BD4-BC4</f>
        <v>1.8199999999999994E-2</v>
      </c>
      <c r="BE3" s="14">
        <f t="shared" ref="BE3" si="3">BE4-BD4</f>
        <v>1.0000000000000009E-2</v>
      </c>
      <c r="BF3" s="14">
        <f t="shared" ref="BF3" si="4">BF4-BE4</f>
        <v>9.7000000000000419E-3</v>
      </c>
      <c r="BG3" s="74" t="e">
        <f t="shared" ref="BG3" si="5">BG4-BF4</f>
        <v>#REF!</v>
      </c>
      <c r="BH3" s="74" t="e">
        <f t="shared" ref="BH3" si="6">BH4-BG4</f>
        <v>#REF!</v>
      </c>
      <c r="BN3" s="3">
        <v>45199</v>
      </c>
    </row>
    <row r="4" spans="1:66" ht="42.75" customHeight="1" thickBot="1">
      <c r="A4" s="18" t="s">
        <v>1</v>
      </c>
      <c r="B4" s="19">
        <v>8.0000000000000002E-3</v>
      </c>
      <c r="C4" s="20">
        <v>3.9800000000000002E-2</v>
      </c>
      <c r="D4" s="20">
        <v>7.3000000000000009E-2</v>
      </c>
      <c r="E4" s="20">
        <v>0.10620000000000002</v>
      </c>
      <c r="F4" s="20">
        <v>0.12160000000000001</v>
      </c>
      <c r="G4" s="20">
        <v>0.13700000000000001</v>
      </c>
      <c r="H4" s="21">
        <v>0.15240000000000001</v>
      </c>
      <c r="I4" s="19">
        <v>0.16980000000000001</v>
      </c>
      <c r="J4" s="20">
        <v>0.192</v>
      </c>
      <c r="K4" s="20">
        <v>0.2092</v>
      </c>
      <c r="L4" s="20">
        <v>0.22750000000000001</v>
      </c>
      <c r="M4" s="20">
        <v>0.246</v>
      </c>
      <c r="N4" s="20">
        <v>0.26250000000000001</v>
      </c>
      <c r="O4" s="20">
        <v>0.27929999999999999</v>
      </c>
      <c r="P4" s="20">
        <v>0.29339999999999999</v>
      </c>
      <c r="Q4" s="20">
        <v>0.3075</v>
      </c>
      <c r="R4" s="20">
        <v>0.3216</v>
      </c>
      <c r="S4" s="20">
        <v>0.3357</v>
      </c>
      <c r="T4" s="20">
        <v>0.3498</v>
      </c>
      <c r="U4" s="20">
        <v>0.36180000000000001</v>
      </c>
      <c r="V4" s="20">
        <v>0.37380000000000002</v>
      </c>
      <c r="W4" s="20">
        <v>0.38580000000000003</v>
      </c>
      <c r="X4" s="20">
        <v>0.39780000000000004</v>
      </c>
      <c r="Y4" s="20">
        <v>0.40880000000000005</v>
      </c>
      <c r="Z4" s="20">
        <v>0.42960000000000004</v>
      </c>
      <c r="AA4" s="20">
        <f>P49</f>
        <v>0.43880666666666673</v>
      </c>
      <c r="AB4" s="58">
        <f>AF49</f>
        <v>0.44719999999999999</v>
      </c>
      <c r="AC4" s="20">
        <f>P52</f>
        <v>0.4617</v>
      </c>
      <c r="AD4" s="58">
        <f>AE52</f>
        <v>0.47620000000000001</v>
      </c>
      <c r="AE4" s="20">
        <f>P55</f>
        <v>0.49259999999999998</v>
      </c>
      <c r="AF4" s="59">
        <f>AF55</f>
        <v>0.50970000000000004</v>
      </c>
      <c r="AG4" s="22">
        <f>P58</f>
        <v>0.52980000000000005</v>
      </c>
      <c r="AH4" s="20">
        <f>AF58</f>
        <v>0.54990000000000006</v>
      </c>
      <c r="AI4" s="20">
        <f>P61</f>
        <v>0.56999999999999995</v>
      </c>
      <c r="AJ4" s="20">
        <f>AC61</f>
        <v>0.59040000000000004</v>
      </c>
      <c r="AK4" s="20">
        <f>P64</f>
        <v>0.61180000000000001</v>
      </c>
      <c r="AL4" s="20">
        <f>AF64</f>
        <v>0.63490000000000002</v>
      </c>
      <c r="AM4" s="20">
        <f>P67</f>
        <v>0.66790000000000005</v>
      </c>
      <c r="AN4" s="20">
        <f>AE67</f>
        <v>0.70089999999999997</v>
      </c>
      <c r="AO4" s="20">
        <f>P70</f>
        <v>0.71609999999999996</v>
      </c>
      <c r="AP4" s="20">
        <f>AF70</f>
        <v>0.73199999999999998</v>
      </c>
      <c r="AQ4" s="20">
        <f>P74</f>
        <v>0.74790000000000001</v>
      </c>
      <c r="AR4" s="20">
        <f>AE74</f>
        <v>0.76390000000000002</v>
      </c>
      <c r="AS4" s="20">
        <f>P78</f>
        <v>0.77990000000000004</v>
      </c>
      <c r="AT4" s="20">
        <f>AF78</f>
        <v>0.79600000000000004</v>
      </c>
      <c r="AU4" s="20">
        <f>P81</f>
        <v>0.81209999999999993</v>
      </c>
      <c r="AV4" s="20">
        <f>AF81</f>
        <v>0.82830000000000004</v>
      </c>
      <c r="AW4" s="20">
        <f>P84</f>
        <v>0.84489999999999987</v>
      </c>
      <c r="AX4" s="60">
        <f>AE84</f>
        <v>0.86150000000000004</v>
      </c>
      <c r="AY4" s="20">
        <f>P87</f>
        <v>0.87799999999999989</v>
      </c>
      <c r="AZ4" s="20">
        <f>AF87</f>
        <v>0.89570000000000005</v>
      </c>
      <c r="BA4" s="20">
        <f>P90</f>
        <v>0.91369999999999996</v>
      </c>
      <c r="BB4" s="20">
        <f>AE90</f>
        <v>0.93489999999999995</v>
      </c>
      <c r="BC4" s="58">
        <f>P93</f>
        <v>0.95299999999999996</v>
      </c>
      <c r="BD4" s="58">
        <f>AF93</f>
        <v>0.97119999999999995</v>
      </c>
      <c r="BE4" s="58">
        <f>P98</f>
        <v>0.98119999999999996</v>
      </c>
      <c r="BF4" s="75">
        <f>AF98</f>
        <v>0.9909</v>
      </c>
      <c r="BG4" s="75" t="e">
        <f>#REF!</f>
        <v>#REF!</v>
      </c>
      <c r="BH4" s="75" t="e">
        <f>#REF!</f>
        <v>#REF!</v>
      </c>
      <c r="BN4" s="3">
        <v>45200</v>
      </c>
    </row>
    <row r="5" spans="1:66" ht="42.75" customHeight="1">
      <c r="A5" s="12" t="s">
        <v>31</v>
      </c>
      <c r="B5" s="13">
        <f>B3/8</f>
        <v>1E-3</v>
      </c>
      <c r="C5" s="14">
        <f>C3/15</f>
        <v>2.1199999999999999E-3</v>
      </c>
      <c r="D5" s="14">
        <f>D3/16</f>
        <v>2.0750000000000005E-3</v>
      </c>
      <c r="E5" s="14">
        <f t="shared" ref="E5:T5" si="7">E3/15</f>
        <v>2.2133333333333336E-3</v>
      </c>
      <c r="F5" s="14">
        <f t="shared" si="7"/>
        <v>1.0266666666666664E-3</v>
      </c>
      <c r="G5" s="14">
        <f t="shared" si="7"/>
        <v>1.0266666666666664E-3</v>
      </c>
      <c r="H5" s="15">
        <f>H3/16</f>
        <v>9.6249999999999981E-4</v>
      </c>
      <c r="I5" s="16">
        <f t="shared" si="7"/>
        <v>1.16E-3</v>
      </c>
      <c r="J5" s="14">
        <f>J3/16</f>
        <v>1.3874999999999998E-3</v>
      </c>
      <c r="K5" s="14">
        <f t="shared" si="7"/>
        <v>1.1466666666666663E-3</v>
      </c>
      <c r="L5" s="14">
        <f>L3/14</f>
        <v>1.3071428571428578E-3</v>
      </c>
      <c r="M5" s="14">
        <f>M3/15</f>
        <v>1.2333333333333326E-3</v>
      </c>
      <c r="N5" s="14">
        <f>N3/16</f>
        <v>1.0312500000000009E-3</v>
      </c>
      <c r="O5" s="14">
        <f t="shared" si="7"/>
        <v>1.1199999999999988E-3</v>
      </c>
      <c r="P5" s="14">
        <f t="shared" si="7"/>
        <v>9.4000000000000008E-4</v>
      </c>
      <c r="Q5" s="14">
        <f t="shared" si="7"/>
        <v>9.4000000000000008E-4</v>
      </c>
      <c r="R5" s="14">
        <f>R3/16</f>
        <v>8.8125000000000009E-4</v>
      </c>
      <c r="S5" s="14">
        <f t="shared" si="7"/>
        <v>9.4000000000000008E-4</v>
      </c>
      <c r="T5" s="14">
        <f t="shared" si="7"/>
        <v>9.4000000000000008E-4</v>
      </c>
      <c r="U5" s="14">
        <f>U3/15</f>
        <v>8.0000000000000069E-4</v>
      </c>
      <c r="V5" s="14">
        <f>V3/16</f>
        <v>7.5000000000000067E-4</v>
      </c>
      <c r="W5" s="14">
        <f>W3/15</f>
        <v>8.0000000000000069E-4</v>
      </c>
      <c r="X5" s="14">
        <f>X3/16</f>
        <v>7.5000000000000067E-4</v>
      </c>
      <c r="Y5" s="14">
        <f>Y3/15</f>
        <v>7.3333333333333399E-4</v>
      </c>
      <c r="Z5" s="14">
        <f>Z3/15</f>
        <v>1.3866666666666656E-3</v>
      </c>
      <c r="AA5" s="14">
        <f>AA3/15</f>
        <v>6.1377777777777971E-4</v>
      </c>
      <c r="AB5" s="14">
        <f>AB3/16</f>
        <v>5.2458333333332829E-4</v>
      </c>
      <c r="AC5" s="14">
        <f>AC3/15</f>
        <v>9.6666666666666754E-4</v>
      </c>
      <c r="AD5" s="14">
        <f>AD3/15</f>
        <v>9.6666666666666754E-4</v>
      </c>
      <c r="AE5" s="14">
        <f>AE3/15</f>
        <v>1.0933333333333314E-3</v>
      </c>
      <c r="AF5" s="15">
        <f>AF3/16</f>
        <v>1.0687500000000037E-3</v>
      </c>
      <c r="AG5" s="14">
        <f t="shared" ref="AG5:AR5" si="8">AG3/15</f>
        <v>1.3400000000000005E-3</v>
      </c>
      <c r="AH5" s="14">
        <f>AH3/16</f>
        <v>1.2562500000000004E-3</v>
      </c>
      <c r="AI5" s="14">
        <f t="shared" si="8"/>
        <v>1.3399999999999931E-3</v>
      </c>
      <c r="AJ5" s="14">
        <f>AJ3/14</f>
        <v>1.4571428571428632E-3</v>
      </c>
      <c r="AK5" s="14">
        <f>AK3/15</f>
        <v>1.4266666666666651E-3</v>
      </c>
      <c r="AL5" s="14">
        <f>AL3/16</f>
        <v>1.4437500000000006E-3</v>
      </c>
      <c r="AM5" s="14">
        <f t="shared" si="8"/>
        <v>2.2000000000000019E-3</v>
      </c>
      <c r="AN5" s="14">
        <f t="shared" si="8"/>
        <v>2.1999999999999945E-3</v>
      </c>
      <c r="AO5" s="14">
        <f t="shared" si="8"/>
        <v>1.0133333333333327E-3</v>
      </c>
      <c r="AP5" s="14">
        <f>AP3/16</f>
        <v>9.9375000000000158E-4</v>
      </c>
      <c r="AQ5" s="14">
        <f t="shared" si="8"/>
        <v>1.0600000000000017E-3</v>
      </c>
      <c r="AR5" s="14">
        <f t="shared" si="8"/>
        <v>1.0666666666666676E-3</v>
      </c>
      <c r="AS5" s="14">
        <f>AS3/15</f>
        <v>1.0666666666666676E-3</v>
      </c>
      <c r="AT5" s="14">
        <f>AT3/16</f>
        <v>1.0062500000000002E-3</v>
      </c>
      <c r="AU5" s="14">
        <f>AU3/15</f>
        <v>1.0733333333333261E-3</v>
      </c>
      <c r="AV5" s="14">
        <f>AV3/16</f>
        <v>1.0125000000000065E-3</v>
      </c>
      <c r="AW5" s="14">
        <f>AW3/15</f>
        <v>1.1066666666666558E-3</v>
      </c>
      <c r="AX5" s="17">
        <f>AX3/16</f>
        <v>1.0375000000000106E-3</v>
      </c>
      <c r="AY5" s="14">
        <f>AY3/15</f>
        <v>1.0999999999999899E-3</v>
      </c>
      <c r="AZ5" s="14">
        <f>AZ3/15</f>
        <v>1.1800000000000107E-3</v>
      </c>
      <c r="BA5" s="14">
        <f>BA3/15</f>
        <v>1.1999999999999936E-3</v>
      </c>
      <c r="BB5" s="14">
        <f>BB3/15</f>
        <v>1.4133333333333331E-3</v>
      </c>
      <c r="BC5" s="57">
        <f>BC3/15</f>
        <v>1.2066666666666671E-3</v>
      </c>
      <c r="BD5" s="57">
        <f>BD3/16</f>
        <v>1.1374999999999996E-3</v>
      </c>
      <c r="BE5" s="57">
        <f>BE3/15</f>
        <v>6.6666666666666729E-4</v>
      </c>
      <c r="BF5" s="74">
        <f>BF3/16</f>
        <v>6.0625000000000262E-4</v>
      </c>
      <c r="BG5" s="74" t="e">
        <f t="shared" ref="BG5:BH5" si="9">BG3/16</f>
        <v>#REF!</v>
      </c>
      <c r="BH5" s="74" t="e">
        <f t="shared" si="9"/>
        <v>#REF!</v>
      </c>
      <c r="BN5" s="3">
        <v>45206</v>
      </c>
    </row>
    <row r="6" spans="1:66" ht="42.75" customHeight="1" thickBot="1">
      <c r="A6" s="18" t="s">
        <v>37</v>
      </c>
      <c r="B6" s="19">
        <f>B4</f>
        <v>8.0000000000000002E-3</v>
      </c>
      <c r="C6" s="20"/>
      <c r="D6" s="20">
        <f>C3+D3</f>
        <v>6.5000000000000002E-2</v>
      </c>
      <c r="E6" s="20"/>
      <c r="F6" s="20">
        <f>E3+F3</f>
        <v>4.8600000000000004E-2</v>
      </c>
      <c r="G6" s="20"/>
      <c r="H6" s="21">
        <f>G3+H3</f>
        <v>3.0799999999999994E-2</v>
      </c>
      <c r="I6" s="19"/>
      <c r="J6" s="20">
        <f>I3+J3</f>
        <v>3.9599999999999996E-2</v>
      </c>
      <c r="K6" s="20"/>
      <c r="L6" s="20">
        <f>K3+L3</f>
        <v>3.5500000000000004E-2</v>
      </c>
      <c r="M6" s="20"/>
      <c r="N6" s="20">
        <f>M3+N3</f>
        <v>3.5000000000000003E-2</v>
      </c>
      <c r="O6" s="20"/>
      <c r="P6" s="20">
        <f>O3+P3</f>
        <v>3.0899999999999983E-2</v>
      </c>
      <c r="Q6" s="20"/>
      <c r="R6" s="20">
        <f>Q3+R3</f>
        <v>2.8200000000000003E-2</v>
      </c>
      <c r="S6" s="20"/>
      <c r="T6" s="20">
        <f>S3+T3</f>
        <v>2.8200000000000003E-2</v>
      </c>
      <c r="U6" s="20"/>
      <c r="V6" s="20">
        <f>U3+V3</f>
        <v>2.4000000000000021E-2</v>
      </c>
      <c r="W6" s="20"/>
      <c r="X6" s="20">
        <f>W3+X3</f>
        <v>2.4000000000000021E-2</v>
      </c>
      <c r="Y6" s="20"/>
      <c r="Z6" s="58">
        <f>Y3+Z3</f>
        <v>3.1799999999999995E-2</v>
      </c>
      <c r="AA6" s="20"/>
      <c r="AB6" s="20">
        <f>AA3+AB3</f>
        <v>1.7599999999999949E-2</v>
      </c>
      <c r="AC6" s="20"/>
      <c r="AD6" s="20">
        <f>AC3+AD3</f>
        <v>2.9000000000000026E-2</v>
      </c>
      <c r="AE6" s="20"/>
      <c r="AF6" s="21">
        <f>AE3+AF3</f>
        <v>3.350000000000003E-2</v>
      </c>
      <c r="AG6" s="22"/>
      <c r="AH6" s="20">
        <f>AG3+AH3</f>
        <v>4.0200000000000014E-2</v>
      </c>
      <c r="AI6" s="20"/>
      <c r="AJ6" s="20">
        <f>AI3+AJ3</f>
        <v>4.049999999999998E-2</v>
      </c>
      <c r="AK6" s="20"/>
      <c r="AL6" s="20">
        <f>AK3+AL3</f>
        <v>4.4499999999999984E-2</v>
      </c>
      <c r="AM6" s="20"/>
      <c r="AN6" s="20">
        <f>AM3+AN3</f>
        <v>6.5999999999999948E-2</v>
      </c>
      <c r="AO6" s="20"/>
      <c r="AP6" s="20">
        <f>AO3+AP3</f>
        <v>3.1100000000000017E-2</v>
      </c>
      <c r="AQ6" s="20"/>
      <c r="AR6" s="20">
        <f>AQ3+AR3</f>
        <v>3.1900000000000039E-2</v>
      </c>
      <c r="AS6" s="20"/>
      <c r="AT6" s="20">
        <f>AS3+AT3</f>
        <v>3.2100000000000017E-2</v>
      </c>
      <c r="AU6" s="20"/>
      <c r="AV6" s="20">
        <f>AU3+AV3</f>
        <v>3.2299999999999995E-2</v>
      </c>
      <c r="AW6" s="20"/>
      <c r="AX6" s="21">
        <f>AW3+AX3</f>
        <v>3.3200000000000007E-2</v>
      </c>
      <c r="AY6" s="20"/>
      <c r="AZ6" s="20">
        <f>AY3+AZ3</f>
        <v>3.4200000000000008E-2</v>
      </c>
      <c r="BA6" s="20"/>
      <c r="BB6" s="20">
        <f>BA3+BB3</f>
        <v>3.9199999999999902E-2</v>
      </c>
      <c r="BC6" s="58"/>
      <c r="BD6" s="58">
        <f>BC3+BD3</f>
        <v>3.6299999999999999E-2</v>
      </c>
      <c r="BE6" s="58"/>
      <c r="BF6" s="59">
        <f>BE3+BF3</f>
        <v>1.9700000000000051E-2</v>
      </c>
      <c r="BG6" s="59" t="e">
        <f t="shared" ref="BG6:BH6" si="10">BF3+BG3</f>
        <v>#REF!</v>
      </c>
      <c r="BH6" s="59" t="e">
        <f t="shared" si="10"/>
        <v>#REF!</v>
      </c>
      <c r="BN6" s="3">
        <v>45213</v>
      </c>
    </row>
    <row r="7" spans="1:66" ht="42.75" customHeight="1" thickBot="1">
      <c r="A7" s="12"/>
      <c r="B7" s="13"/>
      <c r="C7" s="14"/>
      <c r="D7" s="14"/>
      <c r="E7" s="14"/>
      <c r="F7" s="14"/>
      <c r="G7" s="14"/>
      <c r="H7" s="15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7"/>
      <c r="AY7" s="14"/>
      <c r="AZ7" s="14"/>
      <c r="BA7" s="14"/>
      <c r="BB7" s="14"/>
      <c r="BC7" s="14"/>
      <c r="BD7" s="14"/>
      <c r="BE7" s="14"/>
      <c r="BF7" s="17"/>
      <c r="BG7" s="17"/>
      <c r="BH7" s="17"/>
    </row>
    <row r="8" spans="1:66" ht="42.75" hidden="1" customHeight="1" thickBot="1">
      <c r="A8" s="18"/>
      <c r="B8" s="19"/>
      <c r="C8" s="20"/>
      <c r="D8" s="20"/>
      <c r="E8" s="20"/>
      <c r="F8" s="20"/>
      <c r="G8" s="20"/>
      <c r="H8" s="21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22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1"/>
      <c r="AY8" s="20"/>
      <c r="AZ8" s="20"/>
      <c r="BA8" s="20"/>
      <c r="BB8" s="20"/>
      <c r="BC8" s="20"/>
      <c r="BD8" s="20"/>
      <c r="BE8" s="20"/>
      <c r="BF8" s="21"/>
      <c r="BG8" s="21"/>
      <c r="BH8" s="21"/>
    </row>
    <row r="9" spans="1:66" s="28" customFormat="1" ht="42.75" hidden="1" customHeight="1">
      <c r="A9" s="23" t="s">
        <v>34</v>
      </c>
      <c r="B9" s="99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1"/>
      <c r="X9" s="24">
        <v>45192</v>
      </c>
      <c r="Y9" s="24">
        <v>45193</v>
      </c>
      <c r="Z9" s="24">
        <v>45194</v>
      </c>
      <c r="AA9" s="24">
        <v>45195</v>
      </c>
      <c r="AB9" s="24">
        <v>45196</v>
      </c>
      <c r="AC9" s="24">
        <v>45197</v>
      </c>
      <c r="AD9" s="24">
        <v>45198</v>
      </c>
      <c r="AE9" s="24">
        <v>45199</v>
      </c>
      <c r="AF9" s="25"/>
      <c r="AG9" s="26"/>
      <c r="AH9" s="27"/>
      <c r="BN9" s="29">
        <v>45214</v>
      </c>
    </row>
    <row r="10" spans="1:66" s="28" customFormat="1" ht="42.75" hidden="1" customHeight="1">
      <c r="A10" s="30" t="s">
        <v>32</v>
      </c>
      <c r="B10" s="102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4"/>
      <c r="X10" s="31">
        <v>1.0000000000000091E-4</v>
      </c>
      <c r="Y10" s="31">
        <v>1.2285714285714291E-3</v>
      </c>
      <c r="Z10" s="31">
        <v>2.3571428571428571E-3</v>
      </c>
      <c r="AA10" s="31">
        <v>3.4857142857142856E-3</v>
      </c>
      <c r="AB10" s="31">
        <v>4.614285714285714E-3</v>
      </c>
      <c r="AC10" s="31">
        <v>5.7428571428571416E-3</v>
      </c>
      <c r="AD10" s="31">
        <v>6.87142857142857E-3</v>
      </c>
      <c r="AE10" s="31">
        <v>8.0000000000000071E-3</v>
      </c>
      <c r="AF10" s="32"/>
      <c r="AG10" s="33"/>
      <c r="AH10" s="27"/>
      <c r="AI10" s="34"/>
      <c r="BN10" s="29">
        <v>45220</v>
      </c>
    </row>
    <row r="11" spans="1:66" s="28" customFormat="1" ht="42.75" hidden="1" customHeight="1" thickBot="1">
      <c r="A11" s="35" t="s">
        <v>33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7"/>
      <c r="X11" s="36">
        <v>1.0000000000000005E-4</v>
      </c>
      <c r="Y11" s="36">
        <v>1.9142857142857143E-3</v>
      </c>
      <c r="Z11" s="36">
        <v>3.7285714285714283E-3</v>
      </c>
      <c r="AA11" s="36">
        <v>5.5428571428571428E-3</v>
      </c>
      <c r="AB11" s="36">
        <v>7.3571428571428564E-3</v>
      </c>
      <c r="AC11" s="36">
        <v>9.17142857142857E-3</v>
      </c>
      <c r="AD11" s="36">
        <v>1.0985714285714286E-2</v>
      </c>
      <c r="AE11" s="36">
        <v>1.2799999999999999E-2</v>
      </c>
      <c r="AF11" s="37">
        <v>1.2799999999999999E-2</v>
      </c>
      <c r="AG11" s="26"/>
      <c r="AH11" s="27"/>
      <c r="BN11" s="29">
        <v>45221</v>
      </c>
    </row>
    <row r="12" spans="1:66" s="28" customFormat="1" ht="42.75" hidden="1" customHeight="1">
      <c r="A12" s="38" t="s">
        <v>34</v>
      </c>
      <c r="B12" s="39">
        <v>45200</v>
      </c>
      <c r="C12" s="40">
        <v>45201</v>
      </c>
      <c r="D12" s="40">
        <v>45202</v>
      </c>
      <c r="E12" s="40">
        <v>45203</v>
      </c>
      <c r="F12" s="40">
        <v>45204</v>
      </c>
      <c r="G12" s="40">
        <v>45205</v>
      </c>
      <c r="H12" s="40">
        <v>45206</v>
      </c>
      <c r="I12" s="40">
        <v>45207</v>
      </c>
      <c r="J12" s="40">
        <v>45208</v>
      </c>
      <c r="K12" s="40">
        <v>45209</v>
      </c>
      <c r="L12" s="40">
        <v>45210</v>
      </c>
      <c r="M12" s="40">
        <v>45211</v>
      </c>
      <c r="N12" s="40">
        <v>45212</v>
      </c>
      <c r="O12" s="40">
        <v>45213</v>
      </c>
      <c r="P12" s="40">
        <v>45214</v>
      </c>
      <c r="Q12" s="40">
        <v>45215</v>
      </c>
      <c r="R12" s="40">
        <v>45216</v>
      </c>
      <c r="S12" s="40">
        <v>45217</v>
      </c>
      <c r="T12" s="40">
        <v>45218</v>
      </c>
      <c r="U12" s="40">
        <v>45219</v>
      </c>
      <c r="V12" s="40">
        <v>45220</v>
      </c>
      <c r="W12" s="40">
        <v>45221</v>
      </c>
      <c r="X12" s="40">
        <v>45222</v>
      </c>
      <c r="Y12" s="40">
        <v>45223</v>
      </c>
      <c r="Z12" s="40">
        <v>45224</v>
      </c>
      <c r="AA12" s="40">
        <v>45225</v>
      </c>
      <c r="AB12" s="40">
        <v>45226</v>
      </c>
      <c r="AC12" s="40">
        <v>45227</v>
      </c>
      <c r="AD12" s="40">
        <v>45228</v>
      </c>
      <c r="AE12" s="40">
        <v>45229</v>
      </c>
      <c r="AF12" s="41">
        <v>45230</v>
      </c>
      <c r="AG12" s="26"/>
      <c r="AH12" s="27"/>
      <c r="BN12" s="29">
        <v>45227</v>
      </c>
    </row>
    <row r="13" spans="1:66" s="28" customFormat="1" ht="42.75" hidden="1" customHeight="1">
      <c r="A13" s="30" t="s">
        <v>32</v>
      </c>
      <c r="B13" s="42">
        <v>1.0120000000000006E-2</v>
      </c>
      <c r="C13" s="31">
        <v>1.2240000000000004E-2</v>
      </c>
      <c r="D13" s="31">
        <v>1.4360000000000005E-2</v>
      </c>
      <c r="E13" s="31">
        <v>1.6480000000000005E-2</v>
      </c>
      <c r="F13" s="31">
        <v>1.8600000000000005E-2</v>
      </c>
      <c r="G13" s="31">
        <v>2.0720000000000002E-2</v>
      </c>
      <c r="H13" s="31">
        <v>2.2840000000000003E-2</v>
      </c>
      <c r="I13" s="31">
        <v>2.4960000000000003E-2</v>
      </c>
      <c r="J13" s="31">
        <v>2.7080000000000003E-2</v>
      </c>
      <c r="K13" s="31">
        <v>2.92E-2</v>
      </c>
      <c r="L13" s="31">
        <v>3.1320000000000001E-2</v>
      </c>
      <c r="M13" s="31">
        <v>3.3439999999999998E-2</v>
      </c>
      <c r="N13" s="31">
        <v>3.5559999999999994E-2</v>
      </c>
      <c r="O13" s="31">
        <v>3.7680000000000005E-2</v>
      </c>
      <c r="P13" s="31">
        <v>3.9800000000000009E-2</v>
      </c>
      <c r="Q13" s="31">
        <v>4.201333333333334E-2</v>
      </c>
      <c r="R13" s="31">
        <v>4.4226666666666671E-2</v>
      </c>
      <c r="S13" s="31">
        <v>4.6440000000000009E-2</v>
      </c>
      <c r="T13" s="31">
        <v>4.865333333333334E-2</v>
      </c>
      <c r="U13" s="31">
        <v>5.0866666666666671E-2</v>
      </c>
      <c r="V13" s="31">
        <v>5.3080000000000002E-2</v>
      </c>
      <c r="W13" s="31">
        <v>5.5293333333333333E-2</v>
      </c>
      <c r="X13" s="31">
        <v>5.7506666666666664E-2</v>
      </c>
      <c r="Y13" s="31">
        <v>5.9719999999999995E-2</v>
      </c>
      <c r="Z13" s="31">
        <v>6.1933333333333326E-2</v>
      </c>
      <c r="AA13" s="31">
        <v>6.4146666666666657E-2</v>
      </c>
      <c r="AB13" s="31">
        <v>6.6359999999999988E-2</v>
      </c>
      <c r="AC13" s="31">
        <v>6.8573333333333319E-2</v>
      </c>
      <c r="AD13" s="31">
        <v>7.0786666666666664E-2</v>
      </c>
      <c r="AE13" s="31">
        <v>7.2999999999999968E-2</v>
      </c>
      <c r="AF13" s="32">
        <v>7.5074999999999961E-2</v>
      </c>
      <c r="AG13" s="33"/>
      <c r="AH13" s="27"/>
      <c r="AI13" s="34"/>
      <c r="BN13" s="29">
        <v>45228</v>
      </c>
    </row>
    <row r="14" spans="1:66" s="28" customFormat="1" ht="42.75" hidden="1" customHeight="1" thickBot="1">
      <c r="A14" s="35" t="s">
        <v>33</v>
      </c>
      <c r="B14" s="43">
        <v>1.2799999999999999E-2</v>
      </c>
      <c r="C14" s="36">
        <v>1.6828571428571429E-2</v>
      </c>
      <c r="D14" s="36">
        <v>1.884285714285714E-2</v>
      </c>
      <c r="E14" s="36">
        <v>2.0857142857142859E-2</v>
      </c>
      <c r="F14" s="36">
        <v>2.287142857142857E-2</v>
      </c>
      <c r="G14" s="36">
        <v>2.4885714285714285E-2</v>
      </c>
      <c r="H14" s="36">
        <v>2.69E-2</v>
      </c>
      <c r="I14" s="36">
        <v>2.6899999999999997E-2</v>
      </c>
      <c r="J14" s="36">
        <v>2.8871428571428569E-2</v>
      </c>
      <c r="K14" s="36">
        <v>3.0842857142857137E-2</v>
      </c>
      <c r="L14" s="36">
        <v>3.2814285714285713E-2</v>
      </c>
      <c r="M14" s="36">
        <v>3.4785714285714281E-2</v>
      </c>
      <c r="N14" s="36">
        <v>3.56E-2</v>
      </c>
      <c r="O14" s="36">
        <v>3.8728571428571425E-2</v>
      </c>
      <c r="P14" s="36">
        <v>4.0699999999999993E-2</v>
      </c>
      <c r="Q14" s="36">
        <v>4.2849999999999992E-2</v>
      </c>
      <c r="R14" s="36">
        <v>4.4999999999999998E-2</v>
      </c>
      <c r="S14" s="36">
        <v>4.7149999999999997E-2</v>
      </c>
      <c r="T14" s="36">
        <v>4.9299999999999997E-2</v>
      </c>
      <c r="U14" s="36">
        <v>5.1449999999999996E-2</v>
      </c>
      <c r="V14" s="36">
        <v>5.3600000000000009E-2</v>
      </c>
      <c r="W14" s="36">
        <v>5.9220000000000002E-2</v>
      </c>
      <c r="X14" s="36">
        <v>6.4840000000000009E-2</v>
      </c>
      <c r="Y14" s="36">
        <v>7.0459999999999995E-2</v>
      </c>
      <c r="Z14" s="36">
        <v>7.6079999999999995E-2</v>
      </c>
      <c r="AA14" s="36">
        <v>8.1699999999999995E-2</v>
      </c>
      <c r="AB14" s="36">
        <v>8.7319999999999981E-2</v>
      </c>
      <c r="AC14" s="36">
        <v>9.2939999999999995E-2</v>
      </c>
      <c r="AD14" s="36">
        <v>9.8559999999999981E-2</v>
      </c>
      <c r="AE14" s="36">
        <v>0.10417999999999998</v>
      </c>
      <c r="AF14" s="37">
        <v>0.10979999999999997</v>
      </c>
      <c r="AG14" s="26"/>
      <c r="AH14" s="27"/>
      <c r="BN14" s="29">
        <v>45234</v>
      </c>
    </row>
    <row r="15" spans="1:66" s="28" customFormat="1" ht="42.75" hidden="1" customHeight="1">
      <c r="A15" s="38" t="s">
        <v>34</v>
      </c>
      <c r="B15" s="44">
        <v>45231</v>
      </c>
      <c r="C15" s="40">
        <v>45232</v>
      </c>
      <c r="D15" s="40">
        <v>45233</v>
      </c>
      <c r="E15" s="40">
        <v>45234</v>
      </c>
      <c r="F15" s="40">
        <v>45235</v>
      </c>
      <c r="G15" s="40">
        <v>45236</v>
      </c>
      <c r="H15" s="40">
        <v>45237</v>
      </c>
      <c r="I15" s="40">
        <v>45238</v>
      </c>
      <c r="J15" s="40">
        <v>45239</v>
      </c>
      <c r="K15" s="40">
        <v>45240</v>
      </c>
      <c r="L15" s="40">
        <v>45241</v>
      </c>
      <c r="M15" s="40">
        <v>45242</v>
      </c>
      <c r="N15" s="40">
        <v>45243</v>
      </c>
      <c r="O15" s="40">
        <v>45244</v>
      </c>
      <c r="P15" s="40">
        <v>45245</v>
      </c>
      <c r="Q15" s="40">
        <v>45246</v>
      </c>
      <c r="R15" s="40">
        <v>45247</v>
      </c>
      <c r="S15" s="40">
        <v>45248</v>
      </c>
      <c r="T15" s="40">
        <v>45249</v>
      </c>
      <c r="U15" s="40">
        <v>45250</v>
      </c>
      <c r="V15" s="40">
        <v>45251</v>
      </c>
      <c r="W15" s="40">
        <v>45252</v>
      </c>
      <c r="X15" s="40">
        <v>45253</v>
      </c>
      <c r="Y15" s="40">
        <v>45254</v>
      </c>
      <c r="Z15" s="40">
        <v>45255</v>
      </c>
      <c r="AA15" s="40">
        <v>45256</v>
      </c>
      <c r="AB15" s="40">
        <v>45257</v>
      </c>
      <c r="AC15" s="40">
        <v>45258</v>
      </c>
      <c r="AD15" s="40">
        <v>45259</v>
      </c>
      <c r="AE15" s="40">
        <v>45260</v>
      </c>
      <c r="AF15" s="41"/>
      <c r="AG15" s="26"/>
      <c r="AH15" s="27"/>
      <c r="BN15" s="29">
        <v>45235</v>
      </c>
    </row>
    <row r="16" spans="1:66" s="28" customFormat="1" ht="42.75" hidden="1" customHeight="1">
      <c r="A16" s="30" t="s">
        <v>32</v>
      </c>
      <c r="B16" s="45">
        <v>7.7149999999999969E-2</v>
      </c>
      <c r="C16" s="31">
        <v>7.9224999999999962E-2</v>
      </c>
      <c r="D16" s="31">
        <v>8.129999999999997E-2</v>
      </c>
      <c r="E16" s="31">
        <v>8.3374999999999977E-2</v>
      </c>
      <c r="F16" s="31">
        <v>8.544999999999997E-2</v>
      </c>
      <c r="G16" s="31">
        <v>8.7524999999999978E-2</v>
      </c>
      <c r="H16" s="31">
        <v>8.9599999999999985E-2</v>
      </c>
      <c r="I16" s="31">
        <v>9.1674999999999979E-2</v>
      </c>
      <c r="J16" s="31">
        <v>9.3749999999999986E-2</v>
      </c>
      <c r="K16" s="31">
        <v>9.5824999999999994E-2</v>
      </c>
      <c r="L16" s="31">
        <v>9.7899999999999987E-2</v>
      </c>
      <c r="M16" s="31">
        <v>9.9974999999999994E-2</v>
      </c>
      <c r="N16" s="31">
        <v>0.10205</v>
      </c>
      <c r="O16" s="31">
        <v>0.104125</v>
      </c>
      <c r="P16" s="31">
        <v>0.10619999999999999</v>
      </c>
      <c r="Q16" s="31">
        <v>0.10722666666666666</v>
      </c>
      <c r="R16" s="31">
        <v>0.10825333333333333</v>
      </c>
      <c r="S16" s="31">
        <v>0.10927999999999999</v>
      </c>
      <c r="T16" s="31">
        <v>0.11030666666666666</v>
      </c>
      <c r="U16" s="31">
        <v>0.11133333333333333</v>
      </c>
      <c r="V16" s="31">
        <v>0.11236</v>
      </c>
      <c r="W16" s="31">
        <v>0.11338666666666666</v>
      </c>
      <c r="X16" s="31">
        <v>0.11441333333333333</v>
      </c>
      <c r="Y16" s="31">
        <v>0.11544</v>
      </c>
      <c r="Z16" s="31">
        <v>0.11646666666666666</v>
      </c>
      <c r="AA16" s="31">
        <v>0.11749333333333334</v>
      </c>
      <c r="AB16" s="31">
        <v>0.11852</v>
      </c>
      <c r="AC16" s="31">
        <v>0.11954666666666666</v>
      </c>
      <c r="AD16" s="31">
        <v>0.12057333333333334</v>
      </c>
      <c r="AE16" s="31">
        <v>0.12159999999999999</v>
      </c>
      <c r="AF16" s="32"/>
      <c r="AG16" s="33"/>
      <c r="AH16" s="27"/>
      <c r="AI16" s="34"/>
      <c r="BN16" s="29">
        <v>45241</v>
      </c>
    </row>
    <row r="17" spans="1:66" s="28" customFormat="1" ht="42.75" hidden="1" customHeight="1" thickBot="1">
      <c r="A17" s="35" t="s">
        <v>33</v>
      </c>
      <c r="B17" s="46">
        <v>0.11009999999999998</v>
      </c>
      <c r="C17" s="36">
        <v>0.11039999999999998</v>
      </c>
      <c r="D17" s="36">
        <v>0.11069999999999999</v>
      </c>
      <c r="E17" s="36">
        <v>0.11358571428571428</v>
      </c>
      <c r="F17" s="36">
        <v>0.11647142857142856</v>
      </c>
      <c r="G17" s="36">
        <v>0.11935714285714286</v>
      </c>
      <c r="H17" s="36">
        <v>0.12224285714285714</v>
      </c>
      <c r="I17" s="36">
        <v>0.12512857142857142</v>
      </c>
      <c r="J17" s="36">
        <v>0.12801428571428572</v>
      </c>
      <c r="K17" s="36">
        <v>0.13089999999999999</v>
      </c>
      <c r="L17" s="36">
        <v>0.13170000000000001</v>
      </c>
      <c r="M17" s="36">
        <v>0.1336</v>
      </c>
      <c r="N17" s="36">
        <v>0.13367142857142855</v>
      </c>
      <c r="O17" s="36">
        <v>0.13374285714285714</v>
      </c>
      <c r="P17" s="36">
        <v>0.13381428571428569</v>
      </c>
      <c r="Q17" s="36">
        <v>0.13388571428571427</v>
      </c>
      <c r="R17" s="36">
        <v>0.13395714285714283</v>
      </c>
      <c r="S17" s="36">
        <v>0.13402857142857141</v>
      </c>
      <c r="T17" s="36">
        <v>0.1341</v>
      </c>
      <c r="U17" s="36">
        <v>0.13589090909090909</v>
      </c>
      <c r="V17" s="36">
        <v>0.13768181818181818</v>
      </c>
      <c r="W17" s="36">
        <v>0.13947272727272728</v>
      </c>
      <c r="X17" s="36">
        <v>0.14126363636363637</v>
      </c>
      <c r="Y17" s="36">
        <v>0.14305454545454543</v>
      </c>
      <c r="Z17" s="36">
        <v>0.14484545454545453</v>
      </c>
      <c r="AA17" s="36">
        <v>0.14663636363636362</v>
      </c>
      <c r="AB17" s="36">
        <v>0.14842727272727271</v>
      </c>
      <c r="AC17" s="36">
        <v>0.15021818181818181</v>
      </c>
      <c r="AD17" s="36">
        <v>0.15110000000000001</v>
      </c>
      <c r="AE17" s="36">
        <v>0.15209999999999999</v>
      </c>
      <c r="AF17" s="37"/>
      <c r="AG17" s="26"/>
      <c r="AH17" s="27"/>
      <c r="BN17" s="29">
        <v>45242</v>
      </c>
    </row>
    <row r="18" spans="1:66" s="28" customFormat="1" ht="42.75" hidden="1" customHeight="1">
      <c r="A18" s="38" t="s">
        <v>34</v>
      </c>
      <c r="B18" s="44">
        <v>45261</v>
      </c>
      <c r="C18" s="40">
        <v>45262</v>
      </c>
      <c r="D18" s="40">
        <v>45263</v>
      </c>
      <c r="E18" s="40">
        <v>45264</v>
      </c>
      <c r="F18" s="40">
        <v>45265</v>
      </c>
      <c r="G18" s="40">
        <v>45266</v>
      </c>
      <c r="H18" s="40">
        <v>45267</v>
      </c>
      <c r="I18" s="40">
        <v>45268</v>
      </c>
      <c r="J18" s="40">
        <v>45269</v>
      </c>
      <c r="K18" s="40">
        <v>45270</v>
      </c>
      <c r="L18" s="40">
        <v>45271</v>
      </c>
      <c r="M18" s="40">
        <v>45272</v>
      </c>
      <c r="N18" s="40">
        <v>45273</v>
      </c>
      <c r="O18" s="40">
        <v>45274</v>
      </c>
      <c r="P18" s="40">
        <v>45275</v>
      </c>
      <c r="Q18" s="40">
        <v>45276</v>
      </c>
      <c r="R18" s="40">
        <v>45277</v>
      </c>
      <c r="S18" s="40">
        <v>45278</v>
      </c>
      <c r="T18" s="40">
        <v>45279</v>
      </c>
      <c r="U18" s="40">
        <v>45280</v>
      </c>
      <c r="V18" s="40">
        <v>45281</v>
      </c>
      <c r="W18" s="40">
        <v>45282</v>
      </c>
      <c r="X18" s="40">
        <v>45283</v>
      </c>
      <c r="Y18" s="40">
        <v>45284</v>
      </c>
      <c r="Z18" s="40">
        <v>45285</v>
      </c>
      <c r="AA18" s="40">
        <v>45286</v>
      </c>
      <c r="AB18" s="40">
        <v>45287</v>
      </c>
      <c r="AC18" s="40">
        <v>45288</v>
      </c>
      <c r="AD18" s="40">
        <v>45289</v>
      </c>
      <c r="AE18" s="40">
        <v>45290</v>
      </c>
      <c r="AF18" s="41">
        <v>45291</v>
      </c>
      <c r="AG18" s="26"/>
      <c r="AH18" s="27"/>
      <c r="BN18" s="29">
        <v>45248</v>
      </c>
    </row>
    <row r="19" spans="1:66" s="28" customFormat="1" ht="42.75" hidden="1" customHeight="1">
      <c r="A19" s="30" t="s">
        <v>32</v>
      </c>
      <c r="B19" s="45">
        <v>0.12262666666666666</v>
      </c>
      <c r="C19" s="31">
        <v>0.12365333333333332</v>
      </c>
      <c r="D19" s="31">
        <v>0.12467999999999999</v>
      </c>
      <c r="E19" s="31">
        <v>0.12570666666666666</v>
      </c>
      <c r="F19" s="31">
        <v>0.12673333333333334</v>
      </c>
      <c r="G19" s="31">
        <v>0.12775999999999998</v>
      </c>
      <c r="H19" s="31">
        <v>0.12878666666666666</v>
      </c>
      <c r="I19" s="31">
        <v>0.12981333333333334</v>
      </c>
      <c r="J19" s="31">
        <v>0.13083999999999998</v>
      </c>
      <c r="K19" s="31">
        <v>0.13186666666666666</v>
      </c>
      <c r="L19" s="31">
        <v>0.13289333333333334</v>
      </c>
      <c r="M19" s="31">
        <v>0.13391999999999998</v>
      </c>
      <c r="N19" s="31">
        <v>0.13494666666666666</v>
      </c>
      <c r="O19" s="31">
        <v>0.13597333333333333</v>
      </c>
      <c r="P19" s="31">
        <v>0.13700000000000001</v>
      </c>
      <c r="Q19" s="31">
        <v>0.13796250000000002</v>
      </c>
      <c r="R19" s="31">
        <v>0.13892499999999999</v>
      </c>
      <c r="S19" s="31">
        <v>0.1398875</v>
      </c>
      <c r="T19" s="31">
        <v>0.14085</v>
      </c>
      <c r="U19" s="31">
        <v>0.14181250000000001</v>
      </c>
      <c r="V19" s="31">
        <v>0.14277500000000001</v>
      </c>
      <c r="W19" s="31">
        <v>0.14373750000000002</v>
      </c>
      <c r="X19" s="31">
        <v>0.1447</v>
      </c>
      <c r="Y19" s="31">
        <v>0.1456625</v>
      </c>
      <c r="Z19" s="31">
        <v>0.14662500000000001</v>
      </c>
      <c r="AA19" s="31">
        <v>0.14758750000000001</v>
      </c>
      <c r="AB19" s="31">
        <v>0.14855000000000002</v>
      </c>
      <c r="AC19" s="31">
        <v>0.14951249999999999</v>
      </c>
      <c r="AD19" s="31">
        <v>0.150475</v>
      </c>
      <c r="AE19" s="31">
        <v>0.1514375</v>
      </c>
      <c r="AF19" s="32">
        <v>0.15240000000000001</v>
      </c>
      <c r="AG19" s="33"/>
      <c r="AH19" s="27"/>
      <c r="AI19" s="34"/>
      <c r="BN19" s="29">
        <v>45249</v>
      </c>
    </row>
    <row r="20" spans="1:66" s="28" customFormat="1" ht="42.75" hidden="1" customHeight="1" thickBot="1">
      <c r="A20" s="35" t="s">
        <v>33</v>
      </c>
      <c r="B20" s="46">
        <v>0.15236666666666665</v>
      </c>
      <c r="C20" s="36">
        <v>0.15249999999999997</v>
      </c>
      <c r="D20" s="36">
        <v>0.15368571428571426</v>
      </c>
      <c r="E20" s="36">
        <v>0.15487142857142855</v>
      </c>
      <c r="F20" s="36">
        <v>0.15605714285714284</v>
      </c>
      <c r="G20" s="36">
        <v>0.15724285714285713</v>
      </c>
      <c r="H20" s="36">
        <v>0.15842857142857142</v>
      </c>
      <c r="I20" s="36">
        <v>0.15961428571428571</v>
      </c>
      <c r="J20" s="36">
        <v>0.1608</v>
      </c>
      <c r="K20" s="36">
        <v>0.16377142857142857</v>
      </c>
      <c r="L20" s="36">
        <v>0.16674285714285714</v>
      </c>
      <c r="M20" s="36">
        <v>0.16971428571428573</v>
      </c>
      <c r="N20" s="36">
        <v>0.1726857142857143</v>
      </c>
      <c r="O20" s="36">
        <v>0.17565714285714287</v>
      </c>
      <c r="P20" s="36">
        <v>0.17862857142857144</v>
      </c>
      <c r="Q20" s="36">
        <v>0.18160000000000001</v>
      </c>
      <c r="R20" s="36">
        <v>0.1850857142857143</v>
      </c>
      <c r="S20" s="36">
        <v>0.18857142857142858</v>
      </c>
      <c r="T20" s="36">
        <v>0.19205714285714287</v>
      </c>
      <c r="U20" s="36">
        <v>0.19554285714285716</v>
      </c>
      <c r="V20" s="36">
        <v>0.19902857142857144</v>
      </c>
      <c r="W20" s="36">
        <v>0.2025142857142857</v>
      </c>
      <c r="X20" s="36">
        <v>0.20600000000000002</v>
      </c>
      <c r="Y20" s="36">
        <v>0.20948571428571428</v>
      </c>
      <c r="Z20" s="36">
        <v>0.21077142857142858</v>
      </c>
      <c r="AA20" s="36">
        <v>0.21205714285714286</v>
      </c>
      <c r="AB20" s="36">
        <v>0.21334285714285714</v>
      </c>
      <c r="AC20" s="36">
        <v>0.21462857142857145</v>
      </c>
      <c r="AD20" s="36">
        <v>0.21591428571428573</v>
      </c>
      <c r="AE20" s="36">
        <v>0.2172</v>
      </c>
      <c r="AF20" s="37">
        <v>0.21719999999999998</v>
      </c>
      <c r="AG20" s="26"/>
      <c r="AH20" s="27"/>
      <c r="BN20" s="29">
        <v>45255</v>
      </c>
    </row>
    <row r="21" spans="1:66" s="28" customFormat="1" ht="42.75" hidden="1" customHeight="1">
      <c r="A21" s="38" t="s">
        <v>35</v>
      </c>
      <c r="B21" s="44">
        <v>45292</v>
      </c>
      <c r="C21" s="40">
        <v>45293</v>
      </c>
      <c r="D21" s="40">
        <v>45294</v>
      </c>
      <c r="E21" s="40">
        <v>45295</v>
      </c>
      <c r="F21" s="40">
        <v>45296</v>
      </c>
      <c r="G21" s="40">
        <v>45297</v>
      </c>
      <c r="H21" s="40">
        <v>45298</v>
      </c>
      <c r="I21" s="40">
        <v>45299</v>
      </c>
      <c r="J21" s="40">
        <v>45300</v>
      </c>
      <c r="K21" s="40">
        <v>45301</v>
      </c>
      <c r="L21" s="40">
        <v>45302</v>
      </c>
      <c r="M21" s="40">
        <v>45303</v>
      </c>
      <c r="N21" s="40">
        <v>45304</v>
      </c>
      <c r="O21" s="40">
        <v>45305</v>
      </c>
      <c r="P21" s="40">
        <v>45306</v>
      </c>
      <c r="Q21" s="40">
        <v>45307</v>
      </c>
      <c r="R21" s="40">
        <v>45308</v>
      </c>
      <c r="S21" s="40">
        <v>45309</v>
      </c>
      <c r="T21" s="40">
        <v>45310</v>
      </c>
      <c r="U21" s="40">
        <v>45311</v>
      </c>
      <c r="V21" s="40">
        <v>45312</v>
      </c>
      <c r="W21" s="40">
        <v>45313</v>
      </c>
      <c r="X21" s="40">
        <v>45314</v>
      </c>
      <c r="Y21" s="40">
        <v>45315</v>
      </c>
      <c r="Z21" s="40">
        <v>45316</v>
      </c>
      <c r="AA21" s="40">
        <v>45317</v>
      </c>
      <c r="AB21" s="40">
        <v>45318</v>
      </c>
      <c r="AC21" s="40">
        <v>45319</v>
      </c>
      <c r="AD21" s="40">
        <v>45320</v>
      </c>
      <c r="AE21" s="40">
        <v>45321</v>
      </c>
      <c r="AF21" s="41">
        <v>45322</v>
      </c>
      <c r="AG21" s="26"/>
      <c r="AH21" s="27"/>
      <c r="BN21" s="29">
        <v>45256</v>
      </c>
    </row>
    <row r="22" spans="1:66" s="28" customFormat="1" ht="42.75" hidden="1" customHeight="1">
      <c r="A22" s="30" t="s">
        <v>32</v>
      </c>
      <c r="B22" s="45">
        <v>0.15356</v>
      </c>
      <c r="C22" s="31">
        <v>0.15472000000000002</v>
      </c>
      <c r="D22" s="31">
        <v>0.15588000000000002</v>
      </c>
      <c r="E22" s="31">
        <v>0.15704000000000001</v>
      </c>
      <c r="F22" s="31">
        <v>0.15820000000000001</v>
      </c>
      <c r="G22" s="31">
        <v>0.15936</v>
      </c>
      <c r="H22" s="31">
        <v>0.16052</v>
      </c>
      <c r="I22" s="31">
        <v>0.16168000000000002</v>
      </c>
      <c r="J22" s="31">
        <v>0.16284000000000001</v>
      </c>
      <c r="K22" s="31">
        <v>0.16400000000000001</v>
      </c>
      <c r="L22" s="31">
        <v>0.16516</v>
      </c>
      <c r="M22" s="31">
        <v>0.16632</v>
      </c>
      <c r="N22" s="31">
        <v>0.16748000000000002</v>
      </c>
      <c r="O22" s="31">
        <v>0.16864000000000001</v>
      </c>
      <c r="P22" s="31">
        <v>0.16980000000000001</v>
      </c>
      <c r="Q22" s="31">
        <v>0.17118750000000002</v>
      </c>
      <c r="R22" s="31">
        <v>0.17257500000000003</v>
      </c>
      <c r="S22" s="31">
        <v>0.17396250000000002</v>
      </c>
      <c r="T22" s="31">
        <v>0.17535000000000001</v>
      </c>
      <c r="U22" s="31">
        <v>0.17673750000000002</v>
      </c>
      <c r="V22" s="31">
        <v>0.17812500000000003</v>
      </c>
      <c r="W22" s="31">
        <v>0.17951250000000002</v>
      </c>
      <c r="X22" s="31">
        <v>0.18090000000000001</v>
      </c>
      <c r="Y22" s="31">
        <v>0.18228750000000002</v>
      </c>
      <c r="Z22" s="31">
        <v>0.18367500000000003</v>
      </c>
      <c r="AA22" s="31">
        <v>0.18506250000000002</v>
      </c>
      <c r="AB22" s="31">
        <v>0.18645</v>
      </c>
      <c r="AC22" s="31">
        <v>0.18783750000000002</v>
      </c>
      <c r="AD22" s="31">
        <v>0.18922500000000003</v>
      </c>
      <c r="AE22" s="31">
        <v>0.19061250000000002</v>
      </c>
      <c r="AF22" s="32">
        <v>0.192</v>
      </c>
      <c r="AG22" s="33"/>
      <c r="AH22" s="27"/>
      <c r="AI22" s="34"/>
      <c r="BN22" s="29">
        <v>45262</v>
      </c>
    </row>
    <row r="23" spans="1:66" s="28" customFormat="1" ht="42.75" hidden="1" customHeight="1" thickBot="1">
      <c r="A23" s="35" t="s">
        <v>33</v>
      </c>
      <c r="B23" s="46">
        <v>0.2176420537498622</v>
      </c>
      <c r="C23" s="36">
        <v>0.21808410749972446</v>
      </c>
      <c r="D23" s="36">
        <v>0.21852616124958668</v>
      </c>
      <c r="E23" s="36">
        <v>0.21896821499944891</v>
      </c>
      <c r="F23" s="36">
        <v>0.21941026874931113</v>
      </c>
      <c r="G23" s="36">
        <v>0.21985232249917336</v>
      </c>
      <c r="H23" s="36">
        <v>0.22103982249917337</v>
      </c>
      <c r="I23" s="36">
        <v>0.2218</v>
      </c>
      <c r="J23" s="36">
        <v>0.22341482249917335</v>
      </c>
      <c r="K23" s="36">
        <v>0.22460232249917336</v>
      </c>
      <c r="L23" s="36">
        <v>0.22578982249917334</v>
      </c>
      <c r="M23" s="36">
        <v>0.22869999999999999</v>
      </c>
      <c r="N23" s="36">
        <v>0.22869999999999999</v>
      </c>
      <c r="O23" s="36">
        <v>0.22869999999999999</v>
      </c>
      <c r="P23" s="36">
        <v>0.22972000000000001</v>
      </c>
      <c r="Q23" s="36">
        <v>0.23074</v>
      </c>
      <c r="R23" s="36">
        <v>0.23176000000000002</v>
      </c>
      <c r="S23" s="36">
        <v>0.23280000000000001</v>
      </c>
      <c r="T23" s="36">
        <v>0.23350000000000001</v>
      </c>
      <c r="U23" s="36">
        <v>0.23380000000000001</v>
      </c>
      <c r="V23" s="36">
        <v>0.23387999999999998</v>
      </c>
      <c r="W23" s="36">
        <v>0.23395999999999997</v>
      </c>
      <c r="X23" s="36">
        <v>0.23407999999999998</v>
      </c>
      <c r="Y23" s="36">
        <v>0.23415999999999998</v>
      </c>
      <c r="Z23" s="36">
        <v>0.23424</v>
      </c>
      <c r="AA23" s="36">
        <v>0.23432</v>
      </c>
      <c r="AB23" s="36">
        <v>0.23432</v>
      </c>
      <c r="AC23" s="36">
        <v>0.23447999999999999</v>
      </c>
      <c r="AD23" s="36">
        <v>0.23455999999999999</v>
      </c>
      <c r="AE23" s="36">
        <v>0.23480000000000001</v>
      </c>
      <c r="AF23" s="37">
        <v>0.23492499999999999</v>
      </c>
      <c r="AG23" s="26"/>
      <c r="AH23" s="27"/>
      <c r="BN23" s="29">
        <v>45263</v>
      </c>
    </row>
    <row r="24" spans="1:66" s="28" customFormat="1" ht="42.75" hidden="1" customHeight="1">
      <c r="A24" s="38" t="s">
        <v>35</v>
      </c>
      <c r="B24" s="44">
        <v>45323</v>
      </c>
      <c r="C24" s="40">
        <v>45324</v>
      </c>
      <c r="D24" s="40">
        <v>45325</v>
      </c>
      <c r="E24" s="40">
        <v>45326</v>
      </c>
      <c r="F24" s="40">
        <v>45327</v>
      </c>
      <c r="G24" s="40">
        <v>45328</v>
      </c>
      <c r="H24" s="40">
        <v>45329</v>
      </c>
      <c r="I24" s="40">
        <v>45330</v>
      </c>
      <c r="J24" s="40">
        <v>45331</v>
      </c>
      <c r="K24" s="40">
        <v>45332</v>
      </c>
      <c r="L24" s="40">
        <v>45333</v>
      </c>
      <c r="M24" s="40">
        <v>45334</v>
      </c>
      <c r="N24" s="40">
        <v>45335</v>
      </c>
      <c r="O24" s="40">
        <v>45336</v>
      </c>
      <c r="P24" s="40">
        <v>45337</v>
      </c>
      <c r="Q24" s="40">
        <v>45338</v>
      </c>
      <c r="R24" s="40">
        <v>45339</v>
      </c>
      <c r="S24" s="40">
        <v>45340</v>
      </c>
      <c r="T24" s="40">
        <v>45341</v>
      </c>
      <c r="U24" s="40">
        <v>45342</v>
      </c>
      <c r="V24" s="40">
        <v>45343</v>
      </c>
      <c r="W24" s="40">
        <v>45344</v>
      </c>
      <c r="X24" s="40">
        <v>45345</v>
      </c>
      <c r="Y24" s="40">
        <v>45346</v>
      </c>
      <c r="Z24" s="40">
        <v>45347</v>
      </c>
      <c r="AA24" s="40">
        <v>45348</v>
      </c>
      <c r="AB24" s="40">
        <v>45349</v>
      </c>
      <c r="AC24" s="40">
        <v>45350</v>
      </c>
      <c r="AD24" s="40">
        <v>45351</v>
      </c>
      <c r="AE24" s="40"/>
      <c r="AF24" s="41"/>
      <c r="AG24" s="26"/>
      <c r="AH24" s="27"/>
      <c r="BN24" s="29">
        <v>45269</v>
      </c>
    </row>
    <row r="25" spans="1:66" s="28" customFormat="1" ht="42.75" hidden="1" customHeight="1">
      <c r="A25" s="30" t="s">
        <v>32</v>
      </c>
      <c r="B25" s="45">
        <v>0.19314666666666669</v>
      </c>
      <c r="C25" s="31">
        <v>0.19429333333333335</v>
      </c>
      <c r="D25" s="31">
        <v>0.19544</v>
      </c>
      <c r="E25" s="31">
        <v>0.19658666666666669</v>
      </c>
      <c r="F25" s="31">
        <v>0.19773333333333334</v>
      </c>
      <c r="G25" s="31">
        <v>0.19888</v>
      </c>
      <c r="H25" s="31">
        <v>0.20002666666666669</v>
      </c>
      <c r="I25" s="31">
        <v>0.20117333333333334</v>
      </c>
      <c r="J25" s="31">
        <v>0.20232</v>
      </c>
      <c r="K25" s="31">
        <v>0.20346666666666668</v>
      </c>
      <c r="L25" s="31">
        <v>0.20461333333333334</v>
      </c>
      <c r="M25" s="31">
        <v>0.20576</v>
      </c>
      <c r="N25" s="31">
        <v>0.20690666666666668</v>
      </c>
      <c r="O25" s="31">
        <v>0.20805333333333334</v>
      </c>
      <c r="P25" s="31">
        <v>0.2092</v>
      </c>
      <c r="Q25" s="31">
        <v>0.21050714285714284</v>
      </c>
      <c r="R25" s="31">
        <v>0.2118142857142857</v>
      </c>
      <c r="S25" s="31">
        <v>0.21312142857142857</v>
      </c>
      <c r="T25" s="31">
        <v>0.21442857142857141</v>
      </c>
      <c r="U25" s="31">
        <v>0.21573571428571428</v>
      </c>
      <c r="V25" s="31">
        <v>0.21704285714285715</v>
      </c>
      <c r="W25" s="31">
        <v>0.21834999999999999</v>
      </c>
      <c r="X25" s="31">
        <v>0.21965714285714286</v>
      </c>
      <c r="Y25" s="31">
        <v>0.2209642857142857</v>
      </c>
      <c r="Z25" s="31">
        <v>0.22227142857142856</v>
      </c>
      <c r="AA25" s="31">
        <v>0.22357857142857143</v>
      </c>
      <c r="AB25" s="31">
        <v>0.22488571428571427</v>
      </c>
      <c r="AC25" s="31">
        <v>0.22619285714285714</v>
      </c>
      <c r="AD25" s="31">
        <v>0.22750000000000004</v>
      </c>
      <c r="AE25" s="31"/>
      <c r="AF25" s="32"/>
      <c r="AG25" s="33"/>
      <c r="AH25" s="27"/>
      <c r="AI25" s="34"/>
      <c r="BN25" s="29">
        <v>45270</v>
      </c>
    </row>
    <row r="26" spans="1:66" s="28" customFormat="1" ht="42.75" hidden="1" customHeight="1" thickBot="1">
      <c r="A26" s="35" t="s">
        <v>33</v>
      </c>
      <c r="B26" s="46">
        <v>0.23492499999999999</v>
      </c>
      <c r="C26" s="36">
        <v>0.23505000000000001</v>
      </c>
      <c r="D26" s="36">
        <v>0.235175</v>
      </c>
      <c r="E26" s="36">
        <v>0.235175</v>
      </c>
      <c r="F26" s="36">
        <v>0.235175</v>
      </c>
      <c r="G26" s="36">
        <v>0.23680000000000001</v>
      </c>
      <c r="H26" s="36">
        <v>0.23680000000000001</v>
      </c>
      <c r="I26" s="36">
        <v>0.23680000000000001</v>
      </c>
      <c r="J26" s="36">
        <v>0.23680000000000001</v>
      </c>
      <c r="K26" s="36">
        <v>0.23680000000000001</v>
      </c>
      <c r="L26" s="36">
        <v>0.23680000000000001</v>
      </c>
      <c r="M26" s="36">
        <v>0.23680000000000001</v>
      </c>
      <c r="N26" s="36">
        <v>0.23680000000000001</v>
      </c>
      <c r="O26" s="36">
        <v>0.23680000000000001</v>
      </c>
      <c r="P26" s="36">
        <v>0.23719999999999999</v>
      </c>
      <c r="Q26" s="36">
        <v>0.23760000000000001</v>
      </c>
      <c r="R26" s="36">
        <v>0.23799999999999999</v>
      </c>
      <c r="S26" s="36">
        <v>0.2384</v>
      </c>
      <c r="T26" s="36">
        <v>0.23880000000000001</v>
      </c>
      <c r="U26" s="36">
        <v>0.23949999999999999</v>
      </c>
      <c r="V26" s="36">
        <v>0.24264444444444444</v>
      </c>
      <c r="W26" s="36">
        <v>0.24578888888888886</v>
      </c>
      <c r="X26" s="36">
        <v>0.24893333333333331</v>
      </c>
      <c r="Y26" s="36">
        <v>0.25207777777777773</v>
      </c>
      <c r="Z26" s="36">
        <v>0.25522222222222218</v>
      </c>
      <c r="AA26" s="36">
        <v>0.25836666666666663</v>
      </c>
      <c r="AB26" s="36">
        <v>0.26151111111111108</v>
      </c>
      <c r="AC26" s="36">
        <v>0.26465555555555553</v>
      </c>
      <c r="AD26" s="36">
        <v>0.26779999999999998</v>
      </c>
      <c r="AE26" s="36"/>
      <c r="AF26" s="37"/>
      <c r="AG26" s="26"/>
      <c r="AH26" s="27"/>
      <c r="BN26" s="29">
        <v>45276</v>
      </c>
    </row>
    <row r="27" spans="1:66" s="28" customFormat="1" ht="42.75" hidden="1" customHeight="1">
      <c r="A27" s="38" t="s">
        <v>35</v>
      </c>
      <c r="B27" s="44">
        <v>45352</v>
      </c>
      <c r="C27" s="40">
        <v>45353</v>
      </c>
      <c r="D27" s="40">
        <v>45354</v>
      </c>
      <c r="E27" s="40">
        <v>45355</v>
      </c>
      <c r="F27" s="40">
        <v>45356</v>
      </c>
      <c r="G27" s="40">
        <v>45357</v>
      </c>
      <c r="H27" s="40">
        <v>45358</v>
      </c>
      <c r="I27" s="40">
        <v>45359</v>
      </c>
      <c r="J27" s="40">
        <v>45360</v>
      </c>
      <c r="K27" s="40">
        <v>45361</v>
      </c>
      <c r="L27" s="40">
        <v>45362</v>
      </c>
      <c r="M27" s="40">
        <v>45363</v>
      </c>
      <c r="N27" s="40">
        <v>45364</v>
      </c>
      <c r="O27" s="40">
        <v>45365</v>
      </c>
      <c r="P27" s="40">
        <v>45366</v>
      </c>
      <c r="Q27" s="40">
        <v>45367</v>
      </c>
      <c r="R27" s="40">
        <v>45368</v>
      </c>
      <c r="S27" s="40">
        <v>45369</v>
      </c>
      <c r="T27" s="40">
        <v>45370</v>
      </c>
      <c r="U27" s="40">
        <v>45371</v>
      </c>
      <c r="V27" s="40">
        <v>45372</v>
      </c>
      <c r="W27" s="40">
        <v>45373</v>
      </c>
      <c r="X27" s="40">
        <v>45374</v>
      </c>
      <c r="Y27" s="40">
        <v>45375</v>
      </c>
      <c r="Z27" s="40">
        <v>45376</v>
      </c>
      <c r="AA27" s="40">
        <v>45377</v>
      </c>
      <c r="AB27" s="40">
        <v>45378</v>
      </c>
      <c r="AC27" s="40">
        <v>45379</v>
      </c>
      <c r="AD27" s="40">
        <v>45380</v>
      </c>
      <c r="AE27" s="40">
        <v>45381</v>
      </c>
      <c r="AF27" s="41">
        <v>45382</v>
      </c>
      <c r="AG27" s="26"/>
      <c r="AH27" s="27"/>
      <c r="BN27" s="29">
        <v>45277</v>
      </c>
    </row>
    <row r="28" spans="1:66" s="28" customFormat="1" ht="42.75" hidden="1" customHeight="1">
      <c r="A28" s="30" t="s">
        <v>32</v>
      </c>
      <c r="B28" s="45">
        <v>0.22873333333333337</v>
      </c>
      <c r="C28" s="31">
        <v>0.22996666666666671</v>
      </c>
      <c r="D28" s="31">
        <v>0.23120000000000002</v>
      </c>
      <c r="E28" s="31">
        <v>0.23243333333333335</v>
      </c>
      <c r="F28" s="31">
        <v>0.23366666666666669</v>
      </c>
      <c r="G28" s="31">
        <v>0.23490000000000003</v>
      </c>
      <c r="H28" s="31">
        <v>0.23613333333333336</v>
      </c>
      <c r="I28" s="31">
        <v>0.2373666666666667</v>
      </c>
      <c r="J28" s="31">
        <v>0.23860000000000003</v>
      </c>
      <c r="K28" s="31">
        <v>0.23983333333333337</v>
      </c>
      <c r="L28" s="31">
        <v>0.24106666666666668</v>
      </c>
      <c r="M28" s="31">
        <v>0.24230000000000002</v>
      </c>
      <c r="N28" s="31">
        <v>0.24353333333333335</v>
      </c>
      <c r="O28" s="31">
        <v>0.24476666666666669</v>
      </c>
      <c r="P28" s="31">
        <v>0.24600000000000005</v>
      </c>
      <c r="Q28" s="31">
        <v>0.24703125000000004</v>
      </c>
      <c r="R28" s="31">
        <v>0.24806250000000005</v>
      </c>
      <c r="S28" s="31">
        <v>0.24909375000000003</v>
      </c>
      <c r="T28" s="31">
        <v>0.25012500000000004</v>
      </c>
      <c r="U28" s="31">
        <v>0.25115625000000003</v>
      </c>
      <c r="V28" s="31">
        <v>0.25218750000000001</v>
      </c>
      <c r="W28" s="31">
        <v>0.25321875000000005</v>
      </c>
      <c r="X28" s="31">
        <v>0.25425000000000003</v>
      </c>
      <c r="Y28" s="31">
        <v>0.25528125000000002</v>
      </c>
      <c r="Z28" s="31">
        <v>0.25631250000000005</v>
      </c>
      <c r="AA28" s="31">
        <v>0.25734375000000004</v>
      </c>
      <c r="AB28" s="31">
        <v>0.25837500000000002</v>
      </c>
      <c r="AC28" s="31">
        <v>0.25940625</v>
      </c>
      <c r="AD28" s="31">
        <v>0.26043750000000004</v>
      </c>
      <c r="AE28" s="31">
        <v>0.26146875000000003</v>
      </c>
      <c r="AF28" s="32">
        <v>0.26250000000000007</v>
      </c>
      <c r="AG28" s="33"/>
      <c r="AH28" s="27"/>
      <c r="AI28" s="34"/>
      <c r="BN28" s="29">
        <v>45283</v>
      </c>
    </row>
    <row r="29" spans="1:66" s="28" customFormat="1" ht="42.75" hidden="1" customHeight="1" thickBot="1">
      <c r="A29" s="35" t="s">
        <v>33</v>
      </c>
      <c r="B29" s="46">
        <v>0.26813333333333328</v>
      </c>
      <c r="C29" s="36">
        <v>0.26846666666666663</v>
      </c>
      <c r="D29" s="36">
        <v>0.26879999999999998</v>
      </c>
      <c r="E29" s="36">
        <v>0.26892857142857141</v>
      </c>
      <c r="F29" s="36">
        <v>0.26905714285714283</v>
      </c>
      <c r="G29" s="36">
        <v>0.26918571428571431</v>
      </c>
      <c r="H29" s="36">
        <v>0.26931428571428573</v>
      </c>
      <c r="I29" s="36">
        <v>0.26944285714285715</v>
      </c>
      <c r="J29" s="36">
        <v>0.26957142857142857</v>
      </c>
      <c r="K29" s="36">
        <v>0.26989999999999997</v>
      </c>
      <c r="L29" s="36">
        <v>0.27017142857142851</v>
      </c>
      <c r="M29" s="36">
        <v>0.2704428571428571</v>
      </c>
      <c r="N29" s="36">
        <v>0.27071428571428569</v>
      </c>
      <c r="O29" s="36">
        <v>0.27098571428571427</v>
      </c>
      <c r="P29" s="36">
        <v>0.27125714285714281</v>
      </c>
      <c r="Q29" s="36">
        <v>0.2715285714285714</v>
      </c>
      <c r="R29" s="36">
        <v>0.27179999999999999</v>
      </c>
      <c r="S29" s="36">
        <v>0.27242499999999997</v>
      </c>
      <c r="T29" s="36">
        <v>0.27305000000000001</v>
      </c>
      <c r="U29" s="36">
        <v>0.273675</v>
      </c>
      <c r="V29" s="36">
        <v>0.27429999999999999</v>
      </c>
      <c r="W29" s="36">
        <v>0.27492499999999997</v>
      </c>
      <c r="X29" s="36">
        <v>0.27555000000000002</v>
      </c>
      <c r="Y29" s="36">
        <v>0.276175</v>
      </c>
      <c r="Z29" s="36">
        <v>0.27680000000000005</v>
      </c>
      <c r="AA29" s="36">
        <v>0.28258333333333335</v>
      </c>
      <c r="AB29" s="36">
        <v>0.28836666666666672</v>
      </c>
      <c r="AC29" s="36">
        <v>0.29415000000000002</v>
      </c>
      <c r="AD29" s="36">
        <v>0.29993333333333339</v>
      </c>
      <c r="AE29" s="36">
        <v>0.30571666666666669</v>
      </c>
      <c r="AF29" s="37">
        <v>0.30840000000000001</v>
      </c>
      <c r="AG29" s="26"/>
      <c r="AH29" s="27"/>
      <c r="BN29" s="29">
        <v>45284</v>
      </c>
    </row>
    <row r="30" spans="1:66" s="28" customFormat="1" ht="42.75" hidden="1" customHeight="1">
      <c r="A30" s="38" t="s">
        <v>35</v>
      </c>
      <c r="B30" s="44">
        <v>45383</v>
      </c>
      <c r="C30" s="40">
        <v>45384</v>
      </c>
      <c r="D30" s="40">
        <v>45385</v>
      </c>
      <c r="E30" s="40">
        <v>45386</v>
      </c>
      <c r="F30" s="40">
        <v>45387</v>
      </c>
      <c r="G30" s="40">
        <v>45388</v>
      </c>
      <c r="H30" s="40">
        <v>45389</v>
      </c>
      <c r="I30" s="40">
        <v>45390</v>
      </c>
      <c r="J30" s="40">
        <v>45391</v>
      </c>
      <c r="K30" s="40">
        <v>45392</v>
      </c>
      <c r="L30" s="40">
        <v>45393</v>
      </c>
      <c r="M30" s="40">
        <v>45394</v>
      </c>
      <c r="N30" s="40">
        <v>45395</v>
      </c>
      <c r="O30" s="40">
        <v>45396</v>
      </c>
      <c r="P30" s="40">
        <v>45397</v>
      </c>
      <c r="Q30" s="40">
        <v>45398</v>
      </c>
      <c r="R30" s="40">
        <v>45399</v>
      </c>
      <c r="S30" s="40">
        <v>45400</v>
      </c>
      <c r="T30" s="40">
        <v>45401</v>
      </c>
      <c r="U30" s="40">
        <v>45402</v>
      </c>
      <c r="V30" s="40">
        <v>45403</v>
      </c>
      <c r="W30" s="40">
        <v>45404</v>
      </c>
      <c r="X30" s="40">
        <v>45405</v>
      </c>
      <c r="Y30" s="40">
        <v>45406</v>
      </c>
      <c r="Z30" s="40">
        <v>45407</v>
      </c>
      <c r="AA30" s="40">
        <v>45408</v>
      </c>
      <c r="AB30" s="40">
        <v>45409</v>
      </c>
      <c r="AC30" s="40">
        <v>45410</v>
      </c>
      <c r="AD30" s="40">
        <v>45411</v>
      </c>
      <c r="AE30" s="40">
        <v>45412</v>
      </c>
      <c r="AF30" s="41"/>
      <c r="AG30" s="26"/>
      <c r="AH30" s="27"/>
      <c r="BN30" s="29">
        <v>45290</v>
      </c>
    </row>
    <row r="31" spans="1:66" s="28" customFormat="1" ht="42.75" hidden="1" customHeight="1">
      <c r="A31" s="30" t="s">
        <v>32</v>
      </c>
      <c r="B31" s="45">
        <v>0.26362000000000008</v>
      </c>
      <c r="C31" s="31">
        <v>0.26474000000000003</v>
      </c>
      <c r="D31" s="31">
        <v>0.26586000000000004</v>
      </c>
      <c r="E31" s="31">
        <v>0.26698000000000005</v>
      </c>
      <c r="F31" s="31">
        <v>0.26810000000000006</v>
      </c>
      <c r="G31" s="31">
        <v>0.26922000000000007</v>
      </c>
      <c r="H31" s="31">
        <v>0.27034000000000002</v>
      </c>
      <c r="I31" s="31">
        <v>0.27146000000000003</v>
      </c>
      <c r="J31" s="31">
        <v>0.27258000000000004</v>
      </c>
      <c r="K31" s="31">
        <v>0.27370000000000005</v>
      </c>
      <c r="L31" s="31">
        <v>0.27482000000000006</v>
      </c>
      <c r="M31" s="31">
        <v>0.27594000000000002</v>
      </c>
      <c r="N31" s="31">
        <v>0.27706000000000003</v>
      </c>
      <c r="O31" s="31">
        <v>0.27818000000000004</v>
      </c>
      <c r="P31" s="31">
        <v>0.27930000000000005</v>
      </c>
      <c r="Q31" s="31">
        <v>0.28024000000000004</v>
      </c>
      <c r="R31" s="31">
        <v>0.28118000000000004</v>
      </c>
      <c r="S31" s="31">
        <v>0.28212000000000004</v>
      </c>
      <c r="T31" s="31">
        <v>0.28306000000000003</v>
      </c>
      <c r="U31" s="31">
        <v>0.28400000000000003</v>
      </c>
      <c r="V31" s="31">
        <v>0.28494000000000003</v>
      </c>
      <c r="W31" s="31">
        <v>0.28588000000000002</v>
      </c>
      <c r="X31" s="31">
        <v>0.28682000000000002</v>
      </c>
      <c r="Y31" s="31">
        <v>0.28776000000000002</v>
      </c>
      <c r="Z31" s="31">
        <v>0.28870000000000001</v>
      </c>
      <c r="AA31" s="31">
        <v>0.28964000000000001</v>
      </c>
      <c r="AB31" s="31">
        <v>0.29058</v>
      </c>
      <c r="AC31" s="31">
        <v>0.29152</v>
      </c>
      <c r="AD31" s="31">
        <v>0.29246</v>
      </c>
      <c r="AE31" s="31">
        <v>0.29339999999999999</v>
      </c>
      <c r="AF31" s="32"/>
      <c r="AG31" s="33"/>
      <c r="AH31" s="27"/>
      <c r="AI31" s="34"/>
      <c r="BN31" s="29">
        <v>45291</v>
      </c>
    </row>
    <row r="32" spans="1:66" s="28" customFormat="1" ht="42.75" hidden="1" customHeight="1" thickBot="1">
      <c r="A32" s="35" t="s">
        <v>33</v>
      </c>
      <c r="B32" s="46">
        <v>0.3085857142857143</v>
      </c>
      <c r="C32" s="36">
        <v>0.30877142857142859</v>
      </c>
      <c r="D32" s="36">
        <v>0.30895714285714282</v>
      </c>
      <c r="E32" s="36">
        <v>0.30914285714285711</v>
      </c>
      <c r="F32" s="36">
        <v>0.3093285714285714</v>
      </c>
      <c r="G32" s="36">
        <v>0.30951428571428569</v>
      </c>
      <c r="H32" s="36">
        <v>0.30970000000000003</v>
      </c>
      <c r="I32" s="36">
        <v>0.30991428571428575</v>
      </c>
      <c r="J32" s="36">
        <v>0.31012857142857148</v>
      </c>
      <c r="K32" s="36">
        <v>0.31034285714285714</v>
      </c>
      <c r="L32" s="36">
        <v>0.31055714285714286</v>
      </c>
      <c r="M32" s="36">
        <v>0.31077142857142859</v>
      </c>
      <c r="N32" s="36">
        <v>0.31098571428571431</v>
      </c>
      <c r="O32" s="36">
        <v>0.31120000000000003</v>
      </c>
      <c r="P32" s="36">
        <v>0.31584211604264978</v>
      </c>
      <c r="Q32" s="36">
        <v>0.31643369283411982</v>
      </c>
      <c r="R32" s="36">
        <v>0.31702526962558986</v>
      </c>
      <c r="S32" s="36">
        <v>0.31761684641705989</v>
      </c>
      <c r="T32" s="36">
        <v>0.31820842320852993</v>
      </c>
      <c r="U32" s="36">
        <v>0.31879999999999997</v>
      </c>
      <c r="V32" s="36">
        <v>0.31914999999999999</v>
      </c>
      <c r="W32" s="36">
        <v>0.31949999999999995</v>
      </c>
      <c r="X32" s="36">
        <v>0.31984999999999997</v>
      </c>
      <c r="Y32" s="36">
        <v>0.32019999999999998</v>
      </c>
      <c r="Z32" s="36">
        <v>0.3216</v>
      </c>
      <c r="AA32" s="36">
        <v>0.3216</v>
      </c>
      <c r="AB32" s="36">
        <v>0.3216</v>
      </c>
      <c r="AC32" s="36">
        <v>0.3216</v>
      </c>
      <c r="AD32" s="36">
        <v>0.33579999999999999</v>
      </c>
      <c r="AE32" s="36">
        <v>0.34549999999999997</v>
      </c>
      <c r="AF32" s="37"/>
      <c r="AG32" s="26"/>
      <c r="AH32" s="27"/>
      <c r="BN32" s="29">
        <v>45297</v>
      </c>
    </row>
    <row r="33" spans="1:66" s="28" customFormat="1" ht="42.75" hidden="1" customHeight="1">
      <c r="A33" s="38" t="s">
        <v>35</v>
      </c>
      <c r="B33" s="39">
        <v>45413</v>
      </c>
      <c r="C33" s="40">
        <v>45414</v>
      </c>
      <c r="D33" s="40">
        <v>45415</v>
      </c>
      <c r="E33" s="40">
        <v>45416</v>
      </c>
      <c r="F33" s="40">
        <v>45417</v>
      </c>
      <c r="G33" s="40">
        <v>45418</v>
      </c>
      <c r="H33" s="40">
        <v>45419</v>
      </c>
      <c r="I33" s="40">
        <v>45420</v>
      </c>
      <c r="J33" s="40">
        <v>45421</v>
      </c>
      <c r="K33" s="40">
        <v>45422</v>
      </c>
      <c r="L33" s="40">
        <v>45423</v>
      </c>
      <c r="M33" s="40">
        <v>45424</v>
      </c>
      <c r="N33" s="40">
        <v>45425</v>
      </c>
      <c r="O33" s="40">
        <v>45426</v>
      </c>
      <c r="P33" s="40">
        <v>45427</v>
      </c>
      <c r="Q33" s="40">
        <v>45428</v>
      </c>
      <c r="R33" s="40">
        <v>45429</v>
      </c>
      <c r="S33" s="40">
        <v>45430</v>
      </c>
      <c r="T33" s="40">
        <v>45431</v>
      </c>
      <c r="U33" s="40">
        <v>45432</v>
      </c>
      <c r="V33" s="40">
        <v>45433</v>
      </c>
      <c r="W33" s="40">
        <v>45434</v>
      </c>
      <c r="X33" s="40">
        <v>45435</v>
      </c>
      <c r="Y33" s="40">
        <v>45436</v>
      </c>
      <c r="Z33" s="40">
        <v>45437</v>
      </c>
      <c r="AA33" s="40">
        <v>45438</v>
      </c>
      <c r="AB33" s="40">
        <v>45439</v>
      </c>
      <c r="AC33" s="40">
        <v>45440</v>
      </c>
      <c r="AD33" s="40">
        <v>45441</v>
      </c>
      <c r="AE33" s="40">
        <v>45442</v>
      </c>
      <c r="AF33" s="41">
        <v>45443</v>
      </c>
      <c r="AG33" s="26"/>
      <c r="AH33" s="27"/>
      <c r="BN33" s="29">
        <v>45298</v>
      </c>
    </row>
    <row r="34" spans="1:66" s="28" customFormat="1" ht="42.75" hidden="1" customHeight="1">
      <c r="A34" s="30" t="s">
        <v>32</v>
      </c>
      <c r="B34" s="42">
        <v>0.29433999999999999</v>
      </c>
      <c r="C34" s="31">
        <v>0.29527999999999999</v>
      </c>
      <c r="D34" s="31">
        <v>0.29621999999999998</v>
      </c>
      <c r="E34" s="31">
        <v>0.29715999999999998</v>
      </c>
      <c r="F34" s="31">
        <v>0.29809999999999998</v>
      </c>
      <c r="G34" s="31">
        <v>0.29903999999999997</v>
      </c>
      <c r="H34" s="31">
        <v>0.29998000000000002</v>
      </c>
      <c r="I34" s="31">
        <v>0.30092000000000002</v>
      </c>
      <c r="J34" s="31">
        <v>0.30186000000000002</v>
      </c>
      <c r="K34" s="31">
        <v>0.30280000000000001</v>
      </c>
      <c r="L34" s="31">
        <v>0.30374000000000001</v>
      </c>
      <c r="M34" s="31">
        <v>0.30468000000000001</v>
      </c>
      <c r="N34" s="31">
        <v>0.30562</v>
      </c>
      <c r="O34" s="31">
        <v>0.30656</v>
      </c>
      <c r="P34" s="31">
        <v>0.3075</v>
      </c>
      <c r="Q34" s="31">
        <v>0.30843999999999999</v>
      </c>
      <c r="R34" s="31">
        <v>0.30937999999999999</v>
      </c>
      <c r="S34" s="31">
        <v>0.31031999999999998</v>
      </c>
      <c r="T34" s="31">
        <v>0.31125999999999998</v>
      </c>
      <c r="U34" s="31">
        <v>0.31219999999999998</v>
      </c>
      <c r="V34" s="31">
        <v>0.31313999999999997</v>
      </c>
      <c r="W34" s="31">
        <v>0.31408000000000003</v>
      </c>
      <c r="X34" s="31">
        <v>0.31502000000000002</v>
      </c>
      <c r="Y34" s="31">
        <v>0.31596000000000002</v>
      </c>
      <c r="Z34" s="31">
        <v>0.31690000000000002</v>
      </c>
      <c r="AA34" s="31">
        <v>0.31784000000000001</v>
      </c>
      <c r="AB34" s="31">
        <v>0.31878000000000001</v>
      </c>
      <c r="AC34" s="31">
        <v>0.31972</v>
      </c>
      <c r="AD34" s="31">
        <v>0.32066</v>
      </c>
      <c r="AE34" s="31">
        <v>0.3216</v>
      </c>
      <c r="AF34" s="32">
        <v>0.32248125</v>
      </c>
      <c r="AG34" s="33"/>
      <c r="AH34" s="27"/>
      <c r="AI34" s="34"/>
      <c r="BN34" s="29">
        <v>45304</v>
      </c>
    </row>
    <row r="35" spans="1:66" s="28" customFormat="1" ht="42.75" hidden="1" customHeight="1" thickBot="1">
      <c r="A35" s="35" t="s">
        <v>33</v>
      </c>
      <c r="B35" s="43">
        <v>0.34611211169747669</v>
      </c>
      <c r="C35" s="36">
        <v>0.34672422339495335</v>
      </c>
      <c r="D35" s="36">
        <v>0.34733633509243006</v>
      </c>
      <c r="E35" s="36">
        <v>0.34794844678990677</v>
      </c>
      <c r="F35" s="36">
        <v>0.34856055848738343</v>
      </c>
      <c r="G35" s="36">
        <v>0.3488804787034715</v>
      </c>
      <c r="H35" s="36">
        <v>0.34920039891955956</v>
      </c>
      <c r="I35" s="36">
        <v>0.34952031913564768</v>
      </c>
      <c r="J35" s="36">
        <v>0.34984023935173575</v>
      </c>
      <c r="K35" s="36">
        <v>0.35016015956782381</v>
      </c>
      <c r="L35" s="36">
        <v>0.35048007978391188</v>
      </c>
      <c r="M35" s="36">
        <v>0.35079999999999995</v>
      </c>
      <c r="N35" s="36">
        <v>0.3511333333333333</v>
      </c>
      <c r="O35" s="36">
        <v>0.35146666666666665</v>
      </c>
      <c r="P35" s="36">
        <v>0.35179999999999995</v>
      </c>
      <c r="Q35" s="36">
        <v>0.35273559500649598</v>
      </c>
      <c r="R35" s="36">
        <v>0.35367119001299197</v>
      </c>
      <c r="S35" s="36">
        <v>0.35460678501948795</v>
      </c>
      <c r="T35" s="36">
        <v>0.35460678501948795</v>
      </c>
      <c r="U35" s="36">
        <v>0.35481428571428569</v>
      </c>
      <c r="V35" s="36">
        <v>0.35481428571428569</v>
      </c>
      <c r="W35" s="36">
        <v>0.3550428571428571</v>
      </c>
      <c r="X35" s="36">
        <v>0.3550428571428571</v>
      </c>
      <c r="Y35" s="36">
        <v>0.35527142857142852</v>
      </c>
      <c r="Z35" s="36">
        <v>0.35538571428571425</v>
      </c>
      <c r="AA35" s="36">
        <v>0.35549999999999998</v>
      </c>
      <c r="AB35" s="36">
        <v>0.35580000000000001</v>
      </c>
      <c r="AC35" s="36">
        <v>0.35954999999999998</v>
      </c>
      <c r="AD35" s="36">
        <v>0.36330000000000001</v>
      </c>
      <c r="AE35" s="36">
        <v>0.36704999999999999</v>
      </c>
      <c r="AF35" s="37">
        <v>0.37480000000000002</v>
      </c>
      <c r="AG35" s="26"/>
      <c r="AH35" s="27"/>
      <c r="BN35" s="29">
        <v>45305</v>
      </c>
    </row>
    <row r="36" spans="1:66" s="28" customFormat="1" ht="42.75" hidden="1" customHeight="1">
      <c r="A36" s="38" t="s">
        <v>35</v>
      </c>
      <c r="B36" s="44">
        <v>45444</v>
      </c>
      <c r="C36" s="40">
        <v>45445</v>
      </c>
      <c r="D36" s="40">
        <v>45446</v>
      </c>
      <c r="E36" s="40">
        <v>45447</v>
      </c>
      <c r="F36" s="40">
        <v>45448</v>
      </c>
      <c r="G36" s="40">
        <v>45449</v>
      </c>
      <c r="H36" s="40">
        <v>45450</v>
      </c>
      <c r="I36" s="40">
        <v>45451</v>
      </c>
      <c r="J36" s="40">
        <v>45452</v>
      </c>
      <c r="K36" s="40">
        <v>45453</v>
      </c>
      <c r="L36" s="40">
        <v>45454</v>
      </c>
      <c r="M36" s="40">
        <v>45455</v>
      </c>
      <c r="N36" s="40">
        <v>45456</v>
      </c>
      <c r="O36" s="40">
        <v>45457</v>
      </c>
      <c r="P36" s="40">
        <v>45458</v>
      </c>
      <c r="Q36" s="40">
        <v>45459</v>
      </c>
      <c r="R36" s="40">
        <v>45460</v>
      </c>
      <c r="S36" s="40">
        <v>45461</v>
      </c>
      <c r="T36" s="40">
        <v>45462</v>
      </c>
      <c r="U36" s="40">
        <v>45463</v>
      </c>
      <c r="V36" s="40">
        <v>45464</v>
      </c>
      <c r="W36" s="40">
        <v>45465</v>
      </c>
      <c r="X36" s="40">
        <v>45466</v>
      </c>
      <c r="Y36" s="40">
        <v>45467</v>
      </c>
      <c r="Z36" s="40">
        <v>45468</v>
      </c>
      <c r="AA36" s="40">
        <v>45469</v>
      </c>
      <c r="AB36" s="40">
        <v>45470</v>
      </c>
      <c r="AC36" s="40">
        <v>45471</v>
      </c>
      <c r="AD36" s="40">
        <v>45472</v>
      </c>
      <c r="AE36" s="40">
        <v>45473</v>
      </c>
      <c r="AF36" s="41"/>
      <c r="AG36" s="26"/>
      <c r="AH36" s="27"/>
      <c r="BN36" s="29">
        <v>45311</v>
      </c>
    </row>
    <row r="37" spans="1:66" s="28" customFormat="1" ht="42.75" hidden="1" customHeight="1">
      <c r="A37" s="30" t="s">
        <v>32</v>
      </c>
      <c r="B37" s="45">
        <v>0.3233625</v>
      </c>
      <c r="C37" s="31">
        <v>0.32424375</v>
      </c>
      <c r="D37" s="31">
        <v>0.325125</v>
      </c>
      <c r="E37" s="31">
        <v>0.32600625</v>
      </c>
      <c r="F37" s="31">
        <v>0.3268875</v>
      </c>
      <c r="G37" s="31">
        <v>0.32776875</v>
      </c>
      <c r="H37" s="31">
        <v>0.32865</v>
      </c>
      <c r="I37" s="31">
        <v>0.32953125</v>
      </c>
      <c r="J37" s="31">
        <v>0.3304125</v>
      </c>
      <c r="K37" s="31">
        <v>0.33129375</v>
      </c>
      <c r="L37" s="31">
        <v>0.332175</v>
      </c>
      <c r="M37" s="31">
        <v>0.33305625</v>
      </c>
      <c r="N37" s="31">
        <v>0.3339375</v>
      </c>
      <c r="O37" s="31">
        <v>0.33481875</v>
      </c>
      <c r="P37" s="31">
        <v>0.3357</v>
      </c>
      <c r="Q37" s="31">
        <v>0.33663999999999999</v>
      </c>
      <c r="R37" s="31">
        <v>0.33757999999999999</v>
      </c>
      <c r="S37" s="31">
        <v>0.33851999999999999</v>
      </c>
      <c r="T37" s="31">
        <v>0.33945999999999998</v>
      </c>
      <c r="U37" s="31">
        <v>0.34039999999999998</v>
      </c>
      <c r="V37" s="31">
        <v>0.34133999999999998</v>
      </c>
      <c r="W37" s="31">
        <v>0.34228000000000003</v>
      </c>
      <c r="X37" s="31">
        <v>0.34322000000000003</v>
      </c>
      <c r="Y37" s="31">
        <v>0.34416000000000002</v>
      </c>
      <c r="Z37" s="31">
        <v>0.34510000000000002</v>
      </c>
      <c r="AA37" s="31">
        <v>0.34604000000000001</v>
      </c>
      <c r="AB37" s="31">
        <v>0.34698000000000001</v>
      </c>
      <c r="AC37" s="31">
        <v>0.34792000000000001</v>
      </c>
      <c r="AD37" s="31">
        <v>0.34886</v>
      </c>
      <c r="AE37" s="31">
        <v>0.3498</v>
      </c>
      <c r="AF37" s="32"/>
      <c r="AG37" s="33"/>
      <c r="AH37" s="27"/>
      <c r="AI37" s="34"/>
      <c r="BN37" s="29">
        <v>45312</v>
      </c>
    </row>
    <row r="38" spans="1:66" s="28" customFormat="1" ht="42.75" hidden="1" customHeight="1" thickBot="1">
      <c r="A38" s="35" t="s">
        <v>33</v>
      </c>
      <c r="B38" s="46">
        <v>0.37509999999999999</v>
      </c>
      <c r="C38" s="36">
        <v>0.37509999999999999</v>
      </c>
      <c r="D38" s="36">
        <v>0.37562222222222225</v>
      </c>
      <c r="E38" s="36">
        <v>0.37614444444444445</v>
      </c>
      <c r="F38" s="36">
        <v>0.37666666666666671</v>
      </c>
      <c r="G38" s="36">
        <v>0.37718888888888891</v>
      </c>
      <c r="H38" s="36">
        <v>0.37771111111111116</v>
      </c>
      <c r="I38" s="36">
        <v>0.37823333333333337</v>
      </c>
      <c r="J38" s="36">
        <v>0.37875555555555562</v>
      </c>
      <c r="K38" s="36">
        <v>0.37927777777777782</v>
      </c>
      <c r="L38" s="36">
        <v>0.37980000000000003</v>
      </c>
      <c r="M38" s="36">
        <v>0.38000000000000006</v>
      </c>
      <c r="N38" s="36">
        <v>0.38020000000000004</v>
      </c>
      <c r="O38" s="36">
        <v>0.38040000000000002</v>
      </c>
      <c r="P38" s="36">
        <v>0.38040000000000002</v>
      </c>
      <c r="Q38" s="36">
        <v>0.38040000000000002</v>
      </c>
      <c r="R38" s="36">
        <v>0.38060000000000005</v>
      </c>
      <c r="S38" s="36">
        <v>0.38080000000000003</v>
      </c>
      <c r="T38" s="36">
        <v>0.38100000000000001</v>
      </c>
      <c r="U38" s="36">
        <v>0.38119999999999998</v>
      </c>
      <c r="V38" s="36">
        <v>0.38179999999999997</v>
      </c>
      <c r="W38" s="36">
        <v>0.38179999999999997</v>
      </c>
      <c r="X38" s="36">
        <v>0.38179999999999997</v>
      </c>
      <c r="Y38" s="36">
        <v>0.38219999999999998</v>
      </c>
      <c r="Z38" s="36">
        <v>0.38236666666666669</v>
      </c>
      <c r="AA38" s="36">
        <v>0.38253333333333334</v>
      </c>
      <c r="AB38" s="36">
        <v>0.38269999999999998</v>
      </c>
      <c r="AC38" s="36">
        <v>0.38286666666666669</v>
      </c>
      <c r="AD38" s="36">
        <v>0.38303333333333334</v>
      </c>
      <c r="AE38" s="36">
        <v>0.38379999999999997</v>
      </c>
      <c r="AF38" s="37"/>
      <c r="AG38" s="26"/>
      <c r="AH38" s="27"/>
      <c r="BN38" s="29">
        <v>45318</v>
      </c>
    </row>
    <row r="39" spans="1:66" s="28" customFormat="1" ht="42.75" customHeight="1">
      <c r="A39" s="38" t="s">
        <v>35</v>
      </c>
      <c r="B39" s="44">
        <v>45474</v>
      </c>
      <c r="C39" s="40">
        <v>45475</v>
      </c>
      <c r="D39" s="40">
        <v>45476</v>
      </c>
      <c r="E39" s="40">
        <v>45477</v>
      </c>
      <c r="F39" s="40">
        <v>45478</v>
      </c>
      <c r="G39" s="40">
        <v>45479</v>
      </c>
      <c r="H39" s="40">
        <v>45480</v>
      </c>
      <c r="I39" s="40">
        <v>45481</v>
      </c>
      <c r="J39" s="40">
        <v>45482</v>
      </c>
      <c r="K39" s="40">
        <v>45483</v>
      </c>
      <c r="L39" s="40">
        <v>45484</v>
      </c>
      <c r="M39" s="40">
        <v>45485</v>
      </c>
      <c r="N39" s="40">
        <v>45486</v>
      </c>
      <c r="O39" s="40">
        <v>45487</v>
      </c>
      <c r="P39" s="40">
        <v>45488</v>
      </c>
      <c r="Q39" s="40">
        <v>45489</v>
      </c>
      <c r="R39" s="40">
        <v>45490</v>
      </c>
      <c r="S39" s="40">
        <v>45491</v>
      </c>
      <c r="T39" s="40">
        <v>45492</v>
      </c>
      <c r="U39" s="40">
        <v>45493</v>
      </c>
      <c r="V39" s="40">
        <v>45494</v>
      </c>
      <c r="W39" s="40">
        <v>45495</v>
      </c>
      <c r="X39" s="40">
        <v>45496</v>
      </c>
      <c r="Y39" s="40">
        <v>45497</v>
      </c>
      <c r="Z39" s="40">
        <v>45498</v>
      </c>
      <c r="AA39" s="40">
        <v>45499</v>
      </c>
      <c r="AB39" s="40">
        <v>45500</v>
      </c>
      <c r="AC39" s="40">
        <v>45501</v>
      </c>
      <c r="AD39" s="40">
        <v>45502</v>
      </c>
      <c r="AE39" s="40">
        <v>45503</v>
      </c>
      <c r="AF39" s="41">
        <v>45504</v>
      </c>
      <c r="AG39" s="26"/>
      <c r="AH39" s="27"/>
      <c r="BN39" s="29">
        <v>45319</v>
      </c>
    </row>
    <row r="40" spans="1:66" s="28" customFormat="1" ht="42.75" customHeight="1">
      <c r="A40" s="30" t="s">
        <v>32</v>
      </c>
      <c r="B40" s="45">
        <v>0.35059999999999997</v>
      </c>
      <c r="C40" s="31">
        <v>0.35139999999999999</v>
      </c>
      <c r="D40" s="31">
        <v>0.35219999999999996</v>
      </c>
      <c r="E40" s="31">
        <v>0.35299999999999998</v>
      </c>
      <c r="F40" s="31">
        <v>0.3538</v>
      </c>
      <c r="G40" s="31">
        <v>0.35459999999999997</v>
      </c>
      <c r="H40" s="31">
        <v>0.35539999999999999</v>
      </c>
      <c r="I40" s="31">
        <v>0.35619999999999996</v>
      </c>
      <c r="J40" s="31">
        <v>0.35699999999999998</v>
      </c>
      <c r="K40" s="31">
        <v>0.35780000000000001</v>
      </c>
      <c r="L40" s="31">
        <v>0.35859999999999997</v>
      </c>
      <c r="M40" s="31">
        <v>0.3594</v>
      </c>
      <c r="N40" s="31">
        <v>0.36019999999999996</v>
      </c>
      <c r="O40" s="31">
        <v>0.36099999999999999</v>
      </c>
      <c r="P40" s="31">
        <v>0.36180000000000001</v>
      </c>
      <c r="Q40" s="31">
        <v>0.36254999999999998</v>
      </c>
      <c r="R40" s="31">
        <v>0.36330000000000001</v>
      </c>
      <c r="S40" s="31">
        <v>0.36404999999999998</v>
      </c>
      <c r="T40" s="31">
        <v>0.36480000000000001</v>
      </c>
      <c r="U40" s="31">
        <v>0.36554999999999999</v>
      </c>
      <c r="V40" s="31">
        <v>0.36630000000000001</v>
      </c>
      <c r="W40" s="31">
        <v>0.36704999999999999</v>
      </c>
      <c r="X40" s="31">
        <v>0.36780000000000002</v>
      </c>
      <c r="Y40" s="31">
        <v>0.36854999999999999</v>
      </c>
      <c r="Z40" s="31">
        <v>0.36930000000000002</v>
      </c>
      <c r="AA40" s="31">
        <v>0.37004999999999999</v>
      </c>
      <c r="AB40" s="31">
        <v>0.37080000000000002</v>
      </c>
      <c r="AC40" s="31">
        <v>0.37154999999999999</v>
      </c>
      <c r="AD40" s="31">
        <v>0.37230000000000002</v>
      </c>
      <c r="AE40" s="31">
        <v>0.37304999999999999</v>
      </c>
      <c r="AF40" s="32">
        <v>0.37380000000000008</v>
      </c>
      <c r="AG40" s="33"/>
      <c r="AH40" s="27"/>
      <c r="AI40" s="34"/>
      <c r="BN40" s="29">
        <v>45325</v>
      </c>
    </row>
    <row r="41" spans="1:66" s="28" customFormat="1" ht="42.75" customHeight="1" thickBot="1">
      <c r="A41" s="35" t="s">
        <v>33</v>
      </c>
      <c r="B41" s="46">
        <v>0.38429999999999997</v>
      </c>
      <c r="C41" s="36">
        <v>0.38479999999999998</v>
      </c>
      <c r="D41" s="36">
        <v>0.38529999999999998</v>
      </c>
      <c r="E41" s="36">
        <v>0.38579999999999998</v>
      </c>
      <c r="F41" s="36">
        <v>0.38579999999999998</v>
      </c>
      <c r="G41" s="36">
        <v>0.38579999999999998</v>
      </c>
      <c r="H41" s="36">
        <v>0.38579999999999998</v>
      </c>
      <c r="I41" s="36">
        <v>0.38603749999999998</v>
      </c>
      <c r="J41" s="36">
        <v>0.38627499999999998</v>
      </c>
      <c r="K41" s="36">
        <v>0.38651249999999998</v>
      </c>
      <c r="L41" s="36">
        <v>0.38674999999999998</v>
      </c>
      <c r="M41" s="36">
        <v>0.38698749999999998</v>
      </c>
      <c r="N41" s="36">
        <v>0.38722499999999999</v>
      </c>
      <c r="O41" s="36">
        <v>0.38746249999999999</v>
      </c>
      <c r="P41" s="36">
        <v>0.38769999999999999</v>
      </c>
      <c r="Q41" s="36">
        <v>0.38794999999999996</v>
      </c>
      <c r="R41" s="36">
        <v>0.38819999999999999</v>
      </c>
      <c r="S41" s="36">
        <v>0.38819999999999999</v>
      </c>
      <c r="T41" s="36">
        <v>0.38869999999999999</v>
      </c>
      <c r="U41" s="36">
        <v>0.38919999999999999</v>
      </c>
      <c r="V41" s="36">
        <v>0.38919999999999993</v>
      </c>
      <c r="W41" s="36">
        <v>0.38929999999999992</v>
      </c>
      <c r="X41" s="36">
        <v>0.38939999999999997</v>
      </c>
      <c r="Y41" s="36">
        <v>0.38979999999999992</v>
      </c>
      <c r="Z41" s="36">
        <v>0.38979999999999992</v>
      </c>
      <c r="AA41" s="36">
        <v>0.38979999999999992</v>
      </c>
      <c r="AB41" s="36">
        <v>0.38979999999999998</v>
      </c>
      <c r="AC41" s="36">
        <v>0.38999999999999996</v>
      </c>
      <c r="AD41" s="36">
        <v>0.3909333333333333</v>
      </c>
      <c r="AE41" s="36">
        <v>0.39186666666666664</v>
      </c>
      <c r="AF41" s="55">
        <v>0.39279999999999998</v>
      </c>
      <c r="AG41" s="26"/>
      <c r="AH41" s="27"/>
      <c r="BN41" s="29">
        <v>45326</v>
      </c>
    </row>
    <row r="42" spans="1:66" s="28" customFormat="1" ht="42.75" customHeight="1">
      <c r="A42" s="38" t="s">
        <v>35</v>
      </c>
      <c r="B42" s="44">
        <v>45505</v>
      </c>
      <c r="C42" s="40">
        <v>45506</v>
      </c>
      <c r="D42" s="40">
        <v>45507</v>
      </c>
      <c r="E42" s="40">
        <v>45508</v>
      </c>
      <c r="F42" s="40">
        <v>45509</v>
      </c>
      <c r="G42" s="40">
        <v>45510</v>
      </c>
      <c r="H42" s="40">
        <v>45511</v>
      </c>
      <c r="I42" s="40">
        <v>45512</v>
      </c>
      <c r="J42" s="40">
        <v>45513</v>
      </c>
      <c r="K42" s="40">
        <v>45514</v>
      </c>
      <c r="L42" s="40">
        <v>45515</v>
      </c>
      <c r="M42" s="40">
        <v>45516</v>
      </c>
      <c r="N42" s="40">
        <v>45517</v>
      </c>
      <c r="O42" s="40">
        <v>45518</v>
      </c>
      <c r="P42" s="40">
        <v>45519</v>
      </c>
      <c r="Q42" s="40">
        <v>45520</v>
      </c>
      <c r="R42" s="40">
        <v>45521</v>
      </c>
      <c r="S42" s="40">
        <v>45522</v>
      </c>
      <c r="T42" s="40">
        <v>45523</v>
      </c>
      <c r="U42" s="40">
        <v>45524</v>
      </c>
      <c r="V42" s="40">
        <v>45525</v>
      </c>
      <c r="W42" s="40">
        <v>45526</v>
      </c>
      <c r="X42" s="40">
        <v>45527</v>
      </c>
      <c r="Y42" s="40">
        <v>45528</v>
      </c>
      <c r="Z42" s="40">
        <v>45529</v>
      </c>
      <c r="AA42" s="40">
        <v>45530</v>
      </c>
      <c r="AB42" s="40">
        <v>45531</v>
      </c>
      <c r="AC42" s="40">
        <v>45532</v>
      </c>
      <c r="AD42" s="40">
        <v>45533</v>
      </c>
      <c r="AE42" s="40">
        <v>45534</v>
      </c>
      <c r="AF42" s="41">
        <v>45535</v>
      </c>
      <c r="AG42" s="26"/>
      <c r="AH42" s="27"/>
      <c r="BN42" s="29">
        <v>45332</v>
      </c>
    </row>
    <row r="43" spans="1:66" s="28" customFormat="1" ht="42.75" customHeight="1">
      <c r="A43" s="30" t="s">
        <v>32</v>
      </c>
      <c r="B43" s="45">
        <v>0.37460000000000004</v>
      </c>
      <c r="C43" s="31">
        <v>0.37540000000000007</v>
      </c>
      <c r="D43" s="31">
        <v>0.37620000000000003</v>
      </c>
      <c r="E43" s="31">
        <v>0.37700000000000006</v>
      </c>
      <c r="F43" s="31">
        <v>0.37780000000000002</v>
      </c>
      <c r="G43" s="31">
        <v>0.37860000000000005</v>
      </c>
      <c r="H43" s="31">
        <v>0.37940000000000002</v>
      </c>
      <c r="I43" s="31">
        <v>0.38020000000000004</v>
      </c>
      <c r="J43" s="31">
        <v>0.38100000000000001</v>
      </c>
      <c r="K43" s="31">
        <v>0.38180000000000003</v>
      </c>
      <c r="L43" s="31">
        <v>0.3826</v>
      </c>
      <c r="M43" s="31">
        <v>0.38340000000000002</v>
      </c>
      <c r="N43" s="31">
        <v>0.38419999999999999</v>
      </c>
      <c r="O43" s="31">
        <v>0.38500000000000001</v>
      </c>
      <c r="P43" s="31">
        <v>0.38580000000000003</v>
      </c>
      <c r="Q43" s="31">
        <v>0.38655000000000006</v>
      </c>
      <c r="R43" s="31">
        <v>0.38730000000000003</v>
      </c>
      <c r="S43" s="31">
        <v>0.38805000000000006</v>
      </c>
      <c r="T43" s="31">
        <v>0.38880000000000003</v>
      </c>
      <c r="U43" s="31">
        <v>0.38955000000000006</v>
      </c>
      <c r="V43" s="31">
        <v>0.39030000000000004</v>
      </c>
      <c r="W43" s="31">
        <v>0.39105000000000006</v>
      </c>
      <c r="X43" s="31">
        <v>0.39180000000000004</v>
      </c>
      <c r="Y43" s="31">
        <v>0.39255000000000001</v>
      </c>
      <c r="Z43" s="31">
        <v>0.39330000000000004</v>
      </c>
      <c r="AA43" s="31">
        <v>0.39405000000000001</v>
      </c>
      <c r="AB43" s="31">
        <v>0.39480000000000004</v>
      </c>
      <c r="AC43" s="31">
        <v>0.39555000000000001</v>
      </c>
      <c r="AD43" s="31">
        <v>0.39630000000000004</v>
      </c>
      <c r="AE43" s="31">
        <v>0.39705000000000001</v>
      </c>
      <c r="AF43" s="32">
        <v>0.39779999999999999</v>
      </c>
      <c r="AG43" s="33"/>
      <c r="AH43" s="27"/>
      <c r="AI43" s="34"/>
      <c r="BN43" s="29">
        <v>45333</v>
      </c>
    </row>
    <row r="44" spans="1:66" s="28" customFormat="1" ht="42.75" customHeight="1" thickBot="1">
      <c r="A44" s="48" t="s">
        <v>33</v>
      </c>
      <c r="B44" s="46">
        <v>0.39731030856550775</v>
      </c>
      <c r="C44" s="36">
        <v>0.40182061713101552</v>
      </c>
      <c r="D44" s="36">
        <v>0.40633092569652329</v>
      </c>
      <c r="E44" s="36">
        <v>0.40643955998445785</v>
      </c>
      <c r="F44" s="36">
        <v>0.40654819427239247</v>
      </c>
      <c r="G44" s="36">
        <v>0.40665682856032703</v>
      </c>
      <c r="H44" s="36">
        <v>0.40676546284826165</v>
      </c>
      <c r="I44" s="36">
        <v>0.40687409713619621</v>
      </c>
      <c r="J44" s="36">
        <v>0.40698273142413083</v>
      </c>
      <c r="K44" s="36">
        <v>0.40709136571206539</v>
      </c>
      <c r="L44" s="36">
        <v>0.40720000000000001</v>
      </c>
      <c r="M44" s="36"/>
      <c r="N44" s="36"/>
      <c r="O44" s="36"/>
      <c r="P44" s="47">
        <v>0.41070000000000001</v>
      </c>
      <c r="Q44" s="47"/>
      <c r="R44" s="47">
        <v>0.41210000000000002</v>
      </c>
      <c r="S44" s="36"/>
      <c r="T44" s="36"/>
      <c r="U44" s="47">
        <v>0.41389999999999999</v>
      </c>
      <c r="V44" s="36"/>
      <c r="W44" s="47">
        <v>0.41560000000000002</v>
      </c>
      <c r="X44" s="47">
        <v>0.41649999999999998</v>
      </c>
      <c r="Y44" s="47">
        <v>0.41720000000000002</v>
      </c>
      <c r="Z44" s="47"/>
      <c r="AA44" s="47"/>
      <c r="AB44" s="47">
        <v>0.41909999999999997</v>
      </c>
      <c r="AC44" s="47"/>
      <c r="AD44" s="47"/>
      <c r="AE44" s="47">
        <v>0.42030000000000001</v>
      </c>
      <c r="AF44" s="55">
        <v>0.42130000000000001</v>
      </c>
      <c r="AG44" s="26"/>
      <c r="AH44" s="27"/>
      <c r="BN44" s="29">
        <v>45339</v>
      </c>
    </row>
    <row r="45" spans="1:66" s="28" customFormat="1" ht="42.75" customHeight="1">
      <c r="A45" s="38" t="s">
        <v>35</v>
      </c>
      <c r="B45" s="44">
        <v>45536</v>
      </c>
      <c r="C45" s="40">
        <v>45537</v>
      </c>
      <c r="D45" s="40">
        <v>45538</v>
      </c>
      <c r="E45" s="40">
        <v>45539</v>
      </c>
      <c r="F45" s="40">
        <v>45540</v>
      </c>
      <c r="G45" s="40">
        <v>45541</v>
      </c>
      <c r="H45" s="40">
        <v>45542</v>
      </c>
      <c r="I45" s="40">
        <v>45543</v>
      </c>
      <c r="J45" s="40">
        <v>45544</v>
      </c>
      <c r="K45" s="40">
        <v>45545</v>
      </c>
      <c r="L45" s="40">
        <v>45546</v>
      </c>
      <c r="M45" s="40">
        <v>45547</v>
      </c>
      <c r="N45" s="40">
        <v>45548</v>
      </c>
      <c r="O45" s="40">
        <v>45549</v>
      </c>
      <c r="P45" s="40">
        <v>45550</v>
      </c>
      <c r="Q45" s="40">
        <v>45551</v>
      </c>
      <c r="R45" s="40">
        <v>45552</v>
      </c>
      <c r="S45" s="40">
        <v>45553</v>
      </c>
      <c r="T45" s="40">
        <v>45554</v>
      </c>
      <c r="U45" s="40">
        <v>45555</v>
      </c>
      <c r="V45" s="40">
        <v>45556</v>
      </c>
      <c r="W45" s="40">
        <v>45557</v>
      </c>
      <c r="X45" s="40">
        <v>45558</v>
      </c>
      <c r="Y45" s="40">
        <v>45559</v>
      </c>
      <c r="Z45" s="40">
        <v>45560</v>
      </c>
      <c r="AA45" s="40">
        <v>45561</v>
      </c>
      <c r="AB45" s="40">
        <v>45562</v>
      </c>
      <c r="AC45" s="40">
        <v>45563</v>
      </c>
      <c r="AD45" s="40">
        <v>45564</v>
      </c>
      <c r="AE45" s="40">
        <v>45565</v>
      </c>
      <c r="AF45" s="41"/>
      <c r="AG45" s="26"/>
      <c r="AH45" s="27"/>
      <c r="BN45" s="29">
        <v>45340</v>
      </c>
    </row>
    <row r="46" spans="1:66" s="28" customFormat="1" ht="42.75" customHeight="1">
      <c r="A46" s="30" t="s">
        <v>32</v>
      </c>
      <c r="B46" s="45">
        <v>0.39853333333333335</v>
      </c>
      <c r="C46" s="31">
        <v>0.39926666666666666</v>
      </c>
      <c r="D46" s="31">
        <v>0.4</v>
      </c>
      <c r="E46" s="31">
        <v>0.40073333333333333</v>
      </c>
      <c r="F46" s="31">
        <v>0.40146666666666669</v>
      </c>
      <c r="G46" s="31">
        <v>0.4022</v>
      </c>
      <c r="H46" s="31">
        <v>0.40293333333333337</v>
      </c>
      <c r="I46" s="31">
        <v>0.40366666666666667</v>
      </c>
      <c r="J46" s="31">
        <v>0.40440000000000004</v>
      </c>
      <c r="K46" s="31">
        <v>0.40513333333333335</v>
      </c>
      <c r="L46" s="31">
        <v>0.40586666666666671</v>
      </c>
      <c r="M46" s="31">
        <v>0.40660000000000002</v>
      </c>
      <c r="N46" s="31">
        <v>0.40733333333333333</v>
      </c>
      <c r="O46" s="31">
        <v>0.40806666666666669</v>
      </c>
      <c r="P46" s="31">
        <v>0.4088</v>
      </c>
      <c r="Q46" s="31">
        <v>0.4101866666666667</v>
      </c>
      <c r="R46" s="31">
        <v>0.41157333333333335</v>
      </c>
      <c r="S46" s="31">
        <v>0.41295999999999999</v>
      </c>
      <c r="T46" s="31">
        <v>0.4143466666666667</v>
      </c>
      <c r="U46" s="31">
        <v>0.41573333333333334</v>
      </c>
      <c r="V46" s="31">
        <v>0.41711999999999999</v>
      </c>
      <c r="W46" s="31">
        <v>0.41850666666666669</v>
      </c>
      <c r="X46" s="31">
        <v>0.41989333333333334</v>
      </c>
      <c r="Y46" s="31">
        <v>0.42127999999999999</v>
      </c>
      <c r="Z46" s="31">
        <v>0.42266666666666669</v>
      </c>
      <c r="AA46" s="31">
        <v>0.42405333333333334</v>
      </c>
      <c r="AB46" s="31">
        <v>0.42543999999999998</v>
      </c>
      <c r="AC46" s="31">
        <v>0.42682666666666669</v>
      </c>
      <c r="AD46" s="31">
        <v>0.42821333333333333</v>
      </c>
      <c r="AE46" s="31">
        <v>0.42959999999999993</v>
      </c>
      <c r="AF46" s="32"/>
      <c r="AG46" s="33"/>
      <c r="AH46" s="27"/>
      <c r="AI46" s="34"/>
      <c r="BN46" s="29">
        <v>45346</v>
      </c>
    </row>
    <row r="47" spans="1:66" s="53" customFormat="1" ht="42.75" customHeight="1" thickBot="1">
      <c r="A47" s="48" t="s">
        <v>33</v>
      </c>
      <c r="B47" s="49"/>
      <c r="C47" s="47">
        <v>0.42209999999999998</v>
      </c>
      <c r="D47" s="47">
        <v>0.42320000000000002</v>
      </c>
      <c r="E47" s="47"/>
      <c r="F47" s="47"/>
      <c r="G47" s="47">
        <v>0.42749999999999999</v>
      </c>
      <c r="H47" s="47">
        <v>0.42809999999999998</v>
      </c>
      <c r="I47" s="47"/>
      <c r="J47" s="47">
        <v>0.42959999999999998</v>
      </c>
      <c r="K47" s="47">
        <v>0.43090000000000001</v>
      </c>
      <c r="L47" s="47"/>
      <c r="M47" s="47"/>
      <c r="N47" s="47">
        <v>0.43509999999999999</v>
      </c>
      <c r="O47" s="47">
        <v>0.43680000000000002</v>
      </c>
      <c r="P47" s="47">
        <v>0.4375</v>
      </c>
      <c r="Q47" s="47"/>
      <c r="R47" s="47">
        <v>0.43980000000000002</v>
      </c>
      <c r="S47" s="47">
        <v>0.44119999999999998</v>
      </c>
      <c r="T47" s="47"/>
      <c r="U47" s="47">
        <v>0.44590000000000002</v>
      </c>
      <c r="V47" s="47">
        <v>0.44729999999999998</v>
      </c>
      <c r="W47" s="47"/>
      <c r="X47" s="47">
        <v>0.45019999999999999</v>
      </c>
      <c r="Y47" s="47">
        <v>0.45050000000000001</v>
      </c>
      <c r="Z47" s="47"/>
      <c r="AA47" s="47"/>
      <c r="AB47" s="47">
        <v>0.45860000000000001</v>
      </c>
      <c r="AC47" s="47">
        <v>0.4657</v>
      </c>
      <c r="AD47" s="47"/>
      <c r="AE47" s="56">
        <v>0.4672</v>
      </c>
      <c r="AF47" s="50"/>
      <c r="AG47" s="51"/>
      <c r="AH47" s="52"/>
      <c r="BN47" s="54">
        <v>45347</v>
      </c>
    </row>
    <row r="48" spans="1:66" s="28" customFormat="1" ht="42.75" customHeight="1">
      <c r="A48" s="38" t="s">
        <v>35</v>
      </c>
      <c r="B48" s="39">
        <v>45566</v>
      </c>
      <c r="C48" s="40">
        <v>45567</v>
      </c>
      <c r="D48" s="40">
        <v>45568</v>
      </c>
      <c r="E48" s="40">
        <v>45569</v>
      </c>
      <c r="F48" s="40">
        <v>45570</v>
      </c>
      <c r="G48" s="40">
        <v>45571</v>
      </c>
      <c r="H48" s="40">
        <v>45572</v>
      </c>
      <c r="I48" s="40">
        <v>45573</v>
      </c>
      <c r="J48" s="40">
        <v>45574</v>
      </c>
      <c r="K48" s="40">
        <v>45575</v>
      </c>
      <c r="L48" s="40">
        <v>45576</v>
      </c>
      <c r="M48" s="40">
        <v>45577</v>
      </c>
      <c r="N48" s="40">
        <v>45578</v>
      </c>
      <c r="O48" s="40">
        <v>45579</v>
      </c>
      <c r="P48" s="40">
        <v>45580</v>
      </c>
      <c r="Q48" s="40">
        <v>45581</v>
      </c>
      <c r="R48" s="40">
        <v>45582</v>
      </c>
      <c r="S48" s="40">
        <v>45583</v>
      </c>
      <c r="T48" s="40">
        <v>45584</v>
      </c>
      <c r="U48" s="40">
        <v>45585</v>
      </c>
      <c r="V48" s="40">
        <v>45586</v>
      </c>
      <c r="W48" s="40">
        <v>45587</v>
      </c>
      <c r="X48" s="40">
        <v>45588</v>
      </c>
      <c r="Y48" s="40">
        <v>45589</v>
      </c>
      <c r="Z48" s="40">
        <v>45590</v>
      </c>
      <c r="AA48" s="40">
        <v>45591</v>
      </c>
      <c r="AB48" s="40">
        <v>45592</v>
      </c>
      <c r="AC48" s="40">
        <v>45593</v>
      </c>
      <c r="AD48" s="40">
        <v>45594</v>
      </c>
      <c r="AE48" s="40">
        <v>45595</v>
      </c>
      <c r="AF48" s="41">
        <v>45596</v>
      </c>
      <c r="AG48" s="26"/>
      <c r="AH48" s="27"/>
      <c r="BN48" s="29">
        <v>45353</v>
      </c>
    </row>
    <row r="49" spans="1:66" s="28" customFormat="1" ht="42.75" customHeight="1">
      <c r="A49" s="30" t="s">
        <v>32</v>
      </c>
      <c r="B49" s="42">
        <v>0.42988666666666658</v>
      </c>
      <c r="C49" s="31">
        <v>0.4301733333333333</v>
      </c>
      <c r="D49" s="31">
        <v>0.43045999999999995</v>
      </c>
      <c r="E49" s="31">
        <v>0.43074666666666661</v>
      </c>
      <c r="F49" s="31">
        <v>0.43103333333333327</v>
      </c>
      <c r="G49" s="31">
        <v>0.43131999999999993</v>
      </c>
      <c r="H49" s="31">
        <v>0.43160666666666664</v>
      </c>
      <c r="I49" s="31">
        <f>0.09%+H49</f>
        <v>0.43250666666666665</v>
      </c>
      <c r="J49" s="31">
        <f>0.09%+I49</f>
        <v>0.43340666666666666</v>
      </c>
      <c r="K49" s="31">
        <f t="shared" ref="K49:P49" si="11">0.09%+J49</f>
        <v>0.43430666666666667</v>
      </c>
      <c r="L49" s="31">
        <f t="shared" si="11"/>
        <v>0.43520666666666669</v>
      </c>
      <c r="M49" s="31">
        <f t="shared" si="11"/>
        <v>0.4361066666666667</v>
      </c>
      <c r="N49" s="31">
        <f t="shared" si="11"/>
        <v>0.43700666666666671</v>
      </c>
      <c r="O49" s="31">
        <f t="shared" si="11"/>
        <v>0.43790666666666672</v>
      </c>
      <c r="P49" s="31">
        <f t="shared" si="11"/>
        <v>0.43880666666666673</v>
      </c>
      <c r="Q49" s="31">
        <f>0.1%+P49</f>
        <v>0.43980666666666673</v>
      </c>
      <c r="R49" s="31">
        <f>0.1%+Q49</f>
        <v>0.44080666666666674</v>
      </c>
      <c r="S49" s="31">
        <f>0.11%+R49</f>
        <v>0.44190666666666673</v>
      </c>
      <c r="T49" s="31">
        <v>0.44300666666666672</v>
      </c>
      <c r="U49" s="31">
        <v>0.44335611111111112</v>
      </c>
      <c r="V49" s="31">
        <v>0.44370555555555558</v>
      </c>
      <c r="W49" s="31">
        <v>0.44405500000000003</v>
      </c>
      <c r="X49" s="31">
        <v>0.44440444444444444</v>
      </c>
      <c r="Y49" s="31">
        <v>0.44475388888888889</v>
      </c>
      <c r="Z49" s="31">
        <v>0.44510333333333335</v>
      </c>
      <c r="AA49" s="31">
        <v>0.44545277777777775</v>
      </c>
      <c r="AB49" s="31">
        <v>0.44580222222222221</v>
      </c>
      <c r="AC49" s="31">
        <v>0.44615166666666667</v>
      </c>
      <c r="AD49" s="31">
        <v>0.44650111111111107</v>
      </c>
      <c r="AE49" s="31">
        <v>0.44685055555555553</v>
      </c>
      <c r="AF49" s="32">
        <v>0.44719999999999999</v>
      </c>
      <c r="AG49" s="33"/>
      <c r="AH49" s="27"/>
      <c r="AI49" s="34"/>
      <c r="BN49" s="29">
        <v>45354</v>
      </c>
    </row>
    <row r="50" spans="1:66" s="28" customFormat="1" ht="42.75" customHeight="1" thickBot="1">
      <c r="A50" s="35" t="s">
        <v>33</v>
      </c>
      <c r="B50" s="61">
        <v>0.46750000000000003</v>
      </c>
      <c r="C50" s="36"/>
      <c r="D50" s="36"/>
      <c r="E50" s="47">
        <v>0.46800000000000003</v>
      </c>
      <c r="F50" s="47">
        <v>0.46850000000000003</v>
      </c>
      <c r="G50" s="36"/>
      <c r="H50" s="47">
        <v>0.46970000000000001</v>
      </c>
      <c r="I50" s="47">
        <v>0.47020000000000001</v>
      </c>
      <c r="J50" s="36"/>
      <c r="K50" s="36"/>
      <c r="L50" s="47">
        <v>0.47310000000000002</v>
      </c>
      <c r="M50" s="47">
        <v>0.47489999999999999</v>
      </c>
      <c r="N50" s="36"/>
      <c r="O50" s="36"/>
      <c r="P50" s="47">
        <v>0.4819</v>
      </c>
      <c r="Q50" s="36"/>
      <c r="R50" s="36"/>
      <c r="S50" s="47">
        <v>0.49220000000000003</v>
      </c>
      <c r="T50" s="47">
        <v>0.49390000000000001</v>
      </c>
      <c r="U50" s="36"/>
      <c r="V50" s="47">
        <v>0.49890000000000001</v>
      </c>
      <c r="W50" s="47">
        <v>0.50019999999999998</v>
      </c>
      <c r="X50" s="36"/>
      <c r="Y50" s="36"/>
      <c r="Z50" s="47">
        <v>0.50119999999999998</v>
      </c>
      <c r="AA50" s="47">
        <v>0.50149999999999995</v>
      </c>
      <c r="AB50" s="47"/>
      <c r="AC50" s="47"/>
      <c r="AD50" s="47">
        <v>0.50280000000000002</v>
      </c>
      <c r="AE50" s="36"/>
      <c r="AF50" s="55">
        <v>0.50329999999999997</v>
      </c>
      <c r="AG50" s="26"/>
      <c r="AH50" s="27"/>
      <c r="BN50" s="29">
        <v>45360</v>
      </c>
    </row>
    <row r="51" spans="1:66" s="28" customFormat="1" ht="42.75" customHeight="1">
      <c r="A51" s="38" t="s">
        <v>35</v>
      </c>
      <c r="B51" s="44">
        <v>45597</v>
      </c>
      <c r="C51" s="40">
        <v>45598</v>
      </c>
      <c r="D51" s="40">
        <v>45599</v>
      </c>
      <c r="E51" s="40">
        <v>45600</v>
      </c>
      <c r="F51" s="40">
        <v>45601</v>
      </c>
      <c r="G51" s="40">
        <v>45602</v>
      </c>
      <c r="H51" s="40">
        <v>45603</v>
      </c>
      <c r="I51" s="40">
        <v>45604</v>
      </c>
      <c r="J51" s="40">
        <v>45605</v>
      </c>
      <c r="K51" s="40">
        <v>45606</v>
      </c>
      <c r="L51" s="40">
        <v>45607</v>
      </c>
      <c r="M51" s="40">
        <v>45608</v>
      </c>
      <c r="N51" s="40">
        <v>45609</v>
      </c>
      <c r="O51" s="40">
        <v>45610</v>
      </c>
      <c r="P51" s="40">
        <v>45611</v>
      </c>
      <c r="Q51" s="40">
        <v>45612</v>
      </c>
      <c r="R51" s="40">
        <v>45613</v>
      </c>
      <c r="S51" s="40">
        <v>45614</v>
      </c>
      <c r="T51" s="40">
        <v>45615</v>
      </c>
      <c r="U51" s="40">
        <v>45616</v>
      </c>
      <c r="V51" s="40">
        <v>45617</v>
      </c>
      <c r="W51" s="40">
        <v>45618</v>
      </c>
      <c r="X51" s="40">
        <v>45619</v>
      </c>
      <c r="Y51" s="40">
        <v>45620</v>
      </c>
      <c r="Z51" s="40">
        <v>45621</v>
      </c>
      <c r="AA51" s="40">
        <v>45622</v>
      </c>
      <c r="AB51" s="40">
        <v>45623</v>
      </c>
      <c r="AC51" s="40">
        <v>45624</v>
      </c>
      <c r="AD51" s="40">
        <v>45625</v>
      </c>
      <c r="AE51" s="40">
        <v>45626</v>
      </c>
      <c r="AF51" s="41"/>
      <c r="AG51" s="26"/>
      <c r="AH51" s="27"/>
      <c r="BN51" s="29">
        <v>45361</v>
      </c>
    </row>
    <row r="52" spans="1:66" s="28" customFormat="1" ht="42.75" customHeight="1">
      <c r="A52" s="30" t="s">
        <v>32</v>
      </c>
      <c r="B52" s="45">
        <v>0.44819999999999999</v>
      </c>
      <c r="C52" s="45">
        <v>0.4491</v>
      </c>
      <c r="D52" s="45">
        <v>0.4501</v>
      </c>
      <c r="E52" s="45">
        <v>0.4511</v>
      </c>
      <c r="F52" s="45">
        <v>0.45200000000000001</v>
      </c>
      <c r="G52" s="45">
        <v>0.45300000000000001</v>
      </c>
      <c r="H52" s="45">
        <v>0.45400000000000001</v>
      </c>
      <c r="I52" s="45">
        <v>0.45490000000000003</v>
      </c>
      <c r="J52" s="45">
        <v>0.45590000000000003</v>
      </c>
      <c r="K52" s="45">
        <v>0.45689999999999997</v>
      </c>
      <c r="L52" s="45">
        <v>0.45779999999999998</v>
      </c>
      <c r="M52" s="45">
        <v>0.45879999999999999</v>
      </c>
      <c r="N52" s="45">
        <v>0.45979999999999999</v>
      </c>
      <c r="O52" s="45">
        <v>0.4607</v>
      </c>
      <c r="P52" s="45">
        <v>0.4617</v>
      </c>
      <c r="Q52" s="45">
        <v>0.4627</v>
      </c>
      <c r="R52" s="45">
        <v>0.46360000000000001</v>
      </c>
      <c r="S52" s="45">
        <v>0.46460000000000001</v>
      </c>
      <c r="T52" s="45">
        <v>0.46560000000000001</v>
      </c>
      <c r="U52" s="45">
        <v>0.46650000000000003</v>
      </c>
      <c r="V52" s="45">
        <v>0.46750000000000003</v>
      </c>
      <c r="W52" s="45">
        <v>0.46850000000000003</v>
      </c>
      <c r="X52" s="45">
        <v>0.46939999999999998</v>
      </c>
      <c r="Y52" s="45">
        <v>0.47039999999999998</v>
      </c>
      <c r="Z52" s="45">
        <v>0.47139999999999999</v>
      </c>
      <c r="AA52" s="45">
        <v>0.4723</v>
      </c>
      <c r="AB52" s="45">
        <v>0.4733</v>
      </c>
      <c r="AC52" s="45">
        <v>0.4743</v>
      </c>
      <c r="AD52" s="45">
        <v>0.47520000000000001</v>
      </c>
      <c r="AE52" s="45">
        <v>0.47620000000000001</v>
      </c>
      <c r="AF52" s="32"/>
      <c r="AG52" s="33"/>
      <c r="AH52" s="27"/>
      <c r="AI52" s="34"/>
      <c r="BN52" s="29">
        <v>45367</v>
      </c>
    </row>
    <row r="53" spans="1:66" s="28" customFormat="1" ht="42.75" customHeight="1" thickBot="1">
      <c r="A53" s="35" t="s">
        <v>33</v>
      </c>
      <c r="B53" s="46"/>
      <c r="C53" s="47">
        <v>0.50360000000000005</v>
      </c>
      <c r="D53" s="47"/>
      <c r="E53" s="47"/>
      <c r="F53" s="47">
        <v>0.50390000000000001</v>
      </c>
      <c r="G53" s="47"/>
      <c r="H53" s="47"/>
      <c r="I53" s="47">
        <v>0.50609999999999999</v>
      </c>
      <c r="J53" s="47">
        <v>0.50680000000000003</v>
      </c>
      <c r="K53" s="47"/>
      <c r="L53" s="47"/>
      <c r="M53" s="47">
        <v>0.5091</v>
      </c>
      <c r="N53" s="47"/>
      <c r="O53" s="47"/>
      <c r="P53" s="47">
        <v>0.51290000000000002</v>
      </c>
      <c r="Q53" s="47">
        <v>0.51380000000000003</v>
      </c>
      <c r="R53" s="47"/>
      <c r="S53" s="47">
        <v>0.51529999999999998</v>
      </c>
      <c r="T53" s="47">
        <v>0.51629999999999998</v>
      </c>
      <c r="U53" s="47"/>
      <c r="V53" s="47"/>
      <c r="W53" s="47">
        <v>0.52070000000000005</v>
      </c>
      <c r="X53" s="47">
        <v>0.52310000000000001</v>
      </c>
      <c r="Y53" s="47"/>
      <c r="Z53" s="36"/>
      <c r="AA53" s="47">
        <v>0.52790000000000004</v>
      </c>
      <c r="AB53" s="47"/>
      <c r="AC53" s="47"/>
      <c r="AD53" s="47">
        <v>0.53110000000000002</v>
      </c>
      <c r="AE53" s="56">
        <v>0.53710000000000002</v>
      </c>
      <c r="AF53" s="37"/>
      <c r="AG53" s="26"/>
      <c r="AH53" s="27"/>
      <c r="BN53" s="29">
        <v>45368</v>
      </c>
    </row>
    <row r="54" spans="1:66" s="28" customFormat="1" ht="42.75" customHeight="1">
      <c r="A54" s="38" t="s">
        <v>35</v>
      </c>
      <c r="B54" s="44">
        <v>45627</v>
      </c>
      <c r="C54" s="40">
        <v>45628</v>
      </c>
      <c r="D54" s="40">
        <v>45629</v>
      </c>
      <c r="E54" s="40">
        <v>45630</v>
      </c>
      <c r="F54" s="40">
        <v>45631</v>
      </c>
      <c r="G54" s="40">
        <v>45632</v>
      </c>
      <c r="H54" s="40">
        <v>45633</v>
      </c>
      <c r="I54" s="40">
        <v>45634</v>
      </c>
      <c r="J54" s="40">
        <v>45635</v>
      </c>
      <c r="K54" s="40">
        <v>45636</v>
      </c>
      <c r="L54" s="40">
        <v>45637</v>
      </c>
      <c r="M54" s="40">
        <v>45638</v>
      </c>
      <c r="N54" s="40">
        <v>45639</v>
      </c>
      <c r="O54" s="40">
        <v>45640</v>
      </c>
      <c r="P54" s="40">
        <v>45641</v>
      </c>
      <c r="Q54" s="40">
        <v>45642</v>
      </c>
      <c r="R54" s="40">
        <v>45643</v>
      </c>
      <c r="S54" s="40">
        <v>45644</v>
      </c>
      <c r="T54" s="40">
        <v>45645</v>
      </c>
      <c r="U54" s="40">
        <v>45646</v>
      </c>
      <c r="V54" s="40">
        <v>45647</v>
      </c>
      <c r="W54" s="40">
        <v>45648</v>
      </c>
      <c r="X54" s="40">
        <v>45649</v>
      </c>
      <c r="Y54" s="40">
        <v>45650</v>
      </c>
      <c r="Z54" s="40">
        <v>45651</v>
      </c>
      <c r="AA54" s="40">
        <v>45652</v>
      </c>
      <c r="AB54" s="40">
        <v>45653</v>
      </c>
      <c r="AC54" s="40">
        <v>45654</v>
      </c>
      <c r="AD54" s="40">
        <v>45655</v>
      </c>
      <c r="AE54" s="40">
        <v>45656</v>
      </c>
      <c r="AF54" s="41">
        <v>45657</v>
      </c>
      <c r="AG54" s="26"/>
      <c r="AH54" s="27"/>
      <c r="BN54" s="29">
        <v>45374</v>
      </c>
    </row>
    <row r="55" spans="1:66" s="28" customFormat="1" ht="42.75" customHeight="1">
      <c r="A55" s="30" t="s">
        <v>32</v>
      </c>
      <c r="B55" s="45">
        <v>0.4773</v>
      </c>
      <c r="C55" s="31">
        <v>0.47839999999999999</v>
      </c>
      <c r="D55" s="31">
        <v>0.47949999999999998</v>
      </c>
      <c r="E55" s="31">
        <v>0.48060000000000003</v>
      </c>
      <c r="F55" s="31">
        <v>0.48170000000000002</v>
      </c>
      <c r="G55" s="31">
        <v>0.48280000000000001</v>
      </c>
      <c r="H55" s="31">
        <v>0.4839</v>
      </c>
      <c r="I55" s="31">
        <v>0.4849</v>
      </c>
      <c r="J55" s="31">
        <v>0.48599999999999999</v>
      </c>
      <c r="K55" s="31">
        <v>0.48709999999999998</v>
      </c>
      <c r="L55" s="31">
        <v>0.48820000000000002</v>
      </c>
      <c r="M55" s="31">
        <v>0.48930000000000001</v>
      </c>
      <c r="N55" s="31">
        <v>0.4904</v>
      </c>
      <c r="O55" s="31">
        <v>0.49149999999999999</v>
      </c>
      <c r="P55" s="31">
        <v>0.49259999999999998</v>
      </c>
      <c r="Q55" s="31">
        <v>0.49370000000000003</v>
      </c>
      <c r="R55" s="31">
        <v>0.49469999999999997</v>
      </c>
      <c r="S55" s="31">
        <v>0.49580000000000002</v>
      </c>
      <c r="T55" s="31">
        <v>0.49690000000000001</v>
      </c>
      <c r="U55" s="31">
        <v>0.49790000000000001</v>
      </c>
      <c r="V55" s="31">
        <v>0.499</v>
      </c>
      <c r="W55" s="31">
        <v>0.50009999999999999</v>
      </c>
      <c r="X55" s="31">
        <v>0.50119999999999998</v>
      </c>
      <c r="Y55" s="31">
        <v>0.50219999999999998</v>
      </c>
      <c r="Z55" s="31">
        <v>0.50329999999999997</v>
      </c>
      <c r="AA55" s="31">
        <v>0.50439999999999996</v>
      </c>
      <c r="AB55" s="31">
        <v>0.50539999999999996</v>
      </c>
      <c r="AC55" s="31">
        <v>0.50649999999999995</v>
      </c>
      <c r="AD55" s="31">
        <v>0.50760000000000005</v>
      </c>
      <c r="AE55" s="31">
        <v>0.50860000000000005</v>
      </c>
      <c r="AF55" s="32">
        <v>0.50970000000000004</v>
      </c>
      <c r="AG55" s="33"/>
      <c r="AH55" s="27"/>
      <c r="AI55" s="34"/>
      <c r="BN55" s="29">
        <v>45375</v>
      </c>
    </row>
    <row r="56" spans="1:66" s="28" customFormat="1" ht="42.75" customHeight="1" thickBot="1">
      <c r="A56" s="35" t="s">
        <v>33</v>
      </c>
      <c r="B56" s="46"/>
      <c r="C56" s="36"/>
      <c r="D56" s="47">
        <v>0.53969999999999996</v>
      </c>
      <c r="E56" s="47"/>
      <c r="F56" s="47">
        <v>0.5423</v>
      </c>
      <c r="G56" s="47">
        <v>0.54310000000000003</v>
      </c>
      <c r="H56" s="47">
        <v>0.54379999999999995</v>
      </c>
      <c r="I56" s="47"/>
      <c r="J56" s="47"/>
      <c r="K56" s="47">
        <v>0.54679999999999995</v>
      </c>
      <c r="L56" s="47"/>
      <c r="M56" s="47"/>
      <c r="N56" s="47">
        <v>0.55110000000000003</v>
      </c>
      <c r="O56" s="47">
        <v>0.55259999999999998</v>
      </c>
      <c r="P56" s="47">
        <v>0.55310000000000004</v>
      </c>
      <c r="Q56" s="47"/>
      <c r="R56" s="47">
        <v>0.55530000000000002</v>
      </c>
      <c r="S56" s="36"/>
      <c r="T56" s="36"/>
      <c r="U56" s="47">
        <v>0.55710000000000004</v>
      </c>
      <c r="V56" s="47">
        <v>0.55820000000000003</v>
      </c>
      <c r="W56" s="47"/>
      <c r="X56" s="47">
        <v>0.5605</v>
      </c>
      <c r="Y56" s="47">
        <v>0.5615</v>
      </c>
      <c r="Z56" s="47"/>
      <c r="AA56" s="47"/>
      <c r="AB56" s="47">
        <v>0.57509999999999994</v>
      </c>
      <c r="AC56" s="47">
        <v>0.57969999999999999</v>
      </c>
      <c r="AD56" s="36"/>
      <c r="AE56" s="36"/>
      <c r="AF56" s="55">
        <v>0.59889999999999999</v>
      </c>
      <c r="AG56" s="26"/>
      <c r="AH56" s="27"/>
      <c r="BN56" s="29">
        <v>45381</v>
      </c>
    </row>
    <row r="57" spans="1:66" s="28" customFormat="1" ht="42.75" customHeight="1">
      <c r="A57" s="38" t="s">
        <v>36</v>
      </c>
      <c r="B57" s="44">
        <v>45658</v>
      </c>
      <c r="C57" s="40">
        <v>45659</v>
      </c>
      <c r="D57" s="40">
        <v>45660</v>
      </c>
      <c r="E57" s="40">
        <v>45661</v>
      </c>
      <c r="F57" s="40">
        <v>45662</v>
      </c>
      <c r="G57" s="40">
        <v>45663</v>
      </c>
      <c r="H57" s="40">
        <v>45664</v>
      </c>
      <c r="I57" s="40">
        <v>45665</v>
      </c>
      <c r="J57" s="40">
        <v>45666</v>
      </c>
      <c r="K57" s="40">
        <v>45667</v>
      </c>
      <c r="L57" s="40">
        <v>45668</v>
      </c>
      <c r="M57" s="40">
        <v>45669</v>
      </c>
      <c r="N57" s="40">
        <v>45670</v>
      </c>
      <c r="O57" s="40">
        <v>45671</v>
      </c>
      <c r="P57" s="40">
        <v>45672</v>
      </c>
      <c r="Q57" s="40">
        <v>45673</v>
      </c>
      <c r="R57" s="40">
        <v>45674</v>
      </c>
      <c r="S57" s="40">
        <v>45675</v>
      </c>
      <c r="T57" s="40">
        <v>45676</v>
      </c>
      <c r="U57" s="40">
        <v>45677</v>
      </c>
      <c r="V57" s="40">
        <v>45678</v>
      </c>
      <c r="W57" s="40">
        <v>45679</v>
      </c>
      <c r="X57" s="40">
        <v>45680</v>
      </c>
      <c r="Y57" s="40">
        <v>45681</v>
      </c>
      <c r="Z57" s="62">
        <v>45682</v>
      </c>
      <c r="AA57" s="62">
        <v>45683</v>
      </c>
      <c r="AB57" s="62">
        <v>45684</v>
      </c>
      <c r="AC57" s="62">
        <v>45685</v>
      </c>
      <c r="AD57" s="62">
        <v>45686</v>
      </c>
      <c r="AE57" s="62">
        <v>45687</v>
      </c>
      <c r="AF57" s="63">
        <v>45688</v>
      </c>
      <c r="AG57" s="26"/>
      <c r="AH57" s="27"/>
      <c r="BN57" s="29">
        <v>45382</v>
      </c>
    </row>
    <row r="58" spans="1:66" s="28" customFormat="1" ht="42.75" customHeight="1">
      <c r="A58" s="30" t="s">
        <v>32</v>
      </c>
      <c r="B58" s="45">
        <v>0.51100000000000001</v>
      </c>
      <c r="C58" s="31">
        <v>0.51239999999999997</v>
      </c>
      <c r="D58" s="31">
        <v>0.51370000000000005</v>
      </c>
      <c r="E58" s="31">
        <v>0.5151</v>
      </c>
      <c r="F58" s="31">
        <v>0.51639999999999997</v>
      </c>
      <c r="G58" s="31">
        <v>0.51770000000000005</v>
      </c>
      <c r="H58" s="31">
        <v>0.51910000000000001</v>
      </c>
      <c r="I58" s="31">
        <v>0.52039999999999997</v>
      </c>
      <c r="J58" s="31">
        <v>0.52180000000000004</v>
      </c>
      <c r="K58" s="31">
        <v>0.52310000000000001</v>
      </c>
      <c r="L58" s="31">
        <v>0.52439999999999998</v>
      </c>
      <c r="M58" s="31">
        <v>0.52580000000000005</v>
      </c>
      <c r="N58" s="31">
        <v>0.52710000000000001</v>
      </c>
      <c r="O58" s="31">
        <v>0.52849999999999997</v>
      </c>
      <c r="P58" s="31">
        <v>0.52980000000000005</v>
      </c>
      <c r="Q58" s="31">
        <v>0.53110000000000002</v>
      </c>
      <c r="R58" s="31">
        <v>0.5323</v>
      </c>
      <c r="S58" s="31">
        <v>0.53359999999999996</v>
      </c>
      <c r="T58" s="31">
        <v>0.53480000000000005</v>
      </c>
      <c r="U58" s="31">
        <v>0.53610000000000002</v>
      </c>
      <c r="V58" s="31">
        <v>0.5373</v>
      </c>
      <c r="W58" s="31">
        <v>0.53859999999999997</v>
      </c>
      <c r="X58" s="31">
        <v>0.53990000000000005</v>
      </c>
      <c r="Y58" s="31">
        <v>0.54110000000000003</v>
      </c>
      <c r="Z58" s="31">
        <v>0.54239999999999999</v>
      </c>
      <c r="AA58" s="31">
        <v>0.54359999999999997</v>
      </c>
      <c r="AB58" s="31">
        <v>0.54490000000000005</v>
      </c>
      <c r="AC58" s="31">
        <v>0.54610000000000003</v>
      </c>
      <c r="AD58" s="31">
        <v>0.5474</v>
      </c>
      <c r="AE58" s="31">
        <v>0.54859999999999998</v>
      </c>
      <c r="AF58" s="32">
        <v>0.54990000000000006</v>
      </c>
      <c r="AG58" s="33"/>
      <c r="AH58" s="27"/>
      <c r="AI58" s="34"/>
      <c r="BN58" s="29">
        <v>45388</v>
      </c>
    </row>
    <row r="59" spans="1:66" s="28" customFormat="1" ht="42.75" customHeight="1" thickBot="1">
      <c r="A59" s="35" t="s">
        <v>33</v>
      </c>
      <c r="B59" s="46"/>
      <c r="C59" s="36"/>
      <c r="D59" s="47">
        <v>0.60589999999999999</v>
      </c>
      <c r="E59" s="47">
        <v>0.60819999999999996</v>
      </c>
      <c r="F59" s="47"/>
      <c r="G59" s="47"/>
      <c r="H59" s="47">
        <v>0.61270000000000002</v>
      </c>
      <c r="I59" s="47"/>
      <c r="J59" s="47"/>
      <c r="K59" s="47">
        <v>0.61670000000000003</v>
      </c>
      <c r="L59" s="47">
        <v>0.61750000000000005</v>
      </c>
      <c r="M59" s="47"/>
      <c r="N59" s="47"/>
      <c r="O59" s="47">
        <v>0.61929999999999996</v>
      </c>
      <c r="P59" s="47">
        <v>0.62009999999999998</v>
      </c>
      <c r="Q59" s="47"/>
      <c r="R59" s="47">
        <v>0.62849999999999995</v>
      </c>
      <c r="S59" s="47">
        <v>0.63109999999999999</v>
      </c>
      <c r="T59" s="47"/>
      <c r="U59" s="47"/>
      <c r="V59" s="47">
        <v>0.63580000000000003</v>
      </c>
      <c r="W59" s="47"/>
      <c r="X59" s="47"/>
      <c r="Y59" s="47">
        <v>0.63900000000000001</v>
      </c>
      <c r="Z59" s="47">
        <v>0.63919999999999999</v>
      </c>
      <c r="AA59" s="36"/>
      <c r="AB59" s="47">
        <v>0.63939999999999997</v>
      </c>
      <c r="AC59" s="36"/>
      <c r="AD59" s="36"/>
      <c r="AE59" s="36"/>
      <c r="AF59" s="55">
        <v>0.63949999999999996</v>
      </c>
      <c r="AG59" s="26"/>
      <c r="AH59" s="27"/>
      <c r="BN59" s="29">
        <v>45389</v>
      </c>
    </row>
    <row r="60" spans="1:66" s="28" customFormat="1" ht="42.75" customHeight="1">
      <c r="A60" s="38" t="s">
        <v>36</v>
      </c>
      <c r="B60" s="64">
        <v>45689</v>
      </c>
      <c r="C60" s="62">
        <v>45690</v>
      </c>
      <c r="D60" s="40">
        <v>45691</v>
      </c>
      <c r="E60" s="40">
        <v>45692</v>
      </c>
      <c r="F60" s="40">
        <v>45693</v>
      </c>
      <c r="G60" s="40">
        <v>45694</v>
      </c>
      <c r="H60" s="40">
        <v>45695</v>
      </c>
      <c r="I60" s="40">
        <v>45696</v>
      </c>
      <c r="J60" s="40">
        <v>45697</v>
      </c>
      <c r="K60" s="40">
        <v>45698</v>
      </c>
      <c r="L60" s="40">
        <v>45699</v>
      </c>
      <c r="M60" s="40">
        <v>45700</v>
      </c>
      <c r="N60" s="40">
        <v>45701</v>
      </c>
      <c r="O60" s="40">
        <v>45702</v>
      </c>
      <c r="P60" s="40">
        <v>45703</v>
      </c>
      <c r="Q60" s="40">
        <v>45704</v>
      </c>
      <c r="R60" s="40">
        <v>45705</v>
      </c>
      <c r="S60" s="40">
        <v>45706</v>
      </c>
      <c r="T60" s="40">
        <v>45707</v>
      </c>
      <c r="U60" s="40">
        <v>45708</v>
      </c>
      <c r="V60" s="40">
        <v>45709</v>
      </c>
      <c r="W60" s="40">
        <v>45710</v>
      </c>
      <c r="X60" s="40">
        <v>45711</v>
      </c>
      <c r="Y60" s="40">
        <v>45712</v>
      </c>
      <c r="Z60" s="40">
        <v>45713</v>
      </c>
      <c r="AA60" s="40">
        <v>45714</v>
      </c>
      <c r="AB60" s="40">
        <v>45715</v>
      </c>
      <c r="AC60" s="40">
        <v>45716</v>
      </c>
      <c r="AD60" s="40"/>
      <c r="AE60" s="40"/>
      <c r="AF60" s="41"/>
      <c r="AG60" s="26"/>
      <c r="AH60" s="27"/>
      <c r="BN60" s="29">
        <v>45395</v>
      </c>
    </row>
    <row r="61" spans="1:66" s="28" customFormat="1" ht="42.75" customHeight="1">
      <c r="A61" s="30" t="s">
        <v>32</v>
      </c>
      <c r="B61" s="45">
        <v>0.55120000000000002</v>
      </c>
      <c r="C61" s="31">
        <v>0.55259999999999998</v>
      </c>
      <c r="D61" s="31">
        <v>0.55389999999999995</v>
      </c>
      <c r="E61" s="31">
        <v>0.55530000000000002</v>
      </c>
      <c r="F61" s="31">
        <v>0.55659999999999998</v>
      </c>
      <c r="G61" s="31">
        <v>0.55789999999999995</v>
      </c>
      <c r="H61" s="31">
        <v>0.55930000000000002</v>
      </c>
      <c r="I61" s="31">
        <v>0.56059999999999999</v>
      </c>
      <c r="J61" s="31">
        <v>0.56200000000000006</v>
      </c>
      <c r="K61" s="31">
        <v>0.56330000000000002</v>
      </c>
      <c r="L61" s="31">
        <v>0.56459999999999999</v>
      </c>
      <c r="M61" s="31">
        <v>0.56599999999999995</v>
      </c>
      <c r="N61" s="31">
        <v>0.56730000000000003</v>
      </c>
      <c r="O61" s="31">
        <v>0.56869999999999998</v>
      </c>
      <c r="P61" s="31">
        <v>0.56999999999999995</v>
      </c>
      <c r="Q61" s="31">
        <v>0.5716</v>
      </c>
      <c r="R61" s="31">
        <v>0.57310000000000005</v>
      </c>
      <c r="S61" s="31">
        <v>0.57469999999999999</v>
      </c>
      <c r="T61" s="31">
        <v>0.57630000000000003</v>
      </c>
      <c r="U61" s="31">
        <v>0.57779999999999998</v>
      </c>
      <c r="V61" s="31">
        <v>0.57940000000000003</v>
      </c>
      <c r="W61" s="31">
        <v>0.58099999999999996</v>
      </c>
      <c r="X61" s="31">
        <v>0.58260000000000001</v>
      </c>
      <c r="Y61" s="31">
        <v>0.58409999999999995</v>
      </c>
      <c r="Z61" s="31">
        <v>0.5857</v>
      </c>
      <c r="AA61" s="31">
        <v>0.58730000000000004</v>
      </c>
      <c r="AB61" s="31">
        <v>0.58879999999999999</v>
      </c>
      <c r="AC61" s="31">
        <v>0.59040000000000004</v>
      </c>
      <c r="AD61" s="31"/>
      <c r="AE61" s="31"/>
      <c r="AF61" s="32"/>
      <c r="AG61" s="33"/>
      <c r="AH61" s="27"/>
      <c r="AI61" s="34"/>
      <c r="BN61" s="29">
        <v>45396</v>
      </c>
    </row>
    <row r="62" spans="1:66" s="28" customFormat="1" ht="42.75" customHeight="1" thickBot="1">
      <c r="A62" s="35" t="s">
        <v>33</v>
      </c>
      <c r="B62" s="49">
        <v>0.63949999999999996</v>
      </c>
      <c r="C62" s="36"/>
      <c r="D62" s="47">
        <v>0.63949999999999996</v>
      </c>
      <c r="E62" s="47">
        <v>0.63959999999999995</v>
      </c>
      <c r="F62" s="36"/>
      <c r="G62" s="36"/>
      <c r="H62" s="47">
        <v>0.64119999999999999</v>
      </c>
      <c r="I62" s="47">
        <v>0.64229999999999998</v>
      </c>
      <c r="J62" s="36"/>
      <c r="K62" s="36"/>
      <c r="L62" s="47">
        <v>0.64580000000000004</v>
      </c>
      <c r="M62" s="36"/>
      <c r="N62" s="36"/>
      <c r="O62" s="47">
        <v>0.6502</v>
      </c>
      <c r="P62" s="47">
        <v>0.65090000000000003</v>
      </c>
      <c r="Q62" s="36"/>
      <c r="R62" s="47">
        <v>0.65229999999999999</v>
      </c>
      <c r="S62" s="47">
        <v>0.65390000000000004</v>
      </c>
      <c r="T62" s="36"/>
      <c r="U62" s="36"/>
      <c r="V62" s="47">
        <v>0.66520000000000001</v>
      </c>
      <c r="W62" s="47">
        <v>0.66679999999999995</v>
      </c>
      <c r="X62" s="47"/>
      <c r="Y62" s="47"/>
      <c r="Z62" s="47">
        <v>0.67079999999999995</v>
      </c>
      <c r="AA62" s="47">
        <v>0.67310000000000003</v>
      </c>
      <c r="AB62" s="36">
        <v>0.67530000000000001</v>
      </c>
      <c r="AC62" s="56">
        <v>0.67759999999999998</v>
      </c>
      <c r="AD62" s="36"/>
      <c r="AE62" s="36"/>
      <c r="AF62" s="37"/>
      <c r="AG62" s="26"/>
      <c r="AH62" s="27"/>
      <c r="BN62" s="29">
        <v>45402</v>
      </c>
    </row>
    <row r="63" spans="1:66" s="28" customFormat="1" ht="42" customHeight="1">
      <c r="A63" s="38" t="s">
        <v>36</v>
      </c>
      <c r="B63" s="44">
        <v>45717</v>
      </c>
      <c r="C63" s="40">
        <v>45718</v>
      </c>
      <c r="D63" s="40">
        <v>45719</v>
      </c>
      <c r="E63" s="40">
        <v>45720</v>
      </c>
      <c r="F63" s="40">
        <v>45721</v>
      </c>
      <c r="G63" s="40">
        <v>45722</v>
      </c>
      <c r="H63" s="40">
        <v>45723</v>
      </c>
      <c r="I63" s="40">
        <v>45724</v>
      </c>
      <c r="J63" s="40">
        <v>45725</v>
      </c>
      <c r="K63" s="40">
        <v>45726</v>
      </c>
      <c r="L63" s="40">
        <v>45727</v>
      </c>
      <c r="M63" s="40">
        <v>45728</v>
      </c>
      <c r="N63" s="40">
        <v>45729</v>
      </c>
      <c r="O63" s="40">
        <v>45730</v>
      </c>
      <c r="P63" s="40">
        <v>45731</v>
      </c>
      <c r="Q63" s="40">
        <v>45732</v>
      </c>
      <c r="R63" s="40">
        <v>45733</v>
      </c>
      <c r="S63" s="40">
        <v>45734</v>
      </c>
      <c r="T63" s="40">
        <v>45735</v>
      </c>
      <c r="U63" s="40">
        <v>45736</v>
      </c>
      <c r="V63" s="40">
        <v>45737</v>
      </c>
      <c r="W63" s="40">
        <v>45738</v>
      </c>
      <c r="X63" s="40">
        <v>45739</v>
      </c>
      <c r="Y63" s="40">
        <v>45740</v>
      </c>
      <c r="Z63" s="40">
        <v>45741</v>
      </c>
      <c r="AA63" s="40">
        <v>45742</v>
      </c>
      <c r="AB63" s="40">
        <v>45743</v>
      </c>
      <c r="AC63" s="40">
        <v>45744</v>
      </c>
      <c r="AD63" s="40">
        <v>45745</v>
      </c>
      <c r="AE63" s="40">
        <v>45746</v>
      </c>
      <c r="AF63" s="41">
        <v>45747</v>
      </c>
      <c r="AG63" s="26">
        <v>546</v>
      </c>
      <c r="AH63" s="27"/>
      <c r="AK63" s="28">
        <v>730</v>
      </c>
      <c r="BN63" s="29">
        <v>45403</v>
      </c>
    </row>
    <row r="64" spans="1:66" s="28" customFormat="1" ht="42" customHeight="1">
      <c r="A64" s="30" t="s">
        <v>32</v>
      </c>
      <c r="B64" s="45">
        <v>0.59179999999999999</v>
      </c>
      <c r="C64" s="31">
        <v>0.59330000000000005</v>
      </c>
      <c r="D64" s="31">
        <v>0.59470000000000001</v>
      </c>
      <c r="E64" s="31">
        <v>0.59609999999999996</v>
      </c>
      <c r="F64" s="31">
        <v>0.59750000000000003</v>
      </c>
      <c r="G64" s="31">
        <v>0.59899999999999998</v>
      </c>
      <c r="H64" s="31">
        <v>0.60040000000000004</v>
      </c>
      <c r="I64" s="31">
        <v>0.6018</v>
      </c>
      <c r="J64" s="31">
        <v>0.60319999999999996</v>
      </c>
      <c r="K64" s="31">
        <v>0.60470000000000002</v>
      </c>
      <c r="L64" s="31">
        <v>0.60609999999999997</v>
      </c>
      <c r="M64" s="31">
        <v>0.60750000000000004</v>
      </c>
      <c r="N64" s="31">
        <v>0.6089</v>
      </c>
      <c r="O64" s="31">
        <v>0.61040000000000005</v>
      </c>
      <c r="P64" s="31">
        <v>0.61180000000000001</v>
      </c>
      <c r="Q64" s="31">
        <v>0.61319999999999997</v>
      </c>
      <c r="R64" s="31">
        <v>0.61470000000000002</v>
      </c>
      <c r="S64" s="31">
        <v>0.61609999999999998</v>
      </c>
      <c r="T64" s="31">
        <v>0.61760000000000004</v>
      </c>
      <c r="U64" s="31">
        <v>0.61899999999999999</v>
      </c>
      <c r="V64" s="31">
        <v>0.62050000000000005</v>
      </c>
      <c r="W64" s="31">
        <v>0.62190000000000001</v>
      </c>
      <c r="X64" s="31">
        <v>0.62339999999999995</v>
      </c>
      <c r="Y64" s="31">
        <v>0.62480000000000002</v>
      </c>
      <c r="Z64" s="31">
        <v>0.62619999999999998</v>
      </c>
      <c r="AA64" s="31">
        <v>0.62770000000000004</v>
      </c>
      <c r="AB64" s="31">
        <v>0.62909999999999999</v>
      </c>
      <c r="AC64" s="31">
        <v>0.63060000000000005</v>
      </c>
      <c r="AD64" s="31">
        <v>0.63200000000000001</v>
      </c>
      <c r="AE64" s="31">
        <v>0.63349999999999995</v>
      </c>
      <c r="AF64" s="32">
        <v>0.63490000000000002</v>
      </c>
      <c r="AG64" s="33"/>
      <c r="AH64" s="27"/>
      <c r="AI64" s="34">
        <f>AE65-AE64</f>
        <v>8.1600000000000006E-2</v>
      </c>
      <c r="AJ64" s="67">
        <v>324912089</v>
      </c>
      <c r="BN64" s="29">
        <v>45409</v>
      </c>
    </row>
    <row r="65" spans="1:66" s="28" customFormat="1" ht="42" customHeight="1" thickBot="1">
      <c r="A65" s="35" t="s">
        <v>33</v>
      </c>
      <c r="B65" s="49">
        <v>0.67830000000000001</v>
      </c>
      <c r="C65" s="36"/>
      <c r="D65" s="36"/>
      <c r="E65" s="47">
        <v>0.68059999999999998</v>
      </c>
      <c r="F65" s="36"/>
      <c r="G65" s="36"/>
      <c r="H65" s="47">
        <v>0.68389999999999995</v>
      </c>
      <c r="I65" s="47">
        <v>0.6855</v>
      </c>
      <c r="J65" s="47"/>
      <c r="K65" s="47"/>
      <c r="L65" s="47">
        <v>0.69220000000000004</v>
      </c>
      <c r="M65" s="36"/>
      <c r="N65" s="36"/>
      <c r="O65" s="47">
        <v>0.69689999999999996</v>
      </c>
      <c r="P65" s="47">
        <v>0.69830000000000003</v>
      </c>
      <c r="Q65" s="47"/>
      <c r="R65" s="47">
        <v>0.70120000000000005</v>
      </c>
      <c r="S65" s="47">
        <v>0.70269999999999999</v>
      </c>
      <c r="T65" s="47"/>
      <c r="U65" s="47"/>
      <c r="V65" s="47">
        <v>0.70809999999999995</v>
      </c>
      <c r="W65" s="47">
        <v>0.7097</v>
      </c>
      <c r="X65" s="36"/>
      <c r="Y65" s="36"/>
      <c r="Z65" s="47">
        <v>0.71150000000000002</v>
      </c>
      <c r="AA65" s="47">
        <v>0.71220000000000006</v>
      </c>
      <c r="AB65" s="47">
        <v>0.71289999999999998</v>
      </c>
      <c r="AC65" s="47">
        <v>0.71389999999999998</v>
      </c>
      <c r="AD65" s="47">
        <v>0.71450000000000002</v>
      </c>
      <c r="AE65" s="47">
        <v>0.71509999999999996</v>
      </c>
      <c r="AF65" s="50">
        <v>0.71519999999999995</v>
      </c>
      <c r="AG65" s="26"/>
      <c r="AH65" s="27"/>
      <c r="AJ65" s="67">
        <v>383773907</v>
      </c>
      <c r="BN65" s="29">
        <v>45410</v>
      </c>
    </row>
    <row r="66" spans="1:66" s="28" customFormat="1" ht="42" customHeight="1">
      <c r="A66" s="38" t="s">
        <v>36</v>
      </c>
      <c r="B66" s="44">
        <v>45748</v>
      </c>
      <c r="C66" s="40">
        <v>45749</v>
      </c>
      <c r="D66" s="40">
        <v>45750</v>
      </c>
      <c r="E66" s="40">
        <v>45751</v>
      </c>
      <c r="F66" s="40">
        <v>45752</v>
      </c>
      <c r="G66" s="40">
        <v>45753</v>
      </c>
      <c r="H66" s="40">
        <v>45754</v>
      </c>
      <c r="I66" s="40">
        <v>45755</v>
      </c>
      <c r="J66" s="40">
        <v>45756</v>
      </c>
      <c r="K66" s="40">
        <v>45757</v>
      </c>
      <c r="L66" s="40">
        <v>45758</v>
      </c>
      <c r="M66" s="40">
        <v>45759</v>
      </c>
      <c r="N66" s="40">
        <v>45760</v>
      </c>
      <c r="O66" s="40">
        <v>45761</v>
      </c>
      <c r="P66" s="40">
        <v>45762</v>
      </c>
      <c r="Q66" s="40">
        <v>45763</v>
      </c>
      <c r="R66" s="40">
        <v>45764</v>
      </c>
      <c r="S66" s="40">
        <v>45765</v>
      </c>
      <c r="T66" s="40">
        <v>45766</v>
      </c>
      <c r="U66" s="40">
        <v>45767</v>
      </c>
      <c r="V66" s="40">
        <v>45768</v>
      </c>
      <c r="W66" s="40">
        <v>45769</v>
      </c>
      <c r="X66" s="40">
        <v>45770</v>
      </c>
      <c r="Y66" s="40">
        <v>45771</v>
      </c>
      <c r="Z66" s="40">
        <v>45772</v>
      </c>
      <c r="AA66" s="40">
        <v>45773</v>
      </c>
      <c r="AB66" s="40">
        <v>45774</v>
      </c>
      <c r="AC66" s="40">
        <v>45775</v>
      </c>
      <c r="AD66" s="40">
        <v>45776</v>
      </c>
      <c r="AE66" s="40">
        <v>45777</v>
      </c>
      <c r="AF66" s="41"/>
      <c r="AG66" s="26">
        <v>576</v>
      </c>
      <c r="AH66" s="27"/>
      <c r="AJ66" s="28">
        <f>(AJ65-AJ64)/(AJ64/AK63)</f>
        <v>132.24847149346911</v>
      </c>
      <c r="BN66" s="29">
        <v>45416</v>
      </c>
    </row>
    <row r="67" spans="1:66" s="28" customFormat="1" ht="42" customHeight="1">
      <c r="A67" s="30" t="s">
        <v>32</v>
      </c>
      <c r="B67" s="45">
        <v>0.6371</v>
      </c>
      <c r="C67" s="31">
        <v>0.63929999999999998</v>
      </c>
      <c r="D67" s="31">
        <v>0.64149999999999996</v>
      </c>
      <c r="E67" s="31">
        <v>0.64370000000000005</v>
      </c>
      <c r="F67" s="31">
        <v>0.64590000000000003</v>
      </c>
      <c r="G67" s="31">
        <v>0.64810000000000001</v>
      </c>
      <c r="H67" s="31">
        <v>0.65029999999999999</v>
      </c>
      <c r="I67" s="31">
        <v>0.65249999999999997</v>
      </c>
      <c r="J67" s="31">
        <v>0.65469999999999995</v>
      </c>
      <c r="K67" s="31">
        <v>0.65690000000000004</v>
      </c>
      <c r="L67" s="31">
        <v>0.65910000000000002</v>
      </c>
      <c r="M67" s="31">
        <v>0.6613</v>
      </c>
      <c r="N67" s="31">
        <v>0.66349999999999998</v>
      </c>
      <c r="O67" s="31">
        <v>0.66569999999999996</v>
      </c>
      <c r="P67" s="31">
        <v>0.66790000000000005</v>
      </c>
      <c r="Q67" s="31">
        <v>0.67010000000000003</v>
      </c>
      <c r="R67" s="31">
        <v>0.67230000000000001</v>
      </c>
      <c r="S67" s="31">
        <v>0.67449999999999999</v>
      </c>
      <c r="T67" s="31">
        <v>0.67669999999999997</v>
      </c>
      <c r="U67" s="31">
        <v>0.67889999999999995</v>
      </c>
      <c r="V67" s="31">
        <v>0.68110000000000004</v>
      </c>
      <c r="W67" s="31">
        <v>0.68330000000000002</v>
      </c>
      <c r="X67" s="31">
        <v>0.6855</v>
      </c>
      <c r="Y67" s="31">
        <v>0.68769999999999998</v>
      </c>
      <c r="Z67" s="31">
        <v>0.68989999999999996</v>
      </c>
      <c r="AA67" s="31">
        <v>0.69210000000000005</v>
      </c>
      <c r="AB67" s="31">
        <v>0.69430000000000003</v>
      </c>
      <c r="AC67" s="31">
        <v>0.69650000000000001</v>
      </c>
      <c r="AD67" s="31">
        <v>0.69869999999999999</v>
      </c>
      <c r="AE67" s="31">
        <v>0.70089999999999997</v>
      </c>
      <c r="AF67" s="32"/>
      <c r="AG67" s="33"/>
      <c r="AH67" s="27"/>
      <c r="AI67" s="34"/>
      <c r="BN67" s="29">
        <v>45417</v>
      </c>
    </row>
    <row r="68" spans="1:66" s="28" customFormat="1" ht="42" customHeight="1" thickBot="1">
      <c r="A68" s="35" t="s">
        <v>33</v>
      </c>
      <c r="B68" s="49">
        <v>0.7157</v>
      </c>
      <c r="C68" s="47">
        <v>0.71589999999999998</v>
      </c>
      <c r="D68" s="36"/>
      <c r="E68" s="36"/>
      <c r="F68" s="47">
        <v>0.72019999999999995</v>
      </c>
      <c r="G68" s="36"/>
      <c r="H68" s="47">
        <v>0.72389999999999999</v>
      </c>
      <c r="I68" s="47">
        <v>0.72509999999999997</v>
      </c>
      <c r="J68" s="36"/>
      <c r="K68" s="36"/>
      <c r="L68" s="47">
        <v>0.72789999999999999</v>
      </c>
      <c r="M68" s="47">
        <v>0.72929999999999995</v>
      </c>
      <c r="N68" s="36"/>
      <c r="O68" s="36"/>
      <c r="P68" s="47">
        <v>0.73309999999999997</v>
      </c>
      <c r="Q68" s="36"/>
      <c r="R68" s="36"/>
      <c r="S68" s="47">
        <v>0.7369</v>
      </c>
      <c r="T68" s="47">
        <v>0.73819999999999997</v>
      </c>
      <c r="U68" s="36"/>
      <c r="V68" s="47">
        <v>0.73970000000000002</v>
      </c>
      <c r="W68" s="47">
        <v>0.74109999999999998</v>
      </c>
      <c r="X68" s="36"/>
      <c r="Y68" s="36"/>
      <c r="Z68" s="47">
        <v>0.74239999999999995</v>
      </c>
      <c r="AA68" s="47">
        <v>0.74309999999999998</v>
      </c>
      <c r="AB68" s="36"/>
      <c r="AC68" s="65" t="s">
        <v>39</v>
      </c>
      <c r="AD68" s="66" t="s">
        <v>38</v>
      </c>
      <c r="AE68" s="56">
        <v>0.71760000000000002</v>
      </c>
      <c r="AF68" s="37"/>
      <c r="AG68" s="26"/>
      <c r="AH68" s="27"/>
      <c r="BN68" s="29">
        <v>45423</v>
      </c>
    </row>
    <row r="69" spans="1:66" s="28" customFormat="1" ht="42" customHeight="1">
      <c r="A69" s="38" t="s">
        <v>36</v>
      </c>
      <c r="B69" s="44">
        <v>45778</v>
      </c>
      <c r="C69" s="40">
        <v>45779</v>
      </c>
      <c r="D69" s="40">
        <v>45780</v>
      </c>
      <c r="E69" s="40">
        <v>45781</v>
      </c>
      <c r="F69" s="40">
        <v>45782</v>
      </c>
      <c r="G69" s="40">
        <v>45783</v>
      </c>
      <c r="H69" s="40">
        <v>45784</v>
      </c>
      <c r="I69" s="40">
        <v>45785</v>
      </c>
      <c r="J69" s="40">
        <v>45786</v>
      </c>
      <c r="K69" s="40">
        <v>45787</v>
      </c>
      <c r="L69" s="40">
        <v>45788</v>
      </c>
      <c r="M69" s="40">
        <v>45789</v>
      </c>
      <c r="N69" s="40">
        <v>45790</v>
      </c>
      <c r="O69" s="40">
        <v>45791</v>
      </c>
      <c r="P69" s="40">
        <v>45792</v>
      </c>
      <c r="Q69" s="40">
        <v>45793</v>
      </c>
      <c r="R69" s="40">
        <v>45794</v>
      </c>
      <c r="S69" s="40">
        <v>45795</v>
      </c>
      <c r="T69" s="40">
        <v>45796</v>
      </c>
      <c r="U69" s="40">
        <v>45797</v>
      </c>
      <c r="V69" s="40">
        <v>45798</v>
      </c>
      <c r="W69" s="40">
        <v>45799</v>
      </c>
      <c r="X69" s="40">
        <v>45800</v>
      </c>
      <c r="Y69" s="40">
        <v>45801</v>
      </c>
      <c r="Z69" s="40">
        <v>45802</v>
      </c>
      <c r="AA69" s="40">
        <v>45803</v>
      </c>
      <c r="AB69" s="40">
        <v>45804</v>
      </c>
      <c r="AC69" s="40">
        <v>45805</v>
      </c>
      <c r="AD69" s="40">
        <v>45806</v>
      </c>
      <c r="AE69" s="40">
        <v>45807</v>
      </c>
      <c r="AF69" s="41">
        <v>45808</v>
      </c>
      <c r="AG69" s="26">
        <v>607</v>
      </c>
      <c r="AH69" s="27"/>
      <c r="BN69" s="29">
        <v>45424</v>
      </c>
    </row>
    <row r="70" spans="1:66" s="28" customFormat="1" ht="42" customHeight="1">
      <c r="A70" s="30" t="s">
        <v>32</v>
      </c>
      <c r="B70" s="45">
        <v>0.70309999999999995</v>
      </c>
      <c r="C70" s="31">
        <v>0.70530000000000004</v>
      </c>
      <c r="D70" s="31">
        <v>0.70750000000000002</v>
      </c>
      <c r="E70" s="31">
        <v>0.7097</v>
      </c>
      <c r="F70" s="31">
        <v>0.71189999999999998</v>
      </c>
      <c r="G70" s="31">
        <v>0.71409999999999996</v>
      </c>
      <c r="H70" s="31">
        <v>0.71630000000000005</v>
      </c>
      <c r="I70" s="31">
        <v>0.71850000000000003</v>
      </c>
      <c r="J70" s="31">
        <v>0.72070000000000001</v>
      </c>
      <c r="K70" s="31">
        <v>0.72289999999999999</v>
      </c>
      <c r="L70" s="31">
        <v>0.72509999999999997</v>
      </c>
      <c r="M70" s="31">
        <v>0.72729999999999995</v>
      </c>
      <c r="N70" s="31">
        <v>0.72950000000000004</v>
      </c>
      <c r="O70" s="31">
        <v>0.73170000000000002</v>
      </c>
      <c r="P70" s="71">
        <v>0.71609999999999996</v>
      </c>
      <c r="Q70" s="31">
        <f>P70+0.1%</f>
        <v>0.71709999999999996</v>
      </c>
      <c r="R70" s="31">
        <f t="shared" ref="R70:AE70" si="12">Q70+0.1%</f>
        <v>0.71809999999999996</v>
      </c>
      <c r="S70" s="31">
        <f t="shared" si="12"/>
        <v>0.71909999999999996</v>
      </c>
      <c r="T70" s="31">
        <f t="shared" si="12"/>
        <v>0.72009999999999996</v>
      </c>
      <c r="U70" s="31">
        <f t="shared" si="12"/>
        <v>0.72109999999999996</v>
      </c>
      <c r="V70" s="31">
        <f t="shared" si="12"/>
        <v>0.72209999999999996</v>
      </c>
      <c r="W70" s="31">
        <f t="shared" si="12"/>
        <v>0.72309999999999997</v>
      </c>
      <c r="X70" s="31">
        <f t="shared" si="12"/>
        <v>0.72409999999999997</v>
      </c>
      <c r="Y70" s="31">
        <f t="shared" si="12"/>
        <v>0.72509999999999997</v>
      </c>
      <c r="Z70" s="31">
        <f t="shared" si="12"/>
        <v>0.72609999999999997</v>
      </c>
      <c r="AA70" s="31">
        <f t="shared" si="12"/>
        <v>0.72709999999999997</v>
      </c>
      <c r="AB70" s="31">
        <f t="shared" si="12"/>
        <v>0.72809999999999997</v>
      </c>
      <c r="AC70" s="31">
        <f t="shared" si="12"/>
        <v>0.72909999999999997</v>
      </c>
      <c r="AD70" s="31">
        <f t="shared" si="12"/>
        <v>0.73009999999999997</v>
      </c>
      <c r="AE70" s="31">
        <f t="shared" si="12"/>
        <v>0.73109999999999997</v>
      </c>
      <c r="AF70" s="72">
        <v>0.73199999999999998</v>
      </c>
      <c r="AG70" s="33"/>
      <c r="AH70" s="27"/>
      <c r="AI70" s="34"/>
      <c r="BN70" s="29">
        <v>45430</v>
      </c>
    </row>
    <row r="71" spans="1:66" s="28" customFormat="1" ht="42" customHeight="1" thickBot="1">
      <c r="A71" s="35" t="s">
        <v>33</v>
      </c>
      <c r="B71" s="49"/>
      <c r="C71" s="47">
        <v>0.72150000000000003</v>
      </c>
      <c r="D71" s="47">
        <v>0.72189999999999999</v>
      </c>
      <c r="E71" s="36"/>
      <c r="F71" s="36"/>
      <c r="G71" s="47">
        <v>0.72319999999999995</v>
      </c>
      <c r="H71" s="47"/>
      <c r="I71" s="47"/>
      <c r="J71" s="47">
        <v>0.72519999999999996</v>
      </c>
      <c r="K71" s="47">
        <v>0.72629999999999995</v>
      </c>
      <c r="L71" s="36"/>
      <c r="M71" s="36"/>
      <c r="N71" s="47">
        <v>0.73080000000000001</v>
      </c>
      <c r="O71" s="73" t="s">
        <v>40</v>
      </c>
      <c r="P71" s="47">
        <v>0.73509999999999998</v>
      </c>
      <c r="Q71" s="47">
        <v>0.73719999999999997</v>
      </c>
      <c r="R71" s="85">
        <v>0.73929999999999996</v>
      </c>
      <c r="S71" s="36"/>
      <c r="T71" s="36"/>
      <c r="U71" s="47">
        <v>0.74819999999999998</v>
      </c>
      <c r="V71" s="36"/>
      <c r="W71" s="47">
        <v>0.75019999999999998</v>
      </c>
      <c r="X71" s="47">
        <v>0.75049999999999994</v>
      </c>
      <c r="Y71" s="47">
        <v>0.75070000000000003</v>
      </c>
      <c r="Z71" s="36"/>
      <c r="AA71" s="36"/>
      <c r="AB71" s="47">
        <v>0.75090000000000001</v>
      </c>
      <c r="AC71" s="47"/>
      <c r="AD71" s="47"/>
      <c r="AE71" s="47">
        <v>0.75129999999999997</v>
      </c>
      <c r="AF71" s="50">
        <v>0.75149999999999995</v>
      </c>
      <c r="AG71" s="26"/>
      <c r="AH71" s="27"/>
      <c r="BN71" s="29">
        <v>45431</v>
      </c>
    </row>
    <row r="72" spans="1:66" s="28" customFormat="1" ht="42" customHeight="1" thickBot="1">
      <c r="A72" s="23"/>
      <c r="B72" s="77"/>
      <c r="C72" s="78"/>
      <c r="D72" s="78"/>
      <c r="E72" s="79"/>
      <c r="F72" s="79"/>
      <c r="G72" s="78"/>
      <c r="H72" s="78"/>
      <c r="I72" s="78"/>
      <c r="J72" s="78"/>
      <c r="K72" s="78"/>
      <c r="L72" s="79"/>
      <c r="M72" s="79"/>
      <c r="N72" s="78"/>
      <c r="O72" s="80"/>
      <c r="P72" s="78"/>
      <c r="Q72" s="78"/>
      <c r="R72" s="78"/>
      <c r="S72" s="79"/>
      <c r="T72" s="79"/>
      <c r="U72" s="78"/>
      <c r="V72" s="79"/>
      <c r="W72" s="78"/>
      <c r="X72" s="78"/>
      <c r="Y72" s="84">
        <v>0.74119999999999997</v>
      </c>
      <c r="Z72" s="79"/>
      <c r="AA72" s="79"/>
      <c r="AB72" s="78"/>
      <c r="AC72" s="78"/>
      <c r="AD72" s="78"/>
      <c r="AE72" s="78"/>
      <c r="AF72" s="81">
        <v>0.74199999999999999</v>
      </c>
      <c r="AG72" s="26"/>
      <c r="AH72" s="27"/>
      <c r="BN72" s="29"/>
    </row>
    <row r="73" spans="1:66" s="28" customFormat="1" ht="42" customHeight="1">
      <c r="A73" s="38" t="s">
        <v>36</v>
      </c>
      <c r="B73" s="44">
        <v>45809</v>
      </c>
      <c r="C73" s="40">
        <v>45810</v>
      </c>
      <c r="D73" s="40">
        <v>45811</v>
      </c>
      <c r="E73" s="40">
        <v>45812</v>
      </c>
      <c r="F73" s="40">
        <v>45813</v>
      </c>
      <c r="G73" s="40">
        <v>45814</v>
      </c>
      <c r="H73" s="40">
        <v>45815</v>
      </c>
      <c r="I73" s="40">
        <v>45816</v>
      </c>
      <c r="J73" s="40">
        <v>45817</v>
      </c>
      <c r="K73" s="40">
        <v>45818</v>
      </c>
      <c r="L73" s="40">
        <v>45819</v>
      </c>
      <c r="M73" s="40">
        <v>45820</v>
      </c>
      <c r="N73" s="40">
        <v>45821</v>
      </c>
      <c r="O73" s="40">
        <v>45822</v>
      </c>
      <c r="P73" s="40">
        <v>45823</v>
      </c>
      <c r="Q73" s="40">
        <v>45824</v>
      </c>
      <c r="R73" s="40">
        <v>45825</v>
      </c>
      <c r="S73" s="40">
        <v>45826</v>
      </c>
      <c r="T73" s="40">
        <v>45827</v>
      </c>
      <c r="U73" s="40">
        <v>45828</v>
      </c>
      <c r="V73" s="40">
        <v>45829</v>
      </c>
      <c r="W73" s="40">
        <v>45830</v>
      </c>
      <c r="X73" s="40">
        <v>45831</v>
      </c>
      <c r="Y73" s="40">
        <v>45832</v>
      </c>
      <c r="Z73" s="40">
        <v>45833</v>
      </c>
      <c r="AA73" s="40">
        <v>45834</v>
      </c>
      <c r="AB73" s="40">
        <v>45835</v>
      </c>
      <c r="AC73" s="40">
        <v>45836</v>
      </c>
      <c r="AD73" s="40">
        <v>45837</v>
      </c>
      <c r="AE73" s="40">
        <v>45838</v>
      </c>
      <c r="AF73" s="41"/>
      <c r="AG73" s="26">
        <v>637</v>
      </c>
      <c r="AH73" s="27"/>
      <c r="BN73" s="29">
        <v>45437</v>
      </c>
    </row>
    <row r="74" spans="1:66" s="28" customFormat="1" ht="42" customHeight="1">
      <c r="A74" s="30" t="s">
        <v>32</v>
      </c>
      <c r="B74" s="45">
        <f>AF70+0.09%</f>
        <v>0.7329</v>
      </c>
      <c r="C74" s="31">
        <f>B74+0.11%</f>
        <v>0.73399999999999999</v>
      </c>
      <c r="D74" s="31">
        <f t="shared" ref="D74:M74" si="13">C74+0.11%</f>
        <v>0.73509999999999998</v>
      </c>
      <c r="E74" s="31">
        <f t="shared" si="13"/>
        <v>0.73619999999999997</v>
      </c>
      <c r="F74" s="31">
        <f t="shared" si="13"/>
        <v>0.73729999999999996</v>
      </c>
      <c r="G74" s="31">
        <f t="shared" si="13"/>
        <v>0.73839999999999995</v>
      </c>
      <c r="H74" s="31">
        <f>G74+0.1%</f>
        <v>0.73939999999999995</v>
      </c>
      <c r="I74" s="31">
        <f t="shared" si="13"/>
        <v>0.74049999999999994</v>
      </c>
      <c r="J74" s="31">
        <f t="shared" si="13"/>
        <v>0.74159999999999993</v>
      </c>
      <c r="K74" s="31">
        <f t="shared" si="13"/>
        <v>0.74269999999999992</v>
      </c>
      <c r="L74" s="31">
        <f t="shared" si="13"/>
        <v>0.74379999999999991</v>
      </c>
      <c r="M74" s="31">
        <f t="shared" si="13"/>
        <v>0.7448999999999999</v>
      </c>
      <c r="N74" s="31">
        <f>M74+0.1%</f>
        <v>0.7458999999999999</v>
      </c>
      <c r="O74" s="31">
        <f>N74+0.1%</f>
        <v>0.7468999999999999</v>
      </c>
      <c r="P74" s="31">
        <v>0.74790000000000001</v>
      </c>
      <c r="Q74" s="31">
        <f>P74+0.1%</f>
        <v>0.74890000000000001</v>
      </c>
      <c r="R74" s="31">
        <f>Q74+0.1%</f>
        <v>0.74990000000000001</v>
      </c>
      <c r="S74" s="31">
        <f>R74+0.1%</f>
        <v>0.75090000000000001</v>
      </c>
      <c r="T74" s="31">
        <f>S74+0.1%</f>
        <v>0.75190000000000001</v>
      </c>
      <c r="U74" s="31">
        <f>T74+0.1%</f>
        <v>0.75290000000000001</v>
      </c>
      <c r="V74" s="31">
        <f>U74+0.11%</f>
        <v>0.754</v>
      </c>
      <c r="W74" s="31">
        <f t="shared" ref="W74:AD74" si="14">V74+0.11%</f>
        <v>0.75509999999999999</v>
      </c>
      <c r="X74" s="31">
        <f t="shared" si="14"/>
        <v>0.75619999999999998</v>
      </c>
      <c r="Y74" s="31">
        <f t="shared" si="14"/>
        <v>0.75729999999999997</v>
      </c>
      <c r="Z74" s="31">
        <f t="shared" si="14"/>
        <v>0.75839999999999996</v>
      </c>
      <c r="AA74" s="31">
        <f t="shared" si="14"/>
        <v>0.75949999999999995</v>
      </c>
      <c r="AB74" s="31">
        <f t="shared" si="14"/>
        <v>0.76059999999999994</v>
      </c>
      <c r="AC74" s="31">
        <f t="shared" si="14"/>
        <v>0.76169999999999993</v>
      </c>
      <c r="AD74" s="31">
        <f t="shared" si="14"/>
        <v>0.76279999999999992</v>
      </c>
      <c r="AE74" s="71">
        <v>0.76390000000000002</v>
      </c>
      <c r="AF74" s="32"/>
      <c r="AG74" s="33"/>
      <c r="AH74" s="27"/>
      <c r="AI74" s="34"/>
      <c r="BN74" s="29">
        <v>45438</v>
      </c>
    </row>
    <row r="75" spans="1:66" s="28" customFormat="1" ht="42" customHeight="1" thickBot="1">
      <c r="A75" s="35" t="s">
        <v>33</v>
      </c>
      <c r="B75" s="46"/>
      <c r="C75" s="36"/>
      <c r="D75" s="47">
        <v>0.75190000000000001</v>
      </c>
      <c r="E75" s="47"/>
      <c r="F75" s="47"/>
      <c r="G75" s="47">
        <v>0.75329999999999997</v>
      </c>
      <c r="H75" s="47">
        <v>0.75360000000000005</v>
      </c>
      <c r="I75" s="36"/>
      <c r="J75" s="47">
        <v>0.75380000000000003</v>
      </c>
      <c r="K75" s="47">
        <v>0.75509999999999999</v>
      </c>
      <c r="L75" s="36"/>
      <c r="M75" s="36"/>
      <c r="N75" s="47">
        <v>0.75719999999999998</v>
      </c>
      <c r="O75" s="47">
        <v>0.7581</v>
      </c>
      <c r="P75" s="47">
        <v>0.75939999999999996</v>
      </c>
      <c r="Q75" s="36"/>
      <c r="R75" s="47">
        <v>0.76180000000000003</v>
      </c>
      <c r="S75" s="47"/>
      <c r="T75" s="47"/>
      <c r="U75" s="47">
        <v>0.76619999999999999</v>
      </c>
      <c r="V75" s="47">
        <v>0.76790000000000003</v>
      </c>
      <c r="W75" s="36"/>
      <c r="X75" s="47">
        <v>0.76819999999999999</v>
      </c>
      <c r="Y75" s="47">
        <v>0.76849999999999996</v>
      </c>
      <c r="Z75" s="36"/>
      <c r="AA75" s="36"/>
      <c r="AB75" s="47">
        <v>0.76890000000000003</v>
      </c>
      <c r="AC75" s="47">
        <v>0.76900000000000002</v>
      </c>
      <c r="AD75" s="36"/>
      <c r="AE75" s="47">
        <v>0.76919999999999999</v>
      </c>
      <c r="AF75" s="37"/>
      <c r="AG75" s="26"/>
      <c r="AH75" s="27"/>
      <c r="BN75" s="29">
        <v>45444</v>
      </c>
    </row>
    <row r="76" spans="1:66" s="28" customFormat="1" ht="42" customHeight="1" thickBot="1">
      <c r="A76" s="23"/>
      <c r="B76" s="82"/>
      <c r="C76" s="79"/>
      <c r="D76" s="78"/>
      <c r="E76" s="78"/>
      <c r="F76" s="78"/>
      <c r="G76" s="78"/>
      <c r="H76" s="78"/>
      <c r="I76" s="79"/>
      <c r="J76" s="78"/>
      <c r="K76" s="78"/>
      <c r="L76" s="79"/>
      <c r="M76" s="79"/>
      <c r="N76" s="78"/>
      <c r="O76" s="78"/>
      <c r="P76" s="78"/>
      <c r="Q76" s="79"/>
      <c r="R76" s="78"/>
      <c r="S76" s="78"/>
      <c r="T76" s="78"/>
      <c r="U76" s="78"/>
      <c r="V76" s="78"/>
      <c r="W76" s="79"/>
      <c r="X76" s="78"/>
      <c r="Y76" s="78"/>
      <c r="Z76" s="79"/>
      <c r="AA76" s="79"/>
      <c r="AB76" s="78"/>
      <c r="AC76" s="78"/>
      <c r="AD76" s="79"/>
      <c r="AE76" s="79"/>
      <c r="AF76" s="83"/>
      <c r="AG76" s="26"/>
      <c r="AH76" s="27"/>
      <c r="BN76" s="29"/>
    </row>
    <row r="77" spans="1:66" s="28" customFormat="1" ht="42" customHeight="1">
      <c r="A77" s="38" t="s">
        <v>36</v>
      </c>
      <c r="B77" s="44">
        <v>45839</v>
      </c>
      <c r="C77" s="40">
        <v>45840</v>
      </c>
      <c r="D77" s="40">
        <v>45841</v>
      </c>
      <c r="E77" s="40">
        <v>45842</v>
      </c>
      <c r="F77" s="69">
        <v>45843</v>
      </c>
      <c r="G77" s="40">
        <v>45844</v>
      </c>
      <c r="H77" s="40">
        <v>45845</v>
      </c>
      <c r="I77" s="40">
        <v>45846</v>
      </c>
      <c r="J77" s="40">
        <v>45847</v>
      </c>
      <c r="K77" s="40">
        <v>45848</v>
      </c>
      <c r="L77" s="40">
        <v>45849</v>
      </c>
      <c r="M77" s="40">
        <v>45850</v>
      </c>
      <c r="N77" s="40">
        <v>45851</v>
      </c>
      <c r="O77" s="40">
        <v>45852</v>
      </c>
      <c r="P77" s="40">
        <v>45853</v>
      </c>
      <c r="Q77" s="40">
        <v>45854</v>
      </c>
      <c r="R77" s="40">
        <v>45855</v>
      </c>
      <c r="S77" s="40">
        <v>45856</v>
      </c>
      <c r="T77" s="40">
        <v>45857</v>
      </c>
      <c r="U77" s="40">
        <v>45858</v>
      </c>
      <c r="V77" s="40">
        <v>45859</v>
      </c>
      <c r="W77" s="40">
        <v>45860</v>
      </c>
      <c r="X77" s="40">
        <v>45861</v>
      </c>
      <c r="Y77" s="40">
        <v>45862</v>
      </c>
      <c r="Z77" s="40">
        <v>45863</v>
      </c>
      <c r="AA77" s="40">
        <v>45864</v>
      </c>
      <c r="AB77" s="40">
        <v>45865</v>
      </c>
      <c r="AC77" s="40">
        <v>45866</v>
      </c>
      <c r="AD77" s="40">
        <v>45867</v>
      </c>
      <c r="AE77" s="40">
        <v>45868</v>
      </c>
      <c r="AF77" s="41">
        <v>45869</v>
      </c>
      <c r="AG77" s="26">
        <v>668</v>
      </c>
      <c r="AH77" s="27"/>
      <c r="BN77" s="29">
        <v>45445</v>
      </c>
    </row>
    <row r="78" spans="1:66" s="28" customFormat="1" ht="42" customHeight="1">
      <c r="A78" s="30" t="s">
        <v>32</v>
      </c>
      <c r="B78" s="45">
        <f>AE74+0.11%</f>
        <v>0.76500000000000001</v>
      </c>
      <c r="C78" s="45">
        <f>B78+0.11%</f>
        <v>0.7661</v>
      </c>
      <c r="D78" s="45">
        <f t="shared" ref="D78:K78" si="15">C78+0.11%</f>
        <v>0.76719999999999999</v>
      </c>
      <c r="E78" s="45">
        <f t="shared" si="15"/>
        <v>0.76829999999999998</v>
      </c>
      <c r="F78" s="45">
        <f t="shared" si="15"/>
        <v>0.76939999999999997</v>
      </c>
      <c r="G78" s="45">
        <f t="shared" si="15"/>
        <v>0.77049999999999996</v>
      </c>
      <c r="H78" s="45">
        <f t="shared" si="15"/>
        <v>0.77159999999999995</v>
      </c>
      <c r="I78" s="45">
        <f t="shared" si="15"/>
        <v>0.77269999999999994</v>
      </c>
      <c r="J78" s="45">
        <f t="shared" si="15"/>
        <v>0.77379999999999993</v>
      </c>
      <c r="K78" s="45">
        <f t="shared" si="15"/>
        <v>0.77489999999999992</v>
      </c>
      <c r="L78" s="45">
        <f>K78+0.1%</f>
        <v>0.77589999999999992</v>
      </c>
      <c r="M78" s="45">
        <f>L78+0.1%</f>
        <v>0.77689999999999992</v>
      </c>
      <c r="N78" s="45">
        <f>M78+0.1%</f>
        <v>0.77789999999999992</v>
      </c>
      <c r="O78" s="45">
        <f>N78+0.1%</f>
        <v>0.77889999999999993</v>
      </c>
      <c r="P78" s="31">
        <v>0.77990000000000004</v>
      </c>
      <c r="Q78" s="31">
        <f>P78+0.1%</f>
        <v>0.78090000000000004</v>
      </c>
      <c r="R78" s="31">
        <f t="shared" ref="R78:AE78" si="16">Q78+0.1%</f>
        <v>0.78190000000000004</v>
      </c>
      <c r="S78" s="31">
        <f t="shared" si="16"/>
        <v>0.78290000000000004</v>
      </c>
      <c r="T78" s="31">
        <f t="shared" si="16"/>
        <v>0.78390000000000004</v>
      </c>
      <c r="U78" s="31">
        <f t="shared" si="16"/>
        <v>0.78490000000000004</v>
      </c>
      <c r="V78" s="31">
        <f t="shared" si="16"/>
        <v>0.78590000000000004</v>
      </c>
      <c r="W78" s="31">
        <f t="shared" si="16"/>
        <v>0.78690000000000004</v>
      </c>
      <c r="X78" s="31">
        <f t="shared" si="16"/>
        <v>0.78790000000000004</v>
      </c>
      <c r="Y78" s="31">
        <f t="shared" si="16"/>
        <v>0.78890000000000005</v>
      </c>
      <c r="Z78" s="31">
        <f t="shared" si="16"/>
        <v>0.78990000000000005</v>
      </c>
      <c r="AA78" s="31">
        <f t="shared" si="16"/>
        <v>0.79090000000000005</v>
      </c>
      <c r="AB78" s="31">
        <f t="shared" si="16"/>
        <v>0.79190000000000005</v>
      </c>
      <c r="AC78" s="31">
        <f t="shared" si="16"/>
        <v>0.79290000000000005</v>
      </c>
      <c r="AD78" s="31">
        <f t="shared" si="16"/>
        <v>0.79390000000000005</v>
      </c>
      <c r="AE78" s="31">
        <f t="shared" si="16"/>
        <v>0.79490000000000005</v>
      </c>
      <c r="AF78" s="72">
        <v>0.79600000000000004</v>
      </c>
      <c r="AG78" s="33"/>
      <c r="AH78" s="27"/>
      <c r="AI78" s="34"/>
      <c r="BN78" s="29">
        <v>45451</v>
      </c>
    </row>
    <row r="79" spans="1:66" s="28" customFormat="1" ht="42" customHeight="1" thickBot="1">
      <c r="A79" s="35" t="s">
        <v>33</v>
      </c>
      <c r="B79" s="49">
        <v>0.76949999999999996</v>
      </c>
      <c r="C79" s="36"/>
      <c r="D79" s="36"/>
      <c r="E79" s="47">
        <v>0.77390000000000003</v>
      </c>
      <c r="F79" s="47">
        <v>0.77429999999999999</v>
      </c>
      <c r="G79" s="47"/>
      <c r="H79" s="47">
        <v>0.77549999999999997</v>
      </c>
      <c r="I79" s="47">
        <v>0.7762</v>
      </c>
      <c r="J79" s="36"/>
      <c r="K79" s="36"/>
      <c r="L79" s="47">
        <v>0.7782</v>
      </c>
      <c r="M79" s="47">
        <v>0.77910000000000001</v>
      </c>
      <c r="N79" s="36"/>
      <c r="O79" s="36"/>
      <c r="P79" s="47">
        <v>0.78269999999999995</v>
      </c>
      <c r="Q79" s="47"/>
      <c r="R79" s="47"/>
      <c r="S79" s="47">
        <v>0.78510000000000002</v>
      </c>
      <c r="T79" s="47">
        <v>0.78620000000000001</v>
      </c>
      <c r="U79" s="36"/>
      <c r="V79" s="36"/>
      <c r="W79" s="47">
        <v>0.78979999999999995</v>
      </c>
      <c r="X79" s="36"/>
      <c r="Y79" s="36"/>
      <c r="Z79" s="47">
        <v>0.79220000000000002</v>
      </c>
      <c r="AA79" s="47">
        <v>0.79349999999999998</v>
      </c>
      <c r="AB79" s="36"/>
      <c r="AC79" s="36"/>
      <c r="AD79" s="47">
        <v>0.79620000000000002</v>
      </c>
      <c r="AE79" s="36"/>
      <c r="AF79" s="50">
        <v>0.79930000000000001</v>
      </c>
      <c r="AG79" s="26"/>
      <c r="AH79" s="86">
        <v>0.78949999999999998</v>
      </c>
      <c r="BN79" s="29">
        <v>45452</v>
      </c>
    </row>
    <row r="80" spans="1:66" s="28" customFormat="1" ht="42" customHeight="1">
      <c r="A80" s="38" t="s">
        <v>36</v>
      </c>
      <c r="B80" s="44">
        <v>45870</v>
      </c>
      <c r="C80" s="40">
        <v>45871</v>
      </c>
      <c r="D80" s="40">
        <v>45872</v>
      </c>
      <c r="E80" s="40">
        <v>45873</v>
      </c>
      <c r="F80" s="40">
        <v>45874</v>
      </c>
      <c r="G80" s="40">
        <v>45875</v>
      </c>
      <c r="H80" s="40">
        <v>45876</v>
      </c>
      <c r="I80" s="40">
        <v>45877</v>
      </c>
      <c r="J80" s="68">
        <v>45878</v>
      </c>
      <c r="K80" s="40">
        <v>45879</v>
      </c>
      <c r="L80" s="40">
        <v>45880</v>
      </c>
      <c r="M80" s="40">
        <v>45881</v>
      </c>
      <c r="N80" s="40">
        <v>45882</v>
      </c>
      <c r="O80" s="40">
        <v>45883</v>
      </c>
      <c r="P80" s="40">
        <v>45884</v>
      </c>
      <c r="Q80" s="40">
        <v>45885</v>
      </c>
      <c r="R80" s="40">
        <v>45886</v>
      </c>
      <c r="S80" s="40">
        <v>45887</v>
      </c>
      <c r="T80" s="40">
        <v>45888</v>
      </c>
      <c r="U80" s="40">
        <v>45889</v>
      </c>
      <c r="V80" s="40">
        <v>45890</v>
      </c>
      <c r="W80" s="40">
        <v>45891</v>
      </c>
      <c r="X80" s="40">
        <v>45892</v>
      </c>
      <c r="Y80" s="40">
        <v>45893</v>
      </c>
      <c r="Z80" s="40">
        <v>45894</v>
      </c>
      <c r="AA80" s="40">
        <v>45895</v>
      </c>
      <c r="AB80" s="40">
        <v>45896</v>
      </c>
      <c r="AC80" s="40">
        <v>45897</v>
      </c>
      <c r="AD80" s="40">
        <v>45898</v>
      </c>
      <c r="AE80" s="40">
        <v>45899</v>
      </c>
      <c r="AF80" s="41">
        <v>45900</v>
      </c>
      <c r="AG80" s="26">
        <v>699</v>
      </c>
      <c r="AH80" s="27"/>
      <c r="BN80" s="29">
        <v>45458</v>
      </c>
    </row>
    <row r="81" spans="1:66" s="28" customFormat="1" ht="42" customHeight="1">
      <c r="A81" s="30" t="s">
        <v>32</v>
      </c>
      <c r="B81" s="45">
        <f>AF78+0.11%</f>
        <v>0.79710000000000003</v>
      </c>
      <c r="C81" s="45">
        <f>B81+0.11%</f>
        <v>0.79820000000000002</v>
      </c>
      <c r="D81" s="45">
        <f t="shared" ref="D81:M81" si="17">C81+0.11%</f>
        <v>0.79930000000000001</v>
      </c>
      <c r="E81" s="45">
        <f t="shared" si="17"/>
        <v>0.8004</v>
      </c>
      <c r="F81" s="45">
        <f t="shared" si="17"/>
        <v>0.80149999999999999</v>
      </c>
      <c r="G81" s="45">
        <f t="shared" si="17"/>
        <v>0.80259999999999998</v>
      </c>
      <c r="H81" s="45">
        <f t="shared" si="17"/>
        <v>0.80369999999999997</v>
      </c>
      <c r="I81" s="45">
        <f t="shared" si="17"/>
        <v>0.80479999999999996</v>
      </c>
      <c r="J81" s="45">
        <f>I81+0.1%</f>
        <v>0.80579999999999996</v>
      </c>
      <c r="K81" s="45">
        <f t="shared" si="17"/>
        <v>0.80689999999999995</v>
      </c>
      <c r="L81" s="45">
        <f>K81+0.1%</f>
        <v>0.80789999999999995</v>
      </c>
      <c r="M81" s="45">
        <f t="shared" si="17"/>
        <v>0.80899999999999994</v>
      </c>
      <c r="N81" s="45">
        <f>M81+0.11%</f>
        <v>0.81009999999999993</v>
      </c>
      <c r="O81" s="45">
        <f>N81+0.1%</f>
        <v>0.81109999999999993</v>
      </c>
      <c r="P81" s="45">
        <f t="shared" ref="P81:AD81" si="18">O81+0.1%</f>
        <v>0.81209999999999993</v>
      </c>
      <c r="Q81" s="45">
        <f t="shared" si="18"/>
        <v>0.81309999999999993</v>
      </c>
      <c r="R81" s="45">
        <f t="shared" si="18"/>
        <v>0.81409999999999993</v>
      </c>
      <c r="S81" s="45">
        <f t="shared" si="18"/>
        <v>0.81509999999999994</v>
      </c>
      <c r="T81" s="45">
        <f t="shared" si="18"/>
        <v>0.81609999999999994</v>
      </c>
      <c r="U81" s="45">
        <f t="shared" si="18"/>
        <v>0.81709999999999994</v>
      </c>
      <c r="V81" s="45">
        <f t="shared" si="18"/>
        <v>0.81809999999999994</v>
      </c>
      <c r="W81" s="45">
        <f t="shared" si="18"/>
        <v>0.81909999999999994</v>
      </c>
      <c r="X81" s="45">
        <f t="shared" si="18"/>
        <v>0.82009999999999994</v>
      </c>
      <c r="Y81" s="45">
        <f t="shared" si="18"/>
        <v>0.82109999999999994</v>
      </c>
      <c r="Z81" s="45">
        <f t="shared" si="18"/>
        <v>0.82209999999999994</v>
      </c>
      <c r="AA81" s="45">
        <f>Z81+0.11%</f>
        <v>0.82319999999999993</v>
      </c>
      <c r="AB81" s="45">
        <f t="shared" si="18"/>
        <v>0.82419999999999993</v>
      </c>
      <c r="AC81" s="45">
        <f t="shared" si="18"/>
        <v>0.82519999999999993</v>
      </c>
      <c r="AD81" s="45">
        <f t="shared" si="18"/>
        <v>0.82619999999999993</v>
      </c>
      <c r="AE81" s="45">
        <f>AD81+0.11%</f>
        <v>0.82729999999999992</v>
      </c>
      <c r="AF81" s="72">
        <v>0.82830000000000004</v>
      </c>
      <c r="AG81" s="33"/>
      <c r="AH81" s="27"/>
      <c r="AI81" s="34"/>
      <c r="BN81" s="29">
        <v>45459</v>
      </c>
    </row>
    <row r="82" spans="1:66" s="28" customFormat="1" ht="42" customHeight="1" thickBot="1">
      <c r="A82" s="35" t="s">
        <v>33</v>
      </c>
      <c r="B82" s="49">
        <v>0.80130000000000001</v>
      </c>
      <c r="C82" s="47">
        <v>0.80210000000000004</v>
      </c>
      <c r="D82" s="36"/>
      <c r="E82" s="47">
        <v>0.80549999999999999</v>
      </c>
      <c r="F82" s="47">
        <v>0.80610000000000004</v>
      </c>
      <c r="G82" s="47">
        <v>0.80710000000000004</v>
      </c>
      <c r="H82" s="36"/>
      <c r="I82" s="47">
        <v>0.80930000000000002</v>
      </c>
      <c r="J82" s="47">
        <v>0.80969999999999998</v>
      </c>
      <c r="K82" s="36"/>
      <c r="L82" s="36"/>
      <c r="M82" s="47">
        <v>0.81169999999999998</v>
      </c>
      <c r="N82" s="36"/>
      <c r="O82" s="36"/>
      <c r="P82" s="47">
        <v>0.81559999999999999</v>
      </c>
      <c r="Q82" s="47">
        <v>0.81689999999999996</v>
      </c>
      <c r="R82" s="36"/>
      <c r="S82" s="47">
        <v>0.81759999999999999</v>
      </c>
      <c r="T82" s="47">
        <v>0.81859999999999999</v>
      </c>
      <c r="U82" s="36"/>
      <c r="V82" s="36"/>
      <c r="W82" s="47">
        <v>0.82230000000000003</v>
      </c>
      <c r="X82" s="47">
        <v>0.82320000000000004</v>
      </c>
      <c r="Y82" s="36"/>
      <c r="Z82" s="36"/>
      <c r="AA82" s="47">
        <v>0.82589999999999997</v>
      </c>
      <c r="AB82" s="36"/>
      <c r="AC82" s="36"/>
      <c r="AD82" s="47">
        <v>0.82850000000000001</v>
      </c>
      <c r="AE82" s="47">
        <v>0.82909999999999995</v>
      </c>
      <c r="AF82" s="50">
        <v>0.82969999999999999</v>
      </c>
      <c r="AG82" s="26"/>
      <c r="AH82" s="27"/>
      <c r="BN82" s="29">
        <v>45465</v>
      </c>
    </row>
    <row r="83" spans="1:66" s="28" customFormat="1" ht="42" customHeight="1">
      <c r="A83" s="38" t="s">
        <v>36</v>
      </c>
      <c r="B83" s="44">
        <v>45901</v>
      </c>
      <c r="C83" s="40">
        <v>45902</v>
      </c>
      <c r="D83" s="40">
        <v>45903</v>
      </c>
      <c r="E83" s="40">
        <v>45904</v>
      </c>
      <c r="F83" s="40">
        <v>45905</v>
      </c>
      <c r="G83" s="40">
        <v>45906</v>
      </c>
      <c r="H83" s="68">
        <v>45907</v>
      </c>
      <c r="I83" s="68">
        <v>45908</v>
      </c>
      <c r="J83" s="40">
        <v>45909</v>
      </c>
      <c r="K83" s="40">
        <v>45910</v>
      </c>
      <c r="L83" s="40">
        <v>45911</v>
      </c>
      <c r="M83" s="40">
        <v>45912</v>
      </c>
      <c r="N83" s="68">
        <v>45913</v>
      </c>
      <c r="O83" s="68">
        <v>45914</v>
      </c>
      <c r="P83" s="40">
        <v>45915</v>
      </c>
      <c r="Q83" s="40">
        <v>45916</v>
      </c>
      <c r="R83" s="40">
        <v>45917</v>
      </c>
      <c r="S83" s="40">
        <v>45918</v>
      </c>
      <c r="T83" s="40">
        <v>45919</v>
      </c>
      <c r="U83" s="40">
        <v>45920</v>
      </c>
      <c r="V83" s="40">
        <v>45921</v>
      </c>
      <c r="W83" s="40">
        <v>45922</v>
      </c>
      <c r="X83" s="40">
        <v>45923</v>
      </c>
      <c r="Y83" s="40">
        <v>45924</v>
      </c>
      <c r="Z83" s="40">
        <v>45925</v>
      </c>
      <c r="AA83" s="40">
        <v>45926</v>
      </c>
      <c r="AB83" s="40">
        <v>45927</v>
      </c>
      <c r="AC83" s="40">
        <v>45928</v>
      </c>
      <c r="AD83" s="40">
        <v>45929</v>
      </c>
      <c r="AE83" s="40">
        <v>45930</v>
      </c>
      <c r="AF83" s="41"/>
      <c r="AG83" s="26">
        <v>729</v>
      </c>
      <c r="AH83" s="27"/>
      <c r="BN83" s="29">
        <v>45466</v>
      </c>
    </row>
    <row r="84" spans="1:66" s="28" customFormat="1" ht="42" customHeight="1">
      <c r="A84" s="30" t="s">
        <v>32</v>
      </c>
      <c r="B84" s="45">
        <f>AF81+0.11%</f>
        <v>0.82940000000000003</v>
      </c>
      <c r="C84" s="45">
        <f>B84+0.11%</f>
        <v>0.83050000000000002</v>
      </c>
      <c r="D84" s="45">
        <f t="shared" ref="D84:AD84" si="19">C84+0.11%</f>
        <v>0.83160000000000001</v>
      </c>
      <c r="E84" s="45">
        <f t="shared" si="19"/>
        <v>0.8327</v>
      </c>
      <c r="F84" s="45">
        <f t="shared" si="19"/>
        <v>0.83379999999999999</v>
      </c>
      <c r="G84" s="45">
        <f t="shared" si="19"/>
        <v>0.83489999999999998</v>
      </c>
      <c r="H84" s="45">
        <f t="shared" si="19"/>
        <v>0.83599999999999997</v>
      </c>
      <c r="I84" s="45">
        <f t="shared" si="19"/>
        <v>0.83709999999999996</v>
      </c>
      <c r="J84" s="45">
        <f>I84+0.12%</f>
        <v>0.83829999999999993</v>
      </c>
      <c r="K84" s="45">
        <f t="shared" si="19"/>
        <v>0.83939999999999992</v>
      </c>
      <c r="L84" s="45">
        <f t="shared" si="19"/>
        <v>0.84049999999999991</v>
      </c>
      <c r="M84" s="45">
        <f t="shared" si="19"/>
        <v>0.8415999999999999</v>
      </c>
      <c r="N84" s="45">
        <f t="shared" si="19"/>
        <v>0.84269999999999989</v>
      </c>
      <c r="O84" s="45">
        <f t="shared" si="19"/>
        <v>0.84379999999999988</v>
      </c>
      <c r="P84" s="45">
        <f t="shared" si="19"/>
        <v>0.84489999999999987</v>
      </c>
      <c r="Q84" s="45">
        <f t="shared" si="19"/>
        <v>0.84599999999999986</v>
      </c>
      <c r="R84" s="45">
        <f t="shared" si="19"/>
        <v>0.84709999999999985</v>
      </c>
      <c r="S84" s="45">
        <f t="shared" si="19"/>
        <v>0.84819999999999984</v>
      </c>
      <c r="T84" s="45">
        <f t="shared" si="19"/>
        <v>0.84929999999999983</v>
      </c>
      <c r="U84" s="45">
        <f t="shared" si="19"/>
        <v>0.85039999999999982</v>
      </c>
      <c r="V84" s="45">
        <f t="shared" si="19"/>
        <v>0.85149999999999981</v>
      </c>
      <c r="W84" s="45">
        <f t="shared" si="19"/>
        <v>0.8525999999999998</v>
      </c>
      <c r="X84" s="45">
        <f t="shared" si="19"/>
        <v>0.85369999999999979</v>
      </c>
      <c r="Y84" s="45">
        <f t="shared" si="19"/>
        <v>0.85479999999999978</v>
      </c>
      <c r="Z84" s="45">
        <f t="shared" si="19"/>
        <v>0.85589999999999977</v>
      </c>
      <c r="AA84" s="45">
        <f t="shared" si="19"/>
        <v>0.85699999999999976</v>
      </c>
      <c r="AB84" s="45">
        <f t="shared" si="19"/>
        <v>0.85809999999999975</v>
      </c>
      <c r="AC84" s="45">
        <f t="shared" si="19"/>
        <v>0.85919999999999974</v>
      </c>
      <c r="AD84" s="45">
        <f t="shared" si="19"/>
        <v>0.86029999999999973</v>
      </c>
      <c r="AE84" s="71">
        <v>0.86150000000000004</v>
      </c>
      <c r="AF84" s="32"/>
      <c r="AG84" s="33"/>
      <c r="AH84" s="27"/>
      <c r="AI84" s="34"/>
      <c r="BN84" s="29">
        <v>45472</v>
      </c>
    </row>
    <row r="85" spans="1:66" s="28" customFormat="1" ht="42" customHeight="1" thickBot="1">
      <c r="A85" s="35" t="s">
        <v>33</v>
      </c>
      <c r="B85" s="46"/>
      <c r="C85" s="47">
        <v>0.8337</v>
      </c>
      <c r="D85" s="36"/>
      <c r="E85" s="36"/>
      <c r="F85" s="47">
        <v>0.83809999999999996</v>
      </c>
      <c r="G85" s="47">
        <v>0.83979999999999999</v>
      </c>
      <c r="H85" s="36"/>
      <c r="I85" s="47">
        <v>0.84230000000000005</v>
      </c>
      <c r="J85" s="47">
        <v>0.84350000000000003</v>
      </c>
      <c r="K85" s="36"/>
      <c r="L85" s="36"/>
      <c r="M85" s="47">
        <v>0.84670000000000001</v>
      </c>
      <c r="N85" s="47">
        <v>0.84750000000000003</v>
      </c>
      <c r="O85" s="36"/>
      <c r="P85" s="47">
        <v>0.8488</v>
      </c>
      <c r="Q85" s="47">
        <v>0.84919999999999995</v>
      </c>
      <c r="R85" s="36"/>
      <c r="S85" s="36"/>
      <c r="T85" s="47">
        <v>0.85189999999999999</v>
      </c>
      <c r="U85" s="47">
        <v>0.85560000000000003</v>
      </c>
      <c r="V85" s="36"/>
      <c r="W85" s="47">
        <v>0.8579</v>
      </c>
      <c r="X85" s="47">
        <v>0.8589</v>
      </c>
      <c r="Y85" s="36"/>
      <c r="Z85" s="36"/>
      <c r="AA85" s="47">
        <v>0.8619</v>
      </c>
      <c r="AB85" s="47">
        <v>0.86319999999999997</v>
      </c>
      <c r="AC85" s="47"/>
      <c r="AD85" s="47"/>
      <c r="AE85" s="47">
        <v>0.86509999999999998</v>
      </c>
      <c r="AF85" s="37"/>
      <c r="AG85" s="26"/>
      <c r="AH85" s="27"/>
      <c r="BN85" s="29">
        <v>45473</v>
      </c>
    </row>
    <row r="86" spans="1:66" ht="42" customHeight="1">
      <c r="A86" s="38" t="s">
        <v>36</v>
      </c>
      <c r="B86" s="44">
        <v>45931</v>
      </c>
      <c r="C86" s="44">
        <v>45932</v>
      </c>
      <c r="D86" s="44">
        <v>45933</v>
      </c>
      <c r="E86" s="76">
        <v>45934</v>
      </c>
      <c r="F86" s="76">
        <v>45935</v>
      </c>
      <c r="G86" s="44">
        <v>45936</v>
      </c>
      <c r="H86" s="44">
        <v>45937</v>
      </c>
      <c r="I86" s="44">
        <v>45938</v>
      </c>
      <c r="J86" s="44">
        <v>45939</v>
      </c>
      <c r="K86" s="44">
        <v>45940</v>
      </c>
      <c r="L86" s="76">
        <v>45941</v>
      </c>
      <c r="M86" s="76">
        <v>45942</v>
      </c>
      <c r="N86" s="44">
        <v>45943</v>
      </c>
      <c r="O86" s="44">
        <v>45944</v>
      </c>
      <c r="P86" s="44">
        <v>45945</v>
      </c>
      <c r="Q86" s="44">
        <v>45946</v>
      </c>
      <c r="R86" s="44">
        <v>45947</v>
      </c>
      <c r="S86" s="76">
        <v>45948</v>
      </c>
      <c r="T86" s="76">
        <v>45949</v>
      </c>
      <c r="U86" s="44">
        <v>45950</v>
      </c>
      <c r="V86" s="44">
        <v>45951</v>
      </c>
      <c r="W86" s="44">
        <v>45952</v>
      </c>
      <c r="X86" s="44">
        <v>45953</v>
      </c>
      <c r="Y86" s="44">
        <v>45954</v>
      </c>
      <c r="Z86" s="76">
        <v>45955</v>
      </c>
      <c r="AA86" s="76">
        <v>45956</v>
      </c>
      <c r="AB86" s="44">
        <v>45957</v>
      </c>
      <c r="AC86" s="44">
        <v>45958</v>
      </c>
      <c r="AD86" s="44">
        <v>45959</v>
      </c>
      <c r="AE86" s="44">
        <v>45960</v>
      </c>
      <c r="AF86" s="44">
        <v>45961</v>
      </c>
      <c r="AG86" s="2">
        <v>760</v>
      </c>
      <c r="BN86" s="3">
        <v>45487</v>
      </c>
    </row>
    <row r="87" spans="1:66" ht="42" customHeight="1">
      <c r="A87" s="30" t="s">
        <v>32</v>
      </c>
      <c r="B87" s="45">
        <f>AE84+0.11%</f>
        <v>0.86260000000000003</v>
      </c>
      <c r="C87" s="45">
        <f>B87+0.11%</f>
        <v>0.86370000000000002</v>
      </c>
      <c r="D87" s="45">
        <f t="shared" ref="D87:AE87" si="20">C87+0.11%</f>
        <v>0.86480000000000001</v>
      </c>
      <c r="E87" s="45">
        <f t="shared" si="20"/>
        <v>0.8659</v>
      </c>
      <c r="F87" s="45">
        <f t="shared" si="20"/>
        <v>0.86699999999999999</v>
      </c>
      <c r="G87" s="45">
        <f t="shared" si="20"/>
        <v>0.86809999999999998</v>
      </c>
      <c r="H87" s="45">
        <f t="shared" si="20"/>
        <v>0.86919999999999997</v>
      </c>
      <c r="I87" s="45">
        <f t="shared" si="20"/>
        <v>0.87029999999999996</v>
      </c>
      <c r="J87" s="45">
        <f t="shared" si="20"/>
        <v>0.87139999999999995</v>
      </c>
      <c r="K87" s="45">
        <f t="shared" si="20"/>
        <v>0.87249999999999994</v>
      </c>
      <c r="L87" s="45">
        <f t="shared" si="20"/>
        <v>0.87359999999999993</v>
      </c>
      <c r="M87" s="45">
        <f t="shared" si="20"/>
        <v>0.87469999999999992</v>
      </c>
      <c r="N87" s="45">
        <f t="shared" si="20"/>
        <v>0.87579999999999991</v>
      </c>
      <c r="O87" s="45">
        <f t="shared" si="20"/>
        <v>0.8768999999999999</v>
      </c>
      <c r="P87" s="45">
        <f t="shared" si="20"/>
        <v>0.87799999999999989</v>
      </c>
      <c r="Q87" s="45">
        <f t="shared" si="20"/>
        <v>0.87909999999999988</v>
      </c>
      <c r="R87" s="45">
        <f t="shared" si="20"/>
        <v>0.88019999999999987</v>
      </c>
      <c r="S87" s="45">
        <f t="shared" si="20"/>
        <v>0.88129999999999986</v>
      </c>
      <c r="T87" s="45">
        <f t="shared" si="20"/>
        <v>0.88239999999999985</v>
      </c>
      <c r="U87" s="45">
        <f t="shared" si="20"/>
        <v>0.88349999999999984</v>
      </c>
      <c r="V87" s="45">
        <f t="shared" si="20"/>
        <v>0.88459999999999983</v>
      </c>
      <c r="W87" s="45">
        <f t="shared" si="20"/>
        <v>0.88569999999999982</v>
      </c>
      <c r="X87" s="45">
        <f t="shared" si="20"/>
        <v>0.88679999999999981</v>
      </c>
      <c r="Y87" s="45">
        <f t="shared" si="20"/>
        <v>0.8878999999999998</v>
      </c>
      <c r="Z87" s="45">
        <f t="shared" si="20"/>
        <v>0.88899999999999979</v>
      </c>
      <c r="AA87" s="45">
        <f t="shared" si="20"/>
        <v>0.89009999999999978</v>
      </c>
      <c r="AB87" s="45">
        <f t="shared" si="20"/>
        <v>0.89119999999999977</v>
      </c>
      <c r="AC87" s="45">
        <f>AB87+0.12%</f>
        <v>0.89239999999999975</v>
      </c>
      <c r="AD87" s="45">
        <f t="shared" si="20"/>
        <v>0.89349999999999974</v>
      </c>
      <c r="AE87" s="45">
        <f t="shared" si="20"/>
        <v>0.89459999999999973</v>
      </c>
      <c r="AF87" s="71">
        <v>0.89570000000000005</v>
      </c>
      <c r="BN87" s="3">
        <v>45493</v>
      </c>
    </row>
    <row r="88" spans="1:66" ht="42" customHeight="1" thickBot="1">
      <c r="A88" s="35" t="s">
        <v>33</v>
      </c>
      <c r="B88" s="46"/>
      <c r="C88" s="36"/>
      <c r="D88" s="47">
        <v>0.86809999999999998</v>
      </c>
      <c r="E88" s="47">
        <v>0.86950000000000005</v>
      </c>
      <c r="F88" s="47"/>
      <c r="G88" s="47"/>
      <c r="H88" s="47">
        <v>0.87190000000000001</v>
      </c>
      <c r="I88" s="36"/>
      <c r="J88" s="47">
        <v>0.87309999999999999</v>
      </c>
      <c r="K88" s="47"/>
      <c r="L88" s="47">
        <v>0.87509999999999999</v>
      </c>
      <c r="M88" s="36"/>
      <c r="N88" s="36"/>
      <c r="O88" s="47">
        <v>0.87849999999999995</v>
      </c>
      <c r="P88" s="47">
        <v>0.87960000000000005</v>
      </c>
      <c r="Q88" s="36"/>
      <c r="R88" s="47">
        <v>0.88390000000000002</v>
      </c>
      <c r="S88" s="47">
        <v>0.8851</v>
      </c>
      <c r="T88" s="36"/>
      <c r="U88" s="47">
        <v>0.88670000000000004</v>
      </c>
      <c r="V88" s="47">
        <v>0.88790000000000002</v>
      </c>
      <c r="W88" s="36"/>
      <c r="X88" s="47">
        <v>0.8891</v>
      </c>
      <c r="Y88" s="47"/>
      <c r="Z88" s="47">
        <v>0.89129999999999998</v>
      </c>
      <c r="AA88" s="47"/>
      <c r="AB88" s="47"/>
      <c r="AC88" s="47">
        <v>0.89390000000000003</v>
      </c>
      <c r="AD88" s="47"/>
      <c r="AE88" s="47"/>
      <c r="AF88" s="47">
        <v>0.89790000000000003</v>
      </c>
      <c r="BN88" s="3">
        <v>45494</v>
      </c>
    </row>
    <row r="89" spans="1:66" ht="42" customHeight="1">
      <c r="A89" s="38" t="s">
        <v>36</v>
      </c>
      <c r="B89" s="76">
        <v>45962</v>
      </c>
      <c r="C89" s="76">
        <v>45963</v>
      </c>
      <c r="D89" s="44">
        <v>45964</v>
      </c>
      <c r="E89" s="44">
        <v>45965</v>
      </c>
      <c r="F89" s="44">
        <v>45966</v>
      </c>
      <c r="G89" s="44">
        <v>45967</v>
      </c>
      <c r="H89" s="44">
        <v>45968</v>
      </c>
      <c r="I89" s="76">
        <v>45969</v>
      </c>
      <c r="J89" s="76">
        <v>45970</v>
      </c>
      <c r="K89" s="44">
        <v>45971</v>
      </c>
      <c r="L89" s="44">
        <v>45972</v>
      </c>
      <c r="M89" s="44">
        <v>45973</v>
      </c>
      <c r="N89" s="44">
        <v>45974</v>
      </c>
      <c r="O89" s="44">
        <v>45975</v>
      </c>
      <c r="P89" s="76">
        <v>45976</v>
      </c>
      <c r="Q89" s="76">
        <v>45977</v>
      </c>
      <c r="R89" s="44">
        <v>45978</v>
      </c>
      <c r="S89" s="44">
        <v>45979</v>
      </c>
      <c r="T89" s="44">
        <v>45980</v>
      </c>
      <c r="U89" s="44">
        <v>45981</v>
      </c>
      <c r="V89" s="44">
        <v>45982</v>
      </c>
      <c r="W89" s="76">
        <v>45983</v>
      </c>
      <c r="X89" s="76">
        <v>45984</v>
      </c>
      <c r="Y89" s="44">
        <v>45985</v>
      </c>
      <c r="Z89" s="44">
        <v>45986</v>
      </c>
      <c r="AA89" s="44">
        <v>45987</v>
      </c>
      <c r="AB89" s="44">
        <v>45988</v>
      </c>
      <c r="AC89" s="44">
        <v>45989</v>
      </c>
      <c r="AD89" s="76">
        <v>45990</v>
      </c>
      <c r="AE89" s="76">
        <v>45991</v>
      </c>
      <c r="AF89" s="44"/>
      <c r="AG89" s="2">
        <v>791</v>
      </c>
      <c r="BN89" s="3">
        <v>45487</v>
      </c>
    </row>
    <row r="90" spans="1:66" ht="42" customHeight="1">
      <c r="A90" s="30" t="s">
        <v>32</v>
      </c>
      <c r="B90" s="45">
        <f>AF87+0.12%</f>
        <v>0.89690000000000003</v>
      </c>
      <c r="C90" s="45">
        <f>B90+0.12%</f>
        <v>0.89810000000000001</v>
      </c>
      <c r="D90" s="45">
        <f t="shared" ref="D90:N90" si="21">C90+0.12%</f>
        <v>0.89929999999999999</v>
      </c>
      <c r="E90" s="45">
        <f t="shared" si="21"/>
        <v>0.90049999999999997</v>
      </c>
      <c r="F90" s="45">
        <f t="shared" si="21"/>
        <v>0.90169999999999995</v>
      </c>
      <c r="G90" s="45">
        <f t="shared" si="21"/>
        <v>0.90289999999999992</v>
      </c>
      <c r="H90" s="45">
        <f t="shared" si="21"/>
        <v>0.9040999999999999</v>
      </c>
      <c r="I90" s="45">
        <f t="shared" si="21"/>
        <v>0.90529999999999988</v>
      </c>
      <c r="J90" s="45">
        <f t="shared" si="21"/>
        <v>0.90649999999999986</v>
      </c>
      <c r="K90" s="45">
        <f t="shared" si="21"/>
        <v>0.90769999999999984</v>
      </c>
      <c r="L90" s="45">
        <f t="shared" si="21"/>
        <v>0.90889999999999982</v>
      </c>
      <c r="M90" s="45">
        <f t="shared" si="21"/>
        <v>0.9100999999999998</v>
      </c>
      <c r="N90" s="45">
        <f t="shared" si="21"/>
        <v>0.91129999999999978</v>
      </c>
      <c r="O90" s="45">
        <f>N90+0.12%</f>
        <v>0.91249999999999976</v>
      </c>
      <c r="P90" s="31">
        <v>0.91369999999999996</v>
      </c>
      <c r="Q90" s="31">
        <f>P90+0.14%</f>
        <v>0.91509999999999991</v>
      </c>
      <c r="R90" s="31">
        <f t="shared" ref="R90" si="22">Q90+0.13%</f>
        <v>0.91639999999999988</v>
      </c>
      <c r="S90" s="31">
        <f>R90+0.14%</f>
        <v>0.91779999999999984</v>
      </c>
      <c r="T90" s="31">
        <f t="shared" ref="T90:AC90" si="23">S90+0.14%</f>
        <v>0.9191999999999998</v>
      </c>
      <c r="U90" s="31">
        <f t="shared" si="23"/>
        <v>0.92059999999999975</v>
      </c>
      <c r="V90" s="31">
        <f>U90+0.14%</f>
        <v>0.92199999999999971</v>
      </c>
      <c r="W90" s="31">
        <f t="shared" si="23"/>
        <v>0.92339999999999967</v>
      </c>
      <c r="X90" s="31">
        <f t="shared" si="23"/>
        <v>0.92479999999999962</v>
      </c>
      <c r="Y90" s="31">
        <f t="shared" si="23"/>
        <v>0.92619999999999958</v>
      </c>
      <c r="Z90" s="31">
        <f t="shared" si="23"/>
        <v>0.92759999999999954</v>
      </c>
      <c r="AA90" s="31">
        <f>Z90+0.15%</f>
        <v>0.92909999999999948</v>
      </c>
      <c r="AB90" s="31">
        <f t="shared" si="23"/>
        <v>0.93049999999999944</v>
      </c>
      <c r="AC90" s="31">
        <f t="shared" si="23"/>
        <v>0.9318999999999994</v>
      </c>
      <c r="AD90" s="31">
        <f>AC90+0.15%</f>
        <v>0.93339999999999934</v>
      </c>
      <c r="AE90" s="71">
        <v>0.93489999999999995</v>
      </c>
      <c r="AF90" s="31"/>
      <c r="BN90" s="3">
        <v>45493</v>
      </c>
    </row>
    <row r="91" spans="1:66" ht="42" customHeight="1" thickBot="1">
      <c r="A91" s="35" t="s">
        <v>33</v>
      </c>
      <c r="B91" s="49">
        <v>0.8992</v>
      </c>
      <c r="C91" s="36"/>
      <c r="D91" s="47">
        <v>0.90280000000000005</v>
      </c>
      <c r="E91" s="47">
        <v>0.90380000000000005</v>
      </c>
      <c r="F91" s="36"/>
      <c r="G91" s="36"/>
      <c r="H91" s="47">
        <v>0.90769999999999995</v>
      </c>
      <c r="I91" s="47">
        <v>0.90849999999999997</v>
      </c>
      <c r="J91" s="36"/>
      <c r="K91" s="36"/>
      <c r="L91" s="47">
        <v>0.91410000000000002</v>
      </c>
      <c r="M91" s="47"/>
      <c r="N91" s="47">
        <v>0.91820000000000002</v>
      </c>
      <c r="O91" s="47">
        <v>0.92210000000000003</v>
      </c>
      <c r="P91" s="47">
        <v>0.92490000000000006</v>
      </c>
      <c r="Q91" s="36"/>
      <c r="R91" s="47">
        <v>0.92620000000000002</v>
      </c>
      <c r="S91" s="47">
        <v>0.92889999999999995</v>
      </c>
      <c r="T91" s="36"/>
      <c r="U91" s="36"/>
      <c r="V91" s="47">
        <v>0.92930000000000001</v>
      </c>
      <c r="W91" s="47">
        <v>0.92949999999999999</v>
      </c>
      <c r="X91" s="36"/>
      <c r="Y91" s="36"/>
      <c r="Z91" s="47">
        <v>0.93030000000000002</v>
      </c>
      <c r="AA91" s="36"/>
      <c r="AB91" s="36"/>
      <c r="AC91" s="47">
        <v>0.93510000000000004</v>
      </c>
      <c r="AD91" s="47">
        <v>0.93589999999999995</v>
      </c>
      <c r="AE91" s="47">
        <v>0.93620000000000003</v>
      </c>
      <c r="AF91" s="36"/>
      <c r="BN91" s="3">
        <v>45494</v>
      </c>
    </row>
    <row r="92" spans="1:66" ht="42" customHeight="1">
      <c r="A92" s="38" t="s">
        <v>36</v>
      </c>
      <c r="B92" s="44">
        <v>45992</v>
      </c>
      <c r="C92" s="44">
        <v>45993</v>
      </c>
      <c r="D92" s="44">
        <v>45994</v>
      </c>
      <c r="E92" s="44">
        <v>45995</v>
      </c>
      <c r="F92" s="44">
        <v>45996</v>
      </c>
      <c r="G92" s="76">
        <v>45997</v>
      </c>
      <c r="H92" s="76">
        <v>45998</v>
      </c>
      <c r="I92" s="44">
        <v>45999</v>
      </c>
      <c r="J92" s="44">
        <v>46000</v>
      </c>
      <c r="K92" s="44">
        <v>46001</v>
      </c>
      <c r="L92" s="44">
        <v>46002</v>
      </c>
      <c r="M92" s="44">
        <v>46003</v>
      </c>
      <c r="N92" s="76">
        <v>46004</v>
      </c>
      <c r="O92" s="76">
        <v>46005</v>
      </c>
      <c r="P92" s="44">
        <v>46006</v>
      </c>
      <c r="Q92" s="44">
        <v>46007</v>
      </c>
      <c r="R92" s="44">
        <v>46008</v>
      </c>
      <c r="S92" s="44">
        <v>46009</v>
      </c>
      <c r="T92" s="44">
        <v>46010</v>
      </c>
      <c r="U92" s="76">
        <v>46011</v>
      </c>
      <c r="V92" s="76">
        <v>46012</v>
      </c>
      <c r="W92" s="44">
        <v>46013</v>
      </c>
      <c r="X92" s="44">
        <v>46014</v>
      </c>
      <c r="Y92" s="44">
        <v>46015</v>
      </c>
      <c r="Z92" s="44">
        <v>46016</v>
      </c>
      <c r="AA92" s="44">
        <v>46017</v>
      </c>
      <c r="AB92" s="76">
        <v>46018</v>
      </c>
      <c r="AC92" s="76">
        <v>46019</v>
      </c>
      <c r="AD92" s="44">
        <v>46020</v>
      </c>
      <c r="AE92" s="44">
        <v>46021</v>
      </c>
      <c r="AF92" s="44">
        <v>46022</v>
      </c>
      <c r="AG92" s="2">
        <v>822</v>
      </c>
      <c r="BN92" s="3">
        <v>45487</v>
      </c>
    </row>
    <row r="93" spans="1:66" ht="42" customHeight="1">
      <c r="A93" s="30" t="s">
        <v>32</v>
      </c>
      <c r="B93" s="45">
        <f>AE90+0.12%</f>
        <v>0.93609999999999993</v>
      </c>
      <c r="C93" s="31">
        <f>B93+0.12%</f>
        <v>0.93729999999999991</v>
      </c>
      <c r="D93" s="31">
        <f t="shared" ref="D93:O93" si="24">C93+0.12%</f>
        <v>0.93849999999999989</v>
      </c>
      <c r="E93" s="31">
        <f t="shared" si="24"/>
        <v>0.93969999999999987</v>
      </c>
      <c r="F93" s="31">
        <f t="shared" si="24"/>
        <v>0.94089999999999985</v>
      </c>
      <c r="G93" s="91">
        <f t="shared" si="24"/>
        <v>0.94209999999999983</v>
      </c>
      <c r="H93" s="31">
        <f t="shared" si="24"/>
        <v>0.94329999999999981</v>
      </c>
      <c r="I93" s="31">
        <f t="shared" si="24"/>
        <v>0.94449999999999978</v>
      </c>
      <c r="J93" s="31">
        <f t="shared" si="24"/>
        <v>0.94569999999999976</v>
      </c>
      <c r="K93" s="31">
        <f t="shared" si="24"/>
        <v>0.94689999999999974</v>
      </c>
      <c r="L93" s="31">
        <f t="shared" si="24"/>
        <v>0.94809999999999972</v>
      </c>
      <c r="M93" s="31">
        <f t="shared" si="24"/>
        <v>0.9492999999999997</v>
      </c>
      <c r="N93" s="31">
        <f t="shared" si="24"/>
        <v>0.95049999999999968</v>
      </c>
      <c r="O93" s="31">
        <f t="shared" si="24"/>
        <v>0.95169999999999966</v>
      </c>
      <c r="P93" s="31">
        <v>0.95299999999999996</v>
      </c>
      <c r="Q93" s="31">
        <f>P93+0.11%</f>
        <v>0.95409999999999995</v>
      </c>
      <c r="R93" s="31">
        <f t="shared" ref="R93:AE93" si="25">Q93+0.11%</f>
        <v>0.95519999999999994</v>
      </c>
      <c r="S93" s="31">
        <f>R93+0.12%</f>
        <v>0.95639999999999992</v>
      </c>
      <c r="T93" s="31">
        <f t="shared" si="25"/>
        <v>0.95749999999999991</v>
      </c>
      <c r="U93" s="31">
        <f t="shared" si="25"/>
        <v>0.9585999999999999</v>
      </c>
      <c r="V93" s="31">
        <f t="shared" si="25"/>
        <v>0.95969999999999989</v>
      </c>
      <c r="W93" s="31">
        <f>V93+0.12%</f>
        <v>0.96089999999999987</v>
      </c>
      <c r="X93" s="31">
        <f t="shared" ref="X93:Y93" si="26">W93+0.12%</f>
        <v>0.96209999999999984</v>
      </c>
      <c r="Y93" s="31">
        <f t="shared" si="26"/>
        <v>0.96329999999999982</v>
      </c>
      <c r="Z93" s="31">
        <f t="shared" si="25"/>
        <v>0.96439999999999981</v>
      </c>
      <c r="AA93" s="31">
        <f t="shared" si="25"/>
        <v>0.9654999999999998</v>
      </c>
      <c r="AB93" s="31">
        <f t="shared" si="25"/>
        <v>0.96659999999999979</v>
      </c>
      <c r="AC93" s="31">
        <f t="shared" si="25"/>
        <v>0.96769999999999978</v>
      </c>
      <c r="AD93" s="31">
        <f>AC93+0.12%</f>
        <v>0.96889999999999976</v>
      </c>
      <c r="AE93" s="31">
        <f t="shared" si="25"/>
        <v>0.96999999999999975</v>
      </c>
      <c r="AF93" s="71">
        <v>0.97119999999999995</v>
      </c>
      <c r="BN93" s="3">
        <v>45493</v>
      </c>
    </row>
    <row r="94" spans="1:66" ht="42" customHeight="1" thickBot="1">
      <c r="A94" s="35" t="s">
        <v>33</v>
      </c>
      <c r="B94" s="46"/>
      <c r="C94" s="47">
        <v>0.9385</v>
      </c>
      <c r="D94" s="47"/>
      <c r="E94" s="47"/>
      <c r="F94" s="47">
        <v>0.9425</v>
      </c>
      <c r="G94" s="92">
        <v>0.94369999999999998</v>
      </c>
      <c r="H94" s="36"/>
      <c r="I94" s="36"/>
      <c r="J94" s="47">
        <v>0.94689999999999996</v>
      </c>
      <c r="K94" s="36"/>
      <c r="L94" s="36"/>
      <c r="M94" s="47"/>
      <c r="N94" s="47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BN94" s="3">
        <v>45494</v>
      </c>
    </row>
    <row r="95" spans="1:66" ht="42" customHeight="1">
      <c r="A95" s="30" t="s">
        <v>32</v>
      </c>
      <c r="B95" s="82"/>
      <c r="C95" s="77"/>
      <c r="D95" s="77"/>
      <c r="E95" s="77"/>
      <c r="F95" s="77"/>
      <c r="G95" s="77"/>
      <c r="H95" s="82"/>
      <c r="I95" s="82"/>
      <c r="J95" s="77"/>
      <c r="K95" s="82"/>
      <c r="L95" s="82"/>
      <c r="M95" s="77"/>
      <c r="N95" s="90">
        <v>0.94289999999999996</v>
      </c>
      <c r="O95" s="90"/>
      <c r="P95" s="90">
        <v>0.94299999999999995</v>
      </c>
      <c r="Q95" s="90">
        <v>0.94310000000000005</v>
      </c>
      <c r="R95" s="90"/>
      <c r="S95" s="90"/>
      <c r="T95" s="90">
        <v>0.94359999999999999</v>
      </c>
      <c r="U95" s="90">
        <v>0.94379999999999997</v>
      </c>
      <c r="V95" s="90"/>
      <c r="W95" s="90">
        <v>0.94389999999999996</v>
      </c>
      <c r="X95" s="90">
        <v>0.94410000000000005</v>
      </c>
      <c r="Y95" s="82"/>
      <c r="Z95" s="82"/>
      <c r="AA95" s="82"/>
      <c r="AB95" s="82"/>
      <c r="AC95" s="82"/>
      <c r="AD95" s="82"/>
      <c r="AE95" s="82"/>
      <c r="AF95" s="82"/>
    </row>
    <row r="96" spans="1:66" ht="42" customHeight="1" thickBot="1">
      <c r="A96" s="35" t="s">
        <v>33</v>
      </c>
      <c r="B96" s="82"/>
      <c r="C96" s="77"/>
      <c r="D96" s="77"/>
      <c r="E96" s="77"/>
      <c r="F96" s="77"/>
      <c r="G96" s="77"/>
      <c r="H96" s="82"/>
      <c r="I96" s="82"/>
      <c r="J96" s="77"/>
      <c r="K96" s="82"/>
      <c r="L96" s="82"/>
      <c r="M96" s="77"/>
      <c r="N96" s="93">
        <v>0.94389999999999996</v>
      </c>
      <c r="O96" s="90"/>
      <c r="P96" s="93">
        <v>0.94399999999999995</v>
      </c>
      <c r="Q96" s="93">
        <v>0.94410000000000005</v>
      </c>
      <c r="R96" s="90"/>
      <c r="S96" s="90"/>
      <c r="T96" s="93">
        <v>0.94450000000000001</v>
      </c>
      <c r="U96" s="93">
        <v>0.9446</v>
      </c>
      <c r="V96" s="90"/>
      <c r="W96" s="93">
        <v>0.94510000000000005</v>
      </c>
      <c r="X96" s="93">
        <v>0.94520000000000004</v>
      </c>
      <c r="Y96" s="82"/>
      <c r="Z96" s="82"/>
      <c r="AA96" s="82"/>
      <c r="AB96" s="82"/>
      <c r="AC96" s="82"/>
      <c r="AD96" s="82"/>
      <c r="AE96" s="82"/>
      <c r="AF96" s="82"/>
    </row>
    <row r="97" spans="1:66" ht="42" customHeight="1">
      <c r="A97" s="38" t="s">
        <v>49</v>
      </c>
      <c r="B97" s="44">
        <v>46023</v>
      </c>
      <c r="C97" s="44">
        <v>46024</v>
      </c>
      <c r="D97" s="76">
        <v>46025</v>
      </c>
      <c r="E97" s="76">
        <v>46026</v>
      </c>
      <c r="F97" s="44">
        <v>46027</v>
      </c>
      <c r="G97" s="44">
        <v>46028</v>
      </c>
      <c r="H97" s="44">
        <v>46029</v>
      </c>
      <c r="I97" s="44">
        <v>46030</v>
      </c>
      <c r="J97" s="44">
        <v>46031</v>
      </c>
      <c r="K97" s="76">
        <v>46032</v>
      </c>
      <c r="L97" s="76">
        <v>46033</v>
      </c>
      <c r="M97" s="44">
        <v>46034</v>
      </c>
      <c r="N97" s="44">
        <v>46035</v>
      </c>
      <c r="O97" s="44">
        <v>46036</v>
      </c>
      <c r="P97" s="44">
        <v>46037</v>
      </c>
      <c r="Q97" s="44">
        <v>46038</v>
      </c>
      <c r="R97" s="76">
        <v>46039</v>
      </c>
      <c r="S97" s="76">
        <v>46040</v>
      </c>
      <c r="T97" s="44">
        <v>46041</v>
      </c>
      <c r="U97" s="44">
        <v>46042</v>
      </c>
      <c r="V97" s="44">
        <v>46043</v>
      </c>
      <c r="W97" s="44">
        <v>46044</v>
      </c>
      <c r="X97" s="44">
        <v>46045</v>
      </c>
      <c r="Y97" s="76">
        <v>46046</v>
      </c>
      <c r="Z97" s="76">
        <v>46047</v>
      </c>
      <c r="AA97" s="44">
        <v>46048</v>
      </c>
      <c r="AB97" s="44">
        <v>46049</v>
      </c>
      <c r="AC97" s="44">
        <v>46050</v>
      </c>
      <c r="AD97" s="44">
        <v>46051</v>
      </c>
      <c r="AE97" s="44">
        <v>46052</v>
      </c>
      <c r="AF97" s="76">
        <v>46053</v>
      </c>
      <c r="BN97" s="3">
        <v>45487</v>
      </c>
    </row>
    <row r="98" spans="1:66" ht="42" customHeight="1">
      <c r="A98" s="30" t="s">
        <v>32</v>
      </c>
      <c r="B98" s="45">
        <v>0.97250000000000003</v>
      </c>
      <c r="C98" s="31">
        <v>0.9738</v>
      </c>
      <c r="D98" s="31">
        <v>0.97509999999999997</v>
      </c>
      <c r="E98" s="31">
        <v>0.97650000000000003</v>
      </c>
      <c r="F98" s="31">
        <v>0.9778</v>
      </c>
      <c r="G98" s="31">
        <v>1.9778</v>
      </c>
      <c r="H98" s="31">
        <v>2.9777999999999998</v>
      </c>
      <c r="I98" s="31">
        <v>3.9777999999999998</v>
      </c>
      <c r="J98" s="31">
        <v>4.9778000000000002</v>
      </c>
      <c r="K98" s="31">
        <v>5.9778000000000002</v>
      </c>
      <c r="L98" s="31">
        <v>6.9778000000000002</v>
      </c>
      <c r="M98" s="31">
        <v>7.9778000000000002</v>
      </c>
      <c r="N98" s="31">
        <v>8.9778000000000002</v>
      </c>
      <c r="O98" s="31">
        <v>9.9778000000000002</v>
      </c>
      <c r="P98" s="31">
        <v>0.98119999999999996</v>
      </c>
      <c r="Q98" s="31">
        <v>11.9778</v>
      </c>
      <c r="R98" s="31">
        <v>12.9778</v>
      </c>
      <c r="S98" s="31">
        <v>13.9778</v>
      </c>
      <c r="T98" s="31">
        <v>14.9778</v>
      </c>
      <c r="U98" s="31">
        <v>15.9778</v>
      </c>
      <c r="V98" s="31">
        <v>16.977799999999998</v>
      </c>
      <c r="W98" s="31">
        <v>17.977799999999998</v>
      </c>
      <c r="X98" s="31">
        <v>18.977799999999998</v>
      </c>
      <c r="Y98" s="31">
        <v>19.977799999999998</v>
      </c>
      <c r="Z98" s="31">
        <v>20.977799999999998</v>
      </c>
      <c r="AA98" s="31">
        <v>21.977799999999998</v>
      </c>
      <c r="AB98" s="31">
        <v>22.977799999999998</v>
      </c>
      <c r="AC98" s="31">
        <v>23.977799999999998</v>
      </c>
      <c r="AD98" s="31">
        <v>24.977799999999998</v>
      </c>
      <c r="AE98" s="31">
        <v>25.977799999999998</v>
      </c>
      <c r="AF98" s="71">
        <v>0.9909</v>
      </c>
      <c r="BN98" s="3">
        <v>45493</v>
      </c>
    </row>
    <row r="99" spans="1:66" ht="42" customHeight="1" thickBot="1">
      <c r="A99" s="35" t="s">
        <v>33</v>
      </c>
      <c r="B99" s="4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BN99" s="3">
        <v>45494</v>
      </c>
    </row>
    <row r="100" spans="1:66" ht="42" customHeight="1">
      <c r="A100" s="38" t="s">
        <v>49</v>
      </c>
      <c r="B100" s="76">
        <v>46054</v>
      </c>
      <c r="C100" s="44">
        <v>46055</v>
      </c>
      <c r="D100" s="44">
        <v>46056</v>
      </c>
      <c r="E100" s="44">
        <v>46057</v>
      </c>
      <c r="F100" s="44">
        <v>46058</v>
      </c>
      <c r="G100" s="44">
        <v>46059</v>
      </c>
      <c r="H100" s="76">
        <v>46060</v>
      </c>
      <c r="I100" s="76">
        <v>46061</v>
      </c>
      <c r="J100" s="44">
        <v>46062</v>
      </c>
      <c r="K100" s="44">
        <v>46063</v>
      </c>
      <c r="L100" s="44">
        <v>46064</v>
      </c>
      <c r="M100" s="44">
        <v>46065</v>
      </c>
      <c r="N100" s="44">
        <v>46066</v>
      </c>
      <c r="O100" s="87">
        <v>46067</v>
      </c>
      <c r="P100" s="87">
        <v>46068</v>
      </c>
      <c r="Q100" s="88">
        <v>46069</v>
      </c>
      <c r="R100" s="88">
        <v>46070</v>
      </c>
      <c r="S100" s="88">
        <v>46071</v>
      </c>
      <c r="T100" s="88">
        <v>46072</v>
      </c>
      <c r="U100" s="88">
        <v>46073</v>
      </c>
      <c r="V100" s="87">
        <v>46074</v>
      </c>
      <c r="W100" s="87">
        <v>46075</v>
      </c>
      <c r="X100" s="44">
        <v>46076</v>
      </c>
      <c r="Y100" s="44">
        <v>46077</v>
      </c>
      <c r="Z100" s="44">
        <v>46078</v>
      </c>
      <c r="AA100" s="44">
        <v>46079</v>
      </c>
      <c r="AB100" s="44">
        <v>46080</v>
      </c>
      <c r="AC100" s="76">
        <v>46081</v>
      </c>
      <c r="AD100" s="44"/>
      <c r="AE100" s="44"/>
      <c r="AF100" s="44"/>
      <c r="BN100" s="3">
        <v>45487</v>
      </c>
    </row>
    <row r="101" spans="1:66" ht="42" customHeight="1">
      <c r="A101" s="30" t="s">
        <v>32</v>
      </c>
      <c r="B101" s="45">
        <v>0.97250000000000003</v>
      </c>
      <c r="C101" s="31">
        <v>0.9738</v>
      </c>
      <c r="D101" s="31">
        <v>0.97509999999999997</v>
      </c>
      <c r="E101" s="31">
        <v>0.97650000000000003</v>
      </c>
      <c r="F101" s="31">
        <v>0.9778</v>
      </c>
      <c r="G101" s="31">
        <v>1.9778</v>
      </c>
      <c r="H101" s="31">
        <v>2.9777999999999998</v>
      </c>
      <c r="I101" s="31">
        <v>3.9777999999999998</v>
      </c>
      <c r="J101" s="31">
        <v>4.9778000000000002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BN101" s="3">
        <v>45493</v>
      </c>
    </row>
    <row r="102" spans="1:66" ht="42" customHeight="1" thickBot="1">
      <c r="A102" s="35" t="s">
        <v>33</v>
      </c>
      <c r="B102" s="4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BN102" s="3">
        <v>45494</v>
      </c>
    </row>
    <row r="103" spans="1:66" ht="42" customHeight="1">
      <c r="A103" s="38" t="s">
        <v>49</v>
      </c>
      <c r="B103" s="44">
        <v>45717</v>
      </c>
      <c r="C103" s="44"/>
      <c r="D103" s="44">
        <v>45719</v>
      </c>
      <c r="E103" s="44">
        <v>45720</v>
      </c>
      <c r="F103" s="44">
        <v>45721</v>
      </c>
      <c r="G103" s="44">
        <v>45722</v>
      </c>
      <c r="H103" s="76">
        <v>45723</v>
      </c>
      <c r="I103" s="44">
        <v>45724</v>
      </c>
      <c r="J103" s="89"/>
      <c r="K103" s="44">
        <v>45726</v>
      </c>
      <c r="L103" s="44">
        <v>45727</v>
      </c>
      <c r="M103" s="44">
        <v>45728</v>
      </c>
      <c r="N103" s="44">
        <v>45729</v>
      </c>
      <c r="O103" s="76">
        <v>45730</v>
      </c>
      <c r="P103" s="44">
        <v>45731</v>
      </c>
      <c r="Q103" s="44"/>
      <c r="R103" s="44">
        <v>45733</v>
      </c>
      <c r="S103" s="44">
        <v>45734</v>
      </c>
      <c r="T103" s="44">
        <v>45735</v>
      </c>
      <c r="U103" s="44">
        <v>45736</v>
      </c>
      <c r="V103" s="76">
        <v>45737</v>
      </c>
      <c r="W103" s="44">
        <v>45738</v>
      </c>
      <c r="X103" s="44"/>
      <c r="Y103" s="44">
        <v>45740</v>
      </c>
      <c r="Z103" s="44">
        <v>45741</v>
      </c>
      <c r="AA103" s="44">
        <v>45742</v>
      </c>
      <c r="AB103" s="44">
        <v>45743</v>
      </c>
      <c r="AC103" s="76">
        <v>45744</v>
      </c>
      <c r="AD103" s="44">
        <v>45745</v>
      </c>
      <c r="AE103" s="89"/>
      <c r="AF103" s="44">
        <v>45747</v>
      </c>
      <c r="BN103" s="3">
        <v>45487</v>
      </c>
    </row>
    <row r="104" spans="1:66" ht="42" customHeight="1">
      <c r="A104" s="30" t="s">
        <v>32</v>
      </c>
      <c r="B104" s="45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BN104" s="3">
        <v>45493</v>
      </c>
    </row>
    <row r="105" spans="1:66" ht="42" customHeight="1" thickBot="1">
      <c r="A105" s="35" t="s">
        <v>33</v>
      </c>
      <c r="B105" s="4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BN105" s="3">
        <v>45494</v>
      </c>
    </row>
    <row r="106" spans="1:66" ht="36.75" customHeight="1">
      <c r="BN106" s="3">
        <v>45550</v>
      </c>
    </row>
    <row r="107" spans="1:66" ht="36.75" customHeight="1">
      <c r="BN107" s="3">
        <v>45556</v>
      </c>
    </row>
    <row r="108" spans="1:66" ht="36.75" customHeight="1">
      <c r="BN108" s="3">
        <v>45557</v>
      </c>
    </row>
    <row r="109" spans="1:66" ht="36.75" customHeight="1">
      <c r="BN109" s="3">
        <v>45563</v>
      </c>
    </row>
    <row r="110" spans="1:66" ht="36.75" customHeight="1">
      <c r="BN110" s="3">
        <v>45564</v>
      </c>
    </row>
    <row r="111" spans="1:66" ht="36.75" customHeight="1">
      <c r="BN111" s="3">
        <v>45570</v>
      </c>
    </row>
    <row r="112" spans="1:66" ht="36.75" customHeight="1">
      <c r="BN112" s="3">
        <v>45571</v>
      </c>
    </row>
    <row r="113" spans="66:66" ht="36.75" customHeight="1">
      <c r="BN113" s="3">
        <v>45577</v>
      </c>
    </row>
    <row r="114" spans="66:66" ht="36.75" customHeight="1">
      <c r="BN114" s="3">
        <v>45578</v>
      </c>
    </row>
    <row r="115" spans="66:66" ht="36.75" customHeight="1">
      <c r="BN115" s="3">
        <v>45584</v>
      </c>
    </row>
    <row r="116" spans="66:66" ht="36.75" customHeight="1">
      <c r="BN116" s="3">
        <v>45585</v>
      </c>
    </row>
    <row r="117" spans="66:66" ht="36.75" customHeight="1">
      <c r="BN117" s="3">
        <v>45591</v>
      </c>
    </row>
    <row r="118" spans="66:66" ht="36.75" customHeight="1">
      <c r="BN118" s="3">
        <v>45592</v>
      </c>
    </row>
    <row r="119" spans="66:66" ht="36.75" customHeight="1">
      <c r="BN119" s="3">
        <v>45598</v>
      </c>
    </row>
    <row r="120" spans="66:66" ht="36.75" customHeight="1">
      <c r="BN120" s="3">
        <v>45599</v>
      </c>
    </row>
    <row r="121" spans="66:66" ht="36.75" customHeight="1">
      <c r="BN121" s="3">
        <v>45605</v>
      </c>
    </row>
    <row r="122" spans="66:66" ht="36.75" customHeight="1">
      <c r="BN122" s="3">
        <v>45606</v>
      </c>
    </row>
    <row r="123" spans="66:66" ht="36.75" customHeight="1">
      <c r="BN123" s="3">
        <v>45612</v>
      </c>
    </row>
    <row r="124" spans="66:66" ht="36.75" customHeight="1">
      <c r="BN124" s="3">
        <v>45613</v>
      </c>
    </row>
    <row r="125" spans="66:66" ht="36.75" customHeight="1">
      <c r="BN125" s="3">
        <v>45619</v>
      </c>
    </row>
    <row r="126" spans="66:66" ht="36.75" customHeight="1">
      <c r="BN126" s="3">
        <v>45620</v>
      </c>
    </row>
    <row r="127" spans="66:66" ht="36.75" customHeight="1">
      <c r="BN127" s="3">
        <v>45626</v>
      </c>
    </row>
    <row r="128" spans="66:66" ht="36.75" customHeight="1">
      <c r="BN128" s="3">
        <v>45627</v>
      </c>
    </row>
    <row r="129" spans="66:66" ht="36.75" customHeight="1">
      <c r="BN129" s="3">
        <v>45633</v>
      </c>
    </row>
    <row r="130" spans="66:66" ht="36.75" customHeight="1">
      <c r="BN130" s="3">
        <v>45634</v>
      </c>
    </row>
    <row r="131" spans="66:66" ht="36.75" customHeight="1">
      <c r="BN131" s="3">
        <v>45640</v>
      </c>
    </row>
    <row r="132" spans="66:66" ht="36.75" customHeight="1">
      <c r="BN132" s="3">
        <v>45641</v>
      </c>
    </row>
    <row r="133" spans="66:66" ht="36.75" customHeight="1">
      <c r="BN133" s="3">
        <v>45647</v>
      </c>
    </row>
    <row r="134" spans="66:66" ht="36.75" customHeight="1">
      <c r="BN134" s="3">
        <v>45648</v>
      </c>
    </row>
    <row r="135" spans="66:66" ht="36.75" customHeight="1">
      <c r="BN135" s="3">
        <v>45654</v>
      </c>
    </row>
    <row r="136" spans="66:66" ht="36.75" customHeight="1">
      <c r="BN136" s="3">
        <v>45655</v>
      </c>
    </row>
    <row r="137" spans="66:66" ht="36.75" customHeight="1">
      <c r="BN137" s="3">
        <v>45661</v>
      </c>
    </row>
    <row r="138" spans="66:66" ht="36.75" customHeight="1">
      <c r="BN138" s="3">
        <v>45662</v>
      </c>
    </row>
    <row r="139" spans="66:66" ht="36.75" customHeight="1">
      <c r="BN139" s="3">
        <v>45668</v>
      </c>
    </row>
    <row r="140" spans="66:66" ht="36.75" customHeight="1">
      <c r="BN140" s="3">
        <v>45669</v>
      </c>
    </row>
    <row r="141" spans="66:66" ht="36.75" customHeight="1">
      <c r="BN141" s="3">
        <v>45675</v>
      </c>
    </row>
    <row r="142" spans="66:66" ht="36.75" customHeight="1">
      <c r="BN142" s="3">
        <v>45676</v>
      </c>
    </row>
    <row r="143" spans="66:66" ht="36.75" customHeight="1">
      <c r="BN143" s="3">
        <v>45682</v>
      </c>
    </row>
    <row r="144" spans="66:66" ht="36.75" customHeight="1">
      <c r="BN144" s="3">
        <v>45683</v>
      </c>
    </row>
    <row r="145" spans="66:66" ht="36.75" customHeight="1">
      <c r="BN145" s="3">
        <v>45689</v>
      </c>
    </row>
    <row r="146" spans="66:66" ht="36.75" customHeight="1">
      <c r="BN146" s="3">
        <v>45690</v>
      </c>
    </row>
    <row r="147" spans="66:66" ht="36.75" customHeight="1">
      <c r="BN147" s="3">
        <v>45696</v>
      </c>
    </row>
    <row r="148" spans="66:66" ht="36.75" customHeight="1">
      <c r="BN148" s="3">
        <v>45697</v>
      </c>
    </row>
    <row r="149" spans="66:66" ht="36.75" customHeight="1">
      <c r="BN149" s="3">
        <v>45703</v>
      </c>
    </row>
    <row r="150" spans="66:66" ht="36.75" customHeight="1">
      <c r="BN150" s="3">
        <v>45704</v>
      </c>
    </row>
    <row r="151" spans="66:66" ht="36.75" customHeight="1">
      <c r="BN151" s="3">
        <v>45710</v>
      </c>
    </row>
    <row r="152" spans="66:66" ht="36.75" customHeight="1">
      <c r="BN152" s="3">
        <v>45711</v>
      </c>
    </row>
    <row r="153" spans="66:66" ht="36.75" customHeight="1">
      <c r="BN153" s="3">
        <v>45717</v>
      </c>
    </row>
    <row r="154" spans="66:66" ht="36.75" customHeight="1">
      <c r="BN154" s="3">
        <v>45718</v>
      </c>
    </row>
    <row r="155" spans="66:66" ht="36.75" customHeight="1">
      <c r="BN155" s="3">
        <v>45724</v>
      </c>
    </row>
    <row r="156" spans="66:66" ht="36.75" customHeight="1">
      <c r="BN156" s="3">
        <v>45725</v>
      </c>
    </row>
    <row r="157" spans="66:66" ht="36.75" customHeight="1">
      <c r="BN157" s="3">
        <v>45731</v>
      </c>
    </row>
    <row r="158" spans="66:66" ht="36.75" customHeight="1">
      <c r="BN158" s="3">
        <v>45732</v>
      </c>
    </row>
    <row r="159" spans="66:66" ht="36.75" customHeight="1">
      <c r="BN159" s="3">
        <v>45738</v>
      </c>
    </row>
    <row r="160" spans="66:66" ht="36.75" customHeight="1">
      <c r="BN160" s="3">
        <v>45739</v>
      </c>
    </row>
    <row r="161" spans="66:66" ht="36.75" customHeight="1">
      <c r="BN161" s="3">
        <v>45745</v>
      </c>
    </row>
    <row r="162" spans="66:66" ht="36.75" customHeight="1">
      <c r="BN162" s="3">
        <v>45746</v>
      </c>
    </row>
    <row r="163" spans="66:66" ht="36.75" customHeight="1">
      <c r="BN163" s="3">
        <v>45752</v>
      </c>
    </row>
    <row r="164" spans="66:66" ht="36.75" customHeight="1">
      <c r="BN164" s="3">
        <v>45753</v>
      </c>
    </row>
    <row r="165" spans="66:66" ht="36.75" customHeight="1">
      <c r="BN165" s="3">
        <v>45759</v>
      </c>
    </row>
    <row r="166" spans="66:66" ht="36.75" customHeight="1">
      <c r="BN166" s="3">
        <v>45760</v>
      </c>
    </row>
    <row r="167" spans="66:66" ht="36.75" customHeight="1">
      <c r="BN167" s="3">
        <v>45766</v>
      </c>
    </row>
    <row r="168" spans="66:66" ht="36.75" customHeight="1">
      <c r="BN168" s="3">
        <v>45767</v>
      </c>
    </row>
    <row r="169" spans="66:66" ht="36.75" customHeight="1">
      <c r="BN169" s="3">
        <v>45773</v>
      </c>
    </row>
    <row r="170" spans="66:66" ht="36.75" customHeight="1">
      <c r="BN170" s="3">
        <v>45774</v>
      </c>
    </row>
    <row r="171" spans="66:66" ht="36.75" customHeight="1">
      <c r="BN171" s="3">
        <v>45780</v>
      </c>
    </row>
    <row r="172" spans="66:66" ht="36.75" customHeight="1">
      <c r="BN172" s="3">
        <v>45781</v>
      </c>
    </row>
    <row r="173" spans="66:66" ht="36.75" customHeight="1">
      <c r="BN173" s="3">
        <v>45787</v>
      </c>
    </row>
    <row r="174" spans="66:66" ht="36.75" customHeight="1">
      <c r="BN174" s="3">
        <v>45788</v>
      </c>
    </row>
    <row r="175" spans="66:66" ht="36.75" customHeight="1">
      <c r="BN175" s="3">
        <v>45794</v>
      </c>
    </row>
    <row r="176" spans="66:66" ht="36.75" customHeight="1">
      <c r="BN176" s="3">
        <v>45795</v>
      </c>
    </row>
    <row r="177" spans="66:66" ht="36.75" customHeight="1">
      <c r="BN177" s="3">
        <v>45801</v>
      </c>
    </row>
    <row r="178" spans="66:66" ht="36.75" customHeight="1">
      <c r="BN178" s="3">
        <v>45802</v>
      </c>
    </row>
    <row r="179" spans="66:66" ht="36.75" customHeight="1">
      <c r="BN179" s="3">
        <v>45808</v>
      </c>
    </row>
    <row r="180" spans="66:66" ht="36.75" customHeight="1">
      <c r="BN180" s="3">
        <v>45809</v>
      </c>
    </row>
    <row r="181" spans="66:66" ht="36.75" customHeight="1">
      <c r="BN181" s="3">
        <v>45815</v>
      </c>
    </row>
    <row r="182" spans="66:66" ht="36.75" customHeight="1">
      <c r="BN182" s="3">
        <v>45816</v>
      </c>
    </row>
    <row r="183" spans="66:66" ht="36.75" customHeight="1">
      <c r="BN183" s="3">
        <v>45822</v>
      </c>
    </row>
    <row r="184" spans="66:66" ht="36.75" customHeight="1">
      <c r="BN184" s="3">
        <v>45823</v>
      </c>
    </row>
    <row r="185" spans="66:66" ht="36.75" customHeight="1">
      <c r="BN185" s="3">
        <v>45829</v>
      </c>
    </row>
    <row r="186" spans="66:66" ht="36.75" customHeight="1">
      <c r="BN186" s="3">
        <v>45830</v>
      </c>
    </row>
    <row r="187" spans="66:66" ht="36.75" customHeight="1">
      <c r="BN187" s="3">
        <v>45836</v>
      </c>
    </row>
    <row r="188" spans="66:66" ht="36.75" customHeight="1">
      <c r="BN188" s="3">
        <v>45837</v>
      </c>
    </row>
    <row r="189" spans="66:66" ht="36.75" customHeight="1">
      <c r="BN189" s="3">
        <v>45843</v>
      </c>
    </row>
    <row r="190" spans="66:66" ht="36.75" customHeight="1">
      <c r="BN190" s="3">
        <v>45844</v>
      </c>
    </row>
    <row r="191" spans="66:66" ht="36.75" customHeight="1">
      <c r="BN191" s="3">
        <v>45850</v>
      </c>
    </row>
    <row r="192" spans="66:66" ht="36.75" customHeight="1">
      <c r="BN192" s="3">
        <v>45851</v>
      </c>
    </row>
    <row r="193" spans="66:66" ht="36.75" customHeight="1">
      <c r="BN193" s="3">
        <v>45857</v>
      </c>
    </row>
    <row r="194" spans="66:66" ht="36.75" customHeight="1">
      <c r="BN194" s="3">
        <v>45858</v>
      </c>
    </row>
    <row r="195" spans="66:66" ht="36.75" customHeight="1">
      <c r="BN195" s="3">
        <v>45864</v>
      </c>
    </row>
    <row r="196" spans="66:66" ht="36.75" customHeight="1">
      <c r="BN196" s="3">
        <v>45865</v>
      </c>
    </row>
    <row r="197" spans="66:66" ht="36.75" customHeight="1">
      <c r="BN197" s="3">
        <v>45871</v>
      </c>
    </row>
    <row r="198" spans="66:66" ht="36.75" customHeight="1">
      <c r="BN198" s="3">
        <v>45872</v>
      </c>
    </row>
    <row r="199" spans="66:66" ht="36.75" customHeight="1">
      <c r="BN199" s="3">
        <v>45878</v>
      </c>
    </row>
    <row r="200" spans="66:66" ht="36.75" customHeight="1">
      <c r="BN200" s="3">
        <v>45879</v>
      </c>
    </row>
    <row r="201" spans="66:66" ht="36.75" customHeight="1">
      <c r="BN201" s="3">
        <v>45885</v>
      </c>
    </row>
    <row r="202" spans="66:66" ht="36.75" customHeight="1">
      <c r="BN202" s="3">
        <v>45886</v>
      </c>
    </row>
    <row r="203" spans="66:66" ht="36.75" customHeight="1">
      <c r="BN203" s="3">
        <v>45892</v>
      </c>
    </row>
    <row r="204" spans="66:66" ht="36.75" customHeight="1">
      <c r="BN204" s="3">
        <v>45893</v>
      </c>
    </row>
    <row r="205" spans="66:66" ht="36.75" customHeight="1">
      <c r="BN205" s="3">
        <v>45899</v>
      </c>
    </row>
    <row r="206" spans="66:66" ht="36.75" customHeight="1">
      <c r="BN206" s="3">
        <v>45900</v>
      </c>
    </row>
    <row r="207" spans="66:66" ht="36.75" customHeight="1">
      <c r="BN207" s="3">
        <v>45906</v>
      </c>
    </row>
    <row r="208" spans="66:66" ht="36.75" customHeight="1">
      <c r="BN208" s="3">
        <v>45907</v>
      </c>
    </row>
    <row r="209" spans="66:66" ht="36.75" customHeight="1">
      <c r="BN209" s="3">
        <v>45913</v>
      </c>
    </row>
    <row r="210" spans="66:66" ht="36.75" customHeight="1">
      <c r="BN210" s="3">
        <v>45914</v>
      </c>
    </row>
    <row r="211" spans="66:66" ht="36.75" customHeight="1">
      <c r="BN211" s="3">
        <v>45920</v>
      </c>
    </row>
    <row r="212" spans="66:66" ht="36.75" customHeight="1">
      <c r="BN212" s="3">
        <v>45921</v>
      </c>
    </row>
    <row r="213" spans="66:66" ht="36.75" customHeight="1">
      <c r="BN213" s="3">
        <v>45927</v>
      </c>
    </row>
    <row r="214" spans="66:66" ht="36.75" customHeight="1">
      <c r="BN214" s="3">
        <v>45928</v>
      </c>
    </row>
    <row r="215" spans="66:66" ht="36.75" customHeight="1">
      <c r="BN215" s="2"/>
    </row>
    <row r="216" spans="66:66" ht="36.75" customHeight="1">
      <c r="BN216" s="2"/>
    </row>
  </sheetData>
  <mergeCells count="4">
    <mergeCell ref="B1:H1"/>
    <mergeCell ref="I1:AF1"/>
    <mergeCell ref="AG1:AX1"/>
    <mergeCell ref="B9:W11"/>
  </mergeCells>
  <phoneticPr fontId="3" type="noConversion"/>
  <conditionalFormatting sqref="A1:AX8 AY1:BH85 A9:B9 X9:AX11 A10:A11 A12:AX85 A86:AF105">
    <cfRule type="expression" dxfId="0" priority="1">
      <formula>VLOOKUP(A1,$BN:$BN,1,0)=A1</formula>
    </cfRule>
  </conditionalFormatting>
  <pageMargins left="0.25" right="0.25" top="0.75" bottom="0.75" header="0.3" footer="0.3"/>
  <pageSetup paperSize="8" scale="54" orientation="landscape" r:id="rId1"/>
  <colBreaks count="1" manualBreakCount="1"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ZHE TSENG</dc:creator>
  <cp:lastModifiedBy>User</cp:lastModifiedBy>
  <cp:lastPrinted>2024-09-20T06:37:23Z</cp:lastPrinted>
  <dcterms:created xsi:type="dcterms:W3CDTF">2024-08-16T08:55:48Z</dcterms:created>
  <dcterms:modified xsi:type="dcterms:W3CDTF">2025-12-23T00:51:56Z</dcterms:modified>
</cp:coreProperties>
</file>