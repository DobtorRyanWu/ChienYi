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defaultThemeVersion="166925"/>
  <mc:AlternateContent xmlns:mc="http://schemas.openxmlformats.org/markup-compatibility/2006">
    <mc:Choice Requires="x15">
      <x15ac:absPath xmlns:x15ac="http://schemas.microsoft.com/office/spreadsheetml/2010/11/ac" url="\\上溢北投\d\雲端\A.上溢\1.磺港溪再造C段護岸及步道整建工程（延壽橋至三合橋）\9.施工\4.自主檢查\自主檢查統計\"/>
    </mc:Choice>
  </mc:AlternateContent>
  <xr:revisionPtr revIDLastSave="0" documentId="13_ncr:1_{22A4A0B1-0D70-486C-B1AE-31DD1EAF6BF0}" xr6:coauthVersionLast="47" xr6:coauthVersionMax="47" xr10:uidLastSave="{00000000-0000-0000-0000-000000000000}"/>
  <bookViews>
    <workbookView xWindow="-28920" yWindow="-120" windowWidth="29040" windowHeight="15840" tabRatio="906" firstSheet="19" activeTab="26" xr2:uid="{A753E728-ACE6-45B9-A33B-94D4F700CDDB}"/>
  </bookViews>
  <sheets>
    <sheet name="統計圖" sheetId="17" r:id="rId1"/>
    <sheet name="1.測量放樣" sheetId="7" r:id="rId2"/>
    <sheet name="2.土方開挖" sheetId="76" r:id="rId3"/>
    <sheet name="3.土方回填" sheetId="78" r:id="rId4"/>
    <sheet name="4.鋼筋" sheetId="79" r:id="rId5"/>
    <sheet name="5.模板" sheetId="80" r:id="rId6"/>
    <sheet name="6.混凝土" sheetId="81" r:id="rId7"/>
    <sheet name="7.植筋" sheetId="82" r:id="rId8"/>
    <sheet name="8.預力混凝土基樁" sheetId="83" r:id="rId9"/>
    <sheet name="9.砌塊石護岸" sheetId="84" r:id="rId10"/>
    <sheet name="10.低水護岸" sheetId="89" r:id="rId11"/>
    <sheet name="11.固床工" sheetId="86" r:id="rId12"/>
    <sheet name="12.全套管基樁" sheetId="87" r:id="rId13"/>
    <sheet name="13.鋼筋混凝土管工程" sheetId="88" r:id="rId14"/>
    <sheet name="14.鋼版樁" sheetId="85" r:id="rId15"/>
    <sheet name="15.路床 路基高程" sheetId="90" r:id="rId16"/>
    <sheet name="16.瀝青混凝土" sheetId="92" r:id="rId17"/>
    <sheet name="17.景觀鋪面(一)" sheetId="93" r:id="rId18"/>
    <sheet name="18.景觀鋪面(二)" sheetId="94" r:id="rId19"/>
    <sheet name="19.預鑄緣石" sheetId="95" r:id="rId20"/>
    <sheet name="20.鋼構工程吊裝" sheetId="96" r:id="rId21"/>
    <sheet name="21.鋼構工程塗裝" sheetId="97" r:id="rId22"/>
    <sheet name="22.排水設施(一)" sheetId="98" r:id="rId23"/>
    <sheet name="23.排水設施(二)" sheetId="99" r:id="rId24"/>
    <sheet name="24.木構造" sheetId="100" r:id="rId25"/>
    <sheet name="25.管路" sheetId="101" r:id="rId26"/>
    <sheet name="26.植栽(移植)" sheetId="102" r:id="rId27"/>
    <sheet name="27.植栽(新植)" sheetId="103" r:id="rId28"/>
    <sheet name="28.照明" sheetId="106" r:id="rId29"/>
    <sheet name="29.既有橋梁拆除" sheetId="104" r:id="rId30"/>
    <sheet name="鋼筋取樣" sheetId="3" r:id="rId31"/>
    <sheet name="PC樁" sheetId="105" r:id="rId32"/>
    <sheet name="混凝土取樣" sheetId="50" r:id="rId33"/>
    <sheet name="混凝土送驗單" sheetId="53" r:id="rId34"/>
  </sheets>
  <definedNames>
    <definedName name="_xlnm._FilterDatabase" localSheetId="12" hidden="1">'12.全套管基樁'!$A$4:$G$18</definedName>
    <definedName name="_xlnm._FilterDatabase" localSheetId="31" hidden="1">PC樁!$A$2:$F$3</definedName>
    <definedName name="_xlnm._FilterDatabase" localSheetId="32" hidden="1">混凝土取樣!$A$1:$T$9</definedName>
    <definedName name="_xlnm._FilterDatabase" localSheetId="30" hidden="1">鋼筋取樣!$A$2:$J$18</definedName>
    <definedName name="_xlnm.Print_Area" localSheetId="1">'1.測量放樣'!$A$1:$E$34</definedName>
    <definedName name="_xlnm.Print_Area" localSheetId="10">'10.低水護岸'!$A$1:$E$34</definedName>
    <definedName name="_xlnm.Print_Area" localSheetId="11">'11.固床工'!$A$1:$E$34</definedName>
    <definedName name="_xlnm.Print_Area" localSheetId="12">'12.全套管基樁'!$A$1:$E$35</definedName>
    <definedName name="_xlnm.Print_Area" localSheetId="13">'13.鋼筋混凝土管工程'!$A$1:$E$34</definedName>
    <definedName name="_xlnm.Print_Area" localSheetId="14">'14.鋼版樁'!$A$1:$E$34</definedName>
    <definedName name="_xlnm.Print_Area" localSheetId="15">'15.路床 路基高程'!$A$1:$E$34</definedName>
    <definedName name="_xlnm.Print_Area" localSheetId="16">'16.瀝青混凝土'!$A$1:$E$34</definedName>
    <definedName name="_xlnm.Print_Area" localSheetId="17">'17.景觀鋪面(一)'!$A$1:$E$34</definedName>
    <definedName name="_xlnm.Print_Area" localSheetId="18">'18.景觀鋪面(二)'!$A$1:$E$34</definedName>
    <definedName name="_xlnm.Print_Area" localSheetId="19">'19.預鑄緣石'!$A$1:$E$34</definedName>
    <definedName name="_xlnm.Print_Area" localSheetId="2">'2.土方開挖'!$A$1:$E$34</definedName>
    <definedName name="_xlnm.Print_Area" localSheetId="20">'20.鋼構工程吊裝'!$A$1:$E$34</definedName>
    <definedName name="_xlnm.Print_Area" localSheetId="21">'21.鋼構工程塗裝'!$A$1:$E$34</definedName>
    <definedName name="_xlnm.Print_Area" localSheetId="22">'22.排水設施(一)'!$A$1:$E$34</definedName>
    <definedName name="_xlnm.Print_Area" localSheetId="23">'23.排水設施(二)'!$A$1:$E$34</definedName>
    <definedName name="_xlnm.Print_Area" localSheetId="24">'24.木構造'!$A$1:$E$34</definedName>
    <definedName name="_xlnm.Print_Area" localSheetId="25">'25.管路'!$A$1:$E$34</definedName>
    <definedName name="_xlnm.Print_Area" localSheetId="26">'26.植栽(移植)'!$A$1:$E$34</definedName>
    <definedName name="_xlnm.Print_Area" localSheetId="27">'27.植栽(新植)'!$A$1:$E$34</definedName>
    <definedName name="_xlnm.Print_Area" localSheetId="28">'28.照明'!$A$1:$E$34</definedName>
    <definedName name="_xlnm.Print_Area" localSheetId="29">'29.既有橋梁拆除'!$A$1:$E$34</definedName>
    <definedName name="_xlnm.Print_Area" localSheetId="3">'3.土方回填'!$A$1:$E$34</definedName>
    <definedName name="_xlnm.Print_Area" localSheetId="4">'4.鋼筋'!$A$1:$E$34</definedName>
    <definedName name="_xlnm.Print_Area" localSheetId="5">'5.模板'!$A$1:$E$34</definedName>
    <definedName name="_xlnm.Print_Area" localSheetId="6">'6.混凝土'!$A$1:$E$34</definedName>
    <definedName name="_xlnm.Print_Area" localSheetId="7">'7.植筋'!$A$1:$E$34</definedName>
    <definedName name="_xlnm.Print_Area" localSheetId="8">'8.預力混凝土基樁'!$A$1:$E$34</definedName>
    <definedName name="_xlnm.Print_Area" localSheetId="9">'9.砌塊石護岸'!$A$1:$E$34</definedName>
    <definedName name="_xlnm.Print_Area" localSheetId="31">PC樁!$A$1:$F$3</definedName>
    <definedName name="_xlnm.Print_Area" localSheetId="32">混凝土取樣!$A$1:$L$23</definedName>
    <definedName name="_xlnm.Print_Area" localSheetId="33">混凝土送驗單!$A$1:$Z$47</definedName>
    <definedName name="_xlnm.Print_Area" localSheetId="0">統計圖!$A$1:$F$46</definedName>
    <definedName name="_xlnm.Print_Area" localSheetId="30">鋼筋取樣!$A$1:$J$20</definedName>
    <definedName name="_xlnm.Print_Titles" localSheetId="31">PC樁!$1:$2</definedName>
    <definedName name="_xlnm.Print_Titles" localSheetId="32">混凝土取樣!$1:$1</definedName>
    <definedName name="_xlnm.Print_Titles" localSheetId="30">鋼筋取樣!$1:$2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1" i="102" l="1"/>
  <c r="A10" i="102"/>
  <c r="A18" i="104"/>
  <c r="A17" i="104"/>
  <c r="L28" i="17"/>
  <c r="J28" i="17"/>
  <c r="L31" i="17"/>
  <c r="L27" i="17"/>
  <c r="J27" i="17"/>
  <c r="L26" i="17"/>
  <c r="J26" i="17"/>
  <c r="L25" i="17"/>
  <c r="J25" i="17"/>
  <c r="L24" i="17"/>
  <c r="J24" i="17"/>
  <c r="L23" i="17"/>
  <c r="J23" i="17"/>
  <c r="L22" i="17"/>
  <c r="J22" i="17"/>
  <c r="L21" i="17"/>
  <c r="J21" i="17"/>
  <c r="L20" i="17"/>
  <c r="J20" i="17"/>
  <c r="J19" i="17"/>
  <c r="L19" i="17"/>
  <c r="L3" i="17"/>
  <c r="L4" i="17"/>
  <c r="L5" i="17"/>
  <c r="L6" i="17"/>
  <c r="L7" i="17"/>
  <c r="L8" i="17"/>
  <c r="L9" i="17"/>
  <c r="L10" i="17"/>
  <c r="L11" i="17"/>
  <c r="L12" i="17"/>
  <c r="L13" i="17"/>
  <c r="L14" i="17"/>
  <c r="L15" i="17"/>
  <c r="L16" i="17"/>
  <c r="L17" i="17"/>
  <c r="L18" i="17"/>
  <c r="L29" i="17"/>
  <c r="L30" i="17"/>
  <c r="J31" i="17"/>
  <c r="J30" i="17"/>
  <c r="J29" i="17"/>
  <c r="J18" i="17"/>
  <c r="G19" i="50"/>
  <c r="F19" i="50"/>
  <c r="B19" i="50"/>
  <c r="C19" i="50" s="1"/>
  <c r="A19" i="50"/>
  <c r="A18" i="81"/>
  <c r="A6" i="80"/>
  <c r="A18" i="79"/>
  <c r="F18" i="50"/>
  <c r="F17" i="50"/>
  <c r="G18" i="50"/>
  <c r="B18" i="50"/>
  <c r="A18" i="50"/>
  <c r="A17" i="81"/>
  <c r="A11" i="7"/>
  <c r="A7" i="83"/>
  <c r="A16" i="104"/>
  <c r="A15" i="104"/>
  <c r="A14" i="104"/>
  <c r="A14" i="81"/>
  <c r="A15" i="81"/>
  <c r="A16" i="81"/>
  <c r="A18" i="87"/>
  <c r="A17" i="87"/>
  <c r="A12" i="87"/>
  <c r="A13" i="87"/>
  <c r="A14" i="87"/>
  <c r="A15" i="87"/>
  <c r="A16" i="87"/>
  <c r="A10" i="87"/>
  <c r="A11" i="87"/>
  <c r="G17" i="50"/>
  <c r="B17" i="50"/>
  <c r="K19" i="50" l="1"/>
  <c r="L19" i="50" s="1"/>
  <c r="I19" i="50"/>
  <c r="J19" i="50" s="1"/>
  <c r="I18" i="50"/>
  <c r="J18" i="50" s="1"/>
  <c r="K18" i="50"/>
  <c r="L18" i="50" s="1"/>
  <c r="K17" i="50"/>
  <c r="L17" i="50" s="1"/>
  <c r="C18" i="50"/>
  <c r="I17" i="50"/>
  <c r="J17" i="50" s="1"/>
  <c r="C17" i="50"/>
  <c r="A5" i="80"/>
  <c r="A17" i="79" l="1"/>
  <c r="G16" i="50"/>
  <c r="B16" i="50"/>
  <c r="C16" i="50" s="1"/>
  <c r="A10" i="7"/>
  <c r="A20" i="76"/>
  <c r="A7" i="79"/>
  <c r="A14" i="79"/>
  <c r="A15" i="79"/>
  <c r="A16" i="79"/>
  <c r="B13" i="50"/>
  <c r="C13" i="50" s="1"/>
  <c r="F13" i="50"/>
  <c r="G13" i="50"/>
  <c r="B14" i="50"/>
  <c r="C14" i="50" s="1"/>
  <c r="F14" i="50"/>
  <c r="G14" i="50"/>
  <c r="B15" i="50"/>
  <c r="C15" i="50" s="1"/>
  <c r="F15" i="50"/>
  <c r="G15" i="50"/>
  <c r="A13" i="81"/>
  <c r="A12" i="81"/>
  <c r="K16" i="50" l="1"/>
  <c r="L16" i="50" s="1"/>
  <c r="I16" i="50"/>
  <c r="J16" i="50" s="1"/>
  <c r="I14" i="50"/>
  <c r="J14" i="50" s="1"/>
  <c r="K13" i="50"/>
  <c r="L13" i="50" s="1"/>
  <c r="K14" i="50"/>
  <c r="L14" i="50" s="1"/>
  <c r="I15" i="50"/>
  <c r="J15" i="50" s="1"/>
  <c r="I13" i="50"/>
  <c r="J13" i="50" s="1"/>
  <c r="K15" i="50"/>
  <c r="L15" i="50" s="1"/>
  <c r="I30" i="17" l="1"/>
  <c r="A30" i="17"/>
  <c r="H30" i="17" s="1"/>
  <c r="A9" i="102" l="1"/>
  <c r="F1" i="106"/>
  <c r="G2" i="106" s="1"/>
  <c r="G3" i="106" s="1"/>
  <c r="G4" i="106" s="1"/>
  <c r="G5" i="106" s="1"/>
  <c r="G6" i="106" s="1"/>
  <c r="G7" i="106" s="1"/>
  <c r="G8" i="106" s="1"/>
  <c r="G9" i="106" s="1"/>
  <c r="G10" i="106" s="1"/>
  <c r="G11" i="106" s="1"/>
  <c r="G12" i="106" s="1"/>
  <c r="G13" i="106" s="1"/>
  <c r="A3" i="106" s="1"/>
  <c r="C30" i="17" s="1"/>
  <c r="K30" i="17" l="1"/>
  <c r="M30" i="17"/>
  <c r="G12" i="50"/>
  <c r="F12" i="50"/>
  <c r="B12" i="50"/>
  <c r="C12" i="50" s="1"/>
  <c r="A11" i="81"/>
  <c r="I12" i="50" l="1"/>
  <c r="J12" i="50" s="1"/>
  <c r="K12" i="50"/>
  <c r="L12" i="50" s="1"/>
  <c r="G11" i="50" l="1"/>
  <c r="F11" i="50"/>
  <c r="B11" i="50"/>
  <c r="C11" i="50" s="1"/>
  <c r="A10" i="81"/>
  <c r="A13" i="79"/>
  <c r="A12" i="79"/>
  <c r="A11" i="79"/>
  <c r="A10" i="79"/>
  <c r="A9" i="79"/>
  <c r="A8" i="79"/>
  <c r="A6" i="79"/>
  <c r="A5" i="79"/>
  <c r="G10" i="50"/>
  <c r="F10" i="50"/>
  <c r="B10" i="50"/>
  <c r="C10" i="50" s="1"/>
  <c r="A9" i="81"/>
  <c r="G9" i="50"/>
  <c r="G8" i="50"/>
  <c r="G7" i="50"/>
  <c r="G6" i="50"/>
  <c r="B6" i="50"/>
  <c r="C6" i="50" s="1"/>
  <c r="B9" i="50"/>
  <c r="B8" i="50"/>
  <c r="B7" i="50"/>
  <c r="C7" i="50" s="1"/>
  <c r="F3" i="105"/>
  <c r="F9" i="50"/>
  <c r="K9" i="50" s="1"/>
  <c r="C9" i="50"/>
  <c r="F8" i="50"/>
  <c r="F7" i="50"/>
  <c r="F6" i="50"/>
  <c r="K6" i="50" s="1"/>
  <c r="K5" i="50"/>
  <c r="L5" i="50" s="1"/>
  <c r="I5" i="50"/>
  <c r="J5" i="50" s="1"/>
  <c r="C5" i="50"/>
  <c r="K4" i="50"/>
  <c r="L4" i="50" s="1"/>
  <c r="I4" i="50"/>
  <c r="J4" i="50" s="1"/>
  <c r="C4" i="50"/>
  <c r="K3" i="50"/>
  <c r="L3" i="50" s="1"/>
  <c r="I3" i="50"/>
  <c r="J3" i="50" s="1"/>
  <c r="C3" i="50"/>
  <c r="A3" i="50"/>
  <c r="A4" i="50" s="1"/>
  <c r="A5" i="50" s="1"/>
  <c r="A6" i="50" s="1"/>
  <c r="A7" i="50" s="1"/>
  <c r="A8" i="50" s="1"/>
  <c r="A9" i="50" s="1"/>
  <c r="A10" i="50" s="1"/>
  <c r="A11" i="50" s="1"/>
  <c r="A12" i="50" s="1"/>
  <c r="A13" i="50" s="1"/>
  <c r="A14" i="50" s="1"/>
  <c r="A15" i="50" s="1"/>
  <c r="A16" i="50" s="1"/>
  <c r="A17" i="50" s="1"/>
  <c r="K2" i="50"/>
  <c r="L2" i="50" s="1"/>
  <c r="I2" i="50"/>
  <c r="J2" i="50" s="1"/>
  <c r="C2" i="50"/>
  <c r="A4" i="3"/>
  <c r="K10" i="50" l="1"/>
  <c r="L10" i="50" s="1"/>
  <c r="K8" i="50"/>
  <c r="L8" i="50" s="1"/>
  <c r="A5" i="3"/>
  <c r="A6" i="3" s="1"/>
  <c r="A7" i="3" s="1"/>
  <c r="J14" i="3"/>
  <c r="K7" i="50"/>
  <c r="L7" i="50" s="1"/>
  <c r="K11" i="50"/>
  <c r="L11" i="50" s="1"/>
  <c r="I11" i="50"/>
  <c r="J11" i="50" s="1"/>
  <c r="I10" i="50"/>
  <c r="J10" i="50" s="1"/>
  <c r="L6" i="50"/>
  <c r="I8" i="50"/>
  <c r="J8" i="50" s="1"/>
  <c r="C8" i="50"/>
  <c r="I9" i="50"/>
  <c r="J9" i="50" s="1"/>
  <c r="I6" i="50"/>
  <c r="J6" i="50" s="1"/>
  <c r="L9" i="50"/>
  <c r="I7" i="50"/>
  <c r="J7" i="50" s="1"/>
  <c r="A8" i="3"/>
  <c r="A9" i="3" s="1"/>
  <c r="A10" i="3" s="1"/>
  <c r="A11" i="3" s="1"/>
  <c r="A12" i="3" s="1"/>
  <c r="A13" i="3" s="1"/>
  <c r="A14" i="3" s="1"/>
  <c r="A15" i="3" s="1"/>
  <c r="A16" i="3" s="1"/>
  <c r="A17" i="3" s="1"/>
  <c r="A18" i="3" s="1"/>
  <c r="A19" i="3" s="1"/>
  <c r="A20" i="3" s="1"/>
  <c r="J18" i="3" l="1"/>
  <c r="J13" i="3"/>
  <c r="J12" i="3"/>
  <c r="J19" i="3"/>
  <c r="J20" i="3"/>
  <c r="J15" i="3"/>
  <c r="J16" i="3"/>
  <c r="J17" i="3"/>
  <c r="J5" i="3"/>
  <c r="J3" i="3"/>
  <c r="J4" i="3"/>
  <c r="J7" i="3"/>
  <c r="J10" i="3"/>
  <c r="J8" i="3"/>
  <c r="J11" i="3"/>
  <c r="J9" i="3"/>
  <c r="J6" i="3"/>
  <c r="A8" i="102" l="1"/>
  <c r="A7" i="102"/>
  <c r="A6" i="102"/>
  <c r="A5" i="102"/>
  <c r="A6" i="85"/>
  <c r="A5" i="85"/>
  <c r="A13" i="104"/>
  <c r="A12" i="104"/>
  <c r="A11" i="104"/>
  <c r="A10" i="104"/>
  <c r="A8" i="104"/>
  <c r="A9" i="104"/>
  <c r="A7" i="104"/>
  <c r="A6" i="104"/>
  <c r="A5" i="104"/>
  <c r="A6" i="83" l="1"/>
  <c r="A5" i="83"/>
  <c r="A8" i="87"/>
  <c r="A9" i="87"/>
  <c r="A7" i="87"/>
  <c r="A6" i="87"/>
  <c r="A5" i="87"/>
  <c r="A8" i="81"/>
  <c r="A7" i="81"/>
  <c r="A6" i="81"/>
  <c r="A5" i="81"/>
  <c r="A19" i="76"/>
  <c r="A18" i="76"/>
  <c r="A17" i="76"/>
  <c r="A16" i="76"/>
  <c r="A15" i="76"/>
  <c r="A14" i="76"/>
  <c r="A13" i="76"/>
  <c r="A12" i="76"/>
  <c r="A11" i="76"/>
  <c r="A10" i="76"/>
  <c r="A9" i="76"/>
  <c r="A8" i="76"/>
  <c r="A7" i="76"/>
  <c r="A6" i="76"/>
  <c r="A5" i="76"/>
  <c r="A9" i="7"/>
  <c r="A8" i="7"/>
  <c r="A7" i="7"/>
  <c r="A6" i="7"/>
  <c r="A5" i="7"/>
  <c r="F1" i="104" l="1"/>
  <c r="G2" i="104" s="1"/>
  <c r="G3" i="104" s="1"/>
  <c r="I31" i="17"/>
  <c r="A31" i="17"/>
  <c r="H31" i="17" s="1"/>
  <c r="A29" i="17"/>
  <c r="H29" i="17" s="1"/>
  <c r="A28" i="17"/>
  <c r="H28" i="17" s="1"/>
  <c r="A27" i="17"/>
  <c r="H27" i="17" s="1"/>
  <c r="A26" i="17"/>
  <c r="H26" i="17" s="1"/>
  <c r="A25" i="17"/>
  <c r="H25" i="17" s="1"/>
  <c r="A24" i="17"/>
  <c r="H24" i="17" s="1"/>
  <c r="A23" i="17"/>
  <c r="H23" i="17" s="1"/>
  <c r="A22" i="17"/>
  <c r="H22" i="17" s="1"/>
  <c r="A21" i="17"/>
  <c r="H21" i="17" s="1"/>
  <c r="A20" i="17"/>
  <c r="H20" i="17" s="1"/>
  <c r="A19" i="17"/>
  <c r="H19" i="17" s="1"/>
  <c r="A18" i="17"/>
  <c r="H18" i="17" s="1"/>
  <c r="A17" i="17"/>
  <c r="H17" i="17" s="1"/>
  <c r="A16" i="17"/>
  <c r="H16" i="17" s="1"/>
  <c r="A15" i="17"/>
  <c r="H15" i="17" s="1"/>
  <c r="A14" i="17"/>
  <c r="H14" i="17" s="1"/>
  <c r="A13" i="17"/>
  <c r="H13" i="17" s="1"/>
  <c r="A12" i="17"/>
  <c r="H12" i="17" s="1"/>
  <c r="A11" i="17"/>
  <c r="H11" i="17" s="1"/>
  <c r="A10" i="17"/>
  <c r="H10" i="17" s="1"/>
  <c r="A9" i="17"/>
  <c r="H9" i="17" s="1"/>
  <c r="A8" i="17"/>
  <c r="H8" i="17" s="1"/>
  <c r="A7" i="17"/>
  <c r="H7" i="17" s="1"/>
  <c r="A6" i="17"/>
  <c r="H6" i="17" s="1"/>
  <c r="A5" i="17"/>
  <c r="H5" i="17" s="1"/>
  <c r="A4" i="17"/>
  <c r="H4" i="17" s="1"/>
  <c r="A3" i="17"/>
  <c r="H3" i="17" s="1"/>
  <c r="J17" i="17"/>
  <c r="J16" i="17"/>
  <c r="J15" i="17"/>
  <c r="J14" i="17"/>
  <c r="J13" i="17"/>
  <c r="J12" i="17"/>
  <c r="J11" i="17"/>
  <c r="J10" i="17"/>
  <c r="J9" i="17"/>
  <c r="J8" i="17"/>
  <c r="J7" i="17"/>
  <c r="J6" i="17"/>
  <c r="J5" i="17"/>
  <c r="J4" i="17"/>
  <c r="T18" i="3"/>
  <c r="T17" i="3"/>
  <c r="T16" i="3"/>
  <c r="T15" i="3"/>
  <c r="T14" i="3"/>
  <c r="T13" i="3"/>
  <c r="T12" i="3"/>
  <c r="T11" i="3"/>
  <c r="J3" i="17"/>
  <c r="I25" i="17"/>
  <c r="I26" i="17"/>
  <c r="I27" i="17"/>
  <c r="I28" i="17"/>
  <c r="I29" i="17"/>
  <c r="F1" i="103"/>
  <c r="G2" i="103" s="1"/>
  <c r="G3" i="103" s="1"/>
  <c r="F1" i="102"/>
  <c r="G2" i="102" s="1"/>
  <c r="G3" i="102" s="1"/>
  <c r="F1" i="101"/>
  <c r="G2" i="101" s="1"/>
  <c r="G3" i="101" s="1"/>
  <c r="F1" i="100"/>
  <c r="G2" i="100" s="1"/>
  <c r="G3" i="100" s="1"/>
  <c r="F1" i="99"/>
  <c r="G2" i="99" s="1"/>
  <c r="G3" i="99" s="1"/>
  <c r="F1" i="98"/>
  <c r="G2" i="98" s="1"/>
  <c r="G3" i="98" s="1"/>
  <c r="F1" i="97"/>
  <c r="G2" i="97" s="1"/>
  <c r="G3" i="97" s="1"/>
  <c r="F1" i="96"/>
  <c r="G2" i="96" s="1"/>
  <c r="G3" i="96" s="1"/>
  <c r="F1" i="95"/>
  <c r="G2" i="95" s="1"/>
  <c r="G3" i="95" s="1"/>
  <c r="G4" i="95" s="1"/>
  <c r="G5" i="95" s="1"/>
  <c r="G6" i="95" s="1"/>
  <c r="G7" i="95" s="1"/>
  <c r="G8" i="95" s="1"/>
  <c r="G9" i="95" s="1"/>
  <c r="G10" i="95" s="1"/>
  <c r="G11" i="95" s="1"/>
  <c r="G12" i="95" s="1"/>
  <c r="G13" i="95" s="1"/>
  <c r="F1" i="94"/>
  <c r="G2" i="94" s="1"/>
  <c r="G3" i="94" s="1"/>
  <c r="F1" i="93"/>
  <c r="G2" i="93" s="1"/>
  <c r="G3" i="93" s="1"/>
  <c r="F1" i="92"/>
  <c r="G2" i="92" s="1"/>
  <c r="G3" i="92" s="1"/>
  <c r="F1" i="90"/>
  <c r="G2" i="90" s="1"/>
  <c r="G3" i="90" s="1"/>
  <c r="F1" i="89"/>
  <c r="G2" i="89" s="1"/>
  <c r="G3" i="89" s="1"/>
  <c r="F1" i="88"/>
  <c r="G2" i="88" s="1"/>
  <c r="G3" i="88" s="1"/>
  <c r="F1" i="87"/>
  <c r="G2" i="87" s="1"/>
  <c r="G3" i="87" s="1"/>
  <c r="G4" i="87" s="1"/>
  <c r="G5" i="87" s="1"/>
  <c r="G6" i="87" s="1"/>
  <c r="G7" i="87" s="1"/>
  <c r="G8" i="87" s="1"/>
  <c r="G9" i="87" s="1"/>
  <c r="G10" i="87" s="1"/>
  <c r="G11" i="87" s="1"/>
  <c r="G12" i="87" s="1"/>
  <c r="G13" i="87" s="1"/>
  <c r="F1" i="86"/>
  <c r="G2" i="86" s="1"/>
  <c r="G3" i="86" s="1"/>
  <c r="F1" i="85"/>
  <c r="G2" i="85" s="1"/>
  <c r="G3" i="85" s="1"/>
  <c r="F1" i="84"/>
  <c r="G2" i="84" s="1"/>
  <c r="G3" i="84" s="1"/>
  <c r="F1" i="83"/>
  <c r="G2" i="83" s="1"/>
  <c r="G3" i="83" s="1"/>
  <c r="F1" i="82"/>
  <c r="G2" i="82" s="1"/>
  <c r="G3" i="82" s="1"/>
  <c r="F1" i="81"/>
  <c r="G2" i="81" s="1"/>
  <c r="G3" i="81" s="1"/>
  <c r="F1" i="80"/>
  <c r="G2" i="80" s="1"/>
  <c r="G3" i="80" s="1"/>
  <c r="F1" i="79"/>
  <c r="G2" i="79" s="1"/>
  <c r="G3" i="79" s="1"/>
  <c r="F1" i="78"/>
  <c r="G2" i="78" s="1"/>
  <c r="G3" i="78" s="1"/>
  <c r="F1" i="76"/>
  <c r="G2" i="76" s="1"/>
  <c r="G3" i="76" s="1"/>
  <c r="F1" i="7"/>
  <c r="G2" i="7" s="1"/>
  <c r="G3" i="7" s="1"/>
  <c r="G4" i="7" s="1"/>
  <c r="G5" i="7" s="1"/>
  <c r="G6" i="7" s="1"/>
  <c r="G7" i="7" s="1"/>
  <c r="G8" i="7" s="1"/>
  <c r="G9" i="7" s="1"/>
  <c r="G10" i="7" s="1"/>
  <c r="G11" i="7" s="1"/>
  <c r="G12" i="7" s="1"/>
  <c r="G13" i="7" s="1"/>
  <c r="I21" i="17"/>
  <c r="I22" i="17"/>
  <c r="I23" i="17"/>
  <c r="I24" i="17"/>
  <c r="G4" i="78" l="1"/>
  <c r="G5" i="78" s="1"/>
  <c r="G6" i="78" s="1"/>
  <c r="G7" i="78" s="1"/>
  <c r="G8" i="78" s="1"/>
  <c r="G9" i="78" s="1"/>
  <c r="G10" i="78" s="1"/>
  <c r="G11" i="78" s="1"/>
  <c r="G12" i="78" s="1"/>
  <c r="G13" i="78" s="1"/>
  <c r="A3" i="78" s="1"/>
  <c r="C5" i="17" s="1"/>
  <c r="G4" i="83"/>
  <c r="G5" i="83" s="1"/>
  <c r="G6" i="83" s="1"/>
  <c r="G7" i="83" s="1"/>
  <c r="G8" i="83" s="1"/>
  <c r="G9" i="83" s="1"/>
  <c r="G10" i="83" s="1"/>
  <c r="G11" i="83" s="1"/>
  <c r="G12" i="83" s="1"/>
  <c r="G13" i="83" s="1"/>
  <c r="A3" i="83" s="1"/>
  <c r="C10" i="17" s="1"/>
  <c r="G4" i="92"/>
  <c r="G5" i="92" s="1"/>
  <c r="G6" i="92" s="1"/>
  <c r="G7" i="92" s="1"/>
  <c r="G8" i="92" s="1"/>
  <c r="G9" i="92" s="1"/>
  <c r="G10" i="92" s="1"/>
  <c r="G11" i="92" s="1"/>
  <c r="G12" i="92" s="1"/>
  <c r="G13" i="92" s="1"/>
  <c r="A3" i="92" s="1"/>
  <c r="C18" i="17" s="1"/>
  <c r="G4" i="96"/>
  <c r="G5" i="96" s="1"/>
  <c r="G6" i="96" s="1"/>
  <c r="G7" i="96" s="1"/>
  <c r="G8" i="96" s="1"/>
  <c r="G9" i="96" s="1"/>
  <c r="G10" i="96" s="1"/>
  <c r="G11" i="96" s="1"/>
  <c r="G12" i="96" s="1"/>
  <c r="G13" i="96" s="1"/>
  <c r="A3" i="96" s="1"/>
  <c r="C22" i="17" s="1"/>
  <c r="G4" i="100"/>
  <c r="G5" i="100" s="1"/>
  <c r="G6" i="100" s="1"/>
  <c r="G7" i="100" s="1"/>
  <c r="G8" i="100" s="1"/>
  <c r="G9" i="100" s="1"/>
  <c r="G10" i="100" s="1"/>
  <c r="G11" i="100" s="1"/>
  <c r="G12" i="100" s="1"/>
  <c r="G13" i="100" s="1"/>
  <c r="A3" i="100" s="1"/>
  <c r="C26" i="17" s="1"/>
  <c r="G4" i="80"/>
  <c r="G5" i="80" s="1"/>
  <c r="G6" i="80" s="1"/>
  <c r="G7" i="80" s="1"/>
  <c r="G8" i="80" s="1"/>
  <c r="G9" i="80" s="1"/>
  <c r="G10" i="80" s="1"/>
  <c r="G11" i="80" s="1"/>
  <c r="G12" i="80" s="1"/>
  <c r="G13" i="80" s="1"/>
  <c r="A3" i="80" s="1"/>
  <c r="C7" i="17" s="1"/>
  <c r="G4" i="84"/>
  <c r="G5" i="84" s="1"/>
  <c r="G6" i="84" s="1"/>
  <c r="G7" i="84" s="1"/>
  <c r="G8" i="84" s="1"/>
  <c r="G9" i="84" s="1"/>
  <c r="G10" i="84" s="1"/>
  <c r="G11" i="84" s="1"/>
  <c r="G12" i="84" s="1"/>
  <c r="G13" i="84" s="1"/>
  <c r="A3" i="84" s="1"/>
  <c r="C11" i="17" s="1"/>
  <c r="G4" i="88"/>
  <c r="G5" i="88" s="1"/>
  <c r="G6" i="88" s="1"/>
  <c r="G7" i="88" s="1"/>
  <c r="G8" i="88" s="1"/>
  <c r="G9" i="88" s="1"/>
  <c r="G10" i="88" s="1"/>
  <c r="G11" i="88" s="1"/>
  <c r="G12" i="88" s="1"/>
  <c r="G13" i="88" s="1"/>
  <c r="A3" i="88" s="1"/>
  <c r="C15" i="17" s="1"/>
  <c r="G4" i="93"/>
  <c r="G5" i="93" s="1"/>
  <c r="G6" i="93" s="1"/>
  <c r="G7" i="93" s="1"/>
  <c r="G8" i="93" s="1"/>
  <c r="G9" i="93" s="1"/>
  <c r="G10" i="93" s="1"/>
  <c r="G11" i="93" s="1"/>
  <c r="G12" i="93" s="1"/>
  <c r="G13" i="93" s="1"/>
  <c r="A3" i="93" s="1"/>
  <c r="C19" i="17" s="1"/>
  <c r="G4" i="97"/>
  <c r="G5" i="97" s="1"/>
  <c r="G6" i="97" s="1"/>
  <c r="G7" i="97" s="1"/>
  <c r="G8" i="97" s="1"/>
  <c r="G9" i="97" s="1"/>
  <c r="G10" i="97" s="1"/>
  <c r="G11" i="97" s="1"/>
  <c r="G12" i="97" s="1"/>
  <c r="G13" i="97" s="1"/>
  <c r="A3" i="97" s="1"/>
  <c r="C23" i="17" s="1"/>
  <c r="G4" i="101"/>
  <c r="G5" i="101" s="1"/>
  <c r="G6" i="101" s="1"/>
  <c r="G7" i="101" s="1"/>
  <c r="G8" i="101" s="1"/>
  <c r="G9" i="101" s="1"/>
  <c r="G10" i="101" s="1"/>
  <c r="G11" i="101" s="1"/>
  <c r="G12" i="101" s="1"/>
  <c r="G13" i="101" s="1"/>
  <c r="A3" i="101" s="1"/>
  <c r="C27" i="17" s="1"/>
  <c r="G4" i="79"/>
  <c r="G5" i="79" s="1"/>
  <c r="G6" i="79" s="1"/>
  <c r="G7" i="79" s="1"/>
  <c r="G8" i="79" s="1"/>
  <c r="G9" i="79" s="1"/>
  <c r="G10" i="79" s="1"/>
  <c r="G11" i="79" s="1"/>
  <c r="G12" i="79" s="1"/>
  <c r="G13" i="79" s="1"/>
  <c r="G4" i="76"/>
  <c r="G5" i="76" s="1"/>
  <c r="G6" i="76" s="1"/>
  <c r="G7" i="76" s="1"/>
  <c r="G8" i="76" s="1"/>
  <c r="G9" i="76" s="1"/>
  <c r="G10" i="76" s="1"/>
  <c r="G11" i="76" s="1"/>
  <c r="G12" i="76" s="1"/>
  <c r="G13" i="76" s="1"/>
  <c r="A3" i="76" s="1"/>
  <c r="C4" i="17" s="1"/>
  <c r="G4" i="81"/>
  <c r="G5" i="81" s="1"/>
  <c r="G6" i="81" s="1"/>
  <c r="G7" i="81" s="1"/>
  <c r="G8" i="81" s="1"/>
  <c r="G9" i="81" s="1"/>
  <c r="G10" i="81" s="1"/>
  <c r="G11" i="81" s="1"/>
  <c r="G12" i="81" s="1"/>
  <c r="G13" i="81" s="1"/>
  <c r="A3" i="81" s="1"/>
  <c r="C8" i="17" s="1"/>
  <c r="G4" i="85"/>
  <c r="G5" i="85" s="1"/>
  <c r="G6" i="85" s="1"/>
  <c r="G7" i="85" s="1"/>
  <c r="G8" i="85" s="1"/>
  <c r="G9" i="85" s="1"/>
  <c r="G10" i="85" s="1"/>
  <c r="G11" i="85" s="1"/>
  <c r="G12" i="85" s="1"/>
  <c r="G13" i="85" s="1"/>
  <c r="A3" i="85" s="1"/>
  <c r="C16" i="17" s="1"/>
  <c r="G4" i="89"/>
  <c r="G5" i="89" s="1"/>
  <c r="G6" i="89" s="1"/>
  <c r="G7" i="89" s="1"/>
  <c r="G8" i="89" s="1"/>
  <c r="G9" i="89" s="1"/>
  <c r="G10" i="89" s="1"/>
  <c r="G11" i="89" s="1"/>
  <c r="G12" i="89" s="1"/>
  <c r="G13" i="89" s="1"/>
  <c r="A3" i="89" s="1"/>
  <c r="C12" i="17" s="1"/>
  <c r="G4" i="94"/>
  <c r="G5" i="94" s="1"/>
  <c r="G6" i="94" s="1"/>
  <c r="G7" i="94" s="1"/>
  <c r="G8" i="94" s="1"/>
  <c r="G9" i="94" s="1"/>
  <c r="G10" i="94" s="1"/>
  <c r="G11" i="94" s="1"/>
  <c r="G12" i="94" s="1"/>
  <c r="G13" i="94" s="1"/>
  <c r="A3" i="94" s="1"/>
  <c r="C20" i="17" s="1"/>
  <c r="G4" i="98"/>
  <c r="G5" i="98" s="1"/>
  <c r="G6" i="98" s="1"/>
  <c r="G7" i="98" s="1"/>
  <c r="G8" i="98" s="1"/>
  <c r="G9" i="98" s="1"/>
  <c r="G10" i="98" s="1"/>
  <c r="G11" i="98" s="1"/>
  <c r="G12" i="98" s="1"/>
  <c r="G13" i="98" s="1"/>
  <c r="A3" i="98" s="1"/>
  <c r="C24" i="17" s="1"/>
  <c r="G4" i="102"/>
  <c r="G5" i="102" s="1"/>
  <c r="G6" i="102" s="1"/>
  <c r="G7" i="102" s="1"/>
  <c r="G8" i="102" s="1"/>
  <c r="G9" i="102" s="1"/>
  <c r="G10" i="102" s="1"/>
  <c r="G11" i="102" s="1"/>
  <c r="G12" i="102" s="1"/>
  <c r="G13" i="102" s="1"/>
  <c r="A3" i="102" s="1"/>
  <c r="C28" i="17" s="1"/>
  <c r="G4" i="82"/>
  <c r="G5" i="82" s="1"/>
  <c r="G6" i="82" s="1"/>
  <c r="G7" i="82" s="1"/>
  <c r="G8" i="82" s="1"/>
  <c r="G9" i="82" s="1"/>
  <c r="G10" i="82" s="1"/>
  <c r="G11" i="82" s="1"/>
  <c r="G12" i="82" s="1"/>
  <c r="G13" i="82" s="1"/>
  <c r="A3" i="82" s="1"/>
  <c r="C9" i="17" s="1"/>
  <c r="G4" i="86"/>
  <c r="G5" i="86" s="1"/>
  <c r="G6" i="86" s="1"/>
  <c r="G7" i="86" s="1"/>
  <c r="G8" i="86" s="1"/>
  <c r="G9" i="86" s="1"/>
  <c r="G10" i="86" s="1"/>
  <c r="G11" i="86" s="1"/>
  <c r="G12" i="86" s="1"/>
  <c r="G13" i="86" s="1"/>
  <c r="A3" i="86" s="1"/>
  <c r="C13" i="17" s="1"/>
  <c r="G4" i="90"/>
  <c r="G5" i="90" s="1"/>
  <c r="G6" i="90" s="1"/>
  <c r="G7" i="90" s="1"/>
  <c r="G8" i="90" s="1"/>
  <c r="G9" i="90" s="1"/>
  <c r="G10" i="90" s="1"/>
  <c r="G11" i="90" s="1"/>
  <c r="G12" i="90" s="1"/>
  <c r="G13" i="90" s="1"/>
  <c r="A3" i="90" s="1"/>
  <c r="C17" i="17" s="1"/>
  <c r="G4" i="99"/>
  <c r="G5" i="99" s="1"/>
  <c r="G6" i="99" s="1"/>
  <c r="G7" i="99" s="1"/>
  <c r="G8" i="99" s="1"/>
  <c r="G9" i="99" s="1"/>
  <c r="G10" i="99" s="1"/>
  <c r="G11" i="99" s="1"/>
  <c r="G12" i="99" s="1"/>
  <c r="G13" i="99" s="1"/>
  <c r="A3" i="99" s="1"/>
  <c r="C25" i="17" s="1"/>
  <c r="G4" i="103"/>
  <c r="G5" i="103" s="1"/>
  <c r="G6" i="103" s="1"/>
  <c r="G7" i="103" s="1"/>
  <c r="G8" i="103" s="1"/>
  <c r="G9" i="103" s="1"/>
  <c r="G10" i="103" s="1"/>
  <c r="G11" i="103" s="1"/>
  <c r="G12" i="103" s="1"/>
  <c r="G13" i="103" s="1"/>
  <c r="A3" i="103" s="1"/>
  <c r="C29" i="17" s="1"/>
  <c r="G4" i="104"/>
  <c r="G5" i="104" s="1"/>
  <c r="G6" i="104" s="1"/>
  <c r="G7" i="104" s="1"/>
  <c r="G8" i="104" s="1"/>
  <c r="G9" i="104" s="1"/>
  <c r="G10" i="104" s="1"/>
  <c r="G11" i="104" s="1"/>
  <c r="G12" i="104" s="1"/>
  <c r="G13" i="104" s="1"/>
  <c r="A3" i="104" s="1"/>
  <c r="C31" i="17" s="1"/>
  <c r="A3" i="95"/>
  <c r="A3" i="7"/>
  <c r="C3" i="17" s="1"/>
  <c r="K9" i="17" l="1"/>
  <c r="M9" i="17"/>
  <c r="K22" i="17"/>
  <c r="M22" i="17"/>
  <c r="K16" i="17"/>
  <c r="M16" i="17"/>
  <c r="K11" i="17"/>
  <c r="M11" i="17"/>
  <c r="K18" i="17"/>
  <c r="M18" i="17"/>
  <c r="K29" i="17"/>
  <c r="M29" i="17"/>
  <c r="K15" i="17"/>
  <c r="M15" i="17"/>
  <c r="K28" i="17"/>
  <c r="M28" i="17"/>
  <c r="K27" i="17"/>
  <c r="M27" i="17"/>
  <c r="K17" i="17"/>
  <c r="M17" i="17"/>
  <c r="K24" i="17"/>
  <c r="M24" i="17"/>
  <c r="K8" i="17"/>
  <c r="M8" i="17"/>
  <c r="K23" i="17"/>
  <c r="M23" i="17"/>
  <c r="K7" i="17"/>
  <c r="M7" i="17"/>
  <c r="K10" i="17"/>
  <c r="M10" i="17"/>
  <c r="K12" i="17"/>
  <c r="M12" i="17"/>
  <c r="K25" i="17"/>
  <c r="M25" i="17"/>
  <c r="K31" i="17"/>
  <c r="M31" i="17"/>
  <c r="K13" i="17"/>
  <c r="M13" i="17"/>
  <c r="K20" i="17"/>
  <c r="M20" i="17"/>
  <c r="K19" i="17"/>
  <c r="M19" i="17"/>
  <c r="K26" i="17"/>
  <c r="M26" i="17"/>
  <c r="K5" i="17"/>
  <c r="M5" i="17"/>
  <c r="C21" i="17"/>
  <c r="K21" i="17" l="1"/>
  <c r="M21" i="17"/>
  <c r="A3" i="79"/>
  <c r="C6" i="17" s="1"/>
  <c r="A3" i="87"/>
  <c r="C14" i="17" s="1"/>
  <c r="K14" i="17" l="1"/>
  <c r="M14" i="17"/>
  <c r="K6" i="17"/>
  <c r="M6" i="17"/>
  <c r="I4" i="17"/>
  <c r="I5" i="17"/>
  <c r="I6" i="17"/>
  <c r="I7" i="17"/>
  <c r="I8" i="17"/>
  <c r="I9" i="17"/>
  <c r="I10" i="17"/>
  <c r="I11" i="17"/>
  <c r="I12" i="17"/>
  <c r="I13" i="17"/>
  <c r="I14" i="17"/>
  <c r="I15" i="17"/>
  <c r="I16" i="17"/>
  <c r="I17" i="17"/>
  <c r="I18" i="17"/>
  <c r="I19" i="17"/>
  <c r="I20" i="17"/>
  <c r="I3" i="17"/>
  <c r="K3" i="17" l="1"/>
  <c r="M3" i="17"/>
  <c r="K4" i="17"/>
  <c r="M4" i="17"/>
  <c r="C32" i="17" l="1"/>
</calcChain>
</file>

<file path=xl/sharedStrings.xml><?xml version="1.0" encoding="utf-8"?>
<sst xmlns="http://schemas.openxmlformats.org/spreadsheetml/2006/main" count="1005" uniqueCount="429">
  <si>
    <t>鋼筋</t>
    <phoneticPr fontId="1" type="noConversion"/>
  </si>
  <si>
    <t>混凝土</t>
    <phoneticPr fontId="1" type="noConversion"/>
  </si>
  <si>
    <t>編號</t>
    <phoneticPr fontId="1" type="noConversion"/>
  </si>
  <si>
    <t>日期</t>
    <phoneticPr fontId="1" type="noConversion"/>
  </si>
  <si>
    <t>星期</t>
    <phoneticPr fontId="1" type="noConversion"/>
  </si>
  <si>
    <t>28天</t>
    <phoneticPr fontId="1" type="noConversion"/>
  </si>
  <si>
    <t>7天</t>
    <phoneticPr fontId="1" type="noConversion"/>
  </si>
  <si>
    <t>結構部位</t>
    <phoneticPr fontId="1" type="noConversion"/>
  </si>
  <si>
    <t>組數</t>
    <phoneticPr fontId="1" type="noConversion"/>
  </si>
  <si>
    <t>數量</t>
    <phoneticPr fontId="1" type="noConversion"/>
  </si>
  <si>
    <t>號數</t>
    <phoneticPr fontId="1" type="noConversion"/>
  </si>
  <si>
    <t>取樣日期</t>
    <phoneticPr fontId="1" type="noConversion"/>
  </si>
  <si>
    <t>進場日期</t>
    <phoneticPr fontId="1" type="noConversion"/>
  </si>
  <si>
    <t>爐號</t>
    <phoneticPr fontId="1" type="noConversion"/>
  </si>
  <si>
    <t>累計數量</t>
    <phoneticPr fontId="1" type="noConversion"/>
  </si>
  <si>
    <t>備註</t>
    <phoneticPr fontId="1" type="noConversion"/>
  </si>
  <si>
    <t>檢查部位</t>
    <phoneticPr fontId="1" type="noConversion"/>
  </si>
  <si>
    <t>檢查日期</t>
    <phoneticPr fontId="1" type="noConversion"/>
  </si>
  <si>
    <t>次數</t>
    <phoneticPr fontId="1" type="noConversion"/>
  </si>
  <si>
    <t>鋼筋材料進場統計表</t>
    <phoneticPr fontId="1" type="noConversion"/>
  </si>
  <si>
    <t>編號</t>
    <phoneticPr fontId="1" type="noConversion"/>
  </si>
  <si>
    <t>項目</t>
    <phoneticPr fontId="1" type="noConversion"/>
  </si>
  <si>
    <t>檢查次數</t>
    <phoneticPr fontId="1" type="noConversion"/>
  </si>
  <si>
    <t>合計</t>
    <phoneticPr fontId="1" type="noConversion"/>
  </si>
  <si>
    <t>會同</t>
    <phoneticPr fontId="1" type="noConversion"/>
  </si>
  <si>
    <t>臺北市政府工務局水利工程處</t>
    <phoneticPr fontId="1" type="noConversion"/>
  </si>
  <si>
    <t>代表數量</t>
    <phoneticPr fontId="1" type="noConversion"/>
  </si>
  <si>
    <t>監造</t>
    <phoneticPr fontId="1" type="noConversion"/>
  </si>
  <si>
    <t>監造</t>
    <phoneticPr fontId="1" type="noConversion"/>
  </si>
  <si>
    <t>裕全顧問有限公司五股實驗室</t>
    <phoneticPr fontId="9" type="noConversion"/>
  </si>
  <si>
    <t xml:space="preserve">      報告編號：</t>
    <phoneticPr fontId="9" type="noConversion"/>
  </si>
  <si>
    <r>
      <t>地址：新北市蘆洲區集賢路378-1號　電話：</t>
    </r>
    <r>
      <rPr>
        <b/>
        <sz val="11"/>
        <rFont val="Times New Roman"/>
        <family val="1"/>
      </rPr>
      <t>(02)2293-9177</t>
    </r>
    <r>
      <rPr>
        <b/>
        <sz val="11"/>
        <rFont val="標楷體"/>
        <family val="4"/>
        <charset val="136"/>
      </rPr>
      <t>　傳真：(02)2293-9178</t>
    </r>
    <phoneticPr fontId="9" type="noConversion"/>
  </si>
  <si>
    <t>□會驗 □不會驗 □需拍照</t>
  </si>
  <si>
    <t>工程名稱：</t>
    <phoneticPr fontId="9" type="noConversion"/>
  </si>
  <si>
    <t>業　　主：</t>
    <phoneticPr fontId="9" type="noConversion"/>
  </si>
  <si>
    <t>臺北市政府工務局水利工程處</t>
    <phoneticPr fontId="9" type="noConversion"/>
  </si>
  <si>
    <t>監造單位：</t>
    <phoneticPr fontId="9" type="noConversion"/>
  </si>
  <si>
    <t>盛禹工程顧問有限公司</t>
    <phoneticPr fontId="9" type="noConversion"/>
  </si>
  <si>
    <t>承包廠商：</t>
    <phoneticPr fontId="9" type="noConversion"/>
  </si>
  <si>
    <t>上溢營造股份有限公司</t>
    <phoneticPr fontId="9" type="noConversion"/>
  </si>
  <si>
    <t>委託單位：</t>
    <phoneticPr fontId="9" type="noConversion"/>
  </si>
  <si>
    <t>聯絡資訊：</t>
    <phoneticPr fontId="9" type="noConversion"/>
  </si>
  <si>
    <t>結構部位：</t>
    <phoneticPr fontId="9" type="noConversion"/>
  </si>
  <si>
    <t>供料廠商：</t>
    <phoneticPr fontId="9" type="noConversion"/>
  </si>
  <si>
    <t>取樣單位/人員：</t>
    <phoneticPr fontId="9" type="noConversion"/>
  </si>
  <si>
    <t>業主</t>
    <phoneticPr fontId="9" type="noConversion"/>
  </si>
  <si>
    <t>監造</t>
    <phoneticPr fontId="9" type="noConversion"/>
  </si>
  <si>
    <t>承包</t>
    <phoneticPr fontId="9" type="noConversion"/>
  </si>
  <si>
    <t>送驗單位/人員：</t>
    <phoneticPr fontId="9" type="noConversion"/>
  </si>
  <si>
    <t>業主</t>
  </si>
  <si>
    <t>供料</t>
    <phoneticPr fontId="9" type="noConversion"/>
  </si>
  <si>
    <t>□熟客；□是 □否 核對證件</t>
    <phoneticPr fontId="9" type="noConversion"/>
  </si>
  <si>
    <t>會驗單位/人員：</t>
    <phoneticPr fontId="9" type="noConversion"/>
  </si>
  <si>
    <t>樣品保留□是(最多3天為限) □否(清理清運)；報告份數</t>
    <phoneticPr fontId="9" type="noConversion"/>
  </si>
  <si>
    <t>份，未說明者 5 份。</t>
    <phoneticPr fontId="9" type="noConversion"/>
  </si>
  <si>
    <t>發票抬頭：</t>
    <phoneticPr fontId="9" type="noConversion"/>
  </si>
  <si>
    <t>聯絡人姓名：</t>
    <phoneticPr fontId="9" type="noConversion"/>
  </si>
  <si>
    <t>手機：</t>
    <phoneticPr fontId="9" type="noConversion"/>
  </si>
  <si>
    <t>統一編號：</t>
    <phoneticPr fontId="9" type="noConversion"/>
  </si>
  <si>
    <t>聯絡市話：</t>
    <phoneticPr fontId="9" type="noConversion"/>
  </si>
  <si>
    <t>傳真：</t>
    <phoneticPr fontId="9" type="noConversion"/>
  </si>
  <si>
    <r>
      <t>發票</t>
    </r>
    <r>
      <rPr>
        <b/>
        <sz val="14"/>
        <rFont val="Wingdings 3"/>
        <family val="1"/>
        <charset val="2"/>
      </rPr>
      <t>Æ</t>
    </r>
    <phoneticPr fontId="9" type="noConversion"/>
  </si>
  <si>
    <t>□自取 □郵寄</t>
  </si>
  <si>
    <r>
      <t>報告</t>
    </r>
    <r>
      <rPr>
        <b/>
        <sz val="14"/>
        <rFont val="Wingdings 3"/>
        <family val="1"/>
        <charset val="2"/>
      </rPr>
      <t>Æ</t>
    </r>
    <phoneticPr fontId="9" type="noConversion"/>
  </si>
  <si>
    <t>請款資訊請填寫完整</t>
    <phoneticPr fontId="9" type="noConversion"/>
  </si>
  <si>
    <t>一併委外試驗項目：</t>
    <phoneticPr fontId="9" type="noConversion"/>
  </si>
  <si>
    <t>數量：</t>
    <phoneticPr fontId="9" type="noConversion"/>
  </si>
  <si>
    <t>委外單位：</t>
    <phoneticPr fontId="9" type="noConversion"/>
  </si>
  <si>
    <t>試驗項目</t>
    <phoneticPr fontId="9" type="noConversion"/>
  </si>
  <si>
    <t>試驗方法</t>
    <phoneticPr fontId="9" type="noConversion"/>
  </si>
  <si>
    <t>數量</t>
    <phoneticPr fontId="9" type="noConversion"/>
  </si>
  <si>
    <t>製作日期</t>
    <phoneticPr fontId="9" type="noConversion"/>
  </si>
  <si>
    <t>試驗日期</t>
    <phoneticPr fontId="9" type="noConversion"/>
  </si>
  <si>
    <t>材齡</t>
    <phoneticPr fontId="9" type="noConversion"/>
  </si>
  <si>
    <t>試樣製作：</t>
    <phoneticPr fontId="9" type="noConversion"/>
  </si>
  <si>
    <t>□同供料廠商 □其他：</t>
    <phoneticPr fontId="9" type="noConversion"/>
  </si>
  <si>
    <t>廠商養護-養護單位：</t>
    <phoneticPr fontId="9" type="noConversion"/>
  </si>
  <si>
    <t>廠商養護-養護時間：</t>
    <phoneticPr fontId="9" type="noConversion"/>
  </si>
  <si>
    <t>年</t>
    <phoneticPr fontId="9" type="noConversion"/>
  </si>
  <si>
    <t>月</t>
    <phoneticPr fontId="9" type="noConversion"/>
  </si>
  <si>
    <t>日</t>
    <phoneticPr fontId="9" type="noConversion"/>
  </si>
  <si>
    <t>時</t>
    <phoneticPr fontId="9" type="noConversion"/>
  </si>
  <si>
    <t xml:space="preserve">分 至 </t>
    <phoneticPr fontId="9" type="noConversion"/>
  </si>
  <si>
    <t xml:space="preserve">分      </t>
    <phoneticPr fontId="9" type="noConversion"/>
  </si>
  <si>
    <r>
      <t>本實驗室不出具符合性聲明報告</t>
    </r>
    <r>
      <rPr>
        <b/>
        <sz val="14"/>
        <color rgb="FF0000FF"/>
        <rFont val="新細明體"/>
        <family val="1"/>
        <charset val="136"/>
      </rPr>
      <t>。</t>
    </r>
    <phoneticPr fontId="9" type="noConversion"/>
  </si>
  <si>
    <t xml:space="preserve">*以上粗框資訊由委託者提供、本實驗室將有關顧客資訊和測試資料均予以保密。 </t>
    <phoneticPr fontId="9" type="noConversion"/>
  </si>
  <si>
    <r>
      <rPr>
        <b/>
        <sz val="12"/>
        <rFont val="新細明體"/>
        <family val="1"/>
        <charset val="136"/>
      </rPr>
      <t>※</t>
    </r>
    <r>
      <rPr>
        <b/>
        <sz val="12"/>
        <rFont val="標楷體"/>
        <family val="4"/>
        <charset val="136"/>
      </rPr>
      <t>以下資訊由實驗室登載事項:</t>
    </r>
    <phoneticPr fontId="9" type="noConversion"/>
  </si>
  <si>
    <r>
      <t>養護方式:□</t>
    </r>
    <r>
      <rPr>
        <sz val="10"/>
        <rFont val="標楷體"/>
        <family val="4"/>
        <charset val="136"/>
      </rPr>
      <t>飽和石灰水□其他:</t>
    </r>
    <phoneticPr fontId="9" type="noConversion"/>
  </si>
  <si>
    <t xml:space="preserve">      養護條件:□23±2℃□其他:</t>
    <phoneticPr fontId="9" type="noConversion"/>
  </si>
  <si>
    <t>養護時間：　　　年　　　月　　　日　　　時　　　分 至　　　年　　　月　　　日　　　時　　　分</t>
    <phoneticPr fontId="9" type="noConversion"/>
  </si>
  <si>
    <t>說明:委託單位同意本實驗室將本單之資訊回報予TAF</t>
    <phoneticPr fontId="9" type="noConversion"/>
  </si>
  <si>
    <t>□樣品符合允收標準 □樣品退件說明</t>
    <phoneticPr fontId="9" type="noConversion"/>
  </si>
  <si>
    <t>1.本委託單經送驗者及收件者簽名即完成委託流程。</t>
    <phoneticPr fontId="9" type="noConversion"/>
  </si>
  <si>
    <r>
      <t>缺失：□裂紋 □缺角 □凹凸嚴重 □變形 □材質</t>
    </r>
    <r>
      <rPr>
        <sz val="10"/>
        <rFont val="新細明體"/>
        <family val="1"/>
        <charset val="136"/>
      </rPr>
      <t>、</t>
    </r>
    <r>
      <rPr>
        <sz val="10"/>
        <rFont val="標楷體"/>
        <family val="4"/>
        <charset val="136"/>
      </rPr>
      <t>質量不足 □尺寸不符 □受損 □其他：</t>
    </r>
    <phoneticPr fontId="9" type="noConversion"/>
  </si>
  <si>
    <t>3.實驗室僅做標準方法養護。</t>
    <phoneticPr fontId="9" type="noConversion"/>
  </si>
  <si>
    <t>收件時間：　　　年　　　月　　　日 　　　時　　　分　　收件者：</t>
    <phoneticPr fontId="9" type="noConversion"/>
  </si>
  <si>
    <t>業主</t>
    <phoneticPr fontId="1" type="noConversion"/>
  </si>
  <si>
    <t>廠商</t>
    <phoneticPr fontId="1" type="noConversion"/>
  </si>
  <si>
    <t>混凝土圓柱試體試驗委託單</t>
    <phoneticPr fontId="9" type="noConversion"/>
  </si>
  <si>
    <t>北投區致遠三路158號4樓</t>
    <phoneticPr fontId="9" type="noConversion"/>
  </si>
  <si>
    <t>5</t>
    <phoneticPr fontId="9" type="noConversion"/>
  </si>
  <si>
    <t>□自取 □郵寄</t>
    <phoneticPr fontId="9" type="noConversion"/>
  </si>
  <si>
    <t>混凝土圓柱試體尺寸：</t>
    <phoneticPr fontId="9" type="noConversion"/>
  </si>
  <si>
    <t>□∮12*24  □∮15*30  □其他：</t>
  </si>
  <si>
    <r>
      <rPr>
        <b/>
        <sz val="11"/>
        <rFont val="標楷體"/>
        <family val="4"/>
        <charset val="136"/>
      </rPr>
      <t>設計強度</t>
    </r>
    <r>
      <rPr>
        <b/>
        <sz val="10"/>
        <rFont val="標楷體"/>
        <family val="4"/>
        <charset val="136"/>
      </rPr>
      <t xml:space="preserve">
(kgf/cm²)</t>
    </r>
    <phoneticPr fontId="9" type="noConversion"/>
  </si>
  <si>
    <t>混凝土試體抗壓試驗</t>
    <phoneticPr fontId="9" type="noConversion"/>
  </si>
  <si>
    <t xml:space="preserve"> CNS 1232(2002)</t>
    <phoneticPr fontId="9" type="noConversion"/>
  </si>
  <si>
    <t>□同供料廠商 □工地養護 □其他：　　　養護方式：□飽和石灰水  其他：□自然曝氣 □清水 　　　養護條件：□23±2℃  其他：□常溫</t>
    <phoneticPr fontId="9" type="noConversion"/>
  </si>
  <si>
    <t>特別協議事項:</t>
    <phoneticPr fontId="9" type="noConversion"/>
  </si>
  <si>
    <t xml:space="preserve">收件方式：樣品接收時間：　　　年　　　月　　　日　　　時　　　分　□實驗室 □工地現場 □郵寄/貨運 □其他：  </t>
    <phoneticPr fontId="9" type="noConversion"/>
  </si>
  <si>
    <t xml:space="preserve">收件時試體承壓面狀態：□貼試體單 □表面自然狀態 □嚴重不良 □已做處裡　　收件時試體乾溼狀態：□面乾 □潮濕   </t>
    <phoneticPr fontId="9" type="noConversion"/>
  </si>
  <si>
    <t>實驗室養護：養護方式：□飽和石灰水　　養護條件：□23±2℃</t>
    <phoneticPr fontId="9" type="noConversion"/>
  </si>
  <si>
    <t>試驗時試體乾溼狀態：□面乾 □潮濕　　試體承壓面處理方式：□蓋平 □磨平　　處理單位：□本實驗室</t>
    <phoneticPr fontId="9" type="noConversion"/>
  </si>
  <si>
    <t>2.若試樣在端面處裡後不符合規範要求時，將另行通知。</t>
    <phoneticPr fontId="9" type="noConversion"/>
  </si>
  <si>
    <t>4.材齡少於7天，則製作時間需填至"時"。</t>
    <phoneticPr fontId="9" type="noConversion"/>
  </si>
  <si>
    <t>YCCON01</t>
    <phoneticPr fontId="9" type="noConversion"/>
  </si>
  <si>
    <t>(02)2894-1204</t>
  </si>
  <si>
    <t>曾晧哲</t>
  </si>
  <si>
    <t>供料</t>
    <phoneticPr fontId="1" type="noConversion"/>
  </si>
  <si>
    <t>龍形企業股份有限公司</t>
    <phoneticPr fontId="1" type="noConversion"/>
  </si>
  <si>
    <t>84965983</t>
  </si>
  <si>
    <t>上溢營造股份有限公司</t>
  </si>
  <si>
    <t>提送</t>
    <phoneticPr fontId="1" type="noConversion"/>
  </si>
  <si>
    <t>O</t>
    <phoneticPr fontId="1" type="noConversion"/>
  </si>
  <si>
    <t>大象實業股份有限公司</t>
    <phoneticPr fontId="1" type="noConversion"/>
  </si>
  <si>
    <t>提送</t>
  </si>
  <si>
    <t>業主</t>
    <phoneticPr fontId="1" type="noConversion"/>
  </si>
  <si>
    <t>項目</t>
    <phoneticPr fontId="1" type="noConversion"/>
  </si>
  <si>
    <t>歸檔</t>
    <phoneticPr fontId="1" type="noConversion"/>
  </si>
  <si>
    <t>拿到</t>
    <phoneticPr fontId="1" type="noConversion"/>
  </si>
  <si>
    <t>自主檢查統計表</t>
    <phoneticPr fontId="1" type="noConversion"/>
  </si>
  <si>
    <t>蔡雄輝</t>
    <phoneticPr fontId="1" type="noConversion"/>
  </si>
  <si>
    <t>#3</t>
    <phoneticPr fontId="1" type="noConversion"/>
  </si>
  <si>
    <t>#4</t>
    <phoneticPr fontId="1" type="noConversion"/>
  </si>
  <si>
    <t>#5</t>
    <phoneticPr fontId="1" type="noConversion"/>
  </si>
  <si>
    <t>#6</t>
    <phoneticPr fontId="1" type="noConversion"/>
  </si>
  <si>
    <t>#7</t>
    <phoneticPr fontId="1" type="noConversion"/>
  </si>
  <si>
    <t>#8</t>
    <phoneticPr fontId="1" type="noConversion"/>
  </si>
  <si>
    <t>#9</t>
    <phoneticPr fontId="1" type="noConversion"/>
  </si>
  <si>
    <t>#10</t>
    <phoneticPr fontId="1" type="noConversion"/>
  </si>
  <si>
    <t>今塘</t>
    <phoneticPr fontId="1" type="noConversion"/>
  </si>
  <si>
    <t>EK-</t>
    <phoneticPr fontId="1" type="noConversion"/>
  </si>
  <si>
    <t>磺港溪再造C段護岸及步道整建工程（延壽橋至三合橋）</t>
  </si>
  <si>
    <t>申請取樣</t>
    <phoneticPr fontId="1" type="noConversion"/>
  </si>
  <si>
    <t>.</t>
    <phoneticPr fontId="1" type="noConversion"/>
  </si>
  <si>
    <t>EC-</t>
    <phoneticPr fontId="1" type="noConversion"/>
  </si>
  <si>
    <t>鋼筋工程</t>
  </si>
  <si>
    <t>混凝土工程</t>
  </si>
  <si>
    <t>植筋工程</t>
  </si>
  <si>
    <t>EG-</t>
    <phoneticPr fontId="1" type="noConversion"/>
  </si>
  <si>
    <t>EI-</t>
    <phoneticPr fontId="1" type="noConversion"/>
  </si>
  <si>
    <t>EJ-</t>
    <phoneticPr fontId="1" type="noConversion"/>
  </si>
  <si>
    <t>EM-</t>
    <phoneticPr fontId="1" type="noConversion"/>
  </si>
  <si>
    <t>EO-</t>
    <phoneticPr fontId="1" type="noConversion"/>
  </si>
  <si>
    <t>EQ-</t>
    <phoneticPr fontId="1" type="noConversion"/>
  </si>
  <si>
    <t>ER-</t>
    <phoneticPr fontId="1" type="noConversion"/>
  </si>
  <si>
    <t>ES-</t>
    <phoneticPr fontId="1" type="noConversion"/>
  </si>
  <si>
    <t>ET-</t>
    <phoneticPr fontId="1" type="noConversion"/>
  </si>
  <si>
    <t>EU-</t>
    <phoneticPr fontId="1" type="noConversion"/>
  </si>
  <si>
    <t>EV-</t>
    <phoneticPr fontId="1" type="noConversion"/>
  </si>
  <si>
    <t>EW-</t>
    <phoneticPr fontId="1" type="noConversion"/>
  </si>
  <si>
    <t>EX-</t>
    <phoneticPr fontId="1" type="noConversion"/>
  </si>
  <si>
    <t>EAB-</t>
    <phoneticPr fontId="1" type="noConversion"/>
  </si>
  <si>
    <t>EA-1121120</t>
    <phoneticPr fontId="1" type="noConversion"/>
  </si>
  <si>
    <t>EA-1121113</t>
    <phoneticPr fontId="1" type="noConversion"/>
  </si>
  <si>
    <t>EB-1121113</t>
    <phoneticPr fontId="1" type="noConversion"/>
  </si>
  <si>
    <t>EB-1121116</t>
    <phoneticPr fontId="1" type="noConversion"/>
  </si>
  <si>
    <t>EB-1121123</t>
    <phoneticPr fontId="1" type="noConversion"/>
  </si>
  <si>
    <t>EB-1121127</t>
    <phoneticPr fontId="1" type="noConversion"/>
  </si>
  <si>
    <t>EB-1121108</t>
    <phoneticPr fontId="1" type="noConversion"/>
  </si>
  <si>
    <t>EB-1121122</t>
    <phoneticPr fontId="1" type="noConversion"/>
  </si>
  <si>
    <t>預力混凝土基樁</t>
    <phoneticPr fontId="1" type="noConversion"/>
  </si>
  <si>
    <t>砌塊石護岸</t>
    <phoneticPr fontId="1" type="noConversion"/>
  </si>
  <si>
    <t>低水護岸</t>
    <phoneticPr fontId="1" type="noConversion"/>
  </si>
  <si>
    <t>土方開挖</t>
    <phoneticPr fontId="1" type="noConversion"/>
  </si>
  <si>
    <t>土方回填(含級配)</t>
    <phoneticPr fontId="1" type="noConversion"/>
  </si>
  <si>
    <t>測量放樣</t>
    <phoneticPr fontId="1" type="noConversion"/>
  </si>
  <si>
    <t>固床工</t>
    <phoneticPr fontId="1" type="noConversion"/>
  </si>
  <si>
    <t>全套管基樁</t>
    <phoneticPr fontId="1" type="noConversion"/>
  </si>
  <si>
    <t>鋼版樁</t>
    <phoneticPr fontId="1" type="noConversion"/>
  </si>
  <si>
    <t>路床/路基高程</t>
    <phoneticPr fontId="1" type="noConversion"/>
  </si>
  <si>
    <t>瀝青混凝土</t>
    <phoneticPr fontId="1" type="noConversion"/>
  </si>
  <si>
    <t>景觀鋪面(一)</t>
    <phoneticPr fontId="1" type="noConversion"/>
  </si>
  <si>
    <t>景觀鋪面(二)</t>
    <phoneticPr fontId="1" type="noConversion"/>
  </si>
  <si>
    <t>預鑄緣石</t>
    <phoneticPr fontId="1" type="noConversion"/>
  </si>
  <si>
    <t>鋼構工程吊裝</t>
    <phoneticPr fontId="1" type="noConversion"/>
  </si>
  <si>
    <t>鋼構工程塗裝</t>
    <phoneticPr fontId="1" type="noConversion"/>
  </si>
  <si>
    <t>排水設施(一)</t>
    <phoneticPr fontId="1" type="noConversion"/>
  </si>
  <si>
    <t>排水設施(二)</t>
    <phoneticPr fontId="1" type="noConversion"/>
  </si>
  <si>
    <t>木構造</t>
    <phoneticPr fontId="1" type="noConversion"/>
  </si>
  <si>
    <t>管路</t>
    <phoneticPr fontId="1" type="noConversion"/>
  </si>
  <si>
    <t>既有橋梁拆除</t>
    <phoneticPr fontId="1" type="noConversion"/>
  </si>
  <si>
    <t>EY-</t>
    <phoneticPr fontId="1" type="noConversion"/>
  </si>
  <si>
    <t>A</t>
    <phoneticPr fontId="1" type="noConversion"/>
  </si>
  <si>
    <t>B</t>
    <phoneticPr fontId="1" type="noConversion"/>
  </si>
  <si>
    <t>C</t>
    <phoneticPr fontId="1" type="noConversion"/>
  </si>
  <si>
    <t>D</t>
    <phoneticPr fontId="1" type="noConversion"/>
  </si>
  <si>
    <t>E</t>
    <phoneticPr fontId="1" type="noConversion"/>
  </si>
  <si>
    <t>F</t>
    <phoneticPr fontId="1" type="noConversion"/>
  </si>
  <si>
    <t>G</t>
    <phoneticPr fontId="1" type="noConversion"/>
  </si>
  <si>
    <t>H</t>
    <phoneticPr fontId="1" type="noConversion"/>
  </si>
  <si>
    <t>I</t>
    <phoneticPr fontId="1" type="noConversion"/>
  </si>
  <si>
    <t>J</t>
    <phoneticPr fontId="1" type="noConversion"/>
  </si>
  <si>
    <t>K</t>
    <phoneticPr fontId="1" type="noConversion"/>
  </si>
  <si>
    <t>L</t>
    <phoneticPr fontId="1" type="noConversion"/>
  </si>
  <si>
    <t>M</t>
    <phoneticPr fontId="1" type="noConversion"/>
  </si>
  <si>
    <t>N</t>
    <phoneticPr fontId="1" type="noConversion"/>
  </si>
  <si>
    <t>O</t>
    <phoneticPr fontId="1" type="noConversion"/>
  </si>
  <si>
    <t>P</t>
    <phoneticPr fontId="1" type="noConversion"/>
  </si>
  <si>
    <t>Q</t>
    <phoneticPr fontId="1" type="noConversion"/>
  </si>
  <si>
    <t>R</t>
    <phoneticPr fontId="1" type="noConversion"/>
  </si>
  <si>
    <t>S</t>
    <phoneticPr fontId="1" type="noConversion"/>
  </si>
  <si>
    <t>T</t>
    <phoneticPr fontId="1" type="noConversion"/>
  </si>
  <si>
    <t>U</t>
    <phoneticPr fontId="1" type="noConversion"/>
  </si>
  <si>
    <t>V</t>
    <phoneticPr fontId="1" type="noConversion"/>
  </si>
  <si>
    <t>W</t>
    <phoneticPr fontId="1" type="noConversion"/>
  </si>
  <si>
    <t>X</t>
    <phoneticPr fontId="1" type="noConversion"/>
  </si>
  <si>
    <t>Y</t>
    <phoneticPr fontId="1" type="noConversion"/>
  </si>
  <si>
    <t>Z</t>
    <phoneticPr fontId="1" type="noConversion"/>
  </si>
  <si>
    <t>AA</t>
    <phoneticPr fontId="1" type="noConversion"/>
  </si>
  <si>
    <t>AB</t>
    <phoneticPr fontId="1" type="noConversion"/>
  </si>
  <si>
    <t>EA-1121202</t>
    <phoneticPr fontId="1" type="noConversion"/>
  </si>
  <si>
    <t>EA-1121203</t>
    <phoneticPr fontId="1" type="noConversion"/>
  </si>
  <si>
    <t>EA-1130106</t>
    <phoneticPr fontId="1" type="noConversion"/>
  </si>
  <si>
    <t>EB-1121204</t>
    <phoneticPr fontId="1" type="noConversion"/>
  </si>
  <si>
    <t>EB-1121205</t>
    <phoneticPr fontId="1" type="noConversion"/>
  </si>
  <si>
    <t>EB-1121206</t>
    <phoneticPr fontId="1" type="noConversion"/>
  </si>
  <si>
    <t>EB-1121207</t>
    <phoneticPr fontId="1" type="noConversion"/>
  </si>
  <si>
    <t>EB-1121209</t>
    <phoneticPr fontId="1" type="noConversion"/>
  </si>
  <si>
    <t>EB-1121210</t>
    <phoneticPr fontId="1" type="noConversion"/>
  </si>
  <si>
    <t>EB-1130102</t>
    <phoneticPr fontId="1" type="noConversion"/>
  </si>
  <si>
    <t>EB-1130103</t>
    <phoneticPr fontId="1" type="noConversion"/>
  </si>
  <si>
    <t>EB-1130104</t>
    <phoneticPr fontId="1" type="noConversion"/>
  </si>
  <si>
    <t>EF-1121229</t>
    <phoneticPr fontId="1" type="noConversion"/>
  </si>
  <si>
    <t>共月橋全套管基樁1</t>
    <phoneticPr fontId="1" type="noConversion"/>
  </si>
  <si>
    <t>EF-1130105</t>
    <phoneticPr fontId="1" type="noConversion"/>
  </si>
  <si>
    <t>共月橋全套管基樁2</t>
    <phoneticPr fontId="1" type="noConversion"/>
  </si>
  <si>
    <t>EF-1130109</t>
    <phoneticPr fontId="1" type="noConversion"/>
  </si>
  <si>
    <t>共月橋全套管基樁4</t>
    <phoneticPr fontId="1" type="noConversion"/>
  </si>
  <si>
    <t>EF-1130112</t>
    <phoneticPr fontId="1" type="noConversion"/>
  </si>
  <si>
    <t>共月橋全套管基樁3</t>
    <phoneticPr fontId="1" type="noConversion"/>
  </si>
  <si>
    <t>共月橋全套管基樁1鋼筋籠</t>
    <phoneticPr fontId="1" type="noConversion"/>
  </si>
  <si>
    <t>業主、監造</t>
    <phoneticPr fontId="1" type="noConversion"/>
  </si>
  <si>
    <t>EL-1130105</t>
    <phoneticPr fontId="1" type="noConversion"/>
  </si>
  <si>
    <t>共月橋全套管基樁4鋼筋籠</t>
    <phoneticPr fontId="1" type="noConversion"/>
  </si>
  <si>
    <t>EL-1130109</t>
    <phoneticPr fontId="1" type="noConversion"/>
  </si>
  <si>
    <t>共月橋全套管基樁3鋼筋籠</t>
    <phoneticPr fontId="1" type="noConversion"/>
  </si>
  <si>
    <t>擋土牆TYPE3</t>
    <phoneticPr fontId="1" type="noConversion"/>
  </si>
  <si>
    <t>EH-1121227</t>
    <phoneticPr fontId="1" type="noConversion"/>
  </si>
  <si>
    <t>EH-1121228</t>
    <phoneticPr fontId="1" type="noConversion"/>
  </si>
  <si>
    <t>EL-1121229</t>
    <phoneticPr fontId="1" type="noConversion"/>
  </si>
  <si>
    <t>EL-1130112</t>
    <phoneticPr fontId="1" type="noConversion"/>
  </si>
  <si>
    <t>共月橋全套管基樁5鋼筋籠</t>
    <phoneticPr fontId="1" type="noConversion"/>
  </si>
  <si>
    <t>EAC-1121011</t>
    <phoneticPr fontId="1" type="noConversion"/>
  </si>
  <si>
    <t>EAC-1121017</t>
    <phoneticPr fontId="1" type="noConversion"/>
  </si>
  <si>
    <t>EAC-1121018</t>
  </si>
  <si>
    <t>EAC-1121019</t>
  </si>
  <si>
    <t>EAC-1121020</t>
  </si>
  <si>
    <t>EAC-1121021</t>
    <phoneticPr fontId="1" type="noConversion"/>
  </si>
  <si>
    <t>EAC-1121022</t>
    <phoneticPr fontId="1" type="noConversion"/>
  </si>
  <si>
    <t>EAC-1121023</t>
    <phoneticPr fontId="1" type="noConversion"/>
  </si>
  <si>
    <t>共月橋圍堰</t>
  </si>
  <si>
    <t>EN-1121207</t>
    <phoneticPr fontId="1" type="noConversion"/>
  </si>
  <si>
    <t>EN-1121219</t>
    <phoneticPr fontId="1" type="noConversion"/>
  </si>
  <si>
    <t>SD420W</t>
    <phoneticPr fontId="1" type="noConversion"/>
  </si>
  <si>
    <t>U205068</t>
    <phoneticPr fontId="1" type="noConversion"/>
  </si>
  <si>
    <t>D19</t>
    <phoneticPr fontId="1" type="noConversion"/>
  </si>
  <si>
    <t>U205069</t>
    <phoneticPr fontId="1" type="noConversion"/>
  </si>
  <si>
    <t>U204904</t>
    <phoneticPr fontId="1" type="noConversion"/>
  </si>
  <si>
    <t>D25</t>
    <phoneticPr fontId="1" type="noConversion"/>
  </si>
  <si>
    <t>U204905</t>
    <phoneticPr fontId="1" type="noConversion"/>
  </si>
  <si>
    <t>SD280W</t>
    <phoneticPr fontId="1" type="noConversion"/>
  </si>
  <si>
    <t>U203012</t>
    <phoneticPr fontId="1" type="noConversion"/>
  </si>
  <si>
    <t>D10</t>
    <phoneticPr fontId="1" type="noConversion"/>
  </si>
  <si>
    <t>U204705</t>
    <phoneticPr fontId="1" type="noConversion"/>
  </si>
  <si>
    <t>D13</t>
    <phoneticPr fontId="1" type="noConversion"/>
  </si>
  <si>
    <t>U206648</t>
    <phoneticPr fontId="1" type="noConversion"/>
  </si>
  <si>
    <t>D16</t>
    <phoneticPr fontId="1" type="noConversion"/>
  </si>
  <si>
    <t>U206649</t>
    <phoneticPr fontId="1" type="noConversion"/>
  </si>
  <si>
    <t>廠拌</t>
    <phoneticPr fontId="1" type="noConversion"/>
  </si>
  <si>
    <t>李晏然、游文圃、康祐銓</t>
    <phoneticPr fontId="1" type="noConversion"/>
  </si>
  <si>
    <t>李晏然</t>
    <phoneticPr fontId="1" type="noConversion"/>
  </si>
  <si>
    <t>游文圃</t>
    <phoneticPr fontId="1" type="noConversion"/>
  </si>
  <si>
    <t>康祐銓</t>
    <phoneticPr fontId="1" type="noConversion"/>
  </si>
  <si>
    <t>280W</t>
    <phoneticPr fontId="1" type="noConversion"/>
  </si>
  <si>
    <t>游文圃、郭冠廷</t>
    <phoneticPr fontId="1" type="noConversion"/>
  </si>
  <si>
    <t>游文圃、康祐銓</t>
    <phoneticPr fontId="1" type="noConversion"/>
  </si>
  <si>
    <t>聯合大學</t>
    <phoneticPr fontId="1" type="noConversion"/>
  </si>
  <si>
    <t>41支</t>
    <phoneticPr fontId="1" type="noConversion"/>
  </si>
  <si>
    <t>實驗室</t>
    <phoneticPr fontId="1" type="noConversion"/>
  </si>
  <si>
    <t>預力混凝土基樁材料進場統計表</t>
    <phoneticPr fontId="1" type="noConversion"/>
  </si>
  <si>
    <t>EL-1130118</t>
    <phoneticPr fontId="1" type="noConversion"/>
  </si>
  <si>
    <t>共月橋全套管基樁5</t>
    <phoneticPr fontId="1" type="noConversion"/>
  </si>
  <si>
    <t>EF-1130118</t>
    <phoneticPr fontId="1" type="noConversion"/>
  </si>
  <si>
    <t>監造、業主</t>
    <phoneticPr fontId="1" type="noConversion"/>
  </si>
  <si>
    <t>李晏然、游文圃、郭冠廷</t>
    <phoneticPr fontId="1" type="noConversion"/>
  </si>
  <si>
    <t>共月橋全套管基樁6鋼筋籠</t>
    <phoneticPr fontId="1" type="noConversion"/>
  </si>
  <si>
    <t>共月橋全套管基樁7鋼筋籠</t>
    <phoneticPr fontId="1" type="noConversion"/>
  </si>
  <si>
    <t>共月橋全套管基樁8鋼筋籠</t>
    <phoneticPr fontId="1" type="noConversion"/>
  </si>
  <si>
    <t>ED-1121225</t>
    <phoneticPr fontId="1" type="noConversion"/>
  </si>
  <si>
    <t>ED-1121226</t>
    <phoneticPr fontId="1" type="noConversion"/>
  </si>
  <si>
    <t>ED-1130108</t>
    <phoneticPr fontId="1" type="noConversion"/>
  </si>
  <si>
    <t>ED-1130116</t>
    <phoneticPr fontId="1" type="noConversion"/>
  </si>
  <si>
    <t>ED-1130119</t>
    <phoneticPr fontId="1" type="noConversion"/>
  </si>
  <si>
    <t>ED-1130119-1</t>
    <phoneticPr fontId="1" type="noConversion"/>
  </si>
  <si>
    <t>ED-1130119-2</t>
    <phoneticPr fontId="1" type="noConversion"/>
  </si>
  <si>
    <t>共月橋全套管基樁6</t>
    <phoneticPr fontId="1" type="noConversion"/>
  </si>
  <si>
    <t>共月橋全套管基樁7</t>
    <phoneticPr fontId="1" type="noConversion"/>
  </si>
  <si>
    <t>EL-1130123</t>
    <phoneticPr fontId="1" type="noConversion"/>
  </si>
  <si>
    <t>EL-1130120</t>
    <phoneticPr fontId="1" type="noConversion"/>
  </si>
  <si>
    <t>EF-1130120</t>
    <phoneticPr fontId="1" type="noConversion"/>
  </si>
  <si>
    <t>EF-1130123</t>
    <phoneticPr fontId="1" type="noConversion"/>
  </si>
  <si>
    <t>批次</t>
    <phoneticPr fontId="1" type="noConversion"/>
  </si>
  <si>
    <t>第一次</t>
    <phoneticPr fontId="1" type="noConversion"/>
  </si>
  <si>
    <t>第二次</t>
    <phoneticPr fontId="1" type="noConversion"/>
  </si>
  <si>
    <t>第三次</t>
    <phoneticPr fontId="1" type="noConversion"/>
  </si>
  <si>
    <t>SD420W</t>
  </si>
  <si>
    <t>U206275</t>
    <phoneticPr fontId="1" type="noConversion"/>
  </si>
  <si>
    <t>U206276</t>
    <phoneticPr fontId="1" type="noConversion"/>
  </si>
  <si>
    <t>D13</t>
  </si>
  <si>
    <t>D13</t>
    <phoneticPr fontId="1" type="noConversion"/>
  </si>
  <si>
    <t>D16</t>
    <phoneticPr fontId="1" type="noConversion"/>
  </si>
  <si>
    <t>U204365</t>
    <phoneticPr fontId="1" type="noConversion"/>
  </si>
  <si>
    <t>U204366</t>
    <phoneticPr fontId="1" type="noConversion"/>
  </si>
  <si>
    <t>D19</t>
    <phoneticPr fontId="1" type="noConversion"/>
  </si>
  <si>
    <t>U205366</t>
    <phoneticPr fontId="1" type="noConversion"/>
  </si>
  <si>
    <t>D22</t>
    <phoneticPr fontId="1" type="noConversion"/>
  </si>
  <si>
    <t>U205501</t>
    <phoneticPr fontId="1" type="noConversion"/>
  </si>
  <si>
    <t>U206196</t>
    <phoneticPr fontId="1" type="noConversion"/>
  </si>
  <si>
    <t>U206541</t>
    <phoneticPr fontId="1" type="noConversion"/>
  </si>
  <si>
    <t>D25</t>
    <phoneticPr fontId="1" type="noConversion"/>
  </si>
  <si>
    <t>D32</t>
    <phoneticPr fontId="1" type="noConversion"/>
  </si>
  <si>
    <t>U205423</t>
    <phoneticPr fontId="1" type="noConversion"/>
  </si>
  <si>
    <t>U205654</t>
    <phoneticPr fontId="1" type="noConversion"/>
  </si>
  <si>
    <t>EP-</t>
    <phoneticPr fontId="1" type="noConversion"/>
  </si>
  <si>
    <t>奇岩一號公園喬木</t>
  </si>
  <si>
    <t>EAA-1121116</t>
    <phoneticPr fontId="1" type="noConversion"/>
  </si>
  <si>
    <t>EAA-1121117</t>
    <phoneticPr fontId="1" type="noConversion"/>
  </si>
  <si>
    <t>模板工程</t>
    <phoneticPr fontId="1" type="noConversion"/>
  </si>
  <si>
    <t>鋼筋混凝土管</t>
    <phoneticPr fontId="1" type="noConversion"/>
  </si>
  <si>
    <t>植栽(移植)</t>
    <phoneticPr fontId="1" type="noConversion"/>
  </si>
  <si>
    <t>植栽(新植)</t>
    <phoneticPr fontId="1" type="noConversion"/>
  </si>
  <si>
    <t>照明</t>
    <phoneticPr fontId="1" type="noConversion"/>
  </si>
  <si>
    <t>EF-1130129</t>
    <phoneticPr fontId="1" type="noConversion"/>
  </si>
  <si>
    <t>共月橋全套管基樁8</t>
    <phoneticPr fontId="1" type="noConversion"/>
  </si>
  <si>
    <t>EF-1130130</t>
  </si>
  <si>
    <t>共月橋全套管基樁9</t>
    <phoneticPr fontId="1" type="noConversion"/>
  </si>
  <si>
    <t>EL-1130129</t>
    <phoneticPr fontId="1" type="noConversion"/>
  </si>
  <si>
    <t>EL-1130130</t>
    <phoneticPr fontId="1" type="noConversion"/>
  </si>
  <si>
    <t>EL-1130201</t>
    <phoneticPr fontId="1" type="noConversion"/>
  </si>
  <si>
    <t>共月橋全套管基樁10、11</t>
    <phoneticPr fontId="1" type="noConversion"/>
  </si>
  <si>
    <t>EF-1130201</t>
    <phoneticPr fontId="1" type="noConversion"/>
  </si>
  <si>
    <t>正誠工業有限公司</t>
    <phoneticPr fontId="1" type="noConversion"/>
  </si>
  <si>
    <t>新設河道(0K+500~0K+650)</t>
    <phoneticPr fontId="1" type="noConversion"/>
  </si>
  <si>
    <t>新設河道(0K+450~0K+650)</t>
    <phoneticPr fontId="1" type="noConversion"/>
  </si>
  <si>
    <t>新設河道(0K+300~0K+450)</t>
    <phoneticPr fontId="1" type="noConversion"/>
  </si>
  <si>
    <t>新設河道(0K+550~0K+600)第1層</t>
    <phoneticPr fontId="1" type="noConversion"/>
  </si>
  <si>
    <t>新設河道(0K+500~0K+550)第1層</t>
    <phoneticPr fontId="1" type="noConversion"/>
  </si>
  <si>
    <t>新設河道(0K+500~0K+550)第2層</t>
    <phoneticPr fontId="1" type="noConversion"/>
  </si>
  <si>
    <t>新設河道(0K+550~0K+600)第2層</t>
    <phoneticPr fontId="1" type="noConversion"/>
  </si>
  <si>
    <t>新設河道(0K+500~0K+550)第3層</t>
    <phoneticPr fontId="1" type="noConversion"/>
  </si>
  <si>
    <t>新設河道(0K+550~0K+600)第3層</t>
    <phoneticPr fontId="1" type="noConversion"/>
  </si>
  <si>
    <t>EAA-1121222</t>
    <phoneticPr fontId="1" type="noConversion"/>
  </si>
  <si>
    <t>EAA-1121224</t>
    <phoneticPr fontId="1" type="noConversion"/>
  </si>
  <si>
    <t>EAA-1121225</t>
    <phoneticPr fontId="1" type="noConversion"/>
  </si>
  <si>
    <t>磺港溪1號橋AC刨除</t>
    <phoneticPr fontId="1" type="noConversion"/>
  </si>
  <si>
    <t>磺港溪1號橋(跨距1)切割</t>
    <phoneticPr fontId="1" type="noConversion"/>
  </si>
  <si>
    <t>磺港溪1號橋(跨距1)吊運</t>
    <phoneticPr fontId="1" type="noConversion"/>
  </si>
  <si>
    <t>磺港溪1號橋(跨距2)切割</t>
    <phoneticPr fontId="1" type="noConversion"/>
  </si>
  <si>
    <t>磺港溪1號橋(跨距2)吊運</t>
    <phoneticPr fontId="1" type="noConversion"/>
  </si>
  <si>
    <t>共月橋全套管基樁9鋼筋籠</t>
    <phoneticPr fontId="1" type="noConversion"/>
  </si>
  <si>
    <t>共月橋全套管基樁11鋼筋籠</t>
    <phoneticPr fontId="1" type="noConversion"/>
  </si>
  <si>
    <t>共月橋全套管基樁10鋼筋籠</t>
    <phoneticPr fontId="1" type="noConversion"/>
  </si>
  <si>
    <t>共月橋全套管基樁2鋼筋籠</t>
    <phoneticPr fontId="1" type="noConversion"/>
  </si>
  <si>
    <t>EB-1130216</t>
    <phoneticPr fontId="1" type="noConversion"/>
  </si>
  <si>
    <t>EF-1130217</t>
    <phoneticPr fontId="1" type="noConversion"/>
  </si>
  <si>
    <t>台隆</t>
    <phoneticPr fontId="1" type="noConversion"/>
  </si>
  <si>
    <t>臺北市工務局</t>
    <phoneticPr fontId="1" type="noConversion"/>
  </si>
  <si>
    <t>今塘、臺北市工務局</t>
    <phoneticPr fontId="1" type="noConversion"/>
  </si>
  <si>
    <t>地梁(0K+500~0K+625)</t>
    <phoneticPr fontId="1" type="noConversion"/>
  </si>
  <si>
    <t>EA-1130216</t>
    <phoneticPr fontId="1" type="noConversion"/>
  </si>
  <si>
    <t>地梁(0K+540~0K+625)底PC</t>
    <phoneticPr fontId="1" type="noConversion"/>
  </si>
  <si>
    <t>主辦、監造</t>
    <phoneticPr fontId="1" type="noConversion"/>
  </si>
  <si>
    <t>ED-1130109</t>
    <phoneticPr fontId="1" type="noConversion"/>
  </si>
  <si>
    <t>ED-1130130</t>
    <phoneticPr fontId="1" type="noConversion"/>
  </si>
  <si>
    <t>ED-1130130-1</t>
    <phoneticPr fontId="1" type="noConversion"/>
  </si>
  <si>
    <t>ED-1130130-2</t>
    <phoneticPr fontId="1" type="noConversion"/>
  </si>
  <si>
    <t>ED-1121226-1</t>
    <phoneticPr fontId="1" type="noConversion"/>
  </si>
  <si>
    <t>ED-1130220</t>
    <phoneticPr fontId="1" type="noConversion"/>
  </si>
  <si>
    <t>地梁(0K+540~0K+625)</t>
    <phoneticPr fontId="1" type="noConversion"/>
  </si>
  <si>
    <t>EF-1130222</t>
    <phoneticPr fontId="1" type="noConversion"/>
  </si>
  <si>
    <t>280二型</t>
    <phoneticPr fontId="1" type="noConversion"/>
  </si>
  <si>
    <t>EL-1130111</t>
    <phoneticPr fontId="1" type="noConversion"/>
  </si>
  <si>
    <t>共月橋全套管基樁3澆置</t>
    <phoneticPr fontId="1" type="noConversion"/>
  </si>
  <si>
    <t>EL-1130117</t>
    <phoneticPr fontId="1" type="noConversion"/>
  </si>
  <si>
    <t>共月橋全套管基樁5澆置</t>
    <phoneticPr fontId="1" type="noConversion"/>
  </si>
  <si>
    <t>EL-1130131</t>
    <phoneticPr fontId="1" type="noConversion"/>
  </si>
  <si>
    <t>共月橋全套管基樁10、11澆置</t>
    <phoneticPr fontId="1" type="noConversion"/>
  </si>
  <si>
    <t>EL-1130201-1</t>
    <phoneticPr fontId="1" type="noConversion"/>
  </si>
  <si>
    <t>共月橋全套管基樁11</t>
    <phoneticPr fontId="1" type="noConversion"/>
  </si>
  <si>
    <t>共月橋全套管基樁10</t>
    <phoneticPr fontId="1" type="noConversion"/>
  </si>
  <si>
    <t>EAC-1121026</t>
    <phoneticPr fontId="1" type="noConversion"/>
  </si>
  <si>
    <t>EAC-1121024</t>
    <phoneticPr fontId="1" type="noConversion"/>
  </si>
  <si>
    <t>人行路橋切割</t>
    <phoneticPr fontId="1" type="noConversion"/>
  </si>
  <si>
    <t>人行路橋吊運</t>
    <phoneticPr fontId="1" type="noConversion"/>
  </si>
  <si>
    <t>EAC-1121027</t>
    <phoneticPr fontId="1" type="noConversion"/>
  </si>
  <si>
    <t>EAC-1121128</t>
    <phoneticPr fontId="1" type="noConversion"/>
  </si>
  <si>
    <t>EH-1121225</t>
    <phoneticPr fontId="1" type="noConversion"/>
  </si>
  <si>
    <t>擋土牆TYPE3(施工前)</t>
    <phoneticPr fontId="1" type="noConversion"/>
  </si>
  <si>
    <t>EE-1130221</t>
    <phoneticPr fontId="1" type="noConversion"/>
  </si>
  <si>
    <t>砌石(0K+500~0K+625)</t>
    <phoneticPr fontId="1" type="noConversion"/>
  </si>
  <si>
    <t>EA-1130304</t>
    <phoneticPr fontId="1" type="noConversion"/>
  </si>
  <si>
    <t>EF-1130305</t>
    <phoneticPr fontId="1" type="noConversion"/>
  </si>
  <si>
    <t>ED-1130306</t>
    <phoneticPr fontId="1" type="noConversion"/>
  </si>
  <si>
    <t>共月橋P1、P2橋台基礎</t>
    <phoneticPr fontId="1" type="noConversion"/>
  </si>
  <si>
    <t>共月橋P1、P2橋台、砌石0K+540~0K+625底</t>
    <phoneticPr fontId="1" type="noConversion"/>
  </si>
  <si>
    <t>EE-1130307</t>
    <phoneticPr fontId="1" type="noConversion"/>
  </si>
  <si>
    <t>EF-1130307</t>
    <phoneticPr fontId="1" type="noConversion"/>
  </si>
  <si>
    <t>郭冠廷</t>
    <phoneticPr fontId="1" type="noConversion"/>
  </si>
  <si>
    <t>白博文</t>
  </si>
  <si>
    <t>白博文</t>
    <phoneticPr fontId="1" type="noConversion"/>
  </si>
  <si>
    <t>白博文、郭冠廷</t>
    <phoneticPr fontId="1" type="noConversion"/>
  </si>
  <si>
    <t>EAC-1130305</t>
    <phoneticPr fontId="1" type="noConversion"/>
  </si>
  <si>
    <t>三合橋切割</t>
    <phoneticPr fontId="1" type="noConversion"/>
  </si>
  <si>
    <t>EAC-1130311</t>
    <phoneticPr fontId="1" type="noConversion"/>
  </si>
  <si>
    <t>三合橋吊運</t>
    <phoneticPr fontId="1" type="noConversion"/>
  </si>
  <si>
    <t>EAA-1120923</t>
    <phoneticPr fontId="1" type="noConversion"/>
  </si>
  <si>
    <t>EAA-1120925</t>
    <phoneticPr fontId="1" type="noConversion"/>
  </si>
  <si>
    <t>奇岩一號公園喬木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</si>
</sst>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76" formatCode="m&quot;月&quot;d&quot;日&quot;"/>
    <numFmt numFmtId="177" formatCode="_-* #,##0_-;\-* #,##0_-;_-* &quot;-&quot;??_-;_-@_-"/>
    <numFmt numFmtId="178" formatCode="[$-404]e&quot;年&quot;m&quot;月&quot;d&quot;日&quot;;@"/>
    <numFmt numFmtId="179" formatCode="[&gt;99999999]0000\-000\-000;000\-000\-000"/>
    <numFmt numFmtId="180" formatCode="[$-404]ee\.mm\.dd;@"/>
  </numFmts>
  <fonts count="42" x14ac:knownFonts="1">
    <font>
      <sz val="12"/>
      <color theme="1"/>
      <name val="新細明體"/>
      <family val="2"/>
      <charset val="136"/>
      <scheme val="minor"/>
    </font>
    <font>
      <sz val="9"/>
      <name val="新細明體"/>
      <family val="2"/>
      <charset val="136"/>
      <scheme val="minor"/>
    </font>
    <font>
      <sz val="12"/>
      <color theme="1"/>
      <name val="標楷體"/>
      <family val="4"/>
      <charset val="136"/>
    </font>
    <font>
      <sz val="12"/>
      <color theme="1"/>
      <name val="新細明體"/>
      <family val="2"/>
      <charset val="136"/>
      <scheme val="minor"/>
    </font>
    <font>
      <b/>
      <sz val="12"/>
      <color theme="1"/>
      <name val="標楷體"/>
      <family val="4"/>
      <charset val="136"/>
    </font>
    <font>
      <sz val="12"/>
      <name val="標楷體"/>
      <family val="4"/>
      <charset val="136"/>
    </font>
    <font>
      <b/>
      <sz val="16"/>
      <color theme="1"/>
      <name val="標楷體"/>
      <family val="4"/>
      <charset val="136"/>
    </font>
    <font>
      <b/>
      <sz val="14"/>
      <color theme="1"/>
      <name val="標楷體"/>
      <family val="4"/>
      <charset val="136"/>
    </font>
    <font>
      <sz val="22"/>
      <name val="標楷體"/>
      <family val="4"/>
      <charset val="136"/>
    </font>
    <font>
      <sz val="9"/>
      <name val="新細明體"/>
      <family val="1"/>
      <charset val="136"/>
    </font>
    <font>
      <sz val="16"/>
      <name val="標楷體"/>
      <family val="4"/>
      <charset val="136"/>
    </font>
    <font>
      <b/>
      <sz val="14"/>
      <name val="標楷體"/>
      <family val="4"/>
      <charset val="136"/>
    </font>
    <font>
      <sz val="14"/>
      <name val="標楷體"/>
      <family val="4"/>
      <charset val="136"/>
    </font>
    <font>
      <b/>
      <sz val="11"/>
      <name val="標楷體"/>
      <family val="4"/>
      <charset val="136"/>
    </font>
    <font>
      <b/>
      <sz val="11"/>
      <name val="Times New Roman"/>
      <family val="1"/>
    </font>
    <font>
      <b/>
      <sz val="11"/>
      <name val="新細明體"/>
      <family val="1"/>
      <charset val="136"/>
    </font>
    <font>
      <b/>
      <sz val="10"/>
      <name val="標楷體"/>
      <family val="4"/>
      <charset val="136"/>
    </font>
    <font>
      <b/>
      <sz val="12"/>
      <name val="標楷體"/>
      <family val="4"/>
      <charset val="136"/>
    </font>
    <font>
      <b/>
      <sz val="14"/>
      <color rgb="FF0000FF"/>
      <name val="標楷體"/>
      <family val="4"/>
      <charset val="136"/>
    </font>
    <font>
      <sz val="8"/>
      <name val="標楷體"/>
      <family val="4"/>
      <charset val="136"/>
    </font>
    <font>
      <b/>
      <sz val="12"/>
      <color rgb="FFC00000"/>
      <name val="標楷體"/>
      <family val="4"/>
      <charset val="136"/>
    </font>
    <font>
      <b/>
      <sz val="12"/>
      <color rgb="FF0000FF"/>
      <name val="標楷體"/>
      <family val="4"/>
      <charset val="136"/>
    </font>
    <font>
      <b/>
      <sz val="9"/>
      <name val="標楷體"/>
      <family val="4"/>
      <charset val="136"/>
    </font>
    <font>
      <b/>
      <sz val="20"/>
      <color rgb="FF0000FF"/>
      <name val="標楷體"/>
      <family val="4"/>
      <charset val="136"/>
    </font>
    <font>
      <b/>
      <sz val="14"/>
      <name val="Wingdings 3"/>
      <family val="1"/>
      <charset val="2"/>
    </font>
    <font>
      <b/>
      <sz val="14"/>
      <color theme="0"/>
      <name val="標楷體"/>
      <family val="4"/>
      <charset val="136"/>
    </font>
    <font>
      <b/>
      <sz val="12"/>
      <color rgb="FF00B050"/>
      <name val="標楷體"/>
      <family val="4"/>
      <charset val="136"/>
    </font>
    <font>
      <sz val="12"/>
      <color rgb="FF00B050"/>
      <name val="新細明體"/>
      <family val="1"/>
      <charset val="136"/>
    </font>
    <font>
      <b/>
      <sz val="11"/>
      <color rgb="FF0000FF"/>
      <name val="標楷體"/>
      <family val="4"/>
      <charset val="136"/>
    </font>
    <font>
      <b/>
      <u/>
      <sz val="13"/>
      <color rgb="FFC00000"/>
      <name val="標楷體"/>
      <family val="4"/>
      <charset val="136"/>
    </font>
    <font>
      <b/>
      <i/>
      <sz val="13"/>
      <color rgb="FFC00000"/>
      <name val="新細明體"/>
      <family val="1"/>
      <charset val="136"/>
    </font>
    <font>
      <sz val="10"/>
      <name val="標楷體"/>
      <family val="4"/>
      <charset val="136"/>
    </font>
    <font>
      <b/>
      <sz val="14"/>
      <color rgb="FF0000FF"/>
      <name val="新細明體"/>
      <family val="1"/>
      <charset val="136"/>
    </font>
    <font>
      <b/>
      <sz val="12"/>
      <name val="新細明體"/>
      <family val="1"/>
      <charset val="136"/>
    </font>
    <font>
      <sz val="10"/>
      <name val="新細明體"/>
      <family val="1"/>
      <charset val="136"/>
    </font>
    <font>
      <sz val="8"/>
      <color rgb="FFC00000"/>
      <name val="標楷體"/>
      <family val="4"/>
      <charset val="136"/>
    </font>
    <font>
      <sz val="12"/>
      <color rgb="FFC00000"/>
      <name val="標楷體"/>
      <family val="4"/>
      <charset val="136"/>
    </font>
    <font>
      <sz val="9"/>
      <name val="標楷體"/>
      <family val="4"/>
      <charset val="136"/>
    </font>
    <font>
      <sz val="12"/>
      <name val="Times New Roman"/>
      <family val="1"/>
    </font>
    <font>
      <sz val="11"/>
      <name val="新細明體"/>
      <family val="1"/>
      <charset val="136"/>
    </font>
    <font>
      <sz val="12"/>
      <name val="新細明體"/>
      <family val="1"/>
      <charset val="136"/>
    </font>
    <font>
      <sz val="11"/>
      <name val="標楷體"/>
      <family val="4"/>
      <charset val="136"/>
    </font>
  </fonts>
  <fills count="3">
    <fill>
      <patternFill patternType="none"/>
    </fill>
    <fill>
      <patternFill patternType="gray125"/>
    </fill>
    <fill>
      <patternFill patternType="solid">
        <fgColor theme="1"/>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top style="medium">
        <color indexed="64"/>
      </top>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thick">
        <color auto="1"/>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style="thin">
        <color indexed="64"/>
      </top>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top/>
      <bottom/>
      <diagonal/>
    </border>
    <border>
      <left/>
      <right style="thick">
        <color indexed="64"/>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bottom style="thick">
        <color indexed="64"/>
      </bottom>
      <diagonal/>
    </border>
    <border>
      <left/>
      <right style="thick">
        <color indexed="64"/>
      </right>
      <top/>
      <bottom style="thick">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ck">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style="thick">
        <color indexed="64"/>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diagonal/>
    </border>
    <border>
      <left/>
      <right style="double">
        <color indexed="64"/>
      </right>
      <top style="thin">
        <color indexed="64"/>
      </top>
      <bottom/>
      <diagonal/>
    </border>
    <border>
      <left/>
      <right style="thin">
        <color indexed="64"/>
      </right>
      <top/>
      <bottom/>
      <diagonal/>
    </border>
    <border>
      <left style="thin">
        <color indexed="64"/>
      </left>
      <right/>
      <top/>
      <bottom/>
      <diagonal/>
    </border>
    <border>
      <left/>
      <right style="double">
        <color indexed="64"/>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alignment vertical="center"/>
    </xf>
    <xf numFmtId="43" fontId="3" fillId="0" borderId="0" applyFont="0" applyFill="0" applyBorder="0" applyAlignment="0" applyProtection="0">
      <alignment vertical="center"/>
    </xf>
    <xf numFmtId="0" fontId="40" fillId="0" borderId="0"/>
    <xf numFmtId="9" fontId="3" fillId="0" borderId="0" applyFont="0" applyFill="0" applyBorder="0" applyAlignment="0" applyProtection="0">
      <alignment vertical="center"/>
    </xf>
  </cellStyleXfs>
  <cellXfs count="304">
    <xf numFmtId="0" fontId="0" fillId="0" borderId="0" xfId="0">
      <alignment vertical="center"/>
    </xf>
    <xf numFmtId="0" fontId="2" fillId="0" borderId="0" xfId="0" applyFont="1" applyAlignment="1">
      <alignment horizontal="center" vertical="center"/>
    </xf>
    <xf numFmtId="176" fontId="2" fillId="0" borderId="0" xfId="0" applyNumberFormat="1" applyFont="1" applyAlignment="1">
      <alignment horizontal="center" vertical="center"/>
    </xf>
    <xf numFmtId="0" fontId="2" fillId="0" borderId="1" xfId="0" applyFont="1" applyBorder="1" applyAlignment="1">
      <alignment horizontal="center" vertical="center"/>
    </xf>
    <xf numFmtId="177" fontId="2" fillId="0" borderId="1" xfId="1" applyNumberFormat="1" applyFont="1" applyBorder="1" applyAlignment="1">
      <alignment horizontal="center" vertical="center"/>
    </xf>
    <xf numFmtId="176" fontId="2" fillId="0" borderId="1" xfId="0" applyNumberFormat="1" applyFont="1" applyBorder="1" applyAlignment="1">
      <alignment horizontal="center" vertical="center"/>
    </xf>
    <xf numFmtId="0" fontId="4" fillId="0" borderId="1"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2" fillId="0" borderId="9" xfId="0" applyFont="1" applyBorder="1" applyAlignment="1">
      <alignment horizontal="center" vertical="center"/>
    </xf>
    <xf numFmtId="178" fontId="2" fillId="0" borderId="1" xfId="0" applyNumberFormat="1" applyFont="1" applyBorder="1" applyAlignment="1">
      <alignment horizontal="center" vertical="center"/>
    </xf>
    <xf numFmtId="178" fontId="2" fillId="0" borderId="0" xfId="0" applyNumberFormat="1" applyFont="1" applyAlignment="1">
      <alignment horizontal="center" vertical="center"/>
    </xf>
    <xf numFmtId="0" fontId="2" fillId="0" borderId="13"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0" xfId="0" applyNumberFormat="1" applyFont="1" applyAlignment="1">
      <alignment horizontal="center" vertical="center"/>
    </xf>
    <xf numFmtId="0" fontId="2" fillId="0" borderId="14" xfId="0" applyFont="1" applyBorder="1" applyAlignment="1">
      <alignment horizontal="center" vertical="center"/>
    </xf>
    <xf numFmtId="176" fontId="2" fillId="0" borderId="15" xfId="0" applyNumberFormat="1" applyFont="1" applyBorder="1" applyAlignment="1">
      <alignment horizontal="center" vertical="center"/>
    </xf>
    <xf numFmtId="0" fontId="5" fillId="0" borderId="0" xfId="2" applyFont="1" applyAlignment="1">
      <alignment vertical="center"/>
    </xf>
    <xf numFmtId="49" fontId="5" fillId="0" borderId="0" xfId="2" applyNumberFormat="1" applyFont="1" applyAlignment="1">
      <alignment horizontal="left" vertical="center"/>
    </xf>
    <xf numFmtId="49" fontId="5" fillId="0" borderId="0" xfId="2" applyNumberFormat="1" applyFont="1" applyAlignment="1">
      <alignment vertical="center"/>
    </xf>
    <xf numFmtId="49" fontId="11" fillId="0" borderId="0" xfId="2" applyNumberFormat="1" applyFont="1" applyAlignment="1">
      <alignment horizontal="right"/>
    </xf>
    <xf numFmtId="49" fontId="12" fillId="0" borderId="16" xfId="2" applyNumberFormat="1" applyFont="1" applyBorder="1" applyAlignment="1">
      <alignment horizontal="right" vertical="center"/>
    </xf>
    <xf numFmtId="49" fontId="40" fillId="0" borderId="16" xfId="2" applyNumberFormat="1" applyBorder="1" applyAlignment="1">
      <alignment vertical="center"/>
    </xf>
    <xf numFmtId="0" fontId="17" fillId="0" borderId="0" xfId="2" applyFont="1" applyAlignment="1">
      <alignment horizontal="left" vertical="center"/>
    </xf>
    <xf numFmtId="49" fontId="20" fillId="0" borderId="3" xfId="2" applyNumberFormat="1" applyFont="1" applyBorder="1" applyAlignment="1">
      <alignment vertical="center" shrinkToFit="1"/>
    </xf>
    <xf numFmtId="49" fontId="20" fillId="0" borderId="3" xfId="2" applyNumberFormat="1" applyFont="1" applyBorder="1" applyAlignment="1" applyProtection="1">
      <alignment vertical="center" shrinkToFit="1"/>
      <protection locked="0"/>
    </xf>
    <xf numFmtId="0" fontId="28" fillId="0" borderId="16" xfId="2" applyFont="1" applyBorder="1" applyAlignment="1" applyProtection="1">
      <alignment horizontal="center" vertical="center"/>
      <protection locked="0"/>
    </xf>
    <xf numFmtId="0" fontId="16" fillId="0" borderId="16" xfId="2" applyFont="1" applyBorder="1" applyAlignment="1">
      <alignment vertical="center"/>
    </xf>
    <xf numFmtId="0" fontId="31" fillId="0" borderId="0" xfId="2" applyFont="1" applyAlignment="1">
      <alignment vertical="center"/>
    </xf>
    <xf numFmtId="0" fontId="5" fillId="0" borderId="0" xfId="2" applyFont="1" applyAlignment="1">
      <alignment horizontal="left" vertical="center"/>
    </xf>
    <xf numFmtId="49" fontId="18" fillId="0" borderId="25" xfId="2" applyNumberFormat="1" applyFont="1" applyBorder="1" applyAlignment="1" applyProtection="1">
      <alignment horizontal="left" vertical="center" shrinkToFit="1"/>
      <protection locked="0"/>
    </xf>
    <xf numFmtId="49" fontId="32" fillId="0" borderId="0" xfId="2" applyNumberFormat="1" applyFont="1" applyAlignment="1" applyProtection="1">
      <alignment horizontal="left" vertical="center" shrinkToFit="1"/>
      <protection locked="0"/>
    </xf>
    <xf numFmtId="49" fontId="32" fillId="0" borderId="26" xfId="2" applyNumberFormat="1" applyFont="1" applyBorder="1" applyAlignment="1" applyProtection="1">
      <alignment horizontal="left" vertical="center" shrinkToFit="1"/>
      <protection locked="0"/>
    </xf>
    <xf numFmtId="0" fontId="31" fillId="0" borderId="0" xfId="2" applyFont="1" applyAlignment="1">
      <alignment horizontal="left" vertical="center" wrapText="1"/>
    </xf>
    <xf numFmtId="0" fontId="31" fillId="0" borderId="0" xfId="2" applyFont="1" applyAlignment="1">
      <alignment vertical="center" wrapText="1"/>
    </xf>
    <xf numFmtId="0" fontId="5" fillId="0" borderId="0" xfId="2" applyFont="1" applyAlignment="1">
      <alignment horizontal="right" vertical="center"/>
    </xf>
    <xf numFmtId="0" fontId="37" fillId="0" borderId="0" xfId="2" applyFont="1" applyAlignment="1">
      <alignment vertical="center"/>
    </xf>
    <xf numFmtId="0" fontId="40" fillId="0" borderId="0" xfId="2"/>
    <xf numFmtId="0" fontId="5" fillId="0" borderId="0" xfId="2" applyFont="1"/>
    <xf numFmtId="0" fontId="31" fillId="0" borderId="0" xfId="2" applyFont="1" applyAlignment="1">
      <alignment horizontal="left" vertical="center"/>
    </xf>
    <xf numFmtId="0" fontId="31" fillId="0" borderId="0" xfId="2" applyFont="1" applyAlignment="1">
      <alignment horizontal="left"/>
    </xf>
    <xf numFmtId="0" fontId="31" fillId="0" borderId="0" xfId="2" applyFont="1"/>
    <xf numFmtId="0" fontId="40" fillId="0" borderId="0" xfId="2" applyAlignment="1">
      <alignment vertical="center"/>
    </xf>
    <xf numFmtId="0" fontId="17" fillId="0" borderId="0" xfId="2" applyFont="1" applyAlignment="1">
      <alignment horizontal="center" vertical="center"/>
    </xf>
    <xf numFmtId="0" fontId="17" fillId="0" borderId="0" xfId="2" applyFont="1" applyAlignment="1">
      <alignment horizontal="center" vertical="center" textRotation="255"/>
    </xf>
    <xf numFmtId="0" fontId="39" fillId="0" borderId="0" xfId="2" applyFont="1" applyAlignment="1">
      <alignment vertical="center"/>
    </xf>
    <xf numFmtId="0" fontId="41" fillId="0" borderId="39" xfId="2" applyFont="1" applyBorder="1" applyAlignment="1">
      <alignment horizontal="left" vertical="center"/>
    </xf>
    <xf numFmtId="0" fontId="41" fillId="0" borderId="12" xfId="2" applyFont="1" applyBorder="1" applyAlignment="1">
      <alignment horizontal="left" vertical="center"/>
    </xf>
    <xf numFmtId="0" fontId="39" fillId="0" borderId="12" xfId="2" applyFont="1" applyBorder="1" applyAlignment="1">
      <alignment horizontal="left"/>
    </xf>
    <xf numFmtId="0" fontId="39" fillId="0" borderId="52" xfId="2" applyFont="1" applyBorder="1" applyAlignment="1">
      <alignment horizontal="left"/>
    </xf>
    <xf numFmtId="0" fontId="40" fillId="0" borderId="0" xfId="2" applyAlignment="1">
      <alignment horizontal="distributed" vertical="center"/>
    </xf>
    <xf numFmtId="0" fontId="17" fillId="0" borderId="0" xfId="2" applyFont="1" applyAlignment="1">
      <alignment horizontal="distributed" vertical="center"/>
    </xf>
    <xf numFmtId="177" fontId="2" fillId="0" borderId="0" xfId="1" applyNumberFormat="1" applyFont="1" applyBorder="1" applyAlignment="1">
      <alignment horizontal="center" vertical="center"/>
    </xf>
    <xf numFmtId="0" fontId="2" fillId="0" borderId="0" xfId="0" applyFont="1" applyAlignment="1">
      <alignment horizontal="center" vertical="center" wrapText="1"/>
    </xf>
    <xf numFmtId="0" fontId="4" fillId="0" borderId="0" xfId="0" applyFont="1" applyAlignment="1">
      <alignment horizontal="center" vertical="center"/>
    </xf>
    <xf numFmtId="0" fontId="2" fillId="0" borderId="59" xfId="0" applyFont="1" applyBorder="1" applyAlignment="1">
      <alignment horizontal="center" vertical="center"/>
    </xf>
    <xf numFmtId="14" fontId="2" fillId="0" borderId="59" xfId="0" applyNumberFormat="1" applyFont="1" applyBorder="1" applyAlignment="1">
      <alignment horizontal="center" vertical="center"/>
    </xf>
    <xf numFmtId="10" fontId="2" fillId="0" borderId="0" xfId="3" applyNumberFormat="1" applyFont="1" applyAlignment="1">
      <alignment horizontal="center" vertical="center"/>
    </xf>
    <xf numFmtId="10" fontId="2" fillId="0" borderId="15" xfId="3" applyNumberFormat="1" applyFont="1" applyBorder="1" applyAlignment="1">
      <alignment horizontal="center" vertical="center"/>
    </xf>
    <xf numFmtId="0" fontId="2" fillId="0" borderId="60" xfId="0" applyFont="1" applyBorder="1" applyAlignment="1">
      <alignment horizontal="center" vertical="center"/>
    </xf>
    <xf numFmtId="10" fontId="2" fillId="0" borderId="61" xfId="3" applyNumberFormat="1" applyFont="1" applyBorder="1" applyAlignment="1">
      <alignment horizontal="center" vertical="center"/>
    </xf>
    <xf numFmtId="0" fontId="6" fillId="0" borderId="0" xfId="0" applyFont="1" applyAlignment="1">
      <alignment horizontal="center" vertical="center"/>
    </xf>
    <xf numFmtId="0" fontId="4" fillId="0" borderId="63" xfId="0" applyFont="1" applyBorder="1" applyAlignment="1">
      <alignment horizontal="center" vertical="center"/>
    </xf>
    <xf numFmtId="176" fontId="2" fillId="0" borderId="59" xfId="0" applyNumberFormat="1" applyFont="1" applyBorder="1" applyAlignment="1">
      <alignment horizontal="center" vertical="center"/>
    </xf>
    <xf numFmtId="0" fontId="2" fillId="0" borderId="59" xfId="0" applyFont="1" applyBorder="1" applyAlignment="1">
      <alignment horizontal="center" vertical="center" wrapText="1"/>
    </xf>
    <xf numFmtId="177" fontId="2" fillId="0" borderId="0" xfId="1" applyNumberFormat="1" applyFont="1" applyAlignment="1">
      <alignment horizontal="center" vertical="center"/>
    </xf>
    <xf numFmtId="0" fontId="2" fillId="0" borderId="65" xfId="0" applyFont="1" applyBorder="1" applyAlignment="1">
      <alignment horizontal="center" vertical="center"/>
    </xf>
    <xf numFmtId="0" fontId="2" fillId="0" borderId="62" xfId="0" applyFont="1" applyBorder="1" applyAlignment="1">
      <alignment horizontal="center" vertical="center"/>
    </xf>
    <xf numFmtId="0" fontId="2" fillId="0" borderId="64" xfId="0" applyFont="1" applyBorder="1" applyAlignment="1">
      <alignment horizontal="center" vertical="center"/>
    </xf>
    <xf numFmtId="0" fontId="4" fillId="0" borderId="59" xfId="0" applyFont="1" applyBorder="1" applyAlignment="1">
      <alignment horizontal="center" vertical="center"/>
    </xf>
    <xf numFmtId="176" fontId="2" fillId="0" borderId="61" xfId="0" applyNumberFormat="1" applyFont="1" applyBorder="1" applyAlignment="1">
      <alignment horizontal="center" vertical="center"/>
    </xf>
    <xf numFmtId="14" fontId="2" fillId="0" borderId="63" xfId="0" applyNumberFormat="1" applyFont="1" applyBorder="1" applyAlignment="1">
      <alignment horizontal="center" vertical="center"/>
    </xf>
    <xf numFmtId="0" fontId="2" fillId="0" borderId="63" xfId="0" applyFont="1" applyBorder="1" applyAlignment="1">
      <alignment horizontal="center" vertical="center"/>
    </xf>
    <xf numFmtId="0" fontId="2" fillId="0" borderId="63" xfId="0" applyFont="1" applyBorder="1" applyAlignment="1">
      <alignment horizontal="center" vertical="center" wrapText="1"/>
    </xf>
    <xf numFmtId="14" fontId="4" fillId="0" borderId="1" xfId="0" applyNumberFormat="1" applyFont="1" applyBorder="1" applyAlignment="1">
      <alignment horizontal="center" vertical="center"/>
    </xf>
    <xf numFmtId="177" fontId="4" fillId="0" borderId="1" xfId="1" applyNumberFormat="1" applyFont="1" applyBorder="1" applyAlignment="1">
      <alignment horizontal="center" vertical="center"/>
    </xf>
    <xf numFmtId="0" fontId="2" fillId="0" borderId="0" xfId="0" applyFont="1" applyAlignment="1">
      <alignment horizontal="left" vertical="center"/>
    </xf>
    <xf numFmtId="178" fontId="4" fillId="0" borderId="1" xfId="0" applyNumberFormat="1" applyFont="1" applyBorder="1" applyAlignment="1">
      <alignment horizontal="center" vertical="center"/>
    </xf>
    <xf numFmtId="178" fontId="2" fillId="0" borderId="59" xfId="0" applyNumberFormat="1" applyFont="1" applyBorder="1" applyAlignment="1">
      <alignment horizontal="center" vertical="center"/>
    </xf>
    <xf numFmtId="177" fontId="2" fillId="0" borderId="59" xfId="1" applyNumberFormat="1" applyFont="1" applyBorder="1" applyAlignment="1">
      <alignment horizontal="center" vertical="center"/>
    </xf>
    <xf numFmtId="0" fontId="2" fillId="0" borderId="67" xfId="0" applyFont="1" applyBorder="1" applyAlignment="1">
      <alignment horizontal="center" vertical="center"/>
    </xf>
    <xf numFmtId="0" fontId="2" fillId="0" borderId="68" xfId="0" applyFont="1" applyBorder="1" applyAlignment="1">
      <alignment horizontal="center" vertical="center"/>
    </xf>
    <xf numFmtId="178" fontId="2" fillId="0" borderId="68" xfId="0" applyNumberFormat="1" applyFont="1" applyBorder="1" applyAlignment="1">
      <alignment horizontal="center" vertical="center"/>
    </xf>
    <xf numFmtId="177" fontId="2" fillId="0" borderId="68" xfId="1" applyNumberFormat="1" applyFont="1" applyBorder="1" applyAlignment="1">
      <alignment horizontal="center" vertical="center"/>
    </xf>
    <xf numFmtId="177" fontId="2" fillId="0" borderId="69" xfId="1" applyNumberFormat="1" applyFont="1" applyBorder="1" applyAlignment="1">
      <alignment horizontal="center" vertical="center"/>
    </xf>
    <xf numFmtId="177" fontId="2" fillId="0" borderId="15" xfId="1" applyNumberFormat="1" applyFont="1" applyBorder="1" applyAlignment="1">
      <alignment horizontal="center" vertical="center"/>
    </xf>
    <xf numFmtId="0" fontId="2" fillId="0" borderId="70" xfId="0" applyFont="1" applyBorder="1" applyAlignment="1">
      <alignment horizontal="center" vertical="center"/>
    </xf>
    <xf numFmtId="0" fontId="2" fillId="0" borderId="71" xfId="0" applyFont="1" applyBorder="1" applyAlignment="1">
      <alignment horizontal="center" vertical="center"/>
    </xf>
    <xf numFmtId="178" fontId="2" fillId="0" borderId="71" xfId="0" applyNumberFormat="1" applyFont="1" applyBorder="1" applyAlignment="1">
      <alignment horizontal="center" vertical="center"/>
    </xf>
    <xf numFmtId="177" fontId="2" fillId="0" borderId="71" xfId="1" applyNumberFormat="1" applyFont="1" applyBorder="1" applyAlignment="1">
      <alignment horizontal="center" vertical="center"/>
    </xf>
    <xf numFmtId="177" fontId="2" fillId="0" borderId="72" xfId="1" applyNumberFormat="1" applyFont="1" applyBorder="1" applyAlignment="1">
      <alignment horizontal="center" vertical="center"/>
    </xf>
    <xf numFmtId="0" fontId="4" fillId="0" borderId="62" xfId="0" applyFont="1" applyBorder="1" applyAlignment="1">
      <alignment horizontal="center" vertical="center"/>
    </xf>
    <xf numFmtId="14" fontId="4" fillId="0" borderId="63" xfId="0" applyNumberFormat="1" applyFont="1" applyBorder="1" applyAlignment="1">
      <alignment horizontal="center" vertical="center"/>
    </xf>
    <xf numFmtId="177" fontId="4" fillId="0" borderId="63" xfId="1" applyNumberFormat="1" applyFont="1" applyBorder="1" applyAlignment="1">
      <alignment horizontal="center" vertical="center"/>
    </xf>
    <xf numFmtId="177" fontId="4" fillId="0" borderId="64" xfId="1" applyNumberFormat="1" applyFont="1" applyBorder="1" applyAlignment="1">
      <alignment horizontal="center" vertical="center"/>
    </xf>
    <xf numFmtId="0" fontId="4" fillId="0" borderId="0" xfId="0" applyFont="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62" xfId="0" applyFont="1" applyBorder="1" applyAlignment="1">
      <alignment horizontal="center" vertical="center"/>
    </xf>
    <xf numFmtId="0" fontId="2" fillId="0" borderId="64" xfId="0" applyFont="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center" vertical="center"/>
    </xf>
    <xf numFmtId="0" fontId="7" fillId="0" borderId="12" xfId="0" applyFont="1" applyBorder="1" applyAlignment="1">
      <alignment horizontal="center" vertical="center"/>
    </xf>
    <xf numFmtId="0" fontId="6" fillId="0" borderId="66" xfId="0" applyFont="1" applyBorder="1" applyAlignment="1">
      <alignment horizontal="center" vertical="center"/>
    </xf>
    <xf numFmtId="49" fontId="17" fillId="0" borderId="19" xfId="2" applyNumberFormat="1" applyFont="1" applyBorder="1" applyAlignment="1">
      <alignment vertical="center" shrinkToFit="1"/>
    </xf>
    <xf numFmtId="49" fontId="17" fillId="0" borderId="3" xfId="2" applyNumberFormat="1" applyFont="1" applyBorder="1" applyAlignment="1">
      <alignment vertical="center" shrinkToFit="1"/>
    </xf>
    <xf numFmtId="49" fontId="18" fillId="0" borderId="3" xfId="2" applyNumberFormat="1" applyFont="1" applyBorder="1" applyAlignment="1" applyProtection="1">
      <alignment vertical="center" shrinkToFit="1"/>
      <protection locked="0"/>
    </xf>
    <xf numFmtId="49" fontId="18" fillId="0" borderId="20" xfId="2" applyNumberFormat="1" applyFont="1" applyBorder="1" applyAlignment="1" applyProtection="1">
      <alignment vertical="center" shrinkToFit="1"/>
      <protection locked="0"/>
    </xf>
    <xf numFmtId="49" fontId="8" fillId="0" borderId="0" xfId="2" applyNumberFormat="1" applyFont="1" applyAlignment="1">
      <alignment horizontal="center" vertical="center"/>
    </xf>
    <xf numFmtId="49" fontId="10" fillId="0" borderId="0" xfId="2" applyNumberFormat="1" applyFont="1" applyAlignment="1">
      <alignment horizontal="center" vertical="center"/>
    </xf>
    <xf numFmtId="49" fontId="13" fillId="0" borderId="16" xfId="2" applyNumberFormat="1" applyFont="1" applyBorder="1" applyAlignment="1">
      <alignment horizontal="left" vertical="center" shrinkToFit="1"/>
    </xf>
    <xf numFmtId="49" fontId="15" fillId="0" borderId="16" xfId="2" applyNumberFormat="1" applyFont="1" applyBorder="1" applyAlignment="1">
      <alignment vertical="center" shrinkToFit="1"/>
    </xf>
    <xf numFmtId="49" fontId="16" fillId="0" borderId="16" xfId="2" applyNumberFormat="1" applyFont="1" applyBorder="1" applyAlignment="1" applyProtection="1">
      <alignment horizontal="right" vertical="center" shrinkToFit="1"/>
      <protection locked="0"/>
    </xf>
    <xf numFmtId="49" fontId="40" fillId="0" borderId="16" xfId="2" applyNumberFormat="1" applyBorder="1" applyAlignment="1" applyProtection="1">
      <alignment shrinkToFit="1"/>
      <protection locked="0"/>
    </xf>
    <xf numFmtId="49" fontId="17" fillId="0" borderId="17" xfId="2" applyNumberFormat="1" applyFont="1" applyBorder="1" applyAlignment="1">
      <alignment vertical="center" shrinkToFit="1"/>
    </xf>
    <xf numFmtId="49" fontId="17" fillId="0" borderId="12" xfId="2" applyNumberFormat="1" applyFont="1" applyBorder="1" applyAlignment="1">
      <alignment vertical="center" shrinkToFit="1"/>
    </xf>
    <xf numFmtId="49" fontId="18" fillId="0" borderId="12" xfId="2" applyNumberFormat="1" applyFont="1" applyBorder="1" applyAlignment="1" applyProtection="1">
      <alignment vertical="center" shrinkToFit="1"/>
      <protection locked="0"/>
    </xf>
    <xf numFmtId="49" fontId="18" fillId="0" borderId="18" xfId="2" applyNumberFormat="1" applyFont="1" applyBorder="1" applyAlignment="1" applyProtection="1">
      <alignment vertical="center" shrinkToFit="1"/>
      <protection locked="0"/>
    </xf>
    <xf numFmtId="49" fontId="5" fillId="0" borderId="0" xfId="2" applyNumberFormat="1" applyFont="1" applyAlignment="1">
      <alignment horizontal="left" vertical="center"/>
    </xf>
    <xf numFmtId="0" fontId="19" fillId="0" borderId="0" xfId="2" applyFont="1" applyAlignment="1">
      <alignment horizontal="left"/>
    </xf>
    <xf numFmtId="0" fontId="18" fillId="0" borderId="3" xfId="2" applyFont="1" applyBorder="1" applyAlignment="1" applyProtection="1">
      <alignment vertical="center" shrinkToFit="1"/>
      <protection locked="0"/>
    </xf>
    <xf numFmtId="0" fontId="18" fillId="0" borderId="20" xfId="2" applyFont="1" applyBorder="1" applyAlignment="1" applyProtection="1">
      <alignment vertical="center" shrinkToFit="1"/>
      <protection locked="0"/>
    </xf>
    <xf numFmtId="0" fontId="17" fillId="0" borderId="0" xfId="2" applyFont="1" applyAlignment="1">
      <alignment horizontal="left" vertical="center" wrapText="1"/>
    </xf>
    <xf numFmtId="0" fontId="19" fillId="0" borderId="0" xfId="2" applyFont="1" applyAlignment="1">
      <alignment horizontal="left" wrapText="1"/>
    </xf>
    <xf numFmtId="49" fontId="17" fillId="0" borderId="21" xfId="2" applyNumberFormat="1" applyFont="1" applyBorder="1" applyAlignment="1">
      <alignment vertical="center" wrapText="1" shrinkToFit="1"/>
    </xf>
    <xf numFmtId="49" fontId="17" fillId="0" borderId="13" xfId="2" applyNumberFormat="1" applyFont="1" applyBorder="1" applyAlignment="1">
      <alignment vertical="center" wrapText="1" shrinkToFit="1"/>
    </xf>
    <xf numFmtId="0" fontId="17" fillId="0" borderId="0" xfId="2" applyFont="1" applyAlignment="1">
      <alignment horizontal="left" vertical="center"/>
    </xf>
    <xf numFmtId="49" fontId="17" fillId="0" borderId="17" xfId="2" applyNumberFormat="1" applyFont="1" applyBorder="1" applyAlignment="1">
      <alignment vertical="center" wrapText="1" shrinkToFit="1"/>
    </xf>
    <xf numFmtId="49" fontId="17" fillId="0" borderId="12" xfId="2" applyNumberFormat="1" applyFont="1" applyBorder="1" applyAlignment="1">
      <alignment vertical="center" wrapText="1" shrinkToFit="1"/>
    </xf>
    <xf numFmtId="0" fontId="18" fillId="0" borderId="3" xfId="2" applyFont="1" applyBorder="1" applyAlignment="1" applyProtection="1">
      <alignment vertical="center" wrapText="1" shrinkToFit="1"/>
      <protection locked="0"/>
    </xf>
    <xf numFmtId="49" fontId="21" fillId="0" borderId="3" xfId="2" applyNumberFormat="1" applyFont="1" applyBorder="1" applyAlignment="1">
      <alignment vertical="center" shrinkToFit="1"/>
    </xf>
    <xf numFmtId="49" fontId="22" fillId="0" borderId="3" xfId="2" applyNumberFormat="1" applyFont="1" applyBorder="1" applyAlignment="1">
      <alignment horizontal="right" vertical="center"/>
    </xf>
    <xf numFmtId="49" fontId="22" fillId="0" borderId="20" xfId="2" applyNumberFormat="1" applyFont="1" applyBorder="1" applyAlignment="1">
      <alignment horizontal="right" vertical="center"/>
    </xf>
    <xf numFmtId="0" fontId="21" fillId="0" borderId="3" xfId="2" applyFont="1" applyBorder="1" applyAlignment="1">
      <alignment vertical="center" shrinkToFit="1"/>
    </xf>
    <xf numFmtId="49" fontId="17" fillId="0" borderId="25" xfId="2" applyNumberFormat="1" applyFont="1" applyBorder="1" applyAlignment="1">
      <alignment horizontal="left" vertical="center"/>
    </xf>
    <xf numFmtId="49" fontId="21" fillId="0" borderId="0" xfId="2" applyNumberFormat="1" applyFont="1" applyAlignment="1" applyProtection="1">
      <alignment vertical="center" shrinkToFit="1"/>
      <protection locked="0"/>
    </xf>
    <xf numFmtId="49" fontId="17" fillId="0" borderId="0" xfId="2" applyNumberFormat="1" applyFont="1" applyAlignment="1">
      <alignment horizontal="right" vertical="center" shrinkToFit="1"/>
    </xf>
    <xf numFmtId="49" fontId="21" fillId="0" borderId="26" xfId="2" applyNumberFormat="1" applyFont="1" applyBorder="1" applyAlignment="1" applyProtection="1">
      <alignment vertical="center" shrinkToFit="1"/>
      <protection locked="0"/>
    </xf>
    <xf numFmtId="49" fontId="17" fillId="0" borderId="22" xfId="2" applyNumberFormat="1" applyFont="1" applyBorder="1" applyAlignment="1">
      <alignment horizontal="left" vertical="center"/>
    </xf>
    <xf numFmtId="49" fontId="17" fillId="0" borderId="23" xfId="2" applyNumberFormat="1" applyFont="1" applyBorder="1" applyAlignment="1">
      <alignment horizontal="left" vertical="center"/>
    </xf>
    <xf numFmtId="49" fontId="23" fillId="0" borderId="23" xfId="2" applyNumberFormat="1" applyFont="1" applyBorder="1" applyAlignment="1" applyProtection="1">
      <alignment horizontal="center" vertical="center" shrinkToFit="1"/>
      <protection locked="0"/>
    </xf>
    <xf numFmtId="49" fontId="17" fillId="0" borderId="24" xfId="2" applyNumberFormat="1" applyFont="1" applyBorder="1" applyAlignment="1">
      <alignment horizontal="left" vertical="center"/>
    </xf>
    <xf numFmtId="0" fontId="5" fillId="0" borderId="0" xfId="2" applyFont="1" applyAlignment="1">
      <alignment vertical="center" shrinkToFit="1"/>
    </xf>
    <xf numFmtId="49" fontId="5" fillId="0" borderId="0" xfId="2" applyNumberFormat="1" applyFont="1" applyAlignment="1">
      <alignment horizontal="right" vertical="center" shrinkToFit="1"/>
    </xf>
    <xf numFmtId="179" fontId="21" fillId="0" borderId="0" xfId="2" applyNumberFormat="1" applyFont="1" applyAlignment="1" applyProtection="1">
      <alignment horizontal="left" vertical="center" shrinkToFit="1"/>
      <protection locked="0"/>
    </xf>
    <xf numFmtId="0" fontId="21" fillId="0" borderId="0" xfId="2" applyFont="1" applyAlignment="1" applyProtection="1">
      <alignment horizontal="left" vertical="center" shrinkToFit="1"/>
      <protection locked="0"/>
    </xf>
    <xf numFmtId="0" fontId="21" fillId="0" borderId="26" xfId="2" applyFont="1" applyBorder="1" applyAlignment="1" applyProtection="1">
      <alignment horizontal="left" vertical="center" shrinkToFit="1"/>
      <protection locked="0"/>
    </xf>
    <xf numFmtId="49" fontId="17" fillId="0" borderId="25" xfId="2" applyNumberFormat="1" applyFont="1" applyBorder="1" applyAlignment="1">
      <alignment horizontal="left" vertical="center" shrinkToFit="1"/>
    </xf>
    <xf numFmtId="0" fontId="40" fillId="0" borderId="0" xfId="2"/>
    <xf numFmtId="0" fontId="40" fillId="0" borderId="26" xfId="2" applyBorder="1"/>
    <xf numFmtId="49" fontId="25" fillId="2" borderId="27" xfId="2" applyNumberFormat="1" applyFont="1" applyFill="1" applyBorder="1" applyAlignment="1">
      <alignment horizontal="center" vertical="center" shrinkToFit="1"/>
    </xf>
    <xf numFmtId="49" fontId="25" fillId="2" borderId="28" xfId="2" applyNumberFormat="1" applyFont="1" applyFill="1" applyBorder="1" applyAlignment="1">
      <alignment horizontal="center" vertical="center" shrinkToFit="1"/>
    </xf>
    <xf numFmtId="49" fontId="25" fillId="2" borderId="29" xfId="2" applyNumberFormat="1" applyFont="1" applyFill="1" applyBorder="1" applyAlignment="1">
      <alignment horizontal="center" vertical="center" shrinkToFit="1"/>
    </xf>
    <xf numFmtId="0" fontId="26" fillId="0" borderId="30" xfId="2" applyFont="1" applyBorder="1" applyAlignment="1">
      <alignment horizontal="right" vertical="center" shrinkToFit="1"/>
    </xf>
    <xf numFmtId="0" fontId="26" fillId="0" borderId="16" xfId="2" applyFont="1" applyBorder="1" applyAlignment="1">
      <alignment horizontal="right" vertical="center" shrinkToFit="1"/>
    </xf>
    <xf numFmtId="49" fontId="21" fillId="0" borderId="16" xfId="2" applyNumberFormat="1" applyFont="1" applyBorder="1" applyAlignment="1">
      <alignment horizontal="left" vertical="center" shrinkToFit="1"/>
    </xf>
    <xf numFmtId="0" fontId="40" fillId="0" borderId="16" xfId="2" applyBorder="1" applyAlignment="1">
      <alignment vertical="center" shrinkToFit="1"/>
    </xf>
    <xf numFmtId="0" fontId="26" fillId="0" borderId="16" xfId="2" applyFont="1" applyBorder="1" applyAlignment="1">
      <alignment horizontal="center" vertical="center" shrinkToFit="1"/>
    </xf>
    <xf numFmtId="0" fontId="26" fillId="0" borderId="16" xfId="2" applyFont="1" applyBorder="1" applyAlignment="1">
      <alignment vertical="center" shrinkToFit="1"/>
    </xf>
    <xf numFmtId="0" fontId="27" fillId="0" borderId="16" xfId="2" applyFont="1" applyBorder="1" applyAlignment="1">
      <alignment vertical="center" shrinkToFit="1"/>
    </xf>
    <xf numFmtId="49" fontId="21" fillId="0" borderId="16" xfId="2" applyNumberFormat="1" applyFont="1" applyBorder="1" applyAlignment="1">
      <alignment vertical="center" shrinkToFit="1"/>
    </xf>
    <xf numFmtId="49" fontId="21" fillId="0" borderId="31" xfId="2" applyNumberFormat="1" applyFont="1" applyBorder="1" applyAlignment="1">
      <alignment vertical="center" shrinkToFit="1"/>
    </xf>
    <xf numFmtId="49" fontId="11" fillId="0" borderId="25" xfId="2" applyNumberFormat="1" applyFont="1" applyBorder="1" applyAlignment="1">
      <alignment horizontal="right" vertical="center" shrinkToFit="1"/>
    </xf>
    <xf numFmtId="49" fontId="11" fillId="0" borderId="0" xfId="2" applyNumberFormat="1" applyFont="1" applyAlignment="1">
      <alignment horizontal="right" vertical="center" shrinkToFit="1"/>
    </xf>
    <xf numFmtId="0" fontId="17" fillId="0" borderId="0" xfId="2" applyFont="1" applyAlignment="1" applyProtection="1">
      <alignment vertical="center" shrinkToFit="1"/>
      <protection locked="0"/>
    </xf>
    <xf numFmtId="49" fontId="21" fillId="0" borderId="12" xfId="2" applyNumberFormat="1" applyFont="1" applyBorder="1" applyAlignment="1" applyProtection="1">
      <alignment vertical="center" shrinkToFit="1"/>
      <protection locked="0"/>
    </xf>
    <xf numFmtId="49" fontId="21" fillId="0" borderId="18" xfId="2" applyNumberFormat="1" applyFont="1" applyBorder="1" applyAlignment="1" applyProtection="1">
      <alignment vertical="center" shrinkToFit="1"/>
      <protection locked="0"/>
    </xf>
    <xf numFmtId="0" fontId="17" fillId="0" borderId="32" xfId="2" applyFont="1" applyBorder="1" applyAlignment="1">
      <alignment horizontal="left" vertical="center" shrinkToFit="1"/>
    </xf>
    <xf numFmtId="0" fontId="40" fillId="0" borderId="33" xfId="2" applyBorder="1" applyAlignment="1">
      <alignment horizontal="left" vertical="center" shrinkToFit="1"/>
    </xf>
    <xf numFmtId="0" fontId="17" fillId="0" borderId="33" xfId="2" applyFont="1" applyBorder="1" applyAlignment="1" applyProtection="1">
      <alignment horizontal="left" vertical="center"/>
      <protection locked="0"/>
    </xf>
    <xf numFmtId="0" fontId="40" fillId="0" borderId="33" xfId="2" applyBorder="1" applyAlignment="1" applyProtection="1">
      <alignment horizontal="left" vertical="center"/>
      <protection locked="0"/>
    </xf>
    <xf numFmtId="0" fontId="33" fillId="0" borderId="33" xfId="2" applyFont="1" applyBorder="1" applyAlignment="1">
      <alignment horizontal="left" vertical="center"/>
    </xf>
    <xf numFmtId="0" fontId="40" fillId="0" borderId="33" xfId="2" applyBorder="1" applyAlignment="1">
      <alignment horizontal="left" vertical="center"/>
    </xf>
    <xf numFmtId="0" fontId="40" fillId="0" borderId="34" xfId="2" applyBorder="1" applyAlignment="1">
      <alignment horizontal="left" vertical="center"/>
    </xf>
    <xf numFmtId="0" fontId="17" fillId="0" borderId="21" xfId="2" applyFont="1" applyBorder="1" applyAlignment="1">
      <alignment horizontal="center" vertical="center"/>
    </xf>
    <xf numFmtId="0" fontId="17" fillId="0" borderId="13" xfId="2" applyFont="1" applyBorder="1" applyAlignment="1">
      <alignment horizontal="center" vertical="center"/>
    </xf>
    <xf numFmtId="0" fontId="40" fillId="0" borderId="13" xfId="2" applyBorder="1" applyAlignment="1">
      <alignment vertical="center"/>
    </xf>
    <xf numFmtId="0" fontId="40" fillId="0" borderId="35" xfId="2" applyBorder="1" applyAlignment="1">
      <alignment vertical="center"/>
    </xf>
    <xf numFmtId="0" fontId="40" fillId="0" borderId="17" xfId="2" applyBorder="1" applyAlignment="1">
      <alignment vertical="center"/>
    </xf>
    <xf numFmtId="0" fontId="40" fillId="0" borderId="12" xfId="2" applyBorder="1" applyAlignment="1">
      <alignment vertical="center"/>
    </xf>
    <xf numFmtId="0" fontId="40" fillId="0" borderId="38" xfId="2" applyBorder="1" applyAlignment="1">
      <alignment vertical="center"/>
    </xf>
    <xf numFmtId="0" fontId="17" fillId="0" borderId="36" xfId="2" applyFont="1" applyBorder="1" applyAlignment="1">
      <alignment horizontal="center" vertical="center"/>
    </xf>
    <xf numFmtId="0" fontId="40" fillId="0" borderId="39" xfId="2" applyBorder="1" applyAlignment="1">
      <alignment vertical="center"/>
    </xf>
    <xf numFmtId="0" fontId="16" fillId="0" borderId="36" xfId="2" applyFont="1" applyBorder="1" applyAlignment="1">
      <alignment horizontal="center" vertical="center" wrapText="1"/>
    </xf>
    <xf numFmtId="0" fontId="16" fillId="0" borderId="13" xfId="2" applyFont="1" applyBorder="1" applyAlignment="1">
      <alignment horizontal="center" vertical="center" wrapText="1"/>
    </xf>
    <xf numFmtId="0" fontId="31" fillId="0" borderId="35" xfId="2" applyFont="1" applyBorder="1" applyAlignment="1">
      <alignment horizontal="center" vertical="center"/>
    </xf>
    <xf numFmtId="0" fontId="31" fillId="0" borderId="39" xfId="2" applyFont="1" applyBorder="1" applyAlignment="1">
      <alignment horizontal="center" vertical="center"/>
    </xf>
    <xf numFmtId="0" fontId="31" fillId="0" borderId="12" xfId="2" applyFont="1" applyBorder="1" applyAlignment="1">
      <alignment horizontal="center" vertical="center"/>
    </xf>
    <xf numFmtId="0" fontId="31" fillId="0" borderId="38" xfId="2" applyFont="1" applyBorder="1" applyAlignment="1">
      <alignment horizontal="center" vertical="center"/>
    </xf>
    <xf numFmtId="0" fontId="17" fillId="0" borderId="36" xfId="2" applyFont="1" applyBorder="1" applyAlignment="1">
      <alignment horizontal="center" vertical="center" wrapText="1"/>
    </xf>
    <xf numFmtId="0" fontId="40" fillId="0" borderId="37" xfId="2" applyBorder="1" applyAlignment="1">
      <alignment horizontal="center" vertical="center"/>
    </xf>
    <xf numFmtId="0" fontId="40" fillId="0" borderId="12" xfId="2" applyBorder="1" applyAlignment="1">
      <alignment horizontal="center" vertical="center"/>
    </xf>
    <xf numFmtId="0" fontId="40" fillId="0" borderId="18" xfId="2" applyBorder="1" applyAlignment="1">
      <alignment horizontal="center" vertical="center"/>
    </xf>
    <xf numFmtId="0" fontId="16" fillId="0" borderId="21" xfId="2" applyFont="1" applyBorder="1" applyAlignment="1">
      <alignment horizontal="center" vertical="center" shrinkToFit="1"/>
    </xf>
    <xf numFmtId="0" fontId="40" fillId="0" borderId="13" xfId="2" applyBorder="1" applyAlignment="1">
      <alignment horizontal="center" vertical="center" shrinkToFit="1"/>
    </xf>
    <xf numFmtId="0" fontId="16" fillId="0" borderId="13" xfId="2" applyFont="1" applyBorder="1" applyAlignment="1" applyProtection="1">
      <alignment horizontal="left" vertical="center" shrinkToFit="1"/>
      <protection locked="0"/>
    </xf>
    <xf numFmtId="0" fontId="40" fillId="0" borderId="13" xfId="2" applyBorder="1" applyAlignment="1" applyProtection="1">
      <alignment horizontal="left" vertical="center" shrinkToFit="1"/>
      <protection locked="0"/>
    </xf>
    <xf numFmtId="0" fontId="40" fillId="0" borderId="13" xfId="2" applyBorder="1" applyAlignment="1">
      <alignment horizontal="left" vertical="center" shrinkToFit="1"/>
    </xf>
    <xf numFmtId="0" fontId="40" fillId="0" borderId="37" xfId="2" applyBorder="1" applyAlignment="1">
      <alignment horizontal="left" vertical="center" shrinkToFit="1"/>
    </xf>
    <xf numFmtId="0" fontId="16" fillId="0" borderId="25" xfId="2" applyFont="1" applyBorder="1" applyAlignment="1">
      <alignment vertical="center"/>
    </xf>
    <xf numFmtId="0" fontId="40" fillId="0" borderId="0" xfId="2" applyAlignment="1">
      <alignment vertical="center"/>
    </xf>
    <xf numFmtId="0" fontId="16" fillId="0" borderId="0" xfId="2" applyFont="1" applyAlignment="1" applyProtection="1">
      <alignment vertical="center" shrinkToFit="1"/>
      <protection locked="0"/>
    </xf>
    <xf numFmtId="0" fontId="40" fillId="0" borderId="0" xfId="2" applyAlignment="1" applyProtection="1">
      <alignment vertical="center" shrinkToFit="1"/>
      <protection locked="0"/>
    </xf>
    <xf numFmtId="0" fontId="40" fillId="0" borderId="26" xfId="2" applyBorder="1" applyAlignment="1" applyProtection="1">
      <alignment vertical="center" shrinkToFit="1"/>
      <protection locked="0"/>
    </xf>
    <xf numFmtId="0" fontId="16" fillId="0" borderId="30" xfId="2" applyFont="1" applyBorder="1" applyAlignment="1">
      <alignment vertical="center"/>
    </xf>
    <xf numFmtId="0" fontId="40" fillId="0" borderId="16" xfId="2" applyBorder="1" applyAlignment="1">
      <alignment vertical="center"/>
    </xf>
    <xf numFmtId="0" fontId="16" fillId="0" borderId="16" xfId="2" applyFont="1" applyBorder="1" applyAlignment="1">
      <alignment horizontal="left" vertical="center"/>
    </xf>
    <xf numFmtId="0" fontId="40" fillId="0" borderId="16" xfId="2" applyBorder="1" applyAlignment="1">
      <alignment horizontal="left" vertical="center"/>
    </xf>
    <xf numFmtId="0" fontId="16" fillId="0" borderId="16" xfId="2" applyFont="1" applyBorder="1" applyAlignment="1">
      <alignment vertical="center"/>
    </xf>
    <xf numFmtId="0" fontId="40" fillId="0" borderId="31" xfId="2" applyBorder="1" applyAlignment="1">
      <alignment vertical="center"/>
    </xf>
    <xf numFmtId="0" fontId="5" fillId="0" borderId="0" xfId="2" applyFont="1" applyAlignment="1">
      <alignment horizontal="left" vertical="center"/>
    </xf>
    <xf numFmtId="0" fontId="17" fillId="0" borderId="35" xfId="2" applyFont="1" applyBorder="1" applyAlignment="1">
      <alignment horizontal="center" vertical="center"/>
    </xf>
    <xf numFmtId="0" fontId="17" fillId="0" borderId="39" xfId="2" applyFont="1" applyBorder="1" applyAlignment="1">
      <alignment horizontal="center" vertical="center"/>
    </xf>
    <xf numFmtId="0" fontId="17" fillId="0" borderId="12" xfId="2" applyFont="1" applyBorder="1" applyAlignment="1">
      <alignment horizontal="center" vertical="center"/>
    </xf>
    <xf numFmtId="0" fontId="17" fillId="0" borderId="38" xfId="2" applyFont="1" applyBorder="1" applyAlignment="1">
      <alignment horizontal="center" vertical="center"/>
    </xf>
    <xf numFmtId="0" fontId="18" fillId="0" borderId="36" xfId="2" applyFont="1" applyBorder="1" applyAlignment="1" applyProtection="1">
      <alignment horizontal="center" vertical="center" shrinkToFit="1"/>
      <protection locked="0"/>
    </xf>
    <xf numFmtId="0" fontId="18" fillId="0" borderId="13" xfId="2" applyFont="1" applyBorder="1" applyAlignment="1" applyProtection="1">
      <alignment horizontal="center" vertical="center" shrinkToFit="1"/>
      <protection locked="0"/>
    </xf>
    <xf numFmtId="0" fontId="18" fillId="0" borderId="35" xfId="2" applyFont="1" applyBorder="1" applyAlignment="1" applyProtection="1">
      <alignment horizontal="center" vertical="center" shrinkToFit="1"/>
      <protection locked="0"/>
    </xf>
    <xf numFmtId="0" fontId="18" fillId="0" borderId="39" xfId="2" applyFont="1" applyBorder="1" applyAlignment="1" applyProtection="1">
      <alignment horizontal="center" vertical="center" shrinkToFit="1"/>
      <protection locked="0"/>
    </xf>
    <xf numFmtId="0" fontId="18" fillId="0" borderId="12" xfId="2" applyFont="1" applyBorder="1" applyAlignment="1" applyProtection="1">
      <alignment horizontal="center" vertical="center" shrinkToFit="1"/>
      <protection locked="0"/>
    </xf>
    <xf numFmtId="0" fontId="18" fillId="0" borderId="38" xfId="2" applyFont="1" applyBorder="1" applyAlignment="1" applyProtection="1">
      <alignment horizontal="center" vertical="center" shrinkToFit="1"/>
      <protection locked="0"/>
    </xf>
    <xf numFmtId="180" fontId="18" fillId="0" borderId="36" xfId="2" applyNumberFormat="1" applyFont="1" applyBorder="1" applyAlignment="1" applyProtection="1">
      <alignment horizontal="center" vertical="center" shrinkToFit="1"/>
      <protection locked="0"/>
    </xf>
    <xf numFmtId="180" fontId="18" fillId="0" borderId="13" xfId="2" applyNumberFormat="1" applyFont="1" applyBorder="1" applyAlignment="1" applyProtection="1">
      <alignment horizontal="center" vertical="center" shrinkToFit="1"/>
      <protection locked="0"/>
    </xf>
    <xf numFmtId="180" fontId="18" fillId="0" borderId="35" xfId="2" applyNumberFormat="1" applyFont="1" applyBorder="1" applyAlignment="1" applyProtection="1">
      <alignment horizontal="center" vertical="center" shrinkToFit="1"/>
      <protection locked="0"/>
    </xf>
    <xf numFmtId="180" fontId="18" fillId="0" borderId="39" xfId="2" applyNumberFormat="1" applyFont="1" applyBorder="1" applyAlignment="1" applyProtection="1">
      <alignment horizontal="center" vertical="center" shrinkToFit="1"/>
      <protection locked="0"/>
    </xf>
    <xf numFmtId="180" fontId="18" fillId="0" borderId="12" xfId="2" applyNumberFormat="1" applyFont="1" applyBorder="1" applyAlignment="1" applyProtection="1">
      <alignment horizontal="center" vertical="center" shrinkToFit="1"/>
      <protection locked="0"/>
    </xf>
    <xf numFmtId="180" fontId="18" fillId="0" borderId="38" xfId="2" applyNumberFormat="1" applyFont="1" applyBorder="1" applyAlignment="1" applyProtection="1">
      <alignment horizontal="center" vertical="center" shrinkToFit="1"/>
      <protection locked="0"/>
    </xf>
    <xf numFmtId="0" fontId="18" fillId="0" borderId="37" xfId="2" applyFont="1" applyBorder="1" applyAlignment="1" applyProtection="1">
      <alignment horizontal="center" vertical="center" shrinkToFit="1"/>
      <protection locked="0"/>
    </xf>
    <xf numFmtId="0" fontId="18" fillId="0" borderId="18" xfId="2" applyFont="1" applyBorder="1" applyAlignment="1" applyProtection="1">
      <alignment horizontal="center" vertical="center" shrinkToFit="1"/>
      <protection locked="0"/>
    </xf>
    <xf numFmtId="0" fontId="31" fillId="0" borderId="44" xfId="2" applyFont="1" applyBorder="1" applyAlignment="1">
      <alignment vertical="center" shrinkToFit="1"/>
    </xf>
    <xf numFmtId="0" fontId="40" fillId="0" borderId="0" xfId="2" applyAlignment="1">
      <alignment vertical="center" shrinkToFit="1"/>
    </xf>
    <xf numFmtId="0" fontId="40" fillId="0" borderId="45" xfId="2" applyBorder="1" applyAlignment="1">
      <alignment vertical="center" shrinkToFit="1"/>
    </xf>
    <xf numFmtId="0" fontId="17" fillId="0" borderId="46" xfId="2" applyFont="1" applyBorder="1" applyAlignment="1">
      <alignment horizontal="left" vertical="center" shrinkToFit="1"/>
    </xf>
    <xf numFmtId="0" fontId="17" fillId="0" borderId="3" xfId="2" applyFont="1" applyBorder="1" applyAlignment="1">
      <alignment horizontal="left" vertical="center" shrinkToFit="1"/>
    </xf>
    <xf numFmtId="0" fontId="40" fillId="0" borderId="3" xfId="2" applyBorder="1" applyAlignment="1">
      <alignment horizontal="left" vertical="center" shrinkToFit="1"/>
    </xf>
    <xf numFmtId="0" fontId="40" fillId="0" borderId="4" xfId="2" applyBorder="1" applyAlignment="1">
      <alignment horizontal="left" vertical="center" shrinkToFit="1"/>
    </xf>
    <xf numFmtId="0" fontId="41" fillId="0" borderId="2" xfId="2" applyFont="1" applyBorder="1" applyAlignment="1">
      <alignment horizontal="left" vertical="center"/>
    </xf>
    <xf numFmtId="0" fontId="41" fillId="0" borderId="3" xfId="2" applyFont="1" applyBorder="1" applyAlignment="1">
      <alignment horizontal="left" vertical="center"/>
    </xf>
    <xf numFmtId="0" fontId="39" fillId="0" borderId="3" xfId="2" applyFont="1" applyBorder="1" applyAlignment="1">
      <alignment horizontal="left" vertical="center"/>
    </xf>
    <xf numFmtId="0" fontId="39" fillId="0" borderId="47" xfId="2" applyFont="1" applyBorder="1" applyAlignment="1">
      <alignment horizontal="left" vertical="center"/>
    </xf>
    <xf numFmtId="0" fontId="29" fillId="0" borderId="25" xfId="2" applyFont="1" applyBorder="1" applyAlignment="1">
      <alignment vertical="center" shrinkToFit="1"/>
    </xf>
    <xf numFmtId="0" fontId="30" fillId="0" borderId="0" xfId="2" applyFont="1" applyAlignment="1">
      <alignment vertical="center" shrinkToFit="1"/>
    </xf>
    <xf numFmtId="0" fontId="30" fillId="0" borderId="26" xfId="2" applyFont="1" applyBorder="1" applyAlignment="1">
      <alignment vertical="center" shrinkToFit="1"/>
    </xf>
    <xf numFmtId="49" fontId="18" fillId="0" borderId="25" xfId="2" applyNumberFormat="1" applyFont="1" applyBorder="1" applyAlignment="1" applyProtection="1">
      <alignment horizontal="left" vertical="center" shrinkToFit="1"/>
      <protection locked="0"/>
    </xf>
    <xf numFmtId="49" fontId="32" fillId="0" borderId="0" xfId="2" applyNumberFormat="1" applyFont="1" applyAlignment="1" applyProtection="1">
      <alignment horizontal="left" vertical="center" shrinkToFit="1"/>
      <protection locked="0"/>
    </xf>
    <xf numFmtId="49" fontId="32" fillId="0" borderId="26" xfId="2" applyNumberFormat="1" applyFont="1" applyBorder="1" applyAlignment="1" applyProtection="1">
      <alignment horizontal="left" vertical="center" shrinkToFit="1"/>
      <protection locked="0"/>
    </xf>
    <xf numFmtId="49" fontId="18" fillId="0" borderId="27" xfId="2" applyNumberFormat="1" applyFont="1" applyBorder="1" applyAlignment="1" applyProtection="1">
      <alignment horizontal="left" vertical="center" shrinkToFit="1"/>
      <protection locked="0"/>
    </xf>
    <xf numFmtId="49" fontId="32" fillId="0" borderId="28" xfId="2" applyNumberFormat="1" applyFont="1" applyBorder="1" applyAlignment="1" applyProtection="1">
      <alignment horizontal="left" vertical="center" shrinkToFit="1"/>
      <protection locked="0"/>
    </xf>
    <xf numFmtId="49" fontId="32" fillId="0" borderId="29" xfId="2" applyNumberFormat="1" applyFont="1" applyBorder="1" applyAlignment="1" applyProtection="1">
      <alignment horizontal="left" vertical="center" shrinkToFit="1"/>
      <protection locked="0"/>
    </xf>
    <xf numFmtId="0" fontId="17" fillId="0" borderId="40" xfId="2" applyFont="1" applyBorder="1" applyAlignment="1">
      <alignment horizontal="center" vertical="center" wrapText="1"/>
    </xf>
    <xf numFmtId="0" fontId="31" fillId="0" borderId="40" xfId="2" applyFont="1" applyBorder="1" applyAlignment="1">
      <alignment horizontal="center" vertical="center" wrapText="1"/>
    </xf>
    <xf numFmtId="0" fontId="17" fillId="0" borderId="41" xfId="2" applyFont="1" applyBorder="1" applyAlignment="1">
      <alignment vertical="center" wrapText="1"/>
    </xf>
    <xf numFmtId="0" fontId="17" fillId="0" borderId="42" xfId="2" applyFont="1" applyBorder="1" applyAlignment="1">
      <alignment vertical="center" wrapText="1"/>
    </xf>
    <xf numFmtId="0" fontId="34" fillId="0" borderId="42" xfId="2" applyFont="1" applyBorder="1" applyAlignment="1">
      <alignment vertical="center" wrapText="1"/>
    </xf>
    <xf numFmtId="0" fontId="34" fillId="0" borderId="43" xfId="2" applyFont="1" applyBorder="1" applyAlignment="1">
      <alignment vertical="center" wrapText="1"/>
    </xf>
    <xf numFmtId="0" fontId="17" fillId="0" borderId="0" xfId="2" applyFont="1" applyAlignment="1">
      <alignment horizontal="distributed" vertical="center" wrapText="1"/>
    </xf>
    <xf numFmtId="0" fontId="40" fillId="0" borderId="0" xfId="2" applyAlignment="1">
      <alignment horizontal="distributed" vertical="center"/>
    </xf>
    <xf numFmtId="0" fontId="17" fillId="0" borderId="0" xfId="2" applyFont="1" applyAlignment="1">
      <alignment horizontal="distributed" vertical="center"/>
    </xf>
    <xf numFmtId="0" fontId="19" fillId="0" borderId="44" xfId="2" applyFont="1" applyBorder="1" applyAlignment="1">
      <alignment horizontal="left" vertical="center" shrinkToFit="1"/>
    </xf>
    <xf numFmtId="0" fontId="40" fillId="0" borderId="0" xfId="2" applyAlignment="1">
      <alignment shrinkToFit="1"/>
    </xf>
    <xf numFmtId="0" fontId="40" fillId="0" borderId="50" xfId="2" applyBorder="1" applyAlignment="1">
      <alignment shrinkToFit="1"/>
    </xf>
    <xf numFmtId="0" fontId="41" fillId="0" borderId="51" xfId="2" applyFont="1" applyBorder="1" applyAlignment="1">
      <alignment horizontal="left" vertical="center"/>
    </xf>
    <xf numFmtId="0" fontId="41" fillId="0" borderId="0" xfId="2" applyFont="1" applyAlignment="1">
      <alignment horizontal="left" vertical="center"/>
    </xf>
    <xf numFmtId="0" fontId="39" fillId="0" borderId="0" xfId="2" applyFont="1" applyAlignment="1">
      <alignment horizontal="left"/>
    </xf>
    <xf numFmtId="0" fontId="39" fillId="0" borderId="45" xfId="2" applyFont="1" applyBorder="1" applyAlignment="1">
      <alignment horizontal="left"/>
    </xf>
    <xf numFmtId="0" fontId="19" fillId="0" borderId="48" xfId="2" applyFont="1" applyBorder="1" applyAlignment="1">
      <alignment horizontal="left" vertical="center" shrinkToFit="1"/>
    </xf>
    <xf numFmtId="0" fontId="40" fillId="0" borderId="13" xfId="2" applyBorder="1" applyAlignment="1">
      <alignment shrinkToFit="1"/>
    </xf>
    <xf numFmtId="0" fontId="40" fillId="0" borderId="35" xfId="2" applyBorder="1" applyAlignment="1">
      <alignment shrinkToFit="1"/>
    </xf>
    <xf numFmtId="0" fontId="31" fillId="0" borderId="36" xfId="2" applyFont="1" applyBorder="1" applyAlignment="1">
      <alignment vertical="center" shrinkToFit="1"/>
    </xf>
    <xf numFmtId="0" fontId="31" fillId="0" borderId="13" xfId="2" applyFont="1" applyBorder="1" applyAlignment="1">
      <alignment vertical="center" shrinkToFit="1"/>
    </xf>
    <xf numFmtId="0" fontId="34" fillId="0" borderId="13" xfId="2" applyFont="1" applyBorder="1" applyAlignment="1">
      <alignment shrinkToFit="1"/>
    </xf>
    <xf numFmtId="0" fontId="34" fillId="0" borderId="49" xfId="2" applyFont="1" applyBorder="1" applyAlignment="1">
      <alignment shrinkToFit="1"/>
    </xf>
    <xf numFmtId="0" fontId="40" fillId="0" borderId="51" xfId="2" applyBorder="1" applyAlignment="1">
      <alignment shrinkToFit="1"/>
    </xf>
    <xf numFmtId="0" fontId="40" fillId="0" borderId="45" xfId="2" applyBorder="1" applyAlignment="1">
      <alignment shrinkToFit="1"/>
    </xf>
    <xf numFmtId="0" fontId="17" fillId="0" borderId="0" xfId="2" applyFont="1" applyAlignment="1">
      <alignment horizontal="center" vertical="center"/>
    </xf>
    <xf numFmtId="0" fontId="35" fillId="0" borderId="42" xfId="2" applyFont="1" applyBorder="1" applyAlignment="1">
      <alignment horizontal="left" vertical="center" wrapText="1"/>
    </xf>
    <xf numFmtId="0" fontId="36" fillId="0" borderId="42" xfId="2" applyFont="1" applyBorder="1" applyAlignment="1">
      <alignment vertical="center" wrapText="1"/>
    </xf>
    <xf numFmtId="0" fontId="31" fillId="0" borderId="42" xfId="2" applyFont="1" applyBorder="1" applyAlignment="1">
      <alignment horizontal="right" vertical="center" wrapText="1"/>
    </xf>
    <xf numFmtId="0" fontId="40" fillId="0" borderId="42" xfId="2" applyBorder="1" applyAlignment="1">
      <alignment horizontal="right" vertical="center"/>
    </xf>
    <xf numFmtId="0" fontId="19" fillId="0" borderId="44" xfId="2" applyFont="1" applyBorder="1" applyAlignment="1">
      <alignment horizontal="left" vertical="top" shrinkToFit="1"/>
    </xf>
    <xf numFmtId="0" fontId="40" fillId="0" borderId="0" xfId="2" applyAlignment="1">
      <alignment vertical="top" shrinkToFit="1"/>
    </xf>
    <xf numFmtId="0" fontId="40" fillId="0" borderId="50" xfId="2" applyBorder="1" applyAlignment="1">
      <alignment vertical="top" shrinkToFit="1"/>
    </xf>
    <xf numFmtId="0" fontId="19" fillId="0" borderId="53" xfId="2" applyFont="1" applyBorder="1" applyAlignment="1">
      <alignment horizontal="left" vertical="top" shrinkToFit="1"/>
    </xf>
    <xf numFmtId="0" fontId="40" fillId="0" borderId="54" xfId="2" applyBorder="1" applyAlignment="1">
      <alignment vertical="top" shrinkToFit="1"/>
    </xf>
    <xf numFmtId="0" fontId="40" fillId="0" borderId="55" xfId="2" applyBorder="1" applyAlignment="1">
      <alignment vertical="top" shrinkToFit="1"/>
    </xf>
    <xf numFmtId="0" fontId="31" fillId="0" borderId="56" xfId="2" applyFont="1" applyBorder="1" applyAlignment="1">
      <alignment vertical="center"/>
    </xf>
    <xf numFmtId="0" fontId="31" fillId="0" borderId="57" xfId="2" applyFont="1" applyBorder="1" applyAlignment="1">
      <alignment vertical="center"/>
    </xf>
    <xf numFmtId="0" fontId="31" fillId="0" borderId="58" xfId="2" applyFont="1" applyBorder="1" applyAlignment="1">
      <alignment vertical="center"/>
    </xf>
    <xf numFmtId="0" fontId="16" fillId="0" borderId="0" xfId="2" applyFont="1" applyAlignment="1">
      <alignment vertical="center"/>
    </xf>
    <xf numFmtId="0" fontId="16" fillId="0" borderId="0" xfId="2" applyFont="1" applyAlignment="1">
      <alignment horizontal="center" vertical="center" wrapText="1"/>
    </xf>
    <xf numFmtId="0" fontId="40" fillId="0" borderId="0" xfId="2" applyAlignment="1">
      <alignment horizontal="center" vertical="center"/>
    </xf>
    <xf numFmtId="0" fontId="5" fillId="0" borderId="0" xfId="2" applyFont="1" applyAlignment="1">
      <alignment vertical="center"/>
    </xf>
    <xf numFmtId="49" fontId="17" fillId="0" borderId="0" xfId="2" applyNumberFormat="1" applyFont="1" applyAlignment="1">
      <alignment vertical="center"/>
    </xf>
    <xf numFmtId="0" fontId="33" fillId="0" borderId="0" xfId="2" applyFont="1"/>
    <xf numFmtId="0" fontId="16" fillId="0" borderId="0" xfId="2" applyFont="1" applyAlignment="1">
      <alignment horizontal="center" vertical="center"/>
    </xf>
    <xf numFmtId="0" fontId="38" fillId="0" borderId="0" xfId="2" applyFont="1" applyAlignment="1">
      <alignment vertical="center"/>
    </xf>
    <xf numFmtId="0" fontId="38" fillId="0" borderId="0" xfId="2" applyFont="1"/>
    <xf numFmtId="0" fontId="31" fillId="0" borderId="0" xfId="2" applyFont="1" applyAlignment="1">
      <alignment horizontal="distributed" vertical="center"/>
    </xf>
    <xf numFmtId="0" fontId="31" fillId="0" borderId="0" xfId="2" applyFont="1" applyAlignment="1">
      <alignment horizontal="distributed"/>
    </xf>
    <xf numFmtId="0" fontId="13" fillId="0" borderId="0" xfId="2" applyFont="1" applyAlignment="1">
      <alignment horizontal="center" vertical="center"/>
    </xf>
    <xf numFmtId="0" fontId="39" fillId="0" borderId="0" xfId="2" applyFont="1" applyAlignment="1">
      <alignment vertical="center"/>
    </xf>
  </cellXfs>
  <cellStyles count="4">
    <cellStyle name="一般" xfId="0" builtinId="0"/>
    <cellStyle name="一般 2" xfId="2" xr:uid="{0549EAE2-BD01-45F6-9C6E-DFB44E019E18}"/>
    <cellStyle name="千分位" xfId="1" builtinId="3"/>
    <cellStyle name="百分比" xfId="3"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統計圖!$B$3:$B$31</c:f>
              <c:strCache>
                <c:ptCount val="29"/>
                <c:pt idx="0">
                  <c:v>測量放樣</c:v>
                </c:pt>
                <c:pt idx="1">
                  <c:v>土方開挖</c:v>
                </c:pt>
                <c:pt idx="2">
                  <c:v>土方回填(含級配)</c:v>
                </c:pt>
                <c:pt idx="3">
                  <c:v>鋼筋工程</c:v>
                </c:pt>
                <c:pt idx="4">
                  <c:v>模板工程</c:v>
                </c:pt>
                <c:pt idx="5">
                  <c:v>混凝土工程</c:v>
                </c:pt>
                <c:pt idx="6">
                  <c:v>植筋工程</c:v>
                </c:pt>
                <c:pt idx="7">
                  <c:v>預力混凝土基樁</c:v>
                </c:pt>
                <c:pt idx="8">
                  <c:v>砌塊石護岸</c:v>
                </c:pt>
                <c:pt idx="9">
                  <c:v>低水護岸</c:v>
                </c:pt>
                <c:pt idx="10">
                  <c:v>固床工</c:v>
                </c:pt>
                <c:pt idx="11">
                  <c:v>全套管基樁</c:v>
                </c:pt>
                <c:pt idx="12">
                  <c:v>鋼筋混凝土管</c:v>
                </c:pt>
                <c:pt idx="13">
                  <c:v>鋼版樁</c:v>
                </c:pt>
                <c:pt idx="14">
                  <c:v>路床/路基高程</c:v>
                </c:pt>
                <c:pt idx="15">
                  <c:v>瀝青混凝土</c:v>
                </c:pt>
                <c:pt idx="16">
                  <c:v>景觀鋪面(一)</c:v>
                </c:pt>
                <c:pt idx="17">
                  <c:v>景觀鋪面(二)</c:v>
                </c:pt>
                <c:pt idx="18">
                  <c:v>預鑄緣石</c:v>
                </c:pt>
                <c:pt idx="19">
                  <c:v>鋼構工程吊裝</c:v>
                </c:pt>
                <c:pt idx="20">
                  <c:v>鋼構工程塗裝</c:v>
                </c:pt>
                <c:pt idx="21">
                  <c:v>排水設施(一)</c:v>
                </c:pt>
                <c:pt idx="22">
                  <c:v>排水設施(二)</c:v>
                </c:pt>
                <c:pt idx="23">
                  <c:v>木構造</c:v>
                </c:pt>
                <c:pt idx="24">
                  <c:v>管路</c:v>
                </c:pt>
                <c:pt idx="25">
                  <c:v>植栽(移植)</c:v>
                </c:pt>
                <c:pt idx="26">
                  <c:v>植栽(新植)</c:v>
                </c:pt>
                <c:pt idx="27">
                  <c:v>照明</c:v>
                </c:pt>
                <c:pt idx="28">
                  <c:v>既有橋梁拆除</c:v>
                </c:pt>
              </c:strCache>
            </c:strRef>
          </c:cat>
          <c:val>
            <c:numRef>
              <c:f>統計圖!$C$3:$C$31</c:f>
              <c:numCache>
                <c:formatCode>General</c:formatCode>
                <c:ptCount val="29"/>
                <c:pt idx="0">
                  <c:v>7</c:v>
                </c:pt>
                <c:pt idx="1">
                  <c:v>16</c:v>
                </c:pt>
                <c:pt idx="2">
                  <c:v>0</c:v>
                </c:pt>
                <c:pt idx="3">
                  <c:v>14</c:v>
                </c:pt>
                <c:pt idx="4">
                  <c:v>2</c:v>
                </c:pt>
                <c:pt idx="5">
                  <c:v>14</c:v>
                </c:pt>
                <c:pt idx="6">
                  <c:v>0</c:v>
                </c:pt>
                <c:pt idx="7">
                  <c:v>3</c:v>
                </c:pt>
                <c:pt idx="8">
                  <c:v>0</c:v>
                </c:pt>
                <c:pt idx="9">
                  <c:v>0</c:v>
                </c:pt>
                <c:pt idx="10">
                  <c:v>0</c:v>
                </c:pt>
                <c:pt idx="11">
                  <c:v>14</c:v>
                </c:pt>
                <c:pt idx="12">
                  <c:v>0</c:v>
                </c:pt>
                <c:pt idx="13">
                  <c:v>2</c:v>
                </c:pt>
                <c:pt idx="14">
                  <c:v>0</c:v>
                </c:pt>
                <c:pt idx="15">
                  <c:v>0</c:v>
                </c:pt>
                <c:pt idx="16">
                  <c:v>0</c:v>
                </c:pt>
                <c:pt idx="17">
                  <c:v>0</c:v>
                </c:pt>
                <c:pt idx="18">
                  <c:v>0</c:v>
                </c:pt>
                <c:pt idx="19">
                  <c:v>0</c:v>
                </c:pt>
                <c:pt idx="20">
                  <c:v>0</c:v>
                </c:pt>
                <c:pt idx="21">
                  <c:v>0</c:v>
                </c:pt>
                <c:pt idx="22">
                  <c:v>0</c:v>
                </c:pt>
                <c:pt idx="23">
                  <c:v>0</c:v>
                </c:pt>
                <c:pt idx="24">
                  <c:v>0</c:v>
                </c:pt>
                <c:pt idx="25">
                  <c:v>7</c:v>
                </c:pt>
                <c:pt idx="26">
                  <c:v>0</c:v>
                </c:pt>
                <c:pt idx="27">
                  <c:v>0</c:v>
                </c:pt>
                <c:pt idx="28">
                  <c:v>14</c:v>
                </c:pt>
              </c:numCache>
            </c:numRef>
          </c:val>
          <c:extLst>
            <c:ext xmlns:c16="http://schemas.microsoft.com/office/drawing/2014/chart" uri="{C3380CC4-5D6E-409C-BE32-E72D297353CC}">
              <c16:uniqueId val="{00000000-2818-4499-A3E8-DDBFB9D14502}"/>
            </c:ext>
          </c:extLst>
        </c:ser>
        <c:dLbls>
          <c:showLegendKey val="0"/>
          <c:showVal val="1"/>
          <c:showCatName val="0"/>
          <c:showSerName val="0"/>
          <c:showPercent val="0"/>
          <c:showBubbleSize val="0"/>
        </c:dLbls>
        <c:gapWidth val="150"/>
        <c:shape val="box"/>
        <c:axId val="823313472"/>
        <c:axId val="823319048"/>
        <c:axId val="0"/>
      </c:bar3DChart>
      <c:catAx>
        <c:axId val="823313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823319048"/>
        <c:crosses val="autoZero"/>
        <c:auto val="1"/>
        <c:lblAlgn val="ctr"/>
        <c:lblOffset val="100"/>
        <c:noMultiLvlLbl val="0"/>
      </c:catAx>
      <c:valAx>
        <c:axId val="82331904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823313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40939</xdr:colOff>
      <xdr:row>33</xdr:row>
      <xdr:rowOff>107675</xdr:rowOff>
    </xdr:from>
    <xdr:to>
      <xdr:col>5</xdr:col>
      <xdr:colOff>604630</xdr:colOff>
      <xdr:row>45</xdr:row>
      <xdr:rowOff>9526</xdr:rowOff>
    </xdr:to>
    <xdr:graphicFrame macro="">
      <xdr:nvGraphicFramePr>
        <xdr:cNvPr id="5" name="圖表 4">
          <a:extLst>
            <a:ext uri="{FF2B5EF4-FFF2-40B4-BE49-F238E27FC236}">
              <a16:creationId xmlns:a16="http://schemas.microsoft.com/office/drawing/2014/main" id="{AB241566-3955-4FBA-A3F3-B07273508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123825</xdr:colOff>
      <xdr:row>0</xdr:row>
      <xdr:rowOff>57151</xdr:rowOff>
    </xdr:from>
    <xdr:to>
      <xdr:col>2</xdr:col>
      <xdr:colOff>66975</xdr:colOff>
      <xdr:row>2</xdr:row>
      <xdr:rowOff>23960</xdr:rowOff>
    </xdr:to>
    <xdr:pic>
      <xdr:nvPicPr>
        <xdr:cNvPr id="2" name="圖片 8">
          <a:extLst>
            <a:ext uri="{FF2B5EF4-FFF2-40B4-BE49-F238E27FC236}">
              <a16:creationId xmlns:a16="http://schemas.microsoft.com/office/drawing/2014/main" id="{E2BF629D-C09F-4B4E-8107-0B7EE7D030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57151"/>
          <a:ext cx="648000" cy="5954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F829C-5894-4191-9FE1-B925531B3B35}">
  <sheetPr codeName="工作表5">
    <tabColor theme="4" tint="-0.249977111117893"/>
  </sheetPr>
  <dimension ref="A1:M32"/>
  <sheetViews>
    <sheetView showWhiteSpace="0" view="pageBreakPreview" zoomScaleNormal="100" zoomScaleSheetLayoutView="100" workbookViewId="0">
      <selection activeCell="I14" sqref="I14"/>
    </sheetView>
  </sheetViews>
  <sheetFormatPr defaultRowHeight="16.5" x14ac:dyDescent="0.25"/>
  <cols>
    <col min="1" max="1" width="12.5" style="1" customWidth="1"/>
    <col min="2" max="2" width="29.375" style="1" bestFit="1" customWidth="1"/>
    <col min="3" max="3" width="16.875" style="1" customWidth="1"/>
    <col min="4" max="5" width="9" style="1"/>
    <col min="6" max="6" width="8.625" style="1" customWidth="1"/>
    <col min="7" max="7" width="6.875" style="1" customWidth="1"/>
    <col min="8" max="8" width="32.75" style="1" bestFit="1" customWidth="1"/>
    <col min="9" max="9" width="29.375" style="1" bestFit="1" customWidth="1"/>
    <col min="10" max="10" width="9" style="1"/>
    <col min="11" max="11" width="9" style="60"/>
    <col min="12" max="12" width="9" style="1"/>
    <col min="13" max="13" width="9" style="60"/>
    <col min="14" max="16384" width="9" style="1"/>
  </cols>
  <sheetData>
    <row r="1" spans="1:13" ht="17.25" thickBot="1" x14ac:dyDescent="0.3">
      <c r="A1" s="98" t="s">
        <v>130</v>
      </c>
      <c r="B1" s="98"/>
      <c r="C1" s="98"/>
    </row>
    <row r="2" spans="1:13" ht="17.25" thickBot="1" x14ac:dyDescent="0.3">
      <c r="A2" s="11" t="s">
        <v>20</v>
      </c>
      <c r="B2" s="8" t="s">
        <v>21</v>
      </c>
      <c r="C2" s="11" t="s">
        <v>22</v>
      </c>
      <c r="I2" s="11" t="s">
        <v>127</v>
      </c>
      <c r="J2" s="101" t="s">
        <v>27</v>
      </c>
      <c r="K2" s="102"/>
      <c r="L2" s="101" t="s">
        <v>126</v>
      </c>
      <c r="M2" s="102"/>
    </row>
    <row r="3" spans="1:13" x14ac:dyDescent="0.25">
      <c r="A3" s="12">
        <f>ROW()-2</f>
        <v>1</v>
      </c>
      <c r="B3" s="9" t="s">
        <v>176</v>
      </c>
      <c r="C3" s="12">
        <f ca="1">COUNTA('1.測量放樣'!A:A)-4</f>
        <v>7</v>
      </c>
      <c r="G3" s="1" t="s">
        <v>193</v>
      </c>
      <c r="H3" s="1" t="str">
        <f>A3&amp;"."&amp;B3</f>
        <v>1.測量放樣</v>
      </c>
      <c r="I3" s="69" t="str">
        <f>B3</f>
        <v>測量放樣</v>
      </c>
      <c r="J3" s="62">
        <f>COUNTIF('1.測量放樣'!E:E,"*監造*")</f>
        <v>4</v>
      </c>
      <c r="K3" s="63">
        <f ca="1">IFERROR(J3/C3,"")</f>
        <v>0.5714285714285714</v>
      </c>
      <c r="L3" s="62">
        <f>COUNTIF('1.測量放樣'!E:E,"*業主*")</f>
        <v>0</v>
      </c>
      <c r="M3" s="63">
        <f ca="1">IFERROR(L3/C3,"")</f>
        <v>0</v>
      </c>
    </row>
    <row r="4" spans="1:13" x14ac:dyDescent="0.25">
      <c r="A4" s="7">
        <f t="shared" ref="A4:A31" si="0">ROW()-2</f>
        <v>2</v>
      </c>
      <c r="B4" s="10" t="s">
        <v>174</v>
      </c>
      <c r="C4" s="7">
        <f ca="1">COUNTA('2.土方開挖'!A:A)-4</f>
        <v>16</v>
      </c>
      <c r="G4" s="1" t="s">
        <v>194</v>
      </c>
      <c r="H4" s="1" t="str">
        <f t="shared" ref="H4:H31" si="1">A4&amp;"."&amp;B4</f>
        <v>2.土方開挖</v>
      </c>
      <c r="I4" s="7" t="str">
        <f t="shared" ref="I4:I23" si="2">B4</f>
        <v>土方開挖</v>
      </c>
      <c r="J4" s="18">
        <f>COUNTIF('2.土方開挖'!E:E,"*監造*")</f>
        <v>8</v>
      </c>
      <c r="K4" s="61">
        <f t="shared" ref="K4:K31" ca="1" si="3">IFERROR(J4/C4,"")</f>
        <v>0.5</v>
      </c>
      <c r="L4" s="18">
        <f>COUNTIF('2.土方開挖'!E:E,"*業主*")</f>
        <v>0</v>
      </c>
      <c r="M4" s="61">
        <f t="shared" ref="M4:M31" ca="1" si="4">IFERROR(L4/C4,"")</f>
        <v>0</v>
      </c>
    </row>
    <row r="5" spans="1:13" x14ac:dyDescent="0.25">
      <c r="A5" s="7">
        <f t="shared" si="0"/>
        <v>3</v>
      </c>
      <c r="B5" s="10" t="s">
        <v>175</v>
      </c>
      <c r="C5" s="7">
        <f ca="1">COUNTA('3.土方回填'!A:A)-4</f>
        <v>0</v>
      </c>
      <c r="G5" s="1" t="s">
        <v>195</v>
      </c>
      <c r="H5" s="1" t="str">
        <f t="shared" si="1"/>
        <v>3.土方回填(含級配)</v>
      </c>
      <c r="I5" s="7" t="str">
        <f t="shared" si="2"/>
        <v>土方回填(含級配)</v>
      </c>
      <c r="J5" s="18">
        <f>COUNTIF('3.土方回填'!E:E,"*監造*")</f>
        <v>0</v>
      </c>
      <c r="K5" s="61" t="str">
        <f t="shared" ca="1" si="3"/>
        <v/>
      </c>
      <c r="L5" s="18">
        <f>COUNTIF('3.土方回填'!E:E,"*業主*")</f>
        <v>0</v>
      </c>
      <c r="M5" s="61" t="str">
        <f t="shared" ca="1" si="4"/>
        <v/>
      </c>
    </row>
    <row r="6" spans="1:13" x14ac:dyDescent="0.25">
      <c r="A6" s="7">
        <f t="shared" si="0"/>
        <v>4</v>
      </c>
      <c r="B6" s="10" t="s">
        <v>146</v>
      </c>
      <c r="C6" s="7">
        <f ca="1">COUNTA('4.鋼筋'!A:A)-4</f>
        <v>14</v>
      </c>
      <c r="G6" s="1" t="s">
        <v>196</v>
      </c>
      <c r="H6" s="1" t="str">
        <f t="shared" si="1"/>
        <v>4.鋼筋工程</v>
      </c>
      <c r="I6" s="7" t="str">
        <f t="shared" si="2"/>
        <v>鋼筋工程</v>
      </c>
      <c r="J6" s="18">
        <f>COUNTIF('4.鋼筋'!E:E,"*監造*")</f>
        <v>12</v>
      </c>
      <c r="K6" s="61">
        <f t="shared" ca="1" si="3"/>
        <v>0.8571428571428571</v>
      </c>
      <c r="L6" s="18">
        <f>COUNTIF('4.鋼筋'!E:E,"*業主*")</f>
        <v>0</v>
      </c>
      <c r="M6" s="61">
        <f t="shared" ca="1" si="4"/>
        <v>0</v>
      </c>
    </row>
    <row r="7" spans="1:13" x14ac:dyDescent="0.25">
      <c r="A7" s="7">
        <f t="shared" si="0"/>
        <v>5</v>
      </c>
      <c r="B7" s="10" t="s">
        <v>338</v>
      </c>
      <c r="C7" s="7">
        <f ca="1">COUNTA('5.模板'!A:A)-4</f>
        <v>2</v>
      </c>
      <c r="G7" s="1" t="s">
        <v>197</v>
      </c>
      <c r="H7" s="1" t="str">
        <f t="shared" si="1"/>
        <v>5.模板工程</v>
      </c>
      <c r="I7" s="7" t="str">
        <f t="shared" si="2"/>
        <v>模板工程</v>
      </c>
      <c r="J7" s="18">
        <f>COUNTIF('5.模板'!E:E,"*監造*")</f>
        <v>1</v>
      </c>
      <c r="K7" s="61">
        <f t="shared" ca="1" si="3"/>
        <v>0.5</v>
      </c>
      <c r="L7" s="18">
        <f>COUNTIF('5.模板'!E:E,"*業主*")</f>
        <v>0</v>
      </c>
      <c r="M7" s="61">
        <f t="shared" ca="1" si="4"/>
        <v>0</v>
      </c>
    </row>
    <row r="8" spans="1:13" x14ac:dyDescent="0.25">
      <c r="A8" s="7">
        <f t="shared" si="0"/>
        <v>6</v>
      </c>
      <c r="B8" s="10" t="s">
        <v>147</v>
      </c>
      <c r="C8" s="7">
        <f ca="1">COUNTA('6.混凝土'!A:A)-4</f>
        <v>14</v>
      </c>
      <c r="G8" s="1" t="s">
        <v>198</v>
      </c>
      <c r="H8" s="1" t="str">
        <f t="shared" si="1"/>
        <v>6.混凝土工程</v>
      </c>
      <c r="I8" s="7" t="str">
        <f t="shared" si="2"/>
        <v>混凝土工程</v>
      </c>
      <c r="J8" s="18">
        <f>COUNTIF('6.混凝土'!E:E,"*監造*")</f>
        <v>13</v>
      </c>
      <c r="K8" s="61">
        <f t="shared" ca="1" si="3"/>
        <v>0.9285714285714286</v>
      </c>
      <c r="L8" s="18">
        <f>COUNTIF('6.混凝土'!E:E,"*業主*")</f>
        <v>1</v>
      </c>
      <c r="M8" s="61">
        <f t="shared" ca="1" si="4"/>
        <v>7.1428571428571425E-2</v>
      </c>
    </row>
    <row r="9" spans="1:13" x14ac:dyDescent="0.25">
      <c r="A9" s="7">
        <f t="shared" si="0"/>
        <v>7</v>
      </c>
      <c r="B9" s="10" t="s">
        <v>148</v>
      </c>
      <c r="C9" s="7">
        <f ca="1">COUNTA('7.植筋'!A:A)-4</f>
        <v>0</v>
      </c>
      <c r="G9" s="1" t="s">
        <v>199</v>
      </c>
      <c r="H9" s="1" t="str">
        <f t="shared" si="1"/>
        <v>7.植筋工程</v>
      </c>
      <c r="I9" s="7" t="str">
        <f t="shared" si="2"/>
        <v>植筋工程</v>
      </c>
      <c r="J9" s="18">
        <f>COUNTIF('7.植筋'!E:E,"*監造*")</f>
        <v>0</v>
      </c>
      <c r="K9" s="61" t="str">
        <f t="shared" ca="1" si="3"/>
        <v/>
      </c>
      <c r="L9" s="18">
        <f>COUNTIF('7.植筋'!E:E,"*業主*")</f>
        <v>0</v>
      </c>
      <c r="M9" s="61" t="str">
        <f t="shared" ca="1" si="4"/>
        <v/>
      </c>
    </row>
    <row r="10" spans="1:13" x14ac:dyDescent="0.25">
      <c r="A10" s="7">
        <f t="shared" si="0"/>
        <v>8</v>
      </c>
      <c r="B10" s="10" t="s">
        <v>171</v>
      </c>
      <c r="C10" s="7">
        <f ca="1">COUNTA('8.預力混凝土基樁'!A:A)-4</f>
        <v>3</v>
      </c>
      <c r="G10" s="1" t="s">
        <v>200</v>
      </c>
      <c r="H10" s="1" t="str">
        <f t="shared" si="1"/>
        <v>8.預力混凝土基樁</v>
      </c>
      <c r="I10" s="7" t="str">
        <f t="shared" si="2"/>
        <v>預力混凝土基樁</v>
      </c>
      <c r="J10" s="18">
        <f>COUNTIF('8.預力混凝土基樁'!E:E,"*監造*")</f>
        <v>2</v>
      </c>
      <c r="K10" s="61">
        <f t="shared" ca="1" si="3"/>
        <v>0.66666666666666663</v>
      </c>
      <c r="L10" s="18">
        <f>COUNTIF('8.預力混凝土基樁'!E:E,"*業主*")</f>
        <v>2</v>
      </c>
      <c r="M10" s="61">
        <f t="shared" ca="1" si="4"/>
        <v>0.66666666666666663</v>
      </c>
    </row>
    <row r="11" spans="1:13" x14ac:dyDescent="0.25">
      <c r="A11" s="7">
        <f t="shared" si="0"/>
        <v>9</v>
      </c>
      <c r="B11" s="10" t="s">
        <v>172</v>
      </c>
      <c r="C11" s="7">
        <f ca="1">COUNTA('9.砌塊石護岸'!A:A)-4</f>
        <v>0</v>
      </c>
      <c r="G11" s="1" t="s">
        <v>201</v>
      </c>
      <c r="H11" s="1" t="str">
        <f t="shared" si="1"/>
        <v>9.砌塊石護岸</v>
      </c>
      <c r="I11" s="7" t="str">
        <f t="shared" si="2"/>
        <v>砌塊石護岸</v>
      </c>
      <c r="J11" s="18">
        <f>COUNTIF('9.砌塊石護岸'!E:E,"*監造*")</f>
        <v>0</v>
      </c>
      <c r="K11" s="61" t="str">
        <f t="shared" ca="1" si="3"/>
        <v/>
      </c>
      <c r="L11" s="18">
        <f>COUNTIF('9.砌塊石護岸'!E:E,"*業主*")</f>
        <v>0</v>
      </c>
      <c r="M11" s="61" t="str">
        <f t="shared" ca="1" si="4"/>
        <v/>
      </c>
    </row>
    <row r="12" spans="1:13" x14ac:dyDescent="0.25">
      <c r="A12" s="7">
        <f t="shared" si="0"/>
        <v>10</v>
      </c>
      <c r="B12" s="10" t="s">
        <v>173</v>
      </c>
      <c r="C12" s="7">
        <f ca="1">COUNTA('10.低水護岸'!A:A)-4</f>
        <v>0</v>
      </c>
      <c r="G12" s="1" t="s">
        <v>202</v>
      </c>
      <c r="H12" s="1" t="str">
        <f t="shared" si="1"/>
        <v>10.低水護岸</v>
      </c>
      <c r="I12" s="7" t="str">
        <f t="shared" si="2"/>
        <v>低水護岸</v>
      </c>
      <c r="J12" s="18">
        <f>COUNTIF('10.低水護岸'!E:E,"*監造*")</f>
        <v>0</v>
      </c>
      <c r="K12" s="61" t="str">
        <f t="shared" ca="1" si="3"/>
        <v/>
      </c>
      <c r="L12" s="18">
        <f>COUNTIF('10.低水護岸'!E:E,"*業主*")</f>
        <v>0</v>
      </c>
      <c r="M12" s="61" t="str">
        <f t="shared" ca="1" si="4"/>
        <v/>
      </c>
    </row>
    <row r="13" spans="1:13" x14ac:dyDescent="0.25">
      <c r="A13" s="7">
        <f t="shared" si="0"/>
        <v>11</v>
      </c>
      <c r="B13" s="10" t="s">
        <v>177</v>
      </c>
      <c r="C13" s="7">
        <f ca="1">COUNTA('11.固床工'!A:A)-4</f>
        <v>0</v>
      </c>
      <c r="G13" s="1" t="s">
        <v>203</v>
      </c>
      <c r="H13" s="1" t="str">
        <f t="shared" si="1"/>
        <v>11.固床工</v>
      </c>
      <c r="I13" s="7" t="str">
        <f t="shared" si="2"/>
        <v>固床工</v>
      </c>
      <c r="J13" s="18">
        <f>COUNTIF('11.固床工'!E:E,"*監造*")</f>
        <v>0</v>
      </c>
      <c r="K13" s="61" t="str">
        <f t="shared" ca="1" si="3"/>
        <v/>
      </c>
      <c r="L13" s="18">
        <f>COUNTIF('11.固床工'!E:E,"*業主*")</f>
        <v>0</v>
      </c>
      <c r="M13" s="61" t="str">
        <f t="shared" ca="1" si="4"/>
        <v/>
      </c>
    </row>
    <row r="14" spans="1:13" x14ac:dyDescent="0.25">
      <c r="A14" s="7">
        <f t="shared" si="0"/>
        <v>12</v>
      </c>
      <c r="B14" s="10" t="s">
        <v>178</v>
      </c>
      <c r="C14" s="7">
        <f ca="1">COUNTA('12.全套管基樁'!A:A)-4</f>
        <v>14</v>
      </c>
      <c r="G14" s="1" t="s">
        <v>204</v>
      </c>
      <c r="H14" s="1" t="str">
        <f t="shared" si="1"/>
        <v>12.全套管基樁</v>
      </c>
      <c r="I14" s="7" t="str">
        <f t="shared" si="2"/>
        <v>全套管基樁</v>
      </c>
      <c r="J14" s="18">
        <f>COUNTIF('12.全套管基樁'!E:E,"*監造*")</f>
        <v>11</v>
      </c>
      <c r="K14" s="61">
        <f t="shared" ca="1" si="3"/>
        <v>0.7857142857142857</v>
      </c>
      <c r="L14" s="18">
        <f>COUNTIF('12.全套管基樁'!E:E,"*業主*")</f>
        <v>1</v>
      </c>
      <c r="M14" s="61">
        <f t="shared" ca="1" si="4"/>
        <v>7.1428571428571425E-2</v>
      </c>
    </row>
    <row r="15" spans="1:13" x14ac:dyDescent="0.25">
      <c r="A15" s="7">
        <f t="shared" si="0"/>
        <v>13</v>
      </c>
      <c r="B15" s="10" t="s">
        <v>339</v>
      </c>
      <c r="C15" s="7">
        <f ca="1">COUNTA('13.鋼筋混凝土管工程'!A:A)-4</f>
        <v>0</v>
      </c>
      <c r="G15" s="1" t="s">
        <v>205</v>
      </c>
      <c r="H15" s="1" t="str">
        <f t="shared" si="1"/>
        <v>13.鋼筋混凝土管</v>
      </c>
      <c r="I15" s="7" t="str">
        <f t="shared" si="2"/>
        <v>鋼筋混凝土管</v>
      </c>
      <c r="J15" s="18">
        <f>COUNTIF('13.鋼筋混凝土管工程'!E:E,"*監造*")</f>
        <v>0</v>
      </c>
      <c r="K15" s="61" t="str">
        <f t="shared" ca="1" si="3"/>
        <v/>
      </c>
      <c r="L15" s="18">
        <f>COUNTIF('13.鋼筋混凝土管工程'!E:E,"*業主*")</f>
        <v>0</v>
      </c>
      <c r="M15" s="61" t="str">
        <f t="shared" ca="1" si="4"/>
        <v/>
      </c>
    </row>
    <row r="16" spans="1:13" x14ac:dyDescent="0.25">
      <c r="A16" s="7">
        <f t="shared" si="0"/>
        <v>14</v>
      </c>
      <c r="B16" s="15" t="s">
        <v>179</v>
      </c>
      <c r="C16" s="7">
        <f ca="1">COUNTA('14.鋼版樁'!A:A)-4</f>
        <v>2</v>
      </c>
      <c r="G16" s="1" t="s">
        <v>206</v>
      </c>
      <c r="H16" s="1" t="str">
        <f t="shared" si="1"/>
        <v>14.鋼版樁</v>
      </c>
      <c r="I16" s="7" t="str">
        <f t="shared" si="2"/>
        <v>鋼版樁</v>
      </c>
      <c r="J16" s="18">
        <f>COUNTIF('14.鋼版樁'!E:E,"*監造*")</f>
        <v>2</v>
      </c>
      <c r="K16" s="61">
        <f t="shared" ca="1" si="3"/>
        <v>1</v>
      </c>
      <c r="L16" s="18">
        <f>COUNTIF('14.鋼版樁'!E:E,"*業主*")</f>
        <v>0</v>
      </c>
      <c r="M16" s="61">
        <f t="shared" ca="1" si="4"/>
        <v>0</v>
      </c>
    </row>
    <row r="17" spans="1:13" x14ac:dyDescent="0.25">
      <c r="A17" s="7">
        <f t="shared" si="0"/>
        <v>15</v>
      </c>
      <c r="B17" s="15" t="s">
        <v>180</v>
      </c>
      <c r="C17" s="7">
        <f ca="1">COUNTA('15.路床 路基高程'!A:A)-4</f>
        <v>0</v>
      </c>
      <c r="G17" s="1" t="s">
        <v>207</v>
      </c>
      <c r="H17" s="1" t="str">
        <f t="shared" si="1"/>
        <v>15.路床/路基高程</v>
      </c>
      <c r="I17" s="7" t="str">
        <f t="shared" si="2"/>
        <v>路床/路基高程</v>
      </c>
      <c r="J17" s="18">
        <f>COUNTIF('15.路床 路基高程'!E:E,"*監造*")</f>
        <v>0</v>
      </c>
      <c r="K17" s="61" t="str">
        <f t="shared" ca="1" si="3"/>
        <v/>
      </c>
      <c r="L17" s="18">
        <f>COUNTIF('15.路床 路基高程'!E:E,"*業主*")</f>
        <v>0</v>
      </c>
      <c r="M17" s="61" t="str">
        <f t="shared" ca="1" si="4"/>
        <v/>
      </c>
    </row>
    <row r="18" spans="1:13" x14ac:dyDescent="0.25">
      <c r="A18" s="7">
        <f t="shared" si="0"/>
        <v>16</v>
      </c>
      <c r="B18" s="15" t="s">
        <v>181</v>
      </c>
      <c r="C18" s="7">
        <f ca="1">COUNTA('16.瀝青混凝土'!A:A)-4</f>
        <v>0</v>
      </c>
      <c r="G18" s="1" t="s">
        <v>208</v>
      </c>
      <c r="H18" s="1" t="str">
        <f t="shared" si="1"/>
        <v>16.瀝青混凝土</v>
      </c>
      <c r="I18" s="7" t="str">
        <f t="shared" si="2"/>
        <v>瀝青混凝土</v>
      </c>
      <c r="J18" s="18">
        <f>COUNTIF('6.混凝土'!E:E,"*監造*")</f>
        <v>13</v>
      </c>
      <c r="K18" s="61" t="str">
        <f t="shared" ca="1" si="3"/>
        <v/>
      </c>
      <c r="L18" s="18">
        <f>COUNTIF('6.混凝土'!E:E,"*業主*")</f>
        <v>1</v>
      </c>
      <c r="M18" s="61" t="str">
        <f t="shared" ca="1" si="4"/>
        <v/>
      </c>
    </row>
    <row r="19" spans="1:13" x14ac:dyDescent="0.25">
      <c r="A19" s="7">
        <f t="shared" si="0"/>
        <v>17</v>
      </c>
      <c r="B19" s="15" t="s">
        <v>182</v>
      </c>
      <c r="C19" s="7">
        <f ca="1">COUNTA('17.景觀鋪面(一)'!A:A)-4</f>
        <v>0</v>
      </c>
      <c r="G19" s="1" t="s">
        <v>209</v>
      </c>
      <c r="H19" s="1" t="str">
        <f t="shared" si="1"/>
        <v>17.景觀鋪面(一)</v>
      </c>
      <c r="I19" s="7" t="str">
        <f t="shared" si="2"/>
        <v>景觀鋪面(一)</v>
      </c>
      <c r="J19" s="18">
        <f>COUNTIF('17.景觀鋪面(一)'!E:E,"*監造*")</f>
        <v>0</v>
      </c>
      <c r="K19" s="61" t="str">
        <f t="shared" ca="1" si="3"/>
        <v/>
      </c>
      <c r="L19" s="18">
        <f>COUNTIF('17.景觀鋪面(一)'!E:E,"*業主*")</f>
        <v>0</v>
      </c>
      <c r="M19" s="61" t="str">
        <f t="shared" ca="1" si="4"/>
        <v/>
      </c>
    </row>
    <row r="20" spans="1:13" x14ac:dyDescent="0.25">
      <c r="A20" s="7">
        <f t="shared" si="0"/>
        <v>18</v>
      </c>
      <c r="B20" s="15" t="s">
        <v>183</v>
      </c>
      <c r="C20" s="7">
        <f ca="1">COUNTA('18.景觀鋪面(二)'!A:A)-4</f>
        <v>0</v>
      </c>
      <c r="G20" s="1" t="s">
        <v>210</v>
      </c>
      <c r="H20" s="1" t="str">
        <f t="shared" si="1"/>
        <v>18.景觀鋪面(二)</v>
      </c>
      <c r="I20" s="7" t="str">
        <f t="shared" si="2"/>
        <v>景觀鋪面(二)</v>
      </c>
      <c r="J20" s="18">
        <f>COUNTIF('18.景觀鋪面(二)'!E:E,"*監造*")</f>
        <v>0</v>
      </c>
      <c r="K20" s="61" t="str">
        <f t="shared" ca="1" si="3"/>
        <v/>
      </c>
      <c r="L20" s="18">
        <f>COUNTIF('18.景觀鋪面(二)'!E:E,"*業主*")</f>
        <v>0</v>
      </c>
      <c r="M20" s="61" t="str">
        <f t="shared" ca="1" si="4"/>
        <v/>
      </c>
    </row>
    <row r="21" spans="1:13" x14ac:dyDescent="0.25">
      <c r="A21" s="7">
        <f t="shared" si="0"/>
        <v>19</v>
      </c>
      <c r="B21" s="15" t="s">
        <v>184</v>
      </c>
      <c r="C21" s="7">
        <f ca="1">COUNTA('19.預鑄緣石'!A:A)-4</f>
        <v>0</v>
      </c>
      <c r="G21" s="1" t="s">
        <v>211</v>
      </c>
      <c r="H21" s="1" t="str">
        <f t="shared" si="1"/>
        <v>19.預鑄緣石</v>
      </c>
      <c r="I21" s="7" t="str">
        <f t="shared" si="2"/>
        <v>預鑄緣石</v>
      </c>
      <c r="J21" s="18">
        <f>COUNTIF('19.預鑄緣石'!E:E,"*監造*")</f>
        <v>0</v>
      </c>
      <c r="K21" s="61" t="str">
        <f t="shared" ca="1" si="3"/>
        <v/>
      </c>
      <c r="L21" s="18">
        <f>COUNTIF('19.預鑄緣石'!E:E,"*業主*")</f>
        <v>0</v>
      </c>
      <c r="M21" s="61" t="str">
        <f t="shared" ca="1" si="4"/>
        <v/>
      </c>
    </row>
    <row r="22" spans="1:13" x14ac:dyDescent="0.25">
      <c r="A22" s="7">
        <f t="shared" si="0"/>
        <v>20</v>
      </c>
      <c r="B22" s="15" t="s">
        <v>185</v>
      </c>
      <c r="C22" s="7">
        <f ca="1">COUNTA('20.鋼構工程吊裝'!A:A)-4</f>
        <v>0</v>
      </c>
      <c r="G22" s="1" t="s">
        <v>212</v>
      </c>
      <c r="H22" s="1" t="str">
        <f t="shared" si="1"/>
        <v>20.鋼構工程吊裝</v>
      </c>
      <c r="I22" s="7" t="str">
        <f t="shared" ref="I22" si="5">B22</f>
        <v>鋼構工程吊裝</v>
      </c>
      <c r="J22" s="18">
        <f>COUNTIF('20.鋼構工程吊裝'!E:E,"*監造*")</f>
        <v>0</v>
      </c>
      <c r="K22" s="61" t="str">
        <f t="shared" ca="1" si="3"/>
        <v/>
      </c>
      <c r="L22" s="18">
        <f>COUNTIF('20.鋼構工程吊裝'!E:E,"*業主*")</f>
        <v>0</v>
      </c>
      <c r="M22" s="61" t="str">
        <f t="shared" ca="1" si="4"/>
        <v/>
      </c>
    </row>
    <row r="23" spans="1:13" x14ac:dyDescent="0.25">
      <c r="A23" s="7">
        <f t="shared" si="0"/>
        <v>21</v>
      </c>
      <c r="B23" s="15" t="s">
        <v>186</v>
      </c>
      <c r="C23" s="7">
        <f ca="1">COUNTA('21.鋼構工程塗裝'!A:A)-4</f>
        <v>0</v>
      </c>
      <c r="G23" s="1" t="s">
        <v>213</v>
      </c>
      <c r="H23" s="1" t="str">
        <f t="shared" si="1"/>
        <v>21.鋼構工程塗裝</v>
      </c>
      <c r="I23" s="7" t="str">
        <f t="shared" si="2"/>
        <v>鋼構工程塗裝</v>
      </c>
      <c r="J23" s="18">
        <f>COUNTIF('21.鋼構工程塗裝'!E:E,"*監造*")</f>
        <v>0</v>
      </c>
      <c r="K23" s="61" t="str">
        <f t="shared" ca="1" si="3"/>
        <v/>
      </c>
      <c r="L23" s="18">
        <f>COUNTIF('21.鋼構工程塗裝'!E:E,"*業主*")</f>
        <v>0</v>
      </c>
      <c r="M23" s="61" t="str">
        <f t="shared" ca="1" si="4"/>
        <v/>
      </c>
    </row>
    <row r="24" spans="1:13" x14ac:dyDescent="0.25">
      <c r="A24" s="7">
        <f t="shared" si="0"/>
        <v>22</v>
      </c>
      <c r="B24" s="15" t="s">
        <v>187</v>
      </c>
      <c r="C24" s="7">
        <f ca="1">COUNTA('22.排水設施(一)'!A:A)-4</f>
        <v>0</v>
      </c>
      <c r="G24" s="1" t="s">
        <v>214</v>
      </c>
      <c r="H24" s="1" t="str">
        <f t="shared" si="1"/>
        <v>22.排水設施(一)</v>
      </c>
      <c r="I24" s="7" t="str">
        <f t="shared" ref="I24:I31" si="6">B24</f>
        <v>排水設施(一)</v>
      </c>
      <c r="J24" s="18">
        <f>COUNTIF('22.排水設施(一)'!E:E,"*監造*")</f>
        <v>0</v>
      </c>
      <c r="K24" s="61" t="str">
        <f t="shared" ca="1" si="3"/>
        <v/>
      </c>
      <c r="L24" s="18">
        <f>COUNTIF('22.排水設施(一)'!E:E,"*業主*")</f>
        <v>0</v>
      </c>
      <c r="M24" s="61" t="str">
        <f t="shared" ca="1" si="4"/>
        <v/>
      </c>
    </row>
    <row r="25" spans="1:13" x14ac:dyDescent="0.25">
      <c r="A25" s="7">
        <f t="shared" si="0"/>
        <v>23</v>
      </c>
      <c r="B25" s="15" t="s">
        <v>188</v>
      </c>
      <c r="C25" s="7">
        <f ca="1">COUNTA('23.排水設施(二)'!A:A)-4</f>
        <v>0</v>
      </c>
      <c r="G25" s="1" t="s">
        <v>215</v>
      </c>
      <c r="H25" s="1" t="str">
        <f t="shared" si="1"/>
        <v>23.排水設施(二)</v>
      </c>
      <c r="I25" s="7" t="str">
        <f t="shared" si="6"/>
        <v>排水設施(二)</v>
      </c>
      <c r="J25" s="18">
        <f>COUNTIF('23.排水設施(二)'!E:E,"*監造*")</f>
        <v>0</v>
      </c>
      <c r="K25" s="61" t="str">
        <f t="shared" ca="1" si="3"/>
        <v/>
      </c>
      <c r="L25" s="18">
        <f>COUNTIF('23.排水設施(二)'!E:E,"*業主*")</f>
        <v>0</v>
      </c>
      <c r="M25" s="61" t="str">
        <f t="shared" ca="1" si="4"/>
        <v/>
      </c>
    </row>
    <row r="26" spans="1:13" x14ac:dyDescent="0.25">
      <c r="A26" s="7">
        <f t="shared" si="0"/>
        <v>24</v>
      </c>
      <c r="B26" s="15" t="s">
        <v>189</v>
      </c>
      <c r="C26" s="7">
        <f ca="1">COUNTA('24.木構造'!A:A)-4</f>
        <v>0</v>
      </c>
      <c r="G26" s="1" t="s">
        <v>216</v>
      </c>
      <c r="H26" s="1" t="str">
        <f t="shared" si="1"/>
        <v>24.木構造</v>
      </c>
      <c r="I26" s="7" t="str">
        <f t="shared" si="6"/>
        <v>木構造</v>
      </c>
      <c r="J26" s="18">
        <f>COUNTIF('24.木構造'!E:E,"*監造*")</f>
        <v>0</v>
      </c>
      <c r="K26" s="61" t="str">
        <f t="shared" ca="1" si="3"/>
        <v/>
      </c>
      <c r="L26" s="18">
        <f>COUNTIF('24.木構造'!E:E,"*業主*")</f>
        <v>0</v>
      </c>
      <c r="M26" s="61" t="str">
        <f t="shared" ca="1" si="4"/>
        <v/>
      </c>
    </row>
    <row r="27" spans="1:13" x14ac:dyDescent="0.25">
      <c r="A27" s="7">
        <f t="shared" si="0"/>
        <v>25</v>
      </c>
      <c r="B27" s="15" t="s">
        <v>190</v>
      </c>
      <c r="C27" s="7">
        <f ca="1">COUNTA('25.管路'!A:A)-4</f>
        <v>0</v>
      </c>
      <c r="G27" s="1" t="s">
        <v>217</v>
      </c>
      <c r="H27" s="1" t="str">
        <f t="shared" si="1"/>
        <v>25.管路</v>
      </c>
      <c r="I27" s="7" t="str">
        <f t="shared" si="6"/>
        <v>管路</v>
      </c>
      <c r="J27" s="18">
        <f>COUNTIF('25.管路'!E:E,"*監造*")</f>
        <v>0</v>
      </c>
      <c r="K27" s="61" t="str">
        <f t="shared" ca="1" si="3"/>
        <v/>
      </c>
      <c r="L27" s="18">
        <f>COUNTIF('25.管路'!E:E,"*業主*")</f>
        <v>0</v>
      </c>
      <c r="M27" s="61" t="str">
        <f t="shared" ca="1" si="4"/>
        <v/>
      </c>
    </row>
    <row r="28" spans="1:13" x14ac:dyDescent="0.25">
      <c r="A28" s="7">
        <f t="shared" si="0"/>
        <v>26</v>
      </c>
      <c r="B28" s="15" t="s">
        <v>340</v>
      </c>
      <c r="C28" s="7">
        <f ca="1">COUNTA('26.植栽(移植)'!A:A)-4</f>
        <v>7</v>
      </c>
      <c r="G28" s="1" t="s">
        <v>218</v>
      </c>
      <c r="H28" s="1" t="str">
        <f t="shared" si="1"/>
        <v>26.植栽(移植)</v>
      </c>
      <c r="I28" s="7" t="str">
        <f t="shared" si="6"/>
        <v>植栽(移植)</v>
      </c>
      <c r="J28" s="18">
        <f>COUNTIF('26.植栽(移植)'!E:E,"*監造*")</f>
        <v>3</v>
      </c>
      <c r="K28" s="61">
        <f t="shared" ca="1" si="3"/>
        <v>0.42857142857142855</v>
      </c>
      <c r="L28" s="18">
        <f>COUNTIF('26.植栽(移植)'!E:E,"*業主*")</f>
        <v>0</v>
      </c>
      <c r="M28" s="61">
        <f t="shared" ca="1" si="4"/>
        <v>0</v>
      </c>
    </row>
    <row r="29" spans="1:13" x14ac:dyDescent="0.25">
      <c r="A29" s="7">
        <f t="shared" si="0"/>
        <v>27</v>
      </c>
      <c r="B29" s="15" t="s">
        <v>341</v>
      </c>
      <c r="C29" s="7">
        <f ca="1">COUNTA('27.植栽(新植)'!A:A)-4</f>
        <v>0</v>
      </c>
      <c r="G29" s="1" t="s">
        <v>219</v>
      </c>
      <c r="H29" s="1" t="str">
        <f t="shared" si="1"/>
        <v>27.植栽(新植)</v>
      </c>
      <c r="I29" s="7" t="str">
        <f t="shared" si="6"/>
        <v>植栽(新植)</v>
      </c>
      <c r="J29" s="18">
        <f>COUNTIF('27.植栽(新植)'!E:E,"*監造*")</f>
        <v>0</v>
      </c>
      <c r="K29" s="61" t="str">
        <f t="shared" ca="1" si="3"/>
        <v/>
      </c>
      <c r="L29" s="18">
        <f>COUNTIF('27.植栽(新植)'!E:E,"*業主*")</f>
        <v>0</v>
      </c>
      <c r="M29" s="61" t="str">
        <f t="shared" ca="1" si="4"/>
        <v/>
      </c>
    </row>
    <row r="30" spans="1:13" x14ac:dyDescent="0.25">
      <c r="A30" s="7">
        <f t="shared" si="0"/>
        <v>28</v>
      </c>
      <c r="B30" s="15" t="s">
        <v>342</v>
      </c>
      <c r="C30" s="7">
        <f ca="1">COUNTA('28.照明'!A:A)-4</f>
        <v>0</v>
      </c>
      <c r="H30" s="1" t="str">
        <f t="shared" si="1"/>
        <v>28.照明</v>
      </c>
      <c r="I30" s="7" t="str">
        <f t="shared" si="6"/>
        <v>照明</v>
      </c>
      <c r="J30" s="18">
        <f>COUNTIF('28.照明'!E:E,"*監造*")</f>
        <v>0</v>
      </c>
      <c r="K30" s="61" t="str">
        <f t="shared" ca="1" si="3"/>
        <v/>
      </c>
      <c r="L30" s="18">
        <f>COUNTIF('28.照明'!E:E,"*業主*")</f>
        <v>0</v>
      </c>
      <c r="M30" s="61" t="str">
        <f t="shared" ca="1" si="4"/>
        <v/>
      </c>
    </row>
    <row r="31" spans="1:13" ht="17.25" thickBot="1" x14ac:dyDescent="0.3">
      <c r="A31" s="7">
        <f t="shared" si="0"/>
        <v>29</v>
      </c>
      <c r="B31" s="15" t="s">
        <v>191</v>
      </c>
      <c r="C31" s="7">
        <f ca="1">COUNTA('29.既有橋梁拆除'!A:A)-4</f>
        <v>14</v>
      </c>
      <c r="G31" s="1" t="s">
        <v>220</v>
      </c>
      <c r="H31" s="1" t="str">
        <f t="shared" si="1"/>
        <v>29.既有橋梁拆除</v>
      </c>
      <c r="I31" s="7" t="str">
        <f t="shared" si="6"/>
        <v>既有橋梁拆除</v>
      </c>
      <c r="J31" s="18">
        <f>COUNTIF('29.既有橋梁拆除'!E:E,"*監造*")</f>
        <v>6</v>
      </c>
      <c r="K31" s="61">
        <f t="shared" ca="1" si="3"/>
        <v>0.42857142857142855</v>
      </c>
      <c r="L31" s="18">
        <f>COUNTIF('29.既有橋梁拆除'!E:E,"*業主*")</f>
        <v>0</v>
      </c>
      <c r="M31" s="61">
        <f t="shared" ca="1" si="4"/>
        <v>0</v>
      </c>
    </row>
    <row r="32" spans="1:13" ht="17.25" thickBot="1" x14ac:dyDescent="0.3">
      <c r="A32" s="99" t="s">
        <v>23</v>
      </c>
      <c r="B32" s="100"/>
      <c r="C32" s="11">
        <f ca="1">SUM(C3:C31)</f>
        <v>93</v>
      </c>
    </row>
  </sheetData>
  <mergeCells count="4">
    <mergeCell ref="A1:C1"/>
    <mergeCell ref="A32:B32"/>
    <mergeCell ref="J2:K2"/>
    <mergeCell ref="L2:M2"/>
  </mergeCells>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8CF40-0A6D-4278-95E5-A93A76721D65}">
  <sheetPr codeName="工作表6">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\\上溢北投\d\雲端\A.上溢\1.磺港溪再造C段護岸及步道整建工程（延壽橋至三合橋）\9.施工\4.自主檢查\自主檢查統計\[磺港溪C-A自主檢查統計1130311.xlsx]1.測量放樣</v>
      </c>
    </row>
    <row r="2" spans="1:7" ht="19.5" x14ac:dyDescent="0.25">
      <c r="A2" s="103" t="s">
        <v>142</v>
      </c>
      <c r="B2" s="103"/>
      <c r="C2" s="103"/>
      <c r="D2" s="103"/>
      <c r="E2" s="103"/>
      <c r="G2" s="79" t="str">
        <f ca="1">RIGHT(F1,LEN(F1)-FIND("]",F1))</f>
        <v>1.測量放樣</v>
      </c>
    </row>
    <row r="3" spans="1:7" ht="21" x14ac:dyDescent="0.25">
      <c r="A3" s="104" t="str">
        <f ca="1">G13&amp;"自主檢查表統計"</f>
        <v>測量放樣自主檢查表統計</v>
      </c>
      <c r="B3" s="104"/>
      <c r="C3" s="104"/>
      <c r="D3" s="104"/>
      <c r="E3" s="104"/>
      <c r="F3" s="1" t="s">
        <v>144</v>
      </c>
      <c r="G3" s="1" t="str">
        <f t="shared" ref="G3:G13" ca="1" si="0">SUBSTITUTE(G2,F3,"")</f>
        <v>1測量放樣</v>
      </c>
    </row>
    <row r="4" spans="1:7" x14ac:dyDescent="0.25">
      <c r="A4" s="3" t="s">
        <v>18</v>
      </c>
      <c r="B4" s="3" t="s">
        <v>2</v>
      </c>
      <c r="C4" s="13" t="s">
        <v>17</v>
      </c>
      <c r="D4" s="3" t="s">
        <v>16</v>
      </c>
      <c r="E4" s="3" t="s">
        <v>15</v>
      </c>
      <c r="F4" s="1">
        <v>0</v>
      </c>
      <c r="G4" s="1" t="str">
        <f t="shared" ca="1" si="0"/>
        <v>1測量放樣</v>
      </c>
    </row>
    <row r="5" spans="1:7" x14ac:dyDescent="0.25">
      <c r="A5" s="3">
        <f t="shared" ref="A5:A11" si="1">ROW()-4</f>
        <v>1</v>
      </c>
      <c r="B5" s="3" t="s">
        <v>164</v>
      </c>
      <c r="C5" s="13">
        <v>45243</v>
      </c>
      <c r="D5" s="3" t="s">
        <v>355</v>
      </c>
      <c r="E5" s="3" t="s">
        <v>27</v>
      </c>
      <c r="F5" s="1">
        <v>1</v>
      </c>
      <c r="G5" s="1" t="str">
        <f t="shared" ca="1" si="0"/>
        <v>測量放樣</v>
      </c>
    </row>
    <row r="6" spans="1:7" x14ac:dyDescent="0.25">
      <c r="A6" s="3">
        <f t="shared" si="1"/>
        <v>2</v>
      </c>
      <c r="B6" s="3" t="s">
        <v>163</v>
      </c>
      <c r="C6" s="13">
        <v>45250</v>
      </c>
      <c r="D6" s="3" t="s">
        <v>354</v>
      </c>
      <c r="E6" s="3" t="s">
        <v>27</v>
      </c>
      <c r="F6" s="1">
        <v>2</v>
      </c>
      <c r="G6" s="1" t="str">
        <f t="shared" ca="1" si="0"/>
        <v>測量放樣</v>
      </c>
    </row>
    <row r="7" spans="1:7" x14ac:dyDescent="0.25">
      <c r="A7" s="3">
        <f t="shared" si="1"/>
        <v>3</v>
      </c>
      <c r="B7" s="3" t="s">
        <v>221</v>
      </c>
      <c r="C7" s="13">
        <v>45262</v>
      </c>
      <c r="D7" s="3" t="s">
        <v>355</v>
      </c>
      <c r="E7" s="3" t="s">
        <v>27</v>
      </c>
      <c r="F7" s="1">
        <v>3</v>
      </c>
      <c r="G7" s="1" t="str">
        <f t="shared" ca="1" si="0"/>
        <v>測量放樣</v>
      </c>
    </row>
    <row r="8" spans="1:7" x14ac:dyDescent="0.25">
      <c r="A8" s="3">
        <f t="shared" si="1"/>
        <v>4</v>
      </c>
      <c r="B8" s="3" t="s">
        <v>222</v>
      </c>
      <c r="C8" s="13">
        <v>45263</v>
      </c>
      <c r="D8" s="3" t="s">
        <v>354</v>
      </c>
      <c r="E8" s="3"/>
      <c r="F8" s="1">
        <v>4</v>
      </c>
      <c r="G8" s="1" t="str">
        <f t="shared" ca="1" si="0"/>
        <v>測量放樣</v>
      </c>
    </row>
    <row r="9" spans="1:7" x14ac:dyDescent="0.25">
      <c r="A9" s="3">
        <f t="shared" si="1"/>
        <v>5</v>
      </c>
      <c r="B9" s="3" t="s">
        <v>223</v>
      </c>
      <c r="C9" s="13">
        <v>45297</v>
      </c>
      <c r="D9" s="3" t="s">
        <v>353</v>
      </c>
      <c r="E9" s="3" t="s">
        <v>27</v>
      </c>
      <c r="F9" s="1">
        <v>5</v>
      </c>
      <c r="G9" s="1" t="str">
        <f t="shared" ca="1" si="0"/>
        <v>測量放樣</v>
      </c>
    </row>
    <row r="10" spans="1:7" x14ac:dyDescent="0.25">
      <c r="A10" s="3">
        <f t="shared" si="1"/>
        <v>6</v>
      </c>
      <c r="B10" s="3" t="s">
        <v>380</v>
      </c>
      <c r="C10" s="13">
        <v>45338</v>
      </c>
      <c r="D10" s="3" t="s">
        <v>379</v>
      </c>
      <c r="E10" s="3"/>
      <c r="F10" s="1">
        <v>6</v>
      </c>
      <c r="G10" s="1" t="str">
        <f t="shared" ca="1" si="0"/>
        <v>測量放樣</v>
      </c>
    </row>
    <row r="11" spans="1:7" x14ac:dyDescent="0.25">
      <c r="A11" s="3">
        <f t="shared" si="1"/>
        <v>7</v>
      </c>
      <c r="B11" s="3" t="s">
        <v>411</v>
      </c>
      <c r="C11" s="13">
        <v>45355</v>
      </c>
      <c r="D11" s="3" t="s">
        <v>410</v>
      </c>
      <c r="E11" s="3"/>
      <c r="F11" s="1">
        <v>7</v>
      </c>
      <c r="G11" s="1" t="str">
        <f t="shared" ca="1" si="0"/>
        <v>測量放樣</v>
      </c>
    </row>
    <row r="12" spans="1:7" x14ac:dyDescent="0.25">
      <c r="A12" s="3"/>
      <c r="B12" s="3"/>
      <c r="C12" s="13"/>
      <c r="D12" s="3"/>
      <c r="E12" s="3"/>
      <c r="F12" s="1">
        <v>8</v>
      </c>
      <c r="G12" s="1" t="str">
        <f t="shared" ca="1" si="0"/>
        <v>測量放樣</v>
      </c>
    </row>
    <row r="13" spans="1:7" x14ac:dyDescent="0.25">
      <c r="A13" s="3"/>
      <c r="B13" s="3"/>
      <c r="C13" s="13"/>
      <c r="D13" s="3"/>
      <c r="E13" s="3"/>
      <c r="F13" s="1">
        <v>9</v>
      </c>
      <c r="G13" s="1" t="str">
        <f t="shared" ca="1" si="0"/>
        <v>測量放樣</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2:E2"/>
    <mergeCell ref="A3:E3"/>
    <mergeCell ref="A1:E1"/>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7E4E0-CBFB-4D87-90DD-D8EBB17BFBE2}">
  <sheetPr>
    <tabColor theme="4" tint="-0.249977111117893"/>
    <pageSetUpPr fitToPage="1"/>
  </sheetPr>
  <dimension ref="A1:G34"/>
  <sheetViews>
    <sheetView view="pageBreakPreview" zoomScale="175" zoomScaleNormal="100" zoomScaleSheetLayoutView="175" zoomScalePageLayoutView="130" workbookViewId="0">
      <pane ySplit="4" topLeftCell="A14"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\\上溢北投\d\雲端\A.上溢\1.磺港溪再造C段護岸及步道整建工程（延壽橋至三合橋）\9.施工\4.自主檢查\自主檢查統計\[磺港溪C-A自主檢查統計1130311.xlsx]2.土方開挖</v>
      </c>
    </row>
    <row r="2" spans="1:7" ht="19.5" x14ac:dyDescent="0.25">
      <c r="A2" s="103" t="s">
        <v>142</v>
      </c>
      <c r="B2" s="103"/>
      <c r="C2" s="103"/>
      <c r="D2" s="103"/>
      <c r="E2" s="103"/>
      <c r="G2" s="79" t="str">
        <f ca="1">RIGHT(F1,LEN(F1)-FIND("]",F1))</f>
        <v>2.土方開挖</v>
      </c>
    </row>
    <row r="3" spans="1:7" ht="21" x14ac:dyDescent="0.25">
      <c r="A3" s="104" t="str">
        <f ca="1">G13&amp;"自主檢查表統計"</f>
        <v>土方開挖自主檢查表統計</v>
      </c>
      <c r="B3" s="104"/>
      <c r="C3" s="104"/>
      <c r="D3" s="104"/>
      <c r="E3" s="104"/>
      <c r="F3" s="1" t="s">
        <v>144</v>
      </c>
      <c r="G3" s="1" t="str">
        <f t="shared" ref="G3:G13" ca="1" si="0">SUBSTITUTE(G2,F3,"")</f>
        <v>2土方開挖</v>
      </c>
    </row>
    <row r="4" spans="1:7" x14ac:dyDescent="0.25">
      <c r="A4" s="3" t="s">
        <v>18</v>
      </c>
      <c r="B4" s="3" t="s">
        <v>2</v>
      </c>
      <c r="C4" s="13" t="s">
        <v>17</v>
      </c>
      <c r="D4" s="3" t="s">
        <v>16</v>
      </c>
      <c r="E4" s="3" t="s">
        <v>15</v>
      </c>
      <c r="F4" s="1">
        <v>0</v>
      </c>
      <c r="G4" s="1" t="str">
        <f t="shared" ca="1" si="0"/>
        <v>2土方開挖</v>
      </c>
    </row>
    <row r="5" spans="1:7" x14ac:dyDescent="0.25">
      <c r="A5" s="3">
        <f t="shared" ref="A5:A20" si="1">ROW()-4</f>
        <v>1</v>
      </c>
      <c r="B5" s="3" t="s">
        <v>169</v>
      </c>
      <c r="C5" s="13">
        <v>45238</v>
      </c>
      <c r="D5" s="3" t="s">
        <v>357</v>
      </c>
      <c r="E5" s="3" t="s">
        <v>27</v>
      </c>
      <c r="F5" s="1">
        <v>1</v>
      </c>
      <c r="G5" s="1" t="str">
        <f t="shared" ca="1" si="0"/>
        <v>2土方開挖</v>
      </c>
    </row>
    <row r="6" spans="1:7" x14ac:dyDescent="0.25">
      <c r="A6" s="3">
        <f t="shared" si="1"/>
        <v>2</v>
      </c>
      <c r="B6" s="3" t="s">
        <v>165</v>
      </c>
      <c r="C6" s="13">
        <v>45243</v>
      </c>
      <c r="D6" s="3" t="s">
        <v>357</v>
      </c>
      <c r="E6" s="3" t="s">
        <v>27</v>
      </c>
      <c r="F6" s="1">
        <v>2</v>
      </c>
      <c r="G6" s="1" t="str">
        <f t="shared" ca="1" si="0"/>
        <v>土方開挖</v>
      </c>
    </row>
    <row r="7" spans="1:7" x14ac:dyDescent="0.25">
      <c r="A7" s="3">
        <f t="shared" si="1"/>
        <v>3</v>
      </c>
      <c r="B7" s="3" t="s">
        <v>166</v>
      </c>
      <c r="C7" s="13">
        <v>45246</v>
      </c>
      <c r="D7" s="3" t="s">
        <v>357</v>
      </c>
      <c r="E7" s="3"/>
      <c r="F7" s="1">
        <v>3</v>
      </c>
      <c r="G7" s="1" t="str">
        <f t="shared" ca="1" si="0"/>
        <v>土方開挖</v>
      </c>
    </row>
    <row r="8" spans="1:7" x14ac:dyDescent="0.25">
      <c r="A8" s="3">
        <f t="shared" si="1"/>
        <v>4</v>
      </c>
      <c r="B8" s="3" t="s">
        <v>170</v>
      </c>
      <c r="C8" s="13">
        <v>45252</v>
      </c>
      <c r="D8" s="3" t="s">
        <v>356</v>
      </c>
      <c r="E8" s="3" t="s">
        <v>27</v>
      </c>
      <c r="F8" s="1">
        <v>4</v>
      </c>
      <c r="G8" s="1" t="str">
        <f t="shared" ca="1" si="0"/>
        <v>土方開挖</v>
      </c>
    </row>
    <row r="9" spans="1:7" x14ac:dyDescent="0.25">
      <c r="A9" s="3">
        <f t="shared" si="1"/>
        <v>5</v>
      </c>
      <c r="B9" s="3" t="s">
        <v>167</v>
      </c>
      <c r="C9" s="13">
        <v>45253</v>
      </c>
      <c r="D9" s="3" t="s">
        <v>356</v>
      </c>
      <c r="E9" s="3"/>
      <c r="F9" s="1">
        <v>5</v>
      </c>
      <c r="G9" s="1" t="str">
        <f t="shared" ca="1" si="0"/>
        <v>土方開挖</v>
      </c>
    </row>
    <row r="10" spans="1:7" x14ac:dyDescent="0.25">
      <c r="A10" s="3">
        <f t="shared" si="1"/>
        <v>6</v>
      </c>
      <c r="B10" s="3" t="s">
        <v>168</v>
      </c>
      <c r="C10" s="13">
        <v>45257</v>
      </c>
      <c r="D10" s="3" t="s">
        <v>356</v>
      </c>
      <c r="E10" s="3"/>
      <c r="F10" s="1">
        <v>6</v>
      </c>
      <c r="G10" s="1" t="str">
        <f t="shared" ca="1" si="0"/>
        <v>土方開挖</v>
      </c>
    </row>
    <row r="11" spans="1:7" x14ac:dyDescent="0.25">
      <c r="A11" s="3">
        <f t="shared" si="1"/>
        <v>7</v>
      </c>
      <c r="B11" s="3" t="s">
        <v>224</v>
      </c>
      <c r="C11" s="13">
        <v>45264</v>
      </c>
      <c r="D11" s="3" t="s">
        <v>358</v>
      </c>
      <c r="E11" s="3" t="s">
        <v>27</v>
      </c>
      <c r="F11" s="1">
        <v>7</v>
      </c>
      <c r="G11" s="1" t="str">
        <f t="shared" ca="1" si="0"/>
        <v>土方開挖</v>
      </c>
    </row>
    <row r="12" spans="1:7" x14ac:dyDescent="0.25">
      <c r="A12" s="3">
        <f t="shared" si="1"/>
        <v>8</v>
      </c>
      <c r="B12" s="3" t="s">
        <v>225</v>
      </c>
      <c r="C12" s="13">
        <v>45265</v>
      </c>
      <c r="D12" s="3" t="s">
        <v>358</v>
      </c>
      <c r="E12" s="3"/>
      <c r="F12" s="1">
        <v>8</v>
      </c>
      <c r="G12" s="1" t="str">
        <f t="shared" ca="1" si="0"/>
        <v>土方開挖</v>
      </c>
    </row>
    <row r="13" spans="1:7" x14ac:dyDescent="0.25">
      <c r="A13" s="3">
        <f t="shared" si="1"/>
        <v>9</v>
      </c>
      <c r="B13" s="3" t="s">
        <v>226</v>
      </c>
      <c r="C13" s="13">
        <v>45266</v>
      </c>
      <c r="D13" s="3" t="s">
        <v>359</v>
      </c>
      <c r="E13" s="3" t="s">
        <v>27</v>
      </c>
      <c r="F13" s="1">
        <v>9</v>
      </c>
      <c r="G13" s="1" t="str">
        <f t="shared" ca="1" si="0"/>
        <v>土方開挖</v>
      </c>
    </row>
    <row r="14" spans="1:7" x14ac:dyDescent="0.25">
      <c r="A14" s="3">
        <f t="shared" si="1"/>
        <v>10</v>
      </c>
      <c r="B14" s="3" t="s">
        <v>227</v>
      </c>
      <c r="C14" s="13">
        <v>45267</v>
      </c>
      <c r="D14" s="3" t="s">
        <v>359</v>
      </c>
      <c r="E14" s="3"/>
    </row>
    <row r="15" spans="1:7" x14ac:dyDescent="0.25">
      <c r="A15" s="3">
        <f t="shared" si="1"/>
        <v>11</v>
      </c>
      <c r="B15" s="3" t="s">
        <v>228</v>
      </c>
      <c r="C15" s="13">
        <v>45269</v>
      </c>
      <c r="D15" s="3" t="s">
        <v>359</v>
      </c>
      <c r="E15" s="3"/>
    </row>
    <row r="16" spans="1:7" x14ac:dyDescent="0.25">
      <c r="A16" s="3">
        <f t="shared" si="1"/>
        <v>12</v>
      </c>
      <c r="B16" s="3" t="s">
        <v>229</v>
      </c>
      <c r="C16" s="13">
        <v>45270</v>
      </c>
      <c r="D16" s="3" t="s">
        <v>359</v>
      </c>
      <c r="E16" s="3" t="s">
        <v>27</v>
      </c>
    </row>
    <row r="17" spans="1:5" x14ac:dyDescent="0.25">
      <c r="A17" s="3">
        <f t="shared" si="1"/>
        <v>13</v>
      </c>
      <c r="B17" s="3" t="s">
        <v>230</v>
      </c>
      <c r="C17" s="13">
        <v>45293</v>
      </c>
      <c r="D17" s="3" t="s">
        <v>360</v>
      </c>
      <c r="E17" s="3" t="s">
        <v>27</v>
      </c>
    </row>
    <row r="18" spans="1:5" x14ac:dyDescent="0.25">
      <c r="A18" s="3">
        <f t="shared" si="1"/>
        <v>14</v>
      </c>
      <c r="B18" s="3" t="s">
        <v>231</v>
      </c>
      <c r="C18" s="13">
        <v>45294</v>
      </c>
      <c r="D18" s="3" t="s">
        <v>361</v>
      </c>
      <c r="E18" s="3"/>
    </row>
    <row r="19" spans="1:5" x14ac:dyDescent="0.25">
      <c r="A19" s="3">
        <f t="shared" si="1"/>
        <v>15</v>
      </c>
      <c r="B19" s="3" t="s">
        <v>232</v>
      </c>
      <c r="C19" s="13">
        <v>45295</v>
      </c>
      <c r="D19" s="3" t="s">
        <v>361</v>
      </c>
      <c r="E19" s="3" t="s">
        <v>27</v>
      </c>
    </row>
    <row r="20" spans="1:5" x14ac:dyDescent="0.25">
      <c r="A20" s="3">
        <f t="shared" si="1"/>
        <v>16</v>
      </c>
      <c r="B20" s="3" t="s">
        <v>374</v>
      </c>
      <c r="C20" s="13">
        <v>45338</v>
      </c>
      <c r="D20" s="3" t="s">
        <v>379</v>
      </c>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3E245-DC58-420F-99DC-CD88FB192E87}">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\\上溢北投\d\雲端\A.上溢\1.磺港溪再造C段護岸及步道整建工程（延壽橋至三合橋）\9.施工\4.自主檢查\自主檢查統計\[磺港溪C-A自主檢查統計1130311.xlsx]3.土方回填</v>
      </c>
    </row>
    <row r="2" spans="1:7" ht="19.5" x14ac:dyDescent="0.25">
      <c r="A2" s="103" t="s">
        <v>142</v>
      </c>
      <c r="B2" s="103"/>
      <c r="C2" s="103"/>
      <c r="D2" s="103"/>
      <c r="E2" s="103"/>
      <c r="G2" s="79" t="str">
        <f ca="1">RIGHT(F1,LEN(F1)-FIND("]",F1))</f>
        <v>3.土方回填</v>
      </c>
    </row>
    <row r="3" spans="1:7" ht="21" x14ac:dyDescent="0.25">
      <c r="A3" s="104" t="str">
        <f ca="1">G13&amp;"自主檢查表統計"</f>
        <v>土方回填自主檢查表統計</v>
      </c>
      <c r="B3" s="104"/>
      <c r="C3" s="104"/>
      <c r="D3" s="104"/>
      <c r="E3" s="104"/>
      <c r="F3" s="1" t="s">
        <v>144</v>
      </c>
      <c r="G3" s="1" t="str">
        <f t="shared" ref="G3:G13" ca="1" si="0">SUBSTITUTE(G2,F3,"")</f>
        <v>3土方回填</v>
      </c>
    </row>
    <row r="4" spans="1:7" x14ac:dyDescent="0.25">
      <c r="A4" s="3" t="s">
        <v>18</v>
      </c>
      <c r="B4" s="3" t="s">
        <v>2</v>
      </c>
      <c r="C4" s="13" t="s">
        <v>17</v>
      </c>
      <c r="D4" s="3" t="s">
        <v>16</v>
      </c>
      <c r="E4" s="3" t="s">
        <v>15</v>
      </c>
      <c r="F4" s="1">
        <v>0</v>
      </c>
      <c r="G4" s="1" t="str">
        <f t="shared" ca="1" si="0"/>
        <v>3土方回填</v>
      </c>
    </row>
    <row r="5" spans="1:7" x14ac:dyDescent="0.25">
      <c r="A5" s="3"/>
      <c r="B5" s="3" t="s">
        <v>145</v>
      </c>
      <c r="C5" s="13"/>
      <c r="D5" s="3"/>
      <c r="E5" s="3"/>
      <c r="F5" s="1">
        <v>1</v>
      </c>
      <c r="G5" s="1" t="str">
        <f t="shared" ca="1" si="0"/>
        <v>3土方回填</v>
      </c>
    </row>
    <row r="6" spans="1:7" x14ac:dyDescent="0.25">
      <c r="A6" s="3"/>
      <c r="B6" s="3"/>
      <c r="C6" s="13"/>
      <c r="D6" s="3"/>
      <c r="E6" s="3"/>
      <c r="F6" s="1">
        <v>2</v>
      </c>
      <c r="G6" s="1" t="str">
        <f t="shared" ca="1" si="0"/>
        <v>3土方回填</v>
      </c>
    </row>
    <row r="7" spans="1:7" x14ac:dyDescent="0.25">
      <c r="A7" s="3"/>
      <c r="B7" s="3"/>
      <c r="C7" s="13"/>
      <c r="D7" s="3"/>
      <c r="E7" s="3"/>
      <c r="F7" s="1">
        <v>3</v>
      </c>
      <c r="G7" s="1" t="str">
        <f t="shared" ca="1" si="0"/>
        <v>土方回填</v>
      </c>
    </row>
    <row r="8" spans="1:7" x14ac:dyDescent="0.25">
      <c r="A8" s="3"/>
      <c r="B8" s="3"/>
      <c r="C8" s="13"/>
      <c r="D8" s="3"/>
      <c r="E8" s="3"/>
      <c r="F8" s="1">
        <v>4</v>
      </c>
      <c r="G8" s="1" t="str">
        <f t="shared" ca="1" si="0"/>
        <v>土方回填</v>
      </c>
    </row>
    <row r="9" spans="1:7" x14ac:dyDescent="0.25">
      <c r="A9" s="3"/>
      <c r="B9" s="3"/>
      <c r="C9" s="13"/>
      <c r="D9" s="3"/>
      <c r="E9" s="3"/>
      <c r="F9" s="1">
        <v>5</v>
      </c>
      <c r="G9" s="1" t="str">
        <f t="shared" ca="1" si="0"/>
        <v>土方回填</v>
      </c>
    </row>
    <row r="10" spans="1:7" x14ac:dyDescent="0.25">
      <c r="A10" s="3"/>
      <c r="B10" s="3"/>
      <c r="C10" s="13"/>
      <c r="D10" s="3"/>
      <c r="E10" s="3"/>
      <c r="F10" s="1">
        <v>6</v>
      </c>
      <c r="G10" s="1" t="str">
        <f t="shared" ca="1" si="0"/>
        <v>土方回填</v>
      </c>
    </row>
    <row r="11" spans="1:7" x14ac:dyDescent="0.25">
      <c r="A11" s="3"/>
      <c r="B11" s="3"/>
      <c r="C11" s="13"/>
      <c r="D11" s="3"/>
      <c r="E11" s="3"/>
      <c r="F11" s="1">
        <v>7</v>
      </c>
      <c r="G11" s="1" t="str">
        <f t="shared" ca="1" si="0"/>
        <v>土方回填</v>
      </c>
    </row>
    <row r="12" spans="1:7" x14ac:dyDescent="0.25">
      <c r="A12" s="3"/>
      <c r="B12" s="3"/>
      <c r="C12" s="13"/>
      <c r="D12" s="3"/>
      <c r="E12" s="3"/>
      <c r="F12" s="1">
        <v>8</v>
      </c>
      <c r="G12" s="1" t="str">
        <f t="shared" ca="1" si="0"/>
        <v>土方回填</v>
      </c>
    </row>
    <row r="13" spans="1:7" x14ac:dyDescent="0.25">
      <c r="A13" s="3"/>
      <c r="B13" s="3"/>
      <c r="C13" s="13"/>
      <c r="D13" s="3"/>
      <c r="E13" s="3"/>
      <c r="F13" s="1">
        <v>9</v>
      </c>
      <c r="G13" s="1" t="str">
        <f t="shared" ca="1" si="0"/>
        <v>土方回填</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6E269-7388-4166-85F8-9A465BD9FB21}">
  <sheetPr>
    <tabColor theme="4" tint="-0.249977111117893"/>
    <pageSetUpPr fitToPage="1"/>
  </sheetPr>
  <dimension ref="A1:G34"/>
  <sheetViews>
    <sheetView view="pageBreakPreview" zoomScale="175" zoomScaleNormal="100" zoomScaleSheetLayoutView="175" zoomScalePageLayoutView="130" workbookViewId="0">
      <pane ySplit="4" topLeftCell="A10"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\\上溢北投\d\雲端\A.上溢\1.磺港溪再造C段護岸及步道整建工程（延壽橋至三合橋）\9.施工\4.自主檢查\自主檢查統計\[磺港溪C-A自主檢查統計1130311.xlsx]4.鋼筋</v>
      </c>
    </row>
    <row r="2" spans="1:7" ht="19.5" x14ac:dyDescent="0.25">
      <c r="A2" s="103" t="s">
        <v>142</v>
      </c>
      <c r="B2" s="103"/>
      <c r="C2" s="103"/>
      <c r="D2" s="103"/>
      <c r="E2" s="103"/>
      <c r="G2" s="79" t="str">
        <f ca="1">RIGHT(F1,LEN(F1)-FIND("]",F1))</f>
        <v>4.鋼筋</v>
      </c>
    </row>
    <row r="3" spans="1:7" ht="21" x14ac:dyDescent="0.25">
      <c r="A3" s="104" t="str">
        <f ca="1">G13&amp;"自主檢查表統計"</f>
        <v>鋼筋自主檢查表統計</v>
      </c>
      <c r="B3" s="104"/>
      <c r="C3" s="104"/>
      <c r="D3" s="104"/>
      <c r="E3" s="104"/>
      <c r="F3" s="1" t="s">
        <v>144</v>
      </c>
      <c r="G3" s="1" t="str">
        <f t="shared" ref="G3:G6" ca="1" si="0">SUBSTITUTE(G2,F3,"")</f>
        <v>4鋼筋</v>
      </c>
    </row>
    <row r="4" spans="1:7" x14ac:dyDescent="0.25">
      <c r="A4" s="3" t="s">
        <v>18</v>
      </c>
      <c r="B4" s="3" t="s">
        <v>2</v>
      </c>
      <c r="C4" s="13" t="s">
        <v>17</v>
      </c>
      <c r="D4" s="3" t="s">
        <v>16</v>
      </c>
      <c r="E4" s="3" t="s">
        <v>15</v>
      </c>
      <c r="F4" s="1">
        <v>0</v>
      </c>
      <c r="G4" s="1" t="str">
        <f t="shared" ca="1" si="0"/>
        <v>4鋼筋</v>
      </c>
    </row>
    <row r="5" spans="1:7" x14ac:dyDescent="0.25">
      <c r="A5" s="3">
        <f>ROW()-4</f>
        <v>1</v>
      </c>
      <c r="B5" s="3" t="s">
        <v>299</v>
      </c>
      <c r="C5" s="13">
        <v>45285</v>
      </c>
      <c r="D5" s="3" t="s">
        <v>241</v>
      </c>
      <c r="E5" s="3"/>
      <c r="F5" s="1">
        <v>1</v>
      </c>
      <c r="G5" s="1" t="str">
        <f t="shared" ca="1" si="0"/>
        <v>4鋼筋</v>
      </c>
    </row>
    <row r="6" spans="1:7" x14ac:dyDescent="0.25">
      <c r="A6" s="3">
        <f t="shared" ref="A6:A18" si="1">ROW()-4</f>
        <v>2</v>
      </c>
      <c r="B6" s="3" t="s">
        <v>300</v>
      </c>
      <c r="C6" s="13">
        <v>45286</v>
      </c>
      <c r="D6" s="3" t="s">
        <v>241</v>
      </c>
      <c r="E6" s="3" t="s">
        <v>27</v>
      </c>
      <c r="F6" s="1">
        <v>2</v>
      </c>
      <c r="G6" s="1" t="str">
        <f t="shared" ca="1" si="0"/>
        <v>4鋼筋</v>
      </c>
    </row>
    <row r="7" spans="1:7" x14ac:dyDescent="0.25">
      <c r="A7" s="3">
        <f t="shared" si="1"/>
        <v>3</v>
      </c>
      <c r="B7" s="3" t="s">
        <v>387</v>
      </c>
      <c r="C7" s="13">
        <v>45286</v>
      </c>
      <c r="D7" s="3" t="s">
        <v>373</v>
      </c>
      <c r="E7" s="3" t="s">
        <v>27</v>
      </c>
      <c r="F7" s="1">
        <v>3</v>
      </c>
      <c r="G7" s="1" t="str">
        <f t="shared" ref="G7:G13" ca="1" si="2">SUBSTITUTE(G6,F7,"")</f>
        <v>4鋼筋</v>
      </c>
    </row>
    <row r="8" spans="1:7" x14ac:dyDescent="0.25">
      <c r="A8" s="3">
        <f t="shared" si="1"/>
        <v>4</v>
      </c>
      <c r="B8" s="3" t="s">
        <v>301</v>
      </c>
      <c r="C8" s="13">
        <v>45299</v>
      </c>
      <c r="D8" s="3" t="s">
        <v>246</v>
      </c>
      <c r="E8" s="3" t="s">
        <v>27</v>
      </c>
      <c r="F8" s="1">
        <v>4</v>
      </c>
      <c r="G8" s="1" t="str">
        <f t="shared" ca="1" si="2"/>
        <v>鋼筋</v>
      </c>
    </row>
    <row r="9" spans="1:7" x14ac:dyDescent="0.25">
      <c r="A9" s="3">
        <f t="shared" si="1"/>
        <v>5</v>
      </c>
      <c r="B9" s="3" t="s">
        <v>383</v>
      </c>
      <c r="C9" s="13">
        <v>45300</v>
      </c>
      <c r="D9" s="3" t="s">
        <v>244</v>
      </c>
      <c r="E9" s="3" t="s">
        <v>27</v>
      </c>
      <c r="F9" s="1">
        <v>5</v>
      </c>
      <c r="G9" s="1" t="str">
        <f t="shared" ca="1" si="2"/>
        <v>鋼筋</v>
      </c>
    </row>
    <row r="10" spans="1:7" x14ac:dyDescent="0.25">
      <c r="A10" s="3">
        <f t="shared" si="1"/>
        <v>6</v>
      </c>
      <c r="B10" s="3" t="s">
        <v>302</v>
      </c>
      <c r="C10" s="13">
        <v>45307</v>
      </c>
      <c r="D10" s="3" t="s">
        <v>252</v>
      </c>
      <c r="E10" s="3" t="s">
        <v>382</v>
      </c>
      <c r="F10" s="1">
        <v>6</v>
      </c>
      <c r="G10" s="1" t="str">
        <f t="shared" ca="1" si="2"/>
        <v>鋼筋</v>
      </c>
    </row>
    <row r="11" spans="1:7" x14ac:dyDescent="0.25">
      <c r="A11" s="3">
        <f t="shared" si="1"/>
        <v>7</v>
      </c>
      <c r="B11" s="3" t="s">
        <v>303</v>
      </c>
      <c r="C11" s="13">
        <v>45310</v>
      </c>
      <c r="D11" s="3" t="s">
        <v>296</v>
      </c>
      <c r="E11" s="3" t="s">
        <v>27</v>
      </c>
      <c r="F11" s="1">
        <v>7</v>
      </c>
      <c r="G11" s="1" t="str">
        <f t="shared" ca="1" si="2"/>
        <v>鋼筋</v>
      </c>
    </row>
    <row r="12" spans="1:7" x14ac:dyDescent="0.25">
      <c r="A12" s="3">
        <f t="shared" si="1"/>
        <v>8</v>
      </c>
      <c r="B12" s="3" t="s">
        <v>304</v>
      </c>
      <c r="C12" s="13">
        <v>45310</v>
      </c>
      <c r="D12" s="3" t="s">
        <v>297</v>
      </c>
      <c r="E12" s="3" t="s">
        <v>27</v>
      </c>
      <c r="F12" s="1">
        <v>8</v>
      </c>
      <c r="G12" s="1" t="str">
        <f t="shared" ca="1" si="2"/>
        <v>鋼筋</v>
      </c>
    </row>
    <row r="13" spans="1:7" x14ac:dyDescent="0.25">
      <c r="A13" s="3">
        <f t="shared" si="1"/>
        <v>9</v>
      </c>
      <c r="B13" s="3" t="s">
        <v>305</v>
      </c>
      <c r="C13" s="13">
        <v>45310</v>
      </c>
      <c r="D13" s="3" t="s">
        <v>298</v>
      </c>
      <c r="E13" s="3" t="s">
        <v>27</v>
      </c>
      <c r="F13" s="1">
        <v>9</v>
      </c>
      <c r="G13" s="1" t="str">
        <f t="shared" ca="1" si="2"/>
        <v>鋼筋</v>
      </c>
    </row>
    <row r="14" spans="1:7" x14ac:dyDescent="0.25">
      <c r="A14" s="3">
        <f t="shared" si="1"/>
        <v>10</v>
      </c>
      <c r="B14" s="3" t="s">
        <v>384</v>
      </c>
      <c r="C14" s="13">
        <v>45321</v>
      </c>
      <c r="D14" s="3" t="s">
        <v>370</v>
      </c>
      <c r="E14" s="3" t="s">
        <v>27</v>
      </c>
    </row>
    <row r="15" spans="1:7" x14ac:dyDescent="0.25">
      <c r="A15" s="3">
        <f t="shared" si="1"/>
        <v>11</v>
      </c>
      <c r="B15" s="3" t="s">
        <v>385</v>
      </c>
      <c r="C15" s="13">
        <v>45321</v>
      </c>
      <c r="D15" s="3" t="s">
        <v>372</v>
      </c>
      <c r="E15" s="3" t="s">
        <v>27</v>
      </c>
    </row>
    <row r="16" spans="1:7" x14ac:dyDescent="0.25">
      <c r="A16" s="3">
        <f t="shared" si="1"/>
        <v>12</v>
      </c>
      <c r="B16" s="3" t="s">
        <v>386</v>
      </c>
      <c r="C16" s="13">
        <v>45321</v>
      </c>
      <c r="D16" s="3" t="s">
        <v>371</v>
      </c>
      <c r="E16" s="3" t="s">
        <v>27</v>
      </c>
    </row>
    <row r="17" spans="1:5" x14ac:dyDescent="0.25">
      <c r="A17" s="3">
        <f t="shared" si="1"/>
        <v>13</v>
      </c>
      <c r="B17" s="3" t="s">
        <v>388</v>
      </c>
      <c r="C17" s="13">
        <v>45342</v>
      </c>
      <c r="D17" s="3" t="s">
        <v>389</v>
      </c>
      <c r="E17" s="3" t="s">
        <v>27</v>
      </c>
    </row>
    <row r="18" spans="1:5" x14ac:dyDescent="0.25">
      <c r="A18" s="3">
        <f t="shared" si="1"/>
        <v>14</v>
      </c>
      <c r="B18" s="3" t="s">
        <v>413</v>
      </c>
      <c r="C18" s="13">
        <v>45357</v>
      </c>
      <c r="D18" s="3" t="s">
        <v>414</v>
      </c>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07B41-C168-4FB4-A85F-67E395F3D374}">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\\上溢北投\d\雲端\A.上溢\1.磺港溪再造C段護岸及步道整建工程（延壽橋至三合橋）\9.施工\4.自主檢查\自主檢查統計\[磺港溪C-A自主檢查統計1130311.xlsx]5.模板</v>
      </c>
    </row>
    <row r="2" spans="1:7" ht="19.5" x14ac:dyDescent="0.25">
      <c r="A2" s="103" t="s">
        <v>142</v>
      </c>
      <c r="B2" s="103"/>
      <c r="C2" s="103"/>
      <c r="D2" s="103"/>
      <c r="E2" s="103"/>
      <c r="G2" s="79" t="str">
        <f ca="1">RIGHT(F1,LEN(F1)-FIND("]",F1))</f>
        <v>5.模板</v>
      </c>
    </row>
    <row r="3" spans="1:7" ht="21" x14ac:dyDescent="0.25">
      <c r="A3" s="104" t="str">
        <f ca="1">G13&amp;"自主檢查表統計"</f>
        <v>模板自主檢查表統計</v>
      </c>
      <c r="B3" s="104"/>
      <c r="C3" s="104"/>
      <c r="D3" s="104"/>
      <c r="E3" s="104"/>
      <c r="F3" s="1" t="s">
        <v>144</v>
      </c>
      <c r="G3" s="1" t="str">
        <f t="shared" ref="G3:G13" ca="1" si="0">SUBSTITUTE(G2,F3,"")</f>
        <v>5模板</v>
      </c>
    </row>
    <row r="4" spans="1:7" x14ac:dyDescent="0.25">
      <c r="A4" s="3" t="s">
        <v>18</v>
      </c>
      <c r="B4" s="3" t="s">
        <v>2</v>
      </c>
      <c r="C4" s="13" t="s">
        <v>17</v>
      </c>
      <c r="D4" s="3" t="s">
        <v>16</v>
      </c>
      <c r="E4" s="3" t="s">
        <v>15</v>
      </c>
      <c r="F4" s="1">
        <v>0</v>
      </c>
      <c r="G4" s="1" t="str">
        <f t="shared" ca="1" si="0"/>
        <v>5模板</v>
      </c>
    </row>
    <row r="5" spans="1:7" x14ac:dyDescent="0.25">
      <c r="A5" s="3">
        <f t="shared" ref="A5:A6" si="1">ROW()-4</f>
        <v>1</v>
      </c>
      <c r="B5" s="3" t="s">
        <v>409</v>
      </c>
      <c r="C5" s="13">
        <v>45343</v>
      </c>
      <c r="D5" s="3" t="s">
        <v>389</v>
      </c>
      <c r="E5" s="3" t="s">
        <v>27</v>
      </c>
      <c r="F5" s="1">
        <v>1</v>
      </c>
      <c r="G5" s="1" t="str">
        <f t="shared" ca="1" si="0"/>
        <v>5模板</v>
      </c>
    </row>
    <row r="6" spans="1:7" x14ac:dyDescent="0.25">
      <c r="A6" s="3">
        <f t="shared" si="1"/>
        <v>2</v>
      </c>
      <c r="B6" s="3" t="s">
        <v>416</v>
      </c>
      <c r="C6" s="13">
        <v>45358</v>
      </c>
      <c r="D6" s="3" t="s">
        <v>414</v>
      </c>
      <c r="E6" s="3"/>
      <c r="F6" s="1">
        <v>2</v>
      </c>
      <c r="G6" s="1" t="str">
        <f t="shared" ca="1" si="0"/>
        <v>5模板</v>
      </c>
    </row>
    <row r="7" spans="1:7" x14ac:dyDescent="0.25">
      <c r="A7" s="3"/>
      <c r="B7" s="3"/>
      <c r="C7" s="13"/>
      <c r="D7" s="3"/>
      <c r="E7" s="3"/>
      <c r="F7" s="1">
        <v>3</v>
      </c>
      <c r="G7" s="1" t="str">
        <f t="shared" ca="1" si="0"/>
        <v>5模板</v>
      </c>
    </row>
    <row r="8" spans="1:7" x14ac:dyDescent="0.25">
      <c r="A8" s="3"/>
      <c r="B8" s="3"/>
      <c r="C8" s="13"/>
      <c r="D8" s="3"/>
      <c r="E8" s="3"/>
      <c r="F8" s="1">
        <v>4</v>
      </c>
      <c r="G8" s="1" t="str">
        <f t="shared" ca="1" si="0"/>
        <v>5模板</v>
      </c>
    </row>
    <row r="9" spans="1:7" x14ac:dyDescent="0.25">
      <c r="A9" s="3"/>
      <c r="B9" s="3"/>
      <c r="C9" s="13"/>
      <c r="D9" s="3"/>
      <c r="E9" s="3"/>
      <c r="F9" s="1">
        <v>5</v>
      </c>
      <c r="G9" s="1" t="str">
        <f t="shared" ca="1" si="0"/>
        <v>模板</v>
      </c>
    </row>
    <row r="10" spans="1:7" x14ac:dyDescent="0.25">
      <c r="A10" s="3"/>
      <c r="B10" s="3"/>
      <c r="C10" s="13"/>
      <c r="D10" s="3"/>
      <c r="E10" s="3"/>
      <c r="F10" s="1">
        <v>6</v>
      </c>
      <c r="G10" s="1" t="str">
        <f t="shared" ca="1" si="0"/>
        <v>模板</v>
      </c>
    </row>
    <row r="11" spans="1:7" x14ac:dyDescent="0.25">
      <c r="A11" s="3"/>
      <c r="B11" s="3"/>
      <c r="C11" s="13"/>
      <c r="D11" s="3"/>
      <c r="E11" s="3"/>
      <c r="F11" s="1">
        <v>7</v>
      </c>
      <c r="G11" s="1" t="str">
        <f t="shared" ca="1" si="0"/>
        <v>模板</v>
      </c>
    </row>
    <row r="12" spans="1:7" x14ac:dyDescent="0.25">
      <c r="A12" s="3"/>
      <c r="B12" s="3"/>
      <c r="C12" s="13"/>
      <c r="D12" s="3"/>
      <c r="E12" s="3"/>
      <c r="F12" s="1">
        <v>8</v>
      </c>
      <c r="G12" s="1" t="str">
        <f t="shared" ca="1" si="0"/>
        <v>模板</v>
      </c>
    </row>
    <row r="13" spans="1:7" x14ac:dyDescent="0.25">
      <c r="A13" s="3"/>
      <c r="B13" s="3"/>
      <c r="C13" s="13"/>
      <c r="D13" s="3"/>
      <c r="E13" s="3"/>
      <c r="F13" s="1">
        <v>9</v>
      </c>
      <c r="G13" s="1" t="str">
        <f t="shared" ca="1" si="0"/>
        <v>模板</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C4BE3-8F97-4791-B60F-7219466418DF}">
  <sheetPr>
    <tabColor theme="4" tint="-0.249977111117893"/>
    <pageSetUpPr fitToPage="1"/>
  </sheetPr>
  <dimension ref="A1:G34"/>
  <sheetViews>
    <sheetView view="pageBreakPreview" zoomScale="175" zoomScaleNormal="100" zoomScaleSheetLayoutView="175" zoomScalePageLayoutView="130" workbookViewId="0">
      <pane ySplit="4" topLeftCell="A8"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41.625" style="1" bestFit="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\\上溢北投\d\雲端\A.上溢\1.磺港溪再造C段護岸及步道整建工程（延壽橋至三合橋）\9.施工\4.自主檢查\自主檢查統計\[磺港溪C-A自主檢查統計1130311.xlsx]6.混凝土</v>
      </c>
    </row>
    <row r="2" spans="1:7" ht="19.5" x14ac:dyDescent="0.25">
      <c r="A2" s="103" t="s">
        <v>142</v>
      </c>
      <c r="B2" s="103"/>
      <c r="C2" s="103"/>
      <c r="D2" s="103"/>
      <c r="E2" s="103"/>
      <c r="G2" s="79" t="str">
        <f ca="1">RIGHT(F1,LEN(F1)-FIND("]",F1))</f>
        <v>6.混凝土</v>
      </c>
    </row>
    <row r="3" spans="1:7" ht="21" x14ac:dyDescent="0.25">
      <c r="A3" s="104" t="str">
        <f ca="1">G13&amp;"自主檢查表統計"</f>
        <v>混凝土自主檢查表統計</v>
      </c>
      <c r="B3" s="104"/>
      <c r="C3" s="104"/>
      <c r="D3" s="104"/>
      <c r="E3" s="104"/>
      <c r="F3" s="1" t="s">
        <v>144</v>
      </c>
      <c r="G3" s="1" t="str">
        <f t="shared" ref="G3:G13" ca="1" si="0">SUBSTITUTE(G2,F3,"")</f>
        <v>6混凝土</v>
      </c>
    </row>
    <row r="4" spans="1:7" x14ac:dyDescent="0.25">
      <c r="A4" s="3" t="s">
        <v>18</v>
      </c>
      <c r="B4" s="3" t="s">
        <v>2</v>
      </c>
      <c r="C4" s="13" t="s">
        <v>17</v>
      </c>
      <c r="D4" s="3" t="s">
        <v>16</v>
      </c>
      <c r="E4" s="3" t="s">
        <v>15</v>
      </c>
      <c r="F4" s="1">
        <v>0</v>
      </c>
      <c r="G4" s="1" t="str">
        <f t="shared" ca="1" si="0"/>
        <v>6混凝土</v>
      </c>
    </row>
    <row r="5" spans="1:7" x14ac:dyDescent="0.25">
      <c r="A5" s="3">
        <f t="shared" ref="A5:A18" si="1">ROW()-4</f>
        <v>1</v>
      </c>
      <c r="B5" s="3" t="s">
        <v>233</v>
      </c>
      <c r="C5" s="13">
        <v>45289</v>
      </c>
      <c r="D5" s="3" t="s">
        <v>234</v>
      </c>
      <c r="E5" s="3" t="s">
        <v>27</v>
      </c>
      <c r="F5" s="1">
        <v>1</v>
      </c>
      <c r="G5" s="1" t="str">
        <f t="shared" ca="1" si="0"/>
        <v>6混凝土</v>
      </c>
    </row>
    <row r="6" spans="1:7" x14ac:dyDescent="0.25">
      <c r="A6" s="3">
        <f t="shared" si="1"/>
        <v>2</v>
      </c>
      <c r="B6" s="3" t="s">
        <v>235</v>
      </c>
      <c r="C6" s="13">
        <v>45296</v>
      </c>
      <c r="D6" s="3" t="s">
        <v>236</v>
      </c>
      <c r="E6" s="3" t="s">
        <v>27</v>
      </c>
      <c r="F6" s="1">
        <v>2</v>
      </c>
      <c r="G6" s="1" t="str">
        <f t="shared" ca="1" si="0"/>
        <v>6混凝土</v>
      </c>
    </row>
    <row r="7" spans="1:7" x14ac:dyDescent="0.25">
      <c r="A7" s="3">
        <f t="shared" si="1"/>
        <v>3</v>
      </c>
      <c r="B7" s="3" t="s">
        <v>237</v>
      </c>
      <c r="C7" s="13">
        <v>45300</v>
      </c>
      <c r="D7" s="3" t="s">
        <v>238</v>
      </c>
      <c r="E7" s="3" t="s">
        <v>27</v>
      </c>
      <c r="F7" s="1">
        <v>3</v>
      </c>
      <c r="G7" s="1" t="str">
        <f t="shared" ca="1" si="0"/>
        <v>6混凝土</v>
      </c>
    </row>
    <row r="8" spans="1:7" x14ac:dyDescent="0.25">
      <c r="A8" s="3">
        <f t="shared" si="1"/>
        <v>4</v>
      </c>
      <c r="B8" s="3" t="s">
        <v>239</v>
      </c>
      <c r="C8" s="13">
        <v>45303</v>
      </c>
      <c r="D8" s="3" t="s">
        <v>240</v>
      </c>
      <c r="E8" s="3" t="s">
        <v>294</v>
      </c>
      <c r="F8" s="1">
        <v>4</v>
      </c>
      <c r="G8" s="1" t="str">
        <f t="shared" ca="1" si="0"/>
        <v>6混凝土</v>
      </c>
    </row>
    <row r="9" spans="1:7" x14ac:dyDescent="0.25">
      <c r="A9" s="3">
        <f t="shared" si="1"/>
        <v>5</v>
      </c>
      <c r="B9" s="3" t="s">
        <v>293</v>
      </c>
      <c r="C9" s="13">
        <v>45309</v>
      </c>
      <c r="D9" s="3" t="s">
        <v>292</v>
      </c>
      <c r="E9" s="3" t="s">
        <v>27</v>
      </c>
      <c r="F9" s="1">
        <v>5</v>
      </c>
      <c r="G9" s="1" t="str">
        <f t="shared" ca="1" si="0"/>
        <v>6混凝土</v>
      </c>
    </row>
    <row r="10" spans="1:7" x14ac:dyDescent="0.25">
      <c r="A10" s="3">
        <f t="shared" si="1"/>
        <v>6</v>
      </c>
      <c r="B10" s="3" t="s">
        <v>310</v>
      </c>
      <c r="C10" s="13">
        <v>45311</v>
      </c>
      <c r="D10" s="3" t="s">
        <v>306</v>
      </c>
      <c r="E10" s="3" t="s">
        <v>27</v>
      </c>
      <c r="F10" s="1">
        <v>6</v>
      </c>
      <c r="G10" s="1" t="str">
        <f t="shared" ca="1" si="0"/>
        <v>混凝土</v>
      </c>
    </row>
    <row r="11" spans="1:7" x14ac:dyDescent="0.25">
      <c r="A11" s="3">
        <f t="shared" si="1"/>
        <v>7</v>
      </c>
      <c r="B11" s="3" t="s">
        <v>311</v>
      </c>
      <c r="C11" s="13">
        <v>45314</v>
      </c>
      <c r="D11" s="3" t="s">
        <v>307</v>
      </c>
      <c r="E11" s="3" t="s">
        <v>27</v>
      </c>
      <c r="F11" s="1">
        <v>7</v>
      </c>
      <c r="G11" s="1" t="str">
        <f t="shared" ca="1" si="0"/>
        <v>混凝土</v>
      </c>
    </row>
    <row r="12" spans="1:7" x14ac:dyDescent="0.25">
      <c r="A12" s="3">
        <f t="shared" si="1"/>
        <v>8</v>
      </c>
      <c r="B12" s="3" t="s">
        <v>343</v>
      </c>
      <c r="C12" s="13">
        <v>45320</v>
      </c>
      <c r="D12" s="3" t="s">
        <v>344</v>
      </c>
      <c r="E12" s="3" t="s">
        <v>27</v>
      </c>
      <c r="F12" s="1">
        <v>8</v>
      </c>
      <c r="G12" s="1" t="str">
        <f t="shared" ca="1" si="0"/>
        <v>混凝土</v>
      </c>
    </row>
    <row r="13" spans="1:7" x14ac:dyDescent="0.25">
      <c r="A13" s="3">
        <f t="shared" si="1"/>
        <v>9</v>
      </c>
      <c r="B13" s="3" t="s">
        <v>345</v>
      </c>
      <c r="C13" s="13">
        <v>45321</v>
      </c>
      <c r="D13" s="3" t="s">
        <v>346</v>
      </c>
      <c r="E13" s="3" t="s">
        <v>27</v>
      </c>
      <c r="F13" s="1">
        <v>9</v>
      </c>
      <c r="G13" s="1" t="str">
        <f t="shared" ca="1" si="0"/>
        <v>混凝土</v>
      </c>
    </row>
    <row r="14" spans="1:7" x14ac:dyDescent="0.25">
      <c r="A14" s="3">
        <f t="shared" si="1"/>
        <v>10</v>
      </c>
      <c r="B14" s="3" t="s">
        <v>351</v>
      </c>
      <c r="C14" s="13">
        <v>45323</v>
      </c>
      <c r="D14" s="3" t="s">
        <v>350</v>
      </c>
      <c r="E14" s="3" t="s">
        <v>27</v>
      </c>
    </row>
    <row r="15" spans="1:7" x14ac:dyDescent="0.25">
      <c r="A15" s="3">
        <f t="shared" si="1"/>
        <v>11</v>
      </c>
      <c r="B15" s="3" t="s">
        <v>375</v>
      </c>
      <c r="C15" s="13">
        <v>45339</v>
      </c>
      <c r="D15" s="3" t="s">
        <v>381</v>
      </c>
      <c r="E15" s="3" t="s">
        <v>27</v>
      </c>
    </row>
    <row r="16" spans="1:7" x14ac:dyDescent="0.25">
      <c r="A16" s="3">
        <f t="shared" si="1"/>
        <v>12</v>
      </c>
      <c r="B16" s="3" t="s">
        <v>390</v>
      </c>
      <c r="C16" s="13">
        <v>45344</v>
      </c>
      <c r="D16" s="3" t="s">
        <v>389</v>
      </c>
      <c r="E16" s="3" t="s">
        <v>27</v>
      </c>
    </row>
    <row r="17" spans="1:5" x14ac:dyDescent="0.25">
      <c r="A17" s="3">
        <f t="shared" si="1"/>
        <v>13</v>
      </c>
      <c r="B17" s="3" t="s">
        <v>412</v>
      </c>
      <c r="C17" s="13">
        <v>45356</v>
      </c>
      <c r="D17" s="3" t="s">
        <v>415</v>
      </c>
      <c r="E17" s="3"/>
    </row>
    <row r="18" spans="1:5" x14ac:dyDescent="0.25">
      <c r="A18" s="3">
        <f t="shared" si="1"/>
        <v>14</v>
      </c>
      <c r="B18" s="3" t="s">
        <v>417</v>
      </c>
      <c r="C18" s="13">
        <v>45358</v>
      </c>
      <c r="D18" s="3" t="s">
        <v>414</v>
      </c>
      <c r="E18" s="3" t="s">
        <v>27</v>
      </c>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1"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9B02C-1E4E-4F26-9453-BD2E54FA950A}">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\\上溢北投\d\雲端\A.上溢\1.磺港溪再造C段護岸及步道整建工程（延壽橋至三合橋）\9.施工\4.自主檢查\自主檢查統計\[磺港溪C-A自主檢查統計1130311.xlsx]7.植筋</v>
      </c>
    </row>
    <row r="2" spans="1:7" ht="19.5" x14ac:dyDescent="0.25">
      <c r="A2" s="103" t="s">
        <v>142</v>
      </c>
      <c r="B2" s="103"/>
      <c r="C2" s="103"/>
      <c r="D2" s="103"/>
      <c r="E2" s="103"/>
      <c r="G2" s="79" t="str">
        <f ca="1">RIGHT(F1,LEN(F1)-FIND("]",F1))</f>
        <v>7.植筋</v>
      </c>
    </row>
    <row r="3" spans="1:7" ht="21" x14ac:dyDescent="0.25">
      <c r="A3" s="104" t="str">
        <f ca="1">G13&amp;"自主檢查表統計"</f>
        <v>植筋自主檢查表統計</v>
      </c>
      <c r="B3" s="104"/>
      <c r="C3" s="104"/>
      <c r="D3" s="104"/>
      <c r="E3" s="104"/>
      <c r="F3" s="1" t="s">
        <v>144</v>
      </c>
      <c r="G3" s="1" t="str">
        <f t="shared" ref="G3:G13" ca="1" si="0">SUBSTITUTE(G2,F3,"")</f>
        <v>7植筋</v>
      </c>
    </row>
    <row r="4" spans="1:7" x14ac:dyDescent="0.25">
      <c r="A4" s="3" t="s">
        <v>18</v>
      </c>
      <c r="B4" s="3" t="s">
        <v>2</v>
      </c>
      <c r="C4" s="13" t="s">
        <v>17</v>
      </c>
      <c r="D4" s="3" t="s">
        <v>16</v>
      </c>
      <c r="E4" s="3" t="s">
        <v>15</v>
      </c>
      <c r="F4" s="1">
        <v>0</v>
      </c>
      <c r="G4" s="1" t="str">
        <f t="shared" ca="1" si="0"/>
        <v>7植筋</v>
      </c>
    </row>
    <row r="5" spans="1:7" x14ac:dyDescent="0.25">
      <c r="A5" s="3"/>
      <c r="B5" s="3" t="s">
        <v>149</v>
      </c>
      <c r="C5" s="13"/>
      <c r="D5" s="3"/>
      <c r="E5" s="3"/>
      <c r="F5" s="1">
        <v>1</v>
      </c>
      <c r="G5" s="1" t="str">
        <f t="shared" ca="1" si="0"/>
        <v>7植筋</v>
      </c>
    </row>
    <row r="6" spans="1:7" x14ac:dyDescent="0.25">
      <c r="A6" s="3"/>
      <c r="B6" s="3"/>
      <c r="C6" s="13"/>
      <c r="D6" s="3"/>
      <c r="E6" s="3"/>
      <c r="F6" s="1">
        <v>2</v>
      </c>
      <c r="G6" s="1" t="str">
        <f t="shared" ca="1" si="0"/>
        <v>7植筋</v>
      </c>
    </row>
    <row r="7" spans="1:7" x14ac:dyDescent="0.25">
      <c r="A7" s="3"/>
      <c r="B7" s="3"/>
      <c r="C7" s="13"/>
      <c r="D7" s="3"/>
      <c r="E7" s="3"/>
      <c r="F7" s="1">
        <v>3</v>
      </c>
      <c r="G7" s="1" t="str">
        <f t="shared" ca="1" si="0"/>
        <v>7植筋</v>
      </c>
    </row>
    <row r="8" spans="1:7" x14ac:dyDescent="0.25">
      <c r="A8" s="3"/>
      <c r="B8" s="3"/>
      <c r="C8" s="13"/>
      <c r="D8" s="3"/>
      <c r="E8" s="3"/>
      <c r="F8" s="1">
        <v>4</v>
      </c>
      <c r="G8" s="1" t="str">
        <f t="shared" ca="1" si="0"/>
        <v>7植筋</v>
      </c>
    </row>
    <row r="9" spans="1:7" x14ac:dyDescent="0.25">
      <c r="A9" s="3"/>
      <c r="B9" s="3"/>
      <c r="C9" s="13"/>
      <c r="D9" s="3"/>
      <c r="E9" s="3"/>
      <c r="F9" s="1">
        <v>5</v>
      </c>
      <c r="G9" s="1" t="str">
        <f t="shared" ca="1" si="0"/>
        <v>7植筋</v>
      </c>
    </row>
    <row r="10" spans="1:7" x14ac:dyDescent="0.25">
      <c r="A10" s="3"/>
      <c r="B10" s="3"/>
      <c r="C10" s="13"/>
      <c r="D10" s="3"/>
      <c r="E10" s="3"/>
      <c r="F10" s="1">
        <v>6</v>
      </c>
      <c r="G10" s="1" t="str">
        <f t="shared" ca="1" si="0"/>
        <v>7植筋</v>
      </c>
    </row>
    <row r="11" spans="1:7" x14ac:dyDescent="0.25">
      <c r="A11" s="3"/>
      <c r="B11" s="3"/>
      <c r="C11" s="13"/>
      <c r="D11" s="3"/>
      <c r="E11" s="3"/>
      <c r="F11" s="1">
        <v>7</v>
      </c>
      <c r="G11" s="1" t="str">
        <f t="shared" ca="1" si="0"/>
        <v>植筋</v>
      </c>
    </row>
    <row r="12" spans="1:7" x14ac:dyDescent="0.25">
      <c r="A12" s="3"/>
      <c r="B12" s="3"/>
      <c r="C12" s="13"/>
      <c r="D12" s="3"/>
      <c r="E12" s="3"/>
      <c r="F12" s="1">
        <v>8</v>
      </c>
      <c r="G12" s="1" t="str">
        <f t="shared" ca="1" si="0"/>
        <v>植筋</v>
      </c>
    </row>
    <row r="13" spans="1:7" x14ac:dyDescent="0.25">
      <c r="A13" s="3"/>
      <c r="B13" s="3"/>
      <c r="C13" s="13"/>
      <c r="D13" s="3"/>
      <c r="E13" s="3"/>
      <c r="F13" s="1">
        <v>9</v>
      </c>
      <c r="G13" s="1" t="str">
        <f t="shared" ca="1" si="0"/>
        <v>植筋</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19862-8E2E-42B8-AD9E-F34237670B4C}">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E6" sqref="E6"/>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6" width="9" style="1"/>
    <col min="7" max="7" width="18.375" style="1" bestFit="1" customWidth="1"/>
    <col min="8"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\\上溢北投\d\雲端\A.上溢\1.磺港溪再造C段護岸及步道整建工程（延壽橋至三合橋）\9.施工\4.自主檢查\自主檢查統計\[磺港溪C-A自主檢查統計1130311.xlsx]8.預力混凝土基樁</v>
      </c>
    </row>
    <row r="2" spans="1:7" ht="19.5" x14ac:dyDescent="0.25">
      <c r="A2" s="103" t="s">
        <v>142</v>
      </c>
      <c r="B2" s="103"/>
      <c r="C2" s="103"/>
      <c r="D2" s="103"/>
      <c r="E2" s="103"/>
      <c r="G2" s="79" t="str">
        <f ca="1">RIGHT(F1,LEN(F1)-FIND("]",F1))</f>
        <v>8.預力混凝土基樁</v>
      </c>
    </row>
    <row r="3" spans="1:7" ht="21" x14ac:dyDescent="0.25">
      <c r="A3" s="104" t="str">
        <f ca="1">G13&amp;"自主檢查表統計"</f>
        <v>預力混凝土基樁自主檢查表統計</v>
      </c>
      <c r="B3" s="104"/>
      <c r="C3" s="104"/>
      <c r="D3" s="104"/>
      <c r="E3" s="104"/>
      <c r="F3" s="1" t="s">
        <v>144</v>
      </c>
      <c r="G3" s="1" t="str">
        <f t="shared" ref="G3:G13" ca="1" si="0">SUBSTITUTE(G2,F3,"")</f>
        <v>8預力混凝土基樁</v>
      </c>
    </row>
    <row r="4" spans="1:7" x14ac:dyDescent="0.25">
      <c r="A4" s="3" t="s">
        <v>18</v>
      </c>
      <c r="B4" s="3" t="s">
        <v>2</v>
      </c>
      <c r="C4" s="13" t="s">
        <v>17</v>
      </c>
      <c r="D4" s="3" t="s">
        <v>16</v>
      </c>
      <c r="E4" s="3" t="s">
        <v>15</v>
      </c>
      <c r="F4" s="1">
        <v>0</v>
      </c>
      <c r="G4" s="1" t="str">
        <f t="shared" ca="1" si="0"/>
        <v>8預力混凝土基樁</v>
      </c>
    </row>
    <row r="5" spans="1:7" x14ac:dyDescent="0.25">
      <c r="A5" s="3">
        <f>ROW()-4</f>
        <v>1</v>
      </c>
      <c r="B5" s="3" t="s">
        <v>407</v>
      </c>
      <c r="C5" s="13">
        <v>45285</v>
      </c>
      <c r="D5" s="3" t="s">
        <v>408</v>
      </c>
      <c r="E5" s="3" t="s">
        <v>242</v>
      </c>
      <c r="F5" s="1">
        <v>1</v>
      </c>
      <c r="G5" s="1" t="str">
        <f t="shared" ca="1" si="0"/>
        <v>8預力混凝土基樁</v>
      </c>
    </row>
    <row r="6" spans="1:7" x14ac:dyDescent="0.25">
      <c r="A6" s="3">
        <f>ROW()-4</f>
        <v>2</v>
      </c>
      <c r="B6" s="3" t="s">
        <v>248</v>
      </c>
      <c r="C6" s="13">
        <v>45287</v>
      </c>
      <c r="D6" s="3" t="s">
        <v>247</v>
      </c>
      <c r="E6" s="3" t="s">
        <v>242</v>
      </c>
      <c r="F6" s="1">
        <v>2</v>
      </c>
      <c r="G6" s="1" t="str">
        <f t="shared" ca="1" si="0"/>
        <v>8預力混凝土基樁</v>
      </c>
    </row>
    <row r="7" spans="1:7" x14ac:dyDescent="0.25">
      <c r="A7" s="3">
        <f>ROW()-4</f>
        <v>3</v>
      </c>
      <c r="B7" s="3" t="s">
        <v>249</v>
      </c>
      <c r="C7" s="13">
        <v>45288</v>
      </c>
      <c r="D7" s="3" t="s">
        <v>247</v>
      </c>
      <c r="E7" s="3"/>
      <c r="F7" s="1">
        <v>3</v>
      </c>
      <c r="G7" s="1" t="str">
        <f t="shared" ca="1" si="0"/>
        <v>8預力混凝土基樁</v>
      </c>
    </row>
    <row r="8" spans="1:7" x14ac:dyDescent="0.25">
      <c r="A8" s="3"/>
      <c r="B8" s="3"/>
      <c r="C8" s="13"/>
      <c r="D8" s="3"/>
      <c r="E8" s="3"/>
      <c r="F8" s="1">
        <v>4</v>
      </c>
      <c r="G8" s="1" t="str">
        <f t="shared" ca="1" si="0"/>
        <v>8預力混凝土基樁</v>
      </c>
    </row>
    <row r="9" spans="1:7" x14ac:dyDescent="0.25">
      <c r="A9" s="3"/>
      <c r="B9" s="3"/>
      <c r="C9" s="13"/>
      <c r="D9" s="3"/>
      <c r="E9" s="3"/>
      <c r="F9" s="1">
        <v>5</v>
      </c>
      <c r="G9" s="1" t="str">
        <f t="shared" ca="1" si="0"/>
        <v>8預力混凝土基樁</v>
      </c>
    </row>
    <row r="10" spans="1:7" x14ac:dyDescent="0.25">
      <c r="A10" s="3"/>
      <c r="B10" s="3"/>
      <c r="C10" s="13"/>
      <c r="D10" s="3"/>
      <c r="E10" s="3"/>
      <c r="F10" s="1">
        <v>6</v>
      </c>
      <c r="G10" s="1" t="str">
        <f t="shared" ca="1" si="0"/>
        <v>8預力混凝土基樁</v>
      </c>
    </row>
    <row r="11" spans="1:7" x14ac:dyDescent="0.25">
      <c r="A11" s="3"/>
      <c r="B11" s="3"/>
      <c r="C11" s="13"/>
      <c r="D11" s="3"/>
      <c r="E11" s="3"/>
      <c r="F11" s="1">
        <v>7</v>
      </c>
      <c r="G11" s="1" t="str">
        <f t="shared" ca="1" si="0"/>
        <v>8預力混凝土基樁</v>
      </c>
    </row>
    <row r="12" spans="1:7" x14ac:dyDescent="0.25">
      <c r="A12" s="3"/>
      <c r="B12" s="3"/>
      <c r="C12" s="13"/>
      <c r="D12" s="3"/>
      <c r="E12" s="3"/>
      <c r="F12" s="1">
        <v>8</v>
      </c>
      <c r="G12" s="1" t="str">
        <f t="shared" ca="1" si="0"/>
        <v>預力混凝土基樁</v>
      </c>
    </row>
    <row r="13" spans="1:7" x14ac:dyDescent="0.25">
      <c r="A13" s="3"/>
      <c r="B13" s="3"/>
      <c r="C13" s="13"/>
      <c r="D13" s="3"/>
      <c r="E13" s="3"/>
      <c r="F13" s="1">
        <v>9</v>
      </c>
      <c r="G13" s="1" t="str">
        <f t="shared" ca="1" si="0"/>
        <v>預力混凝土基樁</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46D88-69AE-4839-A4DA-FABB48051DD5}">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\\上溢北投\d\雲端\A.上溢\1.磺港溪再造C段護岸及步道整建工程（延壽橋至三合橋）\9.施工\4.自主檢查\自主檢查統計\[磺港溪C-A自主檢查統計1130311.xlsx]9.砌塊石護岸</v>
      </c>
    </row>
    <row r="2" spans="1:7" ht="19.5" x14ac:dyDescent="0.25">
      <c r="A2" s="103" t="s">
        <v>142</v>
      </c>
      <c r="B2" s="103"/>
      <c r="C2" s="103"/>
      <c r="D2" s="103"/>
      <c r="E2" s="103"/>
      <c r="G2" s="79" t="str">
        <f ca="1">RIGHT(F1,LEN(F1)-FIND("]",F1))</f>
        <v>9.砌塊石護岸</v>
      </c>
    </row>
    <row r="3" spans="1:7" ht="21" x14ac:dyDescent="0.25">
      <c r="A3" s="104" t="str">
        <f ca="1">G13&amp;"自主檢查表統計"</f>
        <v>砌塊石護岸自主檢查表統計</v>
      </c>
      <c r="B3" s="104"/>
      <c r="C3" s="104"/>
      <c r="D3" s="104"/>
      <c r="E3" s="104"/>
      <c r="F3" s="1" t="s">
        <v>144</v>
      </c>
      <c r="G3" s="1" t="str">
        <f t="shared" ref="G3:G13" ca="1" si="0">SUBSTITUTE(G2,F3,"")</f>
        <v>9砌塊石護岸</v>
      </c>
    </row>
    <row r="4" spans="1:7" x14ac:dyDescent="0.25">
      <c r="A4" s="3" t="s">
        <v>18</v>
      </c>
      <c r="B4" s="3" t="s">
        <v>2</v>
      </c>
      <c r="C4" s="13" t="s">
        <v>17</v>
      </c>
      <c r="D4" s="3" t="s">
        <v>16</v>
      </c>
      <c r="E4" s="3" t="s">
        <v>15</v>
      </c>
      <c r="F4" s="1">
        <v>0</v>
      </c>
      <c r="G4" s="1" t="str">
        <f t="shared" ca="1" si="0"/>
        <v>9砌塊石護岸</v>
      </c>
    </row>
    <row r="5" spans="1:7" x14ac:dyDescent="0.25">
      <c r="A5" s="3"/>
      <c r="B5" s="3" t="s">
        <v>150</v>
      </c>
      <c r="C5" s="13"/>
      <c r="D5" s="3"/>
      <c r="E5" s="3"/>
      <c r="F5" s="1">
        <v>1</v>
      </c>
      <c r="G5" s="1" t="str">
        <f t="shared" ca="1" si="0"/>
        <v>9砌塊石護岸</v>
      </c>
    </row>
    <row r="6" spans="1:7" x14ac:dyDescent="0.25">
      <c r="A6" s="3"/>
      <c r="B6" s="3"/>
      <c r="C6" s="13"/>
      <c r="D6" s="3"/>
      <c r="E6" s="3"/>
      <c r="F6" s="1">
        <v>2</v>
      </c>
      <c r="G6" s="1" t="str">
        <f t="shared" ca="1" si="0"/>
        <v>9砌塊石護岸</v>
      </c>
    </row>
    <row r="7" spans="1:7" x14ac:dyDescent="0.25">
      <c r="A7" s="3"/>
      <c r="B7" s="3"/>
      <c r="C7" s="13"/>
      <c r="D7" s="3"/>
      <c r="E7" s="3"/>
      <c r="F7" s="1">
        <v>3</v>
      </c>
      <c r="G7" s="1" t="str">
        <f t="shared" ca="1" si="0"/>
        <v>9砌塊石護岸</v>
      </c>
    </row>
    <row r="8" spans="1:7" x14ac:dyDescent="0.25">
      <c r="A8" s="3"/>
      <c r="B8" s="3"/>
      <c r="C8" s="13"/>
      <c r="D8" s="3"/>
      <c r="E8" s="3"/>
      <c r="F8" s="1">
        <v>4</v>
      </c>
      <c r="G8" s="1" t="str">
        <f t="shared" ca="1" si="0"/>
        <v>9砌塊石護岸</v>
      </c>
    </row>
    <row r="9" spans="1:7" x14ac:dyDescent="0.25">
      <c r="A9" s="3"/>
      <c r="B9" s="3"/>
      <c r="C9" s="13"/>
      <c r="D9" s="3"/>
      <c r="E9" s="3"/>
      <c r="F9" s="1">
        <v>5</v>
      </c>
      <c r="G9" s="1" t="str">
        <f t="shared" ca="1" si="0"/>
        <v>9砌塊石護岸</v>
      </c>
    </row>
    <row r="10" spans="1:7" x14ac:dyDescent="0.25">
      <c r="A10" s="3"/>
      <c r="B10" s="3"/>
      <c r="C10" s="13"/>
      <c r="D10" s="3"/>
      <c r="E10" s="3"/>
      <c r="F10" s="1">
        <v>6</v>
      </c>
      <c r="G10" s="1" t="str">
        <f t="shared" ca="1" si="0"/>
        <v>9砌塊石護岸</v>
      </c>
    </row>
    <row r="11" spans="1:7" x14ac:dyDescent="0.25">
      <c r="A11" s="3"/>
      <c r="B11" s="3"/>
      <c r="C11" s="13"/>
      <c r="D11" s="3"/>
      <c r="E11" s="3"/>
      <c r="F11" s="1">
        <v>7</v>
      </c>
      <c r="G11" s="1" t="str">
        <f t="shared" ca="1" si="0"/>
        <v>9砌塊石護岸</v>
      </c>
    </row>
    <row r="12" spans="1:7" x14ac:dyDescent="0.25">
      <c r="A12" s="3"/>
      <c r="B12" s="3"/>
      <c r="C12" s="13"/>
      <c r="D12" s="3"/>
      <c r="E12" s="3"/>
      <c r="F12" s="1">
        <v>8</v>
      </c>
      <c r="G12" s="1" t="str">
        <f t="shared" ca="1" si="0"/>
        <v>9砌塊石護岸</v>
      </c>
    </row>
    <row r="13" spans="1:7" x14ac:dyDescent="0.25">
      <c r="A13" s="3"/>
      <c r="B13" s="3"/>
      <c r="C13" s="13"/>
      <c r="D13" s="3"/>
      <c r="E13" s="3"/>
      <c r="F13" s="1">
        <v>9</v>
      </c>
      <c r="G13" s="1" t="str">
        <f t="shared" ca="1" si="0"/>
        <v>砌塊石護岸</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AADE4-B0B4-4027-8259-9F2EAF030FA7}">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\\上溢北投\d\雲端\A.上溢\1.磺港溪再造C段護岸及步道整建工程（延壽橋至三合橋）\9.施工\4.自主檢查\自主檢查統計\[磺港溪C-A自主檢查統計1130311.xlsx]10.低水護岸</v>
      </c>
    </row>
    <row r="2" spans="1:7" ht="19.5" x14ac:dyDescent="0.25">
      <c r="A2" s="103" t="s">
        <v>142</v>
      </c>
      <c r="B2" s="103"/>
      <c r="C2" s="103"/>
      <c r="D2" s="103"/>
      <c r="E2" s="103"/>
      <c r="G2" s="79" t="str">
        <f ca="1">RIGHT(F1,LEN(F1)-FIND("]",F1))</f>
        <v>10.低水護岸</v>
      </c>
    </row>
    <row r="3" spans="1:7" ht="21" x14ac:dyDescent="0.25">
      <c r="A3" s="104" t="str">
        <f ca="1">G13&amp;"自主檢查表統計"</f>
        <v>低水護岸自主檢查表統計</v>
      </c>
      <c r="B3" s="104"/>
      <c r="C3" s="104"/>
      <c r="D3" s="104"/>
      <c r="E3" s="104"/>
      <c r="F3" s="1" t="s">
        <v>144</v>
      </c>
      <c r="G3" s="1" t="str">
        <f t="shared" ref="G3:G13" ca="1" si="0">SUBSTITUTE(G2,F3,"")</f>
        <v>10低水護岸</v>
      </c>
    </row>
    <row r="4" spans="1:7" x14ac:dyDescent="0.25">
      <c r="A4" s="3" t="s">
        <v>18</v>
      </c>
      <c r="B4" s="3" t="s">
        <v>2</v>
      </c>
      <c r="C4" s="13" t="s">
        <v>17</v>
      </c>
      <c r="D4" s="3" t="s">
        <v>16</v>
      </c>
      <c r="E4" s="3" t="s">
        <v>15</v>
      </c>
      <c r="F4" s="1">
        <v>0</v>
      </c>
      <c r="G4" s="1" t="str">
        <f t="shared" ca="1" si="0"/>
        <v>1低水護岸</v>
      </c>
    </row>
    <row r="5" spans="1:7" x14ac:dyDescent="0.25">
      <c r="A5" s="3"/>
      <c r="B5" s="3" t="s">
        <v>151</v>
      </c>
      <c r="C5" s="13"/>
      <c r="D5" s="3"/>
      <c r="E5" s="3"/>
      <c r="F5" s="1">
        <v>1</v>
      </c>
      <c r="G5" s="1" t="str">
        <f t="shared" ca="1" si="0"/>
        <v>低水護岸</v>
      </c>
    </row>
    <row r="6" spans="1:7" x14ac:dyDescent="0.25">
      <c r="A6" s="3"/>
      <c r="B6" s="3"/>
      <c r="C6" s="13"/>
      <c r="D6" s="3"/>
      <c r="E6" s="3"/>
      <c r="F6" s="1">
        <v>2</v>
      </c>
      <c r="G6" s="1" t="str">
        <f t="shared" ca="1" si="0"/>
        <v>低水護岸</v>
      </c>
    </row>
    <row r="7" spans="1:7" x14ac:dyDescent="0.25">
      <c r="A7" s="3"/>
      <c r="B7" s="3"/>
      <c r="C7" s="13"/>
      <c r="D7" s="3"/>
      <c r="E7" s="3"/>
      <c r="F7" s="1">
        <v>3</v>
      </c>
      <c r="G7" s="1" t="str">
        <f t="shared" ca="1" si="0"/>
        <v>低水護岸</v>
      </c>
    </row>
    <row r="8" spans="1:7" x14ac:dyDescent="0.25">
      <c r="A8" s="3"/>
      <c r="B8" s="3"/>
      <c r="C8" s="13"/>
      <c r="D8" s="3"/>
      <c r="E8" s="3"/>
      <c r="F8" s="1">
        <v>4</v>
      </c>
      <c r="G8" s="1" t="str">
        <f t="shared" ca="1" si="0"/>
        <v>低水護岸</v>
      </c>
    </row>
    <row r="9" spans="1:7" x14ac:dyDescent="0.25">
      <c r="A9" s="3"/>
      <c r="B9" s="3"/>
      <c r="C9" s="13"/>
      <c r="D9" s="3"/>
      <c r="E9" s="3"/>
      <c r="F9" s="1">
        <v>5</v>
      </c>
      <c r="G9" s="1" t="str">
        <f t="shared" ca="1" si="0"/>
        <v>低水護岸</v>
      </c>
    </row>
    <row r="10" spans="1:7" x14ac:dyDescent="0.25">
      <c r="A10" s="3"/>
      <c r="B10" s="3"/>
      <c r="C10" s="13"/>
      <c r="D10" s="3"/>
      <c r="E10" s="3"/>
      <c r="F10" s="1">
        <v>6</v>
      </c>
      <c r="G10" s="1" t="str">
        <f t="shared" ca="1" si="0"/>
        <v>低水護岸</v>
      </c>
    </row>
    <row r="11" spans="1:7" x14ac:dyDescent="0.25">
      <c r="A11" s="3"/>
      <c r="B11" s="3"/>
      <c r="C11" s="13"/>
      <c r="D11" s="3"/>
      <c r="E11" s="3"/>
      <c r="F11" s="1">
        <v>7</v>
      </c>
      <c r="G11" s="1" t="str">
        <f t="shared" ca="1" si="0"/>
        <v>低水護岸</v>
      </c>
    </row>
    <row r="12" spans="1:7" x14ac:dyDescent="0.25">
      <c r="A12" s="3"/>
      <c r="B12" s="3"/>
      <c r="C12" s="13"/>
      <c r="D12" s="3"/>
      <c r="E12" s="3"/>
      <c r="F12" s="1">
        <v>8</v>
      </c>
      <c r="G12" s="1" t="str">
        <f t="shared" ca="1" si="0"/>
        <v>低水護岸</v>
      </c>
    </row>
    <row r="13" spans="1:7" x14ac:dyDescent="0.25">
      <c r="A13" s="3"/>
      <c r="B13" s="3"/>
      <c r="C13" s="13"/>
      <c r="D13" s="3"/>
      <c r="E13" s="3"/>
      <c r="F13" s="1">
        <v>9</v>
      </c>
      <c r="G13" s="1" t="str">
        <f t="shared" ca="1" si="0"/>
        <v>低水護岸</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D39D2-3222-45FA-AD33-38D452878DCC}">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\\上溢北投\d\雲端\A.上溢\1.磺港溪再造C段護岸及步道整建工程（延壽橋至三合橋）\9.施工\4.自主檢查\自主檢查統計\[磺港溪C-A自主檢查統計1130311.xlsx]11.固床工</v>
      </c>
    </row>
    <row r="2" spans="1:7" ht="19.5" x14ac:dyDescent="0.25">
      <c r="A2" s="103" t="s">
        <v>142</v>
      </c>
      <c r="B2" s="103"/>
      <c r="C2" s="103"/>
      <c r="D2" s="103"/>
      <c r="E2" s="103"/>
      <c r="G2" s="79" t="str">
        <f ca="1">RIGHT(F1,LEN(F1)-FIND("]",F1))</f>
        <v>11.固床工</v>
      </c>
    </row>
    <row r="3" spans="1:7" ht="21" x14ac:dyDescent="0.25">
      <c r="A3" s="104" t="str">
        <f ca="1">G13&amp;"自主檢查表統計"</f>
        <v>固床工自主檢查表統計</v>
      </c>
      <c r="B3" s="104"/>
      <c r="C3" s="104"/>
      <c r="D3" s="104"/>
      <c r="E3" s="104"/>
      <c r="F3" s="1" t="s">
        <v>144</v>
      </c>
      <c r="G3" s="1" t="str">
        <f t="shared" ref="G3:G13" ca="1" si="0">SUBSTITUTE(G2,F3,"")</f>
        <v>11固床工</v>
      </c>
    </row>
    <row r="4" spans="1:7" x14ac:dyDescent="0.25">
      <c r="A4" s="3" t="s">
        <v>18</v>
      </c>
      <c r="B4" s="3" t="s">
        <v>2</v>
      </c>
      <c r="C4" s="13" t="s">
        <v>17</v>
      </c>
      <c r="D4" s="3" t="s">
        <v>16</v>
      </c>
      <c r="E4" s="3" t="s">
        <v>15</v>
      </c>
      <c r="F4" s="1">
        <v>0</v>
      </c>
      <c r="G4" s="1" t="str">
        <f t="shared" ca="1" si="0"/>
        <v>11固床工</v>
      </c>
    </row>
    <row r="5" spans="1:7" x14ac:dyDescent="0.25">
      <c r="A5" s="3"/>
      <c r="B5" s="3" t="s">
        <v>141</v>
      </c>
      <c r="C5" s="13"/>
      <c r="D5" s="3"/>
      <c r="E5" s="3"/>
      <c r="F5" s="1">
        <v>1</v>
      </c>
      <c r="G5" s="1" t="str">
        <f t="shared" ca="1" si="0"/>
        <v>固床工</v>
      </c>
    </row>
    <row r="6" spans="1:7" x14ac:dyDescent="0.25">
      <c r="A6" s="3"/>
      <c r="B6" s="3"/>
      <c r="C6" s="13"/>
      <c r="D6" s="3"/>
      <c r="E6" s="3"/>
      <c r="F6" s="1">
        <v>2</v>
      </c>
      <c r="G6" s="1" t="str">
        <f t="shared" ca="1" si="0"/>
        <v>固床工</v>
      </c>
    </row>
    <row r="7" spans="1:7" x14ac:dyDescent="0.25">
      <c r="A7" s="3"/>
      <c r="B7" s="3"/>
      <c r="C7" s="13"/>
      <c r="D7" s="3"/>
      <c r="E7" s="3"/>
      <c r="F7" s="1">
        <v>3</v>
      </c>
      <c r="G7" s="1" t="str">
        <f t="shared" ca="1" si="0"/>
        <v>固床工</v>
      </c>
    </row>
    <row r="8" spans="1:7" x14ac:dyDescent="0.25">
      <c r="A8" s="3"/>
      <c r="B8" s="3"/>
      <c r="C8" s="13"/>
      <c r="D8" s="3"/>
      <c r="E8" s="3"/>
      <c r="F8" s="1">
        <v>4</v>
      </c>
      <c r="G8" s="1" t="str">
        <f t="shared" ca="1" si="0"/>
        <v>固床工</v>
      </c>
    </row>
    <row r="9" spans="1:7" x14ac:dyDescent="0.25">
      <c r="A9" s="3"/>
      <c r="B9" s="3"/>
      <c r="C9" s="13"/>
      <c r="D9" s="3"/>
      <c r="E9" s="3"/>
      <c r="F9" s="1">
        <v>5</v>
      </c>
      <c r="G9" s="1" t="str">
        <f t="shared" ca="1" si="0"/>
        <v>固床工</v>
      </c>
    </row>
    <row r="10" spans="1:7" x14ac:dyDescent="0.25">
      <c r="A10" s="3"/>
      <c r="B10" s="3"/>
      <c r="C10" s="13"/>
      <c r="D10" s="3"/>
      <c r="E10" s="3"/>
      <c r="F10" s="1">
        <v>6</v>
      </c>
      <c r="G10" s="1" t="str">
        <f t="shared" ca="1" si="0"/>
        <v>固床工</v>
      </c>
    </row>
    <row r="11" spans="1:7" x14ac:dyDescent="0.25">
      <c r="A11" s="3"/>
      <c r="B11" s="3"/>
      <c r="C11" s="13"/>
      <c r="D11" s="3"/>
      <c r="E11" s="3"/>
      <c r="F11" s="1">
        <v>7</v>
      </c>
      <c r="G11" s="1" t="str">
        <f t="shared" ca="1" si="0"/>
        <v>固床工</v>
      </c>
    </row>
    <row r="12" spans="1:7" x14ac:dyDescent="0.25">
      <c r="A12" s="3"/>
      <c r="B12" s="3"/>
      <c r="C12" s="13"/>
      <c r="D12" s="3"/>
      <c r="E12" s="3"/>
      <c r="F12" s="1">
        <v>8</v>
      </c>
      <c r="G12" s="1" t="str">
        <f t="shared" ca="1" si="0"/>
        <v>固床工</v>
      </c>
    </row>
    <row r="13" spans="1:7" x14ac:dyDescent="0.25">
      <c r="A13" s="3"/>
      <c r="B13" s="3"/>
      <c r="C13" s="13"/>
      <c r="D13" s="3"/>
      <c r="E13" s="3"/>
      <c r="F13" s="1">
        <v>9</v>
      </c>
      <c r="G13" s="1" t="str">
        <f t="shared" ca="1" si="0"/>
        <v>固床工</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8F824-F61E-485A-B472-912D07A8673E}">
  <sheetPr>
    <tabColor theme="4" tint="-0.249977111117893"/>
    <pageSetUpPr fitToPage="1"/>
  </sheetPr>
  <dimension ref="A1:G35"/>
  <sheetViews>
    <sheetView view="pageBreakPreview" zoomScale="160" zoomScaleNormal="100" zoomScaleSheetLayoutView="160"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\\上溢北投\d\雲端\A.上溢\1.磺港溪再造C段護岸及步道整建工程（延壽橋至三合橋）\9.施工\4.自主檢查\自主檢查統計\[磺港溪C-A自主檢查統計1130311.xlsx]12.全套管基樁</v>
      </c>
    </row>
    <row r="2" spans="1:7" ht="19.5" x14ac:dyDescent="0.25">
      <c r="A2" s="103" t="s">
        <v>142</v>
      </c>
      <c r="B2" s="103"/>
      <c r="C2" s="103"/>
      <c r="D2" s="103"/>
      <c r="E2" s="103"/>
      <c r="G2" s="79" t="str">
        <f ca="1">RIGHT(F1,LEN(F1)-FIND("]",F1))</f>
        <v>12.全套管基樁</v>
      </c>
    </row>
    <row r="3" spans="1:7" ht="21" x14ac:dyDescent="0.25">
      <c r="A3" s="104" t="str">
        <f ca="1">G11&amp;"自主檢查表統計"</f>
        <v>全套管基樁自主檢查表統計</v>
      </c>
      <c r="B3" s="104"/>
      <c r="C3" s="104"/>
      <c r="D3" s="104"/>
      <c r="E3" s="104"/>
      <c r="F3" s="1" t="s">
        <v>144</v>
      </c>
      <c r="G3" s="1" t="str">
        <f t="shared" ref="G3:G4" ca="1" si="0">SUBSTITUTE(G2,F3,"")</f>
        <v>12全套管基樁</v>
      </c>
    </row>
    <row r="4" spans="1:7" x14ac:dyDescent="0.25">
      <c r="A4" s="3" t="s">
        <v>18</v>
      </c>
      <c r="B4" s="3" t="s">
        <v>2</v>
      </c>
      <c r="C4" s="13" t="s">
        <v>17</v>
      </c>
      <c r="D4" s="3" t="s">
        <v>16</v>
      </c>
      <c r="E4" s="3" t="s">
        <v>15</v>
      </c>
      <c r="F4" s="1">
        <v>0</v>
      </c>
      <c r="G4" s="1" t="str">
        <f t="shared" ca="1" si="0"/>
        <v>12全套管基樁</v>
      </c>
    </row>
    <row r="5" spans="1:7" x14ac:dyDescent="0.25">
      <c r="A5" s="3">
        <f t="shared" ref="A5:A18" si="1">ROW()-4</f>
        <v>1</v>
      </c>
      <c r="B5" s="3" t="s">
        <v>250</v>
      </c>
      <c r="C5" s="13">
        <v>45289</v>
      </c>
      <c r="D5" s="3" t="s">
        <v>234</v>
      </c>
      <c r="E5" s="3" t="s">
        <v>27</v>
      </c>
      <c r="F5" s="1">
        <v>1</v>
      </c>
      <c r="G5" s="1" t="str">
        <f t="shared" ref="G5:G13" ca="1" si="2">SUBSTITUTE(G4,F5,"")</f>
        <v>2全套管基樁</v>
      </c>
    </row>
    <row r="6" spans="1:7" x14ac:dyDescent="0.25">
      <c r="A6" s="3">
        <f t="shared" si="1"/>
        <v>2</v>
      </c>
      <c r="B6" s="3" t="s">
        <v>243</v>
      </c>
      <c r="C6" s="13">
        <v>45296</v>
      </c>
      <c r="D6" s="3" t="s">
        <v>236</v>
      </c>
      <c r="E6" s="3" t="s">
        <v>27</v>
      </c>
      <c r="F6" s="1">
        <v>2</v>
      </c>
      <c r="G6" s="1" t="str">
        <f t="shared" ca="1" si="2"/>
        <v>全套管基樁</v>
      </c>
    </row>
    <row r="7" spans="1:7" x14ac:dyDescent="0.25">
      <c r="A7" s="3">
        <f t="shared" si="1"/>
        <v>3</v>
      </c>
      <c r="B7" s="3" t="s">
        <v>245</v>
      </c>
      <c r="C7" s="13">
        <v>45300</v>
      </c>
      <c r="D7" s="3" t="s">
        <v>238</v>
      </c>
      <c r="E7" s="3" t="s">
        <v>27</v>
      </c>
      <c r="F7" s="1">
        <v>3</v>
      </c>
      <c r="G7" s="1" t="str">
        <f t="shared" ca="1" si="2"/>
        <v>全套管基樁</v>
      </c>
    </row>
    <row r="8" spans="1:7" x14ac:dyDescent="0.25">
      <c r="A8" s="3">
        <f t="shared" si="1"/>
        <v>4</v>
      </c>
      <c r="B8" s="3" t="s">
        <v>392</v>
      </c>
      <c r="C8" s="13">
        <v>45302</v>
      </c>
      <c r="D8" s="3" t="s">
        <v>240</v>
      </c>
      <c r="E8" s="3" t="s">
        <v>27</v>
      </c>
      <c r="F8" s="1">
        <v>4</v>
      </c>
      <c r="G8" s="1" t="str">
        <f t="shared" ca="1" si="2"/>
        <v>全套管基樁</v>
      </c>
    </row>
    <row r="9" spans="1:7" x14ac:dyDescent="0.25">
      <c r="A9" s="3">
        <f t="shared" si="1"/>
        <v>5</v>
      </c>
      <c r="B9" s="3" t="s">
        <v>251</v>
      </c>
      <c r="C9" s="13">
        <v>45303</v>
      </c>
      <c r="D9" s="3" t="s">
        <v>393</v>
      </c>
      <c r="E9" s="3"/>
      <c r="F9" s="1">
        <v>5</v>
      </c>
      <c r="G9" s="1" t="str">
        <f t="shared" ca="1" si="2"/>
        <v>全套管基樁</v>
      </c>
    </row>
    <row r="10" spans="1:7" x14ac:dyDescent="0.25">
      <c r="A10" s="3">
        <f t="shared" si="1"/>
        <v>6</v>
      </c>
      <c r="B10" s="3" t="s">
        <v>394</v>
      </c>
      <c r="C10" s="13">
        <v>45308</v>
      </c>
      <c r="D10" s="3" t="s">
        <v>292</v>
      </c>
      <c r="E10" s="3" t="s">
        <v>27</v>
      </c>
      <c r="F10" s="1">
        <v>6</v>
      </c>
      <c r="G10" s="1" t="str">
        <f t="shared" ca="1" si="2"/>
        <v>全套管基樁</v>
      </c>
    </row>
    <row r="11" spans="1:7" x14ac:dyDescent="0.25">
      <c r="A11" s="3">
        <f t="shared" si="1"/>
        <v>7</v>
      </c>
      <c r="B11" s="3" t="s">
        <v>291</v>
      </c>
      <c r="C11" s="13">
        <v>45309</v>
      </c>
      <c r="D11" s="3" t="s">
        <v>395</v>
      </c>
      <c r="E11" s="3"/>
      <c r="F11" s="1">
        <v>7</v>
      </c>
      <c r="G11" s="1" t="str">
        <f t="shared" ca="1" si="2"/>
        <v>全套管基樁</v>
      </c>
    </row>
    <row r="12" spans="1:7" x14ac:dyDescent="0.25">
      <c r="A12" s="3">
        <f t="shared" si="1"/>
        <v>8</v>
      </c>
      <c r="B12" s="3" t="s">
        <v>309</v>
      </c>
      <c r="C12" s="13">
        <v>45311</v>
      </c>
      <c r="D12" s="3" t="s">
        <v>306</v>
      </c>
      <c r="E12" s="3" t="s">
        <v>27</v>
      </c>
      <c r="F12" s="1">
        <v>8</v>
      </c>
      <c r="G12" s="1" t="str">
        <f t="shared" ca="1" si="2"/>
        <v>全套管基樁</v>
      </c>
    </row>
    <row r="13" spans="1:7" x14ac:dyDescent="0.25">
      <c r="A13" s="3">
        <f t="shared" si="1"/>
        <v>9</v>
      </c>
      <c r="B13" s="3" t="s">
        <v>308</v>
      </c>
      <c r="C13" s="13">
        <v>45314</v>
      </c>
      <c r="D13" s="3" t="s">
        <v>307</v>
      </c>
      <c r="E13" s="3" t="s">
        <v>27</v>
      </c>
      <c r="F13" s="1">
        <v>9</v>
      </c>
      <c r="G13" s="1" t="str">
        <f t="shared" ca="1" si="2"/>
        <v>全套管基樁</v>
      </c>
    </row>
    <row r="14" spans="1:7" x14ac:dyDescent="0.25">
      <c r="A14" s="3">
        <f t="shared" si="1"/>
        <v>10</v>
      </c>
      <c r="B14" s="3" t="s">
        <v>347</v>
      </c>
      <c r="C14" s="13">
        <v>45320</v>
      </c>
      <c r="D14" s="3" t="s">
        <v>344</v>
      </c>
      <c r="E14" s="3" t="s">
        <v>27</v>
      </c>
    </row>
    <row r="15" spans="1:7" x14ac:dyDescent="0.25">
      <c r="A15" s="3">
        <f t="shared" si="1"/>
        <v>11</v>
      </c>
      <c r="B15" s="3" t="s">
        <v>348</v>
      </c>
      <c r="C15" s="13">
        <v>45321</v>
      </c>
      <c r="D15" s="3" t="s">
        <v>346</v>
      </c>
      <c r="E15" s="3" t="s">
        <v>27</v>
      </c>
    </row>
    <row r="16" spans="1:7" x14ac:dyDescent="0.25">
      <c r="A16" s="3">
        <f t="shared" si="1"/>
        <v>12</v>
      </c>
      <c r="B16" s="3" t="s">
        <v>396</v>
      </c>
      <c r="C16" s="13">
        <v>45322</v>
      </c>
      <c r="D16" s="3" t="s">
        <v>400</v>
      </c>
      <c r="E16" s="3" t="s">
        <v>27</v>
      </c>
    </row>
    <row r="17" spans="1:5" x14ac:dyDescent="0.25">
      <c r="A17" s="3">
        <f t="shared" si="1"/>
        <v>13</v>
      </c>
      <c r="B17" s="3" t="s">
        <v>349</v>
      </c>
      <c r="C17" s="13">
        <v>45323</v>
      </c>
      <c r="D17" s="3" t="s">
        <v>399</v>
      </c>
      <c r="E17" s="3" t="s">
        <v>242</v>
      </c>
    </row>
    <row r="18" spans="1:5" x14ac:dyDescent="0.25">
      <c r="A18" s="3">
        <f t="shared" si="1"/>
        <v>14</v>
      </c>
      <c r="B18" s="3" t="s">
        <v>398</v>
      </c>
      <c r="C18" s="13">
        <v>45323</v>
      </c>
      <c r="D18" s="3" t="s">
        <v>397</v>
      </c>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row r="35" spans="1:5" x14ac:dyDescent="0.25">
      <c r="A35" s="3"/>
      <c r="B35" s="3"/>
      <c r="C35" s="13"/>
      <c r="D35" s="3"/>
      <c r="E35"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8015E-D797-46DD-9791-C8A8272BB918}">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\\上溢北投\d\雲端\A.上溢\1.磺港溪再造C段護岸及步道整建工程（延壽橋至三合橋）\9.施工\4.自主檢查\自主檢查統計\[磺港溪C-A自主檢查統計1130311.xlsx]13.鋼筋混凝土管工程</v>
      </c>
    </row>
    <row r="2" spans="1:7" ht="19.5" x14ac:dyDescent="0.25">
      <c r="A2" s="103" t="s">
        <v>142</v>
      </c>
      <c r="B2" s="103"/>
      <c r="C2" s="103"/>
      <c r="D2" s="103"/>
      <c r="E2" s="103"/>
      <c r="G2" s="79" t="str">
        <f ca="1">RIGHT(F1,LEN(F1)-FIND("]",F1))</f>
        <v>13.鋼筋混凝土管工程</v>
      </c>
    </row>
    <row r="3" spans="1:7" ht="21" x14ac:dyDescent="0.25">
      <c r="A3" s="104" t="str">
        <f ca="1">G13&amp;"自主檢查表統計"</f>
        <v>鋼筋混凝土管工程自主檢查表統計</v>
      </c>
      <c r="B3" s="104"/>
      <c r="C3" s="104"/>
      <c r="D3" s="104"/>
      <c r="E3" s="104"/>
      <c r="F3" s="1" t="s">
        <v>144</v>
      </c>
      <c r="G3" s="1" t="str">
        <f t="shared" ref="G3:G13" ca="1" si="0">SUBSTITUTE(G2,F3,"")</f>
        <v>13鋼筋混凝土管工程</v>
      </c>
    </row>
    <row r="4" spans="1:7" x14ac:dyDescent="0.25">
      <c r="A4" s="3" t="s">
        <v>18</v>
      </c>
      <c r="B4" s="3" t="s">
        <v>2</v>
      </c>
      <c r="C4" s="13" t="s">
        <v>17</v>
      </c>
      <c r="D4" s="3" t="s">
        <v>16</v>
      </c>
      <c r="E4" s="3" t="s">
        <v>15</v>
      </c>
      <c r="F4" s="1">
        <v>0</v>
      </c>
      <c r="G4" s="1" t="str">
        <f t="shared" ca="1" si="0"/>
        <v>13鋼筋混凝土管工程</v>
      </c>
    </row>
    <row r="5" spans="1:7" x14ac:dyDescent="0.25">
      <c r="A5" s="3"/>
      <c r="B5" s="3" t="s">
        <v>152</v>
      </c>
      <c r="C5" s="13"/>
      <c r="D5" s="3"/>
      <c r="E5" s="3"/>
      <c r="F5" s="1">
        <v>1</v>
      </c>
      <c r="G5" s="1" t="str">
        <f t="shared" ca="1" si="0"/>
        <v>3鋼筋混凝土管工程</v>
      </c>
    </row>
    <row r="6" spans="1:7" x14ac:dyDescent="0.25">
      <c r="A6" s="3"/>
      <c r="B6" s="3"/>
      <c r="C6" s="13"/>
      <c r="D6" s="3"/>
      <c r="E6" s="3"/>
      <c r="F6" s="1">
        <v>2</v>
      </c>
      <c r="G6" s="1" t="str">
        <f t="shared" ca="1" si="0"/>
        <v>3鋼筋混凝土管工程</v>
      </c>
    </row>
    <row r="7" spans="1:7" x14ac:dyDescent="0.25">
      <c r="A7" s="3"/>
      <c r="B7" s="3"/>
      <c r="C7" s="13"/>
      <c r="D7" s="3"/>
      <c r="E7" s="3"/>
      <c r="F7" s="1">
        <v>3</v>
      </c>
      <c r="G7" s="1" t="str">
        <f t="shared" ca="1" si="0"/>
        <v>鋼筋混凝土管工程</v>
      </c>
    </row>
    <row r="8" spans="1:7" x14ac:dyDescent="0.25">
      <c r="A8" s="3"/>
      <c r="B8" s="3"/>
      <c r="C8" s="13"/>
      <c r="D8" s="3"/>
      <c r="E8" s="3"/>
      <c r="F8" s="1">
        <v>4</v>
      </c>
      <c r="G8" s="1" t="str">
        <f t="shared" ca="1" si="0"/>
        <v>鋼筋混凝土管工程</v>
      </c>
    </row>
    <row r="9" spans="1:7" x14ac:dyDescent="0.25">
      <c r="A9" s="3"/>
      <c r="B9" s="3"/>
      <c r="C9" s="13"/>
      <c r="D9" s="3"/>
      <c r="E9" s="3"/>
      <c r="F9" s="1">
        <v>5</v>
      </c>
      <c r="G9" s="1" t="str">
        <f t="shared" ca="1" si="0"/>
        <v>鋼筋混凝土管工程</v>
      </c>
    </row>
    <row r="10" spans="1:7" x14ac:dyDescent="0.25">
      <c r="A10" s="3"/>
      <c r="B10" s="3"/>
      <c r="C10" s="13"/>
      <c r="D10" s="3"/>
      <c r="E10" s="3"/>
      <c r="F10" s="1">
        <v>6</v>
      </c>
      <c r="G10" s="1" t="str">
        <f t="shared" ca="1" si="0"/>
        <v>鋼筋混凝土管工程</v>
      </c>
    </row>
    <row r="11" spans="1:7" x14ac:dyDescent="0.25">
      <c r="A11" s="3"/>
      <c r="B11" s="3"/>
      <c r="C11" s="13"/>
      <c r="D11" s="3"/>
      <c r="E11" s="3"/>
      <c r="F11" s="1">
        <v>7</v>
      </c>
      <c r="G11" s="1" t="str">
        <f t="shared" ca="1" si="0"/>
        <v>鋼筋混凝土管工程</v>
      </c>
    </row>
    <row r="12" spans="1:7" x14ac:dyDescent="0.25">
      <c r="A12" s="3"/>
      <c r="B12" s="3"/>
      <c r="C12" s="13"/>
      <c r="D12" s="3"/>
      <c r="E12" s="3"/>
      <c r="F12" s="1">
        <v>8</v>
      </c>
      <c r="G12" s="1" t="str">
        <f t="shared" ca="1" si="0"/>
        <v>鋼筋混凝土管工程</v>
      </c>
    </row>
    <row r="13" spans="1:7" x14ac:dyDescent="0.25">
      <c r="A13" s="3"/>
      <c r="B13" s="3"/>
      <c r="C13" s="13"/>
      <c r="D13" s="3"/>
      <c r="E13" s="3"/>
      <c r="F13" s="1">
        <v>9</v>
      </c>
      <c r="G13" s="1" t="str">
        <f t="shared" ca="1" si="0"/>
        <v>鋼筋混凝土管工程</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3B8DA-0DD5-4220-B5BC-3A0DD16C8C35}">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\\上溢北投\d\雲端\A.上溢\1.磺港溪再造C段護岸及步道整建工程（延壽橋至三合橋）\9.施工\4.自主檢查\自主檢查統計\[磺港溪C-A自主檢查統計1130311.xlsx]14.鋼版樁</v>
      </c>
    </row>
    <row r="2" spans="1:7" ht="19.5" x14ac:dyDescent="0.25">
      <c r="A2" s="103" t="s">
        <v>142</v>
      </c>
      <c r="B2" s="103"/>
      <c r="C2" s="103"/>
      <c r="D2" s="103"/>
      <c r="E2" s="103"/>
      <c r="G2" s="79" t="str">
        <f ca="1">RIGHT(F1,LEN(F1)-FIND("]",F1))</f>
        <v>14.鋼版樁</v>
      </c>
    </row>
    <row r="3" spans="1:7" ht="21" x14ac:dyDescent="0.25">
      <c r="A3" s="104" t="str">
        <f ca="1">G13&amp;"自主檢查表統計"</f>
        <v>鋼版樁自主檢查表統計</v>
      </c>
      <c r="B3" s="104"/>
      <c r="C3" s="104"/>
      <c r="D3" s="104"/>
      <c r="E3" s="104"/>
      <c r="F3" s="1" t="s">
        <v>144</v>
      </c>
      <c r="G3" s="1" t="str">
        <f t="shared" ref="G3:G13" ca="1" si="0">SUBSTITUTE(G2,F3,"")</f>
        <v>14鋼版樁</v>
      </c>
    </row>
    <row r="4" spans="1:7" x14ac:dyDescent="0.25">
      <c r="A4" s="3" t="s">
        <v>18</v>
      </c>
      <c r="B4" s="3" t="s">
        <v>2</v>
      </c>
      <c r="C4" s="13" t="s">
        <v>17</v>
      </c>
      <c r="D4" s="3" t="s">
        <v>16</v>
      </c>
      <c r="E4" s="3" t="s">
        <v>15</v>
      </c>
      <c r="F4" s="1">
        <v>0</v>
      </c>
      <c r="G4" s="1" t="str">
        <f t="shared" ca="1" si="0"/>
        <v>14鋼版樁</v>
      </c>
    </row>
    <row r="5" spans="1:7" x14ac:dyDescent="0.25">
      <c r="A5" s="3">
        <f>ROW()-4</f>
        <v>1</v>
      </c>
      <c r="B5" s="3" t="s">
        <v>262</v>
      </c>
      <c r="C5" s="13">
        <v>45267</v>
      </c>
      <c r="D5" s="3" t="s">
        <v>261</v>
      </c>
      <c r="E5" s="3" t="s">
        <v>27</v>
      </c>
      <c r="F5" s="1">
        <v>1</v>
      </c>
      <c r="G5" s="1" t="str">
        <f t="shared" ca="1" si="0"/>
        <v>4鋼版樁</v>
      </c>
    </row>
    <row r="6" spans="1:7" x14ac:dyDescent="0.25">
      <c r="A6" s="3">
        <f>ROW()-4</f>
        <v>2</v>
      </c>
      <c r="B6" s="3" t="s">
        <v>263</v>
      </c>
      <c r="C6" s="13">
        <v>45279</v>
      </c>
      <c r="D6" s="3" t="s">
        <v>247</v>
      </c>
      <c r="E6" s="3" t="s">
        <v>27</v>
      </c>
      <c r="F6" s="1">
        <v>2</v>
      </c>
      <c r="G6" s="1" t="str">
        <f t="shared" ca="1" si="0"/>
        <v>4鋼版樁</v>
      </c>
    </row>
    <row r="7" spans="1:7" x14ac:dyDescent="0.25">
      <c r="A7" s="3"/>
      <c r="B7" s="3"/>
      <c r="C7" s="13"/>
      <c r="D7" s="3"/>
      <c r="E7" s="3"/>
      <c r="F7" s="1">
        <v>3</v>
      </c>
      <c r="G7" s="1" t="str">
        <f t="shared" ca="1" si="0"/>
        <v>4鋼版樁</v>
      </c>
    </row>
    <row r="8" spans="1:7" x14ac:dyDescent="0.25">
      <c r="A8" s="3"/>
      <c r="B8" s="3"/>
      <c r="C8" s="13"/>
      <c r="D8" s="3"/>
      <c r="E8" s="3"/>
      <c r="F8" s="1">
        <v>4</v>
      </c>
      <c r="G8" s="1" t="str">
        <f t="shared" ca="1" si="0"/>
        <v>鋼版樁</v>
      </c>
    </row>
    <row r="9" spans="1:7" x14ac:dyDescent="0.25">
      <c r="A9" s="3"/>
      <c r="B9" s="3"/>
      <c r="C9" s="13"/>
      <c r="D9" s="3"/>
      <c r="E9" s="3"/>
      <c r="F9" s="1">
        <v>5</v>
      </c>
      <c r="G9" s="1" t="str">
        <f t="shared" ca="1" si="0"/>
        <v>鋼版樁</v>
      </c>
    </row>
    <row r="10" spans="1:7" x14ac:dyDescent="0.25">
      <c r="A10" s="3"/>
      <c r="B10" s="3"/>
      <c r="C10" s="13"/>
      <c r="D10" s="3"/>
      <c r="E10" s="3"/>
      <c r="F10" s="1">
        <v>6</v>
      </c>
      <c r="G10" s="1" t="str">
        <f t="shared" ca="1" si="0"/>
        <v>鋼版樁</v>
      </c>
    </row>
    <row r="11" spans="1:7" x14ac:dyDescent="0.25">
      <c r="A11" s="3"/>
      <c r="B11" s="3"/>
      <c r="C11" s="13"/>
      <c r="D11" s="3"/>
      <c r="E11" s="3"/>
      <c r="F11" s="1">
        <v>7</v>
      </c>
      <c r="G11" s="1" t="str">
        <f t="shared" ca="1" si="0"/>
        <v>鋼版樁</v>
      </c>
    </row>
    <row r="12" spans="1:7" x14ac:dyDescent="0.25">
      <c r="A12" s="3"/>
      <c r="B12" s="3"/>
      <c r="C12" s="13"/>
      <c r="D12" s="3"/>
      <c r="E12" s="3"/>
      <c r="F12" s="1">
        <v>8</v>
      </c>
      <c r="G12" s="1" t="str">
        <f t="shared" ca="1" si="0"/>
        <v>鋼版樁</v>
      </c>
    </row>
    <row r="13" spans="1:7" x14ac:dyDescent="0.25">
      <c r="A13" s="3"/>
      <c r="B13" s="3"/>
      <c r="C13" s="13"/>
      <c r="D13" s="3"/>
      <c r="E13" s="3"/>
      <c r="F13" s="1">
        <v>9</v>
      </c>
      <c r="G13" s="1" t="str">
        <f t="shared" ca="1" si="0"/>
        <v>鋼版樁</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8A19B-D96B-45C9-AA2E-16EAEDF785D5}">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\\上溢北投\d\雲端\A.上溢\1.磺港溪再造C段護岸及步道整建工程（延壽橋至三合橋）\9.施工\4.自主檢查\自主檢查統計\[磺港溪C-A自主檢查統計1130311.xlsx]15.路床 路基高程</v>
      </c>
    </row>
    <row r="2" spans="1:7" ht="19.5" x14ac:dyDescent="0.25">
      <c r="A2" s="103" t="s">
        <v>142</v>
      </c>
      <c r="B2" s="103"/>
      <c r="C2" s="103"/>
      <c r="D2" s="103"/>
      <c r="E2" s="103"/>
      <c r="G2" s="79" t="str">
        <f ca="1">RIGHT(F1,LEN(F1)-FIND("]",F1))</f>
        <v>15.路床 路基高程</v>
      </c>
    </row>
    <row r="3" spans="1:7" ht="21" x14ac:dyDescent="0.25">
      <c r="A3" s="104" t="str">
        <f ca="1">G13&amp;"自主檢查表統計"</f>
        <v>路床 路基高程自主檢查表統計</v>
      </c>
      <c r="B3" s="104"/>
      <c r="C3" s="104"/>
      <c r="D3" s="104"/>
      <c r="E3" s="104"/>
      <c r="F3" s="1" t="s">
        <v>144</v>
      </c>
      <c r="G3" s="1" t="str">
        <f t="shared" ref="G3:G13" ca="1" si="0">SUBSTITUTE(G2,F3,"")</f>
        <v>15路床 路基高程</v>
      </c>
    </row>
    <row r="4" spans="1:7" x14ac:dyDescent="0.25">
      <c r="A4" s="3" t="s">
        <v>18</v>
      </c>
      <c r="B4" s="3" t="s">
        <v>2</v>
      </c>
      <c r="C4" s="13" t="s">
        <v>17</v>
      </c>
      <c r="D4" s="3" t="s">
        <v>16</v>
      </c>
      <c r="E4" s="3" t="s">
        <v>15</v>
      </c>
      <c r="F4" s="1">
        <v>0</v>
      </c>
      <c r="G4" s="1" t="str">
        <f t="shared" ca="1" si="0"/>
        <v>15路床 路基高程</v>
      </c>
    </row>
    <row r="5" spans="1:7" x14ac:dyDescent="0.25">
      <c r="A5" s="3"/>
      <c r="B5" s="3" t="s">
        <v>153</v>
      </c>
      <c r="C5" s="13"/>
      <c r="D5" s="3"/>
      <c r="E5" s="3"/>
      <c r="F5" s="1">
        <v>1</v>
      </c>
      <c r="G5" s="1" t="str">
        <f t="shared" ca="1" si="0"/>
        <v>5路床 路基高程</v>
      </c>
    </row>
    <row r="6" spans="1:7" x14ac:dyDescent="0.25">
      <c r="A6" s="3"/>
      <c r="B6" s="3"/>
      <c r="C6" s="13"/>
      <c r="D6" s="3"/>
      <c r="E6" s="3"/>
      <c r="F6" s="1">
        <v>2</v>
      </c>
      <c r="G6" s="1" t="str">
        <f t="shared" ca="1" si="0"/>
        <v>5路床 路基高程</v>
      </c>
    </row>
    <row r="7" spans="1:7" x14ac:dyDescent="0.25">
      <c r="A7" s="3"/>
      <c r="B7" s="3"/>
      <c r="C7" s="13"/>
      <c r="D7" s="3"/>
      <c r="E7" s="3"/>
      <c r="F7" s="1">
        <v>3</v>
      </c>
      <c r="G7" s="1" t="str">
        <f t="shared" ca="1" si="0"/>
        <v>5路床 路基高程</v>
      </c>
    </row>
    <row r="8" spans="1:7" x14ac:dyDescent="0.25">
      <c r="A8" s="3"/>
      <c r="B8" s="3"/>
      <c r="C8" s="13"/>
      <c r="D8" s="3"/>
      <c r="E8" s="3"/>
      <c r="F8" s="1">
        <v>4</v>
      </c>
      <c r="G8" s="1" t="str">
        <f t="shared" ca="1" si="0"/>
        <v>5路床 路基高程</v>
      </c>
    </row>
    <row r="9" spans="1:7" x14ac:dyDescent="0.25">
      <c r="A9" s="3"/>
      <c r="B9" s="3"/>
      <c r="C9" s="13"/>
      <c r="D9" s="3"/>
      <c r="E9" s="3"/>
      <c r="F9" s="1">
        <v>5</v>
      </c>
      <c r="G9" s="1" t="str">
        <f t="shared" ca="1" si="0"/>
        <v>路床 路基高程</v>
      </c>
    </row>
    <row r="10" spans="1:7" x14ac:dyDescent="0.25">
      <c r="A10" s="3"/>
      <c r="B10" s="3"/>
      <c r="C10" s="13"/>
      <c r="D10" s="3"/>
      <c r="E10" s="3"/>
      <c r="F10" s="1">
        <v>6</v>
      </c>
      <c r="G10" s="1" t="str">
        <f t="shared" ca="1" si="0"/>
        <v>路床 路基高程</v>
      </c>
    </row>
    <row r="11" spans="1:7" x14ac:dyDescent="0.25">
      <c r="A11" s="3"/>
      <c r="B11" s="3"/>
      <c r="C11" s="13"/>
      <c r="D11" s="3"/>
      <c r="E11" s="3"/>
      <c r="F11" s="1">
        <v>7</v>
      </c>
      <c r="G11" s="1" t="str">
        <f t="shared" ca="1" si="0"/>
        <v>路床 路基高程</v>
      </c>
    </row>
    <row r="12" spans="1:7" x14ac:dyDescent="0.25">
      <c r="A12" s="3"/>
      <c r="B12" s="3"/>
      <c r="C12" s="13"/>
      <c r="D12" s="3"/>
      <c r="E12" s="3"/>
      <c r="F12" s="1">
        <v>8</v>
      </c>
      <c r="G12" s="1" t="str">
        <f t="shared" ca="1" si="0"/>
        <v>路床 路基高程</v>
      </c>
    </row>
    <row r="13" spans="1:7" x14ac:dyDescent="0.25">
      <c r="A13" s="3"/>
      <c r="B13" s="3"/>
      <c r="C13" s="13"/>
      <c r="D13" s="3"/>
      <c r="E13" s="3"/>
      <c r="F13" s="1">
        <v>9</v>
      </c>
      <c r="G13" s="1" t="str">
        <f t="shared" ca="1" si="0"/>
        <v>路床 路基高程</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4D626-B611-4552-9BFA-954D8296BC7E}">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\\上溢北投\d\雲端\A.上溢\1.磺港溪再造C段護岸及步道整建工程（延壽橋至三合橋）\9.施工\4.自主檢查\自主檢查統計\[磺港溪C-A自主檢查統計1130311.xlsx]16.瀝青混凝土</v>
      </c>
    </row>
    <row r="2" spans="1:7" ht="19.5" x14ac:dyDescent="0.25">
      <c r="A2" s="103" t="s">
        <v>142</v>
      </c>
      <c r="B2" s="103"/>
      <c r="C2" s="103"/>
      <c r="D2" s="103"/>
      <c r="E2" s="103"/>
      <c r="G2" s="79" t="str">
        <f ca="1">RIGHT(F1,LEN(F1)-FIND("]",F1))</f>
        <v>16.瀝青混凝土</v>
      </c>
    </row>
    <row r="3" spans="1:7" ht="21" x14ac:dyDescent="0.25">
      <c r="A3" s="104" t="str">
        <f ca="1">G13&amp;"自主檢查表統計"</f>
        <v>瀝青混凝土自主檢查表統計</v>
      </c>
      <c r="B3" s="104"/>
      <c r="C3" s="104"/>
      <c r="D3" s="104"/>
      <c r="E3" s="104"/>
      <c r="F3" s="1" t="s">
        <v>144</v>
      </c>
      <c r="G3" s="1" t="str">
        <f t="shared" ref="G3:G13" ca="1" si="0">SUBSTITUTE(G2,F3,"")</f>
        <v>16瀝青混凝土</v>
      </c>
    </row>
    <row r="4" spans="1:7" x14ac:dyDescent="0.25">
      <c r="A4" s="3" t="s">
        <v>18</v>
      </c>
      <c r="B4" s="3" t="s">
        <v>2</v>
      </c>
      <c r="C4" s="13" t="s">
        <v>17</v>
      </c>
      <c r="D4" s="3" t="s">
        <v>16</v>
      </c>
      <c r="E4" s="3" t="s">
        <v>15</v>
      </c>
      <c r="F4" s="1">
        <v>0</v>
      </c>
      <c r="G4" s="1" t="str">
        <f t="shared" ca="1" si="0"/>
        <v>16瀝青混凝土</v>
      </c>
    </row>
    <row r="5" spans="1:7" x14ac:dyDescent="0.25">
      <c r="A5" s="3"/>
      <c r="B5" s="3" t="s">
        <v>334</v>
      </c>
      <c r="C5" s="13"/>
      <c r="D5" s="3"/>
      <c r="E5" s="3"/>
      <c r="F5" s="1">
        <v>1</v>
      </c>
      <c r="G5" s="1" t="str">
        <f t="shared" ca="1" si="0"/>
        <v>6瀝青混凝土</v>
      </c>
    </row>
    <row r="6" spans="1:7" x14ac:dyDescent="0.25">
      <c r="A6" s="3"/>
      <c r="B6" s="3"/>
      <c r="C6" s="13"/>
      <c r="D6" s="3"/>
      <c r="E6" s="3"/>
      <c r="F6" s="1">
        <v>2</v>
      </c>
      <c r="G6" s="1" t="str">
        <f t="shared" ca="1" si="0"/>
        <v>6瀝青混凝土</v>
      </c>
    </row>
    <row r="7" spans="1:7" x14ac:dyDescent="0.25">
      <c r="A7" s="3"/>
      <c r="B7" s="3"/>
      <c r="C7" s="13"/>
      <c r="D7" s="3"/>
      <c r="E7" s="3"/>
      <c r="F7" s="1">
        <v>3</v>
      </c>
      <c r="G7" s="1" t="str">
        <f t="shared" ca="1" si="0"/>
        <v>6瀝青混凝土</v>
      </c>
    </row>
    <row r="8" spans="1:7" x14ac:dyDescent="0.25">
      <c r="A8" s="3"/>
      <c r="B8" s="3"/>
      <c r="C8" s="13"/>
      <c r="D8" s="3"/>
      <c r="E8" s="3"/>
      <c r="F8" s="1">
        <v>4</v>
      </c>
      <c r="G8" s="1" t="str">
        <f t="shared" ca="1" si="0"/>
        <v>6瀝青混凝土</v>
      </c>
    </row>
    <row r="9" spans="1:7" x14ac:dyDescent="0.25">
      <c r="A9" s="3"/>
      <c r="B9" s="3"/>
      <c r="C9" s="13"/>
      <c r="D9" s="3"/>
      <c r="E9" s="3"/>
      <c r="F9" s="1">
        <v>5</v>
      </c>
      <c r="G9" s="1" t="str">
        <f t="shared" ca="1" si="0"/>
        <v>6瀝青混凝土</v>
      </c>
    </row>
    <row r="10" spans="1:7" x14ac:dyDescent="0.25">
      <c r="A10" s="3"/>
      <c r="B10" s="3"/>
      <c r="C10" s="13"/>
      <c r="D10" s="3"/>
      <c r="E10" s="3"/>
      <c r="F10" s="1">
        <v>6</v>
      </c>
      <c r="G10" s="1" t="str">
        <f t="shared" ca="1" si="0"/>
        <v>瀝青混凝土</v>
      </c>
    </row>
    <row r="11" spans="1:7" x14ac:dyDescent="0.25">
      <c r="A11" s="3"/>
      <c r="B11" s="3"/>
      <c r="C11" s="13"/>
      <c r="D11" s="3"/>
      <c r="E11" s="3"/>
      <c r="F11" s="1">
        <v>7</v>
      </c>
      <c r="G11" s="1" t="str">
        <f t="shared" ca="1" si="0"/>
        <v>瀝青混凝土</v>
      </c>
    </row>
    <row r="12" spans="1:7" x14ac:dyDescent="0.25">
      <c r="A12" s="3"/>
      <c r="B12" s="3"/>
      <c r="C12" s="13"/>
      <c r="D12" s="3"/>
      <c r="E12" s="3"/>
      <c r="F12" s="1">
        <v>8</v>
      </c>
      <c r="G12" s="1" t="str">
        <f t="shared" ca="1" si="0"/>
        <v>瀝青混凝土</v>
      </c>
    </row>
    <row r="13" spans="1:7" x14ac:dyDescent="0.25">
      <c r="A13" s="3"/>
      <c r="B13" s="3"/>
      <c r="C13" s="13"/>
      <c r="D13" s="3"/>
      <c r="E13" s="3"/>
      <c r="F13" s="1">
        <v>9</v>
      </c>
      <c r="G13" s="1" t="str">
        <f t="shared" ca="1" si="0"/>
        <v>瀝青混凝土</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3E91C-7410-40E6-936A-67B63DE25E47}">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\\上溢北投\d\雲端\A.上溢\1.磺港溪再造C段護岸及步道整建工程（延壽橋至三合橋）\9.施工\4.自主檢查\自主檢查統計\[磺港溪C-A自主檢查統計1130311.xlsx]17.景觀鋪面(一)</v>
      </c>
    </row>
    <row r="2" spans="1:7" ht="19.5" x14ac:dyDescent="0.25">
      <c r="A2" s="103" t="s">
        <v>142</v>
      </c>
      <c r="B2" s="103"/>
      <c r="C2" s="103"/>
      <c r="D2" s="103"/>
      <c r="E2" s="103"/>
      <c r="G2" s="79" t="str">
        <f ca="1">RIGHT(F1,LEN(F1)-FIND("]",F1))</f>
        <v>17.景觀鋪面(一)</v>
      </c>
    </row>
    <row r="3" spans="1:7" ht="21" x14ac:dyDescent="0.25">
      <c r="A3" s="104" t="str">
        <f ca="1">G13&amp;"自主檢查表統計"</f>
        <v>景觀鋪面(一)自主檢查表統計</v>
      </c>
      <c r="B3" s="104"/>
      <c r="C3" s="104"/>
      <c r="D3" s="104"/>
      <c r="E3" s="104"/>
      <c r="F3" s="1" t="s">
        <v>144</v>
      </c>
      <c r="G3" s="1" t="str">
        <f t="shared" ref="G3:G13" ca="1" si="0">SUBSTITUTE(G2,F3,"")</f>
        <v>17景觀鋪面(一)</v>
      </c>
    </row>
    <row r="4" spans="1:7" x14ac:dyDescent="0.25">
      <c r="A4" s="3" t="s">
        <v>18</v>
      </c>
      <c r="B4" s="3" t="s">
        <v>2</v>
      </c>
      <c r="C4" s="13" t="s">
        <v>17</v>
      </c>
      <c r="D4" s="3" t="s">
        <v>16</v>
      </c>
      <c r="E4" s="3" t="s">
        <v>15</v>
      </c>
      <c r="F4" s="1">
        <v>0</v>
      </c>
      <c r="G4" s="1" t="str">
        <f t="shared" ca="1" si="0"/>
        <v>17景觀鋪面(一)</v>
      </c>
    </row>
    <row r="5" spans="1:7" x14ac:dyDescent="0.25">
      <c r="A5" s="3"/>
      <c r="B5" s="3" t="s">
        <v>154</v>
      </c>
      <c r="C5" s="13"/>
      <c r="D5" s="3"/>
      <c r="E5" s="3"/>
      <c r="F5" s="1">
        <v>1</v>
      </c>
      <c r="G5" s="1" t="str">
        <f t="shared" ca="1" si="0"/>
        <v>7景觀鋪面(一)</v>
      </c>
    </row>
    <row r="6" spans="1:7" x14ac:dyDescent="0.25">
      <c r="A6" s="3"/>
      <c r="B6" s="3"/>
      <c r="C6" s="13"/>
      <c r="D6" s="3"/>
      <c r="E6" s="3"/>
      <c r="F6" s="1">
        <v>2</v>
      </c>
      <c r="G6" s="1" t="str">
        <f t="shared" ca="1" si="0"/>
        <v>7景觀鋪面(一)</v>
      </c>
    </row>
    <row r="7" spans="1:7" x14ac:dyDescent="0.25">
      <c r="A7" s="3"/>
      <c r="B7" s="3"/>
      <c r="C7" s="13"/>
      <c r="D7" s="3"/>
      <c r="E7" s="3"/>
      <c r="F7" s="1">
        <v>3</v>
      </c>
      <c r="G7" s="1" t="str">
        <f t="shared" ca="1" si="0"/>
        <v>7景觀鋪面(一)</v>
      </c>
    </row>
    <row r="8" spans="1:7" x14ac:dyDescent="0.25">
      <c r="A8" s="3"/>
      <c r="B8" s="3"/>
      <c r="C8" s="13"/>
      <c r="D8" s="3"/>
      <c r="E8" s="3"/>
      <c r="F8" s="1">
        <v>4</v>
      </c>
      <c r="G8" s="1" t="str">
        <f t="shared" ca="1" si="0"/>
        <v>7景觀鋪面(一)</v>
      </c>
    </row>
    <row r="9" spans="1:7" x14ac:dyDescent="0.25">
      <c r="A9" s="3"/>
      <c r="B9" s="3"/>
      <c r="C9" s="13"/>
      <c r="D9" s="3"/>
      <c r="E9" s="3"/>
      <c r="F9" s="1">
        <v>5</v>
      </c>
      <c r="G9" s="1" t="str">
        <f t="shared" ca="1" si="0"/>
        <v>7景觀鋪面(一)</v>
      </c>
    </row>
    <row r="10" spans="1:7" x14ac:dyDescent="0.25">
      <c r="A10" s="3"/>
      <c r="B10" s="3"/>
      <c r="C10" s="13"/>
      <c r="D10" s="3"/>
      <c r="E10" s="3"/>
      <c r="F10" s="1">
        <v>6</v>
      </c>
      <c r="G10" s="1" t="str">
        <f t="shared" ca="1" si="0"/>
        <v>7景觀鋪面(一)</v>
      </c>
    </row>
    <row r="11" spans="1:7" x14ac:dyDescent="0.25">
      <c r="A11" s="3"/>
      <c r="B11" s="3"/>
      <c r="C11" s="13"/>
      <c r="D11" s="3"/>
      <c r="E11" s="3"/>
      <c r="F11" s="1">
        <v>7</v>
      </c>
      <c r="G11" s="1" t="str">
        <f t="shared" ca="1" si="0"/>
        <v>景觀鋪面(一)</v>
      </c>
    </row>
    <row r="12" spans="1:7" x14ac:dyDescent="0.25">
      <c r="A12" s="3"/>
      <c r="B12" s="3"/>
      <c r="C12" s="13"/>
      <c r="D12" s="3"/>
      <c r="E12" s="3"/>
      <c r="F12" s="1">
        <v>8</v>
      </c>
      <c r="G12" s="1" t="str">
        <f t="shared" ca="1" si="0"/>
        <v>景觀鋪面(一)</v>
      </c>
    </row>
    <row r="13" spans="1:7" x14ac:dyDescent="0.25">
      <c r="A13" s="3"/>
      <c r="B13" s="3"/>
      <c r="C13" s="13"/>
      <c r="D13" s="3"/>
      <c r="E13" s="3"/>
      <c r="F13" s="1">
        <v>9</v>
      </c>
      <c r="G13" s="1" t="str">
        <f t="shared" ca="1" si="0"/>
        <v>景觀鋪面(一)</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3FFFB-B62F-41F5-841E-17E917AB1A74}">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\\上溢北投\d\雲端\A.上溢\1.磺港溪再造C段護岸及步道整建工程（延壽橋至三合橋）\9.施工\4.自主檢查\自主檢查統計\[磺港溪C-A自主檢查統計1130311.xlsx]18.景觀鋪面(二)</v>
      </c>
    </row>
    <row r="2" spans="1:7" ht="19.5" x14ac:dyDescent="0.25">
      <c r="A2" s="103" t="s">
        <v>142</v>
      </c>
      <c r="B2" s="103"/>
      <c r="C2" s="103"/>
      <c r="D2" s="103"/>
      <c r="E2" s="103"/>
      <c r="G2" s="79" t="str">
        <f ca="1">RIGHT(F1,LEN(F1)-FIND("]",F1))</f>
        <v>18.景觀鋪面(二)</v>
      </c>
    </row>
    <row r="3" spans="1:7" ht="21" x14ac:dyDescent="0.25">
      <c r="A3" s="104" t="str">
        <f ca="1">G13&amp;"自主檢查表統計"</f>
        <v>景觀鋪面(二)自主檢查表統計</v>
      </c>
      <c r="B3" s="104"/>
      <c r="C3" s="104"/>
      <c r="D3" s="104"/>
      <c r="E3" s="104"/>
      <c r="F3" s="1" t="s">
        <v>144</v>
      </c>
      <c r="G3" s="1" t="str">
        <f t="shared" ref="G3:G13" ca="1" si="0">SUBSTITUTE(G2,F3,"")</f>
        <v>18景觀鋪面(二)</v>
      </c>
    </row>
    <row r="4" spans="1:7" x14ac:dyDescent="0.25">
      <c r="A4" s="3" t="s">
        <v>18</v>
      </c>
      <c r="B4" s="3" t="s">
        <v>2</v>
      </c>
      <c r="C4" s="13" t="s">
        <v>17</v>
      </c>
      <c r="D4" s="3" t="s">
        <v>16</v>
      </c>
      <c r="E4" s="3" t="s">
        <v>15</v>
      </c>
      <c r="F4" s="1">
        <v>0</v>
      </c>
      <c r="G4" s="1" t="str">
        <f t="shared" ca="1" si="0"/>
        <v>18景觀鋪面(二)</v>
      </c>
    </row>
    <row r="5" spans="1:7" x14ac:dyDescent="0.25">
      <c r="A5" s="3"/>
      <c r="B5" s="3" t="s">
        <v>155</v>
      </c>
      <c r="C5" s="13"/>
      <c r="D5" s="3"/>
      <c r="E5" s="3"/>
      <c r="F5" s="1">
        <v>1</v>
      </c>
      <c r="G5" s="1" t="str">
        <f t="shared" ca="1" si="0"/>
        <v>8景觀鋪面(二)</v>
      </c>
    </row>
    <row r="6" spans="1:7" x14ac:dyDescent="0.25">
      <c r="A6" s="3"/>
      <c r="B6" s="3"/>
      <c r="C6" s="13"/>
      <c r="D6" s="3"/>
      <c r="E6" s="3"/>
      <c r="F6" s="1">
        <v>2</v>
      </c>
      <c r="G6" s="1" t="str">
        <f t="shared" ca="1" si="0"/>
        <v>8景觀鋪面(二)</v>
      </c>
    </row>
    <row r="7" spans="1:7" x14ac:dyDescent="0.25">
      <c r="A7" s="3"/>
      <c r="B7" s="3"/>
      <c r="C7" s="13"/>
      <c r="D7" s="3"/>
      <c r="E7" s="3"/>
      <c r="F7" s="1">
        <v>3</v>
      </c>
      <c r="G7" s="1" t="str">
        <f t="shared" ca="1" si="0"/>
        <v>8景觀鋪面(二)</v>
      </c>
    </row>
    <row r="8" spans="1:7" x14ac:dyDescent="0.25">
      <c r="A8" s="3"/>
      <c r="B8" s="3"/>
      <c r="C8" s="13"/>
      <c r="D8" s="3"/>
      <c r="E8" s="3"/>
      <c r="F8" s="1">
        <v>4</v>
      </c>
      <c r="G8" s="1" t="str">
        <f t="shared" ca="1" si="0"/>
        <v>8景觀鋪面(二)</v>
      </c>
    </row>
    <row r="9" spans="1:7" x14ac:dyDescent="0.25">
      <c r="A9" s="3"/>
      <c r="B9" s="3"/>
      <c r="C9" s="13"/>
      <c r="D9" s="3"/>
      <c r="E9" s="3"/>
      <c r="F9" s="1">
        <v>5</v>
      </c>
      <c r="G9" s="1" t="str">
        <f t="shared" ca="1" si="0"/>
        <v>8景觀鋪面(二)</v>
      </c>
    </row>
    <row r="10" spans="1:7" x14ac:dyDescent="0.25">
      <c r="A10" s="3"/>
      <c r="B10" s="3"/>
      <c r="C10" s="13"/>
      <c r="D10" s="3"/>
      <c r="E10" s="3"/>
      <c r="F10" s="1">
        <v>6</v>
      </c>
      <c r="G10" s="1" t="str">
        <f t="shared" ca="1" si="0"/>
        <v>8景觀鋪面(二)</v>
      </c>
    </row>
    <row r="11" spans="1:7" x14ac:dyDescent="0.25">
      <c r="A11" s="3"/>
      <c r="B11" s="3"/>
      <c r="C11" s="13"/>
      <c r="D11" s="3"/>
      <c r="E11" s="3"/>
      <c r="F11" s="1">
        <v>7</v>
      </c>
      <c r="G11" s="1" t="str">
        <f t="shared" ca="1" si="0"/>
        <v>8景觀鋪面(二)</v>
      </c>
    </row>
    <row r="12" spans="1:7" x14ac:dyDescent="0.25">
      <c r="A12" s="3"/>
      <c r="B12" s="3"/>
      <c r="C12" s="13"/>
      <c r="D12" s="3"/>
      <c r="E12" s="3"/>
      <c r="F12" s="1">
        <v>8</v>
      </c>
      <c r="G12" s="1" t="str">
        <f t="shared" ca="1" si="0"/>
        <v>景觀鋪面(二)</v>
      </c>
    </row>
    <row r="13" spans="1:7" x14ac:dyDescent="0.25">
      <c r="A13" s="3"/>
      <c r="B13" s="3"/>
      <c r="C13" s="13"/>
      <c r="D13" s="3"/>
      <c r="E13" s="3"/>
      <c r="F13" s="1">
        <v>9</v>
      </c>
      <c r="G13" s="1" t="str">
        <f t="shared" ca="1" si="0"/>
        <v>景觀鋪面(二)</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0BA63-E5A9-47B4-B109-B0ADEEDC5854}">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\\上溢北投\d\雲端\A.上溢\1.磺港溪再造C段護岸及步道整建工程（延壽橋至三合橋）\9.施工\4.自主檢查\自主檢查統計\[磺港溪C-A自主檢查統計1130311.xlsx]19.預鑄緣石</v>
      </c>
    </row>
    <row r="2" spans="1:7" ht="19.5" x14ac:dyDescent="0.25">
      <c r="A2" s="103" t="s">
        <v>142</v>
      </c>
      <c r="B2" s="103"/>
      <c r="C2" s="103"/>
      <c r="D2" s="103"/>
      <c r="E2" s="103"/>
      <c r="G2" s="79" t="str">
        <f ca="1">RIGHT(F1,LEN(F1)-FIND("]",F1))</f>
        <v>19.預鑄緣石</v>
      </c>
    </row>
    <row r="3" spans="1:7" ht="21" x14ac:dyDescent="0.25">
      <c r="A3" s="104" t="str">
        <f ca="1">G13&amp;"自主檢查表統計"</f>
        <v>預鑄緣石自主檢查表統計</v>
      </c>
      <c r="B3" s="104"/>
      <c r="C3" s="104"/>
      <c r="D3" s="104"/>
      <c r="E3" s="104"/>
      <c r="F3" s="1" t="s">
        <v>144</v>
      </c>
      <c r="G3" s="1" t="str">
        <f t="shared" ref="G3:G13" ca="1" si="0">SUBSTITUTE(G2,F3,"")</f>
        <v>19預鑄緣石</v>
      </c>
    </row>
    <row r="4" spans="1:7" x14ac:dyDescent="0.25">
      <c r="A4" s="3" t="s">
        <v>18</v>
      </c>
      <c r="B4" s="3" t="s">
        <v>2</v>
      </c>
      <c r="C4" s="13" t="s">
        <v>17</v>
      </c>
      <c r="D4" s="3" t="s">
        <v>16</v>
      </c>
      <c r="E4" s="3" t="s">
        <v>15</v>
      </c>
      <c r="F4" s="1">
        <v>0</v>
      </c>
      <c r="G4" s="1" t="str">
        <f t="shared" ca="1" si="0"/>
        <v>19預鑄緣石</v>
      </c>
    </row>
    <row r="5" spans="1:7" x14ac:dyDescent="0.25">
      <c r="A5" s="3"/>
      <c r="B5" s="3" t="s">
        <v>156</v>
      </c>
      <c r="C5" s="13"/>
      <c r="D5" s="3"/>
      <c r="E5" s="3"/>
      <c r="F5" s="1">
        <v>1</v>
      </c>
      <c r="G5" s="1" t="str">
        <f t="shared" ca="1" si="0"/>
        <v>9預鑄緣石</v>
      </c>
    </row>
    <row r="6" spans="1:7" x14ac:dyDescent="0.25">
      <c r="A6" s="3"/>
      <c r="B6" s="3"/>
      <c r="C6" s="13"/>
      <c r="D6" s="3"/>
      <c r="E6" s="3"/>
      <c r="F6" s="1">
        <v>2</v>
      </c>
      <c r="G6" s="1" t="str">
        <f t="shared" ca="1" si="0"/>
        <v>9預鑄緣石</v>
      </c>
    </row>
    <row r="7" spans="1:7" x14ac:dyDescent="0.25">
      <c r="A7" s="3"/>
      <c r="B7" s="3"/>
      <c r="C7" s="13"/>
      <c r="D7" s="3"/>
      <c r="E7" s="3"/>
      <c r="F7" s="1">
        <v>3</v>
      </c>
      <c r="G7" s="1" t="str">
        <f t="shared" ca="1" si="0"/>
        <v>9預鑄緣石</v>
      </c>
    </row>
    <row r="8" spans="1:7" x14ac:dyDescent="0.25">
      <c r="A8" s="3"/>
      <c r="B8" s="3"/>
      <c r="C8" s="13"/>
      <c r="D8" s="3"/>
      <c r="E8" s="3"/>
      <c r="F8" s="1">
        <v>4</v>
      </c>
      <c r="G8" s="1" t="str">
        <f t="shared" ca="1" si="0"/>
        <v>9預鑄緣石</v>
      </c>
    </row>
    <row r="9" spans="1:7" x14ac:dyDescent="0.25">
      <c r="A9" s="3"/>
      <c r="B9" s="3"/>
      <c r="C9" s="13"/>
      <c r="D9" s="3"/>
      <c r="E9" s="3"/>
      <c r="F9" s="1">
        <v>5</v>
      </c>
      <c r="G9" s="1" t="str">
        <f t="shared" ca="1" si="0"/>
        <v>9預鑄緣石</v>
      </c>
    </row>
    <row r="10" spans="1:7" x14ac:dyDescent="0.25">
      <c r="A10" s="3"/>
      <c r="B10" s="3"/>
      <c r="C10" s="13"/>
      <c r="D10" s="3"/>
      <c r="E10" s="3"/>
      <c r="F10" s="1">
        <v>6</v>
      </c>
      <c r="G10" s="1" t="str">
        <f t="shared" ca="1" si="0"/>
        <v>9預鑄緣石</v>
      </c>
    </row>
    <row r="11" spans="1:7" x14ac:dyDescent="0.25">
      <c r="A11" s="3"/>
      <c r="B11" s="3"/>
      <c r="C11" s="13"/>
      <c r="D11" s="3"/>
      <c r="E11" s="3"/>
      <c r="F11" s="1">
        <v>7</v>
      </c>
      <c r="G11" s="1" t="str">
        <f t="shared" ca="1" si="0"/>
        <v>9預鑄緣石</v>
      </c>
    </row>
    <row r="12" spans="1:7" x14ac:dyDescent="0.25">
      <c r="A12" s="3"/>
      <c r="B12" s="3"/>
      <c r="C12" s="13"/>
      <c r="D12" s="3"/>
      <c r="E12" s="3"/>
      <c r="F12" s="1">
        <v>8</v>
      </c>
      <c r="G12" s="1" t="str">
        <f t="shared" ca="1" si="0"/>
        <v>9預鑄緣石</v>
      </c>
    </row>
    <row r="13" spans="1:7" x14ac:dyDescent="0.25">
      <c r="A13" s="3"/>
      <c r="B13" s="3"/>
      <c r="C13" s="13"/>
      <c r="D13" s="3"/>
      <c r="E13" s="3"/>
      <c r="F13" s="1">
        <v>9</v>
      </c>
      <c r="G13" s="1" t="str">
        <f t="shared" ca="1" si="0"/>
        <v>預鑄緣石</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C23AA-99FF-41F9-91B0-5EEB1C0B620A}">
  <sheetPr>
    <tabColor theme="4" tint="-0.249977111117893"/>
    <pageSetUpPr fitToPage="1"/>
  </sheetPr>
  <dimension ref="A1:G34"/>
  <sheetViews>
    <sheetView view="pageBreakPreview" zoomScale="130" zoomScaleNormal="100" zoomScaleSheetLayoutView="130"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\\上溢北投\d\雲端\A.上溢\1.磺港溪再造C段護岸及步道整建工程（延壽橋至三合橋）\9.施工\4.自主檢查\自主檢查統計\[磺港溪C-A自主檢查統計1130311.xlsx]20.鋼構工程吊裝</v>
      </c>
    </row>
    <row r="2" spans="1:7" ht="19.5" x14ac:dyDescent="0.25">
      <c r="A2" s="103" t="s">
        <v>142</v>
      </c>
      <c r="B2" s="103"/>
      <c r="C2" s="103"/>
      <c r="D2" s="103"/>
      <c r="E2" s="103"/>
      <c r="G2" s="79" t="str">
        <f ca="1">RIGHT(F1,LEN(F1)-FIND("]",F1))</f>
        <v>20.鋼構工程吊裝</v>
      </c>
    </row>
    <row r="3" spans="1:7" ht="21" x14ac:dyDescent="0.25">
      <c r="A3" s="104" t="str">
        <f ca="1">G13&amp;"自主檢查表統計"</f>
        <v>鋼構工程吊裝自主檢查表統計</v>
      </c>
      <c r="B3" s="104"/>
      <c r="C3" s="104"/>
      <c r="D3" s="104"/>
      <c r="E3" s="104"/>
      <c r="F3" s="1" t="s">
        <v>144</v>
      </c>
      <c r="G3" s="1" t="str">
        <f t="shared" ref="G3:G13" ca="1" si="0">SUBSTITUTE(G2,F3,"")</f>
        <v>20鋼構工程吊裝</v>
      </c>
    </row>
    <row r="4" spans="1:7" x14ac:dyDescent="0.25">
      <c r="A4" s="3" t="s">
        <v>18</v>
      </c>
      <c r="B4" s="3" t="s">
        <v>2</v>
      </c>
      <c r="C4" s="13" t="s">
        <v>17</v>
      </c>
      <c r="D4" s="3" t="s">
        <v>16</v>
      </c>
      <c r="E4" s="3" t="s">
        <v>15</v>
      </c>
      <c r="F4" s="1">
        <v>0</v>
      </c>
      <c r="G4" s="1" t="str">
        <f t="shared" ca="1" si="0"/>
        <v>2鋼構工程吊裝</v>
      </c>
    </row>
    <row r="5" spans="1:7" x14ac:dyDescent="0.25">
      <c r="A5" s="3"/>
      <c r="B5" s="3" t="s">
        <v>157</v>
      </c>
      <c r="C5" s="13"/>
      <c r="D5" s="3"/>
      <c r="E5" s="3"/>
      <c r="F5" s="1">
        <v>1</v>
      </c>
      <c r="G5" s="1" t="str">
        <f t="shared" ca="1" si="0"/>
        <v>2鋼構工程吊裝</v>
      </c>
    </row>
    <row r="6" spans="1:7" x14ac:dyDescent="0.25">
      <c r="A6" s="3"/>
      <c r="B6" s="3"/>
      <c r="C6" s="13"/>
      <c r="D6" s="3"/>
      <c r="E6" s="3"/>
      <c r="F6" s="1">
        <v>2</v>
      </c>
      <c r="G6" s="1" t="str">
        <f t="shared" ca="1" si="0"/>
        <v>鋼構工程吊裝</v>
      </c>
    </row>
    <row r="7" spans="1:7" x14ac:dyDescent="0.25">
      <c r="A7" s="3"/>
      <c r="B7" s="3"/>
      <c r="C7" s="13"/>
      <c r="D7" s="3"/>
      <c r="E7" s="3"/>
      <c r="F7" s="1">
        <v>3</v>
      </c>
      <c r="G7" s="1" t="str">
        <f t="shared" ca="1" si="0"/>
        <v>鋼構工程吊裝</v>
      </c>
    </row>
    <row r="8" spans="1:7" x14ac:dyDescent="0.25">
      <c r="A8" s="3"/>
      <c r="B8" s="3"/>
      <c r="C8" s="13"/>
      <c r="D8" s="3"/>
      <c r="E8" s="3"/>
      <c r="F8" s="1">
        <v>4</v>
      </c>
      <c r="G8" s="1" t="str">
        <f t="shared" ca="1" si="0"/>
        <v>鋼構工程吊裝</v>
      </c>
    </row>
    <row r="9" spans="1:7" x14ac:dyDescent="0.25">
      <c r="A9" s="3"/>
      <c r="B9" s="3"/>
      <c r="C9" s="13"/>
      <c r="D9" s="3"/>
      <c r="E9" s="3"/>
      <c r="F9" s="1">
        <v>5</v>
      </c>
      <c r="G9" s="1" t="str">
        <f t="shared" ca="1" si="0"/>
        <v>鋼構工程吊裝</v>
      </c>
    </row>
    <row r="10" spans="1:7" x14ac:dyDescent="0.25">
      <c r="A10" s="3"/>
      <c r="B10" s="3"/>
      <c r="C10" s="13"/>
      <c r="D10" s="3"/>
      <c r="E10" s="3"/>
      <c r="F10" s="1">
        <v>6</v>
      </c>
      <c r="G10" s="1" t="str">
        <f t="shared" ca="1" si="0"/>
        <v>鋼構工程吊裝</v>
      </c>
    </row>
    <row r="11" spans="1:7" x14ac:dyDescent="0.25">
      <c r="A11" s="3"/>
      <c r="B11" s="3"/>
      <c r="C11" s="13"/>
      <c r="D11" s="3"/>
      <c r="E11" s="3"/>
      <c r="F11" s="1">
        <v>7</v>
      </c>
      <c r="G11" s="1" t="str">
        <f t="shared" ca="1" si="0"/>
        <v>鋼構工程吊裝</v>
      </c>
    </row>
    <row r="12" spans="1:7" x14ac:dyDescent="0.25">
      <c r="A12" s="3"/>
      <c r="B12" s="3"/>
      <c r="C12" s="13"/>
      <c r="D12" s="3"/>
      <c r="E12" s="3"/>
      <c r="F12" s="1">
        <v>8</v>
      </c>
      <c r="G12" s="1" t="str">
        <f t="shared" ca="1" si="0"/>
        <v>鋼構工程吊裝</v>
      </c>
    </row>
    <row r="13" spans="1:7" x14ac:dyDescent="0.25">
      <c r="A13" s="3"/>
      <c r="B13" s="3"/>
      <c r="C13" s="13"/>
      <c r="D13" s="3"/>
      <c r="E13" s="3"/>
      <c r="F13" s="1">
        <v>9</v>
      </c>
      <c r="G13" s="1" t="str">
        <f t="shared" ca="1" si="0"/>
        <v>鋼構工程吊裝</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1A2A-7CF6-4AFD-BE3A-EAC2F8943E47}">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\\上溢北投\d\雲端\A.上溢\1.磺港溪再造C段護岸及步道整建工程（延壽橋至三合橋）\9.施工\4.自主檢查\自主檢查統計\[磺港溪C-A自主檢查統計1130311.xlsx]21.鋼構工程塗裝</v>
      </c>
    </row>
    <row r="2" spans="1:7" ht="19.5" x14ac:dyDescent="0.25">
      <c r="A2" s="103" t="s">
        <v>142</v>
      </c>
      <c r="B2" s="103"/>
      <c r="C2" s="103"/>
      <c r="D2" s="103"/>
      <c r="E2" s="103"/>
      <c r="G2" s="79" t="str">
        <f ca="1">RIGHT(F1,LEN(F1)-FIND("]",F1))</f>
        <v>21.鋼構工程塗裝</v>
      </c>
    </row>
    <row r="3" spans="1:7" ht="21" x14ac:dyDescent="0.25">
      <c r="A3" s="104" t="str">
        <f ca="1">G13&amp;"自主檢查表統計"</f>
        <v>鋼構工程塗裝自主檢查表統計</v>
      </c>
      <c r="B3" s="104"/>
      <c r="C3" s="104"/>
      <c r="D3" s="104"/>
      <c r="E3" s="104"/>
      <c r="F3" s="1" t="s">
        <v>144</v>
      </c>
      <c r="G3" s="1" t="str">
        <f t="shared" ref="G3:G13" ca="1" si="0">SUBSTITUTE(G2,F3,"")</f>
        <v>21鋼構工程塗裝</v>
      </c>
    </row>
    <row r="4" spans="1:7" x14ac:dyDescent="0.25">
      <c r="A4" s="3" t="s">
        <v>18</v>
      </c>
      <c r="B4" s="3" t="s">
        <v>2</v>
      </c>
      <c r="C4" s="13" t="s">
        <v>17</v>
      </c>
      <c r="D4" s="3" t="s">
        <v>16</v>
      </c>
      <c r="E4" s="3" t="s">
        <v>15</v>
      </c>
      <c r="F4" s="1">
        <v>0</v>
      </c>
      <c r="G4" s="1" t="str">
        <f t="shared" ca="1" si="0"/>
        <v>21鋼構工程塗裝</v>
      </c>
    </row>
    <row r="5" spans="1:7" x14ac:dyDescent="0.25">
      <c r="A5" s="3"/>
      <c r="B5" s="3" t="s">
        <v>158</v>
      </c>
      <c r="C5" s="13"/>
      <c r="D5" s="3"/>
      <c r="E5" s="3"/>
      <c r="F5" s="1">
        <v>1</v>
      </c>
      <c r="G5" s="1" t="str">
        <f t="shared" ca="1" si="0"/>
        <v>2鋼構工程塗裝</v>
      </c>
    </row>
    <row r="6" spans="1:7" x14ac:dyDescent="0.25">
      <c r="A6" s="3"/>
      <c r="B6" s="3"/>
      <c r="C6" s="13"/>
      <c r="D6" s="3"/>
      <c r="E6" s="3"/>
      <c r="F6" s="1">
        <v>2</v>
      </c>
      <c r="G6" s="1" t="str">
        <f t="shared" ca="1" si="0"/>
        <v>鋼構工程塗裝</v>
      </c>
    </row>
    <row r="7" spans="1:7" x14ac:dyDescent="0.25">
      <c r="A7" s="3"/>
      <c r="B7" s="3"/>
      <c r="C7" s="13"/>
      <c r="D7" s="3"/>
      <c r="E7" s="3"/>
      <c r="F7" s="1">
        <v>3</v>
      </c>
      <c r="G7" s="1" t="str">
        <f t="shared" ca="1" si="0"/>
        <v>鋼構工程塗裝</v>
      </c>
    </row>
    <row r="8" spans="1:7" x14ac:dyDescent="0.25">
      <c r="A8" s="3"/>
      <c r="B8" s="3"/>
      <c r="C8" s="13"/>
      <c r="D8" s="3"/>
      <c r="E8" s="3"/>
      <c r="F8" s="1">
        <v>4</v>
      </c>
      <c r="G8" s="1" t="str">
        <f t="shared" ca="1" si="0"/>
        <v>鋼構工程塗裝</v>
      </c>
    </row>
    <row r="9" spans="1:7" x14ac:dyDescent="0.25">
      <c r="A9" s="3"/>
      <c r="B9" s="3"/>
      <c r="C9" s="13"/>
      <c r="D9" s="3"/>
      <c r="E9" s="3"/>
      <c r="F9" s="1">
        <v>5</v>
      </c>
      <c r="G9" s="1" t="str">
        <f t="shared" ca="1" si="0"/>
        <v>鋼構工程塗裝</v>
      </c>
    </row>
    <row r="10" spans="1:7" x14ac:dyDescent="0.25">
      <c r="A10" s="3"/>
      <c r="B10" s="3"/>
      <c r="C10" s="13"/>
      <c r="D10" s="3"/>
      <c r="E10" s="3"/>
      <c r="F10" s="1">
        <v>6</v>
      </c>
      <c r="G10" s="1" t="str">
        <f t="shared" ca="1" si="0"/>
        <v>鋼構工程塗裝</v>
      </c>
    </row>
    <row r="11" spans="1:7" x14ac:dyDescent="0.25">
      <c r="A11" s="3"/>
      <c r="B11" s="3"/>
      <c r="C11" s="13"/>
      <c r="D11" s="3"/>
      <c r="E11" s="3"/>
      <c r="F11" s="1">
        <v>7</v>
      </c>
      <c r="G11" s="1" t="str">
        <f t="shared" ca="1" si="0"/>
        <v>鋼構工程塗裝</v>
      </c>
    </row>
    <row r="12" spans="1:7" x14ac:dyDescent="0.25">
      <c r="A12" s="3"/>
      <c r="B12" s="3"/>
      <c r="C12" s="13"/>
      <c r="D12" s="3"/>
      <c r="E12" s="3"/>
      <c r="F12" s="1">
        <v>8</v>
      </c>
      <c r="G12" s="1" t="str">
        <f t="shared" ca="1" si="0"/>
        <v>鋼構工程塗裝</v>
      </c>
    </row>
    <row r="13" spans="1:7" x14ac:dyDescent="0.25">
      <c r="A13" s="3"/>
      <c r="B13" s="3"/>
      <c r="C13" s="13"/>
      <c r="D13" s="3"/>
      <c r="E13" s="3"/>
      <c r="F13" s="1">
        <v>9</v>
      </c>
      <c r="G13" s="1" t="str">
        <f t="shared" ca="1" si="0"/>
        <v>鋼構工程塗裝</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2414-9CC6-494F-8851-530F3AACE05C}">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\\上溢北投\d\雲端\A.上溢\1.磺港溪再造C段護岸及步道整建工程（延壽橋至三合橋）\9.施工\4.自主檢查\自主檢查統計\[磺港溪C-A自主檢查統計1130311.xlsx]22.排水設施(一)</v>
      </c>
    </row>
    <row r="2" spans="1:7" ht="19.5" x14ac:dyDescent="0.25">
      <c r="A2" s="103" t="s">
        <v>142</v>
      </c>
      <c r="B2" s="103"/>
      <c r="C2" s="103"/>
      <c r="D2" s="103"/>
      <c r="E2" s="103"/>
      <c r="G2" s="79" t="str">
        <f ca="1">RIGHT(F1,LEN(F1)-FIND("]",F1))</f>
        <v>22.排水設施(一)</v>
      </c>
    </row>
    <row r="3" spans="1:7" ht="21" x14ac:dyDescent="0.25">
      <c r="A3" s="104" t="str">
        <f ca="1">G13&amp;"自主檢查表統計"</f>
        <v>排水設施(一)自主檢查表統計</v>
      </c>
      <c r="B3" s="104"/>
      <c r="C3" s="104"/>
      <c r="D3" s="104"/>
      <c r="E3" s="104"/>
      <c r="F3" s="1" t="s">
        <v>144</v>
      </c>
      <c r="G3" s="1" t="str">
        <f t="shared" ref="G3:G13" ca="1" si="0">SUBSTITUTE(G2,F3,"")</f>
        <v>22排水設施(一)</v>
      </c>
    </row>
    <row r="4" spans="1:7" x14ac:dyDescent="0.25">
      <c r="A4" s="3" t="s">
        <v>18</v>
      </c>
      <c r="B4" s="3" t="s">
        <v>2</v>
      </c>
      <c r="C4" s="13" t="s">
        <v>17</v>
      </c>
      <c r="D4" s="3" t="s">
        <v>16</v>
      </c>
      <c r="E4" s="3" t="s">
        <v>15</v>
      </c>
      <c r="F4" s="1">
        <v>0</v>
      </c>
      <c r="G4" s="1" t="str">
        <f t="shared" ca="1" si="0"/>
        <v>22排水設施(一)</v>
      </c>
    </row>
    <row r="5" spans="1:7" x14ac:dyDescent="0.25">
      <c r="A5" s="3"/>
      <c r="B5" s="3" t="s">
        <v>159</v>
      </c>
      <c r="C5" s="13"/>
      <c r="D5" s="3"/>
      <c r="E5" s="3"/>
      <c r="F5" s="1">
        <v>1</v>
      </c>
      <c r="G5" s="1" t="str">
        <f t="shared" ca="1" si="0"/>
        <v>22排水設施(一)</v>
      </c>
    </row>
    <row r="6" spans="1:7" x14ac:dyDescent="0.25">
      <c r="A6" s="3"/>
      <c r="B6" s="3"/>
      <c r="C6" s="13"/>
      <c r="D6" s="3"/>
      <c r="E6" s="3"/>
      <c r="F6" s="1">
        <v>2</v>
      </c>
      <c r="G6" s="1" t="str">
        <f t="shared" ca="1" si="0"/>
        <v>排水設施(一)</v>
      </c>
    </row>
    <row r="7" spans="1:7" x14ac:dyDescent="0.25">
      <c r="A7" s="3"/>
      <c r="B7" s="3"/>
      <c r="C7" s="13"/>
      <c r="D7" s="3"/>
      <c r="E7" s="3"/>
      <c r="F7" s="1">
        <v>3</v>
      </c>
      <c r="G7" s="1" t="str">
        <f t="shared" ca="1" si="0"/>
        <v>排水設施(一)</v>
      </c>
    </row>
    <row r="8" spans="1:7" x14ac:dyDescent="0.25">
      <c r="A8" s="3"/>
      <c r="B8" s="3"/>
      <c r="C8" s="13"/>
      <c r="D8" s="3"/>
      <c r="E8" s="3"/>
      <c r="F8" s="1">
        <v>4</v>
      </c>
      <c r="G8" s="1" t="str">
        <f t="shared" ca="1" si="0"/>
        <v>排水設施(一)</v>
      </c>
    </row>
    <row r="9" spans="1:7" x14ac:dyDescent="0.25">
      <c r="A9" s="3"/>
      <c r="B9" s="3"/>
      <c r="C9" s="13"/>
      <c r="D9" s="3"/>
      <c r="E9" s="3"/>
      <c r="F9" s="1">
        <v>5</v>
      </c>
      <c r="G9" s="1" t="str">
        <f t="shared" ca="1" si="0"/>
        <v>排水設施(一)</v>
      </c>
    </row>
    <row r="10" spans="1:7" x14ac:dyDescent="0.25">
      <c r="A10" s="3"/>
      <c r="B10" s="3"/>
      <c r="C10" s="13"/>
      <c r="D10" s="3"/>
      <c r="E10" s="3"/>
      <c r="F10" s="1">
        <v>6</v>
      </c>
      <c r="G10" s="1" t="str">
        <f t="shared" ca="1" si="0"/>
        <v>排水設施(一)</v>
      </c>
    </row>
    <row r="11" spans="1:7" x14ac:dyDescent="0.25">
      <c r="A11" s="3"/>
      <c r="B11" s="3"/>
      <c r="C11" s="13"/>
      <c r="D11" s="3"/>
      <c r="E11" s="3"/>
      <c r="F11" s="1">
        <v>7</v>
      </c>
      <c r="G11" s="1" t="str">
        <f t="shared" ca="1" si="0"/>
        <v>排水設施(一)</v>
      </c>
    </row>
    <row r="12" spans="1:7" x14ac:dyDescent="0.25">
      <c r="A12" s="3"/>
      <c r="B12" s="3"/>
      <c r="C12" s="13"/>
      <c r="D12" s="3"/>
      <c r="E12" s="3"/>
      <c r="F12" s="1">
        <v>8</v>
      </c>
      <c r="G12" s="1" t="str">
        <f t="shared" ca="1" si="0"/>
        <v>排水設施(一)</v>
      </c>
    </row>
    <row r="13" spans="1:7" x14ac:dyDescent="0.25">
      <c r="A13" s="3"/>
      <c r="B13" s="3"/>
      <c r="C13" s="13"/>
      <c r="D13" s="3"/>
      <c r="E13" s="3"/>
      <c r="F13" s="1">
        <v>9</v>
      </c>
      <c r="G13" s="1" t="str">
        <f t="shared" ca="1" si="0"/>
        <v>排水設施(一)</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DC845-14C6-4EBB-B49B-7958D6B830B2}">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\\上溢北投\d\雲端\A.上溢\1.磺港溪再造C段護岸及步道整建工程（延壽橋至三合橋）\9.施工\4.自主檢查\自主檢查統計\[磺港溪C-A自主檢查統計1130311.xlsx]23.排水設施(二)</v>
      </c>
    </row>
    <row r="2" spans="1:7" ht="19.5" x14ac:dyDescent="0.25">
      <c r="A2" s="103" t="s">
        <v>142</v>
      </c>
      <c r="B2" s="103"/>
      <c r="C2" s="103"/>
      <c r="D2" s="103"/>
      <c r="E2" s="103"/>
      <c r="G2" s="79" t="str">
        <f ca="1">RIGHT(F1,LEN(F1)-FIND("]",F1))</f>
        <v>23.排水設施(二)</v>
      </c>
    </row>
    <row r="3" spans="1:7" ht="21" x14ac:dyDescent="0.25">
      <c r="A3" s="104" t="str">
        <f ca="1">G13&amp;"自主檢查表統計"</f>
        <v>排水設施(二)自主檢查表統計</v>
      </c>
      <c r="B3" s="104"/>
      <c r="C3" s="104"/>
      <c r="D3" s="104"/>
      <c r="E3" s="104"/>
      <c r="F3" s="1" t="s">
        <v>144</v>
      </c>
      <c r="G3" s="1" t="str">
        <f t="shared" ref="G3:G13" ca="1" si="0">SUBSTITUTE(G2,F3,"")</f>
        <v>23排水設施(二)</v>
      </c>
    </row>
    <row r="4" spans="1:7" x14ac:dyDescent="0.25">
      <c r="A4" s="3" t="s">
        <v>18</v>
      </c>
      <c r="B4" s="3" t="s">
        <v>2</v>
      </c>
      <c r="C4" s="13" t="s">
        <v>17</v>
      </c>
      <c r="D4" s="3" t="s">
        <v>16</v>
      </c>
      <c r="E4" s="3" t="s">
        <v>15</v>
      </c>
      <c r="F4" s="1">
        <v>0</v>
      </c>
      <c r="G4" s="1" t="str">
        <f t="shared" ca="1" si="0"/>
        <v>23排水設施(二)</v>
      </c>
    </row>
    <row r="5" spans="1:7" x14ac:dyDescent="0.25">
      <c r="A5" s="3"/>
      <c r="B5" s="3" t="s">
        <v>160</v>
      </c>
      <c r="C5" s="13"/>
      <c r="D5" s="3"/>
      <c r="E5" s="3"/>
      <c r="F5" s="1">
        <v>1</v>
      </c>
      <c r="G5" s="1" t="str">
        <f t="shared" ca="1" si="0"/>
        <v>23排水設施(二)</v>
      </c>
    </row>
    <row r="6" spans="1:7" x14ac:dyDescent="0.25">
      <c r="A6" s="3"/>
      <c r="B6" s="3"/>
      <c r="C6" s="13"/>
      <c r="D6" s="3"/>
      <c r="E6" s="3"/>
      <c r="F6" s="1">
        <v>2</v>
      </c>
      <c r="G6" s="1" t="str">
        <f t="shared" ca="1" si="0"/>
        <v>3排水設施(二)</v>
      </c>
    </row>
    <row r="7" spans="1:7" x14ac:dyDescent="0.25">
      <c r="A7" s="3"/>
      <c r="B7" s="3"/>
      <c r="C7" s="13"/>
      <c r="D7" s="3"/>
      <c r="E7" s="3"/>
      <c r="F7" s="1">
        <v>3</v>
      </c>
      <c r="G7" s="1" t="str">
        <f t="shared" ca="1" si="0"/>
        <v>排水設施(二)</v>
      </c>
    </row>
    <row r="8" spans="1:7" x14ac:dyDescent="0.25">
      <c r="A8" s="3"/>
      <c r="B8" s="3"/>
      <c r="C8" s="13"/>
      <c r="D8" s="3"/>
      <c r="E8" s="3"/>
      <c r="F8" s="1">
        <v>4</v>
      </c>
      <c r="G8" s="1" t="str">
        <f t="shared" ca="1" si="0"/>
        <v>排水設施(二)</v>
      </c>
    </row>
    <row r="9" spans="1:7" x14ac:dyDescent="0.25">
      <c r="A9" s="3"/>
      <c r="B9" s="3"/>
      <c r="C9" s="13"/>
      <c r="D9" s="3"/>
      <c r="E9" s="3"/>
      <c r="F9" s="1">
        <v>5</v>
      </c>
      <c r="G9" s="1" t="str">
        <f t="shared" ca="1" si="0"/>
        <v>排水設施(二)</v>
      </c>
    </row>
    <row r="10" spans="1:7" x14ac:dyDescent="0.25">
      <c r="A10" s="3"/>
      <c r="B10" s="3"/>
      <c r="C10" s="13"/>
      <c r="D10" s="3"/>
      <c r="E10" s="3"/>
      <c r="F10" s="1">
        <v>6</v>
      </c>
      <c r="G10" s="1" t="str">
        <f t="shared" ca="1" si="0"/>
        <v>排水設施(二)</v>
      </c>
    </row>
    <row r="11" spans="1:7" x14ac:dyDescent="0.25">
      <c r="A11" s="3"/>
      <c r="B11" s="3"/>
      <c r="C11" s="13"/>
      <c r="D11" s="3"/>
      <c r="E11" s="3"/>
      <c r="F11" s="1">
        <v>7</v>
      </c>
      <c r="G11" s="1" t="str">
        <f t="shared" ca="1" si="0"/>
        <v>排水設施(二)</v>
      </c>
    </row>
    <row r="12" spans="1:7" x14ac:dyDescent="0.25">
      <c r="A12" s="3"/>
      <c r="B12" s="3"/>
      <c r="C12" s="13"/>
      <c r="D12" s="3"/>
      <c r="E12" s="3"/>
      <c r="F12" s="1">
        <v>8</v>
      </c>
      <c r="G12" s="1" t="str">
        <f t="shared" ca="1" si="0"/>
        <v>排水設施(二)</v>
      </c>
    </row>
    <row r="13" spans="1:7" x14ac:dyDescent="0.25">
      <c r="A13" s="3"/>
      <c r="B13" s="3"/>
      <c r="C13" s="13"/>
      <c r="D13" s="3"/>
      <c r="E13" s="3"/>
      <c r="F13" s="1">
        <v>9</v>
      </c>
      <c r="G13" s="1" t="str">
        <f t="shared" ca="1" si="0"/>
        <v>排水設施(二)</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A88AF-92BA-4753-B095-0E34FB783D9F}">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\\上溢北投\d\雲端\A.上溢\1.磺港溪再造C段護岸及步道整建工程（延壽橋至三合橋）\9.施工\4.自主檢查\自主檢查統計\[磺港溪C-A自主檢查統計1130311.xlsx]24.木構造</v>
      </c>
    </row>
    <row r="2" spans="1:7" ht="19.5" x14ac:dyDescent="0.25">
      <c r="A2" s="103" t="s">
        <v>142</v>
      </c>
      <c r="B2" s="103"/>
      <c r="C2" s="103"/>
      <c r="D2" s="103"/>
      <c r="E2" s="103"/>
      <c r="G2" s="79" t="str">
        <f ca="1">RIGHT(F1,LEN(F1)-FIND("]",F1))</f>
        <v>24.木構造</v>
      </c>
    </row>
    <row r="3" spans="1:7" ht="21" x14ac:dyDescent="0.25">
      <c r="A3" s="104" t="str">
        <f ca="1">G13&amp;"自主檢查表統計"</f>
        <v>木構造自主檢查表統計</v>
      </c>
      <c r="B3" s="104"/>
      <c r="C3" s="104"/>
      <c r="D3" s="104"/>
      <c r="E3" s="104"/>
      <c r="F3" s="1" t="s">
        <v>144</v>
      </c>
      <c r="G3" s="1" t="str">
        <f t="shared" ref="G3:G13" ca="1" si="0">SUBSTITUTE(G2,F3,"")</f>
        <v>24木構造</v>
      </c>
    </row>
    <row r="4" spans="1:7" x14ac:dyDescent="0.25">
      <c r="A4" s="3" t="s">
        <v>18</v>
      </c>
      <c r="B4" s="3" t="s">
        <v>2</v>
      </c>
      <c r="C4" s="13" t="s">
        <v>17</v>
      </c>
      <c r="D4" s="3" t="s">
        <v>16</v>
      </c>
      <c r="E4" s="3" t="s">
        <v>15</v>
      </c>
      <c r="F4" s="1">
        <v>0</v>
      </c>
      <c r="G4" s="1" t="str">
        <f t="shared" ca="1" si="0"/>
        <v>24木構造</v>
      </c>
    </row>
    <row r="5" spans="1:7" x14ac:dyDescent="0.25">
      <c r="A5" s="3"/>
      <c r="B5" s="3" t="s">
        <v>161</v>
      </c>
      <c r="C5" s="13"/>
      <c r="D5" s="3"/>
      <c r="E5" s="3"/>
      <c r="F5" s="1">
        <v>1</v>
      </c>
      <c r="G5" s="1" t="str">
        <f t="shared" ca="1" si="0"/>
        <v>24木構造</v>
      </c>
    </row>
    <row r="6" spans="1:7" x14ac:dyDescent="0.25">
      <c r="A6" s="3"/>
      <c r="B6" s="3"/>
      <c r="C6" s="13"/>
      <c r="D6" s="3"/>
      <c r="E6" s="3"/>
      <c r="F6" s="1">
        <v>2</v>
      </c>
      <c r="G6" s="1" t="str">
        <f t="shared" ca="1" si="0"/>
        <v>4木構造</v>
      </c>
    </row>
    <row r="7" spans="1:7" x14ac:dyDescent="0.25">
      <c r="A7" s="3"/>
      <c r="B7" s="3"/>
      <c r="C7" s="13"/>
      <c r="D7" s="3"/>
      <c r="E7" s="3"/>
      <c r="F7" s="1">
        <v>3</v>
      </c>
      <c r="G7" s="1" t="str">
        <f t="shared" ca="1" si="0"/>
        <v>4木構造</v>
      </c>
    </row>
    <row r="8" spans="1:7" x14ac:dyDescent="0.25">
      <c r="A8" s="3"/>
      <c r="B8" s="3"/>
      <c r="C8" s="13"/>
      <c r="D8" s="3"/>
      <c r="E8" s="3"/>
      <c r="F8" s="1">
        <v>4</v>
      </c>
      <c r="G8" s="1" t="str">
        <f t="shared" ca="1" si="0"/>
        <v>木構造</v>
      </c>
    </row>
    <row r="9" spans="1:7" x14ac:dyDescent="0.25">
      <c r="A9" s="3"/>
      <c r="B9" s="3"/>
      <c r="C9" s="13"/>
      <c r="D9" s="3"/>
      <c r="E9" s="3"/>
      <c r="F9" s="1">
        <v>5</v>
      </c>
      <c r="G9" s="1" t="str">
        <f t="shared" ca="1" si="0"/>
        <v>木構造</v>
      </c>
    </row>
    <row r="10" spans="1:7" x14ac:dyDescent="0.25">
      <c r="A10" s="3"/>
      <c r="B10" s="3"/>
      <c r="C10" s="13"/>
      <c r="D10" s="3"/>
      <c r="E10" s="3"/>
      <c r="F10" s="1">
        <v>6</v>
      </c>
      <c r="G10" s="1" t="str">
        <f t="shared" ca="1" si="0"/>
        <v>木構造</v>
      </c>
    </row>
    <row r="11" spans="1:7" x14ac:dyDescent="0.25">
      <c r="A11" s="3"/>
      <c r="B11" s="3"/>
      <c r="C11" s="13"/>
      <c r="D11" s="3"/>
      <c r="E11" s="3"/>
      <c r="F11" s="1">
        <v>7</v>
      </c>
      <c r="G11" s="1" t="str">
        <f t="shared" ca="1" si="0"/>
        <v>木構造</v>
      </c>
    </row>
    <row r="12" spans="1:7" x14ac:dyDescent="0.25">
      <c r="A12" s="3"/>
      <c r="B12" s="3"/>
      <c r="C12" s="13"/>
      <c r="D12" s="3"/>
      <c r="E12" s="3"/>
      <c r="F12" s="1">
        <v>8</v>
      </c>
      <c r="G12" s="1" t="str">
        <f t="shared" ca="1" si="0"/>
        <v>木構造</v>
      </c>
    </row>
    <row r="13" spans="1:7" x14ac:dyDescent="0.25">
      <c r="A13" s="3"/>
      <c r="B13" s="3"/>
      <c r="C13" s="13"/>
      <c r="D13" s="3"/>
      <c r="E13" s="3"/>
      <c r="F13" s="1">
        <v>9</v>
      </c>
      <c r="G13" s="1" t="str">
        <f t="shared" ca="1" si="0"/>
        <v>木構造</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7442C-6EA7-4D59-9163-65F024CA0DCE}">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\\上溢北投\d\雲端\A.上溢\1.磺港溪再造C段護岸及步道整建工程（延壽橋至三合橋）\9.施工\4.自主檢查\自主檢查統計\[磺港溪C-A自主檢查統計1130311.xlsx]25.管路</v>
      </c>
    </row>
    <row r="2" spans="1:7" ht="19.5" x14ac:dyDescent="0.25">
      <c r="A2" s="103" t="s">
        <v>142</v>
      </c>
      <c r="B2" s="103"/>
      <c r="C2" s="103"/>
      <c r="D2" s="103"/>
      <c r="E2" s="103"/>
      <c r="G2" s="79" t="str">
        <f ca="1">RIGHT(F1,LEN(F1)-FIND("]",F1))</f>
        <v>25.管路</v>
      </c>
    </row>
    <row r="3" spans="1:7" ht="21" x14ac:dyDescent="0.25">
      <c r="A3" s="104" t="str">
        <f ca="1">G13&amp;"自主檢查表統計"</f>
        <v>管路自主檢查表統計</v>
      </c>
      <c r="B3" s="104"/>
      <c r="C3" s="104"/>
      <c r="D3" s="104"/>
      <c r="E3" s="104"/>
      <c r="F3" s="1" t="s">
        <v>144</v>
      </c>
      <c r="G3" s="1" t="str">
        <f t="shared" ref="G3:G13" ca="1" si="0">SUBSTITUTE(G2,F3,"")</f>
        <v>25管路</v>
      </c>
    </row>
    <row r="4" spans="1:7" x14ac:dyDescent="0.25">
      <c r="A4" s="3" t="s">
        <v>18</v>
      </c>
      <c r="B4" s="3" t="s">
        <v>2</v>
      </c>
      <c r="C4" s="13" t="s">
        <v>17</v>
      </c>
      <c r="D4" s="3" t="s">
        <v>16</v>
      </c>
      <c r="E4" s="3" t="s">
        <v>15</v>
      </c>
      <c r="F4" s="1">
        <v>0</v>
      </c>
      <c r="G4" s="1" t="str">
        <f t="shared" ca="1" si="0"/>
        <v>25管路</v>
      </c>
    </row>
    <row r="5" spans="1:7" x14ac:dyDescent="0.25">
      <c r="A5" s="3"/>
      <c r="B5" s="3" t="s">
        <v>192</v>
      </c>
      <c r="C5" s="13"/>
      <c r="D5" s="3"/>
      <c r="E5" s="3"/>
      <c r="F5" s="1">
        <v>1</v>
      </c>
      <c r="G5" s="1" t="str">
        <f t="shared" ca="1" si="0"/>
        <v>25管路</v>
      </c>
    </row>
    <row r="6" spans="1:7" x14ac:dyDescent="0.25">
      <c r="A6" s="3"/>
      <c r="B6" s="3"/>
      <c r="C6" s="13"/>
      <c r="D6" s="3"/>
      <c r="E6" s="3"/>
      <c r="F6" s="1">
        <v>2</v>
      </c>
      <c r="G6" s="1" t="str">
        <f t="shared" ca="1" si="0"/>
        <v>5管路</v>
      </c>
    </row>
    <row r="7" spans="1:7" x14ac:dyDescent="0.25">
      <c r="A7" s="3"/>
      <c r="B7" s="3"/>
      <c r="C7" s="13"/>
      <c r="D7" s="3"/>
      <c r="E7" s="3"/>
      <c r="F7" s="1">
        <v>3</v>
      </c>
      <c r="G7" s="1" t="str">
        <f t="shared" ca="1" si="0"/>
        <v>5管路</v>
      </c>
    </row>
    <row r="8" spans="1:7" x14ac:dyDescent="0.25">
      <c r="A8" s="3"/>
      <c r="B8" s="3"/>
      <c r="C8" s="13"/>
      <c r="D8" s="3"/>
      <c r="E8" s="3"/>
      <c r="F8" s="1">
        <v>4</v>
      </c>
      <c r="G8" s="1" t="str">
        <f t="shared" ca="1" si="0"/>
        <v>5管路</v>
      </c>
    </row>
    <row r="9" spans="1:7" x14ac:dyDescent="0.25">
      <c r="A9" s="3"/>
      <c r="B9" s="3"/>
      <c r="C9" s="13"/>
      <c r="D9" s="3"/>
      <c r="E9" s="3"/>
      <c r="F9" s="1">
        <v>5</v>
      </c>
      <c r="G9" s="1" t="str">
        <f t="shared" ca="1" si="0"/>
        <v>管路</v>
      </c>
    </row>
    <row r="10" spans="1:7" x14ac:dyDescent="0.25">
      <c r="A10" s="3"/>
      <c r="B10" s="3"/>
      <c r="C10" s="13"/>
      <c r="D10" s="3"/>
      <c r="E10" s="3"/>
      <c r="F10" s="1">
        <v>6</v>
      </c>
      <c r="G10" s="1" t="str">
        <f t="shared" ca="1" si="0"/>
        <v>管路</v>
      </c>
    </row>
    <row r="11" spans="1:7" x14ac:dyDescent="0.25">
      <c r="A11" s="3"/>
      <c r="B11" s="3"/>
      <c r="C11" s="13"/>
      <c r="D11" s="3"/>
      <c r="E11" s="3"/>
      <c r="F11" s="1">
        <v>7</v>
      </c>
      <c r="G11" s="1" t="str">
        <f t="shared" ca="1" si="0"/>
        <v>管路</v>
      </c>
    </row>
    <row r="12" spans="1:7" x14ac:dyDescent="0.25">
      <c r="A12" s="3"/>
      <c r="B12" s="3"/>
      <c r="C12" s="13"/>
      <c r="D12" s="3"/>
      <c r="E12" s="3"/>
      <c r="F12" s="1">
        <v>8</v>
      </c>
      <c r="G12" s="1" t="str">
        <f t="shared" ca="1" si="0"/>
        <v>管路</v>
      </c>
    </row>
    <row r="13" spans="1:7" x14ac:dyDescent="0.25">
      <c r="A13" s="3"/>
      <c r="B13" s="3"/>
      <c r="C13" s="13"/>
      <c r="D13" s="3"/>
      <c r="E13" s="3"/>
      <c r="F13" s="1">
        <v>9</v>
      </c>
      <c r="G13" s="1" t="str">
        <f t="shared" ca="1" si="0"/>
        <v>管路</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2A58-819B-41FC-AB3D-D42A11E41E32}">
  <sheetPr>
    <tabColor theme="4" tint="-0.249977111117893"/>
    <pageSetUpPr fitToPage="1"/>
  </sheetPr>
  <dimension ref="A1:G34"/>
  <sheetViews>
    <sheetView tabSelected="1" view="pageBreakPreview" zoomScale="175" zoomScaleNormal="100" zoomScaleSheetLayoutView="175" zoomScalePageLayoutView="130" workbookViewId="0">
      <pane ySplit="4" topLeftCell="A5" activePane="bottomLeft" state="frozen"/>
      <selection activeCell="E14" sqref="E14"/>
      <selection pane="bottomLeft" activeCell="A11" sqref="A11"/>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\\上溢北投\d\雲端\A.上溢\1.磺港溪再造C段護岸及步道整建工程（延壽橋至三合橋）\9.施工\4.自主檢查\自主檢查統計\[磺港溪C-A自主檢查統計1130311.xlsx]26.植栽(移植)</v>
      </c>
    </row>
    <row r="2" spans="1:7" ht="19.5" x14ac:dyDescent="0.25">
      <c r="A2" s="103" t="s">
        <v>142</v>
      </c>
      <c r="B2" s="103"/>
      <c r="C2" s="103"/>
      <c r="D2" s="103"/>
      <c r="E2" s="103"/>
      <c r="G2" s="79" t="str">
        <f ca="1">RIGHT(F1,LEN(F1)-FIND("]",F1))</f>
        <v>26.植栽(移植)</v>
      </c>
    </row>
    <row r="3" spans="1:7" ht="21" x14ac:dyDescent="0.25">
      <c r="A3" s="104" t="str">
        <f ca="1">G13&amp;"自主檢查表統計"</f>
        <v>植栽(移植)自主檢查表統計</v>
      </c>
      <c r="B3" s="104"/>
      <c r="C3" s="104"/>
      <c r="D3" s="104"/>
      <c r="E3" s="104"/>
      <c r="F3" s="1" t="s">
        <v>144</v>
      </c>
      <c r="G3" s="1" t="str">
        <f t="shared" ref="G3:G13" ca="1" si="0">SUBSTITUTE(G2,F3,"")</f>
        <v>26植栽(移植)</v>
      </c>
    </row>
    <row r="4" spans="1:7" x14ac:dyDescent="0.25">
      <c r="A4" s="3" t="s">
        <v>18</v>
      </c>
      <c r="B4" s="3" t="s">
        <v>2</v>
      </c>
      <c r="C4" s="13" t="s">
        <v>17</v>
      </c>
      <c r="D4" s="3" t="s">
        <v>16</v>
      </c>
      <c r="E4" s="3" t="s">
        <v>15</v>
      </c>
      <c r="F4" s="1">
        <v>0</v>
      </c>
      <c r="G4" s="1" t="str">
        <f t="shared" ca="1" si="0"/>
        <v>26植栽(移植)</v>
      </c>
    </row>
    <row r="5" spans="1:7" x14ac:dyDescent="0.25">
      <c r="A5" s="3">
        <f t="shared" ref="A5:A11" si="1">ROW()-4</f>
        <v>1</v>
      </c>
      <c r="B5" s="3" t="s">
        <v>426</v>
      </c>
      <c r="C5" s="13">
        <v>45192</v>
      </c>
      <c r="D5" s="3" t="s">
        <v>428</v>
      </c>
      <c r="E5" s="3"/>
      <c r="F5" s="1">
        <v>1</v>
      </c>
      <c r="G5" s="1" t="str">
        <f t="shared" ca="1" si="0"/>
        <v>26植栽(移植)</v>
      </c>
    </row>
    <row r="6" spans="1:7" x14ac:dyDescent="0.25">
      <c r="A6" s="3">
        <f t="shared" si="1"/>
        <v>2</v>
      </c>
      <c r="B6" s="3" t="s">
        <v>427</v>
      </c>
      <c r="C6" s="13">
        <v>45194</v>
      </c>
      <c r="D6" s="3" t="s">
        <v>335</v>
      </c>
      <c r="E6" s="3"/>
      <c r="F6" s="1">
        <v>2</v>
      </c>
      <c r="G6" s="1" t="str">
        <f t="shared" ca="1" si="0"/>
        <v>6植栽(移植)</v>
      </c>
    </row>
    <row r="7" spans="1:7" x14ac:dyDescent="0.25">
      <c r="A7" s="3">
        <f t="shared" si="1"/>
        <v>3</v>
      </c>
      <c r="B7" s="3" t="s">
        <v>336</v>
      </c>
      <c r="C7" s="13">
        <v>45246</v>
      </c>
      <c r="D7" s="3" t="s">
        <v>335</v>
      </c>
      <c r="E7" s="3" t="s">
        <v>27</v>
      </c>
      <c r="F7" s="1">
        <v>3</v>
      </c>
      <c r="G7" s="1" t="str">
        <f t="shared" ca="1" si="0"/>
        <v>6植栽(移植)</v>
      </c>
    </row>
    <row r="8" spans="1:7" x14ac:dyDescent="0.25">
      <c r="A8" s="3">
        <f t="shared" si="1"/>
        <v>4</v>
      </c>
      <c r="B8" s="3" t="s">
        <v>337</v>
      </c>
      <c r="C8" s="13">
        <v>45247</v>
      </c>
      <c r="D8" s="3" t="s">
        <v>335</v>
      </c>
      <c r="E8" s="3" t="s">
        <v>27</v>
      </c>
      <c r="F8" s="1">
        <v>4</v>
      </c>
      <c r="G8" s="1" t="str">
        <f t="shared" ca="1" si="0"/>
        <v>6植栽(移植)</v>
      </c>
    </row>
    <row r="9" spans="1:7" x14ac:dyDescent="0.25">
      <c r="A9" s="3">
        <f t="shared" si="1"/>
        <v>5</v>
      </c>
      <c r="B9" s="3" t="s">
        <v>362</v>
      </c>
      <c r="C9" s="13">
        <v>45282</v>
      </c>
      <c r="D9" s="3" t="s">
        <v>335</v>
      </c>
      <c r="E9" s="3" t="s">
        <v>27</v>
      </c>
      <c r="F9" s="1">
        <v>5</v>
      </c>
      <c r="G9" s="1" t="str">
        <f t="shared" ca="1" si="0"/>
        <v>6植栽(移植)</v>
      </c>
    </row>
    <row r="10" spans="1:7" x14ac:dyDescent="0.25">
      <c r="A10" s="3">
        <f t="shared" si="1"/>
        <v>6</v>
      </c>
      <c r="B10" s="3" t="s">
        <v>363</v>
      </c>
      <c r="C10" s="13">
        <v>45284</v>
      </c>
      <c r="D10" s="3" t="s">
        <v>335</v>
      </c>
      <c r="E10" s="3"/>
      <c r="F10" s="1">
        <v>6</v>
      </c>
      <c r="G10" s="1" t="str">
        <f t="shared" ca="1" si="0"/>
        <v>植栽(移植)</v>
      </c>
    </row>
    <row r="11" spans="1:7" x14ac:dyDescent="0.25">
      <c r="A11" s="3">
        <f t="shared" si="1"/>
        <v>7</v>
      </c>
      <c r="B11" s="3" t="s">
        <v>364</v>
      </c>
      <c r="C11" s="13">
        <v>45285</v>
      </c>
      <c r="D11" s="3" t="s">
        <v>335</v>
      </c>
      <c r="E11" s="3"/>
      <c r="F11" s="1">
        <v>7</v>
      </c>
      <c r="G11" s="1" t="str">
        <f t="shared" ca="1" si="0"/>
        <v>植栽(移植)</v>
      </c>
    </row>
    <row r="12" spans="1:7" x14ac:dyDescent="0.25">
      <c r="A12" s="3"/>
      <c r="B12" s="3"/>
      <c r="C12" s="13"/>
      <c r="D12" s="3"/>
      <c r="E12" s="3"/>
      <c r="F12" s="1">
        <v>8</v>
      </c>
      <c r="G12" s="1" t="str">
        <f t="shared" ca="1" si="0"/>
        <v>植栽(移植)</v>
      </c>
    </row>
    <row r="13" spans="1:7" x14ac:dyDescent="0.25">
      <c r="A13" s="3"/>
      <c r="B13" s="3"/>
      <c r="C13" s="13"/>
      <c r="D13" s="3"/>
      <c r="E13" s="3"/>
      <c r="F13" s="1">
        <v>9</v>
      </c>
      <c r="G13" s="1" t="str">
        <f t="shared" ca="1" si="0"/>
        <v>植栽(移植)</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D5874-5D06-4296-88B6-38664B5EDD49}">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\\上溢北投\d\雲端\A.上溢\1.磺港溪再造C段護岸及步道整建工程（延壽橋至三合橋）\9.施工\4.自主檢查\自主檢查統計\[磺港溪C-A自主檢查統計1130311.xlsx]27.植栽(新植)</v>
      </c>
    </row>
    <row r="2" spans="1:7" ht="19.5" x14ac:dyDescent="0.25">
      <c r="A2" s="103" t="s">
        <v>142</v>
      </c>
      <c r="B2" s="103"/>
      <c r="C2" s="103"/>
      <c r="D2" s="103"/>
      <c r="E2" s="103"/>
      <c r="G2" s="79" t="str">
        <f ca="1">RIGHT(F1,LEN(F1)-FIND("]",F1))</f>
        <v>27.植栽(新植)</v>
      </c>
    </row>
    <row r="3" spans="1:7" ht="21" x14ac:dyDescent="0.25">
      <c r="A3" s="104" t="str">
        <f ca="1">G13&amp;"自主檢查表統計"</f>
        <v>植栽(新植)自主檢查表統計</v>
      </c>
      <c r="B3" s="104"/>
      <c r="C3" s="104"/>
      <c r="D3" s="104"/>
      <c r="E3" s="104"/>
      <c r="F3" s="1" t="s">
        <v>144</v>
      </c>
      <c r="G3" s="1" t="str">
        <f t="shared" ref="G3:G13" ca="1" si="0">SUBSTITUTE(G2,F3,"")</f>
        <v>27植栽(新植)</v>
      </c>
    </row>
    <row r="4" spans="1:7" x14ac:dyDescent="0.25">
      <c r="A4" s="3" t="s">
        <v>18</v>
      </c>
      <c r="B4" s="3" t="s">
        <v>2</v>
      </c>
      <c r="C4" s="13" t="s">
        <v>17</v>
      </c>
      <c r="D4" s="3" t="s">
        <v>16</v>
      </c>
      <c r="E4" s="3" t="s">
        <v>15</v>
      </c>
      <c r="F4" s="1">
        <v>0</v>
      </c>
      <c r="G4" s="1" t="str">
        <f t="shared" ca="1" si="0"/>
        <v>27植栽(新植)</v>
      </c>
    </row>
    <row r="5" spans="1:7" x14ac:dyDescent="0.25">
      <c r="A5" s="3"/>
      <c r="B5" s="3" t="s">
        <v>162</v>
      </c>
      <c r="C5" s="13"/>
      <c r="D5" s="3"/>
      <c r="E5" s="3"/>
      <c r="F5" s="1">
        <v>1</v>
      </c>
      <c r="G5" s="1" t="str">
        <f t="shared" ca="1" si="0"/>
        <v>27植栽(新植)</v>
      </c>
    </row>
    <row r="6" spans="1:7" x14ac:dyDescent="0.25">
      <c r="A6" s="3"/>
      <c r="B6" s="3"/>
      <c r="C6" s="13"/>
      <c r="D6" s="3"/>
      <c r="E6" s="3"/>
      <c r="F6" s="1">
        <v>2</v>
      </c>
      <c r="G6" s="1" t="str">
        <f t="shared" ca="1" si="0"/>
        <v>7植栽(新植)</v>
      </c>
    </row>
    <row r="7" spans="1:7" x14ac:dyDescent="0.25">
      <c r="A7" s="3"/>
      <c r="B7" s="3"/>
      <c r="C7" s="13"/>
      <c r="D7" s="3"/>
      <c r="E7" s="3"/>
      <c r="F7" s="1">
        <v>3</v>
      </c>
      <c r="G7" s="1" t="str">
        <f t="shared" ca="1" si="0"/>
        <v>7植栽(新植)</v>
      </c>
    </row>
    <row r="8" spans="1:7" x14ac:dyDescent="0.25">
      <c r="A8" s="3"/>
      <c r="B8" s="3"/>
      <c r="C8" s="13"/>
      <c r="D8" s="3"/>
      <c r="E8" s="3"/>
      <c r="F8" s="1">
        <v>4</v>
      </c>
      <c r="G8" s="1" t="str">
        <f t="shared" ca="1" si="0"/>
        <v>7植栽(新植)</v>
      </c>
    </row>
    <row r="9" spans="1:7" x14ac:dyDescent="0.25">
      <c r="A9" s="3"/>
      <c r="B9" s="3"/>
      <c r="C9" s="13"/>
      <c r="D9" s="3"/>
      <c r="E9" s="3"/>
      <c r="F9" s="1">
        <v>5</v>
      </c>
      <c r="G9" s="1" t="str">
        <f t="shared" ca="1" si="0"/>
        <v>7植栽(新植)</v>
      </c>
    </row>
    <row r="10" spans="1:7" x14ac:dyDescent="0.25">
      <c r="A10" s="3"/>
      <c r="B10" s="3"/>
      <c r="C10" s="13"/>
      <c r="D10" s="3"/>
      <c r="E10" s="3"/>
      <c r="F10" s="1">
        <v>6</v>
      </c>
      <c r="G10" s="1" t="str">
        <f t="shared" ca="1" si="0"/>
        <v>7植栽(新植)</v>
      </c>
    </row>
    <row r="11" spans="1:7" x14ac:dyDescent="0.25">
      <c r="A11" s="3"/>
      <c r="B11" s="3"/>
      <c r="C11" s="13"/>
      <c r="D11" s="3"/>
      <c r="E11" s="3"/>
      <c r="F11" s="1">
        <v>7</v>
      </c>
      <c r="G11" s="1" t="str">
        <f t="shared" ca="1" si="0"/>
        <v>植栽(新植)</v>
      </c>
    </row>
    <row r="12" spans="1:7" x14ac:dyDescent="0.25">
      <c r="A12" s="3"/>
      <c r="B12" s="3"/>
      <c r="C12" s="13"/>
      <c r="D12" s="3"/>
      <c r="E12" s="3"/>
      <c r="F12" s="1">
        <v>8</v>
      </c>
      <c r="G12" s="1" t="str">
        <f t="shared" ca="1" si="0"/>
        <v>植栽(新植)</v>
      </c>
    </row>
    <row r="13" spans="1:7" x14ac:dyDescent="0.25">
      <c r="A13" s="3"/>
      <c r="B13" s="3"/>
      <c r="C13" s="13"/>
      <c r="D13" s="3"/>
      <c r="E13" s="3"/>
      <c r="F13" s="1">
        <v>9</v>
      </c>
      <c r="G13" s="1" t="str">
        <f t="shared" ca="1" si="0"/>
        <v>植栽(新植)</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C0A99-4DB7-4BE0-AEDD-75EB78EA68EB}">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E14" sqref="E1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\\上溢北投\d\雲端\A.上溢\1.磺港溪再造C段護岸及步道整建工程（延壽橋至三合橋）\9.施工\4.自主檢查\自主檢查統計\[磺港溪C-A自主檢查統計1130311.xlsx]28.照明</v>
      </c>
    </row>
    <row r="2" spans="1:7" ht="19.5" x14ac:dyDescent="0.25">
      <c r="A2" s="103" t="s">
        <v>142</v>
      </c>
      <c r="B2" s="103"/>
      <c r="C2" s="103"/>
      <c r="D2" s="103"/>
      <c r="E2" s="103"/>
      <c r="G2" s="79" t="str">
        <f ca="1">RIGHT(F1,LEN(F1)-FIND("]",F1))</f>
        <v>28.照明</v>
      </c>
    </row>
    <row r="3" spans="1:7" ht="21" x14ac:dyDescent="0.25">
      <c r="A3" s="104" t="str">
        <f ca="1">G13&amp;"自主檢查表統計"</f>
        <v>照明自主檢查表統計</v>
      </c>
      <c r="B3" s="104"/>
      <c r="C3" s="104"/>
      <c r="D3" s="104"/>
      <c r="E3" s="104"/>
      <c r="F3" s="1" t="s">
        <v>144</v>
      </c>
      <c r="G3" s="1" t="str">
        <f t="shared" ref="G3:G13" ca="1" si="0">SUBSTITUTE(G2,F3,"")</f>
        <v>28照明</v>
      </c>
    </row>
    <row r="4" spans="1:7" x14ac:dyDescent="0.25">
      <c r="A4" s="3" t="s">
        <v>18</v>
      </c>
      <c r="B4" s="3" t="s">
        <v>2</v>
      </c>
      <c r="C4" s="13" t="s">
        <v>17</v>
      </c>
      <c r="D4" s="3" t="s">
        <v>16</v>
      </c>
      <c r="E4" s="3" t="s">
        <v>15</v>
      </c>
      <c r="F4" s="1">
        <v>0</v>
      </c>
      <c r="G4" s="1" t="str">
        <f t="shared" ca="1" si="0"/>
        <v>28照明</v>
      </c>
    </row>
    <row r="5" spans="1:7" x14ac:dyDescent="0.25">
      <c r="A5" s="3"/>
      <c r="B5" s="3" t="s">
        <v>162</v>
      </c>
      <c r="C5" s="13"/>
      <c r="D5" s="3"/>
      <c r="E5" s="3"/>
      <c r="F5" s="1">
        <v>1</v>
      </c>
      <c r="G5" s="1" t="str">
        <f t="shared" ca="1" si="0"/>
        <v>28照明</v>
      </c>
    </row>
    <row r="6" spans="1:7" x14ac:dyDescent="0.25">
      <c r="A6" s="3"/>
      <c r="B6" s="3"/>
      <c r="C6" s="13"/>
      <c r="D6" s="3"/>
      <c r="E6" s="3"/>
      <c r="F6" s="1">
        <v>2</v>
      </c>
      <c r="G6" s="1" t="str">
        <f t="shared" ca="1" si="0"/>
        <v>8照明</v>
      </c>
    </row>
    <row r="7" spans="1:7" x14ac:dyDescent="0.25">
      <c r="A7" s="3"/>
      <c r="B7" s="3"/>
      <c r="C7" s="13"/>
      <c r="D7" s="3"/>
      <c r="E7" s="3"/>
      <c r="F7" s="1">
        <v>3</v>
      </c>
      <c r="G7" s="1" t="str">
        <f t="shared" ca="1" si="0"/>
        <v>8照明</v>
      </c>
    </row>
    <row r="8" spans="1:7" x14ac:dyDescent="0.25">
      <c r="A8" s="3"/>
      <c r="B8" s="3"/>
      <c r="C8" s="13"/>
      <c r="D8" s="3"/>
      <c r="E8" s="3"/>
      <c r="F8" s="1">
        <v>4</v>
      </c>
      <c r="G8" s="1" t="str">
        <f t="shared" ca="1" si="0"/>
        <v>8照明</v>
      </c>
    </row>
    <row r="9" spans="1:7" x14ac:dyDescent="0.25">
      <c r="A9" s="3"/>
      <c r="B9" s="3"/>
      <c r="C9" s="13"/>
      <c r="D9" s="3"/>
      <c r="E9" s="3"/>
      <c r="F9" s="1">
        <v>5</v>
      </c>
      <c r="G9" s="1" t="str">
        <f t="shared" ca="1" si="0"/>
        <v>8照明</v>
      </c>
    </row>
    <row r="10" spans="1:7" x14ac:dyDescent="0.25">
      <c r="A10" s="3"/>
      <c r="B10" s="3"/>
      <c r="C10" s="13"/>
      <c r="D10" s="3"/>
      <c r="E10" s="3"/>
      <c r="F10" s="1">
        <v>6</v>
      </c>
      <c r="G10" s="1" t="str">
        <f t="shared" ca="1" si="0"/>
        <v>8照明</v>
      </c>
    </row>
    <row r="11" spans="1:7" x14ac:dyDescent="0.25">
      <c r="A11" s="3"/>
      <c r="B11" s="3"/>
      <c r="C11" s="13"/>
      <c r="D11" s="3"/>
      <c r="E11" s="3"/>
      <c r="F11" s="1">
        <v>7</v>
      </c>
      <c r="G11" s="1" t="str">
        <f t="shared" ca="1" si="0"/>
        <v>8照明</v>
      </c>
    </row>
    <row r="12" spans="1:7" x14ac:dyDescent="0.25">
      <c r="A12" s="3"/>
      <c r="B12" s="3"/>
      <c r="C12" s="13"/>
      <c r="D12" s="3"/>
      <c r="E12" s="3"/>
      <c r="F12" s="1">
        <v>8</v>
      </c>
      <c r="G12" s="1" t="str">
        <f t="shared" ca="1" si="0"/>
        <v>照明</v>
      </c>
    </row>
    <row r="13" spans="1:7" x14ac:dyDescent="0.25">
      <c r="A13" s="3"/>
      <c r="B13" s="3"/>
      <c r="C13" s="13"/>
      <c r="D13" s="3"/>
      <c r="E13" s="3"/>
      <c r="F13" s="1">
        <v>9</v>
      </c>
      <c r="G13" s="1" t="str">
        <f t="shared" ca="1" si="0"/>
        <v>照明</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6BB9F-2AF2-4EA3-BC84-4DAF1B80AC60}">
  <sheetPr>
    <tabColor theme="4" tint="-0.249977111117893"/>
    <pageSetUpPr fitToPage="1"/>
  </sheetPr>
  <dimension ref="A1:G34"/>
  <sheetViews>
    <sheetView view="pageBreakPreview" zoomScale="175" zoomScaleNormal="100" zoomScaleSheetLayoutView="175" zoomScalePageLayoutView="130" workbookViewId="0">
      <pane ySplit="4" topLeftCell="A11" activePane="bottomLeft" state="frozen"/>
      <selection activeCell="D11" sqref="D11"/>
      <selection pane="bottomLeft" activeCell="A19" sqref="A19"/>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5" t="s">
        <v>25</v>
      </c>
      <c r="B1" s="105"/>
      <c r="C1" s="105"/>
      <c r="D1" s="105"/>
      <c r="E1" s="105"/>
      <c r="F1" s="79" t="str">
        <f ca="1">CELL("filename",A1)</f>
        <v>\\上溢北投\d\雲端\A.上溢\1.磺港溪再造C段護岸及步道整建工程（延壽橋至三合橋）\9.施工\4.自主檢查\自主檢查統計\[磺港溪C-A自主檢查統計1130311.xlsx]29.既有橋梁拆除</v>
      </c>
    </row>
    <row r="2" spans="1:7" ht="19.5" x14ac:dyDescent="0.25">
      <c r="A2" s="103" t="s">
        <v>142</v>
      </c>
      <c r="B2" s="103"/>
      <c r="C2" s="103"/>
      <c r="D2" s="103"/>
      <c r="E2" s="103"/>
      <c r="G2" s="79" t="str">
        <f ca="1">RIGHT(F1,LEN(F1)-FIND("]",F1))</f>
        <v>29.既有橋梁拆除</v>
      </c>
    </row>
    <row r="3" spans="1:7" ht="21" x14ac:dyDescent="0.25">
      <c r="A3" s="104" t="str">
        <f ca="1">G13&amp;"自主檢查表統計"</f>
        <v>既有橋梁拆除自主檢查表統計</v>
      </c>
      <c r="B3" s="104"/>
      <c r="C3" s="104"/>
      <c r="D3" s="104"/>
      <c r="E3" s="104"/>
      <c r="F3" s="1" t="s">
        <v>144</v>
      </c>
      <c r="G3" s="1" t="str">
        <f t="shared" ref="G3:G13" ca="1" si="0">SUBSTITUTE(G2,F3,"")</f>
        <v>29既有橋梁拆除</v>
      </c>
    </row>
    <row r="4" spans="1:7" x14ac:dyDescent="0.25">
      <c r="A4" s="3" t="s">
        <v>18</v>
      </c>
      <c r="B4" s="3" t="s">
        <v>2</v>
      </c>
      <c r="C4" s="13" t="s">
        <v>17</v>
      </c>
      <c r="D4" s="3" t="s">
        <v>16</v>
      </c>
      <c r="E4" s="3" t="s">
        <v>15</v>
      </c>
      <c r="F4" s="1">
        <v>0</v>
      </c>
      <c r="G4" s="1" t="str">
        <f t="shared" ca="1" si="0"/>
        <v>29既有橋梁拆除</v>
      </c>
    </row>
    <row r="5" spans="1:7" x14ac:dyDescent="0.25">
      <c r="A5" s="3">
        <f>ROW()-4</f>
        <v>1</v>
      </c>
      <c r="B5" s="3" t="s">
        <v>253</v>
      </c>
      <c r="C5" s="13">
        <v>45210</v>
      </c>
      <c r="D5" s="3" t="s">
        <v>365</v>
      </c>
      <c r="E5" s="3"/>
      <c r="F5" s="1">
        <v>1</v>
      </c>
      <c r="G5" s="1" t="str">
        <f t="shared" ca="1" si="0"/>
        <v>29既有橋梁拆除</v>
      </c>
    </row>
    <row r="6" spans="1:7" x14ac:dyDescent="0.25">
      <c r="A6" s="3">
        <f>ROW()-4</f>
        <v>2</v>
      </c>
      <c r="B6" s="3" t="s">
        <v>254</v>
      </c>
      <c r="C6" s="13">
        <v>45216</v>
      </c>
      <c r="D6" s="3" t="s">
        <v>366</v>
      </c>
      <c r="E6" s="3" t="s">
        <v>27</v>
      </c>
      <c r="F6" s="1">
        <v>2</v>
      </c>
      <c r="G6" s="1" t="str">
        <f t="shared" ca="1" si="0"/>
        <v>9既有橋梁拆除</v>
      </c>
    </row>
    <row r="7" spans="1:7" x14ac:dyDescent="0.25">
      <c r="A7" s="3">
        <f>ROW()-4</f>
        <v>3</v>
      </c>
      <c r="B7" s="3" t="s">
        <v>255</v>
      </c>
      <c r="C7" s="13">
        <v>45217</v>
      </c>
      <c r="D7" s="3" t="s">
        <v>366</v>
      </c>
      <c r="E7" s="3"/>
      <c r="F7" s="1">
        <v>3</v>
      </c>
      <c r="G7" s="1" t="str">
        <f t="shared" ca="1" si="0"/>
        <v>9既有橋梁拆除</v>
      </c>
    </row>
    <row r="8" spans="1:7" x14ac:dyDescent="0.25">
      <c r="A8" s="3">
        <f t="shared" ref="A8:A18" si="1">ROW()-4</f>
        <v>4</v>
      </c>
      <c r="B8" s="3" t="s">
        <v>256</v>
      </c>
      <c r="C8" s="13">
        <v>45218</v>
      </c>
      <c r="D8" s="3" t="s">
        <v>367</v>
      </c>
      <c r="E8" s="3"/>
      <c r="F8" s="1">
        <v>4</v>
      </c>
      <c r="G8" s="1" t="str">
        <f t="shared" ca="1" si="0"/>
        <v>9既有橋梁拆除</v>
      </c>
    </row>
    <row r="9" spans="1:7" x14ac:dyDescent="0.25">
      <c r="A9" s="3">
        <f t="shared" si="1"/>
        <v>5</v>
      </c>
      <c r="B9" s="3" t="s">
        <v>257</v>
      </c>
      <c r="C9" s="13">
        <v>45219</v>
      </c>
      <c r="D9" s="3" t="s">
        <v>367</v>
      </c>
      <c r="E9" s="3"/>
      <c r="F9" s="1">
        <v>5</v>
      </c>
      <c r="G9" s="1" t="str">
        <f t="shared" ca="1" si="0"/>
        <v>9既有橋梁拆除</v>
      </c>
    </row>
    <row r="10" spans="1:7" x14ac:dyDescent="0.25">
      <c r="A10" s="3">
        <f t="shared" si="1"/>
        <v>6</v>
      </c>
      <c r="B10" s="3" t="s">
        <v>258</v>
      </c>
      <c r="C10" s="13">
        <v>45220</v>
      </c>
      <c r="D10" s="3" t="s">
        <v>368</v>
      </c>
      <c r="E10" s="3" t="s">
        <v>27</v>
      </c>
      <c r="F10" s="1">
        <v>6</v>
      </c>
      <c r="G10" s="1" t="str">
        <f t="shared" ca="1" si="0"/>
        <v>9既有橋梁拆除</v>
      </c>
    </row>
    <row r="11" spans="1:7" x14ac:dyDescent="0.25">
      <c r="A11" s="3">
        <f t="shared" si="1"/>
        <v>7</v>
      </c>
      <c r="B11" s="3" t="s">
        <v>259</v>
      </c>
      <c r="C11" s="13">
        <v>45221</v>
      </c>
      <c r="D11" s="3" t="s">
        <v>368</v>
      </c>
      <c r="E11" s="3" t="s">
        <v>27</v>
      </c>
      <c r="F11" s="1">
        <v>7</v>
      </c>
      <c r="G11" s="1" t="str">
        <f t="shared" ca="1" si="0"/>
        <v>9既有橋梁拆除</v>
      </c>
    </row>
    <row r="12" spans="1:7" x14ac:dyDescent="0.25">
      <c r="A12" s="3">
        <f t="shared" si="1"/>
        <v>8</v>
      </c>
      <c r="B12" s="3" t="s">
        <v>260</v>
      </c>
      <c r="C12" s="13">
        <v>45222</v>
      </c>
      <c r="D12" s="3" t="s">
        <v>369</v>
      </c>
      <c r="E12" s="3" t="s">
        <v>27</v>
      </c>
      <c r="F12" s="1">
        <v>8</v>
      </c>
      <c r="G12" s="1" t="str">
        <f t="shared" ca="1" si="0"/>
        <v>9既有橋梁拆除</v>
      </c>
    </row>
    <row r="13" spans="1:7" x14ac:dyDescent="0.25">
      <c r="A13" s="3">
        <f t="shared" si="1"/>
        <v>9</v>
      </c>
      <c r="B13" s="3" t="s">
        <v>402</v>
      </c>
      <c r="C13" s="13">
        <v>45223</v>
      </c>
      <c r="D13" s="3" t="s">
        <v>369</v>
      </c>
      <c r="E13" s="3"/>
      <c r="F13" s="1">
        <v>9</v>
      </c>
      <c r="G13" s="1" t="str">
        <f t="shared" ca="1" si="0"/>
        <v>既有橋梁拆除</v>
      </c>
    </row>
    <row r="14" spans="1:7" x14ac:dyDescent="0.25">
      <c r="A14" s="3">
        <f t="shared" si="1"/>
        <v>10</v>
      </c>
      <c r="B14" s="3" t="s">
        <v>401</v>
      </c>
      <c r="C14" s="13">
        <v>45225</v>
      </c>
      <c r="D14" s="3" t="s">
        <v>369</v>
      </c>
      <c r="E14" s="3" t="s">
        <v>27</v>
      </c>
    </row>
    <row r="15" spans="1:7" x14ac:dyDescent="0.25">
      <c r="A15" s="3">
        <f t="shared" si="1"/>
        <v>11</v>
      </c>
      <c r="B15" s="3" t="s">
        <v>405</v>
      </c>
      <c r="C15" s="13">
        <v>45226</v>
      </c>
      <c r="D15" s="3" t="s">
        <v>403</v>
      </c>
      <c r="E15" s="3"/>
    </row>
    <row r="16" spans="1:7" x14ac:dyDescent="0.25">
      <c r="A16" s="3">
        <f t="shared" si="1"/>
        <v>12</v>
      </c>
      <c r="B16" s="3" t="s">
        <v>406</v>
      </c>
      <c r="C16" s="13">
        <v>45258</v>
      </c>
      <c r="D16" s="3" t="s">
        <v>404</v>
      </c>
      <c r="E16" s="3"/>
    </row>
    <row r="17" spans="1:5" x14ac:dyDescent="0.25">
      <c r="A17" s="3">
        <f t="shared" si="1"/>
        <v>13</v>
      </c>
      <c r="B17" s="3" t="s">
        <v>422</v>
      </c>
      <c r="C17" s="13">
        <v>45356</v>
      </c>
      <c r="D17" s="3" t="s">
        <v>423</v>
      </c>
      <c r="E17" s="3"/>
    </row>
    <row r="18" spans="1:5" x14ac:dyDescent="0.25">
      <c r="A18" s="3">
        <f t="shared" si="1"/>
        <v>14</v>
      </c>
      <c r="B18" s="3" t="s">
        <v>424</v>
      </c>
      <c r="C18" s="13">
        <v>45362</v>
      </c>
      <c r="D18" s="3" t="s">
        <v>425</v>
      </c>
      <c r="E18" s="3" t="s">
        <v>27</v>
      </c>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9CEAD-90C4-4E15-9F02-35F61584844B}">
  <sheetPr codeName="工作表3">
    <tabColor rgb="FFFFFF00"/>
  </sheetPr>
  <dimension ref="A1:U20"/>
  <sheetViews>
    <sheetView view="pageBreakPreview" zoomScale="85" zoomScaleNormal="85" zoomScaleSheetLayoutView="85" workbookViewId="0">
      <pane xSplit="1" ySplit="2" topLeftCell="B3" activePane="bottomRight" state="frozen"/>
      <selection pane="topRight" activeCell="B1" sqref="B1"/>
      <selection pane="bottomLeft" activeCell="A3" sqref="A3"/>
      <selection pane="bottomRight" sqref="A1:J1"/>
    </sheetView>
  </sheetViews>
  <sheetFormatPr defaultRowHeight="32.25" customHeight="1" x14ac:dyDescent="0.25"/>
  <cols>
    <col min="1" max="1" width="15.375" style="3" customWidth="1"/>
    <col min="2" max="2" width="11.125" style="3" customWidth="1"/>
    <col min="3" max="3" width="15.375" style="3" customWidth="1"/>
    <col min="4" max="5" width="15.375" style="16" customWidth="1"/>
    <col min="6" max="8" width="14.125" style="3" customWidth="1"/>
    <col min="9" max="9" width="15.375" style="4" customWidth="1"/>
    <col min="10" max="10" width="15.625" style="4" customWidth="1"/>
    <col min="11" max="11" width="23.75" style="55" bestFit="1" customWidth="1"/>
    <col min="12" max="12" width="9.875" style="1" bestFit="1" customWidth="1"/>
    <col min="13" max="14" width="9" style="1"/>
    <col min="15" max="15" width="15.75" style="55" bestFit="1" customWidth="1"/>
    <col min="16" max="19" width="9" style="1"/>
    <col min="20" max="21" width="15.125" style="1" customWidth="1"/>
    <col min="22" max="16384" width="9" style="1"/>
  </cols>
  <sheetData>
    <row r="1" spans="1:21" ht="32.25" customHeight="1" thickBot="1" x14ac:dyDescent="0.3">
      <c r="A1" s="106" t="s">
        <v>19</v>
      </c>
      <c r="B1" s="106"/>
      <c r="C1" s="106"/>
      <c r="D1" s="106"/>
      <c r="E1" s="106"/>
      <c r="F1" s="106"/>
      <c r="G1" s="106"/>
      <c r="H1" s="106"/>
      <c r="I1" s="106"/>
      <c r="J1" s="106"/>
      <c r="K1" s="64"/>
      <c r="O1" s="68"/>
    </row>
    <row r="2" spans="1:21" ht="32.25" customHeight="1" thickBot="1" x14ac:dyDescent="0.3">
      <c r="A2" s="94" t="s">
        <v>2</v>
      </c>
      <c r="B2" s="65" t="s">
        <v>312</v>
      </c>
      <c r="C2" s="65" t="s">
        <v>12</v>
      </c>
      <c r="D2" s="95" t="s">
        <v>143</v>
      </c>
      <c r="E2" s="95" t="s">
        <v>11</v>
      </c>
      <c r="F2" s="65" t="s">
        <v>0</v>
      </c>
      <c r="G2" s="65" t="s">
        <v>13</v>
      </c>
      <c r="H2" s="65" t="s">
        <v>10</v>
      </c>
      <c r="I2" s="96" t="s">
        <v>9</v>
      </c>
      <c r="J2" s="97" t="s">
        <v>14</v>
      </c>
      <c r="K2" s="55" t="s">
        <v>289</v>
      </c>
      <c r="L2" s="55" t="s">
        <v>129</v>
      </c>
      <c r="M2" s="1" t="s">
        <v>125</v>
      </c>
      <c r="N2" s="1" t="s">
        <v>128</v>
      </c>
      <c r="O2" s="68"/>
    </row>
    <row r="3" spans="1:21" ht="32.25" customHeight="1" x14ac:dyDescent="0.25">
      <c r="A3" s="83">
        <v>1</v>
      </c>
      <c r="B3" s="84" t="s">
        <v>313</v>
      </c>
      <c r="C3" s="85">
        <v>45275</v>
      </c>
      <c r="D3" s="85">
        <v>45278</v>
      </c>
      <c r="E3" s="85">
        <v>45282</v>
      </c>
      <c r="F3" s="84" t="s">
        <v>264</v>
      </c>
      <c r="G3" s="84" t="s">
        <v>265</v>
      </c>
      <c r="H3" s="84" t="s">
        <v>266</v>
      </c>
      <c r="I3" s="86">
        <v>5500</v>
      </c>
      <c r="J3" s="87">
        <f>SUMIFS(I:I,F:F,F3,A:A,"&lt;=1")</f>
        <v>5500</v>
      </c>
      <c r="K3" s="55" t="s">
        <v>140</v>
      </c>
      <c r="L3" s="2" t="s">
        <v>123</v>
      </c>
      <c r="M3" s="2" t="s">
        <v>123</v>
      </c>
      <c r="N3" s="2" t="s">
        <v>123</v>
      </c>
      <c r="O3" s="68"/>
    </row>
    <row r="4" spans="1:21" ht="32.25" customHeight="1" x14ac:dyDescent="0.25">
      <c r="A4" s="18">
        <f>A3+1</f>
        <v>2</v>
      </c>
      <c r="B4" s="3" t="s">
        <v>313</v>
      </c>
      <c r="C4" s="13">
        <v>45275</v>
      </c>
      <c r="D4" s="13">
        <v>45278</v>
      </c>
      <c r="E4" s="13">
        <v>45282</v>
      </c>
      <c r="F4" s="3" t="s">
        <v>264</v>
      </c>
      <c r="G4" s="3" t="s">
        <v>267</v>
      </c>
      <c r="H4" s="3" t="s">
        <v>266</v>
      </c>
      <c r="I4" s="4">
        <v>19500</v>
      </c>
      <c r="J4" s="88">
        <f>SUMIFS(I:I,F:F,F4,A:A,"&lt;=2")</f>
        <v>25000</v>
      </c>
      <c r="K4" s="55" t="s">
        <v>140</v>
      </c>
      <c r="L4" s="2" t="s">
        <v>123</v>
      </c>
      <c r="M4" s="2" t="s">
        <v>123</v>
      </c>
      <c r="N4" s="2" t="s">
        <v>123</v>
      </c>
      <c r="O4" s="68"/>
    </row>
    <row r="5" spans="1:21" ht="32.25" customHeight="1" x14ac:dyDescent="0.25">
      <c r="A5" s="18">
        <f t="shared" ref="A5:A20" si="0">A4+1</f>
        <v>3</v>
      </c>
      <c r="B5" s="3" t="s">
        <v>313</v>
      </c>
      <c r="C5" s="13">
        <v>45275</v>
      </c>
      <c r="D5" s="13">
        <v>45278</v>
      </c>
      <c r="E5" s="13">
        <v>45282</v>
      </c>
      <c r="F5" s="3" t="s">
        <v>264</v>
      </c>
      <c r="G5" s="3" t="s">
        <v>268</v>
      </c>
      <c r="H5" s="3" t="s">
        <v>269</v>
      </c>
      <c r="I5" s="4">
        <v>13500</v>
      </c>
      <c r="J5" s="88">
        <f>SUMIFS(I:I,F:F,F5,A:A,"&lt;=3")</f>
        <v>38500</v>
      </c>
      <c r="K5" s="55" t="s">
        <v>140</v>
      </c>
      <c r="L5" s="2" t="s">
        <v>123</v>
      </c>
      <c r="M5" s="2" t="s">
        <v>123</v>
      </c>
      <c r="N5" s="2" t="s">
        <v>123</v>
      </c>
      <c r="O5" s="68"/>
    </row>
    <row r="6" spans="1:21" ht="32.25" customHeight="1" thickBot="1" x14ac:dyDescent="0.3">
      <c r="A6" s="89">
        <f t="shared" si="0"/>
        <v>4</v>
      </c>
      <c r="B6" s="90" t="s">
        <v>313</v>
      </c>
      <c r="C6" s="91">
        <v>45275</v>
      </c>
      <c r="D6" s="91">
        <v>45278</v>
      </c>
      <c r="E6" s="91">
        <v>45282</v>
      </c>
      <c r="F6" s="90" t="s">
        <v>264</v>
      </c>
      <c r="G6" s="90" t="s">
        <v>270</v>
      </c>
      <c r="H6" s="90" t="s">
        <v>269</v>
      </c>
      <c r="I6" s="92">
        <v>10500</v>
      </c>
      <c r="J6" s="93">
        <f>SUMIFS(I:I,F:F,F6,A:A,"&lt;=4")</f>
        <v>49000</v>
      </c>
      <c r="K6" s="55" t="s">
        <v>140</v>
      </c>
      <c r="L6" s="2" t="s">
        <v>123</v>
      </c>
      <c r="M6" s="2" t="s">
        <v>123</v>
      </c>
      <c r="N6" s="2" t="s">
        <v>123</v>
      </c>
      <c r="O6" s="68"/>
    </row>
    <row r="7" spans="1:21" ht="32.25" customHeight="1" x14ac:dyDescent="0.25">
      <c r="A7" s="83">
        <f t="shared" si="0"/>
        <v>5</v>
      </c>
      <c r="B7" s="84" t="s">
        <v>314</v>
      </c>
      <c r="C7" s="85">
        <v>45282</v>
      </c>
      <c r="D7" s="85">
        <v>45282</v>
      </c>
      <c r="E7" s="85">
        <v>45287</v>
      </c>
      <c r="F7" s="84" t="s">
        <v>271</v>
      </c>
      <c r="G7" s="84" t="s">
        <v>272</v>
      </c>
      <c r="H7" s="84" t="s">
        <v>273</v>
      </c>
      <c r="I7" s="86">
        <v>25000</v>
      </c>
      <c r="J7" s="87">
        <f>SUMIFS(I:I,F:F,F7,A:A,"&lt;=5")</f>
        <v>25000</v>
      </c>
      <c r="K7" s="55" t="s">
        <v>378</v>
      </c>
      <c r="L7" s="2" t="s">
        <v>123</v>
      </c>
      <c r="M7" s="2" t="s">
        <v>123</v>
      </c>
      <c r="N7" s="2" t="s">
        <v>123</v>
      </c>
      <c r="O7" s="68"/>
    </row>
    <row r="8" spans="1:21" ht="32.25" customHeight="1" x14ac:dyDescent="0.25">
      <c r="A8" s="18">
        <f t="shared" si="0"/>
        <v>6</v>
      </c>
      <c r="B8" s="3" t="s">
        <v>314</v>
      </c>
      <c r="C8" s="13">
        <v>45282</v>
      </c>
      <c r="D8" s="13">
        <v>45282</v>
      </c>
      <c r="E8" s="13">
        <v>45287</v>
      </c>
      <c r="F8" s="3" t="s">
        <v>271</v>
      </c>
      <c r="G8" s="3" t="s">
        <v>274</v>
      </c>
      <c r="H8" s="3" t="s">
        <v>275</v>
      </c>
      <c r="I8" s="4">
        <v>23000</v>
      </c>
      <c r="J8" s="88">
        <f>SUMIFS(I:I,F:F,F8,A:A,"&lt;=6")</f>
        <v>48000</v>
      </c>
      <c r="K8" s="55" t="s">
        <v>140</v>
      </c>
      <c r="L8" s="2" t="s">
        <v>123</v>
      </c>
      <c r="M8" s="2" t="s">
        <v>123</v>
      </c>
      <c r="N8" s="2" t="s">
        <v>123</v>
      </c>
      <c r="O8" s="68"/>
    </row>
    <row r="9" spans="1:21" ht="32.25" customHeight="1" x14ac:dyDescent="0.25">
      <c r="A9" s="18">
        <f t="shared" si="0"/>
        <v>7</v>
      </c>
      <c r="B9" s="3" t="s">
        <v>314</v>
      </c>
      <c r="C9" s="13">
        <v>45282</v>
      </c>
      <c r="D9" s="13">
        <v>45282</v>
      </c>
      <c r="E9" s="13">
        <v>45287</v>
      </c>
      <c r="F9" s="3" t="s">
        <v>271</v>
      </c>
      <c r="G9" s="3" t="s">
        <v>276</v>
      </c>
      <c r="H9" s="3" t="s">
        <v>277</v>
      </c>
      <c r="I9" s="4">
        <v>13500</v>
      </c>
      <c r="J9" s="88">
        <f>SUMIFS(I:I,F:F,F9,A:A,"&lt;=7")</f>
        <v>61500</v>
      </c>
      <c r="K9" s="55" t="s">
        <v>140</v>
      </c>
      <c r="L9" s="2" t="s">
        <v>123</v>
      </c>
      <c r="M9" s="2" t="s">
        <v>123</v>
      </c>
      <c r="N9" s="2" t="s">
        <v>123</v>
      </c>
      <c r="O9" s="68"/>
    </row>
    <row r="10" spans="1:21" ht="32.25" customHeight="1" thickBot="1" x14ac:dyDescent="0.3">
      <c r="A10" s="89">
        <f t="shared" si="0"/>
        <v>8</v>
      </c>
      <c r="B10" s="90" t="s">
        <v>314</v>
      </c>
      <c r="C10" s="91">
        <v>45282</v>
      </c>
      <c r="D10" s="91">
        <v>45282</v>
      </c>
      <c r="E10" s="91">
        <v>45287</v>
      </c>
      <c r="F10" s="90" t="s">
        <v>271</v>
      </c>
      <c r="G10" s="90" t="s">
        <v>278</v>
      </c>
      <c r="H10" s="90" t="s">
        <v>277</v>
      </c>
      <c r="I10" s="92">
        <v>11500</v>
      </c>
      <c r="J10" s="93">
        <f>SUMIFS(I:I,F:F,F10,A:A,"&lt;=8")</f>
        <v>73000</v>
      </c>
      <c r="K10" s="55" t="s">
        <v>140</v>
      </c>
      <c r="L10" s="2" t="s">
        <v>123</v>
      </c>
      <c r="M10" s="2" t="s">
        <v>123</v>
      </c>
      <c r="N10" s="2" t="s">
        <v>123</v>
      </c>
      <c r="O10" s="68"/>
    </row>
    <row r="11" spans="1:21" ht="32.25" customHeight="1" x14ac:dyDescent="0.25">
      <c r="A11" s="58">
        <f t="shared" si="0"/>
        <v>9</v>
      </c>
      <c r="B11" s="58" t="s">
        <v>315</v>
      </c>
      <c r="C11" s="81">
        <v>45316</v>
      </c>
      <c r="D11" s="81">
        <v>45317</v>
      </c>
      <c r="E11" s="81">
        <v>45321</v>
      </c>
      <c r="F11" s="58" t="s">
        <v>316</v>
      </c>
      <c r="G11" s="58" t="s">
        <v>317</v>
      </c>
      <c r="H11" s="58" t="s">
        <v>320</v>
      </c>
      <c r="I11" s="82">
        <v>17000</v>
      </c>
      <c r="J11" s="82">
        <f>SUMIFS(I:I,F:F,F11,A:A,"&lt;=9")</f>
        <v>66000</v>
      </c>
      <c r="K11" s="55" t="s">
        <v>140</v>
      </c>
      <c r="L11" s="2" t="s">
        <v>123</v>
      </c>
      <c r="M11" s="2" t="s">
        <v>123</v>
      </c>
      <c r="N11" s="2" t="s">
        <v>123</v>
      </c>
      <c r="O11" s="68"/>
      <c r="T11" s="3">
        <f t="shared" ref="T11:T18" si="1">SUMIFS(F:F,H:H,U11)</f>
        <v>0</v>
      </c>
      <c r="U11" s="3" t="s">
        <v>132</v>
      </c>
    </row>
    <row r="12" spans="1:21" ht="32.25" customHeight="1" x14ac:dyDescent="0.25">
      <c r="A12" s="3">
        <f t="shared" si="0"/>
        <v>10</v>
      </c>
      <c r="B12" s="3" t="s">
        <v>315</v>
      </c>
      <c r="C12" s="13">
        <v>45316</v>
      </c>
      <c r="D12" s="13">
        <v>45317</v>
      </c>
      <c r="E12" s="13">
        <v>45321</v>
      </c>
      <c r="F12" s="3" t="s">
        <v>316</v>
      </c>
      <c r="G12" s="3" t="s">
        <v>318</v>
      </c>
      <c r="H12" s="3" t="s">
        <v>319</v>
      </c>
      <c r="I12" s="4">
        <v>8500</v>
      </c>
      <c r="J12" s="4">
        <f>SUMIFS(I:I,F:F,F12,A:A,"&lt;=10")</f>
        <v>74500</v>
      </c>
      <c r="K12" s="55" t="s">
        <v>140</v>
      </c>
      <c r="L12" s="2" t="s">
        <v>123</v>
      </c>
      <c r="M12" s="2" t="s">
        <v>123</v>
      </c>
      <c r="N12" s="2" t="s">
        <v>123</v>
      </c>
      <c r="O12" s="68"/>
      <c r="T12" s="3">
        <f t="shared" si="1"/>
        <v>0</v>
      </c>
      <c r="U12" s="3" t="s">
        <v>133</v>
      </c>
    </row>
    <row r="13" spans="1:21" ht="32.25" customHeight="1" x14ac:dyDescent="0.25">
      <c r="A13" s="3">
        <f t="shared" si="0"/>
        <v>11</v>
      </c>
      <c r="B13" s="3" t="s">
        <v>315</v>
      </c>
      <c r="C13" s="13">
        <v>45316</v>
      </c>
      <c r="D13" s="13">
        <v>45317</v>
      </c>
      <c r="E13" s="13">
        <v>45321</v>
      </c>
      <c r="F13" s="3" t="s">
        <v>316</v>
      </c>
      <c r="G13" s="3" t="s">
        <v>322</v>
      </c>
      <c r="H13" s="3" t="s">
        <v>321</v>
      </c>
      <c r="I13" s="4">
        <v>2500</v>
      </c>
      <c r="J13" s="4">
        <f>SUMIFS(I:I,F:F,F13,A:A,"&lt;=11")</f>
        <v>77000</v>
      </c>
      <c r="K13" s="55" t="s">
        <v>140</v>
      </c>
      <c r="L13" s="2" t="s">
        <v>123</v>
      </c>
      <c r="M13" s="2" t="s">
        <v>123</v>
      </c>
      <c r="N13" s="2" t="s">
        <v>123</v>
      </c>
      <c r="O13" s="68"/>
      <c r="T13" s="3">
        <f t="shared" si="1"/>
        <v>0</v>
      </c>
      <c r="U13" s="3" t="s">
        <v>134</v>
      </c>
    </row>
    <row r="14" spans="1:21" ht="32.25" customHeight="1" x14ac:dyDescent="0.25">
      <c r="A14" s="3">
        <f t="shared" si="0"/>
        <v>12</v>
      </c>
      <c r="B14" s="3" t="s">
        <v>315</v>
      </c>
      <c r="C14" s="13">
        <v>45316</v>
      </c>
      <c r="D14" s="13">
        <v>45317</v>
      </c>
      <c r="E14" s="13">
        <v>45321</v>
      </c>
      <c r="F14" s="3" t="s">
        <v>316</v>
      </c>
      <c r="G14" s="3" t="s">
        <v>323</v>
      </c>
      <c r="H14" s="3" t="s">
        <v>321</v>
      </c>
      <c r="I14" s="4">
        <v>23000</v>
      </c>
      <c r="J14" s="4">
        <f>SUMIFS(I:I,F:F,F14,A:A,"&lt;=12")</f>
        <v>100000</v>
      </c>
      <c r="K14" s="55" t="s">
        <v>140</v>
      </c>
      <c r="L14" s="2" t="s">
        <v>123</v>
      </c>
      <c r="M14" s="2" t="s">
        <v>123</v>
      </c>
      <c r="N14" s="2" t="s">
        <v>123</v>
      </c>
      <c r="O14" s="68"/>
      <c r="T14" s="3">
        <f t="shared" si="1"/>
        <v>0</v>
      </c>
      <c r="U14" s="3" t="s">
        <v>135</v>
      </c>
    </row>
    <row r="15" spans="1:21" ht="32.25" customHeight="1" x14ac:dyDescent="0.25">
      <c r="A15" s="3">
        <f t="shared" si="0"/>
        <v>13</v>
      </c>
      <c r="B15" s="3" t="s">
        <v>315</v>
      </c>
      <c r="C15" s="13">
        <v>45316</v>
      </c>
      <c r="D15" s="13">
        <v>45317</v>
      </c>
      <c r="E15" s="13">
        <v>45321</v>
      </c>
      <c r="F15" s="3" t="s">
        <v>316</v>
      </c>
      <c r="G15" s="3" t="s">
        <v>325</v>
      </c>
      <c r="H15" s="3" t="s">
        <v>324</v>
      </c>
      <c r="I15" s="4">
        <v>25000</v>
      </c>
      <c r="J15" s="4">
        <f>SUMIFS(I:I,F:F,F15,A:A,"&lt;=13")</f>
        <v>125000</v>
      </c>
      <c r="K15" s="55" t="s">
        <v>140</v>
      </c>
      <c r="L15" s="2" t="s">
        <v>123</v>
      </c>
      <c r="M15" s="2" t="s">
        <v>123</v>
      </c>
      <c r="N15" s="2" t="s">
        <v>123</v>
      </c>
      <c r="O15" s="68"/>
      <c r="T15" s="3">
        <f t="shared" si="1"/>
        <v>0</v>
      </c>
      <c r="U15" s="3" t="s">
        <v>136</v>
      </c>
    </row>
    <row r="16" spans="1:21" ht="32.25" customHeight="1" x14ac:dyDescent="0.25">
      <c r="A16" s="3">
        <f t="shared" si="0"/>
        <v>14</v>
      </c>
      <c r="B16" s="3" t="s">
        <v>315</v>
      </c>
      <c r="C16" s="13">
        <v>45316</v>
      </c>
      <c r="D16" s="13">
        <v>45317</v>
      </c>
      <c r="E16" s="13">
        <v>45321</v>
      </c>
      <c r="F16" s="3" t="s">
        <v>316</v>
      </c>
      <c r="G16" s="3" t="s">
        <v>327</v>
      </c>
      <c r="H16" s="3" t="s">
        <v>326</v>
      </c>
      <c r="I16" s="4">
        <v>23000</v>
      </c>
      <c r="J16" s="4">
        <f>SUMIFS(I:I,F:F,F16,A:A,"&lt;=14")</f>
        <v>148000</v>
      </c>
      <c r="K16" s="55" t="s">
        <v>140</v>
      </c>
      <c r="L16" s="2" t="s">
        <v>123</v>
      </c>
      <c r="M16" s="2" t="s">
        <v>123</v>
      </c>
      <c r="N16" s="2" t="s">
        <v>123</v>
      </c>
      <c r="O16" s="68"/>
      <c r="T16" s="3">
        <f t="shared" si="1"/>
        <v>0</v>
      </c>
      <c r="U16" s="3" t="s">
        <v>137</v>
      </c>
    </row>
    <row r="17" spans="1:21" ht="32.25" customHeight="1" x14ac:dyDescent="0.25">
      <c r="A17" s="3">
        <f t="shared" si="0"/>
        <v>15</v>
      </c>
      <c r="B17" s="3" t="s">
        <v>315</v>
      </c>
      <c r="C17" s="13">
        <v>45316</v>
      </c>
      <c r="D17" s="13">
        <v>45317</v>
      </c>
      <c r="E17" s="13">
        <v>45321</v>
      </c>
      <c r="F17" s="3" t="s">
        <v>316</v>
      </c>
      <c r="G17" s="3" t="s">
        <v>328</v>
      </c>
      <c r="H17" s="3" t="s">
        <v>330</v>
      </c>
      <c r="I17" s="4">
        <v>2500</v>
      </c>
      <c r="J17" s="4">
        <f>SUMIFS(I:I,F:F,F17,A:A,"&lt;=15")</f>
        <v>150500</v>
      </c>
      <c r="K17" s="55" t="s">
        <v>140</v>
      </c>
      <c r="L17" s="2" t="s">
        <v>123</v>
      </c>
      <c r="M17" s="2" t="s">
        <v>123</v>
      </c>
      <c r="N17" s="2" t="s">
        <v>123</v>
      </c>
      <c r="O17" s="68"/>
      <c r="T17" s="3">
        <f t="shared" si="1"/>
        <v>0</v>
      </c>
      <c r="U17" s="3" t="s">
        <v>138</v>
      </c>
    </row>
    <row r="18" spans="1:21" ht="32.25" customHeight="1" x14ac:dyDescent="0.25">
      <c r="A18" s="3">
        <f t="shared" si="0"/>
        <v>16</v>
      </c>
      <c r="B18" s="3" t="s">
        <v>315</v>
      </c>
      <c r="C18" s="13">
        <v>45316</v>
      </c>
      <c r="D18" s="13">
        <v>45317</v>
      </c>
      <c r="E18" s="13">
        <v>45321</v>
      </c>
      <c r="F18" s="3" t="s">
        <v>316</v>
      </c>
      <c r="G18" s="3" t="s">
        <v>329</v>
      </c>
      <c r="H18" s="3" t="s">
        <v>330</v>
      </c>
      <c r="I18" s="4">
        <v>20000</v>
      </c>
      <c r="J18" s="4">
        <f>SUMIFS(I:I,F:F,F18,A:A,"&lt;=16")</f>
        <v>170500</v>
      </c>
      <c r="K18" s="55" t="s">
        <v>140</v>
      </c>
      <c r="L18" s="2" t="s">
        <v>123</v>
      </c>
      <c r="M18" s="2" t="s">
        <v>123</v>
      </c>
      <c r="N18" s="2" t="s">
        <v>123</v>
      </c>
      <c r="O18" s="68"/>
      <c r="T18" s="3">
        <f t="shared" si="1"/>
        <v>0</v>
      </c>
      <c r="U18" s="3" t="s">
        <v>139</v>
      </c>
    </row>
    <row r="19" spans="1:21" ht="32.25" customHeight="1" x14ac:dyDescent="0.25">
      <c r="A19" s="3">
        <f t="shared" si="0"/>
        <v>17</v>
      </c>
      <c r="B19" s="3" t="s">
        <v>315</v>
      </c>
      <c r="C19" s="13">
        <v>45316</v>
      </c>
      <c r="D19" s="13">
        <v>45317</v>
      </c>
      <c r="E19" s="13">
        <v>45321</v>
      </c>
      <c r="F19" s="3" t="s">
        <v>316</v>
      </c>
      <c r="G19" s="3" t="s">
        <v>332</v>
      </c>
      <c r="H19" s="3" t="s">
        <v>331</v>
      </c>
      <c r="I19" s="4">
        <v>22000</v>
      </c>
      <c r="J19" s="4">
        <f>SUMIFS(I:I,F:F,F19,A:A,"&lt;=17")</f>
        <v>192500</v>
      </c>
      <c r="K19" s="55" t="s">
        <v>140</v>
      </c>
      <c r="L19" s="2" t="s">
        <v>123</v>
      </c>
      <c r="M19" s="2" t="s">
        <v>123</v>
      </c>
      <c r="N19" s="2" t="s">
        <v>123</v>
      </c>
    </row>
    <row r="20" spans="1:21" ht="32.25" customHeight="1" x14ac:dyDescent="0.25">
      <c r="A20" s="3">
        <f t="shared" si="0"/>
        <v>18</v>
      </c>
      <c r="B20" s="3" t="s">
        <v>315</v>
      </c>
      <c r="C20" s="13">
        <v>45316</v>
      </c>
      <c r="D20" s="13">
        <v>45317</v>
      </c>
      <c r="E20" s="13">
        <v>45321</v>
      </c>
      <c r="F20" s="3" t="s">
        <v>316</v>
      </c>
      <c r="G20" s="3" t="s">
        <v>333</v>
      </c>
      <c r="H20" s="3" t="s">
        <v>331</v>
      </c>
      <c r="I20" s="4">
        <v>2500</v>
      </c>
      <c r="J20" s="4">
        <f>SUMIFS(I:I,F:F,F20,A:A,"&lt;=18")</f>
        <v>195000</v>
      </c>
      <c r="K20" s="55" t="s">
        <v>140</v>
      </c>
      <c r="L20" s="2" t="s">
        <v>123</v>
      </c>
      <c r="M20" s="2" t="s">
        <v>123</v>
      </c>
      <c r="N20" s="2" t="s">
        <v>123</v>
      </c>
    </row>
  </sheetData>
  <mergeCells count="1">
    <mergeCell ref="A1:J1"/>
  </mergeCells>
  <phoneticPr fontId="1" type="noConversion"/>
  <conditionalFormatting sqref="G3:G18">
    <cfRule type="duplicateValues" dxfId="1" priority="2"/>
  </conditionalFormatting>
  <conditionalFormatting sqref="G21">
    <cfRule type="duplicateValues" dxfId="0" priority="1"/>
  </conditionalFormatting>
  <pageMargins left="0.70866141732283472" right="0.70866141732283472" top="0.74803149606299213" bottom="0.74803149606299213" header="0.31496062992125984" footer="0.31496062992125984"/>
  <pageSetup paperSize="9" scale="88"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22B33-825B-43F0-A521-01F4C168E254}">
  <sheetPr>
    <tabColor rgb="FFFFFF00"/>
  </sheetPr>
  <dimension ref="A1:L3"/>
  <sheetViews>
    <sheetView view="pageBreakPreview" zoomScale="130" zoomScaleNormal="85" zoomScaleSheetLayoutView="130" workbookViewId="0">
      <selection activeCell="C3" sqref="C3"/>
    </sheetView>
  </sheetViews>
  <sheetFormatPr defaultColWidth="9" defaultRowHeight="32.25" customHeight="1" x14ac:dyDescent="0.25"/>
  <cols>
    <col min="1" max="1" width="15.375" style="1" customWidth="1"/>
    <col min="2" max="2" width="15.375" style="14" customWidth="1"/>
    <col min="3" max="4" width="15.375" style="17" customWidth="1"/>
    <col min="5" max="5" width="15.375" style="55" customWidth="1"/>
    <col min="6" max="6" width="24.125" style="55" customWidth="1"/>
    <col min="7" max="7" width="13.375" style="55" bestFit="1" customWidth="1"/>
    <col min="8" max="8" width="8.5" style="55" bestFit="1" customWidth="1"/>
    <col min="9" max="9" width="9.875" style="1" bestFit="1" customWidth="1"/>
    <col min="10" max="11" width="9" style="1"/>
    <col min="12" max="12" width="15.75" style="55" bestFit="1" customWidth="1"/>
    <col min="13" max="16" width="9" style="1"/>
    <col min="17" max="18" width="15.125" style="1" customWidth="1"/>
    <col min="19" max="16384" width="9" style="1"/>
  </cols>
  <sheetData>
    <row r="1" spans="1:12" ht="32.25" customHeight="1" x14ac:dyDescent="0.25">
      <c r="A1" s="104" t="s">
        <v>290</v>
      </c>
      <c r="B1" s="104"/>
      <c r="C1" s="104"/>
      <c r="D1" s="104"/>
      <c r="E1" s="104"/>
      <c r="F1" s="104"/>
      <c r="G1" s="64"/>
      <c r="H1" s="64"/>
      <c r="L1" s="68"/>
    </row>
    <row r="2" spans="1:12" ht="32.25" customHeight="1" x14ac:dyDescent="0.25">
      <c r="A2" s="6" t="s">
        <v>2</v>
      </c>
      <c r="B2" s="80" t="s">
        <v>12</v>
      </c>
      <c r="C2" s="77" t="s">
        <v>143</v>
      </c>
      <c r="D2" s="77" t="s">
        <v>11</v>
      </c>
      <c r="E2" s="78" t="s">
        <v>9</v>
      </c>
      <c r="F2" s="78" t="s">
        <v>14</v>
      </c>
      <c r="G2" s="55" t="s">
        <v>289</v>
      </c>
      <c r="H2" s="55" t="s">
        <v>129</v>
      </c>
      <c r="I2" s="1" t="s">
        <v>125</v>
      </c>
      <c r="J2" s="1" t="s">
        <v>128</v>
      </c>
      <c r="L2" s="68"/>
    </row>
    <row r="3" spans="1:12" ht="32.25" customHeight="1" x14ac:dyDescent="0.25">
      <c r="A3" s="3">
        <v>1</v>
      </c>
      <c r="B3" s="13">
        <v>45285</v>
      </c>
      <c r="C3" s="13">
        <v>45239</v>
      </c>
      <c r="D3" s="13">
        <v>45254</v>
      </c>
      <c r="E3" s="4" t="s">
        <v>288</v>
      </c>
      <c r="F3" s="4" t="str">
        <f>E3</f>
        <v>41支</v>
      </c>
      <c r="G3" s="55" t="s">
        <v>287</v>
      </c>
      <c r="H3" s="2" t="s">
        <v>123</v>
      </c>
      <c r="I3" s="2" t="s">
        <v>123</v>
      </c>
      <c r="J3" s="2" t="s">
        <v>123</v>
      </c>
      <c r="L3" s="68"/>
    </row>
  </sheetData>
  <mergeCells count="1">
    <mergeCell ref="A1:F1"/>
  </mergeCells>
  <phoneticPr fontId="1" type="noConversion"/>
  <pageMargins left="0.70866141732283472" right="0.70866141732283472" top="0.74803149606299213" bottom="0.74803149606299213" header="0.31496062992125984" footer="0.31496062992125984"/>
  <pageSetup paperSize="9" scale="88"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E0BB2-B6A6-4E41-AB9B-E32E858EB036}">
  <sheetPr codeName="工作表27">
    <tabColor rgb="FFFFFF00"/>
  </sheetPr>
  <dimension ref="A1:T20"/>
  <sheetViews>
    <sheetView view="pageBreakPreview" zoomScale="85" zoomScaleNormal="175" zoomScaleSheetLayoutView="85" zoomScalePageLayoutView="115" workbookViewId="0">
      <pane ySplit="1" topLeftCell="A2" activePane="bottomLeft" state="frozen"/>
      <selection activeCell="H31" sqref="H31"/>
      <selection pane="bottomLeft" activeCell="O11" sqref="O11"/>
    </sheetView>
  </sheetViews>
  <sheetFormatPr defaultColWidth="8.875" defaultRowHeight="16.5" x14ac:dyDescent="0.25"/>
  <cols>
    <col min="1" max="1" width="11.5" style="1" bestFit="1" customWidth="1"/>
    <col min="2" max="2" width="12.375" style="17" bestFit="1" customWidth="1"/>
    <col min="3" max="3" width="8.125" style="1" customWidth="1"/>
    <col min="4" max="4" width="9.625" style="57" customWidth="1"/>
    <col min="5" max="5" width="9.25" style="57" customWidth="1"/>
    <col min="6" max="6" width="6.75" style="57" customWidth="1"/>
    <col min="7" max="7" width="37.125" style="56" customWidth="1"/>
    <col min="8" max="8" width="25" style="1" bestFit="1" customWidth="1"/>
    <col min="9" max="9" width="12.375" style="17" bestFit="1" customWidth="1"/>
    <col min="10" max="10" width="9.875" style="1" customWidth="1"/>
    <col min="11" max="11" width="12.5" style="17" bestFit="1" customWidth="1"/>
    <col min="12" max="12" width="9.5" style="1" customWidth="1"/>
    <col min="13" max="13" width="23.75" style="1" bestFit="1" customWidth="1"/>
    <col min="14" max="14" width="23.75" style="1" customWidth="1"/>
    <col min="15" max="15" width="22.75" style="1" bestFit="1" customWidth="1"/>
    <col min="16" max="17" width="9.5" style="1" customWidth="1"/>
    <col min="18" max="16384" width="8.875" style="1"/>
  </cols>
  <sheetData>
    <row r="1" spans="1:20" ht="17.25" thickBot="1" x14ac:dyDescent="0.3">
      <c r="A1" s="70" t="s">
        <v>2</v>
      </c>
      <c r="B1" s="74" t="s">
        <v>3</v>
      </c>
      <c r="C1" s="75" t="s">
        <v>4</v>
      </c>
      <c r="D1" s="65" t="s">
        <v>1</v>
      </c>
      <c r="E1" s="65" t="s">
        <v>26</v>
      </c>
      <c r="F1" s="65" t="s">
        <v>8</v>
      </c>
      <c r="G1" s="76" t="s">
        <v>7</v>
      </c>
      <c r="H1" s="75" t="s">
        <v>24</v>
      </c>
      <c r="I1" s="74" t="s">
        <v>6</v>
      </c>
      <c r="J1" s="75" t="s">
        <v>4</v>
      </c>
      <c r="K1" s="74" t="s">
        <v>5</v>
      </c>
      <c r="L1" s="71" t="s">
        <v>4</v>
      </c>
      <c r="M1" s="1" t="s">
        <v>118</v>
      </c>
      <c r="N1" s="1" t="s">
        <v>289</v>
      </c>
      <c r="O1" s="1" t="s">
        <v>129</v>
      </c>
      <c r="P1" s="1" t="s">
        <v>122</v>
      </c>
      <c r="Q1" s="2" t="s">
        <v>128</v>
      </c>
      <c r="R1" s="1" t="s">
        <v>96</v>
      </c>
      <c r="S1" s="1" t="s">
        <v>28</v>
      </c>
      <c r="T1" s="1" t="s">
        <v>97</v>
      </c>
    </row>
    <row r="2" spans="1:20" x14ac:dyDescent="0.25">
      <c r="A2" s="62">
        <v>1</v>
      </c>
      <c r="B2" s="59">
        <v>45181</v>
      </c>
      <c r="C2" s="66" t="str">
        <f t="shared" ref="C2:C9" si="0">CHOOSE(WEEKDAY(B2),"日","一","二","三","四","五","六")</f>
        <v>二</v>
      </c>
      <c r="D2" s="72">
        <v>140</v>
      </c>
      <c r="E2" s="72">
        <v>0</v>
      </c>
      <c r="F2" s="72">
        <v>1</v>
      </c>
      <c r="G2" s="67" t="s">
        <v>279</v>
      </c>
      <c r="H2" s="58" t="s">
        <v>280</v>
      </c>
      <c r="I2" s="16">
        <f t="shared" ref="I2:I9" si="1">IF(F2="免驗","",B2+7)</f>
        <v>45188</v>
      </c>
      <c r="J2" s="66" t="str">
        <f t="shared" ref="J2:J7" si="2">IF(F2="免驗","",CHOOSE(WEEKDAY(I2),"日","一","二","三","四","五","六"))</f>
        <v>二</v>
      </c>
      <c r="K2" s="59">
        <f t="shared" ref="K2:K5" si="3">IF(F2="免驗","",B2+28)+2</f>
        <v>45211</v>
      </c>
      <c r="L2" s="73" t="str">
        <f t="shared" ref="L2:L9" si="4">IF(F2="免驗","",CHOOSE(WEEKDAY(K2),"日","一","二","三","四","五","六"))</f>
        <v>四</v>
      </c>
      <c r="M2" s="1" t="s">
        <v>124</v>
      </c>
      <c r="N2" s="1" t="s">
        <v>376</v>
      </c>
      <c r="O2" s="2" t="s">
        <v>123</v>
      </c>
      <c r="P2" s="2" t="s">
        <v>123</v>
      </c>
      <c r="Q2" s="2" t="s">
        <v>123</v>
      </c>
      <c r="R2" s="1" t="s">
        <v>281</v>
      </c>
      <c r="S2" s="1" t="s">
        <v>282</v>
      </c>
      <c r="T2" s="1" t="s">
        <v>283</v>
      </c>
    </row>
    <row r="3" spans="1:20" x14ac:dyDescent="0.25">
      <c r="A3" s="18">
        <f t="shared" ref="A3:A19" si="5">A2+1</f>
        <v>2</v>
      </c>
      <c r="B3" s="16">
        <v>45181</v>
      </c>
      <c r="C3" s="5" t="str">
        <f t="shared" si="0"/>
        <v>二</v>
      </c>
      <c r="D3" s="6">
        <v>210</v>
      </c>
      <c r="E3" s="6">
        <v>0</v>
      </c>
      <c r="F3" s="6">
        <v>1</v>
      </c>
      <c r="G3" s="67" t="s">
        <v>279</v>
      </c>
      <c r="H3" s="58" t="s">
        <v>280</v>
      </c>
      <c r="I3" s="16">
        <f t="shared" si="1"/>
        <v>45188</v>
      </c>
      <c r="J3" s="5" t="str">
        <f t="shared" si="2"/>
        <v>二</v>
      </c>
      <c r="K3" s="59">
        <f t="shared" si="3"/>
        <v>45211</v>
      </c>
      <c r="L3" s="19" t="str">
        <f t="shared" si="4"/>
        <v>四</v>
      </c>
      <c r="M3" s="1" t="s">
        <v>124</v>
      </c>
      <c r="N3" s="1" t="s">
        <v>376</v>
      </c>
      <c r="O3" s="2" t="s">
        <v>123</v>
      </c>
      <c r="P3" s="2" t="s">
        <v>123</v>
      </c>
      <c r="Q3" s="2" t="s">
        <v>123</v>
      </c>
      <c r="R3" s="1" t="s">
        <v>281</v>
      </c>
      <c r="S3" s="1" t="s">
        <v>282</v>
      </c>
      <c r="T3" s="1" t="s">
        <v>283</v>
      </c>
    </row>
    <row r="4" spans="1:20" x14ac:dyDescent="0.25">
      <c r="A4" s="18">
        <f t="shared" si="5"/>
        <v>3</v>
      </c>
      <c r="B4" s="16">
        <v>45181</v>
      </c>
      <c r="C4" s="5" t="str">
        <f t="shared" si="0"/>
        <v>二</v>
      </c>
      <c r="D4" s="6">
        <v>280</v>
      </c>
      <c r="E4" s="6">
        <v>0</v>
      </c>
      <c r="F4" s="6">
        <v>1</v>
      </c>
      <c r="G4" s="67" t="s">
        <v>279</v>
      </c>
      <c r="H4" s="58" t="s">
        <v>280</v>
      </c>
      <c r="I4" s="16">
        <f t="shared" si="1"/>
        <v>45188</v>
      </c>
      <c r="J4" s="5" t="str">
        <f t="shared" si="2"/>
        <v>二</v>
      </c>
      <c r="K4" s="59">
        <f t="shared" si="3"/>
        <v>45211</v>
      </c>
      <c r="L4" s="19" t="str">
        <f t="shared" si="4"/>
        <v>四</v>
      </c>
      <c r="M4" s="1" t="s">
        <v>124</v>
      </c>
      <c r="N4" s="1" t="s">
        <v>376</v>
      </c>
      <c r="O4" s="2" t="s">
        <v>123</v>
      </c>
      <c r="P4" s="2" t="s">
        <v>123</v>
      </c>
      <c r="Q4" s="2" t="s">
        <v>123</v>
      </c>
      <c r="R4" s="1" t="s">
        <v>281</v>
      </c>
      <c r="S4" s="1" t="s">
        <v>282</v>
      </c>
      <c r="T4" s="1" t="s">
        <v>283</v>
      </c>
    </row>
    <row r="5" spans="1:20" x14ac:dyDescent="0.25">
      <c r="A5" s="18">
        <f t="shared" si="5"/>
        <v>4</v>
      </c>
      <c r="B5" s="16">
        <v>45181</v>
      </c>
      <c r="C5" s="5" t="str">
        <f t="shared" si="0"/>
        <v>二</v>
      </c>
      <c r="D5" s="6" t="s">
        <v>284</v>
      </c>
      <c r="E5" s="6">
        <v>0</v>
      </c>
      <c r="F5" s="6">
        <v>1</v>
      </c>
      <c r="G5" s="67" t="s">
        <v>279</v>
      </c>
      <c r="H5" s="58" t="s">
        <v>280</v>
      </c>
      <c r="I5" s="16">
        <f t="shared" si="1"/>
        <v>45188</v>
      </c>
      <c r="J5" s="5" t="str">
        <f t="shared" si="2"/>
        <v>二</v>
      </c>
      <c r="K5" s="59">
        <f t="shared" si="3"/>
        <v>45211</v>
      </c>
      <c r="L5" s="19" t="str">
        <f t="shared" si="4"/>
        <v>四</v>
      </c>
      <c r="M5" s="1" t="s">
        <v>124</v>
      </c>
      <c r="N5" s="1" t="s">
        <v>376</v>
      </c>
      <c r="O5" s="2" t="s">
        <v>123</v>
      </c>
      <c r="P5" s="2" t="s">
        <v>123</v>
      </c>
      <c r="Q5" s="2" t="s">
        <v>123</v>
      </c>
      <c r="R5" s="1" t="s">
        <v>281</v>
      </c>
      <c r="S5" s="1" t="s">
        <v>282</v>
      </c>
      <c r="T5" s="1" t="s">
        <v>283</v>
      </c>
    </row>
    <row r="6" spans="1:20" x14ac:dyDescent="0.25">
      <c r="A6" s="18">
        <f t="shared" si="5"/>
        <v>5</v>
      </c>
      <c r="B6" s="16">
        <f>'6.混凝土'!C5</f>
        <v>45289</v>
      </c>
      <c r="C6" s="5" t="str">
        <f t="shared" si="0"/>
        <v>五</v>
      </c>
      <c r="D6" s="6" t="s">
        <v>284</v>
      </c>
      <c r="E6" s="6">
        <v>58</v>
      </c>
      <c r="F6" s="6">
        <f t="shared" ref="F6:F11" si="6">IF(E6&lt;20,0,ROUNDUP(E6/100,0))</f>
        <v>1</v>
      </c>
      <c r="G6" s="67" t="str">
        <f>'6.混凝土'!D5</f>
        <v>共月橋全套管基樁1</v>
      </c>
      <c r="H6" s="58" t="s">
        <v>286</v>
      </c>
      <c r="I6" s="16">
        <f t="shared" si="1"/>
        <v>45296</v>
      </c>
      <c r="J6" s="5" t="str">
        <f t="shared" si="2"/>
        <v>五</v>
      </c>
      <c r="K6" s="59">
        <f>IF(F6="免驗","",B6+28)</f>
        <v>45317</v>
      </c>
      <c r="L6" s="19" t="str">
        <f t="shared" si="4"/>
        <v>五</v>
      </c>
      <c r="M6" s="1" t="s">
        <v>119</v>
      </c>
      <c r="N6" s="1" t="s">
        <v>140</v>
      </c>
      <c r="O6" s="2" t="s">
        <v>123</v>
      </c>
      <c r="P6" s="2" t="s">
        <v>123</v>
      </c>
      <c r="Q6" s="2" t="s">
        <v>123</v>
      </c>
      <c r="S6" s="1" t="s">
        <v>282</v>
      </c>
      <c r="T6" s="1" t="s">
        <v>283</v>
      </c>
    </row>
    <row r="7" spans="1:20" x14ac:dyDescent="0.25">
      <c r="A7" s="18">
        <f t="shared" si="5"/>
        <v>6</v>
      </c>
      <c r="B7" s="16">
        <f>'6.混凝土'!C6</f>
        <v>45296</v>
      </c>
      <c r="C7" s="5" t="str">
        <f t="shared" si="0"/>
        <v>五</v>
      </c>
      <c r="D7" s="6" t="s">
        <v>284</v>
      </c>
      <c r="E7" s="6">
        <v>58</v>
      </c>
      <c r="F7" s="6">
        <f t="shared" si="6"/>
        <v>1</v>
      </c>
      <c r="G7" s="67" t="str">
        <f>'6.混凝土'!D6</f>
        <v>共月橋全套管基樁2</v>
      </c>
      <c r="H7" s="58" t="s">
        <v>286</v>
      </c>
      <c r="I7" s="16">
        <f t="shared" si="1"/>
        <v>45303</v>
      </c>
      <c r="J7" s="5" t="str">
        <f t="shared" si="2"/>
        <v>五</v>
      </c>
      <c r="K7" s="59">
        <f t="shared" ref="K7:K10" si="7">IF(F7="免驗","",B7+28)</f>
        <v>45324</v>
      </c>
      <c r="L7" s="19" t="str">
        <f t="shared" si="4"/>
        <v>五</v>
      </c>
      <c r="M7" s="1" t="s">
        <v>119</v>
      </c>
      <c r="N7" s="1" t="s">
        <v>140</v>
      </c>
      <c r="O7" s="2" t="s">
        <v>123</v>
      </c>
      <c r="P7" s="2" t="s">
        <v>123</v>
      </c>
      <c r="Q7" s="2" t="s">
        <v>123</v>
      </c>
      <c r="R7" s="2"/>
      <c r="S7" s="1" t="s">
        <v>282</v>
      </c>
      <c r="T7" s="1" t="s">
        <v>283</v>
      </c>
    </row>
    <row r="8" spans="1:20" x14ac:dyDescent="0.25">
      <c r="A8" s="18">
        <f t="shared" si="5"/>
        <v>7</v>
      </c>
      <c r="B8" s="16">
        <f>'6.混凝土'!C7</f>
        <v>45300</v>
      </c>
      <c r="C8" s="5" t="str">
        <f t="shared" si="0"/>
        <v>二</v>
      </c>
      <c r="D8" s="6" t="s">
        <v>284</v>
      </c>
      <c r="E8" s="6">
        <v>58</v>
      </c>
      <c r="F8" s="6">
        <f t="shared" si="6"/>
        <v>1</v>
      </c>
      <c r="G8" s="67" t="str">
        <f>'6.混凝土'!D7</f>
        <v>共月橋全套管基樁4</v>
      </c>
      <c r="H8" s="58" t="s">
        <v>285</v>
      </c>
      <c r="I8" s="16">
        <f t="shared" si="1"/>
        <v>45307</v>
      </c>
      <c r="J8" s="5" t="str">
        <f>IF(F8="免驗","",CHOOSE(WEEKDAY(I8),"日","一","二","三","四","五","六"))</f>
        <v>二</v>
      </c>
      <c r="K8" s="59">
        <f t="shared" si="7"/>
        <v>45328</v>
      </c>
      <c r="L8" s="19" t="str">
        <f t="shared" si="4"/>
        <v>二</v>
      </c>
      <c r="M8" s="1" t="s">
        <v>119</v>
      </c>
      <c r="N8" s="1" t="s">
        <v>140</v>
      </c>
      <c r="O8" s="2" t="s">
        <v>123</v>
      </c>
      <c r="P8" s="2" t="s">
        <v>123</v>
      </c>
      <c r="Q8" s="2"/>
      <c r="R8" s="2"/>
      <c r="S8" s="1" t="s">
        <v>282</v>
      </c>
      <c r="T8" s="1" t="s">
        <v>418</v>
      </c>
    </row>
    <row r="9" spans="1:20" x14ac:dyDescent="0.25">
      <c r="A9" s="18">
        <f t="shared" si="5"/>
        <v>8</v>
      </c>
      <c r="B9" s="16">
        <f>'6.混凝土'!C8</f>
        <v>45303</v>
      </c>
      <c r="C9" s="5" t="str">
        <f t="shared" si="0"/>
        <v>五</v>
      </c>
      <c r="D9" s="6" t="s">
        <v>284</v>
      </c>
      <c r="E9" s="6">
        <v>58</v>
      </c>
      <c r="F9" s="6">
        <f t="shared" si="6"/>
        <v>1</v>
      </c>
      <c r="G9" s="67" t="str">
        <f>'6.混凝土'!D8</f>
        <v>共月橋全套管基樁3</v>
      </c>
      <c r="H9" s="58" t="s">
        <v>295</v>
      </c>
      <c r="I9" s="16">
        <f t="shared" si="1"/>
        <v>45310</v>
      </c>
      <c r="J9" s="5" t="str">
        <f>IF(F9="免驗","",CHOOSE(WEEKDAY(I9),"日","一","二","三","四","五","六"))</f>
        <v>五</v>
      </c>
      <c r="K9" s="59">
        <f t="shared" si="7"/>
        <v>45331</v>
      </c>
      <c r="L9" s="19" t="str">
        <f t="shared" si="4"/>
        <v>五</v>
      </c>
      <c r="M9" s="1" t="s">
        <v>119</v>
      </c>
      <c r="N9" s="1" t="s">
        <v>377</v>
      </c>
      <c r="O9" s="2" t="s">
        <v>123</v>
      </c>
      <c r="P9" s="2" t="s">
        <v>123</v>
      </c>
      <c r="Q9" s="2"/>
      <c r="R9" s="1" t="s">
        <v>281</v>
      </c>
      <c r="S9" s="1" t="s">
        <v>282</v>
      </c>
      <c r="T9" s="1" t="s">
        <v>418</v>
      </c>
    </row>
    <row r="10" spans="1:20" x14ac:dyDescent="0.25">
      <c r="A10" s="18">
        <f t="shared" si="5"/>
        <v>9</v>
      </c>
      <c r="B10" s="16">
        <f>'6.混凝土'!C9</f>
        <v>45309</v>
      </c>
      <c r="C10" s="5" t="str">
        <f t="shared" ref="C10" si="8">CHOOSE(WEEKDAY(B10),"日","一","二","三","四","五","六")</f>
        <v>四</v>
      </c>
      <c r="D10" s="6" t="s">
        <v>284</v>
      </c>
      <c r="E10" s="6">
        <v>58</v>
      </c>
      <c r="F10" s="6">
        <f t="shared" si="6"/>
        <v>1</v>
      </c>
      <c r="G10" s="67" t="str">
        <f>'6.混凝土'!D9</f>
        <v>共月橋全套管基樁5</v>
      </c>
      <c r="H10" s="58" t="s">
        <v>285</v>
      </c>
      <c r="I10" s="16">
        <f t="shared" ref="I10" si="9">IF(F10="免驗","",B10+7)</f>
        <v>45316</v>
      </c>
      <c r="J10" s="5" t="str">
        <f>IF(F10="免驗","",CHOOSE(WEEKDAY(I10),"日","一","二","三","四","五","六"))</f>
        <v>四</v>
      </c>
      <c r="K10" s="59">
        <f t="shared" si="7"/>
        <v>45337</v>
      </c>
      <c r="L10" s="19" t="str">
        <f t="shared" ref="L10" si="10">IF(F10="免驗","",CHOOSE(WEEKDAY(K10),"日","一","二","三","四","五","六"))</f>
        <v>四</v>
      </c>
      <c r="M10" s="1" t="s">
        <v>119</v>
      </c>
      <c r="N10" s="1" t="s">
        <v>140</v>
      </c>
      <c r="O10" s="2" t="s">
        <v>123</v>
      </c>
      <c r="S10" s="1" t="s">
        <v>282</v>
      </c>
      <c r="T10" s="1" t="s">
        <v>418</v>
      </c>
    </row>
    <row r="11" spans="1:20" x14ac:dyDescent="0.25">
      <c r="A11" s="18">
        <f t="shared" si="5"/>
        <v>10</v>
      </c>
      <c r="B11" s="16">
        <f>'6.混凝土'!C10</f>
        <v>45311</v>
      </c>
      <c r="C11" s="5" t="str">
        <f t="shared" ref="C11" si="11">CHOOSE(WEEKDAY(B11),"日","一","二","三","四","五","六")</f>
        <v>六</v>
      </c>
      <c r="D11" s="6" t="s">
        <v>284</v>
      </c>
      <c r="E11" s="6">
        <v>58</v>
      </c>
      <c r="F11" s="6">
        <f t="shared" si="6"/>
        <v>1</v>
      </c>
      <c r="G11" s="67" t="str">
        <f>'6.混凝土'!D10</f>
        <v>共月橋全套管基樁6</v>
      </c>
      <c r="H11" s="58" t="s">
        <v>421</v>
      </c>
      <c r="I11" s="16">
        <f t="shared" ref="I11" si="12">IF(F11="免驗","",B11+7)</f>
        <v>45318</v>
      </c>
      <c r="J11" s="5" t="str">
        <f>IF(F11="免驗","",CHOOSE(WEEKDAY(I11),"日","一","二","三","四","五","六"))</f>
        <v>六</v>
      </c>
      <c r="K11" s="59">
        <f t="shared" ref="K11" si="13">IF(F11="免驗","",B11+28)</f>
        <v>45339</v>
      </c>
      <c r="L11" s="19" t="str">
        <f t="shared" ref="L11" si="14">IF(F11="免驗","",CHOOSE(WEEKDAY(K11),"日","一","二","三","四","五","六"))</f>
        <v>六</v>
      </c>
      <c r="M11" s="1" t="s">
        <v>119</v>
      </c>
      <c r="N11" s="1" t="s">
        <v>140</v>
      </c>
      <c r="O11" s="2" t="s">
        <v>123</v>
      </c>
      <c r="S11" s="1" t="s">
        <v>419</v>
      </c>
      <c r="T11" s="1" t="s">
        <v>418</v>
      </c>
    </row>
    <row r="12" spans="1:20" x14ac:dyDescent="0.25">
      <c r="A12" s="18">
        <f t="shared" si="5"/>
        <v>11</v>
      </c>
      <c r="B12" s="16">
        <f>'6.混凝土'!C11</f>
        <v>45314</v>
      </c>
      <c r="C12" s="5" t="str">
        <f t="shared" ref="C12" si="15">CHOOSE(WEEKDAY(B12),"日","一","二","三","四","五","六")</f>
        <v>二</v>
      </c>
      <c r="D12" s="6" t="s">
        <v>284</v>
      </c>
      <c r="E12" s="6">
        <v>58</v>
      </c>
      <c r="F12" s="6">
        <f t="shared" ref="F12" si="16">IF(E12&lt;20,0,ROUNDUP(E12/100,0))</f>
        <v>1</v>
      </c>
      <c r="G12" s="67" t="str">
        <f>'6.混凝土'!D11</f>
        <v>共月橋全套管基樁7</v>
      </c>
      <c r="H12" s="58" t="s">
        <v>421</v>
      </c>
      <c r="I12" s="16">
        <f t="shared" ref="I12" si="17">IF(F12="免驗","",B12+7)</f>
        <v>45321</v>
      </c>
      <c r="J12" s="5" t="str">
        <f>IF(F12="免驗","",CHOOSE(WEEKDAY(I12),"日","一","二","三","四","五","六"))</f>
        <v>二</v>
      </c>
      <c r="K12" s="59">
        <f t="shared" ref="K12" si="18">IF(F12="免驗","",B12+28)</f>
        <v>45342</v>
      </c>
      <c r="L12" s="19" t="str">
        <f t="shared" ref="L12" si="19">IF(F12="免驗","",CHOOSE(WEEKDAY(K12),"日","一","二","三","四","五","六"))</f>
        <v>二</v>
      </c>
      <c r="M12" s="1" t="s">
        <v>119</v>
      </c>
      <c r="N12" s="1" t="s">
        <v>140</v>
      </c>
      <c r="S12" s="1" t="s">
        <v>419</v>
      </c>
      <c r="T12" s="1" t="s">
        <v>418</v>
      </c>
    </row>
    <row r="13" spans="1:20" x14ac:dyDescent="0.25">
      <c r="A13" s="18">
        <f t="shared" si="5"/>
        <v>12</v>
      </c>
      <c r="B13" s="16">
        <f>'6.混凝土'!C12</f>
        <v>45320</v>
      </c>
      <c r="C13" s="5" t="str">
        <f t="shared" ref="C13:C15" si="20">CHOOSE(WEEKDAY(B13),"日","一","二","三","四","五","六")</f>
        <v>一</v>
      </c>
      <c r="D13" s="6" t="s">
        <v>284</v>
      </c>
      <c r="E13" s="6">
        <v>58</v>
      </c>
      <c r="F13" s="6">
        <f t="shared" ref="F13:F18" si="21">IF(E13&lt;20,0,ROUNDUP(E13/100,0))</f>
        <v>1</v>
      </c>
      <c r="G13" s="67" t="str">
        <f>'6.混凝土'!D12</f>
        <v>共月橋全套管基樁8</v>
      </c>
      <c r="H13" s="58" t="s">
        <v>421</v>
      </c>
      <c r="I13" s="16">
        <f t="shared" ref="I13:I15" si="22">IF(F13="免驗","",B13+7)</f>
        <v>45327</v>
      </c>
      <c r="J13" s="5" t="str">
        <f t="shared" ref="J13:J15" si="23">IF(F13="免驗","",CHOOSE(WEEKDAY(I13),"日","一","二","三","四","五","六"))</f>
        <v>一</v>
      </c>
      <c r="K13" s="59">
        <f t="shared" ref="K13:K15" si="24">IF(F13="免驗","",B13+28)</f>
        <v>45348</v>
      </c>
      <c r="L13" s="19" t="str">
        <f t="shared" ref="L13:L15" si="25">IF(F13="免驗","",CHOOSE(WEEKDAY(K13),"日","一","二","三","四","五","六"))</f>
        <v>一</v>
      </c>
      <c r="M13" s="1" t="s">
        <v>352</v>
      </c>
      <c r="N13" s="1" t="s">
        <v>140</v>
      </c>
      <c r="S13" s="1" t="s">
        <v>419</v>
      </c>
      <c r="T13" s="1" t="s">
        <v>418</v>
      </c>
    </row>
    <row r="14" spans="1:20" x14ac:dyDescent="0.25">
      <c r="A14" s="18">
        <f t="shared" si="5"/>
        <v>13</v>
      </c>
      <c r="B14" s="16">
        <f>'6.混凝土'!C13</f>
        <v>45321</v>
      </c>
      <c r="C14" s="5" t="str">
        <f t="shared" si="20"/>
        <v>二</v>
      </c>
      <c r="D14" s="6" t="s">
        <v>284</v>
      </c>
      <c r="E14" s="6">
        <v>35</v>
      </c>
      <c r="F14" s="6">
        <f t="shared" si="21"/>
        <v>1</v>
      </c>
      <c r="G14" s="67" t="str">
        <f>'6.混凝土'!D13</f>
        <v>共月橋全套管基樁9</v>
      </c>
      <c r="H14" s="58" t="s">
        <v>421</v>
      </c>
      <c r="I14" s="16">
        <f t="shared" si="22"/>
        <v>45328</v>
      </c>
      <c r="J14" s="5" t="str">
        <f t="shared" si="23"/>
        <v>二</v>
      </c>
      <c r="K14" s="59">
        <f t="shared" si="24"/>
        <v>45349</v>
      </c>
      <c r="L14" s="19" t="str">
        <f t="shared" si="25"/>
        <v>二</v>
      </c>
      <c r="M14" s="1" t="s">
        <v>119</v>
      </c>
      <c r="N14" s="1" t="s">
        <v>140</v>
      </c>
      <c r="S14" s="1" t="s">
        <v>419</v>
      </c>
      <c r="T14" s="1" t="s">
        <v>418</v>
      </c>
    </row>
    <row r="15" spans="1:20" x14ac:dyDescent="0.25">
      <c r="A15" s="18">
        <f t="shared" si="5"/>
        <v>14</v>
      </c>
      <c r="B15" s="16">
        <f>'6.混凝土'!C14</f>
        <v>45323</v>
      </c>
      <c r="C15" s="5" t="str">
        <f t="shared" si="20"/>
        <v>四</v>
      </c>
      <c r="D15" s="6" t="s">
        <v>284</v>
      </c>
      <c r="E15" s="6">
        <v>58</v>
      </c>
      <c r="F15" s="6">
        <f t="shared" si="21"/>
        <v>1</v>
      </c>
      <c r="G15" s="67" t="str">
        <f>'6.混凝土'!D14</f>
        <v>共月橋全套管基樁10、11</v>
      </c>
      <c r="H15" s="58" t="s">
        <v>421</v>
      </c>
      <c r="I15" s="16">
        <f t="shared" si="22"/>
        <v>45330</v>
      </c>
      <c r="J15" s="5" t="str">
        <f t="shared" si="23"/>
        <v>四</v>
      </c>
      <c r="K15" s="59">
        <f t="shared" si="24"/>
        <v>45351</v>
      </c>
      <c r="L15" s="19" t="str">
        <f t="shared" si="25"/>
        <v>四</v>
      </c>
      <c r="M15" s="1" t="s">
        <v>352</v>
      </c>
      <c r="N15" s="1" t="s">
        <v>140</v>
      </c>
      <c r="S15" s="1" t="s">
        <v>419</v>
      </c>
      <c r="T15" s="1" t="s">
        <v>418</v>
      </c>
    </row>
    <row r="16" spans="1:20" x14ac:dyDescent="0.25">
      <c r="A16" s="18">
        <f t="shared" si="5"/>
        <v>15</v>
      </c>
      <c r="B16" s="16">
        <f>'6.混凝土'!C15</f>
        <v>45339</v>
      </c>
      <c r="C16" s="5" t="str">
        <f t="shared" ref="C16" si="26">CHOOSE(WEEKDAY(B16),"日","一","二","三","四","五","六")</f>
        <v>六</v>
      </c>
      <c r="D16" s="6">
        <v>140</v>
      </c>
      <c r="E16" s="6">
        <v>8</v>
      </c>
      <c r="F16" s="6">
        <v>1</v>
      </c>
      <c r="G16" s="67" t="str">
        <f>'6.混凝土'!D15</f>
        <v>地梁(0K+540~0K+625)底PC</v>
      </c>
      <c r="H16" s="58" t="s">
        <v>421</v>
      </c>
      <c r="I16" s="16">
        <f t="shared" ref="I16" si="27">IF(F16="免驗","",B16+7)</f>
        <v>45346</v>
      </c>
      <c r="J16" s="5" t="str">
        <f t="shared" ref="J16" si="28">IF(F16="免驗","",CHOOSE(WEEKDAY(I16),"日","一","二","三","四","五","六"))</f>
        <v>六</v>
      </c>
      <c r="K16" s="59">
        <f t="shared" ref="K16" si="29">IF(F16="免驗","",B16+28)</f>
        <v>45367</v>
      </c>
      <c r="L16" s="19" t="str">
        <f t="shared" ref="L16" si="30">IF(F16="免驗","",CHOOSE(WEEKDAY(K16),"日","一","二","三","四","五","六"))</f>
        <v>六</v>
      </c>
      <c r="M16" s="1" t="s">
        <v>119</v>
      </c>
      <c r="N16" s="1" t="s">
        <v>140</v>
      </c>
      <c r="S16" s="1" t="s">
        <v>419</v>
      </c>
      <c r="T16" s="1" t="s">
        <v>418</v>
      </c>
    </row>
    <row r="17" spans="1:20" x14ac:dyDescent="0.25">
      <c r="A17" s="18">
        <f t="shared" si="5"/>
        <v>16</v>
      </c>
      <c r="B17" s="16">
        <f>'6.混凝土'!C16</f>
        <v>45344</v>
      </c>
      <c r="C17" s="5" t="str">
        <f t="shared" ref="C17" si="31">CHOOSE(WEEKDAY(B17),"日","一","二","三","四","五","六")</f>
        <v>四</v>
      </c>
      <c r="D17" s="6" t="s">
        <v>391</v>
      </c>
      <c r="E17" s="6">
        <v>98</v>
      </c>
      <c r="F17" s="6">
        <f t="shared" si="21"/>
        <v>1</v>
      </c>
      <c r="G17" s="67" t="str">
        <f>'6.混凝土'!D16</f>
        <v>地梁(0K+540~0K+625)</v>
      </c>
      <c r="H17" s="58" t="s">
        <v>285</v>
      </c>
      <c r="I17" s="16">
        <f t="shared" ref="I17" si="32">IF(F17="免驗","",B17+7)</f>
        <v>45351</v>
      </c>
      <c r="J17" s="5" t="str">
        <f t="shared" ref="J17" si="33">IF(F17="免驗","",CHOOSE(WEEKDAY(I17),"日","一","二","三","四","五","六"))</f>
        <v>四</v>
      </c>
      <c r="K17" s="59">
        <f t="shared" ref="K17" si="34">IF(F17="免驗","",B17+28)</f>
        <v>45372</v>
      </c>
      <c r="L17" s="19" t="str">
        <f t="shared" ref="L17" si="35">IF(F17="免驗","",CHOOSE(WEEKDAY(K17),"日","一","二","三","四","五","六"))</f>
        <v>四</v>
      </c>
      <c r="M17" s="1" t="s">
        <v>119</v>
      </c>
      <c r="N17" s="1" t="s">
        <v>140</v>
      </c>
      <c r="S17" s="1" t="s">
        <v>282</v>
      </c>
      <c r="T17" s="1" t="s">
        <v>418</v>
      </c>
    </row>
    <row r="18" spans="1:20" ht="33" x14ac:dyDescent="0.25">
      <c r="A18" s="18">
        <f t="shared" si="5"/>
        <v>17</v>
      </c>
      <c r="B18" s="16">
        <f>'6.混凝土'!C17</f>
        <v>45356</v>
      </c>
      <c r="C18" s="5" t="str">
        <f t="shared" ref="C18" si="36">CHOOSE(WEEKDAY(B18),"日","一","二","三","四","五","六")</f>
        <v>二</v>
      </c>
      <c r="D18" s="6">
        <v>140</v>
      </c>
      <c r="E18" s="6">
        <v>18</v>
      </c>
      <c r="F18" s="6">
        <f t="shared" si="21"/>
        <v>0</v>
      </c>
      <c r="G18" s="67" t="str">
        <f>'6.混凝土'!D17</f>
        <v>共月橋P1、P2橋台、砌石0K+540~0K+625底</v>
      </c>
      <c r="H18" s="58" t="s">
        <v>421</v>
      </c>
      <c r="I18" s="16">
        <f t="shared" ref="I18" si="37">IF(F18="免驗","",B18+7)</f>
        <v>45363</v>
      </c>
      <c r="J18" s="5" t="str">
        <f t="shared" ref="J18" si="38">IF(F18="免驗","",CHOOSE(WEEKDAY(I18),"日","一","二","三","四","五","六"))</f>
        <v>二</v>
      </c>
      <c r="K18" s="59">
        <f t="shared" ref="K18" si="39">IF(F18="免驗","",B18+28)</f>
        <v>45384</v>
      </c>
      <c r="L18" s="19" t="str">
        <f t="shared" ref="L18" si="40">IF(F18="免驗","",CHOOSE(WEEKDAY(K18),"日","一","二","三","四","五","六"))</f>
        <v>二</v>
      </c>
      <c r="M18" s="1" t="s">
        <v>119</v>
      </c>
      <c r="N18" s="1" t="s">
        <v>140</v>
      </c>
      <c r="S18" s="1" t="s">
        <v>419</v>
      </c>
      <c r="T18" s="1" t="s">
        <v>418</v>
      </c>
    </row>
    <row r="19" spans="1:20" x14ac:dyDescent="0.25">
      <c r="A19" s="18">
        <f t="shared" si="5"/>
        <v>18</v>
      </c>
      <c r="B19" s="16">
        <f>'6.混凝土'!C18</f>
        <v>45358</v>
      </c>
      <c r="C19" s="5" t="str">
        <f t="shared" ref="C19" si="41">CHOOSE(WEEKDAY(B19),"日","一","二","三","四","五","六")</f>
        <v>四</v>
      </c>
      <c r="D19" s="6" t="s">
        <v>391</v>
      </c>
      <c r="E19" s="6">
        <v>60</v>
      </c>
      <c r="F19" s="6">
        <f t="shared" ref="F19" si="42">IF(E19&lt;20,0,ROUNDUP(E19/100,0))</f>
        <v>1</v>
      </c>
      <c r="G19" s="67" t="str">
        <f>'6.混凝土'!D18</f>
        <v>共月橋P1、P2橋台基礎</v>
      </c>
      <c r="H19" s="58" t="s">
        <v>421</v>
      </c>
      <c r="I19" s="16">
        <f t="shared" ref="I19" si="43">IF(F19="免驗","",B19+7)</f>
        <v>45365</v>
      </c>
      <c r="J19" s="5" t="str">
        <f t="shared" ref="J19" si="44">IF(F19="免驗","",CHOOSE(WEEKDAY(I19),"日","一","二","三","四","五","六"))</f>
        <v>四</v>
      </c>
      <c r="K19" s="59">
        <f t="shared" ref="K19" si="45">IF(F19="免驗","",B19+28)</f>
        <v>45386</v>
      </c>
      <c r="L19" s="19" t="str">
        <f t="shared" ref="L19" si="46">IF(F19="免驗","",CHOOSE(WEEKDAY(K19),"日","一","二","三","四","五","六"))</f>
        <v>四</v>
      </c>
      <c r="M19" s="1" t="s">
        <v>119</v>
      </c>
      <c r="N19" s="1" t="s">
        <v>140</v>
      </c>
      <c r="S19" s="1" t="s">
        <v>420</v>
      </c>
      <c r="T19" s="1" t="s">
        <v>418</v>
      </c>
    </row>
    <row r="20" spans="1:20" x14ac:dyDescent="0.25">
      <c r="A20" s="18"/>
      <c r="B20" s="16"/>
      <c r="C20" s="5"/>
      <c r="D20" s="6"/>
      <c r="E20" s="6"/>
      <c r="F20" s="6"/>
      <c r="G20" s="67"/>
      <c r="H20" s="58"/>
      <c r="I20" s="16"/>
      <c r="J20" s="5"/>
      <c r="K20" s="59"/>
      <c r="L20" s="19"/>
    </row>
  </sheetData>
  <autoFilter ref="A1:T9" xr:uid="{6CE491CC-D584-48C3-877A-B5230E1A495C}"/>
  <phoneticPr fontId="1" type="noConversion"/>
  <pageMargins left="0.70866141732283472" right="0.70866141732283472" top="0.9055118110236221" bottom="0.74803149606299213" header="0.31496062992125984" footer="0.31496062992125984"/>
  <pageSetup paperSize="9" scale="75" orientation="landscape" r:id="rId1"/>
  <headerFooter>
    <oddHeader>&amp;C&amp;"標楷體,標準"上溢營造股份有限公司
貴子坑溪大度路上游至中央北路口水防道路拓寬及中央北路下游堤牆改建工程
混凝土取樣一覽表</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9098D-48D7-482A-9D40-DA4F8B9AB11E}">
  <sheetPr codeName="工作表29">
    <tabColor theme="9" tint="0.39997558519241921"/>
    <pageSetUpPr fitToPage="1"/>
  </sheetPr>
  <dimension ref="A1:AP73"/>
  <sheetViews>
    <sheetView showGridLines="0" view="pageBreakPreview" zoomScale="115" zoomScaleNormal="100" zoomScaleSheetLayoutView="115" workbookViewId="0">
      <selection sqref="A1:Z1"/>
    </sheetView>
  </sheetViews>
  <sheetFormatPr defaultColWidth="9" defaultRowHeight="16.5" x14ac:dyDescent="0.25"/>
  <cols>
    <col min="1" max="256" width="4.625" style="20" customWidth="1"/>
    <col min="257" max="16384" width="9" style="20"/>
  </cols>
  <sheetData>
    <row r="1" spans="1:41" ht="24.95" customHeight="1" x14ac:dyDescent="0.25">
      <c r="A1" s="111" t="s">
        <v>29</v>
      </c>
      <c r="B1" s="111"/>
      <c r="C1" s="111"/>
      <c r="D1" s="111"/>
      <c r="E1" s="111"/>
      <c r="F1" s="111"/>
      <c r="G1" s="111"/>
      <c r="H1" s="111"/>
      <c r="I1" s="111"/>
      <c r="J1" s="111"/>
      <c r="K1" s="111"/>
      <c r="L1" s="111"/>
      <c r="M1" s="111"/>
      <c r="N1" s="111"/>
      <c r="O1" s="111"/>
      <c r="P1" s="111"/>
      <c r="Q1" s="111"/>
      <c r="R1" s="111"/>
      <c r="S1" s="111"/>
      <c r="T1" s="111"/>
      <c r="U1" s="111"/>
      <c r="V1" s="111"/>
      <c r="W1" s="111"/>
      <c r="X1" s="111"/>
      <c r="Y1" s="111"/>
      <c r="Z1" s="111"/>
    </row>
    <row r="2" spans="1:41" ht="24.95" customHeight="1" x14ac:dyDescent="0.25">
      <c r="A2" s="112" t="s">
        <v>98</v>
      </c>
      <c r="B2" s="112"/>
      <c r="C2" s="112"/>
      <c r="D2" s="112"/>
      <c r="E2" s="112"/>
      <c r="F2" s="112"/>
      <c r="G2" s="112"/>
      <c r="H2" s="112"/>
      <c r="I2" s="112"/>
      <c r="J2" s="112"/>
      <c r="K2" s="112"/>
      <c r="L2" s="112"/>
      <c r="M2" s="112"/>
      <c r="N2" s="112"/>
      <c r="O2" s="112"/>
      <c r="P2" s="112"/>
      <c r="Q2" s="112"/>
      <c r="R2" s="112"/>
      <c r="S2" s="112"/>
      <c r="T2" s="112"/>
      <c r="U2" s="112"/>
      <c r="V2" s="112"/>
      <c r="W2" s="112"/>
      <c r="X2" s="112"/>
      <c r="Y2" s="112"/>
      <c r="Z2" s="112"/>
    </row>
    <row r="3" spans="1:41" ht="20.100000000000001" customHeight="1" thickBot="1" x14ac:dyDescent="0.35">
      <c r="A3" s="21"/>
      <c r="B3" s="21"/>
      <c r="C3" s="21"/>
      <c r="D3" s="22"/>
      <c r="E3" s="22"/>
      <c r="F3" s="22"/>
      <c r="G3" s="22"/>
      <c r="H3" s="22"/>
      <c r="I3" s="22"/>
      <c r="J3" s="22"/>
      <c r="K3" s="22"/>
      <c r="L3" s="22"/>
      <c r="M3" s="22"/>
      <c r="N3" s="22"/>
      <c r="O3" s="22"/>
      <c r="P3" s="22"/>
      <c r="Q3" s="22"/>
      <c r="R3" s="22"/>
      <c r="S3" s="22"/>
      <c r="T3" s="22"/>
      <c r="U3" s="23" t="s">
        <v>30</v>
      </c>
      <c r="V3" s="24"/>
      <c r="W3" s="25"/>
      <c r="X3" s="25"/>
      <c r="Y3" s="25"/>
      <c r="Z3" s="25"/>
    </row>
    <row r="4" spans="1:41" ht="20.100000000000001" customHeight="1" thickTop="1" thickBot="1" x14ac:dyDescent="0.3">
      <c r="A4" s="113" t="s">
        <v>31</v>
      </c>
      <c r="B4" s="114"/>
      <c r="C4" s="114"/>
      <c r="D4" s="114"/>
      <c r="E4" s="114"/>
      <c r="F4" s="114"/>
      <c r="G4" s="114"/>
      <c r="H4" s="114"/>
      <c r="I4" s="114"/>
      <c r="J4" s="114"/>
      <c r="K4" s="114"/>
      <c r="L4" s="114"/>
      <c r="M4" s="114"/>
      <c r="N4" s="114"/>
      <c r="O4" s="114"/>
      <c r="P4" s="114"/>
      <c r="Q4" s="114"/>
      <c r="R4" s="114"/>
      <c r="S4" s="114"/>
      <c r="T4" s="114"/>
      <c r="U4" s="115" t="s">
        <v>32</v>
      </c>
      <c r="V4" s="116"/>
      <c r="W4" s="116"/>
      <c r="X4" s="116"/>
      <c r="Y4" s="116"/>
      <c r="Z4" s="116"/>
      <c r="AC4" s="20">
        <v>40</v>
      </c>
    </row>
    <row r="5" spans="1:41" ht="30" customHeight="1" thickTop="1" x14ac:dyDescent="0.25">
      <c r="A5" s="117" t="s">
        <v>33</v>
      </c>
      <c r="B5" s="118"/>
      <c r="C5" s="118"/>
      <c r="D5" s="119" t="s">
        <v>142</v>
      </c>
      <c r="E5" s="119"/>
      <c r="F5" s="119"/>
      <c r="G5" s="119"/>
      <c r="H5" s="119"/>
      <c r="I5" s="119"/>
      <c r="J5" s="119"/>
      <c r="K5" s="119"/>
      <c r="L5" s="119"/>
      <c r="M5" s="119"/>
      <c r="N5" s="119"/>
      <c r="O5" s="119"/>
      <c r="P5" s="119"/>
      <c r="Q5" s="119"/>
      <c r="R5" s="119"/>
      <c r="S5" s="119"/>
      <c r="T5" s="119"/>
      <c r="U5" s="119"/>
      <c r="V5" s="119"/>
      <c r="W5" s="119"/>
      <c r="X5" s="119"/>
      <c r="Y5" s="119"/>
      <c r="Z5" s="120"/>
    </row>
    <row r="6" spans="1:41" ht="30" customHeight="1" x14ac:dyDescent="0.25">
      <c r="A6" s="107" t="s">
        <v>34</v>
      </c>
      <c r="B6" s="108"/>
      <c r="C6" s="108"/>
      <c r="D6" s="109" t="s">
        <v>35</v>
      </c>
      <c r="E6" s="109"/>
      <c r="F6" s="109"/>
      <c r="G6" s="109"/>
      <c r="H6" s="109"/>
      <c r="I6" s="109"/>
      <c r="J6" s="109"/>
      <c r="K6" s="109"/>
      <c r="L6" s="109"/>
      <c r="M6" s="109"/>
      <c r="N6" s="109"/>
      <c r="O6" s="109"/>
      <c r="P6" s="109"/>
      <c r="Q6" s="109"/>
      <c r="R6" s="109"/>
      <c r="S6" s="109"/>
      <c r="T6" s="109"/>
      <c r="U6" s="109"/>
      <c r="V6" s="109"/>
      <c r="W6" s="109"/>
      <c r="X6" s="109"/>
      <c r="Y6" s="109"/>
      <c r="Z6" s="110"/>
    </row>
    <row r="7" spans="1:41" ht="30" customHeight="1" x14ac:dyDescent="0.25">
      <c r="A7" s="107" t="s">
        <v>36</v>
      </c>
      <c r="B7" s="108"/>
      <c r="C7" s="108"/>
      <c r="D7" s="109" t="s">
        <v>37</v>
      </c>
      <c r="E7" s="109"/>
      <c r="F7" s="109"/>
      <c r="G7" s="109"/>
      <c r="H7" s="109"/>
      <c r="I7" s="109"/>
      <c r="J7" s="109"/>
      <c r="K7" s="109"/>
      <c r="L7" s="109"/>
      <c r="M7" s="109"/>
      <c r="N7" s="109"/>
      <c r="O7" s="109"/>
      <c r="P7" s="109"/>
      <c r="Q7" s="109"/>
      <c r="R7" s="109"/>
      <c r="S7" s="109"/>
      <c r="T7" s="109"/>
      <c r="U7" s="109"/>
      <c r="V7" s="109"/>
      <c r="W7" s="109"/>
      <c r="X7" s="109"/>
      <c r="Y7" s="109"/>
      <c r="Z7" s="110"/>
    </row>
    <row r="8" spans="1:41" ht="30" customHeight="1" x14ac:dyDescent="0.25">
      <c r="A8" s="107" t="s">
        <v>38</v>
      </c>
      <c r="B8" s="108"/>
      <c r="C8" s="108"/>
      <c r="D8" s="109" t="s">
        <v>39</v>
      </c>
      <c r="E8" s="109"/>
      <c r="F8" s="109"/>
      <c r="G8" s="109"/>
      <c r="H8" s="109"/>
      <c r="I8" s="109"/>
      <c r="J8" s="109"/>
      <c r="K8" s="109"/>
      <c r="L8" s="109"/>
      <c r="M8" s="109"/>
      <c r="N8" s="109"/>
      <c r="O8" s="109"/>
      <c r="P8" s="109"/>
      <c r="Q8" s="109"/>
      <c r="R8" s="109"/>
      <c r="S8" s="109"/>
      <c r="T8" s="109"/>
      <c r="U8" s="109"/>
      <c r="V8" s="109"/>
      <c r="W8" s="109"/>
      <c r="X8" s="109"/>
      <c r="Y8" s="109"/>
      <c r="Z8" s="110"/>
    </row>
    <row r="9" spans="1:41" ht="30" customHeight="1" x14ac:dyDescent="0.25">
      <c r="A9" s="127" t="s">
        <v>40</v>
      </c>
      <c r="B9" s="128"/>
      <c r="C9" s="128"/>
      <c r="D9" s="109" t="s">
        <v>35</v>
      </c>
      <c r="E9" s="109"/>
      <c r="F9" s="109"/>
      <c r="G9" s="109"/>
      <c r="H9" s="109"/>
      <c r="I9" s="109"/>
      <c r="J9" s="109"/>
      <c r="K9" s="109"/>
      <c r="L9" s="109"/>
      <c r="M9" s="109"/>
      <c r="N9" s="109"/>
      <c r="O9" s="109"/>
      <c r="P9" s="109"/>
      <c r="Q9" s="109"/>
      <c r="R9" s="109"/>
      <c r="S9" s="109"/>
      <c r="T9" s="109"/>
      <c r="U9" s="109"/>
      <c r="V9" s="109"/>
      <c r="W9" s="109"/>
      <c r="X9" s="109"/>
      <c r="Y9" s="109"/>
      <c r="Z9" s="110"/>
      <c r="AD9" s="129"/>
      <c r="AE9" s="129"/>
      <c r="AF9" s="121"/>
      <c r="AG9" s="121"/>
      <c r="AH9" s="121"/>
      <c r="AI9" s="121"/>
      <c r="AJ9" s="121"/>
      <c r="AK9" s="121"/>
      <c r="AL9" s="121"/>
      <c r="AM9" s="121"/>
      <c r="AN9" s="121"/>
      <c r="AO9" s="121"/>
    </row>
    <row r="10" spans="1:41" ht="30" customHeight="1" x14ac:dyDescent="0.25">
      <c r="A10" s="130" t="s">
        <v>41</v>
      </c>
      <c r="B10" s="131"/>
      <c r="C10" s="131"/>
      <c r="D10" s="109" t="s">
        <v>99</v>
      </c>
      <c r="E10" s="109"/>
      <c r="F10" s="109"/>
      <c r="G10" s="109"/>
      <c r="H10" s="109"/>
      <c r="I10" s="109"/>
      <c r="J10" s="109"/>
      <c r="K10" s="109"/>
      <c r="L10" s="109"/>
      <c r="M10" s="109"/>
      <c r="N10" s="109"/>
      <c r="O10" s="109"/>
      <c r="P10" s="109"/>
      <c r="Q10" s="109"/>
      <c r="R10" s="109"/>
      <c r="S10" s="109"/>
      <c r="T10" s="109"/>
      <c r="U10" s="109"/>
      <c r="V10" s="109"/>
      <c r="W10" s="109"/>
      <c r="X10" s="109"/>
      <c r="Y10" s="109"/>
      <c r="Z10" s="110"/>
      <c r="AD10" s="129"/>
      <c r="AE10" s="129"/>
      <c r="AF10" s="121"/>
      <c r="AG10" s="121"/>
      <c r="AH10" s="121"/>
      <c r="AI10" s="121"/>
      <c r="AJ10" s="121"/>
      <c r="AK10" s="121"/>
      <c r="AL10" s="121"/>
      <c r="AM10" s="121"/>
      <c r="AN10" s="121"/>
      <c r="AO10" s="121"/>
    </row>
    <row r="11" spans="1:41" ht="30" customHeight="1" x14ac:dyDescent="0.15">
      <c r="A11" s="107" t="s">
        <v>42</v>
      </c>
      <c r="B11" s="108"/>
      <c r="C11" s="108"/>
      <c r="D11" s="132"/>
      <c r="E11" s="123"/>
      <c r="F11" s="123"/>
      <c r="G11" s="123"/>
      <c r="H11" s="123"/>
      <c r="I11" s="123"/>
      <c r="J11" s="123"/>
      <c r="K11" s="123"/>
      <c r="L11" s="123"/>
      <c r="M11" s="123"/>
      <c r="N11" s="123"/>
      <c r="O11" s="123"/>
      <c r="P11" s="123"/>
      <c r="Q11" s="123"/>
      <c r="R11" s="123"/>
      <c r="S11" s="123"/>
      <c r="T11" s="123"/>
      <c r="U11" s="123"/>
      <c r="V11" s="123"/>
      <c r="W11" s="123"/>
      <c r="X11" s="123"/>
      <c r="Y11" s="123"/>
      <c r="Z11" s="124"/>
      <c r="AD11" s="125"/>
      <c r="AE11" s="125"/>
      <c r="AF11" s="121"/>
      <c r="AG11" s="121"/>
      <c r="AH11" s="121"/>
      <c r="AI11" s="121"/>
      <c r="AJ11" s="121"/>
      <c r="AK11" s="121"/>
      <c r="AL11" s="122"/>
      <c r="AM11" s="122"/>
      <c r="AN11" s="122"/>
      <c r="AO11" s="122"/>
    </row>
    <row r="12" spans="1:41" ht="30" customHeight="1" x14ac:dyDescent="0.15">
      <c r="A12" s="107" t="s">
        <v>43</v>
      </c>
      <c r="B12" s="108"/>
      <c r="C12" s="108"/>
      <c r="D12" s="123"/>
      <c r="E12" s="123"/>
      <c r="F12" s="123"/>
      <c r="G12" s="123"/>
      <c r="H12" s="123"/>
      <c r="I12" s="123"/>
      <c r="J12" s="123"/>
      <c r="K12" s="123"/>
      <c r="L12" s="123"/>
      <c r="M12" s="123"/>
      <c r="N12" s="123"/>
      <c r="O12" s="123"/>
      <c r="P12" s="123"/>
      <c r="Q12" s="123"/>
      <c r="R12" s="123"/>
      <c r="S12" s="123"/>
      <c r="T12" s="123"/>
      <c r="U12" s="123"/>
      <c r="V12" s="123"/>
      <c r="W12" s="123"/>
      <c r="X12" s="123"/>
      <c r="Y12" s="123"/>
      <c r="Z12" s="124"/>
      <c r="AD12" s="125"/>
      <c r="AE12" s="125"/>
      <c r="AF12" s="121"/>
      <c r="AG12" s="121"/>
      <c r="AH12" s="121"/>
      <c r="AI12" s="121"/>
      <c r="AJ12" s="121"/>
      <c r="AK12" s="121"/>
      <c r="AL12" s="126"/>
      <c r="AM12" s="126"/>
      <c r="AN12" s="126"/>
      <c r="AO12" s="126"/>
    </row>
    <row r="13" spans="1:41" ht="30" customHeight="1" x14ac:dyDescent="0.25">
      <c r="A13" s="107" t="s">
        <v>44</v>
      </c>
      <c r="B13" s="108"/>
      <c r="C13" s="108"/>
      <c r="D13" s="108"/>
      <c r="E13" s="27" t="s">
        <v>45</v>
      </c>
      <c r="F13" s="123"/>
      <c r="G13" s="123"/>
      <c r="H13" s="123"/>
      <c r="I13" s="27" t="s">
        <v>46</v>
      </c>
      <c r="J13" s="123" t="s">
        <v>131</v>
      </c>
      <c r="K13" s="123"/>
      <c r="L13" s="123"/>
      <c r="M13" s="27" t="s">
        <v>47</v>
      </c>
      <c r="N13" s="123"/>
      <c r="O13" s="123"/>
      <c r="P13" s="123"/>
      <c r="Q13" s="28"/>
      <c r="R13" s="109"/>
      <c r="S13" s="109"/>
      <c r="T13" s="109"/>
      <c r="U13" s="28"/>
      <c r="V13" s="109"/>
      <c r="W13" s="109"/>
      <c r="X13" s="109"/>
      <c r="Y13" s="109"/>
      <c r="Z13" s="110"/>
    </row>
    <row r="14" spans="1:41" ht="30" customHeight="1" x14ac:dyDescent="0.25">
      <c r="A14" s="107" t="s">
        <v>48</v>
      </c>
      <c r="B14" s="108"/>
      <c r="C14" s="108"/>
      <c r="D14" s="108"/>
      <c r="E14" s="27" t="s">
        <v>49</v>
      </c>
      <c r="F14" s="133"/>
      <c r="G14" s="133"/>
      <c r="H14" s="133"/>
      <c r="I14" s="27" t="s">
        <v>46</v>
      </c>
      <c r="J14" s="136"/>
      <c r="K14" s="136"/>
      <c r="L14" s="136"/>
      <c r="M14" s="27" t="s">
        <v>47</v>
      </c>
      <c r="N14" s="136"/>
      <c r="O14" s="136"/>
      <c r="P14" s="136"/>
      <c r="Q14" s="27" t="s">
        <v>50</v>
      </c>
      <c r="R14" s="133"/>
      <c r="S14" s="133"/>
      <c r="T14" s="133"/>
      <c r="U14" s="133"/>
      <c r="V14" s="134" t="s">
        <v>51</v>
      </c>
      <c r="W14" s="134"/>
      <c r="X14" s="134"/>
      <c r="Y14" s="134"/>
      <c r="Z14" s="135"/>
      <c r="AD14" s="26"/>
    </row>
    <row r="15" spans="1:41" ht="30" customHeight="1" x14ac:dyDescent="0.25">
      <c r="A15" s="107" t="s">
        <v>52</v>
      </c>
      <c r="B15" s="108"/>
      <c r="C15" s="108"/>
      <c r="D15" s="108"/>
      <c r="E15" s="27" t="s">
        <v>49</v>
      </c>
      <c r="F15" s="133"/>
      <c r="G15" s="133"/>
      <c r="H15" s="133"/>
      <c r="I15" s="27" t="s">
        <v>46</v>
      </c>
      <c r="J15" s="133"/>
      <c r="K15" s="133"/>
      <c r="L15" s="133"/>
      <c r="M15" s="27" t="s">
        <v>47</v>
      </c>
      <c r="N15" s="133"/>
      <c r="O15" s="133"/>
      <c r="P15" s="133"/>
      <c r="Q15" s="28"/>
      <c r="R15" s="133"/>
      <c r="S15" s="133"/>
      <c r="T15" s="133"/>
      <c r="U15" s="133"/>
      <c r="V15" s="134" t="s">
        <v>51</v>
      </c>
      <c r="W15" s="134"/>
      <c r="X15" s="134"/>
      <c r="Y15" s="134"/>
      <c r="Z15" s="135"/>
      <c r="AD15" s="26"/>
    </row>
    <row r="16" spans="1:41" ht="24.95" customHeight="1" thickBot="1" x14ac:dyDescent="0.3">
      <c r="A16" s="141" t="s">
        <v>53</v>
      </c>
      <c r="B16" s="142"/>
      <c r="C16" s="142"/>
      <c r="D16" s="142"/>
      <c r="E16" s="142"/>
      <c r="F16" s="142"/>
      <c r="G16" s="142"/>
      <c r="H16" s="142"/>
      <c r="I16" s="142"/>
      <c r="J16" s="142"/>
      <c r="K16" s="142"/>
      <c r="L16" s="142"/>
      <c r="M16" s="143" t="s">
        <v>100</v>
      </c>
      <c r="N16" s="143"/>
      <c r="O16" s="142" t="s">
        <v>54</v>
      </c>
      <c r="P16" s="142"/>
      <c r="Q16" s="142"/>
      <c r="R16" s="142"/>
      <c r="S16" s="142"/>
      <c r="T16" s="142"/>
      <c r="U16" s="142"/>
      <c r="V16" s="142"/>
      <c r="W16" s="142"/>
      <c r="X16" s="142"/>
      <c r="Y16" s="142"/>
      <c r="Z16" s="144"/>
      <c r="AD16" s="26"/>
    </row>
    <row r="17" spans="1:42" ht="30" customHeight="1" thickTop="1" x14ac:dyDescent="0.25">
      <c r="A17" s="137" t="s">
        <v>55</v>
      </c>
      <c r="B17" s="121"/>
      <c r="C17" s="121"/>
      <c r="D17" s="138" t="s">
        <v>121</v>
      </c>
      <c r="E17" s="138"/>
      <c r="F17" s="138"/>
      <c r="G17" s="138"/>
      <c r="H17" s="138"/>
      <c r="I17" s="138"/>
      <c r="J17" s="138"/>
      <c r="K17" s="138"/>
      <c r="L17" s="138"/>
      <c r="M17" s="138"/>
      <c r="N17" s="139" t="s">
        <v>56</v>
      </c>
      <c r="O17" s="145"/>
      <c r="P17" s="145"/>
      <c r="Q17" s="138" t="s">
        <v>117</v>
      </c>
      <c r="R17" s="138"/>
      <c r="S17" s="138"/>
      <c r="T17" s="138"/>
      <c r="U17" s="139" t="s">
        <v>57</v>
      </c>
      <c r="V17" s="146"/>
      <c r="W17" s="147">
        <v>908262883</v>
      </c>
      <c r="X17" s="148"/>
      <c r="Y17" s="148"/>
      <c r="Z17" s="149"/>
      <c r="AD17" s="26"/>
    </row>
    <row r="18" spans="1:42" ht="30" customHeight="1" x14ac:dyDescent="0.25">
      <c r="A18" s="137" t="s">
        <v>58</v>
      </c>
      <c r="B18" s="121"/>
      <c r="C18" s="121"/>
      <c r="D18" s="138" t="s">
        <v>120</v>
      </c>
      <c r="E18" s="138"/>
      <c r="F18" s="138"/>
      <c r="G18" s="138"/>
      <c r="H18" s="138"/>
      <c r="I18" s="138"/>
      <c r="J18" s="138"/>
      <c r="K18" s="138"/>
      <c r="L18" s="138"/>
      <c r="M18" s="138"/>
      <c r="N18" s="139" t="s">
        <v>59</v>
      </c>
      <c r="O18" s="139"/>
      <c r="P18" s="139"/>
      <c r="Q18" s="138" t="s">
        <v>116</v>
      </c>
      <c r="R18" s="138"/>
      <c r="S18" s="138"/>
      <c r="T18" s="138"/>
      <c r="U18" s="139" t="s">
        <v>60</v>
      </c>
      <c r="V18" s="139"/>
      <c r="W18" s="138"/>
      <c r="X18" s="138"/>
      <c r="Y18" s="138"/>
      <c r="Z18" s="140"/>
      <c r="AD18" s="26"/>
    </row>
    <row r="19" spans="1:42" ht="30" customHeight="1" x14ac:dyDescent="0.25">
      <c r="A19" s="165" t="s">
        <v>61</v>
      </c>
      <c r="B19" s="166"/>
      <c r="C19" s="167" t="s">
        <v>101</v>
      </c>
      <c r="D19" s="167"/>
      <c r="E19" s="167"/>
      <c r="F19" s="168"/>
      <c r="G19" s="168"/>
      <c r="H19" s="168"/>
      <c r="I19" s="168"/>
      <c r="J19" s="168"/>
      <c r="K19" s="168"/>
      <c r="L19" s="168"/>
      <c r="M19" s="168"/>
      <c r="N19" s="166" t="s">
        <v>63</v>
      </c>
      <c r="O19" s="166"/>
      <c r="P19" s="167" t="s">
        <v>62</v>
      </c>
      <c r="Q19" s="167"/>
      <c r="R19" s="167"/>
      <c r="S19" s="168"/>
      <c r="T19" s="168"/>
      <c r="U19" s="168"/>
      <c r="V19" s="168"/>
      <c r="W19" s="168"/>
      <c r="X19" s="168"/>
      <c r="Y19" s="168"/>
      <c r="Z19" s="169"/>
      <c r="AD19" s="26"/>
    </row>
    <row r="20" spans="1:42" ht="5.0999999999999996" customHeight="1" thickBot="1" x14ac:dyDescent="0.3">
      <c r="A20" s="150"/>
      <c r="B20" s="151"/>
      <c r="C20" s="151"/>
      <c r="D20" s="151"/>
      <c r="E20" s="151"/>
      <c r="F20" s="151"/>
      <c r="G20" s="151"/>
      <c r="H20" s="151"/>
      <c r="I20" s="151"/>
      <c r="J20" s="151"/>
      <c r="K20" s="151"/>
      <c r="L20" s="151"/>
      <c r="M20" s="151"/>
      <c r="N20" s="151"/>
      <c r="O20" s="151"/>
      <c r="P20" s="151"/>
      <c r="Q20" s="151"/>
      <c r="R20" s="151"/>
      <c r="S20" s="151"/>
      <c r="T20" s="151"/>
      <c r="U20" s="151"/>
      <c r="V20" s="151"/>
      <c r="W20" s="151"/>
      <c r="X20" s="151"/>
      <c r="Y20" s="151"/>
      <c r="Z20" s="152"/>
      <c r="AD20" s="26"/>
    </row>
    <row r="21" spans="1:42" ht="24.95" customHeight="1" thickTop="1" thickBot="1" x14ac:dyDescent="0.3">
      <c r="A21" s="153" t="s">
        <v>64</v>
      </c>
      <c r="B21" s="154"/>
      <c r="C21" s="154"/>
      <c r="D21" s="154"/>
      <c r="E21" s="155"/>
      <c r="F21" s="156" t="s">
        <v>65</v>
      </c>
      <c r="G21" s="157"/>
      <c r="H21" s="157"/>
      <c r="I21" s="157"/>
      <c r="J21" s="157"/>
      <c r="K21" s="158"/>
      <c r="L21" s="159"/>
      <c r="M21" s="159"/>
      <c r="N21" s="159"/>
      <c r="O21" s="159"/>
      <c r="P21" s="160" t="s">
        <v>66</v>
      </c>
      <c r="Q21" s="161"/>
      <c r="R21" s="158"/>
      <c r="S21" s="159"/>
      <c r="T21" s="161" t="s">
        <v>67</v>
      </c>
      <c r="U21" s="161"/>
      <c r="V21" s="162"/>
      <c r="W21" s="163"/>
      <c r="X21" s="163"/>
      <c r="Y21" s="163"/>
      <c r="Z21" s="164"/>
      <c r="AD21" s="26"/>
    </row>
    <row r="22" spans="1:42" ht="24.95" customHeight="1" thickTop="1" x14ac:dyDescent="0.25">
      <c r="A22" s="170" t="s">
        <v>102</v>
      </c>
      <c r="B22" s="171"/>
      <c r="C22" s="171"/>
      <c r="D22" s="171"/>
      <c r="E22" s="171"/>
      <c r="F22" s="172" t="s">
        <v>103</v>
      </c>
      <c r="G22" s="173"/>
      <c r="H22" s="173"/>
      <c r="I22" s="173"/>
      <c r="J22" s="173"/>
      <c r="K22" s="173"/>
      <c r="L22" s="173"/>
      <c r="M22" s="173"/>
      <c r="N22" s="174"/>
      <c r="O22" s="175"/>
      <c r="P22" s="175"/>
      <c r="Q22" s="175"/>
      <c r="R22" s="175"/>
      <c r="S22" s="175"/>
      <c r="T22" s="175"/>
      <c r="U22" s="175"/>
      <c r="V22" s="175"/>
      <c r="W22" s="175"/>
      <c r="X22" s="175"/>
      <c r="Y22" s="175"/>
      <c r="Z22" s="176"/>
    </row>
    <row r="23" spans="1:42" ht="15.2" customHeight="1" x14ac:dyDescent="0.25">
      <c r="A23" s="177" t="s">
        <v>68</v>
      </c>
      <c r="B23" s="178"/>
      <c r="C23" s="178"/>
      <c r="D23" s="179"/>
      <c r="E23" s="180"/>
      <c r="F23" s="178" t="s">
        <v>69</v>
      </c>
      <c r="G23" s="178"/>
      <c r="H23" s="178"/>
      <c r="I23" s="179"/>
      <c r="J23" s="180"/>
      <c r="K23" s="184" t="s">
        <v>70</v>
      </c>
      <c r="L23" s="179"/>
      <c r="M23" s="180"/>
      <c r="N23" s="186" t="s">
        <v>104</v>
      </c>
      <c r="O23" s="187"/>
      <c r="P23" s="187"/>
      <c r="Q23" s="188"/>
      <c r="R23" s="192" t="s">
        <v>71</v>
      </c>
      <c r="S23" s="179"/>
      <c r="T23" s="180"/>
      <c r="U23" s="192" t="s">
        <v>72</v>
      </c>
      <c r="V23" s="179"/>
      <c r="W23" s="180"/>
      <c r="X23" s="178" t="s">
        <v>73</v>
      </c>
      <c r="Y23" s="178"/>
      <c r="Z23" s="193"/>
    </row>
    <row r="24" spans="1:42" ht="15.2" customHeight="1" x14ac:dyDescent="0.25">
      <c r="A24" s="181"/>
      <c r="B24" s="182"/>
      <c r="C24" s="182"/>
      <c r="D24" s="182"/>
      <c r="E24" s="183"/>
      <c r="F24" s="182"/>
      <c r="G24" s="182"/>
      <c r="H24" s="182"/>
      <c r="I24" s="182"/>
      <c r="J24" s="183"/>
      <c r="K24" s="185"/>
      <c r="L24" s="182"/>
      <c r="M24" s="183"/>
      <c r="N24" s="189"/>
      <c r="O24" s="190"/>
      <c r="P24" s="190"/>
      <c r="Q24" s="191"/>
      <c r="R24" s="185"/>
      <c r="S24" s="182"/>
      <c r="T24" s="183"/>
      <c r="U24" s="185"/>
      <c r="V24" s="182"/>
      <c r="W24" s="183"/>
      <c r="X24" s="194"/>
      <c r="Y24" s="194"/>
      <c r="Z24" s="195"/>
      <c r="AC24" s="213"/>
      <c r="AD24" s="151"/>
      <c r="AE24" s="151"/>
      <c r="AF24" s="151"/>
      <c r="AG24" s="151"/>
      <c r="AH24" s="151"/>
      <c r="AI24" s="151"/>
      <c r="AJ24" s="151"/>
      <c r="AK24" s="151"/>
      <c r="AL24" s="151"/>
      <c r="AM24" s="151"/>
      <c r="AN24" s="151"/>
      <c r="AO24" s="151"/>
    </row>
    <row r="25" spans="1:42" ht="20.100000000000001" customHeight="1" x14ac:dyDescent="0.25">
      <c r="A25" s="177" t="s">
        <v>105</v>
      </c>
      <c r="B25" s="178"/>
      <c r="C25" s="178"/>
      <c r="D25" s="179"/>
      <c r="E25" s="180"/>
      <c r="F25" s="184" t="s">
        <v>106</v>
      </c>
      <c r="G25" s="178"/>
      <c r="H25" s="178"/>
      <c r="I25" s="178"/>
      <c r="J25" s="214"/>
      <c r="K25" s="218"/>
      <c r="L25" s="219"/>
      <c r="M25" s="220"/>
      <c r="N25" s="218"/>
      <c r="O25" s="219"/>
      <c r="P25" s="219"/>
      <c r="Q25" s="220"/>
      <c r="R25" s="224"/>
      <c r="S25" s="225"/>
      <c r="T25" s="226"/>
      <c r="U25" s="224"/>
      <c r="V25" s="225"/>
      <c r="W25" s="226"/>
      <c r="X25" s="218"/>
      <c r="Y25" s="219"/>
      <c r="Z25" s="230"/>
    </row>
    <row r="26" spans="1:42" ht="20.100000000000001" customHeight="1" x14ac:dyDescent="0.25">
      <c r="A26" s="181"/>
      <c r="B26" s="182"/>
      <c r="C26" s="182"/>
      <c r="D26" s="182"/>
      <c r="E26" s="183"/>
      <c r="F26" s="215"/>
      <c r="G26" s="216"/>
      <c r="H26" s="216"/>
      <c r="I26" s="216"/>
      <c r="J26" s="217"/>
      <c r="K26" s="221"/>
      <c r="L26" s="222"/>
      <c r="M26" s="223"/>
      <c r="N26" s="221"/>
      <c r="O26" s="222"/>
      <c r="P26" s="222"/>
      <c r="Q26" s="223"/>
      <c r="R26" s="227"/>
      <c r="S26" s="228"/>
      <c r="T26" s="229"/>
      <c r="U26" s="227"/>
      <c r="V26" s="228"/>
      <c r="W26" s="229"/>
      <c r="X26" s="221"/>
      <c r="Y26" s="222"/>
      <c r="Z26" s="231"/>
    </row>
    <row r="27" spans="1:42" ht="24.6" customHeight="1" x14ac:dyDescent="0.25">
      <c r="A27" s="196" t="s">
        <v>74</v>
      </c>
      <c r="B27" s="197"/>
      <c r="C27" s="197"/>
      <c r="D27" s="198" t="s">
        <v>75</v>
      </c>
      <c r="E27" s="199"/>
      <c r="F27" s="199"/>
      <c r="G27" s="199"/>
      <c r="H27" s="199"/>
      <c r="I27" s="200"/>
      <c r="J27" s="200"/>
      <c r="K27" s="200"/>
      <c r="L27" s="200"/>
      <c r="M27" s="200"/>
      <c r="N27" s="200"/>
      <c r="O27" s="200"/>
      <c r="P27" s="200"/>
      <c r="Q27" s="200"/>
      <c r="R27" s="200"/>
      <c r="S27" s="200"/>
      <c r="T27" s="200"/>
      <c r="U27" s="200"/>
      <c r="V27" s="200"/>
      <c r="W27" s="200"/>
      <c r="X27" s="200"/>
      <c r="Y27" s="200"/>
      <c r="Z27" s="201"/>
    </row>
    <row r="28" spans="1:42" ht="24.6" customHeight="1" x14ac:dyDescent="0.25">
      <c r="A28" s="202" t="s">
        <v>76</v>
      </c>
      <c r="B28" s="203"/>
      <c r="C28" s="203"/>
      <c r="D28" s="203"/>
      <c r="E28" s="204" t="s">
        <v>107</v>
      </c>
      <c r="F28" s="205"/>
      <c r="G28" s="205"/>
      <c r="H28" s="205"/>
      <c r="I28" s="205"/>
      <c r="J28" s="205"/>
      <c r="K28" s="205"/>
      <c r="L28" s="205"/>
      <c r="M28" s="205"/>
      <c r="N28" s="205"/>
      <c r="O28" s="205"/>
      <c r="P28" s="205"/>
      <c r="Q28" s="205"/>
      <c r="R28" s="205"/>
      <c r="S28" s="205"/>
      <c r="T28" s="205"/>
      <c r="U28" s="205"/>
      <c r="V28" s="205"/>
      <c r="W28" s="205"/>
      <c r="X28" s="205"/>
      <c r="Y28" s="205"/>
      <c r="Z28" s="206"/>
    </row>
    <row r="29" spans="1:42" ht="24.6" customHeight="1" thickBot="1" x14ac:dyDescent="0.3">
      <c r="A29" s="207" t="s">
        <v>77</v>
      </c>
      <c r="B29" s="208"/>
      <c r="C29" s="208"/>
      <c r="D29" s="208"/>
      <c r="E29" s="29"/>
      <c r="F29" s="30" t="s">
        <v>78</v>
      </c>
      <c r="G29" s="29"/>
      <c r="H29" s="30" t="s">
        <v>79</v>
      </c>
      <c r="I29" s="29"/>
      <c r="J29" s="30" t="s">
        <v>80</v>
      </c>
      <c r="K29" s="29"/>
      <c r="L29" s="30" t="s">
        <v>81</v>
      </c>
      <c r="M29" s="29"/>
      <c r="N29" s="209" t="s">
        <v>82</v>
      </c>
      <c r="O29" s="210"/>
      <c r="P29" s="29"/>
      <c r="Q29" s="30" t="s">
        <v>78</v>
      </c>
      <c r="R29" s="29"/>
      <c r="S29" s="30" t="s">
        <v>79</v>
      </c>
      <c r="T29" s="29"/>
      <c r="U29" s="30" t="s">
        <v>80</v>
      </c>
      <c r="V29" s="29"/>
      <c r="W29" s="30" t="s">
        <v>81</v>
      </c>
      <c r="X29" s="29"/>
      <c r="Y29" s="211" t="s">
        <v>83</v>
      </c>
      <c r="Z29" s="212"/>
    </row>
    <row r="30" spans="1:42" s="31" customFormat="1" ht="20.100000000000001" customHeight="1" thickTop="1" x14ac:dyDescent="0.25">
      <c r="A30" s="243" t="s">
        <v>108</v>
      </c>
      <c r="B30" s="244"/>
      <c r="C30" s="244"/>
      <c r="D30" s="244"/>
      <c r="E30" s="244"/>
      <c r="F30" s="244"/>
      <c r="G30" s="244"/>
      <c r="H30" s="244"/>
      <c r="I30" s="244"/>
      <c r="J30" s="244"/>
      <c r="K30" s="244"/>
      <c r="L30" s="244"/>
      <c r="M30" s="244"/>
      <c r="N30" s="244"/>
      <c r="O30" s="244"/>
      <c r="P30" s="244"/>
      <c r="Q30" s="244"/>
      <c r="R30" s="244"/>
      <c r="S30" s="244"/>
      <c r="T30" s="244"/>
      <c r="U30" s="244"/>
      <c r="V30" s="244"/>
      <c r="W30" s="244"/>
      <c r="X30" s="244"/>
      <c r="Y30" s="244"/>
      <c r="Z30" s="245"/>
      <c r="AE30" s="26"/>
      <c r="AF30" s="26"/>
      <c r="AG30" s="26"/>
      <c r="AH30" s="20"/>
      <c r="AI30" s="32"/>
      <c r="AJ30" s="32"/>
      <c r="AK30" s="32"/>
      <c r="AL30" s="32"/>
      <c r="AM30" s="32"/>
      <c r="AN30" s="32"/>
      <c r="AO30" s="32"/>
      <c r="AP30" s="32"/>
    </row>
    <row r="31" spans="1:42" s="31" customFormat="1" ht="20.100000000000001" customHeight="1" x14ac:dyDescent="0.25">
      <c r="A31" s="246"/>
      <c r="B31" s="247"/>
      <c r="C31" s="247"/>
      <c r="D31" s="247"/>
      <c r="E31" s="247"/>
      <c r="F31" s="247"/>
      <c r="G31" s="247"/>
      <c r="H31" s="247"/>
      <c r="I31" s="247"/>
      <c r="J31" s="247"/>
      <c r="K31" s="247"/>
      <c r="L31" s="247"/>
      <c r="M31" s="247"/>
      <c r="N31" s="247"/>
      <c r="O31" s="247"/>
      <c r="P31" s="247"/>
      <c r="Q31" s="247"/>
      <c r="R31" s="247"/>
      <c r="S31" s="247"/>
      <c r="T31" s="247"/>
      <c r="U31" s="247"/>
      <c r="V31" s="247"/>
      <c r="W31" s="247"/>
      <c r="X31" s="247"/>
      <c r="Y31" s="247"/>
      <c r="Z31" s="248"/>
      <c r="AE31" s="26"/>
      <c r="AF31" s="26"/>
      <c r="AG31" s="26"/>
      <c r="AH31" s="20"/>
      <c r="AI31" s="32"/>
      <c r="AJ31" s="32"/>
      <c r="AK31" s="32"/>
      <c r="AL31" s="32"/>
      <c r="AM31" s="32"/>
      <c r="AN31" s="32"/>
      <c r="AO31" s="32"/>
      <c r="AP31" s="32"/>
    </row>
    <row r="32" spans="1:42" s="31" customFormat="1" ht="20.100000000000001" customHeight="1" thickBot="1" x14ac:dyDescent="0.3">
      <c r="A32" s="33"/>
      <c r="B32" s="34"/>
      <c r="C32" s="34"/>
      <c r="D32" s="34"/>
      <c r="E32" s="34"/>
      <c r="F32" s="34"/>
      <c r="G32" s="34"/>
      <c r="H32" s="34"/>
      <c r="I32" s="34"/>
      <c r="J32" s="34"/>
      <c r="K32" s="34"/>
      <c r="L32" s="34"/>
      <c r="M32" s="34"/>
      <c r="N32" s="34"/>
      <c r="O32" s="34"/>
      <c r="P32" s="34"/>
      <c r="Q32" s="34"/>
      <c r="R32" s="34"/>
      <c r="S32" s="34"/>
      <c r="T32" s="34"/>
      <c r="U32" s="34"/>
      <c r="V32" s="34"/>
      <c r="W32" s="34"/>
      <c r="X32" s="34"/>
      <c r="Y32" s="34"/>
      <c r="Z32" s="35"/>
      <c r="AE32" s="26"/>
      <c r="AF32" s="26"/>
      <c r="AG32" s="26"/>
      <c r="AH32" s="20"/>
      <c r="AI32" s="32"/>
      <c r="AJ32" s="32"/>
      <c r="AK32" s="32"/>
      <c r="AL32" s="32"/>
      <c r="AM32" s="32"/>
      <c r="AN32" s="32"/>
      <c r="AO32" s="32"/>
      <c r="AP32" s="32"/>
    </row>
    <row r="33" spans="1:42" s="31" customFormat="1" ht="20.100000000000001" customHeight="1" thickTop="1" thickBot="1" x14ac:dyDescent="0.3">
      <c r="A33" s="249" t="s">
        <v>84</v>
      </c>
      <c r="B33" s="250"/>
      <c r="C33" s="250"/>
      <c r="D33" s="250"/>
      <c r="E33" s="250"/>
      <c r="F33" s="250"/>
      <c r="G33" s="250"/>
      <c r="H33" s="250"/>
      <c r="I33" s="250"/>
      <c r="J33" s="250"/>
      <c r="K33" s="250"/>
      <c r="L33" s="250"/>
      <c r="M33" s="250"/>
      <c r="N33" s="250"/>
      <c r="O33" s="250"/>
      <c r="P33" s="250"/>
      <c r="Q33" s="250"/>
      <c r="R33" s="250"/>
      <c r="S33" s="250"/>
      <c r="T33" s="250"/>
      <c r="U33" s="250"/>
      <c r="V33" s="250"/>
      <c r="W33" s="250"/>
      <c r="X33" s="250"/>
      <c r="Y33" s="250"/>
      <c r="Z33" s="251"/>
      <c r="AE33" s="26"/>
      <c r="AF33" s="26"/>
      <c r="AG33" s="26"/>
      <c r="AH33" s="20"/>
      <c r="AI33" s="32"/>
      <c r="AJ33" s="32"/>
      <c r="AK33" s="32"/>
      <c r="AL33" s="32"/>
      <c r="AM33" s="32"/>
      <c r="AN33" s="32"/>
      <c r="AO33" s="32"/>
      <c r="AP33" s="32"/>
    </row>
    <row r="34" spans="1:42" ht="20.100000000000001" customHeight="1" thickTop="1" thickBot="1" x14ac:dyDescent="0.3">
      <c r="A34" s="252" t="s">
        <v>85</v>
      </c>
      <c r="B34" s="252"/>
      <c r="C34" s="252"/>
      <c r="D34" s="253"/>
      <c r="E34" s="253"/>
      <c r="F34" s="253"/>
      <c r="G34" s="253"/>
      <c r="H34" s="253"/>
      <c r="I34" s="253"/>
      <c r="J34" s="253"/>
      <c r="K34" s="253"/>
      <c r="L34" s="253"/>
      <c r="M34" s="253"/>
      <c r="N34" s="253"/>
      <c r="O34" s="253"/>
      <c r="P34" s="253"/>
      <c r="Q34" s="253"/>
      <c r="R34" s="253"/>
      <c r="S34" s="253"/>
      <c r="T34" s="253"/>
      <c r="U34" s="253"/>
      <c r="V34" s="253"/>
      <c r="W34" s="253"/>
      <c r="X34" s="253"/>
      <c r="Y34" s="253"/>
      <c r="Z34" s="253"/>
    </row>
    <row r="35" spans="1:42" ht="20.100000000000001" customHeight="1" thickTop="1" x14ac:dyDescent="0.25">
      <c r="A35" s="254" t="s">
        <v>86</v>
      </c>
      <c r="B35" s="255"/>
      <c r="C35" s="255"/>
      <c r="D35" s="256"/>
      <c r="E35" s="256"/>
      <c r="F35" s="256"/>
      <c r="G35" s="256"/>
      <c r="H35" s="256"/>
      <c r="I35" s="256"/>
      <c r="J35" s="256"/>
      <c r="K35" s="256"/>
      <c r="L35" s="256"/>
      <c r="M35" s="256"/>
      <c r="N35" s="256"/>
      <c r="O35" s="256"/>
      <c r="P35" s="256"/>
      <c r="Q35" s="256"/>
      <c r="R35" s="256"/>
      <c r="S35" s="256"/>
      <c r="T35" s="256"/>
      <c r="U35" s="256"/>
      <c r="V35" s="256"/>
      <c r="W35" s="256"/>
      <c r="X35" s="256"/>
      <c r="Y35" s="256"/>
      <c r="Z35" s="257"/>
    </row>
    <row r="36" spans="1:42" s="31" customFormat="1" ht="24.95" customHeight="1" x14ac:dyDescent="0.25">
      <c r="A36" s="232" t="s">
        <v>109</v>
      </c>
      <c r="B36" s="233"/>
      <c r="C36" s="233"/>
      <c r="D36" s="233"/>
      <c r="E36" s="233"/>
      <c r="F36" s="233"/>
      <c r="G36" s="233"/>
      <c r="H36" s="233"/>
      <c r="I36" s="233"/>
      <c r="J36" s="233"/>
      <c r="K36" s="233"/>
      <c r="L36" s="233"/>
      <c r="M36" s="233"/>
      <c r="N36" s="233"/>
      <c r="O36" s="233"/>
      <c r="P36" s="233"/>
      <c r="Q36" s="233"/>
      <c r="R36" s="233"/>
      <c r="S36" s="233"/>
      <c r="T36" s="233"/>
      <c r="U36" s="233"/>
      <c r="V36" s="233"/>
      <c r="W36" s="233"/>
      <c r="X36" s="233"/>
      <c r="Y36" s="233"/>
      <c r="Z36" s="234"/>
      <c r="AE36" s="26"/>
      <c r="AF36" s="26"/>
      <c r="AG36" s="26"/>
      <c r="AH36" s="20"/>
      <c r="AI36" s="32"/>
      <c r="AJ36" s="32"/>
      <c r="AK36" s="32"/>
      <c r="AL36" s="32"/>
      <c r="AM36" s="32"/>
      <c r="AN36" s="32"/>
      <c r="AO36" s="32"/>
      <c r="AP36" s="32"/>
    </row>
    <row r="37" spans="1:42" s="31" customFormat="1" ht="24.95" customHeight="1" x14ac:dyDescent="0.25">
      <c r="A37" s="232" t="s">
        <v>110</v>
      </c>
      <c r="B37" s="233"/>
      <c r="C37" s="233"/>
      <c r="D37" s="233"/>
      <c r="E37" s="233"/>
      <c r="F37" s="233"/>
      <c r="G37" s="233"/>
      <c r="H37" s="233"/>
      <c r="I37" s="233"/>
      <c r="J37" s="233"/>
      <c r="K37" s="233"/>
      <c r="L37" s="233"/>
      <c r="M37" s="233"/>
      <c r="N37" s="233"/>
      <c r="O37" s="233"/>
      <c r="P37" s="233"/>
      <c r="Q37" s="233"/>
      <c r="R37" s="233"/>
      <c r="S37" s="233"/>
      <c r="T37" s="233"/>
      <c r="U37" s="233"/>
      <c r="V37" s="233"/>
      <c r="W37" s="233"/>
      <c r="X37" s="233"/>
      <c r="Y37" s="233"/>
      <c r="Z37" s="234"/>
      <c r="AE37" s="26"/>
      <c r="AF37" s="26"/>
      <c r="AG37" s="26"/>
      <c r="AH37" s="20"/>
      <c r="AI37" s="32"/>
      <c r="AJ37" s="32"/>
      <c r="AK37" s="32"/>
      <c r="AL37" s="32"/>
      <c r="AM37" s="32"/>
      <c r="AN37" s="32"/>
      <c r="AO37" s="32"/>
      <c r="AP37" s="32"/>
    </row>
    <row r="38" spans="1:42" s="31" customFormat="1" ht="24.95" customHeight="1" x14ac:dyDescent="0.25">
      <c r="A38" s="232" t="s">
        <v>111</v>
      </c>
      <c r="B38" s="233"/>
      <c r="C38" s="233"/>
      <c r="D38" s="233"/>
      <c r="E38" s="233"/>
      <c r="F38" s="233"/>
      <c r="G38" s="233"/>
      <c r="H38" s="233"/>
      <c r="I38" s="233"/>
      <c r="J38" s="233"/>
      <c r="K38" s="233"/>
      <c r="L38" s="233"/>
      <c r="M38" s="233" t="s">
        <v>87</v>
      </c>
      <c r="N38" s="233"/>
      <c r="O38" s="233"/>
      <c r="P38" s="233"/>
      <c r="Q38" s="233"/>
      <c r="R38" s="233"/>
      <c r="S38" s="233"/>
      <c r="T38" s="233" t="s">
        <v>88</v>
      </c>
      <c r="U38" s="233"/>
      <c r="V38" s="233"/>
      <c r="W38" s="233"/>
      <c r="X38" s="233"/>
      <c r="Y38" s="233"/>
      <c r="Z38" s="234"/>
      <c r="AE38" s="26"/>
      <c r="AF38" s="26"/>
      <c r="AG38" s="26"/>
      <c r="AH38" s="20"/>
      <c r="AI38" s="32"/>
      <c r="AJ38" s="32"/>
      <c r="AK38" s="32"/>
      <c r="AL38" s="32"/>
      <c r="AM38" s="32"/>
      <c r="AN38" s="32"/>
      <c r="AO38" s="32"/>
      <c r="AP38" s="32"/>
    </row>
    <row r="39" spans="1:42" s="31" customFormat="1" ht="24.95" customHeight="1" x14ac:dyDescent="0.25">
      <c r="A39" s="232" t="s">
        <v>89</v>
      </c>
      <c r="B39" s="233"/>
      <c r="C39" s="233"/>
      <c r="D39" s="233"/>
      <c r="E39" s="233"/>
      <c r="F39" s="233"/>
      <c r="G39" s="233"/>
      <c r="H39" s="233"/>
      <c r="I39" s="233"/>
      <c r="J39" s="233"/>
      <c r="K39" s="233"/>
      <c r="L39" s="233"/>
      <c r="M39" s="233"/>
      <c r="N39" s="233"/>
      <c r="O39" s="233"/>
      <c r="P39" s="233"/>
      <c r="Q39" s="233"/>
      <c r="R39" s="233"/>
      <c r="S39" s="233"/>
      <c r="T39" s="233"/>
      <c r="U39" s="233"/>
      <c r="V39" s="233"/>
      <c r="W39" s="233"/>
      <c r="X39" s="233"/>
      <c r="Y39" s="233"/>
      <c r="Z39" s="234"/>
      <c r="AE39" s="26"/>
      <c r="AF39" s="26"/>
      <c r="AG39" s="26"/>
      <c r="AH39" s="20"/>
      <c r="AI39" s="32"/>
      <c r="AJ39" s="32"/>
      <c r="AK39" s="32"/>
      <c r="AL39" s="32"/>
      <c r="AM39" s="32"/>
      <c r="AN39" s="32"/>
      <c r="AO39" s="32"/>
      <c r="AP39" s="32"/>
    </row>
    <row r="40" spans="1:42" s="31" customFormat="1" ht="24.95" customHeight="1" x14ac:dyDescent="0.25">
      <c r="A40" s="232" t="s">
        <v>112</v>
      </c>
      <c r="B40" s="233"/>
      <c r="C40" s="233"/>
      <c r="D40" s="233"/>
      <c r="E40" s="233"/>
      <c r="F40" s="233"/>
      <c r="G40" s="233"/>
      <c r="H40" s="233"/>
      <c r="I40" s="233"/>
      <c r="J40" s="233"/>
      <c r="K40" s="233"/>
      <c r="L40" s="233"/>
      <c r="M40" s="233"/>
      <c r="N40" s="233"/>
      <c r="O40" s="233"/>
      <c r="P40" s="233"/>
      <c r="Q40" s="233"/>
      <c r="R40" s="233"/>
      <c r="S40" s="233"/>
      <c r="T40" s="233"/>
      <c r="U40" s="233"/>
      <c r="V40" s="233"/>
      <c r="W40" s="233"/>
      <c r="X40" s="233"/>
      <c r="Y40" s="233"/>
      <c r="Z40" s="234"/>
      <c r="AE40" s="26"/>
      <c r="AF40" s="26"/>
      <c r="AG40" s="26"/>
      <c r="AH40" s="20"/>
      <c r="AI40" s="32"/>
      <c r="AJ40" s="32"/>
      <c r="AK40" s="32"/>
      <c r="AL40" s="32"/>
      <c r="AM40" s="32"/>
      <c r="AN40" s="32"/>
      <c r="AO40" s="32"/>
      <c r="AP40" s="32"/>
    </row>
    <row r="41" spans="1:42" s="31" customFormat="1" ht="20.100000000000001" customHeight="1" x14ac:dyDescent="0.25">
      <c r="A41" s="235" t="s">
        <v>90</v>
      </c>
      <c r="B41" s="236"/>
      <c r="C41" s="236"/>
      <c r="D41" s="237"/>
      <c r="E41" s="237"/>
      <c r="F41" s="237"/>
      <c r="G41" s="237"/>
      <c r="H41" s="237"/>
      <c r="I41" s="238"/>
      <c r="J41" s="239" t="s">
        <v>91</v>
      </c>
      <c r="K41" s="240"/>
      <c r="L41" s="240"/>
      <c r="M41" s="241"/>
      <c r="N41" s="241"/>
      <c r="O41" s="241"/>
      <c r="P41" s="241"/>
      <c r="Q41" s="241"/>
      <c r="R41" s="241"/>
      <c r="S41" s="241"/>
      <c r="T41" s="241"/>
      <c r="U41" s="241"/>
      <c r="V41" s="241"/>
      <c r="W41" s="241"/>
      <c r="X41" s="241"/>
      <c r="Y41" s="241"/>
      <c r="Z41" s="242"/>
    </row>
    <row r="42" spans="1:42" s="31" customFormat="1" ht="14.1" customHeight="1" x14ac:dyDescent="0.25">
      <c r="A42" s="268" t="s">
        <v>92</v>
      </c>
      <c r="B42" s="269"/>
      <c r="C42" s="269"/>
      <c r="D42" s="269"/>
      <c r="E42" s="269"/>
      <c r="F42" s="269"/>
      <c r="G42" s="269"/>
      <c r="H42" s="269"/>
      <c r="I42" s="270"/>
      <c r="J42" s="271" t="s">
        <v>93</v>
      </c>
      <c r="K42" s="272"/>
      <c r="L42" s="272"/>
      <c r="M42" s="273"/>
      <c r="N42" s="273"/>
      <c r="O42" s="273"/>
      <c r="P42" s="273"/>
      <c r="Q42" s="273"/>
      <c r="R42" s="273"/>
      <c r="S42" s="273"/>
      <c r="T42" s="273"/>
      <c r="U42" s="273"/>
      <c r="V42" s="273"/>
      <c r="W42" s="273"/>
      <c r="X42" s="273"/>
      <c r="Y42" s="273"/>
      <c r="Z42" s="274"/>
      <c r="AA42" s="20"/>
    </row>
    <row r="43" spans="1:42" s="31" customFormat="1" ht="14.1" customHeight="1" x14ac:dyDescent="0.25">
      <c r="A43" s="261" t="s">
        <v>113</v>
      </c>
      <c r="B43" s="262"/>
      <c r="C43" s="262"/>
      <c r="D43" s="262"/>
      <c r="E43" s="262"/>
      <c r="F43" s="262"/>
      <c r="G43" s="262"/>
      <c r="H43" s="262"/>
      <c r="I43" s="263"/>
      <c r="J43" s="275"/>
      <c r="K43" s="262"/>
      <c r="L43" s="262"/>
      <c r="M43" s="262"/>
      <c r="N43" s="262"/>
      <c r="O43" s="262"/>
      <c r="P43" s="262"/>
      <c r="Q43" s="262"/>
      <c r="R43" s="262"/>
      <c r="S43" s="262"/>
      <c r="T43" s="262"/>
      <c r="U43" s="262"/>
      <c r="V43" s="262"/>
      <c r="W43" s="262"/>
      <c r="X43" s="262"/>
      <c r="Y43" s="262"/>
      <c r="Z43" s="276"/>
      <c r="AC43" s="277"/>
      <c r="AD43" s="203"/>
      <c r="AE43" s="203"/>
      <c r="AF43" s="258"/>
      <c r="AG43" s="259"/>
      <c r="AH43" s="259"/>
      <c r="AI43" s="258"/>
      <c r="AJ43" s="258"/>
      <c r="AK43" s="259"/>
      <c r="AL43" s="260"/>
      <c r="AM43" s="260"/>
      <c r="AN43" s="260"/>
      <c r="AO43" s="260"/>
    </row>
    <row r="44" spans="1:42" ht="14.1" customHeight="1" x14ac:dyDescent="0.25">
      <c r="A44" s="261" t="s">
        <v>94</v>
      </c>
      <c r="B44" s="262"/>
      <c r="C44" s="262"/>
      <c r="D44" s="262"/>
      <c r="E44" s="262"/>
      <c r="F44" s="262"/>
      <c r="G44" s="262"/>
      <c r="H44" s="262"/>
      <c r="I44" s="263"/>
      <c r="J44" s="264"/>
      <c r="K44" s="265"/>
      <c r="L44" s="265"/>
      <c r="M44" s="266"/>
      <c r="N44" s="266"/>
      <c r="O44" s="266"/>
      <c r="P44" s="266"/>
      <c r="Q44" s="266"/>
      <c r="R44" s="266"/>
      <c r="S44" s="266"/>
      <c r="T44" s="266"/>
      <c r="U44" s="266"/>
      <c r="V44" s="266"/>
      <c r="W44" s="266"/>
      <c r="X44" s="266"/>
      <c r="Y44" s="266"/>
      <c r="Z44" s="267"/>
      <c r="AC44" s="203"/>
      <c r="AD44" s="203"/>
      <c r="AE44" s="203"/>
      <c r="AF44" s="259"/>
      <c r="AG44" s="259"/>
      <c r="AH44" s="259"/>
      <c r="AI44" s="259"/>
      <c r="AJ44" s="259"/>
      <c r="AK44" s="259"/>
      <c r="AL44" s="260"/>
      <c r="AM44" s="260"/>
      <c r="AN44" s="260"/>
      <c r="AO44" s="260"/>
    </row>
    <row r="45" spans="1:42" ht="14.1" customHeight="1" x14ac:dyDescent="0.25">
      <c r="A45" s="282" t="s">
        <v>114</v>
      </c>
      <c r="B45" s="283"/>
      <c r="C45" s="283"/>
      <c r="D45" s="283"/>
      <c r="E45" s="283"/>
      <c r="F45" s="283"/>
      <c r="G45" s="283"/>
      <c r="H45" s="283"/>
      <c r="I45" s="284"/>
      <c r="J45" s="49"/>
      <c r="K45" s="50"/>
      <c r="L45" s="50"/>
      <c r="M45" s="51"/>
      <c r="N45" s="51"/>
      <c r="O45" s="51"/>
      <c r="P45" s="51"/>
      <c r="Q45" s="51"/>
      <c r="R45" s="51"/>
      <c r="S45" s="51"/>
      <c r="T45" s="51"/>
      <c r="U45" s="51"/>
      <c r="V45" s="51"/>
      <c r="W45" s="51"/>
      <c r="X45" s="51"/>
      <c r="Y45" s="51"/>
      <c r="Z45" s="52"/>
      <c r="AC45" s="45"/>
      <c r="AD45" s="45"/>
      <c r="AE45" s="45"/>
      <c r="AF45" s="53"/>
      <c r="AG45" s="53"/>
      <c r="AH45" s="53"/>
      <c r="AI45" s="53"/>
      <c r="AJ45" s="53"/>
      <c r="AK45" s="53"/>
      <c r="AL45" s="54"/>
      <c r="AM45" s="54"/>
      <c r="AN45" s="54"/>
      <c r="AO45" s="54"/>
    </row>
    <row r="46" spans="1:42" s="31" customFormat="1" ht="24.95" customHeight="1" thickBot="1" x14ac:dyDescent="0.3">
      <c r="A46" s="285"/>
      <c r="B46" s="286"/>
      <c r="C46" s="286"/>
      <c r="D46" s="286"/>
      <c r="E46" s="286"/>
      <c r="F46" s="286"/>
      <c r="G46" s="286"/>
      <c r="H46" s="286"/>
      <c r="I46" s="287"/>
      <c r="J46" s="288" t="s">
        <v>95</v>
      </c>
      <c r="K46" s="289"/>
      <c r="L46" s="289"/>
      <c r="M46" s="289"/>
      <c r="N46" s="289"/>
      <c r="O46" s="289"/>
      <c r="P46" s="289"/>
      <c r="Q46" s="289"/>
      <c r="R46" s="289"/>
      <c r="S46" s="289"/>
      <c r="T46" s="289"/>
      <c r="U46" s="289"/>
      <c r="V46" s="289"/>
      <c r="W46" s="289"/>
      <c r="X46" s="289"/>
      <c r="Y46" s="289"/>
      <c r="Z46" s="290"/>
      <c r="AC46" s="291"/>
      <c r="AD46" s="203"/>
      <c r="AE46" s="203"/>
      <c r="AF46" s="292"/>
      <c r="AG46" s="293"/>
      <c r="AH46" s="293"/>
      <c r="AI46" s="203"/>
      <c r="AJ46" s="203"/>
      <c r="AK46" s="203"/>
      <c r="AL46" s="203"/>
      <c r="AM46" s="203"/>
      <c r="AN46" s="203"/>
      <c r="AO46" s="203"/>
    </row>
    <row r="47" spans="1:42" ht="15.2" customHeight="1" thickTop="1" x14ac:dyDescent="0.25">
      <c r="A47" s="278"/>
      <c r="B47" s="278"/>
      <c r="C47" s="278"/>
      <c r="D47" s="278"/>
      <c r="E47" s="278"/>
      <c r="F47" s="279"/>
      <c r="G47" s="279"/>
      <c r="H47" s="279"/>
      <c r="I47" s="279"/>
      <c r="J47" s="280" t="s">
        <v>115</v>
      </c>
      <c r="K47" s="280"/>
      <c r="L47" s="280"/>
      <c r="M47" s="281"/>
      <c r="N47" s="281"/>
      <c r="O47" s="281"/>
      <c r="P47" s="281"/>
      <c r="Q47" s="281"/>
      <c r="R47" s="281"/>
      <c r="S47" s="281"/>
      <c r="T47" s="281"/>
      <c r="U47" s="281"/>
      <c r="V47" s="281"/>
      <c r="W47" s="281"/>
      <c r="X47" s="281"/>
      <c r="Y47" s="281"/>
      <c r="Z47" s="281"/>
      <c r="AC47" s="203"/>
      <c r="AD47" s="203"/>
      <c r="AE47" s="203"/>
      <c r="AF47" s="293"/>
      <c r="AG47" s="293"/>
      <c r="AH47" s="293"/>
      <c r="AI47" s="203"/>
      <c r="AJ47" s="203"/>
      <c r="AK47" s="203"/>
      <c r="AL47" s="203"/>
      <c r="AM47" s="203"/>
      <c r="AN47" s="203"/>
      <c r="AO47" s="203"/>
    </row>
    <row r="48" spans="1:42" ht="20.100000000000001" customHeight="1" x14ac:dyDescent="0.25">
      <c r="A48" s="36"/>
      <c r="B48" s="36"/>
      <c r="C48" s="36"/>
      <c r="D48" s="36"/>
      <c r="E48" s="36"/>
      <c r="F48" s="36"/>
      <c r="G48" s="36"/>
      <c r="H48" s="36"/>
      <c r="I48" s="37"/>
      <c r="J48" s="37"/>
      <c r="K48" s="37"/>
      <c r="L48" s="37"/>
      <c r="M48" s="38"/>
      <c r="T48" s="32"/>
      <c r="U48" s="32"/>
      <c r="V48" s="32"/>
      <c r="W48" s="213"/>
      <c r="X48" s="213"/>
      <c r="Y48" s="213"/>
      <c r="Z48" s="213"/>
      <c r="AC48" s="291"/>
      <c r="AD48" s="203"/>
      <c r="AE48" s="203"/>
      <c r="AF48" s="292"/>
      <c r="AG48" s="293"/>
      <c r="AH48" s="293"/>
      <c r="AI48" s="203"/>
      <c r="AJ48" s="203"/>
      <c r="AK48" s="203"/>
      <c r="AL48" s="203"/>
      <c r="AM48" s="203"/>
      <c r="AN48" s="203"/>
      <c r="AO48" s="203"/>
    </row>
    <row r="49" spans="1:41" ht="20.100000000000001" customHeight="1" x14ac:dyDescent="0.25">
      <c r="A49" s="32"/>
      <c r="B49" s="32"/>
      <c r="C49" s="32"/>
      <c r="E49" s="36"/>
      <c r="F49" s="36"/>
      <c r="G49" s="36"/>
      <c r="H49" s="36"/>
      <c r="I49" s="37"/>
      <c r="J49" s="37"/>
      <c r="K49" s="37"/>
      <c r="L49" s="37"/>
      <c r="T49" s="32"/>
      <c r="U49" s="32"/>
      <c r="V49" s="32"/>
      <c r="W49" s="213"/>
      <c r="X49" s="213"/>
      <c r="Y49" s="213"/>
      <c r="Z49" s="213"/>
      <c r="AC49" s="203"/>
      <c r="AD49" s="203"/>
      <c r="AE49" s="203"/>
      <c r="AF49" s="293"/>
      <c r="AG49" s="293"/>
      <c r="AH49" s="293"/>
      <c r="AI49" s="203"/>
      <c r="AJ49" s="203"/>
      <c r="AK49" s="203"/>
      <c r="AL49" s="203"/>
      <c r="AM49" s="203"/>
      <c r="AN49" s="203"/>
      <c r="AO49" s="203"/>
    </row>
    <row r="50" spans="1:41" ht="15.2" customHeight="1" x14ac:dyDescent="0.25">
      <c r="A50" s="39"/>
      <c r="B50" s="39"/>
      <c r="C50" s="39"/>
      <c r="D50" s="39"/>
      <c r="AC50" s="291"/>
      <c r="AD50" s="203"/>
      <c r="AE50" s="203"/>
      <c r="AF50" s="292"/>
      <c r="AG50" s="293"/>
      <c r="AH50" s="293"/>
      <c r="AI50" s="203"/>
      <c r="AJ50" s="203"/>
      <c r="AK50" s="203"/>
      <c r="AL50" s="203"/>
      <c r="AM50" s="203"/>
      <c r="AN50" s="203"/>
      <c r="AO50" s="203"/>
    </row>
    <row r="51" spans="1:41" x14ac:dyDescent="0.25">
      <c r="A51" s="32"/>
      <c r="B51" s="32"/>
      <c r="C51" s="32"/>
      <c r="D51" s="40"/>
      <c r="E51" s="40"/>
      <c r="F51" s="40"/>
      <c r="G51" s="40"/>
      <c r="H51" s="40"/>
      <c r="I51" s="40"/>
      <c r="J51" s="40"/>
      <c r="K51" s="40"/>
      <c r="L51" s="40"/>
      <c r="M51" s="41"/>
      <c r="Q51" s="40"/>
      <c r="R51" s="40"/>
      <c r="S51" s="40"/>
      <c r="T51" s="41"/>
      <c r="U51" s="41"/>
      <c r="V51" s="41"/>
      <c r="W51" s="40"/>
      <c r="X51" s="40"/>
      <c r="Y51" s="40"/>
      <c r="Z51" s="40"/>
      <c r="AC51" s="203"/>
      <c r="AD51" s="203"/>
      <c r="AE51" s="203"/>
      <c r="AF51" s="293"/>
      <c r="AG51" s="293"/>
      <c r="AH51" s="293"/>
      <c r="AI51" s="203"/>
      <c r="AJ51" s="203"/>
      <c r="AK51" s="203"/>
      <c r="AL51" s="203"/>
      <c r="AM51" s="203"/>
      <c r="AN51" s="203"/>
      <c r="AO51" s="203"/>
    </row>
    <row r="52" spans="1:41" x14ac:dyDescent="0.25">
      <c r="A52" s="213"/>
      <c r="B52" s="213"/>
      <c r="C52" s="213"/>
      <c r="D52" s="213"/>
      <c r="E52" s="151"/>
      <c r="F52" s="151"/>
      <c r="G52" s="151"/>
      <c r="H52" s="151"/>
      <c r="I52" s="151"/>
      <c r="J52" s="151"/>
      <c r="K52" s="151"/>
      <c r="L52" s="151"/>
      <c r="M52" s="151"/>
      <c r="N52" s="151"/>
      <c r="O52" s="151"/>
      <c r="P52" s="151"/>
      <c r="Q52" s="151"/>
      <c r="R52" s="151"/>
      <c r="S52" s="151"/>
      <c r="T52" s="151"/>
      <c r="U52" s="151"/>
      <c r="V52" s="151"/>
      <c r="W52" s="151"/>
      <c r="X52" s="151"/>
      <c r="Y52" s="151"/>
      <c r="Z52" s="151"/>
      <c r="AC52" s="297"/>
      <c r="AD52" s="293"/>
      <c r="AE52" s="293"/>
      <c r="AF52" s="293"/>
      <c r="AG52" s="293"/>
      <c r="AH52" s="293"/>
      <c r="AI52" s="293"/>
      <c r="AJ52" s="293"/>
      <c r="AK52" s="293"/>
      <c r="AL52" s="293"/>
      <c r="AM52" s="293"/>
      <c r="AN52" s="293"/>
      <c r="AO52" s="293"/>
    </row>
    <row r="53" spans="1:41" x14ac:dyDescent="0.25">
      <c r="A53" s="32"/>
      <c r="B53" s="32"/>
      <c r="C53" s="32"/>
      <c r="D53" s="40"/>
      <c r="E53" s="40"/>
      <c r="F53" s="40"/>
      <c r="G53" s="40"/>
      <c r="H53" s="40"/>
      <c r="I53" s="40"/>
      <c r="J53" s="40"/>
      <c r="K53" s="40"/>
      <c r="L53" s="40"/>
      <c r="M53" s="41"/>
      <c r="N53" s="41"/>
      <c r="O53" s="41"/>
      <c r="P53" s="41"/>
      <c r="Q53" s="40"/>
      <c r="R53" s="40"/>
      <c r="S53" s="40"/>
      <c r="T53" s="41"/>
      <c r="U53" s="41"/>
      <c r="V53" s="41"/>
      <c r="W53" s="40"/>
      <c r="X53" s="40"/>
      <c r="Y53" s="40"/>
      <c r="Z53" s="40"/>
    </row>
    <row r="54" spans="1:41" x14ac:dyDescent="0.25">
      <c r="A54" s="213"/>
      <c r="B54" s="213"/>
      <c r="C54" s="213"/>
      <c r="D54" s="213"/>
      <c r="E54" s="151"/>
      <c r="F54" s="151"/>
      <c r="G54" s="151"/>
      <c r="H54" s="151"/>
      <c r="I54" s="151"/>
      <c r="J54" s="151"/>
      <c r="K54" s="151"/>
      <c r="L54" s="151"/>
      <c r="M54" s="151"/>
      <c r="N54" s="151"/>
      <c r="O54" s="151"/>
      <c r="P54" s="151"/>
      <c r="Q54" s="151"/>
      <c r="R54" s="151"/>
      <c r="S54" s="151"/>
      <c r="T54" s="151"/>
      <c r="U54" s="151"/>
      <c r="V54" s="151"/>
      <c r="W54" s="151"/>
      <c r="X54" s="151"/>
      <c r="Y54" s="151"/>
      <c r="Z54" s="151"/>
    </row>
    <row r="55" spans="1:41" x14ac:dyDescent="0.25">
      <c r="A55" s="298"/>
      <c r="B55" s="298"/>
      <c r="C55" s="298"/>
      <c r="D55" s="299"/>
      <c r="E55" s="299"/>
      <c r="F55" s="299"/>
      <c r="G55" s="299"/>
      <c r="H55" s="299"/>
      <c r="I55" s="299"/>
      <c r="J55" s="299"/>
      <c r="K55" s="299"/>
      <c r="L55" s="299"/>
      <c r="M55" s="299"/>
      <c r="N55" s="299"/>
      <c r="O55" s="299"/>
      <c r="P55" s="299"/>
      <c r="Q55" s="299"/>
      <c r="R55" s="299"/>
      <c r="S55" s="299"/>
      <c r="T55" s="299"/>
      <c r="U55" s="299"/>
      <c r="V55" s="299"/>
      <c r="W55" s="299"/>
      <c r="X55" s="299"/>
      <c r="Y55" s="299"/>
      <c r="Z55" s="299"/>
    </row>
    <row r="56" spans="1:41" x14ac:dyDescent="0.25">
      <c r="A56" s="42"/>
      <c r="B56" s="42"/>
      <c r="C56" s="42"/>
      <c r="D56" s="43"/>
      <c r="E56" s="44"/>
      <c r="F56" s="40"/>
      <c r="G56" s="40"/>
      <c r="H56" s="40"/>
      <c r="I56" s="40"/>
      <c r="J56" s="44"/>
      <c r="K56" s="44"/>
      <c r="L56" s="44"/>
      <c r="M56" s="40"/>
      <c r="N56" s="40"/>
      <c r="O56" s="40"/>
      <c r="P56" s="40"/>
      <c r="Q56" s="40"/>
      <c r="R56" s="40"/>
      <c r="S56" s="40"/>
      <c r="T56" s="40"/>
      <c r="U56" s="40"/>
      <c r="V56" s="40"/>
    </row>
    <row r="57" spans="1:41" x14ac:dyDescent="0.25">
      <c r="A57" s="300"/>
      <c r="B57" s="300"/>
      <c r="C57" s="300"/>
      <c r="D57" s="300"/>
      <c r="E57" s="40"/>
      <c r="F57" s="40"/>
      <c r="G57" s="40"/>
      <c r="H57" s="40"/>
      <c r="I57" s="40"/>
      <c r="J57" s="301"/>
      <c r="K57" s="301"/>
      <c r="L57" s="301"/>
      <c r="M57" s="301"/>
      <c r="N57" s="40"/>
      <c r="O57" s="40"/>
      <c r="P57" s="40"/>
      <c r="Q57" s="40"/>
      <c r="R57" s="40"/>
      <c r="S57" s="40"/>
      <c r="T57" s="40"/>
      <c r="U57" s="40"/>
      <c r="V57" s="40"/>
      <c r="AA57" s="277"/>
      <c r="AB57" s="293"/>
      <c r="AC57" s="293"/>
      <c r="AD57" s="293"/>
      <c r="AE57" s="293"/>
      <c r="AF57" s="293"/>
      <c r="AG57" s="293"/>
      <c r="AH57" s="293"/>
      <c r="AI57" s="293"/>
      <c r="AJ57" s="293"/>
      <c r="AK57" s="293"/>
      <c r="AL57" s="293"/>
      <c r="AM57" s="293"/>
    </row>
    <row r="58" spans="1:41" x14ac:dyDescent="0.25">
      <c r="A58" s="31"/>
      <c r="B58" s="31"/>
      <c r="C58" s="31"/>
      <c r="D58" s="40"/>
      <c r="E58" s="40"/>
      <c r="F58" s="40"/>
      <c r="G58" s="40"/>
      <c r="H58" s="40"/>
      <c r="I58" s="40"/>
      <c r="J58" s="40"/>
      <c r="K58" s="40"/>
      <c r="L58" s="40"/>
      <c r="M58" s="40"/>
      <c r="N58" s="40"/>
      <c r="O58" s="40"/>
      <c r="P58" s="40"/>
      <c r="Q58" s="40"/>
      <c r="R58" s="40"/>
      <c r="S58" s="40"/>
      <c r="T58" s="40"/>
      <c r="U58" s="40"/>
      <c r="V58" s="40"/>
      <c r="AA58" s="277"/>
      <c r="AB58" s="293"/>
      <c r="AC58" s="293"/>
      <c r="AD58" s="293"/>
      <c r="AE58" s="293"/>
      <c r="AF58" s="293"/>
      <c r="AG58" s="293"/>
      <c r="AH58" s="293"/>
      <c r="AI58" s="293"/>
      <c r="AJ58" s="293"/>
      <c r="AK58" s="293"/>
      <c r="AL58" s="293"/>
      <c r="AM58" s="293"/>
    </row>
    <row r="59" spans="1:41" x14ac:dyDescent="0.25">
      <c r="A59" s="31"/>
      <c r="B59" s="31"/>
      <c r="C59" s="31"/>
      <c r="D59" s="45"/>
      <c r="E59" s="40"/>
      <c r="F59" s="40"/>
      <c r="G59" s="40"/>
      <c r="H59" s="40"/>
      <c r="I59" s="40"/>
      <c r="J59" s="40"/>
      <c r="K59" s="40"/>
      <c r="L59" s="40"/>
      <c r="M59" s="40"/>
      <c r="N59" s="40"/>
      <c r="O59" s="40"/>
      <c r="P59" s="40"/>
      <c r="Q59" s="294"/>
      <c r="T59" s="40"/>
      <c r="U59" s="40"/>
      <c r="V59" s="40"/>
      <c r="AA59" s="26"/>
      <c r="AB59" s="121"/>
      <c r="AC59" s="121"/>
      <c r="AD59" s="121"/>
      <c r="AE59" s="121"/>
      <c r="AF59" s="121"/>
      <c r="AG59" s="121"/>
      <c r="AH59" s="46"/>
      <c r="AI59" s="121"/>
      <c r="AJ59" s="121"/>
      <c r="AK59" s="121"/>
      <c r="AL59" s="121"/>
      <c r="AM59" s="47"/>
    </row>
    <row r="60" spans="1:41" x14ac:dyDescent="0.25">
      <c r="A60" s="31"/>
      <c r="B60" s="31"/>
      <c r="C60" s="31"/>
      <c r="D60" s="45"/>
      <c r="E60" s="40"/>
      <c r="F60" s="40"/>
      <c r="G60" s="40"/>
      <c r="H60" s="40"/>
      <c r="I60" s="40"/>
      <c r="J60" s="40"/>
      <c r="K60" s="40"/>
      <c r="L60" s="40"/>
      <c r="M60" s="44"/>
      <c r="N60" s="44"/>
      <c r="O60" s="44"/>
      <c r="P60" s="44"/>
      <c r="Q60" s="294"/>
      <c r="T60" s="40"/>
      <c r="U60" s="40"/>
      <c r="V60" s="40"/>
      <c r="AA60" s="26"/>
      <c r="AB60" s="121"/>
      <c r="AC60" s="121"/>
      <c r="AD60" s="121"/>
      <c r="AE60" s="121"/>
      <c r="AF60" s="121"/>
      <c r="AG60" s="121"/>
      <c r="AH60" s="46"/>
      <c r="AI60" s="295"/>
      <c r="AJ60" s="296"/>
      <c r="AK60" s="296"/>
      <c r="AL60" s="296"/>
      <c r="AM60" s="47"/>
    </row>
    <row r="61" spans="1:41" x14ac:dyDescent="0.25">
      <c r="AA61" s="129"/>
      <c r="AB61" s="129"/>
      <c r="AC61" s="129"/>
      <c r="AD61" s="129"/>
      <c r="AE61" s="129"/>
      <c r="AF61" s="129"/>
      <c r="AG61" s="129"/>
      <c r="AH61" s="129"/>
      <c r="AI61" s="129"/>
      <c r="AJ61" s="129"/>
      <c r="AK61" s="129"/>
      <c r="AL61" s="129"/>
      <c r="AM61" s="47"/>
    </row>
    <row r="62" spans="1:41" x14ac:dyDescent="0.25">
      <c r="AA62" s="129"/>
      <c r="AB62" s="129"/>
      <c r="AC62" s="129"/>
      <c r="AD62" s="129"/>
      <c r="AE62" s="129"/>
      <c r="AF62" s="129"/>
      <c r="AG62" s="129"/>
      <c r="AH62" s="129"/>
      <c r="AI62" s="129"/>
      <c r="AJ62" s="129"/>
      <c r="AK62" s="129"/>
      <c r="AL62" s="129"/>
      <c r="AM62" s="47"/>
    </row>
    <row r="66" spans="13:32" x14ac:dyDescent="0.25">
      <c r="M66" s="277"/>
      <c r="N66" s="203"/>
      <c r="O66" s="203"/>
      <c r="P66" s="203"/>
      <c r="Q66" s="203"/>
      <c r="R66" s="45"/>
      <c r="S66" s="45"/>
      <c r="T66" s="277"/>
      <c r="U66" s="277"/>
      <c r="V66" s="277"/>
      <c r="W66" s="203"/>
      <c r="X66" s="203"/>
      <c r="Y66" s="45"/>
      <c r="Z66" s="277"/>
      <c r="AA66" s="258"/>
      <c r="AB66" s="259"/>
      <c r="AC66" s="258"/>
      <c r="AD66" s="258"/>
      <c r="AE66" s="260"/>
      <c r="AF66" s="259"/>
    </row>
    <row r="67" spans="13:32" x14ac:dyDescent="0.25">
      <c r="M67" s="203"/>
      <c r="N67" s="203"/>
      <c r="O67" s="203"/>
      <c r="P67" s="203"/>
      <c r="Q67" s="203"/>
      <c r="R67" s="45"/>
      <c r="S67" s="45"/>
      <c r="T67" s="203"/>
      <c r="U67" s="203"/>
      <c r="V67" s="203"/>
      <c r="W67" s="203"/>
      <c r="X67" s="203"/>
      <c r="Y67" s="45"/>
      <c r="Z67" s="203"/>
      <c r="AA67" s="259"/>
      <c r="AB67" s="259"/>
      <c r="AC67" s="259"/>
      <c r="AD67" s="259"/>
      <c r="AE67" s="259"/>
      <c r="AF67" s="259"/>
    </row>
    <row r="68" spans="13:32" x14ac:dyDescent="0.25">
      <c r="M68" s="277"/>
      <c r="N68" s="203"/>
      <c r="O68" s="203"/>
      <c r="P68" s="203"/>
      <c r="Q68" s="203"/>
      <c r="R68" s="45"/>
      <c r="S68" s="45"/>
      <c r="T68" s="302"/>
      <c r="U68" s="302"/>
      <c r="V68" s="302"/>
      <c r="W68" s="303"/>
      <c r="X68" s="303"/>
      <c r="Y68" s="48"/>
      <c r="Z68" s="277"/>
      <c r="AA68" s="45"/>
      <c r="AB68" s="45"/>
      <c r="AC68" s="45"/>
      <c r="AD68" s="45"/>
      <c r="AE68" s="45"/>
      <c r="AF68" s="45"/>
    </row>
    <row r="69" spans="13:32" x14ac:dyDescent="0.25">
      <c r="M69" s="203"/>
      <c r="N69" s="203"/>
      <c r="O69" s="203"/>
      <c r="P69" s="203"/>
      <c r="Q69" s="203"/>
      <c r="R69" s="45"/>
      <c r="S69" s="45"/>
      <c r="T69" s="303"/>
      <c r="U69" s="303"/>
      <c r="V69" s="303"/>
      <c r="W69" s="303"/>
      <c r="X69" s="303"/>
      <c r="Y69" s="48"/>
      <c r="Z69" s="203"/>
      <c r="AA69" s="45"/>
      <c r="AB69" s="45"/>
      <c r="AC69" s="45"/>
      <c r="AD69" s="45"/>
      <c r="AE69" s="45"/>
      <c r="AF69" s="45"/>
    </row>
    <row r="70" spans="13:32" x14ac:dyDescent="0.25">
      <c r="M70" s="277"/>
      <c r="N70" s="203"/>
      <c r="O70" s="203"/>
      <c r="P70" s="203"/>
      <c r="Q70" s="203"/>
      <c r="R70" s="45"/>
      <c r="S70" s="45"/>
      <c r="T70" s="277"/>
      <c r="U70" s="277"/>
      <c r="V70" s="277"/>
      <c r="W70" s="203"/>
      <c r="X70" s="203"/>
      <c r="Y70" s="45"/>
      <c r="Z70" s="277"/>
      <c r="AA70" s="203"/>
      <c r="AB70" s="203"/>
      <c r="AC70" s="203"/>
      <c r="AD70" s="203"/>
      <c r="AE70" s="203"/>
      <c r="AF70" s="203"/>
    </row>
    <row r="71" spans="13:32" x14ac:dyDescent="0.25">
      <c r="M71" s="203"/>
      <c r="N71" s="203"/>
      <c r="O71" s="203"/>
      <c r="P71" s="203"/>
      <c r="Q71" s="203"/>
      <c r="R71" s="45"/>
      <c r="S71" s="45"/>
      <c r="T71" s="203"/>
      <c r="U71" s="203"/>
      <c r="V71" s="203"/>
      <c r="W71" s="203"/>
      <c r="X71" s="203"/>
      <c r="Y71" s="45"/>
      <c r="Z71" s="203"/>
      <c r="AA71" s="203"/>
      <c r="AB71" s="203"/>
      <c r="AC71" s="203"/>
      <c r="AD71" s="203"/>
      <c r="AE71" s="203"/>
      <c r="AF71" s="203"/>
    </row>
    <row r="72" spans="13:32" x14ac:dyDescent="0.25">
      <c r="M72" s="277"/>
      <c r="N72" s="203"/>
      <c r="O72" s="203"/>
      <c r="P72" s="203"/>
      <c r="Q72" s="203"/>
      <c r="R72" s="45"/>
      <c r="S72" s="45"/>
      <c r="T72" s="277"/>
      <c r="U72" s="277"/>
      <c r="V72" s="277"/>
      <c r="W72" s="203"/>
      <c r="X72" s="203"/>
      <c r="Y72" s="45"/>
      <c r="Z72" s="277"/>
      <c r="AA72" s="203"/>
      <c r="AB72" s="203"/>
      <c r="AC72" s="203"/>
      <c r="AD72" s="203"/>
      <c r="AE72" s="203"/>
      <c r="AF72" s="203"/>
    </row>
    <row r="73" spans="13:32" x14ac:dyDescent="0.25">
      <c r="M73" s="203"/>
      <c r="N73" s="203"/>
      <c r="O73" s="203"/>
      <c r="P73" s="203"/>
      <c r="Q73" s="203"/>
      <c r="R73" s="45"/>
      <c r="S73" s="45"/>
      <c r="T73" s="203"/>
      <c r="U73" s="203"/>
      <c r="V73" s="203"/>
      <c r="W73" s="203"/>
      <c r="X73" s="203"/>
      <c r="Y73" s="45"/>
      <c r="Z73" s="203"/>
      <c r="AA73" s="203"/>
      <c r="AB73" s="203"/>
      <c r="AC73" s="203"/>
      <c r="AD73" s="203"/>
      <c r="AE73" s="203"/>
      <c r="AF73" s="203"/>
    </row>
  </sheetData>
  <sheetProtection selectLockedCells="1"/>
  <mergeCells count="194">
    <mergeCell ref="AE72:AF73"/>
    <mergeCell ref="AA70:AB71"/>
    <mergeCell ref="AC70:AC71"/>
    <mergeCell ref="AD70:AD71"/>
    <mergeCell ref="AE70:AF71"/>
    <mergeCell ref="M72:Q73"/>
    <mergeCell ref="T72:X73"/>
    <mergeCell ref="Z72:Z73"/>
    <mergeCell ref="AA72:AB73"/>
    <mergeCell ref="AC72:AC73"/>
    <mergeCell ref="AD72:AD73"/>
    <mergeCell ref="M68:Q69"/>
    <mergeCell ref="T68:X69"/>
    <mergeCell ref="Z68:Z69"/>
    <mergeCell ref="M70:Q71"/>
    <mergeCell ref="T70:X71"/>
    <mergeCell ref="Z70:Z71"/>
    <mergeCell ref="AA61:AL61"/>
    <mergeCell ref="AA62:AL62"/>
    <mergeCell ref="M66:Q67"/>
    <mergeCell ref="T66:X67"/>
    <mergeCell ref="Z66:Z67"/>
    <mergeCell ref="AA66:AB67"/>
    <mergeCell ref="AC66:AC67"/>
    <mergeCell ref="AD66:AD67"/>
    <mergeCell ref="AE66:AF67"/>
    <mergeCell ref="AA58:AM58"/>
    <mergeCell ref="Q59:Q60"/>
    <mergeCell ref="AB59:AG59"/>
    <mergeCell ref="AI59:AL59"/>
    <mergeCell ref="AB60:AG60"/>
    <mergeCell ref="AI60:AL60"/>
    <mergeCell ref="A52:Z52"/>
    <mergeCell ref="AC52:AO52"/>
    <mergeCell ref="A54:Z54"/>
    <mergeCell ref="A55:Z55"/>
    <mergeCell ref="A57:D57"/>
    <mergeCell ref="J57:M57"/>
    <mergeCell ref="AA57:AM57"/>
    <mergeCell ref="AM48:AM49"/>
    <mergeCell ref="AN48:AO49"/>
    <mergeCell ref="W49:Z49"/>
    <mergeCell ref="AC50:AE51"/>
    <mergeCell ref="AF50:AH51"/>
    <mergeCell ref="AI50:AI51"/>
    <mergeCell ref="AJ50:AK51"/>
    <mergeCell ref="AL50:AL51"/>
    <mergeCell ref="AM50:AM51"/>
    <mergeCell ref="AN50:AO51"/>
    <mergeCell ref="W48:Z48"/>
    <mergeCell ref="AC48:AE49"/>
    <mergeCell ref="AF48:AH49"/>
    <mergeCell ref="AI48:AI49"/>
    <mergeCell ref="AJ48:AK49"/>
    <mergeCell ref="AL48:AL49"/>
    <mergeCell ref="AJ46:AK47"/>
    <mergeCell ref="AL46:AL47"/>
    <mergeCell ref="AM46:AM47"/>
    <mergeCell ref="AN46:AO47"/>
    <mergeCell ref="A47:I47"/>
    <mergeCell ref="J47:Z47"/>
    <mergeCell ref="A45:I45"/>
    <mergeCell ref="A46:I46"/>
    <mergeCell ref="J46:Z46"/>
    <mergeCell ref="AC46:AE47"/>
    <mergeCell ref="AF46:AH47"/>
    <mergeCell ref="AI46:AI47"/>
    <mergeCell ref="AJ43:AK44"/>
    <mergeCell ref="AL43:AL44"/>
    <mergeCell ref="AM43:AM44"/>
    <mergeCell ref="AN43:AO44"/>
    <mergeCell ref="A44:I44"/>
    <mergeCell ref="J44:Z44"/>
    <mergeCell ref="A42:I42"/>
    <mergeCell ref="J42:Z43"/>
    <mergeCell ref="A43:I43"/>
    <mergeCell ref="AC43:AE44"/>
    <mergeCell ref="AF43:AH44"/>
    <mergeCell ref="AI43:AI44"/>
    <mergeCell ref="A37:Z37"/>
    <mergeCell ref="A38:Z38"/>
    <mergeCell ref="A39:Z39"/>
    <mergeCell ref="A40:Z40"/>
    <mergeCell ref="A41:I41"/>
    <mergeCell ref="J41:Z41"/>
    <mergeCell ref="A30:Z30"/>
    <mergeCell ref="A31:Z31"/>
    <mergeCell ref="A33:Z33"/>
    <mergeCell ref="A34:Z34"/>
    <mergeCell ref="A35:Z35"/>
    <mergeCell ref="A36:Z36"/>
    <mergeCell ref="A27:C27"/>
    <mergeCell ref="D27:H27"/>
    <mergeCell ref="I27:Z27"/>
    <mergeCell ref="A28:D28"/>
    <mergeCell ref="E28:Z28"/>
    <mergeCell ref="A29:D29"/>
    <mergeCell ref="N29:O29"/>
    <mergeCell ref="Y29:Z29"/>
    <mergeCell ref="AC24:AO24"/>
    <mergeCell ref="A25:E26"/>
    <mergeCell ref="F25:J26"/>
    <mergeCell ref="K25:M26"/>
    <mergeCell ref="N25:Q26"/>
    <mergeCell ref="R25:T26"/>
    <mergeCell ref="U25:W26"/>
    <mergeCell ref="X25:Z26"/>
    <mergeCell ref="A22:E22"/>
    <mergeCell ref="F22:M22"/>
    <mergeCell ref="N22:Z22"/>
    <mergeCell ref="A23:E24"/>
    <mergeCell ref="F23:J24"/>
    <mergeCell ref="K23:M24"/>
    <mergeCell ref="N23:Q24"/>
    <mergeCell ref="R23:T24"/>
    <mergeCell ref="U23:W24"/>
    <mergeCell ref="X23:Z24"/>
    <mergeCell ref="A20:Z20"/>
    <mergeCell ref="A21:E21"/>
    <mergeCell ref="F21:J21"/>
    <mergeCell ref="K21:O21"/>
    <mergeCell ref="P21:Q21"/>
    <mergeCell ref="R21:S21"/>
    <mergeCell ref="T21:V21"/>
    <mergeCell ref="W21:Z21"/>
    <mergeCell ref="A19:B19"/>
    <mergeCell ref="C19:E19"/>
    <mergeCell ref="F19:M19"/>
    <mergeCell ref="N19:O19"/>
    <mergeCell ref="P19:R19"/>
    <mergeCell ref="S19:Z19"/>
    <mergeCell ref="A18:C18"/>
    <mergeCell ref="D18:M18"/>
    <mergeCell ref="N18:P18"/>
    <mergeCell ref="Q18:T18"/>
    <mergeCell ref="U18:V18"/>
    <mergeCell ref="W18:Z18"/>
    <mergeCell ref="A16:L16"/>
    <mergeCell ref="M16:N16"/>
    <mergeCell ref="O16:Z16"/>
    <mergeCell ref="A17:C17"/>
    <mergeCell ref="D17:M17"/>
    <mergeCell ref="N17:P17"/>
    <mergeCell ref="Q17:T17"/>
    <mergeCell ref="U17:V17"/>
    <mergeCell ref="W17:Z17"/>
    <mergeCell ref="A15:D15"/>
    <mergeCell ref="F15:H15"/>
    <mergeCell ref="J15:L15"/>
    <mergeCell ref="N15:P15"/>
    <mergeCell ref="R15:U15"/>
    <mergeCell ref="V15:Z15"/>
    <mergeCell ref="A14:D14"/>
    <mergeCell ref="F14:H14"/>
    <mergeCell ref="J14:L14"/>
    <mergeCell ref="N14:P14"/>
    <mergeCell ref="R14:U14"/>
    <mergeCell ref="V14:Z14"/>
    <mergeCell ref="A13:D13"/>
    <mergeCell ref="F13:H13"/>
    <mergeCell ref="J13:L13"/>
    <mergeCell ref="N13:P13"/>
    <mergeCell ref="R13:T13"/>
    <mergeCell ref="V13:Z13"/>
    <mergeCell ref="A11:C11"/>
    <mergeCell ref="D11:Z11"/>
    <mergeCell ref="AD11:AE11"/>
    <mergeCell ref="AF11:AK11"/>
    <mergeCell ref="AL11:AO11"/>
    <mergeCell ref="A12:C12"/>
    <mergeCell ref="D12:Z12"/>
    <mergeCell ref="AD12:AE12"/>
    <mergeCell ref="AF12:AK12"/>
    <mergeCell ref="AL12:AO12"/>
    <mergeCell ref="A9:C9"/>
    <mergeCell ref="D9:Z9"/>
    <mergeCell ref="AD9:AE9"/>
    <mergeCell ref="AF9:AO9"/>
    <mergeCell ref="A10:C10"/>
    <mergeCell ref="D10:Z10"/>
    <mergeCell ref="AD10:AE10"/>
    <mergeCell ref="AF10:AO10"/>
    <mergeCell ref="A6:C6"/>
    <mergeCell ref="D6:Z6"/>
    <mergeCell ref="A7:C7"/>
    <mergeCell ref="D7:Z7"/>
    <mergeCell ref="A8:C8"/>
    <mergeCell ref="D8:Z8"/>
    <mergeCell ref="A1:Z1"/>
    <mergeCell ref="A2:Z2"/>
    <mergeCell ref="A4:T4"/>
    <mergeCell ref="U4:Z4"/>
    <mergeCell ref="A5:C5"/>
    <mergeCell ref="D5:Z5"/>
  </mergeCells>
  <phoneticPr fontId="1" type="noConversion"/>
  <dataValidations count="4">
    <dataValidation type="list" allowBlank="1" showInputMessage="1" showErrorMessage="1" sqref="F22:M22" xr:uid="{AC112E5E-EBD0-4CF8-9FAE-542ED613D2E3}">
      <formula1>"□∮12*24  □∮15*30  □其他：,█∮12*24  □∮15*30  □其他：,□∮12*24  █∮15*30  □其他：,□∮12*24  □∮15*30  █其他："</formula1>
    </dataValidation>
    <dataValidation type="list" allowBlank="1" showInputMessage="1" showErrorMessage="1" sqref="C19:E19 P19:R19" xr:uid="{BC47A74E-49B8-4CE1-A389-D72F7A410C1C}">
      <formula1>"□自取 □郵寄,█自取 □郵寄,□自取 █郵寄"</formula1>
    </dataValidation>
    <dataValidation type="list" allowBlank="1" showInputMessage="1" showErrorMessage="1" sqref="D27" xr:uid="{78A6FFB0-7D17-4084-8252-0F3F3729BC4C}">
      <formula1>"□同供料廠商 □其他：,█同供料廠商 □其他：,□同供料廠商 █其他："</formula1>
    </dataValidation>
    <dataValidation type="list" allowBlank="1" showInputMessage="1" showErrorMessage="1" sqref="U4:Z4" xr:uid="{605D843B-5D86-410F-BD0A-547B3FD3B9D6}">
      <formula1>"□會驗 □不會驗 □需拍照, █會驗 □不會驗 □需拍照, □會驗 █不會驗 □需拍照, █會驗 □不會驗 █需拍照, □會驗 █不會驗 █需拍照"</formula1>
    </dataValidation>
  </dataValidations>
  <printOptions horizontalCentered="1"/>
  <pageMargins left="0.19685039370078741" right="0.19685039370078741" top="0.19685039370078741" bottom="0.19685039370078741" header="0.31496062992125984" footer="0.31496062992125984"/>
  <pageSetup paperSize="9" scale="78" orientation="portrait" r:id="rId1"/>
  <headerFooter alignWithMargins="0"/>
  <rowBreaks count="1" manualBreakCount="1">
    <brk id="47" max="1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34</vt:i4>
      </vt:variant>
      <vt:variant>
        <vt:lpstr>具名範圍</vt:lpstr>
      </vt:variant>
      <vt:variant>
        <vt:i4>37</vt:i4>
      </vt:variant>
    </vt:vector>
  </HeadingPairs>
  <TitlesOfParts>
    <vt:vector size="71" baseType="lpstr">
      <vt:lpstr>統計圖</vt:lpstr>
      <vt:lpstr>1.測量放樣</vt:lpstr>
      <vt:lpstr>2.土方開挖</vt:lpstr>
      <vt:lpstr>3.土方回填</vt:lpstr>
      <vt:lpstr>4.鋼筋</vt:lpstr>
      <vt:lpstr>5.模板</vt:lpstr>
      <vt:lpstr>6.混凝土</vt:lpstr>
      <vt:lpstr>7.植筋</vt:lpstr>
      <vt:lpstr>8.預力混凝土基樁</vt:lpstr>
      <vt:lpstr>9.砌塊石護岸</vt:lpstr>
      <vt:lpstr>10.低水護岸</vt:lpstr>
      <vt:lpstr>11.固床工</vt:lpstr>
      <vt:lpstr>12.全套管基樁</vt:lpstr>
      <vt:lpstr>13.鋼筋混凝土管工程</vt:lpstr>
      <vt:lpstr>14.鋼版樁</vt:lpstr>
      <vt:lpstr>15.路床 路基高程</vt:lpstr>
      <vt:lpstr>16.瀝青混凝土</vt:lpstr>
      <vt:lpstr>17.景觀鋪面(一)</vt:lpstr>
      <vt:lpstr>18.景觀鋪面(二)</vt:lpstr>
      <vt:lpstr>19.預鑄緣石</vt:lpstr>
      <vt:lpstr>20.鋼構工程吊裝</vt:lpstr>
      <vt:lpstr>21.鋼構工程塗裝</vt:lpstr>
      <vt:lpstr>22.排水設施(一)</vt:lpstr>
      <vt:lpstr>23.排水設施(二)</vt:lpstr>
      <vt:lpstr>24.木構造</vt:lpstr>
      <vt:lpstr>25.管路</vt:lpstr>
      <vt:lpstr>26.植栽(移植)</vt:lpstr>
      <vt:lpstr>27.植栽(新植)</vt:lpstr>
      <vt:lpstr>28.照明</vt:lpstr>
      <vt:lpstr>29.既有橋梁拆除</vt:lpstr>
      <vt:lpstr>鋼筋取樣</vt:lpstr>
      <vt:lpstr>PC樁</vt:lpstr>
      <vt:lpstr>混凝土取樣</vt:lpstr>
      <vt:lpstr>混凝土送驗單</vt:lpstr>
      <vt:lpstr>'1.測量放樣'!Print_Area</vt:lpstr>
      <vt:lpstr>'10.低水護岸'!Print_Area</vt:lpstr>
      <vt:lpstr>'11.固床工'!Print_Area</vt:lpstr>
      <vt:lpstr>'12.全套管基樁'!Print_Area</vt:lpstr>
      <vt:lpstr>'13.鋼筋混凝土管工程'!Print_Area</vt:lpstr>
      <vt:lpstr>'14.鋼版樁'!Print_Area</vt:lpstr>
      <vt:lpstr>'15.路床 路基高程'!Print_Area</vt:lpstr>
      <vt:lpstr>'16.瀝青混凝土'!Print_Area</vt:lpstr>
      <vt:lpstr>'17.景觀鋪面(一)'!Print_Area</vt:lpstr>
      <vt:lpstr>'18.景觀鋪面(二)'!Print_Area</vt:lpstr>
      <vt:lpstr>'19.預鑄緣石'!Print_Area</vt:lpstr>
      <vt:lpstr>'2.土方開挖'!Print_Area</vt:lpstr>
      <vt:lpstr>'20.鋼構工程吊裝'!Print_Area</vt:lpstr>
      <vt:lpstr>'21.鋼構工程塗裝'!Print_Area</vt:lpstr>
      <vt:lpstr>'22.排水設施(一)'!Print_Area</vt:lpstr>
      <vt:lpstr>'23.排水設施(二)'!Print_Area</vt:lpstr>
      <vt:lpstr>'24.木構造'!Print_Area</vt:lpstr>
      <vt:lpstr>'25.管路'!Print_Area</vt:lpstr>
      <vt:lpstr>'26.植栽(移植)'!Print_Area</vt:lpstr>
      <vt:lpstr>'27.植栽(新植)'!Print_Area</vt:lpstr>
      <vt:lpstr>'28.照明'!Print_Area</vt:lpstr>
      <vt:lpstr>'29.既有橋梁拆除'!Print_Area</vt:lpstr>
      <vt:lpstr>'3.土方回填'!Print_Area</vt:lpstr>
      <vt:lpstr>'4.鋼筋'!Print_Area</vt:lpstr>
      <vt:lpstr>'5.模板'!Print_Area</vt:lpstr>
      <vt:lpstr>'6.混凝土'!Print_Area</vt:lpstr>
      <vt:lpstr>'7.植筋'!Print_Area</vt:lpstr>
      <vt:lpstr>'8.預力混凝土基樁'!Print_Area</vt:lpstr>
      <vt:lpstr>'9.砌塊石護岸'!Print_Area</vt:lpstr>
      <vt:lpstr>PC樁!Print_Area</vt:lpstr>
      <vt:lpstr>混凝土取樣!Print_Area</vt:lpstr>
      <vt:lpstr>混凝土送驗單!Print_Area</vt:lpstr>
      <vt:lpstr>統計圖!Print_Area</vt:lpstr>
      <vt:lpstr>鋼筋取樣!Print_Area</vt:lpstr>
      <vt:lpstr>PC樁!Print_Titles</vt:lpstr>
      <vt:lpstr>混凝土取樣!Print_Titles</vt:lpstr>
      <vt:lpstr>鋼筋取樣!Print_Titles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HAO ZHE TSENG</cp:lastModifiedBy>
  <cp:lastPrinted>2024-03-11T03:57:35Z</cp:lastPrinted>
  <dcterms:created xsi:type="dcterms:W3CDTF">2020-09-08T07:08:19Z</dcterms:created>
  <dcterms:modified xsi:type="dcterms:W3CDTF">2024-03-11T04:04:45Z</dcterms:modified>
</cp:coreProperties>
</file>