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x7940\Downloads\"/>
    </mc:Choice>
  </mc:AlternateContent>
  <xr:revisionPtr revIDLastSave="0" documentId="13_ncr:1_{8FADB71F-ACDE-4EB9-A522-A9A4D4D7CF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rt1" sheetId="1" r:id="rId1"/>
    <sheet name="進度表" sheetId="2" r:id="rId2"/>
  </sheets>
  <definedNames>
    <definedName name="_xlnm._FilterDatabase" localSheetId="1" hidden="1">進度表!$A$3:$Y$3</definedName>
    <definedName name="_xlnm.Print_Area" localSheetId="1">進度表!$A$1:$AB$7</definedName>
    <definedName name="_xlnm.Print_Titles" localSheetId="1">進度表!$1:$3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2" l="1"/>
  <c r="W7" i="2"/>
  <c r="W6" i="2"/>
  <c r="W5" i="2"/>
  <c r="W4" i="2"/>
</calcChain>
</file>

<file path=xl/sharedStrings.xml><?xml version="1.0" encoding="utf-8"?>
<sst xmlns="http://schemas.openxmlformats.org/spreadsheetml/2006/main" count="120" uniqueCount="96">
  <si>
    <r>
      <rPr>
        <b/>
        <sz val="22"/>
        <rFont val="新細明體"/>
        <family val="1"/>
        <charset val="136"/>
      </rPr>
      <t>臺</t>
    </r>
    <r>
      <rPr>
        <b/>
        <sz val="22"/>
        <rFont val="Times New Roman"/>
        <family val="1"/>
      </rPr>
      <t xml:space="preserve">    </t>
    </r>
    <r>
      <rPr>
        <b/>
        <sz val="22"/>
        <rFont val="新細明體"/>
        <family val="1"/>
        <charset val="136"/>
      </rPr>
      <t>北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市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政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府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工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務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局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水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利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工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程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處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工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程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進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度</t>
    </r>
    <r>
      <rPr>
        <b/>
        <sz val="22"/>
        <rFont val="Times New Roman"/>
        <family val="1"/>
      </rPr>
      <t xml:space="preserve">    </t>
    </r>
    <r>
      <rPr>
        <b/>
        <sz val="22"/>
        <rFont val="新細明體"/>
        <family val="1"/>
        <charset val="136"/>
      </rPr>
      <t xml:space="preserve">表             </t>
    </r>
  </si>
  <si>
    <t>在建工程查詢</t>
  </si>
  <si>
    <t>項次</t>
  </si>
  <si>
    <t>工務所</t>
  </si>
  <si>
    <t>預算門別</t>
  </si>
  <si>
    <t>預算來源</t>
  </si>
  <si>
    <t>類別</t>
  </si>
  <si>
    <t>年度</t>
  </si>
  <si>
    <t>契約編號</t>
  </si>
  <si>
    <t>工程名稱</t>
  </si>
  <si>
    <t>工程內容</t>
  </si>
  <si>
    <t xml:space="preserve">預算金額
</t>
  </si>
  <si>
    <t xml:space="preserve">決標金額
【上限金額】
(變更金額)
</t>
  </si>
  <si>
    <t>最近估驗日期
累計估驗金額
累計估驗百分率%</t>
  </si>
  <si>
    <r>
      <rPr>
        <sz val="12"/>
        <rFont val="標楷體"/>
        <family val="4"/>
        <charset val="136"/>
      </rPr>
      <t xml:space="preserve">承包廠商 
</t>
    </r>
    <r>
      <rPr>
        <sz val="10"/>
        <rFont val="標楷體"/>
        <family val="4"/>
        <charset val="136"/>
      </rPr>
      <t>※工地負責人</t>
    </r>
    <r>
      <rPr>
        <sz val="12"/>
        <rFont val="標楷體"/>
        <family val="4"/>
        <charset val="136"/>
      </rPr>
      <t xml:space="preserve">
*安衛人員
#品管人員</t>
    </r>
  </si>
  <si>
    <t>決標日期</t>
  </si>
  <si>
    <t>開工日期</t>
  </si>
  <si>
    <r>
      <rPr>
        <sz val="12"/>
        <rFont val="標楷體"/>
        <family val="4"/>
        <charset val="136"/>
      </rPr>
      <t xml:space="preserve">預定完
工日期
</t>
    </r>
    <r>
      <rPr>
        <sz val="11"/>
        <rFont val="標楷體"/>
        <family val="4"/>
        <charset val="136"/>
      </rPr>
      <t>(修正後完工日期)</t>
    </r>
  </si>
  <si>
    <t xml:space="preserve"> 監造人員</t>
  </si>
  <si>
    <t>預定</t>
  </si>
  <si>
    <t>進
上期</t>
  </si>
  <si>
    <t>度
實際</t>
  </si>
  <si>
    <t>差異</t>
  </si>
  <si>
    <t>施工情形、遭遇困難
及進度落後原因</t>
  </si>
  <si>
    <t>因應對策或 解決辦法</t>
  </si>
  <si>
    <t>北投</t>
  </si>
  <si>
    <t>資本門</t>
  </si>
  <si>
    <t>由111~112年度「111年度河濱公園設施檢修改善及新建工程」項下支應</t>
  </si>
  <si>
    <t>河川工程</t>
  </si>
  <si>
    <t>111</t>
  </si>
  <si>
    <t>03</t>
  </si>
  <si>
    <t>111009-1</t>
  </si>
  <si>
    <t>111年度河濱公園路面(北區)暨災後復原(淡水河淡5號疏散門至基隆河洲美大橋段)預約維護工程(112年度續約)</t>
  </si>
  <si>
    <t>1.臺北市河濱公園(北區)路面暨災後復原(淡水河淡5號疏散門</t>
  </si>
  <si>
    <t>14,926,035</t>
  </si>
  <si>
    <r>
      <rPr>
        <sz val="12"/>
        <rFont val="標楷體"/>
        <family val="4"/>
        <charset val="136"/>
      </rPr>
      <t xml:space="preserve">決標:14,920,000
上限:14,926,035
</t>
    </r>
    <r>
      <rPr>
        <sz val="12"/>
        <color rgb="FFFF0000"/>
        <rFont val="標楷體"/>
        <family val="4"/>
        <charset val="136"/>
      </rPr>
      <t>變更:20,546,035</t>
    </r>
  </si>
  <si>
    <t>111/12/31
19,917,300
96.94%</t>
  </si>
  <si>
    <t>冠錏營造有限公司
※ 李彥芬
* 廖泓遠
# 許清淵</t>
  </si>
  <si>
    <t>111/1/27</t>
  </si>
  <si>
    <t>111/4/13</t>
  </si>
  <si>
    <r>
      <rPr>
        <sz val="12"/>
        <rFont val="標楷體"/>
        <family val="4"/>
        <charset val="136"/>
      </rPr>
      <t xml:space="preserve">111/12/31
</t>
    </r>
    <r>
      <rPr>
        <sz val="12"/>
        <color rgb="FFFF0000"/>
        <rFont val="標楷體"/>
        <family val="4"/>
        <charset val="136"/>
      </rPr>
      <t>(112/1/12)</t>
    </r>
  </si>
  <si>
    <t>方曉芸</t>
  </si>
  <si>
    <r>
      <rPr>
        <b/>
        <sz val="12"/>
        <rFont val="標楷體"/>
        <family val="4"/>
        <charset val="136"/>
      </rPr>
      <t>共開立12</t>
    </r>
    <r>
      <rPr>
        <b/>
        <sz val="12"/>
        <color rgb="FFFF0000"/>
        <rFont val="標楷體"/>
        <family val="4"/>
        <charset val="136"/>
      </rPr>
      <t>張(累計：20,644,322元)</t>
    </r>
    <r>
      <rPr>
        <b/>
        <sz val="12"/>
        <rFont val="標楷體"/>
        <family val="4"/>
        <charset val="136"/>
      </rPr>
      <t xml:space="preserve">
未施工0張，施工中0張，已完工12張(已估驗12張，整理中0張，陳核中0張)
目前施作地點：</t>
    </r>
    <r>
      <rPr>
        <b/>
        <sz val="12"/>
        <color rgb="FFFF0000"/>
        <rFont val="標楷體"/>
        <family val="4"/>
        <charset val="136"/>
      </rPr>
      <t>通報單已全數施作完成，112/1/12申報竣工。</t>
    </r>
    <r>
      <rPr>
        <b/>
        <sz val="12"/>
        <rFont val="標楷體"/>
        <family val="4"/>
        <charset val="136"/>
      </rPr>
      <t xml:space="preserve">
是否須辦理變更設計■是□否
是否辦理完妥</t>
    </r>
    <r>
      <rPr>
        <b/>
        <sz val="12"/>
        <color rgb="FFFF0000"/>
        <rFont val="標楷體"/>
        <family val="4"/>
        <charset val="136"/>
      </rPr>
      <t>■是□否(第2次變更)</t>
    </r>
    <r>
      <rPr>
        <b/>
        <sz val="12"/>
        <rFont val="標楷體"/>
        <family val="4"/>
        <charset val="136"/>
      </rPr>
      <t xml:space="preserve">
是否須辦理工期檢討□是■否
是否辦理完妥□是□否</t>
    </r>
  </si>
  <si>
    <t>◎保險期限：112/5/15
◎估驗與實際進度差異10%以上原因：無</t>
  </si>
  <si>
    <t>113年度北區水利建造物檢修改善及災後復原(雙溪右岸至關渡水岸公園段)預約維護工程</t>
  </si>
  <si>
    <t>1.水利建造物：
(1)基隆河：右岸－雙溪匯流口至淡水河關渡省市交界處
(2)磺  溪：左、右岸
(3)磺港溪、貴子坑溪、水磨坑溪
2.災後復原：雙溪右岸至關渡水岸公園段，含基隆河右岸支流河川</t>
  </si>
  <si>
    <t>113/2/1</t>
  </si>
  <si>
    <t>113/3/22</t>
  </si>
  <si>
    <t>113/12/31</t>
  </si>
  <si>
    <t>沈明勳</t>
  </si>
  <si>
    <t>◎保險期限：114/10/21
◎估驗與實際進度差異10%以上原因：無</t>
  </si>
  <si>
    <t>113年度北區河濱公園路面暨災後復原預約維護工程</t>
  </si>
  <si>
    <t>冠錏營造有限公司
※ 胡盈池
* 胡盈池
# 許清淵</t>
  </si>
  <si>
    <t>余成偉</t>
  </si>
  <si>
    <t>雨水下水道工程</t>
  </si>
  <si>
    <t>113年度雨水下水道預約維護工程(北投區）</t>
  </si>
  <si>
    <t xml:space="preserve">一、施工概要
1.新築箱涵
2.新築U型側溝
</t>
  </si>
  <si>
    <t>安宏營造有限公司
※ 蘇國榮
* 陳秀琴
# 陳祈本</t>
  </si>
  <si>
    <t>113/2/16</t>
  </si>
  <si>
    <t xml:space="preserve">◎保險期限：114/5/22
◎估驗與實際進度差異10%以上原因：無
</t>
  </si>
  <si>
    <t>04</t>
  </si>
  <si>
    <t>112007-1</t>
  </si>
  <si>
    <t xml:space="preserve">一、辦理雨水下水道人孔調升降及維護緊急工程
</t>
  </si>
  <si>
    <t>元裕營造有限公司
※ 鄭弘昇
* 吳麗真
# 曾世賢</t>
  </si>
  <si>
    <t>1.臺北市河濱公園路面暨災後復原</t>
    <phoneticPr fontId="21" type="noConversion"/>
  </si>
  <si>
    <t>決標:11,522,718
上限:11,522,718</t>
    <phoneticPr fontId="21" type="noConversion"/>
  </si>
  <si>
    <t>◎保險期限：114/3/31
◎估驗與實際進度差異10%以上原因：無</t>
    <phoneticPr fontId="21" type="noConversion"/>
  </si>
  <si>
    <t>113年度續約-(112）雨水下水道人孔調升降緊急搶修工程</t>
    <phoneticPr fontId="21" type="noConversion"/>
  </si>
  <si>
    <t>113/3/22</t>
    <phoneticPr fontId="21" type="noConversion"/>
  </si>
  <si>
    <t>決標:13,750,000
上限:14,227,236
變更:19,068,445</t>
    <phoneticPr fontId="21" type="noConversion"/>
  </si>
  <si>
    <t>◎保險期限：114/6/30
◎估驗與實際進度差異10%以上原因：無</t>
    <phoneticPr fontId="21" type="noConversion"/>
  </si>
  <si>
    <t>北投區光明路及泉源路口排水改善工程（光明路至中山路口）</t>
    <phoneticPr fontId="25" type="noConversion"/>
  </si>
  <si>
    <t>決標:8,261,461
上限:8,979,547</t>
    <phoneticPr fontId="25" type="noConversion"/>
  </si>
  <si>
    <t>113/3/26</t>
    <phoneticPr fontId="25" type="noConversion"/>
  </si>
  <si>
    <t>沈明勳</t>
    <phoneticPr fontId="25" type="noConversion"/>
  </si>
  <si>
    <t>0.00</t>
  </si>
  <si>
    <t>113/9/15</t>
    <phoneticPr fontId="21" type="noConversion"/>
  </si>
  <si>
    <t>114/1/22</t>
    <phoneticPr fontId="21" type="noConversion"/>
  </si>
  <si>
    <t>◎保險期限：114/12/31
◎估驗與實際進度差異10%以上原因：無</t>
    <phoneticPr fontId="21" type="noConversion"/>
  </si>
  <si>
    <t>邦興營造有限公司
※許念康
*謝岳霖
#馮志強</t>
    <phoneticPr fontId="25" type="noConversion"/>
  </si>
  <si>
    <t>目前施作：無施工
是否須辦理變更設計■是□否(第1次)
是否辦理完妥□是■否(變更設計議價前)
是否須辦理工期檢討□是■否
是否辦理完妥□是□否</t>
    <phoneticPr fontId="21" type="noConversion"/>
  </si>
  <si>
    <r>
      <t>資料截止日期:</t>
    </r>
    <r>
      <rPr>
        <b/>
        <sz val="12"/>
        <color rgb="FFFF0000"/>
        <rFont val="標楷體"/>
        <family val="4"/>
        <charset val="136"/>
      </rPr>
      <t>113年9月30日</t>
    </r>
    <phoneticPr fontId="21" type="noConversion"/>
  </si>
  <si>
    <t>久勝營造有限公司
※ 陳楨元
* 陳楨元
# 游上毅</t>
    <phoneticPr fontId="21" type="noConversion"/>
  </si>
  <si>
    <t>共開立9張(累計：16,886,326元)
未施工1張，施工中1張，已完工7張(已估驗6張，整理中0張，陳核中1張)
目前施作地點：磺溪左岸水防道路路面鋪設、標線復舊、石墩及矮牆修復
是否須辦理變更設計■是□否
是否辦理完妥■是□否
是否須辦理工期檢討□是■否
是否辦理完妥□是□否</t>
    <phoneticPr fontId="21" type="noConversion"/>
  </si>
  <si>
    <t xml:space="preserve">113/9/30
13,454,027
74.27%
113/10/31
(16,882,326)
(88.54%)  </t>
    <phoneticPr fontId="21" type="noConversion"/>
  </si>
  <si>
    <t>113/3/22</t>
    <phoneticPr fontId="21" type="noConversion"/>
  </si>
  <si>
    <t>113/9/30
7,991,004
73.00%
113/10/31
(8,132,215)
(74.29%)</t>
    <phoneticPr fontId="21" type="noConversion"/>
  </si>
  <si>
    <t>共開立4張(累計：8,560,896元)
未施工0張，施工中1張，已完工3張(已估驗1張，整理中0張，陳核中2張)
目前施作地點：景華街82號 、南港區興南街(168巷口)、內湖路2段253巷2弄2號、內湖路3段72巷51號等辦理人孔提升
是否須辦理變更設計□是■否
是否辦理完妥□是□否
是否須辦理工期檢討□是■否
是否辦理完妥□是□否</t>
    <phoneticPr fontId="21" type="noConversion"/>
  </si>
  <si>
    <t>113/2/1</t>
    <phoneticPr fontId="21" type="noConversion"/>
  </si>
  <si>
    <t>113/9/30
11,089
0.13%
113/10/31
(1,968,855)
(23.08%)</t>
    <phoneticPr fontId="21" type="noConversion"/>
  </si>
  <si>
    <t>決標:13,700,000
上限:13,785,074
變更:18,785,074</t>
    <phoneticPr fontId="21" type="noConversion"/>
  </si>
  <si>
    <r>
      <t>共開立22張(累計：13,606,261元)
未施工0張，施工中3張，已完工19張(已估驗17張，整理中2張，陳核中0張)
目前施作地點：大安路1段19巷4號鋼筋綁紮、模板組立、混凝土澆置及AC臨補作業</t>
    </r>
    <r>
      <rPr>
        <b/>
        <sz val="12"/>
        <color theme="1"/>
        <rFont val="標楷體"/>
        <family val="4"/>
        <charset val="136"/>
      </rPr>
      <t>。</t>
    </r>
    <r>
      <rPr>
        <b/>
        <sz val="12"/>
        <rFont val="標楷體"/>
        <family val="4"/>
        <charset val="136"/>
      </rPr>
      <t xml:space="preserve">
是否須辦理變更設計■是□否
是否辦理完妥■是□否
是否須辦理工期檢討□是■否
是否辦理完妥□是□否</t>
    </r>
    <phoneticPr fontId="21" type="noConversion"/>
  </si>
  <si>
    <t>共開立15張(累計：13,733,678元)
未施工0張，施工中0張，已完工14張(已估驗13張，整理中1張，陳核中0張)
目前施作地點：磺溪左岸、磺港溪左岸、洲美堤防段及北投區橋樑周邊堤防缺失改善及修復。
是否須辦理變更設計■是□否
是否辦理完妥■是□否
是否須辦理工期檢討□是■否
是否辦理完妥□是□否</t>
    <phoneticPr fontId="21" type="noConversion"/>
  </si>
  <si>
    <t>決標:9,000,000
上限:9,000,000
變更:13,320,000
變更:13,997,000</t>
    <phoneticPr fontId="21" type="noConversion"/>
  </si>
  <si>
    <t xml:space="preserve">113/9/30
10,968,041
61.46% 
113/10/31
(11,451,662)
(64.17%) </t>
    <phoneticPr fontId="21" type="noConversion"/>
  </si>
  <si>
    <t>113/9/30
12,164,232
91.48% 
113/10/31
(13,052,201)
(93.25%)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</si>
</sst>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0"/>
    <numFmt numFmtId="178" formatCode="000"/>
  </numFmts>
  <fonts count="29">
    <font>
      <sz val="12"/>
      <name val="新細明體"/>
      <charset val="134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b/>
      <sz val="22"/>
      <name val="新細明體"/>
      <family val="1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sz val="12"/>
      <name val="Arial"/>
      <family val="2"/>
    </font>
    <font>
      <sz val="8"/>
      <name val="標楷體"/>
      <family val="4"/>
      <charset val="136"/>
    </font>
    <font>
      <sz val="12"/>
      <color theme="1"/>
      <name val="Arial"/>
      <family val="2"/>
    </font>
    <font>
      <sz val="12"/>
      <color theme="1"/>
      <name val="標楷體"/>
      <family val="4"/>
      <charset val="136"/>
    </font>
    <font>
      <sz val="8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name val="標楷體"/>
      <family val="4"/>
      <charset val="136"/>
    </font>
    <font>
      <sz val="12"/>
      <color rgb="FFFF0000"/>
      <name val="Arial"/>
      <family val="2"/>
    </font>
    <font>
      <b/>
      <sz val="12"/>
      <color theme="1"/>
      <name val="標楷體"/>
      <family val="4"/>
      <charset val="136"/>
    </font>
    <font>
      <sz val="12"/>
      <color theme="1" tint="4.9989318521683403E-2"/>
      <name val="Arial"/>
      <family val="2"/>
    </font>
    <font>
      <sz val="12"/>
      <name val="Times New Roman"/>
      <family val="1"/>
    </font>
    <font>
      <b/>
      <sz val="22"/>
      <name val="Times New Roman"/>
      <family val="1"/>
    </font>
    <font>
      <b/>
      <sz val="12"/>
      <color rgb="FFFF0000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9"/>
      <name val="細明體"/>
      <family val="3"/>
      <charset val="136"/>
    </font>
    <font>
      <sz val="12"/>
      <color indexed="8"/>
      <name val="Arial"/>
      <family val="2"/>
    </font>
    <font>
      <sz val="12"/>
      <color indexed="8"/>
      <name val="標楷體"/>
      <family val="4"/>
    </font>
    <font>
      <sz val="8"/>
      <color indexed="8"/>
      <name val="標楷體"/>
      <family val="4"/>
    </font>
    <font>
      <sz val="12"/>
      <name val="標楷體"/>
      <family val="4"/>
    </font>
    <font>
      <b/>
      <sz val="12"/>
      <name val="標楷體"/>
      <family val="4"/>
      <charset val="136"/>
    </font>
    <font>
      <b/>
      <sz val="12"/>
      <color theme="1" tint="4.9989318521683403E-2"/>
      <name val="標楷體"/>
      <family val="4"/>
    </font>
    <font>
      <b/>
      <sz val="12"/>
      <color theme="1" tint="4.9989318521683403E-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2" fillId="0" borderId="0"/>
    <xf numFmtId="0" fontId="16" fillId="0" borderId="0"/>
    <xf numFmtId="0" fontId="2" fillId="3" borderId="6">
      <alignment vertical="center"/>
    </xf>
  </cellStyleXfs>
  <cellXfs count="111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2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>
      <alignment horizontal="center" vertical="top" wrapText="1"/>
    </xf>
    <xf numFmtId="0" fontId="3" fillId="0" borderId="0" xfId="3" applyNumberFormat="1" applyFont="1" applyFill="1" applyBorder="1"/>
    <xf numFmtId="0" fontId="3" fillId="0" borderId="0" xfId="3" applyNumberFormat="1" applyFont="1" applyFill="1" applyBorder="1" applyAlignment="1">
      <alignment horizontal="center" vertical="top"/>
    </xf>
    <xf numFmtId="0" fontId="3" fillId="0" borderId="0" xfId="3" applyNumberFormat="1" applyFont="1" applyFill="1" applyBorder="1" applyAlignment="1">
      <alignment horizontal="center" vertical="top" wrapText="1"/>
    </xf>
    <xf numFmtId="0" fontId="3" fillId="0" borderId="0" xfId="3" applyNumberFormat="1" applyFont="1" applyFill="1" applyBorder="1" applyAlignment="1">
      <alignment horizontal="distributed" vertical="distributed"/>
    </xf>
    <xf numFmtId="0" fontId="4" fillId="0" borderId="0" xfId="3" applyNumberFormat="1" applyFont="1" applyFill="1" applyBorder="1"/>
    <xf numFmtId="0" fontId="4" fillId="0" borderId="0" xfId="3" applyNumberFormat="1" applyFont="1" applyFill="1" applyBorder="1" applyAlignment="1">
      <alignment horizontal="center" vertical="distributed" wrapText="1"/>
    </xf>
    <xf numFmtId="0" fontId="4" fillId="0" borderId="2" xfId="3" applyNumberFormat="1" applyFont="1" applyFill="1" applyBorder="1" applyAlignment="1">
      <alignment horizontal="center" vertical="distributed" textRotation="255"/>
    </xf>
    <xf numFmtId="0" fontId="4" fillId="0" borderId="2" xfId="3" applyNumberFormat="1" applyFont="1" applyFill="1" applyBorder="1" applyAlignment="1">
      <alignment horizontal="center" vertical="distributed" textRotation="255" wrapText="1"/>
    </xf>
    <xf numFmtId="0" fontId="4" fillId="0" borderId="2" xfId="3" applyNumberFormat="1" applyFont="1" applyFill="1" applyBorder="1" applyAlignment="1">
      <alignment vertical="distributed" textRotation="255" wrapText="1"/>
    </xf>
    <xf numFmtId="178" fontId="4" fillId="0" borderId="2" xfId="0" applyNumberFormat="1" applyFont="1" applyFill="1" applyBorder="1" applyAlignment="1">
      <alignment horizontal="centerContinuous" vertical="center" wrapText="1"/>
    </xf>
    <xf numFmtId="177" fontId="4" fillId="0" borderId="2" xfId="0" applyNumberFormat="1" applyFont="1" applyFill="1" applyBorder="1" applyAlignment="1">
      <alignment horizontal="centerContinuous" vertical="center" wrapText="1"/>
    </xf>
    <xf numFmtId="0" fontId="6" fillId="0" borderId="2" xfId="2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vertical="center" textRotation="255"/>
    </xf>
    <xf numFmtId="0" fontId="4" fillId="0" borderId="2" xfId="1" applyNumberFormat="1" applyFont="1" applyFill="1" applyBorder="1" applyAlignment="1">
      <alignment horizontal="center" vertical="distributed" textRotation="255"/>
    </xf>
    <xf numFmtId="0" fontId="7" fillId="0" borderId="2" xfId="1" applyNumberFormat="1" applyFont="1" applyFill="1" applyBorder="1" applyAlignment="1">
      <alignment horizontal="center" vertical="distributed" textRotation="255"/>
    </xf>
    <xf numFmtId="0" fontId="4" fillId="0" borderId="2" xfId="1" applyNumberFormat="1" applyFont="1" applyFill="1" applyBorder="1" applyAlignment="1">
      <alignment horizontal="center" vertical="center" textRotation="255"/>
    </xf>
    <xf numFmtId="178" fontId="4" fillId="0" borderId="3" xfId="2" applyNumberFormat="1" applyFont="1" applyFill="1" applyBorder="1" applyAlignment="1">
      <alignment horizontal="center" vertical="center"/>
    </xf>
    <xf numFmtId="177" fontId="4" fillId="0" borderId="4" xfId="2" applyNumberFormat="1" applyFont="1" applyFill="1" applyBorder="1" applyAlignment="1">
      <alignment horizontal="center" vertical="center"/>
    </xf>
    <xf numFmtId="0" fontId="8" fillId="0" borderId="2" xfId="2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vertical="center" textRotation="255"/>
    </xf>
    <xf numFmtId="0" fontId="9" fillId="0" borderId="2" xfId="1" applyNumberFormat="1" applyFont="1" applyFill="1" applyBorder="1" applyAlignment="1">
      <alignment horizontal="center" vertical="distributed" textRotation="255"/>
    </xf>
    <xf numFmtId="0" fontId="10" fillId="0" borderId="2" xfId="1" applyNumberFormat="1" applyFont="1" applyFill="1" applyBorder="1" applyAlignment="1">
      <alignment horizontal="center" vertical="distributed" textRotation="255"/>
    </xf>
    <xf numFmtId="0" fontId="9" fillId="0" borderId="2" xfId="1" applyNumberFormat="1" applyFont="1" applyFill="1" applyBorder="1" applyAlignment="1">
      <alignment horizontal="center" vertical="center" textRotation="255"/>
    </xf>
    <xf numFmtId="178" fontId="9" fillId="0" borderId="3" xfId="2" applyNumberFormat="1" applyFont="1" applyFill="1" applyBorder="1" applyAlignment="1">
      <alignment horizontal="center" vertical="center"/>
    </xf>
    <xf numFmtId="177" fontId="9" fillId="0" borderId="4" xfId="2" applyNumberFormat="1" applyFont="1" applyFill="1" applyBorder="1" applyAlignment="1">
      <alignment horizontal="center" vertical="center"/>
    </xf>
    <xf numFmtId="0" fontId="6" fillId="2" borderId="2" xfId="2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vertical="center" textRotation="255"/>
    </xf>
    <xf numFmtId="0" fontId="4" fillId="2" borderId="2" xfId="1" applyNumberFormat="1" applyFont="1" applyFill="1" applyBorder="1" applyAlignment="1">
      <alignment horizontal="center" vertical="distributed" textRotation="255"/>
    </xf>
    <xf numFmtId="0" fontId="7" fillId="2" borderId="2" xfId="1" applyNumberFormat="1" applyFont="1" applyFill="1" applyBorder="1" applyAlignment="1">
      <alignment horizontal="center" vertical="distributed" textRotation="255"/>
    </xf>
    <xf numFmtId="0" fontId="4" fillId="2" borderId="2" xfId="1" applyNumberFormat="1" applyFont="1" applyFill="1" applyBorder="1" applyAlignment="1">
      <alignment horizontal="center" vertical="center" textRotation="255"/>
    </xf>
    <xf numFmtId="178" fontId="4" fillId="2" borderId="3" xfId="2" applyNumberFormat="1" applyFont="1" applyFill="1" applyBorder="1" applyAlignment="1">
      <alignment horizontal="center" vertical="center"/>
    </xf>
    <xf numFmtId="177" fontId="4" fillId="2" borderId="4" xfId="2" applyNumberFormat="1" applyFont="1" applyFill="1" applyBorder="1" applyAlignment="1">
      <alignment horizontal="center" vertical="center"/>
    </xf>
    <xf numFmtId="0" fontId="3" fillId="0" borderId="0" xfId="3" applyNumberFormat="1" applyFont="1" applyFill="1" applyBorder="1" applyAlignment="1">
      <alignment horizontal="left" vertical="center"/>
    </xf>
    <xf numFmtId="0" fontId="4" fillId="0" borderId="0" xfId="3" applyNumberFormat="1" applyFont="1" applyFill="1" applyBorder="1" applyAlignment="1">
      <alignment horizontal="right" vertical="center"/>
    </xf>
    <xf numFmtId="0" fontId="4" fillId="0" borderId="0" xfId="3" applyNumberFormat="1" applyFont="1" applyFill="1" applyBorder="1" applyAlignment="1">
      <alignment horizontal="left" vertical="top" wrapText="1"/>
    </xf>
    <xf numFmtId="0" fontId="4" fillId="0" borderId="0" xfId="3" applyNumberFormat="1" applyFont="1" applyFill="1" applyBorder="1" applyAlignment="1">
      <alignment horizontal="centerContinuous" wrapText="1"/>
    </xf>
    <xf numFmtId="0" fontId="4" fillId="0" borderId="0" xfId="3" applyNumberFormat="1" applyFont="1" applyFill="1" applyBorder="1" applyAlignment="1">
      <alignment horizontal="centerContinuous" vertical="top" wrapText="1"/>
    </xf>
    <xf numFmtId="0" fontId="4" fillId="0" borderId="0" xfId="0" applyNumberFormat="1" applyFont="1" applyFill="1" applyBorder="1"/>
    <xf numFmtId="176" fontId="4" fillId="0" borderId="2" xfId="0" applyNumberFormat="1" applyFont="1" applyFill="1" applyBorder="1" applyAlignment="1">
      <alignment horizontal="centerContinuous" vertical="center" wrapText="1"/>
    </xf>
    <xf numFmtId="0" fontId="4" fillId="0" borderId="2" xfId="3" applyNumberFormat="1" applyFont="1" applyFill="1" applyBorder="1" applyAlignment="1">
      <alignment horizontal="distributed" vertical="center"/>
    </xf>
    <xf numFmtId="0" fontId="4" fillId="0" borderId="2" xfId="3" applyNumberFormat="1" applyFont="1" applyFill="1" applyBorder="1" applyAlignment="1">
      <alignment horizontal="center" vertical="center" wrapText="1"/>
    </xf>
    <xf numFmtId="0" fontId="4" fillId="0" borderId="2" xfId="3" applyNumberFormat="1" applyFont="1" applyFill="1" applyBorder="1" applyAlignment="1">
      <alignment horizontal="distributed" vertical="center" wrapText="1"/>
    </xf>
    <xf numFmtId="176" fontId="4" fillId="0" borderId="5" xfId="2" applyNumberFormat="1" applyFont="1" applyFill="1" applyBorder="1" applyAlignment="1">
      <alignment horizontal="center" vertical="center"/>
    </xf>
    <xf numFmtId="0" fontId="4" fillId="0" borderId="2" xfId="2" applyNumberFormat="1" applyFont="1" applyFill="1" applyBorder="1" applyAlignment="1">
      <alignment horizontal="left" vertical="center" wrapText="1"/>
    </xf>
    <xf numFmtId="0" fontId="4" fillId="0" borderId="2" xfId="1" applyNumberFormat="1" applyFont="1" applyFill="1" applyBorder="1" applyAlignment="1">
      <alignment horizontal="left" vertical="top" wrapText="1"/>
    </xf>
    <xf numFmtId="3" fontId="4" fillId="0" borderId="2" xfId="2" applyNumberFormat="1" applyFont="1" applyFill="1" applyBorder="1" applyAlignment="1">
      <alignment horizontal="right" vertical="center"/>
    </xf>
    <xf numFmtId="3" fontId="4" fillId="0" borderId="2" xfId="2" applyNumberFormat="1" applyFont="1" applyFill="1" applyBorder="1" applyAlignment="1">
      <alignment horizontal="right" vertical="center" wrapText="1"/>
    </xf>
    <xf numFmtId="0" fontId="11" fillId="0" borderId="2" xfId="2" applyNumberFormat="1" applyFont="1" applyFill="1" applyBorder="1" applyAlignment="1">
      <alignment horizontal="left" vertical="center" wrapText="1"/>
    </xf>
    <xf numFmtId="0" fontId="12" fillId="0" borderId="2" xfId="2" applyNumberFormat="1" applyFont="1" applyFill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176" fontId="9" fillId="0" borderId="5" xfId="2" applyNumberFormat="1" applyFont="1" applyFill="1" applyBorder="1" applyAlignment="1">
      <alignment horizontal="center" vertical="center"/>
    </xf>
    <xf numFmtId="0" fontId="9" fillId="0" borderId="2" xfId="2" applyNumberFormat="1" applyFont="1" applyFill="1" applyBorder="1" applyAlignment="1">
      <alignment horizontal="left" vertical="center" wrapText="1"/>
    </xf>
    <xf numFmtId="0" fontId="10" fillId="0" borderId="2" xfId="1" applyNumberFormat="1" applyFont="1" applyFill="1" applyBorder="1" applyAlignment="1">
      <alignment horizontal="left" vertical="top" wrapText="1"/>
    </xf>
    <xf numFmtId="3" fontId="9" fillId="0" borderId="2" xfId="2" applyNumberFormat="1" applyFont="1" applyFill="1" applyBorder="1" applyAlignment="1">
      <alignment horizontal="right" vertical="center"/>
    </xf>
    <xf numFmtId="3" fontId="9" fillId="0" borderId="2" xfId="2" applyNumberFormat="1" applyFont="1" applyFill="1" applyBorder="1" applyAlignment="1">
      <alignment horizontal="right" vertical="center" wrapText="1"/>
    </xf>
    <xf numFmtId="0" fontId="11" fillId="2" borderId="2" xfId="2" applyNumberFormat="1" applyFont="1" applyFill="1" applyBorder="1" applyAlignment="1">
      <alignment horizontal="left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left" vertical="top" wrapText="1"/>
    </xf>
    <xf numFmtId="3" fontId="4" fillId="2" borderId="2" xfId="2" applyNumberFormat="1" applyFont="1" applyFill="1" applyBorder="1" applyAlignment="1">
      <alignment horizontal="right" vertical="center"/>
    </xf>
    <xf numFmtId="176" fontId="4" fillId="2" borderId="5" xfId="2" applyNumberFormat="1" applyFont="1" applyFill="1" applyBorder="1" applyAlignment="1">
      <alignment horizontal="center" vertical="center"/>
    </xf>
    <xf numFmtId="0" fontId="4" fillId="2" borderId="2" xfId="2" applyNumberFormat="1" applyFont="1" applyFill="1" applyBorder="1" applyAlignment="1">
      <alignment horizontal="left" vertical="center" wrapText="1"/>
    </xf>
    <xf numFmtId="0" fontId="4" fillId="2" borderId="2" xfId="1" applyNumberFormat="1" applyFont="1" applyFill="1" applyBorder="1" applyAlignment="1">
      <alignment horizontal="left" vertical="top" wrapText="1"/>
    </xf>
    <xf numFmtId="3" fontId="4" fillId="2" borderId="2" xfId="2" applyNumberFormat="1" applyFont="1" applyFill="1" applyBorder="1" applyAlignment="1">
      <alignment horizontal="right" vertical="center" wrapText="1"/>
    </xf>
    <xf numFmtId="0" fontId="12" fillId="2" borderId="2" xfId="2" applyNumberFormat="1" applyFont="1" applyFill="1" applyBorder="1" applyAlignment="1">
      <alignment horizontal="left" vertical="center" wrapText="1"/>
    </xf>
    <xf numFmtId="0" fontId="6" fillId="2" borderId="2" xfId="1" applyNumberFormat="1" applyFont="1" applyFill="1" applyBorder="1" applyAlignment="1">
      <alignment horizontal="center" vertical="center" wrapText="1"/>
    </xf>
    <xf numFmtId="0" fontId="3" fillId="0" borderId="0" xfId="3" applyNumberFormat="1" applyFont="1" applyFill="1" applyBorder="1" applyAlignment="1">
      <alignment vertical="center" wrapText="1"/>
    </xf>
    <xf numFmtId="0" fontId="3" fillId="0" borderId="0" xfId="3" applyNumberFormat="1" applyFont="1" applyFill="1" applyBorder="1" applyAlignment="1">
      <alignment horizontal="center" vertical="center" textRotation="255"/>
    </xf>
    <xf numFmtId="0" fontId="4" fillId="0" borderId="0" xfId="3" applyNumberFormat="1" applyFont="1" applyFill="1" applyBorder="1" applyAlignment="1">
      <alignment horizontal="centerContinuous" vertical="top"/>
    </xf>
    <xf numFmtId="0" fontId="4" fillId="0" borderId="0" xfId="3" applyNumberFormat="1" applyFont="1" applyFill="1" applyBorder="1" applyAlignment="1">
      <alignment horizontal="center" vertical="top"/>
    </xf>
    <xf numFmtId="0" fontId="4" fillId="0" borderId="2" xfId="3" applyNumberFormat="1" applyFont="1" applyFill="1" applyBorder="1" applyAlignment="1">
      <alignment horizontal="center" vertical="distributed" wrapText="1"/>
    </xf>
    <xf numFmtId="0" fontId="4" fillId="0" borderId="2" xfId="3" applyNumberFormat="1" applyFont="1" applyFill="1" applyBorder="1" applyAlignment="1">
      <alignment horizont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57" fontId="12" fillId="0" borderId="2" xfId="2" applyNumberFormat="1" applyFont="1" applyFill="1" applyBorder="1" applyAlignment="1">
      <alignment horizontal="center" vertical="center" wrapText="1"/>
    </xf>
    <xf numFmtId="0" fontId="13" fillId="0" borderId="2" xfId="1" applyNumberFormat="1" applyFont="1" applyFill="1" applyBorder="1" applyAlignment="1">
      <alignment horizontal="center" vertical="center" wrapText="1"/>
    </xf>
    <xf numFmtId="0" fontId="12" fillId="0" borderId="2" xfId="2" applyNumberFormat="1" applyFont="1" applyFill="1" applyBorder="1" applyAlignment="1">
      <alignment horizontal="left" vertical="top" wrapText="1"/>
    </xf>
    <xf numFmtId="0" fontId="9" fillId="0" borderId="2" xfId="1" applyNumberFormat="1" applyFont="1" applyFill="1" applyBorder="1" applyAlignment="1">
      <alignment horizontal="center" vertical="center" wrapText="1"/>
    </xf>
    <xf numFmtId="57" fontId="14" fillId="0" borderId="2" xfId="2" applyNumberFormat="1" applyFont="1" applyFill="1" applyBorder="1" applyAlignment="1">
      <alignment horizontal="center" vertical="center" wrapText="1"/>
    </xf>
    <xf numFmtId="0" fontId="15" fillId="0" borderId="2" xfId="1" applyNumberFormat="1" applyFont="1" applyFill="1" applyBorder="1" applyAlignment="1">
      <alignment horizontal="center" vertical="center" wrapText="1"/>
    </xf>
    <xf numFmtId="0" fontId="12" fillId="2" borderId="2" xfId="2" applyNumberFormat="1" applyFont="1" applyFill="1" applyBorder="1" applyAlignment="1">
      <alignment horizontal="left" vertical="top" wrapText="1"/>
    </xf>
    <xf numFmtId="0" fontId="15" fillId="2" borderId="2" xfId="1" applyNumberFormat="1" applyFont="1" applyFill="1" applyBorder="1" applyAlignment="1">
      <alignment horizontal="center" vertical="center" wrapText="1"/>
    </xf>
    <xf numFmtId="0" fontId="14" fillId="0" borderId="2" xfId="2" applyNumberFormat="1" applyFont="1" applyFill="1" applyBorder="1" applyAlignment="1">
      <alignment horizontal="left" vertical="top" wrapText="1"/>
    </xf>
    <xf numFmtId="0" fontId="4" fillId="0" borderId="2" xfId="3" quotePrefix="1" applyNumberFormat="1" applyFont="1" applyFill="1" applyBorder="1" applyAlignment="1">
      <alignment horizontal="distributed" vertical="center"/>
    </xf>
    <xf numFmtId="0" fontId="12" fillId="0" borderId="0" xfId="3" applyNumberFormat="1" applyFont="1" applyFill="1" applyBorder="1" applyAlignment="1">
      <alignment horizontal="center" vertical="center"/>
    </xf>
    <xf numFmtId="0" fontId="22" fillId="0" borderId="7" xfId="2" quotePrefix="1" applyNumberFormat="1" applyFont="1" applyFill="1" applyBorder="1" applyAlignment="1">
      <alignment horizontal="center" vertical="center"/>
    </xf>
    <xf numFmtId="0" fontId="23" fillId="0" borderId="7" xfId="1" applyNumberFormat="1" applyFont="1" applyFill="1" applyBorder="1" applyAlignment="1">
      <alignment vertical="center" textRotation="255"/>
    </xf>
    <xf numFmtId="0" fontId="23" fillId="0" borderId="7" xfId="1" applyNumberFormat="1" applyFont="1" applyFill="1" applyBorder="1" applyAlignment="1">
      <alignment horizontal="center" vertical="distributed" textRotation="255"/>
    </xf>
    <xf numFmtId="0" fontId="24" fillId="0" borderId="7" xfId="1" applyNumberFormat="1" applyFont="1" applyFill="1" applyBorder="1" applyAlignment="1">
      <alignment horizontal="center" vertical="distributed" textRotation="255"/>
    </xf>
    <xf numFmtId="0" fontId="22" fillId="0" borderId="7" xfId="2" applyNumberFormat="1" applyFont="1" applyFill="1" applyBorder="1" applyAlignment="1">
      <alignment horizontal="center" vertical="center"/>
    </xf>
    <xf numFmtId="178" fontId="23" fillId="0" borderId="8" xfId="2" applyNumberFormat="1" applyFont="1" applyFill="1" applyBorder="1" applyAlignment="1">
      <alignment horizontal="center" vertical="center"/>
    </xf>
    <xf numFmtId="177" fontId="23" fillId="0" borderId="9" xfId="2" applyNumberFormat="1" applyFont="1" applyFill="1" applyBorder="1" applyAlignment="1">
      <alignment horizontal="center" vertical="center"/>
    </xf>
    <xf numFmtId="176" fontId="23" fillId="0" borderId="10" xfId="2" applyNumberFormat="1" applyFont="1" applyFill="1" applyBorder="1" applyAlignment="1">
      <alignment horizontal="center" vertical="center"/>
    </xf>
    <xf numFmtId="0" fontId="23" fillId="0" borderId="7" xfId="2" applyNumberFormat="1" applyFont="1" applyFill="1" applyBorder="1" applyAlignment="1">
      <alignment horizontal="left" vertical="center" wrapText="1"/>
    </xf>
    <xf numFmtId="0" fontId="23" fillId="0" borderId="7" xfId="1" applyNumberFormat="1" applyFont="1" applyFill="1" applyBorder="1" applyAlignment="1">
      <alignment horizontal="left" vertical="top" wrapText="1"/>
    </xf>
    <xf numFmtId="3" fontId="23" fillId="0" borderId="7" xfId="2" applyNumberFormat="1" applyFont="1" applyFill="1" applyBorder="1" applyAlignment="1">
      <alignment horizontal="right" vertical="center"/>
    </xf>
    <xf numFmtId="3" fontId="23" fillId="0" borderId="7" xfId="2" applyNumberFormat="1" applyFont="1" applyFill="1" applyBorder="1" applyAlignment="1">
      <alignment horizontal="right" vertical="center" wrapText="1"/>
    </xf>
    <xf numFmtId="0" fontId="22" fillId="0" borderId="7" xfId="1" applyNumberFormat="1" applyFont="1" applyFill="1" applyBorder="1" applyAlignment="1">
      <alignment horizontal="center" vertical="center" wrapText="1"/>
    </xf>
    <xf numFmtId="0" fontId="8" fillId="0" borderId="7" xfId="1" applyNumberFormat="1" applyFont="1" applyFill="1" applyBorder="1" applyAlignment="1">
      <alignment horizontal="center" vertical="center" wrapText="1"/>
    </xf>
    <xf numFmtId="0" fontId="9" fillId="0" borderId="7" xfId="1" applyNumberFormat="1" applyFont="1" applyFill="1" applyBorder="1" applyAlignment="1">
      <alignment horizontal="center" vertical="center" wrapText="1"/>
    </xf>
    <xf numFmtId="0" fontId="22" fillId="0" borderId="7" xfId="1" quotePrefix="1" applyNumberFormat="1" applyFont="1" applyFill="1" applyBorder="1" applyAlignment="1">
      <alignment horizontal="center" vertical="center" wrapText="1"/>
    </xf>
    <xf numFmtId="0" fontId="26" fillId="0" borderId="7" xfId="2" applyNumberFormat="1" applyFont="1" applyFill="1" applyBorder="1" applyAlignment="1">
      <alignment horizontal="left" vertical="top" wrapText="1"/>
    </xf>
    <xf numFmtId="57" fontId="27" fillId="0" borderId="7" xfId="2" applyNumberFormat="1" applyFont="1" applyFill="1" applyBorder="1" applyAlignment="1">
      <alignment horizontal="center" vertical="center" wrapText="1"/>
    </xf>
    <xf numFmtId="57" fontId="28" fillId="0" borderId="7" xfId="2" applyNumberFormat="1" applyFont="1" applyFill="1" applyBorder="1" applyAlignment="1">
      <alignment horizontal="center" vertical="center" wrapText="1"/>
    </xf>
    <xf numFmtId="0" fontId="27" fillId="0" borderId="7" xfId="2" applyNumberFormat="1" applyFont="1" applyFill="1" applyBorder="1" applyAlignment="1">
      <alignment horizontal="left" vertical="center" wrapText="1"/>
    </xf>
    <xf numFmtId="0" fontId="5" fillId="0" borderId="1" xfId="3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/>
  </cellXfs>
  <cellStyles count="5">
    <cellStyle name="一般" xfId="0" builtinId="0"/>
    <cellStyle name="一般 2" xfId="2" xr:uid="{00000000-0005-0000-0000-000001000000}"/>
    <cellStyle name="一般_10月份週報表" xfId="3" xr:uid="{00000000-0005-0000-0000-000002000000}"/>
    <cellStyle name="一般_週報表" xfId="1" xr:uid="{00000000-0005-0000-0000-000003000000}"/>
    <cellStyle name="備註 2" xfId="4" xr:uid="{00000000-0005-0000-0000-000004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進度表!#REF!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資料截止日期:113年9月30日</c:v>
                  </c:pt>
                </c:lvl>
              </c:multiLvlStrCache>
            </c:multiLvlStrRef>
          </c:cat>
          <c:val>
            <c:numRef>
              <c:f>進度表!#REF!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5-4DE4-A4E9-D386BC05F5F2}"/>
            </c:ext>
          </c:extLst>
        </c:ser>
        <c:ser>
          <c:idx val="1"/>
          <c:order val="1"/>
          <c:tx>
            <c:strRef>
              <c:f>進度表!$A$4:$I$4</c:f>
              <c:strCache>
                <c:ptCount val="9"/>
                <c:pt idx="0">
                  <c:v>4</c:v>
                </c:pt>
                <c:pt idx="1">
                  <c:v>北投</c:v>
                </c:pt>
                <c:pt idx="2">
                  <c:v>資本門</c:v>
                </c:pt>
                <c:pt idx="3">
                  <c:v>由111~112年度「111年度河濱公園設施檢修改善及新建工程」項下支應</c:v>
                </c:pt>
                <c:pt idx="4">
                  <c:v>河川工程</c:v>
                </c:pt>
                <c:pt idx="5">
                  <c:v>111</c:v>
                </c:pt>
                <c:pt idx="6">
                  <c:v>111</c:v>
                </c:pt>
                <c:pt idx="7">
                  <c:v>03</c:v>
                </c:pt>
                <c:pt idx="8">
                  <c:v>111009-1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資料截止日期:113年9月30日</c:v>
                  </c:pt>
                </c:lvl>
              </c:multiLvlStrCache>
            </c:multiLvlStrRef>
          </c:cat>
          <c:val>
            <c:numRef>
              <c:f>進度表!$J$4:$Y$4</c:f>
            </c:numRef>
          </c:val>
          <c:extLst>
            <c:ext xmlns:c16="http://schemas.microsoft.com/office/drawing/2014/chart" uri="{C3380CC4-5D6E-409C-BE32-E72D297353CC}">
              <c16:uniqueId val="{00000001-0B65-4DE4-A4E9-D386BC05F5F2}"/>
            </c:ext>
          </c:extLst>
        </c:ser>
        <c:ser>
          <c:idx val="2"/>
          <c:order val="2"/>
          <c:tx>
            <c:strRef>
              <c:f>進度表!$A$6:$I$6</c:f>
              <c:strCache>
                <c:ptCount val="9"/>
                <c:pt idx="0">
                  <c:v>2</c:v>
                </c:pt>
                <c:pt idx="1">
                  <c:v>北投</c:v>
                </c:pt>
                <c:pt idx="2">
                  <c:v>資本門</c:v>
                </c:pt>
                <c:pt idx="4">
                  <c:v>河川工程</c:v>
                </c:pt>
                <c:pt idx="5">
                  <c:v>113</c:v>
                </c:pt>
                <c:pt idx="6">
                  <c:v>113</c:v>
                </c:pt>
                <c:pt idx="7">
                  <c:v>03</c:v>
                </c:pt>
                <c:pt idx="8">
                  <c:v>113017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資料截止日期:113年9月30日</c:v>
                  </c:pt>
                </c:lvl>
              </c:multiLvlStrCache>
            </c:multiLvlStrRef>
          </c:cat>
          <c:val>
            <c:numRef>
              <c:f>進度表!$J$6:$Y$6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#,##0">
                  <c:v>14227236</c:v>
                </c:pt>
                <c:pt idx="3" formatCode="#,##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[$-404]m/d/e">
                  <c:v>0</c:v>
                </c:pt>
                <c:pt idx="10">
                  <c:v>74.27</c:v>
                </c:pt>
                <c:pt idx="11">
                  <c:v>55.07</c:v>
                </c:pt>
                <c:pt idx="12">
                  <c:v>74.27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5-4DE4-A4E9-D386BC05F5F2}"/>
            </c:ext>
          </c:extLst>
        </c:ser>
        <c:ser>
          <c:idx val="3"/>
          <c:order val="3"/>
          <c:tx>
            <c:strRef>
              <c:f>進度表!#REF!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資料截止日期:113年9月30日</c:v>
                  </c:pt>
                </c:lvl>
              </c:multiLvlStrCache>
            </c:multiLvlStrRef>
          </c:cat>
          <c:val>
            <c:numRef>
              <c:f>進度表!#REF!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5-4DE4-A4E9-D386BC05F5F2}"/>
            </c:ext>
          </c:extLst>
        </c:ser>
        <c:ser>
          <c:idx val="4"/>
          <c:order val="4"/>
          <c:tx>
            <c:strRef>
              <c:f>進度表!$A$7:$I$7</c:f>
              <c:strCache>
                <c:ptCount val="9"/>
                <c:pt idx="0">
                  <c:v>3</c:v>
                </c:pt>
                <c:pt idx="1">
                  <c:v>北投</c:v>
                </c:pt>
                <c:pt idx="2">
                  <c:v>資本門</c:v>
                </c:pt>
                <c:pt idx="4">
                  <c:v>雨水下水道工程</c:v>
                </c:pt>
                <c:pt idx="5">
                  <c:v>113</c:v>
                </c:pt>
                <c:pt idx="6">
                  <c:v>113</c:v>
                </c:pt>
                <c:pt idx="7">
                  <c:v>03</c:v>
                </c:pt>
                <c:pt idx="8">
                  <c:v>113034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資料截止日期:113年9月30日</c:v>
                  </c:pt>
                </c:lvl>
              </c:multiLvlStrCache>
            </c:multiLvlStrRef>
          </c:cat>
          <c:val>
            <c:numRef>
              <c:f>進度表!$J$7:$Y$7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#,##0">
                  <c:v>13785074</c:v>
                </c:pt>
                <c:pt idx="3" formatCode="#,##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[$-404]m/d/e">
                  <c:v>0</c:v>
                </c:pt>
                <c:pt idx="10">
                  <c:v>61.46</c:v>
                </c:pt>
                <c:pt idx="11">
                  <c:v>90.5</c:v>
                </c:pt>
                <c:pt idx="12">
                  <c:v>61.46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65-4DE4-A4E9-D386BC05F5F2}"/>
            </c:ext>
          </c:extLst>
        </c:ser>
        <c:ser>
          <c:idx val="5"/>
          <c:order val="5"/>
          <c:tx>
            <c:strRef>
              <c:f>進度表!#REF!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資料截止日期:113年9月30日</c:v>
                  </c:pt>
                </c:lvl>
              </c:multiLvlStrCache>
            </c:multiLvlStrRef>
          </c:cat>
          <c:val>
            <c:numRef>
              <c:f>進度表!#REF!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65-4DE4-A4E9-D386BC05F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503040"/>
        <c:axId val="175092224"/>
      </c:barChart>
      <c:catAx>
        <c:axId val="236503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TW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092224"/>
        <c:crosses val="autoZero"/>
        <c:auto val="1"/>
        <c:lblAlgn val="ctr"/>
        <c:lblOffset val="100"/>
        <c:noMultiLvlLbl val="0"/>
      </c:catAx>
      <c:valAx>
        <c:axId val="17509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TW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50304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TW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txPr>
    <a:bodyPr/>
    <a:lstStyle/>
    <a:p>
      <a:pPr>
        <a:defRPr lang="zh-TW"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377100</xdr:colOff>
      <xdr:row>29</xdr:row>
      <xdr:rowOff>20550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0</xdr:row>
      <xdr:rowOff>0</xdr:rowOff>
    </xdr:from>
    <xdr:to>
      <xdr:col>18</xdr:col>
      <xdr:colOff>685800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13001625" y="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</a:rPr>
            <a:t>監工人員</a:t>
          </a:r>
        </a:p>
      </xdr:txBody>
    </xdr:sp>
    <xdr:clientData/>
  </xdr:twoCellAnchor>
  <xdr:twoCellAnchor>
    <xdr:from>
      <xdr:col>18</xdr:col>
      <xdr:colOff>38100</xdr:colOff>
      <xdr:row>0</xdr:row>
      <xdr:rowOff>0</xdr:rowOff>
    </xdr:from>
    <xdr:to>
      <xdr:col>18</xdr:col>
      <xdr:colOff>685800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>
        <a:xfrm>
          <a:off x="12992100" y="0"/>
          <a:ext cx="647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*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  <a:cs typeface="Times New Roman" panose="02020603050405020304" pitchFamily="12"/>
            </a:rPr>
            <a:t>工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Times New Roman" panose="02020603050405020304" pitchFamily="12"/>
              <a:ea typeface="新細明體" panose="02020500000000000000" pitchFamily="7" charset="-120"/>
              <a:cs typeface="Times New Roman" panose="02020603050405020304" pitchFamily="12"/>
            </a:rPr>
            <a:t>
            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  <a:cs typeface="Times New Roman" panose="02020603050405020304" pitchFamily="12"/>
            </a:rPr>
            <a:t>地</a:t>
          </a:r>
        </a:p>
        <a:p>
          <a:pPr algn="l" rtl="0">
            <a:defRPr sz="1000"/>
          </a:pPr>
          <a:r>
            <a:rPr lang="zh-TW" altLang="en-US" sz="11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  <a:cs typeface="Times New Roman" panose="02020603050405020304" pitchFamily="12"/>
            </a:rPr>
            <a:t>負   責   人</a:t>
          </a:r>
          <a:endParaRPr lang="zh-TW" altLang="en-US" sz="1200" b="0" i="0" u="none" strike="noStrike" baseline="0">
            <a:solidFill>
              <a:srgbClr val="000000"/>
            </a:solidFill>
            <a:latin typeface="新細明體" panose="02020500000000000000" pitchFamily="7" charset="-120"/>
            <a:ea typeface="新細明體" panose="02020500000000000000" pitchFamily="7" charset="-120"/>
            <a:cs typeface="Times New Roman" panose="02020603050405020304" pitchFamily="12"/>
          </a:endParaRPr>
        </a:p>
        <a:p>
          <a:pPr algn="l" rtl="0">
            <a:defRPr sz="1000"/>
          </a:pPr>
          <a:endParaRPr lang="zh-TW" altLang="en-US" sz="1200" b="0" i="0" u="none" strike="noStrike" baseline="0">
            <a:solidFill>
              <a:srgbClr val="000000"/>
            </a:solidFill>
            <a:latin typeface="新細明體" panose="02020500000000000000" pitchFamily="7" charset="-120"/>
            <a:ea typeface="新細明體" panose="02020500000000000000" pitchFamily="7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127" zoomScaleNormal="127" workbookViewId="0"/>
  </sheetViews>
  <sheetFormatPr defaultColWidth="9" defaultRowHeight="16.5"/>
  <sheetData/>
  <phoneticPr fontId="21" type="noConversion"/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9"/>
  <sheetViews>
    <sheetView tabSelected="1" zoomScale="85" zoomScaleNormal="85" workbookViewId="0">
      <pane xSplit="10" ySplit="3" topLeftCell="K4" activePane="bottomRight" state="frozen"/>
      <selection pane="topRight"/>
      <selection pane="bottomLeft"/>
      <selection pane="bottomRight" activeCell="A7" sqref="A7:XFD7"/>
    </sheetView>
  </sheetViews>
  <sheetFormatPr defaultColWidth="9" defaultRowHeight="16.5"/>
  <cols>
    <col min="1" max="1" width="3.5" style="3" customWidth="1"/>
    <col min="2" max="2" width="3.375" style="3" customWidth="1"/>
    <col min="3" max="3" width="3.375" style="4" customWidth="1"/>
    <col min="4" max="4" width="5.75" style="5" customWidth="1"/>
    <col min="5" max="5" width="3.5" style="3" customWidth="1"/>
    <col min="6" max="8" width="4.5" style="3" customWidth="1"/>
    <col min="9" max="9" width="8.25" style="3" customWidth="1"/>
    <col min="10" max="10" width="21.75" style="3" customWidth="1"/>
    <col min="11" max="11" width="13.25" style="3" customWidth="1"/>
    <col min="12" max="12" width="13.75" style="3" customWidth="1"/>
    <col min="13" max="13" width="18.75" style="3" customWidth="1"/>
    <col min="14" max="14" width="17.5" style="3" customWidth="1"/>
    <col min="15" max="15" width="11.5" style="3" customWidth="1"/>
    <col min="16" max="16" width="9.125" style="3" customWidth="1"/>
    <col min="17" max="17" width="10" style="3" customWidth="1"/>
    <col min="18" max="18" width="13.125" style="3" customWidth="1"/>
    <col min="19" max="19" width="10.5" style="3" customWidth="1"/>
    <col min="20" max="21" width="8.875" style="3" customWidth="1"/>
    <col min="22" max="22" width="8.125" style="3" customWidth="1"/>
    <col min="23" max="23" width="6.75" style="3" customWidth="1"/>
    <col min="24" max="24" width="37.5" style="3" customWidth="1"/>
    <col min="25" max="25" width="25.25" style="3" customWidth="1"/>
    <col min="26" max="26" width="9" style="3"/>
    <col min="27" max="27" width="19.375" style="3" customWidth="1"/>
    <col min="28" max="28" width="11.125" style="3" customWidth="1"/>
    <col min="29" max="16384" width="9" style="3"/>
  </cols>
  <sheetData>
    <row r="1" spans="1:25" ht="29.25" hidden="1" customHeight="1">
      <c r="A1" s="6"/>
      <c r="B1" s="6"/>
      <c r="C1" s="7"/>
      <c r="D1" s="8"/>
      <c r="E1" s="6"/>
      <c r="F1" s="9"/>
      <c r="G1" s="6"/>
      <c r="H1" s="6"/>
      <c r="I1" s="9"/>
      <c r="J1" s="38" t="s">
        <v>0</v>
      </c>
      <c r="K1" s="6"/>
      <c r="L1" s="9"/>
      <c r="M1" s="9"/>
      <c r="N1" s="9"/>
      <c r="O1" s="9"/>
      <c r="P1" s="9"/>
      <c r="Q1" s="9"/>
      <c r="R1" s="9"/>
      <c r="S1" s="9"/>
      <c r="T1" s="9"/>
      <c r="U1" s="71"/>
      <c r="V1" s="71"/>
      <c r="W1" s="6"/>
      <c r="X1" s="72"/>
      <c r="Y1" s="6"/>
    </row>
    <row r="2" spans="1:25" ht="27.75" customHeight="1">
      <c r="A2" s="10"/>
      <c r="B2" s="11"/>
      <c r="C2" s="109" t="s">
        <v>1</v>
      </c>
      <c r="D2" s="110"/>
      <c r="E2" s="110"/>
      <c r="F2" s="110"/>
      <c r="G2" s="110"/>
      <c r="H2" s="110"/>
      <c r="I2" s="110"/>
      <c r="J2" s="110"/>
      <c r="K2" s="39"/>
      <c r="L2" s="40"/>
      <c r="M2" s="41"/>
      <c r="N2" s="41"/>
      <c r="O2" s="42"/>
      <c r="P2" s="43"/>
      <c r="Q2" s="73"/>
      <c r="R2" s="73"/>
      <c r="S2" s="42"/>
      <c r="T2" s="74"/>
      <c r="U2" s="10"/>
      <c r="V2" s="10"/>
      <c r="W2" s="43"/>
      <c r="X2" s="88" t="s">
        <v>81</v>
      </c>
      <c r="Y2" s="10"/>
    </row>
    <row r="3" spans="1:25" ht="90.75" customHeight="1">
      <c r="A3" s="12" t="s">
        <v>2</v>
      </c>
      <c r="B3" s="13" t="s">
        <v>3</v>
      </c>
      <c r="C3" s="12" t="s">
        <v>4</v>
      </c>
      <c r="D3" s="13" t="s">
        <v>5</v>
      </c>
      <c r="E3" s="13" t="s">
        <v>6</v>
      </c>
      <c r="F3" s="14" t="s">
        <v>7</v>
      </c>
      <c r="G3" s="15" t="s">
        <v>8</v>
      </c>
      <c r="H3" s="16"/>
      <c r="I3" s="44"/>
      <c r="J3" s="87" t="s">
        <v>9</v>
      </c>
      <c r="K3" s="45" t="s">
        <v>10</v>
      </c>
      <c r="L3" s="46" t="s">
        <v>11</v>
      </c>
      <c r="M3" s="47" t="s">
        <v>12</v>
      </c>
      <c r="N3" s="47" t="s">
        <v>13</v>
      </c>
      <c r="O3" s="46" t="s">
        <v>14</v>
      </c>
      <c r="P3" s="46" t="s">
        <v>15</v>
      </c>
      <c r="Q3" s="46" t="s">
        <v>16</v>
      </c>
      <c r="R3" s="46" t="s">
        <v>17</v>
      </c>
      <c r="S3" s="75" t="s">
        <v>18</v>
      </c>
      <c r="T3" s="76" t="s">
        <v>19</v>
      </c>
      <c r="U3" s="76" t="s">
        <v>20</v>
      </c>
      <c r="V3" s="76" t="s">
        <v>21</v>
      </c>
      <c r="W3" s="76" t="s">
        <v>22</v>
      </c>
      <c r="X3" s="47" t="s">
        <v>23</v>
      </c>
      <c r="Y3" s="47" t="s">
        <v>24</v>
      </c>
    </row>
    <row r="4" spans="1:25" ht="192.75" hidden="1" customHeight="1">
      <c r="A4" s="17">
        <v>4</v>
      </c>
      <c r="B4" s="18" t="s">
        <v>25</v>
      </c>
      <c r="C4" s="19" t="s">
        <v>26</v>
      </c>
      <c r="D4" s="20" t="s">
        <v>27</v>
      </c>
      <c r="E4" s="21" t="s">
        <v>28</v>
      </c>
      <c r="F4" s="17">
        <v>111</v>
      </c>
      <c r="G4" s="22" t="s">
        <v>29</v>
      </c>
      <c r="H4" s="23" t="s">
        <v>30</v>
      </c>
      <c r="I4" s="48" t="s">
        <v>31</v>
      </c>
      <c r="J4" s="49" t="s">
        <v>32</v>
      </c>
      <c r="K4" s="50" t="s">
        <v>33</v>
      </c>
      <c r="L4" s="51" t="s">
        <v>34</v>
      </c>
      <c r="M4" s="52" t="s">
        <v>35</v>
      </c>
      <c r="N4" s="53" t="s">
        <v>36</v>
      </c>
      <c r="O4" s="54" t="s">
        <v>37</v>
      </c>
      <c r="P4" s="55" t="s">
        <v>38</v>
      </c>
      <c r="Q4" s="55" t="s">
        <v>39</v>
      </c>
      <c r="R4" s="77" t="s">
        <v>40</v>
      </c>
      <c r="S4" s="78" t="s">
        <v>41</v>
      </c>
      <c r="T4" s="79">
        <v>100</v>
      </c>
      <c r="U4" s="79">
        <v>96.94</v>
      </c>
      <c r="V4" s="79">
        <v>100</v>
      </c>
      <c r="W4" s="79">
        <f>V4-T4</f>
        <v>0</v>
      </c>
      <c r="X4" s="80" t="s">
        <v>42</v>
      </c>
      <c r="Y4" s="80" t="s">
        <v>43</v>
      </c>
    </row>
    <row r="5" spans="1:25" s="1" customFormat="1" ht="209.25" customHeight="1">
      <c r="A5" s="24">
        <v>1</v>
      </c>
      <c r="B5" s="25" t="s">
        <v>25</v>
      </c>
      <c r="C5" s="26" t="s">
        <v>26</v>
      </c>
      <c r="D5" s="27"/>
      <c r="E5" s="28" t="s">
        <v>28</v>
      </c>
      <c r="F5" s="24">
        <v>113</v>
      </c>
      <c r="G5" s="29">
        <v>113</v>
      </c>
      <c r="H5" s="30" t="s">
        <v>30</v>
      </c>
      <c r="I5" s="56">
        <v>113023</v>
      </c>
      <c r="J5" s="57" t="s">
        <v>44</v>
      </c>
      <c r="K5" s="58" t="s">
        <v>45</v>
      </c>
      <c r="L5" s="59">
        <v>9000000</v>
      </c>
      <c r="M5" s="60" t="s">
        <v>93</v>
      </c>
      <c r="N5" s="61" t="s">
        <v>95</v>
      </c>
      <c r="O5" s="54" t="s">
        <v>82</v>
      </c>
      <c r="P5" s="62" t="s">
        <v>46</v>
      </c>
      <c r="Q5" s="62" t="s">
        <v>47</v>
      </c>
      <c r="R5" s="81" t="s">
        <v>48</v>
      </c>
      <c r="S5" s="82" t="s">
        <v>49</v>
      </c>
      <c r="T5" s="55">
        <v>91.48</v>
      </c>
      <c r="U5" s="55">
        <v>87.49</v>
      </c>
      <c r="V5" s="83">
        <v>91.48</v>
      </c>
      <c r="W5" s="62">
        <f>V5-T5</f>
        <v>0</v>
      </c>
      <c r="X5" s="84" t="s">
        <v>92</v>
      </c>
      <c r="Y5" s="86" t="s">
        <v>50</v>
      </c>
    </row>
    <row r="6" spans="1:25" ht="230.25" customHeight="1">
      <c r="A6" s="17">
        <v>2</v>
      </c>
      <c r="B6" s="18" t="s">
        <v>25</v>
      </c>
      <c r="C6" s="19" t="s">
        <v>26</v>
      </c>
      <c r="D6" s="20"/>
      <c r="E6" s="21" t="s">
        <v>28</v>
      </c>
      <c r="F6" s="17">
        <v>113</v>
      </c>
      <c r="G6" s="22">
        <v>113</v>
      </c>
      <c r="H6" s="23" t="s">
        <v>30</v>
      </c>
      <c r="I6" s="48">
        <v>113017</v>
      </c>
      <c r="J6" s="49" t="s">
        <v>51</v>
      </c>
      <c r="K6" s="63" t="s">
        <v>64</v>
      </c>
      <c r="L6" s="51">
        <v>14227236</v>
      </c>
      <c r="M6" s="52" t="s">
        <v>69</v>
      </c>
      <c r="N6" s="61" t="s">
        <v>84</v>
      </c>
      <c r="O6" s="54" t="s">
        <v>52</v>
      </c>
      <c r="P6" s="55" t="s">
        <v>46</v>
      </c>
      <c r="Q6" s="62" t="s">
        <v>68</v>
      </c>
      <c r="R6" s="81" t="s">
        <v>48</v>
      </c>
      <c r="S6" s="78" t="s">
        <v>53</v>
      </c>
      <c r="T6" s="55">
        <v>74.27</v>
      </c>
      <c r="U6" s="55">
        <v>55.07</v>
      </c>
      <c r="V6" s="83">
        <v>74.27</v>
      </c>
      <c r="W6" s="55">
        <f>V6-T6</f>
        <v>0</v>
      </c>
      <c r="X6" s="84" t="s">
        <v>83</v>
      </c>
      <c r="Y6" s="80" t="s">
        <v>66</v>
      </c>
    </row>
    <row r="7" spans="1:25" ht="231.75" customHeight="1">
      <c r="A7" s="17">
        <v>3</v>
      </c>
      <c r="B7" s="18" t="s">
        <v>25</v>
      </c>
      <c r="C7" s="19" t="s">
        <v>26</v>
      </c>
      <c r="D7" s="20"/>
      <c r="E7" s="21" t="s">
        <v>54</v>
      </c>
      <c r="F7" s="17">
        <v>113</v>
      </c>
      <c r="G7" s="22">
        <v>113</v>
      </c>
      <c r="H7" s="23">
        <v>3</v>
      </c>
      <c r="I7" s="48">
        <v>113034</v>
      </c>
      <c r="J7" s="49" t="s">
        <v>55</v>
      </c>
      <c r="K7" s="50" t="s">
        <v>56</v>
      </c>
      <c r="L7" s="64">
        <v>13785074</v>
      </c>
      <c r="M7" s="52" t="s">
        <v>90</v>
      </c>
      <c r="N7" s="53" t="s">
        <v>94</v>
      </c>
      <c r="O7" s="54" t="s">
        <v>57</v>
      </c>
      <c r="P7" s="55" t="s">
        <v>58</v>
      </c>
      <c r="Q7" s="62" t="s">
        <v>85</v>
      </c>
      <c r="R7" s="81" t="s">
        <v>48</v>
      </c>
      <c r="S7" s="78" t="s">
        <v>53</v>
      </c>
      <c r="T7" s="55">
        <v>61.46</v>
      </c>
      <c r="U7" s="55">
        <v>90.5</v>
      </c>
      <c r="V7" s="55">
        <v>61.46</v>
      </c>
      <c r="W7" s="55">
        <f>V7-T7</f>
        <v>0</v>
      </c>
      <c r="X7" s="84" t="s">
        <v>91</v>
      </c>
      <c r="Y7" s="80" t="s">
        <v>59</v>
      </c>
    </row>
    <row r="8" spans="1:25" s="2" customFormat="1" ht="300" customHeight="1">
      <c r="A8" s="31">
        <v>4</v>
      </c>
      <c r="B8" s="32" t="s">
        <v>25</v>
      </c>
      <c r="C8" s="33" t="s">
        <v>26</v>
      </c>
      <c r="D8" s="34"/>
      <c r="E8" s="35" t="s">
        <v>54</v>
      </c>
      <c r="F8" s="31">
        <v>112</v>
      </c>
      <c r="G8" s="36">
        <v>112</v>
      </c>
      <c r="H8" s="37" t="s">
        <v>60</v>
      </c>
      <c r="I8" s="65" t="s">
        <v>61</v>
      </c>
      <c r="J8" s="66" t="s">
        <v>67</v>
      </c>
      <c r="K8" s="67" t="s">
        <v>62</v>
      </c>
      <c r="L8" s="64">
        <v>11522718</v>
      </c>
      <c r="M8" s="68" t="s">
        <v>65</v>
      </c>
      <c r="N8" s="61" t="s">
        <v>86</v>
      </c>
      <c r="O8" s="69" t="s">
        <v>63</v>
      </c>
      <c r="P8" s="70" t="s">
        <v>88</v>
      </c>
      <c r="Q8" s="62" t="s">
        <v>47</v>
      </c>
      <c r="R8" s="81" t="s">
        <v>48</v>
      </c>
      <c r="S8" s="106" t="s">
        <v>74</v>
      </c>
      <c r="T8" s="70">
        <v>73</v>
      </c>
      <c r="U8" s="70">
        <v>72.5</v>
      </c>
      <c r="V8" s="85">
        <v>73</v>
      </c>
      <c r="W8" s="70">
        <f>V8-T8</f>
        <v>0</v>
      </c>
      <c r="X8" s="84" t="s">
        <v>87</v>
      </c>
      <c r="Y8" s="84" t="s">
        <v>70</v>
      </c>
    </row>
    <row r="9" spans="1:25" ht="131.25" customHeight="1">
      <c r="A9" s="89">
        <v>5</v>
      </c>
      <c r="B9" s="90" t="s">
        <v>25</v>
      </c>
      <c r="C9" s="91" t="s">
        <v>26</v>
      </c>
      <c r="D9" s="92"/>
      <c r="E9" s="35" t="s">
        <v>54</v>
      </c>
      <c r="F9" s="93">
        <v>113</v>
      </c>
      <c r="G9" s="94">
        <v>112</v>
      </c>
      <c r="H9" s="95">
        <v>3</v>
      </c>
      <c r="I9" s="96">
        <v>113057</v>
      </c>
      <c r="J9" s="97" t="s">
        <v>71</v>
      </c>
      <c r="K9" s="98" t="s">
        <v>71</v>
      </c>
      <c r="L9" s="99">
        <v>8979547</v>
      </c>
      <c r="M9" s="100" t="s">
        <v>72</v>
      </c>
      <c r="N9" s="61" t="s">
        <v>89</v>
      </c>
      <c r="O9" s="108" t="s">
        <v>79</v>
      </c>
      <c r="P9" s="101" t="s">
        <v>73</v>
      </c>
      <c r="Q9" s="102" t="s">
        <v>76</v>
      </c>
      <c r="R9" s="103" t="s">
        <v>77</v>
      </c>
      <c r="S9" s="107" t="s">
        <v>74</v>
      </c>
      <c r="T9" s="101">
        <v>0.13</v>
      </c>
      <c r="U9" s="101" t="s">
        <v>75</v>
      </c>
      <c r="V9" s="101">
        <v>0.13</v>
      </c>
      <c r="W9" s="104">
        <v>0</v>
      </c>
      <c r="X9" s="105" t="s">
        <v>80</v>
      </c>
      <c r="Y9" s="84" t="s">
        <v>78</v>
      </c>
    </row>
  </sheetData>
  <sortState xmlns:xlrd2="http://schemas.microsoft.com/office/spreadsheetml/2017/richdata2" ref="A4:AF50">
    <sortCondition ref="P4:P50"/>
  </sortState>
  <mergeCells count="1">
    <mergeCell ref="C2:J2"/>
  </mergeCells>
  <phoneticPr fontId="21" type="noConversion"/>
  <printOptions horizontalCentered="1"/>
  <pageMargins left="0.35416666666666702" right="0.35416666666666702" top="0.196527777777778" bottom="0.39305555555555599" header="0.31388888888888899" footer="0.31388888888888899"/>
  <pageSetup paperSize="8" scale="64" fitToHeight="0" orientation="landscape" r:id="rId1"/>
  <headerFooter alignWithMargins="0">
    <oddFooter>&amp;C第&amp;"Times New Roman,標準"&amp;P&amp;"新細明體,標準"頁共&amp;"Times New Roman,標準"&amp;N&amp;"新細明體,標準"頁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Chart1</vt:lpstr>
      <vt:lpstr>進度表</vt:lpstr>
      <vt:lpstr>進度表!Print_Area</vt:lpstr>
      <vt:lpstr>進度表!Print_Titles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周哲緯</cp:lastModifiedBy>
  <cp:lastPrinted>2022-08-30T13:35:00Z</cp:lastPrinted>
  <dcterms:created xsi:type="dcterms:W3CDTF">2013-12-11T01:16:00Z</dcterms:created>
  <dcterms:modified xsi:type="dcterms:W3CDTF">2024-09-27T05:55:27Z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