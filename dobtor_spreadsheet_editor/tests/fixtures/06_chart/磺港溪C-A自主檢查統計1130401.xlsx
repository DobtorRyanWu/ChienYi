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上溢北投\d\雲端\A.上溢\1.磺港溪再造C段護岸及步道整建工程（延壽橋至三合橋）\9.施工\4.自主檢查\自主檢查統計\"/>
    </mc:Choice>
  </mc:AlternateContent>
  <xr:revisionPtr revIDLastSave="0" documentId="13_ncr:1_{0730CDE4-C07F-4896-B16D-6544DFF604F8}" xr6:coauthVersionLast="47" xr6:coauthVersionMax="47" xr10:uidLastSave="{00000000-0000-0000-0000-000000000000}"/>
  <bookViews>
    <workbookView xWindow="-120" yWindow="-120" windowWidth="29040" windowHeight="15840" tabRatio="906" firstSheet="22" activeTab="34" xr2:uid="{A753E728-ACE6-45B9-A33B-94D4F700CDDB}"/>
  </bookViews>
  <sheets>
    <sheet name="統計表" sheetId="107" r:id="rId1"/>
    <sheet name="統計圖" sheetId="17" r:id="rId2"/>
    <sheet name="1.測量放樣" sheetId="7" r:id="rId3"/>
    <sheet name="2.土方開挖" sheetId="76" r:id="rId4"/>
    <sheet name="3.土方回填" sheetId="78" r:id="rId5"/>
    <sheet name="4.鋼筋" sheetId="79" r:id="rId6"/>
    <sheet name="5.模板" sheetId="80" r:id="rId7"/>
    <sheet name="6.混凝土" sheetId="81" r:id="rId8"/>
    <sheet name="7.植筋" sheetId="82" r:id="rId9"/>
    <sheet name="8.預力混凝土基樁" sheetId="83" r:id="rId10"/>
    <sheet name="9.砌塊石護岸" sheetId="84" r:id="rId11"/>
    <sheet name="10.低水護岸" sheetId="89" r:id="rId12"/>
    <sheet name="11.固床工" sheetId="86" r:id="rId13"/>
    <sheet name="12.全套管基樁" sheetId="87" r:id="rId14"/>
    <sheet name="13.鋼筋混凝土管工程" sheetId="88" r:id="rId15"/>
    <sheet name="14.鋼版樁" sheetId="85" r:id="rId16"/>
    <sheet name="15.路床 路基高程" sheetId="90" r:id="rId17"/>
    <sheet name="16.瀝青混凝土" sheetId="92" r:id="rId18"/>
    <sheet name="17.景觀鋪面(一)" sheetId="93" r:id="rId19"/>
    <sheet name="18.景觀鋪面(二)" sheetId="94" r:id="rId20"/>
    <sheet name="19.預鑄緣石" sheetId="95" r:id="rId21"/>
    <sheet name="20.鋼構工程吊裝" sheetId="96" r:id="rId22"/>
    <sheet name="21.鋼構工程塗裝" sheetId="97" r:id="rId23"/>
    <sheet name="22.排水設施(一)" sheetId="98" r:id="rId24"/>
    <sheet name="23.排水設施(二)" sheetId="99" r:id="rId25"/>
    <sheet name="24.木構造" sheetId="100" r:id="rId26"/>
    <sheet name="25.管路" sheetId="101" r:id="rId27"/>
    <sheet name="26.植栽(移植)" sheetId="102" r:id="rId28"/>
    <sheet name="27.植栽(新植)" sheetId="103" r:id="rId29"/>
    <sheet name="28.照明" sheetId="106" r:id="rId30"/>
    <sheet name="29.既有橋梁拆除" sheetId="104" r:id="rId31"/>
    <sheet name="鋼筋" sheetId="3" r:id="rId32"/>
    <sheet name="PC樁" sheetId="105" r:id="rId33"/>
    <sheet name="混凝土" sheetId="50" r:id="rId34"/>
    <sheet name="銲接鋼線網" sheetId="109" r:id="rId35"/>
    <sheet name="混凝土送驗單" sheetId="53" r:id="rId36"/>
  </sheets>
  <definedNames>
    <definedName name="_xlnm._FilterDatabase" localSheetId="13" hidden="1">'12.全套管基樁'!$A$4:$G$18</definedName>
    <definedName name="_xlnm._FilterDatabase" localSheetId="32" hidden="1">PC樁!$A$2:$F$3</definedName>
    <definedName name="_xlnm._FilterDatabase" localSheetId="33" hidden="1">混凝土!$A$1:$T$9</definedName>
    <definedName name="_xlnm._FilterDatabase" localSheetId="34" hidden="1">銲接鋼線網!$A$2:$F$3</definedName>
    <definedName name="_xlnm._FilterDatabase" localSheetId="31" hidden="1">鋼筋!$A$2:$J$18</definedName>
    <definedName name="_xlnm.Print_Area" localSheetId="2">'1.測量放樣'!$A$1:$E$34</definedName>
    <definedName name="_xlnm.Print_Area" localSheetId="11">'10.低水護岸'!$A$1:$E$34</definedName>
    <definedName name="_xlnm.Print_Area" localSheetId="12">'11.固床工'!$A$1:$E$34</definedName>
    <definedName name="_xlnm.Print_Area" localSheetId="13">'12.全套管基樁'!$A$1:$E$35</definedName>
    <definedName name="_xlnm.Print_Area" localSheetId="14">'13.鋼筋混凝土管工程'!$A$1:$E$34</definedName>
    <definedName name="_xlnm.Print_Area" localSheetId="15">'14.鋼版樁'!$A$1:$E$34</definedName>
    <definedName name="_xlnm.Print_Area" localSheetId="16">'15.路床 路基高程'!$A$1:$E$34</definedName>
    <definedName name="_xlnm.Print_Area" localSheetId="17">'16.瀝青混凝土'!$A$1:$E$34</definedName>
    <definedName name="_xlnm.Print_Area" localSheetId="18">'17.景觀鋪面(一)'!$A$1:$E$34</definedName>
    <definedName name="_xlnm.Print_Area" localSheetId="19">'18.景觀鋪面(二)'!$A$1:$E$34</definedName>
    <definedName name="_xlnm.Print_Area" localSheetId="20">'19.預鑄緣石'!$A$1:$E$34</definedName>
    <definedName name="_xlnm.Print_Area" localSheetId="3">'2.土方開挖'!$A$1:$E$34</definedName>
    <definedName name="_xlnm.Print_Area" localSheetId="21">'20.鋼構工程吊裝'!$A$1:$E$34</definedName>
    <definedName name="_xlnm.Print_Area" localSheetId="22">'21.鋼構工程塗裝'!$A$1:$E$34</definedName>
    <definedName name="_xlnm.Print_Area" localSheetId="23">'22.排水設施(一)'!$A$1:$E$34</definedName>
    <definedName name="_xlnm.Print_Area" localSheetId="24">'23.排水設施(二)'!$A$1:$E$34</definedName>
    <definedName name="_xlnm.Print_Area" localSheetId="25">'24.木構造'!$A$1:$E$34</definedName>
    <definedName name="_xlnm.Print_Area" localSheetId="26">'25.管路'!$A$1:$E$34</definedName>
    <definedName name="_xlnm.Print_Area" localSheetId="27">'26.植栽(移植)'!$A$1:$E$34</definedName>
    <definedName name="_xlnm.Print_Area" localSheetId="28">'27.植栽(新植)'!$A$1:$E$34</definedName>
    <definedName name="_xlnm.Print_Area" localSheetId="29">'28.照明'!$A$1:$E$34</definedName>
    <definedName name="_xlnm.Print_Area" localSheetId="30">'29.既有橋梁拆除'!$A$1:$E$34</definedName>
    <definedName name="_xlnm.Print_Area" localSheetId="4">'3.土方回填'!$A$1:$E$34</definedName>
    <definedName name="_xlnm.Print_Area" localSheetId="5">'4.鋼筋'!$A$1:$E$34</definedName>
    <definedName name="_xlnm.Print_Area" localSheetId="6">'5.模板'!$A$1:$E$34</definedName>
    <definedName name="_xlnm.Print_Area" localSheetId="7">'6.混凝土'!$A$1:$E$34</definedName>
    <definedName name="_xlnm.Print_Area" localSheetId="8">'7.植筋'!$A$1:$E$34</definedName>
    <definedName name="_xlnm.Print_Area" localSheetId="9">'8.預力混凝土基樁'!$A$1:$E$34</definedName>
    <definedName name="_xlnm.Print_Area" localSheetId="10">'9.砌塊石護岸'!$A$1:$E$34</definedName>
    <definedName name="_xlnm.Print_Area" localSheetId="32">PC樁!$A$1:$F$3</definedName>
    <definedName name="_xlnm.Print_Area" localSheetId="33">混凝土!$A$1:$L$23</definedName>
    <definedName name="_xlnm.Print_Area" localSheetId="35">混凝土送驗單!$A$1:$Z$47</definedName>
    <definedName name="_xlnm.Print_Area" localSheetId="1">統計圖!$A$1:$F$46</definedName>
    <definedName name="_xlnm.Print_Area" localSheetId="34">銲接鋼線網!$A$1:$F$3</definedName>
    <definedName name="_xlnm.Print_Area" localSheetId="31">鋼筋!$A$1:$J$27</definedName>
    <definedName name="_xlnm.Print_Titles" localSheetId="32">PC樁!$1:$2</definedName>
    <definedName name="_xlnm.Print_Titles" localSheetId="33">混凝土!$1:$1</definedName>
    <definedName name="_xlnm.Print_Titles" localSheetId="0">統計表!$1:$1</definedName>
    <definedName name="_xlnm.Print_Titles" localSheetId="34">銲接鋼線網!$1:$2</definedName>
    <definedName name="_xlnm.Print_Titles" localSheetId="31">鋼筋!$1:$2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09" l="1"/>
  <c r="A21" i="81"/>
  <c r="F22" i="50"/>
  <c r="G22" i="50"/>
  <c r="B22" i="50"/>
  <c r="C22" i="50" s="1"/>
  <c r="A22" i="50"/>
  <c r="G21" i="50"/>
  <c r="F21" i="50"/>
  <c r="B21" i="50"/>
  <c r="C21" i="50" s="1"/>
  <c r="A21" i="50"/>
  <c r="K22" i="50" l="1"/>
  <c r="L22" i="50" s="1"/>
  <c r="I22" i="50"/>
  <c r="J22" i="50" s="1"/>
  <c r="I21" i="50"/>
  <c r="J21" i="50"/>
  <c r="K21" i="50"/>
  <c r="L21" i="50" s="1"/>
  <c r="A8" i="80" l="1"/>
  <c r="A20" i="79"/>
  <c r="A12" i="7"/>
  <c r="A20" i="81" l="1"/>
  <c r="J23" i="3" l="1"/>
  <c r="J22" i="3"/>
  <c r="J21" i="3"/>
  <c r="A22" i="3"/>
  <c r="A23" i="3" s="1"/>
  <c r="A21" i="3"/>
  <c r="B2" i="107"/>
  <c r="B3" i="107"/>
  <c r="B4" i="107"/>
  <c r="B5" i="107"/>
  <c r="B6" i="107"/>
  <c r="B7" i="107"/>
  <c r="B8" i="107"/>
  <c r="B9" i="107"/>
  <c r="B10" i="107"/>
  <c r="B11" i="107"/>
  <c r="B12" i="107"/>
  <c r="B13" i="107"/>
  <c r="B14" i="107"/>
  <c r="B15" i="107"/>
  <c r="B16" i="107"/>
  <c r="B17" i="107"/>
  <c r="B18" i="107"/>
  <c r="B19" i="107"/>
  <c r="B20" i="107"/>
  <c r="B21" i="107"/>
  <c r="B22" i="107"/>
  <c r="B23" i="107"/>
  <c r="B24" i="107"/>
  <c r="B25" i="107"/>
  <c r="B26" i="107"/>
  <c r="B27" i="107"/>
  <c r="B28" i="107"/>
  <c r="B29" i="107"/>
  <c r="B30" i="107"/>
  <c r="B31" i="107"/>
  <c r="B32" i="107"/>
  <c r="B33" i="107"/>
  <c r="B34" i="107"/>
  <c r="B35" i="107"/>
  <c r="B36" i="107"/>
  <c r="B37" i="107"/>
  <c r="B38" i="107"/>
  <c r="B39" i="107"/>
  <c r="B40" i="107"/>
  <c r="B41" i="107"/>
  <c r="B42" i="107"/>
  <c r="B43" i="107"/>
  <c r="B44" i="107"/>
  <c r="B45" i="107"/>
  <c r="B46" i="107"/>
  <c r="B47" i="107"/>
  <c r="B48" i="107"/>
  <c r="B49" i="107"/>
  <c r="B50" i="107"/>
  <c r="B51" i="107"/>
  <c r="B52" i="107"/>
  <c r="B53" i="107"/>
  <c r="B54" i="107"/>
  <c r="B55" i="107"/>
  <c r="B56" i="107"/>
  <c r="B57" i="107"/>
  <c r="B58" i="107"/>
  <c r="B59" i="107"/>
  <c r="B60" i="107"/>
  <c r="B61" i="107"/>
  <c r="B62" i="107"/>
  <c r="B63" i="107"/>
  <c r="B64" i="107"/>
  <c r="B65" i="107"/>
  <c r="B66" i="107"/>
  <c r="B67" i="107"/>
  <c r="B68" i="107"/>
  <c r="B69" i="107"/>
  <c r="B70" i="107"/>
  <c r="B71" i="107"/>
  <c r="B72" i="107"/>
  <c r="B73" i="107"/>
  <c r="B74" i="107"/>
  <c r="B75" i="107"/>
  <c r="B76" i="107"/>
  <c r="B77" i="107"/>
  <c r="B78" i="107"/>
  <c r="B79" i="107"/>
  <c r="B80" i="107"/>
  <c r="B81" i="107"/>
  <c r="B82" i="107"/>
  <c r="B83" i="107"/>
  <c r="B84" i="107"/>
  <c r="B85" i="107"/>
  <c r="B86" i="107"/>
  <c r="B87" i="107"/>
  <c r="B88" i="107"/>
  <c r="B89" i="107"/>
  <c r="B90" i="107"/>
  <c r="B91" i="107"/>
  <c r="B92" i="107"/>
  <c r="B93" i="107"/>
  <c r="B94" i="107"/>
  <c r="B95" i="107"/>
  <c r="B96" i="107"/>
  <c r="B97" i="107"/>
  <c r="B98" i="107"/>
  <c r="B99" i="107"/>
  <c r="B100" i="107"/>
  <c r="B101" i="107"/>
  <c r="B102" i="107"/>
  <c r="B103" i="107"/>
  <c r="B104" i="107"/>
  <c r="B105" i="107"/>
  <c r="B106" i="107"/>
  <c r="B107" i="107"/>
  <c r="B108" i="107"/>
  <c r="B109" i="107"/>
  <c r="B110" i="107"/>
  <c r="B111" i="107"/>
  <c r="B112" i="107"/>
  <c r="B113" i="107"/>
  <c r="B114" i="107"/>
  <c r="B115" i="107"/>
  <c r="B116" i="107"/>
  <c r="B117" i="107"/>
  <c r="B118" i="107"/>
  <c r="B119" i="107"/>
  <c r="B120" i="107"/>
  <c r="B121" i="107"/>
  <c r="B122" i="107"/>
  <c r="B123" i="107"/>
  <c r="B124" i="107"/>
  <c r="B125" i="107"/>
  <c r="B126" i="107"/>
  <c r="B127" i="107"/>
  <c r="B128" i="107"/>
  <c r="B129" i="107"/>
  <c r="B130" i="107"/>
  <c r="B131" i="107"/>
  <c r="B132" i="107"/>
  <c r="B133" i="107"/>
  <c r="B134" i="107"/>
  <c r="B135" i="107"/>
  <c r="B136" i="107"/>
  <c r="B137" i="107"/>
  <c r="B138" i="107"/>
  <c r="B139" i="107"/>
  <c r="B140" i="107"/>
  <c r="B141" i="107"/>
  <c r="B142" i="107"/>
  <c r="B143" i="107"/>
  <c r="B144" i="107"/>
  <c r="B145" i="107"/>
  <c r="B146" i="107"/>
  <c r="B147" i="107"/>
  <c r="B148" i="107"/>
  <c r="B149" i="107"/>
  <c r="B150" i="107"/>
  <c r="B151" i="107"/>
  <c r="B152" i="107"/>
  <c r="B153" i="107"/>
  <c r="B154" i="107"/>
  <c r="B155" i="107"/>
  <c r="B156" i="107"/>
  <c r="B157" i="107"/>
  <c r="B158" i="107"/>
  <c r="B159" i="107"/>
  <c r="B160" i="107"/>
  <c r="B161" i="107"/>
  <c r="B162" i="107"/>
  <c r="B163" i="107"/>
  <c r="B164" i="107"/>
  <c r="B165" i="107"/>
  <c r="B166" i="107"/>
  <c r="B167" i="107"/>
  <c r="B168" i="107"/>
  <c r="B169" i="107"/>
  <c r="B170" i="107"/>
  <c r="B171" i="107"/>
  <c r="B172" i="107"/>
  <c r="B173" i="107"/>
  <c r="B174" i="107"/>
  <c r="B175" i="107"/>
  <c r="B176" i="107"/>
  <c r="B177" i="107"/>
  <c r="B178" i="107"/>
  <c r="B179" i="107"/>
  <c r="B180" i="107"/>
  <c r="B181" i="107"/>
  <c r="B182" i="107"/>
  <c r="B183" i="107"/>
  <c r="B184" i="107"/>
  <c r="B185" i="107"/>
  <c r="B186" i="107"/>
  <c r="B187" i="107"/>
  <c r="B188" i="107"/>
  <c r="B189" i="107"/>
  <c r="B190" i="107"/>
  <c r="B191" i="107"/>
  <c r="B192" i="107"/>
  <c r="B193" i="107"/>
  <c r="B194" i="107"/>
  <c r="B195" i="107"/>
  <c r="B196" i="107"/>
  <c r="B197" i="107"/>
  <c r="B198" i="107"/>
  <c r="B199" i="107"/>
  <c r="B200" i="107"/>
  <c r="B201" i="107"/>
  <c r="B202" i="107"/>
  <c r="B203" i="107"/>
  <c r="B204" i="107"/>
  <c r="B205" i="107"/>
  <c r="B206" i="107"/>
  <c r="B207" i="107"/>
  <c r="B208" i="107"/>
  <c r="B209" i="107"/>
  <c r="B210" i="107"/>
  <c r="B211" i="107"/>
  <c r="B212" i="107"/>
  <c r="B213" i="107"/>
  <c r="B214" i="107"/>
  <c r="B215" i="107"/>
  <c r="B216" i="107"/>
  <c r="B217" i="107"/>
  <c r="B218" i="107"/>
  <c r="B219" i="107"/>
  <c r="B220" i="107"/>
  <c r="B221" i="107"/>
  <c r="B222" i="107"/>
  <c r="B223" i="107"/>
  <c r="B224" i="107"/>
  <c r="B225" i="107"/>
  <c r="B226" i="107"/>
  <c r="B227" i="107"/>
  <c r="B228" i="107"/>
  <c r="B229" i="107"/>
  <c r="B230" i="107"/>
  <c r="B231" i="107"/>
  <c r="B232" i="107"/>
  <c r="B233" i="107"/>
  <c r="B234" i="107"/>
  <c r="B235" i="107"/>
  <c r="B236" i="107"/>
  <c r="B237" i="107"/>
  <c r="B238" i="107"/>
  <c r="B239" i="107"/>
  <c r="B240" i="107"/>
  <c r="B241" i="107"/>
  <c r="B242" i="107"/>
  <c r="B243" i="107"/>
  <c r="B244" i="107"/>
  <c r="B245" i="107"/>
  <c r="B246" i="107"/>
  <c r="B247" i="107"/>
  <c r="B248" i="107"/>
  <c r="B249" i="107"/>
  <c r="B250" i="107"/>
  <c r="B251" i="107"/>
  <c r="B252" i="107"/>
  <c r="B253" i="107"/>
  <c r="B254" i="107"/>
  <c r="B255" i="107"/>
  <c r="B256" i="107"/>
  <c r="B257" i="107"/>
  <c r="B258" i="107"/>
  <c r="B259" i="107"/>
  <c r="B260" i="107"/>
  <c r="B261" i="107"/>
  <c r="B262" i="107"/>
  <c r="B263" i="107"/>
  <c r="B264" i="107"/>
  <c r="B265" i="107"/>
  <c r="B266" i="107"/>
  <c r="B267" i="107"/>
  <c r="B268" i="107"/>
  <c r="B269" i="107"/>
  <c r="B270" i="107"/>
  <c r="B271" i="107"/>
  <c r="B272" i="107"/>
  <c r="B273" i="107"/>
  <c r="B274" i="107"/>
  <c r="B275" i="107"/>
  <c r="B276" i="107"/>
  <c r="B277" i="107"/>
  <c r="B278" i="107"/>
  <c r="B279" i="107"/>
  <c r="B280" i="107"/>
  <c r="B281" i="107"/>
  <c r="B282" i="107"/>
  <c r="B283" i="107"/>
  <c r="B284" i="107"/>
  <c r="B285" i="107"/>
  <c r="B286" i="107"/>
  <c r="B287" i="107"/>
  <c r="B288" i="107"/>
  <c r="B289" i="107"/>
  <c r="B290" i="107"/>
  <c r="B291" i="107"/>
  <c r="B292" i="107"/>
  <c r="B293" i="107"/>
  <c r="B294" i="107"/>
  <c r="B295" i="107"/>
  <c r="B296" i="107"/>
  <c r="B297" i="107"/>
  <c r="B298" i="107"/>
  <c r="B299" i="107"/>
  <c r="B300" i="107"/>
  <c r="B301" i="107"/>
  <c r="B302" i="107"/>
  <c r="B303" i="107"/>
  <c r="B304" i="107"/>
  <c r="B305" i="107"/>
  <c r="B306" i="107"/>
  <c r="B307" i="107"/>
  <c r="B308" i="107"/>
  <c r="B309" i="107"/>
  <c r="B310" i="107"/>
  <c r="B311" i="107"/>
  <c r="B312" i="107"/>
  <c r="B313" i="107"/>
  <c r="B314" i="107"/>
  <c r="B315" i="107"/>
  <c r="B316" i="107"/>
  <c r="B317" i="107"/>
  <c r="B318" i="107"/>
  <c r="B319" i="107"/>
  <c r="B320" i="107"/>
  <c r="B321" i="107"/>
  <c r="B322" i="107"/>
  <c r="B323" i="107"/>
  <c r="B324" i="107"/>
  <c r="B325" i="107"/>
  <c r="B326" i="107"/>
  <c r="B327" i="107"/>
  <c r="B328" i="107"/>
  <c r="B329" i="107"/>
  <c r="B330" i="107"/>
  <c r="B331" i="107"/>
  <c r="B332" i="107"/>
  <c r="B333" i="107"/>
  <c r="B334" i="107"/>
  <c r="B335" i="107"/>
  <c r="B336" i="107"/>
  <c r="B337" i="107"/>
  <c r="B338" i="107"/>
  <c r="B339" i="107"/>
  <c r="B340" i="107"/>
  <c r="B341" i="107"/>
  <c r="B342" i="107"/>
  <c r="B343" i="107"/>
  <c r="B344" i="107"/>
  <c r="B345" i="107"/>
  <c r="B346" i="107"/>
  <c r="B347" i="107"/>
  <c r="B348" i="107"/>
  <c r="B349" i="107"/>
  <c r="B350" i="107"/>
  <c r="B351" i="107"/>
  <c r="B352" i="107"/>
  <c r="B353" i="107"/>
  <c r="B354" i="107"/>
  <c r="B355" i="107"/>
  <c r="B356" i="107"/>
  <c r="B357" i="107"/>
  <c r="B358" i="107"/>
  <c r="B359" i="107"/>
  <c r="B360" i="107"/>
  <c r="B361" i="107"/>
  <c r="B362" i="107"/>
  <c r="B363" i="107"/>
  <c r="B364" i="107"/>
  <c r="B365" i="107"/>
  <c r="B366" i="107"/>
  <c r="B367" i="107"/>
  <c r="B368" i="107"/>
  <c r="B369" i="107"/>
  <c r="B370" i="107"/>
  <c r="B371" i="107"/>
  <c r="B372" i="107"/>
  <c r="B373" i="107"/>
  <c r="B374" i="107"/>
  <c r="B375" i="107"/>
  <c r="B376" i="107"/>
  <c r="B377" i="107"/>
  <c r="B378" i="107"/>
  <c r="B379" i="107"/>
  <c r="B380" i="107"/>
  <c r="B381" i="107"/>
  <c r="B382" i="107"/>
  <c r="B383" i="107"/>
  <c r="B384" i="107"/>
  <c r="B385" i="107"/>
  <c r="B386" i="107"/>
  <c r="B387" i="107"/>
  <c r="B388" i="107"/>
  <c r="B389" i="107"/>
  <c r="B390" i="107"/>
  <c r="B391" i="107"/>
  <c r="B392" i="107"/>
  <c r="B393" i="107"/>
  <c r="B394" i="107"/>
  <c r="B395" i="107"/>
  <c r="B396" i="107"/>
  <c r="B397" i="107"/>
  <c r="B398" i="107"/>
  <c r="B399" i="107"/>
  <c r="B400" i="107"/>
  <c r="B401" i="107"/>
  <c r="B402" i="107"/>
  <c r="B403" i="107"/>
  <c r="B404" i="107"/>
  <c r="B405" i="107"/>
  <c r="B406" i="107"/>
  <c r="B407" i="107"/>
  <c r="B408" i="107"/>
  <c r="B409" i="107"/>
  <c r="B410" i="107"/>
  <c r="B411" i="107"/>
  <c r="B412" i="107"/>
  <c r="B413" i="107"/>
  <c r="B414" i="107"/>
  <c r="B415" i="107"/>
  <c r="B416" i="107"/>
  <c r="B417" i="107"/>
  <c r="B418" i="107"/>
  <c r="B419" i="107"/>
  <c r="B420" i="107"/>
  <c r="B421" i="107"/>
  <c r="B422" i="107"/>
  <c r="B423" i="107"/>
  <c r="B424" i="107"/>
  <c r="B425" i="107"/>
  <c r="B426" i="107"/>
  <c r="B427" i="107"/>
  <c r="B428" i="107"/>
  <c r="B429" i="107"/>
  <c r="B430" i="107"/>
  <c r="B431" i="107"/>
  <c r="B432" i="107"/>
  <c r="B433" i="107"/>
  <c r="B434" i="107"/>
  <c r="B435" i="107"/>
  <c r="B436" i="107"/>
  <c r="B437" i="107"/>
  <c r="B438" i="107"/>
  <c r="B439" i="107"/>
  <c r="B440" i="107"/>
  <c r="B441" i="107"/>
  <c r="B442" i="107"/>
  <c r="B443" i="107"/>
  <c r="B444" i="107"/>
  <c r="B445" i="107"/>
  <c r="B446" i="107"/>
  <c r="B447" i="107"/>
  <c r="B448" i="107"/>
  <c r="B449" i="107"/>
  <c r="B450" i="107"/>
  <c r="B451" i="107"/>
  <c r="B452" i="107"/>
  <c r="B453" i="107"/>
  <c r="B454" i="107"/>
  <c r="B455" i="107"/>
  <c r="B456" i="107"/>
  <c r="B457" i="107"/>
  <c r="B458" i="107"/>
  <c r="B459" i="107"/>
  <c r="B460" i="107"/>
  <c r="B461" i="107"/>
  <c r="B462" i="107"/>
  <c r="B463" i="107"/>
  <c r="B464" i="107"/>
  <c r="B465" i="107"/>
  <c r="B466" i="107"/>
  <c r="B467" i="107"/>
  <c r="B468" i="107"/>
  <c r="B469" i="107"/>
  <c r="B470" i="107"/>
  <c r="B471" i="107"/>
  <c r="B472" i="107"/>
  <c r="B473" i="107"/>
  <c r="B474" i="107"/>
  <c r="B475" i="107"/>
  <c r="B476" i="107"/>
  <c r="B477" i="107"/>
  <c r="B478" i="107"/>
  <c r="B479" i="107"/>
  <c r="B480" i="107"/>
  <c r="B481" i="107"/>
  <c r="B482" i="107"/>
  <c r="B483" i="107"/>
  <c r="B484" i="107"/>
  <c r="B485" i="107"/>
  <c r="B486" i="107"/>
  <c r="B487" i="107"/>
  <c r="B488" i="107"/>
  <c r="B489" i="107"/>
  <c r="B490" i="107"/>
  <c r="B491" i="107"/>
  <c r="B492" i="107"/>
  <c r="B493" i="107"/>
  <c r="B494" i="107"/>
  <c r="B495" i="107"/>
  <c r="B496" i="107"/>
  <c r="B497" i="107"/>
  <c r="B498" i="107"/>
  <c r="B499" i="107"/>
  <c r="B500" i="107"/>
  <c r="B501" i="107"/>
  <c r="B502" i="107"/>
  <c r="B503" i="107"/>
  <c r="B504" i="107"/>
  <c r="B505" i="107"/>
  <c r="B506" i="107"/>
  <c r="B507" i="107"/>
  <c r="B508" i="107"/>
  <c r="B509" i="107"/>
  <c r="B510" i="107"/>
  <c r="B511" i="107"/>
  <c r="B512" i="107"/>
  <c r="B513" i="107"/>
  <c r="B514" i="107"/>
  <c r="B515" i="107"/>
  <c r="B516" i="107"/>
  <c r="B517" i="107"/>
  <c r="B518" i="107"/>
  <c r="B519" i="107"/>
  <c r="B520" i="107"/>
  <c r="B521" i="107"/>
  <c r="B522" i="107"/>
  <c r="B523" i="107"/>
  <c r="B524" i="107"/>
  <c r="B525" i="107"/>
  <c r="B526" i="107"/>
  <c r="B527" i="107"/>
  <c r="B528" i="107"/>
  <c r="B529" i="107"/>
  <c r="B530" i="107"/>
  <c r="B531" i="107"/>
  <c r="B532" i="107"/>
  <c r="B533" i="107"/>
  <c r="B534" i="107"/>
  <c r="B535" i="107"/>
  <c r="B536" i="107"/>
  <c r="B537" i="107"/>
  <c r="B538" i="107"/>
  <c r="B539" i="107"/>
  <c r="B540" i="107"/>
  <c r="B541" i="107"/>
  <c r="B542" i="107"/>
  <c r="B543" i="107"/>
  <c r="B544" i="107"/>
  <c r="B545" i="107"/>
  <c r="B546" i="107"/>
  <c r="B547" i="107"/>
  <c r="B548" i="107"/>
  <c r="B549" i="107"/>
  <c r="B550" i="107"/>
  <c r="B551" i="107"/>
  <c r="B552" i="107"/>
  <c r="B553" i="107"/>
  <c r="B554" i="107"/>
  <c r="B555" i="107"/>
  <c r="B556" i="107"/>
  <c r="B557" i="107"/>
  <c r="B558" i="107"/>
  <c r="B559" i="107"/>
  <c r="B560" i="107"/>
  <c r="B561" i="107"/>
  <c r="B562" i="107"/>
  <c r="B563" i="107"/>
  <c r="B564" i="107"/>
  <c r="B565" i="107"/>
  <c r="B566" i="107"/>
  <c r="B567" i="107"/>
  <c r="B568" i="107"/>
  <c r="B569" i="107"/>
  <c r="B570" i="107"/>
  <c r="B571" i="107"/>
  <c r="B572" i="107"/>
  <c r="B573" i="107"/>
  <c r="B574" i="107"/>
  <c r="B575" i="107"/>
  <c r="B576" i="107"/>
  <c r="B577" i="107"/>
  <c r="B578" i="107"/>
  <c r="B579" i="107"/>
  <c r="B580" i="107"/>
  <c r="B581" i="107"/>
  <c r="B582" i="107"/>
  <c r="B583" i="107"/>
  <c r="B584" i="107"/>
  <c r="B585" i="107"/>
  <c r="B586" i="107"/>
  <c r="B587" i="107"/>
  <c r="B588" i="107"/>
  <c r="B589" i="107"/>
  <c r="B590" i="107"/>
  <c r="B591" i="107"/>
  <c r="B592" i="107"/>
  <c r="B593" i="107"/>
  <c r="B594" i="107"/>
  <c r="B595" i="107"/>
  <c r="B596" i="107"/>
  <c r="B597" i="107"/>
  <c r="B598" i="107"/>
  <c r="B599" i="107"/>
  <c r="B600" i="107"/>
  <c r="B601" i="107"/>
  <c r="B602" i="107"/>
  <c r="B603" i="107"/>
  <c r="B604" i="107"/>
  <c r="B605" i="107"/>
  <c r="B606" i="107"/>
  <c r="B607" i="107"/>
  <c r="B608" i="107"/>
  <c r="B609" i="107"/>
  <c r="B610" i="107"/>
  <c r="B611" i="107"/>
  <c r="B612" i="107"/>
  <c r="B613" i="107"/>
  <c r="B614" i="107"/>
  <c r="B615" i="107"/>
  <c r="B616" i="107"/>
  <c r="B617" i="107"/>
  <c r="B618" i="107"/>
  <c r="B619" i="107"/>
  <c r="B620" i="107"/>
  <c r="B621" i="107"/>
  <c r="B622" i="107"/>
  <c r="B623" i="107"/>
  <c r="B624" i="107"/>
  <c r="B625" i="107"/>
  <c r="B626" i="107"/>
  <c r="B627" i="107"/>
  <c r="B628" i="107"/>
  <c r="B629" i="107"/>
  <c r="B630" i="107"/>
  <c r="B631" i="107"/>
  <c r="B632" i="107"/>
  <c r="B633" i="107"/>
  <c r="B634" i="107"/>
  <c r="B635" i="107"/>
  <c r="B636" i="107"/>
  <c r="B637" i="107"/>
  <c r="B638" i="107"/>
  <c r="B639" i="107"/>
  <c r="B640" i="107"/>
  <c r="B641" i="107"/>
  <c r="B642" i="107"/>
  <c r="B643" i="107"/>
  <c r="B644" i="107"/>
  <c r="B645" i="107"/>
  <c r="B646" i="107"/>
  <c r="B647" i="107"/>
  <c r="B648" i="107"/>
  <c r="B649" i="107"/>
  <c r="B650" i="107"/>
  <c r="B651" i="107"/>
  <c r="B652" i="107"/>
  <c r="B653" i="107"/>
  <c r="B654" i="107"/>
  <c r="B655" i="107"/>
  <c r="B656" i="107"/>
  <c r="B657" i="107"/>
  <c r="B658" i="107"/>
  <c r="B659" i="107"/>
  <c r="B660" i="107"/>
  <c r="B661" i="107"/>
  <c r="B662" i="107"/>
  <c r="B663" i="107"/>
  <c r="B664" i="107"/>
  <c r="B665" i="107"/>
  <c r="B666" i="107"/>
  <c r="B667" i="107"/>
  <c r="B668" i="107"/>
  <c r="B669" i="107"/>
  <c r="B670" i="107"/>
  <c r="B671" i="107"/>
  <c r="B672" i="107"/>
  <c r="B673" i="107"/>
  <c r="B674" i="107"/>
  <c r="B675" i="107"/>
  <c r="B676" i="107"/>
  <c r="B677" i="107"/>
  <c r="B678" i="107"/>
  <c r="B679" i="107"/>
  <c r="B680" i="107"/>
  <c r="B681" i="107"/>
  <c r="B682" i="107"/>
  <c r="B683" i="107"/>
  <c r="B684" i="107"/>
  <c r="B685" i="107"/>
  <c r="B686" i="107"/>
  <c r="B687" i="107"/>
  <c r="B688" i="107"/>
  <c r="B689" i="107"/>
  <c r="B690" i="107"/>
  <c r="B691" i="107"/>
  <c r="B692" i="107"/>
  <c r="B693" i="107"/>
  <c r="B694" i="107"/>
  <c r="B695" i="107"/>
  <c r="B696" i="107"/>
  <c r="B697" i="107"/>
  <c r="B698" i="107"/>
  <c r="B699" i="107"/>
  <c r="B700" i="107"/>
  <c r="B701" i="107"/>
  <c r="B702" i="107"/>
  <c r="B703" i="107"/>
  <c r="B704" i="107"/>
  <c r="B705" i="107"/>
  <c r="B706" i="107"/>
  <c r="B707" i="107"/>
  <c r="B708" i="107"/>
  <c r="B709" i="107"/>
  <c r="B710" i="107"/>
  <c r="B711" i="107"/>
  <c r="B712" i="107"/>
  <c r="B713" i="107"/>
  <c r="B714" i="107"/>
  <c r="B715" i="107"/>
  <c r="B716" i="107"/>
  <c r="B717" i="107"/>
  <c r="B718" i="107"/>
  <c r="B719" i="107"/>
  <c r="B720" i="107"/>
  <c r="B721" i="107"/>
  <c r="B722" i="107"/>
  <c r="B723" i="107"/>
  <c r="B724" i="107"/>
  <c r="B725" i="107"/>
  <c r="B726" i="107"/>
  <c r="B727" i="107"/>
  <c r="B728" i="107"/>
  <c r="B729" i="107"/>
  <c r="B730" i="107"/>
  <c r="B731" i="107"/>
  <c r="B732" i="107"/>
  <c r="B733" i="107"/>
  <c r="B734" i="107"/>
  <c r="B735" i="107"/>
  <c r="B736" i="107"/>
  <c r="B737" i="107"/>
  <c r="B738" i="107"/>
  <c r="B739" i="107"/>
  <c r="B740" i="107"/>
  <c r="B741" i="107"/>
  <c r="C3" i="107"/>
  <c r="D3" i="107"/>
  <c r="E3" i="107"/>
  <c r="F3" i="107"/>
  <c r="G3" i="107"/>
  <c r="H3" i="107"/>
  <c r="I3" i="107"/>
  <c r="J3" i="107"/>
  <c r="K3" i="107"/>
  <c r="L3" i="107"/>
  <c r="M3" i="107"/>
  <c r="N3" i="107"/>
  <c r="O3" i="107"/>
  <c r="P3" i="107"/>
  <c r="Q3" i="107"/>
  <c r="R3" i="107"/>
  <c r="S3" i="107"/>
  <c r="T3" i="107"/>
  <c r="U3" i="107"/>
  <c r="V3" i="107"/>
  <c r="W3" i="107"/>
  <c r="X3" i="107"/>
  <c r="Y3" i="107"/>
  <c r="Z3" i="107"/>
  <c r="AA3" i="107"/>
  <c r="AB3" i="107"/>
  <c r="AC3" i="107"/>
  <c r="AD3" i="107"/>
  <c r="C4" i="107"/>
  <c r="D4" i="107"/>
  <c r="E4" i="107"/>
  <c r="F4" i="107"/>
  <c r="G4" i="107"/>
  <c r="H4" i="107"/>
  <c r="I4" i="107"/>
  <c r="J4" i="107"/>
  <c r="K4" i="107"/>
  <c r="L4" i="107"/>
  <c r="M4" i="107"/>
  <c r="N4" i="107"/>
  <c r="O4" i="107"/>
  <c r="P4" i="107"/>
  <c r="Q4" i="107"/>
  <c r="R4" i="107"/>
  <c r="S4" i="107"/>
  <c r="T4" i="107"/>
  <c r="U4" i="107"/>
  <c r="V4" i="107"/>
  <c r="W4" i="107"/>
  <c r="X4" i="107"/>
  <c r="Y4" i="107"/>
  <c r="Z4" i="107"/>
  <c r="AA4" i="107"/>
  <c r="AB4" i="107"/>
  <c r="AC4" i="107"/>
  <c r="AD4" i="107"/>
  <c r="C5" i="107"/>
  <c r="D5" i="107"/>
  <c r="E5" i="107"/>
  <c r="F5" i="107"/>
  <c r="G5" i="107"/>
  <c r="H5" i="107"/>
  <c r="I5" i="107"/>
  <c r="J5" i="107"/>
  <c r="K5" i="107"/>
  <c r="L5" i="107"/>
  <c r="M5" i="107"/>
  <c r="N5" i="107"/>
  <c r="O5" i="107"/>
  <c r="P5" i="107"/>
  <c r="Q5" i="107"/>
  <c r="R5" i="107"/>
  <c r="S5" i="107"/>
  <c r="T5" i="107"/>
  <c r="U5" i="107"/>
  <c r="V5" i="107"/>
  <c r="W5" i="107"/>
  <c r="X5" i="107"/>
  <c r="Y5" i="107"/>
  <c r="Z5" i="107"/>
  <c r="AA5" i="107"/>
  <c r="AB5" i="107"/>
  <c r="AC5" i="107"/>
  <c r="AD5" i="107"/>
  <c r="C6" i="107"/>
  <c r="D6" i="107"/>
  <c r="E6" i="107"/>
  <c r="F6" i="107"/>
  <c r="G6" i="107"/>
  <c r="H6" i="107"/>
  <c r="I6" i="107"/>
  <c r="J6" i="107"/>
  <c r="K6" i="107"/>
  <c r="L6" i="107"/>
  <c r="M6" i="107"/>
  <c r="N6" i="107"/>
  <c r="O6" i="107"/>
  <c r="P6" i="107"/>
  <c r="Q6" i="107"/>
  <c r="R6" i="107"/>
  <c r="S6" i="107"/>
  <c r="T6" i="107"/>
  <c r="U6" i="107"/>
  <c r="V6" i="107"/>
  <c r="W6" i="107"/>
  <c r="X6" i="107"/>
  <c r="Y6" i="107"/>
  <c r="Z6" i="107"/>
  <c r="AA6" i="107"/>
  <c r="AB6" i="107"/>
  <c r="AC6" i="107"/>
  <c r="AD6" i="107"/>
  <c r="C7" i="107"/>
  <c r="D7" i="107"/>
  <c r="E7" i="107"/>
  <c r="F7" i="107"/>
  <c r="G7" i="107"/>
  <c r="H7" i="107"/>
  <c r="I7" i="107"/>
  <c r="J7" i="107"/>
  <c r="K7" i="107"/>
  <c r="L7" i="107"/>
  <c r="M7" i="107"/>
  <c r="N7" i="107"/>
  <c r="O7" i="107"/>
  <c r="P7" i="107"/>
  <c r="Q7" i="107"/>
  <c r="R7" i="107"/>
  <c r="S7" i="107"/>
  <c r="T7" i="107"/>
  <c r="U7" i="107"/>
  <c r="V7" i="107"/>
  <c r="W7" i="107"/>
  <c r="X7" i="107"/>
  <c r="Y7" i="107"/>
  <c r="Z7" i="107"/>
  <c r="AA7" i="107"/>
  <c r="AB7" i="107"/>
  <c r="AC7" i="107"/>
  <c r="AD7" i="107"/>
  <c r="C8" i="107"/>
  <c r="D8" i="107"/>
  <c r="E8" i="107"/>
  <c r="F8" i="107"/>
  <c r="G8" i="107"/>
  <c r="H8" i="107"/>
  <c r="I8" i="107"/>
  <c r="J8" i="107"/>
  <c r="K8" i="107"/>
  <c r="L8" i="107"/>
  <c r="M8" i="107"/>
  <c r="N8" i="107"/>
  <c r="O8" i="107"/>
  <c r="P8" i="107"/>
  <c r="Q8" i="107"/>
  <c r="R8" i="107"/>
  <c r="S8" i="107"/>
  <c r="T8" i="107"/>
  <c r="U8" i="107"/>
  <c r="V8" i="107"/>
  <c r="W8" i="107"/>
  <c r="X8" i="107"/>
  <c r="Y8" i="107"/>
  <c r="Z8" i="107"/>
  <c r="AA8" i="107"/>
  <c r="AB8" i="107"/>
  <c r="AC8" i="107"/>
  <c r="AD8" i="107"/>
  <c r="C9" i="107"/>
  <c r="D9" i="107"/>
  <c r="E9" i="107"/>
  <c r="F9" i="107"/>
  <c r="G9" i="107"/>
  <c r="H9" i="107"/>
  <c r="I9" i="107"/>
  <c r="J9" i="107"/>
  <c r="K9" i="107"/>
  <c r="L9" i="107"/>
  <c r="M9" i="107"/>
  <c r="N9" i="107"/>
  <c r="O9" i="107"/>
  <c r="P9" i="107"/>
  <c r="Q9" i="107"/>
  <c r="R9" i="107"/>
  <c r="S9" i="107"/>
  <c r="T9" i="107"/>
  <c r="U9" i="107"/>
  <c r="V9" i="107"/>
  <c r="W9" i="107"/>
  <c r="X9" i="107"/>
  <c r="Y9" i="107"/>
  <c r="Z9" i="107"/>
  <c r="AA9" i="107"/>
  <c r="AB9" i="107"/>
  <c r="AC9" i="107"/>
  <c r="AD9" i="107"/>
  <c r="C10" i="107"/>
  <c r="D10" i="107"/>
  <c r="E10" i="107"/>
  <c r="F10" i="107"/>
  <c r="G10" i="107"/>
  <c r="H10" i="107"/>
  <c r="I10" i="107"/>
  <c r="J10" i="107"/>
  <c r="K10" i="107"/>
  <c r="L10" i="107"/>
  <c r="M10" i="107"/>
  <c r="N10" i="107"/>
  <c r="O10" i="107"/>
  <c r="P10" i="107"/>
  <c r="Q10" i="107"/>
  <c r="R10" i="107"/>
  <c r="S10" i="107"/>
  <c r="T10" i="107"/>
  <c r="U10" i="107"/>
  <c r="V10" i="107"/>
  <c r="W10" i="107"/>
  <c r="X10" i="107"/>
  <c r="Y10" i="107"/>
  <c r="Z10" i="107"/>
  <c r="AA10" i="107"/>
  <c r="AB10" i="107"/>
  <c r="AC10" i="107"/>
  <c r="AD10" i="107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O11" i="107"/>
  <c r="P11" i="107"/>
  <c r="Q11" i="107"/>
  <c r="R11" i="107"/>
  <c r="S11" i="107"/>
  <c r="T11" i="107"/>
  <c r="U11" i="107"/>
  <c r="V11" i="107"/>
  <c r="W11" i="107"/>
  <c r="X11" i="107"/>
  <c r="Y11" i="107"/>
  <c r="Z11" i="107"/>
  <c r="AA11" i="107"/>
  <c r="AB11" i="107"/>
  <c r="AC11" i="107"/>
  <c r="AD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O12" i="107"/>
  <c r="P12" i="107"/>
  <c r="Q12" i="107"/>
  <c r="R12" i="107"/>
  <c r="S12" i="107"/>
  <c r="T12" i="107"/>
  <c r="U12" i="107"/>
  <c r="V12" i="107"/>
  <c r="W12" i="107"/>
  <c r="X12" i="107"/>
  <c r="Y12" i="107"/>
  <c r="Z12" i="107"/>
  <c r="AA12" i="107"/>
  <c r="AB12" i="107"/>
  <c r="AC12" i="107"/>
  <c r="AD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O13" i="107"/>
  <c r="P13" i="107"/>
  <c r="Q13" i="107"/>
  <c r="R13" i="107"/>
  <c r="S13" i="107"/>
  <c r="T13" i="107"/>
  <c r="U13" i="107"/>
  <c r="V13" i="107"/>
  <c r="W13" i="107"/>
  <c r="X13" i="107"/>
  <c r="Y13" i="107"/>
  <c r="Z13" i="107"/>
  <c r="AA13" i="107"/>
  <c r="AB13" i="107"/>
  <c r="AC13" i="107"/>
  <c r="AD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O14" i="107"/>
  <c r="P14" i="107"/>
  <c r="Q14" i="107"/>
  <c r="R14" i="107"/>
  <c r="S14" i="107"/>
  <c r="T14" i="107"/>
  <c r="U14" i="107"/>
  <c r="V14" i="107"/>
  <c r="W14" i="107"/>
  <c r="X14" i="107"/>
  <c r="Y14" i="107"/>
  <c r="Z14" i="107"/>
  <c r="AA14" i="107"/>
  <c r="AB14" i="107"/>
  <c r="AC14" i="107"/>
  <c r="AD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O15" i="107"/>
  <c r="P15" i="107"/>
  <c r="Q15" i="107"/>
  <c r="R15" i="107"/>
  <c r="S15" i="107"/>
  <c r="T15" i="107"/>
  <c r="U15" i="107"/>
  <c r="V15" i="107"/>
  <c r="W15" i="107"/>
  <c r="X15" i="107"/>
  <c r="Y15" i="107"/>
  <c r="Z15" i="107"/>
  <c r="AA15" i="107"/>
  <c r="AB15" i="107"/>
  <c r="AC15" i="107"/>
  <c r="AD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O16" i="107"/>
  <c r="P16" i="107"/>
  <c r="Q16" i="107"/>
  <c r="R16" i="107"/>
  <c r="S16" i="107"/>
  <c r="T16" i="107"/>
  <c r="U16" i="107"/>
  <c r="V16" i="107"/>
  <c r="W16" i="107"/>
  <c r="X16" i="107"/>
  <c r="Y16" i="107"/>
  <c r="Z16" i="107"/>
  <c r="AA16" i="107"/>
  <c r="AB16" i="107"/>
  <c r="AC16" i="107"/>
  <c r="AD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O17" i="107"/>
  <c r="P17" i="107"/>
  <c r="Q17" i="107"/>
  <c r="R17" i="107"/>
  <c r="S17" i="107"/>
  <c r="T17" i="107"/>
  <c r="U17" i="107"/>
  <c r="V17" i="107"/>
  <c r="W17" i="107"/>
  <c r="X17" i="107"/>
  <c r="Y17" i="107"/>
  <c r="Z17" i="107"/>
  <c r="AA17" i="107"/>
  <c r="AB17" i="107"/>
  <c r="AC17" i="107"/>
  <c r="AD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O18" i="107"/>
  <c r="P18" i="107"/>
  <c r="Q18" i="107"/>
  <c r="R18" i="107"/>
  <c r="S18" i="107"/>
  <c r="T18" i="107"/>
  <c r="U18" i="107"/>
  <c r="V18" i="107"/>
  <c r="W18" i="107"/>
  <c r="X18" i="107"/>
  <c r="Y18" i="107"/>
  <c r="Z18" i="107"/>
  <c r="AA18" i="107"/>
  <c r="AB18" i="107"/>
  <c r="AC18" i="107"/>
  <c r="AD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O19" i="107"/>
  <c r="P19" i="107"/>
  <c r="Q19" i="107"/>
  <c r="R19" i="107"/>
  <c r="S19" i="107"/>
  <c r="T19" i="107"/>
  <c r="U19" i="107"/>
  <c r="V19" i="107"/>
  <c r="W19" i="107"/>
  <c r="X19" i="107"/>
  <c r="Y19" i="107"/>
  <c r="Z19" i="107"/>
  <c r="AA19" i="107"/>
  <c r="AB19" i="107"/>
  <c r="AC19" i="107"/>
  <c r="AD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O20" i="107"/>
  <c r="P20" i="107"/>
  <c r="Q20" i="107"/>
  <c r="R20" i="107"/>
  <c r="S20" i="107"/>
  <c r="T20" i="107"/>
  <c r="U20" i="107"/>
  <c r="V20" i="107"/>
  <c r="W20" i="107"/>
  <c r="X20" i="107"/>
  <c r="Y20" i="107"/>
  <c r="Z20" i="107"/>
  <c r="AA20" i="107"/>
  <c r="AB20" i="107"/>
  <c r="AC20" i="107"/>
  <c r="AD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O21" i="107"/>
  <c r="P21" i="107"/>
  <c r="Q21" i="107"/>
  <c r="R21" i="107"/>
  <c r="S21" i="107"/>
  <c r="T21" i="107"/>
  <c r="U21" i="107"/>
  <c r="V21" i="107"/>
  <c r="W21" i="107"/>
  <c r="X21" i="107"/>
  <c r="Y21" i="107"/>
  <c r="Z21" i="107"/>
  <c r="AA21" i="107"/>
  <c r="AB21" i="107"/>
  <c r="AC21" i="107"/>
  <c r="AD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O22" i="107"/>
  <c r="P22" i="107"/>
  <c r="Q22" i="107"/>
  <c r="R22" i="107"/>
  <c r="S22" i="107"/>
  <c r="T22" i="107"/>
  <c r="U22" i="107"/>
  <c r="V22" i="107"/>
  <c r="W22" i="107"/>
  <c r="X22" i="107"/>
  <c r="Y22" i="107"/>
  <c r="Z22" i="107"/>
  <c r="AA22" i="107"/>
  <c r="AB22" i="107"/>
  <c r="AC22" i="107"/>
  <c r="AD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O23" i="107"/>
  <c r="P23" i="107"/>
  <c r="Q23" i="107"/>
  <c r="R23" i="107"/>
  <c r="S23" i="107"/>
  <c r="T23" i="107"/>
  <c r="U23" i="107"/>
  <c r="V23" i="107"/>
  <c r="W23" i="107"/>
  <c r="X23" i="107"/>
  <c r="Y23" i="107"/>
  <c r="Z23" i="107"/>
  <c r="AA23" i="107"/>
  <c r="AB23" i="107"/>
  <c r="AC23" i="107"/>
  <c r="AD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O24" i="107"/>
  <c r="P24" i="107"/>
  <c r="Q24" i="107"/>
  <c r="R24" i="107"/>
  <c r="S24" i="107"/>
  <c r="T24" i="107"/>
  <c r="U24" i="107"/>
  <c r="V24" i="107"/>
  <c r="W24" i="107"/>
  <c r="X24" i="107"/>
  <c r="Y24" i="107"/>
  <c r="Z24" i="107"/>
  <c r="AA24" i="107"/>
  <c r="AB24" i="107"/>
  <c r="AC24" i="107"/>
  <c r="AD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O25" i="107"/>
  <c r="P25" i="107"/>
  <c r="Q25" i="107"/>
  <c r="R25" i="107"/>
  <c r="S25" i="107"/>
  <c r="T25" i="107"/>
  <c r="U25" i="107"/>
  <c r="V25" i="107"/>
  <c r="W25" i="107"/>
  <c r="X25" i="107"/>
  <c r="Y25" i="107"/>
  <c r="Z25" i="107"/>
  <c r="AA25" i="107"/>
  <c r="AB25" i="107"/>
  <c r="AC25" i="107"/>
  <c r="AD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O26" i="107"/>
  <c r="P26" i="107"/>
  <c r="Q26" i="107"/>
  <c r="R26" i="107"/>
  <c r="S26" i="107"/>
  <c r="T26" i="107"/>
  <c r="U26" i="107"/>
  <c r="V26" i="107"/>
  <c r="W26" i="107"/>
  <c r="X26" i="107"/>
  <c r="Y26" i="107"/>
  <c r="Z26" i="107"/>
  <c r="AA26" i="107"/>
  <c r="AB26" i="107"/>
  <c r="AC26" i="107"/>
  <c r="AD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O27" i="107"/>
  <c r="P27" i="107"/>
  <c r="Q27" i="107"/>
  <c r="R27" i="107"/>
  <c r="S27" i="107"/>
  <c r="T27" i="107"/>
  <c r="U27" i="107"/>
  <c r="V27" i="107"/>
  <c r="W27" i="107"/>
  <c r="X27" i="107"/>
  <c r="Y27" i="107"/>
  <c r="Z27" i="107"/>
  <c r="AA27" i="107"/>
  <c r="AB27" i="107"/>
  <c r="AC27" i="107"/>
  <c r="AD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O28" i="107"/>
  <c r="P28" i="107"/>
  <c r="Q28" i="107"/>
  <c r="R28" i="107"/>
  <c r="S28" i="107"/>
  <c r="T28" i="107"/>
  <c r="U28" i="107"/>
  <c r="V28" i="107"/>
  <c r="W28" i="107"/>
  <c r="X28" i="107"/>
  <c r="Y28" i="107"/>
  <c r="Z28" i="107"/>
  <c r="AA28" i="107"/>
  <c r="AB28" i="107"/>
  <c r="AC28" i="107"/>
  <c r="AD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O29" i="107"/>
  <c r="P29" i="107"/>
  <c r="Q29" i="107"/>
  <c r="R29" i="107"/>
  <c r="S29" i="107"/>
  <c r="T29" i="107"/>
  <c r="U29" i="107"/>
  <c r="V29" i="107"/>
  <c r="W29" i="107"/>
  <c r="X29" i="107"/>
  <c r="Y29" i="107"/>
  <c r="Z29" i="107"/>
  <c r="AA29" i="107"/>
  <c r="AB29" i="107"/>
  <c r="AC29" i="107"/>
  <c r="AD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O30" i="107"/>
  <c r="P30" i="107"/>
  <c r="Q30" i="107"/>
  <c r="R30" i="107"/>
  <c r="S30" i="107"/>
  <c r="T30" i="107"/>
  <c r="U30" i="107"/>
  <c r="V30" i="107"/>
  <c r="W30" i="107"/>
  <c r="X30" i="107"/>
  <c r="Y30" i="107"/>
  <c r="Z30" i="107"/>
  <c r="AA30" i="107"/>
  <c r="AB30" i="107"/>
  <c r="AC30" i="107"/>
  <c r="AD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O31" i="107"/>
  <c r="P31" i="107"/>
  <c r="Q31" i="107"/>
  <c r="R31" i="107"/>
  <c r="S31" i="107"/>
  <c r="T31" i="107"/>
  <c r="U31" i="107"/>
  <c r="V31" i="107"/>
  <c r="W31" i="107"/>
  <c r="X31" i="107"/>
  <c r="Y31" i="107"/>
  <c r="Z31" i="107"/>
  <c r="AA31" i="107"/>
  <c r="AB31" i="107"/>
  <c r="AC31" i="107"/>
  <c r="AD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O32" i="107"/>
  <c r="P32" i="107"/>
  <c r="Q32" i="107"/>
  <c r="R32" i="107"/>
  <c r="S32" i="107"/>
  <c r="T32" i="107"/>
  <c r="U32" i="107"/>
  <c r="V32" i="107"/>
  <c r="W32" i="107"/>
  <c r="X32" i="107"/>
  <c r="Y32" i="107"/>
  <c r="Z32" i="107"/>
  <c r="AA32" i="107"/>
  <c r="AB32" i="107"/>
  <c r="AC32" i="107"/>
  <c r="AD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O33" i="107"/>
  <c r="P33" i="107"/>
  <c r="Q33" i="107"/>
  <c r="R33" i="107"/>
  <c r="S33" i="107"/>
  <c r="T33" i="107"/>
  <c r="U33" i="107"/>
  <c r="V33" i="107"/>
  <c r="W33" i="107"/>
  <c r="X33" i="107"/>
  <c r="Y33" i="107"/>
  <c r="Z33" i="107"/>
  <c r="AA33" i="107"/>
  <c r="AB33" i="107"/>
  <c r="AC33" i="107"/>
  <c r="AD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O34" i="107"/>
  <c r="P34" i="107"/>
  <c r="Q34" i="107"/>
  <c r="R34" i="107"/>
  <c r="S34" i="107"/>
  <c r="T34" i="107"/>
  <c r="U34" i="107"/>
  <c r="V34" i="107"/>
  <c r="W34" i="107"/>
  <c r="X34" i="107"/>
  <c r="Y34" i="107"/>
  <c r="Z34" i="107"/>
  <c r="AA34" i="107"/>
  <c r="AB34" i="107"/>
  <c r="AC34" i="107"/>
  <c r="AD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O35" i="107"/>
  <c r="P35" i="107"/>
  <c r="Q35" i="107"/>
  <c r="R35" i="107"/>
  <c r="S35" i="107"/>
  <c r="T35" i="107"/>
  <c r="U35" i="107"/>
  <c r="V35" i="107"/>
  <c r="W35" i="107"/>
  <c r="X35" i="107"/>
  <c r="Y35" i="107"/>
  <c r="Z35" i="107"/>
  <c r="AA35" i="107"/>
  <c r="AB35" i="107"/>
  <c r="AC35" i="107"/>
  <c r="AD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O36" i="107"/>
  <c r="P36" i="107"/>
  <c r="Q36" i="107"/>
  <c r="R36" i="107"/>
  <c r="S36" i="107"/>
  <c r="T36" i="107"/>
  <c r="U36" i="107"/>
  <c r="V36" i="107"/>
  <c r="W36" i="107"/>
  <c r="X36" i="107"/>
  <c r="Y36" i="107"/>
  <c r="Z36" i="107"/>
  <c r="AA36" i="107"/>
  <c r="AB36" i="107"/>
  <c r="AC36" i="107"/>
  <c r="AD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O37" i="107"/>
  <c r="P37" i="107"/>
  <c r="Q37" i="107"/>
  <c r="R37" i="107"/>
  <c r="S37" i="107"/>
  <c r="T37" i="107"/>
  <c r="U37" i="107"/>
  <c r="V37" i="107"/>
  <c r="W37" i="107"/>
  <c r="X37" i="107"/>
  <c r="Y37" i="107"/>
  <c r="Z37" i="107"/>
  <c r="AA37" i="107"/>
  <c r="AB37" i="107"/>
  <c r="AC37" i="107"/>
  <c r="AD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O38" i="107"/>
  <c r="P38" i="107"/>
  <c r="Q38" i="107"/>
  <c r="R38" i="107"/>
  <c r="S38" i="107"/>
  <c r="T38" i="107"/>
  <c r="U38" i="107"/>
  <c r="V38" i="107"/>
  <c r="W38" i="107"/>
  <c r="X38" i="107"/>
  <c r="Y38" i="107"/>
  <c r="Z38" i="107"/>
  <c r="AA38" i="107"/>
  <c r="AB38" i="107"/>
  <c r="AC38" i="107"/>
  <c r="AD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O39" i="107"/>
  <c r="P39" i="107"/>
  <c r="Q39" i="107"/>
  <c r="R39" i="107"/>
  <c r="S39" i="107"/>
  <c r="T39" i="107"/>
  <c r="U39" i="107"/>
  <c r="V39" i="107"/>
  <c r="W39" i="107"/>
  <c r="X39" i="107"/>
  <c r="Y39" i="107"/>
  <c r="Z39" i="107"/>
  <c r="AA39" i="107"/>
  <c r="AB39" i="107"/>
  <c r="AC39" i="107"/>
  <c r="AD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O40" i="107"/>
  <c r="P40" i="107"/>
  <c r="Q40" i="107"/>
  <c r="R40" i="107"/>
  <c r="S40" i="107"/>
  <c r="T40" i="107"/>
  <c r="U40" i="107"/>
  <c r="V40" i="107"/>
  <c r="W40" i="107"/>
  <c r="X40" i="107"/>
  <c r="Y40" i="107"/>
  <c r="Z40" i="107"/>
  <c r="AA40" i="107"/>
  <c r="AB40" i="107"/>
  <c r="AC40" i="107"/>
  <c r="AD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O41" i="107"/>
  <c r="P41" i="107"/>
  <c r="Q41" i="107"/>
  <c r="R41" i="107"/>
  <c r="S41" i="107"/>
  <c r="T41" i="107"/>
  <c r="U41" i="107"/>
  <c r="V41" i="107"/>
  <c r="W41" i="107"/>
  <c r="X41" i="107"/>
  <c r="Y41" i="107"/>
  <c r="Z41" i="107"/>
  <c r="AA41" i="107"/>
  <c r="AB41" i="107"/>
  <c r="AC41" i="107"/>
  <c r="AD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O42" i="107"/>
  <c r="P42" i="107"/>
  <c r="Q42" i="107"/>
  <c r="R42" i="107"/>
  <c r="S42" i="107"/>
  <c r="T42" i="107"/>
  <c r="U42" i="107"/>
  <c r="V42" i="107"/>
  <c r="W42" i="107"/>
  <c r="X42" i="107"/>
  <c r="Y42" i="107"/>
  <c r="Z42" i="107"/>
  <c r="AA42" i="107"/>
  <c r="AB42" i="107"/>
  <c r="AC42" i="107"/>
  <c r="AD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O43" i="107"/>
  <c r="P43" i="107"/>
  <c r="Q43" i="107"/>
  <c r="R43" i="107"/>
  <c r="S43" i="107"/>
  <c r="T43" i="107"/>
  <c r="U43" i="107"/>
  <c r="V43" i="107"/>
  <c r="W43" i="107"/>
  <c r="X43" i="107"/>
  <c r="Y43" i="107"/>
  <c r="Z43" i="107"/>
  <c r="AA43" i="107"/>
  <c r="AB43" i="107"/>
  <c r="AC43" i="107"/>
  <c r="AD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O44" i="107"/>
  <c r="P44" i="107"/>
  <c r="Q44" i="107"/>
  <c r="R44" i="107"/>
  <c r="S44" i="107"/>
  <c r="T44" i="107"/>
  <c r="U44" i="107"/>
  <c r="V44" i="107"/>
  <c r="W44" i="107"/>
  <c r="X44" i="107"/>
  <c r="Y44" i="107"/>
  <c r="Z44" i="107"/>
  <c r="AA44" i="107"/>
  <c r="AB44" i="107"/>
  <c r="AC44" i="107"/>
  <c r="AD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O45" i="107"/>
  <c r="P45" i="107"/>
  <c r="Q45" i="107"/>
  <c r="R45" i="107"/>
  <c r="S45" i="107"/>
  <c r="T45" i="107"/>
  <c r="U45" i="107"/>
  <c r="V45" i="107"/>
  <c r="W45" i="107"/>
  <c r="X45" i="107"/>
  <c r="Y45" i="107"/>
  <c r="Z45" i="107"/>
  <c r="AA45" i="107"/>
  <c r="AB45" i="107"/>
  <c r="AC45" i="107"/>
  <c r="AD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O46" i="107"/>
  <c r="P46" i="107"/>
  <c r="Q46" i="107"/>
  <c r="R46" i="107"/>
  <c r="S46" i="107"/>
  <c r="T46" i="107"/>
  <c r="U46" i="107"/>
  <c r="V46" i="107"/>
  <c r="W46" i="107"/>
  <c r="X46" i="107"/>
  <c r="Y46" i="107"/>
  <c r="Z46" i="107"/>
  <c r="AA46" i="107"/>
  <c r="AB46" i="107"/>
  <c r="AC46" i="107"/>
  <c r="AD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O47" i="107"/>
  <c r="P47" i="107"/>
  <c r="Q47" i="107"/>
  <c r="R47" i="107"/>
  <c r="S47" i="107"/>
  <c r="T47" i="107"/>
  <c r="U47" i="107"/>
  <c r="V47" i="107"/>
  <c r="W47" i="107"/>
  <c r="X47" i="107"/>
  <c r="Y47" i="107"/>
  <c r="Z47" i="107"/>
  <c r="AA47" i="107"/>
  <c r="AB47" i="107"/>
  <c r="AC47" i="107"/>
  <c r="AD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O48" i="107"/>
  <c r="P48" i="107"/>
  <c r="Q48" i="107"/>
  <c r="R48" i="107"/>
  <c r="S48" i="107"/>
  <c r="T48" i="107"/>
  <c r="U48" i="107"/>
  <c r="V48" i="107"/>
  <c r="W48" i="107"/>
  <c r="X48" i="107"/>
  <c r="Y48" i="107"/>
  <c r="Z48" i="107"/>
  <c r="AA48" i="107"/>
  <c r="AB48" i="107"/>
  <c r="AC48" i="107"/>
  <c r="AD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O49" i="107"/>
  <c r="P49" i="107"/>
  <c r="Q49" i="107"/>
  <c r="R49" i="107"/>
  <c r="S49" i="107"/>
  <c r="T49" i="107"/>
  <c r="U49" i="107"/>
  <c r="V49" i="107"/>
  <c r="W49" i="107"/>
  <c r="X49" i="107"/>
  <c r="Y49" i="107"/>
  <c r="Z49" i="107"/>
  <c r="AA49" i="107"/>
  <c r="AB49" i="107"/>
  <c r="AC49" i="107"/>
  <c r="AD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O50" i="107"/>
  <c r="P50" i="107"/>
  <c r="Q50" i="107"/>
  <c r="R50" i="107"/>
  <c r="S50" i="107"/>
  <c r="T50" i="107"/>
  <c r="U50" i="107"/>
  <c r="V50" i="107"/>
  <c r="W50" i="107"/>
  <c r="X50" i="107"/>
  <c r="Y50" i="107"/>
  <c r="Z50" i="107"/>
  <c r="AA50" i="107"/>
  <c r="AB50" i="107"/>
  <c r="AC50" i="107"/>
  <c r="AD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O51" i="107"/>
  <c r="P51" i="107"/>
  <c r="Q51" i="107"/>
  <c r="R51" i="107"/>
  <c r="S51" i="107"/>
  <c r="T51" i="107"/>
  <c r="U51" i="107"/>
  <c r="V51" i="107"/>
  <c r="W51" i="107"/>
  <c r="X51" i="107"/>
  <c r="Y51" i="107"/>
  <c r="Z51" i="107"/>
  <c r="AA51" i="107"/>
  <c r="AB51" i="107"/>
  <c r="AC51" i="107"/>
  <c r="AD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O52" i="107"/>
  <c r="P52" i="107"/>
  <c r="Q52" i="107"/>
  <c r="R52" i="107"/>
  <c r="S52" i="107"/>
  <c r="T52" i="107"/>
  <c r="U52" i="107"/>
  <c r="V52" i="107"/>
  <c r="W52" i="107"/>
  <c r="X52" i="107"/>
  <c r="Y52" i="107"/>
  <c r="Z52" i="107"/>
  <c r="AA52" i="107"/>
  <c r="AB52" i="107"/>
  <c r="AC52" i="107"/>
  <c r="AD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O53" i="107"/>
  <c r="P53" i="107"/>
  <c r="Q53" i="107"/>
  <c r="R53" i="107"/>
  <c r="S53" i="107"/>
  <c r="T53" i="107"/>
  <c r="U53" i="107"/>
  <c r="V53" i="107"/>
  <c r="W53" i="107"/>
  <c r="X53" i="107"/>
  <c r="Y53" i="107"/>
  <c r="Z53" i="107"/>
  <c r="AA53" i="107"/>
  <c r="AB53" i="107"/>
  <c r="AC53" i="107"/>
  <c r="AD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O54" i="107"/>
  <c r="P54" i="107"/>
  <c r="Q54" i="107"/>
  <c r="R54" i="107"/>
  <c r="S54" i="107"/>
  <c r="T54" i="107"/>
  <c r="U54" i="107"/>
  <c r="V54" i="107"/>
  <c r="W54" i="107"/>
  <c r="X54" i="107"/>
  <c r="Y54" i="107"/>
  <c r="Z54" i="107"/>
  <c r="AA54" i="107"/>
  <c r="AB54" i="107"/>
  <c r="AC54" i="107"/>
  <c r="AD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O55" i="107"/>
  <c r="P55" i="107"/>
  <c r="Q55" i="107"/>
  <c r="R55" i="107"/>
  <c r="S55" i="107"/>
  <c r="T55" i="107"/>
  <c r="U55" i="107"/>
  <c r="V55" i="107"/>
  <c r="W55" i="107"/>
  <c r="X55" i="107"/>
  <c r="Y55" i="107"/>
  <c r="Z55" i="107"/>
  <c r="AA55" i="107"/>
  <c r="AB55" i="107"/>
  <c r="AC55" i="107"/>
  <c r="AD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O56" i="107"/>
  <c r="P56" i="107"/>
  <c r="Q56" i="107"/>
  <c r="R56" i="107"/>
  <c r="S56" i="107"/>
  <c r="T56" i="107"/>
  <c r="U56" i="107"/>
  <c r="V56" i="107"/>
  <c r="W56" i="107"/>
  <c r="X56" i="107"/>
  <c r="Y56" i="107"/>
  <c r="Z56" i="107"/>
  <c r="AA56" i="107"/>
  <c r="AB56" i="107"/>
  <c r="AC56" i="107"/>
  <c r="AD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O57" i="107"/>
  <c r="P57" i="107"/>
  <c r="Q57" i="107"/>
  <c r="R57" i="107"/>
  <c r="S57" i="107"/>
  <c r="T57" i="107"/>
  <c r="U57" i="107"/>
  <c r="V57" i="107"/>
  <c r="W57" i="107"/>
  <c r="X57" i="107"/>
  <c r="Y57" i="107"/>
  <c r="Z57" i="107"/>
  <c r="AA57" i="107"/>
  <c r="AB57" i="107"/>
  <c r="AC57" i="107"/>
  <c r="AD57" i="107"/>
  <c r="C58" i="107"/>
  <c r="D58" i="107"/>
  <c r="E58" i="107"/>
  <c r="F58" i="107"/>
  <c r="G58" i="107"/>
  <c r="H58" i="107"/>
  <c r="I58" i="107"/>
  <c r="J58" i="107"/>
  <c r="K58" i="107"/>
  <c r="L58" i="107"/>
  <c r="M58" i="107"/>
  <c r="N58" i="107"/>
  <c r="O58" i="107"/>
  <c r="P58" i="107"/>
  <c r="Q58" i="107"/>
  <c r="R58" i="107"/>
  <c r="S58" i="107"/>
  <c r="T58" i="107"/>
  <c r="U58" i="107"/>
  <c r="V58" i="107"/>
  <c r="W58" i="107"/>
  <c r="X58" i="107"/>
  <c r="Y58" i="107"/>
  <c r="Z58" i="107"/>
  <c r="AA58" i="107"/>
  <c r="AB58" i="107"/>
  <c r="AC58" i="107"/>
  <c r="AD58" i="107"/>
  <c r="C59" i="107"/>
  <c r="D59" i="107"/>
  <c r="E59" i="107"/>
  <c r="F59" i="107"/>
  <c r="G59" i="107"/>
  <c r="H59" i="107"/>
  <c r="I59" i="107"/>
  <c r="J59" i="107"/>
  <c r="K59" i="107"/>
  <c r="L59" i="107"/>
  <c r="M59" i="107"/>
  <c r="N59" i="107"/>
  <c r="O59" i="107"/>
  <c r="P59" i="107"/>
  <c r="Q59" i="107"/>
  <c r="R59" i="107"/>
  <c r="S59" i="107"/>
  <c r="T59" i="107"/>
  <c r="U59" i="107"/>
  <c r="V59" i="107"/>
  <c r="W59" i="107"/>
  <c r="X59" i="107"/>
  <c r="Y59" i="107"/>
  <c r="Z59" i="107"/>
  <c r="AA59" i="107"/>
  <c r="AB59" i="107"/>
  <c r="AC59" i="107"/>
  <c r="AD59" i="107"/>
  <c r="C60" i="107"/>
  <c r="D60" i="107"/>
  <c r="E60" i="107"/>
  <c r="F60" i="107"/>
  <c r="G60" i="107"/>
  <c r="H60" i="107"/>
  <c r="I60" i="107"/>
  <c r="J60" i="107"/>
  <c r="K60" i="107"/>
  <c r="L60" i="107"/>
  <c r="M60" i="107"/>
  <c r="N60" i="107"/>
  <c r="O60" i="107"/>
  <c r="P60" i="107"/>
  <c r="Q60" i="107"/>
  <c r="R60" i="107"/>
  <c r="S60" i="107"/>
  <c r="T60" i="107"/>
  <c r="U60" i="107"/>
  <c r="V60" i="107"/>
  <c r="W60" i="107"/>
  <c r="X60" i="107"/>
  <c r="Y60" i="107"/>
  <c r="Z60" i="107"/>
  <c r="AA60" i="107"/>
  <c r="AB60" i="107"/>
  <c r="AC60" i="107"/>
  <c r="AD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O61" i="107"/>
  <c r="P61" i="107"/>
  <c r="Q61" i="107"/>
  <c r="R61" i="107"/>
  <c r="S61" i="107"/>
  <c r="T61" i="107"/>
  <c r="U61" i="107"/>
  <c r="V61" i="107"/>
  <c r="W61" i="107"/>
  <c r="X61" i="107"/>
  <c r="Y61" i="107"/>
  <c r="Z61" i="107"/>
  <c r="AA61" i="107"/>
  <c r="AB61" i="107"/>
  <c r="AC61" i="107"/>
  <c r="AD61" i="107"/>
  <c r="C62" i="107"/>
  <c r="D62" i="107"/>
  <c r="E62" i="107"/>
  <c r="F62" i="107"/>
  <c r="G62" i="107"/>
  <c r="H62" i="107"/>
  <c r="I62" i="107"/>
  <c r="J62" i="107"/>
  <c r="K62" i="107"/>
  <c r="L62" i="107"/>
  <c r="M62" i="107"/>
  <c r="N62" i="107"/>
  <c r="O62" i="107"/>
  <c r="P62" i="107"/>
  <c r="Q62" i="107"/>
  <c r="R62" i="107"/>
  <c r="S62" i="107"/>
  <c r="T62" i="107"/>
  <c r="U62" i="107"/>
  <c r="V62" i="107"/>
  <c r="W62" i="107"/>
  <c r="X62" i="107"/>
  <c r="Y62" i="107"/>
  <c r="Z62" i="107"/>
  <c r="AA62" i="107"/>
  <c r="AB62" i="107"/>
  <c r="AC62" i="107"/>
  <c r="AD62" i="107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O63" i="107"/>
  <c r="P63" i="107"/>
  <c r="Q63" i="107"/>
  <c r="R63" i="107"/>
  <c r="S63" i="107"/>
  <c r="T63" i="107"/>
  <c r="U63" i="107"/>
  <c r="V63" i="107"/>
  <c r="W63" i="107"/>
  <c r="X63" i="107"/>
  <c r="Y63" i="107"/>
  <c r="Z63" i="107"/>
  <c r="AA63" i="107"/>
  <c r="AB63" i="107"/>
  <c r="AC63" i="107"/>
  <c r="AD63" i="107"/>
  <c r="C64" i="107"/>
  <c r="D64" i="107"/>
  <c r="E64" i="107"/>
  <c r="F64" i="107"/>
  <c r="G64" i="107"/>
  <c r="H64" i="107"/>
  <c r="I64" i="107"/>
  <c r="J64" i="107"/>
  <c r="K64" i="107"/>
  <c r="L64" i="107"/>
  <c r="M64" i="107"/>
  <c r="N64" i="107"/>
  <c r="O64" i="107"/>
  <c r="P64" i="107"/>
  <c r="Q64" i="107"/>
  <c r="R64" i="107"/>
  <c r="S64" i="107"/>
  <c r="T64" i="107"/>
  <c r="U64" i="107"/>
  <c r="V64" i="107"/>
  <c r="W64" i="107"/>
  <c r="X64" i="107"/>
  <c r="Y64" i="107"/>
  <c r="Z64" i="107"/>
  <c r="AA64" i="107"/>
  <c r="AB64" i="107"/>
  <c r="AC64" i="107"/>
  <c r="AD64" i="107"/>
  <c r="C65" i="107"/>
  <c r="D65" i="107"/>
  <c r="E65" i="107"/>
  <c r="F65" i="107"/>
  <c r="G65" i="107"/>
  <c r="H65" i="107"/>
  <c r="I65" i="107"/>
  <c r="J65" i="107"/>
  <c r="K65" i="107"/>
  <c r="L65" i="107"/>
  <c r="M65" i="107"/>
  <c r="N65" i="107"/>
  <c r="O65" i="107"/>
  <c r="P65" i="107"/>
  <c r="Q65" i="107"/>
  <c r="R65" i="107"/>
  <c r="S65" i="107"/>
  <c r="T65" i="107"/>
  <c r="U65" i="107"/>
  <c r="V65" i="107"/>
  <c r="W65" i="107"/>
  <c r="X65" i="107"/>
  <c r="Y65" i="107"/>
  <c r="Z65" i="107"/>
  <c r="AA65" i="107"/>
  <c r="AB65" i="107"/>
  <c r="AC65" i="107"/>
  <c r="AD65" i="107"/>
  <c r="C66" i="107"/>
  <c r="D66" i="107"/>
  <c r="E66" i="107"/>
  <c r="F66" i="107"/>
  <c r="G66" i="107"/>
  <c r="H66" i="107"/>
  <c r="I66" i="107"/>
  <c r="J66" i="107"/>
  <c r="K66" i="107"/>
  <c r="L66" i="107"/>
  <c r="M66" i="107"/>
  <c r="N66" i="107"/>
  <c r="O66" i="107"/>
  <c r="P66" i="107"/>
  <c r="Q66" i="107"/>
  <c r="R66" i="107"/>
  <c r="S66" i="107"/>
  <c r="T66" i="107"/>
  <c r="U66" i="107"/>
  <c r="V66" i="107"/>
  <c r="W66" i="107"/>
  <c r="X66" i="107"/>
  <c r="Y66" i="107"/>
  <c r="Z66" i="107"/>
  <c r="AA66" i="107"/>
  <c r="AB66" i="107"/>
  <c r="AC66" i="107"/>
  <c r="AD66" i="107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O67" i="107"/>
  <c r="P67" i="107"/>
  <c r="Q67" i="107"/>
  <c r="R67" i="107"/>
  <c r="S67" i="107"/>
  <c r="T67" i="107"/>
  <c r="U67" i="107"/>
  <c r="V67" i="107"/>
  <c r="W67" i="107"/>
  <c r="X67" i="107"/>
  <c r="Y67" i="107"/>
  <c r="Z67" i="107"/>
  <c r="AA67" i="107"/>
  <c r="AB67" i="107"/>
  <c r="AC67" i="107"/>
  <c r="AD67" i="107"/>
  <c r="C68" i="107"/>
  <c r="D68" i="107"/>
  <c r="E68" i="107"/>
  <c r="F68" i="107"/>
  <c r="G68" i="107"/>
  <c r="H68" i="107"/>
  <c r="I68" i="107"/>
  <c r="J68" i="107"/>
  <c r="K68" i="107"/>
  <c r="L68" i="107"/>
  <c r="M68" i="107"/>
  <c r="N68" i="107"/>
  <c r="O68" i="107"/>
  <c r="P68" i="107"/>
  <c r="Q68" i="107"/>
  <c r="R68" i="107"/>
  <c r="S68" i="107"/>
  <c r="T68" i="107"/>
  <c r="U68" i="107"/>
  <c r="V68" i="107"/>
  <c r="W68" i="107"/>
  <c r="X68" i="107"/>
  <c r="Y68" i="107"/>
  <c r="Z68" i="107"/>
  <c r="AA68" i="107"/>
  <c r="AB68" i="107"/>
  <c r="AC68" i="107"/>
  <c r="AD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O69" i="107"/>
  <c r="P69" i="107"/>
  <c r="Q69" i="107"/>
  <c r="R69" i="107"/>
  <c r="S69" i="107"/>
  <c r="T69" i="107"/>
  <c r="U69" i="107"/>
  <c r="V69" i="107"/>
  <c r="W69" i="107"/>
  <c r="X69" i="107"/>
  <c r="Y69" i="107"/>
  <c r="Z69" i="107"/>
  <c r="AA69" i="107"/>
  <c r="AB69" i="107"/>
  <c r="AC69" i="107"/>
  <c r="AD69" i="107"/>
  <c r="C70" i="107"/>
  <c r="D70" i="107"/>
  <c r="E70" i="107"/>
  <c r="F70" i="107"/>
  <c r="G70" i="107"/>
  <c r="H70" i="107"/>
  <c r="I70" i="107"/>
  <c r="J70" i="107"/>
  <c r="K70" i="107"/>
  <c r="L70" i="107"/>
  <c r="M70" i="107"/>
  <c r="N70" i="107"/>
  <c r="O70" i="107"/>
  <c r="P70" i="107"/>
  <c r="Q70" i="107"/>
  <c r="R70" i="107"/>
  <c r="S70" i="107"/>
  <c r="T70" i="107"/>
  <c r="U70" i="107"/>
  <c r="V70" i="107"/>
  <c r="W70" i="107"/>
  <c r="X70" i="107"/>
  <c r="Y70" i="107"/>
  <c r="Z70" i="107"/>
  <c r="AA70" i="107"/>
  <c r="AB70" i="107"/>
  <c r="AC70" i="107"/>
  <c r="AD70" i="107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O71" i="107"/>
  <c r="P71" i="107"/>
  <c r="Q71" i="107"/>
  <c r="R71" i="107"/>
  <c r="S71" i="107"/>
  <c r="T71" i="107"/>
  <c r="U71" i="107"/>
  <c r="V71" i="107"/>
  <c r="W71" i="107"/>
  <c r="X71" i="107"/>
  <c r="Y71" i="107"/>
  <c r="Z71" i="107"/>
  <c r="AA71" i="107"/>
  <c r="AB71" i="107"/>
  <c r="AC71" i="107"/>
  <c r="AD71" i="107"/>
  <c r="C72" i="107"/>
  <c r="D72" i="107"/>
  <c r="E72" i="107"/>
  <c r="F72" i="107"/>
  <c r="G72" i="107"/>
  <c r="H72" i="107"/>
  <c r="I72" i="107"/>
  <c r="J72" i="107"/>
  <c r="K72" i="107"/>
  <c r="L72" i="107"/>
  <c r="M72" i="107"/>
  <c r="N72" i="107"/>
  <c r="O72" i="107"/>
  <c r="P72" i="107"/>
  <c r="Q72" i="107"/>
  <c r="R72" i="107"/>
  <c r="S72" i="107"/>
  <c r="T72" i="107"/>
  <c r="U72" i="107"/>
  <c r="V72" i="107"/>
  <c r="W72" i="107"/>
  <c r="X72" i="107"/>
  <c r="Y72" i="107"/>
  <c r="Z72" i="107"/>
  <c r="AA72" i="107"/>
  <c r="AB72" i="107"/>
  <c r="AC72" i="107"/>
  <c r="AD72" i="107"/>
  <c r="C73" i="107"/>
  <c r="D73" i="107"/>
  <c r="E73" i="107"/>
  <c r="F73" i="107"/>
  <c r="G73" i="107"/>
  <c r="H73" i="107"/>
  <c r="I73" i="107"/>
  <c r="J73" i="107"/>
  <c r="K73" i="107"/>
  <c r="L73" i="107"/>
  <c r="M73" i="107"/>
  <c r="N73" i="107"/>
  <c r="O73" i="107"/>
  <c r="P73" i="107"/>
  <c r="Q73" i="107"/>
  <c r="R73" i="107"/>
  <c r="S73" i="107"/>
  <c r="T73" i="107"/>
  <c r="U73" i="107"/>
  <c r="V73" i="107"/>
  <c r="W73" i="107"/>
  <c r="X73" i="107"/>
  <c r="Y73" i="107"/>
  <c r="Z73" i="107"/>
  <c r="AA73" i="107"/>
  <c r="AB73" i="107"/>
  <c r="AC73" i="107"/>
  <c r="AD73" i="107"/>
  <c r="C74" i="107"/>
  <c r="D74" i="107"/>
  <c r="E74" i="107"/>
  <c r="F74" i="107"/>
  <c r="G74" i="107"/>
  <c r="H74" i="107"/>
  <c r="I74" i="107"/>
  <c r="J74" i="107"/>
  <c r="K74" i="107"/>
  <c r="L74" i="107"/>
  <c r="M74" i="107"/>
  <c r="N74" i="107"/>
  <c r="O74" i="107"/>
  <c r="P74" i="107"/>
  <c r="Q74" i="107"/>
  <c r="R74" i="107"/>
  <c r="S74" i="107"/>
  <c r="T74" i="107"/>
  <c r="U74" i="107"/>
  <c r="V74" i="107"/>
  <c r="W74" i="107"/>
  <c r="X74" i="107"/>
  <c r="Y74" i="107"/>
  <c r="Z74" i="107"/>
  <c r="AA74" i="107"/>
  <c r="AB74" i="107"/>
  <c r="AC74" i="107"/>
  <c r="AD74" i="107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O75" i="107"/>
  <c r="P75" i="107"/>
  <c r="Q75" i="107"/>
  <c r="R75" i="107"/>
  <c r="S75" i="107"/>
  <c r="T75" i="107"/>
  <c r="U75" i="107"/>
  <c r="V75" i="107"/>
  <c r="W75" i="107"/>
  <c r="X75" i="107"/>
  <c r="Y75" i="107"/>
  <c r="Z75" i="107"/>
  <c r="AA75" i="107"/>
  <c r="AB75" i="107"/>
  <c r="AC75" i="107"/>
  <c r="AD75" i="107"/>
  <c r="C76" i="107"/>
  <c r="D76" i="107"/>
  <c r="E76" i="107"/>
  <c r="F76" i="107"/>
  <c r="G76" i="107"/>
  <c r="H76" i="107"/>
  <c r="I76" i="107"/>
  <c r="J76" i="107"/>
  <c r="K76" i="107"/>
  <c r="L76" i="107"/>
  <c r="M76" i="107"/>
  <c r="N76" i="107"/>
  <c r="O76" i="107"/>
  <c r="P76" i="107"/>
  <c r="Q76" i="107"/>
  <c r="R76" i="107"/>
  <c r="S76" i="107"/>
  <c r="T76" i="107"/>
  <c r="U76" i="107"/>
  <c r="V76" i="107"/>
  <c r="W76" i="107"/>
  <c r="X76" i="107"/>
  <c r="Y76" i="107"/>
  <c r="Z76" i="107"/>
  <c r="AA76" i="107"/>
  <c r="AB76" i="107"/>
  <c r="AC76" i="107"/>
  <c r="AD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O77" i="107"/>
  <c r="P77" i="107"/>
  <c r="Q77" i="107"/>
  <c r="R77" i="107"/>
  <c r="S77" i="107"/>
  <c r="T77" i="107"/>
  <c r="U77" i="107"/>
  <c r="V77" i="107"/>
  <c r="W77" i="107"/>
  <c r="X77" i="107"/>
  <c r="Y77" i="107"/>
  <c r="Z77" i="107"/>
  <c r="AA77" i="107"/>
  <c r="AB77" i="107"/>
  <c r="AC77" i="107"/>
  <c r="AD77" i="107"/>
  <c r="C78" i="107"/>
  <c r="D78" i="107"/>
  <c r="E78" i="107"/>
  <c r="F78" i="107"/>
  <c r="G78" i="107"/>
  <c r="H78" i="107"/>
  <c r="I78" i="107"/>
  <c r="J78" i="107"/>
  <c r="K78" i="107"/>
  <c r="L78" i="107"/>
  <c r="M78" i="107"/>
  <c r="N78" i="107"/>
  <c r="O78" i="107"/>
  <c r="P78" i="107"/>
  <c r="Q78" i="107"/>
  <c r="R78" i="107"/>
  <c r="S78" i="107"/>
  <c r="T78" i="107"/>
  <c r="U78" i="107"/>
  <c r="V78" i="107"/>
  <c r="W78" i="107"/>
  <c r="X78" i="107"/>
  <c r="Y78" i="107"/>
  <c r="Z78" i="107"/>
  <c r="AA78" i="107"/>
  <c r="AB78" i="107"/>
  <c r="AC78" i="107"/>
  <c r="AD78" i="107"/>
  <c r="C79" i="107"/>
  <c r="D79" i="107"/>
  <c r="E79" i="107"/>
  <c r="F79" i="107"/>
  <c r="G79" i="107"/>
  <c r="H79" i="107"/>
  <c r="I79" i="107"/>
  <c r="J79" i="107"/>
  <c r="K79" i="107"/>
  <c r="L79" i="107"/>
  <c r="M79" i="107"/>
  <c r="N79" i="107"/>
  <c r="O79" i="107"/>
  <c r="P79" i="107"/>
  <c r="Q79" i="107"/>
  <c r="R79" i="107"/>
  <c r="S79" i="107"/>
  <c r="T79" i="107"/>
  <c r="U79" i="107"/>
  <c r="V79" i="107"/>
  <c r="W79" i="107"/>
  <c r="X79" i="107"/>
  <c r="Y79" i="107"/>
  <c r="Z79" i="107"/>
  <c r="AA79" i="107"/>
  <c r="AB79" i="107"/>
  <c r="AC79" i="107"/>
  <c r="AD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O80" i="107"/>
  <c r="P80" i="107"/>
  <c r="Q80" i="107"/>
  <c r="R80" i="107"/>
  <c r="S80" i="107"/>
  <c r="T80" i="107"/>
  <c r="U80" i="107"/>
  <c r="V80" i="107"/>
  <c r="W80" i="107"/>
  <c r="X80" i="107"/>
  <c r="Y80" i="107"/>
  <c r="Z80" i="107"/>
  <c r="AA80" i="107"/>
  <c r="AB80" i="107"/>
  <c r="AC80" i="107"/>
  <c r="AD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O81" i="107"/>
  <c r="P81" i="107"/>
  <c r="Q81" i="107"/>
  <c r="R81" i="107"/>
  <c r="S81" i="107"/>
  <c r="T81" i="107"/>
  <c r="U81" i="107"/>
  <c r="V81" i="107"/>
  <c r="W81" i="107"/>
  <c r="X81" i="107"/>
  <c r="Y81" i="107"/>
  <c r="Z81" i="107"/>
  <c r="AA81" i="107"/>
  <c r="AB81" i="107"/>
  <c r="AC81" i="107"/>
  <c r="AD81" i="107"/>
  <c r="C82" i="107"/>
  <c r="D82" i="107"/>
  <c r="E82" i="107"/>
  <c r="F82" i="107"/>
  <c r="G82" i="107"/>
  <c r="H82" i="107"/>
  <c r="I82" i="107"/>
  <c r="J82" i="107"/>
  <c r="K82" i="107"/>
  <c r="L82" i="107"/>
  <c r="M82" i="107"/>
  <c r="N82" i="107"/>
  <c r="O82" i="107"/>
  <c r="P82" i="107"/>
  <c r="Q82" i="107"/>
  <c r="R82" i="107"/>
  <c r="S82" i="107"/>
  <c r="T82" i="107"/>
  <c r="U82" i="107"/>
  <c r="V82" i="107"/>
  <c r="W82" i="107"/>
  <c r="X82" i="107"/>
  <c r="Y82" i="107"/>
  <c r="Z82" i="107"/>
  <c r="AA82" i="107"/>
  <c r="AB82" i="107"/>
  <c r="AC82" i="107"/>
  <c r="AD82" i="107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O83" i="107"/>
  <c r="P83" i="107"/>
  <c r="Q83" i="107"/>
  <c r="R83" i="107"/>
  <c r="S83" i="107"/>
  <c r="T83" i="107"/>
  <c r="U83" i="107"/>
  <c r="V83" i="107"/>
  <c r="W83" i="107"/>
  <c r="X83" i="107"/>
  <c r="Y83" i="107"/>
  <c r="Z83" i="107"/>
  <c r="AA83" i="107"/>
  <c r="AB83" i="107"/>
  <c r="AC83" i="107"/>
  <c r="AD83" i="107"/>
  <c r="C84" i="107"/>
  <c r="D84" i="107"/>
  <c r="E84" i="107"/>
  <c r="F84" i="107"/>
  <c r="G84" i="107"/>
  <c r="H84" i="107"/>
  <c r="I84" i="107"/>
  <c r="J84" i="107"/>
  <c r="K84" i="107"/>
  <c r="L84" i="107"/>
  <c r="M84" i="107"/>
  <c r="N84" i="107"/>
  <c r="O84" i="107"/>
  <c r="P84" i="107"/>
  <c r="Q84" i="107"/>
  <c r="R84" i="107"/>
  <c r="S84" i="107"/>
  <c r="T84" i="107"/>
  <c r="U84" i="107"/>
  <c r="V84" i="107"/>
  <c r="W84" i="107"/>
  <c r="X84" i="107"/>
  <c r="Y84" i="107"/>
  <c r="Z84" i="107"/>
  <c r="AA84" i="107"/>
  <c r="AB84" i="107"/>
  <c r="AC84" i="107"/>
  <c r="AD84" i="107"/>
  <c r="C85" i="107"/>
  <c r="D85" i="107"/>
  <c r="E85" i="107"/>
  <c r="F85" i="107"/>
  <c r="G85" i="107"/>
  <c r="H85" i="107"/>
  <c r="I85" i="107"/>
  <c r="J85" i="107"/>
  <c r="K85" i="107"/>
  <c r="L85" i="107"/>
  <c r="M85" i="107"/>
  <c r="N85" i="107"/>
  <c r="O85" i="107"/>
  <c r="P85" i="107"/>
  <c r="Q85" i="107"/>
  <c r="R85" i="107"/>
  <c r="S85" i="107"/>
  <c r="T85" i="107"/>
  <c r="U85" i="107"/>
  <c r="V85" i="107"/>
  <c r="W85" i="107"/>
  <c r="X85" i="107"/>
  <c r="Y85" i="107"/>
  <c r="Z85" i="107"/>
  <c r="AA85" i="107"/>
  <c r="AB85" i="107"/>
  <c r="AC85" i="107"/>
  <c r="AD85" i="107"/>
  <c r="C86" i="107"/>
  <c r="D86" i="107"/>
  <c r="E86" i="107"/>
  <c r="F86" i="107"/>
  <c r="G86" i="107"/>
  <c r="H86" i="107"/>
  <c r="I86" i="107"/>
  <c r="J86" i="107"/>
  <c r="K86" i="107"/>
  <c r="L86" i="107"/>
  <c r="M86" i="107"/>
  <c r="N86" i="107"/>
  <c r="O86" i="107"/>
  <c r="P86" i="107"/>
  <c r="Q86" i="107"/>
  <c r="R86" i="107"/>
  <c r="S86" i="107"/>
  <c r="T86" i="107"/>
  <c r="U86" i="107"/>
  <c r="V86" i="107"/>
  <c r="W86" i="107"/>
  <c r="X86" i="107"/>
  <c r="Y86" i="107"/>
  <c r="Z86" i="107"/>
  <c r="AA86" i="107"/>
  <c r="AB86" i="107"/>
  <c r="AC86" i="107"/>
  <c r="AD86" i="107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O87" i="107"/>
  <c r="P87" i="107"/>
  <c r="Q87" i="107"/>
  <c r="R87" i="107"/>
  <c r="S87" i="107"/>
  <c r="T87" i="107"/>
  <c r="U87" i="107"/>
  <c r="V87" i="107"/>
  <c r="W87" i="107"/>
  <c r="X87" i="107"/>
  <c r="Y87" i="107"/>
  <c r="Z87" i="107"/>
  <c r="AA87" i="107"/>
  <c r="AB87" i="107"/>
  <c r="AC87" i="107"/>
  <c r="AD87" i="107"/>
  <c r="C88" i="107"/>
  <c r="D88" i="107"/>
  <c r="E88" i="107"/>
  <c r="F88" i="107"/>
  <c r="G88" i="107"/>
  <c r="H88" i="107"/>
  <c r="I88" i="107"/>
  <c r="J88" i="107"/>
  <c r="K88" i="107"/>
  <c r="L88" i="107"/>
  <c r="M88" i="107"/>
  <c r="N88" i="107"/>
  <c r="O88" i="107"/>
  <c r="P88" i="107"/>
  <c r="Q88" i="107"/>
  <c r="R88" i="107"/>
  <c r="S88" i="107"/>
  <c r="T88" i="107"/>
  <c r="U88" i="107"/>
  <c r="V88" i="107"/>
  <c r="W88" i="107"/>
  <c r="X88" i="107"/>
  <c r="Y88" i="107"/>
  <c r="Z88" i="107"/>
  <c r="AA88" i="107"/>
  <c r="AB88" i="107"/>
  <c r="AC88" i="107"/>
  <c r="AD88" i="107"/>
  <c r="C89" i="107"/>
  <c r="D89" i="107"/>
  <c r="E89" i="107"/>
  <c r="F89" i="107"/>
  <c r="G89" i="107"/>
  <c r="H89" i="107"/>
  <c r="I89" i="107"/>
  <c r="J89" i="107"/>
  <c r="K89" i="107"/>
  <c r="L89" i="107"/>
  <c r="M89" i="107"/>
  <c r="N89" i="107"/>
  <c r="O89" i="107"/>
  <c r="P89" i="107"/>
  <c r="Q89" i="107"/>
  <c r="R89" i="107"/>
  <c r="S89" i="107"/>
  <c r="T89" i="107"/>
  <c r="U89" i="107"/>
  <c r="V89" i="107"/>
  <c r="W89" i="107"/>
  <c r="X89" i="107"/>
  <c r="Y89" i="107"/>
  <c r="Z89" i="107"/>
  <c r="AA89" i="107"/>
  <c r="AB89" i="107"/>
  <c r="AC89" i="107"/>
  <c r="AD89" i="107"/>
  <c r="C90" i="107"/>
  <c r="D90" i="107"/>
  <c r="E90" i="107"/>
  <c r="F90" i="107"/>
  <c r="G90" i="107"/>
  <c r="H90" i="107"/>
  <c r="I90" i="107"/>
  <c r="J90" i="107"/>
  <c r="K90" i="107"/>
  <c r="L90" i="107"/>
  <c r="M90" i="107"/>
  <c r="N90" i="107"/>
  <c r="O90" i="107"/>
  <c r="P90" i="107"/>
  <c r="Q90" i="107"/>
  <c r="R90" i="107"/>
  <c r="S90" i="107"/>
  <c r="T90" i="107"/>
  <c r="U90" i="107"/>
  <c r="V90" i="107"/>
  <c r="W90" i="107"/>
  <c r="X90" i="107"/>
  <c r="Y90" i="107"/>
  <c r="Z90" i="107"/>
  <c r="AA90" i="107"/>
  <c r="AB90" i="107"/>
  <c r="AC90" i="107"/>
  <c r="AD90" i="107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O91" i="107"/>
  <c r="P91" i="107"/>
  <c r="Q91" i="107"/>
  <c r="R91" i="107"/>
  <c r="S91" i="107"/>
  <c r="T91" i="107"/>
  <c r="U91" i="107"/>
  <c r="V91" i="107"/>
  <c r="W91" i="107"/>
  <c r="X91" i="107"/>
  <c r="Y91" i="107"/>
  <c r="Z91" i="107"/>
  <c r="AA91" i="107"/>
  <c r="AB91" i="107"/>
  <c r="AC91" i="107"/>
  <c r="AD91" i="107"/>
  <c r="C92" i="107"/>
  <c r="D92" i="107"/>
  <c r="E92" i="107"/>
  <c r="F92" i="107"/>
  <c r="G92" i="107"/>
  <c r="H92" i="107"/>
  <c r="I92" i="107"/>
  <c r="J92" i="107"/>
  <c r="K92" i="107"/>
  <c r="L92" i="107"/>
  <c r="M92" i="107"/>
  <c r="N92" i="107"/>
  <c r="O92" i="107"/>
  <c r="P92" i="107"/>
  <c r="Q92" i="107"/>
  <c r="R92" i="107"/>
  <c r="S92" i="107"/>
  <c r="T92" i="107"/>
  <c r="U92" i="107"/>
  <c r="V92" i="107"/>
  <c r="W92" i="107"/>
  <c r="X92" i="107"/>
  <c r="Y92" i="107"/>
  <c r="Z92" i="107"/>
  <c r="AA92" i="107"/>
  <c r="AB92" i="107"/>
  <c r="AC92" i="107"/>
  <c r="AD92" i="107"/>
  <c r="C93" i="107"/>
  <c r="D93" i="107"/>
  <c r="E93" i="107"/>
  <c r="F93" i="107"/>
  <c r="G93" i="107"/>
  <c r="H93" i="107"/>
  <c r="I93" i="107"/>
  <c r="J93" i="107"/>
  <c r="K93" i="107"/>
  <c r="L93" i="107"/>
  <c r="M93" i="107"/>
  <c r="N93" i="107"/>
  <c r="O93" i="107"/>
  <c r="P93" i="107"/>
  <c r="Q93" i="107"/>
  <c r="R93" i="107"/>
  <c r="S93" i="107"/>
  <c r="T93" i="107"/>
  <c r="U93" i="107"/>
  <c r="V93" i="107"/>
  <c r="W93" i="107"/>
  <c r="X93" i="107"/>
  <c r="Y93" i="107"/>
  <c r="Z93" i="107"/>
  <c r="AA93" i="107"/>
  <c r="AB93" i="107"/>
  <c r="AC93" i="107"/>
  <c r="AD93" i="107"/>
  <c r="C94" i="107"/>
  <c r="D94" i="107"/>
  <c r="E94" i="107"/>
  <c r="F94" i="107"/>
  <c r="G94" i="107"/>
  <c r="H94" i="107"/>
  <c r="I94" i="107"/>
  <c r="J94" i="107"/>
  <c r="K94" i="107"/>
  <c r="L94" i="107"/>
  <c r="M94" i="107"/>
  <c r="N94" i="107"/>
  <c r="O94" i="107"/>
  <c r="P94" i="107"/>
  <c r="Q94" i="107"/>
  <c r="R94" i="107"/>
  <c r="S94" i="107"/>
  <c r="T94" i="107"/>
  <c r="U94" i="107"/>
  <c r="V94" i="107"/>
  <c r="W94" i="107"/>
  <c r="X94" i="107"/>
  <c r="Y94" i="107"/>
  <c r="Z94" i="107"/>
  <c r="AA94" i="107"/>
  <c r="AB94" i="107"/>
  <c r="AC94" i="107"/>
  <c r="AD94" i="107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O95" i="107"/>
  <c r="P95" i="107"/>
  <c r="Q95" i="107"/>
  <c r="R95" i="107"/>
  <c r="S95" i="107"/>
  <c r="T95" i="107"/>
  <c r="U95" i="107"/>
  <c r="V95" i="107"/>
  <c r="W95" i="107"/>
  <c r="X95" i="107"/>
  <c r="Y95" i="107"/>
  <c r="Z95" i="107"/>
  <c r="AA95" i="107"/>
  <c r="AB95" i="107"/>
  <c r="AC95" i="107"/>
  <c r="AD95" i="107"/>
  <c r="C96" i="107"/>
  <c r="D96" i="107"/>
  <c r="E96" i="107"/>
  <c r="F96" i="107"/>
  <c r="G96" i="107"/>
  <c r="H96" i="107"/>
  <c r="I96" i="107"/>
  <c r="J96" i="107"/>
  <c r="K96" i="107"/>
  <c r="L96" i="107"/>
  <c r="M96" i="107"/>
  <c r="N96" i="107"/>
  <c r="O96" i="107"/>
  <c r="P96" i="107"/>
  <c r="Q96" i="107"/>
  <c r="R96" i="107"/>
  <c r="S96" i="107"/>
  <c r="T96" i="107"/>
  <c r="U96" i="107"/>
  <c r="V96" i="107"/>
  <c r="W96" i="107"/>
  <c r="X96" i="107"/>
  <c r="Y96" i="107"/>
  <c r="Z96" i="107"/>
  <c r="AA96" i="107"/>
  <c r="AB96" i="107"/>
  <c r="AC96" i="107"/>
  <c r="AD96" i="107"/>
  <c r="C97" i="107"/>
  <c r="D97" i="107"/>
  <c r="E97" i="107"/>
  <c r="F97" i="107"/>
  <c r="G97" i="107"/>
  <c r="H97" i="107"/>
  <c r="I97" i="107"/>
  <c r="J97" i="107"/>
  <c r="K97" i="107"/>
  <c r="L97" i="107"/>
  <c r="M97" i="107"/>
  <c r="N97" i="107"/>
  <c r="O97" i="107"/>
  <c r="P97" i="107"/>
  <c r="Q97" i="107"/>
  <c r="R97" i="107"/>
  <c r="S97" i="107"/>
  <c r="T97" i="107"/>
  <c r="U97" i="107"/>
  <c r="V97" i="107"/>
  <c r="W97" i="107"/>
  <c r="X97" i="107"/>
  <c r="Y97" i="107"/>
  <c r="Z97" i="107"/>
  <c r="AA97" i="107"/>
  <c r="AB97" i="107"/>
  <c r="AC97" i="107"/>
  <c r="AD97" i="107"/>
  <c r="C98" i="107"/>
  <c r="D98" i="107"/>
  <c r="E98" i="107"/>
  <c r="F98" i="107"/>
  <c r="G98" i="107"/>
  <c r="H98" i="107"/>
  <c r="I98" i="107"/>
  <c r="J98" i="107"/>
  <c r="K98" i="107"/>
  <c r="L98" i="107"/>
  <c r="M98" i="107"/>
  <c r="N98" i="107"/>
  <c r="O98" i="107"/>
  <c r="P98" i="107"/>
  <c r="Q98" i="107"/>
  <c r="R98" i="107"/>
  <c r="S98" i="107"/>
  <c r="T98" i="107"/>
  <c r="U98" i="107"/>
  <c r="V98" i="107"/>
  <c r="W98" i="107"/>
  <c r="X98" i="107"/>
  <c r="Y98" i="107"/>
  <c r="Z98" i="107"/>
  <c r="AA98" i="107"/>
  <c r="AB98" i="107"/>
  <c r="AC98" i="107"/>
  <c r="AD98" i="107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O99" i="107"/>
  <c r="P99" i="107"/>
  <c r="Q99" i="107"/>
  <c r="R99" i="107"/>
  <c r="S99" i="107"/>
  <c r="T99" i="107"/>
  <c r="U99" i="107"/>
  <c r="V99" i="107"/>
  <c r="W99" i="107"/>
  <c r="X99" i="107"/>
  <c r="Y99" i="107"/>
  <c r="Z99" i="107"/>
  <c r="AA99" i="107"/>
  <c r="AB99" i="107"/>
  <c r="AC99" i="107"/>
  <c r="AD99" i="107"/>
  <c r="C100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O100" i="107"/>
  <c r="P100" i="107"/>
  <c r="Q100" i="107"/>
  <c r="R100" i="107"/>
  <c r="S100" i="107"/>
  <c r="T100" i="107"/>
  <c r="U100" i="107"/>
  <c r="V100" i="107"/>
  <c r="W100" i="107"/>
  <c r="X100" i="107"/>
  <c r="Y100" i="107"/>
  <c r="Z100" i="107"/>
  <c r="AA100" i="107"/>
  <c r="AB100" i="107"/>
  <c r="AC100" i="107"/>
  <c r="AD100" i="107"/>
  <c r="C101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O101" i="107"/>
  <c r="P101" i="107"/>
  <c r="Q101" i="107"/>
  <c r="R101" i="107"/>
  <c r="S101" i="107"/>
  <c r="T101" i="107"/>
  <c r="U101" i="107"/>
  <c r="V101" i="107"/>
  <c r="W101" i="107"/>
  <c r="X101" i="107"/>
  <c r="Y101" i="107"/>
  <c r="Z101" i="107"/>
  <c r="AA101" i="107"/>
  <c r="AB101" i="107"/>
  <c r="AC101" i="107"/>
  <c r="AD101" i="107"/>
  <c r="C102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O102" i="107"/>
  <c r="P102" i="107"/>
  <c r="Q102" i="107"/>
  <c r="R102" i="107"/>
  <c r="S102" i="107"/>
  <c r="T102" i="107"/>
  <c r="U102" i="107"/>
  <c r="V102" i="107"/>
  <c r="W102" i="107"/>
  <c r="X102" i="107"/>
  <c r="Y102" i="107"/>
  <c r="Z102" i="107"/>
  <c r="AA102" i="107"/>
  <c r="AB102" i="107"/>
  <c r="AC102" i="107"/>
  <c r="AD102" i="107"/>
  <c r="C103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O103" i="107"/>
  <c r="P103" i="107"/>
  <c r="Q103" i="107"/>
  <c r="R103" i="107"/>
  <c r="S103" i="107"/>
  <c r="T103" i="107"/>
  <c r="U103" i="107"/>
  <c r="V103" i="107"/>
  <c r="W103" i="107"/>
  <c r="X103" i="107"/>
  <c r="Y103" i="107"/>
  <c r="Z103" i="107"/>
  <c r="AA103" i="107"/>
  <c r="AB103" i="107"/>
  <c r="AC103" i="107"/>
  <c r="AD103" i="107"/>
  <c r="C104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O104" i="107"/>
  <c r="P104" i="107"/>
  <c r="Q104" i="107"/>
  <c r="R104" i="107"/>
  <c r="S104" i="107"/>
  <c r="T104" i="107"/>
  <c r="U104" i="107"/>
  <c r="V104" i="107"/>
  <c r="W104" i="107"/>
  <c r="X104" i="107"/>
  <c r="Y104" i="107"/>
  <c r="Z104" i="107"/>
  <c r="AA104" i="107"/>
  <c r="AB104" i="107"/>
  <c r="AC104" i="107"/>
  <c r="AD104" i="107"/>
  <c r="C105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O105" i="107"/>
  <c r="P105" i="107"/>
  <c r="Q105" i="107"/>
  <c r="R105" i="107"/>
  <c r="S105" i="107"/>
  <c r="T105" i="107"/>
  <c r="U105" i="107"/>
  <c r="V105" i="107"/>
  <c r="W105" i="107"/>
  <c r="X105" i="107"/>
  <c r="Y105" i="107"/>
  <c r="Z105" i="107"/>
  <c r="AA105" i="107"/>
  <c r="AB105" i="107"/>
  <c r="AC105" i="107"/>
  <c r="AD105" i="107"/>
  <c r="C106" i="107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Q106" i="107"/>
  <c r="R106" i="107"/>
  <c r="S106" i="107"/>
  <c r="T106" i="107"/>
  <c r="U106" i="107"/>
  <c r="V106" i="107"/>
  <c r="W106" i="107"/>
  <c r="X106" i="107"/>
  <c r="Y106" i="107"/>
  <c r="Z106" i="107"/>
  <c r="AA106" i="107"/>
  <c r="AB106" i="107"/>
  <c r="AC106" i="107"/>
  <c r="AD106" i="107"/>
  <c r="C107" i="107"/>
  <c r="D107" i="107"/>
  <c r="E107" i="107"/>
  <c r="F107" i="107"/>
  <c r="G107" i="107"/>
  <c r="H107" i="107"/>
  <c r="I107" i="107"/>
  <c r="J107" i="107"/>
  <c r="K107" i="107"/>
  <c r="L107" i="107"/>
  <c r="M107" i="107"/>
  <c r="N107" i="107"/>
  <c r="O107" i="107"/>
  <c r="P107" i="107"/>
  <c r="Q107" i="107"/>
  <c r="R107" i="107"/>
  <c r="S107" i="107"/>
  <c r="T107" i="107"/>
  <c r="U107" i="107"/>
  <c r="V107" i="107"/>
  <c r="W107" i="107"/>
  <c r="X107" i="107"/>
  <c r="Y107" i="107"/>
  <c r="Z107" i="107"/>
  <c r="AA107" i="107"/>
  <c r="AB107" i="107"/>
  <c r="AC107" i="107"/>
  <c r="AD107" i="107"/>
  <c r="C108" i="107"/>
  <c r="D108" i="107"/>
  <c r="E108" i="107"/>
  <c r="F108" i="107"/>
  <c r="G108" i="107"/>
  <c r="H108" i="107"/>
  <c r="I108" i="107"/>
  <c r="J108" i="107"/>
  <c r="K108" i="107"/>
  <c r="L108" i="107"/>
  <c r="M108" i="107"/>
  <c r="N108" i="107"/>
  <c r="O108" i="107"/>
  <c r="P108" i="107"/>
  <c r="Q108" i="107"/>
  <c r="R108" i="107"/>
  <c r="S108" i="107"/>
  <c r="T108" i="107"/>
  <c r="U108" i="107"/>
  <c r="V108" i="107"/>
  <c r="W108" i="107"/>
  <c r="X108" i="107"/>
  <c r="Y108" i="107"/>
  <c r="Z108" i="107"/>
  <c r="AA108" i="107"/>
  <c r="AB108" i="107"/>
  <c r="AC108" i="107"/>
  <c r="AD108" i="107"/>
  <c r="C109" i="107"/>
  <c r="D109" i="107"/>
  <c r="E109" i="107"/>
  <c r="F109" i="107"/>
  <c r="G109" i="107"/>
  <c r="H109" i="107"/>
  <c r="I109" i="107"/>
  <c r="J109" i="107"/>
  <c r="K109" i="107"/>
  <c r="L109" i="107"/>
  <c r="M109" i="107"/>
  <c r="N109" i="107"/>
  <c r="O109" i="107"/>
  <c r="P109" i="107"/>
  <c r="Q109" i="107"/>
  <c r="R109" i="107"/>
  <c r="S109" i="107"/>
  <c r="T109" i="107"/>
  <c r="U109" i="107"/>
  <c r="V109" i="107"/>
  <c r="W109" i="107"/>
  <c r="X109" i="107"/>
  <c r="Y109" i="107"/>
  <c r="Z109" i="107"/>
  <c r="AA109" i="107"/>
  <c r="AB109" i="107"/>
  <c r="AC109" i="107"/>
  <c r="AD109" i="107"/>
  <c r="C110" i="107"/>
  <c r="D110" i="107"/>
  <c r="E110" i="107"/>
  <c r="F110" i="107"/>
  <c r="G110" i="107"/>
  <c r="H110" i="107"/>
  <c r="I110" i="107"/>
  <c r="J110" i="107"/>
  <c r="K110" i="107"/>
  <c r="L110" i="107"/>
  <c r="M110" i="107"/>
  <c r="N110" i="107"/>
  <c r="O110" i="107"/>
  <c r="P110" i="107"/>
  <c r="Q110" i="107"/>
  <c r="R110" i="107"/>
  <c r="S110" i="107"/>
  <c r="T110" i="107"/>
  <c r="U110" i="107"/>
  <c r="V110" i="107"/>
  <c r="W110" i="107"/>
  <c r="X110" i="107"/>
  <c r="Y110" i="107"/>
  <c r="Z110" i="107"/>
  <c r="AA110" i="107"/>
  <c r="AB110" i="107"/>
  <c r="AC110" i="107"/>
  <c r="AD110" i="107"/>
  <c r="C111" i="107"/>
  <c r="D111" i="107"/>
  <c r="E111" i="107"/>
  <c r="F111" i="107"/>
  <c r="G111" i="107"/>
  <c r="H111" i="107"/>
  <c r="I111" i="107"/>
  <c r="J111" i="107"/>
  <c r="K111" i="107"/>
  <c r="L111" i="107"/>
  <c r="M111" i="107"/>
  <c r="N111" i="107"/>
  <c r="O111" i="107"/>
  <c r="P111" i="107"/>
  <c r="Q111" i="107"/>
  <c r="R111" i="107"/>
  <c r="S111" i="107"/>
  <c r="T111" i="107"/>
  <c r="U111" i="107"/>
  <c r="V111" i="107"/>
  <c r="W111" i="107"/>
  <c r="X111" i="107"/>
  <c r="Y111" i="107"/>
  <c r="Z111" i="107"/>
  <c r="AA111" i="107"/>
  <c r="AB111" i="107"/>
  <c r="AC111" i="107"/>
  <c r="AD111" i="107"/>
  <c r="C112" i="107"/>
  <c r="D112" i="107"/>
  <c r="E112" i="107"/>
  <c r="F112" i="107"/>
  <c r="G112" i="107"/>
  <c r="H112" i="107"/>
  <c r="I112" i="107"/>
  <c r="J112" i="107"/>
  <c r="K112" i="107"/>
  <c r="L112" i="107"/>
  <c r="M112" i="107"/>
  <c r="N112" i="107"/>
  <c r="O112" i="107"/>
  <c r="P112" i="107"/>
  <c r="Q112" i="107"/>
  <c r="R112" i="107"/>
  <c r="S112" i="107"/>
  <c r="T112" i="107"/>
  <c r="U112" i="107"/>
  <c r="V112" i="107"/>
  <c r="W112" i="107"/>
  <c r="X112" i="107"/>
  <c r="Y112" i="107"/>
  <c r="Z112" i="107"/>
  <c r="AA112" i="107"/>
  <c r="AB112" i="107"/>
  <c r="AC112" i="107"/>
  <c r="AD112" i="107"/>
  <c r="C113" i="107"/>
  <c r="D113" i="107"/>
  <c r="E113" i="107"/>
  <c r="F113" i="107"/>
  <c r="G113" i="107"/>
  <c r="H113" i="107"/>
  <c r="I113" i="107"/>
  <c r="J113" i="107"/>
  <c r="K113" i="107"/>
  <c r="L113" i="107"/>
  <c r="M113" i="107"/>
  <c r="N113" i="107"/>
  <c r="O113" i="107"/>
  <c r="P113" i="107"/>
  <c r="Q113" i="107"/>
  <c r="R113" i="107"/>
  <c r="S113" i="107"/>
  <c r="T113" i="107"/>
  <c r="U113" i="107"/>
  <c r="V113" i="107"/>
  <c r="W113" i="107"/>
  <c r="X113" i="107"/>
  <c r="Y113" i="107"/>
  <c r="Z113" i="107"/>
  <c r="AA113" i="107"/>
  <c r="AB113" i="107"/>
  <c r="AC113" i="107"/>
  <c r="AD113" i="107"/>
  <c r="C114" i="107"/>
  <c r="D114" i="107"/>
  <c r="E114" i="107"/>
  <c r="F114" i="107"/>
  <c r="G114" i="107"/>
  <c r="H114" i="107"/>
  <c r="I114" i="107"/>
  <c r="J114" i="107"/>
  <c r="K114" i="107"/>
  <c r="L114" i="107"/>
  <c r="M114" i="107"/>
  <c r="N114" i="107"/>
  <c r="O114" i="107"/>
  <c r="P114" i="107"/>
  <c r="Q114" i="107"/>
  <c r="R114" i="107"/>
  <c r="S114" i="107"/>
  <c r="T114" i="107"/>
  <c r="U114" i="107"/>
  <c r="V114" i="107"/>
  <c r="W114" i="107"/>
  <c r="X114" i="107"/>
  <c r="Y114" i="107"/>
  <c r="Z114" i="107"/>
  <c r="AA114" i="107"/>
  <c r="AB114" i="107"/>
  <c r="AC114" i="107"/>
  <c r="AD114" i="107"/>
  <c r="C115" i="107"/>
  <c r="D115" i="107"/>
  <c r="E115" i="107"/>
  <c r="F115" i="107"/>
  <c r="G115" i="107"/>
  <c r="H115" i="107"/>
  <c r="I115" i="107"/>
  <c r="J115" i="107"/>
  <c r="K115" i="107"/>
  <c r="L115" i="107"/>
  <c r="M115" i="107"/>
  <c r="N115" i="107"/>
  <c r="O115" i="107"/>
  <c r="P115" i="107"/>
  <c r="Q115" i="107"/>
  <c r="R115" i="107"/>
  <c r="S115" i="107"/>
  <c r="T115" i="107"/>
  <c r="U115" i="107"/>
  <c r="V115" i="107"/>
  <c r="W115" i="107"/>
  <c r="X115" i="107"/>
  <c r="Y115" i="107"/>
  <c r="Z115" i="107"/>
  <c r="AA115" i="107"/>
  <c r="AB115" i="107"/>
  <c r="AC115" i="107"/>
  <c r="AD115" i="107"/>
  <c r="C116" i="107"/>
  <c r="D116" i="107"/>
  <c r="E116" i="107"/>
  <c r="F116" i="107"/>
  <c r="G116" i="107"/>
  <c r="H116" i="107"/>
  <c r="I116" i="107"/>
  <c r="J116" i="107"/>
  <c r="K116" i="107"/>
  <c r="L116" i="107"/>
  <c r="M116" i="107"/>
  <c r="N116" i="107"/>
  <c r="O116" i="107"/>
  <c r="P116" i="107"/>
  <c r="Q116" i="107"/>
  <c r="R116" i="107"/>
  <c r="S116" i="107"/>
  <c r="T116" i="107"/>
  <c r="U116" i="107"/>
  <c r="V116" i="107"/>
  <c r="W116" i="107"/>
  <c r="X116" i="107"/>
  <c r="Y116" i="107"/>
  <c r="Z116" i="107"/>
  <c r="AA116" i="107"/>
  <c r="AB116" i="107"/>
  <c r="AC116" i="107"/>
  <c r="AD116" i="107"/>
  <c r="C117" i="107"/>
  <c r="D117" i="107"/>
  <c r="E117" i="107"/>
  <c r="F117" i="107"/>
  <c r="G117" i="107"/>
  <c r="H117" i="107"/>
  <c r="I117" i="107"/>
  <c r="J117" i="107"/>
  <c r="K117" i="107"/>
  <c r="L117" i="107"/>
  <c r="M117" i="107"/>
  <c r="N117" i="107"/>
  <c r="O117" i="107"/>
  <c r="P117" i="107"/>
  <c r="Q117" i="107"/>
  <c r="R117" i="107"/>
  <c r="S117" i="107"/>
  <c r="T117" i="107"/>
  <c r="U117" i="107"/>
  <c r="V117" i="107"/>
  <c r="W117" i="107"/>
  <c r="X117" i="107"/>
  <c r="Y117" i="107"/>
  <c r="Z117" i="107"/>
  <c r="AA117" i="107"/>
  <c r="AB117" i="107"/>
  <c r="AC117" i="107"/>
  <c r="AD117" i="107"/>
  <c r="C118" i="107"/>
  <c r="D118" i="107"/>
  <c r="E118" i="107"/>
  <c r="F118" i="107"/>
  <c r="G118" i="107"/>
  <c r="H118" i="107"/>
  <c r="I118" i="107"/>
  <c r="J118" i="107"/>
  <c r="K118" i="107"/>
  <c r="L118" i="107"/>
  <c r="M118" i="107"/>
  <c r="N118" i="107"/>
  <c r="O118" i="107"/>
  <c r="P118" i="107"/>
  <c r="Q118" i="107"/>
  <c r="R118" i="107"/>
  <c r="S118" i="107"/>
  <c r="T118" i="107"/>
  <c r="U118" i="107"/>
  <c r="V118" i="107"/>
  <c r="W118" i="107"/>
  <c r="X118" i="107"/>
  <c r="Y118" i="107"/>
  <c r="Z118" i="107"/>
  <c r="AA118" i="107"/>
  <c r="AB118" i="107"/>
  <c r="AC118" i="107"/>
  <c r="AD118" i="107"/>
  <c r="C119" i="107"/>
  <c r="D119" i="107"/>
  <c r="E119" i="107"/>
  <c r="F119" i="107"/>
  <c r="G119" i="107"/>
  <c r="H119" i="107"/>
  <c r="I119" i="107"/>
  <c r="J119" i="107"/>
  <c r="K119" i="107"/>
  <c r="L119" i="107"/>
  <c r="M119" i="107"/>
  <c r="N119" i="107"/>
  <c r="O119" i="107"/>
  <c r="P119" i="107"/>
  <c r="Q119" i="107"/>
  <c r="R119" i="107"/>
  <c r="S119" i="107"/>
  <c r="T119" i="107"/>
  <c r="U119" i="107"/>
  <c r="V119" i="107"/>
  <c r="W119" i="107"/>
  <c r="X119" i="107"/>
  <c r="Y119" i="107"/>
  <c r="Z119" i="107"/>
  <c r="AA119" i="107"/>
  <c r="AB119" i="107"/>
  <c r="AC119" i="107"/>
  <c r="AD119" i="107"/>
  <c r="C120" i="107"/>
  <c r="D120" i="107"/>
  <c r="E120" i="107"/>
  <c r="F120" i="107"/>
  <c r="G120" i="107"/>
  <c r="H120" i="107"/>
  <c r="I120" i="107"/>
  <c r="J120" i="107"/>
  <c r="K120" i="107"/>
  <c r="L120" i="107"/>
  <c r="M120" i="107"/>
  <c r="N120" i="107"/>
  <c r="O120" i="107"/>
  <c r="P120" i="107"/>
  <c r="Q120" i="107"/>
  <c r="R120" i="107"/>
  <c r="S120" i="107"/>
  <c r="T120" i="107"/>
  <c r="U120" i="107"/>
  <c r="V120" i="107"/>
  <c r="W120" i="107"/>
  <c r="X120" i="107"/>
  <c r="Y120" i="107"/>
  <c r="Z120" i="107"/>
  <c r="AA120" i="107"/>
  <c r="AB120" i="107"/>
  <c r="AC120" i="107"/>
  <c r="AD120" i="107"/>
  <c r="C121" i="107"/>
  <c r="D121" i="107"/>
  <c r="E121" i="107"/>
  <c r="F121" i="107"/>
  <c r="G121" i="107"/>
  <c r="H121" i="107"/>
  <c r="I121" i="107"/>
  <c r="J121" i="107"/>
  <c r="K121" i="107"/>
  <c r="L121" i="107"/>
  <c r="M121" i="107"/>
  <c r="N121" i="107"/>
  <c r="O121" i="107"/>
  <c r="P121" i="107"/>
  <c r="Q121" i="107"/>
  <c r="R121" i="107"/>
  <c r="S121" i="107"/>
  <c r="T121" i="107"/>
  <c r="U121" i="107"/>
  <c r="V121" i="107"/>
  <c r="W121" i="107"/>
  <c r="X121" i="107"/>
  <c r="Y121" i="107"/>
  <c r="Z121" i="107"/>
  <c r="AA121" i="107"/>
  <c r="AB121" i="107"/>
  <c r="AC121" i="107"/>
  <c r="AD121" i="107"/>
  <c r="C122" i="107"/>
  <c r="D122" i="107"/>
  <c r="E122" i="107"/>
  <c r="F122" i="107"/>
  <c r="G122" i="107"/>
  <c r="H122" i="107"/>
  <c r="I122" i="107"/>
  <c r="J122" i="107"/>
  <c r="K122" i="107"/>
  <c r="L122" i="107"/>
  <c r="M122" i="107"/>
  <c r="N122" i="107"/>
  <c r="O122" i="107"/>
  <c r="P122" i="107"/>
  <c r="Q122" i="107"/>
  <c r="R122" i="107"/>
  <c r="S122" i="107"/>
  <c r="T122" i="107"/>
  <c r="U122" i="107"/>
  <c r="V122" i="107"/>
  <c r="W122" i="107"/>
  <c r="X122" i="107"/>
  <c r="Y122" i="107"/>
  <c r="Z122" i="107"/>
  <c r="AA122" i="107"/>
  <c r="AB122" i="107"/>
  <c r="AC122" i="107"/>
  <c r="AD122" i="107"/>
  <c r="C123" i="107"/>
  <c r="D123" i="107"/>
  <c r="E123" i="107"/>
  <c r="F123" i="107"/>
  <c r="G123" i="107"/>
  <c r="H123" i="107"/>
  <c r="I123" i="107"/>
  <c r="J123" i="107"/>
  <c r="K123" i="107"/>
  <c r="L123" i="107"/>
  <c r="M123" i="107"/>
  <c r="N123" i="107"/>
  <c r="O123" i="107"/>
  <c r="P123" i="107"/>
  <c r="Q123" i="107"/>
  <c r="R123" i="107"/>
  <c r="S123" i="107"/>
  <c r="T123" i="107"/>
  <c r="U123" i="107"/>
  <c r="V123" i="107"/>
  <c r="W123" i="107"/>
  <c r="X123" i="107"/>
  <c r="Y123" i="107"/>
  <c r="Z123" i="107"/>
  <c r="AA123" i="107"/>
  <c r="AB123" i="107"/>
  <c r="AC123" i="107"/>
  <c r="AD123" i="107"/>
  <c r="C124" i="107"/>
  <c r="D124" i="107"/>
  <c r="E124" i="107"/>
  <c r="F124" i="107"/>
  <c r="G124" i="107"/>
  <c r="H124" i="107"/>
  <c r="I124" i="107"/>
  <c r="J124" i="107"/>
  <c r="K124" i="107"/>
  <c r="L124" i="107"/>
  <c r="M124" i="107"/>
  <c r="N124" i="107"/>
  <c r="O124" i="107"/>
  <c r="P124" i="107"/>
  <c r="Q124" i="107"/>
  <c r="R124" i="107"/>
  <c r="S124" i="107"/>
  <c r="T124" i="107"/>
  <c r="U124" i="107"/>
  <c r="V124" i="107"/>
  <c r="W124" i="107"/>
  <c r="X124" i="107"/>
  <c r="Y124" i="107"/>
  <c r="Z124" i="107"/>
  <c r="AA124" i="107"/>
  <c r="AB124" i="107"/>
  <c r="AC124" i="107"/>
  <c r="AD124" i="107"/>
  <c r="C125" i="107"/>
  <c r="D125" i="107"/>
  <c r="E125" i="107"/>
  <c r="F125" i="107"/>
  <c r="G125" i="107"/>
  <c r="H125" i="107"/>
  <c r="I125" i="107"/>
  <c r="J125" i="107"/>
  <c r="K125" i="107"/>
  <c r="L125" i="107"/>
  <c r="M125" i="107"/>
  <c r="N125" i="107"/>
  <c r="O125" i="107"/>
  <c r="P125" i="107"/>
  <c r="Q125" i="107"/>
  <c r="R125" i="107"/>
  <c r="S125" i="107"/>
  <c r="T125" i="107"/>
  <c r="U125" i="107"/>
  <c r="V125" i="107"/>
  <c r="W125" i="107"/>
  <c r="X125" i="107"/>
  <c r="Y125" i="107"/>
  <c r="Z125" i="107"/>
  <c r="AA125" i="107"/>
  <c r="AB125" i="107"/>
  <c r="AC125" i="107"/>
  <c r="AD125" i="107"/>
  <c r="C126" i="107"/>
  <c r="D126" i="107"/>
  <c r="E126" i="107"/>
  <c r="F126" i="107"/>
  <c r="G126" i="107"/>
  <c r="H126" i="107"/>
  <c r="I126" i="107"/>
  <c r="J126" i="107"/>
  <c r="K126" i="107"/>
  <c r="L126" i="107"/>
  <c r="M126" i="107"/>
  <c r="N126" i="107"/>
  <c r="O126" i="107"/>
  <c r="P126" i="107"/>
  <c r="Q126" i="107"/>
  <c r="R126" i="107"/>
  <c r="S126" i="107"/>
  <c r="T126" i="107"/>
  <c r="U126" i="107"/>
  <c r="V126" i="107"/>
  <c r="W126" i="107"/>
  <c r="X126" i="107"/>
  <c r="Y126" i="107"/>
  <c r="Z126" i="107"/>
  <c r="AA126" i="107"/>
  <c r="AB126" i="107"/>
  <c r="AC126" i="107"/>
  <c r="AD126" i="107"/>
  <c r="C127" i="107"/>
  <c r="D127" i="107"/>
  <c r="E127" i="107"/>
  <c r="F127" i="107"/>
  <c r="G127" i="107"/>
  <c r="H127" i="107"/>
  <c r="I127" i="107"/>
  <c r="J127" i="107"/>
  <c r="K127" i="107"/>
  <c r="L127" i="107"/>
  <c r="M127" i="107"/>
  <c r="N127" i="107"/>
  <c r="O127" i="107"/>
  <c r="P127" i="107"/>
  <c r="Q127" i="107"/>
  <c r="R127" i="107"/>
  <c r="S127" i="107"/>
  <c r="T127" i="107"/>
  <c r="U127" i="107"/>
  <c r="V127" i="107"/>
  <c r="W127" i="107"/>
  <c r="X127" i="107"/>
  <c r="Y127" i="107"/>
  <c r="Z127" i="107"/>
  <c r="AA127" i="107"/>
  <c r="AB127" i="107"/>
  <c r="AC127" i="107"/>
  <c r="AD127" i="107"/>
  <c r="C128" i="107"/>
  <c r="D128" i="107"/>
  <c r="E128" i="107"/>
  <c r="F128" i="107"/>
  <c r="G128" i="107"/>
  <c r="H128" i="107"/>
  <c r="I128" i="107"/>
  <c r="J128" i="107"/>
  <c r="K128" i="107"/>
  <c r="L128" i="107"/>
  <c r="M128" i="107"/>
  <c r="N128" i="107"/>
  <c r="O128" i="107"/>
  <c r="P128" i="107"/>
  <c r="Q128" i="107"/>
  <c r="R128" i="107"/>
  <c r="S128" i="107"/>
  <c r="T128" i="107"/>
  <c r="U128" i="107"/>
  <c r="V128" i="107"/>
  <c r="W128" i="107"/>
  <c r="X128" i="107"/>
  <c r="Y128" i="107"/>
  <c r="Z128" i="107"/>
  <c r="AA128" i="107"/>
  <c r="AB128" i="107"/>
  <c r="AC128" i="107"/>
  <c r="AD128" i="107"/>
  <c r="C129" i="107"/>
  <c r="D129" i="107"/>
  <c r="E129" i="107"/>
  <c r="F129" i="107"/>
  <c r="G129" i="107"/>
  <c r="H129" i="107"/>
  <c r="I129" i="107"/>
  <c r="J129" i="107"/>
  <c r="K129" i="107"/>
  <c r="L129" i="107"/>
  <c r="M129" i="107"/>
  <c r="N129" i="107"/>
  <c r="O129" i="107"/>
  <c r="P129" i="107"/>
  <c r="Q129" i="107"/>
  <c r="R129" i="107"/>
  <c r="S129" i="107"/>
  <c r="T129" i="107"/>
  <c r="U129" i="107"/>
  <c r="V129" i="107"/>
  <c r="W129" i="107"/>
  <c r="X129" i="107"/>
  <c r="Y129" i="107"/>
  <c r="Z129" i="107"/>
  <c r="AA129" i="107"/>
  <c r="AB129" i="107"/>
  <c r="AC129" i="107"/>
  <c r="AD129" i="107"/>
  <c r="C130" i="107"/>
  <c r="D130" i="107"/>
  <c r="E130" i="107"/>
  <c r="F130" i="107"/>
  <c r="G130" i="107"/>
  <c r="H130" i="107"/>
  <c r="I130" i="107"/>
  <c r="J130" i="107"/>
  <c r="K130" i="107"/>
  <c r="L130" i="107"/>
  <c r="M130" i="107"/>
  <c r="N130" i="107"/>
  <c r="O130" i="107"/>
  <c r="P130" i="107"/>
  <c r="Q130" i="107"/>
  <c r="R130" i="107"/>
  <c r="S130" i="107"/>
  <c r="T130" i="107"/>
  <c r="U130" i="107"/>
  <c r="V130" i="107"/>
  <c r="W130" i="107"/>
  <c r="X130" i="107"/>
  <c r="Y130" i="107"/>
  <c r="Z130" i="107"/>
  <c r="AA130" i="107"/>
  <c r="AB130" i="107"/>
  <c r="AC130" i="107"/>
  <c r="AD130" i="107"/>
  <c r="C131" i="107"/>
  <c r="D131" i="107"/>
  <c r="E131" i="107"/>
  <c r="F131" i="107"/>
  <c r="G131" i="107"/>
  <c r="H131" i="107"/>
  <c r="I131" i="107"/>
  <c r="J131" i="107"/>
  <c r="K131" i="107"/>
  <c r="L131" i="107"/>
  <c r="M131" i="107"/>
  <c r="N131" i="107"/>
  <c r="O131" i="107"/>
  <c r="P131" i="107"/>
  <c r="Q131" i="107"/>
  <c r="R131" i="107"/>
  <c r="S131" i="107"/>
  <c r="T131" i="107"/>
  <c r="U131" i="107"/>
  <c r="V131" i="107"/>
  <c r="W131" i="107"/>
  <c r="X131" i="107"/>
  <c r="Y131" i="107"/>
  <c r="Z131" i="107"/>
  <c r="AA131" i="107"/>
  <c r="AB131" i="107"/>
  <c r="AC131" i="107"/>
  <c r="AD131" i="107"/>
  <c r="C132" i="107"/>
  <c r="D132" i="107"/>
  <c r="E132" i="107"/>
  <c r="F132" i="107"/>
  <c r="G132" i="107"/>
  <c r="H132" i="107"/>
  <c r="I132" i="107"/>
  <c r="J132" i="107"/>
  <c r="K132" i="107"/>
  <c r="L132" i="107"/>
  <c r="M132" i="107"/>
  <c r="N132" i="107"/>
  <c r="O132" i="107"/>
  <c r="P132" i="107"/>
  <c r="Q132" i="107"/>
  <c r="R132" i="107"/>
  <c r="S132" i="107"/>
  <c r="T132" i="107"/>
  <c r="U132" i="107"/>
  <c r="V132" i="107"/>
  <c r="W132" i="107"/>
  <c r="X132" i="107"/>
  <c r="Y132" i="107"/>
  <c r="Z132" i="107"/>
  <c r="AA132" i="107"/>
  <c r="AB132" i="107"/>
  <c r="AC132" i="107"/>
  <c r="AD132" i="107"/>
  <c r="C133" i="107"/>
  <c r="D133" i="107"/>
  <c r="E133" i="107"/>
  <c r="F133" i="107"/>
  <c r="G133" i="107"/>
  <c r="H133" i="107"/>
  <c r="I133" i="107"/>
  <c r="J133" i="107"/>
  <c r="K133" i="107"/>
  <c r="L133" i="107"/>
  <c r="M133" i="107"/>
  <c r="N133" i="107"/>
  <c r="O133" i="107"/>
  <c r="P133" i="107"/>
  <c r="Q133" i="107"/>
  <c r="R133" i="107"/>
  <c r="S133" i="107"/>
  <c r="T133" i="107"/>
  <c r="U133" i="107"/>
  <c r="V133" i="107"/>
  <c r="W133" i="107"/>
  <c r="X133" i="107"/>
  <c r="Y133" i="107"/>
  <c r="Z133" i="107"/>
  <c r="AA133" i="107"/>
  <c r="AB133" i="107"/>
  <c r="AC133" i="107"/>
  <c r="AD133" i="107"/>
  <c r="C134" i="107"/>
  <c r="D134" i="107"/>
  <c r="E134" i="107"/>
  <c r="F134" i="107"/>
  <c r="G134" i="107"/>
  <c r="H134" i="107"/>
  <c r="I134" i="107"/>
  <c r="J134" i="107"/>
  <c r="K134" i="107"/>
  <c r="L134" i="107"/>
  <c r="M134" i="107"/>
  <c r="N134" i="107"/>
  <c r="O134" i="107"/>
  <c r="P134" i="107"/>
  <c r="Q134" i="107"/>
  <c r="R134" i="107"/>
  <c r="S134" i="107"/>
  <c r="T134" i="107"/>
  <c r="U134" i="107"/>
  <c r="V134" i="107"/>
  <c r="W134" i="107"/>
  <c r="X134" i="107"/>
  <c r="Y134" i="107"/>
  <c r="Z134" i="107"/>
  <c r="AA134" i="107"/>
  <c r="AB134" i="107"/>
  <c r="AC134" i="107"/>
  <c r="AD134" i="107"/>
  <c r="C135" i="107"/>
  <c r="D135" i="107"/>
  <c r="E135" i="107"/>
  <c r="F135" i="107"/>
  <c r="G135" i="107"/>
  <c r="H135" i="107"/>
  <c r="I135" i="107"/>
  <c r="J135" i="107"/>
  <c r="K135" i="107"/>
  <c r="L135" i="107"/>
  <c r="M135" i="107"/>
  <c r="N135" i="107"/>
  <c r="O135" i="107"/>
  <c r="P135" i="107"/>
  <c r="Q135" i="107"/>
  <c r="R135" i="107"/>
  <c r="S135" i="107"/>
  <c r="T135" i="107"/>
  <c r="U135" i="107"/>
  <c r="V135" i="107"/>
  <c r="W135" i="107"/>
  <c r="X135" i="107"/>
  <c r="Y135" i="107"/>
  <c r="Z135" i="107"/>
  <c r="AA135" i="107"/>
  <c r="AB135" i="107"/>
  <c r="AC135" i="107"/>
  <c r="AD135" i="107"/>
  <c r="C136" i="107"/>
  <c r="D136" i="107"/>
  <c r="E136" i="107"/>
  <c r="F136" i="107"/>
  <c r="G136" i="107"/>
  <c r="H136" i="107"/>
  <c r="I136" i="107"/>
  <c r="J136" i="107"/>
  <c r="K136" i="107"/>
  <c r="L136" i="107"/>
  <c r="M136" i="107"/>
  <c r="N136" i="107"/>
  <c r="O136" i="107"/>
  <c r="P136" i="107"/>
  <c r="Q136" i="107"/>
  <c r="R136" i="107"/>
  <c r="S136" i="107"/>
  <c r="T136" i="107"/>
  <c r="U136" i="107"/>
  <c r="V136" i="107"/>
  <c r="W136" i="107"/>
  <c r="X136" i="107"/>
  <c r="Y136" i="107"/>
  <c r="Z136" i="107"/>
  <c r="AA136" i="107"/>
  <c r="AB136" i="107"/>
  <c r="AC136" i="107"/>
  <c r="AD136" i="107"/>
  <c r="C137" i="107"/>
  <c r="D137" i="107"/>
  <c r="E137" i="107"/>
  <c r="F137" i="107"/>
  <c r="G137" i="107"/>
  <c r="H137" i="107"/>
  <c r="I137" i="107"/>
  <c r="J137" i="107"/>
  <c r="K137" i="107"/>
  <c r="L137" i="107"/>
  <c r="M137" i="107"/>
  <c r="N137" i="107"/>
  <c r="O137" i="107"/>
  <c r="P137" i="107"/>
  <c r="Q137" i="107"/>
  <c r="R137" i="107"/>
  <c r="S137" i="107"/>
  <c r="T137" i="107"/>
  <c r="U137" i="107"/>
  <c r="V137" i="107"/>
  <c r="W137" i="107"/>
  <c r="X137" i="107"/>
  <c r="Y137" i="107"/>
  <c r="Z137" i="107"/>
  <c r="AA137" i="107"/>
  <c r="AB137" i="107"/>
  <c r="AC137" i="107"/>
  <c r="AD137" i="107"/>
  <c r="C138" i="107"/>
  <c r="D138" i="107"/>
  <c r="E138" i="107"/>
  <c r="F138" i="107"/>
  <c r="G138" i="107"/>
  <c r="H138" i="107"/>
  <c r="I138" i="107"/>
  <c r="J138" i="107"/>
  <c r="K138" i="107"/>
  <c r="L138" i="107"/>
  <c r="M138" i="107"/>
  <c r="N138" i="107"/>
  <c r="O138" i="107"/>
  <c r="P138" i="107"/>
  <c r="Q138" i="107"/>
  <c r="R138" i="107"/>
  <c r="S138" i="107"/>
  <c r="T138" i="107"/>
  <c r="U138" i="107"/>
  <c r="V138" i="107"/>
  <c r="W138" i="107"/>
  <c r="X138" i="107"/>
  <c r="Y138" i="107"/>
  <c r="Z138" i="107"/>
  <c r="AA138" i="107"/>
  <c r="AB138" i="107"/>
  <c r="AC138" i="107"/>
  <c r="AD138" i="107"/>
  <c r="C139" i="107"/>
  <c r="D139" i="107"/>
  <c r="E139" i="107"/>
  <c r="F139" i="107"/>
  <c r="G139" i="107"/>
  <c r="H139" i="107"/>
  <c r="I139" i="107"/>
  <c r="J139" i="107"/>
  <c r="K139" i="107"/>
  <c r="L139" i="107"/>
  <c r="M139" i="107"/>
  <c r="N139" i="107"/>
  <c r="O139" i="107"/>
  <c r="P139" i="107"/>
  <c r="Q139" i="107"/>
  <c r="R139" i="107"/>
  <c r="S139" i="107"/>
  <c r="T139" i="107"/>
  <c r="U139" i="107"/>
  <c r="V139" i="107"/>
  <c r="W139" i="107"/>
  <c r="X139" i="107"/>
  <c r="Y139" i="107"/>
  <c r="Z139" i="107"/>
  <c r="AA139" i="107"/>
  <c r="AB139" i="107"/>
  <c r="AC139" i="107"/>
  <c r="AD139" i="107"/>
  <c r="C140" i="107"/>
  <c r="D140" i="107"/>
  <c r="E140" i="107"/>
  <c r="F140" i="107"/>
  <c r="G140" i="107"/>
  <c r="H140" i="107"/>
  <c r="I140" i="107"/>
  <c r="J140" i="107"/>
  <c r="K140" i="107"/>
  <c r="L140" i="107"/>
  <c r="M140" i="107"/>
  <c r="N140" i="107"/>
  <c r="O140" i="107"/>
  <c r="P140" i="107"/>
  <c r="Q140" i="107"/>
  <c r="R140" i="107"/>
  <c r="S140" i="107"/>
  <c r="T140" i="107"/>
  <c r="U140" i="107"/>
  <c r="V140" i="107"/>
  <c r="W140" i="107"/>
  <c r="X140" i="107"/>
  <c r="Y140" i="107"/>
  <c r="Z140" i="107"/>
  <c r="AA140" i="107"/>
  <c r="AB140" i="107"/>
  <c r="AC140" i="107"/>
  <c r="AD140" i="107"/>
  <c r="C141" i="107"/>
  <c r="D141" i="107"/>
  <c r="E141" i="107"/>
  <c r="F141" i="107"/>
  <c r="G141" i="107"/>
  <c r="H141" i="107"/>
  <c r="I141" i="107"/>
  <c r="J141" i="107"/>
  <c r="K141" i="107"/>
  <c r="L141" i="107"/>
  <c r="M141" i="107"/>
  <c r="N141" i="107"/>
  <c r="O141" i="107"/>
  <c r="P141" i="107"/>
  <c r="Q141" i="107"/>
  <c r="R141" i="107"/>
  <c r="S141" i="107"/>
  <c r="T141" i="107"/>
  <c r="U141" i="107"/>
  <c r="V141" i="107"/>
  <c r="W141" i="107"/>
  <c r="X141" i="107"/>
  <c r="Y141" i="107"/>
  <c r="Z141" i="107"/>
  <c r="AA141" i="107"/>
  <c r="AB141" i="107"/>
  <c r="AC141" i="107"/>
  <c r="AD141" i="107"/>
  <c r="C142" i="107"/>
  <c r="D142" i="107"/>
  <c r="E142" i="107"/>
  <c r="F142" i="107"/>
  <c r="G142" i="107"/>
  <c r="H142" i="107"/>
  <c r="I142" i="107"/>
  <c r="J142" i="107"/>
  <c r="K142" i="107"/>
  <c r="L142" i="107"/>
  <c r="M142" i="107"/>
  <c r="N142" i="107"/>
  <c r="O142" i="107"/>
  <c r="P142" i="107"/>
  <c r="Q142" i="107"/>
  <c r="R142" i="107"/>
  <c r="S142" i="107"/>
  <c r="T142" i="107"/>
  <c r="U142" i="107"/>
  <c r="V142" i="107"/>
  <c r="W142" i="107"/>
  <c r="X142" i="107"/>
  <c r="Y142" i="107"/>
  <c r="Z142" i="107"/>
  <c r="AA142" i="107"/>
  <c r="AB142" i="107"/>
  <c r="AC142" i="107"/>
  <c r="AD142" i="107"/>
  <c r="C143" i="107"/>
  <c r="D143" i="107"/>
  <c r="E143" i="107"/>
  <c r="F143" i="107"/>
  <c r="G143" i="107"/>
  <c r="H143" i="107"/>
  <c r="I143" i="107"/>
  <c r="J143" i="107"/>
  <c r="K143" i="107"/>
  <c r="L143" i="107"/>
  <c r="M143" i="107"/>
  <c r="N143" i="107"/>
  <c r="O143" i="107"/>
  <c r="P143" i="107"/>
  <c r="Q143" i="107"/>
  <c r="R143" i="107"/>
  <c r="S143" i="107"/>
  <c r="T143" i="107"/>
  <c r="U143" i="107"/>
  <c r="V143" i="107"/>
  <c r="W143" i="107"/>
  <c r="X143" i="107"/>
  <c r="Y143" i="107"/>
  <c r="Z143" i="107"/>
  <c r="AA143" i="107"/>
  <c r="AB143" i="107"/>
  <c r="AC143" i="107"/>
  <c r="AD143" i="107"/>
  <c r="C144" i="107"/>
  <c r="D144" i="107"/>
  <c r="E144" i="107"/>
  <c r="F144" i="107"/>
  <c r="G144" i="107"/>
  <c r="H144" i="107"/>
  <c r="I144" i="107"/>
  <c r="J144" i="107"/>
  <c r="K144" i="107"/>
  <c r="L144" i="107"/>
  <c r="M144" i="107"/>
  <c r="N144" i="107"/>
  <c r="O144" i="107"/>
  <c r="P144" i="107"/>
  <c r="Q144" i="107"/>
  <c r="R144" i="107"/>
  <c r="S144" i="107"/>
  <c r="T144" i="107"/>
  <c r="U144" i="107"/>
  <c r="V144" i="107"/>
  <c r="W144" i="107"/>
  <c r="X144" i="107"/>
  <c r="Y144" i="107"/>
  <c r="Z144" i="107"/>
  <c r="AA144" i="107"/>
  <c r="AB144" i="107"/>
  <c r="AC144" i="107"/>
  <c r="AD144" i="107"/>
  <c r="C145" i="107"/>
  <c r="D145" i="107"/>
  <c r="E145" i="107"/>
  <c r="F145" i="107"/>
  <c r="G145" i="107"/>
  <c r="H145" i="107"/>
  <c r="I145" i="107"/>
  <c r="J145" i="107"/>
  <c r="K145" i="107"/>
  <c r="L145" i="107"/>
  <c r="M145" i="107"/>
  <c r="N145" i="107"/>
  <c r="O145" i="107"/>
  <c r="P145" i="107"/>
  <c r="Q145" i="107"/>
  <c r="R145" i="107"/>
  <c r="S145" i="107"/>
  <c r="T145" i="107"/>
  <c r="U145" i="107"/>
  <c r="V145" i="107"/>
  <c r="W145" i="107"/>
  <c r="X145" i="107"/>
  <c r="Y145" i="107"/>
  <c r="Z145" i="107"/>
  <c r="AA145" i="107"/>
  <c r="AB145" i="107"/>
  <c r="AC145" i="107"/>
  <c r="AD145" i="107"/>
  <c r="C146" i="107"/>
  <c r="D146" i="107"/>
  <c r="E146" i="107"/>
  <c r="F146" i="107"/>
  <c r="G146" i="107"/>
  <c r="H146" i="107"/>
  <c r="I146" i="107"/>
  <c r="J146" i="107"/>
  <c r="K146" i="107"/>
  <c r="L146" i="107"/>
  <c r="M146" i="107"/>
  <c r="N146" i="107"/>
  <c r="O146" i="107"/>
  <c r="P146" i="107"/>
  <c r="Q146" i="107"/>
  <c r="R146" i="107"/>
  <c r="S146" i="107"/>
  <c r="T146" i="107"/>
  <c r="U146" i="107"/>
  <c r="V146" i="107"/>
  <c r="W146" i="107"/>
  <c r="X146" i="107"/>
  <c r="Y146" i="107"/>
  <c r="Z146" i="107"/>
  <c r="AA146" i="107"/>
  <c r="AB146" i="107"/>
  <c r="AC146" i="107"/>
  <c r="AD146" i="107"/>
  <c r="C147" i="107"/>
  <c r="D147" i="107"/>
  <c r="E147" i="107"/>
  <c r="F147" i="107"/>
  <c r="G147" i="107"/>
  <c r="H147" i="107"/>
  <c r="I147" i="107"/>
  <c r="J147" i="107"/>
  <c r="K147" i="107"/>
  <c r="L147" i="107"/>
  <c r="M147" i="107"/>
  <c r="N147" i="107"/>
  <c r="O147" i="107"/>
  <c r="P147" i="107"/>
  <c r="Q147" i="107"/>
  <c r="R147" i="107"/>
  <c r="S147" i="107"/>
  <c r="T147" i="107"/>
  <c r="U147" i="107"/>
  <c r="V147" i="107"/>
  <c r="W147" i="107"/>
  <c r="X147" i="107"/>
  <c r="Y147" i="107"/>
  <c r="Z147" i="107"/>
  <c r="AA147" i="107"/>
  <c r="AB147" i="107"/>
  <c r="AC147" i="107"/>
  <c r="AD147" i="107"/>
  <c r="C148" i="107"/>
  <c r="D148" i="107"/>
  <c r="E148" i="107"/>
  <c r="F148" i="107"/>
  <c r="G148" i="107"/>
  <c r="H148" i="107"/>
  <c r="I148" i="107"/>
  <c r="J148" i="107"/>
  <c r="K148" i="107"/>
  <c r="L148" i="107"/>
  <c r="M148" i="107"/>
  <c r="N148" i="107"/>
  <c r="O148" i="107"/>
  <c r="P148" i="107"/>
  <c r="Q148" i="107"/>
  <c r="R148" i="107"/>
  <c r="S148" i="107"/>
  <c r="T148" i="107"/>
  <c r="U148" i="107"/>
  <c r="V148" i="107"/>
  <c r="W148" i="107"/>
  <c r="X148" i="107"/>
  <c r="Y148" i="107"/>
  <c r="Z148" i="107"/>
  <c r="AA148" i="107"/>
  <c r="AB148" i="107"/>
  <c r="AC148" i="107"/>
  <c r="AD148" i="107"/>
  <c r="C149" i="107"/>
  <c r="D149" i="107"/>
  <c r="E149" i="107"/>
  <c r="F149" i="107"/>
  <c r="G149" i="107"/>
  <c r="H149" i="107"/>
  <c r="I149" i="107"/>
  <c r="J149" i="107"/>
  <c r="K149" i="107"/>
  <c r="L149" i="107"/>
  <c r="M149" i="107"/>
  <c r="N149" i="107"/>
  <c r="O149" i="107"/>
  <c r="P149" i="107"/>
  <c r="Q149" i="107"/>
  <c r="R149" i="107"/>
  <c r="S149" i="107"/>
  <c r="T149" i="107"/>
  <c r="U149" i="107"/>
  <c r="V149" i="107"/>
  <c r="W149" i="107"/>
  <c r="X149" i="107"/>
  <c r="Y149" i="107"/>
  <c r="Z149" i="107"/>
  <c r="AA149" i="107"/>
  <c r="AB149" i="107"/>
  <c r="AC149" i="107"/>
  <c r="AD149" i="107"/>
  <c r="C150" i="107"/>
  <c r="D150" i="107"/>
  <c r="E150" i="107"/>
  <c r="F150" i="107"/>
  <c r="G150" i="107"/>
  <c r="H150" i="107"/>
  <c r="I150" i="107"/>
  <c r="J150" i="107"/>
  <c r="K150" i="107"/>
  <c r="L150" i="107"/>
  <c r="M150" i="107"/>
  <c r="N150" i="107"/>
  <c r="O150" i="107"/>
  <c r="P150" i="107"/>
  <c r="Q150" i="107"/>
  <c r="R150" i="107"/>
  <c r="S150" i="107"/>
  <c r="T150" i="107"/>
  <c r="U150" i="107"/>
  <c r="V150" i="107"/>
  <c r="W150" i="107"/>
  <c r="X150" i="107"/>
  <c r="Y150" i="107"/>
  <c r="Z150" i="107"/>
  <c r="AA150" i="107"/>
  <c r="AB150" i="107"/>
  <c r="AC150" i="107"/>
  <c r="AD150" i="107"/>
  <c r="C151" i="107"/>
  <c r="D151" i="107"/>
  <c r="E151" i="107"/>
  <c r="F151" i="107"/>
  <c r="G151" i="107"/>
  <c r="H151" i="107"/>
  <c r="I151" i="107"/>
  <c r="J151" i="107"/>
  <c r="K151" i="107"/>
  <c r="L151" i="107"/>
  <c r="M151" i="107"/>
  <c r="N151" i="107"/>
  <c r="O151" i="107"/>
  <c r="P151" i="107"/>
  <c r="Q151" i="107"/>
  <c r="R151" i="107"/>
  <c r="S151" i="107"/>
  <c r="T151" i="107"/>
  <c r="U151" i="107"/>
  <c r="V151" i="107"/>
  <c r="W151" i="107"/>
  <c r="X151" i="107"/>
  <c r="Y151" i="107"/>
  <c r="Z151" i="107"/>
  <c r="AA151" i="107"/>
  <c r="AB151" i="107"/>
  <c r="AC151" i="107"/>
  <c r="AD151" i="107"/>
  <c r="C152" i="107"/>
  <c r="D152" i="107"/>
  <c r="E152" i="107"/>
  <c r="F152" i="107"/>
  <c r="G152" i="107"/>
  <c r="H152" i="107"/>
  <c r="I152" i="107"/>
  <c r="J152" i="107"/>
  <c r="K152" i="107"/>
  <c r="L152" i="107"/>
  <c r="M152" i="107"/>
  <c r="N152" i="107"/>
  <c r="O152" i="107"/>
  <c r="P152" i="107"/>
  <c r="Q152" i="107"/>
  <c r="R152" i="107"/>
  <c r="S152" i="107"/>
  <c r="T152" i="107"/>
  <c r="U152" i="107"/>
  <c r="V152" i="107"/>
  <c r="W152" i="107"/>
  <c r="X152" i="107"/>
  <c r="Y152" i="107"/>
  <c r="Z152" i="107"/>
  <c r="AA152" i="107"/>
  <c r="AB152" i="107"/>
  <c r="AC152" i="107"/>
  <c r="AD152" i="107"/>
  <c r="C153" i="107"/>
  <c r="D153" i="107"/>
  <c r="E153" i="107"/>
  <c r="F153" i="107"/>
  <c r="G153" i="107"/>
  <c r="H153" i="107"/>
  <c r="I153" i="107"/>
  <c r="J153" i="107"/>
  <c r="K153" i="107"/>
  <c r="L153" i="107"/>
  <c r="M153" i="107"/>
  <c r="N153" i="107"/>
  <c r="O153" i="107"/>
  <c r="P153" i="107"/>
  <c r="Q153" i="107"/>
  <c r="R153" i="107"/>
  <c r="S153" i="107"/>
  <c r="T153" i="107"/>
  <c r="U153" i="107"/>
  <c r="V153" i="107"/>
  <c r="W153" i="107"/>
  <c r="X153" i="107"/>
  <c r="Y153" i="107"/>
  <c r="Z153" i="107"/>
  <c r="AA153" i="107"/>
  <c r="AB153" i="107"/>
  <c r="AC153" i="107"/>
  <c r="AD153" i="107"/>
  <c r="C154" i="107"/>
  <c r="D154" i="107"/>
  <c r="E154" i="107"/>
  <c r="F154" i="107"/>
  <c r="G154" i="107"/>
  <c r="H154" i="107"/>
  <c r="I154" i="107"/>
  <c r="J154" i="107"/>
  <c r="K154" i="107"/>
  <c r="L154" i="107"/>
  <c r="M154" i="107"/>
  <c r="N154" i="107"/>
  <c r="O154" i="107"/>
  <c r="P154" i="107"/>
  <c r="Q154" i="107"/>
  <c r="R154" i="107"/>
  <c r="S154" i="107"/>
  <c r="T154" i="107"/>
  <c r="U154" i="107"/>
  <c r="V154" i="107"/>
  <c r="W154" i="107"/>
  <c r="X154" i="107"/>
  <c r="Y154" i="107"/>
  <c r="Z154" i="107"/>
  <c r="AA154" i="107"/>
  <c r="AB154" i="107"/>
  <c r="AC154" i="107"/>
  <c r="AD154" i="107"/>
  <c r="C155" i="107"/>
  <c r="D155" i="107"/>
  <c r="E155" i="107"/>
  <c r="F155" i="107"/>
  <c r="G155" i="107"/>
  <c r="H155" i="107"/>
  <c r="I155" i="107"/>
  <c r="J155" i="107"/>
  <c r="K155" i="107"/>
  <c r="L155" i="107"/>
  <c r="M155" i="107"/>
  <c r="N155" i="107"/>
  <c r="O155" i="107"/>
  <c r="P155" i="107"/>
  <c r="Q155" i="107"/>
  <c r="R155" i="107"/>
  <c r="S155" i="107"/>
  <c r="T155" i="107"/>
  <c r="U155" i="107"/>
  <c r="V155" i="107"/>
  <c r="W155" i="107"/>
  <c r="X155" i="107"/>
  <c r="Y155" i="107"/>
  <c r="Z155" i="107"/>
  <c r="AA155" i="107"/>
  <c r="AB155" i="107"/>
  <c r="AC155" i="107"/>
  <c r="AD155" i="107"/>
  <c r="C156" i="107"/>
  <c r="D156" i="107"/>
  <c r="E156" i="107"/>
  <c r="F156" i="107"/>
  <c r="G156" i="107"/>
  <c r="H156" i="107"/>
  <c r="I156" i="107"/>
  <c r="J156" i="107"/>
  <c r="K156" i="107"/>
  <c r="L156" i="107"/>
  <c r="M156" i="107"/>
  <c r="N156" i="107"/>
  <c r="O156" i="107"/>
  <c r="P156" i="107"/>
  <c r="Q156" i="107"/>
  <c r="R156" i="107"/>
  <c r="S156" i="107"/>
  <c r="T156" i="107"/>
  <c r="U156" i="107"/>
  <c r="V156" i="107"/>
  <c r="W156" i="107"/>
  <c r="X156" i="107"/>
  <c r="Y156" i="107"/>
  <c r="Z156" i="107"/>
  <c r="AA156" i="107"/>
  <c r="AB156" i="107"/>
  <c r="AC156" i="107"/>
  <c r="AD156" i="107"/>
  <c r="C157" i="107"/>
  <c r="D157" i="107"/>
  <c r="E157" i="107"/>
  <c r="F157" i="107"/>
  <c r="G157" i="107"/>
  <c r="H157" i="107"/>
  <c r="I157" i="107"/>
  <c r="J157" i="107"/>
  <c r="K157" i="107"/>
  <c r="L157" i="107"/>
  <c r="M157" i="107"/>
  <c r="N157" i="107"/>
  <c r="O157" i="107"/>
  <c r="P157" i="107"/>
  <c r="Q157" i="107"/>
  <c r="R157" i="107"/>
  <c r="S157" i="107"/>
  <c r="T157" i="107"/>
  <c r="U157" i="107"/>
  <c r="V157" i="107"/>
  <c r="W157" i="107"/>
  <c r="X157" i="107"/>
  <c r="Y157" i="107"/>
  <c r="Z157" i="107"/>
  <c r="AA157" i="107"/>
  <c r="AB157" i="107"/>
  <c r="AC157" i="107"/>
  <c r="AD157" i="107"/>
  <c r="C158" i="107"/>
  <c r="D158" i="107"/>
  <c r="E158" i="107"/>
  <c r="F158" i="107"/>
  <c r="G158" i="107"/>
  <c r="H158" i="107"/>
  <c r="I158" i="107"/>
  <c r="J158" i="107"/>
  <c r="K158" i="107"/>
  <c r="L158" i="107"/>
  <c r="M158" i="107"/>
  <c r="N158" i="107"/>
  <c r="O158" i="107"/>
  <c r="P158" i="107"/>
  <c r="Q158" i="107"/>
  <c r="R158" i="107"/>
  <c r="S158" i="107"/>
  <c r="T158" i="107"/>
  <c r="U158" i="107"/>
  <c r="V158" i="107"/>
  <c r="W158" i="107"/>
  <c r="X158" i="107"/>
  <c r="Y158" i="107"/>
  <c r="Z158" i="107"/>
  <c r="AA158" i="107"/>
  <c r="AB158" i="107"/>
  <c r="AC158" i="107"/>
  <c r="AD158" i="107"/>
  <c r="C159" i="107"/>
  <c r="D159" i="107"/>
  <c r="E159" i="107"/>
  <c r="F159" i="107"/>
  <c r="G159" i="107"/>
  <c r="H159" i="107"/>
  <c r="I159" i="107"/>
  <c r="J159" i="107"/>
  <c r="K159" i="107"/>
  <c r="L159" i="107"/>
  <c r="M159" i="107"/>
  <c r="N159" i="107"/>
  <c r="O159" i="107"/>
  <c r="P159" i="107"/>
  <c r="Q159" i="107"/>
  <c r="R159" i="107"/>
  <c r="S159" i="107"/>
  <c r="T159" i="107"/>
  <c r="U159" i="107"/>
  <c r="V159" i="107"/>
  <c r="W159" i="107"/>
  <c r="X159" i="107"/>
  <c r="Y159" i="107"/>
  <c r="Z159" i="107"/>
  <c r="AA159" i="107"/>
  <c r="AB159" i="107"/>
  <c r="AC159" i="107"/>
  <c r="AD159" i="107"/>
  <c r="C160" i="107"/>
  <c r="D160" i="107"/>
  <c r="E160" i="107"/>
  <c r="F160" i="107"/>
  <c r="G160" i="107"/>
  <c r="H160" i="107"/>
  <c r="I160" i="107"/>
  <c r="J160" i="107"/>
  <c r="K160" i="107"/>
  <c r="L160" i="107"/>
  <c r="M160" i="107"/>
  <c r="N160" i="107"/>
  <c r="O160" i="107"/>
  <c r="P160" i="107"/>
  <c r="Q160" i="107"/>
  <c r="R160" i="107"/>
  <c r="S160" i="107"/>
  <c r="T160" i="107"/>
  <c r="U160" i="107"/>
  <c r="V160" i="107"/>
  <c r="W160" i="107"/>
  <c r="X160" i="107"/>
  <c r="Y160" i="107"/>
  <c r="Z160" i="107"/>
  <c r="AA160" i="107"/>
  <c r="AB160" i="107"/>
  <c r="AC160" i="107"/>
  <c r="AD160" i="107"/>
  <c r="C161" i="107"/>
  <c r="D161" i="107"/>
  <c r="E161" i="107"/>
  <c r="F161" i="107"/>
  <c r="G161" i="107"/>
  <c r="H161" i="107"/>
  <c r="I161" i="107"/>
  <c r="J161" i="107"/>
  <c r="K161" i="107"/>
  <c r="L161" i="107"/>
  <c r="M161" i="107"/>
  <c r="N161" i="107"/>
  <c r="O161" i="107"/>
  <c r="P161" i="107"/>
  <c r="Q161" i="107"/>
  <c r="R161" i="107"/>
  <c r="S161" i="107"/>
  <c r="T161" i="107"/>
  <c r="U161" i="107"/>
  <c r="V161" i="107"/>
  <c r="W161" i="107"/>
  <c r="X161" i="107"/>
  <c r="Y161" i="107"/>
  <c r="Z161" i="107"/>
  <c r="AA161" i="107"/>
  <c r="AB161" i="107"/>
  <c r="AC161" i="107"/>
  <c r="AD161" i="107"/>
  <c r="C162" i="107"/>
  <c r="D162" i="107"/>
  <c r="E162" i="107"/>
  <c r="F162" i="107"/>
  <c r="G162" i="107"/>
  <c r="H162" i="107"/>
  <c r="I162" i="107"/>
  <c r="J162" i="107"/>
  <c r="K162" i="107"/>
  <c r="L162" i="107"/>
  <c r="M162" i="107"/>
  <c r="N162" i="107"/>
  <c r="O162" i="107"/>
  <c r="P162" i="107"/>
  <c r="Q162" i="107"/>
  <c r="R162" i="107"/>
  <c r="S162" i="107"/>
  <c r="T162" i="107"/>
  <c r="U162" i="107"/>
  <c r="V162" i="107"/>
  <c r="W162" i="107"/>
  <c r="X162" i="107"/>
  <c r="Y162" i="107"/>
  <c r="Z162" i="107"/>
  <c r="AA162" i="107"/>
  <c r="AB162" i="107"/>
  <c r="AC162" i="107"/>
  <c r="AD162" i="107"/>
  <c r="C163" i="107"/>
  <c r="D163" i="107"/>
  <c r="E163" i="107"/>
  <c r="F163" i="107"/>
  <c r="G163" i="107"/>
  <c r="H163" i="107"/>
  <c r="I163" i="107"/>
  <c r="J163" i="107"/>
  <c r="K163" i="107"/>
  <c r="L163" i="107"/>
  <c r="M163" i="107"/>
  <c r="N163" i="107"/>
  <c r="O163" i="107"/>
  <c r="P163" i="107"/>
  <c r="Q163" i="107"/>
  <c r="R163" i="107"/>
  <c r="S163" i="107"/>
  <c r="T163" i="107"/>
  <c r="U163" i="107"/>
  <c r="V163" i="107"/>
  <c r="W163" i="107"/>
  <c r="X163" i="107"/>
  <c r="Y163" i="107"/>
  <c r="Z163" i="107"/>
  <c r="AA163" i="107"/>
  <c r="AB163" i="107"/>
  <c r="AC163" i="107"/>
  <c r="AD163" i="107"/>
  <c r="C164" i="107"/>
  <c r="D164" i="107"/>
  <c r="E164" i="107"/>
  <c r="F164" i="107"/>
  <c r="G164" i="107"/>
  <c r="H164" i="107"/>
  <c r="I164" i="107"/>
  <c r="J164" i="107"/>
  <c r="K164" i="107"/>
  <c r="L164" i="107"/>
  <c r="M164" i="107"/>
  <c r="N164" i="107"/>
  <c r="O164" i="107"/>
  <c r="P164" i="107"/>
  <c r="Q164" i="107"/>
  <c r="R164" i="107"/>
  <c r="S164" i="107"/>
  <c r="T164" i="107"/>
  <c r="U164" i="107"/>
  <c r="V164" i="107"/>
  <c r="W164" i="107"/>
  <c r="X164" i="107"/>
  <c r="Y164" i="107"/>
  <c r="Z164" i="107"/>
  <c r="AA164" i="107"/>
  <c r="AB164" i="107"/>
  <c r="AC164" i="107"/>
  <c r="AD164" i="107"/>
  <c r="C165" i="107"/>
  <c r="D165" i="107"/>
  <c r="E165" i="107"/>
  <c r="F165" i="107"/>
  <c r="G165" i="107"/>
  <c r="H165" i="107"/>
  <c r="I165" i="107"/>
  <c r="J165" i="107"/>
  <c r="K165" i="107"/>
  <c r="L165" i="107"/>
  <c r="M165" i="107"/>
  <c r="N165" i="107"/>
  <c r="O165" i="107"/>
  <c r="P165" i="107"/>
  <c r="Q165" i="107"/>
  <c r="R165" i="107"/>
  <c r="S165" i="107"/>
  <c r="T165" i="107"/>
  <c r="U165" i="107"/>
  <c r="V165" i="107"/>
  <c r="W165" i="107"/>
  <c r="X165" i="107"/>
  <c r="Y165" i="107"/>
  <c r="Z165" i="107"/>
  <c r="AA165" i="107"/>
  <c r="AB165" i="107"/>
  <c r="AC165" i="107"/>
  <c r="AD165" i="107"/>
  <c r="C166" i="107"/>
  <c r="D166" i="107"/>
  <c r="E166" i="107"/>
  <c r="F166" i="107"/>
  <c r="G166" i="107"/>
  <c r="H166" i="107"/>
  <c r="I166" i="107"/>
  <c r="J166" i="107"/>
  <c r="K166" i="107"/>
  <c r="L166" i="107"/>
  <c r="M166" i="107"/>
  <c r="N166" i="107"/>
  <c r="O166" i="107"/>
  <c r="P166" i="107"/>
  <c r="Q166" i="107"/>
  <c r="R166" i="107"/>
  <c r="S166" i="107"/>
  <c r="T166" i="107"/>
  <c r="U166" i="107"/>
  <c r="V166" i="107"/>
  <c r="W166" i="107"/>
  <c r="X166" i="107"/>
  <c r="Y166" i="107"/>
  <c r="Z166" i="107"/>
  <c r="AA166" i="107"/>
  <c r="AB166" i="107"/>
  <c r="AC166" i="107"/>
  <c r="AD166" i="107"/>
  <c r="C167" i="107"/>
  <c r="D167" i="107"/>
  <c r="E167" i="107"/>
  <c r="F167" i="107"/>
  <c r="G167" i="107"/>
  <c r="H167" i="107"/>
  <c r="I167" i="107"/>
  <c r="J167" i="107"/>
  <c r="K167" i="107"/>
  <c r="L167" i="107"/>
  <c r="M167" i="107"/>
  <c r="N167" i="107"/>
  <c r="O167" i="107"/>
  <c r="P167" i="107"/>
  <c r="Q167" i="107"/>
  <c r="R167" i="107"/>
  <c r="S167" i="107"/>
  <c r="T167" i="107"/>
  <c r="U167" i="107"/>
  <c r="V167" i="107"/>
  <c r="W167" i="107"/>
  <c r="X167" i="107"/>
  <c r="Y167" i="107"/>
  <c r="Z167" i="107"/>
  <c r="AA167" i="107"/>
  <c r="AB167" i="107"/>
  <c r="AC167" i="107"/>
  <c r="AD167" i="107"/>
  <c r="C168" i="107"/>
  <c r="D168" i="107"/>
  <c r="E168" i="107"/>
  <c r="F168" i="107"/>
  <c r="G168" i="107"/>
  <c r="H168" i="107"/>
  <c r="I168" i="107"/>
  <c r="J168" i="107"/>
  <c r="K168" i="107"/>
  <c r="L168" i="107"/>
  <c r="M168" i="107"/>
  <c r="N168" i="107"/>
  <c r="O168" i="107"/>
  <c r="P168" i="107"/>
  <c r="Q168" i="107"/>
  <c r="R168" i="107"/>
  <c r="S168" i="107"/>
  <c r="T168" i="107"/>
  <c r="U168" i="107"/>
  <c r="V168" i="107"/>
  <c r="W168" i="107"/>
  <c r="X168" i="107"/>
  <c r="Y168" i="107"/>
  <c r="Z168" i="107"/>
  <c r="AA168" i="107"/>
  <c r="AB168" i="107"/>
  <c r="AC168" i="107"/>
  <c r="AD168" i="107"/>
  <c r="C169" i="107"/>
  <c r="D169" i="107"/>
  <c r="E169" i="107"/>
  <c r="F169" i="107"/>
  <c r="G169" i="107"/>
  <c r="H169" i="107"/>
  <c r="I169" i="107"/>
  <c r="J169" i="107"/>
  <c r="K169" i="107"/>
  <c r="L169" i="107"/>
  <c r="M169" i="107"/>
  <c r="N169" i="107"/>
  <c r="O169" i="107"/>
  <c r="P169" i="107"/>
  <c r="Q169" i="107"/>
  <c r="R169" i="107"/>
  <c r="S169" i="107"/>
  <c r="T169" i="107"/>
  <c r="U169" i="107"/>
  <c r="V169" i="107"/>
  <c r="W169" i="107"/>
  <c r="X169" i="107"/>
  <c r="Y169" i="107"/>
  <c r="Z169" i="107"/>
  <c r="AA169" i="107"/>
  <c r="AB169" i="107"/>
  <c r="AC169" i="107"/>
  <c r="AD169" i="107"/>
  <c r="C170" i="107"/>
  <c r="D170" i="107"/>
  <c r="E170" i="107"/>
  <c r="F170" i="107"/>
  <c r="G170" i="107"/>
  <c r="H170" i="107"/>
  <c r="I170" i="107"/>
  <c r="J170" i="107"/>
  <c r="K170" i="107"/>
  <c r="L170" i="107"/>
  <c r="M170" i="107"/>
  <c r="N170" i="107"/>
  <c r="O170" i="107"/>
  <c r="P170" i="107"/>
  <c r="Q170" i="107"/>
  <c r="R170" i="107"/>
  <c r="S170" i="107"/>
  <c r="T170" i="107"/>
  <c r="U170" i="107"/>
  <c r="V170" i="107"/>
  <c r="W170" i="107"/>
  <c r="X170" i="107"/>
  <c r="Y170" i="107"/>
  <c r="Z170" i="107"/>
  <c r="AA170" i="107"/>
  <c r="AB170" i="107"/>
  <c r="AC170" i="107"/>
  <c r="AD170" i="107"/>
  <c r="C171" i="107"/>
  <c r="D171" i="107"/>
  <c r="E171" i="107"/>
  <c r="F171" i="107"/>
  <c r="G171" i="107"/>
  <c r="H171" i="107"/>
  <c r="I171" i="107"/>
  <c r="J171" i="107"/>
  <c r="K171" i="107"/>
  <c r="L171" i="107"/>
  <c r="M171" i="107"/>
  <c r="N171" i="107"/>
  <c r="O171" i="107"/>
  <c r="P171" i="107"/>
  <c r="Q171" i="107"/>
  <c r="R171" i="107"/>
  <c r="S171" i="107"/>
  <c r="T171" i="107"/>
  <c r="U171" i="107"/>
  <c r="V171" i="107"/>
  <c r="W171" i="107"/>
  <c r="X171" i="107"/>
  <c r="Y171" i="107"/>
  <c r="Z171" i="107"/>
  <c r="AA171" i="107"/>
  <c r="AB171" i="107"/>
  <c r="AC171" i="107"/>
  <c r="AD171" i="107"/>
  <c r="C172" i="107"/>
  <c r="D172" i="107"/>
  <c r="E172" i="107"/>
  <c r="F172" i="107"/>
  <c r="G172" i="107"/>
  <c r="H172" i="107"/>
  <c r="I172" i="107"/>
  <c r="J172" i="107"/>
  <c r="K172" i="107"/>
  <c r="L172" i="107"/>
  <c r="M172" i="107"/>
  <c r="N172" i="107"/>
  <c r="O172" i="107"/>
  <c r="P172" i="107"/>
  <c r="Q172" i="107"/>
  <c r="R172" i="107"/>
  <c r="S172" i="107"/>
  <c r="T172" i="107"/>
  <c r="U172" i="107"/>
  <c r="V172" i="107"/>
  <c r="W172" i="107"/>
  <c r="X172" i="107"/>
  <c r="Y172" i="107"/>
  <c r="Z172" i="107"/>
  <c r="AA172" i="107"/>
  <c r="AB172" i="107"/>
  <c r="AC172" i="107"/>
  <c r="AD172" i="107"/>
  <c r="C173" i="107"/>
  <c r="D173" i="107"/>
  <c r="E173" i="107"/>
  <c r="F173" i="107"/>
  <c r="G173" i="107"/>
  <c r="H173" i="107"/>
  <c r="I173" i="107"/>
  <c r="J173" i="107"/>
  <c r="K173" i="107"/>
  <c r="L173" i="107"/>
  <c r="M173" i="107"/>
  <c r="N173" i="107"/>
  <c r="O173" i="107"/>
  <c r="P173" i="107"/>
  <c r="Q173" i="107"/>
  <c r="R173" i="107"/>
  <c r="S173" i="107"/>
  <c r="T173" i="107"/>
  <c r="U173" i="107"/>
  <c r="V173" i="107"/>
  <c r="W173" i="107"/>
  <c r="X173" i="107"/>
  <c r="Y173" i="107"/>
  <c r="Z173" i="107"/>
  <c r="AA173" i="107"/>
  <c r="AB173" i="107"/>
  <c r="AC173" i="107"/>
  <c r="AD173" i="107"/>
  <c r="C174" i="107"/>
  <c r="D174" i="107"/>
  <c r="E174" i="107"/>
  <c r="F174" i="107"/>
  <c r="G174" i="107"/>
  <c r="H174" i="107"/>
  <c r="I174" i="107"/>
  <c r="J174" i="107"/>
  <c r="K174" i="107"/>
  <c r="L174" i="107"/>
  <c r="M174" i="107"/>
  <c r="N174" i="107"/>
  <c r="O174" i="107"/>
  <c r="P174" i="107"/>
  <c r="Q174" i="107"/>
  <c r="R174" i="107"/>
  <c r="S174" i="107"/>
  <c r="T174" i="107"/>
  <c r="U174" i="107"/>
  <c r="V174" i="107"/>
  <c r="W174" i="107"/>
  <c r="X174" i="107"/>
  <c r="Y174" i="107"/>
  <c r="Z174" i="107"/>
  <c r="AA174" i="107"/>
  <c r="AB174" i="107"/>
  <c r="AC174" i="107"/>
  <c r="AD174" i="107"/>
  <c r="C175" i="107"/>
  <c r="D175" i="107"/>
  <c r="E175" i="107"/>
  <c r="F175" i="107"/>
  <c r="G175" i="107"/>
  <c r="H175" i="107"/>
  <c r="I175" i="107"/>
  <c r="J175" i="107"/>
  <c r="K175" i="107"/>
  <c r="L175" i="107"/>
  <c r="M175" i="107"/>
  <c r="N175" i="107"/>
  <c r="O175" i="107"/>
  <c r="P175" i="107"/>
  <c r="Q175" i="107"/>
  <c r="R175" i="107"/>
  <c r="S175" i="107"/>
  <c r="T175" i="107"/>
  <c r="U175" i="107"/>
  <c r="V175" i="107"/>
  <c r="W175" i="107"/>
  <c r="X175" i="107"/>
  <c r="Y175" i="107"/>
  <c r="Z175" i="107"/>
  <c r="AA175" i="107"/>
  <c r="AB175" i="107"/>
  <c r="AC175" i="107"/>
  <c r="AD175" i="107"/>
  <c r="C176" i="107"/>
  <c r="D176" i="107"/>
  <c r="E176" i="107"/>
  <c r="F176" i="107"/>
  <c r="G176" i="107"/>
  <c r="H176" i="107"/>
  <c r="I176" i="107"/>
  <c r="J176" i="107"/>
  <c r="K176" i="107"/>
  <c r="L176" i="107"/>
  <c r="M176" i="107"/>
  <c r="N176" i="107"/>
  <c r="O176" i="107"/>
  <c r="P176" i="107"/>
  <c r="Q176" i="107"/>
  <c r="R176" i="107"/>
  <c r="S176" i="107"/>
  <c r="T176" i="107"/>
  <c r="U176" i="107"/>
  <c r="V176" i="107"/>
  <c r="W176" i="107"/>
  <c r="X176" i="107"/>
  <c r="Y176" i="107"/>
  <c r="Z176" i="107"/>
  <c r="AA176" i="107"/>
  <c r="AB176" i="107"/>
  <c r="AC176" i="107"/>
  <c r="AD176" i="107"/>
  <c r="C177" i="107"/>
  <c r="D177" i="107"/>
  <c r="E177" i="107"/>
  <c r="F177" i="107"/>
  <c r="G177" i="107"/>
  <c r="H177" i="107"/>
  <c r="I177" i="107"/>
  <c r="J177" i="107"/>
  <c r="K177" i="107"/>
  <c r="L177" i="107"/>
  <c r="M177" i="107"/>
  <c r="N177" i="107"/>
  <c r="O177" i="107"/>
  <c r="P177" i="107"/>
  <c r="Q177" i="107"/>
  <c r="R177" i="107"/>
  <c r="S177" i="107"/>
  <c r="T177" i="107"/>
  <c r="U177" i="107"/>
  <c r="V177" i="107"/>
  <c r="W177" i="107"/>
  <c r="X177" i="107"/>
  <c r="Y177" i="107"/>
  <c r="Z177" i="107"/>
  <c r="AA177" i="107"/>
  <c r="AB177" i="107"/>
  <c r="AC177" i="107"/>
  <c r="AD177" i="107"/>
  <c r="C178" i="107"/>
  <c r="D178" i="107"/>
  <c r="E178" i="107"/>
  <c r="F178" i="107"/>
  <c r="G178" i="107"/>
  <c r="H178" i="107"/>
  <c r="I178" i="107"/>
  <c r="J178" i="107"/>
  <c r="K178" i="107"/>
  <c r="L178" i="107"/>
  <c r="M178" i="107"/>
  <c r="N178" i="107"/>
  <c r="O178" i="107"/>
  <c r="P178" i="107"/>
  <c r="Q178" i="107"/>
  <c r="R178" i="107"/>
  <c r="S178" i="107"/>
  <c r="T178" i="107"/>
  <c r="U178" i="107"/>
  <c r="V178" i="107"/>
  <c r="W178" i="107"/>
  <c r="X178" i="107"/>
  <c r="Y178" i="107"/>
  <c r="Z178" i="107"/>
  <c r="AA178" i="107"/>
  <c r="AB178" i="107"/>
  <c r="AC178" i="107"/>
  <c r="AD178" i="107"/>
  <c r="C179" i="107"/>
  <c r="D179" i="107"/>
  <c r="E179" i="107"/>
  <c r="F179" i="107"/>
  <c r="G179" i="107"/>
  <c r="H179" i="107"/>
  <c r="I179" i="107"/>
  <c r="J179" i="107"/>
  <c r="K179" i="107"/>
  <c r="L179" i="107"/>
  <c r="M179" i="107"/>
  <c r="N179" i="107"/>
  <c r="O179" i="107"/>
  <c r="P179" i="107"/>
  <c r="Q179" i="107"/>
  <c r="R179" i="107"/>
  <c r="S179" i="107"/>
  <c r="T179" i="107"/>
  <c r="U179" i="107"/>
  <c r="V179" i="107"/>
  <c r="W179" i="107"/>
  <c r="X179" i="107"/>
  <c r="Y179" i="107"/>
  <c r="Z179" i="107"/>
  <c r="AA179" i="107"/>
  <c r="AB179" i="107"/>
  <c r="AC179" i="107"/>
  <c r="AD179" i="107"/>
  <c r="C180" i="107"/>
  <c r="D180" i="107"/>
  <c r="E180" i="107"/>
  <c r="F180" i="107"/>
  <c r="G180" i="107"/>
  <c r="H180" i="107"/>
  <c r="I180" i="107"/>
  <c r="J180" i="107"/>
  <c r="K180" i="107"/>
  <c r="L180" i="107"/>
  <c r="M180" i="107"/>
  <c r="N180" i="107"/>
  <c r="O180" i="107"/>
  <c r="P180" i="107"/>
  <c r="Q180" i="107"/>
  <c r="R180" i="107"/>
  <c r="S180" i="107"/>
  <c r="T180" i="107"/>
  <c r="U180" i="107"/>
  <c r="V180" i="107"/>
  <c r="W180" i="107"/>
  <c r="X180" i="107"/>
  <c r="Y180" i="107"/>
  <c r="Z180" i="107"/>
  <c r="AA180" i="107"/>
  <c r="AB180" i="107"/>
  <c r="AC180" i="107"/>
  <c r="AD180" i="107"/>
  <c r="C181" i="107"/>
  <c r="D181" i="107"/>
  <c r="E181" i="107"/>
  <c r="F181" i="107"/>
  <c r="G181" i="107"/>
  <c r="H181" i="107"/>
  <c r="I181" i="107"/>
  <c r="J181" i="107"/>
  <c r="K181" i="107"/>
  <c r="L181" i="107"/>
  <c r="M181" i="107"/>
  <c r="N181" i="107"/>
  <c r="O181" i="107"/>
  <c r="P181" i="107"/>
  <c r="Q181" i="107"/>
  <c r="R181" i="107"/>
  <c r="S181" i="107"/>
  <c r="T181" i="107"/>
  <c r="U181" i="107"/>
  <c r="V181" i="107"/>
  <c r="W181" i="107"/>
  <c r="X181" i="107"/>
  <c r="Y181" i="107"/>
  <c r="Z181" i="107"/>
  <c r="AA181" i="107"/>
  <c r="AB181" i="107"/>
  <c r="AC181" i="107"/>
  <c r="AD181" i="107"/>
  <c r="C182" i="107"/>
  <c r="D182" i="107"/>
  <c r="E182" i="107"/>
  <c r="F182" i="107"/>
  <c r="G182" i="107"/>
  <c r="H182" i="107"/>
  <c r="I182" i="107"/>
  <c r="J182" i="107"/>
  <c r="K182" i="107"/>
  <c r="L182" i="107"/>
  <c r="M182" i="107"/>
  <c r="N182" i="107"/>
  <c r="O182" i="107"/>
  <c r="P182" i="107"/>
  <c r="Q182" i="107"/>
  <c r="R182" i="107"/>
  <c r="S182" i="107"/>
  <c r="T182" i="107"/>
  <c r="U182" i="107"/>
  <c r="V182" i="107"/>
  <c r="W182" i="107"/>
  <c r="X182" i="107"/>
  <c r="Y182" i="107"/>
  <c r="Z182" i="107"/>
  <c r="AA182" i="107"/>
  <c r="AB182" i="107"/>
  <c r="AC182" i="107"/>
  <c r="AD182" i="107"/>
  <c r="C183" i="107"/>
  <c r="D183" i="107"/>
  <c r="E183" i="107"/>
  <c r="F183" i="107"/>
  <c r="G183" i="107"/>
  <c r="H183" i="107"/>
  <c r="I183" i="107"/>
  <c r="J183" i="107"/>
  <c r="K183" i="107"/>
  <c r="L183" i="107"/>
  <c r="M183" i="107"/>
  <c r="N183" i="107"/>
  <c r="O183" i="107"/>
  <c r="P183" i="107"/>
  <c r="Q183" i="107"/>
  <c r="R183" i="107"/>
  <c r="S183" i="107"/>
  <c r="T183" i="107"/>
  <c r="U183" i="107"/>
  <c r="V183" i="107"/>
  <c r="W183" i="107"/>
  <c r="X183" i="107"/>
  <c r="Y183" i="107"/>
  <c r="Z183" i="107"/>
  <c r="AA183" i="107"/>
  <c r="AB183" i="107"/>
  <c r="AC183" i="107"/>
  <c r="AD183" i="107"/>
  <c r="C184" i="107"/>
  <c r="D184" i="107"/>
  <c r="E184" i="107"/>
  <c r="F184" i="107"/>
  <c r="G184" i="107"/>
  <c r="H184" i="107"/>
  <c r="I184" i="107"/>
  <c r="J184" i="107"/>
  <c r="K184" i="107"/>
  <c r="L184" i="107"/>
  <c r="M184" i="107"/>
  <c r="N184" i="107"/>
  <c r="O184" i="107"/>
  <c r="P184" i="107"/>
  <c r="Q184" i="107"/>
  <c r="R184" i="107"/>
  <c r="S184" i="107"/>
  <c r="T184" i="107"/>
  <c r="U184" i="107"/>
  <c r="V184" i="107"/>
  <c r="W184" i="107"/>
  <c r="X184" i="107"/>
  <c r="Y184" i="107"/>
  <c r="Z184" i="107"/>
  <c r="AA184" i="107"/>
  <c r="AB184" i="107"/>
  <c r="AC184" i="107"/>
  <c r="AD184" i="107"/>
  <c r="C185" i="107"/>
  <c r="D185" i="107"/>
  <c r="E185" i="107"/>
  <c r="F185" i="107"/>
  <c r="G185" i="107"/>
  <c r="H185" i="107"/>
  <c r="I185" i="107"/>
  <c r="J185" i="107"/>
  <c r="K185" i="107"/>
  <c r="L185" i="107"/>
  <c r="M185" i="107"/>
  <c r="N185" i="107"/>
  <c r="O185" i="107"/>
  <c r="P185" i="107"/>
  <c r="Q185" i="107"/>
  <c r="R185" i="107"/>
  <c r="S185" i="107"/>
  <c r="T185" i="107"/>
  <c r="U185" i="107"/>
  <c r="V185" i="107"/>
  <c r="W185" i="107"/>
  <c r="X185" i="107"/>
  <c r="Y185" i="107"/>
  <c r="Z185" i="107"/>
  <c r="AA185" i="107"/>
  <c r="AB185" i="107"/>
  <c r="AC185" i="107"/>
  <c r="AD185" i="107"/>
  <c r="C186" i="107"/>
  <c r="D186" i="107"/>
  <c r="E186" i="107"/>
  <c r="F186" i="107"/>
  <c r="G186" i="107"/>
  <c r="H186" i="107"/>
  <c r="I186" i="107"/>
  <c r="J186" i="107"/>
  <c r="K186" i="107"/>
  <c r="L186" i="107"/>
  <c r="M186" i="107"/>
  <c r="N186" i="107"/>
  <c r="O186" i="107"/>
  <c r="P186" i="107"/>
  <c r="Q186" i="107"/>
  <c r="R186" i="107"/>
  <c r="S186" i="107"/>
  <c r="T186" i="107"/>
  <c r="U186" i="107"/>
  <c r="V186" i="107"/>
  <c r="W186" i="107"/>
  <c r="X186" i="107"/>
  <c r="Y186" i="107"/>
  <c r="Z186" i="107"/>
  <c r="AA186" i="107"/>
  <c r="AB186" i="107"/>
  <c r="AC186" i="107"/>
  <c r="AD186" i="107"/>
  <c r="C187" i="107"/>
  <c r="D187" i="107"/>
  <c r="E187" i="107"/>
  <c r="F187" i="107"/>
  <c r="G187" i="107"/>
  <c r="H187" i="107"/>
  <c r="I187" i="107"/>
  <c r="J187" i="107"/>
  <c r="K187" i="107"/>
  <c r="L187" i="107"/>
  <c r="M187" i="107"/>
  <c r="N187" i="107"/>
  <c r="O187" i="107"/>
  <c r="P187" i="107"/>
  <c r="Q187" i="107"/>
  <c r="R187" i="107"/>
  <c r="S187" i="107"/>
  <c r="T187" i="107"/>
  <c r="U187" i="107"/>
  <c r="V187" i="107"/>
  <c r="W187" i="107"/>
  <c r="X187" i="107"/>
  <c r="Y187" i="107"/>
  <c r="Z187" i="107"/>
  <c r="AA187" i="107"/>
  <c r="AB187" i="107"/>
  <c r="AC187" i="107"/>
  <c r="AD187" i="107"/>
  <c r="C188" i="107"/>
  <c r="D188" i="107"/>
  <c r="E188" i="107"/>
  <c r="F188" i="107"/>
  <c r="G188" i="107"/>
  <c r="H188" i="107"/>
  <c r="I188" i="107"/>
  <c r="J188" i="107"/>
  <c r="K188" i="107"/>
  <c r="L188" i="107"/>
  <c r="M188" i="107"/>
  <c r="N188" i="107"/>
  <c r="O188" i="107"/>
  <c r="P188" i="107"/>
  <c r="Q188" i="107"/>
  <c r="R188" i="107"/>
  <c r="S188" i="107"/>
  <c r="T188" i="107"/>
  <c r="U188" i="107"/>
  <c r="V188" i="107"/>
  <c r="W188" i="107"/>
  <c r="X188" i="107"/>
  <c r="Y188" i="107"/>
  <c r="Z188" i="107"/>
  <c r="AA188" i="107"/>
  <c r="AB188" i="107"/>
  <c r="AC188" i="107"/>
  <c r="AD188" i="107"/>
  <c r="C189" i="107"/>
  <c r="D189" i="107"/>
  <c r="E189" i="107"/>
  <c r="F189" i="107"/>
  <c r="G189" i="107"/>
  <c r="H189" i="107"/>
  <c r="I189" i="107"/>
  <c r="J189" i="107"/>
  <c r="K189" i="107"/>
  <c r="L189" i="107"/>
  <c r="M189" i="107"/>
  <c r="N189" i="107"/>
  <c r="O189" i="107"/>
  <c r="P189" i="107"/>
  <c r="Q189" i="107"/>
  <c r="R189" i="107"/>
  <c r="S189" i="107"/>
  <c r="T189" i="107"/>
  <c r="U189" i="107"/>
  <c r="V189" i="107"/>
  <c r="W189" i="107"/>
  <c r="X189" i="107"/>
  <c r="Y189" i="107"/>
  <c r="Z189" i="107"/>
  <c r="AA189" i="107"/>
  <c r="AB189" i="107"/>
  <c r="AC189" i="107"/>
  <c r="AD189" i="107"/>
  <c r="C190" i="107"/>
  <c r="D190" i="107"/>
  <c r="E190" i="107"/>
  <c r="F190" i="107"/>
  <c r="G190" i="107"/>
  <c r="H190" i="107"/>
  <c r="I190" i="107"/>
  <c r="J190" i="107"/>
  <c r="K190" i="107"/>
  <c r="L190" i="107"/>
  <c r="M190" i="107"/>
  <c r="N190" i="107"/>
  <c r="O190" i="107"/>
  <c r="P190" i="107"/>
  <c r="Q190" i="107"/>
  <c r="R190" i="107"/>
  <c r="S190" i="107"/>
  <c r="T190" i="107"/>
  <c r="U190" i="107"/>
  <c r="V190" i="107"/>
  <c r="W190" i="107"/>
  <c r="X190" i="107"/>
  <c r="Y190" i="107"/>
  <c r="Z190" i="107"/>
  <c r="AA190" i="107"/>
  <c r="AB190" i="107"/>
  <c r="AC190" i="107"/>
  <c r="AD190" i="107"/>
  <c r="C191" i="107"/>
  <c r="D191" i="107"/>
  <c r="E191" i="107"/>
  <c r="F191" i="107"/>
  <c r="G191" i="107"/>
  <c r="H191" i="107"/>
  <c r="I191" i="107"/>
  <c r="J191" i="107"/>
  <c r="K191" i="107"/>
  <c r="L191" i="107"/>
  <c r="M191" i="107"/>
  <c r="N191" i="107"/>
  <c r="O191" i="107"/>
  <c r="P191" i="107"/>
  <c r="Q191" i="107"/>
  <c r="R191" i="107"/>
  <c r="S191" i="107"/>
  <c r="T191" i="107"/>
  <c r="U191" i="107"/>
  <c r="V191" i="107"/>
  <c r="W191" i="107"/>
  <c r="X191" i="107"/>
  <c r="Y191" i="107"/>
  <c r="Z191" i="107"/>
  <c r="AA191" i="107"/>
  <c r="AB191" i="107"/>
  <c r="AC191" i="107"/>
  <c r="AD191" i="107"/>
  <c r="C192" i="107"/>
  <c r="D192" i="107"/>
  <c r="E192" i="107"/>
  <c r="F192" i="107"/>
  <c r="G192" i="107"/>
  <c r="H192" i="107"/>
  <c r="I192" i="107"/>
  <c r="J192" i="107"/>
  <c r="K192" i="107"/>
  <c r="L192" i="107"/>
  <c r="M192" i="107"/>
  <c r="N192" i="107"/>
  <c r="O192" i="107"/>
  <c r="P192" i="107"/>
  <c r="Q192" i="107"/>
  <c r="R192" i="107"/>
  <c r="S192" i="107"/>
  <c r="T192" i="107"/>
  <c r="U192" i="107"/>
  <c r="V192" i="107"/>
  <c r="W192" i="107"/>
  <c r="X192" i="107"/>
  <c r="Y192" i="107"/>
  <c r="Z192" i="107"/>
  <c r="AA192" i="107"/>
  <c r="AB192" i="107"/>
  <c r="AC192" i="107"/>
  <c r="AD192" i="107"/>
  <c r="C193" i="107"/>
  <c r="D193" i="107"/>
  <c r="E193" i="107"/>
  <c r="F193" i="107"/>
  <c r="G193" i="107"/>
  <c r="H193" i="107"/>
  <c r="I193" i="107"/>
  <c r="J193" i="107"/>
  <c r="K193" i="107"/>
  <c r="L193" i="107"/>
  <c r="M193" i="107"/>
  <c r="N193" i="107"/>
  <c r="O193" i="107"/>
  <c r="P193" i="107"/>
  <c r="Q193" i="107"/>
  <c r="R193" i="107"/>
  <c r="S193" i="107"/>
  <c r="T193" i="107"/>
  <c r="U193" i="107"/>
  <c r="V193" i="107"/>
  <c r="W193" i="107"/>
  <c r="X193" i="107"/>
  <c r="Y193" i="107"/>
  <c r="Z193" i="107"/>
  <c r="AA193" i="107"/>
  <c r="AB193" i="107"/>
  <c r="AC193" i="107"/>
  <c r="AD193" i="107"/>
  <c r="C194" i="107"/>
  <c r="D194" i="107"/>
  <c r="E194" i="107"/>
  <c r="F194" i="107"/>
  <c r="G194" i="107"/>
  <c r="H194" i="107"/>
  <c r="I194" i="107"/>
  <c r="J194" i="107"/>
  <c r="K194" i="107"/>
  <c r="L194" i="107"/>
  <c r="M194" i="107"/>
  <c r="N194" i="107"/>
  <c r="O194" i="107"/>
  <c r="P194" i="107"/>
  <c r="Q194" i="107"/>
  <c r="R194" i="107"/>
  <c r="S194" i="107"/>
  <c r="T194" i="107"/>
  <c r="U194" i="107"/>
  <c r="V194" i="107"/>
  <c r="W194" i="107"/>
  <c r="X194" i="107"/>
  <c r="Y194" i="107"/>
  <c r="Z194" i="107"/>
  <c r="AA194" i="107"/>
  <c r="AB194" i="107"/>
  <c r="AC194" i="107"/>
  <c r="AD194" i="107"/>
  <c r="C195" i="107"/>
  <c r="D195" i="107"/>
  <c r="E195" i="107"/>
  <c r="F195" i="107"/>
  <c r="G195" i="107"/>
  <c r="H195" i="107"/>
  <c r="I195" i="107"/>
  <c r="J195" i="107"/>
  <c r="K195" i="107"/>
  <c r="L195" i="107"/>
  <c r="M195" i="107"/>
  <c r="N195" i="107"/>
  <c r="O195" i="107"/>
  <c r="P195" i="107"/>
  <c r="Q195" i="107"/>
  <c r="R195" i="107"/>
  <c r="S195" i="107"/>
  <c r="T195" i="107"/>
  <c r="U195" i="107"/>
  <c r="V195" i="107"/>
  <c r="W195" i="107"/>
  <c r="X195" i="107"/>
  <c r="Y195" i="107"/>
  <c r="Z195" i="107"/>
  <c r="AA195" i="107"/>
  <c r="AB195" i="107"/>
  <c r="AC195" i="107"/>
  <c r="AD195" i="107"/>
  <c r="C196" i="107"/>
  <c r="D196" i="107"/>
  <c r="E196" i="107"/>
  <c r="F196" i="107"/>
  <c r="G196" i="107"/>
  <c r="H196" i="107"/>
  <c r="I196" i="107"/>
  <c r="J196" i="107"/>
  <c r="K196" i="107"/>
  <c r="L196" i="107"/>
  <c r="M196" i="107"/>
  <c r="N196" i="107"/>
  <c r="O196" i="107"/>
  <c r="P196" i="107"/>
  <c r="Q196" i="107"/>
  <c r="R196" i="107"/>
  <c r="S196" i="107"/>
  <c r="T196" i="107"/>
  <c r="U196" i="107"/>
  <c r="V196" i="107"/>
  <c r="W196" i="107"/>
  <c r="X196" i="107"/>
  <c r="Y196" i="107"/>
  <c r="Z196" i="107"/>
  <c r="AA196" i="107"/>
  <c r="AB196" i="107"/>
  <c r="AC196" i="107"/>
  <c r="AD196" i="107"/>
  <c r="C197" i="107"/>
  <c r="D197" i="107"/>
  <c r="E197" i="107"/>
  <c r="F197" i="107"/>
  <c r="G197" i="107"/>
  <c r="H197" i="107"/>
  <c r="I197" i="107"/>
  <c r="J197" i="107"/>
  <c r="K197" i="107"/>
  <c r="L197" i="107"/>
  <c r="M197" i="107"/>
  <c r="N197" i="107"/>
  <c r="O197" i="107"/>
  <c r="P197" i="107"/>
  <c r="Q197" i="107"/>
  <c r="R197" i="107"/>
  <c r="S197" i="107"/>
  <c r="T197" i="107"/>
  <c r="U197" i="107"/>
  <c r="V197" i="107"/>
  <c r="W197" i="107"/>
  <c r="X197" i="107"/>
  <c r="Y197" i="107"/>
  <c r="Z197" i="107"/>
  <c r="AA197" i="107"/>
  <c r="AB197" i="107"/>
  <c r="AC197" i="107"/>
  <c r="AD197" i="107"/>
  <c r="C198" i="107"/>
  <c r="D198" i="107"/>
  <c r="E198" i="107"/>
  <c r="F198" i="107"/>
  <c r="G198" i="107"/>
  <c r="H198" i="107"/>
  <c r="I198" i="107"/>
  <c r="J198" i="107"/>
  <c r="K198" i="107"/>
  <c r="L198" i="107"/>
  <c r="M198" i="107"/>
  <c r="N198" i="107"/>
  <c r="O198" i="107"/>
  <c r="P198" i="107"/>
  <c r="Q198" i="107"/>
  <c r="R198" i="107"/>
  <c r="S198" i="107"/>
  <c r="T198" i="107"/>
  <c r="U198" i="107"/>
  <c r="V198" i="107"/>
  <c r="W198" i="107"/>
  <c r="X198" i="107"/>
  <c r="Y198" i="107"/>
  <c r="Z198" i="107"/>
  <c r="AA198" i="107"/>
  <c r="AB198" i="107"/>
  <c r="AC198" i="107"/>
  <c r="AD198" i="107"/>
  <c r="C199" i="107"/>
  <c r="D199" i="107"/>
  <c r="E199" i="107"/>
  <c r="F199" i="107"/>
  <c r="G199" i="107"/>
  <c r="H199" i="107"/>
  <c r="I199" i="107"/>
  <c r="J199" i="107"/>
  <c r="K199" i="107"/>
  <c r="L199" i="107"/>
  <c r="M199" i="107"/>
  <c r="N199" i="107"/>
  <c r="O199" i="107"/>
  <c r="P199" i="107"/>
  <c r="Q199" i="107"/>
  <c r="R199" i="107"/>
  <c r="S199" i="107"/>
  <c r="T199" i="107"/>
  <c r="U199" i="107"/>
  <c r="V199" i="107"/>
  <c r="W199" i="107"/>
  <c r="X199" i="107"/>
  <c r="Y199" i="107"/>
  <c r="Z199" i="107"/>
  <c r="AA199" i="107"/>
  <c r="AB199" i="107"/>
  <c r="AC199" i="107"/>
  <c r="AD199" i="107"/>
  <c r="C200" i="107"/>
  <c r="D200" i="107"/>
  <c r="E200" i="107"/>
  <c r="F200" i="107"/>
  <c r="G200" i="107"/>
  <c r="H200" i="107"/>
  <c r="I200" i="107"/>
  <c r="J200" i="107"/>
  <c r="K200" i="107"/>
  <c r="L200" i="107"/>
  <c r="M200" i="107"/>
  <c r="N200" i="107"/>
  <c r="O200" i="107"/>
  <c r="P200" i="107"/>
  <c r="Q200" i="107"/>
  <c r="R200" i="107"/>
  <c r="S200" i="107"/>
  <c r="T200" i="107"/>
  <c r="U200" i="107"/>
  <c r="V200" i="107"/>
  <c r="W200" i="107"/>
  <c r="X200" i="107"/>
  <c r="Y200" i="107"/>
  <c r="Z200" i="107"/>
  <c r="AA200" i="107"/>
  <c r="AB200" i="107"/>
  <c r="AC200" i="107"/>
  <c r="AD200" i="107"/>
  <c r="C201" i="107"/>
  <c r="D201" i="107"/>
  <c r="E201" i="107"/>
  <c r="F201" i="107"/>
  <c r="G201" i="107"/>
  <c r="H201" i="107"/>
  <c r="I201" i="107"/>
  <c r="J201" i="107"/>
  <c r="K201" i="107"/>
  <c r="L201" i="107"/>
  <c r="M201" i="107"/>
  <c r="N201" i="107"/>
  <c r="O201" i="107"/>
  <c r="P201" i="107"/>
  <c r="Q201" i="107"/>
  <c r="R201" i="107"/>
  <c r="S201" i="107"/>
  <c r="T201" i="107"/>
  <c r="U201" i="107"/>
  <c r="V201" i="107"/>
  <c r="W201" i="107"/>
  <c r="X201" i="107"/>
  <c r="Y201" i="107"/>
  <c r="Z201" i="107"/>
  <c r="AA201" i="107"/>
  <c r="AB201" i="107"/>
  <c r="AC201" i="107"/>
  <c r="AD201" i="107"/>
  <c r="C202" i="107"/>
  <c r="D202" i="107"/>
  <c r="E202" i="107"/>
  <c r="F202" i="107"/>
  <c r="G202" i="107"/>
  <c r="H202" i="107"/>
  <c r="I202" i="107"/>
  <c r="J202" i="107"/>
  <c r="K202" i="107"/>
  <c r="L202" i="107"/>
  <c r="M202" i="107"/>
  <c r="N202" i="107"/>
  <c r="O202" i="107"/>
  <c r="P202" i="107"/>
  <c r="Q202" i="107"/>
  <c r="R202" i="107"/>
  <c r="S202" i="107"/>
  <c r="T202" i="107"/>
  <c r="U202" i="107"/>
  <c r="V202" i="107"/>
  <c r="W202" i="107"/>
  <c r="X202" i="107"/>
  <c r="Y202" i="107"/>
  <c r="Z202" i="107"/>
  <c r="AA202" i="107"/>
  <c r="AB202" i="107"/>
  <c r="AC202" i="107"/>
  <c r="AD202" i="107"/>
  <c r="C203" i="107"/>
  <c r="D203" i="107"/>
  <c r="E203" i="107"/>
  <c r="F203" i="107"/>
  <c r="G203" i="107"/>
  <c r="H203" i="107"/>
  <c r="I203" i="107"/>
  <c r="J203" i="107"/>
  <c r="K203" i="107"/>
  <c r="L203" i="107"/>
  <c r="M203" i="107"/>
  <c r="N203" i="107"/>
  <c r="O203" i="107"/>
  <c r="P203" i="107"/>
  <c r="Q203" i="107"/>
  <c r="R203" i="107"/>
  <c r="S203" i="107"/>
  <c r="T203" i="107"/>
  <c r="U203" i="107"/>
  <c r="V203" i="107"/>
  <c r="W203" i="107"/>
  <c r="X203" i="107"/>
  <c r="Y203" i="107"/>
  <c r="Z203" i="107"/>
  <c r="AA203" i="107"/>
  <c r="AB203" i="107"/>
  <c r="AC203" i="107"/>
  <c r="AD203" i="107"/>
  <c r="C204" i="107"/>
  <c r="D204" i="107"/>
  <c r="E204" i="107"/>
  <c r="F204" i="107"/>
  <c r="G204" i="107"/>
  <c r="H204" i="107"/>
  <c r="I204" i="107"/>
  <c r="J204" i="107"/>
  <c r="K204" i="107"/>
  <c r="L204" i="107"/>
  <c r="M204" i="107"/>
  <c r="N204" i="107"/>
  <c r="O204" i="107"/>
  <c r="P204" i="107"/>
  <c r="Q204" i="107"/>
  <c r="R204" i="107"/>
  <c r="S204" i="107"/>
  <c r="T204" i="107"/>
  <c r="U204" i="107"/>
  <c r="V204" i="107"/>
  <c r="W204" i="107"/>
  <c r="X204" i="107"/>
  <c r="Y204" i="107"/>
  <c r="Z204" i="107"/>
  <c r="AA204" i="107"/>
  <c r="AB204" i="107"/>
  <c r="AC204" i="107"/>
  <c r="AD204" i="107"/>
  <c r="C205" i="107"/>
  <c r="D205" i="107"/>
  <c r="E205" i="107"/>
  <c r="F205" i="107"/>
  <c r="G205" i="107"/>
  <c r="H205" i="107"/>
  <c r="I205" i="107"/>
  <c r="J205" i="107"/>
  <c r="K205" i="107"/>
  <c r="L205" i="107"/>
  <c r="M205" i="107"/>
  <c r="N205" i="107"/>
  <c r="O205" i="107"/>
  <c r="P205" i="107"/>
  <c r="Q205" i="107"/>
  <c r="R205" i="107"/>
  <c r="S205" i="107"/>
  <c r="T205" i="107"/>
  <c r="U205" i="107"/>
  <c r="V205" i="107"/>
  <c r="W205" i="107"/>
  <c r="X205" i="107"/>
  <c r="Y205" i="107"/>
  <c r="Z205" i="107"/>
  <c r="AA205" i="107"/>
  <c r="AB205" i="107"/>
  <c r="AC205" i="107"/>
  <c r="AD205" i="107"/>
  <c r="C206" i="107"/>
  <c r="D206" i="107"/>
  <c r="E206" i="107"/>
  <c r="F206" i="107"/>
  <c r="G206" i="107"/>
  <c r="H206" i="107"/>
  <c r="I206" i="107"/>
  <c r="J206" i="107"/>
  <c r="K206" i="107"/>
  <c r="L206" i="107"/>
  <c r="M206" i="107"/>
  <c r="N206" i="107"/>
  <c r="O206" i="107"/>
  <c r="P206" i="107"/>
  <c r="Q206" i="107"/>
  <c r="R206" i="107"/>
  <c r="S206" i="107"/>
  <c r="T206" i="107"/>
  <c r="U206" i="107"/>
  <c r="V206" i="107"/>
  <c r="W206" i="107"/>
  <c r="X206" i="107"/>
  <c r="Y206" i="107"/>
  <c r="Z206" i="107"/>
  <c r="AA206" i="107"/>
  <c r="AB206" i="107"/>
  <c r="AC206" i="107"/>
  <c r="AD206" i="107"/>
  <c r="C207" i="107"/>
  <c r="D207" i="107"/>
  <c r="E207" i="107"/>
  <c r="F207" i="107"/>
  <c r="G207" i="107"/>
  <c r="H207" i="107"/>
  <c r="I207" i="107"/>
  <c r="J207" i="107"/>
  <c r="K207" i="107"/>
  <c r="L207" i="107"/>
  <c r="M207" i="107"/>
  <c r="N207" i="107"/>
  <c r="O207" i="107"/>
  <c r="P207" i="107"/>
  <c r="Q207" i="107"/>
  <c r="R207" i="107"/>
  <c r="S207" i="107"/>
  <c r="T207" i="107"/>
  <c r="U207" i="107"/>
  <c r="V207" i="107"/>
  <c r="W207" i="107"/>
  <c r="X207" i="107"/>
  <c r="Y207" i="107"/>
  <c r="Z207" i="107"/>
  <c r="AA207" i="107"/>
  <c r="AB207" i="107"/>
  <c r="AC207" i="107"/>
  <c r="AD207" i="107"/>
  <c r="C208" i="107"/>
  <c r="D208" i="107"/>
  <c r="E208" i="107"/>
  <c r="F208" i="107"/>
  <c r="G208" i="107"/>
  <c r="H208" i="107"/>
  <c r="I208" i="107"/>
  <c r="J208" i="107"/>
  <c r="K208" i="107"/>
  <c r="L208" i="107"/>
  <c r="M208" i="107"/>
  <c r="N208" i="107"/>
  <c r="O208" i="107"/>
  <c r="P208" i="107"/>
  <c r="Q208" i="107"/>
  <c r="R208" i="107"/>
  <c r="S208" i="107"/>
  <c r="T208" i="107"/>
  <c r="U208" i="107"/>
  <c r="V208" i="107"/>
  <c r="W208" i="107"/>
  <c r="X208" i="107"/>
  <c r="Y208" i="107"/>
  <c r="Z208" i="107"/>
  <c r="AA208" i="107"/>
  <c r="AB208" i="107"/>
  <c r="AC208" i="107"/>
  <c r="AD208" i="107"/>
  <c r="C209" i="107"/>
  <c r="D209" i="107"/>
  <c r="E209" i="107"/>
  <c r="F209" i="107"/>
  <c r="G209" i="107"/>
  <c r="H209" i="107"/>
  <c r="I209" i="107"/>
  <c r="J209" i="107"/>
  <c r="K209" i="107"/>
  <c r="L209" i="107"/>
  <c r="M209" i="107"/>
  <c r="N209" i="107"/>
  <c r="O209" i="107"/>
  <c r="P209" i="107"/>
  <c r="Q209" i="107"/>
  <c r="R209" i="107"/>
  <c r="S209" i="107"/>
  <c r="T209" i="107"/>
  <c r="U209" i="107"/>
  <c r="V209" i="107"/>
  <c r="W209" i="107"/>
  <c r="X209" i="107"/>
  <c r="Y209" i="107"/>
  <c r="Z209" i="107"/>
  <c r="AA209" i="107"/>
  <c r="AB209" i="107"/>
  <c r="AC209" i="107"/>
  <c r="AD209" i="107"/>
  <c r="C210" i="107"/>
  <c r="D210" i="107"/>
  <c r="E210" i="107"/>
  <c r="F210" i="107"/>
  <c r="G210" i="107"/>
  <c r="H210" i="107"/>
  <c r="I210" i="107"/>
  <c r="J210" i="107"/>
  <c r="K210" i="107"/>
  <c r="L210" i="107"/>
  <c r="M210" i="107"/>
  <c r="N210" i="107"/>
  <c r="O210" i="107"/>
  <c r="P210" i="107"/>
  <c r="Q210" i="107"/>
  <c r="R210" i="107"/>
  <c r="S210" i="107"/>
  <c r="T210" i="107"/>
  <c r="U210" i="107"/>
  <c r="V210" i="107"/>
  <c r="W210" i="107"/>
  <c r="X210" i="107"/>
  <c r="Y210" i="107"/>
  <c r="Z210" i="107"/>
  <c r="AA210" i="107"/>
  <c r="AB210" i="107"/>
  <c r="AC210" i="107"/>
  <c r="AD210" i="107"/>
  <c r="C211" i="107"/>
  <c r="D211" i="107"/>
  <c r="E211" i="107"/>
  <c r="F211" i="107"/>
  <c r="G211" i="107"/>
  <c r="H211" i="107"/>
  <c r="I211" i="107"/>
  <c r="J211" i="107"/>
  <c r="K211" i="107"/>
  <c r="L211" i="107"/>
  <c r="M211" i="107"/>
  <c r="N211" i="107"/>
  <c r="O211" i="107"/>
  <c r="P211" i="107"/>
  <c r="Q211" i="107"/>
  <c r="R211" i="107"/>
  <c r="S211" i="107"/>
  <c r="T211" i="107"/>
  <c r="U211" i="107"/>
  <c r="V211" i="107"/>
  <c r="W211" i="107"/>
  <c r="X211" i="107"/>
  <c r="Y211" i="107"/>
  <c r="Z211" i="107"/>
  <c r="AA211" i="107"/>
  <c r="AB211" i="107"/>
  <c r="AC211" i="107"/>
  <c r="AD211" i="107"/>
  <c r="C212" i="107"/>
  <c r="D212" i="107"/>
  <c r="E212" i="107"/>
  <c r="F212" i="107"/>
  <c r="G212" i="107"/>
  <c r="H212" i="107"/>
  <c r="I212" i="107"/>
  <c r="J212" i="107"/>
  <c r="K212" i="107"/>
  <c r="L212" i="107"/>
  <c r="M212" i="107"/>
  <c r="N212" i="107"/>
  <c r="O212" i="107"/>
  <c r="P212" i="107"/>
  <c r="Q212" i="107"/>
  <c r="R212" i="107"/>
  <c r="S212" i="107"/>
  <c r="T212" i="107"/>
  <c r="U212" i="107"/>
  <c r="V212" i="107"/>
  <c r="W212" i="107"/>
  <c r="X212" i="107"/>
  <c r="Y212" i="107"/>
  <c r="Z212" i="107"/>
  <c r="AA212" i="107"/>
  <c r="AB212" i="107"/>
  <c r="AC212" i="107"/>
  <c r="AD212" i="107"/>
  <c r="C213" i="107"/>
  <c r="D213" i="107"/>
  <c r="E213" i="107"/>
  <c r="F213" i="107"/>
  <c r="G213" i="107"/>
  <c r="H213" i="107"/>
  <c r="I213" i="107"/>
  <c r="J213" i="107"/>
  <c r="K213" i="107"/>
  <c r="L213" i="107"/>
  <c r="M213" i="107"/>
  <c r="N213" i="107"/>
  <c r="O213" i="107"/>
  <c r="P213" i="107"/>
  <c r="Q213" i="107"/>
  <c r="R213" i="107"/>
  <c r="S213" i="107"/>
  <c r="T213" i="107"/>
  <c r="U213" i="107"/>
  <c r="V213" i="107"/>
  <c r="W213" i="107"/>
  <c r="X213" i="107"/>
  <c r="Y213" i="107"/>
  <c r="Z213" i="107"/>
  <c r="AA213" i="107"/>
  <c r="AB213" i="107"/>
  <c r="AC213" i="107"/>
  <c r="AD213" i="107"/>
  <c r="C214" i="107"/>
  <c r="D214" i="107"/>
  <c r="E214" i="107"/>
  <c r="F214" i="107"/>
  <c r="G214" i="107"/>
  <c r="H214" i="107"/>
  <c r="I214" i="107"/>
  <c r="J214" i="107"/>
  <c r="K214" i="107"/>
  <c r="L214" i="107"/>
  <c r="M214" i="107"/>
  <c r="N214" i="107"/>
  <c r="O214" i="107"/>
  <c r="P214" i="107"/>
  <c r="Q214" i="107"/>
  <c r="R214" i="107"/>
  <c r="S214" i="107"/>
  <c r="T214" i="107"/>
  <c r="U214" i="107"/>
  <c r="V214" i="107"/>
  <c r="W214" i="107"/>
  <c r="X214" i="107"/>
  <c r="Y214" i="107"/>
  <c r="Z214" i="107"/>
  <c r="AA214" i="107"/>
  <c r="AB214" i="107"/>
  <c r="AC214" i="107"/>
  <c r="AD214" i="107"/>
  <c r="C215" i="107"/>
  <c r="D215" i="107"/>
  <c r="E215" i="107"/>
  <c r="F215" i="107"/>
  <c r="G215" i="107"/>
  <c r="H215" i="107"/>
  <c r="I215" i="107"/>
  <c r="J215" i="107"/>
  <c r="K215" i="107"/>
  <c r="L215" i="107"/>
  <c r="M215" i="107"/>
  <c r="N215" i="107"/>
  <c r="O215" i="107"/>
  <c r="P215" i="107"/>
  <c r="Q215" i="107"/>
  <c r="R215" i="107"/>
  <c r="S215" i="107"/>
  <c r="T215" i="107"/>
  <c r="U215" i="107"/>
  <c r="V215" i="107"/>
  <c r="W215" i="107"/>
  <c r="X215" i="107"/>
  <c r="Y215" i="107"/>
  <c r="Z215" i="107"/>
  <c r="AA215" i="107"/>
  <c r="AB215" i="107"/>
  <c r="AC215" i="107"/>
  <c r="AD215" i="107"/>
  <c r="C216" i="107"/>
  <c r="D216" i="107"/>
  <c r="E216" i="107"/>
  <c r="F216" i="107"/>
  <c r="G216" i="107"/>
  <c r="H216" i="107"/>
  <c r="I216" i="107"/>
  <c r="J216" i="107"/>
  <c r="K216" i="107"/>
  <c r="L216" i="107"/>
  <c r="M216" i="107"/>
  <c r="N216" i="107"/>
  <c r="O216" i="107"/>
  <c r="P216" i="107"/>
  <c r="Q216" i="107"/>
  <c r="R216" i="107"/>
  <c r="S216" i="107"/>
  <c r="T216" i="107"/>
  <c r="U216" i="107"/>
  <c r="V216" i="107"/>
  <c r="W216" i="107"/>
  <c r="X216" i="107"/>
  <c r="Y216" i="107"/>
  <c r="Z216" i="107"/>
  <c r="AA216" i="107"/>
  <c r="AB216" i="107"/>
  <c r="AC216" i="107"/>
  <c r="AD216" i="107"/>
  <c r="C217" i="107"/>
  <c r="D217" i="107"/>
  <c r="E217" i="107"/>
  <c r="F217" i="107"/>
  <c r="G217" i="107"/>
  <c r="H217" i="107"/>
  <c r="I217" i="107"/>
  <c r="J217" i="107"/>
  <c r="K217" i="107"/>
  <c r="L217" i="107"/>
  <c r="M217" i="107"/>
  <c r="N217" i="107"/>
  <c r="O217" i="107"/>
  <c r="P217" i="107"/>
  <c r="Q217" i="107"/>
  <c r="R217" i="107"/>
  <c r="S217" i="107"/>
  <c r="T217" i="107"/>
  <c r="U217" i="107"/>
  <c r="V217" i="107"/>
  <c r="W217" i="107"/>
  <c r="X217" i="107"/>
  <c r="Y217" i="107"/>
  <c r="Z217" i="107"/>
  <c r="AA217" i="107"/>
  <c r="AB217" i="107"/>
  <c r="AC217" i="107"/>
  <c r="AD217" i="107"/>
  <c r="C218" i="107"/>
  <c r="D218" i="107"/>
  <c r="E218" i="107"/>
  <c r="F218" i="107"/>
  <c r="G218" i="107"/>
  <c r="H218" i="107"/>
  <c r="I218" i="107"/>
  <c r="J218" i="107"/>
  <c r="K218" i="107"/>
  <c r="L218" i="107"/>
  <c r="M218" i="107"/>
  <c r="N218" i="107"/>
  <c r="O218" i="107"/>
  <c r="P218" i="107"/>
  <c r="Q218" i="107"/>
  <c r="R218" i="107"/>
  <c r="S218" i="107"/>
  <c r="T218" i="107"/>
  <c r="U218" i="107"/>
  <c r="V218" i="107"/>
  <c r="W218" i="107"/>
  <c r="X218" i="107"/>
  <c r="Y218" i="107"/>
  <c r="Z218" i="107"/>
  <c r="AA218" i="107"/>
  <c r="AB218" i="107"/>
  <c r="AC218" i="107"/>
  <c r="AD218" i="107"/>
  <c r="C219" i="107"/>
  <c r="D219" i="107"/>
  <c r="E219" i="107"/>
  <c r="F219" i="107"/>
  <c r="G219" i="107"/>
  <c r="H219" i="107"/>
  <c r="I219" i="107"/>
  <c r="J219" i="107"/>
  <c r="K219" i="107"/>
  <c r="L219" i="107"/>
  <c r="M219" i="107"/>
  <c r="N219" i="107"/>
  <c r="O219" i="107"/>
  <c r="P219" i="107"/>
  <c r="Q219" i="107"/>
  <c r="R219" i="107"/>
  <c r="S219" i="107"/>
  <c r="T219" i="107"/>
  <c r="U219" i="107"/>
  <c r="V219" i="107"/>
  <c r="W219" i="107"/>
  <c r="X219" i="107"/>
  <c r="Y219" i="107"/>
  <c r="Z219" i="107"/>
  <c r="AA219" i="107"/>
  <c r="AB219" i="107"/>
  <c r="AC219" i="107"/>
  <c r="AD219" i="107"/>
  <c r="C220" i="107"/>
  <c r="D220" i="107"/>
  <c r="E220" i="107"/>
  <c r="F220" i="107"/>
  <c r="G220" i="107"/>
  <c r="H220" i="107"/>
  <c r="I220" i="107"/>
  <c r="J220" i="107"/>
  <c r="K220" i="107"/>
  <c r="L220" i="107"/>
  <c r="M220" i="107"/>
  <c r="N220" i="107"/>
  <c r="O220" i="107"/>
  <c r="P220" i="107"/>
  <c r="Q220" i="107"/>
  <c r="R220" i="107"/>
  <c r="S220" i="107"/>
  <c r="T220" i="107"/>
  <c r="U220" i="107"/>
  <c r="V220" i="107"/>
  <c r="W220" i="107"/>
  <c r="X220" i="107"/>
  <c r="Y220" i="107"/>
  <c r="Z220" i="107"/>
  <c r="AA220" i="107"/>
  <c r="AB220" i="107"/>
  <c r="AC220" i="107"/>
  <c r="AD220" i="107"/>
  <c r="C221" i="107"/>
  <c r="D221" i="107"/>
  <c r="E221" i="107"/>
  <c r="F221" i="107"/>
  <c r="G221" i="107"/>
  <c r="H221" i="107"/>
  <c r="I221" i="107"/>
  <c r="J221" i="107"/>
  <c r="K221" i="107"/>
  <c r="L221" i="107"/>
  <c r="M221" i="107"/>
  <c r="N221" i="107"/>
  <c r="O221" i="107"/>
  <c r="P221" i="107"/>
  <c r="Q221" i="107"/>
  <c r="R221" i="107"/>
  <c r="S221" i="107"/>
  <c r="T221" i="107"/>
  <c r="U221" i="107"/>
  <c r="V221" i="107"/>
  <c r="W221" i="107"/>
  <c r="X221" i="107"/>
  <c r="Y221" i="107"/>
  <c r="Z221" i="107"/>
  <c r="AA221" i="107"/>
  <c r="AB221" i="107"/>
  <c r="AC221" i="107"/>
  <c r="AD221" i="107"/>
  <c r="C222" i="107"/>
  <c r="D222" i="107"/>
  <c r="E222" i="107"/>
  <c r="F222" i="107"/>
  <c r="G222" i="107"/>
  <c r="H222" i="107"/>
  <c r="I222" i="107"/>
  <c r="J222" i="107"/>
  <c r="K222" i="107"/>
  <c r="L222" i="107"/>
  <c r="M222" i="107"/>
  <c r="N222" i="107"/>
  <c r="O222" i="107"/>
  <c r="P222" i="107"/>
  <c r="Q222" i="107"/>
  <c r="R222" i="107"/>
  <c r="S222" i="107"/>
  <c r="T222" i="107"/>
  <c r="U222" i="107"/>
  <c r="V222" i="107"/>
  <c r="W222" i="107"/>
  <c r="X222" i="107"/>
  <c r="Y222" i="107"/>
  <c r="Z222" i="107"/>
  <c r="AA222" i="107"/>
  <c r="AB222" i="107"/>
  <c r="AC222" i="107"/>
  <c r="AD222" i="107"/>
  <c r="C223" i="107"/>
  <c r="D223" i="107"/>
  <c r="E223" i="107"/>
  <c r="F223" i="107"/>
  <c r="G223" i="107"/>
  <c r="H223" i="107"/>
  <c r="I223" i="107"/>
  <c r="J223" i="107"/>
  <c r="K223" i="107"/>
  <c r="L223" i="107"/>
  <c r="M223" i="107"/>
  <c r="N223" i="107"/>
  <c r="O223" i="107"/>
  <c r="P223" i="107"/>
  <c r="Q223" i="107"/>
  <c r="R223" i="107"/>
  <c r="S223" i="107"/>
  <c r="T223" i="107"/>
  <c r="U223" i="107"/>
  <c r="V223" i="107"/>
  <c r="W223" i="107"/>
  <c r="X223" i="107"/>
  <c r="Y223" i="107"/>
  <c r="Z223" i="107"/>
  <c r="AA223" i="107"/>
  <c r="AB223" i="107"/>
  <c r="AC223" i="107"/>
  <c r="AD223" i="107"/>
  <c r="C224" i="107"/>
  <c r="D224" i="107"/>
  <c r="E224" i="107"/>
  <c r="F224" i="107"/>
  <c r="G224" i="107"/>
  <c r="H224" i="107"/>
  <c r="I224" i="107"/>
  <c r="J224" i="107"/>
  <c r="K224" i="107"/>
  <c r="L224" i="107"/>
  <c r="M224" i="107"/>
  <c r="N224" i="107"/>
  <c r="O224" i="107"/>
  <c r="P224" i="107"/>
  <c r="Q224" i="107"/>
  <c r="R224" i="107"/>
  <c r="S224" i="107"/>
  <c r="T224" i="107"/>
  <c r="U224" i="107"/>
  <c r="V224" i="107"/>
  <c r="W224" i="107"/>
  <c r="X224" i="107"/>
  <c r="Y224" i="107"/>
  <c r="Z224" i="107"/>
  <c r="AA224" i="107"/>
  <c r="AB224" i="107"/>
  <c r="AC224" i="107"/>
  <c r="AD224" i="107"/>
  <c r="C225" i="107"/>
  <c r="D225" i="107"/>
  <c r="E225" i="107"/>
  <c r="F225" i="107"/>
  <c r="G225" i="107"/>
  <c r="H225" i="107"/>
  <c r="I225" i="107"/>
  <c r="J225" i="107"/>
  <c r="K225" i="107"/>
  <c r="L225" i="107"/>
  <c r="M225" i="107"/>
  <c r="N225" i="107"/>
  <c r="O225" i="107"/>
  <c r="P225" i="107"/>
  <c r="Q225" i="107"/>
  <c r="R225" i="107"/>
  <c r="S225" i="107"/>
  <c r="T225" i="107"/>
  <c r="U225" i="107"/>
  <c r="V225" i="107"/>
  <c r="W225" i="107"/>
  <c r="X225" i="107"/>
  <c r="Y225" i="107"/>
  <c r="Z225" i="107"/>
  <c r="AA225" i="107"/>
  <c r="AB225" i="107"/>
  <c r="AC225" i="107"/>
  <c r="AD225" i="107"/>
  <c r="C226" i="107"/>
  <c r="D226" i="107"/>
  <c r="E226" i="107"/>
  <c r="F226" i="107"/>
  <c r="G226" i="107"/>
  <c r="H226" i="107"/>
  <c r="I226" i="107"/>
  <c r="J226" i="107"/>
  <c r="K226" i="107"/>
  <c r="L226" i="107"/>
  <c r="M226" i="107"/>
  <c r="N226" i="107"/>
  <c r="O226" i="107"/>
  <c r="P226" i="107"/>
  <c r="Q226" i="107"/>
  <c r="R226" i="107"/>
  <c r="S226" i="107"/>
  <c r="T226" i="107"/>
  <c r="U226" i="107"/>
  <c r="V226" i="107"/>
  <c r="W226" i="107"/>
  <c r="X226" i="107"/>
  <c r="Y226" i="107"/>
  <c r="Z226" i="107"/>
  <c r="AA226" i="107"/>
  <c r="AB226" i="107"/>
  <c r="AC226" i="107"/>
  <c r="AD226" i="107"/>
  <c r="C227" i="107"/>
  <c r="D227" i="107"/>
  <c r="E227" i="107"/>
  <c r="F227" i="107"/>
  <c r="G227" i="107"/>
  <c r="H227" i="107"/>
  <c r="I227" i="107"/>
  <c r="J227" i="107"/>
  <c r="K227" i="107"/>
  <c r="L227" i="107"/>
  <c r="M227" i="107"/>
  <c r="N227" i="107"/>
  <c r="O227" i="107"/>
  <c r="P227" i="107"/>
  <c r="Q227" i="107"/>
  <c r="R227" i="107"/>
  <c r="S227" i="107"/>
  <c r="T227" i="107"/>
  <c r="U227" i="107"/>
  <c r="V227" i="107"/>
  <c r="W227" i="107"/>
  <c r="X227" i="107"/>
  <c r="Y227" i="107"/>
  <c r="Z227" i="107"/>
  <c r="AA227" i="107"/>
  <c r="AB227" i="107"/>
  <c r="AC227" i="107"/>
  <c r="AD227" i="107"/>
  <c r="C228" i="107"/>
  <c r="D228" i="107"/>
  <c r="E228" i="107"/>
  <c r="F228" i="107"/>
  <c r="G228" i="107"/>
  <c r="H228" i="107"/>
  <c r="I228" i="107"/>
  <c r="J228" i="107"/>
  <c r="K228" i="107"/>
  <c r="L228" i="107"/>
  <c r="M228" i="107"/>
  <c r="N228" i="107"/>
  <c r="O228" i="107"/>
  <c r="P228" i="107"/>
  <c r="Q228" i="107"/>
  <c r="R228" i="107"/>
  <c r="S228" i="107"/>
  <c r="T228" i="107"/>
  <c r="U228" i="107"/>
  <c r="V228" i="107"/>
  <c r="W228" i="107"/>
  <c r="X228" i="107"/>
  <c r="Y228" i="107"/>
  <c r="Z228" i="107"/>
  <c r="AA228" i="107"/>
  <c r="AB228" i="107"/>
  <c r="AC228" i="107"/>
  <c r="AD228" i="107"/>
  <c r="C229" i="107"/>
  <c r="D229" i="107"/>
  <c r="E229" i="107"/>
  <c r="F229" i="107"/>
  <c r="G229" i="107"/>
  <c r="H229" i="107"/>
  <c r="I229" i="107"/>
  <c r="J229" i="107"/>
  <c r="K229" i="107"/>
  <c r="L229" i="107"/>
  <c r="M229" i="107"/>
  <c r="N229" i="107"/>
  <c r="O229" i="107"/>
  <c r="P229" i="107"/>
  <c r="Q229" i="107"/>
  <c r="R229" i="107"/>
  <c r="S229" i="107"/>
  <c r="T229" i="107"/>
  <c r="U229" i="107"/>
  <c r="V229" i="107"/>
  <c r="W229" i="107"/>
  <c r="X229" i="107"/>
  <c r="Y229" i="107"/>
  <c r="Z229" i="107"/>
  <c r="AA229" i="107"/>
  <c r="AB229" i="107"/>
  <c r="AC229" i="107"/>
  <c r="AD229" i="107"/>
  <c r="C230" i="107"/>
  <c r="D230" i="107"/>
  <c r="E230" i="107"/>
  <c r="F230" i="107"/>
  <c r="G230" i="107"/>
  <c r="H230" i="107"/>
  <c r="I230" i="107"/>
  <c r="J230" i="107"/>
  <c r="K230" i="107"/>
  <c r="L230" i="107"/>
  <c r="M230" i="107"/>
  <c r="N230" i="107"/>
  <c r="O230" i="107"/>
  <c r="P230" i="107"/>
  <c r="Q230" i="107"/>
  <c r="R230" i="107"/>
  <c r="S230" i="107"/>
  <c r="T230" i="107"/>
  <c r="U230" i="107"/>
  <c r="V230" i="107"/>
  <c r="W230" i="107"/>
  <c r="X230" i="107"/>
  <c r="Y230" i="107"/>
  <c r="Z230" i="107"/>
  <c r="AA230" i="107"/>
  <c r="AB230" i="107"/>
  <c r="AC230" i="107"/>
  <c r="AD230" i="107"/>
  <c r="C231" i="107"/>
  <c r="D231" i="107"/>
  <c r="E231" i="107"/>
  <c r="F231" i="107"/>
  <c r="G231" i="107"/>
  <c r="H231" i="107"/>
  <c r="I231" i="107"/>
  <c r="J231" i="107"/>
  <c r="K231" i="107"/>
  <c r="L231" i="107"/>
  <c r="M231" i="107"/>
  <c r="N231" i="107"/>
  <c r="O231" i="107"/>
  <c r="P231" i="107"/>
  <c r="Q231" i="107"/>
  <c r="R231" i="107"/>
  <c r="S231" i="107"/>
  <c r="T231" i="107"/>
  <c r="U231" i="107"/>
  <c r="V231" i="107"/>
  <c r="W231" i="107"/>
  <c r="X231" i="107"/>
  <c r="Y231" i="107"/>
  <c r="Z231" i="107"/>
  <c r="AA231" i="107"/>
  <c r="AB231" i="107"/>
  <c r="AC231" i="107"/>
  <c r="AD231" i="107"/>
  <c r="C232" i="107"/>
  <c r="D232" i="107"/>
  <c r="E232" i="107"/>
  <c r="F232" i="107"/>
  <c r="G232" i="107"/>
  <c r="H232" i="107"/>
  <c r="I232" i="107"/>
  <c r="J232" i="107"/>
  <c r="K232" i="107"/>
  <c r="L232" i="107"/>
  <c r="M232" i="107"/>
  <c r="N232" i="107"/>
  <c r="O232" i="107"/>
  <c r="P232" i="107"/>
  <c r="Q232" i="107"/>
  <c r="R232" i="107"/>
  <c r="S232" i="107"/>
  <c r="T232" i="107"/>
  <c r="U232" i="107"/>
  <c r="V232" i="107"/>
  <c r="W232" i="107"/>
  <c r="X232" i="107"/>
  <c r="Y232" i="107"/>
  <c r="Z232" i="107"/>
  <c r="AA232" i="107"/>
  <c r="AB232" i="107"/>
  <c r="AC232" i="107"/>
  <c r="AD232" i="107"/>
  <c r="C233" i="107"/>
  <c r="D233" i="107"/>
  <c r="E233" i="107"/>
  <c r="F233" i="107"/>
  <c r="G233" i="107"/>
  <c r="H233" i="107"/>
  <c r="I233" i="107"/>
  <c r="J233" i="107"/>
  <c r="K233" i="107"/>
  <c r="L233" i="107"/>
  <c r="M233" i="107"/>
  <c r="N233" i="107"/>
  <c r="O233" i="107"/>
  <c r="P233" i="107"/>
  <c r="Q233" i="107"/>
  <c r="R233" i="107"/>
  <c r="S233" i="107"/>
  <c r="T233" i="107"/>
  <c r="U233" i="107"/>
  <c r="V233" i="107"/>
  <c r="W233" i="107"/>
  <c r="X233" i="107"/>
  <c r="Y233" i="107"/>
  <c r="Z233" i="107"/>
  <c r="AA233" i="107"/>
  <c r="AB233" i="107"/>
  <c r="AC233" i="107"/>
  <c r="AD233" i="107"/>
  <c r="C234" i="107"/>
  <c r="D234" i="107"/>
  <c r="E234" i="107"/>
  <c r="F234" i="107"/>
  <c r="G234" i="107"/>
  <c r="H234" i="107"/>
  <c r="I234" i="107"/>
  <c r="J234" i="107"/>
  <c r="K234" i="107"/>
  <c r="L234" i="107"/>
  <c r="M234" i="107"/>
  <c r="N234" i="107"/>
  <c r="O234" i="107"/>
  <c r="P234" i="107"/>
  <c r="Q234" i="107"/>
  <c r="R234" i="107"/>
  <c r="S234" i="107"/>
  <c r="T234" i="107"/>
  <c r="U234" i="107"/>
  <c r="V234" i="107"/>
  <c r="W234" i="107"/>
  <c r="X234" i="107"/>
  <c r="Y234" i="107"/>
  <c r="Z234" i="107"/>
  <c r="AA234" i="107"/>
  <c r="AB234" i="107"/>
  <c r="AC234" i="107"/>
  <c r="AD234" i="107"/>
  <c r="C235" i="107"/>
  <c r="D235" i="107"/>
  <c r="E235" i="107"/>
  <c r="F235" i="107"/>
  <c r="G235" i="107"/>
  <c r="H235" i="107"/>
  <c r="I235" i="107"/>
  <c r="J235" i="107"/>
  <c r="K235" i="107"/>
  <c r="L235" i="107"/>
  <c r="M235" i="107"/>
  <c r="N235" i="107"/>
  <c r="O235" i="107"/>
  <c r="P235" i="107"/>
  <c r="Q235" i="107"/>
  <c r="R235" i="107"/>
  <c r="S235" i="107"/>
  <c r="T235" i="107"/>
  <c r="U235" i="107"/>
  <c r="V235" i="107"/>
  <c r="W235" i="107"/>
  <c r="X235" i="107"/>
  <c r="Y235" i="107"/>
  <c r="Z235" i="107"/>
  <c r="AA235" i="107"/>
  <c r="AB235" i="107"/>
  <c r="AC235" i="107"/>
  <c r="AD235" i="107"/>
  <c r="C236" i="107"/>
  <c r="D236" i="107"/>
  <c r="E236" i="107"/>
  <c r="F236" i="107"/>
  <c r="G236" i="107"/>
  <c r="H236" i="107"/>
  <c r="I236" i="107"/>
  <c r="J236" i="107"/>
  <c r="K236" i="107"/>
  <c r="L236" i="107"/>
  <c r="M236" i="107"/>
  <c r="N236" i="107"/>
  <c r="O236" i="107"/>
  <c r="P236" i="107"/>
  <c r="Q236" i="107"/>
  <c r="R236" i="107"/>
  <c r="S236" i="107"/>
  <c r="T236" i="107"/>
  <c r="U236" i="107"/>
  <c r="V236" i="107"/>
  <c r="W236" i="107"/>
  <c r="X236" i="107"/>
  <c r="Y236" i="107"/>
  <c r="Z236" i="107"/>
  <c r="AA236" i="107"/>
  <c r="AB236" i="107"/>
  <c r="AC236" i="107"/>
  <c r="AD236" i="107"/>
  <c r="C237" i="107"/>
  <c r="D237" i="107"/>
  <c r="E237" i="107"/>
  <c r="F237" i="107"/>
  <c r="G237" i="107"/>
  <c r="H237" i="107"/>
  <c r="I237" i="107"/>
  <c r="J237" i="107"/>
  <c r="K237" i="107"/>
  <c r="L237" i="107"/>
  <c r="M237" i="107"/>
  <c r="N237" i="107"/>
  <c r="O237" i="107"/>
  <c r="P237" i="107"/>
  <c r="Q237" i="107"/>
  <c r="R237" i="107"/>
  <c r="S237" i="107"/>
  <c r="T237" i="107"/>
  <c r="U237" i="107"/>
  <c r="V237" i="107"/>
  <c r="W237" i="107"/>
  <c r="X237" i="107"/>
  <c r="Y237" i="107"/>
  <c r="Z237" i="107"/>
  <c r="AA237" i="107"/>
  <c r="AB237" i="107"/>
  <c r="AC237" i="107"/>
  <c r="AD237" i="107"/>
  <c r="C238" i="107"/>
  <c r="D238" i="107"/>
  <c r="E238" i="107"/>
  <c r="F238" i="107"/>
  <c r="G238" i="107"/>
  <c r="H238" i="107"/>
  <c r="I238" i="107"/>
  <c r="J238" i="107"/>
  <c r="K238" i="107"/>
  <c r="L238" i="107"/>
  <c r="M238" i="107"/>
  <c r="N238" i="107"/>
  <c r="O238" i="107"/>
  <c r="P238" i="107"/>
  <c r="Q238" i="107"/>
  <c r="R238" i="107"/>
  <c r="S238" i="107"/>
  <c r="T238" i="107"/>
  <c r="U238" i="107"/>
  <c r="V238" i="107"/>
  <c r="W238" i="107"/>
  <c r="X238" i="107"/>
  <c r="Y238" i="107"/>
  <c r="Z238" i="107"/>
  <c r="AA238" i="107"/>
  <c r="AB238" i="107"/>
  <c r="AC238" i="107"/>
  <c r="AD238" i="107"/>
  <c r="C239" i="107"/>
  <c r="D239" i="107"/>
  <c r="E239" i="107"/>
  <c r="F239" i="107"/>
  <c r="G239" i="107"/>
  <c r="H239" i="107"/>
  <c r="I239" i="107"/>
  <c r="J239" i="107"/>
  <c r="K239" i="107"/>
  <c r="L239" i="107"/>
  <c r="M239" i="107"/>
  <c r="N239" i="107"/>
  <c r="O239" i="107"/>
  <c r="P239" i="107"/>
  <c r="Q239" i="107"/>
  <c r="R239" i="107"/>
  <c r="S239" i="107"/>
  <c r="T239" i="107"/>
  <c r="U239" i="107"/>
  <c r="V239" i="107"/>
  <c r="W239" i="107"/>
  <c r="X239" i="107"/>
  <c r="Y239" i="107"/>
  <c r="Z239" i="107"/>
  <c r="AA239" i="107"/>
  <c r="AB239" i="107"/>
  <c r="AC239" i="107"/>
  <c r="AD239" i="107"/>
  <c r="C240" i="107"/>
  <c r="D240" i="107"/>
  <c r="E240" i="107"/>
  <c r="F240" i="107"/>
  <c r="G240" i="107"/>
  <c r="H240" i="107"/>
  <c r="I240" i="107"/>
  <c r="J240" i="107"/>
  <c r="K240" i="107"/>
  <c r="L240" i="107"/>
  <c r="M240" i="107"/>
  <c r="N240" i="107"/>
  <c r="O240" i="107"/>
  <c r="P240" i="107"/>
  <c r="Q240" i="107"/>
  <c r="R240" i="107"/>
  <c r="S240" i="107"/>
  <c r="T240" i="107"/>
  <c r="U240" i="107"/>
  <c r="V240" i="107"/>
  <c r="W240" i="107"/>
  <c r="X240" i="107"/>
  <c r="Y240" i="107"/>
  <c r="Z240" i="107"/>
  <c r="AA240" i="107"/>
  <c r="AB240" i="107"/>
  <c r="AC240" i="107"/>
  <c r="AD240" i="107"/>
  <c r="C241" i="107"/>
  <c r="D241" i="107"/>
  <c r="E241" i="107"/>
  <c r="F241" i="107"/>
  <c r="G241" i="107"/>
  <c r="H241" i="107"/>
  <c r="I241" i="107"/>
  <c r="J241" i="107"/>
  <c r="K241" i="107"/>
  <c r="L241" i="107"/>
  <c r="M241" i="107"/>
  <c r="N241" i="107"/>
  <c r="O241" i="107"/>
  <c r="P241" i="107"/>
  <c r="Q241" i="107"/>
  <c r="R241" i="107"/>
  <c r="S241" i="107"/>
  <c r="T241" i="107"/>
  <c r="U241" i="107"/>
  <c r="V241" i="107"/>
  <c r="W241" i="107"/>
  <c r="X241" i="107"/>
  <c r="Y241" i="107"/>
  <c r="Z241" i="107"/>
  <c r="AA241" i="107"/>
  <c r="AB241" i="107"/>
  <c r="AC241" i="107"/>
  <c r="AD241" i="107"/>
  <c r="C242" i="107"/>
  <c r="D242" i="107"/>
  <c r="E242" i="107"/>
  <c r="F242" i="107"/>
  <c r="G242" i="107"/>
  <c r="H242" i="107"/>
  <c r="I242" i="107"/>
  <c r="J242" i="107"/>
  <c r="K242" i="107"/>
  <c r="L242" i="107"/>
  <c r="M242" i="107"/>
  <c r="N242" i="107"/>
  <c r="O242" i="107"/>
  <c r="P242" i="107"/>
  <c r="Q242" i="107"/>
  <c r="R242" i="107"/>
  <c r="S242" i="107"/>
  <c r="T242" i="107"/>
  <c r="U242" i="107"/>
  <c r="V242" i="107"/>
  <c r="W242" i="107"/>
  <c r="X242" i="107"/>
  <c r="Y242" i="107"/>
  <c r="Z242" i="107"/>
  <c r="AA242" i="107"/>
  <c r="AB242" i="107"/>
  <c r="AC242" i="107"/>
  <c r="AD242" i="107"/>
  <c r="C243" i="107"/>
  <c r="D243" i="107"/>
  <c r="E243" i="107"/>
  <c r="F243" i="107"/>
  <c r="G243" i="107"/>
  <c r="H243" i="107"/>
  <c r="I243" i="107"/>
  <c r="J243" i="107"/>
  <c r="K243" i="107"/>
  <c r="L243" i="107"/>
  <c r="M243" i="107"/>
  <c r="N243" i="107"/>
  <c r="O243" i="107"/>
  <c r="P243" i="107"/>
  <c r="Q243" i="107"/>
  <c r="R243" i="107"/>
  <c r="S243" i="107"/>
  <c r="T243" i="107"/>
  <c r="U243" i="107"/>
  <c r="V243" i="107"/>
  <c r="W243" i="107"/>
  <c r="X243" i="107"/>
  <c r="Y243" i="107"/>
  <c r="Z243" i="107"/>
  <c r="AA243" i="107"/>
  <c r="AB243" i="107"/>
  <c r="AC243" i="107"/>
  <c r="AD243" i="107"/>
  <c r="C244" i="107"/>
  <c r="D244" i="107"/>
  <c r="E244" i="107"/>
  <c r="F244" i="107"/>
  <c r="G244" i="107"/>
  <c r="H244" i="107"/>
  <c r="I244" i="107"/>
  <c r="J244" i="107"/>
  <c r="K244" i="107"/>
  <c r="L244" i="107"/>
  <c r="M244" i="107"/>
  <c r="N244" i="107"/>
  <c r="O244" i="107"/>
  <c r="P244" i="107"/>
  <c r="Q244" i="107"/>
  <c r="R244" i="107"/>
  <c r="S244" i="107"/>
  <c r="T244" i="107"/>
  <c r="U244" i="107"/>
  <c r="V244" i="107"/>
  <c r="W244" i="107"/>
  <c r="X244" i="107"/>
  <c r="Y244" i="107"/>
  <c r="Z244" i="107"/>
  <c r="AA244" i="107"/>
  <c r="AB244" i="107"/>
  <c r="AC244" i="107"/>
  <c r="AD244" i="107"/>
  <c r="C245" i="107"/>
  <c r="D245" i="107"/>
  <c r="E245" i="107"/>
  <c r="F245" i="107"/>
  <c r="G245" i="107"/>
  <c r="H245" i="107"/>
  <c r="I245" i="107"/>
  <c r="J245" i="107"/>
  <c r="K245" i="107"/>
  <c r="L245" i="107"/>
  <c r="M245" i="107"/>
  <c r="N245" i="107"/>
  <c r="O245" i="107"/>
  <c r="P245" i="107"/>
  <c r="Q245" i="107"/>
  <c r="R245" i="107"/>
  <c r="S245" i="107"/>
  <c r="T245" i="107"/>
  <c r="U245" i="107"/>
  <c r="V245" i="107"/>
  <c r="W245" i="107"/>
  <c r="X245" i="107"/>
  <c r="Y245" i="107"/>
  <c r="Z245" i="107"/>
  <c r="AA245" i="107"/>
  <c r="AB245" i="107"/>
  <c r="AC245" i="107"/>
  <c r="AD245" i="107"/>
  <c r="C246" i="107"/>
  <c r="D246" i="107"/>
  <c r="E246" i="107"/>
  <c r="F246" i="107"/>
  <c r="G246" i="107"/>
  <c r="H246" i="107"/>
  <c r="I246" i="107"/>
  <c r="J246" i="107"/>
  <c r="K246" i="107"/>
  <c r="L246" i="107"/>
  <c r="M246" i="107"/>
  <c r="N246" i="107"/>
  <c r="O246" i="107"/>
  <c r="P246" i="107"/>
  <c r="Q246" i="107"/>
  <c r="R246" i="107"/>
  <c r="S246" i="107"/>
  <c r="T246" i="107"/>
  <c r="U246" i="107"/>
  <c r="V246" i="107"/>
  <c r="W246" i="107"/>
  <c r="X246" i="107"/>
  <c r="Y246" i="107"/>
  <c r="Z246" i="107"/>
  <c r="AA246" i="107"/>
  <c r="AB246" i="107"/>
  <c r="AC246" i="107"/>
  <c r="AD246" i="107"/>
  <c r="C247" i="107"/>
  <c r="D247" i="107"/>
  <c r="E247" i="107"/>
  <c r="F247" i="107"/>
  <c r="G247" i="107"/>
  <c r="H247" i="107"/>
  <c r="I247" i="107"/>
  <c r="J247" i="107"/>
  <c r="K247" i="107"/>
  <c r="L247" i="107"/>
  <c r="M247" i="107"/>
  <c r="N247" i="107"/>
  <c r="O247" i="107"/>
  <c r="P247" i="107"/>
  <c r="Q247" i="107"/>
  <c r="R247" i="107"/>
  <c r="S247" i="107"/>
  <c r="T247" i="107"/>
  <c r="U247" i="107"/>
  <c r="V247" i="107"/>
  <c r="W247" i="107"/>
  <c r="X247" i="107"/>
  <c r="Y247" i="107"/>
  <c r="Z247" i="107"/>
  <c r="AA247" i="107"/>
  <c r="AB247" i="107"/>
  <c r="AC247" i="107"/>
  <c r="AD247" i="107"/>
  <c r="C248" i="107"/>
  <c r="D248" i="107"/>
  <c r="E248" i="107"/>
  <c r="F248" i="107"/>
  <c r="G248" i="107"/>
  <c r="H248" i="107"/>
  <c r="I248" i="107"/>
  <c r="J248" i="107"/>
  <c r="K248" i="107"/>
  <c r="L248" i="107"/>
  <c r="M248" i="107"/>
  <c r="N248" i="107"/>
  <c r="O248" i="107"/>
  <c r="P248" i="107"/>
  <c r="Q248" i="107"/>
  <c r="R248" i="107"/>
  <c r="S248" i="107"/>
  <c r="T248" i="107"/>
  <c r="U248" i="107"/>
  <c r="V248" i="107"/>
  <c r="W248" i="107"/>
  <c r="X248" i="107"/>
  <c r="Y248" i="107"/>
  <c r="Z248" i="107"/>
  <c r="AA248" i="107"/>
  <c r="AB248" i="107"/>
  <c r="AC248" i="107"/>
  <c r="AD248" i="107"/>
  <c r="C249" i="107"/>
  <c r="D249" i="107"/>
  <c r="E249" i="107"/>
  <c r="F249" i="107"/>
  <c r="G249" i="107"/>
  <c r="H249" i="107"/>
  <c r="I249" i="107"/>
  <c r="J249" i="107"/>
  <c r="K249" i="107"/>
  <c r="L249" i="107"/>
  <c r="M249" i="107"/>
  <c r="N249" i="107"/>
  <c r="O249" i="107"/>
  <c r="P249" i="107"/>
  <c r="Q249" i="107"/>
  <c r="R249" i="107"/>
  <c r="S249" i="107"/>
  <c r="T249" i="107"/>
  <c r="U249" i="107"/>
  <c r="V249" i="107"/>
  <c r="W249" i="107"/>
  <c r="X249" i="107"/>
  <c r="Y249" i="107"/>
  <c r="Z249" i="107"/>
  <c r="AA249" i="107"/>
  <c r="AB249" i="107"/>
  <c r="AC249" i="107"/>
  <c r="AD249" i="107"/>
  <c r="C250" i="107"/>
  <c r="D250" i="107"/>
  <c r="E250" i="107"/>
  <c r="F250" i="107"/>
  <c r="G250" i="107"/>
  <c r="H250" i="107"/>
  <c r="I250" i="107"/>
  <c r="J250" i="107"/>
  <c r="K250" i="107"/>
  <c r="L250" i="107"/>
  <c r="M250" i="107"/>
  <c r="N250" i="107"/>
  <c r="O250" i="107"/>
  <c r="P250" i="107"/>
  <c r="Q250" i="107"/>
  <c r="R250" i="107"/>
  <c r="S250" i="107"/>
  <c r="T250" i="107"/>
  <c r="U250" i="107"/>
  <c r="V250" i="107"/>
  <c r="W250" i="107"/>
  <c r="X250" i="107"/>
  <c r="Y250" i="107"/>
  <c r="Z250" i="107"/>
  <c r="AA250" i="107"/>
  <c r="AB250" i="107"/>
  <c r="AC250" i="107"/>
  <c r="AD250" i="107"/>
  <c r="C251" i="107"/>
  <c r="D251" i="107"/>
  <c r="E251" i="107"/>
  <c r="F251" i="107"/>
  <c r="G251" i="107"/>
  <c r="H251" i="107"/>
  <c r="I251" i="107"/>
  <c r="J251" i="107"/>
  <c r="K251" i="107"/>
  <c r="L251" i="107"/>
  <c r="M251" i="107"/>
  <c r="N251" i="107"/>
  <c r="O251" i="107"/>
  <c r="P251" i="107"/>
  <c r="Q251" i="107"/>
  <c r="R251" i="107"/>
  <c r="S251" i="107"/>
  <c r="T251" i="107"/>
  <c r="U251" i="107"/>
  <c r="V251" i="107"/>
  <c r="W251" i="107"/>
  <c r="X251" i="107"/>
  <c r="Y251" i="107"/>
  <c r="Z251" i="107"/>
  <c r="AA251" i="107"/>
  <c r="AB251" i="107"/>
  <c r="AC251" i="107"/>
  <c r="AD251" i="107"/>
  <c r="C252" i="107"/>
  <c r="D252" i="107"/>
  <c r="E252" i="107"/>
  <c r="F252" i="107"/>
  <c r="G252" i="107"/>
  <c r="H252" i="107"/>
  <c r="I252" i="107"/>
  <c r="J252" i="107"/>
  <c r="K252" i="107"/>
  <c r="L252" i="107"/>
  <c r="M252" i="107"/>
  <c r="N252" i="107"/>
  <c r="O252" i="107"/>
  <c r="P252" i="107"/>
  <c r="Q252" i="107"/>
  <c r="R252" i="107"/>
  <c r="S252" i="107"/>
  <c r="T252" i="107"/>
  <c r="U252" i="107"/>
  <c r="V252" i="107"/>
  <c r="W252" i="107"/>
  <c r="X252" i="107"/>
  <c r="Y252" i="107"/>
  <c r="Z252" i="107"/>
  <c r="AA252" i="107"/>
  <c r="AB252" i="107"/>
  <c r="AC252" i="107"/>
  <c r="AD252" i="107"/>
  <c r="C253" i="107"/>
  <c r="D253" i="107"/>
  <c r="E253" i="107"/>
  <c r="F253" i="107"/>
  <c r="G253" i="107"/>
  <c r="H253" i="107"/>
  <c r="I253" i="107"/>
  <c r="J253" i="107"/>
  <c r="K253" i="107"/>
  <c r="L253" i="107"/>
  <c r="M253" i="107"/>
  <c r="N253" i="107"/>
  <c r="O253" i="107"/>
  <c r="P253" i="107"/>
  <c r="Q253" i="107"/>
  <c r="R253" i="107"/>
  <c r="S253" i="107"/>
  <c r="T253" i="107"/>
  <c r="U253" i="107"/>
  <c r="V253" i="107"/>
  <c r="W253" i="107"/>
  <c r="X253" i="107"/>
  <c r="Y253" i="107"/>
  <c r="Z253" i="107"/>
  <c r="AA253" i="107"/>
  <c r="AB253" i="107"/>
  <c r="AC253" i="107"/>
  <c r="AD253" i="107"/>
  <c r="C254" i="107"/>
  <c r="D254" i="107"/>
  <c r="E254" i="107"/>
  <c r="F254" i="107"/>
  <c r="G254" i="107"/>
  <c r="H254" i="107"/>
  <c r="I254" i="107"/>
  <c r="J254" i="107"/>
  <c r="K254" i="107"/>
  <c r="L254" i="107"/>
  <c r="M254" i="107"/>
  <c r="N254" i="107"/>
  <c r="O254" i="107"/>
  <c r="P254" i="107"/>
  <c r="Q254" i="107"/>
  <c r="R254" i="107"/>
  <c r="S254" i="107"/>
  <c r="T254" i="107"/>
  <c r="U254" i="107"/>
  <c r="V254" i="107"/>
  <c r="W254" i="107"/>
  <c r="X254" i="107"/>
  <c r="Y254" i="107"/>
  <c r="Z254" i="107"/>
  <c r="AA254" i="107"/>
  <c r="AB254" i="107"/>
  <c r="AC254" i="107"/>
  <c r="AD254" i="107"/>
  <c r="C255" i="107"/>
  <c r="D255" i="107"/>
  <c r="E255" i="107"/>
  <c r="F255" i="107"/>
  <c r="G255" i="107"/>
  <c r="H255" i="107"/>
  <c r="I255" i="107"/>
  <c r="J255" i="107"/>
  <c r="K255" i="107"/>
  <c r="L255" i="107"/>
  <c r="M255" i="107"/>
  <c r="N255" i="107"/>
  <c r="O255" i="107"/>
  <c r="P255" i="107"/>
  <c r="Q255" i="107"/>
  <c r="R255" i="107"/>
  <c r="S255" i="107"/>
  <c r="T255" i="107"/>
  <c r="U255" i="107"/>
  <c r="V255" i="107"/>
  <c r="W255" i="107"/>
  <c r="X255" i="107"/>
  <c r="Y255" i="107"/>
  <c r="Z255" i="107"/>
  <c r="AA255" i="107"/>
  <c r="AB255" i="107"/>
  <c r="AC255" i="107"/>
  <c r="AD255" i="107"/>
  <c r="C256" i="107"/>
  <c r="D256" i="107"/>
  <c r="E256" i="107"/>
  <c r="F256" i="107"/>
  <c r="G256" i="107"/>
  <c r="H256" i="107"/>
  <c r="I256" i="107"/>
  <c r="J256" i="107"/>
  <c r="K256" i="107"/>
  <c r="L256" i="107"/>
  <c r="M256" i="107"/>
  <c r="N256" i="107"/>
  <c r="O256" i="107"/>
  <c r="P256" i="107"/>
  <c r="Q256" i="107"/>
  <c r="R256" i="107"/>
  <c r="S256" i="107"/>
  <c r="T256" i="107"/>
  <c r="U256" i="107"/>
  <c r="V256" i="107"/>
  <c r="W256" i="107"/>
  <c r="X256" i="107"/>
  <c r="Y256" i="107"/>
  <c r="Z256" i="107"/>
  <c r="AA256" i="107"/>
  <c r="AB256" i="107"/>
  <c r="AC256" i="107"/>
  <c r="AD256" i="107"/>
  <c r="C257" i="107"/>
  <c r="D257" i="107"/>
  <c r="E257" i="107"/>
  <c r="F257" i="107"/>
  <c r="G257" i="107"/>
  <c r="H257" i="107"/>
  <c r="I257" i="107"/>
  <c r="J257" i="107"/>
  <c r="K257" i="107"/>
  <c r="L257" i="107"/>
  <c r="M257" i="107"/>
  <c r="N257" i="107"/>
  <c r="O257" i="107"/>
  <c r="P257" i="107"/>
  <c r="Q257" i="107"/>
  <c r="R257" i="107"/>
  <c r="S257" i="107"/>
  <c r="T257" i="107"/>
  <c r="U257" i="107"/>
  <c r="V257" i="107"/>
  <c r="W257" i="107"/>
  <c r="X257" i="107"/>
  <c r="Y257" i="107"/>
  <c r="Z257" i="107"/>
  <c r="AA257" i="107"/>
  <c r="AB257" i="107"/>
  <c r="AC257" i="107"/>
  <c r="AD257" i="107"/>
  <c r="C258" i="107"/>
  <c r="D258" i="107"/>
  <c r="E258" i="107"/>
  <c r="F258" i="107"/>
  <c r="G258" i="107"/>
  <c r="H258" i="107"/>
  <c r="I258" i="107"/>
  <c r="J258" i="107"/>
  <c r="K258" i="107"/>
  <c r="L258" i="107"/>
  <c r="M258" i="107"/>
  <c r="N258" i="107"/>
  <c r="O258" i="107"/>
  <c r="P258" i="107"/>
  <c r="Q258" i="107"/>
  <c r="R258" i="107"/>
  <c r="S258" i="107"/>
  <c r="T258" i="107"/>
  <c r="U258" i="107"/>
  <c r="V258" i="107"/>
  <c r="W258" i="107"/>
  <c r="X258" i="107"/>
  <c r="Y258" i="107"/>
  <c r="Z258" i="107"/>
  <c r="AA258" i="107"/>
  <c r="AB258" i="107"/>
  <c r="AC258" i="107"/>
  <c r="AD258" i="107"/>
  <c r="C259" i="107"/>
  <c r="D259" i="107"/>
  <c r="E259" i="107"/>
  <c r="F259" i="107"/>
  <c r="G259" i="107"/>
  <c r="H259" i="107"/>
  <c r="I259" i="107"/>
  <c r="J259" i="107"/>
  <c r="K259" i="107"/>
  <c r="L259" i="107"/>
  <c r="M259" i="107"/>
  <c r="N259" i="107"/>
  <c r="O259" i="107"/>
  <c r="P259" i="107"/>
  <c r="Q259" i="107"/>
  <c r="R259" i="107"/>
  <c r="S259" i="107"/>
  <c r="T259" i="107"/>
  <c r="U259" i="107"/>
  <c r="V259" i="107"/>
  <c r="W259" i="107"/>
  <c r="X259" i="107"/>
  <c r="Y259" i="107"/>
  <c r="Z259" i="107"/>
  <c r="AA259" i="107"/>
  <c r="AB259" i="107"/>
  <c r="AC259" i="107"/>
  <c r="AD259" i="107"/>
  <c r="C260" i="107"/>
  <c r="D260" i="107"/>
  <c r="E260" i="107"/>
  <c r="F260" i="107"/>
  <c r="G260" i="107"/>
  <c r="H260" i="107"/>
  <c r="I260" i="107"/>
  <c r="J260" i="107"/>
  <c r="K260" i="107"/>
  <c r="L260" i="107"/>
  <c r="M260" i="107"/>
  <c r="N260" i="107"/>
  <c r="O260" i="107"/>
  <c r="P260" i="107"/>
  <c r="Q260" i="107"/>
  <c r="R260" i="107"/>
  <c r="S260" i="107"/>
  <c r="T260" i="107"/>
  <c r="U260" i="107"/>
  <c r="V260" i="107"/>
  <c r="W260" i="107"/>
  <c r="X260" i="107"/>
  <c r="Y260" i="107"/>
  <c r="Z260" i="107"/>
  <c r="AA260" i="107"/>
  <c r="AB260" i="107"/>
  <c r="AC260" i="107"/>
  <c r="AD260" i="107"/>
  <c r="C261" i="107"/>
  <c r="D261" i="107"/>
  <c r="E261" i="107"/>
  <c r="F261" i="107"/>
  <c r="G261" i="107"/>
  <c r="H261" i="107"/>
  <c r="I261" i="107"/>
  <c r="J261" i="107"/>
  <c r="K261" i="107"/>
  <c r="L261" i="107"/>
  <c r="M261" i="107"/>
  <c r="N261" i="107"/>
  <c r="O261" i="107"/>
  <c r="P261" i="107"/>
  <c r="Q261" i="107"/>
  <c r="R261" i="107"/>
  <c r="S261" i="107"/>
  <c r="T261" i="107"/>
  <c r="U261" i="107"/>
  <c r="V261" i="107"/>
  <c r="W261" i="107"/>
  <c r="X261" i="107"/>
  <c r="Y261" i="107"/>
  <c r="Z261" i="107"/>
  <c r="AA261" i="107"/>
  <c r="AB261" i="107"/>
  <c r="AC261" i="107"/>
  <c r="AD261" i="107"/>
  <c r="C262" i="107"/>
  <c r="D262" i="107"/>
  <c r="E262" i="107"/>
  <c r="F262" i="107"/>
  <c r="G262" i="107"/>
  <c r="H262" i="107"/>
  <c r="I262" i="107"/>
  <c r="J262" i="107"/>
  <c r="K262" i="107"/>
  <c r="L262" i="107"/>
  <c r="M262" i="107"/>
  <c r="N262" i="107"/>
  <c r="O262" i="107"/>
  <c r="P262" i="107"/>
  <c r="Q262" i="107"/>
  <c r="R262" i="107"/>
  <c r="S262" i="107"/>
  <c r="T262" i="107"/>
  <c r="U262" i="107"/>
  <c r="V262" i="107"/>
  <c r="W262" i="107"/>
  <c r="X262" i="107"/>
  <c r="Y262" i="107"/>
  <c r="Z262" i="107"/>
  <c r="AA262" i="107"/>
  <c r="AB262" i="107"/>
  <c r="AC262" i="107"/>
  <c r="AD262" i="107"/>
  <c r="C263" i="107"/>
  <c r="D263" i="107"/>
  <c r="E263" i="107"/>
  <c r="F263" i="107"/>
  <c r="G263" i="107"/>
  <c r="H263" i="107"/>
  <c r="I263" i="107"/>
  <c r="J263" i="107"/>
  <c r="K263" i="107"/>
  <c r="L263" i="107"/>
  <c r="M263" i="107"/>
  <c r="N263" i="107"/>
  <c r="O263" i="107"/>
  <c r="P263" i="107"/>
  <c r="Q263" i="107"/>
  <c r="R263" i="107"/>
  <c r="S263" i="107"/>
  <c r="T263" i="107"/>
  <c r="U263" i="107"/>
  <c r="V263" i="107"/>
  <c r="W263" i="107"/>
  <c r="X263" i="107"/>
  <c r="Y263" i="107"/>
  <c r="Z263" i="107"/>
  <c r="AA263" i="107"/>
  <c r="AB263" i="107"/>
  <c r="AC263" i="107"/>
  <c r="AD263" i="107"/>
  <c r="C264" i="107"/>
  <c r="D264" i="107"/>
  <c r="E264" i="107"/>
  <c r="F264" i="107"/>
  <c r="G264" i="107"/>
  <c r="H264" i="107"/>
  <c r="I264" i="107"/>
  <c r="J264" i="107"/>
  <c r="K264" i="107"/>
  <c r="L264" i="107"/>
  <c r="M264" i="107"/>
  <c r="N264" i="107"/>
  <c r="O264" i="107"/>
  <c r="P264" i="107"/>
  <c r="Q264" i="107"/>
  <c r="R264" i="107"/>
  <c r="S264" i="107"/>
  <c r="T264" i="107"/>
  <c r="U264" i="107"/>
  <c r="V264" i="107"/>
  <c r="W264" i="107"/>
  <c r="X264" i="107"/>
  <c r="Y264" i="107"/>
  <c r="Z264" i="107"/>
  <c r="AA264" i="107"/>
  <c r="AB264" i="107"/>
  <c r="AC264" i="107"/>
  <c r="AD264" i="107"/>
  <c r="C265" i="107"/>
  <c r="D265" i="107"/>
  <c r="E265" i="107"/>
  <c r="F265" i="107"/>
  <c r="G265" i="107"/>
  <c r="H265" i="107"/>
  <c r="I265" i="107"/>
  <c r="J265" i="107"/>
  <c r="K265" i="107"/>
  <c r="L265" i="107"/>
  <c r="M265" i="107"/>
  <c r="N265" i="107"/>
  <c r="O265" i="107"/>
  <c r="P265" i="107"/>
  <c r="Q265" i="107"/>
  <c r="R265" i="107"/>
  <c r="S265" i="107"/>
  <c r="T265" i="107"/>
  <c r="U265" i="107"/>
  <c r="V265" i="107"/>
  <c r="W265" i="107"/>
  <c r="X265" i="107"/>
  <c r="Y265" i="107"/>
  <c r="Z265" i="107"/>
  <c r="AA265" i="107"/>
  <c r="AB265" i="107"/>
  <c r="AC265" i="107"/>
  <c r="AD265" i="107"/>
  <c r="C266" i="107"/>
  <c r="D266" i="107"/>
  <c r="E266" i="107"/>
  <c r="F266" i="107"/>
  <c r="G266" i="107"/>
  <c r="H266" i="107"/>
  <c r="I266" i="107"/>
  <c r="J266" i="107"/>
  <c r="K266" i="107"/>
  <c r="L266" i="107"/>
  <c r="M266" i="107"/>
  <c r="N266" i="107"/>
  <c r="O266" i="107"/>
  <c r="P266" i="107"/>
  <c r="Q266" i="107"/>
  <c r="R266" i="107"/>
  <c r="S266" i="107"/>
  <c r="T266" i="107"/>
  <c r="U266" i="107"/>
  <c r="V266" i="107"/>
  <c r="W266" i="107"/>
  <c r="X266" i="107"/>
  <c r="Y266" i="107"/>
  <c r="Z266" i="107"/>
  <c r="AA266" i="107"/>
  <c r="AB266" i="107"/>
  <c r="AC266" i="107"/>
  <c r="AD266" i="107"/>
  <c r="C267" i="107"/>
  <c r="D267" i="107"/>
  <c r="E267" i="107"/>
  <c r="F267" i="107"/>
  <c r="G267" i="107"/>
  <c r="H267" i="107"/>
  <c r="I267" i="107"/>
  <c r="J267" i="107"/>
  <c r="K267" i="107"/>
  <c r="L267" i="107"/>
  <c r="M267" i="107"/>
  <c r="N267" i="107"/>
  <c r="O267" i="107"/>
  <c r="P267" i="107"/>
  <c r="Q267" i="107"/>
  <c r="R267" i="107"/>
  <c r="S267" i="107"/>
  <c r="T267" i="107"/>
  <c r="U267" i="107"/>
  <c r="V267" i="107"/>
  <c r="W267" i="107"/>
  <c r="X267" i="107"/>
  <c r="Y267" i="107"/>
  <c r="Z267" i="107"/>
  <c r="AA267" i="107"/>
  <c r="AB267" i="107"/>
  <c r="AC267" i="107"/>
  <c r="AD267" i="107"/>
  <c r="C268" i="107"/>
  <c r="D268" i="107"/>
  <c r="E268" i="107"/>
  <c r="F268" i="107"/>
  <c r="G268" i="107"/>
  <c r="H268" i="107"/>
  <c r="I268" i="107"/>
  <c r="J268" i="107"/>
  <c r="K268" i="107"/>
  <c r="L268" i="107"/>
  <c r="M268" i="107"/>
  <c r="N268" i="107"/>
  <c r="O268" i="107"/>
  <c r="P268" i="107"/>
  <c r="Q268" i="107"/>
  <c r="R268" i="107"/>
  <c r="S268" i="107"/>
  <c r="T268" i="107"/>
  <c r="U268" i="107"/>
  <c r="V268" i="107"/>
  <c r="W268" i="107"/>
  <c r="X268" i="107"/>
  <c r="Y268" i="107"/>
  <c r="Z268" i="107"/>
  <c r="AA268" i="107"/>
  <c r="AB268" i="107"/>
  <c r="AC268" i="107"/>
  <c r="AD268" i="107"/>
  <c r="C269" i="107"/>
  <c r="D269" i="107"/>
  <c r="E269" i="107"/>
  <c r="F269" i="107"/>
  <c r="G269" i="107"/>
  <c r="H269" i="107"/>
  <c r="I269" i="107"/>
  <c r="J269" i="107"/>
  <c r="K269" i="107"/>
  <c r="L269" i="107"/>
  <c r="M269" i="107"/>
  <c r="N269" i="107"/>
  <c r="O269" i="107"/>
  <c r="P269" i="107"/>
  <c r="Q269" i="107"/>
  <c r="R269" i="107"/>
  <c r="S269" i="107"/>
  <c r="T269" i="107"/>
  <c r="U269" i="107"/>
  <c r="V269" i="107"/>
  <c r="W269" i="107"/>
  <c r="X269" i="107"/>
  <c r="Y269" i="107"/>
  <c r="Z269" i="107"/>
  <c r="AA269" i="107"/>
  <c r="AB269" i="107"/>
  <c r="AC269" i="107"/>
  <c r="AD269" i="107"/>
  <c r="C270" i="107"/>
  <c r="D270" i="107"/>
  <c r="E270" i="107"/>
  <c r="F270" i="107"/>
  <c r="G270" i="107"/>
  <c r="H270" i="107"/>
  <c r="I270" i="107"/>
  <c r="J270" i="107"/>
  <c r="K270" i="107"/>
  <c r="L270" i="107"/>
  <c r="M270" i="107"/>
  <c r="N270" i="107"/>
  <c r="O270" i="107"/>
  <c r="P270" i="107"/>
  <c r="Q270" i="107"/>
  <c r="R270" i="107"/>
  <c r="S270" i="107"/>
  <c r="T270" i="107"/>
  <c r="U270" i="107"/>
  <c r="V270" i="107"/>
  <c r="W270" i="107"/>
  <c r="X270" i="107"/>
  <c r="Y270" i="107"/>
  <c r="Z270" i="107"/>
  <c r="AA270" i="107"/>
  <c r="AB270" i="107"/>
  <c r="AC270" i="107"/>
  <c r="AD270" i="107"/>
  <c r="C271" i="107"/>
  <c r="D271" i="107"/>
  <c r="E271" i="107"/>
  <c r="F271" i="107"/>
  <c r="G271" i="107"/>
  <c r="H271" i="107"/>
  <c r="I271" i="107"/>
  <c r="J271" i="107"/>
  <c r="K271" i="107"/>
  <c r="L271" i="107"/>
  <c r="M271" i="107"/>
  <c r="N271" i="107"/>
  <c r="O271" i="107"/>
  <c r="P271" i="107"/>
  <c r="Q271" i="107"/>
  <c r="R271" i="107"/>
  <c r="S271" i="107"/>
  <c r="T271" i="107"/>
  <c r="U271" i="107"/>
  <c r="V271" i="107"/>
  <c r="W271" i="107"/>
  <c r="X271" i="107"/>
  <c r="Y271" i="107"/>
  <c r="Z271" i="107"/>
  <c r="AA271" i="107"/>
  <c r="AB271" i="107"/>
  <c r="AC271" i="107"/>
  <c r="AD271" i="107"/>
  <c r="C272" i="107"/>
  <c r="D272" i="107"/>
  <c r="E272" i="107"/>
  <c r="F272" i="107"/>
  <c r="G272" i="107"/>
  <c r="H272" i="107"/>
  <c r="I272" i="107"/>
  <c r="J272" i="107"/>
  <c r="K272" i="107"/>
  <c r="L272" i="107"/>
  <c r="M272" i="107"/>
  <c r="N272" i="107"/>
  <c r="O272" i="107"/>
  <c r="P272" i="107"/>
  <c r="Q272" i="107"/>
  <c r="R272" i="107"/>
  <c r="S272" i="107"/>
  <c r="T272" i="107"/>
  <c r="U272" i="107"/>
  <c r="V272" i="107"/>
  <c r="W272" i="107"/>
  <c r="X272" i="107"/>
  <c r="Y272" i="107"/>
  <c r="Z272" i="107"/>
  <c r="AA272" i="107"/>
  <c r="AB272" i="107"/>
  <c r="AC272" i="107"/>
  <c r="AD272" i="107"/>
  <c r="C273" i="107"/>
  <c r="D273" i="107"/>
  <c r="E273" i="107"/>
  <c r="F273" i="107"/>
  <c r="G273" i="107"/>
  <c r="H273" i="107"/>
  <c r="I273" i="107"/>
  <c r="J273" i="107"/>
  <c r="K273" i="107"/>
  <c r="L273" i="107"/>
  <c r="M273" i="107"/>
  <c r="N273" i="107"/>
  <c r="O273" i="107"/>
  <c r="P273" i="107"/>
  <c r="Q273" i="107"/>
  <c r="R273" i="107"/>
  <c r="S273" i="107"/>
  <c r="T273" i="107"/>
  <c r="U273" i="107"/>
  <c r="V273" i="107"/>
  <c r="W273" i="107"/>
  <c r="X273" i="107"/>
  <c r="Y273" i="107"/>
  <c r="Z273" i="107"/>
  <c r="AA273" i="107"/>
  <c r="AB273" i="107"/>
  <c r="AC273" i="107"/>
  <c r="AD273" i="107"/>
  <c r="C274" i="107"/>
  <c r="D274" i="107"/>
  <c r="E274" i="107"/>
  <c r="F274" i="107"/>
  <c r="G274" i="107"/>
  <c r="H274" i="107"/>
  <c r="I274" i="107"/>
  <c r="J274" i="107"/>
  <c r="K274" i="107"/>
  <c r="L274" i="107"/>
  <c r="M274" i="107"/>
  <c r="N274" i="107"/>
  <c r="O274" i="107"/>
  <c r="P274" i="107"/>
  <c r="Q274" i="107"/>
  <c r="R274" i="107"/>
  <c r="S274" i="107"/>
  <c r="T274" i="107"/>
  <c r="U274" i="107"/>
  <c r="V274" i="107"/>
  <c r="W274" i="107"/>
  <c r="X274" i="107"/>
  <c r="Y274" i="107"/>
  <c r="Z274" i="107"/>
  <c r="AA274" i="107"/>
  <c r="AB274" i="107"/>
  <c r="AC274" i="107"/>
  <c r="AD274" i="107"/>
  <c r="C275" i="107"/>
  <c r="D275" i="107"/>
  <c r="E275" i="107"/>
  <c r="F275" i="107"/>
  <c r="G275" i="107"/>
  <c r="H275" i="107"/>
  <c r="I275" i="107"/>
  <c r="J275" i="107"/>
  <c r="K275" i="107"/>
  <c r="L275" i="107"/>
  <c r="M275" i="107"/>
  <c r="N275" i="107"/>
  <c r="O275" i="107"/>
  <c r="P275" i="107"/>
  <c r="Q275" i="107"/>
  <c r="R275" i="107"/>
  <c r="S275" i="107"/>
  <c r="T275" i="107"/>
  <c r="U275" i="107"/>
  <c r="V275" i="107"/>
  <c r="W275" i="107"/>
  <c r="X275" i="107"/>
  <c r="Y275" i="107"/>
  <c r="Z275" i="107"/>
  <c r="AA275" i="107"/>
  <c r="AB275" i="107"/>
  <c r="AC275" i="107"/>
  <c r="AD275" i="107"/>
  <c r="C276" i="107"/>
  <c r="D276" i="107"/>
  <c r="E276" i="107"/>
  <c r="F276" i="107"/>
  <c r="G276" i="107"/>
  <c r="H276" i="107"/>
  <c r="I276" i="107"/>
  <c r="J276" i="107"/>
  <c r="K276" i="107"/>
  <c r="L276" i="107"/>
  <c r="M276" i="107"/>
  <c r="N276" i="107"/>
  <c r="O276" i="107"/>
  <c r="P276" i="107"/>
  <c r="Q276" i="107"/>
  <c r="R276" i="107"/>
  <c r="S276" i="107"/>
  <c r="T276" i="107"/>
  <c r="U276" i="107"/>
  <c r="V276" i="107"/>
  <c r="W276" i="107"/>
  <c r="X276" i="107"/>
  <c r="Y276" i="107"/>
  <c r="Z276" i="107"/>
  <c r="AA276" i="107"/>
  <c r="AB276" i="107"/>
  <c r="AC276" i="107"/>
  <c r="AD276" i="107"/>
  <c r="C277" i="107"/>
  <c r="D277" i="107"/>
  <c r="E277" i="107"/>
  <c r="F277" i="107"/>
  <c r="G277" i="107"/>
  <c r="H277" i="107"/>
  <c r="I277" i="107"/>
  <c r="J277" i="107"/>
  <c r="K277" i="107"/>
  <c r="L277" i="107"/>
  <c r="M277" i="107"/>
  <c r="N277" i="107"/>
  <c r="O277" i="107"/>
  <c r="P277" i="107"/>
  <c r="Q277" i="107"/>
  <c r="R277" i="107"/>
  <c r="S277" i="107"/>
  <c r="T277" i="107"/>
  <c r="U277" i="107"/>
  <c r="V277" i="107"/>
  <c r="W277" i="107"/>
  <c r="X277" i="107"/>
  <c r="Y277" i="107"/>
  <c r="Z277" i="107"/>
  <c r="AA277" i="107"/>
  <c r="AB277" i="107"/>
  <c r="AC277" i="107"/>
  <c r="AD277" i="107"/>
  <c r="C278" i="107"/>
  <c r="D278" i="107"/>
  <c r="E278" i="107"/>
  <c r="F278" i="107"/>
  <c r="G278" i="107"/>
  <c r="H278" i="107"/>
  <c r="I278" i="107"/>
  <c r="J278" i="107"/>
  <c r="K278" i="107"/>
  <c r="L278" i="107"/>
  <c r="M278" i="107"/>
  <c r="N278" i="107"/>
  <c r="O278" i="107"/>
  <c r="P278" i="107"/>
  <c r="Q278" i="107"/>
  <c r="R278" i="107"/>
  <c r="S278" i="107"/>
  <c r="T278" i="107"/>
  <c r="U278" i="107"/>
  <c r="V278" i="107"/>
  <c r="W278" i="107"/>
  <c r="X278" i="107"/>
  <c r="Y278" i="107"/>
  <c r="Z278" i="107"/>
  <c r="AA278" i="107"/>
  <c r="AB278" i="107"/>
  <c r="AC278" i="107"/>
  <c r="AD278" i="107"/>
  <c r="C279" i="107"/>
  <c r="D279" i="107"/>
  <c r="E279" i="107"/>
  <c r="F279" i="107"/>
  <c r="G279" i="107"/>
  <c r="H279" i="107"/>
  <c r="I279" i="107"/>
  <c r="J279" i="107"/>
  <c r="K279" i="107"/>
  <c r="L279" i="107"/>
  <c r="M279" i="107"/>
  <c r="N279" i="107"/>
  <c r="O279" i="107"/>
  <c r="P279" i="107"/>
  <c r="Q279" i="107"/>
  <c r="R279" i="107"/>
  <c r="S279" i="107"/>
  <c r="T279" i="107"/>
  <c r="U279" i="107"/>
  <c r="V279" i="107"/>
  <c r="W279" i="107"/>
  <c r="X279" i="107"/>
  <c r="Y279" i="107"/>
  <c r="Z279" i="107"/>
  <c r="AA279" i="107"/>
  <c r="AB279" i="107"/>
  <c r="AC279" i="107"/>
  <c r="AD279" i="107"/>
  <c r="C280" i="107"/>
  <c r="D280" i="107"/>
  <c r="E280" i="107"/>
  <c r="F280" i="107"/>
  <c r="G280" i="107"/>
  <c r="H280" i="107"/>
  <c r="I280" i="107"/>
  <c r="J280" i="107"/>
  <c r="K280" i="107"/>
  <c r="L280" i="107"/>
  <c r="M280" i="107"/>
  <c r="N280" i="107"/>
  <c r="O280" i="107"/>
  <c r="P280" i="107"/>
  <c r="Q280" i="107"/>
  <c r="R280" i="107"/>
  <c r="S280" i="107"/>
  <c r="T280" i="107"/>
  <c r="U280" i="107"/>
  <c r="V280" i="107"/>
  <c r="W280" i="107"/>
  <c r="X280" i="107"/>
  <c r="Y280" i="107"/>
  <c r="Z280" i="107"/>
  <c r="AA280" i="107"/>
  <c r="AB280" i="107"/>
  <c r="AC280" i="107"/>
  <c r="AD280" i="107"/>
  <c r="C281" i="107"/>
  <c r="D281" i="107"/>
  <c r="E281" i="107"/>
  <c r="F281" i="107"/>
  <c r="G281" i="107"/>
  <c r="H281" i="107"/>
  <c r="I281" i="107"/>
  <c r="J281" i="107"/>
  <c r="K281" i="107"/>
  <c r="L281" i="107"/>
  <c r="M281" i="107"/>
  <c r="N281" i="107"/>
  <c r="O281" i="107"/>
  <c r="P281" i="107"/>
  <c r="Q281" i="107"/>
  <c r="R281" i="107"/>
  <c r="S281" i="107"/>
  <c r="T281" i="107"/>
  <c r="U281" i="107"/>
  <c r="V281" i="107"/>
  <c r="W281" i="107"/>
  <c r="X281" i="107"/>
  <c r="Y281" i="107"/>
  <c r="Z281" i="107"/>
  <c r="AA281" i="107"/>
  <c r="AB281" i="107"/>
  <c r="AC281" i="107"/>
  <c r="AD281" i="107"/>
  <c r="C282" i="107"/>
  <c r="D282" i="107"/>
  <c r="E282" i="107"/>
  <c r="F282" i="107"/>
  <c r="G282" i="107"/>
  <c r="H282" i="107"/>
  <c r="I282" i="107"/>
  <c r="J282" i="107"/>
  <c r="K282" i="107"/>
  <c r="L282" i="107"/>
  <c r="M282" i="107"/>
  <c r="N282" i="107"/>
  <c r="O282" i="107"/>
  <c r="P282" i="107"/>
  <c r="Q282" i="107"/>
  <c r="R282" i="107"/>
  <c r="S282" i="107"/>
  <c r="T282" i="107"/>
  <c r="U282" i="107"/>
  <c r="V282" i="107"/>
  <c r="W282" i="107"/>
  <c r="X282" i="107"/>
  <c r="Y282" i="107"/>
  <c r="Z282" i="107"/>
  <c r="AA282" i="107"/>
  <c r="AB282" i="107"/>
  <c r="AC282" i="107"/>
  <c r="AD282" i="107"/>
  <c r="C283" i="107"/>
  <c r="D283" i="107"/>
  <c r="E283" i="107"/>
  <c r="F283" i="107"/>
  <c r="G283" i="107"/>
  <c r="H283" i="107"/>
  <c r="I283" i="107"/>
  <c r="J283" i="107"/>
  <c r="K283" i="107"/>
  <c r="L283" i="107"/>
  <c r="M283" i="107"/>
  <c r="N283" i="107"/>
  <c r="O283" i="107"/>
  <c r="P283" i="107"/>
  <c r="Q283" i="107"/>
  <c r="R283" i="107"/>
  <c r="S283" i="107"/>
  <c r="T283" i="107"/>
  <c r="U283" i="107"/>
  <c r="V283" i="107"/>
  <c r="W283" i="107"/>
  <c r="X283" i="107"/>
  <c r="Y283" i="107"/>
  <c r="Z283" i="107"/>
  <c r="AA283" i="107"/>
  <c r="AB283" i="107"/>
  <c r="AC283" i="107"/>
  <c r="AD283" i="107"/>
  <c r="C284" i="107"/>
  <c r="D284" i="107"/>
  <c r="E284" i="107"/>
  <c r="F284" i="107"/>
  <c r="G284" i="107"/>
  <c r="H284" i="107"/>
  <c r="I284" i="107"/>
  <c r="J284" i="107"/>
  <c r="K284" i="107"/>
  <c r="L284" i="107"/>
  <c r="M284" i="107"/>
  <c r="N284" i="107"/>
  <c r="O284" i="107"/>
  <c r="P284" i="107"/>
  <c r="Q284" i="107"/>
  <c r="R284" i="107"/>
  <c r="S284" i="107"/>
  <c r="T284" i="107"/>
  <c r="U284" i="107"/>
  <c r="V284" i="107"/>
  <c r="W284" i="107"/>
  <c r="X284" i="107"/>
  <c r="Y284" i="107"/>
  <c r="Z284" i="107"/>
  <c r="AA284" i="107"/>
  <c r="AB284" i="107"/>
  <c r="AC284" i="107"/>
  <c r="AD284" i="107"/>
  <c r="C285" i="107"/>
  <c r="D285" i="107"/>
  <c r="E285" i="107"/>
  <c r="F285" i="107"/>
  <c r="G285" i="107"/>
  <c r="H285" i="107"/>
  <c r="I285" i="107"/>
  <c r="J285" i="107"/>
  <c r="K285" i="107"/>
  <c r="L285" i="107"/>
  <c r="M285" i="107"/>
  <c r="N285" i="107"/>
  <c r="O285" i="107"/>
  <c r="P285" i="107"/>
  <c r="Q285" i="107"/>
  <c r="R285" i="107"/>
  <c r="S285" i="107"/>
  <c r="T285" i="107"/>
  <c r="U285" i="107"/>
  <c r="V285" i="107"/>
  <c r="W285" i="107"/>
  <c r="X285" i="107"/>
  <c r="Y285" i="107"/>
  <c r="Z285" i="107"/>
  <c r="AA285" i="107"/>
  <c r="AB285" i="107"/>
  <c r="AC285" i="107"/>
  <c r="AD285" i="107"/>
  <c r="C286" i="107"/>
  <c r="D286" i="107"/>
  <c r="E286" i="107"/>
  <c r="F286" i="107"/>
  <c r="G286" i="107"/>
  <c r="H286" i="107"/>
  <c r="I286" i="107"/>
  <c r="J286" i="107"/>
  <c r="K286" i="107"/>
  <c r="L286" i="107"/>
  <c r="M286" i="107"/>
  <c r="N286" i="107"/>
  <c r="O286" i="107"/>
  <c r="P286" i="107"/>
  <c r="Q286" i="107"/>
  <c r="R286" i="107"/>
  <c r="S286" i="107"/>
  <c r="T286" i="107"/>
  <c r="U286" i="107"/>
  <c r="V286" i="107"/>
  <c r="W286" i="107"/>
  <c r="X286" i="107"/>
  <c r="Y286" i="107"/>
  <c r="Z286" i="107"/>
  <c r="AA286" i="107"/>
  <c r="AB286" i="107"/>
  <c r="AC286" i="107"/>
  <c r="AD286" i="107"/>
  <c r="C287" i="107"/>
  <c r="D287" i="107"/>
  <c r="E287" i="107"/>
  <c r="F287" i="107"/>
  <c r="G287" i="107"/>
  <c r="H287" i="107"/>
  <c r="I287" i="107"/>
  <c r="J287" i="107"/>
  <c r="K287" i="107"/>
  <c r="L287" i="107"/>
  <c r="M287" i="107"/>
  <c r="N287" i="107"/>
  <c r="O287" i="107"/>
  <c r="P287" i="107"/>
  <c r="Q287" i="107"/>
  <c r="R287" i="107"/>
  <c r="S287" i="107"/>
  <c r="T287" i="107"/>
  <c r="U287" i="107"/>
  <c r="V287" i="107"/>
  <c r="W287" i="107"/>
  <c r="X287" i="107"/>
  <c r="Y287" i="107"/>
  <c r="Z287" i="107"/>
  <c r="AA287" i="107"/>
  <c r="AB287" i="107"/>
  <c r="AC287" i="107"/>
  <c r="AD287" i="107"/>
  <c r="C288" i="107"/>
  <c r="D288" i="107"/>
  <c r="E288" i="107"/>
  <c r="F288" i="107"/>
  <c r="G288" i="107"/>
  <c r="H288" i="107"/>
  <c r="I288" i="107"/>
  <c r="J288" i="107"/>
  <c r="K288" i="107"/>
  <c r="L288" i="107"/>
  <c r="M288" i="107"/>
  <c r="N288" i="107"/>
  <c r="O288" i="107"/>
  <c r="P288" i="107"/>
  <c r="Q288" i="107"/>
  <c r="R288" i="107"/>
  <c r="S288" i="107"/>
  <c r="T288" i="107"/>
  <c r="U288" i="107"/>
  <c r="V288" i="107"/>
  <c r="W288" i="107"/>
  <c r="X288" i="107"/>
  <c r="Y288" i="107"/>
  <c r="Z288" i="107"/>
  <c r="AA288" i="107"/>
  <c r="AB288" i="107"/>
  <c r="AC288" i="107"/>
  <c r="AD288" i="107"/>
  <c r="C289" i="107"/>
  <c r="D289" i="107"/>
  <c r="E289" i="107"/>
  <c r="F289" i="107"/>
  <c r="G289" i="107"/>
  <c r="H289" i="107"/>
  <c r="I289" i="107"/>
  <c r="J289" i="107"/>
  <c r="K289" i="107"/>
  <c r="L289" i="107"/>
  <c r="M289" i="107"/>
  <c r="N289" i="107"/>
  <c r="O289" i="107"/>
  <c r="P289" i="107"/>
  <c r="Q289" i="107"/>
  <c r="R289" i="107"/>
  <c r="S289" i="107"/>
  <c r="T289" i="107"/>
  <c r="U289" i="107"/>
  <c r="V289" i="107"/>
  <c r="W289" i="107"/>
  <c r="X289" i="107"/>
  <c r="Y289" i="107"/>
  <c r="Z289" i="107"/>
  <c r="AA289" i="107"/>
  <c r="AB289" i="107"/>
  <c r="AC289" i="107"/>
  <c r="AD289" i="107"/>
  <c r="C290" i="107"/>
  <c r="D290" i="107"/>
  <c r="E290" i="107"/>
  <c r="F290" i="107"/>
  <c r="G290" i="107"/>
  <c r="H290" i="107"/>
  <c r="I290" i="107"/>
  <c r="J290" i="107"/>
  <c r="K290" i="107"/>
  <c r="L290" i="107"/>
  <c r="M290" i="107"/>
  <c r="N290" i="107"/>
  <c r="O290" i="107"/>
  <c r="P290" i="107"/>
  <c r="Q290" i="107"/>
  <c r="R290" i="107"/>
  <c r="S290" i="107"/>
  <c r="T290" i="107"/>
  <c r="U290" i="107"/>
  <c r="V290" i="107"/>
  <c r="W290" i="107"/>
  <c r="X290" i="107"/>
  <c r="Y290" i="107"/>
  <c r="Z290" i="107"/>
  <c r="AA290" i="107"/>
  <c r="AB290" i="107"/>
  <c r="AC290" i="107"/>
  <c r="AD290" i="107"/>
  <c r="C291" i="107"/>
  <c r="D291" i="107"/>
  <c r="E291" i="107"/>
  <c r="F291" i="107"/>
  <c r="G291" i="107"/>
  <c r="H291" i="107"/>
  <c r="I291" i="107"/>
  <c r="J291" i="107"/>
  <c r="K291" i="107"/>
  <c r="L291" i="107"/>
  <c r="M291" i="107"/>
  <c r="N291" i="107"/>
  <c r="O291" i="107"/>
  <c r="P291" i="107"/>
  <c r="Q291" i="107"/>
  <c r="R291" i="107"/>
  <c r="S291" i="107"/>
  <c r="T291" i="107"/>
  <c r="U291" i="107"/>
  <c r="V291" i="107"/>
  <c r="W291" i="107"/>
  <c r="X291" i="107"/>
  <c r="Y291" i="107"/>
  <c r="Z291" i="107"/>
  <c r="AA291" i="107"/>
  <c r="AB291" i="107"/>
  <c r="AC291" i="107"/>
  <c r="AD291" i="107"/>
  <c r="C292" i="107"/>
  <c r="D292" i="107"/>
  <c r="E292" i="107"/>
  <c r="F292" i="107"/>
  <c r="G292" i="107"/>
  <c r="H292" i="107"/>
  <c r="I292" i="107"/>
  <c r="J292" i="107"/>
  <c r="K292" i="107"/>
  <c r="L292" i="107"/>
  <c r="M292" i="107"/>
  <c r="N292" i="107"/>
  <c r="O292" i="107"/>
  <c r="P292" i="107"/>
  <c r="Q292" i="107"/>
  <c r="R292" i="107"/>
  <c r="S292" i="107"/>
  <c r="T292" i="107"/>
  <c r="U292" i="107"/>
  <c r="V292" i="107"/>
  <c r="W292" i="107"/>
  <c r="X292" i="107"/>
  <c r="Y292" i="107"/>
  <c r="Z292" i="107"/>
  <c r="AA292" i="107"/>
  <c r="AB292" i="107"/>
  <c r="AC292" i="107"/>
  <c r="AD292" i="107"/>
  <c r="C293" i="107"/>
  <c r="D293" i="107"/>
  <c r="E293" i="107"/>
  <c r="F293" i="107"/>
  <c r="G293" i="107"/>
  <c r="H293" i="107"/>
  <c r="I293" i="107"/>
  <c r="J293" i="107"/>
  <c r="K293" i="107"/>
  <c r="L293" i="107"/>
  <c r="M293" i="107"/>
  <c r="N293" i="107"/>
  <c r="O293" i="107"/>
  <c r="P293" i="107"/>
  <c r="Q293" i="107"/>
  <c r="R293" i="107"/>
  <c r="S293" i="107"/>
  <c r="T293" i="107"/>
  <c r="U293" i="107"/>
  <c r="V293" i="107"/>
  <c r="W293" i="107"/>
  <c r="X293" i="107"/>
  <c r="Y293" i="107"/>
  <c r="Z293" i="107"/>
  <c r="AA293" i="107"/>
  <c r="AB293" i="107"/>
  <c r="AC293" i="107"/>
  <c r="AD293" i="107"/>
  <c r="C294" i="107"/>
  <c r="D294" i="107"/>
  <c r="E294" i="107"/>
  <c r="F294" i="107"/>
  <c r="G294" i="107"/>
  <c r="H294" i="107"/>
  <c r="I294" i="107"/>
  <c r="J294" i="107"/>
  <c r="K294" i="107"/>
  <c r="L294" i="107"/>
  <c r="M294" i="107"/>
  <c r="N294" i="107"/>
  <c r="O294" i="107"/>
  <c r="P294" i="107"/>
  <c r="Q294" i="107"/>
  <c r="R294" i="107"/>
  <c r="S294" i="107"/>
  <c r="T294" i="107"/>
  <c r="U294" i="107"/>
  <c r="V294" i="107"/>
  <c r="W294" i="107"/>
  <c r="X294" i="107"/>
  <c r="Y294" i="107"/>
  <c r="Z294" i="107"/>
  <c r="AA294" i="107"/>
  <c r="AB294" i="107"/>
  <c r="AC294" i="107"/>
  <c r="AD294" i="107"/>
  <c r="C295" i="107"/>
  <c r="D295" i="107"/>
  <c r="E295" i="107"/>
  <c r="F295" i="107"/>
  <c r="G295" i="107"/>
  <c r="H295" i="107"/>
  <c r="I295" i="107"/>
  <c r="J295" i="107"/>
  <c r="K295" i="107"/>
  <c r="L295" i="107"/>
  <c r="M295" i="107"/>
  <c r="N295" i="107"/>
  <c r="O295" i="107"/>
  <c r="P295" i="107"/>
  <c r="Q295" i="107"/>
  <c r="R295" i="107"/>
  <c r="S295" i="107"/>
  <c r="T295" i="107"/>
  <c r="U295" i="107"/>
  <c r="V295" i="107"/>
  <c r="W295" i="107"/>
  <c r="X295" i="107"/>
  <c r="Y295" i="107"/>
  <c r="Z295" i="107"/>
  <c r="AA295" i="107"/>
  <c r="AB295" i="107"/>
  <c r="AC295" i="107"/>
  <c r="AD295" i="107"/>
  <c r="C296" i="107"/>
  <c r="D296" i="107"/>
  <c r="E296" i="107"/>
  <c r="F296" i="107"/>
  <c r="G296" i="107"/>
  <c r="H296" i="107"/>
  <c r="I296" i="107"/>
  <c r="J296" i="107"/>
  <c r="K296" i="107"/>
  <c r="L296" i="107"/>
  <c r="M296" i="107"/>
  <c r="N296" i="107"/>
  <c r="O296" i="107"/>
  <c r="P296" i="107"/>
  <c r="Q296" i="107"/>
  <c r="R296" i="107"/>
  <c r="S296" i="107"/>
  <c r="T296" i="107"/>
  <c r="U296" i="107"/>
  <c r="V296" i="107"/>
  <c r="W296" i="107"/>
  <c r="X296" i="107"/>
  <c r="Y296" i="107"/>
  <c r="Z296" i="107"/>
  <c r="AA296" i="107"/>
  <c r="AB296" i="107"/>
  <c r="AC296" i="107"/>
  <c r="AD296" i="107"/>
  <c r="C297" i="107"/>
  <c r="D297" i="107"/>
  <c r="E297" i="107"/>
  <c r="F297" i="107"/>
  <c r="G297" i="107"/>
  <c r="H297" i="107"/>
  <c r="I297" i="107"/>
  <c r="J297" i="107"/>
  <c r="K297" i="107"/>
  <c r="L297" i="107"/>
  <c r="M297" i="107"/>
  <c r="N297" i="107"/>
  <c r="O297" i="107"/>
  <c r="P297" i="107"/>
  <c r="Q297" i="107"/>
  <c r="R297" i="107"/>
  <c r="S297" i="107"/>
  <c r="T297" i="107"/>
  <c r="U297" i="107"/>
  <c r="V297" i="107"/>
  <c r="W297" i="107"/>
  <c r="X297" i="107"/>
  <c r="Y297" i="107"/>
  <c r="Z297" i="107"/>
  <c r="AA297" i="107"/>
  <c r="AB297" i="107"/>
  <c r="AC297" i="107"/>
  <c r="AD297" i="107"/>
  <c r="C298" i="107"/>
  <c r="D298" i="107"/>
  <c r="E298" i="107"/>
  <c r="F298" i="107"/>
  <c r="G298" i="107"/>
  <c r="H298" i="107"/>
  <c r="I298" i="107"/>
  <c r="J298" i="107"/>
  <c r="K298" i="107"/>
  <c r="L298" i="107"/>
  <c r="M298" i="107"/>
  <c r="N298" i="107"/>
  <c r="O298" i="107"/>
  <c r="P298" i="107"/>
  <c r="Q298" i="107"/>
  <c r="R298" i="107"/>
  <c r="S298" i="107"/>
  <c r="T298" i="107"/>
  <c r="U298" i="107"/>
  <c r="V298" i="107"/>
  <c r="W298" i="107"/>
  <c r="X298" i="107"/>
  <c r="Y298" i="107"/>
  <c r="Z298" i="107"/>
  <c r="AA298" i="107"/>
  <c r="AB298" i="107"/>
  <c r="AC298" i="107"/>
  <c r="AD298" i="107"/>
  <c r="C299" i="107"/>
  <c r="D299" i="107"/>
  <c r="E299" i="107"/>
  <c r="F299" i="107"/>
  <c r="G299" i="107"/>
  <c r="H299" i="107"/>
  <c r="I299" i="107"/>
  <c r="J299" i="107"/>
  <c r="K299" i="107"/>
  <c r="L299" i="107"/>
  <c r="M299" i="107"/>
  <c r="N299" i="107"/>
  <c r="O299" i="107"/>
  <c r="P299" i="107"/>
  <c r="Q299" i="107"/>
  <c r="R299" i="107"/>
  <c r="S299" i="107"/>
  <c r="T299" i="107"/>
  <c r="U299" i="107"/>
  <c r="V299" i="107"/>
  <c r="W299" i="107"/>
  <c r="X299" i="107"/>
  <c r="Y299" i="107"/>
  <c r="Z299" i="107"/>
  <c r="AA299" i="107"/>
  <c r="AB299" i="107"/>
  <c r="AC299" i="107"/>
  <c r="AD299" i="107"/>
  <c r="C300" i="107"/>
  <c r="D300" i="107"/>
  <c r="E300" i="107"/>
  <c r="F300" i="107"/>
  <c r="G300" i="107"/>
  <c r="H300" i="107"/>
  <c r="I300" i="107"/>
  <c r="J300" i="107"/>
  <c r="K300" i="107"/>
  <c r="L300" i="107"/>
  <c r="M300" i="107"/>
  <c r="N300" i="107"/>
  <c r="O300" i="107"/>
  <c r="P300" i="107"/>
  <c r="Q300" i="107"/>
  <c r="R300" i="107"/>
  <c r="S300" i="107"/>
  <c r="T300" i="107"/>
  <c r="U300" i="107"/>
  <c r="V300" i="107"/>
  <c r="W300" i="107"/>
  <c r="X300" i="107"/>
  <c r="Y300" i="107"/>
  <c r="Z300" i="107"/>
  <c r="AA300" i="107"/>
  <c r="AB300" i="107"/>
  <c r="AC300" i="107"/>
  <c r="AD300" i="107"/>
  <c r="C301" i="107"/>
  <c r="D301" i="107"/>
  <c r="E301" i="107"/>
  <c r="F301" i="107"/>
  <c r="G301" i="107"/>
  <c r="H301" i="107"/>
  <c r="I301" i="107"/>
  <c r="J301" i="107"/>
  <c r="K301" i="107"/>
  <c r="L301" i="107"/>
  <c r="M301" i="107"/>
  <c r="N301" i="107"/>
  <c r="O301" i="107"/>
  <c r="P301" i="107"/>
  <c r="Q301" i="107"/>
  <c r="R301" i="107"/>
  <c r="S301" i="107"/>
  <c r="T301" i="107"/>
  <c r="U301" i="107"/>
  <c r="V301" i="107"/>
  <c r="W301" i="107"/>
  <c r="X301" i="107"/>
  <c r="Y301" i="107"/>
  <c r="Z301" i="107"/>
  <c r="AA301" i="107"/>
  <c r="AB301" i="107"/>
  <c r="AC301" i="107"/>
  <c r="AD301" i="107"/>
  <c r="C302" i="107"/>
  <c r="D302" i="107"/>
  <c r="E302" i="107"/>
  <c r="F302" i="107"/>
  <c r="G302" i="107"/>
  <c r="H302" i="107"/>
  <c r="I302" i="107"/>
  <c r="J302" i="107"/>
  <c r="K302" i="107"/>
  <c r="L302" i="107"/>
  <c r="M302" i="107"/>
  <c r="N302" i="107"/>
  <c r="O302" i="107"/>
  <c r="P302" i="107"/>
  <c r="Q302" i="107"/>
  <c r="R302" i="107"/>
  <c r="S302" i="107"/>
  <c r="T302" i="107"/>
  <c r="U302" i="107"/>
  <c r="V302" i="107"/>
  <c r="W302" i="107"/>
  <c r="X302" i="107"/>
  <c r="Y302" i="107"/>
  <c r="Z302" i="107"/>
  <c r="AA302" i="107"/>
  <c r="AB302" i="107"/>
  <c r="AC302" i="107"/>
  <c r="AD302" i="107"/>
  <c r="C303" i="107"/>
  <c r="D303" i="107"/>
  <c r="E303" i="107"/>
  <c r="F303" i="107"/>
  <c r="G303" i="107"/>
  <c r="H303" i="107"/>
  <c r="I303" i="107"/>
  <c r="J303" i="107"/>
  <c r="K303" i="107"/>
  <c r="L303" i="107"/>
  <c r="M303" i="107"/>
  <c r="N303" i="107"/>
  <c r="O303" i="107"/>
  <c r="P303" i="107"/>
  <c r="Q303" i="107"/>
  <c r="R303" i="107"/>
  <c r="S303" i="107"/>
  <c r="T303" i="107"/>
  <c r="U303" i="107"/>
  <c r="V303" i="107"/>
  <c r="W303" i="107"/>
  <c r="X303" i="107"/>
  <c r="Y303" i="107"/>
  <c r="Z303" i="107"/>
  <c r="AA303" i="107"/>
  <c r="AB303" i="107"/>
  <c r="AC303" i="107"/>
  <c r="AD303" i="107"/>
  <c r="C304" i="107"/>
  <c r="D304" i="107"/>
  <c r="E304" i="107"/>
  <c r="F304" i="107"/>
  <c r="G304" i="107"/>
  <c r="H304" i="107"/>
  <c r="I304" i="107"/>
  <c r="J304" i="107"/>
  <c r="K304" i="107"/>
  <c r="L304" i="107"/>
  <c r="M304" i="107"/>
  <c r="N304" i="107"/>
  <c r="O304" i="107"/>
  <c r="P304" i="107"/>
  <c r="Q304" i="107"/>
  <c r="R304" i="107"/>
  <c r="S304" i="107"/>
  <c r="T304" i="107"/>
  <c r="U304" i="107"/>
  <c r="V304" i="107"/>
  <c r="W304" i="107"/>
  <c r="X304" i="107"/>
  <c r="Y304" i="107"/>
  <c r="Z304" i="107"/>
  <c r="AA304" i="107"/>
  <c r="AB304" i="107"/>
  <c r="AC304" i="107"/>
  <c r="AD304" i="107"/>
  <c r="C305" i="107"/>
  <c r="D305" i="107"/>
  <c r="E305" i="107"/>
  <c r="F305" i="107"/>
  <c r="G305" i="107"/>
  <c r="H305" i="107"/>
  <c r="I305" i="107"/>
  <c r="J305" i="107"/>
  <c r="K305" i="107"/>
  <c r="L305" i="107"/>
  <c r="M305" i="107"/>
  <c r="N305" i="107"/>
  <c r="O305" i="107"/>
  <c r="P305" i="107"/>
  <c r="Q305" i="107"/>
  <c r="R305" i="107"/>
  <c r="S305" i="107"/>
  <c r="T305" i="107"/>
  <c r="U305" i="107"/>
  <c r="V305" i="107"/>
  <c r="W305" i="107"/>
  <c r="X305" i="107"/>
  <c r="Y305" i="107"/>
  <c r="Z305" i="107"/>
  <c r="AA305" i="107"/>
  <c r="AB305" i="107"/>
  <c r="AC305" i="107"/>
  <c r="AD305" i="107"/>
  <c r="C306" i="107"/>
  <c r="D306" i="107"/>
  <c r="E306" i="107"/>
  <c r="F306" i="107"/>
  <c r="G306" i="107"/>
  <c r="H306" i="107"/>
  <c r="I306" i="107"/>
  <c r="J306" i="107"/>
  <c r="K306" i="107"/>
  <c r="L306" i="107"/>
  <c r="M306" i="107"/>
  <c r="N306" i="107"/>
  <c r="O306" i="107"/>
  <c r="P306" i="107"/>
  <c r="Q306" i="107"/>
  <c r="R306" i="107"/>
  <c r="S306" i="107"/>
  <c r="T306" i="107"/>
  <c r="U306" i="107"/>
  <c r="V306" i="107"/>
  <c r="W306" i="107"/>
  <c r="X306" i="107"/>
  <c r="Y306" i="107"/>
  <c r="Z306" i="107"/>
  <c r="AA306" i="107"/>
  <c r="AB306" i="107"/>
  <c r="AC306" i="107"/>
  <c r="AD306" i="107"/>
  <c r="C307" i="107"/>
  <c r="D307" i="107"/>
  <c r="E307" i="107"/>
  <c r="F307" i="107"/>
  <c r="G307" i="107"/>
  <c r="H307" i="107"/>
  <c r="I307" i="107"/>
  <c r="J307" i="107"/>
  <c r="K307" i="107"/>
  <c r="L307" i="107"/>
  <c r="M307" i="107"/>
  <c r="N307" i="107"/>
  <c r="O307" i="107"/>
  <c r="P307" i="107"/>
  <c r="Q307" i="107"/>
  <c r="R307" i="107"/>
  <c r="S307" i="107"/>
  <c r="T307" i="107"/>
  <c r="U307" i="107"/>
  <c r="V307" i="107"/>
  <c r="W307" i="107"/>
  <c r="X307" i="107"/>
  <c r="Y307" i="107"/>
  <c r="Z307" i="107"/>
  <c r="AA307" i="107"/>
  <c r="AB307" i="107"/>
  <c r="AC307" i="107"/>
  <c r="AD307" i="107"/>
  <c r="C308" i="107"/>
  <c r="D308" i="107"/>
  <c r="E308" i="107"/>
  <c r="F308" i="107"/>
  <c r="G308" i="107"/>
  <c r="H308" i="107"/>
  <c r="I308" i="107"/>
  <c r="J308" i="107"/>
  <c r="K308" i="107"/>
  <c r="L308" i="107"/>
  <c r="M308" i="107"/>
  <c r="N308" i="107"/>
  <c r="O308" i="107"/>
  <c r="P308" i="107"/>
  <c r="Q308" i="107"/>
  <c r="R308" i="107"/>
  <c r="S308" i="107"/>
  <c r="T308" i="107"/>
  <c r="U308" i="107"/>
  <c r="V308" i="107"/>
  <c r="W308" i="107"/>
  <c r="X308" i="107"/>
  <c r="Y308" i="107"/>
  <c r="Z308" i="107"/>
  <c r="AA308" i="107"/>
  <c r="AB308" i="107"/>
  <c r="AC308" i="107"/>
  <c r="AD308" i="107"/>
  <c r="C309" i="107"/>
  <c r="D309" i="107"/>
  <c r="E309" i="107"/>
  <c r="F309" i="107"/>
  <c r="G309" i="107"/>
  <c r="H309" i="107"/>
  <c r="I309" i="107"/>
  <c r="J309" i="107"/>
  <c r="K309" i="107"/>
  <c r="L309" i="107"/>
  <c r="M309" i="107"/>
  <c r="N309" i="107"/>
  <c r="O309" i="107"/>
  <c r="P309" i="107"/>
  <c r="Q309" i="107"/>
  <c r="R309" i="107"/>
  <c r="S309" i="107"/>
  <c r="T309" i="107"/>
  <c r="U309" i="107"/>
  <c r="V309" i="107"/>
  <c r="W309" i="107"/>
  <c r="X309" i="107"/>
  <c r="Y309" i="107"/>
  <c r="Z309" i="107"/>
  <c r="AA309" i="107"/>
  <c r="AB309" i="107"/>
  <c r="AC309" i="107"/>
  <c r="AD309" i="107"/>
  <c r="C310" i="107"/>
  <c r="D310" i="107"/>
  <c r="E310" i="107"/>
  <c r="F310" i="107"/>
  <c r="G310" i="107"/>
  <c r="H310" i="107"/>
  <c r="I310" i="107"/>
  <c r="J310" i="107"/>
  <c r="K310" i="107"/>
  <c r="L310" i="107"/>
  <c r="M310" i="107"/>
  <c r="N310" i="107"/>
  <c r="O310" i="107"/>
  <c r="P310" i="107"/>
  <c r="Q310" i="107"/>
  <c r="R310" i="107"/>
  <c r="S310" i="107"/>
  <c r="T310" i="107"/>
  <c r="U310" i="107"/>
  <c r="V310" i="107"/>
  <c r="W310" i="107"/>
  <c r="X310" i="107"/>
  <c r="Y310" i="107"/>
  <c r="Z310" i="107"/>
  <c r="AA310" i="107"/>
  <c r="AB310" i="107"/>
  <c r="AC310" i="107"/>
  <c r="AD310" i="107"/>
  <c r="C311" i="107"/>
  <c r="D311" i="107"/>
  <c r="E311" i="107"/>
  <c r="F311" i="107"/>
  <c r="G311" i="107"/>
  <c r="H311" i="107"/>
  <c r="I311" i="107"/>
  <c r="J311" i="107"/>
  <c r="K311" i="107"/>
  <c r="L311" i="107"/>
  <c r="M311" i="107"/>
  <c r="N311" i="107"/>
  <c r="O311" i="107"/>
  <c r="P311" i="107"/>
  <c r="Q311" i="107"/>
  <c r="R311" i="107"/>
  <c r="S311" i="107"/>
  <c r="T311" i="107"/>
  <c r="U311" i="107"/>
  <c r="V311" i="107"/>
  <c r="W311" i="107"/>
  <c r="X311" i="107"/>
  <c r="Y311" i="107"/>
  <c r="Z311" i="107"/>
  <c r="AA311" i="107"/>
  <c r="AB311" i="107"/>
  <c r="AC311" i="107"/>
  <c r="AD311" i="107"/>
  <c r="C312" i="107"/>
  <c r="D312" i="107"/>
  <c r="E312" i="107"/>
  <c r="F312" i="107"/>
  <c r="G312" i="107"/>
  <c r="H312" i="107"/>
  <c r="I312" i="107"/>
  <c r="J312" i="107"/>
  <c r="K312" i="107"/>
  <c r="L312" i="107"/>
  <c r="M312" i="107"/>
  <c r="N312" i="107"/>
  <c r="O312" i="107"/>
  <c r="P312" i="107"/>
  <c r="Q312" i="107"/>
  <c r="R312" i="107"/>
  <c r="S312" i="107"/>
  <c r="T312" i="107"/>
  <c r="U312" i="107"/>
  <c r="V312" i="107"/>
  <c r="W312" i="107"/>
  <c r="X312" i="107"/>
  <c r="Y312" i="107"/>
  <c r="Z312" i="107"/>
  <c r="AA312" i="107"/>
  <c r="AB312" i="107"/>
  <c r="AC312" i="107"/>
  <c r="AD312" i="107"/>
  <c r="C313" i="107"/>
  <c r="D313" i="107"/>
  <c r="E313" i="107"/>
  <c r="F313" i="107"/>
  <c r="G313" i="107"/>
  <c r="H313" i="107"/>
  <c r="I313" i="107"/>
  <c r="J313" i="107"/>
  <c r="K313" i="107"/>
  <c r="L313" i="107"/>
  <c r="M313" i="107"/>
  <c r="N313" i="107"/>
  <c r="O313" i="107"/>
  <c r="P313" i="107"/>
  <c r="Q313" i="107"/>
  <c r="R313" i="107"/>
  <c r="S313" i="107"/>
  <c r="T313" i="107"/>
  <c r="U313" i="107"/>
  <c r="V313" i="107"/>
  <c r="W313" i="107"/>
  <c r="X313" i="107"/>
  <c r="Y313" i="107"/>
  <c r="Z313" i="107"/>
  <c r="AA313" i="107"/>
  <c r="AB313" i="107"/>
  <c r="AC313" i="107"/>
  <c r="AD313" i="107"/>
  <c r="C314" i="107"/>
  <c r="D314" i="107"/>
  <c r="E314" i="107"/>
  <c r="F314" i="107"/>
  <c r="G314" i="107"/>
  <c r="H314" i="107"/>
  <c r="I314" i="107"/>
  <c r="J314" i="107"/>
  <c r="K314" i="107"/>
  <c r="L314" i="107"/>
  <c r="M314" i="107"/>
  <c r="N314" i="107"/>
  <c r="O314" i="107"/>
  <c r="P314" i="107"/>
  <c r="Q314" i="107"/>
  <c r="R314" i="107"/>
  <c r="S314" i="107"/>
  <c r="T314" i="107"/>
  <c r="U314" i="107"/>
  <c r="V314" i="107"/>
  <c r="W314" i="107"/>
  <c r="X314" i="107"/>
  <c r="Y314" i="107"/>
  <c r="Z314" i="107"/>
  <c r="AA314" i="107"/>
  <c r="AB314" i="107"/>
  <c r="AC314" i="107"/>
  <c r="AD314" i="107"/>
  <c r="C315" i="107"/>
  <c r="D315" i="107"/>
  <c r="E315" i="107"/>
  <c r="F315" i="107"/>
  <c r="G315" i="107"/>
  <c r="H315" i="107"/>
  <c r="I315" i="107"/>
  <c r="J315" i="107"/>
  <c r="K315" i="107"/>
  <c r="L315" i="107"/>
  <c r="M315" i="107"/>
  <c r="N315" i="107"/>
  <c r="O315" i="107"/>
  <c r="P315" i="107"/>
  <c r="Q315" i="107"/>
  <c r="R315" i="107"/>
  <c r="S315" i="107"/>
  <c r="T315" i="107"/>
  <c r="U315" i="107"/>
  <c r="V315" i="107"/>
  <c r="W315" i="107"/>
  <c r="X315" i="107"/>
  <c r="Y315" i="107"/>
  <c r="Z315" i="107"/>
  <c r="AA315" i="107"/>
  <c r="AB315" i="107"/>
  <c r="AC315" i="107"/>
  <c r="AD315" i="107"/>
  <c r="C316" i="107"/>
  <c r="D316" i="107"/>
  <c r="E316" i="107"/>
  <c r="F316" i="107"/>
  <c r="G316" i="107"/>
  <c r="H316" i="107"/>
  <c r="I316" i="107"/>
  <c r="J316" i="107"/>
  <c r="K316" i="107"/>
  <c r="L316" i="107"/>
  <c r="M316" i="107"/>
  <c r="N316" i="107"/>
  <c r="O316" i="107"/>
  <c r="P316" i="107"/>
  <c r="Q316" i="107"/>
  <c r="R316" i="107"/>
  <c r="S316" i="107"/>
  <c r="T316" i="107"/>
  <c r="U316" i="107"/>
  <c r="V316" i="107"/>
  <c r="W316" i="107"/>
  <c r="X316" i="107"/>
  <c r="Y316" i="107"/>
  <c r="Z316" i="107"/>
  <c r="AA316" i="107"/>
  <c r="AB316" i="107"/>
  <c r="AC316" i="107"/>
  <c r="AD316" i="107"/>
  <c r="C317" i="107"/>
  <c r="D317" i="107"/>
  <c r="E317" i="107"/>
  <c r="F317" i="107"/>
  <c r="G317" i="107"/>
  <c r="H317" i="107"/>
  <c r="I317" i="107"/>
  <c r="J317" i="107"/>
  <c r="K317" i="107"/>
  <c r="L317" i="107"/>
  <c r="M317" i="107"/>
  <c r="N317" i="107"/>
  <c r="O317" i="107"/>
  <c r="P317" i="107"/>
  <c r="Q317" i="107"/>
  <c r="R317" i="107"/>
  <c r="S317" i="107"/>
  <c r="T317" i="107"/>
  <c r="U317" i="107"/>
  <c r="V317" i="107"/>
  <c r="W317" i="107"/>
  <c r="X317" i="107"/>
  <c r="Y317" i="107"/>
  <c r="Z317" i="107"/>
  <c r="AA317" i="107"/>
  <c r="AB317" i="107"/>
  <c r="AC317" i="107"/>
  <c r="AD317" i="107"/>
  <c r="C318" i="107"/>
  <c r="D318" i="107"/>
  <c r="E318" i="107"/>
  <c r="F318" i="107"/>
  <c r="G318" i="107"/>
  <c r="H318" i="107"/>
  <c r="I318" i="107"/>
  <c r="J318" i="107"/>
  <c r="K318" i="107"/>
  <c r="L318" i="107"/>
  <c r="M318" i="107"/>
  <c r="N318" i="107"/>
  <c r="O318" i="107"/>
  <c r="P318" i="107"/>
  <c r="Q318" i="107"/>
  <c r="R318" i="107"/>
  <c r="S318" i="107"/>
  <c r="T318" i="107"/>
  <c r="U318" i="107"/>
  <c r="V318" i="107"/>
  <c r="W318" i="107"/>
  <c r="X318" i="107"/>
  <c r="Y318" i="107"/>
  <c r="Z318" i="107"/>
  <c r="AA318" i="107"/>
  <c r="AB318" i="107"/>
  <c r="AC318" i="107"/>
  <c r="AD318" i="107"/>
  <c r="C319" i="107"/>
  <c r="D319" i="107"/>
  <c r="E319" i="107"/>
  <c r="F319" i="107"/>
  <c r="G319" i="107"/>
  <c r="H319" i="107"/>
  <c r="I319" i="107"/>
  <c r="J319" i="107"/>
  <c r="K319" i="107"/>
  <c r="L319" i="107"/>
  <c r="M319" i="107"/>
  <c r="N319" i="107"/>
  <c r="O319" i="107"/>
  <c r="P319" i="107"/>
  <c r="Q319" i="107"/>
  <c r="R319" i="107"/>
  <c r="S319" i="107"/>
  <c r="T319" i="107"/>
  <c r="U319" i="107"/>
  <c r="V319" i="107"/>
  <c r="W319" i="107"/>
  <c r="X319" i="107"/>
  <c r="Y319" i="107"/>
  <c r="Z319" i="107"/>
  <c r="AA319" i="107"/>
  <c r="AB319" i="107"/>
  <c r="AC319" i="107"/>
  <c r="AD319" i="107"/>
  <c r="C320" i="107"/>
  <c r="D320" i="107"/>
  <c r="E320" i="107"/>
  <c r="F320" i="107"/>
  <c r="G320" i="107"/>
  <c r="H320" i="107"/>
  <c r="I320" i="107"/>
  <c r="J320" i="107"/>
  <c r="K320" i="107"/>
  <c r="L320" i="107"/>
  <c r="M320" i="107"/>
  <c r="N320" i="107"/>
  <c r="O320" i="107"/>
  <c r="P320" i="107"/>
  <c r="Q320" i="107"/>
  <c r="R320" i="107"/>
  <c r="S320" i="107"/>
  <c r="T320" i="107"/>
  <c r="U320" i="107"/>
  <c r="V320" i="107"/>
  <c r="W320" i="107"/>
  <c r="X320" i="107"/>
  <c r="Y320" i="107"/>
  <c r="Z320" i="107"/>
  <c r="AA320" i="107"/>
  <c r="AB320" i="107"/>
  <c r="AC320" i="107"/>
  <c r="AD320" i="107"/>
  <c r="C321" i="107"/>
  <c r="D321" i="107"/>
  <c r="E321" i="107"/>
  <c r="F321" i="107"/>
  <c r="G321" i="107"/>
  <c r="H321" i="107"/>
  <c r="I321" i="107"/>
  <c r="J321" i="107"/>
  <c r="K321" i="107"/>
  <c r="L321" i="107"/>
  <c r="M321" i="107"/>
  <c r="N321" i="107"/>
  <c r="O321" i="107"/>
  <c r="P321" i="107"/>
  <c r="Q321" i="107"/>
  <c r="R321" i="107"/>
  <c r="S321" i="107"/>
  <c r="T321" i="107"/>
  <c r="U321" i="107"/>
  <c r="V321" i="107"/>
  <c r="W321" i="107"/>
  <c r="X321" i="107"/>
  <c r="Y321" i="107"/>
  <c r="Z321" i="107"/>
  <c r="AA321" i="107"/>
  <c r="AB321" i="107"/>
  <c r="AC321" i="107"/>
  <c r="AD321" i="107"/>
  <c r="C322" i="107"/>
  <c r="D322" i="107"/>
  <c r="E322" i="107"/>
  <c r="F322" i="107"/>
  <c r="G322" i="107"/>
  <c r="H322" i="107"/>
  <c r="I322" i="107"/>
  <c r="J322" i="107"/>
  <c r="K322" i="107"/>
  <c r="L322" i="107"/>
  <c r="M322" i="107"/>
  <c r="N322" i="107"/>
  <c r="O322" i="107"/>
  <c r="P322" i="107"/>
  <c r="Q322" i="107"/>
  <c r="R322" i="107"/>
  <c r="S322" i="107"/>
  <c r="T322" i="107"/>
  <c r="U322" i="107"/>
  <c r="V322" i="107"/>
  <c r="W322" i="107"/>
  <c r="X322" i="107"/>
  <c r="Y322" i="107"/>
  <c r="Z322" i="107"/>
  <c r="AA322" i="107"/>
  <c r="AB322" i="107"/>
  <c r="AC322" i="107"/>
  <c r="AD322" i="107"/>
  <c r="C323" i="107"/>
  <c r="D323" i="107"/>
  <c r="E323" i="107"/>
  <c r="F323" i="107"/>
  <c r="G323" i="107"/>
  <c r="H323" i="107"/>
  <c r="I323" i="107"/>
  <c r="J323" i="107"/>
  <c r="K323" i="107"/>
  <c r="L323" i="107"/>
  <c r="M323" i="107"/>
  <c r="N323" i="107"/>
  <c r="O323" i="107"/>
  <c r="P323" i="107"/>
  <c r="Q323" i="107"/>
  <c r="R323" i="107"/>
  <c r="S323" i="107"/>
  <c r="T323" i="107"/>
  <c r="U323" i="107"/>
  <c r="V323" i="107"/>
  <c r="W323" i="107"/>
  <c r="X323" i="107"/>
  <c r="Y323" i="107"/>
  <c r="Z323" i="107"/>
  <c r="AA323" i="107"/>
  <c r="AB323" i="107"/>
  <c r="AC323" i="107"/>
  <c r="AD323" i="107"/>
  <c r="C324" i="107"/>
  <c r="D324" i="107"/>
  <c r="E324" i="107"/>
  <c r="F324" i="107"/>
  <c r="G324" i="107"/>
  <c r="H324" i="107"/>
  <c r="I324" i="107"/>
  <c r="J324" i="107"/>
  <c r="K324" i="107"/>
  <c r="L324" i="107"/>
  <c r="M324" i="107"/>
  <c r="N324" i="107"/>
  <c r="O324" i="107"/>
  <c r="P324" i="107"/>
  <c r="Q324" i="107"/>
  <c r="R324" i="107"/>
  <c r="S324" i="107"/>
  <c r="T324" i="107"/>
  <c r="U324" i="107"/>
  <c r="V324" i="107"/>
  <c r="W324" i="107"/>
  <c r="X324" i="107"/>
  <c r="Y324" i="107"/>
  <c r="Z324" i="107"/>
  <c r="AA324" i="107"/>
  <c r="AB324" i="107"/>
  <c r="AC324" i="107"/>
  <c r="AD324" i="107"/>
  <c r="C325" i="107"/>
  <c r="D325" i="107"/>
  <c r="E325" i="107"/>
  <c r="F325" i="107"/>
  <c r="G325" i="107"/>
  <c r="H325" i="107"/>
  <c r="I325" i="107"/>
  <c r="J325" i="107"/>
  <c r="K325" i="107"/>
  <c r="L325" i="107"/>
  <c r="M325" i="107"/>
  <c r="N325" i="107"/>
  <c r="O325" i="107"/>
  <c r="P325" i="107"/>
  <c r="Q325" i="107"/>
  <c r="R325" i="107"/>
  <c r="S325" i="107"/>
  <c r="T325" i="107"/>
  <c r="U325" i="107"/>
  <c r="V325" i="107"/>
  <c r="W325" i="107"/>
  <c r="X325" i="107"/>
  <c r="Y325" i="107"/>
  <c r="Z325" i="107"/>
  <c r="AA325" i="107"/>
  <c r="AB325" i="107"/>
  <c r="AC325" i="107"/>
  <c r="AD325" i="107"/>
  <c r="C326" i="107"/>
  <c r="D326" i="107"/>
  <c r="E326" i="107"/>
  <c r="F326" i="107"/>
  <c r="G326" i="107"/>
  <c r="H326" i="107"/>
  <c r="I326" i="107"/>
  <c r="J326" i="107"/>
  <c r="K326" i="107"/>
  <c r="L326" i="107"/>
  <c r="M326" i="107"/>
  <c r="N326" i="107"/>
  <c r="O326" i="107"/>
  <c r="P326" i="107"/>
  <c r="Q326" i="107"/>
  <c r="R326" i="107"/>
  <c r="S326" i="107"/>
  <c r="T326" i="107"/>
  <c r="U326" i="107"/>
  <c r="V326" i="107"/>
  <c r="W326" i="107"/>
  <c r="X326" i="107"/>
  <c r="Y326" i="107"/>
  <c r="Z326" i="107"/>
  <c r="AA326" i="107"/>
  <c r="AB326" i="107"/>
  <c r="AC326" i="107"/>
  <c r="AD326" i="107"/>
  <c r="C327" i="107"/>
  <c r="D327" i="107"/>
  <c r="E327" i="107"/>
  <c r="F327" i="107"/>
  <c r="G327" i="107"/>
  <c r="H327" i="107"/>
  <c r="I327" i="107"/>
  <c r="J327" i="107"/>
  <c r="K327" i="107"/>
  <c r="L327" i="107"/>
  <c r="M327" i="107"/>
  <c r="N327" i="107"/>
  <c r="O327" i="107"/>
  <c r="P327" i="107"/>
  <c r="Q327" i="107"/>
  <c r="R327" i="107"/>
  <c r="S327" i="107"/>
  <c r="T327" i="107"/>
  <c r="U327" i="107"/>
  <c r="V327" i="107"/>
  <c r="W327" i="107"/>
  <c r="X327" i="107"/>
  <c r="Y327" i="107"/>
  <c r="Z327" i="107"/>
  <c r="AA327" i="107"/>
  <c r="AB327" i="107"/>
  <c r="AC327" i="107"/>
  <c r="AD327" i="107"/>
  <c r="C328" i="107"/>
  <c r="D328" i="107"/>
  <c r="E328" i="107"/>
  <c r="F328" i="107"/>
  <c r="G328" i="107"/>
  <c r="H328" i="107"/>
  <c r="I328" i="107"/>
  <c r="J328" i="107"/>
  <c r="K328" i="107"/>
  <c r="L328" i="107"/>
  <c r="M328" i="107"/>
  <c r="N328" i="107"/>
  <c r="O328" i="107"/>
  <c r="P328" i="107"/>
  <c r="Q328" i="107"/>
  <c r="R328" i="107"/>
  <c r="S328" i="107"/>
  <c r="T328" i="107"/>
  <c r="U328" i="107"/>
  <c r="V328" i="107"/>
  <c r="W328" i="107"/>
  <c r="X328" i="107"/>
  <c r="Y328" i="107"/>
  <c r="Z328" i="107"/>
  <c r="AA328" i="107"/>
  <c r="AB328" i="107"/>
  <c r="AC328" i="107"/>
  <c r="AD328" i="107"/>
  <c r="C329" i="107"/>
  <c r="D329" i="107"/>
  <c r="E329" i="107"/>
  <c r="F329" i="107"/>
  <c r="G329" i="107"/>
  <c r="H329" i="107"/>
  <c r="I329" i="107"/>
  <c r="J329" i="107"/>
  <c r="K329" i="107"/>
  <c r="L329" i="107"/>
  <c r="M329" i="107"/>
  <c r="N329" i="107"/>
  <c r="O329" i="107"/>
  <c r="P329" i="107"/>
  <c r="Q329" i="107"/>
  <c r="R329" i="107"/>
  <c r="S329" i="107"/>
  <c r="T329" i="107"/>
  <c r="U329" i="107"/>
  <c r="V329" i="107"/>
  <c r="W329" i="107"/>
  <c r="X329" i="107"/>
  <c r="Y329" i="107"/>
  <c r="Z329" i="107"/>
  <c r="AA329" i="107"/>
  <c r="AB329" i="107"/>
  <c r="AC329" i="107"/>
  <c r="AD329" i="107"/>
  <c r="C330" i="107"/>
  <c r="D330" i="107"/>
  <c r="E330" i="107"/>
  <c r="F330" i="107"/>
  <c r="G330" i="107"/>
  <c r="H330" i="107"/>
  <c r="I330" i="107"/>
  <c r="J330" i="107"/>
  <c r="K330" i="107"/>
  <c r="L330" i="107"/>
  <c r="M330" i="107"/>
  <c r="N330" i="107"/>
  <c r="O330" i="107"/>
  <c r="P330" i="107"/>
  <c r="Q330" i="107"/>
  <c r="R330" i="107"/>
  <c r="S330" i="107"/>
  <c r="T330" i="107"/>
  <c r="U330" i="107"/>
  <c r="V330" i="107"/>
  <c r="W330" i="107"/>
  <c r="X330" i="107"/>
  <c r="Y330" i="107"/>
  <c r="Z330" i="107"/>
  <c r="AA330" i="107"/>
  <c r="AB330" i="107"/>
  <c r="AC330" i="107"/>
  <c r="AD330" i="107"/>
  <c r="C331" i="107"/>
  <c r="D331" i="107"/>
  <c r="E331" i="107"/>
  <c r="F331" i="107"/>
  <c r="G331" i="107"/>
  <c r="H331" i="107"/>
  <c r="I331" i="107"/>
  <c r="J331" i="107"/>
  <c r="K331" i="107"/>
  <c r="L331" i="107"/>
  <c r="M331" i="107"/>
  <c r="N331" i="107"/>
  <c r="O331" i="107"/>
  <c r="P331" i="107"/>
  <c r="Q331" i="107"/>
  <c r="R331" i="107"/>
  <c r="S331" i="107"/>
  <c r="T331" i="107"/>
  <c r="U331" i="107"/>
  <c r="V331" i="107"/>
  <c r="W331" i="107"/>
  <c r="X331" i="107"/>
  <c r="Y331" i="107"/>
  <c r="Z331" i="107"/>
  <c r="AA331" i="107"/>
  <c r="AB331" i="107"/>
  <c r="AC331" i="107"/>
  <c r="AD331" i="107"/>
  <c r="C332" i="107"/>
  <c r="D332" i="107"/>
  <c r="E332" i="107"/>
  <c r="F332" i="107"/>
  <c r="G332" i="107"/>
  <c r="H332" i="107"/>
  <c r="I332" i="107"/>
  <c r="J332" i="107"/>
  <c r="K332" i="107"/>
  <c r="L332" i="107"/>
  <c r="M332" i="107"/>
  <c r="N332" i="107"/>
  <c r="O332" i="107"/>
  <c r="P332" i="107"/>
  <c r="Q332" i="107"/>
  <c r="R332" i="107"/>
  <c r="S332" i="107"/>
  <c r="T332" i="107"/>
  <c r="U332" i="107"/>
  <c r="V332" i="107"/>
  <c r="W332" i="107"/>
  <c r="X332" i="107"/>
  <c r="Y332" i="107"/>
  <c r="Z332" i="107"/>
  <c r="AA332" i="107"/>
  <c r="AB332" i="107"/>
  <c r="AC332" i="107"/>
  <c r="AD332" i="107"/>
  <c r="C333" i="107"/>
  <c r="D333" i="107"/>
  <c r="E333" i="107"/>
  <c r="F333" i="107"/>
  <c r="G333" i="107"/>
  <c r="H333" i="107"/>
  <c r="I333" i="107"/>
  <c r="J333" i="107"/>
  <c r="K333" i="107"/>
  <c r="L333" i="107"/>
  <c r="M333" i="107"/>
  <c r="N333" i="107"/>
  <c r="O333" i="107"/>
  <c r="P333" i="107"/>
  <c r="Q333" i="107"/>
  <c r="R333" i="107"/>
  <c r="S333" i="107"/>
  <c r="T333" i="107"/>
  <c r="U333" i="107"/>
  <c r="V333" i="107"/>
  <c r="W333" i="107"/>
  <c r="X333" i="107"/>
  <c r="Y333" i="107"/>
  <c r="Z333" i="107"/>
  <c r="AA333" i="107"/>
  <c r="AB333" i="107"/>
  <c r="AC333" i="107"/>
  <c r="AD333" i="107"/>
  <c r="C334" i="107"/>
  <c r="D334" i="107"/>
  <c r="E334" i="107"/>
  <c r="F334" i="107"/>
  <c r="G334" i="107"/>
  <c r="H334" i="107"/>
  <c r="I334" i="107"/>
  <c r="J334" i="107"/>
  <c r="K334" i="107"/>
  <c r="L334" i="107"/>
  <c r="M334" i="107"/>
  <c r="N334" i="107"/>
  <c r="O334" i="107"/>
  <c r="P334" i="107"/>
  <c r="Q334" i="107"/>
  <c r="R334" i="107"/>
  <c r="S334" i="107"/>
  <c r="T334" i="107"/>
  <c r="U334" i="107"/>
  <c r="V334" i="107"/>
  <c r="W334" i="107"/>
  <c r="X334" i="107"/>
  <c r="Y334" i="107"/>
  <c r="Z334" i="107"/>
  <c r="AA334" i="107"/>
  <c r="AB334" i="107"/>
  <c r="AC334" i="107"/>
  <c r="AD334" i="107"/>
  <c r="C335" i="107"/>
  <c r="D335" i="107"/>
  <c r="E335" i="107"/>
  <c r="F335" i="107"/>
  <c r="G335" i="107"/>
  <c r="H335" i="107"/>
  <c r="I335" i="107"/>
  <c r="J335" i="107"/>
  <c r="K335" i="107"/>
  <c r="L335" i="107"/>
  <c r="M335" i="107"/>
  <c r="N335" i="107"/>
  <c r="O335" i="107"/>
  <c r="P335" i="107"/>
  <c r="Q335" i="107"/>
  <c r="R335" i="107"/>
  <c r="S335" i="107"/>
  <c r="T335" i="107"/>
  <c r="U335" i="107"/>
  <c r="V335" i="107"/>
  <c r="W335" i="107"/>
  <c r="X335" i="107"/>
  <c r="Y335" i="107"/>
  <c r="Z335" i="107"/>
  <c r="AA335" i="107"/>
  <c r="AB335" i="107"/>
  <c r="AC335" i="107"/>
  <c r="AD335" i="107"/>
  <c r="C336" i="107"/>
  <c r="D336" i="107"/>
  <c r="E336" i="107"/>
  <c r="F336" i="107"/>
  <c r="G336" i="107"/>
  <c r="H336" i="107"/>
  <c r="I336" i="107"/>
  <c r="J336" i="107"/>
  <c r="K336" i="107"/>
  <c r="L336" i="107"/>
  <c r="M336" i="107"/>
  <c r="N336" i="107"/>
  <c r="O336" i="107"/>
  <c r="P336" i="107"/>
  <c r="Q336" i="107"/>
  <c r="R336" i="107"/>
  <c r="S336" i="107"/>
  <c r="T336" i="107"/>
  <c r="U336" i="107"/>
  <c r="V336" i="107"/>
  <c r="W336" i="107"/>
  <c r="X336" i="107"/>
  <c r="Y336" i="107"/>
  <c r="Z336" i="107"/>
  <c r="AA336" i="107"/>
  <c r="AB336" i="107"/>
  <c r="AC336" i="107"/>
  <c r="AD336" i="107"/>
  <c r="C337" i="107"/>
  <c r="D337" i="107"/>
  <c r="E337" i="107"/>
  <c r="F337" i="107"/>
  <c r="G337" i="107"/>
  <c r="H337" i="107"/>
  <c r="I337" i="107"/>
  <c r="J337" i="107"/>
  <c r="K337" i="107"/>
  <c r="L337" i="107"/>
  <c r="M337" i="107"/>
  <c r="N337" i="107"/>
  <c r="O337" i="107"/>
  <c r="P337" i="107"/>
  <c r="Q337" i="107"/>
  <c r="R337" i="107"/>
  <c r="S337" i="107"/>
  <c r="T337" i="107"/>
  <c r="U337" i="107"/>
  <c r="V337" i="107"/>
  <c r="W337" i="107"/>
  <c r="X337" i="107"/>
  <c r="Y337" i="107"/>
  <c r="Z337" i="107"/>
  <c r="AA337" i="107"/>
  <c r="AB337" i="107"/>
  <c r="AC337" i="107"/>
  <c r="AD337" i="107"/>
  <c r="C338" i="107"/>
  <c r="D338" i="107"/>
  <c r="E338" i="107"/>
  <c r="F338" i="107"/>
  <c r="G338" i="107"/>
  <c r="H338" i="107"/>
  <c r="I338" i="107"/>
  <c r="J338" i="107"/>
  <c r="K338" i="107"/>
  <c r="L338" i="107"/>
  <c r="M338" i="107"/>
  <c r="N338" i="107"/>
  <c r="O338" i="107"/>
  <c r="P338" i="107"/>
  <c r="Q338" i="107"/>
  <c r="R338" i="107"/>
  <c r="S338" i="107"/>
  <c r="T338" i="107"/>
  <c r="U338" i="107"/>
  <c r="V338" i="107"/>
  <c r="W338" i="107"/>
  <c r="X338" i="107"/>
  <c r="Y338" i="107"/>
  <c r="Z338" i="107"/>
  <c r="AA338" i="107"/>
  <c r="AB338" i="107"/>
  <c r="AC338" i="107"/>
  <c r="AD338" i="107"/>
  <c r="C339" i="107"/>
  <c r="D339" i="107"/>
  <c r="E339" i="107"/>
  <c r="F339" i="107"/>
  <c r="G339" i="107"/>
  <c r="H339" i="107"/>
  <c r="I339" i="107"/>
  <c r="J339" i="107"/>
  <c r="K339" i="107"/>
  <c r="L339" i="107"/>
  <c r="M339" i="107"/>
  <c r="N339" i="107"/>
  <c r="O339" i="107"/>
  <c r="P339" i="107"/>
  <c r="Q339" i="107"/>
  <c r="R339" i="107"/>
  <c r="S339" i="107"/>
  <c r="T339" i="107"/>
  <c r="U339" i="107"/>
  <c r="V339" i="107"/>
  <c r="W339" i="107"/>
  <c r="X339" i="107"/>
  <c r="Y339" i="107"/>
  <c r="Z339" i="107"/>
  <c r="AA339" i="107"/>
  <c r="AB339" i="107"/>
  <c r="AC339" i="107"/>
  <c r="AD339" i="107"/>
  <c r="C340" i="107"/>
  <c r="D340" i="107"/>
  <c r="E340" i="107"/>
  <c r="F340" i="107"/>
  <c r="G340" i="107"/>
  <c r="H340" i="107"/>
  <c r="I340" i="107"/>
  <c r="J340" i="107"/>
  <c r="K340" i="107"/>
  <c r="L340" i="107"/>
  <c r="M340" i="107"/>
  <c r="N340" i="107"/>
  <c r="O340" i="107"/>
  <c r="P340" i="107"/>
  <c r="Q340" i="107"/>
  <c r="R340" i="107"/>
  <c r="S340" i="107"/>
  <c r="T340" i="107"/>
  <c r="U340" i="107"/>
  <c r="V340" i="107"/>
  <c r="W340" i="107"/>
  <c r="X340" i="107"/>
  <c r="Y340" i="107"/>
  <c r="Z340" i="107"/>
  <c r="AA340" i="107"/>
  <c r="AB340" i="107"/>
  <c r="AC340" i="107"/>
  <c r="AD340" i="107"/>
  <c r="C341" i="107"/>
  <c r="D341" i="107"/>
  <c r="E341" i="107"/>
  <c r="F341" i="107"/>
  <c r="G341" i="107"/>
  <c r="H341" i="107"/>
  <c r="I341" i="107"/>
  <c r="J341" i="107"/>
  <c r="K341" i="107"/>
  <c r="L341" i="107"/>
  <c r="M341" i="107"/>
  <c r="N341" i="107"/>
  <c r="O341" i="107"/>
  <c r="P341" i="107"/>
  <c r="Q341" i="107"/>
  <c r="R341" i="107"/>
  <c r="S341" i="107"/>
  <c r="T341" i="107"/>
  <c r="U341" i="107"/>
  <c r="V341" i="107"/>
  <c r="W341" i="107"/>
  <c r="X341" i="107"/>
  <c r="Y341" i="107"/>
  <c r="Z341" i="107"/>
  <c r="AA341" i="107"/>
  <c r="AB341" i="107"/>
  <c r="AC341" i="107"/>
  <c r="AD341" i="107"/>
  <c r="C342" i="107"/>
  <c r="D342" i="107"/>
  <c r="E342" i="107"/>
  <c r="F342" i="107"/>
  <c r="G342" i="107"/>
  <c r="H342" i="107"/>
  <c r="I342" i="107"/>
  <c r="J342" i="107"/>
  <c r="K342" i="107"/>
  <c r="L342" i="107"/>
  <c r="M342" i="107"/>
  <c r="N342" i="107"/>
  <c r="O342" i="107"/>
  <c r="P342" i="107"/>
  <c r="Q342" i="107"/>
  <c r="R342" i="107"/>
  <c r="S342" i="107"/>
  <c r="T342" i="107"/>
  <c r="U342" i="107"/>
  <c r="V342" i="107"/>
  <c r="W342" i="107"/>
  <c r="X342" i="107"/>
  <c r="Y342" i="107"/>
  <c r="Z342" i="107"/>
  <c r="AA342" i="107"/>
  <c r="AB342" i="107"/>
  <c r="AC342" i="107"/>
  <c r="AD342" i="107"/>
  <c r="C343" i="107"/>
  <c r="D343" i="107"/>
  <c r="E343" i="107"/>
  <c r="F343" i="107"/>
  <c r="G343" i="107"/>
  <c r="H343" i="107"/>
  <c r="I343" i="107"/>
  <c r="J343" i="107"/>
  <c r="K343" i="107"/>
  <c r="L343" i="107"/>
  <c r="M343" i="107"/>
  <c r="N343" i="107"/>
  <c r="O343" i="107"/>
  <c r="P343" i="107"/>
  <c r="Q343" i="107"/>
  <c r="R343" i="107"/>
  <c r="S343" i="107"/>
  <c r="T343" i="107"/>
  <c r="U343" i="107"/>
  <c r="V343" i="107"/>
  <c r="W343" i="107"/>
  <c r="X343" i="107"/>
  <c r="Y343" i="107"/>
  <c r="Z343" i="107"/>
  <c r="AA343" i="107"/>
  <c r="AB343" i="107"/>
  <c r="AC343" i="107"/>
  <c r="AD343" i="107"/>
  <c r="C344" i="107"/>
  <c r="D344" i="107"/>
  <c r="E344" i="107"/>
  <c r="F344" i="107"/>
  <c r="G344" i="107"/>
  <c r="H344" i="107"/>
  <c r="I344" i="107"/>
  <c r="J344" i="107"/>
  <c r="K344" i="107"/>
  <c r="L344" i="107"/>
  <c r="M344" i="107"/>
  <c r="N344" i="107"/>
  <c r="O344" i="107"/>
  <c r="P344" i="107"/>
  <c r="Q344" i="107"/>
  <c r="R344" i="107"/>
  <c r="S344" i="107"/>
  <c r="T344" i="107"/>
  <c r="U344" i="107"/>
  <c r="V344" i="107"/>
  <c r="W344" i="107"/>
  <c r="X344" i="107"/>
  <c r="Y344" i="107"/>
  <c r="Z344" i="107"/>
  <c r="AA344" i="107"/>
  <c r="AB344" i="107"/>
  <c r="AC344" i="107"/>
  <c r="AD344" i="107"/>
  <c r="C345" i="107"/>
  <c r="D345" i="107"/>
  <c r="E345" i="107"/>
  <c r="F345" i="107"/>
  <c r="G345" i="107"/>
  <c r="H345" i="107"/>
  <c r="I345" i="107"/>
  <c r="J345" i="107"/>
  <c r="K345" i="107"/>
  <c r="L345" i="107"/>
  <c r="M345" i="107"/>
  <c r="N345" i="107"/>
  <c r="O345" i="107"/>
  <c r="P345" i="107"/>
  <c r="Q345" i="107"/>
  <c r="R345" i="107"/>
  <c r="S345" i="107"/>
  <c r="T345" i="107"/>
  <c r="U345" i="107"/>
  <c r="V345" i="107"/>
  <c r="W345" i="107"/>
  <c r="X345" i="107"/>
  <c r="Y345" i="107"/>
  <c r="Z345" i="107"/>
  <c r="AA345" i="107"/>
  <c r="AB345" i="107"/>
  <c r="AC345" i="107"/>
  <c r="AD345" i="107"/>
  <c r="C346" i="107"/>
  <c r="D346" i="107"/>
  <c r="E346" i="107"/>
  <c r="F346" i="107"/>
  <c r="G346" i="107"/>
  <c r="H346" i="107"/>
  <c r="I346" i="107"/>
  <c r="J346" i="107"/>
  <c r="K346" i="107"/>
  <c r="L346" i="107"/>
  <c r="M346" i="107"/>
  <c r="N346" i="107"/>
  <c r="O346" i="107"/>
  <c r="P346" i="107"/>
  <c r="Q346" i="107"/>
  <c r="R346" i="107"/>
  <c r="S346" i="107"/>
  <c r="T346" i="107"/>
  <c r="U346" i="107"/>
  <c r="V346" i="107"/>
  <c r="W346" i="107"/>
  <c r="X346" i="107"/>
  <c r="Y346" i="107"/>
  <c r="Z346" i="107"/>
  <c r="AA346" i="107"/>
  <c r="AB346" i="107"/>
  <c r="AC346" i="107"/>
  <c r="AD346" i="107"/>
  <c r="C347" i="107"/>
  <c r="D347" i="107"/>
  <c r="E347" i="107"/>
  <c r="F347" i="107"/>
  <c r="G347" i="107"/>
  <c r="H347" i="107"/>
  <c r="I347" i="107"/>
  <c r="J347" i="107"/>
  <c r="K347" i="107"/>
  <c r="L347" i="107"/>
  <c r="M347" i="107"/>
  <c r="N347" i="107"/>
  <c r="O347" i="107"/>
  <c r="P347" i="107"/>
  <c r="Q347" i="107"/>
  <c r="R347" i="107"/>
  <c r="S347" i="107"/>
  <c r="T347" i="107"/>
  <c r="U347" i="107"/>
  <c r="V347" i="107"/>
  <c r="W347" i="107"/>
  <c r="X347" i="107"/>
  <c r="Y347" i="107"/>
  <c r="Z347" i="107"/>
  <c r="AA347" i="107"/>
  <c r="AB347" i="107"/>
  <c r="AC347" i="107"/>
  <c r="AD347" i="107"/>
  <c r="C348" i="107"/>
  <c r="D348" i="107"/>
  <c r="E348" i="107"/>
  <c r="F348" i="107"/>
  <c r="G348" i="107"/>
  <c r="H348" i="107"/>
  <c r="I348" i="107"/>
  <c r="J348" i="107"/>
  <c r="K348" i="107"/>
  <c r="L348" i="107"/>
  <c r="M348" i="107"/>
  <c r="N348" i="107"/>
  <c r="O348" i="107"/>
  <c r="P348" i="107"/>
  <c r="Q348" i="107"/>
  <c r="R348" i="107"/>
  <c r="S348" i="107"/>
  <c r="T348" i="107"/>
  <c r="U348" i="107"/>
  <c r="V348" i="107"/>
  <c r="W348" i="107"/>
  <c r="X348" i="107"/>
  <c r="Y348" i="107"/>
  <c r="Z348" i="107"/>
  <c r="AA348" i="107"/>
  <c r="AB348" i="107"/>
  <c r="AC348" i="107"/>
  <c r="AD348" i="107"/>
  <c r="C349" i="107"/>
  <c r="D349" i="107"/>
  <c r="E349" i="107"/>
  <c r="F349" i="107"/>
  <c r="G349" i="107"/>
  <c r="H349" i="107"/>
  <c r="I349" i="107"/>
  <c r="J349" i="107"/>
  <c r="K349" i="107"/>
  <c r="L349" i="107"/>
  <c r="M349" i="107"/>
  <c r="N349" i="107"/>
  <c r="O349" i="107"/>
  <c r="P349" i="107"/>
  <c r="Q349" i="107"/>
  <c r="R349" i="107"/>
  <c r="S349" i="107"/>
  <c r="T349" i="107"/>
  <c r="U349" i="107"/>
  <c r="V349" i="107"/>
  <c r="W349" i="107"/>
  <c r="X349" i="107"/>
  <c r="Y349" i="107"/>
  <c r="Z349" i="107"/>
  <c r="AA349" i="107"/>
  <c r="AB349" i="107"/>
  <c r="AC349" i="107"/>
  <c r="AD349" i="107"/>
  <c r="C350" i="107"/>
  <c r="D350" i="107"/>
  <c r="E350" i="107"/>
  <c r="F350" i="107"/>
  <c r="G350" i="107"/>
  <c r="H350" i="107"/>
  <c r="I350" i="107"/>
  <c r="J350" i="107"/>
  <c r="K350" i="107"/>
  <c r="L350" i="107"/>
  <c r="M350" i="107"/>
  <c r="N350" i="107"/>
  <c r="O350" i="107"/>
  <c r="P350" i="107"/>
  <c r="Q350" i="107"/>
  <c r="R350" i="107"/>
  <c r="S350" i="107"/>
  <c r="T350" i="107"/>
  <c r="U350" i="107"/>
  <c r="V350" i="107"/>
  <c r="W350" i="107"/>
  <c r="X350" i="107"/>
  <c r="Y350" i="107"/>
  <c r="Z350" i="107"/>
  <c r="AA350" i="107"/>
  <c r="AB350" i="107"/>
  <c r="AC350" i="107"/>
  <c r="AD350" i="107"/>
  <c r="C351" i="107"/>
  <c r="D351" i="107"/>
  <c r="E351" i="107"/>
  <c r="F351" i="107"/>
  <c r="G351" i="107"/>
  <c r="H351" i="107"/>
  <c r="I351" i="107"/>
  <c r="J351" i="107"/>
  <c r="K351" i="107"/>
  <c r="L351" i="107"/>
  <c r="M351" i="107"/>
  <c r="N351" i="107"/>
  <c r="O351" i="107"/>
  <c r="P351" i="107"/>
  <c r="Q351" i="107"/>
  <c r="R351" i="107"/>
  <c r="S351" i="107"/>
  <c r="T351" i="107"/>
  <c r="U351" i="107"/>
  <c r="V351" i="107"/>
  <c r="W351" i="107"/>
  <c r="X351" i="107"/>
  <c r="Y351" i="107"/>
  <c r="Z351" i="107"/>
  <c r="AA351" i="107"/>
  <c r="AB351" i="107"/>
  <c r="AC351" i="107"/>
  <c r="AD351" i="107"/>
  <c r="C352" i="107"/>
  <c r="D352" i="107"/>
  <c r="E352" i="107"/>
  <c r="F352" i="107"/>
  <c r="G352" i="107"/>
  <c r="H352" i="107"/>
  <c r="I352" i="107"/>
  <c r="J352" i="107"/>
  <c r="K352" i="107"/>
  <c r="L352" i="107"/>
  <c r="M352" i="107"/>
  <c r="N352" i="107"/>
  <c r="O352" i="107"/>
  <c r="P352" i="107"/>
  <c r="Q352" i="107"/>
  <c r="R352" i="107"/>
  <c r="S352" i="107"/>
  <c r="T352" i="107"/>
  <c r="U352" i="107"/>
  <c r="V352" i="107"/>
  <c r="W352" i="107"/>
  <c r="X352" i="107"/>
  <c r="Y352" i="107"/>
  <c r="Z352" i="107"/>
  <c r="AA352" i="107"/>
  <c r="AB352" i="107"/>
  <c r="AC352" i="107"/>
  <c r="AD352" i="107"/>
  <c r="C353" i="107"/>
  <c r="D353" i="107"/>
  <c r="E353" i="107"/>
  <c r="F353" i="107"/>
  <c r="G353" i="107"/>
  <c r="H353" i="107"/>
  <c r="I353" i="107"/>
  <c r="J353" i="107"/>
  <c r="K353" i="107"/>
  <c r="L353" i="107"/>
  <c r="M353" i="107"/>
  <c r="N353" i="107"/>
  <c r="O353" i="107"/>
  <c r="P353" i="107"/>
  <c r="Q353" i="107"/>
  <c r="R353" i="107"/>
  <c r="S353" i="107"/>
  <c r="T353" i="107"/>
  <c r="U353" i="107"/>
  <c r="V353" i="107"/>
  <c r="W353" i="107"/>
  <c r="X353" i="107"/>
  <c r="Y353" i="107"/>
  <c r="Z353" i="107"/>
  <c r="AA353" i="107"/>
  <c r="AB353" i="107"/>
  <c r="AC353" i="107"/>
  <c r="AD353" i="107"/>
  <c r="C354" i="107"/>
  <c r="D354" i="107"/>
  <c r="E354" i="107"/>
  <c r="F354" i="107"/>
  <c r="G354" i="107"/>
  <c r="H354" i="107"/>
  <c r="I354" i="107"/>
  <c r="J354" i="107"/>
  <c r="K354" i="107"/>
  <c r="L354" i="107"/>
  <c r="M354" i="107"/>
  <c r="N354" i="107"/>
  <c r="O354" i="107"/>
  <c r="P354" i="107"/>
  <c r="Q354" i="107"/>
  <c r="R354" i="107"/>
  <c r="S354" i="107"/>
  <c r="T354" i="107"/>
  <c r="U354" i="107"/>
  <c r="V354" i="107"/>
  <c r="W354" i="107"/>
  <c r="X354" i="107"/>
  <c r="Y354" i="107"/>
  <c r="Z354" i="107"/>
  <c r="AA354" i="107"/>
  <c r="AB354" i="107"/>
  <c r="AC354" i="107"/>
  <c r="AD354" i="107"/>
  <c r="C355" i="107"/>
  <c r="D355" i="107"/>
  <c r="E355" i="107"/>
  <c r="F355" i="107"/>
  <c r="G355" i="107"/>
  <c r="H355" i="107"/>
  <c r="I355" i="107"/>
  <c r="J355" i="107"/>
  <c r="K355" i="107"/>
  <c r="L355" i="107"/>
  <c r="M355" i="107"/>
  <c r="N355" i="107"/>
  <c r="O355" i="107"/>
  <c r="P355" i="107"/>
  <c r="Q355" i="107"/>
  <c r="R355" i="107"/>
  <c r="S355" i="107"/>
  <c r="T355" i="107"/>
  <c r="U355" i="107"/>
  <c r="V355" i="107"/>
  <c r="W355" i="107"/>
  <c r="X355" i="107"/>
  <c r="Y355" i="107"/>
  <c r="Z355" i="107"/>
  <c r="AA355" i="107"/>
  <c r="AB355" i="107"/>
  <c r="AC355" i="107"/>
  <c r="AD355" i="107"/>
  <c r="C356" i="107"/>
  <c r="D356" i="107"/>
  <c r="E356" i="107"/>
  <c r="F356" i="107"/>
  <c r="G356" i="107"/>
  <c r="H356" i="107"/>
  <c r="I356" i="107"/>
  <c r="J356" i="107"/>
  <c r="K356" i="107"/>
  <c r="L356" i="107"/>
  <c r="M356" i="107"/>
  <c r="N356" i="107"/>
  <c r="O356" i="107"/>
  <c r="P356" i="107"/>
  <c r="Q356" i="107"/>
  <c r="R356" i="107"/>
  <c r="S356" i="107"/>
  <c r="T356" i="107"/>
  <c r="U356" i="107"/>
  <c r="V356" i="107"/>
  <c r="W356" i="107"/>
  <c r="X356" i="107"/>
  <c r="Y356" i="107"/>
  <c r="Z356" i="107"/>
  <c r="AA356" i="107"/>
  <c r="AB356" i="107"/>
  <c r="AC356" i="107"/>
  <c r="AD356" i="107"/>
  <c r="C357" i="107"/>
  <c r="D357" i="107"/>
  <c r="E357" i="107"/>
  <c r="F357" i="107"/>
  <c r="G357" i="107"/>
  <c r="H357" i="107"/>
  <c r="I357" i="107"/>
  <c r="J357" i="107"/>
  <c r="K357" i="107"/>
  <c r="L357" i="107"/>
  <c r="M357" i="107"/>
  <c r="N357" i="107"/>
  <c r="O357" i="107"/>
  <c r="P357" i="107"/>
  <c r="Q357" i="107"/>
  <c r="R357" i="107"/>
  <c r="S357" i="107"/>
  <c r="T357" i="107"/>
  <c r="U357" i="107"/>
  <c r="V357" i="107"/>
  <c r="W357" i="107"/>
  <c r="X357" i="107"/>
  <c r="Y357" i="107"/>
  <c r="Z357" i="107"/>
  <c r="AA357" i="107"/>
  <c r="AB357" i="107"/>
  <c r="AC357" i="107"/>
  <c r="AD357" i="107"/>
  <c r="C358" i="107"/>
  <c r="D358" i="107"/>
  <c r="E358" i="107"/>
  <c r="F358" i="107"/>
  <c r="G358" i="107"/>
  <c r="H358" i="107"/>
  <c r="I358" i="107"/>
  <c r="J358" i="107"/>
  <c r="K358" i="107"/>
  <c r="L358" i="107"/>
  <c r="M358" i="107"/>
  <c r="N358" i="107"/>
  <c r="O358" i="107"/>
  <c r="P358" i="107"/>
  <c r="Q358" i="107"/>
  <c r="R358" i="107"/>
  <c r="S358" i="107"/>
  <c r="T358" i="107"/>
  <c r="U358" i="107"/>
  <c r="V358" i="107"/>
  <c r="W358" i="107"/>
  <c r="X358" i="107"/>
  <c r="Y358" i="107"/>
  <c r="Z358" i="107"/>
  <c r="AA358" i="107"/>
  <c r="AB358" i="107"/>
  <c r="AC358" i="107"/>
  <c r="AD358" i="107"/>
  <c r="C359" i="107"/>
  <c r="D359" i="107"/>
  <c r="E359" i="107"/>
  <c r="F359" i="107"/>
  <c r="G359" i="107"/>
  <c r="H359" i="107"/>
  <c r="I359" i="107"/>
  <c r="J359" i="107"/>
  <c r="K359" i="107"/>
  <c r="L359" i="107"/>
  <c r="M359" i="107"/>
  <c r="N359" i="107"/>
  <c r="O359" i="107"/>
  <c r="P359" i="107"/>
  <c r="Q359" i="107"/>
  <c r="R359" i="107"/>
  <c r="S359" i="107"/>
  <c r="T359" i="107"/>
  <c r="U359" i="107"/>
  <c r="V359" i="107"/>
  <c r="W359" i="107"/>
  <c r="X359" i="107"/>
  <c r="Y359" i="107"/>
  <c r="Z359" i="107"/>
  <c r="AA359" i="107"/>
  <c r="AB359" i="107"/>
  <c r="AC359" i="107"/>
  <c r="AD359" i="107"/>
  <c r="C360" i="107"/>
  <c r="D360" i="107"/>
  <c r="E360" i="107"/>
  <c r="F360" i="107"/>
  <c r="G360" i="107"/>
  <c r="H360" i="107"/>
  <c r="I360" i="107"/>
  <c r="J360" i="107"/>
  <c r="K360" i="107"/>
  <c r="L360" i="107"/>
  <c r="M360" i="107"/>
  <c r="N360" i="107"/>
  <c r="O360" i="107"/>
  <c r="P360" i="107"/>
  <c r="Q360" i="107"/>
  <c r="R360" i="107"/>
  <c r="S360" i="107"/>
  <c r="T360" i="107"/>
  <c r="U360" i="107"/>
  <c r="V360" i="107"/>
  <c r="W360" i="107"/>
  <c r="X360" i="107"/>
  <c r="Y360" i="107"/>
  <c r="Z360" i="107"/>
  <c r="AA360" i="107"/>
  <c r="AB360" i="107"/>
  <c r="AC360" i="107"/>
  <c r="AD360" i="107"/>
  <c r="C361" i="107"/>
  <c r="D361" i="107"/>
  <c r="E361" i="107"/>
  <c r="F361" i="107"/>
  <c r="G361" i="107"/>
  <c r="H361" i="107"/>
  <c r="I361" i="107"/>
  <c r="J361" i="107"/>
  <c r="K361" i="107"/>
  <c r="L361" i="107"/>
  <c r="M361" i="107"/>
  <c r="N361" i="107"/>
  <c r="O361" i="107"/>
  <c r="P361" i="107"/>
  <c r="Q361" i="107"/>
  <c r="R361" i="107"/>
  <c r="S361" i="107"/>
  <c r="T361" i="107"/>
  <c r="U361" i="107"/>
  <c r="V361" i="107"/>
  <c r="W361" i="107"/>
  <c r="X361" i="107"/>
  <c r="Y361" i="107"/>
  <c r="Z361" i="107"/>
  <c r="AA361" i="107"/>
  <c r="AB361" i="107"/>
  <c r="AC361" i="107"/>
  <c r="AD361" i="107"/>
  <c r="C362" i="107"/>
  <c r="D362" i="107"/>
  <c r="E362" i="107"/>
  <c r="F362" i="107"/>
  <c r="G362" i="107"/>
  <c r="H362" i="107"/>
  <c r="I362" i="107"/>
  <c r="J362" i="107"/>
  <c r="K362" i="107"/>
  <c r="L362" i="107"/>
  <c r="M362" i="107"/>
  <c r="N362" i="107"/>
  <c r="O362" i="107"/>
  <c r="P362" i="107"/>
  <c r="Q362" i="107"/>
  <c r="R362" i="107"/>
  <c r="S362" i="107"/>
  <c r="T362" i="107"/>
  <c r="U362" i="107"/>
  <c r="V362" i="107"/>
  <c r="W362" i="107"/>
  <c r="X362" i="107"/>
  <c r="Y362" i="107"/>
  <c r="Z362" i="107"/>
  <c r="AA362" i="107"/>
  <c r="AB362" i="107"/>
  <c r="AC362" i="107"/>
  <c r="AD362" i="107"/>
  <c r="C363" i="107"/>
  <c r="D363" i="107"/>
  <c r="E363" i="107"/>
  <c r="F363" i="107"/>
  <c r="G363" i="107"/>
  <c r="H363" i="107"/>
  <c r="I363" i="107"/>
  <c r="J363" i="107"/>
  <c r="K363" i="107"/>
  <c r="L363" i="107"/>
  <c r="M363" i="107"/>
  <c r="N363" i="107"/>
  <c r="O363" i="107"/>
  <c r="P363" i="107"/>
  <c r="Q363" i="107"/>
  <c r="R363" i="107"/>
  <c r="S363" i="107"/>
  <c r="T363" i="107"/>
  <c r="U363" i="107"/>
  <c r="V363" i="107"/>
  <c r="W363" i="107"/>
  <c r="X363" i="107"/>
  <c r="Y363" i="107"/>
  <c r="Z363" i="107"/>
  <c r="AA363" i="107"/>
  <c r="AB363" i="107"/>
  <c r="AC363" i="107"/>
  <c r="AD363" i="107"/>
  <c r="C364" i="107"/>
  <c r="D364" i="107"/>
  <c r="E364" i="107"/>
  <c r="F364" i="107"/>
  <c r="G364" i="107"/>
  <c r="H364" i="107"/>
  <c r="I364" i="107"/>
  <c r="J364" i="107"/>
  <c r="K364" i="107"/>
  <c r="L364" i="107"/>
  <c r="M364" i="107"/>
  <c r="N364" i="107"/>
  <c r="O364" i="107"/>
  <c r="P364" i="107"/>
  <c r="Q364" i="107"/>
  <c r="R364" i="107"/>
  <c r="S364" i="107"/>
  <c r="T364" i="107"/>
  <c r="U364" i="107"/>
  <c r="V364" i="107"/>
  <c r="W364" i="107"/>
  <c r="X364" i="107"/>
  <c r="Y364" i="107"/>
  <c r="Z364" i="107"/>
  <c r="AA364" i="107"/>
  <c r="AB364" i="107"/>
  <c r="AC364" i="107"/>
  <c r="AD364" i="107"/>
  <c r="C365" i="107"/>
  <c r="D365" i="107"/>
  <c r="E365" i="107"/>
  <c r="F365" i="107"/>
  <c r="G365" i="107"/>
  <c r="H365" i="107"/>
  <c r="I365" i="107"/>
  <c r="J365" i="107"/>
  <c r="K365" i="107"/>
  <c r="L365" i="107"/>
  <c r="M365" i="107"/>
  <c r="N365" i="107"/>
  <c r="O365" i="107"/>
  <c r="P365" i="107"/>
  <c r="Q365" i="107"/>
  <c r="R365" i="107"/>
  <c r="S365" i="107"/>
  <c r="T365" i="107"/>
  <c r="U365" i="107"/>
  <c r="V365" i="107"/>
  <c r="W365" i="107"/>
  <c r="X365" i="107"/>
  <c r="Y365" i="107"/>
  <c r="Z365" i="107"/>
  <c r="AA365" i="107"/>
  <c r="AB365" i="107"/>
  <c r="AC365" i="107"/>
  <c r="AD365" i="107"/>
  <c r="C366" i="107"/>
  <c r="D366" i="107"/>
  <c r="E366" i="107"/>
  <c r="F366" i="107"/>
  <c r="G366" i="107"/>
  <c r="H366" i="107"/>
  <c r="I366" i="107"/>
  <c r="J366" i="107"/>
  <c r="K366" i="107"/>
  <c r="L366" i="107"/>
  <c r="M366" i="107"/>
  <c r="N366" i="107"/>
  <c r="O366" i="107"/>
  <c r="P366" i="107"/>
  <c r="Q366" i="107"/>
  <c r="R366" i="107"/>
  <c r="S366" i="107"/>
  <c r="T366" i="107"/>
  <c r="U366" i="107"/>
  <c r="V366" i="107"/>
  <c r="W366" i="107"/>
  <c r="X366" i="107"/>
  <c r="Y366" i="107"/>
  <c r="Z366" i="107"/>
  <c r="AA366" i="107"/>
  <c r="AB366" i="107"/>
  <c r="AC366" i="107"/>
  <c r="AD366" i="107"/>
  <c r="C367" i="107"/>
  <c r="D367" i="107"/>
  <c r="E367" i="107"/>
  <c r="F367" i="107"/>
  <c r="G367" i="107"/>
  <c r="H367" i="107"/>
  <c r="I367" i="107"/>
  <c r="J367" i="107"/>
  <c r="K367" i="107"/>
  <c r="L367" i="107"/>
  <c r="M367" i="107"/>
  <c r="N367" i="107"/>
  <c r="O367" i="107"/>
  <c r="P367" i="107"/>
  <c r="Q367" i="107"/>
  <c r="R367" i="107"/>
  <c r="S367" i="107"/>
  <c r="T367" i="107"/>
  <c r="U367" i="107"/>
  <c r="V367" i="107"/>
  <c r="W367" i="107"/>
  <c r="X367" i="107"/>
  <c r="Y367" i="107"/>
  <c r="Z367" i="107"/>
  <c r="AA367" i="107"/>
  <c r="AB367" i="107"/>
  <c r="AC367" i="107"/>
  <c r="AD367" i="107"/>
  <c r="C368" i="107"/>
  <c r="D368" i="107"/>
  <c r="E368" i="107"/>
  <c r="F368" i="107"/>
  <c r="G368" i="107"/>
  <c r="H368" i="107"/>
  <c r="I368" i="107"/>
  <c r="J368" i="107"/>
  <c r="K368" i="107"/>
  <c r="L368" i="107"/>
  <c r="M368" i="107"/>
  <c r="N368" i="107"/>
  <c r="O368" i="107"/>
  <c r="P368" i="107"/>
  <c r="Q368" i="107"/>
  <c r="R368" i="107"/>
  <c r="S368" i="107"/>
  <c r="T368" i="107"/>
  <c r="U368" i="107"/>
  <c r="V368" i="107"/>
  <c r="W368" i="107"/>
  <c r="X368" i="107"/>
  <c r="Y368" i="107"/>
  <c r="Z368" i="107"/>
  <c r="AA368" i="107"/>
  <c r="AB368" i="107"/>
  <c r="AC368" i="107"/>
  <c r="AD368" i="107"/>
  <c r="C369" i="107"/>
  <c r="D369" i="107"/>
  <c r="E369" i="107"/>
  <c r="F369" i="107"/>
  <c r="G369" i="107"/>
  <c r="H369" i="107"/>
  <c r="I369" i="107"/>
  <c r="J369" i="107"/>
  <c r="K369" i="107"/>
  <c r="L369" i="107"/>
  <c r="M369" i="107"/>
  <c r="N369" i="107"/>
  <c r="O369" i="107"/>
  <c r="P369" i="107"/>
  <c r="Q369" i="107"/>
  <c r="R369" i="107"/>
  <c r="S369" i="107"/>
  <c r="T369" i="107"/>
  <c r="U369" i="107"/>
  <c r="V369" i="107"/>
  <c r="W369" i="107"/>
  <c r="X369" i="107"/>
  <c r="Y369" i="107"/>
  <c r="Z369" i="107"/>
  <c r="AA369" i="107"/>
  <c r="AB369" i="107"/>
  <c r="AC369" i="107"/>
  <c r="AD369" i="107"/>
  <c r="C370" i="107"/>
  <c r="D370" i="107"/>
  <c r="E370" i="107"/>
  <c r="F370" i="107"/>
  <c r="G370" i="107"/>
  <c r="H370" i="107"/>
  <c r="I370" i="107"/>
  <c r="J370" i="107"/>
  <c r="K370" i="107"/>
  <c r="L370" i="107"/>
  <c r="M370" i="107"/>
  <c r="N370" i="107"/>
  <c r="O370" i="107"/>
  <c r="P370" i="107"/>
  <c r="Q370" i="107"/>
  <c r="R370" i="107"/>
  <c r="S370" i="107"/>
  <c r="T370" i="107"/>
  <c r="U370" i="107"/>
  <c r="V370" i="107"/>
  <c r="W370" i="107"/>
  <c r="X370" i="107"/>
  <c r="Y370" i="107"/>
  <c r="Z370" i="107"/>
  <c r="AA370" i="107"/>
  <c r="AB370" i="107"/>
  <c r="AC370" i="107"/>
  <c r="AD370" i="107"/>
  <c r="C371" i="107"/>
  <c r="D371" i="107"/>
  <c r="E371" i="107"/>
  <c r="F371" i="107"/>
  <c r="G371" i="107"/>
  <c r="H371" i="107"/>
  <c r="I371" i="107"/>
  <c r="J371" i="107"/>
  <c r="K371" i="107"/>
  <c r="L371" i="107"/>
  <c r="M371" i="107"/>
  <c r="N371" i="107"/>
  <c r="O371" i="107"/>
  <c r="P371" i="107"/>
  <c r="Q371" i="107"/>
  <c r="R371" i="107"/>
  <c r="S371" i="107"/>
  <c r="T371" i="107"/>
  <c r="U371" i="107"/>
  <c r="V371" i="107"/>
  <c r="W371" i="107"/>
  <c r="X371" i="107"/>
  <c r="Y371" i="107"/>
  <c r="Z371" i="107"/>
  <c r="AA371" i="107"/>
  <c r="AB371" i="107"/>
  <c r="AC371" i="107"/>
  <c r="AD371" i="107"/>
  <c r="C372" i="107"/>
  <c r="D372" i="107"/>
  <c r="E372" i="107"/>
  <c r="F372" i="107"/>
  <c r="G372" i="107"/>
  <c r="H372" i="107"/>
  <c r="I372" i="107"/>
  <c r="J372" i="107"/>
  <c r="K372" i="107"/>
  <c r="L372" i="107"/>
  <c r="M372" i="107"/>
  <c r="N372" i="107"/>
  <c r="O372" i="107"/>
  <c r="P372" i="107"/>
  <c r="Q372" i="107"/>
  <c r="R372" i="107"/>
  <c r="S372" i="107"/>
  <c r="T372" i="107"/>
  <c r="U372" i="107"/>
  <c r="V372" i="107"/>
  <c r="W372" i="107"/>
  <c r="X372" i="107"/>
  <c r="Y372" i="107"/>
  <c r="Z372" i="107"/>
  <c r="AA372" i="107"/>
  <c r="AB372" i="107"/>
  <c r="AC372" i="107"/>
  <c r="AD372" i="107"/>
  <c r="C373" i="107"/>
  <c r="D373" i="107"/>
  <c r="E373" i="107"/>
  <c r="F373" i="107"/>
  <c r="G373" i="107"/>
  <c r="H373" i="107"/>
  <c r="I373" i="107"/>
  <c r="J373" i="107"/>
  <c r="K373" i="107"/>
  <c r="L373" i="107"/>
  <c r="M373" i="107"/>
  <c r="N373" i="107"/>
  <c r="O373" i="107"/>
  <c r="P373" i="107"/>
  <c r="Q373" i="107"/>
  <c r="R373" i="107"/>
  <c r="S373" i="107"/>
  <c r="T373" i="107"/>
  <c r="U373" i="107"/>
  <c r="V373" i="107"/>
  <c r="W373" i="107"/>
  <c r="X373" i="107"/>
  <c r="Y373" i="107"/>
  <c r="Z373" i="107"/>
  <c r="AA373" i="107"/>
  <c r="AB373" i="107"/>
  <c r="AC373" i="107"/>
  <c r="AD373" i="107"/>
  <c r="C374" i="107"/>
  <c r="D374" i="107"/>
  <c r="E374" i="107"/>
  <c r="F374" i="107"/>
  <c r="G374" i="107"/>
  <c r="H374" i="107"/>
  <c r="I374" i="107"/>
  <c r="J374" i="107"/>
  <c r="K374" i="107"/>
  <c r="L374" i="107"/>
  <c r="M374" i="107"/>
  <c r="N374" i="107"/>
  <c r="O374" i="107"/>
  <c r="P374" i="107"/>
  <c r="Q374" i="107"/>
  <c r="R374" i="107"/>
  <c r="S374" i="107"/>
  <c r="T374" i="107"/>
  <c r="U374" i="107"/>
  <c r="V374" i="107"/>
  <c r="W374" i="107"/>
  <c r="X374" i="107"/>
  <c r="Y374" i="107"/>
  <c r="Z374" i="107"/>
  <c r="AA374" i="107"/>
  <c r="AB374" i="107"/>
  <c r="AC374" i="107"/>
  <c r="AD374" i="107"/>
  <c r="C375" i="107"/>
  <c r="D375" i="107"/>
  <c r="E375" i="107"/>
  <c r="F375" i="107"/>
  <c r="G375" i="107"/>
  <c r="H375" i="107"/>
  <c r="I375" i="107"/>
  <c r="J375" i="107"/>
  <c r="K375" i="107"/>
  <c r="L375" i="107"/>
  <c r="M375" i="107"/>
  <c r="N375" i="107"/>
  <c r="O375" i="107"/>
  <c r="P375" i="107"/>
  <c r="Q375" i="107"/>
  <c r="R375" i="107"/>
  <c r="S375" i="107"/>
  <c r="T375" i="107"/>
  <c r="U375" i="107"/>
  <c r="V375" i="107"/>
  <c r="W375" i="107"/>
  <c r="X375" i="107"/>
  <c r="Y375" i="107"/>
  <c r="Z375" i="107"/>
  <c r="AA375" i="107"/>
  <c r="AB375" i="107"/>
  <c r="AC375" i="107"/>
  <c r="AD375" i="107"/>
  <c r="C376" i="107"/>
  <c r="D376" i="107"/>
  <c r="E376" i="107"/>
  <c r="F376" i="107"/>
  <c r="G376" i="107"/>
  <c r="H376" i="107"/>
  <c r="I376" i="107"/>
  <c r="J376" i="107"/>
  <c r="K376" i="107"/>
  <c r="L376" i="107"/>
  <c r="M376" i="107"/>
  <c r="N376" i="107"/>
  <c r="O376" i="107"/>
  <c r="P376" i="107"/>
  <c r="Q376" i="107"/>
  <c r="R376" i="107"/>
  <c r="S376" i="107"/>
  <c r="T376" i="107"/>
  <c r="U376" i="107"/>
  <c r="V376" i="107"/>
  <c r="W376" i="107"/>
  <c r="X376" i="107"/>
  <c r="Y376" i="107"/>
  <c r="Z376" i="107"/>
  <c r="AA376" i="107"/>
  <c r="AB376" i="107"/>
  <c r="AC376" i="107"/>
  <c r="AD376" i="107"/>
  <c r="C377" i="107"/>
  <c r="D377" i="107"/>
  <c r="E377" i="107"/>
  <c r="F377" i="107"/>
  <c r="G377" i="107"/>
  <c r="H377" i="107"/>
  <c r="I377" i="107"/>
  <c r="J377" i="107"/>
  <c r="K377" i="107"/>
  <c r="L377" i="107"/>
  <c r="M377" i="107"/>
  <c r="N377" i="107"/>
  <c r="O377" i="107"/>
  <c r="P377" i="107"/>
  <c r="Q377" i="107"/>
  <c r="R377" i="107"/>
  <c r="S377" i="107"/>
  <c r="T377" i="107"/>
  <c r="U377" i="107"/>
  <c r="V377" i="107"/>
  <c r="W377" i="107"/>
  <c r="X377" i="107"/>
  <c r="Y377" i="107"/>
  <c r="Z377" i="107"/>
  <c r="AA377" i="107"/>
  <c r="AB377" i="107"/>
  <c r="AC377" i="107"/>
  <c r="AD377" i="107"/>
  <c r="C378" i="107"/>
  <c r="D378" i="107"/>
  <c r="E378" i="107"/>
  <c r="F378" i="107"/>
  <c r="G378" i="107"/>
  <c r="H378" i="107"/>
  <c r="I378" i="107"/>
  <c r="J378" i="107"/>
  <c r="K378" i="107"/>
  <c r="L378" i="107"/>
  <c r="M378" i="107"/>
  <c r="N378" i="107"/>
  <c r="O378" i="107"/>
  <c r="P378" i="107"/>
  <c r="Q378" i="107"/>
  <c r="R378" i="107"/>
  <c r="S378" i="107"/>
  <c r="T378" i="107"/>
  <c r="U378" i="107"/>
  <c r="V378" i="107"/>
  <c r="W378" i="107"/>
  <c r="X378" i="107"/>
  <c r="Y378" i="107"/>
  <c r="Z378" i="107"/>
  <c r="AA378" i="107"/>
  <c r="AB378" i="107"/>
  <c r="AC378" i="107"/>
  <c r="AD378" i="107"/>
  <c r="C379" i="107"/>
  <c r="D379" i="107"/>
  <c r="E379" i="107"/>
  <c r="F379" i="107"/>
  <c r="G379" i="107"/>
  <c r="H379" i="107"/>
  <c r="I379" i="107"/>
  <c r="J379" i="107"/>
  <c r="K379" i="107"/>
  <c r="L379" i="107"/>
  <c r="M379" i="107"/>
  <c r="N379" i="107"/>
  <c r="O379" i="107"/>
  <c r="P379" i="107"/>
  <c r="Q379" i="107"/>
  <c r="R379" i="107"/>
  <c r="S379" i="107"/>
  <c r="T379" i="107"/>
  <c r="U379" i="107"/>
  <c r="V379" i="107"/>
  <c r="W379" i="107"/>
  <c r="X379" i="107"/>
  <c r="Y379" i="107"/>
  <c r="Z379" i="107"/>
  <c r="AA379" i="107"/>
  <c r="AB379" i="107"/>
  <c r="AC379" i="107"/>
  <c r="AD379" i="107"/>
  <c r="C380" i="107"/>
  <c r="D380" i="107"/>
  <c r="E380" i="107"/>
  <c r="F380" i="107"/>
  <c r="G380" i="107"/>
  <c r="H380" i="107"/>
  <c r="I380" i="107"/>
  <c r="J380" i="107"/>
  <c r="K380" i="107"/>
  <c r="L380" i="107"/>
  <c r="M380" i="107"/>
  <c r="N380" i="107"/>
  <c r="O380" i="107"/>
  <c r="P380" i="107"/>
  <c r="Q380" i="107"/>
  <c r="R380" i="107"/>
  <c r="S380" i="107"/>
  <c r="T380" i="107"/>
  <c r="U380" i="107"/>
  <c r="V380" i="107"/>
  <c r="W380" i="107"/>
  <c r="X380" i="107"/>
  <c r="Y380" i="107"/>
  <c r="Z380" i="107"/>
  <c r="AA380" i="107"/>
  <c r="AB380" i="107"/>
  <c r="AC380" i="107"/>
  <c r="AD380" i="107"/>
  <c r="C381" i="107"/>
  <c r="D381" i="107"/>
  <c r="E381" i="107"/>
  <c r="F381" i="107"/>
  <c r="G381" i="107"/>
  <c r="H381" i="107"/>
  <c r="I381" i="107"/>
  <c r="J381" i="107"/>
  <c r="K381" i="107"/>
  <c r="L381" i="107"/>
  <c r="M381" i="107"/>
  <c r="N381" i="107"/>
  <c r="O381" i="107"/>
  <c r="P381" i="107"/>
  <c r="Q381" i="107"/>
  <c r="R381" i="107"/>
  <c r="S381" i="107"/>
  <c r="T381" i="107"/>
  <c r="U381" i="107"/>
  <c r="V381" i="107"/>
  <c r="W381" i="107"/>
  <c r="X381" i="107"/>
  <c r="Y381" i="107"/>
  <c r="Z381" i="107"/>
  <c r="AA381" i="107"/>
  <c r="AB381" i="107"/>
  <c r="AC381" i="107"/>
  <c r="AD381" i="107"/>
  <c r="C382" i="107"/>
  <c r="D382" i="107"/>
  <c r="E382" i="107"/>
  <c r="F382" i="107"/>
  <c r="G382" i="107"/>
  <c r="H382" i="107"/>
  <c r="I382" i="107"/>
  <c r="J382" i="107"/>
  <c r="K382" i="107"/>
  <c r="L382" i="107"/>
  <c r="M382" i="107"/>
  <c r="N382" i="107"/>
  <c r="O382" i="107"/>
  <c r="P382" i="107"/>
  <c r="Q382" i="107"/>
  <c r="R382" i="107"/>
  <c r="S382" i="107"/>
  <c r="T382" i="107"/>
  <c r="U382" i="107"/>
  <c r="V382" i="107"/>
  <c r="W382" i="107"/>
  <c r="X382" i="107"/>
  <c r="Y382" i="107"/>
  <c r="Z382" i="107"/>
  <c r="AA382" i="107"/>
  <c r="AB382" i="107"/>
  <c r="AC382" i="107"/>
  <c r="AD382" i="107"/>
  <c r="C383" i="107"/>
  <c r="D383" i="107"/>
  <c r="E383" i="107"/>
  <c r="F383" i="107"/>
  <c r="G383" i="107"/>
  <c r="H383" i="107"/>
  <c r="I383" i="107"/>
  <c r="J383" i="107"/>
  <c r="K383" i="107"/>
  <c r="L383" i="107"/>
  <c r="M383" i="107"/>
  <c r="N383" i="107"/>
  <c r="O383" i="107"/>
  <c r="P383" i="107"/>
  <c r="Q383" i="107"/>
  <c r="R383" i="107"/>
  <c r="S383" i="107"/>
  <c r="T383" i="107"/>
  <c r="U383" i="107"/>
  <c r="V383" i="107"/>
  <c r="W383" i="107"/>
  <c r="X383" i="107"/>
  <c r="Y383" i="107"/>
  <c r="Z383" i="107"/>
  <c r="AA383" i="107"/>
  <c r="AB383" i="107"/>
  <c r="AC383" i="107"/>
  <c r="AD383" i="107"/>
  <c r="C384" i="107"/>
  <c r="D384" i="107"/>
  <c r="E384" i="107"/>
  <c r="F384" i="107"/>
  <c r="G384" i="107"/>
  <c r="H384" i="107"/>
  <c r="I384" i="107"/>
  <c r="J384" i="107"/>
  <c r="K384" i="107"/>
  <c r="L384" i="107"/>
  <c r="M384" i="107"/>
  <c r="N384" i="107"/>
  <c r="O384" i="107"/>
  <c r="P384" i="107"/>
  <c r="Q384" i="107"/>
  <c r="R384" i="107"/>
  <c r="S384" i="107"/>
  <c r="T384" i="107"/>
  <c r="U384" i="107"/>
  <c r="V384" i="107"/>
  <c r="W384" i="107"/>
  <c r="X384" i="107"/>
  <c r="Y384" i="107"/>
  <c r="Z384" i="107"/>
  <c r="AA384" i="107"/>
  <c r="AB384" i="107"/>
  <c r="AC384" i="107"/>
  <c r="AD384" i="107"/>
  <c r="C385" i="107"/>
  <c r="D385" i="107"/>
  <c r="E385" i="107"/>
  <c r="F385" i="107"/>
  <c r="G385" i="107"/>
  <c r="H385" i="107"/>
  <c r="I385" i="107"/>
  <c r="J385" i="107"/>
  <c r="K385" i="107"/>
  <c r="L385" i="107"/>
  <c r="M385" i="107"/>
  <c r="N385" i="107"/>
  <c r="O385" i="107"/>
  <c r="P385" i="107"/>
  <c r="Q385" i="107"/>
  <c r="R385" i="107"/>
  <c r="S385" i="107"/>
  <c r="T385" i="107"/>
  <c r="U385" i="107"/>
  <c r="V385" i="107"/>
  <c r="W385" i="107"/>
  <c r="X385" i="107"/>
  <c r="Y385" i="107"/>
  <c r="Z385" i="107"/>
  <c r="AA385" i="107"/>
  <c r="AB385" i="107"/>
  <c r="AC385" i="107"/>
  <c r="AD385" i="107"/>
  <c r="C386" i="107"/>
  <c r="D386" i="107"/>
  <c r="E386" i="107"/>
  <c r="F386" i="107"/>
  <c r="G386" i="107"/>
  <c r="H386" i="107"/>
  <c r="I386" i="107"/>
  <c r="J386" i="107"/>
  <c r="K386" i="107"/>
  <c r="L386" i="107"/>
  <c r="M386" i="107"/>
  <c r="N386" i="107"/>
  <c r="O386" i="107"/>
  <c r="P386" i="107"/>
  <c r="Q386" i="107"/>
  <c r="R386" i="107"/>
  <c r="S386" i="107"/>
  <c r="T386" i="107"/>
  <c r="U386" i="107"/>
  <c r="V386" i="107"/>
  <c r="W386" i="107"/>
  <c r="X386" i="107"/>
  <c r="Y386" i="107"/>
  <c r="Z386" i="107"/>
  <c r="AA386" i="107"/>
  <c r="AB386" i="107"/>
  <c r="AC386" i="107"/>
  <c r="AD386" i="107"/>
  <c r="C387" i="107"/>
  <c r="D387" i="107"/>
  <c r="E387" i="107"/>
  <c r="F387" i="107"/>
  <c r="G387" i="107"/>
  <c r="H387" i="107"/>
  <c r="I387" i="107"/>
  <c r="J387" i="107"/>
  <c r="K387" i="107"/>
  <c r="L387" i="107"/>
  <c r="M387" i="107"/>
  <c r="N387" i="107"/>
  <c r="O387" i="107"/>
  <c r="P387" i="107"/>
  <c r="Q387" i="107"/>
  <c r="R387" i="107"/>
  <c r="S387" i="107"/>
  <c r="T387" i="107"/>
  <c r="U387" i="107"/>
  <c r="V387" i="107"/>
  <c r="W387" i="107"/>
  <c r="X387" i="107"/>
  <c r="Y387" i="107"/>
  <c r="Z387" i="107"/>
  <c r="AA387" i="107"/>
  <c r="AB387" i="107"/>
  <c r="AC387" i="107"/>
  <c r="AD387" i="107"/>
  <c r="C388" i="107"/>
  <c r="D388" i="107"/>
  <c r="E388" i="107"/>
  <c r="F388" i="107"/>
  <c r="G388" i="107"/>
  <c r="H388" i="107"/>
  <c r="I388" i="107"/>
  <c r="J388" i="107"/>
  <c r="K388" i="107"/>
  <c r="L388" i="107"/>
  <c r="M388" i="107"/>
  <c r="N388" i="107"/>
  <c r="O388" i="107"/>
  <c r="P388" i="107"/>
  <c r="Q388" i="107"/>
  <c r="R388" i="107"/>
  <c r="S388" i="107"/>
  <c r="T388" i="107"/>
  <c r="U388" i="107"/>
  <c r="V388" i="107"/>
  <c r="W388" i="107"/>
  <c r="X388" i="107"/>
  <c r="Y388" i="107"/>
  <c r="Z388" i="107"/>
  <c r="AA388" i="107"/>
  <c r="AB388" i="107"/>
  <c r="AC388" i="107"/>
  <c r="AD388" i="107"/>
  <c r="C389" i="107"/>
  <c r="D389" i="107"/>
  <c r="E389" i="107"/>
  <c r="F389" i="107"/>
  <c r="G389" i="107"/>
  <c r="H389" i="107"/>
  <c r="I389" i="107"/>
  <c r="J389" i="107"/>
  <c r="K389" i="107"/>
  <c r="L389" i="107"/>
  <c r="M389" i="107"/>
  <c r="N389" i="107"/>
  <c r="O389" i="107"/>
  <c r="P389" i="107"/>
  <c r="Q389" i="107"/>
  <c r="R389" i="107"/>
  <c r="S389" i="107"/>
  <c r="T389" i="107"/>
  <c r="U389" i="107"/>
  <c r="V389" i="107"/>
  <c r="W389" i="107"/>
  <c r="X389" i="107"/>
  <c r="Y389" i="107"/>
  <c r="Z389" i="107"/>
  <c r="AA389" i="107"/>
  <c r="AB389" i="107"/>
  <c r="AC389" i="107"/>
  <c r="AD389" i="107"/>
  <c r="C390" i="107"/>
  <c r="D390" i="107"/>
  <c r="E390" i="107"/>
  <c r="F390" i="107"/>
  <c r="G390" i="107"/>
  <c r="H390" i="107"/>
  <c r="I390" i="107"/>
  <c r="J390" i="107"/>
  <c r="K390" i="107"/>
  <c r="L390" i="107"/>
  <c r="M390" i="107"/>
  <c r="N390" i="107"/>
  <c r="O390" i="107"/>
  <c r="P390" i="107"/>
  <c r="Q390" i="107"/>
  <c r="R390" i="107"/>
  <c r="S390" i="107"/>
  <c r="T390" i="107"/>
  <c r="U390" i="107"/>
  <c r="V390" i="107"/>
  <c r="W390" i="107"/>
  <c r="X390" i="107"/>
  <c r="Y390" i="107"/>
  <c r="Z390" i="107"/>
  <c r="AA390" i="107"/>
  <c r="AB390" i="107"/>
  <c r="AC390" i="107"/>
  <c r="AD390" i="107"/>
  <c r="C391" i="107"/>
  <c r="D391" i="107"/>
  <c r="E391" i="107"/>
  <c r="F391" i="107"/>
  <c r="G391" i="107"/>
  <c r="H391" i="107"/>
  <c r="I391" i="107"/>
  <c r="J391" i="107"/>
  <c r="K391" i="107"/>
  <c r="L391" i="107"/>
  <c r="M391" i="107"/>
  <c r="N391" i="107"/>
  <c r="O391" i="107"/>
  <c r="P391" i="107"/>
  <c r="Q391" i="107"/>
  <c r="R391" i="107"/>
  <c r="S391" i="107"/>
  <c r="T391" i="107"/>
  <c r="U391" i="107"/>
  <c r="V391" i="107"/>
  <c r="W391" i="107"/>
  <c r="X391" i="107"/>
  <c r="Y391" i="107"/>
  <c r="Z391" i="107"/>
  <c r="AA391" i="107"/>
  <c r="AB391" i="107"/>
  <c r="AC391" i="107"/>
  <c r="AD391" i="107"/>
  <c r="C392" i="107"/>
  <c r="D392" i="107"/>
  <c r="E392" i="107"/>
  <c r="F392" i="107"/>
  <c r="G392" i="107"/>
  <c r="H392" i="107"/>
  <c r="I392" i="107"/>
  <c r="J392" i="107"/>
  <c r="K392" i="107"/>
  <c r="L392" i="107"/>
  <c r="M392" i="107"/>
  <c r="N392" i="107"/>
  <c r="O392" i="107"/>
  <c r="P392" i="107"/>
  <c r="Q392" i="107"/>
  <c r="R392" i="107"/>
  <c r="S392" i="107"/>
  <c r="T392" i="107"/>
  <c r="U392" i="107"/>
  <c r="V392" i="107"/>
  <c r="W392" i="107"/>
  <c r="X392" i="107"/>
  <c r="Y392" i="107"/>
  <c r="Z392" i="107"/>
  <c r="AA392" i="107"/>
  <c r="AB392" i="107"/>
  <c r="AC392" i="107"/>
  <c r="AD392" i="107"/>
  <c r="C393" i="107"/>
  <c r="D393" i="107"/>
  <c r="E393" i="107"/>
  <c r="F393" i="107"/>
  <c r="G393" i="107"/>
  <c r="H393" i="107"/>
  <c r="I393" i="107"/>
  <c r="J393" i="107"/>
  <c r="K393" i="107"/>
  <c r="L393" i="107"/>
  <c r="M393" i="107"/>
  <c r="N393" i="107"/>
  <c r="O393" i="107"/>
  <c r="P393" i="107"/>
  <c r="Q393" i="107"/>
  <c r="R393" i="107"/>
  <c r="S393" i="107"/>
  <c r="T393" i="107"/>
  <c r="U393" i="107"/>
  <c r="V393" i="107"/>
  <c r="W393" i="107"/>
  <c r="X393" i="107"/>
  <c r="Y393" i="107"/>
  <c r="Z393" i="107"/>
  <c r="AA393" i="107"/>
  <c r="AB393" i="107"/>
  <c r="AC393" i="107"/>
  <c r="AD393" i="107"/>
  <c r="C394" i="107"/>
  <c r="D394" i="107"/>
  <c r="E394" i="107"/>
  <c r="F394" i="107"/>
  <c r="G394" i="107"/>
  <c r="H394" i="107"/>
  <c r="I394" i="107"/>
  <c r="J394" i="107"/>
  <c r="K394" i="107"/>
  <c r="L394" i="107"/>
  <c r="M394" i="107"/>
  <c r="N394" i="107"/>
  <c r="O394" i="107"/>
  <c r="P394" i="107"/>
  <c r="Q394" i="107"/>
  <c r="R394" i="107"/>
  <c r="S394" i="107"/>
  <c r="T394" i="107"/>
  <c r="U394" i="107"/>
  <c r="V394" i="107"/>
  <c r="W394" i="107"/>
  <c r="X394" i="107"/>
  <c r="Y394" i="107"/>
  <c r="Z394" i="107"/>
  <c r="AA394" i="107"/>
  <c r="AB394" i="107"/>
  <c r="AC394" i="107"/>
  <c r="AD394" i="107"/>
  <c r="C395" i="107"/>
  <c r="D395" i="107"/>
  <c r="E395" i="107"/>
  <c r="F395" i="107"/>
  <c r="G395" i="107"/>
  <c r="H395" i="107"/>
  <c r="I395" i="107"/>
  <c r="J395" i="107"/>
  <c r="K395" i="107"/>
  <c r="L395" i="107"/>
  <c r="M395" i="107"/>
  <c r="N395" i="107"/>
  <c r="O395" i="107"/>
  <c r="P395" i="107"/>
  <c r="Q395" i="107"/>
  <c r="R395" i="107"/>
  <c r="S395" i="107"/>
  <c r="T395" i="107"/>
  <c r="U395" i="107"/>
  <c r="V395" i="107"/>
  <c r="W395" i="107"/>
  <c r="X395" i="107"/>
  <c r="Y395" i="107"/>
  <c r="Z395" i="107"/>
  <c r="AA395" i="107"/>
  <c r="AB395" i="107"/>
  <c r="AC395" i="107"/>
  <c r="AD395" i="107"/>
  <c r="C396" i="107"/>
  <c r="D396" i="107"/>
  <c r="E396" i="107"/>
  <c r="F396" i="107"/>
  <c r="G396" i="107"/>
  <c r="H396" i="107"/>
  <c r="I396" i="107"/>
  <c r="J396" i="107"/>
  <c r="K396" i="107"/>
  <c r="L396" i="107"/>
  <c r="M396" i="107"/>
  <c r="N396" i="107"/>
  <c r="O396" i="107"/>
  <c r="P396" i="107"/>
  <c r="Q396" i="107"/>
  <c r="R396" i="107"/>
  <c r="S396" i="107"/>
  <c r="T396" i="107"/>
  <c r="U396" i="107"/>
  <c r="V396" i="107"/>
  <c r="W396" i="107"/>
  <c r="X396" i="107"/>
  <c r="Y396" i="107"/>
  <c r="Z396" i="107"/>
  <c r="AA396" i="107"/>
  <c r="AB396" i="107"/>
  <c r="AC396" i="107"/>
  <c r="AD396" i="107"/>
  <c r="C397" i="107"/>
  <c r="D397" i="107"/>
  <c r="E397" i="107"/>
  <c r="F397" i="107"/>
  <c r="G397" i="107"/>
  <c r="H397" i="107"/>
  <c r="I397" i="107"/>
  <c r="J397" i="107"/>
  <c r="K397" i="107"/>
  <c r="L397" i="107"/>
  <c r="M397" i="107"/>
  <c r="N397" i="107"/>
  <c r="O397" i="107"/>
  <c r="P397" i="107"/>
  <c r="Q397" i="107"/>
  <c r="R397" i="107"/>
  <c r="S397" i="107"/>
  <c r="T397" i="107"/>
  <c r="U397" i="107"/>
  <c r="V397" i="107"/>
  <c r="W397" i="107"/>
  <c r="X397" i="107"/>
  <c r="Y397" i="107"/>
  <c r="Z397" i="107"/>
  <c r="AA397" i="107"/>
  <c r="AB397" i="107"/>
  <c r="AC397" i="107"/>
  <c r="AD397" i="107"/>
  <c r="C398" i="107"/>
  <c r="D398" i="107"/>
  <c r="E398" i="107"/>
  <c r="F398" i="107"/>
  <c r="G398" i="107"/>
  <c r="H398" i="107"/>
  <c r="I398" i="107"/>
  <c r="J398" i="107"/>
  <c r="K398" i="107"/>
  <c r="L398" i="107"/>
  <c r="M398" i="107"/>
  <c r="N398" i="107"/>
  <c r="O398" i="107"/>
  <c r="P398" i="107"/>
  <c r="Q398" i="107"/>
  <c r="R398" i="107"/>
  <c r="S398" i="107"/>
  <c r="T398" i="107"/>
  <c r="U398" i="107"/>
  <c r="V398" i="107"/>
  <c r="W398" i="107"/>
  <c r="X398" i="107"/>
  <c r="Y398" i="107"/>
  <c r="Z398" i="107"/>
  <c r="AA398" i="107"/>
  <c r="AB398" i="107"/>
  <c r="AC398" i="107"/>
  <c r="AD398" i="107"/>
  <c r="C399" i="107"/>
  <c r="D399" i="107"/>
  <c r="E399" i="107"/>
  <c r="F399" i="107"/>
  <c r="G399" i="107"/>
  <c r="H399" i="107"/>
  <c r="I399" i="107"/>
  <c r="J399" i="107"/>
  <c r="K399" i="107"/>
  <c r="L399" i="107"/>
  <c r="M399" i="107"/>
  <c r="N399" i="107"/>
  <c r="O399" i="107"/>
  <c r="P399" i="107"/>
  <c r="Q399" i="107"/>
  <c r="R399" i="107"/>
  <c r="S399" i="107"/>
  <c r="T399" i="107"/>
  <c r="U399" i="107"/>
  <c r="V399" i="107"/>
  <c r="W399" i="107"/>
  <c r="X399" i="107"/>
  <c r="Y399" i="107"/>
  <c r="Z399" i="107"/>
  <c r="AA399" i="107"/>
  <c r="AB399" i="107"/>
  <c r="AC399" i="107"/>
  <c r="AD399" i="107"/>
  <c r="C400" i="107"/>
  <c r="D400" i="107"/>
  <c r="E400" i="107"/>
  <c r="F400" i="107"/>
  <c r="G400" i="107"/>
  <c r="H400" i="107"/>
  <c r="I400" i="107"/>
  <c r="J400" i="107"/>
  <c r="K400" i="107"/>
  <c r="L400" i="107"/>
  <c r="M400" i="107"/>
  <c r="N400" i="107"/>
  <c r="O400" i="107"/>
  <c r="P400" i="107"/>
  <c r="Q400" i="107"/>
  <c r="R400" i="107"/>
  <c r="S400" i="107"/>
  <c r="T400" i="107"/>
  <c r="U400" i="107"/>
  <c r="V400" i="107"/>
  <c r="W400" i="107"/>
  <c r="X400" i="107"/>
  <c r="Y400" i="107"/>
  <c r="Z400" i="107"/>
  <c r="AA400" i="107"/>
  <c r="AB400" i="107"/>
  <c r="AC400" i="107"/>
  <c r="AD400" i="107"/>
  <c r="C401" i="107"/>
  <c r="D401" i="107"/>
  <c r="E401" i="107"/>
  <c r="F401" i="107"/>
  <c r="G401" i="107"/>
  <c r="H401" i="107"/>
  <c r="I401" i="107"/>
  <c r="J401" i="107"/>
  <c r="K401" i="107"/>
  <c r="L401" i="107"/>
  <c r="M401" i="107"/>
  <c r="N401" i="107"/>
  <c r="O401" i="107"/>
  <c r="P401" i="107"/>
  <c r="Q401" i="107"/>
  <c r="R401" i="107"/>
  <c r="S401" i="107"/>
  <c r="T401" i="107"/>
  <c r="U401" i="107"/>
  <c r="V401" i="107"/>
  <c r="W401" i="107"/>
  <c r="X401" i="107"/>
  <c r="Y401" i="107"/>
  <c r="Z401" i="107"/>
  <c r="AA401" i="107"/>
  <c r="AB401" i="107"/>
  <c r="AC401" i="107"/>
  <c r="AD401" i="107"/>
  <c r="C402" i="107"/>
  <c r="D402" i="107"/>
  <c r="E402" i="107"/>
  <c r="F402" i="107"/>
  <c r="G402" i="107"/>
  <c r="H402" i="107"/>
  <c r="I402" i="107"/>
  <c r="J402" i="107"/>
  <c r="K402" i="107"/>
  <c r="L402" i="107"/>
  <c r="M402" i="107"/>
  <c r="N402" i="107"/>
  <c r="O402" i="107"/>
  <c r="P402" i="107"/>
  <c r="Q402" i="107"/>
  <c r="R402" i="107"/>
  <c r="S402" i="107"/>
  <c r="T402" i="107"/>
  <c r="U402" i="107"/>
  <c r="V402" i="107"/>
  <c r="W402" i="107"/>
  <c r="X402" i="107"/>
  <c r="Y402" i="107"/>
  <c r="Z402" i="107"/>
  <c r="AA402" i="107"/>
  <c r="AB402" i="107"/>
  <c r="AC402" i="107"/>
  <c r="AD402" i="107"/>
  <c r="C403" i="107"/>
  <c r="D403" i="107"/>
  <c r="E403" i="107"/>
  <c r="F403" i="107"/>
  <c r="G403" i="107"/>
  <c r="H403" i="107"/>
  <c r="I403" i="107"/>
  <c r="J403" i="107"/>
  <c r="K403" i="107"/>
  <c r="L403" i="107"/>
  <c r="M403" i="107"/>
  <c r="N403" i="107"/>
  <c r="O403" i="107"/>
  <c r="P403" i="107"/>
  <c r="Q403" i="107"/>
  <c r="R403" i="107"/>
  <c r="S403" i="107"/>
  <c r="T403" i="107"/>
  <c r="U403" i="107"/>
  <c r="V403" i="107"/>
  <c r="W403" i="107"/>
  <c r="X403" i="107"/>
  <c r="Y403" i="107"/>
  <c r="Z403" i="107"/>
  <c r="AA403" i="107"/>
  <c r="AB403" i="107"/>
  <c r="AC403" i="107"/>
  <c r="AD403" i="107"/>
  <c r="C404" i="107"/>
  <c r="D404" i="107"/>
  <c r="E404" i="107"/>
  <c r="F404" i="107"/>
  <c r="G404" i="107"/>
  <c r="H404" i="107"/>
  <c r="I404" i="107"/>
  <c r="J404" i="107"/>
  <c r="K404" i="107"/>
  <c r="L404" i="107"/>
  <c r="M404" i="107"/>
  <c r="N404" i="107"/>
  <c r="O404" i="107"/>
  <c r="P404" i="107"/>
  <c r="Q404" i="107"/>
  <c r="R404" i="107"/>
  <c r="S404" i="107"/>
  <c r="T404" i="107"/>
  <c r="U404" i="107"/>
  <c r="V404" i="107"/>
  <c r="W404" i="107"/>
  <c r="X404" i="107"/>
  <c r="Y404" i="107"/>
  <c r="Z404" i="107"/>
  <c r="AA404" i="107"/>
  <c r="AB404" i="107"/>
  <c r="AC404" i="107"/>
  <c r="AD404" i="107"/>
  <c r="C405" i="107"/>
  <c r="D405" i="107"/>
  <c r="E405" i="107"/>
  <c r="F405" i="107"/>
  <c r="G405" i="107"/>
  <c r="H405" i="107"/>
  <c r="I405" i="107"/>
  <c r="J405" i="107"/>
  <c r="K405" i="107"/>
  <c r="L405" i="107"/>
  <c r="M405" i="107"/>
  <c r="N405" i="107"/>
  <c r="O405" i="107"/>
  <c r="P405" i="107"/>
  <c r="Q405" i="107"/>
  <c r="R405" i="107"/>
  <c r="S405" i="107"/>
  <c r="T405" i="107"/>
  <c r="U405" i="107"/>
  <c r="V405" i="107"/>
  <c r="W405" i="107"/>
  <c r="X405" i="107"/>
  <c r="Y405" i="107"/>
  <c r="Z405" i="107"/>
  <c r="AA405" i="107"/>
  <c r="AB405" i="107"/>
  <c r="AC405" i="107"/>
  <c r="AD405" i="107"/>
  <c r="C406" i="107"/>
  <c r="D406" i="107"/>
  <c r="E406" i="107"/>
  <c r="F406" i="107"/>
  <c r="G406" i="107"/>
  <c r="H406" i="107"/>
  <c r="I406" i="107"/>
  <c r="J406" i="107"/>
  <c r="K406" i="107"/>
  <c r="L406" i="107"/>
  <c r="M406" i="107"/>
  <c r="N406" i="107"/>
  <c r="O406" i="107"/>
  <c r="P406" i="107"/>
  <c r="Q406" i="107"/>
  <c r="R406" i="107"/>
  <c r="S406" i="107"/>
  <c r="T406" i="107"/>
  <c r="U406" i="107"/>
  <c r="V406" i="107"/>
  <c r="W406" i="107"/>
  <c r="X406" i="107"/>
  <c r="Y406" i="107"/>
  <c r="Z406" i="107"/>
  <c r="AA406" i="107"/>
  <c r="AB406" i="107"/>
  <c r="AC406" i="107"/>
  <c r="AD406" i="107"/>
  <c r="C407" i="107"/>
  <c r="D407" i="107"/>
  <c r="E407" i="107"/>
  <c r="F407" i="107"/>
  <c r="G407" i="107"/>
  <c r="H407" i="107"/>
  <c r="I407" i="107"/>
  <c r="J407" i="107"/>
  <c r="K407" i="107"/>
  <c r="L407" i="107"/>
  <c r="M407" i="107"/>
  <c r="N407" i="107"/>
  <c r="O407" i="107"/>
  <c r="P407" i="107"/>
  <c r="Q407" i="107"/>
  <c r="R407" i="107"/>
  <c r="S407" i="107"/>
  <c r="T407" i="107"/>
  <c r="U407" i="107"/>
  <c r="V407" i="107"/>
  <c r="W407" i="107"/>
  <c r="X407" i="107"/>
  <c r="Y407" i="107"/>
  <c r="Z407" i="107"/>
  <c r="AA407" i="107"/>
  <c r="AB407" i="107"/>
  <c r="AC407" i="107"/>
  <c r="AD407" i="107"/>
  <c r="C408" i="107"/>
  <c r="D408" i="107"/>
  <c r="E408" i="107"/>
  <c r="F408" i="107"/>
  <c r="G408" i="107"/>
  <c r="H408" i="107"/>
  <c r="I408" i="107"/>
  <c r="J408" i="107"/>
  <c r="K408" i="107"/>
  <c r="L408" i="107"/>
  <c r="M408" i="107"/>
  <c r="N408" i="107"/>
  <c r="O408" i="107"/>
  <c r="P408" i="107"/>
  <c r="Q408" i="107"/>
  <c r="R408" i="107"/>
  <c r="S408" i="107"/>
  <c r="T408" i="107"/>
  <c r="U408" i="107"/>
  <c r="V408" i="107"/>
  <c r="W408" i="107"/>
  <c r="X408" i="107"/>
  <c r="Y408" i="107"/>
  <c r="Z408" i="107"/>
  <c r="AA408" i="107"/>
  <c r="AB408" i="107"/>
  <c r="AC408" i="107"/>
  <c r="AD408" i="107"/>
  <c r="C409" i="107"/>
  <c r="D409" i="107"/>
  <c r="E409" i="107"/>
  <c r="F409" i="107"/>
  <c r="G409" i="107"/>
  <c r="H409" i="107"/>
  <c r="I409" i="107"/>
  <c r="J409" i="107"/>
  <c r="K409" i="107"/>
  <c r="L409" i="107"/>
  <c r="M409" i="107"/>
  <c r="N409" i="107"/>
  <c r="O409" i="107"/>
  <c r="P409" i="107"/>
  <c r="Q409" i="107"/>
  <c r="R409" i="107"/>
  <c r="S409" i="107"/>
  <c r="T409" i="107"/>
  <c r="U409" i="107"/>
  <c r="V409" i="107"/>
  <c r="W409" i="107"/>
  <c r="X409" i="107"/>
  <c r="Y409" i="107"/>
  <c r="Z409" i="107"/>
  <c r="AA409" i="107"/>
  <c r="AB409" i="107"/>
  <c r="AC409" i="107"/>
  <c r="AD409" i="107"/>
  <c r="C410" i="107"/>
  <c r="D410" i="107"/>
  <c r="E410" i="107"/>
  <c r="F410" i="107"/>
  <c r="G410" i="107"/>
  <c r="H410" i="107"/>
  <c r="I410" i="107"/>
  <c r="J410" i="107"/>
  <c r="K410" i="107"/>
  <c r="L410" i="107"/>
  <c r="M410" i="107"/>
  <c r="N410" i="107"/>
  <c r="O410" i="107"/>
  <c r="P410" i="107"/>
  <c r="Q410" i="107"/>
  <c r="R410" i="107"/>
  <c r="S410" i="107"/>
  <c r="T410" i="107"/>
  <c r="U410" i="107"/>
  <c r="V410" i="107"/>
  <c r="W410" i="107"/>
  <c r="X410" i="107"/>
  <c r="Y410" i="107"/>
  <c r="Z410" i="107"/>
  <c r="AA410" i="107"/>
  <c r="AB410" i="107"/>
  <c r="AC410" i="107"/>
  <c r="AD410" i="107"/>
  <c r="C411" i="107"/>
  <c r="D411" i="107"/>
  <c r="E411" i="107"/>
  <c r="F411" i="107"/>
  <c r="G411" i="107"/>
  <c r="H411" i="107"/>
  <c r="I411" i="107"/>
  <c r="J411" i="107"/>
  <c r="K411" i="107"/>
  <c r="L411" i="107"/>
  <c r="M411" i="107"/>
  <c r="N411" i="107"/>
  <c r="O411" i="107"/>
  <c r="P411" i="107"/>
  <c r="Q411" i="107"/>
  <c r="R411" i="107"/>
  <c r="S411" i="107"/>
  <c r="T411" i="107"/>
  <c r="U411" i="107"/>
  <c r="V411" i="107"/>
  <c r="W411" i="107"/>
  <c r="X411" i="107"/>
  <c r="Y411" i="107"/>
  <c r="Z411" i="107"/>
  <c r="AA411" i="107"/>
  <c r="AB411" i="107"/>
  <c r="AC411" i="107"/>
  <c r="AD411" i="107"/>
  <c r="C412" i="107"/>
  <c r="D412" i="107"/>
  <c r="E412" i="107"/>
  <c r="F412" i="107"/>
  <c r="G412" i="107"/>
  <c r="H412" i="107"/>
  <c r="I412" i="107"/>
  <c r="J412" i="107"/>
  <c r="K412" i="107"/>
  <c r="L412" i="107"/>
  <c r="M412" i="107"/>
  <c r="N412" i="107"/>
  <c r="O412" i="107"/>
  <c r="P412" i="107"/>
  <c r="Q412" i="107"/>
  <c r="R412" i="107"/>
  <c r="S412" i="107"/>
  <c r="T412" i="107"/>
  <c r="U412" i="107"/>
  <c r="V412" i="107"/>
  <c r="W412" i="107"/>
  <c r="X412" i="107"/>
  <c r="Y412" i="107"/>
  <c r="Z412" i="107"/>
  <c r="AA412" i="107"/>
  <c r="AB412" i="107"/>
  <c r="AC412" i="107"/>
  <c r="AD412" i="107"/>
  <c r="C413" i="107"/>
  <c r="D413" i="107"/>
  <c r="E413" i="107"/>
  <c r="F413" i="107"/>
  <c r="G413" i="107"/>
  <c r="H413" i="107"/>
  <c r="I413" i="107"/>
  <c r="J413" i="107"/>
  <c r="K413" i="107"/>
  <c r="L413" i="107"/>
  <c r="M413" i="107"/>
  <c r="N413" i="107"/>
  <c r="O413" i="107"/>
  <c r="P413" i="107"/>
  <c r="Q413" i="107"/>
  <c r="R413" i="107"/>
  <c r="S413" i="107"/>
  <c r="T413" i="107"/>
  <c r="U413" i="107"/>
  <c r="V413" i="107"/>
  <c r="W413" i="107"/>
  <c r="X413" i="107"/>
  <c r="Y413" i="107"/>
  <c r="Z413" i="107"/>
  <c r="AA413" i="107"/>
  <c r="AB413" i="107"/>
  <c r="AC413" i="107"/>
  <c r="AD413" i="107"/>
  <c r="C414" i="107"/>
  <c r="D414" i="107"/>
  <c r="E414" i="107"/>
  <c r="F414" i="107"/>
  <c r="G414" i="107"/>
  <c r="H414" i="107"/>
  <c r="I414" i="107"/>
  <c r="J414" i="107"/>
  <c r="K414" i="107"/>
  <c r="L414" i="107"/>
  <c r="M414" i="107"/>
  <c r="N414" i="107"/>
  <c r="O414" i="107"/>
  <c r="P414" i="107"/>
  <c r="Q414" i="107"/>
  <c r="R414" i="107"/>
  <c r="S414" i="107"/>
  <c r="T414" i="107"/>
  <c r="U414" i="107"/>
  <c r="V414" i="107"/>
  <c r="W414" i="107"/>
  <c r="X414" i="107"/>
  <c r="Y414" i="107"/>
  <c r="Z414" i="107"/>
  <c r="AA414" i="107"/>
  <c r="AB414" i="107"/>
  <c r="AC414" i="107"/>
  <c r="AD414" i="107"/>
  <c r="C415" i="107"/>
  <c r="D415" i="107"/>
  <c r="E415" i="107"/>
  <c r="F415" i="107"/>
  <c r="G415" i="107"/>
  <c r="H415" i="107"/>
  <c r="I415" i="107"/>
  <c r="J415" i="107"/>
  <c r="K415" i="107"/>
  <c r="L415" i="107"/>
  <c r="M415" i="107"/>
  <c r="N415" i="107"/>
  <c r="O415" i="107"/>
  <c r="P415" i="107"/>
  <c r="Q415" i="107"/>
  <c r="R415" i="107"/>
  <c r="S415" i="107"/>
  <c r="T415" i="107"/>
  <c r="U415" i="107"/>
  <c r="V415" i="107"/>
  <c r="W415" i="107"/>
  <c r="X415" i="107"/>
  <c r="Y415" i="107"/>
  <c r="Z415" i="107"/>
  <c r="AA415" i="107"/>
  <c r="AB415" i="107"/>
  <c r="AC415" i="107"/>
  <c r="AD415" i="107"/>
  <c r="C416" i="107"/>
  <c r="D416" i="107"/>
  <c r="E416" i="107"/>
  <c r="F416" i="107"/>
  <c r="G416" i="107"/>
  <c r="H416" i="107"/>
  <c r="I416" i="107"/>
  <c r="J416" i="107"/>
  <c r="K416" i="107"/>
  <c r="L416" i="107"/>
  <c r="M416" i="107"/>
  <c r="N416" i="107"/>
  <c r="O416" i="107"/>
  <c r="P416" i="107"/>
  <c r="Q416" i="107"/>
  <c r="R416" i="107"/>
  <c r="S416" i="107"/>
  <c r="T416" i="107"/>
  <c r="U416" i="107"/>
  <c r="V416" i="107"/>
  <c r="W416" i="107"/>
  <c r="X416" i="107"/>
  <c r="Y416" i="107"/>
  <c r="Z416" i="107"/>
  <c r="AA416" i="107"/>
  <c r="AB416" i="107"/>
  <c r="AC416" i="107"/>
  <c r="AD416" i="107"/>
  <c r="C417" i="107"/>
  <c r="D417" i="107"/>
  <c r="E417" i="107"/>
  <c r="F417" i="107"/>
  <c r="G417" i="107"/>
  <c r="H417" i="107"/>
  <c r="I417" i="107"/>
  <c r="J417" i="107"/>
  <c r="K417" i="107"/>
  <c r="L417" i="107"/>
  <c r="M417" i="107"/>
  <c r="N417" i="107"/>
  <c r="O417" i="107"/>
  <c r="P417" i="107"/>
  <c r="Q417" i="107"/>
  <c r="R417" i="107"/>
  <c r="S417" i="107"/>
  <c r="T417" i="107"/>
  <c r="U417" i="107"/>
  <c r="V417" i="107"/>
  <c r="W417" i="107"/>
  <c r="X417" i="107"/>
  <c r="Y417" i="107"/>
  <c r="Z417" i="107"/>
  <c r="AA417" i="107"/>
  <c r="AB417" i="107"/>
  <c r="AC417" i="107"/>
  <c r="AD417" i="107"/>
  <c r="C418" i="107"/>
  <c r="D418" i="107"/>
  <c r="E418" i="107"/>
  <c r="F418" i="107"/>
  <c r="G418" i="107"/>
  <c r="H418" i="107"/>
  <c r="I418" i="107"/>
  <c r="J418" i="107"/>
  <c r="K418" i="107"/>
  <c r="L418" i="107"/>
  <c r="M418" i="107"/>
  <c r="N418" i="107"/>
  <c r="O418" i="107"/>
  <c r="P418" i="107"/>
  <c r="Q418" i="107"/>
  <c r="R418" i="107"/>
  <c r="S418" i="107"/>
  <c r="T418" i="107"/>
  <c r="U418" i="107"/>
  <c r="V418" i="107"/>
  <c r="W418" i="107"/>
  <c r="X418" i="107"/>
  <c r="Y418" i="107"/>
  <c r="Z418" i="107"/>
  <c r="AA418" i="107"/>
  <c r="AB418" i="107"/>
  <c r="AC418" i="107"/>
  <c r="AD418" i="107"/>
  <c r="C419" i="107"/>
  <c r="D419" i="107"/>
  <c r="E419" i="107"/>
  <c r="F419" i="107"/>
  <c r="G419" i="107"/>
  <c r="H419" i="107"/>
  <c r="I419" i="107"/>
  <c r="J419" i="107"/>
  <c r="K419" i="107"/>
  <c r="L419" i="107"/>
  <c r="M419" i="107"/>
  <c r="N419" i="107"/>
  <c r="O419" i="107"/>
  <c r="P419" i="107"/>
  <c r="Q419" i="107"/>
  <c r="R419" i="107"/>
  <c r="S419" i="107"/>
  <c r="T419" i="107"/>
  <c r="U419" i="107"/>
  <c r="V419" i="107"/>
  <c r="W419" i="107"/>
  <c r="X419" i="107"/>
  <c r="Y419" i="107"/>
  <c r="Z419" i="107"/>
  <c r="AA419" i="107"/>
  <c r="AB419" i="107"/>
  <c r="AC419" i="107"/>
  <c r="AD419" i="107"/>
  <c r="C420" i="107"/>
  <c r="D420" i="107"/>
  <c r="E420" i="107"/>
  <c r="F420" i="107"/>
  <c r="G420" i="107"/>
  <c r="H420" i="107"/>
  <c r="I420" i="107"/>
  <c r="J420" i="107"/>
  <c r="K420" i="107"/>
  <c r="L420" i="107"/>
  <c r="M420" i="107"/>
  <c r="N420" i="107"/>
  <c r="O420" i="107"/>
  <c r="P420" i="107"/>
  <c r="Q420" i="107"/>
  <c r="R420" i="107"/>
  <c r="S420" i="107"/>
  <c r="T420" i="107"/>
  <c r="U420" i="107"/>
  <c r="V420" i="107"/>
  <c r="W420" i="107"/>
  <c r="X420" i="107"/>
  <c r="Y420" i="107"/>
  <c r="Z420" i="107"/>
  <c r="AA420" i="107"/>
  <c r="AB420" i="107"/>
  <c r="AC420" i="107"/>
  <c r="AD420" i="107"/>
  <c r="C421" i="107"/>
  <c r="D421" i="107"/>
  <c r="E421" i="107"/>
  <c r="F421" i="107"/>
  <c r="G421" i="107"/>
  <c r="H421" i="107"/>
  <c r="I421" i="107"/>
  <c r="J421" i="107"/>
  <c r="K421" i="107"/>
  <c r="L421" i="107"/>
  <c r="M421" i="107"/>
  <c r="N421" i="107"/>
  <c r="O421" i="107"/>
  <c r="P421" i="107"/>
  <c r="Q421" i="107"/>
  <c r="R421" i="107"/>
  <c r="S421" i="107"/>
  <c r="T421" i="107"/>
  <c r="U421" i="107"/>
  <c r="V421" i="107"/>
  <c r="W421" i="107"/>
  <c r="X421" i="107"/>
  <c r="Y421" i="107"/>
  <c r="Z421" i="107"/>
  <c r="AA421" i="107"/>
  <c r="AB421" i="107"/>
  <c r="AC421" i="107"/>
  <c r="AD421" i="107"/>
  <c r="C422" i="107"/>
  <c r="D422" i="107"/>
  <c r="E422" i="107"/>
  <c r="F422" i="107"/>
  <c r="G422" i="107"/>
  <c r="H422" i="107"/>
  <c r="I422" i="107"/>
  <c r="J422" i="107"/>
  <c r="K422" i="107"/>
  <c r="L422" i="107"/>
  <c r="M422" i="107"/>
  <c r="N422" i="107"/>
  <c r="O422" i="107"/>
  <c r="P422" i="107"/>
  <c r="Q422" i="107"/>
  <c r="R422" i="107"/>
  <c r="S422" i="107"/>
  <c r="T422" i="107"/>
  <c r="U422" i="107"/>
  <c r="V422" i="107"/>
  <c r="W422" i="107"/>
  <c r="X422" i="107"/>
  <c r="Y422" i="107"/>
  <c r="Z422" i="107"/>
  <c r="AA422" i="107"/>
  <c r="AB422" i="107"/>
  <c r="AC422" i="107"/>
  <c r="AD422" i="107"/>
  <c r="C423" i="107"/>
  <c r="D423" i="107"/>
  <c r="E423" i="107"/>
  <c r="F423" i="107"/>
  <c r="G423" i="107"/>
  <c r="H423" i="107"/>
  <c r="I423" i="107"/>
  <c r="J423" i="107"/>
  <c r="K423" i="107"/>
  <c r="L423" i="107"/>
  <c r="M423" i="107"/>
  <c r="N423" i="107"/>
  <c r="O423" i="107"/>
  <c r="P423" i="107"/>
  <c r="Q423" i="107"/>
  <c r="R423" i="107"/>
  <c r="S423" i="107"/>
  <c r="T423" i="107"/>
  <c r="U423" i="107"/>
  <c r="V423" i="107"/>
  <c r="W423" i="107"/>
  <c r="X423" i="107"/>
  <c r="Y423" i="107"/>
  <c r="Z423" i="107"/>
  <c r="AA423" i="107"/>
  <c r="AB423" i="107"/>
  <c r="AC423" i="107"/>
  <c r="AD423" i="107"/>
  <c r="C424" i="107"/>
  <c r="D424" i="107"/>
  <c r="E424" i="107"/>
  <c r="F424" i="107"/>
  <c r="G424" i="107"/>
  <c r="H424" i="107"/>
  <c r="I424" i="107"/>
  <c r="J424" i="107"/>
  <c r="K424" i="107"/>
  <c r="L424" i="107"/>
  <c r="M424" i="107"/>
  <c r="N424" i="107"/>
  <c r="O424" i="107"/>
  <c r="P424" i="107"/>
  <c r="Q424" i="107"/>
  <c r="R424" i="107"/>
  <c r="S424" i="107"/>
  <c r="T424" i="107"/>
  <c r="U424" i="107"/>
  <c r="V424" i="107"/>
  <c r="W424" i="107"/>
  <c r="X424" i="107"/>
  <c r="Y424" i="107"/>
  <c r="Z424" i="107"/>
  <c r="AA424" i="107"/>
  <c r="AB424" i="107"/>
  <c r="AC424" i="107"/>
  <c r="AD424" i="107"/>
  <c r="C425" i="107"/>
  <c r="D425" i="107"/>
  <c r="E425" i="107"/>
  <c r="F425" i="107"/>
  <c r="G425" i="107"/>
  <c r="H425" i="107"/>
  <c r="I425" i="107"/>
  <c r="J425" i="107"/>
  <c r="K425" i="107"/>
  <c r="L425" i="107"/>
  <c r="M425" i="107"/>
  <c r="N425" i="107"/>
  <c r="O425" i="107"/>
  <c r="P425" i="107"/>
  <c r="Q425" i="107"/>
  <c r="R425" i="107"/>
  <c r="S425" i="107"/>
  <c r="T425" i="107"/>
  <c r="U425" i="107"/>
  <c r="V425" i="107"/>
  <c r="W425" i="107"/>
  <c r="X425" i="107"/>
  <c r="Y425" i="107"/>
  <c r="Z425" i="107"/>
  <c r="AA425" i="107"/>
  <c r="AB425" i="107"/>
  <c r="AC425" i="107"/>
  <c r="AD425" i="107"/>
  <c r="C426" i="107"/>
  <c r="D426" i="107"/>
  <c r="E426" i="107"/>
  <c r="F426" i="107"/>
  <c r="G426" i="107"/>
  <c r="H426" i="107"/>
  <c r="I426" i="107"/>
  <c r="J426" i="107"/>
  <c r="K426" i="107"/>
  <c r="L426" i="107"/>
  <c r="M426" i="107"/>
  <c r="N426" i="107"/>
  <c r="O426" i="107"/>
  <c r="P426" i="107"/>
  <c r="Q426" i="107"/>
  <c r="R426" i="107"/>
  <c r="S426" i="107"/>
  <c r="T426" i="107"/>
  <c r="U426" i="107"/>
  <c r="V426" i="107"/>
  <c r="W426" i="107"/>
  <c r="X426" i="107"/>
  <c r="Y426" i="107"/>
  <c r="Z426" i="107"/>
  <c r="AA426" i="107"/>
  <c r="AB426" i="107"/>
  <c r="AC426" i="107"/>
  <c r="AD426" i="107"/>
  <c r="C427" i="107"/>
  <c r="D427" i="107"/>
  <c r="E427" i="107"/>
  <c r="F427" i="107"/>
  <c r="G427" i="107"/>
  <c r="H427" i="107"/>
  <c r="I427" i="107"/>
  <c r="J427" i="107"/>
  <c r="K427" i="107"/>
  <c r="L427" i="107"/>
  <c r="M427" i="107"/>
  <c r="N427" i="107"/>
  <c r="O427" i="107"/>
  <c r="P427" i="107"/>
  <c r="Q427" i="107"/>
  <c r="R427" i="107"/>
  <c r="S427" i="107"/>
  <c r="T427" i="107"/>
  <c r="U427" i="107"/>
  <c r="V427" i="107"/>
  <c r="W427" i="107"/>
  <c r="X427" i="107"/>
  <c r="Y427" i="107"/>
  <c r="Z427" i="107"/>
  <c r="AA427" i="107"/>
  <c r="AB427" i="107"/>
  <c r="AC427" i="107"/>
  <c r="AD427" i="107"/>
  <c r="C428" i="107"/>
  <c r="D428" i="107"/>
  <c r="E428" i="107"/>
  <c r="F428" i="107"/>
  <c r="G428" i="107"/>
  <c r="H428" i="107"/>
  <c r="I428" i="107"/>
  <c r="J428" i="107"/>
  <c r="K428" i="107"/>
  <c r="L428" i="107"/>
  <c r="M428" i="107"/>
  <c r="N428" i="107"/>
  <c r="O428" i="107"/>
  <c r="P428" i="107"/>
  <c r="Q428" i="107"/>
  <c r="R428" i="107"/>
  <c r="S428" i="107"/>
  <c r="T428" i="107"/>
  <c r="U428" i="107"/>
  <c r="V428" i="107"/>
  <c r="W428" i="107"/>
  <c r="X428" i="107"/>
  <c r="Y428" i="107"/>
  <c r="Z428" i="107"/>
  <c r="AA428" i="107"/>
  <c r="AB428" i="107"/>
  <c r="AC428" i="107"/>
  <c r="AD428" i="107"/>
  <c r="C429" i="107"/>
  <c r="D429" i="107"/>
  <c r="E429" i="107"/>
  <c r="F429" i="107"/>
  <c r="G429" i="107"/>
  <c r="H429" i="107"/>
  <c r="I429" i="107"/>
  <c r="J429" i="107"/>
  <c r="K429" i="107"/>
  <c r="L429" i="107"/>
  <c r="M429" i="107"/>
  <c r="N429" i="107"/>
  <c r="O429" i="107"/>
  <c r="P429" i="107"/>
  <c r="Q429" i="107"/>
  <c r="R429" i="107"/>
  <c r="S429" i="107"/>
  <c r="T429" i="107"/>
  <c r="U429" i="107"/>
  <c r="V429" i="107"/>
  <c r="W429" i="107"/>
  <c r="X429" i="107"/>
  <c r="Y429" i="107"/>
  <c r="Z429" i="107"/>
  <c r="AA429" i="107"/>
  <c r="AB429" i="107"/>
  <c r="AC429" i="107"/>
  <c r="AD429" i="107"/>
  <c r="C430" i="107"/>
  <c r="D430" i="107"/>
  <c r="E430" i="107"/>
  <c r="F430" i="107"/>
  <c r="G430" i="107"/>
  <c r="H430" i="107"/>
  <c r="I430" i="107"/>
  <c r="J430" i="107"/>
  <c r="K430" i="107"/>
  <c r="L430" i="107"/>
  <c r="M430" i="107"/>
  <c r="N430" i="107"/>
  <c r="O430" i="107"/>
  <c r="P430" i="107"/>
  <c r="Q430" i="107"/>
  <c r="R430" i="107"/>
  <c r="S430" i="107"/>
  <c r="T430" i="107"/>
  <c r="U430" i="107"/>
  <c r="V430" i="107"/>
  <c r="W430" i="107"/>
  <c r="X430" i="107"/>
  <c r="Y430" i="107"/>
  <c r="Z430" i="107"/>
  <c r="AA430" i="107"/>
  <c r="AB430" i="107"/>
  <c r="AC430" i="107"/>
  <c r="AD430" i="107"/>
  <c r="C431" i="107"/>
  <c r="D431" i="107"/>
  <c r="E431" i="107"/>
  <c r="F431" i="107"/>
  <c r="G431" i="107"/>
  <c r="H431" i="107"/>
  <c r="I431" i="107"/>
  <c r="J431" i="107"/>
  <c r="K431" i="107"/>
  <c r="L431" i="107"/>
  <c r="M431" i="107"/>
  <c r="N431" i="107"/>
  <c r="O431" i="107"/>
  <c r="P431" i="107"/>
  <c r="Q431" i="107"/>
  <c r="R431" i="107"/>
  <c r="S431" i="107"/>
  <c r="T431" i="107"/>
  <c r="U431" i="107"/>
  <c r="V431" i="107"/>
  <c r="W431" i="107"/>
  <c r="X431" i="107"/>
  <c r="Y431" i="107"/>
  <c r="Z431" i="107"/>
  <c r="AA431" i="107"/>
  <c r="AB431" i="107"/>
  <c r="AC431" i="107"/>
  <c r="AD431" i="107"/>
  <c r="C432" i="107"/>
  <c r="D432" i="107"/>
  <c r="E432" i="107"/>
  <c r="F432" i="107"/>
  <c r="G432" i="107"/>
  <c r="H432" i="107"/>
  <c r="I432" i="107"/>
  <c r="J432" i="107"/>
  <c r="K432" i="107"/>
  <c r="L432" i="107"/>
  <c r="M432" i="107"/>
  <c r="N432" i="107"/>
  <c r="O432" i="107"/>
  <c r="P432" i="107"/>
  <c r="Q432" i="107"/>
  <c r="R432" i="107"/>
  <c r="S432" i="107"/>
  <c r="T432" i="107"/>
  <c r="U432" i="107"/>
  <c r="V432" i="107"/>
  <c r="W432" i="107"/>
  <c r="X432" i="107"/>
  <c r="Y432" i="107"/>
  <c r="Z432" i="107"/>
  <c r="AA432" i="107"/>
  <c r="AB432" i="107"/>
  <c r="AC432" i="107"/>
  <c r="AD432" i="107"/>
  <c r="C433" i="107"/>
  <c r="D433" i="107"/>
  <c r="E433" i="107"/>
  <c r="F433" i="107"/>
  <c r="G433" i="107"/>
  <c r="H433" i="107"/>
  <c r="I433" i="107"/>
  <c r="J433" i="107"/>
  <c r="K433" i="107"/>
  <c r="L433" i="107"/>
  <c r="M433" i="107"/>
  <c r="N433" i="107"/>
  <c r="O433" i="107"/>
  <c r="P433" i="107"/>
  <c r="Q433" i="107"/>
  <c r="R433" i="107"/>
  <c r="S433" i="107"/>
  <c r="T433" i="107"/>
  <c r="U433" i="107"/>
  <c r="V433" i="107"/>
  <c r="W433" i="107"/>
  <c r="X433" i="107"/>
  <c r="Y433" i="107"/>
  <c r="Z433" i="107"/>
  <c r="AA433" i="107"/>
  <c r="AB433" i="107"/>
  <c r="AC433" i="107"/>
  <c r="AD433" i="107"/>
  <c r="C434" i="107"/>
  <c r="D434" i="107"/>
  <c r="E434" i="107"/>
  <c r="F434" i="107"/>
  <c r="G434" i="107"/>
  <c r="H434" i="107"/>
  <c r="I434" i="107"/>
  <c r="J434" i="107"/>
  <c r="K434" i="107"/>
  <c r="L434" i="107"/>
  <c r="M434" i="107"/>
  <c r="N434" i="107"/>
  <c r="O434" i="107"/>
  <c r="P434" i="107"/>
  <c r="Q434" i="107"/>
  <c r="R434" i="107"/>
  <c r="S434" i="107"/>
  <c r="T434" i="107"/>
  <c r="U434" i="107"/>
  <c r="V434" i="107"/>
  <c r="W434" i="107"/>
  <c r="X434" i="107"/>
  <c r="Y434" i="107"/>
  <c r="Z434" i="107"/>
  <c r="AA434" i="107"/>
  <c r="AB434" i="107"/>
  <c r="AC434" i="107"/>
  <c r="AD434" i="107"/>
  <c r="C435" i="107"/>
  <c r="D435" i="107"/>
  <c r="E435" i="107"/>
  <c r="F435" i="107"/>
  <c r="G435" i="107"/>
  <c r="H435" i="107"/>
  <c r="I435" i="107"/>
  <c r="J435" i="107"/>
  <c r="K435" i="107"/>
  <c r="L435" i="107"/>
  <c r="M435" i="107"/>
  <c r="N435" i="107"/>
  <c r="O435" i="107"/>
  <c r="P435" i="107"/>
  <c r="Q435" i="107"/>
  <c r="R435" i="107"/>
  <c r="S435" i="107"/>
  <c r="T435" i="107"/>
  <c r="U435" i="107"/>
  <c r="V435" i="107"/>
  <c r="W435" i="107"/>
  <c r="X435" i="107"/>
  <c r="Y435" i="107"/>
  <c r="Z435" i="107"/>
  <c r="AA435" i="107"/>
  <c r="AB435" i="107"/>
  <c r="AC435" i="107"/>
  <c r="AD435" i="107"/>
  <c r="C436" i="107"/>
  <c r="D436" i="107"/>
  <c r="E436" i="107"/>
  <c r="F436" i="107"/>
  <c r="G436" i="107"/>
  <c r="H436" i="107"/>
  <c r="I436" i="107"/>
  <c r="J436" i="107"/>
  <c r="K436" i="107"/>
  <c r="L436" i="107"/>
  <c r="M436" i="107"/>
  <c r="N436" i="107"/>
  <c r="O436" i="107"/>
  <c r="P436" i="107"/>
  <c r="Q436" i="107"/>
  <c r="R436" i="107"/>
  <c r="S436" i="107"/>
  <c r="T436" i="107"/>
  <c r="U436" i="107"/>
  <c r="V436" i="107"/>
  <c r="W436" i="107"/>
  <c r="X436" i="107"/>
  <c r="Y436" i="107"/>
  <c r="Z436" i="107"/>
  <c r="AA436" i="107"/>
  <c r="AB436" i="107"/>
  <c r="AC436" i="107"/>
  <c r="AD436" i="107"/>
  <c r="C437" i="107"/>
  <c r="D437" i="107"/>
  <c r="E437" i="107"/>
  <c r="F437" i="107"/>
  <c r="G437" i="107"/>
  <c r="H437" i="107"/>
  <c r="I437" i="107"/>
  <c r="J437" i="107"/>
  <c r="K437" i="107"/>
  <c r="L437" i="107"/>
  <c r="M437" i="107"/>
  <c r="N437" i="107"/>
  <c r="O437" i="107"/>
  <c r="P437" i="107"/>
  <c r="Q437" i="107"/>
  <c r="R437" i="107"/>
  <c r="S437" i="107"/>
  <c r="T437" i="107"/>
  <c r="U437" i="107"/>
  <c r="V437" i="107"/>
  <c r="W437" i="107"/>
  <c r="X437" i="107"/>
  <c r="Y437" i="107"/>
  <c r="Z437" i="107"/>
  <c r="AA437" i="107"/>
  <c r="AB437" i="107"/>
  <c r="AC437" i="107"/>
  <c r="AD437" i="107"/>
  <c r="C438" i="107"/>
  <c r="D438" i="107"/>
  <c r="E438" i="107"/>
  <c r="F438" i="107"/>
  <c r="G438" i="107"/>
  <c r="H438" i="107"/>
  <c r="I438" i="107"/>
  <c r="J438" i="107"/>
  <c r="K438" i="107"/>
  <c r="L438" i="107"/>
  <c r="M438" i="107"/>
  <c r="N438" i="107"/>
  <c r="O438" i="107"/>
  <c r="P438" i="107"/>
  <c r="Q438" i="107"/>
  <c r="R438" i="107"/>
  <c r="S438" i="107"/>
  <c r="T438" i="107"/>
  <c r="U438" i="107"/>
  <c r="V438" i="107"/>
  <c r="W438" i="107"/>
  <c r="X438" i="107"/>
  <c r="Y438" i="107"/>
  <c r="Z438" i="107"/>
  <c r="AA438" i="107"/>
  <c r="AB438" i="107"/>
  <c r="AC438" i="107"/>
  <c r="AD438" i="107"/>
  <c r="C439" i="107"/>
  <c r="D439" i="107"/>
  <c r="E439" i="107"/>
  <c r="F439" i="107"/>
  <c r="G439" i="107"/>
  <c r="H439" i="107"/>
  <c r="I439" i="107"/>
  <c r="J439" i="107"/>
  <c r="K439" i="107"/>
  <c r="L439" i="107"/>
  <c r="M439" i="107"/>
  <c r="N439" i="107"/>
  <c r="O439" i="107"/>
  <c r="P439" i="107"/>
  <c r="Q439" i="107"/>
  <c r="R439" i="107"/>
  <c r="S439" i="107"/>
  <c r="T439" i="107"/>
  <c r="U439" i="107"/>
  <c r="V439" i="107"/>
  <c r="W439" i="107"/>
  <c r="X439" i="107"/>
  <c r="Y439" i="107"/>
  <c r="Z439" i="107"/>
  <c r="AA439" i="107"/>
  <c r="AB439" i="107"/>
  <c r="AC439" i="107"/>
  <c r="AD439" i="107"/>
  <c r="C440" i="107"/>
  <c r="D440" i="107"/>
  <c r="E440" i="107"/>
  <c r="F440" i="107"/>
  <c r="G440" i="107"/>
  <c r="H440" i="107"/>
  <c r="I440" i="107"/>
  <c r="J440" i="107"/>
  <c r="K440" i="107"/>
  <c r="L440" i="107"/>
  <c r="M440" i="107"/>
  <c r="N440" i="107"/>
  <c r="O440" i="107"/>
  <c r="P440" i="107"/>
  <c r="Q440" i="107"/>
  <c r="R440" i="107"/>
  <c r="S440" i="107"/>
  <c r="T440" i="107"/>
  <c r="U440" i="107"/>
  <c r="V440" i="107"/>
  <c r="W440" i="107"/>
  <c r="X440" i="107"/>
  <c r="Y440" i="107"/>
  <c r="Z440" i="107"/>
  <c r="AA440" i="107"/>
  <c r="AB440" i="107"/>
  <c r="AC440" i="107"/>
  <c r="AD440" i="107"/>
  <c r="C441" i="107"/>
  <c r="D441" i="107"/>
  <c r="E441" i="107"/>
  <c r="F441" i="107"/>
  <c r="G441" i="107"/>
  <c r="H441" i="107"/>
  <c r="I441" i="107"/>
  <c r="J441" i="107"/>
  <c r="K441" i="107"/>
  <c r="L441" i="107"/>
  <c r="M441" i="107"/>
  <c r="N441" i="107"/>
  <c r="O441" i="107"/>
  <c r="P441" i="107"/>
  <c r="Q441" i="107"/>
  <c r="R441" i="107"/>
  <c r="S441" i="107"/>
  <c r="T441" i="107"/>
  <c r="U441" i="107"/>
  <c r="V441" i="107"/>
  <c r="W441" i="107"/>
  <c r="X441" i="107"/>
  <c r="Y441" i="107"/>
  <c r="Z441" i="107"/>
  <c r="AA441" i="107"/>
  <c r="AB441" i="107"/>
  <c r="AC441" i="107"/>
  <c r="AD441" i="107"/>
  <c r="C442" i="107"/>
  <c r="D442" i="107"/>
  <c r="E442" i="107"/>
  <c r="F442" i="107"/>
  <c r="G442" i="107"/>
  <c r="H442" i="107"/>
  <c r="I442" i="107"/>
  <c r="J442" i="107"/>
  <c r="K442" i="107"/>
  <c r="L442" i="107"/>
  <c r="M442" i="107"/>
  <c r="N442" i="107"/>
  <c r="O442" i="107"/>
  <c r="P442" i="107"/>
  <c r="Q442" i="107"/>
  <c r="R442" i="107"/>
  <c r="S442" i="107"/>
  <c r="T442" i="107"/>
  <c r="U442" i="107"/>
  <c r="V442" i="107"/>
  <c r="W442" i="107"/>
  <c r="X442" i="107"/>
  <c r="Y442" i="107"/>
  <c r="Z442" i="107"/>
  <c r="AA442" i="107"/>
  <c r="AB442" i="107"/>
  <c r="AC442" i="107"/>
  <c r="AD442" i="107"/>
  <c r="C443" i="107"/>
  <c r="D443" i="107"/>
  <c r="E443" i="107"/>
  <c r="F443" i="107"/>
  <c r="G443" i="107"/>
  <c r="H443" i="107"/>
  <c r="I443" i="107"/>
  <c r="J443" i="107"/>
  <c r="K443" i="107"/>
  <c r="L443" i="107"/>
  <c r="M443" i="107"/>
  <c r="N443" i="107"/>
  <c r="O443" i="107"/>
  <c r="P443" i="107"/>
  <c r="Q443" i="107"/>
  <c r="R443" i="107"/>
  <c r="S443" i="107"/>
  <c r="T443" i="107"/>
  <c r="U443" i="107"/>
  <c r="V443" i="107"/>
  <c r="W443" i="107"/>
  <c r="X443" i="107"/>
  <c r="Y443" i="107"/>
  <c r="Z443" i="107"/>
  <c r="AA443" i="107"/>
  <c r="AB443" i="107"/>
  <c r="AC443" i="107"/>
  <c r="AD443" i="107"/>
  <c r="C444" i="107"/>
  <c r="D444" i="107"/>
  <c r="E444" i="107"/>
  <c r="F444" i="107"/>
  <c r="G444" i="107"/>
  <c r="H444" i="107"/>
  <c r="I444" i="107"/>
  <c r="J444" i="107"/>
  <c r="K444" i="107"/>
  <c r="L444" i="107"/>
  <c r="M444" i="107"/>
  <c r="N444" i="107"/>
  <c r="O444" i="107"/>
  <c r="P444" i="107"/>
  <c r="Q444" i="107"/>
  <c r="R444" i="107"/>
  <c r="S444" i="107"/>
  <c r="T444" i="107"/>
  <c r="U444" i="107"/>
  <c r="V444" i="107"/>
  <c r="W444" i="107"/>
  <c r="X444" i="107"/>
  <c r="Y444" i="107"/>
  <c r="Z444" i="107"/>
  <c r="AA444" i="107"/>
  <c r="AB444" i="107"/>
  <c r="AC444" i="107"/>
  <c r="AD444" i="107"/>
  <c r="C445" i="107"/>
  <c r="D445" i="107"/>
  <c r="E445" i="107"/>
  <c r="F445" i="107"/>
  <c r="G445" i="107"/>
  <c r="H445" i="107"/>
  <c r="I445" i="107"/>
  <c r="J445" i="107"/>
  <c r="K445" i="107"/>
  <c r="L445" i="107"/>
  <c r="M445" i="107"/>
  <c r="N445" i="107"/>
  <c r="O445" i="107"/>
  <c r="P445" i="107"/>
  <c r="Q445" i="107"/>
  <c r="R445" i="107"/>
  <c r="S445" i="107"/>
  <c r="T445" i="107"/>
  <c r="U445" i="107"/>
  <c r="V445" i="107"/>
  <c r="W445" i="107"/>
  <c r="X445" i="107"/>
  <c r="Y445" i="107"/>
  <c r="Z445" i="107"/>
  <c r="AA445" i="107"/>
  <c r="AB445" i="107"/>
  <c r="AC445" i="107"/>
  <c r="AD445" i="107"/>
  <c r="C446" i="107"/>
  <c r="D446" i="107"/>
  <c r="E446" i="107"/>
  <c r="F446" i="107"/>
  <c r="G446" i="107"/>
  <c r="H446" i="107"/>
  <c r="I446" i="107"/>
  <c r="J446" i="107"/>
  <c r="K446" i="107"/>
  <c r="L446" i="107"/>
  <c r="M446" i="107"/>
  <c r="N446" i="107"/>
  <c r="O446" i="107"/>
  <c r="P446" i="107"/>
  <c r="Q446" i="107"/>
  <c r="R446" i="107"/>
  <c r="S446" i="107"/>
  <c r="T446" i="107"/>
  <c r="U446" i="107"/>
  <c r="V446" i="107"/>
  <c r="W446" i="107"/>
  <c r="X446" i="107"/>
  <c r="Y446" i="107"/>
  <c r="Z446" i="107"/>
  <c r="AA446" i="107"/>
  <c r="AB446" i="107"/>
  <c r="AC446" i="107"/>
  <c r="AD446" i="107"/>
  <c r="C447" i="107"/>
  <c r="D447" i="107"/>
  <c r="E447" i="107"/>
  <c r="F447" i="107"/>
  <c r="G447" i="107"/>
  <c r="H447" i="107"/>
  <c r="I447" i="107"/>
  <c r="J447" i="107"/>
  <c r="K447" i="107"/>
  <c r="L447" i="107"/>
  <c r="M447" i="107"/>
  <c r="N447" i="107"/>
  <c r="O447" i="107"/>
  <c r="P447" i="107"/>
  <c r="Q447" i="107"/>
  <c r="R447" i="107"/>
  <c r="S447" i="107"/>
  <c r="T447" i="107"/>
  <c r="U447" i="107"/>
  <c r="V447" i="107"/>
  <c r="W447" i="107"/>
  <c r="X447" i="107"/>
  <c r="Y447" i="107"/>
  <c r="Z447" i="107"/>
  <c r="AA447" i="107"/>
  <c r="AB447" i="107"/>
  <c r="AC447" i="107"/>
  <c r="AD447" i="107"/>
  <c r="C448" i="107"/>
  <c r="D448" i="107"/>
  <c r="E448" i="107"/>
  <c r="F448" i="107"/>
  <c r="G448" i="107"/>
  <c r="H448" i="107"/>
  <c r="I448" i="107"/>
  <c r="J448" i="107"/>
  <c r="K448" i="107"/>
  <c r="L448" i="107"/>
  <c r="M448" i="107"/>
  <c r="N448" i="107"/>
  <c r="O448" i="107"/>
  <c r="P448" i="107"/>
  <c r="Q448" i="107"/>
  <c r="R448" i="107"/>
  <c r="S448" i="107"/>
  <c r="T448" i="107"/>
  <c r="U448" i="107"/>
  <c r="V448" i="107"/>
  <c r="W448" i="107"/>
  <c r="X448" i="107"/>
  <c r="Y448" i="107"/>
  <c r="Z448" i="107"/>
  <c r="AA448" i="107"/>
  <c r="AB448" i="107"/>
  <c r="AC448" i="107"/>
  <c r="AD448" i="107"/>
  <c r="C449" i="107"/>
  <c r="D449" i="107"/>
  <c r="E449" i="107"/>
  <c r="F449" i="107"/>
  <c r="G449" i="107"/>
  <c r="H449" i="107"/>
  <c r="I449" i="107"/>
  <c r="J449" i="107"/>
  <c r="K449" i="107"/>
  <c r="L449" i="107"/>
  <c r="M449" i="107"/>
  <c r="N449" i="107"/>
  <c r="O449" i="107"/>
  <c r="P449" i="107"/>
  <c r="Q449" i="107"/>
  <c r="R449" i="107"/>
  <c r="S449" i="107"/>
  <c r="T449" i="107"/>
  <c r="U449" i="107"/>
  <c r="V449" i="107"/>
  <c r="W449" i="107"/>
  <c r="X449" i="107"/>
  <c r="Y449" i="107"/>
  <c r="Z449" i="107"/>
  <c r="AA449" i="107"/>
  <c r="AB449" i="107"/>
  <c r="AC449" i="107"/>
  <c r="AD449" i="107"/>
  <c r="C450" i="107"/>
  <c r="D450" i="107"/>
  <c r="E450" i="107"/>
  <c r="F450" i="107"/>
  <c r="G450" i="107"/>
  <c r="H450" i="107"/>
  <c r="I450" i="107"/>
  <c r="J450" i="107"/>
  <c r="K450" i="107"/>
  <c r="L450" i="107"/>
  <c r="M450" i="107"/>
  <c r="N450" i="107"/>
  <c r="O450" i="107"/>
  <c r="P450" i="107"/>
  <c r="Q450" i="107"/>
  <c r="R450" i="107"/>
  <c r="S450" i="107"/>
  <c r="T450" i="107"/>
  <c r="U450" i="107"/>
  <c r="V450" i="107"/>
  <c r="W450" i="107"/>
  <c r="X450" i="107"/>
  <c r="Y450" i="107"/>
  <c r="Z450" i="107"/>
  <c r="AA450" i="107"/>
  <c r="AB450" i="107"/>
  <c r="AC450" i="107"/>
  <c r="AD450" i="107"/>
  <c r="C451" i="107"/>
  <c r="D451" i="107"/>
  <c r="E451" i="107"/>
  <c r="F451" i="107"/>
  <c r="G451" i="107"/>
  <c r="H451" i="107"/>
  <c r="I451" i="107"/>
  <c r="J451" i="107"/>
  <c r="K451" i="107"/>
  <c r="L451" i="107"/>
  <c r="M451" i="107"/>
  <c r="N451" i="107"/>
  <c r="O451" i="107"/>
  <c r="P451" i="107"/>
  <c r="Q451" i="107"/>
  <c r="R451" i="107"/>
  <c r="S451" i="107"/>
  <c r="T451" i="107"/>
  <c r="U451" i="107"/>
  <c r="V451" i="107"/>
  <c r="W451" i="107"/>
  <c r="X451" i="107"/>
  <c r="Y451" i="107"/>
  <c r="Z451" i="107"/>
  <c r="AA451" i="107"/>
  <c r="AB451" i="107"/>
  <c r="AC451" i="107"/>
  <c r="AD451" i="107"/>
  <c r="C452" i="107"/>
  <c r="D452" i="107"/>
  <c r="E452" i="107"/>
  <c r="F452" i="107"/>
  <c r="G452" i="107"/>
  <c r="H452" i="107"/>
  <c r="I452" i="107"/>
  <c r="J452" i="107"/>
  <c r="K452" i="107"/>
  <c r="L452" i="107"/>
  <c r="M452" i="107"/>
  <c r="N452" i="107"/>
  <c r="O452" i="107"/>
  <c r="P452" i="107"/>
  <c r="Q452" i="107"/>
  <c r="R452" i="107"/>
  <c r="S452" i="107"/>
  <c r="T452" i="107"/>
  <c r="U452" i="107"/>
  <c r="V452" i="107"/>
  <c r="W452" i="107"/>
  <c r="X452" i="107"/>
  <c r="Y452" i="107"/>
  <c r="Z452" i="107"/>
  <c r="AA452" i="107"/>
  <c r="AB452" i="107"/>
  <c r="AC452" i="107"/>
  <c r="AD452" i="107"/>
  <c r="C453" i="107"/>
  <c r="D453" i="107"/>
  <c r="E453" i="107"/>
  <c r="F453" i="107"/>
  <c r="G453" i="107"/>
  <c r="H453" i="107"/>
  <c r="I453" i="107"/>
  <c r="J453" i="107"/>
  <c r="K453" i="107"/>
  <c r="L453" i="107"/>
  <c r="M453" i="107"/>
  <c r="N453" i="107"/>
  <c r="O453" i="107"/>
  <c r="P453" i="107"/>
  <c r="Q453" i="107"/>
  <c r="R453" i="107"/>
  <c r="S453" i="107"/>
  <c r="T453" i="107"/>
  <c r="U453" i="107"/>
  <c r="V453" i="107"/>
  <c r="W453" i="107"/>
  <c r="X453" i="107"/>
  <c r="Y453" i="107"/>
  <c r="Z453" i="107"/>
  <c r="AA453" i="107"/>
  <c r="AB453" i="107"/>
  <c r="AC453" i="107"/>
  <c r="AD453" i="107"/>
  <c r="C454" i="107"/>
  <c r="D454" i="107"/>
  <c r="E454" i="107"/>
  <c r="F454" i="107"/>
  <c r="G454" i="107"/>
  <c r="H454" i="107"/>
  <c r="I454" i="107"/>
  <c r="J454" i="107"/>
  <c r="K454" i="107"/>
  <c r="L454" i="107"/>
  <c r="M454" i="107"/>
  <c r="N454" i="107"/>
  <c r="O454" i="107"/>
  <c r="P454" i="107"/>
  <c r="Q454" i="107"/>
  <c r="R454" i="107"/>
  <c r="S454" i="107"/>
  <c r="T454" i="107"/>
  <c r="U454" i="107"/>
  <c r="V454" i="107"/>
  <c r="W454" i="107"/>
  <c r="X454" i="107"/>
  <c r="Y454" i="107"/>
  <c r="Z454" i="107"/>
  <c r="AA454" i="107"/>
  <c r="AB454" i="107"/>
  <c r="AC454" i="107"/>
  <c r="AD454" i="107"/>
  <c r="C455" i="107"/>
  <c r="D455" i="107"/>
  <c r="E455" i="107"/>
  <c r="F455" i="107"/>
  <c r="G455" i="107"/>
  <c r="H455" i="107"/>
  <c r="I455" i="107"/>
  <c r="J455" i="107"/>
  <c r="K455" i="107"/>
  <c r="L455" i="107"/>
  <c r="M455" i="107"/>
  <c r="N455" i="107"/>
  <c r="O455" i="107"/>
  <c r="P455" i="107"/>
  <c r="Q455" i="107"/>
  <c r="R455" i="107"/>
  <c r="S455" i="107"/>
  <c r="T455" i="107"/>
  <c r="U455" i="107"/>
  <c r="V455" i="107"/>
  <c r="W455" i="107"/>
  <c r="X455" i="107"/>
  <c r="Y455" i="107"/>
  <c r="Z455" i="107"/>
  <c r="AA455" i="107"/>
  <c r="AB455" i="107"/>
  <c r="AC455" i="107"/>
  <c r="AD455" i="107"/>
  <c r="C456" i="107"/>
  <c r="D456" i="107"/>
  <c r="E456" i="107"/>
  <c r="F456" i="107"/>
  <c r="G456" i="107"/>
  <c r="H456" i="107"/>
  <c r="I456" i="107"/>
  <c r="J456" i="107"/>
  <c r="K456" i="107"/>
  <c r="L456" i="107"/>
  <c r="M456" i="107"/>
  <c r="N456" i="107"/>
  <c r="O456" i="107"/>
  <c r="P456" i="107"/>
  <c r="Q456" i="107"/>
  <c r="R456" i="107"/>
  <c r="S456" i="107"/>
  <c r="T456" i="107"/>
  <c r="U456" i="107"/>
  <c r="V456" i="107"/>
  <c r="W456" i="107"/>
  <c r="X456" i="107"/>
  <c r="Y456" i="107"/>
  <c r="Z456" i="107"/>
  <c r="AA456" i="107"/>
  <c r="AB456" i="107"/>
  <c r="AC456" i="107"/>
  <c r="AD456" i="107"/>
  <c r="C457" i="107"/>
  <c r="D457" i="107"/>
  <c r="E457" i="107"/>
  <c r="F457" i="107"/>
  <c r="G457" i="107"/>
  <c r="H457" i="107"/>
  <c r="I457" i="107"/>
  <c r="J457" i="107"/>
  <c r="K457" i="107"/>
  <c r="L457" i="107"/>
  <c r="M457" i="107"/>
  <c r="N457" i="107"/>
  <c r="O457" i="107"/>
  <c r="P457" i="107"/>
  <c r="Q457" i="107"/>
  <c r="R457" i="107"/>
  <c r="S457" i="107"/>
  <c r="T457" i="107"/>
  <c r="U457" i="107"/>
  <c r="V457" i="107"/>
  <c r="W457" i="107"/>
  <c r="X457" i="107"/>
  <c r="Y457" i="107"/>
  <c r="Z457" i="107"/>
  <c r="AA457" i="107"/>
  <c r="AB457" i="107"/>
  <c r="AC457" i="107"/>
  <c r="AD457" i="107"/>
  <c r="C458" i="107"/>
  <c r="D458" i="107"/>
  <c r="E458" i="107"/>
  <c r="F458" i="107"/>
  <c r="G458" i="107"/>
  <c r="H458" i="107"/>
  <c r="I458" i="107"/>
  <c r="J458" i="107"/>
  <c r="K458" i="107"/>
  <c r="L458" i="107"/>
  <c r="M458" i="107"/>
  <c r="N458" i="107"/>
  <c r="O458" i="107"/>
  <c r="P458" i="107"/>
  <c r="Q458" i="107"/>
  <c r="R458" i="107"/>
  <c r="S458" i="107"/>
  <c r="T458" i="107"/>
  <c r="U458" i="107"/>
  <c r="V458" i="107"/>
  <c r="W458" i="107"/>
  <c r="X458" i="107"/>
  <c r="Y458" i="107"/>
  <c r="Z458" i="107"/>
  <c r="AA458" i="107"/>
  <c r="AB458" i="107"/>
  <c r="AC458" i="107"/>
  <c r="AD458" i="107"/>
  <c r="C459" i="107"/>
  <c r="D459" i="107"/>
  <c r="E459" i="107"/>
  <c r="F459" i="107"/>
  <c r="G459" i="107"/>
  <c r="H459" i="107"/>
  <c r="I459" i="107"/>
  <c r="J459" i="107"/>
  <c r="K459" i="107"/>
  <c r="L459" i="107"/>
  <c r="M459" i="107"/>
  <c r="N459" i="107"/>
  <c r="O459" i="107"/>
  <c r="P459" i="107"/>
  <c r="Q459" i="107"/>
  <c r="R459" i="107"/>
  <c r="S459" i="107"/>
  <c r="T459" i="107"/>
  <c r="U459" i="107"/>
  <c r="V459" i="107"/>
  <c r="W459" i="107"/>
  <c r="X459" i="107"/>
  <c r="Y459" i="107"/>
  <c r="Z459" i="107"/>
  <c r="AA459" i="107"/>
  <c r="AB459" i="107"/>
  <c r="AC459" i="107"/>
  <c r="AD459" i="107"/>
  <c r="C460" i="107"/>
  <c r="D460" i="107"/>
  <c r="E460" i="107"/>
  <c r="F460" i="107"/>
  <c r="G460" i="107"/>
  <c r="H460" i="107"/>
  <c r="I460" i="107"/>
  <c r="J460" i="107"/>
  <c r="K460" i="107"/>
  <c r="L460" i="107"/>
  <c r="M460" i="107"/>
  <c r="N460" i="107"/>
  <c r="O460" i="107"/>
  <c r="P460" i="107"/>
  <c r="Q460" i="107"/>
  <c r="R460" i="107"/>
  <c r="S460" i="107"/>
  <c r="T460" i="107"/>
  <c r="U460" i="107"/>
  <c r="V460" i="107"/>
  <c r="W460" i="107"/>
  <c r="X460" i="107"/>
  <c r="Y460" i="107"/>
  <c r="Z460" i="107"/>
  <c r="AA460" i="107"/>
  <c r="AB460" i="107"/>
  <c r="AC460" i="107"/>
  <c r="AD460" i="107"/>
  <c r="C461" i="107"/>
  <c r="D461" i="107"/>
  <c r="E461" i="107"/>
  <c r="F461" i="107"/>
  <c r="G461" i="107"/>
  <c r="H461" i="107"/>
  <c r="I461" i="107"/>
  <c r="J461" i="107"/>
  <c r="K461" i="107"/>
  <c r="L461" i="107"/>
  <c r="M461" i="107"/>
  <c r="N461" i="107"/>
  <c r="O461" i="107"/>
  <c r="P461" i="107"/>
  <c r="Q461" i="107"/>
  <c r="R461" i="107"/>
  <c r="S461" i="107"/>
  <c r="T461" i="107"/>
  <c r="U461" i="107"/>
  <c r="V461" i="107"/>
  <c r="W461" i="107"/>
  <c r="X461" i="107"/>
  <c r="Y461" i="107"/>
  <c r="Z461" i="107"/>
  <c r="AA461" i="107"/>
  <c r="AB461" i="107"/>
  <c r="AC461" i="107"/>
  <c r="AD461" i="107"/>
  <c r="C462" i="107"/>
  <c r="D462" i="107"/>
  <c r="E462" i="107"/>
  <c r="F462" i="107"/>
  <c r="G462" i="107"/>
  <c r="H462" i="107"/>
  <c r="I462" i="107"/>
  <c r="J462" i="107"/>
  <c r="K462" i="107"/>
  <c r="L462" i="107"/>
  <c r="M462" i="107"/>
  <c r="N462" i="107"/>
  <c r="O462" i="107"/>
  <c r="P462" i="107"/>
  <c r="Q462" i="107"/>
  <c r="R462" i="107"/>
  <c r="S462" i="107"/>
  <c r="T462" i="107"/>
  <c r="U462" i="107"/>
  <c r="V462" i="107"/>
  <c r="W462" i="107"/>
  <c r="X462" i="107"/>
  <c r="Y462" i="107"/>
  <c r="Z462" i="107"/>
  <c r="AA462" i="107"/>
  <c r="AB462" i="107"/>
  <c r="AC462" i="107"/>
  <c r="AD462" i="107"/>
  <c r="C463" i="107"/>
  <c r="D463" i="107"/>
  <c r="E463" i="107"/>
  <c r="F463" i="107"/>
  <c r="G463" i="107"/>
  <c r="H463" i="107"/>
  <c r="I463" i="107"/>
  <c r="J463" i="107"/>
  <c r="K463" i="107"/>
  <c r="L463" i="107"/>
  <c r="M463" i="107"/>
  <c r="N463" i="107"/>
  <c r="O463" i="107"/>
  <c r="P463" i="107"/>
  <c r="Q463" i="107"/>
  <c r="R463" i="107"/>
  <c r="S463" i="107"/>
  <c r="T463" i="107"/>
  <c r="U463" i="107"/>
  <c r="V463" i="107"/>
  <c r="W463" i="107"/>
  <c r="X463" i="107"/>
  <c r="Y463" i="107"/>
  <c r="Z463" i="107"/>
  <c r="AA463" i="107"/>
  <c r="AB463" i="107"/>
  <c r="AC463" i="107"/>
  <c r="AD463" i="107"/>
  <c r="C464" i="107"/>
  <c r="D464" i="107"/>
  <c r="E464" i="107"/>
  <c r="F464" i="107"/>
  <c r="G464" i="107"/>
  <c r="H464" i="107"/>
  <c r="I464" i="107"/>
  <c r="J464" i="107"/>
  <c r="K464" i="107"/>
  <c r="L464" i="107"/>
  <c r="M464" i="107"/>
  <c r="N464" i="107"/>
  <c r="O464" i="107"/>
  <c r="P464" i="107"/>
  <c r="Q464" i="107"/>
  <c r="R464" i="107"/>
  <c r="S464" i="107"/>
  <c r="T464" i="107"/>
  <c r="U464" i="107"/>
  <c r="V464" i="107"/>
  <c r="W464" i="107"/>
  <c r="X464" i="107"/>
  <c r="Y464" i="107"/>
  <c r="Z464" i="107"/>
  <c r="AA464" i="107"/>
  <c r="AB464" i="107"/>
  <c r="AC464" i="107"/>
  <c r="AD464" i="107"/>
  <c r="C465" i="107"/>
  <c r="D465" i="107"/>
  <c r="E465" i="107"/>
  <c r="F465" i="107"/>
  <c r="G465" i="107"/>
  <c r="H465" i="107"/>
  <c r="I465" i="107"/>
  <c r="J465" i="107"/>
  <c r="K465" i="107"/>
  <c r="L465" i="107"/>
  <c r="M465" i="107"/>
  <c r="N465" i="107"/>
  <c r="O465" i="107"/>
  <c r="P465" i="107"/>
  <c r="Q465" i="107"/>
  <c r="R465" i="107"/>
  <c r="S465" i="107"/>
  <c r="T465" i="107"/>
  <c r="U465" i="107"/>
  <c r="V465" i="107"/>
  <c r="W465" i="107"/>
  <c r="X465" i="107"/>
  <c r="Y465" i="107"/>
  <c r="Z465" i="107"/>
  <c r="AA465" i="107"/>
  <c r="AB465" i="107"/>
  <c r="AC465" i="107"/>
  <c r="AD465" i="107"/>
  <c r="C466" i="107"/>
  <c r="D466" i="107"/>
  <c r="E466" i="107"/>
  <c r="F466" i="107"/>
  <c r="G466" i="107"/>
  <c r="H466" i="107"/>
  <c r="I466" i="107"/>
  <c r="J466" i="107"/>
  <c r="K466" i="107"/>
  <c r="L466" i="107"/>
  <c r="M466" i="107"/>
  <c r="N466" i="107"/>
  <c r="O466" i="107"/>
  <c r="P466" i="107"/>
  <c r="Q466" i="107"/>
  <c r="R466" i="107"/>
  <c r="S466" i="107"/>
  <c r="T466" i="107"/>
  <c r="U466" i="107"/>
  <c r="V466" i="107"/>
  <c r="W466" i="107"/>
  <c r="X466" i="107"/>
  <c r="Y466" i="107"/>
  <c r="Z466" i="107"/>
  <c r="AA466" i="107"/>
  <c r="AB466" i="107"/>
  <c r="AC466" i="107"/>
  <c r="AD466" i="107"/>
  <c r="C467" i="107"/>
  <c r="D467" i="107"/>
  <c r="E467" i="107"/>
  <c r="F467" i="107"/>
  <c r="G467" i="107"/>
  <c r="H467" i="107"/>
  <c r="I467" i="107"/>
  <c r="J467" i="107"/>
  <c r="K467" i="107"/>
  <c r="L467" i="107"/>
  <c r="M467" i="107"/>
  <c r="N467" i="107"/>
  <c r="O467" i="107"/>
  <c r="P467" i="107"/>
  <c r="Q467" i="107"/>
  <c r="R467" i="107"/>
  <c r="S467" i="107"/>
  <c r="T467" i="107"/>
  <c r="U467" i="107"/>
  <c r="V467" i="107"/>
  <c r="W467" i="107"/>
  <c r="X467" i="107"/>
  <c r="Y467" i="107"/>
  <c r="Z467" i="107"/>
  <c r="AA467" i="107"/>
  <c r="AB467" i="107"/>
  <c r="AC467" i="107"/>
  <c r="AD467" i="107"/>
  <c r="C468" i="107"/>
  <c r="D468" i="107"/>
  <c r="E468" i="107"/>
  <c r="F468" i="107"/>
  <c r="G468" i="107"/>
  <c r="H468" i="107"/>
  <c r="I468" i="107"/>
  <c r="J468" i="107"/>
  <c r="K468" i="107"/>
  <c r="L468" i="107"/>
  <c r="M468" i="107"/>
  <c r="N468" i="107"/>
  <c r="O468" i="107"/>
  <c r="P468" i="107"/>
  <c r="Q468" i="107"/>
  <c r="R468" i="107"/>
  <c r="S468" i="107"/>
  <c r="T468" i="107"/>
  <c r="U468" i="107"/>
  <c r="V468" i="107"/>
  <c r="W468" i="107"/>
  <c r="X468" i="107"/>
  <c r="Y468" i="107"/>
  <c r="Z468" i="107"/>
  <c r="AA468" i="107"/>
  <c r="AB468" i="107"/>
  <c r="AC468" i="107"/>
  <c r="AD468" i="107"/>
  <c r="C469" i="107"/>
  <c r="D469" i="107"/>
  <c r="E469" i="107"/>
  <c r="F469" i="107"/>
  <c r="G469" i="107"/>
  <c r="H469" i="107"/>
  <c r="I469" i="107"/>
  <c r="J469" i="107"/>
  <c r="K469" i="107"/>
  <c r="L469" i="107"/>
  <c r="M469" i="107"/>
  <c r="N469" i="107"/>
  <c r="O469" i="107"/>
  <c r="P469" i="107"/>
  <c r="Q469" i="107"/>
  <c r="R469" i="107"/>
  <c r="S469" i="107"/>
  <c r="T469" i="107"/>
  <c r="U469" i="107"/>
  <c r="V469" i="107"/>
  <c r="W469" i="107"/>
  <c r="X469" i="107"/>
  <c r="Y469" i="107"/>
  <c r="Z469" i="107"/>
  <c r="AA469" i="107"/>
  <c r="AB469" i="107"/>
  <c r="AC469" i="107"/>
  <c r="AD469" i="107"/>
  <c r="C470" i="107"/>
  <c r="D470" i="107"/>
  <c r="E470" i="107"/>
  <c r="F470" i="107"/>
  <c r="G470" i="107"/>
  <c r="H470" i="107"/>
  <c r="I470" i="107"/>
  <c r="J470" i="107"/>
  <c r="K470" i="107"/>
  <c r="L470" i="107"/>
  <c r="M470" i="107"/>
  <c r="N470" i="107"/>
  <c r="O470" i="107"/>
  <c r="P470" i="107"/>
  <c r="Q470" i="107"/>
  <c r="R470" i="107"/>
  <c r="S470" i="107"/>
  <c r="T470" i="107"/>
  <c r="U470" i="107"/>
  <c r="V470" i="107"/>
  <c r="W470" i="107"/>
  <c r="X470" i="107"/>
  <c r="Y470" i="107"/>
  <c r="Z470" i="107"/>
  <c r="AA470" i="107"/>
  <c r="AB470" i="107"/>
  <c r="AC470" i="107"/>
  <c r="AD470" i="107"/>
  <c r="C471" i="107"/>
  <c r="D471" i="107"/>
  <c r="E471" i="107"/>
  <c r="F471" i="107"/>
  <c r="G471" i="107"/>
  <c r="H471" i="107"/>
  <c r="I471" i="107"/>
  <c r="J471" i="107"/>
  <c r="K471" i="107"/>
  <c r="L471" i="107"/>
  <c r="M471" i="107"/>
  <c r="N471" i="107"/>
  <c r="O471" i="107"/>
  <c r="P471" i="107"/>
  <c r="Q471" i="107"/>
  <c r="R471" i="107"/>
  <c r="S471" i="107"/>
  <c r="T471" i="107"/>
  <c r="U471" i="107"/>
  <c r="V471" i="107"/>
  <c r="W471" i="107"/>
  <c r="X471" i="107"/>
  <c r="Y471" i="107"/>
  <c r="Z471" i="107"/>
  <c r="AA471" i="107"/>
  <c r="AB471" i="107"/>
  <c r="AC471" i="107"/>
  <c r="AD471" i="107"/>
  <c r="C472" i="107"/>
  <c r="D472" i="107"/>
  <c r="E472" i="107"/>
  <c r="F472" i="107"/>
  <c r="G472" i="107"/>
  <c r="H472" i="107"/>
  <c r="I472" i="107"/>
  <c r="J472" i="107"/>
  <c r="K472" i="107"/>
  <c r="L472" i="107"/>
  <c r="M472" i="107"/>
  <c r="N472" i="107"/>
  <c r="O472" i="107"/>
  <c r="P472" i="107"/>
  <c r="Q472" i="107"/>
  <c r="R472" i="107"/>
  <c r="S472" i="107"/>
  <c r="T472" i="107"/>
  <c r="U472" i="107"/>
  <c r="V472" i="107"/>
  <c r="W472" i="107"/>
  <c r="X472" i="107"/>
  <c r="Y472" i="107"/>
  <c r="Z472" i="107"/>
  <c r="AA472" i="107"/>
  <c r="AB472" i="107"/>
  <c r="AC472" i="107"/>
  <c r="AD472" i="107"/>
  <c r="C473" i="107"/>
  <c r="D473" i="107"/>
  <c r="E473" i="107"/>
  <c r="F473" i="107"/>
  <c r="G473" i="107"/>
  <c r="H473" i="107"/>
  <c r="I473" i="107"/>
  <c r="J473" i="107"/>
  <c r="K473" i="107"/>
  <c r="L473" i="107"/>
  <c r="M473" i="107"/>
  <c r="N473" i="107"/>
  <c r="O473" i="107"/>
  <c r="P473" i="107"/>
  <c r="Q473" i="107"/>
  <c r="R473" i="107"/>
  <c r="S473" i="107"/>
  <c r="T473" i="107"/>
  <c r="U473" i="107"/>
  <c r="V473" i="107"/>
  <c r="W473" i="107"/>
  <c r="X473" i="107"/>
  <c r="Y473" i="107"/>
  <c r="Z473" i="107"/>
  <c r="AA473" i="107"/>
  <c r="AB473" i="107"/>
  <c r="AC473" i="107"/>
  <c r="AD473" i="107"/>
  <c r="C474" i="107"/>
  <c r="D474" i="107"/>
  <c r="E474" i="107"/>
  <c r="F474" i="107"/>
  <c r="G474" i="107"/>
  <c r="H474" i="107"/>
  <c r="I474" i="107"/>
  <c r="J474" i="107"/>
  <c r="K474" i="107"/>
  <c r="L474" i="107"/>
  <c r="M474" i="107"/>
  <c r="N474" i="107"/>
  <c r="O474" i="107"/>
  <c r="P474" i="107"/>
  <c r="Q474" i="107"/>
  <c r="R474" i="107"/>
  <c r="S474" i="107"/>
  <c r="T474" i="107"/>
  <c r="U474" i="107"/>
  <c r="V474" i="107"/>
  <c r="W474" i="107"/>
  <c r="X474" i="107"/>
  <c r="Y474" i="107"/>
  <c r="Z474" i="107"/>
  <c r="AA474" i="107"/>
  <c r="AB474" i="107"/>
  <c r="AC474" i="107"/>
  <c r="AD474" i="107"/>
  <c r="C475" i="107"/>
  <c r="D475" i="107"/>
  <c r="E475" i="107"/>
  <c r="F475" i="107"/>
  <c r="G475" i="107"/>
  <c r="H475" i="107"/>
  <c r="I475" i="107"/>
  <c r="J475" i="107"/>
  <c r="K475" i="107"/>
  <c r="L475" i="107"/>
  <c r="M475" i="107"/>
  <c r="N475" i="107"/>
  <c r="O475" i="107"/>
  <c r="P475" i="107"/>
  <c r="Q475" i="107"/>
  <c r="R475" i="107"/>
  <c r="S475" i="107"/>
  <c r="T475" i="107"/>
  <c r="U475" i="107"/>
  <c r="V475" i="107"/>
  <c r="W475" i="107"/>
  <c r="X475" i="107"/>
  <c r="Y475" i="107"/>
  <c r="Z475" i="107"/>
  <c r="AA475" i="107"/>
  <c r="AB475" i="107"/>
  <c r="AC475" i="107"/>
  <c r="AD475" i="107"/>
  <c r="C476" i="107"/>
  <c r="D476" i="107"/>
  <c r="E476" i="107"/>
  <c r="F476" i="107"/>
  <c r="G476" i="107"/>
  <c r="H476" i="107"/>
  <c r="I476" i="107"/>
  <c r="J476" i="107"/>
  <c r="K476" i="107"/>
  <c r="L476" i="107"/>
  <c r="M476" i="107"/>
  <c r="N476" i="107"/>
  <c r="O476" i="107"/>
  <c r="P476" i="107"/>
  <c r="Q476" i="107"/>
  <c r="R476" i="107"/>
  <c r="S476" i="107"/>
  <c r="T476" i="107"/>
  <c r="U476" i="107"/>
  <c r="V476" i="107"/>
  <c r="W476" i="107"/>
  <c r="X476" i="107"/>
  <c r="Y476" i="107"/>
  <c r="Z476" i="107"/>
  <c r="AA476" i="107"/>
  <c r="AB476" i="107"/>
  <c r="AC476" i="107"/>
  <c r="AD476" i="107"/>
  <c r="C477" i="107"/>
  <c r="D477" i="107"/>
  <c r="E477" i="107"/>
  <c r="F477" i="107"/>
  <c r="G477" i="107"/>
  <c r="H477" i="107"/>
  <c r="I477" i="107"/>
  <c r="J477" i="107"/>
  <c r="K477" i="107"/>
  <c r="L477" i="107"/>
  <c r="M477" i="107"/>
  <c r="N477" i="107"/>
  <c r="O477" i="107"/>
  <c r="P477" i="107"/>
  <c r="Q477" i="107"/>
  <c r="R477" i="107"/>
  <c r="S477" i="107"/>
  <c r="T477" i="107"/>
  <c r="U477" i="107"/>
  <c r="V477" i="107"/>
  <c r="W477" i="107"/>
  <c r="X477" i="107"/>
  <c r="Y477" i="107"/>
  <c r="Z477" i="107"/>
  <c r="AA477" i="107"/>
  <c r="AB477" i="107"/>
  <c r="AC477" i="107"/>
  <c r="AD477" i="107"/>
  <c r="C478" i="107"/>
  <c r="D478" i="107"/>
  <c r="E478" i="107"/>
  <c r="F478" i="107"/>
  <c r="G478" i="107"/>
  <c r="H478" i="107"/>
  <c r="I478" i="107"/>
  <c r="J478" i="107"/>
  <c r="K478" i="107"/>
  <c r="L478" i="107"/>
  <c r="M478" i="107"/>
  <c r="N478" i="107"/>
  <c r="O478" i="107"/>
  <c r="P478" i="107"/>
  <c r="Q478" i="107"/>
  <c r="R478" i="107"/>
  <c r="S478" i="107"/>
  <c r="T478" i="107"/>
  <c r="U478" i="107"/>
  <c r="V478" i="107"/>
  <c r="W478" i="107"/>
  <c r="X478" i="107"/>
  <c r="Y478" i="107"/>
  <c r="Z478" i="107"/>
  <c r="AA478" i="107"/>
  <c r="AB478" i="107"/>
  <c r="AC478" i="107"/>
  <c r="AD478" i="107"/>
  <c r="C479" i="107"/>
  <c r="D479" i="107"/>
  <c r="E479" i="107"/>
  <c r="F479" i="107"/>
  <c r="G479" i="107"/>
  <c r="H479" i="107"/>
  <c r="I479" i="107"/>
  <c r="J479" i="107"/>
  <c r="K479" i="107"/>
  <c r="L479" i="107"/>
  <c r="M479" i="107"/>
  <c r="N479" i="107"/>
  <c r="O479" i="107"/>
  <c r="P479" i="107"/>
  <c r="Q479" i="107"/>
  <c r="R479" i="107"/>
  <c r="S479" i="107"/>
  <c r="T479" i="107"/>
  <c r="U479" i="107"/>
  <c r="V479" i="107"/>
  <c r="W479" i="107"/>
  <c r="X479" i="107"/>
  <c r="Y479" i="107"/>
  <c r="Z479" i="107"/>
  <c r="AA479" i="107"/>
  <c r="AB479" i="107"/>
  <c r="AC479" i="107"/>
  <c r="AD479" i="107"/>
  <c r="C480" i="107"/>
  <c r="D480" i="107"/>
  <c r="E480" i="107"/>
  <c r="F480" i="107"/>
  <c r="G480" i="107"/>
  <c r="H480" i="107"/>
  <c r="I480" i="107"/>
  <c r="J480" i="107"/>
  <c r="K480" i="107"/>
  <c r="L480" i="107"/>
  <c r="M480" i="107"/>
  <c r="N480" i="107"/>
  <c r="O480" i="107"/>
  <c r="P480" i="107"/>
  <c r="Q480" i="107"/>
  <c r="R480" i="107"/>
  <c r="S480" i="107"/>
  <c r="T480" i="107"/>
  <c r="U480" i="107"/>
  <c r="V480" i="107"/>
  <c r="W480" i="107"/>
  <c r="X480" i="107"/>
  <c r="Y480" i="107"/>
  <c r="Z480" i="107"/>
  <c r="AA480" i="107"/>
  <c r="AB480" i="107"/>
  <c r="AC480" i="107"/>
  <c r="AD480" i="107"/>
  <c r="C481" i="107"/>
  <c r="D481" i="107"/>
  <c r="E481" i="107"/>
  <c r="F481" i="107"/>
  <c r="G481" i="107"/>
  <c r="H481" i="107"/>
  <c r="I481" i="107"/>
  <c r="J481" i="107"/>
  <c r="K481" i="107"/>
  <c r="L481" i="107"/>
  <c r="M481" i="107"/>
  <c r="N481" i="107"/>
  <c r="O481" i="107"/>
  <c r="P481" i="107"/>
  <c r="Q481" i="107"/>
  <c r="R481" i="107"/>
  <c r="S481" i="107"/>
  <c r="T481" i="107"/>
  <c r="U481" i="107"/>
  <c r="V481" i="107"/>
  <c r="W481" i="107"/>
  <c r="X481" i="107"/>
  <c r="Y481" i="107"/>
  <c r="Z481" i="107"/>
  <c r="AA481" i="107"/>
  <c r="AB481" i="107"/>
  <c r="AC481" i="107"/>
  <c r="AD481" i="107"/>
  <c r="C482" i="107"/>
  <c r="D482" i="107"/>
  <c r="E482" i="107"/>
  <c r="F482" i="107"/>
  <c r="G482" i="107"/>
  <c r="H482" i="107"/>
  <c r="I482" i="107"/>
  <c r="J482" i="107"/>
  <c r="K482" i="107"/>
  <c r="L482" i="107"/>
  <c r="M482" i="107"/>
  <c r="N482" i="107"/>
  <c r="O482" i="107"/>
  <c r="P482" i="107"/>
  <c r="Q482" i="107"/>
  <c r="R482" i="107"/>
  <c r="S482" i="107"/>
  <c r="T482" i="107"/>
  <c r="U482" i="107"/>
  <c r="V482" i="107"/>
  <c r="W482" i="107"/>
  <c r="X482" i="107"/>
  <c r="Y482" i="107"/>
  <c r="Z482" i="107"/>
  <c r="AA482" i="107"/>
  <c r="AB482" i="107"/>
  <c r="AC482" i="107"/>
  <c r="AD482" i="107"/>
  <c r="C483" i="107"/>
  <c r="D483" i="107"/>
  <c r="E483" i="107"/>
  <c r="F483" i="107"/>
  <c r="G483" i="107"/>
  <c r="H483" i="107"/>
  <c r="I483" i="107"/>
  <c r="J483" i="107"/>
  <c r="K483" i="107"/>
  <c r="L483" i="107"/>
  <c r="M483" i="107"/>
  <c r="N483" i="107"/>
  <c r="O483" i="107"/>
  <c r="P483" i="107"/>
  <c r="Q483" i="107"/>
  <c r="R483" i="107"/>
  <c r="S483" i="107"/>
  <c r="T483" i="107"/>
  <c r="U483" i="107"/>
  <c r="V483" i="107"/>
  <c r="W483" i="107"/>
  <c r="X483" i="107"/>
  <c r="Y483" i="107"/>
  <c r="Z483" i="107"/>
  <c r="AA483" i="107"/>
  <c r="AB483" i="107"/>
  <c r="AC483" i="107"/>
  <c r="AD483" i="107"/>
  <c r="C484" i="107"/>
  <c r="D484" i="107"/>
  <c r="E484" i="107"/>
  <c r="F484" i="107"/>
  <c r="G484" i="107"/>
  <c r="H484" i="107"/>
  <c r="I484" i="107"/>
  <c r="J484" i="107"/>
  <c r="K484" i="107"/>
  <c r="L484" i="107"/>
  <c r="M484" i="107"/>
  <c r="N484" i="107"/>
  <c r="O484" i="107"/>
  <c r="P484" i="107"/>
  <c r="Q484" i="107"/>
  <c r="R484" i="107"/>
  <c r="S484" i="107"/>
  <c r="T484" i="107"/>
  <c r="U484" i="107"/>
  <c r="V484" i="107"/>
  <c r="W484" i="107"/>
  <c r="X484" i="107"/>
  <c r="Y484" i="107"/>
  <c r="Z484" i="107"/>
  <c r="AA484" i="107"/>
  <c r="AB484" i="107"/>
  <c r="AC484" i="107"/>
  <c r="AD484" i="107"/>
  <c r="C485" i="107"/>
  <c r="D485" i="107"/>
  <c r="E485" i="107"/>
  <c r="F485" i="107"/>
  <c r="G485" i="107"/>
  <c r="H485" i="107"/>
  <c r="I485" i="107"/>
  <c r="J485" i="107"/>
  <c r="K485" i="107"/>
  <c r="L485" i="107"/>
  <c r="M485" i="107"/>
  <c r="N485" i="107"/>
  <c r="O485" i="107"/>
  <c r="P485" i="107"/>
  <c r="Q485" i="107"/>
  <c r="R485" i="107"/>
  <c r="S485" i="107"/>
  <c r="T485" i="107"/>
  <c r="U485" i="107"/>
  <c r="V485" i="107"/>
  <c r="W485" i="107"/>
  <c r="X485" i="107"/>
  <c r="Y485" i="107"/>
  <c r="Z485" i="107"/>
  <c r="AA485" i="107"/>
  <c r="AB485" i="107"/>
  <c r="AC485" i="107"/>
  <c r="AD485" i="107"/>
  <c r="C486" i="107"/>
  <c r="D486" i="107"/>
  <c r="E486" i="107"/>
  <c r="F486" i="107"/>
  <c r="G486" i="107"/>
  <c r="H486" i="107"/>
  <c r="I486" i="107"/>
  <c r="J486" i="107"/>
  <c r="K486" i="107"/>
  <c r="L486" i="107"/>
  <c r="M486" i="107"/>
  <c r="N486" i="107"/>
  <c r="O486" i="107"/>
  <c r="P486" i="107"/>
  <c r="Q486" i="107"/>
  <c r="R486" i="107"/>
  <c r="S486" i="107"/>
  <c r="T486" i="107"/>
  <c r="U486" i="107"/>
  <c r="V486" i="107"/>
  <c r="W486" i="107"/>
  <c r="X486" i="107"/>
  <c r="Y486" i="107"/>
  <c r="Z486" i="107"/>
  <c r="AA486" i="107"/>
  <c r="AB486" i="107"/>
  <c r="AC486" i="107"/>
  <c r="AD486" i="107"/>
  <c r="C487" i="107"/>
  <c r="D487" i="107"/>
  <c r="E487" i="107"/>
  <c r="F487" i="107"/>
  <c r="G487" i="107"/>
  <c r="H487" i="107"/>
  <c r="I487" i="107"/>
  <c r="J487" i="107"/>
  <c r="K487" i="107"/>
  <c r="L487" i="107"/>
  <c r="M487" i="107"/>
  <c r="N487" i="107"/>
  <c r="O487" i="107"/>
  <c r="P487" i="107"/>
  <c r="Q487" i="107"/>
  <c r="R487" i="107"/>
  <c r="S487" i="107"/>
  <c r="T487" i="107"/>
  <c r="U487" i="107"/>
  <c r="V487" i="107"/>
  <c r="W487" i="107"/>
  <c r="X487" i="107"/>
  <c r="Y487" i="107"/>
  <c r="Z487" i="107"/>
  <c r="AA487" i="107"/>
  <c r="AB487" i="107"/>
  <c r="AC487" i="107"/>
  <c r="AD487" i="107"/>
  <c r="C488" i="107"/>
  <c r="D488" i="107"/>
  <c r="E488" i="107"/>
  <c r="F488" i="107"/>
  <c r="G488" i="107"/>
  <c r="H488" i="107"/>
  <c r="I488" i="107"/>
  <c r="J488" i="107"/>
  <c r="K488" i="107"/>
  <c r="L488" i="107"/>
  <c r="M488" i="107"/>
  <c r="N488" i="107"/>
  <c r="O488" i="107"/>
  <c r="P488" i="107"/>
  <c r="Q488" i="107"/>
  <c r="R488" i="107"/>
  <c r="S488" i="107"/>
  <c r="T488" i="107"/>
  <c r="U488" i="107"/>
  <c r="V488" i="107"/>
  <c r="W488" i="107"/>
  <c r="X488" i="107"/>
  <c r="Y488" i="107"/>
  <c r="Z488" i="107"/>
  <c r="AA488" i="107"/>
  <c r="AB488" i="107"/>
  <c r="AC488" i="107"/>
  <c r="AD488" i="107"/>
  <c r="C489" i="107"/>
  <c r="D489" i="107"/>
  <c r="E489" i="107"/>
  <c r="F489" i="107"/>
  <c r="G489" i="107"/>
  <c r="H489" i="107"/>
  <c r="I489" i="107"/>
  <c r="J489" i="107"/>
  <c r="K489" i="107"/>
  <c r="L489" i="107"/>
  <c r="M489" i="107"/>
  <c r="N489" i="107"/>
  <c r="O489" i="107"/>
  <c r="P489" i="107"/>
  <c r="Q489" i="107"/>
  <c r="R489" i="107"/>
  <c r="S489" i="107"/>
  <c r="T489" i="107"/>
  <c r="U489" i="107"/>
  <c r="V489" i="107"/>
  <c r="W489" i="107"/>
  <c r="X489" i="107"/>
  <c r="Y489" i="107"/>
  <c r="Z489" i="107"/>
  <c r="AA489" i="107"/>
  <c r="AB489" i="107"/>
  <c r="AC489" i="107"/>
  <c r="AD489" i="107"/>
  <c r="C490" i="107"/>
  <c r="D490" i="107"/>
  <c r="E490" i="107"/>
  <c r="F490" i="107"/>
  <c r="G490" i="107"/>
  <c r="H490" i="107"/>
  <c r="I490" i="107"/>
  <c r="J490" i="107"/>
  <c r="K490" i="107"/>
  <c r="L490" i="107"/>
  <c r="M490" i="107"/>
  <c r="N490" i="107"/>
  <c r="O490" i="107"/>
  <c r="P490" i="107"/>
  <c r="Q490" i="107"/>
  <c r="R490" i="107"/>
  <c r="S490" i="107"/>
  <c r="T490" i="107"/>
  <c r="U490" i="107"/>
  <c r="V490" i="107"/>
  <c r="W490" i="107"/>
  <c r="X490" i="107"/>
  <c r="Y490" i="107"/>
  <c r="Z490" i="107"/>
  <c r="AA490" i="107"/>
  <c r="AB490" i="107"/>
  <c r="AC490" i="107"/>
  <c r="AD490" i="107"/>
  <c r="C491" i="107"/>
  <c r="D491" i="107"/>
  <c r="E491" i="107"/>
  <c r="F491" i="107"/>
  <c r="G491" i="107"/>
  <c r="H491" i="107"/>
  <c r="I491" i="107"/>
  <c r="J491" i="107"/>
  <c r="K491" i="107"/>
  <c r="L491" i="107"/>
  <c r="M491" i="107"/>
  <c r="N491" i="107"/>
  <c r="O491" i="107"/>
  <c r="P491" i="107"/>
  <c r="Q491" i="107"/>
  <c r="R491" i="107"/>
  <c r="S491" i="107"/>
  <c r="T491" i="107"/>
  <c r="U491" i="107"/>
  <c r="V491" i="107"/>
  <c r="W491" i="107"/>
  <c r="X491" i="107"/>
  <c r="Y491" i="107"/>
  <c r="Z491" i="107"/>
  <c r="AA491" i="107"/>
  <c r="AB491" i="107"/>
  <c r="AC491" i="107"/>
  <c r="AD491" i="107"/>
  <c r="C492" i="107"/>
  <c r="D492" i="107"/>
  <c r="E492" i="107"/>
  <c r="F492" i="107"/>
  <c r="G492" i="107"/>
  <c r="H492" i="107"/>
  <c r="I492" i="107"/>
  <c r="J492" i="107"/>
  <c r="K492" i="107"/>
  <c r="L492" i="107"/>
  <c r="M492" i="107"/>
  <c r="N492" i="107"/>
  <c r="O492" i="107"/>
  <c r="P492" i="107"/>
  <c r="Q492" i="107"/>
  <c r="R492" i="107"/>
  <c r="S492" i="107"/>
  <c r="T492" i="107"/>
  <c r="U492" i="107"/>
  <c r="V492" i="107"/>
  <c r="W492" i="107"/>
  <c r="X492" i="107"/>
  <c r="Y492" i="107"/>
  <c r="Z492" i="107"/>
  <c r="AA492" i="107"/>
  <c r="AB492" i="107"/>
  <c r="AC492" i="107"/>
  <c r="AD492" i="107"/>
  <c r="C493" i="107"/>
  <c r="D493" i="107"/>
  <c r="E493" i="107"/>
  <c r="F493" i="107"/>
  <c r="G493" i="107"/>
  <c r="H493" i="107"/>
  <c r="I493" i="107"/>
  <c r="J493" i="107"/>
  <c r="K493" i="107"/>
  <c r="L493" i="107"/>
  <c r="M493" i="107"/>
  <c r="N493" i="107"/>
  <c r="O493" i="107"/>
  <c r="P493" i="107"/>
  <c r="Q493" i="107"/>
  <c r="R493" i="107"/>
  <c r="S493" i="107"/>
  <c r="T493" i="107"/>
  <c r="U493" i="107"/>
  <c r="V493" i="107"/>
  <c r="W493" i="107"/>
  <c r="X493" i="107"/>
  <c r="Y493" i="107"/>
  <c r="Z493" i="107"/>
  <c r="AA493" i="107"/>
  <c r="AB493" i="107"/>
  <c r="AC493" i="107"/>
  <c r="AD493" i="107"/>
  <c r="C494" i="107"/>
  <c r="D494" i="107"/>
  <c r="E494" i="107"/>
  <c r="F494" i="107"/>
  <c r="G494" i="107"/>
  <c r="H494" i="107"/>
  <c r="I494" i="107"/>
  <c r="J494" i="107"/>
  <c r="K494" i="107"/>
  <c r="L494" i="107"/>
  <c r="M494" i="107"/>
  <c r="N494" i="107"/>
  <c r="O494" i="107"/>
  <c r="P494" i="107"/>
  <c r="Q494" i="107"/>
  <c r="R494" i="107"/>
  <c r="S494" i="107"/>
  <c r="T494" i="107"/>
  <c r="U494" i="107"/>
  <c r="V494" i="107"/>
  <c r="W494" i="107"/>
  <c r="X494" i="107"/>
  <c r="Y494" i="107"/>
  <c r="Z494" i="107"/>
  <c r="AA494" i="107"/>
  <c r="AB494" i="107"/>
  <c r="AC494" i="107"/>
  <c r="AD494" i="107"/>
  <c r="C495" i="107"/>
  <c r="D495" i="107"/>
  <c r="E495" i="107"/>
  <c r="F495" i="107"/>
  <c r="G495" i="107"/>
  <c r="H495" i="107"/>
  <c r="I495" i="107"/>
  <c r="J495" i="107"/>
  <c r="K495" i="107"/>
  <c r="L495" i="107"/>
  <c r="M495" i="107"/>
  <c r="N495" i="107"/>
  <c r="O495" i="107"/>
  <c r="P495" i="107"/>
  <c r="Q495" i="107"/>
  <c r="R495" i="107"/>
  <c r="S495" i="107"/>
  <c r="T495" i="107"/>
  <c r="U495" i="107"/>
  <c r="V495" i="107"/>
  <c r="W495" i="107"/>
  <c r="X495" i="107"/>
  <c r="Y495" i="107"/>
  <c r="Z495" i="107"/>
  <c r="AA495" i="107"/>
  <c r="AB495" i="107"/>
  <c r="AC495" i="107"/>
  <c r="AD495" i="107"/>
  <c r="C496" i="107"/>
  <c r="D496" i="107"/>
  <c r="E496" i="107"/>
  <c r="F496" i="107"/>
  <c r="G496" i="107"/>
  <c r="H496" i="107"/>
  <c r="I496" i="107"/>
  <c r="J496" i="107"/>
  <c r="K496" i="107"/>
  <c r="L496" i="107"/>
  <c r="M496" i="107"/>
  <c r="N496" i="107"/>
  <c r="O496" i="107"/>
  <c r="P496" i="107"/>
  <c r="Q496" i="107"/>
  <c r="R496" i="107"/>
  <c r="S496" i="107"/>
  <c r="T496" i="107"/>
  <c r="U496" i="107"/>
  <c r="V496" i="107"/>
  <c r="W496" i="107"/>
  <c r="X496" i="107"/>
  <c r="Y496" i="107"/>
  <c r="Z496" i="107"/>
  <c r="AA496" i="107"/>
  <c r="AB496" i="107"/>
  <c r="AC496" i="107"/>
  <c r="AD496" i="107"/>
  <c r="C497" i="107"/>
  <c r="D497" i="107"/>
  <c r="E497" i="107"/>
  <c r="F497" i="107"/>
  <c r="G497" i="107"/>
  <c r="H497" i="107"/>
  <c r="I497" i="107"/>
  <c r="J497" i="107"/>
  <c r="K497" i="107"/>
  <c r="L497" i="107"/>
  <c r="M497" i="107"/>
  <c r="N497" i="107"/>
  <c r="O497" i="107"/>
  <c r="P497" i="107"/>
  <c r="Q497" i="107"/>
  <c r="R497" i="107"/>
  <c r="S497" i="107"/>
  <c r="T497" i="107"/>
  <c r="U497" i="107"/>
  <c r="V497" i="107"/>
  <c r="W497" i="107"/>
  <c r="X497" i="107"/>
  <c r="Y497" i="107"/>
  <c r="Z497" i="107"/>
  <c r="AA497" i="107"/>
  <c r="AB497" i="107"/>
  <c r="AC497" i="107"/>
  <c r="AD497" i="107"/>
  <c r="C498" i="107"/>
  <c r="D498" i="107"/>
  <c r="E498" i="107"/>
  <c r="F498" i="107"/>
  <c r="G498" i="107"/>
  <c r="H498" i="107"/>
  <c r="I498" i="107"/>
  <c r="J498" i="107"/>
  <c r="K498" i="107"/>
  <c r="L498" i="107"/>
  <c r="M498" i="107"/>
  <c r="N498" i="107"/>
  <c r="O498" i="107"/>
  <c r="P498" i="107"/>
  <c r="Q498" i="107"/>
  <c r="R498" i="107"/>
  <c r="S498" i="107"/>
  <c r="T498" i="107"/>
  <c r="U498" i="107"/>
  <c r="V498" i="107"/>
  <c r="W498" i="107"/>
  <c r="X498" i="107"/>
  <c r="Y498" i="107"/>
  <c r="Z498" i="107"/>
  <c r="AA498" i="107"/>
  <c r="AB498" i="107"/>
  <c r="AC498" i="107"/>
  <c r="AD498" i="107"/>
  <c r="C499" i="107"/>
  <c r="D499" i="107"/>
  <c r="E499" i="107"/>
  <c r="F499" i="107"/>
  <c r="G499" i="107"/>
  <c r="H499" i="107"/>
  <c r="I499" i="107"/>
  <c r="J499" i="107"/>
  <c r="K499" i="107"/>
  <c r="L499" i="107"/>
  <c r="M499" i="107"/>
  <c r="N499" i="107"/>
  <c r="O499" i="107"/>
  <c r="P499" i="107"/>
  <c r="Q499" i="107"/>
  <c r="R499" i="107"/>
  <c r="S499" i="107"/>
  <c r="T499" i="107"/>
  <c r="U499" i="107"/>
  <c r="V499" i="107"/>
  <c r="W499" i="107"/>
  <c r="X499" i="107"/>
  <c r="Y499" i="107"/>
  <c r="Z499" i="107"/>
  <c r="AA499" i="107"/>
  <c r="AB499" i="107"/>
  <c r="AC499" i="107"/>
  <c r="AD499" i="107"/>
  <c r="C500" i="107"/>
  <c r="D500" i="107"/>
  <c r="E500" i="107"/>
  <c r="F500" i="107"/>
  <c r="G500" i="107"/>
  <c r="H500" i="107"/>
  <c r="I500" i="107"/>
  <c r="J500" i="107"/>
  <c r="K500" i="107"/>
  <c r="L500" i="107"/>
  <c r="M500" i="107"/>
  <c r="N500" i="107"/>
  <c r="O500" i="107"/>
  <c r="P500" i="107"/>
  <c r="Q500" i="107"/>
  <c r="R500" i="107"/>
  <c r="S500" i="107"/>
  <c r="T500" i="107"/>
  <c r="U500" i="107"/>
  <c r="V500" i="107"/>
  <c r="W500" i="107"/>
  <c r="X500" i="107"/>
  <c r="Y500" i="107"/>
  <c r="Z500" i="107"/>
  <c r="AA500" i="107"/>
  <c r="AB500" i="107"/>
  <c r="AC500" i="107"/>
  <c r="AD500" i="107"/>
  <c r="C501" i="107"/>
  <c r="D501" i="107"/>
  <c r="E501" i="107"/>
  <c r="F501" i="107"/>
  <c r="G501" i="107"/>
  <c r="H501" i="107"/>
  <c r="I501" i="107"/>
  <c r="J501" i="107"/>
  <c r="K501" i="107"/>
  <c r="L501" i="107"/>
  <c r="M501" i="107"/>
  <c r="N501" i="107"/>
  <c r="O501" i="107"/>
  <c r="P501" i="107"/>
  <c r="Q501" i="107"/>
  <c r="R501" i="107"/>
  <c r="S501" i="107"/>
  <c r="T501" i="107"/>
  <c r="U501" i="107"/>
  <c r="V501" i="107"/>
  <c r="W501" i="107"/>
  <c r="X501" i="107"/>
  <c r="Y501" i="107"/>
  <c r="Z501" i="107"/>
  <c r="AA501" i="107"/>
  <c r="AB501" i="107"/>
  <c r="AC501" i="107"/>
  <c r="AD501" i="107"/>
  <c r="C502" i="107"/>
  <c r="D502" i="107"/>
  <c r="E502" i="107"/>
  <c r="F502" i="107"/>
  <c r="G502" i="107"/>
  <c r="H502" i="107"/>
  <c r="I502" i="107"/>
  <c r="J502" i="107"/>
  <c r="K502" i="107"/>
  <c r="L502" i="107"/>
  <c r="M502" i="107"/>
  <c r="N502" i="107"/>
  <c r="O502" i="107"/>
  <c r="P502" i="107"/>
  <c r="Q502" i="107"/>
  <c r="R502" i="107"/>
  <c r="S502" i="107"/>
  <c r="T502" i="107"/>
  <c r="U502" i="107"/>
  <c r="V502" i="107"/>
  <c r="W502" i="107"/>
  <c r="X502" i="107"/>
  <c r="Y502" i="107"/>
  <c r="Z502" i="107"/>
  <c r="AA502" i="107"/>
  <c r="AB502" i="107"/>
  <c r="AC502" i="107"/>
  <c r="AD502" i="107"/>
  <c r="C503" i="107"/>
  <c r="D503" i="107"/>
  <c r="E503" i="107"/>
  <c r="F503" i="107"/>
  <c r="G503" i="107"/>
  <c r="H503" i="107"/>
  <c r="I503" i="107"/>
  <c r="J503" i="107"/>
  <c r="K503" i="107"/>
  <c r="L503" i="107"/>
  <c r="M503" i="107"/>
  <c r="N503" i="107"/>
  <c r="O503" i="107"/>
  <c r="P503" i="107"/>
  <c r="Q503" i="107"/>
  <c r="R503" i="107"/>
  <c r="S503" i="107"/>
  <c r="T503" i="107"/>
  <c r="U503" i="107"/>
  <c r="V503" i="107"/>
  <c r="W503" i="107"/>
  <c r="X503" i="107"/>
  <c r="Y503" i="107"/>
  <c r="Z503" i="107"/>
  <c r="AA503" i="107"/>
  <c r="AB503" i="107"/>
  <c r="AC503" i="107"/>
  <c r="AD503" i="107"/>
  <c r="C504" i="107"/>
  <c r="D504" i="107"/>
  <c r="E504" i="107"/>
  <c r="F504" i="107"/>
  <c r="G504" i="107"/>
  <c r="H504" i="107"/>
  <c r="I504" i="107"/>
  <c r="J504" i="107"/>
  <c r="K504" i="107"/>
  <c r="L504" i="107"/>
  <c r="M504" i="107"/>
  <c r="N504" i="107"/>
  <c r="O504" i="107"/>
  <c r="P504" i="107"/>
  <c r="Q504" i="107"/>
  <c r="R504" i="107"/>
  <c r="S504" i="107"/>
  <c r="T504" i="107"/>
  <c r="U504" i="107"/>
  <c r="V504" i="107"/>
  <c r="W504" i="107"/>
  <c r="X504" i="107"/>
  <c r="Y504" i="107"/>
  <c r="Z504" i="107"/>
  <c r="AA504" i="107"/>
  <c r="AB504" i="107"/>
  <c r="AC504" i="107"/>
  <c r="AD504" i="107"/>
  <c r="C505" i="107"/>
  <c r="D505" i="107"/>
  <c r="E505" i="107"/>
  <c r="F505" i="107"/>
  <c r="G505" i="107"/>
  <c r="H505" i="107"/>
  <c r="I505" i="107"/>
  <c r="J505" i="107"/>
  <c r="K505" i="107"/>
  <c r="L505" i="107"/>
  <c r="M505" i="107"/>
  <c r="N505" i="107"/>
  <c r="O505" i="107"/>
  <c r="P505" i="107"/>
  <c r="Q505" i="107"/>
  <c r="R505" i="107"/>
  <c r="S505" i="107"/>
  <c r="T505" i="107"/>
  <c r="U505" i="107"/>
  <c r="V505" i="107"/>
  <c r="W505" i="107"/>
  <c r="X505" i="107"/>
  <c r="Y505" i="107"/>
  <c r="Z505" i="107"/>
  <c r="AA505" i="107"/>
  <c r="AB505" i="107"/>
  <c r="AC505" i="107"/>
  <c r="AD505" i="107"/>
  <c r="C506" i="107"/>
  <c r="D506" i="107"/>
  <c r="E506" i="107"/>
  <c r="F506" i="107"/>
  <c r="G506" i="107"/>
  <c r="H506" i="107"/>
  <c r="I506" i="107"/>
  <c r="J506" i="107"/>
  <c r="K506" i="107"/>
  <c r="L506" i="107"/>
  <c r="M506" i="107"/>
  <c r="N506" i="107"/>
  <c r="O506" i="107"/>
  <c r="P506" i="107"/>
  <c r="Q506" i="107"/>
  <c r="R506" i="107"/>
  <c r="S506" i="107"/>
  <c r="T506" i="107"/>
  <c r="U506" i="107"/>
  <c r="V506" i="107"/>
  <c r="W506" i="107"/>
  <c r="X506" i="107"/>
  <c r="Y506" i="107"/>
  <c r="Z506" i="107"/>
  <c r="AA506" i="107"/>
  <c r="AB506" i="107"/>
  <c r="AC506" i="107"/>
  <c r="AD506" i="107"/>
  <c r="C507" i="107"/>
  <c r="D507" i="107"/>
  <c r="E507" i="107"/>
  <c r="F507" i="107"/>
  <c r="G507" i="107"/>
  <c r="H507" i="107"/>
  <c r="I507" i="107"/>
  <c r="J507" i="107"/>
  <c r="K507" i="107"/>
  <c r="L507" i="107"/>
  <c r="M507" i="107"/>
  <c r="N507" i="107"/>
  <c r="O507" i="107"/>
  <c r="P507" i="107"/>
  <c r="Q507" i="107"/>
  <c r="R507" i="107"/>
  <c r="S507" i="107"/>
  <c r="T507" i="107"/>
  <c r="U507" i="107"/>
  <c r="V507" i="107"/>
  <c r="W507" i="107"/>
  <c r="X507" i="107"/>
  <c r="Y507" i="107"/>
  <c r="Z507" i="107"/>
  <c r="AA507" i="107"/>
  <c r="AB507" i="107"/>
  <c r="AC507" i="107"/>
  <c r="AD507" i="107"/>
  <c r="C508" i="107"/>
  <c r="D508" i="107"/>
  <c r="E508" i="107"/>
  <c r="F508" i="107"/>
  <c r="G508" i="107"/>
  <c r="H508" i="107"/>
  <c r="I508" i="107"/>
  <c r="J508" i="107"/>
  <c r="K508" i="107"/>
  <c r="L508" i="107"/>
  <c r="M508" i="107"/>
  <c r="N508" i="107"/>
  <c r="O508" i="107"/>
  <c r="P508" i="107"/>
  <c r="Q508" i="107"/>
  <c r="R508" i="107"/>
  <c r="S508" i="107"/>
  <c r="T508" i="107"/>
  <c r="U508" i="107"/>
  <c r="V508" i="107"/>
  <c r="W508" i="107"/>
  <c r="X508" i="107"/>
  <c r="Y508" i="107"/>
  <c r="Z508" i="107"/>
  <c r="AA508" i="107"/>
  <c r="AB508" i="107"/>
  <c r="AC508" i="107"/>
  <c r="AD508" i="107"/>
  <c r="C509" i="107"/>
  <c r="D509" i="107"/>
  <c r="E509" i="107"/>
  <c r="F509" i="107"/>
  <c r="G509" i="107"/>
  <c r="H509" i="107"/>
  <c r="I509" i="107"/>
  <c r="J509" i="107"/>
  <c r="K509" i="107"/>
  <c r="L509" i="107"/>
  <c r="M509" i="107"/>
  <c r="N509" i="107"/>
  <c r="O509" i="107"/>
  <c r="P509" i="107"/>
  <c r="Q509" i="107"/>
  <c r="R509" i="107"/>
  <c r="S509" i="107"/>
  <c r="T509" i="107"/>
  <c r="U509" i="107"/>
  <c r="V509" i="107"/>
  <c r="W509" i="107"/>
  <c r="X509" i="107"/>
  <c r="Y509" i="107"/>
  <c r="Z509" i="107"/>
  <c r="AA509" i="107"/>
  <c r="AB509" i="107"/>
  <c r="AC509" i="107"/>
  <c r="AD509" i="107"/>
  <c r="C510" i="107"/>
  <c r="D510" i="107"/>
  <c r="E510" i="107"/>
  <c r="F510" i="107"/>
  <c r="G510" i="107"/>
  <c r="H510" i="107"/>
  <c r="I510" i="107"/>
  <c r="J510" i="107"/>
  <c r="K510" i="107"/>
  <c r="L510" i="107"/>
  <c r="M510" i="107"/>
  <c r="N510" i="107"/>
  <c r="O510" i="107"/>
  <c r="P510" i="107"/>
  <c r="Q510" i="107"/>
  <c r="R510" i="107"/>
  <c r="S510" i="107"/>
  <c r="T510" i="107"/>
  <c r="U510" i="107"/>
  <c r="V510" i="107"/>
  <c r="W510" i="107"/>
  <c r="X510" i="107"/>
  <c r="Y510" i="107"/>
  <c r="Z510" i="107"/>
  <c r="AA510" i="107"/>
  <c r="AB510" i="107"/>
  <c r="AC510" i="107"/>
  <c r="AD510" i="107"/>
  <c r="C511" i="107"/>
  <c r="D511" i="107"/>
  <c r="E511" i="107"/>
  <c r="F511" i="107"/>
  <c r="G511" i="107"/>
  <c r="H511" i="107"/>
  <c r="I511" i="107"/>
  <c r="J511" i="107"/>
  <c r="K511" i="107"/>
  <c r="L511" i="107"/>
  <c r="M511" i="107"/>
  <c r="N511" i="107"/>
  <c r="O511" i="107"/>
  <c r="P511" i="107"/>
  <c r="Q511" i="107"/>
  <c r="R511" i="107"/>
  <c r="S511" i="107"/>
  <c r="T511" i="107"/>
  <c r="U511" i="107"/>
  <c r="V511" i="107"/>
  <c r="W511" i="107"/>
  <c r="X511" i="107"/>
  <c r="Y511" i="107"/>
  <c r="Z511" i="107"/>
  <c r="AA511" i="107"/>
  <c r="AB511" i="107"/>
  <c r="AC511" i="107"/>
  <c r="AD511" i="107"/>
  <c r="C512" i="107"/>
  <c r="D512" i="107"/>
  <c r="E512" i="107"/>
  <c r="F512" i="107"/>
  <c r="G512" i="107"/>
  <c r="H512" i="107"/>
  <c r="I512" i="107"/>
  <c r="J512" i="107"/>
  <c r="K512" i="107"/>
  <c r="L512" i="107"/>
  <c r="M512" i="107"/>
  <c r="N512" i="107"/>
  <c r="O512" i="107"/>
  <c r="P512" i="107"/>
  <c r="Q512" i="107"/>
  <c r="R512" i="107"/>
  <c r="S512" i="107"/>
  <c r="T512" i="107"/>
  <c r="U512" i="107"/>
  <c r="V512" i="107"/>
  <c r="W512" i="107"/>
  <c r="X512" i="107"/>
  <c r="Y512" i="107"/>
  <c r="Z512" i="107"/>
  <c r="AA512" i="107"/>
  <c r="AB512" i="107"/>
  <c r="AC512" i="107"/>
  <c r="AD512" i="107"/>
  <c r="C513" i="107"/>
  <c r="D513" i="107"/>
  <c r="E513" i="107"/>
  <c r="F513" i="107"/>
  <c r="G513" i="107"/>
  <c r="H513" i="107"/>
  <c r="I513" i="107"/>
  <c r="J513" i="107"/>
  <c r="K513" i="107"/>
  <c r="L513" i="107"/>
  <c r="M513" i="107"/>
  <c r="N513" i="107"/>
  <c r="O513" i="107"/>
  <c r="P513" i="107"/>
  <c r="Q513" i="107"/>
  <c r="R513" i="107"/>
  <c r="S513" i="107"/>
  <c r="T513" i="107"/>
  <c r="U513" i="107"/>
  <c r="V513" i="107"/>
  <c r="W513" i="107"/>
  <c r="X513" i="107"/>
  <c r="Y513" i="107"/>
  <c r="Z513" i="107"/>
  <c r="AA513" i="107"/>
  <c r="AB513" i="107"/>
  <c r="AC513" i="107"/>
  <c r="AD513" i="107"/>
  <c r="C514" i="107"/>
  <c r="D514" i="107"/>
  <c r="E514" i="107"/>
  <c r="F514" i="107"/>
  <c r="G514" i="107"/>
  <c r="H514" i="107"/>
  <c r="I514" i="107"/>
  <c r="J514" i="107"/>
  <c r="K514" i="107"/>
  <c r="L514" i="107"/>
  <c r="M514" i="107"/>
  <c r="N514" i="107"/>
  <c r="O514" i="107"/>
  <c r="P514" i="107"/>
  <c r="Q514" i="107"/>
  <c r="R514" i="107"/>
  <c r="S514" i="107"/>
  <c r="T514" i="107"/>
  <c r="U514" i="107"/>
  <c r="V514" i="107"/>
  <c r="W514" i="107"/>
  <c r="X514" i="107"/>
  <c r="Y514" i="107"/>
  <c r="Z514" i="107"/>
  <c r="AA514" i="107"/>
  <c r="AB514" i="107"/>
  <c r="AC514" i="107"/>
  <c r="AD514" i="107"/>
  <c r="C515" i="107"/>
  <c r="D515" i="107"/>
  <c r="E515" i="107"/>
  <c r="F515" i="107"/>
  <c r="G515" i="107"/>
  <c r="H515" i="107"/>
  <c r="I515" i="107"/>
  <c r="J515" i="107"/>
  <c r="K515" i="107"/>
  <c r="L515" i="107"/>
  <c r="M515" i="107"/>
  <c r="N515" i="107"/>
  <c r="O515" i="107"/>
  <c r="P515" i="107"/>
  <c r="Q515" i="107"/>
  <c r="R515" i="107"/>
  <c r="S515" i="107"/>
  <c r="T515" i="107"/>
  <c r="U515" i="107"/>
  <c r="V515" i="107"/>
  <c r="W515" i="107"/>
  <c r="X515" i="107"/>
  <c r="Y515" i="107"/>
  <c r="Z515" i="107"/>
  <c r="AA515" i="107"/>
  <c r="AB515" i="107"/>
  <c r="AC515" i="107"/>
  <c r="AD515" i="107"/>
  <c r="C516" i="107"/>
  <c r="D516" i="107"/>
  <c r="E516" i="107"/>
  <c r="F516" i="107"/>
  <c r="G516" i="107"/>
  <c r="H516" i="107"/>
  <c r="I516" i="107"/>
  <c r="J516" i="107"/>
  <c r="K516" i="107"/>
  <c r="L516" i="107"/>
  <c r="M516" i="107"/>
  <c r="N516" i="107"/>
  <c r="O516" i="107"/>
  <c r="P516" i="107"/>
  <c r="Q516" i="107"/>
  <c r="R516" i="107"/>
  <c r="S516" i="107"/>
  <c r="T516" i="107"/>
  <c r="U516" i="107"/>
  <c r="V516" i="107"/>
  <c r="W516" i="107"/>
  <c r="X516" i="107"/>
  <c r="Y516" i="107"/>
  <c r="Z516" i="107"/>
  <c r="AA516" i="107"/>
  <c r="AB516" i="107"/>
  <c r="AC516" i="107"/>
  <c r="AD516" i="107"/>
  <c r="C517" i="107"/>
  <c r="D517" i="107"/>
  <c r="E517" i="107"/>
  <c r="F517" i="107"/>
  <c r="G517" i="107"/>
  <c r="H517" i="107"/>
  <c r="I517" i="107"/>
  <c r="J517" i="107"/>
  <c r="K517" i="107"/>
  <c r="L517" i="107"/>
  <c r="M517" i="107"/>
  <c r="N517" i="107"/>
  <c r="O517" i="107"/>
  <c r="P517" i="107"/>
  <c r="Q517" i="107"/>
  <c r="R517" i="107"/>
  <c r="S517" i="107"/>
  <c r="T517" i="107"/>
  <c r="U517" i="107"/>
  <c r="V517" i="107"/>
  <c r="W517" i="107"/>
  <c r="X517" i="107"/>
  <c r="Y517" i="107"/>
  <c r="Z517" i="107"/>
  <c r="AA517" i="107"/>
  <c r="AB517" i="107"/>
  <c r="AC517" i="107"/>
  <c r="AD517" i="107"/>
  <c r="C518" i="107"/>
  <c r="D518" i="107"/>
  <c r="E518" i="107"/>
  <c r="F518" i="107"/>
  <c r="G518" i="107"/>
  <c r="H518" i="107"/>
  <c r="I518" i="107"/>
  <c r="J518" i="107"/>
  <c r="K518" i="107"/>
  <c r="L518" i="107"/>
  <c r="M518" i="107"/>
  <c r="N518" i="107"/>
  <c r="O518" i="107"/>
  <c r="P518" i="107"/>
  <c r="Q518" i="107"/>
  <c r="R518" i="107"/>
  <c r="S518" i="107"/>
  <c r="T518" i="107"/>
  <c r="U518" i="107"/>
  <c r="V518" i="107"/>
  <c r="W518" i="107"/>
  <c r="X518" i="107"/>
  <c r="Y518" i="107"/>
  <c r="Z518" i="107"/>
  <c r="AA518" i="107"/>
  <c r="AB518" i="107"/>
  <c r="AC518" i="107"/>
  <c r="AD518" i="107"/>
  <c r="C519" i="107"/>
  <c r="D519" i="107"/>
  <c r="E519" i="107"/>
  <c r="F519" i="107"/>
  <c r="G519" i="107"/>
  <c r="H519" i="107"/>
  <c r="I519" i="107"/>
  <c r="J519" i="107"/>
  <c r="K519" i="107"/>
  <c r="L519" i="107"/>
  <c r="M519" i="107"/>
  <c r="N519" i="107"/>
  <c r="O519" i="107"/>
  <c r="P519" i="107"/>
  <c r="Q519" i="107"/>
  <c r="R519" i="107"/>
  <c r="S519" i="107"/>
  <c r="T519" i="107"/>
  <c r="U519" i="107"/>
  <c r="V519" i="107"/>
  <c r="W519" i="107"/>
  <c r="X519" i="107"/>
  <c r="Y519" i="107"/>
  <c r="Z519" i="107"/>
  <c r="AA519" i="107"/>
  <c r="AB519" i="107"/>
  <c r="AC519" i="107"/>
  <c r="AD519" i="107"/>
  <c r="C520" i="107"/>
  <c r="D520" i="107"/>
  <c r="E520" i="107"/>
  <c r="F520" i="107"/>
  <c r="G520" i="107"/>
  <c r="H520" i="107"/>
  <c r="I520" i="107"/>
  <c r="J520" i="107"/>
  <c r="K520" i="107"/>
  <c r="L520" i="107"/>
  <c r="M520" i="107"/>
  <c r="N520" i="107"/>
  <c r="O520" i="107"/>
  <c r="P520" i="107"/>
  <c r="Q520" i="107"/>
  <c r="R520" i="107"/>
  <c r="S520" i="107"/>
  <c r="T520" i="107"/>
  <c r="U520" i="107"/>
  <c r="V520" i="107"/>
  <c r="W520" i="107"/>
  <c r="X520" i="107"/>
  <c r="Y520" i="107"/>
  <c r="Z520" i="107"/>
  <c r="AA520" i="107"/>
  <c r="AB520" i="107"/>
  <c r="AC520" i="107"/>
  <c r="AD520" i="107"/>
  <c r="C521" i="107"/>
  <c r="D521" i="107"/>
  <c r="E521" i="107"/>
  <c r="F521" i="107"/>
  <c r="G521" i="107"/>
  <c r="H521" i="107"/>
  <c r="I521" i="107"/>
  <c r="J521" i="107"/>
  <c r="K521" i="107"/>
  <c r="L521" i="107"/>
  <c r="M521" i="107"/>
  <c r="N521" i="107"/>
  <c r="O521" i="107"/>
  <c r="P521" i="107"/>
  <c r="Q521" i="107"/>
  <c r="R521" i="107"/>
  <c r="S521" i="107"/>
  <c r="T521" i="107"/>
  <c r="U521" i="107"/>
  <c r="V521" i="107"/>
  <c r="W521" i="107"/>
  <c r="X521" i="107"/>
  <c r="Y521" i="107"/>
  <c r="Z521" i="107"/>
  <c r="AA521" i="107"/>
  <c r="AB521" i="107"/>
  <c r="AC521" i="107"/>
  <c r="AD521" i="107"/>
  <c r="C522" i="107"/>
  <c r="D522" i="107"/>
  <c r="E522" i="107"/>
  <c r="F522" i="107"/>
  <c r="G522" i="107"/>
  <c r="H522" i="107"/>
  <c r="I522" i="107"/>
  <c r="J522" i="107"/>
  <c r="K522" i="107"/>
  <c r="L522" i="107"/>
  <c r="M522" i="107"/>
  <c r="N522" i="107"/>
  <c r="O522" i="107"/>
  <c r="P522" i="107"/>
  <c r="Q522" i="107"/>
  <c r="R522" i="107"/>
  <c r="S522" i="107"/>
  <c r="T522" i="107"/>
  <c r="U522" i="107"/>
  <c r="V522" i="107"/>
  <c r="W522" i="107"/>
  <c r="X522" i="107"/>
  <c r="Y522" i="107"/>
  <c r="Z522" i="107"/>
  <c r="AA522" i="107"/>
  <c r="AB522" i="107"/>
  <c r="AC522" i="107"/>
  <c r="AD522" i="107"/>
  <c r="C523" i="107"/>
  <c r="D523" i="107"/>
  <c r="E523" i="107"/>
  <c r="F523" i="107"/>
  <c r="G523" i="107"/>
  <c r="H523" i="107"/>
  <c r="I523" i="107"/>
  <c r="J523" i="107"/>
  <c r="K523" i="107"/>
  <c r="L523" i="107"/>
  <c r="M523" i="107"/>
  <c r="N523" i="107"/>
  <c r="O523" i="107"/>
  <c r="P523" i="107"/>
  <c r="Q523" i="107"/>
  <c r="R523" i="107"/>
  <c r="S523" i="107"/>
  <c r="T523" i="107"/>
  <c r="U523" i="107"/>
  <c r="V523" i="107"/>
  <c r="W523" i="107"/>
  <c r="X523" i="107"/>
  <c r="Y523" i="107"/>
  <c r="Z523" i="107"/>
  <c r="AA523" i="107"/>
  <c r="AB523" i="107"/>
  <c r="AC523" i="107"/>
  <c r="AD523" i="107"/>
  <c r="C524" i="107"/>
  <c r="D524" i="107"/>
  <c r="E524" i="107"/>
  <c r="F524" i="107"/>
  <c r="G524" i="107"/>
  <c r="H524" i="107"/>
  <c r="I524" i="107"/>
  <c r="J524" i="107"/>
  <c r="K524" i="107"/>
  <c r="L524" i="107"/>
  <c r="M524" i="107"/>
  <c r="N524" i="107"/>
  <c r="O524" i="107"/>
  <c r="P524" i="107"/>
  <c r="Q524" i="107"/>
  <c r="R524" i="107"/>
  <c r="S524" i="107"/>
  <c r="T524" i="107"/>
  <c r="U524" i="107"/>
  <c r="V524" i="107"/>
  <c r="W524" i="107"/>
  <c r="X524" i="107"/>
  <c r="Y524" i="107"/>
  <c r="Z524" i="107"/>
  <c r="AA524" i="107"/>
  <c r="AB524" i="107"/>
  <c r="AC524" i="107"/>
  <c r="AD524" i="107"/>
  <c r="C525" i="107"/>
  <c r="D525" i="107"/>
  <c r="E525" i="107"/>
  <c r="F525" i="107"/>
  <c r="G525" i="107"/>
  <c r="H525" i="107"/>
  <c r="I525" i="107"/>
  <c r="J525" i="107"/>
  <c r="K525" i="107"/>
  <c r="L525" i="107"/>
  <c r="M525" i="107"/>
  <c r="N525" i="107"/>
  <c r="O525" i="107"/>
  <c r="P525" i="107"/>
  <c r="Q525" i="107"/>
  <c r="R525" i="107"/>
  <c r="S525" i="107"/>
  <c r="T525" i="107"/>
  <c r="U525" i="107"/>
  <c r="V525" i="107"/>
  <c r="W525" i="107"/>
  <c r="X525" i="107"/>
  <c r="Y525" i="107"/>
  <c r="Z525" i="107"/>
  <c r="AA525" i="107"/>
  <c r="AB525" i="107"/>
  <c r="AC525" i="107"/>
  <c r="AD525" i="107"/>
  <c r="C526" i="107"/>
  <c r="D526" i="107"/>
  <c r="E526" i="107"/>
  <c r="F526" i="107"/>
  <c r="G526" i="107"/>
  <c r="H526" i="107"/>
  <c r="I526" i="107"/>
  <c r="J526" i="107"/>
  <c r="K526" i="107"/>
  <c r="L526" i="107"/>
  <c r="M526" i="107"/>
  <c r="N526" i="107"/>
  <c r="O526" i="107"/>
  <c r="P526" i="107"/>
  <c r="Q526" i="107"/>
  <c r="R526" i="107"/>
  <c r="S526" i="107"/>
  <c r="T526" i="107"/>
  <c r="U526" i="107"/>
  <c r="V526" i="107"/>
  <c r="W526" i="107"/>
  <c r="X526" i="107"/>
  <c r="Y526" i="107"/>
  <c r="Z526" i="107"/>
  <c r="AA526" i="107"/>
  <c r="AB526" i="107"/>
  <c r="AC526" i="107"/>
  <c r="AD526" i="107"/>
  <c r="C527" i="107"/>
  <c r="D527" i="107"/>
  <c r="E527" i="107"/>
  <c r="F527" i="107"/>
  <c r="G527" i="107"/>
  <c r="H527" i="107"/>
  <c r="I527" i="107"/>
  <c r="J527" i="107"/>
  <c r="K527" i="107"/>
  <c r="L527" i="107"/>
  <c r="M527" i="107"/>
  <c r="N527" i="107"/>
  <c r="O527" i="107"/>
  <c r="P527" i="107"/>
  <c r="Q527" i="107"/>
  <c r="R527" i="107"/>
  <c r="S527" i="107"/>
  <c r="T527" i="107"/>
  <c r="U527" i="107"/>
  <c r="V527" i="107"/>
  <c r="W527" i="107"/>
  <c r="X527" i="107"/>
  <c r="Y527" i="107"/>
  <c r="Z527" i="107"/>
  <c r="AA527" i="107"/>
  <c r="AB527" i="107"/>
  <c r="AC527" i="107"/>
  <c r="AD527" i="107"/>
  <c r="C528" i="107"/>
  <c r="D528" i="107"/>
  <c r="E528" i="107"/>
  <c r="F528" i="107"/>
  <c r="G528" i="107"/>
  <c r="H528" i="107"/>
  <c r="I528" i="107"/>
  <c r="J528" i="107"/>
  <c r="K528" i="107"/>
  <c r="L528" i="107"/>
  <c r="M528" i="107"/>
  <c r="N528" i="107"/>
  <c r="O528" i="107"/>
  <c r="P528" i="107"/>
  <c r="Q528" i="107"/>
  <c r="R528" i="107"/>
  <c r="S528" i="107"/>
  <c r="T528" i="107"/>
  <c r="U528" i="107"/>
  <c r="V528" i="107"/>
  <c r="W528" i="107"/>
  <c r="X528" i="107"/>
  <c r="Y528" i="107"/>
  <c r="Z528" i="107"/>
  <c r="AA528" i="107"/>
  <c r="AB528" i="107"/>
  <c r="AC528" i="107"/>
  <c r="AD528" i="107"/>
  <c r="C529" i="107"/>
  <c r="D529" i="107"/>
  <c r="E529" i="107"/>
  <c r="F529" i="107"/>
  <c r="G529" i="107"/>
  <c r="H529" i="107"/>
  <c r="I529" i="107"/>
  <c r="J529" i="107"/>
  <c r="K529" i="107"/>
  <c r="L529" i="107"/>
  <c r="M529" i="107"/>
  <c r="N529" i="107"/>
  <c r="O529" i="107"/>
  <c r="P529" i="107"/>
  <c r="Q529" i="107"/>
  <c r="R529" i="107"/>
  <c r="S529" i="107"/>
  <c r="T529" i="107"/>
  <c r="U529" i="107"/>
  <c r="V529" i="107"/>
  <c r="W529" i="107"/>
  <c r="X529" i="107"/>
  <c r="Y529" i="107"/>
  <c r="Z529" i="107"/>
  <c r="AA529" i="107"/>
  <c r="AB529" i="107"/>
  <c r="AC529" i="107"/>
  <c r="AD529" i="107"/>
  <c r="C530" i="107"/>
  <c r="D530" i="107"/>
  <c r="E530" i="107"/>
  <c r="F530" i="107"/>
  <c r="G530" i="107"/>
  <c r="H530" i="107"/>
  <c r="I530" i="107"/>
  <c r="J530" i="107"/>
  <c r="K530" i="107"/>
  <c r="L530" i="107"/>
  <c r="M530" i="107"/>
  <c r="N530" i="107"/>
  <c r="O530" i="107"/>
  <c r="P530" i="107"/>
  <c r="Q530" i="107"/>
  <c r="R530" i="107"/>
  <c r="S530" i="107"/>
  <c r="T530" i="107"/>
  <c r="U530" i="107"/>
  <c r="V530" i="107"/>
  <c r="W530" i="107"/>
  <c r="X530" i="107"/>
  <c r="Y530" i="107"/>
  <c r="Z530" i="107"/>
  <c r="AA530" i="107"/>
  <c r="AB530" i="107"/>
  <c r="AC530" i="107"/>
  <c r="AD530" i="107"/>
  <c r="C531" i="107"/>
  <c r="D531" i="107"/>
  <c r="E531" i="107"/>
  <c r="F531" i="107"/>
  <c r="G531" i="107"/>
  <c r="H531" i="107"/>
  <c r="I531" i="107"/>
  <c r="J531" i="107"/>
  <c r="K531" i="107"/>
  <c r="L531" i="107"/>
  <c r="M531" i="107"/>
  <c r="N531" i="107"/>
  <c r="O531" i="107"/>
  <c r="P531" i="107"/>
  <c r="Q531" i="107"/>
  <c r="R531" i="107"/>
  <c r="S531" i="107"/>
  <c r="T531" i="107"/>
  <c r="U531" i="107"/>
  <c r="V531" i="107"/>
  <c r="W531" i="107"/>
  <c r="X531" i="107"/>
  <c r="Y531" i="107"/>
  <c r="Z531" i="107"/>
  <c r="AA531" i="107"/>
  <c r="AB531" i="107"/>
  <c r="AC531" i="107"/>
  <c r="AD531" i="107"/>
  <c r="C532" i="107"/>
  <c r="D532" i="107"/>
  <c r="E532" i="107"/>
  <c r="F532" i="107"/>
  <c r="G532" i="107"/>
  <c r="H532" i="107"/>
  <c r="I532" i="107"/>
  <c r="J532" i="107"/>
  <c r="K532" i="107"/>
  <c r="L532" i="107"/>
  <c r="M532" i="107"/>
  <c r="N532" i="107"/>
  <c r="O532" i="107"/>
  <c r="P532" i="107"/>
  <c r="Q532" i="107"/>
  <c r="R532" i="107"/>
  <c r="S532" i="107"/>
  <c r="T532" i="107"/>
  <c r="U532" i="107"/>
  <c r="V532" i="107"/>
  <c r="W532" i="107"/>
  <c r="X532" i="107"/>
  <c r="Y532" i="107"/>
  <c r="Z532" i="107"/>
  <c r="AA532" i="107"/>
  <c r="AB532" i="107"/>
  <c r="AC532" i="107"/>
  <c r="AD532" i="107"/>
  <c r="C533" i="107"/>
  <c r="D533" i="107"/>
  <c r="E533" i="107"/>
  <c r="F533" i="107"/>
  <c r="G533" i="107"/>
  <c r="H533" i="107"/>
  <c r="I533" i="107"/>
  <c r="J533" i="107"/>
  <c r="K533" i="107"/>
  <c r="L533" i="107"/>
  <c r="M533" i="107"/>
  <c r="N533" i="107"/>
  <c r="O533" i="107"/>
  <c r="P533" i="107"/>
  <c r="Q533" i="107"/>
  <c r="R533" i="107"/>
  <c r="S533" i="107"/>
  <c r="T533" i="107"/>
  <c r="U533" i="107"/>
  <c r="V533" i="107"/>
  <c r="W533" i="107"/>
  <c r="X533" i="107"/>
  <c r="Y533" i="107"/>
  <c r="Z533" i="107"/>
  <c r="AA533" i="107"/>
  <c r="AB533" i="107"/>
  <c r="AC533" i="107"/>
  <c r="AD533" i="107"/>
  <c r="C534" i="107"/>
  <c r="D534" i="107"/>
  <c r="E534" i="107"/>
  <c r="F534" i="107"/>
  <c r="G534" i="107"/>
  <c r="H534" i="107"/>
  <c r="I534" i="107"/>
  <c r="J534" i="107"/>
  <c r="K534" i="107"/>
  <c r="L534" i="107"/>
  <c r="M534" i="107"/>
  <c r="N534" i="107"/>
  <c r="O534" i="107"/>
  <c r="P534" i="107"/>
  <c r="Q534" i="107"/>
  <c r="R534" i="107"/>
  <c r="S534" i="107"/>
  <c r="T534" i="107"/>
  <c r="U534" i="107"/>
  <c r="V534" i="107"/>
  <c r="W534" i="107"/>
  <c r="X534" i="107"/>
  <c r="Y534" i="107"/>
  <c r="Z534" i="107"/>
  <c r="AA534" i="107"/>
  <c r="AB534" i="107"/>
  <c r="AC534" i="107"/>
  <c r="AD534" i="107"/>
  <c r="C535" i="107"/>
  <c r="D535" i="107"/>
  <c r="E535" i="107"/>
  <c r="F535" i="107"/>
  <c r="G535" i="107"/>
  <c r="H535" i="107"/>
  <c r="I535" i="107"/>
  <c r="J535" i="107"/>
  <c r="K535" i="107"/>
  <c r="L535" i="107"/>
  <c r="M535" i="107"/>
  <c r="N535" i="107"/>
  <c r="O535" i="107"/>
  <c r="P535" i="107"/>
  <c r="Q535" i="107"/>
  <c r="R535" i="107"/>
  <c r="S535" i="107"/>
  <c r="T535" i="107"/>
  <c r="U535" i="107"/>
  <c r="V535" i="107"/>
  <c r="W535" i="107"/>
  <c r="X535" i="107"/>
  <c r="Y535" i="107"/>
  <c r="Z535" i="107"/>
  <c r="AA535" i="107"/>
  <c r="AB535" i="107"/>
  <c r="AC535" i="107"/>
  <c r="AD535" i="107"/>
  <c r="C536" i="107"/>
  <c r="D536" i="107"/>
  <c r="E536" i="107"/>
  <c r="F536" i="107"/>
  <c r="G536" i="107"/>
  <c r="H536" i="107"/>
  <c r="I536" i="107"/>
  <c r="J536" i="107"/>
  <c r="K536" i="107"/>
  <c r="L536" i="107"/>
  <c r="M536" i="107"/>
  <c r="N536" i="107"/>
  <c r="O536" i="107"/>
  <c r="P536" i="107"/>
  <c r="Q536" i="107"/>
  <c r="R536" i="107"/>
  <c r="S536" i="107"/>
  <c r="T536" i="107"/>
  <c r="U536" i="107"/>
  <c r="V536" i="107"/>
  <c r="W536" i="107"/>
  <c r="X536" i="107"/>
  <c r="Y536" i="107"/>
  <c r="Z536" i="107"/>
  <c r="AA536" i="107"/>
  <c r="AB536" i="107"/>
  <c r="AC536" i="107"/>
  <c r="AD536" i="107"/>
  <c r="C537" i="107"/>
  <c r="D537" i="107"/>
  <c r="E537" i="107"/>
  <c r="F537" i="107"/>
  <c r="G537" i="107"/>
  <c r="H537" i="107"/>
  <c r="I537" i="107"/>
  <c r="J537" i="107"/>
  <c r="K537" i="107"/>
  <c r="L537" i="107"/>
  <c r="M537" i="107"/>
  <c r="N537" i="107"/>
  <c r="O537" i="107"/>
  <c r="P537" i="107"/>
  <c r="Q537" i="107"/>
  <c r="R537" i="107"/>
  <c r="S537" i="107"/>
  <c r="T537" i="107"/>
  <c r="U537" i="107"/>
  <c r="V537" i="107"/>
  <c r="W537" i="107"/>
  <c r="X537" i="107"/>
  <c r="Y537" i="107"/>
  <c r="Z537" i="107"/>
  <c r="AA537" i="107"/>
  <c r="AB537" i="107"/>
  <c r="AC537" i="107"/>
  <c r="AD537" i="107"/>
  <c r="C538" i="107"/>
  <c r="D538" i="107"/>
  <c r="E538" i="107"/>
  <c r="F538" i="107"/>
  <c r="G538" i="107"/>
  <c r="H538" i="107"/>
  <c r="I538" i="107"/>
  <c r="J538" i="107"/>
  <c r="K538" i="107"/>
  <c r="L538" i="107"/>
  <c r="M538" i="107"/>
  <c r="N538" i="107"/>
  <c r="O538" i="107"/>
  <c r="P538" i="107"/>
  <c r="Q538" i="107"/>
  <c r="R538" i="107"/>
  <c r="S538" i="107"/>
  <c r="T538" i="107"/>
  <c r="U538" i="107"/>
  <c r="V538" i="107"/>
  <c r="W538" i="107"/>
  <c r="X538" i="107"/>
  <c r="Y538" i="107"/>
  <c r="Z538" i="107"/>
  <c r="AA538" i="107"/>
  <c r="AB538" i="107"/>
  <c r="AC538" i="107"/>
  <c r="AD538" i="107"/>
  <c r="C539" i="107"/>
  <c r="D539" i="107"/>
  <c r="E539" i="107"/>
  <c r="F539" i="107"/>
  <c r="G539" i="107"/>
  <c r="H539" i="107"/>
  <c r="I539" i="107"/>
  <c r="J539" i="107"/>
  <c r="K539" i="107"/>
  <c r="L539" i="107"/>
  <c r="M539" i="107"/>
  <c r="N539" i="107"/>
  <c r="O539" i="107"/>
  <c r="P539" i="107"/>
  <c r="Q539" i="107"/>
  <c r="R539" i="107"/>
  <c r="S539" i="107"/>
  <c r="T539" i="107"/>
  <c r="U539" i="107"/>
  <c r="V539" i="107"/>
  <c r="W539" i="107"/>
  <c r="X539" i="107"/>
  <c r="Y539" i="107"/>
  <c r="Z539" i="107"/>
  <c r="AA539" i="107"/>
  <c r="AB539" i="107"/>
  <c r="AC539" i="107"/>
  <c r="AD539" i="107"/>
  <c r="C540" i="107"/>
  <c r="D540" i="107"/>
  <c r="E540" i="107"/>
  <c r="F540" i="107"/>
  <c r="G540" i="107"/>
  <c r="H540" i="107"/>
  <c r="I540" i="107"/>
  <c r="J540" i="107"/>
  <c r="K540" i="107"/>
  <c r="L540" i="107"/>
  <c r="M540" i="107"/>
  <c r="N540" i="107"/>
  <c r="O540" i="107"/>
  <c r="P540" i="107"/>
  <c r="Q540" i="107"/>
  <c r="R540" i="107"/>
  <c r="S540" i="107"/>
  <c r="T540" i="107"/>
  <c r="U540" i="107"/>
  <c r="V540" i="107"/>
  <c r="W540" i="107"/>
  <c r="X540" i="107"/>
  <c r="Y540" i="107"/>
  <c r="Z540" i="107"/>
  <c r="AA540" i="107"/>
  <c r="AB540" i="107"/>
  <c r="AC540" i="107"/>
  <c r="AD540" i="107"/>
  <c r="C541" i="107"/>
  <c r="D541" i="107"/>
  <c r="E541" i="107"/>
  <c r="F541" i="107"/>
  <c r="G541" i="107"/>
  <c r="H541" i="107"/>
  <c r="I541" i="107"/>
  <c r="J541" i="107"/>
  <c r="K541" i="107"/>
  <c r="L541" i="107"/>
  <c r="M541" i="107"/>
  <c r="N541" i="107"/>
  <c r="O541" i="107"/>
  <c r="P541" i="107"/>
  <c r="Q541" i="107"/>
  <c r="R541" i="107"/>
  <c r="S541" i="107"/>
  <c r="T541" i="107"/>
  <c r="U541" i="107"/>
  <c r="V541" i="107"/>
  <c r="W541" i="107"/>
  <c r="X541" i="107"/>
  <c r="Y541" i="107"/>
  <c r="Z541" i="107"/>
  <c r="AA541" i="107"/>
  <c r="AB541" i="107"/>
  <c r="AC541" i="107"/>
  <c r="AD541" i="107"/>
  <c r="C542" i="107"/>
  <c r="D542" i="107"/>
  <c r="E542" i="107"/>
  <c r="F542" i="107"/>
  <c r="G542" i="107"/>
  <c r="H542" i="107"/>
  <c r="I542" i="107"/>
  <c r="J542" i="107"/>
  <c r="K542" i="107"/>
  <c r="L542" i="107"/>
  <c r="M542" i="107"/>
  <c r="N542" i="107"/>
  <c r="O542" i="107"/>
  <c r="P542" i="107"/>
  <c r="Q542" i="107"/>
  <c r="R542" i="107"/>
  <c r="S542" i="107"/>
  <c r="T542" i="107"/>
  <c r="U542" i="107"/>
  <c r="V542" i="107"/>
  <c r="W542" i="107"/>
  <c r="X542" i="107"/>
  <c r="Y542" i="107"/>
  <c r="Z542" i="107"/>
  <c r="AA542" i="107"/>
  <c r="AB542" i="107"/>
  <c r="AC542" i="107"/>
  <c r="AD542" i="107"/>
  <c r="C543" i="107"/>
  <c r="D543" i="107"/>
  <c r="E543" i="107"/>
  <c r="F543" i="107"/>
  <c r="G543" i="107"/>
  <c r="H543" i="107"/>
  <c r="I543" i="107"/>
  <c r="J543" i="107"/>
  <c r="K543" i="107"/>
  <c r="L543" i="107"/>
  <c r="M543" i="107"/>
  <c r="N543" i="107"/>
  <c r="O543" i="107"/>
  <c r="P543" i="107"/>
  <c r="Q543" i="107"/>
  <c r="R543" i="107"/>
  <c r="S543" i="107"/>
  <c r="T543" i="107"/>
  <c r="U543" i="107"/>
  <c r="V543" i="107"/>
  <c r="W543" i="107"/>
  <c r="X543" i="107"/>
  <c r="Y543" i="107"/>
  <c r="Z543" i="107"/>
  <c r="AA543" i="107"/>
  <c r="AB543" i="107"/>
  <c r="AC543" i="107"/>
  <c r="AD543" i="107"/>
  <c r="C544" i="107"/>
  <c r="D544" i="107"/>
  <c r="E544" i="107"/>
  <c r="F544" i="107"/>
  <c r="G544" i="107"/>
  <c r="H544" i="107"/>
  <c r="I544" i="107"/>
  <c r="J544" i="107"/>
  <c r="K544" i="107"/>
  <c r="L544" i="107"/>
  <c r="M544" i="107"/>
  <c r="N544" i="107"/>
  <c r="O544" i="107"/>
  <c r="P544" i="107"/>
  <c r="Q544" i="107"/>
  <c r="R544" i="107"/>
  <c r="S544" i="107"/>
  <c r="T544" i="107"/>
  <c r="U544" i="107"/>
  <c r="V544" i="107"/>
  <c r="W544" i="107"/>
  <c r="X544" i="107"/>
  <c r="Y544" i="107"/>
  <c r="Z544" i="107"/>
  <c r="AA544" i="107"/>
  <c r="AB544" i="107"/>
  <c r="AC544" i="107"/>
  <c r="AD544" i="107"/>
  <c r="C545" i="107"/>
  <c r="D545" i="107"/>
  <c r="E545" i="107"/>
  <c r="F545" i="107"/>
  <c r="G545" i="107"/>
  <c r="H545" i="107"/>
  <c r="I545" i="107"/>
  <c r="J545" i="107"/>
  <c r="K545" i="107"/>
  <c r="L545" i="107"/>
  <c r="M545" i="107"/>
  <c r="N545" i="107"/>
  <c r="O545" i="107"/>
  <c r="P545" i="107"/>
  <c r="Q545" i="107"/>
  <c r="R545" i="107"/>
  <c r="S545" i="107"/>
  <c r="T545" i="107"/>
  <c r="U545" i="107"/>
  <c r="V545" i="107"/>
  <c r="W545" i="107"/>
  <c r="X545" i="107"/>
  <c r="Y545" i="107"/>
  <c r="Z545" i="107"/>
  <c r="AA545" i="107"/>
  <c r="AB545" i="107"/>
  <c r="AC545" i="107"/>
  <c r="AD545" i="107"/>
  <c r="C546" i="107"/>
  <c r="D546" i="107"/>
  <c r="E546" i="107"/>
  <c r="F546" i="107"/>
  <c r="G546" i="107"/>
  <c r="H546" i="107"/>
  <c r="I546" i="107"/>
  <c r="J546" i="107"/>
  <c r="K546" i="107"/>
  <c r="L546" i="107"/>
  <c r="M546" i="107"/>
  <c r="N546" i="107"/>
  <c r="O546" i="107"/>
  <c r="P546" i="107"/>
  <c r="Q546" i="107"/>
  <c r="R546" i="107"/>
  <c r="S546" i="107"/>
  <c r="T546" i="107"/>
  <c r="U546" i="107"/>
  <c r="V546" i="107"/>
  <c r="W546" i="107"/>
  <c r="X546" i="107"/>
  <c r="Y546" i="107"/>
  <c r="Z546" i="107"/>
  <c r="AA546" i="107"/>
  <c r="AB546" i="107"/>
  <c r="AC546" i="107"/>
  <c r="AD546" i="107"/>
  <c r="C547" i="107"/>
  <c r="D547" i="107"/>
  <c r="E547" i="107"/>
  <c r="F547" i="107"/>
  <c r="G547" i="107"/>
  <c r="H547" i="107"/>
  <c r="I547" i="107"/>
  <c r="J547" i="107"/>
  <c r="K547" i="107"/>
  <c r="L547" i="107"/>
  <c r="M547" i="107"/>
  <c r="N547" i="107"/>
  <c r="O547" i="107"/>
  <c r="P547" i="107"/>
  <c r="Q547" i="107"/>
  <c r="R547" i="107"/>
  <c r="S547" i="107"/>
  <c r="T547" i="107"/>
  <c r="U547" i="107"/>
  <c r="V547" i="107"/>
  <c r="W547" i="107"/>
  <c r="X547" i="107"/>
  <c r="Y547" i="107"/>
  <c r="Z547" i="107"/>
  <c r="AA547" i="107"/>
  <c r="AB547" i="107"/>
  <c r="AC547" i="107"/>
  <c r="AD547" i="107"/>
  <c r="C548" i="107"/>
  <c r="D548" i="107"/>
  <c r="E548" i="107"/>
  <c r="F548" i="107"/>
  <c r="G548" i="107"/>
  <c r="H548" i="107"/>
  <c r="I548" i="107"/>
  <c r="J548" i="107"/>
  <c r="K548" i="107"/>
  <c r="L548" i="107"/>
  <c r="M548" i="107"/>
  <c r="N548" i="107"/>
  <c r="O548" i="107"/>
  <c r="P548" i="107"/>
  <c r="Q548" i="107"/>
  <c r="R548" i="107"/>
  <c r="S548" i="107"/>
  <c r="T548" i="107"/>
  <c r="U548" i="107"/>
  <c r="V548" i="107"/>
  <c r="W548" i="107"/>
  <c r="X548" i="107"/>
  <c r="Y548" i="107"/>
  <c r="Z548" i="107"/>
  <c r="AA548" i="107"/>
  <c r="AB548" i="107"/>
  <c r="AC548" i="107"/>
  <c r="AD548" i="107"/>
  <c r="C549" i="107"/>
  <c r="D549" i="107"/>
  <c r="E549" i="107"/>
  <c r="F549" i="107"/>
  <c r="G549" i="107"/>
  <c r="H549" i="107"/>
  <c r="I549" i="107"/>
  <c r="J549" i="107"/>
  <c r="K549" i="107"/>
  <c r="L549" i="107"/>
  <c r="M549" i="107"/>
  <c r="N549" i="107"/>
  <c r="O549" i="107"/>
  <c r="P549" i="107"/>
  <c r="Q549" i="107"/>
  <c r="R549" i="107"/>
  <c r="S549" i="107"/>
  <c r="T549" i="107"/>
  <c r="U549" i="107"/>
  <c r="V549" i="107"/>
  <c r="W549" i="107"/>
  <c r="X549" i="107"/>
  <c r="Y549" i="107"/>
  <c r="Z549" i="107"/>
  <c r="AA549" i="107"/>
  <c r="AB549" i="107"/>
  <c r="AC549" i="107"/>
  <c r="AD549" i="107"/>
  <c r="C550" i="107"/>
  <c r="D550" i="107"/>
  <c r="E550" i="107"/>
  <c r="F550" i="107"/>
  <c r="G550" i="107"/>
  <c r="H550" i="107"/>
  <c r="I550" i="107"/>
  <c r="J550" i="107"/>
  <c r="K550" i="107"/>
  <c r="L550" i="107"/>
  <c r="M550" i="107"/>
  <c r="N550" i="107"/>
  <c r="O550" i="107"/>
  <c r="P550" i="107"/>
  <c r="Q550" i="107"/>
  <c r="R550" i="107"/>
  <c r="S550" i="107"/>
  <c r="T550" i="107"/>
  <c r="U550" i="107"/>
  <c r="V550" i="107"/>
  <c r="W550" i="107"/>
  <c r="X550" i="107"/>
  <c r="Y550" i="107"/>
  <c r="Z550" i="107"/>
  <c r="AA550" i="107"/>
  <c r="AB550" i="107"/>
  <c r="AC550" i="107"/>
  <c r="AD550" i="107"/>
  <c r="C551" i="107"/>
  <c r="D551" i="107"/>
  <c r="E551" i="107"/>
  <c r="F551" i="107"/>
  <c r="G551" i="107"/>
  <c r="H551" i="107"/>
  <c r="I551" i="107"/>
  <c r="J551" i="107"/>
  <c r="K551" i="107"/>
  <c r="L551" i="107"/>
  <c r="M551" i="107"/>
  <c r="N551" i="107"/>
  <c r="O551" i="107"/>
  <c r="P551" i="107"/>
  <c r="Q551" i="107"/>
  <c r="R551" i="107"/>
  <c r="S551" i="107"/>
  <c r="T551" i="107"/>
  <c r="U551" i="107"/>
  <c r="V551" i="107"/>
  <c r="W551" i="107"/>
  <c r="X551" i="107"/>
  <c r="Y551" i="107"/>
  <c r="Z551" i="107"/>
  <c r="AA551" i="107"/>
  <c r="AB551" i="107"/>
  <c r="AC551" i="107"/>
  <c r="AD551" i="107"/>
  <c r="C552" i="107"/>
  <c r="D552" i="107"/>
  <c r="E552" i="107"/>
  <c r="F552" i="107"/>
  <c r="G552" i="107"/>
  <c r="H552" i="107"/>
  <c r="I552" i="107"/>
  <c r="J552" i="107"/>
  <c r="K552" i="107"/>
  <c r="L552" i="107"/>
  <c r="M552" i="107"/>
  <c r="N552" i="107"/>
  <c r="O552" i="107"/>
  <c r="P552" i="107"/>
  <c r="Q552" i="107"/>
  <c r="R552" i="107"/>
  <c r="S552" i="107"/>
  <c r="T552" i="107"/>
  <c r="U552" i="107"/>
  <c r="V552" i="107"/>
  <c r="W552" i="107"/>
  <c r="X552" i="107"/>
  <c r="Y552" i="107"/>
  <c r="Z552" i="107"/>
  <c r="AA552" i="107"/>
  <c r="AB552" i="107"/>
  <c r="AC552" i="107"/>
  <c r="AD552" i="107"/>
  <c r="C553" i="107"/>
  <c r="D553" i="107"/>
  <c r="E553" i="107"/>
  <c r="F553" i="107"/>
  <c r="G553" i="107"/>
  <c r="H553" i="107"/>
  <c r="I553" i="107"/>
  <c r="J553" i="107"/>
  <c r="K553" i="107"/>
  <c r="L553" i="107"/>
  <c r="M553" i="107"/>
  <c r="N553" i="107"/>
  <c r="O553" i="107"/>
  <c r="P553" i="107"/>
  <c r="Q553" i="107"/>
  <c r="R553" i="107"/>
  <c r="S553" i="107"/>
  <c r="T553" i="107"/>
  <c r="U553" i="107"/>
  <c r="V553" i="107"/>
  <c r="W553" i="107"/>
  <c r="X553" i="107"/>
  <c r="Y553" i="107"/>
  <c r="Z553" i="107"/>
  <c r="AA553" i="107"/>
  <c r="AB553" i="107"/>
  <c r="AC553" i="107"/>
  <c r="AD553" i="107"/>
  <c r="C554" i="107"/>
  <c r="D554" i="107"/>
  <c r="E554" i="107"/>
  <c r="F554" i="107"/>
  <c r="G554" i="107"/>
  <c r="H554" i="107"/>
  <c r="I554" i="107"/>
  <c r="J554" i="107"/>
  <c r="K554" i="107"/>
  <c r="L554" i="107"/>
  <c r="M554" i="107"/>
  <c r="N554" i="107"/>
  <c r="O554" i="107"/>
  <c r="P554" i="107"/>
  <c r="Q554" i="107"/>
  <c r="R554" i="107"/>
  <c r="S554" i="107"/>
  <c r="T554" i="107"/>
  <c r="U554" i="107"/>
  <c r="V554" i="107"/>
  <c r="W554" i="107"/>
  <c r="X554" i="107"/>
  <c r="Y554" i="107"/>
  <c r="Z554" i="107"/>
  <c r="AA554" i="107"/>
  <c r="AB554" i="107"/>
  <c r="AC554" i="107"/>
  <c r="AD554" i="107"/>
  <c r="C555" i="107"/>
  <c r="D555" i="107"/>
  <c r="E555" i="107"/>
  <c r="F555" i="107"/>
  <c r="G555" i="107"/>
  <c r="H555" i="107"/>
  <c r="I555" i="107"/>
  <c r="J555" i="107"/>
  <c r="K555" i="107"/>
  <c r="L555" i="107"/>
  <c r="M555" i="107"/>
  <c r="N555" i="107"/>
  <c r="O555" i="107"/>
  <c r="P555" i="107"/>
  <c r="Q555" i="107"/>
  <c r="R555" i="107"/>
  <c r="S555" i="107"/>
  <c r="T555" i="107"/>
  <c r="U555" i="107"/>
  <c r="V555" i="107"/>
  <c r="W555" i="107"/>
  <c r="X555" i="107"/>
  <c r="Y555" i="107"/>
  <c r="Z555" i="107"/>
  <c r="AA555" i="107"/>
  <c r="AB555" i="107"/>
  <c r="AC555" i="107"/>
  <c r="AD555" i="107"/>
  <c r="C556" i="107"/>
  <c r="D556" i="107"/>
  <c r="E556" i="107"/>
  <c r="F556" i="107"/>
  <c r="G556" i="107"/>
  <c r="H556" i="107"/>
  <c r="I556" i="107"/>
  <c r="J556" i="107"/>
  <c r="K556" i="107"/>
  <c r="L556" i="107"/>
  <c r="M556" i="107"/>
  <c r="N556" i="107"/>
  <c r="O556" i="107"/>
  <c r="P556" i="107"/>
  <c r="Q556" i="107"/>
  <c r="R556" i="107"/>
  <c r="S556" i="107"/>
  <c r="T556" i="107"/>
  <c r="U556" i="107"/>
  <c r="V556" i="107"/>
  <c r="W556" i="107"/>
  <c r="X556" i="107"/>
  <c r="Y556" i="107"/>
  <c r="Z556" i="107"/>
  <c r="AA556" i="107"/>
  <c r="AB556" i="107"/>
  <c r="AC556" i="107"/>
  <c r="AD556" i="107"/>
  <c r="C557" i="107"/>
  <c r="D557" i="107"/>
  <c r="E557" i="107"/>
  <c r="F557" i="107"/>
  <c r="G557" i="107"/>
  <c r="H557" i="107"/>
  <c r="I557" i="107"/>
  <c r="J557" i="107"/>
  <c r="K557" i="107"/>
  <c r="L557" i="107"/>
  <c r="M557" i="107"/>
  <c r="N557" i="107"/>
  <c r="O557" i="107"/>
  <c r="P557" i="107"/>
  <c r="Q557" i="107"/>
  <c r="R557" i="107"/>
  <c r="S557" i="107"/>
  <c r="T557" i="107"/>
  <c r="U557" i="107"/>
  <c r="V557" i="107"/>
  <c r="W557" i="107"/>
  <c r="X557" i="107"/>
  <c r="Y557" i="107"/>
  <c r="Z557" i="107"/>
  <c r="AA557" i="107"/>
  <c r="AB557" i="107"/>
  <c r="AC557" i="107"/>
  <c r="AD557" i="107"/>
  <c r="C558" i="107"/>
  <c r="D558" i="107"/>
  <c r="E558" i="107"/>
  <c r="F558" i="107"/>
  <c r="G558" i="107"/>
  <c r="H558" i="107"/>
  <c r="I558" i="107"/>
  <c r="J558" i="107"/>
  <c r="K558" i="107"/>
  <c r="L558" i="107"/>
  <c r="M558" i="107"/>
  <c r="N558" i="107"/>
  <c r="O558" i="107"/>
  <c r="P558" i="107"/>
  <c r="Q558" i="107"/>
  <c r="R558" i="107"/>
  <c r="S558" i="107"/>
  <c r="T558" i="107"/>
  <c r="U558" i="107"/>
  <c r="V558" i="107"/>
  <c r="W558" i="107"/>
  <c r="X558" i="107"/>
  <c r="Y558" i="107"/>
  <c r="Z558" i="107"/>
  <c r="AA558" i="107"/>
  <c r="AB558" i="107"/>
  <c r="AC558" i="107"/>
  <c r="AD558" i="107"/>
  <c r="C559" i="107"/>
  <c r="D559" i="107"/>
  <c r="E559" i="107"/>
  <c r="F559" i="107"/>
  <c r="G559" i="107"/>
  <c r="H559" i="107"/>
  <c r="I559" i="107"/>
  <c r="J559" i="107"/>
  <c r="K559" i="107"/>
  <c r="L559" i="107"/>
  <c r="M559" i="107"/>
  <c r="N559" i="107"/>
  <c r="O559" i="107"/>
  <c r="P559" i="107"/>
  <c r="Q559" i="107"/>
  <c r="R559" i="107"/>
  <c r="S559" i="107"/>
  <c r="T559" i="107"/>
  <c r="U559" i="107"/>
  <c r="V559" i="107"/>
  <c r="W559" i="107"/>
  <c r="X559" i="107"/>
  <c r="Y559" i="107"/>
  <c r="Z559" i="107"/>
  <c r="AA559" i="107"/>
  <c r="AB559" i="107"/>
  <c r="AC559" i="107"/>
  <c r="AD559" i="107"/>
  <c r="C560" i="107"/>
  <c r="D560" i="107"/>
  <c r="E560" i="107"/>
  <c r="F560" i="107"/>
  <c r="G560" i="107"/>
  <c r="H560" i="107"/>
  <c r="I560" i="107"/>
  <c r="J560" i="107"/>
  <c r="K560" i="107"/>
  <c r="L560" i="107"/>
  <c r="M560" i="107"/>
  <c r="N560" i="107"/>
  <c r="O560" i="107"/>
  <c r="P560" i="107"/>
  <c r="Q560" i="107"/>
  <c r="R560" i="107"/>
  <c r="S560" i="107"/>
  <c r="T560" i="107"/>
  <c r="U560" i="107"/>
  <c r="V560" i="107"/>
  <c r="W560" i="107"/>
  <c r="X560" i="107"/>
  <c r="Y560" i="107"/>
  <c r="Z560" i="107"/>
  <c r="AA560" i="107"/>
  <c r="AB560" i="107"/>
  <c r="AC560" i="107"/>
  <c r="AD560" i="107"/>
  <c r="C561" i="107"/>
  <c r="D561" i="107"/>
  <c r="E561" i="107"/>
  <c r="F561" i="107"/>
  <c r="G561" i="107"/>
  <c r="H561" i="107"/>
  <c r="I561" i="107"/>
  <c r="J561" i="107"/>
  <c r="K561" i="107"/>
  <c r="L561" i="107"/>
  <c r="M561" i="107"/>
  <c r="N561" i="107"/>
  <c r="O561" i="107"/>
  <c r="P561" i="107"/>
  <c r="Q561" i="107"/>
  <c r="R561" i="107"/>
  <c r="S561" i="107"/>
  <c r="T561" i="107"/>
  <c r="U561" i="107"/>
  <c r="V561" i="107"/>
  <c r="W561" i="107"/>
  <c r="X561" i="107"/>
  <c r="Y561" i="107"/>
  <c r="Z561" i="107"/>
  <c r="AA561" i="107"/>
  <c r="AB561" i="107"/>
  <c r="AC561" i="107"/>
  <c r="AD561" i="107"/>
  <c r="C562" i="107"/>
  <c r="D562" i="107"/>
  <c r="E562" i="107"/>
  <c r="F562" i="107"/>
  <c r="G562" i="107"/>
  <c r="H562" i="107"/>
  <c r="I562" i="107"/>
  <c r="J562" i="107"/>
  <c r="K562" i="107"/>
  <c r="L562" i="107"/>
  <c r="M562" i="107"/>
  <c r="N562" i="107"/>
  <c r="O562" i="107"/>
  <c r="P562" i="107"/>
  <c r="Q562" i="107"/>
  <c r="R562" i="107"/>
  <c r="S562" i="107"/>
  <c r="T562" i="107"/>
  <c r="U562" i="107"/>
  <c r="V562" i="107"/>
  <c r="W562" i="107"/>
  <c r="X562" i="107"/>
  <c r="Y562" i="107"/>
  <c r="Z562" i="107"/>
  <c r="AA562" i="107"/>
  <c r="AB562" i="107"/>
  <c r="AC562" i="107"/>
  <c r="AD562" i="107"/>
  <c r="C563" i="107"/>
  <c r="D563" i="107"/>
  <c r="E563" i="107"/>
  <c r="F563" i="107"/>
  <c r="G563" i="107"/>
  <c r="H563" i="107"/>
  <c r="I563" i="107"/>
  <c r="J563" i="107"/>
  <c r="K563" i="107"/>
  <c r="L563" i="107"/>
  <c r="M563" i="107"/>
  <c r="N563" i="107"/>
  <c r="O563" i="107"/>
  <c r="P563" i="107"/>
  <c r="Q563" i="107"/>
  <c r="R563" i="107"/>
  <c r="S563" i="107"/>
  <c r="T563" i="107"/>
  <c r="U563" i="107"/>
  <c r="V563" i="107"/>
  <c r="W563" i="107"/>
  <c r="X563" i="107"/>
  <c r="Y563" i="107"/>
  <c r="Z563" i="107"/>
  <c r="AA563" i="107"/>
  <c r="AB563" i="107"/>
  <c r="AC563" i="107"/>
  <c r="AD563" i="107"/>
  <c r="C564" i="107"/>
  <c r="D564" i="107"/>
  <c r="E564" i="107"/>
  <c r="F564" i="107"/>
  <c r="G564" i="107"/>
  <c r="H564" i="107"/>
  <c r="I564" i="107"/>
  <c r="J564" i="107"/>
  <c r="K564" i="107"/>
  <c r="L564" i="107"/>
  <c r="M564" i="107"/>
  <c r="N564" i="107"/>
  <c r="O564" i="107"/>
  <c r="P564" i="107"/>
  <c r="Q564" i="107"/>
  <c r="R564" i="107"/>
  <c r="S564" i="107"/>
  <c r="T564" i="107"/>
  <c r="U564" i="107"/>
  <c r="V564" i="107"/>
  <c r="W564" i="107"/>
  <c r="X564" i="107"/>
  <c r="Y564" i="107"/>
  <c r="Z564" i="107"/>
  <c r="AA564" i="107"/>
  <c r="AB564" i="107"/>
  <c r="AC564" i="107"/>
  <c r="AD564" i="107"/>
  <c r="C565" i="107"/>
  <c r="D565" i="107"/>
  <c r="E565" i="107"/>
  <c r="F565" i="107"/>
  <c r="G565" i="107"/>
  <c r="H565" i="107"/>
  <c r="I565" i="107"/>
  <c r="J565" i="107"/>
  <c r="K565" i="107"/>
  <c r="L565" i="107"/>
  <c r="M565" i="107"/>
  <c r="N565" i="107"/>
  <c r="O565" i="107"/>
  <c r="P565" i="107"/>
  <c r="Q565" i="107"/>
  <c r="R565" i="107"/>
  <c r="S565" i="107"/>
  <c r="T565" i="107"/>
  <c r="U565" i="107"/>
  <c r="V565" i="107"/>
  <c r="W565" i="107"/>
  <c r="X565" i="107"/>
  <c r="Y565" i="107"/>
  <c r="Z565" i="107"/>
  <c r="AA565" i="107"/>
  <c r="AB565" i="107"/>
  <c r="AC565" i="107"/>
  <c r="AD565" i="107"/>
  <c r="C566" i="107"/>
  <c r="D566" i="107"/>
  <c r="E566" i="107"/>
  <c r="F566" i="107"/>
  <c r="G566" i="107"/>
  <c r="H566" i="107"/>
  <c r="I566" i="107"/>
  <c r="J566" i="107"/>
  <c r="K566" i="107"/>
  <c r="L566" i="107"/>
  <c r="M566" i="107"/>
  <c r="N566" i="107"/>
  <c r="O566" i="107"/>
  <c r="P566" i="107"/>
  <c r="Q566" i="107"/>
  <c r="R566" i="107"/>
  <c r="S566" i="107"/>
  <c r="T566" i="107"/>
  <c r="U566" i="107"/>
  <c r="V566" i="107"/>
  <c r="W566" i="107"/>
  <c r="X566" i="107"/>
  <c r="Y566" i="107"/>
  <c r="Z566" i="107"/>
  <c r="AA566" i="107"/>
  <c r="AB566" i="107"/>
  <c r="AC566" i="107"/>
  <c r="AD566" i="107"/>
  <c r="C567" i="107"/>
  <c r="D567" i="107"/>
  <c r="E567" i="107"/>
  <c r="F567" i="107"/>
  <c r="G567" i="107"/>
  <c r="H567" i="107"/>
  <c r="I567" i="107"/>
  <c r="J567" i="107"/>
  <c r="K567" i="107"/>
  <c r="L567" i="107"/>
  <c r="M567" i="107"/>
  <c r="N567" i="107"/>
  <c r="O567" i="107"/>
  <c r="P567" i="107"/>
  <c r="Q567" i="107"/>
  <c r="R567" i="107"/>
  <c r="S567" i="107"/>
  <c r="T567" i="107"/>
  <c r="U567" i="107"/>
  <c r="V567" i="107"/>
  <c r="W567" i="107"/>
  <c r="X567" i="107"/>
  <c r="Y567" i="107"/>
  <c r="Z567" i="107"/>
  <c r="AA567" i="107"/>
  <c r="AB567" i="107"/>
  <c r="AC567" i="107"/>
  <c r="AD567" i="107"/>
  <c r="C568" i="107"/>
  <c r="D568" i="107"/>
  <c r="E568" i="107"/>
  <c r="F568" i="107"/>
  <c r="G568" i="107"/>
  <c r="H568" i="107"/>
  <c r="I568" i="107"/>
  <c r="J568" i="107"/>
  <c r="K568" i="107"/>
  <c r="L568" i="107"/>
  <c r="M568" i="107"/>
  <c r="N568" i="107"/>
  <c r="O568" i="107"/>
  <c r="P568" i="107"/>
  <c r="Q568" i="107"/>
  <c r="R568" i="107"/>
  <c r="S568" i="107"/>
  <c r="T568" i="107"/>
  <c r="U568" i="107"/>
  <c r="V568" i="107"/>
  <c r="W568" i="107"/>
  <c r="X568" i="107"/>
  <c r="Y568" i="107"/>
  <c r="Z568" i="107"/>
  <c r="AA568" i="107"/>
  <c r="AB568" i="107"/>
  <c r="AC568" i="107"/>
  <c r="AD568" i="107"/>
  <c r="C569" i="107"/>
  <c r="D569" i="107"/>
  <c r="E569" i="107"/>
  <c r="F569" i="107"/>
  <c r="G569" i="107"/>
  <c r="H569" i="107"/>
  <c r="I569" i="107"/>
  <c r="J569" i="107"/>
  <c r="K569" i="107"/>
  <c r="L569" i="107"/>
  <c r="M569" i="107"/>
  <c r="N569" i="107"/>
  <c r="O569" i="107"/>
  <c r="P569" i="107"/>
  <c r="Q569" i="107"/>
  <c r="R569" i="107"/>
  <c r="S569" i="107"/>
  <c r="T569" i="107"/>
  <c r="U569" i="107"/>
  <c r="V569" i="107"/>
  <c r="W569" i="107"/>
  <c r="X569" i="107"/>
  <c r="Y569" i="107"/>
  <c r="Z569" i="107"/>
  <c r="AA569" i="107"/>
  <c r="AB569" i="107"/>
  <c r="AC569" i="107"/>
  <c r="AD569" i="107"/>
  <c r="C570" i="107"/>
  <c r="D570" i="107"/>
  <c r="E570" i="107"/>
  <c r="F570" i="107"/>
  <c r="G570" i="107"/>
  <c r="H570" i="107"/>
  <c r="I570" i="107"/>
  <c r="J570" i="107"/>
  <c r="K570" i="107"/>
  <c r="L570" i="107"/>
  <c r="M570" i="107"/>
  <c r="N570" i="107"/>
  <c r="O570" i="107"/>
  <c r="P570" i="107"/>
  <c r="Q570" i="107"/>
  <c r="R570" i="107"/>
  <c r="S570" i="107"/>
  <c r="T570" i="107"/>
  <c r="U570" i="107"/>
  <c r="V570" i="107"/>
  <c r="W570" i="107"/>
  <c r="X570" i="107"/>
  <c r="Y570" i="107"/>
  <c r="Z570" i="107"/>
  <c r="AA570" i="107"/>
  <c r="AB570" i="107"/>
  <c r="AC570" i="107"/>
  <c r="AD570" i="107"/>
  <c r="C571" i="107"/>
  <c r="D571" i="107"/>
  <c r="E571" i="107"/>
  <c r="F571" i="107"/>
  <c r="G571" i="107"/>
  <c r="H571" i="107"/>
  <c r="I571" i="107"/>
  <c r="J571" i="107"/>
  <c r="K571" i="107"/>
  <c r="L571" i="107"/>
  <c r="M571" i="107"/>
  <c r="N571" i="107"/>
  <c r="O571" i="107"/>
  <c r="P571" i="107"/>
  <c r="Q571" i="107"/>
  <c r="R571" i="107"/>
  <c r="S571" i="107"/>
  <c r="T571" i="107"/>
  <c r="U571" i="107"/>
  <c r="V571" i="107"/>
  <c r="W571" i="107"/>
  <c r="X571" i="107"/>
  <c r="Y571" i="107"/>
  <c r="Z571" i="107"/>
  <c r="AA571" i="107"/>
  <c r="AB571" i="107"/>
  <c r="AC571" i="107"/>
  <c r="AD571" i="107"/>
  <c r="C572" i="107"/>
  <c r="D572" i="107"/>
  <c r="E572" i="107"/>
  <c r="F572" i="107"/>
  <c r="G572" i="107"/>
  <c r="H572" i="107"/>
  <c r="I572" i="107"/>
  <c r="J572" i="107"/>
  <c r="K572" i="107"/>
  <c r="L572" i="107"/>
  <c r="M572" i="107"/>
  <c r="N572" i="107"/>
  <c r="O572" i="107"/>
  <c r="P572" i="107"/>
  <c r="Q572" i="107"/>
  <c r="R572" i="107"/>
  <c r="S572" i="107"/>
  <c r="T572" i="107"/>
  <c r="U572" i="107"/>
  <c r="V572" i="107"/>
  <c r="W572" i="107"/>
  <c r="X572" i="107"/>
  <c r="Y572" i="107"/>
  <c r="Z572" i="107"/>
  <c r="AA572" i="107"/>
  <c r="AB572" i="107"/>
  <c r="AC572" i="107"/>
  <c r="AD572" i="107"/>
  <c r="C573" i="107"/>
  <c r="D573" i="107"/>
  <c r="E573" i="107"/>
  <c r="F573" i="107"/>
  <c r="G573" i="107"/>
  <c r="H573" i="107"/>
  <c r="I573" i="107"/>
  <c r="J573" i="107"/>
  <c r="K573" i="107"/>
  <c r="L573" i="107"/>
  <c r="M573" i="107"/>
  <c r="N573" i="107"/>
  <c r="O573" i="107"/>
  <c r="P573" i="107"/>
  <c r="Q573" i="107"/>
  <c r="R573" i="107"/>
  <c r="S573" i="107"/>
  <c r="T573" i="107"/>
  <c r="U573" i="107"/>
  <c r="V573" i="107"/>
  <c r="W573" i="107"/>
  <c r="X573" i="107"/>
  <c r="Y573" i="107"/>
  <c r="Z573" i="107"/>
  <c r="AA573" i="107"/>
  <c r="AB573" i="107"/>
  <c r="AC573" i="107"/>
  <c r="AD573" i="107"/>
  <c r="C574" i="107"/>
  <c r="D574" i="107"/>
  <c r="E574" i="107"/>
  <c r="F574" i="107"/>
  <c r="G574" i="107"/>
  <c r="H574" i="107"/>
  <c r="I574" i="107"/>
  <c r="J574" i="107"/>
  <c r="K574" i="107"/>
  <c r="L574" i="107"/>
  <c r="M574" i="107"/>
  <c r="N574" i="107"/>
  <c r="O574" i="107"/>
  <c r="P574" i="107"/>
  <c r="Q574" i="107"/>
  <c r="R574" i="107"/>
  <c r="S574" i="107"/>
  <c r="T574" i="107"/>
  <c r="U574" i="107"/>
  <c r="V574" i="107"/>
  <c r="W574" i="107"/>
  <c r="X574" i="107"/>
  <c r="Y574" i="107"/>
  <c r="Z574" i="107"/>
  <c r="AA574" i="107"/>
  <c r="AB574" i="107"/>
  <c r="AC574" i="107"/>
  <c r="AD574" i="107"/>
  <c r="C575" i="107"/>
  <c r="D575" i="107"/>
  <c r="E575" i="107"/>
  <c r="F575" i="107"/>
  <c r="G575" i="107"/>
  <c r="H575" i="107"/>
  <c r="I575" i="107"/>
  <c r="J575" i="107"/>
  <c r="K575" i="107"/>
  <c r="L575" i="107"/>
  <c r="M575" i="107"/>
  <c r="N575" i="107"/>
  <c r="O575" i="107"/>
  <c r="P575" i="107"/>
  <c r="Q575" i="107"/>
  <c r="R575" i="107"/>
  <c r="S575" i="107"/>
  <c r="T575" i="107"/>
  <c r="U575" i="107"/>
  <c r="V575" i="107"/>
  <c r="W575" i="107"/>
  <c r="X575" i="107"/>
  <c r="Y575" i="107"/>
  <c r="Z575" i="107"/>
  <c r="AA575" i="107"/>
  <c r="AB575" i="107"/>
  <c r="AC575" i="107"/>
  <c r="AD575" i="107"/>
  <c r="C576" i="107"/>
  <c r="D576" i="107"/>
  <c r="E576" i="107"/>
  <c r="F576" i="107"/>
  <c r="G576" i="107"/>
  <c r="H576" i="107"/>
  <c r="I576" i="107"/>
  <c r="J576" i="107"/>
  <c r="K576" i="107"/>
  <c r="L576" i="107"/>
  <c r="M576" i="107"/>
  <c r="N576" i="107"/>
  <c r="O576" i="107"/>
  <c r="P576" i="107"/>
  <c r="Q576" i="107"/>
  <c r="R576" i="107"/>
  <c r="S576" i="107"/>
  <c r="T576" i="107"/>
  <c r="U576" i="107"/>
  <c r="V576" i="107"/>
  <c r="W576" i="107"/>
  <c r="X576" i="107"/>
  <c r="Y576" i="107"/>
  <c r="Z576" i="107"/>
  <c r="AA576" i="107"/>
  <c r="AB576" i="107"/>
  <c r="AC576" i="107"/>
  <c r="AD576" i="107"/>
  <c r="C577" i="107"/>
  <c r="D577" i="107"/>
  <c r="E577" i="107"/>
  <c r="F577" i="107"/>
  <c r="G577" i="107"/>
  <c r="H577" i="107"/>
  <c r="I577" i="107"/>
  <c r="J577" i="107"/>
  <c r="K577" i="107"/>
  <c r="L577" i="107"/>
  <c r="M577" i="107"/>
  <c r="N577" i="107"/>
  <c r="O577" i="107"/>
  <c r="P577" i="107"/>
  <c r="Q577" i="107"/>
  <c r="R577" i="107"/>
  <c r="S577" i="107"/>
  <c r="T577" i="107"/>
  <c r="U577" i="107"/>
  <c r="V577" i="107"/>
  <c r="W577" i="107"/>
  <c r="X577" i="107"/>
  <c r="Y577" i="107"/>
  <c r="Z577" i="107"/>
  <c r="AA577" i="107"/>
  <c r="AB577" i="107"/>
  <c r="AC577" i="107"/>
  <c r="AD577" i="107"/>
  <c r="C578" i="107"/>
  <c r="D578" i="107"/>
  <c r="E578" i="107"/>
  <c r="F578" i="107"/>
  <c r="G578" i="107"/>
  <c r="H578" i="107"/>
  <c r="I578" i="107"/>
  <c r="J578" i="107"/>
  <c r="K578" i="107"/>
  <c r="L578" i="107"/>
  <c r="M578" i="107"/>
  <c r="N578" i="107"/>
  <c r="O578" i="107"/>
  <c r="P578" i="107"/>
  <c r="Q578" i="107"/>
  <c r="R578" i="107"/>
  <c r="S578" i="107"/>
  <c r="T578" i="107"/>
  <c r="U578" i="107"/>
  <c r="V578" i="107"/>
  <c r="W578" i="107"/>
  <c r="X578" i="107"/>
  <c r="Y578" i="107"/>
  <c r="Z578" i="107"/>
  <c r="AA578" i="107"/>
  <c r="AB578" i="107"/>
  <c r="AC578" i="107"/>
  <c r="AD578" i="107"/>
  <c r="C579" i="107"/>
  <c r="D579" i="107"/>
  <c r="E579" i="107"/>
  <c r="F579" i="107"/>
  <c r="G579" i="107"/>
  <c r="H579" i="107"/>
  <c r="I579" i="107"/>
  <c r="J579" i="107"/>
  <c r="K579" i="107"/>
  <c r="L579" i="107"/>
  <c r="M579" i="107"/>
  <c r="N579" i="107"/>
  <c r="O579" i="107"/>
  <c r="P579" i="107"/>
  <c r="Q579" i="107"/>
  <c r="R579" i="107"/>
  <c r="S579" i="107"/>
  <c r="T579" i="107"/>
  <c r="U579" i="107"/>
  <c r="V579" i="107"/>
  <c r="W579" i="107"/>
  <c r="X579" i="107"/>
  <c r="Y579" i="107"/>
  <c r="Z579" i="107"/>
  <c r="AA579" i="107"/>
  <c r="AB579" i="107"/>
  <c r="AC579" i="107"/>
  <c r="AD579" i="107"/>
  <c r="C580" i="107"/>
  <c r="D580" i="107"/>
  <c r="E580" i="107"/>
  <c r="F580" i="107"/>
  <c r="G580" i="107"/>
  <c r="H580" i="107"/>
  <c r="I580" i="107"/>
  <c r="J580" i="107"/>
  <c r="K580" i="107"/>
  <c r="L580" i="107"/>
  <c r="M580" i="107"/>
  <c r="N580" i="107"/>
  <c r="O580" i="107"/>
  <c r="P580" i="107"/>
  <c r="Q580" i="107"/>
  <c r="R580" i="107"/>
  <c r="S580" i="107"/>
  <c r="T580" i="107"/>
  <c r="U580" i="107"/>
  <c r="V580" i="107"/>
  <c r="W580" i="107"/>
  <c r="X580" i="107"/>
  <c r="Y580" i="107"/>
  <c r="Z580" i="107"/>
  <c r="AA580" i="107"/>
  <c r="AB580" i="107"/>
  <c r="AC580" i="107"/>
  <c r="AD580" i="107"/>
  <c r="C581" i="107"/>
  <c r="D581" i="107"/>
  <c r="E581" i="107"/>
  <c r="F581" i="107"/>
  <c r="G581" i="107"/>
  <c r="H581" i="107"/>
  <c r="I581" i="107"/>
  <c r="J581" i="107"/>
  <c r="K581" i="107"/>
  <c r="L581" i="107"/>
  <c r="M581" i="107"/>
  <c r="N581" i="107"/>
  <c r="O581" i="107"/>
  <c r="P581" i="107"/>
  <c r="Q581" i="107"/>
  <c r="R581" i="107"/>
  <c r="S581" i="107"/>
  <c r="T581" i="107"/>
  <c r="U581" i="107"/>
  <c r="V581" i="107"/>
  <c r="W581" i="107"/>
  <c r="X581" i="107"/>
  <c r="Y581" i="107"/>
  <c r="Z581" i="107"/>
  <c r="AA581" i="107"/>
  <c r="AB581" i="107"/>
  <c r="AC581" i="107"/>
  <c r="AD581" i="107"/>
  <c r="C582" i="107"/>
  <c r="D582" i="107"/>
  <c r="E582" i="107"/>
  <c r="F582" i="107"/>
  <c r="G582" i="107"/>
  <c r="H582" i="107"/>
  <c r="I582" i="107"/>
  <c r="J582" i="107"/>
  <c r="K582" i="107"/>
  <c r="L582" i="107"/>
  <c r="M582" i="107"/>
  <c r="N582" i="107"/>
  <c r="O582" i="107"/>
  <c r="P582" i="107"/>
  <c r="Q582" i="107"/>
  <c r="R582" i="107"/>
  <c r="S582" i="107"/>
  <c r="T582" i="107"/>
  <c r="U582" i="107"/>
  <c r="V582" i="107"/>
  <c r="W582" i="107"/>
  <c r="X582" i="107"/>
  <c r="Y582" i="107"/>
  <c r="Z582" i="107"/>
  <c r="AA582" i="107"/>
  <c r="AB582" i="107"/>
  <c r="AC582" i="107"/>
  <c r="AD582" i="107"/>
  <c r="C583" i="107"/>
  <c r="D583" i="107"/>
  <c r="E583" i="107"/>
  <c r="F583" i="107"/>
  <c r="G583" i="107"/>
  <c r="H583" i="107"/>
  <c r="I583" i="107"/>
  <c r="J583" i="107"/>
  <c r="K583" i="107"/>
  <c r="L583" i="107"/>
  <c r="M583" i="107"/>
  <c r="N583" i="107"/>
  <c r="O583" i="107"/>
  <c r="P583" i="107"/>
  <c r="Q583" i="107"/>
  <c r="R583" i="107"/>
  <c r="S583" i="107"/>
  <c r="T583" i="107"/>
  <c r="U583" i="107"/>
  <c r="V583" i="107"/>
  <c r="W583" i="107"/>
  <c r="X583" i="107"/>
  <c r="Y583" i="107"/>
  <c r="Z583" i="107"/>
  <c r="AA583" i="107"/>
  <c r="AB583" i="107"/>
  <c r="AC583" i="107"/>
  <c r="AD583" i="107"/>
  <c r="C584" i="107"/>
  <c r="D584" i="107"/>
  <c r="E584" i="107"/>
  <c r="F584" i="107"/>
  <c r="G584" i="107"/>
  <c r="H584" i="107"/>
  <c r="I584" i="107"/>
  <c r="J584" i="107"/>
  <c r="K584" i="107"/>
  <c r="L584" i="107"/>
  <c r="M584" i="107"/>
  <c r="N584" i="107"/>
  <c r="O584" i="107"/>
  <c r="P584" i="107"/>
  <c r="Q584" i="107"/>
  <c r="R584" i="107"/>
  <c r="S584" i="107"/>
  <c r="T584" i="107"/>
  <c r="U584" i="107"/>
  <c r="V584" i="107"/>
  <c r="W584" i="107"/>
  <c r="X584" i="107"/>
  <c r="Y584" i="107"/>
  <c r="Z584" i="107"/>
  <c r="AA584" i="107"/>
  <c r="AB584" i="107"/>
  <c r="AC584" i="107"/>
  <c r="AD584" i="107"/>
  <c r="C585" i="107"/>
  <c r="D585" i="107"/>
  <c r="E585" i="107"/>
  <c r="F585" i="107"/>
  <c r="G585" i="107"/>
  <c r="H585" i="107"/>
  <c r="I585" i="107"/>
  <c r="J585" i="107"/>
  <c r="K585" i="107"/>
  <c r="L585" i="107"/>
  <c r="M585" i="107"/>
  <c r="N585" i="107"/>
  <c r="O585" i="107"/>
  <c r="P585" i="107"/>
  <c r="Q585" i="107"/>
  <c r="R585" i="107"/>
  <c r="S585" i="107"/>
  <c r="T585" i="107"/>
  <c r="U585" i="107"/>
  <c r="V585" i="107"/>
  <c r="W585" i="107"/>
  <c r="X585" i="107"/>
  <c r="Y585" i="107"/>
  <c r="Z585" i="107"/>
  <c r="AA585" i="107"/>
  <c r="AB585" i="107"/>
  <c r="AC585" i="107"/>
  <c r="AD585" i="107"/>
  <c r="C586" i="107"/>
  <c r="D586" i="107"/>
  <c r="E586" i="107"/>
  <c r="F586" i="107"/>
  <c r="G586" i="107"/>
  <c r="H586" i="107"/>
  <c r="I586" i="107"/>
  <c r="J586" i="107"/>
  <c r="K586" i="107"/>
  <c r="L586" i="107"/>
  <c r="M586" i="107"/>
  <c r="N586" i="107"/>
  <c r="O586" i="107"/>
  <c r="P586" i="107"/>
  <c r="Q586" i="107"/>
  <c r="R586" i="107"/>
  <c r="S586" i="107"/>
  <c r="T586" i="107"/>
  <c r="U586" i="107"/>
  <c r="V586" i="107"/>
  <c r="W586" i="107"/>
  <c r="X586" i="107"/>
  <c r="Y586" i="107"/>
  <c r="Z586" i="107"/>
  <c r="AA586" i="107"/>
  <c r="AB586" i="107"/>
  <c r="AC586" i="107"/>
  <c r="AD586" i="107"/>
  <c r="C587" i="107"/>
  <c r="D587" i="107"/>
  <c r="E587" i="107"/>
  <c r="F587" i="107"/>
  <c r="G587" i="107"/>
  <c r="H587" i="107"/>
  <c r="I587" i="107"/>
  <c r="J587" i="107"/>
  <c r="K587" i="107"/>
  <c r="L587" i="107"/>
  <c r="M587" i="107"/>
  <c r="N587" i="107"/>
  <c r="O587" i="107"/>
  <c r="P587" i="107"/>
  <c r="Q587" i="107"/>
  <c r="R587" i="107"/>
  <c r="S587" i="107"/>
  <c r="T587" i="107"/>
  <c r="U587" i="107"/>
  <c r="V587" i="107"/>
  <c r="W587" i="107"/>
  <c r="X587" i="107"/>
  <c r="Y587" i="107"/>
  <c r="Z587" i="107"/>
  <c r="AA587" i="107"/>
  <c r="AB587" i="107"/>
  <c r="AC587" i="107"/>
  <c r="AD587" i="107"/>
  <c r="C588" i="107"/>
  <c r="D588" i="107"/>
  <c r="E588" i="107"/>
  <c r="F588" i="107"/>
  <c r="G588" i="107"/>
  <c r="H588" i="107"/>
  <c r="I588" i="107"/>
  <c r="J588" i="107"/>
  <c r="K588" i="107"/>
  <c r="L588" i="107"/>
  <c r="M588" i="107"/>
  <c r="N588" i="107"/>
  <c r="O588" i="107"/>
  <c r="P588" i="107"/>
  <c r="Q588" i="107"/>
  <c r="R588" i="107"/>
  <c r="S588" i="107"/>
  <c r="T588" i="107"/>
  <c r="U588" i="107"/>
  <c r="V588" i="107"/>
  <c r="W588" i="107"/>
  <c r="X588" i="107"/>
  <c r="Y588" i="107"/>
  <c r="Z588" i="107"/>
  <c r="AA588" i="107"/>
  <c r="AB588" i="107"/>
  <c r="AC588" i="107"/>
  <c r="AD588" i="107"/>
  <c r="C589" i="107"/>
  <c r="D589" i="107"/>
  <c r="E589" i="107"/>
  <c r="F589" i="107"/>
  <c r="G589" i="107"/>
  <c r="H589" i="107"/>
  <c r="I589" i="107"/>
  <c r="J589" i="107"/>
  <c r="K589" i="107"/>
  <c r="L589" i="107"/>
  <c r="M589" i="107"/>
  <c r="N589" i="107"/>
  <c r="O589" i="107"/>
  <c r="P589" i="107"/>
  <c r="Q589" i="107"/>
  <c r="R589" i="107"/>
  <c r="S589" i="107"/>
  <c r="T589" i="107"/>
  <c r="U589" i="107"/>
  <c r="V589" i="107"/>
  <c r="W589" i="107"/>
  <c r="X589" i="107"/>
  <c r="Y589" i="107"/>
  <c r="Z589" i="107"/>
  <c r="AA589" i="107"/>
  <c r="AB589" i="107"/>
  <c r="AC589" i="107"/>
  <c r="AD589" i="107"/>
  <c r="C590" i="107"/>
  <c r="D590" i="107"/>
  <c r="E590" i="107"/>
  <c r="F590" i="107"/>
  <c r="G590" i="107"/>
  <c r="H590" i="107"/>
  <c r="I590" i="107"/>
  <c r="J590" i="107"/>
  <c r="K590" i="107"/>
  <c r="L590" i="107"/>
  <c r="M590" i="107"/>
  <c r="N590" i="107"/>
  <c r="O590" i="107"/>
  <c r="P590" i="107"/>
  <c r="Q590" i="107"/>
  <c r="R590" i="107"/>
  <c r="S590" i="107"/>
  <c r="T590" i="107"/>
  <c r="U590" i="107"/>
  <c r="V590" i="107"/>
  <c r="W590" i="107"/>
  <c r="X590" i="107"/>
  <c r="Y590" i="107"/>
  <c r="Z590" i="107"/>
  <c r="AA590" i="107"/>
  <c r="AB590" i="107"/>
  <c r="AC590" i="107"/>
  <c r="AD590" i="107"/>
  <c r="C591" i="107"/>
  <c r="D591" i="107"/>
  <c r="E591" i="107"/>
  <c r="F591" i="107"/>
  <c r="G591" i="107"/>
  <c r="H591" i="107"/>
  <c r="I591" i="107"/>
  <c r="J591" i="107"/>
  <c r="K591" i="107"/>
  <c r="L591" i="107"/>
  <c r="M591" i="107"/>
  <c r="N591" i="107"/>
  <c r="O591" i="107"/>
  <c r="P591" i="107"/>
  <c r="Q591" i="107"/>
  <c r="R591" i="107"/>
  <c r="S591" i="107"/>
  <c r="T591" i="107"/>
  <c r="U591" i="107"/>
  <c r="V591" i="107"/>
  <c r="W591" i="107"/>
  <c r="X591" i="107"/>
  <c r="Y591" i="107"/>
  <c r="Z591" i="107"/>
  <c r="AA591" i="107"/>
  <c r="AB591" i="107"/>
  <c r="AC591" i="107"/>
  <c r="AD591" i="107"/>
  <c r="C592" i="107"/>
  <c r="D592" i="107"/>
  <c r="E592" i="107"/>
  <c r="F592" i="107"/>
  <c r="G592" i="107"/>
  <c r="H592" i="107"/>
  <c r="I592" i="107"/>
  <c r="J592" i="107"/>
  <c r="K592" i="107"/>
  <c r="L592" i="107"/>
  <c r="M592" i="107"/>
  <c r="N592" i="107"/>
  <c r="O592" i="107"/>
  <c r="P592" i="107"/>
  <c r="Q592" i="107"/>
  <c r="R592" i="107"/>
  <c r="S592" i="107"/>
  <c r="T592" i="107"/>
  <c r="U592" i="107"/>
  <c r="V592" i="107"/>
  <c r="W592" i="107"/>
  <c r="X592" i="107"/>
  <c r="Y592" i="107"/>
  <c r="Z592" i="107"/>
  <c r="AA592" i="107"/>
  <c r="AB592" i="107"/>
  <c r="AC592" i="107"/>
  <c r="AD592" i="107"/>
  <c r="C593" i="107"/>
  <c r="D593" i="107"/>
  <c r="E593" i="107"/>
  <c r="F593" i="107"/>
  <c r="G593" i="107"/>
  <c r="H593" i="107"/>
  <c r="I593" i="107"/>
  <c r="J593" i="107"/>
  <c r="K593" i="107"/>
  <c r="L593" i="107"/>
  <c r="M593" i="107"/>
  <c r="N593" i="107"/>
  <c r="O593" i="107"/>
  <c r="P593" i="107"/>
  <c r="Q593" i="107"/>
  <c r="R593" i="107"/>
  <c r="S593" i="107"/>
  <c r="T593" i="107"/>
  <c r="U593" i="107"/>
  <c r="V593" i="107"/>
  <c r="W593" i="107"/>
  <c r="X593" i="107"/>
  <c r="Y593" i="107"/>
  <c r="Z593" i="107"/>
  <c r="AA593" i="107"/>
  <c r="AB593" i="107"/>
  <c r="AC593" i="107"/>
  <c r="AD593" i="107"/>
  <c r="C594" i="107"/>
  <c r="D594" i="107"/>
  <c r="E594" i="107"/>
  <c r="F594" i="107"/>
  <c r="G594" i="107"/>
  <c r="H594" i="107"/>
  <c r="I594" i="107"/>
  <c r="J594" i="107"/>
  <c r="K594" i="107"/>
  <c r="L594" i="107"/>
  <c r="M594" i="107"/>
  <c r="N594" i="107"/>
  <c r="O594" i="107"/>
  <c r="P594" i="107"/>
  <c r="Q594" i="107"/>
  <c r="R594" i="107"/>
  <c r="S594" i="107"/>
  <c r="T594" i="107"/>
  <c r="U594" i="107"/>
  <c r="V594" i="107"/>
  <c r="W594" i="107"/>
  <c r="X594" i="107"/>
  <c r="Y594" i="107"/>
  <c r="Z594" i="107"/>
  <c r="AA594" i="107"/>
  <c r="AB594" i="107"/>
  <c r="AC594" i="107"/>
  <c r="AD594" i="107"/>
  <c r="C595" i="107"/>
  <c r="D595" i="107"/>
  <c r="E595" i="107"/>
  <c r="F595" i="107"/>
  <c r="G595" i="107"/>
  <c r="H595" i="107"/>
  <c r="I595" i="107"/>
  <c r="J595" i="107"/>
  <c r="K595" i="107"/>
  <c r="L595" i="107"/>
  <c r="M595" i="107"/>
  <c r="N595" i="107"/>
  <c r="O595" i="107"/>
  <c r="P595" i="107"/>
  <c r="Q595" i="107"/>
  <c r="R595" i="107"/>
  <c r="S595" i="107"/>
  <c r="T595" i="107"/>
  <c r="U595" i="107"/>
  <c r="V595" i="107"/>
  <c r="W595" i="107"/>
  <c r="X595" i="107"/>
  <c r="Y595" i="107"/>
  <c r="Z595" i="107"/>
  <c r="AA595" i="107"/>
  <c r="AB595" i="107"/>
  <c r="AC595" i="107"/>
  <c r="AD595" i="107"/>
  <c r="C596" i="107"/>
  <c r="D596" i="107"/>
  <c r="E596" i="107"/>
  <c r="F596" i="107"/>
  <c r="G596" i="107"/>
  <c r="H596" i="107"/>
  <c r="I596" i="107"/>
  <c r="J596" i="107"/>
  <c r="K596" i="107"/>
  <c r="L596" i="107"/>
  <c r="M596" i="107"/>
  <c r="N596" i="107"/>
  <c r="O596" i="107"/>
  <c r="P596" i="107"/>
  <c r="Q596" i="107"/>
  <c r="R596" i="107"/>
  <c r="S596" i="107"/>
  <c r="T596" i="107"/>
  <c r="U596" i="107"/>
  <c r="V596" i="107"/>
  <c r="W596" i="107"/>
  <c r="X596" i="107"/>
  <c r="Y596" i="107"/>
  <c r="Z596" i="107"/>
  <c r="AA596" i="107"/>
  <c r="AB596" i="107"/>
  <c r="AC596" i="107"/>
  <c r="AD596" i="107"/>
  <c r="C597" i="107"/>
  <c r="D597" i="107"/>
  <c r="E597" i="107"/>
  <c r="F597" i="107"/>
  <c r="G597" i="107"/>
  <c r="H597" i="107"/>
  <c r="I597" i="107"/>
  <c r="J597" i="107"/>
  <c r="K597" i="107"/>
  <c r="L597" i="107"/>
  <c r="M597" i="107"/>
  <c r="N597" i="107"/>
  <c r="O597" i="107"/>
  <c r="P597" i="107"/>
  <c r="Q597" i="107"/>
  <c r="R597" i="107"/>
  <c r="S597" i="107"/>
  <c r="T597" i="107"/>
  <c r="U597" i="107"/>
  <c r="V597" i="107"/>
  <c r="W597" i="107"/>
  <c r="X597" i="107"/>
  <c r="Y597" i="107"/>
  <c r="Z597" i="107"/>
  <c r="AA597" i="107"/>
  <c r="AB597" i="107"/>
  <c r="AC597" i="107"/>
  <c r="AD597" i="107"/>
  <c r="C598" i="107"/>
  <c r="D598" i="107"/>
  <c r="E598" i="107"/>
  <c r="F598" i="107"/>
  <c r="G598" i="107"/>
  <c r="H598" i="107"/>
  <c r="I598" i="107"/>
  <c r="J598" i="107"/>
  <c r="K598" i="107"/>
  <c r="L598" i="107"/>
  <c r="M598" i="107"/>
  <c r="N598" i="107"/>
  <c r="O598" i="107"/>
  <c r="P598" i="107"/>
  <c r="Q598" i="107"/>
  <c r="R598" i="107"/>
  <c r="S598" i="107"/>
  <c r="T598" i="107"/>
  <c r="U598" i="107"/>
  <c r="V598" i="107"/>
  <c r="W598" i="107"/>
  <c r="X598" i="107"/>
  <c r="Y598" i="107"/>
  <c r="Z598" i="107"/>
  <c r="AA598" i="107"/>
  <c r="AB598" i="107"/>
  <c r="AC598" i="107"/>
  <c r="AD598" i="107"/>
  <c r="C599" i="107"/>
  <c r="D599" i="107"/>
  <c r="E599" i="107"/>
  <c r="F599" i="107"/>
  <c r="G599" i="107"/>
  <c r="H599" i="107"/>
  <c r="I599" i="107"/>
  <c r="J599" i="107"/>
  <c r="K599" i="107"/>
  <c r="L599" i="107"/>
  <c r="M599" i="107"/>
  <c r="N599" i="107"/>
  <c r="O599" i="107"/>
  <c r="P599" i="107"/>
  <c r="Q599" i="107"/>
  <c r="R599" i="107"/>
  <c r="S599" i="107"/>
  <c r="T599" i="107"/>
  <c r="U599" i="107"/>
  <c r="V599" i="107"/>
  <c r="W599" i="107"/>
  <c r="X599" i="107"/>
  <c r="Y599" i="107"/>
  <c r="Z599" i="107"/>
  <c r="AA599" i="107"/>
  <c r="AB599" i="107"/>
  <c r="AC599" i="107"/>
  <c r="AD599" i="107"/>
  <c r="C600" i="107"/>
  <c r="D600" i="107"/>
  <c r="E600" i="107"/>
  <c r="F600" i="107"/>
  <c r="G600" i="107"/>
  <c r="H600" i="107"/>
  <c r="I600" i="107"/>
  <c r="J600" i="107"/>
  <c r="K600" i="107"/>
  <c r="L600" i="107"/>
  <c r="M600" i="107"/>
  <c r="N600" i="107"/>
  <c r="O600" i="107"/>
  <c r="P600" i="107"/>
  <c r="Q600" i="107"/>
  <c r="R600" i="107"/>
  <c r="S600" i="107"/>
  <c r="T600" i="107"/>
  <c r="U600" i="107"/>
  <c r="V600" i="107"/>
  <c r="W600" i="107"/>
  <c r="X600" i="107"/>
  <c r="Y600" i="107"/>
  <c r="Z600" i="107"/>
  <c r="AA600" i="107"/>
  <c r="AB600" i="107"/>
  <c r="AC600" i="107"/>
  <c r="AD600" i="107"/>
  <c r="C601" i="107"/>
  <c r="D601" i="107"/>
  <c r="E601" i="107"/>
  <c r="F601" i="107"/>
  <c r="G601" i="107"/>
  <c r="H601" i="107"/>
  <c r="I601" i="107"/>
  <c r="J601" i="107"/>
  <c r="K601" i="107"/>
  <c r="L601" i="107"/>
  <c r="M601" i="107"/>
  <c r="N601" i="107"/>
  <c r="O601" i="107"/>
  <c r="P601" i="107"/>
  <c r="Q601" i="107"/>
  <c r="R601" i="107"/>
  <c r="S601" i="107"/>
  <c r="T601" i="107"/>
  <c r="U601" i="107"/>
  <c r="V601" i="107"/>
  <c r="W601" i="107"/>
  <c r="X601" i="107"/>
  <c r="Y601" i="107"/>
  <c r="Z601" i="107"/>
  <c r="AA601" i="107"/>
  <c r="AB601" i="107"/>
  <c r="AC601" i="107"/>
  <c r="AD601" i="107"/>
  <c r="C602" i="107"/>
  <c r="D602" i="107"/>
  <c r="E602" i="107"/>
  <c r="F602" i="107"/>
  <c r="G602" i="107"/>
  <c r="H602" i="107"/>
  <c r="I602" i="107"/>
  <c r="J602" i="107"/>
  <c r="K602" i="107"/>
  <c r="L602" i="107"/>
  <c r="M602" i="107"/>
  <c r="N602" i="107"/>
  <c r="O602" i="107"/>
  <c r="P602" i="107"/>
  <c r="Q602" i="107"/>
  <c r="R602" i="107"/>
  <c r="S602" i="107"/>
  <c r="T602" i="107"/>
  <c r="U602" i="107"/>
  <c r="V602" i="107"/>
  <c r="W602" i="107"/>
  <c r="X602" i="107"/>
  <c r="Y602" i="107"/>
  <c r="Z602" i="107"/>
  <c r="AA602" i="107"/>
  <c r="AB602" i="107"/>
  <c r="AC602" i="107"/>
  <c r="AD602" i="107"/>
  <c r="C603" i="107"/>
  <c r="D603" i="107"/>
  <c r="E603" i="107"/>
  <c r="F603" i="107"/>
  <c r="G603" i="107"/>
  <c r="H603" i="107"/>
  <c r="I603" i="107"/>
  <c r="J603" i="107"/>
  <c r="K603" i="107"/>
  <c r="L603" i="107"/>
  <c r="M603" i="107"/>
  <c r="N603" i="107"/>
  <c r="O603" i="107"/>
  <c r="P603" i="107"/>
  <c r="Q603" i="107"/>
  <c r="R603" i="107"/>
  <c r="S603" i="107"/>
  <c r="T603" i="107"/>
  <c r="U603" i="107"/>
  <c r="V603" i="107"/>
  <c r="W603" i="107"/>
  <c r="X603" i="107"/>
  <c r="Y603" i="107"/>
  <c r="Z603" i="107"/>
  <c r="AA603" i="107"/>
  <c r="AB603" i="107"/>
  <c r="AC603" i="107"/>
  <c r="AD603" i="107"/>
  <c r="C604" i="107"/>
  <c r="D604" i="107"/>
  <c r="E604" i="107"/>
  <c r="F604" i="107"/>
  <c r="G604" i="107"/>
  <c r="H604" i="107"/>
  <c r="I604" i="107"/>
  <c r="J604" i="107"/>
  <c r="K604" i="107"/>
  <c r="L604" i="107"/>
  <c r="M604" i="107"/>
  <c r="N604" i="107"/>
  <c r="O604" i="107"/>
  <c r="P604" i="107"/>
  <c r="Q604" i="107"/>
  <c r="R604" i="107"/>
  <c r="S604" i="107"/>
  <c r="T604" i="107"/>
  <c r="U604" i="107"/>
  <c r="V604" i="107"/>
  <c r="W604" i="107"/>
  <c r="X604" i="107"/>
  <c r="Y604" i="107"/>
  <c r="Z604" i="107"/>
  <c r="AA604" i="107"/>
  <c r="AB604" i="107"/>
  <c r="AC604" i="107"/>
  <c r="AD604" i="107"/>
  <c r="C605" i="107"/>
  <c r="D605" i="107"/>
  <c r="E605" i="107"/>
  <c r="F605" i="107"/>
  <c r="G605" i="107"/>
  <c r="H605" i="107"/>
  <c r="I605" i="107"/>
  <c r="J605" i="107"/>
  <c r="K605" i="107"/>
  <c r="L605" i="107"/>
  <c r="M605" i="107"/>
  <c r="N605" i="107"/>
  <c r="O605" i="107"/>
  <c r="P605" i="107"/>
  <c r="Q605" i="107"/>
  <c r="R605" i="107"/>
  <c r="S605" i="107"/>
  <c r="T605" i="107"/>
  <c r="U605" i="107"/>
  <c r="V605" i="107"/>
  <c r="W605" i="107"/>
  <c r="X605" i="107"/>
  <c r="Y605" i="107"/>
  <c r="Z605" i="107"/>
  <c r="AA605" i="107"/>
  <c r="AB605" i="107"/>
  <c r="AC605" i="107"/>
  <c r="AD605" i="107"/>
  <c r="C606" i="107"/>
  <c r="D606" i="107"/>
  <c r="E606" i="107"/>
  <c r="F606" i="107"/>
  <c r="G606" i="107"/>
  <c r="H606" i="107"/>
  <c r="I606" i="107"/>
  <c r="J606" i="107"/>
  <c r="K606" i="107"/>
  <c r="L606" i="107"/>
  <c r="M606" i="107"/>
  <c r="N606" i="107"/>
  <c r="O606" i="107"/>
  <c r="P606" i="107"/>
  <c r="Q606" i="107"/>
  <c r="R606" i="107"/>
  <c r="S606" i="107"/>
  <c r="T606" i="107"/>
  <c r="U606" i="107"/>
  <c r="V606" i="107"/>
  <c r="W606" i="107"/>
  <c r="X606" i="107"/>
  <c r="Y606" i="107"/>
  <c r="Z606" i="107"/>
  <c r="AA606" i="107"/>
  <c r="AB606" i="107"/>
  <c r="AC606" i="107"/>
  <c r="AD606" i="107"/>
  <c r="C607" i="107"/>
  <c r="D607" i="107"/>
  <c r="E607" i="107"/>
  <c r="F607" i="107"/>
  <c r="G607" i="107"/>
  <c r="H607" i="107"/>
  <c r="I607" i="107"/>
  <c r="J607" i="107"/>
  <c r="K607" i="107"/>
  <c r="L607" i="107"/>
  <c r="M607" i="107"/>
  <c r="N607" i="107"/>
  <c r="O607" i="107"/>
  <c r="P607" i="107"/>
  <c r="Q607" i="107"/>
  <c r="R607" i="107"/>
  <c r="S607" i="107"/>
  <c r="T607" i="107"/>
  <c r="U607" i="107"/>
  <c r="V607" i="107"/>
  <c r="W607" i="107"/>
  <c r="X607" i="107"/>
  <c r="Y607" i="107"/>
  <c r="Z607" i="107"/>
  <c r="AA607" i="107"/>
  <c r="AB607" i="107"/>
  <c r="AC607" i="107"/>
  <c r="AD607" i="107"/>
  <c r="C608" i="107"/>
  <c r="D608" i="107"/>
  <c r="E608" i="107"/>
  <c r="F608" i="107"/>
  <c r="G608" i="107"/>
  <c r="H608" i="107"/>
  <c r="I608" i="107"/>
  <c r="J608" i="107"/>
  <c r="K608" i="107"/>
  <c r="L608" i="107"/>
  <c r="M608" i="107"/>
  <c r="N608" i="107"/>
  <c r="O608" i="107"/>
  <c r="P608" i="107"/>
  <c r="Q608" i="107"/>
  <c r="R608" i="107"/>
  <c r="S608" i="107"/>
  <c r="T608" i="107"/>
  <c r="U608" i="107"/>
  <c r="V608" i="107"/>
  <c r="W608" i="107"/>
  <c r="X608" i="107"/>
  <c r="Y608" i="107"/>
  <c r="Z608" i="107"/>
  <c r="AA608" i="107"/>
  <c r="AB608" i="107"/>
  <c r="AC608" i="107"/>
  <c r="AD608" i="107"/>
  <c r="C609" i="107"/>
  <c r="D609" i="107"/>
  <c r="E609" i="107"/>
  <c r="F609" i="107"/>
  <c r="G609" i="107"/>
  <c r="H609" i="107"/>
  <c r="I609" i="107"/>
  <c r="J609" i="107"/>
  <c r="K609" i="107"/>
  <c r="L609" i="107"/>
  <c r="M609" i="107"/>
  <c r="N609" i="107"/>
  <c r="O609" i="107"/>
  <c r="P609" i="107"/>
  <c r="Q609" i="107"/>
  <c r="R609" i="107"/>
  <c r="S609" i="107"/>
  <c r="T609" i="107"/>
  <c r="U609" i="107"/>
  <c r="V609" i="107"/>
  <c r="W609" i="107"/>
  <c r="X609" i="107"/>
  <c r="Y609" i="107"/>
  <c r="Z609" i="107"/>
  <c r="AA609" i="107"/>
  <c r="AB609" i="107"/>
  <c r="AC609" i="107"/>
  <c r="AD609" i="107"/>
  <c r="C610" i="107"/>
  <c r="D610" i="107"/>
  <c r="E610" i="107"/>
  <c r="F610" i="107"/>
  <c r="G610" i="107"/>
  <c r="H610" i="107"/>
  <c r="I610" i="107"/>
  <c r="J610" i="107"/>
  <c r="K610" i="107"/>
  <c r="L610" i="107"/>
  <c r="M610" i="107"/>
  <c r="N610" i="107"/>
  <c r="O610" i="107"/>
  <c r="P610" i="107"/>
  <c r="Q610" i="107"/>
  <c r="R610" i="107"/>
  <c r="S610" i="107"/>
  <c r="T610" i="107"/>
  <c r="U610" i="107"/>
  <c r="V610" i="107"/>
  <c r="W610" i="107"/>
  <c r="X610" i="107"/>
  <c r="Y610" i="107"/>
  <c r="Z610" i="107"/>
  <c r="AA610" i="107"/>
  <c r="AB610" i="107"/>
  <c r="AC610" i="107"/>
  <c r="AD610" i="107"/>
  <c r="C611" i="107"/>
  <c r="D611" i="107"/>
  <c r="E611" i="107"/>
  <c r="F611" i="107"/>
  <c r="G611" i="107"/>
  <c r="H611" i="107"/>
  <c r="I611" i="107"/>
  <c r="J611" i="107"/>
  <c r="K611" i="107"/>
  <c r="L611" i="107"/>
  <c r="M611" i="107"/>
  <c r="N611" i="107"/>
  <c r="O611" i="107"/>
  <c r="P611" i="107"/>
  <c r="Q611" i="107"/>
  <c r="R611" i="107"/>
  <c r="S611" i="107"/>
  <c r="T611" i="107"/>
  <c r="U611" i="107"/>
  <c r="V611" i="107"/>
  <c r="W611" i="107"/>
  <c r="X611" i="107"/>
  <c r="Y611" i="107"/>
  <c r="Z611" i="107"/>
  <c r="AA611" i="107"/>
  <c r="AB611" i="107"/>
  <c r="AC611" i="107"/>
  <c r="AD611" i="107"/>
  <c r="C612" i="107"/>
  <c r="D612" i="107"/>
  <c r="E612" i="107"/>
  <c r="F612" i="107"/>
  <c r="G612" i="107"/>
  <c r="H612" i="107"/>
  <c r="I612" i="107"/>
  <c r="J612" i="107"/>
  <c r="K612" i="107"/>
  <c r="L612" i="107"/>
  <c r="M612" i="107"/>
  <c r="N612" i="107"/>
  <c r="O612" i="107"/>
  <c r="P612" i="107"/>
  <c r="Q612" i="107"/>
  <c r="R612" i="107"/>
  <c r="S612" i="107"/>
  <c r="T612" i="107"/>
  <c r="U612" i="107"/>
  <c r="V612" i="107"/>
  <c r="W612" i="107"/>
  <c r="X612" i="107"/>
  <c r="Y612" i="107"/>
  <c r="Z612" i="107"/>
  <c r="AA612" i="107"/>
  <c r="AB612" i="107"/>
  <c r="AC612" i="107"/>
  <c r="AD612" i="107"/>
  <c r="C613" i="107"/>
  <c r="D613" i="107"/>
  <c r="E613" i="107"/>
  <c r="F613" i="107"/>
  <c r="G613" i="107"/>
  <c r="H613" i="107"/>
  <c r="I613" i="107"/>
  <c r="J613" i="107"/>
  <c r="K613" i="107"/>
  <c r="L613" i="107"/>
  <c r="M613" i="107"/>
  <c r="N613" i="107"/>
  <c r="O613" i="107"/>
  <c r="P613" i="107"/>
  <c r="Q613" i="107"/>
  <c r="R613" i="107"/>
  <c r="S613" i="107"/>
  <c r="T613" i="107"/>
  <c r="U613" i="107"/>
  <c r="V613" i="107"/>
  <c r="W613" i="107"/>
  <c r="X613" i="107"/>
  <c r="Y613" i="107"/>
  <c r="Z613" i="107"/>
  <c r="AA613" i="107"/>
  <c r="AB613" i="107"/>
  <c r="AC613" i="107"/>
  <c r="AD613" i="107"/>
  <c r="C614" i="107"/>
  <c r="D614" i="107"/>
  <c r="E614" i="107"/>
  <c r="F614" i="107"/>
  <c r="G614" i="107"/>
  <c r="H614" i="107"/>
  <c r="I614" i="107"/>
  <c r="J614" i="107"/>
  <c r="K614" i="107"/>
  <c r="L614" i="107"/>
  <c r="M614" i="107"/>
  <c r="N614" i="107"/>
  <c r="O614" i="107"/>
  <c r="P614" i="107"/>
  <c r="Q614" i="107"/>
  <c r="R614" i="107"/>
  <c r="S614" i="107"/>
  <c r="T614" i="107"/>
  <c r="U614" i="107"/>
  <c r="V614" i="107"/>
  <c r="W614" i="107"/>
  <c r="X614" i="107"/>
  <c r="Y614" i="107"/>
  <c r="Z614" i="107"/>
  <c r="AA614" i="107"/>
  <c r="AB614" i="107"/>
  <c r="AC614" i="107"/>
  <c r="AD614" i="107"/>
  <c r="C615" i="107"/>
  <c r="D615" i="107"/>
  <c r="E615" i="107"/>
  <c r="F615" i="107"/>
  <c r="G615" i="107"/>
  <c r="H615" i="107"/>
  <c r="I615" i="107"/>
  <c r="J615" i="107"/>
  <c r="K615" i="107"/>
  <c r="L615" i="107"/>
  <c r="M615" i="107"/>
  <c r="N615" i="107"/>
  <c r="O615" i="107"/>
  <c r="P615" i="107"/>
  <c r="Q615" i="107"/>
  <c r="R615" i="107"/>
  <c r="S615" i="107"/>
  <c r="T615" i="107"/>
  <c r="U615" i="107"/>
  <c r="V615" i="107"/>
  <c r="W615" i="107"/>
  <c r="X615" i="107"/>
  <c r="Y615" i="107"/>
  <c r="Z615" i="107"/>
  <c r="AA615" i="107"/>
  <c r="AB615" i="107"/>
  <c r="AC615" i="107"/>
  <c r="AD615" i="107"/>
  <c r="C616" i="107"/>
  <c r="D616" i="107"/>
  <c r="E616" i="107"/>
  <c r="F616" i="107"/>
  <c r="G616" i="107"/>
  <c r="H616" i="107"/>
  <c r="I616" i="107"/>
  <c r="J616" i="107"/>
  <c r="K616" i="107"/>
  <c r="L616" i="107"/>
  <c r="M616" i="107"/>
  <c r="N616" i="107"/>
  <c r="O616" i="107"/>
  <c r="P616" i="107"/>
  <c r="Q616" i="107"/>
  <c r="R616" i="107"/>
  <c r="S616" i="107"/>
  <c r="T616" i="107"/>
  <c r="U616" i="107"/>
  <c r="V616" i="107"/>
  <c r="W616" i="107"/>
  <c r="X616" i="107"/>
  <c r="Y616" i="107"/>
  <c r="Z616" i="107"/>
  <c r="AA616" i="107"/>
  <c r="AB616" i="107"/>
  <c r="AC616" i="107"/>
  <c r="AD616" i="107"/>
  <c r="C617" i="107"/>
  <c r="D617" i="107"/>
  <c r="E617" i="107"/>
  <c r="F617" i="107"/>
  <c r="G617" i="107"/>
  <c r="H617" i="107"/>
  <c r="I617" i="107"/>
  <c r="J617" i="107"/>
  <c r="K617" i="107"/>
  <c r="L617" i="107"/>
  <c r="M617" i="107"/>
  <c r="N617" i="107"/>
  <c r="O617" i="107"/>
  <c r="P617" i="107"/>
  <c r="Q617" i="107"/>
  <c r="R617" i="107"/>
  <c r="S617" i="107"/>
  <c r="T617" i="107"/>
  <c r="U617" i="107"/>
  <c r="V617" i="107"/>
  <c r="W617" i="107"/>
  <c r="X617" i="107"/>
  <c r="Y617" i="107"/>
  <c r="Z617" i="107"/>
  <c r="AA617" i="107"/>
  <c r="AB617" i="107"/>
  <c r="AC617" i="107"/>
  <c r="AD617" i="107"/>
  <c r="C618" i="107"/>
  <c r="D618" i="107"/>
  <c r="E618" i="107"/>
  <c r="F618" i="107"/>
  <c r="G618" i="107"/>
  <c r="H618" i="107"/>
  <c r="I618" i="107"/>
  <c r="J618" i="107"/>
  <c r="K618" i="107"/>
  <c r="L618" i="107"/>
  <c r="M618" i="107"/>
  <c r="N618" i="107"/>
  <c r="O618" i="107"/>
  <c r="P618" i="107"/>
  <c r="Q618" i="107"/>
  <c r="R618" i="107"/>
  <c r="S618" i="107"/>
  <c r="T618" i="107"/>
  <c r="U618" i="107"/>
  <c r="V618" i="107"/>
  <c r="W618" i="107"/>
  <c r="X618" i="107"/>
  <c r="Y618" i="107"/>
  <c r="Z618" i="107"/>
  <c r="AA618" i="107"/>
  <c r="AB618" i="107"/>
  <c r="AC618" i="107"/>
  <c r="AD618" i="107"/>
  <c r="C619" i="107"/>
  <c r="D619" i="107"/>
  <c r="E619" i="107"/>
  <c r="F619" i="107"/>
  <c r="G619" i="107"/>
  <c r="H619" i="107"/>
  <c r="I619" i="107"/>
  <c r="J619" i="107"/>
  <c r="K619" i="107"/>
  <c r="L619" i="107"/>
  <c r="M619" i="107"/>
  <c r="N619" i="107"/>
  <c r="O619" i="107"/>
  <c r="P619" i="107"/>
  <c r="Q619" i="107"/>
  <c r="R619" i="107"/>
  <c r="S619" i="107"/>
  <c r="T619" i="107"/>
  <c r="U619" i="107"/>
  <c r="V619" i="107"/>
  <c r="W619" i="107"/>
  <c r="X619" i="107"/>
  <c r="Y619" i="107"/>
  <c r="Z619" i="107"/>
  <c r="AA619" i="107"/>
  <c r="AB619" i="107"/>
  <c r="AC619" i="107"/>
  <c r="AD619" i="107"/>
  <c r="C620" i="107"/>
  <c r="D620" i="107"/>
  <c r="E620" i="107"/>
  <c r="F620" i="107"/>
  <c r="G620" i="107"/>
  <c r="H620" i="107"/>
  <c r="I620" i="107"/>
  <c r="J620" i="107"/>
  <c r="K620" i="107"/>
  <c r="L620" i="107"/>
  <c r="M620" i="107"/>
  <c r="N620" i="107"/>
  <c r="O620" i="107"/>
  <c r="P620" i="107"/>
  <c r="Q620" i="107"/>
  <c r="R620" i="107"/>
  <c r="S620" i="107"/>
  <c r="T620" i="107"/>
  <c r="U620" i="107"/>
  <c r="V620" i="107"/>
  <c r="W620" i="107"/>
  <c r="X620" i="107"/>
  <c r="Y620" i="107"/>
  <c r="Z620" i="107"/>
  <c r="AA620" i="107"/>
  <c r="AB620" i="107"/>
  <c r="AC620" i="107"/>
  <c r="AD620" i="107"/>
  <c r="C621" i="107"/>
  <c r="D621" i="107"/>
  <c r="E621" i="107"/>
  <c r="F621" i="107"/>
  <c r="G621" i="107"/>
  <c r="H621" i="107"/>
  <c r="I621" i="107"/>
  <c r="J621" i="107"/>
  <c r="K621" i="107"/>
  <c r="L621" i="107"/>
  <c r="M621" i="107"/>
  <c r="N621" i="107"/>
  <c r="O621" i="107"/>
  <c r="P621" i="107"/>
  <c r="Q621" i="107"/>
  <c r="R621" i="107"/>
  <c r="S621" i="107"/>
  <c r="T621" i="107"/>
  <c r="U621" i="107"/>
  <c r="V621" i="107"/>
  <c r="W621" i="107"/>
  <c r="X621" i="107"/>
  <c r="Y621" i="107"/>
  <c r="Z621" i="107"/>
  <c r="AA621" i="107"/>
  <c r="AB621" i="107"/>
  <c r="AC621" i="107"/>
  <c r="AD621" i="107"/>
  <c r="C622" i="107"/>
  <c r="D622" i="107"/>
  <c r="E622" i="107"/>
  <c r="F622" i="107"/>
  <c r="G622" i="107"/>
  <c r="H622" i="107"/>
  <c r="I622" i="107"/>
  <c r="J622" i="107"/>
  <c r="K622" i="107"/>
  <c r="L622" i="107"/>
  <c r="M622" i="107"/>
  <c r="N622" i="107"/>
  <c r="O622" i="107"/>
  <c r="P622" i="107"/>
  <c r="Q622" i="107"/>
  <c r="R622" i="107"/>
  <c r="S622" i="107"/>
  <c r="T622" i="107"/>
  <c r="U622" i="107"/>
  <c r="V622" i="107"/>
  <c r="W622" i="107"/>
  <c r="X622" i="107"/>
  <c r="Y622" i="107"/>
  <c r="Z622" i="107"/>
  <c r="AA622" i="107"/>
  <c r="AB622" i="107"/>
  <c r="AC622" i="107"/>
  <c r="AD622" i="107"/>
  <c r="C623" i="107"/>
  <c r="D623" i="107"/>
  <c r="E623" i="107"/>
  <c r="F623" i="107"/>
  <c r="G623" i="107"/>
  <c r="H623" i="107"/>
  <c r="I623" i="107"/>
  <c r="J623" i="107"/>
  <c r="K623" i="107"/>
  <c r="L623" i="107"/>
  <c r="M623" i="107"/>
  <c r="N623" i="107"/>
  <c r="O623" i="107"/>
  <c r="P623" i="107"/>
  <c r="Q623" i="107"/>
  <c r="R623" i="107"/>
  <c r="S623" i="107"/>
  <c r="T623" i="107"/>
  <c r="U623" i="107"/>
  <c r="V623" i="107"/>
  <c r="W623" i="107"/>
  <c r="X623" i="107"/>
  <c r="Y623" i="107"/>
  <c r="Z623" i="107"/>
  <c r="AA623" i="107"/>
  <c r="AB623" i="107"/>
  <c r="AC623" i="107"/>
  <c r="AD623" i="107"/>
  <c r="C624" i="107"/>
  <c r="D624" i="107"/>
  <c r="E624" i="107"/>
  <c r="F624" i="107"/>
  <c r="G624" i="107"/>
  <c r="H624" i="107"/>
  <c r="I624" i="107"/>
  <c r="J624" i="107"/>
  <c r="K624" i="107"/>
  <c r="L624" i="107"/>
  <c r="M624" i="107"/>
  <c r="N624" i="107"/>
  <c r="O624" i="107"/>
  <c r="P624" i="107"/>
  <c r="Q624" i="107"/>
  <c r="R624" i="107"/>
  <c r="S624" i="107"/>
  <c r="T624" i="107"/>
  <c r="U624" i="107"/>
  <c r="V624" i="107"/>
  <c r="W624" i="107"/>
  <c r="X624" i="107"/>
  <c r="Y624" i="107"/>
  <c r="Z624" i="107"/>
  <c r="AA624" i="107"/>
  <c r="AB624" i="107"/>
  <c r="AC624" i="107"/>
  <c r="AD624" i="107"/>
  <c r="C625" i="107"/>
  <c r="D625" i="107"/>
  <c r="E625" i="107"/>
  <c r="F625" i="107"/>
  <c r="G625" i="107"/>
  <c r="H625" i="107"/>
  <c r="I625" i="107"/>
  <c r="J625" i="107"/>
  <c r="K625" i="107"/>
  <c r="L625" i="107"/>
  <c r="M625" i="107"/>
  <c r="N625" i="107"/>
  <c r="O625" i="107"/>
  <c r="P625" i="107"/>
  <c r="Q625" i="107"/>
  <c r="R625" i="107"/>
  <c r="S625" i="107"/>
  <c r="T625" i="107"/>
  <c r="U625" i="107"/>
  <c r="V625" i="107"/>
  <c r="W625" i="107"/>
  <c r="X625" i="107"/>
  <c r="Y625" i="107"/>
  <c r="Z625" i="107"/>
  <c r="AA625" i="107"/>
  <c r="AB625" i="107"/>
  <c r="AC625" i="107"/>
  <c r="AD625" i="107"/>
  <c r="C626" i="107"/>
  <c r="D626" i="107"/>
  <c r="E626" i="107"/>
  <c r="F626" i="107"/>
  <c r="G626" i="107"/>
  <c r="H626" i="107"/>
  <c r="I626" i="107"/>
  <c r="J626" i="107"/>
  <c r="K626" i="107"/>
  <c r="L626" i="107"/>
  <c r="M626" i="107"/>
  <c r="N626" i="107"/>
  <c r="O626" i="107"/>
  <c r="P626" i="107"/>
  <c r="Q626" i="107"/>
  <c r="R626" i="107"/>
  <c r="S626" i="107"/>
  <c r="T626" i="107"/>
  <c r="U626" i="107"/>
  <c r="V626" i="107"/>
  <c r="W626" i="107"/>
  <c r="X626" i="107"/>
  <c r="Y626" i="107"/>
  <c r="Z626" i="107"/>
  <c r="AA626" i="107"/>
  <c r="AB626" i="107"/>
  <c r="AC626" i="107"/>
  <c r="AD626" i="107"/>
  <c r="C627" i="107"/>
  <c r="D627" i="107"/>
  <c r="E627" i="107"/>
  <c r="F627" i="107"/>
  <c r="G627" i="107"/>
  <c r="H627" i="107"/>
  <c r="I627" i="107"/>
  <c r="J627" i="107"/>
  <c r="K627" i="107"/>
  <c r="L627" i="107"/>
  <c r="M627" i="107"/>
  <c r="N627" i="107"/>
  <c r="O627" i="107"/>
  <c r="P627" i="107"/>
  <c r="Q627" i="107"/>
  <c r="R627" i="107"/>
  <c r="S627" i="107"/>
  <c r="T627" i="107"/>
  <c r="U627" i="107"/>
  <c r="V627" i="107"/>
  <c r="W627" i="107"/>
  <c r="X627" i="107"/>
  <c r="Y627" i="107"/>
  <c r="Z627" i="107"/>
  <c r="AA627" i="107"/>
  <c r="AB627" i="107"/>
  <c r="AC627" i="107"/>
  <c r="AD627" i="107"/>
  <c r="C628" i="107"/>
  <c r="D628" i="107"/>
  <c r="E628" i="107"/>
  <c r="F628" i="107"/>
  <c r="G628" i="107"/>
  <c r="H628" i="107"/>
  <c r="I628" i="107"/>
  <c r="J628" i="107"/>
  <c r="K628" i="107"/>
  <c r="L628" i="107"/>
  <c r="M628" i="107"/>
  <c r="N628" i="107"/>
  <c r="O628" i="107"/>
  <c r="P628" i="107"/>
  <c r="Q628" i="107"/>
  <c r="R628" i="107"/>
  <c r="S628" i="107"/>
  <c r="T628" i="107"/>
  <c r="U628" i="107"/>
  <c r="V628" i="107"/>
  <c r="W628" i="107"/>
  <c r="X628" i="107"/>
  <c r="Y628" i="107"/>
  <c r="Z628" i="107"/>
  <c r="AA628" i="107"/>
  <c r="AB628" i="107"/>
  <c r="AC628" i="107"/>
  <c r="AD628" i="107"/>
  <c r="C629" i="107"/>
  <c r="D629" i="107"/>
  <c r="E629" i="107"/>
  <c r="F629" i="107"/>
  <c r="G629" i="107"/>
  <c r="H629" i="107"/>
  <c r="I629" i="107"/>
  <c r="J629" i="107"/>
  <c r="K629" i="107"/>
  <c r="L629" i="107"/>
  <c r="M629" i="107"/>
  <c r="N629" i="107"/>
  <c r="O629" i="107"/>
  <c r="P629" i="107"/>
  <c r="Q629" i="107"/>
  <c r="R629" i="107"/>
  <c r="S629" i="107"/>
  <c r="T629" i="107"/>
  <c r="U629" i="107"/>
  <c r="V629" i="107"/>
  <c r="W629" i="107"/>
  <c r="X629" i="107"/>
  <c r="Y629" i="107"/>
  <c r="Z629" i="107"/>
  <c r="AA629" i="107"/>
  <c r="AB629" i="107"/>
  <c r="AC629" i="107"/>
  <c r="AD629" i="107"/>
  <c r="C630" i="107"/>
  <c r="D630" i="107"/>
  <c r="E630" i="107"/>
  <c r="F630" i="107"/>
  <c r="G630" i="107"/>
  <c r="H630" i="107"/>
  <c r="I630" i="107"/>
  <c r="J630" i="107"/>
  <c r="K630" i="107"/>
  <c r="L630" i="107"/>
  <c r="M630" i="107"/>
  <c r="N630" i="107"/>
  <c r="O630" i="107"/>
  <c r="P630" i="107"/>
  <c r="Q630" i="107"/>
  <c r="R630" i="107"/>
  <c r="S630" i="107"/>
  <c r="T630" i="107"/>
  <c r="U630" i="107"/>
  <c r="V630" i="107"/>
  <c r="W630" i="107"/>
  <c r="X630" i="107"/>
  <c r="Y630" i="107"/>
  <c r="Z630" i="107"/>
  <c r="AA630" i="107"/>
  <c r="AB630" i="107"/>
  <c r="AC630" i="107"/>
  <c r="AD630" i="107"/>
  <c r="C631" i="107"/>
  <c r="D631" i="107"/>
  <c r="E631" i="107"/>
  <c r="F631" i="107"/>
  <c r="G631" i="107"/>
  <c r="H631" i="107"/>
  <c r="I631" i="107"/>
  <c r="J631" i="107"/>
  <c r="K631" i="107"/>
  <c r="L631" i="107"/>
  <c r="M631" i="107"/>
  <c r="N631" i="107"/>
  <c r="O631" i="107"/>
  <c r="P631" i="107"/>
  <c r="Q631" i="107"/>
  <c r="R631" i="107"/>
  <c r="S631" i="107"/>
  <c r="T631" i="107"/>
  <c r="U631" i="107"/>
  <c r="V631" i="107"/>
  <c r="W631" i="107"/>
  <c r="X631" i="107"/>
  <c r="Y631" i="107"/>
  <c r="Z631" i="107"/>
  <c r="AA631" i="107"/>
  <c r="AB631" i="107"/>
  <c r="AC631" i="107"/>
  <c r="AD631" i="107"/>
  <c r="C632" i="107"/>
  <c r="D632" i="107"/>
  <c r="E632" i="107"/>
  <c r="F632" i="107"/>
  <c r="G632" i="107"/>
  <c r="H632" i="107"/>
  <c r="I632" i="107"/>
  <c r="J632" i="107"/>
  <c r="K632" i="107"/>
  <c r="L632" i="107"/>
  <c r="M632" i="107"/>
  <c r="N632" i="107"/>
  <c r="O632" i="107"/>
  <c r="P632" i="107"/>
  <c r="Q632" i="107"/>
  <c r="R632" i="107"/>
  <c r="S632" i="107"/>
  <c r="T632" i="107"/>
  <c r="U632" i="107"/>
  <c r="V632" i="107"/>
  <c r="W632" i="107"/>
  <c r="X632" i="107"/>
  <c r="Y632" i="107"/>
  <c r="Z632" i="107"/>
  <c r="AA632" i="107"/>
  <c r="AB632" i="107"/>
  <c r="AC632" i="107"/>
  <c r="AD632" i="107"/>
  <c r="C633" i="107"/>
  <c r="D633" i="107"/>
  <c r="E633" i="107"/>
  <c r="F633" i="107"/>
  <c r="G633" i="107"/>
  <c r="H633" i="107"/>
  <c r="I633" i="107"/>
  <c r="J633" i="107"/>
  <c r="K633" i="107"/>
  <c r="L633" i="107"/>
  <c r="M633" i="107"/>
  <c r="N633" i="107"/>
  <c r="O633" i="107"/>
  <c r="P633" i="107"/>
  <c r="Q633" i="107"/>
  <c r="R633" i="107"/>
  <c r="S633" i="107"/>
  <c r="T633" i="107"/>
  <c r="U633" i="107"/>
  <c r="V633" i="107"/>
  <c r="W633" i="107"/>
  <c r="X633" i="107"/>
  <c r="Y633" i="107"/>
  <c r="Z633" i="107"/>
  <c r="AA633" i="107"/>
  <c r="AB633" i="107"/>
  <c r="AC633" i="107"/>
  <c r="AD633" i="107"/>
  <c r="C634" i="107"/>
  <c r="D634" i="107"/>
  <c r="E634" i="107"/>
  <c r="F634" i="107"/>
  <c r="G634" i="107"/>
  <c r="H634" i="107"/>
  <c r="I634" i="107"/>
  <c r="J634" i="107"/>
  <c r="K634" i="107"/>
  <c r="L634" i="107"/>
  <c r="M634" i="107"/>
  <c r="N634" i="107"/>
  <c r="O634" i="107"/>
  <c r="P634" i="107"/>
  <c r="Q634" i="107"/>
  <c r="R634" i="107"/>
  <c r="S634" i="107"/>
  <c r="T634" i="107"/>
  <c r="U634" i="107"/>
  <c r="V634" i="107"/>
  <c r="W634" i="107"/>
  <c r="X634" i="107"/>
  <c r="Y634" i="107"/>
  <c r="Z634" i="107"/>
  <c r="AA634" i="107"/>
  <c r="AB634" i="107"/>
  <c r="AC634" i="107"/>
  <c r="AD634" i="107"/>
  <c r="C635" i="107"/>
  <c r="D635" i="107"/>
  <c r="E635" i="107"/>
  <c r="F635" i="107"/>
  <c r="G635" i="107"/>
  <c r="H635" i="107"/>
  <c r="I635" i="107"/>
  <c r="J635" i="107"/>
  <c r="K635" i="107"/>
  <c r="L635" i="107"/>
  <c r="M635" i="107"/>
  <c r="N635" i="107"/>
  <c r="O635" i="107"/>
  <c r="P635" i="107"/>
  <c r="Q635" i="107"/>
  <c r="R635" i="107"/>
  <c r="S635" i="107"/>
  <c r="T635" i="107"/>
  <c r="U635" i="107"/>
  <c r="V635" i="107"/>
  <c r="W635" i="107"/>
  <c r="X635" i="107"/>
  <c r="Y635" i="107"/>
  <c r="Z635" i="107"/>
  <c r="AA635" i="107"/>
  <c r="AB635" i="107"/>
  <c r="AC635" i="107"/>
  <c r="AD635" i="107"/>
  <c r="C636" i="107"/>
  <c r="D636" i="107"/>
  <c r="E636" i="107"/>
  <c r="F636" i="107"/>
  <c r="G636" i="107"/>
  <c r="H636" i="107"/>
  <c r="I636" i="107"/>
  <c r="J636" i="107"/>
  <c r="K636" i="107"/>
  <c r="L636" i="107"/>
  <c r="M636" i="107"/>
  <c r="N636" i="107"/>
  <c r="O636" i="107"/>
  <c r="P636" i="107"/>
  <c r="Q636" i="107"/>
  <c r="R636" i="107"/>
  <c r="S636" i="107"/>
  <c r="T636" i="107"/>
  <c r="U636" i="107"/>
  <c r="V636" i="107"/>
  <c r="W636" i="107"/>
  <c r="X636" i="107"/>
  <c r="Y636" i="107"/>
  <c r="Z636" i="107"/>
  <c r="AA636" i="107"/>
  <c r="AB636" i="107"/>
  <c r="AC636" i="107"/>
  <c r="AD636" i="107"/>
  <c r="C637" i="107"/>
  <c r="D637" i="107"/>
  <c r="E637" i="107"/>
  <c r="F637" i="107"/>
  <c r="G637" i="107"/>
  <c r="H637" i="107"/>
  <c r="I637" i="107"/>
  <c r="J637" i="107"/>
  <c r="K637" i="107"/>
  <c r="L637" i="107"/>
  <c r="M637" i="107"/>
  <c r="N637" i="107"/>
  <c r="O637" i="107"/>
  <c r="P637" i="107"/>
  <c r="Q637" i="107"/>
  <c r="R637" i="107"/>
  <c r="S637" i="107"/>
  <c r="T637" i="107"/>
  <c r="U637" i="107"/>
  <c r="V637" i="107"/>
  <c r="W637" i="107"/>
  <c r="X637" i="107"/>
  <c r="Y637" i="107"/>
  <c r="Z637" i="107"/>
  <c r="AA637" i="107"/>
  <c r="AB637" i="107"/>
  <c r="AC637" i="107"/>
  <c r="AD637" i="107"/>
  <c r="C638" i="107"/>
  <c r="D638" i="107"/>
  <c r="E638" i="107"/>
  <c r="F638" i="107"/>
  <c r="G638" i="107"/>
  <c r="H638" i="107"/>
  <c r="I638" i="107"/>
  <c r="J638" i="107"/>
  <c r="K638" i="107"/>
  <c r="L638" i="107"/>
  <c r="M638" i="107"/>
  <c r="N638" i="107"/>
  <c r="O638" i="107"/>
  <c r="P638" i="107"/>
  <c r="Q638" i="107"/>
  <c r="R638" i="107"/>
  <c r="S638" i="107"/>
  <c r="T638" i="107"/>
  <c r="U638" i="107"/>
  <c r="V638" i="107"/>
  <c r="W638" i="107"/>
  <c r="X638" i="107"/>
  <c r="Y638" i="107"/>
  <c r="Z638" i="107"/>
  <c r="AA638" i="107"/>
  <c r="AB638" i="107"/>
  <c r="AC638" i="107"/>
  <c r="AD638" i="107"/>
  <c r="C639" i="107"/>
  <c r="D639" i="107"/>
  <c r="E639" i="107"/>
  <c r="F639" i="107"/>
  <c r="G639" i="107"/>
  <c r="H639" i="107"/>
  <c r="I639" i="107"/>
  <c r="J639" i="107"/>
  <c r="K639" i="107"/>
  <c r="L639" i="107"/>
  <c r="M639" i="107"/>
  <c r="N639" i="107"/>
  <c r="O639" i="107"/>
  <c r="P639" i="107"/>
  <c r="Q639" i="107"/>
  <c r="R639" i="107"/>
  <c r="S639" i="107"/>
  <c r="T639" i="107"/>
  <c r="U639" i="107"/>
  <c r="V639" i="107"/>
  <c r="W639" i="107"/>
  <c r="X639" i="107"/>
  <c r="Y639" i="107"/>
  <c r="Z639" i="107"/>
  <c r="AA639" i="107"/>
  <c r="AB639" i="107"/>
  <c r="AC639" i="107"/>
  <c r="AD639" i="107"/>
  <c r="C640" i="107"/>
  <c r="D640" i="107"/>
  <c r="E640" i="107"/>
  <c r="F640" i="107"/>
  <c r="G640" i="107"/>
  <c r="H640" i="107"/>
  <c r="I640" i="107"/>
  <c r="J640" i="107"/>
  <c r="K640" i="107"/>
  <c r="L640" i="107"/>
  <c r="M640" i="107"/>
  <c r="N640" i="107"/>
  <c r="O640" i="107"/>
  <c r="P640" i="107"/>
  <c r="Q640" i="107"/>
  <c r="R640" i="107"/>
  <c r="S640" i="107"/>
  <c r="T640" i="107"/>
  <c r="U640" i="107"/>
  <c r="V640" i="107"/>
  <c r="W640" i="107"/>
  <c r="X640" i="107"/>
  <c r="Y640" i="107"/>
  <c r="Z640" i="107"/>
  <c r="AA640" i="107"/>
  <c r="AB640" i="107"/>
  <c r="AC640" i="107"/>
  <c r="AD640" i="107"/>
  <c r="C641" i="107"/>
  <c r="D641" i="107"/>
  <c r="E641" i="107"/>
  <c r="F641" i="107"/>
  <c r="G641" i="107"/>
  <c r="H641" i="107"/>
  <c r="I641" i="107"/>
  <c r="J641" i="107"/>
  <c r="K641" i="107"/>
  <c r="L641" i="107"/>
  <c r="M641" i="107"/>
  <c r="N641" i="107"/>
  <c r="O641" i="107"/>
  <c r="P641" i="107"/>
  <c r="Q641" i="107"/>
  <c r="R641" i="107"/>
  <c r="S641" i="107"/>
  <c r="T641" i="107"/>
  <c r="U641" i="107"/>
  <c r="V641" i="107"/>
  <c r="W641" i="107"/>
  <c r="X641" i="107"/>
  <c r="Y641" i="107"/>
  <c r="Z641" i="107"/>
  <c r="AA641" i="107"/>
  <c r="AB641" i="107"/>
  <c r="AC641" i="107"/>
  <c r="AD641" i="107"/>
  <c r="C642" i="107"/>
  <c r="D642" i="107"/>
  <c r="E642" i="107"/>
  <c r="F642" i="107"/>
  <c r="G642" i="107"/>
  <c r="H642" i="107"/>
  <c r="I642" i="107"/>
  <c r="J642" i="107"/>
  <c r="K642" i="107"/>
  <c r="L642" i="107"/>
  <c r="M642" i="107"/>
  <c r="N642" i="107"/>
  <c r="O642" i="107"/>
  <c r="P642" i="107"/>
  <c r="Q642" i="107"/>
  <c r="R642" i="107"/>
  <c r="S642" i="107"/>
  <c r="T642" i="107"/>
  <c r="U642" i="107"/>
  <c r="V642" i="107"/>
  <c r="W642" i="107"/>
  <c r="X642" i="107"/>
  <c r="Y642" i="107"/>
  <c r="Z642" i="107"/>
  <c r="AA642" i="107"/>
  <c r="AB642" i="107"/>
  <c r="AC642" i="107"/>
  <c r="AD642" i="107"/>
  <c r="C643" i="107"/>
  <c r="D643" i="107"/>
  <c r="E643" i="107"/>
  <c r="F643" i="107"/>
  <c r="G643" i="107"/>
  <c r="H643" i="107"/>
  <c r="I643" i="107"/>
  <c r="J643" i="107"/>
  <c r="K643" i="107"/>
  <c r="L643" i="107"/>
  <c r="M643" i="107"/>
  <c r="N643" i="107"/>
  <c r="O643" i="107"/>
  <c r="P643" i="107"/>
  <c r="Q643" i="107"/>
  <c r="R643" i="107"/>
  <c r="S643" i="107"/>
  <c r="T643" i="107"/>
  <c r="U643" i="107"/>
  <c r="V643" i="107"/>
  <c r="W643" i="107"/>
  <c r="X643" i="107"/>
  <c r="Y643" i="107"/>
  <c r="Z643" i="107"/>
  <c r="AA643" i="107"/>
  <c r="AB643" i="107"/>
  <c r="AC643" i="107"/>
  <c r="AD643" i="107"/>
  <c r="C644" i="107"/>
  <c r="D644" i="107"/>
  <c r="E644" i="107"/>
  <c r="F644" i="107"/>
  <c r="G644" i="107"/>
  <c r="H644" i="107"/>
  <c r="I644" i="107"/>
  <c r="J644" i="107"/>
  <c r="K644" i="107"/>
  <c r="L644" i="107"/>
  <c r="M644" i="107"/>
  <c r="N644" i="107"/>
  <c r="O644" i="107"/>
  <c r="P644" i="107"/>
  <c r="Q644" i="107"/>
  <c r="R644" i="107"/>
  <c r="S644" i="107"/>
  <c r="T644" i="107"/>
  <c r="U644" i="107"/>
  <c r="V644" i="107"/>
  <c r="W644" i="107"/>
  <c r="X644" i="107"/>
  <c r="Y644" i="107"/>
  <c r="Z644" i="107"/>
  <c r="AA644" i="107"/>
  <c r="AB644" i="107"/>
  <c r="AC644" i="107"/>
  <c r="AD644" i="107"/>
  <c r="C645" i="107"/>
  <c r="D645" i="107"/>
  <c r="E645" i="107"/>
  <c r="F645" i="107"/>
  <c r="G645" i="107"/>
  <c r="H645" i="107"/>
  <c r="I645" i="107"/>
  <c r="J645" i="107"/>
  <c r="K645" i="107"/>
  <c r="L645" i="107"/>
  <c r="M645" i="107"/>
  <c r="N645" i="107"/>
  <c r="O645" i="107"/>
  <c r="P645" i="107"/>
  <c r="Q645" i="107"/>
  <c r="R645" i="107"/>
  <c r="S645" i="107"/>
  <c r="T645" i="107"/>
  <c r="U645" i="107"/>
  <c r="V645" i="107"/>
  <c r="W645" i="107"/>
  <c r="X645" i="107"/>
  <c r="Y645" i="107"/>
  <c r="Z645" i="107"/>
  <c r="AA645" i="107"/>
  <c r="AB645" i="107"/>
  <c r="AC645" i="107"/>
  <c r="AD645" i="107"/>
  <c r="C646" i="107"/>
  <c r="D646" i="107"/>
  <c r="E646" i="107"/>
  <c r="F646" i="107"/>
  <c r="G646" i="107"/>
  <c r="H646" i="107"/>
  <c r="I646" i="107"/>
  <c r="J646" i="107"/>
  <c r="K646" i="107"/>
  <c r="L646" i="107"/>
  <c r="M646" i="107"/>
  <c r="N646" i="107"/>
  <c r="O646" i="107"/>
  <c r="P646" i="107"/>
  <c r="Q646" i="107"/>
  <c r="R646" i="107"/>
  <c r="S646" i="107"/>
  <c r="T646" i="107"/>
  <c r="U646" i="107"/>
  <c r="V646" i="107"/>
  <c r="W646" i="107"/>
  <c r="X646" i="107"/>
  <c r="Y646" i="107"/>
  <c r="Z646" i="107"/>
  <c r="AA646" i="107"/>
  <c r="AB646" i="107"/>
  <c r="AC646" i="107"/>
  <c r="AD646" i="107"/>
  <c r="C647" i="107"/>
  <c r="D647" i="107"/>
  <c r="E647" i="107"/>
  <c r="F647" i="107"/>
  <c r="G647" i="107"/>
  <c r="H647" i="107"/>
  <c r="I647" i="107"/>
  <c r="J647" i="107"/>
  <c r="K647" i="107"/>
  <c r="L647" i="107"/>
  <c r="M647" i="107"/>
  <c r="N647" i="107"/>
  <c r="O647" i="107"/>
  <c r="P647" i="107"/>
  <c r="Q647" i="107"/>
  <c r="R647" i="107"/>
  <c r="S647" i="107"/>
  <c r="T647" i="107"/>
  <c r="U647" i="107"/>
  <c r="V647" i="107"/>
  <c r="W647" i="107"/>
  <c r="X647" i="107"/>
  <c r="Y647" i="107"/>
  <c r="Z647" i="107"/>
  <c r="AA647" i="107"/>
  <c r="AB647" i="107"/>
  <c r="AC647" i="107"/>
  <c r="AD647" i="107"/>
  <c r="C648" i="107"/>
  <c r="D648" i="107"/>
  <c r="E648" i="107"/>
  <c r="F648" i="107"/>
  <c r="G648" i="107"/>
  <c r="H648" i="107"/>
  <c r="I648" i="107"/>
  <c r="J648" i="107"/>
  <c r="K648" i="107"/>
  <c r="L648" i="107"/>
  <c r="M648" i="107"/>
  <c r="N648" i="107"/>
  <c r="O648" i="107"/>
  <c r="P648" i="107"/>
  <c r="Q648" i="107"/>
  <c r="R648" i="107"/>
  <c r="S648" i="107"/>
  <c r="T648" i="107"/>
  <c r="U648" i="107"/>
  <c r="V648" i="107"/>
  <c r="W648" i="107"/>
  <c r="X648" i="107"/>
  <c r="Y648" i="107"/>
  <c r="Z648" i="107"/>
  <c r="AA648" i="107"/>
  <c r="AB648" i="107"/>
  <c r="AC648" i="107"/>
  <c r="AD648" i="107"/>
  <c r="C649" i="107"/>
  <c r="D649" i="107"/>
  <c r="E649" i="107"/>
  <c r="F649" i="107"/>
  <c r="G649" i="107"/>
  <c r="H649" i="107"/>
  <c r="I649" i="107"/>
  <c r="J649" i="107"/>
  <c r="K649" i="107"/>
  <c r="L649" i="107"/>
  <c r="M649" i="107"/>
  <c r="N649" i="107"/>
  <c r="O649" i="107"/>
  <c r="P649" i="107"/>
  <c r="Q649" i="107"/>
  <c r="R649" i="107"/>
  <c r="S649" i="107"/>
  <c r="T649" i="107"/>
  <c r="U649" i="107"/>
  <c r="V649" i="107"/>
  <c r="W649" i="107"/>
  <c r="X649" i="107"/>
  <c r="Y649" i="107"/>
  <c r="Z649" i="107"/>
  <c r="AA649" i="107"/>
  <c r="AB649" i="107"/>
  <c r="AC649" i="107"/>
  <c r="AD649" i="107"/>
  <c r="C650" i="107"/>
  <c r="D650" i="107"/>
  <c r="E650" i="107"/>
  <c r="F650" i="107"/>
  <c r="G650" i="107"/>
  <c r="H650" i="107"/>
  <c r="I650" i="107"/>
  <c r="J650" i="107"/>
  <c r="K650" i="107"/>
  <c r="L650" i="107"/>
  <c r="M650" i="107"/>
  <c r="N650" i="107"/>
  <c r="O650" i="107"/>
  <c r="P650" i="107"/>
  <c r="Q650" i="107"/>
  <c r="R650" i="107"/>
  <c r="S650" i="107"/>
  <c r="T650" i="107"/>
  <c r="U650" i="107"/>
  <c r="V650" i="107"/>
  <c r="W650" i="107"/>
  <c r="X650" i="107"/>
  <c r="Y650" i="107"/>
  <c r="Z650" i="107"/>
  <c r="AA650" i="107"/>
  <c r="AB650" i="107"/>
  <c r="AC650" i="107"/>
  <c r="AD650" i="107"/>
  <c r="C651" i="107"/>
  <c r="D651" i="107"/>
  <c r="E651" i="107"/>
  <c r="F651" i="107"/>
  <c r="G651" i="107"/>
  <c r="H651" i="107"/>
  <c r="I651" i="107"/>
  <c r="J651" i="107"/>
  <c r="K651" i="107"/>
  <c r="L651" i="107"/>
  <c r="M651" i="107"/>
  <c r="N651" i="107"/>
  <c r="O651" i="107"/>
  <c r="P651" i="107"/>
  <c r="Q651" i="107"/>
  <c r="R651" i="107"/>
  <c r="S651" i="107"/>
  <c r="T651" i="107"/>
  <c r="U651" i="107"/>
  <c r="V651" i="107"/>
  <c r="W651" i="107"/>
  <c r="X651" i="107"/>
  <c r="Y651" i="107"/>
  <c r="Z651" i="107"/>
  <c r="AA651" i="107"/>
  <c r="AB651" i="107"/>
  <c r="AC651" i="107"/>
  <c r="AD651" i="107"/>
  <c r="C652" i="107"/>
  <c r="D652" i="107"/>
  <c r="E652" i="107"/>
  <c r="F652" i="107"/>
  <c r="G652" i="107"/>
  <c r="H652" i="107"/>
  <c r="I652" i="107"/>
  <c r="J652" i="107"/>
  <c r="K652" i="107"/>
  <c r="L652" i="107"/>
  <c r="M652" i="107"/>
  <c r="N652" i="107"/>
  <c r="O652" i="107"/>
  <c r="P652" i="107"/>
  <c r="Q652" i="107"/>
  <c r="R652" i="107"/>
  <c r="S652" i="107"/>
  <c r="T652" i="107"/>
  <c r="U652" i="107"/>
  <c r="V652" i="107"/>
  <c r="W652" i="107"/>
  <c r="X652" i="107"/>
  <c r="Y652" i="107"/>
  <c r="Z652" i="107"/>
  <c r="AA652" i="107"/>
  <c r="AB652" i="107"/>
  <c r="AC652" i="107"/>
  <c r="AD652" i="107"/>
  <c r="C653" i="107"/>
  <c r="D653" i="107"/>
  <c r="E653" i="107"/>
  <c r="F653" i="107"/>
  <c r="G653" i="107"/>
  <c r="H653" i="107"/>
  <c r="I653" i="107"/>
  <c r="J653" i="107"/>
  <c r="K653" i="107"/>
  <c r="L653" i="107"/>
  <c r="M653" i="107"/>
  <c r="N653" i="107"/>
  <c r="O653" i="107"/>
  <c r="P653" i="107"/>
  <c r="Q653" i="107"/>
  <c r="R653" i="107"/>
  <c r="S653" i="107"/>
  <c r="T653" i="107"/>
  <c r="U653" i="107"/>
  <c r="V653" i="107"/>
  <c r="W653" i="107"/>
  <c r="X653" i="107"/>
  <c r="Y653" i="107"/>
  <c r="Z653" i="107"/>
  <c r="AA653" i="107"/>
  <c r="AB653" i="107"/>
  <c r="AC653" i="107"/>
  <c r="AD653" i="107"/>
  <c r="C654" i="107"/>
  <c r="D654" i="107"/>
  <c r="E654" i="107"/>
  <c r="F654" i="107"/>
  <c r="G654" i="107"/>
  <c r="H654" i="107"/>
  <c r="I654" i="107"/>
  <c r="J654" i="107"/>
  <c r="K654" i="107"/>
  <c r="L654" i="107"/>
  <c r="M654" i="107"/>
  <c r="N654" i="107"/>
  <c r="O654" i="107"/>
  <c r="P654" i="107"/>
  <c r="Q654" i="107"/>
  <c r="R654" i="107"/>
  <c r="S654" i="107"/>
  <c r="T654" i="107"/>
  <c r="U654" i="107"/>
  <c r="V654" i="107"/>
  <c r="W654" i="107"/>
  <c r="X654" i="107"/>
  <c r="Y654" i="107"/>
  <c r="Z654" i="107"/>
  <c r="AA654" i="107"/>
  <c r="AB654" i="107"/>
  <c r="AC654" i="107"/>
  <c r="AD654" i="107"/>
  <c r="C655" i="107"/>
  <c r="D655" i="107"/>
  <c r="E655" i="107"/>
  <c r="F655" i="107"/>
  <c r="G655" i="107"/>
  <c r="H655" i="107"/>
  <c r="I655" i="107"/>
  <c r="J655" i="107"/>
  <c r="K655" i="107"/>
  <c r="L655" i="107"/>
  <c r="M655" i="107"/>
  <c r="N655" i="107"/>
  <c r="O655" i="107"/>
  <c r="P655" i="107"/>
  <c r="Q655" i="107"/>
  <c r="R655" i="107"/>
  <c r="S655" i="107"/>
  <c r="T655" i="107"/>
  <c r="U655" i="107"/>
  <c r="V655" i="107"/>
  <c r="W655" i="107"/>
  <c r="X655" i="107"/>
  <c r="Y655" i="107"/>
  <c r="Z655" i="107"/>
  <c r="AA655" i="107"/>
  <c r="AB655" i="107"/>
  <c r="AC655" i="107"/>
  <c r="AD655" i="107"/>
  <c r="C656" i="107"/>
  <c r="D656" i="107"/>
  <c r="E656" i="107"/>
  <c r="F656" i="107"/>
  <c r="G656" i="107"/>
  <c r="H656" i="107"/>
  <c r="I656" i="107"/>
  <c r="J656" i="107"/>
  <c r="K656" i="107"/>
  <c r="L656" i="107"/>
  <c r="M656" i="107"/>
  <c r="N656" i="107"/>
  <c r="O656" i="107"/>
  <c r="P656" i="107"/>
  <c r="Q656" i="107"/>
  <c r="R656" i="107"/>
  <c r="S656" i="107"/>
  <c r="T656" i="107"/>
  <c r="U656" i="107"/>
  <c r="V656" i="107"/>
  <c r="W656" i="107"/>
  <c r="X656" i="107"/>
  <c r="Y656" i="107"/>
  <c r="Z656" i="107"/>
  <c r="AA656" i="107"/>
  <c r="AB656" i="107"/>
  <c r="AC656" i="107"/>
  <c r="AD656" i="107"/>
  <c r="C657" i="107"/>
  <c r="D657" i="107"/>
  <c r="E657" i="107"/>
  <c r="F657" i="107"/>
  <c r="G657" i="107"/>
  <c r="H657" i="107"/>
  <c r="I657" i="107"/>
  <c r="J657" i="107"/>
  <c r="K657" i="107"/>
  <c r="L657" i="107"/>
  <c r="M657" i="107"/>
  <c r="N657" i="107"/>
  <c r="O657" i="107"/>
  <c r="P657" i="107"/>
  <c r="Q657" i="107"/>
  <c r="R657" i="107"/>
  <c r="S657" i="107"/>
  <c r="T657" i="107"/>
  <c r="U657" i="107"/>
  <c r="V657" i="107"/>
  <c r="W657" i="107"/>
  <c r="X657" i="107"/>
  <c r="Y657" i="107"/>
  <c r="Z657" i="107"/>
  <c r="AA657" i="107"/>
  <c r="AB657" i="107"/>
  <c r="AC657" i="107"/>
  <c r="AD657" i="107"/>
  <c r="C658" i="107"/>
  <c r="D658" i="107"/>
  <c r="E658" i="107"/>
  <c r="F658" i="107"/>
  <c r="G658" i="107"/>
  <c r="H658" i="107"/>
  <c r="I658" i="107"/>
  <c r="J658" i="107"/>
  <c r="K658" i="107"/>
  <c r="L658" i="107"/>
  <c r="M658" i="107"/>
  <c r="N658" i="107"/>
  <c r="O658" i="107"/>
  <c r="P658" i="107"/>
  <c r="Q658" i="107"/>
  <c r="R658" i="107"/>
  <c r="S658" i="107"/>
  <c r="T658" i="107"/>
  <c r="U658" i="107"/>
  <c r="V658" i="107"/>
  <c r="W658" i="107"/>
  <c r="X658" i="107"/>
  <c r="Y658" i="107"/>
  <c r="Z658" i="107"/>
  <c r="AA658" i="107"/>
  <c r="AB658" i="107"/>
  <c r="AC658" i="107"/>
  <c r="AD658" i="107"/>
  <c r="C659" i="107"/>
  <c r="D659" i="107"/>
  <c r="E659" i="107"/>
  <c r="F659" i="107"/>
  <c r="G659" i="107"/>
  <c r="H659" i="107"/>
  <c r="I659" i="107"/>
  <c r="J659" i="107"/>
  <c r="K659" i="107"/>
  <c r="L659" i="107"/>
  <c r="M659" i="107"/>
  <c r="N659" i="107"/>
  <c r="O659" i="107"/>
  <c r="P659" i="107"/>
  <c r="Q659" i="107"/>
  <c r="R659" i="107"/>
  <c r="S659" i="107"/>
  <c r="T659" i="107"/>
  <c r="U659" i="107"/>
  <c r="V659" i="107"/>
  <c r="W659" i="107"/>
  <c r="X659" i="107"/>
  <c r="Y659" i="107"/>
  <c r="Z659" i="107"/>
  <c r="AA659" i="107"/>
  <c r="AB659" i="107"/>
  <c r="AC659" i="107"/>
  <c r="AD659" i="107"/>
  <c r="C660" i="107"/>
  <c r="D660" i="107"/>
  <c r="E660" i="107"/>
  <c r="F660" i="107"/>
  <c r="G660" i="107"/>
  <c r="H660" i="107"/>
  <c r="I660" i="107"/>
  <c r="J660" i="107"/>
  <c r="K660" i="107"/>
  <c r="L660" i="107"/>
  <c r="M660" i="107"/>
  <c r="N660" i="107"/>
  <c r="O660" i="107"/>
  <c r="P660" i="107"/>
  <c r="Q660" i="107"/>
  <c r="R660" i="107"/>
  <c r="S660" i="107"/>
  <c r="T660" i="107"/>
  <c r="U660" i="107"/>
  <c r="V660" i="107"/>
  <c r="W660" i="107"/>
  <c r="X660" i="107"/>
  <c r="Y660" i="107"/>
  <c r="Z660" i="107"/>
  <c r="AA660" i="107"/>
  <c r="AB660" i="107"/>
  <c r="AC660" i="107"/>
  <c r="AD660" i="107"/>
  <c r="C661" i="107"/>
  <c r="D661" i="107"/>
  <c r="E661" i="107"/>
  <c r="F661" i="107"/>
  <c r="G661" i="107"/>
  <c r="H661" i="107"/>
  <c r="I661" i="107"/>
  <c r="J661" i="107"/>
  <c r="K661" i="107"/>
  <c r="L661" i="107"/>
  <c r="M661" i="107"/>
  <c r="N661" i="107"/>
  <c r="O661" i="107"/>
  <c r="P661" i="107"/>
  <c r="Q661" i="107"/>
  <c r="R661" i="107"/>
  <c r="S661" i="107"/>
  <c r="T661" i="107"/>
  <c r="U661" i="107"/>
  <c r="V661" i="107"/>
  <c r="W661" i="107"/>
  <c r="X661" i="107"/>
  <c r="Y661" i="107"/>
  <c r="Z661" i="107"/>
  <c r="AA661" i="107"/>
  <c r="AB661" i="107"/>
  <c r="AC661" i="107"/>
  <c r="AD661" i="107"/>
  <c r="C662" i="107"/>
  <c r="D662" i="107"/>
  <c r="E662" i="107"/>
  <c r="F662" i="107"/>
  <c r="G662" i="107"/>
  <c r="H662" i="107"/>
  <c r="I662" i="107"/>
  <c r="J662" i="107"/>
  <c r="K662" i="107"/>
  <c r="L662" i="107"/>
  <c r="M662" i="107"/>
  <c r="N662" i="107"/>
  <c r="O662" i="107"/>
  <c r="P662" i="107"/>
  <c r="Q662" i="107"/>
  <c r="R662" i="107"/>
  <c r="S662" i="107"/>
  <c r="T662" i="107"/>
  <c r="U662" i="107"/>
  <c r="V662" i="107"/>
  <c r="W662" i="107"/>
  <c r="X662" i="107"/>
  <c r="Y662" i="107"/>
  <c r="Z662" i="107"/>
  <c r="AA662" i="107"/>
  <c r="AB662" i="107"/>
  <c r="AC662" i="107"/>
  <c r="AD662" i="107"/>
  <c r="C663" i="107"/>
  <c r="D663" i="107"/>
  <c r="E663" i="107"/>
  <c r="F663" i="107"/>
  <c r="G663" i="107"/>
  <c r="H663" i="107"/>
  <c r="I663" i="107"/>
  <c r="J663" i="107"/>
  <c r="K663" i="107"/>
  <c r="L663" i="107"/>
  <c r="M663" i="107"/>
  <c r="N663" i="107"/>
  <c r="O663" i="107"/>
  <c r="P663" i="107"/>
  <c r="Q663" i="107"/>
  <c r="R663" i="107"/>
  <c r="S663" i="107"/>
  <c r="T663" i="107"/>
  <c r="U663" i="107"/>
  <c r="V663" i="107"/>
  <c r="W663" i="107"/>
  <c r="X663" i="107"/>
  <c r="Y663" i="107"/>
  <c r="Z663" i="107"/>
  <c r="AA663" i="107"/>
  <c r="AB663" i="107"/>
  <c r="AC663" i="107"/>
  <c r="AD663" i="107"/>
  <c r="C664" i="107"/>
  <c r="D664" i="107"/>
  <c r="E664" i="107"/>
  <c r="F664" i="107"/>
  <c r="G664" i="107"/>
  <c r="H664" i="107"/>
  <c r="I664" i="107"/>
  <c r="J664" i="107"/>
  <c r="K664" i="107"/>
  <c r="L664" i="107"/>
  <c r="M664" i="107"/>
  <c r="N664" i="107"/>
  <c r="O664" i="107"/>
  <c r="P664" i="107"/>
  <c r="Q664" i="107"/>
  <c r="R664" i="107"/>
  <c r="S664" i="107"/>
  <c r="T664" i="107"/>
  <c r="U664" i="107"/>
  <c r="V664" i="107"/>
  <c r="W664" i="107"/>
  <c r="X664" i="107"/>
  <c r="Y664" i="107"/>
  <c r="Z664" i="107"/>
  <c r="AA664" i="107"/>
  <c r="AB664" i="107"/>
  <c r="AC664" i="107"/>
  <c r="AD664" i="107"/>
  <c r="C665" i="107"/>
  <c r="D665" i="107"/>
  <c r="E665" i="107"/>
  <c r="F665" i="107"/>
  <c r="G665" i="107"/>
  <c r="H665" i="107"/>
  <c r="I665" i="107"/>
  <c r="J665" i="107"/>
  <c r="K665" i="107"/>
  <c r="L665" i="107"/>
  <c r="M665" i="107"/>
  <c r="N665" i="107"/>
  <c r="O665" i="107"/>
  <c r="P665" i="107"/>
  <c r="Q665" i="107"/>
  <c r="R665" i="107"/>
  <c r="S665" i="107"/>
  <c r="T665" i="107"/>
  <c r="U665" i="107"/>
  <c r="V665" i="107"/>
  <c r="W665" i="107"/>
  <c r="X665" i="107"/>
  <c r="Y665" i="107"/>
  <c r="Z665" i="107"/>
  <c r="AA665" i="107"/>
  <c r="AB665" i="107"/>
  <c r="AC665" i="107"/>
  <c r="AD665" i="107"/>
  <c r="C666" i="107"/>
  <c r="D666" i="107"/>
  <c r="E666" i="107"/>
  <c r="F666" i="107"/>
  <c r="G666" i="107"/>
  <c r="H666" i="107"/>
  <c r="I666" i="107"/>
  <c r="J666" i="107"/>
  <c r="K666" i="107"/>
  <c r="L666" i="107"/>
  <c r="M666" i="107"/>
  <c r="N666" i="107"/>
  <c r="O666" i="107"/>
  <c r="P666" i="107"/>
  <c r="Q666" i="107"/>
  <c r="R666" i="107"/>
  <c r="S666" i="107"/>
  <c r="T666" i="107"/>
  <c r="U666" i="107"/>
  <c r="V666" i="107"/>
  <c r="W666" i="107"/>
  <c r="X666" i="107"/>
  <c r="Y666" i="107"/>
  <c r="Z666" i="107"/>
  <c r="AA666" i="107"/>
  <c r="AB666" i="107"/>
  <c r="AC666" i="107"/>
  <c r="AD666" i="107"/>
  <c r="C667" i="107"/>
  <c r="D667" i="107"/>
  <c r="E667" i="107"/>
  <c r="F667" i="107"/>
  <c r="G667" i="107"/>
  <c r="H667" i="107"/>
  <c r="I667" i="107"/>
  <c r="J667" i="107"/>
  <c r="K667" i="107"/>
  <c r="L667" i="107"/>
  <c r="M667" i="107"/>
  <c r="N667" i="107"/>
  <c r="O667" i="107"/>
  <c r="P667" i="107"/>
  <c r="Q667" i="107"/>
  <c r="R667" i="107"/>
  <c r="S667" i="107"/>
  <c r="T667" i="107"/>
  <c r="U667" i="107"/>
  <c r="V667" i="107"/>
  <c r="W667" i="107"/>
  <c r="X667" i="107"/>
  <c r="Y667" i="107"/>
  <c r="Z667" i="107"/>
  <c r="AA667" i="107"/>
  <c r="AB667" i="107"/>
  <c r="AC667" i="107"/>
  <c r="AD667" i="107"/>
  <c r="C668" i="107"/>
  <c r="D668" i="107"/>
  <c r="E668" i="107"/>
  <c r="F668" i="107"/>
  <c r="G668" i="107"/>
  <c r="H668" i="107"/>
  <c r="I668" i="107"/>
  <c r="J668" i="107"/>
  <c r="K668" i="107"/>
  <c r="L668" i="107"/>
  <c r="M668" i="107"/>
  <c r="N668" i="107"/>
  <c r="O668" i="107"/>
  <c r="P668" i="107"/>
  <c r="Q668" i="107"/>
  <c r="R668" i="107"/>
  <c r="S668" i="107"/>
  <c r="T668" i="107"/>
  <c r="U668" i="107"/>
  <c r="V668" i="107"/>
  <c r="W668" i="107"/>
  <c r="X668" i="107"/>
  <c r="Y668" i="107"/>
  <c r="Z668" i="107"/>
  <c r="AA668" i="107"/>
  <c r="AB668" i="107"/>
  <c r="AC668" i="107"/>
  <c r="AD668" i="107"/>
  <c r="C669" i="107"/>
  <c r="D669" i="107"/>
  <c r="E669" i="107"/>
  <c r="F669" i="107"/>
  <c r="G669" i="107"/>
  <c r="H669" i="107"/>
  <c r="I669" i="107"/>
  <c r="J669" i="107"/>
  <c r="K669" i="107"/>
  <c r="L669" i="107"/>
  <c r="M669" i="107"/>
  <c r="N669" i="107"/>
  <c r="O669" i="107"/>
  <c r="P669" i="107"/>
  <c r="Q669" i="107"/>
  <c r="R669" i="107"/>
  <c r="S669" i="107"/>
  <c r="T669" i="107"/>
  <c r="U669" i="107"/>
  <c r="V669" i="107"/>
  <c r="W669" i="107"/>
  <c r="X669" i="107"/>
  <c r="Y669" i="107"/>
  <c r="Z669" i="107"/>
  <c r="AA669" i="107"/>
  <c r="AB669" i="107"/>
  <c r="AC669" i="107"/>
  <c r="AD669" i="107"/>
  <c r="C670" i="107"/>
  <c r="D670" i="107"/>
  <c r="E670" i="107"/>
  <c r="F670" i="107"/>
  <c r="G670" i="107"/>
  <c r="H670" i="107"/>
  <c r="I670" i="107"/>
  <c r="J670" i="107"/>
  <c r="K670" i="107"/>
  <c r="L670" i="107"/>
  <c r="M670" i="107"/>
  <c r="N670" i="107"/>
  <c r="O670" i="107"/>
  <c r="P670" i="107"/>
  <c r="Q670" i="107"/>
  <c r="R670" i="107"/>
  <c r="S670" i="107"/>
  <c r="T670" i="107"/>
  <c r="U670" i="107"/>
  <c r="V670" i="107"/>
  <c r="W670" i="107"/>
  <c r="X670" i="107"/>
  <c r="Y670" i="107"/>
  <c r="Z670" i="107"/>
  <c r="AA670" i="107"/>
  <c r="AB670" i="107"/>
  <c r="AC670" i="107"/>
  <c r="AD670" i="107"/>
  <c r="C671" i="107"/>
  <c r="D671" i="107"/>
  <c r="E671" i="107"/>
  <c r="F671" i="107"/>
  <c r="G671" i="107"/>
  <c r="H671" i="107"/>
  <c r="I671" i="107"/>
  <c r="J671" i="107"/>
  <c r="K671" i="107"/>
  <c r="L671" i="107"/>
  <c r="M671" i="107"/>
  <c r="N671" i="107"/>
  <c r="O671" i="107"/>
  <c r="P671" i="107"/>
  <c r="Q671" i="107"/>
  <c r="R671" i="107"/>
  <c r="S671" i="107"/>
  <c r="T671" i="107"/>
  <c r="U671" i="107"/>
  <c r="V671" i="107"/>
  <c r="W671" i="107"/>
  <c r="X671" i="107"/>
  <c r="Y671" i="107"/>
  <c r="Z671" i="107"/>
  <c r="AA671" i="107"/>
  <c r="AB671" i="107"/>
  <c r="AC671" i="107"/>
  <c r="AD671" i="107"/>
  <c r="C672" i="107"/>
  <c r="D672" i="107"/>
  <c r="E672" i="107"/>
  <c r="F672" i="107"/>
  <c r="G672" i="107"/>
  <c r="H672" i="107"/>
  <c r="I672" i="107"/>
  <c r="J672" i="107"/>
  <c r="K672" i="107"/>
  <c r="L672" i="107"/>
  <c r="M672" i="107"/>
  <c r="N672" i="107"/>
  <c r="O672" i="107"/>
  <c r="P672" i="107"/>
  <c r="Q672" i="107"/>
  <c r="R672" i="107"/>
  <c r="S672" i="107"/>
  <c r="T672" i="107"/>
  <c r="U672" i="107"/>
  <c r="V672" i="107"/>
  <c r="W672" i="107"/>
  <c r="X672" i="107"/>
  <c r="Y672" i="107"/>
  <c r="Z672" i="107"/>
  <c r="AA672" i="107"/>
  <c r="AB672" i="107"/>
  <c r="AC672" i="107"/>
  <c r="AD672" i="107"/>
  <c r="C673" i="107"/>
  <c r="D673" i="107"/>
  <c r="E673" i="107"/>
  <c r="F673" i="107"/>
  <c r="G673" i="107"/>
  <c r="H673" i="107"/>
  <c r="I673" i="107"/>
  <c r="J673" i="107"/>
  <c r="K673" i="107"/>
  <c r="L673" i="107"/>
  <c r="M673" i="107"/>
  <c r="N673" i="107"/>
  <c r="O673" i="107"/>
  <c r="P673" i="107"/>
  <c r="Q673" i="107"/>
  <c r="R673" i="107"/>
  <c r="S673" i="107"/>
  <c r="T673" i="107"/>
  <c r="U673" i="107"/>
  <c r="V673" i="107"/>
  <c r="W673" i="107"/>
  <c r="X673" i="107"/>
  <c r="Y673" i="107"/>
  <c r="Z673" i="107"/>
  <c r="AA673" i="107"/>
  <c r="AB673" i="107"/>
  <c r="AC673" i="107"/>
  <c r="AD673" i="107"/>
  <c r="C674" i="107"/>
  <c r="D674" i="107"/>
  <c r="E674" i="107"/>
  <c r="F674" i="107"/>
  <c r="G674" i="107"/>
  <c r="H674" i="107"/>
  <c r="I674" i="107"/>
  <c r="J674" i="107"/>
  <c r="K674" i="107"/>
  <c r="L674" i="107"/>
  <c r="M674" i="107"/>
  <c r="N674" i="107"/>
  <c r="O674" i="107"/>
  <c r="P674" i="107"/>
  <c r="Q674" i="107"/>
  <c r="R674" i="107"/>
  <c r="S674" i="107"/>
  <c r="T674" i="107"/>
  <c r="U674" i="107"/>
  <c r="V674" i="107"/>
  <c r="W674" i="107"/>
  <c r="X674" i="107"/>
  <c r="Y674" i="107"/>
  <c r="Z674" i="107"/>
  <c r="AA674" i="107"/>
  <c r="AB674" i="107"/>
  <c r="AC674" i="107"/>
  <c r="AD674" i="107"/>
  <c r="C675" i="107"/>
  <c r="D675" i="107"/>
  <c r="E675" i="107"/>
  <c r="F675" i="107"/>
  <c r="G675" i="107"/>
  <c r="H675" i="107"/>
  <c r="I675" i="107"/>
  <c r="J675" i="107"/>
  <c r="K675" i="107"/>
  <c r="L675" i="107"/>
  <c r="M675" i="107"/>
  <c r="N675" i="107"/>
  <c r="O675" i="107"/>
  <c r="P675" i="107"/>
  <c r="Q675" i="107"/>
  <c r="R675" i="107"/>
  <c r="S675" i="107"/>
  <c r="T675" i="107"/>
  <c r="U675" i="107"/>
  <c r="V675" i="107"/>
  <c r="W675" i="107"/>
  <c r="X675" i="107"/>
  <c r="Y675" i="107"/>
  <c r="Z675" i="107"/>
  <c r="AA675" i="107"/>
  <c r="AB675" i="107"/>
  <c r="AC675" i="107"/>
  <c r="AD675" i="107"/>
  <c r="C676" i="107"/>
  <c r="D676" i="107"/>
  <c r="E676" i="107"/>
  <c r="F676" i="107"/>
  <c r="G676" i="107"/>
  <c r="H676" i="107"/>
  <c r="I676" i="107"/>
  <c r="J676" i="107"/>
  <c r="K676" i="107"/>
  <c r="L676" i="107"/>
  <c r="M676" i="107"/>
  <c r="N676" i="107"/>
  <c r="O676" i="107"/>
  <c r="P676" i="107"/>
  <c r="Q676" i="107"/>
  <c r="R676" i="107"/>
  <c r="S676" i="107"/>
  <c r="T676" i="107"/>
  <c r="U676" i="107"/>
  <c r="V676" i="107"/>
  <c r="W676" i="107"/>
  <c r="X676" i="107"/>
  <c r="Y676" i="107"/>
  <c r="Z676" i="107"/>
  <c r="AA676" i="107"/>
  <c r="AB676" i="107"/>
  <c r="AC676" i="107"/>
  <c r="AD676" i="107"/>
  <c r="C677" i="107"/>
  <c r="D677" i="107"/>
  <c r="E677" i="107"/>
  <c r="F677" i="107"/>
  <c r="G677" i="107"/>
  <c r="H677" i="107"/>
  <c r="I677" i="107"/>
  <c r="J677" i="107"/>
  <c r="K677" i="107"/>
  <c r="L677" i="107"/>
  <c r="M677" i="107"/>
  <c r="N677" i="107"/>
  <c r="O677" i="107"/>
  <c r="P677" i="107"/>
  <c r="Q677" i="107"/>
  <c r="R677" i="107"/>
  <c r="S677" i="107"/>
  <c r="T677" i="107"/>
  <c r="U677" i="107"/>
  <c r="V677" i="107"/>
  <c r="W677" i="107"/>
  <c r="X677" i="107"/>
  <c r="Y677" i="107"/>
  <c r="Z677" i="107"/>
  <c r="AA677" i="107"/>
  <c r="AB677" i="107"/>
  <c r="AC677" i="107"/>
  <c r="AD677" i="107"/>
  <c r="C678" i="107"/>
  <c r="D678" i="107"/>
  <c r="E678" i="107"/>
  <c r="F678" i="107"/>
  <c r="G678" i="107"/>
  <c r="H678" i="107"/>
  <c r="I678" i="107"/>
  <c r="J678" i="107"/>
  <c r="K678" i="107"/>
  <c r="L678" i="107"/>
  <c r="M678" i="107"/>
  <c r="N678" i="107"/>
  <c r="O678" i="107"/>
  <c r="P678" i="107"/>
  <c r="Q678" i="107"/>
  <c r="R678" i="107"/>
  <c r="S678" i="107"/>
  <c r="T678" i="107"/>
  <c r="U678" i="107"/>
  <c r="V678" i="107"/>
  <c r="W678" i="107"/>
  <c r="X678" i="107"/>
  <c r="Y678" i="107"/>
  <c r="Z678" i="107"/>
  <c r="AA678" i="107"/>
  <c r="AB678" i="107"/>
  <c r="AC678" i="107"/>
  <c r="AD678" i="107"/>
  <c r="C679" i="107"/>
  <c r="D679" i="107"/>
  <c r="E679" i="107"/>
  <c r="F679" i="107"/>
  <c r="G679" i="107"/>
  <c r="H679" i="107"/>
  <c r="I679" i="107"/>
  <c r="J679" i="107"/>
  <c r="K679" i="107"/>
  <c r="L679" i="107"/>
  <c r="M679" i="107"/>
  <c r="N679" i="107"/>
  <c r="O679" i="107"/>
  <c r="P679" i="107"/>
  <c r="Q679" i="107"/>
  <c r="R679" i="107"/>
  <c r="S679" i="107"/>
  <c r="T679" i="107"/>
  <c r="U679" i="107"/>
  <c r="V679" i="107"/>
  <c r="W679" i="107"/>
  <c r="X679" i="107"/>
  <c r="Y679" i="107"/>
  <c r="Z679" i="107"/>
  <c r="AA679" i="107"/>
  <c r="AB679" i="107"/>
  <c r="AC679" i="107"/>
  <c r="AD679" i="107"/>
  <c r="C680" i="107"/>
  <c r="D680" i="107"/>
  <c r="E680" i="107"/>
  <c r="F680" i="107"/>
  <c r="G680" i="107"/>
  <c r="H680" i="107"/>
  <c r="I680" i="107"/>
  <c r="J680" i="107"/>
  <c r="K680" i="107"/>
  <c r="L680" i="107"/>
  <c r="M680" i="107"/>
  <c r="N680" i="107"/>
  <c r="O680" i="107"/>
  <c r="P680" i="107"/>
  <c r="Q680" i="107"/>
  <c r="R680" i="107"/>
  <c r="S680" i="107"/>
  <c r="T680" i="107"/>
  <c r="U680" i="107"/>
  <c r="V680" i="107"/>
  <c r="W680" i="107"/>
  <c r="X680" i="107"/>
  <c r="Y680" i="107"/>
  <c r="Z680" i="107"/>
  <c r="AA680" i="107"/>
  <c r="AB680" i="107"/>
  <c r="AC680" i="107"/>
  <c r="AD680" i="107"/>
  <c r="C681" i="107"/>
  <c r="D681" i="107"/>
  <c r="E681" i="107"/>
  <c r="F681" i="107"/>
  <c r="G681" i="107"/>
  <c r="H681" i="107"/>
  <c r="I681" i="107"/>
  <c r="J681" i="107"/>
  <c r="K681" i="107"/>
  <c r="L681" i="107"/>
  <c r="M681" i="107"/>
  <c r="N681" i="107"/>
  <c r="O681" i="107"/>
  <c r="P681" i="107"/>
  <c r="Q681" i="107"/>
  <c r="R681" i="107"/>
  <c r="S681" i="107"/>
  <c r="T681" i="107"/>
  <c r="U681" i="107"/>
  <c r="V681" i="107"/>
  <c r="W681" i="107"/>
  <c r="X681" i="107"/>
  <c r="Y681" i="107"/>
  <c r="Z681" i="107"/>
  <c r="AA681" i="107"/>
  <c r="AB681" i="107"/>
  <c r="AC681" i="107"/>
  <c r="AD681" i="107"/>
  <c r="C682" i="107"/>
  <c r="D682" i="107"/>
  <c r="E682" i="107"/>
  <c r="F682" i="107"/>
  <c r="G682" i="107"/>
  <c r="H682" i="107"/>
  <c r="I682" i="107"/>
  <c r="J682" i="107"/>
  <c r="K682" i="107"/>
  <c r="L682" i="107"/>
  <c r="M682" i="107"/>
  <c r="N682" i="107"/>
  <c r="O682" i="107"/>
  <c r="P682" i="107"/>
  <c r="Q682" i="107"/>
  <c r="R682" i="107"/>
  <c r="S682" i="107"/>
  <c r="T682" i="107"/>
  <c r="U682" i="107"/>
  <c r="V682" i="107"/>
  <c r="W682" i="107"/>
  <c r="X682" i="107"/>
  <c r="Y682" i="107"/>
  <c r="Z682" i="107"/>
  <c r="AA682" i="107"/>
  <c r="AB682" i="107"/>
  <c r="AC682" i="107"/>
  <c r="AD682" i="107"/>
  <c r="C683" i="107"/>
  <c r="D683" i="107"/>
  <c r="E683" i="107"/>
  <c r="F683" i="107"/>
  <c r="G683" i="107"/>
  <c r="H683" i="107"/>
  <c r="I683" i="107"/>
  <c r="J683" i="107"/>
  <c r="K683" i="107"/>
  <c r="L683" i="107"/>
  <c r="M683" i="107"/>
  <c r="N683" i="107"/>
  <c r="O683" i="107"/>
  <c r="P683" i="107"/>
  <c r="Q683" i="107"/>
  <c r="R683" i="107"/>
  <c r="S683" i="107"/>
  <c r="T683" i="107"/>
  <c r="U683" i="107"/>
  <c r="V683" i="107"/>
  <c r="W683" i="107"/>
  <c r="X683" i="107"/>
  <c r="Y683" i="107"/>
  <c r="Z683" i="107"/>
  <c r="AA683" i="107"/>
  <c r="AB683" i="107"/>
  <c r="AC683" i="107"/>
  <c r="AD683" i="107"/>
  <c r="C684" i="107"/>
  <c r="D684" i="107"/>
  <c r="E684" i="107"/>
  <c r="F684" i="107"/>
  <c r="G684" i="107"/>
  <c r="H684" i="107"/>
  <c r="I684" i="107"/>
  <c r="J684" i="107"/>
  <c r="K684" i="107"/>
  <c r="L684" i="107"/>
  <c r="M684" i="107"/>
  <c r="N684" i="107"/>
  <c r="O684" i="107"/>
  <c r="P684" i="107"/>
  <c r="Q684" i="107"/>
  <c r="R684" i="107"/>
  <c r="S684" i="107"/>
  <c r="T684" i="107"/>
  <c r="U684" i="107"/>
  <c r="V684" i="107"/>
  <c r="W684" i="107"/>
  <c r="X684" i="107"/>
  <c r="Y684" i="107"/>
  <c r="Z684" i="107"/>
  <c r="AA684" i="107"/>
  <c r="AB684" i="107"/>
  <c r="AC684" i="107"/>
  <c r="AD684" i="107"/>
  <c r="C685" i="107"/>
  <c r="D685" i="107"/>
  <c r="E685" i="107"/>
  <c r="F685" i="107"/>
  <c r="G685" i="107"/>
  <c r="H685" i="107"/>
  <c r="I685" i="107"/>
  <c r="J685" i="107"/>
  <c r="K685" i="107"/>
  <c r="L685" i="107"/>
  <c r="M685" i="107"/>
  <c r="N685" i="107"/>
  <c r="O685" i="107"/>
  <c r="P685" i="107"/>
  <c r="Q685" i="107"/>
  <c r="R685" i="107"/>
  <c r="S685" i="107"/>
  <c r="T685" i="107"/>
  <c r="U685" i="107"/>
  <c r="V685" i="107"/>
  <c r="W685" i="107"/>
  <c r="X685" i="107"/>
  <c r="Y685" i="107"/>
  <c r="Z685" i="107"/>
  <c r="AA685" i="107"/>
  <c r="AB685" i="107"/>
  <c r="AC685" i="107"/>
  <c r="AD685" i="107"/>
  <c r="C686" i="107"/>
  <c r="D686" i="107"/>
  <c r="E686" i="107"/>
  <c r="F686" i="107"/>
  <c r="G686" i="107"/>
  <c r="H686" i="107"/>
  <c r="I686" i="107"/>
  <c r="J686" i="107"/>
  <c r="K686" i="107"/>
  <c r="L686" i="107"/>
  <c r="M686" i="107"/>
  <c r="N686" i="107"/>
  <c r="O686" i="107"/>
  <c r="P686" i="107"/>
  <c r="Q686" i="107"/>
  <c r="R686" i="107"/>
  <c r="S686" i="107"/>
  <c r="T686" i="107"/>
  <c r="U686" i="107"/>
  <c r="V686" i="107"/>
  <c r="W686" i="107"/>
  <c r="X686" i="107"/>
  <c r="Y686" i="107"/>
  <c r="Z686" i="107"/>
  <c r="AA686" i="107"/>
  <c r="AB686" i="107"/>
  <c r="AC686" i="107"/>
  <c r="AD686" i="107"/>
  <c r="C687" i="107"/>
  <c r="D687" i="107"/>
  <c r="E687" i="107"/>
  <c r="F687" i="107"/>
  <c r="G687" i="107"/>
  <c r="H687" i="107"/>
  <c r="I687" i="107"/>
  <c r="J687" i="107"/>
  <c r="K687" i="107"/>
  <c r="L687" i="107"/>
  <c r="M687" i="107"/>
  <c r="N687" i="107"/>
  <c r="O687" i="107"/>
  <c r="P687" i="107"/>
  <c r="Q687" i="107"/>
  <c r="R687" i="107"/>
  <c r="S687" i="107"/>
  <c r="T687" i="107"/>
  <c r="U687" i="107"/>
  <c r="V687" i="107"/>
  <c r="W687" i="107"/>
  <c r="X687" i="107"/>
  <c r="Y687" i="107"/>
  <c r="Z687" i="107"/>
  <c r="AA687" i="107"/>
  <c r="AB687" i="107"/>
  <c r="AC687" i="107"/>
  <c r="AD687" i="107"/>
  <c r="C688" i="107"/>
  <c r="D688" i="107"/>
  <c r="E688" i="107"/>
  <c r="F688" i="107"/>
  <c r="G688" i="107"/>
  <c r="H688" i="107"/>
  <c r="I688" i="107"/>
  <c r="J688" i="107"/>
  <c r="K688" i="107"/>
  <c r="L688" i="107"/>
  <c r="M688" i="107"/>
  <c r="N688" i="107"/>
  <c r="O688" i="107"/>
  <c r="P688" i="107"/>
  <c r="Q688" i="107"/>
  <c r="R688" i="107"/>
  <c r="S688" i="107"/>
  <c r="T688" i="107"/>
  <c r="U688" i="107"/>
  <c r="V688" i="107"/>
  <c r="W688" i="107"/>
  <c r="X688" i="107"/>
  <c r="Y688" i="107"/>
  <c r="Z688" i="107"/>
  <c r="AA688" i="107"/>
  <c r="AB688" i="107"/>
  <c r="AC688" i="107"/>
  <c r="AD688" i="107"/>
  <c r="C689" i="107"/>
  <c r="D689" i="107"/>
  <c r="E689" i="107"/>
  <c r="F689" i="107"/>
  <c r="G689" i="107"/>
  <c r="H689" i="107"/>
  <c r="I689" i="107"/>
  <c r="J689" i="107"/>
  <c r="K689" i="107"/>
  <c r="L689" i="107"/>
  <c r="M689" i="107"/>
  <c r="N689" i="107"/>
  <c r="O689" i="107"/>
  <c r="P689" i="107"/>
  <c r="Q689" i="107"/>
  <c r="R689" i="107"/>
  <c r="S689" i="107"/>
  <c r="T689" i="107"/>
  <c r="U689" i="107"/>
  <c r="V689" i="107"/>
  <c r="W689" i="107"/>
  <c r="X689" i="107"/>
  <c r="Y689" i="107"/>
  <c r="Z689" i="107"/>
  <c r="AA689" i="107"/>
  <c r="AB689" i="107"/>
  <c r="AC689" i="107"/>
  <c r="AD689" i="107"/>
  <c r="C690" i="107"/>
  <c r="D690" i="107"/>
  <c r="E690" i="107"/>
  <c r="F690" i="107"/>
  <c r="G690" i="107"/>
  <c r="H690" i="107"/>
  <c r="I690" i="107"/>
  <c r="J690" i="107"/>
  <c r="K690" i="107"/>
  <c r="L690" i="107"/>
  <c r="M690" i="107"/>
  <c r="N690" i="107"/>
  <c r="O690" i="107"/>
  <c r="P690" i="107"/>
  <c r="Q690" i="107"/>
  <c r="R690" i="107"/>
  <c r="S690" i="107"/>
  <c r="T690" i="107"/>
  <c r="U690" i="107"/>
  <c r="V690" i="107"/>
  <c r="W690" i="107"/>
  <c r="X690" i="107"/>
  <c r="Y690" i="107"/>
  <c r="Z690" i="107"/>
  <c r="AA690" i="107"/>
  <c r="AB690" i="107"/>
  <c r="AC690" i="107"/>
  <c r="AD690" i="107"/>
  <c r="C691" i="107"/>
  <c r="D691" i="107"/>
  <c r="E691" i="107"/>
  <c r="F691" i="107"/>
  <c r="G691" i="107"/>
  <c r="H691" i="107"/>
  <c r="I691" i="107"/>
  <c r="J691" i="107"/>
  <c r="K691" i="107"/>
  <c r="L691" i="107"/>
  <c r="M691" i="107"/>
  <c r="N691" i="107"/>
  <c r="O691" i="107"/>
  <c r="P691" i="107"/>
  <c r="Q691" i="107"/>
  <c r="R691" i="107"/>
  <c r="S691" i="107"/>
  <c r="T691" i="107"/>
  <c r="U691" i="107"/>
  <c r="V691" i="107"/>
  <c r="W691" i="107"/>
  <c r="X691" i="107"/>
  <c r="Y691" i="107"/>
  <c r="Z691" i="107"/>
  <c r="AA691" i="107"/>
  <c r="AB691" i="107"/>
  <c r="AC691" i="107"/>
  <c r="AD691" i="107"/>
  <c r="C692" i="107"/>
  <c r="D692" i="107"/>
  <c r="E692" i="107"/>
  <c r="F692" i="107"/>
  <c r="G692" i="107"/>
  <c r="H692" i="107"/>
  <c r="I692" i="107"/>
  <c r="J692" i="107"/>
  <c r="K692" i="107"/>
  <c r="L692" i="107"/>
  <c r="M692" i="107"/>
  <c r="N692" i="107"/>
  <c r="O692" i="107"/>
  <c r="P692" i="107"/>
  <c r="Q692" i="107"/>
  <c r="R692" i="107"/>
  <c r="S692" i="107"/>
  <c r="T692" i="107"/>
  <c r="U692" i="107"/>
  <c r="V692" i="107"/>
  <c r="W692" i="107"/>
  <c r="X692" i="107"/>
  <c r="Y692" i="107"/>
  <c r="Z692" i="107"/>
  <c r="AA692" i="107"/>
  <c r="AB692" i="107"/>
  <c r="AC692" i="107"/>
  <c r="AD692" i="107"/>
  <c r="C693" i="107"/>
  <c r="D693" i="107"/>
  <c r="E693" i="107"/>
  <c r="F693" i="107"/>
  <c r="G693" i="107"/>
  <c r="H693" i="107"/>
  <c r="I693" i="107"/>
  <c r="J693" i="107"/>
  <c r="K693" i="107"/>
  <c r="L693" i="107"/>
  <c r="M693" i="107"/>
  <c r="N693" i="107"/>
  <c r="O693" i="107"/>
  <c r="P693" i="107"/>
  <c r="Q693" i="107"/>
  <c r="R693" i="107"/>
  <c r="S693" i="107"/>
  <c r="T693" i="107"/>
  <c r="U693" i="107"/>
  <c r="V693" i="107"/>
  <c r="W693" i="107"/>
  <c r="X693" i="107"/>
  <c r="Y693" i="107"/>
  <c r="Z693" i="107"/>
  <c r="AA693" i="107"/>
  <c r="AB693" i="107"/>
  <c r="AC693" i="107"/>
  <c r="AD693" i="107"/>
  <c r="C694" i="107"/>
  <c r="D694" i="107"/>
  <c r="E694" i="107"/>
  <c r="F694" i="107"/>
  <c r="G694" i="107"/>
  <c r="H694" i="107"/>
  <c r="I694" i="107"/>
  <c r="J694" i="107"/>
  <c r="K694" i="107"/>
  <c r="L694" i="107"/>
  <c r="M694" i="107"/>
  <c r="N694" i="107"/>
  <c r="O694" i="107"/>
  <c r="P694" i="107"/>
  <c r="Q694" i="107"/>
  <c r="R694" i="107"/>
  <c r="S694" i="107"/>
  <c r="T694" i="107"/>
  <c r="U694" i="107"/>
  <c r="V694" i="107"/>
  <c r="W694" i="107"/>
  <c r="X694" i="107"/>
  <c r="Y694" i="107"/>
  <c r="Z694" i="107"/>
  <c r="AA694" i="107"/>
  <c r="AB694" i="107"/>
  <c r="AC694" i="107"/>
  <c r="AD694" i="107"/>
  <c r="C695" i="107"/>
  <c r="D695" i="107"/>
  <c r="E695" i="107"/>
  <c r="F695" i="107"/>
  <c r="G695" i="107"/>
  <c r="H695" i="107"/>
  <c r="I695" i="107"/>
  <c r="J695" i="107"/>
  <c r="K695" i="107"/>
  <c r="L695" i="107"/>
  <c r="M695" i="107"/>
  <c r="N695" i="107"/>
  <c r="O695" i="107"/>
  <c r="P695" i="107"/>
  <c r="Q695" i="107"/>
  <c r="R695" i="107"/>
  <c r="S695" i="107"/>
  <c r="T695" i="107"/>
  <c r="U695" i="107"/>
  <c r="V695" i="107"/>
  <c r="W695" i="107"/>
  <c r="X695" i="107"/>
  <c r="Y695" i="107"/>
  <c r="Z695" i="107"/>
  <c r="AA695" i="107"/>
  <c r="AB695" i="107"/>
  <c r="AC695" i="107"/>
  <c r="AD695" i="107"/>
  <c r="C696" i="107"/>
  <c r="D696" i="107"/>
  <c r="E696" i="107"/>
  <c r="F696" i="107"/>
  <c r="G696" i="107"/>
  <c r="H696" i="107"/>
  <c r="I696" i="107"/>
  <c r="J696" i="107"/>
  <c r="K696" i="107"/>
  <c r="L696" i="107"/>
  <c r="M696" i="107"/>
  <c r="N696" i="107"/>
  <c r="O696" i="107"/>
  <c r="P696" i="107"/>
  <c r="Q696" i="107"/>
  <c r="R696" i="107"/>
  <c r="S696" i="107"/>
  <c r="T696" i="107"/>
  <c r="U696" i="107"/>
  <c r="V696" i="107"/>
  <c r="W696" i="107"/>
  <c r="X696" i="107"/>
  <c r="Y696" i="107"/>
  <c r="Z696" i="107"/>
  <c r="AA696" i="107"/>
  <c r="AB696" i="107"/>
  <c r="AC696" i="107"/>
  <c r="AD696" i="107"/>
  <c r="C697" i="107"/>
  <c r="D697" i="107"/>
  <c r="E697" i="107"/>
  <c r="F697" i="107"/>
  <c r="G697" i="107"/>
  <c r="H697" i="107"/>
  <c r="I697" i="107"/>
  <c r="J697" i="107"/>
  <c r="K697" i="107"/>
  <c r="L697" i="107"/>
  <c r="M697" i="107"/>
  <c r="N697" i="107"/>
  <c r="O697" i="107"/>
  <c r="P697" i="107"/>
  <c r="Q697" i="107"/>
  <c r="R697" i="107"/>
  <c r="S697" i="107"/>
  <c r="T697" i="107"/>
  <c r="U697" i="107"/>
  <c r="V697" i="107"/>
  <c r="W697" i="107"/>
  <c r="X697" i="107"/>
  <c r="Y697" i="107"/>
  <c r="Z697" i="107"/>
  <c r="AA697" i="107"/>
  <c r="AB697" i="107"/>
  <c r="AC697" i="107"/>
  <c r="AD697" i="107"/>
  <c r="C698" i="107"/>
  <c r="D698" i="107"/>
  <c r="E698" i="107"/>
  <c r="F698" i="107"/>
  <c r="G698" i="107"/>
  <c r="H698" i="107"/>
  <c r="I698" i="107"/>
  <c r="J698" i="107"/>
  <c r="K698" i="107"/>
  <c r="L698" i="107"/>
  <c r="M698" i="107"/>
  <c r="N698" i="107"/>
  <c r="O698" i="107"/>
  <c r="P698" i="107"/>
  <c r="Q698" i="107"/>
  <c r="R698" i="107"/>
  <c r="S698" i="107"/>
  <c r="T698" i="107"/>
  <c r="U698" i="107"/>
  <c r="V698" i="107"/>
  <c r="W698" i="107"/>
  <c r="X698" i="107"/>
  <c r="Y698" i="107"/>
  <c r="Z698" i="107"/>
  <c r="AA698" i="107"/>
  <c r="AB698" i="107"/>
  <c r="AC698" i="107"/>
  <c r="AD698" i="107"/>
  <c r="C699" i="107"/>
  <c r="D699" i="107"/>
  <c r="E699" i="107"/>
  <c r="F699" i="107"/>
  <c r="G699" i="107"/>
  <c r="H699" i="107"/>
  <c r="I699" i="107"/>
  <c r="J699" i="107"/>
  <c r="K699" i="107"/>
  <c r="L699" i="107"/>
  <c r="M699" i="107"/>
  <c r="N699" i="107"/>
  <c r="O699" i="107"/>
  <c r="P699" i="107"/>
  <c r="Q699" i="107"/>
  <c r="R699" i="107"/>
  <c r="S699" i="107"/>
  <c r="T699" i="107"/>
  <c r="U699" i="107"/>
  <c r="V699" i="107"/>
  <c r="W699" i="107"/>
  <c r="X699" i="107"/>
  <c r="Y699" i="107"/>
  <c r="Z699" i="107"/>
  <c r="AA699" i="107"/>
  <c r="AB699" i="107"/>
  <c r="AC699" i="107"/>
  <c r="AD699" i="107"/>
  <c r="C700" i="107"/>
  <c r="D700" i="107"/>
  <c r="E700" i="107"/>
  <c r="F700" i="107"/>
  <c r="G700" i="107"/>
  <c r="H700" i="107"/>
  <c r="I700" i="107"/>
  <c r="J700" i="107"/>
  <c r="K700" i="107"/>
  <c r="L700" i="107"/>
  <c r="M700" i="107"/>
  <c r="N700" i="107"/>
  <c r="O700" i="107"/>
  <c r="P700" i="107"/>
  <c r="Q700" i="107"/>
  <c r="R700" i="107"/>
  <c r="S700" i="107"/>
  <c r="T700" i="107"/>
  <c r="U700" i="107"/>
  <c r="V700" i="107"/>
  <c r="W700" i="107"/>
  <c r="X700" i="107"/>
  <c r="Y700" i="107"/>
  <c r="Z700" i="107"/>
  <c r="AA700" i="107"/>
  <c r="AB700" i="107"/>
  <c r="AC700" i="107"/>
  <c r="AD700" i="107"/>
  <c r="C701" i="107"/>
  <c r="D701" i="107"/>
  <c r="E701" i="107"/>
  <c r="F701" i="107"/>
  <c r="G701" i="107"/>
  <c r="H701" i="107"/>
  <c r="I701" i="107"/>
  <c r="J701" i="107"/>
  <c r="K701" i="107"/>
  <c r="L701" i="107"/>
  <c r="M701" i="107"/>
  <c r="N701" i="107"/>
  <c r="O701" i="107"/>
  <c r="P701" i="107"/>
  <c r="Q701" i="107"/>
  <c r="R701" i="107"/>
  <c r="S701" i="107"/>
  <c r="T701" i="107"/>
  <c r="U701" i="107"/>
  <c r="V701" i="107"/>
  <c r="W701" i="107"/>
  <c r="X701" i="107"/>
  <c r="Y701" i="107"/>
  <c r="Z701" i="107"/>
  <c r="AA701" i="107"/>
  <c r="AB701" i="107"/>
  <c r="AC701" i="107"/>
  <c r="AD701" i="107"/>
  <c r="C702" i="107"/>
  <c r="D702" i="107"/>
  <c r="E702" i="107"/>
  <c r="F702" i="107"/>
  <c r="G702" i="107"/>
  <c r="H702" i="107"/>
  <c r="I702" i="107"/>
  <c r="J702" i="107"/>
  <c r="K702" i="107"/>
  <c r="L702" i="107"/>
  <c r="M702" i="107"/>
  <c r="N702" i="107"/>
  <c r="O702" i="107"/>
  <c r="P702" i="107"/>
  <c r="Q702" i="107"/>
  <c r="R702" i="107"/>
  <c r="S702" i="107"/>
  <c r="T702" i="107"/>
  <c r="U702" i="107"/>
  <c r="V702" i="107"/>
  <c r="W702" i="107"/>
  <c r="X702" i="107"/>
  <c r="Y702" i="107"/>
  <c r="Z702" i="107"/>
  <c r="AA702" i="107"/>
  <c r="AB702" i="107"/>
  <c r="AC702" i="107"/>
  <c r="AD702" i="107"/>
  <c r="C703" i="107"/>
  <c r="D703" i="107"/>
  <c r="E703" i="107"/>
  <c r="F703" i="107"/>
  <c r="G703" i="107"/>
  <c r="H703" i="107"/>
  <c r="I703" i="107"/>
  <c r="J703" i="107"/>
  <c r="K703" i="107"/>
  <c r="L703" i="107"/>
  <c r="M703" i="107"/>
  <c r="N703" i="107"/>
  <c r="O703" i="107"/>
  <c r="P703" i="107"/>
  <c r="Q703" i="107"/>
  <c r="R703" i="107"/>
  <c r="S703" i="107"/>
  <c r="T703" i="107"/>
  <c r="U703" i="107"/>
  <c r="V703" i="107"/>
  <c r="W703" i="107"/>
  <c r="X703" i="107"/>
  <c r="Y703" i="107"/>
  <c r="Z703" i="107"/>
  <c r="AA703" i="107"/>
  <c r="AB703" i="107"/>
  <c r="AC703" i="107"/>
  <c r="AD703" i="107"/>
  <c r="C704" i="107"/>
  <c r="D704" i="107"/>
  <c r="E704" i="107"/>
  <c r="F704" i="107"/>
  <c r="G704" i="107"/>
  <c r="H704" i="107"/>
  <c r="I704" i="107"/>
  <c r="J704" i="107"/>
  <c r="K704" i="107"/>
  <c r="L704" i="107"/>
  <c r="M704" i="107"/>
  <c r="N704" i="107"/>
  <c r="O704" i="107"/>
  <c r="P704" i="107"/>
  <c r="Q704" i="107"/>
  <c r="R704" i="107"/>
  <c r="S704" i="107"/>
  <c r="T704" i="107"/>
  <c r="U704" i="107"/>
  <c r="V704" i="107"/>
  <c r="W704" i="107"/>
  <c r="X704" i="107"/>
  <c r="Y704" i="107"/>
  <c r="Z704" i="107"/>
  <c r="AA704" i="107"/>
  <c r="AB704" i="107"/>
  <c r="AC704" i="107"/>
  <c r="AD704" i="107"/>
  <c r="C705" i="107"/>
  <c r="D705" i="107"/>
  <c r="E705" i="107"/>
  <c r="F705" i="107"/>
  <c r="G705" i="107"/>
  <c r="H705" i="107"/>
  <c r="I705" i="107"/>
  <c r="J705" i="107"/>
  <c r="K705" i="107"/>
  <c r="L705" i="107"/>
  <c r="M705" i="107"/>
  <c r="N705" i="107"/>
  <c r="O705" i="107"/>
  <c r="P705" i="107"/>
  <c r="Q705" i="107"/>
  <c r="R705" i="107"/>
  <c r="S705" i="107"/>
  <c r="T705" i="107"/>
  <c r="U705" i="107"/>
  <c r="V705" i="107"/>
  <c r="W705" i="107"/>
  <c r="X705" i="107"/>
  <c r="Y705" i="107"/>
  <c r="Z705" i="107"/>
  <c r="AA705" i="107"/>
  <c r="AB705" i="107"/>
  <c r="AC705" i="107"/>
  <c r="AD705" i="107"/>
  <c r="C706" i="107"/>
  <c r="D706" i="107"/>
  <c r="E706" i="107"/>
  <c r="F706" i="107"/>
  <c r="G706" i="107"/>
  <c r="H706" i="107"/>
  <c r="I706" i="107"/>
  <c r="J706" i="107"/>
  <c r="K706" i="107"/>
  <c r="L706" i="107"/>
  <c r="M706" i="107"/>
  <c r="N706" i="107"/>
  <c r="O706" i="107"/>
  <c r="P706" i="107"/>
  <c r="Q706" i="107"/>
  <c r="R706" i="107"/>
  <c r="S706" i="107"/>
  <c r="T706" i="107"/>
  <c r="U706" i="107"/>
  <c r="V706" i="107"/>
  <c r="W706" i="107"/>
  <c r="X706" i="107"/>
  <c r="Y706" i="107"/>
  <c r="Z706" i="107"/>
  <c r="AA706" i="107"/>
  <c r="AB706" i="107"/>
  <c r="AC706" i="107"/>
  <c r="AD706" i="107"/>
  <c r="C707" i="107"/>
  <c r="D707" i="107"/>
  <c r="E707" i="107"/>
  <c r="F707" i="107"/>
  <c r="G707" i="107"/>
  <c r="H707" i="107"/>
  <c r="I707" i="107"/>
  <c r="J707" i="107"/>
  <c r="K707" i="107"/>
  <c r="L707" i="107"/>
  <c r="M707" i="107"/>
  <c r="N707" i="107"/>
  <c r="O707" i="107"/>
  <c r="P707" i="107"/>
  <c r="Q707" i="107"/>
  <c r="R707" i="107"/>
  <c r="S707" i="107"/>
  <c r="T707" i="107"/>
  <c r="U707" i="107"/>
  <c r="V707" i="107"/>
  <c r="W707" i="107"/>
  <c r="X707" i="107"/>
  <c r="Y707" i="107"/>
  <c r="Z707" i="107"/>
  <c r="AA707" i="107"/>
  <c r="AB707" i="107"/>
  <c r="AC707" i="107"/>
  <c r="AD707" i="107"/>
  <c r="C708" i="107"/>
  <c r="D708" i="107"/>
  <c r="E708" i="107"/>
  <c r="F708" i="107"/>
  <c r="G708" i="107"/>
  <c r="H708" i="107"/>
  <c r="I708" i="107"/>
  <c r="J708" i="107"/>
  <c r="K708" i="107"/>
  <c r="L708" i="107"/>
  <c r="M708" i="107"/>
  <c r="N708" i="107"/>
  <c r="O708" i="107"/>
  <c r="P708" i="107"/>
  <c r="Q708" i="107"/>
  <c r="R708" i="107"/>
  <c r="S708" i="107"/>
  <c r="T708" i="107"/>
  <c r="U708" i="107"/>
  <c r="V708" i="107"/>
  <c r="W708" i="107"/>
  <c r="X708" i="107"/>
  <c r="Y708" i="107"/>
  <c r="Z708" i="107"/>
  <c r="AA708" i="107"/>
  <c r="AB708" i="107"/>
  <c r="AC708" i="107"/>
  <c r="AD708" i="107"/>
  <c r="C709" i="107"/>
  <c r="D709" i="107"/>
  <c r="E709" i="107"/>
  <c r="F709" i="107"/>
  <c r="G709" i="107"/>
  <c r="H709" i="107"/>
  <c r="I709" i="107"/>
  <c r="J709" i="107"/>
  <c r="K709" i="107"/>
  <c r="L709" i="107"/>
  <c r="M709" i="107"/>
  <c r="N709" i="107"/>
  <c r="O709" i="107"/>
  <c r="P709" i="107"/>
  <c r="Q709" i="107"/>
  <c r="R709" i="107"/>
  <c r="S709" i="107"/>
  <c r="T709" i="107"/>
  <c r="U709" i="107"/>
  <c r="V709" i="107"/>
  <c r="W709" i="107"/>
  <c r="X709" i="107"/>
  <c r="Y709" i="107"/>
  <c r="Z709" i="107"/>
  <c r="AA709" i="107"/>
  <c r="AB709" i="107"/>
  <c r="AC709" i="107"/>
  <c r="AD709" i="107"/>
  <c r="C710" i="107"/>
  <c r="D710" i="107"/>
  <c r="E710" i="107"/>
  <c r="F710" i="107"/>
  <c r="G710" i="107"/>
  <c r="H710" i="107"/>
  <c r="I710" i="107"/>
  <c r="J710" i="107"/>
  <c r="K710" i="107"/>
  <c r="L710" i="107"/>
  <c r="M710" i="107"/>
  <c r="N710" i="107"/>
  <c r="O710" i="107"/>
  <c r="P710" i="107"/>
  <c r="Q710" i="107"/>
  <c r="R710" i="107"/>
  <c r="S710" i="107"/>
  <c r="T710" i="107"/>
  <c r="U710" i="107"/>
  <c r="V710" i="107"/>
  <c r="W710" i="107"/>
  <c r="X710" i="107"/>
  <c r="Y710" i="107"/>
  <c r="Z710" i="107"/>
  <c r="AA710" i="107"/>
  <c r="AB710" i="107"/>
  <c r="AC710" i="107"/>
  <c r="AD710" i="107"/>
  <c r="C711" i="107"/>
  <c r="D711" i="107"/>
  <c r="E711" i="107"/>
  <c r="F711" i="107"/>
  <c r="G711" i="107"/>
  <c r="H711" i="107"/>
  <c r="I711" i="107"/>
  <c r="J711" i="107"/>
  <c r="K711" i="107"/>
  <c r="L711" i="107"/>
  <c r="M711" i="107"/>
  <c r="N711" i="107"/>
  <c r="O711" i="107"/>
  <c r="P711" i="107"/>
  <c r="Q711" i="107"/>
  <c r="R711" i="107"/>
  <c r="S711" i="107"/>
  <c r="T711" i="107"/>
  <c r="U711" i="107"/>
  <c r="V711" i="107"/>
  <c r="W711" i="107"/>
  <c r="X711" i="107"/>
  <c r="Y711" i="107"/>
  <c r="Z711" i="107"/>
  <c r="AA711" i="107"/>
  <c r="AB711" i="107"/>
  <c r="AC711" i="107"/>
  <c r="AD711" i="107"/>
  <c r="C712" i="107"/>
  <c r="D712" i="107"/>
  <c r="E712" i="107"/>
  <c r="F712" i="107"/>
  <c r="G712" i="107"/>
  <c r="H712" i="107"/>
  <c r="I712" i="107"/>
  <c r="J712" i="107"/>
  <c r="K712" i="107"/>
  <c r="L712" i="107"/>
  <c r="M712" i="107"/>
  <c r="N712" i="107"/>
  <c r="O712" i="107"/>
  <c r="P712" i="107"/>
  <c r="Q712" i="107"/>
  <c r="R712" i="107"/>
  <c r="S712" i="107"/>
  <c r="T712" i="107"/>
  <c r="U712" i="107"/>
  <c r="V712" i="107"/>
  <c r="W712" i="107"/>
  <c r="X712" i="107"/>
  <c r="Y712" i="107"/>
  <c r="Z712" i="107"/>
  <c r="AA712" i="107"/>
  <c r="AB712" i="107"/>
  <c r="AC712" i="107"/>
  <c r="AD712" i="107"/>
  <c r="C713" i="107"/>
  <c r="D713" i="107"/>
  <c r="E713" i="107"/>
  <c r="F713" i="107"/>
  <c r="G713" i="107"/>
  <c r="H713" i="107"/>
  <c r="I713" i="107"/>
  <c r="J713" i="107"/>
  <c r="K713" i="107"/>
  <c r="L713" i="107"/>
  <c r="M713" i="107"/>
  <c r="N713" i="107"/>
  <c r="O713" i="107"/>
  <c r="P713" i="107"/>
  <c r="Q713" i="107"/>
  <c r="R713" i="107"/>
  <c r="S713" i="107"/>
  <c r="T713" i="107"/>
  <c r="U713" i="107"/>
  <c r="V713" i="107"/>
  <c r="W713" i="107"/>
  <c r="X713" i="107"/>
  <c r="Y713" i="107"/>
  <c r="Z713" i="107"/>
  <c r="AA713" i="107"/>
  <c r="AB713" i="107"/>
  <c r="AC713" i="107"/>
  <c r="AD713" i="107"/>
  <c r="C714" i="107"/>
  <c r="D714" i="107"/>
  <c r="E714" i="107"/>
  <c r="F714" i="107"/>
  <c r="G714" i="107"/>
  <c r="H714" i="107"/>
  <c r="I714" i="107"/>
  <c r="J714" i="107"/>
  <c r="K714" i="107"/>
  <c r="L714" i="107"/>
  <c r="M714" i="107"/>
  <c r="N714" i="107"/>
  <c r="O714" i="107"/>
  <c r="P714" i="107"/>
  <c r="Q714" i="107"/>
  <c r="R714" i="107"/>
  <c r="S714" i="107"/>
  <c r="T714" i="107"/>
  <c r="U714" i="107"/>
  <c r="V714" i="107"/>
  <c r="W714" i="107"/>
  <c r="X714" i="107"/>
  <c r="Y714" i="107"/>
  <c r="Z714" i="107"/>
  <c r="AA714" i="107"/>
  <c r="AB714" i="107"/>
  <c r="AC714" i="107"/>
  <c r="AD714" i="107"/>
  <c r="C715" i="107"/>
  <c r="D715" i="107"/>
  <c r="E715" i="107"/>
  <c r="F715" i="107"/>
  <c r="G715" i="107"/>
  <c r="H715" i="107"/>
  <c r="I715" i="107"/>
  <c r="J715" i="107"/>
  <c r="K715" i="107"/>
  <c r="L715" i="107"/>
  <c r="M715" i="107"/>
  <c r="N715" i="107"/>
  <c r="O715" i="107"/>
  <c r="P715" i="107"/>
  <c r="Q715" i="107"/>
  <c r="R715" i="107"/>
  <c r="S715" i="107"/>
  <c r="T715" i="107"/>
  <c r="U715" i="107"/>
  <c r="V715" i="107"/>
  <c r="W715" i="107"/>
  <c r="X715" i="107"/>
  <c r="Y715" i="107"/>
  <c r="Z715" i="107"/>
  <c r="AA715" i="107"/>
  <c r="AB715" i="107"/>
  <c r="AC715" i="107"/>
  <c r="AD715" i="107"/>
  <c r="C716" i="107"/>
  <c r="D716" i="107"/>
  <c r="E716" i="107"/>
  <c r="F716" i="107"/>
  <c r="G716" i="107"/>
  <c r="H716" i="107"/>
  <c r="I716" i="107"/>
  <c r="J716" i="107"/>
  <c r="K716" i="107"/>
  <c r="L716" i="107"/>
  <c r="M716" i="107"/>
  <c r="N716" i="107"/>
  <c r="O716" i="107"/>
  <c r="P716" i="107"/>
  <c r="Q716" i="107"/>
  <c r="R716" i="107"/>
  <c r="S716" i="107"/>
  <c r="T716" i="107"/>
  <c r="U716" i="107"/>
  <c r="V716" i="107"/>
  <c r="W716" i="107"/>
  <c r="X716" i="107"/>
  <c r="Y716" i="107"/>
  <c r="Z716" i="107"/>
  <c r="AA716" i="107"/>
  <c r="AB716" i="107"/>
  <c r="AC716" i="107"/>
  <c r="AD716" i="107"/>
  <c r="C717" i="107"/>
  <c r="D717" i="107"/>
  <c r="E717" i="107"/>
  <c r="F717" i="107"/>
  <c r="G717" i="107"/>
  <c r="H717" i="107"/>
  <c r="I717" i="107"/>
  <c r="J717" i="107"/>
  <c r="K717" i="107"/>
  <c r="L717" i="107"/>
  <c r="M717" i="107"/>
  <c r="N717" i="107"/>
  <c r="O717" i="107"/>
  <c r="P717" i="107"/>
  <c r="Q717" i="107"/>
  <c r="R717" i="107"/>
  <c r="S717" i="107"/>
  <c r="T717" i="107"/>
  <c r="U717" i="107"/>
  <c r="V717" i="107"/>
  <c r="W717" i="107"/>
  <c r="X717" i="107"/>
  <c r="Y717" i="107"/>
  <c r="Z717" i="107"/>
  <c r="AA717" i="107"/>
  <c r="AB717" i="107"/>
  <c r="AC717" i="107"/>
  <c r="AD717" i="107"/>
  <c r="C718" i="107"/>
  <c r="D718" i="107"/>
  <c r="E718" i="107"/>
  <c r="F718" i="107"/>
  <c r="G718" i="107"/>
  <c r="H718" i="107"/>
  <c r="I718" i="107"/>
  <c r="J718" i="107"/>
  <c r="K718" i="107"/>
  <c r="L718" i="107"/>
  <c r="M718" i="107"/>
  <c r="N718" i="107"/>
  <c r="O718" i="107"/>
  <c r="P718" i="107"/>
  <c r="Q718" i="107"/>
  <c r="R718" i="107"/>
  <c r="S718" i="107"/>
  <c r="T718" i="107"/>
  <c r="U718" i="107"/>
  <c r="V718" i="107"/>
  <c r="W718" i="107"/>
  <c r="X718" i="107"/>
  <c r="Y718" i="107"/>
  <c r="Z718" i="107"/>
  <c r="AA718" i="107"/>
  <c r="AB718" i="107"/>
  <c r="AC718" i="107"/>
  <c r="AD718" i="107"/>
  <c r="C719" i="107"/>
  <c r="D719" i="107"/>
  <c r="E719" i="107"/>
  <c r="F719" i="107"/>
  <c r="G719" i="107"/>
  <c r="H719" i="107"/>
  <c r="I719" i="107"/>
  <c r="J719" i="107"/>
  <c r="K719" i="107"/>
  <c r="L719" i="107"/>
  <c r="M719" i="107"/>
  <c r="N719" i="107"/>
  <c r="O719" i="107"/>
  <c r="P719" i="107"/>
  <c r="Q719" i="107"/>
  <c r="R719" i="107"/>
  <c r="S719" i="107"/>
  <c r="T719" i="107"/>
  <c r="U719" i="107"/>
  <c r="V719" i="107"/>
  <c r="W719" i="107"/>
  <c r="X719" i="107"/>
  <c r="Y719" i="107"/>
  <c r="Z719" i="107"/>
  <c r="AA719" i="107"/>
  <c r="AB719" i="107"/>
  <c r="AC719" i="107"/>
  <c r="AD719" i="107"/>
  <c r="C720" i="107"/>
  <c r="D720" i="107"/>
  <c r="E720" i="107"/>
  <c r="F720" i="107"/>
  <c r="G720" i="107"/>
  <c r="H720" i="107"/>
  <c r="I720" i="107"/>
  <c r="J720" i="107"/>
  <c r="K720" i="107"/>
  <c r="L720" i="107"/>
  <c r="M720" i="107"/>
  <c r="N720" i="107"/>
  <c r="O720" i="107"/>
  <c r="P720" i="107"/>
  <c r="Q720" i="107"/>
  <c r="R720" i="107"/>
  <c r="S720" i="107"/>
  <c r="T720" i="107"/>
  <c r="U720" i="107"/>
  <c r="V720" i="107"/>
  <c r="W720" i="107"/>
  <c r="X720" i="107"/>
  <c r="Y720" i="107"/>
  <c r="Z720" i="107"/>
  <c r="AA720" i="107"/>
  <c r="AB720" i="107"/>
  <c r="AC720" i="107"/>
  <c r="AD720" i="107"/>
  <c r="C721" i="107"/>
  <c r="D721" i="107"/>
  <c r="E721" i="107"/>
  <c r="F721" i="107"/>
  <c r="G721" i="107"/>
  <c r="H721" i="107"/>
  <c r="I721" i="107"/>
  <c r="J721" i="107"/>
  <c r="K721" i="107"/>
  <c r="L721" i="107"/>
  <c r="M721" i="107"/>
  <c r="N721" i="107"/>
  <c r="O721" i="107"/>
  <c r="P721" i="107"/>
  <c r="Q721" i="107"/>
  <c r="R721" i="107"/>
  <c r="S721" i="107"/>
  <c r="T721" i="107"/>
  <c r="U721" i="107"/>
  <c r="V721" i="107"/>
  <c r="W721" i="107"/>
  <c r="X721" i="107"/>
  <c r="Y721" i="107"/>
  <c r="Z721" i="107"/>
  <c r="AA721" i="107"/>
  <c r="AB721" i="107"/>
  <c r="AC721" i="107"/>
  <c r="AD721" i="107"/>
  <c r="C722" i="107"/>
  <c r="D722" i="107"/>
  <c r="E722" i="107"/>
  <c r="F722" i="107"/>
  <c r="G722" i="107"/>
  <c r="H722" i="107"/>
  <c r="I722" i="107"/>
  <c r="J722" i="107"/>
  <c r="K722" i="107"/>
  <c r="L722" i="107"/>
  <c r="M722" i="107"/>
  <c r="N722" i="107"/>
  <c r="O722" i="107"/>
  <c r="P722" i="107"/>
  <c r="Q722" i="107"/>
  <c r="R722" i="107"/>
  <c r="S722" i="107"/>
  <c r="T722" i="107"/>
  <c r="U722" i="107"/>
  <c r="V722" i="107"/>
  <c r="W722" i="107"/>
  <c r="X722" i="107"/>
  <c r="Y722" i="107"/>
  <c r="Z722" i="107"/>
  <c r="AA722" i="107"/>
  <c r="AB722" i="107"/>
  <c r="AC722" i="107"/>
  <c r="AD722" i="107"/>
  <c r="C723" i="107"/>
  <c r="D723" i="107"/>
  <c r="E723" i="107"/>
  <c r="F723" i="107"/>
  <c r="G723" i="107"/>
  <c r="H723" i="107"/>
  <c r="I723" i="107"/>
  <c r="J723" i="107"/>
  <c r="K723" i="107"/>
  <c r="L723" i="107"/>
  <c r="M723" i="107"/>
  <c r="N723" i="107"/>
  <c r="O723" i="107"/>
  <c r="P723" i="107"/>
  <c r="Q723" i="107"/>
  <c r="R723" i="107"/>
  <c r="S723" i="107"/>
  <c r="T723" i="107"/>
  <c r="U723" i="107"/>
  <c r="V723" i="107"/>
  <c r="W723" i="107"/>
  <c r="X723" i="107"/>
  <c r="Y723" i="107"/>
  <c r="Z723" i="107"/>
  <c r="AA723" i="107"/>
  <c r="AB723" i="107"/>
  <c r="AC723" i="107"/>
  <c r="AD723" i="107"/>
  <c r="C724" i="107"/>
  <c r="D724" i="107"/>
  <c r="E724" i="107"/>
  <c r="F724" i="107"/>
  <c r="G724" i="107"/>
  <c r="H724" i="107"/>
  <c r="I724" i="107"/>
  <c r="J724" i="107"/>
  <c r="K724" i="107"/>
  <c r="L724" i="107"/>
  <c r="M724" i="107"/>
  <c r="N724" i="107"/>
  <c r="O724" i="107"/>
  <c r="P724" i="107"/>
  <c r="Q724" i="107"/>
  <c r="R724" i="107"/>
  <c r="S724" i="107"/>
  <c r="T724" i="107"/>
  <c r="U724" i="107"/>
  <c r="V724" i="107"/>
  <c r="W724" i="107"/>
  <c r="X724" i="107"/>
  <c r="Y724" i="107"/>
  <c r="Z724" i="107"/>
  <c r="AA724" i="107"/>
  <c r="AB724" i="107"/>
  <c r="AC724" i="107"/>
  <c r="AD724" i="107"/>
  <c r="C725" i="107"/>
  <c r="D725" i="107"/>
  <c r="E725" i="107"/>
  <c r="F725" i="107"/>
  <c r="G725" i="107"/>
  <c r="H725" i="107"/>
  <c r="I725" i="107"/>
  <c r="J725" i="107"/>
  <c r="K725" i="107"/>
  <c r="L725" i="107"/>
  <c r="M725" i="107"/>
  <c r="N725" i="107"/>
  <c r="O725" i="107"/>
  <c r="P725" i="107"/>
  <c r="Q725" i="107"/>
  <c r="R725" i="107"/>
  <c r="S725" i="107"/>
  <c r="T725" i="107"/>
  <c r="U725" i="107"/>
  <c r="V725" i="107"/>
  <c r="W725" i="107"/>
  <c r="X725" i="107"/>
  <c r="Y725" i="107"/>
  <c r="Z725" i="107"/>
  <c r="AA725" i="107"/>
  <c r="AB725" i="107"/>
  <c r="AC725" i="107"/>
  <c r="AD725" i="107"/>
  <c r="C726" i="107"/>
  <c r="D726" i="107"/>
  <c r="E726" i="107"/>
  <c r="F726" i="107"/>
  <c r="G726" i="107"/>
  <c r="H726" i="107"/>
  <c r="I726" i="107"/>
  <c r="J726" i="107"/>
  <c r="K726" i="107"/>
  <c r="L726" i="107"/>
  <c r="M726" i="107"/>
  <c r="N726" i="107"/>
  <c r="O726" i="107"/>
  <c r="P726" i="107"/>
  <c r="Q726" i="107"/>
  <c r="R726" i="107"/>
  <c r="S726" i="107"/>
  <c r="T726" i="107"/>
  <c r="U726" i="107"/>
  <c r="V726" i="107"/>
  <c r="W726" i="107"/>
  <c r="X726" i="107"/>
  <c r="Y726" i="107"/>
  <c r="Z726" i="107"/>
  <c r="AA726" i="107"/>
  <c r="AB726" i="107"/>
  <c r="AC726" i="107"/>
  <c r="AD726" i="107"/>
  <c r="C727" i="107"/>
  <c r="D727" i="107"/>
  <c r="E727" i="107"/>
  <c r="F727" i="107"/>
  <c r="G727" i="107"/>
  <c r="H727" i="107"/>
  <c r="I727" i="107"/>
  <c r="J727" i="107"/>
  <c r="K727" i="107"/>
  <c r="L727" i="107"/>
  <c r="M727" i="107"/>
  <c r="N727" i="107"/>
  <c r="O727" i="107"/>
  <c r="P727" i="107"/>
  <c r="Q727" i="107"/>
  <c r="R727" i="107"/>
  <c r="S727" i="107"/>
  <c r="T727" i="107"/>
  <c r="U727" i="107"/>
  <c r="V727" i="107"/>
  <c r="W727" i="107"/>
  <c r="X727" i="107"/>
  <c r="Y727" i="107"/>
  <c r="Z727" i="107"/>
  <c r="AA727" i="107"/>
  <c r="AB727" i="107"/>
  <c r="AC727" i="107"/>
  <c r="AD727" i="107"/>
  <c r="C728" i="107"/>
  <c r="D728" i="107"/>
  <c r="E728" i="107"/>
  <c r="F728" i="107"/>
  <c r="G728" i="107"/>
  <c r="H728" i="107"/>
  <c r="I728" i="107"/>
  <c r="J728" i="107"/>
  <c r="K728" i="107"/>
  <c r="L728" i="107"/>
  <c r="M728" i="107"/>
  <c r="N728" i="107"/>
  <c r="O728" i="107"/>
  <c r="P728" i="107"/>
  <c r="Q728" i="107"/>
  <c r="R728" i="107"/>
  <c r="S728" i="107"/>
  <c r="T728" i="107"/>
  <c r="U728" i="107"/>
  <c r="V728" i="107"/>
  <c r="W728" i="107"/>
  <c r="X728" i="107"/>
  <c r="Y728" i="107"/>
  <c r="Z728" i="107"/>
  <c r="AA728" i="107"/>
  <c r="AB728" i="107"/>
  <c r="AC728" i="107"/>
  <c r="AD728" i="107"/>
  <c r="C729" i="107"/>
  <c r="D729" i="107"/>
  <c r="E729" i="107"/>
  <c r="F729" i="107"/>
  <c r="G729" i="107"/>
  <c r="H729" i="107"/>
  <c r="I729" i="107"/>
  <c r="J729" i="107"/>
  <c r="K729" i="107"/>
  <c r="L729" i="107"/>
  <c r="M729" i="107"/>
  <c r="N729" i="107"/>
  <c r="O729" i="107"/>
  <c r="P729" i="107"/>
  <c r="Q729" i="107"/>
  <c r="R729" i="107"/>
  <c r="S729" i="107"/>
  <c r="T729" i="107"/>
  <c r="U729" i="107"/>
  <c r="V729" i="107"/>
  <c r="W729" i="107"/>
  <c r="X729" i="107"/>
  <c r="Y729" i="107"/>
  <c r="Z729" i="107"/>
  <c r="AA729" i="107"/>
  <c r="AB729" i="107"/>
  <c r="AC729" i="107"/>
  <c r="AD729" i="107"/>
  <c r="C730" i="107"/>
  <c r="D730" i="107"/>
  <c r="E730" i="107"/>
  <c r="F730" i="107"/>
  <c r="G730" i="107"/>
  <c r="H730" i="107"/>
  <c r="I730" i="107"/>
  <c r="J730" i="107"/>
  <c r="K730" i="107"/>
  <c r="L730" i="107"/>
  <c r="M730" i="107"/>
  <c r="N730" i="107"/>
  <c r="O730" i="107"/>
  <c r="P730" i="107"/>
  <c r="Q730" i="107"/>
  <c r="R730" i="107"/>
  <c r="S730" i="107"/>
  <c r="T730" i="107"/>
  <c r="U730" i="107"/>
  <c r="V730" i="107"/>
  <c r="W730" i="107"/>
  <c r="X730" i="107"/>
  <c r="Y730" i="107"/>
  <c r="Z730" i="107"/>
  <c r="AA730" i="107"/>
  <c r="AB730" i="107"/>
  <c r="AC730" i="107"/>
  <c r="AD730" i="107"/>
  <c r="C731" i="107"/>
  <c r="D731" i="107"/>
  <c r="E731" i="107"/>
  <c r="F731" i="107"/>
  <c r="G731" i="107"/>
  <c r="H731" i="107"/>
  <c r="I731" i="107"/>
  <c r="J731" i="107"/>
  <c r="K731" i="107"/>
  <c r="L731" i="107"/>
  <c r="M731" i="107"/>
  <c r="N731" i="107"/>
  <c r="O731" i="107"/>
  <c r="P731" i="107"/>
  <c r="Q731" i="107"/>
  <c r="R731" i="107"/>
  <c r="S731" i="107"/>
  <c r="T731" i="107"/>
  <c r="U731" i="107"/>
  <c r="V731" i="107"/>
  <c r="W731" i="107"/>
  <c r="X731" i="107"/>
  <c r="Y731" i="107"/>
  <c r="Z731" i="107"/>
  <c r="AA731" i="107"/>
  <c r="AB731" i="107"/>
  <c r="AC731" i="107"/>
  <c r="AD731" i="107"/>
  <c r="C732" i="107"/>
  <c r="D732" i="107"/>
  <c r="E732" i="107"/>
  <c r="F732" i="107"/>
  <c r="G732" i="107"/>
  <c r="H732" i="107"/>
  <c r="I732" i="107"/>
  <c r="J732" i="107"/>
  <c r="K732" i="107"/>
  <c r="L732" i="107"/>
  <c r="M732" i="107"/>
  <c r="N732" i="107"/>
  <c r="O732" i="107"/>
  <c r="P732" i="107"/>
  <c r="Q732" i="107"/>
  <c r="R732" i="107"/>
  <c r="S732" i="107"/>
  <c r="T732" i="107"/>
  <c r="U732" i="107"/>
  <c r="V732" i="107"/>
  <c r="W732" i="107"/>
  <c r="X732" i="107"/>
  <c r="Y732" i="107"/>
  <c r="Z732" i="107"/>
  <c r="AA732" i="107"/>
  <c r="AB732" i="107"/>
  <c r="AC732" i="107"/>
  <c r="AD732" i="107"/>
  <c r="C733" i="107"/>
  <c r="D733" i="107"/>
  <c r="E733" i="107"/>
  <c r="F733" i="107"/>
  <c r="G733" i="107"/>
  <c r="H733" i="107"/>
  <c r="I733" i="107"/>
  <c r="J733" i="107"/>
  <c r="K733" i="107"/>
  <c r="L733" i="107"/>
  <c r="M733" i="107"/>
  <c r="N733" i="107"/>
  <c r="O733" i="107"/>
  <c r="P733" i="107"/>
  <c r="Q733" i="107"/>
  <c r="R733" i="107"/>
  <c r="S733" i="107"/>
  <c r="T733" i="107"/>
  <c r="U733" i="107"/>
  <c r="V733" i="107"/>
  <c r="W733" i="107"/>
  <c r="X733" i="107"/>
  <c r="Y733" i="107"/>
  <c r="Z733" i="107"/>
  <c r="AA733" i="107"/>
  <c r="AB733" i="107"/>
  <c r="AC733" i="107"/>
  <c r="AD733" i="107"/>
  <c r="C734" i="107"/>
  <c r="D734" i="107"/>
  <c r="E734" i="107"/>
  <c r="F734" i="107"/>
  <c r="G734" i="107"/>
  <c r="H734" i="107"/>
  <c r="I734" i="107"/>
  <c r="J734" i="107"/>
  <c r="K734" i="107"/>
  <c r="L734" i="107"/>
  <c r="M734" i="107"/>
  <c r="N734" i="107"/>
  <c r="O734" i="107"/>
  <c r="P734" i="107"/>
  <c r="Q734" i="107"/>
  <c r="R734" i="107"/>
  <c r="S734" i="107"/>
  <c r="T734" i="107"/>
  <c r="U734" i="107"/>
  <c r="V734" i="107"/>
  <c r="W734" i="107"/>
  <c r="X734" i="107"/>
  <c r="Y734" i="107"/>
  <c r="Z734" i="107"/>
  <c r="AA734" i="107"/>
  <c r="AB734" i="107"/>
  <c r="AC734" i="107"/>
  <c r="AD734" i="107"/>
  <c r="C735" i="107"/>
  <c r="D735" i="107"/>
  <c r="E735" i="107"/>
  <c r="F735" i="107"/>
  <c r="G735" i="107"/>
  <c r="H735" i="107"/>
  <c r="I735" i="107"/>
  <c r="J735" i="107"/>
  <c r="K735" i="107"/>
  <c r="L735" i="107"/>
  <c r="M735" i="107"/>
  <c r="N735" i="107"/>
  <c r="O735" i="107"/>
  <c r="P735" i="107"/>
  <c r="Q735" i="107"/>
  <c r="R735" i="107"/>
  <c r="S735" i="107"/>
  <c r="T735" i="107"/>
  <c r="U735" i="107"/>
  <c r="V735" i="107"/>
  <c r="W735" i="107"/>
  <c r="X735" i="107"/>
  <c r="Y735" i="107"/>
  <c r="Z735" i="107"/>
  <c r="AA735" i="107"/>
  <c r="AB735" i="107"/>
  <c r="AC735" i="107"/>
  <c r="AD735" i="107"/>
  <c r="C736" i="107"/>
  <c r="D736" i="107"/>
  <c r="E736" i="107"/>
  <c r="F736" i="107"/>
  <c r="G736" i="107"/>
  <c r="H736" i="107"/>
  <c r="I736" i="107"/>
  <c r="J736" i="107"/>
  <c r="K736" i="107"/>
  <c r="L736" i="107"/>
  <c r="M736" i="107"/>
  <c r="N736" i="107"/>
  <c r="O736" i="107"/>
  <c r="P736" i="107"/>
  <c r="Q736" i="107"/>
  <c r="R736" i="107"/>
  <c r="S736" i="107"/>
  <c r="T736" i="107"/>
  <c r="U736" i="107"/>
  <c r="V736" i="107"/>
  <c r="W736" i="107"/>
  <c r="X736" i="107"/>
  <c r="Y736" i="107"/>
  <c r="Z736" i="107"/>
  <c r="AA736" i="107"/>
  <c r="AB736" i="107"/>
  <c r="AC736" i="107"/>
  <c r="AD736" i="107"/>
  <c r="C737" i="107"/>
  <c r="D737" i="107"/>
  <c r="E737" i="107"/>
  <c r="F737" i="107"/>
  <c r="G737" i="107"/>
  <c r="H737" i="107"/>
  <c r="I737" i="107"/>
  <c r="J737" i="107"/>
  <c r="K737" i="107"/>
  <c r="L737" i="107"/>
  <c r="M737" i="107"/>
  <c r="N737" i="107"/>
  <c r="O737" i="107"/>
  <c r="P737" i="107"/>
  <c r="Q737" i="107"/>
  <c r="R737" i="107"/>
  <c r="S737" i="107"/>
  <c r="T737" i="107"/>
  <c r="U737" i="107"/>
  <c r="V737" i="107"/>
  <c r="W737" i="107"/>
  <c r="X737" i="107"/>
  <c r="Y737" i="107"/>
  <c r="Z737" i="107"/>
  <c r="AA737" i="107"/>
  <c r="AB737" i="107"/>
  <c r="AC737" i="107"/>
  <c r="AD737" i="107"/>
  <c r="C738" i="107"/>
  <c r="D738" i="107"/>
  <c r="E738" i="107"/>
  <c r="F738" i="107"/>
  <c r="G738" i="107"/>
  <c r="H738" i="107"/>
  <c r="I738" i="107"/>
  <c r="J738" i="107"/>
  <c r="K738" i="107"/>
  <c r="L738" i="107"/>
  <c r="M738" i="107"/>
  <c r="N738" i="107"/>
  <c r="O738" i="107"/>
  <c r="P738" i="107"/>
  <c r="Q738" i="107"/>
  <c r="R738" i="107"/>
  <c r="S738" i="107"/>
  <c r="T738" i="107"/>
  <c r="U738" i="107"/>
  <c r="V738" i="107"/>
  <c r="W738" i="107"/>
  <c r="X738" i="107"/>
  <c r="Y738" i="107"/>
  <c r="Z738" i="107"/>
  <c r="AA738" i="107"/>
  <c r="AB738" i="107"/>
  <c r="AC738" i="107"/>
  <c r="AD738" i="107"/>
  <c r="C739" i="107"/>
  <c r="D739" i="107"/>
  <c r="E739" i="107"/>
  <c r="F739" i="107"/>
  <c r="G739" i="107"/>
  <c r="H739" i="107"/>
  <c r="I739" i="107"/>
  <c r="J739" i="107"/>
  <c r="K739" i="107"/>
  <c r="L739" i="107"/>
  <c r="M739" i="107"/>
  <c r="N739" i="107"/>
  <c r="O739" i="107"/>
  <c r="P739" i="107"/>
  <c r="Q739" i="107"/>
  <c r="R739" i="107"/>
  <c r="S739" i="107"/>
  <c r="T739" i="107"/>
  <c r="U739" i="107"/>
  <c r="V739" i="107"/>
  <c r="W739" i="107"/>
  <c r="X739" i="107"/>
  <c r="Y739" i="107"/>
  <c r="Z739" i="107"/>
  <c r="AA739" i="107"/>
  <c r="AB739" i="107"/>
  <c r="AC739" i="107"/>
  <c r="AD739" i="107"/>
  <c r="C740" i="107"/>
  <c r="D740" i="107"/>
  <c r="E740" i="107"/>
  <c r="F740" i="107"/>
  <c r="G740" i="107"/>
  <c r="H740" i="107"/>
  <c r="I740" i="107"/>
  <c r="J740" i="107"/>
  <c r="K740" i="107"/>
  <c r="L740" i="107"/>
  <c r="M740" i="107"/>
  <c r="N740" i="107"/>
  <c r="O740" i="107"/>
  <c r="P740" i="107"/>
  <c r="Q740" i="107"/>
  <c r="R740" i="107"/>
  <c r="S740" i="107"/>
  <c r="T740" i="107"/>
  <c r="U740" i="107"/>
  <c r="V740" i="107"/>
  <c r="W740" i="107"/>
  <c r="X740" i="107"/>
  <c r="Y740" i="107"/>
  <c r="Z740" i="107"/>
  <c r="AA740" i="107"/>
  <c r="AB740" i="107"/>
  <c r="AC740" i="107"/>
  <c r="AD740" i="107"/>
  <c r="C741" i="107"/>
  <c r="D741" i="107"/>
  <c r="E741" i="107"/>
  <c r="F741" i="107"/>
  <c r="G741" i="107"/>
  <c r="H741" i="107"/>
  <c r="I741" i="107"/>
  <c r="J741" i="107"/>
  <c r="K741" i="107"/>
  <c r="L741" i="107"/>
  <c r="M741" i="107"/>
  <c r="N741" i="107"/>
  <c r="O741" i="107"/>
  <c r="P741" i="107"/>
  <c r="Q741" i="107"/>
  <c r="R741" i="107"/>
  <c r="S741" i="107"/>
  <c r="T741" i="107"/>
  <c r="U741" i="107"/>
  <c r="V741" i="107"/>
  <c r="W741" i="107"/>
  <c r="X741" i="107"/>
  <c r="Y741" i="107"/>
  <c r="Z741" i="107"/>
  <c r="AA741" i="107"/>
  <c r="AB741" i="107"/>
  <c r="AC741" i="107"/>
  <c r="AD741" i="107"/>
  <c r="AD2" i="107"/>
  <c r="AC2" i="107"/>
  <c r="AB2" i="107"/>
  <c r="AA2" i="107"/>
  <c r="Z2" i="107"/>
  <c r="Y2" i="107"/>
  <c r="X2" i="107"/>
  <c r="W2" i="107"/>
  <c r="V2" i="107"/>
  <c r="U2" i="107"/>
  <c r="T2" i="107"/>
  <c r="S2" i="107"/>
  <c r="R2" i="107"/>
  <c r="Q2" i="107"/>
  <c r="P2" i="107"/>
  <c r="O2" i="107"/>
  <c r="N2" i="107"/>
  <c r="M2" i="107"/>
  <c r="L2" i="107"/>
  <c r="K2" i="107"/>
  <c r="J2" i="107"/>
  <c r="I2" i="107"/>
  <c r="H2" i="107"/>
  <c r="G2" i="107"/>
  <c r="F2" i="107"/>
  <c r="E2" i="107"/>
  <c r="D2" i="107"/>
  <c r="C2" i="107"/>
  <c r="A26" i="76"/>
  <c r="A7" i="85"/>
  <c r="G20" i="50"/>
  <c r="F20" i="50"/>
  <c r="B20" i="50"/>
  <c r="C20" i="50" s="1"/>
  <c r="A20" i="50"/>
  <c r="A19" i="81"/>
  <c r="A7" i="80"/>
  <c r="A19" i="79"/>
  <c r="A24" i="76"/>
  <c r="A23" i="76"/>
  <c r="A22" i="76"/>
  <c r="A21" i="76"/>
  <c r="A11" i="102"/>
  <c r="A10" i="102"/>
  <c r="A18" i="104"/>
  <c r="A17" i="104"/>
  <c r="L28" i="17"/>
  <c r="J28" i="17"/>
  <c r="L31" i="17"/>
  <c r="L27" i="17"/>
  <c r="J27" i="17"/>
  <c r="L26" i="17"/>
  <c r="J26" i="17"/>
  <c r="L25" i="17"/>
  <c r="J25" i="17"/>
  <c r="L24" i="17"/>
  <c r="J24" i="17"/>
  <c r="L23" i="17"/>
  <c r="J23" i="17"/>
  <c r="L22" i="17"/>
  <c r="J22" i="17"/>
  <c r="L21" i="17"/>
  <c r="J21" i="17"/>
  <c r="L20" i="17"/>
  <c r="J20" i="17"/>
  <c r="J19" i="17"/>
  <c r="L19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29" i="17"/>
  <c r="L30" i="17"/>
  <c r="J31" i="17"/>
  <c r="J30" i="17"/>
  <c r="J29" i="17"/>
  <c r="J18" i="17"/>
  <c r="G19" i="50"/>
  <c r="F19" i="50"/>
  <c r="B19" i="50"/>
  <c r="C19" i="50" s="1"/>
  <c r="A18" i="81"/>
  <c r="A6" i="80"/>
  <c r="A18" i="79"/>
  <c r="F18" i="50"/>
  <c r="F17" i="50"/>
  <c r="G18" i="50"/>
  <c r="B18" i="50"/>
  <c r="A17" i="81"/>
  <c r="A11" i="7"/>
  <c r="A7" i="83"/>
  <c r="A16" i="104"/>
  <c r="A15" i="104"/>
  <c r="A14" i="104"/>
  <c r="A14" i="81"/>
  <c r="A15" i="81"/>
  <c r="A16" i="81"/>
  <c r="A18" i="87"/>
  <c r="A17" i="87"/>
  <c r="A12" i="87"/>
  <c r="A13" i="87"/>
  <c r="A14" i="87"/>
  <c r="A15" i="87"/>
  <c r="A16" i="87"/>
  <c r="A10" i="87"/>
  <c r="A11" i="87"/>
  <c r="G17" i="50"/>
  <c r="B17" i="50"/>
  <c r="I20" i="50" l="1"/>
  <c r="J20" i="50" s="1"/>
  <c r="K20" i="50"/>
  <c r="L20" i="50" s="1"/>
  <c r="K19" i="50"/>
  <c r="L19" i="50" s="1"/>
  <c r="I19" i="50"/>
  <c r="J19" i="50" s="1"/>
  <c r="I18" i="50"/>
  <c r="J18" i="50" s="1"/>
  <c r="K18" i="50"/>
  <c r="L18" i="50" s="1"/>
  <c r="K17" i="50"/>
  <c r="L17" i="50" s="1"/>
  <c r="C18" i="50"/>
  <c r="I17" i="50"/>
  <c r="J17" i="50" s="1"/>
  <c r="C17" i="50"/>
  <c r="A5" i="80"/>
  <c r="A17" i="79" l="1"/>
  <c r="G16" i="50"/>
  <c r="B16" i="50"/>
  <c r="C16" i="50" s="1"/>
  <c r="A10" i="7"/>
  <c r="A20" i="76"/>
  <c r="A7" i="79"/>
  <c r="A14" i="79"/>
  <c r="A15" i="79"/>
  <c r="A16" i="79"/>
  <c r="B13" i="50"/>
  <c r="C13" i="50" s="1"/>
  <c r="F13" i="50"/>
  <c r="G13" i="50"/>
  <c r="B14" i="50"/>
  <c r="C14" i="50" s="1"/>
  <c r="F14" i="50"/>
  <c r="G14" i="50"/>
  <c r="B15" i="50"/>
  <c r="C15" i="50" s="1"/>
  <c r="F15" i="50"/>
  <c r="G15" i="50"/>
  <c r="A13" i="81"/>
  <c r="A12" i="81"/>
  <c r="K16" i="50" l="1"/>
  <c r="L16" i="50" s="1"/>
  <c r="I16" i="50"/>
  <c r="J16" i="50" s="1"/>
  <c r="I14" i="50"/>
  <c r="J14" i="50" s="1"/>
  <c r="K13" i="50"/>
  <c r="L13" i="50" s="1"/>
  <c r="K14" i="50"/>
  <c r="L14" i="50" s="1"/>
  <c r="I15" i="50"/>
  <c r="J15" i="50" s="1"/>
  <c r="I13" i="50"/>
  <c r="J13" i="50" s="1"/>
  <c r="K15" i="50"/>
  <c r="L15" i="50" s="1"/>
  <c r="I30" i="17" l="1"/>
  <c r="A30" i="17"/>
  <c r="H30" i="17" s="1"/>
  <c r="A9" i="102" l="1"/>
  <c r="F1" i="106"/>
  <c r="G2" i="106" s="1"/>
  <c r="G3" i="106" s="1"/>
  <c r="G4" i="106" s="1"/>
  <c r="G5" i="106" s="1"/>
  <c r="G6" i="106" s="1"/>
  <c r="G7" i="106" s="1"/>
  <c r="G8" i="106" s="1"/>
  <c r="G9" i="106" s="1"/>
  <c r="G10" i="106" s="1"/>
  <c r="G11" i="106" s="1"/>
  <c r="G12" i="106" s="1"/>
  <c r="G13" i="106" s="1"/>
  <c r="A3" i="106" s="1"/>
  <c r="C30" i="17" s="1"/>
  <c r="K30" i="17" l="1"/>
  <c r="M30" i="17"/>
  <c r="G12" i="50"/>
  <c r="F12" i="50"/>
  <c r="B12" i="50"/>
  <c r="C12" i="50" s="1"/>
  <c r="A11" i="81"/>
  <c r="I12" i="50" l="1"/>
  <c r="J12" i="50" s="1"/>
  <c r="K12" i="50"/>
  <c r="L12" i="50" s="1"/>
  <c r="G11" i="50" l="1"/>
  <c r="F11" i="50"/>
  <c r="B11" i="50"/>
  <c r="C11" i="50" s="1"/>
  <c r="A10" i="81"/>
  <c r="A13" i="79"/>
  <c r="A12" i="79"/>
  <c r="A11" i="79"/>
  <c r="A10" i="79"/>
  <c r="A9" i="79"/>
  <c r="A8" i="79"/>
  <c r="A6" i="79"/>
  <c r="A5" i="79"/>
  <c r="G10" i="50"/>
  <c r="F10" i="50"/>
  <c r="B10" i="50"/>
  <c r="C10" i="50" s="1"/>
  <c r="A9" i="81"/>
  <c r="G9" i="50"/>
  <c r="G8" i="50"/>
  <c r="G7" i="50"/>
  <c r="G6" i="50"/>
  <c r="B6" i="50"/>
  <c r="C6" i="50" s="1"/>
  <c r="B9" i="50"/>
  <c r="B8" i="50"/>
  <c r="B7" i="50"/>
  <c r="C7" i="50" s="1"/>
  <c r="F3" i="105"/>
  <c r="F9" i="50"/>
  <c r="K9" i="50" s="1"/>
  <c r="C9" i="50"/>
  <c r="F8" i="50"/>
  <c r="F7" i="50"/>
  <c r="F6" i="50"/>
  <c r="K6" i="50" s="1"/>
  <c r="K5" i="50"/>
  <c r="L5" i="50" s="1"/>
  <c r="I5" i="50"/>
  <c r="J5" i="50" s="1"/>
  <c r="C5" i="50"/>
  <c r="K4" i="50"/>
  <c r="L4" i="50" s="1"/>
  <c r="I4" i="50"/>
  <c r="J4" i="50" s="1"/>
  <c r="C4" i="50"/>
  <c r="K3" i="50"/>
  <c r="L3" i="50" s="1"/>
  <c r="I3" i="50"/>
  <c r="J3" i="50" s="1"/>
  <c r="C3" i="50"/>
  <c r="A3" i="50"/>
  <c r="A4" i="50" s="1"/>
  <c r="A5" i="50" s="1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K2" i="50"/>
  <c r="L2" i="50" s="1"/>
  <c r="I2" i="50"/>
  <c r="J2" i="50" s="1"/>
  <c r="C2" i="50"/>
  <c r="A4" i="3"/>
  <c r="K10" i="50" l="1"/>
  <c r="L10" i="50" s="1"/>
  <c r="K8" i="50"/>
  <c r="L8" i="50" s="1"/>
  <c r="A5" i="3"/>
  <c r="A6" i="3" s="1"/>
  <c r="A7" i="3" s="1"/>
  <c r="J14" i="3"/>
  <c r="K7" i="50"/>
  <c r="L7" i="50" s="1"/>
  <c r="K11" i="50"/>
  <c r="L11" i="50" s="1"/>
  <c r="I11" i="50"/>
  <c r="J11" i="50" s="1"/>
  <c r="I10" i="50"/>
  <c r="J10" i="50" s="1"/>
  <c r="L6" i="50"/>
  <c r="I8" i="50"/>
  <c r="J8" i="50" s="1"/>
  <c r="C8" i="50"/>
  <c r="I9" i="50"/>
  <c r="J9" i="50" s="1"/>
  <c r="I6" i="50"/>
  <c r="J6" i="50" s="1"/>
  <c r="L9" i="50"/>
  <c r="I7" i="50"/>
  <c r="J7" i="50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J18" i="3" l="1"/>
  <c r="J13" i="3"/>
  <c r="J12" i="3"/>
  <c r="J19" i="3"/>
  <c r="J20" i="3"/>
  <c r="J15" i="3"/>
  <c r="J16" i="3"/>
  <c r="J17" i="3"/>
  <c r="J5" i="3"/>
  <c r="J3" i="3"/>
  <c r="J4" i="3"/>
  <c r="J7" i="3"/>
  <c r="J10" i="3"/>
  <c r="J8" i="3"/>
  <c r="J11" i="3"/>
  <c r="J9" i="3"/>
  <c r="J6" i="3"/>
  <c r="A8" i="102" l="1"/>
  <c r="A7" i="102"/>
  <c r="A6" i="102"/>
  <c r="A5" i="102"/>
  <c r="A6" i="85"/>
  <c r="A5" i="85"/>
  <c r="A13" i="104"/>
  <c r="A12" i="104"/>
  <c r="A11" i="104"/>
  <c r="A10" i="104"/>
  <c r="A8" i="104"/>
  <c r="A9" i="104"/>
  <c r="A7" i="104"/>
  <c r="A6" i="104"/>
  <c r="A5" i="104"/>
  <c r="A6" i="83" l="1"/>
  <c r="A5" i="83"/>
  <c r="A8" i="87"/>
  <c r="A9" i="87"/>
  <c r="A7" i="87"/>
  <c r="A6" i="87"/>
  <c r="A5" i="87"/>
  <c r="A8" i="81"/>
  <c r="A7" i="81"/>
  <c r="A6" i="81"/>
  <c r="A5" i="81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9" i="7"/>
  <c r="A8" i="7"/>
  <c r="A7" i="7"/>
  <c r="A6" i="7"/>
  <c r="A5" i="7"/>
  <c r="F1" i="104" l="1"/>
  <c r="G2" i="104" s="1"/>
  <c r="G3" i="104" s="1"/>
  <c r="I31" i="17"/>
  <c r="A31" i="17"/>
  <c r="H31" i="17" s="1"/>
  <c r="A29" i="17"/>
  <c r="H29" i="17" s="1"/>
  <c r="A28" i="17"/>
  <c r="H28" i="17" s="1"/>
  <c r="A27" i="17"/>
  <c r="H27" i="17" s="1"/>
  <c r="A26" i="17"/>
  <c r="H26" i="17" s="1"/>
  <c r="A25" i="17"/>
  <c r="H25" i="17" s="1"/>
  <c r="A24" i="17"/>
  <c r="H24" i="17" s="1"/>
  <c r="A23" i="17"/>
  <c r="H23" i="17" s="1"/>
  <c r="A22" i="17"/>
  <c r="H22" i="17" s="1"/>
  <c r="A21" i="17"/>
  <c r="H21" i="17" s="1"/>
  <c r="A20" i="17"/>
  <c r="H20" i="17" s="1"/>
  <c r="A19" i="17"/>
  <c r="H19" i="17" s="1"/>
  <c r="A18" i="17"/>
  <c r="H18" i="17" s="1"/>
  <c r="A17" i="17"/>
  <c r="H17" i="17" s="1"/>
  <c r="A16" i="17"/>
  <c r="H16" i="17" s="1"/>
  <c r="A15" i="17"/>
  <c r="H15" i="17" s="1"/>
  <c r="A14" i="17"/>
  <c r="H14" i="17" s="1"/>
  <c r="A13" i="17"/>
  <c r="H13" i="17" s="1"/>
  <c r="A12" i="17"/>
  <c r="H12" i="17" s="1"/>
  <c r="A11" i="17"/>
  <c r="H11" i="17" s="1"/>
  <c r="A10" i="17"/>
  <c r="H10" i="17" s="1"/>
  <c r="A9" i="17"/>
  <c r="H9" i="17" s="1"/>
  <c r="A8" i="17"/>
  <c r="H8" i="17" s="1"/>
  <c r="A7" i="17"/>
  <c r="H7" i="17" s="1"/>
  <c r="A6" i="17"/>
  <c r="H6" i="17" s="1"/>
  <c r="A5" i="17"/>
  <c r="H5" i="17" s="1"/>
  <c r="A4" i="17"/>
  <c r="H4" i="17" s="1"/>
  <c r="A3" i="17"/>
  <c r="H3" i="17" s="1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T18" i="3"/>
  <c r="T17" i="3"/>
  <c r="T16" i="3"/>
  <c r="T15" i="3"/>
  <c r="T14" i="3"/>
  <c r="T13" i="3"/>
  <c r="T12" i="3"/>
  <c r="T11" i="3"/>
  <c r="J3" i="17"/>
  <c r="I25" i="17"/>
  <c r="I26" i="17"/>
  <c r="I27" i="17"/>
  <c r="I28" i="17"/>
  <c r="I29" i="17"/>
  <c r="F1" i="103"/>
  <c r="G2" i="103" s="1"/>
  <c r="G3" i="103" s="1"/>
  <c r="F1" i="102"/>
  <c r="G2" i="102" s="1"/>
  <c r="G3" i="102" s="1"/>
  <c r="F1" i="101"/>
  <c r="G2" i="101" s="1"/>
  <c r="G3" i="101" s="1"/>
  <c r="F1" i="100"/>
  <c r="G2" i="100" s="1"/>
  <c r="G3" i="100" s="1"/>
  <c r="F1" i="99"/>
  <c r="G2" i="99" s="1"/>
  <c r="G3" i="99" s="1"/>
  <c r="F1" i="98"/>
  <c r="G2" i="98" s="1"/>
  <c r="G3" i="98" s="1"/>
  <c r="F1" i="97"/>
  <c r="G2" i="97" s="1"/>
  <c r="G3" i="97" s="1"/>
  <c r="F1" i="96"/>
  <c r="G2" i="96" s="1"/>
  <c r="G3" i="96" s="1"/>
  <c r="F1" i="95"/>
  <c r="G2" i="95" s="1"/>
  <c r="G3" i="95" s="1"/>
  <c r="G4" i="95" s="1"/>
  <c r="G5" i="95" s="1"/>
  <c r="G6" i="95" s="1"/>
  <c r="G7" i="95" s="1"/>
  <c r="G8" i="95" s="1"/>
  <c r="G9" i="95" s="1"/>
  <c r="G10" i="95" s="1"/>
  <c r="G11" i="95" s="1"/>
  <c r="G12" i="95" s="1"/>
  <c r="G13" i="95" s="1"/>
  <c r="F1" i="94"/>
  <c r="G2" i="94" s="1"/>
  <c r="G3" i="94" s="1"/>
  <c r="F1" i="93"/>
  <c r="G2" i="93" s="1"/>
  <c r="G3" i="93" s="1"/>
  <c r="F1" i="92"/>
  <c r="G2" i="92" s="1"/>
  <c r="G3" i="92" s="1"/>
  <c r="F1" i="90"/>
  <c r="G2" i="90" s="1"/>
  <c r="G3" i="90" s="1"/>
  <c r="F1" i="89"/>
  <c r="G2" i="89" s="1"/>
  <c r="G3" i="89" s="1"/>
  <c r="F1" i="88"/>
  <c r="G2" i="88" s="1"/>
  <c r="G3" i="88" s="1"/>
  <c r="F1" i="87"/>
  <c r="G2" i="87" s="1"/>
  <c r="G3" i="87" s="1"/>
  <c r="G4" i="87" s="1"/>
  <c r="G5" i="87" s="1"/>
  <c r="G6" i="87" s="1"/>
  <c r="G7" i="87" s="1"/>
  <c r="G8" i="87" s="1"/>
  <c r="G9" i="87" s="1"/>
  <c r="G10" i="87" s="1"/>
  <c r="G11" i="87" s="1"/>
  <c r="G12" i="87" s="1"/>
  <c r="G13" i="87" s="1"/>
  <c r="F1" i="86"/>
  <c r="G2" i="86" s="1"/>
  <c r="G3" i="86" s="1"/>
  <c r="F1" i="85"/>
  <c r="G2" i="85" s="1"/>
  <c r="G3" i="85" s="1"/>
  <c r="F1" i="84"/>
  <c r="G2" i="84" s="1"/>
  <c r="G3" i="84" s="1"/>
  <c r="F1" i="83"/>
  <c r="G2" i="83" s="1"/>
  <c r="G3" i="83" s="1"/>
  <c r="F1" i="82"/>
  <c r="G2" i="82" s="1"/>
  <c r="G3" i="82" s="1"/>
  <c r="F1" i="81"/>
  <c r="G2" i="81" s="1"/>
  <c r="G3" i="81" s="1"/>
  <c r="F1" i="80"/>
  <c r="G2" i="80" s="1"/>
  <c r="G3" i="80" s="1"/>
  <c r="F1" i="79"/>
  <c r="G2" i="79" s="1"/>
  <c r="G3" i="79" s="1"/>
  <c r="F1" i="78"/>
  <c r="G2" i="78" s="1"/>
  <c r="G3" i="78" s="1"/>
  <c r="F1" i="76"/>
  <c r="G2" i="76" s="1"/>
  <c r="G3" i="76" s="1"/>
  <c r="F1" i="7"/>
  <c r="G2" i="7" s="1"/>
  <c r="G3" i="7" s="1"/>
  <c r="G4" i="7" s="1"/>
  <c r="G5" i="7" s="1"/>
  <c r="G6" i="7" s="1"/>
  <c r="G7" i="7" s="1"/>
  <c r="G8" i="7" s="1"/>
  <c r="G9" i="7" s="1"/>
  <c r="G10" i="7" s="1"/>
  <c r="G11" i="7" s="1"/>
  <c r="G12" i="7" s="1"/>
  <c r="G13" i="7" s="1"/>
  <c r="I21" i="17"/>
  <c r="I22" i="17"/>
  <c r="I23" i="17"/>
  <c r="I24" i="17"/>
  <c r="G4" i="78" l="1"/>
  <c r="G5" i="78" s="1"/>
  <c r="G6" i="78" s="1"/>
  <c r="G7" i="78" s="1"/>
  <c r="G8" i="78" s="1"/>
  <c r="G9" i="78" s="1"/>
  <c r="G10" i="78" s="1"/>
  <c r="G11" i="78" s="1"/>
  <c r="G12" i="78" s="1"/>
  <c r="G13" i="78" s="1"/>
  <c r="A3" i="78" s="1"/>
  <c r="C5" i="17" s="1"/>
  <c r="G4" i="83"/>
  <c r="G5" i="83" s="1"/>
  <c r="G6" i="83" s="1"/>
  <c r="G7" i="83" s="1"/>
  <c r="G8" i="83" s="1"/>
  <c r="G9" i="83" s="1"/>
  <c r="G10" i="83" s="1"/>
  <c r="G11" i="83" s="1"/>
  <c r="G12" i="83" s="1"/>
  <c r="G13" i="83" s="1"/>
  <c r="A3" i="83" s="1"/>
  <c r="C10" i="17" s="1"/>
  <c r="G4" i="92"/>
  <c r="G5" i="92" s="1"/>
  <c r="G6" i="92" s="1"/>
  <c r="G7" i="92" s="1"/>
  <c r="G8" i="92" s="1"/>
  <c r="G9" i="92" s="1"/>
  <c r="G10" i="92" s="1"/>
  <c r="G11" i="92" s="1"/>
  <c r="G12" i="92" s="1"/>
  <c r="G13" i="92" s="1"/>
  <c r="A3" i="92" s="1"/>
  <c r="C18" i="17" s="1"/>
  <c r="G4" i="96"/>
  <c r="G5" i="96" s="1"/>
  <c r="G6" i="96" s="1"/>
  <c r="G7" i="96" s="1"/>
  <c r="G8" i="96" s="1"/>
  <c r="G9" i="96" s="1"/>
  <c r="G10" i="96" s="1"/>
  <c r="G11" i="96" s="1"/>
  <c r="G12" i="96" s="1"/>
  <c r="G13" i="96" s="1"/>
  <c r="A3" i="96" s="1"/>
  <c r="C22" i="17" s="1"/>
  <c r="G4" i="100"/>
  <c r="G5" i="100" s="1"/>
  <c r="G6" i="100" s="1"/>
  <c r="G7" i="100" s="1"/>
  <c r="G8" i="100" s="1"/>
  <c r="G9" i="100" s="1"/>
  <c r="G10" i="100" s="1"/>
  <c r="G11" i="100" s="1"/>
  <c r="G12" i="100" s="1"/>
  <c r="G13" i="100" s="1"/>
  <c r="A3" i="100" s="1"/>
  <c r="C26" i="17" s="1"/>
  <c r="G4" i="80"/>
  <c r="G5" i="80" s="1"/>
  <c r="G6" i="80" s="1"/>
  <c r="G7" i="80" s="1"/>
  <c r="G8" i="80" s="1"/>
  <c r="G9" i="80" s="1"/>
  <c r="G10" i="80" s="1"/>
  <c r="G11" i="80" s="1"/>
  <c r="G12" i="80" s="1"/>
  <c r="G13" i="80" s="1"/>
  <c r="A3" i="80" s="1"/>
  <c r="C7" i="17" s="1"/>
  <c r="G4" i="84"/>
  <c r="G5" i="84" s="1"/>
  <c r="G6" i="84" s="1"/>
  <c r="G7" i="84" s="1"/>
  <c r="G8" i="84" s="1"/>
  <c r="G9" i="84" s="1"/>
  <c r="G10" i="84" s="1"/>
  <c r="G11" i="84" s="1"/>
  <c r="G12" i="84" s="1"/>
  <c r="G13" i="84" s="1"/>
  <c r="A3" i="84" s="1"/>
  <c r="C11" i="17" s="1"/>
  <c r="G4" i="88"/>
  <c r="G5" i="88" s="1"/>
  <c r="G6" i="88" s="1"/>
  <c r="G7" i="88" s="1"/>
  <c r="G8" i="88" s="1"/>
  <c r="G9" i="88" s="1"/>
  <c r="G10" i="88" s="1"/>
  <c r="G11" i="88" s="1"/>
  <c r="G12" i="88" s="1"/>
  <c r="G13" i="88" s="1"/>
  <c r="A3" i="88" s="1"/>
  <c r="C15" i="17" s="1"/>
  <c r="G4" i="93"/>
  <c r="G5" i="93" s="1"/>
  <c r="G6" i="93" s="1"/>
  <c r="G7" i="93" s="1"/>
  <c r="G8" i="93" s="1"/>
  <c r="G9" i="93" s="1"/>
  <c r="G10" i="93" s="1"/>
  <c r="G11" i="93" s="1"/>
  <c r="G12" i="93" s="1"/>
  <c r="G13" i="93" s="1"/>
  <c r="A3" i="93" s="1"/>
  <c r="C19" i="17" s="1"/>
  <c r="G4" i="97"/>
  <c r="G5" i="97" s="1"/>
  <c r="G6" i="97" s="1"/>
  <c r="G7" i="97" s="1"/>
  <c r="G8" i="97" s="1"/>
  <c r="G9" i="97" s="1"/>
  <c r="G10" i="97" s="1"/>
  <c r="G11" i="97" s="1"/>
  <c r="G12" i="97" s="1"/>
  <c r="G13" i="97" s="1"/>
  <c r="A3" i="97" s="1"/>
  <c r="C23" i="17" s="1"/>
  <c r="G4" i="101"/>
  <c r="G5" i="101" s="1"/>
  <c r="G6" i="101" s="1"/>
  <c r="G7" i="101" s="1"/>
  <c r="G8" i="101" s="1"/>
  <c r="G9" i="101" s="1"/>
  <c r="G10" i="101" s="1"/>
  <c r="G11" i="101" s="1"/>
  <c r="G12" i="101" s="1"/>
  <c r="G13" i="101" s="1"/>
  <c r="A3" i="101" s="1"/>
  <c r="C27" i="17" s="1"/>
  <c r="G4" i="79"/>
  <c r="G5" i="79" s="1"/>
  <c r="G6" i="79" s="1"/>
  <c r="G7" i="79" s="1"/>
  <c r="G8" i="79" s="1"/>
  <c r="G9" i="79" s="1"/>
  <c r="G10" i="79" s="1"/>
  <c r="G11" i="79" s="1"/>
  <c r="G12" i="79" s="1"/>
  <c r="G13" i="79" s="1"/>
  <c r="G4" i="76"/>
  <c r="G5" i="76" s="1"/>
  <c r="G6" i="76" s="1"/>
  <c r="G7" i="76" s="1"/>
  <c r="G8" i="76" s="1"/>
  <c r="G9" i="76" s="1"/>
  <c r="G10" i="76" s="1"/>
  <c r="G11" i="76" s="1"/>
  <c r="G12" i="76" s="1"/>
  <c r="G13" i="76" s="1"/>
  <c r="A3" i="76" s="1"/>
  <c r="C4" i="17" s="1"/>
  <c r="G4" i="81"/>
  <c r="G5" i="81" s="1"/>
  <c r="G6" i="81" s="1"/>
  <c r="G7" i="81" s="1"/>
  <c r="G8" i="81" s="1"/>
  <c r="G9" i="81" s="1"/>
  <c r="G10" i="81" s="1"/>
  <c r="G11" i="81" s="1"/>
  <c r="G12" i="81" s="1"/>
  <c r="G13" i="81" s="1"/>
  <c r="A3" i="81" s="1"/>
  <c r="C8" i="17" s="1"/>
  <c r="G4" i="85"/>
  <c r="G5" i="85" s="1"/>
  <c r="G6" i="85" s="1"/>
  <c r="G7" i="85" s="1"/>
  <c r="G8" i="85" s="1"/>
  <c r="G9" i="85" s="1"/>
  <c r="G10" i="85" s="1"/>
  <c r="G11" i="85" s="1"/>
  <c r="G12" i="85" s="1"/>
  <c r="G13" i="85" s="1"/>
  <c r="A3" i="85" s="1"/>
  <c r="C16" i="17" s="1"/>
  <c r="G4" i="89"/>
  <c r="G5" i="89" s="1"/>
  <c r="G6" i="89" s="1"/>
  <c r="G7" i="89" s="1"/>
  <c r="G8" i="89" s="1"/>
  <c r="G9" i="89" s="1"/>
  <c r="G10" i="89" s="1"/>
  <c r="G11" i="89" s="1"/>
  <c r="G12" i="89" s="1"/>
  <c r="G13" i="89" s="1"/>
  <c r="A3" i="89" s="1"/>
  <c r="C12" i="17" s="1"/>
  <c r="G4" i="94"/>
  <c r="G5" i="94" s="1"/>
  <c r="G6" i="94" s="1"/>
  <c r="G7" i="94" s="1"/>
  <c r="G8" i="94" s="1"/>
  <c r="G9" i="94" s="1"/>
  <c r="G10" i="94" s="1"/>
  <c r="G11" i="94" s="1"/>
  <c r="G12" i="94" s="1"/>
  <c r="G13" i="94" s="1"/>
  <c r="A3" i="94" s="1"/>
  <c r="C20" i="17" s="1"/>
  <c r="G4" i="98"/>
  <c r="G5" i="98" s="1"/>
  <c r="G6" i="98" s="1"/>
  <c r="G7" i="98" s="1"/>
  <c r="G8" i="98" s="1"/>
  <c r="G9" i="98" s="1"/>
  <c r="G10" i="98" s="1"/>
  <c r="G11" i="98" s="1"/>
  <c r="G12" i="98" s="1"/>
  <c r="G13" i="98" s="1"/>
  <c r="A3" i="98" s="1"/>
  <c r="C24" i="17" s="1"/>
  <c r="G4" i="102"/>
  <c r="G5" i="102" s="1"/>
  <c r="G6" i="102" s="1"/>
  <c r="G7" i="102" s="1"/>
  <c r="G8" i="102" s="1"/>
  <c r="G9" i="102" s="1"/>
  <c r="G10" i="102" s="1"/>
  <c r="G11" i="102" s="1"/>
  <c r="G12" i="102" s="1"/>
  <c r="G13" i="102" s="1"/>
  <c r="A3" i="102" s="1"/>
  <c r="C28" i="17" s="1"/>
  <c r="G4" i="82"/>
  <c r="G5" i="82" s="1"/>
  <c r="G6" i="82" s="1"/>
  <c r="G7" i="82" s="1"/>
  <c r="G8" i="82" s="1"/>
  <c r="G9" i="82" s="1"/>
  <c r="G10" i="82" s="1"/>
  <c r="G11" i="82" s="1"/>
  <c r="G12" i="82" s="1"/>
  <c r="G13" i="82" s="1"/>
  <c r="A3" i="82" s="1"/>
  <c r="C9" i="17" s="1"/>
  <c r="G4" i="86"/>
  <c r="G5" i="86" s="1"/>
  <c r="G6" i="86" s="1"/>
  <c r="G7" i="86" s="1"/>
  <c r="G8" i="86" s="1"/>
  <c r="G9" i="86" s="1"/>
  <c r="G10" i="86" s="1"/>
  <c r="G11" i="86" s="1"/>
  <c r="G12" i="86" s="1"/>
  <c r="G13" i="86" s="1"/>
  <c r="A3" i="86" s="1"/>
  <c r="C13" i="17" s="1"/>
  <c r="G4" i="90"/>
  <c r="G5" i="90" s="1"/>
  <c r="G6" i="90" s="1"/>
  <c r="G7" i="90" s="1"/>
  <c r="G8" i="90" s="1"/>
  <c r="G9" i="90" s="1"/>
  <c r="G10" i="90" s="1"/>
  <c r="G11" i="90" s="1"/>
  <c r="G12" i="90" s="1"/>
  <c r="G13" i="90" s="1"/>
  <c r="A3" i="90" s="1"/>
  <c r="C17" i="17" s="1"/>
  <c r="G4" i="99"/>
  <c r="G5" i="99" s="1"/>
  <c r="G6" i="99" s="1"/>
  <c r="G7" i="99" s="1"/>
  <c r="G8" i="99" s="1"/>
  <c r="G9" i="99" s="1"/>
  <c r="G10" i="99" s="1"/>
  <c r="G11" i="99" s="1"/>
  <c r="G12" i="99" s="1"/>
  <c r="G13" i="99" s="1"/>
  <c r="A3" i="99" s="1"/>
  <c r="C25" i="17" s="1"/>
  <c r="G4" i="103"/>
  <c r="G5" i="103" s="1"/>
  <c r="G6" i="103" s="1"/>
  <c r="G7" i="103" s="1"/>
  <c r="G8" i="103" s="1"/>
  <c r="G9" i="103" s="1"/>
  <c r="G10" i="103" s="1"/>
  <c r="G11" i="103" s="1"/>
  <c r="G12" i="103" s="1"/>
  <c r="G13" i="103" s="1"/>
  <c r="A3" i="103" s="1"/>
  <c r="C29" i="17" s="1"/>
  <c r="G4" i="104"/>
  <c r="G5" i="104" s="1"/>
  <c r="G6" i="104" s="1"/>
  <c r="G7" i="104" s="1"/>
  <c r="G8" i="104" s="1"/>
  <c r="G9" i="104" s="1"/>
  <c r="G10" i="104" s="1"/>
  <c r="G11" i="104" s="1"/>
  <c r="G12" i="104" s="1"/>
  <c r="G13" i="104" s="1"/>
  <c r="A3" i="104" s="1"/>
  <c r="C31" i="17" s="1"/>
  <c r="A3" i="95"/>
  <c r="A3" i="7"/>
  <c r="C3" i="17" s="1"/>
  <c r="K9" i="17" l="1"/>
  <c r="M9" i="17"/>
  <c r="K22" i="17"/>
  <c r="M22" i="17"/>
  <c r="K16" i="17"/>
  <c r="M16" i="17"/>
  <c r="K11" i="17"/>
  <c r="M11" i="17"/>
  <c r="K18" i="17"/>
  <c r="M18" i="17"/>
  <c r="K29" i="17"/>
  <c r="M29" i="17"/>
  <c r="K15" i="17"/>
  <c r="M15" i="17"/>
  <c r="K28" i="17"/>
  <c r="M28" i="17"/>
  <c r="K27" i="17"/>
  <c r="M27" i="17"/>
  <c r="K17" i="17"/>
  <c r="M17" i="17"/>
  <c r="K24" i="17"/>
  <c r="M24" i="17"/>
  <c r="K8" i="17"/>
  <c r="M8" i="17"/>
  <c r="K23" i="17"/>
  <c r="M23" i="17"/>
  <c r="K7" i="17"/>
  <c r="M7" i="17"/>
  <c r="K10" i="17"/>
  <c r="M10" i="17"/>
  <c r="K12" i="17"/>
  <c r="M12" i="17"/>
  <c r="K25" i="17"/>
  <c r="M25" i="17"/>
  <c r="K31" i="17"/>
  <c r="M31" i="17"/>
  <c r="K13" i="17"/>
  <c r="M13" i="17"/>
  <c r="K20" i="17"/>
  <c r="M20" i="17"/>
  <c r="K19" i="17"/>
  <c r="M19" i="17"/>
  <c r="K26" i="17"/>
  <c r="M26" i="17"/>
  <c r="K5" i="17"/>
  <c r="M5" i="17"/>
  <c r="C21" i="17"/>
  <c r="K21" i="17" l="1"/>
  <c r="M21" i="17"/>
  <c r="A3" i="79"/>
  <c r="C6" i="17" s="1"/>
  <c r="A3" i="87"/>
  <c r="C14" i="17" s="1"/>
  <c r="K14" i="17" l="1"/>
  <c r="M14" i="17"/>
  <c r="K6" i="17"/>
  <c r="M6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3" i="17"/>
  <c r="K3" i="17" l="1"/>
  <c r="M3" i="17"/>
  <c r="K4" i="17"/>
  <c r="M4" i="17"/>
  <c r="C32" i="17" l="1"/>
</calcChain>
</file>

<file path=xl/sharedStrings.xml><?xml version="1.0" encoding="utf-8"?>
<sst xmlns="http://schemas.openxmlformats.org/spreadsheetml/2006/main" count="1125" uniqueCount="487">
  <si>
    <t>鋼筋</t>
    <phoneticPr fontId="1" type="noConversion"/>
  </si>
  <si>
    <t>混凝土</t>
    <phoneticPr fontId="1" type="noConversion"/>
  </si>
  <si>
    <t>編號</t>
    <phoneticPr fontId="1" type="noConversion"/>
  </si>
  <si>
    <t>日期</t>
    <phoneticPr fontId="1" type="noConversion"/>
  </si>
  <si>
    <t>星期</t>
    <phoneticPr fontId="1" type="noConversion"/>
  </si>
  <si>
    <t>28天</t>
    <phoneticPr fontId="1" type="noConversion"/>
  </si>
  <si>
    <t>7天</t>
    <phoneticPr fontId="1" type="noConversion"/>
  </si>
  <si>
    <t>結構部位</t>
    <phoneticPr fontId="1" type="noConversion"/>
  </si>
  <si>
    <t>組數</t>
    <phoneticPr fontId="1" type="noConversion"/>
  </si>
  <si>
    <t>數量</t>
    <phoneticPr fontId="1" type="noConversion"/>
  </si>
  <si>
    <t>號數</t>
    <phoneticPr fontId="1" type="noConversion"/>
  </si>
  <si>
    <t>取樣日期</t>
    <phoneticPr fontId="1" type="noConversion"/>
  </si>
  <si>
    <t>進場日期</t>
    <phoneticPr fontId="1" type="noConversion"/>
  </si>
  <si>
    <t>爐號</t>
    <phoneticPr fontId="1" type="noConversion"/>
  </si>
  <si>
    <t>累計數量</t>
    <phoneticPr fontId="1" type="noConversion"/>
  </si>
  <si>
    <t>備註</t>
    <phoneticPr fontId="1" type="noConversion"/>
  </si>
  <si>
    <t>檢查部位</t>
    <phoneticPr fontId="1" type="noConversion"/>
  </si>
  <si>
    <t>檢查日期</t>
    <phoneticPr fontId="1" type="noConversion"/>
  </si>
  <si>
    <t>次數</t>
    <phoneticPr fontId="1" type="noConversion"/>
  </si>
  <si>
    <t>鋼筋材料進場統計表</t>
    <phoneticPr fontId="1" type="noConversion"/>
  </si>
  <si>
    <t>編號</t>
    <phoneticPr fontId="1" type="noConversion"/>
  </si>
  <si>
    <t>項目</t>
    <phoneticPr fontId="1" type="noConversion"/>
  </si>
  <si>
    <t>檢查次數</t>
    <phoneticPr fontId="1" type="noConversion"/>
  </si>
  <si>
    <t>合計</t>
    <phoneticPr fontId="1" type="noConversion"/>
  </si>
  <si>
    <t>會同</t>
    <phoneticPr fontId="1" type="noConversion"/>
  </si>
  <si>
    <t>臺北市政府工務局水利工程處</t>
    <phoneticPr fontId="1" type="noConversion"/>
  </si>
  <si>
    <t>代表數量</t>
    <phoneticPr fontId="1" type="noConversion"/>
  </si>
  <si>
    <t>監造</t>
    <phoneticPr fontId="1" type="noConversion"/>
  </si>
  <si>
    <t>監造</t>
    <phoneticPr fontId="1" type="noConversion"/>
  </si>
  <si>
    <t>裕全顧問有限公司五股實驗室</t>
    <phoneticPr fontId="9" type="noConversion"/>
  </si>
  <si>
    <t xml:space="preserve">      報告編號：</t>
    <phoneticPr fontId="9" type="noConversion"/>
  </si>
  <si>
    <r>
      <t>地址：新北市蘆洲區集賢路378-1號　電話：</t>
    </r>
    <r>
      <rPr>
        <b/>
        <sz val="11"/>
        <rFont val="Times New Roman"/>
        <family val="1"/>
      </rPr>
      <t>(02)2293-9177</t>
    </r>
    <r>
      <rPr>
        <b/>
        <sz val="11"/>
        <rFont val="標楷體"/>
        <family val="4"/>
        <charset val="136"/>
      </rPr>
      <t>　傳真：(02)2293-9178</t>
    </r>
    <phoneticPr fontId="9" type="noConversion"/>
  </si>
  <si>
    <t>□會驗 □不會驗 □需拍照</t>
  </si>
  <si>
    <t>工程名稱：</t>
    <phoneticPr fontId="9" type="noConversion"/>
  </si>
  <si>
    <t>業　　主：</t>
    <phoneticPr fontId="9" type="noConversion"/>
  </si>
  <si>
    <t>臺北市政府工務局水利工程處</t>
    <phoneticPr fontId="9" type="noConversion"/>
  </si>
  <si>
    <t>監造單位：</t>
    <phoneticPr fontId="9" type="noConversion"/>
  </si>
  <si>
    <t>盛禹工程顧問有限公司</t>
    <phoneticPr fontId="9" type="noConversion"/>
  </si>
  <si>
    <t>承包廠商：</t>
    <phoneticPr fontId="9" type="noConversion"/>
  </si>
  <si>
    <t>上溢營造股份有限公司</t>
    <phoneticPr fontId="9" type="noConversion"/>
  </si>
  <si>
    <t>委託單位：</t>
    <phoneticPr fontId="9" type="noConversion"/>
  </si>
  <si>
    <t>聯絡資訊：</t>
    <phoneticPr fontId="9" type="noConversion"/>
  </si>
  <si>
    <t>結構部位：</t>
    <phoneticPr fontId="9" type="noConversion"/>
  </si>
  <si>
    <t>供料廠商：</t>
    <phoneticPr fontId="9" type="noConversion"/>
  </si>
  <si>
    <t>取樣單位/人員：</t>
    <phoneticPr fontId="9" type="noConversion"/>
  </si>
  <si>
    <t>業主</t>
    <phoneticPr fontId="9" type="noConversion"/>
  </si>
  <si>
    <t>監造</t>
    <phoneticPr fontId="9" type="noConversion"/>
  </si>
  <si>
    <t>承包</t>
    <phoneticPr fontId="9" type="noConversion"/>
  </si>
  <si>
    <t>送驗單位/人員：</t>
    <phoneticPr fontId="9" type="noConversion"/>
  </si>
  <si>
    <t>業主</t>
  </si>
  <si>
    <t>供料</t>
    <phoneticPr fontId="9" type="noConversion"/>
  </si>
  <si>
    <t>□熟客；□是 □否 核對證件</t>
    <phoneticPr fontId="9" type="noConversion"/>
  </si>
  <si>
    <t>會驗單位/人員：</t>
    <phoneticPr fontId="9" type="noConversion"/>
  </si>
  <si>
    <t>樣品保留□是(最多3天為限) □否(清理清運)；報告份數</t>
    <phoneticPr fontId="9" type="noConversion"/>
  </si>
  <si>
    <t>份，未說明者 5 份。</t>
    <phoneticPr fontId="9" type="noConversion"/>
  </si>
  <si>
    <t>發票抬頭：</t>
    <phoneticPr fontId="9" type="noConversion"/>
  </si>
  <si>
    <t>聯絡人姓名：</t>
    <phoneticPr fontId="9" type="noConversion"/>
  </si>
  <si>
    <t>手機：</t>
    <phoneticPr fontId="9" type="noConversion"/>
  </si>
  <si>
    <t>統一編號：</t>
    <phoneticPr fontId="9" type="noConversion"/>
  </si>
  <si>
    <t>聯絡市話：</t>
    <phoneticPr fontId="9" type="noConversion"/>
  </si>
  <si>
    <t>傳真：</t>
    <phoneticPr fontId="9" type="noConversion"/>
  </si>
  <si>
    <r>
      <t>發票</t>
    </r>
    <r>
      <rPr>
        <b/>
        <sz val="14"/>
        <rFont val="Wingdings 3"/>
        <family val="1"/>
        <charset val="2"/>
      </rPr>
      <t>Æ</t>
    </r>
    <phoneticPr fontId="9" type="noConversion"/>
  </si>
  <si>
    <t>□自取 □郵寄</t>
  </si>
  <si>
    <r>
      <t>報告</t>
    </r>
    <r>
      <rPr>
        <b/>
        <sz val="14"/>
        <rFont val="Wingdings 3"/>
        <family val="1"/>
        <charset val="2"/>
      </rPr>
      <t>Æ</t>
    </r>
    <phoneticPr fontId="9" type="noConversion"/>
  </si>
  <si>
    <t>請款資訊請填寫完整</t>
    <phoneticPr fontId="9" type="noConversion"/>
  </si>
  <si>
    <t>一併委外試驗項目：</t>
    <phoneticPr fontId="9" type="noConversion"/>
  </si>
  <si>
    <t>數量：</t>
    <phoneticPr fontId="9" type="noConversion"/>
  </si>
  <si>
    <t>委外單位：</t>
    <phoneticPr fontId="9" type="noConversion"/>
  </si>
  <si>
    <t>試驗項目</t>
    <phoneticPr fontId="9" type="noConversion"/>
  </si>
  <si>
    <t>試驗方法</t>
    <phoneticPr fontId="9" type="noConversion"/>
  </si>
  <si>
    <t>數量</t>
    <phoneticPr fontId="9" type="noConversion"/>
  </si>
  <si>
    <t>製作日期</t>
    <phoneticPr fontId="9" type="noConversion"/>
  </si>
  <si>
    <t>試驗日期</t>
    <phoneticPr fontId="9" type="noConversion"/>
  </si>
  <si>
    <t>材齡</t>
    <phoneticPr fontId="9" type="noConversion"/>
  </si>
  <si>
    <t>試樣製作：</t>
    <phoneticPr fontId="9" type="noConversion"/>
  </si>
  <si>
    <t>□同供料廠商 □其他：</t>
    <phoneticPr fontId="9" type="noConversion"/>
  </si>
  <si>
    <t>廠商養護-養護單位：</t>
    <phoneticPr fontId="9" type="noConversion"/>
  </si>
  <si>
    <t>廠商養護-養護時間：</t>
    <phoneticPr fontId="9" type="noConversion"/>
  </si>
  <si>
    <t>年</t>
    <phoneticPr fontId="9" type="noConversion"/>
  </si>
  <si>
    <t>月</t>
    <phoneticPr fontId="9" type="noConversion"/>
  </si>
  <si>
    <t>日</t>
    <phoneticPr fontId="9" type="noConversion"/>
  </si>
  <si>
    <t>時</t>
    <phoneticPr fontId="9" type="noConversion"/>
  </si>
  <si>
    <t xml:space="preserve">分 至 </t>
    <phoneticPr fontId="9" type="noConversion"/>
  </si>
  <si>
    <t xml:space="preserve">分      </t>
    <phoneticPr fontId="9" type="noConversion"/>
  </si>
  <si>
    <r>
      <t>本實驗室不出具符合性聲明報告</t>
    </r>
    <r>
      <rPr>
        <b/>
        <sz val="14"/>
        <color rgb="FF0000FF"/>
        <rFont val="新細明體"/>
        <family val="1"/>
        <charset val="136"/>
      </rPr>
      <t>。</t>
    </r>
    <phoneticPr fontId="9" type="noConversion"/>
  </si>
  <si>
    <t xml:space="preserve">*以上粗框資訊由委託者提供、本實驗室將有關顧客資訊和測試資料均予以保密。 </t>
    <phoneticPr fontId="9" type="noConversion"/>
  </si>
  <si>
    <r>
      <rPr>
        <b/>
        <sz val="12"/>
        <rFont val="新細明體"/>
        <family val="1"/>
        <charset val="136"/>
      </rPr>
      <t>※</t>
    </r>
    <r>
      <rPr>
        <b/>
        <sz val="12"/>
        <rFont val="標楷體"/>
        <family val="4"/>
        <charset val="136"/>
      </rPr>
      <t>以下資訊由實驗室登載事項:</t>
    </r>
    <phoneticPr fontId="9" type="noConversion"/>
  </si>
  <si>
    <r>
      <t>養護方式:□</t>
    </r>
    <r>
      <rPr>
        <sz val="10"/>
        <rFont val="標楷體"/>
        <family val="4"/>
        <charset val="136"/>
      </rPr>
      <t>飽和石灰水□其他:</t>
    </r>
    <phoneticPr fontId="9" type="noConversion"/>
  </si>
  <si>
    <t xml:space="preserve">      養護條件:□23±2℃□其他:</t>
    <phoneticPr fontId="9" type="noConversion"/>
  </si>
  <si>
    <t>養護時間：　　　年　　　月　　　日　　　時　　　分 至　　　年　　　月　　　日　　　時　　　分</t>
    <phoneticPr fontId="9" type="noConversion"/>
  </si>
  <si>
    <t>說明:委託單位同意本實驗室將本單之資訊回報予TAF</t>
    <phoneticPr fontId="9" type="noConversion"/>
  </si>
  <si>
    <t>□樣品符合允收標準 □樣品退件說明</t>
    <phoneticPr fontId="9" type="noConversion"/>
  </si>
  <si>
    <t>1.本委託單經送驗者及收件者簽名即完成委託流程。</t>
    <phoneticPr fontId="9" type="noConversion"/>
  </si>
  <si>
    <r>
      <t>缺失：□裂紋 □缺角 □凹凸嚴重 □變形 □材質</t>
    </r>
    <r>
      <rPr>
        <sz val="10"/>
        <rFont val="新細明體"/>
        <family val="1"/>
        <charset val="136"/>
      </rPr>
      <t>、</t>
    </r>
    <r>
      <rPr>
        <sz val="10"/>
        <rFont val="標楷體"/>
        <family val="4"/>
        <charset val="136"/>
      </rPr>
      <t>質量不足 □尺寸不符 □受損 □其他：</t>
    </r>
    <phoneticPr fontId="9" type="noConversion"/>
  </si>
  <si>
    <t>3.實驗室僅做標準方法養護。</t>
    <phoneticPr fontId="9" type="noConversion"/>
  </si>
  <si>
    <t>收件時間：　　　年　　　月　　　日 　　　時　　　分　　收件者：</t>
    <phoneticPr fontId="9" type="noConversion"/>
  </si>
  <si>
    <t>業主</t>
    <phoneticPr fontId="1" type="noConversion"/>
  </si>
  <si>
    <t>廠商</t>
    <phoneticPr fontId="1" type="noConversion"/>
  </si>
  <si>
    <t>混凝土圓柱試體試驗委託單</t>
    <phoneticPr fontId="9" type="noConversion"/>
  </si>
  <si>
    <t>北投區致遠三路158號4樓</t>
    <phoneticPr fontId="9" type="noConversion"/>
  </si>
  <si>
    <t>5</t>
    <phoneticPr fontId="9" type="noConversion"/>
  </si>
  <si>
    <t>□自取 □郵寄</t>
    <phoneticPr fontId="9" type="noConversion"/>
  </si>
  <si>
    <t>混凝土圓柱試體尺寸：</t>
    <phoneticPr fontId="9" type="noConversion"/>
  </si>
  <si>
    <t>□∮12*24  □∮15*30  □其他：</t>
  </si>
  <si>
    <r>
      <rPr>
        <b/>
        <sz val="11"/>
        <rFont val="標楷體"/>
        <family val="4"/>
        <charset val="136"/>
      </rPr>
      <t>設計強度</t>
    </r>
    <r>
      <rPr>
        <b/>
        <sz val="10"/>
        <rFont val="標楷體"/>
        <family val="4"/>
        <charset val="136"/>
      </rPr>
      <t xml:space="preserve">
(kgf/cm²)</t>
    </r>
    <phoneticPr fontId="9" type="noConversion"/>
  </si>
  <si>
    <t>混凝土試體抗壓試驗</t>
    <phoneticPr fontId="9" type="noConversion"/>
  </si>
  <si>
    <t xml:space="preserve"> CNS 1232(2002)</t>
    <phoneticPr fontId="9" type="noConversion"/>
  </si>
  <si>
    <t>□同供料廠商 □工地養護 □其他：　　　養護方式：□飽和石灰水  其他：□自然曝氣 □清水 　　　養護條件：□23±2℃  其他：□常溫</t>
    <phoneticPr fontId="9" type="noConversion"/>
  </si>
  <si>
    <t>特別協議事項:</t>
    <phoneticPr fontId="9" type="noConversion"/>
  </si>
  <si>
    <t xml:space="preserve">收件方式：樣品接收時間：　　　年　　　月　　　日　　　時　　　分　□實驗室 □工地現場 □郵寄/貨運 □其他：  </t>
    <phoneticPr fontId="9" type="noConversion"/>
  </si>
  <si>
    <t xml:space="preserve">收件時試體承壓面狀態：□貼試體單 □表面自然狀態 □嚴重不良 □已做處裡　　收件時試體乾溼狀態：□面乾 □潮濕   </t>
    <phoneticPr fontId="9" type="noConversion"/>
  </si>
  <si>
    <t>實驗室養護：養護方式：□飽和石灰水　　養護條件：□23±2℃</t>
    <phoneticPr fontId="9" type="noConversion"/>
  </si>
  <si>
    <t>試驗時試體乾溼狀態：□面乾 □潮濕　　試體承壓面處理方式：□蓋平 □磨平　　處理單位：□本實驗室</t>
    <phoneticPr fontId="9" type="noConversion"/>
  </si>
  <si>
    <t>2.若試樣在端面處裡後不符合規範要求時，將另行通知。</t>
    <phoneticPr fontId="9" type="noConversion"/>
  </si>
  <si>
    <t>4.材齡少於7天，則製作時間需填至"時"。</t>
    <phoneticPr fontId="9" type="noConversion"/>
  </si>
  <si>
    <t>YCCON01</t>
    <phoneticPr fontId="9" type="noConversion"/>
  </si>
  <si>
    <t>(02)2894-1204</t>
  </si>
  <si>
    <t>曾晧哲</t>
  </si>
  <si>
    <t>供料</t>
    <phoneticPr fontId="1" type="noConversion"/>
  </si>
  <si>
    <t>龍形企業股份有限公司</t>
    <phoneticPr fontId="1" type="noConversion"/>
  </si>
  <si>
    <t>84965983</t>
  </si>
  <si>
    <t>上溢營造股份有限公司</t>
  </si>
  <si>
    <t>提送</t>
    <phoneticPr fontId="1" type="noConversion"/>
  </si>
  <si>
    <t>O</t>
    <phoneticPr fontId="1" type="noConversion"/>
  </si>
  <si>
    <t>大象實業股份有限公司</t>
    <phoneticPr fontId="1" type="noConversion"/>
  </si>
  <si>
    <t>提送</t>
  </si>
  <si>
    <t>業主</t>
    <phoneticPr fontId="1" type="noConversion"/>
  </si>
  <si>
    <t>項目</t>
    <phoneticPr fontId="1" type="noConversion"/>
  </si>
  <si>
    <t>歸檔</t>
    <phoneticPr fontId="1" type="noConversion"/>
  </si>
  <si>
    <t>拿到</t>
    <phoneticPr fontId="1" type="noConversion"/>
  </si>
  <si>
    <t>自主檢查統計表</t>
    <phoneticPr fontId="1" type="noConversion"/>
  </si>
  <si>
    <t>蔡雄輝</t>
    <phoneticPr fontId="1" type="noConversion"/>
  </si>
  <si>
    <t>#3</t>
    <phoneticPr fontId="1" type="noConversion"/>
  </si>
  <si>
    <t>#4</t>
    <phoneticPr fontId="1" type="noConversion"/>
  </si>
  <si>
    <t>#5</t>
    <phoneticPr fontId="1" type="noConversion"/>
  </si>
  <si>
    <t>#6</t>
    <phoneticPr fontId="1" type="noConversion"/>
  </si>
  <si>
    <t>#7</t>
    <phoneticPr fontId="1" type="noConversion"/>
  </si>
  <si>
    <t>#8</t>
    <phoneticPr fontId="1" type="noConversion"/>
  </si>
  <si>
    <t>#9</t>
    <phoneticPr fontId="1" type="noConversion"/>
  </si>
  <si>
    <t>#10</t>
    <phoneticPr fontId="1" type="noConversion"/>
  </si>
  <si>
    <t>今塘</t>
    <phoneticPr fontId="1" type="noConversion"/>
  </si>
  <si>
    <t>EK-</t>
    <phoneticPr fontId="1" type="noConversion"/>
  </si>
  <si>
    <t>磺港溪再造C段護岸及步道整建工程（延壽橋至三合橋）</t>
  </si>
  <si>
    <t>申請取樣</t>
    <phoneticPr fontId="1" type="noConversion"/>
  </si>
  <si>
    <t>.</t>
    <phoneticPr fontId="1" type="noConversion"/>
  </si>
  <si>
    <t>EC-</t>
    <phoneticPr fontId="1" type="noConversion"/>
  </si>
  <si>
    <t>鋼筋工程</t>
  </si>
  <si>
    <t>混凝土工程</t>
  </si>
  <si>
    <t>植筋工程</t>
  </si>
  <si>
    <t>EG-</t>
    <phoneticPr fontId="1" type="noConversion"/>
  </si>
  <si>
    <t>EI-</t>
    <phoneticPr fontId="1" type="noConversion"/>
  </si>
  <si>
    <t>EJ-</t>
    <phoneticPr fontId="1" type="noConversion"/>
  </si>
  <si>
    <t>EM-</t>
    <phoneticPr fontId="1" type="noConversion"/>
  </si>
  <si>
    <t>EO-</t>
    <phoneticPr fontId="1" type="noConversion"/>
  </si>
  <si>
    <t>EQ-</t>
    <phoneticPr fontId="1" type="noConversion"/>
  </si>
  <si>
    <t>ER-</t>
    <phoneticPr fontId="1" type="noConversion"/>
  </si>
  <si>
    <t>ES-</t>
    <phoneticPr fontId="1" type="noConversion"/>
  </si>
  <si>
    <t>ET-</t>
    <phoneticPr fontId="1" type="noConversion"/>
  </si>
  <si>
    <t>EU-</t>
    <phoneticPr fontId="1" type="noConversion"/>
  </si>
  <si>
    <t>EV-</t>
    <phoneticPr fontId="1" type="noConversion"/>
  </si>
  <si>
    <t>EW-</t>
    <phoneticPr fontId="1" type="noConversion"/>
  </si>
  <si>
    <t>EX-</t>
    <phoneticPr fontId="1" type="noConversion"/>
  </si>
  <si>
    <t>EAB-</t>
    <phoneticPr fontId="1" type="noConversion"/>
  </si>
  <si>
    <t>EA-1121120</t>
    <phoneticPr fontId="1" type="noConversion"/>
  </si>
  <si>
    <t>EA-1121113</t>
    <phoneticPr fontId="1" type="noConversion"/>
  </si>
  <si>
    <t>EB-1121113</t>
    <phoneticPr fontId="1" type="noConversion"/>
  </si>
  <si>
    <t>EB-1121116</t>
    <phoneticPr fontId="1" type="noConversion"/>
  </si>
  <si>
    <t>EB-1121123</t>
    <phoneticPr fontId="1" type="noConversion"/>
  </si>
  <si>
    <t>EB-1121127</t>
    <phoneticPr fontId="1" type="noConversion"/>
  </si>
  <si>
    <t>EB-1121108</t>
    <phoneticPr fontId="1" type="noConversion"/>
  </si>
  <si>
    <t>EB-1121122</t>
    <phoneticPr fontId="1" type="noConversion"/>
  </si>
  <si>
    <t>預力混凝土基樁</t>
    <phoneticPr fontId="1" type="noConversion"/>
  </si>
  <si>
    <t>砌塊石護岸</t>
    <phoneticPr fontId="1" type="noConversion"/>
  </si>
  <si>
    <t>低水護岸</t>
    <phoneticPr fontId="1" type="noConversion"/>
  </si>
  <si>
    <t>土方開挖</t>
    <phoneticPr fontId="1" type="noConversion"/>
  </si>
  <si>
    <t>土方回填(含級配)</t>
    <phoneticPr fontId="1" type="noConversion"/>
  </si>
  <si>
    <t>測量放樣</t>
    <phoneticPr fontId="1" type="noConversion"/>
  </si>
  <si>
    <t>固床工</t>
    <phoneticPr fontId="1" type="noConversion"/>
  </si>
  <si>
    <t>全套管基樁</t>
    <phoneticPr fontId="1" type="noConversion"/>
  </si>
  <si>
    <t>鋼版樁</t>
    <phoneticPr fontId="1" type="noConversion"/>
  </si>
  <si>
    <t>路床/路基高程</t>
    <phoneticPr fontId="1" type="noConversion"/>
  </si>
  <si>
    <t>瀝青混凝土</t>
    <phoneticPr fontId="1" type="noConversion"/>
  </si>
  <si>
    <t>景觀鋪面(一)</t>
    <phoneticPr fontId="1" type="noConversion"/>
  </si>
  <si>
    <t>景觀鋪面(二)</t>
    <phoneticPr fontId="1" type="noConversion"/>
  </si>
  <si>
    <t>預鑄緣石</t>
    <phoneticPr fontId="1" type="noConversion"/>
  </si>
  <si>
    <t>鋼構工程吊裝</t>
    <phoneticPr fontId="1" type="noConversion"/>
  </si>
  <si>
    <t>鋼構工程塗裝</t>
    <phoneticPr fontId="1" type="noConversion"/>
  </si>
  <si>
    <t>排水設施(一)</t>
    <phoneticPr fontId="1" type="noConversion"/>
  </si>
  <si>
    <t>排水設施(二)</t>
    <phoneticPr fontId="1" type="noConversion"/>
  </si>
  <si>
    <t>木構造</t>
    <phoneticPr fontId="1" type="noConversion"/>
  </si>
  <si>
    <t>管路</t>
    <phoneticPr fontId="1" type="noConversion"/>
  </si>
  <si>
    <t>既有橋梁拆除</t>
    <phoneticPr fontId="1" type="noConversion"/>
  </si>
  <si>
    <t>EY-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</si>
  <si>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</si>
  <si>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</si>
  <si>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</si>
  <si>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</si>
  <si>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</si>
  <si>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</si>
  <si>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</si>
  <si>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</si>
  <si>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</si>
  <si>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</si>
  <si>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</si>
  <si>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</si>
  <si>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</si>
  <si>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</si>
  <si>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</si>
  <si>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</si>
  <si>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</si>
  <si>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</si>
  <si>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</si>
  <si>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</si>
  <si>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</si>
  <si>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</si>
  <si>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</si>
  <si>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</si>
  <si>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</si>
  <si>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</si>
  <si>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AA</t>
    <phoneticPr fontId="1" type="noConversion"/>
  </si>
  <si>
    <t>AB</t>
    <phoneticPr fontId="1" type="noConversion"/>
  </si>
  <si>
    <t>EA-1121202</t>
    <phoneticPr fontId="1" type="noConversion"/>
  </si>
  <si>
    <t>EA-1121203</t>
    <phoneticPr fontId="1" type="noConversion"/>
  </si>
  <si>
    <t>EA-1130106</t>
    <phoneticPr fontId="1" type="noConversion"/>
  </si>
  <si>
    <t>EB-1121204</t>
    <phoneticPr fontId="1" type="noConversion"/>
  </si>
  <si>
    <t>EB-1121205</t>
    <phoneticPr fontId="1" type="noConversion"/>
  </si>
  <si>
    <t>EB-1121206</t>
    <phoneticPr fontId="1" type="noConversion"/>
  </si>
  <si>
    <t>EB-1121207</t>
    <phoneticPr fontId="1" type="noConversion"/>
  </si>
  <si>
    <t>EB-1121209</t>
    <phoneticPr fontId="1" type="noConversion"/>
  </si>
  <si>
    <t>EB-1121210</t>
    <phoneticPr fontId="1" type="noConversion"/>
  </si>
  <si>
    <t>EB-1130102</t>
    <phoneticPr fontId="1" type="noConversion"/>
  </si>
  <si>
    <t>EB-1130103</t>
    <phoneticPr fontId="1" type="noConversion"/>
  </si>
  <si>
    <t>EB-1130104</t>
    <phoneticPr fontId="1" type="noConversion"/>
  </si>
  <si>
    <t>EF-1121229</t>
    <phoneticPr fontId="1" type="noConversion"/>
  </si>
  <si>
    <t>共月橋全套管基樁1</t>
    <phoneticPr fontId="1" type="noConversion"/>
  </si>
  <si>
    <t>EF-1130105</t>
    <phoneticPr fontId="1" type="noConversion"/>
  </si>
  <si>
    <t>共月橋全套管基樁2</t>
    <phoneticPr fontId="1" type="noConversion"/>
  </si>
  <si>
    <t>EF-1130109</t>
    <phoneticPr fontId="1" type="noConversion"/>
  </si>
  <si>
    <t>共月橋全套管基樁4</t>
    <phoneticPr fontId="1" type="noConversion"/>
  </si>
  <si>
    <t>EF-1130112</t>
    <phoneticPr fontId="1" type="noConversion"/>
  </si>
  <si>
    <t>共月橋全套管基樁3</t>
    <phoneticPr fontId="1" type="noConversion"/>
  </si>
  <si>
    <t>共月橋全套管基樁1鋼筋籠</t>
    <phoneticPr fontId="1" type="noConversion"/>
  </si>
  <si>
    <t>業主、監造</t>
    <phoneticPr fontId="1" type="noConversion"/>
  </si>
  <si>
    <t>EL-1130105</t>
    <phoneticPr fontId="1" type="noConversion"/>
  </si>
  <si>
    <t>共月橋全套管基樁4鋼筋籠</t>
    <phoneticPr fontId="1" type="noConversion"/>
  </si>
  <si>
    <t>EL-1130109</t>
    <phoneticPr fontId="1" type="noConversion"/>
  </si>
  <si>
    <t>共月橋全套管基樁3鋼筋籠</t>
    <phoneticPr fontId="1" type="noConversion"/>
  </si>
  <si>
    <t>擋土牆TYPE3</t>
    <phoneticPr fontId="1" type="noConversion"/>
  </si>
  <si>
    <t>EH-1121227</t>
    <phoneticPr fontId="1" type="noConversion"/>
  </si>
  <si>
    <t>EH-1121228</t>
    <phoneticPr fontId="1" type="noConversion"/>
  </si>
  <si>
    <t>EL-1121229</t>
    <phoneticPr fontId="1" type="noConversion"/>
  </si>
  <si>
    <t>EL-1130112</t>
    <phoneticPr fontId="1" type="noConversion"/>
  </si>
  <si>
    <t>共月橋全套管基樁5鋼筋籠</t>
    <phoneticPr fontId="1" type="noConversion"/>
  </si>
  <si>
    <t>EAC-1121011</t>
    <phoneticPr fontId="1" type="noConversion"/>
  </si>
  <si>
    <t>EAC-1121017</t>
    <phoneticPr fontId="1" type="noConversion"/>
  </si>
  <si>
    <t>EAC-1121018</t>
  </si>
  <si>
    <t>EAC-1121019</t>
  </si>
  <si>
    <t>EAC-1121020</t>
  </si>
  <si>
    <t>EAC-1121021</t>
    <phoneticPr fontId="1" type="noConversion"/>
  </si>
  <si>
    <t>EAC-1121022</t>
    <phoneticPr fontId="1" type="noConversion"/>
  </si>
  <si>
    <t>EAC-1121023</t>
    <phoneticPr fontId="1" type="noConversion"/>
  </si>
  <si>
    <t>共月橋圍堰</t>
  </si>
  <si>
    <t>EN-1121207</t>
    <phoneticPr fontId="1" type="noConversion"/>
  </si>
  <si>
    <t>EN-1121219</t>
    <phoneticPr fontId="1" type="noConversion"/>
  </si>
  <si>
    <t>SD420W</t>
    <phoneticPr fontId="1" type="noConversion"/>
  </si>
  <si>
    <t>U205068</t>
    <phoneticPr fontId="1" type="noConversion"/>
  </si>
  <si>
    <t>D19</t>
    <phoneticPr fontId="1" type="noConversion"/>
  </si>
  <si>
    <t>U205069</t>
    <phoneticPr fontId="1" type="noConversion"/>
  </si>
  <si>
    <t>U204904</t>
    <phoneticPr fontId="1" type="noConversion"/>
  </si>
  <si>
    <t>D25</t>
    <phoneticPr fontId="1" type="noConversion"/>
  </si>
  <si>
    <t>U204905</t>
    <phoneticPr fontId="1" type="noConversion"/>
  </si>
  <si>
    <t>SD280W</t>
    <phoneticPr fontId="1" type="noConversion"/>
  </si>
  <si>
    <t>U203012</t>
    <phoneticPr fontId="1" type="noConversion"/>
  </si>
  <si>
    <t>D10</t>
    <phoneticPr fontId="1" type="noConversion"/>
  </si>
  <si>
    <t>U204705</t>
    <phoneticPr fontId="1" type="noConversion"/>
  </si>
  <si>
    <t>D13</t>
    <phoneticPr fontId="1" type="noConversion"/>
  </si>
  <si>
    <t>U206648</t>
    <phoneticPr fontId="1" type="noConversion"/>
  </si>
  <si>
    <t>D16</t>
    <phoneticPr fontId="1" type="noConversion"/>
  </si>
  <si>
    <t>U206649</t>
    <phoneticPr fontId="1" type="noConversion"/>
  </si>
  <si>
    <t>廠拌</t>
    <phoneticPr fontId="1" type="noConversion"/>
  </si>
  <si>
    <t>李晏然、游文圃、康祐銓</t>
    <phoneticPr fontId="1" type="noConversion"/>
  </si>
  <si>
    <t>李晏然</t>
    <phoneticPr fontId="1" type="noConversion"/>
  </si>
  <si>
    <t>游文圃</t>
    <phoneticPr fontId="1" type="noConversion"/>
  </si>
  <si>
    <t>康祐銓</t>
    <phoneticPr fontId="1" type="noConversion"/>
  </si>
  <si>
    <t>280W</t>
    <phoneticPr fontId="1" type="noConversion"/>
  </si>
  <si>
    <t>游文圃、郭冠廷</t>
    <phoneticPr fontId="1" type="noConversion"/>
  </si>
  <si>
    <t>游文圃、康祐銓</t>
    <phoneticPr fontId="1" type="noConversion"/>
  </si>
  <si>
    <t>聯合大學</t>
    <phoneticPr fontId="1" type="noConversion"/>
  </si>
  <si>
    <t>41支</t>
    <phoneticPr fontId="1" type="noConversion"/>
  </si>
  <si>
    <t>實驗室</t>
    <phoneticPr fontId="1" type="noConversion"/>
  </si>
  <si>
    <t>預力混凝土基樁材料進場統計表</t>
    <phoneticPr fontId="1" type="noConversion"/>
  </si>
  <si>
    <t>EL-1130118</t>
    <phoneticPr fontId="1" type="noConversion"/>
  </si>
  <si>
    <t>共月橋全套管基樁5</t>
    <phoneticPr fontId="1" type="noConversion"/>
  </si>
  <si>
    <t>EF-1130118</t>
    <phoneticPr fontId="1" type="noConversion"/>
  </si>
  <si>
    <t>監造、業主</t>
    <phoneticPr fontId="1" type="noConversion"/>
  </si>
  <si>
    <t>李晏然、游文圃、郭冠廷</t>
    <phoneticPr fontId="1" type="noConversion"/>
  </si>
  <si>
    <t>共月橋全套管基樁6鋼筋籠</t>
    <phoneticPr fontId="1" type="noConversion"/>
  </si>
  <si>
    <t>共月橋全套管基樁7鋼筋籠</t>
    <phoneticPr fontId="1" type="noConversion"/>
  </si>
  <si>
    <t>共月橋全套管基樁8鋼筋籠</t>
    <phoneticPr fontId="1" type="noConversion"/>
  </si>
  <si>
    <t>ED-1121225</t>
    <phoneticPr fontId="1" type="noConversion"/>
  </si>
  <si>
    <t>ED-1121226</t>
    <phoneticPr fontId="1" type="noConversion"/>
  </si>
  <si>
    <t>ED-1130108</t>
    <phoneticPr fontId="1" type="noConversion"/>
  </si>
  <si>
    <t>ED-1130116</t>
    <phoneticPr fontId="1" type="noConversion"/>
  </si>
  <si>
    <t>ED-1130119</t>
    <phoneticPr fontId="1" type="noConversion"/>
  </si>
  <si>
    <t>ED-1130119-1</t>
    <phoneticPr fontId="1" type="noConversion"/>
  </si>
  <si>
    <t>ED-1130119-2</t>
    <phoneticPr fontId="1" type="noConversion"/>
  </si>
  <si>
    <t>共月橋全套管基樁6</t>
    <phoneticPr fontId="1" type="noConversion"/>
  </si>
  <si>
    <t>共月橋全套管基樁7</t>
    <phoneticPr fontId="1" type="noConversion"/>
  </si>
  <si>
    <t>EL-1130123</t>
    <phoneticPr fontId="1" type="noConversion"/>
  </si>
  <si>
    <t>EL-1130120</t>
    <phoneticPr fontId="1" type="noConversion"/>
  </si>
  <si>
    <t>EF-1130120</t>
    <phoneticPr fontId="1" type="noConversion"/>
  </si>
  <si>
    <t>EF-1130123</t>
    <phoneticPr fontId="1" type="noConversion"/>
  </si>
  <si>
    <t>批次</t>
    <phoneticPr fontId="1" type="noConversion"/>
  </si>
  <si>
    <t>第一次</t>
    <phoneticPr fontId="1" type="noConversion"/>
  </si>
  <si>
    <t>第二次</t>
    <phoneticPr fontId="1" type="noConversion"/>
  </si>
  <si>
    <t>第三次</t>
    <phoneticPr fontId="1" type="noConversion"/>
  </si>
  <si>
    <t>SD420W</t>
  </si>
  <si>
    <t>U206275</t>
    <phoneticPr fontId="1" type="noConversion"/>
  </si>
  <si>
    <t>U206276</t>
    <phoneticPr fontId="1" type="noConversion"/>
  </si>
  <si>
    <t>D13</t>
  </si>
  <si>
    <t>D13</t>
    <phoneticPr fontId="1" type="noConversion"/>
  </si>
  <si>
    <t>D16</t>
    <phoneticPr fontId="1" type="noConversion"/>
  </si>
  <si>
    <t>U204365</t>
    <phoneticPr fontId="1" type="noConversion"/>
  </si>
  <si>
    <t>U204366</t>
    <phoneticPr fontId="1" type="noConversion"/>
  </si>
  <si>
    <t>D19</t>
    <phoneticPr fontId="1" type="noConversion"/>
  </si>
  <si>
    <t>U205366</t>
    <phoneticPr fontId="1" type="noConversion"/>
  </si>
  <si>
    <t>D22</t>
    <phoneticPr fontId="1" type="noConversion"/>
  </si>
  <si>
    <t>U205501</t>
    <phoneticPr fontId="1" type="noConversion"/>
  </si>
  <si>
    <t>U206196</t>
    <phoneticPr fontId="1" type="noConversion"/>
  </si>
  <si>
    <t>U206541</t>
    <phoneticPr fontId="1" type="noConversion"/>
  </si>
  <si>
    <t>D25</t>
    <phoneticPr fontId="1" type="noConversion"/>
  </si>
  <si>
    <t>D32</t>
    <phoneticPr fontId="1" type="noConversion"/>
  </si>
  <si>
    <t>U205423</t>
    <phoneticPr fontId="1" type="noConversion"/>
  </si>
  <si>
    <t>U205654</t>
    <phoneticPr fontId="1" type="noConversion"/>
  </si>
  <si>
    <t>EP-</t>
    <phoneticPr fontId="1" type="noConversion"/>
  </si>
  <si>
    <t>奇岩一號公園喬木</t>
  </si>
  <si>
    <t>EAA-1121116</t>
    <phoneticPr fontId="1" type="noConversion"/>
  </si>
  <si>
    <t>EAA-1121117</t>
    <phoneticPr fontId="1" type="noConversion"/>
  </si>
  <si>
    <t>模板工程</t>
    <phoneticPr fontId="1" type="noConversion"/>
  </si>
  <si>
    <t>鋼筋混凝土管</t>
    <phoneticPr fontId="1" type="noConversion"/>
  </si>
  <si>
    <t>植栽(移植)</t>
    <phoneticPr fontId="1" type="noConversion"/>
  </si>
  <si>
    <t>植栽(新植)</t>
    <phoneticPr fontId="1" type="noConversion"/>
  </si>
  <si>
    <t>照明</t>
    <phoneticPr fontId="1" type="noConversion"/>
  </si>
  <si>
    <t>EF-1130129</t>
    <phoneticPr fontId="1" type="noConversion"/>
  </si>
  <si>
    <t>共月橋全套管基樁8</t>
    <phoneticPr fontId="1" type="noConversion"/>
  </si>
  <si>
    <t>EF-1130130</t>
  </si>
  <si>
    <t>共月橋全套管基樁9</t>
    <phoneticPr fontId="1" type="noConversion"/>
  </si>
  <si>
    <t>EL-1130129</t>
    <phoneticPr fontId="1" type="noConversion"/>
  </si>
  <si>
    <t>EL-1130130</t>
    <phoneticPr fontId="1" type="noConversion"/>
  </si>
  <si>
    <t>EL-1130201</t>
    <phoneticPr fontId="1" type="noConversion"/>
  </si>
  <si>
    <t>共月橋全套管基樁10、11</t>
    <phoneticPr fontId="1" type="noConversion"/>
  </si>
  <si>
    <t>EF-1130201</t>
    <phoneticPr fontId="1" type="noConversion"/>
  </si>
  <si>
    <t>正誠工業有限公司</t>
    <phoneticPr fontId="1" type="noConversion"/>
  </si>
  <si>
    <t>新設河道(0K+500~0K+650)</t>
    <phoneticPr fontId="1" type="noConversion"/>
  </si>
  <si>
    <t>新設河道(0K+450~0K+650)</t>
    <phoneticPr fontId="1" type="noConversion"/>
  </si>
  <si>
    <t>新設河道(0K+300~0K+450)</t>
    <phoneticPr fontId="1" type="noConversion"/>
  </si>
  <si>
    <t>新設河道(0K+550~0K+600)第1層</t>
    <phoneticPr fontId="1" type="noConversion"/>
  </si>
  <si>
    <t>新設河道(0K+500~0K+550)第1層</t>
    <phoneticPr fontId="1" type="noConversion"/>
  </si>
  <si>
    <t>新設河道(0K+500~0K+550)第2層</t>
    <phoneticPr fontId="1" type="noConversion"/>
  </si>
  <si>
    <t>新設河道(0K+550~0K+600)第2層</t>
    <phoneticPr fontId="1" type="noConversion"/>
  </si>
  <si>
    <t>新設河道(0K+500~0K+550)第3層</t>
    <phoneticPr fontId="1" type="noConversion"/>
  </si>
  <si>
    <t>新設河道(0K+550~0K+600)第3層</t>
    <phoneticPr fontId="1" type="noConversion"/>
  </si>
  <si>
    <t>EAA-1121222</t>
    <phoneticPr fontId="1" type="noConversion"/>
  </si>
  <si>
    <t>EAA-1121224</t>
    <phoneticPr fontId="1" type="noConversion"/>
  </si>
  <si>
    <t>EAA-1121225</t>
    <phoneticPr fontId="1" type="noConversion"/>
  </si>
  <si>
    <t>磺港溪1號橋AC刨除</t>
    <phoneticPr fontId="1" type="noConversion"/>
  </si>
  <si>
    <t>磺港溪1號橋(跨距1)切割</t>
    <phoneticPr fontId="1" type="noConversion"/>
  </si>
  <si>
    <t>磺港溪1號橋(跨距1)吊運</t>
    <phoneticPr fontId="1" type="noConversion"/>
  </si>
  <si>
    <t>磺港溪1號橋(跨距2)切割</t>
    <phoneticPr fontId="1" type="noConversion"/>
  </si>
  <si>
    <t>磺港溪1號橋(跨距2)吊運</t>
    <phoneticPr fontId="1" type="noConversion"/>
  </si>
  <si>
    <t>共月橋全套管基樁9鋼筋籠</t>
    <phoneticPr fontId="1" type="noConversion"/>
  </si>
  <si>
    <t>共月橋全套管基樁11鋼筋籠</t>
    <phoneticPr fontId="1" type="noConversion"/>
  </si>
  <si>
    <t>共月橋全套管基樁10鋼筋籠</t>
    <phoneticPr fontId="1" type="noConversion"/>
  </si>
  <si>
    <t>共月橋全套管基樁2鋼筋籠</t>
    <phoneticPr fontId="1" type="noConversion"/>
  </si>
  <si>
    <t>EB-1130216</t>
    <phoneticPr fontId="1" type="noConversion"/>
  </si>
  <si>
    <t>EF-1130217</t>
    <phoneticPr fontId="1" type="noConversion"/>
  </si>
  <si>
    <t>台隆</t>
    <phoneticPr fontId="1" type="noConversion"/>
  </si>
  <si>
    <t>臺北市工務局</t>
    <phoneticPr fontId="1" type="noConversion"/>
  </si>
  <si>
    <t>今塘、臺北市工務局</t>
    <phoneticPr fontId="1" type="noConversion"/>
  </si>
  <si>
    <t>地梁(0K+500~0K+625)</t>
    <phoneticPr fontId="1" type="noConversion"/>
  </si>
  <si>
    <t>EA-1130216</t>
    <phoneticPr fontId="1" type="noConversion"/>
  </si>
  <si>
    <t>主辦、監造</t>
    <phoneticPr fontId="1" type="noConversion"/>
  </si>
  <si>
    <t>ED-1130109</t>
    <phoneticPr fontId="1" type="noConversion"/>
  </si>
  <si>
    <t>ED-1130130</t>
    <phoneticPr fontId="1" type="noConversion"/>
  </si>
  <si>
    <t>ED-1130130-1</t>
    <phoneticPr fontId="1" type="noConversion"/>
  </si>
  <si>
    <t>ED-1130130-2</t>
    <phoneticPr fontId="1" type="noConversion"/>
  </si>
  <si>
    <t>ED-1121226-1</t>
    <phoneticPr fontId="1" type="noConversion"/>
  </si>
  <si>
    <t>ED-1130220</t>
    <phoneticPr fontId="1" type="noConversion"/>
  </si>
  <si>
    <t>地梁(0K+540~0K+625)</t>
    <phoneticPr fontId="1" type="noConversion"/>
  </si>
  <si>
    <t>EF-1130222</t>
    <phoneticPr fontId="1" type="noConversion"/>
  </si>
  <si>
    <t>280二型</t>
    <phoneticPr fontId="1" type="noConversion"/>
  </si>
  <si>
    <t>EL-1130111</t>
    <phoneticPr fontId="1" type="noConversion"/>
  </si>
  <si>
    <t>共月橋全套管基樁3澆置</t>
    <phoneticPr fontId="1" type="noConversion"/>
  </si>
  <si>
    <t>EL-1130117</t>
    <phoneticPr fontId="1" type="noConversion"/>
  </si>
  <si>
    <t>共月橋全套管基樁5澆置</t>
    <phoneticPr fontId="1" type="noConversion"/>
  </si>
  <si>
    <t>EL-1130131</t>
    <phoneticPr fontId="1" type="noConversion"/>
  </si>
  <si>
    <t>共月橋全套管基樁10、11澆置</t>
    <phoneticPr fontId="1" type="noConversion"/>
  </si>
  <si>
    <t>EL-1130201-1</t>
    <phoneticPr fontId="1" type="noConversion"/>
  </si>
  <si>
    <t>共月橋全套管基樁11</t>
    <phoneticPr fontId="1" type="noConversion"/>
  </si>
  <si>
    <t>共月橋全套管基樁10</t>
    <phoneticPr fontId="1" type="noConversion"/>
  </si>
  <si>
    <t>EAC-1121026</t>
    <phoneticPr fontId="1" type="noConversion"/>
  </si>
  <si>
    <t>EAC-1121024</t>
    <phoneticPr fontId="1" type="noConversion"/>
  </si>
  <si>
    <t>人行路橋切割</t>
    <phoneticPr fontId="1" type="noConversion"/>
  </si>
  <si>
    <t>人行路橋吊運</t>
    <phoneticPr fontId="1" type="noConversion"/>
  </si>
  <si>
    <t>EAC-1121027</t>
    <phoneticPr fontId="1" type="noConversion"/>
  </si>
  <si>
    <t>EAC-1121128</t>
    <phoneticPr fontId="1" type="noConversion"/>
  </si>
  <si>
    <t>EH-1121225</t>
    <phoneticPr fontId="1" type="noConversion"/>
  </si>
  <si>
    <t>擋土牆TYPE3(施工前)</t>
    <phoneticPr fontId="1" type="noConversion"/>
  </si>
  <si>
    <t>EE-1130221</t>
    <phoneticPr fontId="1" type="noConversion"/>
  </si>
  <si>
    <t>砌石(0K+500~0K+625)</t>
    <phoneticPr fontId="1" type="noConversion"/>
  </si>
  <si>
    <t>EA-1130304</t>
    <phoneticPr fontId="1" type="noConversion"/>
  </si>
  <si>
    <t>EF-1130305</t>
    <phoneticPr fontId="1" type="noConversion"/>
  </si>
  <si>
    <t>ED-1130306</t>
    <phoneticPr fontId="1" type="noConversion"/>
  </si>
  <si>
    <t>共月橋P1、P2橋台基礎</t>
    <phoneticPr fontId="1" type="noConversion"/>
  </si>
  <si>
    <t>共月橋P1、P2橋台、砌石0K+540~0K+625底</t>
    <phoneticPr fontId="1" type="noConversion"/>
  </si>
  <si>
    <t>EE-1130307</t>
    <phoneticPr fontId="1" type="noConversion"/>
  </si>
  <si>
    <t>EF-1130307</t>
    <phoneticPr fontId="1" type="noConversion"/>
  </si>
  <si>
    <t>郭冠廷</t>
    <phoneticPr fontId="1" type="noConversion"/>
  </si>
  <si>
    <t>白博文</t>
  </si>
  <si>
    <t>白博文</t>
    <phoneticPr fontId="1" type="noConversion"/>
  </si>
  <si>
    <t>白博文、郭冠廷</t>
    <phoneticPr fontId="1" type="noConversion"/>
  </si>
  <si>
    <t>EAC-1130305</t>
    <phoneticPr fontId="1" type="noConversion"/>
  </si>
  <si>
    <t>三合橋切割</t>
    <phoneticPr fontId="1" type="noConversion"/>
  </si>
  <si>
    <t>EAC-1130311</t>
    <phoneticPr fontId="1" type="noConversion"/>
  </si>
  <si>
    <t>三合橋吊運</t>
    <phoneticPr fontId="1" type="noConversion"/>
  </si>
  <si>
    <t>EAA-1120923</t>
    <phoneticPr fontId="1" type="noConversion"/>
  </si>
  <si>
    <t>EAA-1120925</t>
    <phoneticPr fontId="1" type="noConversion"/>
  </si>
  <si>
    <t>奇岩一號公園喬木</t>
    <phoneticPr fontId="1" type="noConversion"/>
  </si>
  <si>
    <t>地梁(0K+500~0K+625)底PC</t>
    <phoneticPr fontId="1" type="noConversion"/>
  </si>
  <si>
    <t>EB-1130304</t>
    <phoneticPr fontId="1" type="noConversion"/>
  </si>
  <si>
    <t>新設河道(0K+306~0K+500)第1層</t>
    <phoneticPr fontId="1" type="noConversion"/>
  </si>
  <si>
    <t>EB-1130311</t>
    <phoneticPr fontId="1" type="noConversion"/>
  </si>
  <si>
    <t>EB-1130312</t>
    <phoneticPr fontId="1" type="noConversion"/>
  </si>
  <si>
    <t>EB-1130313</t>
    <phoneticPr fontId="1" type="noConversion"/>
  </si>
  <si>
    <t>新設河道(0K+306~0K+500)第2層</t>
    <phoneticPr fontId="1" type="noConversion"/>
  </si>
  <si>
    <t>新設河道(0K+306~0K+500)第3層</t>
    <phoneticPr fontId="1" type="noConversion"/>
  </si>
  <si>
    <t>新設河道(0K+306~0K+400)第3層</t>
    <phoneticPr fontId="1" type="noConversion"/>
  </si>
  <si>
    <t>ED-1130312</t>
    <phoneticPr fontId="1" type="noConversion"/>
  </si>
  <si>
    <t>共月橋P1、P2橋墩柱</t>
    <phoneticPr fontId="1" type="noConversion"/>
  </si>
  <si>
    <t>EE-1130313</t>
    <phoneticPr fontId="1" type="noConversion"/>
  </si>
  <si>
    <t>EF-1130313</t>
    <phoneticPr fontId="1" type="noConversion"/>
  </si>
  <si>
    <t>三合橋圍堰</t>
    <phoneticPr fontId="1" type="noConversion"/>
  </si>
  <si>
    <t>EN-1130313</t>
    <phoneticPr fontId="1" type="noConversion"/>
  </si>
  <si>
    <t>EB-1130314</t>
    <phoneticPr fontId="1" type="noConversion"/>
  </si>
  <si>
    <t>地梁(0K+306~0K+500)</t>
    <phoneticPr fontId="1" type="noConversion"/>
  </si>
  <si>
    <t>測量放樣</t>
  </si>
  <si>
    <t>土方開挖</t>
  </si>
  <si>
    <t>土方回填(含級配)</t>
  </si>
  <si>
    <t>模板工程</t>
  </si>
  <si>
    <t>預力混凝土基樁</t>
  </si>
  <si>
    <t>砌塊石護岸</t>
  </si>
  <si>
    <t>低水護岸</t>
  </si>
  <si>
    <t>固床工</t>
  </si>
  <si>
    <t>全套管基樁</t>
  </si>
  <si>
    <t>鋼筋混凝土管</t>
  </si>
  <si>
    <t>鋼版樁</t>
  </si>
  <si>
    <t>路床/路基高程</t>
  </si>
  <si>
    <t>瀝青混凝土</t>
  </si>
  <si>
    <t>景觀鋪面(一)</t>
  </si>
  <si>
    <t>景觀鋪面(二)</t>
  </si>
  <si>
    <t>預鑄緣石</t>
  </si>
  <si>
    <t>鋼構工程吊裝</t>
  </si>
  <si>
    <t>鋼構工程塗裝</t>
  </si>
  <si>
    <t>排水設施(一)</t>
  </si>
  <si>
    <t>排水設施(二)</t>
  </si>
  <si>
    <t>木構造</t>
  </si>
  <si>
    <t>管路</t>
  </si>
  <si>
    <t>植栽(移植)</t>
  </si>
  <si>
    <t>植栽(新植)</t>
  </si>
  <si>
    <t>照明</t>
  </si>
  <si>
    <t>既有橋梁拆除</t>
  </si>
  <si>
    <t>第四次</t>
  </si>
  <si>
    <t>第四次</t>
    <phoneticPr fontId="1" type="noConversion"/>
  </si>
  <si>
    <t>U206727</t>
    <phoneticPr fontId="1" type="noConversion"/>
  </si>
  <si>
    <t>U206728</t>
    <phoneticPr fontId="1" type="noConversion"/>
  </si>
  <si>
    <t>U205935</t>
    <phoneticPr fontId="1" type="noConversion"/>
  </si>
  <si>
    <t>D25</t>
  </si>
  <si>
    <t>EF-1130325</t>
    <phoneticPr fontId="1" type="noConversion"/>
  </si>
  <si>
    <t>地梁(0K+306~0K+500)底PC</t>
    <phoneticPr fontId="1" type="noConversion"/>
  </si>
  <si>
    <t>EA-1130314</t>
    <phoneticPr fontId="1" type="noConversion"/>
  </si>
  <si>
    <t>地梁(0K+306~0K+540)</t>
    <phoneticPr fontId="1" type="noConversion"/>
  </si>
  <si>
    <t>EE-1130327</t>
    <phoneticPr fontId="1" type="noConversion"/>
  </si>
  <si>
    <t>ED-1130326</t>
    <phoneticPr fontId="1" type="noConversion"/>
  </si>
  <si>
    <t>EF-1130327</t>
    <phoneticPr fontId="1" type="noConversion"/>
  </si>
  <si>
    <t>地梁(0K+440~0K+480)</t>
    <phoneticPr fontId="1" type="noConversion"/>
  </si>
  <si>
    <t>1920M2</t>
    <phoneticPr fontId="1" type="noConversion"/>
  </si>
  <si>
    <t>銲接鋼線網材料進場統計表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</si>
</sst>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m&quot;月&quot;d&quot;日&quot;"/>
    <numFmt numFmtId="177" formatCode="_-* #,##0_-;\-* #,##0_-;_-* &quot;-&quot;??_-;_-@_-"/>
    <numFmt numFmtId="178" formatCode="[$-404]e&quot;年&quot;m&quot;月&quot;d&quot;日&quot;;@"/>
    <numFmt numFmtId="179" formatCode="[&gt;99999999]0000\-000\-000;000\-000\-000"/>
    <numFmt numFmtId="180" formatCode="[$-404]ee\.mm\.dd;@"/>
  </numFmts>
  <fonts count="4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22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4"/>
      <name val="標楷體"/>
      <family val="4"/>
      <charset val="136"/>
    </font>
    <font>
      <sz val="14"/>
      <name val="標楷體"/>
      <family val="4"/>
      <charset val="136"/>
    </font>
    <font>
      <b/>
      <sz val="11"/>
      <name val="標楷體"/>
      <family val="4"/>
      <charset val="136"/>
    </font>
    <font>
      <b/>
      <sz val="11"/>
      <name val="Times New Roman"/>
      <family val="1"/>
    </font>
    <font>
      <b/>
      <sz val="11"/>
      <name val="新細明體"/>
      <family val="1"/>
      <charset val="136"/>
    </font>
    <font>
      <b/>
      <sz val="10"/>
      <name val="標楷體"/>
      <family val="4"/>
      <charset val="136"/>
    </font>
    <font>
      <b/>
      <sz val="12"/>
      <name val="標楷體"/>
      <family val="4"/>
      <charset val="136"/>
    </font>
    <font>
      <b/>
      <sz val="14"/>
      <color rgb="FF0000FF"/>
      <name val="標楷體"/>
      <family val="4"/>
      <charset val="136"/>
    </font>
    <font>
      <sz val="8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b/>
      <sz val="12"/>
      <color rgb="FF0000FF"/>
      <name val="標楷體"/>
      <family val="4"/>
      <charset val="136"/>
    </font>
    <font>
      <b/>
      <sz val="9"/>
      <name val="標楷體"/>
      <family val="4"/>
      <charset val="136"/>
    </font>
    <font>
      <b/>
      <sz val="20"/>
      <color rgb="FF0000FF"/>
      <name val="標楷體"/>
      <family val="4"/>
      <charset val="136"/>
    </font>
    <font>
      <b/>
      <sz val="14"/>
      <name val="Wingdings 3"/>
      <family val="1"/>
      <charset val="2"/>
    </font>
    <font>
      <b/>
      <sz val="14"/>
      <color theme="0"/>
      <name val="標楷體"/>
      <family val="4"/>
      <charset val="136"/>
    </font>
    <font>
      <b/>
      <sz val="12"/>
      <color rgb="FF00B050"/>
      <name val="標楷體"/>
      <family val="4"/>
      <charset val="136"/>
    </font>
    <font>
      <sz val="12"/>
      <color rgb="FF00B050"/>
      <name val="新細明體"/>
      <family val="1"/>
      <charset val="136"/>
    </font>
    <font>
      <b/>
      <sz val="11"/>
      <color rgb="FF0000FF"/>
      <name val="標楷體"/>
      <family val="4"/>
      <charset val="136"/>
    </font>
    <font>
      <b/>
      <u/>
      <sz val="13"/>
      <color rgb="FFC00000"/>
      <name val="標楷體"/>
      <family val="4"/>
      <charset val="136"/>
    </font>
    <font>
      <b/>
      <i/>
      <sz val="13"/>
      <color rgb="FFC00000"/>
      <name val="新細明體"/>
      <family val="1"/>
      <charset val="136"/>
    </font>
    <font>
      <sz val="10"/>
      <name val="標楷體"/>
      <family val="4"/>
      <charset val="136"/>
    </font>
    <font>
      <b/>
      <sz val="14"/>
      <color rgb="FF0000FF"/>
      <name val="新細明體"/>
      <family val="1"/>
      <charset val="136"/>
    </font>
    <font>
      <b/>
      <sz val="12"/>
      <name val="新細明體"/>
      <family val="1"/>
      <charset val="136"/>
    </font>
    <font>
      <sz val="10"/>
      <name val="新細明體"/>
      <family val="1"/>
      <charset val="136"/>
    </font>
    <font>
      <sz val="8"/>
      <color rgb="FFC00000"/>
      <name val="標楷體"/>
      <family val="4"/>
      <charset val="136"/>
    </font>
    <font>
      <sz val="12"/>
      <color rgb="FFC00000"/>
      <name val="標楷體"/>
      <family val="4"/>
      <charset val="136"/>
    </font>
    <font>
      <sz val="9"/>
      <name val="標楷體"/>
      <family val="4"/>
      <charset val="136"/>
    </font>
    <font>
      <sz val="12"/>
      <name val="Times New Roman"/>
      <family val="1"/>
    </font>
    <font>
      <sz val="11"/>
      <name val="新細明體"/>
      <family val="1"/>
      <charset val="136"/>
    </font>
    <font>
      <sz val="12"/>
      <name val="新細明體"/>
      <family val="1"/>
      <charset val="136"/>
    </font>
    <font>
      <sz val="1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0" fillId="0" borderId="0"/>
    <xf numFmtId="9" fontId="3" fillId="0" borderId="0" applyFont="0" applyFill="0" applyBorder="0" applyAlignment="0" applyProtection="0">
      <alignment vertical="center"/>
    </xf>
  </cellStyleXfs>
  <cellXfs count="3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vertical="center"/>
    </xf>
    <xf numFmtId="49" fontId="11" fillId="0" borderId="0" xfId="2" applyNumberFormat="1" applyFont="1" applyAlignment="1">
      <alignment horizontal="right"/>
    </xf>
    <xf numFmtId="49" fontId="12" fillId="0" borderId="16" xfId="2" applyNumberFormat="1" applyFont="1" applyBorder="1" applyAlignment="1">
      <alignment horizontal="right" vertical="center"/>
    </xf>
    <xf numFmtId="49" fontId="40" fillId="0" borderId="16" xfId="2" applyNumberFormat="1" applyBorder="1" applyAlignment="1">
      <alignment vertical="center"/>
    </xf>
    <xf numFmtId="0" fontId="17" fillId="0" borderId="0" xfId="2" applyFont="1" applyAlignment="1">
      <alignment horizontal="left" vertical="center"/>
    </xf>
    <xf numFmtId="49" fontId="20" fillId="0" borderId="3" xfId="2" applyNumberFormat="1" applyFont="1" applyBorder="1" applyAlignment="1">
      <alignment vertical="center" shrinkToFit="1"/>
    </xf>
    <xf numFmtId="49" fontId="20" fillId="0" borderId="3" xfId="2" applyNumberFormat="1" applyFont="1" applyBorder="1" applyAlignment="1" applyProtection="1">
      <alignment vertical="center" shrinkToFit="1"/>
      <protection locked="0"/>
    </xf>
    <xf numFmtId="0" fontId="28" fillId="0" borderId="16" xfId="2" applyFont="1" applyBorder="1" applyAlignment="1" applyProtection="1">
      <alignment horizontal="center" vertical="center"/>
      <protection locked="0"/>
    </xf>
    <xf numFmtId="0" fontId="16" fillId="0" borderId="16" xfId="2" applyFont="1" applyBorder="1" applyAlignment="1">
      <alignment vertical="center"/>
    </xf>
    <xf numFmtId="0" fontId="31" fillId="0" borderId="0" xfId="2" applyFont="1" applyAlignment="1">
      <alignment vertical="center"/>
    </xf>
    <xf numFmtId="0" fontId="5" fillId="0" borderId="0" xfId="2" applyFont="1" applyAlignment="1">
      <alignment horizontal="left" vertical="center"/>
    </xf>
    <xf numFmtId="49" fontId="18" fillId="0" borderId="25" xfId="2" applyNumberFormat="1" applyFont="1" applyBorder="1" applyAlignment="1" applyProtection="1">
      <alignment horizontal="left" vertical="center" shrinkToFit="1"/>
      <protection locked="0"/>
    </xf>
    <xf numFmtId="49" fontId="32" fillId="0" borderId="0" xfId="2" applyNumberFormat="1" applyFont="1" applyAlignment="1" applyProtection="1">
      <alignment horizontal="left" vertical="center" shrinkToFit="1"/>
      <protection locked="0"/>
    </xf>
    <xf numFmtId="49" fontId="32" fillId="0" borderId="26" xfId="2" applyNumberFormat="1" applyFont="1" applyBorder="1" applyAlignment="1" applyProtection="1">
      <alignment horizontal="left" vertical="center" shrinkToFit="1"/>
      <protection locked="0"/>
    </xf>
    <xf numFmtId="0" fontId="31" fillId="0" borderId="0" xfId="2" applyFont="1" applyAlignment="1">
      <alignment horizontal="left" vertical="center" wrapText="1"/>
    </xf>
    <xf numFmtId="0" fontId="31" fillId="0" borderId="0" xfId="2" applyFont="1" applyAlignment="1">
      <alignment vertical="center" wrapText="1"/>
    </xf>
    <xf numFmtId="0" fontId="5" fillId="0" borderId="0" xfId="2" applyFont="1" applyAlignment="1">
      <alignment horizontal="right" vertical="center"/>
    </xf>
    <xf numFmtId="0" fontId="37" fillId="0" borderId="0" xfId="2" applyFont="1" applyAlignment="1">
      <alignment vertical="center"/>
    </xf>
    <xf numFmtId="0" fontId="40" fillId="0" borderId="0" xfId="2"/>
    <xf numFmtId="0" fontId="5" fillId="0" borderId="0" xfId="2" applyFont="1"/>
    <xf numFmtId="0" fontId="31" fillId="0" borderId="0" xfId="2" applyFont="1" applyAlignment="1">
      <alignment horizontal="left" vertical="center"/>
    </xf>
    <xf numFmtId="0" fontId="31" fillId="0" borderId="0" xfId="2" applyFont="1" applyAlignment="1">
      <alignment horizontal="left"/>
    </xf>
    <xf numFmtId="0" fontId="31" fillId="0" borderId="0" xfId="2" applyFont="1"/>
    <xf numFmtId="0" fontId="40" fillId="0" borderId="0" xfId="2" applyAlignment="1">
      <alignment vertical="center"/>
    </xf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 textRotation="255"/>
    </xf>
    <xf numFmtId="0" fontId="39" fillId="0" borderId="0" xfId="2" applyFont="1" applyAlignment="1">
      <alignment vertical="center"/>
    </xf>
    <xf numFmtId="0" fontId="41" fillId="0" borderId="39" xfId="2" applyFont="1" applyBorder="1" applyAlignment="1">
      <alignment horizontal="left" vertical="center"/>
    </xf>
    <xf numFmtId="0" fontId="41" fillId="0" borderId="12" xfId="2" applyFont="1" applyBorder="1" applyAlignment="1">
      <alignment horizontal="left" vertical="center"/>
    </xf>
    <xf numFmtId="0" fontId="39" fillId="0" borderId="12" xfId="2" applyFont="1" applyBorder="1" applyAlignment="1">
      <alignment horizontal="left"/>
    </xf>
    <xf numFmtId="0" fontId="39" fillId="0" borderId="52" xfId="2" applyFont="1" applyBorder="1" applyAlignment="1">
      <alignment horizontal="left"/>
    </xf>
    <xf numFmtId="0" fontId="40" fillId="0" borderId="0" xfId="2" applyAlignment="1">
      <alignment horizontal="distributed" vertical="center"/>
    </xf>
    <xf numFmtId="0" fontId="17" fillId="0" borderId="0" xfId="2" applyFont="1" applyAlignment="1">
      <alignment horizontal="distributed" vertical="center"/>
    </xf>
    <xf numFmtId="177" fontId="2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14" fontId="2" fillId="0" borderId="59" xfId="0" applyNumberFormat="1" applyFont="1" applyBorder="1" applyAlignment="1">
      <alignment horizontal="center" vertical="center"/>
    </xf>
    <xf numFmtId="10" fontId="2" fillId="0" borderId="0" xfId="3" applyNumberFormat="1" applyFont="1" applyAlignment="1">
      <alignment horizontal="center" vertical="center"/>
    </xf>
    <xf numFmtId="10" fontId="2" fillId="0" borderId="15" xfId="3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10" fontId="2" fillId="0" borderId="61" xfId="3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176" fontId="2" fillId="0" borderId="59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 wrapText="1"/>
    </xf>
    <xf numFmtId="177" fontId="2" fillId="0" borderId="0" xfId="1" applyNumberFormat="1" applyFont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176" fontId="2" fillId="0" borderId="61" xfId="0" applyNumberFormat="1" applyFont="1" applyBorder="1" applyAlignment="1">
      <alignment horizontal="center" vertical="center"/>
    </xf>
    <xf numFmtId="14" fontId="2" fillId="0" borderId="63" xfId="0" applyNumberFormat="1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8" fontId="4" fillId="0" borderId="1" xfId="0" applyNumberFormat="1" applyFont="1" applyBorder="1" applyAlignment="1">
      <alignment horizontal="center" vertical="center"/>
    </xf>
    <xf numFmtId="178" fontId="2" fillId="0" borderId="59" xfId="0" applyNumberFormat="1" applyFont="1" applyBorder="1" applyAlignment="1">
      <alignment horizontal="center" vertical="center"/>
    </xf>
    <xf numFmtId="177" fontId="2" fillId="0" borderId="59" xfId="1" applyNumberFormat="1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178" fontId="2" fillId="0" borderId="68" xfId="0" applyNumberFormat="1" applyFont="1" applyBorder="1" applyAlignment="1">
      <alignment horizontal="center" vertical="center"/>
    </xf>
    <xf numFmtId="177" fontId="2" fillId="0" borderId="68" xfId="1" applyNumberFormat="1" applyFont="1" applyBorder="1" applyAlignment="1">
      <alignment horizontal="center" vertical="center"/>
    </xf>
    <xf numFmtId="177" fontId="2" fillId="0" borderId="69" xfId="1" applyNumberFormat="1" applyFont="1" applyBorder="1" applyAlignment="1">
      <alignment horizontal="center" vertical="center"/>
    </xf>
    <xf numFmtId="177" fontId="2" fillId="0" borderId="15" xfId="1" applyNumberFormat="1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178" fontId="2" fillId="0" borderId="71" xfId="0" applyNumberFormat="1" applyFont="1" applyBorder="1" applyAlignment="1">
      <alignment horizontal="center" vertical="center"/>
    </xf>
    <xf numFmtId="177" fontId="2" fillId="0" borderId="71" xfId="1" applyNumberFormat="1" applyFont="1" applyBorder="1" applyAlignment="1">
      <alignment horizontal="center" vertical="center"/>
    </xf>
    <xf numFmtId="177" fontId="2" fillId="0" borderId="72" xfId="1" applyNumberFormat="1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4" fontId="4" fillId="0" borderId="63" xfId="0" applyNumberFormat="1" applyFont="1" applyBorder="1" applyAlignment="1">
      <alignment horizontal="center" vertical="center"/>
    </xf>
    <xf numFmtId="177" fontId="4" fillId="0" borderId="63" xfId="1" applyNumberFormat="1" applyFont="1" applyBorder="1" applyAlignment="1">
      <alignment horizontal="center" vertical="center"/>
    </xf>
    <xf numFmtId="177" fontId="4" fillId="0" borderId="64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0" xfId="0" applyNumberFormat="1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78" fontId="2" fillId="0" borderId="73" xfId="0" applyNumberFormat="1" applyFont="1" applyBorder="1" applyAlignment="1">
      <alignment horizontal="center" vertical="center" wrapText="1"/>
    </xf>
    <xf numFmtId="178" fontId="4" fillId="0" borderId="6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40" fillId="0" borderId="0" xfId="2" applyAlignment="1">
      <alignment vertical="center"/>
    </xf>
    <xf numFmtId="0" fontId="17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39" fillId="0" borderId="0" xfId="2" applyFont="1" applyAlignment="1">
      <alignment vertical="center"/>
    </xf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distributed" vertical="center" wrapText="1"/>
    </xf>
    <xf numFmtId="0" fontId="40" fillId="0" borderId="0" xfId="2" applyAlignment="1">
      <alignment horizontal="distributed" vertical="center"/>
    </xf>
    <xf numFmtId="0" fontId="17" fillId="0" borderId="0" xfId="2" applyFont="1" applyAlignment="1">
      <alignment horizontal="distributed" vertical="center"/>
    </xf>
    <xf numFmtId="0" fontId="40" fillId="0" borderId="0" xfId="2" applyAlignment="1">
      <alignment horizontal="center" vertical="center"/>
    </xf>
    <xf numFmtId="0" fontId="5" fillId="0" borderId="0" xfId="2" applyFont="1" applyAlignment="1">
      <alignment vertical="center"/>
    </xf>
    <xf numFmtId="49" fontId="5" fillId="0" borderId="0" xfId="2" applyNumberFormat="1" applyFont="1" applyAlignment="1">
      <alignment horizontal="left" vertical="center"/>
    </xf>
    <xf numFmtId="49" fontId="17" fillId="0" borderId="0" xfId="2" applyNumberFormat="1" applyFont="1" applyAlignment="1">
      <alignment vertical="center"/>
    </xf>
    <xf numFmtId="0" fontId="33" fillId="0" borderId="0" xfId="2" applyFont="1"/>
    <xf numFmtId="0" fontId="5" fillId="0" borderId="0" xfId="2" applyFont="1" applyAlignment="1">
      <alignment horizontal="left" vertical="center"/>
    </xf>
    <xf numFmtId="0" fontId="40" fillId="0" borderId="0" xfId="2"/>
    <xf numFmtId="0" fontId="16" fillId="0" borderId="0" xfId="2" applyFont="1" applyAlignment="1">
      <alignment horizontal="center" vertical="center"/>
    </xf>
    <xf numFmtId="0" fontId="38" fillId="0" borderId="0" xfId="2" applyFont="1" applyAlignment="1">
      <alignment vertical="center"/>
    </xf>
    <xf numFmtId="0" fontId="38" fillId="0" borderId="0" xfId="2" applyFont="1"/>
    <xf numFmtId="0" fontId="31" fillId="0" borderId="0" xfId="2" applyFont="1" applyAlignment="1">
      <alignment horizontal="distributed" vertical="center"/>
    </xf>
    <xf numFmtId="0" fontId="31" fillId="0" borderId="0" xfId="2" applyFont="1" applyAlignment="1">
      <alignment horizontal="distributed"/>
    </xf>
    <xf numFmtId="0" fontId="16" fillId="0" borderId="0" xfId="2" applyFont="1" applyAlignment="1">
      <alignment vertical="center"/>
    </xf>
    <xf numFmtId="0" fontId="16" fillId="0" borderId="0" xfId="2" applyFont="1" applyAlignment="1">
      <alignment horizontal="center" vertical="center" wrapText="1"/>
    </xf>
    <xf numFmtId="0" fontId="35" fillId="0" borderId="42" xfId="2" applyFont="1" applyBorder="1" applyAlignment="1">
      <alignment horizontal="left" vertical="center" wrapText="1"/>
    </xf>
    <xf numFmtId="0" fontId="36" fillId="0" borderId="42" xfId="2" applyFont="1" applyBorder="1" applyAlignment="1">
      <alignment vertical="center" wrapText="1"/>
    </xf>
    <xf numFmtId="0" fontId="31" fillId="0" borderId="42" xfId="2" applyFont="1" applyBorder="1" applyAlignment="1">
      <alignment horizontal="right" vertical="center" wrapText="1"/>
    </xf>
    <xf numFmtId="0" fontId="40" fillId="0" borderId="42" xfId="2" applyBorder="1" applyAlignment="1">
      <alignment horizontal="right" vertical="center"/>
    </xf>
    <xf numFmtId="0" fontId="19" fillId="0" borderId="44" xfId="2" applyFont="1" applyBorder="1" applyAlignment="1">
      <alignment horizontal="left" vertical="top" shrinkToFit="1"/>
    </xf>
    <xf numFmtId="0" fontId="40" fillId="0" borderId="0" xfId="2" applyAlignment="1">
      <alignment vertical="top" shrinkToFit="1"/>
    </xf>
    <xf numFmtId="0" fontId="40" fillId="0" borderId="50" xfId="2" applyBorder="1" applyAlignment="1">
      <alignment vertical="top" shrinkToFit="1"/>
    </xf>
    <xf numFmtId="0" fontId="19" fillId="0" borderId="53" xfId="2" applyFont="1" applyBorder="1" applyAlignment="1">
      <alignment horizontal="left" vertical="top" shrinkToFit="1"/>
    </xf>
    <xf numFmtId="0" fontId="40" fillId="0" borderId="54" xfId="2" applyBorder="1" applyAlignment="1">
      <alignment vertical="top" shrinkToFit="1"/>
    </xf>
    <xf numFmtId="0" fontId="40" fillId="0" borderId="55" xfId="2" applyBorder="1" applyAlignment="1">
      <alignment vertical="top" shrinkToFit="1"/>
    </xf>
    <xf numFmtId="0" fontId="31" fillId="0" borderId="56" xfId="2" applyFont="1" applyBorder="1" applyAlignment="1">
      <alignment vertical="center"/>
    </xf>
    <xf numFmtId="0" fontId="31" fillId="0" borderId="57" xfId="2" applyFont="1" applyBorder="1" applyAlignment="1">
      <alignment vertical="center"/>
    </xf>
    <xf numFmtId="0" fontId="31" fillId="0" borderId="58" xfId="2" applyFont="1" applyBorder="1" applyAlignment="1">
      <alignment vertical="center"/>
    </xf>
    <xf numFmtId="0" fontId="19" fillId="0" borderId="44" xfId="2" applyFont="1" applyBorder="1" applyAlignment="1">
      <alignment horizontal="left" vertical="center" shrinkToFit="1"/>
    </xf>
    <xf numFmtId="0" fontId="40" fillId="0" borderId="0" xfId="2" applyAlignment="1">
      <alignment shrinkToFit="1"/>
    </xf>
    <xf numFmtId="0" fontId="40" fillId="0" borderId="50" xfId="2" applyBorder="1" applyAlignment="1">
      <alignment shrinkToFit="1"/>
    </xf>
    <xf numFmtId="0" fontId="41" fillId="0" borderId="51" xfId="2" applyFont="1" applyBorder="1" applyAlignment="1">
      <alignment horizontal="left" vertical="center"/>
    </xf>
    <xf numFmtId="0" fontId="41" fillId="0" borderId="0" xfId="2" applyFont="1" applyAlignment="1">
      <alignment horizontal="left" vertical="center"/>
    </xf>
    <xf numFmtId="0" fontId="39" fillId="0" borderId="0" xfId="2" applyFont="1" applyAlignment="1">
      <alignment horizontal="left"/>
    </xf>
    <xf numFmtId="0" fontId="39" fillId="0" borderId="45" xfId="2" applyFont="1" applyBorder="1" applyAlignment="1">
      <alignment horizontal="left"/>
    </xf>
    <xf numFmtId="0" fontId="19" fillId="0" borderId="48" xfId="2" applyFont="1" applyBorder="1" applyAlignment="1">
      <alignment horizontal="left" vertical="center" shrinkToFit="1"/>
    </xf>
    <xf numFmtId="0" fontId="40" fillId="0" borderId="13" xfId="2" applyBorder="1" applyAlignment="1">
      <alignment shrinkToFit="1"/>
    </xf>
    <xf numFmtId="0" fontId="40" fillId="0" borderId="35" xfId="2" applyBorder="1" applyAlignment="1">
      <alignment shrinkToFit="1"/>
    </xf>
    <xf numFmtId="0" fontId="31" fillId="0" borderId="36" xfId="2" applyFont="1" applyBorder="1" applyAlignment="1">
      <alignment vertical="center" shrinkToFit="1"/>
    </xf>
    <xf numFmtId="0" fontId="31" fillId="0" borderId="13" xfId="2" applyFont="1" applyBorder="1" applyAlignment="1">
      <alignment vertical="center" shrinkToFit="1"/>
    </xf>
    <xf numFmtId="0" fontId="34" fillId="0" borderId="13" xfId="2" applyFont="1" applyBorder="1" applyAlignment="1">
      <alignment shrinkToFit="1"/>
    </xf>
    <xf numFmtId="0" fontId="34" fillId="0" borderId="49" xfId="2" applyFont="1" applyBorder="1" applyAlignment="1">
      <alignment shrinkToFit="1"/>
    </xf>
    <xf numFmtId="0" fontId="40" fillId="0" borderId="51" xfId="2" applyBorder="1" applyAlignment="1">
      <alignment shrinkToFit="1"/>
    </xf>
    <xf numFmtId="0" fontId="40" fillId="0" borderId="45" xfId="2" applyBorder="1" applyAlignment="1">
      <alignment shrinkToFit="1"/>
    </xf>
    <xf numFmtId="0" fontId="31" fillId="0" borderId="44" xfId="2" applyFont="1" applyBorder="1" applyAlignment="1">
      <alignment vertical="center" shrinkToFit="1"/>
    </xf>
    <xf numFmtId="0" fontId="40" fillId="0" borderId="0" xfId="2" applyAlignment="1">
      <alignment vertical="center" shrinkToFit="1"/>
    </xf>
    <xf numFmtId="0" fontId="40" fillId="0" borderId="45" xfId="2" applyBorder="1" applyAlignment="1">
      <alignment vertical="center" shrinkToFit="1"/>
    </xf>
    <xf numFmtId="0" fontId="17" fillId="0" borderId="46" xfId="2" applyFont="1" applyBorder="1" applyAlignment="1">
      <alignment horizontal="left" vertical="center" shrinkToFit="1"/>
    </xf>
    <xf numFmtId="0" fontId="17" fillId="0" borderId="3" xfId="2" applyFont="1" applyBorder="1" applyAlignment="1">
      <alignment horizontal="left" vertical="center" shrinkToFit="1"/>
    </xf>
    <xf numFmtId="0" fontId="40" fillId="0" borderId="3" xfId="2" applyBorder="1" applyAlignment="1">
      <alignment horizontal="left" vertical="center" shrinkToFit="1"/>
    </xf>
    <xf numFmtId="0" fontId="40" fillId="0" borderId="4" xfId="2" applyBorder="1" applyAlignment="1">
      <alignment horizontal="left" vertical="center" shrinkToFit="1"/>
    </xf>
    <xf numFmtId="0" fontId="41" fillId="0" borderId="2" xfId="2" applyFont="1" applyBorder="1" applyAlignment="1">
      <alignment horizontal="left" vertical="center"/>
    </xf>
    <xf numFmtId="0" fontId="41" fillId="0" borderId="3" xfId="2" applyFont="1" applyBorder="1" applyAlignment="1">
      <alignment horizontal="left" vertical="center"/>
    </xf>
    <xf numFmtId="0" fontId="39" fillId="0" borderId="3" xfId="2" applyFont="1" applyBorder="1" applyAlignment="1">
      <alignment horizontal="left" vertical="center"/>
    </xf>
    <xf numFmtId="0" fontId="39" fillId="0" borderId="47" xfId="2" applyFont="1" applyBorder="1" applyAlignment="1">
      <alignment horizontal="left" vertical="center"/>
    </xf>
    <xf numFmtId="0" fontId="29" fillId="0" borderId="25" xfId="2" applyFont="1" applyBorder="1" applyAlignment="1">
      <alignment vertical="center" shrinkToFit="1"/>
    </xf>
    <xf numFmtId="0" fontId="30" fillId="0" borderId="0" xfId="2" applyFont="1" applyAlignment="1">
      <alignment vertical="center" shrinkToFit="1"/>
    </xf>
    <xf numFmtId="0" fontId="30" fillId="0" borderId="26" xfId="2" applyFont="1" applyBorder="1" applyAlignment="1">
      <alignment vertical="center" shrinkToFit="1"/>
    </xf>
    <xf numFmtId="49" fontId="18" fillId="0" borderId="25" xfId="2" applyNumberFormat="1" applyFont="1" applyBorder="1" applyAlignment="1" applyProtection="1">
      <alignment horizontal="left" vertical="center" shrinkToFit="1"/>
      <protection locked="0"/>
    </xf>
    <xf numFmtId="49" fontId="32" fillId="0" borderId="0" xfId="2" applyNumberFormat="1" applyFont="1" applyAlignment="1" applyProtection="1">
      <alignment horizontal="left" vertical="center" shrinkToFit="1"/>
      <protection locked="0"/>
    </xf>
    <xf numFmtId="49" fontId="32" fillId="0" borderId="26" xfId="2" applyNumberFormat="1" applyFont="1" applyBorder="1" applyAlignment="1" applyProtection="1">
      <alignment horizontal="left" vertical="center" shrinkToFit="1"/>
      <protection locked="0"/>
    </xf>
    <xf numFmtId="49" fontId="18" fillId="0" borderId="27" xfId="2" applyNumberFormat="1" applyFont="1" applyBorder="1" applyAlignment="1" applyProtection="1">
      <alignment horizontal="left" vertical="center" shrinkToFit="1"/>
      <protection locked="0"/>
    </xf>
    <xf numFmtId="49" fontId="32" fillId="0" borderId="28" xfId="2" applyNumberFormat="1" applyFont="1" applyBorder="1" applyAlignment="1" applyProtection="1">
      <alignment horizontal="left" vertical="center" shrinkToFit="1"/>
      <protection locked="0"/>
    </xf>
    <xf numFmtId="49" fontId="32" fillId="0" borderId="29" xfId="2" applyNumberFormat="1" applyFont="1" applyBorder="1" applyAlignment="1" applyProtection="1">
      <alignment horizontal="left" vertical="center" shrinkToFit="1"/>
      <protection locked="0"/>
    </xf>
    <xf numFmtId="0" fontId="17" fillId="0" borderId="40" xfId="2" applyFont="1" applyBorder="1" applyAlignment="1">
      <alignment horizontal="center" vertical="center" wrapText="1"/>
    </xf>
    <xf numFmtId="0" fontId="31" fillId="0" borderId="40" xfId="2" applyFont="1" applyBorder="1" applyAlignment="1">
      <alignment horizontal="center" vertical="center" wrapText="1"/>
    </xf>
    <xf numFmtId="0" fontId="17" fillId="0" borderId="41" xfId="2" applyFont="1" applyBorder="1" applyAlignment="1">
      <alignment vertical="center" wrapText="1"/>
    </xf>
    <xf numFmtId="0" fontId="17" fillId="0" borderId="42" xfId="2" applyFont="1" applyBorder="1" applyAlignment="1">
      <alignment vertical="center" wrapText="1"/>
    </xf>
    <xf numFmtId="0" fontId="34" fillId="0" borderId="42" xfId="2" applyFont="1" applyBorder="1" applyAlignment="1">
      <alignment vertical="center" wrapText="1"/>
    </xf>
    <xf numFmtId="0" fontId="34" fillId="0" borderId="43" xfId="2" applyFont="1" applyBorder="1" applyAlignment="1">
      <alignment vertical="center" wrapText="1"/>
    </xf>
    <xf numFmtId="0" fontId="16" fillId="0" borderId="21" xfId="2" applyFont="1" applyBorder="1" applyAlignment="1">
      <alignment horizontal="center" vertical="center" shrinkToFit="1"/>
    </xf>
    <xf numFmtId="0" fontId="40" fillId="0" borderId="13" xfId="2" applyBorder="1" applyAlignment="1">
      <alignment horizontal="center" vertical="center" shrinkToFit="1"/>
    </xf>
    <xf numFmtId="0" fontId="16" fillId="0" borderId="13" xfId="2" applyFont="1" applyBorder="1" applyAlignment="1" applyProtection="1">
      <alignment horizontal="left" vertical="center" shrinkToFit="1"/>
      <protection locked="0"/>
    </xf>
    <xf numFmtId="0" fontId="40" fillId="0" borderId="13" xfId="2" applyBorder="1" applyAlignment="1" applyProtection="1">
      <alignment horizontal="left" vertical="center" shrinkToFit="1"/>
      <protection locked="0"/>
    </xf>
    <xf numFmtId="0" fontId="40" fillId="0" borderId="13" xfId="2" applyBorder="1" applyAlignment="1">
      <alignment horizontal="left" vertical="center" shrinkToFit="1"/>
    </xf>
    <xf numFmtId="0" fontId="40" fillId="0" borderId="37" xfId="2" applyBorder="1" applyAlignment="1">
      <alignment horizontal="left" vertical="center" shrinkToFit="1"/>
    </xf>
    <xf numFmtId="0" fontId="16" fillId="0" borderId="25" xfId="2" applyFont="1" applyBorder="1" applyAlignment="1">
      <alignment vertical="center"/>
    </xf>
    <xf numFmtId="0" fontId="16" fillId="0" borderId="0" xfId="2" applyFont="1" applyAlignment="1" applyProtection="1">
      <alignment vertical="center" shrinkToFit="1"/>
      <protection locked="0"/>
    </xf>
    <xf numFmtId="0" fontId="40" fillId="0" borderId="0" xfId="2" applyAlignment="1" applyProtection="1">
      <alignment vertical="center" shrinkToFit="1"/>
      <protection locked="0"/>
    </xf>
    <xf numFmtId="0" fontId="40" fillId="0" borderId="26" xfId="2" applyBorder="1" applyAlignment="1" applyProtection="1">
      <alignment vertical="center" shrinkToFit="1"/>
      <protection locked="0"/>
    </xf>
    <xf numFmtId="0" fontId="16" fillId="0" borderId="30" xfId="2" applyFont="1" applyBorder="1" applyAlignment="1">
      <alignment vertical="center"/>
    </xf>
    <xf numFmtId="0" fontId="40" fillId="0" borderId="16" xfId="2" applyBorder="1" applyAlignment="1">
      <alignment vertical="center"/>
    </xf>
    <xf numFmtId="0" fontId="16" fillId="0" borderId="16" xfId="2" applyFont="1" applyBorder="1" applyAlignment="1">
      <alignment horizontal="left" vertical="center"/>
    </xf>
    <xf numFmtId="0" fontId="40" fillId="0" borderId="16" xfId="2" applyBorder="1" applyAlignment="1">
      <alignment horizontal="left" vertical="center"/>
    </xf>
    <xf numFmtId="0" fontId="16" fillId="0" borderId="16" xfId="2" applyFont="1" applyBorder="1" applyAlignment="1">
      <alignment vertical="center"/>
    </xf>
    <xf numFmtId="0" fontId="40" fillId="0" borderId="31" xfId="2" applyBorder="1" applyAlignment="1">
      <alignment vertical="center"/>
    </xf>
    <xf numFmtId="0" fontId="17" fillId="0" borderId="21" xfId="2" applyFont="1" applyBorder="1" applyAlignment="1">
      <alignment horizontal="center" vertical="center"/>
    </xf>
    <xf numFmtId="0" fontId="17" fillId="0" borderId="13" xfId="2" applyFont="1" applyBorder="1" applyAlignment="1">
      <alignment horizontal="center" vertical="center"/>
    </xf>
    <xf numFmtId="0" fontId="40" fillId="0" borderId="13" xfId="2" applyBorder="1" applyAlignment="1">
      <alignment vertical="center"/>
    </xf>
    <xf numFmtId="0" fontId="40" fillId="0" borderId="35" xfId="2" applyBorder="1" applyAlignment="1">
      <alignment vertical="center"/>
    </xf>
    <xf numFmtId="0" fontId="40" fillId="0" borderId="17" xfId="2" applyBorder="1" applyAlignment="1">
      <alignment vertical="center"/>
    </xf>
    <xf numFmtId="0" fontId="40" fillId="0" borderId="12" xfId="2" applyBorder="1" applyAlignment="1">
      <alignment vertical="center"/>
    </xf>
    <xf numFmtId="0" fontId="40" fillId="0" borderId="38" xfId="2" applyBorder="1" applyAlignment="1">
      <alignment vertical="center"/>
    </xf>
    <xf numFmtId="0" fontId="17" fillId="0" borderId="36" xfId="2" applyFont="1" applyBorder="1" applyAlignment="1">
      <alignment horizontal="center" vertical="center"/>
    </xf>
    <xf numFmtId="0" fontId="17" fillId="0" borderId="35" xfId="2" applyFont="1" applyBorder="1" applyAlignment="1">
      <alignment horizontal="center" vertical="center"/>
    </xf>
    <xf numFmtId="0" fontId="17" fillId="0" borderId="39" xfId="2" applyFont="1" applyBorder="1" applyAlignment="1">
      <alignment horizontal="center" vertical="center"/>
    </xf>
    <xf numFmtId="0" fontId="17" fillId="0" borderId="12" xfId="2" applyFont="1" applyBorder="1" applyAlignment="1">
      <alignment horizontal="center" vertical="center"/>
    </xf>
    <xf numFmtId="0" fontId="17" fillId="0" borderId="38" xfId="2" applyFont="1" applyBorder="1" applyAlignment="1">
      <alignment horizontal="center" vertical="center"/>
    </xf>
    <xf numFmtId="0" fontId="18" fillId="0" borderId="36" xfId="2" applyFont="1" applyBorder="1" applyAlignment="1" applyProtection="1">
      <alignment horizontal="center" vertical="center" shrinkToFit="1"/>
      <protection locked="0"/>
    </xf>
    <xf numFmtId="0" fontId="18" fillId="0" borderId="13" xfId="2" applyFont="1" applyBorder="1" applyAlignment="1" applyProtection="1">
      <alignment horizontal="center" vertical="center" shrinkToFit="1"/>
      <protection locked="0"/>
    </xf>
    <xf numFmtId="0" fontId="18" fillId="0" borderId="35" xfId="2" applyFont="1" applyBorder="1" applyAlignment="1" applyProtection="1">
      <alignment horizontal="center" vertical="center" shrinkToFit="1"/>
      <protection locked="0"/>
    </xf>
    <xf numFmtId="0" fontId="18" fillId="0" borderId="39" xfId="2" applyFont="1" applyBorder="1" applyAlignment="1" applyProtection="1">
      <alignment horizontal="center" vertical="center" shrinkToFit="1"/>
      <protection locked="0"/>
    </xf>
    <xf numFmtId="0" fontId="18" fillId="0" borderId="12" xfId="2" applyFont="1" applyBorder="1" applyAlignment="1" applyProtection="1">
      <alignment horizontal="center" vertical="center" shrinkToFit="1"/>
      <protection locked="0"/>
    </xf>
    <xf numFmtId="0" fontId="18" fillId="0" borderId="38" xfId="2" applyFont="1" applyBorder="1" applyAlignment="1" applyProtection="1">
      <alignment horizontal="center" vertical="center" shrinkToFit="1"/>
      <protection locked="0"/>
    </xf>
    <xf numFmtId="180" fontId="18" fillId="0" borderId="36" xfId="2" applyNumberFormat="1" applyFont="1" applyBorder="1" applyAlignment="1" applyProtection="1">
      <alignment horizontal="center" vertical="center" shrinkToFit="1"/>
      <protection locked="0"/>
    </xf>
    <xf numFmtId="180" fontId="18" fillId="0" borderId="13" xfId="2" applyNumberFormat="1" applyFont="1" applyBorder="1" applyAlignment="1" applyProtection="1">
      <alignment horizontal="center" vertical="center" shrinkToFit="1"/>
      <protection locked="0"/>
    </xf>
    <xf numFmtId="180" fontId="18" fillId="0" borderId="35" xfId="2" applyNumberFormat="1" applyFont="1" applyBorder="1" applyAlignment="1" applyProtection="1">
      <alignment horizontal="center" vertical="center" shrinkToFit="1"/>
      <protection locked="0"/>
    </xf>
    <xf numFmtId="180" fontId="18" fillId="0" borderId="39" xfId="2" applyNumberFormat="1" applyFont="1" applyBorder="1" applyAlignment="1" applyProtection="1">
      <alignment horizontal="center" vertical="center" shrinkToFit="1"/>
      <protection locked="0"/>
    </xf>
    <xf numFmtId="180" fontId="18" fillId="0" borderId="12" xfId="2" applyNumberFormat="1" applyFont="1" applyBorder="1" applyAlignment="1" applyProtection="1">
      <alignment horizontal="center" vertical="center" shrinkToFit="1"/>
      <protection locked="0"/>
    </xf>
    <xf numFmtId="180" fontId="18" fillId="0" borderId="38" xfId="2" applyNumberFormat="1" applyFont="1" applyBorder="1" applyAlignment="1" applyProtection="1">
      <alignment horizontal="center" vertical="center" shrinkToFit="1"/>
      <protection locked="0"/>
    </xf>
    <xf numFmtId="0" fontId="18" fillId="0" borderId="37" xfId="2" applyFont="1" applyBorder="1" applyAlignment="1" applyProtection="1">
      <alignment horizontal="center" vertical="center" shrinkToFit="1"/>
      <protection locked="0"/>
    </xf>
    <xf numFmtId="0" fontId="18" fillId="0" borderId="18" xfId="2" applyFont="1" applyBorder="1" applyAlignment="1" applyProtection="1">
      <alignment horizontal="center" vertical="center" shrinkToFit="1"/>
      <protection locked="0"/>
    </xf>
    <xf numFmtId="0" fontId="17" fillId="0" borderId="32" xfId="2" applyFont="1" applyBorder="1" applyAlignment="1">
      <alignment horizontal="left" vertical="center" shrinkToFit="1"/>
    </xf>
    <xf numFmtId="0" fontId="40" fillId="0" borderId="33" xfId="2" applyBorder="1" applyAlignment="1">
      <alignment horizontal="left" vertical="center" shrinkToFit="1"/>
    </xf>
    <xf numFmtId="0" fontId="17" fillId="0" borderId="33" xfId="2" applyFont="1" applyBorder="1" applyAlignment="1" applyProtection="1">
      <alignment horizontal="left" vertical="center"/>
      <protection locked="0"/>
    </xf>
    <xf numFmtId="0" fontId="40" fillId="0" borderId="33" xfId="2" applyBorder="1" applyAlignment="1" applyProtection="1">
      <alignment horizontal="left" vertical="center"/>
      <protection locked="0"/>
    </xf>
    <xf numFmtId="0" fontId="33" fillId="0" borderId="33" xfId="2" applyFont="1" applyBorder="1" applyAlignment="1">
      <alignment horizontal="left" vertical="center"/>
    </xf>
    <xf numFmtId="0" fontId="40" fillId="0" borderId="33" xfId="2" applyBorder="1" applyAlignment="1">
      <alignment horizontal="left" vertical="center"/>
    </xf>
    <xf numFmtId="0" fontId="40" fillId="0" borderId="34" xfId="2" applyBorder="1" applyAlignment="1">
      <alignment horizontal="left" vertical="center"/>
    </xf>
    <xf numFmtId="0" fontId="40" fillId="0" borderId="39" xfId="2" applyBorder="1" applyAlignment="1">
      <alignment vertical="center"/>
    </xf>
    <xf numFmtId="0" fontId="16" fillId="0" borderId="36" xfId="2" applyFont="1" applyBorder="1" applyAlignment="1">
      <alignment horizontal="center" vertical="center" wrapText="1"/>
    </xf>
    <xf numFmtId="0" fontId="16" fillId="0" borderId="13" xfId="2" applyFont="1" applyBorder="1" applyAlignment="1">
      <alignment horizontal="center" vertical="center" wrapText="1"/>
    </xf>
    <xf numFmtId="0" fontId="31" fillId="0" borderId="35" xfId="2" applyFont="1" applyBorder="1" applyAlignment="1">
      <alignment horizontal="center" vertical="center"/>
    </xf>
    <xf numFmtId="0" fontId="31" fillId="0" borderId="39" xfId="2" applyFont="1" applyBorder="1" applyAlignment="1">
      <alignment horizontal="center" vertical="center"/>
    </xf>
    <xf numFmtId="0" fontId="31" fillId="0" borderId="12" xfId="2" applyFont="1" applyBorder="1" applyAlignment="1">
      <alignment horizontal="center" vertical="center"/>
    </xf>
    <xf numFmtId="0" fontId="31" fillId="0" borderId="38" xfId="2" applyFont="1" applyBorder="1" applyAlignment="1">
      <alignment horizontal="center" vertical="center"/>
    </xf>
    <xf numFmtId="0" fontId="17" fillId="0" borderId="36" xfId="2" applyFont="1" applyBorder="1" applyAlignment="1">
      <alignment horizontal="center" vertical="center" wrapText="1"/>
    </xf>
    <xf numFmtId="0" fontId="40" fillId="0" borderId="37" xfId="2" applyBorder="1" applyAlignment="1">
      <alignment horizontal="center" vertical="center"/>
    </xf>
    <xf numFmtId="0" fontId="40" fillId="0" borderId="12" xfId="2" applyBorder="1" applyAlignment="1">
      <alignment horizontal="center" vertical="center"/>
    </xf>
    <xf numFmtId="0" fontId="40" fillId="0" borderId="18" xfId="2" applyBorder="1" applyAlignment="1">
      <alignment horizontal="center" vertical="center"/>
    </xf>
    <xf numFmtId="49" fontId="17" fillId="0" borderId="25" xfId="2" applyNumberFormat="1" applyFont="1" applyBorder="1" applyAlignment="1">
      <alignment horizontal="left" vertical="center" shrinkToFit="1"/>
    </xf>
    <xf numFmtId="0" fontId="40" fillId="0" borderId="26" xfId="2" applyBorder="1"/>
    <xf numFmtId="49" fontId="25" fillId="2" borderId="27" xfId="2" applyNumberFormat="1" applyFont="1" applyFill="1" applyBorder="1" applyAlignment="1">
      <alignment horizontal="center" vertical="center" shrinkToFit="1"/>
    </xf>
    <xf numFmtId="49" fontId="25" fillId="2" borderId="28" xfId="2" applyNumberFormat="1" applyFont="1" applyFill="1" applyBorder="1" applyAlignment="1">
      <alignment horizontal="center" vertical="center" shrinkToFit="1"/>
    </xf>
    <xf numFmtId="49" fontId="25" fillId="2" borderId="29" xfId="2" applyNumberFormat="1" applyFont="1" applyFill="1" applyBorder="1" applyAlignment="1">
      <alignment horizontal="center" vertical="center" shrinkToFit="1"/>
    </xf>
    <xf numFmtId="0" fontId="26" fillId="0" borderId="30" xfId="2" applyFont="1" applyBorder="1" applyAlignment="1">
      <alignment horizontal="right" vertical="center" shrinkToFit="1"/>
    </xf>
    <xf numFmtId="0" fontId="26" fillId="0" borderId="16" xfId="2" applyFont="1" applyBorder="1" applyAlignment="1">
      <alignment horizontal="right" vertical="center" shrinkToFit="1"/>
    </xf>
    <xf numFmtId="49" fontId="21" fillId="0" borderId="16" xfId="2" applyNumberFormat="1" applyFont="1" applyBorder="1" applyAlignment="1">
      <alignment horizontal="left" vertical="center" shrinkToFit="1"/>
    </xf>
    <xf numFmtId="0" fontId="40" fillId="0" borderId="16" xfId="2" applyBorder="1" applyAlignment="1">
      <alignment vertical="center" shrinkToFit="1"/>
    </xf>
    <xf numFmtId="0" fontId="26" fillId="0" borderId="16" xfId="2" applyFont="1" applyBorder="1" applyAlignment="1">
      <alignment horizontal="center" vertical="center" shrinkToFit="1"/>
    </xf>
    <xf numFmtId="0" fontId="26" fillId="0" borderId="16" xfId="2" applyFont="1" applyBorder="1" applyAlignment="1">
      <alignment vertical="center" shrinkToFit="1"/>
    </xf>
    <xf numFmtId="0" fontId="27" fillId="0" borderId="16" xfId="2" applyFont="1" applyBorder="1" applyAlignment="1">
      <alignment vertical="center" shrinkToFit="1"/>
    </xf>
    <xf numFmtId="49" fontId="21" fillId="0" borderId="16" xfId="2" applyNumberFormat="1" applyFont="1" applyBorder="1" applyAlignment="1">
      <alignment vertical="center" shrinkToFit="1"/>
    </xf>
    <xf numFmtId="49" fontId="21" fillId="0" borderId="31" xfId="2" applyNumberFormat="1" applyFont="1" applyBorder="1" applyAlignment="1">
      <alignment vertical="center" shrinkToFit="1"/>
    </xf>
    <xf numFmtId="49" fontId="11" fillId="0" borderId="25" xfId="2" applyNumberFormat="1" applyFont="1" applyBorder="1" applyAlignment="1">
      <alignment horizontal="right" vertical="center" shrinkToFit="1"/>
    </xf>
    <xf numFmtId="49" fontId="11" fillId="0" borderId="0" xfId="2" applyNumberFormat="1" applyFont="1" applyAlignment="1">
      <alignment horizontal="right" vertical="center" shrinkToFit="1"/>
    </xf>
    <xf numFmtId="0" fontId="17" fillId="0" borderId="0" xfId="2" applyFont="1" applyAlignment="1" applyProtection="1">
      <alignment vertical="center" shrinkToFit="1"/>
      <protection locked="0"/>
    </xf>
    <xf numFmtId="49" fontId="21" fillId="0" borderId="12" xfId="2" applyNumberFormat="1" applyFont="1" applyBorder="1" applyAlignment="1" applyProtection="1">
      <alignment vertical="center" shrinkToFit="1"/>
      <protection locked="0"/>
    </xf>
    <xf numFmtId="49" fontId="21" fillId="0" borderId="18" xfId="2" applyNumberFormat="1" applyFont="1" applyBorder="1" applyAlignment="1" applyProtection="1">
      <alignment vertical="center" shrinkToFit="1"/>
      <protection locked="0"/>
    </xf>
    <xf numFmtId="49" fontId="17" fillId="0" borderId="25" xfId="2" applyNumberFormat="1" applyFont="1" applyBorder="1" applyAlignment="1">
      <alignment horizontal="left" vertical="center"/>
    </xf>
    <xf numFmtId="49" fontId="21" fillId="0" borderId="0" xfId="2" applyNumberFormat="1" applyFont="1" applyAlignment="1" applyProtection="1">
      <alignment vertical="center" shrinkToFit="1"/>
      <protection locked="0"/>
    </xf>
    <xf numFmtId="49" fontId="17" fillId="0" borderId="0" xfId="2" applyNumberFormat="1" applyFont="1" applyAlignment="1">
      <alignment horizontal="right" vertical="center" shrinkToFit="1"/>
    </xf>
    <xf numFmtId="49" fontId="21" fillId="0" borderId="26" xfId="2" applyNumberFormat="1" applyFont="1" applyBorder="1" applyAlignment="1" applyProtection="1">
      <alignment vertical="center" shrinkToFit="1"/>
      <protection locked="0"/>
    </xf>
    <xf numFmtId="49" fontId="17" fillId="0" borderId="22" xfId="2" applyNumberFormat="1" applyFont="1" applyBorder="1" applyAlignment="1">
      <alignment horizontal="left" vertical="center"/>
    </xf>
    <xf numFmtId="49" fontId="17" fillId="0" borderId="23" xfId="2" applyNumberFormat="1" applyFont="1" applyBorder="1" applyAlignment="1">
      <alignment horizontal="left" vertical="center"/>
    </xf>
    <xf numFmtId="49" fontId="23" fillId="0" borderId="23" xfId="2" applyNumberFormat="1" applyFont="1" applyBorder="1" applyAlignment="1" applyProtection="1">
      <alignment horizontal="center" vertical="center" shrinkToFit="1"/>
      <protection locked="0"/>
    </xf>
    <xf numFmtId="49" fontId="17" fillId="0" borderId="24" xfId="2" applyNumberFormat="1" applyFont="1" applyBorder="1" applyAlignment="1">
      <alignment horizontal="left" vertical="center"/>
    </xf>
    <xf numFmtId="0" fontId="5" fillId="0" borderId="0" xfId="2" applyFont="1" applyAlignment="1">
      <alignment vertical="center" shrinkToFit="1"/>
    </xf>
    <xf numFmtId="49" fontId="5" fillId="0" borderId="0" xfId="2" applyNumberFormat="1" applyFont="1" applyAlignment="1">
      <alignment horizontal="right" vertical="center" shrinkToFit="1"/>
    </xf>
    <xf numFmtId="179" fontId="21" fillId="0" borderId="0" xfId="2" applyNumberFormat="1" applyFont="1" applyAlignment="1" applyProtection="1">
      <alignment horizontal="left" vertical="center" shrinkToFit="1"/>
      <protection locked="0"/>
    </xf>
    <xf numFmtId="0" fontId="21" fillId="0" borderId="0" xfId="2" applyFont="1" applyAlignment="1" applyProtection="1">
      <alignment horizontal="left" vertical="center" shrinkToFit="1"/>
      <protection locked="0"/>
    </xf>
    <xf numFmtId="0" fontId="21" fillId="0" borderId="26" xfId="2" applyFont="1" applyBorder="1" applyAlignment="1" applyProtection="1">
      <alignment horizontal="left" vertical="center" shrinkToFit="1"/>
      <protection locked="0"/>
    </xf>
    <xf numFmtId="49" fontId="17" fillId="0" borderId="19" xfId="2" applyNumberFormat="1" applyFont="1" applyBorder="1" applyAlignment="1">
      <alignment vertical="center" shrinkToFit="1"/>
    </xf>
    <xf numFmtId="49" fontId="17" fillId="0" borderId="3" xfId="2" applyNumberFormat="1" applyFont="1" applyBorder="1" applyAlignment="1">
      <alignment vertical="center" shrinkToFit="1"/>
    </xf>
    <xf numFmtId="49" fontId="21" fillId="0" borderId="3" xfId="2" applyNumberFormat="1" applyFont="1" applyBorder="1" applyAlignment="1">
      <alignment vertical="center" shrinkToFit="1"/>
    </xf>
    <xf numFmtId="49" fontId="22" fillId="0" borderId="3" xfId="2" applyNumberFormat="1" applyFont="1" applyBorder="1" applyAlignment="1">
      <alignment horizontal="right" vertical="center"/>
    </xf>
    <xf numFmtId="49" fontId="22" fillId="0" borderId="20" xfId="2" applyNumberFormat="1" applyFont="1" applyBorder="1" applyAlignment="1">
      <alignment horizontal="right" vertical="center"/>
    </xf>
    <xf numFmtId="0" fontId="21" fillId="0" borderId="3" xfId="2" applyFont="1" applyBorder="1" applyAlignment="1">
      <alignment vertical="center" shrinkToFit="1"/>
    </xf>
    <xf numFmtId="0" fontId="18" fillId="0" borderId="3" xfId="2" applyFont="1" applyBorder="1" applyAlignment="1" applyProtection="1">
      <alignment vertical="center" shrinkToFit="1"/>
      <protection locked="0"/>
    </xf>
    <xf numFmtId="49" fontId="18" fillId="0" borderId="3" xfId="2" applyNumberFormat="1" applyFont="1" applyBorder="1" applyAlignment="1" applyProtection="1">
      <alignment vertical="center" shrinkToFit="1"/>
      <protection locked="0"/>
    </xf>
    <xf numFmtId="49" fontId="18" fillId="0" borderId="20" xfId="2" applyNumberFormat="1" applyFont="1" applyBorder="1" applyAlignment="1" applyProtection="1">
      <alignment vertical="center" shrinkToFit="1"/>
      <protection locked="0"/>
    </xf>
    <xf numFmtId="0" fontId="18" fillId="0" borderId="3" xfId="2" applyFont="1" applyBorder="1" applyAlignment="1" applyProtection="1">
      <alignment vertical="center" wrapText="1" shrinkToFit="1"/>
      <protection locked="0"/>
    </xf>
    <xf numFmtId="0" fontId="18" fillId="0" borderId="20" xfId="2" applyFont="1" applyBorder="1" applyAlignment="1" applyProtection="1">
      <alignment vertical="center" shrinkToFit="1"/>
      <protection locked="0"/>
    </xf>
    <xf numFmtId="0" fontId="17" fillId="0" borderId="0" xfId="2" applyFont="1" applyAlignment="1">
      <alignment horizontal="left" vertical="center" wrapText="1"/>
    </xf>
    <xf numFmtId="0" fontId="19" fillId="0" borderId="0" xfId="2" applyFont="1" applyAlignment="1">
      <alignment horizontal="left"/>
    </xf>
    <xf numFmtId="0" fontId="19" fillId="0" borderId="0" xfId="2" applyFont="1" applyAlignment="1">
      <alignment horizontal="left" wrapText="1"/>
    </xf>
    <xf numFmtId="49" fontId="17" fillId="0" borderId="21" xfId="2" applyNumberFormat="1" applyFont="1" applyBorder="1" applyAlignment="1">
      <alignment vertical="center" wrapText="1" shrinkToFit="1"/>
    </xf>
    <xf numFmtId="49" fontId="17" fillId="0" borderId="13" xfId="2" applyNumberFormat="1" applyFont="1" applyBorder="1" applyAlignment="1">
      <alignment vertical="center" wrapText="1" shrinkToFit="1"/>
    </xf>
    <xf numFmtId="49" fontId="17" fillId="0" borderId="17" xfId="2" applyNumberFormat="1" applyFont="1" applyBorder="1" applyAlignment="1">
      <alignment vertical="center" wrapText="1" shrinkToFit="1"/>
    </xf>
    <xf numFmtId="49" fontId="17" fillId="0" borderId="12" xfId="2" applyNumberFormat="1" applyFont="1" applyBorder="1" applyAlignment="1">
      <alignment vertical="center" wrapText="1" shrinkToFit="1"/>
    </xf>
    <xf numFmtId="49" fontId="8" fillId="0" borderId="0" xfId="2" applyNumberFormat="1" applyFont="1" applyAlignment="1">
      <alignment horizontal="center" vertical="center"/>
    </xf>
    <xf numFmtId="49" fontId="10" fillId="0" borderId="0" xfId="2" applyNumberFormat="1" applyFont="1" applyAlignment="1">
      <alignment horizontal="center" vertical="center"/>
    </xf>
    <xf numFmtId="49" fontId="13" fillId="0" borderId="16" xfId="2" applyNumberFormat="1" applyFont="1" applyBorder="1" applyAlignment="1">
      <alignment horizontal="left" vertical="center" shrinkToFit="1"/>
    </xf>
    <xf numFmtId="49" fontId="15" fillId="0" borderId="16" xfId="2" applyNumberFormat="1" applyFont="1" applyBorder="1" applyAlignment="1">
      <alignment vertical="center" shrinkToFit="1"/>
    </xf>
    <xf numFmtId="49" fontId="16" fillId="0" borderId="16" xfId="2" applyNumberFormat="1" applyFont="1" applyBorder="1" applyAlignment="1" applyProtection="1">
      <alignment horizontal="right" vertical="center" shrinkToFit="1"/>
      <protection locked="0"/>
    </xf>
    <xf numFmtId="49" fontId="40" fillId="0" borderId="16" xfId="2" applyNumberFormat="1" applyBorder="1" applyAlignment="1" applyProtection="1">
      <alignment shrinkToFit="1"/>
      <protection locked="0"/>
    </xf>
    <xf numFmtId="49" fontId="17" fillId="0" borderId="17" xfId="2" applyNumberFormat="1" applyFont="1" applyBorder="1" applyAlignment="1">
      <alignment vertical="center" shrinkToFit="1"/>
    </xf>
    <xf numFmtId="49" fontId="17" fillId="0" borderId="12" xfId="2" applyNumberFormat="1" applyFont="1" applyBorder="1" applyAlignment="1">
      <alignment vertical="center" shrinkToFit="1"/>
    </xf>
    <xf numFmtId="49" fontId="18" fillId="0" borderId="12" xfId="2" applyNumberFormat="1" applyFont="1" applyBorder="1" applyAlignment="1" applyProtection="1">
      <alignment vertical="center" shrinkToFit="1"/>
      <protection locked="0"/>
    </xf>
    <xf numFmtId="49" fontId="18" fillId="0" borderId="18" xfId="2" applyNumberFormat="1" applyFont="1" applyBorder="1" applyAlignment="1" applyProtection="1">
      <alignment vertical="center" shrinkToFit="1"/>
      <protection locked="0"/>
    </xf>
  </cellXfs>
  <cellStyles count="4">
    <cellStyle name="一般" xfId="0" builtinId="0"/>
    <cellStyle name="一般 2" xfId="2" xr:uid="{0549EAE2-BD01-45F6-9C6E-DFB44E019E18}"/>
    <cellStyle name="千分位" xfId="1" builtinId="3"/>
    <cellStyle name="百分比" xfId="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統計圖!$B$3:$B$31</c:f>
              <c:strCache>
                <c:ptCount val="29"/>
                <c:pt idx="0">
                  <c:v>測量放樣</c:v>
                </c:pt>
                <c:pt idx="1">
                  <c:v>土方開挖</c:v>
                </c:pt>
                <c:pt idx="2">
                  <c:v>土方回填(含級配)</c:v>
                </c:pt>
                <c:pt idx="3">
                  <c:v>鋼筋工程</c:v>
                </c:pt>
                <c:pt idx="4">
                  <c:v>模板工程</c:v>
                </c:pt>
                <c:pt idx="5">
                  <c:v>混凝土工程</c:v>
                </c:pt>
                <c:pt idx="6">
                  <c:v>植筋工程</c:v>
                </c:pt>
                <c:pt idx="7">
                  <c:v>預力混凝土基樁</c:v>
                </c:pt>
                <c:pt idx="8">
                  <c:v>砌塊石護岸</c:v>
                </c:pt>
                <c:pt idx="9">
                  <c:v>低水護岸</c:v>
                </c:pt>
                <c:pt idx="10">
                  <c:v>固床工</c:v>
                </c:pt>
                <c:pt idx="11">
                  <c:v>全套管基樁</c:v>
                </c:pt>
                <c:pt idx="12">
                  <c:v>鋼筋混凝土管</c:v>
                </c:pt>
                <c:pt idx="13">
                  <c:v>鋼版樁</c:v>
                </c:pt>
                <c:pt idx="14">
                  <c:v>路床/路基高程</c:v>
                </c:pt>
                <c:pt idx="15">
                  <c:v>瀝青混凝土</c:v>
                </c:pt>
                <c:pt idx="16">
                  <c:v>景觀鋪面(一)</c:v>
                </c:pt>
                <c:pt idx="17">
                  <c:v>景觀鋪面(二)</c:v>
                </c:pt>
                <c:pt idx="18">
                  <c:v>預鑄緣石</c:v>
                </c:pt>
                <c:pt idx="19">
                  <c:v>鋼構工程吊裝</c:v>
                </c:pt>
                <c:pt idx="20">
                  <c:v>鋼構工程塗裝</c:v>
                </c:pt>
                <c:pt idx="21">
                  <c:v>排水設施(一)</c:v>
                </c:pt>
                <c:pt idx="22">
                  <c:v>排水設施(二)</c:v>
                </c:pt>
                <c:pt idx="23">
                  <c:v>木構造</c:v>
                </c:pt>
                <c:pt idx="24">
                  <c:v>管路</c:v>
                </c:pt>
                <c:pt idx="25">
                  <c:v>植栽(移植)</c:v>
                </c:pt>
                <c:pt idx="26">
                  <c:v>植栽(新植)</c:v>
                </c:pt>
                <c:pt idx="27">
                  <c:v>照明</c:v>
                </c:pt>
                <c:pt idx="28">
                  <c:v>既有橋梁拆除</c:v>
                </c:pt>
              </c:strCache>
            </c:strRef>
          </c:cat>
          <c:val>
            <c:numRef>
              <c:f>統計圖!$C$3:$C$31</c:f>
              <c:numCache>
                <c:formatCode>General</c:formatCode>
                <c:ptCount val="29"/>
                <c:pt idx="0">
                  <c:v>8</c:v>
                </c:pt>
                <c:pt idx="1">
                  <c:v>21</c:v>
                </c:pt>
                <c:pt idx="2">
                  <c:v>0</c:v>
                </c:pt>
                <c:pt idx="3">
                  <c:v>16</c:v>
                </c:pt>
                <c:pt idx="4">
                  <c:v>4</c:v>
                </c:pt>
                <c:pt idx="5">
                  <c:v>17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  <c:pt idx="2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8-4499-A3E8-DDBFB9D145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23313472"/>
        <c:axId val="823319048"/>
        <c:axId val="0"/>
      </c:bar3DChart>
      <c:catAx>
        <c:axId val="82331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23319048"/>
        <c:crosses val="autoZero"/>
        <c:auto val="1"/>
        <c:lblAlgn val="ctr"/>
        <c:lblOffset val="100"/>
        <c:noMultiLvlLbl val="0"/>
      </c:catAx>
      <c:valAx>
        <c:axId val="8233190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2331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40939</xdr:colOff>
      <xdr:row>33</xdr:row>
      <xdr:rowOff>107675</xdr:rowOff>
    </xdr:from>
    <xdr:to>
      <xdr:col>5</xdr:col>
      <xdr:colOff>604630</xdr:colOff>
      <xdr:row>45</xdr:row>
      <xdr:rowOff>9526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B241566-3955-4FBA-A3F3-B07273508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57151</xdr:rowOff>
    </xdr:from>
    <xdr:to>
      <xdr:col>2</xdr:col>
      <xdr:colOff>66975</xdr:colOff>
      <xdr:row>2</xdr:row>
      <xdr:rowOff>23960</xdr:rowOff>
    </xdr:to>
    <xdr:pic>
      <xdr:nvPicPr>
        <xdr:cNvPr id="2" name="圖片 8">
          <a:extLst>
            <a:ext uri="{FF2B5EF4-FFF2-40B4-BE49-F238E27FC236}">
              <a16:creationId xmlns:a16="http://schemas.microsoft.com/office/drawing/2014/main" id="{E2BF629D-C09F-4B4E-8107-0B7EE7D03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7151"/>
          <a:ext cx="648000" cy="595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8301-7F6B-48ED-9070-8DF22312E432}">
  <sheetPr>
    <tabColor theme="7" tint="0.79998168889431442"/>
  </sheetPr>
  <dimension ref="A1:AD741"/>
  <sheetViews>
    <sheetView view="pageBreakPreview" topLeftCell="A10" zoomScale="85" zoomScaleNormal="100" zoomScaleSheetLayoutView="85" workbookViewId="0">
      <selection activeCell="I1" sqref="I1"/>
    </sheetView>
  </sheetViews>
  <sheetFormatPr defaultColWidth="22.5" defaultRowHeight="47.25" customHeight="1" x14ac:dyDescent="0.25"/>
  <cols>
    <col min="1" max="1" width="19.5" style="100" customWidth="1"/>
    <col min="2" max="30" width="6.5" style="56" customWidth="1"/>
    <col min="31" max="16384" width="22.5" style="56"/>
  </cols>
  <sheetData>
    <row r="1" spans="1:30" s="102" customFormat="1" ht="102.75" customHeight="1" x14ac:dyDescent="0.25">
      <c r="A1" s="103"/>
      <c r="B1" s="101" t="s">
        <v>445</v>
      </c>
      <c r="C1" s="101" t="s">
        <v>446</v>
      </c>
      <c r="D1" s="101" t="s">
        <v>447</v>
      </c>
      <c r="E1" s="101" t="s">
        <v>146</v>
      </c>
      <c r="F1" s="101" t="s">
        <v>448</v>
      </c>
      <c r="G1" s="101" t="s">
        <v>147</v>
      </c>
      <c r="H1" s="101" t="s">
        <v>148</v>
      </c>
      <c r="I1" s="101" t="s">
        <v>449</v>
      </c>
      <c r="J1" s="101" t="s">
        <v>450</v>
      </c>
      <c r="K1" s="101" t="s">
        <v>451</v>
      </c>
      <c r="L1" s="101" t="s">
        <v>452</v>
      </c>
      <c r="M1" s="101" t="s">
        <v>453</v>
      </c>
      <c r="N1" s="101" t="s">
        <v>454</v>
      </c>
      <c r="O1" s="101" t="s">
        <v>455</v>
      </c>
      <c r="P1" s="101" t="s">
        <v>456</v>
      </c>
      <c r="Q1" s="101" t="s">
        <v>457</v>
      </c>
      <c r="R1" s="101" t="s">
        <v>458</v>
      </c>
      <c r="S1" s="101" t="s">
        <v>459</v>
      </c>
      <c r="T1" s="101" t="s">
        <v>460</v>
      </c>
      <c r="U1" s="101" t="s">
        <v>461</v>
      </c>
      <c r="V1" s="101" t="s">
        <v>462</v>
      </c>
      <c r="W1" s="101" t="s">
        <v>463</v>
      </c>
      <c r="X1" s="101" t="s">
        <v>464</v>
      </c>
      <c r="Y1" s="101" t="s">
        <v>465</v>
      </c>
      <c r="Z1" s="101" t="s">
        <v>466</v>
      </c>
      <c r="AA1" s="101" t="s">
        <v>467</v>
      </c>
      <c r="AB1" s="101" t="s">
        <v>468</v>
      </c>
      <c r="AC1" s="101" t="s">
        <v>469</v>
      </c>
      <c r="AD1" s="101" t="s">
        <v>470</v>
      </c>
    </row>
    <row r="2" spans="1:30" ht="21.75" customHeight="1" x14ac:dyDescent="0.25">
      <c r="A2" s="99">
        <v>45192</v>
      </c>
      <c r="B2" s="98" t="str">
        <f>IF(IFERROR(VLOOKUP(A2,'1.測量放樣'!C:D,1,0),"")="","","✔")</f>
        <v/>
      </c>
      <c r="C2" s="98" t="str">
        <f>IF(IFERROR(VLOOKUP(A2,'2.土方開挖'!C:D,1,0),"")="","","✔")</f>
        <v/>
      </c>
      <c r="D2" s="98" t="str">
        <f>IF(IFERROR(VLOOKUP(A2,'3.土方回填'!C:D,1,0),"")="","","✔")</f>
        <v/>
      </c>
      <c r="E2" s="98" t="str">
        <f>IF(IFERROR(VLOOKUP(A2,'4.鋼筋'!C:D,1,0),"")="","","✔")</f>
        <v/>
      </c>
      <c r="F2" s="98" t="str">
        <f>IF(IFERROR(VLOOKUP(A2,'5.模板'!C:D,1,0),"")="","","✔")</f>
        <v/>
      </c>
      <c r="G2" s="98" t="str">
        <f>IF(IFERROR(VLOOKUP(A2,'6.混凝土'!C:D,1,0),"")="","","✔")</f>
        <v/>
      </c>
      <c r="H2" s="98" t="str">
        <f>IF(IFERROR(VLOOKUP(A2,'7.植筋'!C:D,1,0),"")="","","✔")</f>
        <v/>
      </c>
      <c r="I2" s="98" t="str">
        <f>IF(IFERROR(VLOOKUP(A2,'8.預力混凝土基樁'!C:D,1,0),"")="","","✔")</f>
        <v/>
      </c>
      <c r="J2" s="98" t="str">
        <f>IF(IFERROR(VLOOKUP(A2,'9.砌塊石護岸'!C:D,1,0),"")="","","✔")</f>
        <v/>
      </c>
      <c r="K2" s="98" t="str">
        <f>IF(IFERROR(VLOOKUP(A2,'10.低水護岸'!C:D,1,0),"")="","","✔")</f>
        <v/>
      </c>
      <c r="L2" s="98" t="str">
        <f>IF(IFERROR(VLOOKUP(A2,'11.固床工'!C:D,1,0),"")="","","✔")</f>
        <v/>
      </c>
      <c r="M2" s="98" t="str">
        <f>IF(IFERROR(VLOOKUP(A2,'12.全套管基樁'!C:D,1,0),"")="","","✔")</f>
        <v/>
      </c>
      <c r="N2" s="98" t="str">
        <f>IF(IFERROR(VLOOKUP(A2,'13.鋼筋混凝土管工程'!C:D,1,0),"")="","","✔")</f>
        <v/>
      </c>
      <c r="O2" s="98" t="str">
        <f>IF(IFERROR(VLOOKUP(A2,'14.鋼版樁'!C:D,1,0),"")="","","✔")</f>
        <v/>
      </c>
      <c r="P2" s="98" t="str">
        <f>IF(IFERROR(VLOOKUP(A2,'15.路床 路基高程'!C:D,1,0),"")="","","✔")</f>
        <v/>
      </c>
      <c r="Q2" s="98" t="str">
        <f>IF(IFERROR(VLOOKUP(A2,'16.瀝青混凝土'!C:D,1,0),"")="","","✔")</f>
        <v/>
      </c>
      <c r="R2" s="98" t="str">
        <f>IF(IFERROR(VLOOKUP(A2,'17.景觀鋪面(一)'!C:D,1,0),"")="","","✔")</f>
        <v/>
      </c>
      <c r="S2" s="98" t="str">
        <f>IF(IFERROR(VLOOKUP(A2,'18.景觀鋪面(二)'!C:D,1,0),"")="","","✔")</f>
        <v/>
      </c>
      <c r="T2" s="98" t="str">
        <f>IF(IFERROR(VLOOKUP(A2,'19.預鑄緣石'!C:D,1,0),"")="","","✔")</f>
        <v/>
      </c>
      <c r="U2" s="98" t="str">
        <f>IF(IFERROR(VLOOKUP(A2,'20.鋼構工程吊裝'!C:D,1,0),"")="","","✔")</f>
        <v/>
      </c>
      <c r="V2" s="98" t="str">
        <f>IF(IFERROR(VLOOKUP(A2,'21.鋼構工程塗裝'!C:D,1,0),"")="","","✔")</f>
        <v/>
      </c>
      <c r="W2" s="98" t="str">
        <f>IF(IFERROR(VLOOKUP(A2,'22.排水設施(一)'!C:D,1,0),"")="","","✔")</f>
        <v/>
      </c>
      <c r="X2" s="98" t="str">
        <f>IF(IFERROR(VLOOKUP(A2,'23.排水設施(二)'!C:D,1,0),"")="","","✔")</f>
        <v/>
      </c>
      <c r="Y2" s="98" t="str">
        <f>IF(IFERROR(VLOOKUP(A2,'24.木構造'!C:D,1,0),"")="","","✔")</f>
        <v/>
      </c>
      <c r="Z2" s="98" t="str">
        <f>IF(IFERROR(VLOOKUP(A2,'25.管路'!C:D,1,0),"")="","","✔")</f>
        <v/>
      </c>
      <c r="AA2" s="98" t="str">
        <f>IF(IFERROR(VLOOKUP(A2,'26.植栽(移植)'!C:D,1,0),"")="","","✔")</f>
        <v>✔</v>
      </c>
      <c r="AB2" s="98" t="str">
        <f>IF(IFERROR(VLOOKUP(A2,'27.植栽(新植)'!C:D,1,0),"")="","","✔")</f>
        <v/>
      </c>
      <c r="AC2" s="98" t="str">
        <f>IF(IFERROR(VLOOKUP(A2,'28.照明'!C:D,1,0),"")="","","✔")</f>
        <v/>
      </c>
      <c r="AD2" s="98" t="str">
        <f>IF(IFERROR(VLOOKUP(A2,'29.既有橋梁拆除'!C:D,1,0),"")="","","✔")</f>
        <v/>
      </c>
    </row>
    <row r="3" spans="1:30" ht="21.75" customHeight="1" x14ac:dyDescent="0.25">
      <c r="A3" s="99">
        <v>45193</v>
      </c>
      <c r="B3" s="98" t="str">
        <f>IF(IFERROR(VLOOKUP(A3,'1.測量放樣'!C:D,1,0),"")="","","✔")</f>
        <v/>
      </c>
      <c r="C3" s="98" t="str">
        <f>IF(IFERROR(VLOOKUP(A3,'2.土方開挖'!C:D,1,0),"")="","","✔")</f>
        <v/>
      </c>
      <c r="D3" s="98" t="str">
        <f>IF(IFERROR(VLOOKUP(A3,'3.土方回填'!C:D,1,0),"")="","","✔")</f>
        <v/>
      </c>
      <c r="E3" s="98" t="str">
        <f>IF(IFERROR(VLOOKUP(A3,'4.鋼筋'!C:D,1,0),"")="","","✔")</f>
        <v/>
      </c>
      <c r="F3" s="98" t="str">
        <f>IF(IFERROR(VLOOKUP(A3,'5.模板'!C:D,1,0),"")="","","✔")</f>
        <v/>
      </c>
      <c r="G3" s="98" t="str">
        <f>IF(IFERROR(VLOOKUP(A3,'6.混凝土'!C:D,1,0),"")="","","✔")</f>
        <v/>
      </c>
      <c r="H3" s="98" t="str">
        <f>IF(IFERROR(VLOOKUP(A3,'7.植筋'!C:D,1,0),"")="","","✔")</f>
        <v/>
      </c>
      <c r="I3" s="98" t="str">
        <f>IF(IFERROR(VLOOKUP(A3,'8.預力混凝土基樁'!C:D,1,0),"")="","","✔")</f>
        <v/>
      </c>
      <c r="J3" s="98" t="str">
        <f>IF(IFERROR(VLOOKUP(A3,'9.砌塊石護岸'!C:D,1,0),"")="","","✔")</f>
        <v/>
      </c>
      <c r="K3" s="98" t="str">
        <f>IF(IFERROR(VLOOKUP(A3,'10.低水護岸'!C:D,1,0),"")="","","✔")</f>
        <v/>
      </c>
      <c r="L3" s="98" t="str">
        <f>IF(IFERROR(VLOOKUP(A3,'11.固床工'!C:D,1,0),"")="","","✔")</f>
        <v/>
      </c>
      <c r="M3" s="98" t="str">
        <f>IF(IFERROR(VLOOKUP(A3,'12.全套管基樁'!C:D,1,0),"")="","","✔")</f>
        <v/>
      </c>
      <c r="N3" s="98" t="str">
        <f>IF(IFERROR(VLOOKUP(A3,'13.鋼筋混凝土管工程'!C:D,1,0),"")="","","✔")</f>
        <v/>
      </c>
      <c r="O3" s="98" t="str">
        <f>IF(IFERROR(VLOOKUP(A3,'14.鋼版樁'!C:D,1,0),"")="","","✔")</f>
        <v/>
      </c>
      <c r="P3" s="98" t="str">
        <f>IF(IFERROR(VLOOKUP(A3,'15.路床 路基高程'!C:D,1,0),"")="","","✔")</f>
        <v/>
      </c>
      <c r="Q3" s="98" t="str">
        <f>IF(IFERROR(VLOOKUP(A3,'16.瀝青混凝土'!C:D,1,0),"")="","","✔")</f>
        <v/>
      </c>
      <c r="R3" s="98" t="str">
        <f>IF(IFERROR(VLOOKUP(A3,'17.景觀鋪面(一)'!C:D,1,0),"")="","","✔")</f>
        <v/>
      </c>
      <c r="S3" s="98" t="str">
        <f>IF(IFERROR(VLOOKUP(A3,'18.景觀鋪面(二)'!C:D,1,0),"")="","","✔")</f>
        <v/>
      </c>
      <c r="T3" s="98" t="str">
        <f>IF(IFERROR(VLOOKUP(A3,'19.預鑄緣石'!C:D,1,0),"")="","","✔")</f>
        <v/>
      </c>
      <c r="U3" s="98" t="str">
        <f>IF(IFERROR(VLOOKUP(A3,'20.鋼構工程吊裝'!C:D,1,0),"")="","","✔")</f>
        <v/>
      </c>
      <c r="V3" s="98" t="str">
        <f>IF(IFERROR(VLOOKUP(A3,'21.鋼構工程塗裝'!C:D,1,0),"")="","","✔")</f>
        <v/>
      </c>
      <c r="W3" s="98" t="str">
        <f>IF(IFERROR(VLOOKUP(A3,'22.排水設施(一)'!C:D,1,0),"")="","","✔")</f>
        <v/>
      </c>
      <c r="X3" s="98" t="str">
        <f>IF(IFERROR(VLOOKUP(A3,'23.排水設施(二)'!C:D,1,0),"")="","","✔")</f>
        <v/>
      </c>
      <c r="Y3" s="98" t="str">
        <f>IF(IFERROR(VLOOKUP(A3,'24.木構造'!C:D,1,0),"")="","","✔")</f>
        <v/>
      </c>
      <c r="Z3" s="98" t="str">
        <f>IF(IFERROR(VLOOKUP(A3,'25.管路'!C:D,1,0),"")="","","✔")</f>
        <v/>
      </c>
      <c r="AA3" s="98" t="str">
        <f>IF(IFERROR(VLOOKUP(A3,'26.植栽(移植)'!C:D,1,0),"")="","","✔")</f>
        <v/>
      </c>
      <c r="AB3" s="98" t="str">
        <f>IF(IFERROR(VLOOKUP(A3,'27.植栽(新植)'!C:D,1,0),"")="","","✔")</f>
        <v/>
      </c>
      <c r="AC3" s="98" t="str">
        <f>IF(IFERROR(VLOOKUP(A3,'28.照明'!C:D,1,0),"")="","","✔")</f>
        <v/>
      </c>
      <c r="AD3" s="98" t="str">
        <f>IF(IFERROR(VLOOKUP(A3,'29.既有橋梁拆除'!C:D,1,0),"")="","","✔")</f>
        <v/>
      </c>
    </row>
    <row r="4" spans="1:30" ht="21.75" customHeight="1" x14ac:dyDescent="0.25">
      <c r="A4" s="99">
        <v>45194</v>
      </c>
      <c r="B4" s="98" t="str">
        <f>IF(IFERROR(VLOOKUP(A4,'1.測量放樣'!C:D,1,0),"")="","","✔")</f>
        <v/>
      </c>
      <c r="C4" s="98" t="str">
        <f>IF(IFERROR(VLOOKUP(A4,'2.土方開挖'!C:D,1,0),"")="","","✔")</f>
        <v/>
      </c>
      <c r="D4" s="98" t="str">
        <f>IF(IFERROR(VLOOKUP(A4,'3.土方回填'!C:D,1,0),"")="","","✔")</f>
        <v/>
      </c>
      <c r="E4" s="98" t="str">
        <f>IF(IFERROR(VLOOKUP(A4,'4.鋼筋'!C:D,1,0),"")="","","✔")</f>
        <v/>
      </c>
      <c r="F4" s="98" t="str">
        <f>IF(IFERROR(VLOOKUP(A4,'5.模板'!C:D,1,0),"")="","","✔")</f>
        <v/>
      </c>
      <c r="G4" s="98" t="str">
        <f>IF(IFERROR(VLOOKUP(A4,'6.混凝土'!C:D,1,0),"")="","","✔")</f>
        <v/>
      </c>
      <c r="H4" s="98" t="str">
        <f>IF(IFERROR(VLOOKUP(A4,'7.植筋'!C:D,1,0),"")="","","✔")</f>
        <v/>
      </c>
      <c r="I4" s="98" t="str">
        <f>IF(IFERROR(VLOOKUP(A4,'8.預力混凝土基樁'!C:D,1,0),"")="","","✔")</f>
        <v/>
      </c>
      <c r="J4" s="98" t="str">
        <f>IF(IFERROR(VLOOKUP(A4,'9.砌塊石護岸'!C:D,1,0),"")="","","✔")</f>
        <v/>
      </c>
      <c r="K4" s="98" t="str">
        <f>IF(IFERROR(VLOOKUP(A4,'10.低水護岸'!C:D,1,0),"")="","","✔")</f>
        <v/>
      </c>
      <c r="L4" s="98" t="str">
        <f>IF(IFERROR(VLOOKUP(A4,'11.固床工'!C:D,1,0),"")="","","✔")</f>
        <v/>
      </c>
      <c r="M4" s="98" t="str">
        <f>IF(IFERROR(VLOOKUP(A4,'12.全套管基樁'!C:D,1,0),"")="","","✔")</f>
        <v/>
      </c>
      <c r="N4" s="98" t="str">
        <f>IF(IFERROR(VLOOKUP(A4,'13.鋼筋混凝土管工程'!C:D,1,0),"")="","","✔")</f>
        <v/>
      </c>
      <c r="O4" s="98" t="str">
        <f>IF(IFERROR(VLOOKUP(A4,'14.鋼版樁'!C:D,1,0),"")="","","✔")</f>
        <v/>
      </c>
      <c r="P4" s="98" t="str">
        <f>IF(IFERROR(VLOOKUP(A4,'15.路床 路基高程'!C:D,1,0),"")="","","✔")</f>
        <v/>
      </c>
      <c r="Q4" s="98" t="str">
        <f>IF(IFERROR(VLOOKUP(A4,'16.瀝青混凝土'!C:D,1,0),"")="","","✔")</f>
        <v/>
      </c>
      <c r="R4" s="98" t="str">
        <f>IF(IFERROR(VLOOKUP(A4,'17.景觀鋪面(一)'!C:D,1,0),"")="","","✔")</f>
        <v/>
      </c>
      <c r="S4" s="98" t="str">
        <f>IF(IFERROR(VLOOKUP(A4,'18.景觀鋪面(二)'!C:D,1,0),"")="","","✔")</f>
        <v/>
      </c>
      <c r="T4" s="98" t="str">
        <f>IF(IFERROR(VLOOKUP(A4,'19.預鑄緣石'!C:D,1,0),"")="","","✔")</f>
        <v/>
      </c>
      <c r="U4" s="98" t="str">
        <f>IF(IFERROR(VLOOKUP(A4,'20.鋼構工程吊裝'!C:D,1,0),"")="","","✔")</f>
        <v/>
      </c>
      <c r="V4" s="98" t="str">
        <f>IF(IFERROR(VLOOKUP(A4,'21.鋼構工程塗裝'!C:D,1,0),"")="","","✔")</f>
        <v/>
      </c>
      <c r="W4" s="98" t="str">
        <f>IF(IFERROR(VLOOKUP(A4,'22.排水設施(一)'!C:D,1,0),"")="","","✔")</f>
        <v/>
      </c>
      <c r="X4" s="98" t="str">
        <f>IF(IFERROR(VLOOKUP(A4,'23.排水設施(二)'!C:D,1,0),"")="","","✔")</f>
        <v/>
      </c>
      <c r="Y4" s="98" t="str">
        <f>IF(IFERROR(VLOOKUP(A4,'24.木構造'!C:D,1,0),"")="","","✔")</f>
        <v/>
      </c>
      <c r="Z4" s="98" t="str">
        <f>IF(IFERROR(VLOOKUP(A4,'25.管路'!C:D,1,0),"")="","","✔")</f>
        <v/>
      </c>
      <c r="AA4" s="98" t="str">
        <f>IF(IFERROR(VLOOKUP(A4,'26.植栽(移植)'!C:D,1,0),"")="","","✔")</f>
        <v>✔</v>
      </c>
      <c r="AB4" s="98" t="str">
        <f>IF(IFERROR(VLOOKUP(A4,'27.植栽(新植)'!C:D,1,0),"")="","","✔")</f>
        <v/>
      </c>
      <c r="AC4" s="98" t="str">
        <f>IF(IFERROR(VLOOKUP(A4,'28.照明'!C:D,1,0),"")="","","✔")</f>
        <v/>
      </c>
      <c r="AD4" s="98" t="str">
        <f>IF(IFERROR(VLOOKUP(A4,'29.既有橋梁拆除'!C:D,1,0),"")="","","✔")</f>
        <v/>
      </c>
    </row>
    <row r="5" spans="1:30" ht="21.75" customHeight="1" x14ac:dyDescent="0.25">
      <c r="A5" s="99">
        <v>45195</v>
      </c>
      <c r="B5" s="98" t="str">
        <f>IF(IFERROR(VLOOKUP(A5,'1.測量放樣'!C:D,1,0),"")="","","✔")</f>
        <v/>
      </c>
      <c r="C5" s="98" t="str">
        <f>IF(IFERROR(VLOOKUP(A5,'2.土方開挖'!C:D,1,0),"")="","","✔")</f>
        <v/>
      </c>
      <c r="D5" s="98" t="str">
        <f>IF(IFERROR(VLOOKUP(A5,'3.土方回填'!C:D,1,0),"")="","","✔")</f>
        <v/>
      </c>
      <c r="E5" s="98" t="str">
        <f>IF(IFERROR(VLOOKUP(A5,'4.鋼筋'!C:D,1,0),"")="","","✔")</f>
        <v/>
      </c>
      <c r="F5" s="98" t="str">
        <f>IF(IFERROR(VLOOKUP(A5,'5.模板'!C:D,1,0),"")="","","✔")</f>
        <v/>
      </c>
      <c r="G5" s="98" t="str">
        <f>IF(IFERROR(VLOOKUP(A5,'6.混凝土'!C:D,1,0),"")="","","✔")</f>
        <v/>
      </c>
      <c r="H5" s="98" t="str">
        <f>IF(IFERROR(VLOOKUP(A5,'7.植筋'!C:D,1,0),"")="","","✔")</f>
        <v/>
      </c>
      <c r="I5" s="98" t="str">
        <f>IF(IFERROR(VLOOKUP(A5,'8.預力混凝土基樁'!C:D,1,0),"")="","","✔")</f>
        <v/>
      </c>
      <c r="J5" s="98" t="str">
        <f>IF(IFERROR(VLOOKUP(A5,'9.砌塊石護岸'!C:D,1,0),"")="","","✔")</f>
        <v/>
      </c>
      <c r="K5" s="98" t="str">
        <f>IF(IFERROR(VLOOKUP(A5,'10.低水護岸'!C:D,1,0),"")="","","✔")</f>
        <v/>
      </c>
      <c r="L5" s="98" t="str">
        <f>IF(IFERROR(VLOOKUP(A5,'11.固床工'!C:D,1,0),"")="","","✔")</f>
        <v/>
      </c>
      <c r="M5" s="98" t="str">
        <f>IF(IFERROR(VLOOKUP(A5,'12.全套管基樁'!C:D,1,0),"")="","","✔")</f>
        <v/>
      </c>
      <c r="N5" s="98" t="str">
        <f>IF(IFERROR(VLOOKUP(A5,'13.鋼筋混凝土管工程'!C:D,1,0),"")="","","✔")</f>
        <v/>
      </c>
      <c r="O5" s="98" t="str">
        <f>IF(IFERROR(VLOOKUP(A5,'14.鋼版樁'!C:D,1,0),"")="","","✔")</f>
        <v/>
      </c>
      <c r="P5" s="98" t="str">
        <f>IF(IFERROR(VLOOKUP(A5,'15.路床 路基高程'!C:D,1,0),"")="","","✔")</f>
        <v/>
      </c>
      <c r="Q5" s="98" t="str">
        <f>IF(IFERROR(VLOOKUP(A5,'16.瀝青混凝土'!C:D,1,0),"")="","","✔")</f>
        <v/>
      </c>
      <c r="R5" s="98" t="str">
        <f>IF(IFERROR(VLOOKUP(A5,'17.景觀鋪面(一)'!C:D,1,0),"")="","","✔")</f>
        <v/>
      </c>
      <c r="S5" s="98" t="str">
        <f>IF(IFERROR(VLOOKUP(A5,'18.景觀鋪面(二)'!C:D,1,0),"")="","","✔")</f>
        <v/>
      </c>
      <c r="T5" s="98" t="str">
        <f>IF(IFERROR(VLOOKUP(A5,'19.預鑄緣石'!C:D,1,0),"")="","","✔")</f>
        <v/>
      </c>
      <c r="U5" s="98" t="str">
        <f>IF(IFERROR(VLOOKUP(A5,'20.鋼構工程吊裝'!C:D,1,0),"")="","","✔")</f>
        <v/>
      </c>
      <c r="V5" s="98" t="str">
        <f>IF(IFERROR(VLOOKUP(A5,'21.鋼構工程塗裝'!C:D,1,0),"")="","","✔")</f>
        <v/>
      </c>
      <c r="W5" s="98" t="str">
        <f>IF(IFERROR(VLOOKUP(A5,'22.排水設施(一)'!C:D,1,0),"")="","","✔")</f>
        <v/>
      </c>
      <c r="X5" s="98" t="str">
        <f>IF(IFERROR(VLOOKUP(A5,'23.排水設施(二)'!C:D,1,0),"")="","","✔")</f>
        <v/>
      </c>
      <c r="Y5" s="98" t="str">
        <f>IF(IFERROR(VLOOKUP(A5,'24.木構造'!C:D,1,0),"")="","","✔")</f>
        <v/>
      </c>
      <c r="Z5" s="98" t="str">
        <f>IF(IFERROR(VLOOKUP(A5,'25.管路'!C:D,1,0),"")="","","✔")</f>
        <v/>
      </c>
      <c r="AA5" s="98" t="str">
        <f>IF(IFERROR(VLOOKUP(A5,'26.植栽(移植)'!C:D,1,0),"")="","","✔")</f>
        <v/>
      </c>
      <c r="AB5" s="98" t="str">
        <f>IF(IFERROR(VLOOKUP(A5,'27.植栽(新植)'!C:D,1,0),"")="","","✔")</f>
        <v/>
      </c>
      <c r="AC5" s="98" t="str">
        <f>IF(IFERROR(VLOOKUP(A5,'28.照明'!C:D,1,0),"")="","","✔")</f>
        <v/>
      </c>
      <c r="AD5" s="98" t="str">
        <f>IF(IFERROR(VLOOKUP(A5,'29.既有橋梁拆除'!C:D,1,0),"")="","","✔")</f>
        <v/>
      </c>
    </row>
    <row r="6" spans="1:30" ht="21.75" customHeight="1" x14ac:dyDescent="0.25">
      <c r="A6" s="99">
        <v>45196</v>
      </c>
      <c r="B6" s="98" t="str">
        <f>IF(IFERROR(VLOOKUP(A6,'1.測量放樣'!C:D,1,0),"")="","","✔")</f>
        <v/>
      </c>
      <c r="C6" s="98" t="str">
        <f>IF(IFERROR(VLOOKUP(A6,'2.土方開挖'!C:D,1,0),"")="","","✔")</f>
        <v/>
      </c>
      <c r="D6" s="98" t="str">
        <f>IF(IFERROR(VLOOKUP(A6,'3.土方回填'!C:D,1,0),"")="","","✔")</f>
        <v/>
      </c>
      <c r="E6" s="98" t="str">
        <f>IF(IFERROR(VLOOKUP(A6,'4.鋼筋'!C:D,1,0),"")="","","✔")</f>
        <v/>
      </c>
      <c r="F6" s="98" t="str">
        <f>IF(IFERROR(VLOOKUP(A6,'5.模板'!C:D,1,0),"")="","","✔")</f>
        <v/>
      </c>
      <c r="G6" s="98" t="str">
        <f>IF(IFERROR(VLOOKUP(A6,'6.混凝土'!C:D,1,0),"")="","","✔")</f>
        <v/>
      </c>
      <c r="H6" s="98" t="str">
        <f>IF(IFERROR(VLOOKUP(A6,'7.植筋'!C:D,1,0),"")="","","✔")</f>
        <v/>
      </c>
      <c r="I6" s="98" t="str">
        <f>IF(IFERROR(VLOOKUP(A6,'8.預力混凝土基樁'!C:D,1,0),"")="","","✔")</f>
        <v/>
      </c>
      <c r="J6" s="98" t="str">
        <f>IF(IFERROR(VLOOKUP(A6,'9.砌塊石護岸'!C:D,1,0),"")="","","✔")</f>
        <v/>
      </c>
      <c r="K6" s="98" t="str">
        <f>IF(IFERROR(VLOOKUP(A6,'10.低水護岸'!C:D,1,0),"")="","","✔")</f>
        <v/>
      </c>
      <c r="L6" s="98" t="str">
        <f>IF(IFERROR(VLOOKUP(A6,'11.固床工'!C:D,1,0),"")="","","✔")</f>
        <v/>
      </c>
      <c r="M6" s="98" t="str">
        <f>IF(IFERROR(VLOOKUP(A6,'12.全套管基樁'!C:D,1,0),"")="","","✔")</f>
        <v/>
      </c>
      <c r="N6" s="98" t="str">
        <f>IF(IFERROR(VLOOKUP(A6,'13.鋼筋混凝土管工程'!C:D,1,0),"")="","","✔")</f>
        <v/>
      </c>
      <c r="O6" s="98" t="str">
        <f>IF(IFERROR(VLOOKUP(A6,'14.鋼版樁'!C:D,1,0),"")="","","✔")</f>
        <v/>
      </c>
      <c r="P6" s="98" t="str">
        <f>IF(IFERROR(VLOOKUP(A6,'15.路床 路基高程'!C:D,1,0),"")="","","✔")</f>
        <v/>
      </c>
      <c r="Q6" s="98" t="str">
        <f>IF(IFERROR(VLOOKUP(A6,'16.瀝青混凝土'!C:D,1,0),"")="","","✔")</f>
        <v/>
      </c>
      <c r="R6" s="98" t="str">
        <f>IF(IFERROR(VLOOKUP(A6,'17.景觀鋪面(一)'!C:D,1,0),"")="","","✔")</f>
        <v/>
      </c>
      <c r="S6" s="98" t="str">
        <f>IF(IFERROR(VLOOKUP(A6,'18.景觀鋪面(二)'!C:D,1,0),"")="","","✔")</f>
        <v/>
      </c>
      <c r="T6" s="98" t="str">
        <f>IF(IFERROR(VLOOKUP(A6,'19.預鑄緣石'!C:D,1,0),"")="","","✔")</f>
        <v/>
      </c>
      <c r="U6" s="98" t="str">
        <f>IF(IFERROR(VLOOKUP(A6,'20.鋼構工程吊裝'!C:D,1,0),"")="","","✔")</f>
        <v/>
      </c>
      <c r="V6" s="98" t="str">
        <f>IF(IFERROR(VLOOKUP(A6,'21.鋼構工程塗裝'!C:D,1,0),"")="","","✔")</f>
        <v/>
      </c>
      <c r="W6" s="98" t="str">
        <f>IF(IFERROR(VLOOKUP(A6,'22.排水設施(一)'!C:D,1,0),"")="","","✔")</f>
        <v/>
      </c>
      <c r="X6" s="98" t="str">
        <f>IF(IFERROR(VLOOKUP(A6,'23.排水設施(二)'!C:D,1,0),"")="","","✔")</f>
        <v/>
      </c>
      <c r="Y6" s="98" t="str">
        <f>IF(IFERROR(VLOOKUP(A6,'24.木構造'!C:D,1,0),"")="","","✔")</f>
        <v/>
      </c>
      <c r="Z6" s="98" t="str">
        <f>IF(IFERROR(VLOOKUP(A6,'25.管路'!C:D,1,0),"")="","","✔")</f>
        <v/>
      </c>
      <c r="AA6" s="98" t="str">
        <f>IF(IFERROR(VLOOKUP(A6,'26.植栽(移植)'!C:D,1,0),"")="","","✔")</f>
        <v/>
      </c>
      <c r="AB6" s="98" t="str">
        <f>IF(IFERROR(VLOOKUP(A6,'27.植栽(新植)'!C:D,1,0),"")="","","✔")</f>
        <v/>
      </c>
      <c r="AC6" s="98" t="str">
        <f>IF(IFERROR(VLOOKUP(A6,'28.照明'!C:D,1,0),"")="","","✔")</f>
        <v/>
      </c>
      <c r="AD6" s="98" t="str">
        <f>IF(IFERROR(VLOOKUP(A6,'29.既有橋梁拆除'!C:D,1,0),"")="","","✔")</f>
        <v/>
      </c>
    </row>
    <row r="7" spans="1:30" ht="21.75" customHeight="1" x14ac:dyDescent="0.25">
      <c r="A7" s="99">
        <v>45197</v>
      </c>
      <c r="B7" s="98" t="str">
        <f>IF(IFERROR(VLOOKUP(A7,'1.測量放樣'!C:D,1,0),"")="","","✔")</f>
        <v/>
      </c>
      <c r="C7" s="98" t="str">
        <f>IF(IFERROR(VLOOKUP(A7,'2.土方開挖'!C:D,1,0),"")="","","✔")</f>
        <v/>
      </c>
      <c r="D7" s="98" t="str">
        <f>IF(IFERROR(VLOOKUP(A7,'3.土方回填'!C:D,1,0),"")="","","✔")</f>
        <v/>
      </c>
      <c r="E7" s="98" t="str">
        <f>IF(IFERROR(VLOOKUP(A7,'4.鋼筋'!C:D,1,0),"")="","","✔")</f>
        <v/>
      </c>
      <c r="F7" s="98" t="str">
        <f>IF(IFERROR(VLOOKUP(A7,'5.模板'!C:D,1,0),"")="","","✔")</f>
        <v/>
      </c>
      <c r="G7" s="98" t="str">
        <f>IF(IFERROR(VLOOKUP(A7,'6.混凝土'!C:D,1,0),"")="","","✔")</f>
        <v/>
      </c>
      <c r="H7" s="98" t="str">
        <f>IF(IFERROR(VLOOKUP(A7,'7.植筋'!C:D,1,0),"")="","","✔")</f>
        <v/>
      </c>
      <c r="I7" s="98" t="str">
        <f>IF(IFERROR(VLOOKUP(A7,'8.預力混凝土基樁'!C:D,1,0),"")="","","✔")</f>
        <v/>
      </c>
      <c r="J7" s="98" t="str">
        <f>IF(IFERROR(VLOOKUP(A7,'9.砌塊石護岸'!C:D,1,0),"")="","","✔")</f>
        <v/>
      </c>
      <c r="K7" s="98" t="str">
        <f>IF(IFERROR(VLOOKUP(A7,'10.低水護岸'!C:D,1,0),"")="","","✔")</f>
        <v/>
      </c>
      <c r="L7" s="98" t="str">
        <f>IF(IFERROR(VLOOKUP(A7,'11.固床工'!C:D,1,0),"")="","","✔")</f>
        <v/>
      </c>
      <c r="M7" s="98" t="str">
        <f>IF(IFERROR(VLOOKUP(A7,'12.全套管基樁'!C:D,1,0),"")="","","✔")</f>
        <v/>
      </c>
      <c r="N7" s="98" t="str">
        <f>IF(IFERROR(VLOOKUP(A7,'13.鋼筋混凝土管工程'!C:D,1,0),"")="","","✔")</f>
        <v/>
      </c>
      <c r="O7" s="98" t="str">
        <f>IF(IFERROR(VLOOKUP(A7,'14.鋼版樁'!C:D,1,0),"")="","","✔")</f>
        <v/>
      </c>
      <c r="P7" s="98" t="str">
        <f>IF(IFERROR(VLOOKUP(A7,'15.路床 路基高程'!C:D,1,0),"")="","","✔")</f>
        <v/>
      </c>
      <c r="Q7" s="98" t="str">
        <f>IF(IFERROR(VLOOKUP(A7,'16.瀝青混凝土'!C:D,1,0),"")="","","✔")</f>
        <v/>
      </c>
      <c r="R7" s="98" t="str">
        <f>IF(IFERROR(VLOOKUP(A7,'17.景觀鋪面(一)'!C:D,1,0),"")="","","✔")</f>
        <v/>
      </c>
      <c r="S7" s="98" t="str">
        <f>IF(IFERROR(VLOOKUP(A7,'18.景觀鋪面(二)'!C:D,1,0),"")="","","✔")</f>
        <v/>
      </c>
      <c r="T7" s="98" t="str">
        <f>IF(IFERROR(VLOOKUP(A7,'19.預鑄緣石'!C:D,1,0),"")="","","✔")</f>
        <v/>
      </c>
      <c r="U7" s="98" t="str">
        <f>IF(IFERROR(VLOOKUP(A7,'20.鋼構工程吊裝'!C:D,1,0),"")="","","✔")</f>
        <v/>
      </c>
      <c r="V7" s="98" t="str">
        <f>IF(IFERROR(VLOOKUP(A7,'21.鋼構工程塗裝'!C:D,1,0),"")="","","✔")</f>
        <v/>
      </c>
      <c r="W7" s="98" t="str">
        <f>IF(IFERROR(VLOOKUP(A7,'22.排水設施(一)'!C:D,1,0),"")="","","✔")</f>
        <v/>
      </c>
      <c r="X7" s="98" t="str">
        <f>IF(IFERROR(VLOOKUP(A7,'23.排水設施(二)'!C:D,1,0),"")="","","✔")</f>
        <v/>
      </c>
      <c r="Y7" s="98" t="str">
        <f>IF(IFERROR(VLOOKUP(A7,'24.木構造'!C:D,1,0),"")="","","✔")</f>
        <v/>
      </c>
      <c r="Z7" s="98" t="str">
        <f>IF(IFERROR(VLOOKUP(A7,'25.管路'!C:D,1,0),"")="","","✔")</f>
        <v/>
      </c>
      <c r="AA7" s="98" t="str">
        <f>IF(IFERROR(VLOOKUP(A7,'26.植栽(移植)'!C:D,1,0),"")="","","✔")</f>
        <v/>
      </c>
      <c r="AB7" s="98" t="str">
        <f>IF(IFERROR(VLOOKUP(A7,'27.植栽(新植)'!C:D,1,0),"")="","","✔")</f>
        <v/>
      </c>
      <c r="AC7" s="98" t="str">
        <f>IF(IFERROR(VLOOKUP(A7,'28.照明'!C:D,1,0),"")="","","✔")</f>
        <v/>
      </c>
      <c r="AD7" s="98" t="str">
        <f>IF(IFERROR(VLOOKUP(A7,'29.既有橋梁拆除'!C:D,1,0),"")="","","✔")</f>
        <v/>
      </c>
    </row>
    <row r="8" spans="1:30" ht="21.75" customHeight="1" x14ac:dyDescent="0.25">
      <c r="A8" s="99">
        <v>45198</v>
      </c>
      <c r="B8" s="98" t="str">
        <f>IF(IFERROR(VLOOKUP(A8,'1.測量放樣'!C:D,1,0),"")="","","✔")</f>
        <v/>
      </c>
      <c r="C8" s="98" t="str">
        <f>IF(IFERROR(VLOOKUP(A8,'2.土方開挖'!C:D,1,0),"")="","","✔")</f>
        <v/>
      </c>
      <c r="D8" s="98" t="str">
        <f>IF(IFERROR(VLOOKUP(A8,'3.土方回填'!C:D,1,0),"")="","","✔")</f>
        <v/>
      </c>
      <c r="E8" s="98" t="str">
        <f>IF(IFERROR(VLOOKUP(A8,'4.鋼筋'!C:D,1,0),"")="","","✔")</f>
        <v/>
      </c>
      <c r="F8" s="98" t="str">
        <f>IF(IFERROR(VLOOKUP(A8,'5.模板'!C:D,1,0),"")="","","✔")</f>
        <v/>
      </c>
      <c r="G8" s="98" t="str">
        <f>IF(IFERROR(VLOOKUP(A8,'6.混凝土'!C:D,1,0),"")="","","✔")</f>
        <v/>
      </c>
      <c r="H8" s="98" t="str">
        <f>IF(IFERROR(VLOOKUP(A8,'7.植筋'!C:D,1,0),"")="","","✔")</f>
        <v/>
      </c>
      <c r="I8" s="98" t="str">
        <f>IF(IFERROR(VLOOKUP(A8,'8.預力混凝土基樁'!C:D,1,0),"")="","","✔")</f>
        <v/>
      </c>
      <c r="J8" s="98" t="str">
        <f>IF(IFERROR(VLOOKUP(A8,'9.砌塊石護岸'!C:D,1,0),"")="","","✔")</f>
        <v/>
      </c>
      <c r="K8" s="98" t="str">
        <f>IF(IFERROR(VLOOKUP(A8,'10.低水護岸'!C:D,1,0),"")="","","✔")</f>
        <v/>
      </c>
      <c r="L8" s="98" t="str">
        <f>IF(IFERROR(VLOOKUP(A8,'11.固床工'!C:D,1,0),"")="","","✔")</f>
        <v/>
      </c>
      <c r="M8" s="98" t="str">
        <f>IF(IFERROR(VLOOKUP(A8,'12.全套管基樁'!C:D,1,0),"")="","","✔")</f>
        <v/>
      </c>
      <c r="N8" s="98" t="str">
        <f>IF(IFERROR(VLOOKUP(A8,'13.鋼筋混凝土管工程'!C:D,1,0),"")="","","✔")</f>
        <v/>
      </c>
      <c r="O8" s="98" t="str">
        <f>IF(IFERROR(VLOOKUP(A8,'14.鋼版樁'!C:D,1,0),"")="","","✔")</f>
        <v/>
      </c>
      <c r="P8" s="98" t="str">
        <f>IF(IFERROR(VLOOKUP(A8,'15.路床 路基高程'!C:D,1,0),"")="","","✔")</f>
        <v/>
      </c>
      <c r="Q8" s="98" t="str">
        <f>IF(IFERROR(VLOOKUP(A8,'16.瀝青混凝土'!C:D,1,0),"")="","","✔")</f>
        <v/>
      </c>
      <c r="R8" s="98" t="str">
        <f>IF(IFERROR(VLOOKUP(A8,'17.景觀鋪面(一)'!C:D,1,0),"")="","","✔")</f>
        <v/>
      </c>
      <c r="S8" s="98" t="str">
        <f>IF(IFERROR(VLOOKUP(A8,'18.景觀鋪面(二)'!C:D,1,0),"")="","","✔")</f>
        <v/>
      </c>
      <c r="T8" s="98" t="str">
        <f>IF(IFERROR(VLOOKUP(A8,'19.預鑄緣石'!C:D,1,0),"")="","","✔")</f>
        <v/>
      </c>
      <c r="U8" s="98" t="str">
        <f>IF(IFERROR(VLOOKUP(A8,'20.鋼構工程吊裝'!C:D,1,0),"")="","","✔")</f>
        <v/>
      </c>
      <c r="V8" s="98" t="str">
        <f>IF(IFERROR(VLOOKUP(A8,'21.鋼構工程塗裝'!C:D,1,0),"")="","","✔")</f>
        <v/>
      </c>
      <c r="W8" s="98" t="str">
        <f>IF(IFERROR(VLOOKUP(A8,'22.排水設施(一)'!C:D,1,0),"")="","","✔")</f>
        <v/>
      </c>
      <c r="X8" s="98" t="str">
        <f>IF(IFERROR(VLOOKUP(A8,'23.排水設施(二)'!C:D,1,0),"")="","","✔")</f>
        <v/>
      </c>
      <c r="Y8" s="98" t="str">
        <f>IF(IFERROR(VLOOKUP(A8,'24.木構造'!C:D,1,0),"")="","","✔")</f>
        <v/>
      </c>
      <c r="Z8" s="98" t="str">
        <f>IF(IFERROR(VLOOKUP(A8,'25.管路'!C:D,1,0),"")="","","✔")</f>
        <v/>
      </c>
      <c r="AA8" s="98" t="str">
        <f>IF(IFERROR(VLOOKUP(A8,'26.植栽(移植)'!C:D,1,0),"")="","","✔")</f>
        <v/>
      </c>
      <c r="AB8" s="98" t="str">
        <f>IF(IFERROR(VLOOKUP(A8,'27.植栽(新植)'!C:D,1,0),"")="","","✔")</f>
        <v/>
      </c>
      <c r="AC8" s="98" t="str">
        <f>IF(IFERROR(VLOOKUP(A8,'28.照明'!C:D,1,0),"")="","","✔")</f>
        <v/>
      </c>
      <c r="AD8" s="98" t="str">
        <f>IF(IFERROR(VLOOKUP(A8,'29.既有橋梁拆除'!C:D,1,0),"")="","","✔")</f>
        <v/>
      </c>
    </row>
    <row r="9" spans="1:30" ht="21.75" customHeight="1" x14ac:dyDescent="0.25">
      <c r="A9" s="99">
        <v>45199</v>
      </c>
      <c r="B9" s="98" t="str">
        <f>IF(IFERROR(VLOOKUP(A9,'1.測量放樣'!C:D,1,0),"")="","","✔")</f>
        <v/>
      </c>
      <c r="C9" s="98" t="str">
        <f>IF(IFERROR(VLOOKUP(A9,'2.土方開挖'!C:D,1,0),"")="","","✔")</f>
        <v/>
      </c>
      <c r="D9" s="98" t="str">
        <f>IF(IFERROR(VLOOKUP(A9,'3.土方回填'!C:D,1,0),"")="","","✔")</f>
        <v/>
      </c>
      <c r="E9" s="98" t="str">
        <f>IF(IFERROR(VLOOKUP(A9,'4.鋼筋'!C:D,1,0),"")="","","✔")</f>
        <v/>
      </c>
      <c r="F9" s="98" t="str">
        <f>IF(IFERROR(VLOOKUP(A9,'5.模板'!C:D,1,0),"")="","","✔")</f>
        <v/>
      </c>
      <c r="G9" s="98" t="str">
        <f>IF(IFERROR(VLOOKUP(A9,'6.混凝土'!C:D,1,0),"")="","","✔")</f>
        <v/>
      </c>
      <c r="H9" s="98" t="str">
        <f>IF(IFERROR(VLOOKUP(A9,'7.植筋'!C:D,1,0),"")="","","✔")</f>
        <v/>
      </c>
      <c r="I9" s="98" t="str">
        <f>IF(IFERROR(VLOOKUP(A9,'8.預力混凝土基樁'!C:D,1,0),"")="","","✔")</f>
        <v/>
      </c>
      <c r="J9" s="98" t="str">
        <f>IF(IFERROR(VLOOKUP(A9,'9.砌塊石護岸'!C:D,1,0),"")="","","✔")</f>
        <v/>
      </c>
      <c r="K9" s="98" t="str">
        <f>IF(IFERROR(VLOOKUP(A9,'10.低水護岸'!C:D,1,0),"")="","","✔")</f>
        <v/>
      </c>
      <c r="L9" s="98" t="str">
        <f>IF(IFERROR(VLOOKUP(A9,'11.固床工'!C:D,1,0),"")="","","✔")</f>
        <v/>
      </c>
      <c r="M9" s="98" t="str">
        <f>IF(IFERROR(VLOOKUP(A9,'12.全套管基樁'!C:D,1,0),"")="","","✔")</f>
        <v/>
      </c>
      <c r="N9" s="98" t="str">
        <f>IF(IFERROR(VLOOKUP(A9,'13.鋼筋混凝土管工程'!C:D,1,0),"")="","","✔")</f>
        <v/>
      </c>
      <c r="O9" s="98" t="str">
        <f>IF(IFERROR(VLOOKUP(A9,'14.鋼版樁'!C:D,1,0),"")="","","✔")</f>
        <v/>
      </c>
      <c r="P9" s="98" t="str">
        <f>IF(IFERROR(VLOOKUP(A9,'15.路床 路基高程'!C:D,1,0),"")="","","✔")</f>
        <v/>
      </c>
      <c r="Q9" s="98" t="str">
        <f>IF(IFERROR(VLOOKUP(A9,'16.瀝青混凝土'!C:D,1,0),"")="","","✔")</f>
        <v/>
      </c>
      <c r="R9" s="98" t="str">
        <f>IF(IFERROR(VLOOKUP(A9,'17.景觀鋪面(一)'!C:D,1,0),"")="","","✔")</f>
        <v/>
      </c>
      <c r="S9" s="98" t="str">
        <f>IF(IFERROR(VLOOKUP(A9,'18.景觀鋪面(二)'!C:D,1,0),"")="","","✔")</f>
        <v/>
      </c>
      <c r="T9" s="98" t="str">
        <f>IF(IFERROR(VLOOKUP(A9,'19.預鑄緣石'!C:D,1,0),"")="","","✔")</f>
        <v/>
      </c>
      <c r="U9" s="98" t="str">
        <f>IF(IFERROR(VLOOKUP(A9,'20.鋼構工程吊裝'!C:D,1,0),"")="","","✔")</f>
        <v/>
      </c>
      <c r="V9" s="98" t="str">
        <f>IF(IFERROR(VLOOKUP(A9,'21.鋼構工程塗裝'!C:D,1,0),"")="","","✔")</f>
        <v/>
      </c>
      <c r="W9" s="98" t="str">
        <f>IF(IFERROR(VLOOKUP(A9,'22.排水設施(一)'!C:D,1,0),"")="","","✔")</f>
        <v/>
      </c>
      <c r="X9" s="98" t="str">
        <f>IF(IFERROR(VLOOKUP(A9,'23.排水設施(二)'!C:D,1,0),"")="","","✔")</f>
        <v/>
      </c>
      <c r="Y9" s="98" t="str">
        <f>IF(IFERROR(VLOOKUP(A9,'24.木構造'!C:D,1,0),"")="","","✔")</f>
        <v/>
      </c>
      <c r="Z9" s="98" t="str">
        <f>IF(IFERROR(VLOOKUP(A9,'25.管路'!C:D,1,0),"")="","","✔")</f>
        <v/>
      </c>
      <c r="AA9" s="98" t="str">
        <f>IF(IFERROR(VLOOKUP(A9,'26.植栽(移植)'!C:D,1,0),"")="","","✔")</f>
        <v/>
      </c>
      <c r="AB9" s="98" t="str">
        <f>IF(IFERROR(VLOOKUP(A9,'27.植栽(新植)'!C:D,1,0),"")="","","✔")</f>
        <v/>
      </c>
      <c r="AC9" s="98" t="str">
        <f>IF(IFERROR(VLOOKUP(A9,'28.照明'!C:D,1,0),"")="","","✔")</f>
        <v/>
      </c>
      <c r="AD9" s="98" t="str">
        <f>IF(IFERROR(VLOOKUP(A9,'29.既有橋梁拆除'!C:D,1,0),"")="","","✔")</f>
        <v/>
      </c>
    </row>
    <row r="10" spans="1:30" ht="21.75" customHeight="1" x14ac:dyDescent="0.25">
      <c r="A10" s="99">
        <v>45200</v>
      </c>
      <c r="B10" s="98" t="str">
        <f>IF(IFERROR(VLOOKUP(A10,'1.測量放樣'!C:D,1,0),"")="","","✔")</f>
        <v/>
      </c>
      <c r="C10" s="98" t="str">
        <f>IF(IFERROR(VLOOKUP(A10,'2.土方開挖'!C:D,1,0),"")="","","✔")</f>
        <v/>
      </c>
      <c r="D10" s="98" t="str">
        <f>IF(IFERROR(VLOOKUP(A10,'3.土方回填'!C:D,1,0),"")="","","✔")</f>
        <v/>
      </c>
      <c r="E10" s="98" t="str">
        <f>IF(IFERROR(VLOOKUP(A10,'4.鋼筋'!C:D,1,0),"")="","","✔")</f>
        <v/>
      </c>
      <c r="F10" s="98" t="str">
        <f>IF(IFERROR(VLOOKUP(A10,'5.模板'!C:D,1,0),"")="","","✔")</f>
        <v/>
      </c>
      <c r="G10" s="98" t="str">
        <f>IF(IFERROR(VLOOKUP(A10,'6.混凝土'!C:D,1,0),"")="","","✔")</f>
        <v/>
      </c>
      <c r="H10" s="98" t="str">
        <f>IF(IFERROR(VLOOKUP(A10,'7.植筋'!C:D,1,0),"")="","","✔")</f>
        <v/>
      </c>
      <c r="I10" s="98" t="str">
        <f>IF(IFERROR(VLOOKUP(A10,'8.預力混凝土基樁'!C:D,1,0),"")="","","✔")</f>
        <v/>
      </c>
      <c r="J10" s="98" t="str">
        <f>IF(IFERROR(VLOOKUP(A10,'9.砌塊石護岸'!C:D,1,0),"")="","","✔")</f>
        <v/>
      </c>
      <c r="K10" s="98" t="str">
        <f>IF(IFERROR(VLOOKUP(A10,'10.低水護岸'!C:D,1,0),"")="","","✔")</f>
        <v/>
      </c>
      <c r="L10" s="98" t="str">
        <f>IF(IFERROR(VLOOKUP(A10,'11.固床工'!C:D,1,0),"")="","","✔")</f>
        <v/>
      </c>
      <c r="M10" s="98" t="str">
        <f>IF(IFERROR(VLOOKUP(A10,'12.全套管基樁'!C:D,1,0),"")="","","✔")</f>
        <v/>
      </c>
      <c r="N10" s="98" t="str">
        <f>IF(IFERROR(VLOOKUP(A10,'13.鋼筋混凝土管工程'!C:D,1,0),"")="","","✔")</f>
        <v/>
      </c>
      <c r="O10" s="98" t="str">
        <f>IF(IFERROR(VLOOKUP(A10,'14.鋼版樁'!C:D,1,0),"")="","","✔")</f>
        <v/>
      </c>
      <c r="P10" s="98" t="str">
        <f>IF(IFERROR(VLOOKUP(A10,'15.路床 路基高程'!C:D,1,0),"")="","","✔")</f>
        <v/>
      </c>
      <c r="Q10" s="98" t="str">
        <f>IF(IFERROR(VLOOKUP(A10,'16.瀝青混凝土'!C:D,1,0),"")="","","✔")</f>
        <v/>
      </c>
      <c r="R10" s="98" t="str">
        <f>IF(IFERROR(VLOOKUP(A10,'17.景觀鋪面(一)'!C:D,1,0),"")="","","✔")</f>
        <v/>
      </c>
      <c r="S10" s="98" t="str">
        <f>IF(IFERROR(VLOOKUP(A10,'18.景觀鋪面(二)'!C:D,1,0),"")="","","✔")</f>
        <v/>
      </c>
      <c r="T10" s="98" t="str">
        <f>IF(IFERROR(VLOOKUP(A10,'19.預鑄緣石'!C:D,1,0),"")="","","✔")</f>
        <v/>
      </c>
      <c r="U10" s="98" t="str">
        <f>IF(IFERROR(VLOOKUP(A10,'20.鋼構工程吊裝'!C:D,1,0),"")="","","✔")</f>
        <v/>
      </c>
      <c r="V10" s="98" t="str">
        <f>IF(IFERROR(VLOOKUP(A10,'21.鋼構工程塗裝'!C:D,1,0),"")="","","✔")</f>
        <v/>
      </c>
      <c r="W10" s="98" t="str">
        <f>IF(IFERROR(VLOOKUP(A10,'22.排水設施(一)'!C:D,1,0),"")="","","✔")</f>
        <v/>
      </c>
      <c r="X10" s="98" t="str">
        <f>IF(IFERROR(VLOOKUP(A10,'23.排水設施(二)'!C:D,1,0),"")="","","✔")</f>
        <v/>
      </c>
      <c r="Y10" s="98" t="str">
        <f>IF(IFERROR(VLOOKUP(A10,'24.木構造'!C:D,1,0),"")="","","✔")</f>
        <v/>
      </c>
      <c r="Z10" s="98" t="str">
        <f>IF(IFERROR(VLOOKUP(A10,'25.管路'!C:D,1,0),"")="","","✔")</f>
        <v/>
      </c>
      <c r="AA10" s="98" t="str">
        <f>IF(IFERROR(VLOOKUP(A10,'26.植栽(移植)'!C:D,1,0),"")="","","✔")</f>
        <v/>
      </c>
      <c r="AB10" s="98" t="str">
        <f>IF(IFERROR(VLOOKUP(A10,'27.植栽(新植)'!C:D,1,0),"")="","","✔")</f>
        <v/>
      </c>
      <c r="AC10" s="98" t="str">
        <f>IF(IFERROR(VLOOKUP(A10,'28.照明'!C:D,1,0),"")="","","✔")</f>
        <v/>
      </c>
      <c r="AD10" s="98" t="str">
        <f>IF(IFERROR(VLOOKUP(A10,'29.既有橋梁拆除'!C:D,1,0),"")="","","✔")</f>
        <v/>
      </c>
    </row>
    <row r="11" spans="1:30" ht="21.75" customHeight="1" x14ac:dyDescent="0.25">
      <c r="A11" s="99">
        <v>45201</v>
      </c>
      <c r="B11" s="98" t="str">
        <f>IF(IFERROR(VLOOKUP(A11,'1.測量放樣'!C:D,1,0),"")="","","✔")</f>
        <v/>
      </c>
      <c r="C11" s="98" t="str">
        <f>IF(IFERROR(VLOOKUP(A11,'2.土方開挖'!C:D,1,0),"")="","","✔")</f>
        <v/>
      </c>
      <c r="D11" s="98" t="str">
        <f>IF(IFERROR(VLOOKUP(A11,'3.土方回填'!C:D,1,0),"")="","","✔")</f>
        <v/>
      </c>
      <c r="E11" s="98" t="str">
        <f>IF(IFERROR(VLOOKUP(A11,'4.鋼筋'!C:D,1,0),"")="","","✔")</f>
        <v/>
      </c>
      <c r="F11" s="98" t="str">
        <f>IF(IFERROR(VLOOKUP(A11,'5.模板'!C:D,1,0),"")="","","✔")</f>
        <v/>
      </c>
      <c r="G11" s="98" t="str">
        <f>IF(IFERROR(VLOOKUP(A11,'6.混凝土'!C:D,1,0),"")="","","✔")</f>
        <v/>
      </c>
      <c r="H11" s="98" t="str">
        <f>IF(IFERROR(VLOOKUP(A11,'7.植筋'!C:D,1,0),"")="","","✔")</f>
        <v/>
      </c>
      <c r="I11" s="98" t="str">
        <f>IF(IFERROR(VLOOKUP(A11,'8.預力混凝土基樁'!C:D,1,0),"")="","","✔")</f>
        <v/>
      </c>
      <c r="J11" s="98" t="str">
        <f>IF(IFERROR(VLOOKUP(A11,'9.砌塊石護岸'!C:D,1,0),"")="","","✔")</f>
        <v/>
      </c>
      <c r="K11" s="98" t="str">
        <f>IF(IFERROR(VLOOKUP(A11,'10.低水護岸'!C:D,1,0),"")="","","✔")</f>
        <v/>
      </c>
      <c r="L11" s="98" t="str">
        <f>IF(IFERROR(VLOOKUP(A11,'11.固床工'!C:D,1,0),"")="","","✔")</f>
        <v/>
      </c>
      <c r="M11" s="98" t="str">
        <f>IF(IFERROR(VLOOKUP(A11,'12.全套管基樁'!C:D,1,0),"")="","","✔")</f>
        <v/>
      </c>
      <c r="N11" s="98" t="str">
        <f>IF(IFERROR(VLOOKUP(A11,'13.鋼筋混凝土管工程'!C:D,1,0),"")="","","✔")</f>
        <v/>
      </c>
      <c r="O11" s="98" t="str">
        <f>IF(IFERROR(VLOOKUP(A11,'14.鋼版樁'!C:D,1,0),"")="","","✔")</f>
        <v/>
      </c>
      <c r="P11" s="98" t="str">
        <f>IF(IFERROR(VLOOKUP(A11,'15.路床 路基高程'!C:D,1,0),"")="","","✔")</f>
        <v/>
      </c>
      <c r="Q11" s="98" t="str">
        <f>IF(IFERROR(VLOOKUP(A11,'16.瀝青混凝土'!C:D,1,0),"")="","","✔")</f>
        <v/>
      </c>
      <c r="R11" s="98" t="str">
        <f>IF(IFERROR(VLOOKUP(A11,'17.景觀鋪面(一)'!C:D,1,0),"")="","","✔")</f>
        <v/>
      </c>
      <c r="S11" s="98" t="str">
        <f>IF(IFERROR(VLOOKUP(A11,'18.景觀鋪面(二)'!C:D,1,0),"")="","","✔")</f>
        <v/>
      </c>
      <c r="T11" s="98" t="str">
        <f>IF(IFERROR(VLOOKUP(A11,'19.預鑄緣石'!C:D,1,0),"")="","","✔")</f>
        <v/>
      </c>
      <c r="U11" s="98" t="str">
        <f>IF(IFERROR(VLOOKUP(A11,'20.鋼構工程吊裝'!C:D,1,0),"")="","","✔")</f>
        <v/>
      </c>
      <c r="V11" s="98" t="str">
        <f>IF(IFERROR(VLOOKUP(A11,'21.鋼構工程塗裝'!C:D,1,0),"")="","","✔")</f>
        <v/>
      </c>
      <c r="W11" s="98" t="str">
        <f>IF(IFERROR(VLOOKUP(A11,'22.排水設施(一)'!C:D,1,0),"")="","","✔")</f>
        <v/>
      </c>
      <c r="X11" s="98" t="str">
        <f>IF(IFERROR(VLOOKUP(A11,'23.排水設施(二)'!C:D,1,0),"")="","","✔")</f>
        <v/>
      </c>
      <c r="Y11" s="98" t="str">
        <f>IF(IFERROR(VLOOKUP(A11,'24.木構造'!C:D,1,0),"")="","","✔")</f>
        <v/>
      </c>
      <c r="Z11" s="98" t="str">
        <f>IF(IFERROR(VLOOKUP(A11,'25.管路'!C:D,1,0),"")="","","✔")</f>
        <v/>
      </c>
      <c r="AA11" s="98" t="str">
        <f>IF(IFERROR(VLOOKUP(A11,'26.植栽(移植)'!C:D,1,0),"")="","","✔")</f>
        <v/>
      </c>
      <c r="AB11" s="98" t="str">
        <f>IF(IFERROR(VLOOKUP(A11,'27.植栽(新植)'!C:D,1,0),"")="","","✔")</f>
        <v/>
      </c>
      <c r="AC11" s="98" t="str">
        <f>IF(IFERROR(VLOOKUP(A11,'28.照明'!C:D,1,0),"")="","","✔")</f>
        <v/>
      </c>
      <c r="AD11" s="98" t="str">
        <f>IF(IFERROR(VLOOKUP(A11,'29.既有橋梁拆除'!C:D,1,0),"")="","","✔")</f>
        <v/>
      </c>
    </row>
    <row r="12" spans="1:30" ht="21.75" customHeight="1" x14ac:dyDescent="0.25">
      <c r="A12" s="99">
        <v>45202</v>
      </c>
      <c r="B12" s="98" t="str">
        <f>IF(IFERROR(VLOOKUP(A12,'1.測量放樣'!C:D,1,0),"")="","","✔")</f>
        <v/>
      </c>
      <c r="C12" s="98" t="str">
        <f>IF(IFERROR(VLOOKUP(A12,'2.土方開挖'!C:D,1,0),"")="","","✔")</f>
        <v/>
      </c>
      <c r="D12" s="98" t="str">
        <f>IF(IFERROR(VLOOKUP(A12,'3.土方回填'!C:D,1,0),"")="","","✔")</f>
        <v/>
      </c>
      <c r="E12" s="98" t="str">
        <f>IF(IFERROR(VLOOKUP(A12,'4.鋼筋'!C:D,1,0),"")="","","✔")</f>
        <v/>
      </c>
      <c r="F12" s="98" t="str">
        <f>IF(IFERROR(VLOOKUP(A12,'5.模板'!C:D,1,0),"")="","","✔")</f>
        <v/>
      </c>
      <c r="G12" s="98" t="str">
        <f>IF(IFERROR(VLOOKUP(A12,'6.混凝土'!C:D,1,0),"")="","","✔")</f>
        <v/>
      </c>
      <c r="H12" s="98" t="str">
        <f>IF(IFERROR(VLOOKUP(A12,'7.植筋'!C:D,1,0),"")="","","✔")</f>
        <v/>
      </c>
      <c r="I12" s="98" t="str">
        <f>IF(IFERROR(VLOOKUP(A12,'8.預力混凝土基樁'!C:D,1,0),"")="","","✔")</f>
        <v/>
      </c>
      <c r="J12" s="98" t="str">
        <f>IF(IFERROR(VLOOKUP(A12,'9.砌塊石護岸'!C:D,1,0),"")="","","✔")</f>
        <v/>
      </c>
      <c r="K12" s="98" t="str">
        <f>IF(IFERROR(VLOOKUP(A12,'10.低水護岸'!C:D,1,0),"")="","","✔")</f>
        <v/>
      </c>
      <c r="L12" s="98" t="str">
        <f>IF(IFERROR(VLOOKUP(A12,'11.固床工'!C:D,1,0),"")="","","✔")</f>
        <v/>
      </c>
      <c r="M12" s="98" t="str">
        <f>IF(IFERROR(VLOOKUP(A12,'12.全套管基樁'!C:D,1,0),"")="","","✔")</f>
        <v/>
      </c>
      <c r="N12" s="98" t="str">
        <f>IF(IFERROR(VLOOKUP(A12,'13.鋼筋混凝土管工程'!C:D,1,0),"")="","","✔")</f>
        <v/>
      </c>
      <c r="O12" s="98" t="str">
        <f>IF(IFERROR(VLOOKUP(A12,'14.鋼版樁'!C:D,1,0),"")="","","✔")</f>
        <v/>
      </c>
      <c r="P12" s="98" t="str">
        <f>IF(IFERROR(VLOOKUP(A12,'15.路床 路基高程'!C:D,1,0),"")="","","✔")</f>
        <v/>
      </c>
      <c r="Q12" s="98" t="str">
        <f>IF(IFERROR(VLOOKUP(A12,'16.瀝青混凝土'!C:D,1,0),"")="","","✔")</f>
        <v/>
      </c>
      <c r="R12" s="98" t="str">
        <f>IF(IFERROR(VLOOKUP(A12,'17.景觀鋪面(一)'!C:D,1,0),"")="","","✔")</f>
        <v/>
      </c>
      <c r="S12" s="98" t="str">
        <f>IF(IFERROR(VLOOKUP(A12,'18.景觀鋪面(二)'!C:D,1,0),"")="","","✔")</f>
        <v/>
      </c>
      <c r="T12" s="98" t="str">
        <f>IF(IFERROR(VLOOKUP(A12,'19.預鑄緣石'!C:D,1,0),"")="","","✔")</f>
        <v/>
      </c>
      <c r="U12" s="98" t="str">
        <f>IF(IFERROR(VLOOKUP(A12,'20.鋼構工程吊裝'!C:D,1,0),"")="","","✔")</f>
        <v/>
      </c>
      <c r="V12" s="98" t="str">
        <f>IF(IFERROR(VLOOKUP(A12,'21.鋼構工程塗裝'!C:D,1,0),"")="","","✔")</f>
        <v/>
      </c>
      <c r="W12" s="98" t="str">
        <f>IF(IFERROR(VLOOKUP(A12,'22.排水設施(一)'!C:D,1,0),"")="","","✔")</f>
        <v/>
      </c>
      <c r="X12" s="98" t="str">
        <f>IF(IFERROR(VLOOKUP(A12,'23.排水設施(二)'!C:D,1,0),"")="","","✔")</f>
        <v/>
      </c>
      <c r="Y12" s="98" t="str">
        <f>IF(IFERROR(VLOOKUP(A12,'24.木構造'!C:D,1,0),"")="","","✔")</f>
        <v/>
      </c>
      <c r="Z12" s="98" t="str">
        <f>IF(IFERROR(VLOOKUP(A12,'25.管路'!C:D,1,0),"")="","","✔")</f>
        <v/>
      </c>
      <c r="AA12" s="98" t="str">
        <f>IF(IFERROR(VLOOKUP(A12,'26.植栽(移植)'!C:D,1,0),"")="","","✔")</f>
        <v/>
      </c>
      <c r="AB12" s="98" t="str">
        <f>IF(IFERROR(VLOOKUP(A12,'27.植栽(新植)'!C:D,1,0),"")="","","✔")</f>
        <v/>
      </c>
      <c r="AC12" s="98" t="str">
        <f>IF(IFERROR(VLOOKUP(A12,'28.照明'!C:D,1,0),"")="","","✔")</f>
        <v/>
      </c>
      <c r="AD12" s="98" t="str">
        <f>IF(IFERROR(VLOOKUP(A12,'29.既有橋梁拆除'!C:D,1,0),"")="","","✔")</f>
        <v/>
      </c>
    </row>
    <row r="13" spans="1:30" ht="21.75" customHeight="1" x14ac:dyDescent="0.25">
      <c r="A13" s="99">
        <v>45203</v>
      </c>
      <c r="B13" s="98" t="str">
        <f>IF(IFERROR(VLOOKUP(A13,'1.測量放樣'!C:D,1,0),"")="","","✔")</f>
        <v/>
      </c>
      <c r="C13" s="98" t="str">
        <f>IF(IFERROR(VLOOKUP(A13,'2.土方開挖'!C:D,1,0),"")="","","✔")</f>
        <v/>
      </c>
      <c r="D13" s="98" t="str">
        <f>IF(IFERROR(VLOOKUP(A13,'3.土方回填'!C:D,1,0),"")="","","✔")</f>
        <v/>
      </c>
      <c r="E13" s="98" t="str">
        <f>IF(IFERROR(VLOOKUP(A13,'4.鋼筋'!C:D,1,0),"")="","","✔")</f>
        <v/>
      </c>
      <c r="F13" s="98" t="str">
        <f>IF(IFERROR(VLOOKUP(A13,'5.模板'!C:D,1,0),"")="","","✔")</f>
        <v/>
      </c>
      <c r="G13" s="98" t="str">
        <f>IF(IFERROR(VLOOKUP(A13,'6.混凝土'!C:D,1,0),"")="","","✔")</f>
        <v/>
      </c>
      <c r="H13" s="98" t="str">
        <f>IF(IFERROR(VLOOKUP(A13,'7.植筋'!C:D,1,0),"")="","","✔")</f>
        <v/>
      </c>
      <c r="I13" s="98" t="str">
        <f>IF(IFERROR(VLOOKUP(A13,'8.預力混凝土基樁'!C:D,1,0),"")="","","✔")</f>
        <v/>
      </c>
      <c r="J13" s="98" t="str">
        <f>IF(IFERROR(VLOOKUP(A13,'9.砌塊石護岸'!C:D,1,0),"")="","","✔")</f>
        <v/>
      </c>
      <c r="K13" s="98" t="str">
        <f>IF(IFERROR(VLOOKUP(A13,'10.低水護岸'!C:D,1,0),"")="","","✔")</f>
        <v/>
      </c>
      <c r="L13" s="98" t="str">
        <f>IF(IFERROR(VLOOKUP(A13,'11.固床工'!C:D,1,0),"")="","","✔")</f>
        <v/>
      </c>
      <c r="M13" s="98" t="str">
        <f>IF(IFERROR(VLOOKUP(A13,'12.全套管基樁'!C:D,1,0),"")="","","✔")</f>
        <v/>
      </c>
      <c r="N13" s="98" t="str">
        <f>IF(IFERROR(VLOOKUP(A13,'13.鋼筋混凝土管工程'!C:D,1,0),"")="","","✔")</f>
        <v/>
      </c>
      <c r="O13" s="98" t="str">
        <f>IF(IFERROR(VLOOKUP(A13,'14.鋼版樁'!C:D,1,0),"")="","","✔")</f>
        <v/>
      </c>
      <c r="P13" s="98" t="str">
        <f>IF(IFERROR(VLOOKUP(A13,'15.路床 路基高程'!C:D,1,0),"")="","","✔")</f>
        <v/>
      </c>
      <c r="Q13" s="98" t="str">
        <f>IF(IFERROR(VLOOKUP(A13,'16.瀝青混凝土'!C:D,1,0),"")="","","✔")</f>
        <v/>
      </c>
      <c r="R13" s="98" t="str">
        <f>IF(IFERROR(VLOOKUP(A13,'17.景觀鋪面(一)'!C:D,1,0),"")="","","✔")</f>
        <v/>
      </c>
      <c r="S13" s="98" t="str">
        <f>IF(IFERROR(VLOOKUP(A13,'18.景觀鋪面(二)'!C:D,1,0),"")="","","✔")</f>
        <v/>
      </c>
      <c r="T13" s="98" t="str">
        <f>IF(IFERROR(VLOOKUP(A13,'19.預鑄緣石'!C:D,1,0),"")="","","✔")</f>
        <v/>
      </c>
      <c r="U13" s="98" t="str">
        <f>IF(IFERROR(VLOOKUP(A13,'20.鋼構工程吊裝'!C:D,1,0),"")="","","✔")</f>
        <v/>
      </c>
      <c r="V13" s="98" t="str">
        <f>IF(IFERROR(VLOOKUP(A13,'21.鋼構工程塗裝'!C:D,1,0),"")="","","✔")</f>
        <v/>
      </c>
      <c r="W13" s="98" t="str">
        <f>IF(IFERROR(VLOOKUP(A13,'22.排水設施(一)'!C:D,1,0),"")="","","✔")</f>
        <v/>
      </c>
      <c r="X13" s="98" t="str">
        <f>IF(IFERROR(VLOOKUP(A13,'23.排水設施(二)'!C:D,1,0),"")="","","✔")</f>
        <v/>
      </c>
      <c r="Y13" s="98" t="str">
        <f>IF(IFERROR(VLOOKUP(A13,'24.木構造'!C:D,1,0),"")="","","✔")</f>
        <v/>
      </c>
      <c r="Z13" s="98" t="str">
        <f>IF(IFERROR(VLOOKUP(A13,'25.管路'!C:D,1,0),"")="","","✔")</f>
        <v/>
      </c>
      <c r="AA13" s="98" t="str">
        <f>IF(IFERROR(VLOOKUP(A13,'26.植栽(移植)'!C:D,1,0),"")="","","✔")</f>
        <v/>
      </c>
      <c r="AB13" s="98" t="str">
        <f>IF(IFERROR(VLOOKUP(A13,'27.植栽(新植)'!C:D,1,0),"")="","","✔")</f>
        <v/>
      </c>
      <c r="AC13" s="98" t="str">
        <f>IF(IFERROR(VLOOKUP(A13,'28.照明'!C:D,1,0),"")="","","✔")</f>
        <v/>
      </c>
      <c r="AD13" s="98" t="str">
        <f>IF(IFERROR(VLOOKUP(A13,'29.既有橋梁拆除'!C:D,1,0),"")="","","✔")</f>
        <v/>
      </c>
    </row>
    <row r="14" spans="1:30" ht="21.75" customHeight="1" x14ac:dyDescent="0.25">
      <c r="A14" s="99">
        <v>45204</v>
      </c>
      <c r="B14" s="98" t="str">
        <f>IF(IFERROR(VLOOKUP(A14,'1.測量放樣'!C:D,1,0),"")="","","✔")</f>
        <v/>
      </c>
      <c r="C14" s="98" t="str">
        <f>IF(IFERROR(VLOOKUP(A14,'2.土方開挖'!C:D,1,0),"")="","","✔")</f>
        <v/>
      </c>
      <c r="D14" s="98" t="str">
        <f>IF(IFERROR(VLOOKUP(A14,'3.土方回填'!C:D,1,0),"")="","","✔")</f>
        <v/>
      </c>
      <c r="E14" s="98" t="str">
        <f>IF(IFERROR(VLOOKUP(A14,'4.鋼筋'!C:D,1,0),"")="","","✔")</f>
        <v/>
      </c>
      <c r="F14" s="98" t="str">
        <f>IF(IFERROR(VLOOKUP(A14,'5.模板'!C:D,1,0),"")="","","✔")</f>
        <v/>
      </c>
      <c r="G14" s="98" t="str">
        <f>IF(IFERROR(VLOOKUP(A14,'6.混凝土'!C:D,1,0),"")="","","✔")</f>
        <v/>
      </c>
      <c r="H14" s="98" t="str">
        <f>IF(IFERROR(VLOOKUP(A14,'7.植筋'!C:D,1,0),"")="","","✔")</f>
        <v/>
      </c>
      <c r="I14" s="98" t="str">
        <f>IF(IFERROR(VLOOKUP(A14,'8.預力混凝土基樁'!C:D,1,0),"")="","","✔")</f>
        <v/>
      </c>
      <c r="J14" s="98" t="str">
        <f>IF(IFERROR(VLOOKUP(A14,'9.砌塊石護岸'!C:D,1,0),"")="","","✔")</f>
        <v/>
      </c>
      <c r="K14" s="98" t="str">
        <f>IF(IFERROR(VLOOKUP(A14,'10.低水護岸'!C:D,1,0),"")="","","✔")</f>
        <v/>
      </c>
      <c r="L14" s="98" t="str">
        <f>IF(IFERROR(VLOOKUP(A14,'11.固床工'!C:D,1,0),"")="","","✔")</f>
        <v/>
      </c>
      <c r="M14" s="98" t="str">
        <f>IF(IFERROR(VLOOKUP(A14,'12.全套管基樁'!C:D,1,0),"")="","","✔")</f>
        <v/>
      </c>
      <c r="N14" s="98" t="str">
        <f>IF(IFERROR(VLOOKUP(A14,'13.鋼筋混凝土管工程'!C:D,1,0),"")="","","✔")</f>
        <v/>
      </c>
      <c r="O14" s="98" t="str">
        <f>IF(IFERROR(VLOOKUP(A14,'14.鋼版樁'!C:D,1,0),"")="","","✔")</f>
        <v/>
      </c>
      <c r="P14" s="98" t="str">
        <f>IF(IFERROR(VLOOKUP(A14,'15.路床 路基高程'!C:D,1,0),"")="","","✔")</f>
        <v/>
      </c>
      <c r="Q14" s="98" t="str">
        <f>IF(IFERROR(VLOOKUP(A14,'16.瀝青混凝土'!C:D,1,0),"")="","","✔")</f>
        <v/>
      </c>
      <c r="R14" s="98" t="str">
        <f>IF(IFERROR(VLOOKUP(A14,'17.景觀鋪面(一)'!C:D,1,0),"")="","","✔")</f>
        <v/>
      </c>
      <c r="S14" s="98" t="str">
        <f>IF(IFERROR(VLOOKUP(A14,'18.景觀鋪面(二)'!C:D,1,0),"")="","","✔")</f>
        <v/>
      </c>
      <c r="T14" s="98" t="str">
        <f>IF(IFERROR(VLOOKUP(A14,'19.預鑄緣石'!C:D,1,0),"")="","","✔")</f>
        <v/>
      </c>
      <c r="U14" s="98" t="str">
        <f>IF(IFERROR(VLOOKUP(A14,'20.鋼構工程吊裝'!C:D,1,0),"")="","","✔")</f>
        <v/>
      </c>
      <c r="V14" s="98" t="str">
        <f>IF(IFERROR(VLOOKUP(A14,'21.鋼構工程塗裝'!C:D,1,0),"")="","","✔")</f>
        <v/>
      </c>
      <c r="W14" s="98" t="str">
        <f>IF(IFERROR(VLOOKUP(A14,'22.排水設施(一)'!C:D,1,0),"")="","","✔")</f>
        <v/>
      </c>
      <c r="X14" s="98" t="str">
        <f>IF(IFERROR(VLOOKUP(A14,'23.排水設施(二)'!C:D,1,0),"")="","","✔")</f>
        <v/>
      </c>
      <c r="Y14" s="98" t="str">
        <f>IF(IFERROR(VLOOKUP(A14,'24.木構造'!C:D,1,0),"")="","","✔")</f>
        <v/>
      </c>
      <c r="Z14" s="98" t="str">
        <f>IF(IFERROR(VLOOKUP(A14,'25.管路'!C:D,1,0),"")="","","✔")</f>
        <v/>
      </c>
      <c r="AA14" s="98" t="str">
        <f>IF(IFERROR(VLOOKUP(A14,'26.植栽(移植)'!C:D,1,0),"")="","","✔")</f>
        <v/>
      </c>
      <c r="AB14" s="98" t="str">
        <f>IF(IFERROR(VLOOKUP(A14,'27.植栽(新植)'!C:D,1,0),"")="","","✔")</f>
        <v/>
      </c>
      <c r="AC14" s="98" t="str">
        <f>IF(IFERROR(VLOOKUP(A14,'28.照明'!C:D,1,0),"")="","","✔")</f>
        <v/>
      </c>
      <c r="AD14" s="98" t="str">
        <f>IF(IFERROR(VLOOKUP(A14,'29.既有橋梁拆除'!C:D,1,0),"")="","","✔")</f>
        <v/>
      </c>
    </row>
    <row r="15" spans="1:30" ht="21.75" customHeight="1" x14ac:dyDescent="0.25">
      <c r="A15" s="99">
        <v>45205</v>
      </c>
      <c r="B15" s="98" t="str">
        <f>IF(IFERROR(VLOOKUP(A15,'1.測量放樣'!C:D,1,0),"")="","","✔")</f>
        <v/>
      </c>
      <c r="C15" s="98" t="str">
        <f>IF(IFERROR(VLOOKUP(A15,'2.土方開挖'!C:D,1,0),"")="","","✔")</f>
        <v/>
      </c>
      <c r="D15" s="98" t="str">
        <f>IF(IFERROR(VLOOKUP(A15,'3.土方回填'!C:D,1,0),"")="","","✔")</f>
        <v/>
      </c>
      <c r="E15" s="98" t="str">
        <f>IF(IFERROR(VLOOKUP(A15,'4.鋼筋'!C:D,1,0),"")="","","✔")</f>
        <v/>
      </c>
      <c r="F15" s="98" t="str">
        <f>IF(IFERROR(VLOOKUP(A15,'5.模板'!C:D,1,0),"")="","","✔")</f>
        <v/>
      </c>
      <c r="G15" s="98" t="str">
        <f>IF(IFERROR(VLOOKUP(A15,'6.混凝土'!C:D,1,0),"")="","","✔")</f>
        <v/>
      </c>
      <c r="H15" s="98" t="str">
        <f>IF(IFERROR(VLOOKUP(A15,'7.植筋'!C:D,1,0),"")="","","✔")</f>
        <v/>
      </c>
      <c r="I15" s="98" t="str">
        <f>IF(IFERROR(VLOOKUP(A15,'8.預力混凝土基樁'!C:D,1,0),"")="","","✔")</f>
        <v/>
      </c>
      <c r="J15" s="98" t="str">
        <f>IF(IFERROR(VLOOKUP(A15,'9.砌塊石護岸'!C:D,1,0),"")="","","✔")</f>
        <v/>
      </c>
      <c r="K15" s="98" t="str">
        <f>IF(IFERROR(VLOOKUP(A15,'10.低水護岸'!C:D,1,0),"")="","","✔")</f>
        <v/>
      </c>
      <c r="L15" s="98" t="str">
        <f>IF(IFERROR(VLOOKUP(A15,'11.固床工'!C:D,1,0),"")="","","✔")</f>
        <v/>
      </c>
      <c r="M15" s="98" t="str">
        <f>IF(IFERROR(VLOOKUP(A15,'12.全套管基樁'!C:D,1,0),"")="","","✔")</f>
        <v/>
      </c>
      <c r="N15" s="98" t="str">
        <f>IF(IFERROR(VLOOKUP(A15,'13.鋼筋混凝土管工程'!C:D,1,0),"")="","","✔")</f>
        <v/>
      </c>
      <c r="O15" s="98" t="str">
        <f>IF(IFERROR(VLOOKUP(A15,'14.鋼版樁'!C:D,1,0),"")="","","✔")</f>
        <v/>
      </c>
      <c r="P15" s="98" t="str">
        <f>IF(IFERROR(VLOOKUP(A15,'15.路床 路基高程'!C:D,1,0),"")="","","✔")</f>
        <v/>
      </c>
      <c r="Q15" s="98" t="str">
        <f>IF(IFERROR(VLOOKUP(A15,'16.瀝青混凝土'!C:D,1,0),"")="","","✔")</f>
        <v/>
      </c>
      <c r="R15" s="98" t="str">
        <f>IF(IFERROR(VLOOKUP(A15,'17.景觀鋪面(一)'!C:D,1,0),"")="","","✔")</f>
        <v/>
      </c>
      <c r="S15" s="98" t="str">
        <f>IF(IFERROR(VLOOKUP(A15,'18.景觀鋪面(二)'!C:D,1,0),"")="","","✔")</f>
        <v/>
      </c>
      <c r="T15" s="98" t="str">
        <f>IF(IFERROR(VLOOKUP(A15,'19.預鑄緣石'!C:D,1,0),"")="","","✔")</f>
        <v/>
      </c>
      <c r="U15" s="98" t="str">
        <f>IF(IFERROR(VLOOKUP(A15,'20.鋼構工程吊裝'!C:D,1,0),"")="","","✔")</f>
        <v/>
      </c>
      <c r="V15" s="98" t="str">
        <f>IF(IFERROR(VLOOKUP(A15,'21.鋼構工程塗裝'!C:D,1,0),"")="","","✔")</f>
        <v/>
      </c>
      <c r="W15" s="98" t="str">
        <f>IF(IFERROR(VLOOKUP(A15,'22.排水設施(一)'!C:D,1,0),"")="","","✔")</f>
        <v/>
      </c>
      <c r="X15" s="98" t="str">
        <f>IF(IFERROR(VLOOKUP(A15,'23.排水設施(二)'!C:D,1,0),"")="","","✔")</f>
        <v/>
      </c>
      <c r="Y15" s="98" t="str">
        <f>IF(IFERROR(VLOOKUP(A15,'24.木構造'!C:D,1,0),"")="","","✔")</f>
        <v/>
      </c>
      <c r="Z15" s="98" t="str">
        <f>IF(IFERROR(VLOOKUP(A15,'25.管路'!C:D,1,0),"")="","","✔")</f>
        <v/>
      </c>
      <c r="AA15" s="98" t="str">
        <f>IF(IFERROR(VLOOKUP(A15,'26.植栽(移植)'!C:D,1,0),"")="","","✔")</f>
        <v/>
      </c>
      <c r="AB15" s="98" t="str">
        <f>IF(IFERROR(VLOOKUP(A15,'27.植栽(新植)'!C:D,1,0),"")="","","✔")</f>
        <v/>
      </c>
      <c r="AC15" s="98" t="str">
        <f>IF(IFERROR(VLOOKUP(A15,'28.照明'!C:D,1,0),"")="","","✔")</f>
        <v/>
      </c>
      <c r="AD15" s="98" t="str">
        <f>IF(IFERROR(VLOOKUP(A15,'29.既有橋梁拆除'!C:D,1,0),"")="","","✔")</f>
        <v/>
      </c>
    </row>
    <row r="16" spans="1:30" ht="21.75" customHeight="1" x14ac:dyDescent="0.25">
      <c r="A16" s="99">
        <v>45206</v>
      </c>
      <c r="B16" s="98" t="str">
        <f>IF(IFERROR(VLOOKUP(A16,'1.測量放樣'!C:D,1,0),"")="","","✔")</f>
        <v/>
      </c>
      <c r="C16" s="98" t="str">
        <f>IF(IFERROR(VLOOKUP(A16,'2.土方開挖'!C:D,1,0),"")="","","✔")</f>
        <v/>
      </c>
      <c r="D16" s="98" t="str">
        <f>IF(IFERROR(VLOOKUP(A16,'3.土方回填'!C:D,1,0),"")="","","✔")</f>
        <v/>
      </c>
      <c r="E16" s="98" t="str">
        <f>IF(IFERROR(VLOOKUP(A16,'4.鋼筋'!C:D,1,0),"")="","","✔")</f>
        <v/>
      </c>
      <c r="F16" s="98" t="str">
        <f>IF(IFERROR(VLOOKUP(A16,'5.模板'!C:D,1,0),"")="","","✔")</f>
        <v/>
      </c>
      <c r="G16" s="98" t="str">
        <f>IF(IFERROR(VLOOKUP(A16,'6.混凝土'!C:D,1,0),"")="","","✔")</f>
        <v/>
      </c>
      <c r="H16" s="98" t="str">
        <f>IF(IFERROR(VLOOKUP(A16,'7.植筋'!C:D,1,0),"")="","","✔")</f>
        <v/>
      </c>
      <c r="I16" s="98" t="str">
        <f>IF(IFERROR(VLOOKUP(A16,'8.預力混凝土基樁'!C:D,1,0),"")="","","✔")</f>
        <v/>
      </c>
      <c r="J16" s="98" t="str">
        <f>IF(IFERROR(VLOOKUP(A16,'9.砌塊石護岸'!C:D,1,0),"")="","","✔")</f>
        <v/>
      </c>
      <c r="K16" s="98" t="str">
        <f>IF(IFERROR(VLOOKUP(A16,'10.低水護岸'!C:D,1,0),"")="","","✔")</f>
        <v/>
      </c>
      <c r="L16" s="98" t="str">
        <f>IF(IFERROR(VLOOKUP(A16,'11.固床工'!C:D,1,0),"")="","","✔")</f>
        <v/>
      </c>
      <c r="M16" s="98" t="str">
        <f>IF(IFERROR(VLOOKUP(A16,'12.全套管基樁'!C:D,1,0),"")="","","✔")</f>
        <v/>
      </c>
      <c r="N16" s="98" t="str">
        <f>IF(IFERROR(VLOOKUP(A16,'13.鋼筋混凝土管工程'!C:D,1,0),"")="","","✔")</f>
        <v/>
      </c>
      <c r="O16" s="98" t="str">
        <f>IF(IFERROR(VLOOKUP(A16,'14.鋼版樁'!C:D,1,0),"")="","","✔")</f>
        <v/>
      </c>
      <c r="P16" s="98" t="str">
        <f>IF(IFERROR(VLOOKUP(A16,'15.路床 路基高程'!C:D,1,0),"")="","","✔")</f>
        <v/>
      </c>
      <c r="Q16" s="98" t="str">
        <f>IF(IFERROR(VLOOKUP(A16,'16.瀝青混凝土'!C:D,1,0),"")="","","✔")</f>
        <v/>
      </c>
      <c r="R16" s="98" t="str">
        <f>IF(IFERROR(VLOOKUP(A16,'17.景觀鋪面(一)'!C:D,1,0),"")="","","✔")</f>
        <v/>
      </c>
      <c r="S16" s="98" t="str">
        <f>IF(IFERROR(VLOOKUP(A16,'18.景觀鋪面(二)'!C:D,1,0),"")="","","✔")</f>
        <v/>
      </c>
      <c r="T16" s="98" t="str">
        <f>IF(IFERROR(VLOOKUP(A16,'19.預鑄緣石'!C:D,1,0),"")="","","✔")</f>
        <v/>
      </c>
      <c r="U16" s="98" t="str">
        <f>IF(IFERROR(VLOOKUP(A16,'20.鋼構工程吊裝'!C:D,1,0),"")="","","✔")</f>
        <v/>
      </c>
      <c r="V16" s="98" t="str">
        <f>IF(IFERROR(VLOOKUP(A16,'21.鋼構工程塗裝'!C:D,1,0),"")="","","✔")</f>
        <v/>
      </c>
      <c r="W16" s="98" t="str">
        <f>IF(IFERROR(VLOOKUP(A16,'22.排水設施(一)'!C:D,1,0),"")="","","✔")</f>
        <v/>
      </c>
      <c r="X16" s="98" t="str">
        <f>IF(IFERROR(VLOOKUP(A16,'23.排水設施(二)'!C:D,1,0),"")="","","✔")</f>
        <v/>
      </c>
      <c r="Y16" s="98" t="str">
        <f>IF(IFERROR(VLOOKUP(A16,'24.木構造'!C:D,1,0),"")="","","✔")</f>
        <v/>
      </c>
      <c r="Z16" s="98" t="str">
        <f>IF(IFERROR(VLOOKUP(A16,'25.管路'!C:D,1,0),"")="","","✔")</f>
        <v/>
      </c>
      <c r="AA16" s="98" t="str">
        <f>IF(IFERROR(VLOOKUP(A16,'26.植栽(移植)'!C:D,1,0),"")="","","✔")</f>
        <v/>
      </c>
      <c r="AB16" s="98" t="str">
        <f>IF(IFERROR(VLOOKUP(A16,'27.植栽(新植)'!C:D,1,0),"")="","","✔")</f>
        <v/>
      </c>
      <c r="AC16" s="98" t="str">
        <f>IF(IFERROR(VLOOKUP(A16,'28.照明'!C:D,1,0),"")="","","✔")</f>
        <v/>
      </c>
      <c r="AD16" s="98" t="str">
        <f>IF(IFERROR(VLOOKUP(A16,'29.既有橋梁拆除'!C:D,1,0),"")="","","✔")</f>
        <v/>
      </c>
    </row>
    <row r="17" spans="1:30" ht="21.75" customHeight="1" x14ac:dyDescent="0.25">
      <c r="A17" s="99">
        <v>45207</v>
      </c>
      <c r="B17" s="98" t="str">
        <f>IF(IFERROR(VLOOKUP(A17,'1.測量放樣'!C:D,1,0),"")="","","✔")</f>
        <v/>
      </c>
      <c r="C17" s="98" t="str">
        <f>IF(IFERROR(VLOOKUP(A17,'2.土方開挖'!C:D,1,0),"")="","","✔")</f>
        <v/>
      </c>
      <c r="D17" s="98" t="str">
        <f>IF(IFERROR(VLOOKUP(A17,'3.土方回填'!C:D,1,0),"")="","","✔")</f>
        <v/>
      </c>
      <c r="E17" s="98" t="str">
        <f>IF(IFERROR(VLOOKUP(A17,'4.鋼筋'!C:D,1,0),"")="","","✔")</f>
        <v/>
      </c>
      <c r="F17" s="98" t="str">
        <f>IF(IFERROR(VLOOKUP(A17,'5.模板'!C:D,1,0),"")="","","✔")</f>
        <v/>
      </c>
      <c r="G17" s="98" t="str">
        <f>IF(IFERROR(VLOOKUP(A17,'6.混凝土'!C:D,1,0),"")="","","✔")</f>
        <v/>
      </c>
      <c r="H17" s="98" t="str">
        <f>IF(IFERROR(VLOOKUP(A17,'7.植筋'!C:D,1,0),"")="","","✔")</f>
        <v/>
      </c>
      <c r="I17" s="98" t="str">
        <f>IF(IFERROR(VLOOKUP(A17,'8.預力混凝土基樁'!C:D,1,0),"")="","","✔")</f>
        <v/>
      </c>
      <c r="J17" s="98" t="str">
        <f>IF(IFERROR(VLOOKUP(A17,'9.砌塊石護岸'!C:D,1,0),"")="","","✔")</f>
        <v/>
      </c>
      <c r="K17" s="98" t="str">
        <f>IF(IFERROR(VLOOKUP(A17,'10.低水護岸'!C:D,1,0),"")="","","✔")</f>
        <v/>
      </c>
      <c r="L17" s="98" t="str">
        <f>IF(IFERROR(VLOOKUP(A17,'11.固床工'!C:D,1,0),"")="","","✔")</f>
        <v/>
      </c>
      <c r="M17" s="98" t="str">
        <f>IF(IFERROR(VLOOKUP(A17,'12.全套管基樁'!C:D,1,0),"")="","","✔")</f>
        <v/>
      </c>
      <c r="N17" s="98" t="str">
        <f>IF(IFERROR(VLOOKUP(A17,'13.鋼筋混凝土管工程'!C:D,1,0),"")="","","✔")</f>
        <v/>
      </c>
      <c r="O17" s="98" t="str">
        <f>IF(IFERROR(VLOOKUP(A17,'14.鋼版樁'!C:D,1,0),"")="","","✔")</f>
        <v/>
      </c>
      <c r="P17" s="98" t="str">
        <f>IF(IFERROR(VLOOKUP(A17,'15.路床 路基高程'!C:D,1,0),"")="","","✔")</f>
        <v/>
      </c>
      <c r="Q17" s="98" t="str">
        <f>IF(IFERROR(VLOOKUP(A17,'16.瀝青混凝土'!C:D,1,0),"")="","","✔")</f>
        <v/>
      </c>
      <c r="R17" s="98" t="str">
        <f>IF(IFERROR(VLOOKUP(A17,'17.景觀鋪面(一)'!C:D,1,0),"")="","","✔")</f>
        <v/>
      </c>
      <c r="S17" s="98" t="str">
        <f>IF(IFERROR(VLOOKUP(A17,'18.景觀鋪面(二)'!C:D,1,0),"")="","","✔")</f>
        <v/>
      </c>
      <c r="T17" s="98" t="str">
        <f>IF(IFERROR(VLOOKUP(A17,'19.預鑄緣石'!C:D,1,0),"")="","","✔")</f>
        <v/>
      </c>
      <c r="U17" s="98" t="str">
        <f>IF(IFERROR(VLOOKUP(A17,'20.鋼構工程吊裝'!C:D,1,0),"")="","","✔")</f>
        <v/>
      </c>
      <c r="V17" s="98" t="str">
        <f>IF(IFERROR(VLOOKUP(A17,'21.鋼構工程塗裝'!C:D,1,0),"")="","","✔")</f>
        <v/>
      </c>
      <c r="W17" s="98" t="str">
        <f>IF(IFERROR(VLOOKUP(A17,'22.排水設施(一)'!C:D,1,0),"")="","","✔")</f>
        <v/>
      </c>
      <c r="X17" s="98" t="str">
        <f>IF(IFERROR(VLOOKUP(A17,'23.排水設施(二)'!C:D,1,0),"")="","","✔")</f>
        <v/>
      </c>
      <c r="Y17" s="98" t="str">
        <f>IF(IFERROR(VLOOKUP(A17,'24.木構造'!C:D,1,0),"")="","","✔")</f>
        <v/>
      </c>
      <c r="Z17" s="98" t="str">
        <f>IF(IFERROR(VLOOKUP(A17,'25.管路'!C:D,1,0),"")="","","✔")</f>
        <v/>
      </c>
      <c r="AA17" s="98" t="str">
        <f>IF(IFERROR(VLOOKUP(A17,'26.植栽(移植)'!C:D,1,0),"")="","","✔")</f>
        <v/>
      </c>
      <c r="AB17" s="98" t="str">
        <f>IF(IFERROR(VLOOKUP(A17,'27.植栽(新植)'!C:D,1,0),"")="","","✔")</f>
        <v/>
      </c>
      <c r="AC17" s="98" t="str">
        <f>IF(IFERROR(VLOOKUP(A17,'28.照明'!C:D,1,0),"")="","","✔")</f>
        <v/>
      </c>
      <c r="AD17" s="98" t="str">
        <f>IF(IFERROR(VLOOKUP(A17,'29.既有橋梁拆除'!C:D,1,0),"")="","","✔")</f>
        <v/>
      </c>
    </row>
    <row r="18" spans="1:30" ht="21.75" customHeight="1" x14ac:dyDescent="0.25">
      <c r="A18" s="99">
        <v>45208</v>
      </c>
      <c r="B18" s="98" t="str">
        <f>IF(IFERROR(VLOOKUP(A18,'1.測量放樣'!C:D,1,0),"")="","","✔")</f>
        <v/>
      </c>
      <c r="C18" s="98" t="str">
        <f>IF(IFERROR(VLOOKUP(A18,'2.土方開挖'!C:D,1,0),"")="","","✔")</f>
        <v/>
      </c>
      <c r="D18" s="98" t="str">
        <f>IF(IFERROR(VLOOKUP(A18,'3.土方回填'!C:D,1,0),"")="","","✔")</f>
        <v/>
      </c>
      <c r="E18" s="98" t="str">
        <f>IF(IFERROR(VLOOKUP(A18,'4.鋼筋'!C:D,1,0),"")="","","✔")</f>
        <v/>
      </c>
      <c r="F18" s="98" t="str">
        <f>IF(IFERROR(VLOOKUP(A18,'5.模板'!C:D,1,0),"")="","","✔")</f>
        <v/>
      </c>
      <c r="G18" s="98" t="str">
        <f>IF(IFERROR(VLOOKUP(A18,'6.混凝土'!C:D,1,0),"")="","","✔")</f>
        <v/>
      </c>
      <c r="H18" s="98" t="str">
        <f>IF(IFERROR(VLOOKUP(A18,'7.植筋'!C:D,1,0),"")="","","✔")</f>
        <v/>
      </c>
      <c r="I18" s="98" t="str">
        <f>IF(IFERROR(VLOOKUP(A18,'8.預力混凝土基樁'!C:D,1,0),"")="","","✔")</f>
        <v/>
      </c>
      <c r="J18" s="98" t="str">
        <f>IF(IFERROR(VLOOKUP(A18,'9.砌塊石護岸'!C:D,1,0),"")="","","✔")</f>
        <v/>
      </c>
      <c r="K18" s="98" t="str">
        <f>IF(IFERROR(VLOOKUP(A18,'10.低水護岸'!C:D,1,0),"")="","","✔")</f>
        <v/>
      </c>
      <c r="L18" s="98" t="str">
        <f>IF(IFERROR(VLOOKUP(A18,'11.固床工'!C:D,1,0),"")="","","✔")</f>
        <v/>
      </c>
      <c r="M18" s="98" t="str">
        <f>IF(IFERROR(VLOOKUP(A18,'12.全套管基樁'!C:D,1,0),"")="","","✔")</f>
        <v/>
      </c>
      <c r="N18" s="98" t="str">
        <f>IF(IFERROR(VLOOKUP(A18,'13.鋼筋混凝土管工程'!C:D,1,0),"")="","","✔")</f>
        <v/>
      </c>
      <c r="O18" s="98" t="str">
        <f>IF(IFERROR(VLOOKUP(A18,'14.鋼版樁'!C:D,1,0),"")="","","✔")</f>
        <v/>
      </c>
      <c r="P18" s="98" t="str">
        <f>IF(IFERROR(VLOOKUP(A18,'15.路床 路基高程'!C:D,1,0),"")="","","✔")</f>
        <v/>
      </c>
      <c r="Q18" s="98" t="str">
        <f>IF(IFERROR(VLOOKUP(A18,'16.瀝青混凝土'!C:D,1,0),"")="","","✔")</f>
        <v/>
      </c>
      <c r="R18" s="98" t="str">
        <f>IF(IFERROR(VLOOKUP(A18,'17.景觀鋪面(一)'!C:D,1,0),"")="","","✔")</f>
        <v/>
      </c>
      <c r="S18" s="98" t="str">
        <f>IF(IFERROR(VLOOKUP(A18,'18.景觀鋪面(二)'!C:D,1,0),"")="","","✔")</f>
        <v/>
      </c>
      <c r="T18" s="98" t="str">
        <f>IF(IFERROR(VLOOKUP(A18,'19.預鑄緣石'!C:D,1,0),"")="","","✔")</f>
        <v/>
      </c>
      <c r="U18" s="98" t="str">
        <f>IF(IFERROR(VLOOKUP(A18,'20.鋼構工程吊裝'!C:D,1,0),"")="","","✔")</f>
        <v/>
      </c>
      <c r="V18" s="98" t="str">
        <f>IF(IFERROR(VLOOKUP(A18,'21.鋼構工程塗裝'!C:D,1,0),"")="","","✔")</f>
        <v/>
      </c>
      <c r="W18" s="98" t="str">
        <f>IF(IFERROR(VLOOKUP(A18,'22.排水設施(一)'!C:D,1,0),"")="","","✔")</f>
        <v/>
      </c>
      <c r="X18" s="98" t="str">
        <f>IF(IFERROR(VLOOKUP(A18,'23.排水設施(二)'!C:D,1,0),"")="","","✔")</f>
        <v/>
      </c>
      <c r="Y18" s="98" t="str">
        <f>IF(IFERROR(VLOOKUP(A18,'24.木構造'!C:D,1,0),"")="","","✔")</f>
        <v/>
      </c>
      <c r="Z18" s="98" t="str">
        <f>IF(IFERROR(VLOOKUP(A18,'25.管路'!C:D,1,0),"")="","","✔")</f>
        <v/>
      </c>
      <c r="AA18" s="98" t="str">
        <f>IF(IFERROR(VLOOKUP(A18,'26.植栽(移植)'!C:D,1,0),"")="","","✔")</f>
        <v/>
      </c>
      <c r="AB18" s="98" t="str">
        <f>IF(IFERROR(VLOOKUP(A18,'27.植栽(新植)'!C:D,1,0),"")="","","✔")</f>
        <v/>
      </c>
      <c r="AC18" s="98" t="str">
        <f>IF(IFERROR(VLOOKUP(A18,'28.照明'!C:D,1,0),"")="","","✔")</f>
        <v/>
      </c>
      <c r="AD18" s="98" t="str">
        <f>IF(IFERROR(VLOOKUP(A18,'29.既有橋梁拆除'!C:D,1,0),"")="","","✔")</f>
        <v/>
      </c>
    </row>
    <row r="19" spans="1:30" ht="21.75" customHeight="1" x14ac:dyDescent="0.25">
      <c r="A19" s="99">
        <v>45209</v>
      </c>
      <c r="B19" s="98" t="str">
        <f>IF(IFERROR(VLOOKUP(A19,'1.測量放樣'!C:D,1,0),"")="","","✔")</f>
        <v/>
      </c>
      <c r="C19" s="98" t="str">
        <f>IF(IFERROR(VLOOKUP(A19,'2.土方開挖'!C:D,1,0),"")="","","✔")</f>
        <v/>
      </c>
      <c r="D19" s="98" t="str">
        <f>IF(IFERROR(VLOOKUP(A19,'3.土方回填'!C:D,1,0),"")="","","✔")</f>
        <v/>
      </c>
      <c r="E19" s="98" t="str">
        <f>IF(IFERROR(VLOOKUP(A19,'4.鋼筋'!C:D,1,0),"")="","","✔")</f>
        <v/>
      </c>
      <c r="F19" s="98" t="str">
        <f>IF(IFERROR(VLOOKUP(A19,'5.模板'!C:D,1,0),"")="","","✔")</f>
        <v/>
      </c>
      <c r="G19" s="98" t="str">
        <f>IF(IFERROR(VLOOKUP(A19,'6.混凝土'!C:D,1,0),"")="","","✔")</f>
        <v/>
      </c>
      <c r="H19" s="98" t="str">
        <f>IF(IFERROR(VLOOKUP(A19,'7.植筋'!C:D,1,0),"")="","","✔")</f>
        <v/>
      </c>
      <c r="I19" s="98" t="str">
        <f>IF(IFERROR(VLOOKUP(A19,'8.預力混凝土基樁'!C:D,1,0),"")="","","✔")</f>
        <v/>
      </c>
      <c r="J19" s="98" t="str">
        <f>IF(IFERROR(VLOOKUP(A19,'9.砌塊石護岸'!C:D,1,0),"")="","","✔")</f>
        <v/>
      </c>
      <c r="K19" s="98" t="str">
        <f>IF(IFERROR(VLOOKUP(A19,'10.低水護岸'!C:D,1,0),"")="","","✔")</f>
        <v/>
      </c>
      <c r="L19" s="98" t="str">
        <f>IF(IFERROR(VLOOKUP(A19,'11.固床工'!C:D,1,0),"")="","","✔")</f>
        <v/>
      </c>
      <c r="M19" s="98" t="str">
        <f>IF(IFERROR(VLOOKUP(A19,'12.全套管基樁'!C:D,1,0),"")="","","✔")</f>
        <v/>
      </c>
      <c r="N19" s="98" t="str">
        <f>IF(IFERROR(VLOOKUP(A19,'13.鋼筋混凝土管工程'!C:D,1,0),"")="","","✔")</f>
        <v/>
      </c>
      <c r="O19" s="98" t="str">
        <f>IF(IFERROR(VLOOKUP(A19,'14.鋼版樁'!C:D,1,0),"")="","","✔")</f>
        <v/>
      </c>
      <c r="P19" s="98" t="str">
        <f>IF(IFERROR(VLOOKUP(A19,'15.路床 路基高程'!C:D,1,0),"")="","","✔")</f>
        <v/>
      </c>
      <c r="Q19" s="98" t="str">
        <f>IF(IFERROR(VLOOKUP(A19,'16.瀝青混凝土'!C:D,1,0),"")="","","✔")</f>
        <v/>
      </c>
      <c r="R19" s="98" t="str">
        <f>IF(IFERROR(VLOOKUP(A19,'17.景觀鋪面(一)'!C:D,1,0),"")="","","✔")</f>
        <v/>
      </c>
      <c r="S19" s="98" t="str">
        <f>IF(IFERROR(VLOOKUP(A19,'18.景觀鋪面(二)'!C:D,1,0),"")="","","✔")</f>
        <v/>
      </c>
      <c r="T19" s="98" t="str">
        <f>IF(IFERROR(VLOOKUP(A19,'19.預鑄緣石'!C:D,1,0),"")="","","✔")</f>
        <v/>
      </c>
      <c r="U19" s="98" t="str">
        <f>IF(IFERROR(VLOOKUP(A19,'20.鋼構工程吊裝'!C:D,1,0),"")="","","✔")</f>
        <v/>
      </c>
      <c r="V19" s="98" t="str">
        <f>IF(IFERROR(VLOOKUP(A19,'21.鋼構工程塗裝'!C:D,1,0),"")="","","✔")</f>
        <v/>
      </c>
      <c r="W19" s="98" t="str">
        <f>IF(IFERROR(VLOOKUP(A19,'22.排水設施(一)'!C:D,1,0),"")="","","✔")</f>
        <v/>
      </c>
      <c r="X19" s="98" t="str">
        <f>IF(IFERROR(VLOOKUP(A19,'23.排水設施(二)'!C:D,1,0),"")="","","✔")</f>
        <v/>
      </c>
      <c r="Y19" s="98" t="str">
        <f>IF(IFERROR(VLOOKUP(A19,'24.木構造'!C:D,1,0),"")="","","✔")</f>
        <v/>
      </c>
      <c r="Z19" s="98" t="str">
        <f>IF(IFERROR(VLOOKUP(A19,'25.管路'!C:D,1,0),"")="","","✔")</f>
        <v/>
      </c>
      <c r="AA19" s="98" t="str">
        <f>IF(IFERROR(VLOOKUP(A19,'26.植栽(移植)'!C:D,1,0),"")="","","✔")</f>
        <v/>
      </c>
      <c r="AB19" s="98" t="str">
        <f>IF(IFERROR(VLOOKUP(A19,'27.植栽(新植)'!C:D,1,0),"")="","","✔")</f>
        <v/>
      </c>
      <c r="AC19" s="98" t="str">
        <f>IF(IFERROR(VLOOKUP(A19,'28.照明'!C:D,1,0),"")="","","✔")</f>
        <v/>
      </c>
      <c r="AD19" s="98" t="str">
        <f>IF(IFERROR(VLOOKUP(A19,'29.既有橋梁拆除'!C:D,1,0),"")="","","✔")</f>
        <v/>
      </c>
    </row>
    <row r="20" spans="1:30" ht="21.75" customHeight="1" x14ac:dyDescent="0.25">
      <c r="A20" s="99">
        <v>45210</v>
      </c>
      <c r="B20" s="98" t="str">
        <f>IF(IFERROR(VLOOKUP(A20,'1.測量放樣'!C:D,1,0),"")="","","✔")</f>
        <v/>
      </c>
      <c r="C20" s="98" t="str">
        <f>IF(IFERROR(VLOOKUP(A20,'2.土方開挖'!C:D,1,0),"")="","","✔")</f>
        <v/>
      </c>
      <c r="D20" s="98" t="str">
        <f>IF(IFERROR(VLOOKUP(A20,'3.土方回填'!C:D,1,0),"")="","","✔")</f>
        <v/>
      </c>
      <c r="E20" s="98" t="str">
        <f>IF(IFERROR(VLOOKUP(A20,'4.鋼筋'!C:D,1,0),"")="","","✔")</f>
        <v/>
      </c>
      <c r="F20" s="98" t="str">
        <f>IF(IFERROR(VLOOKUP(A20,'5.模板'!C:D,1,0),"")="","","✔")</f>
        <v/>
      </c>
      <c r="G20" s="98" t="str">
        <f>IF(IFERROR(VLOOKUP(A20,'6.混凝土'!C:D,1,0),"")="","","✔")</f>
        <v/>
      </c>
      <c r="H20" s="98" t="str">
        <f>IF(IFERROR(VLOOKUP(A20,'7.植筋'!C:D,1,0),"")="","","✔")</f>
        <v/>
      </c>
      <c r="I20" s="98" t="str">
        <f>IF(IFERROR(VLOOKUP(A20,'8.預力混凝土基樁'!C:D,1,0),"")="","","✔")</f>
        <v/>
      </c>
      <c r="J20" s="98" t="str">
        <f>IF(IFERROR(VLOOKUP(A20,'9.砌塊石護岸'!C:D,1,0),"")="","","✔")</f>
        <v/>
      </c>
      <c r="K20" s="98" t="str">
        <f>IF(IFERROR(VLOOKUP(A20,'10.低水護岸'!C:D,1,0),"")="","","✔")</f>
        <v/>
      </c>
      <c r="L20" s="98" t="str">
        <f>IF(IFERROR(VLOOKUP(A20,'11.固床工'!C:D,1,0),"")="","","✔")</f>
        <v/>
      </c>
      <c r="M20" s="98" t="str">
        <f>IF(IFERROR(VLOOKUP(A20,'12.全套管基樁'!C:D,1,0),"")="","","✔")</f>
        <v/>
      </c>
      <c r="N20" s="98" t="str">
        <f>IF(IFERROR(VLOOKUP(A20,'13.鋼筋混凝土管工程'!C:D,1,0),"")="","","✔")</f>
        <v/>
      </c>
      <c r="O20" s="98" t="str">
        <f>IF(IFERROR(VLOOKUP(A20,'14.鋼版樁'!C:D,1,0),"")="","","✔")</f>
        <v/>
      </c>
      <c r="P20" s="98" t="str">
        <f>IF(IFERROR(VLOOKUP(A20,'15.路床 路基高程'!C:D,1,0),"")="","","✔")</f>
        <v/>
      </c>
      <c r="Q20" s="98" t="str">
        <f>IF(IFERROR(VLOOKUP(A20,'16.瀝青混凝土'!C:D,1,0),"")="","","✔")</f>
        <v/>
      </c>
      <c r="R20" s="98" t="str">
        <f>IF(IFERROR(VLOOKUP(A20,'17.景觀鋪面(一)'!C:D,1,0),"")="","","✔")</f>
        <v/>
      </c>
      <c r="S20" s="98" t="str">
        <f>IF(IFERROR(VLOOKUP(A20,'18.景觀鋪面(二)'!C:D,1,0),"")="","","✔")</f>
        <v/>
      </c>
      <c r="T20" s="98" t="str">
        <f>IF(IFERROR(VLOOKUP(A20,'19.預鑄緣石'!C:D,1,0),"")="","","✔")</f>
        <v/>
      </c>
      <c r="U20" s="98" t="str">
        <f>IF(IFERROR(VLOOKUP(A20,'20.鋼構工程吊裝'!C:D,1,0),"")="","","✔")</f>
        <v/>
      </c>
      <c r="V20" s="98" t="str">
        <f>IF(IFERROR(VLOOKUP(A20,'21.鋼構工程塗裝'!C:D,1,0),"")="","","✔")</f>
        <v/>
      </c>
      <c r="W20" s="98" t="str">
        <f>IF(IFERROR(VLOOKUP(A20,'22.排水設施(一)'!C:D,1,0),"")="","","✔")</f>
        <v/>
      </c>
      <c r="X20" s="98" t="str">
        <f>IF(IFERROR(VLOOKUP(A20,'23.排水設施(二)'!C:D,1,0),"")="","","✔")</f>
        <v/>
      </c>
      <c r="Y20" s="98" t="str">
        <f>IF(IFERROR(VLOOKUP(A20,'24.木構造'!C:D,1,0),"")="","","✔")</f>
        <v/>
      </c>
      <c r="Z20" s="98" t="str">
        <f>IF(IFERROR(VLOOKUP(A20,'25.管路'!C:D,1,0),"")="","","✔")</f>
        <v/>
      </c>
      <c r="AA20" s="98" t="str">
        <f>IF(IFERROR(VLOOKUP(A20,'26.植栽(移植)'!C:D,1,0),"")="","","✔")</f>
        <v/>
      </c>
      <c r="AB20" s="98" t="str">
        <f>IF(IFERROR(VLOOKUP(A20,'27.植栽(新植)'!C:D,1,0),"")="","","✔")</f>
        <v/>
      </c>
      <c r="AC20" s="98" t="str">
        <f>IF(IFERROR(VLOOKUP(A20,'28.照明'!C:D,1,0),"")="","","✔")</f>
        <v/>
      </c>
      <c r="AD20" s="98" t="str">
        <f>IF(IFERROR(VLOOKUP(A20,'29.既有橋梁拆除'!C:D,1,0),"")="","","✔")</f>
        <v>✔</v>
      </c>
    </row>
    <row r="21" spans="1:30" ht="21.75" customHeight="1" x14ac:dyDescent="0.25">
      <c r="A21" s="99">
        <v>45211</v>
      </c>
      <c r="B21" s="98" t="str">
        <f>IF(IFERROR(VLOOKUP(A21,'1.測量放樣'!C:D,1,0),"")="","","✔")</f>
        <v/>
      </c>
      <c r="C21" s="98" t="str">
        <f>IF(IFERROR(VLOOKUP(A21,'2.土方開挖'!C:D,1,0),"")="","","✔")</f>
        <v/>
      </c>
      <c r="D21" s="98" t="str">
        <f>IF(IFERROR(VLOOKUP(A21,'3.土方回填'!C:D,1,0),"")="","","✔")</f>
        <v/>
      </c>
      <c r="E21" s="98" t="str">
        <f>IF(IFERROR(VLOOKUP(A21,'4.鋼筋'!C:D,1,0),"")="","","✔")</f>
        <v/>
      </c>
      <c r="F21" s="98" t="str">
        <f>IF(IFERROR(VLOOKUP(A21,'5.模板'!C:D,1,0),"")="","","✔")</f>
        <v/>
      </c>
      <c r="G21" s="98" t="str">
        <f>IF(IFERROR(VLOOKUP(A21,'6.混凝土'!C:D,1,0),"")="","","✔")</f>
        <v/>
      </c>
      <c r="H21" s="98" t="str">
        <f>IF(IFERROR(VLOOKUP(A21,'7.植筋'!C:D,1,0),"")="","","✔")</f>
        <v/>
      </c>
      <c r="I21" s="98" t="str">
        <f>IF(IFERROR(VLOOKUP(A21,'8.預力混凝土基樁'!C:D,1,0),"")="","","✔")</f>
        <v/>
      </c>
      <c r="J21" s="98" t="str">
        <f>IF(IFERROR(VLOOKUP(A21,'9.砌塊石護岸'!C:D,1,0),"")="","","✔")</f>
        <v/>
      </c>
      <c r="K21" s="98" t="str">
        <f>IF(IFERROR(VLOOKUP(A21,'10.低水護岸'!C:D,1,0),"")="","","✔")</f>
        <v/>
      </c>
      <c r="L21" s="98" t="str">
        <f>IF(IFERROR(VLOOKUP(A21,'11.固床工'!C:D,1,0),"")="","","✔")</f>
        <v/>
      </c>
      <c r="M21" s="98" t="str">
        <f>IF(IFERROR(VLOOKUP(A21,'12.全套管基樁'!C:D,1,0),"")="","","✔")</f>
        <v/>
      </c>
      <c r="N21" s="98" t="str">
        <f>IF(IFERROR(VLOOKUP(A21,'13.鋼筋混凝土管工程'!C:D,1,0),"")="","","✔")</f>
        <v/>
      </c>
      <c r="O21" s="98" t="str">
        <f>IF(IFERROR(VLOOKUP(A21,'14.鋼版樁'!C:D,1,0),"")="","","✔")</f>
        <v/>
      </c>
      <c r="P21" s="98" t="str">
        <f>IF(IFERROR(VLOOKUP(A21,'15.路床 路基高程'!C:D,1,0),"")="","","✔")</f>
        <v/>
      </c>
      <c r="Q21" s="98" t="str">
        <f>IF(IFERROR(VLOOKUP(A21,'16.瀝青混凝土'!C:D,1,0),"")="","","✔")</f>
        <v/>
      </c>
      <c r="R21" s="98" t="str">
        <f>IF(IFERROR(VLOOKUP(A21,'17.景觀鋪面(一)'!C:D,1,0),"")="","","✔")</f>
        <v/>
      </c>
      <c r="S21" s="98" t="str">
        <f>IF(IFERROR(VLOOKUP(A21,'18.景觀鋪面(二)'!C:D,1,0),"")="","","✔")</f>
        <v/>
      </c>
      <c r="T21" s="98" t="str">
        <f>IF(IFERROR(VLOOKUP(A21,'19.預鑄緣石'!C:D,1,0),"")="","","✔")</f>
        <v/>
      </c>
      <c r="U21" s="98" t="str">
        <f>IF(IFERROR(VLOOKUP(A21,'20.鋼構工程吊裝'!C:D,1,0),"")="","","✔")</f>
        <v/>
      </c>
      <c r="V21" s="98" t="str">
        <f>IF(IFERROR(VLOOKUP(A21,'21.鋼構工程塗裝'!C:D,1,0),"")="","","✔")</f>
        <v/>
      </c>
      <c r="W21" s="98" t="str">
        <f>IF(IFERROR(VLOOKUP(A21,'22.排水設施(一)'!C:D,1,0),"")="","","✔")</f>
        <v/>
      </c>
      <c r="X21" s="98" t="str">
        <f>IF(IFERROR(VLOOKUP(A21,'23.排水設施(二)'!C:D,1,0),"")="","","✔")</f>
        <v/>
      </c>
      <c r="Y21" s="98" t="str">
        <f>IF(IFERROR(VLOOKUP(A21,'24.木構造'!C:D,1,0),"")="","","✔")</f>
        <v/>
      </c>
      <c r="Z21" s="98" t="str">
        <f>IF(IFERROR(VLOOKUP(A21,'25.管路'!C:D,1,0),"")="","","✔")</f>
        <v/>
      </c>
      <c r="AA21" s="98" t="str">
        <f>IF(IFERROR(VLOOKUP(A21,'26.植栽(移植)'!C:D,1,0),"")="","","✔")</f>
        <v/>
      </c>
      <c r="AB21" s="98" t="str">
        <f>IF(IFERROR(VLOOKUP(A21,'27.植栽(新植)'!C:D,1,0),"")="","","✔")</f>
        <v/>
      </c>
      <c r="AC21" s="98" t="str">
        <f>IF(IFERROR(VLOOKUP(A21,'28.照明'!C:D,1,0),"")="","","✔")</f>
        <v/>
      </c>
      <c r="AD21" s="98" t="str">
        <f>IF(IFERROR(VLOOKUP(A21,'29.既有橋梁拆除'!C:D,1,0),"")="","","✔")</f>
        <v/>
      </c>
    </row>
    <row r="22" spans="1:30" ht="21.75" customHeight="1" x14ac:dyDescent="0.25">
      <c r="A22" s="99">
        <v>45212</v>
      </c>
      <c r="B22" s="98" t="str">
        <f>IF(IFERROR(VLOOKUP(A22,'1.測量放樣'!C:D,1,0),"")="","","✔")</f>
        <v/>
      </c>
      <c r="C22" s="98" t="str">
        <f>IF(IFERROR(VLOOKUP(A22,'2.土方開挖'!C:D,1,0),"")="","","✔")</f>
        <v/>
      </c>
      <c r="D22" s="98" t="str">
        <f>IF(IFERROR(VLOOKUP(A22,'3.土方回填'!C:D,1,0),"")="","","✔")</f>
        <v/>
      </c>
      <c r="E22" s="98" t="str">
        <f>IF(IFERROR(VLOOKUP(A22,'4.鋼筋'!C:D,1,0),"")="","","✔")</f>
        <v/>
      </c>
      <c r="F22" s="98" t="str">
        <f>IF(IFERROR(VLOOKUP(A22,'5.模板'!C:D,1,0),"")="","","✔")</f>
        <v/>
      </c>
      <c r="G22" s="98" t="str">
        <f>IF(IFERROR(VLOOKUP(A22,'6.混凝土'!C:D,1,0),"")="","","✔")</f>
        <v/>
      </c>
      <c r="H22" s="98" t="str">
        <f>IF(IFERROR(VLOOKUP(A22,'7.植筋'!C:D,1,0),"")="","","✔")</f>
        <v/>
      </c>
      <c r="I22" s="98" t="str">
        <f>IF(IFERROR(VLOOKUP(A22,'8.預力混凝土基樁'!C:D,1,0),"")="","","✔")</f>
        <v/>
      </c>
      <c r="J22" s="98" t="str">
        <f>IF(IFERROR(VLOOKUP(A22,'9.砌塊石護岸'!C:D,1,0),"")="","","✔")</f>
        <v/>
      </c>
      <c r="K22" s="98" t="str">
        <f>IF(IFERROR(VLOOKUP(A22,'10.低水護岸'!C:D,1,0),"")="","","✔")</f>
        <v/>
      </c>
      <c r="L22" s="98" t="str">
        <f>IF(IFERROR(VLOOKUP(A22,'11.固床工'!C:D,1,0),"")="","","✔")</f>
        <v/>
      </c>
      <c r="M22" s="98" t="str">
        <f>IF(IFERROR(VLOOKUP(A22,'12.全套管基樁'!C:D,1,0),"")="","","✔")</f>
        <v/>
      </c>
      <c r="N22" s="98" t="str">
        <f>IF(IFERROR(VLOOKUP(A22,'13.鋼筋混凝土管工程'!C:D,1,0),"")="","","✔")</f>
        <v/>
      </c>
      <c r="O22" s="98" t="str">
        <f>IF(IFERROR(VLOOKUP(A22,'14.鋼版樁'!C:D,1,0),"")="","","✔")</f>
        <v/>
      </c>
      <c r="P22" s="98" t="str">
        <f>IF(IFERROR(VLOOKUP(A22,'15.路床 路基高程'!C:D,1,0),"")="","","✔")</f>
        <v/>
      </c>
      <c r="Q22" s="98" t="str">
        <f>IF(IFERROR(VLOOKUP(A22,'16.瀝青混凝土'!C:D,1,0),"")="","","✔")</f>
        <v/>
      </c>
      <c r="R22" s="98" t="str">
        <f>IF(IFERROR(VLOOKUP(A22,'17.景觀鋪面(一)'!C:D,1,0),"")="","","✔")</f>
        <v/>
      </c>
      <c r="S22" s="98" t="str">
        <f>IF(IFERROR(VLOOKUP(A22,'18.景觀鋪面(二)'!C:D,1,0),"")="","","✔")</f>
        <v/>
      </c>
      <c r="T22" s="98" t="str">
        <f>IF(IFERROR(VLOOKUP(A22,'19.預鑄緣石'!C:D,1,0),"")="","","✔")</f>
        <v/>
      </c>
      <c r="U22" s="98" t="str">
        <f>IF(IFERROR(VLOOKUP(A22,'20.鋼構工程吊裝'!C:D,1,0),"")="","","✔")</f>
        <v/>
      </c>
      <c r="V22" s="98" t="str">
        <f>IF(IFERROR(VLOOKUP(A22,'21.鋼構工程塗裝'!C:D,1,0),"")="","","✔")</f>
        <v/>
      </c>
      <c r="W22" s="98" t="str">
        <f>IF(IFERROR(VLOOKUP(A22,'22.排水設施(一)'!C:D,1,0),"")="","","✔")</f>
        <v/>
      </c>
      <c r="X22" s="98" t="str">
        <f>IF(IFERROR(VLOOKUP(A22,'23.排水設施(二)'!C:D,1,0),"")="","","✔")</f>
        <v/>
      </c>
      <c r="Y22" s="98" t="str">
        <f>IF(IFERROR(VLOOKUP(A22,'24.木構造'!C:D,1,0),"")="","","✔")</f>
        <v/>
      </c>
      <c r="Z22" s="98" t="str">
        <f>IF(IFERROR(VLOOKUP(A22,'25.管路'!C:D,1,0),"")="","","✔")</f>
        <v/>
      </c>
      <c r="AA22" s="98" t="str">
        <f>IF(IFERROR(VLOOKUP(A22,'26.植栽(移植)'!C:D,1,0),"")="","","✔")</f>
        <v/>
      </c>
      <c r="AB22" s="98" t="str">
        <f>IF(IFERROR(VLOOKUP(A22,'27.植栽(新植)'!C:D,1,0),"")="","","✔")</f>
        <v/>
      </c>
      <c r="AC22" s="98" t="str">
        <f>IF(IFERROR(VLOOKUP(A22,'28.照明'!C:D,1,0),"")="","","✔")</f>
        <v/>
      </c>
      <c r="AD22" s="98" t="str">
        <f>IF(IFERROR(VLOOKUP(A22,'29.既有橋梁拆除'!C:D,1,0),"")="","","✔")</f>
        <v/>
      </c>
    </row>
    <row r="23" spans="1:30" ht="21.75" customHeight="1" x14ac:dyDescent="0.25">
      <c r="A23" s="99">
        <v>45213</v>
      </c>
      <c r="B23" s="98" t="str">
        <f>IF(IFERROR(VLOOKUP(A23,'1.測量放樣'!C:D,1,0),"")="","","✔")</f>
        <v/>
      </c>
      <c r="C23" s="98" t="str">
        <f>IF(IFERROR(VLOOKUP(A23,'2.土方開挖'!C:D,1,0),"")="","","✔")</f>
        <v/>
      </c>
      <c r="D23" s="98" t="str">
        <f>IF(IFERROR(VLOOKUP(A23,'3.土方回填'!C:D,1,0),"")="","","✔")</f>
        <v/>
      </c>
      <c r="E23" s="98" t="str">
        <f>IF(IFERROR(VLOOKUP(A23,'4.鋼筋'!C:D,1,0),"")="","","✔")</f>
        <v/>
      </c>
      <c r="F23" s="98" t="str">
        <f>IF(IFERROR(VLOOKUP(A23,'5.模板'!C:D,1,0),"")="","","✔")</f>
        <v/>
      </c>
      <c r="G23" s="98" t="str">
        <f>IF(IFERROR(VLOOKUP(A23,'6.混凝土'!C:D,1,0),"")="","","✔")</f>
        <v/>
      </c>
      <c r="H23" s="98" t="str">
        <f>IF(IFERROR(VLOOKUP(A23,'7.植筋'!C:D,1,0),"")="","","✔")</f>
        <v/>
      </c>
      <c r="I23" s="98" t="str">
        <f>IF(IFERROR(VLOOKUP(A23,'8.預力混凝土基樁'!C:D,1,0),"")="","","✔")</f>
        <v/>
      </c>
      <c r="J23" s="98" t="str">
        <f>IF(IFERROR(VLOOKUP(A23,'9.砌塊石護岸'!C:D,1,0),"")="","","✔")</f>
        <v/>
      </c>
      <c r="K23" s="98" t="str">
        <f>IF(IFERROR(VLOOKUP(A23,'10.低水護岸'!C:D,1,0),"")="","","✔")</f>
        <v/>
      </c>
      <c r="L23" s="98" t="str">
        <f>IF(IFERROR(VLOOKUP(A23,'11.固床工'!C:D,1,0),"")="","","✔")</f>
        <v/>
      </c>
      <c r="M23" s="98" t="str">
        <f>IF(IFERROR(VLOOKUP(A23,'12.全套管基樁'!C:D,1,0),"")="","","✔")</f>
        <v/>
      </c>
      <c r="N23" s="98" t="str">
        <f>IF(IFERROR(VLOOKUP(A23,'13.鋼筋混凝土管工程'!C:D,1,0),"")="","","✔")</f>
        <v/>
      </c>
      <c r="O23" s="98" t="str">
        <f>IF(IFERROR(VLOOKUP(A23,'14.鋼版樁'!C:D,1,0),"")="","","✔")</f>
        <v/>
      </c>
      <c r="P23" s="98" t="str">
        <f>IF(IFERROR(VLOOKUP(A23,'15.路床 路基高程'!C:D,1,0),"")="","","✔")</f>
        <v/>
      </c>
      <c r="Q23" s="98" t="str">
        <f>IF(IFERROR(VLOOKUP(A23,'16.瀝青混凝土'!C:D,1,0),"")="","","✔")</f>
        <v/>
      </c>
      <c r="R23" s="98" t="str">
        <f>IF(IFERROR(VLOOKUP(A23,'17.景觀鋪面(一)'!C:D,1,0),"")="","","✔")</f>
        <v/>
      </c>
      <c r="S23" s="98" t="str">
        <f>IF(IFERROR(VLOOKUP(A23,'18.景觀鋪面(二)'!C:D,1,0),"")="","","✔")</f>
        <v/>
      </c>
      <c r="T23" s="98" t="str">
        <f>IF(IFERROR(VLOOKUP(A23,'19.預鑄緣石'!C:D,1,0),"")="","","✔")</f>
        <v/>
      </c>
      <c r="U23" s="98" t="str">
        <f>IF(IFERROR(VLOOKUP(A23,'20.鋼構工程吊裝'!C:D,1,0),"")="","","✔")</f>
        <v/>
      </c>
      <c r="V23" s="98" t="str">
        <f>IF(IFERROR(VLOOKUP(A23,'21.鋼構工程塗裝'!C:D,1,0),"")="","","✔")</f>
        <v/>
      </c>
      <c r="W23" s="98" t="str">
        <f>IF(IFERROR(VLOOKUP(A23,'22.排水設施(一)'!C:D,1,0),"")="","","✔")</f>
        <v/>
      </c>
      <c r="X23" s="98" t="str">
        <f>IF(IFERROR(VLOOKUP(A23,'23.排水設施(二)'!C:D,1,0),"")="","","✔")</f>
        <v/>
      </c>
      <c r="Y23" s="98" t="str">
        <f>IF(IFERROR(VLOOKUP(A23,'24.木構造'!C:D,1,0),"")="","","✔")</f>
        <v/>
      </c>
      <c r="Z23" s="98" t="str">
        <f>IF(IFERROR(VLOOKUP(A23,'25.管路'!C:D,1,0),"")="","","✔")</f>
        <v/>
      </c>
      <c r="AA23" s="98" t="str">
        <f>IF(IFERROR(VLOOKUP(A23,'26.植栽(移植)'!C:D,1,0),"")="","","✔")</f>
        <v/>
      </c>
      <c r="AB23" s="98" t="str">
        <f>IF(IFERROR(VLOOKUP(A23,'27.植栽(新植)'!C:D,1,0),"")="","","✔")</f>
        <v/>
      </c>
      <c r="AC23" s="98" t="str">
        <f>IF(IFERROR(VLOOKUP(A23,'28.照明'!C:D,1,0),"")="","","✔")</f>
        <v/>
      </c>
      <c r="AD23" s="98" t="str">
        <f>IF(IFERROR(VLOOKUP(A23,'29.既有橋梁拆除'!C:D,1,0),"")="","","✔")</f>
        <v/>
      </c>
    </row>
    <row r="24" spans="1:30" ht="21.75" customHeight="1" x14ac:dyDescent="0.25">
      <c r="A24" s="99">
        <v>45214</v>
      </c>
      <c r="B24" s="98" t="str">
        <f>IF(IFERROR(VLOOKUP(A24,'1.測量放樣'!C:D,1,0),"")="","","✔")</f>
        <v/>
      </c>
      <c r="C24" s="98" t="str">
        <f>IF(IFERROR(VLOOKUP(A24,'2.土方開挖'!C:D,1,0),"")="","","✔")</f>
        <v/>
      </c>
      <c r="D24" s="98" t="str">
        <f>IF(IFERROR(VLOOKUP(A24,'3.土方回填'!C:D,1,0),"")="","","✔")</f>
        <v/>
      </c>
      <c r="E24" s="98" t="str">
        <f>IF(IFERROR(VLOOKUP(A24,'4.鋼筋'!C:D,1,0),"")="","","✔")</f>
        <v/>
      </c>
      <c r="F24" s="98" t="str">
        <f>IF(IFERROR(VLOOKUP(A24,'5.模板'!C:D,1,0),"")="","","✔")</f>
        <v/>
      </c>
      <c r="G24" s="98" t="str">
        <f>IF(IFERROR(VLOOKUP(A24,'6.混凝土'!C:D,1,0),"")="","","✔")</f>
        <v/>
      </c>
      <c r="H24" s="98" t="str">
        <f>IF(IFERROR(VLOOKUP(A24,'7.植筋'!C:D,1,0),"")="","","✔")</f>
        <v/>
      </c>
      <c r="I24" s="98" t="str">
        <f>IF(IFERROR(VLOOKUP(A24,'8.預力混凝土基樁'!C:D,1,0),"")="","","✔")</f>
        <v/>
      </c>
      <c r="J24" s="98" t="str">
        <f>IF(IFERROR(VLOOKUP(A24,'9.砌塊石護岸'!C:D,1,0),"")="","","✔")</f>
        <v/>
      </c>
      <c r="K24" s="98" t="str">
        <f>IF(IFERROR(VLOOKUP(A24,'10.低水護岸'!C:D,1,0),"")="","","✔")</f>
        <v/>
      </c>
      <c r="L24" s="98" t="str">
        <f>IF(IFERROR(VLOOKUP(A24,'11.固床工'!C:D,1,0),"")="","","✔")</f>
        <v/>
      </c>
      <c r="M24" s="98" t="str">
        <f>IF(IFERROR(VLOOKUP(A24,'12.全套管基樁'!C:D,1,0),"")="","","✔")</f>
        <v/>
      </c>
      <c r="N24" s="98" t="str">
        <f>IF(IFERROR(VLOOKUP(A24,'13.鋼筋混凝土管工程'!C:D,1,0),"")="","","✔")</f>
        <v/>
      </c>
      <c r="O24" s="98" t="str">
        <f>IF(IFERROR(VLOOKUP(A24,'14.鋼版樁'!C:D,1,0),"")="","","✔")</f>
        <v/>
      </c>
      <c r="P24" s="98" t="str">
        <f>IF(IFERROR(VLOOKUP(A24,'15.路床 路基高程'!C:D,1,0),"")="","","✔")</f>
        <v/>
      </c>
      <c r="Q24" s="98" t="str">
        <f>IF(IFERROR(VLOOKUP(A24,'16.瀝青混凝土'!C:D,1,0),"")="","","✔")</f>
        <v/>
      </c>
      <c r="R24" s="98" t="str">
        <f>IF(IFERROR(VLOOKUP(A24,'17.景觀鋪面(一)'!C:D,1,0),"")="","","✔")</f>
        <v/>
      </c>
      <c r="S24" s="98" t="str">
        <f>IF(IFERROR(VLOOKUP(A24,'18.景觀鋪面(二)'!C:D,1,0),"")="","","✔")</f>
        <v/>
      </c>
      <c r="T24" s="98" t="str">
        <f>IF(IFERROR(VLOOKUP(A24,'19.預鑄緣石'!C:D,1,0),"")="","","✔")</f>
        <v/>
      </c>
      <c r="U24" s="98" t="str">
        <f>IF(IFERROR(VLOOKUP(A24,'20.鋼構工程吊裝'!C:D,1,0),"")="","","✔")</f>
        <v/>
      </c>
      <c r="V24" s="98" t="str">
        <f>IF(IFERROR(VLOOKUP(A24,'21.鋼構工程塗裝'!C:D,1,0),"")="","","✔")</f>
        <v/>
      </c>
      <c r="W24" s="98" t="str">
        <f>IF(IFERROR(VLOOKUP(A24,'22.排水設施(一)'!C:D,1,0),"")="","","✔")</f>
        <v/>
      </c>
      <c r="X24" s="98" t="str">
        <f>IF(IFERROR(VLOOKUP(A24,'23.排水設施(二)'!C:D,1,0),"")="","","✔")</f>
        <v/>
      </c>
      <c r="Y24" s="98" t="str">
        <f>IF(IFERROR(VLOOKUP(A24,'24.木構造'!C:D,1,0),"")="","","✔")</f>
        <v/>
      </c>
      <c r="Z24" s="98" t="str">
        <f>IF(IFERROR(VLOOKUP(A24,'25.管路'!C:D,1,0),"")="","","✔")</f>
        <v/>
      </c>
      <c r="AA24" s="98" t="str">
        <f>IF(IFERROR(VLOOKUP(A24,'26.植栽(移植)'!C:D,1,0),"")="","","✔")</f>
        <v/>
      </c>
      <c r="AB24" s="98" t="str">
        <f>IF(IFERROR(VLOOKUP(A24,'27.植栽(新植)'!C:D,1,0),"")="","","✔")</f>
        <v/>
      </c>
      <c r="AC24" s="98" t="str">
        <f>IF(IFERROR(VLOOKUP(A24,'28.照明'!C:D,1,0),"")="","","✔")</f>
        <v/>
      </c>
      <c r="AD24" s="98" t="str">
        <f>IF(IFERROR(VLOOKUP(A24,'29.既有橋梁拆除'!C:D,1,0),"")="","","✔")</f>
        <v/>
      </c>
    </row>
    <row r="25" spans="1:30" ht="21.75" customHeight="1" x14ac:dyDescent="0.25">
      <c r="A25" s="99">
        <v>45215</v>
      </c>
      <c r="B25" s="98" t="str">
        <f>IF(IFERROR(VLOOKUP(A25,'1.測量放樣'!C:D,1,0),"")="","","✔")</f>
        <v/>
      </c>
      <c r="C25" s="98" t="str">
        <f>IF(IFERROR(VLOOKUP(A25,'2.土方開挖'!C:D,1,0),"")="","","✔")</f>
        <v/>
      </c>
      <c r="D25" s="98" t="str">
        <f>IF(IFERROR(VLOOKUP(A25,'3.土方回填'!C:D,1,0),"")="","","✔")</f>
        <v/>
      </c>
      <c r="E25" s="98" t="str">
        <f>IF(IFERROR(VLOOKUP(A25,'4.鋼筋'!C:D,1,0),"")="","","✔")</f>
        <v/>
      </c>
      <c r="F25" s="98" t="str">
        <f>IF(IFERROR(VLOOKUP(A25,'5.模板'!C:D,1,0),"")="","","✔")</f>
        <v/>
      </c>
      <c r="G25" s="98" t="str">
        <f>IF(IFERROR(VLOOKUP(A25,'6.混凝土'!C:D,1,0),"")="","","✔")</f>
        <v/>
      </c>
      <c r="H25" s="98" t="str">
        <f>IF(IFERROR(VLOOKUP(A25,'7.植筋'!C:D,1,0),"")="","","✔")</f>
        <v/>
      </c>
      <c r="I25" s="98" t="str">
        <f>IF(IFERROR(VLOOKUP(A25,'8.預力混凝土基樁'!C:D,1,0),"")="","","✔")</f>
        <v/>
      </c>
      <c r="J25" s="98" t="str">
        <f>IF(IFERROR(VLOOKUP(A25,'9.砌塊石護岸'!C:D,1,0),"")="","","✔")</f>
        <v/>
      </c>
      <c r="K25" s="98" t="str">
        <f>IF(IFERROR(VLOOKUP(A25,'10.低水護岸'!C:D,1,0),"")="","","✔")</f>
        <v/>
      </c>
      <c r="L25" s="98" t="str">
        <f>IF(IFERROR(VLOOKUP(A25,'11.固床工'!C:D,1,0),"")="","","✔")</f>
        <v/>
      </c>
      <c r="M25" s="98" t="str">
        <f>IF(IFERROR(VLOOKUP(A25,'12.全套管基樁'!C:D,1,0),"")="","","✔")</f>
        <v/>
      </c>
      <c r="N25" s="98" t="str">
        <f>IF(IFERROR(VLOOKUP(A25,'13.鋼筋混凝土管工程'!C:D,1,0),"")="","","✔")</f>
        <v/>
      </c>
      <c r="O25" s="98" t="str">
        <f>IF(IFERROR(VLOOKUP(A25,'14.鋼版樁'!C:D,1,0),"")="","","✔")</f>
        <v/>
      </c>
      <c r="P25" s="98" t="str">
        <f>IF(IFERROR(VLOOKUP(A25,'15.路床 路基高程'!C:D,1,0),"")="","","✔")</f>
        <v/>
      </c>
      <c r="Q25" s="98" t="str">
        <f>IF(IFERROR(VLOOKUP(A25,'16.瀝青混凝土'!C:D,1,0),"")="","","✔")</f>
        <v/>
      </c>
      <c r="R25" s="98" t="str">
        <f>IF(IFERROR(VLOOKUP(A25,'17.景觀鋪面(一)'!C:D,1,0),"")="","","✔")</f>
        <v/>
      </c>
      <c r="S25" s="98" t="str">
        <f>IF(IFERROR(VLOOKUP(A25,'18.景觀鋪面(二)'!C:D,1,0),"")="","","✔")</f>
        <v/>
      </c>
      <c r="T25" s="98" t="str">
        <f>IF(IFERROR(VLOOKUP(A25,'19.預鑄緣石'!C:D,1,0),"")="","","✔")</f>
        <v/>
      </c>
      <c r="U25" s="98" t="str">
        <f>IF(IFERROR(VLOOKUP(A25,'20.鋼構工程吊裝'!C:D,1,0),"")="","","✔")</f>
        <v/>
      </c>
      <c r="V25" s="98" t="str">
        <f>IF(IFERROR(VLOOKUP(A25,'21.鋼構工程塗裝'!C:D,1,0),"")="","","✔")</f>
        <v/>
      </c>
      <c r="W25" s="98" t="str">
        <f>IF(IFERROR(VLOOKUP(A25,'22.排水設施(一)'!C:D,1,0),"")="","","✔")</f>
        <v/>
      </c>
      <c r="X25" s="98" t="str">
        <f>IF(IFERROR(VLOOKUP(A25,'23.排水設施(二)'!C:D,1,0),"")="","","✔")</f>
        <v/>
      </c>
      <c r="Y25" s="98" t="str">
        <f>IF(IFERROR(VLOOKUP(A25,'24.木構造'!C:D,1,0),"")="","","✔")</f>
        <v/>
      </c>
      <c r="Z25" s="98" t="str">
        <f>IF(IFERROR(VLOOKUP(A25,'25.管路'!C:D,1,0),"")="","","✔")</f>
        <v/>
      </c>
      <c r="AA25" s="98" t="str">
        <f>IF(IFERROR(VLOOKUP(A25,'26.植栽(移植)'!C:D,1,0),"")="","","✔")</f>
        <v/>
      </c>
      <c r="AB25" s="98" t="str">
        <f>IF(IFERROR(VLOOKUP(A25,'27.植栽(新植)'!C:D,1,0),"")="","","✔")</f>
        <v/>
      </c>
      <c r="AC25" s="98" t="str">
        <f>IF(IFERROR(VLOOKUP(A25,'28.照明'!C:D,1,0),"")="","","✔")</f>
        <v/>
      </c>
      <c r="AD25" s="98" t="str">
        <f>IF(IFERROR(VLOOKUP(A25,'29.既有橋梁拆除'!C:D,1,0),"")="","","✔")</f>
        <v/>
      </c>
    </row>
    <row r="26" spans="1:30" ht="21.75" customHeight="1" x14ac:dyDescent="0.25">
      <c r="A26" s="99">
        <v>45216</v>
      </c>
      <c r="B26" s="98" t="str">
        <f>IF(IFERROR(VLOOKUP(A26,'1.測量放樣'!C:D,1,0),"")="","","✔")</f>
        <v/>
      </c>
      <c r="C26" s="98" t="str">
        <f>IF(IFERROR(VLOOKUP(A26,'2.土方開挖'!C:D,1,0),"")="","","✔")</f>
        <v/>
      </c>
      <c r="D26" s="98" t="str">
        <f>IF(IFERROR(VLOOKUP(A26,'3.土方回填'!C:D,1,0),"")="","","✔")</f>
        <v/>
      </c>
      <c r="E26" s="98" t="str">
        <f>IF(IFERROR(VLOOKUP(A26,'4.鋼筋'!C:D,1,0),"")="","","✔")</f>
        <v/>
      </c>
      <c r="F26" s="98" t="str">
        <f>IF(IFERROR(VLOOKUP(A26,'5.模板'!C:D,1,0),"")="","","✔")</f>
        <v/>
      </c>
      <c r="G26" s="98" t="str">
        <f>IF(IFERROR(VLOOKUP(A26,'6.混凝土'!C:D,1,0),"")="","","✔")</f>
        <v/>
      </c>
      <c r="H26" s="98" t="str">
        <f>IF(IFERROR(VLOOKUP(A26,'7.植筋'!C:D,1,0),"")="","","✔")</f>
        <v/>
      </c>
      <c r="I26" s="98" t="str">
        <f>IF(IFERROR(VLOOKUP(A26,'8.預力混凝土基樁'!C:D,1,0),"")="","","✔")</f>
        <v/>
      </c>
      <c r="J26" s="98" t="str">
        <f>IF(IFERROR(VLOOKUP(A26,'9.砌塊石護岸'!C:D,1,0),"")="","","✔")</f>
        <v/>
      </c>
      <c r="K26" s="98" t="str">
        <f>IF(IFERROR(VLOOKUP(A26,'10.低水護岸'!C:D,1,0),"")="","","✔")</f>
        <v/>
      </c>
      <c r="L26" s="98" t="str">
        <f>IF(IFERROR(VLOOKUP(A26,'11.固床工'!C:D,1,0),"")="","","✔")</f>
        <v/>
      </c>
      <c r="M26" s="98" t="str">
        <f>IF(IFERROR(VLOOKUP(A26,'12.全套管基樁'!C:D,1,0),"")="","","✔")</f>
        <v/>
      </c>
      <c r="N26" s="98" t="str">
        <f>IF(IFERROR(VLOOKUP(A26,'13.鋼筋混凝土管工程'!C:D,1,0),"")="","","✔")</f>
        <v/>
      </c>
      <c r="O26" s="98" t="str">
        <f>IF(IFERROR(VLOOKUP(A26,'14.鋼版樁'!C:D,1,0),"")="","","✔")</f>
        <v/>
      </c>
      <c r="P26" s="98" t="str">
        <f>IF(IFERROR(VLOOKUP(A26,'15.路床 路基高程'!C:D,1,0),"")="","","✔")</f>
        <v/>
      </c>
      <c r="Q26" s="98" t="str">
        <f>IF(IFERROR(VLOOKUP(A26,'16.瀝青混凝土'!C:D,1,0),"")="","","✔")</f>
        <v/>
      </c>
      <c r="R26" s="98" t="str">
        <f>IF(IFERROR(VLOOKUP(A26,'17.景觀鋪面(一)'!C:D,1,0),"")="","","✔")</f>
        <v/>
      </c>
      <c r="S26" s="98" t="str">
        <f>IF(IFERROR(VLOOKUP(A26,'18.景觀鋪面(二)'!C:D,1,0),"")="","","✔")</f>
        <v/>
      </c>
      <c r="T26" s="98" t="str">
        <f>IF(IFERROR(VLOOKUP(A26,'19.預鑄緣石'!C:D,1,0),"")="","","✔")</f>
        <v/>
      </c>
      <c r="U26" s="98" t="str">
        <f>IF(IFERROR(VLOOKUP(A26,'20.鋼構工程吊裝'!C:D,1,0),"")="","","✔")</f>
        <v/>
      </c>
      <c r="V26" s="98" t="str">
        <f>IF(IFERROR(VLOOKUP(A26,'21.鋼構工程塗裝'!C:D,1,0),"")="","","✔")</f>
        <v/>
      </c>
      <c r="W26" s="98" t="str">
        <f>IF(IFERROR(VLOOKUP(A26,'22.排水設施(一)'!C:D,1,0),"")="","","✔")</f>
        <v/>
      </c>
      <c r="X26" s="98" t="str">
        <f>IF(IFERROR(VLOOKUP(A26,'23.排水設施(二)'!C:D,1,0),"")="","","✔")</f>
        <v/>
      </c>
      <c r="Y26" s="98" t="str">
        <f>IF(IFERROR(VLOOKUP(A26,'24.木構造'!C:D,1,0),"")="","","✔")</f>
        <v/>
      </c>
      <c r="Z26" s="98" t="str">
        <f>IF(IFERROR(VLOOKUP(A26,'25.管路'!C:D,1,0),"")="","","✔")</f>
        <v/>
      </c>
      <c r="AA26" s="98" t="str">
        <f>IF(IFERROR(VLOOKUP(A26,'26.植栽(移植)'!C:D,1,0),"")="","","✔")</f>
        <v/>
      </c>
      <c r="AB26" s="98" t="str">
        <f>IF(IFERROR(VLOOKUP(A26,'27.植栽(新植)'!C:D,1,0),"")="","","✔")</f>
        <v/>
      </c>
      <c r="AC26" s="98" t="str">
        <f>IF(IFERROR(VLOOKUP(A26,'28.照明'!C:D,1,0),"")="","","✔")</f>
        <v/>
      </c>
      <c r="AD26" s="98" t="str">
        <f>IF(IFERROR(VLOOKUP(A26,'29.既有橋梁拆除'!C:D,1,0),"")="","","✔")</f>
        <v>✔</v>
      </c>
    </row>
    <row r="27" spans="1:30" ht="21.75" customHeight="1" x14ac:dyDescent="0.25">
      <c r="A27" s="99">
        <v>45217</v>
      </c>
      <c r="B27" s="98" t="str">
        <f>IF(IFERROR(VLOOKUP(A27,'1.測量放樣'!C:D,1,0),"")="","","✔")</f>
        <v/>
      </c>
      <c r="C27" s="98" t="str">
        <f>IF(IFERROR(VLOOKUP(A27,'2.土方開挖'!C:D,1,0),"")="","","✔")</f>
        <v/>
      </c>
      <c r="D27" s="98" t="str">
        <f>IF(IFERROR(VLOOKUP(A27,'3.土方回填'!C:D,1,0),"")="","","✔")</f>
        <v/>
      </c>
      <c r="E27" s="98" t="str">
        <f>IF(IFERROR(VLOOKUP(A27,'4.鋼筋'!C:D,1,0),"")="","","✔")</f>
        <v/>
      </c>
      <c r="F27" s="98" t="str">
        <f>IF(IFERROR(VLOOKUP(A27,'5.模板'!C:D,1,0),"")="","","✔")</f>
        <v/>
      </c>
      <c r="G27" s="98" t="str">
        <f>IF(IFERROR(VLOOKUP(A27,'6.混凝土'!C:D,1,0),"")="","","✔")</f>
        <v/>
      </c>
      <c r="H27" s="98" t="str">
        <f>IF(IFERROR(VLOOKUP(A27,'7.植筋'!C:D,1,0),"")="","","✔")</f>
        <v/>
      </c>
      <c r="I27" s="98" t="str">
        <f>IF(IFERROR(VLOOKUP(A27,'8.預力混凝土基樁'!C:D,1,0),"")="","","✔")</f>
        <v/>
      </c>
      <c r="J27" s="98" t="str">
        <f>IF(IFERROR(VLOOKUP(A27,'9.砌塊石護岸'!C:D,1,0),"")="","","✔")</f>
        <v/>
      </c>
      <c r="K27" s="98" t="str">
        <f>IF(IFERROR(VLOOKUP(A27,'10.低水護岸'!C:D,1,0),"")="","","✔")</f>
        <v/>
      </c>
      <c r="L27" s="98" t="str">
        <f>IF(IFERROR(VLOOKUP(A27,'11.固床工'!C:D,1,0),"")="","","✔")</f>
        <v/>
      </c>
      <c r="M27" s="98" t="str">
        <f>IF(IFERROR(VLOOKUP(A27,'12.全套管基樁'!C:D,1,0),"")="","","✔")</f>
        <v/>
      </c>
      <c r="N27" s="98" t="str">
        <f>IF(IFERROR(VLOOKUP(A27,'13.鋼筋混凝土管工程'!C:D,1,0),"")="","","✔")</f>
        <v/>
      </c>
      <c r="O27" s="98" t="str">
        <f>IF(IFERROR(VLOOKUP(A27,'14.鋼版樁'!C:D,1,0),"")="","","✔")</f>
        <v/>
      </c>
      <c r="P27" s="98" t="str">
        <f>IF(IFERROR(VLOOKUP(A27,'15.路床 路基高程'!C:D,1,0),"")="","","✔")</f>
        <v/>
      </c>
      <c r="Q27" s="98" t="str">
        <f>IF(IFERROR(VLOOKUP(A27,'16.瀝青混凝土'!C:D,1,0),"")="","","✔")</f>
        <v/>
      </c>
      <c r="R27" s="98" t="str">
        <f>IF(IFERROR(VLOOKUP(A27,'17.景觀鋪面(一)'!C:D,1,0),"")="","","✔")</f>
        <v/>
      </c>
      <c r="S27" s="98" t="str">
        <f>IF(IFERROR(VLOOKUP(A27,'18.景觀鋪面(二)'!C:D,1,0),"")="","","✔")</f>
        <v/>
      </c>
      <c r="T27" s="98" t="str">
        <f>IF(IFERROR(VLOOKUP(A27,'19.預鑄緣石'!C:D,1,0),"")="","","✔")</f>
        <v/>
      </c>
      <c r="U27" s="98" t="str">
        <f>IF(IFERROR(VLOOKUP(A27,'20.鋼構工程吊裝'!C:D,1,0),"")="","","✔")</f>
        <v/>
      </c>
      <c r="V27" s="98" t="str">
        <f>IF(IFERROR(VLOOKUP(A27,'21.鋼構工程塗裝'!C:D,1,0),"")="","","✔")</f>
        <v/>
      </c>
      <c r="W27" s="98" t="str">
        <f>IF(IFERROR(VLOOKUP(A27,'22.排水設施(一)'!C:D,1,0),"")="","","✔")</f>
        <v/>
      </c>
      <c r="X27" s="98" t="str">
        <f>IF(IFERROR(VLOOKUP(A27,'23.排水設施(二)'!C:D,1,0),"")="","","✔")</f>
        <v/>
      </c>
      <c r="Y27" s="98" t="str">
        <f>IF(IFERROR(VLOOKUP(A27,'24.木構造'!C:D,1,0),"")="","","✔")</f>
        <v/>
      </c>
      <c r="Z27" s="98" t="str">
        <f>IF(IFERROR(VLOOKUP(A27,'25.管路'!C:D,1,0),"")="","","✔")</f>
        <v/>
      </c>
      <c r="AA27" s="98" t="str">
        <f>IF(IFERROR(VLOOKUP(A27,'26.植栽(移植)'!C:D,1,0),"")="","","✔")</f>
        <v/>
      </c>
      <c r="AB27" s="98" t="str">
        <f>IF(IFERROR(VLOOKUP(A27,'27.植栽(新植)'!C:D,1,0),"")="","","✔")</f>
        <v/>
      </c>
      <c r="AC27" s="98" t="str">
        <f>IF(IFERROR(VLOOKUP(A27,'28.照明'!C:D,1,0),"")="","","✔")</f>
        <v/>
      </c>
      <c r="AD27" s="98" t="str">
        <f>IF(IFERROR(VLOOKUP(A27,'29.既有橋梁拆除'!C:D,1,0),"")="","","✔")</f>
        <v>✔</v>
      </c>
    </row>
    <row r="28" spans="1:30" ht="21.75" customHeight="1" x14ac:dyDescent="0.25">
      <c r="A28" s="99">
        <v>45218</v>
      </c>
      <c r="B28" s="98" t="str">
        <f>IF(IFERROR(VLOOKUP(A28,'1.測量放樣'!C:D,1,0),"")="","","✔")</f>
        <v/>
      </c>
      <c r="C28" s="98" t="str">
        <f>IF(IFERROR(VLOOKUP(A28,'2.土方開挖'!C:D,1,0),"")="","","✔")</f>
        <v/>
      </c>
      <c r="D28" s="98" t="str">
        <f>IF(IFERROR(VLOOKUP(A28,'3.土方回填'!C:D,1,0),"")="","","✔")</f>
        <v/>
      </c>
      <c r="E28" s="98" t="str">
        <f>IF(IFERROR(VLOOKUP(A28,'4.鋼筋'!C:D,1,0),"")="","","✔")</f>
        <v/>
      </c>
      <c r="F28" s="98" t="str">
        <f>IF(IFERROR(VLOOKUP(A28,'5.模板'!C:D,1,0),"")="","","✔")</f>
        <v/>
      </c>
      <c r="G28" s="98" t="str">
        <f>IF(IFERROR(VLOOKUP(A28,'6.混凝土'!C:D,1,0),"")="","","✔")</f>
        <v/>
      </c>
      <c r="H28" s="98" t="str">
        <f>IF(IFERROR(VLOOKUP(A28,'7.植筋'!C:D,1,0),"")="","","✔")</f>
        <v/>
      </c>
      <c r="I28" s="98" t="str">
        <f>IF(IFERROR(VLOOKUP(A28,'8.預力混凝土基樁'!C:D,1,0),"")="","","✔")</f>
        <v/>
      </c>
      <c r="J28" s="98" t="str">
        <f>IF(IFERROR(VLOOKUP(A28,'9.砌塊石護岸'!C:D,1,0),"")="","","✔")</f>
        <v/>
      </c>
      <c r="K28" s="98" t="str">
        <f>IF(IFERROR(VLOOKUP(A28,'10.低水護岸'!C:D,1,0),"")="","","✔")</f>
        <v/>
      </c>
      <c r="L28" s="98" t="str">
        <f>IF(IFERROR(VLOOKUP(A28,'11.固床工'!C:D,1,0),"")="","","✔")</f>
        <v/>
      </c>
      <c r="M28" s="98" t="str">
        <f>IF(IFERROR(VLOOKUP(A28,'12.全套管基樁'!C:D,1,0),"")="","","✔")</f>
        <v/>
      </c>
      <c r="N28" s="98" t="str">
        <f>IF(IFERROR(VLOOKUP(A28,'13.鋼筋混凝土管工程'!C:D,1,0),"")="","","✔")</f>
        <v/>
      </c>
      <c r="O28" s="98" t="str">
        <f>IF(IFERROR(VLOOKUP(A28,'14.鋼版樁'!C:D,1,0),"")="","","✔")</f>
        <v/>
      </c>
      <c r="P28" s="98" t="str">
        <f>IF(IFERROR(VLOOKUP(A28,'15.路床 路基高程'!C:D,1,0),"")="","","✔")</f>
        <v/>
      </c>
      <c r="Q28" s="98" t="str">
        <f>IF(IFERROR(VLOOKUP(A28,'16.瀝青混凝土'!C:D,1,0),"")="","","✔")</f>
        <v/>
      </c>
      <c r="R28" s="98" t="str">
        <f>IF(IFERROR(VLOOKUP(A28,'17.景觀鋪面(一)'!C:D,1,0),"")="","","✔")</f>
        <v/>
      </c>
      <c r="S28" s="98" t="str">
        <f>IF(IFERROR(VLOOKUP(A28,'18.景觀鋪面(二)'!C:D,1,0),"")="","","✔")</f>
        <v/>
      </c>
      <c r="T28" s="98" t="str">
        <f>IF(IFERROR(VLOOKUP(A28,'19.預鑄緣石'!C:D,1,0),"")="","","✔")</f>
        <v/>
      </c>
      <c r="U28" s="98" t="str">
        <f>IF(IFERROR(VLOOKUP(A28,'20.鋼構工程吊裝'!C:D,1,0),"")="","","✔")</f>
        <v/>
      </c>
      <c r="V28" s="98" t="str">
        <f>IF(IFERROR(VLOOKUP(A28,'21.鋼構工程塗裝'!C:D,1,0),"")="","","✔")</f>
        <v/>
      </c>
      <c r="W28" s="98" t="str">
        <f>IF(IFERROR(VLOOKUP(A28,'22.排水設施(一)'!C:D,1,0),"")="","","✔")</f>
        <v/>
      </c>
      <c r="X28" s="98" t="str">
        <f>IF(IFERROR(VLOOKUP(A28,'23.排水設施(二)'!C:D,1,0),"")="","","✔")</f>
        <v/>
      </c>
      <c r="Y28" s="98" t="str">
        <f>IF(IFERROR(VLOOKUP(A28,'24.木構造'!C:D,1,0),"")="","","✔")</f>
        <v/>
      </c>
      <c r="Z28" s="98" t="str">
        <f>IF(IFERROR(VLOOKUP(A28,'25.管路'!C:D,1,0),"")="","","✔")</f>
        <v/>
      </c>
      <c r="AA28" s="98" t="str">
        <f>IF(IFERROR(VLOOKUP(A28,'26.植栽(移植)'!C:D,1,0),"")="","","✔")</f>
        <v/>
      </c>
      <c r="AB28" s="98" t="str">
        <f>IF(IFERROR(VLOOKUP(A28,'27.植栽(新植)'!C:D,1,0),"")="","","✔")</f>
        <v/>
      </c>
      <c r="AC28" s="98" t="str">
        <f>IF(IFERROR(VLOOKUP(A28,'28.照明'!C:D,1,0),"")="","","✔")</f>
        <v/>
      </c>
      <c r="AD28" s="98" t="str">
        <f>IF(IFERROR(VLOOKUP(A28,'29.既有橋梁拆除'!C:D,1,0),"")="","","✔")</f>
        <v>✔</v>
      </c>
    </row>
    <row r="29" spans="1:30" ht="21.75" customHeight="1" x14ac:dyDescent="0.25">
      <c r="A29" s="99">
        <v>45219</v>
      </c>
      <c r="B29" s="98" t="str">
        <f>IF(IFERROR(VLOOKUP(A29,'1.測量放樣'!C:D,1,0),"")="","","✔")</f>
        <v/>
      </c>
      <c r="C29" s="98" t="str">
        <f>IF(IFERROR(VLOOKUP(A29,'2.土方開挖'!C:D,1,0),"")="","","✔")</f>
        <v/>
      </c>
      <c r="D29" s="98" t="str">
        <f>IF(IFERROR(VLOOKUP(A29,'3.土方回填'!C:D,1,0),"")="","","✔")</f>
        <v/>
      </c>
      <c r="E29" s="98" t="str">
        <f>IF(IFERROR(VLOOKUP(A29,'4.鋼筋'!C:D,1,0),"")="","","✔")</f>
        <v/>
      </c>
      <c r="F29" s="98" t="str">
        <f>IF(IFERROR(VLOOKUP(A29,'5.模板'!C:D,1,0),"")="","","✔")</f>
        <v/>
      </c>
      <c r="G29" s="98" t="str">
        <f>IF(IFERROR(VLOOKUP(A29,'6.混凝土'!C:D,1,0),"")="","","✔")</f>
        <v/>
      </c>
      <c r="H29" s="98" t="str">
        <f>IF(IFERROR(VLOOKUP(A29,'7.植筋'!C:D,1,0),"")="","","✔")</f>
        <v/>
      </c>
      <c r="I29" s="98" t="str">
        <f>IF(IFERROR(VLOOKUP(A29,'8.預力混凝土基樁'!C:D,1,0),"")="","","✔")</f>
        <v/>
      </c>
      <c r="J29" s="98" t="str">
        <f>IF(IFERROR(VLOOKUP(A29,'9.砌塊石護岸'!C:D,1,0),"")="","","✔")</f>
        <v/>
      </c>
      <c r="K29" s="98" t="str">
        <f>IF(IFERROR(VLOOKUP(A29,'10.低水護岸'!C:D,1,0),"")="","","✔")</f>
        <v/>
      </c>
      <c r="L29" s="98" t="str">
        <f>IF(IFERROR(VLOOKUP(A29,'11.固床工'!C:D,1,0),"")="","","✔")</f>
        <v/>
      </c>
      <c r="M29" s="98" t="str">
        <f>IF(IFERROR(VLOOKUP(A29,'12.全套管基樁'!C:D,1,0),"")="","","✔")</f>
        <v/>
      </c>
      <c r="N29" s="98" t="str">
        <f>IF(IFERROR(VLOOKUP(A29,'13.鋼筋混凝土管工程'!C:D,1,0),"")="","","✔")</f>
        <v/>
      </c>
      <c r="O29" s="98" t="str">
        <f>IF(IFERROR(VLOOKUP(A29,'14.鋼版樁'!C:D,1,0),"")="","","✔")</f>
        <v/>
      </c>
      <c r="P29" s="98" t="str">
        <f>IF(IFERROR(VLOOKUP(A29,'15.路床 路基高程'!C:D,1,0),"")="","","✔")</f>
        <v/>
      </c>
      <c r="Q29" s="98" t="str">
        <f>IF(IFERROR(VLOOKUP(A29,'16.瀝青混凝土'!C:D,1,0),"")="","","✔")</f>
        <v/>
      </c>
      <c r="R29" s="98" t="str">
        <f>IF(IFERROR(VLOOKUP(A29,'17.景觀鋪面(一)'!C:D,1,0),"")="","","✔")</f>
        <v/>
      </c>
      <c r="S29" s="98" t="str">
        <f>IF(IFERROR(VLOOKUP(A29,'18.景觀鋪面(二)'!C:D,1,0),"")="","","✔")</f>
        <v/>
      </c>
      <c r="T29" s="98" t="str">
        <f>IF(IFERROR(VLOOKUP(A29,'19.預鑄緣石'!C:D,1,0),"")="","","✔")</f>
        <v/>
      </c>
      <c r="U29" s="98" t="str">
        <f>IF(IFERROR(VLOOKUP(A29,'20.鋼構工程吊裝'!C:D,1,0),"")="","","✔")</f>
        <v/>
      </c>
      <c r="V29" s="98" t="str">
        <f>IF(IFERROR(VLOOKUP(A29,'21.鋼構工程塗裝'!C:D,1,0),"")="","","✔")</f>
        <v/>
      </c>
      <c r="W29" s="98" t="str">
        <f>IF(IFERROR(VLOOKUP(A29,'22.排水設施(一)'!C:D,1,0),"")="","","✔")</f>
        <v/>
      </c>
      <c r="X29" s="98" t="str">
        <f>IF(IFERROR(VLOOKUP(A29,'23.排水設施(二)'!C:D,1,0),"")="","","✔")</f>
        <v/>
      </c>
      <c r="Y29" s="98" t="str">
        <f>IF(IFERROR(VLOOKUP(A29,'24.木構造'!C:D,1,0),"")="","","✔")</f>
        <v/>
      </c>
      <c r="Z29" s="98" t="str">
        <f>IF(IFERROR(VLOOKUP(A29,'25.管路'!C:D,1,0),"")="","","✔")</f>
        <v/>
      </c>
      <c r="AA29" s="98" t="str">
        <f>IF(IFERROR(VLOOKUP(A29,'26.植栽(移植)'!C:D,1,0),"")="","","✔")</f>
        <v/>
      </c>
      <c r="AB29" s="98" t="str">
        <f>IF(IFERROR(VLOOKUP(A29,'27.植栽(新植)'!C:D,1,0),"")="","","✔")</f>
        <v/>
      </c>
      <c r="AC29" s="98" t="str">
        <f>IF(IFERROR(VLOOKUP(A29,'28.照明'!C:D,1,0),"")="","","✔")</f>
        <v/>
      </c>
      <c r="AD29" s="98" t="str">
        <f>IF(IFERROR(VLOOKUP(A29,'29.既有橋梁拆除'!C:D,1,0),"")="","","✔")</f>
        <v>✔</v>
      </c>
    </row>
    <row r="30" spans="1:30" ht="21.75" customHeight="1" x14ac:dyDescent="0.25">
      <c r="A30" s="99">
        <v>45220</v>
      </c>
      <c r="B30" s="98" t="str">
        <f>IF(IFERROR(VLOOKUP(A30,'1.測量放樣'!C:D,1,0),"")="","","✔")</f>
        <v/>
      </c>
      <c r="C30" s="98" t="str">
        <f>IF(IFERROR(VLOOKUP(A30,'2.土方開挖'!C:D,1,0),"")="","","✔")</f>
        <v/>
      </c>
      <c r="D30" s="98" t="str">
        <f>IF(IFERROR(VLOOKUP(A30,'3.土方回填'!C:D,1,0),"")="","","✔")</f>
        <v/>
      </c>
      <c r="E30" s="98" t="str">
        <f>IF(IFERROR(VLOOKUP(A30,'4.鋼筋'!C:D,1,0),"")="","","✔")</f>
        <v/>
      </c>
      <c r="F30" s="98" t="str">
        <f>IF(IFERROR(VLOOKUP(A30,'5.模板'!C:D,1,0),"")="","","✔")</f>
        <v/>
      </c>
      <c r="G30" s="98" t="str">
        <f>IF(IFERROR(VLOOKUP(A30,'6.混凝土'!C:D,1,0),"")="","","✔")</f>
        <v/>
      </c>
      <c r="H30" s="98" t="str">
        <f>IF(IFERROR(VLOOKUP(A30,'7.植筋'!C:D,1,0),"")="","","✔")</f>
        <v/>
      </c>
      <c r="I30" s="98" t="str">
        <f>IF(IFERROR(VLOOKUP(A30,'8.預力混凝土基樁'!C:D,1,0),"")="","","✔")</f>
        <v/>
      </c>
      <c r="J30" s="98" t="str">
        <f>IF(IFERROR(VLOOKUP(A30,'9.砌塊石護岸'!C:D,1,0),"")="","","✔")</f>
        <v/>
      </c>
      <c r="K30" s="98" t="str">
        <f>IF(IFERROR(VLOOKUP(A30,'10.低水護岸'!C:D,1,0),"")="","","✔")</f>
        <v/>
      </c>
      <c r="L30" s="98" t="str">
        <f>IF(IFERROR(VLOOKUP(A30,'11.固床工'!C:D,1,0),"")="","","✔")</f>
        <v/>
      </c>
      <c r="M30" s="98" t="str">
        <f>IF(IFERROR(VLOOKUP(A30,'12.全套管基樁'!C:D,1,0),"")="","","✔")</f>
        <v/>
      </c>
      <c r="N30" s="98" t="str">
        <f>IF(IFERROR(VLOOKUP(A30,'13.鋼筋混凝土管工程'!C:D,1,0),"")="","","✔")</f>
        <v/>
      </c>
      <c r="O30" s="98" t="str">
        <f>IF(IFERROR(VLOOKUP(A30,'14.鋼版樁'!C:D,1,0),"")="","","✔")</f>
        <v/>
      </c>
      <c r="P30" s="98" t="str">
        <f>IF(IFERROR(VLOOKUP(A30,'15.路床 路基高程'!C:D,1,0),"")="","","✔")</f>
        <v/>
      </c>
      <c r="Q30" s="98" t="str">
        <f>IF(IFERROR(VLOOKUP(A30,'16.瀝青混凝土'!C:D,1,0),"")="","","✔")</f>
        <v/>
      </c>
      <c r="R30" s="98" t="str">
        <f>IF(IFERROR(VLOOKUP(A30,'17.景觀鋪面(一)'!C:D,1,0),"")="","","✔")</f>
        <v/>
      </c>
      <c r="S30" s="98" t="str">
        <f>IF(IFERROR(VLOOKUP(A30,'18.景觀鋪面(二)'!C:D,1,0),"")="","","✔")</f>
        <v/>
      </c>
      <c r="T30" s="98" t="str">
        <f>IF(IFERROR(VLOOKUP(A30,'19.預鑄緣石'!C:D,1,0),"")="","","✔")</f>
        <v/>
      </c>
      <c r="U30" s="98" t="str">
        <f>IF(IFERROR(VLOOKUP(A30,'20.鋼構工程吊裝'!C:D,1,0),"")="","","✔")</f>
        <v/>
      </c>
      <c r="V30" s="98" t="str">
        <f>IF(IFERROR(VLOOKUP(A30,'21.鋼構工程塗裝'!C:D,1,0),"")="","","✔")</f>
        <v/>
      </c>
      <c r="W30" s="98" t="str">
        <f>IF(IFERROR(VLOOKUP(A30,'22.排水設施(一)'!C:D,1,0),"")="","","✔")</f>
        <v/>
      </c>
      <c r="X30" s="98" t="str">
        <f>IF(IFERROR(VLOOKUP(A30,'23.排水設施(二)'!C:D,1,0),"")="","","✔")</f>
        <v/>
      </c>
      <c r="Y30" s="98" t="str">
        <f>IF(IFERROR(VLOOKUP(A30,'24.木構造'!C:D,1,0),"")="","","✔")</f>
        <v/>
      </c>
      <c r="Z30" s="98" t="str">
        <f>IF(IFERROR(VLOOKUP(A30,'25.管路'!C:D,1,0),"")="","","✔")</f>
        <v/>
      </c>
      <c r="AA30" s="98" t="str">
        <f>IF(IFERROR(VLOOKUP(A30,'26.植栽(移植)'!C:D,1,0),"")="","","✔")</f>
        <v/>
      </c>
      <c r="AB30" s="98" t="str">
        <f>IF(IFERROR(VLOOKUP(A30,'27.植栽(新植)'!C:D,1,0),"")="","","✔")</f>
        <v/>
      </c>
      <c r="AC30" s="98" t="str">
        <f>IF(IFERROR(VLOOKUP(A30,'28.照明'!C:D,1,0),"")="","","✔")</f>
        <v/>
      </c>
      <c r="AD30" s="98" t="str">
        <f>IF(IFERROR(VLOOKUP(A30,'29.既有橋梁拆除'!C:D,1,0),"")="","","✔")</f>
        <v>✔</v>
      </c>
    </row>
    <row r="31" spans="1:30" ht="21.75" customHeight="1" x14ac:dyDescent="0.25">
      <c r="A31" s="99">
        <v>45221</v>
      </c>
      <c r="B31" s="98" t="str">
        <f>IF(IFERROR(VLOOKUP(A31,'1.測量放樣'!C:D,1,0),"")="","","✔")</f>
        <v/>
      </c>
      <c r="C31" s="98" t="str">
        <f>IF(IFERROR(VLOOKUP(A31,'2.土方開挖'!C:D,1,0),"")="","","✔")</f>
        <v/>
      </c>
      <c r="D31" s="98" t="str">
        <f>IF(IFERROR(VLOOKUP(A31,'3.土方回填'!C:D,1,0),"")="","","✔")</f>
        <v/>
      </c>
      <c r="E31" s="98" t="str">
        <f>IF(IFERROR(VLOOKUP(A31,'4.鋼筋'!C:D,1,0),"")="","","✔")</f>
        <v/>
      </c>
      <c r="F31" s="98" t="str">
        <f>IF(IFERROR(VLOOKUP(A31,'5.模板'!C:D,1,0),"")="","","✔")</f>
        <v/>
      </c>
      <c r="G31" s="98" t="str">
        <f>IF(IFERROR(VLOOKUP(A31,'6.混凝土'!C:D,1,0),"")="","","✔")</f>
        <v/>
      </c>
      <c r="H31" s="98" t="str">
        <f>IF(IFERROR(VLOOKUP(A31,'7.植筋'!C:D,1,0),"")="","","✔")</f>
        <v/>
      </c>
      <c r="I31" s="98" t="str">
        <f>IF(IFERROR(VLOOKUP(A31,'8.預力混凝土基樁'!C:D,1,0),"")="","","✔")</f>
        <v/>
      </c>
      <c r="J31" s="98" t="str">
        <f>IF(IFERROR(VLOOKUP(A31,'9.砌塊石護岸'!C:D,1,0),"")="","","✔")</f>
        <v/>
      </c>
      <c r="K31" s="98" t="str">
        <f>IF(IFERROR(VLOOKUP(A31,'10.低水護岸'!C:D,1,0),"")="","","✔")</f>
        <v/>
      </c>
      <c r="L31" s="98" t="str">
        <f>IF(IFERROR(VLOOKUP(A31,'11.固床工'!C:D,1,0),"")="","","✔")</f>
        <v/>
      </c>
      <c r="M31" s="98" t="str">
        <f>IF(IFERROR(VLOOKUP(A31,'12.全套管基樁'!C:D,1,0),"")="","","✔")</f>
        <v/>
      </c>
      <c r="N31" s="98" t="str">
        <f>IF(IFERROR(VLOOKUP(A31,'13.鋼筋混凝土管工程'!C:D,1,0),"")="","","✔")</f>
        <v/>
      </c>
      <c r="O31" s="98" t="str">
        <f>IF(IFERROR(VLOOKUP(A31,'14.鋼版樁'!C:D,1,0),"")="","","✔")</f>
        <v/>
      </c>
      <c r="P31" s="98" t="str">
        <f>IF(IFERROR(VLOOKUP(A31,'15.路床 路基高程'!C:D,1,0),"")="","","✔")</f>
        <v/>
      </c>
      <c r="Q31" s="98" t="str">
        <f>IF(IFERROR(VLOOKUP(A31,'16.瀝青混凝土'!C:D,1,0),"")="","","✔")</f>
        <v/>
      </c>
      <c r="R31" s="98" t="str">
        <f>IF(IFERROR(VLOOKUP(A31,'17.景觀鋪面(一)'!C:D,1,0),"")="","","✔")</f>
        <v/>
      </c>
      <c r="S31" s="98" t="str">
        <f>IF(IFERROR(VLOOKUP(A31,'18.景觀鋪面(二)'!C:D,1,0),"")="","","✔")</f>
        <v/>
      </c>
      <c r="T31" s="98" t="str">
        <f>IF(IFERROR(VLOOKUP(A31,'19.預鑄緣石'!C:D,1,0),"")="","","✔")</f>
        <v/>
      </c>
      <c r="U31" s="98" t="str">
        <f>IF(IFERROR(VLOOKUP(A31,'20.鋼構工程吊裝'!C:D,1,0),"")="","","✔")</f>
        <v/>
      </c>
      <c r="V31" s="98" t="str">
        <f>IF(IFERROR(VLOOKUP(A31,'21.鋼構工程塗裝'!C:D,1,0),"")="","","✔")</f>
        <v/>
      </c>
      <c r="W31" s="98" t="str">
        <f>IF(IFERROR(VLOOKUP(A31,'22.排水設施(一)'!C:D,1,0),"")="","","✔")</f>
        <v/>
      </c>
      <c r="X31" s="98" t="str">
        <f>IF(IFERROR(VLOOKUP(A31,'23.排水設施(二)'!C:D,1,0),"")="","","✔")</f>
        <v/>
      </c>
      <c r="Y31" s="98" t="str">
        <f>IF(IFERROR(VLOOKUP(A31,'24.木構造'!C:D,1,0),"")="","","✔")</f>
        <v/>
      </c>
      <c r="Z31" s="98" t="str">
        <f>IF(IFERROR(VLOOKUP(A31,'25.管路'!C:D,1,0),"")="","","✔")</f>
        <v/>
      </c>
      <c r="AA31" s="98" t="str">
        <f>IF(IFERROR(VLOOKUP(A31,'26.植栽(移植)'!C:D,1,0),"")="","","✔")</f>
        <v/>
      </c>
      <c r="AB31" s="98" t="str">
        <f>IF(IFERROR(VLOOKUP(A31,'27.植栽(新植)'!C:D,1,0),"")="","","✔")</f>
        <v/>
      </c>
      <c r="AC31" s="98" t="str">
        <f>IF(IFERROR(VLOOKUP(A31,'28.照明'!C:D,1,0),"")="","","✔")</f>
        <v/>
      </c>
      <c r="AD31" s="98" t="str">
        <f>IF(IFERROR(VLOOKUP(A31,'29.既有橋梁拆除'!C:D,1,0),"")="","","✔")</f>
        <v>✔</v>
      </c>
    </row>
    <row r="32" spans="1:30" ht="21.75" customHeight="1" x14ac:dyDescent="0.25">
      <c r="A32" s="99">
        <v>45222</v>
      </c>
      <c r="B32" s="98" t="str">
        <f>IF(IFERROR(VLOOKUP(A32,'1.測量放樣'!C:D,1,0),"")="","","✔")</f>
        <v/>
      </c>
      <c r="C32" s="98" t="str">
        <f>IF(IFERROR(VLOOKUP(A32,'2.土方開挖'!C:D,1,0),"")="","","✔")</f>
        <v/>
      </c>
      <c r="D32" s="98" t="str">
        <f>IF(IFERROR(VLOOKUP(A32,'3.土方回填'!C:D,1,0),"")="","","✔")</f>
        <v/>
      </c>
      <c r="E32" s="98" t="str">
        <f>IF(IFERROR(VLOOKUP(A32,'4.鋼筋'!C:D,1,0),"")="","","✔")</f>
        <v/>
      </c>
      <c r="F32" s="98" t="str">
        <f>IF(IFERROR(VLOOKUP(A32,'5.模板'!C:D,1,0),"")="","","✔")</f>
        <v/>
      </c>
      <c r="G32" s="98" t="str">
        <f>IF(IFERROR(VLOOKUP(A32,'6.混凝土'!C:D,1,0),"")="","","✔")</f>
        <v/>
      </c>
      <c r="H32" s="98" t="str">
        <f>IF(IFERROR(VLOOKUP(A32,'7.植筋'!C:D,1,0),"")="","","✔")</f>
        <v/>
      </c>
      <c r="I32" s="98" t="str">
        <f>IF(IFERROR(VLOOKUP(A32,'8.預力混凝土基樁'!C:D,1,0),"")="","","✔")</f>
        <v/>
      </c>
      <c r="J32" s="98" t="str">
        <f>IF(IFERROR(VLOOKUP(A32,'9.砌塊石護岸'!C:D,1,0),"")="","","✔")</f>
        <v/>
      </c>
      <c r="K32" s="98" t="str">
        <f>IF(IFERROR(VLOOKUP(A32,'10.低水護岸'!C:D,1,0),"")="","","✔")</f>
        <v/>
      </c>
      <c r="L32" s="98" t="str">
        <f>IF(IFERROR(VLOOKUP(A32,'11.固床工'!C:D,1,0),"")="","","✔")</f>
        <v/>
      </c>
      <c r="M32" s="98" t="str">
        <f>IF(IFERROR(VLOOKUP(A32,'12.全套管基樁'!C:D,1,0),"")="","","✔")</f>
        <v/>
      </c>
      <c r="N32" s="98" t="str">
        <f>IF(IFERROR(VLOOKUP(A32,'13.鋼筋混凝土管工程'!C:D,1,0),"")="","","✔")</f>
        <v/>
      </c>
      <c r="O32" s="98" t="str">
        <f>IF(IFERROR(VLOOKUP(A32,'14.鋼版樁'!C:D,1,0),"")="","","✔")</f>
        <v/>
      </c>
      <c r="P32" s="98" t="str">
        <f>IF(IFERROR(VLOOKUP(A32,'15.路床 路基高程'!C:D,1,0),"")="","","✔")</f>
        <v/>
      </c>
      <c r="Q32" s="98" t="str">
        <f>IF(IFERROR(VLOOKUP(A32,'16.瀝青混凝土'!C:D,1,0),"")="","","✔")</f>
        <v/>
      </c>
      <c r="R32" s="98" t="str">
        <f>IF(IFERROR(VLOOKUP(A32,'17.景觀鋪面(一)'!C:D,1,0),"")="","","✔")</f>
        <v/>
      </c>
      <c r="S32" s="98" t="str">
        <f>IF(IFERROR(VLOOKUP(A32,'18.景觀鋪面(二)'!C:D,1,0),"")="","","✔")</f>
        <v/>
      </c>
      <c r="T32" s="98" t="str">
        <f>IF(IFERROR(VLOOKUP(A32,'19.預鑄緣石'!C:D,1,0),"")="","","✔")</f>
        <v/>
      </c>
      <c r="U32" s="98" t="str">
        <f>IF(IFERROR(VLOOKUP(A32,'20.鋼構工程吊裝'!C:D,1,0),"")="","","✔")</f>
        <v/>
      </c>
      <c r="V32" s="98" t="str">
        <f>IF(IFERROR(VLOOKUP(A32,'21.鋼構工程塗裝'!C:D,1,0),"")="","","✔")</f>
        <v/>
      </c>
      <c r="W32" s="98" t="str">
        <f>IF(IFERROR(VLOOKUP(A32,'22.排水設施(一)'!C:D,1,0),"")="","","✔")</f>
        <v/>
      </c>
      <c r="X32" s="98" t="str">
        <f>IF(IFERROR(VLOOKUP(A32,'23.排水設施(二)'!C:D,1,0),"")="","","✔")</f>
        <v/>
      </c>
      <c r="Y32" s="98" t="str">
        <f>IF(IFERROR(VLOOKUP(A32,'24.木構造'!C:D,1,0),"")="","","✔")</f>
        <v/>
      </c>
      <c r="Z32" s="98" t="str">
        <f>IF(IFERROR(VLOOKUP(A32,'25.管路'!C:D,1,0),"")="","","✔")</f>
        <v/>
      </c>
      <c r="AA32" s="98" t="str">
        <f>IF(IFERROR(VLOOKUP(A32,'26.植栽(移植)'!C:D,1,0),"")="","","✔")</f>
        <v/>
      </c>
      <c r="AB32" s="98" t="str">
        <f>IF(IFERROR(VLOOKUP(A32,'27.植栽(新植)'!C:D,1,0),"")="","","✔")</f>
        <v/>
      </c>
      <c r="AC32" s="98" t="str">
        <f>IF(IFERROR(VLOOKUP(A32,'28.照明'!C:D,1,0),"")="","","✔")</f>
        <v/>
      </c>
      <c r="AD32" s="98" t="str">
        <f>IF(IFERROR(VLOOKUP(A32,'29.既有橋梁拆除'!C:D,1,0),"")="","","✔")</f>
        <v>✔</v>
      </c>
    </row>
    <row r="33" spans="1:30" ht="21.75" customHeight="1" x14ac:dyDescent="0.25">
      <c r="A33" s="99">
        <v>45223</v>
      </c>
      <c r="B33" s="98" t="str">
        <f>IF(IFERROR(VLOOKUP(A33,'1.測量放樣'!C:D,1,0),"")="","","✔")</f>
        <v/>
      </c>
      <c r="C33" s="98" t="str">
        <f>IF(IFERROR(VLOOKUP(A33,'2.土方開挖'!C:D,1,0),"")="","","✔")</f>
        <v/>
      </c>
      <c r="D33" s="98" t="str">
        <f>IF(IFERROR(VLOOKUP(A33,'3.土方回填'!C:D,1,0),"")="","","✔")</f>
        <v/>
      </c>
      <c r="E33" s="98" t="str">
        <f>IF(IFERROR(VLOOKUP(A33,'4.鋼筋'!C:D,1,0),"")="","","✔")</f>
        <v/>
      </c>
      <c r="F33" s="98" t="str">
        <f>IF(IFERROR(VLOOKUP(A33,'5.模板'!C:D,1,0),"")="","","✔")</f>
        <v/>
      </c>
      <c r="G33" s="98" t="str">
        <f>IF(IFERROR(VLOOKUP(A33,'6.混凝土'!C:D,1,0),"")="","","✔")</f>
        <v/>
      </c>
      <c r="H33" s="98" t="str">
        <f>IF(IFERROR(VLOOKUP(A33,'7.植筋'!C:D,1,0),"")="","","✔")</f>
        <v/>
      </c>
      <c r="I33" s="98" t="str">
        <f>IF(IFERROR(VLOOKUP(A33,'8.預力混凝土基樁'!C:D,1,0),"")="","","✔")</f>
        <v/>
      </c>
      <c r="J33" s="98" t="str">
        <f>IF(IFERROR(VLOOKUP(A33,'9.砌塊石護岸'!C:D,1,0),"")="","","✔")</f>
        <v/>
      </c>
      <c r="K33" s="98" t="str">
        <f>IF(IFERROR(VLOOKUP(A33,'10.低水護岸'!C:D,1,0),"")="","","✔")</f>
        <v/>
      </c>
      <c r="L33" s="98" t="str">
        <f>IF(IFERROR(VLOOKUP(A33,'11.固床工'!C:D,1,0),"")="","","✔")</f>
        <v/>
      </c>
      <c r="M33" s="98" t="str">
        <f>IF(IFERROR(VLOOKUP(A33,'12.全套管基樁'!C:D,1,0),"")="","","✔")</f>
        <v/>
      </c>
      <c r="N33" s="98" t="str">
        <f>IF(IFERROR(VLOOKUP(A33,'13.鋼筋混凝土管工程'!C:D,1,0),"")="","","✔")</f>
        <v/>
      </c>
      <c r="O33" s="98" t="str">
        <f>IF(IFERROR(VLOOKUP(A33,'14.鋼版樁'!C:D,1,0),"")="","","✔")</f>
        <v/>
      </c>
      <c r="P33" s="98" t="str">
        <f>IF(IFERROR(VLOOKUP(A33,'15.路床 路基高程'!C:D,1,0),"")="","","✔")</f>
        <v/>
      </c>
      <c r="Q33" s="98" t="str">
        <f>IF(IFERROR(VLOOKUP(A33,'16.瀝青混凝土'!C:D,1,0),"")="","","✔")</f>
        <v/>
      </c>
      <c r="R33" s="98" t="str">
        <f>IF(IFERROR(VLOOKUP(A33,'17.景觀鋪面(一)'!C:D,1,0),"")="","","✔")</f>
        <v/>
      </c>
      <c r="S33" s="98" t="str">
        <f>IF(IFERROR(VLOOKUP(A33,'18.景觀鋪面(二)'!C:D,1,0),"")="","","✔")</f>
        <v/>
      </c>
      <c r="T33" s="98" t="str">
        <f>IF(IFERROR(VLOOKUP(A33,'19.預鑄緣石'!C:D,1,0),"")="","","✔")</f>
        <v/>
      </c>
      <c r="U33" s="98" t="str">
        <f>IF(IFERROR(VLOOKUP(A33,'20.鋼構工程吊裝'!C:D,1,0),"")="","","✔")</f>
        <v/>
      </c>
      <c r="V33" s="98" t="str">
        <f>IF(IFERROR(VLOOKUP(A33,'21.鋼構工程塗裝'!C:D,1,0),"")="","","✔")</f>
        <v/>
      </c>
      <c r="W33" s="98" t="str">
        <f>IF(IFERROR(VLOOKUP(A33,'22.排水設施(一)'!C:D,1,0),"")="","","✔")</f>
        <v/>
      </c>
      <c r="X33" s="98" t="str">
        <f>IF(IFERROR(VLOOKUP(A33,'23.排水設施(二)'!C:D,1,0),"")="","","✔")</f>
        <v/>
      </c>
      <c r="Y33" s="98" t="str">
        <f>IF(IFERROR(VLOOKUP(A33,'24.木構造'!C:D,1,0),"")="","","✔")</f>
        <v/>
      </c>
      <c r="Z33" s="98" t="str">
        <f>IF(IFERROR(VLOOKUP(A33,'25.管路'!C:D,1,0),"")="","","✔")</f>
        <v/>
      </c>
      <c r="AA33" s="98" t="str">
        <f>IF(IFERROR(VLOOKUP(A33,'26.植栽(移植)'!C:D,1,0),"")="","","✔")</f>
        <v/>
      </c>
      <c r="AB33" s="98" t="str">
        <f>IF(IFERROR(VLOOKUP(A33,'27.植栽(新植)'!C:D,1,0),"")="","","✔")</f>
        <v/>
      </c>
      <c r="AC33" s="98" t="str">
        <f>IF(IFERROR(VLOOKUP(A33,'28.照明'!C:D,1,0),"")="","","✔")</f>
        <v/>
      </c>
      <c r="AD33" s="98" t="str">
        <f>IF(IFERROR(VLOOKUP(A33,'29.既有橋梁拆除'!C:D,1,0),"")="","","✔")</f>
        <v>✔</v>
      </c>
    </row>
    <row r="34" spans="1:30" ht="21.75" customHeight="1" x14ac:dyDescent="0.25">
      <c r="A34" s="99">
        <v>45224</v>
      </c>
      <c r="B34" s="98" t="str">
        <f>IF(IFERROR(VLOOKUP(A34,'1.測量放樣'!C:D,1,0),"")="","","✔")</f>
        <v/>
      </c>
      <c r="C34" s="98" t="str">
        <f>IF(IFERROR(VLOOKUP(A34,'2.土方開挖'!C:D,1,0),"")="","","✔")</f>
        <v/>
      </c>
      <c r="D34" s="98" t="str">
        <f>IF(IFERROR(VLOOKUP(A34,'3.土方回填'!C:D,1,0),"")="","","✔")</f>
        <v/>
      </c>
      <c r="E34" s="98" t="str">
        <f>IF(IFERROR(VLOOKUP(A34,'4.鋼筋'!C:D,1,0),"")="","","✔")</f>
        <v/>
      </c>
      <c r="F34" s="98" t="str">
        <f>IF(IFERROR(VLOOKUP(A34,'5.模板'!C:D,1,0),"")="","","✔")</f>
        <v/>
      </c>
      <c r="G34" s="98" t="str">
        <f>IF(IFERROR(VLOOKUP(A34,'6.混凝土'!C:D,1,0),"")="","","✔")</f>
        <v/>
      </c>
      <c r="H34" s="98" t="str">
        <f>IF(IFERROR(VLOOKUP(A34,'7.植筋'!C:D,1,0),"")="","","✔")</f>
        <v/>
      </c>
      <c r="I34" s="98" t="str">
        <f>IF(IFERROR(VLOOKUP(A34,'8.預力混凝土基樁'!C:D,1,0),"")="","","✔")</f>
        <v/>
      </c>
      <c r="J34" s="98" t="str">
        <f>IF(IFERROR(VLOOKUP(A34,'9.砌塊石護岸'!C:D,1,0),"")="","","✔")</f>
        <v/>
      </c>
      <c r="K34" s="98" t="str">
        <f>IF(IFERROR(VLOOKUP(A34,'10.低水護岸'!C:D,1,0),"")="","","✔")</f>
        <v/>
      </c>
      <c r="L34" s="98" t="str">
        <f>IF(IFERROR(VLOOKUP(A34,'11.固床工'!C:D,1,0),"")="","","✔")</f>
        <v/>
      </c>
      <c r="M34" s="98" t="str">
        <f>IF(IFERROR(VLOOKUP(A34,'12.全套管基樁'!C:D,1,0),"")="","","✔")</f>
        <v/>
      </c>
      <c r="N34" s="98" t="str">
        <f>IF(IFERROR(VLOOKUP(A34,'13.鋼筋混凝土管工程'!C:D,1,0),"")="","","✔")</f>
        <v/>
      </c>
      <c r="O34" s="98" t="str">
        <f>IF(IFERROR(VLOOKUP(A34,'14.鋼版樁'!C:D,1,0),"")="","","✔")</f>
        <v/>
      </c>
      <c r="P34" s="98" t="str">
        <f>IF(IFERROR(VLOOKUP(A34,'15.路床 路基高程'!C:D,1,0),"")="","","✔")</f>
        <v/>
      </c>
      <c r="Q34" s="98" t="str">
        <f>IF(IFERROR(VLOOKUP(A34,'16.瀝青混凝土'!C:D,1,0),"")="","","✔")</f>
        <v/>
      </c>
      <c r="R34" s="98" t="str">
        <f>IF(IFERROR(VLOOKUP(A34,'17.景觀鋪面(一)'!C:D,1,0),"")="","","✔")</f>
        <v/>
      </c>
      <c r="S34" s="98" t="str">
        <f>IF(IFERROR(VLOOKUP(A34,'18.景觀鋪面(二)'!C:D,1,0),"")="","","✔")</f>
        <v/>
      </c>
      <c r="T34" s="98" t="str">
        <f>IF(IFERROR(VLOOKUP(A34,'19.預鑄緣石'!C:D,1,0),"")="","","✔")</f>
        <v/>
      </c>
      <c r="U34" s="98" t="str">
        <f>IF(IFERROR(VLOOKUP(A34,'20.鋼構工程吊裝'!C:D,1,0),"")="","","✔")</f>
        <v/>
      </c>
      <c r="V34" s="98" t="str">
        <f>IF(IFERROR(VLOOKUP(A34,'21.鋼構工程塗裝'!C:D,1,0),"")="","","✔")</f>
        <v/>
      </c>
      <c r="W34" s="98" t="str">
        <f>IF(IFERROR(VLOOKUP(A34,'22.排水設施(一)'!C:D,1,0),"")="","","✔")</f>
        <v/>
      </c>
      <c r="X34" s="98" t="str">
        <f>IF(IFERROR(VLOOKUP(A34,'23.排水設施(二)'!C:D,1,0),"")="","","✔")</f>
        <v/>
      </c>
      <c r="Y34" s="98" t="str">
        <f>IF(IFERROR(VLOOKUP(A34,'24.木構造'!C:D,1,0),"")="","","✔")</f>
        <v/>
      </c>
      <c r="Z34" s="98" t="str">
        <f>IF(IFERROR(VLOOKUP(A34,'25.管路'!C:D,1,0),"")="","","✔")</f>
        <v/>
      </c>
      <c r="AA34" s="98" t="str">
        <f>IF(IFERROR(VLOOKUP(A34,'26.植栽(移植)'!C:D,1,0),"")="","","✔")</f>
        <v/>
      </c>
      <c r="AB34" s="98" t="str">
        <f>IF(IFERROR(VLOOKUP(A34,'27.植栽(新植)'!C:D,1,0),"")="","","✔")</f>
        <v/>
      </c>
      <c r="AC34" s="98" t="str">
        <f>IF(IFERROR(VLOOKUP(A34,'28.照明'!C:D,1,0),"")="","","✔")</f>
        <v/>
      </c>
      <c r="AD34" s="98" t="str">
        <f>IF(IFERROR(VLOOKUP(A34,'29.既有橋梁拆除'!C:D,1,0),"")="","","✔")</f>
        <v/>
      </c>
    </row>
    <row r="35" spans="1:30" ht="21.75" customHeight="1" x14ac:dyDescent="0.25">
      <c r="A35" s="99">
        <v>45225</v>
      </c>
      <c r="B35" s="98" t="str">
        <f>IF(IFERROR(VLOOKUP(A35,'1.測量放樣'!C:D,1,0),"")="","","✔")</f>
        <v/>
      </c>
      <c r="C35" s="98" t="str">
        <f>IF(IFERROR(VLOOKUP(A35,'2.土方開挖'!C:D,1,0),"")="","","✔")</f>
        <v/>
      </c>
      <c r="D35" s="98" t="str">
        <f>IF(IFERROR(VLOOKUP(A35,'3.土方回填'!C:D,1,0),"")="","","✔")</f>
        <v/>
      </c>
      <c r="E35" s="98" t="str">
        <f>IF(IFERROR(VLOOKUP(A35,'4.鋼筋'!C:D,1,0),"")="","","✔")</f>
        <v/>
      </c>
      <c r="F35" s="98" t="str">
        <f>IF(IFERROR(VLOOKUP(A35,'5.模板'!C:D,1,0),"")="","","✔")</f>
        <v/>
      </c>
      <c r="G35" s="98" t="str">
        <f>IF(IFERROR(VLOOKUP(A35,'6.混凝土'!C:D,1,0),"")="","","✔")</f>
        <v/>
      </c>
      <c r="H35" s="98" t="str">
        <f>IF(IFERROR(VLOOKUP(A35,'7.植筋'!C:D,1,0),"")="","","✔")</f>
        <v/>
      </c>
      <c r="I35" s="98" t="str">
        <f>IF(IFERROR(VLOOKUP(A35,'8.預力混凝土基樁'!C:D,1,0),"")="","","✔")</f>
        <v/>
      </c>
      <c r="J35" s="98" t="str">
        <f>IF(IFERROR(VLOOKUP(A35,'9.砌塊石護岸'!C:D,1,0),"")="","","✔")</f>
        <v/>
      </c>
      <c r="K35" s="98" t="str">
        <f>IF(IFERROR(VLOOKUP(A35,'10.低水護岸'!C:D,1,0),"")="","","✔")</f>
        <v/>
      </c>
      <c r="L35" s="98" t="str">
        <f>IF(IFERROR(VLOOKUP(A35,'11.固床工'!C:D,1,0),"")="","","✔")</f>
        <v/>
      </c>
      <c r="M35" s="98" t="str">
        <f>IF(IFERROR(VLOOKUP(A35,'12.全套管基樁'!C:D,1,0),"")="","","✔")</f>
        <v/>
      </c>
      <c r="N35" s="98" t="str">
        <f>IF(IFERROR(VLOOKUP(A35,'13.鋼筋混凝土管工程'!C:D,1,0),"")="","","✔")</f>
        <v/>
      </c>
      <c r="O35" s="98" t="str">
        <f>IF(IFERROR(VLOOKUP(A35,'14.鋼版樁'!C:D,1,0),"")="","","✔")</f>
        <v/>
      </c>
      <c r="P35" s="98" t="str">
        <f>IF(IFERROR(VLOOKUP(A35,'15.路床 路基高程'!C:D,1,0),"")="","","✔")</f>
        <v/>
      </c>
      <c r="Q35" s="98" t="str">
        <f>IF(IFERROR(VLOOKUP(A35,'16.瀝青混凝土'!C:D,1,0),"")="","","✔")</f>
        <v/>
      </c>
      <c r="R35" s="98" t="str">
        <f>IF(IFERROR(VLOOKUP(A35,'17.景觀鋪面(一)'!C:D,1,0),"")="","","✔")</f>
        <v/>
      </c>
      <c r="S35" s="98" t="str">
        <f>IF(IFERROR(VLOOKUP(A35,'18.景觀鋪面(二)'!C:D,1,0),"")="","","✔")</f>
        <v/>
      </c>
      <c r="T35" s="98" t="str">
        <f>IF(IFERROR(VLOOKUP(A35,'19.預鑄緣石'!C:D,1,0),"")="","","✔")</f>
        <v/>
      </c>
      <c r="U35" s="98" t="str">
        <f>IF(IFERROR(VLOOKUP(A35,'20.鋼構工程吊裝'!C:D,1,0),"")="","","✔")</f>
        <v/>
      </c>
      <c r="V35" s="98" t="str">
        <f>IF(IFERROR(VLOOKUP(A35,'21.鋼構工程塗裝'!C:D,1,0),"")="","","✔")</f>
        <v/>
      </c>
      <c r="W35" s="98" t="str">
        <f>IF(IFERROR(VLOOKUP(A35,'22.排水設施(一)'!C:D,1,0),"")="","","✔")</f>
        <v/>
      </c>
      <c r="X35" s="98" t="str">
        <f>IF(IFERROR(VLOOKUP(A35,'23.排水設施(二)'!C:D,1,0),"")="","","✔")</f>
        <v/>
      </c>
      <c r="Y35" s="98" t="str">
        <f>IF(IFERROR(VLOOKUP(A35,'24.木構造'!C:D,1,0),"")="","","✔")</f>
        <v/>
      </c>
      <c r="Z35" s="98" t="str">
        <f>IF(IFERROR(VLOOKUP(A35,'25.管路'!C:D,1,0),"")="","","✔")</f>
        <v/>
      </c>
      <c r="AA35" s="98" t="str">
        <f>IF(IFERROR(VLOOKUP(A35,'26.植栽(移植)'!C:D,1,0),"")="","","✔")</f>
        <v/>
      </c>
      <c r="AB35" s="98" t="str">
        <f>IF(IFERROR(VLOOKUP(A35,'27.植栽(新植)'!C:D,1,0),"")="","","✔")</f>
        <v/>
      </c>
      <c r="AC35" s="98" t="str">
        <f>IF(IFERROR(VLOOKUP(A35,'28.照明'!C:D,1,0),"")="","","✔")</f>
        <v/>
      </c>
      <c r="AD35" s="98" t="str">
        <f>IF(IFERROR(VLOOKUP(A35,'29.既有橋梁拆除'!C:D,1,0),"")="","","✔")</f>
        <v>✔</v>
      </c>
    </row>
    <row r="36" spans="1:30" ht="21.75" customHeight="1" x14ac:dyDescent="0.25">
      <c r="A36" s="99">
        <v>45226</v>
      </c>
      <c r="B36" s="98" t="str">
        <f>IF(IFERROR(VLOOKUP(A36,'1.測量放樣'!C:D,1,0),"")="","","✔")</f>
        <v/>
      </c>
      <c r="C36" s="98" t="str">
        <f>IF(IFERROR(VLOOKUP(A36,'2.土方開挖'!C:D,1,0),"")="","","✔")</f>
        <v/>
      </c>
      <c r="D36" s="98" t="str">
        <f>IF(IFERROR(VLOOKUP(A36,'3.土方回填'!C:D,1,0),"")="","","✔")</f>
        <v/>
      </c>
      <c r="E36" s="98" t="str">
        <f>IF(IFERROR(VLOOKUP(A36,'4.鋼筋'!C:D,1,0),"")="","","✔")</f>
        <v/>
      </c>
      <c r="F36" s="98" t="str">
        <f>IF(IFERROR(VLOOKUP(A36,'5.模板'!C:D,1,0),"")="","","✔")</f>
        <v/>
      </c>
      <c r="G36" s="98" t="str">
        <f>IF(IFERROR(VLOOKUP(A36,'6.混凝土'!C:D,1,0),"")="","","✔")</f>
        <v/>
      </c>
      <c r="H36" s="98" t="str">
        <f>IF(IFERROR(VLOOKUP(A36,'7.植筋'!C:D,1,0),"")="","","✔")</f>
        <v/>
      </c>
      <c r="I36" s="98" t="str">
        <f>IF(IFERROR(VLOOKUP(A36,'8.預力混凝土基樁'!C:D,1,0),"")="","","✔")</f>
        <v/>
      </c>
      <c r="J36" s="98" t="str">
        <f>IF(IFERROR(VLOOKUP(A36,'9.砌塊石護岸'!C:D,1,0),"")="","","✔")</f>
        <v/>
      </c>
      <c r="K36" s="98" t="str">
        <f>IF(IFERROR(VLOOKUP(A36,'10.低水護岸'!C:D,1,0),"")="","","✔")</f>
        <v/>
      </c>
      <c r="L36" s="98" t="str">
        <f>IF(IFERROR(VLOOKUP(A36,'11.固床工'!C:D,1,0),"")="","","✔")</f>
        <v/>
      </c>
      <c r="M36" s="98" t="str">
        <f>IF(IFERROR(VLOOKUP(A36,'12.全套管基樁'!C:D,1,0),"")="","","✔")</f>
        <v/>
      </c>
      <c r="N36" s="98" t="str">
        <f>IF(IFERROR(VLOOKUP(A36,'13.鋼筋混凝土管工程'!C:D,1,0),"")="","","✔")</f>
        <v/>
      </c>
      <c r="O36" s="98" t="str">
        <f>IF(IFERROR(VLOOKUP(A36,'14.鋼版樁'!C:D,1,0),"")="","","✔")</f>
        <v/>
      </c>
      <c r="P36" s="98" t="str">
        <f>IF(IFERROR(VLOOKUP(A36,'15.路床 路基高程'!C:D,1,0),"")="","","✔")</f>
        <v/>
      </c>
      <c r="Q36" s="98" t="str">
        <f>IF(IFERROR(VLOOKUP(A36,'16.瀝青混凝土'!C:D,1,0),"")="","","✔")</f>
        <v/>
      </c>
      <c r="R36" s="98" t="str">
        <f>IF(IFERROR(VLOOKUP(A36,'17.景觀鋪面(一)'!C:D,1,0),"")="","","✔")</f>
        <v/>
      </c>
      <c r="S36" s="98" t="str">
        <f>IF(IFERROR(VLOOKUP(A36,'18.景觀鋪面(二)'!C:D,1,0),"")="","","✔")</f>
        <v/>
      </c>
      <c r="T36" s="98" t="str">
        <f>IF(IFERROR(VLOOKUP(A36,'19.預鑄緣石'!C:D,1,0),"")="","","✔")</f>
        <v/>
      </c>
      <c r="U36" s="98" t="str">
        <f>IF(IFERROR(VLOOKUP(A36,'20.鋼構工程吊裝'!C:D,1,0),"")="","","✔")</f>
        <v/>
      </c>
      <c r="V36" s="98" t="str">
        <f>IF(IFERROR(VLOOKUP(A36,'21.鋼構工程塗裝'!C:D,1,0),"")="","","✔")</f>
        <v/>
      </c>
      <c r="W36" s="98" t="str">
        <f>IF(IFERROR(VLOOKUP(A36,'22.排水設施(一)'!C:D,1,0),"")="","","✔")</f>
        <v/>
      </c>
      <c r="X36" s="98" t="str">
        <f>IF(IFERROR(VLOOKUP(A36,'23.排水設施(二)'!C:D,1,0),"")="","","✔")</f>
        <v/>
      </c>
      <c r="Y36" s="98" t="str">
        <f>IF(IFERROR(VLOOKUP(A36,'24.木構造'!C:D,1,0),"")="","","✔")</f>
        <v/>
      </c>
      <c r="Z36" s="98" t="str">
        <f>IF(IFERROR(VLOOKUP(A36,'25.管路'!C:D,1,0),"")="","","✔")</f>
        <v/>
      </c>
      <c r="AA36" s="98" t="str">
        <f>IF(IFERROR(VLOOKUP(A36,'26.植栽(移植)'!C:D,1,0),"")="","","✔")</f>
        <v/>
      </c>
      <c r="AB36" s="98" t="str">
        <f>IF(IFERROR(VLOOKUP(A36,'27.植栽(新植)'!C:D,1,0),"")="","","✔")</f>
        <v/>
      </c>
      <c r="AC36" s="98" t="str">
        <f>IF(IFERROR(VLOOKUP(A36,'28.照明'!C:D,1,0),"")="","","✔")</f>
        <v/>
      </c>
      <c r="AD36" s="98" t="str">
        <f>IF(IFERROR(VLOOKUP(A36,'29.既有橋梁拆除'!C:D,1,0),"")="","","✔")</f>
        <v>✔</v>
      </c>
    </row>
    <row r="37" spans="1:30" ht="21.75" customHeight="1" x14ac:dyDescent="0.25">
      <c r="A37" s="99">
        <v>45227</v>
      </c>
      <c r="B37" s="98" t="str">
        <f>IF(IFERROR(VLOOKUP(A37,'1.測量放樣'!C:D,1,0),"")="","","✔")</f>
        <v/>
      </c>
      <c r="C37" s="98" t="str">
        <f>IF(IFERROR(VLOOKUP(A37,'2.土方開挖'!C:D,1,0),"")="","","✔")</f>
        <v/>
      </c>
      <c r="D37" s="98" t="str">
        <f>IF(IFERROR(VLOOKUP(A37,'3.土方回填'!C:D,1,0),"")="","","✔")</f>
        <v/>
      </c>
      <c r="E37" s="98" t="str">
        <f>IF(IFERROR(VLOOKUP(A37,'4.鋼筋'!C:D,1,0),"")="","","✔")</f>
        <v/>
      </c>
      <c r="F37" s="98" t="str">
        <f>IF(IFERROR(VLOOKUP(A37,'5.模板'!C:D,1,0),"")="","","✔")</f>
        <v/>
      </c>
      <c r="G37" s="98" t="str">
        <f>IF(IFERROR(VLOOKUP(A37,'6.混凝土'!C:D,1,0),"")="","","✔")</f>
        <v/>
      </c>
      <c r="H37" s="98" t="str">
        <f>IF(IFERROR(VLOOKUP(A37,'7.植筋'!C:D,1,0),"")="","","✔")</f>
        <v/>
      </c>
      <c r="I37" s="98" t="str">
        <f>IF(IFERROR(VLOOKUP(A37,'8.預力混凝土基樁'!C:D,1,0),"")="","","✔")</f>
        <v/>
      </c>
      <c r="J37" s="98" t="str">
        <f>IF(IFERROR(VLOOKUP(A37,'9.砌塊石護岸'!C:D,1,0),"")="","","✔")</f>
        <v/>
      </c>
      <c r="K37" s="98" t="str">
        <f>IF(IFERROR(VLOOKUP(A37,'10.低水護岸'!C:D,1,0),"")="","","✔")</f>
        <v/>
      </c>
      <c r="L37" s="98" t="str">
        <f>IF(IFERROR(VLOOKUP(A37,'11.固床工'!C:D,1,0),"")="","","✔")</f>
        <v/>
      </c>
      <c r="M37" s="98" t="str">
        <f>IF(IFERROR(VLOOKUP(A37,'12.全套管基樁'!C:D,1,0),"")="","","✔")</f>
        <v/>
      </c>
      <c r="N37" s="98" t="str">
        <f>IF(IFERROR(VLOOKUP(A37,'13.鋼筋混凝土管工程'!C:D,1,0),"")="","","✔")</f>
        <v/>
      </c>
      <c r="O37" s="98" t="str">
        <f>IF(IFERROR(VLOOKUP(A37,'14.鋼版樁'!C:D,1,0),"")="","","✔")</f>
        <v/>
      </c>
      <c r="P37" s="98" t="str">
        <f>IF(IFERROR(VLOOKUP(A37,'15.路床 路基高程'!C:D,1,0),"")="","","✔")</f>
        <v/>
      </c>
      <c r="Q37" s="98" t="str">
        <f>IF(IFERROR(VLOOKUP(A37,'16.瀝青混凝土'!C:D,1,0),"")="","","✔")</f>
        <v/>
      </c>
      <c r="R37" s="98" t="str">
        <f>IF(IFERROR(VLOOKUP(A37,'17.景觀鋪面(一)'!C:D,1,0),"")="","","✔")</f>
        <v/>
      </c>
      <c r="S37" s="98" t="str">
        <f>IF(IFERROR(VLOOKUP(A37,'18.景觀鋪面(二)'!C:D,1,0),"")="","","✔")</f>
        <v/>
      </c>
      <c r="T37" s="98" t="str">
        <f>IF(IFERROR(VLOOKUP(A37,'19.預鑄緣石'!C:D,1,0),"")="","","✔")</f>
        <v/>
      </c>
      <c r="U37" s="98" t="str">
        <f>IF(IFERROR(VLOOKUP(A37,'20.鋼構工程吊裝'!C:D,1,0),"")="","","✔")</f>
        <v/>
      </c>
      <c r="V37" s="98" t="str">
        <f>IF(IFERROR(VLOOKUP(A37,'21.鋼構工程塗裝'!C:D,1,0),"")="","","✔")</f>
        <v/>
      </c>
      <c r="W37" s="98" t="str">
        <f>IF(IFERROR(VLOOKUP(A37,'22.排水設施(一)'!C:D,1,0),"")="","","✔")</f>
        <v/>
      </c>
      <c r="X37" s="98" t="str">
        <f>IF(IFERROR(VLOOKUP(A37,'23.排水設施(二)'!C:D,1,0),"")="","","✔")</f>
        <v/>
      </c>
      <c r="Y37" s="98" t="str">
        <f>IF(IFERROR(VLOOKUP(A37,'24.木構造'!C:D,1,0),"")="","","✔")</f>
        <v/>
      </c>
      <c r="Z37" s="98" t="str">
        <f>IF(IFERROR(VLOOKUP(A37,'25.管路'!C:D,1,0),"")="","","✔")</f>
        <v/>
      </c>
      <c r="AA37" s="98" t="str">
        <f>IF(IFERROR(VLOOKUP(A37,'26.植栽(移植)'!C:D,1,0),"")="","","✔")</f>
        <v/>
      </c>
      <c r="AB37" s="98" t="str">
        <f>IF(IFERROR(VLOOKUP(A37,'27.植栽(新植)'!C:D,1,0),"")="","","✔")</f>
        <v/>
      </c>
      <c r="AC37" s="98" t="str">
        <f>IF(IFERROR(VLOOKUP(A37,'28.照明'!C:D,1,0),"")="","","✔")</f>
        <v/>
      </c>
      <c r="AD37" s="98" t="str">
        <f>IF(IFERROR(VLOOKUP(A37,'29.既有橋梁拆除'!C:D,1,0),"")="","","✔")</f>
        <v/>
      </c>
    </row>
    <row r="38" spans="1:30" ht="21.75" customHeight="1" x14ac:dyDescent="0.25">
      <c r="A38" s="99">
        <v>45228</v>
      </c>
      <c r="B38" s="98" t="str">
        <f>IF(IFERROR(VLOOKUP(A38,'1.測量放樣'!C:D,1,0),"")="","","✔")</f>
        <v/>
      </c>
      <c r="C38" s="98" t="str">
        <f>IF(IFERROR(VLOOKUP(A38,'2.土方開挖'!C:D,1,0),"")="","","✔")</f>
        <v/>
      </c>
      <c r="D38" s="98" t="str">
        <f>IF(IFERROR(VLOOKUP(A38,'3.土方回填'!C:D,1,0),"")="","","✔")</f>
        <v/>
      </c>
      <c r="E38" s="98" t="str">
        <f>IF(IFERROR(VLOOKUP(A38,'4.鋼筋'!C:D,1,0),"")="","","✔")</f>
        <v/>
      </c>
      <c r="F38" s="98" t="str">
        <f>IF(IFERROR(VLOOKUP(A38,'5.模板'!C:D,1,0),"")="","","✔")</f>
        <v/>
      </c>
      <c r="G38" s="98" t="str">
        <f>IF(IFERROR(VLOOKUP(A38,'6.混凝土'!C:D,1,0),"")="","","✔")</f>
        <v/>
      </c>
      <c r="H38" s="98" t="str">
        <f>IF(IFERROR(VLOOKUP(A38,'7.植筋'!C:D,1,0),"")="","","✔")</f>
        <v/>
      </c>
      <c r="I38" s="98" t="str">
        <f>IF(IFERROR(VLOOKUP(A38,'8.預力混凝土基樁'!C:D,1,0),"")="","","✔")</f>
        <v/>
      </c>
      <c r="J38" s="98" t="str">
        <f>IF(IFERROR(VLOOKUP(A38,'9.砌塊石護岸'!C:D,1,0),"")="","","✔")</f>
        <v/>
      </c>
      <c r="K38" s="98" t="str">
        <f>IF(IFERROR(VLOOKUP(A38,'10.低水護岸'!C:D,1,0),"")="","","✔")</f>
        <v/>
      </c>
      <c r="L38" s="98" t="str">
        <f>IF(IFERROR(VLOOKUP(A38,'11.固床工'!C:D,1,0),"")="","","✔")</f>
        <v/>
      </c>
      <c r="M38" s="98" t="str">
        <f>IF(IFERROR(VLOOKUP(A38,'12.全套管基樁'!C:D,1,0),"")="","","✔")</f>
        <v/>
      </c>
      <c r="N38" s="98" t="str">
        <f>IF(IFERROR(VLOOKUP(A38,'13.鋼筋混凝土管工程'!C:D,1,0),"")="","","✔")</f>
        <v/>
      </c>
      <c r="O38" s="98" t="str">
        <f>IF(IFERROR(VLOOKUP(A38,'14.鋼版樁'!C:D,1,0),"")="","","✔")</f>
        <v/>
      </c>
      <c r="P38" s="98" t="str">
        <f>IF(IFERROR(VLOOKUP(A38,'15.路床 路基高程'!C:D,1,0),"")="","","✔")</f>
        <v/>
      </c>
      <c r="Q38" s="98" t="str">
        <f>IF(IFERROR(VLOOKUP(A38,'16.瀝青混凝土'!C:D,1,0),"")="","","✔")</f>
        <v/>
      </c>
      <c r="R38" s="98" t="str">
        <f>IF(IFERROR(VLOOKUP(A38,'17.景觀鋪面(一)'!C:D,1,0),"")="","","✔")</f>
        <v/>
      </c>
      <c r="S38" s="98" t="str">
        <f>IF(IFERROR(VLOOKUP(A38,'18.景觀鋪面(二)'!C:D,1,0),"")="","","✔")</f>
        <v/>
      </c>
      <c r="T38" s="98" t="str">
        <f>IF(IFERROR(VLOOKUP(A38,'19.預鑄緣石'!C:D,1,0),"")="","","✔")</f>
        <v/>
      </c>
      <c r="U38" s="98" t="str">
        <f>IF(IFERROR(VLOOKUP(A38,'20.鋼構工程吊裝'!C:D,1,0),"")="","","✔")</f>
        <v/>
      </c>
      <c r="V38" s="98" t="str">
        <f>IF(IFERROR(VLOOKUP(A38,'21.鋼構工程塗裝'!C:D,1,0),"")="","","✔")</f>
        <v/>
      </c>
      <c r="W38" s="98" t="str">
        <f>IF(IFERROR(VLOOKUP(A38,'22.排水設施(一)'!C:D,1,0),"")="","","✔")</f>
        <v/>
      </c>
      <c r="X38" s="98" t="str">
        <f>IF(IFERROR(VLOOKUP(A38,'23.排水設施(二)'!C:D,1,0),"")="","","✔")</f>
        <v/>
      </c>
      <c r="Y38" s="98" t="str">
        <f>IF(IFERROR(VLOOKUP(A38,'24.木構造'!C:D,1,0),"")="","","✔")</f>
        <v/>
      </c>
      <c r="Z38" s="98" t="str">
        <f>IF(IFERROR(VLOOKUP(A38,'25.管路'!C:D,1,0),"")="","","✔")</f>
        <v/>
      </c>
      <c r="AA38" s="98" t="str">
        <f>IF(IFERROR(VLOOKUP(A38,'26.植栽(移植)'!C:D,1,0),"")="","","✔")</f>
        <v/>
      </c>
      <c r="AB38" s="98" t="str">
        <f>IF(IFERROR(VLOOKUP(A38,'27.植栽(新植)'!C:D,1,0),"")="","","✔")</f>
        <v/>
      </c>
      <c r="AC38" s="98" t="str">
        <f>IF(IFERROR(VLOOKUP(A38,'28.照明'!C:D,1,0),"")="","","✔")</f>
        <v/>
      </c>
      <c r="AD38" s="98" t="str">
        <f>IF(IFERROR(VLOOKUP(A38,'29.既有橋梁拆除'!C:D,1,0),"")="","","✔")</f>
        <v/>
      </c>
    </row>
    <row r="39" spans="1:30" ht="21.75" customHeight="1" x14ac:dyDescent="0.25">
      <c r="A39" s="99">
        <v>45229</v>
      </c>
      <c r="B39" s="98" t="str">
        <f>IF(IFERROR(VLOOKUP(A39,'1.測量放樣'!C:D,1,0),"")="","","✔")</f>
        <v/>
      </c>
      <c r="C39" s="98" t="str">
        <f>IF(IFERROR(VLOOKUP(A39,'2.土方開挖'!C:D,1,0),"")="","","✔")</f>
        <v/>
      </c>
      <c r="D39" s="98" t="str">
        <f>IF(IFERROR(VLOOKUP(A39,'3.土方回填'!C:D,1,0),"")="","","✔")</f>
        <v/>
      </c>
      <c r="E39" s="98" t="str">
        <f>IF(IFERROR(VLOOKUP(A39,'4.鋼筋'!C:D,1,0),"")="","","✔")</f>
        <v/>
      </c>
      <c r="F39" s="98" t="str">
        <f>IF(IFERROR(VLOOKUP(A39,'5.模板'!C:D,1,0),"")="","","✔")</f>
        <v/>
      </c>
      <c r="G39" s="98" t="str">
        <f>IF(IFERROR(VLOOKUP(A39,'6.混凝土'!C:D,1,0),"")="","","✔")</f>
        <v/>
      </c>
      <c r="H39" s="98" t="str">
        <f>IF(IFERROR(VLOOKUP(A39,'7.植筋'!C:D,1,0),"")="","","✔")</f>
        <v/>
      </c>
      <c r="I39" s="98" t="str">
        <f>IF(IFERROR(VLOOKUP(A39,'8.預力混凝土基樁'!C:D,1,0),"")="","","✔")</f>
        <v/>
      </c>
      <c r="J39" s="98" t="str">
        <f>IF(IFERROR(VLOOKUP(A39,'9.砌塊石護岸'!C:D,1,0),"")="","","✔")</f>
        <v/>
      </c>
      <c r="K39" s="98" t="str">
        <f>IF(IFERROR(VLOOKUP(A39,'10.低水護岸'!C:D,1,0),"")="","","✔")</f>
        <v/>
      </c>
      <c r="L39" s="98" t="str">
        <f>IF(IFERROR(VLOOKUP(A39,'11.固床工'!C:D,1,0),"")="","","✔")</f>
        <v/>
      </c>
      <c r="M39" s="98" t="str">
        <f>IF(IFERROR(VLOOKUP(A39,'12.全套管基樁'!C:D,1,0),"")="","","✔")</f>
        <v/>
      </c>
      <c r="N39" s="98" t="str">
        <f>IF(IFERROR(VLOOKUP(A39,'13.鋼筋混凝土管工程'!C:D,1,0),"")="","","✔")</f>
        <v/>
      </c>
      <c r="O39" s="98" t="str">
        <f>IF(IFERROR(VLOOKUP(A39,'14.鋼版樁'!C:D,1,0),"")="","","✔")</f>
        <v/>
      </c>
      <c r="P39" s="98" t="str">
        <f>IF(IFERROR(VLOOKUP(A39,'15.路床 路基高程'!C:D,1,0),"")="","","✔")</f>
        <v/>
      </c>
      <c r="Q39" s="98" t="str">
        <f>IF(IFERROR(VLOOKUP(A39,'16.瀝青混凝土'!C:D,1,0),"")="","","✔")</f>
        <v/>
      </c>
      <c r="R39" s="98" t="str">
        <f>IF(IFERROR(VLOOKUP(A39,'17.景觀鋪面(一)'!C:D,1,0),"")="","","✔")</f>
        <v/>
      </c>
      <c r="S39" s="98" t="str">
        <f>IF(IFERROR(VLOOKUP(A39,'18.景觀鋪面(二)'!C:D,1,0),"")="","","✔")</f>
        <v/>
      </c>
      <c r="T39" s="98" t="str">
        <f>IF(IFERROR(VLOOKUP(A39,'19.預鑄緣石'!C:D,1,0),"")="","","✔")</f>
        <v/>
      </c>
      <c r="U39" s="98" t="str">
        <f>IF(IFERROR(VLOOKUP(A39,'20.鋼構工程吊裝'!C:D,1,0),"")="","","✔")</f>
        <v/>
      </c>
      <c r="V39" s="98" t="str">
        <f>IF(IFERROR(VLOOKUP(A39,'21.鋼構工程塗裝'!C:D,1,0),"")="","","✔")</f>
        <v/>
      </c>
      <c r="W39" s="98" t="str">
        <f>IF(IFERROR(VLOOKUP(A39,'22.排水設施(一)'!C:D,1,0),"")="","","✔")</f>
        <v/>
      </c>
      <c r="X39" s="98" t="str">
        <f>IF(IFERROR(VLOOKUP(A39,'23.排水設施(二)'!C:D,1,0),"")="","","✔")</f>
        <v/>
      </c>
      <c r="Y39" s="98" t="str">
        <f>IF(IFERROR(VLOOKUP(A39,'24.木構造'!C:D,1,0),"")="","","✔")</f>
        <v/>
      </c>
      <c r="Z39" s="98" t="str">
        <f>IF(IFERROR(VLOOKUP(A39,'25.管路'!C:D,1,0),"")="","","✔")</f>
        <v/>
      </c>
      <c r="AA39" s="98" t="str">
        <f>IF(IFERROR(VLOOKUP(A39,'26.植栽(移植)'!C:D,1,0),"")="","","✔")</f>
        <v/>
      </c>
      <c r="AB39" s="98" t="str">
        <f>IF(IFERROR(VLOOKUP(A39,'27.植栽(新植)'!C:D,1,0),"")="","","✔")</f>
        <v/>
      </c>
      <c r="AC39" s="98" t="str">
        <f>IF(IFERROR(VLOOKUP(A39,'28.照明'!C:D,1,0),"")="","","✔")</f>
        <v/>
      </c>
      <c r="AD39" s="98" t="str">
        <f>IF(IFERROR(VLOOKUP(A39,'29.既有橋梁拆除'!C:D,1,0),"")="","","✔")</f>
        <v/>
      </c>
    </row>
    <row r="40" spans="1:30" ht="21.75" customHeight="1" x14ac:dyDescent="0.25">
      <c r="A40" s="99">
        <v>45230</v>
      </c>
      <c r="B40" s="98" t="str">
        <f>IF(IFERROR(VLOOKUP(A40,'1.測量放樣'!C:D,1,0),"")="","","✔")</f>
        <v/>
      </c>
      <c r="C40" s="98" t="str">
        <f>IF(IFERROR(VLOOKUP(A40,'2.土方開挖'!C:D,1,0),"")="","","✔")</f>
        <v/>
      </c>
      <c r="D40" s="98" t="str">
        <f>IF(IFERROR(VLOOKUP(A40,'3.土方回填'!C:D,1,0),"")="","","✔")</f>
        <v/>
      </c>
      <c r="E40" s="98" t="str">
        <f>IF(IFERROR(VLOOKUP(A40,'4.鋼筋'!C:D,1,0),"")="","","✔")</f>
        <v/>
      </c>
      <c r="F40" s="98" t="str">
        <f>IF(IFERROR(VLOOKUP(A40,'5.模板'!C:D,1,0),"")="","","✔")</f>
        <v/>
      </c>
      <c r="G40" s="98" t="str">
        <f>IF(IFERROR(VLOOKUP(A40,'6.混凝土'!C:D,1,0),"")="","","✔")</f>
        <v/>
      </c>
      <c r="H40" s="98" t="str">
        <f>IF(IFERROR(VLOOKUP(A40,'7.植筋'!C:D,1,0),"")="","","✔")</f>
        <v/>
      </c>
      <c r="I40" s="98" t="str">
        <f>IF(IFERROR(VLOOKUP(A40,'8.預力混凝土基樁'!C:D,1,0),"")="","","✔")</f>
        <v/>
      </c>
      <c r="J40" s="98" t="str">
        <f>IF(IFERROR(VLOOKUP(A40,'9.砌塊石護岸'!C:D,1,0),"")="","","✔")</f>
        <v/>
      </c>
      <c r="K40" s="98" t="str">
        <f>IF(IFERROR(VLOOKUP(A40,'10.低水護岸'!C:D,1,0),"")="","","✔")</f>
        <v/>
      </c>
      <c r="L40" s="98" t="str">
        <f>IF(IFERROR(VLOOKUP(A40,'11.固床工'!C:D,1,0),"")="","","✔")</f>
        <v/>
      </c>
      <c r="M40" s="98" t="str">
        <f>IF(IFERROR(VLOOKUP(A40,'12.全套管基樁'!C:D,1,0),"")="","","✔")</f>
        <v/>
      </c>
      <c r="N40" s="98" t="str">
        <f>IF(IFERROR(VLOOKUP(A40,'13.鋼筋混凝土管工程'!C:D,1,0),"")="","","✔")</f>
        <v/>
      </c>
      <c r="O40" s="98" t="str">
        <f>IF(IFERROR(VLOOKUP(A40,'14.鋼版樁'!C:D,1,0),"")="","","✔")</f>
        <v/>
      </c>
      <c r="P40" s="98" t="str">
        <f>IF(IFERROR(VLOOKUP(A40,'15.路床 路基高程'!C:D,1,0),"")="","","✔")</f>
        <v/>
      </c>
      <c r="Q40" s="98" t="str">
        <f>IF(IFERROR(VLOOKUP(A40,'16.瀝青混凝土'!C:D,1,0),"")="","","✔")</f>
        <v/>
      </c>
      <c r="R40" s="98" t="str">
        <f>IF(IFERROR(VLOOKUP(A40,'17.景觀鋪面(一)'!C:D,1,0),"")="","","✔")</f>
        <v/>
      </c>
      <c r="S40" s="98" t="str">
        <f>IF(IFERROR(VLOOKUP(A40,'18.景觀鋪面(二)'!C:D,1,0),"")="","","✔")</f>
        <v/>
      </c>
      <c r="T40" s="98" t="str">
        <f>IF(IFERROR(VLOOKUP(A40,'19.預鑄緣石'!C:D,1,0),"")="","","✔")</f>
        <v/>
      </c>
      <c r="U40" s="98" t="str">
        <f>IF(IFERROR(VLOOKUP(A40,'20.鋼構工程吊裝'!C:D,1,0),"")="","","✔")</f>
        <v/>
      </c>
      <c r="V40" s="98" t="str">
        <f>IF(IFERROR(VLOOKUP(A40,'21.鋼構工程塗裝'!C:D,1,0),"")="","","✔")</f>
        <v/>
      </c>
      <c r="W40" s="98" t="str">
        <f>IF(IFERROR(VLOOKUP(A40,'22.排水設施(一)'!C:D,1,0),"")="","","✔")</f>
        <v/>
      </c>
      <c r="X40" s="98" t="str">
        <f>IF(IFERROR(VLOOKUP(A40,'23.排水設施(二)'!C:D,1,0),"")="","","✔")</f>
        <v/>
      </c>
      <c r="Y40" s="98" t="str">
        <f>IF(IFERROR(VLOOKUP(A40,'24.木構造'!C:D,1,0),"")="","","✔")</f>
        <v/>
      </c>
      <c r="Z40" s="98" t="str">
        <f>IF(IFERROR(VLOOKUP(A40,'25.管路'!C:D,1,0),"")="","","✔")</f>
        <v/>
      </c>
      <c r="AA40" s="98" t="str">
        <f>IF(IFERROR(VLOOKUP(A40,'26.植栽(移植)'!C:D,1,0),"")="","","✔")</f>
        <v/>
      </c>
      <c r="AB40" s="98" t="str">
        <f>IF(IFERROR(VLOOKUP(A40,'27.植栽(新植)'!C:D,1,0),"")="","","✔")</f>
        <v/>
      </c>
      <c r="AC40" s="98" t="str">
        <f>IF(IFERROR(VLOOKUP(A40,'28.照明'!C:D,1,0),"")="","","✔")</f>
        <v/>
      </c>
      <c r="AD40" s="98" t="str">
        <f>IF(IFERROR(VLOOKUP(A40,'29.既有橋梁拆除'!C:D,1,0),"")="","","✔")</f>
        <v/>
      </c>
    </row>
    <row r="41" spans="1:30" ht="21.75" customHeight="1" x14ac:dyDescent="0.25">
      <c r="A41" s="99">
        <v>45231</v>
      </c>
      <c r="B41" s="98" t="str">
        <f>IF(IFERROR(VLOOKUP(A41,'1.測量放樣'!C:D,1,0),"")="","","✔")</f>
        <v/>
      </c>
      <c r="C41" s="98" t="str">
        <f>IF(IFERROR(VLOOKUP(A41,'2.土方開挖'!C:D,1,0),"")="","","✔")</f>
        <v/>
      </c>
      <c r="D41" s="98" t="str">
        <f>IF(IFERROR(VLOOKUP(A41,'3.土方回填'!C:D,1,0),"")="","","✔")</f>
        <v/>
      </c>
      <c r="E41" s="98" t="str">
        <f>IF(IFERROR(VLOOKUP(A41,'4.鋼筋'!C:D,1,0),"")="","","✔")</f>
        <v/>
      </c>
      <c r="F41" s="98" t="str">
        <f>IF(IFERROR(VLOOKUP(A41,'5.模板'!C:D,1,0),"")="","","✔")</f>
        <v/>
      </c>
      <c r="G41" s="98" t="str">
        <f>IF(IFERROR(VLOOKUP(A41,'6.混凝土'!C:D,1,0),"")="","","✔")</f>
        <v/>
      </c>
      <c r="H41" s="98" t="str">
        <f>IF(IFERROR(VLOOKUP(A41,'7.植筋'!C:D,1,0),"")="","","✔")</f>
        <v/>
      </c>
      <c r="I41" s="98" t="str">
        <f>IF(IFERROR(VLOOKUP(A41,'8.預力混凝土基樁'!C:D,1,0),"")="","","✔")</f>
        <v/>
      </c>
      <c r="J41" s="98" t="str">
        <f>IF(IFERROR(VLOOKUP(A41,'9.砌塊石護岸'!C:D,1,0),"")="","","✔")</f>
        <v/>
      </c>
      <c r="K41" s="98" t="str">
        <f>IF(IFERROR(VLOOKUP(A41,'10.低水護岸'!C:D,1,0),"")="","","✔")</f>
        <v/>
      </c>
      <c r="L41" s="98" t="str">
        <f>IF(IFERROR(VLOOKUP(A41,'11.固床工'!C:D,1,0),"")="","","✔")</f>
        <v/>
      </c>
      <c r="M41" s="98" t="str">
        <f>IF(IFERROR(VLOOKUP(A41,'12.全套管基樁'!C:D,1,0),"")="","","✔")</f>
        <v/>
      </c>
      <c r="N41" s="98" t="str">
        <f>IF(IFERROR(VLOOKUP(A41,'13.鋼筋混凝土管工程'!C:D,1,0),"")="","","✔")</f>
        <v/>
      </c>
      <c r="O41" s="98" t="str">
        <f>IF(IFERROR(VLOOKUP(A41,'14.鋼版樁'!C:D,1,0),"")="","","✔")</f>
        <v/>
      </c>
      <c r="P41" s="98" t="str">
        <f>IF(IFERROR(VLOOKUP(A41,'15.路床 路基高程'!C:D,1,0),"")="","","✔")</f>
        <v/>
      </c>
      <c r="Q41" s="98" t="str">
        <f>IF(IFERROR(VLOOKUP(A41,'16.瀝青混凝土'!C:D,1,0),"")="","","✔")</f>
        <v/>
      </c>
      <c r="R41" s="98" t="str">
        <f>IF(IFERROR(VLOOKUP(A41,'17.景觀鋪面(一)'!C:D,1,0),"")="","","✔")</f>
        <v/>
      </c>
      <c r="S41" s="98" t="str">
        <f>IF(IFERROR(VLOOKUP(A41,'18.景觀鋪面(二)'!C:D,1,0),"")="","","✔")</f>
        <v/>
      </c>
      <c r="T41" s="98" t="str">
        <f>IF(IFERROR(VLOOKUP(A41,'19.預鑄緣石'!C:D,1,0),"")="","","✔")</f>
        <v/>
      </c>
      <c r="U41" s="98" t="str">
        <f>IF(IFERROR(VLOOKUP(A41,'20.鋼構工程吊裝'!C:D,1,0),"")="","","✔")</f>
        <v/>
      </c>
      <c r="V41" s="98" t="str">
        <f>IF(IFERROR(VLOOKUP(A41,'21.鋼構工程塗裝'!C:D,1,0),"")="","","✔")</f>
        <v/>
      </c>
      <c r="W41" s="98" t="str">
        <f>IF(IFERROR(VLOOKUP(A41,'22.排水設施(一)'!C:D,1,0),"")="","","✔")</f>
        <v/>
      </c>
      <c r="X41" s="98" t="str">
        <f>IF(IFERROR(VLOOKUP(A41,'23.排水設施(二)'!C:D,1,0),"")="","","✔")</f>
        <v/>
      </c>
      <c r="Y41" s="98" t="str">
        <f>IF(IFERROR(VLOOKUP(A41,'24.木構造'!C:D,1,0),"")="","","✔")</f>
        <v/>
      </c>
      <c r="Z41" s="98" t="str">
        <f>IF(IFERROR(VLOOKUP(A41,'25.管路'!C:D,1,0),"")="","","✔")</f>
        <v/>
      </c>
      <c r="AA41" s="98" t="str">
        <f>IF(IFERROR(VLOOKUP(A41,'26.植栽(移植)'!C:D,1,0),"")="","","✔")</f>
        <v/>
      </c>
      <c r="AB41" s="98" t="str">
        <f>IF(IFERROR(VLOOKUP(A41,'27.植栽(新植)'!C:D,1,0),"")="","","✔")</f>
        <v/>
      </c>
      <c r="AC41" s="98" t="str">
        <f>IF(IFERROR(VLOOKUP(A41,'28.照明'!C:D,1,0),"")="","","✔")</f>
        <v/>
      </c>
      <c r="AD41" s="98" t="str">
        <f>IF(IFERROR(VLOOKUP(A41,'29.既有橋梁拆除'!C:D,1,0),"")="","","✔")</f>
        <v/>
      </c>
    </row>
    <row r="42" spans="1:30" ht="21.75" customHeight="1" x14ac:dyDescent="0.25">
      <c r="A42" s="99">
        <v>45232</v>
      </c>
      <c r="B42" s="98" t="str">
        <f>IF(IFERROR(VLOOKUP(A42,'1.測量放樣'!C:D,1,0),"")="","","✔")</f>
        <v/>
      </c>
      <c r="C42" s="98" t="str">
        <f>IF(IFERROR(VLOOKUP(A42,'2.土方開挖'!C:D,1,0),"")="","","✔")</f>
        <v/>
      </c>
      <c r="D42" s="98" t="str">
        <f>IF(IFERROR(VLOOKUP(A42,'3.土方回填'!C:D,1,0),"")="","","✔")</f>
        <v/>
      </c>
      <c r="E42" s="98" t="str">
        <f>IF(IFERROR(VLOOKUP(A42,'4.鋼筋'!C:D,1,0),"")="","","✔")</f>
        <v/>
      </c>
      <c r="F42" s="98" t="str">
        <f>IF(IFERROR(VLOOKUP(A42,'5.模板'!C:D,1,0),"")="","","✔")</f>
        <v/>
      </c>
      <c r="G42" s="98" t="str">
        <f>IF(IFERROR(VLOOKUP(A42,'6.混凝土'!C:D,1,0),"")="","","✔")</f>
        <v/>
      </c>
      <c r="H42" s="98" t="str">
        <f>IF(IFERROR(VLOOKUP(A42,'7.植筋'!C:D,1,0),"")="","","✔")</f>
        <v/>
      </c>
      <c r="I42" s="98" t="str">
        <f>IF(IFERROR(VLOOKUP(A42,'8.預力混凝土基樁'!C:D,1,0),"")="","","✔")</f>
        <v/>
      </c>
      <c r="J42" s="98" t="str">
        <f>IF(IFERROR(VLOOKUP(A42,'9.砌塊石護岸'!C:D,1,0),"")="","","✔")</f>
        <v/>
      </c>
      <c r="K42" s="98" t="str">
        <f>IF(IFERROR(VLOOKUP(A42,'10.低水護岸'!C:D,1,0),"")="","","✔")</f>
        <v/>
      </c>
      <c r="L42" s="98" t="str">
        <f>IF(IFERROR(VLOOKUP(A42,'11.固床工'!C:D,1,0),"")="","","✔")</f>
        <v/>
      </c>
      <c r="M42" s="98" t="str">
        <f>IF(IFERROR(VLOOKUP(A42,'12.全套管基樁'!C:D,1,0),"")="","","✔")</f>
        <v/>
      </c>
      <c r="N42" s="98" t="str">
        <f>IF(IFERROR(VLOOKUP(A42,'13.鋼筋混凝土管工程'!C:D,1,0),"")="","","✔")</f>
        <v/>
      </c>
      <c r="O42" s="98" t="str">
        <f>IF(IFERROR(VLOOKUP(A42,'14.鋼版樁'!C:D,1,0),"")="","","✔")</f>
        <v/>
      </c>
      <c r="P42" s="98" t="str">
        <f>IF(IFERROR(VLOOKUP(A42,'15.路床 路基高程'!C:D,1,0),"")="","","✔")</f>
        <v/>
      </c>
      <c r="Q42" s="98" t="str">
        <f>IF(IFERROR(VLOOKUP(A42,'16.瀝青混凝土'!C:D,1,0),"")="","","✔")</f>
        <v/>
      </c>
      <c r="R42" s="98" t="str">
        <f>IF(IFERROR(VLOOKUP(A42,'17.景觀鋪面(一)'!C:D,1,0),"")="","","✔")</f>
        <v/>
      </c>
      <c r="S42" s="98" t="str">
        <f>IF(IFERROR(VLOOKUP(A42,'18.景觀鋪面(二)'!C:D,1,0),"")="","","✔")</f>
        <v/>
      </c>
      <c r="T42" s="98" t="str">
        <f>IF(IFERROR(VLOOKUP(A42,'19.預鑄緣石'!C:D,1,0),"")="","","✔")</f>
        <v/>
      </c>
      <c r="U42" s="98" t="str">
        <f>IF(IFERROR(VLOOKUP(A42,'20.鋼構工程吊裝'!C:D,1,0),"")="","","✔")</f>
        <v/>
      </c>
      <c r="V42" s="98" t="str">
        <f>IF(IFERROR(VLOOKUP(A42,'21.鋼構工程塗裝'!C:D,1,0),"")="","","✔")</f>
        <v/>
      </c>
      <c r="W42" s="98" t="str">
        <f>IF(IFERROR(VLOOKUP(A42,'22.排水設施(一)'!C:D,1,0),"")="","","✔")</f>
        <v/>
      </c>
      <c r="X42" s="98" t="str">
        <f>IF(IFERROR(VLOOKUP(A42,'23.排水設施(二)'!C:D,1,0),"")="","","✔")</f>
        <v/>
      </c>
      <c r="Y42" s="98" t="str">
        <f>IF(IFERROR(VLOOKUP(A42,'24.木構造'!C:D,1,0),"")="","","✔")</f>
        <v/>
      </c>
      <c r="Z42" s="98" t="str">
        <f>IF(IFERROR(VLOOKUP(A42,'25.管路'!C:D,1,0),"")="","","✔")</f>
        <v/>
      </c>
      <c r="AA42" s="98" t="str">
        <f>IF(IFERROR(VLOOKUP(A42,'26.植栽(移植)'!C:D,1,0),"")="","","✔")</f>
        <v/>
      </c>
      <c r="AB42" s="98" t="str">
        <f>IF(IFERROR(VLOOKUP(A42,'27.植栽(新植)'!C:D,1,0),"")="","","✔")</f>
        <v/>
      </c>
      <c r="AC42" s="98" t="str">
        <f>IF(IFERROR(VLOOKUP(A42,'28.照明'!C:D,1,0),"")="","","✔")</f>
        <v/>
      </c>
      <c r="AD42" s="98" t="str">
        <f>IF(IFERROR(VLOOKUP(A42,'29.既有橋梁拆除'!C:D,1,0),"")="","","✔")</f>
        <v/>
      </c>
    </row>
    <row r="43" spans="1:30" ht="21.75" customHeight="1" x14ac:dyDescent="0.25">
      <c r="A43" s="99">
        <v>45233</v>
      </c>
      <c r="B43" s="98" t="str">
        <f>IF(IFERROR(VLOOKUP(A43,'1.測量放樣'!C:D,1,0),"")="","","✔")</f>
        <v/>
      </c>
      <c r="C43" s="98" t="str">
        <f>IF(IFERROR(VLOOKUP(A43,'2.土方開挖'!C:D,1,0),"")="","","✔")</f>
        <v/>
      </c>
      <c r="D43" s="98" t="str">
        <f>IF(IFERROR(VLOOKUP(A43,'3.土方回填'!C:D,1,0),"")="","","✔")</f>
        <v/>
      </c>
      <c r="E43" s="98" t="str">
        <f>IF(IFERROR(VLOOKUP(A43,'4.鋼筋'!C:D,1,0),"")="","","✔")</f>
        <v/>
      </c>
      <c r="F43" s="98" t="str">
        <f>IF(IFERROR(VLOOKUP(A43,'5.模板'!C:D,1,0),"")="","","✔")</f>
        <v/>
      </c>
      <c r="G43" s="98" t="str">
        <f>IF(IFERROR(VLOOKUP(A43,'6.混凝土'!C:D,1,0),"")="","","✔")</f>
        <v/>
      </c>
      <c r="H43" s="98" t="str">
        <f>IF(IFERROR(VLOOKUP(A43,'7.植筋'!C:D,1,0),"")="","","✔")</f>
        <v/>
      </c>
      <c r="I43" s="98" t="str">
        <f>IF(IFERROR(VLOOKUP(A43,'8.預力混凝土基樁'!C:D,1,0),"")="","","✔")</f>
        <v/>
      </c>
      <c r="J43" s="98" t="str">
        <f>IF(IFERROR(VLOOKUP(A43,'9.砌塊石護岸'!C:D,1,0),"")="","","✔")</f>
        <v/>
      </c>
      <c r="K43" s="98" t="str">
        <f>IF(IFERROR(VLOOKUP(A43,'10.低水護岸'!C:D,1,0),"")="","","✔")</f>
        <v/>
      </c>
      <c r="L43" s="98" t="str">
        <f>IF(IFERROR(VLOOKUP(A43,'11.固床工'!C:D,1,0),"")="","","✔")</f>
        <v/>
      </c>
      <c r="M43" s="98" t="str">
        <f>IF(IFERROR(VLOOKUP(A43,'12.全套管基樁'!C:D,1,0),"")="","","✔")</f>
        <v/>
      </c>
      <c r="N43" s="98" t="str">
        <f>IF(IFERROR(VLOOKUP(A43,'13.鋼筋混凝土管工程'!C:D,1,0),"")="","","✔")</f>
        <v/>
      </c>
      <c r="O43" s="98" t="str">
        <f>IF(IFERROR(VLOOKUP(A43,'14.鋼版樁'!C:D,1,0),"")="","","✔")</f>
        <v/>
      </c>
      <c r="P43" s="98" t="str">
        <f>IF(IFERROR(VLOOKUP(A43,'15.路床 路基高程'!C:D,1,0),"")="","","✔")</f>
        <v/>
      </c>
      <c r="Q43" s="98" t="str">
        <f>IF(IFERROR(VLOOKUP(A43,'16.瀝青混凝土'!C:D,1,0),"")="","","✔")</f>
        <v/>
      </c>
      <c r="R43" s="98" t="str">
        <f>IF(IFERROR(VLOOKUP(A43,'17.景觀鋪面(一)'!C:D,1,0),"")="","","✔")</f>
        <v/>
      </c>
      <c r="S43" s="98" t="str">
        <f>IF(IFERROR(VLOOKUP(A43,'18.景觀鋪面(二)'!C:D,1,0),"")="","","✔")</f>
        <v/>
      </c>
      <c r="T43" s="98" t="str">
        <f>IF(IFERROR(VLOOKUP(A43,'19.預鑄緣石'!C:D,1,0),"")="","","✔")</f>
        <v/>
      </c>
      <c r="U43" s="98" t="str">
        <f>IF(IFERROR(VLOOKUP(A43,'20.鋼構工程吊裝'!C:D,1,0),"")="","","✔")</f>
        <v/>
      </c>
      <c r="V43" s="98" t="str">
        <f>IF(IFERROR(VLOOKUP(A43,'21.鋼構工程塗裝'!C:D,1,0),"")="","","✔")</f>
        <v/>
      </c>
      <c r="W43" s="98" t="str">
        <f>IF(IFERROR(VLOOKUP(A43,'22.排水設施(一)'!C:D,1,0),"")="","","✔")</f>
        <v/>
      </c>
      <c r="X43" s="98" t="str">
        <f>IF(IFERROR(VLOOKUP(A43,'23.排水設施(二)'!C:D,1,0),"")="","","✔")</f>
        <v/>
      </c>
      <c r="Y43" s="98" t="str">
        <f>IF(IFERROR(VLOOKUP(A43,'24.木構造'!C:D,1,0),"")="","","✔")</f>
        <v/>
      </c>
      <c r="Z43" s="98" t="str">
        <f>IF(IFERROR(VLOOKUP(A43,'25.管路'!C:D,1,0),"")="","","✔")</f>
        <v/>
      </c>
      <c r="AA43" s="98" t="str">
        <f>IF(IFERROR(VLOOKUP(A43,'26.植栽(移植)'!C:D,1,0),"")="","","✔")</f>
        <v/>
      </c>
      <c r="AB43" s="98" t="str">
        <f>IF(IFERROR(VLOOKUP(A43,'27.植栽(新植)'!C:D,1,0),"")="","","✔")</f>
        <v/>
      </c>
      <c r="AC43" s="98" t="str">
        <f>IF(IFERROR(VLOOKUP(A43,'28.照明'!C:D,1,0),"")="","","✔")</f>
        <v/>
      </c>
      <c r="AD43" s="98" t="str">
        <f>IF(IFERROR(VLOOKUP(A43,'29.既有橋梁拆除'!C:D,1,0),"")="","","✔")</f>
        <v/>
      </c>
    </row>
    <row r="44" spans="1:30" ht="21.75" customHeight="1" x14ac:dyDescent="0.25">
      <c r="A44" s="99">
        <v>45234</v>
      </c>
      <c r="B44" s="98" t="str">
        <f>IF(IFERROR(VLOOKUP(A44,'1.測量放樣'!C:D,1,0),"")="","","✔")</f>
        <v/>
      </c>
      <c r="C44" s="98" t="str">
        <f>IF(IFERROR(VLOOKUP(A44,'2.土方開挖'!C:D,1,0),"")="","","✔")</f>
        <v/>
      </c>
      <c r="D44" s="98" t="str">
        <f>IF(IFERROR(VLOOKUP(A44,'3.土方回填'!C:D,1,0),"")="","","✔")</f>
        <v/>
      </c>
      <c r="E44" s="98" t="str">
        <f>IF(IFERROR(VLOOKUP(A44,'4.鋼筋'!C:D,1,0),"")="","","✔")</f>
        <v/>
      </c>
      <c r="F44" s="98" t="str">
        <f>IF(IFERROR(VLOOKUP(A44,'5.模板'!C:D,1,0),"")="","","✔")</f>
        <v/>
      </c>
      <c r="G44" s="98" t="str">
        <f>IF(IFERROR(VLOOKUP(A44,'6.混凝土'!C:D,1,0),"")="","","✔")</f>
        <v/>
      </c>
      <c r="H44" s="98" t="str">
        <f>IF(IFERROR(VLOOKUP(A44,'7.植筋'!C:D,1,0),"")="","","✔")</f>
        <v/>
      </c>
      <c r="I44" s="98" t="str">
        <f>IF(IFERROR(VLOOKUP(A44,'8.預力混凝土基樁'!C:D,1,0),"")="","","✔")</f>
        <v/>
      </c>
      <c r="J44" s="98" t="str">
        <f>IF(IFERROR(VLOOKUP(A44,'9.砌塊石護岸'!C:D,1,0),"")="","","✔")</f>
        <v/>
      </c>
      <c r="K44" s="98" t="str">
        <f>IF(IFERROR(VLOOKUP(A44,'10.低水護岸'!C:D,1,0),"")="","","✔")</f>
        <v/>
      </c>
      <c r="L44" s="98" t="str">
        <f>IF(IFERROR(VLOOKUP(A44,'11.固床工'!C:D,1,0),"")="","","✔")</f>
        <v/>
      </c>
      <c r="M44" s="98" t="str">
        <f>IF(IFERROR(VLOOKUP(A44,'12.全套管基樁'!C:D,1,0),"")="","","✔")</f>
        <v/>
      </c>
      <c r="N44" s="98" t="str">
        <f>IF(IFERROR(VLOOKUP(A44,'13.鋼筋混凝土管工程'!C:D,1,0),"")="","","✔")</f>
        <v/>
      </c>
      <c r="O44" s="98" t="str">
        <f>IF(IFERROR(VLOOKUP(A44,'14.鋼版樁'!C:D,1,0),"")="","","✔")</f>
        <v/>
      </c>
      <c r="P44" s="98" t="str">
        <f>IF(IFERROR(VLOOKUP(A44,'15.路床 路基高程'!C:D,1,0),"")="","","✔")</f>
        <v/>
      </c>
      <c r="Q44" s="98" t="str">
        <f>IF(IFERROR(VLOOKUP(A44,'16.瀝青混凝土'!C:D,1,0),"")="","","✔")</f>
        <v/>
      </c>
      <c r="R44" s="98" t="str">
        <f>IF(IFERROR(VLOOKUP(A44,'17.景觀鋪面(一)'!C:D,1,0),"")="","","✔")</f>
        <v/>
      </c>
      <c r="S44" s="98" t="str">
        <f>IF(IFERROR(VLOOKUP(A44,'18.景觀鋪面(二)'!C:D,1,0),"")="","","✔")</f>
        <v/>
      </c>
      <c r="T44" s="98" t="str">
        <f>IF(IFERROR(VLOOKUP(A44,'19.預鑄緣石'!C:D,1,0),"")="","","✔")</f>
        <v/>
      </c>
      <c r="U44" s="98" t="str">
        <f>IF(IFERROR(VLOOKUP(A44,'20.鋼構工程吊裝'!C:D,1,0),"")="","","✔")</f>
        <v/>
      </c>
      <c r="V44" s="98" t="str">
        <f>IF(IFERROR(VLOOKUP(A44,'21.鋼構工程塗裝'!C:D,1,0),"")="","","✔")</f>
        <v/>
      </c>
      <c r="W44" s="98" t="str">
        <f>IF(IFERROR(VLOOKUP(A44,'22.排水設施(一)'!C:D,1,0),"")="","","✔")</f>
        <v/>
      </c>
      <c r="X44" s="98" t="str">
        <f>IF(IFERROR(VLOOKUP(A44,'23.排水設施(二)'!C:D,1,0),"")="","","✔")</f>
        <v/>
      </c>
      <c r="Y44" s="98" t="str">
        <f>IF(IFERROR(VLOOKUP(A44,'24.木構造'!C:D,1,0),"")="","","✔")</f>
        <v/>
      </c>
      <c r="Z44" s="98" t="str">
        <f>IF(IFERROR(VLOOKUP(A44,'25.管路'!C:D,1,0),"")="","","✔")</f>
        <v/>
      </c>
      <c r="AA44" s="98" t="str">
        <f>IF(IFERROR(VLOOKUP(A44,'26.植栽(移植)'!C:D,1,0),"")="","","✔")</f>
        <v/>
      </c>
      <c r="AB44" s="98" t="str">
        <f>IF(IFERROR(VLOOKUP(A44,'27.植栽(新植)'!C:D,1,0),"")="","","✔")</f>
        <v/>
      </c>
      <c r="AC44" s="98" t="str">
        <f>IF(IFERROR(VLOOKUP(A44,'28.照明'!C:D,1,0),"")="","","✔")</f>
        <v/>
      </c>
      <c r="AD44" s="98" t="str">
        <f>IF(IFERROR(VLOOKUP(A44,'29.既有橋梁拆除'!C:D,1,0),"")="","","✔")</f>
        <v/>
      </c>
    </row>
    <row r="45" spans="1:30" ht="21.75" customHeight="1" x14ac:dyDescent="0.25">
      <c r="A45" s="99">
        <v>45235</v>
      </c>
      <c r="B45" s="98" t="str">
        <f>IF(IFERROR(VLOOKUP(A45,'1.測量放樣'!C:D,1,0),"")="","","✔")</f>
        <v/>
      </c>
      <c r="C45" s="98" t="str">
        <f>IF(IFERROR(VLOOKUP(A45,'2.土方開挖'!C:D,1,0),"")="","","✔")</f>
        <v/>
      </c>
      <c r="D45" s="98" t="str">
        <f>IF(IFERROR(VLOOKUP(A45,'3.土方回填'!C:D,1,0),"")="","","✔")</f>
        <v/>
      </c>
      <c r="E45" s="98" t="str">
        <f>IF(IFERROR(VLOOKUP(A45,'4.鋼筋'!C:D,1,0),"")="","","✔")</f>
        <v/>
      </c>
      <c r="F45" s="98" t="str">
        <f>IF(IFERROR(VLOOKUP(A45,'5.模板'!C:D,1,0),"")="","","✔")</f>
        <v/>
      </c>
      <c r="G45" s="98" t="str">
        <f>IF(IFERROR(VLOOKUP(A45,'6.混凝土'!C:D,1,0),"")="","","✔")</f>
        <v/>
      </c>
      <c r="H45" s="98" t="str">
        <f>IF(IFERROR(VLOOKUP(A45,'7.植筋'!C:D,1,0),"")="","","✔")</f>
        <v/>
      </c>
      <c r="I45" s="98" t="str">
        <f>IF(IFERROR(VLOOKUP(A45,'8.預力混凝土基樁'!C:D,1,0),"")="","","✔")</f>
        <v/>
      </c>
      <c r="J45" s="98" t="str">
        <f>IF(IFERROR(VLOOKUP(A45,'9.砌塊石護岸'!C:D,1,0),"")="","","✔")</f>
        <v/>
      </c>
      <c r="K45" s="98" t="str">
        <f>IF(IFERROR(VLOOKUP(A45,'10.低水護岸'!C:D,1,0),"")="","","✔")</f>
        <v/>
      </c>
      <c r="L45" s="98" t="str">
        <f>IF(IFERROR(VLOOKUP(A45,'11.固床工'!C:D,1,0),"")="","","✔")</f>
        <v/>
      </c>
      <c r="M45" s="98" t="str">
        <f>IF(IFERROR(VLOOKUP(A45,'12.全套管基樁'!C:D,1,0),"")="","","✔")</f>
        <v/>
      </c>
      <c r="N45" s="98" t="str">
        <f>IF(IFERROR(VLOOKUP(A45,'13.鋼筋混凝土管工程'!C:D,1,0),"")="","","✔")</f>
        <v/>
      </c>
      <c r="O45" s="98" t="str">
        <f>IF(IFERROR(VLOOKUP(A45,'14.鋼版樁'!C:D,1,0),"")="","","✔")</f>
        <v/>
      </c>
      <c r="P45" s="98" t="str">
        <f>IF(IFERROR(VLOOKUP(A45,'15.路床 路基高程'!C:D,1,0),"")="","","✔")</f>
        <v/>
      </c>
      <c r="Q45" s="98" t="str">
        <f>IF(IFERROR(VLOOKUP(A45,'16.瀝青混凝土'!C:D,1,0),"")="","","✔")</f>
        <v/>
      </c>
      <c r="R45" s="98" t="str">
        <f>IF(IFERROR(VLOOKUP(A45,'17.景觀鋪面(一)'!C:D,1,0),"")="","","✔")</f>
        <v/>
      </c>
      <c r="S45" s="98" t="str">
        <f>IF(IFERROR(VLOOKUP(A45,'18.景觀鋪面(二)'!C:D,1,0),"")="","","✔")</f>
        <v/>
      </c>
      <c r="T45" s="98" t="str">
        <f>IF(IFERROR(VLOOKUP(A45,'19.預鑄緣石'!C:D,1,0),"")="","","✔")</f>
        <v/>
      </c>
      <c r="U45" s="98" t="str">
        <f>IF(IFERROR(VLOOKUP(A45,'20.鋼構工程吊裝'!C:D,1,0),"")="","","✔")</f>
        <v/>
      </c>
      <c r="V45" s="98" t="str">
        <f>IF(IFERROR(VLOOKUP(A45,'21.鋼構工程塗裝'!C:D,1,0),"")="","","✔")</f>
        <v/>
      </c>
      <c r="W45" s="98" t="str">
        <f>IF(IFERROR(VLOOKUP(A45,'22.排水設施(一)'!C:D,1,0),"")="","","✔")</f>
        <v/>
      </c>
      <c r="X45" s="98" t="str">
        <f>IF(IFERROR(VLOOKUP(A45,'23.排水設施(二)'!C:D,1,0),"")="","","✔")</f>
        <v/>
      </c>
      <c r="Y45" s="98" t="str">
        <f>IF(IFERROR(VLOOKUP(A45,'24.木構造'!C:D,1,0),"")="","","✔")</f>
        <v/>
      </c>
      <c r="Z45" s="98" t="str">
        <f>IF(IFERROR(VLOOKUP(A45,'25.管路'!C:D,1,0),"")="","","✔")</f>
        <v/>
      </c>
      <c r="AA45" s="98" t="str">
        <f>IF(IFERROR(VLOOKUP(A45,'26.植栽(移植)'!C:D,1,0),"")="","","✔")</f>
        <v/>
      </c>
      <c r="AB45" s="98" t="str">
        <f>IF(IFERROR(VLOOKUP(A45,'27.植栽(新植)'!C:D,1,0),"")="","","✔")</f>
        <v/>
      </c>
      <c r="AC45" s="98" t="str">
        <f>IF(IFERROR(VLOOKUP(A45,'28.照明'!C:D,1,0),"")="","","✔")</f>
        <v/>
      </c>
      <c r="AD45" s="98" t="str">
        <f>IF(IFERROR(VLOOKUP(A45,'29.既有橋梁拆除'!C:D,1,0),"")="","","✔")</f>
        <v/>
      </c>
    </row>
    <row r="46" spans="1:30" ht="21.75" customHeight="1" x14ac:dyDescent="0.25">
      <c r="A46" s="99">
        <v>45236</v>
      </c>
      <c r="B46" s="98" t="str">
        <f>IF(IFERROR(VLOOKUP(A46,'1.測量放樣'!C:D,1,0),"")="","","✔")</f>
        <v/>
      </c>
      <c r="C46" s="98" t="str">
        <f>IF(IFERROR(VLOOKUP(A46,'2.土方開挖'!C:D,1,0),"")="","","✔")</f>
        <v/>
      </c>
      <c r="D46" s="98" t="str">
        <f>IF(IFERROR(VLOOKUP(A46,'3.土方回填'!C:D,1,0),"")="","","✔")</f>
        <v/>
      </c>
      <c r="E46" s="98" t="str">
        <f>IF(IFERROR(VLOOKUP(A46,'4.鋼筋'!C:D,1,0),"")="","","✔")</f>
        <v/>
      </c>
      <c r="F46" s="98" t="str">
        <f>IF(IFERROR(VLOOKUP(A46,'5.模板'!C:D,1,0),"")="","","✔")</f>
        <v/>
      </c>
      <c r="G46" s="98" t="str">
        <f>IF(IFERROR(VLOOKUP(A46,'6.混凝土'!C:D,1,0),"")="","","✔")</f>
        <v/>
      </c>
      <c r="H46" s="98" t="str">
        <f>IF(IFERROR(VLOOKUP(A46,'7.植筋'!C:D,1,0),"")="","","✔")</f>
        <v/>
      </c>
      <c r="I46" s="98" t="str">
        <f>IF(IFERROR(VLOOKUP(A46,'8.預力混凝土基樁'!C:D,1,0),"")="","","✔")</f>
        <v/>
      </c>
      <c r="J46" s="98" t="str">
        <f>IF(IFERROR(VLOOKUP(A46,'9.砌塊石護岸'!C:D,1,0),"")="","","✔")</f>
        <v/>
      </c>
      <c r="K46" s="98" t="str">
        <f>IF(IFERROR(VLOOKUP(A46,'10.低水護岸'!C:D,1,0),"")="","","✔")</f>
        <v/>
      </c>
      <c r="L46" s="98" t="str">
        <f>IF(IFERROR(VLOOKUP(A46,'11.固床工'!C:D,1,0),"")="","","✔")</f>
        <v/>
      </c>
      <c r="M46" s="98" t="str">
        <f>IF(IFERROR(VLOOKUP(A46,'12.全套管基樁'!C:D,1,0),"")="","","✔")</f>
        <v/>
      </c>
      <c r="N46" s="98" t="str">
        <f>IF(IFERROR(VLOOKUP(A46,'13.鋼筋混凝土管工程'!C:D,1,0),"")="","","✔")</f>
        <v/>
      </c>
      <c r="O46" s="98" t="str">
        <f>IF(IFERROR(VLOOKUP(A46,'14.鋼版樁'!C:D,1,0),"")="","","✔")</f>
        <v/>
      </c>
      <c r="P46" s="98" t="str">
        <f>IF(IFERROR(VLOOKUP(A46,'15.路床 路基高程'!C:D,1,0),"")="","","✔")</f>
        <v/>
      </c>
      <c r="Q46" s="98" t="str">
        <f>IF(IFERROR(VLOOKUP(A46,'16.瀝青混凝土'!C:D,1,0),"")="","","✔")</f>
        <v/>
      </c>
      <c r="R46" s="98" t="str">
        <f>IF(IFERROR(VLOOKUP(A46,'17.景觀鋪面(一)'!C:D,1,0),"")="","","✔")</f>
        <v/>
      </c>
      <c r="S46" s="98" t="str">
        <f>IF(IFERROR(VLOOKUP(A46,'18.景觀鋪面(二)'!C:D,1,0),"")="","","✔")</f>
        <v/>
      </c>
      <c r="T46" s="98" t="str">
        <f>IF(IFERROR(VLOOKUP(A46,'19.預鑄緣石'!C:D,1,0),"")="","","✔")</f>
        <v/>
      </c>
      <c r="U46" s="98" t="str">
        <f>IF(IFERROR(VLOOKUP(A46,'20.鋼構工程吊裝'!C:D,1,0),"")="","","✔")</f>
        <v/>
      </c>
      <c r="V46" s="98" t="str">
        <f>IF(IFERROR(VLOOKUP(A46,'21.鋼構工程塗裝'!C:D,1,0),"")="","","✔")</f>
        <v/>
      </c>
      <c r="W46" s="98" t="str">
        <f>IF(IFERROR(VLOOKUP(A46,'22.排水設施(一)'!C:D,1,0),"")="","","✔")</f>
        <v/>
      </c>
      <c r="X46" s="98" t="str">
        <f>IF(IFERROR(VLOOKUP(A46,'23.排水設施(二)'!C:D,1,0),"")="","","✔")</f>
        <v/>
      </c>
      <c r="Y46" s="98" t="str">
        <f>IF(IFERROR(VLOOKUP(A46,'24.木構造'!C:D,1,0),"")="","","✔")</f>
        <v/>
      </c>
      <c r="Z46" s="98" t="str">
        <f>IF(IFERROR(VLOOKUP(A46,'25.管路'!C:D,1,0),"")="","","✔")</f>
        <v/>
      </c>
      <c r="AA46" s="98" t="str">
        <f>IF(IFERROR(VLOOKUP(A46,'26.植栽(移植)'!C:D,1,0),"")="","","✔")</f>
        <v/>
      </c>
      <c r="AB46" s="98" t="str">
        <f>IF(IFERROR(VLOOKUP(A46,'27.植栽(新植)'!C:D,1,0),"")="","","✔")</f>
        <v/>
      </c>
      <c r="AC46" s="98" t="str">
        <f>IF(IFERROR(VLOOKUP(A46,'28.照明'!C:D,1,0),"")="","","✔")</f>
        <v/>
      </c>
      <c r="AD46" s="98" t="str">
        <f>IF(IFERROR(VLOOKUP(A46,'29.既有橋梁拆除'!C:D,1,0),"")="","","✔")</f>
        <v/>
      </c>
    </row>
    <row r="47" spans="1:30" ht="21.75" customHeight="1" x14ac:dyDescent="0.25">
      <c r="A47" s="99">
        <v>45237</v>
      </c>
      <c r="B47" s="98" t="str">
        <f>IF(IFERROR(VLOOKUP(A47,'1.測量放樣'!C:D,1,0),"")="","","✔")</f>
        <v/>
      </c>
      <c r="C47" s="98" t="str">
        <f>IF(IFERROR(VLOOKUP(A47,'2.土方開挖'!C:D,1,0),"")="","","✔")</f>
        <v/>
      </c>
      <c r="D47" s="98" t="str">
        <f>IF(IFERROR(VLOOKUP(A47,'3.土方回填'!C:D,1,0),"")="","","✔")</f>
        <v/>
      </c>
      <c r="E47" s="98" t="str">
        <f>IF(IFERROR(VLOOKUP(A47,'4.鋼筋'!C:D,1,0),"")="","","✔")</f>
        <v/>
      </c>
      <c r="F47" s="98" t="str">
        <f>IF(IFERROR(VLOOKUP(A47,'5.模板'!C:D,1,0),"")="","","✔")</f>
        <v/>
      </c>
      <c r="G47" s="98" t="str">
        <f>IF(IFERROR(VLOOKUP(A47,'6.混凝土'!C:D,1,0),"")="","","✔")</f>
        <v/>
      </c>
      <c r="H47" s="98" t="str">
        <f>IF(IFERROR(VLOOKUP(A47,'7.植筋'!C:D,1,0),"")="","","✔")</f>
        <v/>
      </c>
      <c r="I47" s="98" t="str">
        <f>IF(IFERROR(VLOOKUP(A47,'8.預力混凝土基樁'!C:D,1,0),"")="","","✔")</f>
        <v/>
      </c>
      <c r="J47" s="98" t="str">
        <f>IF(IFERROR(VLOOKUP(A47,'9.砌塊石護岸'!C:D,1,0),"")="","","✔")</f>
        <v/>
      </c>
      <c r="K47" s="98" t="str">
        <f>IF(IFERROR(VLOOKUP(A47,'10.低水護岸'!C:D,1,0),"")="","","✔")</f>
        <v/>
      </c>
      <c r="L47" s="98" t="str">
        <f>IF(IFERROR(VLOOKUP(A47,'11.固床工'!C:D,1,0),"")="","","✔")</f>
        <v/>
      </c>
      <c r="M47" s="98" t="str">
        <f>IF(IFERROR(VLOOKUP(A47,'12.全套管基樁'!C:D,1,0),"")="","","✔")</f>
        <v/>
      </c>
      <c r="N47" s="98" t="str">
        <f>IF(IFERROR(VLOOKUP(A47,'13.鋼筋混凝土管工程'!C:D,1,0),"")="","","✔")</f>
        <v/>
      </c>
      <c r="O47" s="98" t="str">
        <f>IF(IFERROR(VLOOKUP(A47,'14.鋼版樁'!C:D,1,0),"")="","","✔")</f>
        <v/>
      </c>
      <c r="P47" s="98" t="str">
        <f>IF(IFERROR(VLOOKUP(A47,'15.路床 路基高程'!C:D,1,0),"")="","","✔")</f>
        <v/>
      </c>
      <c r="Q47" s="98" t="str">
        <f>IF(IFERROR(VLOOKUP(A47,'16.瀝青混凝土'!C:D,1,0),"")="","","✔")</f>
        <v/>
      </c>
      <c r="R47" s="98" t="str">
        <f>IF(IFERROR(VLOOKUP(A47,'17.景觀鋪面(一)'!C:D,1,0),"")="","","✔")</f>
        <v/>
      </c>
      <c r="S47" s="98" t="str">
        <f>IF(IFERROR(VLOOKUP(A47,'18.景觀鋪面(二)'!C:D,1,0),"")="","","✔")</f>
        <v/>
      </c>
      <c r="T47" s="98" t="str">
        <f>IF(IFERROR(VLOOKUP(A47,'19.預鑄緣石'!C:D,1,0),"")="","","✔")</f>
        <v/>
      </c>
      <c r="U47" s="98" t="str">
        <f>IF(IFERROR(VLOOKUP(A47,'20.鋼構工程吊裝'!C:D,1,0),"")="","","✔")</f>
        <v/>
      </c>
      <c r="V47" s="98" t="str">
        <f>IF(IFERROR(VLOOKUP(A47,'21.鋼構工程塗裝'!C:D,1,0),"")="","","✔")</f>
        <v/>
      </c>
      <c r="W47" s="98" t="str">
        <f>IF(IFERROR(VLOOKUP(A47,'22.排水設施(一)'!C:D,1,0),"")="","","✔")</f>
        <v/>
      </c>
      <c r="X47" s="98" t="str">
        <f>IF(IFERROR(VLOOKUP(A47,'23.排水設施(二)'!C:D,1,0),"")="","","✔")</f>
        <v/>
      </c>
      <c r="Y47" s="98" t="str">
        <f>IF(IFERROR(VLOOKUP(A47,'24.木構造'!C:D,1,0),"")="","","✔")</f>
        <v/>
      </c>
      <c r="Z47" s="98" t="str">
        <f>IF(IFERROR(VLOOKUP(A47,'25.管路'!C:D,1,0),"")="","","✔")</f>
        <v/>
      </c>
      <c r="AA47" s="98" t="str">
        <f>IF(IFERROR(VLOOKUP(A47,'26.植栽(移植)'!C:D,1,0),"")="","","✔")</f>
        <v/>
      </c>
      <c r="AB47" s="98" t="str">
        <f>IF(IFERROR(VLOOKUP(A47,'27.植栽(新植)'!C:D,1,0),"")="","","✔")</f>
        <v/>
      </c>
      <c r="AC47" s="98" t="str">
        <f>IF(IFERROR(VLOOKUP(A47,'28.照明'!C:D,1,0),"")="","","✔")</f>
        <v/>
      </c>
      <c r="AD47" s="98" t="str">
        <f>IF(IFERROR(VLOOKUP(A47,'29.既有橋梁拆除'!C:D,1,0),"")="","","✔")</f>
        <v/>
      </c>
    </row>
    <row r="48" spans="1:30" ht="21.75" customHeight="1" x14ac:dyDescent="0.25">
      <c r="A48" s="99">
        <v>45238</v>
      </c>
      <c r="B48" s="98" t="str">
        <f>IF(IFERROR(VLOOKUP(A48,'1.測量放樣'!C:D,1,0),"")="","","✔")</f>
        <v/>
      </c>
      <c r="C48" s="98" t="str">
        <f>IF(IFERROR(VLOOKUP(A48,'2.土方開挖'!C:D,1,0),"")="","","✔")</f>
        <v>✔</v>
      </c>
      <c r="D48" s="98" t="str">
        <f>IF(IFERROR(VLOOKUP(A48,'3.土方回填'!C:D,1,0),"")="","","✔")</f>
        <v/>
      </c>
      <c r="E48" s="98" t="str">
        <f>IF(IFERROR(VLOOKUP(A48,'4.鋼筋'!C:D,1,0),"")="","","✔")</f>
        <v/>
      </c>
      <c r="F48" s="98" t="str">
        <f>IF(IFERROR(VLOOKUP(A48,'5.模板'!C:D,1,0),"")="","","✔")</f>
        <v/>
      </c>
      <c r="G48" s="98" t="str">
        <f>IF(IFERROR(VLOOKUP(A48,'6.混凝土'!C:D,1,0),"")="","","✔")</f>
        <v/>
      </c>
      <c r="H48" s="98" t="str">
        <f>IF(IFERROR(VLOOKUP(A48,'7.植筋'!C:D,1,0),"")="","","✔")</f>
        <v/>
      </c>
      <c r="I48" s="98" t="str">
        <f>IF(IFERROR(VLOOKUP(A48,'8.預力混凝土基樁'!C:D,1,0),"")="","","✔")</f>
        <v/>
      </c>
      <c r="J48" s="98" t="str">
        <f>IF(IFERROR(VLOOKUP(A48,'9.砌塊石護岸'!C:D,1,0),"")="","","✔")</f>
        <v/>
      </c>
      <c r="K48" s="98" t="str">
        <f>IF(IFERROR(VLOOKUP(A48,'10.低水護岸'!C:D,1,0),"")="","","✔")</f>
        <v/>
      </c>
      <c r="L48" s="98" t="str">
        <f>IF(IFERROR(VLOOKUP(A48,'11.固床工'!C:D,1,0),"")="","","✔")</f>
        <v/>
      </c>
      <c r="M48" s="98" t="str">
        <f>IF(IFERROR(VLOOKUP(A48,'12.全套管基樁'!C:D,1,0),"")="","","✔")</f>
        <v/>
      </c>
      <c r="N48" s="98" t="str">
        <f>IF(IFERROR(VLOOKUP(A48,'13.鋼筋混凝土管工程'!C:D,1,0),"")="","","✔")</f>
        <v/>
      </c>
      <c r="O48" s="98" t="str">
        <f>IF(IFERROR(VLOOKUP(A48,'14.鋼版樁'!C:D,1,0),"")="","","✔")</f>
        <v/>
      </c>
      <c r="P48" s="98" t="str">
        <f>IF(IFERROR(VLOOKUP(A48,'15.路床 路基高程'!C:D,1,0),"")="","","✔")</f>
        <v/>
      </c>
      <c r="Q48" s="98" t="str">
        <f>IF(IFERROR(VLOOKUP(A48,'16.瀝青混凝土'!C:D,1,0),"")="","","✔")</f>
        <v/>
      </c>
      <c r="R48" s="98" t="str">
        <f>IF(IFERROR(VLOOKUP(A48,'17.景觀鋪面(一)'!C:D,1,0),"")="","","✔")</f>
        <v/>
      </c>
      <c r="S48" s="98" t="str">
        <f>IF(IFERROR(VLOOKUP(A48,'18.景觀鋪面(二)'!C:D,1,0),"")="","","✔")</f>
        <v/>
      </c>
      <c r="T48" s="98" t="str">
        <f>IF(IFERROR(VLOOKUP(A48,'19.預鑄緣石'!C:D,1,0),"")="","","✔")</f>
        <v/>
      </c>
      <c r="U48" s="98" t="str">
        <f>IF(IFERROR(VLOOKUP(A48,'20.鋼構工程吊裝'!C:D,1,0),"")="","","✔")</f>
        <v/>
      </c>
      <c r="V48" s="98" t="str">
        <f>IF(IFERROR(VLOOKUP(A48,'21.鋼構工程塗裝'!C:D,1,0),"")="","","✔")</f>
        <v/>
      </c>
      <c r="W48" s="98" t="str">
        <f>IF(IFERROR(VLOOKUP(A48,'22.排水設施(一)'!C:D,1,0),"")="","","✔")</f>
        <v/>
      </c>
      <c r="X48" s="98" t="str">
        <f>IF(IFERROR(VLOOKUP(A48,'23.排水設施(二)'!C:D,1,0),"")="","","✔")</f>
        <v/>
      </c>
      <c r="Y48" s="98" t="str">
        <f>IF(IFERROR(VLOOKUP(A48,'24.木構造'!C:D,1,0),"")="","","✔")</f>
        <v/>
      </c>
      <c r="Z48" s="98" t="str">
        <f>IF(IFERROR(VLOOKUP(A48,'25.管路'!C:D,1,0),"")="","","✔")</f>
        <v/>
      </c>
      <c r="AA48" s="98" t="str">
        <f>IF(IFERROR(VLOOKUP(A48,'26.植栽(移植)'!C:D,1,0),"")="","","✔")</f>
        <v/>
      </c>
      <c r="AB48" s="98" t="str">
        <f>IF(IFERROR(VLOOKUP(A48,'27.植栽(新植)'!C:D,1,0),"")="","","✔")</f>
        <v/>
      </c>
      <c r="AC48" s="98" t="str">
        <f>IF(IFERROR(VLOOKUP(A48,'28.照明'!C:D,1,0),"")="","","✔")</f>
        <v/>
      </c>
      <c r="AD48" s="98" t="str">
        <f>IF(IFERROR(VLOOKUP(A48,'29.既有橋梁拆除'!C:D,1,0),"")="","","✔")</f>
        <v/>
      </c>
    </row>
    <row r="49" spans="1:30" ht="21.75" customHeight="1" x14ac:dyDescent="0.25">
      <c r="A49" s="99">
        <v>45239</v>
      </c>
      <c r="B49" s="98" t="str">
        <f>IF(IFERROR(VLOOKUP(A49,'1.測量放樣'!C:D,1,0),"")="","","✔")</f>
        <v/>
      </c>
      <c r="C49" s="98" t="str">
        <f>IF(IFERROR(VLOOKUP(A49,'2.土方開挖'!C:D,1,0),"")="","","✔")</f>
        <v/>
      </c>
      <c r="D49" s="98" t="str">
        <f>IF(IFERROR(VLOOKUP(A49,'3.土方回填'!C:D,1,0),"")="","","✔")</f>
        <v/>
      </c>
      <c r="E49" s="98" t="str">
        <f>IF(IFERROR(VLOOKUP(A49,'4.鋼筋'!C:D,1,0),"")="","","✔")</f>
        <v/>
      </c>
      <c r="F49" s="98" t="str">
        <f>IF(IFERROR(VLOOKUP(A49,'5.模板'!C:D,1,0),"")="","","✔")</f>
        <v/>
      </c>
      <c r="G49" s="98" t="str">
        <f>IF(IFERROR(VLOOKUP(A49,'6.混凝土'!C:D,1,0),"")="","","✔")</f>
        <v/>
      </c>
      <c r="H49" s="98" t="str">
        <f>IF(IFERROR(VLOOKUP(A49,'7.植筋'!C:D,1,0),"")="","","✔")</f>
        <v/>
      </c>
      <c r="I49" s="98" t="str">
        <f>IF(IFERROR(VLOOKUP(A49,'8.預力混凝土基樁'!C:D,1,0),"")="","","✔")</f>
        <v/>
      </c>
      <c r="J49" s="98" t="str">
        <f>IF(IFERROR(VLOOKUP(A49,'9.砌塊石護岸'!C:D,1,0),"")="","","✔")</f>
        <v/>
      </c>
      <c r="K49" s="98" t="str">
        <f>IF(IFERROR(VLOOKUP(A49,'10.低水護岸'!C:D,1,0),"")="","","✔")</f>
        <v/>
      </c>
      <c r="L49" s="98" t="str">
        <f>IF(IFERROR(VLOOKUP(A49,'11.固床工'!C:D,1,0),"")="","","✔")</f>
        <v/>
      </c>
      <c r="M49" s="98" t="str">
        <f>IF(IFERROR(VLOOKUP(A49,'12.全套管基樁'!C:D,1,0),"")="","","✔")</f>
        <v/>
      </c>
      <c r="N49" s="98" t="str">
        <f>IF(IFERROR(VLOOKUP(A49,'13.鋼筋混凝土管工程'!C:D,1,0),"")="","","✔")</f>
        <v/>
      </c>
      <c r="O49" s="98" t="str">
        <f>IF(IFERROR(VLOOKUP(A49,'14.鋼版樁'!C:D,1,0),"")="","","✔")</f>
        <v/>
      </c>
      <c r="P49" s="98" t="str">
        <f>IF(IFERROR(VLOOKUP(A49,'15.路床 路基高程'!C:D,1,0),"")="","","✔")</f>
        <v/>
      </c>
      <c r="Q49" s="98" t="str">
        <f>IF(IFERROR(VLOOKUP(A49,'16.瀝青混凝土'!C:D,1,0),"")="","","✔")</f>
        <v/>
      </c>
      <c r="R49" s="98" t="str">
        <f>IF(IFERROR(VLOOKUP(A49,'17.景觀鋪面(一)'!C:D,1,0),"")="","","✔")</f>
        <v/>
      </c>
      <c r="S49" s="98" t="str">
        <f>IF(IFERROR(VLOOKUP(A49,'18.景觀鋪面(二)'!C:D,1,0),"")="","","✔")</f>
        <v/>
      </c>
      <c r="T49" s="98" t="str">
        <f>IF(IFERROR(VLOOKUP(A49,'19.預鑄緣石'!C:D,1,0),"")="","","✔")</f>
        <v/>
      </c>
      <c r="U49" s="98" t="str">
        <f>IF(IFERROR(VLOOKUP(A49,'20.鋼構工程吊裝'!C:D,1,0),"")="","","✔")</f>
        <v/>
      </c>
      <c r="V49" s="98" t="str">
        <f>IF(IFERROR(VLOOKUP(A49,'21.鋼構工程塗裝'!C:D,1,0),"")="","","✔")</f>
        <v/>
      </c>
      <c r="W49" s="98" t="str">
        <f>IF(IFERROR(VLOOKUP(A49,'22.排水設施(一)'!C:D,1,0),"")="","","✔")</f>
        <v/>
      </c>
      <c r="X49" s="98" t="str">
        <f>IF(IFERROR(VLOOKUP(A49,'23.排水設施(二)'!C:D,1,0),"")="","","✔")</f>
        <v/>
      </c>
      <c r="Y49" s="98" t="str">
        <f>IF(IFERROR(VLOOKUP(A49,'24.木構造'!C:D,1,0),"")="","","✔")</f>
        <v/>
      </c>
      <c r="Z49" s="98" t="str">
        <f>IF(IFERROR(VLOOKUP(A49,'25.管路'!C:D,1,0),"")="","","✔")</f>
        <v/>
      </c>
      <c r="AA49" s="98" t="str">
        <f>IF(IFERROR(VLOOKUP(A49,'26.植栽(移植)'!C:D,1,0),"")="","","✔")</f>
        <v/>
      </c>
      <c r="AB49" s="98" t="str">
        <f>IF(IFERROR(VLOOKUP(A49,'27.植栽(新植)'!C:D,1,0),"")="","","✔")</f>
        <v/>
      </c>
      <c r="AC49" s="98" t="str">
        <f>IF(IFERROR(VLOOKUP(A49,'28.照明'!C:D,1,0),"")="","","✔")</f>
        <v/>
      </c>
      <c r="AD49" s="98" t="str">
        <f>IF(IFERROR(VLOOKUP(A49,'29.既有橋梁拆除'!C:D,1,0),"")="","","✔")</f>
        <v/>
      </c>
    </row>
    <row r="50" spans="1:30" ht="21.75" customHeight="1" x14ac:dyDescent="0.25">
      <c r="A50" s="99">
        <v>45240</v>
      </c>
      <c r="B50" s="98" t="str">
        <f>IF(IFERROR(VLOOKUP(A50,'1.測量放樣'!C:D,1,0),"")="","","✔")</f>
        <v/>
      </c>
      <c r="C50" s="98" t="str">
        <f>IF(IFERROR(VLOOKUP(A50,'2.土方開挖'!C:D,1,0),"")="","","✔")</f>
        <v/>
      </c>
      <c r="D50" s="98" t="str">
        <f>IF(IFERROR(VLOOKUP(A50,'3.土方回填'!C:D,1,0),"")="","","✔")</f>
        <v/>
      </c>
      <c r="E50" s="98" t="str">
        <f>IF(IFERROR(VLOOKUP(A50,'4.鋼筋'!C:D,1,0),"")="","","✔")</f>
        <v/>
      </c>
      <c r="F50" s="98" t="str">
        <f>IF(IFERROR(VLOOKUP(A50,'5.模板'!C:D,1,0),"")="","","✔")</f>
        <v/>
      </c>
      <c r="G50" s="98" t="str">
        <f>IF(IFERROR(VLOOKUP(A50,'6.混凝土'!C:D,1,0),"")="","","✔")</f>
        <v/>
      </c>
      <c r="H50" s="98" t="str">
        <f>IF(IFERROR(VLOOKUP(A50,'7.植筋'!C:D,1,0),"")="","","✔")</f>
        <v/>
      </c>
      <c r="I50" s="98" t="str">
        <f>IF(IFERROR(VLOOKUP(A50,'8.預力混凝土基樁'!C:D,1,0),"")="","","✔")</f>
        <v/>
      </c>
      <c r="J50" s="98" t="str">
        <f>IF(IFERROR(VLOOKUP(A50,'9.砌塊石護岸'!C:D,1,0),"")="","","✔")</f>
        <v/>
      </c>
      <c r="K50" s="98" t="str">
        <f>IF(IFERROR(VLOOKUP(A50,'10.低水護岸'!C:D,1,0),"")="","","✔")</f>
        <v/>
      </c>
      <c r="L50" s="98" t="str">
        <f>IF(IFERROR(VLOOKUP(A50,'11.固床工'!C:D,1,0),"")="","","✔")</f>
        <v/>
      </c>
      <c r="M50" s="98" t="str">
        <f>IF(IFERROR(VLOOKUP(A50,'12.全套管基樁'!C:D,1,0),"")="","","✔")</f>
        <v/>
      </c>
      <c r="N50" s="98" t="str">
        <f>IF(IFERROR(VLOOKUP(A50,'13.鋼筋混凝土管工程'!C:D,1,0),"")="","","✔")</f>
        <v/>
      </c>
      <c r="O50" s="98" t="str">
        <f>IF(IFERROR(VLOOKUP(A50,'14.鋼版樁'!C:D,1,0),"")="","","✔")</f>
        <v/>
      </c>
      <c r="P50" s="98" t="str">
        <f>IF(IFERROR(VLOOKUP(A50,'15.路床 路基高程'!C:D,1,0),"")="","","✔")</f>
        <v/>
      </c>
      <c r="Q50" s="98" t="str">
        <f>IF(IFERROR(VLOOKUP(A50,'16.瀝青混凝土'!C:D,1,0),"")="","","✔")</f>
        <v/>
      </c>
      <c r="R50" s="98" t="str">
        <f>IF(IFERROR(VLOOKUP(A50,'17.景觀鋪面(一)'!C:D,1,0),"")="","","✔")</f>
        <v/>
      </c>
      <c r="S50" s="98" t="str">
        <f>IF(IFERROR(VLOOKUP(A50,'18.景觀鋪面(二)'!C:D,1,0),"")="","","✔")</f>
        <v/>
      </c>
      <c r="T50" s="98" t="str">
        <f>IF(IFERROR(VLOOKUP(A50,'19.預鑄緣石'!C:D,1,0),"")="","","✔")</f>
        <v/>
      </c>
      <c r="U50" s="98" t="str">
        <f>IF(IFERROR(VLOOKUP(A50,'20.鋼構工程吊裝'!C:D,1,0),"")="","","✔")</f>
        <v/>
      </c>
      <c r="V50" s="98" t="str">
        <f>IF(IFERROR(VLOOKUP(A50,'21.鋼構工程塗裝'!C:D,1,0),"")="","","✔")</f>
        <v/>
      </c>
      <c r="W50" s="98" t="str">
        <f>IF(IFERROR(VLOOKUP(A50,'22.排水設施(一)'!C:D,1,0),"")="","","✔")</f>
        <v/>
      </c>
      <c r="X50" s="98" t="str">
        <f>IF(IFERROR(VLOOKUP(A50,'23.排水設施(二)'!C:D,1,0),"")="","","✔")</f>
        <v/>
      </c>
      <c r="Y50" s="98" t="str">
        <f>IF(IFERROR(VLOOKUP(A50,'24.木構造'!C:D,1,0),"")="","","✔")</f>
        <v/>
      </c>
      <c r="Z50" s="98" t="str">
        <f>IF(IFERROR(VLOOKUP(A50,'25.管路'!C:D,1,0),"")="","","✔")</f>
        <v/>
      </c>
      <c r="AA50" s="98" t="str">
        <f>IF(IFERROR(VLOOKUP(A50,'26.植栽(移植)'!C:D,1,0),"")="","","✔")</f>
        <v/>
      </c>
      <c r="AB50" s="98" t="str">
        <f>IF(IFERROR(VLOOKUP(A50,'27.植栽(新植)'!C:D,1,0),"")="","","✔")</f>
        <v/>
      </c>
      <c r="AC50" s="98" t="str">
        <f>IF(IFERROR(VLOOKUP(A50,'28.照明'!C:D,1,0),"")="","","✔")</f>
        <v/>
      </c>
      <c r="AD50" s="98" t="str">
        <f>IF(IFERROR(VLOOKUP(A50,'29.既有橋梁拆除'!C:D,1,0),"")="","","✔")</f>
        <v/>
      </c>
    </row>
    <row r="51" spans="1:30" ht="21.75" customHeight="1" x14ac:dyDescent="0.25">
      <c r="A51" s="99">
        <v>45241</v>
      </c>
      <c r="B51" s="98" t="str">
        <f>IF(IFERROR(VLOOKUP(A51,'1.測量放樣'!C:D,1,0),"")="","","✔")</f>
        <v/>
      </c>
      <c r="C51" s="98" t="str">
        <f>IF(IFERROR(VLOOKUP(A51,'2.土方開挖'!C:D,1,0),"")="","","✔")</f>
        <v/>
      </c>
      <c r="D51" s="98" t="str">
        <f>IF(IFERROR(VLOOKUP(A51,'3.土方回填'!C:D,1,0),"")="","","✔")</f>
        <v/>
      </c>
      <c r="E51" s="98" t="str">
        <f>IF(IFERROR(VLOOKUP(A51,'4.鋼筋'!C:D,1,0),"")="","","✔")</f>
        <v/>
      </c>
      <c r="F51" s="98" t="str">
        <f>IF(IFERROR(VLOOKUP(A51,'5.模板'!C:D,1,0),"")="","","✔")</f>
        <v/>
      </c>
      <c r="G51" s="98" t="str">
        <f>IF(IFERROR(VLOOKUP(A51,'6.混凝土'!C:D,1,0),"")="","","✔")</f>
        <v/>
      </c>
      <c r="H51" s="98" t="str">
        <f>IF(IFERROR(VLOOKUP(A51,'7.植筋'!C:D,1,0),"")="","","✔")</f>
        <v/>
      </c>
      <c r="I51" s="98" t="str">
        <f>IF(IFERROR(VLOOKUP(A51,'8.預力混凝土基樁'!C:D,1,0),"")="","","✔")</f>
        <v/>
      </c>
      <c r="J51" s="98" t="str">
        <f>IF(IFERROR(VLOOKUP(A51,'9.砌塊石護岸'!C:D,1,0),"")="","","✔")</f>
        <v/>
      </c>
      <c r="K51" s="98" t="str">
        <f>IF(IFERROR(VLOOKUP(A51,'10.低水護岸'!C:D,1,0),"")="","","✔")</f>
        <v/>
      </c>
      <c r="L51" s="98" t="str">
        <f>IF(IFERROR(VLOOKUP(A51,'11.固床工'!C:D,1,0),"")="","","✔")</f>
        <v/>
      </c>
      <c r="M51" s="98" t="str">
        <f>IF(IFERROR(VLOOKUP(A51,'12.全套管基樁'!C:D,1,0),"")="","","✔")</f>
        <v/>
      </c>
      <c r="N51" s="98" t="str">
        <f>IF(IFERROR(VLOOKUP(A51,'13.鋼筋混凝土管工程'!C:D,1,0),"")="","","✔")</f>
        <v/>
      </c>
      <c r="O51" s="98" t="str">
        <f>IF(IFERROR(VLOOKUP(A51,'14.鋼版樁'!C:D,1,0),"")="","","✔")</f>
        <v/>
      </c>
      <c r="P51" s="98" t="str">
        <f>IF(IFERROR(VLOOKUP(A51,'15.路床 路基高程'!C:D,1,0),"")="","","✔")</f>
        <v/>
      </c>
      <c r="Q51" s="98" t="str">
        <f>IF(IFERROR(VLOOKUP(A51,'16.瀝青混凝土'!C:D,1,0),"")="","","✔")</f>
        <v/>
      </c>
      <c r="R51" s="98" t="str">
        <f>IF(IFERROR(VLOOKUP(A51,'17.景觀鋪面(一)'!C:D,1,0),"")="","","✔")</f>
        <v/>
      </c>
      <c r="S51" s="98" t="str">
        <f>IF(IFERROR(VLOOKUP(A51,'18.景觀鋪面(二)'!C:D,1,0),"")="","","✔")</f>
        <v/>
      </c>
      <c r="T51" s="98" t="str">
        <f>IF(IFERROR(VLOOKUP(A51,'19.預鑄緣石'!C:D,1,0),"")="","","✔")</f>
        <v/>
      </c>
      <c r="U51" s="98" t="str">
        <f>IF(IFERROR(VLOOKUP(A51,'20.鋼構工程吊裝'!C:D,1,0),"")="","","✔")</f>
        <v/>
      </c>
      <c r="V51" s="98" t="str">
        <f>IF(IFERROR(VLOOKUP(A51,'21.鋼構工程塗裝'!C:D,1,0),"")="","","✔")</f>
        <v/>
      </c>
      <c r="W51" s="98" t="str">
        <f>IF(IFERROR(VLOOKUP(A51,'22.排水設施(一)'!C:D,1,0),"")="","","✔")</f>
        <v/>
      </c>
      <c r="X51" s="98" t="str">
        <f>IF(IFERROR(VLOOKUP(A51,'23.排水設施(二)'!C:D,1,0),"")="","","✔")</f>
        <v/>
      </c>
      <c r="Y51" s="98" t="str">
        <f>IF(IFERROR(VLOOKUP(A51,'24.木構造'!C:D,1,0),"")="","","✔")</f>
        <v/>
      </c>
      <c r="Z51" s="98" t="str">
        <f>IF(IFERROR(VLOOKUP(A51,'25.管路'!C:D,1,0),"")="","","✔")</f>
        <v/>
      </c>
      <c r="AA51" s="98" t="str">
        <f>IF(IFERROR(VLOOKUP(A51,'26.植栽(移植)'!C:D,1,0),"")="","","✔")</f>
        <v/>
      </c>
      <c r="AB51" s="98" t="str">
        <f>IF(IFERROR(VLOOKUP(A51,'27.植栽(新植)'!C:D,1,0),"")="","","✔")</f>
        <v/>
      </c>
      <c r="AC51" s="98" t="str">
        <f>IF(IFERROR(VLOOKUP(A51,'28.照明'!C:D,1,0),"")="","","✔")</f>
        <v/>
      </c>
      <c r="AD51" s="98" t="str">
        <f>IF(IFERROR(VLOOKUP(A51,'29.既有橋梁拆除'!C:D,1,0),"")="","","✔")</f>
        <v/>
      </c>
    </row>
    <row r="52" spans="1:30" ht="21.75" customHeight="1" x14ac:dyDescent="0.25">
      <c r="A52" s="99">
        <v>45242</v>
      </c>
      <c r="B52" s="98" t="str">
        <f>IF(IFERROR(VLOOKUP(A52,'1.測量放樣'!C:D,1,0),"")="","","✔")</f>
        <v/>
      </c>
      <c r="C52" s="98" t="str">
        <f>IF(IFERROR(VLOOKUP(A52,'2.土方開挖'!C:D,1,0),"")="","","✔")</f>
        <v/>
      </c>
      <c r="D52" s="98" t="str">
        <f>IF(IFERROR(VLOOKUP(A52,'3.土方回填'!C:D,1,0),"")="","","✔")</f>
        <v/>
      </c>
      <c r="E52" s="98" t="str">
        <f>IF(IFERROR(VLOOKUP(A52,'4.鋼筋'!C:D,1,0),"")="","","✔")</f>
        <v/>
      </c>
      <c r="F52" s="98" t="str">
        <f>IF(IFERROR(VLOOKUP(A52,'5.模板'!C:D,1,0),"")="","","✔")</f>
        <v/>
      </c>
      <c r="G52" s="98" t="str">
        <f>IF(IFERROR(VLOOKUP(A52,'6.混凝土'!C:D,1,0),"")="","","✔")</f>
        <v/>
      </c>
      <c r="H52" s="98" t="str">
        <f>IF(IFERROR(VLOOKUP(A52,'7.植筋'!C:D,1,0),"")="","","✔")</f>
        <v/>
      </c>
      <c r="I52" s="98" t="str">
        <f>IF(IFERROR(VLOOKUP(A52,'8.預力混凝土基樁'!C:D,1,0),"")="","","✔")</f>
        <v/>
      </c>
      <c r="J52" s="98" t="str">
        <f>IF(IFERROR(VLOOKUP(A52,'9.砌塊石護岸'!C:D,1,0),"")="","","✔")</f>
        <v/>
      </c>
      <c r="K52" s="98" t="str">
        <f>IF(IFERROR(VLOOKUP(A52,'10.低水護岸'!C:D,1,0),"")="","","✔")</f>
        <v/>
      </c>
      <c r="L52" s="98" t="str">
        <f>IF(IFERROR(VLOOKUP(A52,'11.固床工'!C:D,1,0),"")="","","✔")</f>
        <v/>
      </c>
      <c r="M52" s="98" t="str">
        <f>IF(IFERROR(VLOOKUP(A52,'12.全套管基樁'!C:D,1,0),"")="","","✔")</f>
        <v/>
      </c>
      <c r="N52" s="98" t="str">
        <f>IF(IFERROR(VLOOKUP(A52,'13.鋼筋混凝土管工程'!C:D,1,0),"")="","","✔")</f>
        <v/>
      </c>
      <c r="O52" s="98" t="str">
        <f>IF(IFERROR(VLOOKUP(A52,'14.鋼版樁'!C:D,1,0),"")="","","✔")</f>
        <v/>
      </c>
      <c r="P52" s="98" t="str">
        <f>IF(IFERROR(VLOOKUP(A52,'15.路床 路基高程'!C:D,1,0),"")="","","✔")</f>
        <v/>
      </c>
      <c r="Q52" s="98" t="str">
        <f>IF(IFERROR(VLOOKUP(A52,'16.瀝青混凝土'!C:D,1,0),"")="","","✔")</f>
        <v/>
      </c>
      <c r="R52" s="98" t="str">
        <f>IF(IFERROR(VLOOKUP(A52,'17.景觀鋪面(一)'!C:D,1,0),"")="","","✔")</f>
        <v/>
      </c>
      <c r="S52" s="98" t="str">
        <f>IF(IFERROR(VLOOKUP(A52,'18.景觀鋪面(二)'!C:D,1,0),"")="","","✔")</f>
        <v/>
      </c>
      <c r="T52" s="98" t="str">
        <f>IF(IFERROR(VLOOKUP(A52,'19.預鑄緣石'!C:D,1,0),"")="","","✔")</f>
        <v/>
      </c>
      <c r="U52" s="98" t="str">
        <f>IF(IFERROR(VLOOKUP(A52,'20.鋼構工程吊裝'!C:D,1,0),"")="","","✔")</f>
        <v/>
      </c>
      <c r="V52" s="98" t="str">
        <f>IF(IFERROR(VLOOKUP(A52,'21.鋼構工程塗裝'!C:D,1,0),"")="","","✔")</f>
        <v/>
      </c>
      <c r="W52" s="98" t="str">
        <f>IF(IFERROR(VLOOKUP(A52,'22.排水設施(一)'!C:D,1,0),"")="","","✔")</f>
        <v/>
      </c>
      <c r="X52" s="98" t="str">
        <f>IF(IFERROR(VLOOKUP(A52,'23.排水設施(二)'!C:D,1,0),"")="","","✔")</f>
        <v/>
      </c>
      <c r="Y52" s="98" t="str">
        <f>IF(IFERROR(VLOOKUP(A52,'24.木構造'!C:D,1,0),"")="","","✔")</f>
        <v/>
      </c>
      <c r="Z52" s="98" t="str">
        <f>IF(IFERROR(VLOOKUP(A52,'25.管路'!C:D,1,0),"")="","","✔")</f>
        <v/>
      </c>
      <c r="AA52" s="98" t="str">
        <f>IF(IFERROR(VLOOKUP(A52,'26.植栽(移植)'!C:D,1,0),"")="","","✔")</f>
        <v/>
      </c>
      <c r="AB52" s="98" t="str">
        <f>IF(IFERROR(VLOOKUP(A52,'27.植栽(新植)'!C:D,1,0),"")="","","✔")</f>
        <v/>
      </c>
      <c r="AC52" s="98" t="str">
        <f>IF(IFERROR(VLOOKUP(A52,'28.照明'!C:D,1,0),"")="","","✔")</f>
        <v/>
      </c>
      <c r="AD52" s="98" t="str">
        <f>IF(IFERROR(VLOOKUP(A52,'29.既有橋梁拆除'!C:D,1,0),"")="","","✔")</f>
        <v/>
      </c>
    </row>
    <row r="53" spans="1:30" ht="21.75" customHeight="1" x14ac:dyDescent="0.25">
      <c r="A53" s="99">
        <v>45243</v>
      </c>
      <c r="B53" s="98" t="str">
        <f>IF(IFERROR(VLOOKUP(A53,'1.測量放樣'!C:D,1,0),"")="","","✔")</f>
        <v>✔</v>
      </c>
      <c r="C53" s="98" t="str">
        <f>IF(IFERROR(VLOOKUP(A53,'2.土方開挖'!C:D,1,0),"")="","","✔")</f>
        <v>✔</v>
      </c>
      <c r="D53" s="98" t="str">
        <f>IF(IFERROR(VLOOKUP(A53,'3.土方回填'!C:D,1,0),"")="","","✔")</f>
        <v/>
      </c>
      <c r="E53" s="98" t="str">
        <f>IF(IFERROR(VLOOKUP(A53,'4.鋼筋'!C:D,1,0),"")="","","✔")</f>
        <v/>
      </c>
      <c r="F53" s="98" t="str">
        <f>IF(IFERROR(VLOOKUP(A53,'5.模板'!C:D,1,0),"")="","","✔")</f>
        <v/>
      </c>
      <c r="G53" s="98" t="str">
        <f>IF(IFERROR(VLOOKUP(A53,'6.混凝土'!C:D,1,0),"")="","","✔")</f>
        <v/>
      </c>
      <c r="H53" s="98" t="str">
        <f>IF(IFERROR(VLOOKUP(A53,'7.植筋'!C:D,1,0),"")="","","✔")</f>
        <v/>
      </c>
      <c r="I53" s="98" t="str">
        <f>IF(IFERROR(VLOOKUP(A53,'8.預力混凝土基樁'!C:D,1,0),"")="","","✔")</f>
        <v/>
      </c>
      <c r="J53" s="98" t="str">
        <f>IF(IFERROR(VLOOKUP(A53,'9.砌塊石護岸'!C:D,1,0),"")="","","✔")</f>
        <v/>
      </c>
      <c r="K53" s="98" t="str">
        <f>IF(IFERROR(VLOOKUP(A53,'10.低水護岸'!C:D,1,0),"")="","","✔")</f>
        <v/>
      </c>
      <c r="L53" s="98" t="str">
        <f>IF(IFERROR(VLOOKUP(A53,'11.固床工'!C:D,1,0),"")="","","✔")</f>
        <v/>
      </c>
      <c r="M53" s="98" t="str">
        <f>IF(IFERROR(VLOOKUP(A53,'12.全套管基樁'!C:D,1,0),"")="","","✔")</f>
        <v/>
      </c>
      <c r="N53" s="98" t="str">
        <f>IF(IFERROR(VLOOKUP(A53,'13.鋼筋混凝土管工程'!C:D,1,0),"")="","","✔")</f>
        <v/>
      </c>
      <c r="O53" s="98" t="str">
        <f>IF(IFERROR(VLOOKUP(A53,'14.鋼版樁'!C:D,1,0),"")="","","✔")</f>
        <v/>
      </c>
      <c r="P53" s="98" t="str">
        <f>IF(IFERROR(VLOOKUP(A53,'15.路床 路基高程'!C:D,1,0),"")="","","✔")</f>
        <v/>
      </c>
      <c r="Q53" s="98" t="str">
        <f>IF(IFERROR(VLOOKUP(A53,'16.瀝青混凝土'!C:D,1,0),"")="","","✔")</f>
        <v/>
      </c>
      <c r="R53" s="98" t="str">
        <f>IF(IFERROR(VLOOKUP(A53,'17.景觀鋪面(一)'!C:D,1,0),"")="","","✔")</f>
        <v/>
      </c>
      <c r="S53" s="98" t="str">
        <f>IF(IFERROR(VLOOKUP(A53,'18.景觀鋪面(二)'!C:D,1,0),"")="","","✔")</f>
        <v/>
      </c>
      <c r="T53" s="98" t="str">
        <f>IF(IFERROR(VLOOKUP(A53,'19.預鑄緣石'!C:D,1,0),"")="","","✔")</f>
        <v/>
      </c>
      <c r="U53" s="98" t="str">
        <f>IF(IFERROR(VLOOKUP(A53,'20.鋼構工程吊裝'!C:D,1,0),"")="","","✔")</f>
        <v/>
      </c>
      <c r="V53" s="98" t="str">
        <f>IF(IFERROR(VLOOKUP(A53,'21.鋼構工程塗裝'!C:D,1,0),"")="","","✔")</f>
        <v/>
      </c>
      <c r="W53" s="98" t="str">
        <f>IF(IFERROR(VLOOKUP(A53,'22.排水設施(一)'!C:D,1,0),"")="","","✔")</f>
        <v/>
      </c>
      <c r="X53" s="98" t="str">
        <f>IF(IFERROR(VLOOKUP(A53,'23.排水設施(二)'!C:D,1,0),"")="","","✔")</f>
        <v/>
      </c>
      <c r="Y53" s="98" t="str">
        <f>IF(IFERROR(VLOOKUP(A53,'24.木構造'!C:D,1,0),"")="","","✔")</f>
        <v/>
      </c>
      <c r="Z53" s="98" t="str">
        <f>IF(IFERROR(VLOOKUP(A53,'25.管路'!C:D,1,0),"")="","","✔")</f>
        <v/>
      </c>
      <c r="AA53" s="98" t="str">
        <f>IF(IFERROR(VLOOKUP(A53,'26.植栽(移植)'!C:D,1,0),"")="","","✔")</f>
        <v/>
      </c>
      <c r="AB53" s="98" t="str">
        <f>IF(IFERROR(VLOOKUP(A53,'27.植栽(新植)'!C:D,1,0),"")="","","✔")</f>
        <v/>
      </c>
      <c r="AC53" s="98" t="str">
        <f>IF(IFERROR(VLOOKUP(A53,'28.照明'!C:D,1,0),"")="","","✔")</f>
        <v/>
      </c>
      <c r="AD53" s="98" t="str">
        <f>IF(IFERROR(VLOOKUP(A53,'29.既有橋梁拆除'!C:D,1,0),"")="","","✔")</f>
        <v/>
      </c>
    </row>
    <row r="54" spans="1:30" ht="21.75" customHeight="1" x14ac:dyDescent="0.25">
      <c r="A54" s="99">
        <v>45244</v>
      </c>
      <c r="B54" s="98" t="str">
        <f>IF(IFERROR(VLOOKUP(A54,'1.測量放樣'!C:D,1,0),"")="","","✔")</f>
        <v/>
      </c>
      <c r="C54" s="98" t="str">
        <f>IF(IFERROR(VLOOKUP(A54,'2.土方開挖'!C:D,1,0),"")="","","✔")</f>
        <v/>
      </c>
      <c r="D54" s="98" t="str">
        <f>IF(IFERROR(VLOOKUP(A54,'3.土方回填'!C:D,1,0),"")="","","✔")</f>
        <v/>
      </c>
      <c r="E54" s="98" t="str">
        <f>IF(IFERROR(VLOOKUP(A54,'4.鋼筋'!C:D,1,0),"")="","","✔")</f>
        <v/>
      </c>
      <c r="F54" s="98" t="str">
        <f>IF(IFERROR(VLOOKUP(A54,'5.模板'!C:D,1,0),"")="","","✔")</f>
        <v/>
      </c>
      <c r="G54" s="98" t="str">
        <f>IF(IFERROR(VLOOKUP(A54,'6.混凝土'!C:D,1,0),"")="","","✔")</f>
        <v/>
      </c>
      <c r="H54" s="98" t="str">
        <f>IF(IFERROR(VLOOKUP(A54,'7.植筋'!C:D,1,0),"")="","","✔")</f>
        <v/>
      </c>
      <c r="I54" s="98" t="str">
        <f>IF(IFERROR(VLOOKUP(A54,'8.預力混凝土基樁'!C:D,1,0),"")="","","✔")</f>
        <v/>
      </c>
      <c r="J54" s="98" t="str">
        <f>IF(IFERROR(VLOOKUP(A54,'9.砌塊石護岸'!C:D,1,0),"")="","","✔")</f>
        <v/>
      </c>
      <c r="K54" s="98" t="str">
        <f>IF(IFERROR(VLOOKUP(A54,'10.低水護岸'!C:D,1,0),"")="","","✔")</f>
        <v/>
      </c>
      <c r="L54" s="98" t="str">
        <f>IF(IFERROR(VLOOKUP(A54,'11.固床工'!C:D,1,0),"")="","","✔")</f>
        <v/>
      </c>
      <c r="M54" s="98" t="str">
        <f>IF(IFERROR(VLOOKUP(A54,'12.全套管基樁'!C:D,1,0),"")="","","✔")</f>
        <v/>
      </c>
      <c r="N54" s="98" t="str">
        <f>IF(IFERROR(VLOOKUP(A54,'13.鋼筋混凝土管工程'!C:D,1,0),"")="","","✔")</f>
        <v/>
      </c>
      <c r="O54" s="98" t="str">
        <f>IF(IFERROR(VLOOKUP(A54,'14.鋼版樁'!C:D,1,0),"")="","","✔")</f>
        <v/>
      </c>
      <c r="P54" s="98" t="str">
        <f>IF(IFERROR(VLOOKUP(A54,'15.路床 路基高程'!C:D,1,0),"")="","","✔")</f>
        <v/>
      </c>
      <c r="Q54" s="98" t="str">
        <f>IF(IFERROR(VLOOKUP(A54,'16.瀝青混凝土'!C:D,1,0),"")="","","✔")</f>
        <v/>
      </c>
      <c r="R54" s="98" t="str">
        <f>IF(IFERROR(VLOOKUP(A54,'17.景觀鋪面(一)'!C:D,1,0),"")="","","✔")</f>
        <v/>
      </c>
      <c r="S54" s="98" t="str">
        <f>IF(IFERROR(VLOOKUP(A54,'18.景觀鋪面(二)'!C:D,1,0),"")="","","✔")</f>
        <v/>
      </c>
      <c r="T54" s="98" t="str">
        <f>IF(IFERROR(VLOOKUP(A54,'19.預鑄緣石'!C:D,1,0),"")="","","✔")</f>
        <v/>
      </c>
      <c r="U54" s="98" t="str">
        <f>IF(IFERROR(VLOOKUP(A54,'20.鋼構工程吊裝'!C:D,1,0),"")="","","✔")</f>
        <v/>
      </c>
      <c r="V54" s="98" t="str">
        <f>IF(IFERROR(VLOOKUP(A54,'21.鋼構工程塗裝'!C:D,1,0),"")="","","✔")</f>
        <v/>
      </c>
      <c r="W54" s="98" t="str">
        <f>IF(IFERROR(VLOOKUP(A54,'22.排水設施(一)'!C:D,1,0),"")="","","✔")</f>
        <v/>
      </c>
      <c r="X54" s="98" t="str">
        <f>IF(IFERROR(VLOOKUP(A54,'23.排水設施(二)'!C:D,1,0),"")="","","✔")</f>
        <v/>
      </c>
      <c r="Y54" s="98" t="str">
        <f>IF(IFERROR(VLOOKUP(A54,'24.木構造'!C:D,1,0),"")="","","✔")</f>
        <v/>
      </c>
      <c r="Z54" s="98" t="str">
        <f>IF(IFERROR(VLOOKUP(A54,'25.管路'!C:D,1,0),"")="","","✔")</f>
        <v/>
      </c>
      <c r="AA54" s="98" t="str">
        <f>IF(IFERROR(VLOOKUP(A54,'26.植栽(移植)'!C:D,1,0),"")="","","✔")</f>
        <v/>
      </c>
      <c r="AB54" s="98" t="str">
        <f>IF(IFERROR(VLOOKUP(A54,'27.植栽(新植)'!C:D,1,0),"")="","","✔")</f>
        <v/>
      </c>
      <c r="AC54" s="98" t="str">
        <f>IF(IFERROR(VLOOKUP(A54,'28.照明'!C:D,1,0),"")="","","✔")</f>
        <v/>
      </c>
      <c r="AD54" s="98" t="str">
        <f>IF(IFERROR(VLOOKUP(A54,'29.既有橋梁拆除'!C:D,1,0),"")="","","✔")</f>
        <v/>
      </c>
    </row>
    <row r="55" spans="1:30" ht="21.75" customHeight="1" x14ac:dyDescent="0.25">
      <c r="A55" s="99">
        <v>45245</v>
      </c>
      <c r="B55" s="98" t="str">
        <f>IF(IFERROR(VLOOKUP(A55,'1.測量放樣'!C:D,1,0),"")="","","✔")</f>
        <v/>
      </c>
      <c r="C55" s="98" t="str">
        <f>IF(IFERROR(VLOOKUP(A55,'2.土方開挖'!C:D,1,0),"")="","","✔")</f>
        <v/>
      </c>
      <c r="D55" s="98" t="str">
        <f>IF(IFERROR(VLOOKUP(A55,'3.土方回填'!C:D,1,0),"")="","","✔")</f>
        <v/>
      </c>
      <c r="E55" s="98" t="str">
        <f>IF(IFERROR(VLOOKUP(A55,'4.鋼筋'!C:D,1,0),"")="","","✔")</f>
        <v/>
      </c>
      <c r="F55" s="98" t="str">
        <f>IF(IFERROR(VLOOKUP(A55,'5.模板'!C:D,1,0),"")="","","✔")</f>
        <v/>
      </c>
      <c r="G55" s="98" t="str">
        <f>IF(IFERROR(VLOOKUP(A55,'6.混凝土'!C:D,1,0),"")="","","✔")</f>
        <v/>
      </c>
      <c r="H55" s="98" t="str">
        <f>IF(IFERROR(VLOOKUP(A55,'7.植筋'!C:D,1,0),"")="","","✔")</f>
        <v/>
      </c>
      <c r="I55" s="98" t="str">
        <f>IF(IFERROR(VLOOKUP(A55,'8.預力混凝土基樁'!C:D,1,0),"")="","","✔")</f>
        <v/>
      </c>
      <c r="J55" s="98" t="str">
        <f>IF(IFERROR(VLOOKUP(A55,'9.砌塊石護岸'!C:D,1,0),"")="","","✔")</f>
        <v/>
      </c>
      <c r="K55" s="98" t="str">
        <f>IF(IFERROR(VLOOKUP(A55,'10.低水護岸'!C:D,1,0),"")="","","✔")</f>
        <v/>
      </c>
      <c r="L55" s="98" t="str">
        <f>IF(IFERROR(VLOOKUP(A55,'11.固床工'!C:D,1,0),"")="","","✔")</f>
        <v/>
      </c>
      <c r="M55" s="98" t="str">
        <f>IF(IFERROR(VLOOKUP(A55,'12.全套管基樁'!C:D,1,0),"")="","","✔")</f>
        <v/>
      </c>
      <c r="N55" s="98" t="str">
        <f>IF(IFERROR(VLOOKUP(A55,'13.鋼筋混凝土管工程'!C:D,1,0),"")="","","✔")</f>
        <v/>
      </c>
      <c r="O55" s="98" t="str">
        <f>IF(IFERROR(VLOOKUP(A55,'14.鋼版樁'!C:D,1,0),"")="","","✔")</f>
        <v/>
      </c>
      <c r="P55" s="98" t="str">
        <f>IF(IFERROR(VLOOKUP(A55,'15.路床 路基高程'!C:D,1,0),"")="","","✔")</f>
        <v/>
      </c>
      <c r="Q55" s="98" t="str">
        <f>IF(IFERROR(VLOOKUP(A55,'16.瀝青混凝土'!C:D,1,0),"")="","","✔")</f>
        <v/>
      </c>
      <c r="R55" s="98" t="str">
        <f>IF(IFERROR(VLOOKUP(A55,'17.景觀鋪面(一)'!C:D,1,0),"")="","","✔")</f>
        <v/>
      </c>
      <c r="S55" s="98" t="str">
        <f>IF(IFERROR(VLOOKUP(A55,'18.景觀鋪面(二)'!C:D,1,0),"")="","","✔")</f>
        <v/>
      </c>
      <c r="T55" s="98" t="str">
        <f>IF(IFERROR(VLOOKUP(A55,'19.預鑄緣石'!C:D,1,0),"")="","","✔")</f>
        <v/>
      </c>
      <c r="U55" s="98" t="str">
        <f>IF(IFERROR(VLOOKUP(A55,'20.鋼構工程吊裝'!C:D,1,0),"")="","","✔")</f>
        <v/>
      </c>
      <c r="V55" s="98" t="str">
        <f>IF(IFERROR(VLOOKUP(A55,'21.鋼構工程塗裝'!C:D,1,0),"")="","","✔")</f>
        <v/>
      </c>
      <c r="W55" s="98" t="str">
        <f>IF(IFERROR(VLOOKUP(A55,'22.排水設施(一)'!C:D,1,0),"")="","","✔")</f>
        <v/>
      </c>
      <c r="X55" s="98" t="str">
        <f>IF(IFERROR(VLOOKUP(A55,'23.排水設施(二)'!C:D,1,0),"")="","","✔")</f>
        <v/>
      </c>
      <c r="Y55" s="98" t="str">
        <f>IF(IFERROR(VLOOKUP(A55,'24.木構造'!C:D,1,0),"")="","","✔")</f>
        <v/>
      </c>
      <c r="Z55" s="98" t="str">
        <f>IF(IFERROR(VLOOKUP(A55,'25.管路'!C:D,1,0),"")="","","✔")</f>
        <v/>
      </c>
      <c r="AA55" s="98" t="str">
        <f>IF(IFERROR(VLOOKUP(A55,'26.植栽(移植)'!C:D,1,0),"")="","","✔")</f>
        <v/>
      </c>
      <c r="AB55" s="98" t="str">
        <f>IF(IFERROR(VLOOKUP(A55,'27.植栽(新植)'!C:D,1,0),"")="","","✔")</f>
        <v/>
      </c>
      <c r="AC55" s="98" t="str">
        <f>IF(IFERROR(VLOOKUP(A55,'28.照明'!C:D,1,0),"")="","","✔")</f>
        <v/>
      </c>
      <c r="AD55" s="98" t="str">
        <f>IF(IFERROR(VLOOKUP(A55,'29.既有橋梁拆除'!C:D,1,0),"")="","","✔")</f>
        <v/>
      </c>
    </row>
    <row r="56" spans="1:30" ht="21.75" customHeight="1" x14ac:dyDescent="0.25">
      <c r="A56" s="99">
        <v>45246</v>
      </c>
      <c r="B56" s="98" t="str">
        <f>IF(IFERROR(VLOOKUP(A56,'1.測量放樣'!C:D,1,0),"")="","","✔")</f>
        <v/>
      </c>
      <c r="C56" s="98" t="str">
        <f>IF(IFERROR(VLOOKUP(A56,'2.土方開挖'!C:D,1,0),"")="","","✔")</f>
        <v>✔</v>
      </c>
      <c r="D56" s="98" t="str">
        <f>IF(IFERROR(VLOOKUP(A56,'3.土方回填'!C:D,1,0),"")="","","✔")</f>
        <v/>
      </c>
      <c r="E56" s="98" t="str">
        <f>IF(IFERROR(VLOOKUP(A56,'4.鋼筋'!C:D,1,0),"")="","","✔")</f>
        <v/>
      </c>
      <c r="F56" s="98" t="str">
        <f>IF(IFERROR(VLOOKUP(A56,'5.模板'!C:D,1,0),"")="","","✔")</f>
        <v/>
      </c>
      <c r="G56" s="98" t="str">
        <f>IF(IFERROR(VLOOKUP(A56,'6.混凝土'!C:D,1,0),"")="","","✔")</f>
        <v/>
      </c>
      <c r="H56" s="98" t="str">
        <f>IF(IFERROR(VLOOKUP(A56,'7.植筋'!C:D,1,0),"")="","","✔")</f>
        <v/>
      </c>
      <c r="I56" s="98" t="str">
        <f>IF(IFERROR(VLOOKUP(A56,'8.預力混凝土基樁'!C:D,1,0),"")="","","✔")</f>
        <v/>
      </c>
      <c r="J56" s="98" t="str">
        <f>IF(IFERROR(VLOOKUP(A56,'9.砌塊石護岸'!C:D,1,0),"")="","","✔")</f>
        <v/>
      </c>
      <c r="K56" s="98" t="str">
        <f>IF(IFERROR(VLOOKUP(A56,'10.低水護岸'!C:D,1,0),"")="","","✔")</f>
        <v/>
      </c>
      <c r="L56" s="98" t="str">
        <f>IF(IFERROR(VLOOKUP(A56,'11.固床工'!C:D,1,0),"")="","","✔")</f>
        <v/>
      </c>
      <c r="M56" s="98" t="str">
        <f>IF(IFERROR(VLOOKUP(A56,'12.全套管基樁'!C:D,1,0),"")="","","✔")</f>
        <v/>
      </c>
      <c r="N56" s="98" t="str">
        <f>IF(IFERROR(VLOOKUP(A56,'13.鋼筋混凝土管工程'!C:D,1,0),"")="","","✔")</f>
        <v/>
      </c>
      <c r="O56" s="98" t="str">
        <f>IF(IFERROR(VLOOKUP(A56,'14.鋼版樁'!C:D,1,0),"")="","","✔")</f>
        <v/>
      </c>
      <c r="P56" s="98" t="str">
        <f>IF(IFERROR(VLOOKUP(A56,'15.路床 路基高程'!C:D,1,0),"")="","","✔")</f>
        <v/>
      </c>
      <c r="Q56" s="98" t="str">
        <f>IF(IFERROR(VLOOKUP(A56,'16.瀝青混凝土'!C:D,1,0),"")="","","✔")</f>
        <v/>
      </c>
      <c r="R56" s="98" t="str">
        <f>IF(IFERROR(VLOOKUP(A56,'17.景觀鋪面(一)'!C:D,1,0),"")="","","✔")</f>
        <v/>
      </c>
      <c r="S56" s="98" t="str">
        <f>IF(IFERROR(VLOOKUP(A56,'18.景觀鋪面(二)'!C:D,1,0),"")="","","✔")</f>
        <v/>
      </c>
      <c r="T56" s="98" t="str">
        <f>IF(IFERROR(VLOOKUP(A56,'19.預鑄緣石'!C:D,1,0),"")="","","✔")</f>
        <v/>
      </c>
      <c r="U56" s="98" t="str">
        <f>IF(IFERROR(VLOOKUP(A56,'20.鋼構工程吊裝'!C:D,1,0),"")="","","✔")</f>
        <v/>
      </c>
      <c r="V56" s="98" t="str">
        <f>IF(IFERROR(VLOOKUP(A56,'21.鋼構工程塗裝'!C:D,1,0),"")="","","✔")</f>
        <v/>
      </c>
      <c r="W56" s="98" t="str">
        <f>IF(IFERROR(VLOOKUP(A56,'22.排水設施(一)'!C:D,1,0),"")="","","✔")</f>
        <v/>
      </c>
      <c r="X56" s="98" t="str">
        <f>IF(IFERROR(VLOOKUP(A56,'23.排水設施(二)'!C:D,1,0),"")="","","✔")</f>
        <v/>
      </c>
      <c r="Y56" s="98" t="str">
        <f>IF(IFERROR(VLOOKUP(A56,'24.木構造'!C:D,1,0),"")="","","✔")</f>
        <v/>
      </c>
      <c r="Z56" s="98" t="str">
        <f>IF(IFERROR(VLOOKUP(A56,'25.管路'!C:D,1,0),"")="","","✔")</f>
        <v/>
      </c>
      <c r="AA56" s="98" t="str">
        <f>IF(IFERROR(VLOOKUP(A56,'26.植栽(移植)'!C:D,1,0),"")="","","✔")</f>
        <v>✔</v>
      </c>
      <c r="AB56" s="98" t="str">
        <f>IF(IFERROR(VLOOKUP(A56,'27.植栽(新植)'!C:D,1,0),"")="","","✔")</f>
        <v/>
      </c>
      <c r="AC56" s="98" t="str">
        <f>IF(IFERROR(VLOOKUP(A56,'28.照明'!C:D,1,0),"")="","","✔")</f>
        <v/>
      </c>
      <c r="AD56" s="98" t="str">
        <f>IF(IFERROR(VLOOKUP(A56,'29.既有橋梁拆除'!C:D,1,0),"")="","","✔")</f>
        <v/>
      </c>
    </row>
    <row r="57" spans="1:30" ht="21.75" customHeight="1" x14ac:dyDescent="0.25">
      <c r="A57" s="99">
        <v>45247</v>
      </c>
      <c r="B57" s="98" t="str">
        <f>IF(IFERROR(VLOOKUP(A57,'1.測量放樣'!C:D,1,0),"")="","","✔")</f>
        <v/>
      </c>
      <c r="C57" s="98" t="str">
        <f>IF(IFERROR(VLOOKUP(A57,'2.土方開挖'!C:D,1,0),"")="","","✔")</f>
        <v/>
      </c>
      <c r="D57" s="98" t="str">
        <f>IF(IFERROR(VLOOKUP(A57,'3.土方回填'!C:D,1,0),"")="","","✔")</f>
        <v/>
      </c>
      <c r="E57" s="98" t="str">
        <f>IF(IFERROR(VLOOKUP(A57,'4.鋼筋'!C:D,1,0),"")="","","✔")</f>
        <v/>
      </c>
      <c r="F57" s="98" t="str">
        <f>IF(IFERROR(VLOOKUP(A57,'5.模板'!C:D,1,0),"")="","","✔")</f>
        <v/>
      </c>
      <c r="G57" s="98" t="str">
        <f>IF(IFERROR(VLOOKUP(A57,'6.混凝土'!C:D,1,0),"")="","","✔")</f>
        <v/>
      </c>
      <c r="H57" s="98" t="str">
        <f>IF(IFERROR(VLOOKUP(A57,'7.植筋'!C:D,1,0),"")="","","✔")</f>
        <v/>
      </c>
      <c r="I57" s="98" t="str">
        <f>IF(IFERROR(VLOOKUP(A57,'8.預力混凝土基樁'!C:D,1,0),"")="","","✔")</f>
        <v/>
      </c>
      <c r="J57" s="98" t="str">
        <f>IF(IFERROR(VLOOKUP(A57,'9.砌塊石護岸'!C:D,1,0),"")="","","✔")</f>
        <v/>
      </c>
      <c r="K57" s="98" t="str">
        <f>IF(IFERROR(VLOOKUP(A57,'10.低水護岸'!C:D,1,0),"")="","","✔")</f>
        <v/>
      </c>
      <c r="L57" s="98" t="str">
        <f>IF(IFERROR(VLOOKUP(A57,'11.固床工'!C:D,1,0),"")="","","✔")</f>
        <v/>
      </c>
      <c r="M57" s="98" t="str">
        <f>IF(IFERROR(VLOOKUP(A57,'12.全套管基樁'!C:D,1,0),"")="","","✔")</f>
        <v/>
      </c>
      <c r="N57" s="98" t="str">
        <f>IF(IFERROR(VLOOKUP(A57,'13.鋼筋混凝土管工程'!C:D,1,0),"")="","","✔")</f>
        <v/>
      </c>
      <c r="O57" s="98" t="str">
        <f>IF(IFERROR(VLOOKUP(A57,'14.鋼版樁'!C:D,1,0),"")="","","✔")</f>
        <v/>
      </c>
      <c r="P57" s="98" t="str">
        <f>IF(IFERROR(VLOOKUP(A57,'15.路床 路基高程'!C:D,1,0),"")="","","✔")</f>
        <v/>
      </c>
      <c r="Q57" s="98" t="str">
        <f>IF(IFERROR(VLOOKUP(A57,'16.瀝青混凝土'!C:D,1,0),"")="","","✔")</f>
        <v/>
      </c>
      <c r="R57" s="98" t="str">
        <f>IF(IFERROR(VLOOKUP(A57,'17.景觀鋪面(一)'!C:D,1,0),"")="","","✔")</f>
        <v/>
      </c>
      <c r="S57" s="98" t="str">
        <f>IF(IFERROR(VLOOKUP(A57,'18.景觀鋪面(二)'!C:D,1,0),"")="","","✔")</f>
        <v/>
      </c>
      <c r="T57" s="98" t="str">
        <f>IF(IFERROR(VLOOKUP(A57,'19.預鑄緣石'!C:D,1,0),"")="","","✔")</f>
        <v/>
      </c>
      <c r="U57" s="98" t="str">
        <f>IF(IFERROR(VLOOKUP(A57,'20.鋼構工程吊裝'!C:D,1,0),"")="","","✔")</f>
        <v/>
      </c>
      <c r="V57" s="98" t="str">
        <f>IF(IFERROR(VLOOKUP(A57,'21.鋼構工程塗裝'!C:D,1,0),"")="","","✔")</f>
        <v/>
      </c>
      <c r="W57" s="98" t="str">
        <f>IF(IFERROR(VLOOKUP(A57,'22.排水設施(一)'!C:D,1,0),"")="","","✔")</f>
        <v/>
      </c>
      <c r="X57" s="98" t="str">
        <f>IF(IFERROR(VLOOKUP(A57,'23.排水設施(二)'!C:D,1,0),"")="","","✔")</f>
        <v/>
      </c>
      <c r="Y57" s="98" t="str">
        <f>IF(IFERROR(VLOOKUP(A57,'24.木構造'!C:D,1,0),"")="","","✔")</f>
        <v/>
      </c>
      <c r="Z57" s="98" t="str">
        <f>IF(IFERROR(VLOOKUP(A57,'25.管路'!C:D,1,0),"")="","","✔")</f>
        <v/>
      </c>
      <c r="AA57" s="98" t="str">
        <f>IF(IFERROR(VLOOKUP(A57,'26.植栽(移植)'!C:D,1,0),"")="","","✔")</f>
        <v>✔</v>
      </c>
      <c r="AB57" s="98" t="str">
        <f>IF(IFERROR(VLOOKUP(A57,'27.植栽(新植)'!C:D,1,0),"")="","","✔")</f>
        <v/>
      </c>
      <c r="AC57" s="98" t="str">
        <f>IF(IFERROR(VLOOKUP(A57,'28.照明'!C:D,1,0),"")="","","✔")</f>
        <v/>
      </c>
      <c r="AD57" s="98" t="str">
        <f>IF(IFERROR(VLOOKUP(A57,'29.既有橋梁拆除'!C:D,1,0),"")="","","✔")</f>
        <v/>
      </c>
    </row>
    <row r="58" spans="1:30" ht="21.75" customHeight="1" x14ac:dyDescent="0.25">
      <c r="A58" s="99">
        <v>45248</v>
      </c>
      <c r="B58" s="98" t="str">
        <f>IF(IFERROR(VLOOKUP(A58,'1.測量放樣'!C:D,1,0),"")="","","✔")</f>
        <v/>
      </c>
      <c r="C58" s="98" t="str">
        <f>IF(IFERROR(VLOOKUP(A58,'2.土方開挖'!C:D,1,0),"")="","","✔")</f>
        <v/>
      </c>
      <c r="D58" s="98" t="str">
        <f>IF(IFERROR(VLOOKUP(A58,'3.土方回填'!C:D,1,0),"")="","","✔")</f>
        <v/>
      </c>
      <c r="E58" s="98" t="str">
        <f>IF(IFERROR(VLOOKUP(A58,'4.鋼筋'!C:D,1,0),"")="","","✔")</f>
        <v/>
      </c>
      <c r="F58" s="98" t="str">
        <f>IF(IFERROR(VLOOKUP(A58,'5.模板'!C:D,1,0),"")="","","✔")</f>
        <v/>
      </c>
      <c r="G58" s="98" t="str">
        <f>IF(IFERROR(VLOOKUP(A58,'6.混凝土'!C:D,1,0),"")="","","✔")</f>
        <v/>
      </c>
      <c r="H58" s="98" t="str">
        <f>IF(IFERROR(VLOOKUP(A58,'7.植筋'!C:D,1,0),"")="","","✔")</f>
        <v/>
      </c>
      <c r="I58" s="98" t="str">
        <f>IF(IFERROR(VLOOKUP(A58,'8.預力混凝土基樁'!C:D,1,0),"")="","","✔")</f>
        <v/>
      </c>
      <c r="J58" s="98" t="str">
        <f>IF(IFERROR(VLOOKUP(A58,'9.砌塊石護岸'!C:D,1,0),"")="","","✔")</f>
        <v/>
      </c>
      <c r="K58" s="98" t="str">
        <f>IF(IFERROR(VLOOKUP(A58,'10.低水護岸'!C:D,1,0),"")="","","✔")</f>
        <v/>
      </c>
      <c r="L58" s="98" t="str">
        <f>IF(IFERROR(VLOOKUP(A58,'11.固床工'!C:D,1,0),"")="","","✔")</f>
        <v/>
      </c>
      <c r="M58" s="98" t="str">
        <f>IF(IFERROR(VLOOKUP(A58,'12.全套管基樁'!C:D,1,0),"")="","","✔")</f>
        <v/>
      </c>
      <c r="N58" s="98" t="str">
        <f>IF(IFERROR(VLOOKUP(A58,'13.鋼筋混凝土管工程'!C:D,1,0),"")="","","✔")</f>
        <v/>
      </c>
      <c r="O58" s="98" t="str">
        <f>IF(IFERROR(VLOOKUP(A58,'14.鋼版樁'!C:D,1,0),"")="","","✔")</f>
        <v/>
      </c>
      <c r="P58" s="98" t="str">
        <f>IF(IFERROR(VLOOKUP(A58,'15.路床 路基高程'!C:D,1,0),"")="","","✔")</f>
        <v/>
      </c>
      <c r="Q58" s="98" t="str">
        <f>IF(IFERROR(VLOOKUP(A58,'16.瀝青混凝土'!C:D,1,0),"")="","","✔")</f>
        <v/>
      </c>
      <c r="R58" s="98" t="str">
        <f>IF(IFERROR(VLOOKUP(A58,'17.景觀鋪面(一)'!C:D,1,0),"")="","","✔")</f>
        <v/>
      </c>
      <c r="S58" s="98" t="str">
        <f>IF(IFERROR(VLOOKUP(A58,'18.景觀鋪面(二)'!C:D,1,0),"")="","","✔")</f>
        <v/>
      </c>
      <c r="T58" s="98" t="str">
        <f>IF(IFERROR(VLOOKUP(A58,'19.預鑄緣石'!C:D,1,0),"")="","","✔")</f>
        <v/>
      </c>
      <c r="U58" s="98" t="str">
        <f>IF(IFERROR(VLOOKUP(A58,'20.鋼構工程吊裝'!C:D,1,0),"")="","","✔")</f>
        <v/>
      </c>
      <c r="V58" s="98" t="str">
        <f>IF(IFERROR(VLOOKUP(A58,'21.鋼構工程塗裝'!C:D,1,0),"")="","","✔")</f>
        <v/>
      </c>
      <c r="W58" s="98" t="str">
        <f>IF(IFERROR(VLOOKUP(A58,'22.排水設施(一)'!C:D,1,0),"")="","","✔")</f>
        <v/>
      </c>
      <c r="X58" s="98" t="str">
        <f>IF(IFERROR(VLOOKUP(A58,'23.排水設施(二)'!C:D,1,0),"")="","","✔")</f>
        <v/>
      </c>
      <c r="Y58" s="98" t="str">
        <f>IF(IFERROR(VLOOKUP(A58,'24.木構造'!C:D,1,0),"")="","","✔")</f>
        <v/>
      </c>
      <c r="Z58" s="98" t="str">
        <f>IF(IFERROR(VLOOKUP(A58,'25.管路'!C:D,1,0),"")="","","✔")</f>
        <v/>
      </c>
      <c r="AA58" s="98" t="str">
        <f>IF(IFERROR(VLOOKUP(A58,'26.植栽(移植)'!C:D,1,0),"")="","","✔")</f>
        <v/>
      </c>
      <c r="AB58" s="98" t="str">
        <f>IF(IFERROR(VLOOKUP(A58,'27.植栽(新植)'!C:D,1,0),"")="","","✔")</f>
        <v/>
      </c>
      <c r="AC58" s="98" t="str">
        <f>IF(IFERROR(VLOOKUP(A58,'28.照明'!C:D,1,0),"")="","","✔")</f>
        <v/>
      </c>
      <c r="AD58" s="98" t="str">
        <f>IF(IFERROR(VLOOKUP(A58,'29.既有橋梁拆除'!C:D,1,0),"")="","","✔")</f>
        <v/>
      </c>
    </row>
    <row r="59" spans="1:30" ht="21.75" customHeight="1" x14ac:dyDescent="0.25">
      <c r="A59" s="99">
        <v>45249</v>
      </c>
      <c r="B59" s="98" t="str">
        <f>IF(IFERROR(VLOOKUP(A59,'1.測量放樣'!C:D,1,0),"")="","","✔")</f>
        <v/>
      </c>
      <c r="C59" s="98" t="str">
        <f>IF(IFERROR(VLOOKUP(A59,'2.土方開挖'!C:D,1,0),"")="","","✔")</f>
        <v/>
      </c>
      <c r="D59" s="98" t="str">
        <f>IF(IFERROR(VLOOKUP(A59,'3.土方回填'!C:D,1,0),"")="","","✔")</f>
        <v/>
      </c>
      <c r="E59" s="98" t="str">
        <f>IF(IFERROR(VLOOKUP(A59,'4.鋼筋'!C:D,1,0),"")="","","✔")</f>
        <v/>
      </c>
      <c r="F59" s="98" t="str">
        <f>IF(IFERROR(VLOOKUP(A59,'5.模板'!C:D,1,0),"")="","","✔")</f>
        <v/>
      </c>
      <c r="G59" s="98" t="str">
        <f>IF(IFERROR(VLOOKUP(A59,'6.混凝土'!C:D,1,0),"")="","","✔")</f>
        <v/>
      </c>
      <c r="H59" s="98" t="str">
        <f>IF(IFERROR(VLOOKUP(A59,'7.植筋'!C:D,1,0),"")="","","✔")</f>
        <v/>
      </c>
      <c r="I59" s="98" t="str">
        <f>IF(IFERROR(VLOOKUP(A59,'8.預力混凝土基樁'!C:D,1,0),"")="","","✔")</f>
        <v/>
      </c>
      <c r="J59" s="98" t="str">
        <f>IF(IFERROR(VLOOKUP(A59,'9.砌塊石護岸'!C:D,1,0),"")="","","✔")</f>
        <v/>
      </c>
      <c r="K59" s="98" t="str">
        <f>IF(IFERROR(VLOOKUP(A59,'10.低水護岸'!C:D,1,0),"")="","","✔")</f>
        <v/>
      </c>
      <c r="L59" s="98" t="str">
        <f>IF(IFERROR(VLOOKUP(A59,'11.固床工'!C:D,1,0),"")="","","✔")</f>
        <v/>
      </c>
      <c r="M59" s="98" t="str">
        <f>IF(IFERROR(VLOOKUP(A59,'12.全套管基樁'!C:D,1,0),"")="","","✔")</f>
        <v/>
      </c>
      <c r="N59" s="98" t="str">
        <f>IF(IFERROR(VLOOKUP(A59,'13.鋼筋混凝土管工程'!C:D,1,0),"")="","","✔")</f>
        <v/>
      </c>
      <c r="O59" s="98" t="str">
        <f>IF(IFERROR(VLOOKUP(A59,'14.鋼版樁'!C:D,1,0),"")="","","✔")</f>
        <v/>
      </c>
      <c r="P59" s="98" t="str">
        <f>IF(IFERROR(VLOOKUP(A59,'15.路床 路基高程'!C:D,1,0),"")="","","✔")</f>
        <v/>
      </c>
      <c r="Q59" s="98" t="str">
        <f>IF(IFERROR(VLOOKUP(A59,'16.瀝青混凝土'!C:D,1,0),"")="","","✔")</f>
        <v/>
      </c>
      <c r="R59" s="98" t="str">
        <f>IF(IFERROR(VLOOKUP(A59,'17.景觀鋪面(一)'!C:D,1,0),"")="","","✔")</f>
        <v/>
      </c>
      <c r="S59" s="98" t="str">
        <f>IF(IFERROR(VLOOKUP(A59,'18.景觀鋪面(二)'!C:D,1,0),"")="","","✔")</f>
        <v/>
      </c>
      <c r="T59" s="98" t="str">
        <f>IF(IFERROR(VLOOKUP(A59,'19.預鑄緣石'!C:D,1,0),"")="","","✔")</f>
        <v/>
      </c>
      <c r="U59" s="98" t="str">
        <f>IF(IFERROR(VLOOKUP(A59,'20.鋼構工程吊裝'!C:D,1,0),"")="","","✔")</f>
        <v/>
      </c>
      <c r="V59" s="98" t="str">
        <f>IF(IFERROR(VLOOKUP(A59,'21.鋼構工程塗裝'!C:D,1,0),"")="","","✔")</f>
        <v/>
      </c>
      <c r="W59" s="98" t="str">
        <f>IF(IFERROR(VLOOKUP(A59,'22.排水設施(一)'!C:D,1,0),"")="","","✔")</f>
        <v/>
      </c>
      <c r="X59" s="98" t="str">
        <f>IF(IFERROR(VLOOKUP(A59,'23.排水設施(二)'!C:D,1,0),"")="","","✔")</f>
        <v/>
      </c>
      <c r="Y59" s="98" t="str">
        <f>IF(IFERROR(VLOOKUP(A59,'24.木構造'!C:D,1,0),"")="","","✔")</f>
        <v/>
      </c>
      <c r="Z59" s="98" t="str">
        <f>IF(IFERROR(VLOOKUP(A59,'25.管路'!C:D,1,0),"")="","","✔")</f>
        <v/>
      </c>
      <c r="AA59" s="98" t="str">
        <f>IF(IFERROR(VLOOKUP(A59,'26.植栽(移植)'!C:D,1,0),"")="","","✔")</f>
        <v/>
      </c>
      <c r="AB59" s="98" t="str">
        <f>IF(IFERROR(VLOOKUP(A59,'27.植栽(新植)'!C:D,1,0),"")="","","✔")</f>
        <v/>
      </c>
      <c r="AC59" s="98" t="str">
        <f>IF(IFERROR(VLOOKUP(A59,'28.照明'!C:D,1,0),"")="","","✔")</f>
        <v/>
      </c>
      <c r="AD59" s="98" t="str">
        <f>IF(IFERROR(VLOOKUP(A59,'29.既有橋梁拆除'!C:D,1,0),"")="","","✔")</f>
        <v/>
      </c>
    </row>
    <row r="60" spans="1:30" ht="21.75" customHeight="1" x14ac:dyDescent="0.25">
      <c r="A60" s="99">
        <v>45250</v>
      </c>
      <c r="B60" s="98" t="str">
        <f>IF(IFERROR(VLOOKUP(A60,'1.測量放樣'!C:D,1,0),"")="","","✔")</f>
        <v>✔</v>
      </c>
      <c r="C60" s="98" t="str">
        <f>IF(IFERROR(VLOOKUP(A60,'2.土方開挖'!C:D,1,0),"")="","","✔")</f>
        <v/>
      </c>
      <c r="D60" s="98" t="str">
        <f>IF(IFERROR(VLOOKUP(A60,'3.土方回填'!C:D,1,0),"")="","","✔")</f>
        <v/>
      </c>
      <c r="E60" s="98" t="str">
        <f>IF(IFERROR(VLOOKUP(A60,'4.鋼筋'!C:D,1,0),"")="","","✔")</f>
        <v/>
      </c>
      <c r="F60" s="98" t="str">
        <f>IF(IFERROR(VLOOKUP(A60,'5.模板'!C:D,1,0),"")="","","✔")</f>
        <v/>
      </c>
      <c r="G60" s="98" t="str">
        <f>IF(IFERROR(VLOOKUP(A60,'6.混凝土'!C:D,1,0),"")="","","✔")</f>
        <v/>
      </c>
      <c r="H60" s="98" t="str">
        <f>IF(IFERROR(VLOOKUP(A60,'7.植筋'!C:D,1,0),"")="","","✔")</f>
        <v/>
      </c>
      <c r="I60" s="98" t="str">
        <f>IF(IFERROR(VLOOKUP(A60,'8.預力混凝土基樁'!C:D,1,0),"")="","","✔")</f>
        <v/>
      </c>
      <c r="J60" s="98" t="str">
        <f>IF(IFERROR(VLOOKUP(A60,'9.砌塊石護岸'!C:D,1,0),"")="","","✔")</f>
        <v/>
      </c>
      <c r="K60" s="98" t="str">
        <f>IF(IFERROR(VLOOKUP(A60,'10.低水護岸'!C:D,1,0),"")="","","✔")</f>
        <v/>
      </c>
      <c r="L60" s="98" t="str">
        <f>IF(IFERROR(VLOOKUP(A60,'11.固床工'!C:D,1,0),"")="","","✔")</f>
        <v/>
      </c>
      <c r="M60" s="98" t="str">
        <f>IF(IFERROR(VLOOKUP(A60,'12.全套管基樁'!C:D,1,0),"")="","","✔")</f>
        <v/>
      </c>
      <c r="N60" s="98" t="str">
        <f>IF(IFERROR(VLOOKUP(A60,'13.鋼筋混凝土管工程'!C:D,1,0),"")="","","✔")</f>
        <v/>
      </c>
      <c r="O60" s="98" t="str">
        <f>IF(IFERROR(VLOOKUP(A60,'14.鋼版樁'!C:D,1,0),"")="","","✔")</f>
        <v/>
      </c>
      <c r="P60" s="98" t="str">
        <f>IF(IFERROR(VLOOKUP(A60,'15.路床 路基高程'!C:D,1,0),"")="","","✔")</f>
        <v/>
      </c>
      <c r="Q60" s="98" t="str">
        <f>IF(IFERROR(VLOOKUP(A60,'16.瀝青混凝土'!C:D,1,0),"")="","","✔")</f>
        <v/>
      </c>
      <c r="R60" s="98" t="str">
        <f>IF(IFERROR(VLOOKUP(A60,'17.景觀鋪面(一)'!C:D,1,0),"")="","","✔")</f>
        <v/>
      </c>
      <c r="S60" s="98" t="str">
        <f>IF(IFERROR(VLOOKUP(A60,'18.景觀鋪面(二)'!C:D,1,0),"")="","","✔")</f>
        <v/>
      </c>
      <c r="T60" s="98" t="str">
        <f>IF(IFERROR(VLOOKUP(A60,'19.預鑄緣石'!C:D,1,0),"")="","","✔")</f>
        <v/>
      </c>
      <c r="U60" s="98" t="str">
        <f>IF(IFERROR(VLOOKUP(A60,'20.鋼構工程吊裝'!C:D,1,0),"")="","","✔")</f>
        <v/>
      </c>
      <c r="V60" s="98" t="str">
        <f>IF(IFERROR(VLOOKUP(A60,'21.鋼構工程塗裝'!C:D,1,0),"")="","","✔")</f>
        <v/>
      </c>
      <c r="W60" s="98" t="str">
        <f>IF(IFERROR(VLOOKUP(A60,'22.排水設施(一)'!C:D,1,0),"")="","","✔")</f>
        <v/>
      </c>
      <c r="X60" s="98" t="str">
        <f>IF(IFERROR(VLOOKUP(A60,'23.排水設施(二)'!C:D,1,0),"")="","","✔")</f>
        <v/>
      </c>
      <c r="Y60" s="98" t="str">
        <f>IF(IFERROR(VLOOKUP(A60,'24.木構造'!C:D,1,0),"")="","","✔")</f>
        <v/>
      </c>
      <c r="Z60" s="98" t="str">
        <f>IF(IFERROR(VLOOKUP(A60,'25.管路'!C:D,1,0),"")="","","✔")</f>
        <v/>
      </c>
      <c r="AA60" s="98" t="str">
        <f>IF(IFERROR(VLOOKUP(A60,'26.植栽(移植)'!C:D,1,0),"")="","","✔")</f>
        <v/>
      </c>
      <c r="AB60" s="98" t="str">
        <f>IF(IFERROR(VLOOKUP(A60,'27.植栽(新植)'!C:D,1,0),"")="","","✔")</f>
        <v/>
      </c>
      <c r="AC60" s="98" t="str">
        <f>IF(IFERROR(VLOOKUP(A60,'28.照明'!C:D,1,0),"")="","","✔")</f>
        <v/>
      </c>
      <c r="AD60" s="98" t="str">
        <f>IF(IFERROR(VLOOKUP(A60,'29.既有橋梁拆除'!C:D,1,0),"")="","","✔")</f>
        <v/>
      </c>
    </row>
    <row r="61" spans="1:30" ht="21.75" customHeight="1" x14ac:dyDescent="0.25">
      <c r="A61" s="99">
        <v>45251</v>
      </c>
      <c r="B61" s="98" t="str">
        <f>IF(IFERROR(VLOOKUP(A61,'1.測量放樣'!C:D,1,0),"")="","","✔")</f>
        <v/>
      </c>
      <c r="C61" s="98" t="str">
        <f>IF(IFERROR(VLOOKUP(A61,'2.土方開挖'!C:D,1,0),"")="","","✔")</f>
        <v/>
      </c>
      <c r="D61" s="98" t="str">
        <f>IF(IFERROR(VLOOKUP(A61,'3.土方回填'!C:D,1,0),"")="","","✔")</f>
        <v/>
      </c>
      <c r="E61" s="98" t="str">
        <f>IF(IFERROR(VLOOKUP(A61,'4.鋼筋'!C:D,1,0),"")="","","✔")</f>
        <v/>
      </c>
      <c r="F61" s="98" t="str">
        <f>IF(IFERROR(VLOOKUP(A61,'5.模板'!C:D,1,0),"")="","","✔")</f>
        <v/>
      </c>
      <c r="G61" s="98" t="str">
        <f>IF(IFERROR(VLOOKUP(A61,'6.混凝土'!C:D,1,0),"")="","","✔")</f>
        <v/>
      </c>
      <c r="H61" s="98" t="str">
        <f>IF(IFERROR(VLOOKUP(A61,'7.植筋'!C:D,1,0),"")="","","✔")</f>
        <v/>
      </c>
      <c r="I61" s="98" t="str">
        <f>IF(IFERROR(VLOOKUP(A61,'8.預力混凝土基樁'!C:D,1,0),"")="","","✔")</f>
        <v/>
      </c>
      <c r="J61" s="98" t="str">
        <f>IF(IFERROR(VLOOKUP(A61,'9.砌塊石護岸'!C:D,1,0),"")="","","✔")</f>
        <v/>
      </c>
      <c r="K61" s="98" t="str">
        <f>IF(IFERROR(VLOOKUP(A61,'10.低水護岸'!C:D,1,0),"")="","","✔")</f>
        <v/>
      </c>
      <c r="L61" s="98" t="str">
        <f>IF(IFERROR(VLOOKUP(A61,'11.固床工'!C:D,1,0),"")="","","✔")</f>
        <v/>
      </c>
      <c r="M61" s="98" t="str">
        <f>IF(IFERROR(VLOOKUP(A61,'12.全套管基樁'!C:D,1,0),"")="","","✔")</f>
        <v/>
      </c>
      <c r="N61" s="98" t="str">
        <f>IF(IFERROR(VLOOKUP(A61,'13.鋼筋混凝土管工程'!C:D,1,0),"")="","","✔")</f>
        <v/>
      </c>
      <c r="O61" s="98" t="str">
        <f>IF(IFERROR(VLOOKUP(A61,'14.鋼版樁'!C:D,1,0),"")="","","✔")</f>
        <v/>
      </c>
      <c r="P61" s="98" t="str">
        <f>IF(IFERROR(VLOOKUP(A61,'15.路床 路基高程'!C:D,1,0),"")="","","✔")</f>
        <v/>
      </c>
      <c r="Q61" s="98" t="str">
        <f>IF(IFERROR(VLOOKUP(A61,'16.瀝青混凝土'!C:D,1,0),"")="","","✔")</f>
        <v/>
      </c>
      <c r="R61" s="98" t="str">
        <f>IF(IFERROR(VLOOKUP(A61,'17.景觀鋪面(一)'!C:D,1,0),"")="","","✔")</f>
        <v/>
      </c>
      <c r="S61" s="98" t="str">
        <f>IF(IFERROR(VLOOKUP(A61,'18.景觀鋪面(二)'!C:D,1,0),"")="","","✔")</f>
        <v/>
      </c>
      <c r="T61" s="98" t="str">
        <f>IF(IFERROR(VLOOKUP(A61,'19.預鑄緣石'!C:D,1,0),"")="","","✔")</f>
        <v/>
      </c>
      <c r="U61" s="98" t="str">
        <f>IF(IFERROR(VLOOKUP(A61,'20.鋼構工程吊裝'!C:D,1,0),"")="","","✔")</f>
        <v/>
      </c>
      <c r="V61" s="98" t="str">
        <f>IF(IFERROR(VLOOKUP(A61,'21.鋼構工程塗裝'!C:D,1,0),"")="","","✔")</f>
        <v/>
      </c>
      <c r="W61" s="98" t="str">
        <f>IF(IFERROR(VLOOKUP(A61,'22.排水設施(一)'!C:D,1,0),"")="","","✔")</f>
        <v/>
      </c>
      <c r="X61" s="98" t="str">
        <f>IF(IFERROR(VLOOKUP(A61,'23.排水設施(二)'!C:D,1,0),"")="","","✔")</f>
        <v/>
      </c>
      <c r="Y61" s="98" t="str">
        <f>IF(IFERROR(VLOOKUP(A61,'24.木構造'!C:D,1,0),"")="","","✔")</f>
        <v/>
      </c>
      <c r="Z61" s="98" t="str">
        <f>IF(IFERROR(VLOOKUP(A61,'25.管路'!C:D,1,0),"")="","","✔")</f>
        <v/>
      </c>
      <c r="AA61" s="98" t="str">
        <f>IF(IFERROR(VLOOKUP(A61,'26.植栽(移植)'!C:D,1,0),"")="","","✔")</f>
        <v/>
      </c>
      <c r="AB61" s="98" t="str">
        <f>IF(IFERROR(VLOOKUP(A61,'27.植栽(新植)'!C:D,1,0),"")="","","✔")</f>
        <v/>
      </c>
      <c r="AC61" s="98" t="str">
        <f>IF(IFERROR(VLOOKUP(A61,'28.照明'!C:D,1,0),"")="","","✔")</f>
        <v/>
      </c>
      <c r="AD61" s="98" t="str">
        <f>IF(IFERROR(VLOOKUP(A61,'29.既有橋梁拆除'!C:D,1,0),"")="","","✔")</f>
        <v/>
      </c>
    </row>
    <row r="62" spans="1:30" ht="21.75" customHeight="1" x14ac:dyDescent="0.25">
      <c r="A62" s="99">
        <v>45252</v>
      </c>
      <c r="B62" s="98" t="str">
        <f>IF(IFERROR(VLOOKUP(A62,'1.測量放樣'!C:D,1,0),"")="","","✔")</f>
        <v/>
      </c>
      <c r="C62" s="98" t="str">
        <f>IF(IFERROR(VLOOKUP(A62,'2.土方開挖'!C:D,1,0),"")="","","✔")</f>
        <v>✔</v>
      </c>
      <c r="D62" s="98" t="str">
        <f>IF(IFERROR(VLOOKUP(A62,'3.土方回填'!C:D,1,0),"")="","","✔")</f>
        <v/>
      </c>
      <c r="E62" s="98" t="str">
        <f>IF(IFERROR(VLOOKUP(A62,'4.鋼筋'!C:D,1,0),"")="","","✔")</f>
        <v/>
      </c>
      <c r="F62" s="98" t="str">
        <f>IF(IFERROR(VLOOKUP(A62,'5.模板'!C:D,1,0),"")="","","✔")</f>
        <v/>
      </c>
      <c r="G62" s="98" t="str">
        <f>IF(IFERROR(VLOOKUP(A62,'6.混凝土'!C:D,1,0),"")="","","✔")</f>
        <v/>
      </c>
      <c r="H62" s="98" t="str">
        <f>IF(IFERROR(VLOOKUP(A62,'7.植筋'!C:D,1,0),"")="","","✔")</f>
        <v/>
      </c>
      <c r="I62" s="98" t="str">
        <f>IF(IFERROR(VLOOKUP(A62,'8.預力混凝土基樁'!C:D,1,0),"")="","","✔")</f>
        <v/>
      </c>
      <c r="J62" s="98" t="str">
        <f>IF(IFERROR(VLOOKUP(A62,'9.砌塊石護岸'!C:D,1,0),"")="","","✔")</f>
        <v/>
      </c>
      <c r="K62" s="98" t="str">
        <f>IF(IFERROR(VLOOKUP(A62,'10.低水護岸'!C:D,1,0),"")="","","✔")</f>
        <v/>
      </c>
      <c r="L62" s="98" t="str">
        <f>IF(IFERROR(VLOOKUP(A62,'11.固床工'!C:D,1,0),"")="","","✔")</f>
        <v/>
      </c>
      <c r="M62" s="98" t="str">
        <f>IF(IFERROR(VLOOKUP(A62,'12.全套管基樁'!C:D,1,0),"")="","","✔")</f>
        <v/>
      </c>
      <c r="N62" s="98" t="str">
        <f>IF(IFERROR(VLOOKUP(A62,'13.鋼筋混凝土管工程'!C:D,1,0),"")="","","✔")</f>
        <v/>
      </c>
      <c r="O62" s="98" t="str">
        <f>IF(IFERROR(VLOOKUP(A62,'14.鋼版樁'!C:D,1,0),"")="","","✔")</f>
        <v/>
      </c>
      <c r="P62" s="98" t="str">
        <f>IF(IFERROR(VLOOKUP(A62,'15.路床 路基高程'!C:D,1,0),"")="","","✔")</f>
        <v/>
      </c>
      <c r="Q62" s="98" t="str">
        <f>IF(IFERROR(VLOOKUP(A62,'16.瀝青混凝土'!C:D,1,0),"")="","","✔")</f>
        <v/>
      </c>
      <c r="R62" s="98" t="str">
        <f>IF(IFERROR(VLOOKUP(A62,'17.景觀鋪面(一)'!C:D,1,0),"")="","","✔")</f>
        <v/>
      </c>
      <c r="S62" s="98" t="str">
        <f>IF(IFERROR(VLOOKUP(A62,'18.景觀鋪面(二)'!C:D,1,0),"")="","","✔")</f>
        <v/>
      </c>
      <c r="T62" s="98" t="str">
        <f>IF(IFERROR(VLOOKUP(A62,'19.預鑄緣石'!C:D,1,0),"")="","","✔")</f>
        <v/>
      </c>
      <c r="U62" s="98" t="str">
        <f>IF(IFERROR(VLOOKUP(A62,'20.鋼構工程吊裝'!C:D,1,0),"")="","","✔")</f>
        <v/>
      </c>
      <c r="V62" s="98" t="str">
        <f>IF(IFERROR(VLOOKUP(A62,'21.鋼構工程塗裝'!C:D,1,0),"")="","","✔")</f>
        <v/>
      </c>
      <c r="W62" s="98" t="str">
        <f>IF(IFERROR(VLOOKUP(A62,'22.排水設施(一)'!C:D,1,0),"")="","","✔")</f>
        <v/>
      </c>
      <c r="X62" s="98" t="str">
        <f>IF(IFERROR(VLOOKUP(A62,'23.排水設施(二)'!C:D,1,0),"")="","","✔")</f>
        <v/>
      </c>
      <c r="Y62" s="98" t="str">
        <f>IF(IFERROR(VLOOKUP(A62,'24.木構造'!C:D,1,0),"")="","","✔")</f>
        <v/>
      </c>
      <c r="Z62" s="98" t="str">
        <f>IF(IFERROR(VLOOKUP(A62,'25.管路'!C:D,1,0),"")="","","✔")</f>
        <v/>
      </c>
      <c r="AA62" s="98" t="str">
        <f>IF(IFERROR(VLOOKUP(A62,'26.植栽(移植)'!C:D,1,0),"")="","","✔")</f>
        <v/>
      </c>
      <c r="AB62" s="98" t="str">
        <f>IF(IFERROR(VLOOKUP(A62,'27.植栽(新植)'!C:D,1,0),"")="","","✔")</f>
        <v/>
      </c>
      <c r="AC62" s="98" t="str">
        <f>IF(IFERROR(VLOOKUP(A62,'28.照明'!C:D,1,0),"")="","","✔")</f>
        <v/>
      </c>
      <c r="AD62" s="98" t="str">
        <f>IF(IFERROR(VLOOKUP(A62,'29.既有橋梁拆除'!C:D,1,0),"")="","","✔")</f>
        <v/>
      </c>
    </row>
    <row r="63" spans="1:30" ht="21.75" customHeight="1" x14ac:dyDescent="0.25">
      <c r="A63" s="99">
        <v>45253</v>
      </c>
      <c r="B63" s="98" t="str">
        <f>IF(IFERROR(VLOOKUP(A63,'1.測量放樣'!C:D,1,0),"")="","","✔")</f>
        <v/>
      </c>
      <c r="C63" s="98" t="str">
        <f>IF(IFERROR(VLOOKUP(A63,'2.土方開挖'!C:D,1,0),"")="","","✔")</f>
        <v>✔</v>
      </c>
      <c r="D63" s="98" t="str">
        <f>IF(IFERROR(VLOOKUP(A63,'3.土方回填'!C:D,1,0),"")="","","✔")</f>
        <v/>
      </c>
      <c r="E63" s="98" t="str">
        <f>IF(IFERROR(VLOOKUP(A63,'4.鋼筋'!C:D,1,0),"")="","","✔")</f>
        <v/>
      </c>
      <c r="F63" s="98" t="str">
        <f>IF(IFERROR(VLOOKUP(A63,'5.模板'!C:D,1,0),"")="","","✔")</f>
        <v/>
      </c>
      <c r="G63" s="98" t="str">
        <f>IF(IFERROR(VLOOKUP(A63,'6.混凝土'!C:D,1,0),"")="","","✔")</f>
        <v/>
      </c>
      <c r="H63" s="98" t="str">
        <f>IF(IFERROR(VLOOKUP(A63,'7.植筋'!C:D,1,0),"")="","","✔")</f>
        <v/>
      </c>
      <c r="I63" s="98" t="str">
        <f>IF(IFERROR(VLOOKUP(A63,'8.預力混凝土基樁'!C:D,1,0),"")="","","✔")</f>
        <v/>
      </c>
      <c r="J63" s="98" t="str">
        <f>IF(IFERROR(VLOOKUP(A63,'9.砌塊石護岸'!C:D,1,0),"")="","","✔")</f>
        <v/>
      </c>
      <c r="K63" s="98" t="str">
        <f>IF(IFERROR(VLOOKUP(A63,'10.低水護岸'!C:D,1,0),"")="","","✔")</f>
        <v/>
      </c>
      <c r="L63" s="98" t="str">
        <f>IF(IFERROR(VLOOKUP(A63,'11.固床工'!C:D,1,0),"")="","","✔")</f>
        <v/>
      </c>
      <c r="M63" s="98" t="str">
        <f>IF(IFERROR(VLOOKUP(A63,'12.全套管基樁'!C:D,1,0),"")="","","✔")</f>
        <v/>
      </c>
      <c r="N63" s="98" t="str">
        <f>IF(IFERROR(VLOOKUP(A63,'13.鋼筋混凝土管工程'!C:D,1,0),"")="","","✔")</f>
        <v/>
      </c>
      <c r="O63" s="98" t="str">
        <f>IF(IFERROR(VLOOKUP(A63,'14.鋼版樁'!C:D,1,0),"")="","","✔")</f>
        <v/>
      </c>
      <c r="P63" s="98" t="str">
        <f>IF(IFERROR(VLOOKUP(A63,'15.路床 路基高程'!C:D,1,0),"")="","","✔")</f>
        <v/>
      </c>
      <c r="Q63" s="98" t="str">
        <f>IF(IFERROR(VLOOKUP(A63,'16.瀝青混凝土'!C:D,1,0),"")="","","✔")</f>
        <v/>
      </c>
      <c r="R63" s="98" t="str">
        <f>IF(IFERROR(VLOOKUP(A63,'17.景觀鋪面(一)'!C:D,1,0),"")="","","✔")</f>
        <v/>
      </c>
      <c r="S63" s="98" t="str">
        <f>IF(IFERROR(VLOOKUP(A63,'18.景觀鋪面(二)'!C:D,1,0),"")="","","✔")</f>
        <v/>
      </c>
      <c r="T63" s="98" t="str">
        <f>IF(IFERROR(VLOOKUP(A63,'19.預鑄緣石'!C:D,1,0),"")="","","✔")</f>
        <v/>
      </c>
      <c r="U63" s="98" t="str">
        <f>IF(IFERROR(VLOOKUP(A63,'20.鋼構工程吊裝'!C:D,1,0),"")="","","✔")</f>
        <v/>
      </c>
      <c r="V63" s="98" t="str">
        <f>IF(IFERROR(VLOOKUP(A63,'21.鋼構工程塗裝'!C:D,1,0),"")="","","✔")</f>
        <v/>
      </c>
      <c r="W63" s="98" t="str">
        <f>IF(IFERROR(VLOOKUP(A63,'22.排水設施(一)'!C:D,1,0),"")="","","✔")</f>
        <v/>
      </c>
      <c r="X63" s="98" t="str">
        <f>IF(IFERROR(VLOOKUP(A63,'23.排水設施(二)'!C:D,1,0),"")="","","✔")</f>
        <v/>
      </c>
      <c r="Y63" s="98" t="str">
        <f>IF(IFERROR(VLOOKUP(A63,'24.木構造'!C:D,1,0),"")="","","✔")</f>
        <v/>
      </c>
      <c r="Z63" s="98" t="str">
        <f>IF(IFERROR(VLOOKUP(A63,'25.管路'!C:D,1,0),"")="","","✔")</f>
        <v/>
      </c>
      <c r="AA63" s="98" t="str">
        <f>IF(IFERROR(VLOOKUP(A63,'26.植栽(移植)'!C:D,1,0),"")="","","✔")</f>
        <v/>
      </c>
      <c r="AB63" s="98" t="str">
        <f>IF(IFERROR(VLOOKUP(A63,'27.植栽(新植)'!C:D,1,0),"")="","","✔")</f>
        <v/>
      </c>
      <c r="AC63" s="98" t="str">
        <f>IF(IFERROR(VLOOKUP(A63,'28.照明'!C:D,1,0),"")="","","✔")</f>
        <v/>
      </c>
      <c r="AD63" s="98" t="str">
        <f>IF(IFERROR(VLOOKUP(A63,'29.既有橋梁拆除'!C:D,1,0),"")="","","✔")</f>
        <v/>
      </c>
    </row>
    <row r="64" spans="1:30" ht="21.75" customHeight="1" x14ac:dyDescent="0.25">
      <c r="A64" s="99">
        <v>45254</v>
      </c>
      <c r="B64" s="98" t="str">
        <f>IF(IFERROR(VLOOKUP(A64,'1.測量放樣'!C:D,1,0),"")="","","✔")</f>
        <v/>
      </c>
      <c r="C64" s="98" t="str">
        <f>IF(IFERROR(VLOOKUP(A64,'2.土方開挖'!C:D,1,0),"")="","","✔")</f>
        <v/>
      </c>
      <c r="D64" s="98" t="str">
        <f>IF(IFERROR(VLOOKUP(A64,'3.土方回填'!C:D,1,0),"")="","","✔")</f>
        <v/>
      </c>
      <c r="E64" s="98" t="str">
        <f>IF(IFERROR(VLOOKUP(A64,'4.鋼筋'!C:D,1,0),"")="","","✔")</f>
        <v/>
      </c>
      <c r="F64" s="98" t="str">
        <f>IF(IFERROR(VLOOKUP(A64,'5.模板'!C:D,1,0),"")="","","✔")</f>
        <v/>
      </c>
      <c r="G64" s="98" t="str">
        <f>IF(IFERROR(VLOOKUP(A64,'6.混凝土'!C:D,1,0),"")="","","✔")</f>
        <v/>
      </c>
      <c r="H64" s="98" t="str">
        <f>IF(IFERROR(VLOOKUP(A64,'7.植筋'!C:D,1,0),"")="","","✔")</f>
        <v/>
      </c>
      <c r="I64" s="98" t="str">
        <f>IF(IFERROR(VLOOKUP(A64,'8.預力混凝土基樁'!C:D,1,0),"")="","","✔")</f>
        <v/>
      </c>
      <c r="J64" s="98" t="str">
        <f>IF(IFERROR(VLOOKUP(A64,'9.砌塊石護岸'!C:D,1,0),"")="","","✔")</f>
        <v/>
      </c>
      <c r="K64" s="98" t="str">
        <f>IF(IFERROR(VLOOKUP(A64,'10.低水護岸'!C:D,1,0),"")="","","✔")</f>
        <v/>
      </c>
      <c r="L64" s="98" t="str">
        <f>IF(IFERROR(VLOOKUP(A64,'11.固床工'!C:D,1,0),"")="","","✔")</f>
        <v/>
      </c>
      <c r="M64" s="98" t="str">
        <f>IF(IFERROR(VLOOKUP(A64,'12.全套管基樁'!C:D,1,0),"")="","","✔")</f>
        <v/>
      </c>
      <c r="N64" s="98" t="str">
        <f>IF(IFERROR(VLOOKUP(A64,'13.鋼筋混凝土管工程'!C:D,1,0),"")="","","✔")</f>
        <v/>
      </c>
      <c r="O64" s="98" t="str">
        <f>IF(IFERROR(VLOOKUP(A64,'14.鋼版樁'!C:D,1,0),"")="","","✔")</f>
        <v/>
      </c>
      <c r="P64" s="98" t="str">
        <f>IF(IFERROR(VLOOKUP(A64,'15.路床 路基高程'!C:D,1,0),"")="","","✔")</f>
        <v/>
      </c>
      <c r="Q64" s="98" t="str">
        <f>IF(IFERROR(VLOOKUP(A64,'16.瀝青混凝土'!C:D,1,0),"")="","","✔")</f>
        <v/>
      </c>
      <c r="R64" s="98" t="str">
        <f>IF(IFERROR(VLOOKUP(A64,'17.景觀鋪面(一)'!C:D,1,0),"")="","","✔")</f>
        <v/>
      </c>
      <c r="S64" s="98" t="str">
        <f>IF(IFERROR(VLOOKUP(A64,'18.景觀鋪面(二)'!C:D,1,0),"")="","","✔")</f>
        <v/>
      </c>
      <c r="T64" s="98" t="str">
        <f>IF(IFERROR(VLOOKUP(A64,'19.預鑄緣石'!C:D,1,0),"")="","","✔")</f>
        <v/>
      </c>
      <c r="U64" s="98" t="str">
        <f>IF(IFERROR(VLOOKUP(A64,'20.鋼構工程吊裝'!C:D,1,0),"")="","","✔")</f>
        <v/>
      </c>
      <c r="V64" s="98" t="str">
        <f>IF(IFERROR(VLOOKUP(A64,'21.鋼構工程塗裝'!C:D,1,0),"")="","","✔")</f>
        <v/>
      </c>
      <c r="W64" s="98" t="str">
        <f>IF(IFERROR(VLOOKUP(A64,'22.排水設施(一)'!C:D,1,0),"")="","","✔")</f>
        <v/>
      </c>
      <c r="X64" s="98" t="str">
        <f>IF(IFERROR(VLOOKUP(A64,'23.排水設施(二)'!C:D,1,0),"")="","","✔")</f>
        <v/>
      </c>
      <c r="Y64" s="98" t="str">
        <f>IF(IFERROR(VLOOKUP(A64,'24.木構造'!C:D,1,0),"")="","","✔")</f>
        <v/>
      </c>
      <c r="Z64" s="98" t="str">
        <f>IF(IFERROR(VLOOKUP(A64,'25.管路'!C:D,1,0),"")="","","✔")</f>
        <v/>
      </c>
      <c r="AA64" s="98" t="str">
        <f>IF(IFERROR(VLOOKUP(A64,'26.植栽(移植)'!C:D,1,0),"")="","","✔")</f>
        <v/>
      </c>
      <c r="AB64" s="98" t="str">
        <f>IF(IFERROR(VLOOKUP(A64,'27.植栽(新植)'!C:D,1,0),"")="","","✔")</f>
        <v/>
      </c>
      <c r="AC64" s="98" t="str">
        <f>IF(IFERROR(VLOOKUP(A64,'28.照明'!C:D,1,0),"")="","","✔")</f>
        <v/>
      </c>
      <c r="AD64" s="98" t="str">
        <f>IF(IFERROR(VLOOKUP(A64,'29.既有橋梁拆除'!C:D,1,0),"")="","","✔")</f>
        <v/>
      </c>
    </row>
    <row r="65" spans="1:30" ht="21.75" customHeight="1" x14ac:dyDescent="0.25">
      <c r="A65" s="99">
        <v>45255</v>
      </c>
      <c r="B65" s="98" t="str">
        <f>IF(IFERROR(VLOOKUP(A65,'1.測量放樣'!C:D,1,0),"")="","","✔")</f>
        <v/>
      </c>
      <c r="C65" s="98" t="str">
        <f>IF(IFERROR(VLOOKUP(A65,'2.土方開挖'!C:D,1,0),"")="","","✔")</f>
        <v/>
      </c>
      <c r="D65" s="98" t="str">
        <f>IF(IFERROR(VLOOKUP(A65,'3.土方回填'!C:D,1,0),"")="","","✔")</f>
        <v/>
      </c>
      <c r="E65" s="98" t="str">
        <f>IF(IFERROR(VLOOKUP(A65,'4.鋼筋'!C:D,1,0),"")="","","✔")</f>
        <v/>
      </c>
      <c r="F65" s="98" t="str">
        <f>IF(IFERROR(VLOOKUP(A65,'5.模板'!C:D,1,0),"")="","","✔")</f>
        <v/>
      </c>
      <c r="G65" s="98" t="str">
        <f>IF(IFERROR(VLOOKUP(A65,'6.混凝土'!C:D,1,0),"")="","","✔")</f>
        <v/>
      </c>
      <c r="H65" s="98" t="str">
        <f>IF(IFERROR(VLOOKUP(A65,'7.植筋'!C:D,1,0),"")="","","✔")</f>
        <v/>
      </c>
      <c r="I65" s="98" t="str">
        <f>IF(IFERROR(VLOOKUP(A65,'8.預力混凝土基樁'!C:D,1,0),"")="","","✔")</f>
        <v/>
      </c>
      <c r="J65" s="98" t="str">
        <f>IF(IFERROR(VLOOKUP(A65,'9.砌塊石護岸'!C:D,1,0),"")="","","✔")</f>
        <v/>
      </c>
      <c r="K65" s="98" t="str">
        <f>IF(IFERROR(VLOOKUP(A65,'10.低水護岸'!C:D,1,0),"")="","","✔")</f>
        <v/>
      </c>
      <c r="L65" s="98" t="str">
        <f>IF(IFERROR(VLOOKUP(A65,'11.固床工'!C:D,1,0),"")="","","✔")</f>
        <v/>
      </c>
      <c r="M65" s="98" t="str">
        <f>IF(IFERROR(VLOOKUP(A65,'12.全套管基樁'!C:D,1,0),"")="","","✔")</f>
        <v/>
      </c>
      <c r="N65" s="98" t="str">
        <f>IF(IFERROR(VLOOKUP(A65,'13.鋼筋混凝土管工程'!C:D,1,0),"")="","","✔")</f>
        <v/>
      </c>
      <c r="O65" s="98" t="str">
        <f>IF(IFERROR(VLOOKUP(A65,'14.鋼版樁'!C:D,1,0),"")="","","✔")</f>
        <v/>
      </c>
      <c r="P65" s="98" t="str">
        <f>IF(IFERROR(VLOOKUP(A65,'15.路床 路基高程'!C:D,1,0),"")="","","✔")</f>
        <v/>
      </c>
      <c r="Q65" s="98" t="str">
        <f>IF(IFERROR(VLOOKUP(A65,'16.瀝青混凝土'!C:D,1,0),"")="","","✔")</f>
        <v/>
      </c>
      <c r="R65" s="98" t="str">
        <f>IF(IFERROR(VLOOKUP(A65,'17.景觀鋪面(一)'!C:D,1,0),"")="","","✔")</f>
        <v/>
      </c>
      <c r="S65" s="98" t="str">
        <f>IF(IFERROR(VLOOKUP(A65,'18.景觀鋪面(二)'!C:D,1,0),"")="","","✔")</f>
        <v/>
      </c>
      <c r="T65" s="98" t="str">
        <f>IF(IFERROR(VLOOKUP(A65,'19.預鑄緣石'!C:D,1,0),"")="","","✔")</f>
        <v/>
      </c>
      <c r="U65" s="98" t="str">
        <f>IF(IFERROR(VLOOKUP(A65,'20.鋼構工程吊裝'!C:D,1,0),"")="","","✔")</f>
        <v/>
      </c>
      <c r="V65" s="98" t="str">
        <f>IF(IFERROR(VLOOKUP(A65,'21.鋼構工程塗裝'!C:D,1,0),"")="","","✔")</f>
        <v/>
      </c>
      <c r="W65" s="98" t="str">
        <f>IF(IFERROR(VLOOKUP(A65,'22.排水設施(一)'!C:D,1,0),"")="","","✔")</f>
        <v/>
      </c>
      <c r="X65" s="98" t="str">
        <f>IF(IFERROR(VLOOKUP(A65,'23.排水設施(二)'!C:D,1,0),"")="","","✔")</f>
        <v/>
      </c>
      <c r="Y65" s="98" t="str">
        <f>IF(IFERROR(VLOOKUP(A65,'24.木構造'!C:D,1,0),"")="","","✔")</f>
        <v/>
      </c>
      <c r="Z65" s="98" t="str">
        <f>IF(IFERROR(VLOOKUP(A65,'25.管路'!C:D,1,0),"")="","","✔")</f>
        <v/>
      </c>
      <c r="AA65" s="98" t="str">
        <f>IF(IFERROR(VLOOKUP(A65,'26.植栽(移植)'!C:D,1,0),"")="","","✔")</f>
        <v/>
      </c>
      <c r="AB65" s="98" t="str">
        <f>IF(IFERROR(VLOOKUP(A65,'27.植栽(新植)'!C:D,1,0),"")="","","✔")</f>
        <v/>
      </c>
      <c r="AC65" s="98" t="str">
        <f>IF(IFERROR(VLOOKUP(A65,'28.照明'!C:D,1,0),"")="","","✔")</f>
        <v/>
      </c>
      <c r="AD65" s="98" t="str">
        <f>IF(IFERROR(VLOOKUP(A65,'29.既有橋梁拆除'!C:D,1,0),"")="","","✔")</f>
        <v/>
      </c>
    </row>
    <row r="66" spans="1:30" ht="21.75" customHeight="1" x14ac:dyDescent="0.25">
      <c r="A66" s="99">
        <v>45256</v>
      </c>
      <c r="B66" s="98" t="str">
        <f>IF(IFERROR(VLOOKUP(A66,'1.測量放樣'!C:D,1,0),"")="","","✔")</f>
        <v/>
      </c>
      <c r="C66" s="98" t="str">
        <f>IF(IFERROR(VLOOKUP(A66,'2.土方開挖'!C:D,1,0),"")="","","✔")</f>
        <v/>
      </c>
      <c r="D66" s="98" t="str">
        <f>IF(IFERROR(VLOOKUP(A66,'3.土方回填'!C:D,1,0),"")="","","✔")</f>
        <v/>
      </c>
      <c r="E66" s="98" t="str">
        <f>IF(IFERROR(VLOOKUP(A66,'4.鋼筋'!C:D,1,0),"")="","","✔")</f>
        <v/>
      </c>
      <c r="F66" s="98" t="str">
        <f>IF(IFERROR(VLOOKUP(A66,'5.模板'!C:D,1,0),"")="","","✔")</f>
        <v/>
      </c>
      <c r="G66" s="98" t="str">
        <f>IF(IFERROR(VLOOKUP(A66,'6.混凝土'!C:D,1,0),"")="","","✔")</f>
        <v/>
      </c>
      <c r="H66" s="98" t="str">
        <f>IF(IFERROR(VLOOKUP(A66,'7.植筋'!C:D,1,0),"")="","","✔")</f>
        <v/>
      </c>
      <c r="I66" s="98" t="str">
        <f>IF(IFERROR(VLOOKUP(A66,'8.預力混凝土基樁'!C:D,1,0),"")="","","✔")</f>
        <v/>
      </c>
      <c r="J66" s="98" t="str">
        <f>IF(IFERROR(VLOOKUP(A66,'9.砌塊石護岸'!C:D,1,0),"")="","","✔")</f>
        <v/>
      </c>
      <c r="K66" s="98" t="str">
        <f>IF(IFERROR(VLOOKUP(A66,'10.低水護岸'!C:D,1,0),"")="","","✔")</f>
        <v/>
      </c>
      <c r="L66" s="98" t="str">
        <f>IF(IFERROR(VLOOKUP(A66,'11.固床工'!C:D,1,0),"")="","","✔")</f>
        <v/>
      </c>
      <c r="M66" s="98" t="str">
        <f>IF(IFERROR(VLOOKUP(A66,'12.全套管基樁'!C:D,1,0),"")="","","✔")</f>
        <v/>
      </c>
      <c r="N66" s="98" t="str">
        <f>IF(IFERROR(VLOOKUP(A66,'13.鋼筋混凝土管工程'!C:D,1,0),"")="","","✔")</f>
        <v/>
      </c>
      <c r="O66" s="98" t="str">
        <f>IF(IFERROR(VLOOKUP(A66,'14.鋼版樁'!C:D,1,0),"")="","","✔")</f>
        <v/>
      </c>
      <c r="P66" s="98" t="str">
        <f>IF(IFERROR(VLOOKUP(A66,'15.路床 路基高程'!C:D,1,0),"")="","","✔")</f>
        <v/>
      </c>
      <c r="Q66" s="98" t="str">
        <f>IF(IFERROR(VLOOKUP(A66,'16.瀝青混凝土'!C:D,1,0),"")="","","✔")</f>
        <v/>
      </c>
      <c r="R66" s="98" t="str">
        <f>IF(IFERROR(VLOOKUP(A66,'17.景觀鋪面(一)'!C:D,1,0),"")="","","✔")</f>
        <v/>
      </c>
      <c r="S66" s="98" t="str">
        <f>IF(IFERROR(VLOOKUP(A66,'18.景觀鋪面(二)'!C:D,1,0),"")="","","✔")</f>
        <v/>
      </c>
      <c r="T66" s="98" t="str">
        <f>IF(IFERROR(VLOOKUP(A66,'19.預鑄緣石'!C:D,1,0),"")="","","✔")</f>
        <v/>
      </c>
      <c r="U66" s="98" t="str">
        <f>IF(IFERROR(VLOOKUP(A66,'20.鋼構工程吊裝'!C:D,1,0),"")="","","✔")</f>
        <v/>
      </c>
      <c r="V66" s="98" t="str">
        <f>IF(IFERROR(VLOOKUP(A66,'21.鋼構工程塗裝'!C:D,1,0),"")="","","✔")</f>
        <v/>
      </c>
      <c r="W66" s="98" t="str">
        <f>IF(IFERROR(VLOOKUP(A66,'22.排水設施(一)'!C:D,1,0),"")="","","✔")</f>
        <v/>
      </c>
      <c r="X66" s="98" t="str">
        <f>IF(IFERROR(VLOOKUP(A66,'23.排水設施(二)'!C:D,1,0),"")="","","✔")</f>
        <v/>
      </c>
      <c r="Y66" s="98" t="str">
        <f>IF(IFERROR(VLOOKUP(A66,'24.木構造'!C:D,1,0),"")="","","✔")</f>
        <v/>
      </c>
      <c r="Z66" s="98" t="str">
        <f>IF(IFERROR(VLOOKUP(A66,'25.管路'!C:D,1,0),"")="","","✔")</f>
        <v/>
      </c>
      <c r="AA66" s="98" t="str">
        <f>IF(IFERROR(VLOOKUP(A66,'26.植栽(移植)'!C:D,1,0),"")="","","✔")</f>
        <v/>
      </c>
      <c r="AB66" s="98" t="str">
        <f>IF(IFERROR(VLOOKUP(A66,'27.植栽(新植)'!C:D,1,0),"")="","","✔")</f>
        <v/>
      </c>
      <c r="AC66" s="98" t="str">
        <f>IF(IFERROR(VLOOKUP(A66,'28.照明'!C:D,1,0),"")="","","✔")</f>
        <v/>
      </c>
      <c r="AD66" s="98" t="str">
        <f>IF(IFERROR(VLOOKUP(A66,'29.既有橋梁拆除'!C:D,1,0),"")="","","✔")</f>
        <v/>
      </c>
    </row>
    <row r="67" spans="1:30" ht="21.75" customHeight="1" x14ac:dyDescent="0.25">
      <c r="A67" s="99">
        <v>45257</v>
      </c>
      <c r="B67" s="98" t="str">
        <f>IF(IFERROR(VLOOKUP(A67,'1.測量放樣'!C:D,1,0),"")="","","✔")</f>
        <v/>
      </c>
      <c r="C67" s="98" t="str">
        <f>IF(IFERROR(VLOOKUP(A67,'2.土方開挖'!C:D,1,0),"")="","","✔")</f>
        <v>✔</v>
      </c>
      <c r="D67" s="98" t="str">
        <f>IF(IFERROR(VLOOKUP(A67,'3.土方回填'!C:D,1,0),"")="","","✔")</f>
        <v/>
      </c>
      <c r="E67" s="98" t="str">
        <f>IF(IFERROR(VLOOKUP(A67,'4.鋼筋'!C:D,1,0),"")="","","✔")</f>
        <v/>
      </c>
      <c r="F67" s="98" t="str">
        <f>IF(IFERROR(VLOOKUP(A67,'5.模板'!C:D,1,0),"")="","","✔")</f>
        <v/>
      </c>
      <c r="G67" s="98" t="str">
        <f>IF(IFERROR(VLOOKUP(A67,'6.混凝土'!C:D,1,0),"")="","","✔")</f>
        <v/>
      </c>
      <c r="H67" s="98" t="str">
        <f>IF(IFERROR(VLOOKUP(A67,'7.植筋'!C:D,1,0),"")="","","✔")</f>
        <v/>
      </c>
      <c r="I67" s="98" t="str">
        <f>IF(IFERROR(VLOOKUP(A67,'8.預力混凝土基樁'!C:D,1,0),"")="","","✔")</f>
        <v/>
      </c>
      <c r="J67" s="98" t="str">
        <f>IF(IFERROR(VLOOKUP(A67,'9.砌塊石護岸'!C:D,1,0),"")="","","✔")</f>
        <v/>
      </c>
      <c r="K67" s="98" t="str">
        <f>IF(IFERROR(VLOOKUP(A67,'10.低水護岸'!C:D,1,0),"")="","","✔")</f>
        <v/>
      </c>
      <c r="L67" s="98" t="str">
        <f>IF(IFERROR(VLOOKUP(A67,'11.固床工'!C:D,1,0),"")="","","✔")</f>
        <v/>
      </c>
      <c r="M67" s="98" t="str">
        <f>IF(IFERROR(VLOOKUP(A67,'12.全套管基樁'!C:D,1,0),"")="","","✔")</f>
        <v/>
      </c>
      <c r="N67" s="98" t="str">
        <f>IF(IFERROR(VLOOKUP(A67,'13.鋼筋混凝土管工程'!C:D,1,0),"")="","","✔")</f>
        <v/>
      </c>
      <c r="O67" s="98" t="str">
        <f>IF(IFERROR(VLOOKUP(A67,'14.鋼版樁'!C:D,1,0),"")="","","✔")</f>
        <v/>
      </c>
      <c r="P67" s="98" t="str">
        <f>IF(IFERROR(VLOOKUP(A67,'15.路床 路基高程'!C:D,1,0),"")="","","✔")</f>
        <v/>
      </c>
      <c r="Q67" s="98" t="str">
        <f>IF(IFERROR(VLOOKUP(A67,'16.瀝青混凝土'!C:D,1,0),"")="","","✔")</f>
        <v/>
      </c>
      <c r="R67" s="98" t="str">
        <f>IF(IFERROR(VLOOKUP(A67,'17.景觀鋪面(一)'!C:D,1,0),"")="","","✔")</f>
        <v/>
      </c>
      <c r="S67" s="98" t="str">
        <f>IF(IFERROR(VLOOKUP(A67,'18.景觀鋪面(二)'!C:D,1,0),"")="","","✔")</f>
        <v/>
      </c>
      <c r="T67" s="98" t="str">
        <f>IF(IFERROR(VLOOKUP(A67,'19.預鑄緣石'!C:D,1,0),"")="","","✔")</f>
        <v/>
      </c>
      <c r="U67" s="98" t="str">
        <f>IF(IFERROR(VLOOKUP(A67,'20.鋼構工程吊裝'!C:D,1,0),"")="","","✔")</f>
        <v/>
      </c>
      <c r="V67" s="98" t="str">
        <f>IF(IFERROR(VLOOKUP(A67,'21.鋼構工程塗裝'!C:D,1,0),"")="","","✔")</f>
        <v/>
      </c>
      <c r="W67" s="98" t="str">
        <f>IF(IFERROR(VLOOKUP(A67,'22.排水設施(一)'!C:D,1,0),"")="","","✔")</f>
        <v/>
      </c>
      <c r="X67" s="98" t="str">
        <f>IF(IFERROR(VLOOKUP(A67,'23.排水設施(二)'!C:D,1,0),"")="","","✔")</f>
        <v/>
      </c>
      <c r="Y67" s="98" t="str">
        <f>IF(IFERROR(VLOOKUP(A67,'24.木構造'!C:D,1,0),"")="","","✔")</f>
        <v/>
      </c>
      <c r="Z67" s="98" t="str">
        <f>IF(IFERROR(VLOOKUP(A67,'25.管路'!C:D,1,0),"")="","","✔")</f>
        <v/>
      </c>
      <c r="AA67" s="98" t="str">
        <f>IF(IFERROR(VLOOKUP(A67,'26.植栽(移植)'!C:D,1,0),"")="","","✔")</f>
        <v/>
      </c>
      <c r="AB67" s="98" t="str">
        <f>IF(IFERROR(VLOOKUP(A67,'27.植栽(新植)'!C:D,1,0),"")="","","✔")</f>
        <v/>
      </c>
      <c r="AC67" s="98" t="str">
        <f>IF(IFERROR(VLOOKUP(A67,'28.照明'!C:D,1,0),"")="","","✔")</f>
        <v/>
      </c>
      <c r="AD67" s="98" t="str">
        <f>IF(IFERROR(VLOOKUP(A67,'29.既有橋梁拆除'!C:D,1,0),"")="","","✔")</f>
        <v/>
      </c>
    </row>
    <row r="68" spans="1:30" ht="21.75" customHeight="1" x14ac:dyDescent="0.25">
      <c r="A68" s="99">
        <v>45258</v>
      </c>
      <c r="B68" s="98" t="str">
        <f>IF(IFERROR(VLOOKUP(A68,'1.測量放樣'!C:D,1,0),"")="","","✔")</f>
        <v/>
      </c>
      <c r="C68" s="98" t="str">
        <f>IF(IFERROR(VLOOKUP(A68,'2.土方開挖'!C:D,1,0),"")="","","✔")</f>
        <v/>
      </c>
      <c r="D68" s="98" t="str">
        <f>IF(IFERROR(VLOOKUP(A68,'3.土方回填'!C:D,1,0),"")="","","✔")</f>
        <v/>
      </c>
      <c r="E68" s="98" t="str">
        <f>IF(IFERROR(VLOOKUP(A68,'4.鋼筋'!C:D,1,0),"")="","","✔")</f>
        <v/>
      </c>
      <c r="F68" s="98" t="str">
        <f>IF(IFERROR(VLOOKUP(A68,'5.模板'!C:D,1,0),"")="","","✔")</f>
        <v/>
      </c>
      <c r="G68" s="98" t="str">
        <f>IF(IFERROR(VLOOKUP(A68,'6.混凝土'!C:D,1,0),"")="","","✔")</f>
        <v/>
      </c>
      <c r="H68" s="98" t="str">
        <f>IF(IFERROR(VLOOKUP(A68,'7.植筋'!C:D,1,0),"")="","","✔")</f>
        <v/>
      </c>
      <c r="I68" s="98" t="str">
        <f>IF(IFERROR(VLOOKUP(A68,'8.預力混凝土基樁'!C:D,1,0),"")="","","✔")</f>
        <v/>
      </c>
      <c r="J68" s="98" t="str">
        <f>IF(IFERROR(VLOOKUP(A68,'9.砌塊石護岸'!C:D,1,0),"")="","","✔")</f>
        <v/>
      </c>
      <c r="K68" s="98" t="str">
        <f>IF(IFERROR(VLOOKUP(A68,'10.低水護岸'!C:D,1,0),"")="","","✔")</f>
        <v/>
      </c>
      <c r="L68" s="98" t="str">
        <f>IF(IFERROR(VLOOKUP(A68,'11.固床工'!C:D,1,0),"")="","","✔")</f>
        <v/>
      </c>
      <c r="M68" s="98" t="str">
        <f>IF(IFERROR(VLOOKUP(A68,'12.全套管基樁'!C:D,1,0),"")="","","✔")</f>
        <v/>
      </c>
      <c r="N68" s="98" t="str">
        <f>IF(IFERROR(VLOOKUP(A68,'13.鋼筋混凝土管工程'!C:D,1,0),"")="","","✔")</f>
        <v/>
      </c>
      <c r="O68" s="98" t="str">
        <f>IF(IFERROR(VLOOKUP(A68,'14.鋼版樁'!C:D,1,0),"")="","","✔")</f>
        <v/>
      </c>
      <c r="P68" s="98" t="str">
        <f>IF(IFERROR(VLOOKUP(A68,'15.路床 路基高程'!C:D,1,0),"")="","","✔")</f>
        <v/>
      </c>
      <c r="Q68" s="98" t="str">
        <f>IF(IFERROR(VLOOKUP(A68,'16.瀝青混凝土'!C:D,1,0),"")="","","✔")</f>
        <v/>
      </c>
      <c r="R68" s="98" t="str">
        <f>IF(IFERROR(VLOOKUP(A68,'17.景觀鋪面(一)'!C:D,1,0),"")="","","✔")</f>
        <v/>
      </c>
      <c r="S68" s="98" t="str">
        <f>IF(IFERROR(VLOOKUP(A68,'18.景觀鋪面(二)'!C:D,1,0),"")="","","✔")</f>
        <v/>
      </c>
      <c r="T68" s="98" t="str">
        <f>IF(IFERROR(VLOOKUP(A68,'19.預鑄緣石'!C:D,1,0),"")="","","✔")</f>
        <v/>
      </c>
      <c r="U68" s="98" t="str">
        <f>IF(IFERROR(VLOOKUP(A68,'20.鋼構工程吊裝'!C:D,1,0),"")="","","✔")</f>
        <v/>
      </c>
      <c r="V68" s="98" t="str">
        <f>IF(IFERROR(VLOOKUP(A68,'21.鋼構工程塗裝'!C:D,1,0),"")="","","✔")</f>
        <v/>
      </c>
      <c r="W68" s="98" t="str">
        <f>IF(IFERROR(VLOOKUP(A68,'22.排水設施(一)'!C:D,1,0),"")="","","✔")</f>
        <v/>
      </c>
      <c r="X68" s="98" t="str">
        <f>IF(IFERROR(VLOOKUP(A68,'23.排水設施(二)'!C:D,1,0),"")="","","✔")</f>
        <v/>
      </c>
      <c r="Y68" s="98" t="str">
        <f>IF(IFERROR(VLOOKUP(A68,'24.木構造'!C:D,1,0),"")="","","✔")</f>
        <v/>
      </c>
      <c r="Z68" s="98" t="str">
        <f>IF(IFERROR(VLOOKUP(A68,'25.管路'!C:D,1,0),"")="","","✔")</f>
        <v/>
      </c>
      <c r="AA68" s="98" t="str">
        <f>IF(IFERROR(VLOOKUP(A68,'26.植栽(移植)'!C:D,1,0),"")="","","✔")</f>
        <v/>
      </c>
      <c r="AB68" s="98" t="str">
        <f>IF(IFERROR(VLOOKUP(A68,'27.植栽(新植)'!C:D,1,0),"")="","","✔")</f>
        <v/>
      </c>
      <c r="AC68" s="98" t="str">
        <f>IF(IFERROR(VLOOKUP(A68,'28.照明'!C:D,1,0),"")="","","✔")</f>
        <v/>
      </c>
      <c r="AD68" s="98" t="str">
        <f>IF(IFERROR(VLOOKUP(A68,'29.既有橋梁拆除'!C:D,1,0),"")="","","✔")</f>
        <v>✔</v>
      </c>
    </row>
    <row r="69" spans="1:30" ht="21.75" customHeight="1" x14ac:dyDescent="0.25">
      <c r="A69" s="99">
        <v>45259</v>
      </c>
      <c r="B69" s="98" t="str">
        <f>IF(IFERROR(VLOOKUP(A69,'1.測量放樣'!C:D,1,0),"")="","","✔")</f>
        <v/>
      </c>
      <c r="C69" s="98" t="str">
        <f>IF(IFERROR(VLOOKUP(A69,'2.土方開挖'!C:D,1,0),"")="","","✔")</f>
        <v/>
      </c>
      <c r="D69" s="98" t="str">
        <f>IF(IFERROR(VLOOKUP(A69,'3.土方回填'!C:D,1,0),"")="","","✔")</f>
        <v/>
      </c>
      <c r="E69" s="98" t="str">
        <f>IF(IFERROR(VLOOKUP(A69,'4.鋼筋'!C:D,1,0),"")="","","✔")</f>
        <v/>
      </c>
      <c r="F69" s="98" t="str">
        <f>IF(IFERROR(VLOOKUP(A69,'5.模板'!C:D,1,0),"")="","","✔")</f>
        <v/>
      </c>
      <c r="G69" s="98" t="str">
        <f>IF(IFERROR(VLOOKUP(A69,'6.混凝土'!C:D,1,0),"")="","","✔")</f>
        <v/>
      </c>
      <c r="H69" s="98" t="str">
        <f>IF(IFERROR(VLOOKUP(A69,'7.植筋'!C:D,1,0),"")="","","✔")</f>
        <v/>
      </c>
      <c r="I69" s="98" t="str">
        <f>IF(IFERROR(VLOOKUP(A69,'8.預力混凝土基樁'!C:D,1,0),"")="","","✔")</f>
        <v/>
      </c>
      <c r="J69" s="98" t="str">
        <f>IF(IFERROR(VLOOKUP(A69,'9.砌塊石護岸'!C:D,1,0),"")="","","✔")</f>
        <v/>
      </c>
      <c r="K69" s="98" t="str">
        <f>IF(IFERROR(VLOOKUP(A69,'10.低水護岸'!C:D,1,0),"")="","","✔")</f>
        <v/>
      </c>
      <c r="L69" s="98" t="str">
        <f>IF(IFERROR(VLOOKUP(A69,'11.固床工'!C:D,1,0),"")="","","✔")</f>
        <v/>
      </c>
      <c r="M69" s="98" t="str">
        <f>IF(IFERROR(VLOOKUP(A69,'12.全套管基樁'!C:D,1,0),"")="","","✔")</f>
        <v/>
      </c>
      <c r="N69" s="98" t="str">
        <f>IF(IFERROR(VLOOKUP(A69,'13.鋼筋混凝土管工程'!C:D,1,0),"")="","","✔")</f>
        <v/>
      </c>
      <c r="O69" s="98" t="str">
        <f>IF(IFERROR(VLOOKUP(A69,'14.鋼版樁'!C:D,1,0),"")="","","✔")</f>
        <v/>
      </c>
      <c r="P69" s="98" t="str">
        <f>IF(IFERROR(VLOOKUP(A69,'15.路床 路基高程'!C:D,1,0),"")="","","✔")</f>
        <v/>
      </c>
      <c r="Q69" s="98" t="str">
        <f>IF(IFERROR(VLOOKUP(A69,'16.瀝青混凝土'!C:D,1,0),"")="","","✔")</f>
        <v/>
      </c>
      <c r="R69" s="98" t="str">
        <f>IF(IFERROR(VLOOKUP(A69,'17.景觀鋪面(一)'!C:D,1,0),"")="","","✔")</f>
        <v/>
      </c>
      <c r="S69" s="98" t="str">
        <f>IF(IFERROR(VLOOKUP(A69,'18.景觀鋪面(二)'!C:D,1,0),"")="","","✔")</f>
        <v/>
      </c>
      <c r="T69" s="98" t="str">
        <f>IF(IFERROR(VLOOKUP(A69,'19.預鑄緣石'!C:D,1,0),"")="","","✔")</f>
        <v/>
      </c>
      <c r="U69" s="98" t="str">
        <f>IF(IFERROR(VLOOKUP(A69,'20.鋼構工程吊裝'!C:D,1,0),"")="","","✔")</f>
        <v/>
      </c>
      <c r="V69" s="98" t="str">
        <f>IF(IFERROR(VLOOKUP(A69,'21.鋼構工程塗裝'!C:D,1,0),"")="","","✔")</f>
        <v/>
      </c>
      <c r="W69" s="98" t="str">
        <f>IF(IFERROR(VLOOKUP(A69,'22.排水設施(一)'!C:D,1,0),"")="","","✔")</f>
        <v/>
      </c>
      <c r="X69" s="98" t="str">
        <f>IF(IFERROR(VLOOKUP(A69,'23.排水設施(二)'!C:D,1,0),"")="","","✔")</f>
        <v/>
      </c>
      <c r="Y69" s="98" t="str">
        <f>IF(IFERROR(VLOOKUP(A69,'24.木構造'!C:D,1,0),"")="","","✔")</f>
        <v/>
      </c>
      <c r="Z69" s="98" t="str">
        <f>IF(IFERROR(VLOOKUP(A69,'25.管路'!C:D,1,0),"")="","","✔")</f>
        <v/>
      </c>
      <c r="AA69" s="98" t="str">
        <f>IF(IFERROR(VLOOKUP(A69,'26.植栽(移植)'!C:D,1,0),"")="","","✔")</f>
        <v/>
      </c>
      <c r="AB69" s="98" t="str">
        <f>IF(IFERROR(VLOOKUP(A69,'27.植栽(新植)'!C:D,1,0),"")="","","✔")</f>
        <v/>
      </c>
      <c r="AC69" s="98" t="str">
        <f>IF(IFERROR(VLOOKUP(A69,'28.照明'!C:D,1,0),"")="","","✔")</f>
        <v/>
      </c>
      <c r="AD69" s="98" t="str">
        <f>IF(IFERROR(VLOOKUP(A69,'29.既有橋梁拆除'!C:D,1,0),"")="","","✔")</f>
        <v/>
      </c>
    </row>
    <row r="70" spans="1:30" ht="21.75" customHeight="1" x14ac:dyDescent="0.25">
      <c r="A70" s="99">
        <v>45260</v>
      </c>
      <c r="B70" s="98" t="str">
        <f>IF(IFERROR(VLOOKUP(A70,'1.測量放樣'!C:D,1,0),"")="","","✔")</f>
        <v/>
      </c>
      <c r="C70" s="98" t="str">
        <f>IF(IFERROR(VLOOKUP(A70,'2.土方開挖'!C:D,1,0),"")="","","✔")</f>
        <v/>
      </c>
      <c r="D70" s="98" t="str">
        <f>IF(IFERROR(VLOOKUP(A70,'3.土方回填'!C:D,1,0),"")="","","✔")</f>
        <v/>
      </c>
      <c r="E70" s="98" t="str">
        <f>IF(IFERROR(VLOOKUP(A70,'4.鋼筋'!C:D,1,0),"")="","","✔")</f>
        <v/>
      </c>
      <c r="F70" s="98" t="str">
        <f>IF(IFERROR(VLOOKUP(A70,'5.模板'!C:D,1,0),"")="","","✔")</f>
        <v/>
      </c>
      <c r="G70" s="98" t="str">
        <f>IF(IFERROR(VLOOKUP(A70,'6.混凝土'!C:D,1,0),"")="","","✔")</f>
        <v/>
      </c>
      <c r="H70" s="98" t="str">
        <f>IF(IFERROR(VLOOKUP(A70,'7.植筋'!C:D,1,0),"")="","","✔")</f>
        <v/>
      </c>
      <c r="I70" s="98" t="str">
        <f>IF(IFERROR(VLOOKUP(A70,'8.預力混凝土基樁'!C:D,1,0),"")="","","✔")</f>
        <v/>
      </c>
      <c r="J70" s="98" t="str">
        <f>IF(IFERROR(VLOOKUP(A70,'9.砌塊石護岸'!C:D,1,0),"")="","","✔")</f>
        <v/>
      </c>
      <c r="K70" s="98" t="str">
        <f>IF(IFERROR(VLOOKUP(A70,'10.低水護岸'!C:D,1,0),"")="","","✔")</f>
        <v/>
      </c>
      <c r="L70" s="98" t="str">
        <f>IF(IFERROR(VLOOKUP(A70,'11.固床工'!C:D,1,0),"")="","","✔")</f>
        <v/>
      </c>
      <c r="M70" s="98" t="str">
        <f>IF(IFERROR(VLOOKUP(A70,'12.全套管基樁'!C:D,1,0),"")="","","✔")</f>
        <v/>
      </c>
      <c r="N70" s="98" t="str">
        <f>IF(IFERROR(VLOOKUP(A70,'13.鋼筋混凝土管工程'!C:D,1,0),"")="","","✔")</f>
        <v/>
      </c>
      <c r="O70" s="98" t="str">
        <f>IF(IFERROR(VLOOKUP(A70,'14.鋼版樁'!C:D,1,0),"")="","","✔")</f>
        <v/>
      </c>
      <c r="P70" s="98" t="str">
        <f>IF(IFERROR(VLOOKUP(A70,'15.路床 路基高程'!C:D,1,0),"")="","","✔")</f>
        <v/>
      </c>
      <c r="Q70" s="98" t="str">
        <f>IF(IFERROR(VLOOKUP(A70,'16.瀝青混凝土'!C:D,1,0),"")="","","✔")</f>
        <v/>
      </c>
      <c r="R70" s="98" t="str">
        <f>IF(IFERROR(VLOOKUP(A70,'17.景觀鋪面(一)'!C:D,1,0),"")="","","✔")</f>
        <v/>
      </c>
      <c r="S70" s="98" t="str">
        <f>IF(IFERROR(VLOOKUP(A70,'18.景觀鋪面(二)'!C:D,1,0),"")="","","✔")</f>
        <v/>
      </c>
      <c r="T70" s="98" t="str">
        <f>IF(IFERROR(VLOOKUP(A70,'19.預鑄緣石'!C:D,1,0),"")="","","✔")</f>
        <v/>
      </c>
      <c r="U70" s="98" t="str">
        <f>IF(IFERROR(VLOOKUP(A70,'20.鋼構工程吊裝'!C:D,1,0),"")="","","✔")</f>
        <v/>
      </c>
      <c r="V70" s="98" t="str">
        <f>IF(IFERROR(VLOOKUP(A70,'21.鋼構工程塗裝'!C:D,1,0),"")="","","✔")</f>
        <v/>
      </c>
      <c r="W70" s="98" t="str">
        <f>IF(IFERROR(VLOOKUP(A70,'22.排水設施(一)'!C:D,1,0),"")="","","✔")</f>
        <v/>
      </c>
      <c r="X70" s="98" t="str">
        <f>IF(IFERROR(VLOOKUP(A70,'23.排水設施(二)'!C:D,1,0),"")="","","✔")</f>
        <v/>
      </c>
      <c r="Y70" s="98" t="str">
        <f>IF(IFERROR(VLOOKUP(A70,'24.木構造'!C:D,1,0),"")="","","✔")</f>
        <v/>
      </c>
      <c r="Z70" s="98" t="str">
        <f>IF(IFERROR(VLOOKUP(A70,'25.管路'!C:D,1,0),"")="","","✔")</f>
        <v/>
      </c>
      <c r="AA70" s="98" t="str">
        <f>IF(IFERROR(VLOOKUP(A70,'26.植栽(移植)'!C:D,1,0),"")="","","✔")</f>
        <v/>
      </c>
      <c r="AB70" s="98" t="str">
        <f>IF(IFERROR(VLOOKUP(A70,'27.植栽(新植)'!C:D,1,0),"")="","","✔")</f>
        <v/>
      </c>
      <c r="AC70" s="98" t="str">
        <f>IF(IFERROR(VLOOKUP(A70,'28.照明'!C:D,1,0),"")="","","✔")</f>
        <v/>
      </c>
      <c r="AD70" s="98" t="str">
        <f>IF(IFERROR(VLOOKUP(A70,'29.既有橋梁拆除'!C:D,1,0),"")="","","✔")</f>
        <v/>
      </c>
    </row>
    <row r="71" spans="1:30" ht="21.75" customHeight="1" x14ac:dyDescent="0.25">
      <c r="A71" s="99">
        <v>45261</v>
      </c>
      <c r="B71" s="98" t="str">
        <f>IF(IFERROR(VLOOKUP(A71,'1.測量放樣'!C:D,1,0),"")="","","✔")</f>
        <v/>
      </c>
      <c r="C71" s="98" t="str">
        <f>IF(IFERROR(VLOOKUP(A71,'2.土方開挖'!C:D,1,0),"")="","","✔")</f>
        <v/>
      </c>
      <c r="D71" s="98" t="str">
        <f>IF(IFERROR(VLOOKUP(A71,'3.土方回填'!C:D,1,0),"")="","","✔")</f>
        <v/>
      </c>
      <c r="E71" s="98" t="str">
        <f>IF(IFERROR(VLOOKUP(A71,'4.鋼筋'!C:D,1,0),"")="","","✔")</f>
        <v/>
      </c>
      <c r="F71" s="98" t="str">
        <f>IF(IFERROR(VLOOKUP(A71,'5.模板'!C:D,1,0),"")="","","✔")</f>
        <v/>
      </c>
      <c r="G71" s="98" t="str">
        <f>IF(IFERROR(VLOOKUP(A71,'6.混凝土'!C:D,1,0),"")="","","✔")</f>
        <v/>
      </c>
      <c r="H71" s="98" t="str">
        <f>IF(IFERROR(VLOOKUP(A71,'7.植筋'!C:D,1,0),"")="","","✔")</f>
        <v/>
      </c>
      <c r="I71" s="98" t="str">
        <f>IF(IFERROR(VLOOKUP(A71,'8.預力混凝土基樁'!C:D,1,0),"")="","","✔")</f>
        <v/>
      </c>
      <c r="J71" s="98" t="str">
        <f>IF(IFERROR(VLOOKUP(A71,'9.砌塊石護岸'!C:D,1,0),"")="","","✔")</f>
        <v/>
      </c>
      <c r="K71" s="98" t="str">
        <f>IF(IFERROR(VLOOKUP(A71,'10.低水護岸'!C:D,1,0),"")="","","✔")</f>
        <v/>
      </c>
      <c r="L71" s="98" t="str">
        <f>IF(IFERROR(VLOOKUP(A71,'11.固床工'!C:D,1,0),"")="","","✔")</f>
        <v/>
      </c>
      <c r="M71" s="98" t="str">
        <f>IF(IFERROR(VLOOKUP(A71,'12.全套管基樁'!C:D,1,0),"")="","","✔")</f>
        <v/>
      </c>
      <c r="N71" s="98" t="str">
        <f>IF(IFERROR(VLOOKUP(A71,'13.鋼筋混凝土管工程'!C:D,1,0),"")="","","✔")</f>
        <v/>
      </c>
      <c r="O71" s="98" t="str">
        <f>IF(IFERROR(VLOOKUP(A71,'14.鋼版樁'!C:D,1,0),"")="","","✔")</f>
        <v/>
      </c>
      <c r="P71" s="98" t="str">
        <f>IF(IFERROR(VLOOKUP(A71,'15.路床 路基高程'!C:D,1,0),"")="","","✔")</f>
        <v/>
      </c>
      <c r="Q71" s="98" t="str">
        <f>IF(IFERROR(VLOOKUP(A71,'16.瀝青混凝土'!C:D,1,0),"")="","","✔")</f>
        <v/>
      </c>
      <c r="R71" s="98" t="str">
        <f>IF(IFERROR(VLOOKUP(A71,'17.景觀鋪面(一)'!C:D,1,0),"")="","","✔")</f>
        <v/>
      </c>
      <c r="S71" s="98" t="str">
        <f>IF(IFERROR(VLOOKUP(A71,'18.景觀鋪面(二)'!C:D,1,0),"")="","","✔")</f>
        <v/>
      </c>
      <c r="T71" s="98" t="str">
        <f>IF(IFERROR(VLOOKUP(A71,'19.預鑄緣石'!C:D,1,0),"")="","","✔")</f>
        <v/>
      </c>
      <c r="U71" s="98" t="str">
        <f>IF(IFERROR(VLOOKUP(A71,'20.鋼構工程吊裝'!C:D,1,0),"")="","","✔")</f>
        <v/>
      </c>
      <c r="V71" s="98" t="str">
        <f>IF(IFERROR(VLOOKUP(A71,'21.鋼構工程塗裝'!C:D,1,0),"")="","","✔")</f>
        <v/>
      </c>
      <c r="W71" s="98" t="str">
        <f>IF(IFERROR(VLOOKUP(A71,'22.排水設施(一)'!C:D,1,0),"")="","","✔")</f>
        <v/>
      </c>
      <c r="X71" s="98" t="str">
        <f>IF(IFERROR(VLOOKUP(A71,'23.排水設施(二)'!C:D,1,0),"")="","","✔")</f>
        <v/>
      </c>
      <c r="Y71" s="98" t="str">
        <f>IF(IFERROR(VLOOKUP(A71,'24.木構造'!C:D,1,0),"")="","","✔")</f>
        <v/>
      </c>
      <c r="Z71" s="98" t="str">
        <f>IF(IFERROR(VLOOKUP(A71,'25.管路'!C:D,1,0),"")="","","✔")</f>
        <v/>
      </c>
      <c r="AA71" s="98" t="str">
        <f>IF(IFERROR(VLOOKUP(A71,'26.植栽(移植)'!C:D,1,0),"")="","","✔")</f>
        <v/>
      </c>
      <c r="AB71" s="98" t="str">
        <f>IF(IFERROR(VLOOKUP(A71,'27.植栽(新植)'!C:D,1,0),"")="","","✔")</f>
        <v/>
      </c>
      <c r="AC71" s="98" t="str">
        <f>IF(IFERROR(VLOOKUP(A71,'28.照明'!C:D,1,0),"")="","","✔")</f>
        <v/>
      </c>
      <c r="AD71" s="98" t="str">
        <f>IF(IFERROR(VLOOKUP(A71,'29.既有橋梁拆除'!C:D,1,0),"")="","","✔")</f>
        <v/>
      </c>
    </row>
    <row r="72" spans="1:30" ht="21.75" customHeight="1" x14ac:dyDescent="0.25">
      <c r="A72" s="99">
        <v>45262</v>
      </c>
      <c r="B72" s="98" t="str">
        <f>IF(IFERROR(VLOOKUP(A72,'1.測量放樣'!C:D,1,0),"")="","","✔")</f>
        <v>✔</v>
      </c>
      <c r="C72" s="98" t="str">
        <f>IF(IFERROR(VLOOKUP(A72,'2.土方開挖'!C:D,1,0),"")="","","✔")</f>
        <v/>
      </c>
      <c r="D72" s="98" t="str">
        <f>IF(IFERROR(VLOOKUP(A72,'3.土方回填'!C:D,1,0),"")="","","✔")</f>
        <v/>
      </c>
      <c r="E72" s="98" t="str">
        <f>IF(IFERROR(VLOOKUP(A72,'4.鋼筋'!C:D,1,0),"")="","","✔")</f>
        <v/>
      </c>
      <c r="F72" s="98" t="str">
        <f>IF(IFERROR(VLOOKUP(A72,'5.模板'!C:D,1,0),"")="","","✔")</f>
        <v/>
      </c>
      <c r="G72" s="98" t="str">
        <f>IF(IFERROR(VLOOKUP(A72,'6.混凝土'!C:D,1,0),"")="","","✔")</f>
        <v/>
      </c>
      <c r="H72" s="98" t="str">
        <f>IF(IFERROR(VLOOKUP(A72,'7.植筋'!C:D,1,0),"")="","","✔")</f>
        <v/>
      </c>
      <c r="I72" s="98" t="str">
        <f>IF(IFERROR(VLOOKUP(A72,'8.預力混凝土基樁'!C:D,1,0),"")="","","✔")</f>
        <v/>
      </c>
      <c r="J72" s="98" t="str">
        <f>IF(IFERROR(VLOOKUP(A72,'9.砌塊石護岸'!C:D,1,0),"")="","","✔")</f>
        <v/>
      </c>
      <c r="K72" s="98" t="str">
        <f>IF(IFERROR(VLOOKUP(A72,'10.低水護岸'!C:D,1,0),"")="","","✔")</f>
        <v/>
      </c>
      <c r="L72" s="98" t="str">
        <f>IF(IFERROR(VLOOKUP(A72,'11.固床工'!C:D,1,0),"")="","","✔")</f>
        <v/>
      </c>
      <c r="M72" s="98" t="str">
        <f>IF(IFERROR(VLOOKUP(A72,'12.全套管基樁'!C:D,1,0),"")="","","✔")</f>
        <v/>
      </c>
      <c r="N72" s="98" t="str">
        <f>IF(IFERROR(VLOOKUP(A72,'13.鋼筋混凝土管工程'!C:D,1,0),"")="","","✔")</f>
        <v/>
      </c>
      <c r="O72" s="98" t="str">
        <f>IF(IFERROR(VLOOKUP(A72,'14.鋼版樁'!C:D,1,0),"")="","","✔")</f>
        <v/>
      </c>
      <c r="P72" s="98" t="str">
        <f>IF(IFERROR(VLOOKUP(A72,'15.路床 路基高程'!C:D,1,0),"")="","","✔")</f>
        <v/>
      </c>
      <c r="Q72" s="98" t="str">
        <f>IF(IFERROR(VLOOKUP(A72,'16.瀝青混凝土'!C:D,1,0),"")="","","✔")</f>
        <v/>
      </c>
      <c r="R72" s="98" t="str">
        <f>IF(IFERROR(VLOOKUP(A72,'17.景觀鋪面(一)'!C:D,1,0),"")="","","✔")</f>
        <v/>
      </c>
      <c r="S72" s="98" t="str">
        <f>IF(IFERROR(VLOOKUP(A72,'18.景觀鋪面(二)'!C:D,1,0),"")="","","✔")</f>
        <v/>
      </c>
      <c r="T72" s="98" t="str">
        <f>IF(IFERROR(VLOOKUP(A72,'19.預鑄緣石'!C:D,1,0),"")="","","✔")</f>
        <v/>
      </c>
      <c r="U72" s="98" t="str">
        <f>IF(IFERROR(VLOOKUP(A72,'20.鋼構工程吊裝'!C:D,1,0),"")="","","✔")</f>
        <v/>
      </c>
      <c r="V72" s="98" t="str">
        <f>IF(IFERROR(VLOOKUP(A72,'21.鋼構工程塗裝'!C:D,1,0),"")="","","✔")</f>
        <v/>
      </c>
      <c r="W72" s="98" t="str">
        <f>IF(IFERROR(VLOOKUP(A72,'22.排水設施(一)'!C:D,1,0),"")="","","✔")</f>
        <v/>
      </c>
      <c r="X72" s="98" t="str">
        <f>IF(IFERROR(VLOOKUP(A72,'23.排水設施(二)'!C:D,1,0),"")="","","✔")</f>
        <v/>
      </c>
      <c r="Y72" s="98" t="str">
        <f>IF(IFERROR(VLOOKUP(A72,'24.木構造'!C:D,1,0),"")="","","✔")</f>
        <v/>
      </c>
      <c r="Z72" s="98" t="str">
        <f>IF(IFERROR(VLOOKUP(A72,'25.管路'!C:D,1,0),"")="","","✔")</f>
        <v/>
      </c>
      <c r="AA72" s="98" t="str">
        <f>IF(IFERROR(VLOOKUP(A72,'26.植栽(移植)'!C:D,1,0),"")="","","✔")</f>
        <v/>
      </c>
      <c r="AB72" s="98" t="str">
        <f>IF(IFERROR(VLOOKUP(A72,'27.植栽(新植)'!C:D,1,0),"")="","","✔")</f>
        <v/>
      </c>
      <c r="AC72" s="98" t="str">
        <f>IF(IFERROR(VLOOKUP(A72,'28.照明'!C:D,1,0),"")="","","✔")</f>
        <v/>
      </c>
      <c r="AD72" s="98" t="str">
        <f>IF(IFERROR(VLOOKUP(A72,'29.既有橋梁拆除'!C:D,1,0),"")="","","✔")</f>
        <v/>
      </c>
    </row>
    <row r="73" spans="1:30" ht="21.75" customHeight="1" x14ac:dyDescent="0.25">
      <c r="A73" s="99">
        <v>45263</v>
      </c>
      <c r="B73" s="98" t="str">
        <f>IF(IFERROR(VLOOKUP(A73,'1.測量放樣'!C:D,1,0),"")="","","✔")</f>
        <v>✔</v>
      </c>
      <c r="C73" s="98" t="str">
        <f>IF(IFERROR(VLOOKUP(A73,'2.土方開挖'!C:D,1,0),"")="","","✔")</f>
        <v/>
      </c>
      <c r="D73" s="98" t="str">
        <f>IF(IFERROR(VLOOKUP(A73,'3.土方回填'!C:D,1,0),"")="","","✔")</f>
        <v/>
      </c>
      <c r="E73" s="98" t="str">
        <f>IF(IFERROR(VLOOKUP(A73,'4.鋼筋'!C:D,1,0),"")="","","✔")</f>
        <v/>
      </c>
      <c r="F73" s="98" t="str">
        <f>IF(IFERROR(VLOOKUP(A73,'5.模板'!C:D,1,0),"")="","","✔")</f>
        <v/>
      </c>
      <c r="G73" s="98" t="str">
        <f>IF(IFERROR(VLOOKUP(A73,'6.混凝土'!C:D,1,0),"")="","","✔")</f>
        <v/>
      </c>
      <c r="H73" s="98" t="str">
        <f>IF(IFERROR(VLOOKUP(A73,'7.植筋'!C:D,1,0),"")="","","✔")</f>
        <v/>
      </c>
      <c r="I73" s="98" t="str">
        <f>IF(IFERROR(VLOOKUP(A73,'8.預力混凝土基樁'!C:D,1,0),"")="","","✔")</f>
        <v/>
      </c>
      <c r="J73" s="98" t="str">
        <f>IF(IFERROR(VLOOKUP(A73,'9.砌塊石護岸'!C:D,1,0),"")="","","✔")</f>
        <v/>
      </c>
      <c r="K73" s="98" t="str">
        <f>IF(IFERROR(VLOOKUP(A73,'10.低水護岸'!C:D,1,0),"")="","","✔")</f>
        <v/>
      </c>
      <c r="L73" s="98" t="str">
        <f>IF(IFERROR(VLOOKUP(A73,'11.固床工'!C:D,1,0),"")="","","✔")</f>
        <v/>
      </c>
      <c r="M73" s="98" t="str">
        <f>IF(IFERROR(VLOOKUP(A73,'12.全套管基樁'!C:D,1,0),"")="","","✔")</f>
        <v/>
      </c>
      <c r="N73" s="98" t="str">
        <f>IF(IFERROR(VLOOKUP(A73,'13.鋼筋混凝土管工程'!C:D,1,0),"")="","","✔")</f>
        <v/>
      </c>
      <c r="O73" s="98" t="str">
        <f>IF(IFERROR(VLOOKUP(A73,'14.鋼版樁'!C:D,1,0),"")="","","✔")</f>
        <v/>
      </c>
      <c r="P73" s="98" t="str">
        <f>IF(IFERROR(VLOOKUP(A73,'15.路床 路基高程'!C:D,1,0),"")="","","✔")</f>
        <v/>
      </c>
      <c r="Q73" s="98" t="str">
        <f>IF(IFERROR(VLOOKUP(A73,'16.瀝青混凝土'!C:D,1,0),"")="","","✔")</f>
        <v/>
      </c>
      <c r="R73" s="98" t="str">
        <f>IF(IFERROR(VLOOKUP(A73,'17.景觀鋪面(一)'!C:D,1,0),"")="","","✔")</f>
        <v/>
      </c>
      <c r="S73" s="98" t="str">
        <f>IF(IFERROR(VLOOKUP(A73,'18.景觀鋪面(二)'!C:D,1,0),"")="","","✔")</f>
        <v/>
      </c>
      <c r="T73" s="98" t="str">
        <f>IF(IFERROR(VLOOKUP(A73,'19.預鑄緣石'!C:D,1,0),"")="","","✔")</f>
        <v/>
      </c>
      <c r="U73" s="98" t="str">
        <f>IF(IFERROR(VLOOKUP(A73,'20.鋼構工程吊裝'!C:D,1,0),"")="","","✔")</f>
        <v/>
      </c>
      <c r="V73" s="98" t="str">
        <f>IF(IFERROR(VLOOKUP(A73,'21.鋼構工程塗裝'!C:D,1,0),"")="","","✔")</f>
        <v/>
      </c>
      <c r="W73" s="98" t="str">
        <f>IF(IFERROR(VLOOKUP(A73,'22.排水設施(一)'!C:D,1,0),"")="","","✔")</f>
        <v/>
      </c>
      <c r="X73" s="98" t="str">
        <f>IF(IFERROR(VLOOKUP(A73,'23.排水設施(二)'!C:D,1,0),"")="","","✔")</f>
        <v/>
      </c>
      <c r="Y73" s="98" t="str">
        <f>IF(IFERROR(VLOOKUP(A73,'24.木構造'!C:D,1,0),"")="","","✔")</f>
        <v/>
      </c>
      <c r="Z73" s="98" t="str">
        <f>IF(IFERROR(VLOOKUP(A73,'25.管路'!C:D,1,0),"")="","","✔")</f>
        <v/>
      </c>
      <c r="AA73" s="98" t="str">
        <f>IF(IFERROR(VLOOKUP(A73,'26.植栽(移植)'!C:D,1,0),"")="","","✔")</f>
        <v/>
      </c>
      <c r="AB73" s="98" t="str">
        <f>IF(IFERROR(VLOOKUP(A73,'27.植栽(新植)'!C:D,1,0),"")="","","✔")</f>
        <v/>
      </c>
      <c r="AC73" s="98" t="str">
        <f>IF(IFERROR(VLOOKUP(A73,'28.照明'!C:D,1,0),"")="","","✔")</f>
        <v/>
      </c>
      <c r="AD73" s="98" t="str">
        <f>IF(IFERROR(VLOOKUP(A73,'29.既有橋梁拆除'!C:D,1,0),"")="","","✔")</f>
        <v/>
      </c>
    </row>
    <row r="74" spans="1:30" ht="21.75" customHeight="1" x14ac:dyDescent="0.25">
      <c r="A74" s="99">
        <v>45264</v>
      </c>
      <c r="B74" s="98" t="str">
        <f>IF(IFERROR(VLOOKUP(A74,'1.測量放樣'!C:D,1,0),"")="","","✔")</f>
        <v/>
      </c>
      <c r="C74" s="98" t="str">
        <f>IF(IFERROR(VLOOKUP(A74,'2.土方開挖'!C:D,1,0),"")="","","✔")</f>
        <v>✔</v>
      </c>
      <c r="D74" s="98" t="str">
        <f>IF(IFERROR(VLOOKUP(A74,'3.土方回填'!C:D,1,0),"")="","","✔")</f>
        <v/>
      </c>
      <c r="E74" s="98" t="str">
        <f>IF(IFERROR(VLOOKUP(A74,'4.鋼筋'!C:D,1,0),"")="","","✔")</f>
        <v/>
      </c>
      <c r="F74" s="98" t="str">
        <f>IF(IFERROR(VLOOKUP(A74,'5.模板'!C:D,1,0),"")="","","✔")</f>
        <v/>
      </c>
      <c r="G74" s="98" t="str">
        <f>IF(IFERROR(VLOOKUP(A74,'6.混凝土'!C:D,1,0),"")="","","✔")</f>
        <v/>
      </c>
      <c r="H74" s="98" t="str">
        <f>IF(IFERROR(VLOOKUP(A74,'7.植筋'!C:D,1,0),"")="","","✔")</f>
        <v/>
      </c>
      <c r="I74" s="98" t="str">
        <f>IF(IFERROR(VLOOKUP(A74,'8.預力混凝土基樁'!C:D,1,0),"")="","","✔")</f>
        <v/>
      </c>
      <c r="J74" s="98" t="str">
        <f>IF(IFERROR(VLOOKUP(A74,'9.砌塊石護岸'!C:D,1,0),"")="","","✔")</f>
        <v/>
      </c>
      <c r="K74" s="98" t="str">
        <f>IF(IFERROR(VLOOKUP(A74,'10.低水護岸'!C:D,1,0),"")="","","✔")</f>
        <v/>
      </c>
      <c r="L74" s="98" t="str">
        <f>IF(IFERROR(VLOOKUP(A74,'11.固床工'!C:D,1,0),"")="","","✔")</f>
        <v/>
      </c>
      <c r="M74" s="98" t="str">
        <f>IF(IFERROR(VLOOKUP(A74,'12.全套管基樁'!C:D,1,0),"")="","","✔")</f>
        <v/>
      </c>
      <c r="N74" s="98" t="str">
        <f>IF(IFERROR(VLOOKUP(A74,'13.鋼筋混凝土管工程'!C:D,1,0),"")="","","✔")</f>
        <v/>
      </c>
      <c r="O74" s="98" t="str">
        <f>IF(IFERROR(VLOOKUP(A74,'14.鋼版樁'!C:D,1,0),"")="","","✔")</f>
        <v/>
      </c>
      <c r="P74" s="98" t="str">
        <f>IF(IFERROR(VLOOKUP(A74,'15.路床 路基高程'!C:D,1,0),"")="","","✔")</f>
        <v/>
      </c>
      <c r="Q74" s="98" t="str">
        <f>IF(IFERROR(VLOOKUP(A74,'16.瀝青混凝土'!C:D,1,0),"")="","","✔")</f>
        <v/>
      </c>
      <c r="R74" s="98" t="str">
        <f>IF(IFERROR(VLOOKUP(A74,'17.景觀鋪面(一)'!C:D,1,0),"")="","","✔")</f>
        <v/>
      </c>
      <c r="S74" s="98" t="str">
        <f>IF(IFERROR(VLOOKUP(A74,'18.景觀鋪面(二)'!C:D,1,0),"")="","","✔")</f>
        <v/>
      </c>
      <c r="T74" s="98" t="str">
        <f>IF(IFERROR(VLOOKUP(A74,'19.預鑄緣石'!C:D,1,0),"")="","","✔")</f>
        <v/>
      </c>
      <c r="U74" s="98" t="str">
        <f>IF(IFERROR(VLOOKUP(A74,'20.鋼構工程吊裝'!C:D,1,0),"")="","","✔")</f>
        <v/>
      </c>
      <c r="V74" s="98" t="str">
        <f>IF(IFERROR(VLOOKUP(A74,'21.鋼構工程塗裝'!C:D,1,0),"")="","","✔")</f>
        <v/>
      </c>
      <c r="W74" s="98" t="str">
        <f>IF(IFERROR(VLOOKUP(A74,'22.排水設施(一)'!C:D,1,0),"")="","","✔")</f>
        <v/>
      </c>
      <c r="X74" s="98" t="str">
        <f>IF(IFERROR(VLOOKUP(A74,'23.排水設施(二)'!C:D,1,0),"")="","","✔")</f>
        <v/>
      </c>
      <c r="Y74" s="98" t="str">
        <f>IF(IFERROR(VLOOKUP(A74,'24.木構造'!C:D,1,0),"")="","","✔")</f>
        <v/>
      </c>
      <c r="Z74" s="98" t="str">
        <f>IF(IFERROR(VLOOKUP(A74,'25.管路'!C:D,1,0),"")="","","✔")</f>
        <v/>
      </c>
      <c r="AA74" s="98" t="str">
        <f>IF(IFERROR(VLOOKUP(A74,'26.植栽(移植)'!C:D,1,0),"")="","","✔")</f>
        <v/>
      </c>
      <c r="AB74" s="98" t="str">
        <f>IF(IFERROR(VLOOKUP(A74,'27.植栽(新植)'!C:D,1,0),"")="","","✔")</f>
        <v/>
      </c>
      <c r="AC74" s="98" t="str">
        <f>IF(IFERROR(VLOOKUP(A74,'28.照明'!C:D,1,0),"")="","","✔")</f>
        <v/>
      </c>
      <c r="AD74" s="98" t="str">
        <f>IF(IFERROR(VLOOKUP(A74,'29.既有橋梁拆除'!C:D,1,0),"")="","","✔")</f>
        <v/>
      </c>
    </row>
    <row r="75" spans="1:30" ht="21.75" customHeight="1" x14ac:dyDescent="0.25">
      <c r="A75" s="99">
        <v>45265</v>
      </c>
      <c r="B75" s="98" t="str">
        <f>IF(IFERROR(VLOOKUP(A75,'1.測量放樣'!C:D,1,0),"")="","","✔")</f>
        <v/>
      </c>
      <c r="C75" s="98" t="str">
        <f>IF(IFERROR(VLOOKUP(A75,'2.土方開挖'!C:D,1,0),"")="","","✔")</f>
        <v>✔</v>
      </c>
      <c r="D75" s="98" t="str">
        <f>IF(IFERROR(VLOOKUP(A75,'3.土方回填'!C:D,1,0),"")="","","✔")</f>
        <v/>
      </c>
      <c r="E75" s="98" t="str">
        <f>IF(IFERROR(VLOOKUP(A75,'4.鋼筋'!C:D,1,0),"")="","","✔")</f>
        <v/>
      </c>
      <c r="F75" s="98" t="str">
        <f>IF(IFERROR(VLOOKUP(A75,'5.模板'!C:D,1,0),"")="","","✔")</f>
        <v/>
      </c>
      <c r="G75" s="98" t="str">
        <f>IF(IFERROR(VLOOKUP(A75,'6.混凝土'!C:D,1,0),"")="","","✔")</f>
        <v/>
      </c>
      <c r="H75" s="98" t="str">
        <f>IF(IFERROR(VLOOKUP(A75,'7.植筋'!C:D,1,0),"")="","","✔")</f>
        <v/>
      </c>
      <c r="I75" s="98" t="str">
        <f>IF(IFERROR(VLOOKUP(A75,'8.預力混凝土基樁'!C:D,1,0),"")="","","✔")</f>
        <v/>
      </c>
      <c r="J75" s="98" t="str">
        <f>IF(IFERROR(VLOOKUP(A75,'9.砌塊石護岸'!C:D,1,0),"")="","","✔")</f>
        <v/>
      </c>
      <c r="K75" s="98" t="str">
        <f>IF(IFERROR(VLOOKUP(A75,'10.低水護岸'!C:D,1,0),"")="","","✔")</f>
        <v/>
      </c>
      <c r="L75" s="98" t="str">
        <f>IF(IFERROR(VLOOKUP(A75,'11.固床工'!C:D,1,0),"")="","","✔")</f>
        <v/>
      </c>
      <c r="M75" s="98" t="str">
        <f>IF(IFERROR(VLOOKUP(A75,'12.全套管基樁'!C:D,1,0),"")="","","✔")</f>
        <v/>
      </c>
      <c r="N75" s="98" t="str">
        <f>IF(IFERROR(VLOOKUP(A75,'13.鋼筋混凝土管工程'!C:D,1,0),"")="","","✔")</f>
        <v/>
      </c>
      <c r="O75" s="98" t="str">
        <f>IF(IFERROR(VLOOKUP(A75,'14.鋼版樁'!C:D,1,0),"")="","","✔")</f>
        <v/>
      </c>
      <c r="P75" s="98" t="str">
        <f>IF(IFERROR(VLOOKUP(A75,'15.路床 路基高程'!C:D,1,0),"")="","","✔")</f>
        <v/>
      </c>
      <c r="Q75" s="98" t="str">
        <f>IF(IFERROR(VLOOKUP(A75,'16.瀝青混凝土'!C:D,1,0),"")="","","✔")</f>
        <v/>
      </c>
      <c r="R75" s="98" t="str">
        <f>IF(IFERROR(VLOOKUP(A75,'17.景觀鋪面(一)'!C:D,1,0),"")="","","✔")</f>
        <v/>
      </c>
      <c r="S75" s="98" t="str">
        <f>IF(IFERROR(VLOOKUP(A75,'18.景觀鋪面(二)'!C:D,1,0),"")="","","✔")</f>
        <v/>
      </c>
      <c r="T75" s="98" t="str">
        <f>IF(IFERROR(VLOOKUP(A75,'19.預鑄緣石'!C:D,1,0),"")="","","✔")</f>
        <v/>
      </c>
      <c r="U75" s="98" t="str">
        <f>IF(IFERROR(VLOOKUP(A75,'20.鋼構工程吊裝'!C:D,1,0),"")="","","✔")</f>
        <v/>
      </c>
      <c r="V75" s="98" t="str">
        <f>IF(IFERROR(VLOOKUP(A75,'21.鋼構工程塗裝'!C:D,1,0),"")="","","✔")</f>
        <v/>
      </c>
      <c r="W75" s="98" t="str">
        <f>IF(IFERROR(VLOOKUP(A75,'22.排水設施(一)'!C:D,1,0),"")="","","✔")</f>
        <v/>
      </c>
      <c r="X75" s="98" t="str">
        <f>IF(IFERROR(VLOOKUP(A75,'23.排水設施(二)'!C:D,1,0),"")="","","✔")</f>
        <v/>
      </c>
      <c r="Y75" s="98" t="str">
        <f>IF(IFERROR(VLOOKUP(A75,'24.木構造'!C:D,1,0),"")="","","✔")</f>
        <v/>
      </c>
      <c r="Z75" s="98" t="str">
        <f>IF(IFERROR(VLOOKUP(A75,'25.管路'!C:D,1,0),"")="","","✔")</f>
        <v/>
      </c>
      <c r="AA75" s="98" t="str">
        <f>IF(IFERROR(VLOOKUP(A75,'26.植栽(移植)'!C:D,1,0),"")="","","✔")</f>
        <v/>
      </c>
      <c r="AB75" s="98" t="str">
        <f>IF(IFERROR(VLOOKUP(A75,'27.植栽(新植)'!C:D,1,0),"")="","","✔")</f>
        <v/>
      </c>
      <c r="AC75" s="98" t="str">
        <f>IF(IFERROR(VLOOKUP(A75,'28.照明'!C:D,1,0),"")="","","✔")</f>
        <v/>
      </c>
      <c r="AD75" s="98" t="str">
        <f>IF(IFERROR(VLOOKUP(A75,'29.既有橋梁拆除'!C:D,1,0),"")="","","✔")</f>
        <v/>
      </c>
    </row>
    <row r="76" spans="1:30" ht="21.75" customHeight="1" x14ac:dyDescent="0.25">
      <c r="A76" s="99">
        <v>45266</v>
      </c>
      <c r="B76" s="98" t="str">
        <f>IF(IFERROR(VLOOKUP(A76,'1.測量放樣'!C:D,1,0),"")="","","✔")</f>
        <v/>
      </c>
      <c r="C76" s="98" t="str">
        <f>IF(IFERROR(VLOOKUP(A76,'2.土方開挖'!C:D,1,0),"")="","","✔")</f>
        <v>✔</v>
      </c>
      <c r="D76" s="98" t="str">
        <f>IF(IFERROR(VLOOKUP(A76,'3.土方回填'!C:D,1,0),"")="","","✔")</f>
        <v/>
      </c>
      <c r="E76" s="98" t="str">
        <f>IF(IFERROR(VLOOKUP(A76,'4.鋼筋'!C:D,1,0),"")="","","✔")</f>
        <v/>
      </c>
      <c r="F76" s="98" t="str">
        <f>IF(IFERROR(VLOOKUP(A76,'5.模板'!C:D,1,0),"")="","","✔")</f>
        <v/>
      </c>
      <c r="G76" s="98" t="str">
        <f>IF(IFERROR(VLOOKUP(A76,'6.混凝土'!C:D,1,0),"")="","","✔")</f>
        <v/>
      </c>
      <c r="H76" s="98" t="str">
        <f>IF(IFERROR(VLOOKUP(A76,'7.植筋'!C:D,1,0),"")="","","✔")</f>
        <v/>
      </c>
      <c r="I76" s="98" t="str">
        <f>IF(IFERROR(VLOOKUP(A76,'8.預力混凝土基樁'!C:D,1,0),"")="","","✔")</f>
        <v/>
      </c>
      <c r="J76" s="98" t="str">
        <f>IF(IFERROR(VLOOKUP(A76,'9.砌塊石護岸'!C:D,1,0),"")="","","✔")</f>
        <v/>
      </c>
      <c r="K76" s="98" t="str">
        <f>IF(IFERROR(VLOOKUP(A76,'10.低水護岸'!C:D,1,0),"")="","","✔")</f>
        <v/>
      </c>
      <c r="L76" s="98" t="str">
        <f>IF(IFERROR(VLOOKUP(A76,'11.固床工'!C:D,1,0),"")="","","✔")</f>
        <v/>
      </c>
      <c r="M76" s="98" t="str">
        <f>IF(IFERROR(VLOOKUP(A76,'12.全套管基樁'!C:D,1,0),"")="","","✔")</f>
        <v/>
      </c>
      <c r="N76" s="98" t="str">
        <f>IF(IFERROR(VLOOKUP(A76,'13.鋼筋混凝土管工程'!C:D,1,0),"")="","","✔")</f>
        <v/>
      </c>
      <c r="O76" s="98" t="str">
        <f>IF(IFERROR(VLOOKUP(A76,'14.鋼版樁'!C:D,1,0),"")="","","✔")</f>
        <v/>
      </c>
      <c r="P76" s="98" t="str">
        <f>IF(IFERROR(VLOOKUP(A76,'15.路床 路基高程'!C:D,1,0),"")="","","✔")</f>
        <v/>
      </c>
      <c r="Q76" s="98" t="str">
        <f>IF(IFERROR(VLOOKUP(A76,'16.瀝青混凝土'!C:D,1,0),"")="","","✔")</f>
        <v/>
      </c>
      <c r="R76" s="98" t="str">
        <f>IF(IFERROR(VLOOKUP(A76,'17.景觀鋪面(一)'!C:D,1,0),"")="","","✔")</f>
        <v/>
      </c>
      <c r="S76" s="98" t="str">
        <f>IF(IFERROR(VLOOKUP(A76,'18.景觀鋪面(二)'!C:D,1,0),"")="","","✔")</f>
        <v/>
      </c>
      <c r="T76" s="98" t="str">
        <f>IF(IFERROR(VLOOKUP(A76,'19.預鑄緣石'!C:D,1,0),"")="","","✔")</f>
        <v/>
      </c>
      <c r="U76" s="98" t="str">
        <f>IF(IFERROR(VLOOKUP(A76,'20.鋼構工程吊裝'!C:D,1,0),"")="","","✔")</f>
        <v/>
      </c>
      <c r="V76" s="98" t="str">
        <f>IF(IFERROR(VLOOKUP(A76,'21.鋼構工程塗裝'!C:D,1,0),"")="","","✔")</f>
        <v/>
      </c>
      <c r="W76" s="98" t="str">
        <f>IF(IFERROR(VLOOKUP(A76,'22.排水設施(一)'!C:D,1,0),"")="","","✔")</f>
        <v/>
      </c>
      <c r="X76" s="98" t="str">
        <f>IF(IFERROR(VLOOKUP(A76,'23.排水設施(二)'!C:D,1,0),"")="","","✔")</f>
        <v/>
      </c>
      <c r="Y76" s="98" t="str">
        <f>IF(IFERROR(VLOOKUP(A76,'24.木構造'!C:D,1,0),"")="","","✔")</f>
        <v/>
      </c>
      <c r="Z76" s="98" t="str">
        <f>IF(IFERROR(VLOOKUP(A76,'25.管路'!C:D,1,0),"")="","","✔")</f>
        <v/>
      </c>
      <c r="AA76" s="98" t="str">
        <f>IF(IFERROR(VLOOKUP(A76,'26.植栽(移植)'!C:D,1,0),"")="","","✔")</f>
        <v/>
      </c>
      <c r="AB76" s="98" t="str">
        <f>IF(IFERROR(VLOOKUP(A76,'27.植栽(新植)'!C:D,1,0),"")="","","✔")</f>
        <v/>
      </c>
      <c r="AC76" s="98" t="str">
        <f>IF(IFERROR(VLOOKUP(A76,'28.照明'!C:D,1,0),"")="","","✔")</f>
        <v/>
      </c>
      <c r="AD76" s="98" t="str">
        <f>IF(IFERROR(VLOOKUP(A76,'29.既有橋梁拆除'!C:D,1,0),"")="","","✔")</f>
        <v/>
      </c>
    </row>
    <row r="77" spans="1:30" ht="21.75" customHeight="1" x14ac:dyDescent="0.25">
      <c r="A77" s="99">
        <v>45267</v>
      </c>
      <c r="B77" s="98" t="str">
        <f>IF(IFERROR(VLOOKUP(A77,'1.測量放樣'!C:D,1,0),"")="","","✔")</f>
        <v/>
      </c>
      <c r="C77" s="98" t="str">
        <f>IF(IFERROR(VLOOKUP(A77,'2.土方開挖'!C:D,1,0),"")="","","✔")</f>
        <v>✔</v>
      </c>
      <c r="D77" s="98" t="str">
        <f>IF(IFERROR(VLOOKUP(A77,'3.土方回填'!C:D,1,0),"")="","","✔")</f>
        <v/>
      </c>
      <c r="E77" s="98" t="str">
        <f>IF(IFERROR(VLOOKUP(A77,'4.鋼筋'!C:D,1,0),"")="","","✔")</f>
        <v/>
      </c>
      <c r="F77" s="98" t="str">
        <f>IF(IFERROR(VLOOKUP(A77,'5.模板'!C:D,1,0),"")="","","✔")</f>
        <v/>
      </c>
      <c r="G77" s="98" t="str">
        <f>IF(IFERROR(VLOOKUP(A77,'6.混凝土'!C:D,1,0),"")="","","✔")</f>
        <v/>
      </c>
      <c r="H77" s="98" t="str">
        <f>IF(IFERROR(VLOOKUP(A77,'7.植筋'!C:D,1,0),"")="","","✔")</f>
        <v/>
      </c>
      <c r="I77" s="98" t="str">
        <f>IF(IFERROR(VLOOKUP(A77,'8.預力混凝土基樁'!C:D,1,0),"")="","","✔")</f>
        <v/>
      </c>
      <c r="J77" s="98" t="str">
        <f>IF(IFERROR(VLOOKUP(A77,'9.砌塊石護岸'!C:D,1,0),"")="","","✔")</f>
        <v/>
      </c>
      <c r="K77" s="98" t="str">
        <f>IF(IFERROR(VLOOKUP(A77,'10.低水護岸'!C:D,1,0),"")="","","✔")</f>
        <v/>
      </c>
      <c r="L77" s="98" t="str">
        <f>IF(IFERROR(VLOOKUP(A77,'11.固床工'!C:D,1,0),"")="","","✔")</f>
        <v/>
      </c>
      <c r="M77" s="98" t="str">
        <f>IF(IFERROR(VLOOKUP(A77,'12.全套管基樁'!C:D,1,0),"")="","","✔")</f>
        <v/>
      </c>
      <c r="N77" s="98" t="str">
        <f>IF(IFERROR(VLOOKUP(A77,'13.鋼筋混凝土管工程'!C:D,1,0),"")="","","✔")</f>
        <v/>
      </c>
      <c r="O77" s="98" t="str">
        <f>IF(IFERROR(VLOOKUP(A77,'14.鋼版樁'!C:D,1,0),"")="","","✔")</f>
        <v>✔</v>
      </c>
      <c r="P77" s="98" t="str">
        <f>IF(IFERROR(VLOOKUP(A77,'15.路床 路基高程'!C:D,1,0),"")="","","✔")</f>
        <v/>
      </c>
      <c r="Q77" s="98" t="str">
        <f>IF(IFERROR(VLOOKUP(A77,'16.瀝青混凝土'!C:D,1,0),"")="","","✔")</f>
        <v/>
      </c>
      <c r="R77" s="98" t="str">
        <f>IF(IFERROR(VLOOKUP(A77,'17.景觀鋪面(一)'!C:D,1,0),"")="","","✔")</f>
        <v/>
      </c>
      <c r="S77" s="98" t="str">
        <f>IF(IFERROR(VLOOKUP(A77,'18.景觀鋪面(二)'!C:D,1,0),"")="","","✔")</f>
        <v/>
      </c>
      <c r="T77" s="98" t="str">
        <f>IF(IFERROR(VLOOKUP(A77,'19.預鑄緣石'!C:D,1,0),"")="","","✔")</f>
        <v/>
      </c>
      <c r="U77" s="98" t="str">
        <f>IF(IFERROR(VLOOKUP(A77,'20.鋼構工程吊裝'!C:D,1,0),"")="","","✔")</f>
        <v/>
      </c>
      <c r="V77" s="98" t="str">
        <f>IF(IFERROR(VLOOKUP(A77,'21.鋼構工程塗裝'!C:D,1,0),"")="","","✔")</f>
        <v/>
      </c>
      <c r="W77" s="98" t="str">
        <f>IF(IFERROR(VLOOKUP(A77,'22.排水設施(一)'!C:D,1,0),"")="","","✔")</f>
        <v/>
      </c>
      <c r="X77" s="98" t="str">
        <f>IF(IFERROR(VLOOKUP(A77,'23.排水設施(二)'!C:D,1,0),"")="","","✔")</f>
        <v/>
      </c>
      <c r="Y77" s="98" t="str">
        <f>IF(IFERROR(VLOOKUP(A77,'24.木構造'!C:D,1,0),"")="","","✔")</f>
        <v/>
      </c>
      <c r="Z77" s="98" t="str">
        <f>IF(IFERROR(VLOOKUP(A77,'25.管路'!C:D,1,0),"")="","","✔")</f>
        <v/>
      </c>
      <c r="AA77" s="98" t="str">
        <f>IF(IFERROR(VLOOKUP(A77,'26.植栽(移植)'!C:D,1,0),"")="","","✔")</f>
        <v/>
      </c>
      <c r="AB77" s="98" t="str">
        <f>IF(IFERROR(VLOOKUP(A77,'27.植栽(新植)'!C:D,1,0),"")="","","✔")</f>
        <v/>
      </c>
      <c r="AC77" s="98" t="str">
        <f>IF(IFERROR(VLOOKUP(A77,'28.照明'!C:D,1,0),"")="","","✔")</f>
        <v/>
      </c>
      <c r="AD77" s="98" t="str">
        <f>IF(IFERROR(VLOOKUP(A77,'29.既有橋梁拆除'!C:D,1,0),"")="","","✔")</f>
        <v/>
      </c>
    </row>
    <row r="78" spans="1:30" ht="21.75" customHeight="1" x14ac:dyDescent="0.25">
      <c r="A78" s="99">
        <v>45268</v>
      </c>
      <c r="B78" s="98" t="str">
        <f>IF(IFERROR(VLOOKUP(A78,'1.測量放樣'!C:D,1,0),"")="","","✔")</f>
        <v/>
      </c>
      <c r="C78" s="98" t="str">
        <f>IF(IFERROR(VLOOKUP(A78,'2.土方開挖'!C:D,1,0),"")="","","✔")</f>
        <v/>
      </c>
      <c r="D78" s="98" t="str">
        <f>IF(IFERROR(VLOOKUP(A78,'3.土方回填'!C:D,1,0),"")="","","✔")</f>
        <v/>
      </c>
      <c r="E78" s="98" t="str">
        <f>IF(IFERROR(VLOOKUP(A78,'4.鋼筋'!C:D,1,0),"")="","","✔")</f>
        <v/>
      </c>
      <c r="F78" s="98" t="str">
        <f>IF(IFERROR(VLOOKUP(A78,'5.模板'!C:D,1,0),"")="","","✔")</f>
        <v/>
      </c>
      <c r="G78" s="98" t="str">
        <f>IF(IFERROR(VLOOKUP(A78,'6.混凝土'!C:D,1,0),"")="","","✔")</f>
        <v/>
      </c>
      <c r="H78" s="98" t="str">
        <f>IF(IFERROR(VLOOKUP(A78,'7.植筋'!C:D,1,0),"")="","","✔")</f>
        <v/>
      </c>
      <c r="I78" s="98" t="str">
        <f>IF(IFERROR(VLOOKUP(A78,'8.預力混凝土基樁'!C:D,1,0),"")="","","✔")</f>
        <v/>
      </c>
      <c r="J78" s="98" t="str">
        <f>IF(IFERROR(VLOOKUP(A78,'9.砌塊石護岸'!C:D,1,0),"")="","","✔")</f>
        <v/>
      </c>
      <c r="K78" s="98" t="str">
        <f>IF(IFERROR(VLOOKUP(A78,'10.低水護岸'!C:D,1,0),"")="","","✔")</f>
        <v/>
      </c>
      <c r="L78" s="98" t="str">
        <f>IF(IFERROR(VLOOKUP(A78,'11.固床工'!C:D,1,0),"")="","","✔")</f>
        <v/>
      </c>
      <c r="M78" s="98" t="str">
        <f>IF(IFERROR(VLOOKUP(A78,'12.全套管基樁'!C:D,1,0),"")="","","✔")</f>
        <v/>
      </c>
      <c r="N78" s="98" t="str">
        <f>IF(IFERROR(VLOOKUP(A78,'13.鋼筋混凝土管工程'!C:D,1,0),"")="","","✔")</f>
        <v/>
      </c>
      <c r="O78" s="98" t="str">
        <f>IF(IFERROR(VLOOKUP(A78,'14.鋼版樁'!C:D,1,0),"")="","","✔")</f>
        <v/>
      </c>
      <c r="P78" s="98" t="str">
        <f>IF(IFERROR(VLOOKUP(A78,'15.路床 路基高程'!C:D,1,0),"")="","","✔")</f>
        <v/>
      </c>
      <c r="Q78" s="98" t="str">
        <f>IF(IFERROR(VLOOKUP(A78,'16.瀝青混凝土'!C:D,1,0),"")="","","✔")</f>
        <v/>
      </c>
      <c r="R78" s="98" t="str">
        <f>IF(IFERROR(VLOOKUP(A78,'17.景觀鋪面(一)'!C:D,1,0),"")="","","✔")</f>
        <v/>
      </c>
      <c r="S78" s="98" t="str">
        <f>IF(IFERROR(VLOOKUP(A78,'18.景觀鋪面(二)'!C:D,1,0),"")="","","✔")</f>
        <v/>
      </c>
      <c r="T78" s="98" t="str">
        <f>IF(IFERROR(VLOOKUP(A78,'19.預鑄緣石'!C:D,1,0),"")="","","✔")</f>
        <v/>
      </c>
      <c r="U78" s="98" t="str">
        <f>IF(IFERROR(VLOOKUP(A78,'20.鋼構工程吊裝'!C:D,1,0),"")="","","✔")</f>
        <v/>
      </c>
      <c r="V78" s="98" t="str">
        <f>IF(IFERROR(VLOOKUP(A78,'21.鋼構工程塗裝'!C:D,1,0),"")="","","✔")</f>
        <v/>
      </c>
      <c r="W78" s="98" t="str">
        <f>IF(IFERROR(VLOOKUP(A78,'22.排水設施(一)'!C:D,1,0),"")="","","✔")</f>
        <v/>
      </c>
      <c r="X78" s="98" t="str">
        <f>IF(IFERROR(VLOOKUP(A78,'23.排水設施(二)'!C:D,1,0),"")="","","✔")</f>
        <v/>
      </c>
      <c r="Y78" s="98" t="str">
        <f>IF(IFERROR(VLOOKUP(A78,'24.木構造'!C:D,1,0),"")="","","✔")</f>
        <v/>
      </c>
      <c r="Z78" s="98" t="str">
        <f>IF(IFERROR(VLOOKUP(A78,'25.管路'!C:D,1,0),"")="","","✔")</f>
        <v/>
      </c>
      <c r="AA78" s="98" t="str">
        <f>IF(IFERROR(VLOOKUP(A78,'26.植栽(移植)'!C:D,1,0),"")="","","✔")</f>
        <v/>
      </c>
      <c r="AB78" s="98" t="str">
        <f>IF(IFERROR(VLOOKUP(A78,'27.植栽(新植)'!C:D,1,0),"")="","","✔")</f>
        <v/>
      </c>
      <c r="AC78" s="98" t="str">
        <f>IF(IFERROR(VLOOKUP(A78,'28.照明'!C:D,1,0),"")="","","✔")</f>
        <v/>
      </c>
      <c r="AD78" s="98" t="str">
        <f>IF(IFERROR(VLOOKUP(A78,'29.既有橋梁拆除'!C:D,1,0),"")="","","✔")</f>
        <v/>
      </c>
    </row>
    <row r="79" spans="1:30" ht="21.75" customHeight="1" x14ac:dyDescent="0.25">
      <c r="A79" s="99">
        <v>45269</v>
      </c>
      <c r="B79" s="98" t="str">
        <f>IF(IFERROR(VLOOKUP(A79,'1.測量放樣'!C:D,1,0),"")="","","✔")</f>
        <v/>
      </c>
      <c r="C79" s="98" t="str">
        <f>IF(IFERROR(VLOOKUP(A79,'2.土方開挖'!C:D,1,0),"")="","","✔")</f>
        <v>✔</v>
      </c>
      <c r="D79" s="98" t="str">
        <f>IF(IFERROR(VLOOKUP(A79,'3.土方回填'!C:D,1,0),"")="","","✔")</f>
        <v/>
      </c>
      <c r="E79" s="98" t="str">
        <f>IF(IFERROR(VLOOKUP(A79,'4.鋼筋'!C:D,1,0),"")="","","✔")</f>
        <v/>
      </c>
      <c r="F79" s="98" t="str">
        <f>IF(IFERROR(VLOOKUP(A79,'5.模板'!C:D,1,0),"")="","","✔")</f>
        <v/>
      </c>
      <c r="G79" s="98" t="str">
        <f>IF(IFERROR(VLOOKUP(A79,'6.混凝土'!C:D,1,0),"")="","","✔")</f>
        <v/>
      </c>
      <c r="H79" s="98" t="str">
        <f>IF(IFERROR(VLOOKUP(A79,'7.植筋'!C:D,1,0),"")="","","✔")</f>
        <v/>
      </c>
      <c r="I79" s="98" t="str">
        <f>IF(IFERROR(VLOOKUP(A79,'8.預力混凝土基樁'!C:D,1,0),"")="","","✔")</f>
        <v/>
      </c>
      <c r="J79" s="98" t="str">
        <f>IF(IFERROR(VLOOKUP(A79,'9.砌塊石護岸'!C:D,1,0),"")="","","✔")</f>
        <v/>
      </c>
      <c r="K79" s="98" t="str">
        <f>IF(IFERROR(VLOOKUP(A79,'10.低水護岸'!C:D,1,0),"")="","","✔")</f>
        <v/>
      </c>
      <c r="L79" s="98" t="str">
        <f>IF(IFERROR(VLOOKUP(A79,'11.固床工'!C:D,1,0),"")="","","✔")</f>
        <v/>
      </c>
      <c r="M79" s="98" t="str">
        <f>IF(IFERROR(VLOOKUP(A79,'12.全套管基樁'!C:D,1,0),"")="","","✔")</f>
        <v/>
      </c>
      <c r="N79" s="98" t="str">
        <f>IF(IFERROR(VLOOKUP(A79,'13.鋼筋混凝土管工程'!C:D,1,0),"")="","","✔")</f>
        <v/>
      </c>
      <c r="O79" s="98" t="str">
        <f>IF(IFERROR(VLOOKUP(A79,'14.鋼版樁'!C:D,1,0),"")="","","✔")</f>
        <v/>
      </c>
      <c r="P79" s="98" t="str">
        <f>IF(IFERROR(VLOOKUP(A79,'15.路床 路基高程'!C:D,1,0),"")="","","✔")</f>
        <v/>
      </c>
      <c r="Q79" s="98" t="str">
        <f>IF(IFERROR(VLOOKUP(A79,'16.瀝青混凝土'!C:D,1,0),"")="","","✔")</f>
        <v/>
      </c>
      <c r="R79" s="98" t="str">
        <f>IF(IFERROR(VLOOKUP(A79,'17.景觀鋪面(一)'!C:D,1,0),"")="","","✔")</f>
        <v/>
      </c>
      <c r="S79" s="98" t="str">
        <f>IF(IFERROR(VLOOKUP(A79,'18.景觀鋪面(二)'!C:D,1,0),"")="","","✔")</f>
        <v/>
      </c>
      <c r="T79" s="98" t="str">
        <f>IF(IFERROR(VLOOKUP(A79,'19.預鑄緣石'!C:D,1,0),"")="","","✔")</f>
        <v/>
      </c>
      <c r="U79" s="98" t="str">
        <f>IF(IFERROR(VLOOKUP(A79,'20.鋼構工程吊裝'!C:D,1,0),"")="","","✔")</f>
        <v/>
      </c>
      <c r="V79" s="98" t="str">
        <f>IF(IFERROR(VLOOKUP(A79,'21.鋼構工程塗裝'!C:D,1,0),"")="","","✔")</f>
        <v/>
      </c>
      <c r="W79" s="98" t="str">
        <f>IF(IFERROR(VLOOKUP(A79,'22.排水設施(一)'!C:D,1,0),"")="","","✔")</f>
        <v/>
      </c>
      <c r="X79" s="98" t="str">
        <f>IF(IFERROR(VLOOKUP(A79,'23.排水設施(二)'!C:D,1,0),"")="","","✔")</f>
        <v/>
      </c>
      <c r="Y79" s="98" t="str">
        <f>IF(IFERROR(VLOOKUP(A79,'24.木構造'!C:D,1,0),"")="","","✔")</f>
        <v/>
      </c>
      <c r="Z79" s="98" t="str">
        <f>IF(IFERROR(VLOOKUP(A79,'25.管路'!C:D,1,0),"")="","","✔")</f>
        <v/>
      </c>
      <c r="AA79" s="98" t="str">
        <f>IF(IFERROR(VLOOKUP(A79,'26.植栽(移植)'!C:D,1,0),"")="","","✔")</f>
        <v/>
      </c>
      <c r="AB79" s="98" t="str">
        <f>IF(IFERROR(VLOOKUP(A79,'27.植栽(新植)'!C:D,1,0),"")="","","✔")</f>
        <v/>
      </c>
      <c r="AC79" s="98" t="str">
        <f>IF(IFERROR(VLOOKUP(A79,'28.照明'!C:D,1,0),"")="","","✔")</f>
        <v/>
      </c>
      <c r="AD79" s="98" t="str">
        <f>IF(IFERROR(VLOOKUP(A79,'29.既有橋梁拆除'!C:D,1,0),"")="","","✔")</f>
        <v/>
      </c>
    </row>
    <row r="80" spans="1:30" ht="21.75" customHeight="1" x14ac:dyDescent="0.25">
      <c r="A80" s="99">
        <v>45270</v>
      </c>
      <c r="B80" s="98" t="str">
        <f>IF(IFERROR(VLOOKUP(A80,'1.測量放樣'!C:D,1,0),"")="","","✔")</f>
        <v/>
      </c>
      <c r="C80" s="98" t="str">
        <f>IF(IFERROR(VLOOKUP(A80,'2.土方開挖'!C:D,1,0),"")="","","✔")</f>
        <v>✔</v>
      </c>
      <c r="D80" s="98" t="str">
        <f>IF(IFERROR(VLOOKUP(A80,'3.土方回填'!C:D,1,0),"")="","","✔")</f>
        <v/>
      </c>
      <c r="E80" s="98" t="str">
        <f>IF(IFERROR(VLOOKUP(A80,'4.鋼筋'!C:D,1,0),"")="","","✔")</f>
        <v/>
      </c>
      <c r="F80" s="98" t="str">
        <f>IF(IFERROR(VLOOKUP(A80,'5.模板'!C:D,1,0),"")="","","✔")</f>
        <v/>
      </c>
      <c r="G80" s="98" t="str">
        <f>IF(IFERROR(VLOOKUP(A80,'6.混凝土'!C:D,1,0),"")="","","✔")</f>
        <v/>
      </c>
      <c r="H80" s="98" t="str">
        <f>IF(IFERROR(VLOOKUP(A80,'7.植筋'!C:D,1,0),"")="","","✔")</f>
        <v/>
      </c>
      <c r="I80" s="98" t="str">
        <f>IF(IFERROR(VLOOKUP(A80,'8.預力混凝土基樁'!C:D,1,0),"")="","","✔")</f>
        <v/>
      </c>
      <c r="J80" s="98" t="str">
        <f>IF(IFERROR(VLOOKUP(A80,'9.砌塊石護岸'!C:D,1,0),"")="","","✔")</f>
        <v/>
      </c>
      <c r="K80" s="98" t="str">
        <f>IF(IFERROR(VLOOKUP(A80,'10.低水護岸'!C:D,1,0),"")="","","✔")</f>
        <v/>
      </c>
      <c r="L80" s="98" t="str">
        <f>IF(IFERROR(VLOOKUP(A80,'11.固床工'!C:D,1,0),"")="","","✔")</f>
        <v/>
      </c>
      <c r="M80" s="98" t="str">
        <f>IF(IFERROR(VLOOKUP(A80,'12.全套管基樁'!C:D,1,0),"")="","","✔")</f>
        <v/>
      </c>
      <c r="N80" s="98" t="str">
        <f>IF(IFERROR(VLOOKUP(A80,'13.鋼筋混凝土管工程'!C:D,1,0),"")="","","✔")</f>
        <v/>
      </c>
      <c r="O80" s="98" t="str">
        <f>IF(IFERROR(VLOOKUP(A80,'14.鋼版樁'!C:D,1,0),"")="","","✔")</f>
        <v/>
      </c>
      <c r="P80" s="98" t="str">
        <f>IF(IFERROR(VLOOKUP(A80,'15.路床 路基高程'!C:D,1,0),"")="","","✔")</f>
        <v/>
      </c>
      <c r="Q80" s="98" t="str">
        <f>IF(IFERROR(VLOOKUP(A80,'16.瀝青混凝土'!C:D,1,0),"")="","","✔")</f>
        <v/>
      </c>
      <c r="R80" s="98" t="str">
        <f>IF(IFERROR(VLOOKUP(A80,'17.景觀鋪面(一)'!C:D,1,0),"")="","","✔")</f>
        <v/>
      </c>
      <c r="S80" s="98" t="str">
        <f>IF(IFERROR(VLOOKUP(A80,'18.景觀鋪面(二)'!C:D,1,0),"")="","","✔")</f>
        <v/>
      </c>
      <c r="T80" s="98" t="str">
        <f>IF(IFERROR(VLOOKUP(A80,'19.預鑄緣石'!C:D,1,0),"")="","","✔")</f>
        <v/>
      </c>
      <c r="U80" s="98" t="str">
        <f>IF(IFERROR(VLOOKUP(A80,'20.鋼構工程吊裝'!C:D,1,0),"")="","","✔")</f>
        <v/>
      </c>
      <c r="V80" s="98" t="str">
        <f>IF(IFERROR(VLOOKUP(A80,'21.鋼構工程塗裝'!C:D,1,0),"")="","","✔")</f>
        <v/>
      </c>
      <c r="W80" s="98" t="str">
        <f>IF(IFERROR(VLOOKUP(A80,'22.排水設施(一)'!C:D,1,0),"")="","","✔")</f>
        <v/>
      </c>
      <c r="X80" s="98" t="str">
        <f>IF(IFERROR(VLOOKUP(A80,'23.排水設施(二)'!C:D,1,0),"")="","","✔")</f>
        <v/>
      </c>
      <c r="Y80" s="98" t="str">
        <f>IF(IFERROR(VLOOKUP(A80,'24.木構造'!C:D,1,0),"")="","","✔")</f>
        <v/>
      </c>
      <c r="Z80" s="98" t="str">
        <f>IF(IFERROR(VLOOKUP(A80,'25.管路'!C:D,1,0),"")="","","✔")</f>
        <v/>
      </c>
      <c r="AA80" s="98" t="str">
        <f>IF(IFERROR(VLOOKUP(A80,'26.植栽(移植)'!C:D,1,0),"")="","","✔")</f>
        <v/>
      </c>
      <c r="AB80" s="98" t="str">
        <f>IF(IFERROR(VLOOKUP(A80,'27.植栽(新植)'!C:D,1,0),"")="","","✔")</f>
        <v/>
      </c>
      <c r="AC80" s="98" t="str">
        <f>IF(IFERROR(VLOOKUP(A80,'28.照明'!C:D,1,0),"")="","","✔")</f>
        <v/>
      </c>
      <c r="AD80" s="98" t="str">
        <f>IF(IFERROR(VLOOKUP(A80,'29.既有橋梁拆除'!C:D,1,0),"")="","","✔")</f>
        <v/>
      </c>
    </row>
    <row r="81" spans="1:30" ht="21.75" customHeight="1" x14ac:dyDescent="0.25">
      <c r="A81" s="99">
        <v>45271</v>
      </c>
      <c r="B81" s="98" t="str">
        <f>IF(IFERROR(VLOOKUP(A81,'1.測量放樣'!C:D,1,0),"")="","","✔")</f>
        <v/>
      </c>
      <c r="C81" s="98" t="str">
        <f>IF(IFERROR(VLOOKUP(A81,'2.土方開挖'!C:D,1,0),"")="","","✔")</f>
        <v/>
      </c>
      <c r="D81" s="98" t="str">
        <f>IF(IFERROR(VLOOKUP(A81,'3.土方回填'!C:D,1,0),"")="","","✔")</f>
        <v/>
      </c>
      <c r="E81" s="98" t="str">
        <f>IF(IFERROR(VLOOKUP(A81,'4.鋼筋'!C:D,1,0),"")="","","✔")</f>
        <v/>
      </c>
      <c r="F81" s="98" t="str">
        <f>IF(IFERROR(VLOOKUP(A81,'5.模板'!C:D,1,0),"")="","","✔")</f>
        <v/>
      </c>
      <c r="G81" s="98" t="str">
        <f>IF(IFERROR(VLOOKUP(A81,'6.混凝土'!C:D,1,0),"")="","","✔")</f>
        <v/>
      </c>
      <c r="H81" s="98" t="str">
        <f>IF(IFERROR(VLOOKUP(A81,'7.植筋'!C:D,1,0),"")="","","✔")</f>
        <v/>
      </c>
      <c r="I81" s="98" t="str">
        <f>IF(IFERROR(VLOOKUP(A81,'8.預力混凝土基樁'!C:D,1,0),"")="","","✔")</f>
        <v/>
      </c>
      <c r="J81" s="98" t="str">
        <f>IF(IFERROR(VLOOKUP(A81,'9.砌塊石護岸'!C:D,1,0),"")="","","✔")</f>
        <v/>
      </c>
      <c r="K81" s="98" t="str">
        <f>IF(IFERROR(VLOOKUP(A81,'10.低水護岸'!C:D,1,0),"")="","","✔")</f>
        <v/>
      </c>
      <c r="L81" s="98" t="str">
        <f>IF(IFERROR(VLOOKUP(A81,'11.固床工'!C:D,1,0),"")="","","✔")</f>
        <v/>
      </c>
      <c r="M81" s="98" t="str">
        <f>IF(IFERROR(VLOOKUP(A81,'12.全套管基樁'!C:D,1,0),"")="","","✔")</f>
        <v/>
      </c>
      <c r="N81" s="98" t="str">
        <f>IF(IFERROR(VLOOKUP(A81,'13.鋼筋混凝土管工程'!C:D,1,0),"")="","","✔")</f>
        <v/>
      </c>
      <c r="O81" s="98" t="str">
        <f>IF(IFERROR(VLOOKUP(A81,'14.鋼版樁'!C:D,1,0),"")="","","✔")</f>
        <v/>
      </c>
      <c r="P81" s="98" t="str">
        <f>IF(IFERROR(VLOOKUP(A81,'15.路床 路基高程'!C:D,1,0),"")="","","✔")</f>
        <v/>
      </c>
      <c r="Q81" s="98" t="str">
        <f>IF(IFERROR(VLOOKUP(A81,'16.瀝青混凝土'!C:D,1,0),"")="","","✔")</f>
        <v/>
      </c>
      <c r="R81" s="98" t="str">
        <f>IF(IFERROR(VLOOKUP(A81,'17.景觀鋪面(一)'!C:D,1,0),"")="","","✔")</f>
        <v/>
      </c>
      <c r="S81" s="98" t="str">
        <f>IF(IFERROR(VLOOKUP(A81,'18.景觀鋪面(二)'!C:D,1,0),"")="","","✔")</f>
        <v/>
      </c>
      <c r="T81" s="98" t="str">
        <f>IF(IFERROR(VLOOKUP(A81,'19.預鑄緣石'!C:D,1,0),"")="","","✔")</f>
        <v/>
      </c>
      <c r="U81" s="98" t="str">
        <f>IF(IFERROR(VLOOKUP(A81,'20.鋼構工程吊裝'!C:D,1,0),"")="","","✔")</f>
        <v/>
      </c>
      <c r="V81" s="98" t="str">
        <f>IF(IFERROR(VLOOKUP(A81,'21.鋼構工程塗裝'!C:D,1,0),"")="","","✔")</f>
        <v/>
      </c>
      <c r="W81" s="98" t="str">
        <f>IF(IFERROR(VLOOKUP(A81,'22.排水設施(一)'!C:D,1,0),"")="","","✔")</f>
        <v/>
      </c>
      <c r="X81" s="98" t="str">
        <f>IF(IFERROR(VLOOKUP(A81,'23.排水設施(二)'!C:D,1,0),"")="","","✔")</f>
        <v/>
      </c>
      <c r="Y81" s="98" t="str">
        <f>IF(IFERROR(VLOOKUP(A81,'24.木構造'!C:D,1,0),"")="","","✔")</f>
        <v/>
      </c>
      <c r="Z81" s="98" t="str">
        <f>IF(IFERROR(VLOOKUP(A81,'25.管路'!C:D,1,0),"")="","","✔")</f>
        <v/>
      </c>
      <c r="AA81" s="98" t="str">
        <f>IF(IFERROR(VLOOKUP(A81,'26.植栽(移植)'!C:D,1,0),"")="","","✔")</f>
        <v/>
      </c>
      <c r="AB81" s="98" t="str">
        <f>IF(IFERROR(VLOOKUP(A81,'27.植栽(新植)'!C:D,1,0),"")="","","✔")</f>
        <v/>
      </c>
      <c r="AC81" s="98" t="str">
        <f>IF(IFERROR(VLOOKUP(A81,'28.照明'!C:D,1,0),"")="","","✔")</f>
        <v/>
      </c>
      <c r="AD81" s="98" t="str">
        <f>IF(IFERROR(VLOOKUP(A81,'29.既有橋梁拆除'!C:D,1,0),"")="","","✔")</f>
        <v/>
      </c>
    </row>
    <row r="82" spans="1:30" ht="21.75" customHeight="1" x14ac:dyDescent="0.25">
      <c r="A82" s="99">
        <v>45272</v>
      </c>
      <c r="B82" s="98" t="str">
        <f>IF(IFERROR(VLOOKUP(A82,'1.測量放樣'!C:D,1,0),"")="","","✔")</f>
        <v/>
      </c>
      <c r="C82" s="98" t="str">
        <f>IF(IFERROR(VLOOKUP(A82,'2.土方開挖'!C:D,1,0),"")="","","✔")</f>
        <v/>
      </c>
      <c r="D82" s="98" t="str">
        <f>IF(IFERROR(VLOOKUP(A82,'3.土方回填'!C:D,1,0),"")="","","✔")</f>
        <v/>
      </c>
      <c r="E82" s="98" t="str">
        <f>IF(IFERROR(VLOOKUP(A82,'4.鋼筋'!C:D,1,0),"")="","","✔")</f>
        <v/>
      </c>
      <c r="F82" s="98" t="str">
        <f>IF(IFERROR(VLOOKUP(A82,'5.模板'!C:D,1,0),"")="","","✔")</f>
        <v/>
      </c>
      <c r="G82" s="98" t="str">
        <f>IF(IFERROR(VLOOKUP(A82,'6.混凝土'!C:D,1,0),"")="","","✔")</f>
        <v/>
      </c>
      <c r="H82" s="98" t="str">
        <f>IF(IFERROR(VLOOKUP(A82,'7.植筋'!C:D,1,0),"")="","","✔")</f>
        <v/>
      </c>
      <c r="I82" s="98" t="str">
        <f>IF(IFERROR(VLOOKUP(A82,'8.預力混凝土基樁'!C:D,1,0),"")="","","✔")</f>
        <v/>
      </c>
      <c r="J82" s="98" t="str">
        <f>IF(IFERROR(VLOOKUP(A82,'9.砌塊石護岸'!C:D,1,0),"")="","","✔")</f>
        <v/>
      </c>
      <c r="K82" s="98" t="str">
        <f>IF(IFERROR(VLOOKUP(A82,'10.低水護岸'!C:D,1,0),"")="","","✔")</f>
        <v/>
      </c>
      <c r="L82" s="98" t="str">
        <f>IF(IFERROR(VLOOKUP(A82,'11.固床工'!C:D,1,0),"")="","","✔")</f>
        <v/>
      </c>
      <c r="M82" s="98" t="str">
        <f>IF(IFERROR(VLOOKUP(A82,'12.全套管基樁'!C:D,1,0),"")="","","✔")</f>
        <v/>
      </c>
      <c r="N82" s="98" t="str">
        <f>IF(IFERROR(VLOOKUP(A82,'13.鋼筋混凝土管工程'!C:D,1,0),"")="","","✔")</f>
        <v/>
      </c>
      <c r="O82" s="98" t="str">
        <f>IF(IFERROR(VLOOKUP(A82,'14.鋼版樁'!C:D,1,0),"")="","","✔")</f>
        <v/>
      </c>
      <c r="P82" s="98" t="str">
        <f>IF(IFERROR(VLOOKUP(A82,'15.路床 路基高程'!C:D,1,0),"")="","","✔")</f>
        <v/>
      </c>
      <c r="Q82" s="98" t="str">
        <f>IF(IFERROR(VLOOKUP(A82,'16.瀝青混凝土'!C:D,1,0),"")="","","✔")</f>
        <v/>
      </c>
      <c r="R82" s="98" t="str">
        <f>IF(IFERROR(VLOOKUP(A82,'17.景觀鋪面(一)'!C:D,1,0),"")="","","✔")</f>
        <v/>
      </c>
      <c r="S82" s="98" t="str">
        <f>IF(IFERROR(VLOOKUP(A82,'18.景觀鋪面(二)'!C:D,1,0),"")="","","✔")</f>
        <v/>
      </c>
      <c r="T82" s="98" t="str">
        <f>IF(IFERROR(VLOOKUP(A82,'19.預鑄緣石'!C:D,1,0),"")="","","✔")</f>
        <v/>
      </c>
      <c r="U82" s="98" t="str">
        <f>IF(IFERROR(VLOOKUP(A82,'20.鋼構工程吊裝'!C:D,1,0),"")="","","✔")</f>
        <v/>
      </c>
      <c r="V82" s="98" t="str">
        <f>IF(IFERROR(VLOOKUP(A82,'21.鋼構工程塗裝'!C:D,1,0),"")="","","✔")</f>
        <v/>
      </c>
      <c r="W82" s="98" t="str">
        <f>IF(IFERROR(VLOOKUP(A82,'22.排水設施(一)'!C:D,1,0),"")="","","✔")</f>
        <v/>
      </c>
      <c r="X82" s="98" t="str">
        <f>IF(IFERROR(VLOOKUP(A82,'23.排水設施(二)'!C:D,1,0),"")="","","✔")</f>
        <v/>
      </c>
      <c r="Y82" s="98" t="str">
        <f>IF(IFERROR(VLOOKUP(A82,'24.木構造'!C:D,1,0),"")="","","✔")</f>
        <v/>
      </c>
      <c r="Z82" s="98" t="str">
        <f>IF(IFERROR(VLOOKUP(A82,'25.管路'!C:D,1,0),"")="","","✔")</f>
        <v/>
      </c>
      <c r="AA82" s="98" t="str">
        <f>IF(IFERROR(VLOOKUP(A82,'26.植栽(移植)'!C:D,1,0),"")="","","✔")</f>
        <v/>
      </c>
      <c r="AB82" s="98" t="str">
        <f>IF(IFERROR(VLOOKUP(A82,'27.植栽(新植)'!C:D,1,0),"")="","","✔")</f>
        <v/>
      </c>
      <c r="AC82" s="98" t="str">
        <f>IF(IFERROR(VLOOKUP(A82,'28.照明'!C:D,1,0),"")="","","✔")</f>
        <v/>
      </c>
      <c r="AD82" s="98" t="str">
        <f>IF(IFERROR(VLOOKUP(A82,'29.既有橋梁拆除'!C:D,1,0),"")="","","✔")</f>
        <v/>
      </c>
    </row>
    <row r="83" spans="1:30" ht="21.75" customHeight="1" x14ac:dyDescent="0.25">
      <c r="A83" s="99">
        <v>45273</v>
      </c>
      <c r="B83" s="98" t="str">
        <f>IF(IFERROR(VLOOKUP(A83,'1.測量放樣'!C:D,1,0),"")="","","✔")</f>
        <v/>
      </c>
      <c r="C83" s="98" t="str">
        <f>IF(IFERROR(VLOOKUP(A83,'2.土方開挖'!C:D,1,0),"")="","","✔")</f>
        <v/>
      </c>
      <c r="D83" s="98" t="str">
        <f>IF(IFERROR(VLOOKUP(A83,'3.土方回填'!C:D,1,0),"")="","","✔")</f>
        <v/>
      </c>
      <c r="E83" s="98" t="str">
        <f>IF(IFERROR(VLOOKUP(A83,'4.鋼筋'!C:D,1,0),"")="","","✔")</f>
        <v/>
      </c>
      <c r="F83" s="98" t="str">
        <f>IF(IFERROR(VLOOKUP(A83,'5.模板'!C:D,1,0),"")="","","✔")</f>
        <v/>
      </c>
      <c r="G83" s="98" t="str">
        <f>IF(IFERROR(VLOOKUP(A83,'6.混凝土'!C:D,1,0),"")="","","✔")</f>
        <v/>
      </c>
      <c r="H83" s="98" t="str">
        <f>IF(IFERROR(VLOOKUP(A83,'7.植筋'!C:D,1,0),"")="","","✔")</f>
        <v/>
      </c>
      <c r="I83" s="98" t="str">
        <f>IF(IFERROR(VLOOKUP(A83,'8.預力混凝土基樁'!C:D,1,0),"")="","","✔")</f>
        <v/>
      </c>
      <c r="J83" s="98" t="str">
        <f>IF(IFERROR(VLOOKUP(A83,'9.砌塊石護岸'!C:D,1,0),"")="","","✔")</f>
        <v/>
      </c>
      <c r="K83" s="98" t="str">
        <f>IF(IFERROR(VLOOKUP(A83,'10.低水護岸'!C:D,1,0),"")="","","✔")</f>
        <v/>
      </c>
      <c r="L83" s="98" t="str">
        <f>IF(IFERROR(VLOOKUP(A83,'11.固床工'!C:D,1,0),"")="","","✔")</f>
        <v/>
      </c>
      <c r="M83" s="98" t="str">
        <f>IF(IFERROR(VLOOKUP(A83,'12.全套管基樁'!C:D,1,0),"")="","","✔")</f>
        <v/>
      </c>
      <c r="N83" s="98" t="str">
        <f>IF(IFERROR(VLOOKUP(A83,'13.鋼筋混凝土管工程'!C:D,1,0),"")="","","✔")</f>
        <v/>
      </c>
      <c r="O83" s="98" t="str">
        <f>IF(IFERROR(VLOOKUP(A83,'14.鋼版樁'!C:D,1,0),"")="","","✔")</f>
        <v/>
      </c>
      <c r="P83" s="98" t="str">
        <f>IF(IFERROR(VLOOKUP(A83,'15.路床 路基高程'!C:D,1,0),"")="","","✔")</f>
        <v/>
      </c>
      <c r="Q83" s="98" t="str">
        <f>IF(IFERROR(VLOOKUP(A83,'16.瀝青混凝土'!C:D,1,0),"")="","","✔")</f>
        <v/>
      </c>
      <c r="R83" s="98" t="str">
        <f>IF(IFERROR(VLOOKUP(A83,'17.景觀鋪面(一)'!C:D,1,0),"")="","","✔")</f>
        <v/>
      </c>
      <c r="S83" s="98" t="str">
        <f>IF(IFERROR(VLOOKUP(A83,'18.景觀鋪面(二)'!C:D,1,0),"")="","","✔")</f>
        <v/>
      </c>
      <c r="T83" s="98" t="str">
        <f>IF(IFERROR(VLOOKUP(A83,'19.預鑄緣石'!C:D,1,0),"")="","","✔")</f>
        <v/>
      </c>
      <c r="U83" s="98" t="str">
        <f>IF(IFERROR(VLOOKUP(A83,'20.鋼構工程吊裝'!C:D,1,0),"")="","","✔")</f>
        <v/>
      </c>
      <c r="V83" s="98" t="str">
        <f>IF(IFERROR(VLOOKUP(A83,'21.鋼構工程塗裝'!C:D,1,0),"")="","","✔")</f>
        <v/>
      </c>
      <c r="W83" s="98" t="str">
        <f>IF(IFERROR(VLOOKUP(A83,'22.排水設施(一)'!C:D,1,0),"")="","","✔")</f>
        <v/>
      </c>
      <c r="X83" s="98" t="str">
        <f>IF(IFERROR(VLOOKUP(A83,'23.排水設施(二)'!C:D,1,0),"")="","","✔")</f>
        <v/>
      </c>
      <c r="Y83" s="98" t="str">
        <f>IF(IFERROR(VLOOKUP(A83,'24.木構造'!C:D,1,0),"")="","","✔")</f>
        <v/>
      </c>
      <c r="Z83" s="98" t="str">
        <f>IF(IFERROR(VLOOKUP(A83,'25.管路'!C:D,1,0),"")="","","✔")</f>
        <v/>
      </c>
      <c r="AA83" s="98" t="str">
        <f>IF(IFERROR(VLOOKUP(A83,'26.植栽(移植)'!C:D,1,0),"")="","","✔")</f>
        <v/>
      </c>
      <c r="AB83" s="98" t="str">
        <f>IF(IFERROR(VLOOKUP(A83,'27.植栽(新植)'!C:D,1,0),"")="","","✔")</f>
        <v/>
      </c>
      <c r="AC83" s="98" t="str">
        <f>IF(IFERROR(VLOOKUP(A83,'28.照明'!C:D,1,0),"")="","","✔")</f>
        <v/>
      </c>
      <c r="AD83" s="98" t="str">
        <f>IF(IFERROR(VLOOKUP(A83,'29.既有橋梁拆除'!C:D,1,0),"")="","","✔")</f>
        <v/>
      </c>
    </row>
    <row r="84" spans="1:30" ht="21.75" customHeight="1" x14ac:dyDescent="0.25">
      <c r="A84" s="99">
        <v>45274</v>
      </c>
      <c r="B84" s="98" t="str">
        <f>IF(IFERROR(VLOOKUP(A84,'1.測量放樣'!C:D,1,0),"")="","","✔")</f>
        <v/>
      </c>
      <c r="C84" s="98" t="str">
        <f>IF(IFERROR(VLOOKUP(A84,'2.土方開挖'!C:D,1,0),"")="","","✔")</f>
        <v/>
      </c>
      <c r="D84" s="98" t="str">
        <f>IF(IFERROR(VLOOKUP(A84,'3.土方回填'!C:D,1,0),"")="","","✔")</f>
        <v/>
      </c>
      <c r="E84" s="98" t="str">
        <f>IF(IFERROR(VLOOKUP(A84,'4.鋼筋'!C:D,1,0),"")="","","✔")</f>
        <v/>
      </c>
      <c r="F84" s="98" t="str">
        <f>IF(IFERROR(VLOOKUP(A84,'5.模板'!C:D,1,0),"")="","","✔")</f>
        <v/>
      </c>
      <c r="G84" s="98" t="str">
        <f>IF(IFERROR(VLOOKUP(A84,'6.混凝土'!C:D,1,0),"")="","","✔")</f>
        <v/>
      </c>
      <c r="H84" s="98" t="str">
        <f>IF(IFERROR(VLOOKUP(A84,'7.植筋'!C:D,1,0),"")="","","✔")</f>
        <v/>
      </c>
      <c r="I84" s="98" t="str">
        <f>IF(IFERROR(VLOOKUP(A84,'8.預力混凝土基樁'!C:D,1,0),"")="","","✔")</f>
        <v/>
      </c>
      <c r="J84" s="98" t="str">
        <f>IF(IFERROR(VLOOKUP(A84,'9.砌塊石護岸'!C:D,1,0),"")="","","✔")</f>
        <v/>
      </c>
      <c r="K84" s="98" t="str">
        <f>IF(IFERROR(VLOOKUP(A84,'10.低水護岸'!C:D,1,0),"")="","","✔")</f>
        <v/>
      </c>
      <c r="L84" s="98" t="str">
        <f>IF(IFERROR(VLOOKUP(A84,'11.固床工'!C:D,1,0),"")="","","✔")</f>
        <v/>
      </c>
      <c r="M84" s="98" t="str">
        <f>IF(IFERROR(VLOOKUP(A84,'12.全套管基樁'!C:D,1,0),"")="","","✔")</f>
        <v/>
      </c>
      <c r="N84" s="98" t="str">
        <f>IF(IFERROR(VLOOKUP(A84,'13.鋼筋混凝土管工程'!C:D,1,0),"")="","","✔")</f>
        <v/>
      </c>
      <c r="O84" s="98" t="str">
        <f>IF(IFERROR(VLOOKUP(A84,'14.鋼版樁'!C:D,1,0),"")="","","✔")</f>
        <v/>
      </c>
      <c r="P84" s="98" t="str">
        <f>IF(IFERROR(VLOOKUP(A84,'15.路床 路基高程'!C:D,1,0),"")="","","✔")</f>
        <v/>
      </c>
      <c r="Q84" s="98" t="str">
        <f>IF(IFERROR(VLOOKUP(A84,'16.瀝青混凝土'!C:D,1,0),"")="","","✔")</f>
        <v/>
      </c>
      <c r="R84" s="98" t="str">
        <f>IF(IFERROR(VLOOKUP(A84,'17.景觀鋪面(一)'!C:D,1,0),"")="","","✔")</f>
        <v/>
      </c>
      <c r="S84" s="98" t="str">
        <f>IF(IFERROR(VLOOKUP(A84,'18.景觀鋪面(二)'!C:D,1,0),"")="","","✔")</f>
        <v/>
      </c>
      <c r="T84" s="98" t="str">
        <f>IF(IFERROR(VLOOKUP(A84,'19.預鑄緣石'!C:D,1,0),"")="","","✔")</f>
        <v/>
      </c>
      <c r="U84" s="98" t="str">
        <f>IF(IFERROR(VLOOKUP(A84,'20.鋼構工程吊裝'!C:D,1,0),"")="","","✔")</f>
        <v/>
      </c>
      <c r="V84" s="98" t="str">
        <f>IF(IFERROR(VLOOKUP(A84,'21.鋼構工程塗裝'!C:D,1,0),"")="","","✔")</f>
        <v/>
      </c>
      <c r="W84" s="98" t="str">
        <f>IF(IFERROR(VLOOKUP(A84,'22.排水設施(一)'!C:D,1,0),"")="","","✔")</f>
        <v/>
      </c>
      <c r="X84" s="98" t="str">
        <f>IF(IFERROR(VLOOKUP(A84,'23.排水設施(二)'!C:D,1,0),"")="","","✔")</f>
        <v/>
      </c>
      <c r="Y84" s="98" t="str">
        <f>IF(IFERROR(VLOOKUP(A84,'24.木構造'!C:D,1,0),"")="","","✔")</f>
        <v/>
      </c>
      <c r="Z84" s="98" t="str">
        <f>IF(IFERROR(VLOOKUP(A84,'25.管路'!C:D,1,0),"")="","","✔")</f>
        <v/>
      </c>
      <c r="AA84" s="98" t="str">
        <f>IF(IFERROR(VLOOKUP(A84,'26.植栽(移植)'!C:D,1,0),"")="","","✔")</f>
        <v/>
      </c>
      <c r="AB84" s="98" t="str">
        <f>IF(IFERROR(VLOOKUP(A84,'27.植栽(新植)'!C:D,1,0),"")="","","✔")</f>
        <v/>
      </c>
      <c r="AC84" s="98" t="str">
        <f>IF(IFERROR(VLOOKUP(A84,'28.照明'!C:D,1,0),"")="","","✔")</f>
        <v/>
      </c>
      <c r="AD84" s="98" t="str">
        <f>IF(IFERROR(VLOOKUP(A84,'29.既有橋梁拆除'!C:D,1,0),"")="","","✔")</f>
        <v/>
      </c>
    </row>
    <row r="85" spans="1:30" ht="21.75" customHeight="1" x14ac:dyDescent="0.25">
      <c r="A85" s="99">
        <v>45275</v>
      </c>
      <c r="B85" s="98" t="str">
        <f>IF(IFERROR(VLOOKUP(A85,'1.測量放樣'!C:D,1,0),"")="","","✔")</f>
        <v/>
      </c>
      <c r="C85" s="98" t="str">
        <f>IF(IFERROR(VLOOKUP(A85,'2.土方開挖'!C:D,1,0),"")="","","✔")</f>
        <v/>
      </c>
      <c r="D85" s="98" t="str">
        <f>IF(IFERROR(VLOOKUP(A85,'3.土方回填'!C:D,1,0),"")="","","✔")</f>
        <v/>
      </c>
      <c r="E85" s="98" t="str">
        <f>IF(IFERROR(VLOOKUP(A85,'4.鋼筋'!C:D,1,0),"")="","","✔")</f>
        <v/>
      </c>
      <c r="F85" s="98" t="str">
        <f>IF(IFERROR(VLOOKUP(A85,'5.模板'!C:D,1,0),"")="","","✔")</f>
        <v/>
      </c>
      <c r="G85" s="98" t="str">
        <f>IF(IFERROR(VLOOKUP(A85,'6.混凝土'!C:D,1,0),"")="","","✔")</f>
        <v/>
      </c>
      <c r="H85" s="98" t="str">
        <f>IF(IFERROR(VLOOKUP(A85,'7.植筋'!C:D,1,0),"")="","","✔")</f>
        <v/>
      </c>
      <c r="I85" s="98" t="str">
        <f>IF(IFERROR(VLOOKUP(A85,'8.預力混凝土基樁'!C:D,1,0),"")="","","✔")</f>
        <v/>
      </c>
      <c r="J85" s="98" t="str">
        <f>IF(IFERROR(VLOOKUP(A85,'9.砌塊石護岸'!C:D,1,0),"")="","","✔")</f>
        <v/>
      </c>
      <c r="K85" s="98" t="str">
        <f>IF(IFERROR(VLOOKUP(A85,'10.低水護岸'!C:D,1,0),"")="","","✔")</f>
        <v/>
      </c>
      <c r="L85" s="98" t="str">
        <f>IF(IFERROR(VLOOKUP(A85,'11.固床工'!C:D,1,0),"")="","","✔")</f>
        <v/>
      </c>
      <c r="M85" s="98" t="str">
        <f>IF(IFERROR(VLOOKUP(A85,'12.全套管基樁'!C:D,1,0),"")="","","✔")</f>
        <v/>
      </c>
      <c r="N85" s="98" t="str">
        <f>IF(IFERROR(VLOOKUP(A85,'13.鋼筋混凝土管工程'!C:D,1,0),"")="","","✔")</f>
        <v/>
      </c>
      <c r="O85" s="98" t="str">
        <f>IF(IFERROR(VLOOKUP(A85,'14.鋼版樁'!C:D,1,0),"")="","","✔")</f>
        <v/>
      </c>
      <c r="P85" s="98" t="str">
        <f>IF(IFERROR(VLOOKUP(A85,'15.路床 路基高程'!C:D,1,0),"")="","","✔")</f>
        <v/>
      </c>
      <c r="Q85" s="98" t="str">
        <f>IF(IFERROR(VLOOKUP(A85,'16.瀝青混凝土'!C:D,1,0),"")="","","✔")</f>
        <v/>
      </c>
      <c r="R85" s="98" t="str">
        <f>IF(IFERROR(VLOOKUP(A85,'17.景觀鋪面(一)'!C:D,1,0),"")="","","✔")</f>
        <v/>
      </c>
      <c r="S85" s="98" t="str">
        <f>IF(IFERROR(VLOOKUP(A85,'18.景觀鋪面(二)'!C:D,1,0),"")="","","✔")</f>
        <v/>
      </c>
      <c r="T85" s="98" t="str">
        <f>IF(IFERROR(VLOOKUP(A85,'19.預鑄緣石'!C:D,1,0),"")="","","✔")</f>
        <v/>
      </c>
      <c r="U85" s="98" t="str">
        <f>IF(IFERROR(VLOOKUP(A85,'20.鋼構工程吊裝'!C:D,1,0),"")="","","✔")</f>
        <v/>
      </c>
      <c r="V85" s="98" t="str">
        <f>IF(IFERROR(VLOOKUP(A85,'21.鋼構工程塗裝'!C:D,1,0),"")="","","✔")</f>
        <v/>
      </c>
      <c r="W85" s="98" t="str">
        <f>IF(IFERROR(VLOOKUP(A85,'22.排水設施(一)'!C:D,1,0),"")="","","✔")</f>
        <v/>
      </c>
      <c r="X85" s="98" t="str">
        <f>IF(IFERROR(VLOOKUP(A85,'23.排水設施(二)'!C:D,1,0),"")="","","✔")</f>
        <v/>
      </c>
      <c r="Y85" s="98" t="str">
        <f>IF(IFERROR(VLOOKUP(A85,'24.木構造'!C:D,1,0),"")="","","✔")</f>
        <v/>
      </c>
      <c r="Z85" s="98" t="str">
        <f>IF(IFERROR(VLOOKUP(A85,'25.管路'!C:D,1,0),"")="","","✔")</f>
        <v/>
      </c>
      <c r="AA85" s="98" t="str">
        <f>IF(IFERROR(VLOOKUP(A85,'26.植栽(移植)'!C:D,1,0),"")="","","✔")</f>
        <v/>
      </c>
      <c r="AB85" s="98" t="str">
        <f>IF(IFERROR(VLOOKUP(A85,'27.植栽(新植)'!C:D,1,0),"")="","","✔")</f>
        <v/>
      </c>
      <c r="AC85" s="98" t="str">
        <f>IF(IFERROR(VLOOKUP(A85,'28.照明'!C:D,1,0),"")="","","✔")</f>
        <v/>
      </c>
      <c r="AD85" s="98" t="str">
        <f>IF(IFERROR(VLOOKUP(A85,'29.既有橋梁拆除'!C:D,1,0),"")="","","✔")</f>
        <v/>
      </c>
    </row>
    <row r="86" spans="1:30" ht="21.75" customHeight="1" x14ac:dyDescent="0.25">
      <c r="A86" s="99">
        <v>45276</v>
      </c>
      <c r="B86" s="98" t="str">
        <f>IF(IFERROR(VLOOKUP(A86,'1.測量放樣'!C:D,1,0),"")="","","✔")</f>
        <v/>
      </c>
      <c r="C86" s="98" t="str">
        <f>IF(IFERROR(VLOOKUP(A86,'2.土方開挖'!C:D,1,0),"")="","","✔")</f>
        <v/>
      </c>
      <c r="D86" s="98" t="str">
        <f>IF(IFERROR(VLOOKUP(A86,'3.土方回填'!C:D,1,0),"")="","","✔")</f>
        <v/>
      </c>
      <c r="E86" s="98" t="str">
        <f>IF(IFERROR(VLOOKUP(A86,'4.鋼筋'!C:D,1,0),"")="","","✔")</f>
        <v/>
      </c>
      <c r="F86" s="98" t="str">
        <f>IF(IFERROR(VLOOKUP(A86,'5.模板'!C:D,1,0),"")="","","✔")</f>
        <v/>
      </c>
      <c r="G86" s="98" t="str">
        <f>IF(IFERROR(VLOOKUP(A86,'6.混凝土'!C:D,1,0),"")="","","✔")</f>
        <v/>
      </c>
      <c r="H86" s="98" t="str">
        <f>IF(IFERROR(VLOOKUP(A86,'7.植筋'!C:D,1,0),"")="","","✔")</f>
        <v/>
      </c>
      <c r="I86" s="98" t="str">
        <f>IF(IFERROR(VLOOKUP(A86,'8.預力混凝土基樁'!C:D,1,0),"")="","","✔")</f>
        <v/>
      </c>
      <c r="J86" s="98" t="str">
        <f>IF(IFERROR(VLOOKUP(A86,'9.砌塊石護岸'!C:D,1,0),"")="","","✔")</f>
        <v/>
      </c>
      <c r="K86" s="98" t="str">
        <f>IF(IFERROR(VLOOKUP(A86,'10.低水護岸'!C:D,1,0),"")="","","✔")</f>
        <v/>
      </c>
      <c r="L86" s="98" t="str">
        <f>IF(IFERROR(VLOOKUP(A86,'11.固床工'!C:D,1,0),"")="","","✔")</f>
        <v/>
      </c>
      <c r="M86" s="98" t="str">
        <f>IF(IFERROR(VLOOKUP(A86,'12.全套管基樁'!C:D,1,0),"")="","","✔")</f>
        <v/>
      </c>
      <c r="N86" s="98" t="str">
        <f>IF(IFERROR(VLOOKUP(A86,'13.鋼筋混凝土管工程'!C:D,1,0),"")="","","✔")</f>
        <v/>
      </c>
      <c r="O86" s="98" t="str">
        <f>IF(IFERROR(VLOOKUP(A86,'14.鋼版樁'!C:D,1,0),"")="","","✔")</f>
        <v/>
      </c>
      <c r="P86" s="98" t="str">
        <f>IF(IFERROR(VLOOKUP(A86,'15.路床 路基高程'!C:D,1,0),"")="","","✔")</f>
        <v/>
      </c>
      <c r="Q86" s="98" t="str">
        <f>IF(IFERROR(VLOOKUP(A86,'16.瀝青混凝土'!C:D,1,0),"")="","","✔")</f>
        <v/>
      </c>
      <c r="R86" s="98" t="str">
        <f>IF(IFERROR(VLOOKUP(A86,'17.景觀鋪面(一)'!C:D,1,0),"")="","","✔")</f>
        <v/>
      </c>
      <c r="S86" s="98" t="str">
        <f>IF(IFERROR(VLOOKUP(A86,'18.景觀鋪面(二)'!C:D,1,0),"")="","","✔")</f>
        <v/>
      </c>
      <c r="T86" s="98" t="str">
        <f>IF(IFERROR(VLOOKUP(A86,'19.預鑄緣石'!C:D,1,0),"")="","","✔")</f>
        <v/>
      </c>
      <c r="U86" s="98" t="str">
        <f>IF(IFERROR(VLOOKUP(A86,'20.鋼構工程吊裝'!C:D,1,0),"")="","","✔")</f>
        <v/>
      </c>
      <c r="V86" s="98" t="str">
        <f>IF(IFERROR(VLOOKUP(A86,'21.鋼構工程塗裝'!C:D,1,0),"")="","","✔")</f>
        <v/>
      </c>
      <c r="W86" s="98" t="str">
        <f>IF(IFERROR(VLOOKUP(A86,'22.排水設施(一)'!C:D,1,0),"")="","","✔")</f>
        <v/>
      </c>
      <c r="X86" s="98" t="str">
        <f>IF(IFERROR(VLOOKUP(A86,'23.排水設施(二)'!C:D,1,0),"")="","","✔")</f>
        <v/>
      </c>
      <c r="Y86" s="98" t="str">
        <f>IF(IFERROR(VLOOKUP(A86,'24.木構造'!C:D,1,0),"")="","","✔")</f>
        <v/>
      </c>
      <c r="Z86" s="98" t="str">
        <f>IF(IFERROR(VLOOKUP(A86,'25.管路'!C:D,1,0),"")="","","✔")</f>
        <v/>
      </c>
      <c r="AA86" s="98" t="str">
        <f>IF(IFERROR(VLOOKUP(A86,'26.植栽(移植)'!C:D,1,0),"")="","","✔")</f>
        <v/>
      </c>
      <c r="AB86" s="98" t="str">
        <f>IF(IFERROR(VLOOKUP(A86,'27.植栽(新植)'!C:D,1,0),"")="","","✔")</f>
        <v/>
      </c>
      <c r="AC86" s="98" t="str">
        <f>IF(IFERROR(VLOOKUP(A86,'28.照明'!C:D,1,0),"")="","","✔")</f>
        <v/>
      </c>
      <c r="AD86" s="98" t="str">
        <f>IF(IFERROR(VLOOKUP(A86,'29.既有橋梁拆除'!C:D,1,0),"")="","","✔")</f>
        <v/>
      </c>
    </row>
    <row r="87" spans="1:30" ht="21.75" customHeight="1" x14ac:dyDescent="0.25">
      <c r="A87" s="99">
        <v>45277</v>
      </c>
      <c r="B87" s="98" t="str">
        <f>IF(IFERROR(VLOOKUP(A87,'1.測量放樣'!C:D,1,0),"")="","","✔")</f>
        <v/>
      </c>
      <c r="C87" s="98" t="str">
        <f>IF(IFERROR(VLOOKUP(A87,'2.土方開挖'!C:D,1,0),"")="","","✔")</f>
        <v/>
      </c>
      <c r="D87" s="98" t="str">
        <f>IF(IFERROR(VLOOKUP(A87,'3.土方回填'!C:D,1,0),"")="","","✔")</f>
        <v/>
      </c>
      <c r="E87" s="98" t="str">
        <f>IF(IFERROR(VLOOKUP(A87,'4.鋼筋'!C:D,1,0),"")="","","✔")</f>
        <v/>
      </c>
      <c r="F87" s="98" t="str">
        <f>IF(IFERROR(VLOOKUP(A87,'5.模板'!C:D,1,0),"")="","","✔")</f>
        <v/>
      </c>
      <c r="G87" s="98" t="str">
        <f>IF(IFERROR(VLOOKUP(A87,'6.混凝土'!C:D,1,0),"")="","","✔")</f>
        <v/>
      </c>
      <c r="H87" s="98" t="str">
        <f>IF(IFERROR(VLOOKUP(A87,'7.植筋'!C:D,1,0),"")="","","✔")</f>
        <v/>
      </c>
      <c r="I87" s="98" t="str">
        <f>IF(IFERROR(VLOOKUP(A87,'8.預力混凝土基樁'!C:D,1,0),"")="","","✔")</f>
        <v/>
      </c>
      <c r="J87" s="98" t="str">
        <f>IF(IFERROR(VLOOKUP(A87,'9.砌塊石護岸'!C:D,1,0),"")="","","✔")</f>
        <v/>
      </c>
      <c r="K87" s="98" t="str">
        <f>IF(IFERROR(VLOOKUP(A87,'10.低水護岸'!C:D,1,0),"")="","","✔")</f>
        <v/>
      </c>
      <c r="L87" s="98" t="str">
        <f>IF(IFERROR(VLOOKUP(A87,'11.固床工'!C:D,1,0),"")="","","✔")</f>
        <v/>
      </c>
      <c r="M87" s="98" t="str">
        <f>IF(IFERROR(VLOOKUP(A87,'12.全套管基樁'!C:D,1,0),"")="","","✔")</f>
        <v/>
      </c>
      <c r="N87" s="98" t="str">
        <f>IF(IFERROR(VLOOKUP(A87,'13.鋼筋混凝土管工程'!C:D,1,0),"")="","","✔")</f>
        <v/>
      </c>
      <c r="O87" s="98" t="str">
        <f>IF(IFERROR(VLOOKUP(A87,'14.鋼版樁'!C:D,1,0),"")="","","✔")</f>
        <v/>
      </c>
      <c r="P87" s="98" t="str">
        <f>IF(IFERROR(VLOOKUP(A87,'15.路床 路基高程'!C:D,1,0),"")="","","✔")</f>
        <v/>
      </c>
      <c r="Q87" s="98" t="str">
        <f>IF(IFERROR(VLOOKUP(A87,'16.瀝青混凝土'!C:D,1,0),"")="","","✔")</f>
        <v/>
      </c>
      <c r="R87" s="98" t="str">
        <f>IF(IFERROR(VLOOKUP(A87,'17.景觀鋪面(一)'!C:D,1,0),"")="","","✔")</f>
        <v/>
      </c>
      <c r="S87" s="98" t="str">
        <f>IF(IFERROR(VLOOKUP(A87,'18.景觀鋪面(二)'!C:D,1,0),"")="","","✔")</f>
        <v/>
      </c>
      <c r="T87" s="98" t="str">
        <f>IF(IFERROR(VLOOKUP(A87,'19.預鑄緣石'!C:D,1,0),"")="","","✔")</f>
        <v/>
      </c>
      <c r="U87" s="98" t="str">
        <f>IF(IFERROR(VLOOKUP(A87,'20.鋼構工程吊裝'!C:D,1,0),"")="","","✔")</f>
        <v/>
      </c>
      <c r="V87" s="98" t="str">
        <f>IF(IFERROR(VLOOKUP(A87,'21.鋼構工程塗裝'!C:D,1,0),"")="","","✔")</f>
        <v/>
      </c>
      <c r="W87" s="98" t="str">
        <f>IF(IFERROR(VLOOKUP(A87,'22.排水設施(一)'!C:D,1,0),"")="","","✔")</f>
        <v/>
      </c>
      <c r="X87" s="98" t="str">
        <f>IF(IFERROR(VLOOKUP(A87,'23.排水設施(二)'!C:D,1,0),"")="","","✔")</f>
        <v/>
      </c>
      <c r="Y87" s="98" t="str">
        <f>IF(IFERROR(VLOOKUP(A87,'24.木構造'!C:D,1,0),"")="","","✔")</f>
        <v/>
      </c>
      <c r="Z87" s="98" t="str">
        <f>IF(IFERROR(VLOOKUP(A87,'25.管路'!C:D,1,0),"")="","","✔")</f>
        <v/>
      </c>
      <c r="AA87" s="98" t="str">
        <f>IF(IFERROR(VLOOKUP(A87,'26.植栽(移植)'!C:D,1,0),"")="","","✔")</f>
        <v/>
      </c>
      <c r="AB87" s="98" t="str">
        <f>IF(IFERROR(VLOOKUP(A87,'27.植栽(新植)'!C:D,1,0),"")="","","✔")</f>
        <v/>
      </c>
      <c r="AC87" s="98" t="str">
        <f>IF(IFERROR(VLOOKUP(A87,'28.照明'!C:D,1,0),"")="","","✔")</f>
        <v/>
      </c>
      <c r="AD87" s="98" t="str">
        <f>IF(IFERROR(VLOOKUP(A87,'29.既有橋梁拆除'!C:D,1,0),"")="","","✔")</f>
        <v/>
      </c>
    </row>
    <row r="88" spans="1:30" ht="21.75" customHeight="1" x14ac:dyDescent="0.25">
      <c r="A88" s="99">
        <v>45278</v>
      </c>
      <c r="B88" s="98" t="str">
        <f>IF(IFERROR(VLOOKUP(A88,'1.測量放樣'!C:D,1,0),"")="","","✔")</f>
        <v/>
      </c>
      <c r="C88" s="98" t="str">
        <f>IF(IFERROR(VLOOKUP(A88,'2.土方開挖'!C:D,1,0),"")="","","✔")</f>
        <v/>
      </c>
      <c r="D88" s="98" t="str">
        <f>IF(IFERROR(VLOOKUP(A88,'3.土方回填'!C:D,1,0),"")="","","✔")</f>
        <v/>
      </c>
      <c r="E88" s="98" t="str">
        <f>IF(IFERROR(VLOOKUP(A88,'4.鋼筋'!C:D,1,0),"")="","","✔")</f>
        <v/>
      </c>
      <c r="F88" s="98" t="str">
        <f>IF(IFERROR(VLOOKUP(A88,'5.模板'!C:D,1,0),"")="","","✔")</f>
        <v/>
      </c>
      <c r="G88" s="98" t="str">
        <f>IF(IFERROR(VLOOKUP(A88,'6.混凝土'!C:D,1,0),"")="","","✔")</f>
        <v/>
      </c>
      <c r="H88" s="98" t="str">
        <f>IF(IFERROR(VLOOKUP(A88,'7.植筋'!C:D,1,0),"")="","","✔")</f>
        <v/>
      </c>
      <c r="I88" s="98" t="str">
        <f>IF(IFERROR(VLOOKUP(A88,'8.預力混凝土基樁'!C:D,1,0),"")="","","✔")</f>
        <v/>
      </c>
      <c r="J88" s="98" t="str">
        <f>IF(IFERROR(VLOOKUP(A88,'9.砌塊石護岸'!C:D,1,0),"")="","","✔")</f>
        <v/>
      </c>
      <c r="K88" s="98" t="str">
        <f>IF(IFERROR(VLOOKUP(A88,'10.低水護岸'!C:D,1,0),"")="","","✔")</f>
        <v/>
      </c>
      <c r="L88" s="98" t="str">
        <f>IF(IFERROR(VLOOKUP(A88,'11.固床工'!C:D,1,0),"")="","","✔")</f>
        <v/>
      </c>
      <c r="M88" s="98" t="str">
        <f>IF(IFERROR(VLOOKUP(A88,'12.全套管基樁'!C:D,1,0),"")="","","✔")</f>
        <v/>
      </c>
      <c r="N88" s="98" t="str">
        <f>IF(IFERROR(VLOOKUP(A88,'13.鋼筋混凝土管工程'!C:D,1,0),"")="","","✔")</f>
        <v/>
      </c>
      <c r="O88" s="98" t="str">
        <f>IF(IFERROR(VLOOKUP(A88,'14.鋼版樁'!C:D,1,0),"")="","","✔")</f>
        <v/>
      </c>
      <c r="P88" s="98" t="str">
        <f>IF(IFERROR(VLOOKUP(A88,'15.路床 路基高程'!C:D,1,0),"")="","","✔")</f>
        <v/>
      </c>
      <c r="Q88" s="98" t="str">
        <f>IF(IFERROR(VLOOKUP(A88,'16.瀝青混凝土'!C:D,1,0),"")="","","✔")</f>
        <v/>
      </c>
      <c r="R88" s="98" t="str">
        <f>IF(IFERROR(VLOOKUP(A88,'17.景觀鋪面(一)'!C:D,1,0),"")="","","✔")</f>
        <v/>
      </c>
      <c r="S88" s="98" t="str">
        <f>IF(IFERROR(VLOOKUP(A88,'18.景觀鋪面(二)'!C:D,1,0),"")="","","✔")</f>
        <v/>
      </c>
      <c r="T88" s="98" t="str">
        <f>IF(IFERROR(VLOOKUP(A88,'19.預鑄緣石'!C:D,1,0),"")="","","✔")</f>
        <v/>
      </c>
      <c r="U88" s="98" t="str">
        <f>IF(IFERROR(VLOOKUP(A88,'20.鋼構工程吊裝'!C:D,1,0),"")="","","✔")</f>
        <v/>
      </c>
      <c r="V88" s="98" t="str">
        <f>IF(IFERROR(VLOOKUP(A88,'21.鋼構工程塗裝'!C:D,1,0),"")="","","✔")</f>
        <v/>
      </c>
      <c r="W88" s="98" t="str">
        <f>IF(IFERROR(VLOOKUP(A88,'22.排水設施(一)'!C:D,1,0),"")="","","✔")</f>
        <v/>
      </c>
      <c r="X88" s="98" t="str">
        <f>IF(IFERROR(VLOOKUP(A88,'23.排水設施(二)'!C:D,1,0),"")="","","✔")</f>
        <v/>
      </c>
      <c r="Y88" s="98" t="str">
        <f>IF(IFERROR(VLOOKUP(A88,'24.木構造'!C:D,1,0),"")="","","✔")</f>
        <v/>
      </c>
      <c r="Z88" s="98" t="str">
        <f>IF(IFERROR(VLOOKUP(A88,'25.管路'!C:D,1,0),"")="","","✔")</f>
        <v/>
      </c>
      <c r="AA88" s="98" t="str">
        <f>IF(IFERROR(VLOOKUP(A88,'26.植栽(移植)'!C:D,1,0),"")="","","✔")</f>
        <v/>
      </c>
      <c r="AB88" s="98" t="str">
        <f>IF(IFERROR(VLOOKUP(A88,'27.植栽(新植)'!C:D,1,0),"")="","","✔")</f>
        <v/>
      </c>
      <c r="AC88" s="98" t="str">
        <f>IF(IFERROR(VLOOKUP(A88,'28.照明'!C:D,1,0),"")="","","✔")</f>
        <v/>
      </c>
      <c r="AD88" s="98" t="str">
        <f>IF(IFERROR(VLOOKUP(A88,'29.既有橋梁拆除'!C:D,1,0),"")="","","✔")</f>
        <v/>
      </c>
    </row>
    <row r="89" spans="1:30" ht="21.75" customHeight="1" x14ac:dyDescent="0.25">
      <c r="A89" s="99">
        <v>45279</v>
      </c>
      <c r="B89" s="98" t="str">
        <f>IF(IFERROR(VLOOKUP(A89,'1.測量放樣'!C:D,1,0),"")="","","✔")</f>
        <v/>
      </c>
      <c r="C89" s="98" t="str">
        <f>IF(IFERROR(VLOOKUP(A89,'2.土方開挖'!C:D,1,0),"")="","","✔")</f>
        <v/>
      </c>
      <c r="D89" s="98" t="str">
        <f>IF(IFERROR(VLOOKUP(A89,'3.土方回填'!C:D,1,0),"")="","","✔")</f>
        <v/>
      </c>
      <c r="E89" s="98" t="str">
        <f>IF(IFERROR(VLOOKUP(A89,'4.鋼筋'!C:D,1,0),"")="","","✔")</f>
        <v/>
      </c>
      <c r="F89" s="98" t="str">
        <f>IF(IFERROR(VLOOKUP(A89,'5.模板'!C:D,1,0),"")="","","✔")</f>
        <v/>
      </c>
      <c r="G89" s="98" t="str">
        <f>IF(IFERROR(VLOOKUP(A89,'6.混凝土'!C:D,1,0),"")="","","✔")</f>
        <v/>
      </c>
      <c r="H89" s="98" t="str">
        <f>IF(IFERROR(VLOOKUP(A89,'7.植筋'!C:D,1,0),"")="","","✔")</f>
        <v/>
      </c>
      <c r="I89" s="98" t="str">
        <f>IF(IFERROR(VLOOKUP(A89,'8.預力混凝土基樁'!C:D,1,0),"")="","","✔")</f>
        <v/>
      </c>
      <c r="J89" s="98" t="str">
        <f>IF(IFERROR(VLOOKUP(A89,'9.砌塊石護岸'!C:D,1,0),"")="","","✔")</f>
        <v/>
      </c>
      <c r="K89" s="98" t="str">
        <f>IF(IFERROR(VLOOKUP(A89,'10.低水護岸'!C:D,1,0),"")="","","✔")</f>
        <v/>
      </c>
      <c r="L89" s="98" t="str">
        <f>IF(IFERROR(VLOOKUP(A89,'11.固床工'!C:D,1,0),"")="","","✔")</f>
        <v/>
      </c>
      <c r="M89" s="98" t="str">
        <f>IF(IFERROR(VLOOKUP(A89,'12.全套管基樁'!C:D,1,0),"")="","","✔")</f>
        <v/>
      </c>
      <c r="N89" s="98" t="str">
        <f>IF(IFERROR(VLOOKUP(A89,'13.鋼筋混凝土管工程'!C:D,1,0),"")="","","✔")</f>
        <v/>
      </c>
      <c r="O89" s="98" t="str">
        <f>IF(IFERROR(VLOOKUP(A89,'14.鋼版樁'!C:D,1,0),"")="","","✔")</f>
        <v>✔</v>
      </c>
      <c r="P89" s="98" t="str">
        <f>IF(IFERROR(VLOOKUP(A89,'15.路床 路基高程'!C:D,1,0),"")="","","✔")</f>
        <v/>
      </c>
      <c r="Q89" s="98" t="str">
        <f>IF(IFERROR(VLOOKUP(A89,'16.瀝青混凝土'!C:D,1,0),"")="","","✔")</f>
        <v/>
      </c>
      <c r="R89" s="98" t="str">
        <f>IF(IFERROR(VLOOKUP(A89,'17.景觀鋪面(一)'!C:D,1,0),"")="","","✔")</f>
        <v/>
      </c>
      <c r="S89" s="98" t="str">
        <f>IF(IFERROR(VLOOKUP(A89,'18.景觀鋪面(二)'!C:D,1,0),"")="","","✔")</f>
        <v/>
      </c>
      <c r="T89" s="98" t="str">
        <f>IF(IFERROR(VLOOKUP(A89,'19.預鑄緣石'!C:D,1,0),"")="","","✔")</f>
        <v/>
      </c>
      <c r="U89" s="98" t="str">
        <f>IF(IFERROR(VLOOKUP(A89,'20.鋼構工程吊裝'!C:D,1,0),"")="","","✔")</f>
        <v/>
      </c>
      <c r="V89" s="98" t="str">
        <f>IF(IFERROR(VLOOKUP(A89,'21.鋼構工程塗裝'!C:D,1,0),"")="","","✔")</f>
        <v/>
      </c>
      <c r="W89" s="98" t="str">
        <f>IF(IFERROR(VLOOKUP(A89,'22.排水設施(一)'!C:D,1,0),"")="","","✔")</f>
        <v/>
      </c>
      <c r="X89" s="98" t="str">
        <f>IF(IFERROR(VLOOKUP(A89,'23.排水設施(二)'!C:D,1,0),"")="","","✔")</f>
        <v/>
      </c>
      <c r="Y89" s="98" t="str">
        <f>IF(IFERROR(VLOOKUP(A89,'24.木構造'!C:D,1,0),"")="","","✔")</f>
        <v/>
      </c>
      <c r="Z89" s="98" t="str">
        <f>IF(IFERROR(VLOOKUP(A89,'25.管路'!C:D,1,0),"")="","","✔")</f>
        <v/>
      </c>
      <c r="AA89" s="98" t="str">
        <f>IF(IFERROR(VLOOKUP(A89,'26.植栽(移植)'!C:D,1,0),"")="","","✔")</f>
        <v/>
      </c>
      <c r="AB89" s="98" t="str">
        <f>IF(IFERROR(VLOOKUP(A89,'27.植栽(新植)'!C:D,1,0),"")="","","✔")</f>
        <v/>
      </c>
      <c r="AC89" s="98" t="str">
        <f>IF(IFERROR(VLOOKUP(A89,'28.照明'!C:D,1,0),"")="","","✔")</f>
        <v/>
      </c>
      <c r="AD89" s="98" t="str">
        <f>IF(IFERROR(VLOOKUP(A89,'29.既有橋梁拆除'!C:D,1,0),"")="","","✔")</f>
        <v/>
      </c>
    </row>
    <row r="90" spans="1:30" ht="21.75" customHeight="1" x14ac:dyDescent="0.25">
      <c r="A90" s="99">
        <v>45280</v>
      </c>
      <c r="B90" s="98" t="str">
        <f>IF(IFERROR(VLOOKUP(A90,'1.測量放樣'!C:D,1,0),"")="","","✔")</f>
        <v/>
      </c>
      <c r="C90" s="98" t="str">
        <f>IF(IFERROR(VLOOKUP(A90,'2.土方開挖'!C:D,1,0),"")="","","✔")</f>
        <v/>
      </c>
      <c r="D90" s="98" t="str">
        <f>IF(IFERROR(VLOOKUP(A90,'3.土方回填'!C:D,1,0),"")="","","✔")</f>
        <v/>
      </c>
      <c r="E90" s="98" t="str">
        <f>IF(IFERROR(VLOOKUP(A90,'4.鋼筋'!C:D,1,0),"")="","","✔")</f>
        <v/>
      </c>
      <c r="F90" s="98" t="str">
        <f>IF(IFERROR(VLOOKUP(A90,'5.模板'!C:D,1,0),"")="","","✔")</f>
        <v/>
      </c>
      <c r="G90" s="98" t="str">
        <f>IF(IFERROR(VLOOKUP(A90,'6.混凝土'!C:D,1,0),"")="","","✔")</f>
        <v/>
      </c>
      <c r="H90" s="98" t="str">
        <f>IF(IFERROR(VLOOKUP(A90,'7.植筋'!C:D,1,0),"")="","","✔")</f>
        <v/>
      </c>
      <c r="I90" s="98" t="str">
        <f>IF(IFERROR(VLOOKUP(A90,'8.預力混凝土基樁'!C:D,1,0),"")="","","✔")</f>
        <v/>
      </c>
      <c r="J90" s="98" t="str">
        <f>IF(IFERROR(VLOOKUP(A90,'9.砌塊石護岸'!C:D,1,0),"")="","","✔")</f>
        <v/>
      </c>
      <c r="K90" s="98" t="str">
        <f>IF(IFERROR(VLOOKUP(A90,'10.低水護岸'!C:D,1,0),"")="","","✔")</f>
        <v/>
      </c>
      <c r="L90" s="98" t="str">
        <f>IF(IFERROR(VLOOKUP(A90,'11.固床工'!C:D,1,0),"")="","","✔")</f>
        <v/>
      </c>
      <c r="M90" s="98" t="str">
        <f>IF(IFERROR(VLOOKUP(A90,'12.全套管基樁'!C:D,1,0),"")="","","✔")</f>
        <v/>
      </c>
      <c r="N90" s="98" t="str">
        <f>IF(IFERROR(VLOOKUP(A90,'13.鋼筋混凝土管工程'!C:D,1,0),"")="","","✔")</f>
        <v/>
      </c>
      <c r="O90" s="98" t="str">
        <f>IF(IFERROR(VLOOKUP(A90,'14.鋼版樁'!C:D,1,0),"")="","","✔")</f>
        <v/>
      </c>
      <c r="P90" s="98" t="str">
        <f>IF(IFERROR(VLOOKUP(A90,'15.路床 路基高程'!C:D,1,0),"")="","","✔")</f>
        <v/>
      </c>
      <c r="Q90" s="98" t="str">
        <f>IF(IFERROR(VLOOKUP(A90,'16.瀝青混凝土'!C:D,1,0),"")="","","✔")</f>
        <v/>
      </c>
      <c r="R90" s="98" t="str">
        <f>IF(IFERROR(VLOOKUP(A90,'17.景觀鋪面(一)'!C:D,1,0),"")="","","✔")</f>
        <v/>
      </c>
      <c r="S90" s="98" t="str">
        <f>IF(IFERROR(VLOOKUP(A90,'18.景觀鋪面(二)'!C:D,1,0),"")="","","✔")</f>
        <v/>
      </c>
      <c r="T90" s="98" t="str">
        <f>IF(IFERROR(VLOOKUP(A90,'19.預鑄緣石'!C:D,1,0),"")="","","✔")</f>
        <v/>
      </c>
      <c r="U90" s="98" t="str">
        <f>IF(IFERROR(VLOOKUP(A90,'20.鋼構工程吊裝'!C:D,1,0),"")="","","✔")</f>
        <v/>
      </c>
      <c r="V90" s="98" t="str">
        <f>IF(IFERROR(VLOOKUP(A90,'21.鋼構工程塗裝'!C:D,1,0),"")="","","✔")</f>
        <v/>
      </c>
      <c r="W90" s="98" t="str">
        <f>IF(IFERROR(VLOOKUP(A90,'22.排水設施(一)'!C:D,1,0),"")="","","✔")</f>
        <v/>
      </c>
      <c r="X90" s="98" t="str">
        <f>IF(IFERROR(VLOOKUP(A90,'23.排水設施(二)'!C:D,1,0),"")="","","✔")</f>
        <v/>
      </c>
      <c r="Y90" s="98" t="str">
        <f>IF(IFERROR(VLOOKUP(A90,'24.木構造'!C:D,1,0),"")="","","✔")</f>
        <v/>
      </c>
      <c r="Z90" s="98" t="str">
        <f>IF(IFERROR(VLOOKUP(A90,'25.管路'!C:D,1,0),"")="","","✔")</f>
        <v/>
      </c>
      <c r="AA90" s="98" t="str">
        <f>IF(IFERROR(VLOOKUP(A90,'26.植栽(移植)'!C:D,1,0),"")="","","✔")</f>
        <v/>
      </c>
      <c r="AB90" s="98" t="str">
        <f>IF(IFERROR(VLOOKUP(A90,'27.植栽(新植)'!C:D,1,0),"")="","","✔")</f>
        <v/>
      </c>
      <c r="AC90" s="98" t="str">
        <f>IF(IFERROR(VLOOKUP(A90,'28.照明'!C:D,1,0),"")="","","✔")</f>
        <v/>
      </c>
      <c r="AD90" s="98" t="str">
        <f>IF(IFERROR(VLOOKUP(A90,'29.既有橋梁拆除'!C:D,1,0),"")="","","✔")</f>
        <v/>
      </c>
    </row>
    <row r="91" spans="1:30" ht="21.75" customHeight="1" x14ac:dyDescent="0.25">
      <c r="A91" s="99">
        <v>45281</v>
      </c>
      <c r="B91" s="98" t="str">
        <f>IF(IFERROR(VLOOKUP(A91,'1.測量放樣'!C:D,1,0),"")="","","✔")</f>
        <v/>
      </c>
      <c r="C91" s="98" t="str">
        <f>IF(IFERROR(VLOOKUP(A91,'2.土方開挖'!C:D,1,0),"")="","","✔")</f>
        <v/>
      </c>
      <c r="D91" s="98" t="str">
        <f>IF(IFERROR(VLOOKUP(A91,'3.土方回填'!C:D,1,0),"")="","","✔")</f>
        <v/>
      </c>
      <c r="E91" s="98" t="str">
        <f>IF(IFERROR(VLOOKUP(A91,'4.鋼筋'!C:D,1,0),"")="","","✔")</f>
        <v/>
      </c>
      <c r="F91" s="98" t="str">
        <f>IF(IFERROR(VLOOKUP(A91,'5.模板'!C:D,1,0),"")="","","✔")</f>
        <v/>
      </c>
      <c r="G91" s="98" t="str">
        <f>IF(IFERROR(VLOOKUP(A91,'6.混凝土'!C:D,1,0),"")="","","✔")</f>
        <v/>
      </c>
      <c r="H91" s="98" t="str">
        <f>IF(IFERROR(VLOOKUP(A91,'7.植筋'!C:D,1,0),"")="","","✔")</f>
        <v/>
      </c>
      <c r="I91" s="98" t="str">
        <f>IF(IFERROR(VLOOKUP(A91,'8.預力混凝土基樁'!C:D,1,0),"")="","","✔")</f>
        <v/>
      </c>
      <c r="J91" s="98" t="str">
        <f>IF(IFERROR(VLOOKUP(A91,'9.砌塊石護岸'!C:D,1,0),"")="","","✔")</f>
        <v/>
      </c>
      <c r="K91" s="98" t="str">
        <f>IF(IFERROR(VLOOKUP(A91,'10.低水護岸'!C:D,1,0),"")="","","✔")</f>
        <v/>
      </c>
      <c r="L91" s="98" t="str">
        <f>IF(IFERROR(VLOOKUP(A91,'11.固床工'!C:D,1,0),"")="","","✔")</f>
        <v/>
      </c>
      <c r="M91" s="98" t="str">
        <f>IF(IFERROR(VLOOKUP(A91,'12.全套管基樁'!C:D,1,0),"")="","","✔")</f>
        <v/>
      </c>
      <c r="N91" s="98" t="str">
        <f>IF(IFERROR(VLOOKUP(A91,'13.鋼筋混凝土管工程'!C:D,1,0),"")="","","✔")</f>
        <v/>
      </c>
      <c r="O91" s="98" t="str">
        <f>IF(IFERROR(VLOOKUP(A91,'14.鋼版樁'!C:D,1,0),"")="","","✔")</f>
        <v/>
      </c>
      <c r="P91" s="98" t="str">
        <f>IF(IFERROR(VLOOKUP(A91,'15.路床 路基高程'!C:D,1,0),"")="","","✔")</f>
        <v/>
      </c>
      <c r="Q91" s="98" t="str">
        <f>IF(IFERROR(VLOOKUP(A91,'16.瀝青混凝土'!C:D,1,0),"")="","","✔")</f>
        <v/>
      </c>
      <c r="R91" s="98" t="str">
        <f>IF(IFERROR(VLOOKUP(A91,'17.景觀鋪面(一)'!C:D,1,0),"")="","","✔")</f>
        <v/>
      </c>
      <c r="S91" s="98" t="str">
        <f>IF(IFERROR(VLOOKUP(A91,'18.景觀鋪面(二)'!C:D,1,0),"")="","","✔")</f>
        <v/>
      </c>
      <c r="T91" s="98" t="str">
        <f>IF(IFERROR(VLOOKUP(A91,'19.預鑄緣石'!C:D,1,0),"")="","","✔")</f>
        <v/>
      </c>
      <c r="U91" s="98" t="str">
        <f>IF(IFERROR(VLOOKUP(A91,'20.鋼構工程吊裝'!C:D,1,0),"")="","","✔")</f>
        <v/>
      </c>
      <c r="V91" s="98" t="str">
        <f>IF(IFERROR(VLOOKUP(A91,'21.鋼構工程塗裝'!C:D,1,0),"")="","","✔")</f>
        <v/>
      </c>
      <c r="W91" s="98" t="str">
        <f>IF(IFERROR(VLOOKUP(A91,'22.排水設施(一)'!C:D,1,0),"")="","","✔")</f>
        <v/>
      </c>
      <c r="X91" s="98" t="str">
        <f>IF(IFERROR(VLOOKUP(A91,'23.排水設施(二)'!C:D,1,0),"")="","","✔")</f>
        <v/>
      </c>
      <c r="Y91" s="98" t="str">
        <f>IF(IFERROR(VLOOKUP(A91,'24.木構造'!C:D,1,0),"")="","","✔")</f>
        <v/>
      </c>
      <c r="Z91" s="98" t="str">
        <f>IF(IFERROR(VLOOKUP(A91,'25.管路'!C:D,1,0),"")="","","✔")</f>
        <v/>
      </c>
      <c r="AA91" s="98" t="str">
        <f>IF(IFERROR(VLOOKUP(A91,'26.植栽(移植)'!C:D,1,0),"")="","","✔")</f>
        <v/>
      </c>
      <c r="AB91" s="98" t="str">
        <f>IF(IFERROR(VLOOKUP(A91,'27.植栽(新植)'!C:D,1,0),"")="","","✔")</f>
        <v/>
      </c>
      <c r="AC91" s="98" t="str">
        <f>IF(IFERROR(VLOOKUP(A91,'28.照明'!C:D,1,0),"")="","","✔")</f>
        <v/>
      </c>
      <c r="AD91" s="98" t="str">
        <f>IF(IFERROR(VLOOKUP(A91,'29.既有橋梁拆除'!C:D,1,0),"")="","","✔")</f>
        <v/>
      </c>
    </row>
    <row r="92" spans="1:30" ht="21.75" customHeight="1" x14ac:dyDescent="0.25">
      <c r="A92" s="99">
        <v>45282</v>
      </c>
      <c r="B92" s="98" t="str">
        <f>IF(IFERROR(VLOOKUP(A92,'1.測量放樣'!C:D,1,0),"")="","","✔")</f>
        <v/>
      </c>
      <c r="C92" s="98" t="str">
        <f>IF(IFERROR(VLOOKUP(A92,'2.土方開挖'!C:D,1,0),"")="","","✔")</f>
        <v/>
      </c>
      <c r="D92" s="98" t="str">
        <f>IF(IFERROR(VLOOKUP(A92,'3.土方回填'!C:D,1,0),"")="","","✔")</f>
        <v/>
      </c>
      <c r="E92" s="98" t="str">
        <f>IF(IFERROR(VLOOKUP(A92,'4.鋼筋'!C:D,1,0),"")="","","✔")</f>
        <v/>
      </c>
      <c r="F92" s="98" t="str">
        <f>IF(IFERROR(VLOOKUP(A92,'5.模板'!C:D,1,0),"")="","","✔")</f>
        <v/>
      </c>
      <c r="G92" s="98" t="str">
        <f>IF(IFERROR(VLOOKUP(A92,'6.混凝土'!C:D,1,0),"")="","","✔")</f>
        <v/>
      </c>
      <c r="H92" s="98" t="str">
        <f>IF(IFERROR(VLOOKUP(A92,'7.植筋'!C:D,1,0),"")="","","✔")</f>
        <v/>
      </c>
      <c r="I92" s="98" t="str">
        <f>IF(IFERROR(VLOOKUP(A92,'8.預力混凝土基樁'!C:D,1,0),"")="","","✔")</f>
        <v/>
      </c>
      <c r="J92" s="98" t="str">
        <f>IF(IFERROR(VLOOKUP(A92,'9.砌塊石護岸'!C:D,1,0),"")="","","✔")</f>
        <v/>
      </c>
      <c r="K92" s="98" t="str">
        <f>IF(IFERROR(VLOOKUP(A92,'10.低水護岸'!C:D,1,0),"")="","","✔")</f>
        <v/>
      </c>
      <c r="L92" s="98" t="str">
        <f>IF(IFERROR(VLOOKUP(A92,'11.固床工'!C:D,1,0),"")="","","✔")</f>
        <v/>
      </c>
      <c r="M92" s="98" t="str">
        <f>IF(IFERROR(VLOOKUP(A92,'12.全套管基樁'!C:D,1,0),"")="","","✔")</f>
        <v/>
      </c>
      <c r="N92" s="98" t="str">
        <f>IF(IFERROR(VLOOKUP(A92,'13.鋼筋混凝土管工程'!C:D,1,0),"")="","","✔")</f>
        <v/>
      </c>
      <c r="O92" s="98" t="str">
        <f>IF(IFERROR(VLOOKUP(A92,'14.鋼版樁'!C:D,1,0),"")="","","✔")</f>
        <v/>
      </c>
      <c r="P92" s="98" t="str">
        <f>IF(IFERROR(VLOOKUP(A92,'15.路床 路基高程'!C:D,1,0),"")="","","✔")</f>
        <v/>
      </c>
      <c r="Q92" s="98" t="str">
        <f>IF(IFERROR(VLOOKUP(A92,'16.瀝青混凝土'!C:D,1,0),"")="","","✔")</f>
        <v/>
      </c>
      <c r="R92" s="98" t="str">
        <f>IF(IFERROR(VLOOKUP(A92,'17.景觀鋪面(一)'!C:D,1,0),"")="","","✔")</f>
        <v/>
      </c>
      <c r="S92" s="98" t="str">
        <f>IF(IFERROR(VLOOKUP(A92,'18.景觀鋪面(二)'!C:D,1,0),"")="","","✔")</f>
        <v/>
      </c>
      <c r="T92" s="98" t="str">
        <f>IF(IFERROR(VLOOKUP(A92,'19.預鑄緣石'!C:D,1,0),"")="","","✔")</f>
        <v/>
      </c>
      <c r="U92" s="98" t="str">
        <f>IF(IFERROR(VLOOKUP(A92,'20.鋼構工程吊裝'!C:D,1,0),"")="","","✔")</f>
        <v/>
      </c>
      <c r="V92" s="98" t="str">
        <f>IF(IFERROR(VLOOKUP(A92,'21.鋼構工程塗裝'!C:D,1,0),"")="","","✔")</f>
        <v/>
      </c>
      <c r="W92" s="98" t="str">
        <f>IF(IFERROR(VLOOKUP(A92,'22.排水設施(一)'!C:D,1,0),"")="","","✔")</f>
        <v/>
      </c>
      <c r="X92" s="98" t="str">
        <f>IF(IFERROR(VLOOKUP(A92,'23.排水設施(二)'!C:D,1,0),"")="","","✔")</f>
        <v/>
      </c>
      <c r="Y92" s="98" t="str">
        <f>IF(IFERROR(VLOOKUP(A92,'24.木構造'!C:D,1,0),"")="","","✔")</f>
        <v/>
      </c>
      <c r="Z92" s="98" t="str">
        <f>IF(IFERROR(VLOOKUP(A92,'25.管路'!C:D,1,0),"")="","","✔")</f>
        <v/>
      </c>
      <c r="AA92" s="98" t="str">
        <f>IF(IFERROR(VLOOKUP(A92,'26.植栽(移植)'!C:D,1,0),"")="","","✔")</f>
        <v>✔</v>
      </c>
      <c r="AB92" s="98" t="str">
        <f>IF(IFERROR(VLOOKUP(A92,'27.植栽(新植)'!C:D,1,0),"")="","","✔")</f>
        <v/>
      </c>
      <c r="AC92" s="98" t="str">
        <f>IF(IFERROR(VLOOKUP(A92,'28.照明'!C:D,1,0),"")="","","✔")</f>
        <v/>
      </c>
      <c r="AD92" s="98" t="str">
        <f>IF(IFERROR(VLOOKUP(A92,'29.既有橋梁拆除'!C:D,1,0),"")="","","✔")</f>
        <v/>
      </c>
    </row>
    <row r="93" spans="1:30" ht="21.75" customHeight="1" x14ac:dyDescent="0.25">
      <c r="A93" s="99">
        <v>45283</v>
      </c>
      <c r="B93" s="98" t="str">
        <f>IF(IFERROR(VLOOKUP(A93,'1.測量放樣'!C:D,1,0),"")="","","✔")</f>
        <v/>
      </c>
      <c r="C93" s="98" t="str">
        <f>IF(IFERROR(VLOOKUP(A93,'2.土方開挖'!C:D,1,0),"")="","","✔")</f>
        <v/>
      </c>
      <c r="D93" s="98" t="str">
        <f>IF(IFERROR(VLOOKUP(A93,'3.土方回填'!C:D,1,0),"")="","","✔")</f>
        <v/>
      </c>
      <c r="E93" s="98" t="str">
        <f>IF(IFERROR(VLOOKUP(A93,'4.鋼筋'!C:D,1,0),"")="","","✔")</f>
        <v/>
      </c>
      <c r="F93" s="98" t="str">
        <f>IF(IFERROR(VLOOKUP(A93,'5.模板'!C:D,1,0),"")="","","✔")</f>
        <v/>
      </c>
      <c r="G93" s="98" t="str">
        <f>IF(IFERROR(VLOOKUP(A93,'6.混凝土'!C:D,1,0),"")="","","✔")</f>
        <v/>
      </c>
      <c r="H93" s="98" t="str">
        <f>IF(IFERROR(VLOOKUP(A93,'7.植筋'!C:D,1,0),"")="","","✔")</f>
        <v/>
      </c>
      <c r="I93" s="98" t="str">
        <f>IF(IFERROR(VLOOKUP(A93,'8.預力混凝土基樁'!C:D,1,0),"")="","","✔")</f>
        <v/>
      </c>
      <c r="J93" s="98" t="str">
        <f>IF(IFERROR(VLOOKUP(A93,'9.砌塊石護岸'!C:D,1,0),"")="","","✔")</f>
        <v/>
      </c>
      <c r="K93" s="98" t="str">
        <f>IF(IFERROR(VLOOKUP(A93,'10.低水護岸'!C:D,1,0),"")="","","✔")</f>
        <v/>
      </c>
      <c r="L93" s="98" t="str">
        <f>IF(IFERROR(VLOOKUP(A93,'11.固床工'!C:D,1,0),"")="","","✔")</f>
        <v/>
      </c>
      <c r="M93" s="98" t="str">
        <f>IF(IFERROR(VLOOKUP(A93,'12.全套管基樁'!C:D,1,0),"")="","","✔")</f>
        <v/>
      </c>
      <c r="N93" s="98" t="str">
        <f>IF(IFERROR(VLOOKUP(A93,'13.鋼筋混凝土管工程'!C:D,1,0),"")="","","✔")</f>
        <v/>
      </c>
      <c r="O93" s="98" t="str">
        <f>IF(IFERROR(VLOOKUP(A93,'14.鋼版樁'!C:D,1,0),"")="","","✔")</f>
        <v/>
      </c>
      <c r="P93" s="98" t="str">
        <f>IF(IFERROR(VLOOKUP(A93,'15.路床 路基高程'!C:D,1,0),"")="","","✔")</f>
        <v/>
      </c>
      <c r="Q93" s="98" t="str">
        <f>IF(IFERROR(VLOOKUP(A93,'16.瀝青混凝土'!C:D,1,0),"")="","","✔")</f>
        <v/>
      </c>
      <c r="R93" s="98" t="str">
        <f>IF(IFERROR(VLOOKUP(A93,'17.景觀鋪面(一)'!C:D,1,0),"")="","","✔")</f>
        <v/>
      </c>
      <c r="S93" s="98" t="str">
        <f>IF(IFERROR(VLOOKUP(A93,'18.景觀鋪面(二)'!C:D,1,0),"")="","","✔")</f>
        <v/>
      </c>
      <c r="T93" s="98" t="str">
        <f>IF(IFERROR(VLOOKUP(A93,'19.預鑄緣石'!C:D,1,0),"")="","","✔")</f>
        <v/>
      </c>
      <c r="U93" s="98" t="str">
        <f>IF(IFERROR(VLOOKUP(A93,'20.鋼構工程吊裝'!C:D,1,0),"")="","","✔")</f>
        <v/>
      </c>
      <c r="V93" s="98" t="str">
        <f>IF(IFERROR(VLOOKUP(A93,'21.鋼構工程塗裝'!C:D,1,0),"")="","","✔")</f>
        <v/>
      </c>
      <c r="W93" s="98" t="str">
        <f>IF(IFERROR(VLOOKUP(A93,'22.排水設施(一)'!C:D,1,0),"")="","","✔")</f>
        <v/>
      </c>
      <c r="X93" s="98" t="str">
        <f>IF(IFERROR(VLOOKUP(A93,'23.排水設施(二)'!C:D,1,0),"")="","","✔")</f>
        <v/>
      </c>
      <c r="Y93" s="98" t="str">
        <f>IF(IFERROR(VLOOKUP(A93,'24.木構造'!C:D,1,0),"")="","","✔")</f>
        <v/>
      </c>
      <c r="Z93" s="98" t="str">
        <f>IF(IFERROR(VLOOKUP(A93,'25.管路'!C:D,1,0),"")="","","✔")</f>
        <v/>
      </c>
      <c r="AA93" s="98" t="str">
        <f>IF(IFERROR(VLOOKUP(A93,'26.植栽(移植)'!C:D,1,0),"")="","","✔")</f>
        <v/>
      </c>
      <c r="AB93" s="98" t="str">
        <f>IF(IFERROR(VLOOKUP(A93,'27.植栽(新植)'!C:D,1,0),"")="","","✔")</f>
        <v/>
      </c>
      <c r="AC93" s="98" t="str">
        <f>IF(IFERROR(VLOOKUP(A93,'28.照明'!C:D,1,0),"")="","","✔")</f>
        <v/>
      </c>
      <c r="AD93" s="98" t="str">
        <f>IF(IFERROR(VLOOKUP(A93,'29.既有橋梁拆除'!C:D,1,0),"")="","","✔")</f>
        <v/>
      </c>
    </row>
    <row r="94" spans="1:30" ht="21.75" customHeight="1" x14ac:dyDescent="0.25">
      <c r="A94" s="99">
        <v>45284</v>
      </c>
      <c r="B94" s="98" t="str">
        <f>IF(IFERROR(VLOOKUP(A94,'1.測量放樣'!C:D,1,0),"")="","","✔")</f>
        <v/>
      </c>
      <c r="C94" s="98" t="str">
        <f>IF(IFERROR(VLOOKUP(A94,'2.土方開挖'!C:D,1,0),"")="","","✔")</f>
        <v/>
      </c>
      <c r="D94" s="98" t="str">
        <f>IF(IFERROR(VLOOKUP(A94,'3.土方回填'!C:D,1,0),"")="","","✔")</f>
        <v/>
      </c>
      <c r="E94" s="98" t="str">
        <f>IF(IFERROR(VLOOKUP(A94,'4.鋼筋'!C:D,1,0),"")="","","✔")</f>
        <v/>
      </c>
      <c r="F94" s="98" t="str">
        <f>IF(IFERROR(VLOOKUP(A94,'5.模板'!C:D,1,0),"")="","","✔")</f>
        <v/>
      </c>
      <c r="G94" s="98" t="str">
        <f>IF(IFERROR(VLOOKUP(A94,'6.混凝土'!C:D,1,0),"")="","","✔")</f>
        <v/>
      </c>
      <c r="H94" s="98" t="str">
        <f>IF(IFERROR(VLOOKUP(A94,'7.植筋'!C:D,1,0),"")="","","✔")</f>
        <v/>
      </c>
      <c r="I94" s="98" t="str">
        <f>IF(IFERROR(VLOOKUP(A94,'8.預力混凝土基樁'!C:D,1,0),"")="","","✔")</f>
        <v/>
      </c>
      <c r="J94" s="98" t="str">
        <f>IF(IFERROR(VLOOKUP(A94,'9.砌塊石護岸'!C:D,1,0),"")="","","✔")</f>
        <v/>
      </c>
      <c r="K94" s="98" t="str">
        <f>IF(IFERROR(VLOOKUP(A94,'10.低水護岸'!C:D,1,0),"")="","","✔")</f>
        <v/>
      </c>
      <c r="L94" s="98" t="str">
        <f>IF(IFERROR(VLOOKUP(A94,'11.固床工'!C:D,1,0),"")="","","✔")</f>
        <v/>
      </c>
      <c r="M94" s="98" t="str">
        <f>IF(IFERROR(VLOOKUP(A94,'12.全套管基樁'!C:D,1,0),"")="","","✔")</f>
        <v/>
      </c>
      <c r="N94" s="98" t="str">
        <f>IF(IFERROR(VLOOKUP(A94,'13.鋼筋混凝土管工程'!C:D,1,0),"")="","","✔")</f>
        <v/>
      </c>
      <c r="O94" s="98" t="str">
        <f>IF(IFERROR(VLOOKUP(A94,'14.鋼版樁'!C:D,1,0),"")="","","✔")</f>
        <v/>
      </c>
      <c r="P94" s="98" t="str">
        <f>IF(IFERROR(VLOOKUP(A94,'15.路床 路基高程'!C:D,1,0),"")="","","✔")</f>
        <v/>
      </c>
      <c r="Q94" s="98" t="str">
        <f>IF(IFERROR(VLOOKUP(A94,'16.瀝青混凝土'!C:D,1,0),"")="","","✔")</f>
        <v/>
      </c>
      <c r="R94" s="98" t="str">
        <f>IF(IFERROR(VLOOKUP(A94,'17.景觀鋪面(一)'!C:D,1,0),"")="","","✔")</f>
        <v/>
      </c>
      <c r="S94" s="98" t="str">
        <f>IF(IFERROR(VLOOKUP(A94,'18.景觀鋪面(二)'!C:D,1,0),"")="","","✔")</f>
        <v/>
      </c>
      <c r="T94" s="98" t="str">
        <f>IF(IFERROR(VLOOKUP(A94,'19.預鑄緣石'!C:D,1,0),"")="","","✔")</f>
        <v/>
      </c>
      <c r="U94" s="98" t="str">
        <f>IF(IFERROR(VLOOKUP(A94,'20.鋼構工程吊裝'!C:D,1,0),"")="","","✔")</f>
        <v/>
      </c>
      <c r="V94" s="98" t="str">
        <f>IF(IFERROR(VLOOKUP(A94,'21.鋼構工程塗裝'!C:D,1,0),"")="","","✔")</f>
        <v/>
      </c>
      <c r="W94" s="98" t="str">
        <f>IF(IFERROR(VLOOKUP(A94,'22.排水設施(一)'!C:D,1,0),"")="","","✔")</f>
        <v/>
      </c>
      <c r="X94" s="98" t="str">
        <f>IF(IFERROR(VLOOKUP(A94,'23.排水設施(二)'!C:D,1,0),"")="","","✔")</f>
        <v/>
      </c>
      <c r="Y94" s="98" t="str">
        <f>IF(IFERROR(VLOOKUP(A94,'24.木構造'!C:D,1,0),"")="","","✔")</f>
        <v/>
      </c>
      <c r="Z94" s="98" t="str">
        <f>IF(IFERROR(VLOOKUP(A94,'25.管路'!C:D,1,0),"")="","","✔")</f>
        <v/>
      </c>
      <c r="AA94" s="98" t="str">
        <f>IF(IFERROR(VLOOKUP(A94,'26.植栽(移植)'!C:D,1,0),"")="","","✔")</f>
        <v>✔</v>
      </c>
      <c r="AB94" s="98" t="str">
        <f>IF(IFERROR(VLOOKUP(A94,'27.植栽(新植)'!C:D,1,0),"")="","","✔")</f>
        <v/>
      </c>
      <c r="AC94" s="98" t="str">
        <f>IF(IFERROR(VLOOKUP(A94,'28.照明'!C:D,1,0),"")="","","✔")</f>
        <v/>
      </c>
      <c r="AD94" s="98" t="str">
        <f>IF(IFERROR(VLOOKUP(A94,'29.既有橋梁拆除'!C:D,1,0),"")="","","✔")</f>
        <v/>
      </c>
    </row>
    <row r="95" spans="1:30" ht="21.75" customHeight="1" x14ac:dyDescent="0.25">
      <c r="A95" s="99">
        <v>45285</v>
      </c>
      <c r="B95" s="98" t="str">
        <f>IF(IFERROR(VLOOKUP(A95,'1.測量放樣'!C:D,1,0),"")="","","✔")</f>
        <v/>
      </c>
      <c r="C95" s="98" t="str">
        <f>IF(IFERROR(VLOOKUP(A95,'2.土方開挖'!C:D,1,0),"")="","","✔")</f>
        <v/>
      </c>
      <c r="D95" s="98" t="str">
        <f>IF(IFERROR(VLOOKUP(A95,'3.土方回填'!C:D,1,0),"")="","","✔")</f>
        <v/>
      </c>
      <c r="E95" s="98" t="str">
        <f>IF(IFERROR(VLOOKUP(A95,'4.鋼筋'!C:D,1,0),"")="","","✔")</f>
        <v>✔</v>
      </c>
      <c r="F95" s="98" t="str">
        <f>IF(IFERROR(VLOOKUP(A95,'5.模板'!C:D,1,0),"")="","","✔")</f>
        <v/>
      </c>
      <c r="G95" s="98" t="str">
        <f>IF(IFERROR(VLOOKUP(A95,'6.混凝土'!C:D,1,0),"")="","","✔")</f>
        <v/>
      </c>
      <c r="H95" s="98" t="str">
        <f>IF(IFERROR(VLOOKUP(A95,'7.植筋'!C:D,1,0),"")="","","✔")</f>
        <v/>
      </c>
      <c r="I95" s="98" t="str">
        <f>IF(IFERROR(VLOOKUP(A95,'8.預力混凝土基樁'!C:D,1,0),"")="","","✔")</f>
        <v>✔</v>
      </c>
      <c r="J95" s="98" t="str">
        <f>IF(IFERROR(VLOOKUP(A95,'9.砌塊石護岸'!C:D,1,0),"")="","","✔")</f>
        <v/>
      </c>
      <c r="K95" s="98" t="str">
        <f>IF(IFERROR(VLOOKUP(A95,'10.低水護岸'!C:D,1,0),"")="","","✔")</f>
        <v/>
      </c>
      <c r="L95" s="98" t="str">
        <f>IF(IFERROR(VLOOKUP(A95,'11.固床工'!C:D,1,0),"")="","","✔")</f>
        <v/>
      </c>
      <c r="M95" s="98" t="str">
        <f>IF(IFERROR(VLOOKUP(A95,'12.全套管基樁'!C:D,1,0),"")="","","✔")</f>
        <v/>
      </c>
      <c r="N95" s="98" t="str">
        <f>IF(IFERROR(VLOOKUP(A95,'13.鋼筋混凝土管工程'!C:D,1,0),"")="","","✔")</f>
        <v/>
      </c>
      <c r="O95" s="98" t="str">
        <f>IF(IFERROR(VLOOKUP(A95,'14.鋼版樁'!C:D,1,0),"")="","","✔")</f>
        <v/>
      </c>
      <c r="P95" s="98" t="str">
        <f>IF(IFERROR(VLOOKUP(A95,'15.路床 路基高程'!C:D,1,0),"")="","","✔")</f>
        <v/>
      </c>
      <c r="Q95" s="98" t="str">
        <f>IF(IFERROR(VLOOKUP(A95,'16.瀝青混凝土'!C:D,1,0),"")="","","✔")</f>
        <v/>
      </c>
      <c r="R95" s="98" t="str">
        <f>IF(IFERROR(VLOOKUP(A95,'17.景觀鋪面(一)'!C:D,1,0),"")="","","✔")</f>
        <v/>
      </c>
      <c r="S95" s="98" t="str">
        <f>IF(IFERROR(VLOOKUP(A95,'18.景觀鋪面(二)'!C:D,1,0),"")="","","✔")</f>
        <v/>
      </c>
      <c r="T95" s="98" t="str">
        <f>IF(IFERROR(VLOOKUP(A95,'19.預鑄緣石'!C:D,1,0),"")="","","✔")</f>
        <v/>
      </c>
      <c r="U95" s="98" t="str">
        <f>IF(IFERROR(VLOOKUP(A95,'20.鋼構工程吊裝'!C:D,1,0),"")="","","✔")</f>
        <v/>
      </c>
      <c r="V95" s="98" t="str">
        <f>IF(IFERROR(VLOOKUP(A95,'21.鋼構工程塗裝'!C:D,1,0),"")="","","✔")</f>
        <v/>
      </c>
      <c r="W95" s="98" t="str">
        <f>IF(IFERROR(VLOOKUP(A95,'22.排水設施(一)'!C:D,1,0),"")="","","✔")</f>
        <v/>
      </c>
      <c r="X95" s="98" t="str">
        <f>IF(IFERROR(VLOOKUP(A95,'23.排水設施(二)'!C:D,1,0),"")="","","✔")</f>
        <v/>
      </c>
      <c r="Y95" s="98" t="str">
        <f>IF(IFERROR(VLOOKUP(A95,'24.木構造'!C:D,1,0),"")="","","✔")</f>
        <v/>
      </c>
      <c r="Z95" s="98" t="str">
        <f>IF(IFERROR(VLOOKUP(A95,'25.管路'!C:D,1,0),"")="","","✔")</f>
        <v/>
      </c>
      <c r="AA95" s="98" t="str">
        <f>IF(IFERROR(VLOOKUP(A95,'26.植栽(移植)'!C:D,1,0),"")="","","✔")</f>
        <v>✔</v>
      </c>
      <c r="AB95" s="98" t="str">
        <f>IF(IFERROR(VLOOKUP(A95,'27.植栽(新植)'!C:D,1,0),"")="","","✔")</f>
        <v/>
      </c>
      <c r="AC95" s="98" t="str">
        <f>IF(IFERROR(VLOOKUP(A95,'28.照明'!C:D,1,0),"")="","","✔")</f>
        <v/>
      </c>
      <c r="AD95" s="98" t="str">
        <f>IF(IFERROR(VLOOKUP(A95,'29.既有橋梁拆除'!C:D,1,0),"")="","","✔")</f>
        <v/>
      </c>
    </row>
    <row r="96" spans="1:30" ht="21.75" customHeight="1" x14ac:dyDescent="0.25">
      <c r="A96" s="99">
        <v>45286</v>
      </c>
      <c r="B96" s="98" t="str">
        <f>IF(IFERROR(VLOOKUP(A96,'1.測量放樣'!C:D,1,0),"")="","","✔")</f>
        <v/>
      </c>
      <c r="C96" s="98" t="str">
        <f>IF(IFERROR(VLOOKUP(A96,'2.土方開挖'!C:D,1,0),"")="","","✔")</f>
        <v/>
      </c>
      <c r="D96" s="98" t="str">
        <f>IF(IFERROR(VLOOKUP(A96,'3.土方回填'!C:D,1,0),"")="","","✔")</f>
        <v/>
      </c>
      <c r="E96" s="98" t="str">
        <f>IF(IFERROR(VLOOKUP(A96,'4.鋼筋'!C:D,1,0),"")="","","✔")</f>
        <v>✔</v>
      </c>
      <c r="F96" s="98" t="str">
        <f>IF(IFERROR(VLOOKUP(A96,'5.模板'!C:D,1,0),"")="","","✔")</f>
        <v/>
      </c>
      <c r="G96" s="98" t="str">
        <f>IF(IFERROR(VLOOKUP(A96,'6.混凝土'!C:D,1,0),"")="","","✔")</f>
        <v/>
      </c>
      <c r="H96" s="98" t="str">
        <f>IF(IFERROR(VLOOKUP(A96,'7.植筋'!C:D,1,0),"")="","","✔")</f>
        <v/>
      </c>
      <c r="I96" s="98" t="str">
        <f>IF(IFERROR(VLOOKUP(A96,'8.預力混凝土基樁'!C:D,1,0),"")="","","✔")</f>
        <v/>
      </c>
      <c r="J96" s="98" t="str">
        <f>IF(IFERROR(VLOOKUP(A96,'9.砌塊石護岸'!C:D,1,0),"")="","","✔")</f>
        <v/>
      </c>
      <c r="K96" s="98" t="str">
        <f>IF(IFERROR(VLOOKUP(A96,'10.低水護岸'!C:D,1,0),"")="","","✔")</f>
        <v/>
      </c>
      <c r="L96" s="98" t="str">
        <f>IF(IFERROR(VLOOKUP(A96,'11.固床工'!C:D,1,0),"")="","","✔")</f>
        <v/>
      </c>
      <c r="M96" s="98" t="str">
        <f>IF(IFERROR(VLOOKUP(A96,'12.全套管基樁'!C:D,1,0),"")="","","✔")</f>
        <v/>
      </c>
      <c r="N96" s="98" t="str">
        <f>IF(IFERROR(VLOOKUP(A96,'13.鋼筋混凝土管工程'!C:D,1,0),"")="","","✔")</f>
        <v/>
      </c>
      <c r="O96" s="98" t="str">
        <f>IF(IFERROR(VLOOKUP(A96,'14.鋼版樁'!C:D,1,0),"")="","","✔")</f>
        <v/>
      </c>
      <c r="P96" s="98" t="str">
        <f>IF(IFERROR(VLOOKUP(A96,'15.路床 路基高程'!C:D,1,0),"")="","","✔")</f>
        <v/>
      </c>
      <c r="Q96" s="98" t="str">
        <f>IF(IFERROR(VLOOKUP(A96,'16.瀝青混凝土'!C:D,1,0),"")="","","✔")</f>
        <v/>
      </c>
      <c r="R96" s="98" t="str">
        <f>IF(IFERROR(VLOOKUP(A96,'17.景觀鋪面(一)'!C:D,1,0),"")="","","✔")</f>
        <v/>
      </c>
      <c r="S96" s="98" t="str">
        <f>IF(IFERROR(VLOOKUP(A96,'18.景觀鋪面(二)'!C:D,1,0),"")="","","✔")</f>
        <v/>
      </c>
      <c r="T96" s="98" t="str">
        <f>IF(IFERROR(VLOOKUP(A96,'19.預鑄緣石'!C:D,1,0),"")="","","✔")</f>
        <v/>
      </c>
      <c r="U96" s="98" t="str">
        <f>IF(IFERROR(VLOOKUP(A96,'20.鋼構工程吊裝'!C:D,1,0),"")="","","✔")</f>
        <v/>
      </c>
      <c r="V96" s="98" t="str">
        <f>IF(IFERROR(VLOOKUP(A96,'21.鋼構工程塗裝'!C:D,1,0),"")="","","✔")</f>
        <v/>
      </c>
      <c r="W96" s="98" t="str">
        <f>IF(IFERROR(VLOOKUP(A96,'22.排水設施(一)'!C:D,1,0),"")="","","✔")</f>
        <v/>
      </c>
      <c r="X96" s="98" t="str">
        <f>IF(IFERROR(VLOOKUP(A96,'23.排水設施(二)'!C:D,1,0),"")="","","✔")</f>
        <v/>
      </c>
      <c r="Y96" s="98" t="str">
        <f>IF(IFERROR(VLOOKUP(A96,'24.木構造'!C:D,1,0),"")="","","✔")</f>
        <v/>
      </c>
      <c r="Z96" s="98" t="str">
        <f>IF(IFERROR(VLOOKUP(A96,'25.管路'!C:D,1,0),"")="","","✔")</f>
        <v/>
      </c>
      <c r="AA96" s="98" t="str">
        <f>IF(IFERROR(VLOOKUP(A96,'26.植栽(移植)'!C:D,1,0),"")="","","✔")</f>
        <v/>
      </c>
      <c r="AB96" s="98" t="str">
        <f>IF(IFERROR(VLOOKUP(A96,'27.植栽(新植)'!C:D,1,0),"")="","","✔")</f>
        <v/>
      </c>
      <c r="AC96" s="98" t="str">
        <f>IF(IFERROR(VLOOKUP(A96,'28.照明'!C:D,1,0),"")="","","✔")</f>
        <v/>
      </c>
      <c r="AD96" s="98" t="str">
        <f>IF(IFERROR(VLOOKUP(A96,'29.既有橋梁拆除'!C:D,1,0),"")="","","✔")</f>
        <v/>
      </c>
    </row>
    <row r="97" spans="1:30" ht="21.75" customHeight="1" x14ac:dyDescent="0.25">
      <c r="A97" s="99">
        <v>45287</v>
      </c>
      <c r="B97" s="98" t="str">
        <f>IF(IFERROR(VLOOKUP(A97,'1.測量放樣'!C:D,1,0),"")="","","✔")</f>
        <v/>
      </c>
      <c r="C97" s="98" t="str">
        <f>IF(IFERROR(VLOOKUP(A97,'2.土方開挖'!C:D,1,0),"")="","","✔")</f>
        <v/>
      </c>
      <c r="D97" s="98" t="str">
        <f>IF(IFERROR(VLOOKUP(A97,'3.土方回填'!C:D,1,0),"")="","","✔")</f>
        <v/>
      </c>
      <c r="E97" s="98" t="str">
        <f>IF(IFERROR(VLOOKUP(A97,'4.鋼筋'!C:D,1,0),"")="","","✔")</f>
        <v/>
      </c>
      <c r="F97" s="98" t="str">
        <f>IF(IFERROR(VLOOKUP(A97,'5.模板'!C:D,1,0),"")="","","✔")</f>
        <v/>
      </c>
      <c r="G97" s="98" t="str">
        <f>IF(IFERROR(VLOOKUP(A97,'6.混凝土'!C:D,1,0),"")="","","✔")</f>
        <v/>
      </c>
      <c r="H97" s="98" t="str">
        <f>IF(IFERROR(VLOOKUP(A97,'7.植筋'!C:D,1,0),"")="","","✔")</f>
        <v/>
      </c>
      <c r="I97" s="98" t="str">
        <f>IF(IFERROR(VLOOKUP(A97,'8.預力混凝土基樁'!C:D,1,0),"")="","","✔")</f>
        <v>✔</v>
      </c>
      <c r="J97" s="98" t="str">
        <f>IF(IFERROR(VLOOKUP(A97,'9.砌塊石護岸'!C:D,1,0),"")="","","✔")</f>
        <v/>
      </c>
      <c r="K97" s="98" t="str">
        <f>IF(IFERROR(VLOOKUP(A97,'10.低水護岸'!C:D,1,0),"")="","","✔")</f>
        <v/>
      </c>
      <c r="L97" s="98" t="str">
        <f>IF(IFERROR(VLOOKUP(A97,'11.固床工'!C:D,1,0),"")="","","✔")</f>
        <v/>
      </c>
      <c r="M97" s="98" t="str">
        <f>IF(IFERROR(VLOOKUP(A97,'12.全套管基樁'!C:D,1,0),"")="","","✔")</f>
        <v/>
      </c>
      <c r="N97" s="98" t="str">
        <f>IF(IFERROR(VLOOKUP(A97,'13.鋼筋混凝土管工程'!C:D,1,0),"")="","","✔")</f>
        <v/>
      </c>
      <c r="O97" s="98" t="str">
        <f>IF(IFERROR(VLOOKUP(A97,'14.鋼版樁'!C:D,1,0),"")="","","✔")</f>
        <v/>
      </c>
      <c r="P97" s="98" t="str">
        <f>IF(IFERROR(VLOOKUP(A97,'15.路床 路基高程'!C:D,1,0),"")="","","✔")</f>
        <v/>
      </c>
      <c r="Q97" s="98" t="str">
        <f>IF(IFERROR(VLOOKUP(A97,'16.瀝青混凝土'!C:D,1,0),"")="","","✔")</f>
        <v/>
      </c>
      <c r="R97" s="98" t="str">
        <f>IF(IFERROR(VLOOKUP(A97,'17.景觀鋪面(一)'!C:D,1,0),"")="","","✔")</f>
        <v/>
      </c>
      <c r="S97" s="98" t="str">
        <f>IF(IFERROR(VLOOKUP(A97,'18.景觀鋪面(二)'!C:D,1,0),"")="","","✔")</f>
        <v/>
      </c>
      <c r="T97" s="98" t="str">
        <f>IF(IFERROR(VLOOKUP(A97,'19.預鑄緣石'!C:D,1,0),"")="","","✔")</f>
        <v/>
      </c>
      <c r="U97" s="98" t="str">
        <f>IF(IFERROR(VLOOKUP(A97,'20.鋼構工程吊裝'!C:D,1,0),"")="","","✔")</f>
        <v/>
      </c>
      <c r="V97" s="98" t="str">
        <f>IF(IFERROR(VLOOKUP(A97,'21.鋼構工程塗裝'!C:D,1,0),"")="","","✔")</f>
        <v/>
      </c>
      <c r="W97" s="98" t="str">
        <f>IF(IFERROR(VLOOKUP(A97,'22.排水設施(一)'!C:D,1,0),"")="","","✔")</f>
        <v/>
      </c>
      <c r="X97" s="98" t="str">
        <f>IF(IFERROR(VLOOKUP(A97,'23.排水設施(二)'!C:D,1,0),"")="","","✔")</f>
        <v/>
      </c>
      <c r="Y97" s="98" t="str">
        <f>IF(IFERROR(VLOOKUP(A97,'24.木構造'!C:D,1,0),"")="","","✔")</f>
        <v/>
      </c>
      <c r="Z97" s="98" t="str">
        <f>IF(IFERROR(VLOOKUP(A97,'25.管路'!C:D,1,0),"")="","","✔")</f>
        <v/>
      </c>
      <c r="AA97" s="98" t="str">
        <f>IF(IFERROR(VLOOKUP(A97,'26.植栽(移植)'!C:D,1,0),"")="","","✔")</f>
        <v/>
      </c>
      <c r="AB97" s="98" t="str">
        <f>IF(IFERROR(VLOOKUP(A97,'27.植栽(新植)'!C:D,1,0),"")="","","✔")</f>
        <v/>
      </c>
      <c r="AC97" s="98" t="str">
        <f>IF(IFERROR(VLOOKUP(A97,'28.照明'!C:D,1,0),"")="","","✔")</f>
        <v/>
      </c>
      <c r="AD97" s="98" t="str">
        <f>IF(IFERROR(VLOOKUP(A97,'29.既有橋梁拆除'!C:D,1,0),"")="","","✔")</f>
        <v/>
      </c>
    </row>
    <row r="98" spans="1:30" ht="21.75" customHeight="1" x14ac:dyDescent="0.25">
      <c r="A98" s="99">
        <v>45288</v>
      </c>
      <c r="B98" s="98" t="str">
        <f>IF(IFERROR(VLOOKUP(A98,'1.測量放樣'!C:D,1,0),"")="","","✔")</f>
        <v/>
      </c>
      <c r="C98" s="98" t="str">
        <f>IF(IFERROR(VLOOKUP(A98,'2.土方開挖'!C:D,1,0),"")="","","✔")</f>
        <v/>
      </c>
      <c r="D98" s="98" t="str">
        <f>IF(IFERROR(VLOOKUP(A98,'3.土方回填'!C:D,1,0),"")="","","✔")</f>
        <v/>
      </c>
      <c r="E98" s="98" t="str">
        <f>IF(IFERROR(VLOOKUP(A98,'4.鋼筋'!C:D,1,0),"")="","","✔")</f>
        <v/>
      </c>
      <c r="F98" s="98" t="str">
        <f>IF(IFERROR(VLOOKUP(A98,'5.模板'!C:D,1,0),"")="","","✔")</f>
        <v/>
      </c>
      <c r="G98" s="98" t="str">
        <f>IF(IFERROR(VLOOKUP(A98,'6.混凝土'!C:D,1,0),"")="","","✔")</f>
        <v/>
      </c>
      <c r="H98" s="98" t="str">
        <f>IF(IFERROR(VLOOKUP(A98,'7.植筋'!C:D,1,0),"")="","","✔")</f>
        <v/>
      </c>
      <c r="I98" s="98" t="str">
        <f>IF(IFERROR(VLOOKUP(A98,'8.預力混凝土基樁'!C:D,1,0),"")="","","✔")</f>
        <v>✔</v>
      </c>
      <c r="J98" s="98" t="str">
        <f>IF(IFERROR(VLOOKUP(A98,'9.砌塊石護岸'!C:D,1,0),"")="","","✔")</f>
        <v/>
      </c>
      <c r="K98" s="98" t="str">
        <f>IF(IFERROR(VLOOKUP(A98,'10.低水護岸'!C:D,1,0),"")="","","✔")</f>
        <v/>
      </c>
      <c r="L98" s="98" t="str">
        <f>IF(IFERROR(VLOOKUP(A98,'11.固床工'!C:D,1,0),"")="","","✔")</f>
        <v/>
      </c>
      <c r="M98" s="98" t="str">
        <f>IF(IFERROR(VLOOKUP(A98,'12.全套管基樁'!C:D,1,0),"")="","","✔")</f>
        <v/>
      </c>
      <c r="N98" s="98" t="str">
        <f>IF(IFERROR(VLOOKUP(A98,'13.鋼筋混凝土管工程'!C:D,1,0),"")="","","✔")</f>
        <v/>
      </c>
      <c r="O98" s="98" t="str">
        <f>IF(IFERROR(VLOOKUP(A98,'14.鋼版樁'!C:D,1,0),"")="","","✔")</f>
        <v/>
      </c>
      <c r="P98" s="98" t="str">
        <f>IF(IFERROR(VLOOKUP(A98,'15.路床 路基高程'!C:D,1,0),"")="","","✔")</f>
        <v/>
      </c>
      <c r="Q98" s="98" t="str">
        <f>IF(IFERROR(VLOOKUP(A98,'16.瀝青混凝土'!C:D,1,0),"")="","","✔")</f>
        <v/>
      </c>
      <c r="R98" s="98" t="str">
        <f>IF(IFERROR(VLOOKUP(A98,'17.景觀鋪面(一)'!C:D,1,0),"")="","","✔")</f>
        <v/>
      </c>
      <c r="S98" s="98" t="str">
        <f>IF(IFERROR(VLOOKUP(A98,'18.景觀鋪面(二)'!C:D,1,0),"")="","","✔")</f>
        <v/>
      </c>
      <c r="T98" s="98" t="str">
        <f>IF(IFERROR(VLOOKUP(A98,'19.預鑄緣石'!C:D,1,0),"")="","","✔")</f>
        <v/>
      </c>
      <c r="U98" s="98" t="str">
        <f>IF(IFERROR(VLOOKUP(A98,'20.鋼構工程吊裝'!C:D,1,0),"")="","","✔")</f>
        <v/>
      </c>
      <c r="V98" s="98" t="str">
        <f>IF(IFERROR(VLOOKUP(A98,'21.鋼構工程塗裝'!C:D,1,0),"")="","","✔")</f>
        <v/>
      </c>
      <c r="W98" s="98" t="str">
        <f>IF(IFERROR(VLOOKUP(A98,'22.排水設施(一)'!C:D,1,0),"")="","","✔")</f>
        <v/>
      </c>
      <c r="X98" s="98" t="str">
        <f>IF(IFERROR(VLOOKUP(A98,'23.排水設施(二)'!C:D,1,0),"")="","","✔")</f>
        <v/>
      </c>
      <c r="Y98" s="98" t="str">
        <f>IF(IFERROR(VLOOKUP(A98,'24.木構造'!C:D,1,0),"")="","","✔")</f>
        <v/>
      </c>
      <c r="Z98" s="98" t="str">
        <f>IF(IFERROR(VLOOKUP(A98,'25.管路'!C:D,1,0),"")="","","✔")</f>
        <v/>
      </c>
      <c r="AA98" s="98" t="str">
        <f>IF(IFERROR(VLOOKUP(A98,'26.植栽(移植)'!C:D,1,0),"")="","","✔")</f>
        <v/>
      </c>
      <c r="AB98" s="98" t="str">
        <f>IF(IFERROR(VLOOKUP(A98,'27.植栽(新植)'!C:D,1,0),"")="","","✔")</f>
        <v/>
      </c>
      <c r="AC98" s="98" t="str">
        <f>IF(IFERROR(VLOOKUP(A98,'28.照明'!C:D,1,0),"")="","","✔")</f>
        <v/>
      </c>
      <c r="AD98" s="98" t="str">
        <f>IF(IFERROR(VLOOKUP(A98,'29.既有橋梁拆除'!C:D,1,0),"")="","","✔")</f>
        <v/>
      </c>
    </row>
    <row r="99" spans="1:30" ht="21.75" customHeight="1" x14ac:dyDescent="0.25">
      <c r="A99" s="99">
        <v>45289</v>
      </c>
      <c r="B99" s="98" t="str">
        <f>IF(IFERROR(VLOOKUP(A99,'1.測量放樣'!C:D,1,0),"")="","","✔")</f>
        <v/>
      </c>
      <c r="C99" s="98" t="str">
        <f>IF(IFERROR(VLOOKUP(A99,'2.土方開挖'!C:D,1,0),"")="","","✔")</f>
        <v/>
      </c>
      <c r="D99" s="98" t="str">
        <f>IF(IFERROR(VLOOKUP(A99,'3.土方回填'!C:D,1,0),"")="","","✔")</f>
        <v/>
      </c>
      <c r="E99" s="98" t="str">
        <f>IF(IFERROR(VLOOKUP(A99,'4.鋼筋'!C:D,1,0),"")="","","✔")</f>
        <v/>
      </c>
      <c r="F99" s="98" t="str">
        <f>IF(IFERROR(VLOOKUP(A99,'5.模板'!C:D,1,0),"")="","","✔")</f>
        <v/>
      </c>
      <c r="G99" s="98" t="str">
        <f>IF(IFERROR(VLOOKUP(A99,'6.混凝土'!C:D,1,0),"")="","","✔")</f>
        <v>✔</v>
      </c>
      <c r="H99" s="98" t="str">
        <f>IF(IFERROR(VLOOKUP(A99,'7.植筋'!C:D,1,0),"")="","","✔")</f>
        <v/>
      </c>
      <c r="I99" s="98" t="str">
        <f>IF(IFERROR(VLOOKUP(A99,'8.預力混凝土基樁'!C:D,1,0),"")="","","✔")</f>
        <v/>
      </c>
      <c r="J99" s="98" t="str">
        <f>IF(IFERROR(VLOOKUP(A99,'9.砌塊石護岸'!C:D,1,0),"")="","","✔")</f>
        <v/>
      </c>
      <c r="K99" s="98" t="str">
        <f>IF(IFERROR(VLOOKUP(A99,'10.低水護岸'!C:D,1,0),"")="","","✔")</f>
        <v/>
      </c>
      <c r="L99" s="98" t="str">
        <f>IF(IFERROR(VLOOKUP(A99,'11.固床工'!C:D,1,0),"")="","","✔")</f>
        <v/>
      </c>
      <c r="M99" s="98" t="str">
        <f>IF(IFERROR(VLOOKUP(A99,'12.全套管基樁'!C:D,1,0),"")="","","✔")</f>
        <v>✔</v>
      </c>
      <c r="N99" s="98" t="str">
        <f>IF(IFERROR(VLOOKUP(A99,'13.鋼筋混凝土管工程'!C:D,1,0),"")="","","✔")</f>
        <v/>
      </c>
      <c r="O99" s="98" t="str">
        <f>IF(IFERROR(VLOOKUP(A99,'14.鋼版樁'!C:D,1,0),"")="","","✔")</f>
        <v/>
      </c>
      <c r="P99" s="98" t="str">
        <f>IF(IFERROR(VLOOKUP(A99,'15.路床 路基高程'!C:D,1,0),"")="","","✔")</f>
        <v/>
      </c>
      <c r="Q99" s="98" t="str">
        <f>IF(IFERROR(VLOOKUP(A99,'16.瀝青混凝土'!C:D,1,0),"")="","","✔")</f>
        <v/>
      </c>
      <c r="R99" s="98" t="str">
        <f>IF(IFERROR(VLOOKUP(A99,'17.景觀鋪面(一)'!C:D,1,0),"")="","","✔")</f>
        <v/>
      </c>
      <c r="S99" s="98" t="str">
        <f>IF(IFERROR(VLOOKUP(A99,'18.景觀鋪面(二)'!C:D,1,0),"")="","","✔")</f>
        <v/>
      </c>
      <c r="T99" s="98" t="str">
        <f>IF(IFERROR(VLOOKUP(A99,'19.預鑄緣石'!C:D,1,0),"")="","","✔")</f>
        <v/>
      </c>
      <c r="U99" s="98" t="str">
        <f>IF(IFERROR(VLOOKUP(A99,'20.鋼構工程吊裝'!C:D,1,0),"")="","","✔")</f>
        <v/>
      </c>
      <c r="V99" s="98" t="str">
        <f>IF(IFERROR(VLOOKUP(A99,'21.鋼構工程塗裝'!C:D,1,0),"")="","","✔")</f>
        <v/>
      </c>
      <c r="W99" s="98" t="str">
        <f>IF(IFERROR(VLOOKUP(A99,'22.排水設施(一)'!C:D,1,0),"")="","","✔")</f>
        <v/>
      </c>
      <c r="X99" s="98" t="str">
        <f>IF(IFERROR(VLOOKUP(A99,'23.排水設施(二)'!C:D,1,0),"")="","","✔")</f>
        <v/>
      </c>
      <c r="Y99" s="98" t="str">
        <f>IF(IFERROR(VLOOKUP(A99,'24.木構造'!C:D,1,0),"")="","","✔")</f>
        <v/>
      </c>
      <c r="Z99" s="98" t="str">
        <f>IF(IFERROR(VLOOKUP(A99,'25.管路'!C:D,1,0),"")="","","✔")</f>
        <v/>
      </c>
      <c r="AA99" s="98" t="str">
        <f>IF(IFERROR(VLOOKUP(A99,'26.植栽(移植)'!C:D,1,0),"")="","","✔")</f>
        <v/>
      </c>
      <c r="AB99" s="98" t="str">
        <f>IF(IFERROR(VLOOKUP(A99,'27.植栽(新植)'!C:D,1,0),"")="","","✔")</f>
        <v/>
      </c>
      <c r="AC99" s="98" t="str">
        <f>IF(IFERROR(VLOOKUP(A99,'28.照明'!C:D,1,0),"")="","","✔")</f>
        <v/>
      </c>
      <c r="AD99" s="98" t="str">
        <f>IF(IFERROR(VLOOKUP(A99,'29.既有橋梁拆除'!C:D,1,0),"")="","","✔")</f>
        <v/>
      </c>
    </row>
    <row r="100" spans="1:30" ht="21.75" customHeight="1" x14ac:dyDescent="0.25">
      <c r="A100" s="99">
        <v>45290</v>
      </c>
      <c r="B100" s="98" t="str">
        <f>IF(IFERROR(VLOOKUP(A100,'1.測量放樣'!C:D,1,0),"")="","","✔")</f>
        <v/>
      </c>
      <c r="C100" s="98" t="str">
        <f>IF(IFERROR(VLOOKUP(A100,'2.土方開挖'!C:D,1,0),"")="","","✔")</f>
        <v/>
      </c>
      <c r="D100" s="98" t="str">
        <f>IF(IFERROR(VLOOKUP(A100,'3.土方回填'!C:D,1,0),"")="","","✔")</f>
        <v/>
      </c>
      <c r="E100" s="98" t="str">
        <f>IF(IFERROR(VLOOKUP(A100,'4.鋼筋'!C:D,1,0),"")="","","✔")</f>
        <v/>
      </c>
      <c r="F100" s="98" t="str">
        <f>IF(IFERROR(VLOOKUP(A100,'5.模板'!C:D,1,0),"")="","","✔")</f>
        <v/>
      </c>
      <c r="G100" s="98" t="str">
        <f>IF(IFERROR(VLOOKUP(A100,'6.混凝土'!C:D,1,0),"")="","","✔")</f>
        <v/>
      </c>
      <c r="H100" s="98" t="str">
        <f>IF(IFERROR(VLOOKUP(A100,'7.植筋'!C:D,1,0),"")="","","✔")</f>
        <v/>
      </c>
      <c r="I100" s="98" t="str">
        <f>IF(IFERROR(VLOOKUP(A100,'8.預力混凝土基樁'!C:D,1,0),"")="","","✔")</f>
        <v/>
      </c>
      <c r="J100" s="98" t="str">
        <f>IF(IFERROR(VLOOKUP(A100,'9.砌塊石護岸'!C:D,1,0),"")="","","✔")</f>
        <v/>
      </c>
      <c r="K100" s="98" t="str">
        <f>IF(IFERROR(VLOOKUP(A100,'10.低水護岸'!C:D,1,0),"")="","","✔")</f>
        <v/>
      </c>
      <c r="L100" s="98" t="str">
        <f>IF(IFERROR(VLOOKUP(A100,'11.固床工'!C:D,1,0),"")="","","✔")</f>
        <v/>
      </c>
      <c r="M100" s="98" t="str">
        <f>IF(IFERROR(VLOOKUP(A100,'12.全套管基樁'!C:D,1,0),"")="","","✔")</f>
        <v/>
      </c>
      <c r="N100" s="98" t="str">
        <f>IF(IFERROR(VLOOKUP(A100,'13.鋼筋混凝土管工程'!C:D,1,0),"")="","","✔")</f>
        <v/>
      </c>
      <c r="O100" s="98" t="str">
        <f>IF(IFERROR(VLOOKUP(A100,'14.鋼版樁'!C:D,1,0),"")="","","✔")</f>
        <v/>
      </c>
      <c r="P100" s="98" t="str">
        <f>IF(IFERROR(VLOOKUP(A100,'15.路床 路基高程'!C:D,1,0),"")="","","✔")</f>
        <v/>
      </c>
      <c r="Q100" s="98" t="str">
        <f>IF(IFERROR(VLOOKUP(A100,'16.瀝青混凝土'!C:D,1,0),"")="","","✔")</f>
        <v/>
      </c>
      <c r="R100" s="98" t="str">
        <f>IF(IFERROR(VLOOKUP(A100,'17.景觀鋪面(一)'!C:D,1,0),"")="","","✔")</f>
        <v/>
      </c>
      <c r="S100" s="98" t="str">
        <f>IF(IFERROR(VLOOKUP(A100,'18.景觀鋪面(二)'!C:D,1,0),"")="","","✔")</f>
        <v/>
      </c>
      <c r="T100" s="98" t="str">
        <f>IF(IFERROR(VLOOKUP(A100,'19.預鑄緣石'!C:D,1,0),"")="","","✔")</f>
        <v/>
      </c>
      <c r="U100" s="98" t="str">
        <f>IF(IFERROR(VLOOKUP(A100,'20.鋼構工程吊裝'!C:D,1,0),"")="","","✔")</f>
        <v/>
      </c>
      <c r="V100" s="98" t="str">
        <f>IF(IFERROR(VLOOKUP(A100,'21.鋼構工程塗裝'!C:D,1,0),"")="","","✔")</f>
        <v/>
      </c>
      <c r="W100" s="98" t="str">
        <f>IF(IFERROR(VLOOKUP(A100,'22.排水設施(一)'!C:D,1,0),"")="","","✔")</f>
        <v/>
      </c>
      <c r="X100" s="98" t="str">
        <f>IF(IFERROR(VLOOKUP(A100,'23.排水設施(二)'!C:D,1,0),"")="","","✔")</f>
        <v/>
      </c>
      <c r="Y100" s="98" t="str">
        <f>IF(IFERROR(VLOOKUP(A100,'24.木構造'!C:D,1,0),"")="","","✔")</f>
        <v/>
      </c>
      <c r="Z100" s="98" t="str">
        <f>IF(IFERROR(VLOOKUP(A100,'25.管路'!C:D,1,0),"")="","","✔")</f>
        <v/>
      </c>
      <c r="AA100" s="98" t="str">
        <f>IF(IFERROR(VLOOKUP(A100,'26.植栽(移植)'!C:D,1,0),"")="","","✔")</f>
        <v/>
      </c>
      <c r="AB100" s="98" t="str">
        <f>IF(IFERROR(VLOOKUP(A100,'27.植栽(新植)'!C:D,1,0),"")="","","✔")</f>
        <v/>
      </c>
      <c r="AC100" s="98" t="str">
        <f>IF(IFERROR(VLOOKUP(A100,'28.照明'!C:D,1,0),"")="","","✔")</f>
        <v/>
      </c>
      <c r="AD100" s="98" t="str">
        <f>IF(IFERROR(VLOOKUP(A100,'29.既有橋梁拆除'!C:D,1,0),"")="","","✔")</f>
        <v/>
      </c>
    </row>
    <row r="101" spans="1:30" ht="21.75" customHeight="1" x14ac:dyDescent="0.25">
      <c r="A101" s="99">
        <v>45291</v>
      </c>
      <c r="B101" s="98" t="str">
        <f>IF(IFERROR(VLOOKUP(A101,'1.測量放樣'!C:D,1,0),"")="","","✔")</f>
        <v/>
      </c>
      <c r="C101" s="98" t="str">
        <f>IF(IFERROR(VLOOKUP(A101,'2.土方開挖'!C:D,1,0),"")="","","✔")</f>
        <v/>
      </c>
      <c r="D101" s="98" t="str">
        <f>IF(IFERROR(VLOOKUP(A101,'3.土方回填'!C:D,1,0),"")="","","✔")</f>
        <v/>
      </c>
      <c r="E101" s="98" t="str">
        <f>IF(IFERROR(VLOOKUP(A101,'4.鋼筋'!C:D,1,0),"")="","","✔")</f>
        <v/>
      </c>
      <c r="F101" s="98" t="str">
        <f>IF(IFERROR(VLOOKUP(A101,'5.模板'!C:D,1,0),"")="","","✔")</f>
        <v/>
      </c>
      <c r="G101" s="98" t="str">
        <f>IF(IFERROR(VLOOKUP(A101,'6.混凝土'!C:D,1,0),"")="","","✔")</f>
        <v/>
      </c>
      <c r="H101" s="98" t="str">
        <f>IF(IFERROR(VLOOKUP(A101,'7.植筋'!C:D,1,0),"")="","","✔")</f>
        <v/>
      </c>
      <c r="I101" s="98" t="str">
        <f>IF(IFERROR(VLOOKUP(A101,'8.預力混凝土基樁'!C:D,1,0),"")="","","✔")</f>
        <v/>
      </c>
      <c r="J101" s="98" t="str">
        <f>IF(IFERROR(VLOOKUP(A101,'9.砌塊石護岸'!C:D,1,0),"")="","","✔")</f>
        <v/>
      </c>
      <c r="K101" s="98" t="str">
        <f>IF(IFERROR(VLOOKUP(A101,'10.低水護岸'!C:D,1,0),"")="","","✔")</f>
        <v/>
      </c>
      <c r="L101" s="98" t="str">
        <f>IF(IFERROR(VLOOKUP(A101,'11.固床工'!C:D,1,0),"")="","","✔")</f>
        <v/>
      </c>
      <c r="M101" s="98" t="str">
        <f>IF(IFERROR(VLOOKUP(A101,'12.全套管基樁'!C:D,1,0),"")="","","✔")</f>
        <v/>
      </c>
      <c r="N101" s="98" t="str">
        <f>IF(IFERROR(VLOOKUP(A101,'13.鋼筋混凝土管工程'!C:D,1,0),"")="","","✔")</f>
        <v/>
      </c>
      <c r="O101" s="98" t="str">
        <f>IF(IFERROR(VLOOKUP(A101,'14.鋼版樁'!C:D,1,0),"")="","","✔")</f>
        <v/>
      </c>
      <c r="P101" s="98" t="str">
        <f>IF(IFERROR(VLOOKUP(A101,'15.路床 路基高程'!C:D,1,0),"")="","","✔")</f>
        <v/>
      </c>
      <c r="Q101" s="98" t="str">
        <f>IF(IFERROR(VLOOKUP(A101,'16.瀝青混凝土'!C:D,1,0),"")="","","✔")</f>
        <v/>
      </c>
      <c r="R101" s="98" t="str">
        <f>IF(IFERROR(VLOOKUP(A101,'17.景觀鋪面(一)'!C:D,1,0),"")="","","✔")</f>
        <v/>
      </c>
      <c r="S101" s="98" t="str">
        <f>IF(IFERROR(VLOOKUP(A101,'18.景觀鋪面(二)'!C:D,1,0),"")="","","✔")</f>
        <v/>
      </c>
      <c r="T101" s="98" t="str">
        <f>IF(IFERROR(VLOOKUP(A101,'19.預鑄緣石'!C:D,1,0),"")="","","✔")</f>
        <v/>
      </c>
      <c r="U101" s="98" t="str">
        <f>IF(IFERROR(VLOOKUP(A101,'20.鋼構工程吊裝'!C:D,1,0),"")="","","✔")</f>
        <v/>
      </c>
      <c r="V101" s="98" t="str">
        <f>IF(IFERROR(VLOOKUP(A101,'21.鋼構工程塗裝'!C:D,1,0),"")="","","✔")</f>
        <v/>
      </c>
      <c r="W101" s="98" t="str">
        <f>IF(IFERROR(VLOOKUP(A101,'22.排水設施(一)'!C:D,1,0),"")="","","✔")</f>
        <v/>
      </c>
      <c r="X101" s="98" t="str">
        <f>IF(IFERROR(VLOOKUP(A101,'23.排水設施(二)'!C:D,1,0),"")="","","✔")</f>
        <v/>
      </c>
      <c r="Y101" s="98" t="str">
        <f>IF(IFERROR(VLOOKUP(A101,'24.木構造'!C:D,1,0),"")="","","✔")</f>
        <v/>
      </c>
      <c r="Z101" s="98" t="str">
        <f>IF(IFERROR(VLOOKUP(A101,'25.管路'!C:D,1,0),"")="","","✔")</f>
        <v/>
      </c>
      <c r="AA101" s="98" t="str">
        <f>IF(IFERROR(VLOOKUP(A101,'26.植栽(移植)'!C:D,1,0),"")="","","✔")</f>
        <v/>
      </c>
      <c r="AB101" s="98" t="str">
        <f>IF(IFERROR(VLOOKUP(A101,'27.植栽(新植)'!C:D,1,0),"")="","","✔")</f>
        <v/>
      </c>
      <c r="AC101" s="98" t="str">
        <f>IF(IFERROR(VLOOKUP(A101,'28.照明'!C:D,1,0),"")="","","✔")</f>
        <v/>
      </c>
      <c r="AD101" s="98" t="str">
        <f>IF(IFERROR(VLOOKUP(A101,'29.既有橋梁拆除'!C:D,1,0),"")="","","✔")</f>
        <v/>
      </c>
    </row>
    <row r="102" spans="1:30" ht="21.75" customHeight="1" x14ac:dyDescent="0.25">
      <c r="A102" s="99">
        <v>45292</v>
      </c>
      <c r="B102" s="98" t="str">
        <f>IF(IFERROR(VLOOKUP(A102,'1.測量放樣'!C:D,1,0),"")="","","✔")</f>
        <v/>
      </c>
      <c r="C102" s="98" t="str">
        <f>IF(IFERROR(VLOOKUP(A102,'2.土方開挖'!C:D,1,0),"")="","","✔")</f>
        <v/>
      </c>
      <c r="D102" s="98" t="str">
        <f>IF(IFERROR(VLOOKUP(A102,'3.土方回填'!C:D,1,0),"")="","","✔")</f>
        <v/>
      </c>
      <c r="E102" s="98" t="str">
        <f>IF(IFERROR(VLOOKUP(A102,'4.鋼筋'!C:D,1,0),"")="","","✔")</f>
        <v/>
      </c>
      <c r="F102" s="98" t="str">
        <f>IF(IFERROR(VLOOKUP(A102,'5.模板'!C:D,1,0),"")="","","✔")</f>
        <v/>
      </c>
      <c r="G102" s="98" t="str">
        <f>IF(IFERROR(VLOOKUP(A102,'6.混凝土'!C:D,1,0),"")="","","✔")</f>
        <v/>
      </c>
      <c r="H102" s="98" t="str">
        <f>IF(IFERROR(VLOOKUP(A102,'7.植筋'!C:D,1,0),"")="","","✔")</f>
        <v/>
      </c>
      <c r="I102" s="98" t="str">
        <f>IF(IFERROR(VLOOKUP(A102,'8.預力混凝土基樁'!C:D,1,0),"")="","","✔")</f>
        <v/>
      </c>
      <c r="J102" s="98" t="str">
        <f>IF(IFERROR(VLOOKUP(A102,'9.砌塊石護岸'!C:D,1,0),"")="","","✔")</f>
        <v/>
      </c>
      <c r="K102" s="98" t="str">
        <f>IF(IFERROR(VLOOKUP(A102,'10.低水護岸'!C:D,1,0),"")="","","✔")</f>
        <v/>
      </c>
      <c r="L102" s="98" t="str">
        <f>IF(IFERROR(VLOOKUP(A102,'11.固床工'!C:D,1,0),"")="","","✔")</f>
        <v/>
      </c>
      <c r="M102" s="98" t="str">
        <f>IF(IFERROR(VLOOKUP(A102,'12.全套管基樁'!C:D,1,0),"")="","","✔")</f>
        <v/>
      </c>
      <c r="N102" s="98" t="str">
        <f>IF(IFERROR(VLOOKUP(A102,'13.鋼筋混凝土管工程'!C:D,1,0),"")="","","✔")</f>
        <v/>
      </c>
      <c r="O102" s="98" t="str">
        <f>IF(IFERROR(VLOOKUP(A102,'14.鋼版樁'!C:D,1,0),"")="","","✔")</f>
        <v/>
      </c>
      <c r="P102" s="98" t="str">
        <f>IF(IFERROR(VLOOKUP(A102,'15.路床 路基高程'!C:D,1,0),"")="","","✔")</f>
        <v/>
      </c>
      <c r="Q102" s="98" t="str">
        <f>IF(IFERROR(VLOOKUP(A102,'16.瀝青混凝土'!C:D,1,0),"")="","","✔")</f>
        <v/>
      </c>
      <c r="R102" s="98" t="str">
        <f>IF(IFERROR(VLOOKUP(A102,'17.景觀鋪面(一)'!C:D,1,0),"")="","","✔")</f>
        <v/>
      </c>
      <c r="S102" s="98" t="str">
        <f>IF(IFERROR(VLOOKUP(A102,'18.景觀鋪面(二)'!C:D,1,0),"")="","","✔")</f>
        <v/>
      </c>
      <c r="T102" s="98" t="str">
        <f>IF(IFERROR(VLOOKUP(A102,'19.預鑄緣石'!C:D,1,0),"")="","","✔")</f>
        <v/>
      </c>
      <c r="U102" s="98" t="str">
        <f>IF(IFERROR(VLOOKUP(A102,'20.鋼構工程吊裝'!C:D,1,0),"")="","","✔")</f>
        <v/>
      </c>
      <c r="V102" s="98" t="str">
        <f>IF(IFERROR(VLOOKUP(A102,'21.鋼構工程塗裝'!C:D,1,0),"")="","","✔")</f>
        <v/>
      </c>
      <c r="W102" s="98" t="str">
        <f>IF(IFERROR(VLOOKUP(A102,'22.排水設施(一)'!C:D,1,0),"")="","","✔")</f>
        <v/>
      </c>
      <c r="X102" s="98" t="str">
        <f>IF(IFERROR(VLOOKUP(A102,'23.排水設施(二)'!C:D,1,0),"")="","","✔")</f>
        <v/>
      </c>
      <c r="Y102" s="98" t="str">
        <f>IF(IFERROR(VLOOKUP(A102,'24.木構造'!C:D,1,0),"")="","","✔")</f>
        <v/>
      </c>
      <c r="Z102" s="98" t="str">
        <f>IF(IFERROR(VLOOKUP(A102,'25.管路'!C:D,1,0),"")="","","✔")</f>
        <v/>
      </c>
      <c r="AA102" s="98" t="str">
        <f>IF(IFERROR(VLOOKUP(A102,'26.植栽(移植)'!C:D,1,0),"")="","","✔")</f>
        <v/>
      </c>
      <c r="AB102" s="98" t="str">
        <f>IF(IFERROR(VLOOKUP(A102,'27.植栽(新植)'!C:D,1,0),"")="","","✔")</f>
        <v/>
      </c>
      <c r="AC102" s="98" t="str">
        <f>IF(IFERROR(VLOOKUP(A102,'28.照明'!C:D,1,0),"")="","","✔")</f>
        <v/>
      </c>
      <c r="AD102" s="98" t="str">
        <f>IF(IFERROR(VLOOKUP(A102,'29.既有橋梁拆除'!C:D,1,0),"")="","","✔")</f>
        <v/>
      </c>
    </row>
    <row r="103" spans="1:30" ht="21.75" customHeight="1" x14ac:dyDescent="0.25">
      <c r="A103" s="99">
        <v>45293</v>
      </c>
      <c r="B103" s="98" t="str">
        <f>IF(IFERROR(VLOOKUP(A103,'1.測量放樣'!C:D,1,0),"")="","","✔")</f>
        <v/>
      </c>
      <c r="C103" s="98" t="str">
        <f>IF(IFERROR(VLOOKUP(A103,'2.土方開挖'!C:D,1,0),"")="","","✔")</f>
        <v>✔</v>
      </c>
      <c r="D103" s="98" t="str">
        <f>IF(IFERROR(VLOOKUP(A103,'3.土方回填'!C:D,1,0),"")="","","✔")</f>
        <v/>
      </c>
      <c r="E103" s="98" t="str">
        <f>IF(IFERROR(VLOOKUP(A103,'4.鋼筋'!C:D,1,0),"")="","","✔")</f>
        <v/>
      </c>
      <c r="F103" s="98" t="str">
        <f>IF(IFERROR(VLOOKUP(A103,'5.模板'!C:D,1,0),"")="","","✔")</f>
        <v/>
      </c>
      <c r="G103" s="98" t="str">
        <f>IF(IFERROR(VLOOKUP(A103,'6.混凝土'!C:D,1,0),"")="","","✔")</f>
        <v/>
      </c>
      <c r="H103" s="98" t="str">
        <f>IF(IFERROR(VLOOKUP(A103,'7.植筋'!C:D,1,0),"")="","","✔")</f>
        <v/>
      </c>
      <c r="I103" s="98" t="str">
        <f>IF(IFERROR(VLOOKUP(A103,'8.預力混凝土基樁'!C:D,1,0),"")="","","✔")</f>
        <v/>
      </c>
      <c r="J103" s="98" t="str">
        <f>IF(IFERROR(VLOOKUP(A103,'9.砌塊石護岸'!C:D,1,0),"")="","","✔")</f>
        <v/>
      </c>
      <c r="K103" s="98" t="str">
        <f>IF(IFERROR(VLOOKUP(A103,'10.低水護岸'!C:D,1,0),"")="","","✔")</f>
        <v/>
      </c>
      <c r="L103" s="98" t="str">
        <f>IF(IFERROR(VLOOKUP(A103,'11.固床工'!C:D,1,0),"")="","","✔")</f>
        <v/>
      </c>
      <c r="M103" s="98" t="str">
        <f>IF(IFERROR(VLOOKUP(A103,'12.全套管基樁'!C:D,1,0),"")="","","✔")</f>
        <v/>
      </c>
      <c r="N103" s="98" t="str">
        <f>IF(IFERROR(VLOOKUP(A103,'13.鋼筋混凝土管工程'!C:D,1,0),"")="","","✔")</f>
        <v/>
      </c>
      <c r="O103" s="98" t="str">
        <f>IF(IFERROR(VLOOKUP(A103,'14.鋼版樁'!C:D,1,0),"")="","","✔")</f>
        <v/>
      </c>
      <c r="P103" s="98" t="str">
        <f>IF(IFERROR(VLOOKUP(A103,'15.路床 路基高程'!C:D,1,0),"")="","","✔")</f>
        <v/>
      </c>
      <c r="Q103" s="98" t="str">
        <f>IF(IFERROR(VLOOKUP(A103,'16.瀝青混凝土'!C:D,1,0),"")="","","✔")</f>
        <v/>
      </c>
      <c r="R103" s="98" t="str">
        <f>IF(IFERROR(VLOOKUP(A103,'17.景觀鋪面(一)'!C:D,1,0),"")="","","✔")</f>
        <v/>
      </c>
      <c r="S103" s="98" t="str">
        <f>IF(IFERROR(VLOOKUP(A103,'18.景觀鋪面(二)'!C:D,1,0),"")="","","✔")</f>
        <v/>
      </c>
      <c r="T103" s="98" t="str">
        <f>IF(IFERROR(VLOOKUP(A103,'19.預鑄緣石'!C:D,1,0),"")="","","✔")</f>
        <v/>
      </c>
      <c r="U103" s="98" t="str">
        <f>IF(IFERROR(VLOOKUP(A103,'20.鋼構工程吊裝'!C:D,1,0),"")="","","✔")</f>
        <v/>
      </c>
      <c r="V103" s="98" t="str">
        <f>IF(IFERROR(VLOOKUP(A103,'21.鋼構工程塗裝'!C:D,1,0),"")="","","✔")</f>
        <v/>
      </c>
      <c r="W103" s="98" t="str">
        <f>IF(IFERROR(VLOOKUP(A103,'22.排水設施(一)'!C:D,1,0),"")="","","✔")</f>
        <v/>
      </c>
      <c r="X103" s="98" t="str">
        <f>IF(IFERROR(VLOOKUP(A103,'23.排水設施(二)'!C:D,1,0),"")="","","✔")</f>
        <v/>
      </c>
      <c r="Y103" s="98" t="str">
        <f>IF(IFERROR(VLOOKUP(A103,'24.木構造'!C:D,1,0),"")="","","✔")</f>
        <v/>
      </c>
      <c r="Z103" s="98" t="str">
        <f>IF(IFERROR(VLOOKUP(A103,'25.管路'!C:D,1,0),"")="","","✔")</f>
        <v/>
      </c>
      <c r="AA103" s="98" t="str">
        <f>IF(IFERROR(VLOOKUP(A103,'26.植栽(移植)'!C:D,1,0),"")="","","✔")</f>
        <v/>
      </c>
      <c r="AB103" s="98" t="str">
        <f>IF(IFERROR(VLOOKUP(A103,'27.植栽(新植)'!C:D,1,0),"")="","","✔")</f>
        <v/>
      </c>
      <c r="AC103" s="98" t="str">
        <f>IF(IFERROR(VLOOKUP(A103,'28.照明'!C:D,1,0),"")="","","✔")</f>
        <v/>
      </c>
      <c r="AD103" s="98" t="str">
        <f>IF(IFERROR(VLOOKUP(A103,'29.既有橋梁拆除'!C:D,1,0),"")="","","✔")</f>
        <v/>
      </c>
    </row>
    <row r="104" spans="1:30" ht="21.75" customHeight="1" x14ac:dyDescent="0.25">
      <c r="A104" s="99">
        <v>45294</v>
      </c>
      <c r="B104" s="98" t="str">
        <f>IF(IFERROR(VLOOKUP(A104,'1.測量放樣'!C:D,1,0),"")="","","✔")</f>
        <v/>
      </c>
      <c r="C104" s="98" t="str">
        <f>IF(IFERROR(VLOOKUP(A104,'2.土方開挖'!C:D,1,0),"")="","","✔")</f>
        <v>✔</v>
      </c>
      <c r="D104" s="98" t="str">
        <f>IF(IFERROR(VLOOKUP(A104,'3.土方回填'!C:D,1,0),"")="","","✔")</f>
        <v/>
      </c>
      <c r="E104" s="98" t="str">
        <f>IF(IFERROR(VLOOKUP(A104,'4.鋼筋'!C:D,1,0),"")="","","✔")</f>
        <v/>
      </c>
      <c r="F104" s="98" t="str">
        <f>IF(IFERROR(VLOOKUP(A104,'5.模板'!C:D,1,0),"")="","","✔")</f>
        <v/>
      </c>
      <c r="G104" s="98" t="str">
        <f>IF(IFERROR(VLOOKUP(A104,'6.混凝土'!C:D,1,0),"")="","","✔")</f>
        <v/>
      </c>
      <c r="H104" s="98" t="str">
        <f>IF(IFERROR(VLOOKUP(A104,'7.植筋'!C:D,1,0),"")="","","✔")</f>
        <v/>
      </c>
      <c r="I104" s="98" t="str">
        <f>IF(IFERROR(VLOOKUP(A104,'8.預力混凝土基樁'!C:D,1,0),"")="","","✔")</f>
        <v/>
      </c>
      <c r="J104" s="98" t="str">
        <f>IF(IFERROR(VLOOKUP(A104,'9.砌塊石護岸'!C:D,1,0),"")="","","✔")</f>
        <v/>
      </c>
      <c r="K104" s="98" t="str">
        <f>IF(IFERROR(VLOOKUP(A104,'10.低水護岸'!C:D,1,0),"")="","","✔")</f>
        <v/>
      </c>
      <c r="L104" s="98" t="str">
        <f>IF(IFERROR(VLOOKUP(A104,'11.固床工'!C:D,1,0),"")="","","✔")</f>
        <v/>
      </c>
      <c r="M104" s="98" t="str">
        <f>IF(IFERROR(VLOOKUP(A104,'12.全套管基樁'!C:D,1,0),"")="","","✔")</f>
        <v/>
      </c>
      <c r="N104" s="98" t="str">
        <f>IF(IFERROR(VLOOKUP(A104,'13.鋼筋混凝土管工程'!C:D,1,0),"")="","","✔")</f>
        <v/>
      </c>
      <c r="O104" s="98" t="str">
        <f>IF(IFERROR(VLOOKUP(A104,'14.鋼版樁'!C:D,1,0),"")="","","✔")</f>
        <v/>
      </c>
      <c r="P104" s="98" t="str">
        <f>IF(IFERROR(VLOOKUP(A104,'15.路床 路基高程'!C:D,1,0),"")="","","✔")</f>
        <v/>
      </c>
      <c r="Q104" s="98" t="str">
        <f>IF(IFERROR(VLOOKUP(A104,'16.瀝青混凝土'!C:D,1,0),"")="","","✔")</f>
        <v/>
      </c>
      <c r="R104" s="98" t="str">
        <f>IF(IFERROR(VLOOKUP(A104,'17.景觀鋪面(一)'!C:D,1,0),"")="","","✔")</f>
        <v/>
      </c>
      <c r="S104" s="98" t="str">
        <f>IF(IFERROR(VLOOKUP(A104,'18.景觀鋪面(二)'!C:D,1,0),"")="","","✔")</f>
        <v/>
      </c>
      <c r="T104" s="98" t="str">
        <f>IF(IFERROR(VLOOKUP(A104,'19.預鑄緣石'!C:D,1,0),"")="","","✔")</f>
        <v/>
      </c>
      <c r="U104" s="98" t="str">
        <f>IF(IFERROR(VLOOKUP(A104,'20.鋼構工程吊裝'!C:D,1,0),"")="","","✔")</f>
        <v/>
      </c>
      <c r="V104" s="98" t="str">
        <f>IF(IFERROR(VLOOKUP(A104,'21.鋼構工程塗裝'!C:D,1,0),"")="","","✔")</f>
        <v/>
      </c>
      <c r="W104" s="98" t="str">
        <f>IF(IFERROR(VLOOKUP(A104,'22.排水設施(一)'!C:D,1,0),"")="","","✔")</f>
        <v/>
      </c>
      <c r="X104" s="98" t="str">
        <f>IF(IFERROR(VLOOKUP(A104,'23.排水設施(二)'!C:D,1,0),"")="","","✔")</f>
        <v/>
      </c>
      <c r="Y104" s="98" t="str">
        <f>IF(IFERROR(VLOOKUP(A104,'24.木構造'!C:D,1,0),"")="","","✔")</f>
        <v/>
      </c>
      <c r="Z104" s="98" t="str">
        <f>IF(IFERROR(VLOOKUP(A104,'25.管路'!C:D,1,0),"")="","","✔")</f>
        <v/>
      </c>
      <c r="AA104" s="98" t="str">
        <f>IF(IFERROR(VLOOKUP(A104,'26.植栽(移植)'!C:D,1,0),"")="","","✔")</f>
        <v/>
      </c>
      <c r="AB104" s="98" t="str">
        <f>IF(IFERROR(VLOOKUP(A104,'27.植栽(新植)'!C:D,1,0),"")="","","✔")</f>
        <v/>
      </c>
      <c r="AC104" s="98" t="str">
        <f>IF(IFERROR(VLOOKUP(A104,'28.照明'!C:D,1,0),"")="","","✔")</f>
        <v/>
      </c>
      <c r="AD104" s="98" t="str">
        <f>IF(IFERROR(VLOOKUP(A104,'29.既有橋梁拆除'!C:D,1,0),"")="","","✔")</f>
        <v/>
      </c>
    </row>
    <row r="105" spans="1:30" ht="21.75" customHeight="1" x14ac:dyDescent="0.25">
      <c r="A105" s="99">
        <v>45295</v>
      </c>
      <c r="B105" s="98" t="str">
        <f>IF(IFERROR(VLOOKUP(A105,'1.測量放樣'!C:D,1,0),"")="","","✔")</f>
        <v/>
      </c>
      <c r="C105" s="98" t="str">
        <f>IF(IFERROR(VLOOKUP(A105,'2.土方開挖'!C:D,1,0),"")="","","✔")</f>
        <v>✔</v>
      </c>
      <c r="D105" s="98" t="str">
        <f>IF(IFERROR(VLOOKUP(A105,'3.土方回填'!C:D,1,0),"")="","","✔")</f>
        <v/>
      </c>
      <c r="E105" s="98" t="str">
        <f>IF(IFERROR(VLOOKUP(A105,'4.鋼筋'!C:D,1,0),"")="","","✔")</f>
        <v/>
      </c>
      <c r="F105" s="98" t="str">
        <f>IF(IFERROR(VLOOKUP(A105,'5.模板'!C:D,1,0),"")="","","✔")</f>
        <v/>
      </c>
      <c r="G105" s="98" t="str">
        <f>IF(IFERROR(VLOOKUP(A105,'6.混凝土'!C:D,1,0),"")="","","✔")</f>
        <v/>
      </c>
      <c r="H105" s="98" t="str">
        <f>IF(IFERROR(VLOOKUP(A105,'7.植筋'!C:D,1,0),"")="","","✔")</f>
        <v/>
      </c>
      <c r="I105" s="98" t="str">
        <f>IF(IFERROR(VLOOKUP(A105,'8.預力混凝土基樁'!C:D,1,0),"")="","","✔")</f>
        <v/>
      </c>
      <c r="J105" s="98" t="str">
        <f>IF(IFERROR(VLOOKUP(A105,'9.砌塊石護岸'!C:D,1,0),"")="","","✔")</f>
        <v/>
      </c>
      <c r="K105" s="98" t="str">
        <f>IF(IFERROR(VLOOKUP(A105,'10.低水護岸'!C:D,1,0),"")="","","✔")</f>
        <v/>
      </c>
      <c r="L105" s="98" t="str">
        <f>IF(IFERROR(VLOOKUP(A105,'11.固床工'!C:D,1,0),"")="","","✔")</f>
        <v/>
      </c>
      <c r="M105" s="98" t="str">
        <f>IF(IFERROR(VLOOKUP(A105,'12.全套管基樁'!C:D,1,0),"")="","","✔")</f>
        <v/>
      </c>
      <c r="N105" s="98" t="str">
        <f>IF(IFERROR(VLOOKUP(A105,'13.鋼筋混凝土管工程'!C:D,1,0),"")="","","✔")</f>
        <v/>
      </c>
      <c r="O105" s="98" t="str">
        <f>IF(IFERROR(VLOOKUP(A105,'14.鋼版樁'!C:D,1,0),"")="","","✔")</f>
        <v/>
      </c>
      <c r="P105" s="98" t="str">
        <f>IF(IFERROR(VLOOKUP(A105,'15.路床 路基高程'!C:D,1,0),"")="","","✔")</f>
        <v/>
      </c>
      <c r="Q105" s="98" t="str">
        <f>IF(IFERROR(VLOOKUP(A105,'16.瀝青混凝土'!C:D,1,0),"")="","","✔")</f>
        <v/>
      </c>
      <c r="R105" s="98" t="str">
        <f>IF(IFERROR(VLOOKUP(A105,'17.景觀鋪面(一)'!C:D,1,0),"")="","","✔")</f>
        <v/>
      </c>
      <c r="S105" s="98" t="str">
        <f>IF(IFERROR(VLOOKUP(A105,'18.景觀鋪面(二)'!C:D,1,0),"")="","","✔")</f>
        <v/>
      </c>
      <c r="T105" s="98" t="str">
        <f>IF(IFERROR(VLOOKUP(A105,'19.預鑄緣石'!C:D,1,0),"")="","","✔")</f>
        <v/>
      </c>
      <c r="U105" s="98" t="str">
        <f>IF(IFERROR(VLOOKUP(A105,'20.鋼構工程吊裝'!C:D,1,0),"")="","","✔")</f>
        <v/>
      </c>
      <c r="V105" s="98" t="str">
        <f>IF(IFERROR(VLOOKUP(A105,'21.鋼構工程塗裝'!C:D,1,0),"")="","","✔")</f>
        <v/>
      </c>
      <c r="W105" s="98" t="str">
        <f>IF(IFERROR(VLOOKUP(A105,'22.排水設施(一)'!C:D,1,0),"")="","","✔")</f>
        <v/>
      </c>
      <c r="X105" s="98" t="str">
        <f>IF(IFERROR(VLOOKUP(A105,'23.排水設施(二)'!C:D,1,0),"")="","","✔")</f>
        <v/>
      </c>
      <c r="Y105" s="98" t="str">
        <f>IF(IFERROR(VLOOKUP(A105,'24.木構造'!C:D,1,0),"")="","","✔")</f>
        <v/>
      </c>
      <c r="Z105" s="98" t="str">
        <f>IF(IFERROR(VLOOKUP(A105,'25.管路'!C:D,1,0),"")="","","✔")</f>
        <v/>
      </c>
      <c r="AA105" s="98" t="str">
        <f>IF(IFERROR(VLOOKUP(A105,'26.植栽(移植)'!C:D,1,0),"")="","","✔")</f>
        <v/>
      </c>
      <c r="AB105" s="98" t="str">
        <f>IF(IFERROR(VLOOKUP(A105,'27.植栽(新植)'!C:D,1,0),"")="","","✔")</f>
        <v/>
      </c>
      <c r="AC105" s="98" t="str">
        <f>IF(IFERROR(VLOOKUP(A105,'28.照明'!C:D,1,0),"")="","","✔")</f>
        <v/>
      </c>
      <c r="AD105" s="98" t="str">
        <f>IF(IFERROR(VLOOKUP(A105,'29.既有橋梁拆除'!C:D,1,0),"")="","","✔")</f>
        <v/>
      </c>
    </row>
    <row r="106" spans="1:30" ht="21.75" customHeight="1" x14ac:dyDescent="0.25">
      <c r="A106" s="99">
        <v>45296</v>
      </c>
      <c r="B106" s="98" t="str">
        <f>IF(IFERROR(VLOOKUP(A106,'1.測量放樣'!C:D,1,0),"")="","","✔")</f>
        <v/>
      </c>
      <c r="C106" s="98" t="str">
        <f>IF(IFERROR(VLOOKUP(A106,'2.土方開挖'!C:D,1,0),"")="","","✔")</f>
        <v/>
      </c>
      <c r="D106" s="98" t="str">
        <f>IF(IFERROR(VLOOKUP(A106,'3.土方回填'!C:D,1,0),"")="","","✔")</f>
        <v/>
      </c>
      <c r="E106" s="98" t="str">
        <f>IF(IFERROR(VLOOKUP(A106,'4.鋼筋'!C:D,1,0),"")="","","✔")</f>
        <v/>
      </c>
      <c r="F106" s="98" t="str">
        <f>IF(IFERROR(VLOOKUP(A106,'5.模板'!C:D,1,0),"")="","","✔")</f>
        <v/>
      </c>
      <c r="G106" s="98" t="str">
        <f>IF(IFERROR(VLOOKUP(A106,'6.混凝土'!C:D,1,0),"")="","","✔")</f>
        <v>✔</v>
      </c>
      <c r="H106" s="98" t="str">
        <f>IF(IFERROR(VLOOKUP(A106,'7.植筋'!C:D,1,0),"")="","","✔")</f>
        <v/>
      </c>
      <c r="I106" s="98" t="str">
        <f>IF(IFERROR(VLOOKUP(A106,'8.預力混凝土基樁'!C:D,1,0),"")="","","✔")</f>
        <v/>
      </c>
      <c r="J106" s="98" t="str">
        <f>IF(IFERROR(VLOOKUP(A106,'9.砌塊石護岸'!C:D,1,0),"")="","","✔")</f>
        <v/>
      </c>
      <c r="K106" s="98" t="str">
        <f>IF(IFERROR(VLOOKUP(A106,'10.低水護岸'!C:D,1,0),"")="","","✔")</f>
        <v/>
      </c>
      <c r="L106" s="98" t="str">
        <f>IF(IFERROR(VLOOKUP(A106,'11.固床工'!C:D,1,0),"")="","","✔")</f>
        <v/>
      </c>
      <c r="M106" s="98" t="str">
        <f>IF(IFERROR(VLOOKUP(A106,'12.全套管基樁'!C:D,1,0),"")="","","✔")</f>
        <v>✔</v>
      </c>
      <c r="N106" s="98" t="str">
        <f>IF(IFERROR(VLOOKUP(A106,'13.鋼筋混凝土管工程'!C:D,1,0),"")="","","✔")</f>
        <v/>
      </c>
      <c r="O106" s="98" t="str">
        <f>IF(IFERROR(VLOOKUP(A106,'14.鋼版樁'!C:D,1,0),"")="","","✔")</f>
        <v/>
      </c>
      <c r="P106" s="98" t="str">
        <f>IF(IFERROR(VLOOKUP(A106,'15.路床 路基高程'!C:D,1,0),"")="","","✔")</f>
        <v/>
      </c>
      <c r="Q106" s="98" t="str">
        <f>IF(IFERROR(VLOOKUP(A106,'16.瀝青混凝土'!C:D,1,0),"")="","","✔")</f>
        <v/>
      </c>
      <c r="R106" s="98" t="str">
        <f>IF(IFERROR(VLOOKUP(A106,'17.景觀鋪面(一)'!C:D,1,0),"")="","","✔")</f>
        <v/>
      </c>
      <c r="S106" s="98" t="str">
        <f>IF(IFERROR(VLOOKUP(A106,'18.景觀鋪面(二)'!C:D,1,0),"")="","","✔")</f>
        <v/>
      </c>
      <c r="T106" s="98" t="str">
        <f>IF(IFERROR(VLOOKUP(A106,'19.預鑄緣石'!C:D,1,0),"")="","","✔")</f>
        <v/>
      </c>
      <c r="U106" s="98" t="str">
        <f>IF(IFERROR(VLOOKUP(A106,'20.鋼構工程吊裝'!C:D,1,0),"")="","","✔")</f>
        <v/>
      </c>
      <c r="V106" s="98" t="str">
        <f>IF(IFERROR(VLOOKUP(A106,'21.鋼構工程塗裝'!C:D,1,0),"")="","","✔")</f>
        <v/>
      </c>
      <c r="W106" s="98" t="str">
        <f>IF(IFERROR(VLOOKUP(A106,'22.排水設施(一)'!C:D,1,0),"")="","","✔")</f>
        <v/>
      </c>
      <c r="X106" s="98" t="str">
        <f>IF(IFERROR(VLOOKUP(A106,'23.排水設施(二)'!C:D,1,0),"")="","","✔")</f>
        <v/>
      </c>
      <c r="Y106" s="98" t="str">
        <f>IF(IFERROR(VLOOKUP(A106,'24.木構造'!C:D,1,0),"")="","","✔")</f>
        <v/>
      </c>
      <c r="Z106" s="98" t="str">
        <f>IF(IFERROR(VLOOKUP(A106,'25.管路'!C:D,1,0),"")="","","✔")</f>
        <v/>
      </c>
      <c r="AA106" s="98" t="str">
        <f>IF(IFERROR(VLOOKUP(A106,'26.植栽(移植)'!C:D,1,0),"")="","","✔")</f>
        <v/>
      </c>
      <c r="AB106" s="98" t="str">
        <f>IF(IFERROR(VLOOKUP(A106,'27.植栽(新植)'!C:D,1,0),"")="","","✔")</f>
        <v/>
      </c>
      <c r="AC106" s="98" t="str">
        <f>IF(IFERROR(VLOOKUP(A106,'28.照明'!C:D,1,0),"")="","","✔")</f>
        <v/>
      </c>
      <c r="AD106" s="98" t="str">
        <f>IF(IFERROR(VLOOKUP(A106,'29.既有橋梁拆除'!C:D,1,0),"")="","","✔")</f>
        <v/>
      </c>
    </row>
    <row r="107" spans="1:30" ht="21.75" customHeight="1" x14ac:dyDescent="0.25">
      <c r="A107" s="99">
        <v>45297</v>
      </c>
      <c r="B107" s="98" t="str">
        <f>IF(IFERROR(VLOOKUP(A107,'1.測量放樣'!C:D,1,0),"")="","","✔")</f>
        <v>✔</v>
      </c>
      <c r="C107" s="98" t="str">
        <f>IF(IFERROR(VLOOKUP(A107,'2.土方開挖'!C:D,1,0),"")="","","✔")</f>
        <v/>
      </c>
      <c r="D107" s="98" t="str">
        <f>IF(IFERROR(VLOOKUP(A107,'3.土方回填'!C:D,1,0),"")="","","✔")</f>
        <v/>
      </c>
      <c r="E107" s="98" t="str">
        <f>IF(IFERROR(VLOOKUP(A107,'4.鋼筋'!C:D,1,0),"")="","","✔")</f>
        <v/>
      </c>
      <c r="F107" s="98" t="str">
        <f>IF(IFERROR(VLOOKUP(A107,'5.模板'!C:D,1,0),"")="","","✔")</f>
        <v/>
      </c>
      <c r="G107" s="98" t="str">
        <f>IF(IFERROR(VLOOKUP(A107,'6.混凝土'!C:D,1,0),"")="","","✔")</f>
        <v/>
      </c>
      <c r="H107" s="98" t="str">
        <f>IF(IFERROR(VLOOKUP(A107,'7.植筋'!C:D,1,0),"")="","","✔")</f>
        <v/>
      </c>
      <c r="I107" s="98" t="str">
        <f>IF(IFERROR(VLOOKUP(A107,'8.預力混凝土基樁'!C:D,1,0),"")="","","✔")</f>
        <v/>
      </c>
      <c r="J107" s="98" t="str">
        <f>IF(IFERROR(VLOOKUP(A107,'9.砌塊石護岸'!C:D,1,0),"")="","","✔")</f>
        <v/>
      </c>
      <c r="K107" s="98" t="str">
        <f>IF(IFERROR(VLOOKUP(A107,'10.低水護岸'!C:D,1,0),"")="","","✔")</f>
        <v/>
      </c>
      <c r="L107" s="98" t="str">
        <f>IF(IFERROR(VLOOKUP(A107,'11.固床工'!C:D,1,0),"")="","","✔")</f>
        <v/>
      </c>
      <c r="M107" s="98" t="str">
        <f>IF(IFERROR(VLOOKUP(A107,'12.全套管基樁'!C:D,1,0),"")="","","✔")</f>
        <v/>
      </c>
      <c r="N107" s="98" t="str">
        <f>IF(IFERROR(VLOOKUP(A107,'13.鋼筋混凝土管工程'!C:D,1,0),"")="","","✔")</f>
        <v/>
      </c>
      <c r="O107" s="98" t="str">
        <f>IF(IFERROR(VLOOKUP(A107,'14.鋼版樁'!C:D,1,0),"")="","","✔")</f>
        <v/>
      </c>
      <c r="P107" s="98" t="str">
        <f>IF(IFERROR(VLOOKUP(A107,'15.路床 路基高程'!C:D,1,0),"")="","","✔")</f>
        <v/>
      </c>
      <c r="Q107" s="98" t="str">
        <f>IF(IFERROR(VLOOKUP(A107,'16.瀝青混凝土'!C:D,1,0),"")="","","✔")</f>
        <v/>
      </c>
      <c r="R107" s="98" t="str">
        <f>IF(IFERROR(VLOOKUP(A107,'17.景觀鋪面(一)'!C:D,1,0),"")="","","✔")</f>
        <v/>
      </c>
      <c r="S107" s="98" t="str">
        <f>IF(IFERROR(VLOOKUP(A107,'18.景觀鋪面(二)'!C:D,1,0),"")="","","✔")</f>
        <v/>
      </c>
      <c r="T107" s="98" t="str">
        <f>IF(IFERROR(VLOOKUP(A107,'19.預鑄緣石'!C:D,1,0),"")="","","✔")</f>
        <v/>
      </c>
      <c r="U107" s="98" t="str">
        <f>IF(IFERROR(VLOOKUP(A107,'20.鋼構工程吊裝'!C:D,1,0),"")="","","✔")</f>
        <v/>
      </c>
      <c r="V107" s="98" t="str">
        <f>IF(IFERROR(VLOOKUP(A107,'21.鋼構工程塗裝'!C:D,1,0),"")="","","✔")</f>
        <v/>
      </c>
      <c r="W107" s="98" t="str">
        <f>IF(IFERROR(VLOOKUP(A107,'22.排水設施(一)'!C:D,1,0),"")="","","✔")</f>
        <v/>
      </c>
      <c r="X107" s="98" t="str">
        <f>IF(IFERROR(VLOOKUP(A107,'23.排水設施(二)'!C:D,1,0),"")="","","✔")</f>
        <v/>
      </c>
      <c r="Y107" s="98" t="str">
        <f>IF(IFERROR(VLOOKUP(A107,'24.木構造'!C:D,1,0),"")="","","✔")</f>
        <v/>
      </c>
      <c r="Z107" s="98" t="str">
        <f>IF(IFERROR(VLOOKUP(A107,'25.管路'!C:D,1,0),"")="","","✔")</f>
        <v/>
      </c>
      <c r="AA107" s="98" t="str">
        <f>IF(IFERROR(VLOOKUP(A107,'26.植栽(移植)'!C:D,1,0),"")="","","✔")</f>
        <v/>
      </c>
      <c r="AB107" s="98" t="str">
        <f>IF(IFERROR(VLOOKUP(A107,'27.植栽(新植)'!C:D,1,0),"")="","","✔")</f>
        <v/>
      </c>
      <c r="AC107" s="98" t="str">
        <f>IF(IFERROR(VLOOKUP(A107,'28.照明'!C:D,1,0),"")="","","✔")</f>
        <v/>
      </c>
      <c r="AD107" s="98" t="str">
        <f>IF(IFERROR(VLOOKUP(A107,'29.既有橋梁拆除'!C:D,1,0),"")="","","✔")</f>
        <v/>
      </c>
    </row>
    <row r="108" spans="1:30" ht="21.75" customHeight="1" x14ac:dyDescent="0.25">
      <c r="A108" s="99">
        <v>45298</v>
      </c>
      <c r="B108" s="98" t="str">
        <f>IF(IFERROR(VLOOKUP(A108,'1.測量放樣'!C:D,1,0),"")="","","✔")</f>
        <v/>
      </c>
      <c r="C108" s="98" t="str">
        <f>IF(IFERROR(VLOOKUP(A108,'2.土方開挖'!C:D,1,0),"")="","","✔")</f>
        <v/>
      </c>
      <c r="D108" s="98" t="str">
        <f>IF(IFERROR(VLOOKUP(A108,'3.土方回填'!C:D,1,0),"")="","","✔")</f>
        <v/>
      </c>
      <c r="E108" s="98" t="str">
        <f>IF(IFERROR(VLOOKUP(A108,'4.鋼筋'!C:D,1,0),"")="","","✔")</f>
        <v/>
      </c>
      <c r="F108" s="98" t="str">
        <f>IF(IFERROR(VLOOKUP(A108,'5.模板'!C:D,1,0),"")="","","✔")</f>
        <v/>
      </c>
      <c r="G108" s="98" t="str">
        <f>IF(IFERROR(VLOOKUP(A108,'6.混凝土'!C:D,1,0),"")="","","✔")</f>
        <v/>
      </c>
      <c r="H108" s="98" t="str">
        <f>IF(IFERROR(VLOOKUP(A108,'7.植筋'!C:D,1,0),"")="","","✔")</f>
        <v/>
      </c>
      <c r="I108" s="98" t="str">
        <f>IF(IFERROR(VLOOKUP(A108,'8.預力混凝土基樁'!C:D,1,0),"")="","","✔")</f>
        <v/>
      </c>
      <c r="J108" s="98" t="str">
        <f>IF(IFERROR(VLOOKUP(A108,'9.砌塊石護岸'!C:D,1,0),"")="","","✔")</f>
        <v/>
      </c>
      <c r="K108" s="98" t="str">
        <f>IF(IFERROR(VLOOKUP(A108,'10.低水護岸'!C:D,1,0),"")="","","✔")</f>
        <v/>
      </c>
      <c r="L108" s="98" t="str">
        <f>IF(IFERROR(VLOOKUP(A108,'11.固床工'!C:D,1,0),"")="","","✔")</f>
        <v/>
      </c>
      <c r="M108" s="98" t="str">
        <f>IF(IFERROR(VLOOKUP(A108,'12.全套管基樁'!C:D,1,0),"")="","","✔")</f>
        <v/>
      </c>
      <c r="N108" s="98" t="str">
        <f>IF(IFERROR(VLOOKUP(A108,'13.鋼筋混凝土管工程'!C:D,1,0),"")="","","✔")</f>
        <v/>
      </c>
      <c r="O108" s="98" t="str">
        <f>IF(IFERROR(VLOOKUP(A108,'14.鋼版樁'!C:D,1,0),"")="","","✔")</f>
        <v/>
      </c>
      <c r="P108" s="98" t="str">
        <f>IF(IFERROR(VLOOKUP(A108,'15.路床 路基高程'!C:D,1,0),"")="","","✔")</f>
        <v/>
      </c>
      <c r="Q108" s="98" t="str">
        <f>IF(IFERROR(VLOOKUP(A108,'16.瀝青混凝土'!C:D,1,0),"")="","","✔")</f>
        <v/>
      </c>
      <c r="R108" s="98" t="str">
        <f>IF(IFERROR(VLOOKUP(A108,'17.景觀鋪面(一)'!C:D,1,0),"")="","","✔")</f>
        <v/>
      </c>
      <c r="S108" s="98" t="str">
        <f>IF(IFERROR(VLOOKUP(A108,'18.景觀鋪面(二)'!C:D,1,0),"")="","","✔")</f>
        <v/>
      </c>
      <c r="T108" s="98" t="str">
        <f>IF(IFERROR(VLOOKUP(A108,'19.預鑄緣石'!C:D,1,0),"")="","","✔")</f>
        <v/>
      </c>
      <c r="U108" s="98" t="str">
        <f>IF(IFERROR(VLOOKUP(A108,'20.鋼構工程吊裝'!C:D,1,0),"")="","","✔")</f>
        <v/>
      </c>
      <c r="V108" s="98" t="str">
        <f>IF(IFERROR(VLOOKUP(A108,'21.鋼構工程塗裝'!C:D,1,0),"")="","","✔")</f>
        <v/>
      </c>
      <c r="W108" s="98" t="str">
        <f>IF(IFERROR(VLOOKUP(A108,'22.排水設施(一)'!C:D,1,0),"")="","","✔")</f>
        <v/>
      </c>
      <c r="X108" s="98" t="str">
        <f>IF(IFERROR(VLOOKUP(A108,'23.排水設施(二)'!C:D,1,0),"")="","","✔")</f>
        <v/>
      </c>
      <c r="Y108" s="98" t="str">
        <f>IF(IFERROR(VLOOKUP(A108,'24.木構造'!C:D,1,0),"")="","","✔")</f>
        <v/>
      </c>
      <c r="Z108" s="98" t="str">
        <f>IF(IFERROR(VLOOKUP(A108,'25.管路'!C:D,1,0),"")="","","✔")</f>
        <v/>
      </c>
      <c r="AA108" s="98" t="str">
        <f>IF(IFERROR(VLOOKUP(A108,'26.植栽(移植)'!C:D,1,0),"")="","","✔")</f>
        <v/>
      </c>
      <c r="AB108" s="98" t="str">
        <f>IF(IFERROR(VLOOKUP(A108,'27.植栽(新植)'!C:D,1,0),"")="","","✔")</f>
        <v/>
      </c>
      <c r="AC108" s="98" t="str">
        <f>IF(IFERROR(VLOOKUP(A108,'28.照明'!C:D,1,0),"")="","","✔")</f>
        <v/>
      </c>
      <c r="AD108" s="98" t="str">
        <f>IF(IFERROR(VLOOKUP(A108,'29.既有橋梁拆除'!C:D,1,0),"")="","","✔")</f>
        <v/>
      </c>
    </row>
    <row r="109" spans="1:30" ht="21.75" customHeight="1" x14ac:dyDescent="0.25">
      <c r="A109" s="99">
        <v>45299</v>
      </c>
      <c r="B109" s="98" t="str">
        <f>IF(IFERROR(VLOOKUP(A109,'1.測量放樣'!C:D,1,0),"")="","","✔")</f>
        <v/>
      </c>
      <c r="C109" s="98" t="str">
        <f>IF(IFERROR(VLOOKUP(A109,'2.土方開挖'!C:D,1,0),"")="","","✔")</f>
        <v/>
      </c>
      <c r="D109" s="98" t="str">
        <f>IF(IFERROR(VLOOKUP(A109,'3.土方回填'!C:D,1,0),"")="","","✔")</f>
        <v/>
      </c>
      <c r="E109" s="98" t="str">
        <f>IF(IFERROR(VLOOKUP(A109,'4.鋼筋'!C:D,1,0),"")="","","✔")</f>
        <v>✔</v>
      </c>
      <c r="F109" s="98" t="str">
        <f>IF(IFERROR(VLOOKUP(A109,'5.模板'!C:D,1,0),"")="","","✔")</f>
        <v/>
      </c>
      <c r="G109" s="98" t="str">
        <f>IF(IFERROR(VLOOKUP(A109,'6.混凝土'!C:D,1,0),"")="","","✔")</f>
        <v/>
      </c>
      <c r="H109" s="98" t="str">
        <f>IF(IFERROR(VLOOKUP(A109,'7.植筋'!C:D,1,0),"")="","","✔")</f>
        <v/>
      </c>
      <c r="I109" s="98" t="str">
        <f>IF(IFERROR(VLOOKUP(A109,'8.預力混凝土基樁'!C:D,1,0),"")="","","✔")</f>
        <v/>
      </c>
      <c r="J109" s="98" t="str">
        <f>IF(IFERROR(VLOOKUP(A109,'9.砌塊石護岸'!C:D,1,0),"")="","","✔")</f>
        <v/>
      </c>
      <c r="K109" s="98" t="str">
        <f>IF(IFERROR(VLOOKUP(A109,'10.低水護岸'!C:D,1,0),"")="","","✔")</f>
        <v/>
      </c>
      <c r="L109" s="98" t="str">
        <f>IF(IFERROR(VLOOKUP(A109,'11.固床工'!C:D,1,0),"")="","","✔")</f>
        <v/>
      </c>
      <c r="M109" s="98" t="str">
        <f>IF(IFERROR(VLOOKUP(A109,'12.全套管基樁'!C:D,1,0),"")="","","✔")</f>
        <v/>
      </c>
      <c r="N109" s="98" t="str">
        <f>IF(IFERROR(VLOOKUP(A109,'13.鋼筋混凝土管工程'!C:D,1,0),"")="","","✔")</f>
        <v/>
      </c>
      <c r="O109" s="98" t="str">
        <f>IF(IFERROR(VLOOKUP(A109,'14.鋼版樁'!C:D,1,0),"")="","","✔")</f>
        <v/>
      </c>
      <c r="P109" s="98" t="str">
        <f>IF(IFERROR(VLOOKUP(A109,'15.路床 路基高程'!C:D,1,0),"")="","","✔")</f>
        <v/>
      </c>
      <c r="Q109" s="98" t="str">
        <f>IF(IFERROR(VLOOKUP(A109,'16.瀝青混凝土'!C:D,1,0),"")="","","✔")</f>
        <v/>
      </c>
      <c r="R109" s="98" t="str">
        <f>IF(IFERROR(VLOOKUP(A109,'17.景觀鋪面(一)'!C:D,1,0),"")="","","✔")</f>
        <v/>
      </c>
      <c r="S109" s="98" t="str">
        <f>IF(IFERROR(VLOOKUP(A109,'18.景觀鋪面(二)'!C:D,1,0),"")="","","✔")</f>
        <v/>
      </c>
      <c r="T109" s="98" t="str">
        <f>IF(IFERROR(VLOOKUP(A109,'19.預鑄緣石'!C:D,1,0),"")="","","✔")</f>
        <v/>
      </c>
      <c r="U109" s="98" t="str">
        <f>IF(IFERROR(VLOOKUP(A109,'20.鋼構工程吊裝'!C:D,1,0),"")="","","✔")</f>
        <v/>
      </c>
      <c r="V109" s="98" t="str">
        <f>IF(IFERROR(VLOOKUP(A109,'21.鋼構工程塗裝'!C:D,1,0),"")="","","✔")</f>
        <v/>
      </c>
      <c r="W109" s="98" t="str">
        <f>IF(IFERROR(VLOOKUP(A109,'22.排水設施(一)'!C:D,1,0),"")="","","✔")</f>
        <v/>
      </c>
      <c r="X109" s="98" t="str">
        <f>IF(IFERROR(VLOOKUP(A109,'23.排水設施(二)'!C:D,1,0),"")="","","✔")</f>
        <v/>
      </c>
      <c r="Y109" s="98" t="str">
        <f>IF(IFERROR(VLOOKUP(A109,'24.木構造'!C:D,1,0),"")="","","✔")</f>
        <v/>
      </c>
      <c r="Z109" s="98" t="str">
        <f>IF(IFERROR(VLOOKUP(A109,'25.管路'!C:D,1,0),"")="","","✔")</f>
        <v/>
      </c>
      <c r="AA109" s="98" t="str">
        <f>IF(IFERROR(VLOOKUP(A109,'26.植栽(移植)'!C:D,1,0),"")="","","✔")</f>
        <v/>
      </c>
      <c r="AB109" s="98" t="str">
        <f>IF(IFERROR(VLOOKUP(A109,'27.植栽(新植)'!C:D,1,0),"")="","","✔")</f>
        <v/>
      </c>
      <c r="AC109" s="98" t="str">
        <f>IF(IFERROR(VLOOKUP(A109,'28.照明'!C:D,1,0),"")="","","✔")</f>
        <v/>
      </c>
      <c r="AD109" s="98" t="str">
        <f>IF(IFERROR(VLOOKUP(A109,'29.既有橋梁拆除'!C:D,1,0),"")="","","✔")</f>
        <v/>
      </c>
    </row>
    <row r="110" spans="1:30" ht="21.75" customHeight="1" x14ac:dyDescent="0.25">
      <c r="A110" s="99">
        <v>45300</v>
      </c>
      <c r="B110" s="98" t="str">
        <f>IF(IFERROR(VLOOKUP(A110,'1.測量放樣'!C:D,1,0),"")="","","✔")</f>
        <v/>
      </c>
      <c r="C110" s="98" t="str">
        <f>IF(IFERROR(VLOOKUP(A110,'2.土方開挖'!C:D,1,0),"")="","","✔")</f>
        <v/>
      </c>
      <c r="D110" s="98" t="str">
        <f>IF(IFERROR(VLOOKUP(A110,'3.土方回填'!C:D,1,0),"")="","","✔")</f>
        <v/>
      </c>
      <c r="E110" s="98" t="str">
        <f>IF(IFERROR(VLOOKUP(A110,'4.鋼筋'!C:D,1,0),"")="","","✔")</f>
        <v>✔</v>
      </c>
      <c r="F110" s="98" t="str">
        <f>IF(IFERROR(VLOOKUP(A110,'5.模板'!C:D,1,0),"")="","","✔")</f>
        <v/>
      </c>
      <c r="G110" s="98" t="str">
        <f>IF(IFERROR(VLOOKUP(A110,'6.混凝土'!C:D,1,0),"")="","","✔")</f>
        <v>✔</v>
      </c>
      <c r="H110" s="98" t="str">
        <f>IF(IFERROR(VLOOKUP(A110,'7.植筋'!C:D,1,0),"")="","","✔")</f>
        <v/>
      </c>
      <c r="I110" s="98" t="str">
        <f>IF(IFERROR(VLOOKUP(A110,'8.預力混凝土基樁'!C:D,1,0),"")="","","✔")</f>
        <v/>
      </c>
      <c r="J110" s="98" t="str">
        <f>IF(IFERROR(VLOOKUP(A110,'9.砌塊石護岸'!C:D,1,0),"")="","","✔")</f>
        <v/>
      </c>
      <c r="K110" s="98" t="str">
        <f>IF(IFERROR(VLOOKUP(A110,'10.低水護岸'!C:D,1,0),"")="","","✔")</f>
        <v/>
      </c>
      <c r="L110" s="98" t="str">
        <f>IF(IFERROR(VLOOKUP(A110,'11.固床工'!C:D,1,0),"")="","","✔")</f>
        <v/>
      </c>
      <c r="M110" s="98" t="str">
        <f>IF(IFERROR(VLOOKUP(A110,'12.全套管基樁'!C:D,1,0),"")="","","✔")</f>
        <v>✔</v>
      </c>
      <c r="N110" s="98" t="str">
        <f>IF(IFERROR(VLOOKUP(A110,'13.鋼筋混凝土管工程'!C:D,1,0),"")="","","✔")</f>
        <v/>
      </c>
      <c r="O110" s="98" t="str">
        <f>IF(IFERROR(VLOOKUP(A110,'14.鋼版樁'!C:D,1,0),"")="","","✔")</f>
        <v/>
      </c>
      <c r="P110" s="98" t="str">
        <f>IF(IFERROR(VLOOKUP(A110,'15.路床 路基高程'!C:D,1,0),"")="","","✔")</f>
        <v/>
      </c>
      <c r="Q110" s="98" t="str">
        <f>IF(IFERROR(VLOOKUP(A110,'16.瀝青混凝土'!C:D,1,0),"")="","","✔")</f>
        <v/>
      </c>
      <c r="R110" s="98" t="str">
        <f>IF(IFERROR(VLOOKUP(A110,'17.景觀鋪面(一)'!C:D,1,0),"")="","","✔")</f>
        <v/>
      </c>
      <c r="S110" s="98" t="str">
        <f>IF(IFERROR(VLOOKUP(A110,'18.景觀鋪面(二)'!C:D,1,0),"")="","","✔")</f>
        <v/>
      </c>
      <c r="T110" s="98" t="str">
        <f>IF(IFERROR(VLOOKUP(A110,'19.預鑄緣石'!C:D,1,0),"")="","","✔")</f>
        <v/>
      </c>
      <c r="U110" s="98" t="str">
        <f>IF(IFERROR(VLOOKUP(A110,'20.鋼構工程吊裝'!C:D,1,0),"")="","","✔")</f>
        <v/>
      </c>
      <c r="V110" s="98" t="str">
        <f>IF(IFERROR(VLOOKUP(A110,'21.鋼構工程塗裝'!C:D,1,0),"")="","","✔")</f>
        <v/>
      </c>
      <c r="W110" s="98" t="str">
        <f>IF(IFERROR(VLOOKUP(A110,'22.排水設施(一)'!C:D,1,0),"")="","","✔")</f>
        <v/>
      </c>
      <c r="X110" s="98" t="str">
        <f>IF(IFERROR(VLOOKUP(A110,'23.排水設施(二)'!C:D,1,0),"")="","","✔")</f>
        <v/>
      </c>
      <c r="Y110" s="98" t="str">
        <f>IF(IFERROR(VLOOKUP(A110,'24.木構造'!C:D,1,0),"")="","","✔")</f>
        <v/>
      </c>
      <c r="Z110" s="98" t="str">
        <f>IF(IFERROR(VLOOKUP(A110,'25.管路'!C:D,1,0),"")="","","✔")</f>
        <v/>
      </c>
      <c r="AA110" s="98" t="str">
        <f>IF(IFERROR(VLOOKUP(A110,'26.植栽(移植)'!C:D,1,0),"")="","","✔")</f>
        <v/>
      </c>
      <c r="AB110" s="98" t="str">
        <f>IF(IFERROR(VLOOKUP(A110,'27.植栽(新植)'!C:D,1,0),"")="","","✔")</f>
        <v/>
      </c>
      <c r="AC110" s="98" t="str">
        <f>IF(IFERROR(VLOOKUP(A110,'28.照明'!C:D,1,0),"")="","","✔")</f>
        <v/>
      </c>
      <c r="AD110" s="98" t="str">
        <f>IF(IFERROR(VLOOKUP(A110,'29.既有橋梁拆除'!C:D,1,0),"")="","","✔")</f>
        <v/>
      </c>
    </row>
    <row r="111" spans="1:30" ht="21.75" customHeight="1" x14ac:dyDescent="0.25">
      <c r="A111" s="99">
        <v>45301</v>
      </c>
      <c r="B111" s="98" t="str">
        <f>IF(IFERROR(VLOOKUP(A111,'1.測量放樣'!C:D,1,0),"")="","","✔")</f>
        <v/>
      </c>
      <c r="C111" s="98" t="str">
        <f>IF(IFERROR(VLOOKUP(A111,'2.土方開挖'!C:D,1,0),"")="","","✔")</f>
        <v/>
      </c>
      <c r="D111" s="98" t="str">
        <f>IF(IFERROR(VLOOKUP(A111,'3.土方回填'!C:D,1,0),"")="","","✔")</f>
        <v/>
      </c>
      <c r="E111" s="98" t="str">
        <f>IF(IFERROR(VLOOKUP(A111,'4.鋼筋'!C:D,1,0),"")="","","✔")</f>
        <v/>
      </c>
      <c r="F111" s="98" t="str">
        <f>IF(IFERROR(VLOOKUP(A111,'5.模板'!C:D,1,0),"")="","","✔")</f>
        <v/>
      </c>
      <c r="G111" s="98" t="str">
        <f>IF(IFERROR(VLOOKUP(A111,'6.混凝土'!C:D,1,0),"")="","","✔")</f>
        <v/>
      </c>
      <c r="H111" s="98" t="str">
        <f>IF(IFERROR(VLOOKUP(A111,'7.植筋'!C:D,1,0),"")="","","✔")</f>
        <v/>
      </c>
      <c r="I111" s="98" t="str">
        <f>IF(IFERROR(VLOOKUP(A111,'8.預力混凝土基樁'!C:D,1,0),"")="","","✔")</f>
        <v/>
      </c>
      <c r="J111" s="98" t="str">
        <f>IF(IFERROR(VLOOKUP(A111,'9.砌塊石護岸'!C:D,1,0),"")="","","✔")</f>
        <v/>
      </c>
      <c r="K111" s="98" t="str">
        <f>IF(IFERROR(VLOOKUP(A111,'10.低水護岸'!C:D,1,0),"")="","","✔")</f>
        <v/>
      </c>
      <c r="L111" s="98" t="str">
        <f>IF(IFERROR(VLOOKUP(A111,'11.固床工'!C:D,1,0),"")="","","✔")</f>
        <v/>
      </c>
      <c r="M111" s="98" t="str">
        <f>IF(IFERROR(VLOOKUP(A111,'12.全套管基樁'!C:D,1,0),"")="","","✔")</f>
        <v/>
      </c>
      <c r="N111" s="98" t="str">
        <f>IF(IFERROR(VLOOKUP(A111,'13.鋼筋混凝土管工程'!C:D,1,0),"")="","","✔")</f>
        <v/>
      </c>
      <c r="O111" s="98" t="str">
        <f>IF(IFERROR(VLOOKUP(A111,'14.鋼版樁'!C:D,1,0),"")="","","✔")</f>
        <v/>
      </c>
      <c r="P111" s="98" t="str">
        <f>IF(IFERROR(VLOOKUP(A111,'15.路床 路基高程'!C:D,1,0),"")="","","✔")</f>
        <v/>
      </c>
      <c r="Q111" s="98" t="str">
        <f>IF(IFERROR(VLOOKUP(A111,'16.瀝青混凝土'!C:D,1,0),"")="","","✔")</f>
        <v/>
      </c>
      <c r="R111" s="98" t="str">
        <f>IF(IFERROR(VLOOKUP(A111,'17.景觀鋪面(一)'!C:D,1,0),"")="","","✔")</f>
        <v/>
      </c>
      <c r="S111" s="98" t="str">
        <f>IF(IFERROR(VLOOKUP(A111,'18.景觀鋪面(二)'!C:D,1,0),"")="","","✔")</f>
        <v/>
      </c>
      <c r="T111" s="98" t="str">
        <f>IF(IFERROR(VLOOKUP(A111,'19.預鑄緣石'!C:D,1,0),"")="","","✔")</f>
        <v/>
      </c>
      <c r="U111" s="98" t="str">
        <f>IF(IFERROR(VLOOKUP(A111,'20.鋼構工程吊裝'!C:D,1,0),"")="","","✔")</f>
        <v/>
      </c>
      <c r="V111" s="98" t="str">
        <f>IF(IFERROR(VLOOKUP(A111,'21.鋼構工程塗裝'!C:D,1,0),"")="","","✔")</f>
        <v/>
      </c>
      <c r="W111" s="98" t="str">
        <f>IF(IFERROR(VLOOKUP(A111,'22.排水設施(一)'!C:D,1,0),"")="","","✔")</f>
        <v/>
      </c>
      <c r="X111" s="98" t="str">
        <f>IF(IFERROR(VLOOKUP(A111,'23.排水設施(二)'!C:D,1,0),"")="","","✔")</f>
        <v/>
      </c>
      <c r="Y111" s="98" t="str">
        <f>IF(IFERROR(VLOOKUP(A111,'24.木構造'!C:D,1,0),"")="","","✔")</f>
        <v/>
      </c>
      <c r="Z111" s="98" t="str">
        <f>IF(IFERROR(VLOOKUP(A111,'25.管路'!C:D,1,0),"")="","","✔")</f>
        <v/>
      </c>
      <c r="AA111" s="98" t="str">
        <f>IF(IFERROR(VLOOKUP(A111,'26.植栽(移植)'!C:D,1,0),"")="","","✔")</f>
        <v/>
      </c>
      <c r="AB111" s="98" t="str">
        <f>IF(IFERROR(VLOOKUP(A111,'27.植栽(新植)'!C:D,1,0),"")="","","✔")</f>
        <v/>
      </c>
      <c r="AC111" s="98" t="str">
        <f>IF(IFERROR(VLOOKUP(A111,'28.照明'!C:D,1,0),"")="","","✔")</f>
        <v/>
      </c>
      <c r="AD111" s="98" t="str">
        <f>IF(IFERROR(VLOOKUP(A111,'29.既有橋梁拆除'!C:D,1,0),"")="","","✔")</f>
        <v/>
      </c>
    </row>
    <row r="112" spans="1:30" ht="21.75" customHeight="1" x14ac:dyDescent="0.25">
      <c r="A112" s="99">
        <v>45302</v>
      </c>
      <c r="B112" s="98" t="str">
        <f>IF(IFERROR(VLOOKUP(A112,'1.測量放樣'!C:D,1,0),"")="","","✔")</f>
        <v/>
      </c>
      <c r="C112" s="98" t="str">
        <f>IF(IFERROR(VLOOKUP(A112,'2.土方開挖'!C:D,1,0),"")="","","✔")</f>
        <v/>
      </c>
      <c r="D112" s="98" t="str">
        <f>IF(IFERROR(VLOOKUP(A112,'3.土方回填'!C:D,1,0),"")="","","✔")</f>
        <v/>
      </c>
      <c r="E112" s="98" t="str">
        <f>IF(IFERROR(VLOOKUP(A112,'4.鋼筋'!C:D,1,0),"")="","","✔")</f>
        <v/>
      </c>
      <c r="F112" s="98" t="str">
        <f>IF(IFERROR(VLOOKUP(A112,'5.模板'!C:D,1,0),"")="","","✔")</f>
        <v/>
      </c>
      <c r="G112" s="98" t="str">
        <f>IF(IFERROR(VLOOKUP(A112,'6.混凝土'!C:D,1,0),"")="","","✔")</f>
        <v/>
      </c>
      <c r="H112" s="98" t="str">
        <f>IF(IFERROR(VLOOKUP(A112,'7.植筋'!C:D,1,0),"")="","","✔")</f>
        <v/>
      </c>
      <c r="I112" s="98" t="str">
        <f>IF(IFERROR(VLOOKUP(A112,'8.預力混凝土基樁'!C:D,1,0),"")="","","✔")</f>
        <v/>
      </c>
      <c r="J112" s="98" t="str">
        <f>IF(IFERROR(VLOOKUP(A112,'9.砌塊石護岸'!C:D,1,0),"")="","","✔")</f>
        <v/>
      </c>
      <c r="K112" s="98" t="str">
        <f>IF(IFERROR(VLOOKUP(A112,'10.低水護岸'!C:D,1,0),"")="","","✔")</f>
        <v/>
      </c>
      <c r="L112" s="98" t="str">
        <f>IF(IFERROR(VLOOKUP(A112,'11.固床工'!C:D,1,0),"")="","","✔")</f>
        <v/>
      </c>
      <c r="M112" s="98" t="str">
        <f>IF(IFERROR(VLOOKUP(A112,'12.全套管基樁'!C:D,1,0),"")="","","✔")</f>
        <v>✔</v>
      </c>
      <c r="N112" s="98" t="str">
        <f>IF(IFERROR(VLOOKUP(A112,'13.鋼筋混凝土管工程'!C:D,1,0),"")="","","✔")</f>
        <v/>
      </c>
      <c r="O112" s="98" t="str">
        <f>IF(IFERROR(VLOOKUP(A112,'14.鋼版樁'!C:D,1,0),"")="","","✔")</f>
        <v/>
      </c>
      <c r="P112" s="98" t="str">
        <f>IF(IFERROR(VLOOKUP(A112,'15.路床 路基高程'!C:D,1,0),"")="","","✔")</f>
        <v/>
      </c>
      <c r="Q112" s="98" t="str">
        <f>IF(IFERROR(VLOOKUP(A112,'16.瀝青混凝土'!C:D,1,0),"")="","","✔")</f>
        <v/>
      </c>
      <c r="R112" s="98" t="str">
        <f>IF(IFERROR(VLOOKUP(A112,'17.景觀鋪面(一)'!C:D,1,0),"")="","","✔")</f>
        <v/>
      </c>
      <c r="S112" s="98" t="str">
        <f>IF(IFERROR(VLOOKUP(A112,'18.景觀鋪面(二)'!C:D,1,0),"")="","","✔")</f>
        <v/>
      </c>
      <c r="T112" s="98" t="str">
        <f>IF(IFERROR(VLOOKUP(A112,'19.預鑄緣石'!C:D,1,0),"")="","","✔")</f>
        <v/>
      </c>
      <c r="U112" s="98" t="str">
        <f>IF(IFERROR(VLOOKUP(A112,'20.鋼構工程吊裝'!C:D,1,0),"")="","","✔")</f>
        <v/>
      </c>
      <c r="V112" s="98" t="str">
        <f>IF(IFERROR(VLOOKUP(A112,'21.鋼構工程塗裝'!C:D,1,0),"")="","","✔")</f>
        <v/>
      </c>
      <c r="W112" s="98" t="str">
        <f>IF(IFERROR(VLOOKUP(A112,'22.排水設施(一)'!C:D,1,0),"")="","","✔")</f>
        <v/>
      </c>
      <c r="X112" s="98" t="str">
        <f>IF(IFERROR(VLOOKUP(A112,'23.排水設施(二)'!C:D,1,0),"")="","","✔")</f>
        <v/>
      </c>
      <c r="Y112" s="98" t="str">
        <f>IF(IFERROR(VLOOKUP(A112,'24.木構造'!C:D,1,0),"")="","","✔")</f>
        <v/>
      </c>
      <c r="Z112" s="98" t="str">
        <f>IF(IFERROR(VLOOKUP(A112,'25.管路'!C:D,1,0),"")="","","✔")</f>
        <v/>
      </c>
      <c r="AA112" s="98" t="str">
        <f>IF(IFERROR(VLOOKUP(A112,'26.植栽(移植)'!C:D,1,0),"")="","","✔")</f>
        <v/>
      </c>
      <c r="AB112" s="98" t="str">
        <f>IF(IFERROR(VLOOKUP(A112,'27.植栽(新植)'!C:D,1,0),"")="","","✔")</f>
        <v/>
      </c>
      <c r="AC112" s="98" t="str">
        <f>IF(IFERROR(VLOOKUP(A112,'28.照明'!C:D,1,0),"")="","","✔")</f>
        <v/>
      </c>
      <c r="AD112" s="98" t="str">
        <f>IF(IFERROR(VLOOKUP(A112,'29.既有橋梁拆除'!C:D,1,0),"")="","","✔")</f>
        <v/>
      </c>
    </row>
    <row r="113" spans="1:30" ht="21.75" customHeight="1" x14ac:dyDescent="0.25">
      <c r="A113" s="99">
        <v>45303</v>
      </c>
      <c r="B113" s="98" t="str">
        <f>IF(IFERROR(VLOOKUP(A113,'1.測量放樣'!C:D,1,0),"")="","","✔")</f>
        <v/>
      </c>
      <c r="C113" s="98" t="str">
        <f>IF(IFERROR(VLOOKUP(A113,'2.土方開挖'!C:D,1,0),"")="","","✔")</f>
        <v/>
      </c>
      <c r="D113" s="98" t="str">
        <f>IF(IFERROR(VLOOKUP(A113,'3.土方回填'!C:D,1,0),"")="","","✔")</f>
        <v/>
      </c>
      <c r="E113" s="98" t="str">
        <f>IF(IFERROR(VLOOKUP(A113,'4.鋼筋'!C:D,1,0),"")="","","✔")</f>
        <v/>
      </c>
      <c r="F113" s="98" t="str">
        <f>IF(IFERROR(VLOOKUP(A113,'5.模板'!C:D,1,0),"")="","","✔")</f>
        <v/>
      </c>
      <c r="G113" s="98" t="str">
        <f>IF(IFERROR(VLOOKUP(A113,'6.混凝土'!C:D,1,0),"")="","","✔")</f>
        <v>✔</v>
      </c>
      <c r="H113" s="98" t="str">
        <f>IF(IFERROR(VLOOKUP(A113,'7.植筋'!C:D,1,0),"")="","","✔")</f>
        <v/>
      </c>
      <c r="I113" s="98" t="str">
        <f>IF(IFERROR(VLOOKUP(A113,'8.預力混凝土基樁'!C:D,1,0),"")="","","✔")</f>
        <v/>
      </c>
      <c r="J113" s="98" t="str">
        <f>IF(IFERROR(VLOOKUP(A113,'9.砌塊石護岸'!C:D,1,0),"")="","","✔")</f>
        <v/>
      </c>
      <c r="K113" s="98" t="str">
        <f>IF(IFERROR(VLOOKUP(A113,'10.低水護岸'!C:D,1,0),"")="","","✔")</f>
        <v/>
      </c>
      <c r="L113" s="98" t="str">
        <f>IF(IFERROR(VLOOKUP(A113,'11.固床工'!C:D,1,0),"")="","","✔")</f>
        <v/>
      </c>
      <c r="M113" s="98" t="str">
        <f>IF(IFERROR(VLOOKUP(A113,'12.全套管基樁'!C:D,1,0),"")="","","✔")</f>
        <v>✔</v>
      </c>
      <c r="N113" s="98" t="str">
        <f>IF(IFERROR(VLOOKUP(A113,'13.鋼筋混凝土管工程'!C:D,1,0),"")="","","✔")</f>
        <v/>
      </c>
      <c r="O113" s="98" t="str">
        <f>IF(IFERROR(VLOOKUP(A113,'14.鋼版樁'!C:D,1,0),"")="","","✔")</f>
        <v/>
      </c>
      <c r="P113" s="98" t="str">
        <f>IF(IFERROR(VLOOKUP(A113,'15.路床 路基高程'!C:D,1,0),"")="","","✔")</f>
        <v/>
      </c>
      <c r="Q113" s="98" t="str">
        <f>IF(IFERROR(VLOOKUP(A113,'16.瀝青混凝土'!C:D,1,0),"")="","","✔")</f>
        <v/>
      </c>
      <c r="R113" s="98" t="str">
        <f>IF(IFERROR(VLOOKUP(A113,'17.景觀鋪面(一)'!C:D,1,0),"")="","","✔")</f>
        <v/>
      </c>
      <c r="S113" s="98" t="str">
        <f>IF(IFERROR(VLOOKUP(A113,'18.景觀鋪面(二)'!C:D,1,0),"")="","","✔")</f>
        <v/>
      </c>
      <c r="T113" s="98" t="str">
        <f>IF(IFERROR(VLOOKUP(A113,'19.預鑄緣石'!C:D,1,0),"")="","","✔")</f>
        <v/>
      </c>
      <c r="U113" s="98" t="str">
        <f>IF(IFERROR(VLOOKUP(A113,'20.鋼構工程吊裝'!C:D,1,0),"")="","","✔")</f>
        <v/>
      </c>
      <c r="V113" s="98" t="str">
        <f>IF(IFERROR(VLOOKUP(A113,'21.鋼構工程塗裝'!C:D,1,0),"")="","","✔")</f>
        <v/>
      </c>
      <c r="W113" s="98" t="str">
        <f>IF(IFERROR(VLOOKUP(A113,'22.排水設施(一)'!C:D,1,0),"")="","","✔")</f>
        <v/>
      </c>
      <c r="X113" s="98" t="str">
        <f>IF(IFERROR(VLOOKUP(A113,'23.排水設施(二)'!C:D,1,0),"")="","","✔")</f>
        <v/>
      </c>
      <c r="Y113" s="98" t="str">
        <f>IF(IFERROR(VLOOKUP(A113,'24.木構造'!C:D,1,0),"")="","","✔")</f>
        <v/>
      </c>
      <c r="Z113" s="98" t="str">
        <f>IF(IFERROR(VLOOKUP(A113,'25.管路'!C:D,1,0),"")="","","✔")</f>
        <v/>
      </c>
      <c r="AA113" s="98" t="str">
        <f>IF(IFERROR(VLOOKUP(A113,'26.植栽(移植)'!C:D,1,0),"")="","","✔")</f>
        <v/>
      </c>
      <c r="AB113" s="98" t="str">
        <f>IF(IFERROR(VLOOKUP(A113,'27.植栽(新植)'!C:D,1,0),"")="","","✔")</f>
        <v/>
      </c>
      <c r="AC113" s="98" t="str">
        <f>IF(IFERROR(VLOOKUP(A113,'28.照明'!C:D,1,0),"")="","","✔")</f>
        <v/>
      </c>
      <c r="AD113" s="98" t="str">
        <f>IF(IFERROR(VLOOKUP(A113,'29.既有橋梁拆除'!C:D,1,0),"")="","","✔")</f>
        <v/>
      </c>
    </row>
    <row r="114" spans="1:30" ht="21.75" customHeight="1" x14ac:dyDescent="0.25">
      <c r="A114" s="99">
        <v>45304</v>
      </c>
      <c r="B114" s="98" t="str">
        <f>IF(IFERROR(VLOOKUP(A114,'1.測量放樣'!C:D,1,0),"")="","","✔")</f>
        <v/>
      </c>
      <c r="C114" s="98" t="str">
        <f>IF(IFERROR(VLOOKUP(A114,'2.土方開挖'!C:D,1,0),"")="","","✔")</f>
        <v/>
      </c>
      <c r="D114" s="98" t="str">
        <f>IF(IFERROR(VLOOKUP(A114,'3.土方回填'!C:D,1,0),"")="","","✔")</f>
        <v/>
      </c>
      <c r="E114" s="98" t="str">
        <f>IF(IFERROR(VLOOKUP(A114,'4.鋼筋'!C:D,1,0),"")="","","✔")</f>
        <v/>
      </c>
      <c r="F114" s="98" t="str">
        <f>IF(IFERROR(VLOOKUP(A114,'5.模板'!C:D,1,0),"")="","","✔")</f>
        <v/>
      </c>
      <c r="G114" s="98" t="str">
        <f>IF(IFERROR(VLOOKUP(A114,'6.混凝土'!C:D,1,0),"")="","","✔")</f>
        <v/>
      </c>
      <c r="H114" s="98" t="str">
        <f>IF(IFERROR(VLOOKUP(A114,'7.植筋'!C:D,1,0),"")="","","✔")</f>
        <v/>
      </c>
      <c r="I114" s="98" t="str">
        <f>IF(IFERROR(VLOOKUP(A114,'8.預力混凝土基樁'!C:D,1,0),"")="","","✔")</f>
        <v/>
      </c>
      <c r="J114" s="98" t="str">
        <f>IF(IFERROR(VLOOKUP(A114,'9.砌塊石護岸'!C:D,1,0),"")="","","✔")</f>
        <v/>
      </c>
      <c r="K114" s="98" t="str">
        <f>IF(IFERROR(VLOOKUP(A114,'10.低水護岸'!C:D,1,0),"")="","","✔")</f>
        <v/>
      </c>
      <c r="L114" s="98" t="str">
        <f>IF(IFERROR(VLOOKUP(A114,'11.固床工'!C:D,1,0),"")="","","✔")</f>
        <v/>
      </c>
      <c r="M114" s="98" t="str">
        <f>IF(IFERROR(VLOOKUP(A114,'12.全套管基樁'!C:D,1,0),"")="","","✔")</f>
        <v/>
      </c>
      <c r="N114" s="98" t="str">
        <f>IF(IFERROR(VLOOKUP(A114,'13.鋼筋混凝土管工程'!C:D,1,0),"")="","","✔")</f>
        <v/>
      </c>
      <c r="O114" s="98" t="str">
        <f>IF(IFERROR(VLOOKUP(A114,'14.鋼版樁'!C:D,1,0),"")="","","✔")</f>
        <v/>
      </c>
      <c r="P114" s="98" t="str">
        <f>IF(IFERROR(VLOOKUP(A114,'15.路床 路基高程'!C:D,1,0),"")="","","✔")</f>
        <v/>
      </c>
      <c r="Q114" s="98" t="str">
        <f>IF(IFERROR(VLOOKUP(A114,'16.瀝青混凝土'!C:D,1,0),"")="","","✔")</f>
        <v/>
      </c>
      <c r="R114" s="98" t="str">
        <f>IF(IFERROR(VLOOKUP(A114,'17.景觀鋪面(一)'!C:D,1,0),"")="","","✔")</f>
        <v/>
      </c>
      <c r="S114" s="98" t="str">
        <f>IF(IFERROR(VLOOKUP(A114,'18.景觀鋪面(二)'!C:D,1,0),"")="","","✔")</f>
        <v/>
      </c>
      <c r="T114" s="98" t="str">
        <f>IF(IFERROR(VLOOKUP(A114,'19.預鑄緣石'!C:D,1,0),"")="","","✔")</f>
        <v/>
      </c>
      <c r="U114" s="98" t="str">
        <f>IF(IFERROR(VLOOKUP(A114,'20.鋼構工程吊裝'!C:D,1,0),"")="","","✔")</f>
        <v/>
      </c>
      <c r="V114" s="98" t="str">
        <f>IF(IFERROR(VLOOKUP(A114,'21.鋼構工程塗裝'!C:D,1,0),"")="","","✔")</f>
        <v/>
      </c>
      <c r="W114" s="98" t="str">
        <f>IF(IFERROR(VLOOKUP(A114,'22.排水設施(一)'!C:D,1,0),"")="","","✔")</f>
        <v/>
      </c>
      <c r="X114" s="98" t="str">
        <f>IF(IFERROR(VLOOKUP(A114,'23.排水設施(二)'!C:D,1,0),"")="","","✔")</f>
        <v/>
      </c>
      <c r="Y114" s="98" t="str">
        <f>IF(IFERROR(VLOOKUP(A114,'24.木構造'!C:D,1,0),"")="","","✔")</f>
        <v/>
      </c>
      <c r="Z114" s="98" t="str">
        <f>IF(IFERROR(VLOOKUP(A114,'25.管路'!C:D,1,0),"")="","","✔")</f>
        <v/>
      </c>
      <c r="AA114" s="98" t="str">
        <f>IF(IFERROR(VLOOKUP(A114,'26.植栽(移植)'!C:D,1,0),"")="","","✔")</f>
        <v/>
      </c>
      <c r="AB114" s="98" t="str">
        <f>IF(IFERROR(VLOOKUP(A114,'27.植栽(新植)'!C:D,1,0),"")="","","✔")</f>
        <v/>
      </c>
      <c r="AC114" s="98" t="str">
        <f>IF(IFERROR(VLOOKUP(A114,'28.照明'!C:D,1,0),"")="","","✔")</f>
        <v/>
      </c>
      <c r="AD114" s="98" t="str">
        <f>IF(IFERROR(VLOOKUP(A114,'29.既有橋梁拆除'!C:D,1,0),"")="","","✔")</f>
        <v/>
      </c>
    </row>
    <row r="115" spans="1:30" ht="21.75" customHeight="1" x14ac:dyDescent="0.25">
      <c r="A115" s="99">
        <v>45305</v>
      </c>
      <c r="B115" s="98" t="str">
        <f>IF(IFERROR(VLOOKUP(A115,'1.測量放樣'!C:D,1,0),"")="","","✔")</f>
        <v/>
      </c>
      <c r="C115" s="98" t="str">
        <f>IF(IFERROR(VLOOKUP(A115,'2.土方開挖'!C:D,1,0),"")="","","✔")</f>
        <v/>
      </c>
      <c r="D115" s="98" t="str">
        <f>IF(IFERROR(VLOOKUP(A115,'3.土方回填'!C:D,1,0),"")="","","✔")</f>
        <v/>
      </c>
      <c r="E115" s="98" t="str">
        <f>IF(IFERROR(VLOOKUP(A115,'4.鋼筋'!C:D,1,0),"")="","","✔")</f>
        <v/>
      </c>
      <c r="F115" s="98" t="str">
        <f>IF(IFERROR(VLOOKUP(A115,'5.模板'!C:D,1,0),"")="","","✔")</f>
        <v/>
      </c>
      <c r="G115" s="98" t="str">
        <f>IF(IFERROR(VLOOKUP(A115,'6.混凝土'!C:D,1,0),"")="","","✔")</f>
        <v/>
      </c>
      <c r="H115" s="98" t="str">
        <f>IF(IFERROR(VLOOKUP(A115,'7.植筋'!C:D,1,0),"")="","","✔")</f>
        <v/>
      </c>
      <c r="I115" s="98" t="str">
        <f>IF(IFERROR(VLOOKUP(A115,'8.預力混凝土基樁'!C:D,1,0),"")="","","✔")</f>
        <v/>
      </c>
      <c r="J115" s="98" t="str">
        <f>IF(IFERROR(VLOOKUP(A115,'9.砌塊石護岸'!C:D,1,0),"")="","","✔")</f>
        <v/>
      </c>
      <c r="K115" s="98" t="str">
        <f>IF(IFERROR(VLOOKUP(A115,'10.低水護岸'!C:D,1,0),"")="","","✔")</f>
        <v/>
      </c>
      <c r="L115" s="98" t="str">
        <f>IF(IFERROR(VLOOKUP(A115,'11.固床工'!C:D,1,0),"")="","","✔")</f>
        <v/>
      </c>
      <c r="M115" s="98" t="str">
        <f>IF(IFERROR(VLOOKUP(A115,'12.全套管基樁'!C:D,1,0),"")="","","✔")</f>
        <v/>
      </c>
      <c r="N115" s="98" t="str">
        <f>IF(IFERROR(VLOOKUP(A115,'13.鋼筋混凝土管工程'!C:D,1,0),"")="","","✔")</f>
        <v/>
      </c>
      <c r="O115" s="98" t="str">
        <f>IF(IFERROR(VLOOKUP(A115,'14.鋼版樁'!C:D,1,0),"")="","","✔")</f>
        <v/>
      </c>
      <c r="P115" s="98" t="str">
        <f>IF(IFERROR(VLOOKUP(A115,'15.路床 路基高程'!C:D,1,0),"")="","","✔")</f>
        <v/>
      </c>
      <c r="Q115" s="98" t="str">
        <f>IF(IFERROR(VLOOKUP(A115,'16.瀝青混凝土'!C:D,1,0),"")="","","✔")</f>
        <v/>
      </c>
      <c r="R115" s="98" t="str">
        <f>IF(IFERROR(VLOOKUP(A115,'17.景觀鋪面(一)'!C:D,1,0),"")="","","✔")</f>
        <v/>
      </c>
      <c r="S115" s="98" t="str">
        <f>IF(IFERROR(VLOOKUP(A115,'18.景觀鋪面(二)'!C:D,1,0),"")="","","✔")</f>
        <v/>
      </c>
      <c r="T115" s="98" t="str">
        <f>IF(IFERROR(VLOOKUP(A115,'19.預鑄緣石'!C:D,1,0),"")="","","✔")</f>
        <v/>
      </c>
      <c r="U115" s="98" t="str">
        <f>IF(IFERROR(VLOOKUP(A115,'20.鋼構工程吊裝'!C:D,1,0),"")="","","✔")</f>
        <v/>
      </c>
      <c r="V115" s="98" t="str">
        <f>IF(IFERROR(VLOOKUP(A115,'21.鋼構工程塗裝'!C:D,1,0),"")="","","✔")</f>
        <v/>
      </c>
      <c r="W115" s="98" t="str">
        <f>IF(IFERROR(VLOOKUP(A115,'22.排水設施(一)'!C:D,1,0),"")="","","✔")</f>
        <v/>
      </c>
      <c r="X115" s="98" t="str">
        <f>IF(IFERROR(VLOOKUP(A115,'23.排水設施(二)'!C:D,1,0),"")="","","✔")</f>
        <v/>
      </c>
      <c r="Y115" s="98" t="str">
        <f>IF(IFERROR(VLOOKUP(A115,'24.木構造'!C:D,1,0),"")="","","✔")</f>
        <v/>
      </c>
      <c r="Z115" s="98" t="str">
        <f>IF(IFERROR(VLOOKUP(A115,'25.管路'!C:D,1,0),"")="","","✔")</f>
        <v/>
      </c>
      <c r="AA115" s="98" t="str">
        <f>IF(IFERROR(VLOOKUP(A115,'26.植栽(移植)'!C:D,1,0),"")="","","✔")</f>
        <v/>
      </c>
      <c r="AB115" s="98" t="str">
        <f>IF(IFERROR(VLOOKUP(A115,'27.植栽(新植)'!C:D,1,0),"")="","","✔")</f>
        <v/>
      </c>
      <c r="AC115" s="98" t="str">
        <f>IF(IFERROR(VLOOKUP(A115,'28.照明'!C:D,1,0),"")="","","✔")</f>
        <v/>
      </c>
      <c r="AD115" s="98" t="str">
        <f>IF(IFERROR(VLOOKUP(A115,'29.既有橋梁拆除'!C:D,1,0),"")="","","✔")</f>
        <v/>
      </c>
    </row>
    <row r="116" spans="1:30" ht="21.75" customHeight="1" x14ac:dyDescent="0.25">
      <c r="A116" s="99">
        <v>45306</v>
      </c>
      <c r="B116" s="98" t="str">
        <f>IF(IFERROR(VLOOKUP(A116,'1.測量放樣'!C:D,1,0),"")="","","✔")</f>
        <v/>
      </c>
      <c r="C116" s="98" t="str">
        <f>IF(IFERROR(VLOOKUP(A116,'2.土方開挖'!C:D,1,0),"")="","","✔")</f>
        <v/>
      </c>
      <c r="D116" s="98" t="str">
        <f>IF(IFERROR(VLOOKUP(A116,'3.土方回填'!C:D,1,0),"")="","","✔")</f>
        <v/>
      </c>
      <c r="E116" s="98" t="str">
        <f>IF(IFERROR(VLOOKUP(A116,'4.鋼筋'!C:D,1,0),"")="","","✔")</f>
        <v/>
      </c>
      <c r="F116" s="98" t="str">
        <f>IF(IFERROR(VLOOKUP(A116,'5.模板'!C:D,1,0),"")="","","✔")</f>
        <v/>
      </c>
      <c r="G116" s="98" t="str">
        <f>IF(IFERROR(VLOOKUP(A116,'6.混凝土'!C:D,1,0),"")="","","✔")</f>
        <v/>
      </c>
      <c r="H116" s="98" t="str">
        <f>IF(IFERROR(VLOOKUP(A116,'7.植筋'!C:D,1,0),"")="","","✔")</f>
        <v/>
      </c>
      <c r="I116" s="98" t="str">
        <f>IF(IFERROR(VLOOKUP(A116,'8.預力混凝土基樁'!C:D,1,0),"")="","","✔")</f>
        <v/>
      </c>
      <c r="J116" s="98" t="str">
        <f>IF(IFERROR(VLOOKUP(A116,'9.砌塊石護岸'!C:D,1,0),"")="","","✔")</f>
        <v/>
      </c>
      <c r="K116" s="98" t="str">
        <f>IF(IFERROR(VLOOKUP(A116,'10.低水護岸'!C:D,1,0),"")="","","✔")</f>
        <v/>
      </c>
      <c r="L116" s="98" t="str">
        <f>IF(IFERROR(VLOOKUP(A116,'11.固床工'!C:D,1,0),"")="","","✔")</f>
        <v/>
      </c>
      <c r="M116" s="98" t="str">
        <f>IF(IFERROR(VLOOKUP(A116,'12.全套管基樁'!C:D,1,0),"")="","","✔")</f>
        <v/>
      </c>
      <c r="N116" s="98" t="str">
        <f>IF(IFERROR(VLOOKUP(A116,'13.鋼筋混凝土管工程'!C:D,1,0),"")="","","✔")</f>
        <v/>
      </c>
      <c r="O116" s="98" t="str">
        <f>IF(IFERROR(VLOOKUP(A116,'14.鋼版樁'!C:D,1,0),"")="","","✔")</f>
        <v/>
      </c>
      <c r="P116" s="98" t="str">
        <f>IF(IFERROR(VLOOKUP(A116,'15.路床 路基高程'!C:D,1,0),"")="","","✔")</f>
        <v/>
      </c>
      <c r="Q116" s="98" t="str">
        <f>IF(IFERROR(VLOOKUP(A116,'16.瀝青混凝土'!C:D,1,0),"")="","","✔")</f>
        <v/>
      </c>
      <c r="R116" s="98" t="str">
        <f>IF(IFERROR(VLOOKUP(A116,'17.景觀鋪面(一)'!C:D,1,0),"")="","","✔")</f>
        <v/>
      </c>
      <c r="S116" s="98" t="str">
        <f>IF(IFERROR(VLOOKUP(A116,'18.景觀鋪面(二)'!C:D,1,0),"")="","","✔")</f>
        <v/>
      </c>
      <c r="T116" s="98" t="str">
        <f>IF(IFERROR(VLOOKUP(A116,'19.預鑄緣石'!C:D,1,0),"")="","","✔")</f>
        <v/>
      </c>
      <c r="U116" s="98" t="str">
        <f>IF(IFERROR(VLOOKUP(A116,'20.鋼構工程吊裝'!C:D,1,0),"")="","","✔")</f>
        <v/>
      </c>
      <c r="V116" s="98" t="str">
        <f>IF(IFERROR(VLOOKUP(A116,'21.鋼構工程塗裝'!C:D,1,0),"")="","","✔")</f>
        <v/>
      </c>
      <c r="W116" s="98" t="str">
        <f>IF(IFERROR(VLOOKUP(A116,'22.排水設施(一)'!C:D,1,0),"")="","","✔")</f>
        <v/>
      </c>
      <c r="X116" s="98" t="str">
        <f>IF(IFERROR(VLOOKUP(A116,'23.排水設施(二)'!C:D,1,0),"")="","","✔")</f>
        <v/>
      </c>
      <c r="Y116" s="98" t="str">
        <f>IF(IFERROR(VLOOKUP(A116,'24.木構造'!C:D,1,0),"")="","","✔")</f>
        <v/>
      </c>
      <c r="Z116" s="98" t="str">
        <f>IF(IFERROR(VLOOKUP(A116,'25.管路'!C:D,1,0),"")="","","✔")</f>
        <v/>
      </c>
      <c r="AA116" s="98" t="str">
        <f>IF(IFERROR(VLOOKUP(A116,'26.植栽(移植)'!C:D,1,0),"")="","","✔")</f>
        <v/>
      </c>
      <c r="AB116" s="98" t="str">
        <f>IF(IFERROR(VLOOKUP(A116,'27.植栽(新植)'!C:D,1,0),"")="","","✔")</f>
        <v/>
      </c>
      <c r="AC116" s="98" t="str">
        <f>IF(IFERROR(VLOOKUP(A116,'28.照明'!C:D,1,0),"")="","","✔")</f>
        <v/>
      </c>
      <c r="AD116" s="98" t="str">
        <f>IF(IFERROR(VLOOKUP(A116,'29.既有橋梁拆除'!C:D,1,0),"")="","","✔")</f>
        <v/>
      </c>
    </row>
    <row r="117" spans="1:30" ht="21.75" customHeight="1" x14ac:dyDescent="0.25">
      <c r="A117" s="99">
        <v>45307</v>
      </c>
      <c r="B117" s="98" t="str">
        <f>IF(IFERROR(VLOOKUP(A117,'1.測量放樣'!C:D,1,0),"")="","","✔")</f>
        <v/>
      </c>
      <c r="C117" s="98" t="str">
        <f>IF(IFERROR(VLOOKUP(A117,'2.土方開挖'!C:D,1,0),"")="","","✔")</f>
        <v/>
      </c>
      <c r="D117" s="98" t="str">
        <f>IF(IFERROR(VLOOKUP(A117,'3.土方回填'!C:D,1,0),"")="","","✔")</f>
        <v/>
      </c>
      <c r="E117" s="98" t="str">
        <f>IF(IFERROR(VLOOKUP(A117,'4.鋼筋'!C:D,1,0),"")="","","✔")</f>
        <v>✔</v>
      </c>
      <c r="F117" s="98" t="str">
        <f>IF(IFERROR(VLOOKUP(A117,'5.模板'!C:D,1,0),"")="","","✔")</f>
        <v/>
      </c>
      <c r="G117" s="98" t="str">
        <f>IF(IFERROR(VLOOKUP(A117,'6.混凝土'!C:D,1,0),"")="","","✔")</f>
        <v/>
      </c>
      <c r="H117" s="98" t="str">
        <f>IF(IFERROR(VLOOKUP(A117,'7.植筋'!C:D,1,0),"")="","","✔")</f>
        <v/>
      </c>
      <c r="I117" s="98" t="str">
        <f>IF(IFERROR(VLOOKUP(A117,'8.預力混凝土基樁'!C:D,1,0),"")="","","✔")</f>
        <v/>
      </c>
      <c r="J117" s="98" t="str">
        <f>IF(IFERROR(VLOOKUP(A117,'9.砌塊石護岸'!C:D,1,0),"")="","","✔")</f>
        <v/>
      </c>
      <c r="K117" s="98" t="str">
        <f>IF(IFERROR(VLOOKUP(A117,'10.低水護岸'!C:D,1,0),"")="","","✔")</f>
        <v/>
      </c>
      <c r="L117" s="98" t="str">
        <f>IF(IFERROR(VLOOKUP(A117,'11.固床工'!C:D,1,0),"")="","","✔")</f>
        <v/>
      </c>
      <c r="M117" s="98" t="str">
        <f>IF(IFERROR(VLOOKUP(A117,'12.全套管基樁'!C:D,1,0),"")="","","✔")</f>
        <v/>
      </c>
      <c r="N117" s="98" t="str">
        <f>IF(IFERROR(VLOOKUP(A117,'13.鋼筋混凝土管工程'!C:D,1,0),"")="","","✔")</f>
        <v/>
      </c>
      <c r="O117" s="98" t="str">
        <f>IF(IFERROR(VLOOKUP(A117,'14.鋼版樁'!C:D,1,0),"")="","","✔")</f>
        <v/>
      </c>
      <c r="P117" s="98" t="str">
        <f>IF(IFERROR(VLOOKUP(A117,'15.路床 路基高程'!C:D,1,0),"")="","","✔")</f>
        <v/>
      </c>
      <c r="Q117" s="98" t="str">
        <f>IF(IFERROR(VLOOKUP(A117,'16.瀝青混凝土'!C:D,1,0),"")="","","✔")</f>
        <v/>
      </c>
      <c r="R117" s="98" t="str">
        <f>IF(IFERROR(VLOOKUP(A117,'17.景觀鋪面(一)'!C:D,1,0),"")="","","✔")</f>
        <v/>
      </c>
      <c r="S117" s="98" t="str">
        <f>IF(IFERROR(VLOOKUP(A117,'18.景觀鋪面(二)'!C:D,1,0),"")="","","✔")</f>
        <v/>
      </c>
      <c r="T117" s="98" t="str">
        <f>IF(IFERROR(VLOOKUP(A117,'19.預鑄緣石'!C:D,1,0),"")="","","✔")</f>
        <v/>
      </c>
      <c r="U117" s="98" t="str">
        <f>IF(IFERROR(VLOOKUP(A117,'20.鋼構工程吊裝'!C:D,1,0),"")="","","✔")</f>
        <v/>
      </c>
      <c r="V117" s="98" t="str">
        <f>IF(IFERROR(VLOOKUP(A117,'21.鋼構工程塗裝'!C:D,1,0),"")="","","✔")</f>
        <v/>
      </c>
      <c r="W117" s="98" t="str">
        <f>IF(IFERROR(VLOOKUP(A117,'22.排水設施(一)'!C:D,1,0),"")="","","✔")</f>
        <v/>
      </c>
      <c r="X117" s="98" t="str">
        <f>IF(IFERROR(VLOOKUP(A117,'23.排水設施(二)'!C:D,1,0),"")="","","✔")</f>
        <v/>
      </c>
      <c r="Y117" s="98" t="str">
        <f>IF(IFERROR(VLOOKUP(A117,'24.木構造'!C:D,1,0),"")="","","✔")</f>
        <v/>
      </c>
      <c r="Z117" s="98" t="str">
        <f>IF(IFERROR(VLOOKUP(A117,'25.管路'!C:D,1,0),"")="","","✔")</f>
        <v/>
      </c>
      <c r="AA117" s="98" t="str">
        <f>IF(IFERROR(VLOOKUP(A117,'26.植栽(移植)'!C:D,1,0),"")="","","✔")</f>
        <v/>
      </c>
      <c r="AB117" s="98" t="str">
        <f>IF(IFERROR(VLOOKUP(A117,'27.植栽(新植)'!C:D,1,0),"")="","","✔")</f>
        <v/>
      </c>
      <c r="AC117" s="98" t="str">
        <f>IF(IFERROR(VLOOKUP(A117,'28.照明'!C:D,1,0),"")="","","✔")</f>
        <v/>
      </c>
      <c r="AD117" s="98" t="str">
        <f>IF(IFERROR(VLOOKUP(A117,'29.既有橋梁拆除'!C:D,1,0),"")="","","✔")</f>
        <v/>
      </c>
    </row>
    <row r="118" spans="1:30" ht="21.75" customHeight="1" x14ac:dyDescent="0.25">
      <c r="A118" s="99">
        <v>45308</v>
      </c>
      <c r="B118" s="98" t="str">
        <f>IF(IFERROR(VLOOKUP(A118,'1.測量放樣'!C:D,1,0),"")="","","✔")</f>
        <v/>
      </c>
      <c r="C118" s="98" t="str">
        <f>IF(IFERROR(VLOOKUP(A118,'2.土方開挖'!C:D,1,0),"")="","","✔")</f>
        <v/>
      </c>
      <c r="D118" s="98" t="str">
        <f>IF(IFERROR(VLOOKUP(A118,'3.土方回填'!C:D,1,0),"")="","","✔")</f>
        <v/>
      </c>
      <c r="E118" s="98" t="str">
        <f>IF(IFERROR(VLOOKUP(A118,'4.鋼筋'!C:D,1,0),"")="","","✔")</f>
        <v/>
      </c>
      <c r="F118" s="98" t="str">
        <f>IF(IFERROR(VLOOKUP(A118,'5.模板'!C:D,1,0),"")="","","✔")</f>
        <v/>
      </c>
      <c r="G118" s="98" t="str">
        <f>IF(IFERROR(VLOOKUP(A118,'6.混凝土'!C:D,1,0),"")="","","✔")</f>
        <v/>
      </c>
      <c r="H118" s="98" t="str">
        <f>IF(IFERROR(VLOOKUP(A118,'7.植筋'!C:D,1,0),"")="","","✔")</f>
        <v/>
      </c>
      <c r="I118" s="98" t="str">
        <f>IF(IFERROR(VLOOKUP(A118,'8.預力混凝土基樁'!C:D,1,0),"")="","","✔")</f>
        <v/>
      </c>
      <c r="J118" s="98" t="str">
        <f>IF(IFERROR(VLOOKUP(A118,'9.砌塊石護岸'!C:D,1,0),"")="","","✔")</f>
        <v/>
      </c>
      <c r="K118" s="98" t="str">
        <f>IF(IFERROR(VLOOKUP(A118,'10.低水護岸'!C:D,1,0),"")="","","✔")</f>
        <v/>
      </c>
      <c r="L118" s="98" t="str">
        <f>IF(IFERROR(VLOOKUP(A118,'11.固床工'!C:D,1,0),"")="","","✔")</f>
        <v/>
      </c>
      <c r="M118" s="98" t="str">
        <f>IF(IFERROR(VLOOKUP(A118,'12.全套管基樁'!C:D,1,0),"")="","","✔")</f>
        <v>✔</v>
      </c>
      <c r="N118" s="98" t="str">
        <f>IF(IFERROR(VLOOKUP(A118,'13.鋼筋混凝土管工程'!C:D,1,0),"")="","","✔")</f>
        <v/>
      </c>
      <c r="O118" s="98" t="str">
        <f>IF(IFERROR(VLOOKUP(A118,'14.鋼版樁'!C:D,1,0),"")="","","✔")</f>
        <v/>
      </c>
      <c r="P118" s="98" t="str">
        <f>IF(IFERROR(VLOOKUP(A118,'15.路床 路基高程'!C:D,1,0),"")="","","✔")</f>
        <v/>
      </c>
      <c r="Q118" s="98" t="str">
        <f>IF(IFERROR(VLOOKUP(A118,'16.瀝青混凝土'!C:D,1,0),"")="","","✔")</f>
        <v/>
      </c>
      <c r="R118" s="98" t="str">
        <f>IF(IFERROR(VLOOKUP(A118,'17.景觀鋪面(一)'!C:D,1,0),"")="","","✔")</f>
        <v/>
      </c>
      <c r="S118" s="98" t="str">
        <f>IF(IFERROR(VLOOKUP(A118,'18.景觀鋪面(二)'!C:D,1,0),"")="","","✔")</f>
        <v/>
      </c>
      <c r="T118" s="98" t="str">
        <f>IF(IFERROR(VLOOKUP(A118,'19.預鑄緣石'!C:D,1,0),"")="","","✔")</f>
        <v/>
      </c>
      <c r="U118" s="98" t="str">
        <f>IF(IFERROR(VLOOKUP(A118,'20.鋼構工程吊裝'!C:D,1,0),"")="","","✔")</f>
        <v/>
      </c>
      <c r="V118" s="98" t="str">
        <f>IF(IFERROR(VLOOKUP(A118,'21.鋼構工程塗裝'!C:D,1,0),"")="","","✔")</f>
        <v/>
      </c>
      <c r="W118" s="98" t="str">
        <f>IF(IFERROR(VLOOKUP(A118,'22.排水設施(一)'!C:D,1,0),"")="","","✔")</f>
        <v/>
      </c>
      <c r="X118" s="98" t="str">
        <f>IF(IFERROR(VLOOKUP(A118,'23.排水設施(二)'!C:D,1,0),"")="","","✔")</f>
        <v/>
      </c>
      <c r="Y118" s="98" t="str">
        <f>IF(IFERROR(VLOOKUP(A118,'24.木構造'!C:D,1,0),"")="","","✔")</f>
        <v/>
      </c>
      <c r="Z118" s="98" t="str">
        <f>IF(IFERROR(VLOOKUP(A118,'25.管路'!C:D,1,0),"")="","","✔")</f>
        <v/>
      </c>
      <c r="AA118" s="98" t="str">
        <f>IF(IFERROR(VLOOKUP(A118,'26.植栽(移植)'!C:D,1,0),"")="","","✔")</f>
        <v/>
      </c>
      <c r="AB118" s="98" t="str">
        <f>IF(IFERROR(VLOOKUP(A118,'27.植栽(新植)'!C:D,1,0),"")="","","✔")</f>
        <v/>
      </c>
      <c r="AC118" s="98" t="str">
        <f>IF(IFERROR(VLOOKUP(A118,'28.照明'!C:D,1,0),"")="","","✔")</f>
        <v/>
      </c>
      <c r="AD118" s="98" t="str">
        <f>IF(IFERROR(VLOOKUP(A118,'29.既有橋梁拆除'!C:D,1,0),"")="","","✔")</f>
        <v/>
      </c>
    </row>
    <row r="119" spans="1:30" ht="21.75" customHeight="1" x14ac:dyDescent="0.25">
      <c r="A119" s="99">
        <v>45309</v>
      </c>
      <c r="B119" s="98" t="str">
        <f>IF(IFERROR(VLOOKUP(A119,'1.測量放樣'!C:D,1,0),"")="","","✔")</f>
        <v/>
      </c>
      <c r="C119" s="98" t="str">
        <f>IF(IFERROR(VLOOKUP(A119,'2.土方開挖'!C:D,1,0),"")="","","✔")</f>
        <v/>
      </c>
      <c r="D119" s="98" t="str">
        <f>IF(IFERROR(VLOOKUP(A119,'3.土方回填'!C:D,1,0),"")="","","✔")</f>
        <v/>
      </c>
      <c r="E119" s="98" t="str">
        <f>IF(IFERROR(VLOOKUP(A119,'4.鋼筋'!C:D,1,0),"")="","","✔")</f>
        <v/>
      </c>
      <c r="F119" s="98" t="str">
        <f>IF(IFERROR(VLOOKUP(A119,'5.模板'!C:D,1,0),"")="","","✔")</f>
        <v/>
      </c>
      <c r="G119" s="98" t="str">
        <f>IF(IFERROR(VLOOKUP(A119,'6.混凝土'!C:D,1,0),"")="","","✔")</f>
        <v>✔</v>
      </c>
      <c r="H119" s="98" t="str">
        <f>IF(IFERROR(VLOOKUP(A119,'7.植筋'!C:D,1,0),"")="","","✔")</f>
        <v/>
      </c>
      <c r="I119" s="98" t="str">
        <f>IF(IFERROR(VLOOKUP(A119,'8.預力混凝土基樁'!C:D,1,0),"")="","","✔")</f>
        <v/>
      </c>
      <c r="J119" s="98" t="str">
        <f>IF(IFERROR(VLOOKUP(A119,'9.砌塊石護岸'!C:D,1,0),"")="","","✔")</f>
        <v/>
      </c>
      <c r="K119" s="98" t="str">
        <f>IF(IFERROR(VLOOKUP(A119,'10.低水護岸'!C:D,1,0),"")="","","✔")</f>
        <v/>
      </c>
      <c r="L119" s="98" t="str">
        <f>IF(IFERROR(VLOOKUP(A119,'11.固床工'!C:D,1,0),"")="","","✔")</f>
        <v/>
      </c>
      <c r="M119" s="98" t="str">
        <f>IF(IFERROR(VLOOKUP(A119,'12.全套管基樁'!C:D,1,0),"")="","","✔")</f>
        <v>✔</v>
      </c>
      <c r="N119" s="98" t="str">
        <f>IF(IFERROR(VLOOKUP(A119,'13.鋼筋混凝土管工程'!C:D,1,0),"")="","","✔")</f>
        <v/>
      </c>
      <c r="O119" s="98" t="str">
        <f>IF(IFERROR(VLOOKUP(A119,'14.鋼版樁'!C:D,1,0),"")="","","✔")</f>
        <v/>
      </c>
      <c r="P119" s="98" t="str">
        <f>IF(IFERROR(VLOOKUP(A119,'15.路床 路基高程'!C:D,1,0),"")="","","✔")</f>
        <v/>
      </c>
      <c r="Q119" s="98" t="str">
        <f>IF(IFERROR(VLOOKUP(A119,'16.瀝青混凝土'!C:D,1,0),"")="","","✔")</f>
        <v/>
      </c>
      <c r="R119" s="98" t="str">
        <f>IF(IFERROR(VLOOKUP(A119,'17.景觀鋪面(一)'!C:D,1,0),"")="","","✔")</f>
        <v/>
      </c>
      <c r="S119" s="98" t="str">
        <f>IF(IFERROR(VLOOKUP(A119,'18.景觀鋪面(二)'!C:D,1,0),"")="","","✔")</f>
        <v/>
      </c>
      <c r="T119" s="98" t="str">
        <f>IF(IFERROR(VLOOKUP(A119,'19.預鑄緣石'!C:D,1,0),"")="","","✔")</f>
        <v/>
      </c>
      <c r="U119" s="98" t="str">
        <f>IF(IFERROR(VLOOKUP(A119,'20.鋼構工程吊裝'!C:D,1,0),"")="","","✔")</f>
        <v/>
      </c>
      <c r="V119" s="98" t="str">
        <f>IF(IFERROR(VLOOKUP(A119,'21.鋼構工程塗裝'!C:D,1,0),"")="","","✔")</f>
        <v/>
      </c>
      <c r="W119" s="98" t="str">
        <f>IF(IFERROR(VLOOKUP(A119,'22.排水設施(一)'!C:D,1,0),"")="","","✔")</f>
        <v/>
      </c>
      <c r="X119" s="98" t="str">
        <f>IF(IFERROR(VLOOKUP(A119,'23.排水設施(二)'!C:D,1,0),"")="","","✔")</f>
        <v/>
      </c>
      <c r="Y119" s="98" t="str">
        <f>IF(IFERROR(VLOOKUP(A119,'24.木構造'!C:D,1,0),"")="","","✔")</f>
        <v/>
      </c>
      <c r="Z119" s="98" t="str">
        <f>IF(IFERROR(VLOOKUP(A119,'25.管路'!C:D,1,0),"")="","","✔")</f>
        <v/>
      </c>
      <c r="AA119" s="98" t="str">
        <f>IF(IFERROR(VLOOKUP(A119,'26.植栽(移植)'!C:D,1,0),"")="","","✔")</f>
        <v/>
      </c>
      <c r="AB119" s="98" t="str">
        <f>IF(IFERROR(VLOOKUP(A119,'27.植栽(新植)'!C:D,1,0),"")="","","✔")</f>
        <v/>
      </c>
      <c r="AC119" s="98" t="str">
        <f>IF(IFERROR(VLOOKUP(A119,'28.照明'!C:D,1,0),"")="","","✔")</f>
        <v/>
      </c>
      <c r="AD119" s="98" t="str">
        <f>IF(IFERROR(VLOOKUP(A119,'29.既有橋梁拆除'!C:D,1,0),"")="","","✔")</f>
        <v/>
      </c>
    </row>
    <row r="120" spans="1:30" ht="21.75" customHeight="1" x14ac:dyDescent="0.25">
      <c r="A120" s="99">
        <v>45310</v>
      </c>
      <c r="B120" s="98" t="str">
        <f>IF(IFERROR(VLOOKUP(A120,'1.測量放樣'!C:D,1,0),"")="","","✔")</f>
        <v/>
      </c>
      <c r="C120" s="98" t="str">
        <f>IF(IFERROR(VLOOKUP(A120,'2.土方開挖'!C:D,1,0),"")="","","✔")</f>
        <v/>
      </c>
      <c r="D120" s="98" t="str">
        <f>IF(IFERROR(VLOOKUP(A120,'3.土方回填'!C:D,1,0),"")="","","✔")</f>
        <v/>
      </c>
      <c r="E120" s="98" t="str">
        <f>IF(IFERROR(VLOOKUP(A120,'4.鋼筋'!C:D,1,0),"")="","","✔")</f>
        <v>✔</v>
      </c>
      <c r="F120" s="98" t="str">
        <f>IF(IFERROR(VLOOKUP(A120,'5.模板'!C:D,1,0),"")="","","✔")</f>
        <v/>
      </c>
      <c r="G120" s="98" t="str">
        <f>IF(IFERROR(VLOOKUP(A120,'6.混凝土'!C:D,1,0),"")="","","✔")</f>
        <v/>
      </c>
      <c r="H120" s="98" t="str">
        <f>IF(IFERROR(VLOOKUP(A120,'7.植筋'!C:D,1,0),"")="","","✔")</f>
        <v/>
      </c>
      <c r="I120" s="98" t="str">
        <f>IF(IFERROR(VLOOKUP(A120,'8.預力混凝土基樁'!C:D,1,0),"")="","","✔")</f>
        <v/>
      </c>
      <c r="J120" s="98" t="str">
        <f>IF(IFERROR(VLOOKUP(A120,'9.砌塊石護岸'!C:D,1,0),"")="","","✔")</f>
        <v/>
      </c>
      <c r="K120" s="98" t="str">
        <f>IF(IFERROR(VLOOKUP(A120,'10.低水護岸'!C:D,1,0),"")="","","✔")</f>
        <v/>
      </c>
      <c r="L120" s="98" t="str">
        <f>IF(IFERROR(VLOOKUP(A120,'11.固床工'!C:D,1,0),"")="","","✔")</f>
        <v/>
      </c>
      <c r="M120" s="98" t="str">
        <f>IF(IFERROR(VLOOKUP(A120,'12.全套管基樁'!C:D,1,0),"")="","","✔")</f>
        <v/>
      </c>
      <c r="N120" s="98" t="str">
        <f>IF(IFERROR(VLOOKUP(A120,'13.鋼筋混凝土管工程'!C:D,1,0),"")="","","✔")</f>
        <v/>
      </c>
      <c r="O120" s="98" t="str">
        <f>IF(IFERROR(VLOOKUP(A120,'14.鋼版樁'!C:D,1,0),"")="","","✔")</f>
        <v/>
      </c>
      <c r="P120" s="98" t="str">
        <f>IF(IFERROR(VLOOKUP(A120,'15.路床 路基高程'!C:D,1,0),"")="","","✔")</f>
        <v/>
      </c>
      <c r="Q120" s="98" t="str">
        <f>IF(IFERROR(VLOOKUP(A120,'16.瀝青混凝土'!C:D,1,0),"")="","","✔")</f>
        <v/>
      </c>
      <c r="R120" s="98" t="str">
        <f>IF(IFERROR(VLOOKUP(A120,'17.景觀鋪面(一)'!C:D,1,0),"")="","","✔")</f>
        <v/>
      </c>
      <c r="S120" s="98" t="str">
        <f>IF(IFERROR(VLOOKUP(A120,'18.景觀鋪面(二)'!C:D,1,0),"")="","","✔")</f>
        <v/>
      </c>
      <c r="T120" s="98" t="str">
        <f>IF(IFERROR(VLOOKUP(A120,'19.預鑄緣石'!C:D,1,0),"")="","","✔")</f>
        <v/>
      </c>
      <c r="U120" s="98" t="str">
        <f>IF(IFERROR(VLOOKUP(A120,'20.鋼構工程吊裝'!C:D,1,0),"")="","","✔")</f>
        <v/>
      </c>
      <c r="V120" s="98" t="str">
        <f>IF(IFERROR(VLOOKUP(A120,'21.鋼構工程塗裝'!C:D,1,0),"")="","","✔")</f>
        <v/>
      </c>
      <c r="W120" s="98" t="str">
        <f>IF(IFERROR(VLOOKUP(A120,'22.排水設施(一)'!C:D,1,0),"")="","","✔")</f>
        <v/>
      </c>
      <c r="X120" s="98" t="str">
        <f>IF(IFERROR(VLOOKUP(A120,'23.排水設施(二)'!C:D,1,0),"")="","","✔")</f>
        <v/>
      </c>
      <c r="Y120" s="98" t="str">
        <f>IF(IFERROR(VLOOKUP(A120,'24.木構造'!C:D,1,0),"")="","","✔")</f>
        <v/>
      </c>
      <c r="Z120" s="98" t="str">
        <f>IF(IFERROR(VLOOKUP(A120,'25.管路'!C:D,1,0),"")="","","✔")</f>
        <v/>
      </c>
      <c r="AA120" s="98" t="str">
        <f>IF(IFERROR(VLOOKUP(A120,'26.植栽(移植)'!C:D,1,0),"")="","","✔")</f>
        <v/>
      </c>
      <c r="AB120" s="98" t="str">
        <f>IF(IFERROR(VLOOKUP(A120,'27.植栽(新植)'!C:D,1,0),"")="","","✔")</f>
        <v/>
      </c>
      <c r="AC120" s="98" t="str">
        <f>IF(IFERROR(VLOOKUP(A120,'28.照明'!C:D,1,0),"")="","","✔")</f>
        <v/>
      </c>
      <c r="AD120" s="98" t="str">
        <f>IF(IFERROR(VLOOKUP(A120,'29.既有橋梁拆除'!C:D,1,0),"")="","","✔")</f>
        <v/>
      </c>
    </row>
    <row r="121" spans="1:30" ht="21.75" customHeight="1" x14ac:dyDescent="0.25">
      <c r="A121" s="99">
        <v>45311</v>
      </c>
      <c r="B121" s="98" t="str">
        <f>IF(IFERROR(VLOOKUP(A121,'1.測量放樣'!C:D,1,0),"")="","","✔")</f>
        <v/>
      </c>
      <c r="C121" s="98" t="str">
        <f>IF(IFERROR(VLOOKUP(A121,'2.土方開挖'!C:D,1,0),"")="","","✔")</f>
        <v/>
      </c>
      <c r="D121" s="98" t="str">
        <f>IF(IFERROR(VLOOKUP(A121,'3.土方回填'!C:D,1,0),"")="","","✔")</f>
        <v/>
      </c>
      <c r="E121" s="98" t="str">
        <f>IF(IFERROR(VLOOKUP(A121,'4.鋼筋'!C:D,1,0),"")="","","✔")</f>
        <v/>
      </c>
      <c r="F121" s="98" t="str">
        <f>IF(IFERROR(VLOOKUP(A121,'5.模板'!C:D,1,0),"")="","","✔")</f>
        <v/>
      </c>
      <c r="G121" s="98" t="str">
        <f>IF(IFERROR(VLOOKUP(A121,'6.混凝土'!C:D,1,0),"")="","","✔")</f>
        <v>✔</v>
      </c>
      <c r="H121" s="98" t="str">
        <f>IF(IFERROR(VLOOKUP(A121,'7.植筋'!C:D,1,0),"")="","","✔")</f>
        <v/>
      </c>
      <c r="I121" s="98" t="str">
        <f>IF(IFERROR(VLOOKUP(A121,'8.預力混凝土基樁'!C:D,1,0),"")="","","✔")</f>
        <v/>
      </c>
      <c r="J121" s="98" t="str">
        <f>IF(IFERROR(VLOOKUP(A121,'9.砌塊石護岸'!C:D,1,0),"")="","","✔")</f>
        <v/>
      </c>
      <c r="K121" s="98" t="str">
        <f>IF(IFERROR(VLOOKUP(A121,'10.低水護岸'!C:D,1,0),"")="","","✔")</f>
        <v/>
      </c>
      <c r="L121" s="98" t="str">
        <f>IF(IFERROR(VLOOKUP(A121,'11.固床工'!C:D,1,0),"")="","","✔")</f>
        <v/>
      </c>
      <c r="M121" s="98" t="str">
        <f>IF(IFERROR(VLOOKUP(A121,'12.全套管基樁'!C:D,1,0),"")="","","✔")</f>
        <v>✔</v>
      </c>
      <c r="N121" s="98" t="str">
        <f>IF(IFERROR(VLOOKUP(A121,'13.鋼筋混凝土管工程'!C:D,1,0),"")="","","✔")</f>
        <v/>
      </c>
      <c r="O121" s="98" t="str">
        <f>IF(IFERROR(VLOOKUP(A121,'14.鋼版樁'!C:D,1,0),"")="","","✔")</f>
        <v/>
      </c>
      <c r="P121" s="98" t="str">
        <f>IF(IFERROR(VLOOKUP(A121,'15.路床 路基高程'!C:D,1,0),"")="","","✔")</f>
        <v/>
      </c>
      <c r="Q121" s="98" t="str">
        <f>IF(IFERROR(VLOOKUP(A121,'16.瀝青混凝土'!C:D,1,0),"")="","","✔")</f>
        <v/>
      </c>
      <c r="R121" s="98" t="str">
        <f>IF(IFERROR(VLOOKUP(A121,'17.景觀鋪面(一)'!C:D,1,0),"")="","","✔")</f>
        <v/>
      </c>
      <c r="S121" s="98" t="str">
        <f>IF(IFERROR(VLOOKUP(A121,'18.景觀鋪面(二)'!C:D,1,0),"")="","","✔")</f>
        <v/>
      </c>
      <c r="T121" s="98" t="str">
        <f>IF(IFERROR(VLOOKUP(A121,'19.預鑄緣石'!C:D,1,0),"")="","","✔")</f>
        <v/>
      </c>
      <c r="U121" s="98" t="str">
        <f>IF(IFERROR(VLOOKUP(A121,'20.鋼構工程吊裝'!C:D,1,0),"")="","","✔")</f>
        <v/>
      </c>
      <c r="V121" s="98" t="str">
        <f>IF(IFERROR(VLOOKUP(A121,'21.鋼構工程塗裝'!C:D,1,0),"")="","","✔")</f>
        <v/>
      </c>
      <c r="W121" s="98" t="str">
        <f>IF(IFERROR(VLOOKUP(A121,'22.排水設施(一)'!C:D,1,0),"")="","","✔")</f>
        <v/>
      </c>
      <c r="X121" s="98" t="str">
        <f>IF(IFERROR(VLOOKUP(A121,'23.排水設施(二)'!C:D,1,0),"")="","","✔")</f>
        <v/>
      </c>
      <c r="Y121" s="98" t="str">
        <f>IF(IFERROR(VLOOKUP(A121,'24.木構造'!C:D,1,0),"")="","","✔")</f>
        <v/>
      </c>
      <c r="Z121" s="98" t="str">
        <f>IF(IFERROR(VLOOKUP(A121,'25.管路'!C:D,1,0),"")="","","✔")</f>
        <v/>
      </c>
      <c r="AA121" s="98" t="str">
        <f>IF(IFERROR(VLOOKUP(A121,'26.植栽(移植)'!C:D,1,0),"")="","","✔")</f>
        <v/>
      </c>
      <c r="AB121" s="98" t="str">
        <f>IF(IFERROR(VLOOKUP(A121,'27.植栽(新植)'!C:D,1,0),"")="","","✔")</f>
        <v/>
      </c>
      <c r="AC121" s="98" t="str">
        <f>IF(IFERROR(VLOOKUP(A121,'28.照明'!C:D,1,0),"")="","","✔")</f>
        <v/>
      </c>
      <c r="AD121" s="98" t="str">
        <f>IF(IFERROR(VLOOKUP(A121,'29.既有橋梁拆除'!C:D,1,0),"")="","","✔")</f>
        <v/>
      </c>
    </row>
    <row r="122" spans="1:30" ht="21.75" customHeight="1" x14ac:dyDescent="0.25">
      <c r="A122" s="99">
        <v>45312</v>
      </c>
      <c r="B122" s="98" t="str">
        <f>IF(IFERROR(VLOOKUP(A122,'1.測量放樣'!C:D,1,0),"")="","","✔")</f>
        <v/>
      </c>
      <c r="C122" s="98" t="str">
        <f>IF(IFERROR(VLOOKUP(A122,'2.土方開挖'!C:D,1,0),"")="","","✔")</f>
        <v/>
      </c>
      <c r="D122" s="98" t="str">
        <f>IF(IFERROR(VLOOKUP(A122,'3.土方回填'!C:D,1,0),"")="","","✔")</f>
        <v/>
      </c>
      <c r="E122" s="98" t="str">
        <f>IF(IFERROR(VLOOKUP(A122,'4.鋼筋'!C:D,1,0),"")="","","✔")</f>
        <v/>
      </c>
      <c r="F122" s="98" t="str">
        <f>IF(IFERROR(VLOOKUP(A122,'5.模板'!C:D,1,0),"")="","","✔")</f>
        <v/>
      </c>
      <c r="G122" s="98" t="str">
        <f>IF(IFERROR(VLOOKUP(A122,'6.混凝土'!C:D,1,0),"")="","","✔")</f>
        <v/>
      </c>
      <c r="H122" s="98" t="str">
        <f>IF(IFERROR(VLOOKUP(A122,'7.植筋'!C:D,1,0),"")="","","✔")</f>
        <v/>
      </c>
      <c r="I122" s="98" t="str">
        <f>IF(IFERROR(VLOOKUP(A122,'8.預力混凝土基樁'!C:D,1,0),"")="","","✔")</f>
        <v/>
      </c>
      <c r="J122" s="98" t="str">
        <f>IF(IFERROR(VLOOKUP(A122,'9.砌塊石護岸'!C:D,1,0),"")="","","✔")</f>
        <v/>
      </c>
      <c r="K122" s="98" t="str">
        <f>IF(IFERROR(VLOOKUP(A122,'10.低水護岸'!C:D,1,0),"")="","","✔")</f>
        <v/>
      </c>
      <c r="L122" s="98" t="str">
        <f>IF(IFERROR(VLOOKUP(A122,'11.固床工'!C:D,1,0),"")="","","✔")</f>
        <v/>
      </c>
      <c r="M122" s="98" t="str">
        <f>IF(IFERROR(VLOOKUP(A122,'12.全套管基樁'!C:D,1,0),"")="","","✔")</f>
        <v/>
      </c>
      <c r="N122" s="98" t="str">
        <f>IF(IFERROR(VLOOKUP(A122,'13.鋼筋混凝土管工程'!C:D,1,0),"")="","","✔")</f>
        <v/>
      </c>
      <c r="O122" s="98" t="str">
        <f>IF(IFERROR(VLOOKUP(A122,'14.鋼版樁'!C:D,1,0),"")="","","✔")</f>
        <v/>
      </c>
      <c r="P122" s="98" t="str">
        <f>IF(IFERROR(VLOOKUP(A122,'15.路床 路基高程'!C:D,1,0),"")="","","✔")</f>
        <v/>
      </c>
      <c r="Q122" s="98" t="str">
        <f>IF(IFERROR(VLOOKUP(A122,'16.瀝青混凝土'!C:D,1,0),"")="","","✔")</f>
        <v/>
      </c>
      <c r="R122" s="98" t="str">
        <f>IF(IFERROR(VLOOKUP(A122,'17.景觀鋪面(一)'!C:D,1,0),"")="","","✔")</f>
        <v/>
      </c>
      <c r="S122" s="98" t="str">
        <f>IF(IFERROR(VLOOKUP(A122,'18.景觀鋪面(二)'!C:D,1,0),"")="","","✔")</f>
        <v/>
      </c>
      <c r="T122" s="98" t="str">
        <f>IF(IFERROR(VLOOKUP(A122,'19.預鑄緣石'!C:D,1,0),"")="","","✔")</f>
        <v/>
      </c>
      <c r="U122" s="98" t="str">
        <f>IF(IFERROR(VLOOKUP(A122,'20.鋼構工程吊裝'!C:D,1,0),"")="","","✔")</f>
        <v/>
      </c>
      <c r="V122" s="98" t="str">
        <f>IF(IFERROR(VLOOKUP(A122,'21.鋼構工程塗裝'!C:D,1,0),"")="","","✔")</f>
        <v/>
      </c>
      <c r="W122" s="98" t="str">
        <f>IF(IFERROR(VLOOKUP(A122,'22.排水設施(一)'!C:D,1,0),"")="","","✔")</f>
        <v/>
      </c>
      <c r="X122" s="98" t="str">
        <f>IF(IFERROR(VLOOKUP(A122,'23.排水設施(二)'!C:D,1,0),"")="","","✔")</f>
        <v/>
      </c>
      <c r="Y122" s="98" t="str">
        <f>IF(IFERROR(VLOOKUP(A122,'24.木構造'!C:D,1,0),"")="","","✔")</f>
        <v/>
      </c>
      <c r="Z122" s="98" t="str">
        <f>IF(IFERROR(VLOOKUP(A122,'25.管路'!C:D,1,0),"")="","","✔")</f>
        <v/>
      </c>
      <c r="AA122" s="98" t="str">
        <f>IF(IFERROR(VLOOKUP(A122,'26.植栽(移植)'!C:D,1,0),"")="","","✔")</f>
        <v/>
      </c>
      <c r="AB122" s="98" t="str">
        <f>IF(IFERROR(VLOOKUP(A122,'27.植栽(新植)'!C:D,1,0),"")="","","✔")</f>
        <v/>
      </c>
      <c r="AC122" s="98" t="str">
        <f>IF(IFERROR(VLOOKUP(A122,'28.照明'!C:D,1,0),"")="","","✔")</f>
        <v/>
      </c>
      <c r="AD122" s="98" t="str">
        <f>IF(IFERROR(VLOOKUP(A122,'29.既有橋梁拆除'!C:D,1,0),"")="","","✔")</f>
        <v/>
      </c>
    </row>
    <row r="123" spans="1:30" ht="21.75" customHeight="1" x14ac:dyDescent="0.25">
      <c r="A123" s="99">
        <v>45313</v>
      </c>
      <c r="B123" s="98" t="str">
        <f>IF(IFERROR(VLOOKUP(A123,'1.測量放樣'!C:D,1,0),"")="","","✔")</f>
        <v/>
      </c>
      <c r="C123" s="98" t="str">
        <f>IF(IFERROR(VLOOKUP(A123,'2.土方開挖'!C:D,1,0),"")="","","✔")</f>
        <v/>
      </c>
      <c r="D123" s="98" t="str">
        <f>IF(IFERROR(VLOOKUP(A123,'3.土方回填'!C:D,1,0),"")="","","✔")</f>
        <v/>
      </c>
      <c r="E123" s="98" t="str">
        <f>IF(IFERROR(VLOOKUP(A123,'4.鋼筋'!C:D,1,0),"")="","","✔")</f>
        <v/>
      </c>
      <c r="F123" s="98" t="str">
        <f>IF(IFERROR(VLOOKUP(A123,'5.模板'!C:D,1,0),"")="","","✔")</f>
        <v/>
      </c>
      <c r="G123" s="98" t="str">
        <f>IF(IFERROR(VLOOKUP(A123,'6.混凝土'!C:D,1,0),"")="","","✔")</f>
        <v/>
      </c>
      <c r="H123" s="98" t="str">
        <f>IF(IFERROR(VLOOKUP(A123,'7.植筋'!C:D,1,0),"")="","","✔")</f>
        <v/>
      </c>
      <c r="I123" s="98" t="str">
        <f>IF(IFERROR(VLOOKUP(A123,'8.預力混凝土基樁'!C:D,1,0),"")="","","✔")</f>
        <v/>
      </c>
      <c r="J123" s="98" t="str">
        <f>IF(IFERROR(VLOOKUP(A123,'9.砌塊石護岸'!C:D,1,0),"")="","","✔")</f>
        <v/>
      </c>
      <c r="K123" s="98" t="str">
        <f>IF(IFERROR(VLOOKUP(A123,'10.低水護岸'!C:D,1,0),"")="","","✔")</f>
        <v/>
      </c>
      <c r="L123" s="98" t="str">
        <f>IF(IFERROR(VLOOKUP(A123,'11.固床工'!C:D,1,0),"")="","","✔")</f>
        <v/>
      </c>
      <c r="M123" s="98" t="str">
        <f>IF(IFERROR(VLOOKUP(A123,'12.全套管基樁'!C:D,1,0),"")="","","✔")</f>
        <v/>
      </c>
      <c r="N123" s="98" t="str">
        <f>IF(IFERROR(VLOOKUP(A123,'13.鋼筋混凝土管工程'!C:D,1,0),"")="","","✔")</f>
        <v/>
      </c>
      <c r="O123" s="98" t="str">
        <f>IF(IFERROR(VLOOKUP(A123,'14.鋼版樁'!C:D,1,0),"")="","","✔")</f>
        <v/>
      </c>
      <c r="P123" s="98" t="str">
        <f>IF(IFERROR(VLOOKUP(A123,'15.路床 路基高程'!C:D,1,0),"")="","","✔")</f>
        <v/>
      </c>
      <c r="Q123" s="98" t="str">
        <f>IF(IFERROR(VLOOKUP(A123,'16.瀝青混凝土'!C:D,1,0),"")="","","✔")</f>
        <v/>
      </c>
      <c r="R123" s="98" t="str">
        <f>IF(IFERROR(VLOOKUP(A123,'17.景觀鋪面(一)'!C:D,1,0),"")="","","✔")</f>
        <v/>
      </c>
      <c r="S123" s="98" t="str">
        <f>IF(IFERROR(VLOOKUP(A123,'18.景觀鋪面(二)'!C:D,1,0),"")="","","✔")</f>
        <v/>
      </c>
      <c r="T123" s="98" t="str">
        <f>IF(IFERROR(VLOOKUP(A123,'19.預鑄緣石'!C:D,1,0),"")="","","✔")</f>
        <v/>
      </c>
      <c r="U123" s="98" t="str">
        <f>IF(IFERROR(VLOOKUP(A123,'20.鋼構工程吊裝'!C:D,1,0),"")="","","✔")</f>
        <v/>
      </c>
      <c r="V123" s="98" t="str">
        <f>IF(IFERROR(VLOOKUP(A123,'21.鋼構工程塗裝'!C:D,1,0),"")="","","✔")</f>
        <v/>
      </c>
      <c r="W123" s="98" t="str">
        <f>IF(IFERROR(VLOOKUP(A123,'22.排水設施(一)'!C:D,1,0),"")="","","✔")</f>
        <v/>
      </c>
      <c r="X123" s="98" t="str">
        <f>IF(IFERROR(VLOOKUP(A123,'23.排水設施(二)'!C:D,1,0),"")="","","✔")</f>
        <v/>
      </c>
      <c r="Y123" s="98" t="str">
        <f>IF(IFERROR(VLOOKUP(A123,'24.木構造'!C:D,1,0),"")="","","✔")</f>
        <v/>
      </c>
      <c r="Z123" s="98" t="str">
        <f>IF(IFERROR(VLOOKUP(A123,'25.管路'!C:D,1,0),"")="","","✔")</f>
        <v/>
      </c>
      <c r="AA123" s="98" t="str">
        <f>IF(IFERROR(VLOOKUP(A123,'26.植栽(移植)'!C:D,1,0),"")="","","✔")</f>
        <v/>
      </c>
      <c r="AB123" s="98" t="str">
        <f>IF(IFERROR(VLOOKUP(A123,'27.植栽(新植)'!C:D,1,0),"")="","","✔")</f>
        <v/>
      </c>
      <c r="AC123" s="98" t="str">
        <f>IF(IFERROR(VLOOKUP(A123,'28.照明'!C:D,1,0),"")="","","✔")</f>
        <v/>
      </c>
      <c r="AD123" s="98" t="str">
        <f>IF(IFERROR(VLOOKUP(A123,'29.既有橋梁拆除'!C:D,1,0),"")="","","✔")</f>
        <v/>
      </c>
    </row>
    <row r="124" spans="1:30" ht="21.75" customHeight="1" x14ac:dyDescent="0.25">
      <c r="A124" s="99">
        <v>45314</v>
      </c>
      <c r="B124" s="98" t="str">
        <f>IF(IFERROR(VLOOKUP(A124,'1.測量放樣'!C:D,1,0),"")="","","✔")</f>
        <v/>
      </c>
      <c r="C124" s="98" t="str">
        <f>IF(IFERROR(VLOOKUP(A124,'2.土方開挖'!C:D,1,0),"")="","","✔")</f>
        <v/>
      </c>
      <c r="D124" s="98" t="str">
        <f>IF(IFERROR(VLOOKUP(A124,'3.土方回填'!C:D,1,0),"")="","","✔")</f>
        <v/>
      </c>
      <c r="E124" s="98" t="str">
        <f>IF(IFERROR(VLOOKUP(A124,'4.鋼筋'!C:D,1,0),"")="","","✔")</f>
        <v/>
      </c>
      <c r="F124" s="98" t="str">
        <f>IF(IFERROR(VLOOKUP(A124,'5.模板'!C:D,1,0),"")="","","✔")</f>
        <v/>
      </c>
      <c r="G124" s="98" t="str">
        <f>IF(IFERROR(VLOOKUP(A124,'6.混凝土'!C:D,1,0),"")="","","✔")</f>
        <v>✔</v>
      </c>
      <c r="H124" s="98" t="str">
        <f>IF(IFERROR(VLOOKUP(A124,'7.植筋'!C:D,1,0),"")="","","✔")</f>
        <v/>
      </c>
      <c r="I124" s="98" t="str">
        <f>IF(IFERROR(VLOOKUP(A124,'8.預力混凝土基樁'!C:D,1,0),"")="","","✔")</f>
        <v/>
      </c>
      <c r="J124" s="98" t="str">
        <f>IF(IFERROR(VLOOKUP(A124,'9.砌塊石護岸'!C:D,1,0),"")="","","✔")</f>
        <v/>
      </c>
      <c r="K124" s="98" t="str">
        <f>IF(IFERROR(VLOOKUP(A124,'10.低水護岸'!C:D,1,0),"")="","","✔")</f>
        <v/>
      </c>
      <c r="L124" s="98" t="str">
        <f>IF(IFERROR(VLOOKUP(A124,'11.固床工'!C:D,1,0),"")="","","✔")</f>
        <v/>
      </c>
      <c r="M124" s="98" t="str">
        <f>IF(IFERROR(VLOOKUP(A124,'12.全套管基樁'!C:D,1,0),"")="","","✔")</f>
        <v>✔</v>
      </c>
      <c r="N124" s="98" t="str">
        <f>IF(IFERROR(VLOOKUP(A124,'13.鋼筋混凝土管工程'!C:D,1,0),"")="","","✔")</f>
        <v/>
      </c>
      <c r="O124" s="98" t="str">
        <f>IF(IFERROR(VLOOKUP(A124,'14.鋼版樁'!C:D,1,0),"")="","","✔")</f>
        <v/>
      </c>
      <c r="P124" s="98" t="str">
        <f>IF(IFERROR(VLOOKUP(A124,'15.路床 路基高程'!C:D,1,0),"")="","","✔")</f>
        <v/>
      </c>
      <c r="Q124" s="98" t="str">
        <f>IF(IFERROR(VLOOKUP(A124,'16.瀝青混凝土'!C:D,1,0),"")="","","✔")</f>
        <v/>
      </c>
      <c r="R124" s="98" t="str">
        <f>IF(IFERROR(VLOOKUP(A124,'17.景觀鋪面(一)'!C:D,1,0),"")="","","✔")</f>
        <v/>
      </c>
      <c r="S124" s="98" t="str">
        <f>IF(IFERROR(VLOOKUP(A124,'18.景觀鋪面(二)'!C:D,1,0),"")="","","✔")</f>
        <v/>
      </c>
      <c r="T124" s="98" t="str">
        <f>IF(IFERROR(VLOOKUP(A124,'19.預鑄緣石'!C:D,1,0),"")="","","✔")</f>
        <v/>
      </c>
      <c r="U124" s="98" t="str">
        <f>IF(IFERROR(VLOOKUP(A124,'20.鋼構工程吊裝'!C:D,1,0),"")="","","✔")</f>
        <v/>
      </c>
      <c r="V124" s="98" t="str">
        <f>IF(IFERROR(VLOOKUP(A124,'21.鋼構工程塗裝'!C:D,1,0),"")="","","✔")</f>
        <v/>
      </c>
      <c r="W124" s="98" t="str">
        <f>IF(IFERROR(VLOOKUP(A124,'22.排水設施(一)'!C:D,1,0),"")="","","✔")</f>
        <v/>
      </c>
      <c r="X124" s="98" t="str">
        <f>IF(IFERROR(VLOOKUP(A124,'23.排水設施(二)'!C:D,1,0),"")="","","✔")</f>
        <v/>
      </c>
      <c r="Y124" s="98" t="str">
        <f>IF(IFERROR(VLOOKUP(A124,'24.木構造'!C:D,1,0),"")="","","✔")</f>
        <v/>
      </c>
      <c r="Z124" s="98" t="str">
        <f>IF(IFERROR(VLOOKUP(A124,'25.管路'!C:D,1,0),"")="","","✔")</f>
        <v/>
      </c>
      <c r="AA124" s="98" t="str">
        <f>IF(IFERROR(VLOOKUP(A124,'26.植栽(移植)'!C:D,1,0),"")="","","✔")</f>
        <v/>
      </c>
      <c r="AB124" s="98" t="str">
        <f>IF(IFERROR(VLOOKUP(A124,'27.植栽(新植)'!C:D,1,0),"")="","","✔")</f>
        <v/>
      </c>
      <c r="AC124" s="98" t="str">
        <f>IF(IFERROR(VLOOKUP(A124,'28.照明'!C:D,1,0),"")="","","✔")</f>
        <v/>
      </c>
      <c r="AD124" s="98" t="str">
        <f>IF(IFERROR(VLOOKUP(A124,'29.既有橋梁拆除'!C:D,1,0),"")="","","✔")</f>
        <v/>
      </c>
    </row>
    <row r="125" spans="1:30" ht="21.75" customHeight="1" x14ac:dyDescent="0.25">
      <c r="A125" s="99">
        <v>45315</v>
      </c>
      <c r="B125" s="98" t="str">
        <f>IF(IFERROR(VLOOKUP(A125,'1.測量放樣'!C:D,1,0),"")="","","✔")</f>
        <v/>
      </c>
      <c r="C125" s="98" t="str">
        <f>IF(IFERROR(VLOOKUP(A125,'2.土方開挖'!C:D,1,0),"")="","","✔")</f>
        <v/>
      </c>
      <c r="D125" s="98" t="str">
        <f>IF(IFERROR(VLOOKUP(A125,'3.土方回填'!C:D,1,0),"")="","","✔")</f>
        <v/>
      </c>
      <c r="E125" s="98" t="str">
        <f>IF(IFERROR(VLOOKUP(A125,'4.鋼筋'!C:D,1,0),"")="","","✔")</f>
        <v/>
      </c>
      <c r="F125" s="98" t="str">
        <f>IF(IFERROR(VLOOKUP(A125,'5.模板'!C:D,1,0),"")="","","✔")</f>
        <v/>
      </c>
      <c r="G125" s="98" t="str">
        <f>IF(IFERROR(VLOOKUP(A125,'6.混凝土'!C:D,1,0),"")="","","✔")</f>
        <v/>
      </c>
      <c r="H125" s="98" t="str">
        <f>IF(IFERROR(VLOOKUP(A125,'7.植筋'!C:D,1,0),"")="","","✔")</f>
        <v/>
      </c>
      <c r="I125" s="98" t="str">
        <f>IF(IFERROR(VLOOKUP(A125,'8.預力混凝土基樁'!C:D,1,0),"")="","","✔")</f>
        <v/>
      </c>
      <c r="J125" s="98" t="str">
        <f>IF(IFERROR(VLOOKUP(A125,'9.砌塊石護岸'!C:D,1,0),"")="","","✔")</f>
        <v/>
      </c>
      <c r="K125" s="98" t="str">
        <f>IF(IFERROR(VLOOKUP(A125,'10.低水護岸'!C:D,1,0),"")="","","✔")</f>
        <v/>
      </c>
      <c r="L125" s="98" t="str">
        <f>IF(IFERROR(VLOOKUP(A125,'11.固床工'!C:D,1,0),"")="","","✔")</f>
        <v/>
      </c>
      <c r="M125" s="98" t="str">
        <f>IF(IFERROR(VLOOKUP(A125,'12.全套管基樁'!C:D,1,0),"")="","","✔")</f>
        <v/>
      </c>
      <c r="N125" s="98" t="str">
        <f>IF(IFERROR(VLOOKUP(A125,'13.鋼筋混凝土管工程'!C:D,1,0),"")="","","✔")</f>
        <v/>
      </c>
      <c r="O125" s="98" t="str">
        <f>IF(IFERROR(VLOOKUP(A125,'14.鋼版樁'!C:D,1,0),"")="","","✔")</f>
        <v/>
      </c>
      <c r="P125" s="98" t="str">
        <f>IF(IFERROR(VLOOKUP(A125,'15.路床 路基高程'!C:D,1,0),"")="","","✔")</f>
        <v/>
      </c>
      <c r="Q125" s="98" t="str">
        <f>IF(IFERROR(VLOOKUP(A125,'16.瀝青混凝土'!C:D,1,0),"")="","","✔")</f>
        <v/>
      </c>
      <c r="R125" s="98" t="str">
        <f>IF(IFERROR(VLOOKUP(A125,'17.景觀鋪面(一)'!C:D,1,0),"")="","","✔")</f>
        <v/>
      </c>
      <c r="S125" s="98" t="str">
        <f>IF(IFERROR(VLOOKUP(A125,'18.景觀鋪面(二)'!C:D,1,0),"")="","","✔")</f>
        <v/>
      </c>
      <c r="T125" s="98" t="str">
        <f>IF(IFERROR(VLOOKUP(A125,'19.預鑄緣石'!C:D,1,0),"")="","","✔")</f>
        <v/>
      </c>
      <c r="U125" s="98" t="str">
        <f>IF(IFERROR(VLOOKUP(A125,'20.鋼構工程吊裝'!C:D,1,0),"")="","","✔")</f>
        <v/>
      </c>
      <c r="V125" s="98" t="str">
        <f>IF(IFERROR(VLOOKUP(A125,'21.鋼構工程塗裝'!C:D,1,0),"")="","","✔")</f>
        <v/>
      </c>
      <c r="W125" s="98" t="str">
        <f>IF(IFERROR(VLOOKUP(A125,'22.排水設施(一)'!C:D,1,0),"")="","","✔")</f>
        <v/>
      </c>
      <c r="X125" s="98" t="str">
        <f>IF(IFERROR(VLOOKUP(A125,'23.排水設施(二)'!C:D,1,0),"")="","","✔")</f>
        <v/>
      </c>
      <c r="Y125" s="98" t="str">
        <f>IF(IFERROR(VLOOKUP(A125,'24.木構造'!C:D,1,0),"")="","","✔")</f>
        <v/>
      </c>
      <c r="Z125" s="98" t="str">
        <f>IF(IFERROR(VLOOKUP(A125,'25.管路'!C:D,1,0),"")="","","✔")</f>
        <v/>
      </c>
      <c r="AA125" s="98" t="str">
        <f>IF(IFERROR(VLOOKUP(A125,'26.植栽(移植)'!C:D,1,0),"")="","","✔")</f>
        <v/>
      </c>
      <c r="AB125" s="98" t="str">
        <f>IF(IFERROR(VLOOKUP(A125,'27.植栽(新植)'!C:D,1,0),"")="","","✔")</f>
        <v/>
      </c>
      <c r="AC125" s="98" t="str">
        <f>IF(IFERROR(VLOOKUP(A125,'28.照明'!C:D,1,0),"")="","","✔")</f>
        <v/>
      </c>
      <c r="AD125" s="98" t="str">
        <f>IF(IFERROR(VLOOKUP(A125,'29.既有橋梁拆除'!C:D,1,0),"")="","","✔")</f>
        <v/>
      </c>
    </row>
    <row r="126" spans="1:30" ht="21.75" customHeight="1" x14ac:dyDescent="0.25">
      <c r="A126" s="99">
        <v>45316</v>
      </c>
      <c r="B126" s="98" t="str">
        <f>IF(IFERROR(VLOOKUP(A126,'1.測量放樣'!C:D,1,0),"")="","","✔")</f>
        <v/>
      </c>
      <c r="C126" s="98" t="str">
        <f>IF(IFERROR(VLOOKUP(A126,'2.土方開挖'!C:D,1,0),"")="","","✔")</f>
        <v/>
      </c>
      <c r="D126" s="98" t="str">
        <f>IF(IFERROR(VLOOKUP(A126,'3.土方回填'!C:D,1,0),"")="","","✔")</f>
        <v/>
      </c>
      <c r="E126" s="98" t="str">
        <f>IF(IFERROR(VLOOKUP(A126,'4.鋼筋'!C:D,1,0),"")="","","✔")</f>
        <v/>
      </c>
      <c r="F126" s="98" t="str">
        <f>IF(IFERROR(VLOOKUP(A126,'5.模板'!C:D,1,0),"")="","","✔")</f>
        <v/>
      </c>
      <c r="G126" s="98" t="str">
        <f>IF(IFERROR(VLOOKUP(A126,'6.混凝土'!C:D,1,0),"")="","","✔")</f>
        <v/>
      </c>
      <c r="H126" s="98" t="str">
        <f>IF(IFERROR(VLOOKUP(A126,'7.植筋'!C:D,1,0),"")="","","✔")</f>
        <v/>
      </c>
      <c r="I126" s="98" t="str">
        <f>IF(IFERROR(VLOOKUP(A126,'8.預力混凝土基樁'!C:D,1,0),"")="","","✔")</f>
        <v/>
      </c>
      <c r="J126" s="98" t="str">
        <f>IF(IFERROR(VLOOKUP(A126,'9.砌塊石護岸'!C:D,1,0),"")="","","✔")</f>
        <v/>
      </c>
      <c r="K126" s="98" t="str">
        <f>IF(IFERROR(VLOOKUP(A126,'10.低水護岸'!C:D,1,0),"")="","","✔")</f>
        <v/>
      </c>
      <c r="L126" s="98" t="str">
        <f>IF(IFERROR(VLOOKUP(A126,'11.固床工'!C:D,1,0),"")="","","✔")</f>
        <v/>
      </c>
      <c r="M126" s="98" t="str">
        <f>IF(IFERROR(VLOOKUP(A126,'12.全套管基樁'!C:D,1,0),"")="","","✔")</f>
        <v/>
      </c>
      <c r="N126" s="98" t="str">
        <f>IF(IFERROR(VLOOKUP(A126,'13.鋼筋混凝土管工程'!C:D,1,0),"")="","","✔")</f>
        <v/>
      </c>
      <c r="O126" s="98" t="str">
        <f>IF(IFERROR(VLOOKUP(A126,'14.鋼版樁'!C:D,1,0),"")="","","✔")</f>
        <v/>
      </c>
      <c r="P126" s="98" t="str">
        <f>IF(IFERROR(VLOOKUP(A126,'15.路床 路基高程'!C:D,1,0),"")="","","✔")</f>
        <v/>
      </c>
      <c r="Q126" s="98" t="str">
        <f>IF(IFERROR(VLOOKUP(A126,'16.瀝青混凝土'!C:D,1,0),"")="","","✔")</f>
        <v/>
      </c>
      <c r="R126" s="98" t="str">
        <f>IF(IFERROR(VLOOKUP(A126,'17.景觀鋪面(一)'!C:D,1,0),"")="","","✔")</f>
        <v/>
      </c>
      <c r="S126" s="98" t="str">
        <f>IF(IFERROR(VLOOKUP(A126,'18.景觀鋪面(二)'!C:D,1,0),"")="","","✔")</f>
        <v/>
      </c>
      <c r="T126" s="98" t="str">
        <f>IF(IFERROR(VLOOKUP(A126,'19.預鑄緣石'!C:D,1,0),"")="","","✔")</f>
        <v/>
      </c>
      <c r="U126" s="98" t="str">
        <f>IF(IFERROR(VLOOKUP(A126,'20.鋼構工程吊裝'!C:D,1,0),"")="","","✔")</f>
        <v/>
      </c>
      <c r="V126" s="98" t="str">
        <f>IF(IFERROR(VLOOKUP(A126,'21.鋼構工程塗裝'!C:D,1,0),"")="","","✔")</f>
        <v/>
      </c>
      <c r="W126" s="98" t="str">
        <f>IF(IFERROR(VLOOKUP(A126,'22.排水設施(一)'!C:D,1,0),"")="","","✔")</f>
        <v/>
      </c>
      <c r="X126" s="98" t="str">
        <f>IF(IFERROR(VLOOKUP(A126,'23.排水設施(二)'!C:D,1,0),"")="","","✔")</f>
        <v/>
      </c>
      <c r="Y126" s="98" t="str">
        <f>IF(IFERROR(VLOOKUP(A126,'24.木構造'!C:D,1,0),"")="","","✔")</f>
        <v/>
      </c>
      <c r="Z126" s="98" t="str">
        <f>IF(IFERROR(VLOOKUP(A126,'25.管路'!C:D,1,0),"")="","","✔")</f>
        <v/>
      </c>
      <c r="AA126" s="98" t="str">
        <f>IF(IFERROR(VLOOKUP(A126,'26.植栽(移植)'!C:D,1,0),"")="","","✔")</f>
        <v/>
      </c>
      <c r="AB126" s="98" t="str">
        <f>IF(IFERROR(VLOOKUP(A126,'27.植栽(新植)'!C:D,1,0),"")="","","✔")</f>
        <v/>
      </c>
      <c r="AC126" s="98" t="str">
        <f>IF(IFERROR(VLOOKUP(A126,'28.照明'!C:D,1,0),"")="","","✔")</f>
        <v/>
      </c>
      <c r="AD126" s="98" t="str">
        <f>IF(IFERROR(VLOOKUP(A126,'29.既有橋梁拆除'!C:D,1,0),"")="","","✔")</f>
        <v/>
      </c>
    </row>
    <row r="127" spans="1:30" ht="21.75" customHeight="1" x14ac:dyDescent="0.25">
      <c r="A127" s="99">
        <v>45317</v>
      </c>
      <c r="B127" s="98" t="str">
        <f>IF(IFERROR(VLOOKUP(A127,'1.測量放樣'!C:D,1,0),"")="","","✔")</f>
        <v/>
      </c>
      <c r="C127" s="98" t="str">
        <f>IF(IFERROR(VLOOKUP(A127,'2.土方開挖'!C:D,1,0),"")="","","✔")</f>
        <v/>
      </c>
      <c r="D127" s="98" t="str">
        <f>IF(IFERROR(VLOOKUP(A127,'3.土方回填'!C:D,1,0),"")="","","✔")</f>
        <v/>
      </c>
      <c r="E127" s="98" t="str">
        <f>IF(IFERROR(VLOOKUP(A127,'4.鋼筋'!C:D,1,0),"")="","","✔")</f>
        <v/>
      </c>
      <c r="F127" s="98" t="str">
        <f>IF(IFERROR(VLOOKUP(A127,'5.模板'!C:D,1,0),"")="","","✔")</f>
        <v/>
      </c>
      <c r="G127" s="98" t="str">
        <f>IF(IFERROR(VLOOKUP(A127,'6.混凝土'!C:D,1,0),"")="","","✔")</f>
        <v/>
      </c>
      <c r="H127" s="98" t="str">
        <f>IF(IFERROR(VLOOKUP(A127,'7.植筋'!C:D,1,0),"")="","","✔")</f>
        <v/>
      </c>
      <c r="I127" s="98" t="str">
        <f>IF(IFERROR(VLOOKUP(A127,'8.預力混凝土基樁'!C:D,1,0),"")="","","✔")</f>
        <v/>
      </c>
      <c r="J127" s="98" t="str">
        <f>IF(IFERROR(VLOOKUP(A127,'9.砌塊石護岸'!C:D,1,0),"")="","","✔")</f>
        <v/>
      </c>
      <c r="K127" s="98" t="str">
        <f>IF(IFERROR(VLOOKUP(A127,'10.低水護岸'!C:D,1,0),"")="","","✔")</f>
        <v/>
      </c>
      <c r="L127" s="98" t="str">
        <f>IF(IFERROR(VLOOKUP(A127,'11.固床工'!C:D,1,0),"")="","","✔")</f>
        <v/>
      </c>
      <c r="M127" s="98" t="str">
        <f>IF(IFERROR(VLOOKUP(A127,'12.全套管基樁'!C:D,1,0),"")="","","✔")</f>
        <v/>
      </c>
      <c r="N127" s="98" t="str">
        <f>IF(IFERROR(VLOOKUP(A127,'13.鋼筋混凝土管工程'!C:D,1,0),"")="","","✔")</f>
        <v/>
      </c>
      <c r="O127" s="98" t="str">
        <f>IF(IFERROR(VLOOKUP(A127,'14.鋼版樁'!C:D,1,0),"")="","","✔")</f>
        <v/>
      </c>
      <c r="P127" s="98" t="str">
        <f>IF(IFERROR(VLOOKUP(A127,'15.路床 路基高程'!C:D,1,0),"")="","","✔")</f>
        <v/>
      </c>
      <c r="Q127" s="98" t="str">
        <f>IF(IFERROR(VLOOKUP(A127,'16.瀝青混凝土'!C:D,1,0),"")="","","✔")</f>
        <v/>
      </c>
      <c r="R127" s="98" t="str">
        <f>IF(IFERROR(VLOOKUP(A127,'17.景觀鋪面(一)'!C:D,1,0),"")="","","✔")</f>
        <v/>
      </c>
      <c r="S127" s="98" t="str">
        <f>IF(IFERROR(VLOOKUP(A127,'18.景觀鋪面(二)'!C:D,1,0),"")="","","✔")</f>
        <v/>
      </c>
      <c r="T127" s="98" t="str">
        <f>IF(IFERROR(VLOOKUP(A127,'19.預鑄緣石'!C:D,1,0),"")="","","✔")</f>
        <v/>
      </c>
      <c r="U127" s="98" t="str">
        <f>IF(IFERROR(VLOOKUP(A127,'20.鋼構工程吊裝'!C:D,1,0),"")="","","✔")</f>
        <v/>
      </c>
      <c r="V127" s="98" t="str">
        <f>IF(IFERROR(VLOOKUP(A127,'21.鋼構工程塗裝'!C:D,1,0),"")="","","✔")</f>
        <v/>
      </c>
      <c r="W127" s="98" t="str">
        <f>IF(IFERROR(VLOOKUP(A127,'22.排水設施(一)'!C:D,1,0),"")="","","✔")</f>
        <v/>
      </c>
      <c r="X127" s="98" t="str">
        <f>IF(IFERROR(VLOOKUP(A127,'23.排水設施(二)'!C:D,1,0),"")="","","✔")</f>
        <v/>
      </c>
      <c r="Y127" s="98" t="str">
        <f>IF(IFERROR(VLOOKUP(A127,'24.木構造'!C:D,1,0),"")="","","✔")</f>
        <v/>
      </c>
      <c r="Z127" s="98" t="str">
        <f>IF(IFERROR(VLOOKUP(A127,'25.管路'!C:D,1,0),"")="","","✔")</f>
        <v/>
      </c>
      <c r="AA127" s="98" t="str">
        <f>IF(IFERROR(VLOOKUP(A127,'26.植栽(移植)'!C:D,1,0),"")="","","✔")</f>
        <v/>
      </c>
      <c r="AB127" s="98" t="str">
        <f>IF(IFERROR(VLOOKUP(A127,'27.植栽(新植)'!C:D,1,0),"")="","","✔")</f>
        <v/>
      </c>
      <c r="AC127" s="98" t="str">
        <f>IF(IFERROR(VLOOKUP(A127,'28.照明'!C:D,1,0),"")="","","✔")</f>
        <v/>
      </c>
      <c r="AD127" s="98" t="str">
        <f>IF(IFERROR(VLOOKUP(A127,'29.既有橋梁拆除'!C:D,1,0),"")="","","✔")</f>
        <v/>
      </c>
    </row>
    <row r="128" spans="1:30" ht="21.75" customHeight="1" x14ac:dyDescent="0.25">
      <c r="A128" s="99">
        <v>45318</v>
      </c>
      <c r="B128" s="98" t="str">
        <f>IF(IFERROR(VLOOKUP(A128,'1.測量放樣'!C:D,1,0),"")="","","✔")</f>
        <v/>
      </c>
      <c r="C128" s="98" t="str">
        <f>IF(IFERROR(VLOOKUP(A128,'2.土方開挖'!C:D,1,0),"")="","","✔")</f>
        <v/>
      </c>
      <c r="D128" s="98" t="str">
        <f>IF(IFERROR(VLOOKUP(A128,'3.土方回填'!C:D,1,0),"")="","","✔")</f>
        <v/>
      </c>
      <c r="E128" s="98" t="str">
        <f>IF(IFERROR(VLOOKUP(A128,'4.鋼筋'!C:D,1,0),"")="","","✔")</f>
        <v/>
      </c>
      <c r="F128" s="98" t="str">
        <f>IF(IFERROR(VLOOKUP(A128,'5.模板'!C:D,1,0),"")="","","✔")</f>
        <v/>
      </c>
      <c r="G128" s="98" t="str">
        <f>IF(IFERROR(VLOOKUP(A128,'6.混凝土'!C:D,1,0),"")="","","✔")</f>
        <v/>
      </c>
      <c r="H128" s="98" t="str">
        <f>IF(IFERROR(VLOOKUP(A128,'7.植筋'!C:D,1,0),"")="","","✔")</f>
        <v/>
      </c>
      <c r="I128" s="98" t="str">
        <f>IF(IFERROR(VLOOKUP(A128,'8.預力混凝土基樁'!C:D,1,0),"")="","","✔")</f>
        <v/>
      </c>
      <c r="J128" s="98" t="str">
        <f>IF(IFERROR(VLOOKUP(A128,'9.砌塊石護岸'!C:D,1,0),"")="","","✔")</f>
        <v/>
      </c>
      <c r="K128" s="98" t="str">
        <f>IF(IFERROR(VLOOKUP(A128,'10.低水護岸'!C:D,1,0),"")="","","✔")</f>
        <v/>
      </c>
      <c r="L128" s="98" t="str">
        <f>IF(IFERROR(VLOOKUP(A128,'11.固床工'!C:D,1,0),"")="","","✔")</f>
        <v/>
      </c>
      <c r="M128" s="98" t="str">
        <f>IF(IFERROR(VLOOKUP(A128,'12.全套管基樁'!C:D,1,0),"")="","","✔")</f>
        <v/>
      </c>
      <c r="N128" s="98" t="str">
        <f>IF(IFERROR(VLOOKUP(A128,'13.鋼筋混凝土管工程'!C:D,1,0),"")="","","✔")</f>
        <v/>
      </c>
      <c r="O128" s="98" t="str">
        <f>IF(IFERROR(VLOOKUP(A128,'14.鋼版樁'!C:D,1,0),"")="","","✔")</f>
        <v/>
      </c>
      <c r="P128" s="98" t="str">
        <f>IF(IFERROR(VLOOKUP(A128,'15.路床 路基高程'!C:D,1,0),"")="","","✔")</f>
        <v/>
      </c>
      <c r="Q128" s="98" t="str">
        <f>IF(IFERROR(VLOOKUP(A128,'16.瀝青混凝土'!C:D,1,0),"")="","","✔")</f>
        <v/>
      </c>
      <c r="R128" s="98" t="str">
        <f>IF(IFERROR(VLOOKUP(A128,'17.景觀鋪面(一)'!C:D,1,0),"")="","","✔")</f>
        <v/>
      </c>
      <c r="S128" s="98" t="str">
        <f>IF(IFERROR(VLOOKUP(A128,'18.景觀鋪面(二)'!C:D,1,0),"")="","","✔")</f>
        <v/>
      </c>
      <c r="T128" s="98" t="str">
        <f>IF(IFERROR(VLOOKUP(A128,'19.預鑄緣石'!C:D,1,0),"")="","","✔")</f>
        <v/>
      </c>
      <c r="U128" s="98" t="str">
        <f>IF(IFERROR(VLOOKUP(A128,'20.鋼構工程吊裝'!C:D,1,0),"")="","","✔")</f>
        <v/>
      </c>
      <c r="V128" s="98" t="str">
        <f>IF(IFERROR(VLOOKUP(A128,'21.鋼構工程塗裝'!C:D,1,0),"")="","","✔")</f>
        <v/>
      </c>
      <c r="W128" s="98" t="str">
        <f>IF(IFERROR(VLOOKUP(A128,'22.排水設施(一)'!C:D,1,0),"")="","","✔")</f>
        <v/>
      </c>
      <c r="X128" s="98" t="str">
        <f>IF(IFERROR(VLOOKUP(A128,'23.排水設施(二)'!C:D,1,0),"")="","","✔")</f>
        <v/>
      </c>
      <c r="Y128" s="98" t="str">
        <f>IF(IFERROR(VLOOKUP(A128,'24.木構造'!C:D,1,0),"")="","","✔")</f>
        <v/>
      </c>
      <c r="Z128" s="98" t="str">
        <f>IF(IFERROR(VLOOKUP(A128,'25.管路'!C:D,1,0),"")="","","✔")</f>
        <v/>
      </c>
      <c r="AA128" s="98" t="str">
        <f>IF(IFERROR(VLOOKUP(A128,'26.植栽(移植)'!C:D,1,0),"")="","","✔")</f>
        <v/>
      </c>
      <c r="AB128" s="98" t="str">
        <f>IF(IFERROR(VLOOKUP(A128,'27.植栽(新植)'!C:D,1,0),"")="","","✔")</f>
        <v/>
      </c>
      <c r="AC128" s="98" t="str">
        <f>IF(IFERROR(VLOOKUP(A128,'28.照明'!C:D,1,0),"")="","","✔")</f>
        <v/>
      </c>
      <c r="AD128" s="98" t="str">
        <f>IF(IFERROR(VLOOKUP(A128,'29.既有橋梁拆除'!C:D,1,0),"")="","","✔")</f>
        <v/>
      </c>
    </row>
    <row r="129" spans="1:30" ht="21.75" customHeight="1" x14ac:dyDescent="0.25">
      <c r="A129" s="99">
        <v>45319</v>
      </c>
      <c r="B129" s="98" t="str">
        <f>IF(IFERROR(VLOOKUP(A129,'1.測量放樣'!C:D,1,0),"")="","","✔")</f>
        <v/>
      </c>
      <c r="C129" s="98" t="str">
        <f>IF(IFERROR(VLOOKUP(A129,'2.土方開挖'!C:D,1,0),"")="","","✔")</f>
        <v/>
      </c>
      <c r="D129" s="98" t="str">
        <f>IF(IFERROR(VLOOKUP(A129,'3.土方回填'!C:D,1,0),"")="","","✔")</f>
        <v/>
      </c>
      <c r="E129" s="98" t="str">
        <f>IF(IFERROR(VLOOKUP(A129,'4.鋼筋'!C:D,1,0),"")="","","✔")</f>
        <v/>
      </c>
      <c r="F129" s="98" t="str">
        <f>IF(IFERROR(VLOOKUP(A129,'5.模板'!C:D,1,0),"")="","","✔")</f>
        <v/>
      </c>
      <c r="G129" s="98" t="str">
        <f>IF(IFERROR(VLOOKUP(A129,'6.混凝土'!C:D,1,0),"")="","","✔")</f>
        <v/>
      </c>
      <c r="H129" s="98" t="str">
        <f>IF(IFERROR(VLOOKUP(A129,'7.植筋'!C:D,1,0),"")="","","✔")</f>
        <v/>
      </c>
      <c r="I129" s="98" t="str">
        <f>IF(IFERROR(VLOOKUP(A129,'8.預力混凝土基樁'!C:D,1,0),"")="","","✔")</f>
        <v/>
      </c>
      <c r="J129" s="98" t="str">
        <f>IF(IFERROR(VLOOKUP(A129,'9.砌塊石護岸'!C:D,1,0),"")="","","✔")</f>
        <v/>
      </c>
      <c r="K129" s="98" t="str">
        <f>IF(IFERROR(VLOOKUP(A129,'10.低水護岸'!C:D,1,0),"")="","","✔")</f>
        <v/>
      </c>
      <c r="L129" s="98" t="str">
        <f>IF(IFERROR(VLOOKUP(A129,'11.固床工'!C:D,1,0),"")="","","✔")</f>
        <v/>
      </c>
      <c r="M129" s="98" t="str">
        <f>IF(IFERROR(VLOOKUP(A129,'12.全套管基樁'!C:D,1,0),"")="","","✔")</f>
        <v/>
      </c>
      <c r="N129" s="98" t="str">
        <f>IF(IFERROR(VLOOKUP(A129,'13.鋼筋混凝土管工程'!C:D,1,0),"")="","","✔")</f>
        <v/>
      </c>
      <c r="O129" s="98" t="str">
        <f>IF(IFERROR(VLOOKUP(A129,'14.鋼版樁'!C:D,1,0),"")="","","✔")</f>
        <v/>
      </c>
      <c r="P129" s="98" t="str">
        <f>IF(IFERROR(VLOOKUP(A129,'15.路床 路基高程'!C:D,1,0),"")="","","✔")</f>
        <v/>
      </c>
      <c r="Q129" s="98" t="str">
        <f>IF(IFERROR(VLOOKUP(A129,'16.瀝青混凝土'!C:D,1,0),"")="","","✔")</f>
        <v/>
      </c>
      <c r="R129" s="98" t="str">
        <f>IF(IFERROR(VLOOKUP(A129,'17.景觀鋪面(一)'!C:D,1,0),"")="","","✔")</f>
        <v/>
      </c>
      <c r="S129" s="98" t="str">
        <f>IF(IFERROR(VLOOKUP(A129,'18.景觀鋪面(二)'!C:D,1,0),"")="","","✔")</f>
        <v/>
      </c>
      <c r="T129" s="98" t="str">
        <f>IF(IFERROR(VLOOKUP(A129,'19.預鑄緣石'!C:D,1,0),"")="","","✔")</f>
        <v/>
      </c>
      <c r="U129" s="98" t="str">
        <f>IF(IFERROR(VLOOKUP(A129,'20.鋼構工程吊裝'!C:D,1,0),"")="","","✔")</f>
        <v/>
      </c>
      <c r="V129" s="98" t="str">
        <f>IF(IFERROR(VLOOKUP(A129,'21.鋼構工程塗裝'!C:D,1,0),"")="","","✔")</f>
        <v/>
      </c>
      <c r="W129" s="98" t="str">
        <f>IF(IFERROR(VLOOKUP(A129,'22.排水設施(一)'!C:D,1,0),"")="","","✔")</f>
        <v/>
      </c>
      <c r="X129" s="98" t="str">
        <f>IF(IFERROR(VLOOKUP(A129,'23.排水設施(二)'!C:D,1,0),"")="","","✔")</f>
        <v/>
      </c>
      <c r="Y129" s="98" t="str">
        <f>IF(IFERROR(VLOOKUP(A129,'24.木構造'!C:D,1,0),"")="","","✔")</f>
        <v/>
      </c>
      <c r="Z129" s="98" t="str">
        <f>IF(IFERROR(VLOOKUP(A129,'25.管路'!C:D,1,0),"")="","","✔")</f>
        <v/>
      </c>
      <c r="AA129" s="98" t="str">
        <f>IF(IFERROR(VLOOKUP(A129,'26.植栽(移植)'!C:D,1,0),"")="","","✔")</f>
        <v/>
      </c>
      <c r="AB129" s="98" t="str">
        <f>IF(IFERROR(VLOOKUP(A129,'27.植栽(新植)'!C:D,1,0),"")="","","✔")</f>
        <v/>
      </c>
      <c r="AC129" s="98" t="str">
        <f>IF(IFERROR(VLOOKUP(A129,'28.照明'!C:D,1,0),"")="","","✔")</f>
        <v/>
      </c>
      <c r="AD129" s="98" t="str">
        <f>IF(IFERROR(VLOOKUP(A129,'29.既有橋梁拆除'!C:D,1,0),"")="","","✔")</f>
        <v/>
      </c>
    </row>
    <row r="130" spans="1:30" ht="21.75" customHeight="1" x14ac:dyDescent="0.25">
      <c r="A130" s="99">
        <v>45320</v>
      </c>
      <c r="B130" s="98" t="str">
        <f>IF(IFERROR(VLOOKUP(A130,'1.測量放樣'!C:D,1,0),"")="","","✔")</f>
        <v/>
      </c>
      <c r="C130" s="98" t="str">
        <f>IF(IFERROR(VLOOKUP(A130,'2.土方開挖'!C:D,1,0),"")="","","✔")</f>
        <v/>
      </c>
      <c r="D130" s="98" t="str">
        <f>IF(IFERROR(VLOOKUP(A130,'3.土方回填'!C:D,1,0),"")="","","✔")</f>
        <v/>
      </c>
      <c r="E130" s="98" t="str">
        <f>IF(IFERROR(VLOOKUP(A130,'4.鋼筋'!C:D,1,0),"")="","","✔")</f>
        <v/>
      </c>
      <c r="F130" s="98" t="str">
        <f>IF(IFERROR(VLOOKUP(A130,'5.模板'!C:D,1,0),"")="","","✔")</f>
        <v/>
      </c>
      <c r="G130" s="98" t="str">
        <f>IF(IFERROR(VLOOKUP(A130,'6.混凝土'!C:D,1,0),"")="","","✔")</f>
        <v>✔</v>
      </c>
      <c r="H130" s="98" t="str">
        <f>IF(IFERROR(VLOOKUP(A130,'7.植筋'!C:D,1,0),"")="","","✔")</f>
        <v/>
      </c>
      <c r="I130" s="98" t="str">
        <f>IF(IFERROR(VLOOKUP(A130,'8.預力混凝土基樁'!C:D,1,0),"")="","","✔")</f>
        <v/>
      </c>
      <c r="J130" s="98" t="str">
        <f>IF(IFERROR(VLOOKUP(A130,'9.砌塊石護岸'!C:D,1,0),"")="","","✔")</f>
        <v/>
      </c>
      <c r="K130" s="98" t="str">
        <f>IF(IFERROR(VLOOKUP(A130,'10.低水護岸'!C:D,1,0),"")="","","✔")</f>
        <v/>
      </c>
      <c r="L130" s="98" t="str">
        <f>IF(IFERROR(VLOOKUP(A130,'11.固床工'!C:D,1,0),"")="","","✔")</f>
        <v/>
      </c>
      <c r="M130" s="98" t="str">
        <f>IF(IFERROR(VLOOKUP(A130,'12.全套管基樁'!C:D,1,0),"")="","","✔")</f>
        <v>✔</v>
      </c>
      <c r="N130" s="98" t="str">
        <f>IF(IFERROR(VLOOKUP(A130,'13.鋼筋混凝土管工程'!C:D,1,0),"")="","","✔")</f>
        <v/>
      </c>
      <c r="O130" s="98" t="str">
        <f>IF(IFERROR(VLOOKUP(A130,'14.鋼版樁'!C:D,1,0),"")="","","✔")</f>
        <v/>
      </c>
      <c r="P130" s="98" t="str">
        <f>IF(IFERROR(VLOOKUP(A130,'15.路床 路基高程'!C:D,1,0),"")="","","✔")</f>
        <v/>
      </c>
      <c r="Q130" s="98" t="str">
        <f>IF(IFERROR(VLOOKUP(A130,'16.瀝青混凝土'!C:D,1,0),"")="","","✔")</f>
        <v/>
      </c>
      <c r="R130" s="98" t="str">
        <f>IF(IFERROR(VLOOKUP(A130,'17.景觀鋪面(一)'!C:D,1,0),"")="","","✔")</f>
        <v/>
      </c>
      <c r="S130" s="98" t="str">
        <f>IF(IFERROR(VLOOKUP(A130,'18.景觀鋪面(二)'!C:D,1,0),"")="","","✔")</f>
        <v/>
      </c>
      <c r="T130" s="98" t="str">
        <f>IF(IFERROR(VLOOKUP(A130,'19.預鑄緣石'!C:D,1,0),"")="","","✔")</f>
        <v/>
      </c>
      <c r="U130" s="98" t="str">
        <f>IF(IFERROR(VLOOKUP(A130,'20.鋼構工程吊裝'!C:D,1,0),"")="","","✔")</f>
        <v/>
      </c>
      <c r="V130" s="98" t="str">
        <f>IF(IFERROR(VLOOKUP(A130,'21.鋼構工程塗裝'!C:D,1,0),"")="","","✔")</f>
        <v/>
      </c>
      <c r="W130" s="98" t="str">
        <f>IF(IFERROR(VLOOKUP(A130,'22.排水設施(一)'!C:D,1,0),"")="","","✔")</f>
        <v/>
      </c>
      <c r="X130" s="98" t="str">
        <f>IF(IFERROR(VLOOKUP(A130,'23.排水設施(二)'!C:D,1,0),"")="","","✔")</f>
        <v/>
      </c>
      <c r="Y130" s="98" t="str">
        <f>IF(IFERROR(VLOOKUP(A130,'24.木構造'!C:D,1,0),"")="","","✔")</f>
        <v/>
      </c>
      <c r="Z130" s="98" t="str">
        <f>IF(IFERROR(VLOOKUP(A130,'25.管路'!C:D,1,0),"")="","","✔")</f>
        <v/>
      </c>
      <c r="AA130" s="98" t="str">
        <f>IF(IFERROR(VLOOKUP(A130,'26.植栽(移植)'!C:D,1,0),"")="","","✔")</f>
        <v/>
      </c>
      <c r="AB130" s="98" t="str">
        <f>IF(IFERROR(VLOOKUP(A130,'27.植栽(新植)'!C:D,1,0),"")="","","✔")</f>
        <v/>
      </c>
      <c r="AC130" s="98" t="str">
        <f>IF(IFERROR(VLOOKUP(A130,'28.照明'!C:D,1,0),"")="","","✔")</f>
        <v/>
      </c>
      <c r="AD130" s="98" t="str">
        <f>IF(IFERROR(VLOOKUP(A130,'29.既有橋梁拆除'!C:D,1,0),"")="","","✔")</f>
        <v/>
      </c>
    </row>
    <row r="131" spans="1:30" ht="21.75" customHeight="1" x14ac:dyDescent="0.25">
      <c r="A131" s="99">
        <v>45321</v>
      </c>
      <c r="B131" s="98" t="str">
        <f>IF(IFERROR(VLOOKUP(A131,'1.測量放樣'!C:D,1,0),"")="","","✔")</f>
        <v/>
      </c>
      <c r="C131" s="98" t="str">
        <f>IF(IFERROR(VLOOKUP(A131,'2.土方開挖'!C:D,1,0),"")="","","✔")</f>
        <v/>
      </c>
      <c r="D131" s="98" t="str">
        <f>IF(IFERROR(VLOOKUP(A131,'3.土方回填'!C:D,1,0),"")="","","✔")</f>
        <v/>
      </c>
      <c r="E131" s="98" t="str">
        <f>IF(IFERROR(VLOOKUP(A131,'4.鋼筋'!C:D,1,0),"")="","","✔")</f>
        <v>✔</v>
      </c>
      <c r="F131" s="98" t="str">
        <f>IF(IFERROR(VLOOKUP(A131,'5.模板'!C:D,1,0),"")="","","✔")</f>
        <v/>
      </c>
      <c r="G131" s="98" t="str">
        <f>IF(IFERROR(VLOOKUP(A131,'6.混凝土'!C:D,1,0),"")="","","✔")</f>
        <v>✔</v>
      </c>
      <c r="H131" s="98" t="str">
        <f>IF(IFERROR(VLOOKUP(A131,'7.植筋'!C:D,1,0),"")="","","✔")</f>
        <v/>
      </c>
      <c r="I131" s="98" t="str">
        <f>IF(IFERROR(VLOOKUP(A131,'8.預力混凝土基樁'!C:D,1,0),"")="","","✔")</f>
        <v/>
      </c>
      <c r="J131" s="98" t="str">
        <f>IF(IFERROR(VLOOKUP(A131,'9.砌塊石護岸'!C:D,1,0),"")="","","✔")</f>
        <v/>
      </c>
      <c r="K131" s="98" t="str">
        <f>IF(IFERROR(VLOOKUP(A131,'10.低水護岸'!C:D,1,0),"")="","","✔")</f>
        <v/>
      </c>
      <c r="L131" s="98" t="str">
        <f>IF(IFERROR(VLOOKUP(A131,'11.固床工'!C:D,1,0),"")="","","✔")</f>
        <v/>
      </c>
      <c r="M131" s="98" t="str">
        <f>IF(IFERROR(VLOOKUP(A131,'12.全套管基樁'!C:D,1,0),"")="","","✔")</f>
        <v>✔</v>
      </c>
      <c r="N131" s="98" t="str">
        <f>IF(IFERROR(VLOOKUP(A131,'13.鋼筋混凝土管工程'!C:D,1,0),"")="","","✔")</f>
        <v/>
      </c>
      <c r="O131" s="98" t="str">
        <f>IF(IFERROR(VLOOKUP(A131,'14.鋼版樁'!C:D,1,0),"")="","","✔")</f>
        <v/>
      </c>
      <c r="P131" s="98" t="str">
        <f>IF(IFERROR(VLOOKUP(A131,'15.路床 路基高程'!C:D,1,0),"")="","","✔")</f>
        <v/>
      </c>
      <c r="Q131" s="98" t="str">
        <f>IF(IFERROR(VLOOKUP(A131,'16.瀝青混凝土'!C:D,1,0),"")="","","✔")</f>
        <v/>
      </c>
      <c r="R131" s="98" t="str">
        <f>IF(IFERROR(VLOOKUP(A131,'17.景觀鋪面(一)'!C:D,1,0),"")="","","✔")</f>
        <v/>
      </c>
      <c r="S131" s="98" t="str">
        <f>IF(IFERROR(VLOOKUP(A131,'18.景觀鋪面(二)'!C:D,1,0),"")="","","✔")</f>
        <v/>
      </c>
      <c r="T131" s="98" t="str">
        <f>IF(IFERROR(VLOOKUP(A131,'19.預鑄緣石'!C:D,1,0),"")="","","✔")</f>
        <v/>
      </c>
      <c r="U131" s="98" t="str">
        <f>IF(IFERROR(VLOOKUP(A131,'20.鋼構工程吊裝'!C:D,1,0),"")="","","✔")</f>
        <v/>
      </c>
      <c r="V131" s="98" t="str">
        <f>IF(IFERROR(VLOOKUP(A131,'21.鋼構工程塗裝'!C:D,1,0),"")="","","✔")</f>
        <v/>
      </c>
      <c r="W131" s="98" t="str">
        <f>IF(IFERROR(VLOOKUP(A131,'22.排水設施(一)'!C:D,1,0),"")="","","✔")</f>
        <v/>
      </c>
      <c r="X131" s="98" t="str">
        <f>IF(IFERROR(VLOOKUP(A131,'23.排水設施(二)'!C:D,1,0),"")="","","✔")</f>
        <v/>
      </c>
      <c r="Y131" s="98" t="str">
        <f>IF(IFERROR(VLOOKUP(A131,'24.木構造'!C:D,1,0),"")="","","✔")</f>
        <v/>
      </c>
      <c r="Z131" s="98" t="str">
        <f>IF(IFERROR(VLOOKUP(A131,'25.管路'!C:D,1,0),"")="","","✔")</f>
        <v/>
      </c>
      <c r="AA131" s="98" t="str">
        <f>IF(IFERROR(VLOOKUP(A131,'26.植栽(移植)'!C:D,1,0),"")="","","✔")</f>
        <v/>
      </c>
      <c r="AB131" s="98" t="str">
        <f>IF(IFERROR(VLOOKUP(A131,'27.植栽(新植)'!C:D,1,0),"")="","","✔")</f>
        <v/>
      </c>
      <c r="AC131" s="98" t="str">
        <f>IF(IFERROR(VLOOKUP(A131,'28.照明'!C:D,1,0),"")="","","✔")</f>
        <v/>
      </c>
      <c r="AD131" s="98" t="str">
        <f>IF(IFERROR(VLOOKUP(A131,'29.既有橋梁拆除'!C:D,1,0),"")="","","✔")</f>
        <v/>
      </c>
    </row>
    <row r="132" spans="1:30" ht="21.75" customHeight="1" x14ac:dyDescent="0.25">
      <c r="A132" s="99">
        <v>45322</v>
      </c>
      <c r="B132" s="98" t="str">
        <f>IF(IFERROR(VLOOKUP(A132,'1.測量放樣'!C:D,1,0),"")="","","✔")</f>
        <v/>
      </c>
      <c r="C132" s="98" t="str">
        <f>IF(IFERROR(VLOOKUP(A132,'2.土方開挖'!C:D,1,0),"")="","","✔")</f>
        <v/>
      </c>
      <c r="D132" s="98" t="str">
        <f>IF(IFERROR(VLOOKUP(A132,'3.土方回填'!C:D,1,0),"")="","","✔")</f>
        <v/>
      </c>
      <c r="E132" s="98" t="str">
        <f>IF(IFERROR(VLOOKUP(A132,'4.鋼筋'!C:D,1,0),"")="","","✔")</f>
        <v/>
      </c>
      <c r="F132" s="98" t="str">
        <f>IF(IFERROR(VLOOKUP(A132,'5.模板'!C:D,1,0),"")="","","✔")</f>
        <v/>
      </c>
      <c r="G132" s="98" t="str">
        <f>IF(IFERROR(VLOOKUP(A132,'6.混凝土'!C:D,1,0),"")="","","✔")</f>
        <v/>
      </c>
      <c r="H132" s="98" t="str">
        <f>IF(IFERROR(VLOOKUP(A132,'7.植筋'!C:D,1,0),"")="","","✔")</f>
        <v/>
      </c>
      <c r="I132" s="98" t="str">
        <f>IF(IFERROR(VLOOKUP(A132,'8.預力混凝土基樁'!C:D,1,0),"")="","","✔")</f>
        <v/>
      </c>
      <c r="J132" s="98" t="str">
        <f>IF(IFERROR(VLOOKUP(A132,'9.砌塊石護岸'!C:D,1,0),"")="","","✔")</f>
        <v/>
      </c>
      <c r="K132" s="98" t="str">
        <f>IF(IFERROR(VLOOKUP(A132,'10.低水護岸'!C:D,1,0),"")="","","✔")</f>
        <v/>
      </c>
      <c r="L132" s="98" t="str">
        <f>IF(IFERROR(VLOOKUP(A132,'11.固床工'!C:D,1,0),"")="","","✔")</f>
        <v/>
      </c>
      <c r="M132" s="98" t="str">
        <f>IF(IFERROR(VLOOKUP(A132,'12.全套管基樁'!C:D,1,0),"")="","","✔")</f>
        <v>✔</v>
      </c>
      <c r="N132" s="98" t="str">
        <f>IF(IFERROR(VLOOKUP(A132,'13.鋼筋混凝土管工程'!C:D,1,0),"")="","","✔")</f>
        <v/>
      </c>
      <c r="O132" s="98" t="str">
        <f>IF(IFERROR(VLOOKUP(A132,'14.鋼版樁'!C:D,1,0),"")="","","✔")</f>
        <v/>
      </c>
      <c r="P132" s="98" t="str">
        <f>IF(IFERROR(VLOOKUP(A132,'15.路床 路基高程'!C:D,1,0),"")="","","✔")</f>
        <v/>
      </c>
      <c r="Q132" s="98" t="str">
        <f>IF(IFERROR(VLOOKUP(A132,'16.瀝青混凝土'!C:D,1,0),"")="","","✔")</f>
        <v/>
      </c>
      <c r="R132" s="98" t="str">
        <f>IF(IFERROR(VLOOKUP(A132,'17.景觀鋪面(一)'!C:D,1,0),"")="","","✔")</f>
        <v/>
      </c>
      <c r="S132" s="98" t="str">
        <f>IF(IFERROR(VLOOKUP(A132,'18.景觀鋪面(二)'!C:D,1,0),"")="","","✔")</f>
        <v/>
      </c>
      <c r="T132" s="98" t="str">
        <f>IF(IFERROR(VLOOKUP(A132,'19.預鑄緣石'!C:D,1,0),"")="","","✔")</f>
        <v/>
      </c>
      <c r="U132" s="98" t="str">
        <f>IF(IFERROR(VLOOKUP(A132,'20.鋼構工程吊裝'!C:D,1,0),"")="","","✔")</f>
        <v/>
      </c>
      <c r="V132" s="98" t="str">
        <f>IF(IFERROR(VLOOKUP(A132,'21.鋼構工程塗裝'!C:D,1,0),"")="","","✔")</f>
        <v/>
      </c>
      <c r="W132" s="98" t="str">
        <f>IF(IFERROR(VLOOKUP(A132,'22.排水設施(一)'!C:D,1,0),"")="","","✔")</f>
        <v/>
      </c>
      <c r="X132" s="98" t="str">
        <f>IF(IFERROR(VLOOKUP(A132,'23.排水設施(二)'!C:D,1,0),"")="","","✔")</f>
        <v/>
      </c>
      <c r="Y132" s="98" t="str">
        <f>IF(IFERROR(VLOOKUP(A132,'24.木構造'!C:D,1,0),"")="","","✔")</f>
        <v/>
      </c>
      <c r="Z132" s="98" t="str">
        <f>IF(IFERROR(VLOOKUP(A132,'25.管路'!C:D,1,0),"")="","","✔")</f>
        <v/>
      </c>
      <c r="AA132" s="98" t="str">
        <f>IF(IFERROR(VLOOKUP(A132,'26.植栽(移植)'!C:D,1,0),"")="","","✔")</f>
        <v/>
      </c>
      <c r="AB132" s="98" t="str">
        <f>IF(IFERROR(VLOOKUP(A132,'27.植栽(新植)'!C:D,1,0),"")="","","✔")</f>
        <v/>
      </c>
      <c r="AC132" s="98" t="str">
        <f>IF(IFERROR(VLOOKUP(A132,'28.照明'!C:D,1,0),"")="","","✔")</f>
        <v/>
      </c>
      <c r="AD132" s="98" t="str">
        <f>IF(IFERROR(VLOOKUP(A132,'29.既有橋梁拆除'!C:D,1,0),"")="","","✔")</f>
        <v/>
      </c>
    </row>
    <row r="133" spans="1:30" ht="21.75" customHeight="1" x14ac:dyDescent="0.25">
      <c r="A133" s="99">
        <v>45323</v>
      </c>
      <c r="B133" s="98" t="str">
        <f>IF(IFERROR(VLOOKUP(A133,'1.測量放樣'!C:D,1,0),"")="","","✔")</f>
        <v/>
      </c>
      <c r="C133" s="98" t="str">
        <f>IF(IFERROR(VLOOKUP(A133,'2.土方開挖'!C:D,1,0),"")="","","✔")</f>
        <v/>
      </c>
      <c r="D133" s="98" t="str">
        <f>IF(IFERROR(VLOOKUP(A133,'3.土方回填'!C:D,1,0),"")="","","✔")</f>
        <v/>
      </c>
      <c r="E133" s="98" t="str">
        <f>IF(IFERROR(VLOOKUP(A133,'4.鋼筋'!C:D,1,0),"")="","","✔")</f>
        <v/>
      </c>
      <c r="F133" s="98" t="str">
        <f>IF(IFERROR(VLOOKUP(A133,'5.模板'!C:D,1,0),"")="","","✔")</f>
        <v/>
      </c>
      <c r="G133" s="98" t="str">
        <f>IF(IFERROR(VLOOKUP(A133,'6.混凝土'!C:D,1,0),"")="","","✔")</f>
        <v>✔</v>
      </c>
      <c r="H133" s="98" t="str">
        <f>IF(IFERROR(VLOOKUP(A133,'7.植筋'!C:D,1,0),"")="","","✔")</f>
        <v/>
      </c>
      <c r="I133" s="98" t="str">
        <f>IF(IFERROR(VLOOKUP(A133,'8.預力混凝土基樁'!C:D,1,0),"")="","","✔")</f>
        <v/>
      </c>
      <c r="J133" s="98" t="str">
        <f>IF(IFERROR(VLOOKUP(A133,'9.砌塊石護岸'!C:D,1,0),"")="","","✔")</f>
        <v/>
      </c>
      <c r="K133" s="98" t="str">
        <f>IF(IFERROR(VLOOKUP(A133,'10.低水護岸'!C:D,1,0),"")="","","✔")</f>
        <v/>
      </c>
      <c r="L133" s="98" t="str">
        <f>IF(IFERROR(VLOOKUP(A133,'11.固床工'!C:D,1,0),"")="","","✔")</f>
        <v/>
      </c>
      <c r="M133" s="98" t="str">
        <f>IF(IFERROR(VLOOKUP(A133,'12.全套管基樁'!C:D,1,0),"")="","","✔")</f>
        <v>✔</v>
      </c>
      <c r="N133" s="98" t="str">
        <f>IF(IFERROR(VLOOKUP(A133,'13.鋼筋混凝土管工程'!C:D,1,0),"")="","","✔")</f>
        <v/>
      </c>
      <c r="O133" s="98" t="str">
        <f>IF(IFERROR(VLOOKUP(A133,'14.鋼版樁'!C:D,1,0),"")="","","✔")</f>
        <v/>
      </c>
      <c r="P133" s="98" t="str">
        <f>IF(IFERROR(VLOOKUP(A133,'15.路床 路基高程'!C:D,1,0),"")="","","✔")</f>
        <v/>
      </c>
      <c r="Q133" s="98" t="str">
        <f>IF(IFERROR(VLOOKUP(A133,'16.瀝青混凝土'!C:D,1,0),"")="","","✔")</f>
        <v/>
      </c>
      <c r="R133" s="98" t="str">
        <f>IF(IFERROR(VLOOKUP(A133,'17.景觀鋪面(一)'!C:D,1,0),"")="","","✔")</f>
        <v/>
      </c>
      <c r="S133" s="98" t="str">
        <f>IF(IFERROR(VLOOKUP(A133,'18.景觀鋪面(二)'!C:D,1,0),"")="","","✔")</f>
        <v/>
      </c>
      <c r="T133" s="98" t="str">
        <f>IF(IFERROR(VLOOKUP(A133,'19.預鑄緣石'!C:D,1,0),"")="","","✔")</f>
        <v/>
      </c>
      <c r="U133" s="98" t="str">
        <f>IF(IFERROR(VLOOKUP(A133,'20.鋼構工程吊裝'!C:D,1,0),"")="","","✔")</f>
        <v/>
      </c>
      <c r="V133" s="98" t="str">
        <f>IF(IFERROR(VLOOKUP(A133,'21.鋼構工程塗裝'!C:D,1,0),"")="","","✔")</f>
        <v/>
      </c>
      <c r="W133" s="98" t="str">
        <f>IF(IFERROR(VLOOKUP(A133,'22.排水設施(一)'!C:D,1,0),"")="","","✔")</f>
        <v/>
      </c>
      <c r="X133" s="98" t="str">
        <f>IF(IFERROR(VLOOKUP(A133,'23.排水設施(二)'!C:D,1,0),"")="","","✔")</f>
        <v/>
      </c>
      <c r="Y133" s="98" t="str">
        <f>IF(IFERROR(VLOOKUP(A133,'24.木構造'!C:D,1,0),"")="","","✔")</f>
        <v/>
      </c>
      <c r="Z133" s="98" t="str">
        <f>IF(IFERROR(VLOOKUP(A133,'25.管路'!C:D,1,0),"")="","","✔")</f>
        <v/>
      </c>
      <c r="AA133" s="98" t="str">
        <f>IF(IFERROR(VLOOKUP(A133,'26.植栽(移植)'!C:D,1,0),"")="","","✔")</f>
        <v/>
      </c>
      <c r="AB133" s="98" t="str">
        <f>IF(IFERROR(VLOOKUP(A133,'27.植栽(新植)'!C:D,1,0),"")="","","✔")</f>
        <v/>
      </c>
      <c r="AC133" s="98" t="str">
        <f>IF(IFERROR(VLOOKUP(A133,'28.照明'!C:D,1,0),"")="","","✔")</f>
        <v/>
      </c>
      <c r="AD133" s="98" t="str">
        <f>IF(IFERROR(VLOOKUP(A133,'29.既有橋梁拆除'!C:D,1,0),"")="","","✔")</f>
        <v/>
      </c>
    </row>
    <row r="134" spans="1:30" ht="21.75" customHeight="1" x14ac:dyDescent="0.25">
      <c r="A134" s="99">
        <v>45324</v>
      </c>
      <c r="B134" s="98" t="str">
        <f>IF(IFERROR(VLOOKUP(A134,'1.測量放樣'!C:D,1,0),"")="","","✔")</f>
        <v/>
      </c>
      <c r="C134" s="98" t="str">
        <f>IF(IFERROR(VLOOKUP(A134,'2.土方開挖'!C:D,1,0),"")="","","✔")</f>
        <v/>
      </c>
      <c r="D134" s="98" t="str">
        <f>IF(IFERROR(VLOOKUP(A134,'3.土方回填'!C:D,1,0),"")="","","✔")</f>
        <v/>
      </c>
      <c r="E134" s="98" t="str">
        <f>IF(IFERROR(VLOOKUP(A134,'4.鋼筋'!C:D,1,0),"")="","","✔")</f>
        <v/>
      </c>
      <c r="F134" s="98" t="str">
        <f>IF(IFERROR(VLOOKUP(A134,'5.模板'!C:D,1,0),"")="","","✔")</f>
        <v/>
      </c>
      <c r="G134" s="98" t="str">
        <f>IF(IFERROR(VLOOKUP(A134,'6.混凝土'!C:D,1,0),"")="","","✔")</f>
        <v/>
      </c>
      <c r="H134" s="98" t="str">
        <f>IF(IFERROR(VLOOKUP(A134,'7.植筋'!C:D,1,0),"")="","","✔")</f>
        <v/>
      </c>
      <c r="I134" s="98" t="str">
        <f>IF(IFERROR(VLOOKUP(A134,'8.預力混凝土基樁'!C:D,1,0),"")="","","✔")</f>
        <v/>
      </c>
      <c r="J134" s="98" t="str">
        <f>IF(IFERROR(VLOOKUP(A134,'9.砌塊石護岸'!C:D,1,0),"")="","","✔")</f>
        <v/>
      </c>
      <c r="K134" s="98" t="str">
        <f>IF(IFERROR(VLOOKUP(A134,'10.低水護岸'!C:D,1,0),"")="","","✔")</f>
        <v/>
      </c>
      <c r="L134" s="98" t="str">
        <f>IF(IFERROR(VLOOKUP(A134,'11.固床工'!C:D,1,0),"")="","","✔")</f>
        <v/>
      </c>
      <c r="M134" s="98" t="str">
        <f>IF(IFERROR(VLOOKUP(A134,'12.全套管基樁'!C:D,1,0),"")="","","✔")</f>
        <v/>
      </c>
      <c r="N134" s="98" t="str">
        <f>IF(IFERROR(VLOOKUP(A134,'13.鋼筋混凝土管工程'!C:D,1,0),"")="","","✔")</f>
        <v/>
      </c>
      <c r="O134" s="98" t="str">
        <f>IF(IFERROR(VLOOKUP(A134,'14.鋼版樁'!C:D,1,0),"")="","","✔")</f>
        <v/>
      </c>
      <c r="P134" s="98" t="str">
        <f>IF(IFERROR(VLOOKUP(A134,'15.路床 路基高程'!C:D,1,0),"")="","","✔")</f>
        <v/>
      </c>
      <c r="Q134" s="98" t="str">
        <f>IF(IFERROR(VLOOKUP(A134,'16.瀝青混凝土'!C:D,1,0),"")="","","✔")</f>
        <v/>
      </c>
      <c r="R134" s="98" t="str">
        <f>IF(IFERROR(VLOOKUP(A134,'17.景觀鋪面(一)'!C:D,1,0),"")="","","✔")</f>
        <v/>
      </c>
      <c r="S134" s="98" t="str">
        <f>IF(IFERROR(VLOOKUP(A134,'18.景觀鋪面(二)'!C:D,1,0),"")="","","✔")</f>
        <v/>
      </c>
      <c r="T134" s="98" t="str">
        <f>IF(IFERROR(VLOOKUP(A134,'19.預鑄緣石'!C:D,1,0),"")="","","✔")</f>
        <v/>
      </c>
      <c r="U134" s="98" t="str">
        <f>IF(IFERROR(VLOOKUP(A134,'20.鋼構工程吊裝'!C:D,1,0),"")="","","✔")</f>
        <v/>
      </c>
      <c r="V134" s="98" t="str">
        <f>IF(IFERROR(VLOOKUP(A134,'21.鋼構工程塗裝'!C:D,1,0),"")="","","✔")</f>
        <v/>
      </c>
      <c r="W134" s="98" t="str">
        <f>IF(IFERROR(VLOOKUP(A134,'22.排水設施(一)'!C:D,1,0),"")="","","✔")</f>
        <v/>
      </c>
      <c r="X134" s="98" t="str">
        <f>IF(IFERROR(VLOOKUP(A134,'23.排水設施(二)'!C:D,1,0),"")="","","✔")</f>
        <v/>
      </c>
      <c r="Y134" s="98" t="str">
        <f>IF(IFERROR(VLOOKUP(A134,'24.木構造'!C:D,1,0),"")="","","✔")</f>
        <v/>
      </c>
      <c r="Z134" s="98" t="str">
        <f>IF(IFERROR(VLOOKUP(A134,'25.管路'!C:D,1,0),"")="","","✔")</f>
        <v/>
      </c>
      <c r="AA134" s="98" t="str">
        <f>IF(IFERROR(VLOOKUP(A134,'26.植栽(移植)'!C:D,1,0),"")="","","✔")</f>
        <v/>
      </c>
      <c r="AB134" s="98" t="str">
        <f>IF(IFERROR(VLOOKUP(A134,'27.植栽(新植)'!C:D,1,0),"")="","","✔")</f>
        <v/>
      </c>
      <c r="AC134" s="98" t="str">
        <f>IF(IFERROR(VLOOKUP(A134,'28.照明'!C:D,1,0),"")="","","✔")</f>
        <v/>
      </c>
      <c r="AD134" s="98" t="str">
        <f>IF(IFERROR(VLOOKUP(A134,'29.既有橋梁拆除'!C:D,1,0),"")="","","✔")</f>
        <v/>
      </c>
    </row>
    <row r="135" spans="1:30" ht="21.75" customHeight="1" x14ac:dyDescent="0.25">
      <c r="A135" s="99">
        <v>45325</v>
      </c>
      <c r="B135" s="98" t="str">
        <f>IF(IFERROR(VLOOKUP(A135,'1.測量放樣'!C:D,1,0),"")="","","✔")</f>
        <v/>
      </c>
      <c r="C135" s="98" t="str">
        <f>IF(IFERROR(VLOOKUP(A135,'2.土方開挖'!C:D,1,0),"")="","","✔")</f>
        <v/>
      </c>
      <c r="D135" s="98" t="str">
        <f>IF(IFERROR(VLOOKUP(A135,'3.土方回填'!C:D,1,0),"")="","","✔")</f>
        <v/>
      </c>
      <c r="E135" s="98" t="str">
        <f>IF(IFERROR(VLOOKUP(A135,'4.鋼筋'!C:D,1,0),"")="","","✔")</f>
        <v/>
      </c>
      <c r="F135" s="98" t="str">
        <f>IF(IFERROR(VLOOKUP(A135,'5.模板'!C:D,1,0),"")="","","✔")</f>
        <v/>
      </c>
      <c r="G135" s="98" t="str">
        <f>IF(IFERROR(VLOOKUP(A135,'6.混凝土'!C:D,1,0),"")="","","✔")</f>
        <v/>
      </c>
      <c r="H135" s="98" t="str">
        <f>IF(IFERROR(VLOOKUP(A135,'7.植筋'!C:D,1,0),"")="","","✔")</f>
        <v/>
      </c>
      <c r="I135" s="98" t="str">
        <f>IF(IFERROR(VLOOKUP(A135,'8.預力混凝土基樁'!C:D,1,0),"")="","","✔")</f>
        <v/>
      </c>
      <c r="J135" s="98" t="str">
        <f>IF(IFERROR(VLOOKUP(A135,'9.砌塊石護岸'!C:D,1,0),"")="","","✔")</f>
        <v/>
      </c>
      <c r="K135" s="98" t="str">
        <f>IF(IFERROR(VLOOKUP(A135,'10.低水護岸'!C:D,1,0),"")="","","✔")</f>
        <v/>
      </c>
      <c r="L135" s="98" t="str">
        <f>IF(IFERROR(VLOOKUP(A135,'11.固床工'!C:D,1,0),"")="","","✔")</f>
        <v/>
      </c>
      <c r="M135" s="98" t="str">
        <f>IF(IFERROR(VLOOKUP(A135,'12.全套管基樁'!C:D,1,0),"")="","","✔")</f>
        <v/>
      </c>
      <c r="N135" s="98" t="str">
        <f>IF(IFERROR(VLOOKUP(A135,'13.鋼筋混凝土管工程'!C:D,1,0),"")="","","✔")</f>
        <v/>
      </c>
      <c r="O135" s="98" t="str">
        <f>IF(IFERROR(VLOOKUP(A135,'14.鋼版樁'!C:D,1,0),"")="","","✔")</f>
        <v/>
      </c>
      <c r="P135" s="98" t="str">
        <f>IF(IFERROR(VLOOKUP(A135,'15.路床 路基高程'!C:D,1,0),"")="","","✔")</f>
        <v/>
      </c>
      <c r="Q135" s="98" t="str">
        <f>IF(IFERROR(VLOOKUP(A135,'16.瀝青混凝土'!C:D,1,0),"")="","","✔")</f>
        <v/>
      </c>
      <c r="R135" s="98" t="str">
        <f>IF(IFERROR(VLOOKUP(A135,'17.景觀鋪面(一)'!C:D,1,0),"")="","","✔")</f>
        <v/>
      </c>
      <c r="S135" s="98" t="str">
        <f>IF(IFERROR(VLOOKUP(A135,'18.景觀鋪面(二)'!C:D,1,0),"")="","","✔")</f>
        <v/>
      </c>
      <c r="T135" s="98" t="str">
        <f>IF(IFERROR(VLOOKUP(A135,'19.預鑄緣石'!C:D,1,0),"")="","","✔")</f>
        <v/>
      </c>
      <c r="U135" s="98" t="str">
        <f>IF(IFERROR(VLOOKUP(A135,'20.鋼構工程吊裝'!C:D,1,0),"")="","","✔")</f>
        <v/>
      </c>
      <c r="V135" s="98" t="str">
        <f>IF(IFERROR(VLOOKUP(A135,'21.鋼構工程塗裝'!C:D,1,0),"")="","","✔")</f>
        <v/>
      </c>
      <c r="W135" s="98" t="str">
        <f>IF(IFERROR(VLOOKUP(A135,'22.排水設施(一)'!C:D,1,0),"")="","","✔")</f>
        <v/>
      </c>
      <c r="X135" s="98" t="str">
        <f>IF(IFERROR(VLOOKUP(A135,'23.排水設施(二)'!C:D,1,0),"")="","","✔")</f>
        <v/>
      </c>
      <c r="Y135" s="98" t="str">
        <f>IF(IFERROR(VLOOKUP(A135,'24.木構造'!C:D,1,0),"")="","","✔")</f>
        <v/>
      </c>
      <c r="Z135" s="98" t="str">
        <f>IF(IFERROR(VLOOKUP(A135,'25.管路'!C:D,1,0),"")="","","✔")</f>
        <v/>
      </c>
      <c r="AA135" s="98" t="str">
        <f>IF(IFERROR(VLOOKUP(A135,'26.植栽(移植)'!C:D,1,0),"")="","","✔")</f>
        <v/>
      </c>
      <c r="AB135" s="98" t="str">
        <f>IF(IFERROR(VLOOKUP(A135,'27.植栽(新植)'!C:D,1,0),"")="","","✔")</f>
        <v/>
      </c>
      <c r="AC135" s="98" t="str">
        <f>IF(IFERROR(VLOOKUP(A135,'28.照明'!C:D,1,0),"")="","","✔")</f>
        <v/>
      </c>
      <c r="AD135" s="98" t="str">
        <f>IF(IFERROR(VLOOKUP(A135,'29.既有橋梁拆除'!C:D,1,0),"")="","","✔")</f>
        <v/>
      </c>
    </row>
    <row r="136" spans="1:30" ht="21.75" customHeight="1" x14ac:dyDescent="0.25">
      <c r="A136" s="99">
        <v>45326</v>
      </c>
      <c r="B136" s="98" t="str">
        <f>IF(IFERROR(VLOOKUP(A136,'1.測量放樣'!C:D,1,0),"")="","","✔")</f>
        <v/>
      </c>
      <c r="C136" s="98" t="str">
        <f>IF(IFERROR(VLOOKUP(A136,'2.土方開挖'!C:D,1,0),"")="","","✔")</f>
        <v/>
      </c>
      <c r="D136" s="98" t="str">
        <f>IF(IFERROR(VLOOKUP(A136,'3.土方回填'!C:D,1,0),"")="","","✔")</f>
        <v/>
      </c>
      <c r="E136" s="98" t="str">
        <f>IF(IFERROR(VLOOKUP(A136,'4.鋼筋'!C:D,1,0),"")="","","✔")</f>
        <v/>
      </c>
      <c r="F136" s="98" t="str">
        <f>IF(IFERROR(VLOOKUP(A136,'5.模板'!C:D,1,0),"")="","","✔")</f>
        <v/>
      </c>
      <c r="G136" s="98" t="str">
        <f>IF(IFERROR(VLOOKUP(A136,'6.混凝土'!C:D,1,0),"")="","","✔")</f>
        <v/>
      </c>
      <c r="H136" s="98" t="str">
        <f>IF(IFERROR(VLOOKUP(A136,'7.植筋'!C:D,1,0),"")="","","✔")</f>
        <v/>
      </c>
      <c r="I136" s="98" t="str">
        <f>IF(IFERROR(VLOOKUP(A136,'8.預力混凝土基樁'!C:D,1,0),"")="","","✔")</f>
        <v/>
      </c>
      <c r="J136" s="98" t="str">
        <f>IF(IFERROR(VLOOKUP(A136,'9.砌塊石護岸'!C:D,1,0),"")="","","✔")</f>
        <v/>
      </c>
      <c r="K136" s="98" t="str">
        <f>IF(IFERROR(VLOOKUP(A136,'10.低水護岸'!C:D,1,0),"")="","","✔")</f>
        <v/>
      </c>
      <c r="L136" s="98" t="str">
        <f>IF(IFERROR(VLOOKUP(A136,'11.固床工'!C:D,1,0),"")="","","✔")</f>
        <v/>
      </c>
      <c r="M136" s="98" t="str">
        <f>IF(IFERROR(VLOOKUP(A136,'12.全套管基樁'!C:D,1,0),"")="","","✔")</f>
        <v/>
      </c>
      <c r="N136" s="98" t="str">
        <f>IF(IFERROR(VLOOKUP(A136,'13.鋼筋混凝土管工程'!C:D,1,0),"")="","","✔")</f>
        <v/>
      </c>
      <c r="O136" s="98" t="str">
        <f>IF(IFERROR(VLOOKUP(A136,'14.鋼版樁'!C:D,1,0),"")="","","✔")</f>
        <v/>
      </c>
      <c r="P136" s="98" t="str">
        <f>IF(IFERROR(VLOOKUP(A136,'15.路床 路基高程'!C:D,1,0),"")="","","✔")</f>
        <v/>
      </c>
      <c r="Q136" s="98" t="str">
        <f>IF(IFERROR(VLOOKUP(A136,'16.瀝青混凝土'!C:D,1,0),"")="","","✔")</f>
        <v/>
      </c>
      <c r="R136" s="98" t="str">
        <f>IF(IFERROR(VLOOKUP(A136,'17.景觀鋪面(一)'!C:D,1,0),"")="","","✔")</f>
        <v/>
      </c>
      <c r="S136" s="98" t="str">
        <f>IF(IFERROR(VLOOKUP(A136,'18.景觀鋪面(二)'!C:D,1,0),"")="","","✔")</f>
        <v/>
      </c>
      <c r="T136" s="98" t="str">
        <f>IF(IFERROR(VLOOKUP(A136,'19.預鑄緣石'!C:D,1,0),"")="","","✔")</f>
        <v/>
      </c>
      <c r="U136" s="98" t="str">
        <f>IF(IFERROR(VLOOKUP(A136,'20.鋼構工程吊裝'!C:D,1,0),"")="","","✔")</f>
        <v/>
      </c>
      <c r="V136" s="98" t="str">
        <f>IF(IFERROR(VLOOKUP(A136,'21.鋼構工程塗裝'!C:D,1,0),"")="","","✔")</f>
        <v/>
      </c>
      <c r="W136" s="98" t="str">
        <f>IF(IFERROR(VLOOKUP(A136,'22.排水設施(一)'!C:D,1,0),"")="","","✔")</f>
        <v/>
      </c>
      <c r="X136" s="98" t="str">
        <f>IF(IFERROR(VLOOKUP(A136,'23.排水設施(二)'!C:D,1,0),"")="","","✔")</f>
        <v/>
      </c>
      <c r="Y136" s="98" t="str">
        <f>IF(IFERROR(VLOOKUP(A136,'24.木構造'!C:D,1,0),"")="","","✔")</f>
        <v/>
      </c>
      <c r="Z136" s="98" t="str">
        <f>IF(IFERROR(VLOOKUP(A136,'25.管路'!C:D,1,0),"")="","","✔")</f>
        <v/>
      </c>
      <c r="AA136" s="98" t="str">
        <f>IF(IFERROR(VLOOKUP(A136,'26.植栽(移植)'!C:D,1,0),"")="","","✔")</f>
        <v/>
      </c>
      <c r="AB136" s="98" t="str">
        <f>IF(IFERROR(VLOOKUP(A136,'27.植栽(新植)'!C:D,1,0),"")="","","✔")</f>
        <v/>
      </c>
      <c r="AC136" s="98" t="str">
        <f>IF(IFERROR(VLOOKUP(A136,'28.照明'!C:D,1,0),"")="","","✔")</f>
        <v/>
      </c>
      <c r="AD136" s="98" t="str">
        <f>IF(IFERROR(VLOOKUP(A136,'29.既有橋梁拆除'!C:D,1,0),"")="","","✔")</f>
        <v/>
      </c>
    </row>
    <row r="137" spans="1:30" ht="21.75" customHeight="1" x14ac:dyDescent="0.25">
      <c r="A137" s="99">
        <v>45327</v>
      </c>
      <c r="B137" s="98" t="str">
        <f>IF(IFERROR(VLOOKUP(A137,'1.測量放樣'!C:D,1,0),"")="","","✔")</f>
        <v/>
      </c>
      <c r="C137" s="98" t="str">
        <f>IF(IFERROR(VLOOKUP(A137,'2.土方開挖'!C:D,1,0),"")="","","✔")</f>
        <v/>
      </c>
      <c r="D137" s="98" t="str">
        <f>IF(IFERROR(VLOOKUP(A137,'3.土方回填'!C:D,1,0),"")="","","✔")</f>
        <v/>
      </c>
      <c r="E137" s="98" t="str">
        <f>IF(IFERROR(VLOOKUP(A137,'4.鋼筋'!C:D,1,0),"")="","","✔")</f>
        <v/>
      </c>
      <c r="F137" s="98" t="str">
        <f>IF(IFERROR(VLOOKUP(A137,'5.模板'!C:D,1,0),"")="","","✔")</f>
        <v/>
      </c>
      <c r="G137" s="98" t="str">
        <f>IF(IFERROR(VLOOKUP(A137,'6.混凝土'!C:D,1,0),"")="","","✔")</f>
        <v/>
      </c>
      <c r="H137" s="98" t="str">
        <f>IF(IFERROR(VLOOKUP(A137,'7.植筋'!C:D,1,0),"")="","","✔")</f>
        <v/>
      </c>
      <c r="I137" s="98" t="str">
        <f>IF(IFERROR(VLOOKUP(A137,'8.預力混凝土基樁'!C:D,1,0),"")="","","✔")</f>
        <v/>
      </c>
      <c r="J137" s="98" t="str">
        <f>IF(IFERROR(VLOOKUP(A137,'9.砌塊石護岸'!C:D,1,0),"")="","","✔")</f>
        <v/>
      </c>
      <c r="K137" s="98" t="str">
        <f>IF(IFERROR(VLOOKUP(A137,'10.低水護岸'!C:D,1,0),"")="","","✔")</f>
        <v/>
      </c>
      <c r="L137" s="98" t="str">
        <f>IF(IFERROR(VLOOKUP(A137,'11.固床工'!C:D,1,0),"")="","","✔")</f>
        <v/>
      </c>
      <c r="M137" s="98" t="str">
        <f>IF(IFERROR(VLOOKUP(A137,'12.全套管基樁'!C:D,1,0),"")="","","✔")</f>
        <v/>
      </c>
      <c r="N137" s="98" t="str">
        <f>IF(IFERROR(VLOOKUP(A137,'13.鋼筋混凝土管工程'!C:D,1,0),"")="","","✔")</f>
        <v/>
      </c>
      <c r="O137" s="98" t="str">
        <f>IF(IFERROR(VLOOKUP(A137,'14.鋼版樁'!C:D,1,0),"")="","","✔")</f>
        <v/>
      </c>
      <c r="P137" s="98" t="str">
        <f>IF(IFERROR(VLOOKUP(A137,'15.路床 路基高程'!C:D,1,0),"")="","","✔")</f>
        <v/>
      </c>
      <c r="Q137" s="98" t="str">
        <f>IF(IFERROR(VLOOKUP(A137,'16.瀝青混凝土'!C:D,1,0),"")="","","✔")</f>
        <v/>
      </c>
      <c r="R137" s="98" t="str">
        <f>IF(IFERROR(VLOOKUP(A137,'17.景觀鋪面(一)'!C:D,1,0),"")="","","✔")</f>
        <v/>
      </c>
      <c r="S137" s="98" t="str">
        <f>IF(IFERROR(VLOOKUP(A137,'18.景觀鋪面(二)'!C:D,1,0),"")="","","✔")</f>
        <v/>
      </c>
      <c r="T137" s="98" t="str">
        <f>IF(IFERROR(VLOOKUP(A137,'19.預鑄緣石'!C:D,1,0),"")="","","✔")</f>
        <v/>
      </c>
      <c r="U137" s="98" t="str">
        <f>IF(IFERROR(VLOOKUP(A137,'20.鋼構工程吊裝'!C:D,1,0),"")="","","✔")</f>
        <v/>
      </c>
      <c r="V137" s="98" t="str">
        <f>IF(IFERROR(VLOOKUP(A137,'21.鋼構工程塗裝'!C:D,1,0),"")="","","✔")</f>
        <v/>
      </c>
      <c r="W137" s="98" t="str">
        <f>IF(IFERROR(VLOOKUP(A137,'22.排水設施(一)'!C:D,1,0),"")="","","✔")</f>
        <v/>
      </c>
      <c r="X137" s="98" t="str">
        <f>IF(IFERROR(VLOOKUP(A137,'23.排水設施(二)'!C:D,1,0),"")="","","✔")</f>
        <v/>
      </c>
      <c r="Y137" s="98" t="str">
        <f>IF(IFERROR(VLOOKUP(A137,'24.木構造'!C:D,1,0),"")="","","✔")</f>
        <v/>
      </c>
      <c r="Z137" s="98" t="str">
        <f>IF(IFERROR(VLOOKUP(A137,'25.管路'!C:D,1,0),"")="","","✔")</f>
        <v/>
      </c>
      <c r="AA137" s="98" t="str">
        <f>IF(IFERROR(VLOOKUP(A137,'26.植栽(移植)'!C:D,1,0),"")="","","✔")</f>
        <v/>
      </c>
      <c r="AB137" s="98" t="str">
        <f>IF(IFERROR(VLOOKUP(A137,'27.植栽(新植)'!C:D,1,0),"")="","","✔")</f>
        <v/>
      </c>
      <c r="AC137" s="98" t="str">
        <f>IF(IFERROR(VLOOKUP(A137,'28.照明'!C:D,1,0),"")="","","✔")</f>
        <v/>
      </c>
      <c r="AD137" s="98" t="str">
        <f>IF(IFERROR(VLOOKUP(A137,'29.既有橋梁拆除'!C:D,1,0),"")="","","✔")</f>
        <v/>
      </c>
    </row>
    <row r="138" spans="1:30" ht="21.75" customHeight="1" x14ac:dyDescent="0.25">
      <c r="A138" s="99">
        <v>45328</v>
      </c>
      <c r="B138" s="98" t="str">
        <f>IF(IFERROR(VLOOKUP(A138,'1.測量放樣'!C:D,1,0),"")="","","✔")</f>
        <v/>
      </c>
      <c r="C138" s="98" t="str">
        <f>IF(IFERROR(VLOOKUP(A138,'2.土方開挖'!C:D,1,0),"")="","","✔")</f>
        <v/>
      </c>
      <c r="D138" s="98" t="str">
        <f>IF(IFERROR(VLOOKUP(A138,'3.土方回填'!C:D,1,0),"")="","","✔")</f>
        <v/>
      </c>
      <c r="E138" s="98" t="str">
        <f>IF(IFERROR(VLOOKUP(A138,'4.鋼筋'!C:D,1,0),"")="","","✔")</f>
        <v/>
      </c>
      <c r="F138" s="98" t="str">
        <f>IF(IFERROR(VLOOKUP(A138,'5.模板'!C:D,1,0),"")="","","✔")</f>
        <v/>
      </c>
      <c r="G138" s="98" t="str">
        <f>IF(IFERROR(VLOOKUP(A138,'6.混凝土'!C:D,1,0),"")="","","✔")</f>
        <v/>
      </c>
      <c r="H138" s="98" t="str">
        <f>IF(IFERROR(VLOOKUP(A138,'7.植筋'!C:D,1,0),"")="","","✔")</f>
        <v/>
      </c>
      <c r="I138" s="98" t="str">
        <f>IF(IFERROR(VLOOKUP(A138,'8.預力混凝土基樁'!C:D,1,0),"")="","","✔")</f>
        <v/>
      </c>
      <c r="J138" s="98" t="str">
        <f>IF(IFERROR(VLOOKUP(A138,'9.砌塊石護岸'!C:D,1,0),"")="","","✔")</f>
        <v/>
      </c>
      <c r="K138" s="98" t="str">
        <f>IF(IFERROR(VLOOKUP(A138,'10.低水護岸'!C:D,1,0),"")="","","✔")</f>
        <v/>
      </c>
      <c r="L138" s="98" t="str">
        <f>IF(IFERROR(VLOOKUP(A138,'11.固床工'!C:D,1,0),"")="","","✔")</f>
        <v/>
      </c>
      <c r="M138" s="98" t="str">
        <f>IF(IFERROR(VLOOKUP(A138,'12.全套管基樁'!C:D,1,0),"")="","","✔")</f>
        <v/>
      </c>
      <c r="N138" s="98" t="str">
        <f>IF(IFERROR(VLOOKUP(A138,'13.鋼筋混凝土管工程'!C:D,1,0),"")="","","✔")</f>
        <v/>
      </c>
      <c r="O138" s="98" t="str">
        <f>IF(IFERROR(VLOOKUP(A138,'14.鋼版樁'!C:D,1,0),"")="","","✔")</f>
        <v/>
      </c>
      <c r="P138" s="98" t="str">
        <f>IF(IFERROR(VLOOKUP(A138,'15.路床 路基高程'!C:D,1,0),"")="","","✔")</f>
        <v/>
      </c>
      <c r="Q138" s="98" t="str">
        <f>IF(IFERROR(VLOOKUP(A138,'16.瀝青混凝土'!C:D,1,0),"")="","","✔")</f>
        <v/>
      </c>
      <c r="R138" s="98" t="str">
        <f>IF(IFERROR(VLOOKUP(A138,'17.景觀鋪面(一)'!C:D,1,0),"")="","","✔")</f>
        <v/>
      </c>
      <c r="S138" s="98" t="str">
        <f>IF(IFERROR(VLOOKUP(A138,'18.景觀鋪面(二)'!C:D,1,0),"")="","","✔")</f>
        <v/>
      </c>
      <c r="T138" s="98" t="str">
        <f>IF(IFERROR(VLOOKUP(A138,'19.預鑄緣石'!C:D,1,0),"")="","","✔")</f>
        <v/>
      </c>
      <c r="U138" s="98" t="str">
        <f>IF(IFERROR(VLOOKUP(A138,'20.鋼構工程吊裝'!C:D,1,0),"")="","","✔")</f>
        <v/>
      </c>
      <c r="V138" s="98" t="str">
        <f>IF(IFERROR(VLOOKUP(A138,'21.鋼構工程塗裝'!C:D,1,0),"")="","","✔")</f>
        <v/>
      </c>
      <c r="W138" s="98" t="str">
        <f>IF(IFERROR(VLOOKUP(A138,'22.排水設施(一)'!C:D,1,0),"")="","","✔")</f>
        <v/>
      </c>
      <c r="X138" s="98" t="str">
        <f>IF(IFERROR(VLOOKUP(A138,'23.排水設施(二)'!C:D,1,0),"")="","","✔")</f>
        <v/>
      </c>
      <c r="Y138" s="98" t="str">
        <f>IF(IFERROR(VLOOKUP(A138,'24.木構造'!C:D,1,0),"")="","","✔")</f>
        <v/>
      </c>
      <c r="Z138" s="98" t="str">
        <f>IF(IFERROR(VLOOKUP(A138,'25.管路'!C:D,1,0),"")="","","✔")</f>
        <v/>
      </c>
      <c r="AA138" s="98" t="str">
        <f>IF(IFERROR(VLOOKUP(A138,'26.植栽(移植)'!C:D,1,0),"")="","","✔")</f>
        <v/>
      </c>
      <c r="AB138" s="98" t="str">
        <f>IF(IFERROR(VLOOKUP(A138,'27.植栽(新植)'!C:D,1,0),"")="","","✔")</f>
        <v/>
      </c>
      <c r="AC138" s="98" t="str">
        <f>IF(IFERROR(VLOOKUP(A138,'28.照明'!C:D,1,0),"")="","","✔")</f>
        <v/>
      </c>
      <c r="AD138" s="98" t="str">
        <f>IF(IFERROR(VLOOKUP(A138,'29.既有橋梁拆除'!C:D,1,0),"")="","","✔")</f>
        <v/>
      </c>
    </row>
    <row r="139" spans="1:30" ht="21.75" customHeight="1" x14ac:dyDescent="0.25">
      <c r="A139" s="99">
        <v>45329</v>
      </c>
      <c r="B139" s="98" t="str">
        <f>IF(IFERROR(VLOOKUP(A139,'1.測量放樣'!C:D,1,0),"")="","","✔")</f>
        <v/>
      </c>
      <c r="C139" s="98" t="str">
        <f>IF(IFERROR(VLOOKUP(A139,'2.土方開挖'!C:D,1,0),"")="","","✔")</f>
        <v/>
      </c>
      <c r="D139" s="98" t="str">
        <f>IF(IFERROR(VLOOKUP(A139,'3.土方回填'!C:D,1,0),"")="","","✔")</f>
        <v/>
      </c>
      <c r="E139" s="98" t="str">
        <f>IF(IFERROR(VLOOKUP(A139,'4.鋼筋'!C:D,1,0),"")="","","✔")</f>
        <v/>
      </c>
      <c r="F139" s="98" t="str">
        <f>IF(IFERROR(VLOOKUP(A139,'5.模板'!C:D,1,0),"")="","","✔")</f>
        <v/>
      </c>
      <c r="G139" s="98" t="str">
        <f>IF(IFERROR(VLOOKUP(A139,'6.混凝土'!C:D,1,0),"")="","","✔")</f>
        <v/>
      </c>
      <c r="H139" s="98" t="str">
        <f>IF(IFERROR(VLOOKUP(A139,'7.植筋'!C:D,1,0),"")="","","✔")</f>
        <v/>
      </c>
      <c r="I139" s="98" t="str">
        <f>IF(IFERROR(VLOOKUP(A139,'8.預力混凝土基樁'!C:D,1,0),"")="","","✔")</f>
        <v/>
      </c>
      <c r="J139" s="98" t="str">
        <f>IF(IFERROR(VLOOKUP(A139,'9.砌塊石護岸'!C:D,1,0),"")="","","✔")</f>
        <v/>
      </c>
      <c r="K139" s="98" t="str">
        <f>IF(IFERROR(VLOOKUP(A139,'10.低水護岸'!C:D,1,0),"")="","","✔")</f>
        <v/>
      </c>
      <c r="L139" s="98" t="str">
        <f>IF(IFERROR(VLOOKUP(A139,'11.固床工'!C:D,1,0),"")="","","✔")</f>
        <v/>
      </c>
      <c r="M139" s="98" t="str">
        <f>IF(IFERROR(VLOOKUP(A139,'12.全套管基樁'!C:D,1,0),"")="","","✔")</f>
        <v/>
      </c>
      <c r="N139" s="98" t="str">
        <f>IF(IFERROR(VLOOKUP(A139,'13.鋼筋混凝土管工程'!C:D,1,0),"")="","","✔")</f>
        <v/>
      </c>
      <c r="O139" s="98" t="str">
        <f>IF(IFERROR(VLOOKUP(A139,'14.鋼版樁'!C:D,1,0),"")="","","✔")</f>
        <v/>
      </c>
      <c r="P139" s="98" t="str">
        <f>IF(IFERROR(VLOOKUP(A139,'15.路床 路基高程'!C:D,1,0),"")="","","✔")</f>
        <v/>
      </c>
      <c r="Q139" s="98" t="str">
        <f>IF(IFERROR(VLOOKUP(A139,'16.瀝青混凝土'!C:D,1,0),"")="","","✔")</f>
        <v/>
      </c>
      <c r="R139" s="98" t="str">
        <f>IF(IFERROR(VLOOKUP(A139,'17.景觀鋪面(一)'!C:D,1,0),"")="","","✔")</f>
        <v/>
      </c>
      <c r="S139" s="98" t="str">
        <f>IF(IFERROR(VLOOKUP(A139,'18.景觀鋪面(二)'!C:D,1,0),"")="","","✔")</f>
        <v/>
      </c>
      <c r="T139" s="98" t="str">
        <f>IF(IFERROR(VLOOKUP(A139,'19.預鑄緣石'!C:D,1,0),"")="","","✔")</f>
        <v/>
      </c>
      <c r="U139" s="98" t="str">
        <f>IF(IFERROR(VLOOKUP(A139,'20.鋼構工程吊裝'!C:D,1,0),"")="","","✔")</f>
        <v/>
      </c>
      <c r="V139" s="98" t="str">
        <f>IF(IFERROR(VLOOKUP(A139,'21.鋼構工程塗裝'!C:D,1,0),"")="","","✔")</f>
        <v/>
      </c>
      <c r="W139" s="98" t="str">
        <f>IF(IFERROR(VLOOKUP(A139,'22.排水設施(一)'!C:D,1,0),"")="","","✔")</f>
        <v/>
      </c>
      <c r="X139" s="98" t="str">
        <f>IF(IFERROR(VLOOKUP(A139,'23.排水設施(二)'!C:D,1,0),"")="","","✔")</f>
        <v/>
      </c>
      <c r="Y139" s="98" t="str">
        <f>IF(IFERROR(VLOOKUP(A139,'24.木構造'!C:D,1,0),"")="","","✔")</f>
        <v/>
      </c>
      <c r="Z139" s="98" t="str">
        <f>IF(IFERROR(VLOOKUP(A139,'25.管路'!C:D,1,0),"")="","","✔")</f>
        <v/>
      </c>
      <c r="AA139" s="98" t="str">
        <f>IF(IFERROR(VLOOKUP(A139,'26.植栽(移植)'!C:D,1,0),"")="","","✔")</f>
        <v/>
      </c>
      <c r="AB139" s="98" t="str">
        <f>IF(IFERROR(VLOOKUP(A139,'27.植栽(新植)'!C:D,1,0),"")="","","✔")</f>
        <v/>
      </c>
      <c r="AC139" s="98" t="str">
        <f>IF(IFERROR(VLOOKUP(A139,'28.照明'!C:D,1,0),"")="","","✔")</f>
        <v/>
      </c>
      <c r="AD139" s="98" t="str">
        <f>IF(IFERROR(VLOOKUP(A139,'29.既有橋梁拆除'!C:D,1,0),"")="","","✔")</f>
        <v/>
      </c>
    </row>
    <row r="140" spans="1:30" ht="21.75" customHeight="1" x14ac:dyDescent="0.25">
      <c r="A140" s="99">
        <v>45330</v>
      </c>
      <c r="B140" s="98" t="str">
        <f>IF(IFERROR(VLOOKUP(A140,'1.測量放樣'!C:D,1,0),"")="","","✔")</f>
        <v/>
      </c>
      <c r="C140" s="98" t="str">
        <f>IF(IFERROR(VLOOKUP(A140,'2.土方開挖'!C:D,1,0),"")="","","✔")</f>
        <v/>
      </c>
      <c r="D140" s="98" t="str">
        <f>IF(IFERROR(VLOOKUP(A140,'3.土方回填'!C:D,1,0),"")="","","✔")</f>
        <v/>
      </c>
      <c r="E140" s="98" t="str">
        <f>IF(IFERROR(VLOOKUP(A140,'4.鋼筋'!C:D,1,0),"")="","","✔")</f>
        <v/>
      </c>
      <c r="F140" s="98" t="str">
        <f>IF(IFERROR(VLOOKUP(A140,'5.模板'!C:D,1,0),"")="","","✔")</f>
        <v/>
      </c>
      <c r="G140" s="98" t="str">
        <f>IF(IFERROR(VLOOKUP(A140,'6.混凝土'!C:D,1,0),"")="","","✔")</f>
        <v/>
      </c>
      <c r="H140" s="98" t="str">
        <f>IF(IFERROR(VLOOKUP(A140,'7.植筋'!C:D,1,0),"")="","","✔")</f>
        <v/>
      </c>
      <c r="I140" s="98" t="str">
        <f>IF(IFERROR(VLOOKUP(A140,'8.預力混凝土基樁'!C:D,1,0),"")="","","✔")</f>
        <v/>
      </c>
      <c r="J140" s="98" t="str">
        <f>IF(IFERROR(VLOOKUP(A140,'9.砌塊石護岸'!C:D,1,0),"")="","","✔")</f>
        <v/>
      </c>
      <c r="K140" s="98" t="str">
        <f>IF(IFERROR(VLOOKUP(A140,'10.低水護岸'!C:D,1,0),"")="","","✔")</f>
        <v/>
      </c>
      <c r="L140" s="98" t="str">
        <f>IF(IFERROR(VLOOKUP(A140,'11.固床工'!C:D,1,0),"")="","","✔")</f>
        <v/>
      </c>
      <c r="M140" s="98" t="str">
        <f>IF(IFERROR(VLOOKUP(A140,'12.全套管基樁'!C:D,1,0),"")="","","✔")</f>
        <v/>
      </c>
      <c r="N140" s="98" t="str">
        <f>IF(IFERROR(VLOOKUP(A140,'13.鋼筋混凝土管工程'!C:D,1,0),"")="","","✔")</f>
        <v/>
      </c>
      <c r="O140" s="98" t="str">
        <f>IF(IFERROR(VLOOKUP(A140,'14.鋼版樁'!C:D,1,0),"")="","","✔")</f>
        <v/>
      </c>
      <c r="P140" s="98" t="str">
        <f>IF(IFERROR(VLOOKUP(A140,'15.路床 路基高程'!C:D,1,0),"")="","","✔")</f>
        <v/>
      </c>
      <c r="Q140" s="98" t="str">
        <f>IF(IFERROR(VLOOKUP(A140,'16.瀝青混凝土'!C:D,1,0),"")="","","✔")</f>
        <v/>
      </c>
      <c r="R140" s="98" t="str">
        <f>IF(IFERROR(VLOOKUP(A140,'17.景觀鋪面(一)'!C:D,1,0),"")="","","✔")</f>
        <v/>
      </c>
      <c r="S140" s="98" t="str">
        <f>IF(IFERROR(VLOOKUP(A140,'18.景觀鋪面(二)'!C:D,1,0),"")="","","✔")</f>
        <v/>
      </c>
      <c r="T140" s="98" t="str">
        <f>IF(IFERROR(VLOOKUP(A140,'19.預鑄緣石'!C:D,1,0),"")="","","✔")</f>
        <v/>
      </c>
      <c r="U140" s="98" t="str">
        <f>IF(IFERROR(VLOOKUP(A140,'20.鋼構工程吊裝'!C:D,1,0),"")="","","✔")</f>
        <v/>
      </c>
      <c r="V140" s="98" t="str">
        <f>IF(IFERROR(VLOOKUP(A140,'21.鋼構工程塗裝'!C:D,1,0),"")="","","✔")</f>
        <v/>
      </c>
      <c r="W140" s="98" t="str">
        <f>IF(IFERROR(VLOOKUP(A140,'22.排水設施(一)'!C:D,1,0),"")="","","✔")</f>
        <v/>
      </c>
      <c r="X140" s="98" t="str">
        <f>IF(IFERROR(VLOOKUP(A140,'23.排水設施(二)'!C:D,1,0),"")="","","✔")</f>
        <v/>
      </c>
      <c r="Y140" s="98" t="str">
        <f>IF(IFERROR(VLOOKUP(A140,'24.木構造'!C:D,1,0),"")="","","✔")</f>
        <v/>
      </c>
      <c r="Z140" s="98" t="str">
        <f>IF(IFERROR(VLOOKUP(A140,'25.管路'!C:D,1,0),"")="","","✔")</f>
        <v/>
      </c>
      <c r="AA140" s="98" t="str">
        <f>IF(IFERROR(VLOOKUP(A140,'26.植栽(移植)'!C:D,1,0),"")="","","✔")</f>
        <v/>
      </c>
      <c r="AB140" s="98" t="str">
        <f>IF(IFERROR(VLOOKUP(A140,'27.植栽(新植)'!C:D,1,0),"")="","","✔")</f>
        <v/>
      </c>
      <c r="AC140" s="98" t="str">
        <f>IF(IFERROR(VLOOKUP(A140,'28.照明'!C:D,1,0),"")="","","✔")</f>
        <v/>
      </c>
      <c r="AD140" s="98" t="str">
        <f>IF(IFERROR(VLOOKUP(A140,'29.既有橋梁拆除'!C:D,1,0),"")="","","✔")</f>
        <v/>
      </c>
    </row>
    <row r="141" spans="1:30" ht="21.75" customHeight="1" x14ac:dyDescent="0.25">
      <c r="A141" s="99">
        <v>45331</v>
      </c>
      <c r="B141" s="98" t="str">
        <f>IF(IFERROR(VLOOKUP(A141,'1.測量放樣'!C:D,1,0),"")="","","✔")</f>
        <v/>
      </c>
      <c r="C141" s="98" t="str">
        <f>IF(IFERROR(VLOOKUP(A141,'2.土方開挖'!C:D,1,0),"")="","","✔")</f>
        <v/>
      </c>
      <c r="D141" s="98" t="str">
        <f>IF(IFERROR(VLOOKUP(A141,'3.土方回填'!C:D,1,0),"")="","","✔")</f>
        <v/>
      </c>
      <c r="E141" s="98" t="str">
        <f>IF(IFERROR(VLOOKUP(A141,'4.鋼筋'!C:D,1,0),"")="","","✔")</f>
        <v/>
      </c>
      <c r="F141" s="98" t="str">
        <f>IF(IFERROR(VLOOKUP(A141,'5.模板'!C:D,1,0),"")="","","✔")</f>
        <v/>
      </c>
      <c r="G141" s="98" t="str">
        <f>IF(IFERROR(VLOOKUP(A141,'6.混凝土'!C:D,1,0),"")="","","✔")</f>
        <v/>
      </c>
      <c r="H141" s="98" t="str">
        <f>IF(IFERROR(VLOOKUP(A141,'7.植筋'!C:D,1,0),"")="","","✔")</f>
        <v/>
      </c>
      <c r="I141" s="98" t="str">
        <f>IF(IFERROR(VLOOKUP(A141,'8.預力混凝土基樁'!C:D,1,0),"")="","","✔")</f>
        <v/>
      </c>
      <c r="J141" s="98" t="str">
        <f>IF(IFERROR(VLOOKUP(A141,'9.砌塊石護岸'!C:D,1,0),"")="","","✔")</f>
        <v/>
      </c>
      <c r="K141" s="98" t="str">
        <f>IF(IFERROR(VLOOKUP(A141,'10.低水護岸'!C:D,1,0),"")="","","✔")</f>
        <v/>
      </c>
      <c r="L141" s="98" t="str">
        <f>IF(IFERROR(VLOOKUP(A141,'11.固床工'!C:D,1,0),"")="","","✔")</f>
        <v/>
      </c>
      <c r="M141" s="98" t="str">
        <f>IF(IFERROR(VLOOKUP(A141,'12.全套管基樁'!C:D,1,0),"")="","","✔")</f>
        <v/>
      </c>
      <c r="N141" s="98" t="str">
        <f>IF(IFERROR(VLOOKUP(A141,'13.鋼筋混凝土管工程'!C:D,1,0),"")="","","✔")</f>
        <v/>
      </c>
      <c r="O141" s="98" t="str">
        <f>IF(IFERROR(VLOOKUP(A141,'14.鋼版樁'!C:D,1,0),"")="","","✔")</f>
        <v/>
      </c>
      <c r="P141" s="98" t="str">
        <f>IF(IFERROR(VLOOKUP(A141,'15.路床 路基高程'!C:D,1,0),"")="","","✔")</f>
        <v/>
      </c>
      <c r="Q141" s="98" t="str">
        <f>IF(IFERROR(VLOOKUP(A141,'16.瀝青混凝土'!C:D,1,0),"")="","","✔")</f>
        <v/>
      </c>
      <c r="R141" s="98" t="str">
        <f>IF(IFERROR(VLOOKUP(A141,'17.景觀鋪面(一)'!C:D,1,0),"")="","","✔")</f>
        <v/>
      </c>
      <c r="S141" s="98" t="str">
        <f>IF(IFERROR(VLOOKUP(A141,'18.景觀鋪面(二)'!C:D,1,0),"")="","","✔")</f>
        <v/>
      </c>
      <c r="T141" s="98" t="str">
        <f>IF(IFERROR(VLOOKUP(A141,'19.預鑄緣石'!C:D,1,0),"")="","","✔")</f>
        <v/>
      </c>
      <c r="U141" s="98" t="str">
        <f>IF(IFERROR(VLOOKUP(A141,'20.鋼構工程吊裝'!C:D,1,0),"")="","","✔")</f>
        <v/>
      </c>
      <c r="V141" s="98" t="str">
        <f>IF(IFERROR(VLOOKUP(A141,'21.鋼構工程塗裝'!C:D,1,0),"")="","","✔")</f>
        <v/>
      </c>
      <c r="W141" s="98" t="str">
        <f>IF(IFERROR(VLOOKUP(A141,'22.排水設施(一)'!C:D,1,0),"")="","","✔")</f>
        <v/>
      </c>
      <c r="X141" s="98" t="str">
        <f>IF(IFERROR(VLOOKUP(A141,'23.排水設施(二)'!C:D,1,0),"")="","","✔")</f>
        <v/>
      </c>
      <c r="Y141" s="98" t="str">
        <f>IF(IFERROR(VLOOKUP(A141,'24.木構造'!C:D,1,0),"")="","","✔")</f>
        <v/>
      </c>
      <c r="Z141" s="98" t="str">
        <f>IF(IFERROR(VLOOKUP(A141,'25.管路'!C:D,1,0),"")="","","✔")</f>
        <v/>
      </c>
      <c r="AA141" s="98" t="str">
        <f>IF(IFERROR(VLOOKUP(A141,'26.植栽(移植)'!C:D,1,0),"")="","","✔")</f>
        <v/>
      </c>
      <c r="AB141" s="98" t="str">
        <f>IF(IFERROR(VLOOKUP(A141,'27.植栽(新植)'!C:D,1,0),"")="","","✔")</f>
        <v/>
      </c>
      <c r="AC141" s="98" t="str">
        <f>IF(IFERROR(VLOOKUP(A141,'28.照明'!C:D,1,0),"")="","","✔")</f>
        <v/>
      </c>
      <c r="AD141" s="98" t="str">
        <f>IF(IFERROR(VLOOKUP(A141,'29.既有橋梁拆除'!C:D,1,0),"")="","","✔")</f>
        <v/>
      </c>
    </row>
    <row r="142" spans="1:30" ht="21.75" customHeight="1" x14ac:dyDescent="0.25">
      <c r="A142" s="99">
        <v>45332</v>
      </c>
      <c r="B142" s="98" t="str">
        <f>IF(IFERROR(VLOOKUP(A142,'1.測量放樣'!C:D,1,0),"")="","","✔")</f>
        <v/>
      </c>
      <c r="C142" s="98" t="str">
        <f>IF(IFERROR(VLOOKUP(A142,'2.土方開挖'!C:D,1,0),"")="","","✔")</f>
        <v/>
      </c>
      <c r="D142" s="98" t="str">
        <f>IF(IFERROR(VLOOKUP(A142,'3.土方回填'!C:D,1,0),"")="","","✔")</f>
        <v/>
      </c>
      <c r="E142" s="98" t="str">
        <f>IF(IFERROR(VLOOKUP(A142,'4.鋼筋'!C:D,1,0),"")="","","✔")</f>
        <v/>
      </c>
      <c r="F142" s="98" t="str">
        <f>IF(IFERROR(VLOOKUP(A142,'5.模板'!C:D,1,0),"")="","","✔")</f>
        <v/>
      </c>
      <c r="G142" s="98" t="str">
        <f>IF(IFERROR(VLOOKUP(A142,'6.混凝土'!C:D,1,0),"")="","","✔")</f>
        <v/>
      </c>
      <c r="H142" s="98" t="str">
        <f>IF(IFERROR(VLOOKUP(A142,'7.植筋'!C:D,1,0),"")="","","✔")</f>
        <v/>
      </c>
      <c r="I142" s="98" t="str">
        <f>IF(IFERROR(VLOOKUP(A142,'8.預力混凝土基樁'!C:D,1,0),"")="","","✔")</f>
        <v/>
      </c>
      <c r="J142" s="98" t="str">
        <f>IF(IFERROR(VLOOKUP(A142,'9.砌塊石護岸'!C:D,1,0),"")="","","✔")</f>
        <v/>
      </c>
      <c r="K142" s="98" t="str">
        <f>IF(IFERROR(VLOOKUP(A142,'10.低水護岸'!C:D,1,0),"")="","","✔")</f>
        <v/>
      </c>
      <c r="L142" s="98" t="str">
        <f>IF(IFERROR(VLOOKUP(A142,'11.固床工'!C:D,1,0),"")="","","✔")</f>
        <v/>
      </c>
      <c r="M142" s="98" t="str">
        <f>IF(IFERROR(VLOOKUP(A142,'12.全套管基樁'!C:D,1,0),"")="","","✔")</f>
        <v/>
      </c>
      <c r="N142" s="98" t="str">
        <f>IF(IFERROR(VLOOKUP(A142,'13.鋼筋混凝土管工程'!C:D,1,0),"")="","","✔")</f>
        <v/>
      </c>
      <c r="O142" s="98" t="str">
        <f>IF(IFERROR(VLOOKUP(A142,'14.鋼版樁'!C:D,1,0),"")="","","✔")</f>
        <v/>
      </c>
      <c r="P142" s="98" t="str">
        <f>IF(IFERROR(VLOOKUP(A142,'15.路床 路基高程'!C:D,1,0),"")="","","✔")</f>
        <v/>
      </c>
      <c r="Q142" s="98" t="str">
        <f>IF(IFERROR(VLOOKUP(A142,'16.瀝青混凝土'!C:D,1,0),"")="","","✔")</f>
        <v/>
      </c>
      <c r="R142" s="98" t="str">
        <f>IF(IFERROR(VLOOKUP(A142,'17.景觀鋪面(一)'!C:D,1,0),"")="","","✔")</f>
        <v/>
      </c>
      <c r="S142" s="98" t="str">
        <f>IF(IFERROR(VLOOKUP(A142,'18.景觀鋪面(二)'!C:D,1,0),"")="","","✔")</f>
        <v/>
      </c>
      <c r="T142" s="98" t="str">
        <f>IF(IFERROR(VLOOKUP(A142,'19.預鑄緣石'!C:D,1,0),"")="","","✔")</f>
        <v/>
      </c>
      <c r="U142" s="98" t="str">
        <f>IF(IFERROR(VLOOKUP(A142,'20.鋼構工程吊裝'!C:D,1,0),"")="","","✔")</f>
        <v/>
      </c>
      <c r="V142" s="98" t="str">
        <f>IF(IFERROR(VLOOKUP(A142,'21.鋼構工程塗裝'!C:D,1,0),"")="","","✔")</f>
        <v/>
      </c>
      <c r="W142" s="98" t="str">
        <f>IF(IFERROR(VLOOKUP(A142,'22.排水設施(一)'!C:D,1,0),"")="","","✔")</f>
        <v/>
      </c>
      <c r="X142" s="98" t="str">
        <f>IF(IFERROR(VLOOKUP(A142,'23.排水設施(二)'!C:D,1,0),"")="","","✔")</f>
        <v/>
      </c>
      <c r="Y142" s="98" t="str">
        <f>IF(IFERROR(VLOOKUP(A142,'24.木構造'!C:D,1,0),"")="","","✔")</f>
        <v/>
      </c>
      <c r="Z142" s="98" t="str">
        <f>IF(IFERROR(VLOOKUP(A142,'25.管路'!C:D,1,0),"")="","","✔")</f>
        <v/>
      </c>
      <c r="AA142" s="98" t="str">
        <f>IF(IFERROR(VLOOKUP(A142,'26.植栽(移植)'!C:D,1,0),"")="","","✔")</f>
        <v/>
      </c>
      <c r="AB142" s="98" t="str">
        <f>IF(IFERROR(VLOOKUP(A142,'27.植栽(新植)'!C:D,1,0),"")="","","✔")</f>
        <v/>
      </c>
      <c r="AC142" s="98" t="str">
        <f>IF(IFERROR(VLOOKUP(A142,'28.照明'!C:D,1,0),"")="","","✔")</f>
        <v/>
      </c>
      <c r="AD142" s="98" t="str">
        <f>IF(IFERROR(VLOOKUP(A142,'29.既有橋梁拆除'!C:D,1,0),"")="","","✔")</f>
        <v/>
      </c>
    </row>
    <row r="143" spans="1:30" ht="21.75" customHeight="1" x14ac:dyDescent="0.25">
      <c r="A143" s="99">
        <v>45333</v>
      </c>
      <c r="B143" s="98" t="str">
        <f>IF(IFERROR(VLOOKUP(A143,'1.測量放樣'!C:D,1,0),"")="","","✔")</f>
        <v/>
      </c>
      <c r="C143" s="98" t="str">
        <f>IF(IFERROR(VLOOKUP(A143,'2.土方開挖'!C:D,1,0),"")="","","✔")</f>
        <v/>
      </c>
      <c r="D143" s="98" t="str">
        <f>IF(IFERROR(VLOOKUP(A143,'3.土方回填'!C:D,1,0),"")="","","✔")</f>
        <v/>
      </c>
      <c r="E143" s="98" t="str">
        <f>IF(IFERROR(VLOOKUP(A143,'4.鋼筋'!C:D,1,0),"")="","","✔")</f>
        <v/>
      </c>
      <c r="F143" s="98" t="str">
        <f>IF(IFERROR(VLOOKUP(A143,'5.模板'!C:D,1,0),"")="","","✔")</f>
        <v/>
      </c>
      <c r="G143" s="98" t="str">
        <f>IF(IFERROR(VLOOKUP(A143,'6.混凝土'!C:D,1,0),"")="","","✔")</f>
        <v/>
      </c>
      <c r="H143" s="98" t="str">
        <f>IF(IFERROR(VLOOKUP(A143,'7.植筋'!C:D,1,0),"")="","","✔")</f>
        <v/>
      </c>
      <c r="I143" s="98" t="str">
        <f>IF(IFERROR(VLOOKUP(A143,'8.預力混凝土基樁'!C:D,1,0),"")="","","✔")</f>
        <v/>
      </c>
      <c r="J143" s="98" t="str">
        <f>IF(IFERROR(VLOOKUP(A143,'9.砌塊石護岸'!C:D,1,0),"")="","","✔")</f>
        <v/>
      </c>
      <c r="K143" s="98" t="str">
        <f>IF(IFERROR(VLOOKUP(A143,'10.低水護岸'!C:D,1,0),"")="","","✔")</f>
        <v/>
      </c>
      <c r="L143" s="98" t="str">
        <f>IF(IFERROR(VLOOKUP(A143,'11.固床工'!C:D,1,0),"")="","","✔")</f>
        <v/>
      </c>
      <c r="M143" s="98" t="str">
        <f>IF(IFERROR(VLOOKUP(A143,'12.全套管基樁'!C:D,1,0),"")="","","✔")</f>
        <v/>
      </c>
      <c r="N143" s="98" t="str">
        <f>IF(IFERROR(VLOOKUP(A143,'13.鋼筋混凝土管工程'!C:D,1,0),"")="","","✔")</f>
        <v/>
      </c>
      <c r="O143" s="98" t="str">
        <f>IF(IFERROR(VLOOKUP(A143,'14.鋼版樁'!C:D,1,0),"")="","","✔")</f>
        <v/>
      </c>
      <c r="P143" s="98" t="str">
        <f>IF(IFERROR(VLOOKUP(A143,'15.路床 路基高程'!C:D,1,0),"")="","","✔")</f>
        <v/>
      </c>
      <c r="Q143" s="98" t="str">
        <f>IF(IFERROR(VLOOKUP(A143,'16.瀝青混凝土'!C:D,1,0),"")="","","✔")</f>
        <v/>
      </c>
      <c r="R143" s="98" t="str">
        <f>IF(IFERROR(VLOOKUP(A143,'17.景觀鋪面(一)'!C:D,1,0),"")="","","✔")</f>
        <v/>
      </c>
      <c r="S143" s="98" t="str">
        <f>IF(IFERROR(VLOOKUP(A143,'18.景觀鋪面(二)'!C:D,1,0),"")="","","✔")</f>
        <v/>
      </c>
      <c r="T143" s="98" t="str">
        <f>IF(IFERROR(VLOOKUP(A143,'19.預鑄緣石'!C:D,1,0),"")="","","✔")</f>
        <v/>
      </c>
      <c r="U143" s="98" t="str">
        <f>IF(IFERROR(VLOOKUP(A143,'20.鋼構工程吊裝'!C:D,1,0),"")="","","✔")</f>
        <v/>
      </c>
      <c r="V143" s="98" t="str">
        <f>IF(IFERROR(VLOOKUP(A143,'21.鋼構工程塗裝'!C:D,1,0),"")="","","✔")</f>
        <v/>
      </c>
      <c r="W143" s="98" t="str">
        <f>IF(IFERROR(VLOOKUP(A143,'22.排水設施(一)'!C:D,1,0),"")="","","✔")</f>
        <v/>
      </c>
      <c r="X143" s="98" t="str">
        <f>IF(IFERROR(VLOOKUP(A143,'23.排水設施(二)'!C:D,1,0),"")="","","✔")</f>
        <v/>
      </c>
      <c r="Y143" s="98" t="str">
        <f>IF(IFERROR(VLOOKUP(A143,'24.木構造'!C:D,1,0),"")="","","✔")</f>
        <v/>
      </c>
      <c r="Z143" s="98" t="str">
        <f>IF(IFERROR(VLOOKUP(A143,'25.管路'!C:D,1,0),"")="","","✔")</f>
        <v/>
      </c>
      <c r="AA143" s="98" t="str">
        <f>IF(IFERROR(VLOOKUP(A143,'26.植栽(移植)'!C:D,1,0),"")="","","✔")</f>
        <v/>
      </c>
      <c r="AB143" s="98" t="str">
        <f>IF(IFERROR(VLOOKUP(A143,'27.植栽(新植)'!C:D,1,0),"")="","","✔")</f>
        <v/>
      </c>
      <c r="AC143" s="98" t="str">
        <f>IF(IFERROR(VLOOKUP(A143,'28.照明'!C:D,1,0),"")="","","✔")</f>
        <v/>
      </c>
      <c r="AD143" s="98" t="str">
        <f>IF(IFERROR(VLOOKUP(A143,'29.既有橋梁拆除'!C:D,1,0),"")="","","✔")</f>
        <v/>
      </c>
    </row>
    <row r="144" spans="1:30" ht="21.75" customHeight="1" x14ac:dyDescent="0.25">
      <c r="A144" s="99">
        <v>45334</v>
      </c>
      <c r="B144" s="98" t="str">
        <f>IF(IFERROR(VLOOKUP(A144,'1.測量放樣'!C:D,1,0),"")="","","✔")</f>
        <v/>
      </c>
      <c r="C144" s="98" t="str">
        <f>IF(IFERROR(VLOOKUP(A144,'2.土方開挖'!C:D,1,0),"")="","","✔")</f>
        <v/>
      </c>
      <c r="D144" s="98" t="str">
        <f>IF(IFERROR(VLOOKUP(A144,'3.土方回填'!C:D,1,0),"")="","","✔")</f>
        <v/>
      </c>
      <c r="E144" s="98" t="str">
        <f>IF(IFERROR(VLOOKUP(A144,'4.鋼筋'!C:D,1,0),"")="","","✔")</f>
        <v/>
      </c>
      <c r="F144" s="98" t="str">
        <f>IF(IFERROR(VLOOKUP(A144,'5.模板'!C:D,1,0),"")="","","✔")</f>
        <v/>
      </c>
      <c r="G144" s="98" t="str">
        <f>IF(IFERROR(VLOOKUP(A144,'6.混凝土'!C:D,1,0),"")="","","✔")</f>
        <v/>
      </c>
      <c r="H144" s="98" t="str">
        <f>IF(IFERROR(VLOOKUP(A144,'7.植筋'!C:D,1,0),"")="","","✔")</f>
        <v/>
      </c>
      <c r="I144" s="98" t="str">
        <f>IF(IFERROR(VLOOKUP(A144,'8.預力混凝土基樁'!C:D,1,0),"")="","","✔")</f>
        <v/>
      </c>
      <c r="J144" s="98" t="str">
        <f>IF(IFERROR(VLOOKUP(A144,'9.砌塊石護岸'!C:D,1,0),"")="","","✔")</f>
        <v/>
      </c>
      <c r="K144" s="98" t="str">
        <f>IF(IFERROR(VLOOKUP(A144,'10.低水護岸'!C:D,1,0),"")="","","✔")</f>
        <v/>
      </c>
      <c r="L144" s="98" t="str">
        <f>IF(IFERROR(VLOOKUP(A144,'11.固床工'!C:D,1,0),"")="","","✔")</f>
        <v/>
      </c>
      <c r="M144" s="98" t="str">
        <f>IF(IFERROR(VLOOKUP(A144,'12.全套管基樁'!C:D,1,0),"")="","","✔")</f>
        <v/>
      </c>
      <c r="N144" s="98" t="str">
        <f>IF(IFERROR(VLOOKUP(A144,'13.鋼筋混凝土管工程'!C:D,1,0),"")="","","✔")</f>
        <v/>
      </c>
      <c r="O144" s="98" t="str">
        <f>IF(IFERROR(VLOOKUP(A144,'14.鋼版樁'!C:D,1,0),"")="","","✔")</f>
        <v/>
      </c>
      <c r="P144" s="98" t="str">
        <f>IF(IFERROR(VLOOKUP(A144,'15.路床 路基高程'!C:D,1,0),"")="","","✔")</f>
        <v/>
      </c>
      <c r="Q144" s="98" t="str">
        <f>IF(IFERROR(VLOOKUP(A144,'16.瀝青混凝土'!C:D,1,0),"")="","","✔")</f>
        <v/>
      </c>
      <c r="R144" s="98" t="str">
        <f>IF(IFERROR(VLOOKUP(A144,'17.景觀鋪面(一)'!C:D,1,0),"")="","","✔")</f>
        <v/>
      </c>
      <c r="S144" s="98" t="str">
        <f>IF(IFERROR(VLOOKUP(A144,'18.景觀鋪面(二)'!C:D,1,0),"")="","","✔")</f>
        <v/>
      </c>
      <c r="T144" s="98" t="str">
        <f>IF(IFERROR(VLOOKUP(A144,'19.預鑄緣石'!C:D,1,0),"")="","","✔")</f>
        <v/>
      </c>
      <c r="U144" s="98" t="str">
        <f>IF(IFERROR(VLOOKUP(A144,'20.鋼構工程吊裝'!C:D,1,0),"")="","","✔")</f>
        <v/>
      </c>
      <c r="V144" s="98" t="str">
        <f>IF(IFERROR(VLOOKUP(A144,'21.鋼構工程塗裝'!C:D,1,0),"")="","","✔")</f>
        <v/>
      </c>
      <c r="W144" s="98" t="str">
        <f>IF(IFERROR(VLOOKUP(A144,'22.排水設施(一)'!C:D,1,0),"")="","","✔")</f>
        <v/>
      </c>
      <c r="X144" s="98" t="str">
        <f>IF(IFERROR(VLOOKUP(A144,'23.排水設施(二)'!C:D,1,0),"")="","","✔")</f>
        <v/>
      </c>
      <c r="Y144" s="98" t="str">
        <f>IF(IFERROR(VLOOKUP(A144,'24.木構造'!C:D,1,0),"")="","","✔")</f>
        <v/>
      </c>
      <c r="Z144" s="98" t="str">
        <f>IF(IFERROR(VLOOKUP(A144,'25.管路'!C:D,1,0),"")="","","✔")</f>
        <v/>
      </c>
      <c r="AA144" s="98" t="str">
        <f>IF(IFERROR(VLOOKUP(A144,'26.植栽(移植)'!C:D,1,0),"")="","","✔")</f>
        <v/>
      </c>
      <c r="AB144" s="98" t="str">
        <f>IF(IFERROR(VLOOKUP(A144,'27.植栽(新植)'!C:D,1,0),"")="","","✔")</f>
        <v/>
      </c>
      <c r="AC144" s="98" t="str">
        <f>IF(IFERROR(VLOOKUP(A144,'28.照明'!C:D,1,0),"")="","","✔")</f>
        <v/>
      </c>
      <c r="AD144" s="98" t="str">
        <f>IF(IFERROR(VLOOKUP(A144,'29.既有橋梁拆除'!C:D,1,0),"")="","","✔")</f>
        <v/>
      </c>
    </row>
    <row r="145" spans="1:30" ht="21.75" customHeight="1" x14ac:dyDescent="0.25">
      <c r="A145" s="99">
        <v>45335</v>
      </c>
      <c r="B145" s="98" t="str">
        <f>IF(IFERROR(VLOOKUP(A145,'1.測量放樣'!C:D,1,0),"")="","","✔")</f>
        <v/>
      </c>
      <c r="C145" s="98" t="str">
        <f>IF(IFERROR(VLOOKUP(A145,'2.土方開挖'!C:D,1,0),"")="","","✔")</f>
        <v/>
      </c>
      <c r="D145" s="98" t="str">
        <f>IF(IFERROR(VLOOKUP(A145,'3.土方回填'!C:D,1,0),"")="","","✔")</f>
        <v/>
      </c>
      <c r="E145" s="98" t="str">
        <f>IF(IFERROR(VLOOKUP(A145,'4.鋼筋'!C:D,1,0),"")="","","✔")</f>
        <v/>
      </c>
      <c r="F145" s="98" t="str">
        <f>IF(IFERROR(VLOOKUP(A145,'5.模板'!C:D,1,0),"")="","","✔")</f>
        <v/>
      </c>
      <c r="G145" s="98" t="str">
        <f>IF(IFERROR(VLOOKUP(A145,'6.混凝土'!C:D,1,0),"")="","","✔")</f>
        <v/>
      </c>
      <c r="H145" s="98" t="str">
        <f>IF(IFERROR(VLOOKUP(A145,'7.植筋'!C:D,1,0),"")="","","✔")</f>
        <v/>
      </c>
      <c r="I145" s="98" t="str">
        <f>IF(IFERROR(VLOOKUP(A145,'8.預力混凝土基樁'!C:D,1,0),"")="","","✔")</f>
        <v/>
      </c>
      <c r="J145" s="98" t="str">
        <f>IF(IFERROR(VLOOKUP(A145,'9.砌塊石護岸'!C:D,1,0),"")="","","✔")</f>
        <v/>
      </c>
      <c r="K145" s="98" t="str">
        <f>IF(IFERROR(VLOOKUP(A145,'10.低水護岸'!C:D,1,0),"")="","","✔")</f>
        <v/>
      </c>
      <c r="L145" s="98" t="str">
        <f>IF(IFERROR(VLOOKUP(A145,'11.固床工'!C:D,1,0),"")="","","✔")</f>
        <v/>
      </c>
      <c r="M145" s="98" t="str">
        <f>IF(IFERROR(VLOOKUP(A145,'12.全套管基樁'!C:D,1,0),"")="","","✔")</f>
        <v/>
      </c>
      <c r="N145" s="98" t="str">
        <f>IF(IFERROR(VLOOKUP(A145,'13.鋼筋混凝土管工程'!C:D,1,0),"")="","","✔")</f>
        <v/>
      </c>
      <c r="O145" s="98" t="str">
        <f>IF(IFERROR(VLOOKUP(A145,'14.鋼版樁'!C:D,1,0),"")="","","✔")</f>
        <v/>
      </c>
      <c r="P145" s="98" t="str">
        <f>IF(IFERROR(VLOOKUP(A145,'15.路床 路基高程'!C:D,1,0),"")="","","✔")</f>
        <v/>
      </c>
      <c r="Q145" s="98" t="str">
        <f>IF(IFERROR(VLOOKUP(A145,'16.瀝青混凝土'!C:D,1,0),"")="","","✔")</f>
        <v/>
      </c>
      <c r="R145" s="98" t="str">
        <f>IF(IFERROR(VLOOKUP(A145,'17.景觀鋪面(一)'!C:D,1,0),"")="","","✔")</f>
        <v/>
      </c>
      <c r="S145" s="98" t="str">
        <f>IF(IFERROR(VLOOKUP(A145,'18.景觀鋪面(二)'!C:D,1,0),"")="","","✔")</f>
        <v/>
      </c>
      <c r="T145" s="98" t="str">
        <f>IF(IFERROR(VLOOKUP(A145,'19.預鑄緣石'!C:D,1,0),"")="","","✔")</f>
        <v/>
      </c>
      <c r="U145" s="98" t="str">
        <f>IF(IFERROR(VLOOKUP(A145,'20.鋼構工程吊裝'!C:D,1,0),"")="","","✔")</f>
        <v/>
      </c>
      <c r="V145" s="98" t="str">
        <f>IF(IFERROR(VLOOKUP(A145,'21.鋼構工程塗裝'!C:D,1,0),"")="","","✔")</f>
        <v/>
      </c>
      <c r="W145" s="98" t="str">
        <f>IF(IFERROR(VLOOKUP(A145,'22.排水設施(一)'!C:D,1,0),"")="","","✔")</f>
        <v/>
      </c>
      <c r="X145" s="98" t="str">
        <f>IF(IFERROR(VLOOKUP(A145,'23.排水設施(二)'!C:D,1,0),"")="","","✔")</f>
        <v/>
      </c>
      <c r="Y145" s="98" t="str">
        <f>IF(IFERROR(VLOOKUP(A145,'24.木構造'!C:D,1,0),"")="","","✔")</f>
        <v/>
      </c>
      <c r="Z145" s="98" t="str">
        <f>IF(IFERROR(VLOOKUP(A145,'25.管路'!C:D,1,0),"")="","","✔")</f>
        <v/>
      </c>
      <c r="AA145" s="98" t="str">
        <f>IF(IFERROR(VLOOKUP(A145,'26.植栽(移植)'!C:D,1,0),"")="","","✔")</f>
        <v/>
      </c>
      <c r="AB145" s="98" t="str">
        <f>IF(IFERROR(VLOOKUP(A145,'27.植栽(新植)'!C:D,1,0),"")="","","✔")</f>
        <v/>
      </c>
      <c r="AC145" s="98" t="str">
        <f>IF(IFERROR(VLOOKUP(A145,'28.照明'!C:D,1,0),"")="","","✔")</f>
        <v/>
      </c>
      <c r="AD145" s="98" t="str">
        <f>IF(IFERROR(VLOOKUP(A145,'29.既有橋梁拆除'!C:D,1,0),"")="","","✔")</f>
        <v/>
      </c>
    </row>
    <row r="146" spans="1:30" ht="21.75" customHeight="1" x14ac:dyDescent="0.25">
      <c r="A146" s="99">
        <v>45336</v>
      </c>
      <c r="B146" s="98" t="str">
        <f>IF(IFERROR(VLOOKUP(A146,'1.測量放樣'!C:D,1,0),"")="","","✔")</f>
        <v/>
      </c>
      <c r="C146" s="98" t="str">
        <f>IF(IFERROR(VLOOKUP(A146,'2.土方開挖'!C:D,1,0),"")="","","✔")</f>
        <v/>
      </c>
      <c r="D146" s="98" t="str">
        <f>IF(IFERROR(VLOOKUP(A146,'3.土方回填'!C:D,1,0),"")="","","✔")</f>
        <v/>
      </c>
      <c r="E146" s="98" t="str">
        <f>IF(IFERROR(VLOOKUP(A146,'4.鋼筋'!C:D,1,0),"")="","","✔")</f>
        <v/>
      </c>
      <c r="F146" s="98" t="str">
        <f>IF(IFERROR(VLOOKUP(A146,'5.模板'!C:D,1,0),"")="","","✔")</f>
        <v/>
      </c>
      <c r="G146" s="98" t="str">
        <f>IF(IFERROR(VLOOKUP(A146,'6.混凝土'!C:D,1,0),"")="","","✔")</f>
        <v/>
      </c>
      <c r="H146" s="98" t="str">
        <f>IF(IFERROR(VLOOKUP(A146,'7.植筋'!C:D,1,0),"")="","","✔")</f>
        <v/>
      </c>
      <c r="I146" s="98" t="str">
        <f>IF(IFERROR(VLOOKUP(A146,'8.預力混凝土基樁'!C:D,1,0),"")="","","✔")</f>
        <v/>
      </c>
      <c r="J146" s="98" t="str">
        <f>IF(IFERROR(VLOOKUP(A146,'9.砌塊石護岸'!C:D,1,0),"")="","","✔")</f>
        <v/>
      </c>
      <c r="K146" s="98" t="str">
        <f>IF(IFERROR(VLOOKUP(A146,'10.低水護岸'!C:D,1,0),"")="","","✔")</f>
        <v/>
      </c>
      <c r="L146" s="98" t="str">
        <f>IF(IFERROR(VLOOKUP(A146,'11.固床工'!C:D,1,0),"")="","","✔")</f>
        <v/>
      </c>
      <c r="M146" s="98" t="str">
        <f>IF(IFERROR(VLOOKUP(A146,'12.全套管基樁'!C:D,1,0),"")="","","✔")</f>
        <v/>
      </c>
      <c r="N146" s="98" t="str">
        <f>IF(IFERROR(VLOOKUP(A146,'13.鋼筋混凝土管工程'!C:D,1,0),"")="","","✔")</f>
        <v/>
      </c>
      <c r="O146" s="98" t="str">
        <f>IF(IFERROR(VLOOKUP(A146,'14.鋼版樁'!C:D,1,0),"")="","","✔")</f>
        <v/>
      </c>
      <c r="P146" s="98" t="str">
        <f>IF(IFERROR(VLOOKUP(A146,'15.路床 路基高程'!C:D,1,0),"")="","","✔")</f>
        <v/>
      </c>
      <c r="Q146" s="98" t="str">
        <f>IF(IFERROR(VLOOKUP(A146,'16.瀝青混凝土'!C:D,1,0),"")="","","✔")</f>
        <v/>
      </c>
      <c r="R146" s="98" t="str">
        <f>IF(IFERROR(VLOOKUP(A146,'17.景觀鋪面(一)'!C:D,1,0),"")="","","✔")</f>
        <v/>
      </c>
      <c r="S146" s="98" t="str">
        <f>IF(IFERROR(VLOOKUP(A146,'18.景觀鋪面(二)'!C:D,1,0),"")="","","✔")</f>
        <v/>
      </c>
      <c r="T146" s="98" t="str">
        <f>IF(IFERROR(VLOOKUP(A146,'19.預鑄緣石'!C:D,1,0),"")="","","✔")</f>
        <v/>
      </c>
      <c r="U146" s="98" t="str">
        <f>IF(IFERROR(VLOOKUP(A146,'20.鋼構工程吊裝'!C:D,1,0),"")="","","✔")</f>
        <v/>
      </c>
      <c r="V146" s="98" t="str">
        <f>IF(IFERROR(VLOOKUP(A146,'21.鋼構工程塗裝'!C:D,1,0),"")="","","✔")</f>
        <v/>
      </c>
      <c r="W146" s="98" t="str">
        <f>IF(IFERROR(VLOOKUP(A146,'22.排水設施(一)'!C:D,1,0),"")="","","✔")</f>
        <v/>
      </c>
      <c r="X146" s="98" t="str">
        <f>IF(IFERROR(VLOOKUP(A146,'23.排水設施(二)'!C:D,1,0),"")="","","✔")</f>
        <v/>
      </c>
      <c r="Y146" s="98" t="str">
        <f>IF(IFERROR(VLOOKUP(A146,'24.木構造'!C:D,1,0),"")="","","✔")</f>
        <v/>
      </c>
      <c r="Z146" s="98" t="str">
        <f>IF(IFERROR(VLOOKUP(A146,'25.管路'!C:D,1,0),"")="","","✔")</f>
        <v/>
      </c>
      <c r="AA146" s="98" t="str">
        <f>IF(IFERROR(VLOOKUP(A146,'26.植栽(移植)'!C:D,1,0),"")="","","✔")</f>
        <v/>
      </c>
      <c r="AB146" s="98" t="str">
        <f>IF(IFERROR(VLOOKUP(A146,'27.植栽(新植)'!C:D,1,0),"")="","","✔")</f>
        <v/>
      </c>
      <c r="AC146" s="98" t="str">
        <f>IF(IFERROR(VLOOKUP(A146,'28.照明'!C:D,1,0),"")="","","✔")</f>
        <v/>
      </c>
      <c r="AD146" s="98" t="str">
        <f>IF(IFERROR(VLOOKUP(A146,'29.既有橋梁拆除'!C:D,1,0),"")="","","✔")</f>
        <v/>
      </c>
    </row>
    <row r="147" spans="1:30" ht="21.75" customHeight="1" x14ac:dyDescent="0.25">
      <c r="A147" s="99">
        <v>45337</v>
      </c>
      <c r="B147" s="98" t="str">
        <f>IF(IFERROR(VLOOKUP(A147,'1.測量放樣'!C:D,1,0),"")="","","✔")</f>
        <v/>
      </c>
      <c r="C147" s="98" t="str">
        <f>IF(IFERROR(VLOOKUP(A147,'2.土方開挖'!C:D,1,0),"")="","","✔")</f>
        <v/>
      </c>
      <c r="D147" s="98" t="str">
        <f>IF(IFERROR(VLOOKUP(A147,'3.土方回填'!C:D,1,0),"")="","","✔")</f>
        <v/>
      </c>
      <c r="E147" s="98" t="str">
        <f>IF(IFERROR(VLOOKUP(A147,'4.鋼筋'!C:D,1,0),"")="","","✔")</f>
        <v/>
      </c>
      <c r="F147" s="98" t="str">
        <f>IF(IFERROR(VLOOKUP(A147,'5.模板'!C:D,1,0),"")="","","✔")</f>
        <v/>
      </c>
      <c r="G147" s="98" t="str">
        <f>IF(IFERROR(VLOOKUP(A147,'6.混凝土'!C:D,1,0),"")="","","✔")</f>
        <v/>
      </c>
      <c r="H147" s="98" t="str">
        <f>IF(IFERROR(VLOOKUP(A147,'7.植筋'!C:D,1,0),"")="","","✔")</f>
        <v/>
      </c>
      <c r="I147" s="98" t="str">
        <f>IF(IFERROR(VLOOKUP(A147,'8.預力混凝土基樁'!C:D,1,0),"")="","","✔")</f>
        <v/>
      </c>
      <c r="J147" s="98" t="str">
        <f>IF(IFERROR(VLOOKUP(A147,'9.砌塊石護岸'!C:D,1,0),"")="","","✔")</f>
        <v/>
      </c>
      <c r="K147" s="98" t="str">
        <f>IF(IFERROR(VLOOKUP(A147,'10.低水護岸'!C:D,1,0),"")="","","✔")</f>
        <v/>
      </c>
      <c r="L147" s="98" t="str">
        <f>IF(IFERROR(VLOOKUP(A147,'11.固床工'!C:D,1,0),"")="","","✔")</f>
        <v/>
      </c>
      <c r="M147" s="98" t="str">
        <f>IF(IFERROR(VLOOKUP(A147,'12.全套管基樁'!C:D,1,0),"")="","","✔")</f>
        <v/>
      </c>
      <c r="N147" s="98" t="str">
        <f>IF(IFERROR(VLOOKUP(A147,'13.鋼筋混凝土管工程'!C:D,1,0),"")="","","✔")</f>
        <v/>
      </c>
      <c r="O147" s="98" t="str">
        <f>IF(IFERROR(VLOOKUP(A147,'14.鋼版樁'!C:D,1,0),"")="","","✔")</f>
        <v/>
      </c>
      <c r="P147" s="98" t="str">
        <f>IF(IFERROR(VLOOKUP(A147,'15.路床 路基高程'!C:D,1,0),"")="","","✔")</f>
        <v/>
      </c>
      <c r="Q147" s="98" t="str">
        <f>IF(IFERROR(VLOOKUP(A147,'16.瀝青混凝土'!C:D,1,0),"")="","","✔")</f>
        <v/>
      </c>
      <c r="R147" s="98" t="str">
        <f>IF(IFERROR(VLOOKUP(A147,'17.景觀鋪面(一)'!C:D,1,0),"")="","","✔")</f>
        <v/>
      </c>
      <c r="S147" s="98" t="str">
        <f>IF(IFERROR(VLOOKUP(A147,'18.景觀鋪面(二)'!C:D,1,0),"")="","","✔")</f>
        <v/>
      </c>
      <c r="T147" s="98" t="str">
        <f>IF(IFERROR(VLOOKUP(A147,'19.預鑄緣石'!C:D,1,0),"")="","","✔")</f>
        <v/>
      </c>
      <c r="U147" s="98" t="str">
        <f>IF(IFERROR(VLOOKUP(A147,'20.鋼構工程吊裝'!C:D,1,0),"")="","","✔")</f>
        <v/>
      </c>
      <c r="V147" s="98" t="str">
        <f>IF(IFERROR(VLOOKUP(A147,'21.鋼構工程塗裝'!C:D,1,0),"")="","","✔")</f>
        <v/>
      </c>
      <c r="W147" s="98" t="str">
        <f>IF(IFERROR(VLOOKUP(A147,'22.排水設施(一)'!C:D,1,0),"")="","","✔")</f>
        <v/>
      </c>
      <c r="X147" s="98" t="str">
        <f>IF(IFERROR(VLOOKUP(A147,'23.排水設施(二)'!C:D,1,0),"")="","","✔")</f>
        <v/>
      </c>
      <c r="Y147" s="98" t="str">
        <f>IF(IFERROR(VLOOKUP(A147,'24.木構造'!C:D,1,0),"")="","","✔")</f>
        <v/>
      </c>
      <c r="Z147" s="98" t="str">
        <f>IF(IFERROR(VLOOKUP(A147,'25.管路'!C:D,1,0),"")="","","✔")</f>
        <v/>
      </c>
      <c r="AA147" s="98" t="str">
        <f>IF(IFERROR(VLOOKUP(A147,'26.植栽(移植)'!C:D,1,0),"")="","","✔")</f>
        <v/>
      </c>
      <c r="AB147" s="98" t="str">
        <f>IF(IFERROR(VLOOKUP(A147,'27.植栽(新植)'!C:D,1,0),"")="","","✔")</f>
        <v/>
      </c>
      <c r="AC147" s="98" t="str">
        <f>IF(IFERROR(VLOOKUP(A147,'28.照明'!C:D,1,0),"")="","","✔")</f>
        <v/>
      </c>
      <c r="AD147" s="98" t="str">
        <f>IF(IFERROR(VLOOKUP(A147,'29.既有橋梁拆除'!C:D,1,0),"")="","","✔")</f>
        <v/>
      </c>
    </row>
    <row r="148" spans="1:30" ht="21.75" customHeight="1" x14ac:dyDescent="0.25">
      <c r="A148" s="99">
        <v>45338</v>
      </c>
      <c r="B148" s="98" t="str">
        <f>IF(IFERROR(VLOOKUP(A148,'1.測量放樣'!C:D,1,0),"")="","","✔")</f>
        <v>✔</v>
      </c>
      <c r="C148" s="98" t="str">
        <f>IF(IFERROR(VLOOKUP(A148,'2.土方開挖'!C:D,1,0),"")="","","✔")</f>
        <v>✔</v>
      </c>
      <c r="D148" s="98" t="str">
        <f>IF(IFERROR(VLOOKUP(A148,'3.土方回填'!C:D,1,0),"")="","","✔")</f>
        <v/>
      </c>
      <c r="E148" s="98" t="str">
        <f>IF(IFERROR(VLOOKUP(A148,'4.鋼筋'!C:D,1,0),"")="","","✔")</f>
        <v/>
      </c>
      <c r="F148" s="98" t="str">
        <f>IF(IFERROR(VLOOKUP(A148,'5.模板'!C:D,1,0),"")="","","✔")</f>
        <v/>
      </c>
      <c r="G148" s="98" t="str">
        <f>IF(IFERROR(VLOOKUP(A148,'6.混凝土'!C:D,1,0),"")="","","✔")</f>
        <v/>
      </c>
      <c r="H148" s="98" t="str">
        <f>IF(IFERROR(VLOOKUP(A148,'7.植筋'!C:D,1,0),"")="","","✔")</f>
        <v/>
      </c>
      <c r="I148" s="98" t="str">
        <f>IF(IFERROR(VLOOKUP(A148,'8.預力混凝土基樁'!C:D,1,0),"")="","","✔")</f>
        <v/>
      </c>
      <c r="J148" s="98" t="str">
        <f>IF(IFERROR(VLOOKUP(A148,'9.砌塊石護岸'!C:D,1,0),"")="","","✔")</f>
        <v/>
      </c>
      <c r="K148" s="98" t="str">
        <f>IF(IFERROR(VLOOKUP(A148,'10.低水護岸'!C:D,1,0),"")="","","✔")</f>
        <v/>
      </c>
      <c r="L148" s="98" t="str">
        <f>IF(IFERROR(VLOOKUP(A148,'11.固床工'!C:D,1,0),"")="","","✔")</f>
        <v/>
      </c>
      <c r="M148" s="98" t="str">
        <f>IF(IFERROR(VLOOKUP(A148,'12.全套管基樁'!C:D,1,0),"")="","","✔")</f>
        <v/>
      </c>
      <c r="N148" s="98" t="str">
        <f>IF(IFERROR(VLOOKUP(A148,'13.鋼筋混凝土管工程'!C:D,1,0),"")="","","✔")</f>
        <v/>
      </c>
      <c r="O148" s="98" t="str">
        <f>IF(IFERROR(VLOOKUP(A148,'14.鋼版樁'!C:D,1,0),"")="","","✔")</f>
        <v/>
      </c>
      <c r="P148" s="98" t="str">
        <f>IF(IFERROR(VLOOKUP(A148,'15.路床 路基高程'!C:D,1,0),"")="","","✔")</f>
        <v/>
      </c>
      <c r="Q148" s="98" t="str">
        <f>IF(IFERROR(VLOOKUP(A148,'16.瀝青混凝土'!C:D,1,0),"")="","","✔")</f>
        <v/>
      </c>
      <c r="R148" s="98" t="str">
        <f>IF(IFERROR(VLOOKUP(A148,'17.景觀鋪面(一)'!C:D,1,0),"")="","","✔")</f>
        <v/>
      </c>
      <c r="S148" s="98" t="str">
        <f>IF(IFERROR(VLOOKUP(A148,'18.景觀鋪面(二)'!C:D,1,0),"")="","","✔")</f>
        <v/>
      </c>
      <c r="T148" s="98" t="str">
        <f>IF(IFERROR(VLOOKUP(A148,'19.預鑄緣石'!C:D,1,0),"")="","","✔")</f>
        <v/>
      </c>
      <c r="U148" s="98" t="str">
        <f>IF(IFERROR(VLOOKUP(A148,'20.鋼構工程吊裝'!C:D,1,0),"")="","","✔")</f>
        <v/>
      </c>
      <c r="V148" s="98" t="str">
        <f>IF(IFERROR(VLOOKUP(A148,'21.鋼構工程塗裝'!C:D,1,0),"")="","","✔")</f>
        <v/>
      </c>
      <c r="W148" s="98" t="str">
        <f>IF(IFERROR(VLOOKUP(A148,'22.排水設施(一)'!C:D,1,0),"")="","","✔")</f>
        <v/>
      </c>
      <c r="X148" s="98" t="str">
        <f>IF(IFERROR(VLOOKUP(A148,'23.排水設施(二)'!C:D,1,0),"")="","","✔")</f>
        <v/>
      </c>
      <c r="Y148" s="98" t="str">
        <f>IF(IFERROR(VLOOKUP(A148,'24.木構造'!C:D,1,0),"")="","","✔")</f>
        <v/>
      </c>
      <c r="Z148" s="98" t="str">
        <f>IF(IFERROR(VLOOKUP(A148,'25.管路'!C:D,1,0),"")="","","✔")</f>
        <v/>
      </c>
      <c r="AA148" s="98" t="str">
        <f>IF(IFERROR(VLOOKUP(A148,'26.植栽(移植)'!C:D,1,0),"")="","","✔")</f>
        <v/>
      </c>
      <c r="AB148" s="98" t="str">
        <f>IF(IFERROR(VLOOKUP(A148,'27.植栽(新植)'!C:D,1,0),"")="","","✔")</f>
        <v/>
      </c>
      <c r="AC148" s="98" t="str">
        <f>IF(IFERROR(VLOOKUP(A148,'28.照明'!C:D,1,0),"")="","","✔")</f>
        <v/>
      </c>
      <c r="AD148" s="98" t="str">
        <f>IF(IFERROR(VLOOKUP(A148,'29.既有橋梁拆除'!C:D,1,0),"")="","","✔")</f>
        <v/>
      </c>
    </row>
    <row r="149" spans="1:30" ht="21.75" customHeight="1" x14ac:dyDescent="0.25">
      <c r="A149" s="99">
        <v>45339</v>
      </c>
      <c r="B149" s="98" t="str">
        <f>IF(IFERROR(VLOOKUP(A149,'1.測量放樣'!C:D,1,0),"")="","","✔")</f>
        <v/>
      </c>
      <c r="C149" s="98" t="str">
        <f>IF(IFERROR(VLOOKUP(A149,'2.土方開挖'!C:D,1,0),"")="","","✔")</f>
        <v/>
      </c>
      <c r="D149" s="98" t="str">
        <f>IF(IFERROR(VLOOKUP(A149,'3.土方回填'!C:D,1,0),"")="","","✔")</f>
        <v/>
      </c>
      <c r="E149" s="98" t="str">
        <f>IF(IFERROR(VLOOKUP(A149,'4.鋼筋'!C:D,1,0),"")="","","✔")</f>
        <v/>
      </c>
      <c r="F149" s="98" t="str">
        <f>IF(IFERROR(VLOOKUP(A149,'5.模板'!C:D,1,0),"")="","","✔")</f>
        <v/>
      </c>
      <c r="G149" s="98" t="str">
        <f>IF(IFERROR(VLOOKUP(A149,'6.混凝土'!C:D,1,0),"")="","","✔")</f>
        <v>✔</v>
      </c>
      <c r="H149" s="98" t="str">
        <f>IF(IFERROR(VLOOKUP(A149,'7.植筋'!C:D,1,0),"")="","","✔")</f>
        <v/>
      </c>
      <c r="I149" s="98" t="str">
        <f>IF(IFERROR(VLOOKUP(A149,'8.預力混凝土基樁'!C:D,1,0),"")="","","✔")</f>
        <v/>
      </c>
      <c r="J149" s="98" t="str">
        <f>IF(IFERROR(VLOOKUP(A149,'9.砌塊石護岸'!C:D,1,0),"")="","","✔")</f>
        <v/>
      </c>
      <c r="K149" s="98" t="str">
        <f>IF(IFERROR(VLOOKUP(A149,'10.低水護岸'!C:D,1,0),"")="","","✔")</f>
        <v/>
      </c>
      <c r="L149" s="98" t="str">
        <f>IF(IFERROR(VLOOKUP(A149,'11.固床工'!C:D,1,0),"")="","","✔")</f>
        <v/>
      </c>
      <c r="M149" s="98" t="str">
        <f>IF(IFERROR(VLOOKUP(A149,'12.全套管基樁'!C:D,1,0),"")="","","✔")</f>
        <v/>
      </c>
      <c r="N149" s="98" t="str">
        <f>IF(IFERROR(VLOOKUP(A149,'13.鋼筋混凝土管工程'!C:D,1,0),"")="","","✔")</f>
        <v/>
      </c>
      <c r="O149" s="98" t="str">
        <f>IF(IFERROR(VLOOKUP(A149,'14.鋼版樁'!C:D,1,0),"")="","","✔")</f>
        <v/>
      </c>
      <c r="P149" s="98" t="str">
        <f>IF(IFERROR(VLOOKUP(A149,'15.路床 路基高程'!C:D,1,0),"")="","","✔")</f>
        <v/>
      </c>
      <c r="Q149" s="98" t="str">
        <f>IF(IFERROR(VLOOKUP(A149,'16.瀝青混凝土'!C:D,1,0),"")="","","✔")</f>
        <v/>
      </c>
      <c r="R149" s="98" t="str">
        <f>IF(IFERROR(VLOOKUP(A149,'17.景觀鋪面(一)'!C:D,1,0),"")="","","✔")</f>
        <v/>
      </c>
      <c r="S149" s="98" t="str">
        <f>IF(IFERROR(VLOOKUP(A149,'18.景觀鋪面(二)'!C:D,1,0),"")="","","✔")</f>
        <v/>
      </c>
      <c r="T149" s="98" t="str">
        <f>IF(IFERROR(VLOOKUP(A149,'19.預鑄緣石'!C:D,1,0),"")="","","✔")</f>
        <v/>
      </c>
      <c r="U149" s="98" t="str">
        <f>IF(IFERROR(VLOOKUP(A149,'20.鋼構工程吊裝'!C:D,1,0),"")="","","✔")</f>
        <v/>
      </c>
      <c r="V149" s="98" t="str">
        <f>IF(IFERROR(VLOOKUP(A149,'21.鋼構工程塗裝'!C:D,1,0),"")="","","✔")</f>
        <v/>
      </c>
      <c r="W149" s="98" t="str">
        <f>IF(IFERROR(VLOOKUP(A149,'22.排水設施(一)'!C:D,1,0),"")="","","✔")</f>
        <v/>
      </c>
      <c r="X149" s="98" t="str">
        <f>IF(IFERROR(VLOOKUP(A149,'23.排水設施(二)'!C:D,1,0),"")="","","✔")</f>
        <v/>
      </c>
      <c r="Y149" s="98" t="str">
        <f>IF(IFERROR(VLOOKUP(A149,'24.木構造'!C:D,1,0),"")="","","✔")</f>
        <v/>
      </c>
      <c r="Z149" s="98" t="str">
        <f>IF(IFERROR(VLOOKUP(A149,'25.管路'!C:D,1,0),"")="","","✔")</f>
        <v/>
      </c>
      <c r="AA149" s="98" t="str">
        <f>IF(IFERROR(VLOOKUP(A149,'26.植栽(移植)'!C:D,1,0),"")="","","✔")</f>
        <v/>
      </c>
      <c r="AB149" s="98" t="str">
        <f>IF(IFERROR(VLOOKUP(A149,'27.植栽(新植)'!C:D,1,0),"")="","","✔")</f>
        <v/>
      </c>
      <c r="AC149" s="98" t="str">
        <f>IF(IFERROR(VLOOKUP(A149,'28.照明'!C:D,1,0),"")="","","✔")</f>
        <v/>
      </c>
      <c r="AD149" s="98" t="str">
        <f>IF(IFERROR(VLOOKUP(A149,'29.既有橋梁拆除'!C:D,1,0),"")="","","✔")</f>
        <v/>
      </c>
    </row>
    <row r="150" spans="1:30" ht="21.75" customHeight="1" x14ac:dyDescent="0.25">
      <c r="A150" s="99">
        <v>45340</v>
      </c>
      <c r="B150" s="98" t="str">
        <f>IF(IFERROR(VLOOKUP(A150,'1.測量放樣'!C:D,1,0),"")="","","✔")</f>
        <v/>
      </c>
      <c r="C150" s="98" t="str">
        <f>IF(IFERROR(VLOOKUP(A150,'2.土方開挖'!C:D,1,0),"")="","","✔")</f>
        <v/>
      </c>
      <c r="D150" s="98" t="str">
        <f>IF(IFERROR(VLOOKUP(A150,'3.土方回填'!C:D,1,0),"")="","","✔")</f>
        <v/>
      </c>
      <c r="E150" s="98" t="str">
        <f>IF(IFERROR(VLOOKUP(A150,'4.鋼筋'!C:D,1,0),"")="","","✔")</f>
        <v/>
      </c>
      <c r="F150" s="98" t="str">
        <f>IF(IFERROR(VLOOKUP(A150,'5.模板'!C:D,1,0),"")="","","✔")</f>
        <v/>
      </c>
      <c r="G150" s="98" t="str">
        <f>IF(IFERROR(VLOOKUP(A150,'6.混凝土'!C:D,1,0),"")="","","✔")</f>
        <v/>
      </c>
      <c r="H150" s="98" t="str">
        <f>IF(IFERROR(VLOOKUP(A150,'7.植筋'!C:D,1,0),"")="","","✔")</f>
        <v/>
      </c>
      <c r="I150" s="98" t="str">
        <f>IF(IFERROR(VLOOKUP(A150,'8.預力混凝土基樁'!C:D,1,0),"")="","","✔")</f>
        <v/>
      </c>
      <c r="J150" s="98" t="str">
        <f>IF(IFERROR(VLOOKUP(A150,'9.砌塊石護岸'!C:D,1,0),"")="","","✔")</f>
        <v/>
      </c>
      <c r="K150" s="98" t="str">
        <f>IF(IFERROR(VLOOKUP(A150,'10.低水護岸'!C:D,1,0),"")="","","✔")</f>
        <v/>
      </c>
      <c r="L150" s="98" t="str">
        <f>IF(IFERROR(VLOOKUP(A150,'11.固床工'!C:D,1,0),"")="","","✔")</f>
        <v/>
      </c>
      <c r="M150" s="98" t="str">
        <f>IF(IFERROR(VLOOKUP(A150,'12.全套管基樁'!C:D,1,0),"")="","","✔")</f>
        <v/>
      </c>
      <c r="N150" s="98" t="str">
        <f>IF(IFERROR(VLOOKUP(A150,'13.鋼筋混凝土管工程'!C:D,1,0),"")="","","✔")</f>
        <v/>
      </c>
      <c r="O150" s="98" t="str">
        <f>IF(IFERROR(VLOOKUP(A150,'14.鋼版樁'!C:D,1,0),"")="","","✔")</f>
        <v/>
      </c>
      <c r="P150" s="98" t="str">
        <f>IF(IFERROR(VLOOKUP(A150,'15.路床 路基高程'!C:D,1,0),"")="","","✔")</f>
        <v/>
      </c>
      <c r="Q150" s="98" t="str">
        <f>IF(IFERROR(VLOOKUP(A150,'16.瀝青混凝土'!C:D,1,0),"")="","","✔")</f>
        <v/>
      </c>
      <c r="R150" s="98" t="str">
        <f>IF(IFERROR(VLOOKUP(A150,'17.景觀鋪面(一)'!C:D,1,0),"")="","","✔")</f>
        <v/>
      </c>
      <c r="S150" s="98" t="str">
        <f>IF(IFERROR(VLOOKUP(A150,'18.景觀鋪面(二)'!C:D,1,0),"")="","","✔")</f>
        <v/>
      </c>
      <c r="T150" s="98" t="str">
        <f>IF(IFERROR(VLOOKUP(A150,'19.預鑄緣石'!C:D,1,0),"")="","","✔")</f>
        <v/>
      </c>
      <c r="U150" s="98" t="str">
        <f>IF(IFERROR(VLOOKUP(A150,'20.鋼構工程吊裝'!C:D,1,0),"")="","","✔")</f>
        <v/>
      </c>
      <c r="V150" s="98" t="str">
        <f>IF(IFERROR(VLOOKUP(A150,'21.鋼構工程塗裝'!C:D,1,0),"")="","","✔")</f>
        <v/>
      </c>
      <c r="W150" s="98" t="str">
        <f>IF(IFERROR(VLOOKUP(A150,'22.排水設施(一)'!C:D,1,0),"")="","","✔")</f>
        <v/>
      </c>
      <c r="X150" s="98" t="str">
        <f>IF(IFERROR(VLOOKUP(A150,'23.排水設施(二)'!C:D,1,0),"")="","","✔")</f>
        <v/>
      </c>
      <c r="Y150" s="98" t="str">
        <f>IF(IFERROR(VLOOKUP(A150,'24.木構造'!C:D,1,0),"")="","","✔")</f>
        <v/>
      </c>
      <c r="Z150" s="98" t="str">
        <f>IF(IFERROR(VLOOKUP(A150,'25.管路'!C:D,1,0),"")="","","✔")</f>
        <v/>
      </c>
      <c r="AA150" s="98" t="str">
        <f>IF(IFERROR(VLOOKUP(A150,'26.植栽(移植)'!C:D,1,0),"")="","","✔")</f>
        <v/>
      </c>
      <c r="AB150" s="98" t="str">
        <f>IF(IFERROR(VLOOKUP(A150,'27.植栽(新植)'!C:D,1,0),"")="","","✔")</f>
        <v/>
      </c>
      <c r="AC150" s="98" t="str">
        <f>IF(IFERROR(VLOOKUP(A150,'28.照明'!C:D,1,0),"")="","","✔")</f>
        <v/>
      </c>
      <c r="AD150" s="98" t="str">
        <f>IF(IFERROR(VLOOKUP(A150,'29.既有橋梁拆除'!C:D,1,0),"")="","","✔")</f>
        <v/>
      </c>
    </row>
    <row r="151" spans="1:30" ht="21.75" customHeight="1" x14ac:dyDescent="0.25">
      <c r="A151" s="99">
        <v>45341</v>
      </c>
      <c r="B151" s="98" t="str">
        <f>IF(IFERROR(VLOOKUP(A151,'1.測量放樣'!C:D,1,0),"")="","","✔")</f>
        <v/>
      </c>
      <c r="C151" s="98" t="str">
        <f>IF(IFERROR(VLOOKUP(A151,'2.土方開挖'!C:D,1,0),"")="","","✔")</f>
        <v/>
      </c>
      <c r="D151" s="98" t="str">
        <f>IF(IFERROR(VLOOKUP(A151,'3.土方回填'!C:D,1,0),"")="","","✔")</f>
        <v/>
      </c>
      <c r="E151" s="98" t="str">
        <f>IF(IFERROR(VLOOKUP(A151,'4.鋼筋'!C:D,1,0),"")="","","✔")</f>
        <v/>
      </c>
      <c r="F151" s="98" t="str">
        <f>IF(IFERROR(VLOOKUP(A151,'5.模板'!C:D,1,0),"")="","","✔")</f>
        <v/>
      </c>
      <c r="G151" s="98" t="str">
        <f>IF(IFERROR(VLOOKUP(A151,'6.混凝土'!C:D,1,0),"")="","","✔")</f>
        <v/>
      </c>
      <c r="H151" s="98" t="str">
        <f>IF(IFERROR(VLOOKUP(A151,'7.植筋'!C:D,1,0),"")="","","✔")</f>
        <v/>
      </c>
      <c r="I151" s="98" t="str">
        <f>IF(IFERROR(VLOOKUP(A151,'8.預力混凝土基樁'!C:D,1,0),"")="","","✔")</f>
        <v/>
      </c>
      <c r="J151" s="98" t="str">
        <f>IF(IFERROR(VLOOKUP(A151,'9.砌塊石護岸'!C:D,1,0),"")="","","✔")</f>
        <v/>
      </c>
      <c r="K151" s="98" t="str">
        <f>IF(IFERROR(VLOOKUP(A151,'10.低水護岸'!C:D,1,0),"")="","","✔")</f>
        <v/>
      </c>
      <c r="L151" s="98" t="str">
        <f>IF(IFERROR(VLOOKUP(A151,'11.固床工'!C:D,1,0),"")="","","✔")</f>
        <v/>
      </c>
      <c r="M151" s="98" t="str">
        <f>IF(IFERROR(VLOOKUP(A151,'12.全套管基樁'!C:D,1,0),"")="","","✔")</f>
        <v/>
      </c>
      <c r="N151" s="98" t="str">
        <f>IF(IFERROR(VLOOKUP(A151,'13.鋼筋混凝土管工程'!C:D,1,0),"")="","","✔")</f>
        <v/>
      </c>
      <c r="O151" s="98" t="str">
        <f>IF(IFERROR(VLOOKUP(A151,'14.鋼版樁'!C:D,1,0),"")="","","✔")</f>
        <v/>
      </c>
      <c r="P151" s="98" t="str">
        <f>IF(IFERROR(VLOOKUP(A151,'15.路床 路基高程'!C:D,1,0),"")="","","✔")</f>
        <v/>
      </c>
      <c r="Q151" s="98" t="str">
        <f>IF(IFERROR(VLOOKUP(A151,'16.瀝青混凝土'!C:D,1,0),"")="","","✔")</f>
        <v/>
      </c>
      <c r="R151" s="98" t="str">
        <f>IF(IFERROR(VLOOKUP(A151,'17.景觀鋪面(一)'!C:D,1,0),"")="","","✔")</f>
        <v/>
      </c>
      <c r="S151" s="98" t="str">
        <f>IF(IFERROR(VLOOKUP(A151,'18.景觀鋪面(二)'!C:D,1,0),"")="","","✔")</f>
        <v/>
      </c>
      <c r="T151" s="98" t="str">
        <f>IF(IFERROR(VLOOKUP(A151,'19.預鑄緣石'!C:D,1,0),"")="","","✔")</f>
        <v/>
      </c>
      <c r="U151" s="98" t="str">
        <f>IF(IFERROR(VLOOKUP(A151,'20.鋼構工程吊裝'!C:D,1,0),"")="","","✔")</f>
        <v/>
      </c>
      <c r="V151" s="98" t="str">
        <f>IF(IFERROR(VLOOKUP(A151,'21.鋼構工程塗裝'!C:D,1,0),"")="","","✔")</f>
        <v/>
      </c>
      <c r="W151" s="98" t="str">
        <f>IF(IFERROR(VLOOKUP(A151,'22.排水設施(一)'!C:D,1,0),"")="","","✔")</f>
        <v/>
      </c>
      <c r="X151" s="98" t="str">
        <f>IF(IFERROR(VLOOKUP(A151,'23.排水設施(二)'!C:D,1,0),"")="","","✔")</f>
        <v/>
      </c>
      <c r="Y151" s="98" t="str">
        <f>IF(IFERROR(VLOOKUP(A151,'24.木構造'!C:D,1,0),"")="","","✔")</f>
        <v/>
      </c>
      <c r="Z151" s="98" t="str">
        <f>IF(IFERROR(VLOOKUP(A151,'25.管路'!C:D,1,0),"")="","","✔")</f>
        <v/>
      </c>
      <c r="AA151" s="98" t="str">
        <f>IF(IFERROR(VLOOKUP(A151,'26.植栽(移植)'!C:D,1,0),"")="","","✔")</f>
        <v/>
      </c>
      <c r="AB151" s="98" t="str">
        <f>IF(IFERROR(VLOOKUP(A151,'27.植栽(新植)'!C:D,1,0),"")="","","✔")</f>
        <v/>
      </c>
      <c r="AC151" s="98" t="str">
        <f>IF(IFERROR(VLOOKUP(A151,'28.照明'!C:D,1,0),"")="","","✔")</f>
        <v/>
      </c>
      <c r="AD151" s="98" t="str">
        <f>IF(IFERROR(VLOOKUP(A151,'29.既有橋梁拆除'!C:D,1,0),"")="","","✔")</f>
        <v/>
      </c>
    </row>
    <row r="152" spans="1:30" ht="21.75" customHeight="1" x14ac:dyDescent="0.25">
      <c r="A152" s="99">
        <v>45342</v>
      </c>
      <c r="B152" s="98" t="str">
        <f>IF(IFERROR(VLOOKUP(A152,'1.測量放樣'!C:D,1,0),"")="","","✔")</f>
        <v/>
      </c>
      <c r="C152" s="98" t="str">
        <f>IF(IFERROR(VLOOKUP(A152,'2.土方開挖'!C:D,1,0),"")="","","✔")</f>
        <v/>
      </c>
      <c r="D152" s="98" t="str">
        <f>IF(IFERROR(VLOOKUP(A152,'3.土方回填'!C:D,1,0),"")="","","✔")</f>
        <v/>
      </c>
      <c r="E152" s="98" t="str">
        <f>IF(IFERROR(VLOOKUP(A152,'4.鋼筋'!C:D,1,0),"")="","","✔")</f>
        <v>✔</v>
      </c>
      <c r="F152" s="98" t="str">
        <f>IF(IFERROR(VLOOKUP(A152,'5.模板'!C:D,1,0),"")="","","✔")</f>
        <v/>
      </c>
      <c r="G152" s="98" t="str">
        <f>IF(IFERROR(VLOOKUP(A152,'6.混凝土'!C:D,1,0),"")="","","✔")</f>
        <v/>
      </c>
      <c r="H152" s="98" t="str">
        <f>IF(IFERROR(VLOOKUP(A152,'7.植筋'!C:D,1,0),"")="","","✔")</f>
        <v/>
      </c>
      <c r="I152" s="98" t="str">
        <f>IF(IFERROR(VLOOKUP(A152,'8.預力混凝土基樁'!C:D,1,0),"")="","","✔")</f>
        <v/>
      </c>
      <c r="J152" s="98" t="str">
        <f>IF(IFERROR(VLOOKUP(A152,'9.砌塊石護岸'!C:D,1,0),"")="","","✔")</f>
        <v/>
      </c>
      <c r="K152" s="98" t="str">
        <f>IF(IFERROR(VLOOKUP(A152,'10.低水護岸'!C:D,1,0),"")="","","✔")</f>
        <v/>
      </c>
      <c r="L152" s="98" t="str">
        <f>IF(IFERROR(VLOOKUP(A152,'11.固床工'!C:D,1,0),"")="","","✔")</f>
        <v/>
      </c>
      <c r="M152" s="98" t="str">
        <f>IF(IFERROR(VLOOKUP(A152,'12.全套管基樁'!C:D,1,0),"")="","","✔")</f>
        <v/>
      </c>
      <c r="N152" s="98" t="str">
        <f>IF(IFERROR(VLOOKUP(A152,'13.鋼筋混凝土管工程'!C:D,1,0),"")="","","✔")</f>
        <v/>
      </c>
      <c r="O152" s="98" t="str">
        <f>IF(IFERROR(VLOOKUP(A152,'14.鋼版樁'!C:D,1,0),"")="","","✔")</f>
        <v/>
      </c>
      <c r="P152" s="98" t="str">
        <f>IF(IFERROR(VLOOKUP(A152,'15.路床 路基高程'!C:D,1,0),"")="","","✔")</f>
        <v/>
      </c>
      <c r="Q152" s="98" t="str">
        <f>IF(IFERROR(VLOOKUP(A152,'16.瀝青混凝土'!C:D,1,0),"")="","","✔")</f>
        <v/>
      </c>
      <c r="R152" s="98" t="str">
        <f>IF(IFERROR(VLOOKUP(A152,'17.景觀鋪面(一)'!C:D,1,0),"")="","","✔")</f>
        <v/>
      </c>
      <c r="S152" s="98" t="str">
        <f>IF(IFERROR(VLOOKUP(A152,'18.景觀鋪面(二)'!C:D,1,0),"")="","","✔")</f>
        <v/>
      </c>
      <c r="T152" s="98" t="str">
        <f>IF(IFERROR(VLOOKUP(A152,'19.預鑄緣石'!C:D,1,0),"")="","","✔")</f>
        <v/>
      </c>
      <c r="U152" s="98" t="str">
        <f>IF(IFERROR(VLOOKUP(A152,'20.鋼構工程吊裝'!C:D,1,0),"")="","","✔")</f>
        <v/>
      </c>
      <c r="V152" s="98" t="str">
        <f>IF(IFERROR(VLOOKUP(A152,'21.鋼構工程塗裝'!C:D,1,0),"")="","","✔")</f>
        <v/>
      </c>
      <c r="W152" s="98" t="str">
        <f>IF(IFERROR(VLOOKUP(A152,'22.排水設施(一)'!C:D,1,0),"")="","","✔")</f>
        <v/>
      </c>
      <c r="X152" s="98" t="str">
        <f>IF(IFERROR(VLOOKUP(A152,'23.排水設施(二)'!C:D,1,0),"")="","","✔")</f>
        <v/>
      </c>
      <c r="Y152" s="98" t="str">
        <f>IF(IFERROR(VLOOKUP(A152,'24.木構造'!C:D,1,0),"")="","","✔")</f>
        <v/>
      </c>
      <c r="Z152" s="98" t="str">
        <f>IF(IFERROR(VLOOKUP(A152,'25.管路'!C:D,1,0),"")="","","✔")</f>
        <v/>
      </c>
      <c r="AA152" s="98" t="str">
        <f>IF(IFERROR(VLOOKUP(A152,'26.植栽(移植)'!C:D,1,0),"")="","","✔")</f>
        <v/>
      </c>
      <c r="AB152" s="98" t="str">
        <f>IF(IFERROR(VLOOKUP(A152,'27.植栽(新植)'!C:D,1,0),"")="","","✔")</f>
        <v/>
      </c>
      <c r="AC152" s="98" t="str">
        <f>IF(IFERROR(VLOOKUP(A152,'28.照明'!C:D,1,0),"")="","","✔")</f>
        <v/>
      </c>
      <c r="AD152" s="98" t="str">
        <f>IF(IFERROR(VLOOKUP(A152,'29.既有橋梁拆除'!C:D,1,0),"")="","","✔")</f>
        <v/>
      </c>
    </row>
    <row r="153" spans="1:30" ht="21.75" customHeight="1" x14ac:dyDescent="0.25">
      <c r="A153" s="99">
        <v>45343</v>
      </c>
      <c r="B153" s="98" t="str">
        <f>IF(IFERROR(VLOOKUP(A153,'1.測量放樣'!C:D,1,0),"")="","","✔")</f>
        <v/>
      </c>
      <c r="C153" s="98" t="str">
        <f>IF(IFERROR(VLOOKUP(A153,'2.土方開挖'!C:D,1,0),"")="","","✔")</f>
        <v/>
      </c>
      <c r="D153" s="98" t="str">
        <f>IF(IFERROR(VLOOKUP(A153,'3.土方回填'!C:D,1,0),"")="","","✔")</f>
        <v/>
      </c>
      <c r="E153" s="98" t="str">
        <f>IF(IFERROR(VLOOKUP(A153,'4.鋼筋'!C:D,1,0),"")="","","✔")</f>
        <v/>
      </c>
      <c r="F153" s="98" t="str">
        <f>IF(IFERROR(VLOOKUP(A153,'5.模板'!C:D,1,0),"")="","","✔")</f>
        <v>✔</v>
      </c>
      <c r="G153" s="98" t="str">
        <f>IF(IFERROR(VLOOKUP(A153,'6.混凝土'!C:D,1,0),"")="","","✔")</f>
        <v/>
      </c>
      <c r="H153" s="98" t="str">
        <f>IF(IFERROR(VLOOKUP(A153,'7.植筋'!C:D,1,0),"")="","","✔")</f>
        <v/>
      </c>
      <c r="I153" s="98" t="str">
        <f>IF(IFERROR(VLOOKUP(A153,'8.預力混凝土基樁'!C:D,1,0),"")="","","✔")</f>
        <v/>
      </c>
      <c r="J153" s="98" t="str">
        <f>IF(IFERROR(VLOOKUP(A153,'9.砌塊石護岸'!C:D,1,0),"")="","","✔")</f>
        <v/>
      </c>
      <c r="K153" s="98" t="str">
        <f>IF(IFERROR(VLOOKUP(A153,'10.低水護岸'!C:D,1,0),"")="","","✔")</f>
        <v/>
      </c>
      <c r="L153" s="98" t="str">
        <f>IF(IFERROR(VLOOKUP(A153,'11.固床工'!C:D,1,0),"")="","","✔")</f>
        <v/>
      </c>
      <c r="M153" s="98" t="str">
        <f>IF(IFERROR(VLOOKUP(A153,'12.全套管基樁'!C:D,1,0),"")="","","✔")</f>
        <v/>
      </c>
      <c r="N153" s="98" t="str">
        <f>IF(IFERROR(VLOOKUP(A153,'13.鋼筋混凝土管工程'!C:D,1,0),"")="","","✔")</f>
        <v/>
      </c>
      <c r="O153" s="98" t="str">
        <f>IF(IFERROR(VLOOKUP(A153,'14.鋼版樁'!C:D,1,0),"")="","","✔")</f>
        <v/>
      </c>
      <c r="P153" s="98" t="str">
        <f>IF(IFERROR(VLOOKUP(A153,'15.路床 路基高程'!C:D,1,0),"")="","","✔")</f>
        <v/>
      </c>
      <c r="Q153" s="98" t="str">
        <f>IF(IFERROR(VLOOKUP(A153,'16.瀝青混凝土'!C:D,1,0),"")="","","✔")</f>
        <v/>
      </c>
      <c r="R153" s="98" t="str">
        <f>IF(IFERROR(VLOOKUP(A153,'17.景觀鋪面(一)'!C:D,1,0),"")="","","✔")</f>
        <v/>
      </c>
      <c r="S153" s="98" t="str">
        <f>IF(IFERROR(VLOOKUP(A153,'18.景觀鋪面(二)'!C:D,1,0),"")="","","✔")</f>
        <v/>
      </c>
      <c r="T153" s="98" t="str">
        <f>IF(IFERROR(VLOOKUP(A153,'19.預鑄緣石'!C:D,1,0),"")="","","✔")</f>
        <v/>
      </c>
      <c r="U153" s="98" t="str">
        <f>IF(IFERROR(VLOOKUP(A153,'20.鋼構工程吊裝'!C:D,1,0),"")="","","✔")</f>
        <v/>
      </c>
      <c r="V153" s="98" t="str">
        <f>IF(IFERROR(VLOOKUP(A153,'21.鋼構工程塗裝'!C:D,1,0),"")="","","✔")</f>
        <v/>
      </c>
      <c r="W153" s="98" t="str">
        <f>IF(IFERROR(VLOOKUP(A153,'22.排水設施(一)'!C:D,1,0),"")="","","✔")</f>
        <v/>
      </c>
      <c r="X153" s="98" t="str">
        <f>IF(IFERROR(VLOOKUP(A153,'23.排水設施(二)'!C:D,1,0),"")="","","✔")</f>
        <v/>
      </c>
      <c r="Y153" s="98" t="str">
        <f>IF(IFERROR(VLOOKUP(A153,'24.木構造'!C:D,1,0),"")="","","✔")</f>
        <v/>
      </c>
      <c r="Z153" s="98" t="str">
        <f>IF(IFERROR(VLOOKUP(A153,'25.管路'!C:D,1,0),"")="","","✔")</f>
        <v/>
      </c>
      <c r="AA153" s="98" t="str">
        <f>IF(IFERROR(VLOOKUP(A153,'26.植栽(移植)'!C:D,1,0),"")="","","✔")</f>
        <v/>
      </c>
      <c r="AB153" s="98" t="str">
        <f>IF(IFERROR(VLOOKUP(A153,'27.植栽(新植)'!C:D,1,0),"")="","","✔")</f>
        <v/>
      </c>
      <c r="AC153" s="98" t="str">
        <f>IF(IFERROR(VLOOKUP(A153,'28.照明'!C:D,1,0),"")="","","✔")</f>
        <v/>
      </c>
      <c r="AD153" s="98" t="str">
        <f>IF(IFERROR(VLOOKUP(A153,'29.既有橋梁拆除'!C:D,1,0),"")="","","✔")</f>
        <v/>
      </c>
    </row>
    <row r="154" spans="1:30" ht="21.75" customHeight="1" x14ac:dyDescent="0.25">
      <c r="A154" s="99">
        <v>45344</v>
      </c>
      <c r="B154" s="98" t="str">
        <f>IF(IFERROR(VLOOKUP(A154,'1.測量放樣'!C:D,1,0),"")="","","✔")</f>
        <v/>
      </c>
      <c r="C154" s="98" t="str">
        <f>IF(IFERROR(VLOOKUP(A154,'2.土方開挖'!C:D,1,0),"")="","","✔")</f>
        <v/>
      </c>
      <c r="D154" s="98" t="str">
        <f>IF(IFERROR(VLOOKUP(A154,'3.土方回填'!C:D,1,0),"")="","","✔")</f>
        <v/>
      </c>
      <c r="E154" s="98" t="str">
        <f>IF(IFERROR(VLOOKUP(A154,'4.鋼筋'!C:D,1,0),"")="","","✔")</f>
        <v/>
      </c>
      <c r="F154" s="98" t="str">
        <f>IF(IFERROR(VLOOKUP(A154,'5.模板'!C:D,1,0),"")="","","✔")</f>
        <v/>
      </c>
      <c r="G154" s="98" t="str">
        <f>IF(IFERROR(VLOOKUP(A154,'6.混凝土'!C:D,1,0),"")="","","✔")</f>
        <v>✔</v>
      </c>
      <c r="H154" s="98" t="str">
        <f>IF(IFERROR(VLOOKUP(A154,'7.植筋'!C:D,1,0),"")="","","✔")</f>
        <v/>
      </c>
      <c r="I154" s="98" t="str">
        <f>IF(IFERROR(VLOOKUP(A154,'8.預力混凝土基樁'!C:D,1,0),"")="","","✔")</f>
        <v/>
      </c>
      <c r="J154" s="98" t="str">
        <f>IF(IFERROR(VLOOKUP(A154,'9.砌塊石護岸'!C:D,1,0),"")="","","✔")</f>
        <v/>
      </c>
      <c r="K154" s="98" t="str">
        <f>IF(IFERROR(VLOOKUP(A154,'10.低水護岸'!C:D,1,0),"")="","","✔")</f>
        <v/>
      </c>
      <c r="L154" s="98" t="str">
        <f>IF(IFERROR(VLOOKUP(A154,'11.固床工'!C:D,1,0),"")="","","✔")</f>
        <v/>
      </c>
      <c r="M154" s="98" t="str">
        <f>IF(IFERROR(VLOOKUP(A154,'12.全套管基樁'!C:D,1,0),"")="","","✔")</f>
        <v/>
      </c>
      <c r="N154" s="98" t="str">
        <f>IF(IFERROR(VLOOKUP(A154,'13.鋼筋混凝土管工程'!C:D,1,0),"")="","","✔")</f>
        <v/>
      </c>
      <c r="O154" s="98" t="str">
        <f>IF(IFERROR(VLOOKUP(A154,'14.鋼版樁'!C:D,1,0),"")="","","✔")</f>
        <v/>
      </c>
      <c r="P154" s="98" t="str">
        <f>IF(IFERROR(VLOOKUP(A154,'15.路床 路基高程'!C:D,1,0),"")="","","✔")</f>
        <v/>
      </c>
      <c r="Q154" s="98" t="str">
        <f>IF(IFERROR(VLOOKUP(A154,'16.瀝青混凝土'!C:D,1,0),"")="","","✔")</f>
        <v/>
      </c>
      <c r="R154" s="98" t="str">
        <f>IF(IFERROR(VLOOKUP(A154,'17.景觀鋪面(一)'!C:D,1,0),"")="","","✔")</f>
        <v/>
      </c>
      <c r="S154" s="98" t="str">
        <f>IF(IFERROR(VLOOKUP(A154,'18.景觀鋪面(二)'!C:D,1,0),"")="","","✔")</f>
        <v/>
      </c>
      <c r="T154" s="98" t="str">
        <f>IF(IFERROR(VLOOKUP(A154,'19.預鑄緣石'!C:D,1,0),"")="","","✔")</f>
        <v/>
      </c>
      <c r="U154" s="98" t="str">
        <f>IF(IFERROR(VLOOKUP(A154,'20.鋼構工程吊裝'!C:D,1,0),"")="","","✔")</f>
        <v/>
      </c>
      <c r="V154" s="98" t="str">
        <f>IF(IFERROR(VLOOKUP(A154,'21.鋼構工程塗裝'!C:D,1,0),"")="","","✔")</f>
        <v/>
      </c>
      <c r="W154" s="98" t="str">
        <f>IF(IFERROR(VLOOKUP(A154,'22.排水設施(一)'!C:D,1,0),"")="","","✔")</f>
        <v/>
      </c>
      <c r="X154" s="98" t="str">
        <f>IF(IFERROR(VLOOKUP(A154,'23.排水設施(二)'!C:D,1,0),"")="","","✔")</f>
        <v/>
      </c>
      <c r="Y154" s="98" t="str">
        <f>IF(IFERROR(VLOOKUP(A154,'24.木構造'!C:D,1,0),"")="","","✔")</f>
        <v/>
      </c>
      <c r="Z154" s="98" t="str">
        <f>IF(IFERROR(VLOOKUP(A154,'25.管路'!C:D,1,0),"")="","","✔")</f>
        <v/>
      </c>
      <c r="AA154" s="98" t="str">
        <f>IF(IFERROR(VLOOKUP(A154,'26.植栽(移植)'!C:D,1,0),"")="","","✔")</f>
        <v/>
      </c>
      <c r="AB154" s="98" t="str">
        <f>IF(IFERROR(VLOOKUP(A154,'27.植栽(新植)'!C:D,1,0),"")="","","✔")</f>
        <v/>
      </c>
      <c r="AC154" s="98" t="str">
        <f>IF(IFERROR(VLOOKUP(A154,'28.照明'!C:D,1,0),"")="","","✔")</f>
        <v/>
      </c>
      <c r="AD154" s="98" t="str">
        <f>IF(IFERROR(VLOOKUP(A154,'29.既有橋梁拆除'!C:D,1,0),"")="","","✔")</f>
        <v/>
      </c>
    </row>
    <row r="155" spans="1:30" ht="21.75" customHeight="1" x14ac:dyDescent="0.25">
      <c r="A155" s="99">
        <v>45345</v>
      </c>
      <c r="B155" s="98" t="str">
        <f>IF(IFERROR(VLOOKUP(A155,'1.測量放樣'!C:D,1,0),"")="","","✔")</f>
        <v/>
      </c>
      <c r="C155" s="98" t="str">
        <f>IF(IFERROR(VLOOKUP(A155,'2.土方開挖'!C:D,1,0),"")="","","✔")</f>
        <v/>
      </c>
      <c r="D155" s="98" t="str">
        <f>IF(IFERROR(VLOOKUP(A155,'3.土方回填'!C:D,1,0),"")="","","✔")</f>
        <v/>
      </c>
      <c r="E155" s="98" t="str">
        <f>IF(IFERROR(VLOOKUP(A155,'4.鋼筋'!C:D,1,0),"")="","","✔")</f>
        <v/>
      </c>
      <c r="F155" s="98" t="str">
        <f>IF(IFERROR(VLOOKUP(A155,'5.模板'!C:D,1,0),"")="","","✔")</f>
        <v/>
      </c>
      <c r="G155" s="98" t="str">
        <f>IF(IFERROR(VLOOKUP(A155,'6.混凝土'!C:D,1,0),"")="","","✔")</f>
        <v/>
      </c>
      <c r="H155" s="98" t="str">
        <f>IF(IFERROR(VLOOKUP(A155,'7.植筋'!C:D,1,0),"")="","","✔")</f>
        <v/>
      </c>
      <c r="I155" s="98" t="str">
        <f>IF(IFERROR(VLOOKUP(A155,'8.預力混凝土基樁'!C:D,1,0),"")="","","✔")</f>
        <v/>
      </c>
      <c r="J155" s="98" t="str">
        <f>IF(IFERROR(VLOOKUP(A155,'9.砌塊石護岸'!C:D,1,0),"")="","","✔")</f>
        <v/>
      </c>
      <c r="K155" s="98" t="str">
        <f>IF(IFERROR(VLOOKUP(A155,'10.低水護岸'!C:D,1,0),"")="","","✔")</f>
        <v/>
      </c>
      <c r="L155" s="98" t="str">
        <f>IF(IFERROR(VLOOKUP(A155,'11.固床工'!C:D,1,0),"")="","","✔")</f>
        <v/>
      </c>
      <c r="M155" s="98" t="str">
        <f>IF(IFERROR(VLOOKUP(A155,'12.全套管基樁'!C:D,1,0),"")="","","✔")</f>
        <v/>
      </c>
      <c r="N155" s="98" t="str">
        <f>IF(IFERROR(VLOOKUP(A155,'13.鋼筋混凝土管工程'!C:D,1,0),"")="","","✔")</f>
        <v/>
      </c>
      <c r="O155" s="98" t="str">
        <f>IF(IFERROR(VLOOKUP(A155,'14.鋼版樁'!C:D,1,0),"")="","","✔")</f>
        <v/>
      </c>
      <c r="P155" s="98" t="str">
        <f>IF(IFERROR(VLOOKUP(A155,'15.路床 路基高程'!C:D,1,0),"")="","","✔")</f>
        <v/>
      </c>
      <c r="Q155" s="98" t="str">
        <f>IF(IFERROR(VLOOKUP(A155,'16.瀝青混凝土'!C:D,1,0),"")="","","✔")</f>
        <v/>
      </c>
      <c r="R155" s="98" t="str">
        <f>IF(IFERROR(VLOOKUP(A155,'17.景觀鋪面(一)'!C:D,1,0),"")="","","✔")</f>
        <v/>
      </c>
      <c r="S155" s="98" t="str">
        <f>IF(IFERROR(VLOOKUP(A155,'18.景觀鋪面(二)'!C:D,1,0),"")="","","✔")</f>
        <v/>
      </c>
      <c r="T155" s="98" t="str">
        <f>IF(IFERROR(VLOOKUP(A155,'19.預鑄緣石'!C:D,1,0),"")="","","✔")</f>
        <v/>
      </c>
      <c r="U155" s="98" t="str">
        <f>IF(IFERROR(VLOOKUP(A155,'20.鋼構工程吊裝'!C:D,1,0),"")="","","✔")</f>
        <v/>
      </c>
      <c r="V155" s="98" t="str">
        <f>IF(IFERROR(VLOOKUP(A155,'21.鋼構工程塗裝'!C:D,1,0),"")="","","✔")</f>
        <v/>
      </c>
      <c r="W155" s="98" t="str">
        <f>IF(IFERROR(VLOOKUP(A155,'22.排水設施(一)'!C:D,1,0),"")="","","✔")</f>
        <v/>
      </c>
      <c r="X155" s="98" t="str">
        <f>IF(IFERROR(VLOOKUP(A155,'23.排水設施(二)'!C:D,1,0),"")="","","✔")</f>
        <v/>
      </c>
      <c r="Y155" s="98" t="str">
        <f>IF(IFERROR(VLOOKUP(A155,'24.木構造'!C:D,1,0),"")="","","✔")</f>
        <v/>
      </c>
      <c r="Z155" s="98" t="str">
        <f>IF(IFERROR(VLOOKUP(A155,'25.管路'!C:D,1,0),"")="","","✔")</f>
        <v/>
      </c>
      <c r="AA155" s="98" t="str">
        <f>IF(IFERROR(VLOOKUP(A155,'26.植栽(移植)'!C:D,1,0),"")="","","✔")</f>
        <v/>
      </c>
      <c r="AB155" s="98" t="str">
        <f>IF(IFERROR(VLOOKUP(A155,'27.植栽(新植)'!C:D,1,0),"")="","","✔")</f>
        <v/>
      </c>
      <c r="AC155" s="98" t="str">
        <f>IF(IFERROR(VLOOKUP(A155,'28.照明'!C:D,1,0),"")="","","✔")</f>
        <v/>
      </c>
      <c r="AD155" s="98" t="str">
        <f>IF(IFERROR(VLOOKUP(A155,'29.既有橋梁拆除'!C:D,1,0),"")="","","✔")</f>
        <v/>
      </c>
    </row>
    <row r="156" spans="1:30" ht="21.75" customHeight="1" x14ac:dyDescent="0.25">
      <c r="A156" s="99">
        <v>45346</v>
      </c>
      <c r="B156" s="98" t="str">
        <f>IF(IFERROR(VLOOKUP(A156,'1.測量放樣'!C:D,1,0),"")="","","✔")</f>
        <v/>
      </c>
      <c r="C156" s="98" t="str">
        <f>IF(IFERROR(VLOOKUP(A156,'2.土方開挖'!C:D,1,0),"")="","","✔")</f>
        <v/>
      </c>
      <c r="D156" s="98" t="str">
        <f>IF(IFERROR(VLOOKUP(A156,'3.土方回填'!C:D,1,0),"")="","","✔")</f>
        <v/>
      </c>
      <c r="E156" s="98" t="str">
        <f>IF(IFERROR(VLOOKUP(A156,'4.鋼筋'!C:D,1,0),"")="","","✔")</f>
        <v/>
      </c>
      <c r="F156" s="98" t="str">
        <f>IF(IFERROR(VLOOKUP(A156,'5.模板'!C:D,1,0),"")="","","✔")</f>
        <v/>
      </c>
      <c r="G156" s="98" t="str">
        <f>IF(IFERROR(VLOOKUP(A156,'6.混凝土'!C:D,1,0),"")="","","✔")</f>
        <v/>
      </c>
      <c r="H156" s="98" t="str">
        <f>IF(IFERROR(VLOOKUP(A156,'7.植筋'!C:D,1,0),"")="","","✔")</f>
        <v/>
      </c>
      <c r="I156" s="98" t="str">
        <f>IF(IFERROR(VLOOKUP(A156,'8.預力混凝土基樁'!C:D,1,0),"")="","","✔")</f>
        <v/>
      </c>
      <c r="J156" s="98" t="str">
        <f>IF(IFERROR(VLOOKUP(A156,'9.砌塊石護岸'!C:D,1,0),"")="","","✔")</f>
        <v/>
      </c>
      <c r="K156" s="98" t="str">
        <f>IF(IFERROR(VLOOKUP(A156,'10.低水護岸'!C:D,1,0),"")="","","✔")</f>
        <v/>
      </c>
      <c r="L156" s="98" t="str">
        <f>IF(IFERROR(VLOOKUP(A156,'11.固床工'!C:D,1,0),"")="","","✔")</f>
        <v/>
      </c>
      <c r="M156" s="98" t="str">
        <f>IF(IFERROR(VLOOKUP(A156,'12.全套管基樁'!C:D,1,0),"")="","","✔")</f>
        <v/>
      </c>
      <c r="N156" s="98" t="str">
        <f>IF(IFERROR(VLOOKUP(A156,'13.鋼筋混凝土管工程'!C:D,1,0),"")="","","✔")</f>
        <v/>
      </c>
      <c r="O156" s="98" t="str">
        <f>IF(IFERROR(VLOOKUP(A156,'14.鋼版樁'!C:D,1,0),"")="","","✔")</f>
        <v/>
      </c>
      <c r="P156" s="98" t="str">
        <f>IF(IFERROR(VLOOKUP(A156,'15.路床 路基高程'!C:D,1,0),"")="","","✔")</f>
        <v/>
      </c>
      <c r="Q156" s="98" t="str">
        <f>IF(IFERROR(VLOOKUP(A156,'16.瀝青混凝土'!C:D,1,0),"")="","","✔")</f>
        <v/>
      </c>
      <c r="R156" s="98" t="str">
        <f>IF(IFERROR(VLOOKUP(A156,'17.景觀鋪面(一)'!C:D,1,0),"")="","","✔")</f>
        <v/>
      </c>
      <c r="S156" s="98" t="str">
        <f>IF(IFERROR(VLOOKUP(A156,'18.景觀鋪面(二)'!C:D,1,0),"")="","","✔")</f>
        <v/>
      </c>
      <c r="T156" s="98" t="str">
        <f>IF(IFERROR(VLOOKUP(A156,'19.預鑄緣石'!C:D,1,0),"")="","","✔")</f>
        <v/>
      </c>
      <c r="U156" s="98" t="str">
        <f>IF(IFERROR(VLOOKUP(A156,'20.鋼構工程吊裝'!C:D,1,0),"")="","","✔")</f>
        <v/>
      </c>
      <c r="V156" s="98" t="str">
        <f>IF(IFERROR(VLOOKUP(A156,'21.鋼構工程塗裝'!C:D,1,0),"")="","","✔")</f>
        <v/>
      </c>
      <c r="W156" s="98" t="str">
        <f>IF(IFERROR(VLOOKUP(A156,'22.排水設施(一)'!C:D,1,0),"")="","","✔")</f>
        <v/>
      </c>
      <c r="X156" s="98" t="str">
        <f>IF(IFERROR(VLOOKUP(A156,'23.排水設施(二)'!C:D,1,0),"")="","","✔")</f>
        <v/>
      </c>
      <c r="Y156" s="98" t="str">
        <f>IF(IFERROR(VLOOKUP(A156,'24.木構造'!C:D,1,0),"")="","","✔")</f>
        <v/>
      </c>
      <c r="Z156" s="98" t="str">
        <f>IF(IFERROR(VLOOKUP(A156,'25.管路'!C:D,1,0),"")="","","✔")</f>
        <v/>
      </c>
      <c r="AA156" s="98" t="str">
        <f>IF(IFERROR(VLOOKUP(A156,'26.植栽(移植)'!C:D,1,0),"")="","","✔")</f>
        <v/>
      </c>
      <c r="AB156" s="98" t="str">
        <f>IF(IFERROR(VLOOKUP(A156,'27.植栽(新植)'!C:D,1,0),"")="","","✔")</f>
        <v/>
      </c>
      <c r="AC156" s="98" t="str">
        <f>IF(IFERROR(VLOOKUP(A156,'28.照明'!C:D,1,0),"")="","","✔")</f>
        <v/>
      </c>
      <c r="AD156" s="98" t="str">
        <f>IF(IFERROR(VLOOKUP(A156,'29.既有橋梁拆除'!C:D,1,0),"")="","","✔")</f>
        <v/>
      </c>
    </row>
    <row r="157" spans="1:30" ht="21.75" customHeight="1" x14ac:dyDescent="0.25">
      <c r="A157" s="99">
        <v>45347</v>
      </c>
      <c r="B157" s="98" t="str">
        <f>IF(IFERROR(VLOOKUP(A157,'1.測量放樣'!C:D,1,0),"")="","","✔")</f>
        <v/>
      </c>
      <c r="C157" s="98" t="str">
        <f>IF(IFERROR(VLOOKUP(A157,'2.土方開挖'!C:D,1,0),"")="","","✔")</f>
        <v/>
      </c>
      <c r="D157" s="98" t="str">
        <f>IF(IFERROR(VLOOKUP(A157,'3.土方回填'!C:D,1,0),"")="","","✔")</f>
        <v/>
      </c>
      <c r="E157" s="98" t="str">
        <f>IF(IFERROR(VLOOKUP(A157,'4.鋼筋'!C:D,1,0),"")="","","✔")</f>
        <v/>
      </c>
      <c r="F157" s="98" t="str">
        <f>IF(IFERROR(VLOOKUP(A157,'5.模板'!C:D,1,0),"")="","","✔")</f>
        <v/>
      </c>
      <c r="G157" s="98" t="str">
        <f>IF(IFERROR(VLOOKUP(A157,'6.混凝土'!C:D,1,0),"")="","","✔")</f>
        <v/>
      </c>
      <c r="H157" s="98" t="str">
        <f>IF(IFERROR(VLOOKUP(A157,'7.植筋'!C:D,1,0),"")="","","✔")</f>
        <v/>
      </c>
      <c r="I157" s="98" t="str">
        <f>IF(IFERROR(VLOOKUP(A157,'8.預力混凝土基樁'!C:D,1,0),"")="","","✔")</f>
        <v/>
      </c>
      <c r="J157" s="98" t="str">
        <f>IF(IFERROR(VLOOKUP(A157,'9.砌塊石護岸'!C:D,1,0),"")="","","✔")</f>
        <v/>
      </c>
      <c r="K157" s="98" t="str">
        <f>IF(IFERROR(VLOOKUP(A157,'10.低水護岸'!C:D,1,0),"")="","","✔")</f>
        <v/>
      </c>
      <c r="L157" s="98" t="str">
        <f>IF(IFERROR(VLOOKUP(A157,'11.固床工'!C:D,1,0),"")="","","✔")</f>
        <v/>
      </c>
      <c r="M157" s="98" t="str">
        <f>IF(IFERROR(VLOOKUP(A157,'12.全套管基樁'!C:D,1,0),"")="","","✔")</f>
        <v/>
      </c>
      <c r="N157" s="98" t="str">
        <f>IF(IFERROR(VLOOKUP(A157,'13.鋼筋混凝土管工程'!C:D,1,0),"")="","","✔")</f>
        <v/>
      </c>
      <c r="O157" s="98" t="str">
        <f>IF(IFERROR(VLOOKUP(A157,'14.鋼版樁'!C:D,1,0),"")="","","✔")</f>
        <v/>
      </c>
      <c r="P157" s="98" t="str">
        <f>IF(IFERROR(VLOOKUP(A157,'15.路床 路基高程'!C:D,1,0),"")="","","✔")</f>
        <v/>
      </c>
      <c r="Q157" s="98" t="str">
        <f>IF(IFERROR(VLOOKUP(A157,'16.瀝青混凝土'!C:D,1,0),"")="","","✔")</f>
        <v/>
      </c>
      <c r="R157" s="98" t="str">
        <f>IF(IFERROR(VLOOKUP(A157,'17.景觀鋪面(一)'!C:D,1,0),"")="","","✔")</f>
        <v/>
      </c>
      <c r="S157" s="98" t="str">
        <f>IF(IFERROR(VLOOKUP(A157,'18.景觀鋪面(二)'!C:D,1,0),"")="","","✔")</f>
        <v/>
      </c>
      <c r="T157" s="98" t="str">
        <f>IF(IFERROR(VLOOKUP(A157,'19.預鑄緣石'!C:D,1,0),"")="","","✔")</f>
        <v/>
      </c>
      <c r="U157" s="98" t="str">
        <f>IF(IFERROR(VLOOKUP(A157,'20.鋼構工程吊裝'!C:D,1,0),"")="","","✔")</f>
        <v/>
      </c>
      <c r="V157" s="98" t="str">
        <f>IF(IFERROR(VLOOKUP(A157,'21.鋼構工程塗裝'!C:D,1,0),"")="","","✔")</f>
        <v/>
      </c>
      <c r="W157" s="98" t="str">
        <f>IF(IFERROR(VLOOKUP(A157,'22.排水設施(一)'!C:D,1,0),"")="","","✔")</f>
        <v/>
      </c>
      <c r="X157" s="98" t="str">
        <f>IF(IFERROR(VLOOKUP(A157,'23.排水設施(二)'!C:D,1,0),"")="","","✔")</f>
        <v/>
      </c>
      <c r="Y157" s="98" t="str">
        <f>IF(IFERROR(VLOOKUP(A157,'24.木構造'!C:D,1,0),"")="","","✔")</f>
        <v/>
      </c>
      <c r="Z157" s="98" t="str">
        <f>IF(IFERROR(VLOOKUP(A157,'25.管路'!C:D,1,0),"")="","","✔")</f>
        <v/>
      </c>
      <c r="AA157" s="98" t="str">
        <f>IF(IFERROR(VLOOKUP(A157,'26.植栽(移植)'!C:D,1,0),"")="","","✔")</f>
        <v/>
      </c>
      <c r="AB157" s="98" t="str">
        <f>IF(IFERROR(VLOOKUP(A157,'27.植栽(新植)'!C:D,1,0),"")="","","✔")</f>
        <v/>
      </c>
      <c r="AC157" s="98" t="str">
        <f>IF(IFERROR(VLOOKUP(A157,'28.照明'!C:D,1,0),"")="","","✔")</f>
        <v/>
      </c>
      <c r="AD157" s="98" t="str">
        <f>IF(IFERROR(VLOOKUP(A157,'29.既有橋梁拆除'!C:D,1,0),"")="","","✔")</f>
        <v/>
      </c>
    </row>
    <row r="158" spans="1:30" ht="21.75" customHeight="1" x14ac:dyDescent="0.25">
      <c r="A158" s="99">
        <v>45348</v>
      </c>
      <c r="B158" s="98" t="str">
        <f>IF(IFERROR(VLOOKUP(A158,'1.測量放樣'!C:D,1,0),"")="","","✔")</f>
        <v/>
      </c>
      <c r="C158" s="98" t="str">
        <f>IF(IFERROR(VLOOKUP(A158,'2.土方開挖'!C:D,1,0),"")="","","✔")</f>
        <v/>
      </c>
      <c r="D158" s="98" t="str">
        <f>IF(IFERROR(VLOOKUP(A158,'3.土方回填'!C:D,1,0),"")="","","✔")</f>
        <v/>
      </c>
      <c r="E158" s="98" t="str">
        <f>IF(IFERROR(VLOOKUP(A158,'4.鋼筋'!C:D,1,0),"")="","","✔")</f>
        <v/>
      </c>
      <c r="F158" s="98" t="str">
        <f>IF(IFERROR(VLOOKUP(A158,'5.模板'!C:D,1,0),"")="","","✔")</f>
        <v/>
      </c>
      <c r="G158" s="98" t="str">
        <f>IF(IFERROR(VLOOKUP(A158,'6.混凝土'!C:D,1,0),"")="","","✔")</f>
        <v/>
      </c>
      <c r="H158" s="98" t="str">
        <f>IF(IFERROR(VLOOKUP(A158,'7.植筋'!C:D,1,0),"")="","","✔")</f>
        <v/>
      </c>
      <c r="I158" s="98" t="str">
        <f>IF(IFERROR(VLOOKUP(A158,'8.預力混凝土基樁'!C:D,1,0),"")="","","✔")</f>
        <v/>
      </c>
      <c r="J158" s="98" t="str">
        <f>IF(IFERROR(VLOOKUP(A158,'9.砌塊石護岸'!C:D,1,0),"")="","","✔")</f>
        <v/>
      </c>
      <c r="K158" s="98" t="str">
        <f>IF(IFERROR(VLOOKUP(A158,'10.低水護岸'!C:D,1,0),"")="","","✔")</f>
        <v/>
      </c>
      <c r="L158" s="98" t="str">
        <f>IF(IFERROR(VLOOKUP(A158,'11.固床工'!C:D,1,0),"")="","","✔")</f>
        <v/>
      </c>
      <c r="M158" s="98" t="str">
        <f>IF(IFERROR(VLOOKUP(A158,'12.全套管基樁'!C:D,1,0),"")="","","✔")</f>
        <v/>
      </c>
      <c r="N158" s="98" t="str">
        <f>IF(IFERROR(VLOOKUP(A158,'13.鋼筋混凝土管工程'!C:D,1,0),"")="","","✔")</f>
        <v/>
      </c>
      <c r="O158" s="98" t="str">
        <f>IF(IFERROR(VLOOKUP(A158,'14.鋼版樁'!C:D,1,0),"")="","","✔")</f>
        <v/>
      </c>
      <c r="P158" s="98" t="str">
        <f>IF(IFERROR(VLOOKUP(A158,'15.路床 路基高程'!C:D,1,0),"")="","","✔")</f>
        <v/>
      </c>
      <c r="Q158" s="98" t="str">
        <f>IF(IFERROR(VLOOKUP(A158,'16.瀝青混凝土'!C:D,1,0),"")="","","✔")</f>
        <v/>
      </c>
      <c r="R158" s="98" t="str">
        <f>IF(IFERROR(VLOOKUP(A158,'17.景觀鋪面(一)'!C:D,1,0),"")="","","✔")</f>
        <v/>
      </c>
      <c r="S158" s="98" t="str">
        <f>IF(IFERROR(VLOOKUP(A158,'18.景觀鋪面(二)'!C:D,1,0),"")="","","✔")</f>
        <v/>
      </c>
      <c r="T158" s="98" t="str">
        <f>IF(IFERROR(VLOOKUP(A158,'19.預鑄緣石'!C:D,1,0),"")="","","✔")</f>
        <v/>
      </c>
      <c r="U158" s="98" t="str">
        <f>IF(IFERROR(VLOOKUP(A158,'20.鋼構工程吊裝'!C:D,1,0),"")="","","✔")</f>
        <v/>
      </c>
      <c r="V158" s="98" t="str">
        <f>IF(IFERROR(VLOOKUP(A158,'21.鋼構工程塗裝'!C:D,1,0),"")="","","✔")</f>
        <v/>
      </c>
      <c r="W158" s="98" t="str">
        <f>IF(IFERROR(VLOOKUP(A158,'22.排水設施(一)'!C:D,1,0),"")="","","✔")</f>
        <v/>
      </c>
      <c r="X158" s="98" t="str">
        <f>IF(IFERROR(VLOOKUP(A158,'23.排水設施(二)'!C:D,1,0),"")="","","✔")</f>
        <v/>
      </c>
      <c r="Y158" s="98" t="str">
        <f>IF(IFERROR(VLOOKUP(A158,'24.木構造'!C:D,1,0),"")="","","✔")</f>
        <v/>
      </c>
      <c r="Z158" s="98" t="str">
        <f>IF(IFERROR(VLOOKUP(A158,'25.管路'!C:D,1,0),"")="","","✔")</f>
        <v/>
      </c>
      <c r="AA158" s="98" t="str">
        <f>IF(IFERROR(VLOOKUP(A158,'26.植栽(移植)'!C:D,1,0),"")="","","✔")</f>
        <v/>
      </c>
      <c r="AB158" s="98" t="str">
        <f>IF(IFERROR(VLOOKUP(A158,'27.植栽(新植)'!C:D,1,0),"")="","","✔")</f>
        <v/>
      </c>
      <c r="AC158" s="98" t="str">
        <f>IF(IFERROR(VLOOKUP(A158,'28.照明'!C:D,1,0),"")="","","✔")</f>
        <v/>
      </c>
      <c r="AD158" s="98" t="str">
        <f>IF(IFERROR(VLOOKUP(A158,'29.既有橋梁拆除'!C:D,1,0),"")="","","✔")</f>
        <v/>
      </c>
    </row>
    <row r="159" spans="1:30" ht="21.75" customHeight="1" x14ac:dyDescent="0.25">
      <c r="A159" s="99">
        <v>45349</v>
      </c>
      <c r="B159" s="98" t="str">
        <f>IF(IFERROR(VLOOKUP(A159,'1.測量放樣'!C:D,1,0),"")="","","✔")</f>
        <v/>
      </c>
      <c r="C159" s="98" t="str">
        <f>IF(IFERROR(VLOOKUP(A159,'2.土方開挖'!C:D,1,0),"")="","","✔")</f>
        <v/>
      </c>
      <c r="D159" s="98" t="str">
        <f>IF(IFERROR(VLOOKUP(A159,'3.土方回填'!C:D,1,0),"")="","","✔")</f>
        <v/>
      </c>
      <c r="E159" s="98" t="str">
        <f>IF(IFERROR(VLOOKUP(A159,'4.鋼筋'!C:D,1,0),"")="","","✔")</f>
        <v/>
      </c>
      <c r="F159" s="98" t="str">
        <f>IF(IFERROR(VLOOKUP(A159,'5.模板'!C:D,1,0),"")="","","✔")</f>
        <v/>
      </c>
      <c r="G159" s="98" t="str">
        <f>IF(IFERROR(VLOOKUP(A159,'6.混凝土'!C:D,1,0),"")="","","✔")</f>
        <v/>
      </c>
      <c r="H159" s="98" t="str">
        <f>IF(IFERROR(VLOOKUP(A159,'7.植筋'!C:D,1,0),"")="","","✔")</f>
        <v/>
      </c>
      <c r="I159" s="98" t="str">
        <f>IF(IFERROR(VLOOKUP(A159,'8.預力混凝土基樁'!C:D,1,0),"")="","","✔")</f>
        <v/>
      </c>
      <c r="J159" s="98" t="str">
        <f>IF(IFERROR(VLOOKUP(A159,'9.砌塊石護岸'!C:D,1,0),"")="","","✔")</f>
        <v/>
      </c>
      <c r="K159" s="98" t="str">
        <f>IF(IFERROR(VLOOKUP(A159,'10.低水護岸'!C:D,1,0),"")="","","✔")</f>
        <v/>
      </c>
      <c r="L159" s="98" t="str">
        <f>IF(IFERROR(VLOOKUP(A159,'11.固床工'!C:D,1,0),"")="","","✔")</f>
        <v/>
      </c>
      <c r="M159" s="98" t="str">
        <f>IF(IFERROR(VLOOKUP(A159,'12.全套管基樁'!C:D,1,0),"")="","","✔")</f>
        <v/>
      </c>
      <c r="N159" s="98" t="str">
        <f>IF(IFERROR(VLOOKUP(A159,'13.鋼筋混凝土管工程'!C:D,1,0),"")="","","✔")</f>
        <v/>
      </c>
      <c r="O159" s="98" t="str">
        <f>IF(IFERROR(VLOOKUP(A159,'14.鋼版樁'!C:D,1,0),"")="","","✔")</f>
        <v/>
      </c>
      <c r="P159" s="98" t="str">
        <f>IF(IFERROR(VLOOKUP(A159,'15.路床 路基高程'!C:D,1,0),"")="","","✔")</f>
        <v/>
      </c>
      <c r="Q159" s="98" t="str">
        <f>IF(IFERROR(VLOOKUP(A159,'16.瀝青混凝土'!C:D,1,0),"")="","","✔")</f>
        <v/>
      </c>
      <c r="R159" s="98" t="str">
        <f>IF(IFERROR(VLOOKUP(A159,'17.景觀鋪面(一)'!C:D,1,0),"")="","","✔")</f>
        <v/>
      </c>
      <c r="S159" s="98" t="str">
        <f>IF(IFERROR(VLOOKUP(A159,'18.景觀鋪面(二)'!C:D,1,0),"")="","","✔")</f>
        <v/>
      </c>
      <c r="T159" s="98" t="str">
        <f>IF(IFERROR(VLOOKUP(A159,'19.預鑄緣石'!C:D,1,0),"")="","","✔")</f>
        <v/>
      </c>
      <c r="U159" s="98" t="str">
        <f>IF(IFERROR(VLOOKUP(A159,'20.鋼構工程吊裝'!C:D,1,0),"")="","","✔")</f>
        <v/>
      </c>
      <c r="V159" s="98" t="str">
        <f>IF(IFERROR(VLOOKUP(A159,'21.鋼構工程塗裝'!C:D,1,0),"")="","","✔")</f>
        <v/>
      </c>
      <c r="W159" s="98" t="str">
        <f>IF(IFERROR(VLOOKUP(A159,'22.排水設施(一)'!C:D,1,0),"")="","","✔")</f>
        <v/>
      </c>
      <c r="X159" s="98" t="str">
        <f>IF(IFERROR(VLOOKUP(A159,'23.排水設施(二)'!C:D,1,0),"")="","","✔")</f>
        <v/>
      </c>
      <c r="Y159" s="98" t="str">
        <f>IF(IFERROR(VLOOKUP(A159,'24.木構造'!C:D,1,0),"")="","","✔")</f>
        <v/>
      </c>
      <c r="Z159" s="98" t="str">
        <f>IF(IFERROR(VLOOKUP(A159,'25.管路'!C:D,1,0),"")="","","✔")</f>
        <v/>
      </c>
      <c r="AA159" s="98" t="str">
        <f>IF(IFERROR(VLOOKUP(A159,'26.植栽(移植)'!C:D,1,0),"")="","","✔")</f>
        <v/>
      </c>
      <c r="AB159" s="98" t="str">
        <f>IF(IFERROR(VLOOKUP(A159,'27.植栽(新植)'!C:D,1,0),"")="","","✔")</f>
        <v/>
      </c>
      <c r="AC159" s="98" t="str">
        <f>IF(IFERROR(VLOOKUP(A159,'28.照明'!C:D,1,0),"")="","","✔")</f>
        <v/>
      </c>
      <c r="AD159" s="98" t="str">
        <f>IF(IFERROR(VLOOKUP(A159,'29.既有橋梁拆除'!C:D,1,0),"")="","","✔")</f>
        <v/>
      </c>
    </row>
    <row r="160" spans="1:30" ht="21.75" customHeight="1" x14ac:dyDescent="0.25">
      <c r="A160" s="99">
        <v>45350</v>
      </c>
      <c r="B160" s="98" t="str">
        <f>IF(IFERROR(VLOOKUP(A160,'1.測量放樣'!C:D,1,0),"")="","","✔")</f>
        <v/>
      </c>
      <c r="C160" s="98" t="str">
        <f>IF(IFERROR(VLOOKUP(A160,'2.土方開挖'!C:D,1,0),"")="","","✔")</f>
        <v/>
      </c>
      <c r="D160" s="98" t="str">
        <f>IF(IFERROR(VLOOKUP(A160,'3.土方回填'!C:D,1,0),"")="","","✔")</f>
        <v/>
      </c>
      <c r="E160" s="98" t="str">
        <f>IF(IFERROR(VLOOKUP(A160,'4.鋼筋'!C:D,1,0),"")="","","✔")</f>
        <v/>
      </c>
      <c r="F160" s="98" t="str">
        <f>IF(IFERROR(VLOOKUP(A160,'5.模板'!C:D,1,0),"")="","","✔")</f>
        <v/>
      </c>
      <c r="G160" s="98" t="str">
        <f>IF(IFERROR(VLOOKUP(A160,'6.混凝土'!C:D,1,0),"")="","","✔")</f>
        <v/>
      </c>
      <c r="H160" s="98" t="str">
        <f>IF(IFERROR(VLOOKUP(A160,'7.植筋'!C:D,1,0),"")="","","✔")</f>
        <v/>
      </c>
      <c r="I160" s="98" t="str">
        <f>IF(IFERROR(VLOOKUP(A160,'8.預力混凝土基樁'!C:D,1,0),"")="","","✔")</f>
        <v/>
      </c>
      <c r="J160" s="98" t="str">
        <f>IF(IFERROR(VLOOKUP(A160,'9.砌塊石護岸'!C:D,1,0),"")="","","✔")</f>
        <v/>
      </c>
      <c r="K160" s="98" t="str">
        <f>IF(IFERROR(VLOOKUP(A160,'10.低水護岸'!C:D,1,0),"")="","","✔")</f>
        <v/>
      </c>
      <c r="L160" s="98" t="str">
        <f>IF(IFERROR(VLOOKUP(A160,'11.固床工'!C:D,1,0),"")="","","✔")</f>
        <v/>
      </c>
      <c r="M160" s="98" t="str">
        <f>IF(IFERROR(VLOOKUP(A160,'12.全套管基樁'!C:D,1,0),"")="","","✔")</f>
        <v/>
      </c>
      <c r="N160" s="98" t="str">
        <f>IF(IFERROR(VLOOKUP(A160,'13.鋼筋混凝土管工程'!C:D,1,0),"")="","","✔")</f>
        <v/>
      </c>
      <c r="O160" s="98" t="str">
        <f>IF(IFERROR(VLOOKUP(A160,'14.鋼版樁'!C:D,1,0),"")="","","✔")</f>
        <v/>
      </c>
      <c r="P160" s="98" t="str">
        <f>IF(IFERROR(VLOOKUP(A160,'15.路床 路基高程'!C:D,1,0),"")="","","✔")</f>
        <v/>
      </c>
      <c r="Q160" s="98" t="str">
        <f>IF(IFERROR(VLOOKUP(A160,'16.瀝青混凝土'!C:D,1,0),"")="","","✔")</f>
        <v/>
      </c>
      <c r="R160" s="98" t="str">
        <f>IF(IFERROR(VLOOKUP(A160,'17.景觀鋪面(一)'!C:D,1,0),"")="","","✔")</f>
        <v/>
      </c>
      <c r="S160" s="98" t="str">
        <f>IF(IFERROR(VLOOKUP(A160,'18.景觀鋪面(二)'!C:D,1,0),"")="","","✔")</f>
        <v/>
      </c>
      <c r="T160" s="98" t="str">
        <f>IF(IFERROR(VLOOKUP(A160,'19.預鑄緣石'!C:D,1,0),"")="","","✔")</f>
        <v/>
      </c>
      <c r="U160" s="98" t="str">
        <f>IF(IFERROR(VLOOKUP(A160,'20.鋼構工程吊裝'!C:D,1,0),"")="","","✔")</f>
        <v/>
      </c>
      <c r="V160" s="98" t="str">
        <f>IF(IFERROR(VLOOKUP(A160,'21.鋼構工程塗裝'!C:D,1,0),"")="","","✔")</f>
        <v/>
      </c>
      <c r="W160" s="98" t="str">
        <f>IF(IFERROR(VLOOKUP(A160,'22.排水設施(一)'!C:D,1,0),"")="","","✔")</f>
        <v/>
      </c>
      <c r="X160" s="98" t="str">
        <f>IF(IFERROR(VLOOKUP(A160,'23.排水設施(二)'!C:D,1,0),"")="","","✔")</f>
        <v/>
      </c>
      <c r="Y160" s="98" t="str">
        <f>IF(IFERROR(VLOOKUP(A160,'24.木構造'!C:D,1,0),"")="","","✔")</f>
        <v/>
      </c>
      <c r="Z160" s="98" t="str">
        <f>IF(IFERROR(VLOOKUP(A160,'25.管路'!C:D,1,0),"")="","","✔")</f>
        <v/>
      </c>
      <c r="AA160" s="98" t="str">
        <f>IF(IFERROR(VLOOKUP(A160,'26.植栽(移植)'!C:D,1,0),"")="","","✔")</f>
        <v/>
      </c>
      <c r="AB160" s="98" t="str">
        <f>IF(IFERROR(VLOOKUP(A160,'27.植栽(新植)'!C:D,1,0),"")="","","✔")</f>
        <v/>
      </c>
      <c r="AC160" s="98" t="str">
        <f>IF(IFERROR(VLOOKUP(A160,'28.照明'!C:D,1,0),"")="","","✔")</f>
        <v/>
      </c>
      <c r="AD160" s="98" t="str">
        <f>IF(IFERROR(VLOOKUP(A160,'29.既有橋梁拆除'!C:D,1,0),"")="","","✔")</f>
        <v/>
      </c>
    </row>
    <row r="161" spans="1:30" ht="21.75" customHeight="1" x14ac:dyDescent="0.25">
      <c r="A161" s="99">
        <v>45351</v>
      </c>
      <c r="B161" s="98" t="str">
        <f>IF(IFERROR(VLOOKUP(A161,'1.測量放樣'!C:D,1,0),"")="","","✔")</f>
        <v/>
      </c>
      <c r="C161" s="98" t="str">
        <f>IF(IFERROR(VLOOKUP(A161,'2.土方開挖'!C:D,1,0),"")="","","✔")</f>
        <v/>
      </c>
      <c r="D161" s="98" t="str">
        <f>IF(IFERROR(VLOOKUP(A161,'3.土方回填'!C:D,1,0),"")="","","✔")</f>
        <v/>
      </c>
      <c r="E161" s="98" t="str">
        <f>IF(IFERROR(VLOOKUP(A161,'4.鋼筋'!C:D,1,0),"")="","","✔")</f>
        <v/>
      </c>
      <c r="F161" s="98" t="str">
        <f>IF(IFERROR(VLOOKUP(A161,'5.模板'!C:D,1,0),"")="","","✔")</f>
        <v/>
      </c>
      <c r="G161" s="98" t="str">
        <f>IF(IFERROR(VLOOKUP(A161,'6.混凝土'!C:D,1,0),"")="","","✔")</f>
        <v/>
      </c>
      <c r="H161" s="98" t="str">
        <f>IF(IFERROR(VLOOKUP(A161,'7.植筋'!C:D,1,0),"")="","","✔")</f>
        <v/>
      </c>
      <c r="I161" s="98" t="str">
        <f>IF(IFERROR(VLOOKUP(A161,'8.預力混凝土基樁'!C:D,1,0),"")="","","✔")</f>
        <v/>
      </c>
      <c r="J161" s="98" t="str">
        <f>IF(IFERROR(VLOOKUP(A161,'9.砌塊石護岸'!C:D,1,0),"")="","","✔")</f>
        <v/>
      </c>
      <c r="K161" s="98" t="str">
        <f>IF(IFERROR(VLOOKUP(A161,'10.低水護岸'!C:D,1,0),"")="","","✔")</f>
        <v/>
      </c>
      <c r="L161" s="98" t="str">
        <f>IF(IFERROR(VLOOKUP(A161,'11.固床工'!C:D,1,0),"")="","","✔")</f>
        <v/>
      </c>
      <c r="M161" s="98" t="str">
        <f>IF(IFERROR(VLOOKUP(A161,'12.全套管基樁'!C:D,1,0),"")="","","✔")</f>
        <v/>
      </c>
      <c r="N161" s="98" t="str">
        <f>IF(IFERROR(VLOOKUP(A161,'13.鋼筋混凝土管工程'!C:D,1,0),"")="","","✔")</f>
        <v/>
      </c>
      <c r="O161" s="98" t="str">
        <f>IF(IFERROR(VLOOKUP(A161,'14.鋼版樁'!C:D,1,0),"")="","","✔")</f>
        <v/>
      </c>
      <c r="P161" s="98" t="str">
        <f>IF(IFERROR(VLOOKUP(A161,'15.路床 路基高程'!C:D,1,0),"")="","","✔")</f>
        <v/>
      </c>
      <c r="Q161" s="98" t="str">
        <f>IF(IFERROR(VLOOKUP(A161,'16.瀝青混凝土'!C:D,1,0),"")="","","✔")</f>
        <v/>
      </c>
      <c r="R161" s="98" t="str">
        <f>IF(IFERROR(VLOOKUP(A161,'17.景觀鋪面(一)'!C:D,1,0),"")="","","✔")</f>
        <v/>
      </c>
      <c r="S161" s="98" t="str">
        <f>IF(IFERROR(VLOOKUP(A161,'18.景觀鋪面(二)'!C:D,1,0),"")="","","✔")</f>
        <v/>
      </c>
      <c r="T161" s="98" t="str">
        <f>IF(IFERROR(VLOOKUP(A161,'19.預鑄緣石'!C:D,1,0),"")="","","✔")</f>
        <v/>
      </c>
      <c r="U161" s="98" t="str">
        <f>IF(IFERROR(VLOOKUP(A161,'20.鋼構工程吊裝'!C:D,1,0),"")="","","✔")</f>
        <v/>
      </c>
      <c r="V161" s="98" t="str">
        <f>IF(IFERROR(VLOOKUP(A161,'21.鋼構工程塗裝'!C:D,1,0),"")="","","✔")</f>
        <v/>
      </c>
      <c r="W161" s="98" t="str">
        <f>IF(IFERROR(VLOOKUP(A161,'22.排水設施(一)'!C:D,1,0),"")="","","✔")</f>
        <v/>
      </c>
      <c r="X161" s="98" t="str">
        <f>IF(IFERROR(VLOOKUP(A161,'23.排水設施(二)'!C:D,1,0),"")="","","✔")</f>
        <v/>
      </c>
      <c r="Y161" s="98" t="str">
        <f>IF(IFERROR(VLOOKUP(A161,'24.木構造'!C:D,1,0),"")="","","✔")</f>
        <v/>
      </c>
      <c r="Z161" s="98" t="str">
        <f>IF(IFERROR(VLOOKUP(A161,'25.管路'!C:D,1,0),"")="","","✔")</f>
        <v/>
      </c>
      <c r="AA161" s="98" t="str">
        <f>IF(IFERROR(VLOOKUP(A161,'26.植栽(移植)'!C:D,1,0),"")="","","✔")</f>
        <v/>
      </c>
      <c r="AB161" s="98" t="str">
        <f>IF(IFERROR(VLOOKUP(A161,'27.植栽(新植)'!C:D,1,0),"")="","","✔")</f>
        <v/>
      </c>
      <c r="AC161" s="98" t="str">
        <f>IF(IFERROR(VLOOKUP(A161,'28.照明'!C:D,1,0),"")="","","✔")</f>
        <v/>
      </c>
      <c r="AD161" s="98" t="str">
        <f>IF(IFERROR(VLOOKUP(A161,'29.既有橋梁拆除'!C:D,1,0),"")="","","✔")</f>
        <v/>
      </c>
    </row>
    <row r="162" spans="1:30" ht="21.75" customHeight="1" x14ac:dyDescent="0.25">
      <c r="A162" s="99">
        <v>45352</v>
      </c>
      <c r="B162" s="98" t="str">
        <f>IF(IFERROR(VLOOKUP(A162,'1.測量放樣'!C:D,1,0),"")="","","✔")</f>
        <v/>
      </c>
      <c r="C162" s="98" t="str">
        <f>IF(IFERROR(VLOOKUP(A162,'2.土方開挖'!C:D,1,0),"")="","","✔")</f>
        <v/>
      </c>
      <c r="D162" s="98" t="str">
        <f>IF(IFERROR(VLOOKUP(A162,'3.土方回填'!C:D,1,0),"")="","","✔")</f>
        <v/>
      </c>
      <c r="E162" s="98" t="str">
        <f>IF(IFERROR(VLOOKUP(A162,'4.鋼筋'!C:D,1,0),"")="","","✔")</f>
        <v/>
      </c>
      <c r="F162" s="98" t="str">
        <f>IF(IFERROR(VLOOKUP(A162,'5.模板'!C:D,1,0),"")="","","✔")</f>
        <v/>
      </c>
      <c r="G162" s="98" t="str">
        <f>IF(IFERROR(VLOOKUP(A162,'6.混凝土'!C:D,1,0),"")="","","✔")</f>
        <v/>
      </c>
      <c r="H162" s="98" t="str">
        <f>IF(IFERROR(VLOOKUP(A162,'7.植筋'!C:D,1,0),"")="","","✔")</f>
        <v/>
      </c>
      <c r="I162" s="98" t="str">
        <f>IF(IFERROR(VLOOKUP(A162,'8.預力混凝土基樁'!C:D,1,0),"")="","","✔")</f>
        <v/>
      </c>
      <c r="J162" s="98" t="str">
        <f>IF(IFERROR(VLOOKUP(A162,'9.砌塊石護岸'!C:D,1,0),"")="","","✔")</f>
        <v/>
      </c>
      <c r="K162" s="98" t="str">
        <f>IF(IFERROR(VLOOKUP(A162,'10.低水護岸'!C:D,1,0),"")="","","✔")</f>
        <v/>
      </c>
      <c r="L162" s="98" t="str">
        <f>IF(IFERROR(VLOOKUP(A162,'11.固床工'!C:D,1,0),"")="","","✔")</f>
        <v/>
      </c>
      <c r="M162" s="98" t="str">
        <f>IF(IFERROR(VLOOKUP(A162,'12.全套管基樁'!C:D,1,0),"")="","","✔")</f>
        <v/>
      </c>
      <c r="N162" s="98" t="str">
        <f>IF(IFERROR(VLOOKUP(A162,'13.鋼筋混凝土管工程'!C:D,1,0),"")="","","✔")</f>
        <v/>
      </c>
      <c r="O162" s="98" t="str">
        <f>IF(IFERROR(VLOOKUP(A162,'14.鋼版樁'!C:D,1,0),"")="","","✔")</f>
        <v/>
      </c>
      <c r="P162" s="98" t="str">
        <f>IF(IFERROR(VLOOKUP(A162,'15.路床 路基高程'!C:D,1,0),"")="","","✔")</f>
        <v/>
      </c>
      <c r="Q162" s="98" t="str">
        <f>IF(IFERROR(VLOOKUP(A162,'16.瀝青混凝土'!C:D,1,0),"")="","","✔")</f>
        <v/>
      </c>
      <c r="R162" s="98" t="str">
        <f>IF(IFERROR(VLOOKUP(A162,'17.景觀鋪面(一)'!C:D,1,0),"")="","","✔")</f>
        <v/>
      </c>
      <c r="S162" s="98" t="str">
        <f>IF(IFERROR(VLOOKUP(A162,'18.景觀鋪面(二)'!C:D,1,0),"")="","","✔")</f>
        <v/>
      </c>
      <c r="T162" s="98" t="str">
        <f>IF(IFERROR(VLOOKUP(A162,'19.預鑄緣石'!C:D,1,0),"")="","","✔")</f>
        <v/>
      </c>
      <c r="U162" s="98" t="str">
        <f>IF(IFERROR(VLOOKUP(A162,'20.鋼構工程吊裝'!C:D,1,0),"")="","","✔")</f>
        <v/>
      </c>
      <c r="V162" s="98" t="str">
        <f>IF(IFERROR(VLOOKUP(A162,'21.鋼構工程塗裝'!C:D,1,0),"")="","","✔")</f>
        <v/>
      </c>
      <c r="W162" s="98" t="str">
        <f>IF(IFERROR(VLOOKUP(A162,'22.排水設施(一)'!C:D,1,0),"")="","","✔")</f>
        <v/>
      </c>
      <c r="X162" s="98" t="str">
        <f>IF(IFERROR(VLOOKUP(A162,'23.排水設施(二)'!C:D,1,0),"")="","","✔")</f>
        <v/>
      </c>
      <c r="Y162" s="98" t="str">
        <f>IF(IFERROR(VLOOKUP(A162,'24.木構造'!C:D,1,0),"")="","","✔")</f>
        <v/>
      </c>
      <c r="Z162" s="98" t="str">
        <f>IF(IFERROR(VLOOKUP(A162,'25.管路'!C:D,1,0),"")="","","✔")</f>
        <v/>
      </c>
      <c r="AA162" s="98" t="str">
        <f>IF(IFERROR(VLOOKUP(A162,'26.植栽(移植)'!C:D,1,0),"")="","","✔")</f>
        <v/>
      </c>
      <c r="AB162" s="98" t="str">
        <f>IF(IFERROR(VLOOKUP(A162,'27.植栽(新植)'!C:D,1,0),"")="","","✔")</f>
        <v/>
      </c>
      <c r="AC162" s="98" t="str">
        <f>IF(IFERROR(VLOOKUP(A162,'28.照明'!C:D,1,0),"")="","","✔")</f>
        <v/>
      </c>
      <c r="AD162" s="98" t="str">
        <f>IF(IFERROR(VLOOKUP(A162,'29.既有橋梁拆除'!C:D,1,0),"")="","","✔")</f>
        <v/>
      </c>
    </row>
    <row r="163" spans="1:30" ht="21.75" customHeight="1" x14ac:dyDescent="0.25">
      <c r="A163" s="99">
        <v>45353</v>
      </c>
      <c r="B163" s="98" t="str">
        <f>IF(IFERROR(VLOOKUP(A163,'1.測量放樣'!C:D,1,0),"")="","","✔")</f>
        <v/>
      </c>
      <c r="C163" s="98" t="str">
        <f>IF(IFERROR(VLOOKUP(A163,'2.土方開挖'!C:D,1,0),"")="","","✔")</f>
        <v/>
      </c>
      <c r="D163" s="98" t="str">
        <f>IF(IFERROR(VLOOKUP(A163,'3.土方回填'!C:D,1,0),"")="","","✔")</f>
        <v/>
      </c>
      <c r="E163" s="98" t="str">
        <f>IF(IFERROR(VLOOKUP(A163,'4.鋼筋'!C:D,1,0),"")="","","✔")</f>
        <v/>
      </c>
      <c r="F163" s="98" t="str">
        <f>IF(IFERROR(VLOOKUP(A163,'5.模板'!C:D,1,0),"")="","","✔")</f>
        <v/>
      </c>
      <c r="G163" s="98" t="str">
        <f>IF(IFERROR(VLOOKUP(A163,'6.混凝土'!C:D,1,0),"")="","","✔")</f>
        <v/>
      </c>
      <c r="H163" s="98" t="str">
        <f>IF(IFERROR(VLOOKUP(A163,'7.植筋'!C:D,1,0),"")="","","✔")</f>
        <v/>
      </c>
      <c r="I163" s="98" t="str">
        <f>IF(IFERROR(VLOOKUP(A163,'8.預力混凝土基樁'!C:D,1,0),"")="","","✔")</f>
        <v/>
      </c>
      <c r="J163" s="98" t="str">
        <f>IF(IFERROR(VLOOKUP(A163,'9.砌塊石護岸'!C:D,1,0),"")="","","✔")</f>
        <v/>
      </c>
      <c r="K163" s="98" t="str">
        <f>IF(IFERROR(VLOOKUP(A163,'10.低水護岸'!C:D,1,0),"")="","","✔")</f>
        <v/>
      </c>
      <c r="L163" s="98" t="str">
        <f>IF(IFERROR(VLOOKUP(A163,'11.固床工'!C:D,1,0),"")="","","✔")</f>
        <v/>
      </c>
      <c r="M163" s="98" t="str">
        <f>IF(IFERROR(VLOOKUP(A163,'12.全套管基樁'!C:D,1,0),"")="","","✔")</f>
        <v/>
      </c>
      <c r="N163" s="98" t="str">
        <f>IF(IFERROR(VLOOKUP(A163,'13.鋼筋混凝土管工程'!C:D,1,0),"")="","","✔")</f>
        <v/>
      </c>
      <c r="O163" s="98" t="str">
        <f>IF(IFERROR(VLOOKUP(A163,'14.鋼版樁'!C:D,1,0),"")="","","✔")</f>
        <v/>
      </c>
      <c r="P163" s="98" t="str">
        <f>IF(IFERROR(VLOOKUP(A163,'15.路床 路基高程'!C:D,1,0),"")="","","✔")</f>
        <v/>
      </c>
      <c r="Q163" s="98" t="str">
        <f>IF(IFERROR(VLOOKUP(A163,'16.瀝青混凝土'!C:D,1,0),"")="","","✔")</f>
        <v/>
      </c>
      <c r="R163" s="98" t="str">
        <f>IF(IFERROR(VLOOKUP(A163,'17.景觀鋪面(一)'!C:D,1,0),"")="","","✔")</f>
        <v/>
      </c>
      <c r="S163" s="98" t="str">
        <f>IF(IFERROR(VLOOKUP(A163,'18.景觀鋪面(二)'!C:D,1,0),"")="","","✔")</f>
        <v/>
      </c>
      <c r="T163" s="98" t="str">
        <f>IF(IFERROR(VLOOKUP(A163,'19.預鑄緣石'!C:D,1,0),"")="","","✔")</f>
        <v/>
      </c>
      <c r="U163" s="98" t="str">
        <f>IF(IFERROR(VLOOKUP(A163,'20.鋼構工程吊裝'!C:D,1,0),"")="","","✔")</f>
        <v/>
      </c>
      <c r="V163" s="98" t="str">
        <f>IF(IFERROR(VLOOKUP(A163,'21.鋼構工程塗裝'!C:D,1,0),"")="","","✔")</f>
        <v/>
      </c>
      <c r="W163" s="98" t="str">
        <f>IF(IFERROR(VLOOKUP(A163,'22.排水設施(一)'!C:D,1,0),"")="","","✔")</f>
        <v/>
      </c>
      <c r="X163" s="98" t="str">
        <f>IF(IFERROR(VLOOKUP(A163,'23.排水設施(二)'!C:D,1,0),"")="","","✔")</f>
        <v/>
      </c>
      <c r="Y163" s="98" t="str">
        <f>IF(IFERROR(VLOOKUP(A163,'24.木構造'!C:D,1,0),"")="","","✔")</f>
        <v/>
      </c>
      <c r="Z163" s="98" t="str">
        <f>IF(IFERROR(VLOOKUP(A163,'25.管路'!C:D,1,0),"")="","","✔")</f>
        <v/>
      </c>
      <c r="AA163" s="98" t="str">
        <f>IF(IFERROR(VLOOKUP(A163,'26.植栽(移植)'!C:D,1,0),"")="","","✔")</f>
        <v/>
      </c>
      <c r="AB163" s="98" t="str">
        <f>IF(IFERROR(VLOOKUP(A163,'27.植栽(新植)'!C:D,1,0),"")="","","✔")</f>
        <v/>
      </c>
      <c r="AC163" s="98" t="str">
        <f>IF(IFERROR(VLOOKUP(A163,'28.照明'!C:D,1,0),"")="","","✔")</f>
        <v/>
      </c>
      <c r="AD163" s="98" t="str">
        <f>IF(IFERROR(VLOOKUP(A163,'29.既有橋梁拆除'!C:D,1,0),"")="","","✔")</f>
        <v/>
      </c>
    </row>
    <row r="164" spans="1:30" ht="21.75" customHeight="1" x14ac:dyDescent="0.25">
      <c r="A164" s="99">
        <v>45354</v>
      </c>
      <c r="B164" s="98" t="str">
        <f>IF(IFERROR(VLOOKUP(A164,'1.測量放樣'!C:D,1,0),"")="","","✔")</f>
        <v/>
      </c>
      <c r="C164" s="98" t="str">
        <f>IF(IFERROR(VLOOKUP(A164,'2.土方開挖'!C:D,1,0),"")="","","✔")</f>
        <v/>
      </c>
      <c r="D164" s="98" t="str">
        <f>IF(IFERROR(VLOOKUP(A164,'3.土方回填'!C:D,1,0),"")="","","✔")</f>
        <v/>
      </c>
      <c r="E164" s="98" t="str">
        <f>IF(IFERROR(VLOOKUP(A164,'4.鋼筋'!C:D,1,0),"")="","","✔")</f>
        <v/>
      </c>
      <c r="F164" s="98" t="str">
        <f>IF(IFERROR(VLOOKUP(A164,'5.模板'!C:D,1,0),"")="","","✔")</f>
        <v/>
      </c>
      <c r="G164" s="98" t="str">
        <f>IF(IFERROR(VLOOKUP(A164,'6.混凝土'!C:D,1,0),"")="","","✔")</f>
        <v/>
      </c>
      <c r="H164" s="98" t="str">
        <f>IF(IFERROR(VLOOKUP(A164,'7.植筋'!C:D,1,0),"")="","","✔")</f>
        <v/>
      </c>
      <c r="I164" s="98" t="str">
        <f>IF(IFERROR(VLOOKUP(A164,'8.預力混凝土基樁'!C:D,1,0),"")="","","✔")</f>
        <v/>
      </c>
      <c r="J164" s="98" t="str">
        <f>IF(IFERROR(VLOOKUP(A164,'9.砌塊石護岸'!C:D,1,0),"")="","","✔")</f>
        <v/>
      </c>
      <c r="K164" s="98" t="str">
        <f>IF(IFERROR(VLOOKUP(A164,'10.低水護岸'!C:D,1,0),"")="","","✔")</f>
        <v/>
      </c>
      <c r="L164" s="98" t="str">
        <f>IF(IFERROR(VLOOKUP(A164,'11.固床工'!C:D,1,0),"")="","","✔")</f>
        <v/>
      </c>
      <c r="M164" s="98" t="str">
        <f>IF(IFERROR(VLOOKUP(A164,'12.全套管基樁'!C:D,1,0),"")="","","✔")</f>
        <v/>
      </c>
      <c r="N164" s="98" t="str">
        <f>IF(IFERROR(VLOOKUP(A164,'13.鋼筋混凝土管工程'!C:D,1,0),"")="","","✔")</f>
        <v/>
      </c>
      <c r="O164" s="98" t="str">
        <f>IF(IFERROR(VLOOKUP(A164,'14.鋼版樁'!C:D,1,0),"")="","","✔")</f>
        <v/>
      </c>
      <c r="P164" s="98" t="str">
        <f>IF(IFERROR(VLOOKUP(A164,'15.路床 路基高程'!C:D,1,0),"")="","","✔")</f>
        <v/>
      </c>
      <c r="Q164" s="98" t="str">
        <f>IF(IFERROR(VLOOKUP(A164,'16.瀝青混凝土'!C:D,1,0),"")="","","✔")</f>
        <v/>
      </c>
      <c r="R164" s="98" t="str">
        <f>IF(IFERROR(VLOOKUP(A164,'17.景觀鋪面(一)'!C:D,1,0),"")="","","✔")</f>
        <v/>
      </c>
      <c r="S164" s="98" t="str">
        <f>IF(IFERROR(VLOOKUP(A164,'18.景觀鋪面(二)'!C:D,1,0),"")="","","✔")</f>
        <v/>
      </c>
      <c r="T164" s="98" t="str">
        <f>IF(IFERROR(VLOOKUP(A164,'19.預鑄緣石'!C:D,1,0),"")="","","✔")</f>
        <v/>
      </c>
      <c r="U164" s="98" t="str">
        <f>IF(IFERROR(VLOOKUP(A164,'20.鋼構工程吊裝'!C:D,1,0),"")="","","✔")</f>
        <v/>
      </c>
      <c r="V164" s="98" t="str">
        <f>IF(IFERROR(VLOOKUP(A164,'21.鋼構工程塗裝'!C:D,1,0),"")="","","✔")</f>
        <v/>
      </c>
      <c r="W164" s="98" t="str">
        <f>IF(IFERROR(VLOOKUP(A164,'22.排水設施(一)'!C:D,1,0),"")="","","✔")</f>
        <v/>
      </c>
      <c r="X164" s="98" t="str">
        <f>IF(IFERROR(VLOOKUP(A164,'23.排水設施(二)'!C:D,1,0),"")="","","✔")</f>
        <v/>
      </c>
      <c r="Y164" s="98" t="str">
        <f>IF(IFERROR(VLOOKUP(A164,'24.木構造'!C:D,1,0),"")="","","✔")</f>
        <v/>
      </c>
      <c r="Z164" s="98" t="str">
        <f>IF(IFERROR(VLOOKUP(A164,'25.管路'!C:D,1,0),"")="","","✔")</f>
        <v/>
      </c>
      <c r="AA164" s="98" t="str">
        <f>IF(IFERROR(VLOOKUP(A164,'26.植栽(移植)'!C:D,1,0),"")="","","✔")</f>
        <v/>
      </c>
      <c r="AB164" s="98" t="str">
        <f>IF(IFERROR(VLOOKUP(A164,'27.植栽(新植)'!C:D,1,0),"")="","","✔")</f>
        <v/>
      </c>
      <c r="AC164" s="98" t="str">
        <f>IF(IFERROR(VLOOKUP(A164,'28.照明'!C:D,1,0),"")="","","✔")</f>
        <v/>
      </c>
      <c r="AD164" s="98" t="str">
        <f>IF(IFERROR(VLOOKUP(A164,'29.既有橋梁拆除'!C:D,1,0),"")="","","✔")</f>
        <v/>
      </c>
    </row>
    <row r="165" spans="1:30" ht="21.75" customHeight="1" x14ac:dyDescent="0.25">
      <c r="A165" s="99">
        <v>45355</v>
      </c>
      <c r="B165" s="98" t="str">
        <f>IF(IFERROR(VLOOKUP(A165,'1.測量放樣'!C:D,1,0),"")="","","✔")</f>
        <v>✔</v>
      </c>
      <c r="C165" s="98" t="str">
        <f>IF(IFERROR(VLOOKUP(A165,'2.土方開挖'!C:D,1,0),"")="","","✔")</f>
        <v>✔</v>
      </c>
      <c r="D165" s="98" t="str">
        <f>IF(IFERROR(VLOOKUP(A165,'3.土方回填'!C:D,1,0),"")="","","✔")</f>
        <v/>
      </c>
      <c r="E165" s="98" t="str">
        <f>IF(IFERROR(VLOOKUP(A165,'4.鋼筋'!C:D,1,0),"")="","","✔")</f>
        <v/>
      </c>
      <c r="F165" s="98" t="str">
        <f>IF(IFERROR(VLOOKUP(A165,'5.模板'!C:D,1,0),"")="","","✔")</f>
        <v/>
      </c>
      <c r="G165" s="98" t="str">
        <f>IF(IFERROR(VLOOKUP(A165,'6.混凝土'!C:D,1,0),"")="","","✔")</f>
        <v/>
      </c>
      <c r="H165" s="98" t="str">
        <f>IF(IFERROR(VLOOKUP(A165,'7.植筋'!C:D,1,0),"")="","","✔")</f>
        <v/>
      </c>
      <c r="I165" s="98" t="str">
        <f>IF(IFERROR(VLOOKUP(A165,'8.預力混凝土基樁'!C:D,1,0),"")="","","✔")</f>
        <v/>
      </c>
      <c r="J165" s="98" t="str">
        <f>IF(IFERROR(VLOOKUP(A165,'9.砌塊石護岸'!C:D,1,0),"")="","","✔")</f>
        <v/>
      </c>
      <c r="K165" s="98" t="str">
        <f>IF(IFERROR(VLOOKUP(A165,'10.低水護岸'!C:D,1,0),"")="","","✔")</f>
        <v/>
      </c>
      <c r="L165" s="98" t="str">
        <f>IF(IFERROR(VLOOKUP(A165,'11.固床工'!C:D,1,0),"")="","","✔")</f>
        <v/>
      </c>
      <c r="M165" s="98" t="str">
        <f>IF(IFERROR(VLOOKUP(A165,'12.全套管基樁'!C:D,1,0),"")="","","✔")</f>
        <v/>
      </c>
      <c r="N165" s="98" t="str">
        <f>IF(IFERROR(VLOOKUP(A165,'13.鋼筋混凝土管工程'!C:D,1,0),"")="","","✔")</f>
        <v/>
      </c>
      <c r="O165" s="98" t="str">
        <f>IF(IFERROR(VLOOKUP(A165,'14.鋼版樁'!C:D,1,0),"")="","","✔")</f>
        <v/>
      </c>
      <c r="P165" s="98" t="str">
        <f>IF(IFERROR(VLOOKUP(A165,'15.路床 路基高程'!C:D,1,0),"")="","","✔")</f>
        <v/>
      </c>
      <c r="Q165" s="98" t="str">
        <f>IF(IFERROR(VLOOKUP(A165,'16.瀝青混凝土'!C:D,1,0),"")="","","✔")</f>
        <v/>
      </c>
      <c r="R165" s="98" t="str">
        <f>IF(IFERROR(VLOOKUP(A165,'17.景觀鋪面(一)'!C:D,1,0),"")="","","✔")</f>
        <v/>
      </c>
      <c r="S165" s="98" t="str">
        <f>IF(IFERROR(VLOOKUP(A165,'18.景觀鋪面(二)'!C:D,1,0),"")="","","✔")</f>
        <v/>
      </c>
      <c r="T165" s="98" t="str">
        <f>IF(IFERROR(VLOOKUP(A165,'19.預鑄緣石'!C:D,1,0),"")="","","✔")</f>
        <v/>
      </c>
      <c r="U165" s="98" t="str">
        <f>IF(IFERROR(VLOOKUP(A165,'20.鋼構工程吊裝'!C:D,1,0),"")="","","✔")</f>
        <v/>
      </c>
      <c r="V165" s="98" t="str">
        <f>IF(IFERROR(VLOOKUP(A165,'21.鋼構工程塗裝'!C:D,1,0),"")="","","✔")</f>
        <v/>
      </c>
      <c r="W165" s="98" t="str">
        <f>IF(IFERROR(VLOOKUP(A165,'22.排水設施(一)'!C:D,1,0),"")="","","✔")</f>
        <v/>
      </c>
      <c r="X165" s="98" t="str">
        <f>IF(IFERROR(VLOOKUP(A165,'23.排水設施(二)'!C:D,1,0),"")="","","✔")</f>
        <v/>
      </c>
      <c r="Y165" s="98" t="str">
        <f>IF(IFERROR(VLOOKUP(A165,'24.木構造'!C:D,1,0),"")="","","✔")</f>
        <v/>
      </c>
      <c r="Z165" s="98" t="str">
        <f>IF(IFERROR(VLOOKUP(A165,'25.管路'!C:D,1,0),"")="","","✔")</f>
        <v/>
      </c>
      <c r="AA165" s="98" t="str">
        <f>IF(IFERROR(VLOOKUP(A165,'26.植栽(移植)'!C:D,1,0),"")="","","✔")</f>
        <v/>
      </c>
      <c r="AB165" s="98" t="str">
        <f>IF(IFERROR(VLOOKUP(A165,'27.植栽(新植)'!C:D,1,0),"")="","","✔")</f>
        <v/>
      </c>
      <c r="AC165" s="98" t="str">
        <f>IF(IFERROR(VLOOKUP(A165,'28.照明'!C:D,1,0),"")="","","✔")</f>
        <v/>
      </c>
      <c r="AD165" s="98" t="str">
        <f>IF(IFERROR(VLOOKUP(A165,'29.既有橋梁拆除'!C:D,1,0),"")="","","✔")</f>
        <v/>
      </c>
    </row>
    <row r="166" spans="1:30" ht="21.75" customHeight="1" x14ac:dyDescent="0.25">
      <c r="A166" s="99">
        <v>45356</v>
      </c>
      <c r="B166" s="98" t="str">
        <f>IF(IFERROR(VLOOKUP(A166,'1.測量放樣'!C:D,1,0),"")="","","✔")</f>
        <v/>
      </c>
      <c r="C166" s="98" t="str">
        <f>IF(IFERROR(VLOOKUP(A166,'2.土方開挖'!C:D,1,0),"")="","","✔")</f>
        <v/>
      </c>
      <c r="D166" s="98" t="str">
        <f>IF(IFERROR(VLOOKUP(A166,'3.土方回填'!C:D,1,0),"")="","","✔")</f>
        <v/>
      </c>
      <c r="E166" s="98" t="str">
        <f>IF(IFERROR(VLOOKUP(A166,'4.鋼筋'!C:D,1,0),"")="","","✔")</f>
        <v/>
      </c>
      <c r="F166" s="98" t="str">
        <f>IF(IFERROR(VLOOKUP(A166,'5.模板'!C:D,1,0),"")="","","✔")</f>
        <v/>
      </c>
      <c r="G166" s="98" t="str">
        <f>IF(IFERROR(VLOOKUP(A166,'6.混凝土'!C:D,1,0),"")="","","✔")</f>
        <v>✔</v>
      </c>
      <c r="H166" s="98" t="str">
        <f>IF(IFERROR(VLOOKUP(A166,'7.植筋'!C:D,1,0),"")="","","✔")</f>
        <v/>
      </c>
      <c r="I166" s="98" t="str">
        <f>IF(IFERROR(VLOOKUP(A166,'8.預力混凝土基樁'!C:D,1,0),"")="","","✔")</f>
        <v/>
      </c>
      <c r="J166" s="98" t="str">
        <f>IF(IFERROR(VLOOKUP(A166,'9.砌塊石護岸'!C:D,1,0),"")="","","✔")</f>
        <v/>
      </c>
      <c r="K166" s="98" t="str">
        <f>IF(IFERROR(VLOOKUP(A166,'10.低水護岸'!C:D,1,0),"")="","","✔")</f>
        <v/>
      </c>
      <c r="L166" s="98" t="str">
        <f>IF(IFERROR(VLOOKUP(A166,'11.固床工'!C:D,1,0),"")="","","✔")</f>
        <v/>
      </c>
      <c r="M166" s="98" t="str">
        <f>IF(IFERROR(VLOOKUP(A166,'12.全套管基樁'!C:D,1,0),"")="","","✔")</f>
        <v/>
      </c>
      <c r="N166" s="98" t="str">
        <f>IF(IFERROR(VLOOKUP(A166,'13.鋼筋混凝土管工程'!C:D,1,0),"")="","","✔")</f>
        <v/>
      </c>
      <c r="O166" s="98" t="str">
        <f>IF(IFERROR(VLOOKUP(A166,'14.鋼版樁'!C:D,1,0),"")="","","✔")</f>
        <v/>
      </c>
      <c r="P166" s="98" t="str">
        <f>IF(IFERROR(VLOOKUP(A166,'15.路床 路基高程'!C:D,1,0),"")="","","✔")</f>
        <v/>
      </c>
      <c r="Q166" s="98" t="str">
        <f>IF(IFERROR(VLOOKUP(A166,'16.瀝青混凝土'!C:D,1,0),"")="","","✔")</f>
        <v/>
      </c>
      <c r="R166" s="98" t="str">
        <f>IF(IFERROR(VLOOKUP(A166,'17.景觀鋪面(一)'!C:D,1,0),"")="","","✔")</f>
        <v/>
      </c>
      <c r="S166" s="98" t="str">
        <f>IF(IFERROR(VLOOKUP(A166,'18.景觀鋪面(二)'!C:D,1,0),"")="","","✔")</f>
        <v/>
      </c>
      <c r="T166" s="98" t="str">
        <f>IF(IFERROR(VLOOKUP(A166,'19.預鑄緣石'!C:D,1,0),"")="","","✔")</f>
        <v/>
      </c>
      <c r="U166" s="98" t="str">
        <f>IF(IFERROR(VLOOKUP(A166,'20.鋼構工程吊裝'!C:D,1,0),"")="","","✔")</f>
        <v/>
      </c>
      <c r="V166" s="98" t="str">
        <f>IF(IFERROR(VLOOKUP(A166,'21.鋼構工程塗裝'!C:D,1,0),"")="","","✔")</f>
        <v/>
      </c>
      <c r="W166" s="98" t="str">
        <f>IF(IFERROR(VLOOKUP(A166,'22.排水設施(一)'!C:D,1,0),"")="","","✔")</f>
        <v/>
      </c>
      <c r="X166" s="98" t="str">
        <f>IF(IFERROR(VLOOKUP(A166,'23.排水設施(二)'!C:D,1,0),"")="","","✔")</f>
        <v/>
      </c>
      <c r="Y166" s="98" t="str">
        <f>IF(IFERROR(VLOOKUP(A166,'24.木構造'!C:D,1,0),"")="","","✔")</f>
        <v/>
      </c>
      <c r="Z166" s="98" t="str">
        <f>IF(IFERROR(VLOOKUP(A166,'25.管路'!C:D,1,0),"")="","","✔")</f>
        <v/>
      </c>
      <c r="AA166" s="98" t="str">
        <f>IF(IFERROR(VLOOKUP(A166,'26.植栽(移植)'!C:D,1,0),"")="","","✔")</f>
        <v/>
      </c>
      <c r="AB166" s="98" t="str">
        <f>IF(IFERROR(VLOOKUP(A166,'27.植栽(新植)'!C:D,1,0),"")="","","✔")</f>
        <v/>
      </c>
      <c r="AC166" s="98" t="str">
        <f>IF(IFERROR(VLOOKUP(A166,'28.照明'!C:D,1,0),"")="","","✔")</f>
        <v/>
      </c>
      <c r="AD166" s="98" t="str">
        <f>IF(IFERROR(VLOOKUP(A166,'29.既有橋梁拆除'!C:D,1,0),"")="","","✔")</f>
        <v>✔</v>
      </c>
    </row>
    <row r="167" spans="1:30" ht="21.75" customHeight="1" x14ac:dyDescent="0.25">
      <c r="A167" s="99">
        <v>45357</v>
      </c>
      <c r="B167" s="98" t="str">
        <f>IF(IFERROR(VLOOKUP(A167,'1.測量放樣'!C:D,1,0),"")="","","✔")</f>
        <v/>
      </c>
      <c r="C167" s="98" t="str">
        <f>IF(IFERROR(VLOOKUP(A167,'2.土方開挖'!C:D,1,0),"")="","","✔")</f>
        <v/>
      </c>
      <c r="D167" s="98" t="str">
        <f>IF(IFERROR(VLOOKUP(A167,'3.土方回填'!C:D,1,0),"")="","","✔")</f>
        <v/>
      </c>
      <c r="E167" s="98" t="str">
        <f>IF(IFERROR(VLOOKUP(A167,'4.鋼筋'!C:D,1,0),"")="","","✔")</f>
        <v>✔</v>
      </c>
      <c r="F167" s="98" t="str">
        <f>IF(IFERROR(VLOOKUP(A167,'5.模板'!C:D,1,0),"")="","","✔")</f>
        <v/>
      </c>
      <c r="G167" s="98" t="str">
        <f>IF(IFERROR(VLOOKUP(A167,'6.混凝土'!C:D,1,0),"")="","","✔")</f>
        <v/>
      </c>
      <c r="H167" s="98" t="str">
        <f>IF(IFERROR(VLOOKUP(A167,'7.植筋'!C:D,1,0),"")="","","✔")</f>
        <v/>
      </c>
      <c r="I167" s="98" t="str">
        <f>IF(IFERROR(VLOOKUP(A167,'8.預力混凝土基樁'!C:D,1,0),"")="","","✔")</f>
        <v/>
      </c>
      <c r="J167" s="98" t="str">
        <f>IF(IFERROR(VLOOKUP(A167,'9.砌塊石護岸'!C:D,1,0),"")="","","✔")</f>
        <v/>
      </c>
      <c r="K167" s="98" t="str">
        <f>IF(IFERROR(VLOOKUP(A167,'10.低水護岸'!C:D,1,0),"")="","","✔")</f>
        <v/>
      </c>
      <c r="L167" s="98" t="str">
        <f>IF(IFERROR(VLOOKUP(A167,'11.固床工'!C:D,1,0),"")="","","✔")</f>
        <v/>
      </c>
      <c r="M167" s="98" t="str">
        <f>IF(IFERROR(VLOOKUP(A167,'12.全套管基樁'!C:D,1,0),"")="","","✔")</f>
        <v/>
      </c>
      <c r="N167" s="98" t="str">
        <f>IF(IFERROR(VLOOKUP(A167,'13.鋼筋混凝土管工程'!C:D,1,0),"")="","","✔")</f>
        <v/>
      </c>
      <c r="O167" s="98" t="str">
        <f>IF(IFERROR(VLOOKUP(A167,'14.鋼版樁'!C:D,1,0),"")="","","✔")</f>
        <v/>
      </c>
      <c r="P167" s="98" t="str">
        <f>IF(IFERROR(VLOOKUP(A167,'15.路床 路基高程'!C:D,1,0),"")="","","✔")</f>
        <v/>
      </c>
      <c r="Q167" s="98" t="str">
        <f>IF(IFERROR(VLOOKUP(A167,'16.瀝青混凝土'!C:D,1,0),"")="","","✔")</f>
        <v/>
      </c>
      <c r="R167" s="98" t="str">
        <f>IF(IFERROR(VLOOKUP(A167,'17.景觀鋪面(一)'!C:D,1,0),"")="","","✔")</f>
        <v/>
      </c>
      <c r="S167" s="98" t="str">
        <f>IF(IFERROR(VLOOKUP(A167,'18.景觀鋪面(二)'!C:D,1,0),"")="","","✔")</f>
        <v/>
      </c>
      <c r="T167" s="98" t="str">
        <f>IF(IFERROR(VLOOKUP(A167,'19.預鑄緣石'!C:D,1,0),"")="","","✔")</f>
        <v/>
      </c>
      <c r="U167" s="98" t="str">
        <f>IF(IFERROR(VLOOKUP(A167,'20.鋼構工程吊裝'!C:D,1,0),"")="","","✔")</f>
        <v/>
      </c>
      <c r="V167" s="98" t="str">
        <f>IF(IFERROR(VLOOKUP(A167,'21.鋼構工程塗裝'!C:D,1,0),"")="","","✔")</f>
        <v/>
      </c>
      <c r="W167" s="98" t="str">
        <f>IF(IFERROR(VLOOKUP(A167,'22.排水設施(一)'!C:D,1,0),"")="","","✔")</f>
        <v/>
      </c>
      <c r="X167" s="98" t="str">
        <f>IF(IFERROR(VLOOKUP(A167,'23.排水設施(二)'!C:D,1,0),"")="","","✔")</f>
        <v/>
      </c>
      <c r="Y167" s="98" t="str">
        <f>IF(IFERROR(VLOOKUP(A167,'24.木構造'!C:D,1,0),"")="","","✔")</f>
        <v/>
      </c>
      <c r="Z167" s="98" t="str">
        <f>IF(IFERROR(VLOOKUP(A167,'25.管路'!C:D,1,0),"")="","","✔")</f>
        <v/>
      </c>
      <c r="AA167" s="98" t="str">
        <f>IF(IFERROR(VLOOKUP(A167,'26.植栽(移植)'!C:D,1,0),"")="","","✔")</f>
        <v/>
      </c>
      <c r="AB167" s="98" t="str">
        <f>IF(IFERROR(VLOOKUP(A167,'27.植栽(新植)'!C:D,1,0),"")="","","✔")</f>
        <v/>
      </c>
      <c r="AC167" s="98" t="str">
        <f>IF(IFERROR(VLOOKUP(A167,'28.照明'!C:D,1,0),"")="","","✔")</f>
        <v/>
      </c>
      <c r="AD167" s="98" t="str">
        <f>IF(IFERROR(VLOOKUP(A167,'29.既有橋梁拆除'!C:D,1,0),"")="","","✔")</f>
        <v/>
      </c>
    </row>
    <row r="168" spans="1:30" ht="21.75" customHeight="1" x14ac:dyDescent="0.25">
      <c r="A168" s="99">
        <v>45358</v>
      </c>
      <c r="B168" s="98" t="str">
        <f>IF(IFERROR(VLOOKUP(A168,'1.測量放樣'!C:D,1,0),"")="","","✔")</f>
        <v/>
      </c>
      <c r="C168" s="98" t="str">
        <f>IF(IFERROR(VLOOKUP(A168,'2.土方開挖'!C:D,1,0),"")="","","✔")</f>
        <v/>
      </c>
      <c r="D168" s="98" t="str">
        <f>IF(IFERROR(VLOOKUP(A168,'3.土方回填'!C:D,1,0),"")="","","✔")</f>
        <v/>
      </c>
      <c r="E168" s="98" t="str">
        <f>IF(IFERROR(VLOOKUP(A168,'4.鋼筋'!C:D,1,0),"")="","","✔")</f>
        <v/>
      </c>
      <c r="F168" s="98" t="str">
        <f>IF(IFERROR(VLOOKUP(A168,'5.模板'!C:D,1,0),"")="","","✔")</f>
        <v>✔</v>
      </c>
      <c r="G168" s="98" t="str">
        <f>IF(IFERROR(VLOOKUP(A168,'6.混凝土'!C:D,1,0),"")="","","✔")</f>
        <v>✔</v>
      </c>
      <c r="H168" s="98" t="str">
        <f>IF(IFERROR(VLOOKUP(A168,'7.植筋'!C:D,1,0),"")="","","✔")</f>
        <v/>
      </c>
      <c r="I168" s="98" t="str">
        <f>IF(IFERROR(VLOOKUP(A168,'8.預力混凝土基樁'!C:D,1,0),"")="","","✔")</f>
        <v/>
      </c>
      <c r="J168" s="98" t="str">
        <f>IF(IFERROR(VLOOKUP(A168,'9.砌塊石護岸'!C:D,1,0),"")="","","✔")</f>
        <v/>
      </c>
      <c r="K168" s="98" t="str">
        <f>IF(IFERROR(VLOOKUP(A168,'10.低水護岸'!C:D,1,0),"")="","","✔")</f>
        <v/>
      </c>
      <c r="L168" s="98" t="str">
        <f>IF(IFERROR(VLOOKUP(A168,'11.固床工'!C:D,1,0),"")="","","✔")</f>
        <v/>
      </c>
      <c r="M168" s="98" t="str">
        <f>IF(IFERROR(VLOOKUP(A168,'12.全套管基樁'!C:D,1,0),"")="","","✔")</f>
        <v/>
      </c>
      <c r="N168" s="98" t="str">
        <f>IF(IFERROR(VLOOKUP(A168,'13.鋼筋混凝土管工程'!C:D,1,0),"")="","","✔")</f>
        <v/>
      </c>
      <c r="O168" s="98" t="str">
        <f>IF(IFERROR(VLOOKUP(A168,'14.鋼版樁'!C:D,1,0),"")="","","✔")</f>
        <v/>
      </c>
      <c r="P168" s="98" t="str">
        <f>IF(IFERROR(VLOOKUP(A168,'15.路床 路基高程'!C:D,1,0),"")="","","✔")</f>
        <v/>
      </c>
      <c r="Q168" s="98" t="str">
        <f>IF(IFERROR(VLOOKUP(A168,'16.瀝青混凝土'!C:D,1,0),"")="","","✔")</f>
        <v/>
      </c>
      <c r="R168" s="98" t="str">
        <f>IF(IFERROR(VLOOKUP(A168,'17.景觀鋪面(一)'!C:D,1,0),"")="","","✔")</f>
        <v/>
      </c>
      <c r="S168" s="98" t="str">
        <f>IF(IFERROR(VLOOKUP(A168,'18.景觀鋪面(二)'!C:D,1,0),"")="","","✔")</f>
        <v/>
      </c>
      <c r="T168" s="98" t="str">
        <f>IF(IFERROR(VLOOKUP(A168,'19.預鑄緣石'!C:D,1,0),"")="","","✔")</f>
        <v/>
      </c>
      <c r="U168" s="98" t="str">
        <f>IF(IFERROR(VLOOKUP(A168,'20.鋼構工程吊裝'!C:D,1,0),"")="","","✔")</f>
        <v/>
      </c>
      <c r="V168" s="98" t="str">
        <f>IF(IFERROR(VLOOKUP(A168,'21.鋼構工程塗裝'!C:D,1,0),"")="","","✔")</f>
        <v/>
      </c>
      <c r="W168" s="98" t="str">
        <f>IF(IFERROR(VLOOKUP(A168,'22.排水設施(一)'!C:D,1,0),"")="","","✔")</f>
        <v/>
      </c>
      <c r="X168" s="98" t="str">
        <f>IF(IFERROR(VLOOKUP(A168,'23.排水設施(二)'!C:D,1,0),"")="","","✔")</f>
        <v/>
      </c>
      <c r="Y168" s="98" t="str">
        <f>IF(IFERROR(VLOOKUP(A168,'24.木構造'!C:D,1,0),"")="","","✔")</f>
        <v/>
      </c>
      <c r="Z168" s="98" t="str">
        <f>IF(IFERROR(VLOOKUP(A168,'25.管路'!C:D,1,0),"")="","","✔")</f>
        <v/>
      </c>
      <c r="AA168" s="98" t="str">
        <f>IF(IFERROR(VLOOKUP(A168,'26.植栽(移植)'!C:D,1,0),"")="","","✔")</f>
        <v/>
      </c>
      <c r="AB168" s="98" t="str">
        <f>IF(IFERROR(VLOOKUP(A168,'27.植栽(新植)'!C:D,1,0),"")="","","✔")</f>
        <v/>
      </c>
      <c r="AC168" s="98" t="str">
        <f>IF(IFERROR(VLOOKUP(A168,'28.照明'!C:D,1,0),"")="","","✔")</f>
        <v/>
      </c>
      <c r="AD168" s="98" t="str">
        <f>IF(IFERROR(VLOOKUP(A168,'29.既有橋梁拆除'!C:D,1,0),"")="","","✔")</f>
        <v/>
      </c>
    </row>
    <row r="169" spans="1:30" ht="21.75" customHeight="1" x14ac:dyDescent="0.25">
      <c r="A169" s="99">
        <v>45359</v>
      </c>
      <c r="B169" s="98" t="str">
        <f>IF(IFERROR(VLOOKUP(A169,'1.測量放樣'!C:D,1,0),"")="","","✔")</f>
        <v/>
      </c>
      <c r="C169" s="98" t="str">
        <f>IF(IFERROR(VLOOKUP(A169,'2.土方開挖'!C:D,1,0),"")="","","✔")</f>
        <v/>
      </c>
      <c r="D169" s="98" t="str">
        <f>IF(IFERROR(VLOOKUP(A169,'3.土方回填'!C:D,1,0),"")="","","✔")</f>
        <v/>
      </c>
      <c r="E169" s="98" t="str">
        <f>IF(IFERROR(VLOOKUP(A169,'4.鋼筋'!C:D,1,0),"")="","","✔")</f>
        <v/>
      </c>
      <c r="F169" s="98" t="str">
        <f>IF(IFERROR(VLOOKUP(A169,'5.模板'!C:D,1,0),"")="","","✔")</f>
        <v/>
      </c>
      <c r="G169" s="98" t="str">
        <f>IF(IFERROR(VLOOKUP(A169,'6.混凝土'!C:D,1,0),"")="","","✔")</f>
        <v/>
      </c>
      <c r="H169" s="98" t="str">
        <f>IF(IFERROR(VLOOKUP(A169,'7.植筋'!C:D,1,0),"")="","","✔")</f>
        <v/>
      </c>
      <c r="I169" s="98" t="str">
        <f>IF(IFERROR(VLOOKUP(A169,'8.預力混凝土基樁'!C:D,1,0),"")="","","✔")</f>
        <v/>
      </c>
      <c r="J169" s="98" t="str">
        <f>IF(IFERROR(VLOOKUP(A169,'9.砌塊石護岸'!C:D,1,0),"")="","","✔")</f>
        <v/>
      </c>
      <c r="K169" s="98" t="str">
        <f>IF(IFERROR(VLOOKUP(A169,'10.低水護岸'!C:D,1,0),"")="","","✔")</f>
        <v/>
      </c>
      <c r="L169" s="98" t="str">
        <f>IF(IFERROR(VLOOKUP(A169,'11.固床工'!C:D,1,0),"")="","","✔")</f>
        <v/>
      </c>
      <c r="M169" s="98" t="str">
        <f>IF(IFERROR(VLOOKUP(A169,'12.全套管基樁'!C:D,1,0),"")="","","✔")</f>
        <v/>
      </c>
      <c r="N169" s="98" t="str">
        <f>IF(IFERROR(VLOOKUP(A169,'13.鋼筋混凝土管工程'!C:D,1,0),"")="","","✔")</f>
        <v/>
      </c>
      <c r="O169" s="98" t="str">
        <f>IF(IFERROR(VLOOKUP(A169,'14.鋼版樁'!C:D,1,0),"")="","","✔")</f>
        <v/>
      </c>
      <c r="P169" s="98" t="str">
        <f>IF(IFERROR(VLOOKUP(A169,'15.路床 路基高程'!C:D,1,0),"")="","","✔")</f>
        <v/>
      </c>
      <c r="Q169" s="98" t="str">
        <f>IF(IFERROR(VLOOKUP(A169,'16.瀝青混凝土'!C:D,1,0),"")="","","✔")</f>
        <v/>
      </c>
      <c r="R169" s="98" t="str">
        <f>IF(IFERROR(VLOOKUP(A169,'17.景觀鋪面(一)'!C:D,1,0),"")="","","✔")</f>
        <v/>
      </c>
      <c r="S169" s="98" t="str">
        <f>IF(IFERROR(VLOOKUP(A169,'18.景觀鋪面(二)'!C:D,1,0),"")="","","✔")</f>
        <v/>
      </c>
      <c r="T169" s="98" t="str">
        <f>IF(IFERROR(VLOOKUP(A169,'19.預鑄緣石'!C:D,1,0),"")="","","✔")</f>
        <v/>
      </c>
      <c r="U169" s="98" t="str">
        <f>IF(IFERROR(VLOOKUP(A169,'20.鋼構工程吊裝'!C:D,1,0),"")="","","✔")</f>
        <v/>
      </c>
      <c r="V169" s="98" t="str">
        <f>IF(IFERROR(VLOOKUP(A169,'21.鋼構工程塗裝'!C:D,1,0),"")="","","✔")</f>
        <v/>
      </c>
      <c r="W169" s="98" t="str">
        <f>IF(IFERROR(VLOOKUP(A169,'22.排水設施(一)'!C:D,1,0),"")="","","✔")</f>
        <v/>
      </c>
      <c r="X169" s="98" t="str">
        <f>IF(IFERROR(VLOOKUP(A169,'23.排水設施(二)'!C:D,1,0),"")="","","✔")</f>
        <v/>
      </c>
      <c r="Y169" s="98" t="str">
        <f>IF(IFERROR(VLOOKUP(A169,'24.木構造'!C:D,1,0),"")="","","✔")</f>
        <v/>
      </c>
      <c r="Z169" s="98" t="str">
        <f>IF(IFERROR(VLOOKUP(A169,'25.管路'!C:D,1,0),"")="","","✔")</f>
        <v/>
      </c>
      <c r="AA169" s="98" t="str">
        <f>IF(IFERROR(VLOOKUP(A169,'26.植栽(移植)'!C:D,1,0),"")="","","✔")</f>
        <v/>
      </c>
      <c r="AB169" s="98" t="str">
        <f>IF(IFERROR(VLOOKUP(A169,'27.植栽(新植)'!C:D,1,0),"")="","","✔")</f>
        <v/>
      </c>
      <c r="AC169" s="98" t="str">
        <f>IF(IFERROR(VLOOKUP(A169,'28.照明'!C:D,1,0),"")="","","✔")</f>
        <v/>
      </c>
      <c r="AD169" s="98" t="str">
        <f>IF(IFERROR(VLOOKUP(A169,'29.既有橋梁拆除'!C:D,1,0),"")="","","✔")</f>
        <v/>
      </c>
    </row>
    <row r="170" spans="1:30" ht="21.75" customHeight="1" x14ac:dyDescent="0.25">
      <c r="A170" s="99">
        <v>45360</v>
      </c>
      <c r="B170" s="98" t="str">
        <f>IF(IFERROR(VLOOKUP(A170,'1.測量放樣'!C:D,1,0),"")="","","✔")</f>
        <v/>
      </c>
      <c r="C170" s="98" t="str">
        <f>IF(IFERROR(VLOOKUP(A170,'2.土方開挖'!C:D,1,0),"")="","","✔")</f>
        <v/>
      </c>
      <c r="D170" s="98" t="str">
        <f>IF(IFERROR(VLOOKUP(A170,'3.土方回填'!C:D,1,0),"")="","","✔")</f>
        <v/>
      </c>
      <c r="E170" s="98" t="str">
        <f>IF(IFERROR(VLOOKUP(A170,'4.鋼筋'!C:D,1,0),"")="","","✔")</f>
        <v/>
      </c>
      <c r="F170" s="98" t="str">
        <f>IF(IFERROR(VLOOKUP(A170,'5.模板'!C:D,1,0),"")="","","✔")</f>
        <v/>
      </c>
      <c r="G170" s="98" t="str">
        <f>IF(IFERROR(VLOOKUP(A170,'6.混凝土'!C:D,1,0),"")="","","✔")</f>
        <v/>
      </c>
      <c r="H170" s="98" t="str">
        <f>IF(IFERROR(VLOOKUP(A170,'7.植筋'!C:D,1,0),"")="","","✔")</f>
        <v/>
      </c>
      <c r="I170" s="98" t="str">
        <f>IF(IFERROR(VLOOKUP(A170,'8.預力混凝土基樁'!C:D,1,0),"")="","","✔")</f>
        <v/>
      </c>
      <c r="J170" s="98" t="str">
        <f>IF(IFERROR(VLOOKUP(A170,'9.砌塊石護岸'!C:D,1,0),"")="","","✔")</f>
        <v/>
      </c>
      <c r="K170" s="98" t="str">
        <f>IF(IFERROR(VLOOKUP(A170,'10.低水護岸'!C:D,1,0),"")="","","✔")</f>
        <v/>
      </c>
      <c r="L170" s="98" t="str">
        <f>IF(IFERROR(VLOOKUP(A170,'11.固床工'!C:D,1,0),"")="","","✔")</f>
        <v/>
      </c>
      <c r="M170" s="98" t="str">
        <f>IF(IFERROR(VLOOKUP(A170,'12.全套管基樁'!C:D,1,0),"")="","","✔")</f>
        <v/>
      </c>
      <c r="N170" s="98" t="str">
        <f>IF(IFERROR(VLOOKUP(A170,'13.鋼筋混凝土管工程'!C:D,1,0),"")="","","✔")</f>
        <v/>
      </c>
      <c r="O170" s="98" t="str">
        <f>IF(IFERROR(VLOOKUP(A170,'14.鋼版樁'!C:D,1,0),"")="","","✔")</f>
        <v/>
      </c>
      <c r="P170" s="98" t="str">
        <f>IF(IFERROR(VLOOKUP(A170,'15.路床 路基高程'!C:D,1,0),"")="","","✔")</f>
        <v/>
      </c>
      <c r="Q170" s="98" t="str">
        <f>IF(IFERROR(VLOOKUP(A170,'16.瀝青混凝土'!C:D,1,0),"")="","","✔")</f>
        <v/>
      </c>
      <c r="R170" s="98" t="str">
        <f>IF(IFERROR(VLOOKUP(A170,'17.景觀鋪面(一)'!C:D,1,0),"")="","","✔")</f>
        <v/>
      </c>
      <c r="S170" s="98" t="str">
        <f>IF(IFERROR(VLOOKUP(A170,'18.景觀鋪面(二)'!C:D,1,0),"")="","","✔")</f>
        <v/>
      </c>
      <c r="T170" s="98" t="str">
        <f>IF(IFERROR(VLOOKUP(A170,'19.預鑄緣石'!C:D,1,0),"")="","","✔")</f>
        <v/>
      </c>
      <c r="U170" s="98" t="str">
        <f>IF(IFERROR(VLOOKUP(A170,'20.鋼構工程吊裝'!C:D,1,0),"")="","","✔")</f>
        <v/>
      </c>
      <c r="V170" s="98" t="str">
        <f>IF(IFERROR(VLOOKUP(A170,'21.鋼構工程塗裝'!C:D,1,0),"")="","","✔")</f>
        <v/>
      </c>
      <c r="W170" s="98" t="str">
        <f>IF(IFERROR(VLOOKUP(A170,'22.排水設施(一)'!C:D,1,0),"")="","","✔")</f>
        <v/>
      </c>
      <c r="X170" s="98" t="str">
        <f>IF(IFERROR(VLOOKUP(A170,'23.排水設施(二)'!C:D,1,0),"")="","","✔")</f>
        <v/>
      </c>
      <c r="Y170" s="98" t="str">
        <f>IF(IFERROR(VLOOKUP(A170,'24.木構造'!C:D,1,0),"")="","","✔")</f>
        <v/>
      </c>
      <c r="Z170" s="98" t="str">
        <f>IF(IFERROR(VLOOKUP(A170,'25.管路'!C:D,1,0),"")="","","✔")</f>
        <v/>
      </c>
      <c r="AA170" s="98" t="str">
        <f>IF(IFERROR(VLOOKUP(A170,'26.植栽(移植)'!C:D,1,0),"")="","","✔")</f>
        <v/>
      </c>
      <c r="AB170" s="98" t="str">
        <f>IF(IFERROR(VLOOKUP(A170,'27.植栽(新植)'!C:D,1,0),"")="","","✔")</f>
        <v/>
      </c>
      <c r="AC170" s="98" t="str">
        <f>IF(IFERROR(VLOOKUP(A170,'28.照明'!C:D,1,0),"")="","","✔")</f>
        <v/>
      </c>
      <c r="AD170" s="98" t="str">
        <f>IF(IFERROR(VLOOKUP(A170,'29.既有橋梁拆除'!C:D,1,0),"")="","","✔")</f>
        <v/>
      </c>
    </row>
    <row r="171" spans="1:30" ht="21.75" customHeight="1" x14ac:dyDescent="0.25">
      <c r="A171" s="99">
        <v>45361</v>
      </c>
      <c r="B171" s="98" t="str">
        <f>IF(IFERROR(VLOOKUP(A171,'1.測量放樣'!C:D,1,0),"")="","","✔")</f>
        <v/>
      </c>
      <c r="C171" s="98" t="str">
        <f>IF(IFERROR(VLOOKUP(A171,'2.土方開挖'!C:D,1,0),"")="","","✔")</f>
        <v/>
      </c>
      <c r="D171" s="98" t="str">
        <f>IF(IFERROR(VLOOKUP(A171,'3.土方回填'!C:D,1,0),"")="","","✔")</f>
        <v/>
      </c>
      <c r="E171" s="98" t="str">
        <f>IF(IFERROR(VLOOKUP(A171,'4.鋼筋'!C:D,1,0),"")="","","✔")</f>
        <v/>
      </c>
      <c r="F171" s="98" t="str">
        <f>IF(IFERROR(VLOOKUP(A171,'5.模板'!C:D,1,0),"")="","","✔")</f>
        <v/>
      </c>
      <c r="G171" s="98" t="str">
        <f>IF(IFERROR(VLOOKUP(A171,'6.混凝土'!C:D,1,0),"")="","","✔")</f>
        <v/>
      </c>
      <c r="H171" s="98" t="str">
        <f>IF(IFERROR(VLOOKUP(A171,'7.植筋'!C:D,1,0),"")="","","✔")</f>
        <v/>
      </c>
      <c r="I171" s="98" t="str">
        <f>IF(IFERROR(VLOOKUP(A171,'8.預力混凝土基樁'!C:D,1,0),"")="","","✔")</f>
        <v/>
      </c>
      <c r="J171" s="98" t="str">
        <f>IF(IFERROR(VLOOKUP(A171,'9.砌塊石護岸'!C:D,1,0),"")="","","✔")</f>
        <v/>
      </c>
      <c r="K171" s="98" t="str">
        <f>IF(IFERROR(VLOOKUP(A171,'10.低水護岸'!C:D,1,0),"")="","","✔")</f>
        <v/>
      </c>
      <c r="L171" s="98" t="str">
        <f>IF(IFERROR(VLOOKUP(A171,'11.固床工'!C:D,1,0),"")="","","✔")</f>
        <v/>
      </c>
      <c r="M171" s="98" t="str">
        <f>IF(IFERROR(VLOOKUP(A171,'12.全套管基樁'!C:D,1,0),"")="","","✔")</f>
        <v/>
      </c>
      <c r="N171" s="98" t="str">
        <f>IF(IFERROR(VLOOKUP(A171,'13.鋼筋混凝土管工程'!C:D,1,0),"")="","","✔")</f>
        <v/>
      </c>
      <c r="O171" s="98" t="str">
        <f>IF(IFERROR(VLOOKUP(A171,'14.鋼版樁'!C:D,1,0),"")="","","✔")</f>
        <v/>
      </c>
      <c r="P171" s="98" t="str">
        <f>IF(IFERROR(VLOOKUP(A171,'15.路床 路基高程'!C:D,1,0),"")="","","✔")</f>
        <v/>
      </c>
      <c r="Q171" s="98" t="str">
        <f>IF(IFERROR(VLOOKUP(A171,'16.瀝青混凝土'!C:D,1,0),"")="","","✔")</f>
        <v/>
      </c>
      <c r="R171" s="98" t="str">
        <f>IF(IFERROR(VLOOKUP(A171,'17.景觀鋪面(一)'!C:D,1,0),"")="","","✔")</f>
        <v/>
      </c>
      <c r="S171" s="98" t="str">
        <f>IF(IFERROR(VLOOKUP(A171,'18.景觀鋪面(二)'!C:D,1,0),"")="","","✔")</f>
        <v/>
      </c>
      <c r="T171" s="98" t="str">
        <f>IF(IFERROR(VLOOKUP(A171,'19.預鑄緣石'!C:D,1,0),"")="","","✔")</f>
        <v/>
      </c>
      <c r="U171" s="98" t="str">
        <f>IF(IFERROR(VLOOKUP(A171,'20.鋼構工程吊裝'!C:D,1,0),"")="","","✔")</f>
        <v/>
      </c>
      <c r="V171" s="98" t="str">
        <f>IF(IFERROR(VLOOKUP(A171,'21.鋼構工程塗裝'!C:D,1,0),"")="","","✔")</f>
        <v/>
      </c>
      <c r="W171" s="98" t="str">
        <f>IF(IFERROR(VLOOKUP(A171,'22.排水設施(一)'!C:D,1,0),"")="","","✔")</f>
        <v/>
      </c>
      <c r="X171" s="98" t="str">
        <f>IF(IFERROR(VLOOKUP(A171,'23.排水設施(二)'!C:D,1,0),"")="","","✔")</f>
        <v/>
      </c>
      <c r="Y171" s="98" t="str">
        <f>IF(IFERROR(VLOOKUP(A171,'24.木構造'!C:D,1,0),"")="","","✔")</f>
        <v/>
      </c>
      <c r="Z171" s="98" t="str">
        <f>IF(IFERROR(VLOOKUP(A171,'25.管路'!C:D,1,0),"")="","","✔")</f>
        <v/>
      </c>
      <c r="AA171" s="98" t="str">
        <f>IF(IFERROR(VLOOKUP(A171,'26.植栽(移植)'!C:D,1,0),"")="","","✔")</f>
        <v/>
      </c>
      <c r="AB171" s="98" t="str">
        <f>IF(IFERROR(VLOOKUP(A171,'27.植栽(新植)'!C:D,1,0),"")="","","✔")</f>
        <v/>
      </c>
      <c r="AC171" s="98" t="str">
        <f>IF(IFERROR(VLOOKUP(A171,'28.照明'!C:D,1,0),"")="","","✔")</f>
        <v/>
      </c>
      <c r="AD171" s="98" t="str">
        <f>IF(IFERROR(VLOOKUP(A171,'29.既有橋梁拆除'!C:D,1,0),"")="","","✔")</f>
        <v/>
      </c>
    </row>
    <row r="172" spans="1:30" ht="21.75" customHeight="1" x14ac:dyDescent="0.25">
      <c r="A172" s="99">
        <v>45362</v>
      </c>
      <c r="B172" s="98" t="str">
        <f>IF(IFERROR(VLOOKUP(A172,'1.測量放樣'!C:D,1,0),"")="","","✔")</f>
        <v/>
      </c>
      <c r="C172" s="98" t="str">
        <f>IF(IFERROR(VLOOKUP(A172,'2.土方開挖'!C:D,1,0),"")="","","✔")</f>
        <v>✔</v>
      </c>
      <c r="D172" s="98" t="str">
        <f>IF(IFERROR(VLOOKUP(A172,'3.土方回填'!C:D,1,0),"")="","","✔")</f>
        <v/>
      </c>
      <c r="E172" s="98" t="str">
        <f>IF(IFERROR(VLOOKUP(A172,'4.鋼筋'!C:D,1,0),"")="","","✔")</f>
        <v/>
      </c>
      <c r="F172" s="98" t="str">
        <f>IF(IFERROR(VLOOKUP(A172,'5.模板'!C:D,1,0),"")="","","✔")</f>
        <v/>
      </c>
      <c r="G172" s="98" t="str">
        <f>IF(IFERROR(VLOOKUP(A172,'6.混凝土'!C:D,1,0),"")="","","✔")</f>
        <v/>
      </c>
      <c r="H172" s="98" t="str">
        <f>IF(IFERROR(VLOOKUP(A172,'7.植筋'!C:D,1,0),"")="","","✔")</f>
        <v/>
      </c>
      <c r="I172" s="98" t="str">
        <f>IF(IFERROR(VLOOKUP(A172,'8.預力混凝土基樁'!C:D,1,0),"")="","","✔")</f>
        <v/>
      </c>
      <c r="J172" s="98" t="str">
        <f>IF(IFERROR(VLOOKUP(A172,'9.砌塊石護岸'!C:D,1,0),"")="","","✔")</f>
        <v/>
      </c>
      <c r="K172" s="98" t="str">
        <f>IF(IFERROR(VLOOKUP(A172,'10.低水護岸'!C:D,1,0),"")="","","✔")</f>
        <v/>
      </c>
      <c r="L172" s="98" t="str">
        <f>IF(IFERROR(VLOOKUP(A172,'11.固床工'!C:D,1,0),"")="","","✔")</f>
        <v/>
      </c>
      <c r="M172" s="98" t="str">
        <f>IF(IFERROR(VLOOKUP(A172,'12.全套管基樁'!C:D,1,0),"")="","","✔")</f>
        <v/>
      </c>
      <c r="N172" s="98" t="str">
        <f>IF(IFERROR(VLOOKUP(A172,'13.鋼筋混凝土管工程'!C:D,1,0),"")="","","✔")</f>
        <v/>
      </c>
      <c r="O172" s="98" t="str">
        <f>IF(IFERROR(VLOOKUP(A172,'14.鋼版樁'!C:D,1,0),"")="","","✔")</f>
        <v/>
      </c>
      <c r="P172" s="98" t="str">
        <f>IF(IFERROR(VLOOKUP(A172,'15.路床 路基高程'!C:D,1,0),"")="","","✔")</f>
        <v/>
      </c>
      <c r="Q172" s="98" t="str">
        <f>IF(IFERROR(VLOOKUP(A172,'16.瀝青混凝土'!C:D,1,0),"")="","","✔")</f>
        <v/>
      </c>
      <c r="R172" s="98" t="str">
        <f>IF(IFERROR(VLOOKUP(A172,'17.景觀鋪面(一)'!C:D,1,0),"")="","","✔")</f>
        <v/>
      </c>
      <c r="S172" s="98" t="str">
        <f>IF(IFERROR(VLOOKUP(A172,'18.景觀鋪面(二)'!C:D,1,0),"")="","","✔")</f>
        <v/>
      </c>
      <c r="T172" s="98" t="str">
        <f>IF(IFERROR(VLOOKUP(A172,'19.預鑄緣石'!C:D,1,0),"")="","","✔")</f>
        <v/>
      </c>
      <c r="U172" s="98" t="str">
        <f>IF(IFERROR(VLOOKUP(A172,'20.鋼構工程吊裝'!C:D,1,0),"")="","","✔")</f>
        <v/>
      </c>
      <c r="V172" s="98" t="str">
        <f>IF(IFERROR(VLOOKUP(A172,'21.鋼構工程塗裝'!C:D,1,0),"")="","","✔")</f>
        <v/>
      </c>
      <c r="W172" s="98" t="str">
        <f>IF(IFERROR(VLOOKUP(A172,'22.排水設施(一)'!C:D,1,0),"")="","","✔")</f>
        <v/>
      </c>
      <c r="X172" s="98" t="str">
        <f>IF(IFERROR(VLOOKUP(A172,'23.排水設施(二)'!C:D,1,0),"")="","","✔")</f>
        <v/>
      </c>
      <c r="Y172" s="98" t="str">
        <f>IF(IFERROR(VLOOKUP(A172,'24.木構造'!C:D,1,0),"")="","","✔")</f>
        <v/>
      </c>
      <c r="Z172" s="98" t="str">
        <f>IF(IFERROR(VLOOKUP(A172,'25.管路'!C:D,1,0),"")="","","✔")</f>
        <v/>
      </c>
      <c r="AA172" s="98" t="str">
        <f>IF(IFERROR(VLOOKUP(A172,'26.植栽(移植)'!C:D,1,0),"")="","","✔")</f>
        <v/>
      </c>
      <c r="AB172" s="98" t="str">
        <f>IF(IFERROR(VLOOKUP(A172,'27.植栽(新植)'!C:D,1,0),"")="","","✔")</f>
        <v/>
      </c>
      <c r="AC172" s="98" t="str">
        <f>IF(IFERROR(VLOOKUP(A172,'28.照明'!C:D,1,0),"")="","","✔")</f>
        <v/>
      </c>
      <c r="AD172" s="98" t="str">
        <f>IF(IFERROR(VLOOKUP(A172,'29.既有橋梁拆除'!C:D,1,0),"")="","","✔")</f>
        <v>✔</v>
      </c>
    </row>
    <row r="173" spans="1:30" ht="21.75" customHeight="1" x14ac:dyDescent="0.25">
      <c r="A173" s="99">
        <v>45363</v>
      </c>
      <c r="B173" s="98" t="str">
        <f>IF(IFERROR(VLOOKUP(A173,'1.測量放樣'!C:D,1,0),"")="","","✔")</f>
        <v/>
      </c>
      <c r="C173" s="98" t="str">
        <f>IF(IFERROR(VLOOKUP(A173,'2.土方開挖'!C:D,1,0),"")="","","✔")</f>
        <v>✔</v>
      </c>
      <c r="D173" s="98" t="str">
        <f>IF(IFERROR(VLOOKUP(A173,'3.土方回填'!C:D,1,0),"")="","","✔")</f>
        <v/>
      </c>
      <c r="E173" s="98" t="str">
        <f>IF(IFERROR(VLOOKUP(A173,'4.鋼筋'!C:D,1,0),"")="","","✔")</f>
        <v>✔</v>
      </c>
      <c r="F173" s="98" t="str">
        <f>IF(IFERROR(VLOOKUP(A173,'5.模板'!C:D,1,0),"")="","","✔")</f>
        <v/>
      </c>
      <c r="G173" s="98" t="str">
        <f>IF(IFERROR(VLOOKUP(A173,'6.混凝土'!C:D,1,0),"")="","","✔")</f>
        <v/>
      </c>
      <c r="H173" s="98" t="str">
        <f>IF(IFERROR(VLOOKUP(A173,'7.植筋'!C:D,1,0),"")="","","✔")</f>
        <v/>
      </c>
      <c r="I173" s="98" t="str">
        <f>IF(IFERROR(VLOOKUP(A173,'8.預力混凝土基樁'!C:D,1,0),"")="","","✔")</f>
        <v/>
      </c>
      <c r="J173" s="98" t="str">
        <f>IF(IFERROR(VLOOKUP(A173,'9.砌塊石護岸'!C:D,1,0),"")="","","✔")</f>
        <v/>
      </c>
      <c r="K173" s="98" t="str">
        <f>IF(IFERROR(VLOOKUP(A173,'10.低水護岸'!C:D,1,0),"")="","","✔")</f>
        <v/>
      </c>
      <c r="L173" s="98" t="str">
        <f>IF(IFERROR(VLOOKUP(A173,'11.固床工'!C:D,1,0),"")="","","✔")</f>
        <v/>
      </c>
      <c r="M173" s="98" t="str">
        <f>IF(IFERROR(VLOOKUP(A173,'12.全套管基樁'!C:D,1,0),"")="","","✔")</f>
        <v/>
      </c>
      <c r="N173" s="98" t="str">
        <f>IF(IFERROR(VLOOKUP(A173,'13.鋼筋混凝土管工程'!C:D,1,0),"")="","","✔")</f>
        <v/>
      </c>
      <c r="O173" s="98" t="str">
        <f>IF(IFERROR(VLOOKUP(A173,'14.鋼版樁'!C:D,1,0),"")="","","✔")</f>
        <v/>
      </c>
      <c r="P173" s="98" t="str">
        <f>IF(IFERROR(VLOOKUP(A173,'15.路床 路基高程'!C:D,1,0),"")="","","✔")</f>
        <v/>
      </c>
      <c r="Q173" s="98" t="str">
        <f>IF(IFERROR(VLOOKUP(A173,'16.瀝青混凝土'!C:D,1,0),"")="","","✔")</f>
        <v/>
      </c>
      <c r="R173" s="98" t="str">
        <f>IF(IFERROR(VLOOKUP(A173,'17.景觀鋪面(一)'!C:D,1,0),"")="","","✔")</f>
        <v/>
      </c>
      <c r="S173" s="98" t="str">
        <f>IF(IFERROR(VLOOKUP(A173,'18.景觀鋪面(二)'!C:D,1,0),"")="","","✔")</f>
        <v/>
      </c>
      <c r="T173" s="98" t="str">
        <f>IF(IFERROR(VLOOKUP(A173,'19.預鑄緣石'!C:D,1,0),"")="","","✔")</f>
        <v/>
      </c>
      <c r="U173" s="98" t="str">
        <f>IF(IFERROR(VLOOKUP(A173,'20.鋼構工程吊裝'!C:D,1,0),"")="","","✔")</f>
        <v/>
      </c>
      <c r="V173" s="98" t="str">
        <f>IF(IFERROR(VLOOKUP(A173,'21.鋼構工程塗裝'!C:D,1,0),"")="","","✔")</f>
        <v/>
      </c>
      <c r="W173" s="98" t="str">
        <f>IF(IFERROR(VLOOKUP(A173,'22.排水設施(一)'!C:D,1,0),"")="","","✔")</f>
        <v/>
      </c>
      <c r="X173" s="98" t="str">
        <f>IF(IFERROR(VLOOKUP(A173,'23.排水設施(二)'!C:D,1,0),"")="","","✔")</f>
        <v/>
      </c>
      <c r="Y173" s="98" t="str">
        <f>IF(IFERROR(VLOOKUP(A173,'24.木構造'!C:D,1,0),"")="","","✔")</f>
        <v/>
      </c>
      <c r="Z173" s="98" t="str">
        <f>IF(IFERROR(VLOOKUP(A173,'25.管路'!C:D,1,0),"")="","","✔")</f>
        <v/>
      </c>
      <c r="AA173" s="98" t="str">
        <f>IF(IFERROR(VLOOKUP(A173,'26.植栽(移植)'!C:D,1,0),"")="","","✔")</f>
        <v/>
      </c>
      <c r="AB173" s="98" t="str">
        <f>IF(IFERROR(VLOOKUP(A173,'27.植栽(新植)'!C:D,1,0),"")="","","✔")</f>
        <v/>
      </c>
      <c r="AC173" s="98" t="str">
        <f>IF(IFERROR(VLOOKUP(A173,'28.照明'!C:D,1,0),"")="","","✔")</f>
        <v/>
      </c>
      <c r="AD173" s="98" t="str">
        <f>IF(IFERROR(VLOOKUP(A173,'29.既有橋梁拆除'!C:D,1,0),"")="","","✔")</f>
        <v/>
      </c>
    </row>
    <row r="174" spans="1:30" ht="21.75" customHeight="1" x14ac:dyDescent="0.25">
      <c r="A174" s="99">
        <v>45364</v>
      </c>
      <c r="B174" s="98" t="str">
        <f>IF(IFERROR(VLOOKUP(A174,'1.測量放樣'!C:D,1,0),"")="","","✔")</f>
        <v/>
      </c>
      <c r="C174" s="98" t="str">
        <f>IF(IFERROR(VLOOKUP(A174,'2.土方開挖'!C:D,1,0),"")="","","✔")</f>
        <v>✔</v>
      </c>
      <c r="D174" s="98" t="str">
        <f>IF(IFERROR(VLOOKUP(A174,'3.土方回填'!C:D,1,0),"")="","","✔")</f>
        <v/>
      </c>
      <c r="E174" s="98" t="str">
        <f>IF(IFERROR(VLOOKUP(A174,'4.鋼筋'!C:D,1,0),"")="","","✔")</f>
        <v/>
      </c>
      <c r="F174" s="98" t="str">
        <f>IF(IFERROR(VLOOKUP(A174,'5.模板'!C:D,1,0),"")="","","✔")</f>
        <v>✔</v>
      </c>
      <c r="G174" s="98" t="str">
        <f>IF(IFERROR(VLOOKUP(A174,'6.混凝土'!C:D,1,0),"")="","","✔")</f>
        <v>✔</v>
      </c>
      <c r="H174" s="98" t="str">
        <f>IF(IFERROR(VLOOKUP(A174,'7.植筋'!C:D,1,0),"")="","","✔")</f>
        <v/>
      </c>
      <c r="I174" s="98" t="str">
        <f>IF(IFERROR(VLOOKUP(A174,'8.預力混凝土基樁'!C:D,1,0),"")="","","✔")</f>
        <v/>
      </c>
      <c r="J174" s="98" t="str">
        <f>IF(IFERROR(VLOOKUP(A174,'9.砌塊石護岸'!C:D,1,0),"")="","","✔")</f>
        <v/>
      </c>
      <c r="K174" s="98" t="str">
        <f>IF(IFERROR(VLOOKUP(A174,'10.低水護岸'!C:D,1,0),"")="","","✔")</f>
        <v/>
      </c>
      <c r="L174" s="98" t="str">
        <f>IF(IFERROR(VLOOKUP(A174,'11.固床工'!C:D,1,0),"")="","","✔")</f>
        <v/>
      </c>
      <c r="M174" s="98" t="str">
        <f>IF(IFERROR(VLOOKUP(A174,'12.全套管基樁'!C:D,1,0),"")="","","✔")</f>
        <v/>
      </c>
      <c r="N174" s="98" t="str">
        <f>IF(IFERROR(VLOOKUP(A174,'13.鋼筋混凝土管工程'!C:D,1,0),"")="","","✔")</f>
        <v/>
      </c>
      <c r="O174" s="98" t="str">
        <f>IF(IFERROR(VLOOKUP(A174,'14.鋼版樁'!C:D,1,0),"")="","","✔")</f>
        <v>✔</v>
      </c>
      <c r="P174" s="98" t="str">
        <f>IF(IFERROR(VLOOKUP(A174,'15.路床 路基高程'!C:D,1,0),"")="","","✔")</f>
        <v/>
      </c>
      <c r="Q174" s="98" t="str">
        <f>IF(IFERROR(VLOOKUP(A174,'16.瀝青混凝土'!C:D,1,0),"")="","","✔")</f>
        <v/>
      </c>
      <c r="R174" s="98" t="str">
        <f>IF(IFERROR(VLOOKUP(A174,'17.景觀鋪面(一)'!C:D,1,0),"")="","","✔")</f>
        <v/>
      </c>
      <c r="S174" s="98" t="str">
        <f>IF(IFERROR(VLOOKUP(A174,'18.景觀鋪面(二)'!C:D,1,0),"")="","","✔")</f>
        <v/>
      </c>
      <c r="T174" s="98" t="str">
        <f>IF(IFERROR(VLOOKUP(A174,'19.預鑄緣石'!C:D,1,0),"")="","","✔")</f>
        <v/>
      </c>
      <c r="U174" s="98" t="str">
        <f>IF(IFERROR(VLOOKUP(A174,'20.鋼構工程吊裝'!C:D,1,0),"")="","","✔")</f>
        <v/>
      </c>
      <c r="V174" s="98" t="str">
        <f>IF(IFERROR(VLOOKUP(A174,'21.鋼構工程塗裝'!C:D,1,0),"")="","","✔")</f>
        <v/>
      </c>
      <c r="W174" s="98" t="str">
        <f>IF(IFERROR(VLOOKUP(A174,'22.排水設施(一)'!C:D,1,0),"")="","","✔")</f>
        <v/>
      </c>
      <c r="X174" s="98" t="str">
        <f>IF(IFERROR(VLOOKUP(A174,'23.排水設施(二)'!C:D,1,0),"")="","","✔")</f>
        <v/>
      </c>
      <c r="Y174" s="98" t="str">
        <f>IF(IFERROR(VLOOKUP(A174,'24.木構造'!C:D,1,0),"")="","","✔")</f>
        <v/>
      </c>
      <c r="Z174" s="98" t="str">
        <f>IF(IFERROR(VLOOKUP(A174,'25.管路'!C:D,1,0),"")="","","✔")</f>
        <v/>
      </c>
      <c r="AA174" s="98" t="str">
        <f>IF(IFERROR(VLOOKUP(A174,'26.植栽(移植)'!C:D,1,0),"")="","","✔")</f>
        <v/>
      </c>
      <c r="AB174" s="98" t="str">
        <f>IF(IFERROR(VLOOKUP(A174,'27.植栽(新植)'!C:D,1,0),"")="","","✔")</f>
        <v/>
      </c>
      <c r="AC174" s="98" t="str">
        <f>IF(IFERROR(VLOOKUP(A174,'28.照明'!C:D,1,0),"")="","","✔")</f>
        <v/>
      </c>
      <c r="AD174" s="98" t="str">
        <f>IF(IFERROR(VLOOKUP(A174,'29.既有橋梁拆除'!C:D,1,0),"")="","","✔")</f>
        <v/>
      </c>
    </row>
    <row r="175" spans="1:30" ht="21.75" customHeight="1" x14ac:dyDescent="0.25">
      <c r="A175" s="99">
        <v>45365</v>
      </c>
      <c r="B175" s="98" t="str">
        <f>IF(IFERROR(VLOOKUP(A175,'1.測量放樣'!C:D,1,0),"")="","","✔")</f>
        <v>✔</v>
      </c>
      <c r="C175" s="98" t="str">
        <f>IF(IFERROR(VLOOKUP(A175,'2.土方開挖'!C:D,1,0),"")="","","✔")</f>
        <v>✔</v>
      </c>
      <c r="D175" s="98" t="str">
        <f>IF(IFERROR(VLOOKUP(A175,'3.土方回填'!C:D,1,0),"")="","","✔")</f>
        <v/>
      </c>
      <c r="E175" s="98" t="str">
        <f>IF(IFERROR(VLOOKUP(A175,'4.鋼筋'!C:D,1,0),"")="","","✔")</f>
        <v/>
      </c>
      <c r="F175" s="98" t="str">
        <f>IF(IFERROR(VLOOKUP(A175,'5.模板'!C:D,1,0),"")="","","✔")</f>
        <v/>
      </c>
      <c r="G175" s="98" t="str">
        <f>IF(IFERROR(VLOOKUP(A175,'6.混凝土'!C:D,1,0),"")="","","✔")</f>
        <v/>
      </c>
      <c r="H175" s="98" t="str">
        <f>IF(IFERROR(VLOOKUP(A175,'7.植筋'!C:D,1,0),"")="","","✔")</f>
        <v/>
      </c>
      <c r="I175" s="98" t="str">
        <f>IF(IFERROR(VLOOKUP(A175,'8.預力混凝土基樁'!C:D,1,0),"")="","","✔")</f>
        <v/>
      </c>
      <c r="J175" s="98" t="str">
        <f>IF(IFERROR(VLOOKUP(A175,'9.砌塊石護岸'!C:D,1,0),"")="","","✔")</f>
        <v/>
      </c>
      <c r="K175" s="98" t="str">
        <f>IF(IFERROR(VLOOKUP(A175,'10.低水護岸'!C:D,1,0),"")="","","✔")</f>
        <v/>
      </c>
      <c r="L175" s="98" t="str">
        <f>IF(IFERROR(VLOOKUP(A175,'11.固床工'!C:D,1,0),"")="","","✔")</f>
        <v/>
      </c>
      <c r="M175" s="98" t="str">
        <f>IF(IFERROR(VLOOKUP(A175,'12.全套管基樁'!C:D,1,0),"")="","","✔")</f>
        <v/>
      </c>
      <c r="N175" s="98" t="str">
        <f>IF(IFERROR(VLOOKUP(A175,'13.鋼筋混凝土管工程'!C:D,1,0),"")="","","✔")</f>
        <v/>
      </c>
      <c r="O175" s="98" t="str">
        <f>IF(IFERROR(VLOOKUP(A175,'14.鋼版樁'!C:D,1,0),"")="","","✔")</f>
        <v/>
      </c>
      <c r="P175" s="98" t="str">
        <f>IF(IFERROR(VLOOKUP(A175,'15.路床 路基高程'!C:D,1,0),"")="","","✔")</f>
        <v/>
      </c>
      <c r="Q175" s="98" t="str">
        <f>IF(IFERROR(VLOOKUP(A175,'16.瀝青混凝土'!C:D,1,0),"")="","","✔")</f>
        <v/>
      </c>
      <c r="R175" s="98" t="str">
        <f>IF(IFERROR(VLOOKUP(A175,'17.景觀鋪面(一)'!C:D,1,0),"")="","","✔")</f>
        <v/>
      </c>
      <c r="S175" s="98" t="str">
        <f>IF(IFERROR(VLOOKUP(A175,'18.景觀鋪面(二)'!C:D,1,0),"")="","","✔")</f>
        <v/>
      </c>
      <c r="T175" s="98" t="str">
        <f>IF(IFERROR(VLOOKUP(A175,'19.預鑄緣石'!C:D,1,0),"")="","","✔")</f>
        <v/>
      </c>
      <c r="U175" s="98" t="str">
        <f>IF(IFERROR(VLOOKUP(A175,'20.鋼構工程吊裝'!C:D,1,0),"")="","","✔")</f>
        <v/>
      </c>
      <c r="V175" s="98" t="str">
        <f>IF(IFERROR(VLOOKUP(A175,'21.鋼構工程塗裝'!C:D,1,0),"")="","","✔")</f>
        <v/>
      </c>
      <c r="W175" s="98" t="str">
        <f>IF(IFERROR(VLOOKUP(A175,'22.排水設施(一)'!C:D,1,0),"")="","","✔")</f>
        <v/>
      </c>
      <c r="X175" s="98" t="str">
        <f>IF(IFERROR(VLOOKUP(A175,'23.排水設施(二)'!C:D,1,0),"")="","","✔")</f>
        <v/>
      </c>
      <c r="Y175" s="98" t="str">
        <f>IF(IFERROR(VLOOKUP(A175,'24.木構造'!C:D,1,0),"")="","","✔")</f>
        <v/>
      </c>
      <c r="Z175" s="98" t="str">
        <f>IF(IFERROR(VLOOKUP(A175,'25.管路'!C:D,1,0),"")="","","✔")</f>
        <v/>
      </c>
      <c r="AA175" s="98" t="str">
        <f>IF(IFERROR(VLOOKUP(A175,'26.植栽(移植)'!C:D,1,0),"")="","","✔")</f>
        <v/>
      </c>
      <c r="AB175" s="98" t="str">
        <f>IF(IFERROR(VLOOKUP(A175,'27.植栽(新植)'!C:D,1,0),"")="","","✔")</f>
        <v/>
      </c>
      <c r="AC175" s="98" t="str">
        <f>IF(IFERROR(VLOOKUP(A175,'28.照明'!C:D,1,0),"")="","","✔")</f>
        <v/>
      </c>
      <c r="AD175" s="98" t="str">
        <f>IF(IFERROR(VLOOKUP(A175,'29.既有橋梁拆除'!C:D,1,0),"")="","","✔")</f>
        <v/>
      </c>
    </row>
    <row r="176" spans="1:30" ht="21.75" customHeight="1" x14ac:dyDescent="0.25">
      <c r="A176" s="99">
        <v>45366</v>
      </c>
      <c r="B176" s="98" t="str">
        <f>IF(IFERROR(VLOOKUP(A176,'1.測量放樣'!C:D,1,0),"")="","","✔")</f>
        <v/>
      </c>
      <c r="C176" s="98" t="str">
        <f>IF(IFERROR(VLOOKUP(A176,'2.土方開挖'!C:D,1,0),"")="","","✔")</f>
        <v/>
      </c>
      <c r="D176" s="98" t="str">
        <f>IF(IFERROR(VLOOKUP(A176,'3.土方回填'!C:D,1,0),"")="","","✔")</f>
        <v/>
      </c>
      <c r="E176" s="98" t="str">
        <f>IF(IFERROR(VLOOKUP(A176,'4.鋼筋'!C:D,1,0),"")="","","✔")</f>
        <v/>
      </c>
      <c r="F176" s="98" t="str">
        <f>IF(IFERROR(VLOOKUP(A176,'5.模板'!C:D,1,0),"")="","","✔")</f>
        <v/>
      </c>
      <c r="G176" s="98" t="str">
        <f>IF(IFERROR(VLOOKUP(A176,'6.混凝土'!C:D,1,0),"")="","","✔")</f>
        <v/>
      </c>
      <c r="H176" s="98" t="str">
        <f>IF(IFERROR(VLOOKUP(A176,'7.植筋'!C:D,1,0),"")="","","✔")</f>
        <v/>
      </c>
      <c r="I176" s="98" t="str">
        <f>IF(IFERROR(VLOOKUP(A176,'8.預力混凝土基樁'!C:D,1,0),"")="","","✔")</f>
        <v/>
      </c>
      <c r="J176" s="98" t="str">
        <f>IF(IFERROR(VLOOKUP(A176,'9.砌塊石護岸'!C:D,1,0),"")="","","✔")</f>
        <v/>
      </c>
      <c r="K176" s="98" t="str">
        <f>IF(IFERROR(VLOOKUP(A176,'10.低水護岸'!C:D,1,0),"")="","","✔")</f>
        <v/>
      </c>
      <c r="L176" s="98" t="str">
        <f>IF(IFERROR(VLOOKUP(A176,'11.固床工'!C:D,1,0),"")="","","✔")</f>
        <v/>
      </c>
      <c r="M176" s="98" t="str">
        <f>IF(IFERROR(VLOOKUP(A176,'12.全套管基樁'!C:D,1,0),"")="","","✔")</f>
        <v/>
      </c>
      <c r="N176" s="98" t="str">
        <f>IF(IFERROR(VLOOKUP(A176,'13.鋼筋混凝土管工程'!C:D,1,0),"")="","","✔")</f>
        <v/>
      </c>
      <c r="O176" s="98" t="str">
        <f>IF(IFERROR(VLOOKUP(A176,'14.鋼版樁'!C:D,1,0),"")="","","✔")</f>
        <v/>
      </c>
      <c r="P176" s="98" t="str">
        <f>IF(IFERROR(VLOOKUP(A176,'15.路床 路基高程'!C:D,1,0),"")="","","✔")</f>
        <v/>
      </c>
      <c r="Q176" s="98" t="str">
        <f>IF(IFERROR(VLOOKUP(A176,'16.瀝青混凝土'!C:D,1,0),"")="","","✔")</f>
        <v/>
      </c>
      <c r="R176" s="98" t="str">
        <f>IF(IFERROR(VLOOKUP(A176,'17.景觀鋪面(一)'!C:D,1,0),"")="","","✔")</f>
        <v/>
      </c>
      <c r="S176" s="98" t="str">
        <f>IF(IFERROR(VLOOKUP(A176,'18.景觀鋪面(二)'!C:D,1,0),"")="","","✔")</f>
        <v/>
      </c>
      <c r="T176" s="98" t="str">
        <f>IF(IFERROR(VLOOKUP(A176,'19.預鑄緣石'!C:D,1,0),"")="","","✔")</f>
        <v/>
      </c>
      <c r="U176" s="98" t="str">
        <f>IF(IFERROR(VLOOKUP(A176,'20.鋼構工程吊裝'!C:D,1,0),"")="","","✔")</f>
        <v/>
      </c>
      <c r="V176" s="98" t="str">
        <f>IF(IFERROR(VLOOKUP(A176,'21.鋼構工程塗裝'!C:D,1,0),"")="","","✔")</f>
        <v/>
      </c>
      <c r="W176" s="98" t="str">
        <f>IF(IFERROR(VLOOKUP(A176,'22.排水設施(一)'!C:D,1,0),"")="","","✔")</f>
        <v/>
      </c>
      <c r="X176" s="98" t="str">
        <f>IF(IFERROR(VLOOKUP(A176,'23.排水設施(二)'!C:D,1,0),"")="","","✔")</f>
        <v/>
      </c>
      <c r="Y176" s="98" t="str">
        <f>IF(IFERROR(VLOOKUP(A176,'24.木構造'!C:D,1,0),"")="","","✔")</f>
        <v/>
      </c>
      <c r="Z176" s="98" t="str">
        <f>IF(IFERROR(VLOOKUP(A176,'25.管路'!C:D,1,0),"")="","","✔")</f>
        <v/>
      </c>
      <c r="AA176" s="98" t="str">
        <f>IF(IFERROR(VLOOKUP(A176,'26.植栽(移植)'!C:D,1,0),"")="","","✔")</f>
        <v/>
      </c>
      <c r="AB176" s="98" t="str">
        <f>IF(IFERROR(VLOOKUP(A176,'27.植栽(新植)'!C:D,1,0),"")="","","✔")</f>
        <v/>
      </c>
      <c r="AC176" s="98" t="str">
        <f>IF(IFERROR(VLOOKUP(A176,'28.照明'!C:D,1,0),"")="","","✔")</f>
        <v/>
      </c>
      <c r="AD176" s="98" t="str">
        <f>IF(IFERROR(VLOOKUP(A176,'29.既有橋梁拆除'!C:D,1,0),"")="","","✔")</f>
        <v/>
      </c>
    </row>
    <row r="177" spans="1:30" ht="21.75" customHeight="1" x14ac:dyDescent="0.25">
      <c r="A177" s="99">
        <v>45367</v>
      </c>
      <c r="B177" s="98" t="str">
        <f>IF(IFERROR(VLOOKUP(A177,'1.測量放樣'!C:D,1,0),"")="","","✔")</f>
        <v/>
      </c>
      <c r="C177" s="98" t="str">
        <f>IF(IFERROR(VLOOKUP(A177,'2.土方開挖'!C:D,1,0),"")="","","✔")</f>
        <v/>
      </c>
      <c r="D177" s="98" t="str">
        <f>IF(IFERROR(VLOOKUP(A177,'3.土方回填'!C:D,1,0),"")="","","✔")</f>
        <v/>
      </c>
      <c r="E177" s="98" t="str">
        <f>IF(IFERROR(VLOOKUP(A177,'4.鋼筋'!C:D,1,0),"")="","","✔")</f>
        <v/>
      </c>
      <c r="F177" s="98" t="str">
        <f>IF(IFERROR(VLOOKUP(A177,'5.模板'!C:D,1,0),"")="","","✔")</f>
        <v/>
      </c>
      <c r="G177" s="98" t="str">
        <f>IF(IFERROR(VLOOKUP(A177,'6.混凝土'!C:D,1,0),"")="","","✔")</f>
        <v/>
      </c>
      <c r="H177" s="98" t="str">
        <f>IF(IFERROR(VLOOKUP(A177,'7.植筋'!C:D,1,0),"")="","","✔")</f>
        <v/>
      </c>
      <c r="I177" s="98" t="str">
        <f>IF(IFERROR(VLOOKUP(A177,'8.預力混凝土基樁'!C:D,1,0),"")="","","✔")</f>
        <v/>
      </c>
      <c r="J177" s="98" t="str">
        <f>IF(IFERROR(VLOOKUP(A177,'9.砌塊石護岸'!C:D,1,0),"")="","","✔")</f>
        <v/>
      </c>
      <c r="K177" s="98" t="str">
        <f>IF(IFERROR(VLOOKUP(A177,'10.低水護岸'!C:D,1,0),"")="","","✔")</f>
        <v/>
      </c>
      <c r="L177" s="98" t="str">
        <f>IF(IFERROR(VLOOKUP(A177,'11.固床工'!C:D,1,0),"")="","","✔")</f>
        <v/>
      </c>
      <c r="M177" s="98" t="str">
        <f>IF(IFERROR(VLOOKUP(A177,'12.全套管基樁'!C:D,1,0),"")="","","✔")</f>
        <v/>
      </c>
      <c r="N177" s="98" t="str">
        <f>IF(IFERROR(VLOOKUP(A177,'13.鋼筋混凝土管工程'!C:D,1,0),"")="","","✔")</f>
        <v/>
      </c>
      <c r="O177" s="98" t="str">
        <f>IF(IFERROR(VLOOKUP(A177,'14.鋼版樁'!C:D,1,0),"")="","","✔")</f>
        <v/>
      </c>
      <c r="P177" s="98" t="str">
        <f>IF(IFERROR(VLOOKUP(A177,'15.路床 路基高程'!C:D,1,0),"")="","","✔")</f>
        <v/>
      </c>
      <c r="Q177" s="98" t="str">
        <f>IF(IFERROR(VLOOKUP(A177,'16.瀝青混凝土'!C:D,1,0),"")="","","✔")</f>
        <v/>
      </c>
      <c r="R177" s="98" t="str">
        <f>IF(IFERROR(VLOOKUP(A177,'17.景觀鋪面(一)'!C:D,1,0),"")="","","✔")</f>
        <v/>
      </c>
      <c r="S177" s="98" t="str">
        <f>IF(IFERROR(VLOOKUP(A177,'18.景觀鋪面(二)'!C:D,1,0),"")="","","✔")</f>
        <v/>
      </c>
      <c r="T177" s="98" t="str">
        <f>IF(IFERROR(VLOOKUP(A177,'19.預鑄緣石'!C:D,1,0),"")="","","✔")</f>
        <v/>
      </c>
      <c r="U177" s="98" t="str">
        <f>IF(IFERROR(VLOOKUP(A177,'20.鋼構工程吊裝'!C:D,1,0),"")="","","✔")</f>
        <v/>
      </c>
      <c r="V177" s="98" t="str">
        <f>IF(IFERROR(VLOOKUP(A177,'21.鋼構工程塗裝'!C:D,1,0),"")="","","✔")</f>
        <v/>
      </c>
      <c r="W177" s="98" t="str">
        <f>IF(IFERROR(VLOOKUP(A177,'22.排水設施(一)'!C:D,1,0),"")="","","✔")</f>
        <v/>
      </c>
      <c r="X177" s="98" t="str">
        <f>IF(IFERROR(VLOOKUP(A177,'23.排水設施(二)'!C:D,1,0),"")="","","✔")</f>
        <v/>
      </c>
      <c r="Y177" s="98" t="str">
        <f>IF(IFERROR(VLOOKUP(A177,'24.木構造'!C:D,1,0),"")="","","✔")</f>
        <v/>
      </c>
      <c r="Z177" s="98" t="str">
        <f>IF(IFERROR(VLOOKUP(A177,'25.管路'!C:D,1,0),"")="","","✔")</f>
        <v/>
      </c>
      <c r="AA177" s="98" t="str">
        <f>IF(IFERROR(VLOOKUP(A177,'26.植栽(移植)'!C:D,1,0),"")="","","✔")</f>
        <v/>
      </c>
      <c r="AB177" s="98" t="str">
        <f>IF(IFERROR(VLOOKUP(A177,'27.植栽(新植)'!C:D,1,0),"")="","","✔")</f>
        <v/>
      </c>
      <c r="AC177" s="98" t="str">
        <f>IF(IFERROR(VLOOKUP(A177,'28.照明'!C:D,1,0),"")="","","✔")</f>
        <v/>
      </c>
      <c r="AD177" s="98" t="str">
        <f>IF(IFERROR(VLOOKUP(A177,'29.既有橋梁拆除'!C:D,1,0),"")="","","✔")</f>
        <v/>
      </c>
    </row>
    <row r="178" spans="1:30" ht="21.75" customHeight="1" x14ac:dyDescent="0.25">
      <c r="A178" s="99">
        <v>45368</v>
      </c>
      <c r="B178" s="98" t="str">
        <f>IF(IFERROR(VLOOKUP(A178,'1.測量放樣'!C:D,1,0),"")="","","✔")</f>
        <v/>
      </c>
      <c r="C178" s="98" t="str">
        <f>IF(IFERROR(VLOOKUP(A178,'2.土方開挖'!C:D,1,0),"")="","","✔")</f>
        <v/>
      </c>
      <c r="D178" s="98" t="str">
        <f>IF(IFERROR(VLOOKUP(A178,'3.土方回填'!C:D,1,0),"")="","","✔")</f>
        <v/>
      </c>
      <c r="E178" s="98" t="str">
        <f>IF(IFERROR(VLOOKUP(A178,'4.鋼筋'!C:D,1,0),"")="","","✔")</f>
        <v/>
      </c>
      <c r="F178" s="98" t="str">
        <f>IF(IFERROR(VLOOKUP(A178,'5.模板'!C:D,1,0),"")="","","✔")</f>
        <v/>
      </c>
      <c r="G178" s="98" t="str">
        <f>IF(IFERROR(VLOOKUP(A178,'6.混凝土'!C:D,1,0),"")="","","✔")</f>
        <v/>
      </c>
      <c r="H178" s="98" t="str">
        <f>IF(IFERROR(VLOOKUP(A178,'7.植筋'!C:D,1,0),"")="","","✔")</f>
        <v/>
      </c>
      <c r="I178" s="98" t="str">
        <f>IF(IFERROR(VLOOKUP(A178,'8.預力混凝土基樁'!C:D,1,0),"")="","","✔")</f>
        <v/>
      </c>
      <c r="J178" s="98" t="str">
        <f>IF(IFERROR(VLOOKUP(A178,'9.砌塊石護岸'!C:D,1,0),"")="","","✔")</f>
        <v/>
      </c>
      <c r="K178" s="98" t="str">
        <f>IF(IFERROR(VLOOKUP(A178,'10.低水護岸'!C:D,1,0),"")="","","✔")</f>
        <v/>
      </c>
      <c r="L178" s="98" t="str">
        <f>IF(IFERROR(VLOOKUP(A178,'11.固床工'!C:D,1,0),"")="","","✔")</f>
        <v/>
      </c>
      <c r="M178" s="98" t="str">
        <f>IF(IFERROR(VLOOKUP(A178,'12.全套管基樁'!C:D,1,0),"")="","","✔")</f>
        <v/>
      </c>
      <c r="N178" s="98" t="str">
        <f>IF(IFERROR(VLOOKUP(A178,'13.鋼筋混凝土管工程'!C:D,1,0),"")="","","✔")</f>
        <v/>
      </c>
      <c r="O178" s="98" t="str">
        <f>IF(IFERROR(VLOOKUP(A178,'14.鋼版樁'!C:D,1,0),"")="","","✔")</f>
        <v/>
      </c>
      <c r="P178" s="98" t="str">
        <f>IF(IFERROR(VLOOKUP(A178,'15.路床 路基高程'!C:D,1,0),"")="","","✔")</f>
        <v/>
      </c>
      <c r="Q178" s="98" t="str">
        <f>IF(IFERROR(VLOOKUP(A178,'16.瀝青混凝土'!C:D,1,0),"")="","","✔")</f>
        <v/>
      </c>
      <c r="R178" s="98" t="str">
        <f>IF(IFERROR(VLOOKUP(A178,'17.景觀鋪面(一)'!C:D,1,0),"")="","","✔")</f>
        <v/>
      </c>
      <c r="S178" s="98" t="str">
        <f>IF(IFERROR(VLOOKUP(A178,'18.景觀鋪面(二)'!C:D,1,0),"")="","","✔")</f>
        <v/>
      </c>
      <c r="T178" s="98" t="str">
        <f>IF(IFERROR(VLOOKUP(A178,'19.預鑄緣石'!C:D,1,0),"")="","","✔")</f>
        <v/>
      </c>
      <c r="U178" s="98" t="str">
        <f>IF(IFERROR(VLOOKUP(A178,'20.鋼構工程吊裝'!C:D,1,0),"")="","","✔")</f>
        <v/>
      </c>
      <c r="V178" s="98" t="str">
        <f>IF(IFERROR(VLOOKUP(A178,'21.鋼構工程塗裝'!C:D,1,0),"")="","","✔")</f>
        <v/>
      </c>
      <c r="W178" s="98" t="str">
        <f>IF(IFERROR(VLOOKUP(A178,'22.排水設施(一)'!C:D,1,0),"")="","","✔")</f>
        <v/>
      </c>
      <c r="X178" s="98" t="str">
        <f>IF(IFERROR(VLOOKUP(A178,'23.排水設施(二)'!C:D,1,0),"")="","","✔")</f>
        <v/>
      </c>
      <c r="Y178" s="98" t="str">
        <f>IF(IFERROR(VLOOKUP(A178,'24.木構造'!C:D,1,0),"")="","","✔")</f>
        <v/>
      </c>
      <c r="Z178" s="98" t="str">
        <f>IF(IFERROR(VLOOKUP(A178,'25.管路'!C:D,1,0),"")="","","✔")</f>
        <v/>
      </c>
      <c r="AA178" s="98" t="str">
        <f>IF(IFERROR(VLOOKUP(A178,'26.植栽(移植)'!C:D,1,0),"")="","","✔")</f>
        <v/>
      </c>
      <c r="AB178" s="98" t="str">
        <f>IF(IFERROR(VLOOKUP(A178,'27.植栽(新植)'!C:D,1,0),"")="","","✔")</f>
        <v/>
      </c>
      <c r="AC178" s="98" t="str">
        <f>IF(IFERROR(VLOOKUP(A178,'28.照明'!C:D,1,0),"")="","","✔")</f>
        <v/>
      </c>
      <c r="AD178" s="98" t="str">
        <f>IF(IFERROR(VLOOKUP(A178,'29.既有橋梁拆除'!C:D,1,0),"")="","","✔")</f>
        <v/>
      </c>
    </row>
    <row r="179" spans="1:30" ht="21.75" customHeight="1" x14ac:dyDescent="0.25">
      <c r="A179" s="99">
        <v>45369</v>
      </c>
      <c r="B179" s="98" t="str">
        <f>IF(IFERROR(VLOOKUP(A179,'1.測量放樣'!C:D,1,0),"")="","","✔")</f>
        <v/>
      </c>
      <c r="C179" s="98" t="str">
        <f>IF(IFERROR(VLOOKUP(A179,'2.土方開挖'!C:D,1,0),"")="","","✔")</f>
        <v/>
      </c>
      <c r="D179" s="98" t="str">
        <f>IF(IFERROR(VLOOKUP(A179,'3.土方回填'!C:D,1,0),"")="","","✔")</f>
        <v/>
      </c>
      <c r="E179" s="98" t="str">
        <f>IF(IFERROR(VLOOKUP(A179,'4.鋼筋'!C:D,1,0),"")="","","✔")</f>
        <v/>
      </c>
      <c r="F179" s="98" t="str">
        <f>IF(IFERROR(VLOOKUP(A179,'5.模板'!C:D,1,0),"")="","","✔")</f>
        <v/>
      </c>
      <c r="G179" s="98" t="str">
        <f>IF(IFERROR(VLOOKUP(A179,'6.混凝土'!C:D,1,0),"")="","","✔")</f>
        <v/>
      </c>
      <c r="H179" s="98" t="str">
        <f>IF(IFERROR(VLOOKUP(A179,'7.植筋'!C:D,1,0),"")="","","✔")</f>
        <v/>
      </c>
      <c r="I179" s="98" t="str">
        <f>IF(IFERROR(VLOOKUP(A179,'8.預力混凝土基樁'!C:D,1,0),"")="","","✔")</f>
        <v/>
      </c>
      <c r="J179" s="98" t="str">
        <f>IF(IFERROR(VLOOKUP(A179,'9.砌塊石護岸'!C:D,1,0),"")="","","✔")</f>
        <v/>
      </c>
      <c r="K179" s="98" t="str">
        <f>IF(IFERROR(VLOOKUP(A179,'10.低水護岸'!C:D,1,0),"")="","","✔")</f>
        <v/>
      </c>
      <c r="L179" s="98" t="str">
        <f>IF(IFERROR(VLOOKUP(A179,'11.固床工'!C:D,1,0),"")="","","✔")</f>
        <v/>
      </c>
      <c r="M179" s="98" t="str">
        <f>IF(IFERROR(VLOOKUP(A179,'12.全套管基樁'!C:D,1,0),"")="","","✔")</f>
        <v/>
      </c>
      <c r="N179" s="98" t="str">
        <f>IF(IFERROR(VLOOKUP(A179,'13.鋼筋混凝土管工程'!C:D,1,0),"")="","","✔")</f>
        <v/>
      </c>
      <c r="O179" s="98" t="str">
        <f>IF(IFERROR(VLOOKUP(A179,'14.鋼版樁'!C:D,1,0),"")="","","✔")</f>
        <v/>
      </c>
      <c r="P179" s="98" t="str">
        <f>IF(IFERROR(VLOOKUP(A179,'15.路床 路基高程'!C:D,1,0),"")="","","✔")</f>
        <v/>
      </c>
      <c r="Q179" s="98" t="str">
        <f>IF(IFERROR(VLOOKUP(A179,'16.瀝青混凝土'!C:D,1,0),"")="","","✔")</f>
        <v/>
      </c>
      <c r="R179" s="98" t="str">
        <f>IF(IFERROR(VLOOKUP(A179,'17.景觀鋪面(一)'!C:D,1,0),"")="","","✔")</f>
        <v/>
      </c>
      <c r="S179" s="98" t="str">
        <f>IF(IFERROR(VLOOKUP(A179,'18.景觀鋪面(二)'!C:D,1,0),"")="","","✔")</f>
        <v/>
      </c>
      <c r="T179" s="98" t="str">
        <f>IF(IFERROR(VLOOKUP(A179,'19.預鑄緣石'!C:D,1,0),"")="","","✔")</f>
        <v/>
      </c>
      <c r="U179" s="98" t="str">
        <f>IF(IFERROR(VLOOKUP(A179,'20.鋼構工程吊裝'!C:D,1,0),"")="","","✔")</f>
        <v/>
      </c>
      <c r="V179" s="98" t="str">
        <f>IF(IFERROR(VLOOKUP(A179,'21.鋼構工程塗裝'!C:D,1,0),"")="","","✔")</f>
        <v/>
      </c>
      <c r="W179" s="98" t="str">
        <f>IF(IFERROR(VLOOKUP(A179,'22.排水設施(一)'!C:D,1,0),"")="","","✔")</f>
        <v/>
      </c>
      <c r="X179" s="98" t="str">
        <f>IF(IFERROR(VLOOKUP(A179,'23.排水設施(二)'!C:D,1,0),"")="","","✔")</f>
        <v/>
      </c>
      <c r="Y179" s="98" t="str">
        <f>IF(IFERROR(VLOOKUP(A179,'24.木構造'!C:D,1,0),"")="","","✔")</f>
        <v/>
      </c>
      <c r="Z179" s="98" t="str">
        <f>IF(IFERROR(VLOOKUP(A179,'25.管路'!C:D,1,0),"")="","","✔")</f>
        <v/>
      </c>
      <c r="AA179" s="98" t="str">
        <f>IF(IFERROR(VLOOKUP(A179,'26.植栽(移植)'!C:D,1,0),"")="","","✔")</f>
        <v/>
      </c>
      <c r="AB179" s="98" t="str">
        <f>IF(IFERROR(VLOOKUP(A179,'27.植栽(新植)'!C:D,1,0),"")="","","✔")</f>
        <v/>
      </c>
      <c r="AC179" s="98" t="str">
        <f>IF(IFERROR(VLOOKUP(A179,'28.照明'!C:D,1,0),"")="","","✔")</f>
        <v/>
      </c>
      <c r="AD179" s="98" t="str">
        <f>IF(IFERROR(VLOOKUP(A179,'29.既有橋梁拆除'!C:D,1,0),"")="","","✔")</f>
        <v/>
      </c>
    </row>
    <row r="180" spans="1:30" ht="21.75" customHeight="1" x14ac:dyDescent="0.25">
      <c r="A180" s="99">
        <v>45370</v>
      </c>
      <c r="B180" s="98" t="str">
        <f>IF(IFERROR(VLOOKUP(A180,'1.測量放樣'!C:D,1,0),"")="","","✔")</f>
        <v/>
      </c>
      <c r="C180" s="98" t="str">
        <f>IF(IFERROR(VLOOKUP(A180,'2.土方開挖'!C:D,1,0),"")="","","✔")</f>
        <v/>
      </c>
      <c r="D180" s="98" t="str">
        <f>IF(IFERROR(VLOOKUP(A180,'3.土方回填'!C:D,1,0),"")="","","✔")</f>
        <v/>
      </c>
      <c r="E180" s="98" t="str">
        <f>IF(IFERROR(VLOOKUP(A180,'4.鋼筋'!C:D,1,0),"")="","","✔")</f>
        <v/>
      </c>
      <c r="F180" s="98" t="str">
        <f>IF(IFERROR(VLOOKUP(A180,'5.模板'!C:D,1,0),"")="","","✔")</f>
        <v/>
      </c>
      <c r="G180" s="98" t="str">
        <f>IF(IFERROR(VLOOKUP(A180,'6.混凝土'!C:D,1,0),"")="","","✔")</f>
        <v/>
      </c>
      <c r="H180" s="98" t="str">
        <f>IF(IFERROR(VLOOKUP(A180,'7.植筋'!C:D,1,0),"")="","","✔")</f>
        <v/>
      </c>
      <c r="I180" s="98" t="str">
        <f>IF(IFERROR(VLOOKUP(A180,'8.預力混凝土基樁'!C:D,1,0),"")="","","✔")</f>
        <v/>
      </c>
      <c r="J180" s="98" t="str">
        <f>IF(IFERROR(VLOOKUP(A180,'9.砌塊石護岸'!C:D,1,0),"")="","","✔")</f>
        <v/>
      </c>
      <c r="K180" s="98" t="str">
        <f>IF(IFERROR(VLOOKUP(A180,'10.低水護岸'!C:D,1,0),"")="","","✔")</f>
        <v/>
      </c>
      <c r="L180" s="98" t="str">
        <f>IF(IFERROR(VLOOKUP(A180,'11.固床工'!C:D,1,0),"")="","","✔")</f>
        <v/>
      </c>
      <c r="M180" s="98" t="str">
        <f>IF(IFERROR(VLOOKUP(A180,'12.全套管基樁'!C:D,1,0),"")="","","✔")</f>
        <v/>
      </c>
      <c r="N180" s="98" t="str">
        <f>IF(IFERROR(VLOOKUP(A180,'13.鋼筋混凝土管工程'!C:D,1,0),"")="","","✔")</f>
        <v/>
      </c>
      <c r="O180" s="98" t="str">
        <f>IF(IFERROR(VLOOKUP(A180,'14.鋼版樁'!C:D,1,0),"")="","","✔")</f>
        <v/>
      </c>
      <c r="P180" s="98" t="str">
        <f>IF(IFERROR(VLOOKUP(A180,'15.路床 路基高程'!C:D,1,0),"")="","","✔")</f>
        <v/>
      </c>
      <c r="Q180" s="98" t="str">
        <f>IF(IFERROR(VLOOKUP(A180,'16.瀝青混凝土'!C:D,1,0),"")="","","✔")</f>
        <v/>
      </c>
      <c r="R180" s="98" t="str">
        <f>IF(IFERROR(VLOOKUP(A180,'17.景觀鋪面(一)'!C:D,1,0),"")="","","✔")</f>
        <v/>
      </c>
      <c r="S180" s="98" t="str">
        <f>IF(IFERROR(VLOOKUP(A180,'18.景觀鋪面(二)'!C:D,1,0),"")="","","✔")</f>
        <v/>
      </c>
      <c r="T180" s="98" t="str">
        <f>IF(IFERROR(VLOOKUP(A180,'19.預鑄緣石'!C:D,1,0),"")="","","✔")</f>
        <v/>
      </c>
      <c r="U180" s="98" t="str">
        <f>IF(IFERROR(VLOOKUP(A180,'20.鋼構工程吊裝'!C:D,1,0),"")="","","✔")</f>
        <v/>
      </c>
      <c r="V180" s="98" t="str">
        <f>IF(IFERROR(VLOOKUP(A180,'21.鋼構工程塗裝'!C:D,1,0),"")="","","✔")</f>
        <v/>
      </c>
      <c r="W180" s="98" t="str">
        <f>IF(IFERROR(VLOOKUP(A180,'22.排水設施(一)'!C:D,1,0),"")="","","✔")</f>
        <v/>
      </c>
      <c r="X180" s="98" t="str">
        <f>IF(IFERROR(VLOOKUP(A180,'23.排水設施(二)'!C:D,1,0),"")="","","✔")</f>
        <v/>
      </c>
      <c r="Y180" s="98" t="str">
        <f>IF(IFERROR(VLOOKUP(A180,'24.木構造'!C:D,1,0),"")="","","✔")</f>
        <v/>
      </c>
      <c r="Z180" s="98" t="str">
        <f>IF(IFERROR(VLOOKUP(A180,'25.管路'!C:D,1,0),"")="","","✔")</f>
        <v/>
      </c>
      <c r="AA180" s="98" t="str">
        <f>IF(IFERROR(VLOOKUP(A180,'26.植栽(移植)'!C:D,1,0),"")="","","✔")</f>
        <v/>
      </c>
      <c r="AB180" s="98" t="str">
        <f>IF(IFERROR(VLOOKUP(A180,'27.植栽(新植)'!C:D,1,0),"")="","","✔")</f>
        <v/>
      </c>
      <c r="AC180" s="98" t="str">
        <f>IF(IFERROR(VLOOKUP(A180,'28.照明'!C:D,1,0),"")="","","✔")</f>
        <v/>
      </c>
      <c r="AD180" s="98" t="str">
        <f>IF(IFERROR(VLOOKUP(A180,'29.既有橋梁拆除'!C:D,1,0),"")="","","✔")</f>
        <v/>
      </c>
    </row>
    <row r="181" spans="1:30" ht="21.75" customHeight="1" x14ac:dyDescent="0.25">
      <c r="A181" s="99">
        <v>45371</v>
      </c>
      <c r="B181" s="98" t="str">
        <f>IF(IFERROR(VLOOKUP(A181,'1.測量放樣'!C:D,1,0),"")="","","✔")</f>
        <v/>
      </c>
      <c r="C181" s="98" t="str">
        <f>IF(IFERROR(VLOOKUP(A181,'2.土方開挖'!C:D,1,0),"")="","","✔")</f>
        <v/>
      </c>
      <c r="D181" s="98" t="str">
        <f>IF(IFERROR(VLOOKUP(A181,'3.土方回填'!C:D,1,0),"")="","","✔")</f>
        <v/>
      </c>
      <c r="E181" s="98" t="str">
        <f>IF(IFERROR(VLOOKUP(A181,'4.鋼筋'!C:D,1,0),"")="","","✔")</f>
        <v/>
      </c>
      <c r="F181" s="98" t="str">
        <f>IF(IFERROR(VLOOKUP(A181,'5.模板'!C:D,1,0),"")="","","✔")</f>
        <v/>
      </c>
      <c r="G181" s="98" t="str">
        <f>IF(IFERROR(VLOOKUP(A181,'6.混凝土'!C:D,1,0),"")="","","✔")</f>
        <v/>
      </c>
      <c r="H181" s="98" t="str">
        <f>IF(IFERROR(VLOOKUP(A181,'7.植筋'!C:D,1,0),"")="","","✔")</f>
        <v/>
      </c>
      <c r="I181" s="98" t="str">
        <f>IF(IFERROR(VLOOKUP(A181,'8.預力混凝土基樁'!C:D,1,0),"")="","","✔")</f>
        <v/>
      </c>
      <c r="J181" s="98" t="str">
        <f>IF(IFERROR(VLOOKUP(A181,'9.砌塊石護岸'!C:D,1,0),"")="","","✔")</f>
        <v/>
      </c>
      <c r="K181" s="98" t="str">
        <f>IF(IFERROR(VLOOKUP(A181,'10.低水護岸'!C:D,1,0),"")="","","✔")</f>
        <v/>
      </c>
      <c r="L181" s="98" t="str">
        <f>IF(IFERROR(VLOOKUP(A181,'11.固床工'!C:D,1,0),"")="","","✔")</f>
        <v/>
      </c>
      <c r="M181" s="98" t="str">
        <f>IF(IFERROR(VLOOKUP(A181,'12.全套管基樁'!C:D,1,0),"")="","","✔")</f>
        <v/>
      </c>
      <c r="N181" s="98" t="str">
        <f>IF(IFERROR(VLOOKUP(A181,'13.鋼筋混凝土管工程'!C:D,1,0),"")="","","✔")</f>
        <v/>
      </c>
      <c r="O181" s="98" t="str">
        <f>IF(IFERROR(VLOOKUP(A181,'14.鋼版樁'!C:D,1,0),"")="","","✔")</f>
        <v/>
      </c>
      <c r="P181" s="98" t="str">
        <f>IF(IFERROR(VLOOKUP(A181,'15.路床 路基高程'!C:D,1,0),"")="","","✔")</f>
        <v/>
      </c>
      <c r="Q181" s="98" t="str">
        <f>IF(IFERROR(VLOOKUP(A181,'16.瀝青混凝土'!C:D,1,0),"")="","","✔")</f>
        <v/>
      </c>
      <c r="R181" s="98" t="str">
        <f>IF(IFERROR(VLOOKUP(A181,'17.景觀鋪面(一)'!C:D,1,0),"")="","","✔")</f>
        <v/>
      </c>
      <c r="S181" s="98" t="str">
        <f>IF(IFERROR(VLOOKUP(A181,'18.景觀鋪面(二)'!C:D,1,0),"")="","","✔")</f>
        <v/>
      </c>
      <c r="T181" s="98" t="str">
        <f>IF(IFERROR(VLOOKUP(A181,'19.預鑄緣石'!C:D,1,0),"")="","","✔")</f>
        <v/>
      </c>
      <c r="U181" s="98" t="str">
        <f>IF(IFERROR(VLOOKUP(A181,'20.鋼構工程吊裝'!C:D,1,0),"")="","","✔")</f>
        <v/>
      </c>
      <c r="V181" s="98" t="str">
        <f>IF(IFERROR(VLOOKUP(A181,'21.鋼構工程塗裝'!C:D,1,0),"")="","","✔")</f>
        <v/>
      </c>
      <c r="W181" s="98" t="str">
        <f>IF(IFERROR(VLOOKUP(A181,'22.排水設施(一)'!C:D,1,0),"")="","","✔")</f>
        <v/>
      </c>
      <c r="X181" s="98" t="str">
        <f>IF(IFERROR(VLOOKUP(A181,'23.排水設施(二)'!C:D,1,0),"")="","","✔")</f>
        <v/>
      </c>
      <c r="Y181" s="98" t="str">
        <f>IF(IFERROR(VLOOKUP(A181,'24.木構造'!C:D,1,0),"")="","","✔")</f>
        <v/>
      </c>
      <c r="Z181" s="98" t="str">
        <f>IF(IFERROR(VLOOKUP(A181,'25.管路'!C:D,1,0),"")="","","✔")</f>
        <v/>
      </c>
      <c r="AA181" s="98" t="str">
        <f>IF(IFERROR(VLOOKUP(A181,'26.植栽(移植)'!C:D,1,0),"")="","","✔")</f>
        <v/>
      </c>
      <c r="AB181" s="98" t="str">
        <f>IF(IFERROR(VLOOKUP(A181,'27.植栽(新植)'!C:D,1,0),"")="","","✔")</f>
        <v/>
      </c>
      <c r="AC181" s="98" t="str">
        <f>IF(IFERROR(VLOOKUP(A181,'28.照明'!C:D,1,0),"")="","","✔")</f>
        <v/>
      </c>
      <c r="AD181" s="98" t="str">
        <f>IF(IFERROR(VLOOKUP(A181,'29.既有橋梁拆除'!C:D,1,0),"")="","","✔")</f>
        <v/>
      </c>
    </row>
    <row r="182" spans="1:30" ht="21.75" customHeight="1" x14ac:dyDescent="0.25">
      <c r="A182" s="99">
        <v>45372</v>
      </c>
      <c r="B182" s="98" t="str">
        <f>IF(IFERROR(VLOOKUP(A182,'1.測量放樣'!C:D,1,0),"")="","","✔")</f>
        <v/>
      </c>
      <c r="C182" s="98" t="str">
        <f>IF(IFERROR(VLOOKUP(A182,'2.土方開挖'!C:D,1,0),"")="","","✔")</f>
        <v/>
      </c>
      <c r="D182" s="98" t="str">
        <f>IF(IFERROR(VLOOKUP(A182,'3.土方回填'!C:D,1,0),"")="","","✔")</f>
        <v/>
      </c>
      <c r="E182" s="98" t="str">
        <f>IF(IFERROR(VLOOKUP(A182,'4.鋼筋'!C:D,1,0),"")="","","✔")</f>
        <v/>
      </c>
      <c r="F182" s="98" t="str">
        <f>IF(IFERROR(VLOOKUP(A182,'5.模板'!C:D,1,0),"")="","","✔")</f>
        <v/>
      </c>
      <c r="G182" s="98" t="str">
        <f>IF(IFERROR(VLOOKUP(A182,'6.混凝土'!C:D,1,0),"")="","","✔")</f>
        <v/>
      </c>
      <c r="H182" s="98" t="str">
        <f>IF(IFERROR(VLOOKUP(A182,'7.植筋'!C:D,1,0),"")="","","✔")</f>
        <v/>
      </c>
      <c r="I182" s="98" t="str">
        <f>IF(IFERROR(VLOOKUP(A182,'8.預力混凝土基樁'!C:D,1,0),"")="","","✔")</f>
        <v/>
      </c>
      <c r="J182" s="98" t="str">
        <f>IF(IFERROR(VLOOKUP(A182,'9.砌塊石護岸'!C:D,1,0),"")="","","✔")</f>
        <v/>
      </c>
      <c r="K182" s="98" t="str">
        <f>IF(IFERROR(VLOOKUP(A182,'10.低水護岸'!C:D,1,0),"")="","","✔")</f>
        <v/>
      </c>
      <c r="L182" s="98" t="str">
        <f>IF(IFERROR(VLOOKUP(A182,'11.固床工'!C:D,1,0),"")="","","✔")</f>
        <v/>
      </c>
      <c r="M182" s="98" t="str">
        <f>IF(IFERROR(VLOOKUP(A182,'12.全套管基樁'!C:D,1,0),"")="","","✔")</f>
        <v/>
      </c>
      <c r="N182" s="98" t="str">
        <f>IF(IFERROR(VLOOKUP(A182,'13.鋼筋混凝土管工程'!C:D,1,0),"")="","","✔")</f>
        <v/>
      </c>
      <c r="O182" s="98" t="str">
        <f>IF(IFERROR(VLOOKUP(A182,'14.鋼版樁'!C:D,1,0),"")="","","✔")</f>
        <v/>
      </c>
      <c r="P182" s="98" t="str">
        <f>IF(IFERROR(VLOOKUP(A182,'15.路床 路基高程'!C:D,1,0),"")="","","✔")</f>
        <v/>
      </c>
      <c r="Q182" s="98" t="str">
        <f>IF(IFERROR(VLOOKUP(A182,'16.瀝青混凝土'!C:D,1,0),"")="","","✔")</f>
        <v/>
      </c>
      <c r="R182" s="98" t="str">
        <f>IF(IFERROR(VLOOKUP(A182,'17.景觀鋪面(一)'!C:D,1,0),"")="","","✔")</f>
        <v/>
      </c>
      <c r="S182" s="98" t="str">
        <f>IF(IFERROR(VLOOKUP(A182,'18.景觀鋪面(二)'!C:D,1,0),"")="","","✔")</f>
        <v/>
      </c>
      <c r="T182" s="98" t="str">
        <f>IF(IFERROR(VLOOKUP(A182,'19.預鑄緣石'!C:D,1,0),"")="","","✔")</f>
        <v/>
      </c>
      <c r="U182" s="98" t="str">
        <f>IF(IFERROR(VLOOKUP(A182,'20.鋼構工程吊裝'!C:D,1,0),"")="","","✔")</f>
        <v/>
      </c>
      <c r="V182" s="98" t="str">
        <f>IF(IFERROR(VLOOKUP(A182,'21.鋼構工程塗裝'!C:D,1,0),"")="","","✔")</f>
        <v/>
      </c>
      <c r="W182" s="98" t="str">
        <f>IF(IFERROR(VLOOKUP(A182,'22.排水設施(一)'!C:D,1,0),"")="","","✔")</f>
        <v/>
      </c>
      <c r="X182" s="98" t="str">
        <f>IF(IFERROR(VLOOKUP(A182,'23.排水設施(二)'!C:D,1,0),"")="","","✔")</f>
        <v/>
      </c>
      <c r="Y182" s="98" t="str">
        <f>IF(IFERROR(VLOOKUP(A182,'24.木構造'!C:D,1,0),"")="","","✔")</f>
        <v/>
      </c>
      <c r="Z182" s="98" t="str">
        <f>IF(IFERROR(VLOOKUP(A182,'25.管路'!C:D,1,0),"")="","","✔")</f>
        <v/>
      </c>
      <c r="AA182" s="98" t="str">
        <f>IF(IFERROR(VLOOKUP(A182,'26.植栽(移植)'!C:D,1,0),"")="","","✔")</f>
        <v/>
      </c>
      <c r="AB182" s="98" t="str">
        <f>IF(IFERROR(VLOOKUP(A182,'27.植栽(新植)'!C:D,1,0),"")="","","✔")</f>
        <v/>
      </c>
      <c r="AC182" s="98" t="str">
        <f>IF(IFERROR(VLOOKUP(A182,'28.照明'!C:D,1,0),"")="","","✔")</f>
        <v/>
      </c>
      <c r="AD182" s="98" t="str">
        <f>IF(IFERROR(VLOOKUP(A182,'29.既有橋梁拆除'!C:D,1,0),"")="","","✔")</f>
        <v/>
      </c>
    </row>
    <row r="183" spans="1:30" ht="21.75" customHeight="1" x14ac:dyDescent="0.25">
      <c r="A183" s="99">
        <v>45373</v>
      </c>
      <c r="B183" s="98" t="str">
        <f>IF(IFERROR(VLOOKUP(A183,'1.測量放樣'!C:D,1,0),"")="","","✔")</f>
        <v/>
      </c>
      <c r="C183" s="98" t="str">
        <f>IF(IFERROR(VLOOKUP(A183,'2.土方開挖'!C:D,1,0),"")="","","✔")</f>
        <v/>
      </c>
      <c r="D183" s="98" t="str">
        <f>IF(IFERROR(VLOOKUP(A183,'3.土方回填'!C:D,1,0),"")="","","✔")</f>
        <v/>
      </c>
      <c r="E183" s="98" t="str">
        <f>IF(IFERROR(VLOOKUP(A183,'4.鋼筋'!C:D,1,0),"")="","","✔")</f>
        <v/>
      </c>
      <c r="F183" s="98" t="str">
        <f>IF(IFERROR(VLOOKUP(A183,'5.模板'!C:D,1,0),"")="","","✔")</f>
        <v/>
      </c>
      <c r="G183" s="98" t="str">
        <f>IF(IFERROR(VLOOKUP(A183,'6.混凝土'!C:D,1,0),"")="","","✔")</f>
        <v/>
      </c>
      <c r="H183" s="98" t="str">
        <f>IF(IFERROR(VLOOKUP(A183,'7.植筋'!C:D,1,0),"")="","","✔")</f>
        <v/>
      </c>
      <c r="I183" s="98" t="str">
        <f>IF(IFERROR(VLOOKUP(A183,'8.預力混凝土基樁'!C:D,1,0),"")="","","✔")</f>
        <v/>
      </c>
      <c r="J183" s="98" t="str">
        <f>IF(IFERROR(VLOOKUP(A183,'9.砌塊石護岸'!C:D,1,0),"")="","","✔")</f>
        <v/>
      </c>
      <c r="K183" s="98" t="str">
        <f>IF(IFERROR(VLOOKUP(A183,'10.低水護岸'!C:D,1,0),"")="","","✔")</f>
        <v/>
      </c>
      <c r="L183" s="98" t="str">
        <f>IF(IFERROR(VLOOKUP(A183,'11.固床工'!C:D,1,0),"")="","","✔")</f>
        <v/>
      </c>
      <c r="M183" s="98" t="str">
        <f>IF(IFERROR(VLOOKUP(A183,'12.全套管基樁'!C:D,1,0),"")="","","✔")</f>
        <v/>
      </c>
      <c r="N183" s="98" t="str">
        <f>IF(IFERROR(VLOOKUP(A183,'13.鋼筋混凝土管工程'!C:D,1,0),"")="","","✔")</f>
        <v/>
      </c>
      <c r="O183" s="98" t="str">
        <f>IF(IFERROR(VLOOKUP(A183,'14.鋼版樁'!C:D,1,0),"")="","","✔")</f>
        <v/>
      </c>
      <c r="P183" s="98" t="str">
        <f>IF(IFERROR(VLOOKUP(A183,'15.路床 路基高程'!C:D,1,0),"")="","","✔")</f>
        <v/>
      </c>
      <c r="Q183" s="98" t="str">
        <f>IF(IFERROR(VLOOKUP(A183,'16.瀝青混凝土'!C:D,1,0),"")="","","✔")</f>
        <v/>
      </c>
      <c r="R183" s="98" t="str">
        <f>IF(IFERROR(VLOOKUP(A183,'17.景觀鋪面(一)'!C:D,1,0),"")="","","✔")</f>
        <v/>
      </c>
      <c r="S183" s="98" t="str">
        <f>IF(IFERROR(VLOOKUP(A183,'18.景觀鋪面(二)'!C:D,1,0),"")="","","✔")</f>
        <v/>
      </c>
      <c r="T183" s="98" t="str">
        <f>IF(IFERROR(VLOOKUP(A183,'19.預鑄緣石'!C:D,1,0),"")="","","✔")</f>
        <v/>
      </c>
      <c r="U183" s="98" t="str">
        <f>IF(IFERROR(VLOOKUP(A183,'20.鋼構工程吊裝'!C:D,1,0),"")="","","✔")</f>
        <v/>
      </c>
      <c r="V183" s="98" t="str">
        <f>IF(IFERROR(VLOOKUP(A183,'21.鋼構工程塗裝'!C:D,1,0),"")="","","✔")</f>
        <v/>
      </c>
      <c r="W183" s="98" t="str">
        <f>IF(IFERROR(VLOOKUP(A183,'22.排水設施(一)'!C:D,1,0),"")="","","✔")</f>
        <v/>
      </c>
      <c r="X183" s="98" t="str">
        <f>IF(IFERROR(VLOOKUP(A183,'23.排水設施(二)'!C:D,1,0),"")="","","✔")</f>
        <v/>
      </c>
      <c r="Y183" s="98" t="str">
        <f>IF(IFERROR(VLOOKUP(A183,'24.木構造'!C:D,1,0),"")="","","✔")</f>
        <v/>
      </c>
      <c r="Z183" s="98" t="str">
        <f>IF(IFERROR(VLOOKUP(A183,'25.管路'!C:D,1,0),"")="","","✔")</f>
        <v/>
      </c>
      <c r="AA183" s="98" t="str">
        <f>IF(IFERROR(VLOOKUP(A183,'26.植栽(移植)'!C:D,1,0),"")="","","✔")</f>
        <v/>
      </c>
      <c r="AB183" s="98" t="str">
        <f>IF(IFERROR(VLOOKUP(A183,'27.植栽(新植)'!C:D,1,0),"")="","","✔")</f>
        <v/>
      </c>
      <c r="AC183" s="98" t="str">
        <f>IF(IFERROR(VLOOKUP(A183,'28.照明'!C:D,1,0),"")="","","✔")</f>
        <v/>
      </c>
      <c r="AD183" s="98" t="str">
        <f>IF(IFERROR(VLOOKUP(A183,'29.既有橋梁拆除'!C:D,1,0),"")="","","✔")</f>
        <v/>
      </c>
    </row>
    <row r="184" spans="1:30" ht="21.75" customHeight="1" x14ac:dyDescent="0.25">
      <c r="A184" s="99">
        <v>45374</v>
      </c>
      <c r="B184" s="98" t="str">
        <f>IF(IFERROR(VLOOKUP(A184,'1.測量放樣'!C:D,1,0),"")="","","✔")</f>
        <v/>
      </c>
      <c r="C184" s="98" t="str">
        <f>IF(IFERROR(VLOOKUP(A184,'2.土方開挖'!C:D,1,0),"")="","","✔")</f>
        <v/>
      </c>
      <c r="D184" s="98" t="str">
        <f>IF(IFERROR(VLOOKUP(A184,'3.土方回填'!C:D,1,0),"")="","","✔")</f>
        <v/>
      </c>
      <c r="E184" s="98" t="str">
        <f>IF(IFERROR(VLOOKUP(A184,'4.鋼筋'!C:D,1,0),"")="","","✔")</f>
        <v/>
      </c>
      <c r="F184" s="98" t="str">
        <f>IF(IFERROR(VLOOKUP(A184,'5.模板'!C:D,1,0),"")="","","✔")</f>
        <v/>
      </c>
      <c r="G184" s="98" t="str">
        <f>IF(IFERROR(VLOOKUP(A184,'6.混凝土'!C:D,1,0),"")="","","✔")</f>
        <v/>
      </c>
      <c r="H184" s="98" t="str">
        <f>IF(IFERROR(VLOOKUP(A184,'7.植筋'!C:D,1,0),"")="","","✔")</f>
        <v/>
      </c>
      <c r="I184" s="98" t="str">
        <f>IF(IFERROR(VLOOKUP(A184,'8.預力混凝土基樁'!C:D,1,0),"")="","","✔")</f>
        <v/>
      </c>
      <c r="J184" s="98" t="str">
        <f>IF(IFERROR(VLOOKUP(A184,'9.砌塊石護岸'!C:D,1,0),"")="","","✔")</f>
        <v/>
      </c>
      <c r="K184" s="98" t="str">
        <f>IF(IFERROR(VLOOKUP(A184,'10.低水護岸'!C:D,1,0),"")="","","✔")</f>
        <v/>
      </c>
      <c r="L184" s="98" t="str">
        <f>IF(IFERROR(VLOOKUP(A184,'11.固床工'!C:D,1,0),"")="","","✔")</f>
        <v/>
      </c>
      <c r="M184" s="98" t="str">
        <f>IF(IFERROR(VLOOKUP(A184,'12.全套管基樁'!C:D,1,0),"")="","","✔")</f>
        <v/>
      </c>
      <c r="N184" s="98" t="str">
        <f>IF(IFERROR(VLOOKUP(A184,'13.鋼筋混凝土管工程'!C:D,1,0),"")="","","✔")</f>
        <v/>
      </c>
      <c r="O184" s="98" t="str">
        <f>IF(IFERROR(VLOOKUP(A184,'14.鋼版樁'!C:D,1,0),"")="","","✔")</f>
        <v/>
      </c>
      <c r="P184" s="98" t="str">
        <f>IF(IFERROR(VLOOKUP(A184,'15.路床 路基高程'!C:D,1,0),"")="","","✔")</f>
        <v/>
      </c>
      <c r="Q184" s="98" t="str">
        <f>IF(IFERROR(VLOOKUP(A184,'16.瀝青混凝土'!C:D,1,0),"")="","","✔")</f>
        <v/>
      </c>
      <c r="R184" s="98" t="str">
        <f>IF(IFERROR(VLOOKUP(A184,'17.景觀鋪面(一)'!C:D,1,0),"")="","","✔")</f>
        <v/>
      </c>
      <c r="S184" s="98" t="str">
        <f>IF(IFERROR(VLOOKUP(A184,'18.景觀鋪面(二)'!C:D,1,0),"")="","","✔")</f>
        <v/>
      </c>
      <c r="T184" s="98" t="str">
        <f>IF(IFERROR(VLOOKUP(A184,'19.預鑄緣石'!C:D,1,0),"")="","","✔")</f>
        <v/>
      </c>
      <c r="U184" s="98" t="str">
        <f>IF(IFERROR(VLOOKUP(A184,'20.鋼構工程吊裝'!C:D,1,0),"")="","","✔")</f>
        <v/>
      </c>
      <c r="V184" s="98" t="str">
        <f>IF(IFERROR(VLOOKUP(A184,'21.鋼構工程塗裝'!C:D,1,0),"")="","","✔")</f>
        <v/>
      </c>
      <c r="W184" s="98" t="str">
        <f>IF(IFERROR(VLOOKUP(A184,'22.排水設施(一)'!C:D,1,0),"")="","","✔")</f>
        <v/>
      </c>
      <c r="X184" s="98" t="str">
        <f>IF(IFERROR(VLOOKUP(A184,'23.排水設施(二)'!C:D,1,0),"")="","","✔")</f>
        <v/>
      </c>
      <c r="Y184" s="98" t="str">
        <f>IF(IFERROR(VLOOKUP(A184,'24.木構造'!C:D,1,0),"")="","","✔")</f>
        <v/>
      </c>
      <c r="Z184" s="98" t="str">
        <f>IF(IFERROR(VLOOKUP(A184,'25.管路'!C:D,1,0),"")="","","✔")</f>
        <v/>
      </c>
      <c r="AA184" s="98" t="str">
        <f>IF(IFERROR(VLOOKUP(A184,'26.植栽(移植)'!C:D,1,0),"")="","","✔")</f>
        <v/>
      </c>
      <c r="AB184" s="98" t="str">
        <f>IF(IFERROR(VLOOKUP(A184,'27.植栽(新植)'!C:D,1,0),"")="","","✔")</f>
        <v/>
      </c>
      <c r="AC184" s="98" t="str">
        <f>IF(IFERROR(VLOOKUP(A184,'28.照明'!C:D,1,0),"")="","","✔")</f>
        <v/>
      </c>
      <c r="AD184" s="98" t="str">
        <f>IF(IFERROR(VLOOKUP(A184,'29.既有橋梁拆除'!C:D,1,0),"")="","","✔")</f>
        <v/>
      </c>
    </row>
    <row r="185" spans="1:30" ht="21.75" customHeight="1" x14ac:dyDescent="0.25">
      <c r="A185" s="99">
        <v>45375</v>
      </c>
      <c r="B185" s="98" t="str">
        <f>IF(IFERROR(VLOOKUP(A185,'1.測量放樣'!C:D,1,0),"")="","","✔")</f>
        <v/>
      </c>
      <c r="C185" s="98" t="str">
        <f>IF(IFERROR(VLOOKUP(A185,'2.土方開挖'!C:D,1,0),"")="","","✔")</f>
        <v/>
      </c>
      <c r="D185" s="98" t="str">
        <f>IF(IFERROR(VLOOKUP(A185,'3.土方回填'!C:D,1,0),"")="","","✔")</f>
        <v/>
      </c>
      <c r="E185" s="98" t="str">
        <f>IF(IFERROR(VLOOKUP(A185,'4.鋼筋'!C:D,1,0),"")="","","✔")</f>
        <v/>
      </c>
      <c r="F185" s="98" t="str">
        <f>IF(IFERROR(VLOOKUP(A185,'5.模板'!C:D,1,0),"")="","","✔")</f>
        <v/>
      </c>
      <c r="G185" s="98" t="str">
        <f>IF(IFERROR(VLOOKUP(A185,'6.混凝土'!C:D,1,0),"")="","","✔")</f>
        <v/>
      </c>
      <c r="H185" s="98" t="str">
        <f>IF(IFERROR(VLOOKUP(A185,'7.植筋'!C:D,1,0),"")="","","✔")</f>
        <v/>
      </c>
      <c r="I185" s="98" t="str">
        <f>IF(IFERROR(VLOOKUP(A185,'8.預力混凝土基樁'!C:D,1,0),"")="","","✔")</f>
        <v/>
      </c>
      <c r="J185" s="98" t="str">
        <f>IF(IFERROR(VLOOKUP(A185,'9.砌塊石護岸'!C:D,1,0),"")="","","✔")</f>
        <v/>
      </c>
      <c r="K185" s="98" t="str">
        <f>IF(IFERROR(VLOOKUP(A185,'10.低水護岸'!C:D,1,0),"")="","","✔")</f>
        <v/>
      </c>
      <c r="L185" s="98" t="str">
        <f>IF(IFERROR(VLOOKUP(A185,'11.固床工'!C:D,1,0),"")="","","✔")</f>
        <v/>
      </c>
      <c r="M185" s="98" t="str">
        <f>IF(IFERROR(VLOOKUP(A185,'12.全套管基樁'!C:D,1,0),"")="","","✔")</f>
        <v/>
      </c>
      <c r="N185" s="98" t="str">
        <f>IF(IFERROR(VLOOKUP(A185,'13.鋼筋混凝土管工程'!C:D,1,0),"")="","","✔")</f>
        <v/>
      </c>
      <c r="O185" s="98" t="str">
        <f>IF(IFERROR(VLOOKUP(A185,'14.鋼版樁'!C:D,1,0),"")="","","✔")</f>
        <v/>
      </c>
      <c r="P185" s="98" t="str">
        <f>IF(IFERROR(VLOOKUP(A185,'15.路床 路基高程'!C:D,1,0),"")="","","✔")</f>
        <v/>
      </c>
      <c r="Q185" s="98" t="str">
        <f>IF(IFERROR(VLOOKUP(A185,'16.瀝青混凝土'!C:D,1,0),"")="","","✔")</f>
        <v/>
      </c>
      <c r="R185" s="98" t="str">
        <f>IF(IFERROR(VLOOKUP(A185,'17.景觀鋪面(一)'!C:D,1,0),"")="","","✔")</f>
        <v/>
      </c>
      <c r="S185" s="98" t="str">
        <f>IF(IFERROR(VLOOKUP(A185,'18.景觀鋪面(二)'!C:D,1,0),"")="","","✔")</f>
        <v/>
      </c>
      <c r="T185" s="98" t="str">
        <f>IF(IFERROR(VLOOKUP(A185,'19.預鑄緣石'!C:D,1,0),"")="","","✔")</f>
        <v/>
      </c>
      <c r="U185" s="98" t="str">
        <f>IF(IFERROR(VLOOKUP(A185,'20.鋼構工程吊裝'!C:D,1,0),"")="","","✔")</f>
        <v/>
      </c>
      <c r="V185" s="98" t="str">
        <f>IF(IFERROR(VLOOKUP(A185,'21.鋼構工程塗裝'!C:D,1,0),"")="","","✔")</f>
        <v/>
      </c>
      <c r="W185" s="98" t="str">
        <f>IF(IFERROR(VLOOKUP(A185,'22.排水設施(一)'!C:D,1,0),"")="","","✔")</f>
        <v/>
      </c>
      <c r="X185" s="98" t="str">
        <f>IF(IFERROR(VLOOKUP(A185,'23.排水設施(二)'!C:D,1,0),"")="","","✔")</f>
        <v/>
      </c>
      <c r="Y185" s="98" t="str">
        <f>IF(IFERROR(VLOOKUP(A185,'24.木構造'!C:D,1,0),"")="","","✔")</f>
        <v/>
      </c>
      <c r="Z185" s="98" t="str">
        <f>IF(IFERROR(VLOOKUP(A185,'25.管路'!C:D,1,0),"")="","","✔")</f>
        <v/>
      </c>
      <c r="AA185" s="98" t="str">
        <f>IF(IFERROR(VLOOKUP(A185,'26.植栽(移植)'!C:D,1,0),"")="","","✔")</f>
        <v/>
      </c>
      <c r="AB185" s="98" t="str">
        <f>IF(IFERROR(VLOOKUP(A185,'27.植栽(新植)'!C:D,1,0),"")="","","✔")</f>
        <v/>
      </c>
      <c r="AC185" s="98" t="str">
        <f>IF(IFERROR(VLOOKUP(A185,'28.照明'!C:D,1,0),"")="","","✔")</f>
        <v/>
      </c>
      <c r="AD185" s="98" t="str">
        <f>IF(IFERROR(VLOOKUP(A185,'29.既有橋梁拆除'!C:D,1,0),"")="","","✔")</f>
        <v/>
      </c>
    </row>
    <row r="186" spans="1:30" ht="21.75" customHeight="1" x14ac:dyDescent="0.25">
      <c r="A186" s="99">
        <v>45376</v>
      </c>
      <c r="B186" s="98" t="str">
        <f>IF(IFERROR(VLOOKUP(A186,'1.測量放樣'!C:D,1,0),"")="","","✔")</f>
        <v/>
      </c>
      <c r="C186" s="98" t="str">
        <f>IF(IFERROR(VLOOKUP(A186,'2.土方開挖'!C:D,1,0),"")="","","✔")</f>
        <v/>
      </c>
      <c r="D186" s="98" t="str">
        <f>IF(IFERROR(VLOOKUP(A186,'3.土方回填'!C:D,1,0),"")="","","✔")</f>
        <v/>
      </c>
      <c r="E186" s="98" t="str">
        <f>IF(IFERROR(VLOOKUP(A186,'4.鋼筋'!C:D,1,0),"")="","","✔")</f>
        <v/>
      </c>
      <c r="F186" s="98" t="str">
        <f>IF(IFERROR(VLOOKUP(A186,'5.模板'!C:D,1,0),"")="","","✔")</f>
        <v/>
      </c>
      <c r="G186" s="98" t="str">
        <f>IF(IFERROR(VLOOKUP(A186,'6.混凝土'!C:D,1,0),"")="","","✔")</f>
        <v>✔</v>
      </c>
      <c r="H186" s="98" t="str">
        <f>IF(IFERROR(VLOOKUP(A186,'7.植筋'!C:D,1,0),"")="","","✔")</f>
        <v/>
      </c>
      <c r="I186" s="98" t="str">
        <f>IF(IFERROR(VLOOKUP(A186,'8.預力混凝土基樁'!C:D,1,0),"")="","","✔")</f>
        <v/>
      </c>
      <c r="J186" s="98" t="str">
        <f>IF(IFERROR(VLOOKUP(A186,'9.砌塊石護岸'!C:D,1,0),"")="","","✔")</f>
        <v/>
      </c>
      <c r="K186" s="98" t="str">
        <f>IF(IFERROR(VLOOKUP(A186,'10.低水護岸'!C:D,1,0),"")="","","✔")</f>
        <v/>
      </c>
      <c r="L186" s="98" t="str">
        <f>IF(IFERROR(VLOOKUP(A186,'11.固床工'!C:D,1,0),"")="","","✔")</f>
        <v/>
      </c>
      <c r="M186" s="98" t="str">
        <f>IF(IFERROR(VLOOKUP(A186,'12.全套管基樁'!C:D,1,0),"")="","","✔")</f>
        <v/>
      </c>
      <c r="N186" s="98" t="str">
        <f>IF(IFERROR(VLOOKUP(A186,'13.鋼筋混凝土管工程'!C:D,1,0),"")="","","✔")</f>
        <v/>
      </c>
      <c r="O186" s="98" t="str">
        <f>IF(IFERROR(VLOOKUP(A186,'14.鋼版樁'!C:D,1,0),"")="","","✔")</f>
        <v/>
      </c>
      <c r="P186" s="98" t="str">
        <f>IF(IFERROR(VLOOKUP(A186,'15.路床 路基高程'!C:D,1,0),"")="","","✔")</f>
        <v/>
      </c>
      <c r="Q186" s="98" t="str">
        <f>IF(IFERROR(VLOOKUP(A186,'16.瀝青混凝土'!C:D,1,0),"")="","","✔")</f>
        <v/>
      </c>
      <c r="R186" s="98" t="str">
        <f>IF(IFERROR(VLOOKUP(A186,'17.景觀鋪面(一)'!C:D,1,0),"")="","","✔")</f>
        <v/>
      </c>
      <c r="S186" s="98" t="str">
        <f>IF(IFERROR(VLOOKUP(A186,'18.景觀鋪面(二)'!C:D,1,0),"")="","","✔")</f>
        <v/>
      </c>
      <c r="T186" s="98" t="str">
        <f>IF(IFERROR(VLOOKUP(A186,'19.預鑄緣石'!C:D,1,0),"")="","","✔")</f>
        <v/>
      </c>
      <c r="U186" s="98" t="str">
        <f>IF(IFERROR(VLOOKUP(A186,'20.鋼構工程吊裝'!C:D,1,0),"")="","","✔")</f>
        <v/>
      </c>
      <c r="V186" s="98" t="str">
        <f>IF(IFERROR(VLOOKUP(A186,'21.鋼構工程塗裝'!C:D,1,0),"")="","","✔")</f>
        <v/>
      </c>
      <c r="W186" s="98" t="str">
        <f>IF(IFERROR(VLOOKUP(A186,'22.排水設施(一)'!C:D,1,0),"")="","","✔")</f>
        <v/>
      </c>
      <c r="X186" s="98" t="str">
        <f>IF(IFERROR(VLOOKUP(A186,'23.排水設施(二)'!C:D,1,0),"")="","","✔")</f>
        <v/>
      </c>
      <c r="Y186" s="98" t="str">
        <f>IF(IFERROR(VLOOKUP(A186,'24.木構造'!C:D,1,0),"")="","","✔")</f>
        <v/>
      </c>
      <c r="Z186" s="98" t="str">
        <f>IF(IFERROR(VLOOKUP(A186,'25.管路'!C:D,1,0),"")="","","✔")</f>
        <v/>
      </c>
      <c r="AA186" s="98" t="str">
        <f>IF(IFERROR(VLOOKUP(A186,'26.植栽(移植)'!C:D,1,0),"")="","","✔")</f>
        <v/>
      </c>
      <c r="AB186" s="98" t="str">
        <f>IF(IFERROR(VLOOKUP(A186,'27.植栽(新植)'!C:D,1,0),"")="","","✔")</f>
        <v/>
      </c>
      <c r="AC186" s="98" t="str">
        <f>IF(IFERROR(VLOOKUP(A186,'28.照明'!C:D,1,0),"")="","","✔")</f>
        <v/>
      </c>
      <c r="AD186" s="98" t="str">
        <f>IF(IFERROR(VLOOKUP(A186,'29.既有橋梁拆除'!C:D,1,0),"")="","","✔")</f>
        <v/>
      </c>
    </row>
    <row r="187" spans="1:30" ht="21.75" customHeight="1" x14ac:dyDescent="0.25">
      <c r="A187" s="99">
        <v>45377</v>
      </c>
      <c r="B187" s="98" t="str">
        <f>IF(IFERROR(VLOOKUP(A187,'1.測量放樣'!C:D,1,0),"")="","","✔")</f>
        <v/>
      </c>
      <c r="C187" s="98" t="str">
        <f>IF(IFERROR(VLOOKUP(A187,'2.土方開挖'!C:D,1,0),"")="","","✔")</f>
        <v/>
      </c>
      <c r="D187" s="98" t="str">
        <f>IF(IFERROR(VLOOKUP(A187,'3.土方回填'!C:D,1,0),"")="","","✔")</f>
        <v/>
      </c>
      <c r="E187" s="98" t="str">
        <f>IF(IFERROR(VLOOKUP(A187,'4.鋼筋'!C:D,1,0),"")="","","✔")</f>
        <v>✔</v>
      </c>
      <c r="F187" s="98" t="str">
        <f>IF(IFERROR(VLOOKUP(A187,'5.模板'!C:D,1,0),"")="","","✔")</f>
        <v/>
      </c>
      <c r="G187" s="98" t="str">
        <f>IF(IFERROR(VLOOKUP(A187,'6.混凝土'!C:D,1,0),"")="","","✔")</f>
        <v/>
      </c>
      <c r="H187" s="98" t="str">
        <f>IF(IFERROR(VLOOKUP(A187,'7.植筋'!C:D,1,0),"")="","","✔")</f>
        <v/>
      </c>
      <c r="I187" s="98" t="str">
        <f>IF(IFERROR(VLOOKUP(A187,'8.預力混凝土基樁'!C:D,1,0),"")="","","✔")</f>
        <v/>
      </c>
      <c r="J187" s="98" t="str">
        <f>IF(IFERROR(VLOOKUP(A187,'9.砌塊石護岸'!C:D,1,0),"")="","","✔")</f>
        <v/>
      </c>
      <c r="K187" s="98" t="str">
        <f>IF(IFERROR(VLOOKUP(A187,'10.低水護岸'!C:D,1,0),"")="","","✔")</f>
        <v/>
      </c>
      <c r="L187" s="98" t="str">
        <f>IF(IFERROR(VLOOKUP(A187,'11.固床工'!C:D,1,0),"")="","","✔")</f>
        <v/>
      </c>
      <c r="M187" s="98" t="str">
        <f>IF(IFERROR(VLOOKUP(A187,'12.全套管基樁'!C:D,1,0),"")="","","✔")</f>
        <v/>
      </c>
      <c r="N187" s="98" t="str">
        <f>IF(IFERROR(VLOOKUP(A187,'13.鋼筋混凝土管工程'!C:D,1,0),"")="","","✔")</f>
        <v/>
      </c>
      <c r="O187" s="98" t="str">
        <f>IF(IFERROR(VLOOKUP(A187,'14.鋼版樁'!C:D,1,0),"")="","","✔")</f>
        <v/>
      </c>
      <c r="P187" s="98" t="str">
        <f>IF(IFERROR(VLOOKUP(A187,'15.路床 路基高程'!C:D,1,0),"")="","","✔")</f>
        <v/>
      </c>
      <c r="Q187" s="98" t="str">
        <f>IF(IFERROR(VLOOKUP(A187,'16.瀝青混凝土'!C:D,1,0),"")="","","✔")</f>
        <v/>
      </c>
      <c r="R187" s="98" t="str">
        <f>IF(IFERROR(VLOOKUP(A187,'17.景觀鋪面(一)'!C:D,1,0),"")="","","✔")</f>
        <v/>
      </c>
      <c r="S187" s="98" t="str">
        <f>IF(IFERROR(VLOOKUP(A187,'18.景觀鋪面(二)'!C:D,1,0),"")="","","✔")</f>
        <v/>
      </c>
      <c r="T187" s="98" t="str">
        <f>IF(IFERROR(VLOOKUP(A187,'19.預鑄緣石'!C:D,1,0),"")="","","✔")</f>
        <v/>
      </c>
      <c r="U187" s="98" t="str">
        <f>IF(IFERROR(VLOOKUP(A187,'20.鋼構工程吊裝'!C:D,1,0),"")="","","✔")</f>
        <v/>
      </c>
      <c r="V187" s="98" t="str">
        <f>IF(IFERROR(VLOOKUP(A187,'21.鋼構工程塗裝'!C:D,1,0),"")="","","✔")</f>
        <v/>
      </c>
      <c r="W187" s="98" t="str">
        <f>IF(IFERROR(VLOOKUP(A187,'22.排水設施(一)'!C:D,1,0),"")="","","✔")</f>
        <v/>
      </c>
      <c r="X187" s="98" t="str">
        <f>IF(IFERROR(VLOOKUP(A187,'23.排水設施(二)'!C:D,1,0),"")="","","✔")</f>
        <v/>
      </c>
      <c r="Y187" s="98" t="str">
        <f>IF(IFERROR(VLOOKUP(A187,'24.木構造'!C:D,1,0),"")="","","✔")</f>
        <v/>
      </c>
      <c r="Z187" s="98" t="str">
        <f>IF(IFERROR(VLOOKUP(A187,'25.管路'!C:D,1,0),"")="","","✔")</f>
        <v/>
      </c>
      <c r="AA187" s="98" t="str">
        <f>IF(IFERROR(VLOOKUP(A187,'26.植栽(移植)'!C:D,1,0),"")="","","✔")</f>
        <v/>
      </c>
      <c r="AB187" s="98" t="str">
        <f>IF(IFERROR(VLOOKUP(A187,'27.植栽(新植)'!C:D,1,0),"")="","","✔")</f>
        <v/>
      </c>
      <c r="AC187" s="98" t="str">
        <f>IF(IFERROR(VLOOKUP(A187,'28.照明'!C:D,1,0),"")="","","✔")</f>
        <v/>
      </c>
      <c r="AD187" s="98" t="str">
        <f>IF(IFERROR(VLOOKUP(A187,'29.既有橋梁拆除'!C:D,1,0),"")="","","✔")</f>
        <v/>
      </c>
    </row>
    <row r="188" spans="1:30" ht="21.75" customHeight="1" x14ac:dyDescent="0.25">
      <c r="A188" s="99">
        <v>45378</v>
      </c>
      <c r="B188" s="98" t="str">
        <f>IF(IFERROR(VLOOKUP(A188,'1.測量放樣'!C:D,1,0),"")="","","✔")</f>
        <v/>
      </c>
      <c r="C188" s="98" t="str">
        <f>IF(IFERROR(VLOOKUP(A188,'2.土方開挖'!C:D,1,0),"")="","","✔")</f>
        <v/>
      </c>
      <c r="D188" s="98" t="str">
        <f>IF(IFERROR(VLOOKUP(A188,'3.土方回填'!C:D,1,0),"")="","","✔")</f>
        <v/>
      </c>
      <c r="E188" s="98" t="str">
        <f>IF(IFERROR(VLOOKUP(A188,'4.鋼筋'!C:D,1,0),"")="","","✔")</f>
        <v/>
      </c>
      <c r="F188" s="98" t="str">
        <f>IF(IFERROR(VLOOKUP(A188,'5.模板'!C:D,1,0),"")="","","✔")</f>
        <v>✔</v>
      </c>
      <c r="G188" s="98" t="str">
        <f>IF(IFERROR(VLOOKUP(A188,'6.混凝土'!C:D,1,0),"")="","","✔")</f>
        <v>✔</v>
      </c>
      <c r="H188" s="98" t="str">
        <f>IF(IFERROR(VLOOKUP(A188,'7.植筋'!C:D,1,0),"")="","","✔")</f>
        <v/>
      </c>
      <c r="I188" s="98" t="str">
        <f>IF(IFERROR(VLOOKUP(A188,'8.預力混凝土基樁'!C:D,1,0),"")="","","✔")</f>
        <v/>
      </c>
      <c r="J188" s="98" t="str">
        <f>IF(IFERROR(VLOOKUP(A188,'9.砌塊石護岸'!C:D,1,0),"")="","","✔")</f>
        <v/>
      </c>
      <c r="K188" s="98" t="str">
        <f>IF(IFERROR(VLOOKUP(A188,'10.低水護岸'!C:D,1,0),"")="","","✔")</f>
        <v/>
      </c>
      <c r="L188" s="98" t="str">
        <f>IF(IFERROR(VLOOKUP(A188,'11.固床工'!C:D,1,0),"")="","","✔")</f>
        <v/>
      </c>
      <c r="M188" s="98" t="str">
        <f>IF(IFERROR(VLOOKUP(A188,'12.全套管基樁'!C:D,1,0),"")="","","✔")</f>
        <v/>
      </c>
      <c r="N188" s="98" t="str">
        <f>IF(IFERROR(VLOOKUP(A188,'13.鋼筋混凝土管工程'!C:D,1,0),"")="","","✔")</f>
        <v/>
      </c>
      <c r="O188" s="98" t="str">
        <f>IF(IFERROR(VLOOKUP(A188,'14.鋼版樁'!C:D,1,0),"")="","","✔")</f>
        <v/>
      </c>
      <c r="P188" s="98" t="str">
        <f>IF(IFERROR(VLOOKUP(A188,'15.路床 路基高程'!C:D,1,0),"")="","","✔")</f>
        <v/>
      </c>
      <c r="Q188" s="98" t="str">
        <f>IF(IFERROR(VLOOKUP(A188,'16.瀝青混凝土'!C:D,1,0),"")="","","✔")</f>
        <v/>
      </c>
      <c r="R188" s="98" t="str">
        <f>IF(IFERROR(VLOOKUP(A188,'17.景觀鋪面(一)'!C:D,1,0),"")="","","✔")</f>
        <v/>
      </c>
      <c r="S188" s="98" t="str">
        <f>IF(IFERROR(VLOOKUP(A188,'18.景觀鋪面(二)'!C:D,1,0),"")="","","✔")</f>
        <v/>
      </c>
      <c r="T188" s="98" t="str">
        <f>IF(IFERROR(VLOOKUP(A188,'19.預鑄緣石'!C:D,1,0),"")="","","✔")</f>
        <v/>
      </c>
      <c r="U188" s="98" t="str">
        <f>IF(IFERROR(VLOOKUP(A188,'20.鋼構工程吊裝'!C:D,1,0),"")="","","✔")</f>
        <v/>
      </c>
      <c r="V188" s="98" t="str">
        <f>IF(IFERROR(VLOOKUP(A188,'21.鋼構工程塗裝'!C:D,1,0),"")="","","✔")</f>
        <v/>
      </c>
      <c r="W188" s="98" t="str">
        <f>IF(IFERROR(VLOOKUP(A188,'22.排水設施(一)'!C:D,1,0),"")="","","✔")</f>
        <v/>
      </c>
      <c r="X188" s="98" t="str">
        <f>IF(IFERROR(VLOOKUP(A188,'23.排水設施(二)'!C:D,1,0),"")="","","✔")</f>
        <v/>
      </c>
      <c r="Y188" s="98" t="str">
        <f>IF(IFERROR(VLOOKUP(A188,'24.木構造'!C:D,1,0),"")="","","✔")</f>
        <v/>
      </c>
      <c r="Z188" s="98" t="str">
        <f>IF(IFERROR(VLOOKUP(A188,'25.管路'!C:D,1,0),"")="","","✔")</f>
        <v/>
      </c>
      <c r="AA188" s="98" t="str">
        <f>IF(IFERROR(VLOOKUP(A188,'26.植栽(移植)'!C:D,1,0),"")="","","✔")</f>
        <v/>
      </c>
      <c r="AB188" s="98" t="str">
        <f>IF(IFERROR(VLOOKUP(A188,'27.植栽(新植)'!C:D,1,0),"")="","","✔")</f>
        <v/>
      </c>
      <c r="AC188" s="98" t="str">
        <f>IF(IFERROR(VLOOKUP(A188,'28.照明'!C:D,1,0),"")="","","✔")</f>
        <v/>
      </c>
      <c r="AD188" s="98" t="str">
        <f>IF(IFERROR(VLOOKUP(A188,'29.既有橋梁拆除'!C:D,1,0),"")="","","✔")</f>
        <v/>
      </c>
    </row>
    <row r="189" spans="1:30" ht="21.75" customHeight="1" x14ac:dyDescent="0.25">
      <c r="A189" s="99">
        <v>45379</v>
      </c>
      <c r="B189" s="98" t="str">
        <f>IF(IFERROR(VLOOKUP(A189,'1.測量放樣'!C:D,1,0),"")="","","✔")</f>
        <v/>
      </c>
      <c r="C189" s="98" t="str">
        <f>IF(IFERROR(VLOOKUP(A189,'2.土方開挖'!C:D,1,0),"")="","","✔")</f>
        <v/>
      </c>
      <c r="D189" s="98" t="str">
        <f>IF(IFERROR(VLOOKUP(A189,'3.土方回填'!C:D,1,0),"")="","","✔")</f>
        <v/>
      </c>
      <c r="E189" s="98" t="str">
        <f>IF(IFERROR(VLOOKUP(A189,'4.鋼筋'!C:D,1,0),"")="","","✔")</f>
        <v/>
      </c>
      <c r="F189" s="98" t="str">
        <f>IF(IFERROR(VLOOKUP(A189,'5.模板'!C:D,1,0),"")="","","✔")</f>
        <v/>
      </c>
      <c r="G189" s="98" t="str">
        <f>IF(IFERROR(VLOOKUP(A189,'6.混凝土'!C:D,1,0),"")="","","✔")</f>
        <v/>
      </c>
      <c r="H189" s="98" t="str">
        <f>IF(IFERROR(VLOOKUP(A189,'7.植筋'!C:D,1,0),"")="","","✔")</f>
        <v/>
      </c>
      <c r="I189" s="98" t="str">
        <f>IF(IFERROR(VLOOKUP(A189,'8.預力混凝土基樁'!C:D,1,0),"")="","","✔")</f>
        <v/>
      </c>
      <c r="J189" s="98" t="str">
        <f>IF(IFERROR(VLOOKUP(A189,'9.砌塊石護岸'!C:D,1,0),"")="","","✔")</f>
        <v/>
      </c>
      <c r="K189" s="98" t="str">
        <f>IF(IFERROR(VLOOKUP(A189,'10.低水護岸'!C:D,1,0),"")="","","✔")</f>
        <v/>
      </c>
      <c r="L189" s="98" t="str">
        <f>IF(IFERROR(VLOOKUP(A189,'11.固床工'!C:D,1,0),"")="","","✔")</f>
        <v/>
      </c>
      <c r="M189" s="98" t="str">
        <f>IF(IFERROR(VLOOKUP(A189,'12.全套管基樁'!C:D,1,0),"")="","","✔")</f>
        <v/>
      </c>
      <c r="N189" s="98" t="str">
        <f>IF(IFERROR(VLOOKUP(A189,'13.鋼筋混凝土管工程'!C:D,1,0),"")="","","✔")</f>
        <v/>
      </c>
      <c r="O189" s="98" t="str">
        <f>IF(IFERROR(VLOOKUP(A189,'14.鋼版樁'!C:D,1,0),"")="","","✔")</f>
        <v/>
      </c>
      <c r="P189" s="98" t="str">
        <f>IF(IFERROR(VLOOKUP(A189,'15.路床 路基高程'!C:D,1,0),"")="","","✔")</f>
        <v/>
      </c>
      <c r="Q189" s="98" t="str">
        <f>IF(IFERROR(VLOOKUP(A189,'16.瀝青混凝土'!C:D,1,0),"")="","","✔")</f>
        <v/>
      </c>
      <c r="R189" s="98" t="str">
        <f>IF(IFERROR(VLOOKUP(A189,'17.景觀鋪面(一)'!C:D,1,0),"")="","","✔")</f>
        <v/>
      </c>
      <c r="S189" s="98" t="str">
        <f>IF(IFERROR(VLOOKUP(A189,'18.景觀鋪面(二)'!C:D,1,0),"")="","","✔")</f>
        <v/>
      </c>
      <c r="T189" s="98" t="str">
        <f>IF(IFERROR(VLOOKUP(A189,'19.預鑄緣石'!C:D,1,0),"")="","","✔")</f>
        <v/>
      </c>
      <c r="U189" s="98" t="str">
        <f>IF(IFERROR(VLOOKUP(A189,'20.鋼構工程吊裝'!C:D,1,0),"")="","","✔")</f>
        <v/>
      </c>
      <c r="V189" s="98" t="str">
        <f>IF(IFERROR(VLOOKUP(A189,'21.鋼構工程塗裝'!C:D,1,0),"")="","","✔")</f>
        <v/>
      </c>
      <c r="W189" s="98" t="str">
        <f>IF(IFERROR(VLOOKUP(A189,'22.排水設施(一)'!C:D,1,0),"")="","","✔")</f>
        <v/>
      </c>
      <c r="X189" s="98" t="str">
        <f>IF(IFERROR(VLOOKUP(A189,'23.排水設施(二)'!C:D,1,0),"")="","","✔")</f>
        <v/>
      </c>
      <c r="Y189" s="98" t="str">
        <f>IF(IFERROR(VLOOKUP(A189,'24.木構造'!C:D,1,0),"")="","","✔")</f>
        <v/>
      </c>
      <c r="Z189" s="98" t="str">
        <f>IF(IFERROR(VLOOKUP(A189,'25.管路'!C:D,1,0),"")="","","✔")</f>
        <v/>
      </c>
      <c r="AA189" s="98" t="str">
        <f>IF(IFERROR(VLOOKUP(A189,'26.植栽(移植)'!C:D,1,0),"")="","","✔")</f>
        <v/>
      </c>
      <c r="AB189" s="98" t="str">
        <f>IF(IFERROR(VLOOKUP(A189,'27.植栽(新植)'!C:D,1,0),"")="","","✔")</f>
        <v/>
      </c>
      <c r="AC189" s="98" t="str">
        <f>IF(IFERROR(VLOOKUP(A189,'28.照明'!C:D,1,0),"")="","","✔")</f>
        <v/>
      </c>
      <c r="AD189" s="98" t="str">
        <f>IF(IFERROR(VLOOKUP(A189,'29.既有橋梁拆除'!C:D,1,0),"")="","","✔")</f>
        <v/>
      </c>
    </row>
    <row r="190" spans="1:30" ht="21.75" customHeight="1" x14ac:dyDescent="0.25">
      <c r="A190" s="99">
        <v>45380</v>
      </c>
      <c r="B190" s="98" t="str">
        <f>IF(IFERROR(VLOOKUP(A190,'1.測量放樣'!C:D,1,0),"")="","","✔")</f>
        <v/>
      </c>
      <c r="C190" s="98" t="str">
        <f>IF(IFERROR(VLOOKUP(A190,'2.土方開挖'!C:D,1,0),"")="","","✔")</f>
        <v/>
      </c>
      <c r="D190" s="98" t="str">
        <f>IF(IFERROR(VLOOKUP(A190,'3.土方回填'!C:D,1,0),"")="","","✔")</f>
        <v/>
      </c>
      <c r="E190" s="98" t="str">
        <f>IF(IFERROR(VLOOKUP(A190,'4.鋼筋'!C:D,1,0),"")="","","✔")</f>
        <v/>
      </c>
      <c r="F190" s="98" t="str">
        <f>IF(IFERROR(VLOOKUP(A190,'5.模板'!C:D,1,0),"")="","","✔")</f>
        <v/>
      </c>
      <c r="G190" s="98" t="str">
        <f>IF(IFERROR(VLOOKUP(A190,'6.混凝土'!C:D,1,0),"")="","","✔")</f>
        <v/>
      </c>
      <c r="H190" s="98" t="str">
        <f>IF(IFERROR(VLOOKUP(A190,'7.植筋'!C:D,1,0),"")="","","✔")</f>
        <v/>
      </c>
      <c r="I190" s="98" t="str">
        <f>IF(IFERROR(VLOOKUP(A190,'8.預力混凝土基樁'!C:D,1,0),"")="","","✔")</f>
        <v/>
      </c>
      <c r="J190" s="98" t="str">
        <f>IF(IFERROR(VLOOKUP(A190,'9.砌塊石護岸'!C:D,1,0),"")="","","✔")</f>
        <v/>
      </c>
      <c r="K190" s="98" t="str">
        <f>IF(IFERROR(VLOOKUP(A190,'10.低水護岸'!C:D,1,0),"")="","","✔")</f>
        <v/>
      </c>
      <c r="L190" s="98" t="str">
        <f>IF(IFERROR(VLOOKUP(A190,'11.固床工'!C:D,1,0),"")="","","✔")</f>
        <v/>
      </c>
      <c r="M190" s="98" t="str">
        <f>IF(IFERROR(VLOOKUP(A190,'12.全套管基樁'!C:D,1,0),"")="","","✔")</f>
        <v/>
      </c>
      <c r="N190" s="98" t="str">
        <f>IF(IFERROR(VLOOKUP(A190,'13.鋼筋混凝土管工程'!C:D,1,0),"")="","","✔")</f>
        <v/>
      </c>
      <c r="O190" s="98" t="str">
        <f>IF(IFERROR(VLOOKUP(A190,'14.鋼版樁'!C:D,1,0),"")="","","✔")</f>
        <v/>
      </c>
      <c r="P190" s="98" t="str">
        <f>IF(IFERROR(VLOOKUP(A190,'15.路床 路基高程'!C:D,1,0),"")="","","✔")</f>
        <v/>
      </c>
      <c r="Q190" s="98" t="str">
        <f>IF(IFERROR(VLOOKUP(A190,'16.瀝青混凝土'!C:D,1,0),"")="","","✔")</f>
        <v/>
      </c>
      <c r="R190" s="98" t="str">
        <f>IF(IFERROR(VLOOKUP(A190,'17.景觀鋪面(一)'!C:D,1,0),"")="","","✔")</f>
        <v/>
      </c>
      <c r="S190" s="98" t="str">
        <f>IF(IFERROR(VLOOKUP(A190,'18.景觀鋪面(二)'!C:D,1,0),"")="","","✔")</f>
        <v/>
      </c>
      <c r="T190" s="98" t="str">
        <f>IF(IFERROR(VLOOKUP(A190,'19.預鑄緣石'!C:D,1,0),"")="","","✔")</f>
        <v/>
      </c>
      <c r="U190" s="98" t="str">
        <f>IF(IFERROR(VLOOKUP(A190,'20.鋼構工程吊裝'!C:D,1,0),"")="","","✔")</f>
        <v/>
      </c>
      <c r="V190" s="98" t="str">
        <f>IF(IFERROR(VLOOKUP(A190,'21.鋼構工程塗裝'!C:D,1,0),"")="","","✔")</f>
        <v/>
      </c>
      <c r="W190" s="98" t="str">
        <f>IF(IFERROR(VLOOKUP(A190,'22.排水設施(一)'!C:D,1,0),"")="","","✔")</f>
        <v/>
      </c>
      <c r="X190" s="98" t="str">
        <f>IF(IFERROR(VLOOKUP(A190,'23.排水設施(二)'!C:D,1,0),"")="","","✔")</f>
        <v/>
      </c>
      <c r="Y190" s="98" t="str">
        <f>IF(IFERROR(VLOOKUP(A190,'24.木構造'!C:D,1,0),"")="","","✔")</f>
        <v/>
      </c>
      <c r="Z190" s="98" t="str">
        <f>IF(IFERROR(VLOOKUP(A190,'25.管路'!C:D,1,0),"")="","","✔")</f>
        <v/>
      </c>
      <c r="AA190" s="98" t="str">
        <f>IF(IFERROR(VLOOKUP(A190,'26.植栽(移植)'!C:D,1,0),"")="","","✔")</f>
        <v/>
      </c>
      <c r="AB190" s="98" t="str">
        <f>IF(IFERROR(VLOOKUP(A190,'27.植栽(新植)'!C:D,1,0),"")="","","✔")</f>
        <v/>
      </c>
      <c r="AC190" s="98" t="str">
        <f>IF(IFERROR(VLOOKUP(A190,'28.照明'!C:D,1,0),"")="","","✔")</f>
        <v/>
      </c>
      <c r="AD190" s="98" t="str">
        <f>IF(IFERROR(VLOOKUP(A190,'29.既有橋梁拆除'!C:D,1,0),"")="","","✔")</f>
        <v/>
      </c>
    </row>
    <row r="191" spans="1:30" ht="21.75" customHeight="1" x14ac:dyDescent="0.25">
      <c r="A191" s="99">
        <v>45381</v>
      </c>
      <c r="B191" s="98" t="str">
        <f>IF(IFERROR(VLOOKUP(A191,'1.測量放樣'!C:D,1,0),"")="","","✔")</f>
        <v/>
      </c>
      <c r="C191" s="98" t="str">
        <f>IF(IFERROR(VLOOKUP(A191,'2.土方開挖'!C:D,1,0),"")="","","✔")</f>
        <v/>
      </c>
      <c r="D191" s="98" t="str">
        <f>IF(IFERROR(VLOOKUP(A191,'3.土方回填'!C:D,1,0),"")="","","✔")</f>
        <v/>
      </c>
      <c r="E191" s="98" t="str">
        <f>IF(IFERROR(VLOOKUP(A191,'4.鋼筋'!C:D,1,0),"")="","","✔")</f>
        <v/>
      </c>
      <c r="F191" s="98" t="str">
        <f>IF(IFERROR(VLOOKUP(A191,'5.模板'!C:D,1,0),"")="","","✔")</f>
        <v/>
      </c>
      <c r="G191" s="98" t="str">
        <f>IF(IFERROR(VLOOKUP(A191,'6.混凝土'!C:D,1,0),"")="","","✔")</f>
        <v/>
      </c>
      <c r="H191" s="98" t="str">
        <f>IF(IFERROR(VLOOKUP(A191,'7.植筋'!C:D,1,0),"")="","","✔")</f>
        <v/>
      </c>
      <c r="I191" s="98" t="str">
        <f>IF(IFERROR(VLOOKUP(A191,'8.預力混凝土基樁'!C:D,1,0),"")="","","✔")</f>
        <v/>
      </c>
      <c r="J191" s="98" t="str">
        <f>IF(IFERROR(VLOOKUP(A191,'9.砌塊石護岸'!C:D,1,0),"")="","","✔")</f>
        <v/>
      </c>
      <c r="K191" s="98" t="str">
        <f>IF(IFERROR(VLOOKUP(A191,'10.低水護岸'!C:D,1,0),"")="","","✔")</f>
        <v/>
      </c>
      <c r="L191" s="98" t="str">
        <f>IF(IFERROR(VLOOKUP(A191,'11.固床工'!C:D,1,0),"")="","","✔")</f>
        <v/>
      </c>
      <c r="M191" s="98" t="str">
        <f>IF(IFERROR(VLOOKUP(A191,'12.全套管基樁'!C:D,1,0),"")="","","✔")</f>
        <v/>
      </c>
      <c r="N191" s="98" t="str">
        <f>IF(IFERROR(VLOOKUP(A191,'13.鋼筋混凝土管工程'!C:D,1,0),"")="","","✔")</f>
        <v/>
      </c>
      <c r="O191" s="98" t="str">
        <f>IF(IFERROR(VLOOKUP(A191,'14.鋼版樁'!C:D,1,0),"")="","","✔")</f>
        <v/>
      </c>
      <c r="P191" s="98" t="str">
        <f>IF(IFERROR(VLOOKUP(A191,'15.路床 路基高程'!C:D,1,0),"")="","","✔")</f>
        <v/>
      </c>
      <c r="Q191" s="98" t="str">
        <f>IF(IFERROR(VLOOKUP(A191,'16.瀝青混凝土'!C:D,1,0),"")="","","✔")</f>
        <v/>
      </c>
      <c r="R191" s="98" t="str">
        <f>IF(IFERROR(VLOOKUP(A191,'17.景觀鋪面(一)'!C:D,1,0),"")="","","✔")</f>
        <v/>
      </c>
      <c r="S191" s="98" t="str">
        <f>IF(IFERROR(VLOOKUP(A191,'18.景觀鋪面(二)'!C:D,1,0),"")="","","✔")</f>
        <v/>
      </c>
      <c r="T191" s="98" t="str">
        <f>IF(IFERROR(VLOOKUP(A191,'19.預鑄緣石'!C:D,1,0),"")="","","✔")</f>
        <v/>
      </c>
      <c r="U191" s="98" t="str">
        <f>IF(IFERROR(VLOOKUP(A191,'20.鋼構工程吊裝'!C:D,1,0),"")="","","✔")</f>
        <v/>
      </c>
      <c r="V191" s="98" t="str">
        <f>IF(IFERROR(VLOOKUP(A191,'21.鋼構工程塗裝'!C:D,1,0),"")="","","✔")</f>
        <v/>
      </c>
      <c r="W191" s="98" t="str">
        <f>IF(IFERROR(VLOOKUP(A191,'22.排水設施(一)'!C:D,1,0),"")="","","✔")</f>
        <v/>
      </c>
      <c r="X191" s="98" t="str">
        <f>IF(IFERROR(VLOOKUP(A191,'23.排水設施(二)'!C:D,1,0),"")="","","✔")</f>
        <v/>
      </c>
      <c r="Y191" s="98" t="str">
        <f>IF(IFERROR(VLOOKUP(A191,'24.木構造'!C:D,1,0),"")="","","✔")</f>
        <v/>
      </c>
      <c r="Z191" s="98" t="str">
        <f>IF(IFERROR(VLOOKUP(A191,'25.管路'!C:D,1,0),"")="","","✔")</f>
        <v/>
      </c>
      <c r="AA191" s="98" t="str">
        <f>IF(IFERROR(VLOOKUP(A191,'26.植栽(移植)'!C:D,1,0),"")="","","✔")</f>
        <v/>
      </c>
      <c r="AB191" s="98" t="str">
        <f>IF(IFERROR(VLOOKUP(A191,'27.植栽(新植)'!C:D,1,0),"")="","","✔")</f>
        <v/>
      </c>
      <c r="AC191" s="98" t="str">
        <f>IF(IFERROR(VLOOKUP(A191,'28.照明'!C:D,1,0),"")="","","✔")</f>
        <v/>
      </c>
      <c r="AD191" s="98" t="str">
        <f>IF(IFERROR(VLOOKUP(A191,'29.既有橋梁拆除'!C:D,1,0),"")="","","✔")</f>
        <v/>
      </c>
    </row>
    <row r="192" spans="1:30" ht="21.75" customHeight="1" x14ac:dyDescent="0.25">
      <c r="A192" s="99">
        <v>45382</v>
      </c>
      <c r="B192" s="98" t="str">
        <f>IF(IFERROR(VLOOKUP(A192,'1.測量放樣'!C:D,1,0),"")="","","✔")</f>
        <v/>
      </c>
      <c r="C192" s="98" t="str">
        <f>IF(IFERROR(VLOOKUP(A192,'2.土方開挖'!C:D,1,0),"")="","","✔")</f>
        <v/>
      </c>
      <c r="D192" s="98" t="str">
        <f>IF(IFERROR(VLOOKUP(A192,'3.土方回填'!C:D,1,0),"")="","","✔")</f>
        <v/>
      </c>
      <c r="E192" s="98" t="str">
        <f>IF(IFERROR(VLOOKUP(A192,'4.鋼筋'!C:D,1,0),"")="","","✔")</f>
        <v/>
      </c>
      <c r="F192" s="98" t="str">
        <f>IF(IFERROR(VLOOKUP(A192,'5.模板'!C:D,1,0),"")="","","✔")</f>
        <v/>
      </c>
      <c r="G192" s="98" t="str">
        <f>IF(IFERROR(VLOOKUP(A192,'6.混凝土'!C:D,1,0),"")="","","✔")</f>
        <v/>
      </c>
      <c r="H192" s="98" t="str">
        <f>IF(IFERROR(VLOOKUP(A192,'7.植筋'!C:D,1,0),"")="","","✔")</f>
        <v/>
      </c>
      <c r="I192" s="98" t="str">
        <f>IF(IFERROR(VLOOKUP(A192,'8.預力混凝土基樁'!C:D,1,0),"")="","","✔")</f>
        <v/>
      </c>
      <c r="J192" s="98" t="str">
        <f>IF(IFERROR(VLOOKUP(A192,'9.砌塊石護岸'!C:D,1,0),"")="","","✔")</f>
        <v/>
      </c>
      <c r="K192" s="98" t="str">
        <f>IF(IFERROR(VLOOKUP(A192,'10.低水護岸'!C:D,1,0),"")="","","✔")</f>
        <v/>
      </c>
      <c r="L192" s="98" t="str">
        <f>IF(IFERROR(VLOOKUP(A192,'11.固床工'!C:D,1,0),"")="","","✔")</f>
        <v/>
      </c>
      <c r="M192" s="98" t="str">
        <f>IF(IFERROR(VLOOKUP(A192,'12.全套管基樁'!C:D,1,0),"")="","","✔")</f>
        <v/>
      </c>
      <c r="N192" s="98" t="str">
        <f>IF(IFERROR(VLOOKUP(A192,'13.鋼筋混凝土管工程'!C:D,1,0),"")="","","✔")</f>
        <v/>
      </c>
      <c r="O192" s="98" t="str">
        <f>IF(IFERROR(VLOOKUP(A192,'14.鋼版樁'!C:D,1,0),"")="","","✔")</f>
        <v/>
      </c>
      <c r="P192" s="98" t="str">
        <f>IF(IFERROR(VLOOKUP(A192,'15.路床 路基高程'!C:D,1,0),"")="","","✔")</f>
        <v/>
      </c>
      <c r="Q192" s="98" t="str">
        <f>IF(IFERROR(VLOOKUP(A192,'16.瀝青混凝土'!C:D,1,0),"")="","","✔")</f>
        <v/>
      </c>
      <c r="R192" s="98" t="str">
        <f>IF(IFERROR(VLOOKUP(A192,'17.景觀鋪面(一)'!C:D,1,0),"")="","","✔")</f>
        <v/>
      </c>
      <c r="S192" s="98" t="str">
        <f>IF(IFERROR(VLOOKUP(A192,'18.景觀鋪面(二)'!C:D,1,0),"")="","","✔")</f>
        <v/>
      </c>
      <c r="T192" s="98" t="str">
        <f>IF(IFERROR(VLOOKUP(A192,'19.預鑄緣石'!C:D,1,0),"")="","","✔")</f>
        <v/>
      </c>
      <c r="U192" s="98" t="str">
        <f>IF(IFERROR(VLOOKUP(A192,'20.鋼構工程吊裝'!C:D,1,0),"")="","","✔")</f>
        <v/>
      </c>
      <c r="V192" s="98" t="str">
        <f>IF(IFERROR(VLOOKUP(A192,'21.鋼構工程塗裝'!C:D,1,0),"")="","","✔")</f>
        <v/>
      </c>
      <c r="W192" s="98" t="str">
        <f>IF(IFERROR(VLOOKUP(A192,'22.排水設施(一)'!C:D,1,0),"")="","","✔")</f>
        <v/>
      </c>
      <c r="X192" s="98" t="str">
        <f>IF(IFERROR(VLOOKUP(A192,'23.排水設施(二)'!C:D,1,0),"")="","","✔")</f>
        <v/>
      </c>
      <c r="Y192" s="98" t="str">
        <f>IF(IFERROR(VLOOKUP(A192,'24.木構造'!C:D,1,0),"")="","","✔")</f>
        <v/>
      </c>
      <c r="Z192" s="98" t="str">
        <f>IF(IFERROR(VLOOKUP(A192,'25.管路'!C:D,1,0),"")="","","✔")</f>
        <v/>
      </c>
      <c r="AA192" s="98" t="str">
        <f>IF(IFERROR(VLOOKUP(A192,'26.植栽(移植)'!C:D,1,0),"")="","","✔")</f>
        <v/>
      </c>
      <c r="AB192" s="98" t="str">
        <f>IF(IFERROR(VLOOKUP(A192,'27.植栽(新植)'!C:D,1,0),"")="","","✔")</f>
        <v/>
      </c>
      <c r="AC192" s="98" t="str">
        <f>IF(IFERROR(VLOOKUP(A192,'28.照明'!C:D,1,0),"")="","","✔")</f>
        <v/>
      </c>
      <c r="AD192" s="98" t="str">
        <f>IF(IFERROR(VLOOKUP(A192,'29.既有橋梁拆除'!C:D,1,0),"")="","","✔")</f>
        <v/>
      </c>
    </row>
    <row r="193" spans="1:30" ht="21.75" customHeight="1" x14ac:dyDescent="0.25">
      <c r="A193" s="99">
        <v>45383</v>
      </c>
      <c r="B193" s="98" t="str">
        <f>IF(IFERROR(VLOOKUP(A193,'1.測量放樣'!C:D,1,0),"")="","","✔")</f>
        <v/>
      </c>
      <c r="C193" s="98" t="str">
        <f>IF(IFERROR(VLOOKUP(A193,'2.土方開挖'!C:D,1,0),"")="","","✔")</f>
        <v/>
      </c>
      <c r="D193" s="98" t="str">
        <f>IF(IFERROR(VLOOKUP(A193,'3.土方回填'!C:D,1,0),"")="","","✔")</f>
        <v/>
      </c>
      <c r="E193" s="98" t="str">
        <f>IF(IFERROR(VLOOKUP(A193,'4.鋼筋'!C:D,1,0),"")="","","✔")</f>
        <v/>
      </c>
      <c r="F193" s="98" t="str">
        <f>IF(IFERROR(VLOOKUP(A193,'5.模板'!C:D,1,0),"")="","","✔")</f>
        <v/>
      </c>
      <c r="G193" s="98" t="str">
        <f>IF(IFERROR(VLOOKUP(A193,'6.混凝土'!C:D,1,0),"")="","","✔")</f>
        <v/>
      </c>
      <c r="H193" s="98" t="str">
        <f>IF(IFERROR(VLOOKUP(A193,'7.植筋'!C:D,1,0),"")="","","✔")</f>
        <v/>
      </c>
      <c r="I193" s="98" t="str">
        <f>IF(IFERROR(VLOOKUP(A193,'8.預力混凝土基樁'!C:D,1,0),"")="","","✔")</f>
        <v/>
      </c>
      <c r="J193" s="98" t="str">
        <f>IF(IFERROR(VLOOKUP(A193,'9.砌塊石護岸'!C:D,1,0),"")="","","✔")</f>
        <v/>
      </c>
      <c r="K193" s="98" t="str">
        <f>IF(IFERROR(VLOOKUP(A193,'10.低水護岸'!C:D,1,0),"")="","","✔")</f>
        <v/>
      </c>
      <c r="L193" s="98" t="str">
        <f>IF(IFERROR(VLOOKUP(A193,'11.固床工'!C:D,1,0),"")="","","✔")</f>
        <v/>
      </c>
      <c r="M193" s="98" t="str">
        <f>IF(IFERROR(VLOOKUP(A193,'12.全套管基樁'!C:D,1,0),"")="","","✔")</f>
        <v/>
      </c>
      <c r="N193" s="98" t="str">
        <f>IF(IFERROR(VLOOKUP(A193,'13.鋼筋混凝土管工程'!C:D,1,0),"")="","","✔")</f>
        <v/>
      </c>
      <c r="O193" s="98" t="str">
        <f>IF(IFERROR(VLOOKUP(A193,'14.鋼版樁'!C:D,1,0),"")="","","✔")</f>
        <v/>
      </c>
      <c r="P193" s="98" t="str">
        <f>IF(IFERROR(VLOOKUP(A193,'15.路床 路基高程'!C:D,1,0),"")="","","✔")</f>
        <v/>
      </c>
      <c r="Q193" s="98" t="str">
        <f>IF(IFERROR(VLOOKUP(A193,'16.瀝青混凝土'!C:D,1,0),"")="","","✔")</f>
        <v/>
      </c>
      <c r="R193" s="98" t="str">
        <f>IF(IFERROR(VLOOKUP(A193,'17.景觀鋪面(一)'!C:D,1,0),"")="","","✔")</f>
        <v/>
      </c>
      <c r="S193" s="98" t="str">
        <f>IF(IFERROR(VLOOKUP(A193,'18.景觀鋪面(二)'!C:D,1,0),"")="","","✔")</f>
        <v/>
      </c>
      <c r="T193" s="98" t="str">
        <f>IF(IFERROR(VLOOKUP(A193,'19.預鑄緣石'!C:D,1,0),"")="","","✔")</f>
        <v/>
      </c>
      <c r="U193" s="98" t="str">
        <f>IF(IFERROR(VLOOKUP(A193,'20.鋼構工程吊裝'!C:D,1,0),"")="","","✔")</f>
        <v/>
      </c>
      <c r="V193" s="98" t="str">
        <f>IF(IFERROR(VLOOKUP(A193,'21.鋼構工程塗裝'!C:D,1,0),"")="","","✔")</f>
        <v/>
      </c>
      <c r="W193" s="98" t="str">
        <f>IF(IFERROR(VLOOKUP(A193,'22.排水設施(一)'!C:D,1,0),"")="","","✔")</f>
        <v/>
      </c>
      <c r="X193" s="98" t="str">
        <f>IF(IFERROR(VLOOKUP(A193,'23.排水設施(二)'!C:D,1,0),"")="","","✔")</f>
        <v/>
      </c>
      <c r="Y193" s="98" t="str">
        <f>IF(IFERROR(VLOOKUP(A193,'24.木構造'!C:D,1,0),"")="","","✔")</f>
        <v/>
      </c>
      <c r="Z193" s="98" t="str">
        <f>IF(IFERROR(VLOOKUP(A193,'25.管路'!C:D,1,0),"")="","","✔")</f>
        <v/>
      </c>
      <c r="AA193" s="98" t="str">
        <f>IF(IFERROR(VLOOKUP(A193,'26.植栽(移植)'!C:D,1,0),"")="","","✔")</f>
        <v/>
      </c>
      <c r="AB193" s="98" t="str">
        <f>IF(IFERROR(VLOOKUP(A193,'27.植栽(新植)'!C:D,1,0),"")="","","✔")</f>
        <v/>
      </c>
      <c r="AC193" s="98" t="str">
        <f>IF(IFERROR(VLOOKUP(A193,'28.照明'!C:D,1,0),"")="","","✔")</f>
        <v/>
      </c>
      <c r="AD193" s="98" t="str">
        <f>IF(IFERROR(VLOOKUP(A193,'29.既有橋梁拆除'!C:D,1,0),"")="","","✔")</f>
        <v/>
      </c>
    </row>
    <row r="194" spans="1:30" ht="21.75" customHeight="1" x14ac:dyDescent="0.25">
      <c r="A194" s="99">
        <v>45384</v>
      </c>
      <c r="B194" s="98" t="str">
        <f>IF(IFERROR(VLOOKUP(A194,'1.測量放樣'!C:D,1,0),"")="","","✔")</f>
        <v/>
      </c>
      <c r="C194" s="98" t="str">
        <f>IF(IFERROR(VLOOKUP(A194,'2.土方開挖'!C:D,1,0),"")="","","✔")</f>
        <v/>
      </c>
      <c r="D194" s="98" t="str">
        <f>IF(IFERROR(VLOOKUP(A194,'3.土方回填'!C:D,1,0),"")="","","✔")</f>
        <v/>
      </c>
      <c r="E194" s="98" t="str">
        <f>IF(IFERROR(VLOOKUP(A194,'4.鋼筋'!C:D,1,0),"")="","","✔")</f>
        <v/>
      </c>
      <c r="F194" s="98" t="str">
        <f>IF(IFERROR(VLOOKUP(A194,'5.模板'!C:D,1,0),"")="","","✔")</f>
        <v/>
      </c>
      <c r="G194" s="98" t="str">
        <f>IF(IFERROR(VLOOKUP(A194,'6.混凝土'!C:D,1,0),"")="","","✔")</f>
        <v/>
      </c>
      <c r="H194" s="98" t="str">
        <f>IF(IFERROR(VLOOKUP(A194,'7.植筋'!C:D,1,0),"")="","","✔")</f>
        <v/>
      </c>
      <c r="I194" s="98" t="str">
        <f>IF(IFERROR(VLOOKUP(A194,'8.預力混凝土基樁'!C:D,1,0),"")="","","✔")</f>
        <v/>
      </c>
      <c r="J194" s="98" t="str">
        <f>IF(IFERROR(VLOOKUP(A194,'9.砌塊石護岸'!C:D,1,0),"")="","","✔")</f>
        <v/>
      </c>
      <c r="K194" s="98" t="str">
        <f>IF(IFERROR(VLOOKUP(A194,'10.低水護岸'!C:D,1,0),"")="","","✔")</f>
        <v/>
      </c>
      <c r="L194" s="98" t="str">
        <f>IF(IFERROR(VLOOKUP(A194,'11.固床工'!C:D,1,0),"")="","","✔")</f>
        <v/>
      </c>
      <c r="M194" s="98" t="str">
        <f>IF(IFERROR(VLOOKUP(A194,'12.全套管基樁'!C:D,1,0),"")="","","✔")</f>
        <v/>
      </c>
      <c r="N194" s="98" t="str">
        <f>IF(IFERROR(VLOOKUP(A194,'13.鋼筋混凝土管工程'!C:D,1,0),"")="","","✔")</f>
        <v/>
      </c>
      <c r="O194" s="98" t="str">
        <f>IF(IFERROR(VLOOKUP(A194,'14.鋼版樁'!C:D,1,0),"")="","","✔")</f>
        <v/>
      </c>
      <c r="P194" s="98" t="str">
        <f>IF(IFERROR(VLOOKUP(A194,'15.路床 路基高程'!C:D,1,0),"")="","","✔")</f>
        <v/>
      </c>
      <c r="Q194" s="98" t="str">
        <f>IF(IFERROR(VLOOKUP(A194,'16.瀝青混凝土'!C:D,1,0),"")="","","✔")</f>
        <v/>
      </c>
      <c r="R194" s="98" t="str">
        <f>IF(IFERROR(VLOOKUP(A194,'17.景觀鋪面(一)'!C:D,1,0),"")="","","✔")</f>
        <v/>
      </c>
      <c r="S194" s="98" t="str">
        <f>IF(IFERROR(VLOOKUP(A194,'18.景觀鋪面(二)'!C:D,1,0),"")="","","✔")</f>
        <v/>
      </c>
      <c r="T194" s="98" t="str">
        <f>IF(IFERROR(VLOOKUP(A194,'19.預鑄緣石'!C:D,1,0),"")="","","✔")</f>
        <v/>
      </c>
      <c r="U194" s="98" t="str">
        <f>IF(IFERROR(VLOOKUP(A194,'20.鋼構工程吊裝'!C:D,1,0),"")="","","✔")</f>
        <v/>
      </c>
      <c r="V194" s="98" t="str">
        <f>IF(IFERROR(VLOOKUP(A194,'21.鋼構工程塗裝'!C:D,1,0),"")="","","✔")</f>
        <v/>
      </c>
      <c r="W194" s="98" t="str">
        <f>IF(IFERROR(VLOOKUP(A194,'22.排水設施(一)'!C:D,1,0),"")="","","✔")</f>
        <v/>
      </c>
      <c r="X194" s="98" t="str">
        <f>IF(IFERROR(VLOOKUP(A194,'23.排水設施(二)'!C:D,1,0),"")="","","✔")</f>
        <v/>
      </c>
      <c r="Y194" s="98" t="str">
        <f>IF(IFERROR(VLOOKUP(A194,'24.木構造'!C:D,1,0),"")="","","✔")</f>
        <v/>
      </c>
      <c r="Z194" s="98" t="str">
        <f>IF(IFERROR(VLOOKUP(A194,'25.管路'!C:D,1,0),"")="","","✔")</f>
        <v/>
      </c>
      <c r="AA194" s="98" t="str">
        <f>IF(IFERROR(VLOOKUP(A194,'26.植栽(移植)'!C:D,1,0),"")="","","✔")</f>
        <v/>
      </c>
      <c r="AB194" s="98" t="str">
        <f>IF(IFERROR(VLOOKUP(A194,'27.植栽(新植)'!C:D,1,0),"")="","","✔")</f>
        <v/>
      </c>
      <c r="AC194" s="98" t="str">
        <f>IF(IFERROR(VLOOKUP(A194,'28.照明'!C:D,1,0),"")="","","✔")</f>
        <v/>
      </c>
      <c r="AD194" s="98" t="str">
        <f>IF(IFERROR(VLOOKUP(A194,'29.既有橋梁拆除'!C:D,1,0),"")="","","✔")</f>
        <v/>
      </c>
    </row>
    <row r="195" spans="1:30" ht="21.75" customHeight="1" x14ac:dyDescent="0.25">
      <c r="A195" s="99">
        <v>45385</v>
      </c>
      <c r="B195" s="98" t="str">
        <f>IF(IFERROR(VLOOKUP(A195,'1.測量放樣'!C:D,1,0),"")="","","✔")</f>
        <v/>
      </c>
      <c r="C195" s="98" t="str">
        <f>IF(IFERROR(VLOOKUP(A195,'2.土方開挖'!C:D,1,0),"")="","","✔")</f>
        <v/>
      </c>
      <c r="D195" s="98" t="str">
        <f>IF(IFERROR(VLOOKUP(A195,'3.土方回填'!C:D,1,0),"")="","","✔")</f>
        <v/>
      </c>
      <c r="E195" s="98" t="str">
        <f>IF(IFERROR(VLOOKUP(A195,'4.鋼筋'!C:D,1,0),"")="","","✔")</f>
        <v/>
      </c>
      <c r="F195" s="98" t="str">
        <f>IF(IFERROR(VLOOKUP(A195,'5.模板'!C:D,1,0),"")="","","✔")</f>
        <v/>
      </c>
      <c r="G195" s="98" t="str">
        <f>IF(IFERROR(VLOOKUP(A195,'6.混凝土'!C:D,1,0),"")="","","✔")</f>
        <v/>
      </c>
      <c r="H195" s="98" t="str">
        <f>IF(IFERROR(VLOOKUP(A195,'7.植筋'!C:D,1,0),"")="","","✔")</f>
        <v/>
      </c>
      <c r="I195" s="98" t="str">
        <f>IF(IFERROR(VLOOKUP(A195,'8.預力混凝土基樁'!C:D,1,0),"")="","","✔")</f>
        <v/>
      </c>
      <c r="J195" s="98" t="str">
        <f>IF(IFERROR(VLOOKUP(A195,'9.砌塊石護岸'!C:D,1,0),"")="","","✔")</f>
        <v/>
      </c>
      <c r="K195" s="98" t="str">
        <f>IF(IFERROR(VLOOKUP(A195,'10.低水護岸'!C:D,1,0),"")="","","✔")</f>
        <v/>
      </c>
      <c r="L195" s="98" t="str">
        <f>IF(IFERROR(VLOOKUP(A195,'11.固床工'!C:D,1,0),"")="","","✔")</f>
        <v/>
      </c>
      <c r="M195" s="98" t="str">
        <f>IF(IFERROR(VLOOKUP(A195,'12.全套管基樁'!C:D,1,0),"")="","","✔")</f>
        <v/>
      </c>
      <c r="N195" s="98" t="str">
        <f>IF(IFERROR(VLOOKUP(A195,'13.鋼筋混凝土管工程'!C:D,1,0),"")="","","✔")</f>
        <v/>
      </c>
      <c r="O195" s="98" t="str">
        <f>IF(IFERROR(VLOOKUP(A195,'14.鋼版樁'!C:D,1,0),"")="","","✔")</f>
        <v/>
      </c>
      <c r="P195" s="98" t="str">
        <f>IF(IFERROR(VLOOKUP(A195,'15.路床 路基高程'!C:D,1,0),"")="","","✔")</f>
        <v/>
      </c>
      <c r="Q195" s="98" t="str">
        <f>IF(IFERROR(VLOOKUP(A195,'16.瀝青混凝土'!C:D,1,0),"")="","","✔")</f>
        <v/>
      </c>
      <c r="R195" s="98" t="str">
        <f>IF(IFERROR(VLOOKUP(A195,'17.景觀鋪面(一)'!C:D,1,0),"")="","","✔")</f>
        <v/>
      </c>
      <c r="S195" s="98" t="str">
        <f>IF(IFERROR(VLOOKUP(A195,'18.景觀鋪面(二)'!C:D,1,0),"")="","","✔")</f>
        <v/>
      </c>
      <c r="T195" s="98" t="str">
        <f>IF(IFERROR(VLOOKUP(A195,'19.預鑄緣石'!C:D,1,0),"")="","","✔")</f>
        <v/>
      </c>
      <c r="U195" s="98" t="str">
        <f>IF(IFERROR(VLOOKUP(A195,'20.鋼構工程吊裝'!C:D,1,0),"")="","","✔")</f>
        <v/>
      </c>
      <c r="V195" s="98" t="str">
        <f>IF(IFERROR(VLOOKUP(A195,'21.鋼構工程塗裝'!C:D,1,0),"")="","","✔")</f>
        <v/>
      </c>
      <c r="W195" s="98" t="str">
        <f>IF(IFERROR(VLOOKUP(A195,'22.排水設施(一)'!C:D,1,0),"")="","","✔")</f>
        <v/>
      </c>
      <c r="X195" s="98" t="str">
        <f>IF(IFERROR(VLOOKUP(A195,'23.排水設施(二)'!C:D,1,0),"")="","","✔")</f>
        <v/>
      </c>
      <c r="Y195" s="98" t="str">
        <f>IF(IFERROR(VLOOKUP(A195,'24.木構造'!C:D,1,0),"")="","","✔")</f>
        <v/>
      </c>
      <c r="Z195" s="98" t="str">
        <f>IF(IFERROR(VLOOKUP(A195,'25.管路'!C:D,1,0),"")="","","✔")</f>
        <v/>
      </c>
      <c r="AA195" s="98" t="str">
        <f>IF(IFERROR(VLOOKUP(A195,'26.植栽(移植)'!C:D,1,0),"")="","","✔")</f>
        <v/>
      </c>
      <c r="AB195" s="98" t="str">
        <f>IF(IFERROR(VLOOKUP(A195,'27.植栽(新植)'!C:D,1,0),"")="","","✔")</f>
        <v/>
      </c>
      <c r="AC195" s="98" t="str">
        <f>IF(IFERROR(VLOOKUP(A195,'28.照明'!C:D,1,0),"")="","","✔")</f>
        <v/>
      </c>
      <c r="AD195" s="98" t="str">
        <f>IF(IFERROR(VLOOKUP(A195,'29.既有橋梁拆除'!C:D,1,0),"")="","","✔")</f>
        <v/>
      </c>
    </row>
    <row r="196" spans="1:30" ht="21.75" customHeight="1" x14ac:dyDescent="0.25">
      <c r="A196" s="99">
        <v>45386</v>
      </c>
      <c r="B196" s="98" t="str">
        <f>IF(IFERROR(VLOOKUP(A196,'1.測量放樣'!C:D,1,0),"")="","","✔")</f>
        <v/>
      </c>
      <c r="C196" s="98" t="str">
        <f>IF(IFERROR(VLOOKUP(A196,'2.土方開挖'!C:D,1,0),"")="","","✔")</f>
        <v/>
      </c>
      <c r="D196" s="98" t="str">
        <f>IF(IFERROR(VLOOKUP(A196,'3.土方回填'!C:D,1,0),"")="","","✔")</f>
        <v/>
      </c>
      <c r="E196" s="98" t="str">
        <f>IF(IFERROR(VLOOKUP(A196,'4.鋼筋'!C:D,1,0),"")="","","✔")</f>
        <v/>
      </c>
      <c r="F196" s="98" t="str">
        <f>IF(IFERROR(VLOOKUP(A196,'5.模板'!C:D,1,0),"")="","","✔")</f>
        <v/>
      </c>
      <c r="G196" s="98" t="str">
        <f>IF(IFERROR(VLOOKUP(A196,'6.混凝土'!C:D,1,0),"")="","","✔")</f>
        <v/>
      </c>
      <c r="H196" s="98" t="str">
        <f>IF(IFERROR(VLOOKUP(A196,'7.植筋'!C:D,1,0),"")="","","✔")</f>
        <v/>
      </c>
      <c r="I196" s="98" t="str">
        <f>IF(IFERROR(VLOOKUP(A196,'8.預力混凝土基樁'!C:D,1,0),"")="","","✔")</f>
        <v/>
      </c>
      <c r="J196" s="98" t="str">
        <f>IF(IFERROR(VLOOKUP(A196,'9.砌塊石護岸'!C:D,1,0),"")="","","✔")</f>
        <v/>
      </c>
      <c r="K196" s="98" t="str">
        <f>IF(IFERROR(VLOOKUP(A196,'10.低水護岸'!C:D,1,0),"")="","","✔")</f>
        <v/>
      </c>
      <c r="L196" s="98" t="str">
        <f>IF(IFERROR(VLOOKUP(A196,'11.固床工'!C:D,1,0),"")="","","✔")</f>
        <v/>
      </c>
      <c r="M196" s="98" t="str">
        <f>IF(IFERROR(VLOOKUP(A196,'12.全套管基樁'!C:D,1,0),"")="","","✔")</f>
        <v/>
      </c>
      <c r="N196" s="98" t="str">
        <f>IF(IFERROR(VLOOKUP(A196,'13.鋼筋混凝土管工程'!C:D,1,0),"")="","","✔")</f>
        <v/>
      </c>
      <c r="O196" s="98" t="str">
        <f>IF(IFERROR(VLOOKUP(A196,'14.鋼版樁'!C:D,1,0),"")="","","✔")</f>
        <v/>
      </c>
      <c r="P196" s="98" t="str">
        <f>IF(IFERROR(VLOOKUP(A196,'15.路床 路基高程'!C:D,1,0),"")="","","✔")</f>
        <v/>
      </c>
      <c r="Q196" s="98" t="str">
        <f>IF(IFERROR(VLOOKUP(A196,'16.瀝青混凝土'!C:D,1,0),"")="","","✔")</f>
        <v/>
      </c>
      <c r="R196" s="98" t="str">
        <f>IF(IFERROR(VLOOKUP(A196,'17.景觀鋪面(一)'!C:D,1,0),"")="","","✔")</f>
        <v/>
      </c>
      <c r="S196" s="98" t="str">
        <f>IF(IFERROR(VLOOKUP(A196,'18.景觀鋪面(二)'!C:D,1,0),"")="","","✔")</f>
        <v/>
      </c>
      <c r="T196" s="98" t="str">
        <f>IF(IFERROR(VLOOKUP(A196,'19.預鑄緣石'!C:D,1,0),"")="","","✔")</f>
        <v/>
      </c>
      <c r="U196" s="98" t="str">
        <f>IF(IFERROR(VLOOKUP(A196,'20.鋼構工程吊裝'!C:D,1,0),"")="","","✔")</f>
        <v/>
      </c>
      <c r="V196" s="98" t="str">
        <f>IF(IFERROR(VLOOKUP(A196,'21.鋼構工程塗裝'!C:D,1,0),"")="","","✔")</f>
        <v/>
      </c>
      <c r="W196" s="98" t="str">
        <f>IF(IFERROR(VLOOKUP(A196,'22.排水設施(一)'!C:D,1,0),"")="","","✔")</f>
        <v/>
      </c>
      <c r="X196" s="98" t="str">
        <f>IF(IFERROR(VLOOKUP(A196,'23.排水設施(二)'!C:D,1,0),"")="","","✔")</f>
        <v/>
      </c>
      <c r="Y196" s="98" t="str">
        <f>IF(IFERROR(VLOOKUP(A196,'24.木構造'!C:D,1,0),"")="","","✔")</f>
        <v/>
      </c>
      <c r="Z196" s="98" t="str">
        <f>IF(IFERROR(VLOOKUP(A196,'25.管路'!C:D,1,0),"")="","","✔")</f>
        <v/>
      </c>
      <c r="AA196" s="98" t="str">
        <f>IF(IFERROR(VLOOKUP(A196,'26.植栽(移植)'!C:D,1,0),"")="","","✔")</f>
        <v/>
      </c>
      <c r="AB196" s="98" t="str">
        <f>IF(IFERROR(VLOOKUP(A196,'27.植栽(新植)'!C:D,1,0),"")="","","✔")</f>
        <v/>
      </c>
      <c r="AC196" s="98" t="str">
        <f>IF(IFERROR(VLOOKUP(A196,'28.照明'!C:D,1,0),"")="","","✔")</f>
        <v/>
      </c>
      <c r="AD196" s="98" t="str">
        <f>IF(IFERROR(VLOOKUP(A196,'29.既有橋梁拆除'!C:D,1,0),"")="","","✔")</f>
        <v/>
      </c>
    </row>
    <row r="197" spans="1:30" ht="21.75" customHeight="1" x14ac:dyDescent="0.25">
      <c r="A197" s="99">
        <v>45387</v>
      </c>
      <c r="B197" s="98" t="str">
        <f>IF(IFERROR(VLOOKUP(A197,'1.測量放樣'!C:D,1,0),"")="","","✔")</f>
        <v/>
      </c>
      <c r="C197" s="98" t="str">
        <f>IF(IFERROR(VLOOKUP(A197,'2.土方開挖'!C:D,1,0),"")="","","✔")</f>
        <v/>
      </c>
      <c r="D197" s="98" t="str">
        <f>IF(IFERROR(VLOOKUP(A197,'3.土方回填'!C:D,1,0),"")="","","✔")</f>
        <v/>
      </c>
      <c r="E197" s="98" t="str">
        <f>IF(IFERROR(VLOOKUP(A197,'4.鋼筋'!C:D,1,0),"")="","","✔")</f>
        <v/>
      </c>
      <c r="F197" s="98" t="str">
        <f>IF(IFERROR(VLOOKUP(A197,'5.模板'!C:D,1,0),"")="","","✔")</f>
        <v/>
      </c>
      <c r="G197" s="98" t="str">
        <f>IF(IFERROR(VLOOKUP(A197,'6.混凝土'!C:D,1,0),"")="","","✔")</f>
        <v/>
      </c>
      <c r="H197" s="98" t="str">
        <f>IF(IFERROR(VLOOKUP(A197,'7.植筋'!C:D,1,0),"")="","","✔")</f>
        <v/>
      </c>
      <c r="I197" s="98" t="str">
        <f>IF(IFERROR(VLOOKUP(A197,'8.預力混凝土基樁'!C:D,1,0),"")="","","✔")</f>
        <v/>
      </c>
      <c r="J197" s="98" t="str">
        <f>IF(IFERROR(VLOOKUP(A197,'9.砌塊石護岸'!C:D,1,0),"")="","","✔")</f>
        <v/>
      </c>
      <c r="K197" s="98" t="str">
        <f>IF(IFERROR(VLOOKUP(A197,'10.低水護岸'!C:D,1,0),"")="","","✔")</f>
        <v/>
      </c>
      <c r="L197" s="98" t="str">
        <f>IF(IFERROR(VLOOKUP(A197,'11.固床工'!C:D,1,0),"")="","","✔")</f>
        <v/>
      </c>
      <c r="M197" s="98" t="str">
        <f>IF(IFERROR(VLOOKUP(A197,'12.全套管基樁'!C:D,1,0),"")="","","✔")</f>
        <v/>
      </c>
      <c r="N197" s="98" t="str">
        <f>IF(IFERROR(VLOOKUP(A197,'13.鋼筋混凝土管工程'!C:D,1,0),"")="","","✔")</f>
        <v/>
      </c>
      <c r="O197" s="98" t="str">
        <f>IF(IFERROR(VLOOKUP(A197,'14.鋼版樁'!C:D,1,0),"")="","","✔")</f>
        <v/>
      </c>
      <c r="P197" s="98" t="str">
        <f>IF(IFERROR(VLOOKUP(A197,'15.路床 路基高程'!C:D,1,0),"")="","","✔")</f>
        <v/>
      </c>
      <c r="Q197" s="98" t="str">
        <f>IF(IFERROR(VLOOKUP(A197,'16.瀝青混凝土'!C:D,1,0),"")="","","✔")</f>
        <v/>
      </c>
      <c r="R197" s="98" t="str">
        <f>IF(IFERROR(VLOOKUP(A197,'17.景觀鋪面(一)'!C:D,1,0),"")="","","✔")</f>
        <v/>
      </c>
      <c r="S197" s="98" t="str">
        <f>IF(IFERROR(VLOOKUP(A197,'18.景觀鋪面(二)'!C:D,1,0),"")="","","✔")</f>
        <v/>
      </c>
      <c r="T197" s="98" t="str">
        <f>IF(IFERROR(VLOOKUP(A197,'19.預鑄緣石'!C:D,1,0),"")="","","✔")</f>
        <v/>
      </c>
      <c r="U197" s="98" t="str">
        <f>IF(IFERROR(VLOOKUP(A197,'20.鋼構工程吊裝'!C:D,1,0),"")="","","✔")</f>
        <v/>
      </c>
      <c r="V197" s="98" t="str">
        <f>IF(IFERROR(VLOOKUP(A197,'21.鋼構工程塗裝'!C:D,1,0),"")="","","✔")</f>
        <v/>
      </c>
      <c r="W197" s="98" t="str">
        <f>IF(IFERROR(VLOOKUP(A197,'22.排水設施(一)'!C:D,1,0),"")="","","✔")</f>
        <v/>
      </c>
      <c r="X197" s="98" t="str">
        <f>IF(IFERROR(VLOOKUP(A197,'23.排水設施(二)'!C:D,1,0),"")="","","✔")</f>
        <v/>
      </c>
      <c r="Y197" s="98" t="str">
        <f>IF(IFERROR(VLOOKUP(A197,'24.木構造'!C:D,1,0),"")="","","✔")</f>
        <v/>
      </c>
      <c r="Z197" s="98" t="str">
        <f>IF(IFERROR(VLOOKUP(A197,'25.管路'!C:D,1,0),"")="","","✔")</f>
        <v/>
      </c>
      <c r="AA197" s="98" t="str">
        <f>IF(IFERROR(VLOOKUP(A197,'26.植栽(移植)'!C:D,1,0),"")="","","✔")</f>
        <v/>
      </c>
      <c r="AB197" s="98" t="str">
        <f>IF(IFERROR(VLOOKUP(A197,'27.植栽(新植)'!C:D,1,0),"")="","","✔")</f>
        <v/>
      </c>
      <c r="AC197" s="98" t="str">
        <f>IF(IFERROR(VLOOKUP(A197,'28.照明'!C:D,1,0),"")="","","✔")</f>
        <v/>
      </c>
      <c r="AD197" s="98" t="str">
        <f>IF(IFERROR(VLOOKUP(A197,'29.既有橋梁拆除'!C:D,1,0),"")="","","✔")</f>
        <v/>
      </c>
    </row>
    <row r="198" spans="1:30" ht="21.75" customHeight="1" x14ac:dyDescent="0.25">
      <c r="A198" s="99">
        <v>45388</v>
      </c>
      <c r="B198" s="98" t="str">
        <f>IF(IFERROR(VLOOKUP(A198,'1.測量放樣'!C:D,1,0),"")="","","✔")</f>
        <v/>
      </c>
      <c r="C198" s="98" t="str">
        <f>IF(IFERROR(VLOOKUP(A198,'2.土方開挖'!C:D,1,0),"")="","","✔")</f>
        <v/>
      </c>
      <c r="D198" s="98" t="str">
        <f>IF(IFERROR(VLOOKUP(A198,'3.土方回填'!C:D,1,0),"")="","","✔")</f>
        <v/>
      </c>
      <c r="E198" s="98" t="str">
        <f>IF(IFERROR(VLOOKUP(A198,'4.鋼筋'!C:D,1,0),"")="","","✔")</f>
        <v/>
      </c>
      <c r="F198" s="98" t="str">
        <f>IF(IFERROR(VLOOKUP(A198,'5.模板'!C:D,1,0),"")="","","✔")</f>
        <v/>
      </c>
      <c r="G198" s="98" t="str">
        <f>IF(IFERROR(VLOOKUP(A198,'6.混凝土'!C:D,1,0),"")="","","✔")</f>
        <v/>
      </c>
      <c r="H198" s="98" t="str">
        <f>IF(IFERROR(VLOOKUP(A198,'7.植筋'!C:D,1,0),"")="","","✔")</f>
        <v/>
      </c>
      <c r="I198" s="98" t="str">
        <f>IF(IFERROR(VLOOKUP(A198,'8.預力混凝土基樁'!C:D,1,0),"")="","","✔")</f>
        <v/>
      </c>
      <c r="J198" s="98" t="str">
        <f>IF(IFERROR(VLOOKUP(A198,'9.砌塊石護岸'!C:D,1,0),"")="","","✔")</f>
        <v/>
      </c>
      <c r="K198" s="98" t="str">
        <f>IF(IFERROR(VLOOKUP(A198,'10.低水護岸'!C:D,1,0),"")="","","✔")</f>
        <v/>
      </c>
      <c r="L198" s="98" t="str">
        <f>IF(IFERROR(VLOOKUP(A198,'11.固床工'!C:D,1,0),"")="","","✔")</f>
        <v/>
      </c>
      <c r="M198" s="98" t="str">
        <f>IF(IFERROR(VLOOKUP(A198,'12.全套管基樁'!C:D,1,0),"")="","","✔")</f>
        <v/>
      </c>
      <c r="N198" s="98" t="str">
        <f>IF(IFERROR(VLOOKUP(A198,'13.鋼筋混凝土管工程'!C:D,1,0),"")="","","✔")</f>
        <v/>
      </c>
      <c r="O198" s="98" t="str">
        <f>IF(IFERROR(VLOOKUP(A198,'14.鋼版樁'!C:D,1,0),"")="","","✔")</f>
        <v/>
      </c>
      <c r="P198" s="98" t="str">
        <f>IF(IFERROR(VLOOKUP(A198,'15.路床 路基高程'!C:D,1,0),"")="","","✔")</f>
        <v/>
      </c>
      <c r="Q198" s="98" t="str">
        <f>IF(IFERROR(VLOOKUP(A198,'16.瀝青混凝土'!C:D,1,0),"")="","","✔")</f>
        <v/>
      </c>
      <c r="R198" s="98" t="str">
        <f>IF(IFERROR(VLOOKUP(A198,'17.景觀鋪面(一)'!C:D,1,0),"")="","","✔")</f>
        <v/>
      </c>
      <c r="S198" s="98" t="str">
        <f>IF(IFERROR(VLOOKUP(A198,'18.景觀鋪面(二)'!C:D,1,0),"")="","","✔")</f>
        <v/>
      </c>
      <c r="T198" s="98" t="str">
        <f>IF(IFERROR(VLOOKUP(A198,'19.預鑄緣石'!C:D,1,0),"")="","","✔")</f>
        <v/>
      </c>
      <c r="U198" s="98" t="str">
        <f>IF(IFERROR(VLOOKUP(A198,'20.鋼構工程吊裝'!C:D,1,0),"")="","","✔")</f>
        <v/>
      </c>
      <c r="V198" s="98" t="str">
        <f>IF(IFERROR(VLOOKUP(A198,'21.鋼構工程塗裝'!C:D,1,0),"")="","","✔")</f>
        <v/>
      </c>
      <c r="W198" s="98" t="str">
        <f>IF(IFERROR(VLOOKUP(A198,'22.排水設施(一)'!C:D,1,0),"")="","","✔")</f>
        <v/>
      </c>
      <c r="X198" s="98" t="str">
        <f>IF(IFERROR(VLOOKUP(A198,'23.排水設施(二)'!C:D,1,0),"")="","","✔")</f>
        <v/>
      </c>
      <c r="Y198" s="98" t="str">
        <f>IF(IFERROR(VLOOKUP(A198,'24.木構造'!C:D,1,0),"")="","","✔")</f>
        <v/>
      </c>
      <c r="Z198" s="98" t="str">
        <f>IF(IFERROR(VLOOKUP(A198,'25.管路'!C:D,1,0),"")="","","✔")</f>
        <v/>
      </c>
      <c r="AA198" s="98" t="str">
        <f>IF(IFERROR(VLOOKUP(A198,'26.植栽(移植)'!C:D,1,0),"")="","","✔")</f>
        <v/>
      </c>
      <c r="AB198" s="98" t="str">
        <f>IF(IFERROR(VLOOKUP(A198,'27.植栽(新植)'!C:D,1,0),"")="","","✔")</f>
        <v/>
      </c>
      <c r="AC198" s="98" t="str">
        <f>IF(IFERROR(VLOOKUP(A198,'28.照明'!C:D,1,0),"")="","","✔")</f>
        <v/>
      </c>
      <c r="AD198" s="98" t="str">
        <f>IF(IFERROR(VLOOKUP(A198,'29.既有橋梁拆除'!C:D,1,0),"")="","","✔")</f>
        <v/>
      </c>
    </row>
    <row r="199" spans="1:30" ht="21.75" customHeight="1" x14ac:dyDescent="0.25">
      <c r="A199" s="99">
        <v>45389</v>
      </c>
      <c r="B199" s="98" t="str">
        <f>IF(IFERROR(VLOOKUP(A199,'1.測量放樣'!C:D,1,0),"")="","","✔")</f>
        <v/>
      </c>
      <c r="C199" s="98" t="str">
        <f>IF(IFERROR(VLOOKUP(A199,'2.土方開挖'!C:D,1,0),"")="","","✔")</f>
        <v/>
      </c>
      <c r="D199" s="98" t="str">
        <f>IF(IFERROR(VLOOKUP(A199,'3.土方回填'!C:D,1,0),"")="","","✔")</f>
        <v/>
      </c>
      <c r="E199" s="98" t="str">
        <f>IF(IFERROR(VLOOKUP(A199,'4.鋼筋'!C:D,1,0),"")="","","✔")</f>
        <v/>
      </c>
      <c r="F199" s="98" t="str">
        <f>IF(IFERROR(VLOOKUP(A199,'5.模板'!C:D,1,0),"")="","","✔")</f>
        <v/>
      </c>
      <c r="G199" s="98" t="str">
        <f>IF(IFERROR(VLOOKUP(A199,'6.混凝土'!C:D,1,0),"")="","","✔")</f>
        <v/>
      </c>
      <c r="H199" s="98" t="str">
        <f>IF(IFERROR(VLOOKUP(A199,'7.植筋'!C:D,1,0),"")="","","✔")</f>
        <v/>
      </c>
      <c r="I199" s="98" t="str">
        <f>IF(IFERROR(VLOOKUP(A199,'8.預力混凝土基樁'!C:D,1,0),"")="","","✔")</f>
        <v/>
      </c>
      <c r="J199" s="98" t="str">
        <f>IF(IFERROR(VLOOKUP(A199,'9.砌塊石護岸'!C:D,1,0),"")="","","✔")</f>
        <v/>
      </c>
      <c r="K199" s="98" t="str">
        <f>IF(IFERROR(VLOOKUP(A199,'10.低水護岸'!C:D,1,0),"")="","","✔")</f>
        <v/>
      </c>
      <c r="L199" s="98" t="str">
        <f>IF(IFERROR(VLOOKUP(A199,'11.固床工'!C:D,1,0),"")="","","✔")</f>
        <v/>
      </c>
      <c r="M199" s="98" t="str">
        <f>IF(IFERROR(VLOOKUP(A199,'12.全套管基樁'!C:D,1,0),"")="","","✔")</f>
        <v/>
      </c>
      <c r="N199" s="98" t="str">
        <f>IF(IFERROR(VLOOKUP(A199,'13.鋼筋混凝土管工程'!C:D,1,0),"")="","","✔")</f>
        <v/>
      </c>
      <c r="O199" s="98" t="str">
        <f>IF(IFERROR(VLOOKUP(A199,'14.鋼版樁'!C:D,1,0),"")="","","✔")</f>
        <v/>
      </c>
      <c r="P199" s="98" t="str">
        <f>IF(IFERROR(VLOOKUP(A199,'15.路床 路基高程'!C:D,1,0),"")="","","✔")</f>
        <v/>
      </c>
      <c r="Q199" s="98" t="str">
        <f>IF(IFERROR(VLOOKUP(A199,'16.瀝青混凝土'!C:D,1,0),"")="","","✔")</f>
        <v/>
      </c>
      <c r="R199" s="98" t="str">
        <f>IF(IFERROR(VLOOKUP(A199,'17.景觀鋪面(一)'!C:D,1,0),"")="","","✔")</f>
        <v/>
      </c>
      <c r="S199" s="98" t="str">
        <f>IF(IFERROR(VLOOKUP(A199,'18.景觀鋪面(二)'!C:D,1,0),"")="","","✔")</f>
        <v/>
      </c>
      <c r="T199" s="98" t="str">
        <f>IF(IFERROR(VLOOKUP(A199,'19.預鑄緣石'!C:D,1,0),"")="","","✔")</f>
        <v/>
      </c>
      <c r="U199" s="98" t="str">
        <f>IF(IFERROR(VLOOKUP(A199,'20.鋼構工程吊裝'!C:D,1,0),"")="","","✔")</f>
        <v/>
      </c>
      <c r="V199" s="98" t="str">
        <f>IF(IFERROR(VLOOKUP(A199,'21.鋼構工程塗裝'!C:D,1,0),"")="","","✔")</f>
        <v/>
      </c>
      <c r="W199" s="98" t="str">
        <f>IF(IFERROR(VLOOKUP(A199,'22.排水設施(一)'!C:D,1,0),"")="","","✔")</f>
        <v/>
      </c>
      <c r="X199" s="98" t="str">
        <f>IF(IFERROR(VLOOKUP(A199,'23.排水設施(二)'!C:D,1,0),"")="","","✔")</f>
        <v/>
      </c>
      <c r="Y199" s="98" t="str">
        <f>IF(IFERROR(VLOOKUP(A199,'24.木構造'!C:D,1,0),"")="","","✔")</f>
        <v/>
      </c>
      <c r="Z199" s="98" t="str">
        <f>IF(IFERROR(VLOOKUP(A199,'25.管路'!C:D,1,0),"")="","","✔")</f>
        <v/>
      </c>
      <c r="AA199" s="98" t="str">
        <f>IF(IFERROR(VLOOKUP(A199,'26.植栽(移植)'!C:D,1,0),"")="","","✔")</f>
        <v/>
      </c>
      <c r="AB199" s="98" t="str">
        <f>IF(IFERROR(VLOOKUP(A199,'27.植栽(新植)'!C:D,1,0),"")="","","✔")</f>
        <v/>
      </c>
      <c r="AC199" s="98" t="str">
        <f>IF(IFERROR(VLOOKUP(A199,'28.照明'!C:D,1,0),"")="","","✔")</f>
        <v/>
      </c>
      <c r="AD199" s="98" t="str">
        <f>IF(IFERROR(VLOOKUP(A199,'29.既有橋梁拆除'!C:D,1,0),"")="","","✔")</f>
        <v/>
      </c>
    </row>
    <row r="200" spans="1:30" ht="21.75" customHeight="1" x14ac:dyDescent="0.25">
      <c r="A200" s="99">
        <v>45390</v>
      </c>
      <c r="B200" s="98" t="str">
        <f>IF(IFERROR(VLOOKUP(A200,'1.測量放樣'!C:D,1,0),"")="","","✔")</f>
        <v/>
      </c>
      <c r="C200" s="98" t="str">
        <f>IF(IFERROR(VLOOKUP(A200,'2.土方開挖'!C:D,1,0),"")="","","✔")</f>
        <v/>
      </c>
      <c r="D200" s="98" t="str">
        <f>IF(IFERROR(VLOOKUP(A200,'3.土方回填'!C:D,1,0),"")="","","✔")</f>
        <v/>
      </c>
      <c r="E200" s="98" t="str">
        <f>IF(IFERROR(VLOOKUP(A200,'4.鋼筋'!C:D,1,0),"")="","","✔")</f>
        <v/>
      </c>
      <c r="F200" s="98" t="str">
        <f>IF(IFERROR(VLOOKUP(A200,'5.模板'!C:D,1,0),"")="","","✔")</f>
        <v/>
      </c>
      <c r="G200" s="98" t="str">
        <f>IF(IFERROR(VLOOKUP(A200,'6.混凝土'!C:D,1,0),"")="","","✔")</f>
        <v/>
      </c>
      <c r="H200" s="98" t="str">
        <f>IF(IFERROR(VLOOKUP(A200,'7.植筋'!C:D,1,0),"")="","","✔")</f>
        <v/>
      </c>
      <c r="I200" s="98" t="str">
        <f>IF(IFERROR(VLOOKUP(A200,'8.預力混凝土基樁'!C:D,1,0),"")="","","✔")</f>
        <v/>
      </c>
      <c r="J200" s="98" t="str">
        <f>IF(IFERROR(VLOOKUP(A200,'9.砌塊石護岸'!C:D,1,0),"")="","","✔")</f>
        <v/>
      </c>
      <c r="K200" s="98" t="str">
        <f>IF(IFERROR(VLOOKUP(A200,'10.低水護岸'!C:D,1,0),"")="","","✔")</f>
        <v/>
      </c>
      <c r="L200" s="98" t="str">
        <f>IF(IFERROR(VLOOKUP(A200,'11.固床工'!C:D,1,0),"")="","","✔")</f>
        <v/>
      </c>
      <c r="M200" s="98" t="str">
        <f>IF(IFERROR(VLOOKUP(A200,'12.全套管基樁'!C:D,1,0),"")="","","✔")</f>
        <v/>
      </c>
      <c r="N200" s="98" t="str">
        <f>IF(IFERROR(VLOOKUP(A200,'13.鋼筋混凝土管工程'!C:D,1,0),"")="","","✔")</f>
        <v/>
      </c>
      <c r="O200" s="98" t="str">
        <f>IF(IFERROR(VLOOKUP(A200,'14.鋼版樁'!C:D,1,0),"")="","","✔")</f>
        <v/>
      </c>
      <c r="P200" s="98" t="str">
        <f>IF(IFERROR(VLOOKUP(A200,'15.路床 路基高程'!C:D,1,0),"")="","","✔")</f>
        <v/>
      </c>
      <c r="Q200" s="98" t="str">
        <f>IF(IFERROR(VLOOKUP(A200,'16.瀝青混凝土'!C:D,1,0),"")="","","✔")</f>
        <v/>
      </c>
      <c r="R200" s="98" t="str">
        <f>IF(IFERROR(VLOOKUP(A200,'17.景觀鋪面(一)'!C:D,1,0),"")="","","✔")</f>
        <v/>
      </c>
      <c r="S200" s="98" t="str">
        <f>IF(IFERROR(VLOOKUP(A200,'18.景觀鋪面(二)'!C:D,1,0),"")="","","✔")</f>
        <v/>
      </c>
      <c r="T200" s="98" t="str">
        <f>IF(IFERROR(VLOOKUP(A200,'19.預鑄緣石'!C:D,1,0),"")="","","✔")</f>
        <v/>
      </c>
      <c r="U200" s="98" t="str">
        <f>IF(IFERROR(VLOOKUP(A200,'20.鋼構工程吊裝'!C:D,1,0),"")="","","✔")</f>
        <v/>
      </c>
      <c r="V200" s="98" t="str">
        <f>IF(IFERROR(VLOOKUP(A200,'21.鋼構工程塗裝'!C:D,1,0),"")="","","✔")</f>
        <v/>
      </c>
      <c r="W200" s="98" t="str">
        <f>IF(IFERROR(VLOOKUP(A200,'22.排水設施(一)'!C:D,1,0),"")="","","✔")</f>
        <v/>
      </c>
      <c r="X200" s="98" t="str">
        <f>IF(IFERROR(VLOOKUP(A200,'23.排水設施(二)'!C:D,1,0),"")="","","✔")</f>
        <v/>
      </c>
      <c r="Y200" s="98" t="str">
        <f>IF(IFERROR(VLOOKUP(A200,'24.木構造'!C:D,1,0),"")="","","✔")</f>
        <v/>
      </c>
      <c r="Z200" s="98" t="str">
        <f>IF(IFERROR(VLOOKUP(A200,'25.管路'!C:D,1,0),"")="","","✔")</f>
        <v/>
      </c>
      <c r="AA200" s="98" t="str">
        <f>IF(IFERROR(VLOOKUP(A200,'26.植栽(移植)'!C:D,1,0),"")="","","✔")</f>
        <v/>
      </c>
      <c r="AB200" s="98" t="str">
        <f>IF(IFERROR(VLOOKUP(A200,'27.植栽(新植)'!C:D,1,0),"")="","","✔")</f>
        <v/>
      </c>
      <c r="AC200" s="98" t="str">
        <f>IF(IFERROR(VLOOKUP(A200,'28.照明'!C:D,1,0),"")="","","✔")</f>
        <v/>
      </c>
      <c r="AD200" s="98" t="str">
        <f>IF(IFERROR(VLOOKUP(A200,'29.既有橋梁拆除'!C:D,1,0),"")="","","✔")</f>
        <v/>
      </c>
    </row>
    <row r="201" spans="1:30" ht="21.75" customHeight="1" x14ac:dyDescent="0.25">
      <c r="A201" s="99">
        <v>45391</v>
      </c>
      <c r="B201" s="98" t="str">
        <f>IF(IFERROR(VLOOKUP(A201,'1.測量放樣'!C:D,1,0),"")="","","✔")</f>
        <v/>
      </c>
      <c r="C201" s="98" t="str">
        <f>IF(IFERROR(VLOOKUP(A201,'2.土方開挖'!C:D,1,0),"")="","","✔")</f>
        <v/>
      </c>
      <c r="D201" s="98" t="str">
        <f>IF(IFERROR(VLOOKUP(A201,'3.土方回填'!C:D,1,0),"")="","","✔")</f>
        <v/>
      </c>
      <c r="E201" s="98" t="str">
        <f>IF(IFERROR(VLOOKUP(A201,'4.鋼筋'!C:D,1,0),"")="","","✔")</f>
        <v/>
      </c>
      <c r="F201" s="98" t="str">
        <f>IF(IFERROR(VLOOKUP(A201,'5.模板'!C:D,1,0),"")="","","✔")</f>
        <v/>
      </c>
      <c r="G201" s="98" t="str">
        <f>IF(IFERROR(VLOOKUP(A201,'6.混凝土'!C:D,1,0),"")="","","✔")</f>
        <v/>
      </c>
      <c r="H201" s="98" t="str">
        <f>IF(IFERROR(VLOOKUP(A201,'7.植筋'!C:D,1,0),"")="","","✔")</f>
        <v/>
      </c>
      <c r="I201" s="98" t="str">
        <f>IF(IFERROR(VLOOKUP(A201,'8.預力混凝土基樁'!C:D,1,0),"")="","","✔")</f>
        <v/>
      </c>
      <c r="J201" s="98" t="str">
        <f>IF(IFERROR(VLOOKUP(A201,'9.砌塊石護岸'!C:D,1,0),"")="","","✔")</f>
        <v/>
      </c>
      <c r="K201" s="98" t="str">
        <f>IF(IFERROR(VLOOKUP(A201,'10.低水護岸'!C:D,1,0),"")="","","✔")</f>
        <v/>
      </c>
      <c r="L201" s="98" t="str">
        <f>IF(IFERROR(VLOOKUP(A201,'11.固床工'!C:D,1,0),"")="","","✔")</f>
        <v/>
      </c>
      <c r="M201" s="98" t="str">
        <f>IF(IFERROR(VLOOKUP(A201,'12.全套管基樁'!C:D,1,0),"")="","","✔")</f>
        <v/>
      </c>
      <c r="N201" s="98" t="str">
        <f>IF(IFERROR(VLOOKUP(A201,'13.鋼筋混凝土管工程'!C:D,1,0),"")="","","✔")</f>
        <v/>
      </c>
      <c r="O201" s="98" t="str">
        <f>IF(IFERROR(VLOOKUP(A201,'14.鋼版樁'!C:D,1,0),"")="","","✔")</f>
        <v/>
      </c>
      <c r="P201" s="98" t="str">
        <f>IF(IFERROR(VLOOKUP(A201,'15.路床 路基高程'!C:D,1,0),"")="","","✔")</f>
        <v/>
      </c>
      <c r="Q201" s="98" t="str">
        <f>IF(IFERROR(VLOOKUP(A201,'16.瀝青混凝土'!C:D,1,0),"")="","","✔")</f>
        <v/>
      </c>
      <c r="R201" s="98" t="str">
        <f>IF(IFERROR(VLOOKUP(A201,'17.景觀鋪面(一)'!C:D,1,0),"")="","","✔")</f>
        <v/>
      </c>
      <c r="S201" s="98" t="str">
        <f>IF(IFERROR(VLOOKUP(A201,'18.景觀鋪面(二)'!C:D,1,0),"")="","","✔")</f>
        <v/>
      </c>
      <c r="T201" s="98" t="str">
        <f>IF(IFERROR(VLOOKUP(A201,'19.預鑄緣石'!C:D,1,0),"")="","","✔")</f>
        <v/>
      </c>
      <c r="U201" s="98" t="str">
        <f>IF(IFERROR(VLOOKUP(A201,'20.鋼構工程吊裝'!C:D,1,0),"")="","","✔")</f>
        <v/>
      </c>
      <c r="V201" s="98" t="str">
        <f>IF(IFERROR(VLOOKUP(A201,'21.鋼構工程塗裝'!C:D,1,0),"")="","","✔")</f>
        <v/>
      </c>
      <c r="W201" s="98" t="str">
        <f>IF(IFERROR(VLOOKUP(A201,'22.排水設施(一)'!C:D,1,0),"")="","","✔")</f>
        <v/>
      </c>
      <c r="X201" s="98" t="str">
        <f>IF(IFERROR(VLOOKUP(A201,'23.排水設施(二)'!C:D,1,0),"")="","","✔")</f>
        <v/>
      </c>
      <c r="Y201" s="98" t="str">
        <f>IF(IFERROR(VLOOKUP(A201,'24.木構造'!C:D,1,0),"")="","","✔")</f>
        <v/>
      </c>
      <c r="Z201" s="98" t="str">
        <f>IF(IFERROR(VLOOKUP(A201,'25.管路'!C:D,1,0),"")="","","✔")</f>
        <v/>
      </c>
      <c r="AA201" s="98" t="str">
        <f>IF(IFERROR(VLOOKUP(A201,'26.植栽(移植)'!C:D,1,0),"")="","","✔")</f>
        <v/>
      </c>
      <c r="AB201" s="98" t="str">
        <f>IF(IFERROR(VLOOKUP(A201,'27.植栽(新植)'!C:D,1,0),"")="","","✔")</f>
        <v/>
      </c>
      <c r="AC201" s="98" t="str">
        <f>IF(IFERROR(VLOOKUP(A201,'28.照明'!C:D,1,0),"")="","","✔")</f>
        <v/>
      </c>
      <c r="AD201" s="98" t="str">
        <f>IF(IFERROR(VLOOKUP(A201,'29.既有橋梁拆除'!C:D,1,0),"")="","","✔")</f>
        <v/>
      </c>
    </row>
    <row r="202" spans="1:30" ht="21.75" customHeight="1" x14ac:dyDescent="0.25">
      <c r="A202" s="99">
        <v>45392</v>
      </c>
      <c r="B202" s="98" t="str">
        <f>IF(IFERROR(VLOOKUP(A202,'1.測量放樣'!C:D,1,0),"")="","","✔")</f>
        <v/>
      </c>
      <c r="C202" s="98" t="str">
        <f>IF(IFERROR(VLOOKUP(A202,'2.土方開挖'!C:D,1,0),"")="","","✔")</f>
        <v/>
      </c>
      <c r="D202" s="98" t="str">
        <f>IF(IFERROR(VLOOKUP(A202,'3.土方回填'!C:D,1,0),"")="","","✔")</f>
        <v/>
      </c>
      <c r="E202" s="98" t="str">
        <f>IF(IFERROR(VLOOKUP(A202,'4.鋼筋'!C:D,1,0),"")="","","✔")</f>
        <v/>
      </c>
      <c r="F202" s="98" t="str">
        <f>IF(IFERROR(VLOOKUP(A202,'5.模板'!C:D,1,0),"")="","","✔")</f>
        <v/>
      </c>
      <c r="G202" s="98" t="str">
        <f>IF(IFERROR(VLOOKUP(A202,'6.混凝土'!C:D,1,0),"")="","","✔")</f>
        <v/>
      </c>
      <c r="H202" s="98" t="str">
        <f>IF(IFERROR(VLOOKUP(A202,'7.植筋'!C:D,1,0),"")="","","✔")</f>
        <v/>
      </c>
      <c r="I202" s="98" t="str">
        <f>IF(IFERROR(VLOOKUP(A202,'8.預力混凝土基樁'!C:D,1,0),"")="","","✔")</f>
        <v/>
      </c>
      <c r="J202" s="98" t="str">
        <f>IF(IFERROR(VLOOKUP(A202,'9.砌塊石護岸'!C:D,1,0),"")="","","✔")</f>
        <v/>
      </c>
      <c r="K202" s="98" t="str">
        <f>IF(IFERROR(VLOOKUP(A202,'10.低水護岸'!C:D,1,0),"")="","","✔")</f>
        <v/>
      </c>
      <c r="L202" s="98" t="str">
        <f>IF(IFERROR(VLOOKUP(A202,'11.固床工'!C:D,1,0),"")="","","✔")</f>
        <v/>
      </c>
      <c r="M202" s="98" t="str">
        <f>IF(IFERROR(VLOOKUP(A202,'12.全套管基樁'!C:D,1,0),"")="","","✔")</f>
        <v/>
      </c>
      <c r="N202" s="98" t="str">
        <f>IF(IFERROR(VLOOKUP(A202,'13.鋼筋混凝土管工程'!C:D,1,0),"")="","","✔")</f>
        <v/>
      </c>
      <c r="O202" s="98" t="str">
        <f>IF(IFERROR(VLOOKUP(A202,'14.鋼版樁'!C:D,1,0),"")="","","✔")</f>
        <v/>
      </c>
      <c r="P202" s="98" t="str">
        <f>IF(IFERROR(VLOOKUP(A202,'15.路床 路基高程'!C:D,1,0),"")="","","✔")</f>
        <v/>
      </c>
      <c r="Q202" s="98" t="str">
        <f>IF(IFERROR(VLOOKUP(A202,'16.瀝青混凝土'!C:D,1,0),"")="","","✔")</f>
        <v/>
      </c>
      <c r="R202" s="98" t="str">
        <f>IF(IFERROR(VLOOKUP(A202,'17.景觀鋪面(一)'!C:D,1,0),"")="","","✔")</f>
        <v/>
      </c>
      <c r="S202" s="98" t="str">
        <f>IF(IFERROR(VLOOKUP(A202,'18.景觀鋪面(二)'!C:D,1,0),"")="","","✔")</f>
        <v/>
      </c>
      <c r="T202" s="98" t="str">
        <f>IF(IFERROR(VLOOKUP(A202,'19.預鑄緣石'!C:D,1,0),"")="","","✔")</f>
        <v/>
      </c>
      <c r="U202" s="98" t="str">
        <f>IF(IFERROR(VLOOKUP(A202,'20.鋼構工程吊裝'!C:D,1,0),"")="","","✔")</f>
        <v/>
      </c>
      <c r="V202" s="98" t="str">
        <f>IF(IFERROR(VLOOKUP(A202,'21.鋼構工程塗裝'!C:D,1,0),"")="","","✔")</f>
        <v/>
      </c>
      <c r="W202" s="98" t="str">
        <f>IF(IFERROR(VLOOKUP(A202,'22.排水設施(一)'!C:D,1,0),"")="","","✔")</f>
        <v/>
      </c>
      <c r="X202" s="98" t="str">
        <f>IF(IFERROR(VLOOKUP(A202,'23.排水設施(二)'!C:D,1,0),"")="","","✔")</f>
        <v/>
      </c>
      <c r="Y202" s="98" t="str">
        <f>IF(IFERROR(VLOOKUP(A202,'24.木構造'!C:D,1,0),"")="","","✔")</f>
        <v/>
      </c>
      <c r="Z202" s="98" t="str">
        <f>IF(IFERROR(VLOOKUP(A202,'25.管路'!C:D,1,0),"")="","","✔")</f>
        <v/>
      </c>
      <c r="AA202" s="98" t="str">
        <f>IF(IFERROR(VLOOKUP(A202,'26.植栽(移植)'!C:D,1,0),"")="","","✔")</f>
        <v/>
      </c>
      <c r="AB202" s="98" t="str">
        <f>IF(IFERROR(VLOOKUP(A202,'27.植栽(新植)'!C:D,1,0),"")="","","✔")</f>
        <v/>
      </c>
      <c r="AC202" s="98" t="str">
        <f>IF(IFERROR(VLOOKUP(A202,'28.照明'!C:D,1,0),"")="","","✔")</f>
        <v/>
      </c>
      <c r="AD202" s="98" t="str">
        <f>IF(IFERROR(VLOOKUP(A202,'29.既有橋梁拆除'!C:D,1,0),"")="","","✔")</f>
        <v/>
      </c>
    </row>
    <row r="203" spans="1:30" ht="21.75" customHeight="1" x14ac:dyDescent="0.25">
      <c r="A203" s="99">
        <v>45393</v>
      </c>
      <c r="B203" s="98" t="str">
        <f>IF(IFERROR(VLOOKUP(A203,'1.測量放樣'!C:D,1,0),"")="","","✔")</f>
        <v/>
      </c>
      <c r="C203" s="98" t="str">
        <f>IF(IFERROR(VLOOKUP(A203,'2.土方開挖'!C:D,1,0),"")="","","✔")</f>
        <v/>
      </c>
      <c r="D203" s="98" t="str">
        <f>IF(IFERROR(VLOOKUP(A203,'3.土方回填'!C:D,1,0),"")="","","✔")</f>
        <v/>
      </c>
      <c r="E203" s="98" t="str">
        <f>IF(IFERROR(VLOOKUP(A203,'4.鋼筋'!C:D,1,0),"")="","","✔")</f>
        <v/>
      </c>
      <c r="F203" s="98" t="str">
        <f>IF(IFERROR(VLOOKUP(A203,'5.模板'!C:D,1,0),"")="","","✔")</f>
        <v/>
      </c>
      <c r="G203" s="98" t="str">
        <f>IF(IFERROR(VLOOKUP(A203,'6.混凝土'!C:D,1,0),"")="","","✔")</f>
        <v/>
      </c>
      <c r="H203" s="98" t="str">
        <f>IF(IFERROR(VLOOKUP(A203,'7.植筋'!C:D,1,0),"")="","","✔")</f>
        <v/>
      </c>
      <c r="I203" s="98" t="str">
        <f>IF(IFERROR(VLOOKUP(A203,'8.預力混凝土基樁'!C:D,1,0),"")="","","✔")</f>
        <v/>
      </c>
      <c r="J203" s="98" t="str">
        <f>IF(IFERROR(VLOOKUP(A203,'9.砌塊石護岸'!C:D,1,0),"")="","","✔")</f>
        <v/>
      </c>
      <c r="K203" s="98" t="str">
        <f>IF(IFERROR(VLOOKUP(A203,'10.低水護岸'!C:D,1,0),"")="","","✔")</f>
        <v/>
      </c>
      <c r="L203" s="98" t="str">
        <f>IF(IFERROR(VLOOKUP(A203,'11.固床工'!C:D,1,0),"")="","","✔")</f>
        <v/>
      </c>
      <c r="M203" s="98" t="str">
        <f>IF(IFERROR(VLOOKUP(A203,'12.全套管基樁'!C:D,1,0),"")="","","✔")</f>
        <v/>
      </c>
      <c r="N203" s="98" t="str">
        <f>IF(IFERROR(VLOOKUP(A203,'13.鋼筋混凝土管工程'!C:D,1,0),"")="","","✔")</f>
        <v/>
      </c>
      <c r="O203" s="98" t="str">
        <f>IF(IFERROR(VLOOKUP(A203,'14.鋼版樁'!C:D,1,0),"")="","","✔")</f>
        <v/>
      </c>
      <c r="P203" s="98" t="str">
        <f>IF(IFERROR(VLOOKUP(A203,'15.路床 路基高程'!C:D,1,0),"")="","","✔")</f>
        <v/>
      </c>
      <c r="Q203" s="98" t="str">
        <f>IF(IFERROR(VLOOKUP(A203,'16.瀝青混凝土'!C:D,1,0),"")="","","✔")</f>
        <v/>
      </c>
      <c r="R203" s="98" t="str">
        <f>IF(IFERROR(VLOOKUP(A203,'17.景觀鋪面(一)'!C:D,1,0),"")="","","✔")</f>
        <v/>
      </c>
      <c r="S203" s="98" t="str">
        <f>IF(IFERROR(VLOOKUP(A203,'18.景觀鋪面(二)'!C:D,1,0),"")="","","✔")</f>
        <v/>
      </c>
      <c r="T203" s="98" t="str">
        <f>IF(IFERROR(VLOOKUP(A203,'19.預鑄緣石'!C:D,1,0),"")="","","✔")</f>
        <v/>
      </c>
      <c r="U203" s="98" t="str">
        <f>IF(IFERROR(VLOOKUP(A203,'20.鋼構工程吊裝'!C:D,1,0),"")="","","✔")</f>
        <v/>
      </c>
      <c r="V203" s="98" t="str">
        <f>IF(IFERROR(VLOOKUP(A203,'21.鋼構工程塗裝'!C:D,1,0),"")="","","✔")</f>
        <v/>
      </c>
      <c r="W203" s="98" t="str">
        <f>IF(IFERROR(VLOOKUP(A203,'22.排水設施(一)'!C:D,1,0),"")="","","✔")</f>
        <v/>
      </c>
      <c r="X203" s="98" t="str">
        <f>IF(IFERROR(VLOOKUP(A203,'23.排水設施(二)'!C:D,1,0),"")="","","✔")</f>
        <v/>
      </c>
      <c r="Y203" s="98" t="str">
        <f>IF(IFERROR(VLOOKUP(A203,'24.木構造'!C:D,1,0),"")="","","✔")</f>
        <v/>
      </c>
      <c r="Z203" s="98" t="str">
        <f>IF(IFERROR(VLOOKUP(A203,'25.管路'!C:D,1,0),"")="","","✔")</f>
        <v/>
      </c>
      <c r="AA203" s="98" t="str">
        <f>IF(IFERROR(VLOOKUP(A203,'26.植栽(移植)'!C:D,1,0),"")="","","✔")</f>
        <v/>
      </c>
      <c r="AB203" s="98" t="str">
        <f>IF(IFERROR(VLOOKUP(A203,'27.植栽(新植)'!C:D,1,0),"")="","","✔")</f>
        <v/>
      </c>
      <c r="AC203" s="98" t="str">
        <f>IF(IFERROR(VLOOKUP(A203,'28.照明'!C:D,1,0),"")="","","✔")</f>
        <v/>
      </c>
      <c r="AD203" s="98" t="str">
        <f>IF(IFERROR(VLOOKUP(A203,'29.既有橋梁拆除'!C:D,1,0),"")="","","✔")</f>
        <v/>
      </c>
    </row>
    <row r="204" spans="1:30" ht="21.75" customHeight="1" x14ac:dyDescent="0.25">
      <c r="A204" s="99">
        <v>45394</v>
      </c>
      <c r="B204" s="98" t="str">
        <f>IF(IFERROR(VLOOKUP(A204,'1.測量放樣'!C:D,1,0),"")="","","✔")</f>
        <v/>
      </c>
      <c r="C204" s="98" t="str">
        <f>IF(IFERROR(VLOOKUP(A204,'2.土方開挖'!C:D,1,0),"")="","","✔")</f>
        <v/>
      </c>
      <c r="D204" s="98" t="str">
        <f>IF(IFERROR(VLOOKUP(A204,'3.土方回填'!C:D,1,0),"")="","","✔")</f>
        <v/>
      </c>
      <c r="E204" s="98" t="str">
        <f>IF(IFERROR(VLOOKUP(A204,'4.鋼筋'!C:D,1,0),"")="","","✔")</f>
        <v/>
      </c>
      <c r="F204" s="98" t="str">
        <f>IF(IFERROR(VLOOKUP(A204,'5.模板'!C:D,1,0),"")="","","✔")</f>
        <v/>
      </c>
      <c r="G204" s="98" t="str">
        <f>IF(IFERROR(VLOOKUP(A204,'6.混凝土'!C:D,1,0),"")="","","✔")</f>
        <v/>
      </c>
      <c r="H204" s="98" t="str">
        <f>IF(IFERROR(VLOOKUP(A204,'7.植筋'!C:D,1,0),"")="","","✔")</f>
        <v/>
      </c>
      <c r="I204" s="98" t="str">
        <f>IF(IFERROR(VLOOKUP(A204,'8.預力混凝土基樁'!C:D,1,0),"")="","","✔")</f>
        <v/>
      </c>
      <c r="J204" s="98" t="str">
        <f>IF(IFERROR(VLOOKUP(A204,'9.砌塊石護岸'!C:D,1,0),"")="","","✔")</f>
        <v/>
      </c>
      <c r="K204" s="98" t="str">
        <f>IF(IFERROR(VLOOKUP(A204,'10.低水護岸'!C:D,1,0),"")="","","✔")</f>
        <v/>
      </c>
      <c r="L204" s="98" t="str">
        <f>IF(IFERROR(VLOOKUP(A204,'11.固床工'!C:D,1,0),"")="","","✔")</f>
        <v/>
      </c>
      <c r="M204" s="98" t="str">
        <f>IF(IFERROR(VLOOKUP(A204,'12.全套管基樁'!C:D,1,0),"")="","","✔")</f>
        <v/>
      </c>
      <c r="N204" s="98" t="str">
        <f>IF(IFERROR(VLOOKUP(A204,'13.鋼筋混凝土管工程'!C:D,1,0),"")="","","✔")</f>
        <v/>
      </c>
      <c r="O204" s="98" t="str">
        <f>IF(IFERROR(VLOOKUP(A204,'14.鋼版樁'!C:D,1,0),"")="","","✔")</f>
        <v/>
      </c>
      <c r="P204" s="98" t="str">
        <f>IF(IFERROR(VLOOKUP(A204,'15.路床 路基高程'!C:D,1,0),"")="","","✔")</f>
        <v/>
      </c>
      <c r="Q204" s="98" t="str">
        <f>IF(IFERROR(VLOOKUP(A204,'16.瀝青混凝土'!C:D,1,0),"")="","","✔")</f>
        <v/>
      </c>
      <c r="R204" s="98" t="str">
        <f>IF(IFERROR(VLOOKUP(A204,'17.景觀鋪面(一)'!C:D,1,0),"")="","","✔")</f>
        <v/>
      </c>
      <c r="S204" s="98" t="str">
        <f>IF(IFERROR(VLOOKUP(A204,'18.景觀鋪面(二)'!C:D,1,0),"")="","","✔")</f>
        <v/>
      </c>
      <c r="T204" s="98" t="str">
        <f>IF(IFERROR(VLOOKUP(A204,'19.預鑄緣石'!C:D,1,0),"")="","","✔")</f>
        <v/>
      </c>
      <c r="U204" s="98" t="str">
        <f>IF(IFERROR(VLOOKUP(A204,'20.鋼構工程吊裝'!C:D,1,0),"")="","","✔")</f>
        <v/>
      </c>
      <c r="V204" s="98" t="str">
        <f>IF(IFERROR(VLOOKUP(A204,'21.鋼構工程塗裝'!C:D,1,0),"")="","","✔")</f>
        <v/>
      </c>
      <c r="W204" s="98" t="str">
        <f>IF(IFERROR(VLOOKUP(A204,'22.排水設施(一)'!C:D,1,0),"")="","","✔")</f>
        <v/>
      </c>
      <c r="X204" s="98" t="str">
        <f>IF(IFERROR(VLOOKUP(A204,'23.排水設施(二)'!C:D,1,0),"")="","","✔")</f>
        <v/>
      </c>
      <c r="Y204" s="98" t="str">
        <f>IF(IFERROR(VLOOKUP(A204,'24.木構造'!C:D,1,0),"")="","","✔")</f>
        <v/>
      </c>
      <c r="Z204" s="98" t="str">
        <f>IF(IFERROR(VLOOKUP(A204,'25.管路'!C:D,1,0),"")="","","✔")</f>
        <v/>
      </c>
      <c r="AA204" s="98" t="str">
        <f>IF(IFERROR(VLOOKUP(A204,'26.植栽(移植)'!C:D,1,0),"")="","","✔")</f>
        <v/>
      </c>
      <c r="AB204" s="98" t="str">
        <f>IF(IFERROR(VLOOKUP(A204,'27.植栽(新植)'!C:D,1,0),"")="","","✔")</f>
        <v/>
      </c>
      <c r="AC204" s="98" t="str">
        <f>IF(IFERROR(VLOOKUP(A204,'28.照明'!C:D,1,0),"")="","","✔")</f>
        <v/>
      </c>
      <c r="AD204" s="98" t="str">
        <f>IF(IFERROR(VLOOKUP(A204,'29.既有橋梁拆除'!C:D,1,0),"")="","","✔")</f>
        <v/>
      </c>
    </row>
    <row r="205" spans="1:30" ht="21.75" customHeight="1" x14ac:dyDescent="0.25">
      <c r="A205" s="99">
        <v>45395</v>
      </c>
      <c r="B205" s="98" t="str">
        <f>IF(IFERROR(VLOOKUP(A205,'1.測量放樣'!C:D,1,0),"")="","","✔")</f>
        <v/>
      </c>
      <c r="C205" s="98" t="str">
        <f>IF(IFERROR(VLOOKUP(A205,'2.土方開挖'!C:D,1,0),"")="","","✔")</f>
        <v/>
      </c>
      <c r="D205" s="98" t="str">
        <f>IF(IFERROR(VLOOKUP(A205,'3.土方回填'!C:D,1,0),"")="","","✔")</f>
        <v/>
      </c>
      <c r="E205" s="98" t="str">
        <f>IF(IFERROR(VLOOKUP(A205,'4.鋼筋'!C:D,1,0),"")="","","✔")</f>
        <v/>
      </c>
      <c r="F205" s="98" t="str">
        <f>IF(IFERROR(VLOOKUP(A205,'5.模板'!C:D,1,0),"")="","","✔")</f>
        <v/>
      </c>
      <c r="G205" s="98" t="str">
        <f>IF(IFERROR(VLOOKUP(A205,'6.混凝土'!C:D,1,0),"")="","","✔")</f>
        <v/>
      </c>
      <c r="H205" s="98" t="str">
        <f>IF(IFERROR(VLOOKUP(A205,'7.植筋'!C:D,1,0),"")="","","✔")</f>
        <v/>
      </c>
      <c r="I205" s="98" t="str">
        <f>IF(IFERROR(VLOOKUP(A205,'8.預力混凝土基樁'!C:D,1,0),"")="","","✔")</f>
        <v/>
      </c>
      <c r="J205" s="98" t="str">
        <f>IF(IFERROR(VLOOKUP(A205,'9.砌塊石護岸'!C:D,1,0),"")="","","✔")</f>
        <v/>
      </c>
      <c r="K205" s="98" t="str">
        <f>IF(IFERROR(VLOOKUP(A205,'10.低水護岸'!C:D,1,0),"")="","","✔")</f>
        <v/>
      </c>
      <c r="L205" s="98" t="str">
        <f>IF(IFERROR(VLOOKUP(A205,'11.固床工'!C:D,1,0),"")="","","✔")</f>
        <v/>
      </c>
      <c r="M205" s="98" t="str">
        <f>IF(IFERROR(VLOOKUP(A205,'12.全套管基樁'!C:D,1,0),"")="","","✔")</f>
        <v/>
      </c>
      <c r="N205" s="98" t="str">
        <f>IF(IFERROR(VLOOKUP(A205,'13.鋼筋混凝土管工程'!C:D,1,0),"")="","","✔")</f>
        <v/>
      </c>
      <c r="O205" s="98" t="str">
        <f>IF(IFERROR(VLOOKUP(A205,'14.鋼版樁'!C:D,1,0),"")="","","✔")</f>
        <v/>
      </c>
      <c r="P205" s="98" t="str">
        <f>IF(IFERROR(VLOOKUP(A205,'15.路床 路基高程'!C:D,1,0),"")="","","✔")</f>
        <v/>
      </c>
      <c r="Q205" s="98" t="str">
        <f>IF(IFERROR(VLOOKUP(A205,'16.瀝青混凝土'!C:D,1,0),"")="","","✔")</f>
        <v/>
      </c>
      <c r="R205" s="98" t="str">
        <f>IF(IFERROR(VLOOKUP(A205,'17.景觀鋪面(一)'!C:D,1,0),"")="","","✔")</f>
        <v/>
      </c>
      <c r="S205" s="98" t="str">
        <f>IF(IFERROR(VLOOKUP(A205,'18.景觀鋪面(二)'!C:D,1,0),"")="","","✔")</f>
        <v/>
      </c>
      <c r="T205" s="98" t="str">
        <f>IF(IFERROR(VLOOKUP(A205,'19.預鑄緣石'!C:D,1,0),"")="","","✔")</f>
        <v/>
      </c>
      <c r="U205" s="98" t="str">
        <f>IF(IFERROR(VLOOKUP(A205,'20.鋼構工程吊裝'!C:D,1,0),"")="","","✔")</f>
        <v/>
      </c>
      <c r="V205" s="98" t="str">
        <f>IF(IFERROR(VLOOKUP(A205,'21.鋼構工程塗裝'!C:D,1,0),"")="","","✔")</f>
        <v/>
      </c>
      <c r="W205" s="98" t="str">
        <f>IF(IFERROR(VLOOKUP(A205,'22.排水設施(一)'!C:D,1,0),"")="","","✔")</f>
        <v/>
      </c>
      <c r="X205" s="98" t="str">
        <f>IF(IFERROR(VLOOKUP(A205,'23.排水設施(二)'!C:D,1,0),"")="","","✔")</f>
        <v/>
      </c>
      <c r="Y205" s="98" t="str">
        <f>IF(IFERROR(VLOOKUP(A205,'24.木構造'!C:D,1,0),"")="","","✔")</f>
        <v/>
      </c>
      <c r="Z205" s="98" t="str">
        <f>IF(IFERROR(VLOOKUP(A205,'25.管路'!C:D,1,0),"")="","","✔")</f>
        <v/>
      </c>
      <c r="AA205" s="98" t="str">
        <f>IF(IFERROR(VLOOKUP(A205,'26.植栽(移植)'!C:D,1,0),"")="","","✔")</f>
        <v/>
      </c>
      <c r="AB205" s="98" t="str">
        <f>IF(IFERROR(VLOOKUP(A205,'27.植栽(新植)'!C:D,1,0),"")="","","✔")</f>
        <v/>
      </c>
      <c r="AC205" s="98" t="str">
        <f>IF(IFERROR(VLOOKUP(A205,'28.照明'!C:D,1,0),"")="","","✔")</f>
        <v/>
      </c>
      <c r="AD205" s="98" t="str">
        <f>IF(IFERROR(VLOOKUP(A205,'29.既有橋梁拆除'!C:D,1,0),"")="","","✔")</f>
        <v/>
      </c>
    </row>
    <row r="206" spans="1:30" ht="21.75" customHeight="1" x14ac:dyDescent="0.25">
      <c r="A206" s="99">
        <v>45396</v>
      </c>
      <c r="B206" s="98" t="str">
        <f>IF(IFERROR(VLOOKUP(A206,'1.測量放樣'!C:D,1,0),"")="","","✔")</f>
        <v/>
      </c>
      <c r="C206" s="98" t="str">
        <f>IF(IFERROR(VLOOKUP(A206,'2.土方開挖'!C:D,1,0),"")="","","✔")</f>
        <v/>
      </c>
      <c r="D206" s="98" t="str">
        <f>IF(IFERROR(VLOOKUP(A206,'3.土方回填'!C:D,1,0),"")="","","✔")</f>
        <v/>
      </c>
      <c r="E206" s="98" t="str">
        <f>IF(IFERROR(VLOOKUP(A206,'4.鋼筋'!C:D,1,0),"")="","","✔")</f>
        <v/>
      </c>
      <c r="F206" s="98" t="str">
        <f>IF(IFERROR(VLOOKUP(A206,'5.模板'!C:D,1,0),"")="","","✔")</f>
        <v/>
      </c>
      <c r="G206" s="98" t="str">
        <f>IF(IFERROR(VLOOKUP(A206,'6.混凝土'!C:D,1,0),"")="","","✔")</f>
        <v/>
      </c>
      <c r="H206" s="98" t="str">
        <f>IF(IFERROR(VLOOKUP(A206,'7.植筋'!C:D,1,0),"")="","","✔")</f>
        <v/>
      </c>
      <c r="I206" s="98" t="str">
        <f>IF(IFERROR(VLOOKUP(A206,'8.預力混凝土基樁'!C:D,1,0),"")="","","✔")</f>
        <v/>
      </c>
      <c r="J206" s="98" t="str">
        <f>IF(IFERROR(VLOOKUP(A206,'9.砌塊石護岸'!C:D,1,0),"")="","","✔")</f>
        <v/>
      </c>
      <c r="K206" s="98" t="str">
        <f>IF(IFERROR(VLOOKUP(A206,'10.低水護岸'!C:D,1,0),"")="","","✔")</f>
        <v/>
      </c>
      <c r="L206" s="98" t="str">
        <f>IF(IFERROR(VLOOKUP(A206,'11.固床工'!C:D,1,0),"")="","","✔")</f>
        <v/>
      </c>
      <c r="M206" s="98" t="str">
        <f>IF(IFERROR(VLOOKUP(A206,'12.全套管基樁'!C:D,1,0),"")="","","✔")</f>
        <v/>
      </c>
      <c r="N206" s="98" t="str">
        <f>IF(IFERROR(VLOOKUP(A206,'13.鋼筋混凝土管工程'!C:D,1,0),"")="","","✔")</f>
        <v/>
      </c>
      <c r="O206" s="98" t="str">
        <f>IF(IFERROR(VLOOKUP(A206,'14.鋼版樁'!C:D,1,0),"")="","","✔")</f>
        <v/>
      </c>
      <c r="P206" s="98" t="str">
        <f>IF(IFERROR(VLOOKUP(A206,'15.路床 路基高程'!C:D,1,0),"")="","","✔")</f>
        <v/>
      </c>
      <c r="Q206" s="98" t="str">
        <f>IF(IFERROR(VLOOKUP(A206,'16.瀝青混凝土'!C:D,1,0),"")="","","✔")</f>
        <v/>
      </c>
      <c r="R206" s="98" t="str">
        <f>IF(IFERROR(VLOOKUP(A206,'17.景觀鋪面(一)'!C:D,1,0),"")="","","✔")</f>
        <v/>
      </c>
      <c r="S206" s="98" t="str">
        <f>IF(IFERROR(VLOOKUP(A206,'18.景觀鋪面(二)'!C:D,1,0),"")="","","✔")</f>
        <v/>
      </c>
      <c r="T206" s="98" t="str">
        <f>IF(IFERROR(VLOOKUP(A206,'19.預鑄緣石'!C:D,1,0),"")="","","✔")</f>
        <v/>
      </c>
      <c r="U206" s="98" t="str">
        <f>IF(IFERROR(VLOOKUP(A206,'20.鋼構工程吊裝'!C:D,1,0),"")="","","✔")</f>
        <v/>
      </c>
      <c r="V206" s="98" t="str">
        <f>IF(IFERROR(VLOOKUP(A206,'21.鋼構工程塗裝'!C:D,1,0),"")="","","✔")</f>
        <v/>
      </c>
      <c r="W206" s="98" t="str">
        <f>IF(IFERROR(VLOOKUP(A206,'22.排水設施(一)'!C:D,1,0),"")="","","✔")</f>
        <v/>
      </c>
      <c r="X206" s="98" t="str">
        <f>IF(IFERROR(VLOOKUP(A206,'23.排水設施(二)'!C:D,1,0),"")="","","✔")</f>
        <v/>
      </c>
      <c r="Y206" s="98" t="str">
        <f>IF(IFERROR(VLOOKUP(A206,'24.木構造'!C:D,1,0),"")="","","✔")</f>
        <v/>
      </c>
      <c r="Z206" s="98" t="str">
        <f>IF(IFERROR(VLOOKUP(A206,'25.管路'!C:D,1,0),"")="","","✔")</f>
        <v/>
      </c>
      <c r="AA206" s="98" t="str">
        <f>IF(IFERROR(VLOOKUP(A206,'26.植栽(移植)'!C:D,1,0),"")="","","✔")</f>
        <v/>
      </c>
      <c r="AB206" s="98" t="str">
        <f>IF(IFERROR(VLOOKUP(A206,'27.植栽(新植)'!C:D,1,0),"")="","","✔")</f>
        <v/>
      </c>
      <c r="AC206" s="98" t="str">
        <f>IF(IFERROR(VLOOKUP(A206,'28.照明'!C:D,1,0),"")="","","✔")</f>
        <v/>
      </c>
      <c r="AD206" s="98" t="str">
        <f>IF(IFERROR(VLOOKUP(A206,'29.既有橋梁拆除'!C:D,1,0),"")="","","✔")</f>
        <v/>
      </c>
    </row>
    <row r="207" spans="1:30" ht="21.75" customHeight="1" x14ac:dyDescent="0.25">
      <c r="A207" s="99">
        <v>45397</v>
      </c>
      <c r="B207" s="98" t="str">
        <f>IF(IFERROR(VLOOKUP(A207,'1.測量放樣'!C:D,1,0),"")="","","✔")</f>
        <v/>
      </c>
      <c r="C207" s="98" t="str">
        <f>IF(IFERROR(VLOOKUP(A207,'2.土方開挖'!C:D,1,0),"")="","","✔")</f>
        <v/>
      </c>
      <c r="D207" s="98" t="str">
        <f>IF(IFERROR(VLOOKUP(A207,'3.土方回填'!C:D,1,0),"")="","","✔")</f>
        <v/>
      </c>
      <c r="E207" s="98" t="str">
        <f>IF(IFERROR(VLOOKUP(A207,'4.鋼筋'!C:D,1,0),"")="","","✔")</f>
        <v/>
      </c>
      <c r="F207" s="98" t="str">
        <f>IF(IFERROR(VLOOKUP(A207,'5.模板'!C:D,1,0),"")="","","✔")</f>
        <v/>
      </c>
      <c r="G207" s="98" t="str">
        <f>IF(IFERROR(VLOOKUP(A207,'6.混凝土'!C:D,1,0),"")="","","✔")</f>
        <v/>
      </c>
      <c r="H207" s="98" t="str">
        <f>IF(IFERROR(VLOOKUP(A207,'7.植筋'!C:D,1,0),"")="","","✔")</f>
        <v/>
      </c>
      <c r="I207" s="98" t="str">
        <f>IF(IFERROR(VLOOKUP(A207,'8.預力混凝土基樁'!C:D,1,0),"")="","","✔")</f>
        <v/>
      </c>
      <c r="J207" s="98" t="str">
        <f>IF(IFERROR(VLOOKUP(A207,'9.砌塊石護岸'!C:D,1,0),"")="","","✔")</f>
        <v/>
      </c>
      <c r="K207" s="98" t="str">
        <f>IF(IFERROR(VLOOKUP(A207,'10.低水護岸'!C:D,1,0),"")="","","✔")</f>
        <v/>
      </c>
      <c r="L207" s="98" t="str">
        <f>IF(IFERROR(VLOOKUP(A207,'11.固床工'!C:D,1,0),"")="","","✔")</f>
        <v/>
      </c>
      <c r="M207" s="98" t="str">
        <f>IF(IFERROR(VLOOKUP(A207,'12.全套管基樁'!C:D,1,0),"")="","","✔")</f>
        <v/>
      </c>
      <c r="N207" s="98" t="str">
        <f>IF(IFERROR(VLOOKUP(A207,'13.鋼筋混凝土管工程'!C:D,1,0),"")="","","✔")</f>
        <v/>
      </c>
      <c r="O207" s="98" t="str">
        <f>IF(IFERROR(VLOOKUP(A207,'14.鋼版樁'!C:D,1,0),"")="","","✔")</f>
        <v/>
      </c>
      <c r="P207" s="98" t="str">
        <f>IF(IFERROR(VLOOKUP(A207,'15.路床 路基高程'!C:D,1,0),"")="","","✔")</f>
        <v/>
      </c>
      <c r="Q207" s="98" t="str">
        <f>IF(IFERROR(VLOOKUP(A207,'16.瀝青混凝土'!C:D,1,0),"")="","","✔")</f>
        <v/>
      </c>
      <c r="R207" s="98" t="str">
        <f>IF(IFERROR(VLOOKUP(A207,'17.景觀鋪面(一)'!C:D,1,0),"")="","","✔")</f>
        <v/>
      </c>
      <c r="S207" s="98" t="str">
        <f>IF(IFERROR(VLOOKUP(A207,'18.景觀鋪面(二)'!C:D,1,0),"")="","","✔")</f>
        <v/>
      </c>
      <c r="T207" s="98" t="str">
        <f>IF(IFERROR(VLOOKUP(A207,'19.預鑄緣石'!C:D,1,0),"")="","","✔")</f>
        <v/>
      </c>
      <c r="U207" s="98" t="str">
        <f>IF(IFERROR(VLOOKUP(A207,'20.鋼構工程吊裝'!C:D,1,0),"")="","","✔")</f>
        <v/>
      </c>
      <c r="V207" s="98" t="str">
        <f>IF(IFERROR(VLOOKUP(A207,'21.鋼構工程塗裝'!C:D,1,0),"")="","","✔")</f>
        <v/>
      </c>
      <c r="W207" s="98" t="str">
        <f>IF(IFERROR(VLOOKUP(A207,'22.排水設施(一)'!C:D,1,0),"")="","","✔")</f>
        <v/>
      </c>
      <c r="X207" s="98" t="str">
        <f>IF(IFERROR(VLOOKUP(A207,'23.排水設施(二)'!C:D,1,0),"")="","","✔")</f>
        <v/>
      </c>
      <c r="Y207" s="98" t="str">
        <f>IF(IFERROR(VLOOKUP(A207,'24.木構造'!C:D,1,0),"")="","","✔")</f>
        <v/>
      </c>
      <c r="Z207" s="98" t="str">
        <f>IF(IFERROR(VLOOKUP(A207,'25.管路'!C:D,1,0),"")="","","✔")</f>
        <v/>
      </c>
      <c r="AA207" s="98" t="str">
        <f>IF(IFERROR(VLOOKUP(A207,'26.植栽(移植)'!C:D,1,0),"")="","","✔")</f>
        <v/>
      </c>
      <c r="AB207" s="98" t="str">
        <f>IF(IFERROR(VLOOKUP(A207,'27.植栽(新植)'!C:D,1,0),"")="","","✔")</f>
        <v/>
      </c>
      <c r="AC207" s="98" t="str">
        <f>IF(IFERROR(VLOOKUP(A207,'28.照明'!C:D,1,0),"")="","","✔")</f>
        <v/>
      </c>
      <c r="AD207" s="98" t="str">
        <f>IF(IFERROR(VLOOKUP(A207,'29.既有橋梁拆除'!C:D,1,0),"")="","","✔")</f>
        <v/>
      </c>
    </row>
    <row r="208" spans="1:30" ht="21.75" customHeight="1" x14ac:dyDescent="0.25">
      <c r="A208" s="99">
        <v>45398</v>
      </c>
      <c r="B208" s="98" t="str">
        <f>IF(IFERROR(VLOOKUP(A208,'1.測量放樣'!C:D,1,0),"")="","","✔")</f>
        <v/>
      </c>
      <c r="C208" s="98" t="str">
        <f>IF(IFERROR(VLOOKUP(A208,'2.土方開挖'!C:D,1,0),"")="","","✔")</f>
        <v/>
      </c>
      <c r="D208" s="98" t="str">
        <f>IF(IFERROR(VLOOKUP(A208,'3.土方回填'!C:D,1,0),"")="","","✔")</f>
        <v/>
      </c>
      <c r="E208" s="98" t="str">
        <f>IF(IFERROR(VLOOKUP(A208,'4.鋼筋'!C:D,1,0),"")="","","✔")</f>
        <v/>
      </c>
      <c r="F208" s="98" t="str">
        <f>IF(IFERROR(VLOOKUP(A208,'5.模板'!C:D,1,0),"")="","","✔")</f>
        <v/>
      </c>
      <c r="G208" s="98" t="str">
        <f>IF(IFERROR(VLOOKUP(A208,'6.混凝土'!C:D,1,0),"")="","","✔")</f>
        <v/>
      </c>
      <c r="H208" s="98" t="str">
        <f>IF(IFERROR(VLOOKUP(A208,'7.植筋'!C:D,1,0),"")="","","✔")</f>
        <v/>
      </c>
      <c r="I208" s="98" t="str">
        <f>IF(IFERROR(VLOOKUP(A208,'8.預力混凝土基樁'!C:D,1,0),"")="","","✔")</f>
        <v/>
      </c>
      <c r="J208" s="98" t="str">
        <f>IF(IFERROR(VLOOKUP(A208,'9.砌塊石護岸'!C:D,1,0),"")="","","✔")</f>
        <v/>
      </c>
      <c r="K208" s="98" t="str">
        <f>IF(IFERROR(VLOOKUP(A208,'10.低水護岸'!C:D,1,0),"")="","","✔")</f>
        <v/>
      </c>
      <c r="L208" s="98" t="str">
        <f>IF(IFERROR(VLOOKUP(A208,'11.固床工'!C:D,1,0),"")="","","✔")</f>
        <v/>
      </c>
      <c r="M208" s="98" t="str">
        <f>IF(IFERROR(VLOOKUP(A208,'12.全套管基樁'!C:D,1,0),"")="","","✔")</f>
        <v/>
      </c>
      <c r="N208" s="98" t="str">
        <f>IF(IFERROR(VLOOKUP(A208,'13.鋼筋混凝土管工程'!C:D,1,0),"")="","","✔")</f>
        <v/>
      </c>
      <c r="O208" s="98" t="str">
        <f>IF(IFERROR(VLOOKUP(A208,'14.鋼版樁'!C:D,1,0),"")="","","✔")</f>
        <v/>
      </c>
      <c r="P208" s="98" t="str">
        <f>IF(IFERROR(VLOOKUP(A208,'15.路床 路基高程'!C:D,1,0),"")="","","✔")</f>
        <v/>
      </c>
      <c r="Q208" s="98" t="str">
        <f>IF(IFERROR(VLOOKUP(A208,'16.瀝青混凝土'!C:D,1,0),"")="","","✔")</f>
        <v/>
      </c>
      <c r="R208" s="98" t="str">
        <f>IF(IFERROR(VLOOKUP(A208,'17.景觀鋪面(一)'!C:D,1,0),"")="","","✔")</f>
        <v/>
      </c>
      <c r="S208" s="98" t="str">
        <f>IF(IFERROR(VLOOKUP(A208,'18.景觀鋪面(二)'!C:D,1,0),"")="","","✔")</f>
        <v/>
      </c>
      <c r="T208" s="98" t="str">
        <f>IF(IFERROR(VLOOKUP(A208,'19.預鑄緣石'!C:D,1,0),"")="","","✔")</f>
        <v/>
      </c>
      <c r="U208" s="98" t="str">
        <f>IF(IFERROR(VLOOKUP(A208,'20.鋼構工程吊裝'!C:D,1,0),"")="","","✔")</f>
        <v/>
      </c>
      <c r="V208" s="98" t="str">
        <f>IF(IFERROR(VLOOKUP(A208,'21.鋼構工程塗裝'!C:D,1,0),"")="","","✔")</f>
        <v/>
      </c>
      <c r="W208" s="98" t="str">
        <f>IF(IFERROR(VLOOKUP(A208,'22.排水設施(一)'!C:D,1,0),"")="","","✔")</f>
        <v/>
      </c>
      <c r="X208" s="98" t="str">
        <f>IF(IFERROR(VLOOKUP(A208,'23.排水設施(二)'!C:D,1,0),"")="","","✔")</f>
        <v/>
      </c>
      <c r="Y208" s="98" t="str">
        <f>IF(IFERROR(VLOOKUP(A208,'24.木構造'!C:D,1,0),"")="","","✔")</f>
        <v/>
      </c>
      <c r="Z208" s="98" t="str">
        <f>IF(IFERROR(VLOOKUP(A208,'25.管路'!C:D,1,0),"")="","","✔")</f>
        <v/>
      </c>
      <c r="AA208" s="98" t="str">
        <f>IF(IFERROR(VLOOKUP(A208,'26.植栽(移植)'!C:D,1,0),"")="","","✔")</f>
        <v/>
      </c>
      <c r="AB208" s="98" t="str">
        <f>IF(IFERROR(VLOOKUP(A208,'27.植栽(新植)'!C:D,1,0),"")="","","✔")</f>
        <v/>
      </c>
      <c r="AC208" s="98" t="str">
        <f>IF(IFERROR(VLOOKUP(A208,'28.照明'!C:D,1,0),"")="","","✔")</f>
        <v/>
      </c>
      <c r="AD208" s="98" t="str">
        <f>IF(IFERROR(VLOOKUP(A208,'29.既有橋梁拆除'!C:D,1,0),"")="","","✔")</f>
        <v/>
      </c>
    </row>
    <row r="209" spans="1:30" ht="21.75" customHeight="1" x14ac:dyDescent="0.25">
      <c r="A209" s="99">
        <v>45399</v>
      </c>
      <c r="B209" s="98" t="str">
        <f>IF(IFERROR(VLOOKUP(A209,'1.測量放樣'!C:D,1,0),"")="","","✔")</f>
        <v/>
      </c>
      <c r="C209" s="98" t="str">
        <f>IF(IFERROR(VLOOKUP(A209,'2.土方開挖'!C:D,1,0),"")="","","✔")</f>
        <v/>
      </c>
      <c r="D209" s="98" t="str">
        <f>IF(IFERROR(VLOOKUP(A209,'3.土方回填'!C:D,1,0),"")="","","✔")</f>
        <v/>
      </c>
      <c r="E209" s="98" t="str">
        <f>IF(IFERROR(VLOOKUP(A209,'4.鋼筋'!C:D,1,0),"")="","","✔")</f>
        <v/>
      </c>
      <c r="F209" s="98" t="str">
        <f>IF(IFERROR(VLOOKUP(A209,'5.模板'!C:D,1,0),"")="","","✔")</f>
        <v/>
      </c>
      <c r="G209" s="98" t="str">
        <f>IF(IFERROR(VLOOKUP(A209,'6.混凝土'!C:D,1,0),"")="","","✔")</f>
        <v/>
      </c>
      <c r="H209" s="98" t="str">
        <f>IF(IFERROR(VLOOKUP(A209,'7.植筋'!C:D,1,0),"")="","","✔")</f>
        <v/>
      </c>
      <c r="I209" s="98" t="str">
        <f>IF(IFERROR(VLOOKUP(A209,'8.預力混凝土基樁'!C:D,1,0),"")="","","✔")</f>
        <v/>
      </c>
      <c r="J209" s="98" t="str">
        <f>IF(IFERROR(VLOOKUP(A209,'9.砌塊石護岸'!C:D,1,0),"")="","","✔")</f>
        <v/>
      </c>
      <c r="K209" s="98" t="str">
        <f>IF(IFERROR(VLOOKUP(A209,'10.低水護岸'!C:D,1,0),"")="","","✔")</f>
        <v/>
      </c>
      <c r="L209" s="98" t="str">
        <f>IF(IFERROR(VLOOKUP(A209,'11.固床工'!C:D,1,0),"")="","","✔")</f>
        <v/>
      </c>
      <c r="M209" s="98" t="str">
        <f>IF(IFERROR(VLOOKUP(A209,'12.全套管基樁'!C:D,1,0),"")="","","✔")</f>
        <v/>
      </c>
      <c r="N209" s="98" t="str">
        <f>IF(IFERROR(VLOOKUP(A209,'13.鋼筋混凝土管工程'!C:D,1,0),"")="","","✔")</f>
        <v/>
      </c>
      <c r="O209" s="98" t="str">
        <f>IF(IFERROR(VLOOKUP(A209,'14.鋼版樁'!C:D,1,0),"")="","","✔")</f>
        <v/>
      </c>
      <c r="P209" s="98" t="str">
        <f>IF(IFERROR(VLOOKUP(A209,'15.路床 路基高程'!C:D,1,0),"")="","","✔")</f>
        <v/>
      </c>
      <c r="Q209" s="98" t="str">
        <f>IF(IFERROR(VLOOKUP(A209,'16.瀝青混凝土'!C:D,1,0),"")="","","✔")</f>
        <v/>
      </c>
      <c r="R209" s="98" t="str">
        <f>IF(IFERROR(VLOOKUP(A209,'17.景觀鋪面(一)'!C:D,1,0),"")="","","✔")</f>
        <v/>
      </c>
      <c r="S209" s="98" t="str">
        <f>IF(IFERROR(VLOOKUP(A209,'18.景觀鋪面(二)'!C:D,1,0),"")="","","✔")</f>
        <v/>
      </c>
      <c r="T209" s="98" t="str">
        <f>IF(IFERROR(VLOOKUP(A209,'19.預鑄緣石'!C:D,1,0),"")="","","✔")</f>
        <v/>
      </c>
      <c r="U209" s="98" t="str">
        <f>IF(IFERROR(VLOOKUP(A209,'20.鋼構工程吊裝'!C:D,1,0),"")="","","✔")</f>
        <v/>
      </c>
      <c r="V209" s="98" t="str">
        <f>IF(IFERROR(VLOOKUP(A209,'21.鋼構工程塗裝'!C:D,1,0),"")="","","✔")</f>
        <v/>
      </c>
      <c r="W209" s="98" t="str">
        <f>IF(IFERROR(VLOOKUP(A209,'22.排水設施(一)'!C:D,1,0),"")="","","✔")</f>
        <v/>
      </c>
      <c r="X209" s="98" t="str">
        <f>IF(IFERROR(VLOOKUP(A209,'23.排水設施(二)'!C:D,1,0),"")="","","✔")</f>
        <v/>
      </c>
      <c r="Y209" s="98" t="str">
        <f>IF(IFERROR(VLOOKUP(A209,'24.木構造'!C:D,1,0),"")="","","✔")</f>
        <v/>
      </c>
      <c r="Z209" s="98" t="str">
        <f>IF(IFERROR(VLOOKUP(A209,'25.管路'!C:D,1,0),"")="","","✔")</f>
        <v/>
      </c>
      <c r="AA209" s="98" t="str">
        <f>IF(IFERROR(VLOOKUP(A209,'26.植栽(移植)'!C:D,1,0),"")="","","✔")</f>
        <v/>
      </c>
      <c r="AB209" s="98" t="str">
        <f>IF(IFERROR(VLOOKUP(A209,'27.植栽(新植)'!C:D,1,0),"")="","","✔")</f>
        <v/>
      </c>
      <c r="AC209" s="98" t="str">
        <f>IF(IFERROR(VLOOKUP(A209,'28.照明'!C:D,1,0),"")="","","✔")</f>
        <v/>
      </c>
      <c r="AD209" s="98" t="str">
        <f>IF(IFERROR(VLOOKUP(A209,'29.既有橋梁拆除'!C:D,1,0),"")="","","✔")</f>
        <v/>
      </c>
    </row>
    <row r="210" spans="1:30" ht="21.75" customHeight="1" x14ac:dyDescent="0.25">
      <c r="A210" s="99">
        <v>45400</v>
      </c>
      <c r="B210" s="98" t="str">
        <f>IF(IFERROR(VLOOKUP(A210,'1.測量放樣'!C:D,1,0),"")="","","✔")</f>
        <v/>
      </c>
      <c r="C210" s="98" t="str">
        <f>IF(IFERROR(VLOOKUP(A210,'2.土方開挖'!C:D,1,0),"")="","","✔")</f>
        <v/>
      </c>
      <c r="D210" s="98" t="str">
        <f>IF(IFERROR(VLOOKUP(A210,'3.土方回填'!C:D,1,0),"")="","","✔")</f>
        <v/>
      </c>
      <c r="E210" s="98" t="str">
        <f>IF(IFERROR(VLOOKUP(A210,'4.鋼筋'!C:D,1,0),"")="","","✔")</f>
        <v/>
      </c>
      <c r="F210" s="98" t="str">
        <f>IF(IFERROR(VLOOKUP(A210,'5.模板'!C:D,1,0),"")="","","✔")</f>
        <v/>
      </c>
      <c r="G210" s="98" t="str">
        <f>IF(IFERROR(VLOOKUP(A210,'6.混凝土'!C:D,1,0),"")="","","✔")</f>
        <v/>
      </c>
      <c r="H210" s="98" t="str">
        <f>IF(IFERROR(VLOOKUP(A210,'7.植筋'!C:D,1,0),"")="","","✔")</f>
        <v/>
      </c>
      <c r="I210" s="98" t="str">
        <f>IF(IFERROR(VLOOKUP(A210,'8.預力混凝土基樁'!C:D,1,0),"")="","","✔")</f>
        <v/>
      </c>
      <c r="J210" s="98" t="str">
        <f>IF(IFERROR(VLOOKUP(A210,'9.砌塊石護岸'!C:D,1,0),"")="","","✔")</f>
        <v/>
      </c>
      <c r="K210" s="98" t="str">
        <f>IF(IFERROR(VLOOKUP(A210,'10.低水護岸'!C:D,1,0),"")="","","✔")</f>
        <v/>
      </c>
      <c r="L210" s="98" t="str">
        <f>IF(IFERROR(VLOOKUP(A210,'11.固床工'!C:D,1,0),"")="","","✔")</f>
        <v/>
      </c>
      <c r="M210" s="98" t="str">
        <f>IF(IFERROR(VLOOKUP(A210,'12.全套管基樁'!C:D,1,0),"")="","","✔")</f>
        <v/>
      </c>
      <c r="N210" s="98" t="str">
        <f>IF(IFERROR(VLOOKUP(A210,'13.鋼筋混凝土管工程'!C:D,1,0),"")="","","✔")</f>
        <v/>
      </c>
      <c r="O210" s="98" t="str">
        <f>IF(IFERROR(VLOOKUP(A210,'14.鋼版樁'!C:D,1,0),"")="","","✔")</f>
        <v/>
      </c>
      <c r="P210" s="98" t="str">
        <f>IF(IFERROR(VLOOKUP(A210,'15.路床 路基高程'!C:D,1,0),"")="","","✔")</f>
        <v/>
      </c>
      <c r="Q210" s="98" t="str">
        <f>IF(IFERROR(VLOOKUP(A210,'16.瀝青混凝土'!C:D,1,0),"")="","","✔")</f>
        <v/>
      </c>
      <c r="R210" s="98" t="str">
        <f>IF(IFERROR(VLOOKUP(A210,'17.景觀鋪面(一)'!C:D,1,0),"")="","","✔")</f>
        <v/>
      </c>
      <c r="S210" s="98" t="str">
        <f>IF(IFERROR(VLOOKUP(A210,'18.景觀鋪面(二)'!C:D,1,0),"")="","","✔")</f>
        <v/>
      </c>
      <c r="T210" s="98" t="str">
        <f>IF(IFERROR(VLOOKUP(A210,'19.預鑄緣石'!C:D,1,0),"")="","","✔")</f>
        <v/>
      </c>
      <c r="U210" s="98" t="str">
        <f>IF(IFERROR(VLOOKUP(A210,'20.鋼構工程吊裝'!C:D,1,0),"")="","","✔")</f>
        <v/>
      </c>
      <c r="V210" s="98" t="str">
        <f>IF(IFERROR(VLOOKUP(A210,'21.鋼構工程塗裝'!C:D,1,0),"")="","","✔")</f>
        <v/>
      </c>
      <c r="W210" s="98" t="str">
        <f>IF(IFERROR(VLOOKUP(A210,'22.排水設施(一)'!C:D,1,0),"")="","","✔")</f>
        <v/>
      </c>
      <c r="X210" s="98" t="str">
        <f>IF(IFERROR(VLOOKUP(A210,'23.排水設施(二)'!C:D,1,0),"")="","","✔")</f>
        <v/>
      </c>
      <c r="Y210" s="98" t="str">
        <f>IF(IFERROR(VLOOKUP(A210,'24.木構造'!C:D,1,0),"")="","","✔")</f>
        <v/>
      </c>
      <c r="Z210" s="98" t="str">
        <f>IF(IFERROR(VLOOKUP(A210,'25.管路'!C:D,1,0),"")="","","✔")</f>
        <v/>
      </c>
      <c r="AA210" s="98" t="str">
        <f>IF(IFERROR(VLOOKUP(A210,'26.植栽(移植)'!C:D,1,0),"")="","","✔")</f>
        <v/>
      </c>
      <c r="AB210" s="98" t="str">
        <f>IF(IFERROR(VLOOKUP(A210,'27.植栽(新植)'!C:D,1,0),"")="","","✔")</f>
        <v/>
      </c>
      <c r="AC210" s="98" t="str">
        <f>IF(IFERROR(VLOOKUP(A210,'28.照明'!C:D,1,0),"")="","","✔")</f>
        <v/>
      </c>
      <c r="AD210" s="98" t="str">
        <f>IF(IFERROR(VLOOKUP(A210,'29.既有橋梁拆除'!C:D,1,0),"")="","","✔")</f>
        <v/>
      </c>
    </row>
    <row r="211" spans="1:30" ht="21.75" customHeight="1" x14ac:dyDescent="0.25">
      <c r="A211" s="99">
        <v>45401</v>
      </c>
      <c r="B211" s="98" t="str">
        <f>IF(IFERROR(VLOOKUP(A211,'1.測量放樣'!C:D,1,0),"")="","","✔")</f>
        <v/>
      </c>
      <c r="C211" s="98" t="str">
        <f>IF(IFERROR(VLOOKUP(A211,'2.土方開挖'!C:D,1,0),"")="","","✔")</f>
        <v/>
      </c>
      <c r="D211" s="98" t="str">
        <f>IF(IFERROR(VLOOKUP(A211,'3.土方回填'!C:D,1,0),"")="","","✔")</f>
        <v/>
      </c>
      <c r="E211" s="98" t="str">
        <f>IF(IFERROR(VLOOKUP(A211,'4.鋼筋'!C:D,1,0),"")="","","✔")</f>
        <v/>
      </c>
      <c r="F211" s="98" t="str">
        <f>IF(IFERROR(VLOOKUP(A211,'5.模板'!C:D,1,0),"")="","","✔")</f>
        <v/>
      </c>
      <c r="G211" s="98" t="str">
        <f>IF(IFERROR(VLOOKUP(A211,'6.混凝土'!C:D,1,0),"")="","","✔")</f>
        <v/>
      </c>
      <c r="H211" s="98" t="str">
        <f>IF(IFERROR(VLOOKUP(A211,'7.植筋'!C:D,1,0),"")="","","✔")</f>
        <v/>
      </c>
      <c r="I211" s="98" t="str">
        <f>IF(IFERROR(VLOOKUP(A211,'8.預力混凝土基樁'!C:D,1,0),"")="","","✔")</f>
        <v/>
      </c>
      <c r="J211" s="98" t="str">
        <f>IF(IFERROR(VLOOKUP(A211,'9.砌塊石護岸'!C:D,1,0),"")="","","✔")</f>
        <v/>
      </c>
      <c r="K211" s="98" t="str">
        <f>IF(IFERROR(VLOOKUP(A211,'10.低水護岸'!C:D,1,0),"")="","","✔")</f>
        <v/>
      </c>
      <c r="L211" s="98" t="str">
        <f>IF(IFERROR(VLOOKUP(A211,'11.固床工'!C:D,1,0),"")="","","✔")</f>
        <v/>
      </c>
      <c r="M211" s="98" t="str">
        <f>IF(IFERROR(VLOOKUP(A211,'12.全套管基樁'!C:D,1,0),"")="","","✔")</f>
        <v/>
      </c>
      <c r="N211" s="98" t="str">
        <f>IF(IFERROR(VLOOKUP(A211,'13.鋼筋混凝土管工程'!C:D,1,0),"")="","","✔")</f>
        <v/>
      </c>
      <c r="O211" s="98" t="str">
        <f>IF(IFERROR(VLOOKUP(A211,'14.鋼版樁'!C:D,1,0),"")="","","✔")</f>
        <v/>
      </c>
      <c r="P211" s="98" t="str">
        <f>IF(IFERROR(VLOOKUP(A211,'15.路床 路基高程'!C:D,1,0),"")="","","✔")</f>
        <v/>
      </c>
      <c r="Q211" s="98" t="str">
        <f>IF(IFERROR(VLOOKUP(A211,'16.瀝青混凝土'!C:D,1,0),"")="","","✔")</f>
        <v/>
      </c>
      <c r="R211" s="98" t="str">
        <f>IF(IFERROR(VLOOKUP(A211,'17.景觀鋪面(一)'!C:D,1,0),"")="","","✔")</f>
        <v/>
      </c>
      <c r="S211" s="98" t="str">
        <f>IF(IFERROR(VLOOKUP(A211,'18.景觀鋪面(二)'!C:D,1,0),"")="","","✔")</f>
        <v/>
      </c>
      <c r="T211" s="98" t="str">
        <f>IF(IFERROR(VLOOKUP(A211,'19.預鑄緣石'!C:D,1,0),"")="","","✔")</f>
        <v/>
      </c>
      <c r="U211" s="98" t="str">
        <f>IF(IFERROR(VLOOKUP(A211,'20.鋼構工程吊裝'!C:D,1,0),"")="","","✔")</f>
        <v/>
      </c>
      <c r="V211" s="98" t="str">
        <f>IF(IFERROR(VLOOKUP(A211,'21.鋼構工程塗裝'!C:D,1,0),"")="","","✔")</f>
        <v/>
      </c>
      <c r="W211" s="98" t="str">
        <f>IF(IFERROR(VLOOKUP(A211,'22.排水設施(一)'!C:D,1,0),"")="","","✔")</f>
        <v/>
      </c>
      <c r="X211" s="98" t="str">
        <f>IF(IFERROR(VLOOKUP(A211,'23.排水設施(二)'!C:D,1,0),"")="","","✔")</f>
        <v/>
      </c>
      <c r="Y211" s="98" t="str">
        <f>IF(IFERROR(VLOOKUP(A211,'24.木構造'!C:D,1,0),"")="","","✔")</f>
        <v/>
      </c>
      <c r="Z211" s="98" t="str">
        <f>IF(IFERROR(VLOOKUP(A211,'25.管路'!C:D,1,0),"")="","","✔")</f>
        <v/>
      </c>
      <c r="AA211" s="98" t="str">
        <f>IF(IFERROR(VLOOKUP(A211,'26.植栽(移植)'!C:D,1,0),"")="","","✔")</f>
        <v/>
      </c>
      <c r="AB211" s="98" t="str">
        <f>IF(IFERROR(VLOOKUP(A211,'27.植栽(新植)'!C:D,1,0),"")="","","✔")</f>
        <v/>
      </c>
      <c r="AC211" s="98" t="str">
        <f>IF(IFERROR(VLOOKUP(A211,'28.照明'!C:D,1,0),"")="","","✔")</f>
        <v/>
      </c>
      <c r="AD211" s="98" t="str">
        <f>IF(IFERROR(VLOOKUP(A211,'29.既有橋梁拆除'!C:D,1,0),"")="","","✔")</f>
        <v/>
      </c>
    </row>
    <row r="212" spans="1:30" ht="21.75" customHeight="1" x14ac:dyDescent="0.25">
      <c r="A212" s="99">
        <v>45402</v>
      </c>
      <c r="B212" s="98" t="str">
        <f>IF(IFERROR(VLOOKUP(A212,'1.測量放樣'!C:D,1,0),"")="","","✔")</f>
        <v/>
      </c>
      <c r="C212" s="98" t="str">
        <f>IF(IFERROR(VLOOKUP(A212,'2.土方開挖'!C:D,1,0),"")="","","✔")</f>
        <v/>
      </c>
      <c r="D212" s="98" t="str">
        <f>IF(IFERROR(VLOOKUP(A212,'3.土方回填'!C:D,1,0),"")="","","✔")</f>
        <v/>
      </c>
      <c r="E212" s="98" t="str">
        <f>IF(IFERROR(VLOOKUP(A212,'4.鋼筋'!C:D,1,0),"")="","","✔")</f>
        <v/>
      </c>
      <c r="F212" s="98" t="str">
        <f>IF(IFERROR(VLOOKUP(A212,'5.模板'!C:D,1,0),"")="","","✔")</f>
        <v/>
      </c>
      <c r="G212" s="98" t="str">
        <f>IF(IFERROR(VLOOKUP(A212,'6.混凝土'!C:D,1,0),"")="","","✔")</f>
        <v/>
      </c>
      <c r="H212" s="98" t="str">
        <f>IF(IFERROR(VLOOKUP(A212,'7.植筋'!C:D,1,0),"")="","","✔")</f>
        <v/>
      </c>
      <c r="I212" s="98" t="str">
        <f>IF(IFERROR(VLOOKUP(A212,'8.預力混凝土基樁'!C:D,1,0),"")="","","✔")</f>
        <v/>
      </c>
      <c r="J212" s="98" t="str">
        <f>IF(IFERROR(VLOOKUP(A212,'9.砌塊石護岸'!C:D,1,0),"")="","","✔")</f>
        <v/>
      </c>
      <c r="K212" s="98" t="str">
        <f>IF(IFERROR(VLOOKUP(A212,'10.低水護岸'!C:D,1,0),"")="","","✔")</f>
        <v/>
      </c>
      <c r="L212" s="98" t="str">
        <f>IF(IFERROR(VLOOKUP(A212,'11.固床工'!C:D,1,0),"")="","","✔")</f>
        <v/>
      </c>
      <c r="M212" s="98" t="str">
        <f>IF(IFERROR(VLOOKUP(A212,'12.全套管基樁'!C:D,1,0),"")="","","✔")</f>
        <v/>
      </c>
      <c r="N212" s="98" t="str">
        <f>IF(IFERROR(VLOOKUP(A212,'13.鋼筋混凝土管工程'!C:D,1,0),"")="","","✔")</f>
        <v/>
      </c>
      <c r="O212" s="98" t="str">
        <f>IF(IFERROR(VLOOKUP(A212,'14.鋼版樁'!C:D,1,0),"")="","","✔")</f>
        <v/>
      </c>
      <c r="P212" s="98" t="str">
        <f>IF(IFERROR(VLOOKUP(A212,'15.路床 路基高程'!C:D,1,0),"")="","","✔")</f>
        <v/>
      </c>
      <c r="Q212" s="98" t="str">
        <f>IF(IFERROR(VLOOKUP(A212,'16.瀝青混凝土'!C:D,1,0),"")="","","✔")</f>
        <v/>
      </c>
      <c r="R212" s="98" t="str">
        <f>IF(IFERROR(VLOOKUP(A212,'17.景觀鋪面(一)'!C:D,1,0),"")="","","✔")</f>
        <v/>
      </c>
      <c r="S212" s="98" t="str">
        <f>IF(IFERROR(VLOOKUP(A212,'18.景觀鋪面(二)'!C:D,1,0),"")="","","✔")</f>
        <v/>
      </c>
      <c r="T212" s="98" t="str">
        <f>IF(IFERROR(VLOOKUP(A212,'19.預鑄緣石'!C:D,1,0),"")="","","✔")</f>
        <v/>
      </c>
      <c r="U212" s="98" t="str">
        <f>IF(IFERROR(VLOOKUP(A212,'20.鋼構工程吊裝'!C:D,1,0),"")="","","✔")</f>
        <v/>
      </c>
      <c r="V212" s="98" t="str">
        <f>IF(IFERROR(VLOOKUP(A212,'21.鋼構工程塗裝'!C:D,1,0),"")="","","✔")</f>
        <v/>
      </c>
      <c r="W212" s="98" t="str">
        <f>IF(IFERROR(VLOOKUP(A212,'22.排水設施(一)'!C:D,1,0),"")="","","✔")</f>
        <v/>
      </c>
      <c r="X212" s="98" t="str">
        <f>IF(IFERROR(VLOOKUP(A212,'23.排水設施(二)'!C:D,1,0),"")="","","✔")</f>
        <v/>
      </c>
      <c r="Y212" s="98" t="str">
        <f>IF(IFERROR(VLOOKUP(A212,'24.木構造'!C:D,1,0),"")="","","✔")</f>
        <v/>
      </c>
      <c r="Z212" s="98" t="str">
        <f>IF(IFERROR(VLOOKUP(A212,'25.管路'!C:D,1,0),"")="","","✔")</f>
        <v/>
      </c>
      <c r="AA212" s="98" t="str">
        <f>IF(IFERROR(VLOOKUP(A212,'26.植栽(移植)'!C:D,1,0),"")="","","✔")</f>
        <v/>
      </c>
      <c r="AB212" s="98" t="str">
        <f>IF(IFERROR(VLOOKUP(A212,'27.植栽(新植)'!C:D,1,0),"")="","","✔")</f>
        <v/>
      </c>
      <c r="AC212" s="98" t="str">
        <f>IF(IFERROR(VLOOKUP(A212,'28.照明'!C:D,1,0),"")="","","✔")</f>
        <v/>
      </c>
      <c r="AD212" s="98" t="str">
        <f>IF(IFERROR(VLOOKUP(A212,'29.既有橋梁拆除'!C:D,1,0),"")="","","✔")</f>
        <v/>
      </c>
    </row>
    <row r="213" spans="1:30" ht="21.75" customHeight="1" x14ac:dyDescent="0.25">
      <c r="A213" s="99">
        <v>45403</v>
      </c>
      <c r="B213" s="98" t="str">
        <f>IF(IFERROR(VLOOKUP(A213,'1.測量放樣'!C:D,1,0),"")="","","✔")</f>
        <v/>
      </c>
      <c r="C213" s="98" t="str">
        <f>IF(IFERROR(VLOOKUP(A213,'2.土方開挖'!C:D,1,0),"")="","","✔")</f>
        <v/>
      </c>
      <c r="D213" s="98" t="str">
        <f>IF(IFERROR(VLOOKUP(A213,'3.土方回填'!C:D,1,0),"")="","","✔")</f>
        <v/>
      </c>
      <c r="E213" s="98" t="str">
        <f>IF(IFERROR(VLOOKUP(A213,'4.鋼筋'!C:D,1,0),"")="","","✔")</f>
        <v/>
      </c>
      <c r="F213" s="98" t="str">
        <f>IF(IFERROR(VLOOKUP(A213,'5.模板'!C:D,1,0),"")="","","✔")</f>
        <v/>
      </c>
      <c r="G213" s="98" t="str">
        <f>IF(IFERROR(VLOOKUP(A213,'6.混凝土'!C:D,1,0),"")="","","✔")</f>
        <v/>
      </c>
      <c r="H213" s="98" t="str">
        <f>IF(IFERROR(VLOOKUP(A213,'7.植筋'!C:D,1,0),"")="","","✔")</f>
        <v/>
      </c>
      <c r="I213" s="98" t="str">
        <f>IF(IFERROR(VLOOKUP(A213,'8.預力混凝土基樁'!C:D,1,0),"")="","","✔")</f>
        <v/>
      </c>
      <c r="J213" s="98" t="str">
        <f>IF(IFERROR(VLOOKUP(A213,'9.砌塊石護岸'!C:D,1,0),"")="","","✔")</f>
        <v/>
      </c>
      <c r="K213" s="98" t="str">
        <f>IF(IFERROR(VLOOKUP(A213,'10.低水護岸'!C:D,1,0),"")="","","✔")</f>
        <v/>
      </c>
      <c r="L213" s="98" t="str">
        <f>IF(IFERROR(VLOOKUP(A213,'11.固床工'!C:D,1,0),"")="","","✔")</f>
        <v/>
      </c>
      <c r="M213" s="98" t="str">
        <f>IF(IFERROR(VLOOKUP(A213,'12.全套管基樁'!C:D,1,0),"")="","","✔")</f>
        <v/>
      </c>
      <c r="N213" s="98" t="str">
        <f>IF(IFERROR(VLOOKUP(A213,'13.鋼筋混凝土管工程'!C:D,1,0),"")="","","✔")</f>
        <v/>
      </c>
      <c r="O213" s="98" t="str">
        <f>IF(IFERROR(VLOOKUP(A213,'14.鋼版樁'!C:D,1,0),"")="","","✔")</f>
        <v/>
      </c>
      <c r="P213" s="98" t="str">
        <f>IF(IFERROR(VLOOKUP(A213,'15.路床 路基高程'!C:D,1,0),"")="","","✔")</f>
        <v/>
      </c>
      <c r="Q213" s="98" t="str">
        <f>IF(IFERROR(VLOOKUP(A213,'16.瀝青混凝土'!C:D,1,0),"")="","","✔")</f>
        <v/>
      </c>
      <c r="R213" s="98" t="str">
        <f>IF(IFERROR(VLOOKUP(A213,'17.景觀鋪面(一)'!C:D,1,0),"")="","","✔")</f>
        <v/>
      </c>
      <c r="S213" s="98" t="str">
        <f>IF(IFERROR(VLOOKUP(A213,'18.景觀鋪面(二)'!C:D,1,0),"")="","","✔")</f>
        <v/>
      </c>
      <c r="T213" s="98" t="str">
        <f>IF(IFERROR(VLOOKUP(A213,'19.預鑄緣石'!C:D,1,0),"")="","","✔")</f>
        <v/>
      </c>
      <c r="U213" s="98" t="str">
        <f>IF(IFERROR(VLOOKUP(A213,'20.鋼構工程吊裝'!C:D,1,0),"")="","","✔")</f>
        <v/>
      </c>
      <c r="V213" s="98" t="str">
        <f>IF(IFERROR(VLOOKUP(A213,'21.鋼構工程塗裝'!C:D,1,0),"")="","","✔")</f>
        <v/>
      </c>
      <c r="W213" s="98" t="str">
        <f>IF(IFERROR(VLOOKUP(A213,'22.排水設施(一)'!C:D,1,0),"")="","","✔")</f>
        <v/>
      </c>
      <c r="X213" s="98" t="str">
        <f>IF(IFERROR(VLOOKUP(A213,'23.排水設施(二)'!C:D,1,0),"")="","","✔")</f>
        <v/>
      </c>
      <c r="Y213" s="98" t="str">
        <f>IF(IFERROR(VLOOKUP(A213,'24.木構造'!C:D,1,0),"")="","","✔")</f>
        <v/>
      </c>
      <c r="Z213" s="98" t="str">
        <f>IF(IFERROR(VLOOKUP(A213,'25.管路'!C:D,1,0),"")="","","✔")</f>
        <v/>
      </c>
      <c r="AA213" s="98" t="str">
        <f>IF(IFERROR(VLOOKUP(A213,'26.植栽(移植)'!C:D,1,0),"")="","","✔")</f>
        <v/>
      </c>
      <c r="AB213" s="98" t="str">
        <f>IF(IFERROR(VLOOKUP(A213,'27.植栽(新植)'!C:D,1,0),"")="","","✔")</f>
        <v/>
      </c>
      <c r="AC213" s="98" t="str">
        <f>IF(IFERROR(VLOOKUP(A213,'28.照明'!C:D,1,0),"")="","","✔")</f>
        <v/>
      </c>
      <c r="AD213" s="98" t="str">
        <f>IF(IFERROR(VLOOKUP(A213,'29.既有橋梁拆除'!C:D,1,0),"")="","","✔")</f>
        <v/>
      </c>
    </row>
    <row r="214" spans="1:30" ht="21.75" customHeight="1" x14ac:dyDescent="0.25">
      <c r="A214" s="99">
        <v>45404</v>
      </c>
      <c r="B214" s="98" t="str">
        <f>IF(IFERROR(VLOOKUP(A214,'1.測量放樣'!C:D,1,0),"")="","","✔")</f>
        <v/>
      </c>
      <c r="C214" s="98" t="str">
        <f>IF(IFERROR(VLOOKUP(A214,'2.土方開挖'!C:D,1,0),"")="","","✔")</f>
        <v/>
      </c>
      <c r="D214" s="98" t="str">
        <f>IF(IFERROR(VLOOKUP(A214,'3.土方回填'!C:D,1,0),"")="","","✔")</f>
        <v/>
      </c>
      <c r="E214" s="98" t="str">
        <f>IF(IFERROR(VLOOKUP(A214,'4.鋼筋'!C:D,1,0),"")="","","✔")</f>
        <v/>
      </c>
      <c r="F214" s="98" t="str">
        <f>IF(IFERROR(VLOOKUP(A214,'5.模板'!C:D,1,0),"")="","","✔")</f>
        <v/>
      </c>
      <c r="G214" s="98" t="str">
        <f>IF(IFERROR(VLOOKUP(A214,'6.混凝土'!C:D,1,0),"")="","","✔")</f>
        <v/>
      </c>
      <c r="H214" s="98" t="str">
        <f>IF(IFERROR(VLOOKUP(A214,'7.植筋'!C:D,1,0),"")="","","✔")</f>
        <v/>
      </c>
      <c r="I214" s="98" t="str">
        <f>IF(IFERROR(VLOOKUP(A214,'8.預力混凝土基樁'!C:D,1,0),"")="","","✔")</f>
        <v/>
      </c>
      <c r="J214" s="98" t="str">
        <f>IF(IFERROR(VLOOKUP(A214,'9.砌塊石護岸'!C:D,1,0),"")="","","✔")</f>
        <v/>
      </c>
      <c r="K214" s="98" t="str">
        <f>IF(IFERROR(VLOOKUP(A214,'10.低水護岸'!C:D,1,0),"")="","","✔")</f>
        <v/>
      </c>
      <c r="L214" s="98" t="str">
        <f>IF(IFERROR(VLOOKUP(A214,'11.固床工'!C:D,1,0),"")="","","✔")</f>
        <v/>
      </c>
      <c r="M214" s="98" t="str">
        <f>IF(IFERROR(VLOOKUP(A214,'12.全套管基樁'!C:D,1,0),"")="","","✔")</f>
        <v/>
      </c>
      <c r="N214" s="98" t="str">
        <f>IF(IFERROR(VLOOKUP(A214,'13.鋼筋混凝土管工程'!C:D,1,0),"")="","","✔")</f>
        <v/>
      </c>
      <c r="O214" s="98" t="str">
        <f>IF(IFERROR(VLOOKUP(A214,'14.鋼版樁'!C:D,1,0),"")="","","✔")</f>
        <v/>
      </c>
      <c r="P214" s="98" t="str">
        <f>IF(IFERROR(VLOOKUP(A214,'15.路床 路基高程'!C:D,1,0),"")="","","✔")</f>
        <v/>
      </c>
      <c r="Q214" s="98" t="str">
        <f>IF(IFERROR(VLOOKUP(A214,'16.瀝青混凝土'!C:D,1,0),"")="","","✔")</f>
        <v/>
      </c>
      <c r="R214" s="98" t="str">
        <f>IF(IFERROR(VLOOKUP(A214,'17.景觀鋪面(一)'!C:D,1,0),"")="","","✔")</f>
        <v/>
      </c>
      <c r="S214" s="98" t="str">
        <f>IF(IFERROR(VLOOKUP(A214,'18.景觀鋪面(二)'!C:D,1,0),"")="","","✔")</f>
        <v/>
      </c>
      <c r="T214" s="98" t="str">
        <f>IF(IFERROR(VLOOKUP(A214,'19.預鑄緣石'!C:D,1,0),"")="","","✔")</f>
        <v/>
      </c>
      <c r="U214" s="98" t="str">
        <f>IF(IFERROR(VLOOKUP(A214,'20.鋼構工程吊裝'!C:D,1,0),"")="","","✔")</f>
        <v/>
      </c>
      <c r="V214" s="98" t="str">
        <f>IF(IFERROR(VLOOKUP(A214,'21.鋼構工程塗裝'!C:D,1,0),"")="","","✔")</f>
        <v/>
      </c>
      <c r="W214" s="98" t="str">
        <f>IF(IFERROR(VLOOKUP(A214,'22.排水設施(一)'!C:D,1,0),"")="","","✔")</f>
        <v/>
      </c>
      <c r="X214" s="98" t="str">
        <f>IF(IFERROR(VLOOKUP(A214,'23.排水設施(二)'!C:D,1,0),"")="","","✔")</f>
        <v/>
      </c>
      <c r="Y214" s="98" t="str">
        <f>IF(IFERROR(VLOOKUP(A214,'24.木構造'!C:D,1,0),"")="","","✔")</f>
        <v/>
      </c>
      <c r="Z214" s="98" t="str">
        <f>IF(IFERROR(VLOOKUP(A214,'25.管路'!C:D,1,0),"")="","","✔")</f>
        <v/>
      </c>
      <c r="AA214" s="98" t="str">
        <f>IF(IFERROR(VLOOKUP(A214,'26.植栽(移植)'!C:D,1,0),"")="","","✔")</f>
        <v/>
      </c>
      <c r="AB214" s="98" t="str">
        <f>IF(IFERROR(VLOOKUP(A214,'27.植栽(新植)'!C:D,1,0),"")="","","✔")</f>
        <v/>
      </c>
      <c r="AC214" s="98" t="str">
        <f>IF(IFERROR(VLOOKUP(A214,'28.照明'!C:D,1,0),"")="","","✔")</f>
        <v/>
      </c>
      <c r="AD214" s="98" t="str">
        <f>IF(IFERROR(VLOOKUP(A214,'29.既有橋梁拆除'!C:D,1,0),"")="","","✔")</f>
        <v/>
      </c>
    </row>
    <row r="215" spans="1:30" ht="21.75" customHeight="1" x14ac:dyDescent="0.25">
      <c r="A215" s="99">
        <v>45405</v>
      </c>
      <c r="B215" s="98" t="str">
        <f>IF(IFERROR(VLOOKUP(A215,'1.測量放樣'!C:D,1,0),"")="","","✔")</f>
        <v/>
      </c>
      <c r="C215" s="98" t="str">
        <f>IF(IFERROR(VLOOKUP(A215,'2.土方開挖'!C:D,1,0),"")="","","✔")</f>
        <v/>
      </c>
      <c r="D215" s="98" t="str">
        <f>IF(IFERROR(VLOOKUP(A215,'3.土方回填'!C:D,1,0),"")="","","✔")</f>
        <v/>
      </c>
      <c r="E215" s="98" t="str">
        <f>IF(IFERROR(VLOOKUP(A215,'4.鋼筋'!C:D,1,0),"")="","","✔")</f>
        <v/>
      </c>
      <c r="F215" s="98" t="str">
        <f>IF(IFERROR(VLOOKUP(A215,'5.模板'!C:D,1,0),"")="","","✔")</f>
        <v/>
      </c>
      <c r="G215" s="98" t="str">
        <f>IF(IFERROR(VLOOKUP(A215,'6.混凝土'!C:D,1,0),"")="","","✔")</f>
        <v/>
      </c>
      <c r="H215" s="98" t="str">
        <f>IF(IFERROR(VLOOKUP(A215,'7.植筋'!C:D,1,0),"")="","","✔")</f>
        <v/>
      </c>
      <c r="I215" s="98" t="str">
        <f>IF(IFERROR(VLOOKUP(A215,'8.預力混凝土基樁'!C:D,1,0),"")="","","✔")</f>
        <v/>
      </c>
      <c r="J215" s="98" t="str">
        <f>IF(IFERROR(VLOOKUP(A215,'9.砌塊石護岸'!C:D,1,0),"")="","","✔")</f>
        <v/>
      </c>
      <c r="K215" s="98" t="str">
        <f>IF(IFERROR(VLOOKUP(A215,'10.低水護岸'!C:D,1,0),"")="","","✔")</f>
        <v/>
      </c>
      <c r="L215" s="98" t="str">
        <f>IF(IFERROR(VLOOKUP(A215,'11.固床工'!C:D,1,0),"")="","","✔")</f>
        <v/>
      </c>
      <c r="M215" s="98" t="str">
        <f>IF(IFERROR(VLOOKUP(A215,'12.全套管基樁'!C:D,1,0),"")="","","✔")</f>
        <v/>
      </c>
      <c r="N215" s="98" t="str">
        <f>IF(IFERROR(VLOOKUP(A215,'13.鋼筋混凝土管工程'!C:D,1,0),"")="","","✔")</f>
        <v/>
      </c>
      <c r="O215" s="98" t="str">
        <f>IF(IFERROR(VLOOKUP(A215,'14.鋼版樁'!C:D,1,0),"")="","","✔")</f>
        <v/>
      </c>
      <c r="P215" s="98" t="str">
        <f>IF(IFERROR(VLOOKUP(A215,'15.路床 路基高程'!C:D,1,0),"")="","","✔")</f>
        <v/>
      </c>
      <c r="Q215" s="98" t="str">
        <f>IF(IFERROR(VLOOKUP(A215,'16.瀝青混凝土'!C:D,1,0),"")="","","✔")</f>
        <v/>
      </c>
      <c r="R215" s="98" t="str">
        <f>IF(IFERROR(VLOOKUP(A215,'17.景觀鋪面(一)'!C:D,1,0),"")="","","✔")</f>
        <v/>
      </c>
      <c r="S215" s="98" t="str">
        <f>IF(IFERROR(VLOOKUP(A215,'18.景觀鋪面(二)'!C:D,1,0),"")="","","✔")</f>
        <v/>
      </c>
      <c r="T215" s="98" t="str">
        <f>IF(IFERROR(VLOOKUP(A215,'19.預鑄緣石'!C:D,1,0),"")="","","✔")</f>
        <v/>
      </c>
      <c r="U215" s="98" t="str">
        <f>IF(IFERROR(VLOOKUP(A215,'20.鋼構工程吊裝'!C:D,1,0),"")="","","✔")</f>
        <v/>
      </c>
      <c r="V215" s="98" t="str">
        <f>IF(IFERROR(VLOOKUP(A215,'21.鋼構工程塗裝'!C:D,1,0),"")="","","✔")</f>
        <v/>
      </c>
      <c r="W215" s="98" t="str">
        <f>IF(IFERROR(VLOOKUP(A215,'22.排水設施(一)'!C:D,1,0),"")="","","✔")</f>
        <v/>
      </c>
      <c r="X215" s="98" t="str">
        <f>IF(IFERROR(VLOOKUP(A215,'23.排水設施(二)'!C:D,1,0),"")="","","✔")</f>
        <v/>
      </c>
      <c r="Y215" s="98" t="str">
        <f>IF(IFERROR(VLOOKUP(A215,'24.木構造'!C:D,1,0),"")="","","✔")</f>
        <v/>
      </c>
      <c r="Z215" s="98" t="str">
        <f>IF(IFERROR(VLOOKUP(A215,'25.管路'!C:D,1,0),"")="","","✔")</f>
        <v/>
      </c>
      <c r="AA215" s="98" t="str">
        <f>IF(IFERROR(VLOOKUP(A215,'26.植栽(移植)'!C:D,1,0),"")="","","✔")</f>
        <v/>
      </c>
      <c r="AB215" s="98" t="str">
        <f>IF(IFERROR(VLOOKUP(A215,'27.植栽(新植)'!C:D,1,0),"")="","","✔")</f>
        <v/>
      </c>
      <c r="AC215" s="98" t="str">
        <f>IF(IFERROR(VLOOKUP(A215,'28.照明'!C:D,1,0),"")="","","✔")</f>
        <v/>
      </c>
      <c r="AD215" s="98" t="str">
        <f>IF(IFERROR(VLOOKUP(A215,'29.既有橋梁拆除'!C:D,1,0),"")="","","✔")</f>
        <v/>
      </c>
    </row>
    <row r="216" spans="1:30" ht="21.75" customHeight="1" x14ac:dyDescent="0.25">
      <c r="A216" s="99">
        <v>45406</v>
      </c>
      <c r="B216" s="98" t="str">
        <f>IF(IFERROR(VLOOKUP(A216,'1.測量放樣'!C:D,1,0),"")="","","✔")</f>
        <v/>
      </c>
      <c r="C216" s="98" t="str">
        <f>IF(IFERROR(VLOOKUP(A216,'2.土方開挖'!C:D,1,0),"")="","","✔")</f>
        <v/>
      </c>
      <c r="D216" s="98" t="str">
        <f>IF(IFERROR(VLOOKUP(A216,'3.土方回填'!C:D,1,0),"")="","","✔")</f>
        <v/>
      </c>
      <c r="E216" s="98" t="str">
        <f>IF(IFERROR(VLOOKUP(A216,'4.鋼筋'!C:D,1,0),"")="","","✔")</f>
        <v/>
      </c>
      <c r="F216" s="98" t="str">
        <f>IF(IFERROR(VLOOKUP(A216,'5.模板'!C:D,1,0),"")="","","✔")</f>
        <v/>
      </c>
      <c r="G216" s="98" t="str">
        <f>IF(IFERROR(VLOOKUP(A216,'6.混凝土'!C:D,1,0),"")="","","✔")</f>
        <v/>
      </c>
      <c r="H216" s="98" t="str">
        <f>IF(IFERROR(VLOOKUP(A216,'7.植筋'!C:D,1,0),"")="","","✔")</f>
        <v/>
      </c>
      <c r="I216" s="98" t="str">
        <f>IF(IFERROR(VLOOKUP(A216,'8.預力混凝土基樁'!C:D,1,0),"")="","","✔")</f>
        <v/>
      </c>
      <c r="J216" s="98" t="str">
        <f>IF(IFERROR(VLOOKUP(A216,'9.砌塊石護岸'!C:D,1,0),"")="","","✔")</f>
        <v/>
      </c>
      <c r="K216" s="98" t="str">
        <f>IF(IFERROR(VLOOKUP(A216,'10.低水護岸'!C:D,1,0),"")="","","✔")</f>
        <v/>
      </c>
      <c r="L216" s="98" t="str">
        <f>IF(IFERROR(VLOOKUP(A216,'11.固床工'!C:D,1,0),"")="","","✔")</f>
        <v/>
      </c>
      <c r="M216" s="98" t="str">
        <f>IF(IFERROR(VLOOKUP(A216,'12.全套管基樁'!C:D,1,0),"")="","","✔")</f>
        <v/>
      </c>
      <c r="N216" s="98" t="str">
        <f>IF(IFERROR(VLOOKUP(A216,'13.鋼筋混凝土管工程'!C:D,1,0),"")="","","✔")</f>
        <v/>
      </c>
      <c r="O216" s="98" t="str">
        <f>IF(IFERROR(VLOOKUP(A216,'14.鋼版樁'!C:D,1,0),"")="","","✔")</f>
        <v/>
      </c>
      <c r="P216" s="98" t="str">
        <f>IF(IFERROR(VLOOKUP(A216,'15.路床 路基高程'!C:D,1,0),"")="","","✔")</f>
        <v/>
      </c>
      <c r="Q216" s="98" t="str">
        <f>IF(IFERROR(VLOOKUP(A216,'16.瀝青混凝土'!C:D,1,0),"")="","","✔")</f>
        <v/>
      </c>
      <c r="R216" s="98" t="str">
        <f>IF(IFERROR(VLOOKUP(A216,'17.景觀鋪面(一)'!C:D,1,0),"")="","","✔")</f>
        <v/>
      </c>
      <c r="S216" s="98" t="str">
        <f>IF(IFERROR(VLOOKUP(A216,'18.景觀鋪面(二)'!C:D,1,0),"")="","","✔")</f>
        <v/>
      </c>
      <c r="T216" s="98" t="str">
        <f>IF(IFERROR(VLOOKUP(A216,'19.預鑄緣石'!C:D,1,0),"")="","","✔")</f>
        <v/>
      </c>
      <c r="U216" s="98" t="str">
        <f>IF(IFERROR(VLOOKUP(A216,'20.鋼構工程吊裝'!C:D,1,0),"")="","","✔")</f>
        <v/>
      </c>
      <c r="V216" s="98" t="str">
        <f>IF(IFERROR(VLOOKUP(A216,'21.鋼構工程塗裝'!C:D,1,0),"")="","","✔")</f>
        <v/>
      </c>
      <c r="W216" s="98" t="str">
        <f>IF(IFERROR(VLOOKUP(A216,'22.排水設施(一)'!C:D,1,0),"")="","","✔")</f>
        <v/>
      </c>
      <c r="X216" s="98" t="str">
        <f>IF(IFERROR(VLOOKUP(A216,'23.排水設施(二)'!C:D,1,0),"")="","","✔")</f>
        <v/>
      </c>
      <c r="Y216" s="98" t="str">
        <f>IF(IFERROR(VLOOKUP(A216,'24.木構造'!C:D,1,0),"")="","","✔")</f>
        <v/>
      </c>
      <c r="Z216" s="98" t="str">
        <f>IF(IFERROR(VLOOKUP(A216,'25.管路'!C:D,1,0),"")="","","✔")</f>
        <v/>
      </c>
      <c r="AA216" s="98" t="str">
        <f>IF(IFERROR(VLOOKUP(A216,'26.植栽(移植)'!C:D,1,0),"")="","","✔")</f>
        <v/>
      </c>
      <c r="AB216" s="98" t="str">
        <f>IF(IFERROR(VLOOKUP(A216,'27.植栽(新植)'!C:D,1,0),"")="","","✔")</f>
        <v/>
      </c>
      <c r="AC216" s="98" t="str">
        <f>IF(IFERROR(VLOOKUP(A216,'28.照明'!C:D,1,0),"")="","","✔")</f>
        <v/>
      </c>
      <c r="AD216" s="98" t="str">
        <f>IF(IFERROR(VLOOKUP(A216,'29.既有橋梁拆除'!C:D,1,0),"")="","","✔")</f>
        <v/>
      </c>
    </row>
    <row r="217" spans="1:30" ht="21.75" customHeight="1" x14ac:dyDescent="0.25">
      <c r="A217" s="99">
        <v>45407</v>
      </c>
      <c r="B217" s="98" t="str">
        <f>IF(IFERROR(VLOOKUP(A217,'1.測量放樣'!C:D,1,0),"")="","","✔")</f>
        <v/>
      </c>
      <c r="C217" s="98" t="str">
        <f>IF(IFERROR(VLOOKUP(A217,'2.土方開挖'!C:D,1,0),"")="","","✔")</f>
        <v/>
      </c>
      <c r="D217" s="98" t="str">
        <f>IF(IFERROR(VLOOKUP(A217,'3.土方回填'!C:D,1,0),"")="","","✔")</f>
        <v/>
      </c>
      <c r="E217" s="98" t="str">
        <f>IF(IFERROR(VLOOKUP(A217,'4.鋼筋'!C:D,1,0),"")="","","✔")</f>
        <v/>
      </c>
      <c r="F217" s="98" t="str">
        <f>IF(IFERROR(VLOOKUP(A217,'5.模板'!C:D,1,0),"")="","","✔")</f>
        <v/>
      </c>
      <c r="G217" s="98" t="str">
        <f>IF(IFERROR(VLOOKUP(A217,'6.混凝土'!C:D,1,0),"")="","","✔")</f>
        <v/>
      </c>
      <c r="H217" s="98" t="str">
        <f>IF(IFERROR(VLOOKUP(A217,'7.植筋'!C:D,1,0),"")="","","✔")</f>
        <v/>
      </c>
      <c r="I217" s="98" t="str">
        <f>IF(IFERROR(VLOOKUP(A217,'8.預力混凝土基樁'!C:D,1,0),"")="","","✔")</f>
        <v/>
      </c>
      <c r="J217" s="98" t="str">
        <f>IF(IFERROR(VLOOKUP(A217,'9.砌塊石護岸'!C:D,1,0),"")="","","✔")</f>
        <v/>
      </c>
      <c r="K217" s="98" t="str">
        <f>IF(IFERROR(VLOOKUP(A217,'10.低水護岸'!C:D,1,0),"")="","","✔")</f>
        <v/>
      </c>
      <c r="L217" s="98" t="str">
        <f>IF(IFERROR(VLOOKUP(A217,'11.固床工'!C:D,1,0),"")="","","✔")</f>
        <v/>
      </c>
      <c r="M217" s="98" t="str">
        <f>IF(IFERROR(VLOOKUP(A217,'12.全套管基樁'!C:D,1,0),"")="","","✔")</f>
        <v/>
      </c>
      <c r="N217" s="98" t="str">
        <f>IF(IFERROR(VLOOKUP(A217,'13.鋼筋混凝土管工程'!C:D,1,0),"")="","","✔")</f>
        <v/>
      </c>
      <c r="O217" s="98" t="str">
        <f>IF(IFERROR(VLOOKUP(A217,'14.鋼版樁'!C:D,1,0),"")="","","✔")</f>
        <v/>
      </c>
      <c r="P217" s="98" t="str">
        <f>IF(IFERROR(VLOOKUP(A217,'15.路床 路基高程'!C:D,1,0),"")="","","✔")</f>
        <v/>
      </c>
      <c r="Q217" s="98" t="str">
        <f>IF(IFERROR(VLOOKUP(A217,'16.瀝青混凝土'!C:D,1,0),"")="","","✔")</f>
        <v/>
      </c>
      <c r="R217" s="98" t="str">
        <f>IF(IFERROR(VLOOKUP(A217,'17.景觀鋪面(一)'!C:D,1,0),"")="","","✔")</f>
        <v/>
      </c>
      <c r="S217" s="98" t="str">
        <f>IF(IFERROR(VLOOKUP(A217,'18.景觀鋪面(二)'!C:D,1,0),"")="","","✔")</f>
        <v/>
      </c>
      <c r="T217" s="98" t="str">
        <f>IF(IFERROR(VLOOKUP(A217,'19.預鑄緣石'!C:D,1,0),"")="","","✔")</f>
        <v/>
      </c>
      <c r="U217" s="98" t="str">
        <f>IF(IFERROR(VLOOKUP(A217,'20.鋼構工程吊裝'!C:D,1,0),"")="","","✔")</f>
        <v/>
      </c>
      <c r="V217" s="98" t="str">
        <f>IF(IFERROR(VLOOKUP(A217,'21.鋼構工程塗裝'!C:D,1,0),"")="","","✔")</f>
        <v/>
      </c>
      <c r="W217" s="98" t="str">
        <f>IF(IFERROR(VLOOKUP(A217,'22.排水設施(一)'!C:D,1,0),"")="","","✔")</f>
        <v/>
      </c>
      <c r="X217" s="98" t="str">
        <f>IF(IFERROR(VLOOKUP(A217,'23.排水設施(二)'!C:D,1,0),"")="","","✔")</f>
        <v/>
      </c>
      <c r="Y217" s="98" t="str">
        <f>IF(IFERROR(VLOOKUP(A217,'24.木構造'!C:D,1,0),"")="","","✔")</f>
        <v/>
      </c>
      <c r="Z217" s="98" t="str">
        <f>IF(IFERROR(VLOOKUP(A217,'25.管路'!C:D,1,0),"")="","","✔")</f>
        <v/>
      </c>
      <c r="AA217" s="98" t="str">
        <f>IF(IFERROR(VLOOKUP(A217,'26.植栽(移植)'!C:D,1,0),"")="","","✔")</f>
        <v/>
      </c>
      <c r="AB217" s="98" t="str">
        <f>IF(IFERROR(VLOOKUP(A217,'27.植栽(新植)'!C:D,1,0),"")="","","✔")</f>
        <v/>
      </c>
      <c r="AC217" s="98" t="str">
        <f>IF(IFERROR(VLOOKUP(A217,'28.照明'!C:D,1,0),"")="","","✔")</f>
        <v/>
      </c>
      <c r="AD217" s="98" t="str">
        <f>IF(IFERROR(VLOOKUP(A217,'29.既有橋梁拆除'!C:D,1,0),"")="","","✔")</f>
        <v/>
      </c>
    </row>
    <row r="218" spans="1:30" ht="21.75" customHeight="1" x14ac:dyDescent="0.25">
      <c r="A218" s="99">
        <v>45408</v>
      </c>
      <c r="B218" s="98" t="str">
        <f>IF(IFERROR(VLOOKUP(A218,'1.測量放樣'!C:D,1,0),"")="","","✔")</f>
        <v/>
      </c>
      <c r="C218" s="98" t="str">
        <f>IF(IFERROR(VLOOKUP(A218,'2.土方開挖'!C:D,1,0),"")="","","✔")</f>
        <v/>
      </c>
      <c r="D218" s="98" t="str">
        <f>IF(IFERROR(VLOOKUP(A218,'3.土方回填'!C:D,1,0),"")="","","✔")</f>
        <v/>
      </c>
      <c r="E218" s="98" t="str">
        <f>IF(IFERROR(VLOOKUP(A218,'4.鋼筋'!C:D,1,0),"")="","","✔")</f>
        <v/>
      </c>
      <c r="F218" s="98" t="str">
        <f>IF(IFERROR(VLOOKUP(A218,'5.模板'!C:D,1,0),"")="","","✔")</f>
        <v/>
      </c>
      <c r="G218" s="98" t="str">
        <f>IF(IFERROR(VLOOKUP(A218,'6.混凝土'!C:D,1,0),"")="","","✔")</f>
        <v/>
      </c>
      <c r="H218" s="98" t="str">
        <f>IF(IFERROR(VLOOKUP(A218,'7.植筋'!C:D,1,0),"")="","","✔")</f>
        <v/>
      </c>
      <c r="I218" s="98" t="str">
        <f>IF(IFERROR(VLOOKUP(A218,'8.預力混凝土基樁'!C:D,1,0),"")="","","✔")</f>
        <v/>
      </c>
      <c r="J218" s="98" t="str">
        <f>IF(IFERROR(VLOOKUP(A218,'9.砌塊石護岸'!C:D,1,0),"")="","","✔")</f>
        <v/>
      </c>
      <c r="K218" s="98" t="str">
        <f>IF(IFERROR(VLOOKUP(A218,'10.低水護岸'!C:D,1,0),"")="","","✔")</f>
        <v/>
      </c>
      <c r="L218" s="98" t="str">
        <f>IF(IFERROR(VLOOKUP(A218,'11.固床工'!C:D,1,0),"")="","","✔")</f>
        <v/>
      </c>
      <c r="M218" s="98" t="str">
        <f>IF(IFERROR(VLOOKUP(A218,'12.全套管基樁'!C:D,1,0),"")="","","✔")</f>
        <v/>
      </c>
      <c r="N218" s="98" t="str">
        <f>IF(IFERROR(VLOOKUP(A218,'13.鋼筋混凝土管工程'!C:D,1,0),"")="","","✔")</f>
        <v/>
      </c>
      <c r="O218" s="98" t="str">
        <f>IF(IFERROR(VLOOKUP(A218,'14.鋼版樁'!C:D,1,0),"")="","","✔")</f>
        <v/>
      </c>
      <c r="P218" s="98" t="str">
        <f>IF(IFERROR(VLOOKUP(A218,'15.路床 路基高程'!C:D,1,0),"")="","","✔")</f>
        <v/>
      </c>
      <c r="Q218" s="98" t="str">
        <f>IF(IFERROR(VLOOKUP(A218,'16.瀝青混凝土'!C:D,1,0),"")="","","✔")</f>
        <v/>
      </c>
      <c r="R218" s="98" t="str">
        <f>IF(IFERROR(VLOOKUP(A218,'17.景觀鋪面(一)'!C:D,1,0),"")="","","✔")</f>
        <v/>
      </c>
      <c r="S218" s="98" t="str">
        <f>IF(IFERROR(VLOOKUP(A218,'18.景觀鋪面(二)'!C:D,1,0),"")="","","✔")</f>
        <v/>
      </c>
      <c r="T218" s="98" t="str">
        <f>IF(IFERROR(VLOOKUP(A218,'19.預鑄緣石'!C:D,1,0),"")="","","✔")</f>
        <v/>
      </c>
      <c r="U218" s="98" t="str">
        <f>IF(IFERROR(VLOOKUP(A218,'20.鋼構工程吊裝'!C:D,1,0),"")="","","✔")</f>
        <v/>
      </c>
      <c r="V218" s="98" t="str">
        <f>IF(IFERROR(VLOOKUP(A218,'21.鋼構工程塗裝'!C:D,1,0),"")="","","✔")</f>
        <v/>
      </c>
      <c r="W218" s="98" t="str">
        <f>IF(IFERROR(VLOOKUP(A218,'22.排水設施(一)'!C:D,1,0),"")="","","✔")</f>
        <v/>
      </c>
      <c r="X218" s="98" t="str">
        <f>IF(IFERROR(VLOOKUP(A218,'23.排水設施(二)'!C:D,1,0),"")="","","✔")</f>
        <v/>
      </c>
      <c r="Y218" s="98" t="str">
        <f>IF(IFERROR(VLOOKUP(A218,'24.木構造'!C:D,1,0),"")="","","✔")</f>
        <v/>
      </c>
      <c r="Z218" s="98" t="str">
        <f>IF(IFERROR(VLOOKUP(A218,'25.管路'!C:D,1,0),"")="","","✔")</f>
        <v/>
      </c>
      <c r="AA218" s="98" t="str">
        <f>IF(IFERROR(VLOOKUP(A218,'26.植栽(移植)'!C:D,1,0),"")="","","✔")</f>
        <v/>
      </c>
      <c r="AB218" s="98" t="str">
        <f>IF(IFERROR(VLOOKUP(A218,'27.植栽(新植)'!C:D,1,0),"")="","","✔")</f>
        <v/>
      </c>
      <c r="AC218" s="98" t="str">
        <f>IF(IFERROR(VLOOKUP(A218,'28.照明'!C:D,1,0),"")="","","✔")</f>
        <v/>
      </c>
      <c r="AD218" s="98" t="str">
        <f>IF(IFERROR(VLOOKUP(A218,'29.既有橋梁拆除'!C:D,1,0),"")="","","✔")</f>
        <v/>
      </c>
    </row>
    <row r="219" spans="1:30" ht="21.75" customHeight="1" x14ac:dyDescent="0.25">
      <c r="A219" s="99">
        <v>45409</v>
      </c>
      <c r="B219" s="98" t="str">
        <f>IF(IFERROR(VLOOKUP(A219,'1.測量放樣'!C:D,1,0),"")="","","✔")</f>
        <v/>
      </c>
      <c r="C219" s="98" t="str">
        <f>IF(IFERROR(VLOOKUP(A219,'2.土方開挖'!C:D,1,0),"")="","","✔")</f>
        <v/>
      </c>
      <c r="D219" s="98" t="str">
        <f>IF(IFERROR(VLOOKUP(A219,'3.土方回填'!C:D,1,0),"")="","","✔")</f>
        <v/>
      </c>
      <c r="E219" s="98" t="str">
        <f>IF(IFERROR(VLOOKUP(A219,'4.鋼筋'!C:D,1,0),"")="","","✔")</f>
        <v/>
      </c>
      <c r="F219" s="98" t="str">
        <f>IF(IFERROR(VLOOKUP(A219,'5.模板'!C:D,1,0),"")="","","✔")</f>
        <v/>
      </c>
      <c r="G219" s="98" t="str">
        <f>IF(IFERROR(VLOOKUP(A219,'6.混凝土'!C:D,1,0),"")="","","✔")</f>
        <v/>
      </c>
      <c r="H219" s="98" t="str">
        <f>IF(IFERROR(VLOOKUP(A219,'7.植筋'!C:D,1,0),"")="","","✔")</f>
        <v/>
      </c>
      <c r="I219" s="98" t="str">
        <f>IF(IFERROR(VLOOKUP(A219,'8.預力混凝土基樁'!C:D,1,0),"")="","","✔")</f>
        <v/>
      </c>
      <c r="J219" s="98" t="str">
        <f>IF(IFERROR(VLOOKUP(A219,'9.砌塊石護岸'!C:D,1,0),"")="","","✔")</f>
        <v/>
      </c>
      <c r="K219" s="98" t="str">
        <f>IF(IFERROR(VLOOKUP(A219,'10.低水護岸'!C:D,1,0),"")="","","✔")</f>
        <v/>
      </c>
      <c r="L219" s="98" t="str">
        <f>IF(IFERROR(VLOOKUP(A219,'11.固床工'!C:D,1,0),"")="","","✔")</f>
        <v/>
      </c>
      <c r="M219" s="98" t="str">
        <f>IF(IFERROR(VLOOKUP(A219,'12.全套管基樁'!C:D,1,0),"")="","","✔")</f>
        <v/>
      </c>
      <c r="N219" s="98" t="str">
        <f>IF(IFERROR(VLOOKUP(A219,'13.鋼筋混凝土管工程'!C:D,1,0),"")="","","✔")</f>
        <v/>
      </c>
      <c r="O219" s="98" t="str">
        <f>IF(IFERROR(VLOOKUP(A219,'14.鋼版樁'!C:D,1,0),"")="","","✔")</f>
        <v/>
      </c>
      <c r="P219" s="98" t="str">
        <f>IF(IFERROR(VLOOKUP(A219,'15.路床 路基高程'!C:D,1,0),"")="","","✔")</f>
        <v/>
      </c>
      <c r="Q219" s="98" t="str">
        <f>IF(IFERROR(VLOOKUP(A219,'16.瀝青混凝土'!C:D,1,0),"")="","","✔")</f>
        <v/>
      </c>
      <c r="R219" s="98" t="str">
        <f>IF(IFERROR(VLOOKUP(A219,'17.景觀鋪面(一)'!C:D,1,0),"")="","","✔")</f>
        <v/>
      </c>
      <c r="S219" s="98" t="str">
        <f>IF(IFERROR(VLOOKUP(A219,'18.景觀鋪面(二)'!C:D,1,0),"")="","","✔")</f>
        <v/>
      </c>
      <c r="T219" s="98" t="str">
        <f>IF(IFERROR(VLOOKUP(A219,'19.預鑄緣石'!C:D,1,0),"")="","","✔")</f>
        <v/>
      </c>
      <c r="U219" s="98" t="str">
        <f>IF(IFERROR(VLOOKUP(A219,'20.鋼構工程吊裝'!C:D,1,0),"")="","","✔")</f>
        <v/>
      </c>
      <c r="V219" s="98" t="str">
        <f>IF(IFERROR(VLOOKUP(A219,'21.鋼構工程塗裝'!C:D,1,0),"")="","","✔")</f>
        <v/>
      </c>
      <c r="W219" s="98" t="str">
        <f>IF(IFERROR(VLOOKUP(A219,'22.排水設施(一)'!C:D,1,0),"")="","","✔")</f>
        <v/>
      </c>
      <c r="X219" s="98" t="str">
        <f>IF(IFERROR(VLOOKUP(A219,'23.排水設施(二)'!C:D,1,0),"")="","","✔")</f>
        <v/>
      </c>
      <c r="Y219" s="98" t="str">
        <f>IF(IFERROR(VLOOKUP(A219,'24.木構造'!C:D,1,0),"")="","","✔")</f>
        <v/>
      </c>
      <c r="Z219" s="98" t="str">
        <f>IF(IFERROR(VLOOKUP(A219,'25.管路'!C:D,1,0),"")="","","✔")</f>
        <v/>
      </c>
      <c r="AA219" s="98" t="str">
        <f>IF(IFERROR(VLOOKUP(A219,'26.植栽(移植)'!C:D,1,0),"")="","","✔")</f>
        <v/>
      </c>
      <c r="AB219" s="98" t="str">
        <f>IF(IFERROR(VLOOKUP(A219,'27.植栽(新植)'!C:D,1,0),"")="","","✔")</f>
        <v/>
      </c>
      <c r="AC219" s="98" t="str">
        <f>IF(IFERROR(VLOOKUP(A219,'28.照明'!C:D,1,0),"")="","","✔")</f>
        <v/>
      </c>
      <c r="AD219" s="98" t="str">
        <f>IF(IFERROR(VLOOKUP(A219,'29.既有橋梁拆除'!C:D,1,0),"")="","","✔")</f>
        <v/>
      </c>
    </row>
    <row r="220" spans="1:30" ht="21.75" customHeight="1" x14ac:dyDescent="0.25">
      <c r="A220" s="99">
        <v>45410</v>
      </c>
      <c r="B220" s="98" t="str">
        <f>IF(IFERROR(VLOOKUP(A220,'1.測量放樣'!C:D,1,0),"")="","","✔")</f>
        <v/>
      </c>
      <c r="C220" s="98" t="str">
        <f>IF(IFERROR(VLOOKUP(A220,'2.土方開挖'!C:D,1,0),"")="","","✔")</f>
        <v/>
      </c>
      <c r="D220" s="98" t="str">
        <f>IF(IFERROR(VLOOKUP(A220,'3.土方回填'!C:D,1,0),"")="","","✔")</f>
        <v/>
      </c>
      <c r="E220" s="98" t="str">
        <f>IF(IFERROR(VLOOKUP(A220,'4.鋼筋'!C:D,1,0),"")="","","✔")</f>
        <v/>
      </c>
      <c r="F220" s="98" t="str">
        <f>IF(IFERROR(VLOOKUP(A220,'5.模板'!C:D,1,0),"")="","","✔")</f>
        <v/>
      </c>
      <c r="G220" s="98" t="str">
        <f>IF(IFERROR(VLOOKUP(A220,'6.混凝土'!C:D,1,0),"")="","","✔")</f>
        <v/>
      </c>
      <c r="H220" s="98" t="str">
        <f>IF(IFERROR(VLOOKUP(A220,'7.植筋'!C:D,1,0),"")="","","✔")</f>
        <v/>
      </c>
      <c r="I220" s="98" t="str">
        <f>IF(IFERROR(VLOOKUP(A220,'8.預力混凝土基樁'!C:D,1,0),"")="","","✔")</f>
        <v/>
      </c>
      <c r="J220" s="98" t="str">
        <f>IF(IFERROR(VLOOKUP(A220,'9.砌塊石護岸'!C:D,1,0),"")="","","✔")</f>
        <v/>
      </c>
      <c r="K220" s="98" t="str">
        <f>IF(IFERROR(VLOOKUP(A220,'10.低水護岸'!C:D,1,0),"")="","","✔")</f>
        <v/>
      </c>
      <c r="L220" s="98" t="str">
        <f>IF(IFERROR(VLOOKUP(A220,'11.固床工'!C:D,1,0),"")="","","✔")</f>
        <v/>
      </c>
      <c r="M220" s="98" t="str">
        <f>IF(IFERROR(VLOOKUP(A220,'12.全套管基樁'!C:D,1,0),"")="","","✔")</f>
        <v/>
      </c>
      <c r="N220" s="98" t="str">
        <f>IF(IFERROR(VLOOKUP(A220,'13.鋼筋混凝土管工程'!C:D,1,0),"")="","","✔")</f>
        <v/>
      </c>
      <c r="O220" s="98" t="str">
        <f>IF(IFERROR(VLOOKUP(A220,'14.鋼版樁'!C:D,1,0),"")="","","✔")</f>
        <v/>
      </c>
      <c r="P220" s="98" t="str">
        <f>IF(IFERROR(VLOOKUP(A220,'15.路床 路基高程'!C:D,1,0),"")="","","✔")</f>
        <v/>
      </c>
      <c r="Q220" s="98" t="str">
        <f>IF(IFERROR(VLOOKUP(A220,'16.瀝青混凝土'!C:D,1,0),"")="","","✔")</f>
        <v/>
      </c>
      <c r="R220" s="98" t="str">
        <f>IF(IFERROR(VLOOKUP(A220,'17.景觀鋪面(一)'!C:D,1,0),"")="","","✔")</f>
        <v/>
      </c>
      <c r="S220" s="98" t="str">
        <f>IF(IFERROR(VLOOKUP(A220,'18.景觀鋪面(二)'!C:D,1,0),"")="","","✔")</f>
        <v/>
      </c>
      <c r="T220" s="98" t="str">
        <f>IF(IFERROR(VLOOKUP(A220,'19.預鑄緣石'!C:D,1,0),"")="","","✔")</f>
        <v/>
      </c>
      <c r="U220" s="98" t="str">
        <f>IF(IFERROR(VLOOKUP(A220,'20.鋼構工程吊裝'!C:D,1,0),"")="","","✔")</f>
        <v/>
      </c>
      <c r="V220" s="98" t="str">
        <f>IF(IFERROR(VLOOKUP(A220,'21.鋼構工程塗裝'!C:D,1,0),"")="","","✔")</f>
        <v/>
      </c>
      <c r="W220" s="98" t="str">
        <f>IF(IFERROR(VLOOKUP(A220,'22.排水設施(一)'!C:D,1,0),"")="","","✔")</f>
        <v/>
      </c>
      <c r="X220" s="98" t="str">
        <f>IF(IFERROR(VLOOKUP(A220,'23.排水設施(二)'!C:D,1,0),"")="","","✔")</f>
        <v/>
      </c>
      <c r="Y220" s="98" t="str">
        <f>IF(IFERROR(VLOOKUP(A220,'24.木構造'!C:D,1,0),"")="","","✔")</f>
        <v/>
      </c>
      <c r="Z220" s="98" t="str">
        <f>IF(IFERROR(VLOOKUP(A220,'25.管路'!C:D,1,0),"")="","","✔")</f>
        <v/>
      </c>
      <c r="AA220" s="98" t="str">
        <f>IF(IFERROR(VLOOKUP(A220,'26.植栽(移植)'!C:D,1,0),"")="","","✔")</f>
        <v/>
      </c>
      <c r="AB220" s="98" t="str">
        <f>IF(IFERROR(VLOOKUP(A220,'27.植栽(新植)'!C:D,1,0),"")="","","✔")</f>
        <v/>
      </c>
      <c r="AC220" s="98" t="str">
        <f>IF(IFERROR(VLOOKUP(A220,'28.照明'!C:D,1,0),"")="","","✔")</f>
        <v/>
      </c>
      <c r="AD220" s="98" t="str">
        <f>IF(IFERROR(VLOOKUP(A220,'29.既有橋梁拆除'!C:D,1,0),"")="","","✔")</f>
        <v/>
      </c>
    </row>
    <row r="221" spans="1:30" ht="21.75" customHeight="1" x14ac:dyDescent="0.25">
      <c r="A221" s="99">
        <v>45411</v>
      </c>
      <c r="B221" s="98" t="str">
        <f>IF(IFERROR(VLOOKUP(A221,'1.測量放樣'!C:D,1,0),"")="","","✔")</f>
        <v/>
      </c>
      <c r="C221" s="98" t="str">
        <f>IF(IFERROR(VLOOKUP(A221,'2.土方開挖'!C:D,1,0),"")="","","✔")</f>
        <v/>
      </c>
      <c r="D221" s="98" t="str">
        <f>IF(IFERROR(VLOOKUP(A221,'3.土方回填'!C:D,1,0),"")="","","✔")</f>
        <v/>
      </c>
      <c r="E221" s="98" t="str">
        <f>IF(IFERROR(VLOOKUP(A221,'4.鋼筋'!C:D,1,0),"")="","","✔")</f>
        <v/>
      </c>
      <c r="F221" s="98" t="str">
        <f>IF(IFERROR(VLOOKUP(A221,'5.模板'!C:D,1,0),"")="","","✔")</f>
        <v/>
      </c>
      <c r="G221" s="98" t="str">
        <f>IF(IFERROR(VLOOKUP(A221,'6.混凝土'!C:D,1,0),"")="","","✔")</f>
        <v/>
      </c>
      <c r="H221" s="98" t="str">
        <f>IF(IFERROR(VLOOKUP(A221,'7.植筋'!C:D,1,0),"")="","","✔")</f>
        <v/>
      </c>
      <c r="I221" s="98" t="str">
        <f>IF(IFERROR(VLOOKUP(A221,'8.預力混凝土基樁'!C:D,1,0),"")="","","✔")</f>
        <v/>
      </c>
      <c r="J221" s="98" t="str">
        <f>IF(IFERROR(VLOOKUP(A221,'9.砌塊石護岸'!C:D,1,0),"")="","","✔")</f>
        <v/>
      </c>
      <c r="K221" s="98" t="str">
        <f>IF(IFERROR(VLOOKUP(A221,'10.低水護岸'!C:D,1,0),"")="","","✔")</f>
        <v/>
      </c>
      <c r="L221" s="98" t="str">
        <f>IF(IFERROR(VLOOKUP(A221,'11.固床工'!C:D,1,0),"")="","","✔")</f>
        <v/>
      </c>
      <c r="M221" s="98" t="str">
        <f>IF(IFERROR(VLOOKUP(A221,'12.全套管基樁'!C:D,1,0),"")="","","✔")</f>
        <v/>
      </c>
      <c r="N221" s="98" t="str">
        <f>IF(IFERROR(VLOOKUP(A221,'13.鋼筋混凝土管工程'!C:D,1,0),"")="","","✔")</f>
        <v/>
      </c>
      <c r="O221" s="98" t="str">
        <f>IF(IFERROR(VLOOKUP(A221,'14.鋼版樁'!C:D,1,0),"")="","","✔")</f>
        <v/>
      </c>
      <c r="P221" s="98" t="str">
        <f>IF(IFERROR(VLOOKUP(A221,'15.路床 路基高程'!C:D,1,0),"")="","","✔")</f>
        <v/>
      </c>
      <c r="Q221" s="98" t="str">
        <f>IF(IFERROR(VLOOKUP(A221,'16.瀝青混凝土'!C:D,1,0),"")="","","✔")</f>
        <v/>
      </c>
      <c r="R221" s="98" t="str">
        <f>IF(IFERROR(VLOOKUP(A221,'17.景觀鋪面(一)'!C:D,1,0),"")="","","✔")</f>
        <v/>
      </c>
      <c r="S221" s="98" t="str">
        <f>IF(IFERROR(VLOOKUP(A221,'18.景觀鋪面(二)'!C:D,1,0),"")="","","✔")</f>
        <v/>
      </c>
      <c r="T221" s="98" t="str">
        <f>IF(IFERROR(VLOOKUP(A221,'19.預鑄緣石'!C:D,1,0),"")="","","✔")</f>
        <v/>
      </c>
      <c r="U221" s="98" t="str">
        <f>IF(IFERROR(VLOOKUP(A221,'20.鋼構工程吊裝'!C:D,1,0),"")="","","✔")</f>
        <v/>
      </c>
      <c r="V221" s="98" t="str">
        <f>IF(IFERROR(VLOOKUP(A221,'21.鋼構工程塗裝'!C:D,1,0),"")="","","✔")</f>
        <v/>
      </c>
      <c r="W221" s="98" t="str">
        <f>IF(IFERROR(VLOOKUP(A221,'22.排水設施(一)'!C:D,1,0),"")="","","✔")</f>
        <v/>
      </c>
      <c r="X221" s="98" t="str">
        <f>IF(IFERROR(VLOOKUP(A221,'23.排水設施(二)'!C:D,1,0),"")="","","✔")</f>
        <v/>
      </c>
      <c r="Y221" s="98" t="str">
        <f>IF(IFERROR(VLOOKUP(A221,'24.木構造'!C:D,1,0),"")="","","✔")</f>
        <v/>
      </c>
      <c r="Z221" s="98" t="str">
        <f>IF(IFERROR(VLOOKUP(A221,'25.管路'!C:D,1,0),"")="","","✔")</f>
        <v/>
      </c>
      <c r="AA221" s="98" t="str">
        <f>IF(IFERROR(VLOOKUP(A221,'26.植栽(移植)'!C:D,1,0),"")="","","✔")</f>
        <v/>
      </c>
      <c r="AB221" s="98" t="str">
        <f>IF(IFERROR(VLOOKUP(A221,'27.植栽(新植)'!C:D,1,0),"")="","","✔")</f>
        <v/>
      </c>
      <c r="AC221" s="98" t="str">
        <f>IF(IFERROR(VLOOKUP(A221,'28.照明'!C:D,1,0),"")="","","✔")</f>
        <v/>
      </c>
      <c r="AD221" s="98" t="str">
        <f>IF(IFERROR(VLOOKUP(A221,'29.既有橋梁拆除'!C:D,1,0),"")="","","✔")</f>
        <v/>
      </c>
    </row>
    <row r="222" spans="1:30" ht="21.75" customHeight="1" x14ac:dyDescent="0.25">
      <c r="A222" s="99">
        <v>45412</v>
      </c>
      <c r="B222" s="98" t="str">
        <f>IF(IFERROR(VLOOKUP(A222,'1.測量放樣'!C:D,1,0),"")="","","✔")</f>
        <v/>
      </c>
      <c r="C222" s="98" t="str">
        <f>IF(IFERROR(VLOOKUP(A222,'2.土方開挖'!C:D,1,0),"")="","","✔")</f>
        <v/>
      </c>
      <c r="D222" s="98" t="str">
        <f>IF(IFERROR(VLOOKUP(A222,'3.土方回填'!C:D,1,0),"")="","","✔")</f>
        <v/>
      </c>
      <c r="E222" s="98" t="str">
        <f>IF(IFERROR(VLOOKUP(A222,'4.鋼筋'!C:D,1,0),"")="","","✔")</f>
        <v/>
      </c>
      <c r="F222" s="98" t="str">
        <f>IF(IFERROR(VLOOKUP(A222,'5.模板'!C:D,1,0),"")="","","✔")</f>
        <v/>
      </c>
      <c r="G222" s="98" t="str">
        <f>IF(IFERROR(VLOOKUP(A222,'6.混凝土'!C:D,1,0),"")="","","✔")</f>
        <v/>
      </c>
      <c r="H222" s="98" t="str">
        <f>IF(IFERROR(VLOOKUP(A222,'7.植筋'!C:D,1,0),"")="","","✔")</f>
        <v/>
      </c>
      <c r="I222" s="98" t="str">
        <f>IF(IFERROR(VLOOKUP(A222,'8.預力混凝土基樁'!C:D,1,0),"")="","","✔")</f>
        <v/>
      </c>
      <c r="J222" s="98" t="str">
        <f>IF(IFERROR(VLOOKUP(A222,'9.砌塊石護岸'!C:D,1,0),"")="","","✔")</f>
        <v/>
      </c>
      <c r="K222" s="98" t="str">
        <f>IF(IFERROR(VLOOKUP(A222,'10.低水護岸'!C:D,1,0),"")="","","✔")</f>
        <v/>
      </c>
      <c r="L222" s="98" t="str">
        <f>IF(IFERROR(VLOOKUP(A222,'11.固床工'!C:D,1,0),"")="","","✔")</f>
        <v/>
      </c>
      <c r="M222" s="98" t="str">
        <f>IF(IFERROR(VLOOKUP(A222,'12.全套管基樁'!C:D,1,0),"")="","","✔")</f>
        <v/>
      </c>
      <c r="N222" s="98" t="str">
        <f>IF(IFERROR(VLOOKUP(A222,'13.鋼筋混凝土管工程'!C:D,1,0),"")="","","✔")</f>
        <v/>
      </c>
      <c r="O222" s="98" t="str">
        <f>IF(IFERROR(VLOOKUP(A222,'14.鋼版樁'!C:D,1,0),"")="","","✔")</f>
        <v/>
      </c>
      <c r="P222" s="98" t="str">
        <f>IF(IFERROR(VLOOKUP(A222,'15.路床 路基高程'!C:D,1,0),"")="","","✔")</f>
        <v/>
      </c>
      <c r="Q222" s="98" t="str">
        <f>IF(IFERROR(VLOOKUP(A222,'16.瀝青混凝土'!C:D,1,0),"")="","","✔")</f>
        <v/>
      </c>
      <c r="R222" s="98" t="str">
        <f>IF(IFERROR(VLOOKUP(A222,'17.景觀鋪面(一)'!C:D,1,0),"")="","","✔")</f>
        <v/>
      </c>
      <c r="S222" s="98" t="str">
        <f>IF(IFERROR(VLOOKUP(A222,'18.景觀鋪面(二)'!C:D,1,0),"")="","","✔")</f>
        <v/>
      </c>
      <c r="T222" s="98" t="str">
        <f>IF(IFERROR(VLOOKUP(A222,'19.預鑄緣石'!C:D,1,0),"")="","","✔")</f>
        <v/>
      </c>
      <c r="U222" s="98" t="str">
        <f>IF(IFERROR(VLOOKUP(A222,'20.鋼構工程吊裝'!C:D,1,0),"")="","","✔")</f>
        <v/>
      </c>
      <c r="V222" s="98" t="str">
        <f>IF(IFERROR(VLOOKUP(A222,'21.鋼構工程塗裝'!C:D,1,0),"")="","","✔")</f>
        <v/>
      </c>
      <c r="W222" s="98" t="str">
        <f>IF(IFERROR(VLOOKUP(A222,'22.排水設施(一)'!C:D,1,0),"")="","","✔")</f>
        <v/>
      </c>
      <c r="X222" s="98" t="str">
        <f>IF(IFERROR(VLOOKUP(A222,'23.排水設施(二)'!C:D,1,0),"")="","","✔")</f>
        <v/>
      </c>
      <c r="Y222" s="98" t="str">
        <f>IF(IFERROR(VLOOKUP(A222,'24.木構造'!C:D,1,0),"")="","","✔")</f>
        <v/>
      </c>
      <c r="Z222" s="98" t="str">
        <f>IF(IFERROR(VLOOKUP(A222,'25.管路'!C:D,1,0),"")="","","✔")</f>
        <v/>
      </c>
      <c r="AA222" s="98" t="str">
        <f>IF(IFERROR(VLOOKUP(A222,'26.植栽(移植)'!C:D,1,0),"")="","","✔")</f>
        <v/>
      </c>
      <c r="AB222" s="98" t="str">
        <f>IF(IFERROR(VLOOKUP(A222,'27.植栽(新植)'!C:D,1,0),"")="","","✔")</f>
        <v/>
      </c>
      <c r="AC222" s="98" t="str">
        <f>IF(IFERROR(VLOOKUP(A222,'28.照明'!C:D,1,0),"")="","","✔")</f>
        <v/>
      </c>
      <c r="AD222" s="98" t="str">
        <f>IF(IFERROR(VLOOKUP(A222,'29.既有橋梁拆除'!C:D,1,0),"")="","","✔")</f>
        <v/>
      </c>
    </row>
    <row r="223" spans="1:30" ht="21.75" customHeight="1" x14ac:dyDescent="0.25">
      <c r="A223" s="99">
        <v>45413</v>
      </c>
      <c r="B223" s="98" t="str">
        <f>IF(IFERROR(VLOOKUP(A223,'1.測量放樣'!C:D,1,0),"")="","","✔")</f>
        <v/>
      </c>
      <c r="C223" s="98" t="str">
        <f>IF(IFERROR(VLOOKUP(A223,'2.土方開挖'!C:D,1,0),"")="","","✔")</f>
        <v/>
      </c>
      <c r="D223" s="98" t="str">
        <f>IF(IFERROR(VLOOKUP(A223,'3.土方回填'!C:D,1,0),"")="","","✔")</f>
        <v/>
      </c>
      <c r="E223" s="98" t="str">
        <f>IF(IFERROR(VLOOKUP(A223,'4.鋼筋'!C:D,1,0),"")="","","✔")</f>
        <v/>
      </c>
      <c r="F223" s="98" t="str">
        <f>IF(IFERROR(VLOOKUP(A223,'5.模板'!C:D,1,0),"")="","","✔")</f>
        <v/>
      </c>
      <c r="G223" s="98" t="str">
        <f>IF(IFERROR(VLOOKUP(A223,'6.混凝土'!C:D,1,0),"")="","","✔")</f>
        <v/>
      </c>
      <c r="H223" s="98" t="str">
        <f>IF(IFERROR(VLOOKUP(A223,'7.植筋'!C:D,1,0),"")="","","✔")</f>
        <v/>
      </c>
      <c r="I223" s="98" t="str">
        <f>IF(IFERROR(VLOOKUP(A223,'8.預力混凝土基樁'!C:D,1,0),"")="","","✔")</f>
        <v/>
      </c>
      <c r="J223" s="98" t="str">
        <f>IF(IFERROR(VLOOKUP(A223,'9.砌塊石護岸'!C:D,1,0),"")="","","✔")</f>
        <v/>
      </c>
      <c r="K223" s="98" t="str">
        <f>IF(IFERROR(VLOOKUP(A223,'10.低水護岸'!C:D,1,0),"")="","","✔")</f>
        <v/>
      </c>
      <c r="L223" s="98" t="str">
        <f>IF(IFERROR(VLOOKUP(A223,'11.固床工'!C:D,1,0),"")="","","✔")</f>
        <v/>
      </c>
      <c r="M223" s="98" t="str">
        <f>IF(IFERROR(VLOOKUP(A223,'12.全套管基樁'!C:D,1,0),"")="","","✔")</f>
        <v/>
      </c>
      <c r="N223" s="98" t="str">
        <f>IF(IFERROR(VLOOKUP(A223,'13.鋼筋混凝土管工程'!C:D,1,0),"")="","","✔")</f>
        <v/>
      </c>
      <c r="O223" s="98" t="str">
        <f>IF(IFERROR(VLOOKUP(A223,'14.鋼版樁'!C:D,1,0),"")="","","✔")</f>
        <v/>
      </c>
      <c r="P223" s="98" t="str">
        <f>IF(IFERROR(VLOOKUP(A223,'15.路床 路基高程'!C:D,1,0),"")="","","✔")</f>
        <v/>
      </c>
      <c r="Q223" s="98" t="str">
        <f>IF(IFERROR(VLOOKUP(A223,'16.瀝青混凝土'!C:D,1,0),"")="","","✔")</f>
        <v/>
      </c>
      <c r="R223" s="98" t="str">
        <f>IF(IFERROR(VLOOKUP(A223,'17.景觀鋪面(一)'!C:D,1,0),"")="","","✔")</f>
        <v/>
      </c>
      <c r="S223" s="98" t="str">
        <f>IF(IFERROR(VLOOKUP(A223,'18.景觀鋪面(二)'!C:D,1,0),"")="","","✔")</f>
        <v/>
      </c>
      <c r="T223" s="98" t="str">
        <f>IF(IFERROR(VLOOKUP(A223,'19.預鑄緣石'!C:D,1,0),"")="","","✔")</f>
        <v/>
      </c>
      <c r="U223" s="98" t="str">
        <f>IF(IFERROR(VLOOKUP(A223,'20.鋼構工程吊裝'!C:D,1,0),"")="","","✔")</f>
        <v/>
      </c>
      <c r="V223" s="98" t="str">
        <f>IF(IFERROR(VLOOKUP(A223,'21.鋼構工程塗裝'!C:D,1,0),"")="","","✔")</f>
        <v/>
      </c>
      <c r="W223" s="98" t="str">
        <f>IF(IFERROR(VLOOKUP(A223,'22.排水設施(一)'!C:D,1,0),"")="","","✔")</f>
        <v/>
      </c>
      <c r="X223" s="98" t="str">
        <f>IF(IFERROR(VLOOKUP(A223,'23.排水設施(二)'!C:D,1,0),"")="","","✔")</f>
        <v/>
      </c>
      <c r="Y223" s="98" t="str">
        <f>IF(IFERROR(VLOOKUP(A223,'24.木構造'!C:D,1,0),"")="","","✔")</f>
        <v/>
      </c>
      <c r="Z223" s="98" t="str">
        <f>IF(IFERROR(VLOOKUP(A223,'25.管路'!C:D,1,0),"")="","","✔")</f>
        <v/>
      </c>
      <c r="AA223" s="98" t="str">
        <f>IF(IFERROR(VLOOKUP(A223,'26.植栽(移植)'!C:D,1,0),"")="","","✔")</f>
        <v/>
      </c>
      <c r="AB223" s="98" t="str">
        <f>IF(IFERROR(VLOOKUP(A223,'27.植栽(新植)'!C:D,1,0),"")="","","✔")</f>
        <v/>
      </c>
      <c r="AC223" s="98" t="str">
        <f>IF(IFERROR(VLOOKUP(A223,'28.照明'!C:D,1,0),"")="","","✔")</f>
        <v/>
      </c>
      <c r="AD223" s="98" t="str">
        <f>IF(IFERROR(VLOOKUP(A223,'29.既有橋梁拆除'!C:D,1,0),"")="","","✔")</f>
        <v/>
      </c>
    </row>
    <row r="224" spans="1:30" ht="21.75" customHeight="1" x14ac:dyDescent="0.25">
      <c r="A224" s="99">
        <v>45414</v>
      </c>
      <c r="B224" s="98" t="str">
        <f>IF(IFERROR(VLOOKUP(A224,'1.測量放樣'!C:D,1,0),"")="","","✔")</f>
        <v/>
      </c>
      <c r="C224" s="98" t="str">
        <f>IF(IFERROR(VLOOKUP(A224,'2.土方開挖'!C:D,1,0),"")="","","✔")</f>
        <v/>
      </c>
      <c r="D224" s="98" t="str">
        <f>IF(IFERROR(VLOOKUP(A224,'3.土方回填'!C:D,1,0),"")="","","✔")</f>
        <v/>
      </c>
      <c r="E224" s="98" t="str">
        <f>IF(IFERROR(VLOOKUP(A224,'4.鋼筋'!C:D,1,0),"")="","","✔")</f>
        <v/>
      </c>
      <c r="F224" s="98" t="str">
        <f>IF(IFERROR(VLOOKUP(A224,'5.模板'!C:D,1,0),"")="","","✔")</f>
        <v/>
      </c>
      <c r="G224" s="98" t="str">
        <f>IF(IFERROR(VLOOKUP(A224,'6.混凝土'!C:D,1,0),"")="","","✔")</f>
        <v/>
      </c>
      <c r="H224" s="98" t="str">
        <f>IF(IFERROR(VLOOKUP(A224,'7.植筋'!C:D,1,0),"")="","","✔")</f>
        <v/>
      </c>
      <c r="I224" s="98" t="str">
        <f>IF(IFERROR(VLOOKUP(A224,'8.預力混凝土基樁'!C:D,1,0),"")="","","✔")</f>
        <v/>
      </c>
      <c r="J224" s="98" t="str">
        <f>IF(IFERROR(VLOOKUP(A224,'9.砌塊石護岸'!C:D,1,0),"")="","","✔")</f>
        <v/>
      </c>
      <c r="K224" s="98" t="str">
        <f>IF(IFERROR(VLOOKUP(A224,'10.低水護岸'!C:D,1,0),"")="","","✔")</f>
        <v/>
      </c>
      <c r="L224" s="98" t="str">
        <f>IF(IFERROR(VLOOKUP(A224,'11.固床工'!C:D,1,0),"")="","","✔")</f>
        <v/>
      </c>
      <c r="M224" s="98" t="str">
        <f>IF(IFERROR(VLOOKUP(A224,'12.全套管基樁'!C:D,1,0),"")="","","✔")</f>
        <v/>
      </c>
      <c r="N224" s="98" t="str">
        <f>IF(IFERROR(VLOOKUP(A224,'13.鋼筋混凝土管工程'!C:D,1,0),"")="","","✔")</f>
        <v/>
      </c>
      <c r="O224" s="98" t="str">
        <f>IF(IFERROR(VLOOKUP(A224,'14.鋼版樁'!C:D,1,0),"")="","","✔")</f>
        <v/>
      </c>
      <c r="P224" s="98" t="str">
        <f>IF(IFERROR(VLOOKUP(A224,'15.路床 路基高程'!C:D,1,0),"")="","","✔")</f>
        <v/>
      </c>
      <c r="Q224" s="98" t="str">
        <f>IF(IFERROR(VLOOKUP(A224,'16.瀝青混凝土'!C:D,1,0),"")="","","✔")</f>
        <v/>
      </c>
      <c r="R224" s="98" t="str">
        <f>IF(IFERROR(VLOOKUP(A224,'17.景觀鋪面(一)'!C:D,1,0),"")="","","✔")</f>
        <v/>
      </c>
      <c r="S224" s="98" t="str">
        <f>IF(IFERROR(VLOOKUP(A224,'18.景觀鋪面(二)'!C:D,1,0),"")="","","✔")</f>
        <v/>
      </c>
      <c r="T224" s="98" t="str">
        <f>IF(IFERROR(VLOOKUP(A224,'19.預鑄緣石'!C:D,1,0),"")="","","✔")</f>
        <v/>
      </c>
      <c r="U224" s="98" t="str">
        <f>IF(IFERROR(VLOOKUP(A224,'20.鋼構工程吊裝'!C:D,1,0),"")="","","✔")</f>
        <v/>
      </c>
      <c r="V224" s="98" t="str">
        <f>IF(IFERROR(VLOOKUP(A224,'21.鋼構工程塗裝'!C:D,1,0),"")="","","✔")</f>
        <v/>
      </c>
      <c r="W224" s="98" t="str">
        <f>IF(IFERROR(VLOOKUP(A224,'22.排水設施(一)'!C:D,1,0),"")="","","✔")</f>
        <v/>
      </c>
      <c r="X224" s="98" t="str">
        <f>IF(IFERROR(VLOOKUP(A224,'23.排水設施(二)'!C:D,1,0),"")="","","✔")</f>
        <v/>
      </c>
      <c r="Y224" s="98" t="str">
        <f>IF(IFERROR(VLOOKUP(A224,'24.木構造'!C:D,1,0),"")="","","✔")</f>
        <v/>
      </c>
      <c r="Z224" s="98" t="str">
        <f>IF(IFERROR(VLOOKUP(A224,'25.管路'!C:D,1,0),"")="","","✔")</f>
        <v/>
      </c>
      <c r="AA224" s="98" t="str">
        <f>IF(IFERROR(VLOOKUP(A224,'26.植栽(移植)'!C:D,1,0),"")="","","✔")</f>
        <v/>
      </c>
      <c r="AB224" s="98" t="str">
        <f>IF(IFERROR(VLOOKUP(A224,'27.植栽(新植)'!C:D,1,0),"")="","","✔")</f>
        <v/>
      </c>
      <c r="AC224" s="98" t="str">
        <f>IF(IFERROR(VLOOKUP(A224,'28.照明'!C:D,1,0),"")="","","✔")</f>
        <v/>
      </c>
      <c r="AD224" s="98" t="str">
        <f>IF(IFERROR(VLOOKUP(A224,'29.既有橋梁拆除'!C:D,1,0),"")="","","✔")</f>
        <v/>
      </c>
    </row>
    <row r="225" spans="1:30" ht="21.75" customHeight="1" x14ac:dyDescent="0.25">
      <c r="A225" s="99">
        <v>45415</v>
      </c>
      <c r="B225" s="98" t="str">
        <f>IF(IFERROR(VLOOKUP(A225,'1.測量放樣'!C:D,1,0),"")="","","✔")</f>
        <v/>
      </c>
      <c r="C225" s="98" t="str">
        <f>IF(IFERROR(VLOOKUP(A225,'2.土方開挖'!C:D,1,0),"")="","","✔")</f>
        <v/>
      </c>
      <c r="D225" s="98" t="str">
        <f>IF(IFERROR(VLOOKUP(A225,'3.土方回填'!C:D,1,0),"")="","","✔")</f>
        <v/>
      </c>
      <c r="E225" s="98" t="str">
        <f>IF(IFERROR(VLOOKUP(A225,'4.鋼筋'!C:D,1,0),"")="","","✔")</f>
        <v/>
      </c>
      <c r="F225" s="98" t="str">
        <f>IF(IFERROR(VLOOKUP(A225,'5.模板'!C:D,1,0),"")="","","✔")</f>
        <v/>
      </c>
      <c r="G225" s="98" t="str">
        <f>IF(IFERROR(VLOOKUP(A225,'6.混凝土'!C:D,1,0),"")="","","✔")</f>
        <v/>
      </c>
      <c r="H225" s="98" t="str">
        <f>IF(IFERROR(VLOOKUP(A225,'7.植筋'!C:D,1,0),"")="","","✔")</f>
        <v/>
      </c>
      <c r="I225" s="98" t="str">
        <f>IF(IFERROR(VLOOKUP(A225,'8.預力混凝土基樁'!C:D,1,0),"")="","","✔")</f>
        <v/>
      </c>
      <c r="J225" s="98" t="str">
        <f>IF(IFERROR(VLOOKUP(A225,'9.砌塊石護岸'!C:D,1,0),"")="","","✔")</f>
        <v/>
      </c>
      <c r="K225" s="98" t="str">
        <f>IF(IFERROR(VLOOKUP(A225,'10.低水護岸'!C:D,1,0),"")="","","✔")</f>
        <v/>
      </c>
      <c r="L225" s="98" t="str">
        <f>IF(IFERROR(VLOOKUP(A225,'11.固床工'!C:D,1,0),"")="","","✔")</f>
        <v/>
      </c>
      <c r="M225" s="98" t="str">
        <f>IF(IFERROR(VLOOKUP(A225,'12.全套管基樁'!C:D,1,0),"")="","","✔")</f>
        <v/>
      </c>
      <c r="N225" s="98" t="str">
        <f>IF(IFERROR(VLOOKUP(A225,'13.鋼筋混凝土管工程'!C:D,1,0),"")="","","✔")</f>
        <v/>
      </c>
      <c r="O225" s="98" t="str">
        <f>IF(IFERROR(VLOOKUP(A225,'14.鋼版樁'!C:D,1,0),"")="","","✔")</f>
        <v/>
      </c>
      <c r="P225" s="98" t="str">
        <f>IF(IFERROR(VLOOKUP(A225,'15.路床 路基高程'!C:D,1,0),"")="","","✔")</f>
        <v/>
      </c>
      <c r="Q225" s="98" t="str">
        <f>IF(IFERROR(VLOOKUP(A225,'16.瀝青混凝土'!C:D,1,0),"")="","","✔")</f>
        <v/>
      </c>
      <c r="R225" s="98" t="str">
        <f>IF(IFERROR(VLOOKUP(A225,'17.景觀鋪面(一)'!C:D,1,0),"")="","","✔")</f>
        <v/>
      </c>
      <c r="S225" s="98" t="str">
        <f>IF(IFERROR(VLOOKUP(A225,'18.景觀鋪面(二)'!C:D,1,0),"")="","","✔")</f>
        <v/>
      </c>
      <c r="T225" s="98" t="str">
        <f>IF(IFERROR(VLOOKUP(A225,'19.預鑄緣石'!C:D,1,0),"")="","","✔")</f>
        <v/>
      </c>
      <c r="U225" s="98" t="str">
        <f>IF(IFERROR(VLOOKUP(A225,'20.鋼構工程吊裝'!C:D,1,0),"")="","","✔")</f>
        <v/>
      </c>
      <c r="V225" s="98" t="str">
        <f>IF(IFERROR(VLOOKUP(A225,'21.鋼構工程塗裝'!C:D,1,0),"")="","","✔")</f>
        <v/>
      </c>
      <c r="W225" s="98" t="str">
        <f>IF(IFERROR(VLOOKUP(A225,'22.排水設施(一)'!C:D,1,0),"")="","","✔")</f>
        <v/>
      </c>
      <c r="X225" s="98" t="str">
        <f>IF(IFERROR(VLOOKUP(A225,'23.排水設施(二)'!C:D,1,0),"")="","","✔")</f>
        <v/>
      </c>
      <c r="Y225" s="98" t="str">
        <f>IF(IFERROR(VLOOKUP(A225,'24.木構造'!C:D,1,0),"")="","","✔")</f>
        <v/>
      </c>
      <c r="Z225" s="98" t="str">
        <f>IF(IFERROR(VLOOKUP(A225,'25.管路'!C:D,1,0),"")="","","✔")</f>
        <v/>
      </c>
      <c r="AA225" s="98" t="str">
        <f>IF(IFERROR(VLOOKUP(A225,'26.植栽(移植)'!C:D,1,0),"")="","","✔")</f>
        <v/>
      </c>
      <c r="AB225" s="98" t="str">
        <f>IF(IFERROR(VLOOKUP(A225,'27.植栽(新植)'!C:D,1,0),"")="","","✔")</f>
        <v/>
      </c>
      <c r="AC225" s="98" t="str">
        <f>IF(IFERROR(VLOOKUP(A225,'28.照明'!C:D,1,0),"")="","","✔")</f>
        <v/>
      </c>
      <c r="AD225" s="98" t="str">
        <f>IF(IFERROR(VLOOKUP(A225,'29.既有橋梁拆除'!C:D,1,0),"")="","","✔")</f>
        <v/>
      </c>
    </row>
    <row r="226" spans="1:30" ht="21.75" customHeight="1" x14ac:dyDescent="0.25">
      <c r="A226" s="99">
        <v>45416</v>
      </c>
      <c r="B226" s="98" t="str">
        <f>IF(IFERROR(VLOOKUP(A226,'1.測量放樣'!C:D,1,0),"")="","","✔")</f>
        <v/>
      </c>
      <c r="C226" s="98" t="str">
        <f>IF(IFERROR(VLOOKUP(A226,'2.土方開挖'!C:D,1,0),"")="","","✔")</f>
        <v/>
      </c>
      <c r="D226" s="98" t="str">
        <f>IF(IFERROR(VLOOKUP(A226,'3.土方回填'!C:D,1,0),"")="","","✔")</f>
        <v/>
      </c>
      <c r="E226" s="98" t="str">
        <f>IF(IFERROR(VLOOKUP(A226,'4.鋼筋'!C:D,1,0),"")="","","✔")</f>
        <v/>
      </c>
      <c r="F226" s="98" t="str">
        <f>IF(IFERROR(VLOOKUP(A226,'5.模板'!C:D,1,0),"")="","","✔")</f>
        <v/>
      </c>
      <c r="G226" s="98" t="str">
        <f>IF(IFERROR(VLOOKUP(A226,'6.混凝土'!C:D,1,0),"")="","","✔")</f>
        <v/>
      </c>
      <c r="H226" s="98" t="str">
        <f>IF(IFERROR(VLOOKUP(A226,'7.植筋'!C:D,1,0),"")="","","✔")</f>
        <v/>
      </c>
      <c r="I226" s="98" t="str">
        <f>IF(IFERROR(VLOOKUP(A226,'8.預力混凝土基樁'!C:D,1,0),"")="","","✔")</f>
        <v/>
      </c>
      <c r="J226" s="98" t="str">
        <f>IF(IFERROR(VLOOKUP(A226,'9.砌塊石護岸'!C:D,1,0),"")="","","✔")</f>
        <v/>
      </c>
      <c r="K226" s="98" t="str">
        <f>IF(IFERROR(VLOOKUP(A226,'10.低水護岸'!C:D,1,0),"")="","","✔")</f>
        <v/>
      </c>
      <c r="L226" s="98" t="str">
        <f>IF(IFERROR(VLOOKUP(A226,'11.固床工'!C:D,1,0),"")="","","✔")</f>
        <v/>
      </c>
      <c r="M226" s="98" t="str">
        <f>IF(IFERROR(VLOOKUP(A226,'12.全套管基樁'!C:D,1,0),"")="","","✔")</f>
        <v/>
      </c>
      <c r="N226" s="98" t="str">
        <f>IF(IFERROR(VLOOKUP(A226,'13.鋼筋混凝土管工程'!C:D,1,0),"")="","","✔")</f>
        <v/>
      </c>
      <c r="O226" s="98" t="str">
        <f>IF(IFERROR(VLOOKUP(A226,'14.鋼版樁'!C:D,1,0),"")="","","✔")</f>
        <v/>
      </c>
      <c r="P226" s="98" t="str">
        <f>IF(IFERROR(VLOOKUP(A226,'15.路床 路基高程'!C:D,1,0),"")="","","✔")</f>
        <v/>
      </c>
      <c r="Q226" s="98" t="str">
        <f>IF(IFERROR(VLOOKUP(A226,'16.瀝青混凝土'!C:D,1,0),"")="","","✔")</f>
        <v/>
      </c>
      <c r="R226" s="98" t="str">
        <f>IF(IFERROR(VLOOKUP(A226,'17.景觀鋪面(一)'!C:D,1,0),"")="","","✔")</f>
        <v/>
      </c>
      <c r="S226" s="98" t="str">
        <f>IF(IFERROR(VLOOKUP(A226,'18.景觀鋪面(二)'!C:D,1,0),"")="","","✔")</f>
        <v/>
      </c>
      <c r="T226" s="98" t="str">
        <f>IF(IFERROR(VLOOKUP(A226,'19.預鑄緣石'!C:D,1,0),"")="","","✔")</f>
        <v/>
      </c>
      <c r="U226" s="98" t="str">
        <f>IF(IFERROR(VLOOKUP(A226,'20.鋼構工程吊裝'!C:D,1,0),"")="","","✔")</f>
        <v/>
      </c>
      <c r="V226" s="98" t="str">
        <f>IF(IFERROR(VLOOKUP(A226,'21.鋼構工程塗裝'!C:D,1,0),"")="","","✔")</f>
        <v/>
      </c>
      <c r="W226" s="98" t="str">
        <f>IF(IFERROR(VLOOKUP(A226,'22.排水設施(一)'!C:D,1,0),"")="","","✔")</f>
        <v/>
      </c>
      <c r="X226" s="98" t="str">
        <f>IF(IFERROR(VLOOKUP(A226,'23.排水設施(二)'!C:D,1,0),"")="","","✔")</f>
        <v/>
      </c>
      <c r="Y226" s="98" t="str">
        <f>IF(IFERROR(VLOOKUP(A226,'24.木構造'!C:D,1,0),"")="","","✔")</f>
        <v/>
      </c>
      <c r="Z226" s="98" t="str">
        <f>IF(IFERROR(VLOOKUP(A226,'25.管路'!C:D,1,0),"")="","","✔")</f>
        <v/>
      </c>
      <c r="AA226" s="98" t="str">
        <f>IF(IFERROR(VLOOKUP(A226,'26.植栽(移植)'!C:D,1,0),"")="","","✔")</f>
        <v/>
      </c>
      <c r="AB226" s="98" t="str">
        <f>IF(IFERROR(VLOOKUP(A226,'27.植栽(新植)'!C:D,1,0),"")="","","✔")</f>
        <v/>
      </c>
      <c r="AC226" s="98" t="str">
        <f>IF(IFERROR(VLOOKUP(A226,'28.照明'!C:D,1,0),"")="","","✔")</f>
        <v/>
      </c>
      <c r="AD226" s="98" t="str">
        <f>IF(IFERROR(VLOOKUP(A226,'29.既有橋梁拆除'!C:D,1,0),"")="","","✔")</f>
        <v/>
      </c>
    </row>
    <row r="227" spans="1:30" ht="21.75" customHeight="1" x14ac:dyDescent="0.25">
      <c r="A227" s="99">
        <v>45417</v>
      </c>
      <c r="B227" s="98" t="str">
        <f>IF(IFERROR(VLOOKUP(A227,'1.測量放樣'!C:D,1,0),"")="","","✔")</f>
        <v/>
      </c>
      <c r="C227" s="98" t="str">
        <f>IF(IFERROR(VLOOKUP(A227,'2.土方開挖'!C:D,1,0),"")="","","✔")</f>
        <v/>
      </c>
      <c r="D227" s="98" t="str">
        <f>IF(IFERROR(VLOOKUP(A227,'3.土方回填'!C:D,1,0),"")="","","✔")</f>
        <v/>
      </c>
      <c r="E227" s="98" t="str">
        <f>IF(IFERROR(VLOOKUP(A227,'4.鋼筋'!C:D,1,0),"")="","","✔")</f>
        <v/>
      </c>
      <c r="F227" s="98" t="str">
        <f>IF(IFERROR(VLOOKUP(A227,'5.模板'!C:D,1,0),"")="","","✔")</f>
        <v/>
      </c>
      <c r="G227" s="98" t="str">
        <f>IF(IFERROR(VLOOKUP(A227,'6.混凝土'!C:D,1,0),"")="","","✔")</f>
        <v/>
      </c>
      <c r="H227" s="98" t="str">
        <f>IF(IFERROR(VLOOKUP(A227,'7.植筋'!C:D,1,0),"")="","","✔")</f>
        <v/>
      </c>
      <c r="I227" s="98" t="str">
        <f>IF(IFERROR(VLOOKUP(A227,'8.預力混凝土基樁'!C:D,1,0),"")="","","✔")</f>
        <v/>
      </c>
      <c r="J227" s="98" t="str">
        <f>IF(IFERROR(VLOOKUP(A227,'9.砌塊石護岸'!C:D,1,0),"")="","","✔")</f>
        <v/>
      </c>
      <c r="K227" s="98" t="str">
        <f>IF(IFERROR(VLOOKUP(A227,'10.低水護岸'!C:D,1,0),"")="","","✔")</f>
        <v/>
      </c>
      <c r="L227" s="98" t="str">
        <f>IF(IFERROR(VLOOKUP(A227,'11.固床工'!C:D,1,0),"")="","","✔")</f>
        <v/>
      </c>
      <c r="M227" s="98" t="str">
        <f>IF(IFERROR(VLOOKUP(A227,'12.全套管基樁'!C:D,1,0),"")="","","✔")</f>
        <v/>
      </c>
      <c r="N227" s="98" t="str">
        <f>IF(IFERROR(VLOOKUP(A227,'13.鋼筋混凝土管工程'!C:D,1,0),"")="","","✔")</f>
        <v/>
      </c>
      <c r="O227" s="98" t="str">
        <f>IF(IFERROR(VLOOKUP(A227,'14.鋼版樁'!C:D,1,0),"")="","","✔")</f>
        <v/>
      </c>
      <c r="P227" s="98" t="str">
        <f>IF(IFERROR(VLOOKUP(A227,'15.路床 路基高程'!C:D,1,0),"")="","","✔")</f>
        <v/>
      </c>
      <c r="Q227" s="98" t="str">
        <f>IF(IFERROR(VLOOKUP(A227,'16.瀝青混凝土'!C:D,1,0),"")="","","✔")</f>
        <v/>
      </c>
      <c r="R227" s="98" t="str">
        <f>IF(IFERROR(VLOOKUP(A227,'17.景觀鋪面(一)'!C:D,1,0),"")="","","✔")</f>
        <v/>
      </c>
      <c r="S227" s="98" t="str">
        <f>IF(IFERROR(VLOOKUP(A227,'18.景觀鋪面(二)'!C:D,1,0),"")="","","✔")</f>
        <v/>
      </c>
      <c r="T227" s="98" t="str">
        <f>IF(IFERROR(VLOOKUP(A227,'19.預鑄緣石'!C:D,1,0),"")="","","✔")</f>
        <v/>
      </c>
      <c r="U227" s="98" t="str">
        <f>IF(IFERROR(VLOOKUP(A227,'20.鋼構工程吊裝'!C:D,1,0),"")="","","✔")</f>
        <v/>
      </c>
      <c r="V227" s="98" t="str">
        <f>IF(IFERROR(VLOOKUP(A227,'21.鋼構工程塗裝'!C:D,1,0),"")="","","✔")</f>
        <v/>
      </c>
      <c r="W227" s="98" t="str">
        <f>IF(IFERROR(VLOOKUP(A227,'22.排水設施(一)'!C:D,1,0),"")="","","✔")</f>
        <v/>
      </c>
      <c r="X227" s="98" t="str">
        <f>IF(IFERROR(VLOOKUP(A227,'23.排水設施(二)'!C:D,1,0),"")="","","✔")</f>
        <v/>
      </c>
      <c r="Y227" s="98" t="str">
        <f>IF(IFERROR(VLOOKUP(A227,'24.木構造'!C:D,1,0),"")="","","✔")</f>
        <v/>
      </c>
      <c r="Z227" s="98" t="str">
        <f>IF(IFERROR(VLOOKUP(A227,'25.管路'!C:D,1,0),"")="","","✔")</f>
        <v/>
      </c>
      <c r="AA227" s="98" t="str">
        <f>IF(IFERROR(VLOOKUP(A227,'26.植栽(移植)'!C:D,1,0),"")="","","✔")</f>
        <v/>
      </c>
      <c r="AB227" s="98" t="str">
        <f>IF(IFERROR(VLOOKUP(A227,'27.植栽(新植)'!C:D,1,0),"")="","","✔")</f>
        <v/>
      </c>
      <c r="AC227" s="98" t="str">
        <f>IF(IFERROR(VLOOKUP(A227,'28.照明'!C:D,1,0),"")="","","✔")</f>
        <v/>
      </c>
      <c r="AD227" s="98" t="str">
        <f>IF(IFERROR(VLOOKUP(A227,'29.既有橋梁拆除'!C:D,1,0),"")="","","✔")</f>
        <v/>
      </c>
    </row>
    <row r="228" spans="1:30" ht="21.75" customHeight="1" x14ac:dyDescent="0.25">
      <c r="A228" s="99">
        <v>45418</v>
      </c>
      <c r="B228" s="98" t="str">
        <f>IF(IFERROR(VLOOKUP(A228,'1.測量放樣'!C:D,1,0),"")="","","✔")</f>
        <v/>
      </c>
      <c r="C228" s="98" t="str">
        <f>IF(IFERROR(VLOOKUP(A228,'2.土方開挖'!C:D,1,0),"")="","","✔")</f>
        <v/>
      </c>
      <c r="D228" s="98" t="str">
        <f>IF(IFERROR(VLOOKUP(A228,'3.土方回填'!C:D,1,0),"")="","","✔")</f>
        <v/>
      </c>
      <c r="E228" s="98" t="str">
        <f>IF(IFERROR(VLOOKUP(A228,'4.鋼筋'!C:D,1,0),"")="","","✔")</f>
        <v/>
      </c>
      <c r="F228" s="98" t="str">
        <f>IF(IFERROR(VLOOKUP(A228,'5.模板'!C:D,1,0),"")="","","✔")</f>
        <v/>
      </c>
      <c r="G228" s="98" t="str">
        <f>IF(IFERROR(VLOOKUP(A228,'6.混凝土'!C:D,1,0),"")="","","✔")</f>
        <v/>
      </c>
      <c r="H228" s="98" t="str">
        <f>IF(IFERROR(VLOOKUP(A228,'7.植筋'!C:D,1,0),"")="","","✔")</f>
        <v/>
      </c>
      <c r="I228" s="98" t="str">
        <f>IF(IFERROR(VLOOKUP(A228,'8.預力混凝土基樁'!C:D,1,0),"")="","","✔")</f>
        <v/>
      </c>
      <c r="J228" s="98" t="str">
        <f>IF(IFERROR(VLOOKUP(A228,'9.砌塊石護岸'!C:D,1,0),"")="","","✔")</f>
        <v/>
      </c>
      <c r="K228" s="98" t="str">
        <f>IF(IFERROR(VLOOKUP(A228,'10.低水護岸'!C:D,1,0),"")="","","✔")</f>
        <v/>
      </c>
      <c r="L228" s="98" t="str">
        <f>IF(IFERROR(VLOOKUP(A228,'11.固床工'!C:D,1,0),"")="","","✔")</f>
        <v/>
      </c>
      <c r="M228" s="98" t="str">
        <f>IF(IFERROR(VLOOKUP(A228,'12.全套管基樁'!C:D,1,0),"")="","","✔")</f>
        <v/>
      </c>
      <c r="N228" s="98" t="str">
        <f>IF(IFERROR(VLOOKUP(A228,'13.鋼筋混凝土管工程'!C:D,1,0),"")="","","✔")</f>
        <v/>
      </c>
      <c r="O228" s="98" t="str">
        <f>IF(IFERROR(VLOOKUP(A228,'14.鋼版樁'!C:D,1,0),"")="","","✔")</f>
        <v/>
      </c>
      <c r="P228" s="98" t="str">
        <f>IF(IFERROR(VLOOKUP(A228,'15.路床 路基高程'!C:D,1,0),"")="","","✔")</f>
        <v/>
      </c>
      <c r="Q228" s="98" t="str">
        <f>IF(IFERROR(VLOOKUP(A228,'16.瀝青混凝土'!C:D,1,0),"")="","","✔")</f>
        <v/>
      </c>
      <c r="R228" s="98" t="str">
        <f>IF(IFERROR(VLOOKUP(A228,'17.景觀鋪面(一)'!C:D,1,0),"")="","","✔")</f>
        <v/>
      </c>
      <c r="S228" s="98" t="str">
        <f>IF(IFERROR(VLOOKUP(A228,'18.景觀鋪面(二)'!C:D,1,0),"")="","","✔")</f>
        <v/>
      </c>
      <c r="T228" s="98" t="str">
        <f>IF(IFERROR(VLOOKUP(A228,'19.預鑄緣石'!C:D,1,0),"")="","","✔")</f>
        <v/>
      </c>
      <c r="U228" s="98" t="str">
        <f>IF(IFERROR(VLOOKUP(A228,'20.鋼構工程吊裝'!C:D,1,0),"")="","","✔")</f>
        <v/>
      </c>
      <c r="V228" s="98" t="str">
        <f>IF(IFERROR(VLOOKUP(A228,'21.鋼構工程塗裝'!C:D,1,0),"")="","","✔")</f>
        <v/>
      </c>
      <c r="W228" s="98" t="str">
        <f>IF(IFERROR(VLOOKUP(A228,'22.排水設施(一)'!C:D,1,0),"")="","","✔")</f>
        <v/>
      </c>
      <c r="X228" s="98" t="str">
        <f>IF(IFERROR(VLOOKUP(A228,'23.排水設施(二)'!C:D,1,0),"")="","","✔")</f>
        <v/>
      </c>
      <c r="Y228" s="98" t="str">
        <f>IF(IFERROR(VLOOKUP(A228,'24.木構造'!C:D,1,0),"")="","","✔")</f>
        <v/>
      </c>
      <c r="Z228" s="98" t="str">
        <f>IF(IFERROR(VLOOKUP(A228,'25.管路'!C:D,1,0),"")="","","✔")</f>
        <v/>
      </c>
      <c r="AA228" s="98" t="str">
        <f>IF(IFERROR(VLOOKUP(A228,'26.植栽(移植)'!C:D,1,0),"")="","","✔")</f>
        <v/>
      </c>
      <c r="AB228" s="98" t="str">
        <f>IF(IFERROR(VLOOKUP(A228,'27.植栽(新植)'!C:D,1,0),"")="","","✔")</f>
        <v/>
      </c>
      <c r="AC228" s="98" t="str">
        <f>IF(IFERROR(VLOOKUP(A228,'28.照明'!C:D,1,0),"")="","","✔")</f>
        <v/>
      </c>
      <c r="AD228" s="98" t="str">
        <f>IF(IFERROR(VLOOKUP(A228,'29.既有橋梁拆除'!C:D,1,0),"")="","","✔")</f>
        <v/>
      </c>
    </row>
    <row r="229" spans="1:30" ht="21.75" customHeight="1" x14ac:dyDescent="0.25">
      <c r="A229" s="99">
        <v>45419</v>
      </c>
      <c r="B229" s="98" t="str">
        <f>IF(IFERROR(VLOOKUP(A229,'1.測量放樣'!C:D,1,0),"")="","","✔")</f>
        <v/>
      </c>
      <c r="C229" s="98" t="str">
        <f>IF(IFERROR(VLOOKUP(A229,'2.土方開挖'!C:D,1,0),"")="","","✔")</f>
        <v/>
      </c>
      <c r="D229" s="98" t="str">
        <f>IF(IFERROR(VLOOKUP(A229,'3.土方回填'!C:D,1,0),"")="","","✔")</f>
        <v/>
      </c>
      <c r="E229" s="98" t="str">
        <f>IF(IFERROR(VLOOKUP(A229,'4.鋼筋'!C:D,1,0),"")="","","✔")</f>
        <v/>
      </c>
      <c r="F229" s="98" t="str">
        <f>IF(IFERROR(VLOOKUP(A229,'5.模板'!C:D,1,0),"")="","","✔")</f>
        <v/>
      </c>
      <c r="G229" s="98" t="str">
        <f>IF(IFERROR(VLOOKUP(A229,'6.混凝土'!C:D,1,0),"")="","","✔")</f>
        <v/>
      </c>
      <c r="H229" s="98" t="str">
        <f>IF(IFERROR(VLOOKUP(A229,'7.植筋'!C:D,1,0),"")="","","✔")</f>
        <v/>
      </c>
      <c r="I229" s="98" t="str">
        <f>IF(IFERROR(VLOOKUP(A229,'8.預力混凝土基樁'!C:D,1,0),"")="","","✔")</f>
        <v/>
      </c>
      <c r="J229" s="98" t="str">
        <f>IF(IFERROR(VLOOKUP(A229,'9.砌塊石護岸'!C:D,1,0),"")="","","✔")</f>
        <v/>
      </c>
      <c r="K229" s="98" t="str">
        <f>IF(IFERROR(VLOOKUP(A229,'10.低水護岸'!C:D,1,0),"")="","","✔")</f>
        <v/>
      </c>
      <c r="L229" s="98" t="str">
        <f>IF(IFERROR(VLOOKUP(A229,'11.固床工'!C:D,1,0),"")="","","✔")</f>
        <v/>
      </c>
      <c r="M229" s="98" t="str">
        <f>IF(IFERROR(VLOOKUP(A229,'12.全套管基樁'!C:D,1,0),"")="","","✔")</f>
        <v/>
      </c>
      <c r="N229" s="98" t="str">
        <f>IF(IFERROR(VLOOKUP(A229,'13.鋼筋混凝土管工程'!C:D,1,0),"")="","","✔")</f>
        <v/>
      </c>
      <c r="O229" s="98" t="str">
        <f>IF(IFERROR(VLOOKUP(A229,'14.鋼版樁'!C:D,1,0),"")="","","✔")</f>
        <v/>
      </c>
      <c r="P229" s="98" t="str">
        <f>IF(IFERROR(VLOOKUP(A229,'15.路床 路基高程'!C:D,1,0),"")="","","✔")</f>
        <v/>
      </c>
      <c r="Q229" s="98" t="str">
        <f>IF(IFERROR(VLOOKUP(A229,'16.瀝青混凝土'!C:D,1,0),"")="","","✔")</f>
        <v/>
      </c>
      <c r="R229" s="98" t="str">
        <f>IF(IFERROR(VLOOKUP(A229,'17.景觀鋪面(一)'!C:D,1,0),"")="","","✔")</f>
        <v/>
      </c>
      <c r="S229" s="98" t="str">
        <f>IF(IFERROR(VLOOKUP(A229,'18.景觀鋪面(二)'!C:D,1,0),"")="","","✔")</f>
        <v/>
      </c>
      <c r="T229" s="98" t="str">
        <f>IF(IFERROR(VLOOKUP(A229,'19.預鑄緣石'!C:D,1,0),"")="","","✔")</f>
        <v/>
      </c>
      <c r="U229" s="98" t="str">
        <f>IF(IFERROR(VLOOKUP(A229,'20.鋼構工程吊裝'!C:D,1,0),"")="","","✔")</f>
        <v/>
      </c>
      <c r="V229" s="98" t="str">
        <f>IF(IFERROR(VLOOKUP(A229,'21.鋼構工程塗裝'!C:D,1,0),"")="","","✔")</f>
        <v/>
      </c>
      <c r="W229" s="98" t="str">
        <f>IF(IFERROR(VLOOKUP(A229,'22.排水設施(一)'!C:D,1,0),"")="","","✔")</f>
        <v/>
      </c>
      <c r="X229" s="98" t="str">
        <f>IF(IFERROR(VLOOKUP(A229,'23.排水設施(二)'!C:D,1,0),"")="","","✔")</f>
        <v/>
      </c>
      <c r="Y229" s="98" t="str">
        <f>IF(IFERROR(VLOOKUP(A229,'24.木構造'!C:D,1,0),"")="","","✔")</f>
        <v/>
      </c>
      <c r="Z229" s="98" t="str">
        <f>IF(IFERROR(VLOOKUP(A229,'25.管路'!C:D,1,0),"")="","","✔")</f>
        <v/>
      </c>
      <c r="AA229" s="98" t="str">
        <f>IF(IFERROR(VLOOKUP(A229,'26.植栽(移植)'!C:D,1,0),"")="","","✔")</f>
        <v/>
      </c>
      <c r="AB229" s="98" t="str">
        <f>IF(IFERROR(VLOOKUP(A229,'27.植栽(新植)'!C:D,1,0),"")="","","✔")</f>
        <v/>
      </c>
      <c r="AC229" s="98" t="str">
        <f>IF(IFERROR(VLOOKUP(A229,'28.照明'!C:D,1,0),"")="","","✔")</f>
        <v/>
      </c>
      <c r="AD229" s="98" t="str">
        <f>IF(IFERROR(VLOOKUP(A229,'29.既有橋梁拆除'!C:D,1,0),"")="","","✔")</f>
        <v/>
      </c>
    </row>
    <row r="230" spans="1:30" ht="21.75" customHeight="1" x14ac:dyDescent="0.25">
      <c r="A230" s="99">
        <v>45420</v>
      </c>
      <c r="B230" s="98" t="str">
        <f>IF(IFERROR(VLOOKUP(A230,'1.測量放樣'!C:D,1,0),"")="","","✔")</f>
        <v/>
      </c>
      <c r="C230" s="98" t="str">
        <f>IF(IFERROR(VLOOKUP(A230,'2.土方開挖'!C:D,1,0),"")="","","✔")</f>
        <v/>
      </c>
      <c r="D230" s="98" t="str">
        <f>IF(IFERROR(VLOOKUP(A230,'3.土方回填'!C:D,1,0),"")="","","✔")</f>
        <v/>
      </c>
      <c r="E230" s="98" t="str">
        <f>IF(IFERROR(VLOOKUP(A230,'4.鋼筋'!C:D,1,0),"")="","","✔")</f>
        <v/>
      </c>
      <c r="F230" s="98" t="str">
        <f>IF(IFERROR(VLOOKUP(A230,'5.模板'!C:D,1,0),"")="","","✔")</f>
        <v/>
      </c>
      <c r="G230" s="98" t="str">
        <f>IF(IFERROR(VLOOKUP(A230,'6.混凝土'!C:D,1,0),"")="","","✔")</f>
        <v/>
      </c>
      <c r="H230" s="98" t="str">
        <f>IF(IFERROR(VLOOKUP(A230,'7.植筋'!C:D,1,0),"")="","","✔")</f>
        <v/>
      </c>
      <c r="I230" s="98" t="str">
        <f>IF(IFERROR(VLOOKUP(A230,'8.預力混凝土基樁'!C:D,1,0),"")="","","✔")</f>
        <v/>
      </c>
      <c r="J230" s="98" t="str">
        <f>IF(IFERROR(VLOOKUP(A230,'9.砌塊石護岸'!C:D,1,0),"")="","","✔")</f>
        <v/>
      </c>
      <c r="K230" s="98" t="str">
        <f>IF(IFERROR(VLOOKUP(A230,'10.低水護岸'!C:D,1,0),"")="","","✔")</f>
        <v/>
      </c>
      <c r="L230" s="98" t="str">
        <f>IF(IFERROR(VLOOKUP(A230,'11.固床工'!C:D,1,0),"")="","","✔")</f>
        <v/>
      </c>
      <c r="M230" s="98" t="str">
        <f>IF(IFERROR(VLOOKUP(A230,'12.全套管基樁'!C:D,1,0),"")="","","✔")</f>
        <v/>
      </c>
      <c r="N230" s="98" t="str">
        <f>IF(IFERROR(VLOOKUP(A230,'13.鋼筋混凝土管工程'!C:D,1,0),"")="","","✔")</f>
        <v/>
      </c>
      <c r="O230" s="98" t="str">
        <f>IF(IFERROR(VLOOKUP(A230,'14.鋼版樁'!C:D,1,0),"")="","","✔")</f>
        <v/>
      </c>
      <c r="P230" s="98" t="str">
        <f>IF(IFERROR(VLOOKUP(A230,'15.路床 路基高程'!C:D,1,0),"")="","","✔")</f>
        <v/>
      </c>
      <c r="Q230" s="98" t="str">
        <f>IF(IFERROR(VLOOKUP(A230,'16.瀝青混凝土'!C:D,1,0),"")="","","✔")</f>
        <v/>
      </c>
      <c r="R230" s="98" t="str">
        <f>IF(IFERROR(VLOOKUP(A230,'17.景觀鋪面(一)'!C:D,1,0),"")="","","✔")</f>
        <v/>
      </c>
      <c r="S230" s="98" t="str">
        <f>IF(IFERROR(VLOOKUP(A230,'18.景觀鋪面(二)'!C:D,1,0),"")="","","✔")</f>
        <v/>
      </c>
      <c r="T230" s="98" t="str">
        <f>IF(IFERROR(VLOOKUP(A230,'19.預鑄緣石'!C:D,1,0),"")="","","✔")</f>
        <v/>
      </c>
      <c r="U230" s="98" t="str">
        <f>IF(IFERROR(VLOOKUP(A230,'20.鋼構工程吊裝'!C:D,1,0),"")="","","✔")</f>
        <v/>
      </c>
      <c r="V230" s="98" t="str">
        <f>IF(IFERROR(VLOOKUP(A230,'21.鋼構工程塗裝'!C:D,1,0),"")="","","✔")</f>
        <v/>
      </c>
      <c r="W230" s="98" t="str">
        <f>IF(IFERROR(VLOOKUP(A230,'22.排水設施(一)'!C:D,1,0),"")="","","✔")</f>
        <v/>
      </c>
      <c r="X230" s="98" t="str">
        <f>IF(IFERROR(VLOOKUP(A230,'23.排水設施(二)'!C:D,1,0),"")="","","✔")</f>
        <v/>
      </c>
      <c r="Y230" s="98" t="str">
        <f>IF(IFERROR(VLOOKUP(A230,'24.木構造'!C:D,1,0),"")="","","✔")</f>
        <v/>
      </c>
      <c r="Z230" s="98" t="str">
        <f>IF(IFERROR(VLOOKUP(A230,'25.管路'!C:D,1,0),"")="","","✔")</f>
        <v/>
      </c>
      <c r="AA230" s="98" t="str">
        <f>IF(IFERROR(VLOOKUP(A230,'26.植栽(移植)'!C:D,1,0),"")="","","✔")</f>
        <v/>
      </c>
      <c r="AB230" s="98" t="str">
        <f>IF(IFERROR(VLOOKUP(A230,'27.植栽(新植)'!C:D,1,0),"")="","","✔")</f>
        <v/>
      </c>
      <c r="AC230" s="98" t="str">
        <f>IF(IFERROR(VLOOKUP(A230,'28.照明'!C:D,1,0),"")="","","✔")</f>
        <v/>
      </c>
      <c r="AD230" s="98" t="str">
        <f>IF(IFERROR(VLOOKUP(A230,'29.既有橋梁拆除'!C:D,1,0),"")="","","✔")</f>
        <v/>
      </c>
    </row>
    <row r="231" spans="1:30" ht="21.75" customHeight="1" x14ac:dyDescent="0.25">
      <c r="A231" s="99">
        <v>45421</v>
      </c>
      <c r="B231" s="98" t="str">
        <f>IF(IFERROR(VLOOKUP(A231,'1.測量放樣'!C:D,1,0),"")="","","✔")</f>
        <v/>
      </c>
      <c r="C231" s="98" t="str">
        <f>IF(IFERROR(VLOOKUP(A231,'2.土方開挖'!C:D,1,0),"")="","","✔")</f>
        <v/>
      </c>
      <c r="D231" s="98" t="str">
        <f>IF(IFERROR(VLOOKUP(A231,'3.土方回填'!C:D,1,0),"")="","","✔")</f>
        <v/>
      </c>
      <c r="E231" s="98" t="str">
        <f>IF(IFERROR(VLOOKUP(A231,'4.鋼筋'!C:D,1,0),"")="","","✔")</f>
        <v/>
      </c>
      <c r="F231" s="98" t="str">
        <f>IF(IFERROR(VLOOKUP(A231,'5.模板'!C:D,1,0),"")="","","✔")</f>
        <v/>
      </c>
      <c r="G231" s="98" t="str">
        <f>IF(IFERROR(VLOOKUP(A231,'6.混凝土'!C:D,1,0),"")="","","✔")</f>
        <v/>
      </c>
      <c r="H231" s="98" t="str">
        <f>IF(IFERROR(VLOOKUP(A231,'7.植筋'!C:D,1,0),"")="","","✔")</f>
        <v/>
      </c>
      <c r="I231" s="98" t="str">
        <f>IF(IFERROR(VLOOKUP(A231,'8.預力混凝土基樁'!C:D,1,0),"")="","","✔")</f>
        <v/>
      </c>
      <c r="J231" s="98" t="str">
        <f>IF(IFERROR(VLOOKUP(A231,'9.砌塊石護岸'!C:D,1,0),"")="","","✔")</f>
        <v/>
      </c>
      <c r="K231" s="98" t="str">
        <f>IF(IFERROR(VLOOKUP(A231,'10.低水護岸'!C:D,1,0),"")="","","✔")</f>
        <v/>
      </c>
      <c r="L231" s="98" t="str">
        <f>IF(IFERROR(VLOOKUP(A231,'11.固床工'!C:D,1,0),"")="","","✔")</f>
        <v/>
      </c>
      <c r="M231" s="98" t="str">
        <f>IF(IFERROR(VLOOKUP(A231,'12.全套管基樁'!C:D,1,0),"")="","","✔")</f>
        <v/>
      </c>
      <c r="N231" s="98" t="str">
        <f>IF(IFERROR(VLOOKUP(A231,'13.鋼筋混凝土管工程'!C:D,1,0),"")="","","✔")</f>
        <v/>
      </c>
      <c r="O231" s="98" t="str">
        <f>IF(IFERROR(VLOOKUP(A231,'14.鋼版樁'!C:D,1,0),"")="","","✔")</f>
        <v/>
      </c>
      <c r="P231" s="98" t="str">
        <f>IF(IFERROR(VLOOKUP(A231,'15.路床 路基高程'!C:D,1,0),"")="","","✔")</f>
        <v/>
      </c>
      <c r="Q231" s="98" t="str">
        <f>IF(IFERROR(VLOOKUP(A231,'16.瀝青混凝土'!C:D,1,0),"")="","","✔")</f>
        <v/>
      </c>
      <c r="R231" s="98" t="str">
        <f>IF(IFERROR(VLOOKUP(A231,'17.景觀鋪面(一)'!C:D,1,0),"")="","","✔")</f>
        <v/>
      </c>
      <c r="S231" s="98" t="str">
        <f>IF(IFERROR(VLOOKUP(A231,'18.景觀鋪面(二)'!C:D,1,0),"")="","","✔")</f>
        <v/>
      </c>
      <c r="T231" s="98" t="str">
        <f>IF(IFERROR(VLOOKUP(A231,'19.預鑄緣石'!C:D,1,0),"")="","","✔")</f>
        <v/>
      </c>
      <c r="U231" s="98" t="str">
        <f>IF(IFERROR(VLOOKUP(A231,'20.鋼構工程吊裝'!C:D,1,0),"")="","","✔")</f>
        <v/>
      </c>
      <c r="V231" s="98" t="str">
        <f>IF(IFERROR(VLOOKUP(A231,'21.鋼構工程塗裝'!C:D,1,0),"")="","","✔")</f>
        <v/>
      </c>
      <c r="W231" s="98" t="str">
        <f>IF(IFERROR(VLOOKUP(A231,'22.排水設施(一)'!C:D,1,0),"")="","","✔")</f>
        <v/>
      </c>
      <c r="X231" s="98" t="str">
        <f>IF(IFERROR(VLOOKUP(A231,'23.排水設施(二)'!C:D,1,0),"")="","","✔")</f>
        <v/>
      </c>
      <c r="Y231" s="98" t="str">
        <f>IF(IFERROR(VLOOKUP(A231,'24.木構造'!C:D,1,0),"")="","","✔")</f>
        <v/>
      </c>
      <c r="Z231" s="98" t="str">
        <f>IF(IFERROR(VLOOKUP(A231,'25.管路'!C:D,1,0),"")="","","✔")</f>
        <v/>
      </c>
      <c r="AA231" s="98" t="str">
        <f>IF(IFERROR(VLOOKUP(A231,'26.植栽(移植)'!C:D,1,0),"")="","","✔")</f>
        <v/>
      </c>
      <c r="AB231" s="98" t="str">
        <f>IF(IFERROR(VLOOKUP(A231,'27.植栽(新植)'!C:D,1,0),"")="","","✔")</f>
        <v/>
      </c>
      <c r="AC231" s="98" t="str">
        <f>IF(IFERROR(VLOOKUP(A231,'28.照明'!C:D,1,0),"")="","","✔")</f>
        <v/>
      </c>
      <c r="AD231" s="98" t="str">
        <f>IF(IFERROR(VLOOKUP(A231,'29.既有橋梁拆除'!C:D,1,0),"")="","","✔")</f>
        <v/>
      </c>
    </row>
    <row r="232" spans="1:30" ht="21.75" customHeight="1" x14ac:dyDescent="0.25">
      <c r="A232" s="99">
        <v>45422</v>
      </c>
      <c r="B232" s="98" t="str">
        <f>IF(IFERROR(VLOOKUP(A232,'1.測量放樣'!C:D,1,0),"")="","","✔")</f>
        <v/>
      </c>
      <c r="C232" s="98" t="str">
        <f>IF(IFERROR(VLOOKUP(A232,'2.土方開挖'!C:D,1,0),"")="","","✔")</f>
        <v/>
      </c>
      <c r="D232" s="98" t="str">
        <f>IF(IFERROR(VLOOKUP(A232,'3.土方回填'!C:D,1,0),"")="","","✔")</f>
        <v/>
      </c>
      <c r="E232" s="98" t="str">
        <f>IF(IFERROR(VLOOKUP(A232,'4.鋼筋'!C:D,1,0),"")="","","✔")</f>
        <v/>
      </c>
      <c r="F232" s="98" t="str">
        <f>IF(IFERROR(VLOOKUP(A232,'5.模板'!C:D,1,0),"")="","","✔")</f>
        <v/>
      </c>
      <c r="G232" s="98" t="str">
        <f>IF(IFERROR(VLOOKUP(A232,'6.混凝土'!C:D,1,0),"")="","","✔")</f>
        <v/>
      </c>
      <c r="H232" s="98" t="str">
        <f>IF(IFERROR(VLOOKUP(A232,'7.植筋'!C:D,1,0),"")="","","✔")</f>
        <v/>
      </c>
      <c r="I232" s="98" t="str">
        <f>IF(IFERROR(VLOOKUP(A232,'8.預力混凝土基樁'!C:D,1,0),"")="","","✔")</f>
        <v/>
      </c>
      <c r="J232" s="98" t="str">
        <f>IF(IFERROR(VLOOKUP(A232,'9.砌塊石護岸'!C:D,1,0),"")="","","✔")</f>
        <v/>
      </c>
      <c r="K232" s="98" t="str">
        <f>IF(IFERROR(VLOOKUP(A232,'10.低水護岸'!C:D,1,0),"")="","","✔")</f>
        <v/>
      </c>
      <c r="L232" s="98" t="str">
        <f>IF(IFERROR(VLOOKUP(A232,'11.固床工'!C:D,1,0),"")="","","✔")</f>
        <v/>
      </c>
      <c r="M232" s="98" t="str">
        <f>IF(IFERROR(VLOOKUP(A232,'12.全套管基樁'!C:D,1,0),"")="","","✔")</f>
        <v/>
      </c>
      <c r="N232" s="98" t="str">
        <f>IF(IFERROR(VLOOKUP(A232,'13.鋼筋混凝土管工程'!C:D,1,0),"")="","","✔")</f>
        <v/>
      </c>
      <c r="O232" s="98" t="str">
        <f>IF(IFERROR(VLOOKUP(A232,'14.鋼版樁'!C:D,1,0),"")="","","✔")</f>
        <v/>
      </c>
      <c r="P232" s="98" t="str">
        <f>IF(IFERROR(VLOOKUP(A232,'15.路床 路基高程'!C:D,1,0),"")="","","✔")</f>
        <v/>
      </c>
      <c r="Q232" s="98" t="str">
        <f>IF(IFERROR(VLOOKUP(A232,'16.瀝青混凝土'!C:D,1,0),"")="","","✔")</f>
        <v/>
      </c>
      <c r="R232" s="98" t="str">
        <f>IF(IFERROR(VLOOKUP(A232,'17.景觀鋪面(一)'!C:D,1,0),"")="","","✔")</f>
        <v/>
      </c>
      <c r="S232" s="98" t="str">
        <f>IF(IFERROR(VLOOKUP(A232,'18.景觀鋪面(二)'!C:D,1,0),"")="","","✔")</f>
        <v/>
      </c>
      <c r="T232" s="98" t="str">
        <f>IF(IFERROR(VLOOKUP(A232,'19.預鑄緣石'!C:D,1,0),"")="","","✔")</f>
        <v/>
      </c>
      <c r="U232" s="98" t="str">
        <f>IF(IFERROR(VLOOKUP(A232,'20.鋼構工程吊裝'!C:D,1,0),"")="","","✔")</f>
        <v/>
      </c>
      <c r="V232" s="98" t="str">
        <f>IF(IFERROR(VLOOKUP(A232,'21.鋼構工程塗裝'!C:D,1,0),"")="","","✔")</f>
        <v/>
      </c>
      <c r="W232" s="98" t="str">
        <f>IF(IFERROR(VLOOKUP(A232,'22.排水設施(一)'!C:D,1,0),"")="","","✔")</f>
        <v/>
      </c>
      <c r="X232" s="98" t="str">
        <f>IF(IFERROR(VLOOKUP(A232,'23.排水設施(二)'!C:D,1,0),"")="","","✔")</f>
        <v/>
      </c>
      <c r="Y232" s="98" t="str">
        <f>IF(IFERROR(VLOOKUP(A232,'24.木構造'!C:D,1,0),"")="","","✔")</f>
        <v/>
      </c>
      <c r="Z232" s="98" t="str">
        <f>IF(IFERROR(VLOOKUP(A232,'25.管路'!C:D,1,0),"")="","","✔")</f>
        <v/>
      </c>
      <c r="AA232" s="98" t="str">
        <f>IF(IFERROR(VLOOKUP(A232,'26.植栽(移植)'!C:D,1,0),"")="","","✔")</f>
        <v/>
      </c>
      <c r="AB232" s="98" t="str">
        <f>IF(IFERROR(VLOOKUP(A232,'27.植栽(新植)'!C:D,1,0),"")="","","✔")</f>
        <v/>
      </c>
      <c r="AC232" s="98" t="str">
        <f>IF(IFERROR(VLOOKUP(A232,'28.照明'!C:D,1,0),"")="","","✔")</f>
        <v/>
      </c>
      <c r="AD232" s="98" t="str">
        <f>IF(IFERROR(VLOOKUP(A232,'29.既有橋梁拆除'!C:D,1,0),"")="","","✔")</f>
        <v/>
      </c>
    </row>
    <row r="233" spans="1:30" ht="21.75" customHeight="1" x14ac:dyDescent="0.25">
      <c r="A233" s="99">
        <v>45423</v>
      </c>
      <c r="B233" s="98" t="str">
        <f>IF(IFERROR(VLOOKUP(A233,'1.測量放樣'!C:D,1,0),"")="","","✔")</f>
        <v/>
      </c>
      <c r="C233" s="98" t="str">
        <f>IF(IFERROR(VLOOKUP(A233,'2.土方開挖'!C:D,1,0),"")="","","✔")</f>
        <v/>
      </c>
      <c r="D233" s="98" t="str">
        <f>IF(IFERROR(VLOOKUP(A233,'3.土方回填'!C:D,1,0),"")="","","✔")</f>
        <v/>
      </c>
      <c r="E233" s="98" t="str">
        <f>IF(IFERROR(VLOOKUP(A233,'4.鋼筋'!C:D,1,0),"")="","","✔")</f>
        <v/>
      </c>
      <c r="F233" s="98" t="str">
        <f>IF(IFERROR(VLOOKUP(A233,'5.模板'!C:D,1,0),"")="","","✔")</f>
        <v/>
      </c>
      <c r="G233" s="98" t="str">
        <f>IF(IFERROR(VLOOKUP(A233,'6.混凝土'!C:D,1,0),"")="","","✔")</f>
        <v/>
      </c>
      <c r="H233" s="98" t="str">
        <f>IF(IFERROR(VLOOKUP(A233,'7.植筋'!C:D,1,0),"")="","","✔")</f>
        <v/>
      </c>
      <c r="I233" s="98" t="str">
        <f>IF(IFERROR(VLOOKUP(A233,'8.預力混凝土基樁'!C:D,1,0),"")="","","✔")</f>
        <v/>
      </c>
      <c r="J233" s="98" t="str">
        <f>IF(IFERROR(VLOOKUP(A233,'9.砌塊石護岸'!C:D,1,0),"")="","","✔")</f>
        <v/>
      </c>
      <c r="K233" s="98" t="str">
        <f>IF(IFERROR(VLOOKUP(A233,'10.低水護岸'!C:D,1,0),"")="","","✔")</f>
        <v/>
      </c>
      <c r="L233" s="98" t="str">
        <f>IF(IFERROR(VLOOKUP(A233,'11.固床工'!C:D,1,0),"")="","","✔")</f>
        <v/>
      </c>
      <c r="M233" s="98" t="str">
        <f>IF(IFERROR(VLOOKUP(A233,'12.全套管基樁'!C:D,1,0),"")="","","✔")</f>
        <v/>
      </c>
      <c r="N233" s="98" t="str">
        <f>IF(IFERROR(VLOOKUP(A233,'13.鋼筋混凝土管工程'!C:D,1,0),"")="","","✔")</f>
        <v/>
      </c>
      <c r="O233" s="98" t="str">
        <f>IF(IFERROR(VLOOKUP(A233,'14.鋼版樁'!C:D,1,0),"")="","","✔")</f>
        <v/>
      </c>
      <c r="P233" s="98" t="str">
        <f>IF(IFERROR(VLOOKUP(A233,'15.路床 路基高程'!C:D,1,0),"")="","","✔")</f>
        <v/>
      </c>
      <c r="Q233" s="98" t="str">
        <f>IF(IFERROR(VLOOKUP(A233,'16.瀝青混凝土'!C:D,1,0),"")="","","✔")</f>
        <v/>
      </c>
      <c r="R233" s="98" t="str">
        <f>IF(IFERROR(VLOOKUP(A233,'17.景觀鋪面(一)'!C:D,1,0),"")="","","✔")</f>
        <v/>
      </c>
      <c r="S233" s="98" t="str">
        <f>IF(IFERROR(VLOOKUP(A233,'18.景觀鋪面(二)'!C:D,1,0),"")="","","✔")</f>
        <v/>
      </c>
      <c r="T233" s="98" t="str">
        <f>IF(IFERROR(VLOOKUP(A233,'19.預鑄緣石'!C:D,1,0),"")="","","✔")</f>
        <v/>
      </c>
      <c r="U233" s="98" t="str">
        <f>IF(IFERROR(VLOOKUP(A233,'20.鋼構工程吊裝'!C:D,1,0),"")="","","✔")</f>
        <v/>
      </c>
      <c r="V233" s="98" t="str">
        <f>IF(IFERROR(VLOOKUP(A233,'21.鋼構工程塗裝'!C:D,1,0),"")="","","✔")</f>
        <v/>
      </c>
      <c r="W233" s="98" t="str">
        <f>IF(IFERROR(VLOOKUP(A233,'22.排水設施(一)'!C:D,1,0),"")="","","✔")</f>
        <v/>
      </c>
      <c r="X233" s="98" t="str">
        <f>IF(IFERROR(VLOOKUP(A233,'23.排水設施(二)'!C:D,1,0),"")="","","✔")</f>
        <v/>
      </c>
      <c r="Y233" s="98" t="str">
        <f>IF(IFERROR(VLOOKUP(A233,'24.木構造'!C:D,1,0),"")="","","✔")</f>
        <v/>
      </c>
      <c r="Z233" s="98" t="str">
        <f>IF(IFERROR(VLOOKUP(A233,'25.管路'!C:D,1,0),"")="","","✔")</f>
        <v/>
      </c>
      <c r="AA233" s="98" t="str">
        <f>IF(IFERROR(VLOOKUP(A233,'26.植栽(移植)'!C:D,1,0),"")="","","✔")</f>
        <v/>
      </c>
      <c r="AB233" s="98" t="str">
        <f>IF(IFERROR(VLOOKUP(A233,'27.植栽(新植)'!C:D,1,0),"")="","","✔")</f>
        <v/>
      </c>
      <c r="AC233" s="98" t="str">
        <f>IF(IFERROR(VLOOKUP(A233,'28.照明'!C:D,1,0),"")="","","✔")</f>
        <v/>
      </c>
      <c r="AD233" s="98" t="str">
        <f>IF(IFERROR(VLOOKUP(A233,'29.既有橋梁拆除'!C:D,1,0),"")="","","✔")</f>
        <v/>
      </c>
    </row>
    <row r="234" spans="1:30" ht="21.75" customHeight="1" x14ac:dyDescent="0.25">
      <c r="A234" s="99">
        <v>45424</v>
      </c>
      <c r="B234" s="98" t="str">
        <f>IF(IFERROR(VLOOKUP(A234,'1.測量放樣'!C:D,1,0),"")="","","✔")</f>
        <v/>
      </c>
      <c r="C234" s="98" t="str">
        <f>IF(IFERROR(VLOOKUP(A234,'2.土方開挖'!C:D,1,0),"")="","","✔")</f>
        <v/>
      </c>
      <c r="D234" s="98" t="str">
        <f>IF(IFERROR(VLOOKUP(A234,'3.土方回填'!C:D,1,0),"")="","","✔")</f>
        <v/>
      </c>
      <c r="E234" s="98" t="str">
        <f>IF(IFERROR(VLOOKUP(A234,'4.鋼筋'!C:D,1,0),"")="","","✔")</f>
        <v/>
      </c>
      <c r="F234" s="98" t="str">
        <f>IF(IFERROR(VLOOKUP(A234,'5.模板'!C:D,1,0),"")="","","✔")</f>
        <v/>
      </c>
      <c r="G234" s="98" t="str">
        <f>IF(IFERROR(VLOOKUP(A234,'6.混凝土'!C:D,1,0),"")="","","✔")</f>
        <v/>
      </c>
      <c r="H234" s="98" t="str">
        <f>IF(IFERROR(VLOOKUP(A234,'7.植筋'!C:D,1,0),"")="","","✔")</f>
        <v/>
      </c>
      <c r="I234" s="98" t="str">
        <f>IF(IFERROR(VLOOKUP(A234,'8.預力混凝土基樁'!C:D,1,0),"")="","","✔")</f>
        <v/>
      </c>
      <c r="J234" s="98" t="str">
        <f>IF(IFERROR(VLOOKUP(A234,'9.砌塊石護岸'!C:D,1,0),"")="","","✔")</f>
        <v/>
      </c>
      <c r="K234" s="98" t="str">
        <f>IF(IFERROR(VLOOKUP(A234,'10.低水護岸'!C:D,1,0),"")="","","✔")</f>
        <v/>
      </c>
      <c r="L234" s="98" t="str">
        <f>IF(IFERROR(VLOOKUP(A234,'11.固床工'!C:D,1,0),"")="","","✔")</f>
        <v/>
      </c>
      <c r="M234" s="98" t="str">
        <f>IF(IFERROR(VLOOKUP(A234,'12.全套管基樁'!C:D,1,0),"")="","","✔")</f>
        <v/>
      </c>
      <c r="N234" s="98" t="str">
        <f>IF(IFERROR(VLOOKUP(A234,'13.鋼筋混凝土管工程'!C:D,1,0),"")="","","✔")</f>
        <v/>
      </c>
      <c r="O234" s="98" t="str">
        <f>IF(IFERROR(VLOOKUP(A234,'14.鋼版樁'!C:D,1,0),"")="","","✔")</f>
        <v/>
      </c>
      <c r="P234" s="98" t="str">
        <f>IF(IFERROR(VLOOKUP(A234,'15.路床 路基高程'!C:D,1,0),"")="","","✔")</f>
        <v/>
      </c>
      <c r="Q234" s="98" t="str">
        <f>IF(IFERROR(VLOOKUP(A234,'16.瀝青混凝土'!C:D,1,0),"")="","","✔")</f>
        <v/>
      </c>
      <c r="R234" s="98" t="str">
        <f>IF(IFERROR(VLOOKUP(A234,'17.景觀鋪面(一)'!C:D,1,0),"")="","","✔")</f>
        <v/>
      </c>
      <c r="S234" s="98" t="str">
        <f>IF(IFERROR(VLOOKUP(A234,'18.景觀鋪面(二)'!C:D,1,0),"")="","","✔")</f>
        <v/>
      </c>
      <c r="T234" s="98" t="str">
        <f>IF(IFERROR(VLOOKUP(A234,'19.預鑄緣石'!C:D,1,0),"")="","","✔")</f>
        <v/>
      </c>
      <c r="U234" s="98" t="str">
        <f>IF(IFERROR(VLOOKUP(A234,'20.鋼構工程吊裝'!C:D,1,0),"")="","","✔")</f>
        <v/>
      </c>
      <c r="V234" s="98" t="str">
        <f>IF(IFERROR(VLOOKUP(A234,'21.鋼構工程塗裝'!C:D,1,0),"")="","","✔")</f>
        <v/>
      </c>
      <c r="W234" s="98" t="str">
        <f>IF(IFERROR(VLOOKUP(A234,'22.排水設施(一)'!C:D,1,0),"")="","","✔")</f>
        <v/>
      </c>
      <c r="X234" s="98" t="str">
        <f>IF(IFERROR(VLOOKUP(A234,'23.排水設施(二)'!C:D,1,0),"")="","","✔")</f>
        <v/>
      </c>
      <c r="Y234" s="98" t="str">
        <f>IF(IFERROR(VLOOKUP(A234,'24.木構造'!C:D,1,0),"")="","","✔")</f>
        <v/>
      </c>
      <c r="Z234" s="98" t="str">
        <f>IF(IFERROR(VLOOKUP(A234,'25.管路'!C:D,1,0),"")="","","✔")</f>
        <v/>
      </c>
      <c r="AA234" s="98" t="str">
        <f>IF(IFERROR(VLOOKUP(A234,'26.植栽(移植)'!C:D,1,0),"")="","","✔")</f>
        <v/>
      </c>
      <c r="AB234" s="98" t="str">
        <f>IF(IFERROR(VLOOKUP(A234,'27.植栽(新植)'!C:D,1,0),"")="","","✔")</f>
        <v/>
      </c>
      <c r="AC234" s="98" t="str">
        <f>IF(IFERROR(VLOOKUP(A234,'28.照明'!C:D,1,0),"")="","","✔")</f>
        <v/>
      </c>
      <c r="AD234" s="98" t="str">
        <f>IF(IFERROR(VLOOKUP(A234,'29.既有橋梁拆除'!C:D,1,0),"")="","","✔")</f>
        <v/>
      </c>
    </row>
    <row r="235" spans="1:30" ht="21.75" customHeight="1" x14ac:dyDescent="0.25">
      <c r="A235" s="99">
        <v>45425</v>
      </c>
      <c r="B235" s="98" t="str">
        <f>IF(IFERROR(VLOOKUP(A235,'1.測量放樣'!C:D,1,0),"")="","","✔")</f>
        <v/>
      </c>
      <c r="C235" s="98" t="str">
        <f>IF(IFERROR(VLOOKUP(A235,'2.土方開挖'!C:D,1,0),"")="","","✔")</f>
        <v/>
      </c>
      <c r="D235" s="98" t="str">
        <f>IF(IFERROR(VLOOKUP(A235,'3.土方回填'!C:D,1,0),"")="","","✔")</f>
        <v/>
      </c>
      <c r="E235" s="98" t="str">
        <f>IF(IFERROR(VLOOKUP(A235,'4.鋼筋'!C:D,1,0),"")="","","✔")</f>
        <v/>
      </c>
      <c r="F235" s="98" t="str">
        <f>IF(IFERROR(VLOOKUP(A235,'5.模板'!C:D,1,0),"")="","","✔")</f>
        <v/>
      </c>
      <c r="G235" s="98" t="str">
        <f>IF(IFERROR(VLOOKUP(A235,'6.混凝土'!C:D,1,0),"")="","","✔")</f>
        <v/>
      </c>
      <c r="H235" s="98" t="str">
        <f>IF(IFERROR(VLOOKUP(A235,'7.植筋'!C:D,1,0),"")="","","✔")</f>
        <v/>
      </c>
      <c r="I235" s="98" t="str">
        <f>IF(IFERROR(VLOOKUP(A235,'8.預力混凝土基樁'!C:D,1,0),"")="","","✔")</f>
        <v/>
      </c>
      <c r="J235" s="98" t="str">
        <f>IF(IFERROR(VLOOKUP(A235,'9.砌塊石護岸'!C:D,1,0),"")="","","✔")</f>
        <v/>
      </c>
      <c r="K235" s="98" t="str">
        <f>IF(IFERROR(VLOOKUP(A235,'10.低水護岸'!C:D,1,0),"")="","","✔")</f>
        <v/>
      </c>
      <c r="L235" s="98" t="str">
        <f>IF(IFERROR(VLOOKUP(A235,'11.固床工'!C:D,1,0),"")="","","✔")</f>
        <v/>
      </c>
      <c r="M235" s="98" t="str">
        <f>IF(IFERROR(VLOOKUP(A235,'12.全套管基樁'!C:D,1,0),"")="","","✔")</f>
        <v/>
      </c>
      <c r="N235" s="98" t="str">
        <f>IF(IFERROR(VLOOKUP(A235,'13.鋼筋混凝土管工程'!C:D,1,0),"")="","","✔")</f>
        <v/>
      </c>
      <c r="O235" s="98" t="str">
        <f>IF(IFERROR(VLOOKUP(A235,'14.鋼版樁'!C:D,1,0),"")="","","✔")</f>
        <v/>
      </c>
      <c r="P235" s="98" t="str">
        <f>IF(IFERROR(VLOOKUP(A235,'15.路床 路基高程'!C:D,1,0),"")="","","✔")</f>
        <v/>
      </c>
      <c r="Q235" s="98" t="str">
        <f>IF(IFERROR(VLOOKUP(A235,'16.瀝青混凝土'!C:D,1,0),"")="","","✔")</f>
        <v/>
      </c>
      <c r="R235" s="98" t="str">
        <f>IF(IFERROR(VLOOKUP(A235,'17.景觀鋪面(一)'!C:D,1,0),"")="","","✔")</f>
        <v/>
      </c>
      <c r="S235" s="98" t="str">
        <f>IF(IFERROR(VLOOKUP(A235,'18.景觀鋪面(二)'!C:D,1,0),"")="","","✔")</f>
        <v/>
      </c>
      <c r="T235" s="98" t="str">
        <f>IF(IFERROR(VLOOKUP(A235,'19.預鑄緣石'!C:D,1,0),"")="","","✔")</f>
        <v/>
      </c>
      <c r="U235" s="98" t="str">
        <f>IF(IFERROR(VLOOKUP(A235,'20.鋼構工程吊裝'!C:D,1,0),"")="","","✔")</f>
        <v/>
      </c>
      <c r="V235" s="98" t="str">
        <f>IF(IFERROR(VLOOKUP(A235,'21.鋼構工程塗裝'!C:D,1,0),"")="","","✔")</f>
        <v/>
      </c>
      <c r="W235" s="98" t="str">
        <f>IF(IFERROR(VLOOKUP(A235,'22.排水設施(一)'!C:D,1,0),"")="","","✔")</f>
        <v/>
      </c>
      <c r="X235" s="98" t="str">
        <f>IF(IFERROR(VLOOKUP(A235,'23.排水設施(二)'!C:D,1,0),"")="","","✔")</f>
        <v/>
      </c>
      <c r="Y235" s="98" t="str">
        <f>IF(IFERROR(VLOOKUP(A235,'24.木構造'!C:D,1,0),"")="","","✔")</f>
        <v/>
      </c>
      <c r="Z235" s="98" t="str">
        <f>IF(IFERROR(VLOOKUP(A235,'25.管路'!C:D,1,0),"")="","","✔")</f>
        <v/>
      </c>
      <c r="AA235" s="98" t="str">
        <f>IF(IFERROR(VLOOKUP(A235,'26.植栽(移植)'!C:D,1,0),"")="","","✔")</f>
        <v/>
      </c>
      <c r="AB235" s="98" t="str">
        <f>IF(IFERROR(VLOOKUP(A235,'27.植栽(新植)'!C:D,1,0),"")="","","✔")</f>
        <v/>
      </c>
      <c r="AC235" s="98" t="str">
        <f>IF(IFERROR(VLOOKUP(A235,'28.照明'!C:D,1,0),"")="","","✔")</f>
        <v/>
      </c>
      <c r="AD235" s="98" t="str">
        <f>IF(IFERROR(VLOOKUP(A235,'29.既有橋梁拆除'!C:D,1,0),"")="","","✔")</f>
        <v/>
      </c>
    </row>
    <row r="236" spans="1:30" ht="21.75" customHeight="1" x14ac:dyDescent="0.25">
      <c r="A236" s="99">
        <v>45426</v>
      </c>
      <c r="B236" s="98" t="str">
        <f>IF(IFERROR(VLOOKUP(A236,'1.測量放樣'!C:D,1,0),"")="","","✔")</f>
        <v/>
      </c>
      <c r="C236" s="98" t="str">
        <f>IF(IFERROR(VLOOKUP(A236,'2.土方開挖'!C:D,1,0),"")="","","✔")</f>
        <v/>
      </c>
      <c r="D236" s="98" t="str">
        <f>IF(IFERROR(VLOOKUP(A236,'3.土方回填'!C:D,1,0),"")="","","✔")</f>
        <v/>
      </c>
      <c r="E236" s="98" t="str">
        <f>IF(IFERROR(VLOOKUP(A236,'4.鋼筋'!C:D,1,0),"")="","","✔")</f>
        <v/>
      </c>
      <c r="F236" s="98" t="str">
        <f>IF(IFERROR(VLOOKUP(A236,'5.模板'!C:D,1,0),"")="","","✔")</f>
        <v/>
      </c>
      <c r="G236" s="98" t="str">
        <f>IF(IFERROR(VLOOKUP(A236,'6.混凝土'!C:D,1,0),"")="","","✔")</f>
        <v/>
      </c>
      <c r="H236" s="98" t="str">
        <f>IF(IFERROR(VLOOKUP(A236,'7.植筋'!C:D,1,0),"")="","","✔")</f>
        <v/>
      </c>
      <c r="I236" s="98" t="str">
        <f>IF(IFERROR(VLOOKUP(A236,'8.預力混凝土基樁'!C:D,1,0),"")="","","✔")</f>
        <v/>
      </c>
      <c r="J236" s="98" t="str">
        <f>IF(IFERROR(VLOOKUP(A236,'9.砌塊石護岸'!C:D,1,0),"")="","","✔")</f>
        <v/>
      </c>
      <c r="K236" s="98" t="str">
        <f>IF(IFERROR(VLOOKUP(A236,'10.低水護岸'!C:D,1,0),"")="","","✔")</f>
        <v/>
      </c>
      <c r="L236" s="98" t="str">
        <f>IF(IFERROR(VLOOKUP(A236,'11.固床工'!C:D,1,0),"")="","","✔")</f>
        <v/>
      </c>
      <c r="M236" s="98" t="str">
        <f>IF(IFERROR(VLOOKUP(A236,'12.全套管基樁'!C:D,1,0),"")="","","✔")</f>
        <v/>
      </c>
      <c r="N236" s="98" t="str">
        <f>IF(IFERROR(VLOOKUP(A236,'13.鋼筋混凝土管工程'!C:D,1,0),"")="","","✔")</f>
        <v/>
      </c>
      <c r="O236" s="98" t="str">
        <f>IF(IFERROR(VLOOKUP(A236,'14.鋼版樁'!C:D,1,0),"")="","","✔")</f>
        <v/>
      </c>
      <c r="P236" s="98" t="str">
        <f>IF(IFERROR(VLOOKUP(A236,'15.路床 路基高程'!C:D,1,0),"")="","","✔")</f>
        <v/>
      </c>
      <c r="Q236" s="98" t="str">
        <f>IF(IFERROR(VLOOKUP(A236,'16.瀝青混凝土'!C:D,1,0),"")="","","✔")</f>
        <v/>
      </c>
      <c r="R236" s="98" t="str">
        <f>IF(IFERROR(VLOOKUP(A236,'17.景觀鋪面(一)'!C:D,1,0),"")="","","✔")</f>
        <v/>
      </c>
      <c r="S236" s="98" t="str">
        <f>IF(IFERROR(VLOOKUP(A236,'18.景觀鋪面(二)'!C:D,1,0),"")="","","✔")</f>
        <v/>
      </c>
      <c r="T236" s="98" t="str">
        <f>IF(IFERROR(VLOOKUP(A236,'19.預鑄緣石'!C:D,1,0),"")="","","✔")</f>
        <v/>
      </c>
      <c r="U236" s="98" t="str">
        <f>IF(IFERROR(VLOOKUP(A236,'20.鋼構工程吊裝'!C:D,1,0),"")="","","✔")</f>
        <v/>
      </c>
      <c r="V236" s="98" t="str">
        <f>IF(IFERROR(VLOOKUP(A236,'21.鋼構工程塗裝'!C:D,1,0),"")="","","✔")</f>
        <v/>
      </c>
      <c r="W236" s="98" t="str">
        <f>IF(IFERROR(VLOOKUP(A236,'22.排水設施(一)'!C:D,1,0),"")="","","✔")</f>
        <v/>
      </c>
      <c r="X236" s="98" t="str">
        <f>IF(IFERROR(VLOOKUP(A236,'23.排水設施(二)'!C:D,1,0),"")="","","✔")</f>
        <v/>
      </c>
      <c r="Y236" s="98" t="str">
        <f>IF(IFERROR(VLOOKUP(A236,'24.木構造'!C:D,1,0),"")="","","✔")</f>
        <v/>
      </c>
      <c r="Z236" s="98" t="str">
        <f>IF(IFERROR(VLOOKUP(A236,'25.管路'!C:D,1,0),"")="","","✔")</f>
        <v/>
      </c>
      <c r="AA236" s="98" t="str">
        <f>IF(IFERROR(VLOOKUP(A236,'26.植栽(移植)'!C:D,1,0),"")="","","✔")</f>
        <v/>
      </c>
      <c r="AB236" s="98" t="str">
        <f>IF(IFERROR(VLOOKUP(A236,'27.植栽(新植)'!C:D,1,0),"")="","","✔")</f>
        <v/>
      </c>
      <c r="AC236" s="98" t="str">
        <f>IF(IFERROR(VLOOKUP(A236,'28.照明'!C:D,1,0),"")="","","✔")</f>
        <v/>
      </c>
      <c r="AD236" s="98" t="str">
        <f>IF(IFERROR(VLOOKUP(A236,'29.既有橋梁拆除'!C:D,1,0),"")="","","✔")</f>
        <v/>
      </c>
    </row>
    <row r="237" spans="1:30" ht="21.75" customHeight="1" x14ac:dyDescent="0.25">
      <c r="A237" s="99">
        <v>45427</v>
      </c>
      <c r="B237" s="98" t="str">
        <f>IF(IFERROR(VLOOKUP(A237,'1.測量放樣'!C:D,1,0),"")="","","✔")</f>
        <v/>
      </c>
      <c r="C237" s="98" t="str">
        <f>IF(IFERROR(VLOOKUP(A237,'2.土方開挖'!C:D,1,0),"")="","","✔")</f>
        <v/>
      </c>
      <c r="D237" s="98" t="str">
        <f>IF(IFERROR(VLOOKUP(A237,'3.土方回填'!C:D,1,0),"")="","","✔")</f>
        <v/>
      </c>
      <c r="E237" s="98" t="str">
        <f>IF(IFERROR(VLOOKUP(A237,'4.鋼筋'!C:D,1,0),"")="","","✔")</f>
        <v/>
      </c>
      <c r="F237" s="98" t="str">
        <f>IF(IFERROR(VLOOKUP(A237,'5.模板'!C:D,1,0),"")="","","✔")</f>
        <v/>
      </c>
      <c r="G237" s="98" t="str">
        <f>IF(IFERROR(VLOOKUP(A237,'6.混凝土'!C:D,1,0),"")="","","✔")</f>
        <v/>
      </c>
      <c r="H237" s="98" t="str">
        <f>IF(IFERROR(VLOOKUP(A237,'7.植筋'!C:D,1,0),"")="","","✔")</f>
        <v/>
      </c>
      <c r="I237" s="98" t="str">
        <f>IF(IFERROR(VLOOKUP(A237,'8.預力混凝土基樁'!C:D,1,0),"")="","","✔")</f>
        <v/>
      </c>
      <c r="J237" s="98" t="str">
        <f>IF(IFERROR(VLOOKUP(A237,'9.砌塊石護岸'!C:D,1,0),"")="","","✔")</f>
        <v/>
      </c>
      <c r="K237" s="98" t="str">
        <f>IF(IFERROR(VLOOKUP(A237,'10.低水護岸'!C:D,1,0),"")="","","✔")</f>
        <v/>
      </c>
      <c r="L237" s="98" t="str">
        <f>IF(IFERROR(VLOOKUP(A237,'11.固床工'!C:D,1,0),"")="","","✔")</f>
        <v/>
      </c>
      <c r="M237" s="98" t="str">
        <f>IF(IFERROR(VLOOKUP(A237,'12.全套管基樁'!C:D,1,0),"")="","","✔")</f>
        <v/>
      </c>
      <c r="N237" s="98" t="str">
        <f>IF(IFERROR(VLOOKUP(A237,'13.鋼筋混凝土管工程'!C:D,1,0),"")="","","✔")</f>
        <v/>
      </c>
      <c r="O237" s="98" t="str">
        <f>IF(IFERROR(VLOOKUP(A237,'14.鋼版樁'!C:D,1,0),"")="","","✔")</f>
        <v/>
      </c>
      <c r="P237" s="98" t="str">
        <f>IF(IFERROR(VLOOKUP(A237,'15.路床 路基高程'!C:D,1,0),"")="","","✔")</f>
        <v/>
      </c>
      <c r="Q237" s="98" t="str">
        <f>IF(IFERROR(VLOOKUP(A237,'16.瀝青混凝土'!C:D,1,0),"")="","","✔")</f>
        <v/>
      </c>
      <c r="R237" s="98" t="str">
        <f>IF(IFERROR(VLOOKUP(A237,'17.景觀鋪面(一)'!C:D,1,0),"")="","","✔")</f>
        <v/>
      </c>
      <c r="S237" s="98" t="str">
        <f>IF(IFERROR(VLOOKUP(A237,'18.景觀鋪面(二)'!C:D,1,0),"")="","","✔")</f>
        <v/>
      </c>
      <c r="T237" s="98" t="str">
        <f>IF(IFERROR(VLOOKUP(A237,'19.預鑄緣石'!C:D,1,0),"")="","","✔")</f>
        <v/>
      </c>
      <c r="U237" s="98" t="str">
        <f>IF(IFERROR(VLOOKUP(A237,'20.鋼構工程吊裝'!C:D,1,0),"")="","","✔")</f>
        <v/>
      </c>
      <c r="V237" s="98" t="str">
        <f>IF(IFERROR(VLOOKUP(A237,'21.鋼構工程塗裝'!C:D,1,0),"")="","","✔")</f>
        <v/>
      </c>
      <c r="W237" s="98" t="str">
        <f>IF(IFERROR(VLOOKUP(A237,'22.排水設施(一)'!C:D,1,0),"")="","","✔")</f>
        <v/>
      </c>
      <c r="X237" s="98" t="str">
        <f>IF(IFERROR(VLOOKUP(A237,'23.排水設施(二)'!C:D,1,0),"")="","","✔")</f>
        <v/>
      </c>
      <c r="Y237" s="98" t="str">
        <f>IF(IFERROR(VLOOKUP(A237,'24.木構造'!C:D,1,0),"")="","","✔")</f>
        <v/>
      </c>
      <c r="Z237" s="98" t="str">
        <f>IF(IFERROR(VLOOKUP(A237,'25.管路'!C:D,1,0),"")="","","✔")</f>
        <v/>
      </c>
      <c r="AA237" s="98" t="str">
        <f>IF(IFERROR(VLOOKUP(A237,'26.植栽(移植)'!C:D,1,0),"")="","","✔")</f>
        <v/>
      </c>
      <c r="AB237" s="98" t="str">
        <f>IF(IFERROR(VLOOKUP(A237,'27.植栽(新植)'!C:D,1,0),"")="","","✔")</f>
        <v/>
      </c>
      <c r="AC237" s="98" t="str">
        <f>IF(IFERROR(VLOOKUP(A237,'28.照明'!C:D,1,0),"")="","","✔")</f>
        <v/>
      </c>
      <c r="AD237" s="98" t="str">
        <f>IF(IFERROR(VLOOKUP(A237,'29.既有橋梁拆除'!C:D,1,0),"")="","","✔")</f>
        <v/>
      </c>
    </row>
    <row r="238" spans="1:30" ht="21.75" customHeight="1" x14ac:dyDescent="0.25">
      <c r="A238" s="99">
        <v>45428</v>
      </c>
      <c r="B238" s="98" t="str">
        <f>IF(IFERROR(VLOOKUP(A238,'1.測量放樣'!C:D,1,0),"")="","","✔")</f>
        <v/>
      </c>
      <c r="C238" s="98" t="str">
        <f>IF(IFERROR(VLOOKUP(A238,'2.土方開挖'!C:D,1,0),"")="","","✔")</f>
        <v/>
      </c>
      <c r="D238" s="98" t="str">
        <f>IF(IFERROR(VLOOKUP(A238,'3.土方回填'!C:D,1,0),"")="","","✔")</f>
        <v/>
      </c>
      <c r="E238" s="98" t="str">
        <f>IF(IFERROR(VLOOKUP(A238,'4.鋼筋'!C:D,1,0),"")="","","✔")</f>
        <v/>
      </c>
      <c r="F238" s="98" t="str">
        <f>IF(IFERROR(VLOOKUP(A238,'5.模板'!C:D,1,0),"")="","","✔")</f>
        <v/>
      </c>
      <c r="G238" s="98" t="str">
        <f>IF(IFERROR(VLOOKUP(A238,'6.混凝土'!C:D,1,0),"")="","","✔")</f>
        <v/>
      </c>
      <c r="H238" s="98" t="str">
        <f>IF(IFERROR(VLOOKUP(A238,'7.植筋'!C:D,1,0),"")="","","✔")</f>
        <v/>
      </c>
      <c r="I238" s="98" t="str">
        <f>IF(IFERROR(VLOOKUP(A238,'8.預力混凝土基樁'!C:D,1,0),"")="","","✔")</f>
        <v/>
      </c>
      <c r="J238" s="98" t="str">
        <f>IF(IFERROR(VLOOKUP(A238,'9.砌塊石護岸'!C:D,1,0),"")="","","✔")</f>
        <v/>
      </c>
      <c r="K238" s="98" t="str">
        <f>IF(IFERROR(VLOOKUP(A238,'10.低水護岸'!C:D,1,0),"")="","","✔")</f>
        <v/>
      </c>
      <c r="L238" s="98" t="str">
        <f>IF(IFERROR(VLOOKUP(A238,'11.固床工'!C:D,1,0),"")="","","✔")</f>
        <v/>
      </c>
      <c r="M238" s="98" t="str">
        <f>IF(IFERROR(VLOOKUP(A238,'12.全套管基樁'!C:D,1,0),"")="","","✔")</f>
        <v/>
      </c>
      <c r="N238" s="98" t="str">
        <f>IF(IFERROR(VLOOKUP(A238,'13.鋼筋混凝土管工程'!C:D,1,0),"")="","","✔")</f>
        <v/>
      </c>
      <c r="O238" s="98" t="str">
        <f>IF(IFERROR(VLOOKUP(A238,'14.鋼版樁'!C:D,1,0),"")="","","✔")</f>
        <v/>
      </c>
      <c r="P238" s="98" t="str">
        <f>IF(IFERROR(VLOOKUP(A238,'15.路床 路基高程'!C:D,1,0),"")="","","✔")</f>
        <v/>
      </c>
      <c r="Q238" s="98" t="str">
        <f>IF(IFERROR(VLOOKUP(A238,'16.瀝青混凝土'!C:D,1,0),"")="","","✔")</f>
        <v/>
      </c>
      <c r="R238" s="98" t="str">
        <f>IF(IFERROR(VLOOKUP(A238,'17.景觀鋪面(一)'!C:D,1,0),"")="","","✔")</f>
        <v/>
      </c>
      <c r="S238" s="98" t="str">
        <f>IF(IFERROR(VLOOKUP(A238,'18.景觀鋪面(二)'!C:D,1,0),"")="","","✔")</f>
        <v/>
      </c>
      <c r="T238" s="98" t="str">
        <f>IF(IFERROR(VLOOKUP(A238,'19.預鑄緣石'!C:D,1,0),"")="","","✔")</f>
        <v/>
      </c>
      <c r="U238" s="98" t="str">
        <f>IF(IFERROR(VLOOKUP(A238,'20.鋼構工程吊裝'!C:D,1,0),"")="","","✔")</f>
        <v/>
      </c>
      <c r="V238" s="98" t="str">
        <f>IF(IFERROR(VLOOKUP(A238,'21.鋼構工程塗裝'!C:D,1,0),"")="","","✔")</f>
        <v/>
      </c>
      <c r="W238" s="98" t="str">
        <f>IF(IFERROR(VLOOKUP(A238,'22.排水設施(一)'!C:D,1,0),"")="","","✔")</f>
        <v/>
      </c>
      <c r="X238" s="98" t="str">
        <f>IF(IFERROR(VLOOKUP(A238,'23.排水設施(二)'!C:D,1,0),"")="","","✔")</f>
        <v/>
      </c>
      <c r="Y238" s="98" t="str">
        <f>IF(IFERROR(VLOOKUP(A238,'24.木構造'!C:D,1,0),"")="","","✔")</f>
        <v/>
      </c>
      <c r="Z238" s="98" t="str">
        <f>IF(IFERROR(VLOOKUP(A238,'25.管路'!C:D,1,0),"")="","","✔")</f>
        <v/>
      </c>
      <c r="AA238" s="98" t="str">
        <f>IF(IFERROR(VLOOKUP(A238,'26.植栽(移植)'!C:D,1,0),"")="","","✔")</f>
        <v/>
      </c>
      <c r="AB238" s="98" t="str">
        <f>IF(IFERROR(VLOOKUP(A238,'27.植栽(新植)'!C:D,1,0),"")="","","✔")</f>
        <v/>
      </c>
      <c r="AC238" s="98" t="str">
        <f>IF(IFERROR(VLOOKUP(A238,'28.照明'!C:D,1,0),"")="","","✔")</f>
        <v/>
      </c>
      <c r="AD238" s="98" t="str">
        <f>IF(IFERROR(VLOOKUP(A238,'29.既有橋梁拆除'!C:D,1,0),"")="","","✔")</f>
        <v/>
      </c>
    </row>
    <row r="239" spans="1:30" ht="21.75" customHeight="1" x14ac:dyDescent="0.25">
      <c r="A239" s="99">
        <v>45429</v>
      </c>
      <c r="B239" s="98" t="str">
        <f>IF(IFERROR(VLOOKUP(A239,'1.測量放樣'!C:D,1,0),"")="","","✔")</f>
        <v/>
      </c>
      <c r="C239" s="98" t="str">
        <f>IF(IFERROR(VLOOKUP(A239,'2.土方開挖'!C:D,1,0),"")="","","✔")</f>
        <v/>
      </c>
      <c r="D239" s="98" t="str">
        <f>IF(IFERROR(VLOOKUP(A239,'3.土方回填'!C:D,1,0),"")="","","✔")</f>
        <v/>
      </c>
      <c r="E239" s="98" t="str">
        <f>IF(IFERROR(VLOOKUP(A239,'4.鋼筋'!C:D,1,0),"")="","","✔")</f>
        <v/>
      </c>
      <c r="F239" s="98" t="str">
        <f>IF(IFERROR(VLOOKUP(A239,'5.模板'!C:D,1,0),"")="","","✔")</f>
        <v/>
      </c>
      <c r="G239" s="98" t="str">
        <f>IF(IFERROR(VLOOKUP(A239,'6.混凝土'!C:D,1,0),"")="","","✔")</f>
        <v/>
      </c>
      <c r="H239" s="98" t="str">
        <f>IF(IFERROR(VLOOKUP(A239,'7.植筋'!C:D,1,0),"")="","","✔")</f>
        <v/>
      </c>
      <c r="I239" s="98" t="str">
        <f>IF(IFERROR(VLOOKUP(A239,'8.預力混凝土基樁'!C:D,1,0),"")="","","✔")</f>
        <v/>
      </c>
      <c r="J239" s="98" t="str">
        <f>IF(IFERROR(VLOOKUP(A239,'9.砌塊石護岸'!C:D,1,0),"")="","","✔")</f>
        <v/>
      </c>
      <c r="K239" s="98" t="str">
        <f>IF(IFERROR(VLOOKUP(A239,'10.低水護岸'!C:D,1,0),"")="","","✔")</f>
        <v/>
      </c>
      <c r="L239" s="98" t="str">
        <f>IF(IFERROR(VLOOKUP(A239,'11.固床工'!C:D,1,0),"")="","","✔")</f>
        <v/>
      </c>
      <c r="M239" s="98" t="str">
        <f>IF(IFERROR(VLOOKUP(A239,'12.全套管基樁'!C:D,1,0),"")="","","✔")</f>
        <v/>
      </c>
      <c r="N239" s="98" t="str">
        <f>IF(IFERROR(VLOOKUP(A239,'13.鋼筋混凝土管工程'!C:D,1,0),"")="","","✔")</f>
        <v/>
      </c>
      <c r="O239" s="98" t="str">
        <f>IF(IFERROR(VLOOKUP(A239,'14.鋼版樁'!C:D,1,0),"")="","","✔")</f>
        <v/>
      </c>
      <c r="P239" s="98" t="str">
        <f>IF(IFERROR(VLOOKUP(A239,'15.路床 路基高程'!C:D,1,0),"")="","","✔")</f>
        <v/>
      </c>
      <c r="Q239" s="98" t="str">
        <f>IF(IFERROR(VLOOKUP(A239,'16.瀝青混凝土'!C:D,1,0),"")="","","✔")</f>
        <v/>
      </c>
      <c r="R239" s="98" t="str">
        <f>IF(IFERROR(VLOOKUP(A239,'17.景觀鋪面(一)'!C:D,1,0),"")="","","✔")</f>
        <v/>
      </c>
      <c r="S239" s="98" t="str">
        <f>IF(IFERROR(VLOOKUP(A239,'18.景觀鋪面(二)'!C:D,1,0),"")="","","✔")</f>
        <v/>
      </c>
      <c r="T239" s="98" t="str">
        <f>IF(IFERROR(VLOOKUP(A239,'19.預鑄緣石'!C:D,1,0),"")="","","✔")</f>
        <v/>
      </c>
      <c r="U239" s="98" t="str">
        <f>IF(IFERROR(VLOOKUP(A239,'20.鋼構工程吊裝'!C:D,1,0),"")="","","✔")</f>
        <v/>
      </c>
      <c r="V239" s="98" t="str">
        <f>IF(IFERROR(VLOOKUP(A239,'21.鋼構工程塗裝'!C:D,1,0),"")="","","✔")</f>
        <v/>
      </c>
      <c r="W239" s="98" t="str">
        <f>IF(IFERROR(VLOOKUP(A239,'22.排水設施(一)'!C:D,1,0),"")="","","✔")</f>
        <v/>
      </c>
      <c r="X239" s="98" t="str">
        <f>IF(IFERROR(VLOOKUP(A239,'23.排水設施(二)'!C:D,1,0),"")="","","✔")</f>
        <v/>
      </c>
      <c r="Y239" s="98" t="str">
        <f>IF(IFERROR(VLOOKUP(A239,'24.木構造'!C:D,1,0),"")="","","✔")</f>
        <v/>
      </c>
      <c r="Z239" s="98" t="str">
        <f>IF(IFERROR(VLOOKUP(A239,'25.管路'!C:D,1,0),"")="","","✔")</f>
        <v/>
      </c>
      <c r="AA239" s="98" t="str">
        <f>IF(IFERROR(VLOOKUP(A239,'26.植栽(移植)'!C:D,1,0),"")="","","✔")</f>
        <v/>
      </c>
      <c r="AB239" s="98" t="str">
        <f>IF(IFERROR(VLOOKUP(A239,'27.植栽(新植)'!C:D,1,0),"")="","","✔")</f>
        <v/>
      </c>
      <c r="AC239" s="98" t="str">
        <f>IF(IFERROR(VLOOKUP(A239,'28.照明'!C:D,1,0),"")="","","✔")</f>
        <v/>
      </c>
      <c r="AD239" s="98" t="str">
        <f>IF(IFERROR(VLOOKUP(A239,'29.既有橋梁拆除'!C:D,1,0),"")="","","✔")</f>
        <v/>
      </c>
    </row>
    <row r="240" spans="1:30" ht="21.75" customHeight="1" x14ac:dyDescent="0.25">
      <c r="A240" s="99">
        <v>45430</v>
      </c>
      <c r="B240" s="98" t="str">
        <f>IF(IFERROR(VLOOKUP(A240,'1.測量放樣'!C:D,1,0),"")="","","✔")</f>
        <v/>
      </c>
      <c r="C240" s="98" t="str">
        <f>IF(IFERROR(VLOOKUP(A240,'2.土方開挖'!C:D,1,0),"")="","","✔")</f>
        <v/>
      </c>
      <c r="D240" s="98" t="str">
        <f>IF(IFERROR(VLOOKUP(A240,'3.土方回填'!C:D,1,0),"")="","","✔")</f>
        <v/>
      </c>
      <c r="E240" s="98" t="str">
        <f>IF(IFERROR(VLOOKUP(A240,'4.鋼筋'!C:D,1,0),"")="","","✔")</f>
        <v/>
      </c>
      <c r="F240" s="98" t="str">
        <f>IF(IFERROR(VLOOKUP(A240,'5.模板'!C:D,1,0),"")="","","✔")</f>
        <v/>
      </c>
      <c r="G240" s="98" t="str">
        <f>IF(IFERROR(VLOOKUP(A240,'6.混凝土'!C:D,1,0),"")="","","✔")</f>
        <v/>
      </c>
      <c r="H240" s="98" t="str">
        <f>IF(IFERROR(VLOOKUP(A240,'7.植筋'!C:D,1,0),"")="","","✔")</f>
        <v/>
      </c>
      <c r="I240" s="98" t="str">
        <f>IF(IFERROR(VLOOKUP(A240,'8.預力混凝土基樁'!C:D,1,0),"")="","","✔")</f>
        <v/>
      </c>
      <c r="J240" s="98" t="str">
        <f>IF(IFERROR(VLOOKUP(A240,'9.砌塊石護岸'!C:D,1,0),"")="","","✔")</f>
        <v/>
      </c>
      <c r="K240" s="98" t="str">
        <f>IF(IFERROR(VLOOKUP(A240,'10.低水護岸'!C:D,1,0),"")="","","✔")</f>
        <v/>
      </c>
      <c r="L240" s="98" t="str">
        <f>IF(IFERROR(VLOOKUP(A240,'11.固床工'!C:D,1,0),"")="","","✔")</f>
        <v/>
      </c>
      <c r="M240" s="98" t="str">
        <f>IF(IFERROR(VLOOKUP(A240,'12.全套管基樁'!C:D,1,0),"")="","","✔")</f>
        <v/>
      </c>
      <c r="N240" s="98" t="str">
        <f>IF(IFERROR(VLOOKUP(A240,'13.鋼筋混凝土管工程'!C:D,1,0),"")="","","✔")</f>
        <v/>
      </c>
      <c r="O240" s="98" t="str">
        <f>IF(IFERROR(VLOOKUP(A240,'14.鋼版樁'!C:D,1,0),"")="","","✔")</f>
        <v/>
      </c>
      <c r="P240" s="98" t="str">
        <f>IF(IFERROR(VLOOKUP(A240,'15.路床 路基高程'!C:D,1,0),"")="","","✔")</f>
        <v/>
      </c>
      <c r="Q240" s="98" t="str">
        <f>IF(IFERROR(VLOOKUP(A240,'16.瀝青混凝土'!C:D,1,0),"")="","","✔")</f>
        <v/>
      </c>
      <c r="R240" s="98" t="str">
        <f>IF(IFERROR(VLOOKUP(A240,'17.景觀鋪面(一)'!C:D,1,0),"")="","","✔")</f>
        <v/>
      </c>
      <c r="S240" s="98" t="str">
        <f>IF(IFERROR(VLOOKUP(A240,'18.景觀鋪面(二)'!C:D,1,0),"")="","","✔")</f>
        <v/>
      </c>
      <c r="T240" s="98" t="str">
        <f>IF(IFERROR(VLOOKUP(A240,'19.預鑄緣石'!C:D,1,0),"")="","","✔")</f>
        <v/>
      </c>
      <c r="U240" s="98" t="str">
        <f>IF(IFERROR(VLOOKUP(A240,'20.鋼構工程吊裝'!C:D,1,0),"")="","","✔")</f>
        <v/>
      </c>
      <c r="V240" s="98" t="str">
        <f>IF(IFERROR(VLOOKUP(A240,'21.鋼構工程塗裝'!C:D,1,0),"")="","","✔")</f>
        <v/>
      </c>
      <c r="W240" s="98" t="str">
        <f>IF(IFERROR(VLOOKUP(A240,'22.排水設施(一)'!C:D,1,0),"")="","","✔")</f>
        <v/>
      </c>
      <c r="X240" s="98" t="str">
        <f>IF(IFERROR(VLOOKUP(A240,'23.排水設施(二)'!C:D,1,0),"")="","","✔")</f>
        <v/>
      </c>
      <c r="Y240" s="98" t="str">
        <f>IF(IFERROR(VLOOKUP(A240,'24.木構造'!C:D,1,0),"")="","","✔")</f>
        <v/>
      </c>
      <c r="Z240" s="98" t="str">
        <f>IF(IFERROR(VLOOKUP(A240,'25.管路'!C:D,1,0),"")="","","✔")</f>
        <v/>
      </c>
      <c r="AA240" s="98" t="str">
        <f>IF(IFERROR(VLOOKUP(A240,'26.植栽(移植)'!C:D,1,0),"")="","","✔")</f>
        <v/>
      </c>
      <c r="AB240" s="98" t="str">
        <f>IF(IFERROR(VLOOKUP(A240,'27.植栽(新植)'!C:D,1,0),"")="","","✔")</f>
        <v/>
      </c>
      <c r="AC240" s="98" t="str">
        <f>IF(IFERROR(VLOOKUP(A240,'28.照明'!C:D,1,0),"")="","","✔")</f>
        <v/>
      </c>
      <c r="AD240" s="98" t="str">
        <f>IF(IFERROR(VLOOKUP(A240,'29.既有橋梁拆除'!C:D,1,0),"")="","","✔")</f>
        <v/>
      </c>
    </row>
    <row r="241" spans="1:30" ht="21.75" customHeight="1" x14ac:dyDescent="0.25">
      <c r="A241" s="99">
        <v>45431</v>
      </c>
      <c r="B241" s="98" t="str">
        <f>IF(IFERROR(VLOOKUP(A241,'1.測量放樣'!C:D,1,0),"")="","","✔")</f>
        <v/>
      </c>
      <c r="C241" s="98" t="str">
        <f>IF(IFERROR(VLOOKUP(A241,'2.土方開挖'!C:D,1,0),"")="","","✔")</f>
        <v/>
      </c>
      <c r="D241" s="98" t="str">
        <f>IF(IFERROR(VLOOKUP(A241,'3.土方回填'!C:D,1,0),"")="","","✔")</f>
        <v/>
      </c>
      <c r="E241" s="98" t="str">
        <f>IF(IFERROR(VLOOKUP(A241,'4.鋼筋'!C:D,1,0),"")="","","✔")</f>
        <v/>
      </c>
      <c r="F241" s="98" t="str">
        <f>IF(IFERROR(VLOOKUP(A241,'5.模板'!C:D,1,0),"")="","","✔")</f>
        <v/>
      </c>
      <c r="G241" s="98" t="str">
        <f>IF(IFERROR(VLOOKUP(A241,'6.混凝土'!C:D,1,0),"")="","","✔")</f>
        <v/>
      </c>
      <c r="H241" s="98" t="str">
        <f>IF(IFERROR(VLOOKUP(A241,'7.植筋'!C:D,1,0),"")="","","✔")</f>
        <v/>
      </c>
      <c r="I241" s="98" t="str">
        <f>IF(IFERROR(VLOOKUP(A241,'8.預力混凝土基樁'!C:D,1,0),"")="","","✔")</f>
        <v/>
      </c>
      <c r="J241" s="98" t="str">
        <f>IF(IFERROR(VLOOKUP(A241,'9.砌塊石護岸'!C:D,1,0),"")="","","✔")</f>
        <v/>
      </c>
      <c r="K241" s="98" t="str">
        <f>IF(IFERROR(VLOOKUP(A241,'10.低水護岸'!C:D,1,0),"")="","","✔")</f>
        <v/>
      </c>
      <c r="L241" s="98" t="str">
        <f>IF(IFERROR(VLOOKUP(A241,'11.固床工'!C:D,1,0),"")="","","✔")</f>
        <v/>
      </c>
      <c r="M241" s="98" t="str">
        <f>IF(IFERROR(VLOOKUP(A241,'12.全套管基樁'!C:D,1,0),"")="","","✔")</f>
        <v/>
      </c>
      <c r="N241" s="98" t="str">
        <f>IF(IFERROR(VLOOKUP(A241,'13.鋼筋混凝土管工程'!C:D,1,0),"")="","","✔")</f>
        <v/>
      </c>
      <c r="O241" s="98" t="str">
        <f>IF(IFERROR(VLOOKUP(A241,'14.鋼版樁'!C:D,1,0),"")="","","✔")</f>
        <v/>
      </c>
      <c r="P241" s="98" t="str">
        <f>IF(IFERROR(VLOOKUP(A241,'15.路床 路基高程'!C:D,1,0),"")="","","✔")</f>
        <v/>
      </c>
      <c r="Q241" s="98" t="str">
        <f>IF(IFERROR(VLOOKUP(A241,'16.瀝青混凝土'!C:D,1,0),"")="","","✔")</f>
        <v/>
      </c>
      <c r="R241" s="98" t="str">
        <f>IF(IFERROR(VLOOKUP(A241,'17.景觀鋪面(一)'!C:D,1,0),"")="","","✔")</f>
        <v/>
      </c>
      <c r="S241" s="98" t="str">
        <f>IF(IFERROR(VLOOKUP(A241,'18.景觀鋪面(二)'!C:D,1,0),"")="","","✔")</f>
        <v/>
      </c>
      <c r="T241" s="98" t="str">
        <f>IF(IFERROR(VLOOKUP(A241,'19.預鑄緣石'!C:D,1,0),"")="","","✔")</f>
        <v/>
      </c>
      <c r="U241" s="98" t="str">
        <f>IF(IFERROR(VLOOKUP(A241,'20.鋼構工程吊裝'!C:D,1,0),"")="","","✔")</f>
        <v/>
      </c>
      <c r="V241" s="98" t="str">
        <f>IF(IFERROR(VLOOKUP(A241,'21.鋼構工程塗裝'!C:D,1,0),"")="","","✔")</f>
        <v/>
      </c>
      <c r="W241" s="98" t="str">
        <f>IF(IFERROR(VLOOKUP(A241,'22.排水設施(一)'!C:D,1,0),"")="","","✔")</f>
        <v/>
      </c>
      <c r="X241" s="98" t="str">
        <f>IF(IFERROR(VLOOKUP(A241,'23.排水設施(二)'!C:D,1,0),"")="","","✔")</f>
        <v/>
      </c>
      <c r="Y241" s="98" t="str">
        <f>IF(IFERROR(VLOOKUP(A241,'24.木構造'!C:D,1,0),"")="","","✔")</f>
        <v/>
      </c>
      <c r="Z241" s="98" t="str">
        <f>IF(IFERROR(VLOOKUP(A241,'25.管路'!C:D,1,0),"")="","","✔")</f>
        <v/>
      </c>
      <c r="AA241" s="98" t="str">
        <f>IF(IFERROR(VLOOKUP(A241,'26.植栽(移植)'!C:D,1,0),"")="","","✔")</f>
        <v/>
      </c>
      <c r="AB241" s="98" t="str">
        <f>IF(IFERROR(VLOOKUP(A241,'27.植栽(新植)'!C:D,1,0),"")="","","✔")</f>
        <v/>
      </c>
      <c r="AC241" s="98" t="str">
        <f>IF(IFERROR(VLOOKUP(A241,'28.照明'!C:D,1,0),"")="","","✔")</f>
        <v/>
      </c>
      <c r="AD241" s="98" t="str">
        <f>IF(IFERROR(VLOOKUP(A241,'29.既有橋梁拆除'!C:D,1,0),"")="","","✔")</f>
        <v/>
      </c>
    </row>
    <row r="242" spans="1:30" ht="21.75" customHeight="1" x14ac:dyDescent="0.25">
      <c r="A242" s="99">
        <v>45432</v>
      </c>
      <c r="B242" s="98" t="str">
        <f>IF(IFERROR(VLOOKUP(A242,'1.測量放樣'!C:D,1,0),"")="","","✔")</f>
        <v/>
      </c>
      <c r="C242" s="98" t="str">
        <f>IF(IFERROR(VLOOKUP(A242,'2.土方開挖'!C:D,1,0),"")="","","✔")</f>
        <v/>
      </c>
      <c r="D242" s="98" t="str">
        <f>IF(IFERROR(VLOOKUP(A242,'3.土方回填'!C:D,1,0),"")="","","✔")</f>
        <v/>
      </c>
      <c r="E242" s="98" t="str">
        <f>IF(IFERROR(VLOOKUP(A242,'4.鋼筋'!C:D,1,0),"")="","","✔")</f>
        <v/>
      </c>
      <c r="F242" s="98" t="str">
        <f>IF(IFERROR(VLOOKUP(A242,'5.模板'!C:D,1,0),"")="","","✔")</f>
        <v/>
      </c>
      <c r="G242" s="98" t="str">
        <f>IF(IFERROR(VLOOKUP(A242,'6.混凝土'!C:D,1,0),"")="","","✔")</f>
        <v/>
      </c>
      <c r="H242" s="98" t="str">
        <f>IF(IFERROR(VLOOKUP(A242,'7.植筋'!C:D,1,0),"")="","","✔")</f>
        <v/>
      </c>
      <c r="I242" s="98" t="str">
        <f>IF(IFERROR(VLOOKUP(A242,'8.預力混凝土基樁'!C:D,1,0),"")="","","✔")</f>
        <v/>
      </c>
      <c r="J242" s="98" t="str">
        <f>IF(IFERROR(VLOOKUP(A242,'9.砌塊石護岸'!C:D,1,0),"")="","","✔")</f>
        <v/>
      </c>
      <c r="K242" s="98" t="str">
        <f>IF(IFERROR(VLOOKUP(A242,'10.低水護岸'!C:D,1,0),"")="","","✔")</f>
        <v/>
      </c>
      <c r="L242" s="98" t="str">
        <f>IF(IFERROR(VLOOKUP(A242,'11.固床工'!C:D,1,0),"")="","","✔")</f>
        <v/>
      </c>
      <c r="M242" s="98" t="str">
        <f>IF(IFERROR(VLOOKUP(A242,'12.全套管基樁'!C:D,1,0),"")="","","✔")</f>
        <v/>
      </c>
      <c r="N242" s="98" t="str">
        <f>IF(IFERROR(VLOOKUP(A242,'13.鋼筋混凝土管工程'!C:D,1,0),"")="","","✔")</f>
        <v/>
      </c>
      <c r="O242" s="98" t="str">
        <f>IF(IFERROR(VLOOKUP(A242,'14.鋼版樁'!C:D,1,0),"")="","","✔")</f>
        <v/>
      </c>
      <c r="P242" s="98" t="str">
        <f>IF(IFERROR(VLOOKUP(A242,'15.路床 路基高程'!C:D,1,0),"")="","","✔")</f>
        <v/>
      </c>
      <c r="Q242" s="98" t="str">
        <f>IF(IFERROR(VLOOKUP(A242,'16.瀝青混凝土'!C:D,1,0),"")="","","✔")</f>
        <v/>
      </c>
      <c r="R242" s="98" t="str">
        <f>IF(IFERROR(VLOOKUP(A242,'17.景觀鋪面(一)'!C:D,1,0),"")="","","✔")</f>
        <v/>
      </c>
      <c r="S242" s="98" t="str">
        <f>IF(IFERROR(VLOOKUP(A242,'18.景觀鋪面(二)'!C:D,1,0),"")="","","✔")</f>
        <v/>
      </c>
      <c r="T242" s="98" t="str">
        <f>IF(IFERROR(VLOOKUP(A242,'19.預鑄緣石'!C:D,1,0),"")="","","✔")</f>
        <v/>
      </c>
      <c r="U242" s="98" t="str">
        <f>IF(IFERROR(VLOOKUP(A242,'20.鋼構工程吊裝'!C:D,1,0),"")="","","✔")</f>
        <v/>
      </c>
      <c r="V242" s="98" t="str">
        <f>IF(IFERROR(VLOOKUP(A242,'21.鋼構工程塗裝'!C:D,1,0),"")="","","✔")</f>
        <v/>
      </c>
      <c r="W242" s="98" t="str">
        <f>IF(IFERROR(VLOOKUP(A242,'22.排水設施(一)'!C:D,1,0),"")="","","✔")</f>
        <v/>
      </c>
      <c r="X242" s="98" t="str">
        <f>IF(IFERROR(VLOOKUP(A242,'23.排水設施(二)'!C:D,1,0),"")="","","✔")</f>
        <v/>
      </c>
      <c r="Y242" s="98" t="str">
        <f>IF(IFERROR(VLOOKUP(A242,'24.木構造'!C:D,1,0),"")="","","✔")</f>
        <v/>
      </c>
      <c r="Z242" s="98" t="str">
        <f>IF(IFERROR(VLOOKUP(A242,'25.管路'!C:D,1,0),"")="","","✔")</f>
        <v/>
      </c>
      <c r="AA242" s="98" t="str">
        <f>IF(IFERROR(VLOOKUP(A242,'26.植栽(移植)'!C:D,1,0),"")="","","✔")</f>
        <v/>
      </c>
      <c r="AB242" s="98" t="str">
        <f>IF(IFERROR(VLOOKUP(A242,'27.植栽(新植)'!C:D,1,0),"")="","","✔")</f>
        <v/>
      </c>
      <c r="AC242" s="98" t="str">
        <f>IF(IFERROR(VLOOKUP(A242,'28.照明'!C:D,1,0),"")="","","✔")</f>
        <v/>
      </c>
      <c r="AD242" s="98" t="str">
        <f>IF(IFERROR(VLOOKUP(A242,'29.既有橋梁拆除'!C:D,1,0),"")="","","✔")</f>
        <v/>
      </c>
    </row>
    <row r="243" spans="1:30" ht="21.75" customHeight="1" x14ac:dyDescent="0.25">
      <c r="A243" s="99">
        <v>45433</v>
      </c>
      <c r="B243" s="98" t="str">
        <f>IF(IFERROR(VLOOKUP(A243,'1.測量放樣'!C:D,1,0),"")="","","✔")</f>
        <v/>
      </c>
      <c r="C243" s="98" t="str">
        <f>IF(IFERROR(VLOOKUP(A243,'2.土方開挖'!C:D,1,0),"")="","","✔")</f>
        <v/>
      </c>
      <c r="D243" s="98" t="str">
        <f>IF(IFERROR(VLOOKUP(A243,'3.土方回填'!C:D,1,0),"")="","","✔")</f>
        <v/>
      </c>
      <c r="E243" s="98" t="str">
        <f>IF(IFERROR(VLOOKUP(A243,'4.鋼筋'!C:D,1,0),"")="","","✔")</f>
        <v/>
      </c>
      <c r="F243" s="98" t="str">
        <f>IF(IFERROR(VLOOKUP(A243,'5.模板'!C:D,1,0),"")="","","✔")</f>
        <v/>
      </c>
      <c r="G243" s="98" t="str">
        <f>IF(IFERROR(VLOOKUP(A243,'6.混凝土'!C:D,1,0),"")="","","✔")</f>
        <v/>
      </c>
      <c r="H243" s="98" t="str">
        <f>IF(IFERROR(VLOOKUP(A243,'7.植筋'!C:D,1,0),"")="","","✔")</f>
        <v/>
      </c>
      <c r="I243" s="98" t="str">
        <f>IF(IFERROR(VLOOKUP(A243,'8.預力混凝土基樁'!C:D,1,0),"")="","","✔")</f>
        <v/>
      </c>
      <c r="J243" s="98" t="str">
        <f>IF(IFERROR(VLOOKUP(A243,'9.砌塊石護岸'!C:D,1,0),"")="","","✔")</f>
        <v/>
      </c>
      <c r="K243" s="98" t="str">
        <f>IF(IFERROR(VLOOKUP(A243,'10.低水護岸'!C:D,1,0),"")="","","✔")</f>
        <v/>
      </c>
      <c r="L243" s="98" t="str">
        <f>IF(IFERROR(VLOOKUP(A243,'11.固床工'!C:D,1,0),"")="","","✔")</f>
        <v/>
      </c>
      <c r="M243" s="98" t="str">
        <f>IF(IFERROR(VLOOKUP(A243,'12.全套管基樁'!C:D,1,0),"")="","","✔")</f>
        <v/>
      </c>
      <c r="N243" s="98" t="str">
        <f>IF(IFERROR(VLOOKUP(A243,'13.鋼筋混凝土管工程'!C:D,1,0),"")="","","✔")</f>
        <v/>
      </c>
      <c r="O243" s="98" t="str">
        <f>IF(IFERROR(VLOOKUP(A243,'14.鋼版樁'!C:D,1,0),"")="","","✔")</f>
        <v/>
      </c>
      <c r="P243" s="98" t="str">
        <f>IF(IFERROR(VLOOKUP(A243,'15.路床 路基高程'!C:D,1,0),"")="","","✔")</f>
        <v/>
      </c>
      <c r="Q243" s="98" t="str">
        <f>IF(IFERROR(VLOOKUP(A243,'16.瀝青混凝土'!C:D,1,0),"")="","","✔")</f>
        <v/>
      </c>
      <c r="R243" s="98" t="str">
        <f>IF(IFERROR(VLOOKUP(A243,'17.景觀鋪面(一)'!C:D,1,0),"")="","","✔")</f>
        <v/>
      </c>
      <c r="S243" s="98" t="str">
        <f>IF(IFERROR(VLOOKUP(A243,'18.景觀鋪面(二)'!C:D,1,0),"")="","","✔")</f>
        <v/>
      </c>
      <c r="T243" s="98" t="str">
        <f>IF(IFERROR(VLOOKUP(A243,'19.預鑄緣石'!C:D,1,0),"")="","","✔")</f>
        <v/>
      </c>
      <c r="U243" s="98" t="str">
        <f>IF(IFERROR(VLOOKUP(A243,'20.鋼構工程吊裝'!C:D,1,0),"")="","","✔")</f>
        <v/>
      </c>
      <c r="V243" s="98" t="str">
        <f>IF(IFERROR(VLOOKUP(A243,'21.鋼構工程塗裝'!C:D,1,0),"")="","","✔")</f>
        <v/>
      </c>
      <c r="W243" s="98" t="str">
        <f>IF(IFERROR(VLOOKUP(A243,'22.排水設施(一)'!C:D,1,0),"")="","","✔")</f>
        <v/>
      </c>
      <c r="X243" s="98" t="str">
        <f>IF(IFERROR(VLOOKUP(A243,'23.排水設施(二)'!C:D,1,0),"")="","","✔")</f>
        <v/>
      </c>
      <c r="Y243" s="98" t="str">
        <f>IF(IFERROR(VLOOKUP(A243,'24.木構造'!C:D,1,0),"")="","","✔")</f>
        <v/>
      </c>
      <c r="Z243" s="98" t="str">
        <f>IF(IFERROR(VLOOKUP(A243,'25.管路'!C:D,1,0),"")="","","✔")</f>
        <v/>
      </c>
      <c r="AA243" s="98" t="str">
        <f>IF(IFERROR(VLOOKUP(A243,'26.植栽(移植)'!C:D,1,0),"")="","","✔")</f>
        <v/>
      </c>
      <c r="AB243" s="98" t="str">
        <f>IF(IFERROR(VLOOKUP(A243,'27.植栽(新植)'!C:D,1,0),"")="","","✔")</f>
        <v/>
      </c>
      <c r="AC243" s="98" t="str">
        <f>IF(IFERROR(VLOOKUP(A243,'28.照明'!C:D,1,0),"")="","","✔")</f>
        <v/>
      </c>
      <c r="AD243" s="98" t="str">
        <f>IF(IFERROR(VLOOKUP(A243,'29.既有橋梁拆除'!C:D,1,0),"")="","","✔")</f>
        <v/>
      </c>
    </row>
    <row r="244" spans="1:30" ht="21.75" customHeight="1" x14ac:dyDescent="0.25">
      <c r="A244" s="99">
        <v>45434</v>
      </c>
      <c r="B244" s="98" t="str">
        <f>IF(IFERROR(VLOOKUP(A244,'1.測量放樣'!C:D,1,0),"")="","","✔")</f>
        <v/>
      </c>
      <c r="C244" s="98" t="str">
        <f>IF(IFERROR(VLOOKUP(A244,'2.土方開挖'!C:D,1,0),"")="","","✔")</f>
        <v/>
      </c>
      <c r="D244" s="98" t="str">
        <f>IF(IFERROR(VLOOKUP(A244,'3.土方回填'!C:D,1,0),"")="","","✔")</f>
        <v/>
      </c>
      <c r="E244" s="98" t="str">
        <f>IF(IFERROR(VLOOKUP(A244,'4.鋼筋'!C:D,1,0),"")="","","✔")</f>
        <v/>
      </c>
      <c r="F244" s="98" t="str">
        <f>IF(IFERROR(VLOOKUP(A244,'5.模板'!C:D,1,0),"")="","","✔")</f>
        <v/>
      </c>
      <c r="G244" s="98" t="str">
        <f>IF(IFERROR(VLOOKUP(A244,'6.混凝土'!C:D,1,0),"")="","","✔")</f>
        <v/>
      </c>
      <c r="H244" s="98" t="str">
        <f>IF(IFERROR(VLOOKUP(A244,'7.植筋'!C:D,1,0),"")="","","✔")</f>
        <v/>
      </c>
      <c r="I244" s="98" t="str">
        <f>IF(IFERROR(VLOOKUP(A244,'8.預力混凝土基樁'!C:D,1,0),"")="","","✔")</f>
        <v/>
      </c>
      <c r="J244" s="98" t="str">
        <f>IF(IFERROR(VLOOKUP(A244,'9.砌塊石護岸'!C:D,1,0),"")="","","✔")</f>
        <v/>
      </c>
      <c r="K244" s="98" t="str">
        <f>IF(IFERROR(VLOOKUP(A244,'10.低水護岸'!C:D,1,0),"")="","","✔")</f>
        <v/>
      </c>
      <c r="L244" s="98" t="str">
        <f>IF(IFERROR(VLOOKUP(A244,'11.固床工'!C:D,1,0),"")="","","✔")</f>
        <v/>
      </c>
      <c r="M244" s="98" t="str">
        <f>IF(IFERROR(VLOOKUP(A244,'12.全套管基樁'!C:D,1,0),"")="","","✔")</f>
        <v/>
      </c>
      <c r="N244" s="98" t="str">
        <f>IF(IFERROR(VLOOKUP(A244,'13.鋼筋混凝土管工程'!C:D,1,0),"")="","","✔")</f>
        <v/>
      </c>
      <c r="O244" s="98" t="str">
        <f>IF(IFERROR(VLOOKUP(A244,'14.鋼版樁'!C:D,1,0),"")="","","✔")</f>
        <v/>
      </c>
      <c r="P244" s="98" t="str">
        <f>IF(IFERROR(VLOOKUP(A244,'15.路床 路基高程'!C:D,1,0),"")="","","✔")</f>
        <v/>
      </c>
      <c r="Q244" s="98" t="str">
        <f>IF(IFERROR(VLOOKUP(A244,'16.瀝青混凝土'!C:D,1,0),"")="","","✔")</f>
        <v/>
      </c>
      <c r="R244" s="98" t="str">
        <f>IF(IFERROR(VLOOKUP(A244,'17.景觀鋪面(一)'!C:D,1,0),"")="","","✔")</f>
        <v/>
      </c>
      <c r="S244" s="98" t="str">
        <f>IF(IFERROR(VLOOKUP(A244,'18.景觀鋪面(二)'!C:D,1,0),"")="","","✔")</f>
        <v/>
      </c>
      <c r="T244" s="98" t="str">
        <f>IF(IFERROR(VLOOKUP(A244,'19.預鑄緣石'!C:D,1,0),"")="","","✔")</f>
        <v/>
      </c>
      <c r="U244" s="98" t="str">
        <f>IF(IFERROR(VLOOKUP(A244,'20.鋼構工程吊裝'!C:D,1,0),"")="","","✔")</f>
        <v/>
      </c>
      <c r="V244" s="98" t="str">
        <f>IF(IFERROR(VLOOKUP(A244,'21.鋼構工程塗裝'!C:D,1,0),"")="","","✔")</f>
        <v/>
      </c>
      <c r="W244" s="98" t="str">
        <f>IF(IFERROR(VLOOKUP(A244,'22.排水設施(一)'!C:D,1,0),"")="","","✔")</f>
        <v/>
      </c>
      <c r="X244" s="98" t="str">
        <f>IF(IFERROR(VLOOKUP(A244,'23.排水設施(二)'!C:D,1,0),"")="","","✔")</f>
        <v/>
      </c>
      <c r="Y244" s="98" t="str">
        <f>IF(IFERROR(VLOOKUP(A244,'24.木構造'!C:D,1,0),"")="","","✔")</f>
        <v/>
      </c>
      <c r="Z244" s="98" t="str">
        <f>IF(IFERROR(VLOOKUP(A244,'25.管路'!C:D,1,0),"")="","","✔")</f>
        <v/>
      </c>
      <c r="AA244" s="98" t="str">
        <f>IF(IFERROR(VLOOKUP(A244,'26.植栽(移植)'!C:D,1,0),"")="","","✔")</f>
        <v/>
      </c>
      <c r="AB244" s="98" t="str">
        <f>IF(IFERROR(VLOOKUP(A244,'27.植栽(新植)'!C:D,1,0),"")="","","✔")</f>
        <v/>
      </c>
      <c r="AC244" s="98" t="str">
        <f>IF(IFERROR(VLOOKUP(A244,'28.照明'!C:D,1,0),"")="","","✔")</f>
        <v/>
      </c>
      <c r="AD244" s="98" t="str">
        <f>IF(IFERROR(VLOOKUP(A244,'29.既有橋梁拆除'!C:D,1,0),"")="","","✔")</f>
        <v/>
      </c>
    </row>
    <row r="245" spans="1:30" ht="21.75" customHeight="1" x14ac:dyDescent="0.25">
      <c r="A245" s="99">
        <v>45435</v>
      </c>
      <c r="B245" s="98" t="str">
        <f>IF(IFERROR(VLOOKUP(A245,'1.測量放樣'!C:D,1,0),"")="","","✔")</f>
        <v/>
      </c>
      <c r="C245" s="98" t="str">
        <f>IF(IFERROR(VLOOKUP(A245,'2.土方開挖'!C:D,1,0),"")="","","✔")</f>
        <v/>
      </c>
      <c r="D245" s="98" t="str">
        <f>IF(IFERROR(VLOOKUP(A245,'3.土方回填'!C:D,1,0),"")="","","✔")</f>
        <v/>
      </c>
      <c r="E245" s="98" t="str">
        <f>IF(IFERROR(VLOOKUP(A245,'4.鋼筋'!C:D,1,0),"")="","","✔")</f>
        <v/>
      </c>
      <c r="F245" s="98" t="str">
        <f>IF(IFERROR(VLOOKUP(A245,'5.模板'!C:D,1,0),"")="","","✔")</f>
        <v/>
      </c>
      <c r="G245" s="98" t="str">
        <f>IF(IFERROR(VLOOKUP(A245,'6.混凝土'!C:D,1,0),"")="","","✔")</f>
        <v/>
      </c>
      <c r="H245" s="98" t="str">
        <f>IF(IFERROR(VLOOKUP(A245,'7.植筋'!C:D,1,0),"")="","","✔")</f>
        <v/>
      </c>
      <c r="I245" s="98" t="str">
        <f>IF(IFERROR(VLOOKUP(A245,'8.預力混凝土基樁'!C:D,1,0),"")="","","✔")</f>
        <v/>
      </c>
      <c r="J245" s="98" t="str">
        <f>IF(IFERROR(VLOOKUP(A245,'9.砌塊石護岸'!C:D,1,0),"")="","","✔")</f>
        <v/>
      </c>
      <c r="K245" s="98" t="str">
        <f>IF(IFERROR(VLOOKUP(A245,'10.低水護岸'!C:D,1,0),"")="","","✔")</f>
        <v/>
      </c>
      <c r="L245" s="98" t="str">
        <f>IF(IFERROR(VLOOKUP(A245,'11.固床工'!C:D,1,0),"")="","","✔")</f>
        <v/>
      </c>
      <c r="M245" s="98" t="str">
        <f>IF(IFERROR(VLOOKUP(A245,'12.全套管基樁'!C:D,1,0),"")="","","✔")</f>
        <v/>
      </c>
      <c r="N245" s="98" t="str">
        <f>IF(IFERROR(VLOOKUP(A245,'13.鋼筋混凝土管工程'!C:D,1,0),"")="","","✔")</f>
        <v/>
      </c>
      <c r="O245" s="98" t="str">
        <f>IF(IFERROR(VLOOKUP(A245,'14.鋼版樁'!C:D,1,0),"")="","","✔")</f>
        <v/>
      </c>
      <c r="P245" s="98" t="str">
        <f>IF(IFERROR(VLOOKUP(A245,'15.路床 路基高程'!C:D,1,0),"")="","","✔")</f>
        <v/>
      </c>
      <c r="Q245" s="98" t="str">
        <f>IF(IFERROR(VLOOKUP(A245,'16.瀝青混凝土'!C:D,1,0),"")="","","✔")</f>
        <v/>
      </c>
      <c r="R245" s="98" t="str">
        <f>IF(IFERROR(VLOOKUP(A245,'17.景觀鋪面(一)'!C:D,1,0),"")="","","✔")</f>
        <v/>
      </c>
      <c r="S245" s="98" t="str">
        <f>IF(IFERROR(VLOOKUP(A245,'18.景觀鋪面(二)'!C:D,1,0),"")="","","✔")</f>
        <v/>
      </c>
      <c r="T245" s="98" t="str">
        <f>IF(IFERROR(VLOOKUP(A245,'19.預鑄緣石'!C:D,1,0),"")="","","✔")</f>
        <v/>
      </c>
      <c r="U245" s="98" t="str">
        <f>IF(IFERROR(VLOOKUP(A245,'20.鋼構工程吊裝'!C:D,1,0),"")="","","✔")</f>
        <v/>
      </c>
      <c r="V245" s="98" t="str">
        <f>IF(IFERROR(VLOOKUP(A245,'21.鋼構工程塗裝'!C:D,1,0),"")="","","✔")</f>
        <v/>
      </c>
      <c r="W245" s="98" t="str">
        <f>IF(IFERROR(VLOOKUP(A245,'22.排水設施(一)'!C:D,1,0),"")="","","✔")</f>
        <v/>
      </c>
      <c r="X245" s="98" t="str">
        <f>IF(IFERROR(VLOOKUP(A245,'23.排水設施(二)'!C:D,1,0),"")="","","✔")</f>
        <v/>
      </c>
      <c r="Y245" s="98" t="str">
        <f>IF(IFERROR(VLOOKUP(A245,'24.木構造'!C:D,1,0),"")="","","✔")</f>
        <v/>
      </c>
      <c r="Z245" s="98" t="str">
        <f>IF(IFERROR(VLOOKUP(A245,'25.管路'!C:D,1,0),"")="","","✔")</f>
        <v/>
      </c>
      <c r="AA245" s="98" t="str">
        <f>IF(IFERROR(VLOOKUP(A245,'26.植栽(移植)'!C:D,1,0),"")="","","✔")</f>
        <v/>
      </c>
      <c r="AB245" s="98" t="str">
        <f>IF(IFERROR(VLOOKUP(A245,'27.植栽(新植)'!C:D,1,0),"")="","","✔")</f>
        <v/>
      </c>
      <c r="AC245" s="98" t="str">
        <f>IF(IFERROR(VLOOKUP(A245,'28.照明'!C:D,1,0),"")="","","✔")</f>
        <v/>
      </c>
      <c r="AD245" s="98" t="str">
        <f>IF(IFERROR(VLOOKUP(A245,'29.既有橋梁拆除'!C:D,1,0),"")="","","✔")</f>
        <v/>
      </c>
    </row>
    <row r="246" spans="1:30" ht="21.75" customHeight="1" x14ac:dyDescent="0.25">
      <c r="A246" s="99">
        <v>45436</v>
      </c>
      <c r="B246" s="98" t="str">
        <f>IF(IFERROR(VLOOKUP(A246,'1.測量放樣'!C:D,1,0),"")="","","✔")</f>
        <v/>
      </c>
      <c r="C246" s="98" t="str">
        <f>IF(IFERROR(VLOOKUP(A246,'2.土方開挖'!C:D,1,0),"")="","","✔")</f>
        <v/>
      </c>
      <c r="D246" s="98" t="str">
        <f>IF(IFERROR(VLOOKUP(A246,'3.土方回填'!C:D,1,0),"")="","","✔")</f>
        <v/>
      </c>
      <c r="E246" s="98" t="str">
        <f>IF(IFERROR(VLOOKUP(A246,'4.鋼筋'!C:D,1,0),"")="","","✔")</f>
        <v/>
      </c>
      <c r="F246" s="98" t="str">
        <f>IF(IFERROR(VLOOKUP(A246,'5.模板'!C:D,1,0),"")="","","✔")</f>
        <v/>
      </c>
      <c r="G246" s="98" t="str">
        <f>IF(IFERROR(VLOOKUP(A246,'6.混凝土'!C:D,1,0),"")="","","✔")</f>
        <v/>
      </c>
      <c r="H246" s="98" t="str">
        <f>IF(IFERROR(VLOOKUP(A246,'7.植筋'!C:D,1,0),"")="","","✔")</f>
        <v/>
      </c>
      <c r="I246" s="98" t="str">
        <f>IF(IFERROR(VLOOKUP(A246,'8.預力混凝土基樁'!C:D,1,0),"")="","","✔")</f>
        <v/>
      </c>
      <c r="J246" s="98" t="str">
        <f>IF(IFERROR(VLOOKUP(A246,'9.砌塊石護岸'!C:D,1,0),"")="","","✔")</f>
        <v/>
      </c>
      <c r="K246" s="98" t="str">
        <f>IF(IFERROR(VLOOKUP(A246,'10.低水護岸'!C:D,1,0),"")="","","✔")</f>
        <v/>
      </c>
      <c r="L246" s="98" t="str">
        <f>IF(IFERROR(VLOOKUP(A246,'11.固床工'!C:D,1,0),"")="","","✔")</f>
        <v/>
      </c>
      <c r="M246" s="98" t="str">
        <f>IF(IFERROR(VLOOKUP(A246,'12.全套管基樁'!C:D,1,0),"")="","","✔")</f>
        <v/>
      </c>
      <c r="N246" s="98" t="str">
        <f>IF(IFERROR(VLOOKUP(A246,'13.鋼筋混凝土管工程'!C:D,1,0),"")="","","✔")</f>
        <v/>
      </c>
      <c r="O246" s="98" t="str">
        <f>IF(IFERROR(VLOOKUP(A246,'14.鋼版樁'!C:D,1,0),"")="","","✔")</f>
        <v/>
      </c>
      <c r="P246" s="98" t="str">
        <f>IF(IFERROR(VLOOKUP(A246,'15.路床 路基高程'!C:D,1,0),"")="","","✔")</f>
        <v/>
      </c>
      <c r="Q246" s="98" t="str">
        <f>IF(IFERROR(VLOOKUP(A246,'16.瀝青混凝土'!C:D,1,0),"")="","","✔")</f>
        <v/>
      </c>
      <c r="R246" s="98" t="str">
        <f>IF(IFERROR(VLOOKUP(A246,'17.景觀鋪面(一)'!C:D,1,0),"")="","","✔")</f>
        <v/>
      </c>
      <c r="S246" s="98" t="str">
        <f>IF(IFERROR(VLOOKUP(A246,'18.景觀鋪面(二)'!C:D,1,0),"")="","","✔")</f>
        <v/>
      </c>
      <c r="T246" s="98" t="str">
        <f>IF(IFERROR(VLOOKUP(A246,'19.預鑄緣石'!C:D,1,0),"")="","","✔")</f>
        <v/>
      </c>
      <c r="U246" s="98" t="str">
        <f>IF(IFERROR(VLOOKUP(A246,'20.鋼構工程吊裝'!C:D,1,0),"")="","","✔")</f>
        <v/>
      </c>
      <c r="V246" s="98" t="str">
        <f>IF(IFERROR(VLOOKUP(A246,'21.鋼構工程塗裝'!C:D,1,0),"")="","","✔")</f>
        <v/>
      </c>
      <c r="W246" s="98" t="str">
        <f>IF(IFERROR(VLOOKUP(A246,'22.排水設施(一)'!C:D,1,0),"")="","","✔")</f>
        <v/>
      </c>
      <c r="X246" s="98" t="str">
        <f>IF(IFERROR(VLOOKUP(A246,'23.排水設施(二)'!C:D,1,0),"")="","","✔")</f>
        <v/>
      </c>
      <c r="Y246" s="98" t="str">
        <f>IF(IFERROR(VLOOKUP(A246,'24.木構造'!C:D,1,0),"")="","","✔")</f>
        <v/>
      </c>
      <c r="Z246" s="98" t="str">
        <f>IF(IFERROR(VLOOKUP(A246,'25.管路'!C:D,1,0),"")="","","✔")</f>
        <v/>
      </c>
      <c r="AA246" s="98" t="str">
        <f>IF(IFERROR(VLOOKUP(A246,'26.植栽(移植)'!C:D,1,0),"")="","","✔")</f>
        <v/>
      </c>
      <c r="AB246" s="98" t="str">
        <f>IF(IFERROR(VLOOKUP(A246,'27.植栽(新植)'!C:D,1,0),"")="","","✔")</f>
        <v/>
      </c>
      <c r="AC246" s="98" t="str">
        <f>IF(IFERROR(VLOOKUP(A246,'28.照明'!C:D,1,0),"")="","","✔")</f>
        <v/>
      </c>
      <c r="AD246" s="98" t="str">
        <f>IF(IFERROR(VLOOKUP(A246,'29.既有橋梁拆除'!C:D,1,0),"")="","","✔")</f>
        <v/>
      </c>
    </row>
    <row r="247" spans="1:30" ht="21.75" customHeight="1" x14ac:dyDescent="0.25">
      <c r="A247" s="99">
        <v>45437</v>
      </c>
      <c r="B247" s="98" t="str">
        <f>IF(IFERROR(VLOOKUP(A247,'1.測量放樣'!C:D,1,0),"")="","","✔")</f>
        <v/>
      </c>
      <c r="C247" s="98" t="str">
        <f>IF(IFERROR(VLOOKUP(A247,'2.土方開挖'!C:D,1,0),"")="","","✔")</f>
        <v/>
      </c>
      <c r="D247" s="98" t="str">
        <f>IF(IFERROR(VLOOKUP(A247,'3.土方回填'!C:D,1,0),"")="","","✔")</f>
        <v/>
      </c>
      <c r="E247" s="98" t="str">
        <f>IF(IFERROR(VLOOKUP(A247,'4.鋼筋'!C:D,1,0),"")="","","✔")</f>
        <v/>
      </c>
      <c r="F247" s="98" t="str">
        <f>IF(IFERROR(VLOOKUP(A247,'5.模板'!C:D,1,0),"")="","","✔")</f>
        <v/>
      </c>
      <c r="G247" s="98" t="str">
        <f>IF(IFERROR(VLOOKUP(A247,'6.混凝土'!C:D,1,0),"")="","","✔")</f>
        <v/>
      </c>
      <c r="H247" s="98" t="str">
        <f>IF(IFERROR(VLOOKUP(A247,'7.植筋'!C:D,1,0),"")="","","✔")</f>
        <v/>
      </c>
      <c r="I247" s="98" t="str">
        <f>IF(IFERROR(VLOOKUP(A247,'8.預力混凝土基樁'!C:D,1,0),"")="","","✔")</f>
        <v/>
      </c>
      <c r="J247" s="98" t="str">
        <f>IF(IFERROR(VLOOKUP(A247,'9.砌塊石護岸'!C:D,1,0),"")="","","✔")</f>
        <v/>
      </c>
      <c r="K247" s="98" t="str">
        <f>IF(IFERROR(VLOOKUP(A247,'10.低水護岸'!C:D,1,0),"")="","","✔")</f>
        <v/>
      </c>
      <c r="L247" s="98" t="str">
        <f>IF(IFERROR(VLOOKUP(A247,'11.固床工'!C:D,1,0),"")="","","✔")</f>
        <v/>
      </c>
      <c r="M247" s="98" t="str">
        <f>IF(IFERROR(VLOOKUP(A247,'12.全套管基樁'!C:D,1,0),"")="","","✔")</f>
        <v/>
      </c>
      <c r="N247" s="98" t="str">
        <f>IF(IFERROR(VLOOKUP(A247,'13.鋼筋混凝土管工程'!C:D,1,0),"")="","","✔")</f>
        <v/>
      </c>
      <c r="O247" s="98" t="str">
        <f>IF(IFERROR(VLOOKUP(A247,'14.鋼版樁'!C:D,1,0),"")="","","✔")</f>
        <v/>
      </c>
      <c r="P247" s="98" t="str">
        <f>IF(IFERROR(VLOOKUP(A247,'15.路床 路基高程'!C:D,1,0),"")="","","✔")</f>
        <v/>
      </c>
      <c r="Q247" s="98" t="str">
        <f>IF(IFERROR(VLOOKUP(A247,'16.瀝青混凝土'!C:D,1,0),"")="","","✔")</f>
        <v/>
      </c>
      <c r="R247" s="98" t="str">
        <f>IF(IFERROR(VLOOKUP(A247,'17.景觀鋪面(一)'!C:D,1,0),"")="","","✔")</f>
        <v/>
      </c>
      <c r="S247" s="98" t="str">
        <f>IF(IFERROR(VLOOKUP(A247,'18.景觀鋪面(二)'!C:D,1,0),"")="","","✔")</f>
        <v/>
      </c>
      <c r="T247" s="98" t="str">
        <f>IF(IFERROR(VLOOKUP(A247,'19.預鑄緣石'!C:D,1,0),"")="","","✔")</f>
        <v/>
      </c>
      <c r="U247" s="98" t="str">
        <f>IF(IFERROR(VLOOKUP(A247,'20.鋼構工程吊裝'!C:D,1,0),"")="","","✔")</f>
        <v/>
      </c>
      <c r="V247" s="98" t="str">
        <f>IF(IFERROR(VLOOKUP(A247,'21.鋼構工程塗裝'!C:D,1,0),"")="","","✔")</f>
        <v/>
      </c>
      <c r="W247" s="98" t="str">
        <f>IF(IFERROR(VLOOKUP(A247,'22.排水設施(一)'!C:D,1,0),"")="","","✔")</f>
        <v/>
      </c>
      <c r="X247" s="98" t="str">
        <f>IF(IFERROR(VLOOKUP(A247,'23.排水設施(二)'!C:D,1,0),"")="","","✔")</f>
        <v/>
      </c>
      <c r="Y247" s="98" t="str">
        <f>IF(IFERROR(VLOOKUP(A247,'24.木構造'!C:D,1,0),"")="","","✔")</f>
        <v/>
      </c>
      <c r="Z247" s="98" t="str">
        <f>IF(IFERROR(VLOOKUP(A247,'25.管路'!C:D,1,0),"")="","","✔")</f>
        <v/>
      </c>
      <c r="AA247" s="98" t="str">
        <f>IF(IFERROR(VLOOKUP(A247,'26.植栽(移植)'!C:D,1,0),"")="","","✔")</f>
        <v/>
      </c>
      <c r="AB247" s="98" t="str">
        <f>IF(IFERROR(VLOOKUP(A247,'27.植栽(新植)'!C:D,1,0),"")="","","✔")</f>
        <v/>
      </c>
      <c r="AC247" s="98" t="str">
        <f>IF(IFERROR(VLOOKUP(A247,'28.照明'!C:D,1,0),"")="","","✔")</f>
        <v/>
      </c>
      <c r="AD247" s="98" t="str">
        <f>IF(IFERROR(VLOOKUP(A247,'29.既有橋梁拆除'!C:D,1,0),"")="","","✔")</f>
        <v/>
      </c>
    </row>
    <row r="248" spans="1:30" ht="21.75" customHeight="1" x14ac:dyDescent="0.25">
      <c r="A248" s="99">
        <v>45438</v>
      </c>
      <c r="B248" s="98" t="str">
        <f>IF(IFERROR(VLOOKUP(A248,'1.測量放樣'!C:D,1,0),"")="","","✔")</f>
        <v/>
      </c>
      <c r="C248" s="98" t="str">
        <f>IF(IFERROR(VLOOKUP(A248,'2.土方開挖'!C:D,1,0),"")="","","✔")</f>
        <v/>
      </c>
      <c r="D248" s="98" t="str">
        <f>IF(IFERROR(VLOOKUP(A248,'3.土方回填'!C:D,1,0),"")="","","✔")</f>
        <v/>
      </c>
      <c r="E248" s="98" t="str">
        <f>IF(IFERROR(VLOOKUP(A248,'4.鋼筋'!C:D,1,0),"")="","","✔")</f>
        <v/>
      </c>
      <c r="F248" s="98" t="str">
        <f>IF(IFERROR(VLOOKUP(A248,'5.模板'!C:D,1,0),"")="","","✔")</f>
        <v/>
      </c>
      <c r="G248" s="98" t="str">
        <f>IF(IFERROR(VLOOKUP(A248,'6.混凝土'!C:D,1,0),"")="","","✔")</f>
        <v/>
      </c>
      <c r="H248" s="98" t="str">
        <f>IF(IFERROR(VLOOKUP(A248,'7.植筋'!C:D,1,0),"")="","","✔")</f>
        <v/>
      </c>
      <c r="I248" s="98" t="str">
        <f>IF(IFERROR(VLOOKUP(A248,'8.預力混凝土基樁'!C:D,1,0),"")="","","✔")</f>
        <v/>
      </c>
      <c r="J248" s="98" t="str">
        <f>IF(IFERROR(VLOOKUP(A248,'9.砌塊石護岸'!C:D,1,0),"")="","","✔")</f>
        <v/>
      </c>
      <c r="K248" s="98" t="str">
        <f>IF(IFERROR(VLOOKUP(A248,'10.低水護岸'!C:D,1,0),"")="","","✔")</f>
        <v/>
      </c>
      <c r="L248" s="98" t="str">
        <f>IF(IFERROR(VLOOKUP(A248,'11.固床工'!C:D,1,0),"")="","","✔")</f>
        <v/>
      </c>
      <c r="M248" s="98" t="str">
        <f>IF(IFERROR(VLOOKUP(A248,'12.全套管基樁'!C:D,1,0),"")="","","✔")</f>
        <v/>
      </c>
      <c r="N248" s="98" t="str">
        <f>IF(IFERROR(VLOOKUP(A248,'13.鋼筋混凝土管工程'!C:D,1,0),"")="","","✔")</f>
        <v/>
      </c>
      <c r="O248" s="98" t="str">
        <f>IF(IFERROR(VLOOKUP(A248,'14.鋼版樁'!C:D,1,0),"")="","","✔")</f>
        <v/>
      </c>
      <c r="P248" s="98" t="str">
        <f>IF(IFERROR(VLOOKUP(A248,'15.路床 路基高程'!C:D,1,0),"")="","","✔")</f>
        <v/>
      </c>
      <c r="Q248" s="98" t="str">
        <f>IF(IFERROR(VLOOKUP(A248,'16.瀝青混凝土'!C:D,1,0),"")="","","✔")</f>
        <v/>
      </c>
      <c r="R248" s="98" t="str">
        <f>IF(IFERROR(VLOOKUP(A248,'17.景觀鋪面(一)'!C:D,1,0),"")="","","✔")</f>
        <v/>
      </c>
      <c r="S248" s="98" t="str">
        <f>IF(IFERROR(VLOOKUP(A248,'18.景觀鋪面(二)'!C:D,1,0),"")="","","✔")</f>
        <v/>
      </c>
      <c r="T248" s="98" t="str">
        <f>IF(IFERROR(VLOOKUP(A248,'19.預鑄緣石'!C:D,1,0),"")="","","✔")</f>
        <v/>
      </c>
      <c r="U248" s="98" t="str">
        <f>IF(IFERROR(VLOOKUP(A248,'20.鋼構工程吊裝'!C:D,1,0),"")="","","✔")</f>
        <v/>
      </c>
      <c r="V248" s="98" t="str">
        <f>IF(IFERROR(VLOOKUP(A248,'21.鋼構工程塗裝'!C:D,1,0),"")="","","✔")</f>
        <v/>
      </c>
      <c r="W248" s="98" t="str">
        <f>IF(IFERROR(VLOOKUP(A248,'22.排水設施(一)'!C:D,1,0),"")="","","✔")</f>
        <v/>
      </c>
      <c r="X248" s="98" t="str">
        <f>IF(IFERROR(VLOOKUP(A248,'23.排水設施(二)'!C:D,1,0),"")="","","✔")</f>
        <v/>
      </c>
      <c r="Y248" s="98" t="str">
        <f>IF(IFERROR(VLOOKUP(A248,'24.木構造'!C:D,1,0),"")="","","✔")</f>
        <v/>
      </c>
      <c r="Z248" s="98" t="str">
        <f>IF(IFERROR(VLOOKUP(A248,'25.管路'!C:D,1,0),"")="","","✔")</f>
        <v/>
      </c>
      <c r="AA248" s="98" t="str">
        <f>IF(IFERROR(VLOOKUP(A248,'26.植栽(移植)'!C:D,1,0),"")="","","✔")</f>
        <v/>
      </c>
      <c r="AB248" s="98" t="str">
        <f>IF(IFERROR(VLOOKUP(A248,'27.植栽(新植)'!C:D,1,0),"")="","","✔")</f>
        <v/>
      </c>
      <c r="AC248" s="98" t="str">
        <f>IF(IFERROR(VLOOKUP(A248,'28.照明'!C:D,1,0),"")="","","✔")</f>
        <v/>
      </c>
      <c r="AD248" s="98" t="str">
        <f>IF(IFERROR(VLOOKUP(A248,'29.既有橋梁拆除'!C:D,1,0),"")="","","✔")</f>
        <v/>
      </c>
    </row>
    <row r="249" spans="1:30" ht="21.75" customHeight="1" x14ac:dyDescent="0.25">
      <c r="A249" s="99">
        <v>45439</v>
      </c>
      <c r="B249" s="98" t="str">
        <f>IF(IFERROR(VLOOKUP(A249,'1.測量放樣'!C:D,1,0),"")="","","✔")</f>
        <v/>
      </c>
      <c r="C249" s="98" t="str">
        <f>IF(IFERROR(VLOOKUP(A249,'2.土方開挖'!C:D,1,0),"")="","","✔")</f>
        <v/>
      </c>
      <c r="D249" s="98" t="str">
        <f>IF(IFERROR(VLOOKUP(A249,'3.土方回填'!C:D,1,0),"")="","","✔")</f>
        <v/>
      </c>
      <c r="E249" s="98" t="str">
        <f>IF(IFERROR(VLOOKUP(A249,'4.鋼筋'!C:D,1,0),"")="","","✔")</f>
        <v/>
      </c>
      <c r="F249" s="98" t="str">
        <f>IF(IFERROR(VLOOKUP(A249,'5.模板'!C:D,1,0),"")="","","✔")</f>
        <v/>
      </c>
      <c r="G249" s="98" t="str">
        <f>IF(IFERROR(VLOOKUP(A249,'6.混凝土'!C:D,1,0),"")="","","✔")</f>
        <v/>
      </c>
      <c r="H249" s="98" t="str">
        <f>IF(IFERROR(VLOOKUP(A249,'7.植筋'!C:D,1,0),"")="","","✔")</f>
        <v/>
      </c>
      <c r="I249" s="98" t="str">
        <f>IF(IFERROR(VLOOKUP(A249,'8.預力混凝土基樁'!C:D,1,0),"")="","","✔")</f>
        <v/>
      </c>
      <c r="J249" s="98" t="str">
        <f>IF(IFERROR(VLOOKUP(A249,'9.砌塊石護岸'!C:D,1,0),"")="","","✔")</f>
        <v/>
      </c>
      <c r="K249" s="98" t="str">
        <f>IF(IFERROR(VLOOKUP(A249,'10.低水護岸'!C:D,1,0),"")="","","✔")</f>
        <v/>
      </c>
      <c r="L249" s="98" t="str">
        <f>IF(IFERROR(VLOOKUP(A249,'11.固床工'!C:D,1,0),"")="","","✔")</f>
        <v/>
      </c>
      <c r="M249" s="98" t="str">
        <f>IF(IFERROR(VLOOKUP(A249,'12.全套管基樁'!C:D,1,0),"")="","","✔")</f>
        <v/>
      </c>
      <c r="N249" s="98" t="str">
        <f>IF(IFERROR(VLOOKUP(A249,'13.鋼筋混凝土管工程'!C:D,1,0),"")="","","✔")</f>
        <v/>
      </c>
      <c r="O249" s="98" t="str">
        <f>IF(IFERROR(VLOOKUP(A249,'14.鋼版樁'!C:D,1,0),"")="","","✔")</f>
        <v/>
      </c>
      <c r="P249" s="98" t="str">
        <f>IF(IFERROR(VLOOKUP(A249,'15.路床 路基高程'!C:D,1,0),"")="","","✔")</f>
        <v/>
      </c>
      <c r="Q249" s="98" t="str">
        <f>IF(IFERROR(VLOOKUP(A249,'16.瀝青混凝土'!C:D,1,0),"")="","","✔")</f>
        <v/>
      </c>
      <c r="R249" s="98" t="str">
        <f>IF(IFERROR(VLOOKUP(A249,'17.景觀鋪面(一)'!C:D,1,0),"")="","","✔")</f>
        <v/>
      </c>
      <c r="S249" s="98" t="str">
        <f>IF(IFERROR(VLOOKUP(A249,'18.景觀鋪面(二)'!C:D,1,0),"")="","","✔")</f>
        <v/>
      </c>
      <c r="T249" s="98" t="str">
        <f>IF(IFERROR(VLOOKUP(A249,'19.預鑄緣石'!C:D,1,0),"")="","","✔")</f>
        <v/>
      </c>
      <c r="U249" s="98" t="str">
        <f>IF(IFERROR(VLOOKUP(A249,'20.鋼構工程吊裝'!C:D,1,0),"")="","","✔")</f>
        <v/>
      </c>
      <c r="V249" s="98" t="str">
        <f>IF(IFERROR(VLOOKUP(A249,'21.鋼構工程塗裝'!C:D,1,0),"")="","","✔")</f>
        <v/>
      </c>
      <c r="W249" s="98" t="str">
        <f>IF(IFERROR(VLOOKUP(A249,'22.排水設施(一)'!C:D,1,0),"")="","","✔")</f>
        <v/>
      </c>
      <c r="X249" s="98" t="str">
        <f>IF(IFERROR(VLOOKUP(A249,'23.排水設施(二)'!C:D,1,0),"")="","","✔")</f>
        <v/>
      </c>
      <c r="Y249" s="98" t="str">
        <f>IF(IFERROR(VLOOKUP(A249,'24.木構造'!C:D,1,0),"")="","","✔")</f>
        <v/>
      </c>
      <c r="Z249" s="98" t="str">
        <f>IF(IFERROR(VLOOKUP(A249,'25.管路'!C:D,1,0),"")="","","✔")</f>
        <v/>
      </c>
      <c r="AA249" s="98" t="str">
        <f>IF(IFERROR(VLOOKUP(A249,'26.植栽(移植)'!C:D,1,0),"")="","","✔")</f>
        <v/>
      </c>
      <c r="AB249" s="98" t="str">
        <f>IF(IFERROR(VLOOKUP(A249,'27.植栽(新植)'!C:D,1,0),"")="","","✔")</f>
        <v/>
      </c>
      <c r="AC249" s="98" t="str">
        <f>IF(IFERROR(VLOOKUP(A249,'28.照明'!C:D,1,0),"")="","","✔")</f>
        <v/>
      </c>
      <c r="AD249" s="98" t="str">
        <f>IF(IFERROR(VLOOKUP(A249,'29.既有橋梁拆除'!C:D,1,0),"")="","","✔")</f>
        <v/>
      </c>
    </row>
    <row r="250" spans="1:30" ht="21.75" customHeight="1" x14ac:dyDescent="0.25">
      <c r="A250" s="99">
        <v>45440</v>
      </c>
      <c r="B250" s="98" t="str">
        <f>IF(IFERROR(VLOOKUP(A250,'1.測量放樣'!C:D,1,0),"")="","","✔")</f>
        <v/>
      </c>
      <c r="C250" s="98" t="str">
        <f>IF(IFERROR(VLOOKUP(A250,'2.土方開挖'!C:D,1,0),"")="","","✔")</f>
        <v/>
      </c>
      <c r="D250" s="98" t="str">
        <f>IF(IFERROR(VLOOKUP(A250,'3.土方回填'!C:D,1,0),"")="","","✔")</f>
        <v/>
      </c>
      <c r="E250" s="98" t="str">
        <f>IF(IFERROR(VLOOKUP(A250,'4.鋼筋'!C:D,1,0),"")="","","✔")</f>
        <v/>
      </c>
      <c r="F250" s="98" t="str">
        <f>IF(IFERROR(VLOOKUP(A250,'5.模板'!C:D,1,0),"")="","","✔")</f>
        <v/>
      </c>
      <c r="G250" s="98" t="str">
        <f>IF(IFERROR(VLOOKUP(A250,'6.混凝土'!C:D,1,0),"")="","","✔")</f>
        <v/>
      </c>
      <c r="H250" s="98" t="str">
        <f>IF(IFERROR(VLOOKUP(A250,'7.植筋'!C:D,1,0),"")="","","✔")</f>
        <v/>
      </c>
      <c r="I250" s="98" t="str">
        <f>IF(IFERROR(VLOOKUP(A250,'8.預力混凝土基樁'!C:D,1,0),"")="","","✔")</f>
        <v/>
      </c>
      <c r="J250" s="98" t="str">
        <f>IF(IFERROR(VLOOKUP(A250,'9.砌塊石護岸'!C:D,1,0),"")="","","✔")</f>
        <v/>
      </c>
      <c r="K250" s="98" t="str">
        <f>IF(IFERROR(VLOOKUP(A250,'10.低水護岸'!C:D,1,0),"")="","","✔")</f>
        <v/>
      </c>
      <c r="L250" s="98" t="str">
        <f>IF(IFERROR(VLOOKUP(A250,'11.固床工'!C:D,1,0),"")="","","✔")</f>
        <v/>
      </c>
      <c r="M250" s="98" t="str">
        <f>IF(IFERROR(VLOOKUP(A250,'12.全套管基樁'!C:D,1,0),"")="","","✔")</f>
        <v/>
      </c>
      <c r="N250" s="98" t="str">
        <f>IF(IFERROR(VLOOKUP(A250,'13.鋼筋混凝土管工程'!C:D,1,0),"")="","","✔")</f>
        <v/>
      </c>
      <c r="O250" s="98" t="str">
        <f>IF(IFERROR(VLOOKUP(A250,'14.鋼版樁'!C:D,1,0),"")="","","✔")</f>
        <v/>
      </c>
      <c r="P250" s="98" t="str">
        <f>IF(IFERROR(VLOOKUP(A250,'15.路床 路基高程'!C:D,1,0),"")="","","✔")</f>
        <v/>
      </c>
      <c r="Q250" s="98" t="str">
        <f>IF(IFERROR(VLOOKUP(A250,'16.瀝青混凝土'!C:D,1,0),"")="","","✔")</f>
        <v/>
      </c>
      <c r="R250" s="98" t="str">
        <f>IF(IFERROR(VLOOKUP(A250,'17.景觀鋪面(一)'!C:D,1,0),"")="","","✔")</f>
        <v/>
      </c>
      <c r="S250" s="98" t="str">
        <f>IF(IFERROR(VLOOKUP(A250,'18.景觀鋪面(二)'!C:D,1,0),"")="","","✔")</f>
        <v/>
      </c>
      <c r="T250" s="98" t="str">
        <f>IF(IFERROR(VLOOKUP(A250,'19.預鑄緣石'!C:D,1,0),"")="","","✔")</f>
        <v/>
      </c>
      <c r="U250" s="98" t="str">
        <f>IF(IFERROR(VLOOKUP(A250,'20.鋼構工程吊裝'!C:D,1,0),"")="","","✔")</f>
        <v/>
      </c>
      <c r="V250" s="98" t="str">
        <f>IF(IFERROR(VLOOKUP(A250,'21.鋼構工程塗裝'!C:D,1,0),"")="","","✔")</f>
        <v/>
      </c>
      <c r="W250" s="98" t="str">
        <f>IF(IFERROR(VLOOKUP(A250,'22.排水設施(一)'!C:D,1,0),"")="","","✔")</f>
        <v/>
      </c>
      <c r="X250" s="98" t="str">
        <f>IF(IFERROR(VLOOKUP(A250,'23.排水設施(二)'!C:D,1,0),"")="","","✔")</f>
        <v/>
      </c>
      <c r="Y250" s="98" t="str">
        <f>IF(IFERROR(VLOOKUP(A250,'24.木構造'!C:D,1,0),"")="","","✔")</f>
        <v/>
      </c>
      <c r="Z250" s="98" t="str">
        <f>IF(IFERROR(VLOOKUP(A250,'25.管路'!C:D,1,0),"")="","","✔")</f>
        <v/>
      </c>
      <c r="AA250" s="98" t="str">
        <f>IF(IFERROR(VLOOKUP(A250,'26.植栽(移植)'!C:D,1,0),"")="","","✔")</f>
        <v/>
      </c>
      <c r="AB250" s="98" t="str">
        <f>IF(IFERROR(VLOOKUP(A250,'27.植栽(新植)'!C:D,1,0),"")="","","✔")</f>
        <v/>
      </c>
      <c r="AC250" s="98" t="str">
        <f>IF(IFERROR(VLOOKUP(A250,'28.照明'!C:D,1,0),"")="","","✔")</f>
        <v/>
      </c>
      <c r="AD250" s="98" t="str">
        <f>IF(IFERROR(VLOOKUP(A250,'29.既有橋梁拆除'!C:D,1,0),"")="","","✔")</f>
        <v/>
      </c>
    </row>
    <row r="251" spans="1:30" ht="21.75" customHeight="1" x14ac:dyDescent="0.25">
      <c r="A251" s="99">
        <v>45441</v>
      </c>
      <c r="B251" s="98" t="str">
        <f>IF(IFERROR(VLOOKUP(A251,'1.測量放樣'!C:D,1,0),"")="","","✔")</f>
        <v/>
      </c>
      <c r="C251" s="98" t="str">
        <f>IF(IFERROR(VLOOKUP(A251,'2.土方開挖'!C:D,1,0),"")="","","✔")</f>
        <v/>
      </c>
      <c r="D251" s="98" t="str">
        <f>IF(IFERROR(VLOOKUP(A251,'3.土方回填'!C:D,1,0),"")="","","✔")</f>
        <v/>
      </c>
      <c r="E251" s="98" t="str">
        <f>IF(IFERROR(VLOOKUP(A251,'4.鋼筋'!C:D,1,0),"")="","","✔")</f>
        <v/>
      </c>
      <c r="F251" s="98" t="str">
        <f>IF(IFERROR(VLOOKUP(A251,'5.模板'!C:D,1,0),"")="","","✔")</f>
        <v/>
      </c>
      <c r="G251" s="98" t="str">
        <f>IF(IFERROR(VLOOKUP(A251,'6.混凝土'!C:D,1,0),"")="","","✔")</f>
        <v/>
      </c>
      <c r="H251" s="98" t="str">
        <f>IF(IFERROR(VLOOKUP(A251,'7.植筋'!C:D,1,0),"")="","","✔")</f>
        <v/>
      </c>
      <c r="I251" s="98" t="str">
        <f>IF(IFERROR(VLOOKUP(A251,'8.預力混凝土基樁'!C:D,1,0),"")="","","✔")</f>
        <v/>
      </c>
      <c r="J251" s="98" t="str">
        <f>IF(IFERROR(VLOOKUP(A251,'9.砌塊石護岸'!C:D,1,0),"")="","","✔")</f>
        <v/>
      </c>
      <c r="K251" s="98" t="str">
        <f>IF(IFERROR(VLOOKUP(A251,'10.低水護岸'!C:D,1,0),"")="","","✔")</f>
        <v/>
      </c>
      <c r="L251" s="98" t="str">
        <f>IF(IFERROR(VLOOKUP(A251,'11.固床工'!C:D,1,0),"")="","","✔")</f>
        <v/>
      </c>
      <c r="M251" s="98" t="str">
        <f>IF(IFERROR(VLOOKUP(A251,'12.全套管基樁'!C:D,1,0),"")="","","✔")</f>
        <v/>
      </c>
      <c r="N251" s="98" t="str">
        <f>IF(IFERROR(VLOOKUP(A251,'13.鋼筋混凝土管工程'!C:D,1,0),"")="","","✔")</f>
        <v/>
      </c>
      <c r="O251" s="98" t="str">
        <f>IF(IFERROR(VLOOKUP(A251,'14.鋼版樁'!C:D,1,0),"")="","","✔")</f>
        <v/>
      </c>
      <c r="P251" s="98" t="str">
        <f>IF(IFERROR(VLOOKUP(A251,'15.路床 路基高程'!C:D,1,0),"")="","","✔")</f>
        <v/>
      </c>
      <c r="Q251" s="98" t="str">
        <f>IF(IFERROR(VLOOKUP(A251,'16.瀝青混凝土'!C:D,1,0),"")="","","✔")</f>
        <v/>
      </c>
      <c r="R251" s="98" t="str">
        <f>IF(IFERROR(VLOOKUP(A251,'17.景觀鋪面(一)'!C:D,1,0),"")="","","✔")</f>
        <v/>
      </c>
      <c r="S251" s="98" t="str">
        <f>IF(IFERROR(VLOOKUP(A251,'18.景觀鋪面(二)'!C:D,1,0),"")="","","✔")</f>
        <v/>
      </c>
      <c r="T251" s="98" t="str">
        <f>IF(IFERROR(VLOOKUP(A251,'19.預鑄緣石'!C:D,1,0),"")="","","✔")</f>
        <v/>
      </c>
      <c r="U251" s="98" t="str">
        <f>IF(IFERROR(VLOOKUP(A251,'20.鋼構工程吊裝'!C:D,1,0),"")="","","✔")</f>
        <v/>
      </c>
      <c r="V251" s="98" t="str">
        <f>IF(IFERROR(VLOOKUP(A251,'21.鋼構工程塗裝'!C:D,1,0),"")="","","✔")</f>
        <v/>
      </c>
      <c r="W251" s="98" t="str">
        <f>IF(IFERROR(VLOOKUP(A251,'22.排水設施(一)'!C:D,1,0),"")="","","✔")</f>
        <v/>
      </c>
      <c r="X251" s="98" t="str">
        <f>IF(IFERROR(VLOOKUP(A251,'23.排水設施(二)'!C:D,1,0),"")="","","✔")</f>
        <v/>
      </c>
      <c r="Y251" s="98" t="str">
        <f>IF(IFERROR(VLOOKUP(A251,'24.木構造'!C:D,1,0),"")="","","✔")</f>
        <v/>
      </c>
      <c r="Z251" s="98" t="str">
        <f>IF(IFERROR(VLOOKUP(A251,'25.管路'!C:D,1,0),"")="","","✔")</f>
        <v/>
      </c>
      <c r="AA251" s="98" t="str">
        <f>IF(IFERROR(VLOOKUP(A251,'26.植栽(移植)'!C:D,1,0),"")="","","✔")</f>
        <v/>
      </c>
      <c r="AB251" s="98" t="str">
        <f>IF(IFERROR(VLOOKUP(A251,'27.植栽(新植)'!C:D,1,0),"")="","","✔")</f>
        <v/>
      </c>
      <c r="AC251" s="98" t="str">
        <f>IF(IFERROR(VLOOKUP(A251,'28.照明'!C:D,1,0),"")="","","✔")</f>
        <v/>
      </c>
      <c r="AD251" s="98" t="str">
        <f>IF(IFERROR(VLOOKUP(A251,'29.既有橋梁拆除'!C:D,1,0),"")="","","✔")</f>
        <v/>
      </c>
    </row>
    <row r="252" spans="1:30" ht="21.75" customHeight="1" x14ac:dyDescent="0.25">
      <c r="A252" s="99">
        <v>45442</v>
      </c>
      <c r="B252" s="98" t="str">
        <f>IF(IFERROR(VLOOKUP(A252,'1.測量放樣'!C:D,1,0),"")="","","✔")</f>
        <v/>
      </c>
      <c r="C252" s="98" t="str">
        <f>IF(IFERROR(VLOOKUP(A252,'2.土方開挖'!C:D,1,0),"")="","","✔")</f>
        <v/>
      </c>
      <c r="D252" s="98" t="str">
        <f>IF(IFERROR(VLOOKUP(A252,'3.土方回填'!C:D,1,0),"")="","","✔")</f>
        <v/>
      </c>
      <c r="E252" s="98" t="str">
        <f>IF(IFERROR(VLOOKUP(A252,'4.鋼筋'!C:D,1,0),"")="","","✔")</f>
        <v/>
      </c>
      <c r="F252" s="98" t="str">
        <f>IF(IFERROR(VLOOKUP(A252,'5.模板'!C:D,1,0),"")="","","✔")</f>
        <v/>
      </c>
      <c r="G252" s="98" t="str">
        <f>IF(IFERROR(VLOOKUP(A252,'6.混凝土'!C:D,1,0),"")="","","✔")</f>
        <v/>
      </c>
      <c r="H252" s="98" t="str">
        <f>IF(IFERROR(VLOOKUP(A252,'7.植筋'!C:D,1,0),"")="","","✔")</f>
        <v/>
      </c>
      <c r="I252" s="98" t="str">
        <f>IF(IFERROR(VLOOKUP(A252,'8.預力混凝土基樁'!C:D,1,0),"")="","","✔")</f>
        <v/>
      </c>
      <c r="J252" s="98" t="str">
        <f>IF(IFERROR(VLOOKUP(A252,'9.砌塊石護岸'!C:D,1,0),"")="","","✔")</f>
        <v/>
      </c>
      <c r="K252" s="98" t="str">
        <f>IF(IFERROR(VLOOKUP(A252,'10.低水護岸'!C:D,1,0),"")="","","✔")</f>
        <v/>
      </c>
      <c r="L252" s="98" t="str">
        <f>IF(IFERROR(VLOOKUP(A252,'11.固床工'!C:D,1,0),"")="","","✔")</f>
        <v/>
      </c>
      <c r="M252" s="98" t="str">
        <f>IF(IFERROR(VLOOKUP(A252,'12.全套管基樁'!C:D,1,0),"")="","","✔")</f>
        <v/>
      </c>
      <c r="N252" s="98" t="str">
        <f>IF(IFERROR(VLOOKUP(A252,'13.鋼筋混凝土管工程'!C:D,1,0),"")="","","✔")</f>
        <v/>
      </c>
      <c r="O252" s="98" t="str">
        <f>IF(IFERROR(VLOOKUP(A252,'14.鋼版樁'!C:D,1,0),"")="","","✔")</f>
        <v/>
      </c>
      <c r="P252" s="98" t="str">
        <f>IF(IFERROR(VLOOKUP(A252,'15.路床 路基高程'!C:D,1,0),"")="","","✔")</f>
        <v/>
      </c>
      <c r="Q252" s="98" t="str">
        <f>IF(IFERROR(VLOOKUP(A252,'16.瀝青混凝土'!C:D,1,0),"")="","","✔")</f>
        <v/>
      </c>
      <c r="R252" s="98" t="str">
        <f>IF(IFERROR(VLOOKUP(A252,'17.景觀鋪面(一)'!C:D,1,0),"")="","","✔")</f>
        <v/>
      </c>
      <c r="S252" s="98" t="str">
        <f>IF(IFERROR(VLOOKUP(A252,'18.景觀鋪面(二)'!C:D,1,0),"")="","","✔")</f>
        <v/>
      </c>
      <c r="T252" s="98" t="str">
        <f>IF(IFERROR(VLOOKUP(A252,'19.預鑄緣石'!C:D,1,0),"")="","","✔")</f>
        <v/>
      </c>
      <c r="U252" s="98" t="str">
        <f>IF(IFERROR(VLOOKUP(A252,'20.鋼構工程吊裝'!C:D,1,0),"")="","","✔")</f>
        <v/>
      </c>
      <c r="V252" s="98" t="str">
        <f>IF(IFERROR(VLOOKUP(A252,'21.鋼構工程塗裝'!C:D,1,0),"")="","","✔")</f>
        <v/>
      </c>
      <c r="W252" s="98" t="str">
        <f>IF(IFERROR(VLOOKUP(A252,'22.排水設施(一)'!C:D,1,0),"")="","","✔")</f>
        <v/>
      </c>
      <c r="X252" s="98" t="str">
        <f>IF(IFERROR(VLOOKUP(A252,'23.排水設施(二)'!C:D,1,0),"")="","","✔")</f>
        <v/>
      </c>
      <c r="Y252" s="98" t="str">
        <f>IF(IFERROR(VLOOKUP(A252,'24.木構造'!C:D,1,0),"")="","","✔")</f>
        <v/>
      </c>
      <c r="Z252" s="98" t="str">
        <f>IF(IFERROR(VLOOKUP(A252,'25.管路'!C:D,1,0),"")="","","✔")</f>
        <v/>
      </c>
      <c r="AA252" s="98" t="str">
        <f>IF(IFERROR(VLOOKUP(A252,'26.植栽(移植)'!C:D,1,0),"")="","","✔")</f>
        <v/>
      </c>
      <c r="AB252" s="98" t="str">
        <f>IF(IFERROR(VLOOKUP(A252,'27.植栽(新植)'!C:D,1,0),"")="","","✔")</f>
        <v/>
      </c>
      <c r="AC252" s="98" t="str">
        <f>IF(IFERROR(VLOOKUP(A252,'28.照明'!C:D,1,0),"")="","","✔")</f>
        <v/>
      </c>
      <c r="AD252" s="98" t="str">
        <f>IF(IFERROR(VLOOKUP(A252,'29.既有橋梁拆除'!C:D,1,0),"")="","","✔")</f>
        <v/>
      </c>
    </row>
    <row r="253" spans="1:30" ht="21.75" customHeight="1" x14ac:dyDescent="0.25">
      <c r="A253" s="99">
        <v>45443</v>
      </c>
      <c r="B253" s="98" t="str">
        <f>IF(IFERROR(VLOOKUP(A253,'1.測量放樣'!C:D,1,0),"")="","","✔")</f>
        <v/>
      </c>
      <c r="C253" s="98" t="str">
        <f>IF(IFERROR(VLOOKUP(A253,'2.土方開挖'!C:D,1,0),"")="","","✔")</f>
        <v/>
      </c>
      <c r="D253" s="98" t="str">
        <f>IF(IFERROR(VLOOKUP(A253,'3.土方回填'!C:D,1,0),"")="","","✔")</f>
        <v/>
      </c>
      <c r="E253" s="98" t="str">
        <f>IF(IFERROR(VLOOKUP(A253,'4.鋼筋'!C:D,1,0),"")="","","✔")</f>
        <v/>
      </c>
      <c r="F253" s="98" t="str">
        <f>IF(IFERROR(VLOOKUP(A253,'5.模板'!C:D,1,0),"")="","","✔")</f>
        <v/>
      </c>
      <c r="G253" s="98" t="str">
        <f>IF(IFERROR(VLOOKUP(A253,'6.混凝土'!C:D,1,0),"")="","","✔")</f>
        <v/>
      </c>
      <c r="H253" s="98" t="str">
        <f>IF(IFERROR(VLOOKUP(A253,'7.植筋'!C:D,1,0),"")="","","✔")</f>
        <v/>
      </c>
      <c r="I253" s="98" t="str">
        <f>IF(IFERROR(VLOOKUP(A253,'8.預力混凝土基樁'!C:D,1,0),"")="","","✔")</f>
        <v/>
      </c>
      <c r="J253" s="98" t="str">
        <f>IF(IFERROR(VLOOKUP(A253,'9.砌塊石護岸'!C:D,1,0),"")="","","✔")</f>
        <v/>
      </c>
      <c r="K253" s="98" t="str">
        <f>IF(IFERROR(VLOOKUP(A253,'10.低水護岸'!C:D,1,0),"")="","","✔")</f>
        <v/>
      </c>
      <c r="L253" s="98" t="str">
        <f>IF(IFERROR(VLOOKUP(A253,'11.固床工'!C:D,1,0),"")="","","✔")</f>
        <v/>
      </c>
      <c r="M253" s="98" t="str">
        <f>IF(IFERROR(VLOOKUP(A253,'12.全套管基樁'!C:D,1,0),"")="","","✔")</f>
        <v/>
      </c>
      <c r="N253" s="98" t="str">
        <f>IF(IFERROR(VLOOKUP(A253,'13.鋼筋混凝土管工程'!C:D,1,0),"")="","","✔")</f>
        <v/>
      </c>
      <c r="O253" s="98" t="str">
        <f>IF(IFERROR(VLOOKUP(A253,'14.鋼版樁'!C:D,1,0),"")="","","✔")</f>
        <v/>
      </c>
      <c r="P253" s="98" t="str">
        <f>IF(IFERROR(VLOOKUP(A253,'15.路床 路基高程'!C:D,1,0),"")="","","✔")</f>
        <v/>
      </c>
      <c r="Q253" s="98" t="str">
        <f>IF(IFERROR(VLOOKUP(A253,'16.瀝青混凝土'!C:D,1,0),"")="","","✔")</f>
        <v/>
      </c>
      <c r="R253" s="98" t="str">
        <f>IF(IFERROR(VLOOKUP(A253,'17.景觀鋪面(一)'!C:D,1,0),"")="","","✔")</f>
        <v/>
      </c>
      <c r="S253" s="98" t="str">
        <f>IF(IFERROR(VLOOKUP(A253,'18.景觀鋪面(二)'!C:D,1,0),"")="","","✔")</f>
        <v/>
      </c>
      <c r="T253" s="98" t="str">
        <f>IF(IFERROR(VLOOKUP(A253,'19.預鑄緣石'!C:D,1,0),"")="","","✔")</f>
        <v/>
      </c>
      <c r="U253" s="98" t="str">
        <f>IF(IFERROR(VLOOKUP(A253,'20.鋼構工程吊裝'!C:D,1,0),"")="","","✔")</f>
        <v/>
      </c>
      <c r="V253" s="98" t="str">
        <f>IF(IFERROR(VLOOKUP(A253,'21.鋼構工程塗裝'!C:D,1,0),"")="","","✔")</f>
        <v/>
      </c>
      <c r="W253" s="98" t="str">
        <f>IF(IFERROR(VLOOKUP(A253,'22.排水設施(一)'!C:D,1,0),"")="","","✔")</f>
        <v/>
      </c>
      <c r="X253" s="98" t="str">
        <f>IF(IFERROR(VLOOKUP(A253,'23.排水設施(二)'!C:D,1,0),"")="","","✔")</f>
        <v/>
      </c>
      <c r="Y253" s="98" t="str">
        <f>IF(IFERROR(VLOOKUP(A253,'24.木構造'!C:D,1,0),"")="","","✔")</f>
        <v/>
      </c>
      <c r="Z253" s="98" t="str">
        <f>IF(IFERROR(VLOOKUP(A253,'25.管路'!C:D,1,0),"")="","","✔")</f>
        <v/>
      </c>
      <c r="AA253" s="98" t="str">
        <f>IF(IFERROR(VLOOKUP(A253,'26.植栽(移植)'!C:D,1,0),"")="","","✔")</f>
        <v/>
      </c>
      <c r="AB253" s="98" t="str">
        <f>IF(IFERROR(VLOOKUP(A253,'27.植栽(新植)'!C:D,1,0),"")="","","✔")</f>
        <v/>
      </c>
      <c r="AC253" s="98" t="str">
        <f>IF(IFERROR(VLOOKUP(A253,'28.照明'!C:D,1,0),"")="","","✔")</f>
        <v/>
      </c>
      <c r="AD253" s="98" t="str">
        <f>IF(IFERROR(VLOOKUP(A253,'29.既有橋梁拆除'!C:D,1,0),"")="","","✔")</f>
        <v/>
      </c>
    </row>
    <row r="254" spans="1:30" ht="21.75" customHeight="1" x14ac:dyDescent="0.25">
      <c r="A254" s="99">
        <v>45444</v>
      </c>
      <c r="B254" s="98" t="str">
        <f>IF(IFERROR(VLOOKUP(A254,'1.測量放樣'!C:D,1,0),"")="","","✔")</f>
        <v/>
      </c>
      <c r="C254" s="98" t="str">
        <f>IF(IFERROR(VLOOKUP(A254,'2.土方開挖'!C:D,1,0),"")="","","✔")</f>
        <v/>
      </c>
      <c r="D254" s="98" t="str">
        <f>IF(IFERROR(VLOOKUP(A254,'3.土方回填'!C:D,1,0),"")="","","✔")</f>
        <v/>
      </c>
      <c r="E254" s="98" t="str">
        <f>IF(IFERROR(VLOOKUP(A254,'4.鋼筋'!C:D,1,0),"")="","","✔")</f>
        <v/>
      </c>
      <c r="F254" s="98" t="str">
        <f>IF(IFERROR(VLOOKUP(A254,'5.模板'!C:D,1,0),"")="","","✔")</f>
        <v/>
      </c>
      <c r="G254" s="98" t="str">
        <f>IF(IFERROR(VLOOKUP(A254,'6.混凝土'!C:D,1,0),"")="","","✔")</f>
        <v/>
      </c>
      <c r="H254" s="98" t="str">
        <f>IF(IFERROR(VLOOKUP(A254,'7.植筋'!C:D,1,0),"")="","","✔")</f>
        <v/>
      </c>
      <c r="I254" s="98" t="str">
        <f>IF(IFERROR(VLOOKUP(A254,'8.預力混凝土基樁'!C:D,1,0),"")="","","✔")</f>
        <v/>
      </c>
      <c r="J254" s="98" t="str">
        <f>IF(IFERROR(VLOOKUP(A254,'9.砌塊石護岸'!C:D,1,0),"")="","","✔")</f>
        <v/>
      </c>
      <c r="K254" s="98" t="str">
        <f>IF(IFERROR(VLOOKUP(A254,'10.低水護岸'!C:D,1,0),"")="","","✔")</f>
        <v/>
      </c>
      <c r="L254" s="98" t="str">
        <f>IF(IFERROR(VLOOKUP(A254,'11.固床工'!C:D,1,0),"")="","","✔")</f>
        <v/>
      </c>
      <c r="M254" s="98" t="str">
        <f>IF(IFERROR(VLOOKUP(A254,'12.全套管基樁'!C:D,1,0),"")="","","✔")</f>
        <v/>
      </c>
      <c r="N254" s="98" t="str">
        <f>IF(IFERROR(VLOOKUP(A254,'13.鋼筋混凝土管工程'!C:D,1,0),"")="","","✔")</f>
        <v/>
      </c>
      <c r="O254" s="98" t="str">
        <f>IF(IFERROR(VLOOKUP(A254,'14.鋼版樁'!C:D,1,0),"")="","","✔")</f>
        <v/>
      </c>
      <c r="P254" s="98" t="str">
        <f>IF(IFERROR(VLOOKUP(A254,'15.路床 路基高程'!C:D,1,0),"")="","","✔")</f>
        <v/>
      </c>
      <c r="Q254" s="98" t="str">
        <f>IF(IFERROR(VLOOKUP(A254,'16.瀝青混凝土'!C:D,1,0),"")="","","✔")</f>
        <v/>
      </c>
      <c r="R254" s="98" t="str">
        <f>IF(IFERROR(VLOOKUP(A254,'17.景觀鋪面(一)'!C:D,1,0),"")="","","✔")</f>
        <v/>
      </c>
      <c r="S254" s="98" t="str">
        <f>IF(IFERROR(VLOOKUP(A254,'18.景觀鋪面(二)'!C:D,1,0),"")="","","✔")</f>
        <v/>
      </c>
      <c r="T254" s="98" t="str">
        <f>IF(IFERROR(VLOOKUP(A254,'19.預鑄緣石'!C:D,1,0),"")="","","✔")</f>
        <v/>
      </c>
      <c r="U254" s="98" t="str">
        <f>IF(IFERROR(VLOOKUP(A254,'20.鋼構工程吊裝'!C:D,1,0),"")="","","✔")</f>
        <v/>
      </c>
      <c r="V254" s="98" t="str">
        <f>IF(IFERROR(VLOOKUP(A254,'21.鋼構工程塗裝'!C:D,1,0),"")="","","✔")</f>
        <v/>
      </c>
      <c r="W254" s="98" t="str">
        <f>IF(IFERROR(VLOOKUP(A254,'22.排水設施(一)'!C:D,1,0),"")="","","✔")</f>
        <v/>
      </c>
      <c r="X254" s="98" t="str">
        <f>IF(IFERROR(VLOOKUP(A254,'23.排水設施(二)'!C:D,1,0),"")="","","✔")</f>
        <v/>
      </c>
      <c r="Y254" s="98" t="str">
        <f>IF(IFERROR(VLOOKUP(A254,'24.木構造'!C:D,1,0),"")="","","✔")</f>
        <v/>
      </c>
      <c r="Z254" s="98" t="str">
        <f>IF(IFERROR(VLOOKUP(A254,'25.管路'!C:D,1,0),"")="","","✔")</f>
        <v/>
      </c>
      <c r="AA254" s="98" t="str">
        <f>IF(IFERROR(VLOOKUP(A254,'26.植栽(移植)'!C:D,1,0),"")="","","✔")</f>
        <v/>
      </c>
      <c r="AB254" s="98" t="str">
        <f>IF(IFERROR(VLOOKUP(A254,'27.植栽(新植)'!C:D,1,0),"")="","","✔")</f>
        <v/>
      </c>
      <c r="AC254" s="98" t="str">
        <f>IF(IFERROR(VLOOKUP(A254,'28.照明'!C:D,1,0),"")="","","✔")</f>
        <v/>
      </c>
      <c r="AD254" s="98" t="str">
        <f>IF(IFERROR(VLOOKUP(A254,'29.既有橋梁拆除'!C:D,1,0),"")="","","✔")</f>
        <v/>
      </c>
    </row>
    <row r="255" spans="1:30" ht="21.75" customHeight="1" x14ac:dyDescent="0.25">
      <c r="A255" s="99">
        <v>45445</v>
      </c>
      <c r="B255" s="98" t="str">
        <f>IF(IFERROR(VLOOKUP(A255,'1.測量放樣'!C:D,1,0),"")="","","✔")</f>
        <v/>
      </c>
      <c r="C255" s="98" t="str">
        <f>IF(IFERROR(VLOOKUP(A255,'2.土方開挖'!C:D,1,0),"")="","","✔")</f>
        <v/>
      </c>
      <c r="D255" s="98" t="str">
        <f>IF(IFERROR(VLOOKUP(A255,'3.土方回填'!C:D,1,0),"")="","","✔")</f>
        <v/>
      </c>
      <c r="E255" s="98" t="str">
        <f>IF(IFERROR(VLOOKUP(A255,'4.鋼筋'!C:D,1,0),"")="","","✔")</f>
        <v/>
      </c>
      <c r="F255" s="98" t="str">
        <f>IF(IFERROR(VLOOKUP(A255,'5.模板'!C:D,1,0),"")="","","✔")</f>
        <v/>
      </c>
      <c r="G255" s="98" t="str">
        <f>IF(IFERROR(VLOOKUP(A255,'6.混凝土'!C:D,1,0),"")="","","✔")</f>
        <v/>
      </c>
      <c r="H255" s="98" t="str">
        <f>IF(IFERROR(VLOOKUP(A255,'7.植筋'!C:D,1,0),"")="","","✔")</f>
        <v/>
      </c>
      <c r="I255" s="98" t="str">
        <f>IF(IFERROR(VLOOKUP(A255,'8.預力混凝土基樁'!C:D,1,0),"")="","","✔")</f>
        <v/>
      </c>
      <c r="J255" s="98" t="str">
        <f>IF(IFERROR(VLOOKUP(A255,'9.砌塊石護岸'!C:D,1,0),"")="","","✔")</f>
        <v/>
      </c>
      <c r="K255" s="98" t="str">
        <f>IF(IFERROR(VLOOKUP(A255,'10.低水護岸'!C:D,1,0),"")="","","✔")</f>
        <v/>
      </c>
      <c r="L255" s="98" t="str">
        <f>IF(IFERROR(VLOOKUP(A255,'11.固床工'!C:D,1,0),"")="","","✔")</f>
        <v/>
      </c>
      <c r="M255" s="98" t="str">
        <f>IF(IFERROR(VLOOKUP(A255,'12.全套管基樁'!C:D,1,0),"")="","","✔")</f>
        <v/>
      </c>
      <c r="N255" s="98" t="str">
        <f>IF(IFERROR(VLOOKUP(A255,'13.鋼筋混凝土管工程'!C:D,1,0),"")="","","✔")</f>
        <v/>
      </c>
      <c r="O255" s="98" t="str">
        <f>IF(IFERROR(VLOOKUP(A255,'14.鋼版樁'!C:D,1,0),"")="","","✔")</f>
        <v/>
      </c>
      <c r="P255" s="98" t="str">
        <f>IF(IFERROR(VLOOKUP(A255,'15.路床 路基高程'!C:D,1,0),"")="","","✔")</f>
        <v/>
      </c>
      <c r="Q255" s="98" t="str">
        <f>IF(IFERROR(VLOOKUP(A255,'16.瀝青混凝土'!C:D,1,0),"")="","","✔")</f>
        <v/>
      </c>
      <c r="R255" s="98" t="str">
        <f>IF(IFERROR(VLOOKUP(A255,'17.景觀鋪面(一)'!C:D,1,0),"")="","","✔")</f>
        <v/>
      </c>
      <c r="S255" s="98" t="str">
        <f>IF(IFERROR(VLOOKUP(A255,'18.景觀鋪面(二)'!C:D,1,0),"")="","","✔")</f>
        <v/>
      </c>
      <c r="T255" s="98" t="str">
        <f>IF(IFERROR(VLOOKUP(A255,'19.預鑄緣石'!C:D,1,0),"")="","","✔")</f>
        <v/>
      </c>
      <c r="U255" s="98" t="str">
        <f>IF(IFERROR(VLOOKUP(A255,'20.鋼構工程吊裝'!C:D,1,0),"")="","","✔")</f>
        <v/>
      </c>
      <c r="V255" s="98" t="str">
        <f>IF(IFERROR(VLOOKUP(A255,'21.鋼構工程塗裝'!C:D,1,0),"")="","","✔")</f>
        <v/>
      </c>
      <c r="W255" s="98" t="str">
        <f>IF(IFERROR(VLOOKUP(A255,'22.排水設施(一)'!C:D,1,0),"")="","","✔")</f>
        <v/>
      </c>
      <c r="X255" s="98" t="str">
        <f>IF(IFERROR(VLOOKUP(A255,'23.排水設施(二)'!C:D,1,0),"")="","","✔")</f>
        <v/>
      </c>
      <c r="Y255" s="98" t="str">
        <f>IF(IFERROR(VLOOKUP(A255,'24.木構造'!C:D,1,0),"")="","","✔")</f>
        <v/>
      </c>
      <c r="Z255" s="98" t="str">
        <f>IF(IFERROR(VLOOKUP(A255,'25.管路'!C:D,1,0),"")="","","✔")</f>
        <v/>
      </c>
      <c r="AA255" s="98" t="str">
        <f>IF(IFERROR(VLOOKUP(A255,'26.植栽(移植)'!C:D,1,0),"")="","","✔")</f>
        <v/>
      </c>
      <c r="AB255" s="98" t="str">
        <f>IF(IFERROR(VLOOKUP(A255,'27.植栽(新植)'!C:D,1,0),"")="","","✔")</f>
        <v/>
      </c>
      <c r="AC255" s="98" t="str">
        <f>IF(IFERROR(VLOOKUP(A255,'28.照明'!C:D,1,0),"")="","","✔")</f>
        <v/>
      </c>
      <c r="AD255" s="98" t="str">
        <f>IF(IFERROR(VLOOKUP(A255,'29.既有橋梁拆除'!C:D,1,0),"")="","","✔")</f>
        <v/>
      </c>
    </row>
    <row r="256" spans="1:30" ht="21.75" customHeight="1" x14ac:dyDescent="0.25">
      <c r="A256" s="99">
        <v>45446</v>
      </c>
      <c r="B256" s="98" t="str">
        <f>IF(IFERROR(VLOOKUP(A256,'1.測量放樣'!C:D,1,0),"")="","","✔")</f>
        <v/>
      </c>
      <c r="C256" s="98" t="str">
        <f>IF(IFERROR(VLOOKUP(A256,'2.土方開挖'!C:D,1,0),"")="","","✔")</f>
        <v/>
      </c>
      <c r="D256" s="98" t="str">
        <f>IF(IFERROR(VLOOKUP(A256,'3.土方回填'!C:D,1,0),"")="","","✔")</f>
        <v/>
      </c>
      <c r="E256" s="98" t="str">
        <f>IF(IFERROR(VLOOKUP(A256,'4.鋼筋'!C:D,1,0),"")="","","✔")</f>
        <v/>
      </c>
      <c r="F256" s="98" t="str">
        <f>IF(IFERROR(VLOOKUP(A256,'5.模板'!C:D,1,0),"")="","","✔")</f>
        <v/>
      </c>
      <c r="G256" s="98" t="str">
        <f>IF(IFERROR(VLOOKUP(A256,'6.混凝土'!C:D,1,0),"")="","","✔")</f>
        <v/>
      </c>
      <c r="H256" s="98" t="str">
        <f>IF(IFERROR(VLOOKUP(A256,'7.植筋'!C:D,1,0),"")="","","✔")</f>
        <v/>
      </c>
      <c r="I256" s="98" t="str">
        <f>IF(IFERROR(VLOOKUP(A256,'8.預力混凝土基樁'!C:D,1,0),"")="","","✔")</f>
        <v/>
      </c>
      <c r="J256" s="98" t="str">
        <f>IF(IFERROR(VLOOKUP(A256,'9.砌塊石護岸'!C:D,1,0),"")="","","✔")</f>
        <v/>
      </c>
      <c r="K256" s="98" t="str">
        <f>IF(IFERROR(VLOOKUP(A256,'10.低水護岸'!C:D,1,0),"")="","","✔")</f>
        <v/>
      </c>
      <c r="L256" s="98" t="str">
        <f>IF(IFERROR(VLOOKUP(A256,'11.固床工'!C:D,1,0),"")="","","✔")</f>
        <v/>
      </c>
      <c r="M256" s="98" t="str">
        <f>IF(IFERROR(VLOOKUP(A256,'12.全套管基樁'!C:D,1,0),"")="","","✔")</f>
        <v/>
      </c>
      <c r="N256" s="98" t="str">
        <f>IF(IFERROR(VLOOKUP(A256,'13.鋼筋混凝土管工程'!C:D,1,0),"")="","","✔")</f>
        <v/>
      </c>
      <c r="O256" s="98" t="str">
        <f>IF(IFERROR(VLOOKUP(A256,'14.鋼版樁'!C:D,1,0),"")="","","✔")</f>
        <v/>
      </c>
      <c r="P256" s="98" t="str">
        <f>IF(IFERROR(VLOOKUP(A256,'15.路床 路基高程'!C:D,1,0),"")="","","✔")</f>
        <v/>
      </c>
      <c r="Q256" s="98" t="str">
        <f>IF(IFERROR(VLOOKUP(A256,'16.瀝青混凝土'!C:D,1,0),"")="","","✔")</f>
        <v/>
      </c>
      <c r="R256" s="98" t="str">
        <f>IF(IFERROR(VLOOKUP(A256,'17.景觀鋪面(一)'!C:D,1,0),"")="","","✔")</f>
        <v/>
      </c>
      <c r="S256" s="98" t="str">
        <f>IF(IFERROR(VLOOKUP(A256,'18.景觀鋪面(二)'!C:D,1,0),"")="","","✔")</f>
        <v/>
      </c>
      <c r="T256" s="98" t="str">
        <f>IF(IFERROR(VLOOKUP(A256,'19.預鑄緣石'!C:D,1,0),"")="","","✔")</f>
        <v/>
      </c>
      <c r="U256" s="98" t="str">
        <f>IF(IFERROR(VLOOKUP(A256,'20.鋼構工程吊裝'!C:D,1,0),"")="","","✔")</f>
        <v/>
      </c>
      <c r="V256" s="98" t="str">
        <f>IF(IFERROR(VLOOKUP(A256,'21.鋼構工程塗裝'!C:D,1,0),"")="","","✔")</f>
        <v/>
      </c>
      <c r="W256" s="98" t="str">
        <f>IF(IFERROR(VLOOKUP(A256,'22.排水設施(一)'!C:D,1,0),"")="","","✔")</f>
        <v/>
      </c>
      <c r="X256" s="98" t="str">
        <f>IF(IFERROR(VLOOKUP(A256,'23.排水設施(二)'!C:D,1,0),"")="","","✔")</f>
        <v/>
      </c>
      <c r="Y256" s="98" t="str">
        <f>IF(IFERROR(VLOOKUP(A256,'24.木構造'!C:D,1,0),"")="","","✔")</f>
        <v/>
      </c>
      <c r="Z256" s="98" t="str">
        <f>IF(IFERROR(VLOOKUP(A256,'25.管路'!C:D,1,0),"")="","","✔")</f>
        <v/>
      </c>
      <c r="AA256" s="98" t="str">
        <f>IF(IFERROR(VLOOKUP(A256,'26.植栽(移植)'!C:D,1,0),"")="","","✔")</f>
        <v/>
      </c>
      <c r="AB256" s="98" t="str">
        <f>IF(IFERROR(VLOOKUP(A256,'27.植栽(新植)'!C:D,1,0),"")="","","✔")</f>
        <v/>
      </c>
      <c r="AC256" s="98" t="str">
        <f>IF(IFERROR(VLOOKUP(A256,'28.照明'!C:D,1,0),"")="","","✔")</f>
        <v/>
      </c>
      <c r="AD256" s="98" t="str">
        <f>IF(IFERROR(VLOOKUP(A256,'29.既有橋梁拆除'!C:D,1,0),"")="","","✔")</f>
        <v/>
      </c>
    </row>
    <row r="257" spans="1:30" ht="21.75" customHeight="1" x14ac:dyDescent="0.25">
      <c r="A257" s="99">
        <v>45447</v>
      </c>
      <c r="B257" s="98" t="str">
        <f>IF(IFERROR(VLOOKUP(A257,'1.測量放樣'!C:D,1,0),"")="","","✔")</f>
        <v/>
      </c>
      <c r="C257" s="98" t="str">
        <f>IF(IFERROR(VLOOKUP(A257,'2.土方開挖'!C:D,1,0),"")="","","✔")</f>
        <v/>
      </c>
      <c r="D257" s="98" t="str">
        <f>IF(IFERROR(VLOOKUP(A257,'3.土方回填'!C:D,1,0),"")="","","✔")</f>
        <v/>
      </c>
      <c r="E257" s="98" t="str">
        <f>IF(IFERROR(VLOOKUP(A257,'4.鋼筋'!C:D,1,0),"")="","","✔")</f>
        <v/>
      </c>
      <c r="F257" s="98" t="str">
        <f>IF(IFERROR(VLOOKUP(A257,'5.模板'!C:D,1,0),"")="","","✔")</f>
        <v/>
      </c>
      <c r="G257" s="98" t="str">
        <f>IF(IFERROR(VLOOKUP(A257,'6.混凝土'!C:D,1,0),"")="","","✔")</f>
        <v/>
      </c>
      <c r="H257" s="98" t="str">
        <f>IF(IFERROR(VLOOKUP(A257,'7.植筋'!C:D,1,0),"")="","","✔")</f>
        <v/>
      </c>
      <c r="I257" s="98" t="str">
        <f>IF(IFERROR(VLOOKUP(A257,'8.預力混凝土基樁'!C:D,1,0),"")="","","✔")</f>
        <v/>
      </c>
      <c r="J257" s="98" t="str">
        <f>IF(IFERROR(VLOOKUP(A257,'9.砌塊石護岸'!C:D,1,0),"")="","","✔")</f>
        <v/>
      </c>
      <c r="K257" s="98" t="str">
        <f>IF(IFERROR(VLOOKUP(A257,'10.低水護岸'!C:D,1,0),"")="","","✔")</f>
        <v/>
      </c>
      <c r="L257" s="98" t="str">
        <f>IF(IFERROR(VLOOKUP(A257,'11.固床工'!C:D,1,0),"")="","","✔")</f>
        <v/>
      </c>
      <c r="M257" s="98" t="str">
        <f>IF(IFERROR(VLOOKUP(A257,'12.全套管基樁'!C:D,1,0),"")="","","✔")</f>
        <v/>
      </c>
      <c r="N257" s="98" t="str">
        <f>IF(IFERROR(VLOOKUP(A257,'13.鋼筋混凝土管工程'!C:D,1,0),"")="","","✔")</f>
        <v/>
      </c>
      <c r="O257" s="98" t="str">
        <f>IF(IFERROR(VLOOKUP(A257,'14.鋼版樁'!C:D,1,0),"")="","","✔")</f>
        <v/>
      </c>
      <c r="P257" s="98" t="str">
        <f>IF(IFERROR(VLOOKUP(A257,'15.路床 路基高程'!C:D,1,0),"")="","","✔")</f>
        <v/>
      </c>
      <c r="Q257" s="98" t="str">
        <f>IF(IFERROR(VLOOKUP(A257,'16.瀝青混凝土'!C:D,1,0),"")="","","✔")</f>
        <v/>
      </c>
      <c r="R257" s="98" t="str">
        <f>IF(IFERROR(VLOOKUP(A257,'17.景觀鋪面(一)'!C:D,1,0),"")="","","✔")</f>
        <v/>
      </c>
      <c r="S257" s="98" t="str">
        <f>IF(IFERROR(VLOOKUP(A257,'18.景觀鋪面(二)'!C:D,1,0),"")="","","✔")</f>
        <v/>
      </c>
      <c r="T257" s="98" t="str">
        <f>IF(IFERROR(VLOOKUP(A257,'19.預鑄緣石'!C:D,1,0),"")="","","✔")</f>
        <v/>
      </c>
      <c r="U257" s="98" t="str">
        <f>IF(IFERROR(VLOOKUP(A257,'20.鋼構工程吊裝'!C:D,1,0),"")="","","✔")</f>
        <v/>
      </c>
      <c r="V257" s="98" t="str">
        <f>IF(IFERROR(VLOOKUP(A257,'21.鋼構工程塗裝'!C:D,1,0),"")="","","✔")</f>
        <v/>
      </c>
      <c r="W257" s="98" t="str">
        <f>IF(IFERROR(VLOOKUP(A257,'22.排水設施(一)'!C:D,1,0),"")="","","✔")</f>
        <v/>
      </c>
      <c r="X257" s="98" t="str">
        <f>IF(IFERROR(VLOOKUP(A257,'23.排水設施(二)'!C:D,1,0),"")="","","✔")</f>
        <v/>
      </c>
      <c r="Y257" s="98" t="str">
        <f>IF(IFERROR(VLOOKUP(A257,'24.木構造'!C:D,1,0),"")="","","✔")</f>
        <v/>
      </c>
      <c r="Z257" s="98" t="str">
        <f>IF(IFERROR(VLOOKUP(A257,'25.管路'!C:D,1,0),"")="","","✔")</f>
        <v/>
      </c>
      <c r="AA257" s="98" t="str">
        <f>IF(IFERROR(VLOOKUP(A257,'26.植栽(移植)'!C:D,1,0),"")="","","✔")</f>
        <v/>
      </c>
      <c r="AB257" s="98" t="str">
        <f>IF(IFERROR(VLOOKUP(A257,'27.植栽(新植)'!C:D,1,0),"")="","","✔")</f>
        <v/>
      </c>
      <c r="AC257" s="98" t="str">
        <f>IF(IFERROR(VLOOKUP(A257,'28.照明'!C:D,1,0),"")="","","✔")</f>
        <v/>
      </c>
      <c r="AD257" s="98" t="str">
        <f>IF(IFERROR(VLOOKUP(A257,'29.既有橋梁拆除'!C:D,1,0),"")="","","✔")</f>
        <v/>
      </c>
    </row>
    <row r="258" spans="1:30" ht="21.75" customHeight="1" x14ac:dyDescent="0.25">
      <c r="A258" s="99">
        <v>45448</v>
      </c>
      <c r="B258" s="98" t="str">
        <f>IF(IFERROR(VLOOKUP(A258,'1.測量放樣'!C:D,1,0),"")="","","✔")</f>
        <v/>
      </c>
      <c r="C258" s="98" t="str">
        <f>IF(IFERROR(VLOOKUP(A258,'2.土方開挖'!C:D,1,0),"")="","","✔")</f>
        <v/>
      </c>
      <c r="D258" s="98" t="str">
        <f>IF(IFERROR(VLOOKUP(A258,'3.土方回填'!C:D,1,0),"")="","","✔")</f>
        <v/>
      </c>
      <c r="E258" s="98" t="str">
        <f>IF(IFERROR(VLOOKUP(A258,'4.鋼筋'!C:D,1,0),"")="","","✔")</f>
        <v/>
      </c>
      <c r="F258" s="98" t="str">
        <f>IF(IFERROR(VLOOKUP(A258,'5.模板'!C:D,1,0),"")="","","✔")</f>
        <v/>
      </c>
      <c r="G258" s="98" t="str">
        <f>IF(IFERROR(VLOOKUP(A258,'6.混凝土'!C:D,1,0),"")="","","✔")</f>
        <v/>
      </c>
      <c r="H258" s="98" t="str">
        <f>IF(IFERROR(VLOOKUP(A258,'7.植筋'!C:D,1,0),"")="","","✔")</f>
        <v/>
      </c>
      <c r="I258" s="98" t="str">
        <f>IF(IFERROR(VLOOKUP(A258,'8.預力混凝土基樁'!C:D,1,0),"")="","","✔")</f>
        <v/>
      </c>
      <c r="J258" s="98" t="str">
        <f>IF(IFERROR(VLOOKUP(A258,'9.砌塊石護岸'!C:D,1,0),"")="","","✔")</f>
        <v/>
      </c>
      <c r="K258" s="98" t="str">
        <f>IF(IFERROR(VLOOKUP(A258,'10.低水護岸'!C:D,1,0),"")="","","✔")</f>
        <v/>
      </c>
      <c r="L258" s="98" t="str">
        <f>IF(IFERROR(VLOOKUP(A258,'11.固床工'!C:D,1,0),"")="","","✔")</f>
        <v/>
      </c>
      <c r="M258" s="98" t="str">
        <f>IF(IFERROR(VLOOKUP(A258,'12.全套管基樁'!C:D,1,0),"")="","","✔")</f>
        <v/>
      </c>
      <c r="N258" s="98" t="str">
        <f>IF(IFERROR(VLOOKUP(A258,'13.鋼筋混凝土管工程'!C:D,1,0),"")="","","✔")</f>
        <v/>
      </c>
      <c r="O258" s="98" t="str">
        <f>IF(IFERROR(VLOOKUP(A258,'14.鋼版樁'!C:D,1,0),"")="","","✔")</f>
        <v/>
      </c>
      <c r="P258" s="98" t="str">
        <f>IF(IFERROR(VLOOKUP(A258,'15.路床 路基高程'!C:D,1,0),"")="","","✔")</f>
        <v/>
      </c>
      <c r="Q258" s="98" t="str">
        <f>IF(IFERROR(VLOOKUP(A258,'16.瀝青混凝土'!C:D,1,0),"")="","","✔")</f>
        <v/>
      </c>
      <c r="R258" s="98" t="str">
        <f>IF(IFERROR(VLOOKUP(A258,'17.景觀鋪面(一)'!C:D,1,0),"")="","","✔")</f>
        <v/>
      </c>
      <c r="S258" s="98" t="str">
        <f>IF(IFERROR(VLOOKUP(A258,'18.景觀鋪面(二)'!C:D,1,0),"")="","","✔")</f>
        <v/>
      </c>
      <c r="T258" s="98" t="str">
        <f>IF(IFERROR(VLOOKUP(A258,'19.預鑄緣石'!C:D,1,0),"")="","","✔")</f>
        <v/>
      </c>
      <c r="U258" s="98" t="str">
        <f>IF(IFERROR(VLOOKUP(A258,'20.鋼構工程吊裝'!C:D,1,0),"")="","","✔")</f>
        <v/>
      </c>
      <c r="V258" s="98" t="str">
        <f>IF(IFERROR(VLOOKUP(A258,'21.鋼構工程塗裝'!C:D,1,0),"")="","","✔")</f>
        <v/>
      </c>
      <c r="W258" s="98" t="str">
        <f>IF(IFERROR(VLOOKUP(A258,'22.排水設施(一)'!C:D,1,0),"")="","","✔")</f>
        <v/>
      </c>
      <c r="X258" s="98" t="str">
        <f>IF(IFERROR(VLOOKUP(A258,'23.排水設施(二)'!C:D,1,0),"")="","","✔")</f>
        <v/>
      </c>
      <c r="Y258" s="98" t="str">
        <f>IF(IFERROR(VLOOKUP(A258,'24.木構造'!C:D,1,0),"")="","","✔")</f>
        <v/>
      </c>
      <c r="Z258" s="98" t="str">
        <f>IF(IFERROR(VLOOKUP(A258,'25.管路'!C:D,1,0),"")="","","✔")</f>
        <v/>
      </c>
      <c r="AA258" s="98" t="str">
        <f>IF(IFERROR(VLOOKUP(A258,'26.植栽(移植)'!C:D,1,0),"")="","","✔")</f>
        <v/>
      </c>
      <c r="AB258" s="98" t="str">
        <f>IF(IFERROR(VLOOKUP(A258,'27.植栽(新植)'!C:D,1,0),"")="","","✔")</f>
        <v/>
      </c>
      <c r="AC258" s="98" t="str">
        <f>IF(IFERROR(VLOOKUP(A258,'28.照明'!C:D,1,0),"")="","","✔")</f>
        <v/>
      </c>
      <c r="AD258" s="98" t="str">
        <f>IF(IFERROR(VLOOKUP(A258,'29.既有橋梁拆除'!C:D,1,0),"")="","","✔")</f>
        <v/>
      </c>
    </row>
    <row r="259" spans="1:30" ht="21.75" customHeight="1" x14ac:dyDescent="0.25">
      <c r="A259" s="99">
        <v>45449</v>
      </c>
      <c r="B259" s="98" t="str">
        <f>IF(IFERROR(VLOOKUP(A259,'1.測量放樣'!C:D,1,0),"")="","","✔")</f>
        <v/>
      </c>
      <c r="C259" s="98" t="str">
        <f>IF(IFERROR(VLOOKUP(A259,'2.土方開挖'!C:D,1,0),"")="","","✔")</f>
        <v/>
      </c>
      <c r="D259" s="98" t="str">
        <f>IF(IFERROR(VLOOKUP(A259,'3.土方回填'!C:D,1,0),"")="","","✔")</f>
        <v/>
      </c>
      <c r="E259" s="98" t="str">
        <f>IF(IFERROR(VLOOKUP(A259,'4.鋼筋'!C:D,1,0),"")="","","✔")</f>
        <v/>
      </c>
      <c r="F259" s="98" t="str">
        <f>IF(IFERROR(VLOOKUP(A259,'5.模板'!C:D,1,0),"")="","","✔")</f>
        <v/>
      </c>
      <c r="G259" s="98" t="str">
        <f>IF(IFERROR(VLOOKUP(A259,'6.混凝土'!C:D,1,0),"")="","","✔")</f>
        <v/>
      </c>
      <c r="H259" s="98" t="str">
        <f>IF(IFERROR(VLOOKUP(A259,'7.植筋'!C:D,1,0),"")="","","✔")</f>
        <v/>
      </c>
      <c r="I259" s="98" t="str">
        <f>IF(IFERROR(VLOOKUP(A259,'8.預力混凝土基樁'!C:D,1,0),"")="","","✔")</f>
        <v/>
      </c>
      <c r="J259" s="98" t="str">
        <f>IF(IFERROR(VLOOKUP(A259,'9.砌塊石護岸'!C:D,1,0),"")="","","✔")</f>
        <v/>
      </c>
      <c r="K259" s="98" t="str">
        <f>IF(IFERROR(VLOOKUP(A259,'10.低水護岸'!C:D,1,0),"")="","","✔")</f>
        <v/>
      </c>
      <c r="L259" s="98" t="str">
        <f>IF(IFERROR(VLOOKUP(A259,'11.固床工'!C:D,1,0),"")="","","✔")</f>
        <v/>
      </c>
      <c r="M259" s="98" t="str">
        <f>IF(IFERROR(VLOOKUP(A259,'12.全套管基樁'!C:D,1,0),"")="","","✔")</f>
        <v/>
      </c>
      <c r="N259" s="98" t="str">
        <f>IF(IFERROR(VLOOKUP(A259,'13.鋼筋混凝土管工程'!C:D,1,0),"")="","","✔")</f>
        <v/>
      </c>
      <c r="O259" s="98" t="str">
        <f>IF(IFERROR(VLOOKUP(A259,'14.鋼版樁'!C:D,1,0),"")="","","✔")</f>
        <v/>
      </c>
      <c r="P259" s="98" t="str">
        <f>IF(IFERROR(VLOOKUP(A259,'15.路床 路基高程'!C:D,1,0),"")="","","✔")</f>
        <v/>
      </c>
      <c r="Q259" s="98" t="str">
        <f>IF(IFERROR(VLOOKUP(A259,'16.瀝青混凝土'!C:D,1,0),"")="","","✔")</f>
        <v/>
      </c>
      <c r="R259" s="98" t="str">
        <f>IF(IFERROR(VLOOKUP(A259,'17.景觀鋪面(一)'!C:D,1,0),"")="","","✔")</f>
        <v/>
      </c>
      <c r="S259" s="98" t="str">
        <f>IF(IFERROR(VLOOKUP(A259,'18.景觀鋪面(二)'!C:D,1,0),"")="","","✔")</f>
        <v/>
      </c>
      <c r="T259" s="98" t="str">
        <f>IF(IFERROR(VLOOKUP(A259,'19.預鑄緣石'!C:D,1,0),"")="","","✔")</f>
        <v/>
      </c>
      <c r="U259" s="98" t="str">
        <f>IF(IFERROR(VLOOKUP(A259,'20.鋼構工程吊裝'!C:D,1,0),"")="","","✔")</f>
        <v/>
      </c>
      <c r="V259" s="98" t="str">
        <f>IF(IFERROR(VLOOKUP(A259,'21.鋼構工程塗裝'!C:D,1,0),"")="","","✔")</f>
        <v/>
      </c>
      <c r="W259" s="98" t="str">
        <f>IF(IFERROR(VLOOKUP(A259,'22.排水設施(一)'!C:D,1,0),"")="","","✔")</f>
        <v/>
      </c>
      <c r="X259" s="98" t="str">
        <f>IF(IFERROR(VLOOKUP(A259,'23.排水設施(二)'!C:D,1,0),"")="","","✔")</f>
        <v/>
      </c>
      <c r="Y259" s="98" t="str">
        <f>IF(IFERROR(VLOOKUP(A259,'24.木構造'!C:D,1,0),"")="","","✔")</f>
        <v/>
      </c>
      <c r="Z259" s="98" t="str">
        <f>IF(IFERROR(VLOOKUP(A259,'25.管路'!C:D,1,0),"")="","","✔")</f>
        <v/>
      </c>
      <c r="AA259" s="98" t="str">
        <f>IF(IFERROR(VLOOKUP(A259,'26.植栽(移植)'!C:D,1,0),"")="","","✔")</f>
        <v/>
      </c>
      <c r="AB259" s="98" t="str">
        <f>IF(IFERROR(VLOOKUP(A259,'27.植栽(新植)'!C:D,1,0),"")="","","✔")</f>
        <v/>
      </c>
      <c r="AC259" s="98" t="str">
        <f>IF(IFERROR(VLOOKUP(A259,'28.照明'!C:D,1,0),"")="","","✔")</f>
        <v/>
      </c>
      <c r="AD259" s="98" t="str">
        <f>IF(IFERROR(VLOOKUP(A259,'29.既有橋梁拆除'!C:D,1,0),"")="","","✔")</f>
        <v/>
      </c>
    </row>
    <row r="260" spans="1:30" ht="21.75" customHeight="1" x14ac:dyDescent="0.25">
      <c r="A260" s="99">
        <v>45450</v>
      </c>
      <c r="B260" s="98" t="str">
        <f>IF(IFERROR(VLOOKUP(A260,'1.測量放樣'!C:D,1,0),"")="","","✔")</f>
        <v/>
      </c>
      <c r="C260" s="98" t="str">
        <f>IF(IFERROR(VLOOKUP(A260,'2.土方開挖'!C:D,1,0),"")="","","✔")</f>
        <v/>
      </c>
      <c r="D260" s="98" t="str">
        <f>IF(IFERROR(VLOOKUP(A260,'3.土方回填'!C:D,1,0),"")="","","✔")</f>
        <v/>
      </c>
      <c r="E260" s="98" t="str">
        <f>IF(IFERROR(VLOOKUP(A260,'4.鋼筋'!C:D,1,0),"")="","","✔")</f>
        <v/>
      </c>
      <c r="F260" s="98" t="str">
        <f>IF(IFERROR(VLOOKUP(A260,'5.模板'!C:D,1,0),"")="","","✔")</f>
        <v/>
      </c>
      <c r="G260" s="98" t="str">
        <f>IF(IFERROR(VLOOKUP(A260,'6.混凝土'!C:D,1,0),"")="","","✔")</f>
        <v/>
      </c>
      <c r="H260" s="98" t="str">
        <f>IF(IFERROR(VLOOKUP(A260,'7.植筋'!C:D,1,0),"")="","","✔")</f>
        <v/>
      </c>
      <c r="I260" s="98" t="str">
        <f>IF(IFERROR(VLOOKUP(A260,'8.預力混凝土基樁'!C:D,1,0),"")="","","✔")</f>
        <v/>
      </c>
      <c r="J260" s="98" t="str">
        <f>IF(IFERROR(VLOOKUP(A260,'9.砌塊石護岸'!C:D,1,0),"")="","","✔")</f>
        <v/>
      </c>
      <c r="K260" s="98" t="str">
        <f>IF(IFERROR(VLOOKUP(A260,'10.低水護岸'!C:D,1,0),"")="","","✔")</f>
        <v/>
      </c>
      <c r="L260" s="98" t="str">
        <f>IF(IFERROR(VLOOKUP(A260,'11.固床工'!C:D,1,0),"")="","","✔")</f>
        <v/>
      </c>
      <c r="M260" s="98" t="str">
        <f>IF(IFERROR(VLOOKUP(A260,'12.全套管基樁'!C:D,1,0),"")="","","✔")</f>
        <v/>
      </c>
      <c r="N260" s="98" t="str">
        <f>IF(IFERROR(VLOOKUP(A260,'13.鋼筋混凝土管工程'!C:D,1,0),"")="","","✔")</f>
        <v/>
      </c>
      <c r="O260" s="98" t="str">
        <f>IF(IFERROR(VLOOKUP(A260,'14.鋼版樁'!C:D,1,0),"")="","","✔")</f>
        <v/>
      </c>
      <c r="P260" s="98" t="str">
        <f>IF(IFERROR(VLOOKUP(A260,'15.路床 路基高程'!C:D,1,0),"")="","","✔")</f>
        <v/>
      </c>
      <c r="Q260" s="98" t="str">
        <f>IF(IFERROR(VLOOKUP(A260,'16.瀝青混凝土'!C:D,1,0),"")="","","✔")</f>
        <v/>
      </c>
      <c r="R260" s="98" t="str">
        <f>IF(IFERROR(VLOOKUP(A260,'17.景觀鋪面(一)'!C:D,1,0),"")="","","✔")</f>
        <v/>
      </c>
      <c r="S260" s="98" t="str">
        <f>IF(IFERROR(VLOOKUP(A260,'18.景觀鋪面(二)'!C:D,1,0),"")="","","✔")</f>
        <v/>
      </c>
      <c r="T260" s="98" t="str">
        <f>IF(IFERROR(VLOOKUP(A260,'19.預鑄緣石'!C:D,1,0),"")="","","✔")</f>
        <v/>
      </c>
      <c r="U260" s="98" t="str">
        <f>IF(IFERROR(VLOOKUP(A260,'20.鋼構工程吊裝'!C:D,1,0),"")="","","✔")</f>
        <v/>
      </c>
      <c r="V260" s="98" t="str">
        <f>IF(IFERROR(VLOOKUP(A260,'21.鋼構工程塗裝'!C:D,1,0),"")="","","✔")</f>
        <v/>
      </c>
      <c r="W260" s="98" t="str">
        <f>IF(IFERROR(VLOOKUP(A260,'22.排水設施(一)'!C:D,1,0),"")="","","✔")</f>
        <v/>
      </c>
      <c r="X260" s="98" t="str">
        <f>IF(IFERROR(VLOOKUP(A260,'23.排水設施(二)'!C:D,1,0),"")="","","✔")</f>
        <v/>
      </c>
      <c r="Y260" s="98" t="str">
        <f>IF(IFERROR(VLOOKUP(A260,'24.木構造'!C:D,1,0),"")="","","✔")</f>
        <v/>
      </c>
      <c r="Z260" s="98" t="str">
        <f>IF(IFERROR(VLOOKUP(A260,'25.管路'!C:D,1,0),"")="","","✔")</f>
        <v/>
      </c>
      <c r="AA260" s="98" t="str">
        <f>IF(IFERROR(VLOOKUP(A260,'26.植栽(移植)'!C:D,1,0),"")="","","✔")</f>
        <v/>
      </c>
      <c r="AB260" s="98" t="str">
        <f>IF(IFERROR(VLOOKUP(A260,'27.植栽(新植)'!C:D,1,0),"")="","","✔")</f>
        <v/>
      </c>
      <c r="AC260" s="98" t="str">
        <f>IF(IFERROR(VLOOKUP(A260,'28.照明'!C:D,1,0),"")="","","✔")</f>
        <v/>
      </c>
      <c r="AD260" s="98" t="str">
        <f>IF(IFERROR(VLOOKUP(A260,'29.既有橋梁拆除'!C:D,1,0),"")="","","✔")</f>
        <v/>
      </c>
    </row>
    <row r="261" spans="1:30" ht="21.75" customHeight="1" x14ac:dyDescent="0.25">
      <c r="A261" s="99">
        <v>45451</v>
      </c>
      <c r="B261" s="98" t="str">
        <f>IF(IFERROR(VLOOKUP(A261,'1.測量放樣'!C:D,1,0),"")="","","✔")</f>
        <v/>
      </c>
      <c r="C261" s="98" t="str">
        <f>IF(IFERROR(VLOOKUP(A261,'2.土方開挖'!C:D,1,0),"")="","","✔")</f>
        <v/>
      </c>
      <c r="D261" s="98" t="str">
        <f>IF(IFERROR(VLOOKUP(A261,'3.土方回填'!C:D,1,0),"")="","","✔")</f>
        <v/>
      </c>
      <c r="E261" s="98" t="str">
        <f>IF(IFERROR(VLOOKUP(A261,'4.鋼筋'!C:D,1,0),"")="","","✔")</f>
        <v/>
      </c>
      <c r="F261" s="98" t="str">
        <f>IF(IFERROR(VLOOKUP(A261,'5.模板'!C:D,1,0),"")="","","✔")</f>
        <v/>
      </c>
      <c r="G261" s="98" t="str">
        <f>IF(IFERROR(VLOOKUP(A261,'6.混凝土'!C:D,1,0),"")="","","✔")</f>
        <v/>
      </c>
      <c r="H261" s="98" t="str">
        <f>IF(IFERROR(VLOOKUP(A261,'7.植筋'!C:D,1,0),"")="","","✔")</f>
        <v/>
      </c>
      <c r="I261" s="98" t="str">
        <f>IF(IFERROR(VLOOKUP(A261,'8.預力混凝土基樁'!C:D,1,0),"")="","","✔")</f>
        <v/>
      </c>
      <c r="J261" s="98" t="str">
        <f>IF(IFERROR(VLOOKUP(A261,'9.砌塊石護岸'!C:D,1,0),"")="","","✔")</f>
        <v/>
      </c>
      <c r="K261" s="98" t="str">
        <f>IF(IFERROR(VLOOKUP(A261,'10.低水護岸'!C:D,1,0),"")="","","✔")</f>
        <v/>
      </c>
      <c r="L261" s="98" t="str">
        <f>IF(IFERROR(VLOOKUP(A261,'11.固床工'!C:D,1,0),"")="","","✔")</f>
        <v/>
      </c>
      <c r="M261" s="98" t="str">
        <f>IF(IFERROR(VLOOKUP(A261,'12.全套管基樁'!C:D,1,0),"")="","","✔")</f>
        <v/>
      </c>
      <c r="N261" s="98" t="str">
        <f>IF(IFERROR(VLOOKUP(A261,'13.鋼筋混凝土管工程'!C:D,1,0),"")="","","✔")</f>
        <v/>
      </c>
      <c r="O261" s="98" t="str">
        <f>IF(IFERROR(VLOOKUP(A261,'14.鋼版樁'!C:D,1,0),"")="","","✔")</f>
        <v/>
      </c>
      <c r="P261" s="98" t="str">
        <f>IF(IFERROR(VLOOKUP(A261,'15.路床 路基高程'!C:D,1,0),"")="","","✔")</f>
        <v/>
      </c>
      <c r="Q261" s="98" t="str">
        <f>IF(IFERROR(VLOOKUP(A261,'16.瀝青混凝土'!C:D,1,0),"")="","","✔")</f>
        <v/>
      </c>
      <c r="R261" s="98" t="str">
        <f>IF(IFERROR(VLOOKUP(A261,'17.景觀鋪面(一)'!C:D,1,0),"")="","","✔")</f>
        <v/>
      </c>
      <c r="S261" s="98" t="str">
        <f>IF(IFERROR(VLOOKUP(A261,'18.景觀鋪面(二)'!C:D,1,0),"")="","","✔")</f>
        <v/>
      </c>
      <c r="T261" s="98" t="str">
        <f>IF(IFERROR(VLOOKUP(A261,'19.預鑄緣石'!C:D,1,0),"")="","","✔")</f>
        <v/>
      </c>
      <c r="U261" s="98" t="str">
        <f>IF(IFERROR(VLOOKUP(A261,'20.鋼構工程吊裝'!C:D,1,0),"")="","","✔")</f>
        <v/>
      </c>
      <c r="V261" s="98" t="str">
        <f>IF(IFERROR(VLOOKUP(A261,'21.鋼構工程塗裝'!C:D,1,0),"")="","","✔")</f>
        <v/>
      </c>
      <c r="W261" s="98" t="str">
        <f>IF(IFERROR(VLOOKUP(A261,'22.排水設施(一)'!C:D,1,0),"")="","","✔")</f>
        <v/>
      </c>
      <c r="X261" s="98" t="str">
        <f>IF(IFERROR(VLOOKUP(A261,'23.排水設施(二)'!C:D,1,0),"")="","","✔")</f>
        <v/>
      </c>
      <c r="Y261" s="98" t="str">
        <f>IF(IFERROR(VLOOKUP(A261,'24.木構造'!C:D,1,0),"")="","","✔")</f>
        <v/>
      </c>
      <c r="Z261" s="98" t="str">
        <f>IF(IFERROR(VLOOKUP(A261,'25.管路'!C:D,1,0),"")="","","✔")</f>
        <v/>
      </c>
      <c r="AA261" s="98" t="str">
        <f>IF(IFERROR(VLOOKUP(A261,'26.植栽(移植)'!C:D,1,0),"")="","","✔")</f>
        <v/>
      </c>
      <c r="AB261" s="98" t="str">
        <f>IF(IFERROR(VLOOKUP(A261,'27.植栽(新植)'!C:D,1,0),"")="","","✔")</f>
        <v/>
      </c>
      <c r="AC261" s="98" t="str">
        <f>IF(IFERROR(VLOOKUP(A261,'28.照明'!C:D,1,0),"")="","","✔")</f>
        <v/>
      </c>
      <c r="AD261" s="98" t="str">
        <f>IF(IFERROR(VLOOKUP(A261,'29.既有橋梁拆除'!C:D,1,0),"")="","","✔")</f>
        <v/>
      </c>
    </row>
    <row r="262" spans="1:30" ht="21.75" customHeight="1" x14ac:dyDescent="0.25">
      <c r="A262" s="99">
        <v>45452</v>
      </c>
      <c r="B262" s="98" t="str">
        <f>IF(IFERROR(VLOOKUP(A262,'1.測量放樣'!C:D,1,0),"")="","","✔")</f>
        <v/>
      </c>
      <c r="C262" s="98" t="str">
        <f>IF(IFERROR(VLOOKUP(A262,'2.土方開挖'!C:D,1,0),"")="","","✔")</f>
        <v/>
      </c>
      <c r="D262" s="98" t="str">
        <f>IF(IFERROR(VLOOKUP(A262,'3.土方回填'!C:D,1,0),"")="","","✔")</f>
        <v/>
      </c>
      <c r="E262" s="98" t="str">
        <f>IF(IFERROR(VLOOKUP(A262,'4.鋼筋'!C:D,1,0),"")="","","✔")</f>
        <v/>
      </c>
      <c r="F262" s="98" t="str">
        <f>IF(IFERROR(VLOOKUP(A262,'5.模板'!C:D,1,0),"")="","","✔")</f>
        <v/>
      </c>
      <c r="G262" s="98" t="str">
        <f>IF(IFERROR(VLOOKUP(A262,'6.混凝土'!C:D,1,0),"")="","","✔")</f>
        <v/>
      </c>
      <c r="H262" s="98" t="str">
        <f>IF(IFERROR(VLOOKUP(A262,'7.植筋'!C:D,1,0),"")="","","✔")</f>
        <v/>
      </c>
      <c r="I262" s="98" t="str">
        <f>IF(IFERROR(VLOOKUP(A262,'8.預力混凝土基樁'!C:D,1,0),"")="","","✔")</f>
        <v/>
      </c>
      <c r="J262" s="98" t="str">
        <f>IF(IFERROR(VLOOKUP(A262,'9.砌塊石護岸'!C:D,1,0),"")="","","✔")</f>
        <v/>
      </c>
      <c r="K262" s="98" t="str">
        <f>IF(IFERROR(VLOOKUP(A262,'10.低水護岸'!C:D,1,0),"")="","","✔")</f>
        <v/>
      </c>
      <c r="L262" s="98" t="str">
        <f>IF(IFERROR(VLOOKUP(A262,'11.固床工'!C:D,1,0),"")="","","✔")</f>
        <v/>
      </c>
      <c r="M262" s="98" t="str">
        <f>IF(IFERROR(VLOOKUP(A262,'12.全套管基樁'!C:D,1,0),"")="","","✔")</f>
        <v/>
      </c>
      <c r="N262" s="98" t="str">
        <f>IF(IFERROR(VLOOKUP(A262,'13.鋼筋混凝土管工程'!C:D,1,0),"")="","","✔")</f>
        <v/>
      </c>
      <c r="O262" s="98" t="str">
        <f>IF(IFERROR(VLOOKUP(A262,'14.鋼版樁'!C:D,1,0),"")="","","✔")</f>
        <v/>
      </c>
      <c r="P262" s="98" t="str">
        <f>IF(IFERROR(VLOOKUP(A262,'15.路床 路基高程'!C:D,1,0),"")="","","✔")</f>
        <v/>
      </c>
      <c r="Q262" s="98" t="str">
        <f>IF(IFERROR(VLOOKUP(A262,'16.瀝青混凝土'!C:D,1,0),"")="","","✔")</f>
        <v/>
      </c>
      <c r="R262" s="98" t="str">
        <f>IF(IFERROR(VLOOKUP(A262,'17.景觀鋪面(一)'!C:D,1,0),"")="","","✔")</f>
        <v/>
      </c>
      <c r="S262" s="98" t="str">
        <f>IF(IFERROR(VLOOKUP(A262,'18.景觀鋪面(二)'!C:D,1,0),"")="","","✔")</f>
        <v/>
      </c>
      <c r="T262" s="98" t="str">
        <f>IF(IFERROR(VLOOKUP(A262,'19.預鑄緣石'!C:D,1,0),"")="","","✔")</f>
        <v/>
      </c>
      <c r="U262" s="98" t="str">
        <f>IF(IFERROR(VLOOKUP(A262,'20.鋼構工程吊裝'!C:D,1,0),"")="","","✔")</f>
        <v/>
      </c>
      <c r="V262" s="98" t="str">
        <f>IF(IFERROR(VLOOKUP(A262,'21.鋼構工程塗裝'!C:D,1,0),"")="","","✔")</f>
        <v/>
      </c>
      <c r="W262" s="98" t="str">
        <f>IF(IFERROR(VLOOKUP(A262,'22.排水設施(一)'!C:D,1,0),"")="","","✔")</f>
        <v/>
      </c>
      <c r="X262" s="98" t="str">
        <f>IF(IFERROR(VLOOKUP(A262,'23.排水設施(二)'!C:D,1,0),"")="","","✔")</f>
        <v/>
      </c>
      <c r="Y262" s="98" t="str">
        <f>IF(IFERROR(VLOOKUP(A262,'24.木構造'!C:D,1,0),"")="","","✔")</f>
        <v/>
      </c>
      <c r="Z262" s="98" t="str">
        <f>IF(IFERROR(VLOOKUP(A262,'25.管路'!C:D,1,0),"")="","","✔")</f>
        <v/>
      </c>
      <c r="AA262" s="98" t="str">
        <f>IF(IFERROR(VLOOKUP(A262,'26.植栽(移植)'!C:D,1,0),"")="","","✔")</f>
        <v/>
      </c>
      <c r="AB262" s="98" t="str">
        <f>IF(IFERROR(VLOOKUP(A262,'27.植栽(新植)'!C:D,1,0),"")="","","✔")</f>
        <v/>
      </c>
      <c r="AC262" s="98" t="str">
        <f>IF(IFERROR(VLOOKUP(A262,'28.照明'!C:D,1,0),"")="","","✔")</f>
        <v/>
      </c>
      <c r="AD262" s="98" t="str">
        <f>IF(IFERROR(VLOOKUP(A262,'29.既有橋梁拆除'!C:D,1,0),"")="","","✔")</f>
        <v/>
      </c>
    </row>
    <row r="263" spans="1:30" ht="21.75" customHeight="1" x14ac:dyDescent="0.25">
      <c r="A263" s="99">
        <v>45453</v>
      </c>
      <c r="B263" s="98" t="str">
        <f>IF(IFERROR(VLOOKUP(A263,'1.測量放樣'!C:D,1,0),"")="","","✔")</f>
        <v/>
      </c>
      <c r="C263" s="98" t="str">
        <f>IF(IFERROR(VLOOKUP(A263,'2.土方開挖'!C:D,1,0),"")="","","✔")</f>
        <v/>
      </c>
      <c r="D263" s="98" t="str">
        <f>IF(IFERROR(VLOOKUP(A263,'3.土方回填'!C:D,1,0),"")="","","✔")</f>
        <v/>
      </c>
      <c r="E263" s="98" t="str">
        <f>IF(IFERROR(VLOOKUP(A263,'4.鋼筋'!C:D,1,0),"")="","","✔")</f>
        <v/>
      </c>
      <c r="F263" s="98" t="str">
        <f>IF(IFERROR(VLOOKUP(A263,'5.模板'!C:D,1,0),"")="","","✔")</f>
        <v/>
      </c>
      <c r="G263" s="98" t="str">
        <f>IF(IFERROR(VLOOKUP(A263,'6.混凝土'!C:D,1,0),"")="","","✔")</f>
        <v/>
      </c>
      <c r="H263" s="98" t="str">
        <f>IF(IFERROR(VLOOKUP(A263,'7.植筋'!C:D,1,0),"")="","","✔")</f>
        <v/>
      </c>
      <c r="I263" s="98" t="str">
        <f>IF(IFERROR(VLOOKUP(A263,'8.預力混凝土基樁'!C:D,1,0),"")="","","✔")</f>
        <v/>
      </c>
      <c r="J263" s="98" t="str">
        <f>IF(IFERROR(VLOOKUP(A263,'9.砌塊石護岸'!C:D,1,0),"")="","","✔")</f>
        <v/>
      </c>
      <c r="K263" s="98" t="str">
        <f>IF(IFERROR(VLOOKUP(A263,'10.低水護岸'!C:D,1,0),"")="","","✔")</f>
        <v/>
      </c>
      <c r="L263" s="98" t="str">
        <f>IF(IFERROR(VLOOKUP(A263,'11.固床工'!C:D,1,0),"")="","","✔")</f>
        <v/>
      </c>
      <c r="M263" s="98" t="str">
        <f>IF(IFERROR(VLOOKUP(A263,'12.全套管基樁'!C:D,1,0),"")="","","✔")</f>
        <v/>
      </c>
      <c r="N263" s="98" t="str">
        <f>IF(IFERROR(VLOOKUP(A263,'13.鋼筋混凝土管工程'!C:D,1,0),"")="","","✔")</f>
        <v/>
      </c>
      <c r="O263" s="98" t="str">
        <f>IF(IFERROR(VLOOKUP(A263,'14.鋼版樁'!C:D,1,0),"")="","","✔")</f>
        <v/>
      </c>
      <c r="P263" s="98" t="str">
        <f>IF(IFERROR(VLOOKUP(A263,'15.路床 路基高程'!C:D,1,0),"")="","","✔")</f>
        <v/>
      </c>
      <c r="Q263" s="98" t="str">
        <f>IF(IFERROR(VLOOKUP(A263,'16.瀝青混凝土'!C:D,1,0),"")="","","✔")</f>
        <v/>
      </c>
      <c r="R263" s="98" t="str">
        <f>IF(IFERROR(VLOOKUP(A263,'17.景觀鋪面(一)'!C:D,1,0),"")="","","✔")</f>
        <v/>
      </c>
      <c r="S263" s="98" t="str">
        <f>IF(IFERROR(VLOOKUP(A263,'18.景觀鋪面(二)'!C:D,1,0),"")="","","✔")</f>
        <v/>
      </c>
      <c r="T263" s="98" t="str">
        <f>IF(IFERROR(VLOOKUP(A263,'19.預鑄緣石'!C:D,1,0),"")="","","✔")</f>
        <v/>
      </c>
      <c r="U263" s="98" t="str">
        <f>IF(IFERROR(VLOOKUP(A263,'20.鋼構工程吊裝'!C:D,1,0),"")="","","✔")</f>
        <v/>
      </c>
      <c r="V263" s="98" t="str">
        <f>IF(IFERROR(VLOOKUP(A263,'21.鋼構工程塗裝'!C:D,1,0),"")="","","✔")</f>
        <v/>
      </c>
      <c r="W263" s="98" t="str">
        <f>IF(IFERROR(VLOOKUP(A263,'22.排水設施(一)'!C:D,1,0),"")="","","✔")</f>
        <v/>
      </c>
      <c r="X263" s="98" t="str">
        <f>IF(IFERROR(VLOOKUP(A263,'23.排水設施(二)'!C:D,1,0),"")="","","✔")</f>
        <v/>
      </c>
      <c r="Y263" s="98" t="str">
        <f>IF(IFERROR(VLOOKUP(A263,'24.木構造'!C:D,1,0),"")="","","✔")</f>
        <v/>
      </c>
      <c r="Z263" s="98" t="str">
        <f>IF(IFERROR(VLOOKUP(A263,'25.管路'!C:D,1,0),"")="","","✔")</f>
        <v/>
      </c>
      <c r="AA263" s="98" t="str">
        <f>IF(IFERROR(VLOOKUP(A263,'26.植栽(移植)'!C:D,1,0),"")="","","✔")</f>
        <v/>
      </c>
      <c r="AB263" s="98" t="str">
        <f>IF(IFERROR(VLOOKUP(A263,'27.植栽(新植)'!C:D,1,0),"")="","","✔")</f>
        <v/>
      </c>
      <c r="AC263" s="98" t="str">
        <f>IF(IFERROR(VLOOKUP(A263,'28.照明'!C:D,1,0),"")="","","✔")</f>
        <v/>
      </c>
      <c r="AD263" s="98" t="str">
        <f>IF(IFERROR(VLOOKUP(A263,'29.既有橋梁拆除'!C:D,1,0),"")="","","✔")</f>
        <v/>
      </c>
    </row>
    <row r="264" spans="1:30" ht="21.75" customHeight="1" x14ac:dyDescent="0.25">
      <c r="A264" s="99">
        <v>45454</v>
      </c>
      <c r="B264" s="98" t="str">
        <f>IF(IFERROR(VLOOKUP(A264,'1.測量放樣'!C:D,1,0),"")="","","✔")</f>
        <v/>
      </c>
      <c r="C264" s="98" t="str">
        <f>IF(IFERROR(VLOOKUP(A264,'2.土方開挖'!C:D,1,0),"")="","","✔")</f>
        <v/>
      </c>
      <c r="D264" s="98" t="str">
        <f>IF(IFERROR(VLOOKUP(A264,'3.土方回填'!C:D,1,0),"")="","","✔")</f>
        <v/>
      </c>
      <c r="E264" s="98" t="str">
        <f>IF(IFERROR(VLOOKUP(A264,'4.鋼筋'!C:D,1,0),"")="","","✔")</f>
        <v/>
      </c>
      <c r="F264" s="98" t="str">
        <f>IF(IFERROR(VLOOKUP(A264,'5.模板'!C:D,1,0),"")="","","✔")</f>
        <v/>
      </c>
      <c r="G264" s="98" t="str">
        <f>IF(IFERROR(VLOOKUP(A264,'6.混凝土'!C:D,1,0),"")="","","✔")</f>
        <v/>
      </c>
      <c r="H264" s="98" t="str">
        <f>IF(IFERROR(VLOOKUP(A264,'7.植筋'!C:D,1,0),"")="","","✔")</f>
        <v/>
      </c>
      <c r="I264" s="98" t="str">
        <f>IF(IFERROR(VLOOKUP(A264,'8.預力混凝土基樁'!C:D,1,0),"")="","","✔")</f>
        <v/>
      </c>
      <c r="J264" s="98" t="str">
        <f>IF(IFERROR(VLOOKUP(A264,'9.砌塊石護岸'!C:D,1,0),"")="","","✔")</f>
        <v/>
      </c>
      <c r="K264" s="98" t="str">
        <f>IF(IFERROR(VLOOKUP(A264,'10.低水護岸'!C:D,1,0),"")="","","✔")</f>
        <v/>
      </c>
      <c r="L264" s="98" t="str">
        <f>IF(IFERROR(VLOOKUP(A264,'11.固床工'!C:D,1,0),"")="","","✔")</f>
        <v/>
      </c>
      <c r="M264" s="98" t="str">
        <f>IF(IFERROR(VLOOKUP(A264,'12.全套管基樁'!C:D,1,0),"")="","","✔")</f>
        <v/>
      </c>
      <c r="N264" s="98" t="str">
        <f>IF(IFERROR(VLOOKUP(A264,'13.鋼筋混凝土管工程'!C:D,1,0),"")="","","✔")</f>
        <v/>
      </c>
      <c r="O264" s="98" t="str">
        <f>IF(IFERROR(VLOOKUP(A264,'14.鋼版樁'!C:D,1,0),"")="","","✔")</f>
        <v/>
      </c>
      <c r="P264" s="98" t="str">
        <f>IF(IFERROR(VLOOKUP(A264,'15.路床 路基高程'!C:D,1,0),"")="","","✔")</f>
        <v/>
      </c>
      <c r="Q264" s="98" t="str">
        <f>IF(IFERROR(VLOOKUP(A264,'16.瀝青混凝土'!C:D,1,0),"")="","","✔")</f>
        <v/>
      </c>
      <c r="R264" s="98" t="str">
        <f>IF(IFERROR(VLOOKUP(A264,'17.景觀鋪面(一)'!C:D,1,0),"")="","","✔")</f>
        <v/>
      </c>
      <c r="S264" s="98" t="str">
        <f>IF(IFERROR(VLOOKUP(A264,'18.景觀鋪面(二)'!C:D,1,0),"")="","","✔")</f>
        <v/>
      </c>
      <c r="T264" s="98" t="str">
        <f>IF(IFERROR(VLOOKUP(A264,'19.預鑄緣石'!C:D,1,0),"")="","","✔")</f>
        <v/>
      </c>
      <c r="U264" s="98" t="str">
        <f>IF(IFERROR(VLOOKUP(A264,'20.鋼構工程吊裝'!C:D,1,0),"")="","","✔")</f>
        <v/>
      </c>
      <c r="V264" s="98" t="str">
        <f>IF(IFERROR(VLOOKUP(A264,'21.鋼構工程塗裝'!C:D,1,0),"")="","","✔")</f>
        <v/>
      </c>
      <c r="W264" s="98" t="str">
        <f>IF(IFERROR(VLOOKUP(A264,'22.排水設施(一)'!C:D,1,0),"")="","","✔")</f>
        <v/>
      </c>
      <c r="X264" s="98" t="str">
        <f>IF(IFERROR(VLOOKUP(A264,'23.排水設施(二)'!C:D,1,0),"")="","","✔")</f>
        <v/>
      </c>
      <c r="Y264" s="98" t="str">
        <f>IF(IFERROR(VLOOKUP(A264,'24.木構造'!C:D,1,0),"")="","","✔")</f>
        <v/>
      </c>
      <c r="Z264" s="98" t="str">
        <f>IF(IFERROR(VLOOKUP(A264,'25.管路'!C:D,1,0),"")="","","✔")</f>
        <v/>
      </c>
      <c r="AA264" s="98" t="str">
        <f>IF(IFERROR(VLOOKUP(A264,'26.植栽(移植)'!C:D,1,0),"")="","","✔")</f>
        <v/>
      </c>
      <c r="AB264" s="98" t="str">
        <f>IF(IFERROR(VLOOKUP(A264,'27.植栽(新植)'!C:D,1,0),"")="","","✔")</f>
        <v/>
      </c>
      <c r="AC264" s="98" t="str">
        <f>IF(IFERROR(VLOOKUP(A264,'28.照明'!C:D,1,0),"")="","","✔")</f>
        <v/>
      </c>
      <c r="AD264" s="98" t="str">
        <f>IF(IFERROR(VLOOKUP(A264,'29.既有橋梁拆除'!C:D,1,0),"")="","","✔")</f>
        <v/>
      </c>
    </row>
    <row r="265" spans="1:30" ht="21.75" customHeight="1" x14ac:dyDescent="0.25">
      <c r="A265" s="99">
        <v>45455</v>
      </c>
      <c r="B265" s="98" t="str">
        <f>IF(IFERROR(VLOOKUP(A265,'1.測量放樣'!C:D,1,0),"")="","","✔")</f>
        <v/>
      </c>
      <c r="C265" s="98" t="str">
        <f>IF(IFERROR(VLOOKUP(A265,'2.土方開挖'!C:D,1,0),"")="","","✔")</f>
        <v/>
      </c>
      <c r="D265" s="98" t="str">
        <f>IF(IFERROR(VLOOKUP(A265,'3.土方回填'!C:D,1,0),"")="","","✔")</f>
        <v/>
      </c>
      <c r="E265" s="98" t="str">
        <f>IF(IFERROR(VLOOKUP(A265,'4.鋼筋'!C:D,1,0),"")="","","✔")</f>
        <v/>
      </c>
      <c r="F265" s="98" t="str">
        <f>IF(IFERROR(VLOOKUP(A265,'5.模板'!C:D,1,0),"")="","","✔")</f>
        <v/>
      </c>
      <c r="G265" s="98" t="str">
        <f>IF(IFERROR(VLOOKUP(A265,'6.混凝土'!C:D,1,0),"")="","","✔")</f>
        <v/>
      </c>
      <c r="H265" s="98" t="str">
        <f>IF(IFERROR(VLOOKUP(A265,'7.植筋'!C:D,1,0),"")="","","✔")</f>
        <v/>
      </c>
      <c r="I265" s="98" t="str">
        <f>IF(IFERROR(VLOOKUP(A265,'8.預力混凝土基樁'!C:D,1,0),"")="","","✔")</f>
        <v/>
      </c>
      <c r="J265" s="98" t="str">
        <f>IF(IFERROR(VLOOKUP(A265,'9.砌塊石護岸'!C:D,1,0),"")="","","✔")</f>
        <v/>
      </c>
      <c r="K265" s="98" t="str">
        <f>IF(IFERROR(VLOOKUP(A265,'10.低水護岸'!C:D,1,0),"")="","","✔")</f>
        <v/>
      </c>
      <c r="L265" s="98" t="str">
        <f>IF(IFERROR(VLOOKUP(A265,'11.固床工'!C:D,1,0),"")="","","✔")</f>
        <v/>
      </c>
      <c r="M265" s="98" t="str">
        <f>IF(IFERROR(VLOOKUP(A265,'12.全套管基樁'!C:D,1,0),"")="","","✔")</f>
        <v/>
      </c>
      <c r="N265" s="98" t="str">
        <f>IF(IFERROR(VLOOKUP(A265,'13.鋼筋混凝土管工程'!C:D,1,0),"")="","","✔")</f>
        <v/>
      </c>
      <c r="O265" s="98" t="str">
        <f>IF(IFERROR(VLOOKUP(A265,'14.鋼版樁'!C:D,1,0),"")="","","✔")</f>
        <v/>
      </c>
      <c r="P265" s="98" t="str">
        <f>IF(IFERROR(VLOOKUP(A265,'15.路床 路基高程'!C:D,1,0),"")="","","✔")</f>
        <v/>
      </c>
      <c r="Q265" s="98" t="str">
        <f>IF(IFERROR(VLOOKUP(A265,'16.瀝青混凝土'!C:D,1,0),"")="","","✔")</f>
        <v/>
      </c>
      <c r="R265" s="98" t="str">
        <f>IF(IFERROR(VLOOKUP(A265,'17.景觀鋪面(一)'!C:D,1,0),"")="","","✔")</f>
        <v/>
      </c>
      <c r="S265" s="98" t="str">
        <f>IF(IFERROR(VLOOKUP(A265,'18.景觀鋪面(二)'!C:D,1,0),"")="","","✔")</f>
        <v/>
      </c>
      <c r="T265" s="98" t="str">
        <f>IF(IFERROR(VLOOKUP(A265,'19.預鑄緣石'!C:D,1,0),"")="","","✔")</f>
        <v/>
      </c>
      <c r="U265" s="98" t="str">
        <f>IF(IFERROR(VLOOKUP(A265,'20.鋼構工程吊裝'!C:D,1,0),"")="","","✔")</f>
        <v/>
      </c>
      <c r="V265" s="98" t="str">
        <f>IF(IFERROR(VLOOKUP(A265,'21.鋼構工程塗裝'!C:D,1,0),"")="","","✔")</f>
        <v/>
      </c>
      <c r="W265" s="98" t="str">
        <f>IF(IFERROR(VLOOKUP(A265,'22.排水設施(一)'!C:D,1,0),"")="","","✔")</f>
        <v/>
      </c>
      <c r="X265" s="98" t="str">
        <f>IF(IFERROR(VLOOKUP(A265,'23.排水設施(二)'!C:D,1,0),"")="","","✔")</f>
        <v/>
      </c>
      <c r="Y265" s="98" t="str">
        <f>IF(IFERROR(VLOOKUP(A265,'24.木構造'!C:D,1,0),"")="","","✔")</f>
        <v/>
      </c>
      <c r="Z265" s="98" t="str">
        <f>IF(IFERROR(VLOOKUP(A265,'25.管路'!C:D,1,0),"")="","","✔")</f>
        <v/>
      </c>
      <c r="AA265" s="98" t="str">
        <f>IF(IFERROR(VLOOKUP(A265,'26.植栽(移植)'!C:D,1,0),"")="","","✔")</f>
        <v/>
      </c>
      <c r="AB265" s="98" t="str">
        <f>IF(IFERROR(VLOOKUP(A265,'27.植栽(新植)'!C:D,1,0),"")="","","✔")</f>
        <v/>
      </c>
      <c r="AC265" s="98" t="str">
        <f>IF(IFERROR(VLOOKUP(A265,'28.照明'!C:D,1,0),"")="","","✔")</f>
        <v/>
      </c>
      <c r="AD265" s="98" t="str">
        <f>IF(IFERROR(VLOOKUP(A265,'29.既有橋梁拆除'!C:D,1,0),"")="","","✔")</f>
        <v/>
      </c>
    </row>
    <row r="266" spans="1:30" ht="21.75" customHeight="1" x14ac:dyDescent="0.25">
      <c r="A266" s="99">
        <v>45456</v>
      </c>
      <c r="B266" s="98" t="str">
        <f>IF(IFERROR(VLOOKUP(A266,'1.測量放樣'!C:D,1,0),"")="","","✔")</f>
        <v/>
      </c>
      <c r="C266" s="98" t="str">
        <f>IF(IFERROR(VLOOKUP(A266,'2.土方開挖'!C:D,1,0),"")="","","✔")</f>
        <v/>
      </c>
      <c r="D266" s="98" t="str">
        <f>IF(IFERROR(VLOOKUP(A266,'3.土方回填'!C:D,1,0),"")="","","✔")</f>
        <v/>
      </c>
      <c r="E266" s="98" t="str">
        <f>IF(IFERROR(VLOOKUP(A266,'4.鋼筋'!C:D,1,0),"")="","","✔")</f>
        <v/>
      </c>
      <c r="F266" s="98" t="str">
        <f>IF(IFERROR(VLOOKUP(A266,'5.模板'!C:D,1,0),"")="","","✔")</f>
        <v/>
      </c>
      <c r="G266" s="98" t="str">
        <f>IF(IFERROR(VLOOKUP(A266,'6.混凝土'!C:D,1,0),"")="","","✔")</f>
        <v/>
      </c>
      <c r="H266" s="98" t="str">
        <f>IF(IFERROR(VLOOKUP(A266,'7.植筋'!C:D,1,0),"")="","","✔")</f>
        <v/>
      </c>
      <c r="I266" s="98" t="str">
        <f>IF(IFERROR(VLOOKUP(A266,'8.預力混凝土基樁'!C:D,1,0),"")="","","✔")</f>
        <v/>
      </c>
      <c r="J266" s="98" t="str">
        <f>IF(IFERROR(VLOOKUP(A266,'9.砌塊石護岸'!C:D,1,0),"")="","","✔")</f>
        <v/>
      </c>
      <c r="K266" s="98" t="str">
        <f>IF(IFERROR(VLOOKUP(A266,'10.低水護岸'!C:D,1,0),"")="","","✔")</f>
        <v/>
      </c>
      <c r="L266" s="98" t="str">
        <f>IF(IFERROR(VLOOKUP(A266,'11.固床工'!C:D,1,0),"")="","","✔")</f>
        <v/>
      </c>
      <c r="M266" s="98" t="str">
        <f>IF(IFERROR(VLOOKUP(A266,'12.全套管基樁'!C:D,1,0),"")="","","✔")</f>
        <v/>
      </c>
      <c r="N266" s="98" t="str">
        <f>IF(IFERROR(VLOOKUP(A266,'13.鋼筋混凝土管工程'!C:D,1,0),"")="","","✔")</f>
        <v/>
      </c>
      <c r="O266" s="98" t="str">
        <f>IF(IFERROR(VLOOKUP(A266,'14.鋼版樁'!C:D,1,0),"")="","","✔")</f>
        <v/>
      </c>
      <c r="P266" s="98" t="str">
        <f>IF(IFERROR(VLOOKUP(A266,'15.路床 路基高程'!C:D,1,0),"")="","","✔")</f>
        <v/>
      </c>
      <c r="Q266" s="98" t="str">
        <f>IF(IFERROR(VLOOKUP(A266,'16.瀝青混凝土'!C:D,1,0),"")="","","✔")</f>
        <v/>
      </c>
      <c r="R266" s="98" t="str">
        <f>IF(IFERROR(VLOOKUP(A266,'17.景觀鋪面(一)'!C:D,1,0),"")="","","✔")</f>
        <v/>
      </c>
      <c r="S266" s="98" t="str">
        <f>IF(IFERROR(VLOOKUP(A266,'18.景觀鋪面(二)'!C:D,1,0),"")="","","✔")</f>
        <v/>
      </c>
      <c r="T266" s="98" t="str">
        <f>IF(IFERROR(VLOOKUP(A266,'19.預鑄緣石'!C:D,1,0),"")="","","✔")</f>
        <v/>
      </c>
      <c r="U266" s="98" t="str">
        <f>IF(IFERROR(VLOOKUP(A266,'20.鋼構工程吊裝'!C:D,1,0),"")="","","✔")</f>
        <v/>
      </c>
      <c r="V266" s="98" t="str">
        <f>IF(IFERROR(VLOOKUP(A266,'21.鋼構工程塗裝'!C:D,1,0),"")="","","✔")</f>
        <v/>
      </c>
      <c r="W266" s="98" t="str">
        <f>IF(IFERROR(VLOOKUP(A266,'22.排水設施(一)'!C:D,1,0),"")="","","✔")</f>
        <v/>
      </c>
      <c r="X266" s="98" t="str">
        <f>IF(IFERROR(VLOOKUP(A266,'23.排水設施(二)'!C:D,1,0),"")="","","✔")</f>
        <v/>
      </c>
      <c r="Y266" s="98" t="str">
        <f>IF(IFERROR(VLOOKUP(A266,'24.木構造'!C:D,1,0),"")="","","✔")</f>
        <v/>
      </c>
      <c r="Z266" s="98" t="str">
        <f>IF(IFERROR(VLOOKUP(A266,'25.管路'!C:D,1,0),"")="","","✔")</f>
        <v/>
      </c>
      <c r="AA266" s="98" t="str">
        <f>IF(IFERROR(VLOOKUP(A266,'26.植栽(移植)'!C:D,1,0),"")="","","✔")</f>
        <v/>
      </c>
      <c r="AB266" s="98" t="str">
        <f>IF(IFERROR(VLOOKUP(A266,'27.植栽(新植)'!C:D,1,0),"")="","","✔")</f>
        <v/>
      </c>
      <c r="AC266" s="98" t="str">
        <f>IF(IFERROR(VLOOKUP(A266,'28.照明'!C:D,1,0),"")="","","✔")</f>
        <v/>
      </c>
      <c r="AD266" s="98" t="str">
        <f>IF(IFERROR(VLOOKUP(A266,'29.既有橋梁拆除'!C:D,1,0),"")="","","✔")</f>
        <v/>
      </c>
    </row>
    <row r="267" spans="1:30" ht="21.75" customHeight="1" x14ac:dyDescent="0.25">
      <c r="A267" s="99">
        <v>45457</v>
      </c>
      <c r="B267" s="98" t="str">
        <f>IF(IFERROR(VLOOKUP(A267,'1.測量放樣'!C:D,1,0),"")="","","✔")</f>
        <v/>
      </c>
      <c r="C267" s="98" t="str">
        <f>IF(IFERROR(VLOOKUP(A267,'2.土方開挖'!C:D,1,0),"")="","","✔")</f>
        <v/>
      </c>
      <c r="D267" s="98" t="str">
        <f>IF(IFERROR(VLOOKUP(A267,'3.土方回填'!C:D,1,0),"")="","","✔")</f>
        <v/>
      </c>
      <c r="E267" s="98" t="str">
        <f>IF(IFERROR(VLOOKUP(A267,'4.鋼筋'!C:D,1,0),"")="","","✔")</f>
        <v/>
      </c>
      <c r="F267" s="98" t="str">
        <f>IF(IFERROR(VLOOKUP(A267,'5.模板'!C:D,1,0),"")="","","✔")</f>
        <v/>
      </c>
      <c r="G267" s="98" t="str">
        <f>IF(IFERROR(VLOOKUP(A267,'6.混凝土'!C:D,1,0),"")="","","✔")</f>
        <v/>
      </c>
      <c r="H267" s="98" t="str">
        <f>IF(IFERROR(VLOOKUP(A267,'7.植筋'!C:D,1,0),"")="","","✔")</f>
        <v/>
      </c>
      <c r="I267" s="98" t="str">
        <f>IF(IFERROR(VLOOKUP(A267,'8.預力混凝土基樁'!C:D,1,0),"")="","","✔")</f>
        <v/>
      </c>
      <c r="J267" s="98" t="str">
        <f>IF(IFERROR(VLOOKUP(A267,'9.砌塊石護岸'!C:D,1,0),"")="","","✔")</f>
        <v/>
      </c>
      <c r="K267" s="98" t="str">
        <f>IF(IFERROR(VLOOKUP(A267,'10.低水護岸'!C:D,1,0),"")="","","✔")</f>
        <v/>
      </c>
      <c r="L267" s="98" t="str">
        <f>IF(IFERROR(VLOOKUP(A267,'11.固床工'!C:D,1,0),"")="","","✔")</f>
        <v/>
      </c>
      <c r="M267" s="98" t="str">
        <f>IF(IFERROR(VLOOKUP(A267,'12.全套管基樁'!C:D,1,0),"")="","","✔")</f>
        <v/>
      </c>
      <c r="N267" s="98" t="str">
        <f>IF(IFERROR(VLOOKUP(A267,'13.鋼筋混凝土管工程'!C:D,1,0),"")="","","✔")</f>
        <v/>
      </c>
      <c r="O267" s="98" t="str">
        <f>IF(IFERROR(VLOOKUP(A267,'14.鋼版樁'!C:D,1,0),"")="","","✔")</f>
        <v/>
      </c>
      <c r="P267" s="98" t="str">
        <f>IF(IFERROR(VLOOKUP(A267,'15.路床 路基高程'!C:D,1,0),"")="","","✔")</f>
        <v/>
      </c>
      <c r="Q267" s="98" t="str">
        <f>IF(IFERROR(VLOOKUP(A267,'16.瀝青混凝土'!C:D,1,0),"")="","","✔")</f>
        <v/>
      </c>
      <c r="R267" s="98" t="str">
        <f>IF(IFERROR(VLOOKUP(A267,'17.景觀鋪面(一)'!C:D,1,0),"")="","","✔")</f>
        <v/>
      </c>
      <c r="S267" s="98" t="str">
        <f>IF(IFERROR(VLOOKUP(A267,'18.景觀鋪面(二)'!C:D,1,0),"")="","","✔")</f>
        <v/>
      </c>
      <c r="T267" s="98" t="str">
        <f>IF(IFERROR(VLOOKUP(A267,'19.預鑄緣石'!C:D,1,0),"")="","","✔")</f>
        <v/>
      </c>
      <c r="U267" s="98" t="str">
        <f>IF(IFERROR(VLOOKUP(A267,'20.鋼構工程吊裝'!C:D,1,0),"")="","","✔")</f>
        <v/>
      </c>
      <c r="V267" s="98" t="str">
        <f>IF(IFERROR(VLOOKUP(A267,'21.鋼構工程塗裝'!C:D,1,0),"")="","","✔")</f>
        <v/>
      </c>
      <c r="W267" s="98" t="str">
        <f>IF(IFERROR(VLOOKUP(A267,'22.排水設施(一)'!C:D,1,0),"")="","","✔")</f>
        <v/>
      </c>
      <c r="X267" s="98" t="str">
        <f>IF(IFERROR(VLOOKUP(A267,'23.排水設施(二)'!C:D,1,0),"")="","","✔")</f>
        <v/>
      </c>
      <c r="Y267" s="98" t="str">
        <f>IF(IFERROR(VLOOKUP(A267,'24.木構造'!C:D,1,0),"")="","","✔")</f>
        <v/>
      </c>
      <c r="Z267" s="98" t="str">
        <f>IF(IFERROR(VLOOKUP(A267,'25.管路'!C:D,1,0),"")="","","✔")</f>
        <v/>
      </c>
      <c r="AA267" s="98" t="str">
        <f>IF(IFERROR(VLOOKUP(A267,'26.植栽(移植)'!C:D,1,0),"")="","","✔")</f>
        <v/>
      </c>
      <c r="AB267" s="98" t="str">
        <f>IF(IFERROR(VLOOKUP(A267,'27.植栽(新植)'!C:D,1,0),"")="","","✔")</f>
        <v/>
      </c>
      <c r="AC267" s="98" t="str">
        <f>IF(IFERROR(VLOOKUP(A267,'28.照明'!C:D,1,0),"")="","","✔")</f>
        <v/>
      </c>
      <c r="AD267" s="98" t="str">
        <f>IF(IFERROR(VLOOKUP(A267,'29.既有橋梁拆除'!C:D,1,0),"")="","","✔")</f>
        <v/>
      </c>
    </row>
    <row r="268" spans="1:30" ht="21.75" customHeight="1" x14ac:dyDescent="0.25">
      <c r="A268" s="99">
        <v>45458</v>
      </c>
      <c r="B268" s="98" t="str">
        <f>IF(IFERROR(VLOOKUP(A268,'1.測量放樣'!C:D,1,0),"")="","","✔")</f>
        <v/>
      </c>
      <c r="C268" s="98" t="str">
        <f>IF(IFERROR(VLOOKUP(A268,'2.土方開挖'!C:D,1,0),"")="","","✔")</f>
        <v/>
      </c>
      <c r="D268" s="98" t="str">
        <f>IF(IFERROR(VLOOKUP(A268,'3.土方回填'!C:D,1,0),"")="","","✔")</f>
        <v/>
      </c>
      <c r="E268" s="98" t="str">
        <f>IF(IFERROR(VLOOKUP(A268,'4.鋼筋'!C:D,1,0),"")="","","✔")</f>
        <v/>
      </c>
      <c r="F268" s="98" t="str">
        <f>IF(IFERROR(VLOOKUP(A268,'5.模板'!C:D,1,0),"")="","","✔")</f>
        <v/>
      </c>
      <c r="G268" s="98" t="str">
        <f>IF(IFERROR(VLOOKUP(A268,'6.混凝土'!C:D,1,0),"")="","","✔")</f>
        <v/>
      </c>
      <c r="H268" s="98" t="str">
        <f>IF(IFERROR(VLOOKUP(A268,'7.植筋'!C:D,1,0),"")="","","✔")</f>
        <v/>
      </c>
      <c r="I268" s="98" t="str">
        <f>IF(IFERROR(VLOOKUP(A268,'8.預力混凝土基樁'!C:D,1,0),"")="","","✔")</f>
        <v/>
      </c>
      <c r="J268" s="98" t="str">
        <f>IF(IFERROR(VLOOKUP(A268,'9.砌塊石護岸'!C:D,1,0),"")="","","✔")</f>
        <v/>
      </c>
      <c r="K268" s="98" t="str">
        <f>IF(IFERROR(VLOOKUP(A268,'10.低水護岸'!C:D,1,0),"")="","","✔")</f>
        <v/>
      </c>
      <c r="L268" s="98" t="str">
        <f>IF(IFERROR(VLOOKUP(A268,'11.固床工'!C:D,1,0),"")="","","✔")</f>
        <v/>
      </c>
      <c r="M268" s="98" t="str">
        <f>IF(IFERROR(VLOOKUP(A268,'12.全套管基樁'!C:D,1,0),"")="","","✔")</f>
        <v/>
      </c>
      <c r="N268" s="98" t="str">
        <f>IF(IFERROR(VLOOKUP(A268,'13.鋼筋混凝土管工程'!C:D,1,0),"")="","","✔")</f>
        <v/>
      </c>
      <c r="O268" s="98" t="str">
        <f>IF(IFERROR(VLOOKUP(A268,'14.鋼版樁'!C:D,1,0),"")="","","✔")</f>
        <v/>
      </c>
      <c r="P268" s="98" t="str">
        <f>IF(IFERROR(VLOOKUP(A268,'15.路床 路基高程'!C:D,1,0),"")="","","✔")</f>
        <v/>
      </c>
      <c r="Q268" s="98" t="str">
        <f>IF(IFERROR(VLOOKUP(A268,'16.瀝青混凝土'!C:D,1,0),"")="","","✔")</f>
        <v/>
      </c>
      <c r="R268" s="98" t="str">
        <f>IF(IFERROR(VLOOKUP(A268,'17.景觀鋪面(一)'!C:D,1,0),"")="","","✔")</f>
        <v/>
      </c>
      <c r="S268" s="98" t="str">
        <f>IF(IFERROR(VLOOKUP(A268,'18.景觀鋪面(二)'!C:D,1,0),"")="","","✔")</f>
        <v/>
      </c>
      <c r="T268" s="98" t="str">
        <f>IF(IFERROR(VLOOKUP(A268,'19.預鑄緣石'!C:D,1,0),"")="","","✔")</f>
        <v/>
      </c>
      <c r="U268" s="98" t="str">
        <f>IF(IFERROR(VLOOKUP(A268,'20.鋼構工程吊裝'!C:D,1,0),"")="","","✔")</f>
        <v/>
      </c>
      <c r="V268" s="98" t="str">
        <f>IF(IFERROR(VLOOKUP(A268,'21.鋼構工程塗裝'!C:D,1,0),"")="","","✔")</f>
        <v/>
      </c>
      <c r="W268" s="98" t="str">
        <f>IF(IFERROR(VLOOKUP(A268,'22.排水設施(一)'!C:D,1,0),"")="","","✔")</f>
        <v/>
      </c>
      <c r="X268" s="98" t="str">
        <f>IF(IFERROR(VLOOKUP(A268,'23.排水設施(二)'!C:D,1,0),"")="","","✔")</f>
        <v/>
      </c>
      <c r="Y268" s="98" t="str">
        <f>IF(IFERROR(VLOOKUP(A268,'24.木構造'!C:D,1,0),"")="","","✔")</f>
        <v/>
      </c>
      <c r="Z268" s="98" t="str">
        <f>IF(IFERROR(VLOOKUP(A268,'25.管路'!C:D,1,0),"")="","","✔")</f>
        <v/>
      </c>
      <c r="AA268" s="98" t="str">
        <f>IF(IFERROR(VLOOKUP(A268,'26.植栽(移植)'!C:D,1,0),"")="","","✔")</f>
        <v/>
      </c>
      <c r="AB268" s="98" t="str">
        <f>IF(IFERROR(VLOOKUP(A268,'27.植栽(新植)'!C:D,1,0),"")="","","✔")</f>
        <v/>
      </c>
      <c r="AC268" s="98" t="str">
        <f>IF(IFERROR(VLOOKUP(A268,'28.照明'!C:D,1,0),"")="","","✔")</f>
        <v/>
      </c>
      <c r="AD268" s="98" t="str">
        <f>IF(IFERROR(VLOOKUP(A268,'29.既有橋梁拆除'!C:D,1,0),"")="","","✔")</f>
        <v/>
      </c>
    </row>
    <row r="269" spans="1:30" ht="21.75" customHeight="1" x14ac:dyDescent="0.25">
      <c r="A269" s="99">
        <v>45459</v>
      </c>
      <c r="B269" s="98" t="str">
        <f>IF(IFERROR(VLOOKUP(A269,'1.測量放樣'!C:D,1,0),"")="","","✔")</f>
        <v/>
      </c>
      <c r="C269" s="98" t="str">
        <f>IF(IFERROR(VLOOKUP(A269,'2.土方開挖'!C:D,1,0),"")="","","✔")</f>
        <v/>
      </c>
      <c r="D269" s="98" t="str">
        <f>IF(IFERROR(VLOOKUP(A269,'3.土方回填'!C:D,1,0),"")="","","✔")</f>
        <v/>
      </c>
      <c r="E269" s="98" t="str">
        <f>IF(IFERROR(VLOOKUP(A269,'4.鋼筋'!C:D,1,0),"")="","","✔")</f>
        <v/>
      </c>
      <c r="F269" s="98" t="str">
        <f>IF(IFERROR(VLOOKUP(A269,'5.模板'!C:D,1,0),"")="","","✔")</f>
        <v/>
      </c>
      <c r="G269" s="98" t="str">
        <f>IF(IFERROR(VLOOKUP(A269,'6.混凝土'!C:D,1,0),"")="","","✔")</f>
        <v/>
      </c>
      <c r="H269" s="98" t="str">
        <f>IF(IFERROR(VLOOKUP(A269,'7.植筋'!C:D,1,0),"")="","","✔")</f>
        <v/>
      </c>
      <c r="I269" s="98" t="str">
        <f>IF(IFERROR(VLOOKUP(A269,'8.預力混凝土基樁'!C:D,1,0),"")="","","✔")</f>
        <v/>
      </c>
      <c r="J269" s="98" t="str">
        <f>IF(IFERROR(VLOOKUP(A269,'9.砌塊石護岸'!C:D,1,0),"")="","","✔")</f>
        <v/>
      </c>
      <c r="K269" s="98" t="str">
        <f>IF(IFERROR(VLOOKUP(A269,'10.低水護岸'!C:D,1,0),"")="","","✔")</f>
        <v/>
      </c>
      <c r="L269" s="98" t="str">
        <f>IF(IFERROR(VLOOKUP(A269,'11.固床工'!C:D,1,0),"")="","","✔")</f>
        <v/>
      </c>
      <c r="M269" s="98" t="str">
        <f>IF(IFERROR(VLOOKUP(A269,'12.全套管基樁'!C:D,1,0),"")="","","✔")</f>
        <v/>
      </c>
      <c r="N269" s="98" t="str">
        <f>IF(IFERROR(VLOOKUP(A269,'13.鋼筋混凝土管工程'!C:D,1,0),"")="","","✔")</f>
        <v/>
      </c>
      <c r="O269" s="98" t="str">
        <f>IF(IFERROR(VLOOKUP(A269,'14.鋼版樁'!C:D,1,0),"")="","","✔")</f>
        <v/>
      </c>
      <c r="P269" s="98" t="str">
        <f>IF(IFERROR(VLOOKUP(A269,'15.路床 路基高程'!C:D,1,0),"")="","","✔")</f>
        <v/>
      </c>
      <c r="Q269" s="98" t="str">
        <f>IF(IFERROR(VLOOKUP(A269,'16.瀝青混凝土'!C:D,1,0),"")="","","✔")</f>
        <v/>
      </c>
      <c r="R269" s="98" t="str">
        <f>IF(IFERROR(VLOOKUP(A269,'17.景觀鋪面(一)'!C:D,1,0),"")="","","✔")</f>
        <v/>
      </c>
      <c r="S269" s="98" t="str">
        <f>IF(IFERROR(VLOOKUP(A269,'18.景觀鋪面(二)'!C:D,1,0),"")="","","✔")</f>
        <v/>
      </c>
      <c r="T269" s="98" t="str">
        <f>IF(IFERROR(VLOOKUP(A269,'19.預鑄緣石'!C:D,1,0),"")="","","✔")</f>
        <v/>
      </c>
      <c r="U269" s="98" t="str">
        <f>IF(IFERROR(VLOOKUP(A269,'20.鋼構工程吊裝'!C:D,1,0),"")="","","✔")</f>
        <v/>
      </c>
      <c r="V269" s="98" t="str">
        <f>IF(IFERROR(VLOOKUP(A269,'21.鋼構工程塗裝'!C:D,1,0),"")="","","✔")</f>
        <v/>
      </c>
      <c r="W269" s="98" t="str">
        <f>IF(IFERROR(VLOOKUP(A269,'22.排水設施(一)'!C:D,1,0),"")="","","✔")</f>
        <v/>
      </c>
      <c r="X269" s="98" t="str">
        <f>IF(IFERROR(VLOOKUP(A269,'23.排水設施(二)'!C:D,1,0),"")="","","✔")</f>
        <v/>
      </c>
      <c r="Y269" s="98" t="str">
        <f>IF(IFERROR(VLOOKUP(A269,'24.木構造'!C:D,1,0),"")="","","✔")</f>
        <v/>
      </c>
      <c r="Z269" s="98" t="str">
        <f>IF(IFERROR(VLOOKUP(A269,'25.管路'!C:D,1,0),"")="","","✔")</f>
        <v/>
      </c>
      <c r="AA269" s="98" t="str">
        <f>IF(IFERROR(VLOOKUP(A269,'26.植栽(移植)'!C:D,1,0),"")="","","✔")</f>
        <v/>
      </c>
      <c r="AB269" s="98" t="str">
        <f>IF(IFERROR(VLOOKUP(A269,'27.植栽(新植)'!C:D,1,0),"")="","","✔")</f>
        <v/>
      </c>
      <c r="AC269" s="98" t="str">
        <f>IF(IFERROR(VLOOKUP(A269,'28.照明'!C:D,1,0),"")="","","✔")</f>
        <v/>
      </c>
      <c r="AD269" s="98" t="str">
        <f>IF(IFERROR(VLOOKUP(A269,'29.既有橋梁拆除'!C:D,1,0),"")="","","✔")</f>
        <v/>
      </c>
    </row>
    <row r="270" spans="1:30" ht="21.75" customHeight="1" x14ac:dyDescent="0.25">
      <c r="A270" s="99">
        <v>45460</v>
      </c>
      <c r="B270" s="98" t="str">
        <f>IF(IFERROR(VLOOKUP(A270,'1.測量放樣'!C:D,1,0),"")="","","✔")</f>
        <v/>
      </c>
      <c r="C270" s="98" t="str">
        <f>IF(IFERROR(VLOOKUP(A270,'2.土方開挖'!C:D,1,0),"")="","","✔")</f>
        <v/>
      </c>
      <c r="D270" s="98" t="str">
        <f>IF(IFERROR(VLOOKUP(A270,'3.土方回填'!C:D,1,0),"")="","","✔")</f>
        <v/>
      </c>
      <c r="E270" s="98" t="str">
        <f>IF(IFERROR(VLOOKUP(A270,'4.鋼筋'!C:D,1,0),"")="","","✔")</f>
        <v/>
      </c>
      <c r="F270" s="98" t="str">
        <f>IF(IFERROR(VLOOKUP(A270,'5.模板'!C:D,1,0),"")="","","✔")</f>
        <v/>
      </c>
      <c r="G270" s="98" t="str">
        <f>IF(IFERROR(VLOOKUP(A270,'6.混凝土'!C:D,1,0),"")="","","✔")</f>
        <v/>
      </c>
      <c r="H270" s="98" t="str">
        <f>IF(IFERROR(VLOOKUP(A270,'7.植筋'!C:D,1,0),"")="","","✔")</f>
        <v/>
      </c>
      <c r="I270" s="98" t="str">
        <f>IF(IFERROR(VLOOKUP(A270,'8.預力混凝土基樁'!C:D,1,0),"")="","","✔")</f>
        <v/>
      </c>
      <c r="J270" s="98" t="str">
        <f>IF(IFERROR(VLOOKUP(A270,'9.砌塊石護岸'!C:D,1,0),"")="","","✔")</f>
        <v/>
      </c>
      <c r="K270" s="98" t="str">
        <f>IF(IFERROR(VLOOKUP(A270,'10.低水護岸'!C:D,1,0),"")="","","✔")</f>
        <v/>
      </c>
      <c r="L270" s="98" t="str">
        <f>IF(IFERROR(VLOOKUP(A270,'11.固床工'!C:D,1,0),"")="","","✔")</f>
        <v/>
      </c>
      <c r="M270" s="98" t="str">
        <f>IF(IFERROR(VLOOKUP(A270,'12.全套管基樁'!C:D,1,0),"")="","","✔")</f>
        <v/>
      </c>
      <c r="N270" s="98" t="str">
        <f>IF(IFERROR(VLOOKUP(A270,'13.鋼筋混凝土管工程'!C:D,1,0),"")="","","✔")</f>
        <v/>
      </c>
      <c r="O270" s="98" t="str">
        <f>IF(IFERROR(VLOOKUP(A270,'14.鋼版樁'!C:D,1,0),"")="","","✔")</f>
        <v/>
      </c>
      <c r="P270" s="98" t="str">
        <f>IF(IFERROR(VLOOKUP(A270,'15.路床 路基高程'!C:D,1,0),"")="","","✔")</f>
        <v/>
      </c>
      <c r="Q270" s="98" t="str">
        <f>IF(IFERROR(VLOOKUP(A270,'16.瀝青混凝土'!C:D,1,0),"")="","","✔")</f>
        <v/>
      </c>
      <c r="R270" s="98" t="str">
        <f>IF(IFERROR(VLOOKUP(A270,'17.景觀鋪面(一)'!C:D,1,0),"")="","","✔")</f>
        <v/>
      </c>
      <c r="S270" s="98" t="str">
        <f>IF(IFERROR(VLOOKUP(A270,'18.景觀鋪面(二)'!C:D,1,0),"")="","","✔")</f>
        <v/>
      </c>
      <c r="T270" s="98" t="str">
        <f>IF(IFERROR(VLOOKUP(A270,'19.預鑄緣石'!C:D,1,0),"")="","","✔")</f>
        <v/>
      </c>
      <c r="U270" s="98" t="str">
        <f>IF(IFERROR(VLOOKUP(A270,'20.鋼構工程吊裝'!C:D,1,0),"")="","","✔")</f>
        <v/>
      </c>
      <c r="V270" s="98" t="str">
        <f>IF(IFERROR(VLOOKUP(A270,'21.鋼構工程塗裝'!C:D,1,0),"")="","","✔")</f>
        <v/>
      </c>
      <c r="W270" s="98" t="str">
        <f>IF(IFERROR(VLOOKUP(A270,'22.排水設施(一)'!C:D,1,0),"")="","","✔")</f>
        <v/>
      </c>
      <c r="X270" s="98" t="str">
        <f>IF(IFERROR(VLOOKUP(A270,'23.排水設施(二)'!C:D,1,0),"")="","","✔")</f>
        <v/>
      </c>
      <c r="Y270" s="98" t="str">
        <f>IF(IFERROR(VLOOKUP(A270,'24.木構造'!C:D,1,0),"")="","","✔")</f>
        <v/>
      </c>
      <c r="Z270" s="98" t="str">
        <f>IF(IFERROR(VLOOKUP(A270,'25.管路'!C:D,1,0),"")="","","✔")</f>
        <v/>
      </c>
      <c r="AA270" s="98" t="str">
        <f>IF(IFERROR(VLOOKUP(A270,'26.植栽(移植)'!C:D,1,0),"")="","","✔")</f>
        <v/>
      </c>
      <c r="AB270" s="98" t="str">
        <f>IF(IFERROR(VLOOKUP(A270,'27.植栽(新植)'!C:D,1,0),"")="","","✔")</f>
        <v/>
      </c>
      <c r="AC270" s="98" t="str">
        <f>IF(IFERROR(VLOOKUP(A270,'28.照明'!C:D,1,0),"")="","","✔")</f>
        <v/>
      </c>
      <c r="AD270" s="98" t="str">
        <f>IF(IFERROR(VLOOKUP(A270,'29.既有橋梁拆除'!C:D,1,0),"")="","","✔")</f>
        <v/>
      </c>
    </row>
    <row r="271" spans="1:30" ht="21.75" customHeight="1" x14ac:dyDescent="0.25">
      <c r="A271" s="99">
        <v>45461</v>
      </c>
      <c r="B271" s="98" t="str">
        <f>IF(IFERROR(VLOOKUP(A271,'1.測量放樣'!C:D,1,0),"")="","","✔")</f>
        <v/>
      </c>
      <c r="C271" s="98" t="str">
        <f>IF(IFERROR(VLOOKUP(A271,'2.土方開挖'!C:D,1,0),"")="","","✔")</f>
        <v/>
      </c>
      <c r="D271" s="98" t="str">
        <f>IF(IFERROR(VLOOKUP(A271,'3.土方回填'!C:D,1,0),"")="","","✔")</f>
        <v/>
      </c>
      <c r="E271" s="98" t="str">
        <f>IF(IFERROR(VLOOKUP(A271,'4.鋼筋'!C:D,1,0),"")="","","✔")</f>
        <v/>
      </c>
      <c r="F271" s="98" t="str">
        <f>IF(IFERROR(VLOOKUP(A271,'5.模板'!C:D,1,0),"")="","","✔")</f>
        <v/>
      </c>
      <c r="G271" s="98" t="str">
        <f>IF(IFERROR(VLOOKUP(A271,'6.混凝土'!C:D,1,0),"")="","","✔")</f>
        <v/>
      </c>
      <c r="H271" s="98" t="str">
        <f>IF(IFERROR(VLOOKUP(A271,'7.植筋'!C:D,1,0),"")="","","✔")</f>
        <v/>
      </c>
      <c r="I271" s="98" t="str">
        <f>IF(IFERROR(VLOOKUP(A271,'8.預力混凝土基樁'!C:D,1,0),"")="","","✔")</f>
        <v/>
      </c>
      <c r="J271" s="98" t="str">
        <f>IF(IFERROR(VLOOKUP(A271,'9.砌塊石護岸'!C:D,1,0),"")="","","✔")</f>
        <v/>
      </c>
      <c r="K271" s="98" t="str">
        <f>IF(IFERROR(VLOOKUP(A271,'10.低水護岸'!C:D,1,0),"")="","","✔")</f>
        <v/>
      </c>
      <c r="L271" s="98" t="str">
        <f>IF(IFERROR(VLOOKUP(A271,'11.固床工'!C:D,1,0),"")="","","✔")</f>
        <v/>
      </c>
      <c r="M271" s="98" t="str">
        <f>IF(IFERROR(VLOOKUP(A271,'12.全套管基樁'!C:D,1,0),"")="","","✔")</f>
        <v/>
      </c>
      <c r="N271" s="98" t="str">
        <f>IF(IFERROR(VLOOKUP(A271,'13.鋼筋混凝土管工程'!C:D,1,0),"")="","","✔")</f>
        <v/>
      </c>
      <c r="O271" s="98" t="str">
        <f>IF(IFERROR(VLOOKUP(A271,'14.鋼版樁'!C:D,1,0),"")="","","✔")</f>
        <v/>
      </c>
      <c r="P271" s="98" t="str">
        <f>IF(IFERROR(VLOOKUP(A271,'15.路床 路基高程'!C:D,1,0),"")="","","✔")</f>
        <v/>
      </c>
      <c r="Q271" s="98" t="str">
        <f>IF(IFERROR(VLOOKUP(A271,'16.瀝青混凝土'!C:D,1,0),"")="","","✔")</f>
        <v/>
      </c>
      <c r="R271" s="98" t="str">
        <f>IF(IFERROR(VLOOKUP(A271,'17.景觀鋪面(一)'!C:D,1,0),"")="","","✔")</f>
        <v/>
      </c>
      <c r="S271" s="98" t="str">
        <f>IF(IFERROR(VLOOKUP(A271,'18.景觀鋪面(二)'!C:D,1,0),"")="","","✔")</f>
        <v/>
      </c>
      <c r="T271" s="98" t="str">
        <f>IF(IFERROR(VLOOKUP(A271,'19.預鑄緣石'!C:D,1,0),"")="","","✔")</f>
        <v/>
      </c>
      <c r="U271" s="98" t="str">
        <f>IF(IFERROR(VLOOKUP(A271,'20.鋼構工程吊裝'!C:D,1,0),"")="","","✔")</f>
        <v/>
      </c>
      <c r="V271" s="98" t="str">
        <f>IF(IFERROR(VLOOKUP(A271,'21.鋼構工程塗裝'!C:D,1,0),"")="","","✔")</f>
        <v/>
      </c>
      <c r="W271" s="98" t="str">
        <f>IF(IFERROR(VLOOKUP(A271,'22.排水設施(一)'!C:D,1,0),"")="","","✔")</f>
        <v/>
      </c>
      <c r="X271" s="98" t="str">
        <f>IF(IFERROR(VLOOKUP(A271,'23.排水設施(二)'!C:D,1,0),"")="","","✔")</f>
        <v/>
      </c>
      <c r="Y271" s="98" t="str">
        <f>IF(IFERROR(VLOOKUP(A271,'24.木構造'!C:D,1,0),"")="","","✔")</f>
        <v/>
      </c>
      <c r="Z271" s="98" t="str">
        <f>IF(IFERROR(VLOOKUP(A271,'25.管路'!C:D,1,0),"")="","","✔")</f>
        <v/>
      </c>
      <c r="AA271" s="98" t="str">
        <f>IF(IFERROR(VLOOKUP(A271,'26.植栽(移植)'!C:D,1,0),"")="","","✔")</f>
        <v/>
      </c>
      <c r="AB271" s="98" t="str">
        <f>IF(IFERROR(VLOOKUP(A271,'27.植栽(新植)'!C:D,1,0),"")="","","✔")</f>
        <v/>
      </c>
      <c r="AC271" s="98" t="str">
        <f>IF(IFERROR(VLOOKUP(A271,'28.照明'!C:D,1,0),"")="","","✔")</f>
        <v/>
      </c>
      <c r="AD271" s="98" t="str">
        <f>IF(IFERROR(VLOOKUP(A271,'29.既有橋梁拆除'!C:D,1,0),"")="","","✔")</f>
        <v/>
      </c>
    </row>
    <row r="272" spans="1:30" ht="21.75" customHeight="1" x14ac:dyDescent="0.25">
      <c r="A272" s="99">
        <v>45462</v>
      </c>
      <c r="B272" s="98" t="str">
        <f>IF(IFERROR(VLOOKUP(A272,'1.測量放樣'!C:D,1,0),"")="","","✔")</f>
        <v/>
      </c>
      <c r="C272" s="98" t="str">
        <f>IF(IFERROR(VLOOKUP(A272,'2.土方開挖'!C:D,1,0),"")="","","✔")</f>
        <v/>
      </c>
      <c r="D272" s="98" t="str">
        <f>IF(IFERROR(VLOOKUP(A272,'3.土方回填'!C:D,1,0),"")="","","✔")</f>
        <v/>
      </c>
      <c r="E272" s="98" t="str">
        <f>IF(IFERROR(VLOOKUP(A272,'4.鋼筋'!C:D,1,0),"")="","","✔")</f>
        <v/>
      </c>
      <c r="F272" s="98" t="str">
        <f>IF(IFERROR(VLOOKUP(A272,'5.模板'!C:D,1,0),"")="","","✔")</f>
        <v/>
      </c>
      <c r="G272" s="98" t="str">
        <f>IF(IFERROR(VLOOKUP(A272,'6.混凝土'!C:D,1,0),"")="","","✔")</f>
        <v/>
      </c>
      <c r="H272" s="98" t="str">
        <f>IF(IFERROR(VLOOKUP(A272,'7.植筋'!C:D,1,0),"")="","","✔")</f>
        <v/>
      </c>
      <c r="I272" s="98" t="str">
        <f>IF(IFERROR(VLOOKUP(A272,'8.預力混凝土基樁'!C:D,1,0),"")="","","✔")</f>
        <v/>
      </c>
      <c r="J272" s="98" t="str">
        <f>IF(IFERROR(VLOOKUP(A272,'9.砌塊石護岸'!C:D,1,0),"")="","","✔")</f>
        <v/>
      </c>
      <c r="K272" s="98" t="str">
        <f>IF(IFERROR(VLOOKUP(A272,'10.低水護岸'!C:D,1,0),"")="","","✔")</f>
        <v/>
      </c>
      <c r="L272" s="98" t="str">
        <f>IF(IFERROR(VLOOKUP(A272,'11.固床工'!C:D,1,0),"")="","","✔")</f>
        <v/>
      </c>
      <c r="M272" s="98" t="str">
        <f>IF(IFERROR(VLOOKUP(A272,'12.全套管基樁'!C:D,1,0),"")="","","✔")</f>
        <v/>
      </c>
      <c r="N272" s="98" t="str">
        <f>IF(IFERROR(VLOOKUP(A272,'13.鋼筋混凝土管工程'!C:D,1,0),"")="","","✔")</f>
        <v/>
      </c>
      <c r="O272" s="98" t="str">
        <f>IF(IFERROR(VLOOKUP(A272,'14.鋼版樁'!C:D,1,0),"")="","","✔")</f>
        <v/>
      </c>
      <c r="P272" s="98" t="str">
        <f>IF(IFERROR(VLOOKUP(A272,'15.路床 路基高程'!C:D,1,0),"")="","","✔")</f>
        <v/>
      </c>
      <c r="Q272" s="98" t="str">
        <f>IF(IFERROR(VLOOKUP(A272,'16.瀝青混凝土'!C:D,1,0),"")="","","✔")</f>
        <v/>
      </c>
      <c r="R272" s="98" t="str">
        <f>IF(IFERROR(VLOOKUP(A272,'17.景觀鋪面(一)'!C:D,1,0),"")="","","✔")</f>
        <v/>
      </c>
      <c r="S272" s="98" t="str">
        <f>IF(IFERROR(VLOOKUP(A272,'18.景觀鋪面(二)'!C:D,1,0),"")="","","✔")</f>
        <v/>
      </c>
      <c r="T272" s="98" t="str">
        <f>IF(IFERROR(VLOOKUP(A272,'19.預鑄緣石'!C:D,1,0),"")="","","✔")</f>
        <v/>
      </c>
      <c r="U272" s="98" t="str">
        <f>IF(IFERROR(VLOOKUP(A272,'20.鋼構工程吊裝'!C:D,1,0),"")="","","✔")</f>
        <v/>
      </c>
      <c r="V272" s="98" t="str">
        <f>IF(IFERROR(VLOOKUP(A272,'21.鋼構工程塗裝'!C:D,1,0),"")="","","✔")</f>
        <v/>
      </c>
      <c r="W272" s="98" t="str">
        <f>IF(IFERROR(VLOOKUP(A272,'22.排水設施(一)'!C:D,1,0),"")="","","✔")</f>
        <v/>
      </c>
      <c r="X272" s="98" t="str">
        <f>IF(IFERROR(VLOOKUP(A272,'23.排水設施(二)'!C:D,1,0),"")="","","✔")</f>
        <v/>
      </c>
      <c r="Y272" s="98" t="str">
        <f>IF(IFERROR(VLOOKUP(A272,'24.木構造'!C:D,1,0),"")="","","✔")</f>
        <v/>
      </c>
      <c r="Z272" s="98" t="str">
        <f>IF(IFERROR(VLOOKUP(A272,'25.管路'!C:D,1,0),"")="","","✔")</f>
        <v/>
      </c>
      <c r="AA272" s="98" t="str">
        <f>IF(IFERROR(VLOOKUP(A272,'26.植栽(移植)'!C:D,1,0),"")="","","✔")</f>
        <v/>
      </c>
      <c r="AB272" s="98" t="str">
        <f>IF(IFERROR(VLOOKUP(A272,'27.植栽(新植)'!C:D,1,0),"")="","","✔")</f>
        <v/>
      </c>
      <c r="AC272" s="98" t="str">
        <f>IF(IFERROR(VLOOKUP(A272,'28.照明'!C:D,1,0),"")="","","✔")</f>
        <v/>
      </c>
      <c r="AD272" s="98" t="str">
        <f>IF(IFERROR(VLOOKUP(A272,'29.既有橋梁拆除'!C:D,1,0),"")="","","✔")</f>
        <v/>
      </c>
    </row>
    <row r="273" spans="1:30" ht="21.75" customHeight="1" x14ac:dyDescent="0.25">
      <c r="A273" s="99">
        <v>45463</v>
      </c>
      <c r="B273" s="98" t="str">
        <f>IF(IFERROR(VLOOKUP(A273,'1.測量放樣'!C:D,1,0),"")="","","✔")</f>
        <v/>
      </c>
      <c r="C273" s="98" t="str">
        <f>IF(IFERROR(VLOOKUP(A273,'2.土方開挖'!C:D,1,0),"")="","","✔")</f>
        <v/>
      </c>
      <c r="D273" s="98" t="str">
        <f>IF(IFERROR(VLOOKUP(A273,'3.土方回填'!C:D,1,0),"")="","","✔")</f>
        <v/>
      </c>
      <c r="E273" s="98" t="str">
        <f>IF(IFERROR(VLOOKUP(A273,'4.鋼筋'!C:D,1,0),"")="","","✔")</f>
        <v/>
      </c>
      <c r="F273" s="98" t="str">
        <f>IF(IFERROR(VLOOKUP(A273,'5.模板'!C:D,1,0),"")="","","✔")</f>
        <v/>
      </c>
      <c r="G273" s="98" t="str">
        <f>IF(IFERROR(VLOOKUP(A273,'6.混凝土'!C:D,1,0),"")="","","✔")</f>
        <v/>
      </c>
      <c r="H273" s="98" t="str">
        <f>IF(IFERROR(VLOOKUP(A273,'7.植筋'!C:D,1,0),"")="","","✔")</f>
        <v/>
      </c>
      <c r="I273" s="98" t="str">
        <f>IF(IFERROR(VLOOKUP(A273,'8.預力混凝土基樁'!C:D,1,0),"")="","","✔")</f>
        <v/>
      </c>
      <c r="J273" s="98" t="str">
        <f>IF(IFERROR(VLOOKUP(A273,'9.砌塊石護岸'!C:D,1,0),"")="","","✔")</f>
        <v/>
      </c>
      <c r="K273" s="98" t="str">
        <f>IF(IFERROR(VLOOKUP(A273,'10.低水護岸'!C:D,1,0),"")="","","✔")</f>
        <v/>
      </c>
      <c r="L273" s="98" t="str">
        <f>IF(IFERROR(VLOOKUP(A273,'11.固床工'!C:D,1,0),"")="","","✔")</f>
        <v/>
      </c>
      <c r="M273" s="98" t="str">
        <f>IF(IFERROR(VLOOKUP(A273,'12.全套管基樁'!C:D,1,0),"")="","","✔")</f>
        <v/>
      </c>
      <c r="N273" s="98" t="str">
        <f>IF(IFERROR(VLOOKUP(A273,'13.鋼筋混凝土管工程'!C:D,1,0),"")="","","✔")</f>
        <v/>
      </c>
      <c r="O273" s="98" t="str">
        <f>IF(IFERROR(VLOOKUP(A273,'14.鋼版樁'!C:D,1,0),"")="","","✔")</f>
        <v/>
      </c>
      <c r="P273" s="98" t="str">
        <f>IF(IFERROR(VLOOKUP(A273,'15.路床 路基高程'!C:D,1,0),"")="","","✔")</f>
        <v/>
      </c>
      <c r="Q273" s="98" t="str">
        <f>IF(IFERROR(VLOOKUP(A273,'16.瀝青混凝土'!C:D,1,0),"")="","","✔")</f>
        <v/>
      </c>
      <c r="R273" s="98" t="str">
        <f>IF(IFERROR(VLOOKUP(A273,'17.景觀鋪面(一)'!C:D,1,0),"")="","","✔")</f>
        <v/>
      </c>
      <c r="S273" s="98" t="str">
        <f>IF(IFERROR(VLOOKUP(A273,'18.景觀鋪面(二)'!C:D,1,0),"")="","","✔")</f>
        <v/>
      </c>
      <c r="T273" s="98" t="str">
        <f>IF(IFERROR(VLOOKUP(A273,'19.預鑄緣石'!C:D,1,0),"")="","","✔")</f>
        <v/>
      </c>
      <c r="U273" s="98" t="str">
        <f>IF(IFERROR(VLOOKUP(A273,'20.鋼構工程吊裝'!C:D,1,0),"")="","","✔")</f>
        <v/>
      </c>
      <c r="V273" s="98" t="str">
        <f>IF(IFERROR(VLOOKUP(A273,'21.鋼構工程塗裝'!C:D,1,0),"")="","","✔")</f>
        <v/>
      </c>
      <c r="W273" s="98" t="str">
        <f>IF(IFERROR(VLOOKUP(A273,'22.排水設施(一)'!C:D,1,0),"")="","","✔")</f>
        <v/>
      </c>
      <c r="X273" s="98" t="str">
        <f>IF(IFERROR(VLOOKUP(A273,'23.排水設施(二)'!C:D,1,0),"")="","","✔")</f>
        <v/>
      </c>
      <c r="Y273" s="98" t="str">
        <f>IF(IFERROR(VLOOKUP(A273,'24.木構造'!C:D,1,0),"")="","","✔")</f>
        <v/>
      </c>
      <c r="Z273" s="98" t="str">
        <f>IF(IFERROR(VLOOKUP(A273,'25.管路'!C:D,1,0),"")="","","✔")</f>
        <v/>
      </c>
      <c r="AA273" s="98" t="str">
        <f>IF(IFERROR(VLOOKUP(A273,'26.植栽(移植)'!C:D,1,0),"")="","","✔")</f>
        <v/>
      </c>
      <c r="AB273" s="98" t="str">
        <f>IF(IFERROR(VLOOKUP(A273,'27.植栽(新植)'!C:D,1,0),"")="","","✔")</f>
        <v/>
      </c>
      <c r="AC273" s="98" t="str">
        <f>IF(IFERROR(VLOOKUP(A273,'28.照明'!C:D,1,0),"")="","","✔")</f>
        <v/>
      </c>
      <c r="AD273" s="98" t="str">
        <f>IF(IFERROR(VLOOKUP(A273,'29.既有橋梁拆除'!C:D,1,0),"")="","","✔")</f>
        <v/>
      </c>
    </row>
    <row r="274" spans="1:30" ht="21.75" customHeight="1" x14ac:dyDescent="0.25">
      <c r="A274" s="99">
        <v>45464</v>
      </c>
      <c r="B274" s="98" t="str">
        <f>IF(IFERROR(VLOOKUP(A274,'1.測量放樣'!C:D,1,0),"")="","","✔")</f>
        <v/>
      </c>
      <c r="C274" s="98" t="str">
        <f>IF(IFERROR(VLOOKUP(A274,'2.土方開挖'!C:D,1,0),"")="","","✔")</f>
        <v/>
      </c>
      <c r="D274" s="98" t="str">
        <f>IF(IFERROR(VLOOKUP(A274,'3.土方回填'!C:D,1,0),"")="","","✔")</f>
        <v/>
      </c>
      <c r="E274" s="98" t="str">
        <f>IF(IFERROR(VLOOKUP(A274,'4.鋼筋'!C:D,1,0),"")="","","✔")</f>
        <v/>
      </c>
      <c r="F274" s="98" t="str">
        <f>IF(IFERROR(VLOOKUP(A274,'5.模板'!C:D,1,0),"")="","","✔")</f>
        <v/>
      </c>
      <c r="G274" s="98" t="str">
        <f>IF(IFERROR(VLOOKUP(A274,'6.混凝土'!C:D,1,0),"")="","","✔")</f>
        <v/>
      </c>
      <c r="H274" s="98" t="str">
        <f>IF(IFERROR(VLOOKUP(A274,'7.植筋'!C:D,1,0),"")="","","✔")</f>
        <v/>
      </c>
      <c r="I274" s="98" t="str">
        <f>IF(IFERROR(VLOOKUP(A274,'8.預力混凝土基樁'!C:D,1,0),"")="","","✔")</f>
        <v/>
      </c>
      <c r="J274" s="98" t="str">
        <f>IF(IFERROR(VLOOKUP(A274,'9.砌塊石護岸'!C:D,1,0),"")="","","✔")</f>
        <v/>
      </c>
      <c r="K274" s="98" t="str">
        <f>IF(IFERROR(VLOOKUP(A274,'10.低水護岸'!C:D,1,0),"")="","","✔")</f>
        <v/>
      </c>
      <c r="L274" s="98" t="str">
        <f>IF(IFERROR(VLOOKUP(A274,'11.固床工'!C:D,1,0),"")="","","✔")</f>
        <v/>
      </c>
      <c r="M274" s="98" t="str">
        <f>IF(IFERROR(VLOOKUP(A274,'12.全套管基樁'!C:D,1,0),"")="","","✔")</f>
        <v/>
      </c>
      <c r="N274" s="98" t="str">
        <f>IF(IFERROR(VLOOKUP(A274,'13.鋼筋混凝土管工程'!C:D,1,0),"")="","","✔")</f>
        <v/>
      </c>
      <c r="O274" s="98" t="str">
        <f>IF(IFERROR(VLOOKUP(A274,'14.鋼版樁'!C:D,1,0),"")="","","✔")</f>
        <v/>
      </c>
      <c r="P274" s="98" t="str">
        <f>IF(IFERROR(VLOOKUP(A274,'15.路床 路基高程'!C:D,1,0),"")="","","✔")</f>
        <v/>
      </c>
      <c r="Q274" s="98" t="str">
        <f>IF(IFERROR(VLOOKUP(A274,'16.瀝青混凝土'!C:D,1,0),"")="","","✔")</f>
        <v/>
      </c>
      <c r="R274" s="98" t="str">
        <f>IF(IFERROR(VLOOKUP(A274,'17.景觀鋪面(一)'!C:D,1,0),"")="","","✔")</f>
        <v/>
      </c>
      <c r="S274" s="98" t="str">
        <f>IF(IFERROR(VLOOKUP(A274,'18.景觀鋪面(二)'!C:D,1,0),"")="","","✔")</f>
        <v/>
      </c>
      <c r="T274" s="98" t="str">
        <f>IF(IFERROR(VLOOKUP(A274,'19.預鑄緣石'!C:D,1,0),"")="","","✔")</f>
        <v/>
      </c>
      <c r="U274" s="98" t="str">
        <f>IF(IFERROR(VLOOKUP(A274,'20.鋼構工程吊裝'!C:D,1,0),"")="","","✔")</f>
        <v/>
      </c>
      <c r="V274" s="98" t="str">
        <f>IF(IFERROR(VLOOKUP(A274,'21.鋼構工程塗裝'!C:D,1,0),"")="","","✔")</f>
        <v/>
      </c>
      <c r="W274" s="98" t="str">
        <f>IF(IFERROR(VLOOKUP(A274,'22.排水設施(一)'!C:D,1,0),"")="","","✔")</f>
        <v/>
      </c>
      <c r="X274" s="98" t="str">
        <f>IF(IFERROR(VLOOKUP(A274,'23.排水設施(二)'!C:D,1,0),"")="","","✔")</f>
        <v/>
      </c>
      <c r="Y274" s="98" t="str">
        <f>IF(IFERROR(VLOOKUP(A274,'24.木構造'!C:D,1,0),"")="","","✔")</f>
        <v/>
      </c>
      <c r="Z274" s="98" t="str">
        <f>IF(IFERROR(VLOOKUP(A274,'25.管路'!C:D,1,0),"")="","","✔")</f>
        <v/>
      </c>
      <c r="AA274" s="98" t="str">
        <f>IF(IFERROR(VLOOKUP(A274,'26.植栽(移植)'!C:D,1,0),"")="","","✔")</f>
        <v/>
      </c>
      <c r="AB274" s="98" t="str">
        <f>IF(IFERROR(VLOOKUP(A274,'27.植栽(新植)'!C:D,1,0),"")="","","✔")</f>
        <v/>
      </c>
      <c r="AC274" s="98" t="str">
        <f>IF(IFERROR(VLOOKUP(A274,'28.照明'!C:D,1,0),"")="","","✔")</f>
        <v/>
      </c>
      <c r="AD274" s="98" t="str">
        <f>IF(IFERROR(VLOOKUP(A274,'29.既有橋梁拆除'!C:D,1,0),"")="","","✔")</f>
        <v/>
      </c>
    </row>
    <row r="275" spans="1:30" ht="21.75" customHeight="1" x14ac:dyDescent="0.25">
      <c r="A275" s="99">
        <v>45465</v>
      </c>
      <c r="B275" s="98" t="str">
        <f>IF(IFERROR(VLOOKUP(A275,'1.測量放樣'!C:D,1,0),"")="","","✔")</f>
        <v/>
      </c>
      <c r="C275" s="98" t="str">
        <f>IF(IFERROR(VLOOKUP(A275,'2.土方開挖'!C:D,1,0),"")="","","✔")</f>
        <v/>
      </c>
      <c r="D275" s="98" t="str">
        <f>IF(IFERROR(VLOOKUP(A275,'3.土方回填'!C:D,1,0),"")="","","✔")</f>
        <v/>
      </c>
      <c r="E275" s="98" t="str">
        <f>IF(IFERROR(VLOOKUP(A275,'4.鋼筋'!C:D,1,0),"")="","","✔")</f>
        <v/>
      </c>
      <c r="F275" s="98" t="str">
        <f>IF(IFERROR(VLOOKUP(A275,'5.模板'!C:D,1,0),"")="","","✔")</f>
        <v/>
      </c>
      <c r="G275" s="98" t="str">
        <f>IF(IFERROR(VLOOKUP(A275,'6.混凝土'!C:D,1,0),"")="","","✔")</f>
        <v/>
      </c>
      <c r="H275" s="98" t="str">
        <f>IF(IFERROR(VLOOKUP(A275,'7.植筋'!C:D,1,0),"")="","","✔")</f>
        <v/>
      </c>
      <c r="I275" s="98" t="str">
        <f>IF(IFERROR(VLOOKUP(A275,'8.預力混凝土基樁'!C:D,1,0),"")="","","✔")</f>
        <v/>
      </c>
      <c r="J275" s="98" t="str">
        <f>IF(IFERROR(VLOOKUP(A275,'9.砌塊石護岸'!C:D,1,0),"")="","","✔")</f>
        <v/>
      </c>
      <c r="K275" s="98" t="str">
        <f>IF(IFERROR(VLOOKUP(A275,'10.低水護岸'!C:D,1,0),"")="","","✔")</f>
        <v/>
      </c>
      <c r="L275" s="98" t="str">
        <f>IF(IFERROR(VLOOKUP(A275,'11.固床工'!C:D,1,0),"")="","","✔")</f>
        <v/>
      </c>
      <c r="M275" s="98" t="str">
        <f>IF(IFERROR(VLOOKUP(A275,'12.全套管基樁'!C:D,1,0),"")="","","✔")</f>
        <v/>
      </c>
      <c r="N275" s="98" t="str">
        <f>IF(IFERROR(VLOOKUP(A275,'13.鋼筋混凝土管工程'!C:D,1,0),"")="","","✔")</f>
        <v/>
      </c>
      <c r="O275" s="98" t="str">
        <f>IF(IFERROR(VLOOKUP(A275,'14.鋼版樁'!C:D,1,0),"")="","","✔")</f>
        <v/>
      </c>
      <c r="P275" s="98" t="str">
        <f>IF(IFERROR(VLOOKUP(A275,'15.路床 路基高程'!C:D,1,0),"")="","","✔")</f>
        <v/>
      </c>
      <c r="Q275" s="98" t="str">
        <f>IF(IFERROR(VLOOKUP(A275,'16.瀝青混凝土'!C:D,1,0),"")="","","✔")</f>
        <v/>
      </c>
      <c r="R275" s="98" t="str">
        <f>IF(IFERROR(VLOOKUP(A275,'17.景觀鋪面(一)'!C:D,1,0),"")="","","✔")</f>
        <v/>
      </c>
      <c r="S275" s="98" t="str">
        <f>IF(IFERROR(VLOOKUP(A275,'18.景觀鋪面(二)'!C:D,1,0),"")="","","✔")</f>
        <v/>
      </c>
      <c r="T275" s="98" t="str">
        <f>IF(IFERROR(VLOOKUP(A275,'19.預鑄緣石'!C:D,1,0),"")="","","✔")</f>
        <v/>
      </c>
      <c r="U275" s="98" t="str">
        <f>IF(IFERROR(VLOOKUP(A275,'20.鋼構工程吊裝'!C:D,1,0),"")="","","✔")</f>
        <v/>
      </c>
      <c r="V275" s="98" t="str">
        <f>IF(IFERROR(VLOOKUP(A275,'21.鋼構工程塗裝'!C:D,1,0),"")="","","✔")</f>
        <v/>
      </c>
      <c r="W275" s="98" t="str">
        <f>IF(IFERROR(VLOOKUP(A275,'22.排水設施(一)'!C:D,1,0),"")="","","✔")</f>
        <v/>
      </c>
      <c r="X275" s="98" t="str">
        <f>IF(IFERROR(VLOOKUP(A275,'23.排水設施(二)'!C:D,1,0),"")="","","✔")</f>
        <v/>
      </c>
      <c r="Y275" s="98" t="str">
        <f>IF(IFERROR(VLOOKUP(A275,'24.木構造'!C:D,1,0),"")="","","✔")</f>
        <v/>
      </c>
      <c r="Z275" s="98" t="str">
        <f>IF(IFERROR(VLOOKUP(A275,'25.管路'!C:D,1,0),"")="","","✔")</f>
        <v/>
      </c>
      <c r="AA275" s="98" t="str">
        <f>IF(IFERROR(VLOOKUP(A275,'26.植栽(移植)'!C:D,1,0),"")="","","✔")</f>
        <v/>
      </c>
      <c r="AB275" s="98" t="str">
        <f>IF(IFERROR(VLOOKUP(A275,'27.植栽(新植)'!C:D,1,0),"")="","","✔")</f>
        <v/>
      </c>
      <c r="AC275" s="98" t="str">
        <f>IF(IFERROR(VLOOKUP(A275,'28.照明'!C:D,1,0),"")="","","✔")</f>
        <v/>
      </c>
      <c r="AD275" s="98" t="str">
        <f>IF(IFERROR(VLOOKUP(A275,'29.既有橋梁拆除'!C:D,1,0),"")="","","✔")</f>
        <v/>
      </c>
    </row>
    <row r="276" spans="1:30" ht="21.75" customHeight="1" x14ac:dyDescent="0.25">
      <c r="A276" s="99">
        <v>45466</v>
      </c>
      <c r="B276" s="98" t="str">
        <f>IF(IFERROR(VLOOKUP(A276,'1.測量放樣'!C:D,1,0),"")="","","✔")</f>
        <v/>
      </c>
      <c r="C276" s="98" t="str">
        <f>IF(IFERROR(VLOOKUP(A276,'2.土方開挖'!C:D,1,0),"")="","","✔")</f>
        <v/>
      </c>
      <c r="D276" s="98" t="str">
        <f>IF(IFERROR(VLOOKUP(A276,'3.土方回填'!C:D,1,0),"")="","","✔")</f>
        <v/>
      </c>
      <c r="E276" s="98" t="str">
        <f>IF(IFERROR(VLOOKUP(A276,'4.鋼筋'!C:D,1,0),"")="","","✔")</f>
        <v/>
      </c>
      <c r="F276" s="98" t="str">
        <f>IF(IFERROR(VLOOKUP(A276,'5.模板'!C:D,1,0),"")="","","✔")</f>
        <v/>
      </c>
      <c r="G276" s="98" t="str">
        <f>IF(IFERROR(VLOOKUP(A276,'6.混凝土'!C:D,1,0),"")="","","✔")</f>
        <v/>
      </c>
      <c r="H276" s="98" t="str">
        <f>IF(IFERROR(VLOOKUP(A276,'7.植筋'!C:D,1,0),"")="","","✔")</f>
        <v/>
      </c>
      <c r="I276" s="98" t="str">
        <f>IF(IFERROR(VLOOKUP(A276,'8.預力混凝土基樁'!C:D,1,0),"")="","","✔")</f>
        <v/>
      </c>
      <c r="J276" s="98" t="str">
        <f>IF(IFERROR(VLOOKUP(A276,'9.砌塊石護岸'!C:D,1,0),"")="","","✔")</f>
        <v/>
      </c>
      <c r="K276" s="98" t="str">
        <f>IF(IFERROR(VLOOKUP(A276,'10.低水護岸'!C:D,1,0),"")="","","✔")</f>
        <v/>
      </c>
      <c r="L276" s="98" t="str">
        <f>IF(IFERROR(VLOOKUP(A276,'11.固床工'!C:D,1,0),"")="","","✔")</f>
        <v/>
      </c>
      <c r="M276" s="98" t="str">
        <f>IF(IFERROR(VLOOKUP(A276,'12.全套管基樁'!C:D,1,0),"")="","","✔")</f>
        <v/>
      </c>
      <c r="N276" s="98" t="str">
        <f>IF(IFERROR(VLOOKUP(A276,'13.鋼筋混凝土管工程'!C:D,1,0),"")="","","✔")</f>
        <v/>
      </c>
      <c r="O276" s="98" t="str">
        <f>IF(IFERROR(VLOOKUP(A276,'14.鋼版樁'!C:D,1,0),"")="","","✔")</f>
        <v/>
      </c>
      <c r="P276" s="98" t="str">
        <f>IF(IFERROR(VLOOKUP(A276,'15.路床 路基高程'!C:D,1,0),"")="","","✔")</f>
        <v/>
      </c>
      <c r="Q276" s="98" t="str">
        <f>IF(IFERROR(VLOOKUP(A276,'16.瀝青混凝土'!C:D,1,0),"")="","","✔")</f>
        <v/>
      </c>
      <c r="R276" s="98" t="str">
        <f>IF(IFERROR(VLOOKUP(A276,'17.景觀鋪面(一)'!C:D,1,0),"")="","","✔")</f>
        <v/>
      </c>
      <c r="S276" s="98" t="str">
        <f>IF(IFERROR(VLOOKUP(A276,'18.景觀鋪面(二)'!C:D,1,0),"")="","","✔")</f>
        <v/>
      </c>
      <c r="T276" s="98" t="str">
        <f>IF(IFERROR(VLOOKUP(A276,'19.預鑄緣石'!C:D,1,0),"")="","","✔")</f>
        <v/>
      </c>
      <c r="U276" s="98" t="str">
        <f>IF(IFERROR(VLOOKUP(A276,'20.鋼構工程吊裝'!C:D,1,0),"")="","","✔")</f>
        <v/>
      </c>
      <c r="V276" s="98" t="str">
        <f>IF(IFERROR(VLOOKUP(A276,'21.鋼構工程塗裝'!C:D,1,0),"")="","","✔")</f>
        <v/>
      </c>
      <c r="W276" s="98" t="str">
        <f>IF(IFERROR(VLOOKUP(A276,'22.排水設施(一)'!C:D,1,0),"")="","","✔")</f>
        <v/>
      </c>
      <c r="X276" s="98" t="str">
        <f>IF(IFERROR(VLOOKUP(A276,'23.排水設施(二)'!C:D,1,0),"")="","","✔")</f>
        <v/>
      </c>
      <c r="Y276" s="98" t="str">
        <f>IF(IFERROR(VLOOKUP(A276,'24.木構造'!C:D,1,0),"")="","","✔")</f>
        <v/>
      </c>
      <c r="Z276" s="98" t="str">
        <f>IF(IFERROR(VLOOKUP(A276,'25.管路'!C:D,1,0),"")="","","✔")</f>
        <v/>
      </c>
      <c r="AA276" s="98" t="str">
        <f>IF(IFERROR(VLOOKUP(A276,'26.植栽(移植)'!C:D,1,0),"")="","","✔")</f>
        <v/>
      </c>
      <c r="AB276" s="98" t="str">
        <f>IF(IFERROR(VLOOKUP(A276,'27.植栽(新植)'!C:D,1,0),"")="","","✔")</f>
        <v/>
      </c>
      <c r="AC276" s="98" t="str">
        <f>IF(IFERROR(VLOOKUP(A276,'28.照明'!C:D,1,0),"")="","","✔")</f>
        <v/>
      </c>
      <c r="AD276" s="98" t="str">
        <f>IF(IFERROR(VLOOKUP(A276,'29.既有橋梁拆除'!C:D,1,0),"")="","","✔")</f>
        <v/>
      </c>
    </row>
    <row r="277" spans="1:30" ht="21.75" customHeight="1" x14ac:dyDescent="0.25">
      <c r="A277" s="99">
        <v>45467</v>
      </c>
      <c r="B277" s="98" t="str">
        <f>IF(IFERROR(VLOOKUP(A277,'1.測量放樣'!C:D,1,0),"")="","","✔")</f>
        <v/>
      </c>
      <c r="C277" s="98" t="str">
        <f>IF(IFERROR(VLOOKUP(A277,'2.土方開挖'!C:D,1,0),"")="","","✔")</f>
        <v/>
      </c>
      <c r="D277" s="98" t="str">
        <f>IF(IFERROR(VLOOKUP(A277,'3.土方回填'!C:D,1,0),"")="","","✔")</f>
        <v/>
      </c>
      <c r="E277" s="98" t="str">
        <f>IF(IFERROR(VLOOKUP(A277,'4.鋼筋'!C:D,1,0),"")="","","✔")</f>
        <v/>
      </c>
      <c r="F277" s="98" t="str">
        <f>IF(IFERROR(VLOOKUP(A277,'5.模板'!C:D,1,0),"")="","","✔")</f>
        <v/>
      </c>
      <c r="G277" s="98" t="str">
        <f>IF(IFERROR(VLOOKUP(A277,'6.混凝土'!C:D,1,0),"")="","","✔")</f>
        <v/>
      </c>
      <c r="H277" s="98" t="str">
        <f>IF(IFERROR(VLOOKUP(A277,'7.植筋'!C:D,1,0),"")="","","✔")</f>
        <v/>
      </c>
      <c r="I277" s="98" t="str">
        <f>IF(IFERROR(VLOOKUP(A277,'8.預力混凝土基樁'!C:D,1,0),"")="","","✔")</f>
        <v/>
      </c>
      <c r="J277" s="98" t="str">
        <f>IF(IFERROR(VLOOKUP(A277,'9.砌塊石護岸'!C:D,1,0),"")="","","✔")</f>
        <v/>
      </c>
      <c r="K277" s="98" t="str">
        <f>IF(IFERROR(VLOOKUP(A277,'10.低水護岸'!C:D,1,0),"")="","","✔")</f>
        <v/>
      </c>
      <c r="L277" s="98" t="str">
        <f>IF(IFERROR(VLOOKUP(A277,'11.固床工'!C:D,1,0),"")="","","✔")</f>
        <v/>
      </c>
      <c r="M277" s="98" t="str">
        <f>IF(IFERROR(VLOOKUP(A277,'12.全套管基樁'!C:D,1,0),"")="","","✔")</f>
        <v/>
      </c>
      <c r="N277" s="98" t="str">
        <f>IF(IFERROR(VLOOKUP(A277,'13.鋼筋混凝土管工程'!C:D,1,0),"")="","","✔")</f>
        <v/>
      </c>
      <c r="O277" s="98" t="str">
        <f>IF(IFERROR(VLOOKUP(A277,'14.鋼版樁'!C:D,1,0),"")="","","✔")</f>
        <v/>
      </c>
      <c r="P277" s="98" t="str">
        <f>IF(IFERROR(VLOOKUP(A277,'15.路床 路基高程'!C:D,1,0),"")="","","✔")</f>
        <v/>
      </c>
      <c r="Q277" s="98" t="str">
        <f>IF(IFERROR(VLOOKUP(A277,'16.瀝青混凝土'!C:D,1,0),"")="","","✔")</f>
        <v/>
      </c>
      <c r="R277" s="98" t="str">
        <f>IF(IFERROR(VLOOKUP(A277,'17.景觀鋪面(一)'!C:D,1,0),"")="","","✔")</f>
        <v/>
      </c>
      <c r="S277" s="98" t="str">
        <f>IF(IFERROR(VLOOKUP(A277,'18.景觀鋪面(二)'!C:D,1,0),"")="","","✔")</f>
        <v/>
      </c>
      <c r="T277" s="98" t="str">
        <f>IF(IFERROR(VLOOKUP(A277,'19.預鑄緣石'!C:D,1,0),"")="","","✔")</f>
        <v/>
      </c>
      <c r="U277" s="98" t="str">
        <f>IF(IFERROR(VLOOKUP(A277,'20.鋼構工程吊裝'!C:D,1,0),"")="","","✔")</f>
        <v/>
      </c>
      <c r="V277" s="98" t="str">
        <f>IF(IFERROR(VLOOKUP(A277,'21.鋼構工程塗裝'!C:D,1,0),"")="","","✔")</f>
        <v/>
      </c>
      <c r="W277" s="98" t="str">
        <f>IF(IFERROR(VLOOKUP(A277,'22.排水設施(一)'!C:D,1,0),"")="","","✔")</f>
        <v/>
      </c>
      <c r="X277" s="98" t="str">
        <f>IF(IFERROR(VLOOKUP(A277,'23.排水設施(二)'!C:D,1,0),"")="","","✔")</f>
        <v/>
      </c>
      <c r="Y277" s="98" t="str">
        <f>IF(IFERROR(VLOOKUP(A277,'24.木構造'!C:D,1,0),"")="","","✔")</f>
        <v/>
      </c>
      <c r="Z277" s="98" t="str">
        <f>IF(IFERROR(VLOOKUP(A277,'25.管路'!C:D,1,0),"")="","","✔")</f>
        <v/>
      </c>
      <c r="AA277" s="98" t="str">
        <f>IF(IFERROR(VLOOKUP(A277,'26.植栽(移植)'!C:D,1,0),"")="","","✔")</f>
        <v/>
      </c>
      <c r="AB277" s="98" t="str">
        <f>IF(IFERROR(VLOOKUP(A277,'27.植栽(新植)'!C:D,1,0),"")="","","✔")</f>
        <v/>
      </c>
      <c r="AC277" s="98" t="str">
        <f>IF(IFERROR(VLOOKUP(A277,'28.照明'!C:D,1,0),"")="","","✔")</f>
        <v/>
      </c>
      <c r="AD277" s="98" t="str">
        <f>IF(IFERROR(VLOOKUP(A277,'29.既有橋梁拆除'!C:D,1,0),"")="","","✔")</f>
        <v/>
      </c>
    </row>
    <row r="278" spans="1:30" ht="21.75" customHeight="1" x14ac:dyDescent="0.25">
      <c r="A278" s="99">
        <v>45468</v>
      </c>
      <c r="B278" s="98" t="str">
        <f>IF(IFERROR(VLOOKUP(A278,'1.測量放樣'!C:D,1,0),"")="","","✔")</f>
        <v/>
      </c>
      <c r="C278" s="98" t="str">
        <f>IF(IFERROR(VLOOKUP(A278,'2.土方開挖'!C:D,1,0),"")="","","✔")</f>
        <v/>
      </c>
      <c r="D278" s="98" t="str">
        <f>IF(IFERROR(VLOOKUP(A278,'3.土方回填'!C:D,1,0),"")="","","✔")</f>
        <v/>
      </c>
      <c r="E278" s="98" t="str">
        <f>IF(IFERROR(VLOOKUP(A278,'4.鋼筋'!C:D,1,0),"")="","","✔")</f>
        <v/>
      </c>
      <c r="F278" s="98" t="str">
        <f>IF(IFERROR(VLOOKUP(A278,'5.模板'!C:D,1,0),"")="","","✔")</f>
        <v/>
      </c>
      <c r="G278" s="98" t="str">
        <f>IF(IFERROR(VLOOKUP(A278,'6.混凝土'!C:D,1,0),"")="","","✔")</f>
        <v/>
      </c>
      <c r="H278" s="98" t="str">
        <f>IF(IFERROR(VLOOKUP(A278,'7.植筋'!C:D,1,0),"")="","","✔")</f>
        <v/>
      </c>
      <c r="I278" s="98" t="str">
        <f>IF(IFERROR(VLOOKUP(A278,'8.預力混凝土基樁'!C:D,1,0),"")="","","✔")</f>
        <v/>
      </c>
      <c r="J278" s="98" t="str">
        <f>IF(IFERROR(VLOOKUP(A278,'9.砌塊石護岸'!C:D,1,0),"")="","","✔")</f>
        <v/>
      </c>
      <c r="K278" s="98" t="str">
        <f>IF(IFERROR(VLOOKUP(A278,'10.低水護岸'!C:D,1,0),"")="","","✔")</f>
        <v/>
      </c>
      <c r="L278" s="98" t="str">
        <f>IF(IFERROR(VLOOKUP(A278,'11.固床工'!C:D,1,0),"")="","","✔")</f>
        <v/>
      </c>
      <c r="M278" s="98" t="str">
        <f>IF(IFERROR(VLOOKUP(A278,'12.全套管基樁'!C:D,1,0),"")="","","✔")</f>
        <v/>
      </c>
      <c r="N278" s="98" t="str">
        <f>IF(IFERROR(VLOOKUP(A278,'13.鋼筋混凝土管工程'!C:D,1,0),"")="","","✔")</f>
        <v/>
      </c>
      <c r="O278" s="98" t="str">
        <f>IF(IFERROR(VLOOKUP(A278,'14.鋼版樁'!C:D,1,0),"")="","","✔")</f>
        <v/>
      </c>
      <c r="P278" s="98" t="str">
        <f>IF(IFERROR(VLOOKUP(A278,'15.路床 路基高程'!C:D,1,0),"")="","","✔")</f>
        <v/>
      </c>
      <c r="Q278" s="98" t="str">
        <f>IF(IFERROR(VLOOKUP(A278,'16.瀝青混凝土'!C:D,1,0),"")="","","✔")</f>
        <v/>
      </c>
      <c r="R278" s="98" t="str">
        <f>IF(IFERROR(VLOOKUP(A278,'17.景觀鋪面(一)'!C:D,1,0),"")="","","✔")</f>
        <v/>
      </c>
      <c r="S278" s="98" t="str">
        <f>IF(IFERROR(VLOOKUP(A278,'18.景觀鋪面(二)'!C:D,1,0),"")="","","✔")</f>
        <v/>
      </c>
      <c r="T278" s="98" t="str">
        <f>IF(IFERROR(VLOOKUP(A278,'19.預鑄緣石'!C:D,1,0),"")="","","✔")</f>
        <v/>
      </c>
      <c r="U278" s="98" t="str">
        <f>IF(IFERROR(VLOOKUP(A278,'20.鋼構工程吊裝'!C:D,1,0),"")="","","✔")</f>
        <v/>
      </c>
      <c r="V278" s="98" t="str">
        <f>IF(IFERROR(VLOOKUP(A278,'21.鋼構工程塗裝'!C:D,1,0),"")="","","✔")</f>
        <v/>
      </c>
      <c r="W278" s="98" t="str">
        <f>IF(IFERROR(VLOOKUP(A278,'22.排水設施(一)'!C:D,1,0),"")="","","✔")</f>
        <v/>
      </c>
      <c r="X278" s="98" t="str">
        <f>IF(IFERROR(VLOOKUP(A278,'23.排水設施(二)'!C:D,1,0),"")="","","✔")</f>
        <v/>
      </c>
      <c r="Y278" s="98" t="str">
        <f>IF(IFERROR(VLOOKUP(A278,'24.木構造'!C:D,1,0),"")="","","✔")</f>
        <v/>
      </c>
      <c r="Z278" s="98" t="str">
        <f>IF(IFERROR(VLOOKUP(A278,'25.管路'!C:D,1,0),"")="","","✔")</f>
        <v/>
      </c>
      <c r="AA278" s="98" t="str">
        <f>IF(IFERROR(VLOOKUP(A278,'26.植栽(移植)'!C:D,1,0),"")="","","✔")</f>
        <v/>
      </c>
      <c r="AB278" s="98" t="str">
        <f>IF(IFERROR(VLOOKUP(A278,'27.植栽(新植)'!C:D,1,0),"")="","","✔")</f>
        <v/>
      </c>
      <c r="AC278" s="98" t="str">
        <f>IF(IFERROR(VLOOKUP(A278,'28.照明'!C:D,1,0),"")="","","✔")</f>
        <v/>
      </c>
      <c r="AD278" s="98" t="str">
        <f>IF(IFERROR(VLOOKUP(A278,'29.既有橋梁拆除'!C:D,1,0),"")="","","✔")</f>
        <v/>
      </c>
    </row>
    <row r="279" spans="1:30" ht="21.75" customHeight="1" x14ac:dyDescent="0.25">
      <c r="A279" s="99">
        <v>45469</v>
      </c>
      <c r="B279" s="98" t="str">
        <f>IF(IFERROR(VLOOKUP(A279,'1.測量放樣'!C:D,1,0),"")="","","✔")</f>
        <v/>
      </c>
      <c r="C279" s="98" t="str">
        <f>IF(IFERROR(VLOOKUP(A279,'2.土方開挖'!C:D,1,0),"")="","","✔")</f>
        <v/>
      </c>
      <c r="D279" s="98" t="str">
        <f>IF(IFERROR(VLOOKUP(A279,'3.土方回填'!C:D,1,0),"")="","","✔")</f>
        <v/>
      </c>
      <c r="E279" s="98" t="str">
        <f>IF(IFERROR(VLOOKUP(A279,'4.鋼筋'!C:D,1,0),"")="","","✔")</f>
        <v/>
      </c>
      <c r="F279" s="98" t="str">
        <f>IF(IFERROR(VLOOKUP(A279,'5.模板'!C:D,1,0),"")="","","✔")</f>
        <v/>
      </c>
      <c r="G279" s="98" t="str">
        <f>IF(IFERROR(VLOOKUP(A279,'6.混凝土'!C:D,1,0),"")="","","✔")</f>
        <v/>
      </c>
      <c r="H279" s="98" t="str">
        <f>IF(IFERROR(VLOOKUP(A279,'7.植筋'!C:D,1,0),"")="","","✔")</f>
        <v/>
      </c>
      <c r="I279" s="98" t="str">
        <f>IF(IFERROR(VLOOKUP(A279,'8.預力混凝土基樁'!C:D,1,0),"")="","","✔")</f>
        <v/>
      </c>
      <c r="J279" s="98" t="str">
        <f>IF(IFERROR(VLOOKUP(A279,'9.砌塊石護岸'!C:D,1,0),"")="","","✔")</f>
        <v/>
      </c>
      <c r="K279" s="98" t="str">
        <f>IF(IFERROR(VLOOKUP(A279,'10.低水護岸'!C:D,1,0),"")="","","✔")</f>
        <v/>
      </c>
      <c r="L279" s="98" t="str">
        <f>IF(IFERROR(VLOOKUP(A279,'11.固床工'!C:D,1,0),"")="","","✔")</f>
        <v/>
      </c>
      <c r="M279" s="98" t="str">
        <f>IF(IFERROR(VLOOKUP(A279,'12.全套管基樁'!C:D,1,0),"")="","","✔")</f>
        <v/>
      </c>
      <c r="N279" s="98" t="str">
        <f>IF(IFERROR(VLOOKUP(A279,'13.鋼筋混凝土管工程'!C:D,1,0),"")="","","✔")</f>
        <v/>
      </c>
      <c r="O279" s="98" t="str">
        <f>IF(IFERROR(VLOOKUP(A279,'14.鋼版樁'!C:D,1,0),"")="","","✔")</f>
        <v/>
      </c>
      <c r="P279" s="98" t="str">
        <f>IF(IFERROR(VLOOKUP(A279,'15.路床 路基高程'!C:D,1,0),"")="","","✔")</f>
        <v/>
      </c>
      <c r="Q279" s="98" t="str">
        <f>IF(IFERROR(VLOOKUP(A279,'16.瀝青混凝土'!C:D,1,0),"")="","","✔")</f>
        <v/>
      </c>
      <c r="R279" s="98" t="str">
        <f>IF(IFERROR(VLOOKUP(A279,'17.景觀鋪面(一)'!C:D,1,0),"")="","","✔")</f>
        <v/>
      </c>
      <c r="S279" s="98" t="str">
        <f>IF(IFERROR(VLOOKUP(A279,'18.景觀鋪面(二)'!C:D,1,0),"")="","","✔")</f>
        <v/>
      </c>
      <c r="T279" s="98" t="str">
        <f>IF(IFERROR(VLOOKUP(A279,'19.預鑄緣石'!C:D,1,0),"")="","","✔")</f>
        <v/>
      </c>
      <c r="U279" s="98" t="str">
        <f>IF(IFERROR(VLOOKUP(A279,'20.鋼構工程吊裝'!C:D,1,0),"")="","","✔")</f>
        <v/>
      </c>
      <c r="V279" s="98" t="str">
        <f>IF(IFERROR(VLOOKUP(A279,'21.鋼構工程塗裝'!C:D,1,0),"")="","","✔")</f>
        <v/>
      </c>
      <c r="W279" s="98" t="str">
        <f>IF(IFERROR(VLOOKUP(A279,'22.排水設施(一)'!C:D,1,0),"")="","","✔")</f>
        <v/>
      </c>
      <c r="X279" s="98" t="str">
        <f>IF(IFERROR(VLOOKUP(A279,'23.排水設施(二)'!C:D,1,0),"")="","","✔")</f>
        <v/>
      </c>
      <c r="Y279" s="98" t="str">
        <f>IF(IFERROR(VLOOKUP(A279,'24.木構造'!C:D,1,0),"")="","","✔")</f>
        <v/>
      </c>
      <c r="Z279" s="98" t="str">
        <f>IF(IFERROR(VLOOKUP(A279,'25.管路'!C:D,1,0),"")="","","✔")</f>
        <v/>
      </c>
      <c r="AA279" s="98" t="str">
        <f>IF(IFERROR(VLOOKUP(A279,'26.植栽(移植)'!C:D,1,0),"")="","","✔")</f>
        <v/>
      </c>
      <c r="AB279" s="98" t="str">
        <f>IF(IFERROR(VLOOKUP(A279,'27.植栽(新植)'!C:D,1,0),"")="","","✔")</f>
        <v/>
      </c>
      <c r="AC279" s="98" t="str">
        <f>IF(IFERROR(VLOOKUP(A279,'28.照明'!C:D,1,0),"")="","","✔")</f>
        <v/>
      </c>
      <c r="AD279" s="98" t="str">
        <f>IF(IFERROR(VLOOKUP(A279,'29.既有橋梁拆除'!C:D,1,0),"")="","","✔")</f>
        <v/>
      </c>
    </row>
    <row r="280" spans="1:30" ht="21.75" customHeight="1" x14ac:dyDescent="0.25">
      <c r="A280" s="99">
        <v>45470</v>
      </c>
      <c r="B280" s="98" t="str">
        <f>IF(IFERROR(VLOOKUP(A280,'1.測量放樣'!C:D,1,0),"")="","","✔")</f>
        <v/>
      </c>
      <c r="C280" s="98" t="str">
        <f>IF(IFERROR(VLOOKUP(A280,'2.土方開挖'!C:D,1,0),"")="","","✔")</f>
        <v/>
      </c>
      <c r="D280" s="98" t="str">
        <f>IF(IFERROR(VLOOKUP(A280,'3.土方回填'!C:D,1,0),"")="","","✔")</f>
        <v/>
      </c>
      <c r="E280" s="98" t="str">
        <f>IF(IFERROR(VLOOKUP(A280,'4.鋼筋'!C:D,1,0),"")="","","✔")</f>
        <v/>
      </c>
      <c r="F280" s="98" t="str">
        <f>IF(IFERROR(VLOOKUP(A280,'5.模板'!C:D,1,0),"")="","","✔")</f>
        <v/>
      </c>
      <c r="G280" s="98" t="str">
        <f>IF(IFERROR(VLOOKUP(A280,'6.混凝土'!C:D,1,0),"")="","","✔")</f>
        <v/>
      </c>
      <c r="H280" s="98" t="str">
        <f>IF(IFERROR(VLOOKUP(A280,'7.植筋'!C:D,1,0),"")="","","✔")</f>
        <v/>
      </c>
      <c r="I280" s="98" t="str">
        <f>IF(IFERROR(VLOOKUP(A280,'8.預力混凝土基樁'!C:D,1,0),"")="","","✔")</f>
        <v/>
      </c>
      <c r="J280" s="98" t="str">
        <f>IF(IFERROR(VLOOKUP(A280,'9.砌塊石護岸'!C:D,1,0),"")="","","✔")</f>
        <v/>
      </c>
      <c r="K280" s="98" t="str">
        <f>IF(IFERROR(VLOOKUP(A280,'10.低水護岸'!C:D,1,0),"")="","","✔")</f>
        <v/>
      </c>
      <c r="L280" s="98" t="str">
        <f>IF(IFERROR(VLOOKUP(A280,'11.固床工'!C:D,1,0),"")="","","✔")</f>
        <v/>
      </c>
      <c r="M280" s="98" t="str">
        <f>IF(IFERROR(VLOOKUP(A280,'12.全套管基樁'!C:D,1,0),"")="","","✔")</f>
        <v/>
      </c>
      <c r="N280" s="98" t="str">
        <f>IF(IFERROR(VLOOKUP(A280,'13.鋼筋混凝土管工程'!C:D,1,0),"")="","","✔")</f>
        <v/>
      </c>
      <c r="O280" s="98" t="str">
        <f>IF(IFERROR(VLOOKUP(A280,'14.鋼版樁'!C:D,1,0),"")="","","✔")</f>
        <v/>
      </c>
      <c r="P280" s="98" t="str">
        <f>IF(IFERROR(VLOOKUP(A280,'15.路床 路基高程'!C:D,1,0),"")="","","✔")</f>
        <v/>
      </c>
      <c r="Q280" s="98" t="str">
        <f>IF(IFERROR(VLOOKUP(A280,'16.瀝青混凝土'!C:D,1,0),"")="","","✔")</f>
        <v/>
      </c>
      <c r="R280" s="98" t="str">
        <f>IF(IFERROR(VLOOKUP(A280,'17.景觀鋪面(一)'!C:D,1,0),"")="","","✔")</f>
        <v/>
      </c>
      <c r="S280" s="98" t="str">
        <f>IF(IFERROR(VLOOKUP(A280,'18.景觀鋪面(二)'!C:D,1,0),"")="","","✔")</f>
        <v/>
      </c>
      <c r="T280" s="98" t="str">
        <f>IF(IFERROR(VLOOKUP(A280,'19.預鑄緣石'!C:D,1,0),"")="","","✔")</f>
        <v/>
      </c>
      <c r="U280" s="98" t="str">
        <f>IF(IFERROR(VLOOKUP(A280,'20.鋼構工程吊裝'!C:D,1,0),"")="","","✔")</f>
        <v/>
      </c>
      <c r="V280" s="98" t="str">
        <f>IF(IFERROR(VLOOKUP(A280,'21.鋼構工程塗裝'!C:D,1,0),"")="","","✔")</f>
        <v/>
      </c>
      <c r="W280" s="98" t="str">
        <f>IF(IFERROR(VLOOKUP(A280,'22.排水設施(一)'!C:D,1,0),"")="","","✔")</f>
        <v/>
      </c>
      <c r="X280" s="98" t="str">
        <f>IF(IFERROR(VLOOKUP(A280,'23.排水設施(二)'!C:D,1,0),"")="","","✔")</f>
        <v/>
      </c>
      <c r="Y280" s="98" t="str">
        <f>IF(IFERROR(VLOOKUP(A280,'24.木構造'!C:D,1,0),"")="","","✔")</f>
        <v/>
      </c>
      <c r="Z280" s="98" t="str">
        <f>IF(IFERROR(VLOOKUP(A280,'25.管路'!C:D,1,0),"")="","","✔")</f>
        <v/>
      </c>
      <c r="AA280" s="98" t="str">
        <f>IF(IFERROR(VLOOKUP(A280,'26.植栽(移植)'!C:D,1,0),"")="","","✔")</f>
        <v/>
      </c>
      <c r="AB280" s="98" t="str">
        <f>IF(IFERROR(VLOOKUP(A280,'27.植栽(新植)'!C:D,1,0),"")="","","✔")</f>
        <v/>
      </c>
      <c r="AC280" s="98" t="str">
        <f>IF(IFERROR(VLOOKUP(A280,'28.照明'!C:D,1,0),"")="","","✔")</f>
        <v/>
      </c>
      <c r="AD280" s="98" t="str">
        <f>IF(IFERROR(VLOOKUP(A280,'29.既有橋梁拆除'!C:D,1,0),"")="","","✔")</f>
        <v/>
      </c>
    </row>
    <row r="281" spans="1:30" ht="21.75" customHeight="1" x14ac:dyDescent="0.25">
      <c r="A281" s="99">
        <v>45471</v>
      </c>
      <c r="B281" s="98" t="str">
        <f>IF(IFERROR(VLOOKUP(A281,'1.測量放樣'!C:D,1,0),"")="","","✔")</f>
        <v/>
      </c>
      <c r="C281" s="98" t="str">
        <f>IF(IFERROR(VLOOKUP(A281,'2.土方開挖'!C:D,1,0),"")="","","✔")</f>
        <v/>
      </c>
      <c r="D281" s="98" t="str">
        <f>IF(IFERROR(VLOOKUP(A281,'3.土方回填'!C:D,1,0),"")="","","✔")</f>
        <v/>
      </c>
      <c r="E281" s="98" t="str">
        <f>IF(IFERROR(VLOOKUP(A281,'4.鋼筋'!C:D,1,0),"")="","","✔")</f>
        <v/>
      </c>
      <c r="F281" s="98" t="str">
        <f>IF(IFERROR(VLOOKUP(A281,'5.模板'!C:D,1,0),"")="","","✔")</f>
        <v/>
      </c>
      <c r="G281" s="98" t="str">
        <f>IF(IFERROR(VLOOKUP(A281,'6.混凝土'!C:D,1,0),"")="","","✔")</f>
        <v/>
      </c>
      <c r="H281" s="98" t="str">
        <f>IF(IFERROR(VLOOKUP(A281,'7.植筋'!C:D,1,0),"")="","","✔")</f>
        <v/>
      </c>
      <c r="I281" s="98" t="str">
        <f>IF(IFERROR(VLOOKUP(A281,'8.預力混凝土基樁'!C:D,1,0),"")="","","✔")</f>
        <v/>
      </c>
      <c r="J281" s="98" t="str">
        <f>IF(IFERROR(VLOOKUP(A281,'9.砌塊石護岸'!C:D,1,0),"")="","","✔")</f>
        <v/>
      </c>
      <c r="K281" s="98" t="str">
        <f>IF(IFERROR(VLOOKUP(A281,'10.低水護岸'!C:D,1,0),"")="","","✔")</f>
        <v/>
      </c>
      <c r="L281" s="98" t="str">
        <f>IF(IFERROR(VLOOKUP(A281,'11.固床工'!C:D,1,0),"")="","","✔")</f>
        <v/>
      </c>
      <c r="M281" s="98" t="str">
        <f>IF(IFERROR(VLOOKUP(A281,'12.全套管基樁'!C:D,1,0),"")="","","✔")</f>
        <v/>
      </c>
      <c r="N281" s="98" t="str">
        <f>IF(IFERROR(VLOOKUP(A281,'13.鋼筋混凝土管工程'!C:D,1,0),"")="","","✔")</f>
        <v/>
      </c>
      <c r="O281" s="98" t="str">
        <f>IF(IFERROR(VLOOKUP(A281,'14.鋼版樁'!C:D,1,0),"")="","","✔")</f>
        <v/>
      </c>
      <c r="P281" s="98" t="str">
        <f>IF(IFERROR(VLOOKUP(A281,'15.路床 路基高程'!C:D,1,0),"")="","","✔")</f>
        <v/>
      </c>
      <c r="Q281" s="98" t="str">
        <f>IF(IFERROR(VLOOKUP(A281,'16.瀝青混凝土'!C:D,1,0),"")="","","✔")</f>
        <v/>
      </c>
      <c r="R281" s="98" t="str">
        <f>IF(IFERROR(VLOOKUP(A281,'17.景觀鋪面(一)'!C:D,1,0),"")="","","✔")</f>
        <v/>
      </c>
      <c r="S281" s="98" t="str">
        <f>IF(IFERROR(VLOOKUP(A281,'18.景觀鋪面(二)'!C:D,1,0),"")="","","✔")</f>
        <v/>
      </c>
      <c r="T281" s="98" t="str">
        <f>IF(IFERROR(VLOOKUP(A281,'19.預鑄緣石'!C:D,1,0),"")="","","✔")</f>
        <v/>
      </c>
      <c r="U281" s="98" t="str">
        <f>IF(IFERROR(VLOOKUP(A281,'20.鋼構工程吊裝'!C:D,1,0),"")="","","✔")</f>
        <v/>
      </c>
      <c r="V281" s="98" t="str">
        <f>IF(IFERROR(VLOOKUP(A281,'21.鋼構工程塗裝'!C:D,1,0),"")="","","✔")</f>
        <v/>
      </c>
      <c r="W281" s="98" t="str">
        <f>IF(IFERROR(VLOOKUP(A281,'22.排水設施(一)'!C:D,1,0),"")="","","✔")</f>
        <v/>
      </c>
      <c r="X281" s="98" t="str">
        <f>IF(IFERROR(VLOOKUP(A281,'23.排水設施(二)'!C:D,1,0),"")="","","✔")</f>
        <v/>
      </c>
      <c r="Y281" s="98" t="str">
        <f>IF(IFERROR(VLOOKUP(A281,'24.木構造'!C:D,1,0),"")="","","✔")</f>
        <v/>
      </c>
      <c r="Z281" s="98" t="str">
        <f>IF(IFERROR(VLOOKUP(A281,'25.管路'!C:D,1,0),"")="","","✔")</f>
        <v/>
      </c>
      <c r="AA281" s="98" t="str">
        <f>IF(IFERROR(VLOOKUP(A281,'26.植栽(移植)'!C:D,1,0),"")="","","✔")</f>
        <v/>
      </c>
      <c r="AB281" s="98" t="str">
        <f>IF(IFERROR(VLOOKUP(A281,'27.植栽(新植)'!C:D,1,0),"")="","","✔")</f>
        <v/>
      </c>
      <c r="AC281" s="98" t="str">
        <f>IF(IFERROR(VLOOKUP(A281,'28.照明'!C:D,1,0),"")="","","✔")</f>
        <v/>
      </c>
      <c r="AD281" s="98" t="str">
        <f>IF(IFERROR(VLOOKUP(A281,'29.既有橋梁拆除'!C:D,1,0),"")="","","✔")</f>
        <v/>
      </c>
    </row>
    <row r="282" spans="1:30" ht="21.75" customHeight="1" x14ac:dyDescent="0.25">
      <c r="A282" s="99">
        <v>45472</v>
      </c>
      <c r="B282" s="98" t="str">
        <f>IF(IFERROR(VLOOKUP(A282,'1.測量放樣'!C:D,1,0),"")="","","✔")</f>
        <v/>
      </c>
      <c r="C282" s="98" t="str">
        <f>IF(IFERROR(VLOOKUP(A282,'2.土方開挖'!C:D,1,0),"")="","","✔")</f>
        <v/>
      </c>
      <c r="D282" s="98" t="str">
        <f>IF(IFERROR(VLOOKUP(A282,'3.土方回填'!C:D,1,0),"")="","","✔")</f>
        <v/>
      </c>
      <c r="E282" s="98" t="str">
        <f>IF(IFERROR(VLOOKUP(A282,'4.鋼筋'!C:D,1,0),"")="","","✔")</f>
        <v/>
      </c>
      <c r="F282" s="98" t="str">
        <f>IF(IFERROR(VLOOKUP(A282,'5.模板'!C:D,1,0),"")="","","✔")</f>
        <v/>
      </c>
      <c r="G282" s="98" t="str">
        <f>IF(IFERROR(VLOOKUP(A282,'6.混凝土'!C:D,1,0),"")="","","✔")</f>
        <v/>
      </c>
      <c r="H282" s="98" t="str">
        <f>IF(IFERROR(VLOOKUP(A282,'7.植筋'!C:D,1,0),"")="","","✔")</f>
        <v/>
      </c>
      <c r="I282" s="98" t="str">
        <f>IF(IFERROR(VLOOKUP(A282,'8.預力混凝土基樁'!C:D,1,0),"")="","","✔")</f>
        <v/>
      </c>
      <c r="J282" s="98" t="str">
        <f>IF(IFERROR(VLOOKUP(A282,'9.砌塊石護岸'!C:D,1,0),"")="","","✔")</f>
        <v/>
      </c>
      <c r="K282" s="98" t="str">
        <f>IF(IFERROR(VLOOKUP(A282,'10.低水護岸'!C:D,1,0),"")="","","✔")</f>
        <v/>
      </c>
      <c r="L282" s="98" t="str">
        <f>IF(IFERROR(VLOOKUP(A282,'11.固床工'!C:D,1,0),"")="","","✔")</f>
        <v/>
      </c>
      <c r="M282" s="98" t="str">
        <f>IF(IFERROR(VLOOKUP(A282,'12.全套管基樁'!C:D,1,0),"")="","","✔")</f>
        <v/>
      </c>
      <c r="N282" s="98" t="str">
        <f>IF(IFERROR(VLOOKUP(A282,'13.鋼筋混凝土管工程'!C:D,1,0),"")="","","✔")</f>
        <v/>
      </c>
      <c r="O282" s="98" t="str">
        <f>IF(IFERROR(VLOOKUP(A282,'14.鋼版樁'!C:D,1,0),"")="","","✔")</f>
        <v/>
      </c>
      <c r="P282" s="98" t="str">
        <f>IF(IFERROR(VLOOKUP(A282,'15.路床 路基高程'!C:D,1,0),"")="","","✔")</f>
        <v/>
      </c>
      <c r="Q282" s="98" t="str">
        <f>IF(IFERROR(VLOOKUP(A282,'16.瀝青混凝土'!C:D,1,0),"")="","","✔")</f>
        <v/>
      </c>
      <c r="R282" s="98" t="str">
        <f>IF(IFERROR(VLOOKUP(A282,'17.景觀鋪面(一)'!C:D,1,0),"")="","","✔")</f>
        <v/>
      </c>
      <c r="S282" s="98" t="str">
        <f>IF(IFERROR(VLOOKUP(A282,'18.景觀鋪面(二)'!C:D,1,0),"")="","","✔")</f>
        <v/>
      </c>
      <c r="T282" s="98" t="str">
        <f>IF(IFERROR(VLOOKUP(A282,'19.預鑄緣石'!C:D,1,0),"")="","","✔")</f>
        <v/>
      </c>
      <c r="U282" s="98" t="str">
        <f>IF(IFERROR(VLOOKUP(A282,'20.鋼構工程吊裝'!C:D,1,0),"")="","","✔")</f>
        <v/>
      </c>
      <c r="V282" s="98" t="str">
        <f>IF(IFERROR(VLOOKUP(A282,'21.鋼構工程塗裝'!C:D,1,0),"")="","","✔")</f>
        <v/>
      </c>
      <c r="W282" s="98" t="str">
        <f>IF(IFERROR(VLOOKUP(A282,'22.排水設施(一)'!C:D,1,0),"")="","","✔")</f>
        <v/>
      </c>
      <c r="X282" s="98" t="str">
        <f>IF(IFERROR(VLOOKUP(A282,'23.排水設施(二)'!C:D,1,0),"")="","","✔")</f>
        <v/>
      </c>
      <c r="Y282" s="98" t="str">
        <f>IF(IFERROR(VLOOKUP(A282,'24.木構造'!C:D,1,0),"")="","","✔")</f>
        <v/>
      </c>
      <c r="Z282" s="98" t="str">
        <f>IF(IFERROR(VLOOKUP(A282,'25.管路'!C:D,1,0),"")="","","✔")</f>
        <v/>
      </c>
      <c r="AA282" s="98" t="str">
        <f>IF(IFERROR(VLOOKUP(A282,'26.植栽(移植)'!C:D,1,0),"")="","","✔")</f>
        <v/>
      </c>
      <c r="AB282" s="98" t="str">
        <f>IF(IFERROR(VLOOKUP(A282,'27.植栽(新植)'!C:D,1,0),"")="","","✔")</f>
        <v/>
      </c>
      <c r="AC282" s="98" t="str">
        <f>IF(IFERROR(VLOOKUP(A282,'28.照明'!C:D,1,0),"")="","","✔")</f>
        <v/>
      </c>
      <c r="AD282" s="98" t="str">
        <f>IF(IFERROR(VLOOKUP(A282,'29.既有橋梁拆除'!C:D,1,0),"")="","","✔")</f>
        <v/>
      </c>
    </row>
    <row r="283" spans="1:30" ht="21.75" customHeight="1" x14ac:dyDescent="0.25">
      <c r="A283" s="99">
        <v>45473</v>
      </c>
      <c r="B283" s="98" t="str">
        <f>IF(IFERROR(VLOOKUP(A283,'1.測量放樣'!C:D,1,0),"")="","","✔")</f>
        <v/>
      </c>
      <c r="C283" s="98" t="str">
        <f>IF(IFERROR(VLOOKUP(A283,'2.土方開挖'!C:D,1,0),"")="","","✔")</f>
        <v/>
      </c>
      <c r="D283" s="98" t="str">
        <f>IF(IFERROR(VLOOKUP(A283,'3.土方回填'!C:D,1,0),"")="","","✔")</f>
        <v/>
      </c>
      <c r="E283" s="98" t="str">
        <f>IF(IFERROR(VLOOKUP(A283,'4.鋼筋'!C:D,1,0),"")="","","✔")</f>
        <v/>
      </c>
      <c r="F283" s="98" t="str">
        <f>IF(IFERROR(VLOOKUP(A283,'5.模板'!C:D,1,0),"")="","","✔")</f>
        <v/>
      </c>
      <c r="G283" s="98" t="str">
        <f>IF(IFERROR(VLOOKUP(A283,'6.混凝土'!C:D,1,0),"")="","","✔")</f>
        <v/>
      </c>
      <c r="H283" s="98" t="str">
        <f>IF(IFERROR(VLOOKUP(A283,'7.植筋'!C:D,1,0),"")="","","✔")</f>
        <v/>
      </c>
      <c r="I283" s="98" t="str">
        <f>IF(IFERROR(VLOOKUP(A283,'8.預力混凝土基樁'!C:D,1,0),"")="","","✔")</f>
        <v/>
      </c>
      <c r="J283" s="98" t="str">
        <f>IF(IFERROR(VLOOKUP(A283,'9.砌塊石護岸'!C:D,1,0),"")="","","✔")</f>
        <v/>
      </c>
      <c r="K283" s="98" t="str">
        <f>IF(IFERROR(VLOOKUP(A283,'10.低水護岸'!C:D,1,0),"")="","","✔")</f>
        <v/>
      </c>
      <c r="L283" s="98" t="str">
        <f>IF(IFERROR(VLOOKUP(A283,'11.固床工'!C:D,1,0),"")="","","✔")</f>
        <v/>
      </c>
      <c r="M283" s="98" t="str">
        <f>IF(IFERROR(VLOOKUP(A283,'12.全套管基樁'!C:D,1,0),"")="","","✔")</f>
        <v/>
      </c>
      <c r="N283" s="98" t="str">
        <f>IF(IFERROR(VLOOKUP(A283,'13.鋼筋混凝土管工程'!C:D,1,0),"")="","","✔")</f>
        <v/>
      </c>
      <c r="O283" s="98" t="str">
        <f>IF(IFERROR(VLOOKUP(A283,'14.鋼版樁'!C:D,1,0),"")="","","✔")</f>
        <v/>
      </c>
      <c r="P283" s="98" t="str">
        <f>IF(IFERROR(VLOOKUP(A283,'15.路床 路基高程'!C:D,1,0),"")="","","✔")</f>
        <v/>
      </c>
      <c r="Q283" s="98" t="str">
        <f>IF(IFERROR(VLOOKUP(A283,'16.瀝青混凝土'!C:D,1,0),"")="","","✔")</f>
        <v/>
      </c>
      <c r="R283" s="98" t="str">
        <f>IF(IFERROR(VLOOKUP(A283,'17.景觀鋪面(一)'!C:D,1,0),"")="","","✔")</f>
        <v/>
      </c>
      <c r="S283" s="98" t="str">
        <f>IF(IFERROR(VLOOKUP(A283,'18.景觀鋪面(二)'!C:D,1,0),"")="","","✔")</f>
        <v/>
      </c>
      <c r="T283" s="98" t="str">
        <f>IF(IFERROR(VLOOKUP(A283,'19.預鑄緣石'!C:D,1,0),"")="","","✔")</f>
        <v/>
      </c>
      <c r="U283" s="98" t="str">
        <f>IF(IFERROR(VLOOKUP(A283,'20.鋼構工程吊裝'!C:D,1,0),"")="","","✔")</f>
        <v/>
      </c>
      <c r="V283" s="98" t="str">
        <f>IF(IFERROR(VLOOKUP(A283,'21.鋼構工程塗裝'!C:D,1,0),"")="","","✔")</f>
        <v/>
      </c>
      <c r="W283" s="98" t="str">
        <f>IF(IFERROR(VLOOKUP(A283,'22.排水設施(一)'!C:D,1,0),"")="","","✔")</f>
        <v/>
      </c>
      <c r="X283" s="98" t="str">
        <f>IF(IFERROR(VLOOKUP(A283,'23.排水設施(二)'!C:D,1,0),"")="","","✔")</f>
        <v/>
      </c>
      <c r="Y283" s="98" t="str">
        <f>IF(IFERROR(VLOOKUP(A283,'24.木構造'!C:D,1,0),"")="","","✔")</f>
        <v/>
      </c>
      <c r="Z283" s="98" t="str">
        <f>IF(IFERROR(VLOOKUP(A283,'25.管路'!C:D,1,0),"")="","","✔")</f>
        <v/>
      </c>
      <c r="AA283" s="98" t="str">
        <f>IF(IFERROR(VLOOKUP(A283,'26.植栽(移植)'!C:D,1,0),"")="","","✔")</f>
        <v/>
      </c>
      <c r="AB283" s="98" t="str">
        <f>IF(IFERROR(VLOOKUP(A283,'27.植栽(新植)'!C:D,1,0),"")="","","✔")</f>
        <v/>
      </c>
      <c r="AC283" s="98" t="str">
        <f>IF(IFERROR(VLOOKUP(A283,'28.照明'!C:D,1,0),"")="","","✔")</f>
        <v/>
      </c>
      <c r="AD283" s="98" t="str">
        <f>IF(IFERROR(VLOOKUP(A283,'29.既有橋梁拆除'!C:D,1,0),"")="","","✔")</f>
        <v/>
      </c>
    </row>
    <row r="284" spans="1:30" ht="21.75" customHeight="1" x14ac:dyDescent="0.25">
      <c r="A284" s="99">
        <v>45474</v>
      </c>
      <c r="B284" s="98" t="str">
        <f>IF(IFERROR(VLOOKUP(A284,'1.測量放樣'!C:D,1,0),"")="","","✔")</f>
        <v/>
      </c>
      <c r="C284" s="98" t="str">
        <f>IF(IFERROR(VLOOKUP(A284,'2.土方開挖'!C:D,1,0),"")="","","✔")</f>
        <v/>
      </c>
      <c r="D284" s="98" t="str">
        <f>IF(IFERROR(VLOOKUP(A284,'3.土方回填'!C:D,1,0),"")="","","✔")</f>
        <v/>
      </c>
      <c r="E284" s="98" t="str">
        <f>IF(IFERROR(VLOOKUP(A284,'4.鋼筋'!C:D,1,0),"")="","","✔")</f>
        <v/>
      </c>
      <c r="F284" s="98" t="str">
        <f>IF(IFERROR(VLOOKUP(A284,'5.模板'!C:D,1,0),"")="","","✔")</f>
        <v/>
      </c>
      <c r="G284" s="98" t="str">
        <f>IF(IFERROR(VLOOKUP(A284,'6.混凝土'!C:D,1,0),"")="","","✔")</f>
        <v/>
      </c>
      <c r="H284" s="98" t="str">
        <f>IF(IFERROR(VLOOKUP(A284,'7.植筋'!C:D,1,0),"")="","","✔")</f>
        <v/>
      </c>
      <c r="I284" s="98" t="str">
        <f>IF(IFERROR(VLOOKUP(A284,'8.預力混凝土基樁'!C:D,1,0),"")="","","✔")</f>
        <v/>
      </c>
      <c r="J284" s="98" t="str">
        <f>IF(IFERROR(VLOOKUP(A284,'9.砌塊石護岸'!C:D,1,0),"")="","","✔")</f>
        <v/>
      </c>
      <c r="K284" s="98" t="str">
        <f>IF(IFERROR(VLOOKUP(A284,'10.低水護岸'!C:D,1,0),"")="","","✔")</f>
        <v/>
      </c>
      <c r="L284" s="98" t="str">
        <f>IF(IFERROR(VLOOKUP(A284,'11.固床工'!C:D,1,0),"")="","","✔")</f>
        <v/>
      </c>
      <c r="M284" s="98" t="str">
        <f>IF(IFERROR(VLOOKUP(A284,'12.全套管基樁'!C:D,1,0),"")="","","✔")</f>
        <v/>
      </c>
      <c r="N284" s="98" t="str">
        <f>IF(IFERROR(VLOOKUP(A284,'13.鋼筋混凝土管工程'!C:D,1,0),"")="","","✔")</f>
        <v/>
      </c>
      <c r="O284" s="98" t="str">
        <f>IF(IFERROR(VLOOKUP(A284,'14.鋼版樁'!C:D,1,0),"")="","","✔")</f>
        <v/>
      </c>
      <c r="P284" s="98" t="str">
        <f>IF(IFERROR(VLOOKUP(A284,'15.路床 路基高程'!C:D,1,0),"")="","","✔")</f>
        <v/>
      </c>
      <c r="Q284" s="98" t="str">
        <f>IF(IFERROR(VLOOKUP(A284,'16.瀝青混凝土'!C:D,1,0),"")="","","✔")</f>
        <v/>
      </c>
      <c r="R284" s="98" t="str">
        <f>IF(IFERROR(VLOOKUP(A284,'17.景觀鋪面(一)'!C:D,1,0),"")="","","✔")</f>
        <v/>
      </c>
      <c r="S284" s="98" t="str">
        <f>IF(IFERROR(VLOOKUP(A284,'18.景觀鋪面(二)'!C:D,1,0),"")="","","✔")</f>
        <v/>
      </c>
      <c r="T284" s="98" t="str">
        <f>IF(IFERROR(VLOOKUP(A284,'19.預鑄緣石'!C:D,1,0),"")="","","✔")</f>
        <v/>
      </c>
      <c r="U284" s="98" t="str">
        <f>IF(IFERROR(VLOOKUP(A284,'20.鋼構工程吊裝'!C:D,1,0),"")="","","✔")</f>
        <v/>
      </c>
      <c r="V284" s="98" t="str">
        <f>IF(IFERROR(VLOOKUP(A284,'21.鋼構工程塗裝'!C:D,1,0),"")="","","✔")</f>
        <v/>
      </c>
      <c r="W284" s="98" t="str">
        <f>IF(IFERROR(VLOOKUP(A284,'22.排水設施(一)'!C:D,1,0),"")="","","✔")</f>
        <v/>
      </c>
      <c r="X284" s="98" t="str">
        <f>IF(IFERROR(VLOOKUP(A284,'23.排水設施(二)'!C:D,1,0),"")="","","✔")</f>
        <v/>
      </c>
      <c r="Y284" s="98" t="str">
        <f>IF(IFERROR(VLOOKUP(A284,'24.木構造'!C:D,1,0),"")="","","✔")</f>
        <v/>
      </c>
      <c r="Z284" s="98" t="str">
        <f>IF(IFERROR(VLOOKUP(A284,'25.管路'!C:D,1,0),"")="","","✔")</f>
        <v/>
      </c>
      <c r="AA284" s="98" t="str">
        <f>IF(IFERROR(VLOOKUP(A284,'26.植栽(移植)'!C:D,1,0),"")="","","✔")</f>
        <v/>
      </c>
      <c r="AB284" s="98" t="str">
        <f>IF(IFERROR(VLOOKUP(A284,'27.植栽(新植)'!C:D,1,0),"")="","","✔")</f>
        <v/>
      </c>
      <c r="AC284" s="98" t="str">
        <f>IF(IFERROR(VLOOKUP(A284,'28.照明'!C:D,1,0),"")="","","✔")</f>
        <v/>
      </c>
      <c r="AD284" s="98" t="str">
        <f>IF(IFERROR(VLOOKUP(A284,'29.既有橋梁拆除'!C:D,1,0),"")="","","✔")</f>
        <v/>
      </c>
    </row>
    <row r="285" spans="1:30" ht="21.75" customHeight="1" x14ac:dyDescent="0.25">
      <c r="A285" s="99">
        <v>45475</v>
      </c>
      <c r="B285" s="98" t="str">
        <f>IF(IFERROR(VLOOKUP(A285,'1.測量放樣'!C:D,1,0),"")="","","✔")</f>
        <v/>
      </c>
      <c r="C285" s="98" t="str">
        <f>IF(IFERROR(VLOOKUP(A285,'2.土方開挖'!C:D,1,0),"")="","","✔")</f>
        <v/>
      </c>
      <c r="D285" s="98" t="str">
        <f>IF(IFERROR(VLOOKUP(A285,'3.土方回填'!C:D,1,0),"")="","","✔")</f>
        <v/>
      </c>
      <c r="E285" s="98" t="str">
        <f>IF(IFERROR(VLOOKUP(A285,'4.鋼筋'!C:D,1,0),"")="","","✔")</f>
        <v/>
      </c>
      <c r="F285" s="98" t="str">
        <f>IF(IFERROR(VLOOKUP(A285,'5.模板'!C:D,1,0),"")="","","✔")</f>
        <v/>
      </c>
      <c r="G285" s="98" t="str">
        <f>IF(IFERROR(VLOOKUP(A285,'6.混凝土'!C:D,1,0),"")="","","✔")</f>
        <v/>
      </c>
      <c r="H285" s="98" t="str">
        <f>IF(IFERROR(VLOOKUP(A285,'7.植筋'!C:D,1,0),"")="","","✔")</f>
        <v/>
      </c>
      <c r="I285" s="98" t="str">
        <f>IF(IFERROR(VLOOKUP(A285,'8.預力混凝土基樁'!C:D,1,0),"")="","","✔")</f>
        <v/>
      </c>
      <c r="J285" s="98" t="str">
        <f>IF(IFERROR(VLOOKUP(A285,'9.砌塊石護岸'!C:D,1,0),"")="","","✔")</f>
        <v/>
      </c>
      <c r="K285" s="98" t="str">
        <f>IF(IFERROR(VLOOKUP(A285,'10.低水護岸'!C:D,1,0),"")="","","✔")</f>
        <v/>
      </c>
      <c r="L285" s="98" t="str">
        <f>IF(IFERROR(VLOOKUP(A285,'11.固床工'!C:D,1,0),"")="","","✔")</f>
        <v/>
      </c>
      <c r="M285" s="98" t="str">
        <f>IF(IFERROR(VLOOKUP(A285,'12.全套管基樁'!C:D,1,0),"")="","","✔")</f>
        <v/>
      </c>
      <c r="N285" s="98" t="str">
        <f>IF(IFERROR(VLOOKUP(A285,'13.鋼筋混凝土管工程'!C:D,1,0),"")="","","✔")</f>
        <v/>
      </c>
      <c r="O285" s="98" t="str">
        <f>IF(IFERROR(VLOOKUP(A285,'14.鋼版樁'!C:D,1,0),"")="","","✔")</f>
        <v/>
      </c>
      <c r="P285" s="98" t="str">
        <f>IF(IFERROR(VLOOKUP(A285,'15.路床 路基高程'!C:D,1,0),"")="","","✔")</f>
        <v/>
      </c>
      <c r="Q285" s="98" t="str">
        <f>IF(IFERROR(VLOOKUP(A285,'16.瀝青混凝土'!C:D,1,0),"")="","","✔")</f>
        <v/>
      </c>
      <c r="R285" s="98" t="str">
        <f>IF(IFERROR(VLOOKUP(A285,'17.景觀鋪面(一)'!C:D,1,0),"")="","","✔")</f>
        <v/>
      </c>
      <c r="S285" s="98" t="str">
        <f>IF(IFERROR(VLOOKUP(A285,'18.景觀鋪面(二)'!C:D,1,0),"")="","","✔")</f>
        <v/>
      </c>
      <c r="T285" s="98" t="str">
        <f>IF(IFERROR(VLOOKUP(A285,'19.預鑄緣石'!C:D,1,0),"")="","","✔")</f>
        <v/>
      </c>
      <c r="U285" s="98" t="str">
        <f>IF(IFERROR(VLOOKUP(A285,'20.鋼構工程吊裝'!C:D,1,0),"")="","","✔")</f>
        <v/>
      </c>
      <c r="V285" s="98" t="str">
        <f>IF(IFERROR(VLOOKUP(A285,'21.鋼構工程塗裝'!C:D,1,0),"")="","","✔")</f>
        <v/>
      </c>
      <c r="W285" s="98" t="str">
        <f>IF(IFERROR(VLOOKUP(A285,'22.排水設施(一)'!C:D,1,0),"")="","","✔")</f>
        <v/>
      </c>
      <c r="X285" s="98" t="str">
        <f>IF(IFERROR(VLOOKUP(A285,'23.排水設施(二)'!C:D,1,0),"")="","","✔")</f>
        <v/>
      </c>
      <c r="Y285" s="98" t="str">
        <f>IF(IFERROR(VLOOKUP(A285,'24.木構造'!C:D,1,0),"")="","","✔")</f>
        <v/>
      </c>
      <c r="Z285" s="98" t="str">
        <f>IF(IFERROR(VLOOKUP(A285,'25.管路'!C:D,1,0),"")="","","✔")</f>
        <v/>
      </c>
      <c r="AA285" s="98" t="str">
        <f>IF(IFERROR(VLOOKUP(A285,'26.植栽(移植)'!C:D,1,0),"")="","","✔")</f>
        <v/>
      </c>
      <c r="AB285" s="98" t="str">
        <f>IF(IFERROR(VLOOKUP(A285,'27.植栽(新植)'!C:D,1,0),"")="","","✔")</f>
        <v/>
      </c>
      <c r="AC285" s="98" t="str">
        <f>IF(IFERROR(VLOOKUP(A285,'28.照明'!C:D,1,0),"")="","","✔")</f>
        <v/>
      </c>
      <c r="AD285" s="98" t="str">
        <f>IF(IFERROR(VLOOKUP(A285,'29.既有橋梁拆除'!C:D,1,0),"")="","","✔")</f>
        <v/>
      </c>
    </row>
    <row r="286" spans="1:30" ht="21.75" customHeight="1" x14ac:dyDescent="0.25">
      <c r="A286" s="99">
        <v>45476</v>
      </c>
      <c r="B286" s="98" t="str">
        <f>IF(IFERROR(VLOOKUP(A286,'1.測量放樣'!C:D,1,0),"")="","","✔")</f>
        <v/>
      </c>
      <c r="C286" s="98" t="str">
        <f>IF(IFERROR(VLOOKUP(A286,'2.土方開挖'!C:D,1,0),"")="","","✔")</f>
        <v/>
      </c>
      <c r="D286" s="98" t="str">
        <f>IF(IFERROR(VLOOKUP(A286,'3.土方回填'!C:D,1,0),"")="","","✔")</f>
        <v/>
      </c>
      <c r="E286" s="98" t="str">
        <f>IF(IFERROR(VLOOKUP(A286,'4.鋼筋'!C:D,1,0),"")="","","✔")</f>
        <v/>
      </c>
      <c r="F286" s="98" t="str">
        <f>IF(IFERROR(VLOOKUP(A286,'5.模板'!C:D,1,0),"")="","","✔")</f>
        <v/>
      </c>
      <c r="G286" s="98" t="str">
        <f>IF(IFERROR(VLOOKUP(A286,'6.混凝土'!C:D,1,0),"")="","","✔")</f>
        <v/>
      </c>
      <c r="H286" s="98" t="str">
        <f>IF(IFERROR(VLOOKUP(A286,'7.植筋'!C:D,1,0),"")="","","✔")</f>
        <v/>
      </c>
      <c r="I286" s="98" t="str">
        <f>IF(IFERROR(VLOOKUP(A286,'8.預力混凝土基樁'!C:D,1,0),"")="","","✔")</f>
        <v/>
      </c>
      <c r="J286" s="98" t="str">
        <f>IF(IFERROR(VLOOKUP(A286,'9.砌塊石護岸'!C:D,1,0),"")="","","✔")</f>
        <v/>
      </c>
      <c r="K286" s="98" t="str">
        <f>IF(IFERROR(VLOOKUP(A286,'10.低水護岸'!C:D,1,0),"")="","","✔")</f>
        <v/>
      </c>
      <c r="L286" s="98" t="str">
        <f>IF(IFERROR(VLOOKUP(A286,'11.固床工'!C:D,1,0),"")="","","✔")</f>
        <v/>
      </c>
      <c r="M286" s="98" t="str">
        <f>IF(IFERROR(VLOOKUP(A286,'12.全套管基樁'!C:D,1,0),"")="","","✔")</f>
        <v/>
      </c>
      <c r="N286" s="98" t="str">
        <f>IF(IFERROR(VLOOKUP(A286,'13.鋼筋混凝土管工程'!C:D,1,0),"")="","","✔")</f>
        <v/>
      </c>
      <c r="O286" s="98" t="str">
        <f>IF(IFERROR(VLOOKUP(A286,'14.鋼版樁'!C:D,1,0),"")="","","✔")</f>
        <v/>
      </c>
      <c r="P286" s="98" t="str">
        <f>IF(IFERROR(VLOOKUP(A286,'15.路床 路基高程'!C:D,1,0),"")="","","✔")</f>
        <v/>
      </c>
      <c r="Q286" s="98" t="str">
        <f>IF(IFERROR(VLOOKUP(A286,'16.瀝青混凝土'!C:D,1,0),"")="","","✔")</f>
        <v/>
      </c>
      <c r="R286" s="98" t="str">
        <f>IF(IFERROR(VLOOKUP(A286,'17.景觀鋪面(一)'!C:D,1,0),"")="","","✔")</f>
        <v/>
      </c>
      <c r="S286" s="98" t="str">
        <f>IF(IFERROR(VLOOKUP(A286,'18.景觀鋪面(二)'!C:D,1,0),"")="","","✔")</f>
        <v/>
      </c>
      <c r="T286" s="98" t="str">
        <f>IF(IFERROR(VLOOKUP(A286,'19.預鑄緣石'!C:D,1,0),"")="","","✔")</f>
        <v/>
      </c>
      <c r="U286" s="98" t="str">
        <f>IF(IFERROR(VLOOKUP(A286,'20.鋼構工程吊裝'!C:D,1,0),"")="","","✔")</f>
        <v/>
      </c>
      <c r="V286" s="98" t="str">
        <f>IF(IFERROR(VLOOKUP(A286,'21.鋼構工程塗裝'!C:D,1,0),"")="","","✔")</f>
        <v/>
      </c>
      <c r="W286" s="98" t="str">
        <f>IF(IFERROR(VLOOKUP(A286,'22.排水設施(一)'!C:D,1,0),"")="","","✔")</f>
        <v/>
      </c>
      <c r="X286" s="98" t="str">
        <f>IF(IFERROR(VLOOKUP(A286,'23.排水設施(二)'!C:D,1,0),"")="","","✔")</f>
        <v/>
      </c>
      <c r="Y286" s="98" t="str">
        <f>IF(IFERROR(VLOOKUP(A286,'24.木構造'!C:D,1,0),"")="","","✔")</f>
        <v/>
      </c>
      <c r="Z286" s="98" t="str">
        <f>IF(IFERROR(VLOOKUP(A286,'25.管路'!C:D,1,0),"")="","","✔")</f>
        <v/>
      </c>
      <c r="AA286" s="98" t="str">
        <f>IF(IFERROR(VLOOKUP(A286,'26.植栽(移植)'!C:D,1,0),"")="","","✔")</f>
        <v/>
      </c>
      <c r="AB286" s="98" t="str">
        <f>IF(IFERROR(VLOOKUP(A286,'27.植栽(新植)'!C:D,1,0),"")="","","✔")</f>
        <v/>
      </c>
      <c r="AC286" s="98" t="str">
        <f>IF(IFERROR(VLOOKUP(A286,'28.照明'!C:D,1,0),"")="","","✔")</f>
        <v/>
      </c>
      <c r="AD286" s="98" t="str">
        <f>IF(IFERROR(VLOOKUP(A286,'29.既有橋梁拆除'!C:D,1,0),"")="","","✔")</f>
        <v/>
      </c>
    </row>
    <row r="287" spans="1:30" ht="21.75" customHeight="1" x14ac:dyDescent="0.25">
      <c r="A287" s="99">
        <v>45477</v>
      </c>
      <c r="B287" s="98" t="str">
        <f>IF(IFERROR(VLOOKUP(A287,'1.測量放樣'!C:D,1,0),"")="","","✔")</f>
        <v/>
      </c>
      <c r="C287" s="98" t="str">
        <f>IF(IFERROR(VLOOKUP(A287,'2.土方開挖'!C:D,1,0),"")="","","✔")</f>
        <v/>
      </c>
      <c r="D287" s="98" t="str">
        <f>IF(IFERROR(VLOOKUP(A287,'3.土方回填'!C:D,1,0),"")="","","✔")</f>
        <v/>
      </c>
      <c r="E287" s="98" t="str">
        <f>IF(IFERROR(VLOOKUP(A287,'4.鋼筋'!C:D,1,0),"")="","","✔")</f>
        <v/>
      </c>
      <c r="F287" s="98" t="str">
        <f>IF(IFERROR(VLOOKUP(A287,'5.模板'!C:D,1,0),"")="","","✔")</f>
        <v/>
      </c>
      <c r="G287" s="98" t="str">
        <f>IF(IFERROR(VLOOKUP(A287,'6.混凝土'!C:D,1,0),"")="","","✔")</f>
        <v/>
      </c>
      <c r="H287" s="98" t="str">
        <f>IF(IFERROR(VLOOKUP(A287,'7.植筋'!C:D,1,0),"")="","","✔")</f>
        <v/>
      </c>
      <c r="I287" s="98" t="str">
        <f>IF(IFERROR(VLOOKUP(A287,'8.預力混凝土基樁'!C:D,1,0),"")="","","✔")</f>
        <v/>
      </c>
      <c r="J287" s="98" t="str">
        <f>IF(IFERROR(VLOOKUP(A287,'9.砌塊石護岸'!C:D,1,0),"")="","","✔")</f>
        <v/>
      </c>
      <c r="K287" s="98" t="str">
        <f>IF(IFERROR(VLOOKUP(A287,'10.低水護岸'!C:D,1,0),"")="","","✔")</f>
        <v/>
      </c>
      <c r="L287" s="98" t="str">
        <f>IF(IFERROR(VLOOKUP(A287,'11.固床工'!C:D,1,0),"")="","","✔")</f>
        <v/>
      </c>
      <c r="M287" s="98" t="str">
        <f>IF(IFERROR(VLOOKUP(A287,'12.全套管基樁'!C:D,1,0),"")="","","✔")</f>
        <v/>
      </c>
      <c r="N287" s="98" t="str">
        <f>IF(IFERROR(VLOOKUP(A287,'13.鋼筋混凝土管工程'!C:D,1,0),"")="","","✔")</f>
        <v/>
      </c>
      <c r="O287" s="98" t="str">
        <f>IF(IFERROR(VLOOKUP(A287,'14.鋼版樁'!C:D,1,0),"")="","","✔")</f>
        <v/>
      </c>
      <c r="P287" s="98" t="str">
        <f>IF(IFERROR(VLOOKUP(A287,'15.路床 路基高程'!C:D,1,0),"")="","","✔")</f>
        <v/>
      </c>
      <c r="Q287" s="98" t="str">
        <f>IF(IFERROR(VLOOKUP(A287,'16.瀝青混凝土'!C:D,1,0),"")="","","✔")</f>
        <v/>
      </c>
      <c r="R287" s="98" t="str">
        <f>IF(IFERROR(VLOOKUP(A287,'17.景觀鋪面(一)'!C:D,1,0),"")="","","✔")</f>
        <v/>
      </c>
      <c r="S287" s="98" t="str">
        <f>IF(IFERROR(VLOOKUP(A287,'18.景觀鋪面(二)'!C:D,1,0),"")="","","✔")</f>
        <v/>
      </c>
      <c r="T287" s="98" t="str">
        <f>IF(IFERROR(VLOOKUP(A287,'19.預鑄緣石'!C:D,1,0),"")="","","✔")</f>
        <v/>
      </c>
      <c r="U287" s="98" t="str">
        <f>IF(IFERROR(VLOOKUP(A287,'20.鋼構工程吊裝'!C:D,1,0),"")="","","✔")</f>
        <v/>
      </c>
      <c r="V287" s="98" t="str">
        <f>IF(IFERROR(VLOOKUP(A287,'21.鋼構工程塗裝'!C:D,1,0),"")="","","✔")</f>
        <v/>
      </c>
      <c r="W287" s="98" t="str">
        <f>IF(IFERROR(VLOOKUP(A287,'22.排水設施(一)'!C:D,1,0),"")="","","✔")</f>
        <v/>
      </c>
      <c r="X287" s="98" t="str">
        <f>IF(IFERROR(VLOOKUP(A287,'23.排水設施(二)'!C:D,1,0),"")="","","✔")</f>
        <v/>
      </c>
      <c r="Y287" s="98" t="str">
        <f>IF(IFERROR(VLOOKUP(A287,'24.木構造'!C:D,1,0),"")="","","✔")</f>
        <v/>
      </c>
      <c r="Z287" s="98" t="str">
        <f>IF(IFERROR(VLOOKUP(A287,'25.管路'!C:D,1,0),"")="","","✔")</f>
        <v/>
      </c>
      <c r="AA287" s="98" t="str">
        <f>IF(IFERROR(VLOOKUP(A287,'26.植栽(移植)'!C:D,1,0),"")="","","✔")</f>
        <v/>
      </c>
      <c r="AB287" s="98" t="str">
        <f>IF(IFERROR(VLOOKUP(A287,'27.植栽(新植)'!C:D,1,0),"")="","","✔")</f>
        <v/>
      </c>
      <c r="AC287" s="98" t="str">
        <f>IF(IFERROR(VLOOKUP(A287,'28.照明'!C:D,1,0),"")="","","✔")</f>
        <v/>
      </c>
      <c r="AD287" s="98" t="str">
        <f>IF(IFERROR(VLOOKUP(A287,'29.既有橋梁拆除'!C:D,1,0),"")="","","✔")</f>
        <v/>
      </c>
    </row>
    <row r="288" spans="1:30" ht="21.75" customHeight="1" x14ac:dyDescent="0.25">
      <c r="A288" s="99">
        <v>45478</v>
      </c>
      <c r="B288" s="98" t="str">
        <f>IF(IFERROR(VLOOKUP(A288,'1.測量放樣'!C:D,1,0),"")="","","✔")</f>
        <v/>
      </c>
      <c r="C288" s="98" t="str">
        <f>IF(IFERROR(VLOOKUP(A288,'2.土方開挖'!C:D,1,0),"")="","","✔")</f>
        <v/>
      </c>
      <c r="D288" s="98" t="str">
        <f>IF(IFERROR(VLOOKUP(A288,'3.土方回填'!C:D,1,0),"")="","","✔")</f>
        <v/>
      </c>
      <c r="E288" s="98" t="str">
        <f>IF(IFERROR(VLOOKUP(A288,'4.鋼筋'!C:D,1,0),"")="","","✔")</f>
        <v/>
      </c>
      <c r="F288" s="98" t="str">
        <f>IF(IFERROR(VLOOKUP(A288,'5.模板'!C:D,1,0),"")="","","✔")</f>
        <v/>
      </c>
      <c r="G288" s="98" t="str">
        <f>IF(IFERROR(VLOOKUP(A288,'6.混凝土'!C:D,1,0),"")="","","✔")</f>
        <v/>
      </c>
      <c r="H288" s="98" t="str">
        <f>IF(IFERROR(VLOOKUP(A288,'7.植筋'!C:D,1,0),"")="","","✔")</f>
        <v/>
      </c>
      <c r="I288" s="98" t="str">
        <f>IF(IFERROR(VLOOKUP(A288,'8.預力混凝土基樁'!C:D,1,0),"")="","","✔")</f>
        <v/>
      </c>
      <c r="J288" s="98" t="str">
        <f>IF(IFERROR(VLOOKUP(A288,'9.砌塊石護岸'!C:D,1,0),"")="","","✔")</f>
        <v/>
      </c>
      <c r="K288" s="98" t="str">
        <f>IF(IFERROR(VLOOKUP(A288,'10.低水護岸'!C:D,1,0),"")="","","✔")</f>
        <v/>
      </c>
      <c r="L288" s="98" t="str">
        <f>IF(IFERROR(VLOOKUP(A288,'11.固床工'!C:D,1,0),"")="","","✔")</f>
        <v/>
      </c>
      <c r="M288" s="98" t="str">
        <f>IF(IFERROR(VLOOKUP(A288,'12.全套管基樁'!C:D,1,0),"")="","","✔")</f>
        <v/>
      </c>
      <c r="N288" s="98" t="str">
        <f>IF(IFERROR(VLOOKUP(A288,'13.鋼筋混凝土管工程'!C:D,1,0),"")="","","✔")</f>
        <v/>
      </c>
      <c r="O288" s="98" t="str">
        <f>IF(IFERROR(VLOOKUP(A288,'14.鋼版樁'!C:D,1,0),"")="","","✔")</f>
        <v/>
      </c>
      <c r="P288" s="98" t="str">
        <f>IF(IFERROR(VLOOKUP(A288,'15.路床 路基高程'!C:D,1,0),"")="","","✔")</f>
        <v/>
      </c>
      <c r="Q288" s="98" t="str">
        <f>IF(IFERROR(VLOOKUP(A288,'16.瀝青混凝土'!C:D,1,0),"")="","","✔")</f>
        <v/>
      </c>
      <c r="R288" s="98" t="str">
        <f>IF(IFERROR(VLOOKUP(A288,'17.景觀鋪面(一)'!C:D,1,0),"")="","","✔")</f>
        <v/>
      </c>
      <c r="S288" s="98" t="str">
        <f>IF(IFERROR(VLOOKUP(A288,'18.景觀鋪面(二)'!C:D,1,0),"")="","","✔")</f>
        <v/>
      </c>
      <c r="T288" s="98" t="str">
        <f>IF(IFERROR(VLOOKUP(A288,'19.預鑄緣石'!C:D,1,0),"")="","","✔")</f>
        <v/>
      </c>
      <c r="U288" s="98" t="str">
        <f>IF(IFERROR(VLOOKUP(A288,'20.鋼構工程吊裝'!C:D,1,0),"")="","","✔")</f>
        <v/>
      </c>
      <c r="V288" s="98" t="str">
        <f>IF(IFERROR(VLOOKUP(A288,'21.鋼構工程塗裝'!C:D,1,0),"")="","","✔")</f>
        <v/>
      </c>
      <c r="W288" s="98" t="str">
        <f>IF(IFERROR(VLOOKUP(A288,'22.排水設施(一)'!C:D,1,0),"")="","","✔")</f>
        <v/>
      </c>
      <c r="X288" s="98" t="str">
        <f>IF(IFERROR(VLOOKUP(A288,'23.排水設施(二)'!C:D,1,0),"")="","","✔")</f>
        <v/>
      </c>
      <c r="Y288" s="98" t="str">
        <f>IF(IFERROR(VLOOKUP(A288,'24.木構造'!C:D,1,0),"")="","","✔")</f>
        <v/>
      </c>
      <c r="Z288" s="98" t="str">
        <f>IF(IFERROR(VLOOKUP(A288,'25.管路'!C:D,1,0),"")="","","✔")</f>
        <v/>
      </c>
      <c r="AA288" s="98" t="str">
        <f>IF(IFERROR(VLOOKUP(A288,'26.植栽(移植)'!C:D,1,0),"")="","","✔")</f>
        <v/>
      </c>
      <c r="AB288" s="98" t="str">
        <f>IF(IFERROR(VLOOKUP(A288,'27.植栽(新植)'!C:D,1,0),"")="","","✔")</f>
        <v/>
      </c>
      <c r="AC288" s="98" t="str">
        <f>IF(IFERROR(VLOOKUP(A288,'28.照明'!C:D,1,0),"")="","","✔")</f>
        <v/>
      </c>
      <c r="AD288" s="98" t="str">
        <f>IF(IFERROR(VLOOKUP(A288,'29.既有橋梁拆除'!C:D,1,0),"")="","","✔")</f>
        <v/>
      </c>
    </row>
    <row r="289" spans="1:30" ht="21.75" customHeight="1" x14ac:dyDescent="0.25">
      <c r="A289" s="99">
        <v>45479</v>
      </c>
      <c r="B289" s="98" t="str">
        <f>IF(IFERROR(VLOOKUP(A289,'1.測量放樣'!C:D,1,0),"")="","","✔")</f>
        <v/>
      </c>
      <c r="C289" s="98" t="str">
        <f>IF(IFERROR(VLOOKUP(A289,'2.土方開挖'!C:D,1,0),"")="","","✔")</f>
        <v/>
      </c>
      <c r="D289" s="98" t="str">
        <f>IF(IFERROR(VLOOKUP(A289,'3.土方回填'!C:D,1,0),"")="","","✔")</f>
        <v/>
      </c>
      <c r="E289" s="98" t="str">
        <f>IF(IFERROR(VLOOKUP(A289,'4.鋼筋'!C:D,1,0),"")="","","✔")</f>
        <v/>
      </c>
      <c r="F289" s="98" t="str">
        <f>IF(IFERROR(VLOOKUP(A289,'5.模板'!C:D,1,0),"")="","","✔")</f>
        <v/>
      </c>
      <c r="G289" s="98" t="str">
        <f>IF(IFERROR(VLOOKUP(A289,'6.混凝土'!C:D,1,0),"")="","","✔")</f>
        <v/>
      </c>
      <c r="H289" s="98" t="str">
        <f>IF(IFERROR(VLOOKUP(A289,'7.植筋'!C:D,1,0),"")="","","✔")</f>
        <v/>
      </c>
      <c r="I289" s="98" t="str">
        <f>IF(IFERROR(VLOOKUP(A289,'8.預力混凝土基樁'!C:D,1,0),"")="","","✔")</f>
        <v/>
      </c>
      <c r="J289" s="98" t="str">
        <f>IF(IFERROR(VLOOKUP(A289,'9.砌塊石護岸'!C:D,1,0),"")="","","✔")</f>
        <v/>
      </c>
      <c r="K289" s="98" t="str">
        <f>IF(IFERROR(VLOOKUP(A289,'10.低水護岸'!C:D,1,0),"")="","","✔")</f>
        <v/>
      </c>
      <c r="L289" s="98" t="str">
        <f>IF(IFERROR(VLOOKUP(A289,'11.固床工'!C:D,1,0),"")="","","✔")</f>
        <v/>
      </c>
      <c r="M289" s="98" t="str">
        <f>IF(IFERROR(VLOOKUP(A289,'12.全套管基樁'!C:D,1,0),"")="","","✔")</f>
        <v/>
      </c>
      <c r="N289" s="98" t="str">
        <f>IF(IFERROR(VLOOKUP(A289,'13.鋼筋混凝土管工程'!C:D,1,0),"")="","","✔")</f>
        <v/>
      </c>
      <c r="O289" s="98" t="str">
        <f>IF(IFERROR(VLOOKUP(A289,'14.鋼版樁'!C:D,1,0),"")="","","✔")</f>
        <v/>
      </c>
      <c r="P289" s="98" t="str">
        <f>IF(IFERROR(VLOOKUP(A289,'15.路床 路基高程'!C:D,1,0),"")="","","✔")</f>
        <v/>
      </c>
      <c r="Q289" s="98" t="str">
        <f>IF(IFERROR(VLOOKUP(A289,'16.瀝青混凝土'!C:D,1,0),"")="","","✔")</f>
        <v/>
      </c>
      <c r="R289" s="98" t="str">
        <f>IF(IFERROR(VLOOKUP(A289,'17.景觀鋪面(一)'!C:D,1,0),"")="","","✔")</f>
        <v/>
      </c>
      <c r="S289" s="98" t="str">
        <f>IF(IFERROR(VLOOKUP(A289,'18.景觀鋪面(二)'!C:D,1,0),"")="","","✔")</f>
        <v/>
      </c>
      <c r="T289" s="98" t="str">
        <f>IF(IFERROR(VLOOKUP(A289,'19.預鑄緣石'!C:D,1,0),"")="","","✔")</f>
        <v/>
      </c>
      <c r="U289" s="98" t="str">
        <f>IF(IFERROR(VLOOKUP(A289,'20.鋼構工程吊裝'!C:D,1,0),"")="","","✔")</f>
        <v/>
      </c>
      <c r="V289" s="98" t="str">
        <f>IF(IFERROR(VLOOKUP(A289,'21.鋼構工程塗裝'!C:D,1,0),"")="","","✔")</f>
        <v/>
      </c>
      <c r="W289" s="98" t="str">
        <f>IF(IFERROR(VLOOKUP(A289,'22.排水設施(一)'!C:D,1,0),"")="","","✔")</f>
        <v/>
      </c>
      <c r="X289" s="98" t="str">
        <f>IF(IFERROR(VLOOKUP(A289,'23.排水設施(二)'!C:D,1,0),"")="","","✔")</f>
        <v/>
      </c>
      <c r="Y289" s="98" t="str">
        <f>IF(IFERROR(VLOOKUP(A289,'24.木構造'!C:D,1,0),"")="","","✔")</f>
        <v/>
      </c>
      <c r="Z289" s="98" t="str">
        <f>IF(IFERROR(VLOOKUP(A289,'25.管路'!C:D,1,0),"")="","","✔")</f>
        <v/>
      </c>
      <c r="AA289" s="98" t="str">
        <f>IF(IFERROR(VLOOKUP(A289,'26.植栽(移植)'!C:D,1,0),"")="","","✔")</f>
        <v/>
      </c>
      <c r="AB289" s="98" t="str">
        <f>IF(IFERROR(VLOOKUP(A289,'27.植栽(新植)'!C:D,1,0),"")="","","✔")</f>
        <v/>
      </c>
      <c r="AC289" s="98" t="str">
        <f>IF(IFERROR(VLOOKUP(A289,'28.照明'!C:D,1,0),"")="","","✔")</f>
        <v/>
      </c>
      <c r="AD289" s="98" t="str">
        <f>IF(IFERROR(VLOOKUP(A289,'29.既有橋梁拆除'!C:D,1,0),"")="","","✔")</f>
        <v/>
      </c>
    </row>
    <row r="290" spans="1:30" ht="21.75" customHeight="1" x14ac:dyDescent="0.25">
      <c r="A290" s="99">
        <v>45480</v>
      </c>
      <c r="B290" s="98" t="str">
        <f>IF(IFERROR(VLOOKUP(A290,'1.測量放樣'!C:D,1,0),"")="","","✔")</f>
        <v/>
      </c>
      <c r="C290" s="98" t="str">
        <f>IF(IFERROR(VLOOKUP(A290,'2.土方開挖'!C:D,1,0),"")="","","✔")</f>
        <v/>
      </c>
      <c r="D290" s="98" t="str">
        <f>IF(IFERROR(VLOOKUP(A290,'3.土方回填'!C:D,1,0),"")="","","✔")</f>
        <v/>
      </c>
      <c r="E290" s="98" t="str">
        <f>IF(IFERROR(VLOOKUP(A290,'4.鋼筋'!C:D,1,0),"")="","","✔")</f>
        <v/>
      </c>
      <c r="F290" s="98" t="str">
        <f>IF(IFERROR(VLOOKUP(A290,'5.模板'!C:D,1,0),"")="","","✔")</f>
        <v/>
      </c>
      <c r="G290" s="98" t="str">
        <f>IF(IFERROR(VLOOKUP(A290,'6.混凝土'!C:D,1,0),"")="","","✔")</f>
        <v/>
      </c>
      <c r="H290" s="98" t="str">
        <f>IF(IFERROR(VLOOKUP(A290,'7.植筋'!C:D,1,0),"")="","","✔")</f>
        <v/>
      </c>
      <c r="I290" s="98" t="str">
        <f>IF(IFERROR(VLOOKUP(A290,'8.預力混凝土基樁'!C:D,1,0),"")="","","✔")</f>
        <v/>
      </c>
      <c r="J290" s="98" t="str">
        <f>IF(IFERROR(VLOOKUP(A290,'9.砌塊石護岸'!C:D,1,0),"")="","","✔")</f>
        <v/>
      </c>
      <c r="K290" s="98" t="str">
        <f>IF(IFERROR(VLOOKUP(A290,'10.低水護岸'!C:D,1,0),"")="","","✔")</f>
        <v/>
      </c>
      <c r="L290" s="98" t="str">
        <f>IF(IFERROR(VLOOKUP(A290,'11.固床工'!C:D,1,0),"")="","","✔")</f>
        <v/>
      </c>
      <c r="M290" s="98" t="str">
        <f>IF(IFERROR(VLOOKUP(A290,'12.全套管基樁'!C:D,1,0),"")="","","✔")</f>
        <v/>
      </c>
      <c r="N290" s="98" t="str">
        <f>IF(IFERROR(VLOOKUP(A290,'13.鋼筋混凝土管工程'!C:D,1,0),"")="","","✔")</f>
        <v/>
      </c>
      <c r="O290" s="98" t="str">
        <f>IF(IFERROR(VLOOKUP(A290,'14.鋼版樁'!C:D,1,0),"")="","","✔")</f>
        <v/>
      </c>
      <c r="P290" s="98" t="str">
        <f>IF(IFERROR(VLOOKUP(A290,'15.路床 路基高程'!C:D,1,0),"")="","","✔")</f>
        <v/>
      </c>
      <c r="Q290" s="98" t="str">
        <f>IF(IFERROR(VLOOKUP(A290,'16.瀝青混凝土'!C:D,1,0),"")="","","✔")</f>
        <v/>
      </c>
      <c r="R290" s="98" t="str">
        <f>IF(IFERROR(VLOOKUP(A290,'17.景觀鋪面(一)'!C:D,1,0),"")="","","✔")</f>
        <v/>
      </c>
      <c r="S290" s="98" t="str">
        <f>IF(IFERROR(VLOOKUP(A290,'18.景觀鋪面(二)'!C:D,1,0),"")="","","✔")</f>
        <v/>
      </c>
      <c r="T290" s="98" t="str">
        <f>IF(IFERROR(VLOOKUP(A290,'19.預鑄緣石'!C:D,1,0),"")="","","✔")</f>
        <v/>
      </c>
      <c r="U290" s="98" t="str">
        <f>IF(IFERROR(VLOOKUP(A290,'20.鋼構工程吊裝'!C:D,1,0),"")="","","✔")</f>
        <v/>
      </c>
      <c r="V290" s="98" t="str">
        <f>IF(IFERROR(VLOOKUP(A290,'21.鋼構工程塗裝'!C:D,1,0),"")="","","✔")</f>
        <v/>
      </c>
      <c r="W290" s="98" t="str">
        <f>IF(IFERROR(VLOOKUP(A290,'22.排水設施(一)'!C:D,1,0),"")="","","✔")</f>
        <v/>
      </c>
      <c r="X290" s="98" t="str">
        <f>IF(IFERROR(VLOOKUP(A290,'23.排水設施(二)'!C:D,1,0),"")="","","✔")</f>
        <v/>
      </c>
      <c r="Y290" s="98" t="str">
        <f>IF(IFERROR(VLOOKUP(A290,'24.木構造'!C:D,1,0),"")="","","✔")</f>
        <v/>
      </c>
      <c r="Z290" s="98" t="str">
        <f>IF(IFERROR(VLOOKUP(A290,'25.管路'!C:D,1,0),"")="","","✔")</f>
        <v/>
      </c>
      <c r="AA290" s="98" t="str">
        <f>IF(IFERROR(VLOOKUP(A290,'26.植栽(移植)'!C:D,1,0),"")="","","✔")</f>
        <v/>
      </c>
      <c r="AB290" s="98" t="str">
        <f>IF(IFERROR(VLOOKUP(A290,'27.植栽(新植)'!C:D,1,0),"")="","","✔")</f>
        <v/>
      </c>
      <c r="AC290" s="98" t="str">
        <f>IF(IFERROR(VLOOKUP(A290,'28.照明'!C:D,1,0),"")="","","✔")</f>
        <v/>
      </c>
      <c r="AD290" s="98" t="str">
        <f>IF(IFERROR(VLOOKUP(A290,'29.既有橋梁拆除'!C:D,1,0),"")="","","✔")</f>
        <v/>
      </c>
    </row>
    <row r="291" spans="1:30" ht="21.75" customHeight="1" x14ac:dyDescent="0.25">
      <c r="A291" s="99">
        <v>45481</v>
      </c>
      <c r="B291" s="98" t="str">
        <f>IF(IFERROR(VLOOKUP(A291,'1.測量放樣'!C:D,1,0),"")="","","✔")</f>
        <v/>
      </c>
      <c r="C291" s="98" t="str">
        <f>IF(IFERROR(VLOOKUP(A291,'2.土方開挖'!C:D,1,0),"")="","","✔")</f>
        <v/>
      </c>
      <c r="D291" s="98" t="str">
        <f>IF(IFERROR(VLOOKUP(A291,'3.土方回填'!C:D,1,0),"")="","","✔")</f>
        <v/>
      </c>
      <c r="E291" s="98" t="str">
        <f>IF(IFERROR(VLOOKUP(A291,'4.鋼筋'!C:D,1,0),"")="","","✔")</f>
        <v/>
      </c>
      <c r="F291" s="98" t="str">
        <f>IF(IFERROR(VLOOKUP(A291,'5.模板'!C:D,1,0),"")="","","✔")</f>
        <v/>
      </c>
      <c r="G291" s="98" t="str">
        <f>IF(IFERROR(VLOOKUP(A291,'6.混凝土'!C:D,1,0),"")="","","✔")</f>
        <v/>
      </c>
      <c r="H291" s="98" t="str">
        <f>IF(IFERROR(VLOOKUP(A291,'7.植筋'!C:D,1,0),"")="","","✔")</f>
        <v/>
      </c>
      <c r="I291" s="98" t="str">
        <f>IF(IFERROR(VLOOKUP(A291,'8.預力混凝土基樁'!C:D,1,0),"")="","","✔")</f>
        <v/>
      </c>
      <c r="J291" s="98" t="str">
        <f>IF(IFERROR(VLOOKUP(A291,'9.砌塊石護岸'!C:D,1,0),"")="","","✔")</f>
        <v/>
      </c>
      <c r="K291" s="98" t="str">
        <f>IF(IFERROR(VLOOKUP(A291,'10.低水護岸'!C:D,1,0),"")="","","✔")</f>
        <v/>
      </c>
      <c r="L291" s="98" t="str">
        <f>IF(IFERROR(VLOOKUP(A291,'11.固床工'!C:D,1,0),"")="","","✔")</f>
        <v/>
      </c>
      <c r="M291" s="98" t="str">
        <f>IF(IFERROR(VLOOKUP(A291,'12.全套管基樁'!C:D,1,0),"")="","","✔")</f>
        <v/>
      </c>
      <c r="N291" s="98" t="str">
        <f>IF(IFERROR(VLOOKUP(A291,'13.鋼筋混凝土管工程'!C:D,1,0),"")="","","✔")</f>
        <v/>
      </c>
      <c r="O291" s="98" t="str">
        <f>IF(IFERROR(VLOOKUP(A291,'14.鋼版樁'!C:D,1,0),"")="","","✔")</f>
        <v/>
      </c>
      <c r="P291" s="98" t="str">
        <f>IF(IFERROR(VLOOKUP(A291,'15.路床 路基高程'!C:D,1,0),"")="","","✔")</f>
        <v/>
      </c>
      <c r="Q291" s="98" t="str">
        <f>IF(IFERROR(VLOOKUP(A291,'16.瀝青混凝土'!C:D,1,0),"")="","","✔")</f>
        <v/>
      </c>
      <c r="R291" s="98" t="str">
        <f>IF(IFERROR(VLOOKUP(A291,'17.景觀鋪面(一)'!C:D,1,0),"")="","","✔")</f>
        <v/>
      </c>
      <c r="S291" s="98" t="str">
        <f>IF(IFERROR(VLOOKUP(A291,'18.景觀鋪面(二)'!C:D,1,0),"")="","","✔")</f>
        <v/>
      </c>
      <c r="T291" s="98" t="str">
        <f>IF(IFERROR(VLOOKUP(A291,'19.預鑄緣石'!C:D,1,0),"")="","","✔")</f>
        <v/>
      </c>
      <c r="U291" s="98" t="str">
        <f>IF(IFERROR(VLOOKUP(A291,'20.鋼構工程吊裝'!C:D,1,0),"")="","","✔")</f>
        <v/>
      </c>
      <c r="V291" s="98" t="str">
        <f>IF(IFERROR(VLOOKUP(A291,'21.鋼構工程塗裝'!C:D,1,0),"")="","","✔")</f>
        <v/>
      </c>
      <c r="W291" s="98" t="str">
        <f>IF(IFERROR(VLOOKUP(A291,'22.排水設施(一)'!C:D,1,0),"")="","","✔")</f>
        <v/>
      </c>
      <c r="X291" s="98" t="str">
        <f>IF(IFERROR(VLOOKUP(A291,'23.排水設施(二)'!C:D,1,0),"")="","","✔")</f>
        <v/>
      </c>
      <c r="Y291" s="98" t="str">
        <f>IF(IFERROR(VLOOKUP(A291,'24.木構造'!C:D,1,0),"")="","","✔")</f>
        <v/>
      </c>
      <c r="Z291" s="98" t="str">
        <f>IF(IFERROR(VLOOKUP(A291,'25.管路'!C:D,1,0),"")="","","✔")</f>
        <v/>
      </c>
      <c r="AA291" s="98" t="str">
        <f>IF(IFERROR(VLOOKUP(A291,'26.植栽(移植)'!C:D,1,0),"")="","","✔")</f>
        <v/>
      </c>
      <c r="AB291" s="98" t="str">
        <f>IF(IFERROR(VLOOKUP(A291,'27.植栽(新植)'!C:D,1,0),"")="","","✔")</f>
        <v/>
      </c>
      <c r="AC291" s="98" t="str">
        <f>IF(IFERROR(VLOOKUP(A291,'28.照明'!C:D,1,0),"")="","","✔")</f>
        <v/>
      </c>
      <c r="AD291" s="98" t="str">
        <f>IF(IFERROR(VLOOKUP(A291,'29.既有橋梁拆除'!C:D,1,0),"")="","","✔")</f>
        <v/>
      </c>
    </row>
    <row r="292" spans="1:30" ht="21.75" customHeight="1" x14ac:dyDescent="0.25">
      <c r="A292" s="99">
        <v>45482</v>
      </c>
      <c r="B292" s="98" t="str">
        <f>IF(IFERROR(VLOOKUP(A292,'1.測量放樣'!C:D,1,0),"")="","","✔")</f>
        <v/>
      </c>
      <c r="C292" s="98" t="str">
        <f>IF(IFERROR(VLOOKUP(A292,'2.土方開挖'!C:D,1,0),"")="","","✔")</f>
        <v/>
      </c>
      <c r="D292" s="98" t="str">
        <f>IF(IFERROR(VLOOKUP(A292,'3.土方回填'!C:D,1,0),"")="","","✔")</f>
        <v/>
      </c>
      <c r="E292" s="98" t="str">
        <f>IF(IFERROR(VLOOKUP(A292,'4.鋼筋'!C:D,1,0),"")="","","✔")</f>
        <v/>
      </c>
      <c r="F292" s="98" t="str">
        <f>IF(IFERROR(VLOOKUP(A292,'5.模板'!C:D,1,0),"")="","","✔")</f>
        <v/>
      </c>
      <c r="G292" s="98" t="str">
        <f>IF(IFERROR(VLOOKUP(A292,'6.混凝土'!C:D,1,0),"")="","","✔")</f>
        <v/>
      </c>
      <c r="H292" s="98" t="str">
        <f>IF(IFERROR(VLOOKUP(A292,'7.植筋'!C:D,1,0),"")="","","✔")</f>
        <v/>
      </c>
      <c r="I292" s="98" t="str">
        <f>IF(IFERROR(VLOOKUP(A292,'8.預力混凝土基樁'!C:D,1,0),"")="","","✔")</f>
        <v/>
      </c>
      <c r="J292" s="98" t="str">
        <f>IF(IFERROR(VLOOKUP(A292,'9.砌塊石護岸'!C:D,1,0),"")="","","✔")</f>
        <v/>
      </c>
      <c r="K292" s="98" t="str">
        <f>IF(IFERROR(VLOOKUP(A292,'10.低水護岸'!C:D,1,0),"")="","","✔")</f>
        <v/>
      </c>
      <c r="L292" s="98" t="str">
        <f>IF(IFERROR(VLOOKUP(A292,'11.固床工'!C:D,1,0),"")="","","✔")</f>
        <v/>
      </c>
      <c r="M292" s="98" t="str">
        <f>IF(IFERROR(VLOOKUP(A292,'12.全套管基樁'!C:D,1,0),"")="","","✔")</f>
        <v/>
      </c>
      <c r="N292" s="98" t="str">
        <f>IF(IFERROR(VLOOKUP(A292,'13.鋼筋混凝土管工程'!C:D,1,0),"")="","","✔")</f>
        <v/>
      </c>
      <c r="O292" s="98" t="str">
        <f>IF(IFERROR(VLOOKUP(A292,'14.鋼版樁'!C:D,1,0),"")="","","✔")</f>
        <v/>
      </c>
      <c r="P292" s="98" t="str">
        <f>IF(IFERROR(VLOOKUP(A292,'15.路床 路基高程'!C:D,1,0),"")="","","✔")</f>
        <v/>
      </c>
      <c r="Q292" s="98" t="str">
        <f>IF(IFERROR(VLOOKUP(A292,'16.瀝青混凝土'!C:D,1,0),"")="","","✔")</f>
        <v/>
      </c>
      <c r="R292" s="98" t="str">
        <f>IF(IFERROR(VLOOKUP(A292,'17.景觀鋪面(一)'!C:D,1,0),"")="","","✔")</f>
        <v/>
      </c>
      <c r="S292" s="98" t="str">
        <f>IF(IFERROR(VLOOKUP(A292,'18.景觀鋪面(二)'!C:D,1,0),"")="","","✔")</f>
        <v/>
      </c>
      <c r="T292" s="98" t="str">
        <f>IF(IFERROR(VLOOKUP(A292,'19.預鑄緣石'!C:D,1,0),"")="","","✔")</f>
        <v/>
      </c>
      <c r="U292" s="98" t="str">
        <f>IF(IFERROR(VLOOKUP(A292,'20.鋼構工程吊裝'!C:D,1,0),"")="","","✔")</f>
        <v/>
      </c>
      <c r="V292" s="98" t="str">
        <f>IF(IFERROR(VLOOKUP(A292,'21.鋼構工程塗裝'!C:D,1,0),"")="","","✔")</f>
        <v/>
      </c>
      <c r="W292" s="98" t="str">
        <f>IF(IFERROR(VLOOKUP(A292,'22.排水設施(一)'!C:D,1,0),"")="","","✔")</f>
        <v/>
      </c>
      <c r="X292" s="98" t="str">
        <f>IF(IFERROR(VLOOKUP(A292,'23.排水設施(二)'!C:D,1,0),"")="","","✔")</f>
        <v/>
      </c>
      <c r="Y292" s="98" t="str">
        <f>IF(IFERROR(VLOOKUP(A292,'24.木構造'!C:D,1,0),"")="","","✔")</f>
        <v/>
      </c>
      <c r="Z292" s="98" t="str">
        <f>IF(IFERROR(VLOOKUP(A292,'25.管路'!C:D,1,0),"")="","","✔")</f>
        <v/>
      </c>
      <c r="AA292" s="98" t="str">
        <f>IF(IFERROR(VLOOKUP(A292,'26.植栽(移植)'!C:D,1,0),"")="","","✔")</f>
        <v/>
      </c>
      <c r="AB292" s="98" t="str">
        <f>IF(IFERROR(VLOOKUP(A292,'27.植栽(新植)'!C:D,1,0),"")="","","✔")</f>
        <v/>
      </c>
      <c r="AC292" s="98" t="str">
        <f>IF(IFERROR(VLOOKUP(A292,'28.照明'!C:D,1,0),"")="","","✔")</f>
        <v/>
      </c>
      <c r="AD292" s="98" t="str">
        <f>IF(IFERROR(VLOOKUP(A292,'29.既有橋梁拆除'!C:D,1,0),"")="","","✔")</f>
        <v/>
      </c>
    </row>
    <row r="293" spans="1:30" ht="21.75" customHeight="1" x14ac:dyDescent="0.25">
      <c r="A293" s="99">
        <v>45483</v>
      </c>
      <c r="B293" s="98" t="str">
        <f>IF(IFERROR(VLOOKUP(A293,'1.測量放樣'!C:D,1,0),"")="","","✔")</f>
        <v/>
      </c>
      <c r="C293" s="98" t="str">
        <f>IF(IFERROR(VLOOKUP(A293,'2.土方開挖'!C:D,1,0),"")="","","✔")</f>
        <v/>
      </c>
      <c r="D293" s="98" t="str">
        <f>IF(IFERROR(VLOOKUP(A293,'3.土方回填'!C:D,1,0),"")="","","✔")</f>
        <v/>
      </c>
      <c r="E293" s="98" t="str">
        <f>IF(IFERROR(VLOOKUP(A293,'4.鋼筋'!C:D,1,0),"")="","","✔")</f>
        <v/>
      </c>
      <c r="F293" s="98" t="str">
        <f>IF(IFERROR(VLOOKUP(A293,'5.模板'!C:D,1,0),"")="","","✔")</f>
        <v/>
      </c>
      <c r="G293" s="98" t="str">
        <f>IF(IFERROR(VLOOKUP(A293,'6.混凝土'!C:D,1,0),"")="","","✔")</f>
        <v/>
      </c>
      <c r="H293" s="98" t="str">
        <f>IF(IFERROR(VLOOKUP(A293,'7.植筋'!C:D,1,0),"")="","","✔")</f>
        <v/>
      </c>
      <c r="I293" s="98" t="str">
        <f>IF(IFERROR(VLOOKUP(A293,'8.預力混凝土基樁'!C:D,1,0),"")="","","✔")</f>
        <v/>
      </c>
      <c r="J293" s="98" t="str">
        <f>IF(IFERROR(VLOOKUP(A293,'9.砌塊石護岸'!C:D,1,0),"")="","","✔")</f>
        <v/>
      </c>
      <c r="K293" s="98" t="str">
        <f>IF(IFERROR(VLOOKUP(A293,'10.低水護岸'!C:D,1,0),"")="","","✔")</f>
        <v/>
      </c>
      <c r="L293" s="98" t="str">
        <f>IF(IFERROR(VLOOKUP(A293,'11.固床工'!C:D,1,0),"")="","","✔")</f>
        <v/>
      </c>
      <c r="M293" s="98" t="str">
        <f>IF(IFERROR(VLOOKUP(A293,'12.全套管基樁'!C:D,1,0),"")="","","✔")</f>
        <v/>
      </c>
      <c r="N293" s="98" t="str">
        <f>IF(IFERROR(VLOOKUP(A293,'13.鋼筋混凝土管工程'!C:D,1,0),"")="","","✔")</f>
        <v/>
      </c>
      <c r="O293" s="98" t="str">
        <f>IF(IFERROR(VLOOKUP(A293,'14.鋼版樁'!C:D,1,0),"")="","","✔")</f>
        <v/>
      </c>
      <c r="P293" s="98" t="str">
        <f>IF(IFERROR(VLOOKUP(A293,'15.路床 路基高程'!C:D,1,0),"")="","","✔")</f>
        <v/>
      </c>
      <c r="Q293" s="98" t="str">
        <f>IF(IFERROR(VLOOKUP(A293,'16.瀝青混凝土'!C:D,1,0),"")="","","✔")</f>
        <v/>
      </c>
      <c r="R293" s="98" t="str">
        <f>IF(IFERROR(VLOOKUP(A293,'17.景觀鋪面(一)'!C:D,1,0),"")="","","✔")</f>
        <v/>
      </c>
      <c r="S293" s="98" t="str">
        <f>IF(IFERROR(VLOOKUP(A293,'18.景觀鋪面(二)'!C:D,1,0),"")="","","✔")</f>
        <v/>
      </c>
      <c r="T293" s="98" t="str">
        <f>IF(IFERROR(VLOOKUP(A293,'19.預鑄緣石'!C:D,1,0),"")="","","✔")</f>
        <v/>
      </c>
      <c r="U293" s="98" t="str">
        <f>IF(IFERROR(VLOOKUP(A293,'20.鋼構工程吊裝'!C:D,1,0),"")="","","✔")</f>
        <v/>
      </c>
      <c r="V293" s="98" t="str">
        <f>IF(IFERROR(VLOOKUP(A293,'21.鋼構工程塗裝'!C:D,1,0),"")="","","✔")</f>
        <v/>
      </c>
      <c r="W293" s="98" t="str">
        <f>IF(IFERROR(VLOOKUP(A293,'22.排水設施(一)'!C:D,1,0),"")="","","✔")</f>
        <v/>
      </c>
      <c r="X293" s="98" t="str">
        <f>IF(IFERROR(VLOOKUP(A293,'23.排水設施(二)'!C:D,1,0),"")="","","✔")</f>
        <v/>
      </c>
      <c r="Y293" s="98" t="str">
        <f>IF(IFERROR(VLOOKUP(A293,'24.木構造'!C:D,1,0),"")="","","✔")</f>
        <v/>
      </c>
      <c r="Z293" s="98" t="str">
        <f>IF(IFERROR(VLOOKUP(A293,'25.管路'!C:D,1,0),"")="","","✔")</f>
        <v/>
      </c>
      <c r="AA293" s="98" t="str">
        <f>IF(IFERROR(VLOOKUP(A293,'26.植栽(移植)'!C:D,1,0),"")="","","✔")</f>
        <v/>
      </c>
      <c r="AB293" s="98" t="str">
        <f>IF(IFERROR(VLOOKUP(A293,'27.植栽(新植)'!C:D,1,0),"")="","","✔")</f>
        <v/>
      </c>
      <c r="AC293" s="98" t="str">
        <f>IF(IFERROR(VLOOKUP(A293,'28.照明'!C:D,1,0),"")="","","✔")</f>
        <v/>
      </c>
      <c r="AD293" s="98" t="str">
        <f>IF(IFERROR(VLOOKUP(A293,'29.既有橋梁拆除'!C:D,1,0),"")="","","✔")</f>
        <v/>
      </c>
    </row>
    <row r="294" spans="1:30" ht="21.75" customHeight="1" x14ac:dyDescent="0.25">
      <c r="A294" s="99">
        <v>45484</v>
      </c>
      <c r="B294" s="98" t="str">
        <f>IF(IFERROR(VLOOKUP(A294,'1.測量放樣'!C:D,1,0),"")="","","✔")</f>
        <v/>
      </c>
      <c r="C294" s="98" t="str">
        <f>IF(IFERROR(VLOOKUP(A294,'2.土方開挖'!C:D,1,0),"")="","","✔")</f>
        <v/>
      </c>
      <c r="D294" s="98" t="str">
        <f>IF(IFERROR(VLOOKUP(A294,'3.土方回填'!C:D,1,0),"")="","","✔")</f>
        <v/>
      </c>
      <c r="E294" s="98" t="str">
        <f>IF(IFERROR(VLOOKUP(A294,'4.鋼筋'!C:D,1,0),"")="","","✔")</f>
        <v/>
      </c>
      <c r="F294" s="98" t="str">
        <f>IF(IFERROR(VLOOKUP(A294,'5.模板'!C:D,1,0),"")="","","✔")</f>
        <v/>
      </c>
      <c r="G294" s="98" t="str">
        <f>IF(IFERROR(VLOOKUP(A294,'6.混凝土'!C:D,1,0),"")="","","✔")</f>
        <v/>
      </c>
      <c r="H294" s="98" t="str">
        <f>IF(IFERROR(VLOOKUP(A294,'7.植筋'!C:D,1,0),"")="","","✔")</f>
        <v/>
      </c>
      <c r="I294" s="98" t="str">
        <f>IF(IFERROR(VLOOKUP(A294,'8.預力混凝土基樁'!C:D,1,0),"")="","","✔")</f>
        <v/>
      </c>
      <c r="J294" s="98" t="str">
        <f>IF(IFERROR(VLOOKUP(A294,'9.砌塊石護岸'!C:D,1,0),"")="","","✔")</f>
        <v/>
      </c>
      <c r="K294" s="98" t="str">
        <f>IF(IFERROR(VLOOKUP(A294,'10.低水護岸'!C:D,1,0),"")="","","✔")</f>
        <v/>
      </c>
      <c r="L294" s="98" t="str">
        <f>IF(IFERROR(VLOOKUP(A294,'11.固床工'!C:D,1,0),"")="","","✔")</f>
        <v/>
      </c>
      <c r="M294" s="98" t="str">
        <f>IF(IFERROR(VLOOKUP(A294,'12.全套管基樁'!C:D,1,0),"")="","","✔")</f>
        <v/>
      </c>
      <c r="N294" s="98" t="str">
        <f>IF(IFERROR(VLOOKUP(A294,'13.鋼筋混凝土管工程'!C:D,1,0),"")="","","✔")</f>
        <v/>
      </c>
      <c r="O294" s="98" t="str">
        <f>IF(IFERROR(VLOOKUP(A294,'14.鋼版樁'!C:D,1,0),"")="","","✔")</f>
        <v/>
      </c>
      <c r="P294" s="98" t="str">
        <f>IF(IFERROR(VLOOKUP(A294,'15.路床 路基高程'!C:D,1,0),"")="","","✔")</f>
        <v/>
      </c>
      <c r="Q294" s="98" t="str">
        <f>IF(IFERROR(VLOOKUP(A294,'16.瀝青混凝土'!C:D,1,0),"")="","","✔")</f>
        <v/>
      </c>
      <c r="R294" s="98" t="str">
        <f>IF(IFERROR(VLOOKUP(A294,'17.景觀鋪面(一)'!C:D,1,0),"")="","","✔")</f>
        <v/>
      </c>
      <c r="S294" s="98" t="str">
        <f>IF(IFERROR(VLOOKUP(A294,'18.景觀鋪面(二)'!C:D,1,0),"")="","","✔")</f>
        <v/>
      </c>
      <c r="T294" s="98" t="str">
        <f>IF(IFERROR(VLOOKUP(A294,'19.預鑄緣石'!C:D,1,0),"")="","","✔")</f>
        <v/>
      </c>
      <c r="U294" s="98" t="str">
        <f>IF(IFERROR(VLOOKUP(A294,'20.鋼構工程吊裝'!C:D,1,0),"")="","","✔")</f>
        <v/>
      </c>
      <c r="V294" s="98" t="str">
        <f>IF(IFERROR(VLOOKUP(A294,'21.鋼構工程塗裝'!C:D,1,0),"")="","","✔")</f>
        <v/>
      </c>
      <c r="W294" s="98" t="str">
        <f>IF(IFERROR(VLOOKUP(A294,'22.排水設施(一)'!C:D,1,0),"")="","","✔")</f>
        <v/>
      </c>
      <c r="X294" s="98" t="str">
        <f>IF(IFERROR(VLOOKUP(A294,'23.排水設施(二)'!C:D,1,0),"")="","","✔")</f>
        <v/>
      </c>
      <c r="Y294" s="98" t="str">
        <f>IF(IFERROR(VLOOKUP(A294,'24.木構造'!C:D,1,0),"")="","","✔")</f>
        <v/>
      </c>
      <c r="Z294" s="98" t="str">
        <f>IF(IFERROR(VLOOKUP(A294,'25.管路'!C:D,1,0),"")="","","✔")</f>
        <v/>
      </c>
      <c r="AA294" s="98" t="str">
        <f>IF(IFERROR(VLOOKUP(A294,'26.植栽(移植)'!C:D,1,0),"")="","","✔")</f>
        <v/>
      </c>
      <c r="AB294" s="98" t="str">
        <f>IF(IFERROR(VLOOKUP(A294,'27.植栽(新植)'!C:D,1,0),"")="","","✔")</f>
        <v/>
      </c>
      <c r="AC294" s="98" t="str">
        <f>IF(IFERROR(VLOOKUP(A294,'28.照明'!C:D,1,0),"")="","","✔")</f>
        <v/>
      </c>
      <c r="AD294" s="98" t="str">
        <f>IF(IFERROR(VLOOKUP(A294,'29.既有橋梁拆除'!C:D,1,0),"")="","","✔")</f>
        <v/>
      </c>
    </row>
    <row r="295" spans="1:30" ht="21.75" customHeight="1" x14ac:dyDescent="0.25">
      <c r="A295" s="99">
        <v>45485</v>
      </c>
      <c r="B295" s="98" t="str">
        <f>IF(IFERROR(VLOOKUP(A295,'1.測量放樣'!C:D,1,0),"")="","","✔")</f>
        <v/>
      </c>
      <c r="C295" s="98" t="str">
        <f>IF(IFERROR(VLOOKUP(A295,'2.土方開挖'!C:D,1,0),"")="","","✔")</f>
        <v/>
      </c>
      <c r="D295" s="98" t="str">
        <f>IF(IFERROR(VLOOKUP(A295,'3.土方回填'!C:D,1,0),"")="","","✔")</f>
        <v/>
      </c>
      <c r="E295" s="98" t="str">
        <f>IF(IFERROR(VLOOKUP(A295,'4.鋼筋'!C:D,1,0),"")="","","✔")</f>
        <v/>
      </c>
      <c r="F295" s="98" t="str">
        <f>IF(IFERROR(VLOOKUP(A295,'5.模板'!C:D,1,0),"")="","","✔")</f>
        <v/>
      </c>
      <c r="G295" s="98" t="str">
        <f>IF(IFERROR(VLOOKUP(A295,'6.混凝土'!C:D,1,0),"")="","","✔")</f>
        <v/>
      </c>
      <c r="H295" s="98" t="str">
        <f>IF(IFERROR(VLOOKUP(A295,'7.植筋'!C:D,1,0),"")="","","✔")</f>
        <v/>
      </c>
      <c r="I295" s="98" t="str">
        <f>IF(IFERROR(VLOOKUP(A295,'8.預力混凝土基樁'!C:D,1,0),"")="","","✔")</f>
        <v/>
      </c>
      <c r="J295" s="98" t="str">
        <f>IF(IFERROR(VLOOKUP(A295,'9.砌塊石護岸'!C:D,1,0),"")="","","✔")</f>
        <v/>
      </c>
      <c r="K295" s="98" t="str">
        <f>IF(IFERROR(VLOOKUP(A295,'10.低水護岸'!C:D,1,0),"")="","","✔")</f>
        <v/>
      </c>
      <c r="L295" s="98" t="str">
        <f>IF(IFERROR(VLOOKUP(A295,'11.固床工'!C:D,1,0),"")="","","✔")</f>
        <v/>
      </c>
      <c r="M295" s="98" t="str">
        <f>IF(IFERROR(VLOOKUP(A295,'12.全套管基樁'!C:D,1,0),"")="","","✔")</f>
        <v/>
      </c>
      <c r="N295" s="98" t="str">
        <f>IF(IFERROR(VLOOKUP(A295,'13.鋼筋混凝土管工程'!C:D,1,0),"")="","","✔")</f>
        <v/>
      </c>
      <c r="O295" s="98" t="str">
        <f>IF(IFERROR(VLOOKUP(A295,'14.鋼版樁'!C:D,1,0),"")="","","✔")</f>
        <v/>
      </c>
      <c r="P295" s="98" t="str">
        <f>IF(IFERROR(VLOOKUP(A295,'15.路床 路基高程'!C:D,1,0),"")="","","✔")</f>
        <v/>
      </c>
      <c r="Q295" s="98" t="str">
        <f>IF(IFERROR(VLOOKUP(A295,'16.瀝青混凝土'!C:D,1,0),"")="","","✔")</f>
        <v/>
      </c>
      <c r="R295" s="98" t="str">
        <f>IF(IFERROR(VLOOKUP(A295,'17.景觀鋪面(一)'!C:D,1,0),"")="","","✔")</f>
        <v/>
      </c>
      <c r="S295" s="98" t="str">
        <f>IF(IFERROR(VLOOKUP(A295,'18.景觀鋪面(二)'!C:D,1,0),"")="","","✔")</f>
        <v/>
      </c>
      <c r="T295" s="98" t="str">
        <f>IF(IFERROR(VLOOKUP(A295,'19.預鑄緣石'!C:D,1,0),"")="","","✔")</f>
        <v/>
      </c>
      <c r="U295" s="98" t="str">
        <f>IF(IFERROR(VLOOKUP(A295,'20.鋼構工程吊裝'!C:D,1,0),"")="","","✔")</f>
        <v/>
      </c>
      <c r="V295" s="98" t="str">
        <f>IF(IFERROR(VLOOKUP(A295,'21.鋼構工程塗裝'!C:D,1,0),"")="","","✔")</f>
        <v/>
      </c>
      <c r="W295" s="98" t="str">
        <f>IF(IFERROR(VLOOKUP(A295,'22.排水設施(一)'!C:D,1,0),"")="","","✔")</f>
        <v/>
      </c>
      <c r="X295" s="98" t="str">
        <f>IF(IFERROR(VLOOKUP(A295,'23.排水設施(二)'!C:D,1,0),"")="","","✔")</f>
        <v/>
      </c>
      <c r="Y295" s="98" t="str">
        <f>IF(IFERROR(VLOOKUP(A295,'24.木構造'!C:D,1,0),"")="","","✔")</f>
        <v/>
      </c>
      <c r="Z295" s="98" t="str">
        <f>IF(IFERROR(VLOOKUP(A295,'25.管路'!C:D,1,0),"")="","","✔")</f>
        <v/>
      </c>
      <c r="AA295" s="98" t="str">
        <f>IF(IFERROR(VLOOKUP(A295,'26.植栽(移植)'!C:D,1,0),"")="","","✔")</f>
        <v/>
      </c>
      <c r="AB295" s="98" t="str">
        <f>IF(IFERROR(VLOOKUP(A295,'27.植栽(新植)'!C:D,1,0),"")="","","✔")</f>
        <v/>
      </c>
      <c r="AC295" s="98" t="str">
        <f>IF(IFERROR(VLOOKUP(A295,'28.照明'!C:D,1,0),"")="","","✔")</f>
        <v/>
      </c>
      <c r="AD295" s="98" t="str">
        <f>IF(IFERROR(VLOOKUP(A295,'29.既有橋梁拆除'!C:D,1,0),"")="","","✔")</f>
        <v/>
      </c>
    </row>
    <row r="296" spans="1:30" ht="21.75" customHeight="1" x14ac:dyDescent="0.25">
      <c r="A296" s="99">
        <v>45486</v>
      </c>
      <c r="B296" s="98" t="str">
        <f>IF(IFERROR(VLOOKUP(A296,'1.測量放樣'!C:D,1,0),"")="","","✔")</f>
        <v/>
      </c>
      <c r="C296" s="98" t="str">
        <f>IF(IFERROR(VLOOKUP(A296,'2.土方開挖'!C:D,1,0),"")="","","✔")</f>
        <v/>
      </c>
      <c r="D296" s="98" t="str">
        <f>IF(IFERROR(VLOOKUP(A296,'3.土方回填'!C:D,1,0),"")="","","✔")</f>
        <v/>
      </c>
      <c r="E296" s="98" t="str">
        <f>IF(IFERROR(VLOOKUP(A296,'4.鋼筋'!C:D,1,0),"")="","","✔")</f>
        <v/>
      </c>
      <c r="F296" s="98" t="str">
        <f>IF(IFERROR(VLOOKUP(A296,'5.模板'!C:D,1,0),"")="","","✔")</f>
        <v/>
      </c>
      <c r="G296" s="98" t="str">
        <f>IF(IFERROR(VLOOKUP(A296,'6.混凝土'!C:D,1,0),"")="","","✔")</f>
        <v/>
      </c>
      <c r="H296" s="98" t="str">
        <f>IF(IFERROR(VLOOKUP(A296,'7.植筋'!C:D,1,0),"")="","","✔")</f>
        <v/>
      </c>
      <c r="I296" s="98" t="str">
        <f>IF(IFERROR(VLOOKUP(A296,'8.預力混凝土基樁'!C:D,1,0),"")="","","✔")</f>
        <v/>
      </c>
      <c r="J296" s="98" t="str">
        <f>IF(IFERROR(VLOOKUP(A296,'9.砌塊石護岸'!C:D,1,0),"")="","","✔")</f>
        <v/>
      </c>
      <c r="K296" s="98" t="str">
        <f>IF(IFERROR(VLOOKUP(A296,'10.低水護岸'!C:D,1,0),"")="","","✔")</f>
        <v/>
      </c>
      <c r="L296" s="98" t="str">
        <f>IF(IFERROR(VLOOKUP(A296,'11.固床工'!C:D,1,0),"")="","","✔")</f>
        <v/>
      </c>
      <c r="M296" s="98" t="str">
        <f>IF(IFERROR(VLOOKUP(A296,'12.全套管基樁'!C:D,1,0),"")="","","✔")</f>
        <v/>
      </c>
      <c r="N296" s="98" t="str">
        <f>IF(IFERROR(VLOOKUP(A296,'13.鋼筋混凝土管工程'!C:D,1,0),"")="","","✔")</f>
        <v/>
      </c>
      <c r="O296" s="98" t="str">
        <f>IF(IFERROR(VLOOKUP(A296,'14.鋼版樁'!C:D,1,0),"")="","","✔")</f>
        <v/>
      </c>
      <c r="P296" s="98" t="str">
        <f>IF(IFERROR(VLOOKUP(A296,'15.路床 路基高程'!C:D,1,0),"")="","","✔")</f>
        <v/>
      </c>
      <c r="Q296" s="98" t="str">
        <f>IF(IFERROR(VLOOKUP(A296,'16.瀝青混凝土'!C:D,1,0),"")="","","✔")</f>
        <v/>
      </c>
      <c r="R296" s="98" t="str">
        <f>IF(IFERROR(VLOOKUP(A296,'17.景觀鋪面(一)'!C:D,1,0),"")="","","✔")</f>
        <v/>
      </c>
      <c r="S296" s="98" t="str">
        <f>IF(IFERROR(VLOOKUP(A296,'18.景觀鋪面(二)'!C:D,1,0),"")="","","✔")</f>
        <v/>
      </c>
      <c r="T296" s="98" t="str">
        <f>IF(IFERROR(VLOOKUP(A296,'19.預鑄緣石'!C:D,1,0),"")="","","✔")</f>
        <v/>
      </c>
      <c r="U296" s="98" t="str">
        <f>IF(IFERROR(VLOOKUP(A296,'20.鋼構工程吊裝'!C:D,1,0),"")="","","✔")</f>
        <v/>
      </c>
      <c r="V296" s="98" t="str">
        <f>IF(IFERROR(VLOOKUP(A296,'21.鋼構工程塗裝'!C:D,1,0),"")="","","✔")</f>
        <v/>
      </c>
      <c r="W296" s="98" t="str">
        <f>IF(IFERROR(VLOOKUP(A296,'22.排水設施(一)'!C:D,1,0),"")="","","✔")</f>
        <v/>
      </c>
      <c r="X296" s="98" t="str">
        <f>IF(IFERROR(VLOOKUP(A296,'23.排水設施(二)'!C:D,1,0),"")="","","✔")</f>
        <v/>
      </c>
      <c r="Y296" s="98" t="str">
        <f>IF(IFERROR(VLOOKUP(A296,'24.木構造'!C:D,1,0),"")="","","✔")</f>
        <v/>
      </c>
      <c r="Z296" s="98" t="str">
        <f>IF(IFERROR(VLOOKUP(A296,'25.管路'!C:D,1,0),"")="","","✔")</f>
        <v/>
      </c>
      <c r="AA296" s="98" t="str">
        <f>IF(IFERROR(VLOOKUP(A296,'26.植栽(移植)'!C:D,1,0),"")="","","✔")</f>
        <v/>
      </c>
      <c r="AB296" s="98" t="str">
        <f>IF(IFERROR(VLOOKUP(A296,'27.植栽(新植)'!C:D,1,0),"")="","","✔")</f>
        <v/>
      </c>
      <c r="AC296" s="98" t="str">
        <f>IF(IFERROR(VLOOKUP(A296,'28.照明'!C:D,1,0),"")="","","✔")</f>
        <v/>
      </c>
      <c r="AD296" s="98" t="str">
        <f>IF(IFERROR(VLOOKUP(A296,'29.既有橋梁拆除'!C:D,1,0),"")="","","✔")</f>
        <v/>
      </c>
    </row>
    <row r="297" spans="1:30" ht="21.75" customHeight="1" x14ac:dyDescent="0.25">
      <c r="A297" s="99">
        <v>45487</v>
      </c>
      <c r="B297" s="98" t="str">
        <f>IF(IFERROR(VLOOKUP(A297,'1.測量放樣'!C:D,1,0),"")="","","✔")</f>
        <v/>
      </c>
      <c r="C297" s="98" t="str">
        <f>IF(IFERROR(VLOOKUP(A297,'2.土方開挖'!C:D,1,0),"")="","","✔")</f>
        <v/>
      </c>
      <c r="D297" s="98" t="str">
        <f>IF(IFERROR(VLOOKUP(A297,'3.土方回填'!C:D,1,0),"")="","","✔")</f>
        <v/>
      </c>
      <c r="E297" s="98" t="str">
        <f>IF(IFERROR(VLOOKUP(A297,'4.鋼筋'!C:D,1,0),"")="","","✔")</f>
        <v/>
      </c>
      <c r="F297" s="98" t="str">
        <f>IF(IFERROR(VLOOKUP(A297,'5.模板'!C:D,1,0),"")="","","✔")</f>
        <v/>
      </c>
      <c r="G297" s="98" t="str">
        <f>IF(IFERROR(VLOOKUP(A297,'6.混凝土'!C:D,1,0),"")="","","✔")</f>
        <v/>
      </c>
      <c r="H297" s="98" t="str">
        <f>IF(IFERROR(VLOOKUP(A297,'7.植筋'!C:D,1,0),"")="","","✔")</f>
        <v/>
      </c>
      <c r="I297" s="98" t="str">
        <f>IF(IFERROR(VLOOKUP(A297,'8.預力混凝土基樁'!C:D,1,0),"")="","","✔")</f>
        <v/>
      </c>
      <c r="J297" s="98" t="str">
        <f>IF(IFERROR(VLOOKUP(A297,'9.砌塊石護岸'!C:D,1,0),"")="","","✔")</f>
        <v/>
      </c>
      <c r="K297" s="98" t="str">
        <f>IF(IFERROR(VLOOKUP(A297,'10.低水護岸'!C:D,1,0),"")="","","✔")</f>
        <v/>
      </c>
      <c r="L297" s="98" t="str">
        <f>IF(IFERROR(VLOOKUP(A297,'11.固床工'!C:D,1,0),"")="","","✔")</f>
        <v/>
      </c>
      <c r="M297" s="98" t="str">
        <f>IF(IFERROR(VLOOKUP(A297,'12.全套管基樁'!C:D,1,0),"")="","","✔")</f>
        <v/>
      </c>
      <c r="N297" s="98" t="str">
        <f>IF(IFERROR(VLOOKUP(A297,'13.鋼筋混凝土管工程'!C:D,1,0),"")="","","✔")</f>
        <v/>
      </c>
      <c r="O297" s="98" t="str">
        <f>IF(IFERROR(VLOOKUP(A297,'14.鋼版樁'!C:D,1,0),"")="","","✔")</f>
        <v/>
      </c>
      <c r="P297" s="98" t="str">
        <f>IF(IFERROR(VLOOKUP(A297,'15.路床 路基高程'!C:D,1,0),"")="","","✔")</f>
        <v/>
      </c>
      <c r="Q297" s="98" t="str">
        <f>IF(IFERROR(VLOOKUP(A297,'16.瀝青混凝土'!C:D,1,0),"")="","","✔")</f>
        <v/>
      </c>
      <c r="R297" s="98" t="str">
        <f>IF(IFERROR(VLOOKUP(A297,'17.景觀鋪面(一)'!C:D,1,0),"")="","","✔")</f>
        <v/>
      </c>
      <c r="S297" s="98" t="str">
        <f>IF(IFERROR(VLOOKUP(A297,'18.景觀鋪面(二)'!C:D,1,0),"")="","","✔")</f>
        <v/>
      </c>
      <c r="T297" s="98" t="str">
        <f>IF(IFERROR(VLOOKUP(A297,'19.預鑄緣石'!C:D,1,0),"")="","","✔")</f>
        <v/>
      </c>
      <c r="U297" s="98" t="str">
        <f>IF(IFERROR(VLOOKUP(A297,'20.鋼構工程吊裝'!C:D,1,0),"")="","","✔")</f>
        <v/>
      </c>
      <c r="V297" s="98" t="str">
        <f>IF(IFERROR(VLOOKUP(A297,'21.鋼構工程塗裝'!C:D,1,0),"")="","","✔")</f>
        <v/>
      </c>
      <c r="W297" s="98" t="str">
        <f>IF(IFERROR(VLOOKUP(A297,'22.排水設施(一)'!C:D,1,0),"")="","","✔")</f>
        <v/>
      </c>
      <c r="X297" s="98" t="str">
        <f>IF(IFERROR(VLOOKUP(A297,'23.排水設施(二)'!C:D,1,0),"")="","","✔")</f>
        <v/>
      </c>
      <c r="Y297" s="98" t="str">
        <f>IF(IFERROR(VLOOKUP(A297,'24.木構造'!C:D,1,0),"")="","","✔")</f>
        <v/>
      </c>
      <c r="Z297" s="98" t="str">
        <f>IF(IFERROR(VLOOKUP(A297,'25.管路'!C:D,1,0),"")="","","✔")</f>
        <v/>
      </c>
      <c r="AA297" s="98" t="str">
        <f>IF(IFERROR(VLOOKUP(A297,'26.植栽(移植)'!C:D,1,0),"")="","","✔")</f>
        <v/>
      </c>
      <c r="AB297" s="98" t="str">
        <f>IF(IFERROR(VLOOKUP(A297,'27.植栽(新植)'!C:D,1,0),"")="","","✔")</f>
        <v/>
      </c>
      <c r="AC297" s="98" t="str">
        <f>IF(IFERROR(VLOOKUP(A297,'28.照明'!C:D,1,0),"")="","","✔")</f>
        <v/>
      </c>
      <c r="AD297" s="98" t="str">
        <f>IF(IFERROR(VLOOKUP(A297,'29.既有橋梁拆除'!C:D,1,0),"")="","","✔")</f>
        <v/>
      </c>
    </row>
    <row r="298" spans="1:30" ht="21.75" customHeight="1" x14ac:dyDescent="0.25">
      <c r="A298" s="99">
        <v>45488</v>
      </c>
      <c r="B298" s="98" t="str">
        <f>IF(IFERROR(VLOOKUP(A298,'1.測量放樣'!C:D,1,0),"")="","","✔")</f>
        <v/>
      </c>
      <c r="C298" s="98" t="str">
        <f>IF(IFERROR(VLOOKUP(A298,'2.土方開挖'!C:D,1,0),"")="","","✔")</f>
        <v/>
      </c>
      <c r="D298" s="98" t="str">
        <f>IF(IFERROR(VLOOKUP(A298,'3.土方回填'!C:D,1,0),"")="","","✔")</f>
        <v/>
      </c>
      <c r="E298" s="98" t="str">
        <f>IF(IFERROR(VLOOKUP(A298,'4.鋼筋'!C:D,1,0),"")="","","✔")</f>
        <v/>
      </c>
      <c r="F298" s="98" t="str">
        <f>IF(IFERROR(VLOOKUP(A298,'5.模板'!C:D,1,0),"")="","","✔")</f>
        <v/>
      </c>
      <c r="G298" s="98" t="str">
        <f>IF(IFERROR(VLOOKUP(A298,'6.混凝土'!C:D,1,0),"")="","","✔")</f>
        <v/>
      </c>
      <c r="H298" s="98" t="str">
        <f>IF(IFERROR(VLOOKUP(A298,'7.植筋'!C:D,1,0),"")="","","✔")</f>
        <v/>
      </c>
      <c r="I298" s="98" t="str">
        <f>IF(IFERROR(VLOOKUP(A298,'8.預力混凝土基樁'!C:D,1,0),"")="","","✔")</f>
        <v/>
      </c>
      <c r="J298" s="98" t="str">
        <f>IF(IFERROR(VLOOKUP(A298,'9.砌塊石護岸'!C:D,1,0),"")="","","✔")</f>
        <v/>
      </c>
      <c r="K298" s="98" t="str">
        <f>IF(IFERROR(VLOOKUP(A298,'10.低水護岸'!C:D,1,0),"")="","","✔")</f>
        <v/>
      </c>
      <c r="L298" s="98" t="str">
        <f>IF(IFERROR(VLOOKUP(A298,'11.固床工'!C:D,1,0),"")="","","✔")</f>
        <v/>
      </c>
      <c r="M298" s="98" t="str">
        <f>IF(IFERROR(VLOOKUP(A298,'12.全套管基樁'!C:D,1,0),"")="","","✔")</f>
        <v/>
      </c>
      <c r="N298" s="98" t="str">
        <f>IF(IFERROR(VLOOKUP(A298,'13.鋼筋混凝土管工程'!C:D,1,0),"")="","","✔")</f>
        <v/>
      </c>
      <c r="O298" s="98" t="str">
        <f>IF(IFERROR(VLOOKUP(A298,'14.鋼版樁'!C:D,1,0),"")="","","✔")</f>
        <v/>
      </c>
      <c r="P298" s="98" t="str">
        <f>IF(IFERROR(VLOOKUP(A298,'15.路床 路基高程'!C:D,1,0),"")="","","✔")</f>
        <v/>
      </c>
      <c r="Q298" s="98" t="str">
        <f>IF(IFERROR(VLOOKUP(A298,'16.瀝青混凝土'!C:D,1,0),"")="","","✔")</f>
        <v/>
      </c>
      <c r="R298" s="98" t="str">
        <f>IF(IFERROR(VLOOKUP(A298,'17.景觀鋪面(一)'!C:D,1,0),"")="","","✔")</f>
        <v/>
      </c>
      <c r="S298" s="98" t="str">
        <f>IF(IFERROR(VLOOKUP(A298,'18.景觀鋪面(二)'!C:D,1,0),"")="","","✔")</f>
        <v/>
      </c>
      <c r="T298" s="98" t="str">
        <f>IF(IFERROR(VLOOKUP(A298,'19.預鑄緣石'!C:D,1,0),"")="","","✔")</f>
        <v/>
      </c>
      <c r="U298" s="98" t="str">
        <f>IF(IFERROR(VLOOKUP(A298,'20.鋼構工程吊裝'!C:D,1,0),"")="","","✔")</f>
        <v/>
      </c>
      <c r="V298" s="98" t="str">
        <f>IF(IFERROR(VLOOKUP(A298,'21.鋼構工程塗裝'!C:D,1,0),"")="","","✔")</f>
        <v/>
      </c>
      <c r="W298" s="98" t="str">
        <f>IF(IFERROR(VLOOKUP(A298,'22.排水設施(一)'!C:D,1,0),"")="","","✔")</f>
        <v/>
      </c>
      <c r="X298" s="98" t="str">
        <f>IF(IFERROR(VLOOKUP(A298,'23.排水設施(二)'!C:D,1,0),"")="","","✔")</f>
        <v/>
      </c>
      <c r="Y298" s="98" t="str">
        <f>IF(IFERROR(VLOOKUP(A298,'24.木構造'!C:D,1,0),"")="","","✔")</f>
        <v/>
      </c>
      <c r="Z298" s="98" t="str">
        <f>IF(IFERROR(VLOOKUP(A298,'25.管路'!C:D,1,0),"")="","","✔")</f>
        <v/>
      </c>
      <c r="AA298" s="98" t="str">
        <f>IF(IFERROR(VLOOKUP(A298,'26.植栽(移植)'!C:D,1,0),"")="","","✔")</f>
        <v/>
      </c>
      <c r="AB298" s="98" t="str">
        <f>IF(IFERROR(VLOOKUP(A298,'27.植栽(新植)'!C:D,1,0),"")="","","✔")</f>
        <v/>
      </c>
      <c r="AC298" s="98" t="str">
        <f>IF(IFERROR(VLOOKUP(A298,'28.照明'!C:D,1,0),"")="","","✔")</f>
        <v/>
      </c>
      <c r="AD298" s="98" t="str">
        <f>IF(IFERROR(VLOOKUP(A298,'29.既有橋梁拆除'!C:D,1,0),"")="","","✔")</f>
        <v/>
      </c>
    </row>
    <row r="299" spans="1:30" ht="21.75" customHeight="1" x14ac:dyDescent="0.25">
      <c r="A299" s="99">
        <v>45489</v>
      </c>
      <c r="B299" s="98" t="str">
        <f>IF(IFERROR(VLOOKUP(A299,'1.測量放樣'!C:D,1,0),"")="","","✔")</f>
        <v/>
      </c>
      <c r="C299" s="98" t="str">
        <f>IF(IFERROR(VLOOKUP(A299,'2.土方開挖'!C:D,1,0),"")="","","✔")</f>
        <v/>
      </c>
      <c r="D299" s="98" t="str">
        <f>IF(IFERROR(VLOOKUP(A299,'3.土方回填'!C:D,1,0),"")="","","✔")</f>
        <v/>
      </c>
      <c r="E299" s="98" t="str">
        <f>IF(IFERROR(VLOOKUP(A299,'4.鋼筋'!C:D,1,0),"")="","","✔")</f>
        <v/>
      </c>
      <c r="F299" s="98" t="str">
        <f>IF(IFERROR(VLOOKUP(A299,'5.模板'!C:D,1,0),"")="","","✔")</f>
        <v/>
      </c>
      <c r="G299" s="98" t="str">
        <f>IF(IFERROR(VLOOKUP(A299,'6.混凝土'!C:D,1,0),"")="","","✔")</f>
        <v/>
      </c>
      <c r="H299" s="98" t="str">
        <f>IF(IFERROR(VLOOKUP(A299,'7.植筋'!C:D,1,0),"")="","","✔")</f>
        <v/>
      </c>
      <c r="I299" s="98" t="str">
        <f>IF(IFERROR(VLOOKUP(A299,'8.預力混凝土基樁'!C:D,1,0),"")="","","✔")</f>
        <v/>
      </c>
      <c r="J299" s="98" t="str">
        <f>IF(IFERROR(VLOOKUP(A299,'9.砌塊石護岸'!C:D,1,0),"")="","","✔")</f>
        <v/>
      </c>
      <c r="K299" s="98" t="str">
        <f>IF(IFERROR(VLOOKUP(A299,'10.低水護岸'!C:D,1,0),"")="","","✔")</f>
        <v/>
      </c>
      <c r="L299" s="98" t="str">
        <f>IF(IFERROR(VLOOKUP(A299,'11.固床工'!C:D,1,0),"")="","","✔")</f>
        <v/>
      </c>
      <c r="M299" s="98" t="str">
        <f>IF(IFERROR(VLOOKUP(A299,'12.全套管基樁'!C:D,1,0),"")="","","✔")</f>
        <v/>
      </c>
      <c r="N299" s="98" t="str">
        <f>IF(IFERROR(VLOOKUP(A299,'13.鋼筋混凝土管工程'!C:D,1,0),"")="","","✔")</f>
        <v/>
      </c>
      <c r="O299" s="98" t="str">
        <f>IF(IFERROR(VLOOKUP(A299,'14.鋼版樁'!C:D,1,0),"")="","","✔")</f>
        <v/>
      </c>
      <c r="P299" s="98" t="str">
        <f>IF(IFERROR(VLOOKUP(A299,'15.路床 路基高程'!C:D,1,0),"")="","","✔")</f>
        <v/>
      </c>
      <c r="Q299" s="98" t="str">
        <f>IF(IFERROR(VLOOKUP(A299,'16.瀝青混凝土'!C:D,1,0),"")="","","✔")</f>
        <v/>
      </c>
      <c r="R299" s="98" t="str">
        <f>IF(IFERROR(VLOOKUP(A299,'17.景觀鋪面(一)'!C:D,1,0),"")="","","✔")</f>
        <v/>
      </c>
      <c r="S299" s="98" t="str">
        <f>IF(IFERROR(VLOOKUP(A299,'18.景觀鋪面(二)'!C:D,1,0),"")="","","✔")</f>
        <v/>
      </c>
      <c r="T299" s="98" t="str">
        <f>IF(IFERROR(VLOOKUP(A299,'19.預鑄緣石'!C:D,1,0),"")="","","✔")</f>
        <v/>
      </c>
      <c r="U299" s="98" t="str">
        <f>IF(IFERROR(VLOOKUP(A299,'20.鋼構工程吊裝'!C:D,1,0),"")="","","✔")</f>
        <v/>
      </c>
      <c r="V299" s="98" t="str">
        <f>IF(IFERROR(VLOOKUP(A299,'21.鋼構工程塗裝'!C:D,1,0),"")="","","✔")</f>
        <v/>
      </c>
      <c r="W299" s="98" t="str">
        <f>IF(IFERROR(VLOOKUP(A299,'22.排水設施(一)'!C:D,1,0),"")="","","✔")</f>
        <v/>
      </c>
      <c r="X299" s="98" t="str">
        <f>IF(IFERROR(VLOOKUP(A299,'23.排水設施(二)'!C:D,1,0),"")="","","✔")</f>
        <v/>
      </c>
      <c r="Y299" s="98" t="str">
        <f>IF(IFERROR(VLOOKUP(A299,'24.木構造'!C:D,1,0),"")="","","✔")</f>
        <v/>
      </c>
      <c r="Z299" s="98" t="str">
        <f>IF(IFERROR(VLOOKUP(A299,'25.管路'!C:D,1,0),"")="","","✔")</f>
        <v/>
      </c>
      <c r="AA299" s="98" t="str">
        <f>IF(IFERROR(VLOOKUP(A299,'26.植栽(移植)'!C:D,1,0),"")="","","✔")</f>
        <v/>
      </c>
      <c r="AB299" s="98" t="str">
        <f>IF(IFERROR(VLOOKUP(A299,'27.植栽(新植)'!C:D,1,0),"")="","","✔")</f>
        <v/>
      </c>
      <c r="AC299" s="98" t="str">
        <f>IF(IFERROR(VLOOKUP(A299,'28.照明'!C:D,1,0),"")="","","✔")</f>
        <v/>
      </c>
      <c r="AD299" s="98" t="str">
        <f>IF(IFERROR(VLOOKUP(A299,'29.既有橋梁拆除'!C:D,1,0),"")="","","✔")</f>
        <v/>
      </c>
    </row>
    <row r="300" spans="1:30" ht="21.75" customHeight="1" x14ac:dyDescent="0.25">
      <c r="A300" s="99">
        <v>45490</v>
      </c>
      <c r="B300" s="98" t="str">
        <f>IF(IFERROR(VLOOKUP(A300,'1.測量放樣'!C:D,1,0),"")="","","✔")</f>
        <v/>
      </c>
      <c r="C300" s="98" t="str">
        <f>IF(IFERROR(VLOOKUP(A300,'2.土方開挖'!C:D,1,0),"")="","","✔")</f>
        <v/>
      </c>
      <c r="D300" s="98" t="str">
        <f>IF(IFERROR(VLOOKUP(A300,'3.土方回填'!C:D,1,0),"")="","","✔")</f>
        <v/>
      </c>
      <c r="E300" s="98" t="str">
        <f>IF(IFERROR(VLOOKUP(A300,'4.鋼筋'!C:D,1,0),"")="","","✔")</f>
        <v/>
      </c>
      <c r="F300" s="98" t="str">
        <f>IF(IFERROR(VLOOKUP(A300,'5.模板'!C:D,1,0),"")="","","✔")</f>
        <v/>
      </c>
      <c r="G300" s="98" t="str">
        <f>IF(IFERROR(VLOOKUP(A300,'6.混凝土'!C:D,1,0),"")="","","✔")</f>
        <v/>
      </c>
      <c r="H300" s="98" t="str">
        <f>IF(IFERROR(VLOOKUP(A300,'7.植筋'!C:D,1,0),"")="","","✔")</f>
        <v/>
      </c>
      <c r="I300" s="98" t="str">
        <f>IF(IFERROR(VLOOKUP(A300,'8.預力混凝土基樁'!C:D,1,0),"")="","","✔")</f>
        <v/>
      </c>
      <c r="J300" s="98" t="str">
        <f>IF(IFERROR(VLOOKUP(A300,'9.砌塊石護岸'!C:D,1,0),"")="","","✔")</f>
        <v/>
      </c>
      <c r="K300" s="98" t="str">
        <f>IF(IFERROR(VLOOKUP(A300,'10.低水護岸'!C:D,1,0),"")="","","✔")</f>
        <v/>
      </c>
      <c r="L300" s="98" t="str">
        <f>IF(IFERROR(VLOOKUP(A300,'11.固床工'!C:D,1,0),"")="","","✔")</f>
        <v/>
      </c>
      <c r="M300" s="98" t="str">
        <f>IF(IFERROR(VLOOKUP(A300,'12.全套管基樁'!C:D,1,0),"")="","","✔")</f>
        <v/>
      </c>
      <c r="N300" s="98" t="str">
        <f>IF(IFERROR(VLOOKUP(A300,'13.鋼筋混凝土管工程'!C:D,1,0),"")="","","✔")</f>
        <v/>
      </c>
      <c r="O300" s="98" t="str">
        <f>IF(IFERROR(VLOOKUP(A300,'14.鋼版樁'!C:D,1,0),"")="","","✔")</f>
        <v/>
      </c>
      <c r="P300" s="98" t="str">
        <f>IF(IFERROR(VLOOKUP(A300,'15.路床 路基高程'!C:D,1,0),"")="","","✔")</f>
        <v/>
      </c>
      <c r="Q300" s="98" t="str">
        <f>IF(IFERROR(VLOOKUP(A300,'16.瀝青混凝土'!C:D,1,0),"")="","","✔")</f>
        <v/>
      </c>
      <c r="R300" s="98" t="str">
        <f>IF(IFERROR(VLOOKUP(A300,'17.景觀鋪面(一)'!C:D,1,0),"")="","","✔")</f>
        <v/>
      </c>
      <c r="S300" s="98" t="str">
        <f>IF(IFERROR(VLOOKUP(A300,'18.景觀鋪面(二)'!C:D,1,0),"")="","","✔")</f>
        <v/>
      </c>
      <c r="T300" s="98" t="str">
        <f>IF(IFERROR(VLOOKUP(A300,'19.預鑄緣石'!C:D,1,0),"")="","","✔")</f>
        <v/>
      </c>
      <c r="U300" s="98" t="str">
        <f>IF(IFERROR(VLOOKUP(A300,'20.鋼構工程吊裝'!C:D,1,0),"")="","","✔")</f>
        <v/>
      </c>
      <c r="V300" s="98" t="str">
        <f>IF(IFERROR(VLOOKUP(A300,'21.鋼構工程塗裝'!C:D,1,0),"")="","","✔")</f>
        <v/>
      </c>
      <c r="W300" s="98" t="str">
        <f>IF(IFERROR(VLOOKUP(A300,'22.排水設施(一)'!C:D,1,0),"")="","","✔")</f>
        <v/>
      </c>
      <c r="X300" s="98" t="str">
        <f>IF(IFERROR(VLOOKUP(A300,'23.排水設施(二)'!C:D,1,0),"")="","","✔")</f>
        <v/>
      </c>
      <c r="Y300" s="98" t="str">
        <f>IF(IFERROR(VLOOKUP(A300,'24.木構造'!C:D,1,0),"")="","","✔")</f>
        <v/>
      </c>
      <c r="Z300" s="98" t="str">
        <f>IF(IFERROR(VLOOKUP(A300,'25.管路'!C:D,1,0),"")="","","✔")</f>
        <v/>
      </c>
      <c r="AA300" s="98" t="str">
        <f>IF(IFERROR(VLOOKUP(A300,'26.植栽(移植)'!C:D,1,0),"")="","","✔")</f>
        <v/>
      </c>
      <c r="AB300" s="98" t="str">
        <f>IF(IFERROR(VLOOKUP(A300,'27.植栽(新植)'!C:D,1,0),"")="","","✔")</f>
        <v/>
      </c>
      <c r="AC300" s="98" t="str">
        <f>IF(IFERROR(VLOOKUP(A300,'28.照明'!C:D,1,0),"")="","","✔")</f>
        <v/>
      </c>
      <c r="AD300" s="98" t="str">
        <f>IF(IFERROR(VLOOKUP(A300,'29.既有橋梁拆除'!C:D,1,0),"")="","","✔")</f>
        <v/>
      </c>
    </row>
    <row r="301" spans="1:30" ht="21.75" customHeight="1" x14ac:dyDescent="0.25">
      <c r="A301" s="99">
        <v>45491</v>
      </c>
      <c r="B301" s="98" t="str">
        <f>IF(IFERROR(VLOOKUP(A301,'1.測量放樣'!C:D,1,0),"")="","","✔")</f>
        <v/>
      </c>
      <c r="C301" s="98" t="str">
        <f>IF(IFERROR(VLOOKUP(A301,'2.土方開挖'!C:D,1,0),"")="","","✔")</f>
        <v/>
      </c>
      <c r="D301" s="98" t="str">
        <f>IF(IFERROR(VLOOKUP(A301,'3.土方回填'!C:D,1,0),"")="","","✔")</f>
        <v/>
      </c>
      <c r="E301" s="98" t="str">
        <f>IF(IFERROR(VLOOKUP(A301,'4.鋼筋'!C:D,1,0),"")="","","✔")</f>
        <v/>
      </c>
      <c r="F301" s="98" t="str">
        <f>IF(IFERROR(VLOOKUP(A301,'5.模板'!C:D,1,0),"")="","","✔")</f>
        <v/>
      </c>
      <c r="G301" s="98" t="str">
        <f>IF(IFERROR(VLOOKUP(A301,'6.混凝土'!C:D,1,0),"")="","","✔")</f>
        <v/>
      </c>
      <c r="H301" s="98" t="str">
        <f>IF(IFERROR(VLOOKUP(A301,'7.植筋'!C:D,1,0),"")="","","✔")</f>
        <v/>
      </c>
      <c r="I301" s="98" t="str">
        <f>IF(IFERROR(VLOOKUP(A301,'8.預力混凝土基樁'!C:D,1,0),"")="","","✔")</f>
        <v/>
      </c>
      <c r="J301" s="98" t="str">
        <f>IF(IFERROR(VLOOKUP(A301,'9.砌塊石護岸'!C:D,1,0),"")="","","✔")</f>
        <v/>
      </c>
      <c r="K301" s="98" t="str">
        <f>IF(IFERROR(VLOOKUP(A301,'10.低水護岸'!C:D,1,0),"")="","","✔")</f>
        <v/>
      </c>
      <c r="L301" s="98" t="str">
        <f>IF(IFERROR(VLOOKUP(A301,'11.固床工'!C:D,1,0),"")="","","✔")</f>
        <v/>
      </c>
      <c r="M301" s="98" t="str">
        <f>IF(IFERROR(VLOOKUP(A301,'12.全套管基樁'!C:D,1,0),"")="","","✔")</f>
        <v/>
      </c>
      <c r="N301" s="98" t="str">
        <f>IF(IFERROR(VLOOKUP(A301,'13.鋼筋混凝土管工程'!C:D,1,0),"")="","","✔")</f>
        <v/>
      </c>
      <c r="O301" s="98" t="str">
        <f>IF(IFERROR(VLOOKUP(A301,'14.鋼版樁'!C:D,1,0),"")="","","✔")</f>
        <v/>
      </c>
      <c r="P301" s="98" t="str">
        <f>IF(IFERROR(VLOOKUP(A301,'15.路床 路基高程'!C:D,1,0),"")="","","✔")</f>
        <v/>
      </c>
      <c r="Q301" s="98" t="str">
        <f>IF(IFERROR(VLOOKUP(A301,'16.瀝青混凝土'!C:D,1,0),"")="","","✔")</f>
        <v/>
      </c>
      <c r="R301" s="98" t="str">
        <f>IF(IFERROR(VLOOKUP(A301,'17.景觀鋪面(一)'!C:D,1,0),"")="","","✔")</f>
        <v/>
      </c>
      <c r="S301" s="98" t="str">
        <f>IF(IFERROR(VLOOKUP(A301,'18.景觀鋪面(二)'!C:D,1,0),"")="","","✔")</f>
        <v/>
      </c>
      <c r="T301" s="98" t="str">
        <f>IF(IFERROR(VLOOKUP(A301,'19.預鑄緣石'!C:D,1,0),"")="","","✔")</f>
        <v/>
      </c>
      <c r="U301" s="98" t="str">
        <f>IF(IFERROR(VLOOKUP(A301,'20.鋼構工程吊裝'!C:D,1,0),"")="","","✔")</f>
        <v/>
      </c>
      <c r="V301" s="98" t="str">
        <f>IF(IFERROR(VLOOKUP(A301,'21.鋼構工程塗裝'!C:D,1,0),"")="","","✔")</f>
        <v/>
      </c>
      <c r="W301" s="98" t="str">
        <f>IF(IFERROR(VLOOKUP(A301,'22.排水設施(一)'!C:D,1,0),"")="","","✔")</f>
        <v/>
      </c>
      <c r="X301" s="98" t="str">
        <f>IF(IFERROR(VLOOKUP(A301,'23.排水設施(二)'!C:D,1,0),"")="","","✔")</f>
        <v/>
      </c>
      <c r="Y301" s="98" t="str">
        <f>IF(IFERROR(VLOOKUP(A301,'24.木構造'!C:D,1,0),"")="","","✔")</f>
        <v/>
      </c>
      <c r="Z301" s="98" t="str">
        <f>IF(IFERROR(VLOOKUP(A301,'25.管路'!C:D,1,0),"")="","","✔")</f>
        <v/>
      </c>
      <c r="AA301" s="98" t="str">
        <f>IF(IFERROR(VLOOKUP(A301,'26.植栽(移植)'!C:D,1,0),"")="","","✔")</f>
        <v/>
      </c>
      <c r="AB301" s="98" t="str">
        <f>IF(IFERROR(VLOOKUP(A301,'27.植栽(新植)'!C:D,1,0),"")="","","✔")</f>
        <v/>
      </c>
      <c r="AC301" s="98" t="str">
        <f>IF(IFERROR(VLOOKUP(A301,'28.照明'!C:D,1,0),"")="","","✔")</f>
        <v/>
      </c>
      <c r="AD301" s="98" t="str">
        <f>IF(IFERROR(VLOOKUP(A301,'29.既有橋梁拆除'!C:D,1,0),"")="","","✔")</f>
        <v/>
      </c>
    </row>
    <row r="302" spans="1:30" ht="21.75" customHeight="1" x14ac:dyDescent="0.25">
      <c r="A302" s="99">
        <v>45492</v>
      </c>
      <c r="B302" s="98" t="str">
        <f>IF(IFERROR(VLOOKUP(A302,'1.測量放樣'!C:D,1,0),"")="","","✔")</f>
        <v/>
      </c>
      <c r="C302" s="98" t="str">
        <f>IF(IFERROR(VLOOKUP(A302,'2.土方開挖'!C:D,1,0),"")="","","✔")</f>
        <v/>
      </c>
      <c r="D302" s="98" t="str">
        <f>IF(IFERROR(VLOOKUP(A302,'3.土方回填'!C:D,1,0),"")="","","✔")</f>
        <v/>
      </c>
      <c r="E302" s="98" t="str">
        <f>IF(IFERROR(VLOOKUP(A302,'4.鋼筋'!C:D,1,0),"")="","","✔")</f>
        <v/>
      </c>
      <c r="F302" s="98" t="str">
        <f>IF(IFERROR(VLOOKUP(A302,'5.模板'!C:D,1,0),"")="","","✔")</f>
        <v/>
      </c>
      <c r="G302" s="98" t="str">
        <f>IF(IFERROR(VLOOKUP(A302,'6.混凝土'!C:D,1,0),"")="","","✔")</f>
        <v/>
      </c>
      <c r="H302" s="98" t="str">
        <f>IF(IFERROR(VLOOKUP(A302,'7.植筋'!C:D,1,0),"")="","","✔")</f>
        <v/>
      </c>
      <c r="I302" s="98" t="str">
        <f>IF(IFERROR(VLOOKUP(A302,'8.預力混凝土基樁'!C:D,1,0),"")="","","✔")</f>
        <v/>
      </c>
      <c r="J302" s="98" t="str">
        <f>IF(IFERROR(VLOOKUP(A302,'9.砌塊石護岸'!C:D,1,0),"")="","","✔")</f>
        <v/>
      </c>
      <c r="K302" s="98" t="str">
        <f>IF(IFERROR(VLOOKUP(A302,'10.低水護岸'!C:D,1,0),"")="","","✔")</f>
        <v/>
      </c>
      <c r="L302" s="98" t="str">
        <f>IF(IFERROR(VLOOKUP(A302,'11.固床工'!C:D,1,0),"")="","","✔")</f>
        <v/>
      </c>
      <c r="M302" s="98" t="str">
        <f>IF(IFERROR(VLOOKUP(A302,'12.全套管基樁'!C:D,1,0),"")="","","✔")</f>
        <v/>
      </c>
      <c r="N302" s="98" t="str">
        <f>IF(IFERROR(VLOOKUP(A302,'13.鋼筋混凝土管工程'!C:D,1,0),"")="","","✔")</f>
        <v/>
      </c>
      <c r="O302" s="98" t="str">
        <f>IF(IFERROR(VLOOKUP(A302,'14.鋼版樁'!C:D,1,0),"")="","","✔")</f>
        <v/>
      </c>
      <c r="P302" s="98" t="str">
        <f>IF(IFERROR(VLOOKUP(A302,'15.路床 路基高程'!C:D,1,0),"")="","","✔")</f>
        <v/>
      </c>
      <c r="Q302" s="98" t="str">
        <f>IF(IFERROR(VLOOKUP(A302,'16.瀝青混凝土'!C:D,1,0),"")="","","✔")</f>
        <v/>
      </c>
      <c r="R302" s="98" t="str">
        <f>IF(IFERROR(VLOOKUP(A302,'17.景觀鋪面(一)'!C:D,1,0),"")="","","✔")</f>
        <v/>
      </c>
      <c r="S302" s="98" t="str">
        <f>IF(IFERROR(VLOOKUP(A302,'18.景觀鋪面(二)'!C:D,1,0),"")="","","✔")</f>
        <v/>
      </c>
      <c r="T302" s="98" t="str">
        <f>IF(IFERROR(VLOOKUP(A302,'19.預鑄緣石'!C:D,1,0),"")="","","✔")</f>
        <v/>
      </c>
      <c r="U302" s="98" t="str">
        <f>IF(IFERROR(VLOOKUP(A302,'20.鋼構工程吊裝'!C:D,1,0),"")="","","✔")</f>
        <v/>
      </c>
      <c r="V302" s="98" t="str">
        <f>IF(IFERROR(VLOOKUP(A302,'21.鋼構工程塗裝'!C:D,1,0),"")="","","✔")</f>
        <v/>
      </c>
      <c r="W302" s="98" t="str">
        <f>IF(IFERROR(VLOOKUP(A302,'22.排水設施(一)'!C:D,1,0),"")="","","✔")</f>
        <v/>
      </c>
      <c r="X302" s="98" t="str">
        <f>IF(IFERROR(VLOOKUP(A302,'23.排水設施(二)'!C:D,1,0),"")="","","✔")</f>
        <v/>
      </c>
      <c r="Y302" s="98" t="str">
        <f>IF(IFERROR(VLOOKUP(A302,'24.木構造'!C:D,1,0),"")="","","✔")</f>
        <v/>
      </c>
      <c r="Z302" s="98" t="str">
        <f>IF(IFERROR(VLOOKUP(A302,'25.管路'!C:D,1,0),"")="","","✔")</f>
        <v/>
      </c>
      <c r="AA302" s="98" t="str">
        <f>IF(IFERROR(VLOOKUP(A302,'26.植栽(移植)'!C:D,1,0),"")="","","✔")</f>
        <v/>
      </c>
      <c r="AB302" s="98" t="str">
        <f>IF(IFERROR(VLOOKUP(A302,'27.植栽(新植)'!C:D,1,0),"")="","","✔")</f>
        <v/>
      </c>
      <c r="AC302" s="98" t="str">
        <f>IF(IFERROR(VLOOKUP(A302,'28.照明'!C:D,1,0),"")="","","✔")</f>
        <v/>
      </c>
      <c r="AD302" s="98" t="str">
        <f>IF(IFERROR(VLOOKUP(A302,'29.既有橋梁拆除'!C:D,1,0),"")="","","✔")</f>
        <v/>
      </c>
    </row>
    <row r="303" spans="1:30" ht="21.75" customHeight="1" x14ac:dyDescent="0.25">
      <c r="A303" s="99">
        <v>45493</v>
      </c>
      <c r="B303" s="98" t="str">
        <f>IF(IFERROR(VLOOKUP(A303,'1.測量放樣'!C:D,1,0),"")="","","✔")</f>
        <v/>
      </c>
      <c r="C303" s="98" t="str">
        <f>IF(IFERROR(VLOOKUP(A303,'2.土方開挖'!C:D,1,0),"")="","","✔")</f>
        <v/>
      </c>
      <c r="D303" s="98" t="str">
        <f>IF(IFERROR(VLOOKUP(A303,'3.土方回填'!C:D,1,0),"")="","","✔")</f>
        <v/>
      </c>
      <c r="E303" s="98" t="str">
        <f>IF(IFERROR(VLOOKUP(A303,'4.鋼筋'!C:D,1,0),"")="","","✔")</f>
        <v/>
      </c>
      <c r="F303" s="98" t="str">
        <f>IF(IFERROR(VLOOKUP(A303,'5.模板'!C:D,1,0),"")="","","✔")</f>
        <v/>
      </c>
      <c r="G303" s="98" t="str">
        <f>IF(IFERROR(VLOOKUP(A303,'6.混凝土'!C:D,1,0),"")="","","✔")</f>
        <v/>
      </c>
      <c r="H303" s="98" t="str">
        <f>IF(IFERROR(VLOOKUP(A303,'7.植筋'!C:D,1,0),"")="","","✔")</f>
        <v/>
      </c>
      <c r="I303" s="98" t="str">
        <f>IF(IFERROR(VLOOKUP(A303,'8.預力混凝土基樁'!C:D,1,0),"")="","","✔")</f>
        <v/>
      </c>
      <c r="J303" s="98" t="str">
        <f>IF(IFERROR(VLOOKUP(A303,'9.砌塊石護岸'!C:D,1,0),"")="","","✔")</f>
        <v/>
      </c>
      <c r="K303" s="98" t="str">
        <f>IF(IFERROR(VLOOKUP(A303,'10.低水護岸'!C:D,1,0),"")="","","✔")</f>
        <v/>
      </c>
      <c r="L303" s="98" t="str">
        <f>IF(IFERROR(VLOOKUP(A303,'11.固床工'!C:D,1,0),"")="","","✔")</f>
        <v/>
      </c>
      <c r="M303" s="98" t="str">
        <f>IF(IFERROR(VLOOKUP(A303,'12.全套管基樁'!C:D,1,0),"")="","","✔")</f>
        <v/>
      </c>
      <c r="N303" s="98" t="str">
        <f>IF(IFERROR(VLOOKUP(A303,'13.鋼筋混凝土管工程'!C:D,1,0),"")="","","✔")</f>
        <v/>
      </c>
      <c r="O303" s="98" t="str">
        <f>IF(IFERROR(VLOOKUP(A303,'14.鋼版樁'!C:D,1,0),"")="","","✔")</f>
        <v/>
      </c>
      <c r="P303" s="98" t="str">
        <f>IF(IFERROR(VLOOKUP(A303,'15.路床 路基高程'!C:D,1,0),"")="","","✔")</f>
        <v/>
      </c>
      <c r="Q303" s="98" t="str">
        <f>IF(IFERROR(VLOOKUP(A303,'16.瀝青混凝土'!C:D,1,0),"")="","","✔")</f>
        <v/>
      </c>
      <c r="R303" s="98" t="str">
        <f>IF(IFERROR(VLOOKUP(A303,'17.景觀鋪面(一)'!C:D,1,0),"")="","","✔")</f>
        <v/>
      </c>
      <c r="S303" s="98" t="str">
        <f>IF(IFERROR(VLOOKUP(A303,'18.景觀鋪面(二)'!C:D,1,0),"")="","","✔")</f>
        <v/>
      </c>
      <c r="T303" s="98" t="str">
        <f>IF(IFERROR(VLOOKUP(A303,'19.預鑄緣石'!C:D,1,0),"")="","","✔")</f>
        <v/>
      </c>
      <c r="U303" s="98" t="str">
        <f>IF(IFERROR(VLOOKUP(A303,'20.鋼構工程吊裝'!C:D,1,0),"")="","","✔")</f>
        <v/>
      </c>
      <c r="V303" s="98" t="str">
        <f>IF(IFERROR(VLOOKUP(A303,'21.鋼構工程塗裝'!C:D,1,0),"")="","","✔")</f>
        <v/>
      </c>
      <c r="W303" s="98" t="str">
        <f>IF(IFERROR(VLOOKUP(A303,'22.排水設施(一)'!C:D,1,0),"")="","","✔")</f>
        <v/>
      </c>
      <c r="X303" s="98" t="str">
        <f>IF(IFERROR(VLOOKUP(A303,'23.排水設施(二)'!C:D,1,0),"")="","","✔")</f>
        <v/>
      </c>
      <c r="Y303" s="98" t="str">
        <f>IF(IFERROR(VLOOKUP(A303,'24.木構造'!C:D,1,0),"")="","","✔")</f>
        <v/>
      </c>
      <c r="Z303" s="98" t="str">
        <f>IF(IFERROR(VLOOKUP(A303,'25.管路'!C:D,1,0),"")="","","✔")</f>
        <v/>
      </c>
      <c r="AA303" s="98" t="str">
        <f>IF(IFERROR(VLOOKUP(A303,'26.植栽(移植)'!C:D,1,0),"")="","","✔")</f>
        <v/>
      </c>
      <c r="AB303" s="98" t="str">
        <f>IF(IFERROR(VLOOKUP(A303,'27.植栽(新植)'!C:D,1,0),"")="","","✔")</f>
        <v/>
      </c>
      <c r="AC303" s="98" t="str">
        <f>IF(IFERROR(VLOOKUP(A303,'28.照明'!C:D,1,0),"")="","","✔")</f>
        <v/>
      </c>
      <c r="AD303" s="98" t="str">
        <f>IF(IFERROR(VLOOKUP(A303,'29.既有橋梁拆除'!C:D,1,0),"")="","","✔")</f>
        <v/>
      </c>
    </row>
    <row r="304" spans="1:30" ht="21.75" customHeight="1" x14ac:dyDescent="0.25">
      <c r="A304" s="99">
        <v>45494</v>
      </c>
      <c r="B304" s="98" t="str">
        <f>IF(IFERROR(VLOOKUP(A304,'1.測量放樣'!C:D,1,0),"")="","","✔")</f>
        <v/>
      </c>
      <c r="C304" s="98" t="str">
        <f>IF(IFERROR(VLOOKUP(A304,'2.土方開挖'!C:D,1,0),"")="","","✔")</f>
        <v/>
      </c>
      <c r="D304" s="98" t="str">
        <f>IF(IFERROR(VLOOKUP(A304,'3.土方回填'!C:D,1,0),"")="","","✔")</f>
        <v/>
      </c>
      <c r="E304" s="98" t="str">
        <f>IF(IFERROR(VLOOKUP(A304,'4.鋼筋'!C:D,1,0),"")="","","✔")</f>
        <v/>
      </c>
      <c r="F304" s="98" t="str">
        <f>IF(IFERROR(VLOOKUP(A304,'5.模板'!C:D,1,0),"")="","","✔")</f>
        <v/>
      </c>
      <c r="G304" s="98" t="str">
        <f>IF(IFERROR(VLOOKUP(A304,'6.混凝土'!C:D,1,0),"")="","","✔")</f>
        <v/>
      </c>
      <c r="H304" s="98" t="str">
        <f>IF(IFERROR(VLOOKUP(A304,'7.植筋'!C:D,1,0),"")="","","✔")</f>
        <v/>
      </c>
      <c r="I304" s="98" t="str">
        <f>IF(IFERROR(VLOOKUP(A304,'8.預力混凝土基樁'!C:D,1,0),"")="","","✔")</f>
        <v/>
      </c>
      <c r="J304" s="98" t="str">
        <f>IF(IFERROR(VLOOKUP(A304,'9.砌塊石護岸'!C:D,1,0),"")="","","✔")</f>
        <v/>
      </c>
      <c r="K304" s="98" t="str">
        <f>IF(IFERROR(VLOOKUP(A304,'10.低水護岸'!C:D,1,0),"")="","","✔")</f>
        <v/>
      </c>
      <c r="L304" s="98" t="str">
        <f>IF(IFERROR(VLOOKUP(A304,'11.固床工'!C:D,1,0),"")="","","✔")</f>
        <v/>
      </c>
      <c r="M304" s="98" t="str">
        <f>IF(IFERROR(VLOOKUP(A304,'12.全套管基樁'!C:D,1,0),"")="","","✔")</f>
        <v/>
      </c>
      <c r="N304" s="98" t="str">
        <f>IF(IFERROR(VLOOKUP(A304,'13.鋼筋混凝土管工程'!C:D,1,0),"")="","","✔")</f>
        <v/>
      </c>
      <c r="O304" s="98" t="str">
        <f>IF(IFERROR(VLOOKUP(A304,'14.鋼版樁'!C:D,1,0),"")="","","✔")</f>
        <v/>
      </c>
      <c r="P304" s="98" t="str">
        <f>IF(IFERROR(VLOOKUP(A304,'15.路床 路基高程'!C:D,1,0),"")="","","✔")</f>
        <v/>
      </c>
      <c r="Q304" s="98" t="str">
        <f>IF(IFERROR(VLOOKUP(A304,'16.瀝青混凝土'!C:D,1,0),"")="","","✔")</f>
        <v/>
      </c>
      <c r="R304" s="98" t="str">
        <f>IF(IFERROR(VLOOKUP(A304,'17.景觀鋪面(一)'!C:D,1,0),"")="","","✔")</f>
        <v/>
      </c>
      <c r="S304" s="98" t="str">
        <f>IF(IFERROR(VLOOKUP(A304,'18.景觀鋪面(二)'!C:D,1,0),"")="","","✔")</f>
        <v/>
      </c>
      <c r="T304" s="98" t="str">
        <f>IF(IFERROR(VLOOKUP(A304,'19.預鑄緣石'!C:D,1,0),"")="","","✔")</f>
        <v/>
      </c>
      <c r="U304" s="98" t="str">
        <f>IF(IFERROR(VLOOKUP(A304,'20.鋼構工程吊裝'!C:D,1,0),"")="","","✔")</f>
        <v/>
      </c>
      <c r="V304" s="98" t="str">
        <f>IF(IFERROR(VLOOKUP(A304,'21.鋼構工程塗裝'!C:D,1,0),"")="","","✔")</f>
        <v/>
      </c>
      <c r="W304" s="98" t="str">
        <f>IF(IFERROR(VLOOKUP(A304,'22.排水設施(一)'!C:D,1,0),"")="","","✔")</f>
        <v/>
      </c>
      <c r="X304" s="98" t="str">
        <f>IF(IFERROR(VLOOKUP(A304,'23.排水設施(二)'!C:D,1,0),"")="","","✔")</f>
        <v/>
      </c>
      <c r="Y304" s="98" t="str">
        <f>IF(IFERROR(VLOOKUP(A304,'24.木構造'!C:D,1,0),"")="","","✔")</f>
        <v/>
      </c>
      <c r="Z304" s="98" t="str">
        <f>IF(IFERROR(VLOOKUP(A304,'25.管路'!C:D,1,0),"")="","","✔")</f>
        <v/>
      </c>
      <c r="AA304" s="98" t="str">
        <f>IF(IFERROR(VLOOKUP(A304,'26.植栽(移植)'!C:D,1,0),"")="","","✔")</f>
        <v/>
      </c>
      <c r="AB304" s="98" t="str">
        <f>IF(IFERROR(VLOOKUP(A304,'27.植栽(新植)'!C:D,1,0),"")="","","✔")</f>
        <v/>
      </c>
      <c r="AC304" s="98" t="str">
        <f>IF(IFERROR(VLOOKUP(A304,'28.照明'!C:D,1,0),"")="","","✔")</f>
        <v/>
      </c>
      <c r="AD304" s="98" t="str">
        <f>IF(IFERROR(VLOOKUP(A304,'29.既有橋梁拆除'!C:D,1,0),"")="","","✔")</f>
        <v/>
      </c>
    </row>
    <row r="305" spans="1:30" ht="21.75" customHeight="1" x14ac:dyDescent="0.25">
      <c r="A305" s="99">
        <v>45495</v>
      </c>
      <c r="B305" s="98" t="str">
        <f>IF(IFERROR(VLOOKUP(A305,'1.測量放樣'!C:D,1,0),"")="","","✔")</f>
        <v/>
      </c>
      <c r="C305" s="98" t="str">
        <f>IF(IFERROR(VLOOKUP(A305,'2.土方開挖'!C:D,1,0),"")="","","✔")</f>
        <v/>
      </c>
      <c r="D305" s="98" t="str">
        <f>IF(IFERROR(VLOOKUP(A305,'3.土方回填'!C:D,1,0),"")="","","✔")</f>
        <v/>
      </c>
      <c r="E305" s="98" t="str">
        <f>IF(IFERROR(VLOOKUP(A305,'4.鋼筋'!C:D,1,0),"")="","","✔")</f>
        <v/>
      </c>
      <c r="F305" s="98" t="str">
        <f>IF(IFERROR(VLOOKUP(A305,'5.模板'!C:D,1,0),"")="","","✔")</f>
        <v/>
      </c>
      <c r="G305" s="98" t="str">
        <f>IF(IFERROR(VLOOKUP(A305,'6.混凝土'!C:D,1,0),"")="","","✔")</f>
        <v/>
      </c>
      <c r="H305" s="98" t="str">
        <f>IF(IFERROR(VLOOKUP(A305,'7.植筋'!C:D,1,0),"")="","","✔")</f>
        <v/>
      </c>
      <c r="I305" s="98" t="str">
        <f>IF(IFERROR(VLOOKUP(A305,'8.預力混凝土基樁'!C:D,1,0),"")="","","✔")</f>
        <v/>
      </c>
      <c r="J305" s="98" t="str">
        <f>IF(IFERROR(VLOOKUP(A305,'9.砌塊石護岸'!C:D,1,0),"")="","","✔")</f>
        <v/>
      </c>
      <c r="K305" s="98" t="str">
        <f>IF(IFERROR(VLOOKUP(A305,'10.低水護岸'!C:D,1,0),"")="","","✔")</f>
        <v/>
      </c>
      <c r="L305" s="98" t="str">
        <f>IF(IFERROR(VLOOKUP(A305,'11.固床工'!C:D,1,0),"")="","","✔")</f>
        <v/>
      </c>
      <c r="M305" s="98" t="str">
        <f>IF(IFERROR(VLOOKUP(A305,'12.全套管基樁'!C:D,1,0),"")="","","✔")</f>
        <v/>
      </c>
      <c r="N305" s="98" t="str">
        <f>IF(IFERROR(VLOOKUP(A305,'13.鋼筋混凝土管工程'!C:D,1,0),"")="","","✔")</f>
        <v/>
      </c>
      <c r="O305" s="98" t="str">
        <f>IF(IFERROR(VLOOKUP(A305,'14.鋼版樁'!C:D,1,0),"")="","","✔")</f>
        <v/>
      </c>
      <c r="P305" s="98" t="str">
        <f>IF(IFERROR(VLOOKUP(A305,'15.路床 路基高程'!C:D,1,0),"")="","","✔")</f>
        <v/>
      </c>
      <c r="Q305" s="98" t="str">
        <f>IF(IFERROR(VLOOKUP(A305,'16.瀝青混凝土'!C:D,1,0),"")="","","✔")</f>
        <v/>
      </c>
      <c r="R305" s="98" t="str">
        <f>IF(IFERROR(VLOOKUP(A305,'17.景觀鋪面(一)'!C:D,1,0),"")="","","✔")</f>
        <v/>
      </c>
      <c r="S305" s="98" t="str">
        <f>IF(IFERROR(VLOOKUP(A305,'18.景觀鋪面(二)'!C:D,1,0),"")="","","✔")</f>
        <v/>
      </c>
      <c r="T305" s="98" t="str">
        <f>IF(IFERROR(VLOOKUP(A305,'19.預鑄緣石'!C:D,1,0),"")="","","✔")</f>
        <v/>
      </c>
      <c r="U305" s="98" t="str">
        <f>IF(IFERROR(VLOOKUP(A305,'20.鋼構工程吊裝'!C:D,1,0),"")="","","✔")</f>
        <v/>
      </c>
      <c r="V305" s="98" t="str">
        <f>IF(IFERROR(VLOOKUP(A305,'21.鋼構工程塗裝'!C:D,1,0),"")="","","✔")</f>
        <v/>
      </c>
      <c r="W305" s="98" t="str">
        <f>IF(IFERROR(VLOOKUP(A305,'22.排水設施(一)'!C:D,1,0),"")="","","✔")</f>
        <v/>
      </c>
      <c r="X305" s="98" t="str">
        <f>IF(IFERROR(VLOOKUP(A305,'23.排水設施(二)'!C:D,1,0),"")="","","✔")</f>
        <v/>
      </c>
      <c r="Y305" s="98" t="str">
        <f>IF(IFERROR(VLOOKUP(A305,'24.木構造'!C:D,1,0),"")="","","✔")</f>
        <v/>
      </c>
      <c r="Z305" s="98" t="str">
        <f>IF(IFERROR(VLOOKUP(A305,'25.管路'!C:D,1,0),"")="","","✔")</f>
        <v/>
      </c>
      <c r="AA305" s="98" t="str">
        <f>IF(IFERROR(VLOOKUP(A305,'26.植栽(移植)'!C:D,1,0),"")="","","✔")</f>
        <v/>
      </c>
      <c r="AB305" s="98" t="str">
        <f>IF(IFERROR(VLOOKUP(A305,'27.植栽(新植)'!C:D,1,0),"")="","","✔")</f>
        <v/>
      </c>
      <c r="AC305" s="98" t="str">
        <f>IF(IFERROR(VLOOKUP(A305,'28.照明'!C:D,1,0),"")="","","✔")</f>
        <v/>
      </c>
      <c r="AD305" s="98" t="str">
        <f>IF(IFERROR(VLOOKUP(A305,'29.既有橋梁拆除'!C:D,1,0),"")="","","✔")</f>
        <v/>
      </c>
    </row>
    <row r="306" spans="1:30" ht="21.75" customHeight="1" x14ac:dyDescent="0.25">
      <c r="A306" s="99">
        <v>45496</v>
      </c>
      <c r="B306" s="98" t="str">
        <f>IF(IFERROR(VLOOKUP(A306,'1.測量放樣'!C:D,1,0),"")="","","✔")</f>
        <v/>
      </c>
      <c r="C306" s="98" t="str">
        <f>IF(IFERROR(VLOOKUP(A306,'2.土方開挖'!C:D,1,0),"")="","","✔")</f>
        <v/>
      </c>
      <c r="D306" s="98" t="str">
        <f>IF(IFERROR(VLOOKUP(A306,'3.土方回填'!C:D,1,0),"")="","","✔")</f>
        <v/>
      </c>
      <c r="E306" s="98" t="str">
        <f>IF(IFERROR(VLOOKUP(A306,'4.鋼筋'!C:D,1,0),"")="","","✔")</f>
        <v/>
      </c>
      <c r="F306" s="98" t="str">
        <f>IF(IFERROR(VLOOKUP(A306,'5.模板'!C:D,1,0),"")="","","✔")</f>
        <v/>
      </c>
      <c r="G306" s="98" t="str">
        <f>IF(IFERROR(VLOOKUP(A306,'6.混凝土'!C:D,1,0),"")="","","✔")</f>
        <v/>
      </c>
      <c r="H306" s="98" t="str">
        <f>IF(IFERROR(VLOOKUP(A306,'7.植筋'!C:D,1,0),"")="","","✔")</f>
        <v/>
      </c>
      <c r="I306" s="98" t="str">
        <f>IF(IFERROR(VLOOKUP(A306,'8.預力混凝土基樁'!C:D,1,0),"")="","","✔")</f>
        <v/>
      </c>
      <c r="J306" s="98" t="str">
        <f>IF(IFERROR(VLOOKUP(A306,'9.砌塊石護岸'!C:D,1,0),"")="","","✔")</f>
        <v/>
      </c>
      <c r="K306" s="98" t="str">
        <f>IF(IFERROR(VLOOKUP(A306,'10.低水護岸'!C:D,1,0),"")="","","✔")</f>
        <v/>
      </c>
      <c r="L306" s="98" t="str">
        <f>IF(IFERROR(VLOOKUP(A306,'11.固床工'!C:D,1,0),"")="","","✔")</f>
        <v/>
      </c>
      <c r="M306" s="98" t="str">
        <f>IF(IFERROR(VLOOKUP(A306,'12.全套管基樁'!C:D,1,0),"")="","","✔")</f>
        <v/>
      </c>
      <c r="N306" s="98" t="str">
        <f>IF(IFERROR(VLOOKUP(A306,'13.鋼筋混凝土管工程'!C:D,1,0),"")="","","✔")</f>
        <v/>
      </c>
      <c r="O306" s="98" t="str">
        <f>IF(IFERROR(VLOOKUP(A306,'14.鋼版樁'!C:D,1,0),"")="","","✔")</f>
        <v/>
      </c>
      <c r="P306" s="98" t="str">
        <f>IF(IFERROR(VLOOKUP(A306,'15.路床 路基高程'!C:D,1,0),"")="","","✔")</f>
        <v/>
      </c>
      <c r="Q306" s="98" t="str">
        <f>IF(IFERROR(VLOOKUP(A306,'16.瀝青混凝土'!C:D,1,0),"")="","","✔")</f>
        <v/>
      </c>
      <c r="R306" s="98" t="str">
        <f>IF(IFERROR(VLOOKUP(A306,'17.景觀鋪面(一)'!C:D,1,0),"")="","","✔")</f>
        <v/>
      </c>
      <c r="S306" s="98" t="str">
        <f>IF(IFERROR(VLOOKUP(A306,'18.景觀鋪面(二)'!C:D,1,0),"")="","","✔")</f>
        <v/>
      </c>
      <c r="T306" s="98" t="str">
        <f>IF(IFERROR(VLOOKUP(A306,'19.預鑄緣石'!C:D,1,0),"")="","","✔")</f>
        <v/>
      </c>
      <c r="U306" s="98" t="str">
        <f>IF(IFERROR(VLOOKUP(A306,'20.鋼構工程吊裝'!C:D,1,0),"")="","","✔")</f>
        <v/>
      </c>
      <c r="V306" s="98" t="str">
        <f>IF(IFERROR(VLOOKUP(A306,'21.鋼構工程塗裝'!C:D,1,0),"")="","","✔")</f>
        <v/>
      </c>
      <c r="W306" s="98" t="str">
        <f>IF(IFERROR(VLOOKUP(A306,'22.排水設施(一)'!C:D,1,0),"")="","","✔")</f>
        <v/>
      </c>
      <c r="X306" s="98" t="str">
        <f>IF(IFERROR(VLOOKUP(A306,'23.排水設施(二)'!C:D,1,0),"")="","","✔")</f>
        <v/>
      </c>
      <c r="Y306" s="98" t="str">
        <f>IF(IFERROR(VLOOKUP(A306,'24.木構造'!C:D,1,0),"")="","","✔")</f>
        <v/>
      </c>
      <c r="Z306" s="98" t="str">
        <f>IF(IFERROR(VLOOKUP(A306,'25.管路'!C:D,1,0),"")="","","✔")</f>
        <v/>
      </c>
      <c r="AA306" s="98" t="str">
        <f>IF(IFERROR(VLOOKUP(A306,'26.植栽(移植)'!C:D,1,0),"")="","","✔")</f>
        <v/>
      </c>
      <c r="AB306" s="98" t="str">
        <f>IF(IFERROR(VLOOKUP(A306,'27.植栽(新植)'!C:D,1,0),"")="","","✔")</f>
        <v/>
      </c>
      <c r="AC306" s="98" t="str">
        <f>IF(IFERROR(VLOOKUP(A306,'28.照明'!C:D,1,0),"")="","","✔")</f>
        <v/>
      </c>
      <c r="AD306" s="98" t="str">
        <f>IF(IFERROR(VLOOKUP(A306,'29.既有橋梁拆除'!C:D,1,0),"")="","","✔")</f>
        <v/>
      </c>
    </row>
    <row r="307" spans="1:30" ht="21.75" customHeight="1" x14ac:dyDescent="0.25">
      <c r="A307" s="99">
        <v>45497</v>
      </c>
      <c r="B307" s="98" t="str">
        <f>IF(IFERROR(VLOOKUP(A307,'1.測量放樣'!C:D,1,0),"")="","","✔")</f>
        <v/>
      </c>
      <c r="C307" s="98" t="str">
        <f>IF(IFERROR(VLOOKUP(A307,'2.土方開挖'!C:D,1,0),"")="","","✔")</f>
        <v/>
      </c>
      <c r="D307" s="98" t="str">
        <f>IF(IFERROR(VLOOKUP(A307,'3.土方回填'!C:D,1,0),"")="","","✔")</f>
        <v/>
      </c>
      <c r="E307" s="98" t="str">
        <f>IF(IFERROR(VLOOKUP(A307,'4.鋼筋'!C:D,1,0),"")="","","✔")</f>
        <v/>
      </c>
      <c r="F307" s="98" t="str">
        <f>IF(IFERROR(VLOOKUP(A307,'5.模板'!C:D,1,0),"")="","","✔")</f>
        <v/>
      </c>
      <c r="G307" s="98" t="str">
        <f>IF(IFERROR(VLOOKUP(A307,'6.混凝土'!C:D,1,0),"")="","","✔")</f>
        <v/>
      </c>
      <c r="H307" s="98" t="str">
        <f>IF(IFERROR(VLOOKUP(A307,'7.植筋'!C:D,1,0),"")="","","✔")</f>
        <v/>
      </c>
      <c r="I307" s="98" t="str">
        <f>IF(IFERROR(VLOOKUP(A307,'8.預力混凝土基樁'!C:D,1,0),"")="","","✔")</f>
        <v/>
      </c>
      <c r="J307" s="98" t="str">
        <f>IF(IFERROR(VLOOKUP(A307,'9.砌塊石護岸'!C:D,1,0),"")="","","✔")</f>
        <v/>
      </c>
      <c r="K307" s="98" t="str">
        <f>IF(IFERROR(VLOOKUP(A307,'10.低水護岸'!C:D,1,0),"")="","","✔")</f>
        <v/>
      </c>
      <c r="L307" s="98" t="str">
        <f>IF(IFERROR(VLOOKUP(A307,'11.固床工'!C:D,1,0),"")="","","✔")</f>
        <v/>
      </c>
      <c r="M307" s="98" t="str">
        <f>IF(IFERROR(VLOOKUP(A307,'12.全套管基樁'!C:D,1,0),"")="","","✔")</f>
        <v/>
      </c>
      <c r="N307" s="98" t="str">
        <f>IF(IFERROR(VLOOKUP(A307,'13.鋼筋混凝土管工程'!C:D,1,0),"")="","","✔")</f>
        <v/>
      </c>
      <c r="O307" s="98" t="str">
        <f>IF(IFERROR(VLOOKUP(A307,'14.鋼版樁'!C:D,1,0),"")="","","✔")</f>
        <v/>
      </c>
      <c r="P307" s="98" t="str">
        <f>IF(IFERROR(VLOOKUP(A307,'15.路床 路基高程'!C:D,1,0),"")="","","✔")</f>
        <v/>
      </c>
      <c r="Q307" s="98" t="str">
        <f>IF(IFERROR(VLOOKUP(A307,'16.瀝青混凝土'!C:D,1,0),"")="","","✔")</f>
        <v/>
      </c>
      <c r="R307" s="98" t="str">
        <f>IF(IFERROR(VLOOKUP(A307,'17.景觀鋪面(一)'!C:D,1,0),"")="","","✔")</f>
        <v/>
      </c>
      <c r="S307" s="98" t="str">
        <f>IF(IFERROR(VLOOKUP(A307,'18.景觀鋪面(二)'!C:D,1,0),"")="","","✔")</f>
        <v/>
      </c>
      <c r="T307" s="98" t="str">
        <f>IF(IFERROR(VLOOKUP(A307,'19.預鑄緣石'!C:D,1,0),"")="","","✔")</f>
        <v/>
      </c>
      <c r="U307" s="98" t="str">
        <f>IF(IFERROR(VLOOKUP(A307,'20.鋼構工程吊裝'!C:D,1,0),"")="","","✔")</f>
        <v/>
      </c>
      <c r="V307" s="98" t="str">
        <f>IF(IFERROR(VLOOKUP(A307,'21.鋼構工程塗裝'!C:D,1,0),"")="","","✔")</f>
        <v/>
      </c>
      <c r="W307" s="98" t="str">
        <f>IF(IFERROR(VLOOKUP(A307,'22.排水設施(一)'!C:D,1,0),"")="","","✔")</f>
        <v/>
      </c>
      <c r="X307" s="98" t="str">
        <f>IF(IFERROR(VLOOKUP(A307,'23.排水設施(二)'!C:D,1,0),"")="","","✔")</f>
        <v/>
      </c>
      <c r="Y307" s="98" t="str">
        <f>IF(IFERROR(VLOOKUP(A307,'24.木構造'!C:D,1,0),"")="","","✔")</f>
        <v/>
      </c>
      <c r="Z307" s="98" t="str">
        <f>IF(IFERROR(VLOOKUP(A307,'25.管路'!C:D,1,0),"")="","","✔")</f>
        <v/>
      </c>
      <c r="AA307" s="98" t="str">
        <f>IF(IFERROR(VLOOKUP(A307,'26.植栽(移植)'!C:D,1,0),"")="","","✔")</f>
        <v/>
      </c>
      <c r="AB307" s="98" t="str">
        <f>IF(IFERROR(VLOOKUP(A307,'27.植栽(新植)'!C:D,1,0),"")="","","✔")</f>
        <v/>
      </c>
      <c r="AC307" s="98" t="str">
        <f>IF(IFERROR(VLOOKUP(A307,'28.照明'!C:D,1,0),"")="","","✔")</f>
        <v/>
      </c>
      <c r="AD307" s="98" t="str">
        <f>IF(IFERROR(VLOOKUP(A307,'29.既有橋梁拆除'!C:D,1,0),"")="","","✔")</f>
        <v/>
      </c>
    </row>
    <row r="308" spans="1:30" ht="21.75" customHeight="1" x14ac:dyDescent="0.25">
      <c r="A308" s="99">
        <v>45498</v>
      </c>
      <c r="B308" s="98" t="str">
        <f>IF(IFERROR(VLOOKUP(A308,'1.測量放樣'!C:D,1,0),"")="","","✔")</f>
        <v/>
      </c>
      <c r="C308" s="98" t="str">
        <f>IF(IFERROR(VLOOKUP(A308,'2.土方開挖'!C:D,1,0),"")="","","✔")</f>
        <v/>
      </c>
      <c r="D308" s="98" t="str">
        <f>IF(IFERROR(VLOOKUP(A308,'3.土方回填'!C:D,1,0),"")="","","✔")</f>
        <v/>
      </c>
      <c r="E308" s="98" t="str">
        <f>IF(IFERROR(VLOOKUP(A308,'4.鋼筋'!C:D,1,0),"")="","","✔")</f>
        <v/>
      </c>
      <c r="F308" s="98" t="str">
        <f>IF(IFERROR(VLOOKUP(A308,'5.模板'!C:D,1,0),"")="","","✔")</f>
        <v/>
      </c>
      <c r="G308" s="98" t="str">
        <f>IF(IFERROR(VLOOKUP(A308,'6.混凝土'!C:D,1,0),"")="","","✔")</f>
        <v/>
      </c>
      <c r="H308" s="98" t="str">
        <f>IF(IFERROR(VLOOKUP(A308,'7.植筋'!C:D,1,0),"")="","","✔")</f>
        <v/>
      </c>
      <c r="I308" s="98" t="str">
        <f>IF(IFERROR(VLOOKUP(A308,'8.預力混凝土基樁'!C:D,1,0),"")="","","✔")</f>
        <v/>
      </c>
      <c r="J308" s="98" t="str">
        <f>IF(IFERROR(VLOOKUP(A308,'9.砌塊石護岸'!C:D,1,0),"")="","","✔")</f>
        <v/>
      </c>
      <c r="K308" s="98" t="str">
        <f>IF(IFERROR(VLOOKUP(A308,'10.低水護岸'!C:D,1,0),"")="","","✔")</f>
        <v/>
      </c>
      <c r="L308" s="98" t="str">
        <f>IF(IFERROR(VLOOKUP(A308,'11.固床工'!C:D,1,0),"")="","","✔")</f>
        <v/>
      </c>
      <c r="M308" s="98" t="str">
        <f>IF(IFERROR(VLOOKUP(A308,'12.全套管基樁'!C:D,1,0),"")="","","✔")</f>
        <v/>
      </c>
      <c r="N308" s="98" t="str">
        <f>IF(IFERROR(VLOOKUP(A308,'13.鋼筋混凝土管工程'!C:D,1,0),"")="","","✔")</f>
        <v/>
      </c>
      <c r="O308" s="98" t="str">
        <f>IF(IFERROR(VLOOKUP(A308,'14.鋼版樁'!C:D,1,0),"")="","","✔")</f>
        <v/>
      </c>
      <c r="P308" s="98" t="str">
        <f>IF(IFERROR(VLOOKUP(A308,'15.路床 路基高程'!C:D,1,0),"")="","","✔")</f>
        <v/>
      </c>
      <c r="Q308" s="98" t="str">
        <f>IF(IFERROR(VLOOKUP(A308,'16.瀝青混凝土'!C:D,1,0),"")="","","✔")</f>
        <v/>
      </c>
      <c r="R308" s="98" t="str">
        <f>IF(IFERROR(VLOOKUP(A308,'17.景觀鋪面(一)'!C:D,1,0),"")="","","✔")</f>
        <v/>
      </c>
      <c r="S308" s="98" t="str">
        <f>IF(IFERROR(VLOOKUP(A308,'18.景觀鋪面(二)'!C:D,1,0),"")="","","✔")</f>
        <v/>
      </c>
      <c r="T308" s="98" t="str">
        <f>IF(IFERROR(VLOOKUP(A308,'19.預鑄緣石'!C:D,1,0),"")="","","✔")</f>
        <v/>
      </c>
      <c r="U308" s="98" t="str">
        <f>IF(IFERROR(VLOOKUP(A308,'20.鋼構工程吊裝'!C:D,1,0),"")="","","✔")</f>
        <v/>
      </c>
      <c r="V308" s="98" t="str">
        <f>IF(IFERROR(VLOOKUP(A308,'21.鋼構工程塗裝'!C:D,1,0),"")="","","✔")</f>
        <v/>
      </c>
      <c r="W308" s="98" t="str">
        <f>IF(IFERROR(VLOOKUP(A308,'22.排水設施(一)'!C:D,1,0),"")="","","✔")</f>
        <v/>
      </c>
      <c r="X308" s="98" t="str">
        <f>IF(IFERROR(VLOOKUP(A308,'23.排水設施(二)'!C:D,1,0),"")="","","✔")</f>
        <v/>
      </c>
      <c r="Y308" s="98" t="str">
        <f>IF(IFERROR(VLOOKUP(A308,'24.木構造'!C:D,1,0),"")="","","✔")</f>
        <v/>
      </c>
      <c r="Z308" s="98" t="str">
        <f>IF(IFERROR(VLOOKUP(A308,'25.管路'!C:D,1,0),"")="","","✔")</f>
        <v/>
      </c>
      <c r="AA308" s="98" t="str">
        <f>IF(IFERROR(VLOOKUP(A308,'26.植栽(移植)'!C:D,1,0),"")="","","✔")</f>
        <v/>
      </c>
      <c r="AB308" s="98" t="str">
        <f>IF(IFERROR(VLOOKUP(A308,'27.植栽(新植)'!C:D,1,0),"")="","","✔")</f>
        <v/>
      </c>
      <c r="AC308" s="98" t="str">
        <f>IF(IFERROR(VLOOKUP(A308,'28.照明'!C:D,1,0),"")="","","✔")</f>
        <v/>
      </c>
      <c r="AD308" s="98" t="str">
        <f>IF(IFERROR(VLOOKUP(A308,'29.既有橋梁拆除'!C:D,1,0),"")="","","✔")</f>
        <v/>
      </c>
    </row>
    <row r="309" spans="1:30" ht="21.75" customHeight="1" x14ac:dyDescent="0.25">
      <c r="A309" s="99">
        <v>45499</v>
      </c>
      <c r="B309" s="98" t="str">
        <f>IF(IFERROR(VLOOKUP(A309,'1.測量放樣'!C:D,1,0),"")="","","✔")</f>
        <v/>
      </c>
      <c r="C309" s="98" t="str">
        <f>IF(IFERROR(VLOOKUP(A309,'2.土方開挖'!C:D,1,0),"")="","","✔")</f>
        <v/>
      </c>
      <c r="D309" s="98" t="str">
        <f>IF(IFERROR(VLOOKUP(A309,'3.土方回填'!C:D,1,0),"")="","","✔")</f>
        <v/>
      </c>
      <c r="E309" s="98" t="str">
        <f>IF(IFERROR(VLOOKUP(A309,'4.鋼筋'!C:D,1,0),"")="","","✔")</f>
        <v/>
      </c>
      <c r="F309" s="98" t="str">
        <f>IF(IFERROR(VLOOKUP(A309,'5.模板'!C:D,1,0),"")="","","✔")</f>
        <v/>
      </c>
      <c r="G309" s="98" t="str">
        <f>IF(IFERROR(VLOOKUP(A309,'6.混凝土'!C:D,1,0),"")="","","✔")</f>
        <v/>
      </c>
      <c r="H309" s="98" t="str">
        <f>IF(IFERROR(VLOOKUP(A309,'7.植筋'!C:D,1,0),"")="","","✔")</f>
        <v/>
      </c>
      <c r="I309" s="98" t="str">
        <f>IF(IFERROR(VLOOKUP(A309,'8.預力混凝土基樁'!C:D,1,0),"")="","","✔")</f>
        <v/>
      </c>
      <c r="J309" s="98" t="str">
        <f>IF(IFERROR(VLOOKUP(A309,'9.砌塊石護岸'!C:D,1,0),"")="","","✔")</f>
        <v/>
      </c>
      <c r="K309" s="98" t="str">
        <f>IF(IFERROR(VLOOKUP(A309,'10.低水護岸'!C:D,1,0),"")="","","✔")</f>
        <v/>
      </c>
      <c r="L309" s="98" t="str">
        <f>IF(IFERROR(VLOOKUP(A309,'11.固床工'!C:D,1,0),"")="","","✔")</f>
        <v/>
      </c>
      <c r="M309" s="98" t="str">
        <f>IF(IFERROR(VLOOKUP(A309,'12.全套管基樁'!C:D,1,0),"")="","","✔")</f>
        <v/>
      </c>
      <c r="N309" s="98" t="str">
        <f>IF(IFERROR(VLOOKUP(A309,'13.鋼筋混凝土管工程'!C:D,1,0),"")="","","✔")</f>
        <v/>
      </c>
      <c r="O309" s="98" t="str">
        <f>IF(IFERROR(VLOOKUP(A309,'14.鋼版樁'!C:D,1,0),"")="","","✔")</f>
        <v/>
      </c>
      <c r="P309" s="98" t="str">
        <f>IF(IFERROR(VLOOKUP(A309,'15.路床 路基高程'!C:D,1,0),"")="","","✔")</f>
        <v/>
      </c>
      <c r="Q309" s="98" t="str">
        <f>IF(IFERROR(VLOOKUP(A309,'16.瀝青混凝土'!C:D,1,0),"")="","","✔")</f>
        <v/>
      </c>
      <c r="R309" s="98" t="str">
        <f>IF(IFERROR(VLOOKUP(A309,'17.景觀鋪面(一)'!C:D,1,0),"")="","","✔")</f>
        <v/>
      </c>
      <c r="S309" s="98" t="str">
        <f>IF(IFERROR(VLOOKUP(A309,'18.景觀鋪面(二)'!C:D,1,0),"")="","","✔")</f>
        <v/>
      </c>
      <c r="T309" s="98" t="str">
        <f>IF(IFERROR(VLOOKUP(A309,'19.預鑄緣石'!C:D,1,0),"")="","","✔")</f>
        <v/>
      </c>
      <c r="U309" s="98" t="str">
        <f>IF(IFERROR(VLOOKUP(A309,'20.鋼構工程吊裝'!C:D,1,0),"")="","","✔")</f>
        <v/>
      </c>
      <c r="V309" s="98" t="str">
        <f>IF(IFERROR(VLOOKUP(A309,'21.鋼構工程塗裝'!C:D,1,0),"")="","","✔")</f>
        <v/>
      </c>
      <c r="W309" s="98" t="str">
        <f>IF(IFERROR(VLOOKUP(A309,'22.排水設施(一)'!C:D,1,0),"")="","","✔")</f>
        <v/>
      </c>
      <c r="X309" s="98" t="str">
        <f>IF(IFERROR(VLOOKUP(A309,'23.排水設施(二)'!C:D,1,0),"")="","","✔")</f>
        <v/>
      </c>
      <c r="Y309" s="98" t="str">
        <f>IF(IFERROR(VLOOKUP(A309,'24.木構造'!C:D,1,0),"")="","","✔")</f>
        <v/>
      </c>
      <c r="Z309" s="98" t="str">
        <f>IF(IFERROR(VLOOKUP(A309,'25.管路'!C:D,1,0),"")="","","✔")</f>
        <v/>
      </c>
      <c r="AA309" s="98" t="str">
        <f>IF(IFERROR(VLOOKUP(A309,'26.植栽(移植)'!C:D,1,0),"")="","","✔")</f>
        <v/>
      </c>
      <c r="AB309" s="98" t="str">
        <f>IF(IFERROR(VLOOKUP(A309,'27.植栽(新植)'!C:D,1,0),"")="","","✔")</f>
        <v/>
      </c>
      <c r="AC309" s="98" t="str">
        <f>IF(IFERROR(VLOOKUP(A309,'28.照明'!C:D,1,0),"")="","","✔")</f>
        <v/>
      </c>
      <c r="AD309" s="98" t="str">
        <f>IF(IFERROR(VLOOKUP(A309,'29.既有橋梁拆除'!C:D,1,0),"")="","","✔")</f>
        <v/>
      </c>
    </row>
    <row r="310" spans="1:30" ht="21.75" customHeight="1" x14ac:dyDescent="0.25">
      <c r="A310" s="99">
        <v>45500</v>
      </c>
      <c r="B310" s="98" t="str">
        <f>IF(IFERROR(VLOOKUP(A310,'1.測量放樣'!C:D,1,0),"")="","","✔")</f>
        <v/>
      </c>
      <c r="C310" s="98" t="str">
        <f>IF(IFERROR(VLOOKUP(A310,'2.土方開挖'!C:D,1,0),"")="","","✔")</f>
        <v/>
      </c>
      <c r="D310" s="98" t="str">
        <f>IF(IFERROR(VLOOKUP(A310,'3.土方回填'!C:D,1,0),"")="","","✔")</f>
        <v/>
      </c>
      <c r="E310" s="98" t="str">
        <f>IF(IFERROR(VLOOKUP(A310,'4.鋼筋'!C:D,1,0),"")="","","✔")</f>
        <v/>
      </c>
      <c r="F310" s="98" t="str">
        <f>IF(IFERROR(VLOOKUP(A310,'5.模板'!C:D,1,0),"")="","","✔")</f>
        <v/>
      </c>
      <c r="G310" s="98" t="str">
        <f>IF(IFERROR(VLOOKUP(A310,'6.混凝土'!C:D,1,0),"")="","","✔")</f>
        <v/>
      </c>
      <c r="H310" s="98" t="str">
        <f>IF(IFERROR(VLOOKUP(A310,'7.植筋'!C:D,1,0),"")="","","✔")</f>
        <v/>
      </c>
      <c r="I310" s="98" t="str">
        <f>IF(IFERROR(VLOOKUP(A310,'8.預力混凝土基樁'!C:D,1,0),"")="","","✔")</f>
        <v/>
      </c>
      <c r="J310" s="98" t="str">
        <f>IF(IFERROR(VLOOKUP(A310,'9.砌塊石護岸'!C:D,1,0),"")="","","✔")</f>
        <v/>
      </c>
      <c r="K310" s="98" t="str">
        <f>IF(IFERROR(VLOOKUP(A310,'10.低水護岸'!C:D,1,0),"")="","","✔")</f>
        <v/>
      </c>
      <c r="L310" s="98" t="str">
        <f>IF(IFERROR(VLOOKUP(A310,'11.固床工'!C:D,1,0),"")="","","✔")</f>
        <v/>
      </c>
      <c r="M310" s="98" t="str">
        <f>IF(IFERROR(VLOOKUP(A310,'12.全套管基樁'!C:D,1,0),"")="","","✔")</f>
        <v/>
      </c>
      <c r="N310" s="98" t="str">
        <f>IF(IFERROR(VLOOKUP(A310,'13.鋼筋混凝土管工程'!C:D,1,0),"")="","","✔")</f>
        <v/>
      </c>
      <c r="O310" s="98" t="str">
        <f>IF(IFERROR(VLOOKUP(A310,'14.鋼版樁'!C:D,1,0),"")="","","✔")</f>
        <v/>
      </c>
      <c r="P310" s="98" t="str">
        <f>IF(IFERROR(VLOOKUP(A310,'15.路床 路基高程'!C:D,1,0),"")="","","✔")</f>
        <v/>
      </c>
      <c r="Q310" s="98" t="str">
        <f>IF(IFERROR(VLOOKUP(A310,'16.瀝青混凝土'!C:D,1,0),"")="","","✔")</f>
        <v/>
      </c>
      <c r="R310" s="98" t="str">
        <f>IF(IFERROR(VLOOKUP(A310,'17.景觀鋪面(一)'!C:D,1,0),"")="","","✔")</f>
        <v/>
      </c>
      <c r="S310" s="98" t="str">
        <f>IF(IFERROR(VLOOKUP(A310,'18.景觀鋪面(二)'!C:D,1,0),"")="","","✔")</f>
        <v/>
      </c>
      <c r="T310" s="98" t="str">
        <f>IF(IFERROR(VLOOKUP(A310,'19.預鑄緣石'!C:D,1,0),"")="","","✔")</f>
        <v/>
      </c>
      <c r="U310" s="98" t="str">
        <f>IF(IFERROR(VLOOKUP(A310,'20.鋼構工程吊裝'!C:D,1,0),"")="","","✔")</f>
        <v/>
      </c>
      <c r="V310" s="98" t="str">
        <f>IF(IFERROR(VLOOKUP(A310,'21.鋼構工程塗裝'!C:D,1,0),"")="","","✔")</f>
        <v/>
      </c>
      <c r="W310" s="98" t="str">
        <f>IF(IFERROR(VLOOKUP(A310,'22.排水設施(一)'!C:D,1,0),"")="","","✔")</f>
        <v/>
      </c>
      <c r="X310" s="98" t="str">
        <f>IF(IFERROR(VLOOKUP(A310,'23.排水設施(二)'!C:D,1,0),"")="","","✔")</f>
        <v/>
      </c>
      <c r="Y310" s="98" t="str">
        <f>IF(IFERROR(VLOOKUP(A310,'24.木構造'!C:D,1,0),"")="","","✔")</f>
        <v/>
      </c>
      <c r="Z310" s="98" t="str">
        <f>IF(IFERROR(VLOOKUP(A310,'25.管路'!C:D,1,0),"")="","","✔")</f>
        <v/>
      </c>
      <c r="AA310" s="98" t="str">
        <f>IF(IFERROR(VLOOKUP(A310,'26.植栽(移植)'!C:D,1,0),"")="","","✔")</f>
        <v/>
      </c>
      <c r="AB310" s="98" t="str">
        <f>IF(IFERROR(VLOOKUP(A310,'27.植栽(新植)'!C:D,1,0),"")="","","✔")</f>
        <v/>
      </c>
      <c r="AC310" s="98" t="str">
        <f>IF(IFERROR(VLOOKUP(A310,'28.照明'!C:D,1,0),"")="","","✔")</f>
        <v/>
      </c>
      <c r="AD310" s="98" t="str">
        <f>IF(IFERROR(VLOOKUP(A310,'29.既有橋梁拆除'!C:D,1,0),"")="","","✔")</f>
        <v/>
      </c>
    </row>
    <row r="311" spans="1:30" ht="21.75" customHeight="1" x14ac:dyDescent="0.25">
      <c r="A311" s="99">
        <v>45501</v>
      </c>
      <c r="B311" s="98" t="str">
        <f>IF(IFERROR(VLOOKUP(A311,'1.測量放樣'!C:D,1,0),"")="","","✔")</f>
        <v/>
      </c>
      <c r="C311" s="98" t="str">
        <f>IF(IFERROR(VLOOKUP(A311,'2.土方開挖'!C:D,1,0),"")="","","✔")</f>
        <v/>
      </c>
      <c r="D311" s="98" t="str">
        <f>IF(IFERROR(VLOOKUP(A311,'3.土方回填'!C:D,1,0),"")="","","✔")</f>
        <v/>
      </c>
      <c r="E311" s="98" t="str">
        <f>IF(IFERROR(VLOOKUP(A311,'4.鋼筋'!C:D,1,0),"")="","","✔")</f>
        <v/>
      </c>
      <c r="F311" s="98" t="str">
        <f>IF(IFERROR(VLOOKUP(A311,'5.模板'!C:D,1,0),"")="","","✔")</f>
        <v/>
      </c>
      <c r="G311" s="98" t="str">
        <f>IF(IFERROR(VLOOKUP(A311,'6.混凝土'!C:D,1,0),"")="","","✔")</f>
        <v/>
      </c>
      <c r="H311" s="98" t="str">
        <f>IF(IFERROR(VLOOKUP(A311,'7.植筋'!C:D,1,0),"")="","","✔")</f>
        <v/>
      </c>
      <c r="I311" s="98" t="str">
        <f>IF(IFERROR(VLOOKUP(A311,'8.預力混凝土基樁'!C:D,1,0),"")="","","✔")</f>
        <v/>
      </c>
      <c r="J311" s="98" t="str">
        <f>IF(IFERROR(VLOOKUP(A311,'9.砌塊石護岸'!C:D,1,0),"")="","","✔")</f>
        <v/>
      </c>
      <c r="K311" s="98" t="str">
        <f>IF(IFERROR(VLOOKUP(A311,'10.低水護岸'!C:D,1,0),"")="","","✔")</f>
        <v/>
      </c>
      <c r="L311" s="98" t="str">
        <f>IF(IFERROR(VLOOKUP(A311,'11.固床工'!C:D,1,0),"")="","","✔")</f>
        <v/>
      </c>
      <c r="M311" s="98" t="str">
        <f>IF(IFERROR(VLOOKUP(A311,'12.全套管基樁'!C:D,1,0),"")="","","✔")</f>
        <v/>
      </c>
      <c r="N311" s="98" t="str">
        <f>IF(IFERROR(VLOOKUP(A311,'13.鋼筋混凝土管工程'!C:D,1,0),"")="","","✔")</f>
        <v/>
      </c>
      <c r="O311" s="98" t="str">
        <f>IF(IFERROR(VLOOKUP(A311,'14.鋼版樁'!C:D,1,0),"")="","","✔")</f>
        <v/>
      </c>
      <c r="P311" s="98" t="str">
        <f>IF(IFERROR(VLOOKUP(A311,'15.路床 路基高程'!C:D,1,0),"")="","","✔")</f>
        <v/>
      </c>
      <c r="Q311" s="98" t="str">
        <f>IF(IFERROR(VLOOKUP(A311,'16.瀝青混凝土'!C:D,1,0),"")="","","✔")</f>
        <v/>
      </c>
      <c r="R311" s="98" t="str">
        <f>IF(IFERROR(VLOOKUP(A311,'17.景觀鋪面(一)'!C:D,1,0),"")="","","✔")</f>
        <v/>
      </c>
      <c r="S311" s="98" t="str">
        <f>IF(IFERROR(VLOOKUP(A311,'18.景觀鋪面(二)'!C:D,1,0),"")="","","✔")</f>
        <v/>
      </c>
      <c r="T311" s="98" t="str">
        <f>IF(IFERROR(VLOOKUP(A311,'19.預鑄緣石'!C:D,1,0),"")="","","✔")</f>
        <v/>
      </c>
      <c r="U311" s="98" t="str">
        <f>IF(IFERROR(VLOOKUP(A311,'20.鋼構工程吊裝'!C:D,1,0),"")="","","✔")</f>
        <v/>
      </c>
      <c r="V311" s="98" t="str">
        <f>IF(IFERROR(VLOOKUP(A311,'21.鋼構工程塗裝'!C:D,1,0),"")="","","✔")</f>
        <v/>
      </c>
      <c r="W311" s="98" t="str">
        <f>IF(IFERROR(VLOOKUP(A311,'22.排水設施(一)'!C:D,1,0),"")="","","✔")</f>
        <v/>
      </c>
      <c r="X311" s="98" t="str">
        <f>IF(IFERROR(VLOOKUP(A311,'23.排水設施(二)'!C:D,1,0),"")="","","✔")</f>
        <v/>
      </c>
      <c r="Y311" s="98" t="str">
        <f>IF(IFERROR(VLOOKUP(A311,'24.木構造'!C:D,1,0),"")="","","✔")</f>
        <v/>
      </c>
      <c r="Z311" s="98" t="str">
        <f>IF(IFERROR(VLOOKUP(A311,'25.管路'!C:D,1,0),"")="","","✔")</f>
        <v/>
      </c>
      <c r="AA311" s="98" t="str">
        <f>IF(IFERROR(VLOOKUP(A311,'26.植栽(移植)'!C:D,1,0),"")="","","✔")</f>
        <v/>
      </c>
      <c r="AB311" s="98" t="str">
        <f>IF(IFERROR(VLOOKUP(A311,'27.植栽(新植)'!C:D,1,0),"")="","","✔")</f>
        <v/>
      </c>
      <c r="AC311" s="98" t="str">
        <f>IF(IFERROR(VLOOKUP(A311,'28.照明'!C:D,1,0),"")="","","✔")</f>
        <v/>
      </c>
      <c r="AD311" s="98" t="str">
        <f>IF(IFERROR(VLOOKUP(A311,'29.既有橋梁拆除'!C:D,1,0),"")="","","✔")</f>
        <v/>
      </c>
    </row>
    <row r="312" spans="1:30" ht="21.75" customHeight="1" x14ac:dyDescent="0.25">
      <c r="A312" s="99">
        <v>45502</v>
      </c>
      <c r="B312" s="98" t="str">
        <f>IF(IFERROR(VLOOKUP(A312,'1.測量放樣'!C:D,1,0),"")="","","✔")</f>
        <v/>
      </c>
      <c r="C312" s="98" t="str">
        <f>IF(IFERROR(VLOOKUP(A312,'2.土方開挖'!C:D,1,0),"")="","","✔")</f>
        <v/>
      </c>
      <c r="D312" s="98" t="str">
        <f>IF(IFERROR(VLOOKUP(A312,'3.土方回填'!C:D,1,0),"")="","","✔")</f>
        <v/>
      </c>
      <c r="E312" s="98" t="str">
        <f>IF(IFERROR(VLOOKUP(A312,'4.鋼筋'!C:D,1,0),"")="","","✔")</f>
        <v/>
      </c>
      <c r="F312" s="98" t="str">
        <f>IF(IFERROR(VLOOKUP(A312,'5.模板'!C:D,1,0),"")="","","✔")</f>
        <v/>
      </c>
      <c r="G312" s="98" t="str">
        <f>IF(IFERROR(VLOOKUP(A312,'6.混凝土'!C:D,1,0),"")="","","✔")</f>
        <v/>
      </c>
      <c r="H312" s="98" t="str">
        <f>IF(IFERROR(VLOOKUP(A312,'7.植筋'!C:D,1,0),"")="","","✔")</f>
        <v/>
      </c>
      <c r="I312" s="98" t="str">
        <f>IF(IFERROR(VLOOKUP(A312,'8.預力混凝土基樁'!C:D,1,0),"")="","","✔")</f>
        <v/>
      </c>
      <c r="J312" s="98" t="str">
        <f>IF(IFERROR(VLOOKUP(A312,'9.砌塊石護岸'!C:D,1,0),"")="","","✔")</f>
        <v/>
      </c>
      <c r="K312" s="98" t="str">
        <f>IF(IFERROR(VLOOKUP(A312,'10.低水護岸'!C:D,1,0),"")="","","✔")</f>
        <v/>
      </c>
      <c r="L312" s="98" t="str">
        <f>IF(IFERROR(VLOOKUP(A312,'11.固床工'!C:D,1,0),"")="","","✔")</f>
        <v/>
      </c>
      <c r="M312" s="98" t="str">
        <f>IF(IFERROR(VLOOKUP(A312,'12.全套管基樁'!C:D,1,0),"")="","","✔")</f>
        <v/>
      </c>
      <c r="N312" s="98" t="str">
        <f>IF(IFERROR(VLOOKUP(A312,'13.鋼筋混凝土管工程'!C:D,1,0),"")="","","✔")</f>
        <v/>
      </c>
      <c r="O312" s="98" t="str">
        <f>IF(IFERROR(VLOOKUP(A312,'14.鋼版樁'!C:D,1,0),"")="","","✔")</f>
        <v/>
      </c>
      <c r="P312" s="98" t="str">
        <f>IF(IFERROR(VLOOKUP(A312,'15.路床 路基高程'!C:D,1,0),"")="","","✔")</f>
        <v/>
      </c>
      <c r="Q312" s="98" t="str">
        <f>IF(IFERROR(VLOOKUP(A312,'16.瀝青混凝土'!C:D,1,0),"")="","","✔")</f>
        <v/>
      </c>
      <c r="R312" s="98" t="str">
        <f>IF(IFERROR(VLOOKUP(A312,'17.景觀鋪面(一)'!C:D,1,0),"")="","","✔")</f>
        <v/>
      </c>
      <c r="S312" s="98" t="str">
        <f>IF(IFERROR(VLOOKUP(A312,'18.景觀鋪面(二)'!C:D,1,0),"")="","","✔")</f>
        <v/>
      </c>
      <c r="T312" s="98" t="str">
        <f>IF(IFERROR(VLOOKUP(A312,'19.預鑄緣石'!C:D,1,0),"")="","","✔")</f>
        <v/>
      </c>
      <c r="U312" s="98" t="str">
        <f>IF(IFERROR(VLOOKUP(A312,'20.鋼構工程吊裝'!C:D,1,0),"")="","","✔")</f>
        <v/>
      </c>
      <c r="V312" s="98" t="str">
        <f>IF(IFERROR(VLOOKUP(A312,'21.鋼構工程塗裝'!C:D,1,0),"")="","","✔")</f>
        <v/>
      </c>
      <c r="W312" s="98" t="str">
        <f>IF(IFERROR(VLOOKUP(A312,'22.排水設施(一)'!C:D,1,0),"")="","","✔")</f>
        <v/>
      </c>
      <c r="X312" s="98" t="str">
        <f>IF(IFERROR(VLOOKUP(A312,'23.排水設施(二)'!C:D,1,0),"")="","","✔")</f>
        <v/>
      </c>
      <c r="Y312" s="98" t="str">
        <f>IF(IFERROR(VLOOKUP(A312,'24.木構造'!C:D,1,0),"")="","","✔")</f>
        <v/>
      </c>
      <c r="Z312" s="98" t="str">
        <f>IF(IFERROR(VLOOKUP(A312,'25.管路'!C:D,1,0),"")="","","✔")</f>
        <v/>
      </c>
      <c r="AA312" s="98" t="str">
        <f>IF(IFERROR(VLOOKUP(A312,'26.植栽(移植)'!C:D,1,0),"")="","","✔")</f>
        <v/>
      </c>
      <c r="AB312" s="98" t="str">
        <f>IF(IFERROR(VLOOKUP(A312,'27.植栽(新植)'!C:D,1,0),"")="","","✔")</f>
        <v/>
      </c>
      <c r="AC312" s="98" t="str">
        <f>IF(IFERROR(VLOOKUP(A312,'28.照明'!C:D,1,0),"")="","","✔")</f>
        <v/>
      </c>
      <c r="AD312" s="98" t="str">
        <f>IF(IFERROR(VLOOKUP(A312,'29.既有橋梁拆除'!C:D,1,0),"")="","","✔")</f>
        <v/>
      </c>
    </row>
    <row r="313" spans="1:30" ht="21.75" customHeight="1" x14ac:dyDescent="0.25">
      <c r="A313" s="99">
        <v>45503</v>
      </c>
      <c r="B313" s="98" t="str">
        <f>IF(IFERROR(VLOOKUP(A313,'1.測量放樣'!C:D,1,0),"")="","","✔")</f>
        <v/>
      </c>
      <c r="C313" s="98" t="str">
        <f>IF(IFERROR(VLOOKUP(A313,'2.土方開挖'!C:D,1,0),"")="","","✔")</f>
        <v/>
      </c>
      <c r="D313" s="98" t="str">
        <f>IF(IFERROR(VLOOKUP(A313,'3.土方回填'!C:D,1,0),"")="","","✔")</f>
        <v/>
      </c>
      <c r="E313" s="98" t="str">
        <f>IF(IFERROR(VLOOKUP(A313,'4.鋼筋'!C:D,1,0),"")="","","✔")</f>
        <v/>
      </c>
      <c r="F313" s="98" t="str">
        <f>IF(IFERROR(VLOOKUP(A313,'5.模板'!C:D,1,0),"")="","","✔")</f>
        <v/>
      </c>
      <c r="G313" s="98" t="str">
        <f>IF(IFERROR(VLOOKUP(A313,'6.混凝土'!C:D,1,0),"")="","","✔")</f>
        <v/>
      </c>
      <c r="H313" s="98" t="str">
        <f>IF(IFERROR(VLOOKUP(A313,'7.植筋'!C:D,1,0),"")="","","✔")</f>
        <v/>
      </c>
      <c r="I313" s="98" t="str">
        <f>IF(IFERROR(VLOOKUP(A313,'8.預力混凝土基樁'!C:D,1,0),"")="","","✔")</f>
        <v/>
      </c>
      <c r="J313" s="98" t="str">
        <f>IF(IFERROR(VLOOKUP(A313,'9.砌塊石護岸'!C:D,1,0),"")="","","✔")</f>
        <v/>
      </c>
      <c r="K313" s="98" t="str">
        <f>IF(IFERROR(VLOOKUP(A313,'10.低水護岸'!C:D,1,0),"")="","","✔")</f>
        <v/>
      </c>
      <c r="L313" s="98" t="str">
        <f>IF(IFERROR(VLOOKUP(A313,'11.固床工'!C:D,1,0),"")="","","✔")</f>
        <v/>
      </c>
      <c r="M313" s="98" t="str">
        <f>IF(IFERROR(VLOOKUP(A313,'12.全套管基樁'!C:D,1,0),"")="","","✔")</f>
        <v/>
      </c>
      <c r="N313" s="98" t="str">
        <f>IF(IFERROR(VLOOKUP(A313,'13.鋼筋混凝土管工程'!C:D,1,0),"")="","","✔")</f>
        <v/>
      </c>
      <c r="O313" s="98" t="str">
        <f>IF(IFERROR(VLOOKUP(A313,'14.鋼版樁'!C:D,1,0),"")="","","✔")</f>
        <v/>
      </c>
      <c r="P313" s="98" t="str">
        <f>IF(IFERROR(VLOOKUP(A313,'15.路床 路基高程'!C:D,1,0),"")="","","✔")</f>
        <v/>
      </c>
      <c r="Q313" s="98" t="str">
        <f>IF(IFERROR(VLOOKUP(A313,'16.瀝青混凝土'!C:D,1,0),"")="","","✔")</f>
        <v/>
      </c>
      <c r="R313" s="98" t="str">
        <f>IF(IFERROR(VLOOKUP(A313,'17.景觀鋪面(一)'!C:D,1,0),"")="","","✔")</f>
        <v/>
      </c>
      <c r="S313" s="98" t="str">
        <f>IF(IFERROR(VLOOKUP(A313,'18.景觀鋪面(二)'!C:D,1,0),"")="","","✔")</f>
        <v/>
      </c>
      <c r="T313" s="98" t="str">
        <f>IF(IFERROR(VLOOKUP(A313,'19.預鑄緣石'!C:D,1,0),"")="","","✔")</f>
        <v/>
      </c>
      <c r="U313" s="98" t="str">
        <f>IF(IFERROR(VLOOKUP(A313,'20.鋼構工程吊裝'!C:D,1,0),"")="","","✔")</f>
        <v/>
      </c>
      <c r="V313" s="98" t="str">
        <f>IF(IFERROR(VLOOKUP(A313,'21.鋼構工程塗裝'!C:D,1,0),"")="","","✔")</f>
        <v/>
      </c>
      <c r="W313" s="98" t="str">
        <f>IF(IFERROR(VLOOKUP(A313,'22.排水設施(一)'!C:D,1,0),"")="","","✔")</f>
        <v/>
      </c>
      <c r="X313" s="98" t="str">
        <f>IF(IFERROR(VLOOKUP(A313,'23.排水設施(二)'!C:D,1,0),"")="","","✔")</f>
        <v/>
      </c>
      <c r="Y313" s="98" t="str">
        <f>IF(IFERROR(VLOOKUP(A313,'24.木構造'!C:D,1,0),"")="","","✔")</f>
        <v/>
      </c>
      <c r="Z313" s="98" t="str">
        <f>IF(IFERROR(VLOOKUP(A313,'25.管路'!C:D,1,0),"")="","","✔")</f>
        <v/>
      </c>
      <c r="AA313" s="98" t="str">
        <f>IF(IFERROR(VLOOKUP(A313,'26.植栽(移植)'!C:D,1,0),"")="","","✔")</f>
        <v/>
      </c>
      <c r="AB313" s="98" t="str">
        <f>IF(IFERROR(VLOOKUP(A313,'27.植栽(新植)'!C:D,1,0),"")="","","✔")</f>
        <v/>
      </c>
      <c r="AC313" s="98" t="str">
        <f>IF(IFERROR(VLOOKUP(A313,'28.照明'!C:D,1,0),"")="","","✔")</f>
        <v/>
      </c>
      <c r="AD313" s="98" t="str">
        <f>IF(IFERROR(VLOOKUP(A313,'29.既有橋梁拆除'!C:D,1,0),"")="","","✔")</f>
        <v/>
      </c>
    </row>
    <row r="314" spans="1:30" ht="21.75" customHeight="1" x14ac:dyDescent="0.25">
      <c r="A314" s="99">
        <v>45504</v>
      </c>
      <c r="B314" s="98" t="str">
        <f>IF(IFERROR(VLOOKUP(A314,'1.測量放樣'!C:D,1,0),"")="","","✔")</f>
        <v/>
      </c>
      <c r="C314" s="98" t="str">
        <f>IF(IFERROR(VLOOKUP(A314,'2.土方開挖'!C:D,1,0),"")="","","✔")</f>
        <v/>
      </c>
      <c r="D314" s="98" t="str">
        <f>IF(IFERROR(VLOOKUP(A314,'3.土方回填'!C:D,1,0),"")="","","✔")</f>
        <v/>
      </c>
      <c r="E314" s="98" t="str">
        <f>IF(IFERROR(VLOOKUP(A314,'4.鋼筋'!C:D,1,0),"")="","","✔")</f>
        <v/>
      </c>
      <c r="F314" s="98" t="str">
        <f>IF(IFERROR(VLOOKUP(A314,'5.模板'!C:D,1,0),"")="","","✔")</f>
        <v/>
      </c>
      <c r="G314" s="98" t="str">
        <f>IF(IFERROR(VLOOKUP(A314,'6.混凝土'!C:D,1,0),"")="","","✔")</f>
        <v/>
      </c>
      <c r="H314" s="98" t="str">
        <f>IF(IFERROR(VLOOKUP(A314,'7.植筋'!C:D,1,0),"")="","","✔")</f>
        <v/>
      </c>
      <c r="I314" s="98" t="str">
        <f>IF(IFERROR(VLOOKUP(A314,'8.預力混凝土基樁'!C:D,1,0),"")="","","✔")</f>
        <v/>
      </c>
      <c r="J314" s="98" t="str">
        <f>IF(IFERROR(VLOOKUP(A314,'9.砌塊石護岸'!C:D,1,0),"")="","","✔")</f>
        <v/>
      </c>
      <c r="K314" s="98" t="str">
        <f>IF(IFERROR(VLOOKUP(A314,'10.低水護岸'!C:D,1,0),"")="","","✔")</f>
        <v/>
      </c>
      <c r="L314" s="98" t="str">
        <f>IF(IFERROR(VLOOKUP(A314,'11.固床工'!C:D,1,0),"")="","","✔")</f>
        <v/>
      </c>
      <c r="M314" s="98" t="str">
        <f>IF(IFERROR(VLOOKUP(A314,'12.全套管基樁'!C:D,1,0),"")="","","✔")</f>
        <v/>
      </c>
      <c r="N314" s="98" t="str">
        <f>IF(IFERROR(VLOOKUP(A314,'13.鋼筋混凝土管工程'!C:D,1,0),"")="","","✔")</f>
        <v/>
      </c>
      <c r="O314" s="98" t="str">
        <f>IF(IFERROR(VLOOKUP(A314,'14.鋼版樁'!C:D,1,0),"")="","","✔")</f>
        <v/>
      </c>
      <c r="P314" s="98" t="str">
        <f>IF(IFERROR(VLOOKUP(A314,'15.路床 路基高程'!C:D,1,0),"")="","","✔")</f>
        <v/>
      </c>
      <c r="Q314" s="98" t="str">
        <f>IF(IFERROR(VLOOKUP(A314,'16.瀝青混凝土'!C:D,1,0),"")="","","✔")</f>
        <v/>
      </c>
      <c r="R314" s="98" t="str">
        <f>IF(IFERROR(VLOOKUP(A314,'17.景觀鋪面(一)'!C:D,1,0),"")="","","✔")</f>
        <v/>
      </c>
      <c r="S314" s="98" t="str">
        <f>IF(IFERROR(VLOOKUP(A314,'18.景觀鋪面(二)'!C:D,1,0),"")="","","✔")</f>
        <v/>
      </c>
      <c r="T314" s="98" t="str">
        <f>IF(IFERROR(VLOOKUP(A314,'19.預鑄緣石'!C:D,1,0),"")="","","✔")</f>
        <v/>
      </c>
      <c r="U314" s="98" t="str">
        <f>IF(IFERROR(VLOOKUP(A314,'20.鋼構工程吊裝'!C:D,1,0),"")="","","✔")</f>
        <v/>
      </c>
      <c r="V314" s="98" t="str">
        <f>IF(IFERROR(VLOOKUP(A314,'21.鋼構工程塗裝'!C:D,1,0),"")="","","✔")</f>
        <v/>
      </c>
      <c r="W314" s="98" t="str">
        <f>IF(IFERROR(VLOOKUP(A314,'22.排水設施(一)'!C:D,1,0),"")="","","✔")</f>
        <v/>
      </c>
      <c r="X314" s="98" t="str">
        <f>IF(IFERROR(VLOOKUP(A314,'23.排水設施(二)'!C:D,1,0),"")="","","✔")</f>
        <v/>
      </c>
      <c r="Y314" s="98" t="str">
        <f>IF(IFERROR(VLOOKUP(A314,'24.木構造'!C:D,1,0),"")="","","✔")</f>
        <v/>
      </c>
      <c r="Z314" s="98" t="str">
        <f>IF(IFERROR(VLOOKUP(A314,'25.管路'!C:D,1,0),"")="","","✔")</f>
        <v/>
      </c>
      <c r="AA314" s="98" t="str">
        <f>IF(IFERROR(VLOOKUP(A314,'26.植栽(移植)'!C:D,1,0),"")="","","✔")</f>
        <v/>
      </c>
      <c r="AB314" s="98" t="str">
        <f>IF(IFERROR(VLOOKUP(A314,'27.植栽(新植)'!C:D,1,0),"")="","","✔")</f>
        <v/>
      </c>
      <c r="AC314" s="98" t="str">
        <f>IF(IFERROR(VLOOKUP(A314,'28.照明'!C:D,1,0),"")="","","✔")</f>
        <v/>
      </c>
      <c r="AD314" s="98" t="str">
        <f>IF(IFERROR(VLOOKUP(A314,'29.既有橋梁拆除'!C:D,1,0),"")="","","✔")</f>
        <v/>
      </c>
    </row>
    <row r="315" spans="1:30" ht="21.75" customHeight="1" x14ac:dyDescent="0.25">
      <c r="A315" s="99">
        <v>45505</v>
      </c>
      <c r="B315" s="98" t="str">
        <f>IF(IFERROR(VLOOKUP(A315,'1.測量放樣'!C:D,1,0),"")="","","✔")</f>
        <v/>
      </c>
      <c r="C315" s="98" t="str">
        <f>IF(IFERROR(VLOOKUP(A315,'2.土方開挖'!C:D,1,0),"")="","","✔")</f>
        <v/>
      </c>
      <c r="D315" s="98" t="str">
        <f>IF(IFERROR(VLOOKUP(A315,'3.土方回填'!C:D,1,0),"")="","","✔")</f>
        <v/>
      </c>
      <c r="E315" s="98" t="str">
        <f>IF(IFERROR(VLOOKUP(A315,'4.鋼筋'!C:D,1,0),"")="","","✔")</f>
        <v/>
      </c>
      <c r="F315" s="98" t="str">
        <f>IF(IFERROR(VLOOKUP(A315,'5.模板'!C:D,1,0),"")="","","✔")</f>
        <v/>
      </c>
      <c r="G315" s="98" t="str">
        <f>IF(IFERROR(VLOOKUP(A315,'6.混凝土'!C:D,1,0),"")="","","✔")</f>
        <v/>
      </c>
      <c r="H315" s="98" t="str">
        <f>IF(IFERROR(VLOOKUP(A315,'7.植筋'!C:D,1,0),"")="","","✔")</f>
        <v/>
      </c>
      <c r="I315" s="98" t="str">
        <f>IF(IFERROR(VLOOKUP(A315,'8.預力混凝土基樁'!C:D,1,0),"")="","","✔")</f>
        <v/>
      </c>
      <c r="J315" s="98" t="str">
        <f>IF(IFERROR(VLOOKUP(A315,'9.砌塊石護岸'!C:D,1,0),"")="","","✔")</f>
        <v/>
      </c>
      <c r="K315" s="98" t="str">
        <f>IF(IFERROR(VLOOKUP(A315,'10.低水護岸'!C:D,1,0),"")="","","✔")</f>
        <v/>
      </c>
      <c r="L315" s="98" t="str">
        <f>IF(IFERROR(VLOOKUP(A315,'11.固床工'!C:D,1,0),"")="","","✔")</f>
        <v/>
      </c>
      <c r="M315" s="98" t="str">
        <f>IF(IFERROR(VLOOKUP(A315,'12.全套管基樁'!C:D,1,0),"")="","","✔")</f>
        <v/>
      </c>
      <c r="N315" s="98" t="str">
        <f>IF(IFERROR(VLOOKUP(A315,'13.鋼筋混凝土管工程'!C:D,1,0),"")="","","✔")</f>
        <v/>
      </c>
      <c r="O315" s="98" t="str">
        <f>IF(IFERROR(VLOOKUP(A315,'14.鋼版樁'!C:D,1,0),"")="","","✔")</f>
        <v/>
      </c>
      <c r="P315" s="98" t="str">
        <f>IF(IFERROR(VLOOKUP(A315,'15.路床 路基高程'!C:D,1,0),"")="","","✔")</f>
        <v/>
      </c>
      <c r="Q315" s="98" t="str">
        <f>IF(IFERROR(VLOOKUP(A315,'16.瀝青混凝土'!C:D,1,0),"")="","","✔")</f>
        <v/>
      </c>
      <c r="R315" s="98" t="str">
        <f>IF(IFERROR(VLOOKUP(A315,'17.景觀鋪面(一)'!C:D,1,0),"")="","","✔")</f>
        <v/>
      </c>
      <c r="S315" s="98" t="str">
        <f>IF(IFERROR(VLOOKUP(A315,'18.景觀鋪面(二)'!C:D,1,0),"")="","","✔")</f>
        <v/>
      </c>
      <c r="T315" s="98" t="str">
        <f>IF(IFERROR(VLOOKUP(A315,'19.預鑄緣石'!C:D,1,0),"")="","","✔")</f>
        <v/>
      </c>
      <c r="U315" s="98" t="str">
        <f>IF(IFERROR(VLOOKUP(A315,'20.鋼構工程吊裝'!C:D,1,0),"")="","","✔")</f>
        <v/>
      </c>
      <c r="V315" s="98" t="str">
        <f>IF(IFERROR(VLOOKUP(A315,'21.鋼構工程塗裝'!C:D,1,0),"")="","","✔")</f>
        <v/>
      </c>
      <c r="W315" s="98" t="str">
        <f>IF(IFERROR(VLOOKUP(A315,'22.排水設施(一)'!C:D,1,0),"")="","","✔")</f>
        <v/>
      </c>
      <c r="X315" s="98" t="str">
        <f>IF(IFERROR(VLOOKUP(A315,'23.排水設施(二)'!C:D,1,0),"")="","","✔")</f>
        <v/>
      </c>
      <c r="Y315" s="98" t="str">
        <f>IF(IFERROR(VLOOKUP(A315,'24.木構造'!C:D,1,0),"")="","","✔")</f>
        <v/>
      </c>
      <c r="Z315" s="98" t="str">
        <f>IF(IFERROR(VLOOKUP(A315,'25.管路'!C:D,1,0),"")="","","✔")</f>
        <v/>
      </c>
      <c r="AA315" s="98" t="str">
        <f>IF(IFERROR(VLOOKUP(A315,'26.植栽(移植)'!C:D,1,0),"")="","","✔")</f>
        <v/>
      </c>
      <c r="AB315" s="98" t="str">
        <f>IF(IFERROR(VLOOKUP(A315,'27.植栽(新植)'!C:D,1,0),"")="","","✔")</f>
        <v/>
      </c>
      <c r="AC315" s="98" t="str">
        <f>IF(IFERROR(VLOOKUP(A315,'28.照明'!C:D,1,0),"")="","","✔")</f>
        <v/>
      </c>
      <c r="AD315" s="98" t="str">
        <f>IF(IFERROR(VLOOKUP(A315,'29.既有橋梁拆除'!C:D,1,0),"")="","","✔")</f>
        <v/>
      </c>
    </row>
    <row r="316" spans="1:30" ht="21.75" customHeight="1" x14ac:dyDescent="0.25">
      <c r="A316" s="99">
        <v>45506</v>
      </c>
      <c r="B316" s="98" t="str">
        <f>IF(IFERROR(VLOOKUP(A316,'1.測量放樣'!C:D,1,0),"")="","","✔")</f>
        <v/>
      </c>
      <c r="C316" s="98" t="str">
        <f>IF(IFERROR(VLOOKUP(A316,'2.土方開挖'!C:D,1,0),"")="","","✔")</f>
        <v/>
      </c>
      <c r="D316" s="98" t="str">
        <f>IF(IFERROR(VLOOKUP(A316,'3.土方回填'!C:D,1,0),"")="","","✔")</f>
        <v/>
      </c>
      <c r="E316" s="98" t="str">
        <f>IF(IFERROR(VLOOKUP(A316,'4.鋼筋'!C:D,1,0),"")="","","✔")</f>
        <v/>
      </c>
      <c r="F316" s="98" t="str">
        <f>IF(IFERROR(VLOOKUP(A316,'5.模板'!C:D,1,0),"")="","","✔")</f>
        <v/>
      </c>
      <c r="G316" s="98" t="str">
        <f>IF(IFERROR(VLOOKUP(A316,'6.混凝土'!C:D,1,0),"")="","","✔")</f>
        <v/>
      </c>
      <c r="H316" s="98" t="str">
        <f>IF(IFERROR(VLOOKUP(A316,'7.植筋'!C:D,1,0),"")="","","✔")</f>
        <v/>
      </c>
      <c r="I316" s="98" t="str">
        <f>IF(IFERROR(VLOOKUP(A316,'8.預力混凝土基樁'!C:D,1,0),"")="","","✔")</f>
        <v/>
      </c>
      <c r="J316" s="98" t="str">
        <f>IF(IFERROR(VLOOKUP(A316,'9.砌塊石護岸'!C:D,1,0),"")="","","✔")</f>
        <v/>
      </c>
      <c r="K316" s="98" t="str">
        <f>IF(IFERROR(VLOOKUP(A316,'10.低水護岸'!C:D,1,0),"")="","","✔")</f>
        <v/>
      </c>
      <c r="L316" s="98" t="str">
        <f>IF(IFERROR(VLOOKUP(A316,'11.固床工'!C:D,1,0),"")="","","✔")</f>
        <v/>
      </c>
      <c r="M316" s="98" t="str">
        <f>IF(IFERROR(VLOOKUP(A316,'12.全套管基樁'!C:D,1,0),"")="","","✔")</f>
        <v/>
      </c>
      <c r="N316" s="98" t="str">
        <f>IF(IFERROR(VLOOKUP(A316,'13.鋼筋混凝土管工程'!C:D,1,0),"")="","","✔")</f>
        <v/>
      </c>
      <c r="O316" s="98" t="str">
        <f>IF(IFERROR(VLOOKUP(A316,'14.鋼版樁'!C:D,1,0),"")="","","✔")</f>
        <v/>
      </c>
      <c r="P316" s="98" t="str">
        <f>IF(IFERROR(VLOOKUP(A316,'15.路床 路基高程'!C:D,1,0),"")="","","✔")</f>
        <v/>
      </c>
      <c r="Q316" s="98" t="str">
        <f>IF(IFERROR(VLOOKUP(A316,'16.瀝青混凝土'!C:D,1,0),"")="","","✔")</f>
        <v/>
      </c>
      <c r="R316" s="98" t="str">
        <f>IF(IFERROR(VLOOKUP(A316,'17.景觀鋪面(一)'!C:D,1,0),"")="","","✔")</f>
        <v/>
      </c>
      <c r="S316" s="98" t="str">
        <f>IF(IFERROR(VLOOKUP(A316,'18.景觀鋪面(二)'!C:D,1,0),"")="","","✔")</f>
        <v/>
      </c>
      <c r="T316" s="98" t="str">
        <f>IF(IFERROR(VLOOKUP(A316,'19.預鑄緣石'!C:D,1,0),"")="","","✔")</f>
        <v/>
      </c>
      <c r="U316" s="98" t="str">
        <f>IF(IFERROR(VLOOKUP(A316,'20.鋼構工程吊裝'!C:D,1,0),"")="","","✔")</f>
        <v/>
      </c>
      <c r="V316" s="98" t="str">
        <f>IF(IFERROR(VLOOKUP(A316,'21.鋼構工程塗裝'!C:D,1,0),"")="","","✔")</f>
        <v/>
      </c>
      <c r="W316" s="98" t="str">
        <f>IF(IFERROR(VLOOKUP(A316,'22.排水設施(一)'!C:D,1,0),"")="","","✔")</f>
        <v/>
      </c>
      <c r="X316" s="98" t="str">
        <f>IF(IFERROR(VLOOKUP(A316,'23.排水設施(二)'!C:D,1,0),"")="","","✔")</f>
        <v/>
      </c>
      <c r="Y316" s="98" t="str">
        <f>IF(IFERROR(VLOOKUP(A316,'24.木構造'!C:D,1,0),"")="","","✔")</f>
        <v/>
      </c>
      <c r="Z316" s="98" t="str">
        <f>IF(IFERROR(VLOOKUP(A316,'25.管路'!C:D,1,0),"")="","","✔")</f>
        <v/>
      </c>
      <c r="AA316" s="98" t="str">
        <f>IF(IFERROR(VLOOKUP(A316,'26.植栽(移植)'!C:D,1,0),"")="","","✔")</f>
        <v/>
      </c>
      <c r="AB316" s="98" t="str">
        <f>IF(IFERROR(VLOOKUP(A316,'27.植栽(新植)'!C:D,1,0),"")="","","✔")</f>
        <v/>
      </c>
      <c r="AC316" s="98" t="str">
        <f>IF(IFERROR(VLOOKUP(A316,'28.照明'!C:D,1,0),"")="","","✔")</f>
        <v/>
      </c>
      <c r="AD316" s="98" t="str">
        <f>IF(IFERROR(VLOOKUP(A316,'29.既有橋梁拆除'!C:D,1,0),"")="","","✔")</f>
        <v/>
      </c>
    </row>
    <row r="317" spans="1:30" ht="21.75" customHeight="1" x14ac:dyDescent="0.25">
      <c r="A317" s="99">
        <v>45507</v>
      </c>
      <c r="B317" s="98" t="str">
        <f>IF(IFERROR(VLOOKUP(A317,'1.測量放樣'!C:D,1,0),"")="","","✔")</f>
        <v/>
      </c>
      <c r="C317" s="98" t="str">
        <f>IF(IFERROR(VLOOKUP(A317,'2.土方開挖'!C:D,1,0),"")="","","✔")</f>
        <v/>
      </c>
      <c r="D317" s="98" t="str">
        <f>IF(IFERROR(VLOOKUP(A317,'3.土方回填'!C:D,1,0),"")="","","✔")</f>
        <v/>
      </c>
      <c r="E317" s="98" t="str">
        <f>IF(IFERROR(VLOOKUP(A317,'4.鋼筋'!C:D,1,0),"")="","","✔")</f>
        <v/>
      </c>
      <c r="F317" s="98" t="str">
        <f>IF(IFERROR(VLOOKUP(A317,'5.模板'!C:D,1,0),"")="","","✔")</f>
        <v/>
      </c>
      <c r="G317" s="98" t="str">
        <f>IF(IFERROR(VLOOKUP(A317,'6.混凝土'!C:D,1,0),"")="","","✔")</f>
        <v/>
      </c>
      <c r="H317" s="98" t="str">
        <f>IF(IFERROR(VLOOKUP(A317,'7.植筋'!C:D,1,0),"")="","","✔")</f>
        <v/>
      </c>
      <c r="I317" s="98" t="str">
        <f>IF(IFERROR(VLOOKUP(A317,'8.預力混凝土基樁'!C:D,1,0),"")="","","✔")</f>
        <v/>
      </c>
      <c r="J317" s="98" t="str">
        <f>IF(IFERROR(VLOOKUP(A317,'9.砌塊石護岸'!C:D,1,0),"")="","","✔")</f>
        <v/>
      </c>
      <c r="K317" s="98" t="str">
        <f>IF(IFERROR(VLOOKUP(A317,'10.低水護岸'!C:D,1,0),"")="","","✔")</f>
        <v/>
      </c>
      <c r="L317" s="98" t="str">
        <f>IF(IFERROR(VLOOKUP(A317,'11.固床工'!C:D,1,0),"")="","","✔")</f>
        <v/>
      </c>
      <c r="M317" s="98" t="str">
        <f>IF(IFERROR(VLOOKUP(A317,'12.全套管基樁'!C:D,1,0),"")="","","✔")</f>
        <v/>
      </c>
      <c r="N317" s="98" t="str">
        <f>IF(IFERROR(VLOOKUP(A317,'13.鋼筋混凝土管工程'!C:D,1,0),"")="","","✔")</f>
        <v/>
      </c>
      <c r="O317" s="98" t="str">
        <f>IF(IFERROR(VLOOKUP(A317,'14.鋼版樁'!C:D,1,0),"")="","","✔")</f>
        <v/>
      </c>
      <c r="P317" s="98" t="str">
        <f>IF(IFERROR(VLOOKUP(A317,'15.路床 路基高程'!C:D,1,0),"")="","","✔")</f>
        <v/>
      </c>
      <c r="Q317" s="98" t="str">
        <f>IF(IFERROR(VLOOKUP(A317,'16.瀝青混凝土'!C:D,1,0),"")="","","✔")</f>
        <v/>
      </c>
      <c r="R317" s="98" t="str">
        <f>IF(IFERROR(VLOOKUP(A317,'17.景觀鋪面(一)'!C:D,1,0),"")="","","✔")</f>
        <v/>
      </c>
      <c r="S317" s="98" t="str">
        <f>IF(IFERROR(VLOOKUP(A317,'18.景觀鋪面(二)'!C:D,1,0),"")="","","✔")</f>
        <v/>
      </c>
      <c r="T317" s="98" t="str">
        <f>IF(IFERROR(VLOOKUP(A317,'19.預鑄緣石'!C:D,1,0),"")="","","✔")</f>
        <v/>
      </c>
      <c r="U317" s="98" t="str">
        <f>IF(IFERROR(VLOOKUP(A317,'20.鋼構工程吊裝'!C:D,1,0),"")="","","✔")</f>
        <v/>
      </c>
      <c r="V317" s="98" t="str">
        <f>IF(IFERROR(VLOOKUP(A317,'21.鋼構工程塗裝'!C:D,1,0),"")="","","✔")</f>
        <v/>
      </c>
      <c r="W317" s="98" t="str">
        <f>IF(IFERROR(VLOOKUP(A317,'22.排水設施(一)'!C:D,1,0),"")="","","✔")</f>
        <v/>
      </c>
      <c r="X317" s="98" t="str">
        <f>IF(IFERROR(VLOOKUP(A317,'23.排水設施(二)'!C:D,1,0),"")="","","✔")</f>
        <v/>
      </c>
      <c r="Y317" s="98" t="str">
        <f>IF(IFERROR(VLOOKUP(A317,'24.木構造'!C:D,1,0),"")="","","✔")</f>
        <v/>
      </c>
      <c r="Z317" s="98" t="str">
        <f>IF(IFERROR(VLOOKUP(A317,'25.管路'!C:D,1,0),"")="","","✔")</f>
        <v/>
      </c>
      <c r="AA317" s="98" t="str">
        <f>IF(IFERROR(VLOOKUP(A317,'26.植栽(移植)'!C:D,1,0),"")="","","✔")</f>
        <v/>
      </c>
      <c r="AB317" s="98" t="str">
        <f>IF(IFERROR(VLOOKUP(A317,'27.植栽(新植)'!C:D,1,0),"")="","","✔")</f>
        <v/>
      </c>
      <c r="AC317" s="98" t="str">
        <f>IF(IFERROR(VLOOKUP(A317,'28.照明'!C:D,1,0),"")="","","✔")</f>
        <v/>
      </c>
      <c r="AD317" s="98" t="str">
        <f>IF(IFERROR(VLOOKUP(A317,'29.既有橋梁拆除'!C:D,1,0),"")="","","✔")</f>
        <v/>
      </c>
    </row>
    <row r="318" spans="1:30" ht="21.75" customHeight="1" x14ac:dyDescent="0.25">
      <c r="A318" s="99">
        <v>45508</v>
      </c>
      <c r="B318" s="98" t="str">
        <f>IF(IFERROR(VLOOKUP(A318,'1.測量放樣'!C:D,1,0),"")="","","✔")</f>
        <v/>
      </c>
      <c r="C318" s="98" t="str">
        <f>IF(IFERROR(VLOOKUP(A318,'2.土方開挖'!C:D,1,0),"")="","","✔")</f>
        <v/>
      </c>
      <c r="D318" s="98" t="str">
        <f>IF(IFERROR(VLOOKUP(A318,'3.土方回填'!C:D,1,0),"")="","","✔")</f>
        <v/>
      </c>
      <c r="E318" s="98" t="str">
        <f>IF(IFERROR(VLOOKUP(A318,'4.鋼筋'!C:D,1,0),"")="","","✔")</f>
        <v/>
      </c>
      <c r="F318" s="98" t="str">
        <f>IF(IFERROR(VLOOKUP(A318,'5.模板'!C:D,1,0),"")="","","✔")</f>
        <v/>
      </c>
      <c r="G318" s="98" t="str">
        <f>IF(IFERROR(VLOOKUP(A318,'6.混凝土'!C:D,1,0),"")="","","✔")</f>
        <v/>
      </c>
      <c r="H318" s="98" t="str">
        <f>IF(IFERROR(VLOOKUP(A318,'7.植筋'!C:D,1,0),"")="","","✔")</f>
        <v/>
      </c>
      <c r="I318" s="98" t="str">
        <f>IF(IFERROR(VLOOKUP(A318,'8.預力混凝土基樁'!C:D,1,0),"")="","","✔")</f>
        <v/>
      </c>
      <c r="J318" s="98" t="str">
        <f>IF(IFERROR(VLOOKUP(A318,'9.砌塊石護岸'!C:D,1,0),"")="","","✔")</f>
        <v/>
      </c>
      <c r="K318" s="98" t="str">
        <f>IF(IFERROR(VLOOKUP(A318,'10.低水護岸'!C:D,1,0),"")="","","✔")</f>
        <v/>
      </c>
      <c r="L318" s="98" t="str">
        <f>IF(IFERROR(VLOOKUP(A318,'11.固床工'!C:D,1,0),"")="","","✔")</f>
        <v/>
      </c>
      <c r="M318" s="98" t="str">
        <f>IF(IFERROR(VLOOKUP(A318,'12.全套管基樁'!C:D,1,0),"")="","","✔")</f>
        <v/>
      </c>
      <c r="N318" s="98" t="str">
        <f>IF(IFERROR(VLOOKUP(A318,'13.鋼筋混凝土管工程'!C:D,1,0),"")="","","✔")</f>
        <v/>
      </c>
      <c r="O318" s="98" t="str">
        <f>IF(IFERROR(VLOOKUP(A318,'14.鋼版樁'!C:D,1,0),"")="","","✔")</f>
        <v/>
      </c>
      <c r="P318" s="98" t="str">
        <f>IF(IFERROR(VLOOKUP(A318,'15.路床 路基高程'!C:D,1,0),"")="","","✔")</f>
        <v/>
      </c>
      <c r="Q318" s="98" t="str">
        <f>IF(IFERROR(VLOOKUP(A318,'16.瀝青混凝土'!C:D,1,0),"")="","","✔")</f>
        <v/>
      </c>
      <c r="R318" s="98" t="str">
        <f>IF(IFERROR(VLOOKUP(A318,'17.景觀鋪面(一)'!C:D,1,0),"")="","","✔")</f>
        <v/>
      </c>
      <c r="S318" s="98" t="str">
        <f>IF(IFERROR(VLOOKUP(A318,'18.景觀鋪面(二)'!C:D,1,0),"")="","","✔")</f>
        <v/>
      </c>
      <c r="T318" s="98" t="str">
        <f>IF(IFERROR(VLOOKUP(A318,'19.預鑄緣石'!C:D,1,0),"")="","","✔")</f>
        <v/>
      </c>
      <c r="U318" s="98" t="str">
        <f>IF(IFERROR(VLOOKUP(A318,'20.鋼構工程吊裝'!C:D,1,0),"")="","","✔")</f>
        <v/>
      </c>
      <c r="V318" s="98" t="str">
        <f>IF(IFERROR(VLOOKUP(A318,'21.鋼構工程塗裝'!C:D,1,0),"")="","","✔")</f>
        <v/>
      </c>
      <c r="W318" s="98" t="str">
        <f>IF(IFERROR(VLOOKUP(A318,'22.排水設施(一)'!C:D,1,0),"")="","","✔")</f>
        <v/>
      </c>
      <c r="X318" s="98" t="str">
        <f>IF(IFERROR(VLOOKUP(A318,'23.排水設施(二)'!C:D,1,0),"")="","","✔")</f>
        <v/>
      </c>
      <c r="Y318" s="98" t="str">
        <f>IF(IFERROR(VLOOKUP(A318,'24.木構造'!C:D,1,0),"")="","","✔")</f>
        <v/>
      </c>
      <c r="Z318" s="98" t="str">
        <f>IF(IFERROR(VLOOKUP(A318,'25.管路'!C:D,1,0),"")="","","✔")</f>
        <v/>
      </c>
      <c r="AA318" s="98" t="str">
        <f>IF(IFERROR(VLOOKUP(A318,'26.植栽(移植)'!C:D,1,0),"")="","","✔")</f>
        <v/>
      </c>
      <c r="AB318" s="98" t="str">
        <f>IF(IFERROR(VLOOKUP(A318,'27.植栽(新植)'!C:D,1,0),"")="","","✔")</f>
        <v/>
      </c>
      <c r="AC318" s="98" t="str">
        <f>IF(IFERROR(VLOOKUP(A318,'28.照明'!C:D,1,0),"")="","","✔")</f>
        <v/>
      </c>
      <c r="AD318" s="98" t="str">
        <f>IF(IFERROR(VLOOKUP(A318,'29.既有橋梁拆除'!C:D,1,0),"")="","","✔")</f>
        <v/>
      </c>
    </row>
    <row r="319" spans="1:30" ht="21.75" customHeight="1" x14ac:dyDescent="0.25">
      <c r="A319" s="99">
        <v>45509</v>
      </c>
      <c r="B319" s="98" t="str">
        <f>IF(IFERROR(VLOOKUP(A319,'1.測量放樣'!C:D,1,0),"")="","","✔")</f>
        <v/>
      </c>
      <c r="C319" s="98" t="str">
        <f>IF(IFERROR(VLOOKUP(A319,'2.土方開挖'!C:D,1,0),"")="","","✔")</f>
        <v/>
      </c>
      <c r="D319" s="98" t="str">
        <f>IF(IFERROR(VLOOKUP(A319,'3.土方回填'!C:D,1,0),"")="","","✔")</f>
        <v/>
      </c>
      <c r="E319" s="98" t="str">
        <f>IF(IFERROR(VLOOKUP(A319,'4.鋼筋'!C:D,1,0),"")="","","✔")</f>
        <v/>
      </c>
      <c r="F319" s="98" t="str">
        <f>IF(IFERROR(VLOOKUP(A319,'5.模板'!C:D,1,0),"")="","","✔")</f>
        <v/>
      </c>
      <c r="G319" s="98" t="str">
        <f>IF(IFERROR(VLOOKUP(A319,'6.混凝土'!C:D,1,0),"")="","","✔")</f>
        <v/>
      </c>
      <c r="H319" s="98" t="str">
        <f>IF(IFERROR(VLOOKUP(A319,'7.植筋'!C:D,1,0),"")="","","✔")</f>
        <v/>
      </c>
      <c r="I319" s="98" t="str">
        <f>IF(IFERROR(VLOOKUP(A319,'8.預力混凝土基樁'!C:D,1,0),"")="","","✔")</f>
        <v/>
      </c>
      <c r="J319" s="98" t="str">
        <f>IF(IFERROR(VLOOKUP(A319,'9.砌塊石護岸'!C:D,1,0),"")="","","✔")</f>
        <v/>
      </c>
      <c r="K319" s="98" t="str">
        <f>IF(IFERROR(VLOOKUP(A319,'10.低水護岸'!C:D,1,0),"")="","","✔")</f>
        <v/>
      </c>
      <c r="L319" s="98" t="str">
        <f>IF(IFERROR(VLOOKUP(A319,'11.固床工'!C:D,1,0),"")="","","✔")</f>
        <v/>
      </c>
      <c r="M319" s="98" t="str">
        <f>IF(IFERROR(VLOOKUP(A319,'12.全套管基樁'!C:D,1,0),"")="","","✔")</f>
        <v/>
      </c>
      <c r="N319" s="98" t="str">
        <f>IF(IFERROR(VLOOKUP(A319,'13.鋼筋混凝土管工程'!C:D,1,0),"")="","","✔")</f>
        <v/>
      </c>
      <c r="O319" s="98" t="str">
        <f>IF(IFERROR(VLOOKUP(A319,'14.鋼版樁'!C:D,1,0),"")="","","✔")</f>
        <v/>
      </c>
      <c r="P319" s="98" t="str">
        <f>IF(IFERROR(VLOOKUP(A319,'15.路床 路基高程'!C:D,1,0),"")="","","✔")</f>
        <v/>
      </c>
      <c r="Q319" s="98" t="str">
        <f>IF(IFERROR(VLOOKUP(A319,'16.瀝青混凝土'!C:D,1,0),"")="","","✔")</f>
        <v/>
      </c>
      <c r="R319" s="98" t="str">
        <f>IF(IFERROR(VLOOKUP(A319,'17.景觀鋪面(一)'!C:D,1,0),"")="","","✔")</f>
        <v/>
      </c>
      <c r="S319" s="98" t="str">
        <f>IF(IFERROR(VLOOKUP(A319,'18.景觀鋪面(二)'!C:D,1,0),"")="","","✔")</f>
        <v/>
      </c>
      <c r="T319" s="98" t="str">
        <f>IF(IFERROR(VLOOKUP(A319,'19.預鑄緣石'!C:D,1,0),"")="","","✔")</f>
        <v/>
      </c>
      <c r="U319" s="98" t="str">
        <f>IF(IFERROR(VLOOKUP(A319,'20.鋼構工程吊裝'!C:D,1,0),"")="","","✔")</f>
        <v/>
      </c>
      <c r="V319" s="98" t="str">
        <f>IF(IFERROR(VLOOKUP(A319,'21.鋼構工程塗裝'!C:D,1,0),"")="","","✔")</f>
        <v/>
      </c>
      <c r="W319" s="98" t="str">
        <f>IF(IFERROR(VLOOKUP(A319,'22.排水設施(一)'!C:D,1,0),"")="","","✔")</f>
        <v/>
      </c>
      <c r="X319" s="98" t="str">
        <f>IF(IFERROR(VLOOKUP(A319,'23.排水設施(二)'!C:D,1,0),"")="","","✔")</f>
        <v/>
      </c>
      <c r="Y319" s="98" t="str">
        <f>IF(IFERROR(VLOOKUP(A319,'24.木構造'!C:D,1,0),"")="","","✔")</f>
        <v/>
      </c>
      <c r="Z319" s="98" t="str">
        <f>IF(IFERROR(VLOOKUP(A319,'25.管路'!C:D,1,0),"")="","","✔")</f>
        <v/>
      </c>
      <c r="AA319" s="98" t="str">
        <f>IF(IFERROR(VLOOKUP(A319,'26.植栽(移植)'!C:D,1,0),"")="","","✔")</f>
        <v/>
      </c>
      <c r="AB319" s="98" t="str">
        <f>IF(IFERROR(VLOOKUP(A319,'27.植栽(新植)'!C:D,1,0),"")="","","✔")</f>
        <v/>
      </c>
      <c r="AC319" s="98" t="str">
        <f>IF(IFERROR(VLOOKUP(A319,'28.照明'!C:D,1,0),"")="","","✔")</f>
        <v/>
      </c>
      <c r="AD319" s="98" t="str">
        <f>IF(IFERROR(VLOOKUP(A319,'29.既有橋梁拆除'!C:D,1,0),"")="","","✔")</f>
        <v/>
      </c>
    </row>
    <row r="320" spans="1:30" ht="21.75" customHeight="1" x14ac:dyDescent="0.25">
      <c r="A320" s="99">
        <v>45510</v>
      </c>
      <c r="B320" s="98" t="str">
        <f>IF(IFERROR(VLOOKUP(A320,'1.測量放樣'!C:D,1,0),"")="","","✔")</f>
        <v/>
      </c>
      <c r="C320" s="98" t="str">
        <f>IF(IFERROR(VLOOKUP(A320,'2.土方開挖'!C:D,1,0),"")="","","✔")</f>
        <v/>
      </c>
      <c r="D320" s="98" t="str">
        <f>IF(IFERROR(VLOOKUP(A320,'3.土方回填'!C:D,1,0),"")="","","✔")</f>
        <v/>
      </c>
      <c r="E320" s="98" t="str">
        <f>IF(IFERROR(VLOOKUP(A320,'4.鋼筋'!C:D,1,0),"")="","","✔")</f>
        <v/>
      </c>
      <c r="F320" s="98" t="str">
        <f>IF(IFERROR(VLOOKUP(A320,'5.模板'!C:D,1,0),"")="","","✔")</f>
        <v/>
      </c>
      <c r="G320" s="98" t="str">
        <f>IF(IFERROR(VLOOKUP(A320,'6.混凝土'!C:D,1,0),"")="","","✔")</f>
        <v/>
      </c>
      <c r="H320" s="98" t="str">
        <f>IF(IFERROR(VLOOKUP(A320,'7.植筋'!C:D,1,0),"")="","","✔")</f>
        <v/>
      </c>
      <c r="I320" s="98" t="str">
        <f>IF(IFERROR(VLOOKUP(A320,'8.預力混凝土基樁'!C:D,1,0),"")="","","✔")</f>
        <v/>
      </c>
      <c r="J320" s="98" t="str">
        <f>IF(IFERROR(VLOOKUP(A320,'9.砌塊石護岸'!C:D,1,0),"")="","","✔")</f>
        <v/>
      </c>
      <c r="K320" s="98" t="str">
        <f>IF(IFERROR(VLOOKUP(A320,'10.低水護岸'!C:D,1,0),"")="","","✔")</f>
        <v/>
      </c>
      <c r="L320" s="98" t="str">
        <f>IF(IFERROR(VLOOKUP(A320,'11.固床工'!C:D,1,0),"")="","","✔")</f>
        <v/>
      </c>
      <c r="M320" s="98" t="str">
        <f>IF(IFERROR(VLOOKUP(A320,'12.全套管基樁'!C:D,1,0),"")="","","✔")</f>
        <v/>
      </c>
      <c r="N320" s="98" t="str">
        <f>IF(IFERROR(VLOOKUP(A320,'13.鋼筋混凝土管工程'!C:D,1,0),"")="","","✔")</f>
        <v/>
      </c>
      <c r="O320" s="98" t="str">
        <f>IF(IFERROR(VLOOKUP(A320,'14.鋼版樁'!C:D,1,0),"")="","","✔")</f>
        <v/>
      </c>
      <c r="P320" s="98" t="str">
        <f>IF(IFERROR(VLOOKUP(A320,'15.路床 路基高程'!C:D,1,0),"")="","","✔")</f>
        <v/>
      </c>
      <c r="Q320" s="98" t="str">
        <f>IF(IFERROR(VLOOKUP(A320,'16.瀝青混凝土'!C:D,1,0),"")="","","✔")</f>
        <v/>
      </c>
      <c r="R320" s="98" t="str">
        <f>IF(IFERROR(VLOOKUP(A320,'17.景觀鋪面(一)'!C:D,1,0),"")="","","✔")</f>
        <v/>
      </c>
      <c r="S320" s="98" t="str">
        <f>IF(IFERROR(VLOOKUP(A320,'18.景觀鋪面(二)'!C:D,1,0),"")="","","✔")</f>
        <v/>
      </c>
      <c r="T320" s="98" t="str">
        <f>IF(IFERROR(VLOOKUP(A320,'19.預鑄緣石'!C:D,1,0),"")="","","✔")</f>
        <v/>
      </c>
      <c r="U320" s="98" t="str">
        <f>IF(IFERROR(VLOOKUP(A320,'20.鋼構工程吊裝'!C:D,1,0),"")="","","✔")</f>
        <v/>
      </c>
      <c r="V320" s="98" t="str">
        <f>IF(IFERROR(VLOOKUP(A320,'21.鋼構工程塗裝'!C:D,1,0),"")="","","✔")</f>
        <v/>
      </c>
      <c r="W320" s="98" t="str">
        <f>IF(IFERROR(VLOOKUP(A320,'22.排水設施(一)'!C:D,1,0),"")="","","✔")</f>
        <v/>
      </c>
      <c r="X320" s="98" t="str">
        <f>IF(IFERROR(VLOOKUP(A320,'23.排水設施(二)'!C:D,1,0),"")="","","✔")</f>
        <v/>
      </c>
      <c r="Y320" s="98" t="str">
        <f>IF(IFERROR(VLOOKUP(A320,'24.木構造'!C:D,1,0),"")="","","✔")</f>
        <v/>
      </c>
      <c r="Z320" s="98" t="str">
        <f>IF(IFERROR(VLOOKUP(A320,'25.管路'!C:D,1,0),"")="","","✔")</f>
        <v/>
      </c>
      <c r="AA320" s="98" t="str">
        <f>IF(IFERROR(VLOOKUP(A320,'26.植栽(移植)'!C:D,1,0),"")="","","✔")</f>
        <v/>
      </c>
      <c r="AB320" s="98" t="str">
        <f>IF(IFERROR(VLOOKUP(A320,'27.植栽(新植)'!C:D,1,0),"")="","","✔")</f>
        <v/>
      </c>
      <c r="AC320" s="98" t="str">
        <f>IF(IFERROR(VLOOKUP(A320,'28.照明'!C:D,1,0),"")="","","✔")</f>
        <v/>
      </c>
      <c r="AD320" s="98" t="str">
        <f>IF(IFERROR(VLOOKUP(A320,'29.既有橋梁拆除'!C:D,1,0),"")="","","✔")</f>
        <v/>
      </c>
    </row>
    <row r="321" spans="1:30" ht="21.75" customHeight="1" x14ac:dyDescent="0.25">
      <c r="A321" s="99">
        <v>45511</v>
      </c>
      <c r="B321" s="98" t="str">
        <f>IF(IFERROR(VLOOKUP(A321,'1.測量放樣'!C:D,1,0),"")="","","✔")</f>
        <v/>
      </c>
      <c r="C321" s="98" t="str">
        <f>IF(IFERROR(VLOOKUP(A321,'2.土方開挖'!C:D,1,0),"")="","","✔")</f>
        <v/>
      </c>
      <c r="D321" s="98" t="str">
        <f>IF(IFERROR(VLOOKUP(A321,'3.土方回填'!C:D,1,0),"")="","","✔")</f>
        <v/>
      </c>
      <c r="E321" s="98" t="str">
        <f>IF(IFERROR(VLOOKUP(A321,'4.鋼筋'!C:D,1,0),"")="","","✔")</f>
        <v/>
      </c>
      <c r="F321" s="98" t="str">
        <f>IF(IFERROR(VLOOKUP(A321,'5.模板'!C:D,1,0),"")="","","✔")</f>
        <v/>
      </c>
      <c r="G321" s="98" t="str">
        <f>IF(IFERROR(VLOOKUP(A321,'6.混凝土'!C:D,1,0),"")="","","✔")</f>
        <v/>
      </c>
      <c r="H321" s="98" t="str">
        <f>IF(IFERROR(VLOOKUP(A321,'7.植筋'!C:D,1,0),"")="","","✔")</f>
        <v/>
      </c>
      <c r="I321" s="98" t="str">
        <f>IF(IFERROR(VLOOKUP(A321,'8.預力混凝土基樁'!C:D,1,0),"")="","","✔")</f>
        <v/>
      </c>
      <c r="J321" s="98" t="str">
        <f>IF(IFERROR(VLOOKUP(A321,'9.砌塊石護岸'!C:D,1,0),"")="","","✔")</f>
        <v/>
      </c>
      <c r="K321" s="98" t="str">
        <f>IF(IFERROR(VLOOKUP(A321,'10.低水護岸'!C:D,1,0),"")="","","✔")</f>
        <v/>
      </c>
      <c r="L321" s="98" t="str">
        <f>IF(IFERROR(VLOOKUP(A321,'11.固床工'!C:D,1,0),"")="","","✔")</f>
        <v/>
      </c>
      <c r="M321" s="98" t="str">
        <f>IF(IFERROR(VLOOKUP(A321,'12.全套管基樁'!C:D,1,0),"")="","","✔")</f>
        <v/>
      </c>
      <c r="N321" s="98" t="str">
        <f>IF(IFERROR(VLOOKUP(A321,'13.鋼筋混凝土管工程'!C:D,1,0),"")="","","✔")</f>
        <v/>
      </c>
      <c r="O321" s="98" t="str">
        <f>IF(IFERROR(VLOOKUP(A321,'14.鋼版樁'!C:D,1,0),"")="","","✔")</f>
        <v/>
      </c>
      <c r="P321" s="98" t="str">
        <f>IF(IFERROR(VLOOKUP(A321,'15.路床 路基高程'!C:D,1,0),"")="","","✔")</f>
        <v/>
      </c>
      <c r="Q321" s="98" t="str">
        <f>IF(IFERROR(VLOOKUP(A321,'16.瀝青混凝土'!C:D,1,0),"")="","","✔")</f>
        <v/>
      </c>
      <c r="R321" s="98" t="str">
        <f>IF(IFERROR(VLOOKUP(A321,'17.景觀鋪面(一)'!C:D,1,0),"")="","","✔")</f>
        <v/>
      </c>
      <c r="S321" s="98" t="str">
        <f>IF(IFERROR(VLOOKUP(A321,'18.景觀鋪面(二)'!C:D,1,0),"")="","","✔")</f>
        <v/>
      </c>
      <c r="T321" s="98" t="str">
        <f>IF(IFERROR(VLOOKUP(A321,'19.預鑄緣石'!C:D,1,0),"")="","","✔")</f>
        <v/>
      </c>
      <c r="U321" s="98" t="str">
        <f>IF(IFERROR(VLOOKUP(A321,'20.鋼構工程吊裝'!C:D,1,0),"")="","","✔")</f>
        <v/>
      </c>
      <c r="V321" s="98" t="str">
        <f>IF(IFERROR(VLOOKUP(A321,'21.鋼構工程塗裝'!C:D,1,0),"")="","","✔")</f>
        <v/>
      </c>
      <c r="W321" s="98" t="str">
        <f>IF(IFERROR(VLOOKUP(A321,'22.排水設施(一)'!C:D,1,0),"")="","","✔")</f>
        <v/>
      </c>
      <c r="X321" s="98" t="str">
        <f>IF(IFERROR(VLOOKUP(A321,'23.排水設施(二)'!C:D,1,0),"")="","","✔")</f>
        <v/>
      </c>
      <c r="Y321" s="98" t="str">
        <f>IF(IFERROR(VLOOKUP(A321,'24.木構造'!C:D,1,0),"")="","","✔")</f>
        <v/>
      </c>
      <c r="Z321" s="98" t="str">
        <f>IF(IFERROR(VLOOKUP(A321,'25.管路'!C:D,1,0),"")="","","✔")</f>
        <v/>
      </c>
      <c r="AA321" s="98" t="str">
        <f>IF(IFERROR(VLOOKUP(A321,'26.植栽(移植)'!C:D,1,0),"")="","","✔")</f>
        <v/>
      </c>
      <c r="AB321" s="98" t="str">
        <f>IF(IFERROR(VLOOKUP(A321,'27.植栽(新植)'!C:D,1,0),"")="","","✔")</f>
        <v/>
      </c>
      <c r="AC321" s="98" t="str">
        <f>IF(IFERROR(VLOOKUP(A321,'28.照明'!C:D,1,0),"")="","","✔")</f>
        <v/>
      </c>
      <c r="AD321" s="98" t="str">
        <f>IF(IFERROR(VLOOKUP(A321,'29.既有橋梁拆除'!C:D,1,0),"")="","","✔")</f>
        <v/>
      </c>
    </row>
    <row r="322" spans="1:30" ht="21.75" customHeight="1" x14ac:dyDescent="0.25">
      <c r="A322" s="99">
        <v>45512</v>
      </c>
      <c r="B322" s="98" t="str">
        <f>IF(IFERROR(VLOOKUP(A322,'1.測量放樣'!C:D,1,0),"")="","","✔")</f>
        <v/>
      </c>
      <c r="C322" s="98" t="str">
        <f>IF(IFERROR(VLOOKUP(A322,'2.土方開挖'!C:D,1,0),"")="","","✔")</f>
        <v/>
      </c>
      <c r="D322" s="98" t="str">
        <f>IF(IFERROR(VLOOKUP(A322,'3.土方回填'!C:D,1,0),"")="","","✔")</f>
        <v/>
      </c>
      <c r="E322" s="98" t="str">
        <f>IF(IFERROR(VLOOKUP(A322,'4.鋼筋'!C:D,1,0),"")="","","✔")</f>
        <v/>
      </c>
      <c r="F322" s="98" t="str">
        <f>IF(IFERROR(VLOOKUP(A322,'5.模板'!C:D,1,0),"")="","","✔")</f>
        <v/>
      </c>
      <c r="G322" s="98" t="str">
        <f>IF(IFERROR(VLOOKUP(A322,'6.混凝土'!C:D,1,0),"")="","","✔")</f>
        <v/>
      </c>
      <c r="H322" s="98" t="str">
        <f>IF(IFERROR(VLOOKUP(A322,'7.植筋'!C:D,1,0),"")="","","✔")</f>
        <v/>
      </c>
      <c r="I322" s="98" t="str">
        <f>IF(IFERROR(VLOOKUP(A322,'8.預力混凝土基樁'!C:D,1,0),"")="","","✔")</f>
        <v/>
      </c>
      <c r="J322" s="98" t="str">
        <f>IF(IFERROR(VLOOKUP(A322,'9.砌塊石護岸'!C:D,1,0),"")="","","✔")</f>
        <v/>
      </c>
      <c r="K322" s="98" t="str">
        <f>IF(IFERROR(VLOOKUP(A322,'10.低水護岸'!C:D,1,0),"")="","","✔")</f>
        <v/>
      </c>
      <c r="L322" s="98" t="str">
        <f>IF(IFERROR(VLOOKUP(A322,'11.固床工'!C:D,1,0),"")="","","✔")</f>
        <v/>
      </c>
      <c r="M322" s="98" t="str">
        <f>IF(IFERROR(VLOOKUP(A322,'12.全套管基樁'!C:D,1,0),"")="","","✔")</f>
        <v/>
      </c>
      <c r="N322" s="98" t="str">
        <f>IF(IFERROR(VLOOKUP(A322,'13.鋼筋混凝土管工程'!C:D,1,0),"")="","","✔")</f>
        <v/>
      </c>
      <c r="O322" s="98" t="str">
        <f>IF(IFERROR(VLOOKUP(A322,'14.鋼版樁'!C:D,1,0),"")="","","✔")</f>
        <v/>
      </c>
      <c r="P322" s="98" t="str">
        <f>IF(IFERROR(VLOOKUP(A322,'15.路床 路基高程'!C:D,1,0),"")="","","✔")</f>
        <v/>
      </c>
      <c r="Q322" s="98" t="str">
        <f>IF(IFERROR(VLOOKUP(A322,'16.瀝青混凝土'!C:D,1,0),"")="","","✔")</f>
        <v/>
      </c>
      <c r="R322" s="98" t="str">
        <f>IF(IFERROR(VLOOKUP(A322,'17.景觀鋪面(一)'!C:D,1,0),"")="","","✔")</f>
        <v/>
      </c>
      <c r="S322" s="98" t="str">
        <f>IF(IFERROR(VLOOKUP(A322,'18.景觀鋪面(二)'!C:D,1,0),"")="","","✔")</f>
        <v/>
      </c>
      <c r="T322" s="98" t="str">
        <f>IF(IFERROR(VLOOKUP(A322,'19.預鑄緣石'!C:D,1,0),"")="","","✔")</f>
        <v/>
      </c>
      <c r="U322" s="98" t="str">
        <f>IF(IFERROR(VLOOKUP(A322,'20.鋼構工程吊裝'!C:D,1,0),"")="","","✔")</f>
        <v/>
      </c>
      <c r="V322" s="98" t="str">
        <f>IF(IFERROR(VLOOKUP(A322,'21.鋼構工程塗裝'!C:D,1,0),"")="","","✔")</f>
        <v/>
      </c>
      <c r="W322" s="98" t="str">
        <f>IF(IFERROR(VLOOKUP(A322,'22.排水設施(一)'!C:D,1,0),"")="","","✔")</f>
        <v/>
      </c>
      <c r="X322" s="98" t="str">
        <f>IF(IFERROR(VLOOKUP(A322,'23.排水設施(二)'!C:D,1,0),"")="","","✔")</f>
        <v/>
      </c>
      <c r="Y322" s="98" t="str">
        <f>IF(IFERROR(VLOOKUP(A322,'24.木構造'!C:D,1,0),"")="","","✔")</f>
        <v/>
      </c>
      <c r="Z322" s="98" t="str">
        <f>IF(IFERROR(VLOOKUP(A322,'25.管路'!C:D,1,0),"")="","","✔")</f>
        <v/>
      </c>
      <c r="AA322" s="98" t="str">
        <f>IF(IFERROR(VLOOKUP(A322,'26.植栽(移植)'!C:D,1,0),"")="","","✔")</f>
        <v/>
      </c>
      <c r="AB322" s="98" t="str">
        <f>IF(IFERROR(VLOOKUP(A322,'27.植栽(新植)'!C:D,1,0),"")="","","✔")</f>
        <v/>
      </c>
      <c r="AC322" s="98" t="str">
        <f>IF(IFERROR(VLOOKUP(A322,'28.照明'!C:D,1,0),"")="","","✔")</f>
        <v/>
      </c>
      <c r="AD322" s="98" t="str">
        <f>IF(IFERROR(VLOOKUP(A322,'29.既有橋梁拆除'!C:D,1,0),"")="","","✔")</f>
        <v/>
      </c>
    </row>
    <row r="323" spans="1:30" ht="21.75" customHeight="1" x14ac:dyDescent="0.25">
      <c r="A323" s="99">
        <v>45513</v>
      </c>
      <c r="B323" s="98" t="str">
        <f>IF(IFERROR(VLOOKUP(A323,'1.測量放樣'!C:D,1,0),"")="","","✔")</f>
        <v/>
      </c>
      <c r="C323" s="98" t="str">
        <f>IF(IFERROR(VLOOKUP(A323,'2.土方開挖'!C:D,1,0),"")="","","✔")</f>
        <v/>
      </c>
      <c r="D323" s="98" t="str">
        <f>IF(IFERROR(VLOOKUP(A323,'3.土方回填'!C:D,1,0),"")="","","✔")</f>
        <v/>
      </c>
      <c r="E323" s="98" t="str">
        <f>IF(IFERROR(VLOOKUP(A323,'4.鋼筋'!C:D,1,0),"")="","","✔")</f>
        <v/>
      </c>
      <c r="F323" s="98" t="str">
        <f>IF(IFERROR(VLOOKUP(A323,'5.模板'!C:D,1,0),"")="","","✔")</f>
        <v/>
      </c>
      <c r="G323" s="98" t="str">
        <f>IF(IFERROR(VLOOKUP(A323,'6.混凝土'!C:D,1,0),"")="","","✔")</f>
        <v/>
      </c>
      <c r="H323" s="98" t="str">
        <f>IF(IFERROR(VLOOKUP(A323,'7.植筋'!C:D,1,0),"")="","","✔")</f>
        <v/>
      </c>
      <c r="I323" s="98" t="str">
        <f>IF(IFERROR(VLOOKUP(A323,'8.預力混凝土基樁'!C:D,1,0),"")="","","✔")</f>
        <v/>
      </c>
      <c r="J323" s="98" t="str">
        <f>IF(IFERROR(VLOOKUP(A323,'9.砌塊石護岸'!C:D,1,0),"")="","","✔")</f>
        <v/>
      </c>
      <c r="K323" s="98" t="str">
        <f>IF(IFERROR(VLOOKUP(A323,'10.低水護岸'!C:D,1,0),"")="","","✔")</f>
        <v/>
      </c>
      <c r="L323" s="98" t="str">
        <f>IF(IFERROR(VLOOKUP(A323,'11.固床工'!C:D,1,0),"")="","","✔")</f>
        <v/>
      </c>
      <c r="M323" s="98" t="str">
        <f>IF(IFERROR(VLOOKUP(A323,'12.全套管基樁'!C:D,1,0),"")="","","✔")</f>
        <v/>
      </c>
      <c r="N323" s="98" t="str">
        <f>IF(IFERROR(VLOOKUP(A323,'13.鋼筋混凝土管工程'!C:D,1,0),"")="","","✔")</f>
        <v/>
      </c>
      <c r="O323" s="98" t="str">
        <f>IF(IFERROR(VLOOKUP(A323,'14.鋼版樁'!C:D,1,0),"")="","","✔")</f>
        <v/>
      </c>
      <c r="P323" s="98" t="str">
        <f>IF(IFERROR(VLOOKUP(A323,'15.路床 路基高程'!C:D,1,0),"")="","","✔")</f>
        <v/>
      </c>
      <c r="Q323" s="98" t="str">
        <f>IF(IFERROR(VLOOKUP(A323,'16.瀝青混凝土'!C:D,1,0),"")="","","✔")</f>
        <v/>
      </c>
      <c r="R323" s="98" t="str">
        <f>IF(IFERROR(VLOOKUP(A323,'17.景觀鋪面(一)'!C:D,1,0),"")="","","✔")</f>
        <v/>
      </c>
      <c r="S323" s="98" t="str">
        <f>IF(IFERROR(VLOOKUP(A323,'18.景觀鋪面(二)'!C:D,1,0),"")="","","✔")</f>
        <v/>
      </c>
      <c r="T323" s="98" t="str">
        <f>IF(IFERROR(VLOOKUP(A323,'19.預鑄緣石'!C:D,1,0),"")="","","✔")</f>
        <v/>
      </c>
      <c r="U323" s="98" t="str">
        <f>IF(IFERROR(VLOOKUP(A323,'20.鋼構工程吊裝'!C:D,1,0),"")="","","✔")</f>
        <v/>
      </c>
      <c r="V323" s="98" t="str">
        <f>IF(IFERROR(VLOOKUP(A323,'21.鋼構工程塗裝'!C:D,1,0),"")="","","✔")</f>
        <v/>
      </c>
      <c r="W323" s="98" t="str">
        <f>IF(IFERROR(VLOOKUP(A323,'22.排水設施(一)'!C:D,1,0),"")="","","✔")</f>
        <v/>
      </c>
      <c r="X323" s="98" t="str">
        <f>IF(IFERROR(VLOOKUP(A323,'23.排水設施(二)'!C:D,1,0),"")="","","✔")</f>
        <v/>
      </c>
      <c r="Y323" s="98" t="str">
        <f>IF(IFERROR(VLOOKUP(A323,'24.木構造'!C:D,1,0),"")="","","✔")</f>
        <v/>
      </c>
      <c r="Z323" s="98" t="str">
        <f>IF(IFERROR(VLOOKUP(A323,'25.管路'!C:D,1,0),"")="","","✔")</f>
        <v/>
      </c>
      <c r="AA323" s="98" t="str">
        <f>IF(IFERROR(VLOOKUP(A323,'26.植栽(移植)'!C:D,1,0),"")="","","✔")</f>
        <v/>
      </c>
      <c r="AB323" s="98" t="str">
        <f>IF(IFERROR(VLOOKUP(A323,'27.植栽(新植)'!C:D,1,0),"")="","","✔")</f>
        <v/>
      </c>
      <c r="AC323" s="98" t="str">
        <f>IF(IFERROR(VLOOKUP(A323,'28.照明'!C:D,1,0),"")="","","✔")</f>
        <v/>
      </c>
      <c r="AD323" s="98" t="str">
        <f>IF(IFERROR(VLOOKUP(A323,'29.既有橋梁拆除'!C:D,1,0),"")="","","✔")</f>
        <v/>
      </c>
    </row>
    <row r="324" spans="1:30" ht="21.75" customHeight="1" x14ac:dyDescent="0.25">
      <c r="A324" s="99">
        <v>45514</v>
      </c>
      <c r="B324" s="98" t="str">
        <f>IF(IFERROR(VLOOKUP(A324,'1.測量放樣'!C:D,1,0),"")="","","✔")</f>
        <v/>
      </c>
      <c r="C324" s="98" t="str">
        <f>IF(IFERROR(VLOOKUP(A324,'2.土方開挖'!C:D,1,0),"")="","","✔")</f>
        <v/>
      </c>
      <c r="D324" s="98" t="str">
        <f>IF(IFERROR(VLOOKUP(A324,'3.土方回填'!C:D,1,0),"")="","","✔")</f>
        <v/>
      </c>
      <c r="E324" s="98" t="str">
        <f>IF(IFERROR(VLOOKUP(A324,'4.鋼筋'!C:D,1,0),"")="","","✔")</f>
        <v/>
      </c>
      <c r="F324" s="98" t="str">
        <f>IF(IFERROR(VLOOKUP(A324,'5.模板'!C:D,1,0),"")="","","✔")</f>
        <v/>
      </c>
      <c r="G324" s="98" t="str">
        <f>IF(IFERROR(VLOOKUP(A324,'6.混凝土'!C:D,1,0),"")="","","✔")</f>
        <v/>
      </c>
      <c r="H324" s="98" t="str">
        <f>IF(IFERROR(VLOOKUP(A324,'7.植筋'!C:D,1,0),"")="","","✔")</f>
        <v/>
      </c>
      <c r="I324" s="98" t="str">
        <f>IF(IFERROR(VLOOKUP(A324,'8.預力混凝土基樁'!C:D,1,0),"")="","","✔")</f>
        <v/>
      </c>
      <c r="J324" s="98" t="str">
        <f>IF(IFERROR(VLOOKUP(A324,'9.砌塊石護岸'!C:D,1,0),"")="","","✔")</f>
        <v/>
      </c>
      <c r="K324" s="98" t="str">
        <f>IF(IFERROR(VLOOKUP(A324,'10.低水護岸'!C:D,1,0),"")="","","✔")</f>
        <v/>
      </c>
      <c r="L324" s="98" t="str">
        <f>IF(IFERROR(VLOOKUP(A324,'11.固床工'!C:D,1,0),"")="","","✔")</f>
        <v/>
      </c>
      <c r="M324" s="98" t="str">
        <f>IF(IFERROR(VLOOKUP(A324,'12.全套管基樁'!C:D,1,0),"")="","","✔")</f>
        <v/>
      </c>
      <c r="N324" s="98" t="str">
        <f>IF(IFERROR(VLOOKUP(A324,'13.鋼筋混凝土管工程'!C:D,1,0),"")="","","✔")</f>
        <v/>
      </c>
      <c r="O324" s="98" t="str">
        <f>IF(IFERROR(VLOOKUP(A324,'14.鋼版樁'!C:D,1,0),"")="","","✔")</f>
        <v/>
      </c>
      <c r="P324" s="98" t="str">
        <f>IF(IFERROR(VLOOKUP(A324,'15.路床 路基高程'!C:D,1,0),"")="","","✔")</f>
        <v/>
      </c>
      <c r="Q324" s="98" t="str">
        <f>IF(IFERROR(VLOOKUP(A324,'16.瀝青混凝土'!C:D,1,0),"")="","","✔")</f>
        <v/>
      </c>
      <c r="R324" s="98" t="str">
        <f>IF(IFERROR(VLOOKUP(A324,'17.景觀鋪面(一)'!C:D,1,0),"")="","","✔")</f>
        <v/>
      </c>
      <c r="S324" s="98" t="str">
        <f>IF(IFERROR(VLOOKUP(A324,'18.景觀鋪面(二)'!C:D,1,0),"")="","","✔")</f>
        <v/>
      </c>
      <c r="T324" s="98" t="str">
        <f>IF(IFERROR(VLOOKUP(A324,'19.預鑄緣石'!C:D,1,0),"")="","","✔")</f>
        <v/>
      </c>
      <c r="U324" s="98" t="str">
        <f>IF(IFERROR(VLOOKUP(A324,'20.鋼構工程吊裝'!C:D,1,0),"")="","","✔")</f>
        <v/>
      </c>
      <c r="V324" s="98" t="str">
        <f>IF(IFERROR(VLOOKUP(A324,'21.鋼構工程塗裝'!C:D,1,0),"")="","","✔")</f>
        <v/>
      </c>
      <c r="W324" s="98" t="str">
        <f>IF(IFERROR(VLOOKUP(A324,'22.排水設施(一)'!C:D,1,0),"")="","","✔")</f>
        <v/>
      </c>
      <c r="X324" s="98" t="str">
        <f>IF(IFERROR(VLOOKUP(A324,'23.排水設施(二)'!C:D,1,0),"")="","","✔")</f>
        <v/>
      </c>
      <c r="Y324" s="98" t="str">
        <f>IF(IFERROR(VLOOKUP(A324,'24.木構造'!C:D,1,0),"")="","","✔")</f>
        <v/>
      </c>
      <c r="Z324" s="98" t="str">
        <f>IF(IFERROR(VLOOKUP(A324,'25.管路'!C:D,1,0),"")="","","✔")</f>
        <v/>
      </c>
      <c r="AA324" s="98" t="str">
        <f>IF(IFERROR(VLOOKUP(A324,'26.植栽(移植)'!C:D,1,0),"")="","","✔")</f>
        <v/>
      </c>
      <c r="AB324" s="98" t="str">
        <f>IF(IFERROR(VLOOKUP(A324,'27.植栽(新植)'!C:D,1,0),"")="","","✔")</f>
        <v/>
      </c>
      <c r="AC324" s="98" t="str">
        <f>IF(IFERROR(VLOOKUP(A324,'28.照明'!C:D,1,0),"")="","","✔")</f>
        <v/>
      </c>
      <c r="AD324" s="98" t="str">
        <f>IF(IFERROR(VLOOKUP(A324,'29.既有橋梁拆除'!C:D,1,0),"")="","","✔")</f>
        <v/>
      </c>
    </row>
    <row r="325" spans="1:30" ht="21.75" customHeight="1" x14ac:dyDescent="0.25">
      <c r="A325" s="99">
        <v>45515</v>
      </c>
      <c r="B325" s="98" t="str">
        <f>IF(IFERROR(VLOOKUP(A325,'1.測量放樣'!C:D,1,0),"")="","","✔")</f>
        <v/>
      </c>
      <c r="C325" s="98" t="str">
        <f>IF(IFERROR(VLOOKUP(A325,'2.土方開挖'!C:D,1,0),"")="","","✔")</f>
        <v/>
      </c>
      <c r="D325" s="98" t="str">
        <f>IF(IFERROR(VLOOKUP(A325,'3.土方回填'!C:D,1,0),"")="","","✔")</f>
        <v/>
      </c>
      <c r="E325" s="98" t="str">
        <f>IF(IFERROR(VLOOKUP(A325,'4.鋼筋'!C:D,1,0),"")="","","✔")</f>
        <v/>
      </c>
      <c r="F325" s="98" t="str">
        <f>IF(IFERROR(VLOOKUP(A325,'5.模板'!C:D,1,0),"")="","","✔")</f>
        <v/>
      </c>
      <c r="G325" s="98" t="str">
        <f>IF(IFERROR(VLOOKUP(A325,'6.混凝土'!C:D,1,0),"")="","","✔")</f>
        <v/>
      </c>
      <c r="H325" s="98" t="str">
        <f>IF(IFERROR(VLOOKUP(A325,'7.植筋'!C:D,1,0),"")="","","✔")</f>
        <v/>
      </c>
      <c r="I325" s="98" t="str">
        <f>IF(IFERROR(VLOOKUP(A325,'8.預力混凝土基樁'!C:D,1,0),"")="","","✔")</f>
        <v/>
      </c>
      <c r="J325" s="98" t="str">
        <f>IF(IFERROR(VLOOKUP(A325,'9.砌塊石護岸'!C:D,1,0),"")="","","✔")</f>
        <v/>
      </c>
      <c r="K325" s="98" t="str">
        <f>IF(IFERROR(VLOOKUP(A325,'10.低水護岸'!C:D,1,0),"")="","","✔")</f>
        <v/>
      </c>
      <c r="L325" s="98" t="str">
        <f>IF(IFERROR(VLOOKUP(A325,'11.固床工'!C:D,1,0),"")="","","✔")</f>
        <v/>
      </c>
      <c r="M325" s="98" t="str">
        <f>IF(IFERROR(VLOOKUP(A325,'12.全套管基樁'!C:D,1,0),"")="","","✔")</f>
        <v/>
      </c>
      <c r="N325" s="98" t="str">
        <f>IF(IFERROR(VLOOKUP(A325,'13.鋼筋混凝土管工程'!C:D,1,0),"")="","","✔")</f>
        <v/>
      </c>
      <c r="O325" s="98" t="str">
        <f>IF(IFERROR(VLOOKUP(A325,'14.鋼版樁'!C:D,1,0),"")="","","✔")</f>
        <v/>
      </c>
      <c r="P325" s="98" t="str">
        <f>IF(IFERROR(VLOOKUP(A325,'15.路床 路基高程'!C:D,1,0),"")="","","✔")</f>
        <v/>
      </c>
      <c r="Q325" s="98" t="str">
        <f>IF(IFERROR(VLOOKUP(A325,'16.瀝青混凝土'!C:D,1,0),"")="","","✔")</f>
        <v/>
      </c>
      <c r="R325" s="98" t="str">
        <f>IF(IFERROR(VLOOKUP(A325,'17.景觀鋪面(一)'!C:D,1,0),"")="","","✔")</f>
        <v/>
      </c>
      <c r="S325" s="98" t="str">
        <f>IF(IFERROR(VLOOKUP(A325,'18.景觀鋪面(二)'!C:D,1,0),"")="","","✔")</f>
        <v/>
      </c>
      <c r="T325" s="98" t="str">
        <f>IF(IFERROR(VLOOKUP(A325,'19.預鑄緣石'!C:D,1,0),"")="","","✔")</f>
        <v/>
      </c>
      <c r="U325" s="98" t="str">
        <f>IF(IFERROR(VLOOKUP(A325,'20.鋼構工程吊裝'!C:D,1,0),"")="","","✔")</f>
        <v/>
      </c>
      <c r="V325" s="98" t="str">
        <f>IF(IFERROR(VLOOKUP(A325,'21.鋼構工程塗裝'!C:D,1,0),"")="","","✔")</f>
        <v/>
      </c>
      <c r="W325" s="98" t="str">
        <f>IF(IFERROR(VLOOKUP(A325,'22.排水設施(一)'!C:D,1,0),"")="","","✔")</f>
        <v/>
      </c>
      <c r="X325" s="98" t="str">
        <f>IF(IFERROR(VLOOKUP(A325,'23.排水設施(二)'!C:D,1,0),"")="","","✔")</f>
        <v/>
      </c>
      <c r="Y325" s="98" t="str">
        <f>IF(IFERROR(VLOOKUP(A325,'24.木構造'!C:D,1,0),"")="","","✔")</f>
        <v/>
      </c>
      <c r="Z325" s="98" t="str">
        <f>IF(IFERROR(VLOOKUP(A325,'25.管路'!C:D,1,0),"")="","","✔")</f>
        <v/>
      </c>
      <c r="AA325" s="98" t="str">
        <f>IF(IFERROR(VLOOKUP(A325,'26.植栽(移植)'!C:D,1,0),"")="","","✔")</f>
        <v/>
      </c>
      <c r="AB325" s="98" t="str">
        <f>IF(IFERROR(VLOOKUP(A325,'27.植栽(新植)'!C:D,1,0),"")="","","✔")</f>
        <v/>
      </c>
      <c r="AC325" s="98" t="str">
        <f>IF(IFERROR(VLOOKUP(A325,'28.照明'!C:D,1,0),"")="","","✔")</f>
        <v/>
      </c>
      <c r="AD325" s="98" t="str">
        <f>IF(IFERROR(VLOOKUP(A325,'29.既有橋梁拆除'!C:D,1,0),"")="","","✔")</f>
        <v/>
      </c>
    </row>
    <row r="326" spans="1:30" ht="21.75" customHeight="1" x14ac:dyDescent="0.25">
      <c r="A326" s="99">
        <v>45516</v>
      </c>
      <c r="B326" s="98" t="str">
        <f>IF(IFERROR(VLOOKUP(A326,'1.測量放樣'!C:D,1,0),"")="","","✔")</f>
        <v/>
      </c>
      <c r="C326" s="98" t="str">
        <f>IF(IFERROR(VLOOKUP(A326,'2.土方開挖'!C:D,1,0),"")="","","✔")</f>
        <v/>
      </c>
      <c r="D326" s="98" t="str">
        <f>IF(IFERROR(VLOOKUP(A326,'3.土方回填'!C:D,1,0),"")="","","✔")</f>
        <v/>
      </c>
      <c r="E326" s="98" t="str">
        <f>IF(IFERROR(VLOOKUP(A326,'4.鋼筋'!C:D,1,0),"")="","","✔")</f>
        <v/>
      </c>
      <c r="F326" s="98" t="str">
        <f>IF(IFERROR(VLOOKUP(A326,'5.模板'!C:D,1,0),"")="","","✔")</f>
        <v/>
      </c>
      <c r="G326" s="98" t="str">
        <f>IF(IFERROR(VLOOKUP(A326,'6.混凝土'!C:D,1,0),"")="","","✔")</f>
        <v/>
      </c>
      <c r="H326" s="98" t="str">
        <f>IF(IFERROR(VLOOKUP(A326,'7.植筋'!C:D,1,0),"")="","","✔")</f>
        <v/>
      </c>
      <c r="I326" s="98" t="str">
        <f>IF(IFERROR(VLOOKUP(A326,'8.預力混凝土基樁'!C:D,1,0),"")="","","✔")</f>
        <v/>
      </c>
      <c r="J326" s="98" t="str">
        <f>IF(IFERROR(VLOOKUP(A326,'9.砌塊石護岸'!C:D,1,0),"")="","","✔")</f>
        <v/>
      </c>
      <c r="K326" s="98" t="str">
        <f>IF(IFERROR(VLOOKUP(A326,'10.低水護岸'!C:D,1,0),"")="","","✔")</f>
        <v/>
      </c>
      <c r="L326" s="98" t="str">
        <f>IF(IFERROR(VLOOKUP(A326,'11.固床工'!C:D,1,0),"")="","","✔")</f>
        <v/>
      </c>
      <c r="M326" s="98" t="str">
        <f>IF(IFERROR(VLOOKUP(A326,'12.全套管基樁'!C:D,1,0),"")="","","✔")</f>
        <v/>
      </c>
      <c r="N326" s="98" t="str">
        <f>IF(IFERROR(VLOOKUP(A326,'13.鋼筋混凝土管工程'!C:D,1,0),"")="","","✔")</f>
        <v/>
      </c>
      <c r="O326" s="98" t="str">
        <f>IF(IFERROR(VLOOKUP(A326,'14.鋼版樁'!C:D,1,0),"")="","","✔")</f>
        <v/>
      </c>
      <c r="P326" s="98" t="str">
        <f>IF(IFERROR(VLOOKUP(A326,'15.路床 路基高程'!C:D,1,0),"")="","","✔")</f>
        <v/>
      </c>
      <c r="Q326" s="98" t="str">
        <f>IF(IFERROR(VLOOKUP(A326,'16.瀝青混凝土'!C:D,1,0),"")="","","✔")</f>
        <v/>
      </c>
      <c r="R326" s="98" t="str">
        <f>IF(IFERROR(VLOOKUP(A326,'17.景觀鋪面(一)'!C:D,1,0),"")="","","✔")</f>
        <v/>
      </c>
      <c r="S326" s="98" t="str">
        <f>IF(IFERROR(VLOOKUP(A326,'18.景觀鋪面(二)'!C:D,1,0),"")="","","✔")</f>
        <v/>
      </c>
      <c r="T326" s="98" t="str">
        <f>IF(IFERROR(VLOOKUP(A326,'19.預鑄緣石'!C:D,1,0),"")="","","✔")</f>
        <v/>
      </c>
      <c r="U326" s="98" t="str">
        <f>IF(IFERROR(VLOOKUP(A326,'20.鋼構工程吊裝'!C:D,1,0),"")="","","✔")</f>
        <v/>
      </c>
      <c r="V326" s="98" t="str">
        <f>IF(IFERROR(VLOOKUP(A326,'21.鋼構工程塗裝'!C:D,1,0),"")="","","✔")</f>
        <v/>
      </c>
      <c r="W326" s="98" t="str">
        <f>IF(IFERROR(VLOOKUP(A326,'22.排水設施(一)'!C:D,1,0),"")="","","✔")</f>
        <v/>
      </c>
      <c r="X326" s="98" t="str">
        <f>IF(IFERROR(VLOOKUP(A326,'23.排水設施(二)'!C:D,1,0),"")="","","✔")</f>
        <v/>
      </c>
      <c r="Y326" s="98" t="str">
        <f>IF(IFERROR(VLOOKUP(A326,'24.木構造'!C:D,1,0),"")="","","✔")</f>
        <v/>
      </c>
      <c r="Z326" s="98" t="str">
        <f>IF(IFERROR(VLOOKUP(A326,'25.管路'!C:D,1,0),"")="","","✔")</f>
        <v/>
      </c>
      <c r="AA326" s="98" t="str">
        <f>IF(IFERROR(VLOOKUP(A326,'26.植栽(移植)'!C:D,1,0),"")="","","✔")</f>
        <v/>
      </c>
      <c r="AB326" s="98" t="str">
        <f>IF(IFERROR(VLOOKUP(A326,'27.植栽(新植)'!C:D,1,0),"")="","","✔")</f>
        <v/>
      </c>
      <c r="AC326" s="98" t="str">
        <f>IF(IFERROR(VLOOKUP(A326,'28.照明'!C:D,1,0),"")="","","✔")</f>
        <v/>
      </c>
      <c r="AD326" s="98" t="str">
        <f>IF(IFERROR(VLOOKUP(A326,'29.既有橋梁拆除'!C:D,1,0),"")="","","✔")</f>
        <v/>
      </c>
    </row>
    <row r="327" spans="1:30" ht="21.75" customHeight="1" x14ac:dyDescent="0.25">
      <c r="A327" s="99">
        <v>45517</v>
      </c>
      <c r="B327" s="98" t="str">
        <f>IF(IFERROR(VLOOKUP(A327,'1.測量放樣'!C:D,1,0),"")="","","✔")</f>
        <v/>
      </c>
      <c r="C327" s="98" t="str">
        <f>IF(IFERROR(VLOOKUP(A327,'2.土方開挖'!C:D,1,0),"")="","","✔")</f>
        <v/>
      </c>
      <c r="D327" s="98" t="str">
        <f>IF(IFERROR(VLOOKUP(A327,'3.土方回填'!C:D,1,0),"")="","","✔")</f>
        <v/>
      </c>
      <c r="E327" s="98" t="str">
        <f>IF(IFERROR(VLOOKUP(A327,'4.鋼筋'!C:D,1,0),"")="","","✔")</f>
        <v/>
      </c>
      <c r="F327" s="98" t="str">
        <f>IF(IFERROR(VLOOKUP(A327,'5.模板'!C:D,1,0),"")="","","✔")</f>
        <v/>
      </c>
      <c r="G327" s="98" t="str">
        <f>IF(IFERROR(VLOOKUP(A327,'6.混凝土'!C:D,1,0),"")="","","✔")</f>
        <v/>
      </c>
      <c r="H327" s="98" t="str">
        <f>IF(IFERROR(VLOOKUP(A327,'7.植筋'!C:D,1,0),"")="","","✔")</f>
        <v/>
      </c>
      <c r="I327" s="98" t="str">
        <f>IF(IFERROR(VLOOKUP(A327,'8.預力混凝土基樁'!C:D,1,0),"")="","","✔")</f>
        <v/>
      </c>
      <c r="J327" s="98" t="str">
        <f>IF(IFERROR(VLOOKUP(A327,'9.砌塊石護岸'!C:D,1,0),"")="","","✔")</f>
        <v/>
      </c>
      <c r="K327" s="98" t="str">
        <f>IF(IFERROR(VLOOKUP(A327,'10.低水護岸'!C:D,1,0),"")="","","✔")</f>
        <v/>
      </c>
      <c r="L327" s="98" t="str">
        <f>IF(IFERROR(VLOOKUP(A327,'11.固床工'!C:D,1,0),"")="","","✔")</f>
        <v/>
      </c>
      <c r="M327" s="98" t="str">
        <f>IF(IFERROR(VLOOKUP(A327,'12.全套管基樁'!C:D,1,0),"")="","","✔")</f>
        <v/>
      </c>
      <c r="N327" s="98" t="str">
        <f>IF(IFERROR(VLOOKUP(A327,'13.鋼筋混凝土管工程'!C:D,1,0),"")="","","✔")</f>
        <v/>
      </c>
      <c r="O327" s="98" t="str">
        <f>IF(IFERROR(VLOOKUP(A327,'14.鋼版樁'!C:D,1,0),"")="","","✔")</f>
        <v/>
      </c>
      <c r="P327" s="98" t="str">
        <f>IF(IFERROR(VLOOKUP(A327,'15.路床 路基高程'!C:D,1,0),"")="","","✔")</f>
        <v/>
      </c>
      <c r="Q327" s="98" t="str">
        <f>IF(IFERROR(VLOOKUP(A327,'16.瀝青混凝土'!C:D,1,0),"")="","","✔")</f>
        <v/>
      </c>
      <c r="R327" s="98" t="str">
        <f>IF(IFERROR(VLOOKUP(A327,'17.景觀鋪面(一)'!C:D,1,0),"")="","","✔")</f>
        <v/>
      </c>
      <c r="S327" s="98" t="str">
        <f>IF(IFERROR(VLOOKUP(A327,'18.景觀鋪面(二)'!C:D,1,0),"")="","","✔")</f>
        <v/>
      </c>
      <c r="T327" s="98" t="str">
        <f>IF(IFERROR(VLOOKUP(A327,'19.預鑄緣石'!C:D,1,0),"")="","","✔")</f>
        <v/>
      </c>
      <c r="U327" s="98" t="str">
        <f>IF(IFERROR(VLOOKUP(A327,'20.鋼構工程吊裝'!C:D,1,0),"")="","","✔")</f>
        <v/>
      </c>
      <c r="V327" s="98" t="str">
        <f>IF(IFERROR(VLOOKUP(A327,'21.鋼構工程塗裝'!C:D,1,0),"")="","","✔")</f>
        <v/>
      </c>
      <c r="W327" s="98" t="str">
        <f>IF(IFERROR(VLOOKUP(A327,'22.排水設施(一)'!C:D,1,0),"")="","","✔")</f>
        <v/>
      </c>
      <c r="X327" s="98" t="str">
        <f>IF(IFERROR(VLOOKUP(A327,'23.排水設施(二)'!C:D,1,0),"")="","","✔")</f>
        <v/>
      </c>
      <c r="Y327" s="98" t="str">
        <f>IF(IFERROR(VLOOKUP(A327,'24.木構造'!C:D,1,0),"")="","","✔")</f>
        <v/>
      </c>
      <c r="Z327" s="98" t="str">
        <f>IF(IFERROR(VLOOKUP(A327,'25.管路'!C:D,1,0),"")="","","✔")</f>
        <v/>
      </c>
      <c r="AA327" s="98" t="str">
        <f>IF(IFERROR(VLOOKUP(A327,'26.植栽(移植)'!C:D,1,0),"")="","","✔")</f>
        <v/>
      </c>
      <c r="AB327" s="98" t="str">
        <f>IF(IFERROR(VLOOKUP(A327,'27.植栽(新植)'!C:D,1,0),"")="","","✔")</f>
        <v/>
      </c>
      <c r="AC327" s="98" t="str">
        <f>IF(IFERROR(VLOOKUP(A327,'28.照明'!C:D,1,0),"")="","","✔")</f>
        <v/>
      </c>
      <c r="AD327" s="98" t="str">
        <f>IF(IFERROR(VLOOKUP(A327,'29.既有橋梁拆除'!C:D,1,0),"")="","","✔")</f>
        <v/>
      </c>
    </row>
    <row r="328" spans="1:30" ht="21.75" customHeight="1" x14ac:dyDescent="0.25">
      <c r="A328" s="99">
        <v>45518</v>
      </c>
      <c r="B328" s="98" t="str">
        <f>IF(IFERROR(VLOOKUP(A328,'1.測量放樣'!C:D,1,0),"")="","","✔")</f>
        <v/>
      </c>
      <c r="C328" s="98" t="str">
        <f>IF(IFERROR(VLOOKUP(A328,'2.土方開挖'!C:D,1,0),"")="","","✔")</f>
        <v/>
      </c>
      <c r="D328" s="98" t="str">
        <f>IF(IFERROR(VLOOKUP(A328,'3.土方回填'!C:D,1,0),"")="","","✔")</f>
        <v/>
      </c>
      <c r="E328" s="98" t="str">
        <f>IF(IFERROR(VLOOKUP(A328,'4.鋼筋'!C:D,1,0),"")="","","✔")</f>
        <v/>
      </c>
      <c r="F328" s="98" t="str">
        <f>IF(IFERROR(VLOOKUP(A328,'5.模板'!C:D,1,0),"")="","","✔")</f>
        <v/>
      </c>
      <c r="G328" s="98" t="str">
        <f>IF(IFERROR(VLOOKUP(A328,'6.混凝土'!C:D,1,0),"")="","","✔")</f>
        <v/>
      </c>
      <c r="H328" s="98" t="str">
        <f>IF(IFERROR(VLOOKUP(A328,'7.植筋'!C:D,1,0),"")="","","✔")</f>
        <v/>
      </c>
      <c r="I328" s="98" t="str">
        <f>IF(IFERROR(VLOOKUP(A328,'8.預力混凝土基樁'!C:D,1,0),"")="","","✔")</f>
        <v/>
      </c>
      <c r="J328" s="98" t="str">
        <f>IF(IFERROR(VLOOKUP(A328,'9.砌塊石護岸'!C:D,1,0),"")="","","✔")</f>
        <v/>
      </c>
      <c r="K328" s="98" t="str">
        <f>IF(IFERROR(VLOOKUP(A328,'10.低水護岸'!C:D,1,0),"")="","","✔")</f>
        <v/>
      </c>
      <c r="L328" s="98" t="str">
        <f>IF(IFERROR(VLOOKUP(A328,'11.固床工'!C:D,1,0),"")="","","✔")</f>
        <v/>
      </c>
      <c r="M328" s="98" t="str">
        <f>IF(IFERROR(VLOOKUP(A328,'12.全套管基樁'!C:D,1,0),"")="","","✔")</f>
        <v/>
      </c>
      <c r="N328" s="98" t="str">
        <f>IF(IFERROR(VLOOKUP(A328,'13.鋼筋混凝土管工程'!C:D,1,0),"")="","","✔")</f>
        <v/>
      </c>
      <c r="O328" s="98" t="str">
        <f>IF(IFERROR(VLOOKUP(A328,'14.鋼版樁'!C:D,1,0),"")="","","✔")</f>
        <v/>
      </c>
      <c r="P328" s="98" t="str">
        <f>IF(IFERROR(VLOOKUP(A328,'15.路床 路基高程'!C:D,1,0),"")="","","✔")</f>
        <v/>
      </c>
      <c r="Q328" s="98" t="str">
        <f>IF(IFERROR(VLOOKUP(A328,'16.瀝青混凝土'!C:D,1,0),"")="","","✔")</f>
        <v/>
      </c>
      <c r="R328" s="98" t="str">
        <f>IF(IFERROR(VLOOKUP(A328,'17.景觀鋪面(一)'!C:D,1,0),"")="","","✔")</f>
        <v/>
      </c>
      <c r="S328" s="98" t="str">
        <f>IF(IFERROR(VLOOKUP(A328,'18.景觀鋪面(二)'!C:D,1,0),"")="","","✔")</f>
        <v/>
      </c>
      <c r="T328" s="98" t="str">
        <f>IF(IFERROR(VLOOKUP(A328,'19.預鑄緣石'!C:D,1,0),"")="","","✔")</f>
        <v/>
      </c>
      <c r="U328" s="98" t="str">
        <f>IF(IFERROR(VLOOKUP(A328,'20.鋼構工程吊裝'!C:D,1,0),"")="","","✔")</f>
        <v/>
      </c>
      <c r="V328" s="98" t="str">
        <f>IF(IFERROR(VLOOKUP(A328,'21.鋼構工程塗裝'!C:D,1,0),"")="","","✔")</f>
        <v/>
      </c>
      <c r="W328" s="98" t="str">
        <f>IF(IFERROR(VLOOKUP(A328,'22.排水設施(一)'!C:D,1,0),"")="","","✔")</f>
        <v/>
      </c>
      <c r="X328" s="98" t="str">
        <f>IF(IFERROR(VLOOKUP(A328,'23.排水設施(二)'!C:D,1,0),"")="","","✔")</f>
        <v/>
      </c>
      <c r="Y328" s="98" t="str">
        <f>IF(IFERROR(VLOOKUP(A328,'24.木構造'!C:D,1,0),"")="","","✔")</f>
        <v/>
      </c>
      <c r="Z328" s="98" t="str">
        <f>IF(IFERROR(VLOOKUP(A328,'25.管路'!C:D,1,0),"")="","","✔")</f>
        <v/>
      </c>
      <c r="AA328" s="98" t="str">
        <f>IF(IFERROR(VLOOKUP(A328,'26.植栽(移植)'!C:D,1,0),"")="","","✔")</f>
        <v/>
      </c>
      <c r="AB328" s="98" t="str">
        <f>IF(IFERROR(VLOOKUP(A328,'27.植栽(新植)'!C:D,1,0),"")="","","✔")</f>
        <v/>
      </c>
      <c r="AC328" s="98" t="str">
        <f>IF(IFERROR(VLOOKUP(A328,'28.照明'!C:D,1,0),"")="","","✔")</f>
        <v/>
      </c>
      <c r="AD328" s="98" t="str">
        <f>IF(IFERROR(VLOOKUP(A328,'29.既有橋梁拆除'!C:D,1,0),"")="","","✔")</f>
        <v/>
      </c>
    </row>
    <row r="329" spans="1:30" ht="21.75" customHeight="1" x14ac:dyDescent="0.25">
      <c r="A329" s="99">
        <v>45519</v>
      </c>
      <c r="B329" s="98" t="str">
        <f>IF(IFERROR(VLOOKUP(A329,'1.測量放樣'!C:D,1,0),"")="","","✔")</f>
        <v/>
      </c>
      <c r="C329" s="98" t="str">
        <f>IF(IFERROR(VLOOKUP(A329,'2.土方開挖'!C:D,1,0),"")="","","✔")</f>
        <v/>
      </c>
      <c r="D329" s="98" t="str">
        <f>IF(IFERROR(VLOOKUP(A329,'3.土方回填'!C:D,1,0),"")="","","✔")</f>
        <v/>
      </c>
      <c r="E329" s="98" t="str">
        <f>IF(IFERROR(VLOOKUP(A329,'4.鋼筋'!C:D,1,0),"")="","","✔")</f>
        <v/>
      </c>
      <c r="F329" s="98" t="str">
        <f>IF(IFERROR(VLOOKUP(A329,'5.模板'!C:D,1,0),"")="","","✔")</f>
        <v/>
      </c>
      <c r="G329" s="98" t="str">
        <f>IF(IFERROR(VLOOKUP(A329,'6.混凝土'!C:D,1,0),"")="","","✔")</f>
        <v/>
      </c>
      <c r="H329" s="98" t="str">
        <f>IF(IFERROR(VLOOKUP(A329,'7.植筋'!C:D,1,0),"")="","","✔")</f>
        <v/>
      </c>
      <c r="I329" s="98" t="str">
        <f>IF(IFERROR(VLOOKUP(A329,'8.預力混凝土基樁'!C:D,1,0),"")="","","✔")</f>
        <v/>
      </c>
      <c r="J329" s="98" t="str">
        <f>IF(IFERROR(VLOOKUP(A329,'9.砌塊石護岸'!C:D,1,0),"")="","","✔")</f>
        <v/>
      </c>
      <c r="K329" s="98" t="str">
        <f>IF(IFERROR(VLOOKUP(A329,'10.低水護岸'!C:D,1,0),"")="","","✔")</f>
        <v/>
      </c>
      <c r="L329" s="98" t="str">
        <f>IF(IFERROR(VLOOKUP(A329,'11.固床工'!C:D,1,0),"")="","","✔")</f>
        <v/>
      </c>
      <c r="M329" s="98" t="str">
        <f>IF(IFERROR(VLOOKUP(A329,'12.全套管基樁'!C:D,1,0),"")="","","✔")</f>
        <v/>
      </c>
      <c r="N329" s="98" t="str">
        <f>IF(IFERROR(VLOOKUP(A329,'13.鋼筋混凝土管工程'!C:D,1,0),"")="","","✔")</f>
        <v/>
      </c>
      <c r="O329" s="98" t="str">
        <f>IF(IFERROR(VLOOKUP(A329,'14.鋼版樁'!C:D,1,0),"")="","","✔")</f>
        <v/>
      </c>
      <c r="P329" s="98" t="str">
        <f>IF(IFERROR(VLOOKUP(A329,'15.路床 路基高程'!C:D,1,0),"")="","","✔")</f>
        <v/>
      </c>
      <c r="Q329" s="98" t="str">
        <f>IF(IFERROR(VLOOKUP(A329,'16.瀝青混凝土'!C:D,1,0),"")="","","✔")</f>
        <v/>
      </c>
      <c r="R329" s="98" t="str">
        <f>IF(IFERROR(VLOOKUP(A329,'17.景觀鋪面(一)'!C:D,1,0),"")="","","✔")</f>
        <v/>
      </c>
      <c r="S329" s="98" t="str">
        <f>IF(IFERROR(VLOOKUP(A329,'18.景觀鋪面(二)'!C:D,1,0),"")="","","✔")</f>
        <v/>
      </c>
      <c r="T329" s="98" t="str">
        <f>IF(IFERROR(VLOOKUP(A329,'19.預鑄緣石'!C:D,1,0),"")="","","✔")</f>
        <v/>
      </c>
      <c r="U329" s="98" t="str">
        <f>IF(IFERROR(VLOOKUP(A329,'20.鋼構工程吊裝'!C:D,1,0),"")="","","✔")</f>
        <v/>
      </c>
      <c r="V329" s="98" t="str">
        <f>IF(IFERROR(VLOOKUP(A329,'21.鋼構工程塗裝'!C:D,1,0),"")="","","✔")</f>
        <v/>
      </c>
      <c r="W329" s="98" t="str">
        <f>IF(IFERROR(VLOOKUP(A329,'22.排水設施(一)'!C:D,1,0),"")="","","✔")</f>
        <v/>
      </c>
      <c r="X329" s="98" t="str">
        <f>IF(IFERROR(VLOOKUP(A329,'23.排水設施(二)'!C:D,1,0),"")="","","✔")</f>
        <v/>
      </c>
      <c r="Y329" s="98" t="str">
        <f>IF(IFERROR(VLOOKUP(A329,'24.木構造'!C:D,1,0),"")="","","✔")</f>
        <v/>
      </c>
      <c r="Z329" s="98" t="str">
        <f>IF(IFERROR(VLOOKUP(A329,'25.管路'!C:D,1,0),"")="","","✔")</f>
        <v/>
      </c>
      <c r="AA329" s="98" t="str">
        <f>IF(IFERROR(VLOOKUP(A329,'26.植栽(移植)'!C:D,1,0),"")="","","✔")</f>
        <v/>
      </c>
      <c r="AB329" s="98" t="str">
        <f>IF(IFERROR(VLOOKUP(A329,'27.植栽(新植)'!C:D,1,0),"")="","","✔")</f>
        <v/>
      </c>
      <c r="AC329" s="98" t="str">
        <f>IF(IFERROR(VLOOKUP(A329,'28.照明'!C:D,1,0),"")="","","✔")</f>
        <v/>
      </c>
      <c r="AD329" s="98" t="str">
        <f>IF(IFERROR(VLOOKUP(A329,'29.既有橋梁拆除'!C:D,1,0),"")="","","✔")</f>
        <v/>
      </c>
    </row>
    <row r="330" spans="1:30" ht="21.75" customHeight="1" x14ac:dyDescent="0.25">
      <c r="A330" s="99">
        <v>45520</v>
      </c>
      <c r="B330" s="98" t="str">
        <f>IF(IFERROR(VLOOKUP(A330,'1.測量放樣'!C:D,1,0),"")="","","✔")</f>
        <v/>
      </c>
      <c r="C330" s="98" t="str">
        <f>IF(IFERROR(VLOOKUP(A330,'2.土方開挖'!C:D,1,0),"")="","","✔")</f>
        <v/>
      </c>
      <c r="D330" s="98" t="str">
        <f>IF(IFERROR(VLOOKUP(A330,'3.土方回填'!C:D,1,0),"")="","","✔")</f>
        <v/>
      </c>
      <c r="E330" s="98" t="str">
        <f>IF(IFERROR(VLOOKUP(A330,'4.鋼筋'!C:D,1,0),"")="","","✔")</f>
        <v/>
      </c>
      <c r="F330" s="98" t="str">
        <f>IF(IFERROR(VLOOKUP(A330,'5.模板'!C:D,1,0),"")="","","✔")</f>
        <v/>
      </c>
      <c r="G330" s="98" t="str">
        <f>IF(IFERROR(VLOOKUP(A330,'6.混凝土'!C:D,1,0),"")="","","✔")</f>
        <v/>
      </c>
      <c r="H330" s="98" t="str">
        <f>IF(IFERROR(VLOOKUP(A330,'7.植筋'!C:D,1,0),"")="","","✔")</f>
        <v/>
      </c>
      <c r="I330" s="98" t="str">
        <f>IF(IFERROR(VLOOKUP(A330,'8.預力混凝土基樁'!C:D,1,0),"")="","","✔")</f>
        <v/>
      </c>
      <c r="J330" s="98" t="str">
        <f>IF(IFERROR(VLOOKUP(A330,'9.砌塊石護岸'!C:D,1,0),"")="","","✔")</f>
        <v/>
      </c>
      <c r="K330" s="98" t="str">
        <f>IF(IFERROR(VLOOKUP(A330,'10.低水護岸'!C:D,1,0),"")="","","✔")</f>
        <v/>
      </c>
      <c r="L330" s="98" t="str">
        <f>IF(IFERROR(VLOOKUP(A330,'11.固床工'!C:D,1,0),"")="","","✔")</f>
        <v/>
      </c>
      <c r="M330" s="98" t="str">
        <f>IF(IFERROR(VLOOKUP(A330,'12.全套管基樁'!C:D,1,0),"")="","","✔")</f>
        <v/>
      </c>
      <c r="N330" s="98" t="str">
        <f>IF(IFERROR(VLOOKUP(A330,'13.鋼筋混凝土管工程'!C:D,1,0),"")="","","✔")</f>
        <v/>
      </c>
      <c r="O330" s="98" t="str">
        <f>IF(IFERROR(VLOOKUP(A330,'14.鋼版樁'!C:D,1,0),"")="","","✔")</f>
        <v/>
      </c>
      <c r="P330" s="98" t="str">
        <f>IF(IFERROR(VLOOKUP(A330,'15.路床 路基高程'!C:D,1,0),"")="","","✔")</f>
        <v/>
      </c>
      <c r="Q330" s="98" t="str">
        <f>IF(IFERROR(VLOOKUP(A330,'16.瀝青混凝土'!C:D,1,0),"")="","","✔")</f>
        <v/>
      </c>
      <c r="R330" s="98" t="str">
        <f>IF(IFERROR(VLOOKUP(A330,'17.景觀鋪面(一)'!C:D,1,0),"")="","","✔")</f>
        <v/>
      </c>
      <c r="S330" s="98" t="str">
        <f>IF(IFERROR(VLOOKUP(A330,'18.景觀鋪面(二)'!C:D,1,0),"")="","","✔")</f>
        <v/>
      </c>
      <c r="T330" s="98" t="str">
        <f>IF(IFERROR(VLOOKUP(A330,'19.預鑄緣石'!C:D,1,0),"")="","","✔")</f>
        <v/>
      </c>
      <c r="U330" s="98" t="str">
        <f>IF(IFERROR(VLOOKUP(A330,'20.鋼構工程吊裝'!C:D,1,0),"")="","","✔")</f>
        <v/>
      </c>
      <c r="V330" s="98" t="str">
        <f>IF(IFERROR(VLOOKUP(A330,'21.鋼構工程塗裝'!C:D,1,0),"")="","","✔")</f>
        <v/>
      </c>
      <c r="W330" s="98" t="str">
        <f>IF(IFERROR(VLOOKUP(A330,'22.排水設施(一)'!C:D,1,0),"")="","","✔")</f>
        <v/>
      </c>
      <c r="X330" s="98" t="str">
        <f>IF(IFERROR(VLOOKUP(A330,'23.排水設施(二)'!C:D,1,0),"")="","","✔")</f>
        <v/>
      </c>
      <c r="Y330" s="98" t="str">
        <f>IF(IFERROR(VLOOKUP(A330,'24.木構造'!C:D,1,0),"")="","","✔")</f>
        <v/>
      </c>
      <c r="Z330" s="98" t="str">
        <f>IF(IFERROR(VLOOKUP(A330,'25.管路'!C:D,1,0),"")="","","✔")</f>
        <v/>
      </c>
      <c r="AA330" s="98" t="str">
        <f>IF(IFERROR(VLOOKUP(A330,'26.植栽(移植)'!C:D,1,0),"")="","","✔")</f>
        <v/>
      </c>
      <c r="AB330" s="98" t="str">
        <f>IF(IFERROR(VLOOKUP(A330,'27.植栽(新植)'!C:D,1,0),"")="","","✔")</f>
        <v/>
      </c>
      <c r="AC330" s="98" t="str">
        <f>IF(IFERROR(VLOOKUP(A330,'28.照明'!C:D,1,0),"")="","","✔")</f>
        <v/>
      </c>
      <c r="AD330" s="98" t="str">
        <f>IF(IFERROR(VLOOKUP(A330,'29.既有橋梁拆除'!C:D,1,0),"")="","","✔")</f>
        <v/>
      </c>
    </row>
    <row r="331" spans="1:30" ht="21.75" customHeight="1" x14ac:dyDescent="0.25">
      <c r="A331" s="99">
        <v>45521</v>
      </c>
      <c r="B331" s="98" t="str">
        <f>IF(IFERROR(VLOOKUP(A331,'1.測量放樣'!C:D,1,0),"")="","","✔")</f>
        <v/>
      </c>
      <c r="C331" s="98" t="str">
        <f>IF(IFERROR(VLOOKUP(A331,'2.土方開挖'!C:D,1,0),"")="","","✔")</f>
        <v/>
      </c>
      <c r="D331" s="98" t="str">
        <f>IF(IFERROR(VLOOKUP(A331,'3.土方回填'!C:D,1,0),"")="","","✔")</f>
        <v/>
      </c>
      <c r="E331" s="98" t="str">
        <f>IF(IFERROR(VLOOKUP(A331,'4.鋼筋'!C:D,1,0),"")="","","✔")</f>
        <v/>
      </c>
      <c r="F331" s="98" t="str">
        <f>IF(IFERROR(VLOOKUP(A331,'5.模板'!C:D,1,0),"")="","","✔")</f>
        <v/>
      </c>
      <c r="G331" s="98" t="str">
        <f>IF(IFERROR(VLOOKUP(A331,'6.混凝土'!C:D,1,0),"")="","","✔")</f>
        <v/>
      </c>
      <c r="H331" s="98" t="str">
        <f>IF(IFERROR(VLOOKUP(A331,'7.植筋'!C:D,1,0),"")="","","✔")</f>
        <v/>
      </c>
      <c r="I331" s="98" t="str">
        <f>IF(IFERROR(VLOOKUP(A331,'8.預力混凝土基樁'!C:D,1,0),"")="","","✔")</f>
        <v/>
      </c>
      <c r="J331" s="98" t="str">
        <f>IF(IFERROR(VLOOKUP(A331,'9.砌塊石護岸'!C:D,1,0),"")="","","✔")</f>
        <v/>
      </c>
      <c r="K331" s="98" t="str">
        <f>IF(IFERROR(VLOOKUP(A331,'10.低水護岸'!C:D,1,0),"")="","","✔")</f>
        <v/>
      </c>
      <c r="L331" s="98" t="str">
        <f>IF(IFERROR(VLOOKUP(A331,'11.固床工'!C:D,1,0),"")="","","✔")</f>
        <v/>
      </c>
      <c r="M331" s="98" t="str">
        <f>IF(IFERROR(VLOOKUP(A331,'12.全套管基樁'!C:D,1,0),"")="","","✔")</f>
        <v/>
      </c>
      <c r="N331" s="98" t="str">
        <f>IF(IFERROR(VLOOKUP(A331,'13.鋼筋混凝土管工程'!C:D,1,0),"")="","","✔")</f>
        <v/>
      </c>
      <c r="O331" s="98" t="str">
        <f>IF(IFERROR(VLOOKUP(A331,'14.鋼版樁'!C:D,1,0),"")="","","✔")</f>
        <v/>
      </c>
      <c r="P331" s="98" t="str">
        <f>IF(IFERROR(VLOOKUP(A331,'15.路床 路基高程'!C:D,1,0),"")="","","✔")</f>
        <v/>
      </c>
      <c r="Q331" s="98" t="str">
        <f>IF(IFERROR(VLOOKUP(A331,'16.瀝青混凝土'!C:D,1,0),"")="","","✔")</f>
        <v/>
      </c>
      <c r="R331" s="98" t="str">
        <f>IF(IFERROR(VLOOKUP(A331,'17.景觀鋪面(一)'!C:D,1,0),"")="","","✔")</f>
        <v/>
      </c>
      <c r="S331" s="98" t="str">
        <f>IF(IFERROR(VLOOKUP(A331,'18.景觀鋪面(二)'!C:D,1,0),"")="","","✔")</f>
        <v/>
      </c>
      <c r="T331" s="98" t="str">
        <f>IF(IFERROR(VLOOKUP(A331,'19.預鑄緣石'!C:D,1,0),"")="","","✔")</f>
        <v/>
      </c>
      <c r="U331" s="98" t="str">
        <f>IF(IFERROR(VLOOKUP(A331,'20.鋼構工程吊裝'!C:D,1,0),"")="","","✔")</f>
        <v/>
      </c>
      <c r="V331" s="98" t="str">
        <f>IF(IFERROR(VLOOKUP(A331,'21.鋼構工程塗裝'!C:D,1,0),"")="","","✔")</f>
        <v/>
      </c>
      <c r="W331" s="98" t="str">
        <f>IF(IFERROR(VLOOKUP(A331,'22.排水設施(一)'!C:D,1,0),"")="","","✔")</f>
        <v/>
      </c>
      <c r="X331" s="98" t="str">
        <f>IF(IFERROR(VLOOKUP(A331,'23.排水設施(二)'!C:D,1,0),"")="","","✔")</f>
        <v/>
      </c>
      <c r="Y331" s="98" t="str">
        <f>IF(IFERROR(VLOOKUP(A331,'24.木構造'!C:D,1,0),"")="","","✔")</f>
        <v/>
      </c>
      <c r="Z331" s="98" t="str">
        <f>IF(IFERROR(VLOOKUP(A331,'25.管路'!C:D,1,0),"")="","","✔")</f>
        <v/>
      </c>
      <c r="AA331" s="98" t="str">
        <f>IF(IFERROR(VLOOKUP(A331,'26.植栽(移植)'!C:D,1,0),"")="","","✔")</f>
        <v/>
      </c>
      <c r="AB331" s="98" t="str">
        <f>IF(IFERROR(VLOOKUP(A331,'27.植栽(新植)'!C:D,1,0),"")="","","✔")</f>
        <v/>
      </c>
      <c r="AC331" s="98" t="str">
        <f>IF(IFERROR(VLOOKUP(A331,'28.照明'!C:D,1,0),"")="","","✔")</f>
        <v/>
      </c>
      <c r="AD331" s="98" t="str">
        <f>IF(IFERROR(VLOOKUP(A331,'29.既有橋梁拆除'!C:D,1,0),"")="","","✔")</f>
        <v/>
      </c>
    </row>
    <row r="332" spans="1:30" ht="21.75" customHeight="1" x14ac:dyDescent="0.25">
      <c r="A332" s="99">
        <v>45522</v>
      </c>
      <c r="B332" s="98" t="str">
        <f>IF(IFERROR(VLOOKUP(A332,'1.測量放樣'!C:D,1,0),"")="","","✔")</f>
        <v/>
      </c>
      <c r="C332" s="98" t="str">
        <f>IF(IFERROR(VLOOKUP(A332,'2.土方開挖'!C:D,1,0),"")="","","✔")</f>
        <v/>
      </c>
      <c r="D332" s="98" t="str">
        <f>IF(IFERROR(VLOOKUP(A332,'3.土方回填'!C:D,1,0),"")="","","✔")</f>
        <v/>
      </c>
      <c r="E332" s="98" t="str">
        <f>IF(IFERROR(VLOOKUP(A332,'4.鋼筋'!C:D,1,0),"")="","","✔")</f>
        <v/>
      </c>
      <c r="F332" s="98" t="str">
        <f>IF(IFERROR(VLOOKUP(A332,'5.模板'!C:D,1,0),"")="","","✔")</f>
        <v/>
      </c>
      <c r="G332" s="98" t="str">
        <f>IF(IFERROR(VLOOKUP(A332,'6.混凝土'!C:D,1,0),"")="","","✔")</f>
        <v/>
      </c>
      <c r="H332" s="98" t="str">
        <f>IF(IFERROR(VLOOKUP(A332,'7.植筋'!C:D,1,0),"")="","","✔")</f>
        <v/>
      </c>
      <c r="I332" s="98" t="str">
        <f>IF(IFERROR(VLOOKUP(A332,'8.預力混凝土基樁'!C:D,1,0),"")="","","✔")</f>
        <v/>
      </c>
      <c r="J332" s="98" t="str">
        <f>IF(IFERROR(VLOOKUP(A332,'9.砌塊石護岸'!C:D,1,0),"")="","","✔")</f>
        <v/>
      </c>
      <c r="K332" s="98" t="str">
        <f>IF(IFERROR(VLOOKUP(A332,'10.低水護岸'!C:D,1,0),"")="","","✔")</f>
        <v/>
      </c>
      <c r="L332" s="98" t="str">
        <f>IF(IFERROR(VLOOKUP(A332,'11.固床工'!C:D,1,0),"")="","","✔")</f>
        <v/>
      </c>
      <c r="M332" s="98" t="str">
        <f>IF(IFERROR(VLOOKUP(A332,'12.全套管基樁'!C:D,1,0),"")="","","✔")</f>
        <v/>
      </c>
      <c r="N332" s="98" t="str">
        <f>IF(IFERROR(VLOOKUP(A332,'13.鋼筋混凝土管工程'!C:D,1,0),"")="","","✔")</f>
        <v/>
      </c>
      <c r="O332" s="98" t="str">
        <f>IF(IFERROR(VLOOKUP(A332,'14.鋼版樁'!C:D,1,0),"")="","","✔")</f>
        <v/>
      </c>
      <c r="P332" s="98" t="str">
        <f>IF(IFERROR(VLOOKUP(A332,'15.路床 路基高程'!C:D,1,0),"")="","","✔")</f>
        <v/>
      </c>
      <c r="Q332" s="98" t="str">
        <f>IF(IFERROR(VLOOKUP(A332,'16.瀝青混凝土'!C:D,1,0),"")="","","✔")</f>
        <v/>
      </c>
      <c r="R332" s="98" t="str">
        <f>IF(IFERROR(VLOOKUP(A332,'17.景觀鋪面(一)'!C:D,1,0),"")="","","✔")</f>
        <v/>
      </c>
      <c r="S332" s="98" t="str">
        <f>IF(IFERROR(VLOOKUP(A332,'18.景觀鋪面(二)'!C:D,1,0),"")="","","✔")</f>
        <v/>
      </c>
      <c r="T332" s="98" t="str">
        <f>IF(IFERROR(VLOOKUP(A332,'19.預鑄緣石'!C:D,1,0),"")="","","✔")</f>
        <v/>
      </c>
      <c r="U332" s="98" t="str">
        <f>IF(IFERROR(VLOOKUP(A332,'20.鋼構工程吊裝'!C:D,1,0),"")="","","✔")</f>
        <v/>
      </c>
      <c r="V332" s="98" t="str">
        <f>IF(IFERROR(VLOOKUP(A332,'21.鋼構工程塗裝'!C:D,1,0),"")="","","✔")</f>
        <v/>
      </c>
      <c r="W332" s="98" t="str">
        <f>IF(IFERROR(VLOOKUP(A332,'22.排水設施(一)'!C:D,1,0),"")="","","✔")</f>
        <v/>
      </c>
      <c r="X332" s="98" t="str">
        <f>IF(IFERROR(VLOOKUP(A332,'23.排水設施(二)'!C:D,1,0),"")="","","✔")</f>
        <v/>
      </c>
      <c r="Y332" s="98" t="str">
        <f>IF(IFERROR(VLOOKUP(A332,'24.木構造'!C:D,1,0),"")="","","✔")</f>
        <v/>
      </c>
      <c r="Z332" s="98" t="str">
        <f>IF(IFERROR(VLOOKUP(A332,'25.管路'!C:D,1,0),"")="","","✔")</f>
        <v/>
      </c>
      <c r="AA332" s="98" t="str">
        <f>IF(IFERROR(VLOOKUP(A332,'26.植栽(移植)'!C:D,1,0),"")="","","✔")</f>
        <v/>
      </c>
      <c r="AB332" s="98" t="str">
        <f>IF(IFERROR(VLOOKUP(A332,'27.植栽(新植)'!C:D,1,0),"")="","","✔")</f>
        <v/>
      </c>
      <c r="AC332" s="98" t="str">
        <f>IF(IFERROR(VLOOKUP(A332,'28.照明'!C:D,1,0),"")="","","✔")</f>
        <v/>
      </c>
      <c r="AD332" s="98" t="str">
        <f>IF(IFERROR(VLOOKUP(A332,'29.既有橋梁拆除'!C:D,1,0),"")="","","✔")</f>
        <v/>
      </c>
    </row>
    <row r="333" spans="1:30" ht="21.75" customHeight="1" x14ac:dyDescent="0.25">
      <c r="A333" s="99">
        <v>45523</v>
      </c>
      <c r="B333" s="98" t="str">
        <f>IF(IFERROR(VLOOKUP(A333,'1.測量放樣'!C:D,1,0),"")="","","✔")</f>
        <v/>
      </c>
      <c r="C333" s="98" t="str">
        <f>IF(IFERROR(VLOOKUP(A333,'2.土方開挖'!C:D,1,0),"")="","","✔")</f>
        <v/>
      </c>
      <c r="D333" s="98" t="str">
        <f>IF(IFERROR(VLOOKUP(A333,'3.土方回填'!C:D,1,0),"")="","","✔")</f>
        <v/>
      </c>
      <c r="E333" s="98" t="str">
        <f>IF(IFERROR(VLOOKUP(A333,'4.鋼筋'!C:D,1,0),"")="","","✔")</f>
        <v/>
      </c>
      <c r="F333" s="98" t="str">
        <f>IF(IFERROR(VLOOKUP(A333,'5.模板'!C:D,1,0),"")="","","✔")</f>
        <v/>
      </c>
      <c r="G333" s="98" t="str">
        <f>IF(IFERROR(VLOOKUP(A333,'6.混凝土'!C:D,1,0),"")="","","✔")</f>
        <v/>
      </c>
      <c r="H333" s="98" t="str">
        <f>IF(IFERROR(VLOOKUP(A333,'7.植筋'!C:D,1,0),"")="","","✔")</f>
        <v/>
      </c>
      <c r="I333" s="98" t="str">
        <f>IF(IFERROR(VLOOKUP(A333,'8.預力混凝土基樁'!C:D,1,0),"")="","","✔")</f>
        <v/>
      </c>
      <c r="J333" s="98" t="str">
        <f>IF(IFERROR(VLOOKUP(A333,'9.砌塊石護岸'!C:D,1,0),"")="","","✔")</f>
        <v/>
      </c>
      <c r="K333" s="98" t="str">
        <f>IF(IFERROR(VLOOKUP(A333,'10.低水護岸'!C:D,1,0),"")="","","✔")</f>
        <v/>
      </c>
      <c r="L333" s="98" t="str">
        <f>IF(IFERROR(VLOOKUP(A333,'11.固床工'!C:D,1,0),"")="","","✔")</f>
        <v/>
      </c>
      <c r="M333" s="98" t="str">
        <f>IF(IFERROR(VLOOKUP(A333,'12.全套管基樁'!C:D,1,0),"")="","","✔")</f>
        <v/>
      </c>
      <c r="N333" s="98" t="str">
        <f>IF(IFERROR(VLOOKUP(A333,'13.鋼筋混凝土管工程'!C:D,1,0),"")="","","✔")</f>
        <v/>
      </c>
      <c r="O333" s="98" t="str">
        <f>IF(IFERROR(VLOOKUP(A333,'14.鋼版樁'!C:D,1,0),"")="","","✔")</f>
        <v/>
      </c>
      <c r="P333" s="98" t="str">
        <f>IF(IFERROR(VLOOKUP(A333,'15.路床 路基高程'!C:D,1,0),"")="","","✔")</f>
        <v/>
      </c>
      <c r="Q333" s="98" t="str">
        <f>IF(IFERROR(VLOOKUP(A333,'16.瀝青混凝土'!C:D,1,0),"")="","","✔")</f>
        <v/>
      </c>
      <c r="R333" s="98" t="str">
        <f>IF(IFERROR(VLOOKUP(A333,'17.景觀鋪面(一)'!C:D,1,0),"")="","","✔")</f>
        <v/>
      </c>
      <c r="S333" s="98" t="str">
        <f>IF(IFERROR(VLOOKUP(A333,'18.景觀鋪面(二)'!C:D,1,0),"")="","","✔")</f>
        <v/>
      </c>
      <c r="T333" s="98" t="str">
        <f>IF(IFERROR(VLOOKUP(A333,'19.預鑄緣石'!C:D,1,0),"")="","","✔")</f>
        <v/>
      </c>
      <c r="U333" s="98" t="str">
        <f>IF(IFERROR(VLOOKUP(A333,'20.鋼構工程吊裝'!C:D,1,0),"")="","","✔")</f>
        <v/>
      </c>
      <c r="V333" s="98" t="str">
        <f>IF(IFERROR(VLOOKUP(A333,'21.鋼構工程塗裝'!C:D,1,0),"")="","","✔")</f>
        <v/>
      </c>
      <c r="W333" s="98" t="str">
        <f>IF(IFERROR(VLOOKUP(A333,'22.排水設施(一)'!C:D,1,0),"")="","","✔")</f>
        <v/>
      </c>
      <c r="X333" s="98" t="str">
        <f>IF(IFERROR(VLOOKUP(A333,'23.排水設施(二)'!C:D,1,0),"")="","","✔")</f>
        <v/>
      </c>
      <c r="Y333" s="98" t="str">
        <f>IF(IFERROR(VLOOKUP(A333,'24.木構造'!C:D,1,0),"")="","","✔")</f>
        <v/>
      </c>
      <c r="Z333" s="98" t="str">
        <f>IF(IFERROR(VLOOKUP(A333,'25.管路'!C:D,1,0),"")="","","✔")</f>
        <v/>
      </c>
      <c r="AA333" s="98" t="str">
        <f>IF(IFERROR(VLOOKUP(A333,'26.植栽(移植)'!C:D,1,0),"")="","","✔")</f>
        <v/>
      </c>
      <c r="AB333" s="98" t="str">
        <f>IF(IFERROR(VLOOKUP(A333,'27.植栽(新植)'!C:D,1,0),"")="","","✔")</f>
        <v/>
      </c>
      <c r="AC333" s="98" t="str">
        <f>IF(IFERROR(VLOOKUP(A333,'28.照明'!C:D,1,0),"")="","","✔")</f>
        <v/>
      </c>
      <c r="AD333" s="98" t="str">
        <f>IF(IFERROR(VLOOKUP(A333,'29.既有橋梁拆除'!C:D,1,0),"")="","","✔")</f>
        <v/>
      </c>
    </row>
    <row r="334" spans="1:30" ht="21.75" customHeight="1" x14ac:dyDescent="0.25">
      <c r="A334" s="99">
        <v>45524</v>
      </c>
      <c r="B334" s="98" t="str">
        <f>IF(IFERROR(VLOOKUP(A334,'1.測量放樣'!C:D,1,0),"")="","","✔")</f>
        <v/>
      </c>
      <c r="C334" s="98" t="str">
        <f>IF(IFERROR(VLOOKUP(A334,'2.土方開挖'!C:D,1,0),"")="","","✔")</f>
        <v/>
      </c>
      <c r="D334" s="98" t="str">
        <f>IF(IFERROR(VLOOKUP(A334,'3.土方回填'!C:D,1,0),"")="","","✔")</f>
        <v/>
      </c>
      <c r="E334" s="98" t="str">
        <f>IF(IFERROR(VLOOKUP(A334,'4.鋼筋'!C:D,1,0),"")="","","✔")</f>
        <v/>
      </c>
      <c r="F334" s="98" t="str">
        <f>IF(IFERROR(VLOOKUP(A334,'5.模板'!C:D,1,0),"")="","","✔")</f>
        <v/>
      </c>
      <c r="G334" s="98" t="str">
        <f>IF(IFERROR(VLOOKUP(A334,'6.混凝土'!C:D,1,0),"")="","","✔")</f>
        <v/>
      </c>
      <c r="H334" s="98" t="str">
        <f>IF(IFERROR(VLOOKUP(A334,'7.植筋'!C:D,1,0),"")="","","✔")</f>
        <v/>
      </c>
      <c r="I334" s="98" t="str">
        <f>IF(IFERROR(VLOOKUP(A334,'8.預力混凝土基樁'!C:D,1,0),"")="","","✔")</f>
        <v/>
      </c>
      <c r="J334" s="98" t="str">
        <f>IF(IFERROR(VLOOKUP(A334,'9.砌塊石護岸'!C:D,1,0),"")="","","✔")</f>
        <v/>
      </c>
      <c r="K334" s="98" t="str">
        <f>IF(IFERROR(VLOOKUP(A334,'10.低水護岸'!C:D,1,0),"")="","","✔")</f>
        <v/>
      </c>
      <c r="L334" s="98" t="str">
        <f>IF(IFERROR(VLOOKUP(A334,'11.固床工'!C:D,1,0),"")="","","✔")</f>
        <v/>
      </c>
      <c r="M334" s="98" t="str">
        <f>IF(IFERROR(VLOOKUP(A334,'12.全套管基樁'!C:D,1,0),"")="","","✔")</f>
        <v/>
      </c>
      <c r="N334" s="98" t="str">
        <f>IF(IFERROR(VLOOKUP(A334,'13.鋼筋混凝土管工程'!C:D,1,0),"")="","","✔")</f>
        <v/>
      </c>
      <c r="O334" s="98" t="str">
        <f>IF(IFERROR(VLOOKUP(A334,'14.鋼版樁'!C:D,1,0),"")="","","✔")</f>
        <v/>
      </c>
      <c r="P334" s="98" t="str">
        <f>IF(IFERROR(VLOOKUP(A334,'15.路床 路基高程'!C:D,1,0),"")="","","✔")</f>
        <v/>
      </c>
      <c r="Q334" s="98" t="str">
        <f>IF(IFERROR(VLOOKUP(A334,'16.瀝青混凝土'!C:D,1,0),"")="","","✔")</f>
        <v/>
      </c>
      <c r="R334" s="98" t="str">
        <f>IF(IFERROR(VLOOKUP(A334,'17.景觀鋪面(一)'!C:D,1,0),"")="","","✔")</f>
        <v/>
      </c>
      <c r="S334" s="98" t="str">
        <f>IF(IFERROR(VLOOKUP(A334,'18.景觀鋪面(二)'!C:D,1,0),"")="","","✔")</f>
        <v/>
      </c>
      <c r="T334" s="98" t="str">
        <f>IF(IFERROR(VLOOKUP(A334,'19.預鑄緣石'!C:D,1,0),"")="","","✔")</f>
        <v/>
      </c>
      <c r="U334" s="98" t="str">
        <f>IF(IFERROR(VLOOKUP(A334,'20.鋼構工程吊裝'!C:D,1,0),"")="","","✔")</f>
        <v/>
      </c>
      <c r="V334" s="98" t="str">
        <f>IF(IFERROR(VLOOKUP(A334,'21.鋼構工程塗裝'!C:D,1,0),"")="","","✔")</f>
        <v/>
      </c>
      <c r="W334" s="98" t="str">
        <f>IF(IFERROR(VLOOKUP(A334,'22.排水設施(一)'!C:D,1,0),"")="","","✔")</f>
        <v/>
      </c>
      <c r="X334" s="98" t="str">
        <f>IF(IFERROR(VLOOKUP(A334,'23.排水設施(二)'!C:D,1,0),"")="","","✔")</f>
        <v/>
      </c>
      <c r="Y334" s="98" t="str">
        <f>IF(IFERROR(VLOOKUP(A334,'24.木構造'!C:D,1,0),"")="","","✔")</f>
        <v/>
      </c>
      <c r="Z334" s="98" t="str">
        <f>IF(IFERROR(VLOOKUP(A334,'25.管路'!C:D,1,0),"")="","","✔")</f>
        <v/>
      </c>
      <c r="AA334" s="98" t="str">
        <f>IF(IFERROR(VLOOKUP(A334,'26.植栽(移植)'!C:D,1,0),"")="","","✔")</f>
        <v/>
      </c>
      <c r="AB334" s="98" t="str">
        <f>IF(IFERROR(VLOOKUP(A334,'27.植栽(新植)'!C:D,1,0),"")="","","✔")</f>
        <v/>
      </c>
      <c r="AC334" s="98" t="str">
        <f>IF(IFERROR(VLOOKUP(A334,'28.照明'!C:D,1,0),"")="","","✔")</f>
        <v/>
      </c>
      <c r="AD334" s="98" t="str">
        <f>IF(IFERROR(VLOOKUP(A334,'29.既有橋梁拆除'!C:D,1,0),"")="","","✔")</f>
        <v/>
      </c>
    </row>
    <row r="335" spans="1:30" ht="21.75" customHeight="1" x14ac:dyDescent="0.25">
      <c r="A335" s="99">
        <v>45525</v>
      </c>
      <c r="B335" s="98" t="str">
        <f>IF(IFERROR(VLOOKUP(A335,'1.測量放樣'!C:D,1,0),"")="","","✔")</f>
        <v/>
      </c>
      <c r="C335" s="98" t="str">
        <f>IF(IFERROR(VLOOKUP(A335,'2.土方開挖'!C:D,1,0),"")="","","✔")</f>
        <v/>
      </c>
      <c r="D335" s="98" t="str">
        <f>IF(IFERROR(VLOOKUP(A335,'3.土方回填'!C:D,1,0),"")="","","✔")</f>
        <v/>
      </c>
      <c r="E335" s="98" t="str">
        <f>IF(IFERROR(VLOOKUP(A335,'4.鋼筋'!C:D,1,0),"")="","","✔")</f>
        <v/>
      </c>
      <c r="F335" s="98" t="str">
        <f>IF(IFERROR(VLOOKUP(A335,'5.模板'!C:D,1,0),"")="","","✔")</f>
        <v/>
      </c>
      <c r="G335" s="98" t="str">
        <f>IF(IFERROR(VLOOKUP(A335,'6.混凝土'!C:D,1,0),"")="","","✔")</f>
        <v/>
      </c>
      <c r="H335" s="98" t="str">
        <f>IF(IFERROR(VLOOKUP(A335,'7.植筋'!C:D,1,0),"")="","","✔")</f>
        <v/>
      </c>
      <c r="I335" s="98" t="str">
        <f>IF(IFERROR(VLOOKUP(A335,'8.預力混凝土基樁'!C:D,1,0),"")="","","✔")</f>
        <v/>
      </c>
      <c r="J335" s="98" t="str">
        <f>IF(IFERROR(VLOOKUP(A335,'9.砌塊石護岸'!C:D,1,0),"")="","","✔")</f>
        <v/>
      </c>
      <c r="K335" s="98" t="str">
        <f>IF(IFERROR(VLOOKUP(A335,'10.低水護岸'!C:D,1,0),"")="","","✔")</f>
        <v/>
      </c>
      <c r="L335" s="98" t="str">
        <f>IF(IFERROR(VLOOKUP(A335,'11.固床工'!C:D,1,0),"")="","","✔")</f>
        <v/>
      </c>
      <c r="M335" s="98" t="str">
        <f>IF(IFERROR(VLOOKUP(A335,'12.全套管基樁'!C:D,1,0),"")="","","✔")</f>
        <v/>
      </c>
      <c r="N335" s="98" t="str">
        <f>IF(IFERROR(VLOOKUP(A335,'13.鋼筋混凝土管工程'!C:D,1,0),"")="","","✔")</f>
        <v/>
      </c>
      <c r="O335" s="98" t="str">
        <f>IF(IFERROR(VLOOKUP(A335,'14.鋼版樁'!C:D,1,0),"")="","","✔")</f>
        <v/>
      </c>
      <c r="P335" s="98" t="str">
        <f>IF(IFERROR(VLOOKUP(A335,'15.路床 路基高程'!C:D,1,0),"")="","","✔")</f>
        <v/>
      </c>
      <c r="Q335" s="98" t="str">
        <f>IF(IFERROR(VLOOKUP(A335,'16.瀝青混凝土'!C:D,1,0),"")="","","✔")</f>
        <v/>
      </c>
      <c r="R335" s="98" t="str">
        <f>IF(IFERROR(VLOOKUP(A335,'17.景觀鋪面(一)'!C:D,1,0),"")="","","✔")</f>
        <v/>
      </c>
      <c r="S335" s="98" t="str">
        <f>IF(IFERROR(VLOOKUP(A335,'18.景觀鋪面(二)'!C:D,1,0),"")="","","✔")</f>
        <v/>
      </c>
      <c r="T335" s="98" t="str">
        <f>IF(IFERROR(VLOOKUP(A335,'19.預鑄緣石'!C:D,1,0),"")="","","✔")</f>
        <v/>
      </c>
      <c r="U335" s="98" t="str">
        <f>IF(IFERROR(VLOOKUP(A335,'20.鋼構工程吊裝'!C:D,1,0),"")="","","✔")</f>
        <v/>
      </c>
      <c r="V335" s="98" t="str">
        <f>IF(IFERROR(VLOOKUP(A335,'21.鋼構工程塗裝'!C:D,1,0),"")="","","✔")</f>
        <v/>
      </c>
      <c r="W335" s="98" t="str">
        <f>IF(IFERROR(VLOOKUP(A335,'22.排水設施(一)'!C:D,1,0),"")="","","✔")</f>
        <v/>
      </c>
      <c r="X335" s="98" t="str">
        <f>IF(IFERROR(VLOOKUP(A335,'23.排水設施(二)'!C:D,1,0),"")="","","✔")</f>
        <v/>
      </c>
      <c r="Y335" s="98" t="str">
        <f>IF(IFERROR(VLOOKUP(A335,'24.木構造'!C:D,1,0),"")="","","✔")</f>
        <v/>
      </c>
      <c r="Z335" s="98" t="str">
        <f>IF(IFERROR(VLOOKUP(A335,'25.管路'!C:D,1,0),"")="","","✔")</f>
        <v/>
      </c>
      <c r="AA335" s="98" t="str">
        <f>IF(IFERROR(VLOOKUP(A335,'26.植栽(移植)'!C:D,1,0),"")="","","✔")</f>
        <v/>
      </c>
      <c r="AB335" s="98" t="str">
        <f>IF(IFERROR(VLOOKUP(A335,'27.植栽(新植)'!C:D,1,0),"")="","","✔")</f>
        <v/>
      </c>
      <c r="AC335" s="98" t="str">
        <f>IF(IFERROR(VLOOKUP(A335,'28.照明'!C:D,1,0),"")="","","✔")</f>
        <v/>
      </c>
      <c r="AD335" s="98" t="str">
        <f>IF(IFERROR(VLOOKUP(A335,'29.既有橋梁拆除'!C:D,1,0),"")="","","✔")</f>
        <v/>
      </c>
    </row>
    <row r="336" spans="1:30" ht="21.75" customHeight="1" x14ac:dyDescent="0.25">
      <c r="A336" s="99">
        <v>45526</v>
      </c>
      <c r="B336" s="98" t="str">
        <f>IF(IFERROR(VLOOKUP(A336,'1.測量放樣'!C:D,1,0),"")="","","✔")</f>
        <v/>
      </c>
      <c r="C336" s="98" t="str">
        <f>IF(IFERROR(VLOOKUP(A336,'2.土方開挖'!C:D,1,0),"")="","","✔")</f>
        <v/>
      </c>
      <c r="D336" s="98" t="str">
        <f>IF(IFERROR(VLOOKUP(A336,'3.土方回填'!C:D,1,0),"")="","","✔")</f>
        <v/>
      </c>
      <c r="E336" s="98" t="str">
        <f>IF(IFERROR(VLOOKUP(A336,'4.鋼筋'!C:D,1,0),"")="","","✔")</f>
        <v/>
      </c>
      <c r="F336" s="98" t="str">
        <f>IF(IFERROR(VLOOKUP(A336,'5.模板'!C:D,1,0),"")="","","✔")</f>
        <v/>
      </c>
      <c r="G336" s="98" t="str">
        <f>IF(IFERROR(VLOOKUP(A336,'6.混凝土'!C:D,1,0),"")="","","✔")</f>
        <v/>
      </c>
      <c r="H336" s="98" t="str">
        <f>IF(IFERROR(VLOOKUP(A336,'7.植筋'!C:D,1,0),"")="","","✔")</f>
        <v/>
      </c>
      <c r="I336" s="98" t="str">
        <f>IF(IFERROR(VLOOKUP(A336,'8.預力混凝土基樁'!C:D,1,0),"")="","","✔")</f>
        <v/>
      </c>
      <c r="J336" s="98" t="str">
        <f>IF(IFERROR(VLOOKUP(A336,'9.砌塊石護岸'!C:D,1,0),"")="","","✔")</f>
        <v/>
      </c>
      <c r="K336" s="98" t="str">
        <f>IF(IFERROR(VLOOKUP(A336,'10.低水護岸'!C:D,1,0),"")="","","✔")</f>
        <v/>
      </c>
      <c r="L336" s="98" t="str">
        <f>IF(IFERROR(VLOOKUP(A336,'11.固床工'!C:D,1,0),"")="","","✔")</f>
        <v/>
      </c>
      <c r="M336" s="98" t="str">
        <f>IF(IFERROR(VLOOKUP(A336,'12.全套管基樁'!C:D,1,0),"")="","","✔")</f>
        <v/>
      </c>
      <c r="N336" s="98" t="str">
        <f>IF(IFERROR(VLOOKUP(A336,'13.鋼筋混凝土管工程'!C:D,1,0),"")="","","✔")</f>
        <v/>
      </c>
      <c r="O336" s="98" t="str">
        <f>IF(IFERROR(VLOOKUP(A336,'14.鋼版樁'!C:D,1,0),"")="","","✔")</f>
        <v/>
      </c>
      <c r="P336" s="98" t="str">
        <f>IF(IFERROR(VLOOKUP(A336,'15.路床 路基高程'!C:D,1,0),"")="","","✔")</f>
        <v/>
      </c>
      <c r="Q336" s="98" t="str">
        <f>IF(IFERROR(VLOOKUP(A336,'16.瀝青混凝土'!C:D,1,0),"")="","","✔")</f>
        <v/>
      </c>
      <c r="R336" s="98" t="str">
        <f>IF(IFERROR(VLOOKUP(A336,'17.景觀鋪面(一)'!C:D,1,0),"")="","","✔")</f>
        <v/>
      </c>
      <c r="S336" s="98" t="str">
        <f>IF(IFERROR(VLOOKUP(A336,'18.景觀鋪面(二)'!C:D,1,0),"")="","","✔")</f>
        <v/>
      </c>
      <c r="T336" s="98" t="str">
        <f>IF(IFERROR(VLOOKUP(A336,'19.預鑄緣石'!C:D,1,0),"")="","","✔")</f>
        <v/>
      </c>
      <c r="U336" s="98" t="str">
        <f>IF(IFERROR(VLOOKUP(A336,'20.鋼構工程吊裝'!C:D,1,0),"")="","","✔")</f>
        <v/>
      </c>
      <c r="V336" s="98" t="str">
        <f>IF(IFERROR(VLOOKUP(A336,'21.鋼構工程塗裝'!C:D,1,0),"")="","","✔")</f>
        <v/>
      </c>
      <c r="W336" s="98" t="str">
        <f>IF(IFERROR(VLOOKUP(A336,'22.排水設施(一)'!C:D,1,0),"")="","","✔")</f>
        <v/>
      </c>
      <c r="X336" s="98" t="str">
        <f>IF(IFERROR(VLOOKUP(A336,'23.排水設施(二)'!C:D,1,0),"")="","","✔")</f>
        <v/>
      </c>
      <c r="Y336" s="98" t="str">
        <f>IF(IFERROR(VLOOKUP(A336,'24.木構造'!C:D,1,0),"")="","","✔")</f>
        <v/>
      </c>
      <c r="Z336" s="98" t="str">
        <f>IF(IFERROR(VLOOKUP(A336,'25.管路'!C:D,1,0),"")="","","✔")</f>
        <v/>
      </c>
      <c r="AA336" s="98" t="str">
        <f>IF(IFERROR(VLOOKUP(A336,'26.植栽(移植)'!C:D,1,0),"")="","","✔")</f>
        <v/>
      </c>
      <c r="AB336" s="98" t="str">
        <f>IF(IFERROR(VLOOKUP(A336,'27.植栽(新植)'!C:D,1,0),"")="","","✔")</f>
        <v/>
      </c>
      <c r="AC336" s="98" t="str">
        <f>IF(IFERROR(VLOOKUP(A336,'28.照明'!C:D,1,0),"")="","","✔")</f>
        <v/>
      </c>
      <c r="AD336" s="98" t="str">
        <f>IF(IFERROR(VLOOKUP(A336,'29.既有橋梁拆除'!C:D,1,0),"")="","","✔")</f>
        <v/>
      </c>
    </row>
    <row r="337" spans="1:30" ht="21.75" customHeight="1" x14ac:dyDescent="0.25">
      <c r="A337" s="99">
        <v>45527</v>
      </c>
      <c r="B337" s="98" t="str">
        <f>IF(IFERROR(VLOOKUP(A337,'1.測量放樣'!C:D,1,0),"")="","","✔")</f>
        <v/>
      </c>
      <c r="C337" s="98" t="str">
        <f>IF(IFERROR(VLOOKUP(A337,'2.土方開挖'!C:D,1,0),"")="","","✔")</f>
        <v/>
      </c>
      <c r="D337" s="98" t="str">
        <f>IF(IFERROR(VLOOKUP(A337,'3.土方回填'!C:D,1,0),"")="","","✔")</f>
        <v/>
      </c>
      <c r="E337" s="98" t="str">
        <f>IF(IFERROR(VLOOKUP(A337,'4.鋼筋'!C:D,1,0),"")="","","✔")</f>
        <v/>
      </c>
      <c r="F337" s="98" t="str">
        <f>IF(IFERROR(VLOOKUP(A337,'5.模板'!C:D,1,0),"")="","","✔")</f>
        <v/>
      </c>
      <c r="G337" s="98" t="str">
        <f>IF(IFERROR(VLOOKUP(A337,'6.混凝土'!C:D,1,0),"")="","","✔")</f>
        <v/>
      </c>
      <c r="H337" s="98" t="str">
        <f>IF(IFERROR(VLOOKUP(A337,'7.植筋'!C:D,1,0),"")="","","✔")</f>
        <v/>
      </c>
      <c r="I337" s="98" t="str">
        <f>IF(IFERROR(VLOOKUP(A337,'8.預力混凝土基樁'!C:D,1,0),"")="","","✔")</f>
        <v/>
      </c>
      <c r="J337" s="98" t="str">
        <f>IF(IFERROR(VLOOKUP(A337,'9.砌塊石護岸'!C:D,1,0),"")="","","✔")</f>
        <v/>
      </c>
      <c r="K337" s="98" t="str">
        <f>IF(IFERROR(VLOOKUP(A337,'10.低水護岸'!C:D,1,0),"")="","","✔")</f>
        <v/>
      </c>
      <c r="L337" s="98" t="str">
        <f>IF(IFERROR(VLOOKUP(A337,'11.固床工'!C:D,1,0),"")="","","✔")</f>
        <v/>
      </c>
      <c r="M337" s="98" t="str">
        <f>IF(IFERROR(VLOOKUP(A337,'12.全套管基樁'!C:D,1,0),"")="","","✔")</f>
        <v/>
      </c>
      <c r="N337" s="98" t="str">
        <f>IF(IFERROR(VLOOKUP(A337,'13.鋼筋混凝土管工程'!C:D,1,0),"")="","","✔")</f>
        <v/>
      </c>
      <c r="O337" s="98" t="str">
        <f>IF(IFERROR(VLOOKUP(A337,'14.鋼版樁'!C:D,1,0),"")="","","✔")</f>
        <v/>
      </c>
      <c r="P337" s="98" t="str">
        <f>IF(IFERROR(VLOOKUP(A337,'15.路床 路基高程'!C:D,1,0),"")="","","✔")</f>
        <v/>
      </c>
      <c r="Q337" s="98" t="str">
        <f>IF(IFERROR(VLOOKUP(A337,'16.瀝青混凝土'!C:D,1,0),"")="","","✔")</f>
        <v/>
      </c>
      <c r="R337" s="98" t="str">
        <f>IF(IFERROR(VLOOKUP(A337,'17.景觀鋪面(一)'!C:D,1,0),"")="","","✔")</f>
        <v/>
      </c>
      <c r="S337" s="98" t="str">
        <f>IF(IFERROR(VLOOKUP(A337,'18.景觀鋪面(二)'!C:D,1,0),"")="","","✔")</f>
        <v/>
      </c>
      <c r="T337" s="98" t="str">
        <f>IF(IFERROR(VLOOKUP(A337,'19.預鑄緣石'!C:D,1,0),"")="","","✔")</f>
        <v/>
      </c>
      <c r="U337" s="98" t="str">
        <f>IF(IFERROR(VLOOKUP(A337,'20.鋼構工程吊裝'!C:D,1,0),"")="","","✔")</f>
        <v/>
      </c>
      <c r="V337" s="98" t="str">
        <f>IF(IFERROR(VLOOKUP(A337,'21.鋼構工程塗裝'!C:D,1,0),"")="","","✔")</f>
        <v/>
      </c>
      <c r="W337" s="98" t="str">
        <f>IF(IFERROR(VLOOKUP(A337,'22.排水設施(一)'!C:D,1,0),"")="","","✔")</f>
        <v/>
      </c>
      <c r="X337" s="98" t="str">
        <f>IF(IFERROR(VLOOKUP(A337,'23.排水設施(二)'!C:D,1,0),"")="","","✔")</f>
        <v/>
      </c>
      <c r="Y337" s="98" t="str">
        <f>IF(IFERROR(VLOOKUP(A337,'24.木構造'!C:D,1,0),"")="","","✔")</f>
        <v/>
      </c>
      <c r="Z337" s="98" t="str">
        <f>IF(IFERROR(VLOOKUP(A337,'25.管路'!C:D,1,0),"")="","","✔")</f>
        <v/>
      </c>
      <c r="AA337" s="98" t="str">
        <f>IF(IFERROR(VLOOKUP(A337,'26.植栽(移植)'!C:D,1,0),"")="","","✔")</f>
        <v/>
      </c>
      <c r="AB337" s="98" t="str">
        <f>IF(IFERROR(VLOOKUP(A337,'27.植栽(新植)'!C:D,1,0),"")="","","✔")</f>
        <v/>
      </c>
      <c r="AC337" s="98" t="str">
        <f>IF(IFERROR(VLOOKUP(A337,'28.照明'!C:D,1,0),"")="","","✔")</f>
        <v/>
      </c>
      <c r="AD337" s="98" t="str">
        <f>IF(IFERROR(VLOOKUP(A337,'29.既有橋梁拆除'!C:D,1,0),"")="","","✔")</f>
        <v/>
      </c>
    </row>
    <row r="338" spans="1:30" ht="21.75" customHeight="1" x14ac:dyDescent="0.25">
      <c r="A338" s="99">
        <v>45528</v>
      </c>
      <c r="B338" s="98" t="str">
        <f>IF(IFERROR(VLOOKUP(A338,'1.測量放樣'!C:D,1,0),"")="","","✔")</f>
        <v/>
      </c>
      <c r="C338" s="98" t="str">
        <f>IF(IFERROR(VLOOKUP(A338,'2.土方開挖'!C:D,1,0),"")="","","✔")</f>
        <v/>
      </c>
      <c r="D338" s="98" t="str">
        <f>IF(IFERROR(VLOOKUP(A338,'3.土方回填'!C:D,1,0),"")="","","✔")</f>
        <v/>
      </c>
      <c r="E338" s="98" t="str">
        <f>IF(IFERROR(VLOOKUP(A338,'4.鋼筋'!C:D,1,0),"")="","","✔")</f>
        <v/>
      </c>
      <c r="F338" s="98" t="str">
        <f>IF(IFERROR(VLOOKUP(A338,'5.模板'!C:D,1,0),"")="","","✔")</f>
        <v/>
      </c>
      <c r="G338" s="98" t="str">
        <f>IF(IFERROR(VLOOKUP(A338,'6.混凝土'!C:D,1,0),"")="","","✔")</f>
        <v/>
      </c>
      <c r="H338" s="98" t="str">
        <f>IF(IFERROR(VLOOKUP(A338,'7.植筋'!C:D,1,0),"")="","","✔")</f>
        <v/>
      </c>
      <c r="I338" s="98" t="str">
        <f>IF(IFERROR(VLOOKUP(A338,'8.預力混凝土基樁'!C:D,1,0),"")="","","✔")</f>
        <v/>
      </c>
      <c r="J338" s="98" t="str">
        <f>IF(IFERROR(VLOOKUP(A338,'9.砌塊石護岸'!C:D,1,0),"")="","","✔")</f>
        <v/>
      </c>
      <c r="K338" s="98" t="str">
        <f>IF(IFERROR(VLOOKUP(A338,'10.低水護岸'!C:D,1,0),"")="","","✔")</f>
        <v/>
      </c>
      <c r="L338" s="98" t="str">
        <f>IF(IFERROR(VLOOKUP(A338,'11.固床工'!C:D,1,0),"")="","","✔")</f>
        <v/>
      </c>
      <c r="M338" s="98" t="str">
        <f>IF(IFERROR(VLOOKUP(A338,'12.全套管基樁'!C:D,1,0),"")="","","✔")</f>
        <v/>
      </c>
      <c r="N338" s="98" t="str">
        <f>IF(IFERROR(VLOOKUP(A338,'13.鋼筋混凝土管工程'!C:D,1,0),"")="","","✔")</f>
        <v/>
      </c>
      <c r="O338" s="98" t="str">
        <f>IF(IFERROR(VLOOKUP(A338,'14.鋼版樁'!C:D,1,0),"")="","","✔")</f>
        <v/>
      </c>
      <c r="P338" s="98" t="str">
        <f>IF(IFERROR(VLOOKUP(A338,'15.路床 路基高程'!C:D,1,0),"")="","","✔")</f>
        <v/>
      </c>
      <c r="Q338" s="98" t="str">
        <f>IF(IFERROR(VLOOKUP(A338,'16.瀝青混凝土'!C:D,1,0),"")="","","✔")</f>
        <v/>
      </c>
      <c r="R338" s="98" t="str">
        <f>IF(IFERROR(VLOOKUP(A338,'17.景觀鋪面(一)'!C:D,1,0),"")="","","✔")</f>
        <v/>
      </c>
      <c r="S338" s="98" t="str">
        <f>IF(IFERROR(VLOOKUP(A338,'18.景觀鋪面(二)'!C:D,1,0),"")="","","✔")</f>
        <v/>
      </c>
      <c r="T338" s="98" t="str">
        <f>IF(IFERROR(VLOOKUP(A338,'19.預鑄緣石'!C:D,1,0),"")="","","✔")</f>
        <v/>
      </c>
      <c r="U338" s="98" t="str">
        <f>IF(IFERROR(VLOOKUP(A338,'20.鋼構工程吊裝'!C:D,1,0),"")="","","✔")</f>
        <v/>
      </c>
      <c r="V338" s="98" t="str">
        <f>IF(IFERROR(VLOOKUP(A338,'21.鋼構工程塗裝'!C:D,1,0),"")="","","✔")</f>
        <v/>
      </c>
      <c r="W338" s="98" t="str">
        <f>IF(IFERROR(VLOOKUP(A338,'22.排水設施(一)'!C:D,1,0),"")="","","✔")</f>
        <v/>
      </c>
      <c r="X338" s="98" t="str">
        <f>IF(IFERROR(VLOOKUP(A338,'23.排水設施(二)'!C:D,1,0),"")="","","✔")</f>
        <v/>
      </c>
      <c r="Y338" s="98" t="str">
        <f>IF(IFERROR(VLOOKUP(A338,'24.木構造'!C:D,1,0),"")="","","✔")</f>
        <v/>
      </c>
      <c r="Z338" s="98" t="str">
        <f>IF(IFERROR(VLOOKUP(A338,'25.管路'!C:D,1,0),"")="","","✔")</f>
        <v/>
      </c>
      <c r="AA338" s="98" t="str">
        <f>IF(IFERROR(VLOOKUP(A338,'26.植栽(移植)'!C:D,1,0),"")="","","✔")</f>
        <v/>
      </c>
      <c r="AB338" s="98" t="str">
        <f>IF(IFERROR(VLOOKUP(A338,'27.植栽(新植)'!C:D,1,0),"")="","","✔")</f>
        <v/>
      </c>
      <c r="AC338" s="98" t="str">
        <f>IF(IFERROR(VLOOKUP(A338,'28.照明'!C:D,1,0),"")="","","✔")</f>
        <v/>
      </c>
      <c r="AD338" s="98" t="str">
        <f>IF(IFERROR(VLOOKUP(A338,'29.既有橋梁拆除'!C:D,1,0),"")="","","✔")</f>
        <v/>
      </c>
    </row>
    <row r="339" spans="1:30" ht="21.75" customHeight="1" x14ac:dyDescent="0.25">
      <c r="A339" s="99">
        <v>45529</v>
      </c>
      <c r="B339" s="98" t="str">
        <f>IF(IFERROR(VLOOKUP(A339,'1.測量放樣'!C:D,1,0),"")="","","✔")</f>
        <v/>
      </c>
      <c r="C339" s="98" t="str">
        <f>IF(IFERROR(VLOOKUP(A339,'2.土方開挖'!C:D,1,0),"")="","","✔")</f>
        <v/>
      </c>
      <c r="D339" s="98" t="str">
        <f>IF(IFERROR(VLOOKUP(A339,'3.土方回填'!C:D,1,0),"")="","","✔")</f>
        <v/>
      </c>
      <c r="E339" s="98" t="str">
        <f>IF(IFERROR(VLOOKUP(A339,'4.鋼筋'!C:D,1,0),"")="","","✔")</f>
        <v/>
      </c>
      <c r="F339" s="98" t="str">
        <f>IF(IFERROR(VLOOKUP(A339,'5.模板'!C:D,1,0),"")="","","✔")</f>
        <v/>
      </c>
      <c r="G339" s="98" t="str">
        <f>IF(IFERROR(VLOOKUP(A339,'6.混凝土'!C:D,1,0),"")="","","✔")</f>
        <v/>
      </c>
      <c r="H339" s="98" t="str">
        <f>IF(IFERROR(VLOOKUP(A339,'7.植筋'!C:D,1,0),"")="","","✔")</f>
        <v/>
      </c>
      <c r="I339" s="98" t="str">
        <f>IF(IFERROR(VLOOKUP(A339,'8.預力混凝土基樁'!C:D,1,0),"")="","","✔")</f>
        <v/>
      </c>
      <c r="J339" s="98" t="str">
        <f>IF(IFERROR(VLOOKUP(A339,'9.砌塊石護岸'!C:D,1,0),"")="","","✔")</f>
        <v/>
      </c>
      <c r="K339" s="98" t="str">
        <f>IF(IFERROR(VLOOKUP(A339,'10.低水護岸'!C:D,1,0),"")="","","✔")</f>
        <v/>
      </c>
      <c r="L339" s="98" t="str">
        <f>IF(IFERROR(VLOOKUP(A339,'11.固床工'!C:D,1,0),"")="","","✔")</f>
        <v/>
      </c>
      <c r="M339" s="98" t="str">
        <f>IF(IFERROR(VLOOKUP(A339,'12.全套管基樁'!C:D,1,0),"")="","","✔")</f>
        <v/>
      </c>
      <c r="N339" s="98" t="str">
        <f>IF(IFERROR(VLOOKUP(A339,'13.鋼筋混凝土管工程'!C:D,1,0),"")="","","✔")</f>
        <v/>
      </c>
      <c r="O339" s="98" t="str">
        <f>IF(IFERROR(VLOOKUP(A339,'14.鋼版樁'!C:D,1,0),"")="","","✔")</f>
        <v/>
      </c>
      <c r="P339" s="98" t="str">
        <f>IF(IFERROR(VLOOKUP(A339,'15.路床 路基高程'!C:D,1,0),"")="","","✔")</f>
        <v/>
      </c>
      <c r="Q339" s="98" t="str">
        <f>IF(IFERROR(VLOOKUP(A339,'16.瀝青混凝土'!C:D,1,0),"")="","","✔")</f>
        <v/>
      </c>
      <c r="R339" s="98" t="str">
        <f>IF(IFERROR(VLOOKUP(A339,'17.景觀鋪面(一)'!C:D,1,0),"")="","","✔")</f>
        <v/>
      </c>
      <c r="S339" s="98" t="str">
        <f>IF(IFERROR(VLOOKUP(A339,'18.景觀鋪面(二)'!C:D,1,0),"")="","","✔")</f>
        <v/>
      </c>
      <c r="T339" s="98" t="str">
        <f>IF(IFERROR(VLOOKUP(A339,'19.預鑄緣石'!C:D,1,0),"")="","","✔")</f>
        <v/>
      </c>
      <c r="U339" s="98" t="str">
        <f>IF(IFERROR(VLOOKUP(A339,'20.鋼構工程吊裝'!C:D,1,0),"")="","","✔")</f>
        <v/>
      </c>
      <c r="V339" s="98" t="str">
        <f>IF(IFERROR(VLOOKUP(A339,'21.鋼構工程塗裝'!C:D,1,0),"")="","","✔")</f>
        <v/>
      </c>
      <c r="W339" s="98" t="str">
        <f>IF(IFERROR(VLOOKUP(A339,'22.排水設施(一)'!C:D,1,0),"")="","","✔")</f>
        <v/>
      </c>
      <c r="X339" s="98" t="str">
        <f>IF(IFERROR(VLOOKUP(A339,'23.排水設施(二)'!C:D,1,0),"")="","","✔")</f>
        <v/>
      </c>
      <c r="Y339" s="98" t="str">
        <f>IF(IFERROR(VLOOKUP(A339,'24.木構造'!C:D,1,0),"")="","","✔")</f>
        <v/>
      </c>
      <c r="Z339" s="98" t="str">
        <f>IF(IFERROR(VLOOKUP(A339,'25.管路'!C:D,1,0),"")="","","✔")</f>
        <v/>
      </c>
      <c r="AA339" s="98" t="str">
        <f>IF(IFERROR(VLOOKUP(A339,'26.植栽(移植)'!C:D,1,0),"")="","","✔")</f>
        <v/>
      </c>
      <c r="AB339" s="98" t="str">
        <f>IF(IFERROR(VLOOKUP(A339,'27.植栽(新植)'!C:D,1,0),"")="","","✔")</f>
        <v/>
      </c>
      <c r="AC339" s="98" t="str">
        <f>IF(IFERROR(VLOOKUP(A339,'28.照明'!C:D,1,0),"")="","","✔")</f>
        <v/>
      </c>
      <c r="AD339" s="98" t="str">
        <f>IF(IFERROR(VLOOKUP(A339,'29.既有橋梁拆除'!C:D,1,0),"")="","","✔")</f>
        <v/>
      </c>
    </row>
    <row r="340" spans="1:30" ht="21.75" customHeight="1" x14ac:dyDescent="0.25">
      <c r="A340" s="99">
        <v>45530</v>
      </c>
      <c r="B340" s="98" t="str">
        <f>IF(IFERROR(VLOOKUP(A340,'1.測量放樣'!C:D,1,0),"")="","","✔")</f>
        <v/>
      </c>
      <c r="C340" s="98" t="str">
        <f>IF(IFERROR(VLOOKUP(A340,'2.土方開挖'!C:D,1,0),"")="","","✔")</f>
        <v/>
      </c>
      <c r="D340" s="98" t="str">
        <f>IF(IFERROR(VLOOKUP(A340,'3.土方回填'!C:D,1,0),"")="","","✔")</f>
        <v/>
      </c>
      <c r="E340" s="98" t="str">
        <f>IF(IFERROR(VLOOKUP(A340,'4.鋼筋'!C:D,1,0),"")="","","✔")</f>
        <v/>
      </c>
      <c r="F340" s="98" t="str">
        <f>IF(IFERROR(VLOOKUP(A340,'5.模板'!C:D,1,0),"")="","","✔")</f>
        <v/>
      </c>
      <c r="G340" s="98" t="str">
        <f>IF(IFERROR(VLOOKUP(A340,'6.混凝土'!C:D,1,0),"")="","","✔")</f>
        <v/>
      </c>
      <c r="H340" s="98" t="str">
        <f>IF(IFERROR(VLOOKUP(A340,'7.植筋'!C:D,1,0),"")="","","✔")</f>
        <v/>
      </c>
      <c r="I340" s="98" t="str">
        <f>IF(IFERROR(VLOOKUP(A340,'8.預力混凝土基樁'!C:D,1,0),"")="","","✔")</f>
        <v/>
      </c>
      <c r="J340" s="98" t="str">
        <f>IF(IFERROR(VLOOKUP(A340,'9.砌塊石護岸'!C:D,1,0),"")="","","✔")</f>
        <v/>
      </c>
      <c r="K340" s="98" t="str">
        <f>IF(IFERROR(VLOOKUP(A340,'10.低水護岸'!C:D,1,0),"")="","","✔")</f>
        <v/>
      </c>
      <c r="L340" s="98" t="str">
        <f>IF(IFERROR(VLOOKUP(A340,'11.固床工'!C:D,1,0),"")="","","✔")</f>
        <v/>
      </c>
      <c r="M340" s="98" t="str">
        <f>IF(IFERROR(VLOOKUP(A340,'12.全套管基樁'!C:D,1,0),"")="","","✔")</f>
        <v/>
      </c>
      <c r="N340" s="98" t="str">
        <f>IF(IFERROR(VLOOKUP(A340,'13.鋼筋混凝土管工程'!C:D,1,0),"")="","","✔")</f>
        <v/>
      </c>
      <c r="O340" s="98" t="str">
        <f>IF(IFERROR(VLOOKUP(A340,'14.鋼版樁'!C:D,1,0),"")="","","✔")</f>
        <v/>
      </c>
      <c r="P340" s="98" t="str">
        <f>IF(IFERROR(VLOOKUP(A340,'15.路床 路基高程'!C:D,1,0),"")="","","✔")</f>
        <v/>
      </c>
      <c r="Q340" s="98" t="str">
        <f>IF(IFERROR(VLOOKUP(A340,'16.瀝青混凝土'!C:D,1,0),"")="","","✔")</f>
        <v/>
      </c>
      <c r="R340" s="98" t="str">
        <f>IF(IFERROR(VLOOKUP(A340,'17.景觀鋪面(一)'!C:D,1,0),"")="","","✔")</f>
        <v/>
      </c>
      <c r="S340" s="98" t="str">
        <f>IF(IFERROR(VLOOKUP(A340,'18.景觀鋪面(二)'!C:D,1,0),"")="","","✔")</f>
        <v/>
      </c>
      <c r="T340" s="98" t="str">
        <f>IF(IFERROR(VLOOKUP(A340,'19.預鑄緣石'!C:D,1,0),"")="","","✔")</f>
        <v/>
      </c>
      <c r="U340" s="98" t="str">
        <f>IF(IFERROR(VLOOKUP(A340,'20.鋼構工程吊裝'!C:D,1,0),"")="","","✔")</f>
        <v/>
      </c>
      <c r="V340" s="98" t="str">
        <f>IF(IFERROR(VLOOKUP(A340,'21.鋼構工程塗裝'!C:D,1,0),"")="","","✔")</f>
        <v/>
      </c>
      <c r="W340" s="98" t="str">
        <f>IF(IFERROR(VLOOKUP(A340,'22.排水設施(一)'!C:D,1,0),"")="","","✔")</f>
        <v/>
      </c>
      <c r="X340" s="98" t="str">
        <f>IF(IFERROR(VLOOKUP(A340,'23.排水設施(二)'!C:D,1,0),"")="","","✔")</f>
        <v/>
      </c>
      <c r="Y340" s="98" t="str">
        <f>IF(IFERROR(VLOOKUP(A340,'24.木構造'!C:D,1,0),"")="","","✔")</f>
        <v/>
      </c>
      <c r="Z340" s="98" t="str">
        <f>IF(IFERROR(VLOOKUP(A340,'25.管路'!C:D,1,0),"")="","","✔")</f>
        <v/>
      </c>
      <c r="AA340" s="98" t="str">
        <f>IF(IFERROR(VLOOKUP(A340,'26.植栽(移植)'!C:D,1,0),"")="","","✔")</f>
        <v/>
      </c>
      <c r="AB340" s="98" t="str">
        <f>IF(IFERROR(VLOOKUP(A340,'27.植栽(新植)'!C:D,1,0),"")="","","✔")</f>
        <v/>
      </c>
      <c r="AC340" s="98" t="str">
        <f>IF(IFERROR(VLOOKUP(A340,'28.照明'!C:D,1,0),"")="","","✔")</f>
        <v/>
      </c>
      <c r="AD340" s="98" t="str">
        <f>IF(IFERROR(VLOOKUP(A340,'29.既有橋梁拆除'!C:D,1,0),"")="","","✔")</f>
        <v/>
      </c>
    </row>
    <row r="341" spans="1:30" ht="21.75" customHeight="1" x14ac:dyDescent="0.25">
      <c r="A341" s="99">
        <v>45531</v>
      </c>
      <c r="B341" s="98" t="str">
        <f>IF(IFERROR(VLOOKUP(A341,'1.測量放樣'!C:D,1,0),"")="","","✔")</f>
        <v/>
      </c>
      <c r="C341" s="98" t="str">
        <f>IF(IFERROR(VLOOKUP(A341,'2.土方開挖'!C:D,1,0),"")="","","✔")</f>
        <v/>
      </c>
      <c r="D341" s="98" t="str">
        <f>IF(IFERROR(VLOOKUP(A341,'3.土方回填'!C:D,1,0),"")="","","✔")</f>
        <v/>
      </c>
      <c r="E341" s="98" t="str">
        <f>IF(IFERROR(VLOOKUP(A341,'4.鋼筋'!C:D,1,0),"")="","","✔")</f>
        <v/>
      </c>
      <c r="F341" s="98" t="str">
        <f>IF(IFERROR(VLOOKUP(A341,'5.模板'!C:D,1,0),"")="","","✔")</f>
        <v/>
      </c>
      <c r="G341" s="98" t="str">
        <f>IF(IFERROR(VLOOKUP(A341,'6.混凝土'!C:D,1,0),"")="","","✔")</f>
        <v/>
      </c>
      <c r="H341" s="98" t="str">
        <f>IF(IFERROR(VLOOKUP(A341,'7.植筋'!C:D,1,0),"")="","","✔")</f>
        <v/>
      </c>
      <c r="I341" s="98" t="str">
        <f>IF(IFERROR(VLOOKUP(A341,'8.預力混凝土基樁'!C:D,1,0),"")="","","✔")</f>
        <v/>
      </c>
      <c r="J341" s="98" t="str">
        <f>IF(IFERROR(VLOOKUP(A341,'9.砌塊石護岸'!C:D,1,0),"")="","","✔")</f>
        <v/>
      </c>
      <c r="K341" s="98" t="str">
        <f>IF(IFERROR(VLOOKUP(A341,'10.低水護岸'!C:D,1,0),"")="","","✔")</f>
        <v/>
      </c>
      <c r="L341" s="98" t="str">
        <f>IF(IFERROR(VLOOKUP(A341,'11.固床工'!C:D,1,0),"")="","","✔")</f>
        <v/>
      </c>
      <c r="M341" s="98" t="str">
        <f>IF(IFERROR(VLOOKUP(A341,'12.全套管基樁'!C:D,1,0),"")="","","✔")</f>
        <v/>
      </c>
      <c r="N341" s="98" t="str">
        <f>IF(IFERROR(VLOOKUP(A341,'13.鋼筋混凝土管工程'!C:D,1,0),"")="","","✔")</f>
        <v/>
      </c>
      <c r="O341" s="98" t="str">
        <f>IF(IFERROR(VLOOKUP(A341,'14.鋼版樁'!C:D,1,0),"")="","","✔")</f>
        <v/>
      </c>
      <c r="P341" s="98" t="str">
        <f>IF(IFERROR(VLOOKUP(A341,'15.路床 路基高程'!C:D,1,0),"")="","","✔")</f>
        <v/>
      </c>
      <c r="Q341" s="98" t="str">
        <f>IF(IFERROR(VLOOKUP(A341,'16.瀝青混凝土'!C:D,1,0),"")="","","✔")</f>
        <v/>
      </c>
      <c r="R341" s="98" t="str">
        <f>IF(IFERROR(VLOOKUP(A341,'17.景觀鋪面(一)'!C:D,1,0),"")="","","✔")</f>
        <v/>
      </c>
      <c r="S341" s="98" t="str">
        <f>IF(IFERROR(VLOOKUP(A341,'18.景觀鋪面(二)'!C:D,1,0),"")="","","✔")</f>
        <v/>
      </c>
      <c r="T341" s="98" t="str">
        <f>IF(IFERROR(VLOOKUP(A341,'19.預鑄緣石'!C:D,1,0),"")="","","✔")</f>
        <v/>
      </c>
      <c r="U341" s="98" t="str">
        <f>IF(IFERROR(VLOOKUP(A341,'20.鋼構工程吊裝'!C:D,1,0),"")="","","✔")</f>
        <v/>
      </c>
      <c r="V341" s="98" t="str">
        <f>IF(IFERROR(VLOOKUP(A341,'21.鋼構工程塗裝'!C:D,1,0),"")="","","✔")</f>
        <v/>
      </c>
      <c r="W341" s="98" t="str">
        <f>IF(IFERROR(VLOOKUP(A341,'22.排水設施(一)'!C:D,1,0),"")="","","✔")</f>
        <v/>
      </c>
      <c r="X341" s="98" t="str">
        <f>IF(IFERROR(VLOOKUP(A341,'23.排水設施(二)'!C:D,1,0),"")="","","✔")</f>
        <v/>
      </c>
      <c r="Y341" s="98" t="str">
        <f>IF(IFERROR(VLOOKUP(A341,'24.木構造'!C:D,1,0),"")="","","✔")</f>
        <v/>
      </c>
      <c r="Z341" s="98" t="str">
        <f>IF(IFERROR(VLOOKUP(A341,'25.管路'!C:D,1,0),"")="","","✔")</f>
        <v/>
      </c>
      <c r="AA341" s="98" t="str">
        <f>IF(IFERROR(VLOOKUP(A341,'26.植栽(移植)'!C:D,1,0),"")="","","✔")</f>
        <v/>
      </c>
      <c r="AB341" s="98" t="str">
        <f>IF(IFERROR(VLOOKUP(A341,'27.植栽(新植)'!C:D,1,0),"")="","","✔")</f>
        <v/>
      </c>
      <c r="AC341" s="98" t="str">
        <f>IF(IFERROR(VLOOKUP(A341,'28.照明'!C:D,1,0),"")="","","✔")</f>
        <v/>
      </c>
      <c r="AD341" s="98" t="str">
        <f>IF(IFERROR(VLOOKUP(A341,'29.既有橋梁拆除'!C:D,1,0),"")="","","✔")</f>
        <v/>
      </c>
    </row>
    <row r="342" spans="1:30" ht="21.75" customHeight="1" x14ac:dyDescent="0.25">
      <c r="A342" s="99">
        <v>45532</v>
      </c>
      <c r="B342" s="98" t="str">
        <f>IF(IFERROR(VLOOKUP(A342,'1.測量放樣'!C:D,1,0),"")="","","✔")</f>
        <v/>
      </c>
      <c r="C342" s="98" t="str">
        <f>IF(IFERROR(VLOOKUP(A342,'2.土方開挖'!C:D,1,0),"")="","","✔")</f>
        <v/>
      </c>
      <c r="D342" s="98" t="str">
        <f>IF(IFERROR(VLOOKUP(A342,'3.土方回填'!C:D,1,0),"")="","","✔")</f>
        <v/>
      </c>
      <c r="E342" s="98" t="str">
        <f>IF(IFERROR(VLOOKUP(A342,'4.鋼筋'!C:D,1,0),"")="","","✔")</f>
        <v/>
      </c>
      <c r="F342" s="98" t="str">
        <f>IF(IFERROR(VLOOKUP(A342,'5.模板'!C:D,1,0),"")="","","✔")</f>
        <v/>
      </c>
      <c r="G342" s="98" t="str">
        <f>IF(IFERROR(VLOOKUP(A342,'6.混凝土'!C:D,1,0),"")="","","✔")</f>
        <v/>
      </c>
      <c r="H342" s="98" t="str">
        <f>IF(IFERROR(VLOOKUP(A342,'7.植筋'!C:D,1,0),"")="","","✔")</f>
        <v/>
      </c>
      <c r="I342" s="98" t="str">
        <f>IF(IFERROR(VLOOKUP(A342,'8.預力混凝土基樁'!C:D,1,0),"")="","","✔")</f>
        <v/>
      </c>
      <c r="J342" s="98" t="str">
        <f>IF(IFERROR(VLOOKUP(A342,'9.砌塊石護岸'!C:D,1,0),"")="","","✔")</f>
        <v/>
      </c>
      <c r="K342" s="98" t="str">
        <f>IF(IFERROR(VLOOKUP(A342,'10.低水護岸'!C:D,1,0),"")="","","✔")</f>
        <v/>
      </c>
      <c r="L342" s="98" t="str">
        <f>IF(IFERROR(VLOOKUP(A342,'11.固床工'!C:D,1,0),"")="","","✔")</f>
        <v/>
      </c>
      <c r="M342" s="98" t="str">
        <f>IF(IFERROR(VLOOKUP(A342,'12.全套管基樁'!C:D,1,0),"")="","","✔")</f>
        <v/>
      </c>
      <c r="N342" s="98" t="str">
        <f>IF(IFERROR(VLOOKUP(A342,'13.鋼筋混凝土管工程'!C:D,1,0),"")="","","✔")</f>
        <v/>
      </c>
      <c r="O342" s="98" t="str">
        <f>IF(IFERROR(VLOOKUP(A342,'14.鋼版樁'!C:D,1,0),"")="","","✔")</f>
        <v/>
      </c>
      <c r="P342" s="98" t="str">
        <f>IF(IFERROR(VLOOKUP(A342,'15.路床 路基高程'!C:D,1,0),"")="","","✔")</f>
        <v/>
      </c>
      <c r="Q342" s="98" t="str">
        <f>IF(IFERROR(VLOOKUP(A342,'16.瀝青混凝土'!C:D,1,0),"")="","","✔")</f>
        <v/>
      </c>
      <c r="R342" s="98" t="str">
        <f>IF(IFERROR(VLOOKUP(A342,'17.景觀鋪面(一)'!C:D,1,0),"")="","","✔")</f>
        <v/>
      </c>
      <c r="S342" s="98" t="str">
        <f>IF(IFERROR(VLOOKUP(A342,'18.景觀鋪面(二)'!C:D,1,0),"")="","","✔")</f>
        <v/>
      </c>
      <c r="T342" s="98" t="str">
        <f>IF(IFERROR(VLOOKUP(A342,'19.預鑄緣石'!C:D,1,0),"")="","","✔")</f>
        <v/>
      </c>
      <c r="U342" s="98" t="str">
        <f>IF(IFERROR(VLOOKUP(A342,'20.鋼構工程吊裝'!C:D,1,0),"")="","","✔")</f>
        <v/>
      </c>
      <c r="V342" s="98" t="str">
        <f>IF(IFERROR(VLOOKUP(A342,'21.鋼構工程塗裝'!C:D,1,0),"")="","","✔")</f>
        <v/>
      </c>
      <c r="W342" s="98" t="str">
        <f>IF(IFERROR(VLOOKUP(A342,'22.排水設施(一)'!C:D,1,0),"")="","","✔")</f>
        <v/>
      </c>
      <c r="X342" s="98" t="str">
        <f>IF(IFERROR(VLOOKUP(A342,'23.排水設施(二)'!C:D,1,0),"")="","","✔")</f>
        <v/>
      </c>
      <c r="Y342" s="98" t="str">
        <f>IF(IFERROR(VLOOKUP(A342,'24.木構造'!C:D,1,0),"")="","","✔")</f>
        <v/>
      </c>
      <c r="Z342" s="98" t="str">
        <f>IF(IFERROR(VLOOKUP(A342,'25.管路'!C:D,1,0),"")="","","✔")</f>
        <v/>
      </c>
      <c r="AA342" s="98" t="str">
        <f>IF(IFERROR(VLOOKUP(A342,'26.植栽(移植)'!C:D,1,0),"")="","","✔")</f>
        <v/>
      </c>
      <c r="AB342" s="98" t="str">
        <f>IF(IFERROR(VLOOKUP(A342,'27.植栽(新植)'!C:D,1,0),"")="","","✔")</f>
        <v/>
      </c>
      <c r="AC342" s="98" t="str">
        <f>IF(IFERROR(VLOOKUP(A342,'28.照明'!C:D,1,0),"")="","","✔")</f>
        <v/>
      </c>
      <c r="AD342" s="98" t="str">
        <f>IF(IFERROR(VLOOKUP(A342,'29.既有橋梁拆除'!C:D,1,0),"")="","","✔")</f>
        <v/>
      </c>
    </row>
    <row r="343" spans="1:30" ht="21.75" customHeight="1" x14ac:dyDescent="0.25">
      <c r="A343" s="99">
        <v>45533</v>
      </c>
      <c r="B343" s="98" t="str">
        <f>IF(IFERROR(VLOOKUP(A343,'1.測量放樣'!C:D,1,0),"")="","","✔")</f>
        <v/>
      </c>
      <c r="C343" s="98" t="str">
        <f>IF(IFERROR(VLOOKUP(A343,'2.土方開挖'!C:D,1,0),"")="","","✔")</f>
        <v/>
      </c>
      <c r="D343" s="98" t="str">
        <f>IF(IFERROR(VLOOKUP(A343,'3.土方回填'!C:D,1,0),"")="","","✔")</f>
        <v/>
      </c>
      <c r="E343" s="98" t="str">
        <f>IF(IFERROR(VLOOKUP(A343,'4.鋼筋'!C:D,1,0),"")="","","✔")</f>
        <v/>
      </c>
      <c r="F343" s="98" t="str">
        <f>IF(IFERROR(VLOOKUP(A343,'5.模板'!C:D,1,0),"")="","","✔")</f>
        <v/>
      </c>
      <c r="G343" s="98" t="str">
        <f>IF(IFERROR(VLOOKUP(A343,'6.混凝土'!C:D,1,0),"")="","","✔")</f>
        <v/>
      </c>
      <c r="H343" s="98" t="str">
        <f>IF(IFERROR(VLOOKUP(A343,'7.植筋'!C:D,1,0),"")="","","✔")</f>
        <v/>
      </c>
      <c r="I343" s="98" t="str">
        <f>IF(IFERROR(VLOOKUP(A343,'8.預力混凝土基樁'!C:D,1,0),"")="","","✔")</f>
        <v/>
      </c>
      <c r="J343" s="98" t="str">
        <f>IF(IFERROR(VLOOKUP(A343,'9.砌塊石護岸'!C:D,1,0),"")="","","✔")</f>
        <v/>
      </c>
      <c r="K343" s="98" t="str">
        <f>IF(IFERROR(VLOOKUP(A343,'10.低水護岸'!C:D,1,0),"")="","","✔")</f>
        <v/>
      </c>
      <c r="L343" s="98" t="str">
        <f>IF(IFERROR(VLOOKUP(A343,'11.固床工'!C:D,1,0),"")="","","✔")</f>
        <v/>
      </c>
      <c r="M343" s="98" t="str">
        <f>IF(IFERROR(VLOOKUP(A343,'12.全套管基樁'!C:D,1,0),"")="","","✔")</f>
        <v/>
      </c>
      <c r="N343" s="98" t="str">
        <f>IF(IFERROR(VLOOKUP(A343,'13.鋼筋混凝土管工程'!C:D,1,0),"")="","","✔")</f>
        <v/>
      </c>
      <c r="O343" s="98" t="str">
        <f>IF(IFERROR(VLOOKUP(A343,'14.鋼版樁'!C:D,1,0),"")="","","✔")</f>
        <v/>
      </c>
      <c r="P343" s="98" t="str">
        <f>IF(IFERROR(VLOOKUP(A343,'15.路床 路基高程'!C:D,1,0),"")="","","✔")</f>
        <v/>
      </c>
      <c r="Q343" s="98" t="str">
        <f>IF(IFERROR(VLOOKUP(A343,'16.瀝青混凝土'!C:D,1,0),"")="","","✔")</f>
        <v/>
      </c>
      <c r="R343" s="98" t="str">
        <f>IF(IFERROR(VLOOKUP(A343,'17.景觀鋪面(一)'!C:D,1,0),"")="","","✔")</f>
        <v/>
      </c>
      <c r="S343" s="98" t="str">
        <f>IF(IFERROR(VLOOKUP(A343,'18.景觀鋪面(二)'!C:D,1,0),"")="","","✔")</f>
        <v/>
      </c>
      <c r="T343" s="98" t="str">
        <f>IF(IFERROR(VLOOKUP(A343,'19.預鑄緣石'!C:D,1,0),"")="","","✔")</f>
        <v/>
      </c>
      <c r="U343" s="98" t="str">
        <f>IF(IFERROR(VLOOKUP(A343,'20.鋼構工程吊裝'!C:D,1,0),"")="","","✔")</f>
        <v/>
      </c>
      <c r="V343" s="98" t="str">
        <f>IF(IFERROR(VLOOKUP(A343,'21.鋼構工程塗裝'!C:D,1,0),"")="","","✔")</f>
        <v/>
      </c>
      <c r="W343" s="98" t="str">
        <f>IF(IFERROR(VLOOKUP(A343,'22.排水設施(一)'!C:D,1,0),"")="","","✔")</f>
        <v/>
      </c>
      <c r="X343" s="98" t="str">
        <f>IF(IFERROR(VLOOKUP(A343,'23.排水設施(二)'!C:D,1,0),"")="","","✔")</f>
        <v/>
      </c>
      <c r="Y343" s="98" t="str">
        <f>IF(IFERROR(VLOOKUP(A343,'24.木構造'!C:D,1,0),"")="","","✔")</f>
        <v/>
      </c>
      <c r="Z343" s="98" t="str">
        <f>IF(IFERROR(VLOOKUP(A343,'25.管路'!C:D,1,0),"")="","","✔")</f>
        <v/>
      </c>
      <c r="AA343" s="98" t="str">
        <f>IF(IFERROR(VLOOKUP(A343,'26.植栽(移植)'!C:D,1,0),"")="","","✔")</f>
        <v/>
      </c>
      <c r="AB343" s="98" t="str">
        <f>IF(IFERROR(VLOOKUP(A343,'27.植栽(新植)'!C:D,1,0),"")="","","✔")</f>
        <v/>
      </c>
      <c r="AC343" s="98" t="str">
        <f>IF(IFERROR(VLOOKUP(A343,'28.照明'!C:D,1,0),"")="","","✔")</f>
        <v/>
      </c>
      <c r="AD343" s="98" t="str">
        <f>IF(IFERROR(VLOOKUP(A343,'29.既有橋梁拆除'!C:D,1,0),"")="","","✔")</f>
        <v/>
      </c>
    </row>
    <row r="344" spans="1:30" ht="21.75" customHeight="1" x14ac:dyDescent="0.25">
      <c r="A344" s="99">
        <v>45534</v>
      </c>
      <c r="B344" s="98" t="str">
        <f>IF(IFERROR(VLOOKUP(A344,'1.測量放樣'!C:D,1,0),"")="","","✔")</f>
        <v/>
      </c>
      <c r="C344" s="98" t="str">
        <f>IF(IFERROR(VLOOKUP(A344,'2.土方開挖'!C:D,1,0),"")="","","✔")</f>
        <v/>
      </c>
      <c r="D344" s="98" t="str">
        <f>IF(IFERROR(VLOOKUP(A344,'3.土方回填'!C:D,1,0),"")="","","✔")</f>
        <v/>
      </c>
      <c r="E344" s="98" t="str">
        <f>IF(IFERROR(VLOOKUP(A344,'4.鋼筋'!C:D,1,0),"")="","","✔")</f>
        <v/>
      </c>
      <c r="F344" s="98" t="str">
        <f>IF(IFERROR(VLOOKUP(A344,'5.模板'!C:D,1,0),"")="","","✔")</f>
        <v/>
      </c>
      <c r="G344" s="98" t="str">
        <f>IF(IFERROR(VLOOKUP(A344,'6.混凝土'!C:D,1,0),"")="","","✔")</f>
        <v/>
      </c>
      <c r="H344" s="98" t="str">
        <f>IF(IFERROR(VLOOKUP(A344,'7.植筋'!C:D,1,0),"")="","","✔")</f>
        <v/>
      </c>
      <c r="I344" s="98" t="str">
        <f>IF(IFERROR(VLOOKUP(A344,'8.預力混凝土基樁'!C:D,1,0),"")="","","✔")</f>
        <v/>
      </c>
      <c r="J344" s="98" t="str">
        <f>IF(IFERROR(VLOOKUP(A344,'9.砌塊石護岸'!C:D,1,0),"")="","","✔")</f>
        <v/>
      </c>
      <c r="K344" s="98" t="str">
        <f>IF(IFERROR(VLOOKUP(A344,'10.低水護岸'!C:D,1,0),"")="","","✔")</f>
        <v/>
      </c>
      <c r="L344" s="98" t="str">
        <f>IF(IFERROR(VLOOKUP(A344,'11.固床工'!C:D,1,0),"")="","","✔")</f>
        <v/>
      </c>
      <c r="M344" s="98" t="str">
        <f>IF(IFERROR(VLOOKUP(A344,'12.全套管基樁'!C:D,1,0),"")="","","✔")</f>
        <v/>
      </c>
      <c r="N344" s="98" t="str">
        <f>IF(IFERROR(VLOOKUP(A344,'13.鋼筋混凝土管工程'!C:D,1,0),"")="","","✔")</f>
        <v/>
      </c>
      <c r="O344" s="98" t="str">
        <f>IF(IFERROR(VLOOKUP(A344,'14.鋼版樁'!C:D,1,0),"")="","","✔")</f>
        <v/>
      </c>
      <c r="P344" s="98" t="str">
        <f>IF(IFERROR(VLOOKUP(A344,'15.路床 路基高程'!C:D,1,0),"")="","","✔")</f>
        <v/>
      </c>
      <c r="Q344" s="98" t="str">
        <f>IF(IFERROR(VLOOKUP(A344,'16.瀝青混凝土'!C:D,1,0),"")="","","✔")</f>
        <v/>
      </c>
      <c r="R344" s="98" t="str">
        <f>IF(IFERROR(VLOOKUP(A344,'17.景觀鋪面(一)'!C:D,1,0),"")="","","✔")</f>
        <v/>
      </c>
      <c r="S344" s="98" t="str">
        <f>IF(IFERROR(VLOOKUP(A344,'18.景觀鋪面(二)'!C:D,1,0),"")="","","✔")</f>
        <v/>
      </c>
      <c r="T344" s="98" t="str">
        <f>IF(IFERROR(VLOOKUP(A344,'19.預鑄緣石'!C:D,1,0),"")="","","✔")</f>
        <v/>
      </c>
      <c r="U344" s="98" t="str">
        <f>IF(IFERROR(VLOOKUP(A344,'20.鋼構工程吊裝'!C:D,1,0),"")="","","✔")</f>
        <v/>
      </c>
      <c r="V344" s="98" t="str">
        <f>IF(IFERROR(VLOOKUP(A344,'21.鋼構工程塗裝'!C:D,1,0),"")="","","✔")</f>
        <v/>
      </c>
      <c r="W344" s="98" t="str">
        <f>IF(IFERROR(VLOOKUP(A344,'22.排水設施(一)'!C:D,1,0),"")="","","✔")</f>
        <v/>
      </c>
      <c r="X344" s="98" t="str">
        <f>IF(IFERROR(VLOOKUP(A344,'23.排水設施(二)'!C:D,1,0),"")="","","✔")</f>
        <v/>
      </c>
      <c r="Y344" s="98" t="str">
        <f>IF(IFERROR(VLOOKUP(A344,'24.木構造'!C:D,1,0),"")="","","✔")</f>
        <v/>
      </c>
      <c r="Z344" s="98" t="str">
        <f>IF(IFERROR(VLOOKUP(A344,'25.管路'!C:D,1,0),"")="","","✔")</f>
        <v/>
      </c>
      <c r="AA344" s="98" t="str">
        <f>IF(IFERROR(VLOOKUP(A344,'26.植栽(移植)'!C:D,1,0),"")="","","✔")</f>
        <v/>
      </c>
      <c r="AB344" s="98" t="str">
        <f>IF(IFERROR(VLOOKUP(A344,'27.植栽(新植)'!C:D,1,0),"")="","","✔")</f>
        <v/>
      </c>
      <c r="AC344" s="98" t="str">
        <f>IF(IFERROR(VLOOKUP(A344,'28.照明'!C:D,1,0),"")="","","✔")</f>
        <v/>
      </c>
      <c r="AD344" s="98" t="str">
        <f>IF(IFERROR(VLOOKUP(A344,'29.既有橋梁拆除'!C:D,1,0),"")="","","✔")</f>
        <v/>
      </c>
    </row>
    <row r="345" spans="1:30" ht="21.75" customHeight="1" x14ac:dyDescent="0.25">
      <c r="A345" s="99">
        <v>45535</v>
      </c>
      <c r="B345" s="98" t="str">
        <f>IF(IFERROR(VLOOKUP(A345,'1.測量放樣'!C:D,1,0),"")="","","✔")</f>
        <v/>
      </c>
      <c r="C345" s="98" t="str">
        <f>IF(IFERROR(VLOOKUP(A345,'2.土方開挖'!C:D,1,0),"")="","","✔")</f>
        <v/>
      </c>
      <c r="D345" s="98" t="str">
        <f>IF(IFERROR(VLOOKUP(A345,'3.土方回填'!C:D,1,0),"")="","","✔")</f>
        <v/>
      </c>
      <c r="E345" s="98" t="str">
        <f>IF(IFERROR(VLOOKUP(A345,'4.鋼筋'!C:D,1,0),"")="","","✔")</f>
        <v/>
      </c>
      <c r="F345" s="98" t="str">
        <f>IF(IFERROR(VLOOKUP(A345,'5.模板'!C:D,1,0),"")="","","✔")</f>
        <v/>
      </c>
      <c r="G345" s="98" t="str">
        <f>IF(IFERROR(VLOOKUP(A345,'6.混凝土'!C:D,1,0),"")="","","✔")</f>
        <v/>
      </c>
      <c r="H345" s="98" t="str">
        <f>IF(IFERROR(VLOOKUP(A345,'7.植筋'!C:D,1,0),"")="","","✔")</f>
        <v/>
      </c>
      <c r="I345" s="98" t="str">
        <f>IF(IFERROR(VLOOKUP(A345,'8.預力混凝土基樁'!C:D,1,0),"")="","","✔")</f>
        <v/>
      </c>
      <c r="J345" s="98" t="str">
        <f>IF(IFERROR(VLOOKUP(A345,'9.砌塊石護岸'!C:D,1,0),"")="","","✔")</f>
        <v/>
      </c>
      <c r="K345" s="98" t="str">
        <f>IF(IFERROR(VLOOKUP(A345,'10.低水護岸'!C:D,1,0),"")="","","✔")</f>
        <v/>
      </c>
      <c r="L345" s="98" t="str">
        <f>IF(IFERROR(VLOOKUP(A345,'11.固床工'!C:D,1,0),"")="","","✔")</f>
        <v/>
      </c>
      <c r="M345" s="98" t="str">
        <f>IF(IFERROR(VLOOKUP(A345,'12.全套管基樁'!C:D,1,0),"")="","","✔")</f>
        <v/>
      </c>
      <c r="N345" s="98" t="str">
        <f>IF(IFERROR(VLOOKUP(A345,'13.鋼筋混凝土管工程'!C:D,1,0),"")="","","✔")</f>
        <v/>
      </c>
      <c r="O345" s="98" t="str">
        <f>IF(IFERROR(VLOOKUP(A345,'14.鋼版樁'!C:D,1,0),"")="","","✔")</f>
        <v/>
      </c>
      <c r="P345" s="98" t="str">
        <f>IF(IFERROR(VLOOKUP(A345,'15.路床 路基高程'!C:D,1,0),"")="","","✔")</f>
        <v/>
      </c>
      <c r="Q345" s="98" t="str">
        <f>IF(IFERROR(VLOOKUP(A345,'16.瀝青混凝土'!C:D,1,0),"")="","","✔")</f>
        <v/>
      </c>
      <c r="R345" s="98" t="str">
        <f>IF(IFERROR(VLOOKUP(A345,'17.景觀鋪面(一)'!C:D,1,0),"")="","","✔")</f>
        <v/>
      </c>
      <c r="S345" s="98" t="str">
        <f>IF(IFERROR(VLOOKUP(A345,'18.景觀鋪面(二)'!C:D,1,0),"")="","","✔")</f>
        <v/>
      </c>
      <c r="T345" s="98" t="str">
        <f>IF(IFERROR(VLOOKUP(A345,'19.預鑄緣石'!C:D,1,0),"")="","","✔")</f>
        <v/>
      </c>
      <c r="U345" s="98" t="str">
        <f>IF(IFERROR(VLOOKUP(A345,'20.鋼構工程吊裝'!C:D,1,0),"")="","","✔")</f>
        <v/>
      </c>
      <c r="V345" s="98" t="str">
        <f>IF(IFERROR(VLOOKUP(A345,'21.鋼構工程塗裝'!C:D,1,0),"")="","","✔")</f>
        <v/>
      </c>
      <c r="W345" s="98" t="str">
        <f>IF(IFERROR(VLOOKUP(A345,'22.排水設施(一)'!C:D,1,0),"")="","","✔")</f>
        <v/>
      </c>
      <c r="X345" s="98" t="str">
        <f>IF(IFERROR(VLOOKUP(A345,'23.排水設施(二)'!C:D,1,0),"")="","","✔")</f>
        <v/>
      </c>
      <c r="Y345" s="98" t="str">
        <f>IF(IFERROR(VLOOKUP(A345,'24.木構造'!C:D,1,0),"")="","","✔")</f>
        <v/>
      </c>
      <c r="Z345" s="98" t="str">
        <f>IF(IFERROR(VLOOKUP(A345,'25.管路'!C:D,1,0),"")="","","✔")</f>
        <v/>
      </c>
      <c r="AA345" s="98" t="str">
        <f>IF(IFERROR(VLOOKUP(A345,'26.植栽(移植)'!C:D,1,0),"")="","","✔")</f>
        <v/>
      </c>
      <c r="AB345" s="98" t="str">
        <f>IF(IFERROR(VLOOKUP(A345,'27.植栽(新植)'!C:D,1,0),"")="","","✔")</f>
        <v/>
      </c>
      <c r="AC345" s="98" t="str">
        <f>IF(IFERROR(VLOOKUP(A345,'28.照明'!C:D,1,0),"")="","","✔")</f>
        <v/>
      </c>
      <c r="AD345" s="98" t="str">
        <f>IF(IFERROR(VLOOKUP(A345,'29.既有橋梁拆除'!C:D,1,0),"")="","","✔")</f>
        <v/>
      </c>
    </row>
    <row r="346" spans="1:30" ht="21.75" customHeight="1" x14ac:dyDescent="0.25">
      <c r="A346" s="99">
        <v>45536</v>
      </c>
      <c r="B346" s="98" t="str">
        <f>IF(IFERROR(VLOOKUP(A346,'1.測量放樣'!C:D,1,0),"")="","","✔")</f>
        <v/>
      </c>
      <c r="C346" s="98" t="str">
        <f>IF(IFERROR(VLOOKUP(A346,'2.土方開挖'!C:D,1,0),"")="","","✔")</f>
        <v/>
      </c>
      <c r="D346" s="98" t="str">
        <f>IF(IFERROR(VLOOKUP(A346,'3.土方回填'!C:D,1,0),"")="","","✔")</f>
        <v/>
      </c>
      <c r="E346" s="98" t="str">
        <f>IF(IFERROR(VLOOKUP(A346,'4.鋼筋'!C:D,1,0),"")="","","✔")</f>
        <v/>
      </c>
      <c r="F346" s="98" t="str">
        <f>IF(IFERROR(VLOOKUP(A346,'5.模板'!C:D,1,0),"")="","","✔")</f>
        <v/>
      </c>
      <c r="G346" s="98" t="str">
        <f>IF(IFERROR(VLOOKUP(A346,'6.混凝土'!C:D,1,0),"")="","","✔")</f>
        <v/>
      </c>
      <c r="H346" s="98" t="str">
        <f>IF(IFERROR(VLOOKUP(A346,'7.植筋'!C:D,1,0),"")="","","✔")</f>
        <v/>
      </c>
      <c r="I346" s="98" t="str">
        <f>IF(IFERROR(VLOOKUP(A346,'8.預力混凝土基樁'!C:D,1,0),"")="","","✔")</f>
        <v/>
      </c>
      <c r="J346" s="98" t="str">
        <f>IF(IFERROR(VLOOKUP(A346,'9.砌塊石護岸'!C:D,1,0),"")="","","✔")</f>
        <v/>
      </c>
      <c r="K346" s="98" t="str">
        <f>IF(IFERROR(VLOOKUP(A346,'10.低水護岸'!C:D,1,0),"")="","","✔")</f>
        <v/>
      </c>
      <c r="L346" s="98" t="str">
        <f>IF(IFERROR(VLOOKUP(A346,'11.固床工'!C:D,1,0),"")="","","✔")</f>
        <v/>
      </c>
      <c r="M346" s="98" t="str">
        <f>IF(IFERROR(VLOOKUP(A346,'12.全套管基樁'!C:D,1,0),"")="","","✔")</f>
        <v/>
      </c>
      <c r="N346" s="98" t="str">
        <f>IF(IFERROR(VLOOKUP(A346,'13.鋼筋混凝土管工程'!C:D,1,0),"")="","","✔")</f>
        <v/>
      </c>
      <c r="O346" s="98" t="str">
        <f>IF(IFERROR(VLOOKUP(A346,'14.鋼版樁'!C:D,1,0),"")="","","✔")</f>
        <v/>
      </c>
      <c r="P346" s="98" t="str">
        <f>IF(IFERROR(VLOOKUP(A346,'15.路床 路基高程'!C:D,1,0),"")="","","✔")</f>
        <v/>
      </c>
      <c r="Q346" s="98" t="str">
        <f>IF(IFERROR(VLOOKUP(A346,'16.瀝青混凝土'!C:D,1,0),"")="","","✔")</f>
        <v/>
      </c>
      <c r="R346" s="98" t="str">
        <f>IF(IFERROR(VLOOKUP(A346,'17.景觀鋪面(一)'!C:D,1,0),"")="","","✔")</f>
        <v/>
      </c>
      <c r="S346" s="98" t="str">
        <f>IF(IFERROR(VLOOKUP(A346,'18.景觀鋪面(二)'!C:D,1,0),"")="","","✔")</f>
        <v/>
      </c>
      <c r="T346" s="98" t="str">
        <f>IF(IFERROR(VLOOKUP(A346,'19.預鑄緣石'!C:D,1,0),"")="","","✔")</f>
        <v/>
      </c>
      <c r="U346" s="98" t="str">
        <f>IF(IFERROR(VLOOKUP(A346,'20.鋼構工程吊裝'!C:D,1,0),"")="","","✔")</f>
        <v/>
      </c>
      <c r="V346" s="98" t="str">
        <f>IF(IFERROR(VLOOKUP(A346,'21.鋼構工程塗裝'!C:D,1,0),"")="","","✔")</f>
        <v/>
      </c>
      <c r="W346" s="98" t="str">
        <f>IF(IFERROR(VLOOKUP(A346,'22.排水設施(一)'!C:D,1,0),"")="","","✔")</f>
        <v/>
      </c>
      <c r="X346" s="98" t="str">
        <f>IF(IFERROR(VLOOKUP(A346,'23.排水設施(二)'!C:D,1,0),"")="","","✔")</f>
        <v/>
      </c>
      <c r="Y346" s="98" t="str">
        <f>IF(IFERROR(VLOOKUP(A346,'24.木構造'!C:D,1,0),"")="","","✔")</f>
        <v/>
      </c>
      <c r="Z346" s="98" t="str">
        <f>IF(IFERROR(VLOOKUP(A346,'25.管路'!C:D,1,0),"")="","","✔")</f>
        <v/>
      </c>
      <c r="AA346" s="98" t="str">
        <f>IF(IFERROR(VLOOKUP(A346,'26.植栽(移植)'!C:D,1,0),"")="","","✔")</f>
        <v/>
      </c>
      <c r="AB346" s="98" t="str">
        <f>IF(IFERROR(VLOOKUP(A346,'27.植栽(新植)'!C:D,1,0),"")="","","✔")</f>
        <v/>
      </c>
      <c r="AC346" s="98" t="str">
        <f>IF(IFERROR(VLOOKUP(A346,'28.照明'!C:D,1,0),"")="","","✔")</f>
        <v/>
      </c>
      <c r="AD346" s="98" t="str">
        <f>IF(IFERROR(VLOOKUP(A346,'29.既有橋梁拆除'!C:D,1,0),"")="","","✔")</f>
        <v/>
      </c>
    </row>
    <row r="347" spans="1:30" ht="21.75" customHeight="1" x14ac:dyDescent="0.25">
      <c r="A347" s="99">
        <v>45537</v>
      </c>
      <c r="B347" s="98" t="str">
        <f>IF(IFERROR(VLOOKUP(A347,'1.測量放樣'!C:D,1,0),"")="","","✔")</f>
        <v/>
      </c>
      <c r="C347" s="98" t="str">
        <f>IF(IFERROR(VLOOKUP(A347,'2.土方開挖'!C:D,1,0),"")="","","✔")</f>
        <v/>
      </c>
      <c r="D347" s="98" t="str">
        <f>IF(IFERROR(VLOOKUP(A347,'3.土方回填'!C:D,1,0),"")="","","✔")</f>
        <v/>
      </c>
      <c r="E347" s="98" t="str">
        <f>IF(IFERROR(VLOOKUP(A347,'4.鋼筋'!C:D,1,0),"")="","","✔")</f>
        <v/>
      </c>
      <c r="F347" s="98" t="str">
        <f>IF(IFERROR(VLOOKUP(A347,'5.模板'!C:D,1,0),"")="","","✔")</f>
        <v/>
      </c>
      <c r="G347" s="98" t="str">
        <f>IF(IFERROR(VLOOKUP(A347,'6.混凝土'!C:D,1,0),"")="","","✔")</f>
        <v/>
      </c>
      <c r="H347" s="98" t="str">
        <f>IF(IFERROR(VLOOKUP(A347,'7.植筋'!C:D,1,0),"")="","","✔")</f>
        <v/>
      </c>
      <c r="I347" s="98" t="str">
        <f>IF(IFERROR(VLOOKUP(A347,'8.預力混凝土基樁'!C:D,1,0),"")="","","✔")</f>
        <v/>
      </c>
      <c r="J347" s="98" t="str">
        <f>IF(IFERROR(VLOOKUP(A347,'9.砌塊石護岸'!C:D,1,0),"")="","","✔")</f>
        <v/>
      </c>
      <c r="K347" s="98" t="str">
        <f>IF(IFERROR(VLOOKUP(A347,'10.低水護岸'!C:D,1,0),"")="","","✔")</f>
        <v/>
      </c>
      <c r="L347" s="98" t="str">
        <f>IF(IFERROR(VLOOKUP(A347,'11.固床工'!C:D,1,0),"")="","","✔")</f>
        <v/>
      </c>
      <c r="M347" s="98" t="str">
        <f>IF(IFERROR(VLOOKUP(A347,'12.全套管基樁'!C:D,1,0),"")="","","✔")</f>
        <v/>
      </c>
      <c r="N347" s="98" t="str">
        <f>IF(IFERROR(VLOOKUP(A347,'13.鋼筋混凝土管工程'!C:D,1,0),"")="","","✔")</f>
        <v/>
      </c>
      <c r="O347" s="98" t="str">
        <f>IF(IFERROR(VLOOKUP(A347,'14.鋼版樁'!C:D,1,0),"")="","","✔")</f>
        <v/>
      </c>
      <c r="P347" s="98" t="str">
        <f>IF(IFERROR(VLOOKUP(A347,'15.路床 路基高程'!C:D,1,0),"")="","","✔")</f>
        <v/>
      </c>
      <c r="Q347" s="98" t="str">
        <f>IF(IFERROR(VLOOKUP(A347,'16.瀝青混凝土'!C:D,1,0),"")="","","✔")</f>
        <v/>
      </c>
      <c r="R347" s="98" t="str">
        <f>IF(IFERROR(VLOOKUP(A347,'17.景觀鋪面(一)'!C:D,1,0),"")="","","✔")</f>
        <v/>
      </c>
      <c r="S347" s="98" t="str">
        <f>IF(IFERROR(VLOOKUP(A347,'18.景觀鋪面(二)'!C:D,1,0),"")="","","✔")</f>
        <v/>
      </c>
      <c r="T347" s="98" t="str">
        <f>IF(IFERROR(VLOOKUP(A347,'19.預鑄緣石'!C:D,1,0),"")="","","✔")</f>
        <v/>
      </c>
      <c r="U347" s="98" t="str">
        <f>IF(IFERROR(VLOOKUP(A347,'20.鋼構工程吊裝'!C:D,1,0),"")="","","✔")</f>
        <v/>
      </c>
      <c r="V347" s="98" t="str">
        <f>IF(IFERROR(VLOOKUP(A347,'21.鋼構工程塗裝'!C:D,1,0),"")="","","✔")</f>
        <v/>
      </c>
      <c r="W347" s="98" t="str">
        <f>IF(IFERROR(VLOOKUP(A347,'22.排水設施(一)'!C:D,1,0),"")="","","✔")</f>
        <v/>
      </c>
      <c r="X347" s="98" t="str">
        <f>IF(IFERROR(VLOOKUP(A347,'23.排水設施(二)'!C:D,1,0),"")="","","✔")</f>
        <v/>
      </c>
      <c r="Y347" s="98" t="str">
        <f>IF(IFERROR(VLOOKUP(A347,'24.木構造'!C:D,1,0),"")="","","✔")</f>
        <v/>
      </c>
      <c r="Z347" s="98" t="str">
        <f>IF(IFERROR(VLOOKUP(A347,'25.管路'!C:D,1,0),"")="","","✔")</f>
        <v/>
      </c>
      <c r="AA347" s="98" t="str">
        <f>IF(IFERROR(VLOOKUP(A347,'26.植栽(移植)'!C:D,1,0),"")="","","✔")</f>
        <v/>
      </c>
      <c r="AB347" s="98" t="str">
        <f>IF(IFERROR(VLOOKUP(A347,'27.植栽(新植)'!C:D,1,0),"")="","","✔")</f>
        <v/>
      </c>
      <c r="AC347" s="98" t="str">
        <f>IF(IFERROR(VLOOKUP(A347,'28.照明'!C:D,1,0),"")="","","✔")</f>
        <v/>
      </c>
      <c r="AD347" s="98" t="str">
        <f>IF(IFERROR(VLOOKUP(A347,'29.既有橋梁拆除'!C:D,1,0),"")="","","✔")</f>
        <v/>
      </c>
    </row>
    <row r="348" spans="1:30" ht="21.75" customHeight="1" x14ac:dyDescent="0.25">
      <c r="A348" s="99">
        <v>45538</v>
      </c>
      <c r="B348" s="98" t="str">
        <f>IF(IFERROR(VLOOKUP(A348,'1.測量放樣'!C:D,1,0),"")="","","✔")</f>
        <v/>
      </c>
      <c r="C348" s="98" t="str">
        <f>IF(IFERROR(VLOOKUP(A348,'2.土方開挖'!C:D,1,0),"")="","","✔")</f>
        <v/>
      </c>
      <c r="D348" s="98" t="str">
        <f>IF(IFERROR(VLOOKUP(A348,'3.土方回填'!C:D,1,0),"")="","","✔")</f>
        <v/>
      </c>
      <c r="E348" s="98" t="str">
        <f>IF(IFERROR(VLOOKUP(A348,'4.鋼筋'!C:D,1,0),"")="","","✔")</f>
        <v/>
      </c>
      <c r="F348" s="98" t="str">
        <f>IF(IFERROR(VLOOKUP(A348,'5.模板'!C:D,1,0),"")="","","✔")</f>
        <v/>
      </c>
      <c r="G348" s="98" t="str">
        <f>IF(IFERROR(VLOOKUP(A348,'6.混凝土'!C:D,1,0),"")="","","✔")</f>
        <v/>
      </c>
      <c r="H348" s="98" t="str">
        <f>IF(IFERROR(VLOOKUP(A348,'7.植筋'!C:D,1,0),"")="","","✔")</f>
        <v/>
      </c>
      <c r="I348" s="98" t="str">
        <f>IF(IFERROR(VLOOKUP(A348,'8.預力混凝土基樁'!C:D,1,0),"")="","","✔")</f>
        <v/>
      </c>
      <c r="J348" s="98" t="str">
        <f>IF(IFERROR(VLOOKUP(A348,'9.砌塊石護岸'!C:D,1,0),"")="","","✔")</f>
        <v/>
      </c>
      <c r="K348" s="98" t="str">
        <f>IF(IFERROR(VLOOKUP(A348,'10.低水護岸'!C:D,1,0),"")="","","✔")</f>
        <v/>
      </c>
      <c r="L348" s="98" t="str">
        <f>IF(IFERROR(VLOOKUP(A348,'11.固床工'!C:D,1,0),"")="","","✔")</f>
        <v/>
      </c>
      <c r="M348" s="98" t="str">
        <f>IF(IFERROR(VLOOKUP(A348,'12.全套管基樁'!C:D,1,0),"")="","","✔")</f>
        <v/>
      </c>
      <c r="N348" s="98" t="str">
        <f>IF(IFERROR(VLOOKUP(A348,'13.鋼筋混凝土管工程'!C:D,1,0),"")="","","✔")</f>
        <v/>
      </c>
      <c r="O348" s="98" t="str">
        <f>IF(IFERROR(VLOOKUP(A348,'14.鋼版樁'!C:D,1,0),"")="","","✔")</f>
        <v/>
      </c>
      <c r="P348" s="98" t="str">
        <f>IF(IFERROR(VLOOKUP(A348,'15.路床 路基高程'!C:D,1,0),"")="","","✔")</f>
        <v/>
      </c>
      <c r="Q348" s="98" t="str">
        <f>IF(IFERROR(VLOOKUP(A348,'16.瀝青混凝土'!C:D,1,0),"")="","","✔")</f>
        <v/>
      </c>
      <c r="R348" s="98" t="str">
        <f>IF(IFERROR(VLOOKUP(A348,'17.景觀鋪面(一)'!C:D,1,0),"")="","","✔")</f>
        <v/>
      </c>
      <c r="S348" s="98" t="str">
        <f>IF(IFERROR(VLOOKUP(A348,'18.景觀鋪面(二)'!C:D,1,0),"")="","","✔")</f>
        <v/>
      </c>
      <c r="T348" s="98" t="str">
        <f>IF(IFERROR(VLOOKUP(A348,'19.預鑄緣石'!C:D,1,0),"")="","","✔")</f>
        <v/>
      </c>
      <c r="U348" s="98" t="str">
        <f>IF(IFERROR(VLOOKUP(A348,'20.鋼構工程吊裝'!C:D,1,0),"")="","","✔")</f>
        <v/>
      </c>
      <c r="V348" s="98" t="str">
        <f>IF(IFERROR(VLOOKUP(A348,'21.鋼構工程塗裝'!C:D,1,0),"")="","","✔")</f>
        <v/>
      </c>
      <c r="W348" s="98" t="str">
        <f>IF(IFERROR(VLOOKUP(A348,'22.排水設施(一)'!C:D,1,0),"")="","","✔")</f>
        <v/>
      </c>
      <c r="X348" s="98" t="str">
        <f>IF(IFERROR(VLOOKUP(A348,'23.排水設施(二)'!C:D,1,0),"")="","","✔")</f>
        <v/>
      </c>
      <c r="Y348" s="98" t="str">
        <f>IF(IFERROR(VLOOKUP(A348,'24.木構造'!C:D,1,0),"")="","","✔")</f>
        <v/>
      </c>
      <c r="Z348" s="98" t="str">
        <f>IF(IFERROR(VLOOKUP(A348,'25.管路'!C:D,1,0),"")="","","✔")</f>
        <v/>
      </c>
      <c r="AA348" s="98" t="str">
        <f>IF(IFERROR(VLOOKUP(A348,'26.植栽(移植)'!C:D,1,0),"")="","","✔")</f>
        <v/>
      </c>
      <c r="AB348" s="98" t="str">
        <f>IF(IFERROR(VLOOKUP(A348,'27.植栽(新植)'!C:D,1,0),"")="","","✔")</f>
        <v/>
      </c>
      <c r="AC348" s="98" t="str">
        <f>IF(IFERROR(VLOOKUP(A348,'28.照明'!C:D,1,0),"")="","","✔")</f>
        <v/>
      </c>
      <c r="AD348" s="98" t="str">
        <f>IF(IFERROR(VLOOKUP(A348,'29.既有橋梁拆除'!C:D,1,0),"")="","","✔")</f>
        <v/>
      </c>
    </row>
    <row r="349" spans="1:30" ht="21.75" customHeight="1" x14ac:dyDescent="0.25">
      <c r="A349" s="99">
        <v>45539</v>
      </c>
      <c r="B349" s="98" t="str">
        <f>IF(IFERROR(VLOOKUP(A349,'1.測量放樣'!C:D,1,0),"")="","","✔")</f>
        <v/>
      </c>
      <c r="C349" s="98" t="str">
        <f>IF(IFERROR(VLOOKUP(A349,'2.土方開挖'!C:D,1,0),"")="","","✔")</f>
        <v/>
      </c>
      <c r="D349" s="98" t="str">
        <f>IF(IFERROR(VLOOKUP(A349,'3.土方回填'!C:D,1,0),"")="","","✔")</f>
        <v/>
      </c>
      <c r="E349" s="98" t="str">
        <f>IF(IFERROR(VLOOKUP(A349,'4.鋼筋'!C:D,1,0),"")="","","✔")</f>
        <v/>
      </c>
      <c r="F349" s="98" t="str">
        <f>IF(IFERROR(VLOOKUP(A349,'5.模板'!C:D,1,0),"")="","","✔")</f>
        <v/>
      </c>
      <c r="G349" s="98" t="str">
        <f>IF(IFERROR(VLOOKUP(A349,'6.混凝土'!C:D,1,0),"")="","","✔")</f>
        <v/>
      </c>
      <c r="H349" s="98" t="str">
        <f>IF(IFERROR(VLOOKUP(A349,'7.植筋'!C:D,1,0),"")="","","✔")</f>
        <v/>
      </c>
      <c r="I349" s="98" t="str">
        <f>IF(IFERROR(VLOOKUP(A349,'8.預力混凝土基樁'!C:D,1,0),"")="","","✔")</f>
        <v/>
      </c>
      <c r="J349" s="98" t="str">
        <f>IF(IFERROR(VLOOKUP(A349,'9.砌塊石護岸'!C:D,1,0),"")="","","✔")</f>
        <v/>
      </c>
      <c r="K349" s="98" t="str">
        <f>IF(IFERROR(VLOOKUP(A349,'10.低水護岸'!C:D,1,0),"")="","","✔")</f>
        <v/>
      </c>
      <c r="L349" s="98" t="str">
        <f>IF(IFERROR(VLOOKUP(A349,'11.固床工'!C:D,1,0),"")="","","✔")</f>
        <v/>
      </c>
      <c r="M349" s="98" t="str">
        <f>IF(IFERROR(VLOOKUP(A349,'12.全套管基樁'!C:D,1,0),"")="","","✔")</f>
        <v/>
      </c>
      <c r="N349" s="98" t="str">
        <f>IF(IFERROR(VLOOKUP(A349,'13.鋼筋混凝土管工程'!C:D,1,0),"")="","","✔")</f>
        <v/>
      </c>
      <c r="O349" s="98" t="str">
        <f>IF(IFERROR(VLOOKUP(A349,'14.鋼版樁'!C:D,1,0),"")="","","✔")</f>
        <v/>
      </c>
      <c r="P349" s="98" t="str">
        <f>IF(IFERROR(VLOOKUP(A349,'15.路床 路基高程'!C:D,1,0),"")="","","✔")</f>
        <v/>
      </c>
      <c r="Q349" s="98" t="str">
        <f>IF(IFERROR(VLOOKUP(A349,'16.瀝青混凝土'!C:D,1,0),"")="","","✔")</f>
        <v/>
      </c>
      <c r="R349" s="98" t="str">
        <f>IF(IFERROR(VLOOKUP(A349,'17.景觀鋪面(一)'!C:D,1,0),"")="","","✔")</f>
        <v/>
      </c>
      <c r="S349" s="98" t="str">
        <f>IF(IFERROR(VLOOKUP(A349,'18.景觀鋪面(二)'!C:D,1,0),"")="","","✔")</f>
        <v/>
      </c>
      <c r="T349" s="98" t="str">
        <f>IF(IFERROR(VLOOKUP(A349,'19.預鑄緣石'!C:D,1,0),"")="","","✔")</f>
        <v/>
      </c>
      <c r="U349" s="98" t="str">
        <f>IF(IFERROR(VLOOKUP(A349,'20.鋼構工程吊裝'!C:D,1,0),"")="","","✔")</f>
        <v/>
      </c>
      <c r="V349" s="98" t="str">
        <f>IF(IFERROR(VLOOKUP(A349,'21.鋼構工程塗裝'!C:D,1,0),"")="","","✔")</f>
        <v/>
      </c>
      <c r="W349" s="98" t="str">
        <f>IF(IFERROR(VLOOKUP(A349,'22.排水設施(一)'!C:D,1,0),"")="","","✔")</f>
        <v/>
      </c>
      <c r="X349" s="98" t="str">
        <f>IF(IFERROR(VLOOKUP(A349,'23.排水設施(二)'!C:D,1,0),"")="","","✔")</f>
        <v/>
      </c>
      <c r="Y349" s="98" t="str">
        <f>IF(IFERROR(VLOOKUP(A349,'24.木構造'!C:D,1,0),"")="","","✔")</f>
        <v/>
      </c>
      <c r="Z349" s="98" t="str">
        <f>IF(IFERROR(VLOOKUP(A349,'25.管路'!C:D,1,0),"")="","","✔")</f>
        <v/>
      </c>
      <c r="AA349" s="98" t="str">
        <f>IF(IFERROR(VLOOKUP(A349,'26.植栽(移植)'!C:D,1,0),"")="","","✔")</f>
        <v/>
      </c>
      <c r="AB349" s="98" t="str">
        <f>IF(IFERROR(VLOOKUP(A349,'27.植栽(新植)'!C:D,1,0),"")="","","✔")</f>
        <v/>
      </c>
      <c r="AC349" s="98" t="str">
        <f>IF(IFERROR(VLOOKUP(A349,'28.照明'!C:D,1,0),"")="","","✔")</f>
        <v/>
      </c>
      <c r="AD349" s="98" t="str">
        <f>IF(IFERROR(VLOOKUP(A349,'29.既有橋梁拆除'!C:D,1,0),"")="","","✔")</f>
        <v/>
      </c>
    </row>
    <row r="350" spans="1:30" ht="21.75" customHeight="1" x14ac:dyDescent="0.25">
      <c r="A350" s="99">
        <v>45540</v>
      </c>
      <c r="B350" s="98" t="str">
        <f>IF(IFERROR(VLOOKUP(A350,'1.測量放樣'!C:D,1,0),"")="","","✔")</f>
        <v/>
      </c>
      <c r="C350" s="98" t="str">
        <f>IF(IFERROR(VLOOKUP(A350,'2.土方開挖'!C:D,1,0),"")="","","✔")</f>
        <v/>
      </c>
      <c r="D350" s="98" t="str">
        <f>IF(IFERROR(VLOOKUP(A350,'3.土方回填'!C:D,1,0),"")="","","✔")</f>
        <v/>
      </c>
      <c r="E350" s="98" t="str">
        <f>IF(IFERROR(VLOOKUP(A350,'4.鋼筋'!C:D,1,0),"")="","","✔")</f>
        <v/>
      </c>
      <c r="F350" s="98" t="str">
        <f>IF(IFERROR(VLOOKUP(A350,'5.模板'!C:D,1,0),"")="","","✔")</f>
        <v/>
      </c>
      <c r="G350" s="98" t="str">
        <f>IF(IFERROR(VLOOKUP(A350,'6.混凝土'!C:D,1,0),"")="","","✔")</f>
        <v/>
      </c>
      <c r="H350" s="98" t="str">
        <f>IF(IFERROR(VLOOKUP(A350,'7.植筋'!C:D,1,0),"")="","","✔")</f>
        <v/>
      </c>
      <c r="I350" s="98" t="str">
        <f>IF(IFERROR(VLOOKUP(A350,'8.預力混凝土基樁'!C:D,1,0),"")="","","✔")</f>
        <v/>
      </c>
      <c r="J350" s="98" t="str">
        <f>IF(IFERROR(VLOOKUP(A350,'9.砌塊石護岸'!C:D,1,0),"")="","","✔")</f>
        <v/>
      </c>
      <c r="K350" s="98" t="str">
        <f>IF(IFERROR(VLOOKUP(A350,'10.低水護岸'!C:D,1,0),"")="","","✔")</f>
        <v/>
      </c>
      <c r="L350" s="98" t="str">
        <f>IF(IFERROR(VLOOKUP(A350,'11.固床工'!C:D,1,0),"")="","","✔")</f>
        <v/>
      </c>
      <c r="M350" s="98" t="str">
        <f>IF(IFERROR(VLOOKUP(A350,'12.全套管基樁'!C:D,1,0),"")="","","✔")</f>
        <v/>
      </c>
      <c r="N350" s="98" t="str">
        <f>IF(IFERROR(VLOOKUP(A350,'13.鋼筋混凝土管工程'!C:D,1,0),"")="","","✔")</f>
        <v/>
      </c>
      <c r="O350" s="98" t="str">
        <f>IF(IFERROR(VLOOKUP(A350,'14.鋼版樁'!C:D,1,0),"")="","","✔")</f>
        <v/>
      </c>
      <c r="P350" s="98" t="str">
        <f>IF(IFERROR(VLOOKUP(A350,'15.路床 路基高程'!C:D,1,0),"")="","","✔")</f>
        <v/>
      </c>
      <c r="Q350" s="98" t="str">
        <f>IF(IFERROR(VLOOKUP(A350,'16.瀝青混凝土'!C:D,1,0),"")="","","✔")</f>
        <v/>
      </c>
      <c r="R350" s="98" t="str">
        <f>IF(IFERROR(VLOOKUP(A350,'17.景觀鋪面(一)'!C:D,1,0),"")="","","✔")</f>
        <v/>
      </c>
      <c r="S350" s="98" t="str">
        <f>IF(IFERROR(VLOOKUP(A350,'18.景觀鋪面(二)'!C:D,1,0),"")="","","✔")</f>
        <v/>
      </c>
      <c r="T350" s="98" t="str">
        <f>IF(IFERROR(VLOOKUP(A350,'19.預鑄緣石'!C:D,1,0),"")="","","✔")</f>
        <v/>
      </c>
      <c r="U350" s="98" t="str">
        <f>IF(IFERROR(VLOOKUP(A350,'20.鋼構工程吊裝'!C:D,1,0),"")="","","✔")</f>
        <v/>
      </c>
      <c r="V350" s="98" t="str">
        <f>IF(IFERROR(VLOOKUP(A350,'21.鋼構工程塗裝'!C:D,1,0),"")="","","✔")</f>
        <v/>
      </c>
      <c r="W350" s="98" t="str">
        <f>IF(IFERROR(VLOOKUP(A350,'22.排水設施(一)'!C:D,1,0),"")="","","✔")</f>
        <v/>
      </c>
      <c r="X350" s="98" t="str">
        <f>IF(IFERROR(VLOOKUP(A350,'23.排水設施(二)'!C:D,1,0),"")="","","✔")</f>
        <v/>
      </c>
      <c r="Y350" s="98" t="str">
        <f>IF(IFERROR(VLOOKUP(A350,'24.木構造'!C:D,1,0),"")="","","✔")</f>
        <v/>
      </c>
      <c r="Z350" s="98" t="str">
        <f>IF(IFERROR(VLOOKUP(A350,'25.管路'!C:D,1,0),"")="","","✔")</f>
        <v/>
      </c>
      <c r="AA350" s="98" t="str">
        <f>IF(IFERROR(VLOOKUP(A350,'26.植栽(移植)'!C:D,1,0),"")="","","✔")</f>
        <v/>
      </c>
      <c r="AB350" s="98" t="str">
        <f>IF(IFERROR(VLOOKUP(A350,'27.植栽(新植)'!C:D,1,0),"")="","","✔")</f>
        <v/>
      </c>
      <c r="AC350" s="98" t="str">
        <f>IF(IFERROR(VLOOKUP(A350,'28.照明'!C:D,1,0),"")="","","✔")</f>
        <v/>
      </c>
      <c r="AD350" s="98" t="str">
        <f>IF(IFERROR(VLOOKUP(A350,'29.既有橋梁拆除'!C:D,1,0),"")="","","✔")</f>
        <v/>
      </c>
    </row>
    <row r="351" spans="1:30" ht="21.75" customHeight="1" x14ac:dyDescent="0.25">
      <c r="A351" s="99">
        <v>45541</v>
      </c>
      <c r="B351" s="98" t="str">
        <f>IF(IFERROR(VLOOKUP(A351,'1.測量放樣'!C:D,1,0),"")="","","✔")</f>
        <v/>
      </c>
      <c r="C351" s="98" t="str">
        <f>IF(IFERROR(VLOOKUP(A351,'2.土方開挖'!C:D,1,0),"")="","","✔")</f>
        <v/>
      </c>
      <c r="D351" s="98" t="str">
        <f>IF(IFERROR(VLOOKUP(A351,'3.土方回填'!C:D,1,0),"")="","","✔")</f>
        <v/>
      </c>
      <c r="E351" s="98" t="str">
        <f>IF(IFERROR(VLOOKUP(A351,'4.鋼筋'!C:D,1,0),"")="","","✔")</f>
        <v/>
      </c>
      <c r="F351" s="98" t="str">
        <f>IF(IFERROR(VLOOKUP(A351,'5.模板'!C:D,1,0),"")="","","✔")</f>
        <v/>
      </c>
      <c r="G351" s="98" t="str">
        <f>IF(IFERROR(VLOOKUP(A351,'6.混凝土'!C:D,1,0),"")="","","✔")</f>
        <v/>
      </c>
      <c r="H351" s="98" t="str">
        <f>IF(IFERROR(VLOOKUP(A351,'7.植筋'!C:D,1,0),"")="","","✔")</f>
        <v/>
      </c>
      <c r="I351" s="98" t="str">
        <f>IF(IFERROR(VLOOKUP(A351,'8.預力混凝土基樁'!C:D,1,0),"")="","","✔")</f>
        <v/>
      </c>
      <c r="J351" s="98" t="str">
        <f>IF(IFERROR(VLOOKUP(A351,'9.砌塊石護岸'!C:D,1,0),"")="","","✔")</f>
        <v/>
      </c>
      <c r="K351" s="98" t="str">
        <f>IF(IFERROR(VLOOKUP(A351,'10.低水護岸'!C:D,1,0),"")="","","✔")</f>
        <v/>
      </c>
      <c r="L351" s="98" t="str">
        <f>IF(IFERROR(VLOOKUP(A351,'11.固床工'!C:D,1,0),"")="","","✔")</f>
        <v/>
      </c>
      <c r="M351" s="98" t="str">
        <f>IF(IFERROR(VLOOKUP(A351,'12.全套管基樁'!C:D,1,0),"")="","","✔")</f>
        <v/>
      </c>
      <c r="N351" s="98" t="str">
        <f>IF(IFERROR(VLOOKUP(A351,'13.鋼筋混凝土管工程'!C:D,1,0),"")="","","✔")</f>
        <v/>
      </c>
      <c r="O351" s="98" t="str">
        <f>IF(IFERROR(VLOOKUP(A351,'14.鋼版樁'!C:D,1,0),"")="","","✔")</f>
        <v/>
      </c>
      <c r="P351" s="98" t="str">
        <f>IF(IFERROR(VLOOKUP(A351,'15.路床 路基高程'!C:D,1,0),"")="","","✔")</f>
        <v/>
      </c>
      <c r="Q351" s="98" t="str">
        <f>IF(IFERROR(VLOOKUP(A351,'16.瀝青混凝土'!C:D,1,0),"")="","","✔")</f>
        <v/>
      </c>
      <c r="R351" s="98" t="str">
        <f>IF(IFERROR(VLOOKUP(A351,'17.景觀鋪面(一)'!C:D,1,0),"")="","","✔")</f>
        <v/>
      </c>
      <c r="S351" s="98" t="str">
        <f>IF(IFERROR(VLOOKUP(A351,'18.景觀鋪面(二)'!C:D,1,0),"")="","","✔")</f>
        <v/>
      </c>
      <c r="T351" s="98" t="str">
        <f>IF(IFERROR(VLOOKUP(A351,'19.預鑄緣石'!C:D,1,0),"")="","","✔")</f>
        <v/>
      </c>
      <c r="U351" s="98" t="str">
        <f>IF(IFERROR(VLOOKUP(A351,'20.鋼構工程吊裝'!C:D,1,0),"")="","","✔")</f>
        <v/>
      </c>
      <c r="V351" s="98" t="str">
        <f>IF(IFERROR(VLOOKUP(A351,'21.鋼構工程塗裝'!C:D,1,0),"")="","","✔")</f>
        <v/>
      </c>
      <c r="W351" s="98" t="str">
        <f>IF(IFERROR(VLOOKUP(A351,'22.排水設施(一)'!C:D,1,0),"")="","","✔")</f>
        <v/>
      </c>
      <c r="X351" s="98" t="str">
        <f>IF(IFERROR(VLOOKUP(A351,'23.排水設施(二)'!C:D,1,0),"")="","","✔")</f>
        <v/>
      </c>
      <c r="Y351" s="98" t="str">
        <f>IF(IFERROR(VLOOKUP(A351,'24.木構造'!C:D,1,0),"")="","","✔")</f>
        <v/>
      </c>
      <c r="Z351" s="98" t="str">
        <f>IF(IFERROR(VLOOKUP(A351,'25.管路'!C:D,1,0),"")="","","✔")</f>
        <v/>
      </c>
      <c r="AA351" s="98" t="str">
        <f>IF(IFERROR(VLOOKUP(A351,'26.植栽(移植)'!C:D,1,0),"")="","","✔")</f>
        <v/>
      </c>
      <c r="AB351" s="98" t="str">
        <f>IF(IFERROR(VLOOKUP(A351,'27.植栽(新植)'!C:D,1,0),"")="","","✔")</f>
        <v/>
      </c>
      <c r="AC351" s="98" t="str">
        <f>IF(IFERROR(VLOOKUP(A351,'28.照明'!C:D,1,0),"")="","","✔")</f>
        <v/>
      </c>
      <c r="AD351" s="98" t="str">
        <f>IF(IFERROR(VLOOKUP(A351,'29.既有橋梁拆除'!C:D,1,0),"")="","","✔")</f>
        <v/>
      </c>
    </row>
    <row r="352" spans="1:30" ht="21.75" customHeight="1" x14ac:dyDescent="0.25">
      <c r="A352" s="99">
        <v>45542</v>
      </c>
      <c r="B352" s="98" t="str">
        <f>IF(IFERROR(VLOOKUP(A352,'1.測量放樣'!C:D,1,0),"")="","","✔")</f>
        <v/>
      </c>
      <c r="C352" s="98" t="str">
        <f>IF(IFERROR(VLOOKUP(A352,'2.土方開挖'!C:D,1,0),"")="","","✔")</f>
        <v/>
      </c>
      <c r="D352" s="98" t="str">
        <f>IF(IFERROR(VLOOKUP(A352,'3.土方回填'!C:D,1,0),"")="","","✔")</f>
        <v/>
      </c>
      <c r="E352" s="98" t="str">
        <f>IF(IFERROR(VLOOKUP(A352,'4.鋼筋'!C:D,1,0),"")="","","✔")</f>
        <v/>
      </c>
      <c r="F352" s="98" t="str">
        <f>IF(IFERROR(VLOOKUP(A352,'5.模板'!C:D,1,0),"")="","","✔")</f>
        <v/>
      </c>
      <c r="G352" s="98" t="str">
        <f>IF(IFERROR(VLOOKUP(A352,'6.混凝土'!C:D,1,0),"")="","","✔")</f>
        <v/>
      </c>
      <c r="H352" s="98" t="str">
        <f>IF(IFERROR(VLOOKUP(A352,'7.植筋'!C:D,1,0),"")="","","✔")</f>
        <v/>
      </c>
      <c r="I352" s="98" t="str">
        <f>IF(IFERROR(VLOOKUP(A352,'8.預力混凝土基樁'!C:D,1,0),"")="","","✔")</f>
        <v/>
      </c>
      <c r="J352" s="98" t="str">
        <f>IF(IFERROR(VLOOKUP(A352,'9.砌塊石護岸'!C:D,1,0),"")="","","✔")</f>
        <v/>
      </c>
      <c r="K352" s="98" t="str">
        <f>IF(IFERROR(VLOOKUP(A352,'10.低水護岸'!C:D,1,0),"")="","","✔")</f>
        <v/>
      </c>
      <c r="L352" s="98" t="str">
        <f>IF(IFERROR(VLOOKUP(A352,'11.固床工'!C:D,1,0),"")="","","✔")</f>
        <v/>
      </c>
      <c r="M352" s="98" t="str">
        <f>IF(IFERROR(VLOOKUP(A352,'12.全套管基樁'!C:D,1,0),"")="","","✔")</f>
        <v/>
      </c>
      <c r="N352" s="98" t="str">
        <f>IF(IFERROR(VLOOKUP(A352,'13.鋼筋混凝土管工程'!C:D,1,0),"")="","","✔")</f>
        <v/>
      </c>
      <c r="O352" s="98" t="str">
        <f>IF(IFERROR(VLOOKUP(A352,'14.鋼版樁'!C:D,1,0),"")="","","✔")</f>
        <v/>
      </c>
      <c r="P352" s="98" t="str">
        <f>IF(IFERROR(VLOOKUP(A352,'15.路床 路基高程'!C:D,1,0),"")="","","✔")</f>
        <v/>
      </c>
      <c r="Q352" s="98" t="str">
        <f>IF(IFERROR(VLOOKUP(A352,'16.瀝青混凝土'!C:D,1,0),"")="","","✔")</f>
        <v/>
      </c>
      <c r="R352" s="98" t="str">
        <f>IF(IFERROR(VLOOKUP(A352,'17.景觀鋪面(一)'!C:D,1,0),"")="","","✔")</f>
        <v/>
      </c>
      <c r="S352" s="98" t="str">
        <f>IF(IFERROR(VLOOKUP(A352,'18.景觀鋪面(二)'!C:D,1,0),"")="","","✔")</f>
        <v/>
      </c>
      <c r="T352" s="98" t="str">
        <f>IF(IFERROR(VLOOKUP(A352,'19.預鑄緣石'!C:D,1,0),"")="","","✔")</f>
        <v/>
      </c>
      <c r="U352" s="98" t="str">
        <f>IF(IFERROR(VLOOKUP(A352,'20.鋼構工程吊裝'!C:D,1,0),"")="","","✔")</f>
        <v/>
      </c>
      <c r="V352" s="98" t="str">
        <f>IF(IFERROR(VLOOKUP(A352,'21.鋼構工程塗裝'!C:D,1,0),"")="","","✔")</f>
        <v/>
      </c>
      <c r="W352" s="98" t="str">
        <f>IF(IFERROR(VLOOKUP(A352,'22.排水設施(一)'!C:D,1,0),"")="","","✔")</f>
        <v/>
      </c>
      <c r="X352" s="98" t="str">
        <f>IF(IFERROR(VLOOKUP(A352,'23.排水設施(二)'!C:D,1,0),"")="","","✔")</f>
        <v/>
      </c>
      <c r="Y352" s="98" t="str">
        <f>IF(IFERROR(VLOOKUP(A352,'24.木構造'!C:D,1,0),"")="","","✔")</f>
        <v/>
      </c>
      <c r="Z352" s="98" t="str">
        <f>IF(IFERROR(VLOOKUP(A352,'25.管路'!C:D,1,0),"")="","","✔")</f>
        <v/>
      </c>
      <c r="AA352" s="98" t="str">
        <f>IF(IFERROR(VLOOKUP(A352,'26.植栽(移植)'!C:D,1,0),"")="","","✔")</f>
        <v/>
      </c>
      <c r="AB352" s="98" t="str">
        <f>IF(IFERROR(VLOOKUP(A352,'27.植栽(新植)'!C:D,1,0),"")="","","✔")</f>
        <v/>
      </c>
      <c r="AC352" s="98" t="str">
        <f>IF(IFERROR(VLOOKUP(A352,'28.照明'!C:D,1,0),"")="","","✔")</f>
        <v/>
      </c>
      <c r="AD352" s="98" t="str">
        <f>IF(IFERROR(VLOOKUP(A352,'29.既有橋梁拆除'!C:D,1,0),"")="","","✔")</f>
        <v/>
      </c>
    </row>
    <row r="353" spans="1:30" ht="21.75" customHeight="1" x14ac:dyDescent="0.25">
      <c r="A353" s="99">
        <v>45543</v>
      </c>
      <c r="B353" s="98" t="str">
        <f>IF(IFERROR(VLOOKUP(A353,'1.測量放樣'!C:D,1,0),"")="","","✔")</f>
        <v/>
      </c>
      <c r="C353" s="98" t="str">
        <f>IF(IFERROR(VLOOKUP(A353,'2.土方開挖'!C:D,1,0),"")="","","✔")</f>
        <v/>
      </c>
      <c r="D353" s="98" t="str">
        <f>IF(IFERROR(VLOOKUP(A353,'3.土方回填'!C:D,1,0),"")="","","✔")</f>
        <v/>
      </c>
      <c r="E353" s="98" t="str">
        <f>IF(IFERROR(VLOOKUP(A353,'4.鋼筋'!C:D,1,0),"")="","","✔")</f>
        <v/>
      </c>
      <c r="F353" s="98" t="str">
        <f>IF(IFERROR(VLOOKUP(A353,'5.模板'!C:D,1,0),"")="","","✔")</f>
        <v/>
      </c>
      <c r="G353" s="98" t="str">
        <f>IF(IFERROR(VLOOKUP(A353,'6.混凝土'!C:D,1,0),"")="","","✔")</f>
        <v/>
      </c>
      <c r="H353" s="98" t="str">
        <f>IF(IFERROR(VLOOKUP(A353,'7.植筋'!C:D,1,0),"")="","","✔")</f>
        <v/>
      </c>
      <c r="I353" s="98" t="str">
        <f>IF(IFERROR(VLOOKUP(A353,'8.預力混凝土基樁'!C:D,1,0),"")="","","✔")</f>
        <v/>
      </c>
      <c r="J353" s="98" t="str">
        <f>IF(IFERROR(VLOOKUP(A353,'9.砌塊石護岸'!C:D,1,0),"")="","","✔")</f>
        <v/>
      </c>
      <c r="K353" s="98" t="str">
        <f>IF(IFERROR(VLOOKUP(A353,'10.低水護岸'!C:D,1,0),"")="","","✔")</f>
        <v/>
      </c>
      <c r="L353" s="98" t="str">
        <f>IF(IFERROR(VLOOKUP(A353,'11.固床工'!C:D,1,0),"")="","","✔")</f>
        <v/>
      </c>
      <c r="M353" s="98" t="str">
        <f>IF(IFERROR(VLOOKUP(A353,'12.全套管基樁'!C:D,1,0),"")="","","✔")</f>
        <v/>
      </c>
      <c r="N353" s="98" t="str">
        <f>IF(IFERROR(VLOOKUP(A353,'13.鋼筋混凝土管工程'!C:D,1,0),"")="","","✔")</f>
        <v/>
      </c>
      <c r="O353" s="98" t="str">
        <f>IF(IFERROR(VLOOKUP(A353,'14.鋼版樁'!C:D,1,0),"")="","","✔")</f>
        <v/>
      </c>
      <c r="P353" s="98" t="str">
        <f>IF(IFERROR(VLOOKUP(A353,'15.路床 路基高程'!C:D,1,0),"")="","","✔")</f>
        <v/>
      </c>
      <c r="Q353" s="98" t="str">
        <f>IF(IFERROR(VLOOKUP(A353,'16.瀝青混凝土'!C:D,1,0),"")="","","✔")</f>
        <v/>
      </c>
      <c r="R353" s="98" t="str">
        <f>IF(IFERROR(VLOOKUP(A353,'17.景觀鋪面(一)'!C:D,1,0),"")="","","✔")</f>
        <v/>
      </c>
      <c r="S353" s="98" t="str">
        <f>IF(IFERROR(VLOOKUP(A353,'18.景觀鋪面(二)'!C:D,1,0),"")="","","✔")</f>
        <v/>
      </c>
      <c r="T353" s="98" t="str">
        <f>IF(IFERROR(VLOOKUP(A353,'19.預鑄緣石'!C:D,1,0),"")="","","✔")</f>
        <v/>
      </c>
      <c r="U353" s="98" t="str">
        <f>IF(IFERROR(VLOOKUP(A353,'20.鋼構工程吊裝'!C:D,1,0),"")="","","✔")</f>
        <v/>
      </c>
      <c r="V353" s="98" t="str">
        <f>IF(IFERROR(VLOOKUP(A353,'21.鋼構工程塗裝'!C:D,1,0),"")="","","✔")</f>
        <v/>
      </c>
      <c r="W353" s="98" t="str">
        <f>IF(IFERROR(VLOOKUP(A353,'22.排水設施(一)'!C:D,1,0),"")="","","✔")</f>
        <v/>
      </c>
      <c r="X353" s="98" t="str">
        <f>IF(IFERROR(VLOOKUP(A353,'23.排水設施(二)'!C:D,1,0),"")="","","✔")</f>
        <v/>
      </c>
      <c r="Y353" s="98" t="str">
        <f>IF(IFERROR(VLOOKUP(A353,'24.木構造'!C:D,1,0),"")="","","✔")</f>
        <v/>
      </c>
      <c r="Z353" s="98" t="str">
        <f>IF(IFERROR(VLOOKUP(A353,'25.管路'!C:D,1,0),"")="","","✔")</f>
        <v/>
      </c>
      <c r="AA353" s="98" t="str">
        <f>IF(IFERROR(VLOOKUP(A353,'26.植栽(移植)'!C:D,1,0),"")="","","✔")</f>
        <v/>
      </c>
      <c r="AB353" s="98" t="str">
        <f>IF(IFERROR(VLOOKUP(A353,'27.植栽(新植)'!C:D,1,0),"")="","","✔")</f>
        <v/>
      </c>
      <c r="AC353" s="98" t="str">
        <f>IF(IFERROR(VLOOKUP(A353,'28.照明'!C:D,1,0),"")="","","✔")</f>
        <v/>
      </c>
      <c r="AD353" s="98" t="str">
        <f>IF(IFERROR(VLOOKUP(A353,'29.既有橋梁拆除'!C:D,1,0),"")="","","✔")</f>
        <v/>
      </c>
    </row>
    <row r="354" spans="1:30" ht="21.75" customHeight="1" x14ac:dyDescent="0.25">
      <c r="A354" s="99">
        <v>45544</v>
      </c>
      <c r="B354" s="98" t="str">
        <f>IF(IFERROR(VLOOKUP(A354,'1.測量放樣'!C:D,1,0),"")="","","✔")</f>
        <v/>
      </c>
      <c r="C354" s="98" t="str">
        <f>IF(IFERROR(VLOOKUP(A354,'2.土方開挖'!C:D,1,0),"")="","","✔")</f>
        <v/>
      </c>
      <c r="D354" s="98" t="str">
        <f>IF(IFERROR(VLOOKUP(A354,'3.土方回填'!C:D,1,0),"")="","","✔")</f>
        <v/>
      </c>
      <c r="E354" s="98" t="str">
        <f>IF(IFERROR(VLOOKUP(A354,'4.鋼筋'!C:D,1,0),"")="","","✔")</f>
        <v/>
      </c>
      <c r="F354" s="98" t="str">
        <f>IF(IFERROR(VLOOKUP(A354,'5.模板'!C:D,1,0),"")="","","✔")</f>
        <v/>
      </c>
      <c r="G354" s="98" t="str">
        <f>IF(IFERROR(VLOOKUP(A354,'6.混凝土'!C:D,1,0),"")="","","✔")</f>
        <v/>
      </c>
      <c r="H354" s="98" t="str">
        <f>IF(IFERROR(VLOOKUP(A354,'7.植筋'!C:D,1,0),"")="","","✔")</f>
        <v/>
      </c>
      <c r="I354" s="98" t="str">
        <f>IF(IFERROR(VLOOKUP(A354,'8.預力混凝土基樁'!C:D,1,0),"")="","","✔")</f>
        <v/>
      </c>
      <c r="J354" s="98" t="str">
        <f>IF(IFERROR(VLOOKUP(A354,'9.砌塊石護岸'!C:D,1,0),"")="","","✔")</f>
        <v/>
      </c>
      <c r="K354" s="98" t="str">
        <f>IF(IFERROR(VLOOKUP(A354,'10.低水護岸'!C:D,1,0),"")="","","✔")</f>
        <v/>
      </c>
      <c r="L354" s="98" t="str">
        <f>IF(IFERROR(VLOOKUP(A354,'11.固床工'!C:D,1,0),"")="","","✔")</f>
        <v/>
      </c>
      <c r="M354" s="98" t="str">
        <f>IF(IFERROR(VLOOKUP(A354,'12.全套管基樁'!C:D,1,0),"")="","","✔")</f>
        <v/>
      </c>
      <c r="N354" s="98" t="str">
        <f>IF(IFERROR(VLOOKUP(A354,'13.鋼筋混凝土管工程'!C:D,1,0),"")="","","✔")</f>
        <v/>
      </c>
      <c r="O354" s="98" t="str">
        <f>IF(IFERROR(VLOOKUP(A354,'14.鋼版樁'!C:D,1,0),"")="","","✔")</f>
        <v/>
      </c>
      <c r="P354" s="98" t="str">
        <f>IF(IFERROR(VLOOKUP(A354,'15.路床 路基高程'!C:D,1,0),"")="","","✔")</f>
        <v/>
      </c>
      <c r="Q354" s="98" t="str">
        <f>IF(IFERROR(VLOOKUP(A354,'16.瀝青混凝土'!C:D,1,0),"")="","","✔")</f>
        <v/>
      </c>
      <c r="R354" s="98" t="str">
        <f>IF(IFERROR(VLOOKUP(A354,'17.景觀鋪面(一)'!C:D,1,0),"")="","","✔")</f>
        <v/>
      </c>
      <c r="S354" s="98" t="str">
        <f>IF(IFERROR(VLOOKUP(A354,'18.景觀鋪面(二)'!C:D,1,0),"")="","","✔")</f>
        <v/>
      </c>
      <c r="T354" s="98" t="str">
        <f>IF(IFERROR(VLOOKUP(A354,'19.預鑄緣石'!C:D,1,0),"")="","","✔")</f>
        <v/>
      </c>
      <c r="U354" s="98" t="str">
        <f>IF(IFERROR(VLOOKUP(A354,'20.鋼構工程吊裝'!C:D,1,0),"")="","","✔")</f>
        <v/>
      </c>
      <c r="V354" s="98" t="str">
        <f>IF(IFERROR(VLOOKUP(A354,'21.鋼構工程塗裝'!C:D,1,0),"")="","","✔")</f>
        <v/>
      </c>
      <c r="W354" s="98" t="str">
        <f>IF(IFERROR(VLOOKUP(A354,'22.排水設施(一)'!C:D,1,0),"")="","","✔")</f>
        <v/>
      </c>
      <c r="X354" s="98" t="str">
        <f>IF(IFERROR(VLOOKUP(A354,'23.排水設施(二)'!C:D,1,0),"")="","","✔")</f>
        <v/>
      </c>
      <c r="Y354" s="98" t="str">
        <f>IF(IFERROR(VLOOKUP(A354,'24.木構造'!C:D,1,0),"")="","","✔")</f>
        <v/>
      </c>
      <c r="Z354" s="98" t="str">
        <f>IF(IFERROR(VLOOKUP(A354,'25.管路'!C:D,1,0),"")="","","✔")</f>
        <v/>
      </c>
      <c r="AA354" s="98" t="str">
        <f>IF(IFERROR(VLOOKUP(A354,'26.植栽(移植)'!C:D,1,0),"")="","","✔")</f>
        <v/>
      </c>
      <c r="AB354" s="98" t="str">
        <f>IF(IFERROR(VLOOKUP(A354,'27.植栽(新植)'!C:D,1,0),"")="","","✔")</f>
        <v/>
      </c>
      <c r="AC354" s="98" t="str">
        <f>IF(IFERROR(VLOOKUP(A354,'28.照明'!C:D,1,0),"")="","","✔")</f>
        <v/>
      </c>
      <c r="AD354" s="98" t="str">
        <f>IF(IFERROR(VLOOKUP(A354,'29.既有橋梁拆除'!C:D,1,0),"")="","","✔")</f>
        <v/>
      </c>
    </row>
    <row r="355" spans="1:30" ht="21.75" customHeight="1" x14ac:dyDescent="0.25">
      <c r="A355" s="99">
        <v>45545</v>
      </c>
      <c r="B355" s="98" t="str">
        <f>IF(IFERROR(VLOOKUP(A355,'1.測量放樣'!C:D,1,0),"")="","","✔")</f>
        <v/>
      </c>
      <c r="C355" s="98" t="str">
        <f>IF(IFERROR(VLOOKUP(A355,'2.土方開挖'!C:D,1,0),"")="","","✔")</f>
        <v/>
      </c>
      <c r="D355" s="98" t="str">
        <f>IF(IFERROR(VLOOKUP(A355,'3.土方回填'!C:D,1,0),"")="","","✔")</f>
        <v/>
      </c>
      <c r="E355" s="98" t="str">
        <f>IF(IFERROR(VLOOKUP(A355,'4.鋼筋'!C:D,1,0),"")="","","✔")</f>
        <v/>
      </c>
      <c r="F355" s="98" t="str">
        <f>IF(IFERROR(VLOOKUP(A355,'5.模板'!C:D,1,0),"")="","","✔")</f>
        <v/>
      </c>
      <c r="G355" s="98" t="str">
        <f>IF(IFERROR(VLOOKUP(A355,'6.混凝土'!C:D,1,0),"")="","","✔")</f>
        <v/>
      </c>
      <c r="H355" s="98" t="str">
        <f>IF(IFERROR(VLOOKUP(A355,'7.植筋'!C:D,1,0),"")="","","✔")</f>
        <v/>
      </c>
      <c r="I355" s="98" t="str">
        <f>IF(IFERROR(VLOOKUP(A355,'8.預力混凝土基樁'!C:D,1,0),"")="","","✔")</f>
        <v/>
      </c>
      <c r="J355" s="98" t="str">
        <f>IF(IFERROR(VLOOKUP(A355,'9.砌塊石護岸'!C:D,1,0),"")="","","✔")</f>
        <v/>
      </c>
      <c r="K355" s="98" t="str">
        <f>IF(IFERROR(VLOOKUP(A355,'10.低水護岸'!C:D,1,0),"")="","","✔")</f>
        <v/>
      </c>
      <c r="L355" s="98" t="str">
        <f>IF(IFERROR(VLOOKUP(A355,'11.固床工'!C:D,1,0),"")="","","✔")</f>
        <v/>
      </c>
      <c r="M355" s="98" t="str">
        <f>IF(IFERROR(VLOOKUP(A355,'12.全套管基樁'!C:D,1,0),"")="","","✔")</f>
        <v/>
      </c>
      <c r="N355" s="98" t="str">
        <f>IF(IFERROR(VLOOKUP(A355,'13.鋼筋混凝土管工程'!C:D,1,0),"")="","","✔")</f>
        <v/>
      </c>
      <c r="O355" s="98" t="str">
        <f>IF(IFERROR(VLOOKUP(A355,'14.鋼版樁'!C:D,1,0),"")="","","✔")</f>
        <v/>
      </c>
      <c r="P355" s="98" t="str">
        <f>IF(IFERROR(VLOOKUP(A355,'15.路床 路基高程'!C:D,1,0),"")="","","✔")</f>
        <v/>
      </c>
      <c r="Q355" s="98" t="str">
        <f>IF(IFERROR(VLOOKUP(A355,'16.瀝青混凝土'!C:D,1,0),"")="","","✔")</f>
        <v/>
      </c>
      <c r="R355" s="98" t="str">
        <f>IF(IFERROR(VLOOKUP(A355,'17.景觀鋪面(一)'!C:D,1,0),"")="","","✔")</f>
        <v/>
      </c>
      <c r="S355" s="98" t="str">
        <f>IF(IFERROR(VLOOKUP(A355,'18.景觀鋪面(二)'!C:D,1,0),"")="","","✔")</f>
        <v/>
      </c>
      <c r="T355" s="98" t="str">
        <f>IF(IFERROR(VLOOKUP(A355,'19.預鑄緣石'!C:D,1,0),"")="","","✔")</f>
        <v/>
      </c>
      <c r="U355" s="98" t="str">
        <f>IF(IFERROR(VLOOKUP(A355,'20.鋼構工程吊裝'!C:D,1,0),"")="","","✔")</f>
        <v/>
      </c>
      <c r="V355" s="98" t="str">
        <f>IF(IFERROR(VLOOKUP(A355,'21.鋼構工程塗裝'!C:D,1,0),"")="","","✔")</f>
        <v/>
      </c>
      <c r="W355" s="98" t="str">
        <f>IF(IFERROR(VLOOKUP(A355,'22.排水設施(一)'!C:D,1,0),"")="","","✔")</f>
        <v/>
      </c>
      <c r="X355" s="98" t="str">
        <f>IF(IFERROR(VLOOKUP(A355,'23.排水設施(二)'!C:D,1,0),"")="","","✔")</f>
        <v/>
      </c>
      <c r="Y355" s="98" t="str">
        <f>IF(IFERROR(VLOOKUP(A355,'24.木構造'!C:D,1,0),"")="","","✔")</f>
        <v/>
      </c>
      <c r="Z355" s="98" t="str">
        <f>IF(IFERROR(VLOOKUP(A355,'25.管路'!C:D,1,0),"")="","","✔")</f>
        <v/>
      </c>
      <c r="AA355" s="98" t="str">
        <f>IF(IFERROR(VLOOKUP(A355,'26.植栽(移植)'!C:D,1,0),"")="","","✔")</f>
        <v/>
      </c>
      <c r="AB355" s="98" t="str">
        <f>IF(IFERROR(VLOOKUP(A355,'27.植栽(新植)'!C:D,1,0),"")="","","✔")</f>
        <v/>
      </c>
      <c r="AC355" s="98" t="str">
        <f>IF(IFERROR(VLOOKUP(A355,'28.照明'!C:D,1,0),"")="","","✔")</f>
        <v/>
      </c>
      <c r="AD355" s="98" t="str">
        <f>IF(IFERROR(VLOOKUP(A355,'29.既有橋梁拆除'!C:D,1,0),"")="","","✔")</f>
        <v/>
      </c>
    </row>
    <row r="356" spans="1:30" ht="21.75" customHeight="1" x14ac:dyDescent="0.25">
      <c r="A356" s="99">
        <v>45546</v>
      </c>
      <c r="B356" s="98" t="str">
        <f>IF(IFERROR(VLOOKUP(A356,'1.測量放樣'!C:D,1,0),"")="","","✔")</f>
        <v/>
      </c>
      <c r="C356" s="98" t="str">
        <f>IF(IFERROR(VLOOKUP(A356,'2.土方開挖'!C:D,1,0),"")="","","✔")</f>
        <v/>
      </c>
      <c r="D356" s="98" t="str">
        <f>IF(IFERROR(VLOOKUP(A356,'3.土方回填'!C:D,1,0),"")="","","✔")</f>
        <v/>
      </c>
      <c r="E356" s="98" t="str">
        <f>IF(IFERROR(VLOOKUP(A356,'4.鋼筋'!C:D,1,0),"")="","","✔")</f>
        <v/>
      </c>
      <c r="F356" s="98" t="str">
        <f>IF(IFERROR(VLOOKUP(A356,'5.模板'!C:D,1,0),"")="","","✔")</f>
        <v/>
      </c>
      <c r="G356" s="98" t="str">
        <f>IF(IFERROR(VLOOKUP(A356,'6.混凝土'!C:D,1,0),"")="","","✔")</f>
        <v/>
      </c>
      <c r="H356" s="98" t="str">
        <f>IF(IFERROR(VLOOKUP(A356,'7.植筋'!C:D,1,0),"")="","","✔")</f>
        <v/>
      </c>
      <c r="I356" s="98" t="str">
        <f>IF(IFERROR(VLOOKUP(A356,'8.預力混凝土基樁'!C:D,1,0),"")="","","✔")</f>
        <v/>
      </c>
      <c r="J356" s="98" t="str">
        <f>IF(IFERROR(VLOOKUP(A356,'9.砌塊石護岸'!C:D,1,0),"")="","","✔")</f>
        <v/>
      </c>
      <c r="K356" s="98" t="str">
        <f>IF(IFERROR(VLOOKUP(A356,'10.低水護岸'!C:D,1,0),"")="","","✔")</f>
        <v/>
      </c>
      <c r="L356" s="98" t="str">
        <f>IF(IFERROR(VLOOKUP(A356,'11.固床工'!C:D,1,0),"")="","","✔")</f>
        <v/>
      </c>
      <c r="M356" s="98" t="str">
        <f>IF(IFERROR(VLOOKUP(A356,'12.全套管基樁'!C:D,1,0),"")="","","✔")</f>
        <v/>
      </c>
      <c r="N356" s="98" t="str">
        <f>IF(IFERROR(VLOOKUP(A356,'13.鋼筋混凝土管工程'!C:D,1,0),"")="","","✔")</f>
        <v/>
      </c>
      <c r="O356" s="98" t="str">
        <f>IF(IFERROR(VLOOKUP(A356,'14.鋼版樁'!C:D,1,0),"")="","","✔")</f>
        <v/>
      </c>
      <c r="P356" s="98" t="str">
        <f>IF(IFERROR(VLOOKUP(A356,'15.路床 路基高程'!C:D,1,0),"")="","","✔")</f>
        <v/>
      </c>
      <c r="Q356" s="98" t="str">
        <f>IF(IFERROR(VLOOKUP(A356,'16.瀝青混凝土'!C:D,1,0),"")="","","✔")</f>
        <v/>
      </c>
      <c r="R356" s="98" t="str">
        <f>IF(IFERROR(VLOOKUP(A356,'17.景觀鋪面(一)'!C:D,1,0),"")="","","✔")</f>
        <v/>
      </c>
      <c r="S356" s="98" t="str">
        <f>IF(IFERROR(VLOOKUP(A356,'18.景觀鋪面(二)'!C:D,1,0),"")="","","✔")</f>
        <v/>
      </c>
      <c r="T356" s="98" t="str">
        <f>IF(IFERROR(VLOOKUP(A356,'19.預鑄緣石'!C:D,1,0),"")="","","✔")</f>
        <v/>
      </c>
      <c r="U356" s="98" t="str">
        <f>IF(IFERROR(VLOOKUP(A356,'20.鋼構工程吊裝'!C:D,1,0),"")="","","✔")</f>
        <v/>
      </c>
      <c r="V356" s="98" t="str">
        <f>IF(IFERROR(VLOOKUP(A356,'21.鋼構工程塗裝'!C:D,1,0),"")="","","✔")</f>
        <v/>
      </c>
      <c r="W356" s="98" t="str">
        <f>IF(IFERROR(VLOOKUP(A356,'22.排水設施(一)'!C:D,1,0),"")="","","✔")</f>
        <v/>
      </c>
      <c r="X356" s="98" t="str">
        <f>IF(IFERROR(VLOOKUP(A356,'23.排水設施(二)'!C:D,1,0),"")="","","✔")</f>
        <v/>
      </c>
      <c r="Y356" s="98" t="str">
        <f>IF(IFERROR(VLOOKUP(A356,'24.木構造'!C:D,1,0),"")="","","✔")</f>
        <v/>
      </c>
      <c r="Z356" s="98" t="str">
        <f>IF(IFERROR(VLOOKUP(A356,'25.管路'!C:D,1,0),"")="","","✔")</f>
        <v/>
      </c>
      <c r="AA356" s="98" t="str">
        <f>IF(IFERROR(VLOOKUP(A356,'26.植栽(移植)'!C:D,1,0),"")="","","✔")</f>
        <v/>
      </c>
      <c r="AB356" s="98" t="str">
        <f>IF(IFERROR(VLOOKUP(A356,'27.植栽(新植)'!C:D,1,0),"")="","","✔")</f>
        <v/>
      </c>
      <c r="AC356" s="98" t="str">
        <f>IF(IFERROR(VLOOKUP(A356,'28.照明'!C:D,1,0),"")="","","✔")</f>
        <v/>
      </c>
      <c r="AD356" s="98" t="str">
        <f>IF(IFERROR(VLOOKUP(A356,'29.既有橋梁拆除'!C:D,1,0),"")="","","✔")</f>
        <v/>
      </c>
    </row>
    <row r="357" spans="1:30" ht="21.75" customHeight="1" x14ac:dyDescent="0.25">
      <c r="A357" s="99">
        <v>45547</v>
      </c>
      <c r="B357" s="98" t="str">
        <f>IF(IFERROR(VLOOKUP(A357,'1.測量放樣'!C:D,1,0),"")="","","✔")</f>
        <v/>
      </c>
      <c r="C357" s="98" t="str">
        <f>IF(IFERROR(VLOOKUP(A357,'2.土方開挖'!C:D,1,0),"")="","","✔")</f>
        <v/>
      </c>
      <c r="D357" s="98" t="str">
        <f>IF(IFERROR(VLOOKUP(A357,'3.土方回填'!C:D,1,0),"")="","","✔")</f>
        <v/>
      </c>
      <c r="E357" s="98" t="str">
        <f>IF(IFERROR(VLOOKUP(A357,'4.鋼筋'!C:D,1,0),"")="","","✔")</f>
        <v/>
      </c>
      <c r="F357" s="98" t="str">
        <f>IF(IFERROR(VLOOKUP(A357,'5.模板'!C:D,1,0),"")="","","✔")</f>
        <v/>
      </c>
      <c r="G357" s="98" t="str">
        <f>IF(IFERROR(VLOOKUP(A357,'6.混凝土'!C:D,1,0),"")="","","✔")</f>
        <v/>
      </c>
      <c r="H357" s="98" t="str">
        <f>IF(IFERROR(VLOOKUP(A357,'7.植筋'!C:D,1,0),"")="","","✔")</f>
        <v/>
      </c>
      <c r="I357" s="98" t="str">
        <f>IF(IFERROR(VLOOKUP(A357,'8.預力混凝土基樁'!C:D,1,0),"")="","","✔")</f>
        <v/>
      </c>
      <c r="J357" s="98" t="str">
        <f>IF(IFERROR(VLOOKUP(A357,'9.砌塊石護岸'!C:D,1,0),"")="","","✔")</f>
        <v/>
      </c>
      <c r="K357" s="98" t="str">
        <f>IF(IFERROR(VLOOKUP(A357,'10.低水護岸'!C:D,1,0),"")="","","✔")</f>
        <v/>
      </c>
      <c r="L357" s="98" t="str">
        <f>IF(IFERROR(VLOOKUP(A357,'11.固床工'!C:D,1,0),"")="","","✔")</f>
        <v/>
      </c>
      <c r="M357" s="98" t="str">
        <f>IF(IFERROR(VLOOKUP(A357,'12.全套管基樁'!C:D,1,0),"")="","","✔")</f>
        <v/>
      </c>
      <c r="N357" s="98" t="str">
        <f>IF(IFERROR(VLOOKUP(A357,'13.鋼筋混凝土管工程'!C:D,1,0),"")="","","✔")</f>
        <v/>
      </c>
      <c r="O357" s="98" t="str">
        <f>IF(IFERROR(VLOOKUP(A357,'14.鋼版樁'!C:D,1,0),"")="","","✔")</f>
        <v/>
      </c>
      <c r="P357" s="98" t="str">
        <f>IF(IFERROR(VLOOKUP(A357,'15.路床 路基高程'!C:D,1,0),"")="","","✔")</f>
        <v/>
      </c>
      <c r="Q357" s="98" t="str">
        <f>IF(IFERROR(VLOOKUP(A357,'16.瀝青混凝土'!C:D,1,0),"")="","","✔")</f>
        <v/>
      </c>
      <c r="R357" s="98" t="str">
        <f>IF(IFERROR(VLOOKUP(A357,'17.景觀鋪面(一)'!C:D,1,0),"")="","","✔")</f>
        <v/>
      </c>
      <c r="S357" s="98" t="str">
        <f>IF(IFERROR(VLOOKUP(A357,'18.景觀鋪面(二)'!C:D,1,0),"")="","","✔")</f>
        <v/>
      </c>
      <c r="T357" s="98" t="str">
        <f>IF(IFERROR(VLOOKUP(A357,'19.預鑄緣石'!C:D,1,0),"")="","","✔")</f>
        <v/>
      </c>
      <c r="U357" s="98" t="str">
        <f>IF(IFERROR(VLOOKUP(A357,'20.鋼構工程吊裝'!C:D,1,0),"")="","","✔")</f>
        <v/>
      </c>
      <c r="V357" s="98" t="str">
        <f>IF(IFERROR(VLOOKUP(A357,'21.鋼構工程塗裝'!C:D,1,0),"")="","","✔")</f>
        <v/>
      </c>
      <c r="W357" s="98" t="str">
        <f>IF(IFERROR(VLOOKUP(A357,'22.排水設施(一)'!C:D,1,0),"")="","","✔")</f>
        <v/>
      </c>
      <c r="X357" s="98" t="str">
        <f>IF(IFERROR(VLOOKUP(A357,'23.排水設施(二)'!C:D,1,0),"")="","","✔")</f>
        <v/>
      </c>
      <c r="Y357" s="98" t="str">
        <f>IF(IFERROR(VLOOKUP(A357,'24.木構造'!C:D,1,0),"")="","","✔")</f>
        <v/>
      </c>
      <c r="Z357" s="98" t="str">
        <f>IF(IFERROR(VLOOKUP(A357,'25.管路'!C:D,1,0),"")="","","✔")</f>
        <v/>
      </c>
      <c r="AA357" s="98" t="str">
        <f>IF(IFERROR(VLOOKUP(A357,'26.植栽(移植)'!C:D,1,0),"")="","","✔")</f>
        <v/>
      </c>
      <c r="AB357" s="98" t="str">
        <f>IF(IFERROR(VLOOKUP(A357,'27.植栽(新植)'!C:D,1,0),"")="","","✔")</f>
        <v/>
      </c>
      <c r="AC357" s="98" t="str">
        <f>IF(IFERROR(VLOOKUP(A357,'28.照明'!C:D,1,0),"")="","","✔")</f>
        <v/>
      </c>
      <c r="AD357" s="98" t="str">
        <f>IF(IFERROR(VLOOKUP(A357,'29.既有橋梁拆除'!C:D,1,0),"")="","","✔")</f>
        <v/>
      </c>
    </row>
    <row r="358" spans="1:30" ht="21.75" customHeight="1" x14ac:dyDescent="0.25">
      <c r="A358" s="99">
        <v>45548</v>
      </c>
      <c r="B358" s="98" t="str">
        <f>IF(IFERROR(VLOOKUP(A358,'1.測量放樣'!C:D,1,0),"")="","","✔")</f>
        <v/>
      </c>
      <c r="C358" s="98" t="str">
        <f>IF(IFERROR(VLOOKUP(A358,'2.土方開挖'!C:D,1,0),"")="","","✔")</f>
        <v/>
      </c>
      <c r="D358" s="98" t="str">
        <f>IF(IFERROR(VLOOKUP(A358,'3.土方回填'!C:D,1,0),"")="","","✔")</f>
        <v/>
      </c>
      <c r="E358" s="98" t="str">
        <f>IF(IFERROR(VLOOKUP(A358,'4.鋼筋'!C:D,1,0),"")="","","✔")</f>
        <v/>
      </c>
      <c r="F358" s="98" t="str">
        <f>IF(IFERROR(VLOOKUP(A358,'5.模板'!C:D,1,0),"")="","","✔")</f>
        <v/>
      </c>
      <c r="G358" s="98" t="str">
        <f>IF(IFERROR(VLOOKUP(A358,'6.混凝土'!C:D,1,0),"")="","","✔")</f>
        <v/>
      </c>
      <c r="H358" s="98" t="str">
        <f>IF(IFERROR(VLOOKUP(A358,'7.植筋'!C:D,1,0),"")="","","✔")</f>
        <v/>
      </c>
      <c r="I358" s="98" t="str">
        <f>IF(IFERROR(VLOOKUP(A358,'8.預力混凝土基樁'!C:D,1,0),"")="","","✔")</f>
        <v/>
      </c>
      <c r="J358" s="98" t="str">
        <f>IF(IFERROR(VLOOKUP(A358,'9.砌塊石護岸'!C:D,1,0),"")="","","✔")</f>
        <v/>
      </c>
      <c r="K358" s="98" t="str">
        <f>IF(IFERROR(VLOOKUP(A358,'10.低水護岸'!C:D,1,0),"")="","","✔")</f>
        <v/>
      </c>
      <c r="L358" s="98" t="str">
        <f>IF(IFERROR(VLOOKUP(A358,'11.固床工'!C:D,1,0),"")="","","✔")</f>
        <v/>
      </c>
      <c r="M358" s="98" t="str">
        <f>IF(IFERROR(VLOOKUP(A358,'12.全套管基樁'!C:D,1,0),"")="","","✔")</f>
        <v/>
      </c>
      <c r="N358" s="98" t="str">
        <f>IF(IFERROR(VLOOKUP(A358,'13.鋼筋混凝土管工程'!C:D,1,0),"")="","","✔")</f>
        <v/>
      </c>
      <c r="O358" s="98" t="str">
        <f>IF(IFERROR(VLOOKUP(A358,'14.鋼版樁'!C:D,1,0),"")="","","✔")</f>
        <v/>
      </c>
      <c r="P358" s="98" t="str">
        <f>IF(IFERROR(VLOOKUP(A358,'15.路床 路基高程'!C:D,1,0),"")="","","✔")</f>
        <v/>
      </c>
      <c r="Q358" s="98" t="str">
        <f>IF(IFERROR(VLOOKUP(A358,'16.瀝青混凝土'!C:D,1,0),"")="","","✔")</f>
        <v/>
      </c>
      <c r="R358" s="98" t="str">
        <f>IF(IFERROR(VLOOKUP(A358,'17.景觀鋪面(一)'!C:D,1,0),"")="","","✔")</f>
        <v/>
      </c>
      <c r="S358" s="98" t="str">
        <f>IF(IFERROR(VLOOKUP(A358,'18.景觀鋪面(二)'!C:D,1,0),"")="","","✔")</f>
        <v/>
      </c>
      <c r="T358" s="98" t="str">
        <f>IF(IFERROR(VLOOKUP(A358,'19.預鑄緣石'!C:D,1,0),"")="","","✔")</f>
        <v/>
      </c>
      <c r="U358" s="98" t="str">
        <f>IF(IFERROR(VLOOKUP(A358,'20.鋼構工程吊裝'!C:D,1,0),"")="","","✔")</f>
        <v/>
      </c>
      <c r="V358" s="98" t="str">
        <f>IF(IFERROR(VLOOKUP(A358,'21.鋼構工程塗裝'!C:D,1,0),"")="","","✔")</f>
        <v/>
      </c>
      <c r="W358" s="98" t="str">
        <f>IF(IFERROR(VLOOKUP(A358,'22.排水設施(一)'!C:D,1,0),"")="","","✔")</f>
        <v/>
      </c>
      <c r="X358" s="98" t="str">
        <f>IF(IFERROR(VLOOKUP(A358,'23.排水設施(二)'!C:D,1,0),"")="","","✔")</f>
        <v/>
      </c>
      <c r="Y358" s="98" t="str">
        <f>IF(IFERROR(VLOOKUP(A358,'24.木構造'!C:D,1,0),"")="","","✔")</f>
        <v/>
      </c>
      <c r="Z358" s="98" t="str">
        <f>IF(IFERROR(VLOOKUP(A358,'25.管路'!C:D,1,0),"")="","","✔")</f>
        <v/>
      </c>
      <c r="AA358" s="98" t="str">
        <f>IF(IFERROR(VLOOKUP(A358,'26.植栽(移植)'!C:D,1,0),"")="","","✔")</f>
        <v/>
      </c>
      <c r="AB358" s="98" t="str">
        <f>IF(IFERROR(VLOOKUP(A358,'27.植栽(新植)'!C:D,1,0),"")="","","✔")</f>
        <v/>
      </c>
      <c r="AC358" s="98" t="str">
        <f>IF(IFERROR(VLOOKUP(A358,'28.照明'!C:D,1,0),"")="","","✔")</f>
        <v/>
      </c>
      <c r="AD358" s="98" t="str">
        <f>IF(IFERROR(VLOOKUP(A358,'29.既有橋梁拆除'!C:D,1,0),"")="","","✔")</f>
        <v/>
      </c>
    </row>
    <row r="359" spans="1:30" ht="21.75" customHeight="1" x14ac:dyDescent="0.25">
      <c r="A359" s="99">
        <v>45549</v>
      </c>
      <c r="B359" s="98" t="str">
        <f>IF(IFERROR(VLOOKUP(A359,'1.測量放樣'!C:D,1,0),"")="","","✔")</f>
        <v/>
      </c>
      <c r="C359" s="98" t="str">
        <f>IF(IFERROR(VLOOKUP(A359,'2.土方開挖'!C:D,1,0),"")="","","✔")</f>
        <v/>
      </c>
      <c r="D359" s="98" t="str">
        <f>IF(IFERROR(VLOOKUP(A359,'3.土方回填'!C:D,1,0),"")="","","✔")</f>
        <v/>
      </c>
      <c r="E359" s="98" t="str">
        <f>IF(IFERROR(VLOOKUP(A359,'4.鋼筋'!C:D,1,0),"")="","","✔")</f>
        <v/>
      </c>
      <c r="F359" s="98" t="str">
        <f>IF(IFERROR(VLOOKUP(A359,'5.模板'!C:D,1,0),"")="","","✔")</f>
        <v/>
      </c>
      <c r="G359" s="98" t="str">
        <f>IF(IFERROR(VLOOKUP(A359,'6.混凝土'!C:D,1,0),"")="","","✔")</f>
        <v/>
      </c>
      <c r="H359" s="98" t="str">
        <f>IF(IFERROR(VLOOKUP(A359,'7.植筋'!C:D,1,0),"")="","","✔")</f>
        <v/>
      </c>
      <c r="I359" s="98" t="str">
        <f>IF(IFERROR(VLOOKUP(A359,'8.預力混凝土基樁'!C:D,1,0),"")="","","✔")</f>
        <v/>
      </c>
      <c r="J359" s="98" t="str">
        <f>IF(IFERROR(VLOOKUP(A359,'9.砌塊石護岸'!C:D,1,0),"")="","","✔")</f>
        <v/>
      </c>
      <c r="K359" s="98" t="str">
        <f>IF(IFERROR(VLOOKUP(A359,'10.低水護岸'!C:D,1,0),"")="","","✔")</f>
        <v/>
      </c>
      <c r="L359" s="98" t="str">
        <f>IF(IFERROR(VLOOKUP(A359,'11.固床工'!C:D,1,0),"")="","","✔")</f>
        <v/>
      </c>
      <c r="M359" s="98" t="str">
        <f>IF(IFERROR(VLOOKUP(A359,'12.全套管基樁'!C:D,1,0),"")="","","✔")</f>
        <v/>
      </c>
      <c r="N359" s="98" t="str">
        <f>IF(IFERROR(VLOOKUP(A359,'13.鋼筋混凝土管工程'!C:D,1,0),"")="","","✔")</f>
        <v/>
      </c>
      <c r="O359" s="98" t="str">
        <f>IF(IFERROR(VLOOKUP(A359,'14.鋼版樁'!C:D,1,0),"")="","","✔")</f>
        <v/>
      </c>
      <c r="P359" s="98" t="str">
        <f>IF(IFERROR(VLOOKUP(A359,'15.路床 路基高程'!C:D,1,0),"")="","","✔")</f>
        <v/>
      </c>
      <c r="Q359" s="98" t="str">
        <f>IF(IFERROR(VLOOKUP(A359,'16.瀝青混凝土'!C:D,1,0),"")="","","✔")</f>
        <v/>
      </c>
      <c r="R359" s="98" t="str">
        <f>IF(IFERROR(VLOOKUP(A359,'17.景觀鋪面(一)'!C:D,1,0),"")="","","✔")</f>
        <v/>
      </c>
      <c r="S359" s="98" t="str">
        <f>IF(IFERROR(VLOOKUP(A359,'18.景觀鋪面(二)'!C:D,1,0),"")="","","✔")</f>
        <v/>
      </c>
      <c r="T359" s="98" t="str">
        <f>IF(IFERROR(VLOOKUP(A359,'19.預鑄緣石'!C:D,1,0),"")="","","✔")</f>
        <v/>
      </c>
      <c r="U359" s="98" t="str">
        <f>IF(IFERROR(VLOOKUP(A359,'20.鋼構工程吊裝'!C:D,1,0),"")="","","✔")</f>
        <v/>
      </c>
      <c r="V359" s="98" t="str">
        <f>IF(IFERROR(VLOOKUP(A359,'21.鋼構工程塗裝'!C:D,1,0),"")="","","✔")</f>
        <v/>
      </c>
      <c r="W359" s="98" t="str">
        <f>IF(IFERROR(VLOOKUP(A359,'22.排水設施(一)'!C:D,1,0),"")="","","✔")</f>
        <v/>
      </c>
      <c r="X359" s="98" t="str">
        <f>IF(IFERROR(VLOOKUP(A359,'23.排水設施(二)'!C:D,1,0),"")="","","✔")</f>
        <v/>
      </c>
      <c r="Y359" s="98" t="str">
        <f>IF(IFERROR(VLOOKUP(A359,'24.木構造'!C:D,1,0),"")="","","✔")</f>
        <v/>
      </c>
      <c r="Z359" s="98" t="str">
        <f>IF(IFERROR(VLOOKUP(A359,'25.管路'!C:D,1,0),"")="","","✔")</f>
        <v/>
      </c>
      <c r="AA359" s="98" t="str">
        <f>IF(IFERROR(VLOOKUP(A359,'26.植栽(移植)'!C:D,1,0),"")="","","✔")</f>
        <v/>
      </c>
      <c r="AB359" s="98" t="str">
        <f>IF(IFERROR(VLOOKUP(A359,'27.植栽(新植)'!C:D,1,0),"")="","","✔")</f>
        <v/>
      </c>
      <c r="AC359" s="98" t="str">
        <f>IF(IFERROR(VLOOKUP(A359,'28.照明'!C:D,1,0),"")="","","✔")</f>
        <v/>
      </c>
      <c r="AD359" s="98" t="str">
        <f>IF(IFERROR(VLOOKUP(A359,'29.既有橋梁拆除'!C:D,1,0),"")="","","✔")</f>
        <v/>
      </c>
    </row>
    <row r="360" spans="1:30" ht="21.75" customHeight="1" x14ac:dyDescent="0.25">
      <c r="A360" s="99">
        <v>45550</v>
      </c>
      <c r="B360" s="98" t="str">
        <f>IF(IFERROR(VLOOKUP(A360,'1.測量放樣'!C:D,1,0),"")="","","✔")</f>
        <v/>
      </c>
      <c r="C360" s="98" t="str">
        <f>IF(IFERROR(VLOOKUP(A360,'2.土方開挖'!C:D,1,0),"")="","","✔")</f>
        <v/>
      </c>
      <c r="D360" s="98" t="str">
        <f>IF(IFERROR(VLOOKUP(A360,'3.土方回填'!C:D,1,0),"")="","","✔")</f>
        <v/>
      </c>
      <c r="E360" s="98" t="str">
        <f>IF(IFERROR(VLOOKUP(A360,'4.鋼筋'!C:D,1,0),"")="","","✔")</f>
        <v/>
      </c>
      <c r="F360" s="98" t="str">
        <f>IF(IFERROR(VLOOKUP(A360,'5.模板'!C:D,1,0),"")="","","✔")</f>
        <v/>
      </c>
      <c r="G360" s="98" t="str">
        <f>IF(IFERROR(VLOOKUP(A360,'6.混凝土'!C:D,1,0),"")="","","✔")</f>
        <v/>
      </c>
      <c r="H360" s="98" t="str">
        <f>IF(IFERROR(VLOOKUP(A360,'7.植筋'!C:D,1,0),"")="","","✔")</f>
        <v/>
      </c>
      <c r="I360" s="98" t="str">
        <f>IF(IFERROR(VLOOKUP(A360,'8.預力混凝土基樁'!C:D,1,0),"")="","","✔")</f>
        <v/>
      </c>
      <c r="J360" s="98" t="str">
        <f>IF(IFERROR(VLOOKUP(A360,'9.砌塊石護岸'!C:D,1,0),"")="","","✔")</f>
        <v/>
      </c>
      <c r="K360" s="98" t="str">
        <f>IF(IFERROR(VLOOKUP(A360,'10.低水護岸'!C:D,1,0),"")="","","✔")</f>
        <v/>
      </c>
      <c r="L360" s="98" t="str">
        <f>IF(IFERROR(VLOOKUP(A360,'11.固床工'!C:D,1,0),"")="","","✔")</f>
        <v/>
      </c>
      <c r="M360" s="98" t="str">
        <f>IF(IFERROR(VLOOKUP(A360,'12.全套管基樁'!C:D,1,0),"")="","","✔")</f>
        <v/>
      </c>
      <c r="N360" s="98" t="str">
        <f>IF(IFERROR(VLOOKUP(A360,'13.鋼筋混凝土管工程'!C:D,1,0),"")="","","✔")</f>
        <v/>
      </c>
      <c r="O360" s="98" t="str">
        <f>IF(IFERROR(VLOOKUP(A360,'14.鋼版樁'!C:D,1,0),"")="","","✔")</f>
        <v/>
      </c>
      <c r="P360" s="98" t="str">
        <f>IF(IFERROR(VLOOKUP(A360,'15.路床 路基高程'!C:D,1,0),"")="","","✔")</f>
        <v/>
      </c>
      <c r="Q360" s="98" t="str">
        <f>IF(IFERROR(VLOOKUP(A360,'16.瀝青混凝土'!C:D,1,0),"")="","","✔")</f>
        <v/>
      </c>
      <c r="R360" s="98" t="str">
        <f>IF(IFERROR(VLOOKUP(A360,'17.景觀鋪面(一)'!C:D,1,0),"")="","","✔")</f>
        <v/>
      </c>
      <c r="S360" s="98" t="str">
        <f>IF(IFERROR(VLOOKUP(A360,'18.景觀鋪面(二)'!C:D,1,0),"")="","","✔")</f>
        <v/>
      </c>
      <c r="T360" s="98" t="str">
        <f>IF(IFERROR(VLOOKUP(A360,'19.預鑄緣石'!C:D,1,0),"")="","","✔")</f>
        <v/>
      </c>
      <c r="U360" s="98" t="str">
        <f>IF(IFERROR(VLOOKUP(A360,'20.鋼構工程吊裝'!C:D,1,0),"")="","","✔")</f>
        <v/>
      </c>
      <c r="V360" s="98" t="str">
        <f>IF(IFERROR(VLOOKUP(A360,'21.鋼構工程塗裝'!C:D,1,0),"")="","","✔")</f>
        <v/>
      </c>
      <c r="W360" s="98" t="str">
        <f>IF(IFERROR(VLOOKUP(A360,'22.排水設施(一)'!C:D,1,0),"")="","","✔")</f>
        <v/>
      </c>
      <c r="X360" s="98" t="str">
        <f>IF(IFERROR(VLOOKUP(A360,'23.排水設施(二)'!C:D,1,0),"")="","","✔")</f>
        <v/>
      </c>
      <c r="Y360" s="98" t="str">
        <f>IF(IFERROR(VLOOKUP(A360,'24.木構造'!C:D,1,0),"")="","","✔")</f>
        <v/>
      </c>
      <c r="Z360" s="98" t="str">
        <f>IF(IFERROR(VLOOKUP(A360,'25.管路'!C:D,1,0),"")="","","✔")</f>
        <v/>
      </c>
      <c r="AA360" s="98" t="str">
        <f>IF(IFERROR(VLOOKUP(A360,'26.植栽(移植)'!C:D,1,0),"")="","","✔")</f>
        <v/>
      </c>
      <c r="AB360" s="98" t="str">
        <f>IF(IFERROR(VLOOKUP(A360,'27.植栽(新植)'!C:D,1,0),"")="","","✔")</f>
        <v/>
      </c>
      <c r="AC360" s="98" t="str">
        <f>IF(IFERROR(VLOOKUP(A360,'28.照明'!C:D,1,0),"")="","","✔")</f>
        <v/>
      </c>
      <c r="AD360" s="98" t="str">
        <f>IF(IFERROR(VLOOKUP(A360,'29.既有橋梁拆除'!C:D,1,0),"")="","","✔")</f>
        <v/>
      </c>
    </row>
    <row r="361" spans="1:30" ht="21.75" customHeight="1" x14ac:dyDescent="0.25">
      <c r="A361" s="99">
        <v>45551</v>
      </c>
      <c r="B361" s="98" t="str">
        <f>IF(IFERROR(VLOOKUP(A361,'1.測量放樣'!C:D,1,0),"")="","","✔")</f>
        <v/>
      </c>
      <c r="C361" s="98" t="str">
        <f>IF(IFERROR(VLOOKUP(A361,'2.土方開挖'!C:D,1,0),"")="","","✔")</f>
        <v/>
      </c>
      <c r="D361" s="98" t="str">
        <f>IF(IFERROR(VLOOKUP(A361,'3.土方回填'!C:D,1,0),"")="","","✔")</f>
        <v/>
      </c>
      <c r="E361" s="98" t="str">
        <f>IF(IFERROR(VLOOKUP(A361,'4.鋼筋'!C:D,1,0),"")="","","✔")</f>
        <v/>
      </c>
      <c r="F361" s="98" t="str">
        <f>IF(IFERROR(VLOOKUP(A361,'5.模板'!C:D,1,0),"")="","","✔")</f>
        <v/>
      </c>
      <c r="G361" s="98" t="str">
        <f>IF(IFERROR(VLOOKUP(A361,'6.混凝土'!C:D,1,0),"")="","","✔")</f>
        <v/>
      </c>
      <c r="H361" s="98" t="str">
        <f>IF(IFERROR(VLOOKUP(A361,'7.植筋'!C:D,1,0),"")="","","✔")</f>
        <v/>
      </c>
      <c r="I361" s="98" t="str">
        <f>IF(IFERROR(VLOOKUP(A361,'8.預力混凝土基樁'!C:D,1,0),"")="","","✔")</f>
        <v/>
      </c>
      <c r="J361" s="98" t="str">
        <f>IF(IFERROR(VLOOKUP(A361,'9.砌塊石護岸'!C:D,1,0),"")="","","✔")</f>
        <v/>
      </c>
      <c r="K361" s="98" t="str">
        <f>IF(IFERROR(VLOOKUP(A361,'10.低水護岸'!C:D,1,0),"")="","","✔")</f>
        <v/>
      </c>
      <c r="L361" s="98" t="str">
        <f>IF(IFERROR(VLOOKUP(A361,'11.固床工'!C:D,1,0),"")="","","✔")</f>
        <v/>
      </c>
      <c r="M361" s="98" t="str">
        <f>IF(IFERROR(VLOOKUP(A361,'12.全套管基樁'!C:D,1,0),"")="","","✔")</f>
        <v/>
      </c>
      <c r="N361" s="98" t="str">
        <f>IF(IFERROR(VLOOKUP(A361,'13.鋼筋混凝土管工程'!C:D,1,0),"")="","","✔")</f>
        <v/>
      </c>
      <c r="O361" s="98" t="str">
        <f>IF(IFERROR(VLOOKUP(A361,'14.鋼版樁'!C:D,1,0),"")="","","✔")</f>
        <v/>
      </c>
      <c r="P361" s="98" t="str">
        <f>IF(IFERROR(VLOOKUP(A361,'15.路床 路基高程'!C:D,1,0),"")="","","✔")</f>
        <v/>
      </c>
      <c r="Q361" s="98" t="str">
        <f>IF(IFERROR(VLOOKUP(A361,'16.瀝青混凝土'!C:D,1,0),"")="","","✔")</f>
        <v/>
      </c>
      <c r="R361" s="98" t="str">
        <f>IF(IFERROR(VLOOKUP(A361,'17.景觀鋪面(一)'!C:D,1,0),"")="","","✔")</f>
        <v/>
      </c>
      <c r="S361" s="98" t="str">
        <f>IF(IFERROR(VLOOKUP(A361,'18.景觀鋪面(二)'!C:D,1,0),"")="","","✔")</f>
        <v/>
      </c>
      <c r="T361" s="98" t="str">
        <f>IF(IFERROR(VLOOKUP(A361,'19.預鑄緣石'!C:D,1,0),"")="","","✔")</f>
        <v/>
      </c>
      <c r="U361" s="98" t="str">
        <f>IF(IFERROR(VLOOKUP(A361,'20.鋼構工程吊裝'!C:D,1,0),"")="","","✔")</f>
        <v/>
      </c>
      <c r="V361" s="98" t="str">
        <f>IF(IFERROR(VLOOKUP(A361,'21.鋼構工程塗裝'!C:D,1,0),"")="","","✔")</f>
        <v/>
      </c>
      <c r="W361" s="98" t="str">
        <f>IF(IFERROR(VLOOKUP(A361,'22.排水設施(一)'!C:D,1,0),"")="","","✔")</f>
        <v/>
      </c>
      <c r="X361" s="98" t="str">
        <f>IF(IFERROR(VLOOKUP(A361,'23.排水設施(二)'!C:D,1,0),"")="","","✔")</f>
        <v/>
      </c>
      <c r="Y361" s="98" t="str">
        <f>IF(IFERROR(VLOOKUP(A361,'24.木構造'!C:D,1,0),"")="","","✔")</f>
        <v/>
      </c>
      <c r="Z361" s="98" t="str">
        <f>IF(IFERROR(VLOOKUP(A361,'25.管路'!C:D,1,0),"")="","","✔")</f>
        <v/>
      </c>
      <c r="AA361" s="98" t="str">
        <f>IF(IFERROR(VLOOKUP(A361,'26.植栽(移植)'!C:D,1,0),"")="","","✔")</f>
        <v/>
      </c>
      <c r="AB361" s="98" t="str">
        <f>IF(IFERROR(VLOOKUP(A361,'27.植栽(新植)'!C:D,1,0),"")="","","✔")</f>
        <v/>
      </c>
      <c r="AC361" s="98" t="str">
        <f>IF(IFERROR(VLOOKUP(A361,'28.照明'!C:D,1,0),"")="","","✔")</f>
        <v/>
      </c>
      <c r="AD361" s="98" t="str">
        <f>IF(IFERROR(VLOOKUP(A361,'29.既有橋梁拆除'!C:D,1,0),"")="","","✔")</f>
        <v/>
      </c>
    </row>
    <row r="362" spans="1:30" ht="21.75" customHeight="1" x14ac:dyDescent="0.25">
      <c r="A362" s="99">
        <v>45552</v>
      </c>
      <c r="B362" s="98" t="str">
        <f>IF(IFERROR(VLOOKUP(A362,'1.測量放樣'!C:D,1,0),"")="","","✔")</f>
        <v/>
      </c>
      <c r="C362" s="98" t="str">
        <f>IF(IFERROR(VLOOKUP(A362,'2.土方開挖'!C:D,1,0),"")="","","✔")</f>
        <v/>
      </c>
      <c r="D362" s="98" t="str">
        <f>IF(IFERROR(VLOOKUP(A362,'3.土方回填'!C:D,1,0),"")="","","✔")</f>
        <v/>
      </c>
      <c r="E362" s="98" t="str">
        <f>IF(IFERROR(VLOOKUP(A362,'4.鋼筋'!C:D,1,0),"")="","","✔")</f>
        <v/>
      </c>
      <c r="F362" s="98" t="str">
        <f>IF(IFERROR(VLOOKUP(A362,'5.模板'!C:D,1,0),"")="","","✔")</f>
        <v/>
      </c>
      <c r="G362" s="98" t="str">
        <f>IF(IFERROR(VLOOKUP(A362,'6.混凝土'!C:D,1,0),"")="","","✔")</f>
        <v/>
      </c>
      <c r="H362" s="98" t="str">
        <f>IF(IFERROR(VLOOKUP(A362,'7.植筋'!C:D,1,0),"")="","","✔")</f>
        <v/>
      </c>
      <c r="I362" s="98" t="str">
        <f>IF(IFERROR(VLOOKUP(A362,'8.預力混凝土基樁'!C:D,1,0),"")="","","✔")</f>
        <v/>
      </c>
      <c r="J362" s="98" t="str">
        <f>IF(IFERROR(VLOOKUP(A362,'9.砌塊石護岸'!C:D,1,0),"")="","","✔")</f>
        <v/>
      </c>
      <c r="K362" s="98" t="str">
        <f>IF(IFERROR(VLOOKUP(A362,'10.低水護岸'!C:D,1,0),"")="","","✔")</f>
        <v/>
      </c>
      <c r="L362" s="98" t="str">
        <f>IF(IFERROR(VLOOKUP(A362,'11.固床工'!C:D,1,0),"")="","","✔")</f>
        <v/>
      </c>
      <c r="M362" s="98" t="str">
        <f>IF(IFERROR(VLOOKUP(A362,'12.全套管基樁'!C:D,1,0),"")="","","✔")</f>
        <v/>
      </c>
      <c r="N362" s="98" t="str">
        <f>IF(IFERROR(VLOOKUP(A362,'13.鋼筋混凝土管工程'!C:D,1,0),"")="","","✔")</f>
        <v/>
      </c>
      <c r="O362" s="98" t="str">
        <f>IF(IFERROR(VLOOKUP(A362,'14.鋼版樁'!C:D,1,0),"")="","","✔")</f>
        <v/>
      </c>
      <c r="P362" s="98" t="str">
        <f>IF(IFERROR(VLOOKUP(A362,'15.路床 路基高程'!C:D,1,0),"")="","","✔")</f>
        <v/>
      </c>
      <c r="Q362" s="98" t="str">
        <f>IF(IFERROR(VLOOKUP(A362,'16.瀝青混凝土'!C:D,1,0),"")="","","✔")</f>
        <v/>
      </c>
      <c r="R362" s="98" t="str">
        <f>IF(IFERROR(VLOOKUP(A362,'17.景觀鋪面(一)'!C:D,1,0),"")="","","✔")</f>
        <v/>
      </c>
      <c r="S362" s="98" t="str">
        <f>IF(IFERROR(VLOOKUP(A362,'18.景觀鋪面(二)'!C:D,1,0),"")="","","✔")</f>
        <v/>
      </c>
      <c r="T362" s="98" t="str">
        <f>IF(IFERROR(VLOOKUP(A362,'19.預鑄緣石'!C:D,1,0),"")="","","✔")</f>
        <v/>
      </c>
      <c r="U362" s="98" t="str">
        <f>IF(IFERROR(VLOOKUP(A362,'20.鋼構工程吊裝'!C:D,1,0),"")="","","✔")</f>
        <v/>
      </c>
      <c r="V362" s="98" t="str">
        <f>IF(IFERROR(VLOOKUP(A362,'21.鋼構工程塗裝'!C:D,1,0),"")="","","✔")</f>
        <v/>
      </c>
      <c r="W362" s="98" t="str">
        <f>IF(IFERROR(VLOOKUP(A362,'22.排水設施(一)'!C:D,1,0),"")="","","✔")</f>
        <v/>
      </c>
      <c r="X362" s="98" t="str">
        <f>IF(IFERROR(VLOOKUP(A362,'23.排水設施(二)'!C:D,1,0),"")="","","✔")</f>
        <v/>
      </c>
      <c r="Y362" s="98" t="str">
        <f>IF(IFERROR(VLOOKUP(A362,'24.木構造'!C:D,1,0),"")="","","✔")</f>
        <v/>
      </c>
      <c r="Z362" s="98" t="str">
        <f>IF(IFERROR(VLOOKUP(A362,'25.管路'!C:D,1,0),"")="","","✔")</f>
        <v/>
      </c>
      <c r="AA362" s="98" t="str">
        <f>IF(IFERROR(VLOOKUP(A362,'26.植栽(移植)'!C:D,1,0),"")="","","✔")</f>
        <v/>
      </c>
      <c r="AB362" s="98" t="str">
        <f>IF(IFERROR(VLOOKUP(A362,'27.植栽(新植)'!C:D,1,0),"")="","","✔")</f>
        <v/>
      </c>
      <c r="AC362" s="98" t="str">
        <f>IF(IFERROR(VLOOKUP(A362,'28.照明'!C:D,1,0),"")="","","✔")</f>
        <v/>
      </c>
      <c r="AD362" s="98" t="str">
        <f>IF(IFERROR(VLOOKUP(A362,'29.既有橋梁拆除'!C:D,1,0),"")="","","✔")</f>
        <v/>
      </c>
    </row>
    <row r="363" spans="1:30" ht="21.75" customHeight="1" x14ac:dyDescent="0.25">
      <c r="A363" s="99">
        <v>45553</v>
      </c>
      <c r="B363" s="98" t="str">
        <f>IF(IFERROR(VLOOKUP(A363,'1.測量放樣'!C:D,1,0),"")="","","✔")</f>
        <v/>
      </c>
      <c r="C363" s="98" t="str">
        <f>IF(IFERROR(VLOOKUP(A363,'2.土方開挖'!C:D,1,0),"")="","","✔")</f>
        <v/>
      </c>
      <c r="D363" s="98" t="str">
        <f>IF(IFERROR(VLOOKUP(A363,'3.土方回填'!C:D,1,0),"")="","","✔")</f>
        <v/>
      </c>
      <c r="E363" s="98" t="str">
        <f>IF(IFERROR(VLOOKUP(A363,'4.鋼筋'!C:D,1,0),"")="","","✔")</f>
        <v/>
      </c>
      <c r="F363" s="98" t="str">
        <f>IF(IFERROR(VLOOKUP(A363,'5.模板'!C:D,1,0),"")="","","✔")</f>
        <v/>
      </c>
      <c r="G363" s="98" t="str">
        <f>IF(IFERROR(VLOOKUP(A363,'6.混凝土'!C:D,1,0),"")="","","✔")</f>
        <v/>
      </c>
      <c r="H363" s="98" t="str">
        <f>IF(IFERROR(VLOOKUP(A363,'7.植筋'!C:D,1,0),"")="","","✔")</f>
        <v/>
      </c>
      <c r="I363" s="98" t="str">
        <f>IF(IFERROR(VLOOKUP(A363,'8.預力混凝土基樁'!C:D,1,0),"")="","","✔")</f>
        <v/>
      </c>
      <c r="J363" s="98" t="str">
        <f>IF(IFERROR(VLOOKUP(A363,'9.砌塊石護岸'!C:D,1,0),"")="","","✔")</f>
        <v/>
      </c>
      <c r="K363" s="98" t="str">
        <f>IF(IFERROR(VLOOKUP(A363,'10.低水護岸'!C:D,1,0),"")="","","✔")</f>
        <v/>
      </c>
      <c r="L363" s="98" t="str">
        <f>IF(IFERROR(VLOOKUP(A363,'11.固床工'!C:D,1,0),"")="","","✔")</f>
        <v/>
      </c>
      <c r="M363" s="98" t="str">
        <f>IF(IFERROR(VLOOKUP(A363,'12.全套管基樁'!C:D,1,0),"")="","","✔")</f>
        <v/>
      </c>
      <c r="N363" s="98" t="str">
        <f>IF(IFERROR(VLOOKUP(A363,'13.鋼筋混凝土管工程'!C:D,1,0),"")="","","✔")</f>
        <v/>
      </c>
      <c r="O363" s="98" t="str">
        <f>IF(IFERROR(VLOOKUP(A363,'14.鋼版樁'!C:D,1,0),"")="","","✔")</f>
        <v/>
      </c>
      <c r="P363" s="98" t="str">
        <f>IF(IFERROR(VLOOKUP(A363,'15.路床 路基高程'!C:D,1,0),"")="","","✔")</f>
        <v/>
      </c>
      <c r="Q363" s="98" t="str">
        <f>IF(IFERROR(VLOOKUP(A363,'16.瀝青混凝土'!C:D,1,0),"")="","","✔")</f>
        <v/>
      </c>
      <c r="R363" s="98" t="str">
        <f>IF(IFERROR(VLOOKUP(A363,'17.景觀鋪面(一)'!C:D,1,0),"")="","","✔")</f>
        <v/>
      </c>
      <c r="S363" s="98" t="str">
        <f>IF(IFERROR(VLOOKUP(A363,'18.景觀鋪面(二)'!C:D,1,0),"")="","","✔")</f>
        <v/>
      </c>
      <c r="T363" s="98" t="str">
        <f>IF(IFERROR(VLOOKUP(A363,'19.預鑄緣石'!C:D,1,0),"")="","","✔")</f>
        <v/>
      </c>
      <c r="U363" s="98" t="str">
        <f>IF(IFERROR(VLOOKUP(A363,'20.鋼構工程吊裝'!C:D,1,0),"")="","","✔")</f>
        <v/>
      </c>
      <c r="V363" s="98" t="str">
        <f>IF(IFERROR(VLOOKUP(A363,'21.鋼構工程塗裝'!C:D,1,0),"")="","","✔")</f>
        <v/>
      </c>
      <c r="W363" s="98" t="str">
        <f>IF(IFERROR(VLOOKUP(A363,'22.排水設施(一)'!C:D,1,0),"")="","","✔")</f>
        <v/>
      </c>
      <c r="X363" s="98" t="str">
        <f>IF(IFERROR(VLOOKUP(A363,'23.排水設施(二)'!C:D,1,0),"")="","","✔")</f>
        <v/>
      </c>
      <c r="Y363" s="98" t="str">
        <f>IF(IFERROR(VLOOKUP(A363,'24.木構造'!C:D,1,0),"")="","","✔")</f>
        <v/>
      </c>
      <c r="Z363" s="98" t="str">
        <f>IF(IFERROR(VLOOKUP(A363,'25.管路'!C:D,1,0),"")="","","✔")</f>
        <v/>
      </c>
      <c r="AA363" s="98" t="str">
        <f>IF(IFERROR(VLOOKUP(A363,'26.植栽(移植)'!C:D,1,0),"")="","","✔")</f>
        <v/>
      </c>
      <c r="AB363" s="98" t="str">
        <f>IF(IFERROR(VLOOKUP(A363,'27.植栽(新植)'!C:D,1,0),"")="","","✔")</f>
        <v/>
      </c>
      <c r="AC363" s="98" t="str">
        <f>IF(IFERROR(VLOOKUP(A363,'28.照明'!C:D,1,0),"")="","","✔")</f>
        <v/>
      </c>
      <c r="AD363" s="98" t="str">
        <f>IF(IFERROR(VLOOKUP(A363,'29.既有橋梁拆除'!C:D,1,0),"")="","","✔")</f>
        <v/>
      </c>
    </row>
    <row r="364" spans="1:30" ht="21.75" customHeight="1" x14ac:dyDescent="0.25">
      <c r="A364" s="99">
        <v>45554</v>
      </c>
      <c r="B364" s="98" t="str">
        <f>IF(IFERROR(VLOOKUP(A364,'1.測量放樣'!C:D,1,0),"")="","","✔")</f>
        <v/>
      </c>
      <c r="C364" s="98" t="str">
        <f>IF(IFERROR(VLOOKUP(A364,'2.土方開挖'!C:D,1,0),"")="","","✔")</f>
        <v/>
      </c>
      <c r="D364" s="98" t="str">
        <f>IF(IFERROR(VLOOKUP(A364,'3.土方回填'!C:D,1,0),"")="","","✔")</f>
        <v/>
      </c>
      <c r="E364" s="98" t="str">
        <f>IF(IFERROR(VLOOKUP(A364,'4.鋼筋'!C:D,1,0),"")="","","✔")</f>
        <v/>
      </c>
      <c r="F364" s="98" t="str">
        <f>IF(IFERROR(VLOOKUP(A364,'5.模板'!C:D,1,0),"")="","","✔")</f>
        <v/>
      </c>
      <c r="G364" s="98" t="str">
        <f>IF(IFERROR(VLOOKUP(A364,'6.混凝土'!C:D,1,0),"")="","","✔")</f>
        <v/>
      </c>
      <c r="H364" s="98" t="str">
        <f>IF(IFERROR(VLOOKUP(A364,'7.植筋'!C:D,1,0),"")="","","✔")</f>
        <v/>
      </c>
      <c r="I364" s="98" t="str">
        <f>IF(IFERROR(VLOOKUP(A364,'8.預力混凝土基樁'!C:D,1,0),"")="","","✔")</f>
        <v/>
      </c>
      <c r="J364" s="98" t="str">
        <f>IF(IFERROR(VLOOKUP(A364,'9.砌塊石護岸'!C:D,1,0),"")="","","✔")</f>
        <v/>
      </c>
      <c r="K364" s="98" t="str">
        <f>IF(IFERROR(VLOOKUP(A364,'10.低水護岸'!C:D,1,0),"")="","","✔")</f>
        <v/>
      </c>
      <c r="L364" s="98" t="str">
        <f>IF(IFERROR(VLOOKUP(A364,'11.固床工'!C:D,1,0),"")="","","✔")</f>
        <v/>
      </c>
      <c r="M364" s="98" t="str">
        <f>IF(IFERROR(VLOOKUP(A364,'12.全套管基樁'!C:D,1,0),"")="","","✔")</f>
        <v/>
      </c>
      <c r="N364" s="98" t="str">
        <f>IF(IFERROR(VLOOKUP(A364,'13.鋼筋混凝土管工程'!C:D,1,0),"")="","","✔")</f>
        <v/>
      </c>
      <c r="O364" s="98" t="str">
        <f>IF(IFERROR(VLOOKUP(A364,'14.鋼版樁'!C:D,1,0),"")="","","✔")</f>
        <v/>
      </c>
      <c r="P364" s="98" t="str">
        <f>IF(IFERROR(VLOOKUP(A364,'15.路床 路基高程'!C:D,1,0),"")="","","✔")</f>
        <v/>
      </c>
      <c r="Q364" s="98" t="str">
        <f>IF(IFERROR(VLOOKUP(A364,'16.瀝青混凝土'!C:D,1,0),"")="","","✔")</f>
        <v/>
      </c>
      <c r="R364" s="98" t="str">
        <f>IF(IFERROR(VLOOKUP(A364,'17.景觀鋪面(一)'!C:D,1,0),"")="","","✔")</f>
        <v/>
      </c>
      <c r="S364" s="98" t="str">
        <f>IF(IFERROR(VLOOKUP(A364,'18.景觀鋪面(二)'!C:D,1,0),"")="","","✔")</f>
        <v/>
      </c>
      <c r="T364" s="98" t="str">
        <f>IF(IFERROR(VLOOKUP(A364,'19.預鑄緣石'!C:D,1,0),"")="","","✔")</f>
        <v/>
      </c>
      <c r="U364" s="98" t="str">
        <f>IF(IFERROR(VLOOKUP(A364,'20.鋼構工程吊裝'!C:D,1,0),"")="","","✔")</f>
        <v/>
      </c>
      <c r="V364" s="98" t="str">
        <f>IF(IFERROR(VLOOKUP(A364,'21.鋼構工程塗裝'!C:D,1,0),"")="","","✔")</f>
        <v/>
      </c>
      <c r="W364" s="98" t="str">
        <f>IF(IFERROR(VLOOKUP(A364,'22.排水設施(一)'!C:D,1,0),"")="","","✔")</f>
        <v/>
      </c>
      <c r="X364" s="98" t="str">
        <f>IF(IFERROR(VLOOKUP(A364,'23.排水設施(二)'!C:D,1,0),"")="","","✔")</f>
        <v/>
      </c>
      <c r="Y364" s="98" t="str">
        <f>IF(IFERROR(VLOOKUP(A364,'24.木構造'!C:D,1,0),"")="","","✔")</f>
        <v/>
      </c>
      <c r="Z364" s="98" t="str">
        <f>IF(IFERROR(VLOOKUP(A364,'25.管路'!C:D,1,0),"")="","","✔")</f>
        <v/>
      </c>
      <c r="AA364" s="98" t="str">
        <f>IF(IFERROR(VLOOKUP(A364,'26.植栽(移植)'!C:D,1,0),"")="","","✔")</f>
        <v/>
      </c>
      <c r="AB364" s="98" t="str">
        <f>IF(IFERROR(VLOOKUP(A364,'27.植栽(新植)'!C:D,1,0),"")="","","✔")</f>
        <v/>
      </c>
      <c r="AC364" s="98" t="str">
        <f>IF(IFERROR(VLOOKUP(A364,'28.照明'!C:D,1,0),"")="","","✔")</f>
        <v/>
      </c>
      <c r="AD364" s="98" t="str">
        <f>IF(IFERROR(VLOOKUP(A364,'29.既有橋梁拆除'!C:D,1,0),"")="","","✔")</f>
        <v/>
      </c>
    </row>
    <row r="365" spans="1:30" ht="21.75" customHeight="1" x14ac:dyDescent="0.25">
      <c r="A365" s="99">
        <v>45555</v>
      </c>
      <c r="B365" s="98" t="str">
        <f>IF(IFERROR(VLOOKUP(A365,'1.測量放樣'!C:D,1,0),"")="","","✔")</f>
        <v/>
      </c>
      <c r="C365" s="98" t="str">
        <f>IF(IFERROR(VLOOKUP(A365,'2.土方開挖'!C:D,1,0),"")="","","✔")</f>
        <v/>
      </c>
      <c r="D365" s="98" t="str">
        <f>IF(IFERROR(VLOOKUP(A365,'3.土方回填'!C:D,1,0),"")="","","✔")</f>
        <v/>
      </c>
      <c r="E365" s="98" t="str">
        <f>IF(IFERROR(VLOOKUP(A365,'4.鋼筋'!C:D,1,0),"")="","","✔")</f>
        <v/>
      </c>
      <c r="F365" s="98" t="str">
        <f>IF(IFERROR(VLOOKUP(A365,'5.模板'!C:D,1,0),"")="","","✔")</f>
        <v/>
      </c>
      <c r="G365" s="98" t="str">
        <f>IF(IFERROR(VLOOKUP(A365,'6.混凝土'!C:D,1,0),"")="","","✔")</f>
        <v/>
      </c>
      <c r="H365" s="98" t="str">
        <f>IF(IFERROR(VLOOKUP(A365,'7.植筋'!C:D,1,0),"")="","","✔")</f>
        <v/>
      </c>
      <c r="I365" s="98" t="str">
        <f>IF(IFERROR(VLOOKUP(A365,'8.預力混凝土基樁'!C:D,1,0),"")="","","✔")</f>
        <v/>
      </c>
      <c r="J365" s="98" t="str">
        <f>IF(IFERROR(VLOOKUP(A365,'9.砌塊石護岸'!C:D,1,0),"")="","","✔")</f>
        <v/>
      </c>
      <c r="K365" s="98" t="str">
        <f>IF(IFERROR(VLOOKUP(A365,'10.低水護岸'!C:D,1,0),"")="","","✔")</f>
        <v/>
      </c>
      <c r="L365" s="98" t="str">
        <f>IF(IFERROR(VLOOKUP(A365,'11.固床工'!C:D,1,0),"")="","","✔")</f>
        <v/>
      </c>
      <c r="M365" s="98" t="str">
        <f>IF(IFERROR(VLOOKUP(A365,'12.全套管基樁'!C:D,1,0),"")="","","✔")</f>
        <v/>
      </c>
      <c r="N365" s="98" t="str">
        <f>IF(IFERROR(VLOOKUP(A365,'13.鋼筋混凝土管工程'!C:D,1,0),"")="","","✔")</f>
        <v/>
      </c>
      <c r="O365" s="98" t="str">
        <f>IF(IFERROR(VLOOKUP(A365,'14.鋼版樁'!C:D,1,0),"")="","","✔")</f>
        <v/>
      </c>
      <c r="P365" s="98" t="str">
        <f>IF(IFERROR(VLOOKUP(A365,'15.路床 路基高程'!C:D,1,0),"")="","","✔")</f>
        <v/>
      </c>
      <c r="Q365" s="98" t="str">
        <f>IF(IFERROR(VLOOKUP(A365,'16.瀝青混凝土'!C:D,1,0),"")="","","✔")</f>
        <v/>
      </c>
      <c r="R365" s="98" t="str">
        <f>IF(IFERROR(VLOOKUP(A365,'17.景觀鋪面(一)'!C:D,1,0),"")="","","✔")</f>
        <v/>
      </c>
      <c r="S365" s="98" t="str">
        <f>IF(IFERROR(VLOOKUP(A365,'18.景觀鋪面(二)'!C:D,1,0),"")="","","✔")</f>
        <v/>
      </c>
      <c r="T365" s="98" t="str">
        <f>IF(IFERROR(VLOOKUP(A365,'19.預鑄緣石'!C:D,1,0),"")="","","✔")</f>
        <v/>
      </c>
      <c r="U365" s="98" t="str">
        <f>IF(IFERROR(VLOOKUP(A365,'20.鋼構工程吊裝'!C:D,1,0),"")="","","✔")</f>
        <v/>
      </c>
      <c r="V365" s="98" t="str">
        <f>IF(IFERROR(VLOOKUP(A365,'21.鋼構工程塗裝'!C:D,1,0),"")="","","✔")</f>
        <v/>
      </c>
      <c r="W365" s="98" t="str">
        <f>IF(IFERROR(VLOOKUP(A365,'22.排水設施(一)'!C:D,1,0),"")="","","✔")</f>
        <v/>
      </c>
      <c r="X365" s="98" t="str">
        <f>IF(IFERROR(VLOOKUP(A365,'23.排水設施(二)'!C:D,1,0),"")="","","✔")</f>
        <v/>
      </c>
      <c r="Y365" s="98" t="str">
        <f>IF(IFERROR(VLOOKUP(A365,'24.木構造'!C:D,1,0),"")="","","✔")</f>
        <v/>
      </c>
      <c r="Z365" s="98" t="str">
        <f>IF(IFERROR(VLOOKUP(A365,'25.管路'!C:D,1,0),"")="","","✔")</f>
        <v/>
      </c>
      <c r="AA365" s="98" t="str">
        <f>IF(IFERROR(VLOOKUP(A365,'26.植栽(移植)'!C:D,1,0),"")="","","✔")</f>
        <v/>
      </c>
      <c r="AB365" s="98" t="str">
        <f>IF(IFERROR(VLOOKUP(A365,'27.植栽(新植)'!C:D,1,0),"")="","","✔")</f>
        <v/>
      </c>
      <c r="AC365" s="98" t="str">
        <f>IF(IFERROR(VLOOKUP(A365,'28.照明'!C:D,1,0),"")="","","✔")</f>
        <v/>
      </c>
      <c r="AD365" s="98" t="str">
        <f>IF(IFERROR(VLOOKUP(A365,'29.既有橋梁拆除'!C:D,1,0),"")="","","✔")</f>
        <v/>
      </c>
    </row>
    <row r="366" spans="1:30" ht="21.75" customHeight="1" x14ac:dyDescent="0.25">
      <c r="A366" s="99">
        <v>45556</v>
      </c>
      <c r="B366" s="98" t="str">
        <f>IF(IFERROR(VLOOKUP(A366,'1.測量放樣'!C:D,1,0),"")="","","✔")</f>
        <v/>
      </c>
      <c r="C366" s="98" t="str">
        <f>IF(IFERROR(VLOOKUP(A366,'2.土方開挖'!C:D,1,0),"")="","","✔")</f>
        <v/>
      </c>
      <c r="D366" s="98" t="str">
        <f>IF(IFERROR(VLOOKUP(A366,'3.土方回填'!C:D,1,0),"")="","","✔")</f>
        <v/>
      </c>
      <c r="E366" s="98" t="str">
        <f>IF(IFERROR(VLOOKUP(A366,'4.鋼筋'!C:D,1,0),"")="","","✔")</f>
        <v/>
      </c>
      <c r="F366" s="98" t="str">
        <f>IF(IFERROR(VLOOKUP(A366,'5.模板'!C:D,1,0),"")="","","✔")</f>
        <v/>
      </c>
      <c r="G366" s="98" t="str">
        <f>IF(IFERROR(VLOOKUP(A366,'6.混凝土'!C:D,1,0),"")="","","✔")</f>
        <v/>
      </c>
      <c r="H366" s="98" t="str">
        <f>IF(IFERROR(VLOOKUP(A366,'7.植筋'!C:D,1,0),"")="","","✔")</f>
        <v/>
      </c>
      <c r="I366" s="98" t="str">
        <f>IF(IFERROR(VLOOKUP(A366,'8.預力混凝土基樁'!C:D,1,0),"")="","","✔")</f>
        <v/>
      </c>
      <c r="J366" s="98" t="str">
        <f>IF(IFERROR(VLOOKUP(A366,'9.砌塊石護岸'!C:D,1,0),"")="","","✔")</f>
        <v/>
      </c>
      <c r="K366" s="98" t="str">
        <f>IF(IFERROR(VLOOKUP(A366,'10.低水護岸'!C:D,1,0),"")="","","✔")</f>
        <v/>
      </c>
      <c r="L366" s="98" t="str">
        <f>IF(IFERROR(VLOOKUP(A366,'11.固床工'!C:D,1,0),"")="","","✔")</f>
        <v/>
      </c>
      <c r="M366" s="98" t="str">
        <f>IF(IFERROR(VLOOKUP(A366,'12.全套管基樁'!C:D,1,0),"")="","","✔")</f>
        <v/>
      </c>
      <c r="N366" s="98" t="str">
        <f>IF(IFERROR(VLOOKUP(A366,'13.鋼筋混凝土管工程'!C:D,1,0),"")="","","✔")</f>
        <v/>
      </c>
      <c r="O366" s="98" t="str">
        <f>IF(IFERROR(VLOOKUP(A366,'14.鋼版樁'!C:D,1,0),"")="","","✔")</f>
        <v/>
      </c>
      <c r="P366" s="98" t="str">
        <f>IF(IFERROR(VLOOKUP(A366,'15.路床 路基高程'!C:D,1,0),"")="","","✔")</f>
        <v/>
      </c>
      <c r="Q366" s="98" t="str">
        <f>IF(IFERROR(VLOOKUP(A366,'16.瀝青混凝土'!C:D,1,0),"")="","","✔")</f>
        <v/>
      </c>
      <c r="R366" s="98" t="str">
        <f>IF(IFERROR(VLOOKUP(A366,'17.景觀鋪面(一)'!C:D,1,0),"")="","","✔")</f>
        <v/>
      </c>
      <c r="S366" s="98" t="str">
        <f>IF(IFERROR(VLOOKUP(A366,'18.景觀鋪面(二)'!C:D,1,0),"")="","","✔")</f>
        <v/>
      </c>
      <c r="T366" s="98" t="str">
        <f>IF(IFERROR(VLOOKUP(A366,'19.預鑄緣石'!C:D,1,0),"")="","","✔")</f>
        <v/>
      </c>
      <c r="U366" s="98" t="str">
        <f>IF(IFERROR(VLOOKUP(A366,'20.鋼構工程吊裝'!C:D,1,0),"")="","","✔")</f>
        <v/>
      </c>
      <c r="V366" s="98" t="str">
        <f>IF(IFERROR(VLOOKUP(A366,'21.鋼構工程塗裝'!C:D,1,0),"")="","","✔")</f>
        <v/>
      </c>
      <c r="W366" s="98" t="str">
        <f>IF(IFERROR(VLOOKUP(A366,'22.排水設施(一)'!C:D,1,0),"")="","","✔")</f>
        <v/>
      </c>
      <c r="X366" s="98" t="str">
        <f>IF(IFERROR(VLOOKUP(A366,'23.排水設施(二)'!C:D,1,0),"")="","","✔")</f>
        <v/>
      </c>
      <c r="Y366" s="98" t="str">
        <f>IF(IFERROR(VLOOKUP(A366,'24.木構造'!C:D,1,0),"")="","","✔")</f>
        <v/>
      </c>
      <c r="Z366" s="98" t="str">
        <f>IF(IFERROR(VLOOKUP(A366,'25.管路'!C:D,1,0),"")="","","✔")</f>
        <v/>
      </c>
      <c r="AA366" s="98" t="str">
        <f>IF(IFERROR(VLOOKUP(A366,'26.植栽(移植)'!C:D,1,0),"")="","","✔")</f>
        <v/>
      </c>
      <c r="AB366" s="98" t="str">
        <f>IF(IFERROR(VLOOKUP(A366,'27.植栽(新植)'!C:D,1,0),"")="","","✔")</f>
        <v/>
      </c>
      <c r="AC366" s="98" t="str">
        <f>IF(IFERROR(VLOOKUP(A366,'28.照明'!C:D,1,0),"")="","","✔")</f>
        <v/>
      </c>
      <c r="AD366" s="98" t="str">
        <f>IF(IFERROR(VLOOKUP(A366,'29.既有橋梁拆除'!C:D,1,0),"")="","","✔")</f>
        <v/>
      </c>
    </row>
    <row r="367" spans="1:30" ht="21.75" customHeight="1" x14ac:dyDescent="0.25">
      <c r="A367" s="99">
        <v>45557</v>
      </c>
      <c r="B367" s="98" t="str">
        <f>IF(IFERROR(VLOOKUP(A367,'1.測量放樣'!C:D,1,0),"")="","","✔")</f>
        <v/>
      </c>
      <c r="C367" s="98" t="str">
        <f>IF(IFERROR(VLOOKUP(A367,'2.土方開挖'!C:D,1,0),"")="","","✔")</f>
        <v/>
      </c>
      <c r="D367" s="98" t="str">
        <f>IF(IFERROR(VLOOKUP(A367,'3.土方回填'!C:D,1,0),"")="","","✔")</f>
        <v/>
      </c>
      <c r="E367" s="98" t="str">
        <f>IF(IFERROR(VLOOKUP(A367,'4.鋼筋'!C:D,1,0),"")="","","✔")</f>
        <v/>
      </c>
      <c r="F367" s="98" t="str">
        <f>IF(IFERROR(VLOOKUP(A367,'5.模板'!C:D,1,0),"")="","","✔")</f>
        <v/>
      </c>
      <c r="G367" s="98" t="str">
        <f>IF(IFERROR(VLOOKUP(A367,'6.混凝土'!C:D,1,0),"")="","","✔")</f>
        <v/>
      </c>
      <c r="H367" s="98" t="str">
        <f>IF(IFERROR(VLOOKUP(A367,'7.植筋'!C:D,1,0),"")="","","✔")</f>
        <v/>
      </c>
      <c r="I367" s="98" t="str">
        <f>IF(IFERROR(VLOOKUP(A367,'8.預力混凝土基樁'!C:D,1,0),"")="","","✔")</f>
        <v/>
      </c>
      <c r="J367" s="98" t="str">
        <f>IF(IFERROR(VLOOKUP(A367,'9.砌塊石護岸'!C:D,1,0),"")="","","✔")</f>
        <v/>
      </c>
      <c r="K367" s="98" t="str">
        <f>IF(IFERROR(VLOOKUP(A367,'10.低水護岸'!C:D,1,0),"")="","","✔")</f>
        <v/>
      </c>
      <c r="L367" s="98" t="str">
        <f>IF(IFERROR(VLOOKUP(A367,'11.固床工'!C:D,1,0),"")="","","✔")</f>
        <v/>
      </c>
      <c r="M367" s="98" t="str">
        <f>IF(IFERROR(VLOOKUP(A367,'12.全套管基樁'!C:D,1,0),"")="","","✔")</f>
        <v/>
      </c>
      <c r="N367" s="98" t="str">
        <f>IF(IFERROR(VLOOKUP(A367,'13.鋼筋混凝土管工程'!C:D,1,0),"")="","","✔")</f>
        <v/>
      </c>
      <c r="O367" s="98" t="str">
        <f>IF(IFERROR(VLOOKUP(A367,'14.鋼版樁'!C:D,1,0),"")="","","✔")</f>
        <v/>
      </c>
      <c r="P367" s="98" t="str">
        <f>IF(IFERROR(VLOOKUP(A367,'15.路床 路基高程'!C:D,1,0),"")="","","✔")</f>
        <v/>
      </c>
      <c r="Q367" s="98" t="str">
        <f>IF(IFERROR(VLOOKUP(A367,'16.瀝青混凝土'!C:D,1,0),"")="","","✔")</f>
        <v/>
      </c>
      <c r="R367" s="98" t="str">
        <f>IF(IFERROR(VLOOKUP(A367,'17.景觀鋪面(一)'!C:D,1,0),"")="","","✔")</f>
        <v/>
      </c>
      <c r="S367" s="98" t="str">
        <f>IF(IFERROR(VLOOKUP(A367,'18.景觀鋪面(二)'!C:D,1,0),"")="","","✔")</f>
        <v/>
      </c>
      <c r="T367" s="98" t="str">
        <f>IF(IFERROR(VLOOKUP(A367,'19.預鑄緣石'!C:D,1,0),"")="","","✔")</f>
        <v/>
      </c>
      <c r="U367" s="98" t="str">
        <f>IF(IFERROR(VLOOKUP(A367,'20.鋼構工程吊裝'!C:D,1,0),"")="","","✔")</f>
        <v/>
      </c>
      <c r="V367" s="98" t="str">
        <f>IF(IFERROR(VLOOKUP(A367,'21.鋼構工程塗裝'!C:D,1,0),"")="","","✔")</f>
        <v/>
      </c>
      <c r="W367" s="98" t="str">
        <f>IF(IFERROR(VLOOKUP(A367,'22.排水設施(一)'!C:D,1,0),"")="","","✔")</f>
        <v/>
      </c>
      <c r="X367" s="98" t="str">
        <f>IF(IFERROR(VLOOKUP(A367,'23.排水設施(二)'!C:D,1,0),"")="","","✔")</f>
        <v/>
      </c>
      <c r="Y367" s="98" t="str">
        <f>IF(IFERROR(VLOOKUP(A367,'24.木構造'!C:D,1,0),"")="","","✔")</f>
        <v/>
      </c>
      <c r="Z367" s="98" t="str">
        <f>IF(IFERROR(VLOOKUP(A367,'25.管路'!C:D,1,0),"")="","","✔")</f>
        <v/>
      </c>
      <c r="AA367" s="98" t="str">
        <f>IF(IFERROR(VLOOKUP(A367,'26.植栽(移植)'!C:D,1,0),"")="","","✔")</f>
        <v/>
      </c>
      <c r="AB367" s="98" t="str">
        <f>IF(IFERROR(VLOOKUP(A367,'27.植栽(新植)'!C:D,1,0),"")="","","✔")</f>
        <v/>
      </c>
      <c r="AC367" s="98" t="str">
        <f>IF(IFERROR(VLOOKUP(A367,'28.照明'!C:D,1,0),"")="","","✔")</f>
        <v/>
      </c>
      <c r="AD367" s="98" t="str">
        <f>IF(IFERROR(VLOOKUP(A367,'29.既有橋梁拆除'!C:D,1,0),"")="","","✔")</f>
        <v/>
      </c>
    </row>
    <row r="368" spans="1:30" ht="21.75" customHeight="1" x14ac:dyDescent="0.25">
      <c r="A368" s="99">
        <v>45558</v>
      </c>
      <c r="B368" s="98" t="str">
        <f>IF(IFERROR(VLOOKUP(A368,'1.測量放樣'!C:D,1,0),"")="","","✔")</f>
        <v/>
      </c>
      <c r="C368" s="98" t="str">
        <f>IF(IFERROR(VLOOKUP(A368,'2.土方開挖'!C:D,1,0),"")="","","✔")</f>
        <v/>
      </c>
      <c r="D368" s="98" t="str">
        <f>IF(IFERROR(VLOOKUP(A368,'3.土方回填'!C:D,1,0),"")="","","✔")</f>
        <v/>
      </c>
      <c r="E368" s="98" t="str">
        <f>IF(IFERROR(VLOOKUP(A368,'4.鋼筋'!C:D,1,0),"")="","","✔")</f>
        <v/>
      </c>
      <c r="F368" s="98" t="str">
        <f>IF(IFERROR(VLOOKUP(A368,'5.模板'!C:D,1,0),"")="","","✔")</f>
        <v/>
      </c>
      <c r="G368" s="98" t="str">
        <f>IF(IFERROR(VLOOKUP(A368,'6.混凝土'!C:D,1,0),"")="","","✔")</f>
        <v/>
      </c>
      <c r="H368" s="98" t="str">
        <f>IF(IFERROR(VLOOKUP(A368,'7.植筋'!C:D,1,0),"")="","","✔")</f>
        <v/>
      </c>
      <c r="I368" s="98" t="str">
        <f>IF(IFERROR(VLOOKUP(A368,'8.預力混凝土基樁'!C:D,1,0),"")="","","✔")</f>
        <v/>
      </c>
      <c r="J368" s="98" t="str">
        <f>IF(IFERROR(VLOOKUP(A368,'9.砌塊石護岸'!C:D,1,0),"")="","","✔")</f>
        <v/>
      </c>
      <c r="K368" s="98" t="str">
        <f>IF(IFERROR(VLOOKUP(A368,'10.低水護岸'!C:D,1,0),"")="","","✔")</f>
        <v/>
      </c>
      <c r="L368" s="98" t="str">
        <f>IF(IFERROR(VLOOKUP(A368,'11.固床工'!C:D,1,0),"")="","","✔")</f>
        <v/>
      </c>
      <c r="M368" s="98" t="str">
        <f>IF(IFERROR(VLOOKUP(A368,'12.全套管基樁'!C:D,1,0),"")="","","✔")</f>
        <v/>
      </c>
      <c r="N368" s="98" t="str">
        <f>IF(IFERROR(VLOOKUP(A368,'13.鋼筋混凝土管工程'!C:D,1,0),"")="","","✔")</f>
        <v/>
      </c>
      <c r="O368" s="98" t="str">
        <f>IF(IFERROR(VLOOKUP(A368,'14.鋼版樁'!C:D,1,0),"")="","","✔")</f>
        <v/>
      </c>
      <c r="P368" s="98" t="str">
        <f>IF(IFERROR(VLOOKUP(A368,'15.路床 路基高程'!C:D,1,0),"")="","","✔")</f>
        <v/>
      </c>
      <c r="Q368" s="98" t="str">
        <f>IF(IFERROR(VLOOKUP(A368,'16.瀝青混凝土'!C:D,1,0),"")="","","✔")</f>
        <v/>
      </c>
      <c r="R368" s="98" t="str">
        <f>IF(IFERROR(VLOOKUP(A368,'17.景觀鋪面(一)'!C:D,1,0),"")="","","✔")</f>
        <v/>
      </c>
      <c r="S368" s="98" t="str">
        <f>IF(IFERROR(VLOOKUP(A368,'18.景觀鋪面(二)'!C:D,1,0),"")="","","✔")</f>
        <v/>
      </c>
      <c r="T368" s="98" t="str">
        <f>IF(IFERROR(VLOOKUP(A368,'19.預鑄緣石'!C:D,1,0),"")="","","✔")</f>
        <v/>
      </c>
      <c r="U368" s="98" t="str">
        <f>IF(IFERROR(VLOOKUP(A368,'20.鋼構工程吊裝'!C:D,1,0),"")="","","✔")</f>
        <v/>
      </c>
      <c r="V368" s="98" t="str">
        <f>IF(IFERROR(VLOOKUP(A368,'21.鋼構工程塗裝'!C:D,1,0),"")="","","✔")</f>
        <v/>
      </c>
      <c r="W368" s="98" t="str">
        <f>IF(IFERROR(VLOOKUP(A368,'22.排水設施(一)'!C:D,1,0),"")="","","✔")</f>
        <v/>
      </c>
      <c r="X368" s="98" t="str">
        <f>IF(IFERROR(VLOOKUP(A368,'23.排水設施(二)'!C:D,1,0),"")="","","✔")</f>
        <v/>
      </c>
      <c r="Y368" s="98" t="str">
        <f>IF(IFERROR(VLOOKUP(A368,'24.木構造'!C:D,1,0),"")="","","✔")</f>
        <v/>
      </c>
      <c r="Z368" s="98" t="str">
        <f>IF(IFERROR(VLOOKUP(A368,'25.管路'!C:D,1,0),"")="","","✔")</f>
        <v/>
      </c>
      <c r="AA368" s="98" t="str">
        <f>IF(IFERROR(VLOOKUP(A368,'26.植栽(移植)'!C:D,1,0),"")="","","✔")</f>
        <v/>
      </c>
      <c r="AB368" s="98" t="str">
        <f>IF(IFERROR(VLOOKUP(A368,'27.植栽(新植)'!C:D,1,0),"")="","","✔")</f>
        <v/>
      </c>
      <c r="AC368" s="98" t="str">
        <f>IF(IFERROR(VLOOKUP(A368,'28.照明'!C:D,1,0),"")="","","✔")</f>
        <v/>
      </c>
      <c r="AD368" s="98" t="str">
        <f>IF(IFERROR(VLOOKUP(A368,'29.既有橋梁拆除'!C:D,1,0),"")="","","✔")</f>
        <v/>
      </c>
    </row>
    <row r="369" spans="1:30" ht="21.75" customHeight="1" x14ac:dyDescent="0.25">
      <c r="A369" s="99">
        <v>45559</v>
      </c>
      <c r="B369" s="98" t="str">
        <f>IF(IFERROR(VLOOKUP(A369,'1.測量放樣'!C:D,1,0),"")="","","✔")</f>
        <v/>
      </c>
      <c r="C369" s="98" t="str">
        <f>IF(IFERROR(VLOOKUP(A369,'2.土方開挖'!C:D,1,0),"")="","","✔")</f>
        <v/>
      </c>
      <c r="D369" s="98" t="str">
        <f>IF(IFERROR(VLOOKUP(A369,'3.土方回填'!C:D,1,0),"")="","","✔")</f>
        <v/>
      </c>
      <c r="E369" s="98" t="str">
        <f>IF(IFERROR(VLOOKUP(A369,'4.鋼筋'!C:D,1,0),"")="","","✔")</f>
        <v/>
      </c>
      <c r="F369" s="98" t="str">
        <f>IF(IFERROR(VLOOKUP(A369,'5.模板'!C:D,1,0),"")="","","✔")</f>
        <v/>
      </c>
      <c r="G369" s="98" t="str">
        <f>IF(IFERROR(VLOOKUP(A369,'6.混凝土'!C:D,1,0),"")="","","✔")</f>
        <v/>
      </c>
      <c r="H369" s="98" t="str">
        <f>IF(IFERROR(VLOOKUP(A369,'7.植筋'!C:D,1,0),"")="","","✔")</f>
        <v/>
      </c>
      <c r="I369" s="98" t="str">
        <f>IF(IFERROR(VLOOKUP(A369,'8.預力混凝土基樁'!C:D,1,0),"")="","","✔")</f>
        <v/>
      </c>
      <c r="J369" s="98" t="str">
        <f>IF(IFERROR(VLOOKUP(A369,'9.砌塊石護岸'!C:D,1,0),"")="","","✔")</f>
        <v/>
      </c>
      <c r="K369" s="98" t="str">
        <f>IF(IFERROR(VLOOKUP(A369,'10.低水護岸'!C:D,1,0),"")="","","✔")</f>
        <v/>
      </c>
      <c r="L369" s="98" t="str">
        <f>IF(IFERROR(VLOOKUP(A369,'11.固床工'!C:D,1,0),"")="","","✔")</f>
        <v/>
      </c>
      <c r="M369" s="98" t="str">
        <f>IF(IFERROR(VLOOKUP(A369,'12.全套管基樁'!C:D,1,0),"")="","","✔")</f>
        <v/>
      </c>
      <c r="N369" s="98" t="str">
        <f>IF(IFERROR(VLOOKUP(A369,'13.鋼筋混凝土管工程'!C:D,1,0),"")="","","✔")</f>
        <v/>
      </c>
      <c r="O369" s="98" t="str">
        <f>IF(IFERROR(VLOOKUP(A369,'14.鋼版樁'!C:D,1,0),"")="","","✔")</f>
        <v/>
      </c>
      <c r="P369" s="98" t="str">
        <f>IF(IFERROR(VLOOKUP(A369,'15.路床 路基高程'!C:D,1,0),"")="","","✔")</f>
        <v/>
      </c>
      <c r="Q369" s="98" t="str">
        <f>IF(IFERROR(VLOOKUP(A369,'16.瀝青混凝土'!C:D,1,0),"")="","","✔")</f>
        <v/>
      </c>
      <c r="R369" s="98" t="str">
        <f>IF(IFERROR(VLOOKUP(A369,'17.景觀鋪面(一)'!C:D,1,0),"")="","","✔")</f>
        <v/>
      </c>
      <c r="S369" s="98" t="str">
        <f>IF(IFERROR(VLOOKUP(A369,'18.景觀鋪面(二)'!C:D,1,0),"")="","","✔")</f>
        <v/>
      </c>
      <c r="T369" s="98" t="str">
        <f>IF(IFERROR(VLOOKUP(A369,'19.預鑄緣石'!C:D,1,0),"")="","","✔")</f>
        <v/>
      </c>
      <c r="U369" s="98" t="str">
        <f>IF(IFERROR(VLOOKUP(A369,'20.鋼構工程吊裝'!C:D,1,0),"")="","","✔")</f>
        <v/>
      </c>
      <c r="V369" s="98" t="str">
        <f>IF(IFERROR(VLOOKUP(A369,'21.鋼構工程塗裝'!C:D,1,0),"")="","","✔")</f>
        <v/>
      </c>
      <c r="W369" s="98" t="str">
        <f>IF(IFERROR(VLOOKUP(A369,'22.排水設施(一)'!C:D,1,0),"")="","","✔")</f>
        <v/>
      </c>
      <c r="X369" s="98" t="str">
        <f>IF(IFERROR(VLOOKUP(A369,'23.排水設施(二)'!C:D,1,0),"")="","","✔")</f>
        <v/>
      </c>
      <c r="Y369" s="98" t="str">
        <f>IF(IFERROR(VLOOKUP(A369,'24.木構造'!C:D,1,0),"")="","","✔")</f>
        <v/>
      </c>
      <c r="Z369" s="98" t="str">
        <f>IF(IFERROR(VLOOKUP(A369,'25.管路'!C:D,1,0),"")="","","✔")</f>
        <v/>
      </c>
      <c r="AA369" s="98" t="str">
        <f>IF(IFERROR(VLOOKUP(A369,'26.植栽(移植)'!C:D,1,0),"")="","","✔")</f>
        <v/>
      </c>
      <c r="AB369" s="98" t="str">
        <f>IF(IFERROR(VLOOKUP(A369,'27.植栽(新植)'!C:D,1,0),"")="","","✔")</f>
        <v/>
      </c>
      <c r="AC369" s="98" t="str">
        <f>IF(IFERROR(VLOOKUP(A369,'28.照明'!C:D,1,0),"")="","","✔")</f>
        <v/>
      </c>
      <c r="AD369" s="98" t="str">
        <f>IF(IFERROR(VLOOKUP(A369,'29.既有橋梁拆除'!C:D,1,0),"")="","","✔")</f>
        <v/>
      </c>
    </row>
    <row r="370" spans="1:30" ht="21.75" customHeight="1" x14ac:dyDescent="0.25">
      <c r="A370" s="99">
        <v>45560</v>
      </c>
      <c r="B370" s="98" t="str">
        <f>IF(IFERROR(VLOOKUP(A370,'1.測量放樣'!C:D,1,0),"")="","","✔")</f>
        <v/>
      </c>
      <c r="C370" s="98" t="str">
        <f>IF(IFERROR(VLOOKUP(A370,'2.土方開挖'!C:D,1,0),"")="","","✔")</f>
        <v/>
      </c>
      <c r="D370" s="98" t="str">
        <f>IF(IFERROR(VLOOKUP(A370,'3.土方回填'!C:D,1,0),"")="","","✔")</f>
        <v/>
      </c>
      <c r="E370" s="98" t="str">
        <f>IF(IFERROR(VLOOKUP(A370,'4.鋼筋'!C:D,1,0),"")="","","✔")</f>
        <v/>
      </c>
      <c r="F370" s="98" t="str">
        <f>IF(IFERROR(VLOOKUP(A370,'5.模板'!C:D,1,0),"")="","","✔")</f>
        <v/>
      </c>
      <c r="G370" s="98" t="str">
        <f>IF(IFERROR(VLOOKUP(A370,'6.混凝土'!C:D,1,0),"")="","","✔")</f>
        <v/>
      </c>
      <c r="H370" s="98" t="str">
        <f>IF(IFERROR(VLOOKUP(A370,'7.植筋'!C:D,1,0),"")="","","✔")</f>
        <v/>
      </c>
      <c r="I370" s="98" t="str">
        <f>IF(IFERROR(VLOOKUP(A370,'8.預力混凝土基樁'!C:D,1,0),"")="","","✔")</f>
        <v/>
      </c>
      <c r="J370" s="98" t="str">
        <f>IF(IFERROR(VLOOKUP(A370,'9.砌塊石護岸'!C:D,1,0),"")="","","✔")</f>
        <v/>
      </c>
      <c r="K370" s="98" t="str">
        <f>IF(IFERROR(VLOOKUP(A370,'10.低水護岸'!C:D,1,0),"")="","","✔")</f>
        <v/>
      </c>
      <c r="L370" s="98" t="str">
        <f>IF(IFERROR(VLOOKUP(A370,'11.固床工'!C:D,1,0),"")="","","✔")</f>
        <v/>
      </c>
      <c r="M370" s="98" t="str">
        <f>IF(IFERROR(VLOOKUP(A370,'12.全套管基樁'!C:D,1,0),"")="","","✔")</f>
        <v/>
      </c>
      <c r="N370" s="98" t="str">
        <f>IF(IFERROR(VLOOKUP(A370,'13.鋼筋混凝土管工程'!C:D,1,0),"")="","","✔")</f>
        <v/>
      </c>
      <c r="O370" s="98" t="str">
        <f>IF(IFERROR(VLOOKUP(A370,'14.鋼版樁'!C:D,1,0),"")="","","✔")</f>
        <v/>
      </c>
      <c r="P370" s="98" t="str">
        <f>IF(IFERROR(VLOOKUP(A370,'15.路床 路基高程'!C:D,1,0),"")="","","✔")</f>
        <v/>
      </c>
      <c r="Q370" s="98" t="str">
        <f>IF(IFERROR(VLOOKUP(A370,'16.瀝青混凝土'!C:D,1,0),"")="","","✔")</f>
        <v/>
      </c>
      <c r="R370" s="98" t="str">
        <f>IF(IFERROR(VLOOKUP(A370,'17.景觀鋪面(一)'!C:D,1,0),"")="","","✔")</f>
        <v/>
      </c>
      <c r="S370" s="98" t="str">
        <f>IF(IFERROR(VLOOKUP(A370,'18.景觀鋪面(二)'!C:D,1,0),"")="","","✔")</f>
        <v/>
      </c>
      <c r="T370" s="98" t="str">
        <f>IF(IFERROR(VLOOKUP(A370,'19.預鑄緣石'!C:D,1,0),"")="","","✔")</f>
        <v/>
      </c>
      <c r="U370" s="98" t="str">
        <f>IF(IFERROR(VLOOKUP(A370,'20.鋼構工程吊裝'!C:D,1,0),"")="","","✔")</f>
        <v/>
      </c>
      <c r="V370" s="98" t="str">
        <f>IF(IFERROR(VLOOKUP(A370,'21.鋼構工程塗裝'!C:D,1,0),"")="","","✔")</f>
        <v/>
      </c>
      <c r="W370" s="98" t="str">
        <f>IF(IFERROR(VLOOKUP(A370,'22.排水設施(一)'!C:D,1,0),"")="","","✔")</f>
        <v/>
      </c>
      <c r="X370" s="98" t="str">
        <f>IF(IFERROR(VLOOKUP(A370,'23.排水設施(二)'!C:D,1,0),"")="","","✔")</f>
        <v/>
      </c>
      <c r="Y370" s="98" t="str">
        <f>IF(IFERROR(VLOOKUP(A370,'24.木構造'!C:D,1,0),"")="","","✔")</f>
        <v/>
      </c>
      <c r="Z370" s="98" t="str">
        <f>IF(IFERROR(VLOOKUP(A370,'25.管路'!C:D,1,0),"")="","","✔")</f>
        <v/>
      </c>
      <c r="AA370" s="98" t="str">
        <f>IF(IFERROR(VLOOKUP(A370,'26.植栽(移植)'!C:D,1,0),"")="","","✔")</f>
        <v/>
      </c>
      <c r="AB370" s="98" t="str">
        <f>IF(IFERROR(VLOOKUP(A370,'27.植栽(新植)'!C:D,1,0),"")="","","✔")</f>
        <v/>
      </c>
      <c r="AC370" s="98" t="str">
        <f>IF(IFERROR(VLOOKUP(A370,'28.照明'!C:D,1,0),"")="","","✔")</f>
        <v/>
      </c>
      <c r="AD370" s="98" t="str">
        <f>IF(IFERROR(VLOOKUP(A370,'29.既有橋梁拆除'!C:D,1,0),"")="","","✔")</f>
        <v/>
      </c>
    </row>
    <row r="371" spans="1:30" ht="21.75" customHeight="1" x14ac:dyDescent="0.25">
      <c r="A371" s="99">
        <v>45561</v>
      </c>
      <c r="B371" s="98" t="str">
        <f>IF(IFERROR(VLOOKUP(A371,'1.測量放樣'!C:D,1,0),"")="","","✔")</f>
        <v/>
      </c>
      <c r="C371" s="98" t="str">
        <f>IF(IFERROR(VLOOKUP(A371,'2.土方開挖'!C:D,1,0),"")="","","✔")</f>
        <v/>
      </c>
      <c r="D371" s="98" t="str">
        <f>IF(IFERROR(VLOOKUP(A371,'3.土方回填'!C:D,1,0),"")="","","✔")</f>
        <v/>
      </c>
      <c r="E371" s="98" t="str">
        <f>IF(IFERROR(VLOOKUP(A371,'4.鋼筋'!C:D,1,0),"")="","","✔")</f>
        <v/>
      </c>
      <c r="F371" s="98" t="str">
        <f>IF(IFERROR(VLOOKUP(A371,'5.模板'!C:D,1,0),"")="","","✔")</f>
        <v/>
      </c>
      <c r="G371" s="98" t="str">
        <f>IF(IFERROR(VLOOKUP(A371,'6.混凝土'!C:D,1,0),"")="","","✔")</f>
        <v/>
      </c>
      <c r="H371" s="98" t="str">
        <f>IF(IFERROR(VLOOKUP(A371,'7.植筋'!C:D,1,0),"")="","","✔")</f>
        <v/>
      </c>
      <c r="I371" s="98" t="str">
        <f>IF(IFERROR(VLOOKUP(A371,'8.預力混凝土基樁'!C:D,1,0),"")="","","✔")</f>
        <v/>
      </c>
      <c r="J371" s="98" t="str">
        <f>IF(IFERROR(VLOOKUP(A371,'9.砌塊石護岸'!C:D,1,0),"")="","","✔")</f>
        <v/>
      </c>
      <c r="K371" s="98" t="str">
        <f>IF(IFERROR(VLOOKUP(A371,'10.低水護岸'!C:D,1,0),"")="","","✔")</f>
        <v/>
      </c>
      <c r="L371" s="98" t="str">
        <f>IF(IFERROR(VLOOKUP(A371,'11.固床工'!C:D,1,0),"")="","","✔")</f>
        <v/>
      </c>
      <c r="M371" s="98" t="str">
        <f>IF(IFERROR(VLOOKUP(A371,'12.全套管基樁'!C:D,1,0),"")="","","✔")</f>
        <v/>
      </c>
      <c r="N371" s="98" t="str">
        <f>IF(IFERROR(VLOOKUP(A371,'13.鋼筋混凝土管工程'!C:D,1,0),"")="","","✔")</f>
        <v/>
      </c>
      <c r="O371" s="98" t="str">
        <f>IF(IFERROR(VLOOKUP(A371,'14.鋼版樁'!C:D,1,0),"")="","","✔")</f>
        <v/>
      </c>
      <c r="P371" s="98" t="str">
        <f>IF(IFERROR(VLOOKUP(A371,'15.路床 路基高程'!C:D,1,0),"")="","","✔")</f>
        <v/>
      </c>
      <c r="Q371" s="98" t="str">
        <f>IF(IFERROR(VLOOKUP(A371,'16.瀝青混凝土'!C:D,1,0),"")="","","✔")</f>
        <v/>
      </c>
      <c r="R371" s="98" t="str">
        <f>IF(IFERROR(VLOOKUP(A371,'17.景觀鋪面(一)'!C:D,1,0),"")="","","✔")</f>
        <v/>
      </c>
      <c r="S371" s="98" t="str">
        <f>IF(IFERROR(VLOOKUP(A371,'18.景觀鋪面(二)'!C:D,1,0),"")="","","✔")</f>
        <v/>
      </c>
      <c r="T371" s="98" t="str">
        <f>IF(IFERROR(VLOOKUP(A371,'19.預鑄緣石'!C:D,1,0),"")="","","✔")</f>
        <v/>
      </c>
      <c r="U371" s="98" t="str">
        <f>IF(IFERROR(VLOOKUP(A371,'20.鋼構工程吊裝'!C:D,1,0),"")="","","✔")</f>
        <v/>
      </c>
      <c r="V371" s="98" t="str">
        <f>IF(IFERROR(VLOOKUP(A371,'21.鋼構工程塗裝'!C:D,1,0),"")="","","✔")</f>
        <v/>
      </c>
      <c r="W371" s="98" t="str">
        <f>IF(IFERROR(VLOOKUP(A371,'22.排水設施(一)'!C:D,1,0),"")="","","✔")</f>
        <v/>
      </c>
      <c r="X371" s="98" t="str">
        <f>IF(IFERROR(VLOOKUP(A371,'23.排水設施(二)'!C:D,1,0),"")="","","✔")</f>
        <v/>
      </c>
      <c r="Y371" s="98" t="str">
        <f>IF(IFERROR(VLOOKUP(A371,'24.木構造'!C:D,1,0),"")="","","✔")</f>
        <v/>
      </c>
      <c r="Z371" s="98" t="str">
        <f>IF(IFERROR(VLOOKUP(A371,'25.管路'!C:D,1,0),"")="","","✔")</f>
        <v/>
      </c>
      <c r="AA371" s="98" t="str">
        <f>IF(IFERROR(VLOOKUP(A371,'26.植栽(移植)'!C:D,1,0),"")="","","✔")</f>
        <v/>
      </c>
      <c r="AB371" s="98" t="str">
        <f>IF(IFERROR(VLOOKUP(A371,'27.植栽(新植)'!C:D,1,0),"")="","","✔")</f>
        <v/>
      </c>
      <c r="AC371" s="98" t="str">
        <f>IF(IFERROR(VLOOKUP(A371,'28.照明'!C:D,1,0),"")="","","✔")</f>
        <v/>
      </c>
      <c r="AD371" s="98" t="str">
        <f>IF(IFERROR(VLOOKUP(A371,'29.既有橋梁拆除'!C:D,1,0),"")="","","✔")</f>
        <v/>
      </c>
    </row>
    <row r="372" spans="1:30" ht="21.75" customHeight="1" x14ac:dyDescent="0.25">
      <c r="A372" s="99">
        <v>45562</v>
      </c>
      <c r="B372" s="98" t="str">
        <f>IF(IFERROR(VLOOKUP(A372,'1.測量放樣'!C:D,1,0),"")="","","✔")</f>
        <v/>
      </c>
      <c r="C372" s="98" t="str">
        <f>IF(IFERROR(VLOOKUP(A372,'2.土方開挖'!C:D,1,0),"")="","","✔")</f>
        <v/>
      </c>
      <c r="D372" s="98" t="str">
        <f>IF(IFERROR(VLOOKUP(A372,'3.土方回填'!C:D,1,0),"")="","","✔")</f>
        <v/>
      </c>
      <c r="E372" s="98" t="str">
        <f>IF(IFERROR(VLOOKUP(A372,'4.鋼筋'!C:D,1,0),"")="","","✔")</f>
        <v/>
      </c>
      <c r="F372" s="98" t="str">
        <f>IF(IFERROR(VLOOKUP(A372,'5.模板'!C:D,1,0),"")="","","✔")</f>
        <v/>
      </c>
      <c r="G372" s="98" t="str">
        <f>IF(IFERROR(VLOOKUP(A372,'6.混凝土'!C:D,1,0),"")="","","✔")</f>
        <v/>
      </c>
      <c r="H372" s="98" t="str">
        <f>IF(IFERROR(VLOOKUP(A372,'7.植筋'!C:D,1,0),"")="","","✔")</f>
        <v/>
      </c>
      <c r="I372" s="98" t="str">
        <f>IF(IFERROR(VLOOKUP(A372,'8.預力混凝土基樁'!C:D,1,0),"")="","","✔")</f>
        <v/>
      </c>
      <c r="J372" s="98" t="str">
        <f>IF(IFERROR(VLOOKUP(A372,'9.砌塊石護岸'!C:D,1,0),"")="","","✔")</f>
        <v/>
      </c>
      <c r="K372" s="98" t="str">
        <f>IF(IFERROR(VLOOKUP(A372,'10.低水護岸'!C:D,1,0),"")="","","✔")</f>
        <v/>
      </c>
      <c r="L372" s="98" t="str">
        <f>IF(IFERROR(VLOOKUP(A372,'11.固床工'!C:D,1,0),"")="","","✔")</f>
        <v/>
      </c>
      <c r="M372" s="98" t="str">
        <f>IF(IFERROR(VLOOKUP(A372,'12.全套管基樁'!C:D,1,0),"")="","","✔")</f>
        <v/>
      </c>
      <c r="N372" s="98" t="str">
        <f>IF(IFERROR(VLOOKUP(A372,'13.鋼筋混凝土管工程'!C:D,1,0),"")="","","✔")</f>
        <v/>
      </c>
      <c r="O372" s="98" t="str">
        <f>IF(IFERROR(VLOOKUP(A372,'14.鋼版樁'!C:D,1,0),"")="","","✔")</f>
        <v/>
      </c>
      <c r="P372" s="98" t="str">
        <f>IF(IFERROR(VLOOKUP(A372,'15.路床 路基高程'!C:D,1,0),"")="","","✔")</f>
        <v/>
      </c>
      <c r="Q372" s="98" t="str">
        <f>IF(IFERROR(VLOOKUP(A372,'16.瀝青混凝土'!C:D,1,0),"")="","","✔")</f>
        <v/>
      </c>
      <c r="R372" s="98" t="str">
        <f>IF(IFERROR(VLOOKUP(A372,'17.景觀鋪面(一)'!C:D,1,0),"")="","","✔")</f>
        <v/>
      </c>
      <c r="S372" s="98" t="str">
        <f>IF(IFERROR(VLOOKUP(A372,'18.景觀鋪面(二)'!C:D,1,0),"")="","","✔")</f>
        <v/>
      </c>
      <c r="T372" s="98" t="str">
        <f>IF(IFERROR(VLOOKUP(A372,'19.預鑄緣石'!C:D,1,0),"")="","","✔")</f>
        <v/>
      </c>
      <c r="U372" s="98" t="str">
        <f>IF(IFERROR(VLOOKUP(A372,'20.鋼構工程吊裝'!C:D,1,0),"")="","","✔")</f>
        <v/>
      </c>
      <c r="V372" s="98" t="str">
        <f>IF(IFERROR(VLOOKUP(A372,'21.鋼構工程塗裝'!C:D,1,0),"")="","","✔")</f>
        <v/>
      </c>
      <c r="W372" s="98" t="str">
        <f>IF(IFERROR(VLOOKUP(A372,'22.排水設施(一)'!C:D,1,0),"")="","","✔")</f>
        <v/>
      </c>
      <c r="X372" s="98" t="str">
        <f>IF(IFERROR(VLOOKUP(A372,'23.排水設施(二)'!C:D,1,0),"")="","","✔")</f>
        <v/>
      </c>
      <c r="Y372" s="98" t="str">
        <f>IF(IFERROR(VLOOKUP(A372,'24.木構造'!C:D,1,0),"")="","","✔")</f>
        <v/>
      </c>
      <c r="Z372" s="98" t="str">
        <f>IF(IFERROR(VLOOKUP(A372,'25.管路'!C:D,1,0),"")="","","✔")</f>
        <v/>
      </c>
      <c r="AA372" s="98" t="str">
        <f>IF(IFERROR(VLOOKUP(A372,'26.植栽(移植)'!C:D,1,0),"")="","","✔")</f>
        <v/>
      </c>
      <c r="AB372" s="98" t="str">
        <f>IF(IFERROR(VLOOKUP(A372,'27.植栽(新植)'!C:D,1,0),"")="","","✔")</f>
        <v/>
      </c>
      <c r="AC372" s="98" t="str">
        <f>IF(IFERROR(VLOOKUP(A372,'28.照明'!C:D,1,0),"")="","","✔")</f>
        <v/>
      </c>
      <c r="AD372" s="98" t="str">
        <f>IF(IFERROR(VLOOKUP(A372,'29.既有橋梁拆除'!C:D,1,0),"")="","","✔")</f>
        <v/>
      </c>
    </row>
    <row r="373" spans="1:30" ht="21.75" customHeight="1" x14ac:dyDescent="0.25">
      <c r="A373" s="99">
        <v>45563</v>
      </c>
      <c r="B373" s="98" t="str">
        <f>IF(IFERROR(VLOOKUP(A373,'1.測量放樣'!C:D,1,0),"")="","","✔")</f>
        <v/>
      </c>
      <c r="C373" s="98" t="str">
        <f>IF(IFERROR(VLOOKUP(A373,'2.土方開挖'!C:D,1,0),"")="","","✔")</f>
        <v/>
      </c>
      <c r="D373" s="98" t="str">
        <f>IF(IFERROR(VLOOKUP(A373,'3.土方回填'!C:D,1,0),"")="","","✔")</f>
        <v/>
      </c>
      <c r="E373" s="98" t="str">
        <f>IF(IFERROR(VLOOKUP(A373,'4.鋼筋'!C:D,1,0),"")="","","✔")</f>
        <v/>
      </c>
      <c r="F373" s="98" t="str">
        <f>IF(IFERROR(VLOOKUP(A373,'5.模板'!C:D,1,0),"")="","","✔")</f>
        <v/>
      </c>
      <c r="G373" s="98" t="str">
        <f>IF(IFERROR(VLOOKUP(A373,'6.混凝土'!C:D,1,0),"")="","","✔")</f>
        <v/>
      </c>
      <c r="H373" s="98" t="str">
        <f>IF(IFERROR(VLOOKUP(A373,'7.植筋'!C:D,1,0),"")="","","✔")</f>
        <v/>
      </c>
      <c r="I373" s="98" t="str">
        <f>IF(IFERROR(VLOOKUP(A373,'8.預力混凝土基樁'!C:D,1,0),"")="","","✔")</f>
        <v/>
      </c>
      <c r="J373" s="98" t="str">
        <f>IF(IFERROR(VLOOKUP(A373,'9.砌塊石護岸'!C:D,1,0),"")="","","✔")</f>
        <v/>
      </c>
      <c r="K373" s="98" t="str">
        <f>IF(IFERROR(VLOOKUP(A373,'10.低水護岸'!C:D,1,0),"")="","","✔")</f>
        <v/>
      </c>
      <c r="L373" s="98" t="str">
        <f>IF(IFERROR(VLOOKUP(A373,'11.固床工'!C:D,1,0),"")="","","✔")</f>
        <v/>
      </c>
      <c r="M373" s="98" t="str">
        <f>IF(IFERROR(VLOOKUP(A373,'12.全套管基樁'!C:D,1,0),"")="","","✔")</f>
        <v/>
      </c>
      <c r="N373" s="98" t="str">
        <f>IF(IFERROR(VLOOKUP(A373,'13.鋼筋混凝土管工程'!C:D,1,0),"")="","","✔")</f>
        <v/>
      </c>
      <c r="O373" s="98" t="str">
        <f>IF(IFERROR(VLOOKUP(A373,'14.鋼版樁'!C:D,1,0),"")="","","✔")</f>
        <v/>
      </c>
      <c r="P373" s="98" t="str">
        <f>IF(IFERROR(VLOOKUP(A373,'15.路床 路基高程'!C:D,1,0),"")="","","✔")</f>
        <v/>
      </c>
      <c r="Q373" s="98" t="str">
        <f>IF(IFERROR(VLOOKUP(A373,'16.瀝青混凝土'!C:D,1,0),"")="","","✔")</f>
        <v/>
      </c>
      <c r="R373" s="98" t="str">
        <f>IF(IFERROR(VLOOKUP(A373,'17.景觀鋪面(一)'!C:D,1,0),"")="","","✔")</f>
        <v/>
      </c>
      <c r="S373" s="98" t="str">
        <f>IF(IFERROR(VLOOKUP(A373,'18.景觀鋪面(二)'!C:D,1,0),"")="","","✔")</f>
        <v/>
      </c>
      <c r="T373" s="98" t="str">
        <f>IF(IFERROR(VLOOKUP(A373,'19.預鑄緣石'!C:D,1,0),"")="","","✔")</f>
        <v/>
      </c>
      <c r="U373" s="98" t="str">
        <f>IF(IFERROR(VLOOKUP(A373,'20.鋼構工程吊裝'!C:D,1,0),"")="","","✔")</f>
        <v/>
      </c>
      <c r="V373" s="98" t="str">
        <f>IF(IFERROR(VLOOKUP(A373,'21.鋼構工程塗裝'!C:D,1,0),"")="","","✔")</f>
        <v/>
      </c>
      <c r="W373" s="98" t="str">
        <f>IF(IFERROR(VLOOKUP(A373,'22.排水設施(一)'!C:D,1,0),"")="","","✔")</f>
        <v/>
      </c>
      <c r="X373" s="98" t="str">
        <f>IF(IFERROR(VLOOKUP(A373,'23.排水設施(二)'!C:D,1,0),"")="","","✔")</f>
        <v/>
      </c>
      <c r="Y373" s="98" t="str">
        <f>IF(IFERROR(VLOOKUP(A373,'24.木構造'!C:D,1,0),"")="","","✔")</f>
        <v/>
      </c>
      <c r="Z373" s="98" t="str">
        <f>IF(IFERROR(VLOOKUP(A373,'25.管路'!C:D,1,0),"")="","","✔")</f>
        <v/>
      </c>
      <c r="AA373" s="98" t="str">
        <f>IF(IFERROR(VLOOKUP(A373,'26.植栽(移植)'!C:D,1,0),"")="","","✔")</f>
        <v/>
      </c>
      <c r="AB373" s="98" t="str">
        <f>IF(IFERROR(VLOOKUP(A373,'27.植栽(新植)'!C:D,1,0),"")="","","✔")</f>
        <v/>
      </c>
      <c r="AC373" s="98" t="str">
        <f>IF(IFERROR(VLOOKUP(A373,'28.照明'!C:D,1,0),"")="","","✔")</f>
        <v/>
      </c>
      <c r="AD373" s="98" t="str">
        <f>IF(IFERROR(VLOOKUP(A373,'29.既有橋梁拆除'!C:D,1,0),"")="","","✔")</f>
        <v/>
      </c>
    </row>
    <row r="374" spans="1:30" ht="21.75" customHeight="1" x14ac:dyDescent="0.25">
      <c r="A374" s="99">
        <v>45564</v>
      </c>
      <c r="B374" s="98" t="str">
        <f>IF(IFERROR(VLOOKUP(A374,'1.測量放樣'!C:D,1,0),"")="","","✔")</f>
        <v/>
      </c>
      <c r="C374" s="98" t="str">
        <f>IF(IFERROR(VLOOKUP(A374,'2.土方開挖'!C:D,1,0),"")="","","✔")</f>
        <v/>
      </c>
      <c r="D374" s="98" t="str">
        <f>IF(IFERROR(VLOOKUP(A374,'3.土方回填'!C:D,1,0),"")="","","✔")</f>
        <v/>
      </c>
      <c r="E374" s="98" t="str">
        <f>IF(IFERROR(VLOOKUP(A374,'4.鋼筋'!C:D,1,0),"")="","","✔")</f>
        <v/>
      </c>
      <c r="F374" s="98" t="str">
        <f>IF(IFERROR(VLOOKUP(A374,'5.模板'!C:D,1,0),"")="","","✔")</f>
        <v/>
      </c>
      <c r="G374" s="98" t="str">
        <f>IF(IFERROR(VLOOKUP(A374,'6.混凝土'!C:D,1,0),"")="","","✔")</f>
        <v/>
      </c>
      <c r="H374" s="98" t="str">
        <f>IF(IFERROR(VLOOKUP(A374,'7.植筋'!C:D,1,0),"")="","","✔")</f>
        <v/>
      </c>
      <c r="I374" s="98" t="str">
        <f>IF(IFERROR(VLOOKUP(A374,'8.預力混凝土基樁'!C:D,1,0),"")="","","✔")</f>
        <v/>
      </c>
      <c r="J374" s="98" t="str">
        <f>IF(IFERROR(VLOOKUP(A374,'9.砌塊石護岸'!C:D,1,0),"")="","","✔")</f>
        <v/>
      </c>
      <c r="K374" s="98" t="str">
        <f>IF(IFERROR(VLOOKUP(A374,'10.低水護岸'!C:D,1,0),"")="","","✔")</f>
        <v/>
      </c>
      <c r="L374" s="98" t="str">
        <f>IF(IFERROR(VLOOKUP(A374,'11.固床工'!C:D,1,0),"")="","","✔")</f>
        <v/>
      </c>
      <c r="M374" s="98" t="str">
        <f>IF(IFERROR(VLOOKUP(A374,'12.全套管基樁'!C:D,1,0),"")="","","✔")</f>
        <v/>
      </c>
      <c r="N374" s="98" t="str">
        <f>IF(IFERROR(VLOOKUP(A374,'13.鋼筋混凝土管工程'!C:D,1,0),"")="","","✔")</f>
        <v/>
      </c>
      <c r="O374" s="98" t="str">
        <f>IF(IFERROR(VLOOKUP(A374,'14.鋼版樁'!C:D,1,0),"")="","","✔")</f>
        <v/>
      </c>
      <c r="P374" s="98" t="str">
        <f>IF(IFERROR(VLOOKUP(A374,'15.路床 路基高程'!C:D,1,0),"")="","","✔")</f>
        <v/>
      </c>
      <c r="Q374" s="98" t="str">
        <f>IF(IFERROR(VLOOKUP(A374,'16.瀝青混凝土'!C:D,1,0),"")="","","✔")</f>
        <v/>
      </c>
      <c r="R374" s="98" t="str">
        <f>IF(IFERROR(VLOOKUP(A374,'17.景觀鋪面(一)'!C:D,1,0),"")="","","✔")</f>
        <v/>
      </c>
      <c r="S374" s="98" t="str">
        <f>IF(IFERROR(VLOOKUP(A374,'18.景觀鋪面(二)'!C:D,1,0),"")="","","✔")</f>
        <v/>
      </c>
      <c r="T374" s="98" t="str">
        <f>IF(IFERROR(VLOOKUP(A374,'19.預鑄緣石'!C:D,1,0),"")="","","✔")</f>
        <v/>
      </c>
      <c r="U374" s="98" t="str">
        <f>IF(IFERROR(VLOOKUP(A374,'20.鋼構工程吊裝'!C:D,1,0),"")="","","✔")</f>
        <v/>
      </c>
      <c r="V374" s="98" t="str">
        <f>IF(IFERROR(VLOOKUP(A374,'21.鋼構工程塗裝'!C:D,1,0),"")="","","✔")</f>
        <v/>
      </c>
      <c r="W374" s="98" t="str">
        <f>IF(IFERROR(VLOOKUP(A374,'22.排水設施(一)'!C:D,1,0),"")="","","✔")</f>
        <v/>
      </c>
      <c r="X374" s="98" t="str">
        <f>IF(IFERROR(VLOOKUP(A374,'23.排水設施(二)'!C:D,1,0),"")="","","✔")</f>
        <v/>
      </c>
      <c r="Y374" s="98" t="str">
        <f>IF(IFERROR(VLOOKUP(A374,'24.木構造'!C:D,1,0),"")="","","✔")</f>
        <v/>
      </c>
      <c r="Z374" s="98" t="str">
        <f>IF(IFERROR(VLOOKUP(A374,'25.管路'!C:D,1,0),"")="","","✔")</f>
        <v/>
      </c>
      <c r="AA374" s="98" t="str">
        <f>IF(IFERROR(VLOOKUP(A374,'26.植栽(移植)'!C:D,1,0),"")="","","✔")</f>
        <v/>
      </c>
      <c r="AB374" s="98" t="str">
        <f>IF(IFERROR(VLOOKUP(A374,'27.植栽(新植)'!C:D,1,0),"")="","","✔")</f>
        <v/>
      </c>
      <c r="AC374" s="98" t="str">
        <f>IF(IFERROR(VLOOKUP(A374,'28.照明'!C:D,1,0),"")="","","✔")</f>
        <v/>
      </c>
      <c r="AD374" s="98" t="str">
        <f>IF(IFERROR(VLOOKUP(A374,'29.既有橋梁拆除'!C:D,1,0),"")="","","✔")</f>
        <v/>
      </c>
    </row>
    <row r="375" spans="1:30" ht="21.75" customHeight="1" x14ac:dyDescent="0.25">
      <c r="A375" s="99">
        <v>45565</v>
      </c>
      <c r="B375" s="98" t="str">
        <f>IF(IFERROR(VLOOKUP(A375,'1.測量放樣'!C:D,1,0),"")="","","✔")</f>
        <v/>
      </c>
      <c r="C375" s="98" t="str">
        <f>IF(IFERROR(VLOOKUP(A375,'2.土方開挖'!C:D,1,0),"")="","","✔")</f>
        <v/>
      </c>
      <c r="D375" s="98" t="str">
        <f>IF(IFERROR(VLOOKUP(A375,'3.土方回填'!C:D,1,0),"")="","","✔")</f>
        <v/>
      </c>
      <c r="E375" s="98" t="str">
        <f>IF(IFERROR(VLOOKUP(A375,'4.鋼筋'!C:D,1,0),"")="","","✔")</f>
        <v/>
      </c>
      <c r="F375" s="98" t="str">
        <f>IF(IFERROR(VLOOKUP(A375,'5.模板'!C:D,1,0),"")="","","✔")</f>
        <v/>
      </c>
      <c r="G375" s="98" t="str">
        <f>IF(IFERROR(VLOOKUP(A375,'6.混凝土'!C:D,1,0),"")="","","✔")</f>
        <v/>
      </c>
      <c r="H375" s="98" t="str">
        <f>IF(IFERROR(VLOOKUP(A375,'7.植筋'!C:D,1,0),"")="","","✔")</f>
        <v/>
      </c>
      <c r="I375" s="98" t="str">
        <f>IF(IFERROR(VLOOKUP(A375,'8.預力混凝土基樁'!C:D,1,0),"")="","","✔")</f>
        <v/>
      </c>
      <c r="J375" s="98" t="str">
        <f>IF(IFERROR(VLOOKUP(A375,'9.砌塊石護岸'!C:D,1,0),"")="","","✔")</f>
        <v/>
      </c>
      <c r="K375" s="98" t="str">
        <f>IF(IFERROR(VLOOKUP(A375,'10.低水護岸'!C:D,1,0),"")="","","✔")</f>
        <v/>
      </c>
      <c r="L375" s="98" t="str">
        <f>IF(IFERROR(VLOOKUP(A375,'11.固床工'!C:D,1,0),"")="","","✔")</f>
        <v/>
      </c>
      <c r="M375" s="98" t="str">
        <f>IF(IFERROR(VLOOKUP(A375,'12.全套管基樁'!C:D,1,0),"")="","","✔")</f>
        <v/>
      </c>
      <c r="N375" s="98" t="str">
        <f>IF(IFERROR(VLOOKUP(A375,'13.鋼筋混凝土管工程'!C:D,1,0),"")="","","✔")</f>
        <v/>
      </c>
      <c r="O375" s="98" t="str">
        <f>IF(IFERROR(VLOOKUP(A375,'14.鋼版樁'!C:D,1,0),"")="","","✔")</f>
        <v/>
      </c>
      <c r="P375" s="98" t="str">
        <f>IF(IFERROR(VLOOKUP(A375,'15.路床 路基高程'!C:D,1,0),"")="","","✔")</f>
        <v/>
      </c>
      <c r="Q375" s="98" t="str">
        <f>IF(IFERROR(VLOOKUP(A375,'16.瀝青混凝土'!C:D,1,0),"")="","","✔")</f>
        <v/>
      </c>
      <c r="R375" s="98" t="str">
        <f>IF(IFERROR(VLOOKUP(A375,'17.景觀鋪面(一)'!C:D,1,0),"")="","","✔")</f>
        <v/>
      </c>
      <c r="S375" s="98" t="str">
        <f>IF(IFERROR(VLOOKUP(A375,'18.景觀鋪面(二)'!C:D,1,0),"")="","","✔")</f>
        <v/>
      </c>
      <c r="T375" s="98" t="str">
        <f>IF(IFERROR(VLOOKUP(A375,'19.預鑄緣石'!C:D,1,0),"")="","","✔")</f>
        <v/>
      </c>
      <c r="U375" s="98" t="str">
        <f>IF(IFERROR(VLOOKUP(A375,'20.鋼構工程吊裝'!C:D,1,0),"")="","","✔")</f>
        <v/>
      </c>
      <c r="V375" s="98" t="str">
        <f>IF(IFERROR(VLOOKUP(A375,'21.鋼構工程塗裝'!C:D,1,0),"")="","","✔")</f>
        <v/>
      </c>
      <c r="W375" s="98" t="str">
        <f>IF(IFERROR(VLOOKUP(A375,'22.排水設施(一)'!C:D,1,0),"")="","","✔")</f>
        <v/>
      </c>
      <c r="X375" s="98" t="str">
        <f>IF(IFERROR(VLOOKUP(A375,'23.排水設施(二)'!C:D,1,0),"")="","","✔")</f>
        <v/>
      </c>
      <c r="Y375" s="98" t="str">
        <f>IF(IFERROR(VLOOKUP(A375,'24.木構造'!C:D,1,0),"")="","","✔")</f>
        <v/>
      </c>
      <c r="Z375" s="98" t="str">
        <f>IF(IFERROR(VLOOKUP(A375,'25.管路'!C:D,1,0),"")="","","✔")</f>
        <v/>
      </c>
      <c r="AA375" s="98" t="str">
        <f>IF(IFERROR(VLOOKUP(A375,'26.植栽(移植)'!C:D,1,0),"")="","","✔")</f>
        <v/>
      </c>
      <c r="AB375" s="98" t="str">
        <f>IF(IFERROR(VLOOKUP(A375,'27.植栽(新植)'!C:D,1,0),"")="","","✔")</f>
        <v/>
      </c>
      <c r="AC375" s="98" t="str">
        <f>IF(IFERROR(VLOOKUP(A375,'28.照明'!C:D,1,0),"")="","","✔")</f>
        <v/>
      </c>
      <c r="AD375" s="98" t="str">
        <f>IF(IFERROR(VLOOKUP(A375,'29.既有橋梁拆除'!C:D,1,0),"")="","","✔")</f>
        <v/>
      </c>
    </row>
    <row r="376" spans="1:30" ht="21.75" customHeight="1" x14ac:dyDescent="0.25">
      <c r="A376" s="99">
        <v>45566</v>
      </c>
      <c r="B376" s="98" t="str">
        <f>IF(IFERROR(VLOOKUP(A376,'1.測量放樣'!C:D,1,0),"")="","","✔")</f>
        <v/>
      </c>
      <c r="C376" s="98" t="str">
        <f>IF(IFERROR(VLOOKUP(A376,'2.土方開挖'!C:D,1,0),"")="","","✔")</f>
        <v/>
      </c>
      <c r="D376" s="98" t="str">
        <f>IF(IFERROR(VLOOKUP(A376,'3.土方回填'!C:D,1,0),"")="","","✔")</f>
        <v/>
      </c>
      <c r="E376" s="98" t="str">
        <f>IF(IFERROR(VLOOKUP(A376,'4.鋼筋'!C:D,1,0),"")="","","✔")</f>
        <v/>
      </c>
      <c r="F376" s="98" t="str">
        <f>IF(IFERROR(VLOOKUP(A376,'5.模板'!C:D,1,0),"")="","","✔")</f>
        <v/>
      </c>
      <c r="G376" s="98" t="str">
        <f>IF(IFERROR(VLOOKUP(A376,'6.混凝土'!C:D,1,0),"")="","","✔")</f>
        <v/>
      </c>
      <c r="H376" s="98" t="str">
        <f>IF(IFERROR(VLOOKUP(A376,'7.植筋'!C:D,1,0),"")="","","✔")</f>
        <v/>
      </c>
      <c r="I376" s="98" t="str">
        <f>IF(IFERROR(VLOOKUP(A376,'8.預力混凝土基樁'!C:D,1,0),"")="","","✔")</f>
        <v/>
      </c>
      <c r="J376" s="98" t="str">
        <f>IF(IFERROR(VLOOKUP(A376,'9.砌塊石護岸'!C:D,1,0),"")="","","✔")</f>
        <v/>
      </c>
      <c r="K376" s="98" t="str">
        <f>IF(IFERROR(VLOOKUP(A376,'10.低水護岸'!C:D,1,0),"")="","","✔")</f>
        <v/>
      </c>
      <c r="L376" s="98" t="str">
        <f>IF(IFERROR(VLOOKUP(A376,'11.固床工'!C:D,1,0),"")="","","✔")</f>
        <v/>
      </c>
      <c r="M376" s="98" t="str">
        <f>IF(IFERROR(VLOOKUP(A376,'12.全套管基樁'!C:D,1,0),"")="","","✔")</f>
        <v/>
      </c>
      <c r="N376" s="98" t="str">
        <f>IF(IFERROR(VLOOKUP(A376,'13.鋼筋混凝土管工程'!C:D,1,0),"")="","","✔")</f>
        <v/>
      </c>
      <c r="O376" s="98" t="str">
        <f>IF(IFERROR(VLOOKUP(A376,'14.鋼版樁'!C:D,1,0),"")="","","✔")</f>
        <v/>
      </c>
      <c r="P376" s="98" t="str">
        <f>IF(IFERROR(VLOOKUP(A376,'15.路床 路基高程'!C:D,1,0),"")="","","✔")</f>
        <v/>
      </c>
      <c r="Q376" s="98" t="str">
        <f>IF(IFERROR(VLOOKUP(A376,'16.瀝青混凝土'!C:D,1,0),"")="","","✔")</f>
        <v/>
      </c>
      <c r="R376" s="98" t="str">
        <f>IF(IFERROR(VLOOKUP(A376,'17.景觀鋪面(一)'!C:D,1,0),"")="","","✔")</f>
        <v/>
      </c>
      <c r="S376" s="98" t="str">
        <f>IF(IFERROR(VLOOKUP(A376,'18.景觀鋪面(二)'!C:D,1,0),"")="","","✔")</f>
        <v/>
      </c>
      <c r="T376" s="98" t="str">
        <f>IF(IFERROR(VLOOKUP(A376,'19.預鑄緣石'!C:D,1,0),"")="","","✔")</f>
        <v/>
      </c>
      <c r="U376" s="98" t="str">
        <f>IF(IFERROR(VLOOKUP(A376,'20.鋼構工程吊裝'!C:D,1,0),"")="","","✔")</f>
        <v/>
      </c>
      <c r="V376" s="98" t="str">
        <f>IF(IFERROR(VLOOKUP(A376,'21.鋼構工程塗裝'!C:D,1,0),"")="","","✔")</f>
        <v/>
      </c>
      <c r="W376" s="98" t="str">
        <f>IF(IFERROR(VLOOKUP(A376,'22.排水設施(一)'!C:D,1,0),"")="","","✔")</f>
        <v/>
      </c>
      <c r="X376" s="98" t="str">
        <f>IF(IFERROR(VLOOKUP(A376,'23.排水設施(二)'!C:D,1,0),"")="","","✔")</f>
        <v/>
      </c>
      <c r="Y376" s="98" t="str">
        <f>IF(IFERROR(VLOOKUP(A376,'24.木構造'!C:D,1,0),"")="","","✔")</f>
        <v/>
      </c>
      <c r="Z376" s="98" t="str">
        <f>IF(IFERROR(VLOOKUP(A376,'25.管路'!C:D,1,0),"")="","","✔")</f>
        <v/>
      </c>
      <c r="AA376" s="98" t="str">
        <f>IF(IFERROR(VLOOKUP(A376,'26.植栽(移植)'!C:D,1,0),"")="","","✔")</f>
        <v/>
      </c>
      <c r="AB376" s="98" t="str">
        <f>IF(IFERROR(VLOOKUP(A376,'27.植栽(新植)'!C:D,1,0),"")="","","✔")</f>
        <v/>
      </c>
      <c r="AC376" s="98" t="str">
        <f>IF(IFERROR(VLOOKUP(A376,'28.照明'!C:D,1,0),"")="","","✔")</f>
        <v/>
      </c>
      <c r="AD376" s="98" t="str">
        <f>IF(IFERROR(VLOOKUP(A376,'29.既有橋梁拆除'!C:D,1,0),"")="","","✔")</f>
        <v/>
      </c>
    </row>
    <row r="377" spans="1:30" ht="21.75" customHeight="1" x14ac:dyDescent="0.25">
      <c r="A377" s="99">
        <v>45567</v>
      </c>
      <c r="B377" s="98" t="str">
        <f>IF(IFERROR(VLOOKUP(A377,'1.測量放樣'!C:D,1,0),"")="","","✔")</f>
        <v/>
      </c>
      <c r="C377" s="98" t="str">
        <f>IF(IFERROR(VLOOKUP(A377,'2.土方開挖'!C:D,1,0),"")="","","✔")</f>
        <v/>
      </c>
      <c r="D377" s="98" t="str">
        <f>IF(IFERROR(VLOOKUP(A377,'3.土方回填'!C:D,1,0),"")="","","✔")</f>
        <v/>
      </c>
      <c r="E377" s="98" t="str">
        <f>IF(IFERROR(VLOOKUP(A377,'4.鋼筋'!C:D,1,0),"")="","","✔")</f>
        <v/>
      </c>
      <c r="F377" s="98" t="str">
        <f>IF(IFERROR(VLOOKUP(A377,'5.模板'!C:D,1,0),"")="","","✔")</f>
        <v/>
      </c>
      <c r="G377" s="98" t="str">
        <f>IF(IFERROR(VLOOKUP(A377,'6.混凝土'!C:D,1,0),"")="","","✔")</f>
        <v/>
      </c>
      <c r="H377" s="98" t="str">
        <f>IF(IFERROR(VLOOKUP(A377,'7.植筋'!C:D,1,0),"")="","","✔")</f>
        <v/>
      </c>
      <c r="I377" s="98" t="str">
        <f>IF(IFERROR(VLOOKUP(A377,'8.預力混凝土基樁'!C:D,1,0),"")="","","✔")</f>
        <v/>
      </c>
      <c r="J377" s="98" t="str">
        <f>IF(IFERROR(VLOOKUP(A377,'9.砌塊石護岸'!C:D,1,0),"")="","","✔")</f>
        <v/>
      </c>
      <c r="K377" s="98" t="str">
        <f>IF(IFERROR(VLOOKUP(A377,'10.低水護岸'!C:D,1,0),"")="","","✔")</f>
        <v/>
      </c>
      <c r="L377" s="98" t="str">
        <f>IF(IFERROR(VLOOKUP(A377,'11.固床工'!C:D,1,0),"")="","","✔")</f>
        <v/>
      </c>
      <c r="M377" s="98" t="str">
        <f>IF(IFERROR(VLOOKUP(A377,'12.全套管基樁'!C:D,1,0),"")="","","✔")</f>
        <v/>
      </c>
      <c r="N377" s="98" t="str">
        <f>IF(IFERROR(VLOOKUP(A377,'13.鋼筋混凝土管工程'!C:D,1,0),"")="","","✔")</f>
        <v/>
      </c>
      <c r="O377" s="98" t="str">
        <f>IF(IFERROR(VLOOKUP(A377,'14.鋼版樁'!C:D,1,0),"")="","","✔")</f>
        <v/>
      </c>
      <c r="P377" s="98" t="str">
        <f>IF(IFERROR(VLOOKUP(A377,'15.路床 路基高程'!C:D,1,0),"")="","","✔")</f>
        <v/>
      </c>
      <c r="Q377" s="98" t="str">
        <f>IF(IFERROR(VLOOKUP(A377,'16.瀝青混凝土'!C:D,1,0),"")="","","✔")</f>
        <v/>
      </c>
      <c r="R377" s="98" t="str">
        <f>IF(IFERROR(VLOOKUP(A377,'17.景觀鋪面(一)'!C:D,1,0),"")="","","✔")</f>
        <v/>
      </c>
      <c r="S377" s="98" t="str">
        <f>IF(IFERROR(VLOOKUP(A377,'18.景觀鋪面(二)'!C:D,1,0),"")="","","✔")</f>
        <v/>
      </c>
      <c r="T377" s="98" t="str">
        <f>IF(IFERROR(VLOOKUP(A377,'19.預鑄緣石'!C:D,1,0),"")="","","✔")</f>
        <v/>
      </c>
      <c r="U377" s="98" t="str">
        <f>IF(IFERROR(VLOOKUP(A377,'20.鋼構工程吊裝'!C:D,1,0),"")="","","✔")</f>
        <v/>
      </c>
      <c r="V377" s="98" t="str">
        <f>IF(IFERROR(VLOOKUP(A377,'21.鋼構工程塗裝'!C:D,1,0),"")="","","✔")</f>
        <v/>
      </c>
      <c r="W377" s="98" t="str">
        <f>IF(IFERROR(VLOOKUP(A377,'22.排水設施(一)'!C:D,1,0),"")="","","✔")</f>
        <v/>
      </c>
      <c r="X377" s="98" t="str">
        <f>IF(IFERROR(VLOOKUP(A377,'23.排水設施(二)'!C:D,1,0),"")="","","✔")</f>
        <v/>
      </c>
      <c r="Y377" s="98" t="str">
        <f>IF(IFERROR(VLOOKUP(A377,'24.木構造'!C:D,1,0),"")="","","✔")</f>
        <v/>
      </c>
      <c r="Z377" s="98" t="str">
        <f>IF(IFERROR(VLOOKUP(A377,'25.管路'!C:D,1,0),"")="","","✔")</f>
        <v/>
      </c>
      <c r="AA377" s="98" t="str">
        <f>IF(IFERROR(VLOOKUP(A377,'26.植栽(移植)'!C:D,1,0),"")="","","✔")</f>
        <v/>
      </c>
      <c r="AB377" s="98" t="str">
        <f>IF(IFERROR(VLOOKUP(A377,'27.植栽(新植)'!C:D,1,0),"")="","","✔")</f>
        <v/>
      </c>
      <c r="AC377" s="98" t="str">
        <f>IF(IFERROR(VLOOKUP(A377,'28.照明'!C:D,1,0),"")="","","✔")</f>
        <v/>
      </c>
      <c r="AD377" s="98" t="str">
        <f>IF(IFERROR(VLOOKUP(A377,'29.既有橋梁拆除'!C:D,1,0),"")="","","✔")</f>
        <v/>
      </c>
    </row>
    <row r="378" spans="1:30" ht="21.75" customHeight="1" x14ac:dyDescent="0.25">
      <c r="A378" s="99">
        <v>45568</v>
      </c>
      <c r="B378" s="98" t="str">
        <f>IF(IFERROR(VLOOKUP(A378,'1.測量放樣'!C:D,1,0),"")="","","✔")</f>
        <v/>
      </c>
      <c r="C378" s="98" t="str">
        <f>IF(IFERROR(VLOOKUP(A378,'2.土方開挖'!C:D,1,0),"")="","","✔")</f>
        <v/>
      </c>
      <c r="D378" s="98" t="str">
        <f>IF(IFERROR(VLOOKUP(A378,'3.土方回填'!C:D,1,0),"")="","","✔")</f>
        <v/>
      </c>
      <c r="E378" s="98" t="str">
        <f>IF(IFERROR(VLOOKUP(A378,'4.鋼筋'!C:D,1,0),"")="","","✔")</f>
        <v/>
      </c>
      <c r="F378" s="98" t="str">
        <f>IF(IFERROR(VLOOKUP(A378,'5.模板'!C:D,1,0),"")="","","✔")</f>
        <v/>
      </c>
      <c r="G378" s="98" t="str">
        <f>IF(IFERROR(VLOOKUP(A378,'6.混凝土'!C:D,1,0),"")="","","✔")</f>
        <v/>
      </c>
      <c r="H378" s="98" t="str">
        <f>IF(IFERROR(VLOOKUP(A378,'7.植筋'!C:D,1,0),"")="","","✔")</f>
        <v/>
      </c>
      <c r="I378" s="98" t="str">
        <f>IF(IFERROR(VLOOKUP(A378,'8.預力混凝土基樁'!C:D,1,0),"")="","","✔")</f>
        <v/>
      </c>
      <c r="J378" s="98" t="str">
        <f>IF(IFERROR(VLOOKUP(A378,'9.砌塊石護岸'!C:D,1,0),"")="","","✔")</f>
        <v/>
      </c>
      <c r="K378" s="98" t="str">
        <f>IF(IFERROR(VLOOKUP(A378,'10.低水護岸'!C:D,1,0),"")="","","✔")</f>
        <v/>
      </c>
      <c r="L378" s="98" t="str">
        <f>IF(IFERROR(VLOOKUP(A378,'11.固床工'!C:D,1,0),"")="","","✔")</f>
        <v/>
      </c>
      <c r="M378" s="98" t="str">
        <f>IF(IFERROR(VLOOKUP(A378,'12.全套管基樁'!C:D,1,0),"")="","","✔")</f>
        <v/>
      </c>
      <c r="N378" s="98" t="str">
        <f>IF(IFERROR(VLOOKUP(A378,'13.鋼筋混凝土管工程'!C:D,1,0),"")="","","✔")</f>
        <v/>
      </c>
      <c r="O378" s="98" t="str">
        <f>IF(IFERROR(VLOOKUP(A378,'14.鋼版樁'!C:D,1,0),"")="","","✔")</f>
        <v/>
      </c>
      <c r="P378" s="98" t="str">
        <f>IF(IFERROR(VLOOKUP(A378,'15.路床 路基高程'!C:D,1,0),"")="","","✔")</f>
        <v/>
      </c>
      <c r="Q378" s="98" t="str">
        <f>IF(IFERROR(VLOOKUP(A378,'16.瀝青混凝土'!C:D,1,0),"")="","","✔")</f>
        <v/>
      </c>
      <c r="R378" s="98" t="str">
        <f>IF(IFERROR(VLOOKUP(A378,'17.景觀鋪面(一)'!C:D,1,0),"")="","","✔")</f>
        <v/>
      </c>
      <c r="S378" s="98" t="str">
        <f>IF(IFERROR(VLOOKUP(A378,'18.景觀鋪面(二)'!C:D,1,0),"")="","","✔")</f>
        <v/>
      </c>
      <c r="T378" s="98" t="str">
        <f>IF(IFERROR(VLOOKUP(A378,'19.預鑄緣石'!C:D,1,0),"")="","","✔")</f>
        <v/>
      </c>
      <c r="U378" s="98" t="str">
        <f>IF(IFERROR(VLOOKUP(A378,'20.鋼構工程吊裝'!C:D,1,0),"")="","","✔")</f>
        <v/>
      </c>
      <c r="V378" s="98" t="str">
        <f>IF(IFERROR(VLOOKUP(A378,'21.鋼構工程塗裝'!C:D,1,0),"")="","","✔")</f>
        <v/>
      </c>
      <c r="W378" s="98" t="str">
        <f>IF(IFERROR(VLOOKUP(A378,'22.排水設施(一)'!C:D,1,0),"")="","","✔")</f>
        <v/>
      </c>
      <c r="X378" s="98" t="str">
        <f>IF(IFERROR(VLOOKUP(A378,'23.排水設施(二)'!C:D,1,0),"")="","","✔")</f>
        <v/>
      </c>
      <c r="Y378" s="98" t="str">
        <f>IF(IFERROR(VLOOKUP(A378,'24.木構造'!C:D,1,0),"")="","","✔")</f>
        <v/>
      </c>
      <c r="Z378" s="98" t="str">
        <f>IF(IFERROR(VLOOKUP(A378,'25.管路'!C:D,1,0),"")="","","✔")</f>
        <v/>
      </c>
      <c r="AA378" s="98" t="str">
        <f>IF(IFERROR(VLOOKUP(A378,'26.植栽(移植)'!C:D,1,0),"")="","","✔")</f>
        <v/>
      </c>
      <c r="AB378" s="98" t="str">
        <f>IF(IFERROR(VLOOKUP(A378,'27.植栽(新植)'!C:D,1,0),"")="","","✔")</f>
        <v/>
      </c>
      <c r="AC378" s="98" t="str">
        <f>IF(IFERROR(VLOOKUP(A378,'28.照明'!C:D,1,0),"")="","","✔")</f>
        <v/>
      </c>
      <c r="AD378" s="98" t="str">
        <f>IF(IFERROR(VLOOKUP(A378,'29.既有橋梁拆除'!C:D,1,0),"")="","","✔")</f>
        <v/>
      </c>
    </row>
    <row r="379" spans="1:30" ht="21.75" customHeight="1" x14ac:dyDescent="0.25">
      <c r="A379" s="99">
        <v>45569</v>
      </c>
      <c r="B379" s="98" t="str">
        <f>IF(IFERROR(VLOOKUP(A379,'1.測量放樣'!C:D,1,0),"")="","","✔")</f>
        <v/>
      </c>
      <c r="C379" s="98" t="str">
        <f>IF(IFERROR(VLOOKUP(A379,'2.土方開挖'!C:D,1,0),"")="","","✔")</f>
        <v/>
      </c>
      <c r="D379" s="98" t="str">
        <f>IF(IFERROR(VLOOKUP(A379,'3.土方回填'!C:D,1,0),"")="","","✔")</f>
        <v/>
      </c>
      <c r="E379" s="98" t="str">
        <f>IF(IFERROR(VLOOKUP(A379,'4.鋼筋'!C:D,1,0),"")="","","✔")</f>
        <v/>
      </c>
      <c r="F379" s="98" t="str">
        <f>IF(IFERROR(VLOOKUP(A379,'5.模板'!C:D,1,0),"")="","","✔")</f>
        <v/>
      </c>
      <c r="G379" s="98" t="str">
        <f>IF(IFERROR(VLOOKUP(A379,'6.混凝土'!C:D,1,0),"")="","","✔")</f>
        <v/>
      </c>
      <c r="H379" s="98" t="str">
        <f>IF(IFERROR(VLOOKUP(A379,'7.植筋'!C:D,1,0),"")="","","✔")</f>
        <v/>
      </c>
      <c r="I379" s="98" t="str">
        <f>IF(IFERROR(VLOOKUP(A379,'8.預力混凝土基樁'!C:D,1,0),"")="","","✔")</f>
        <v/>
      </c>
      <c r="J379" s="98" t="str">
        <f>IF(IFERROR(VLOOKUP(A379,'9.砌塊石護岸'!C:D,1,0),"")="","","✔")</f>
        <v/>
      </c>
      <c r="K379" s="98" t="str">
        <f>IF(IFERROR(VLOOKUP(A379,'10.低水護岸'!C:D,1,0),"")="","","✔")</f>
        <v/>
      </c>
      <c r="L379" s="98" t="str">
        <f>IF(IFERROR(VLOOKUP(A379,'11.固床工'!C:D,1,0),"")="","","✔")</f>
        <v/>
      </c>
      <c r="M379" s="98" t="str">
        <f>IF(IFERROR(VLOOKUP(A379,'12.全套管基樁'!C:D,1,0),"")="","","✔")</f>
        <v/>
      </c>
      <c r="N379" s="98" t="str">
        <f>IF(IFERROR(VLOOKUP(A379,'13.鋼筋混凝土管工程'!C:D,1,0),"")="","","✔")</f>
        <v/>
      </c>
      <c r="O379" s="98" t="str">
        <f>IF(IFERROR(VLOOKUP(A379,'14.鋼版樁'!C:D,1,0),"")="","","✔")</f>
        <v/>
      </c>
      <c r="P379" s="98" t="str">
        <f>IF(IFERROR(VLOOKUP(A379,'15.路床 路基高程'!C:D,1,0),"")="","","✔")</f>
        <v/>
      </c>
      <c r="Q379" s="98" t="str">
        <f>IF(IFERROR(VLOOKUP(A379,'16.瀝青混凝土'!C:D,1,0),"")="","","✔")</f>
        <v/>
      </c>
      <c r="R379" s="98" t="str">
        <f>IF(IFERROR(VLOOKUP(A379,'17.景觀鋪面(一)'!C:D,1,0),"")="","","✔")</f>
        <v/>
      </c>
      <c r="S379" s="98" t="str">
        <f>IF(IFERROR(VLOOKUP(A379,'18.景觀鋪面(二)'!C:D,1,0),"")="","","✔")</f>
        <v/>
      </c>
      <c r="T379" s="98" t="str">
        <f>IF(IFERROR(VLOOKUP(A379,'19.預鑄緣石'!C:D,1,0),"")="","","✔")</f>
        <v/>
      </c>
      <c r="U379" s="98" t="str">
        <f>IF(IFERROR(VLOOKUP(A379,'20.鋼構工程吊裝'!C:D,1,0),"")="","","✔")</f>
        <v/>
      </c>
      <c r="V379" s="98" t="str">
        <f>IF(IFERROR(VLOOKUP(A379,'21.鋼構工程塗裝'!C:D,1,0),"")="","","✔")</f>
        <v/>
      </c>
      <c r="W379" s="98" t="str">
        <f>IF(IFERROR(VLOOKUP(A379,'22.排水設施(一)'!C:D,1,0),"")="","","✔")</f>
        <v/>
      </c>
      <c r="X379" s="98" t="str">
        <f>IF(IFERROR(VLOOKUP(A379,'23.排水設施(二)'!C:D,1,0),"")="","","✔")</f>
        <v/>
      </c>
      <c r="Y379" s="98" t="str">
        <f>IF(IFERROR(VLOOKUP(A379,'24.木構造'!C:D,1,0),"")="","","✔")</f>
        <v/>
      </c>
      <c r="Z379" s="98" t="str">
        <f>IF(IFERROR(VLOOKUP(A379,'25.管路'!C:D,1,0),"")="","","✔")</f>
        <v/>
      </c>
      <c r="AA379" s="98" t="str">
        <f>IF(IFERROR(VLOOKUP(A379,'26.植栽(移植)'!C:D,1,0),"")="","","✔")</f>
        <v/>
      </c>
      <c r="AB379" s="98" t="str">
        <f>IF(IFERROR(VLOOKUP(A379,'27.植栽(新植)'!C:D,1,0),"")="","","✔")</f>
        <v/>
      </c>
      <c r="AC379" s="98" t="str">
        <f>IF(IFERROR(VLOOKUP(A379,'28.照明'!C:D,1,0),"")="","","✔")</f>
        <v/>
      </c>
      <c r="AD379" s="98" t="str">
        <f>IF(IFERROR(VLOOKUP(A379,'29.既有橋梁拆除'!C:D,1,0),"")="","","✔")</f>
        <v/>
      </c>
    </row>
    <row r="380" spans="1:30" ht="21.75" customHeight="1" x14ac:dyDescent="0.25">
      <c r="A380" s="99">
        <v>45570</v>
      </c>
      <c r="B380" s="98" t="str">
        <f>IF(IFERROR(VLOOKUP(A380,'1.測量放樣'!C:D,1,0),"")="","","✔")</f>
        <v/>
      </c>
      <c r="C380" s="98" t="str">
        <f>IF(IFERROR(VLOOKUP(A380,'2.土方開挖'!C:D,1,0),"")="","","✔")</f>
        <v/>
      </c>
      <c r="D380" s="98" t="str">
        <f>IF(IFERROR(VLOOKUP(A380,'3.土方回填'!C:D,1,0),"")="","","✔")</f>
        <v/>
      </c>
      <c r="E380" s="98" t="str">
        <f>IF(IFERROR(VLOOKUP(A380,'4.鋼筋'!C:D,1,0),"")="","","✔")</f>
        <v/>
      </c>
      <c r="F380" s="98" t="str">
        <f>IF(IFERROR(VLOOKUP(A380,'5.模板'!C:D,1,0),"")="","","✔")</f>
        <v/>
      </c>
      <c r="G380" s="98" t="str">
        <f>IF(IFERROR(VLOOKUP(A380,'6.混凝土'!C:D,1,0),"")="","","✔")</f>
        <v/>
      </c>
      <c r="H380" s="98" t="str">
        <f>IF(IFERROR(VLOOKUP(A380,'7.植筋'!C:D,1,0),"")="","","✔")</f>
        <v/>
      </c>
      <c r="I380" s="98" t="str">
        <f>IF(IFERROR(VLOOKUP(A380,'8.預力混凝土基樁'!C:D,1,0),"")="","","✔")</f>
        <v/>
      </c>
      <c r="J380" s="98" t="str">
        <f>IF(IFERROR(VLOOKUP(A380,'9.砌塊石護岸'!C:D,1,0),"")="","","✔")</f>
        <v/>
      </c>
      <c r="K380" s="98" t="str">
        <f>IF(IFERROR(VLOOKUP(A380,'10.低水護岸'!C:D,1,0),"")="","","✔")</f>
        <v/>
      </c>
      <c r="L380" s="98" t="str">
        <f>IF(IFERROR(VLOOKUP(A380,'11.固床工'!C:D,1,0),"")="","","✔")</f>
        <v/>
      </c>
      <c r="M380" s="98" t="str">
        <f>IF(IFERROR(VLOOKUP(A380,'12.全套管基樁'!C:D,1,0),"")="","","✔")</f>
        <v/>
      </c>
      <c r="N380" s="98" t="str">
        <f>IF(IFERROR(VLOOKUP(A380,'13.鋼筋混凝土管工程'!C:D,1,0),"")="","","✔")</f>
        <v/>
      </c>
      <c r="O380" s="98" t="str">
        <f>IF(IFERROR(VLOOKUP(A380,'14.鋼版樁'!C:D,1,0),"")="","","✔")</f>
        <v/>
      </c>
      <c r="P380" s="98" t="str">
        <f>IF(IFERROR(VLOOKUP(A380,'15.路床 路基高程'!C:D,1,0),"")="","","✔")</f>
        <v/>
      </c>
      <c r="Q380" s="98" t="str">
        <f>IF(IFERROR(VLOOKUP(A380,'16.瀝青混凝土'!C:D,1,0),"")="","","✔")</f>
        <v/>
      </c>
      <c r="R380" s="98" t="str">
        <f>IF(IFERROR(VLOOKUP(A380,'17.景觀鋪面(一)'!C:D,1,0),"")="","","✔")</f>
        <v/>
      </c>
      <c r="S380" s="98" t="str">
        <f>IF(IFERROR(VLOOKUP(A380,'18.景觀鋪面(二)'!C:D,1,0),"")="","","✔")</f>
        <v/>
      </c>
      <c r="T380" s="98" t="str">
        <f>IF(IFERROR(VLOOKUP(A380,'19.預鑄緣石'!C:D,1,0),"")="","","✔")</f>
        <v/>
      </c>
      <c r="U380" s="98" t="str">
        <f>IF(IFERROR(VLOOKUP(A380,'20.鋼構工程吊裝'!C:D,1,0),"")="","","✔")</f>
        <v/>
      </c>
      <c r="V380" s="98" t="str">
        <f>IF(IFERROR(VLOOKUP(A380,'21.鋼構工程塗裝'!C:D,1,0),"")="","","✔")</f>
        <v/>
      </c>
      <c r="W380" s="98" t="str">
        <f>IF(IFERROR(VLOOKUP(A380,'22.排水設施(一)'!C:D,1,0),"")="","","✔")</f>
        <v/>
      </c>
      <c r="X380" s="98" t="str">
        <f>IF(IFERROR(VLOOKUP(A380,'23.排水設施(二)'!C:D,1,0),"")="","","✔")</f>
        <v/>
      </c>
      <c r="Y380" s="98" t="str">
        <f>IF(IFERROR(VLOOKUP(A380,'24.木構造'!C:D,1,0),"")="","","✔")</f>
        <v/>
      </c>
      <c r="Z380" s="98" t="str">
        <f>IF(IFERROR(VLOOKUP(A380,'25.管路'!C:D,1,0),"")="","","✔")</f>
        <v/>
      </c>
      <c r="AA380" s="98" t="str">
        <f>IF(IFERROR(VLOOKUP(A380,'26.植栽(移植)'!C:D,1,0),"")="","","✔")</f>
        <v/>
      </c>
      <c r="AB380" s="98" t="str">
        <f>IF(IFERROR(VLOOKUP(A380,'27.植栽(新植)'!C:D,1,0),"")="","","✔")</f>
        <v/>
      </c>
      <c r="AC380" s="98" t="str">
        <f>IF(IFERROR(VLOOKUP(A380,'28.照明'!C:D,1,0),"")="","","✔")</f>
        <v/>
      </c>
      <c r="AD380" s="98" t="str">
        <f>IF(IFERROR(VLOOKUP(A380,'29.既有橋梁拆除'!C:D,1,0),"")="","","✔")</f>
        <v/>
      </c>
    </row>
    <row r="381" spans="1:30" ht="21.75" customHeight="1" x14ac:dyDescent="0.25">
      <c r="A381" s="99">
        <v>45571</v>
      </c>
      <c r="B381" s="98" t="str">
        <f>IF(IFERROR(VLOOKUP(A381,'1.測量放樣'!C:D,1,0),"")="","","✔")</f>
        <v/>
      </c>
      <c r="C381" s="98" t="str">
        <f>IF(IFERROR(VLOOKUP(A381,'2.土方開挖'!C:D,1,0),"")="","","✔")</f>
        <v/>
      </c>
      <c r="D381" s="98" t="str">
        <f>IF(IFERROR(VLOOKUP(A381,'3.土方回填'!C:D,1,0),"")="","","✔")</f>
        <v/>
      </c>
      <c r="E381" s="98" t="str">
        <f>IF(IFERROR(VLOOKUP(A381,'4.鋼筋'!C:D,1,0),"")="","","✔")</f>
        <v/>
      </c>
      <c r="F381" s="98" t="str">
        <f>IF(IFERROR(VLOOKUP(A381,'5.模板'!C:D,1,0),"")="","","✔")</f>
        <v/>
      </c>
      <c r="G381" s="98" t="str">
        <f>IF(IFERROR(VLOOKUP(A381,'6.混凝土'!C:D,1,0),"")="","","✔")</f>
        <v/>
      </c>
      <c r="H381" s="98" t="str">
        <f>IF(IFERROR(VLOOKUP(A381,'7.植筋'!C:D,1,0),"")="","","✔")</f>
        <v/>
      </c>
      <c r="I381" s="98" t="str">
        <f>IF(IFERROR(VLOOKUP(A381,'8.預力混凝土基樁'!C:D,1,0),"")="","","✔")</f>
        <v/>
      </c>
      <c r="J381" s="98" t="str">
        <f>IF(IFERROR(VLOOKUP(A381,'9.砌塊石護岸'!C:D,1,0),"")="","","✔")</f>
        <v/>
      </c>
      <c r="K381" s="98" t="str">
        <f>IF(IFERROR(VLOOKUP(A381,'10.低水護岸'!C:D,1,0),"")="","","✔")</f>
        <v/>
      </c>
      <c r="L381" s="98" t="str">
        <f>IF(IFERROR(VLOOKUP(A381,'11.固床工'!C:D,1,0),"")="","","✔")</f>
        <v/>
      </c>
      <c r="M381" s="98" t="str">
        <f>IF(IFERROR(VLOOKUP(A381,'12.全套管基樁'!C:D,1,0),"")="","","✔")</f>
        <v/>
      </c>
      <c r="N381" s="98" t="str">
        <f>IF(IFERROR(VLOOKUP(A381,'13.鋼筋混凝土管工程'!C:D,1,0),"")="","","✔")</f>
        <v/>
      </c>
      <c r="O381" s="98" t="str">
        <f>IF(IFERROR(VLOOKUP(A381,'14.鋼版樁'!C:D,1,0),"")="","","✔")</f>
        <v/>
      </c>
      <c r="P381" s="98" t="str">
        <f>IF(IFERROR(VLOOKUP(A381,'15.路床 路基高程'!C:D,1,0),"")="","","✔")</f>
        <v/>
      </c>
      <c r="Q381" s="98" t="str">
        <f>IF(IFERROR(VLOOKUP(A381,'16.瀝青混凝土'!C:D,1,0),"")="","","✔")</f>
        <v/>
      </c>
      <c r="R381" s="98" t="str">
        <f>IF(IFERROR(VLOOKUP(A381,'17.景觀鋪面(一)'!C:D,1,0),"")="","","✔")</f>
        <v/>
      </c>
      <c r="S381" s="98" t="str">
        <f>IF(IFERROR(VLOOKUP(A381,'18.景觀鋪面(二)'!C:D,1,0),"")="","","✔")</f>
        <v/>
      </c>
      <c r="T381" s="98" t="str">
        <f>IF(IFERROR(VLOOKUP(A381,'19.預鑄緣石'!C:D,1,0),"")="","","✔")</f>
        <v/>
      </c>
      <c r="U381" s="98" t="str">
        <f>IF(IFERROR(VLOOKUP(A381,'20.鋼構工程吊裝'!C:D,1,0),"")="","","✔")</f>
        <v/>
      </c>
      <c r="V381" s="98" t="str">
        <f>IF(IFERROR(VLOOKUP(A381,'21.鋼構工程塗裝'!C:D,1,0),"")="","","✔")</f>
        <v/>
      </c>
      <c r="W381" s="98" t="str">
        <f>IF(IFERROR(VLOOKUP(A381,'22.排水設施(一)'!C:D,1,0),"")="","","✔")</f>
        <v/>
      </c>
      <c r="X381" s="98" t="str">
        <f>IF(IFERROR(VLOOKUP(A381,'23.排水設施(二)'!C:D,1,0),"")="","","✔")</f>
        <v/>
      </c>
      <c r="Y381" s="98" t="str">
        <f>IF(IFERROR(VLOOKUP(A381,'24.木構造'!C:D,1,0),"")="","","✔")</f>
        <v/>
      </c>
      <c r="Z381" s="98" t="str">
        <f>IF(IFERROR(VLOOKUP(A381,'25.管路'!C:D,1,0),"")="","","✔")</f>
        <v/>
      </c>
      <c r="AA381" s="98" t="str">
        <f>IF(IFERROR(VLOOKUP(A381,'26.植栽(移植)'!C:D,1,0),"")="","","✔")</f>
        <v/>
      </c>
      <c r="AB381" s="98" t="str">
        <f>IF(IFERROR(VLOOKUP(A381,'27.植栽(新植)'!C:D,1,0),"")="","","✔")</f>
        <v/>
      </c>
      <c r="AC381" s="98" t="str">
        <f>IF(IFERROR(VLOOKUP(A381,'28.照明'!C:D,1,0),"")="","","✔")</f>
        <v/>
      </c>
      <c r="AD381" s="98" t="str">
        <f>IF(IFERROR(VLOOKUP(A381,'29.既有橋梁拆除'!C:D,1,0),"")="","","✔")</f>
        <v/>
      </c>
    </row>
    <row r="382" spans="1:30" ht="21.75" customHeight="1" x14ac:dyDescent="0.25">
      <c r="A382" s="99">
        <v>45572</v>
      </c>
      <c r="B382" s="98" t="str">
        <f>IF(IFERROR(VLOOKUP(A382,'1.測量放樣'!C:D,1,0),"")="","","✔")</f>
        <v/>
      </c>
      <c r="C382" s="98" t="str">
        <f>IF(IFERROR(VLOOKUP(A382,'2.土方開挖'!C:D,1,0),"")="","","✔")</f>
        <v/>
      </c>
      <c r="D382" s="98" t="str">
        <f>IF(IFERROR(VLOOKUP(A382,'3.土方回填'!C:D,1,0),"")="","","✔")</f>
        <v/>
      </c>
      <c r="E382" s="98" t="str">
        <f>IF(IFERROR(VLOOKUP(A382,'4.鋼筋'!C:D,1,0),"")="","","✔")</f>
        <v/>
      </c>
      <c r="F382" s="98" t="str">
        <f>IF(IFERROR(VLOOKUP(A382,'5.模板'!C:D,1,0),"")="","","✔")</f>
        <v/>
      </c>
      <c r="G382" s="98" t="str">
        <f>IF(IFERROR(VLOOKUP(A382,'6.混凝土'!C:D,1,0),"")="","","✔")</f>
        <v/>
      </c>
      <c r="H382" s="98" t="str">
        <f>IF(IFERROR(VLOOKUP(A382,'7.植筋'!C:D,1,0),"")="","","✔")</f>
        <v/>
      </c>
      <c r="I382" s="98" t="str">
        <f>IF(IFERROR(VLOOKUP(A382,'8.預力混凝土基樁'!C:D,1,0),"")="","","✔")</f>
        <v/>
      </c>
      <c r="J382" s="98" t="str">
        <f>IF(IFERROR(VLOOKUP(A382,'9.砌塊石護岸'!C:D,1,0),"")="","","✔")</f>
        <v/>
      </c>
      <c r="K382" s="98" t="str">
        <f>IF(IFERROR(VLOOKUP(A382,'10.低水護岸'!C:D,1,0),"")="","","✔")</f>
        <v/>
      </c>
      <c r="L382" s="98" t="str">
        <f>IF(IFERROR(VLOOKUP(A382,'11.固床工'!C:D,1,0),"")="","","✔")</f>
        <v/>
      </c>
      <c r="M382" s="98" t="str">
        <f>IF(IFERROR(VLOOKUP(A382,'12.全套管基樁'!C:D,1,0),"")="","","✔")</f>
        <v/>
      </c>
      <c r="N382" s="98" t="str">
        <f>IF(IFERROR(VLOOKUP(A382,'13.鋼筋混凝土管工程'!C:D,1,0),"")="","","✔")</f>
        <v/>
      </c>
      <c r="O382" s="98" t="str">
        <f>IF(IFERROR(VLOOKUP(A382,'14.鋼版樁'!C:D,1,0),"")="","","✔")</f>
        <v/>
      </c>
      <c r="P382" s="98" t="str">
        <f>IF(IFERROR(VLOOKUP(A382,'15.路床 路基高程'!C:D,1,0),"")="","","✔")</f>
        <v/>
      </c>
      <c r="Q382" s="98" t="str">
        <f>IF(IFERROR(VLOOKUP(A382,'16.瀝青混凝土'!C:D,1,0),"")="","","✔")</f>
        <v/>
      </c>
      <c r="R382" s="98" t="str">
        <f>IF(IFERROR(VLOOKUP(A382,'17.景觀鋪面(一)'!C:D,1,0),"")="","","✔")</f>
        <v/>
      </c>
      <c r="S382" s="98" t="str">
        <f>IF(IFERROR(VLOOKUP(A382,'18.景觀鋪面(二)'!C:D,1,0),"")="","","✔")</f>
        <v/>
      </c>
      <c r="T382" s="98" t="str">
        <f>IF(IFERROR(VLOOKUP(A382,'19.預鑄緣石'!C:D,1,0),"")="","","✔")</f>
        <v/>
      </c>
      <c r="U382" s="98" t="str">
        <f>IF(IFERROR(VLOOKUP(A382,'20.鋼構工程吊裝'!C:D,1,0),"")="","","✔")</f>
        <v/>
      </c>
      <c r="V382" s="98" t="str">
        <f>IF(IFERROR(VLOOKUP(A382,'21.鋼構工程塗裝'!C:D,1,0),"")="","","✔")</f>
        <v/>
      </c>
      <c r="W382" s="98" t="str">
        <f>IF(IFERROR(VLOOKUP(A382,'22.排水設施(一)'!C:D,1,0),"")="","","✔")</f>
        <v/>
      </c>
      <c r="X382" s="98" t="str">
        <f>IF(IFERROR(VLOOKUP(A382,'23.排水設施(二)'!C:D,1,0),"")="","","✔")</f>
        <v/>
      </c>
      <c r="Y382" s="98" t="str">
        <f>IF(IFERROR(VLOOKUP(A382,'24.木構造'!C:D,1,0),"")="","","✔")</f>
        <v/>
      </c>
      <c r="Z382" s="98" t="str">
        <f>IF(IFERROR(VLOOKUP(A382,'25.管路'!C:D,1,0),"")="","","✔")</f>
        <v/>
      </c>
      <c r="AA382" s="98" t="str">
        <f>IF(IFERROR(VLOOKUP(A382,'26.植栽(移植)'!C:D,1,0),"")="","","✔")</f>
        <v/>
      </c>
      <c r="AB382" s="98" t="str">
        <f>IF(IFERROR(VLOOKUP(A382,'27.植栽(新植)'!C:D,1,0),"")="","","✔")</f>
        <v/>
      </c>
      <c r="AC382" s="98" t="str">
        <f>IF(IFERROR(VLOOKUP(A382,'28.照明'!C:D,1,0),"")="","","✔")</f>
        <v/>
      </c>
      <c r="AD382" s="98" t="str">
        <f>IF(IFERROR(VLOOKUP(A382,'29.既有橋梁拆除'!C:D,1,0),"")="","","✔")</f>
        <v/>
      </c>
    </row>
    <row r="383" spans="1:30" ht="21.75" customHeight="1" x14ac:dyDescent="0.25">
      <c r="A383" s="99">
        <v>45573</v>
      </c>
      <c r="B383" s="98" t="str">
        <f>IF(IFERROR(VLOOKUP(A383,'1.測量放樣'!C:D,1,0),"")="","","✔")</f>
        <v/>
      </c>
      <c r="C383" s="98" t="str">
        <f>IF(IFERROR(VLOOKUP(A383,'2.土方開挖'!C:D,1,0),"")="","","✔")</f>
        <v/>
      </c>
      <c r="D383" s="98" t="str">
        <f>IF(IFERROR(VLOOKUP(A383,'3.土方回填'!C:D,1,0),"")="","","✔")</f>
        <v/>
      </c>
      <c r="E383" s="98" t="str">
        <f>IF(IFERROR(VLOOKUP(A383,'4.鋼筋'!C:D,1,0),"")="","","✔")</f>
        <v/>
      </c>
      <c r="F383" s="98" t="str">
        <f>IF(IFERROR(VLOOKUP(A383,'5.模板'!C:D,1,0),"")="","","✔")</f>
        <v/>
      </c>
      <c r="G383" s="98" t="str">
        <f>IF(IFERROR(VLOOKUP(A383,'6.混凝土'!C:D,1,0),"")="","","✔")</f>
        <v/>
      </c>
      <c r="H383" s="98" t="str">
        <f>IF(IFERROR(VLOOKUP(A383,'7.植筋'!C:D,1,0),"")="","","✔")</f>
        <v/>
      </c>
      <c r="I383" s="98" t="str">
        <f>IF(IFERROR(VLOOKUP(A383,'8.預力混凝土基樁'!C:D,1,0),"")="","","✔")</f>
        <v/>
      </c>
      <c r="J383" s="98" t="str">
        <f>IF(IFERROR(VLOOKUP(A383,'9.砌塊石護岸'!C:D,1,0),"")="","","✔")</f>
        <v/>
      </c>
      <c r="K383" s="98" t="str">
        <f>IF(IFERROR(VLOOKUP(A383,'10.低水護岸'!C:D,1,0),"")="","","✔")</f>
        <v/>
      </c>
      <c r="L383" s="98" t="str">
        <f>IF(IFERROR(VLOOKUP(A383,'11.固床工'!C:D,1,0),"")="","","✔")</f>
        <v/>
      </c>
      <c r="M383" s="98" t="str">
        <f>IF(IFERROR(VLOOKUP(A383,'12.全套管基樁'!C:D,1,0),"")="","","✔")</f>
        <v/>
      </c>
      <c r="N383" s="98" t="str">
        <f>IF(IFERROR(VLOOKUP(A383,'13.鋼筋混凝土管工程'!C:D,1,0),"")="","","✔")</f>
        <v/>
      </c>
      <c r="O383" s="98" t="str">
        <f>IF(IFERROR(VLOOKUP(A383,'14.鋼版樁'!C:D,1,0),"")="","","✔")</f>
        <v/>
      </c>
      <c r="P383" s="98" t="str">
        <f>IF(IFERROR(VLOOKUP(A383,'15.路床 路基高程'!C:D,1,0),"")="","","✔")</f>
        <v/>
      </c>
      <c r="Q383" s="98" t="str">
        <f>IF(IFERROR(VLOOKUP(A383,'16.瀝青混凝土'!C:D,1,0),"")="","","✔")</f>
        <v/>
      </c>
      <c r="R383" s="98" t="str">
        <f>IF(IFERROR(VLOOKUP(A383,'17.景觀鋪面(一)'!C:D,1,0),"")="","","✔")</f>
        <v/>
      </c>
      <c r="S383" s="98" t="str">
        <f>IF(IFERROR(VLOOKUP(A383,'18.景觀鋪面(二)'!C:D,1,0),"")="","","✔")</f>
        <v/>
      </c>
      <c r="T383" s="98" t="str">
        <f>IF(IFERROR(VLOOKUP(A383,'19.預鑄緣石'!C:D,1,0),"")="","","✔")</f>
        <v/>
      </c>
      <c r="U383" s="98" t="str">
        <f>IF(IFERROR(VLOOKUP(A383,'20.鋼構工程吊裝'!C:D,1,0),"")="","","✔")</f>
        <v/>
      </c>
      <c r="V383" s="98" t="str">
        <f>IF(IFERROR(VLOOKUP(A383,'21.鋼構工程塗裝'!C:D,1,0),"")="","","✔")</f>
        <v/>
      </c>
      <c r="W383" s="98" t="str">
        <f>IF(IFERROR(VLOOKUP(A383,'22.排水設施(一)'!C:D,1,0),"")="","","✔")</f>
        <v/>
      </c>
      <c r="X383" s="98" t="str">
        <f>IF(IFERROR(VLOOKUP(A383,'23.排水設施(二)'!C:D,1,0),"")="","","✔")</f>
        <v/>
      </c>
      <c r="Y383" s="98" t="str">
        <f>IF(IFERROR(VLOOKUP(A383,'24.木構造'!C:D,1,0),"")="","","✔")</f>
        <v/>
      </c>
      <c r="Z383" s="98" t="str">
        <f>IF(IFERROR(VLOOKUP(A383,'25.管路'!C:D,1,0),"")="","","✔")</f>
        <v/>
      </c>
      <c r="AA383" s="98" t="str">
        <f>IF(IFERROR(VLOOKUP(A383,'26.植栽(移植)'!C:D,1,0),"")="","","✔")</f>
        <v/>
      </c>
      <c r="AB383" s="98" t="str">
        <f>IF(IFERROR(VLOOKUP(A383,'27.植栽(新植)'!C:D,1,0),"")="","","✔")</f>
        <v/>
      </c>
      <c r="AC383" s="98" t="str">
        <f>IF(IFERROR(VLOOKUP(A383,'28.照明'!C:D,1,0),"")="","","✔")</f>
        <v/>
      </c>
      <c r="AD383" s="98" t="str">
        <f>IF(IFERROR(VLOOKUP(A383,'29.既有橋梁拆除'!C:D,1,0),"")="","","✔")</f>
        <v/>
      </c>
    </row>
    <row r="384" spans="1:30" ht="21.75" customHeight="1" x14ac:dyDescent="0.25">
      <c r="A384" s="99">
        <v>45574</v>
      </c>
      <c r="B384" s="98" t="str">
        <f>IF(IFERROR(VLOOKUP(A384,'1.測量放樣'!C:D,1,0),"")="","","✔")</f>
        <v/>
      </c>
      <c r="C384" s="98" t="str">
        <f>IF(IFERROR(VLOOKUP(A384,'2.土方開挖'!C:D,1,0),"")="","","✔")</f>
        <v/>
      </c>
      <c r="D384" s="98" t="str">
        <f>IF(IFERROR(VLOOKUP(A384,'3.土方回填'!C:D,1,0),"")="","","✔")</f>
        <v/>
      </c>
      <c r="E384" s="98" t="str">
        <f>IF(IFERROR(VLOOKUP(A384,'4.鋼筋'!C:D,1,0),"")="","","✔")</f>
        <v/>
      </c>
      <c r="F384" s="98" t="str">
        <f>IF(IFERROR(VLOOKUP(A384,'5.模板'!C:D,1,0),"")="","","✔")</f>
        <v/>
      </c>
      <c r="G384" s="98" t="str">
        <f>IF(IFERROR(VLOOKUP(A384,'6.混凝土'!C:D,1,0),"")="","","✔")</f>
        <v/>
      </c>
      <c r="H384" s="98" t="str">
        <f>IF(IFERROR(VLOOKUP(A384,'7.植筋'!C:D,1,0),"")="","","✔")</f>
        <v/>
      </c>
      <c r="I384" s="98" t="str">
        <f>IF(IFERROR(VLOOKUP(A384,'8.預力混凝土基樁'!C:D,1,0),"")="","","✔")</f>
        <v/>
      </c>
      <c r="J384" s="98" t="str">
        <f>IF(IFERROR(VLOOKUP(A384,'9.砌塊石護岸'!C:D,1,0),"")="","","✔")</f>
        <v/>
      </c>
      <c r="K384" s="98" t="str">
        <f>IF(IFERROR(VLOOKUP(A384,'10.低水護岸'!C:D,1,0),"")="","","✔")</f>
        <v/>
      </c>
      <c r="L384" s="98" t="str">
        <f>IF(IFERROR(VLOOKUP(A384,'11.固床工'!C:D,1,0),"")="","","✔")</f>
        <v/>
      </c>
      <c r="M384" s="98" t="str">
        <f>IF(IFERROR(VLOOKUP(A384,'12.全套管基樁'!C:D,1,0),"")="","","✔")</f>
        <v/>
      </c>
      <c r="N384" s="98" t="str">
        <f>IF(IFERROR(VLOOKUP(A384,'13.鋼筋混凝土管工程'!C:D,1,0),"")="","","✔")</f>
        <v/>
      </c>
      <c r="O384" s="98" t="str">
        <f>IF(IFERROR(VLOOKUP(A384,'14.鋼版樁'!C:D,1,0),"")="","","✔")</f>
        <v/>
      </c>
      <c r="P384" s="98" t="str">
        <f>IF(IFERROR(VLOOKUP(A384,'15.路床 路基高程'!C:D,1,0),"")="","","✔")</f>
        <v/>
      </c>
      <c r="Q384" s="98" t="str">
        <f>IF(IFERROR(VLOOKUP(A384,'16.瀝青混凝土'!C:D,1,0),"")="","","✔")</f>
        <v/>
      </c>
      <c r="R384" s="98" t="str">
        <f>IF(IFERROR(VLOOKUP(A384,'17.景觀鋪面(一)'!C:D,1,0),"")="","","✔")</f>
        <v/>
      </c>
      <c r="S384" s="98" t="str">
        <f>IF(IFERROR(VLOOKUP(A384,'18.景觀鋪面(二)'!C:D,1,0),"")="","","✔")</f>
        <v/>
      </c>
      <c r="T384" s="98" t="str">
        <f>IF(IFERROR(VLOOKUP(A384,'19.預鑄緣石'!C:D,1,0),"")="","","✔")</f>
        <v/>
      </c>
      <c r="U384" s="98" t="str">
        <f>IF(IFERROR(VLOOKUP(A384,'20.鋼構工程吊裝'!C:D,1,0),"")="","","✔")</f>
        <v/>
      </c>
      <c r="V384" s="98" t="str">
        <f>IF(IFERROR(VLOOKUP(A384,'21.鋼構工程塗裝'!C:D,1,0),"")="","","✔")</f>
        <v/>
      </c>
      <c r="W384" s="98" t="str">
        <f>IF(IFERROR(VLOOKUP(A384,'22.排水設施(一)'!C:D,1,0),"")="","","✔")</f>
        <v/>
      </c>
      <c r="X384" s="98" t="str">
        <f>IF(IFERROR(VLOOKUP(A384,'23.排水設施(二)'!C:D,1,0),"")="","","✔")</f>
        <v/>
      </c>
      <c r="Y384" s="98" t="str">
        <f>IF(IFERROR(VLOOKUP(A384,'24.木構造'!C:D,1,0),"")="","","✔")</f>
        <v/>
      </c>
      <c r="Z384" s="98" t="str">
        <f>IF(IFERROR(VLOOKUP(A384,'25.管路'!C:D,1,0),"")="","","✔")</f>
        <v/>
      </c>
      <c r="AA384" s="98" t="str">
        <f>IF(IFERROR(VLOOKUP(A384,'26.植栽(移植)'!C:D,1,0),"")="","","✔")</f>
        <v/>
      </c>
      <c r="AB384" s="98" t="str">
        <f>IF(IFERROR(VLOOKUP(A384,'27.植栽(新植)'!C:D,1,0),"")="","","✔")</f>
        <v/>
      </c>
      <c r="AC384" s="98" t="str">
        <f>IF(IFERROR(VLOOKUP(A384,'28.照明'!C:D,1,0),"")="","","✔")</f>
        <v/>
      </c>
      <c r="AD384" s="98" t="str">
        <f>IF(IFERROR(VLOOKUP(A384,'29.既有橋梁拆除'!C:D,1,0),"")="","","✔")</f>
        <v/>
      </c>
    </row>
    <row r="385" spans="1:30" ht="21.75" customHeight="1" x14ac:dyDescent="0.25">
      <c r="A385" s="99">
        <v>45575</v>
      </c>
      <c r="B385" s="98" t="str">
        <f>IF(IFERROR(VLOOKUP(A385,'1.測量放樣'!C:D,1,0),"")="","","✔")</f>
        <v/>
      </c>
      <c r="C385" s="98" t="str">
        <f>IF(IFERROR(VLOOKUP(A385,'2.土方開挖'!C:D,1,0),"")="","","✔")</f>
        <v/>
      </c>
      <c r="D385" s="98" t="str">
        <f>IF(IFERROR(VLOOKUP(A385,'3.土方回填'!C:D,1,0),"")="","","✔")</f>
        <v/>
      </c>
      <c r="E385" s="98" t="str">
        <f>IF(IFERROR(VLOOKUP(A385,'4.鋼筋'!C:D,1,0),"")="","","✔")</f>
        <v/>
      </c>
      <c r="F385" s="98" t="str">
        <f>IF(IFERROR(VLOOKUP(A385,'5.模板'!C:D,1,0),"")="","","✔")</f>
        <v/>
      </c>
      <c r="G385" s="98" t="str">
        <f>IF(IFERROR(VLOOKUP(A385,'6.混凝土'!C:D,1,0),"")="","","✔")</f>
        <v/>
      </c>
      <c r="H385" s="98" t="str">
        <f>IF(IFERROR(VLOOKUP(A385,'7.植筋'!C:D,1,0),"")="","","✔")</f>
        <v/>
      </c>
      <c r="I385" s="98" t="str">
        <f>IF(IFERROR(VLOOKUP(A385,'8.預力混凝土基樁'!C:D,1,0),"")="","","✔")</f>
        <v/>
      </c>
      <c r="J385" s="98" t="str">
        <f>IF(IFERROR(VLOOKUP(A385,'9.砌塊石護岸'!C:D,1,0),"")="","","✔")</f>
        <v/>
      </c>
      <c r="K385" s="98" t="str">
        <f>IF(IFERROR(VLOOKUP(A385,'10.低水護岸'!C:D,1,0),"")="","","✔")</f>
        <v/>
      </c>
      <c r="L385" s="98" t="str">
        <f>IF(IFERROR(VLOOKUP(A385,'11.固床工'!C:D,1,0),"")="","","✔")</f>
        <v/>
      </c>
      <c r="M385" s="98" t="str">
        <f>IF(IFERROR(VLOOKUP(A385,'12.全套管基樁'!C:D,1,0),"")="","","✔")</f>
        <v/>
      </c>
      <c r="N385" s="98" t="str">
        <f>IF(IFERROR(VLOOKUP(A385,'13.鋼筋混凝土管工程'!C:D,1,0),"")="","","✔")</f>
        <v/>
      </c>
      <c r="O385" s="98" t="str">
        <f>IF(IFERROR(VLOOKUP(A385,'14.鋼版樁'!C:D,1,0),"")="","","✔")</f>
        <v/>
      </c>
      <c r="P385" s="98" t="str">
        <f>IF(IFERROR(VLOOKUP(A385,'15.路床 路基高程'!C:D,1,0),"")="","","✔")</f>
        <v/>
      </c>
      <c r="Q385" s="98" t="str">
        <f>IF(IFERROR(VLOOKUP(A385,'16.瀝青混凝土'!C:D,1,0),"")="","","✔")</f>
        <v/>
      </c>
      <c r="R385" s="98" t="str">
        <f>IF(IFERROR(VLOOKUP(A385,'17.景觀鋪面(一)'!C:D,1,0),"")="","","✔")</f>
        <v/>
      </c>
      <c r="S385" s="98" t="str">
        <f>IF(IFERROR(VLOOKUP(A385,'18.景觀鋪面(二)'!C:D,1,0),"")="","","✔")</f>
        <v/>
      </c>
      <c r="T385" s="98" t="str">
        <f>IF(IFERROR(VLOOKUP(A385,'19.預鑄緣石'!C:D,1,0),"")="","","✔")</f>
        <v/>
      </c>
      <c r="U385" s="98" t="str">
        <f>IF(IFERROR(VLOOKUP(A385,'20.鋼構工程吊裝'!C:D,1,0),"")="","","✔")</f>
        <v/>
      </c>
      <c r="V385" s="98" t="str">
        <f>IF(IFERROR(VLOOKUP(A385,'21.鋼構工程塗裝'!C:D,1,0),"")="","","✔")</f>
        <v/>
      </c>
      <c r="W385" s="98" t="str">
        <f>IF(IFERROR(VLOOKUP(A385,'22.排水設施(一)'!C:D,1,0),"")="","","✔")</f>
        <v/>
      </c>
      <c r="X385" s="98" t="str">
        <f>IF(IFERROR(VLOOKUP(A385,'23.排水設施(二)'!C:D,1,0),"")="","","✔")</f>
        <v/>
      </c>
      <c r="Y385" s="98" t="str">
        <f>IF(IFERROR(VLOOKUP(A385,'24.木構造'!C:D,1,0),"")="","","✔")</f>
        <v/>
      </c>
      <c r="Z385" s="98" t="str">
        <f>IF(IFERROR(VLOOKUP(A385,'25.管路'!C:D,1,0),"")="","","✔")</f>
        <v/>
      </c>
      <c r="AA385" s="98" t="str">
        <f>IF(IFERROR(VLOOKUP(A385,'26.植栽(移植)'!C:D,1,0),"")="","","✔")</f>
        <v/>
      </c>
      <c r="AB385" s="98" t="str">
        <f>IF(IFERROR(VLOOKUP(A385,'27.植栽(新植)'!C:D,1,0),"")="","","✔")</f>
        <v/>
      </c>
      <c r="AC385" s="98" t="str">
        <f>IF(IFERROR(VLOOKUP(A385,'28.照明'!C:D,1,0),"")="","","✔")</f>
        <v/>
      </c>
      <c r="AD385" s="98" t="str">
        <f>IF(IFERROR(VLOOKUP(A385,'29.既有橋梁拆除'!C:D,1,0),"")="","","✔")</f>
        <v/>
      </c>
    </row>
    <row r="386" spans="1:30" ht="21.75" customHeight="1" x14ac:dyDescent="0.25">
      <c r="A386" s="99">
        <v>45576</v>
      </c>
      <c r="B386" s="98" t="str">
        <f>IF(IFERROR(VLOOKUP(A386,'1.測量放樣'!C:D,1,0),"")="","","✔")</f>
        <v/>
      </c>
      <c r="C386" s="98" t="str">
        <f>IF(IFERROR(VLOOKUP(A386,'2.土方開挖'!C:D,1,0),"")="","","✔")</f>
        <v/>
      </c>
      <c r="D386" s="98" t="str">
        <f>IF(IFERROR(VLOOKUP(A386,'3.土方回填'!C:D,1,0),"")="","","✔")</f>
        <v/>
      </c>
      <c r="E386" s="98" t="str">
        <f>IF(IFERROR(VLOOKUP(A386,'4.鋼筋'!C:D,1,0),"")="","","✔")</f>
        <v/>
      </c>
      <c r="F386" s="98" t="str">
        <f>IF(IFERROR(VLOOKUP(A386,'5.模板'!C:D,1,0),"")="","","✔")</f>
        <v/>
      </c>
      <c r="G386" s="98" t="str">
        <f>IF(IFERROR(VLOOKUP(A386,'6.混凝土'!C:D,1,0),"")="","","✔")</f>
        <v/>
      </c>
      <c r="H386" s="98" t="str">
        <f>IF(IFERROR(VLOOKUP(A386,'7.植筋'!C:D,1,0),"")="","","✔")</f>
        <v/>
      </c>
      <c r="I386" s="98" t="str">
        <f>IF(IFERROR(VLOOKUP(A386,'8.預力混凝土基樁'!C:D,1,0),"")="","","✔")</f>
        <v/>
      </c>
      <c r="J386" s="98" t="str">
        <f>IF(IFERROR(VLOOKUP(A386,'9.砌塊石護岸'!C:D,1,0),"")="","","✔")</f>
        <v/>
      </c>
      <c r="K386" s="98" t="str">
        <f>IF(IFERROR(VLOOKUP(A386,'10.低水護岸'!C:D,1,0),"")="","","✔")</f>
        <v/>
      </c>
      <c r="L386" s="98" t="str">
        <f>IF(IFERROR(VLOOKUP(A386,'11.固床工'!C:D,1,0),"")="","","✔")</f>
        <v/>
      </c>
      <c r="M386" s="98" t="str">
        <f>IF(IFERROR(VLOOKUP(A386,'12.全套管基樁'!C:D,1,0),"")="","","✔")</f>
        <v/>
      </c>
      <c r="N386" s="98" t="str">
        <f>IF(IFERROR(VLOOKUP(A386,'13.鋼筋混凝土管工程'!C:D,1,0),"")="","","✔")</f>
        <v/>
      </c>
      <c r="O386" s="98" t="str">
        <f>IF(IFERROR(VLOOKUP(A386,'14.鋼版樁'!C:D,1,0),"")="","","✔")</f>
        <v/>
      </c>
      <c r="P386" s="98" t="str">
        <f>IF(IFERROR(VLOOKUP(A386,'15.路床 路基高程'!C:D,1,0),"")="","","✔")</f>
        <v/>
      </c>
      <c r="Q386" s="98" t="str">
        <f>IF(IFERROR(VLOOKUP(A386,'16.瀝青混凝土'!C:D,1,0),"")="","","✔")</f>
        <v/>
      </c>
      <c r="R386" s="98" t="str">
        <f>IF(IFERROR(VLOOKUP(A386,'17.景觀鋪面(一)'!C:D,1,0),"")="","","✔")</f>
        <v/>
      </c>
      <c r="S386" s="98" t="str">
        <f>IF(IFERROR(VLOOKUP(A386,'18.景觀鋪面(二)'!C:D,1,0),"")="","","✔")</f>
        <v/>
      </c>
      <c r="T386" s="98" t="str">
        <f>IF(IFERROR(VLOOKUP(A386,'19.預鑄緣石'!C:D,1,0),"")="","","✔")</f>
        <v/>
      </c>
      <c r="U386" s="98" t="str">
        <f>IF(IFERROR(VLOOKUP(A386,'20.鋼構工程吊裝'!C:D,1,0),"")="","","✔")</f>
        <v/>
      </c>
      <c r="V386" s="98" t="str">
        <f>IF(IFERROR(VLOOKUP(A386,'21.鋼構工程塗裝'!C:D,1,0),"")="","","✔")</f>
        <v/>
      </c>
      <c r="W386" s="98" t="str">
        <f>IF(IFERROR(VLOOKUP(A386,'22.排水設施(一)'!C:D,1,0),"")="","","✔")</f>
        <v/>
      </c>
      <c r="X386" s="98" t="str">
        <f>IF(IFERROR(VLOOKUP(A386,'23.排水設施(二)'!C:D,1,0),"")="","","✔")</f>
        <v/>
      </c>
      <c r="Y386" s="98" t="str">
        <f>IF(IFERROR(VLOOKUP(A386,'24.木構造'!C:D,1,0),"")="","","✔")</f>
        <v/>
      </c>
      <c r="Z386" s="98" t="str">
        <f>IF(IFERROR(VLOOKUP(A386,'25.管路'!C:D,1,0),"")="","","✔")</f>
        <v/>
      </c>
      <c r="AA386" s="98" t="str">
        <f>IF(IFERROR(VLOOKUP(A386,'26.植栽(移植)'!C:D,1,0),"")="","","✔")</f>
        <v/>
      </c>
      <c r="AB386" s="98" t="str">
        <f>IF(IFERROR(VLOOKUP(A386,'27.植栽(新植)'!C:D,1,0),"")="","","✔")</f>
        <v/>
      </c>
      <c r="AC386" s="98" t="str">
        <f>IF(IFERROR(VLOOKUP(A386,'28.照明'!C:D,1,0),"")="","","✔")</f>
        <v/>
      </c>
      <c r="AD386" s="98" t="str">
        <f>IF(IFERROR(VLOOKUP(A386,'29.既有橋梁拆除'!C:D,1,0),"")="","","✔")</f>
        <v/>
      </c>
    </row>
    <row r="387" spans="1:30" ht="21.75" customHeight="1" x14ac:dyDescent="0.25">
      <c r="A387" s="99">
        <v>45577</v>
      </c>
      <c r="B387" s="98" t="str">
        <f>IF(IFERROR(VLOOKUP(A387,'1.測量放樣'!C:D,1,0),"")="","","✔")</f>
        <v/>
      </c>
      <c r="C387" s="98" t="str">
        <f>IF(IFERROR(VLOOKUP(A387,'2.土方開挖'!C:D,1,0),"")="","","✔")</f>
        <v/>
      </c>
      <c r="D387" s="98" t="str">
        <f>IF(IFERROR(VLOOKUP(A387,'3.土方回填'!C:D,1,0),"")="","","✔")</f>
        <v/>
      </c>
      <c r="E387" s="98" t="str">
        <f>IF(IFERROR(VLOOKUP(A387,'4.鋼筋'!C:D,1,0),"")="","","✔")</f>
        <v/>
      </c>
      <c r="F387" s="98" t="str">
        <f>IF(IFERROR(VLOOKUP(A387,'5.模板'!C:D,1,0),"")="","","✔")</f>
        <v/>
      </c>
      <c r="G387" s="98" t="str">
        <f>IF(IFERROR(VLOOKUP(A387,'6.混凝土'!C:D,1,0),"")="","","✔")</f>
        <v/>
      </c>
      <c r="H387" s="98" t="str">
        <f>IF(IFERROR(VLOOKUP(A387,'7.植筋'!C:D,1,0),"")="","","✔")</f>
        <v/>
      </c>
      <c r="I387" s="98" t="str">
        <f>IF(IFERROR(VLOOKUP(A387,'8.預力混凝土基樁'!C:D,1,0),"")="","","✔")</f>
        <v/>
      </c>
      <c r="J387" s="98" t="str">
        <f>IF(IFERROR(VLOOKUP(A387,'9.砌塊石護岸'!C:D,1,0),"")="","","✔")</f>
        <v/>
      </c>
      <c r="K387" s="98" t="str">
        <f>IF(IFERROR(VLOOKUP(A387,'10.低水護岸'!C:D,1,0),"")="","","✔")</f>
        <v/>
      </c>
      <c r="L387" s="98" t="str">
        <f>IF(IFERROR(VLOOKUP(A387,'11.固床工'!C:D,1,0),"")="","","✔")</f>
        <v/>
      </c>
      <c r="M387" s="98" t="str">
        <f>IF(IFERROR(VLOOKUP(A387,'12.全套管基樁'!C:D,1,0),"")="","","✔")</f>
        <v/>
      </c>
      <c r="N387" s="98" t="str">
        <f>IF(IFERROR(VLOOKUP(A387,'13.鋼筋混凝土管工程'!C:D,1,0),"")="","","✔")</f>
        <v/>
      </c>
      <c r="O387" s="98" t="str">
        <f>IF(IFERROR(VLOOKUP(A387,'14.鋼版樁'!C:D,1,0),"")="","","✔")</f>
        <v/>
      </c>
      <c r="P387" s="98" t="str">
        <f>IF(IFERROR(VLOOKUP(A387,'15.路床 路基高程'!C:D,1,0),"")="","","✔")</f>
        <v/>
      </c>
      <c r="Q387" s="98" t="str">
        <f>IF(IFERROR(VLOOKUP(A387,'16.瀝青混凝土'!C:D,1,0),"")="","","✔")</f>
        <v/>
      </c>
      <c r="R387" s="98" t="str">
        <f>IF(IFERROR(VLOOKUP(A387,'17.景觀鋪面(一)'!C:D,1,0),"")="","","✔")</f>
        <v/>
      </c>
      <c r="S387" s="98" t="str">
        <f>IF(IFERROR(VLOOKUP(A387,'18.景觀鋪面(二)'!C:D,1,0),"")="","","✔")</f>
        <v/>
      </c>
      <c r="T387" s="98" t="str">
        <f>IF(IFERROR(VLOOKUP(A387,'19.預鑄緣石'!C:D,1,0),"")="","","✔")</f>
        <v/>
      </c>
      <c r="U387" s="98" t="str">
        <f>IF(IFERROR(VLOOKUP(A387,'20.鋼構工程吊裝'!C:D,1,0),"")="","","✔")</f>
        <v/>
      </c>
      <c r="V387" s="98" t="str">
        <f>IF(IFERROR(VLOOKUP(A387,'21.鋼構工程塗裝'!C:D,1,0),"")="","","✔")</f>
        <v/>
      </c>
      <c r="W387" s="98" t="str">
        <f>IF(IFERROR(VLOOKUP(A387,'22.排水設施(一)'!C:D,1,0),"")="","","✔")</f>
        <v/>
      </c>
      <c r="X387" s="98" t="str">
        <f>IF(IFERROR(VLOOKUP(A387,'23.排水設施(二)'!C:D,1,0),"")="","","✔")</f>
        <v/>
      </c>
      <c r="Y387" s="98" t="str">
        <f>IF(IFERROR(VLOOKUP(A387,'24.木構造'!C:D,1,0),"")="","","✔")</f>
        <v/>
      </c>
      <c r="Z387" s="98" t="str">
        <f>IF(IFERROR(VLOOKUP(A387,'25.管路'!C:D,1,0),"")="","","✔")</f>
        <v/>
      </c>
      <c r="AA387" s="98" t="str">
        <f>IF(IFERROR(VLOOKUP(A387,'26.植栽(移植)'!C:D,1,0),"")="","","✔")</f>
        <v/>
      </c>
      <c r="AB387" s="98" t="str">
        <f>IF(IFERROR(VLOOKUP(A387,'27.植栽(新植)'!C:D,1,0),"")="","","✔")</f>
        <v/>
      </c>
      <c r="AC387" s="98" t="str">
        <f>IF(IFERROR(VLOOKUP(A387,'28.照明'!C:D,1,0),"")="","","✔")</f>
        <v/>
      </c>
      <c r="AD387" s="98" t="str">
        <f>IF(IFERROR(VLOOKUP(A387,'29.既有橋梁拆除'!C:D,1,0),"")="","","✔")</f>
        <v/>
      </c>
    </row>
    <row r="388" spans="1:30" ht="21.75" customHeight="1" x14ac:dyDescent="0.25">
      <c r="A388" s="99">
        <v>45578</v>
      </c>
      <c r="B388" s="98" t="str">
        <f>IF(IFERROR(VLOOKUP(A388,'1.測量放樣'!C:D,1,0),"")="","","✔")</f>
        <v/>
      </c>
      <c r="C388" s="98" t="str">
        <f>IF(IFERROR(VLOOKUP(A388,'2.土方開挖'!C:D,1,0),"")="","","✔")</f>
        <v/>
      </c>
      <c r="D388" s="98" t="str">
        <f>IF(IFERROR(VLOOKUP(A388,'3.土方回填'!C:D,1,0),"")="","","✔")</f>
        <v/>
      </c>
      <c r="E388" s="98" t="str">
        <f>IF(IFERROR(VLOOKUP(A388,'4.鋼筋'!C:D,1,0),"")="","","✔")</f>
        <v/>
      </c>
      <c r="F388" s="98" t="str">
        <f>IF(IFERROR(VLOOKUP(A388,'5.模板'!C:D,1,0),"")="","","✔")</f>
        <v/>
      </c>
      <c r="G388" s="98" t="str">
        <f>IF(IFERROR(VLOOKUP(A388,'6.混凝土'!C:D,1,0),"")="","","✔")</f>
        <v/>
      </c>
      <c r="H388" s="98" t="str">
        <f>IF(IFERROR(VLOOKUP(A388,'7.植筋'!C:D,1,0),"")="","","✔")</f>
        <v/>
      </c>
      <c r="I388" s="98" t="str">
        <f>IF(IFERROR(VLOOKUP(A388,'8.預力混凝土基樁'!C:D,1,0),"")="","","✔")</f>
        <v/>
      </c>
      <c r="J388" s="98" t="str">
        <f>IF(IFERROR(VLOOKUP(A388,'9.砌塊石護岸'!C:D,1,0),"")="","","✔")</f>
        <v/>
      </c>
      <c r="K388" s="98" t="str">
        <f>IF(IFERROR(VLOOKUP(A388,'10.低水護岸'!C:D,1,0),"")="","","✔")</f>
        <v/>
      </c>
      <c r="L388" s="98" t="str">
        <f>IF(IFERROR(VLOOKUP(A388,'11.固床工'!C:D,1,0),"")="","","✔")</f>
        <v/>
      </c>
      <c r="M388" s="98" t="str">
        <f>IF(IFERROR(VLOOKUP(A388,'12.全套管基樁'!C:D,1,0),"")="","","✔")</f>
        <v/>
      </c>
      <c r="N388" s="98" t="str">
        <f>IF(IFERROR(VLOOKUP(A388,'13.鋼筋混凝土管工程'!C:D,1,0),"")="","","✔")</f>
        <v/>
      </c>
      <c r="O388" s="98" t="str">
        <f>IF(IFERROR(VLOOKUP(A388,'14.鋼版樁'!C:D,1,0),"")="","","✔")</f>
        <v/>
      </c>
      <c r="P388" s="98" t="str">
        <f>IF(IFERROR(VLOOKUP(A388,'15.路床 路基高程'!C:D,1,0),"")="","","✔")</f>
        <v/>
      </c>
      <c r="Q388" s="98" t="str">
        <f>IF(IFERROR(VLOOKUP(A388,'16.瀝青混凝土'!C:D,1,0),"")="","","✔")</f>
        <v/>
      </c>
      <c r="R388" s="98" t="str">
        <f>IF(IFERROR(VLOOKUP(A388,'17.景觀鋪面(一)'!C:D,1,0),"")="","","✔")</f>
        <v/>
      </c>
      <c r="S388" s="98" t="str">
        <f>IF(IFERROR(VLOOKUP(A388,'18.景觀鋪面(二)'!C:D,1,0),"")="","","✔")</f>
        <v/>
      </c>
      <c r="T388" s="98" t="str">
        <f>IF(IFERROR(VLOOKUP(A388,'19.預鑄緣石'!C:D,1,0),"")="","","✔")</f>
        <v/>
      </c>
      <c r="U388" s="98" t="str">
        <f>IF(IFERROR(VLOOKUP(A388,'20.鋼構工程吊裝'!C:D,1,0),"")="","","✔")</f>
        <v/>
      </c>
      <c r="V388" s="98" t="str">
        <f>IF(IFERROR(VLOOKUP(A388,'21.鋼構工程塗裝'!C:D,1,0),"")="","","✔")</f>
        <v/>
      </c>
      <c r="W388" s="98" t="str">
        <f>IF(IFERROR(VLOOKUP(A388,'22.排水設施(一)'!C:D,1,0),"")="","","✔")</f>
        <v/>
      </c>
      <c r="X388" s="98" t="str">
        <f>IF(IFERROR(VLOOKUP(A388,'23.排水設施(二)'!C:D,1,0),"")="","","✔")</f>
        <v/>
      </c>
      <c r="Y388" s="98" t="str">
        <f>IF(IFERROR(VLOOKUP(A388,'24.木構造'!C:D,1,0),"")="","","✔")</f>
        <v/>
      </c>
      <c r="Z388" s="98" t="str">
        <f>IF(IFERROR(VLOOKUP(A388,'25.管路'!C:D,1,0),"")="","","✔")</f>
        <v/>
      </c>
      <c r="AA388" s="98" t="str">
        <f>IF(IFERROR(VLOOKUP(A388,'26.植栽(移植)'!C:D,1,0),"")="","","✔")</f>
        <v/>
      </c>
      <c r="AB388" s="98" t="str">
        <f>IF(IFERROR(VLOOKUP(A388,'27.植栽(新植)'!C:D,1,0),"")="","","✔")</f>
        <v/>
      </c>
      <c r="AC388" s="98" t="str">
        <f>IF(IFERROR(VLOOKUP(A388,'28.照明'!C:D,1,0),"")="","","✔")</f>
        <v/>
      </c>
      <c r="AD388" s="98" t="str">
        <f>IF(IFERROR(VLOOKUP(A388,'29.既有橋梁拆除'!C:D,1,0),"")="","","✔")</f>
        <v/>
      </c>
    </row>
    <row r="389" spans="1:30" ht="21.75" customHeight="1" x14ac:dyDescent="0.25">
      <c r="A389" s="99">
        <v>45579</v>
      </c>
      <c r="B389" s="98" t="str">
        <f>IF(IFERROR(VLOOKUP(A389,'1.測量放樣'!C:D,1,0),"")="","","✔")</f>
        <v/>
      </c>
      <c r="C389" s="98" t="str">
        <f>IF(IFERROR(VLOOKUP(A389,'2.土方開挖'!C:D,1,0),"")="","","✔")</f>
        <v/>
      </c>
      <c r="D389" s="98" t="str">
        <f>IF(IFERROR(VLOOKUP(A389,'3.土方回填'!C:D,1,0),"")="","","✔")</f>
        <v/>
      </c>
      <c r="E389" s="98" t="str">
        <f>IF(IFERROR(VLOOKUP(A389,'4.鋼筋'!C:D,1,0),"")="","","✔")</f>
        <v/>
      </c>
      <c r="F389" s="98" t="str">
        <f>IF(IFERROR(VLOOKUP(A389,'5.模板'!C:D,1,0),"")="","","✔")</f>
        <v/>
      </c>
      <c r="G389" s="98" t="str">
        <f>IF(IFERROR(VLOOKUP(A389,'6.混凝土'!C:D,1,0),"")="","","✔")</f>
        <v/>
      </c>
      <c r="H389" s="98" t="str">
        <f>IF(IFERROR(VLOOKUP(A389,'7.植筋'!C:D,1,0),"")="","","✔")</f>
        <v/>
      </c>
      <c r="I389" s="98" t="str">
        <f>IF(IFERROR(VLOOKUP(A389,'8.預力混凝土基樁'!C:D,1,0),"")="","","✔")</f>
        <v/>
      </c>
      <c r="J389" s="98" t="str">
        <f>IF(IFERROR(VLOOKUP(A389,'9.砌塊石護岸'!C:D,1,0),"")="","","✔")</f>
        <v/>
      </c>
      <c r="K389" s="98" t="str">
        <f>IF(IFERROR(VLOOKUP(A389,'10.低水護岸'!C:D,1,0),"")="","","✔")</f>
        <v/>
      </c>
      <c r="L389" s="98" t="str">
        <f>IF(IFERROR(VLOOKUP(A389,'11.固床工'!C:D,1,0),"")="","","✔")</f>
        <v/>
      </c>
      <c r="M389" s="98" t="str">
        <f>IF(IFERROR(VLOOKUP(A389,'12.全套管基樁'!C:D,1,0),"")="","","✔")</f>
        <v/>
      </c>
      <c r="N389" s="98" t="str">
        <f>IF(IFERROR(VLOOKUP(A389,'13.鋼筋混凝土管工程'!C:D,1,0),"")="","","✔")</f>
        <v/>
      </c>
      <c r="O389" s="98" t="str">
        <f>IF(IFERROR(VLOOKUP(A389,'14.鋼版樁'!C:D,1,0),"")="","","✔")</f>
        <v/>
      </c>
      <c r="P389" s="98" t="str">
        <f>IF(IFERROR(VLOOKUP(A389,'15.路床 路基高程'!C:D,1,0),"")="","","✔")</f>
        <v/>
      </c>
      <c r="Q389" s="98" t="str">
        <f>IF(IFERROR(VLOOKUP(A389,'16.瀝青混凝土'!C:D,1,0),"")="","","✔")</f>
        <v/>
      </c>
      <c r="R389" s="98" t="str">
        <f>IF(IFERROR(VLOOKUP(A389,'17.景觀鋪面(一)'!C:D,1,0),"")="","","✔")</f>
        <v/>
      </c>
      <c r="S389" s="98" t="str">
        <f>IF(IFERROR(VLOOKUP(A389,'18.景觀鋪面(二)'!C:D,1,0),"")="","","✔")</f>
        <v/>
      </c>
      <c r="T389" s="98" t="str">
        <f>IF(IFERROR(VLOOKUP(A389,'19.預鑄緣石'!C:D,1,0),"")="","","✔")</f>
        <v/>
      </c>
      <c r="U389" s="98" t="str">
        <f>IF(IFERROR(VLOOKUP(A389,'20.鋼構工程吊裝'!C:D,1,0),"")="","","✔")</f>
        <v/>
      </c>
      <c r="V389" s="98" t="str">
        <f>IF(IFERROR(VLOOKUP(A389,'21.鋼構工程塗裝'!C:D,1,0),"")="","","✔")</f>
        <v/>
      </c>
      <c r="W389" s="98" t="str">
        <f>IF(IFERROR(VLOOKUP(A389,'22.排水設施(一)'!C:D,1,0),"")="","","✔")</f>
        <v/>
      </c>
      <c r="X389" s="98" t="str">
        <f>IF(IFERROR(VLOOKUP(A389,'23.排水設施(二)'!C:D,1,0),"")="","","✔")</f>
        <v/>
      </c>
      <c r="Y389" s="98" t="str">
        <f>IF(IFERROR(VLOOKUP(A389,'24.木構造'!C:D,1,0),"")="","","✔")</f>
        <v/>
      </c>
      <c r="Z389" s="98" t="str">
        <f>IF(IFERROR(VLOOKUP(A389,'25.管路'!C:D,1,0),"")="","","✔")</f>
        <v/>
      </c>
      <c r="AA389" s="98" t="str">
        <f>IF(IFERROR(VLOOKUP(A389,'26.植栽(移植)'!C:D,1,0),"")="","","✔")</f>
        <v/>
      </c>
      <c r="AB389" s="98" t="str">
        <f>IF(IFERROR(VLOOKUP(A389,'27.植栽(新植)'!C:D,1,0),"")="","","✔")</f>
        <v/>
      </c>
      <c r="AC389" s="98" t="str">
        <f>IF(IFERROR(VLOOKUP(A389,'28.照明'!C:D,1,0),"")="","","✔")</f>
        <v/>
      </c>
      <c r="AD389" s="98" t="str">
        <f>IF(IFERROR(VLOOKUP(A389,'29.既有橋梁拆除'!C:D,1,0),"")="","","✔")</f>
        <v/>
      </c>
    </row>
    <row r="390" spans="1:30" ht="21.75" customHeight="1" x14ac:dyDescent="0.25">
      <c r="A390" s="99">
        <v>45580</v>
      </c>
      <c r="B390" s="98" t="str">
        <f>IF(IFERROR(VLOOKUP(A390,'1.測量放樣'!C:D,1,0),"")="","","✔")</f>
        <v/>
      </c>
      <c r="C390" s="98" t="str">
        <f>IF(IFERROR(VLOOKUP(A390,'2.土方開挖'!C:D,1,0),"")="","","✔")</f>
        <v/>
      </c>
      <c r="D390" s="98" t="str">
        <f>IF(IFERROR(VLOOKUP(A390,'3.土方回填'!C:D,1,0),"")="","","✔")</f>
        <v/>
      </c>
      <c r="E390" s="98" t="str">
        <f>IF(IFERROR(VLOOKUP(A390,'4.鋼筋'!C:D,1,0),"")="","","✔")</f>
        <v/>
      </c>
      <c r="F390" s="98" t="str">
        <f>IF(IFERROR(VLOOKUP(A390,'5.模板'!C:D,1,0),"")="","","✔")</f>
        <v/>
      </c>
      <c r="G390" s="98" t="str">
        <f>IF(IFERROR(VLOOKUP(A390,'6.混凝土'!C:D,1,0),"")="","","✔")</f>
        <v/>
      </c>
      <c r="H390" s="98" t="str">
        <f>IF(IFERROR(VLOOKUP(A390,'7.植筋'!C:D,1,0),"")="","","✔")</f>
        <v/>
      </c>
      <c r="I390" s="98" t="str">
        <f>IF(IFERROR(VLOOKUP(A390,'8.預力混凝土基樁'!C:D,1,0),"")="","","✔")</f>
        <v/>
      </c>
      <c r="J390" s="98" t="str">
        <f>IF(IFERROR(VLOOKUP(A390,'9.砌塊石護岸'!C:D,1,0),"")="","","✔")</f>
        <v/>
      </c>
      <c r="K390" s="98" t="str">
        <f>IF(IFERROR(VLOOKUP(A390,'10.低水護岸'!C:D,1,0),"")="","","✔")</f>
        <v/>
      </c>
      <c r="L390" s="98" t="str">
        <f>IF(IFERROR(VLOOKUP(A390,'11.固床工'!C:D,1,0),"")="","","✔")</f>
        <v/>
      </c>
      <c r="M390" s="98" t="str">
        <f>IF(IFERROR(VLOOKUP(A390,'12.全套管基樁'!C:D,1,0),"")="","","✔")</f>
        <v/>
      </c>
      <c r="N390" s="98" t="str">
        <f>IF(IFERROR(VLOOKUP(A390,'13.鋼筋混凝土管工程'!C:D,1,0),"")="","","✔")</f>
        <v/>
      </c>
      <c r="O390" s="98" t="str">
        <f>IF(IFERROR(VLOOKUP(A390,'14.鋼版樁'!C:D,1,0),"")="","","✔")</f>
        <v/>
      </c>
      <c r="P390" s="98" t="str">
        <f>IF(IFERROR(VLOOKUP(A390,'15.路床 路基高程'!C:D,1,0),"")="","","✔")</f>
        <v/>
      </c>
      <c r="Q390" s="98" t="str">
        <f>IF(IFERROR(VLOOKUP(A390,'16.瀝青混凝土'!C:D,1,0),"")="","","✔")</f>
        <v/>
      </c>
      <c r="R390" s="98" t="str">
        <f>IF(IFERROR(VLOOKUP(A390,'17.景觀鋪面(一)'!C:D,1,0),"")="","","✔")</f>
        <v/>
      </c>
      <c r="S390" s="98" t="str">
        <f>IF(IFERROR(VLOOKUP(A390,'18.景觀鋪面(二)'!C:D,1,0),"")="","","✔")</f>
        <v/>
      </c>
      <c r="T390" s="98" t="str">
        <f>IF(IFERROR(VLOOKUP(A390,'19.預鑄緣石'!C:D,1,0),"")="","","✔")</f>
        <v/>
      </c>
      <c r="U390" s="98" t="str">
        <f>IF(IFERROR(VLOOKUP(A390,'20.鋼構工程吊裝'!C:D,1,0),"")="","","✔")</f>
        <v/>
      </c>
      <c r="V390" s="98" t="str">
        <f>IF(IFERROR(VLOOKUP(A390,'21.鋼構工程塗裝'!C:D,1,0),"")="","","✔")</f>
        <v/>
      </c>
      <c r="W390" s="98" t="str">
        <f>IF(IFERROR(VLOOKUP(A390,'22.排水設施(一)'!C:D,1,0),"")="","","✔")</f>
        <v/>
      </c>
      <c r="X390" s="98" t="str">
        <f>IF(IFERROR(VLOOKUP(A390,'23.排水設施(二)'!C:D,1,0),"")="","","✔")</f>
        <v/>
      </c>
      <c r="Y390" s="98" t="str">
        <f>IF(IFERROR(VLOOKUP(A390,'24.木構造'!C:D,1,0),"")="","","✔")</f>
        <v/>
      </c>
      <c r="Z390" s="98" t="str">
        <f>IF(IFERROR(VLOOKUP(A390,'25.管路'!C:D,1,0),"")="","","✔")</f>
        <v/>
      </c>
      <c r="AA390" s="98" t="str">
        <f>IF(IFERROR(VLOOKUP(A390,'26.植栽(移植)'!C:D,1,0),"")="","","✔")</f>
        <v/>
      </c>
      <c r="AB390" s="98" t="str">
        <f>IF(IFERROR(VLOOKUP(A390,'27.植栽(新植)'!C:D,1,0),"")="","","✔")</f>
        <v/>
      </c>
      <c r="AC390" s="98" t="str">
        <f>IF(IFERROR(VLOOKUP(A390,'28.照明'!C:D,1,0),"")="","","✔")</f>
        <v/>
      </c>
      <c r="AD390" s="98" t="str">
        <f>IF(IFERROR(VLOOKUP(A390,'29.既有橋梁拆除'!C:D,1,0),"")="","","✔")</f>
        <v/>
      </c>
    </row>
    <row r="391" spans="1:30" ht="21.75" customHeight="1" x14ac:dyDescent="0.25">
      <c r="A391" s="99">
        <v>45581</v>
      </c>
      <c r="B391" s="98" t="str">
        <f>IF(IFERROR(VLOOKUP(A391,'1.測量放樣'!C:D,1,0),"")="","","✔")</f>
        <v/>
      </c>
      <c r="C391" s="98" t="str">
        <f>IF(IFERROR(VLOOKUP(A391,'2.土方開挖'!C:D,1,0),"")="","","✔")</f>
        <v/>
      </c>
      <c r="D391" s="98" t="str">
        <f>IF(IFERROR(VLOOKUP(A391,'3.土方回填'!C:D,1,0),"")="","","✔")</f>
        <v/>
      </c>
      <c r="E391" s="98" t="str">
        <f>IF(IFERROR(VLOOKUP(A391,'4.鋼筋'!C:D,1,0),"")="","","✔")</f>
        <v/>
      </c>
      <c r="F391" s="98" t="str">
        <f>IF(IFERROR(VLOOKUP(A391,'5.模板'!C:D,1,0),"")="","","✔")</f>
        <v/>
      </c>
      <c r="G391" s="98" t="str">
        <f>IF(IFERROR(VLOOKUP(A391,'6.混凝土'!C:D,1,0),"")="","","✔")</f>
        <v/>
      </c>
      <c r="H391" s="98" t="str">
        <f>IF(IFERROR(VLOOKUP(A391,'7.植筋'!C:D,1,0),"")="","","✔")</f>
        <v/>
      </c>
      <c r="I391" s="98" t="str">
        <f>IF(IFERROR(VLOOKUP(A391,'8.預力混凝土基樁'!C:D,1,0),"")="","","✔")</f>
        <v/>
      </c>
      <c r="J391" s="98" t="str">
        <f>IF(IFERROR(VLOOKUP(A391,'9.砌塊石護岸'!C:D,1,0),"")="","","✔")</f>
        <v/>
      </c>
      <c r="K391" s="98" t="str">
        <f>IF(IFERROR(VLOOKUP(A391,'10.低水護岸'!C:D,1,0),"")="","","✔")</f>
        <v/>
      </c>
      <c r="L391" s="98" t="str">
        <f>IF(IFERROR(VLOOKUP(A391,'11.固床工'!C:D,1,0),"")="","","✔")</f>
        <v/>
      </c>
      <c r="M391" s="98" t="str">
        <f>IF(IFERROR(VLOOKUP(A391,'12.全套管基樁'!C:D,1,0),"")="","","✔")</f>
        <v/>
      </c>
      <c r="N391" s="98" t="str">
        <f>IF(IFERROR(VLOOKUP(A391,'13.鋼筋混凝土管工程'!C:D,1,0),"")="","","✔")</f>
        <v/>
      </c>
      <c r="O391" s="98" t="str">
        <f>IF(IFERROR(VLOOKUP(A391,'14.鋼版樁'!C:D,1,0),"")="","","✔")</f>
        <v/>
      </c>
      <c r="P391" s="98" t="str">
        <f>IF(IFERROR(VLOOKUP(A391,'15.路床 路基高程'!C:D,1,0),"")="","","✔")</f>
        <v/>
      </c>
      <c r="Q391" s="98" t="str">
        <f>IF(IFERROR(VLOOKUP(A391,'16.瀝青混凝土'!C:D,1,0),"")="","","✔")</f>
        <v/>
      </c>
      <c r="R391" s="98" t="str">
        <f>IF(IFERROR(VLOOKUP(A391,'17.景觀鋪面(一)'!C:D,1,0),"")="","","✔")</f>
        <v/>
      </c>
      <c r="S391" s="98" t="str">
        <f>IF(IFERROR(VLOOKUP(A391,'18.景觀鋪面(二)'!C:D,1,0),"")="","","✔")</f>
        <v/>
      </c>
      <c r="T391" s="98" t="str">
        <f>IF(IFERROR(VLOOKUP(A391,'19.預鑄緣石'!C:D,1,0),"")="","","✔")</f>
        <v/>
      </c>
      <c r="U391" s="98" t="str">
        <f>IF(IFERROR(VLOOKUP(A391,'20.鋼構工程吊裝'!C:D,1,0),"")="","","✔")</f>
        <v/>
      </c>
      <c r="V391" s="98" t="str">
        <f>IF(IFERROR(VLOOKUP(A391,'21.鋼構工程塗裝'!C:D,1,0),"")="","","✔")</f>
        <v/>
      </c>
      <c r="W391" s="98" t="str">
        <f>IF(IFERROR(VLOOKUP(A391,'22.排水設施(一)'!C:D,1,0),"")="","","✔")</f>
        <v/>
      </c>
      <c r="X391" s="98" t="str">
        <f>IF(IFERROR(VLOOKUP(A391,'23.排水設施(二)'!C:D,1,0),"")="","","✔")</f>
        <v/>
      </c>
      <c r="Y391" s="98" t="str">
        <f>IF(IFERROR(VLOOKUP(A391,'24.木構造'!C:D,1,0),"")="","","✔")</f>
        <v/>
      </c>
      <c r="Z391" s="98" t="str">
        <f>IF(IFERROR(VLOOKUP(A391,'25.管路'!C:D,1,0),"")="","","✔")</f>
        <v/>
      </c>
      <c r="AA391" s="98" t="str">
        <f>IF(IFERROR(VLOOKUP(A391,'26.植栽(移植)'!C:D,1,0),"")="","","✔")</f>
        <v/>
      </c>
      <c r="AB391" s="98" t="str">
        <f>IF(IFERROR(VLOOKUP(A391,'27.植栽(新植)'!C:D,1,0),"")="","","✔")</f>
        <v/>
      </c>
      <c r="AC391" s="98" t="str">
        <f>IF(IFERROR(VLOOKUP(A391,'28.照明'!C:D,1,0),"")="","","✔")</f>
        <v/>
      </c>
      <c r="AD391" s="98" t="str">
        <f>IF(IFERROR(VLOOKUP(A391,'29.既有橋梁拆除'!C:D,1,0),"")="","","✔")</f>
        <v/>
      </c>
    </row>
    <row r="392" spans="1:30" ht="21.75" customHeight="1" x14ac:dyDescent="0.25">
      <c r="A392" s="99">
        <v>45582</v>
      </c>
      <c r="B392" s="98" t="str">
        <f>IF(IFERROR(VLOOKUP(A392,'1.測量放樣'!C:D,1,0),"")="","","✔")</f>
        <v/>
      </c>
      <c r="C392" s="98" t="str">
        <f>IF(IFERROR(VLOOKUP(A392,'2.土方開挖'!C:D,1,0),"")="","","✔")</f>
        <v/>
      </c>
      <c r="D392" s="98" t="str">
        <f>IF(IFERROR(VLOOKUP(A392,'3.土方回填'!C:D,1,0),"")="","","✔")</f>
        <v/>
      </c>
      <c r="E392" s="98" t="str">
        <f>IF(IFERROR(VLOOKUP(A392,'4.鋼筋'!C:D,1,0),"")="","","✔")</f>
        <v/>
      </c>
      <c r="F392" s="98" t="str">
        <f>IF(IFERROR(VLOOKUP(A392,'5.模板'!C:D,1,0),"")="","","✔")</f>
        <v/>
      </c>
      <c r="G392" s="98" t="str">
        <f>IF(IFERROR(VLOOKUP(A392,'6.混凝土'!C:D,1,0),"")="","","✔")</f>
        <v/>
      </c>
      <c r="H392" s="98" t="str">
        <f>IF(IFERROR(VLOOKUP(A392,'7.植筋'!C:D,1,0),"")="","","✔")</f>
        <v/>
      </c>
      <c r="I392" s="98" t="str">
        <f>IF(IFERROR(VLOOKUP(A392,'8.預力混凝土基樁'!C:D,1,0),"")="","","✔")</f>
        <v/>
      </c>
      <c r="J392" s="98" t="str">
        <f>IF(IFERROR(VLOOKUP(A392,'9.砌塊石護岸'!C:D,1,0),"")="","","✔")</f>
        <v/>
      </c>
      <c r="K392" s="98" t="str">
        <f>IF(IFERROR(VLOOKUP(A392,'10.低水護岸'!C:D,1,0),"")="","","✔")</f>
        <v/>
      </c>
      <c r="L392" s="98" t="str">
        <f>IF(IFERROR(VLOOKUP(A392,'11.固床工'!C:D,1,0),"")="","","✔")</f>
        <v/>
      </c>
      <c r="M392" s="98" t="str">
        <f>IF(IFERROR(VLOOKUP(A392,'12.全套管基樁'!C:D,1,0),"")="","","✔")</f>
        <v/>
      </c>
      <c r="N392" s="98" t="str">
        <f>IF(IFERROR(VLOOKUP(A392,'13.鋼筋混凝土管工程'!C:D,1,0),"")="","","✔")</f>
        <v/>
      </c>
      <c r="O392" s="98" t="str">
        <f>IF(IFERROR(VLOOKUP(A392,'14.鋼版樁'!C:D,1,0),"")="","","✔")</f>
        <v/>
      </c>
      <c r="P392" s="98" t="str">
        <f>IF(IFERROR(VLOOKUP(A392,'15.路床 路基高程'!C:D,1,0),"")="","","✔")</f>
        <v/>
      </c>
      <c r="Q392" s="98" t="str">
        <f>IF(IFERROR(VLOOKUP(A392,'16.瀝青混凝土'!C:D,1,0),"")="","","✔")</f>
        <v/>
      </c>
      <c r="R392" s="98" t="str">
        <f>IF(IFERROR(VLOOKUP(A392,'17.景觀鋪面(一)'!C:D,1,0),"")="","","✔")</f>
        <v/>
      </c>
      <c r="S392" s="98" t="str">
        <f>IF(IFERROR(VLOOKUP(A392,'18.景觀鋪面(二)'!C:D,1,0),"")="","","✔")</f>
        <v/>
      </c>
      <c r="T392" s="98" t="str">
        <f>IF(IFERROR(VLOOKUP(A392,'19.預鑄緣石'!C:D,1,0),"")="","","✔")</f>
        <v/>
      </c>
      <c r="U392" s="98" t="str">
        <f>IF(IFERROR(VLOOKUP(A392,'20.鋼構工程吊裝'!C:D,1,0),"")="","","✔")</f>
        <v/>
      </c>
      <c r="V392" s="98" t="str">
        <f>IF(IFERROR(VLOOKUP(A392,'21.鋼構工程塗裝'!C:D,1,0),"")="","","✔")</f>
        <v/>
      </c>
      <c r="W392" s="98" t="str">
        <f>IF(IFERROR(VLOOKUP(A392,'22.排水設施(一)'!C:D,1,0),"")="","","✔")</f>
        <v/>
      </c>
      <c r="X392" s="98" t="str">
        <f>IF(IFERROR(VLOOKUP(A392,'23.排水設施(二)'!C:D,1,0),"")="","","✔")</f>
        <v/>
      </c>
      <c r="Y392" s="98" t="str">
        <f>IF(IFERROR(VLOOKUP(A392,'24.木構造'!C:D,1,0),"")="","","✔")</f>
        <v/>
      </c>
      <c r="Z392" s="98" t="str">
        <f>IF(IFERROR(VLOOKUP(A392,'25.管路'!C:D,1,0),"")="","","✔")</f>
        <v/>
      </c>
      <c r="AA392" s="98" t="str">
        <f>IF(IFERROR(VLOOKUP(A392,'26.植栽(移植)'!C:D,1,0),"")="","","✔")</f>
        <v/>
      </c>
      <c r="AB392" s="98" t="str">
        <f>IF(IFERROR(VLOOKUP(A392,'27.植栽(新植)'!C:D,1,0),"")="","","✔")</f>
        <v/>
      </c>
      <c r="AC392" s="98" t="str">
        <f>IF(IFERROR(VLOOKUP(A392,'28.照明'!C:D,1,0),"")="","","✔")</f>
        <v/>
      </c>
      <c r="AD392" s="98" t="str">
        <f>IF(IFERROR(VLOOKUP(A392,'29.既有橋梁拆除'!C:D,1,0),"")="","","✔")</f>
        <v/>
      </c>
    </row>
    <row r="393" spans="1:30" ht="21.75" customHeight="1" x14ac:dyDescent="0.25">
      <c r="A393" s="99">
        <v>45583</v>
      </c>
      <c r="B393" s="98" t="str">
        <f>IF(IFERROR(VLOOKUP(A393,'1.測量放樣'!C:D,1,0),"")="","","✔")</f>
        <v/>
      </c>
      <c r="C393" s="98" t="str">
        <f>IF(IFERROR(VLOOKUP(A393,'2.土方開挖'!C:D,1,0),"")="","","✔")</f>
        <v/>
      </c>
      <c r="D393" s="98" t="str">
        <f>IF(IFERROR(VLOOKUP(A393,'3.土方回填'!C:D,1,0),"")="","","✔")</f>
        <v/>
      </c>
      <c r="E393" s="98" t="str">
        <f>IF(IFERROR(VLOOKUP(A393,'4.鋼筋'!C:D,1,0),"")="","","✔")</f>
        <v/>
      </c>
      <c r="F393" s="98" t="str">
        <f>IF(IFERROR(VLOOKUP(A393,'5.模板'!C:D,1,0),"")="","","✔")</f>
        <v/>
      </c>
      <c r="G393" s="98" t="str">
        <f>IF(IFERROR(VLOOKUP(A393,'6.混凝土'!C:D,1,0),"")="","","✔")</f>
        <v/>
      </c>
      <c r="H393" s="98" t="str">
        <f>IF(IFERROR(VLOOKUP(A393,'7.植筋'!C:D,1,0),"")="","","✔")</f>
        <v/>
      </c>
      <c r="I393" s="98" t="str">
        <f>IF(IFERROR(VLOOKUP(A393,'8.預力混凝土基樁'!C:D,1,0),"")="","","✔")</f>
        <v/>
      </c>
      <c r="J393" s="98" t="str">
        <f>IF(IFERROR(VLOOKUP(A393,'9.砌塊石護岸'!C:D,1,0),"")="","","✔")</f>
        <v/>
      </c>
      <c r="K393" s="98" t="str">
        <f>IF(IFERROR(VLOOKUP(A393,'10.低水護岸'!C:D,1,0),"")="","","✔")</f>
        <v/>
      </c>
      <c r="L393" s="98" t="str">
        <f>IF(IFERROR(VLOOKUP(A393,'11.固床工'!C:D,1,0),"")="","","✔")</f>
        <v/>
      </c>
      <c r="M393" s="98" t="str">
        <f>IF(IFERROR(VLOOKUP(A393,'12.全套管基樁'!C:D,1,0),"")="","","✔")</f>
        <v/>
      </c>
      <c r="N393" s="98" t="str">
        <f>IF(IFERROR(VLOOKUP(A393,'13.鋼筋混凝土管工程'!C:D,1,0),"")="","","✔")</f>
        <v/>
      </c>
      <c r="O393" s="98" t="str">
        <f>IF(IFERROR(VLOOKUP(A393,'14.鋼版樁'!C:D,1,0),"")="","","✔")</f>
        <v/>
      </c>
      <c r="P393" s="98" t="str">
        <f>IF(IFERROR(VLOOKUP(A393,'15.路床 路基高程'!C:D,1,0),"")="","","✔")</f>
        <v/>
      </c>
      <c r="Q393" s="98" t="str">
        <f>IF(IFERROR(VLOOKUP(A393,'16.瀝青混凝土'!C:D,1,0),"")="","","✔")</f>
        <v/>
      </c>
      <c r="R393" s="98" t="str">
        <f>IF(IFERROR(VLOOKUP(A393,'17.景觀鋪面(一)'!C:D,1,0),"")="","","✔")</f>
        <v/>
      </c>
      <c r="S393" s="98" t="str">
        <f>IF(IFERROR(VLOOKUP(A393,'18.景觀鋪面(二)'!C:D,1,0),"")="","","✔")</f>
        <v/>
      </c>
      <c r="T393" s="98" t="str">
        <f>IF(IFERROR(VLOOKUP(A393,'19.預鑄緣石'!C:D,1,0),"")="","","✔")</f>
        <v/>
      </c>
      <c r="U393" s="98" t="str">
        <f>IF(IFERROR(VLOOKUP(A393,'20.鋼構工程吊裝'!C:D,1,0),"")="","","✔")</f>
        <v/>
      </c>
      <c r="V393" s="98" t="str">
        <f>IF(IFERROR(VLOOKUP(A393,'21.鋼構工程塗裝'!C:D,1,0),"")="","","✔")</f>
        <v/>
      </c>
      <c r="W393" s="98" t="str">
        <f>IF(IFERROR(VLOOKUP(A393,'22.排水設施(一)'!C:D,1,0),"")="","","✔")</f>
        <v/>
      </c>
      <c r="X393" s="98" t="str">
        <f>IF(IFERROR(VLOOKUP(A393,'23.排水設施(二)'!C:D,1,0),"")="","","✔")</f>
        <v/>
      </c>
      <c r="Y393" s="98" t="str">
        <f>IF(IFERROR(VLOOKUP(A393,'24.木構造'!C:D,1,0),"")="","","✔")</f>
        <v/>
      </c>
      <c r="Z393" s="98" t="str">
        <f>IF(IFERROR(VLOOKUP(A393,'25.管路'!C:D,1,0),"")="","","✔")</f>
        <v/>
      </c>
      <c r="AA393" s="98" t="str">
        <f>IF(IFERROR(VLOOKUP(A393,'26.植栽(移植)'!C:D,1,0),"")="","","✔")</f>
        <v/>
      </c>
      <c r="AB393" s="98" t="str">
        <f>IF(IFERROR(VLOOKUP(A393,'27.植栽(新植)'!C:D,1,0),"")="","","✔")</f>
        <v/>
      </c>
      <c r="AC393" s="98" t="str">
        <f>IF(IFERROR(VLOOKUP(A393,'28.照明'!C:D,1,0),"")="","","✔")</f>
        <v/>
      </c>
      <c r="AD393" s="98" t="str">
        <f>IF(IFERROR(VLOOKUP(A393,'29.既有橋梁拆除'!C:D,1,0),"")="","","✔")</f>
        <v/>
      </c>
    </row>
    <row r="394" spans="1:30" ht="21.75" customHeight="1" x14ac:dyDescent="0.25">
      <c r="A394" s="99">
        <v>45584</v>
      </c>
      <c r="B394" s="98" t="str">
        <f>IF(IFERROR(VLOOKUP(A394,'1.測量放樣'!C:D,1,0),"")="","","✔")</f>
        <v/>
      </c>
      <c r="C394" s="98" t="str">
        <f>IF(IFERROR(VLOOKUP(A394,'2.土方開挖'!C:D,1,0),"")="","","✔")</f>
        <v/>
      </c>
      <c r="D394" s="98" t="str">
        <f>IF(IFERROR(VLOOKUP(A394,'3.土方回填'!C:D,1,0),"")="","","✔")</f>
        <v/>
      </c>
      <c r="E394" s="98" t="str">
        <f>IF(IFERROR(VLOOKUP(A394,'4.鋼筋'!C:D,1,0),"")="","","✔")</f>
        <v/>
      </c>
      <c r="F394" s="98" t="str">
        <f>IF(IFERROR(VLOOKUP(A394,'5.模板'!C:D,1,0),"")="","","✔")</f>
        <v/>
      </c>
      <c r="G394" s="98" t="str">
        <f>IF(IFERROR(VLOOKUP(A394,'6.混凝土'!C:D,1,0),"")="","","✔")</f>
        <v/>
      </c>
      <c r="H394" s="98" t="str">
        <f>IF(IFERROR(VLOOKUP(A394,'7.植筋'!C:D,1,0),"")="","","✔")</f>
        <v/>
      </c>
      <c r="I394" s="98" t="str">
        <f>IF(IFERROR(VLOOKUP(A394,'8.預力混凝土基樁'!C:D,1,0),"")="","","✔")</f>
        <v/>
      </c>
      <c r="J394" s="98" t="str">
        <f>IF(IFERROR(VLOOKUP(A394,'9.砌塊石護岸'!C:D,1,0),"")="","","✔")</f>
        <v/>
      </c>
      <c r="K394" s="98" t="str">
        <f>IF(IFERROR(VLOOKUP(A394,'10.低水護岸'!C:D,1,0),"")="","","✔")</f>
        <v/>
      </c>
      <c r="L394" s="98" t="str">
        <f>IF(IFERROR(VLOOKUP(A394,'11.固床工'!C:D,1,0),"")="","","✔")</f>
        <v/>
      </c>
      <c r="M394" s="98" t="str">
        <f>IF(IFERROR(VLOOKUP(A394,'12.全套管基樁'!C:D,1,0),"")="","","✔")</f>
        <v/>
      </c>
      <c r="N394" s="98" t="str">
        <f>IF(IFERROR(VLOOKUP(A394,'13.鋼筋混凝土管工程'!C:D,1,0),"")="","","✔")</f>
        <v/>
      </c>
      <c r="O394" s="98" t="str">
        <f>IF(IFERROR(VLOOKUP(A394,'14.鋼版樁'!C:D,1,0),"")="","","✔")</f>
        <v/>
      </c>
      <c r="P394" s="98" t="str">
        <f>IF(IFERROR(VLOOKUP(A394,'15.路床 路基高程'!C:D,1,0),"")="","","✔")</f>
        <v/>
      </c>
      <c r="Q394" s="98" t="str">
        <f>IF(IFERROR(VLOOKUP(A394,'16.瀝青混凝土'!C:D,1,0),"")="","","✔")</f>
        <v/>
      </c>
      <c r="R394" s="98" t="str">
        <f>IF(IFERROR(VLOOKUP(A394,'17.景觀鋪面(一)'!C:D,1,0),"")="","","✔")</f>
        <v/>
      </c>
      <c r="S394" s="98" t="str">
        <f>IF(IFERROR(VLOOKUP(A394,'18.景觀鋪面(二)'!C:D,1,0),"")="","","✔")</f>
        <v/>
      </c>
      <c r="T394" s="98" t="str">
        <f>IF(IFERROR(VLOOKUP(A394,'19.預鑄緣石'!C:D,1,0),"")="","","✔")</f>
        <v/>
      </c>
      <c r="U394" s="98" t="str">
        <f>IF(IFERROR(VLOOKUP(A394,'20.鋼構工程吊裝'!C:D,1,0),"")="","","✔")</f>
        <v/>
      </c>
      <c r="V394" s="98" t="str">
        <f>IF(IFERROR(VLOOKUP(A394,'21.鋼構工程塗裝'!C:D,1,0),"")="","","✔")</f>
        <v/>
      </c>
      <c r="W394" s="98" t="str">
        <f>IF(IFERROR(VLOOKUP(A394,'22.排水設施(一)'!C:D,1,0),"")="","","✔")</f>
        <v/>
      </c>
      <c r="X394" s="98" t="str">
        <f>IF(IFERROR(VLOOKUP(A394,'23.排水設施(二)'!C:D,1,0),"")="","","✔")</f>
        <v/>
      </c>
      <c r="Y394" s="98" t="str">
        <f>IF(IFERROR(VLOOKUP(A394,'24.木構造'!C:D,1,0),"")="","","✔")</f>
        <v/>
      </c>
      <c r="Z394" s="98" t="str">
        <f>IF(IFERROR(VLOOKUP(A394,'25.管路'!C:D,1,0),"")="","","✔")</f>
        <v/>
      </c>
      <c r="AA394" s="98" t="str">
        <f>IF(IFERROR(VLOOKUP(A394,'26.植栽(移植)'!C:D,1,0),"")="","","✔")</f>
        <v/>
      </c>
      <c r="AB394" s="98" t="str">
        <f>IF(IFERROR(VLOOKUP(A394,'27.植栽(新植)'!C:D,1,0),"")="","","✔")</f>
        <v/>
      </c>
      <c r="AC394" s="98" t="str">
        <f>IF(IFERROR(VLOOKUP(A394,'28.照明'!C:D,1,0),"")="","","✔")</f>
        <v/>
      </c>
      <c r="AD394" s="98" t="str">
        <f>IF(IFERROR(VLOOKUP(A394,'29.既有橋梁拆除'!C:D,1,0),"")="","","✔")</f>
        <v/>
      </c>
    </row>
    <row r="395" spans="1:30" ht="21.75" customHeight="1" x14ac:dyDescent="0.25">
      <c r="A395" s="99">
        <v>45585</v>
      </c>
      <c r="B395" s="98" t="str">
        <f>IF(IFERROR(VLOOKUP(A395,'1.測量放樣'!C:D,1,0),"")="","","✔")</f>
        <v/>
      </c>
      <c r="C395" s="98" t="str">
        <f>IF(IFERROR(VLOOKUP(A395,'2.土方開挖'!C:D,1,0),"")="","","✔")</f>
        <v/>
      </c>
      <c r="D395" s="98" t="str">
        <f>IF(IFERROR(VLOOKUP(A395,'3.土方回填'!C:D,1,0),"")="","","✔")</f>
        <v/>
      </c>
      <c r="E395" s="98" t="str">
        <f>IF(IFERROR(VLOOKUP(A395,'4.鋼筋'!C:D,1,0),"")="","","✔")</f>
        <v/>
      </c>
      <c r="F395" s="98" t="str">
        <f>IF(IFERROR(VLOOKUP(A395,'5.模板'!C:D,1,0),"")="","","✔")</f>
        <v/>
      </c>
      <c r="G395" s="98" t="str">
        <f>IF(IFERROR(VLOOKUP(A395,'6.混凝土'!C:D,1,0),"")="","","✔")</f>
        <v/>
      </c>
      <c r="H395" s="98" t="str">
        <f>IF(IFERROR(VLOOKUP(A395,'7.植筋'!C:D,1,0),"")="","","✔")</f>
        <v/>
      </c>
      <c r="I395" s="98" t="str">
        <f>IF(IFERROR(VLOOKUP(A395,'8.預力混凝土基樁'!C:D,1,0),"")="","","✔")</f>
        <v/>
      </c>
      <c r="J395" s="98" t="str">
        <f>IF(IFERROR(VLOOKUP(A395,'9.砌塊石護岸'!C:D,1,0),"")="","","✔")</f>
        <v/>
      </c>
      <c r="K395" s="98" t="str">
        <f>IF(IFERROR(VLOOKUP(A395,'10.低水護岸'!C:D,1,0),"")="","","✔")</f>
        <v/>
      </c>
      <c r="L395" s="98" t="str">
        <f>IF(IFERROR(VLOOKUP(A395,'11.固床工'!C:D,1,0),"")="","","✔")</f>
        <v/>
      </c>
      <c r="M395" s="98" t="str">
        <f>IF(IFERROR(VLOOKUP(A395,'12.全套管基樁'!C:D,1,0),"")="","","✔")</f>
        <v/>
      </c>
      <c r="N395" s="98" t="str">
        <f>IF(IFERROR(VLOOKUP(A395,'13.鋼筋混凝土管工程'!C:D,1,0),"")="","","✔")</f>
        <v/>
      </c>
      <c r="O395" s="98" t="str">
        <f>IF(IFERROR(VLOOKUP(A395,'14.鋼版樁'!C:D,1,0),"")="","","✔")</f>
        <v/>
      </c>
      <c r="P395" s="98" t="str">
        <f>IF(IFERROR(VLOOKUP(A395,'15.路床 路基高程'!C:D,1,0),"")="","","✔")</f>
        <v/>
      </c>
      <c r="Q395" s="98" t="str">
        <f>IF(IFERROR(VLOOKUP(A395,'16.瀝青混凝土'!C:D,1,0),"")="","","✔")</f>
        <v/>
      </c>
      <c r="R395" s="98" t="str">
        <f>IF(IFERROR(VLOOKUP(A395,'17.景觀鋪面(一)'!C:D,1,0),"")="","","✔")</f>
        <v/>
      </c>
      <c r="S395" s="98" t="str">
        <f>IF(IFERROR(VLOOKUP(A395,'18.景觀鋪面(二)'!C:D,1,0),"")="","","✔")</f>
        <v/>
      </c>
      <c r="T395" s="98" t="str">
        <f>IF(IFERROR(VLOOKUP(A395,'19.預鑄緣石'!C:D,1,0),"")="","","✔")</f>
        <v/>
      </c>
      <c r="U395" s="98" t="str">
        <f>IF(IFERROR(VLOOKUP(A395,'20.鋼構工程吊裝'!C:D,1,0),"")="","","✔")</f>
        <v/>
      </c>
      <c r="V395" s="98" t="str">
        <f>IF(IFERROR(VLOOKUP(A395,'21.鋼構工程塗裝'!C:D,1,0),"")="","","✔")</f>
        <v/>
      </c>
      <c r="W395" s="98" t="str">
        <f>IF(IFERROR(VLOOKUP(A395,'22.排水設施(一)'!C:D,1,0),"")="","","✔")</f>
        <v/>
      </c>
      <c r="X395" s="98" t="str">
        <f>IF(IFERROR(VLOOKUP(A395,'23.排水設施(二)'!C:D,1,0),"")="","","✔")</f>
        <v/>
      </c>
      <c r="Y395" s="98" t="str">
        <f>IF(IFERROR(VLOOKUP(A395,'24.木構造'!C:D,1,0),"")="","","✔")</f>
        <v/>
      </c>
      <c r="Z395" s="98" t="str">
        <f>IF(IFERROR(VLOOKUP(A395,'25.管路'!C:D,1,0),"")="","","✔")</f>
        <v/>
      </c>
      <c r="AA395" s="98" t="str">
        <f>IF(IFERROR(VLOOKUP(A395,'26.植栽(移植)'!C:D,1,0),"")="","","✔")</f>
        <v/>
      </c>
      <c r="AB395" s="98" t="str">
        <f>IF(IFERROR(VLOOKUP(A395,'27.植栽(新植)'!C:D,1,0),"")="","","✔")</f>
        <v/>
      </c>
      <c r="AC395" s="98" t="str">
        <f>IF(IFERROR(VLOOKUP(A395,'28.照明'!C:D,1,0),"")="","","✔")</f>
        <v/>
      </c>
      <c r="AD395" s="98" t="str">
        <f>IF(IFERROR(VLOOKUP(A395,'29.既有橋梁拆除'!C:D,1,0),"")="","","✔")</f>
        <v/>
      </c>
    </row>
    <row r="396" spans="1:30" ht="21.75" customHeight="1" x14ac:dyDescent="0.25">
      <c r="A396" s="99">
        <v>45586</v>
      </c>
      <c r="B396" s="98" t="str">
        <f>IF(IFERROR(VLOOKUP(A396,'1.測量放樣'!C:D,1,0),"")="","","✔")</f>
        <v/>
      </c>
      <c r="C396" s="98" t="str">
        <f>IF(IFERROR(VLOOKUP(A396,'2.土方開挖'!C:D,1,0),"")="","","✔")</f>
        <v/>
      </c>
      <c r="D396" s="98" t="str">
        <f>IF(IFERROR(VLOOKUP(A396,'3.土方回填'!C:D,1,0),"")="","","✔")</f>
        <v/>
      </c>
      <c r="E396" s="98" t="str">
        <f>IF(IFERROR(VLOOKUP(A396,'4.鋼筋'!C:D,1,0),"")="","","✔")</f>
        <v/>
      </c>
      <c r="F396" s="98" t="str">
        <f>IF(IFERROR(VLOOKUP(A396,'5.模板'!C:D,1,0),"")="","","✔")</f>
        <v/>
      </c>
      <c r="G396" s="98" t="str">
        <f>IF(IFERROR(VLOOKUP(A396,'6.混凝土'!C:D,1,0),"")="","","✔")</f>
        <v/>
      </c>
      <c r="H396" s="98" t="str">
        <f>IF(IFERROR(VLOOKUP(A396,'7.植筋'!C:D,1,0),"")="","","✔")</f>
        <v/>
      </c>
      <c r="I396" s="98" t="str">
        <f>IF(IFERROR(VLOOKUP(A396,'8.預力混凝土基樁'!C:D,1,0),"")="","","✔")</f>
        <v/>
      </c>
      <c r="J396" s="98" t="str">
        <f>IF(IFERROR(VLOOKUP(A396,'9.砌塊石護岸'!C:D,1,0),"")="","","✔")</f>
        <v/>
      </c>
      <c r="K396" s="98" t="str">
        <f>IF(IFERROR(VLOOKUP(A396,'10.低水護岸'!C:D,1,0),"")="","","✔")</f>
        <v/>
      </c>
      <c r="L396" s="98" t="str">
        <f>IF(IFERROR(VLOOKUP(A396,'11.固床工'!C:D,1,0),"")="","","✔")</f>
        <v/>
      </c>
      <c r="M396" s="98" t="str">
        <f>IF(IFERROR(VLOOKUP(A396,'12.全套管基樁'!C:D,1,0),"")="","","✔")</f>
        <v/>
      </c>
      <c r="N396" s="98" t="str">
        <f>IF(IFERROR(VLOOKUP(A396,'13.鋼筋混凝土管工程'!C:D,1,0),"")="","","✔")</f>
        <v/>
      </c>
      <c r="O396" s="98" t="str">
        <f>IF(IFERROR(VLOOKUP(A396,'14.鋼版樁'!C:D,1,0),"")="","","✔")</f>
        <v/>
      </c>
      <c r="P396" s="98" t="str">
        <f>IF(IFERROR(VLOOKUP(A396,'15.路床 路基高程'!C:D,1,0),"")="","","✔")</f>
        <v/>
      </c>
      <c r="Q396" s="98" t="str">
        <f>IF(IFERROR(VLOOKUP(A396,'16.瀝青混凝土'!C:D,1,0),"")="","","✔")</f>
        <v/>
      </c>
      <c r="R396" s="98" t="str">
        <f>IF(IFERROR(VLOOKUP(A396,'17.景觀鋪面(一)'!C:D,1,0),"")="","","✔")</f>
        <v/>
      </c>
      <c r="S396" s="98" t="str">
        <f>IF(IFERROR(VLOOKUP(A396,'18.景觀鋪面(二)'!C:D,1,0),"")="","","✔")</f>
        <v/>
      </c>
      <c r="T396" s="98" t="str">
        <f>IF(IFERROR(VLOOKUP(A396,'19.預鑄緣石'!C:D,1,0),"")="","","✔")</f>
        <v/>
      </c>
      <c r="U396" s="98" t="str">
        <f>IF(IFERROR(VLOOKUP(A396,'20.鋼構工程吊裝'!C:D,1,0),"")="","","✔")</f>
        <v/>
      </c>
      <c r="V396" s="98" t="str">
        <f>IF(IFERROR(VLOOKUP(A396,'21.鋼構工程塗裝'!C:D,1,0),"")="","","✔")</f>
        <v/>
      </c>
      <c r="W396" s="98" t="str">
        <f>IF(IFERROR(VLOOKUP(A396,'22.排水設施(一)'!C:D,1,0),"")="","","✔")</f>
        <v/>
      </c>
      <c r="X396" s="98" t="str">
        <f>IF(IFERROR(VLOOKUP(A396,'23.排水設施(二)'!C:D,1,0),"")="","","✔")</f>
        <v/>
      </c>
      <c r="Y396" s="98" t="str">
        <f>IF(IFERROR(VLOOKUP(A396,'24.木構造'!C:D,1,0),"")="","","✔")</f>
        <v/>
      </c>
      <c r="Z396" s="98" t="str">
        <f>IF(IFERROR(VLOOKUP(A396,'25.管路'!C:D,1,0),"")="","","✔")</f>
        <v/>
      </c>
      <c r="AA396" s="98" t="str">
        <f>IF(IFERROR(VLOOKUP(A396,'26.植栽(移植)'!C:D,1,0),"")="","","✔")</f>
        <v/>
      </c>
      <c r="AB396" s="98" t="str">
        <f>IF(IFERROR(VLOOKUP(A396,'27.植栽(新植)'!C:D,1,0),"")="","","✔")</f>
        <v/>
      </c>
      <c r="AC396" s="98" t="str">
        <f>IF(IFERROR(VLOOKUP(A396,'28.照明'!C:D,1,0),"")="","","✔")</f>
        <v/>
      </c>
      <c r="AD396" s="98" t="str">
        <f>IF(IFERROR(VLOOKUP(A396,'29.既有橋梁拆除'!C:D,1,0),"")="","","✔")</f>
        <v/>
      </c>
    </row>
    <row r="397" spans="1:30" ht="21.75" customHeight="1" x14ac:dyDescent="0.25">
      <c r="A397" s="99">
        <v>45587</v>
      </c>
      <c r="B397" s="98" t="str">
        <f>IF(IFERROR(VLOOKUP(A397,'1.測量放樣'!C:D,1,0),"")="","","✔")</f>
        <v/>
      </c>
      <c r="C397" s="98" t="str">
        <f>IF(IFERROR(VLOOKUP(A397,'2.土方開挖'!C:D,1,0),"")="","","✔")</f>
        <v/>
      </c>
      <c r="D397" s="98" t="str">
        <f>IF(IFERROR(VLOOKUP(A397,'3.土方回填'!C:D,1,0),"")="","","✔")</f>
        <v/>
      </c>
      <c r="E397" s="98" t="str">
        <f>IF(IFERROR(VLOOKUP(A397,'4.鋼筋'!C:D,1,0),"")="","","✔")</f>
        <v/>
      </c>
      <c r="F397" s="98" t="str">
        <f>IF(IFERROR(VLOOKUP(A397,'5.模板'!C:D,1,0),"")="","","✔")</f>
        <v/>
      </c>
      <c r="G397" s="98" t="str">
        <f>IF(IFERROR(VLOOKUP(A397,'6.混凝土'!C:D,1,0),"")="","","✔")</f>
        <v/>
      </c>
      <c r="H397" s="98" t="str">
        <f>IF(IFERROR(VLOOKUP(A397,'7.植筋'!C:D,1,0),"")="","","✔")</f>
        <v/>
      </c>
      <c r="I397" s="98" t="str">
        <f>IF(IFERROR(VLOOKUP(A397,'8.預力混凝土基樁'!C:D,1,0),"")="","","✔")</f>
        <v/>
      </c>
      <c r="J397" s="98" t="str">
        <f>IF(IFERROR(VLOOKUP(A397,'9.砌塊石護岸'!C:D,1,0),"")="","","✔")</f>
        <v/>
      </c>
      <c r="K397" s="98" t="str">
        <f>IF(IFERROR(VLOOKUP(A397,'10.低水護岸'!C:D,1,0),"")="","","✔")</f>
        <v/>
      </c>
      <c r="L397" s="98" t="str">
        <f>IF(IFERROR(VLOOKUP(A397,'11.固床工'!C:D,1,0),"")="","","✔")</f>
        <v/>
      </c>
      <c r="M397" s="98" t="str">
        <f>IF(IFERROR(VLOOKUP(A397,'12.全套管基樁'!C:D,1,0),"")="","","✔")</f>
        <v/>
      </c>
      <c r="N397" s="98" t="str">
        <f>IF(IFERROR(VLOOKUP(A397,'13.鋼筋混凝土管工程'!C:D,1,0),"")="","","✔")</f>
        <v/>
      </c>
      <c r="O397" s="98" t="str">
        <f>IF(IFERROR(VLOOKUP(A397,'14.鋼版樁'!C:D,1,0),"")="","","✔")</f>
        <v/>
      </c>
      <c r="P397" s="98" t="str">
        <f>IF(IFERROR(VLOOKUP(A397,'15.路床 路基高程'!C:D,1,0),"")="","","✔")</f>
        <v/>
      </c>
      <c r="Q397" s="98" t="str">
        <f>IF(IFERROR(VLOOKUP(A397,'16.瀝青混凝土'!C:D,1,0),"")="","","✔")</f>
        <v/>
      </c>
      <c r="R397" s="98" t="str">
        <f>IF(IFERROR(VLOOKUP(A397,'17.景觀鋪面(一)'!C:D,1,0),"")="","","✔")</f>
        <v/>
      </c>
      <c r="S397" s="98" t="str">
        <f>IF(IFERROR(VLOOKUP(A397,'18.景觀鋪面(二)'!C:D,1,0),"")="","","✔")</f>
        <v/>
      </c>
      <c r="T397" s="98" t="str">
        <f>IF(IFERROR(VLOOKUP(A397,'19.預鑄緣石'!C:D,1,0),"")="","","✔")</f>
        <v/>
      </c>
      <c r="U397" s="98" t="str">
        <f>IF(IFERROR(VLOOKUP(A397,'20.鋼構工程吊裝'!C:D,1,0),"")="","","✔")</f>
        <v/>
      </c>
      <c r="V397" s="98" t="str">
        <f>IF(IFERROR(VLOOKUP(A397,'21.鋼構工程塗裝'!C:D,1,0),"")="","","✔")</f>
        <v/>
      </c>
      <c r="W397" s="98" t="str">
        <f>IF(IFERROR(VLOOKUP(A397,'22.排水設施(一)'!C:D,1,0),"")="","","✔")</f>
        <v/>
      </c>
      <c r="X397" s="98" t="str">
        <f>IF(IFERROR(VLOOKUP(A397,'23.排水設施(二)'!C:D,1,0),"")="","","✔")</f>
        <v/>
      </c>
      <c r="Y397" s="98" t="str">
        <f>IF(IFERROR(VLOOKUP(A397,'24.木構造'!C:D,1,0),"")="","","✔")</f>
        <v/>
      </c>
      <c r="Z397" s="98" t="str">
        <f>IF(IFERROR(VLOOKUP(A397,'25.管路'!C:D,1,0),"")="","","✔")</f>
        <v/>
      </c>
      <c r="AA397" s="98" t="str">
        <f>IF(IFERROR(VLOOKUP(A397,'26.植栽(移植)'!C:D,1,0),"")="","","✔")</f>
        <v/>
      </c>
      <c r="AB397" s="98" t="str">
        <f>IF(IFERROR(VLOOKUP(A397,'27.植栽(新植)'!C:D,1,0),"")="","","✔")</f>
        <v/>
      </c>
      <c r="AC397" s="98" t="str">
        <f>IF(IFERROR(VLOOKUP(A397,'28.照明'!C:D,1,0),"")="","","✔")</f>
        <v/>
      </c>
      <c r="AD397" s="98" t="str">
        <f>IF(IFERROR(VLOOKUP(A397,'29.既有橋梁拆除'!C:D,1,0),"")="","","✔")</f>
        <v/>
      </c>
    </row>
    <row r="398" spans="1:30" ht="21.75" customHeight="1" x14ac:dyDescent="0.25">
      <c r="A398" s="99">
        <v>45588</v>
      </c>
      <c r="B398" s="98" t="str">
        <f>IF(IFERROR(VLOOKUP(A398,'1.測量放樣'!C:D,1,0),"")="","","✔")</f>
        <v/>
      </c>
      <c r="C398" s="98" t="str">
        <f>IF(IFERROR(VLOOKUP(A398,'2.土方開挖'!C:D,1,0),"")="","","✔")</f>
        <v/>
      </c>
      <c r="D398" s="98" t="str">
        <f>IF(IFERROR(VLOOKUP(A398,'3.土方回填'!C:D,1,0),"")="","","✔")</f>
        <v/>
      </c>
      <c r="E398" s="98" t="str">
        <f>IF(IFERROR(VLOOKUP(A398,'4.鋼筋'!C:D,1,0),"")="","","✔")</f>
        <v/>
      </c>
      <c r="F398" s="98" t="str">
        <f>IF(IFERROR(VLOOKUP(A398,'5.模板'!C:D,1,0),"")="","","✔")</f>
        <v/>
      </c>
      <c r="G398" s="98" t="str">
        <f>IF(IFERROR(VLOOKUP(A398,'6.混凝土'!C:D,1,0),"")="","","✔")</f>
        <v/>
      </c>
      <c r="H398" s="98" t="str">
        <f>IF(IFERROR(VLOOKUP(A398,'7.植筋'!C:D,1,0),"")="","","✔")</f>
        <v/>
      </c>
      <c r="I398" s="98" t="str">
        <f>IF(IFERROR(VLOOKUP(A398,'8.預力混凝土基樁'!C:D,1,0),"")="","","✔")</f>
        <v/>
      </c>
      <c r="J398" s="98" t="str">
        <f>IF(IFERROR(VLOOKUP(A398,'9.砌塊石護岸'!C:D,1,0),"")="","","✔")</f>
        <v/>
      </c>
      <c r="K398" s="98" t="str">
        <f>IF(IFERROR(VLOOKUP(A398,'10.低水護岸'!C:D,1,0),"")="","","✔")</f>
        <v/>
      </c>
      <c r="L398" s="98" t="str">
        <f>IF(IFERROR(VLOOKUP(A398,'11.固床工'!C:D,1,0),"")="","","✔")</f>
        <v/>
      </c>
      <c r="M398" s="98" t="str">
        <f>IF(IFERROR(VLOOKUP(A398,'12.全套管基樁'!C:D,1,0),"")="","","✔")</f>
        <v/>
      </c>
      <c r="N398" s="98" t="str">
        <f>IF(IFERROR(VLOOKUP(A398,'13.鋼筋混凝土管工程'!C:D,1,0),"")="","","✔")</f>
        <v/>
      </c>
      <c r="O398" s="98" t="str">
        <f>IF(IFERROR(VLOOKUP(A398,'14.鋼版樁'!C:D,1,0),"")="","","✔")</f>
        <v/>
      </c>
      <c r="P398" s="98" t="str">
        <f>IF(IFERROR(VLOOKUP(A398,'15.路床 路基高程'!C:D,1,0),"")="","","✔")</f>
        <v/>
      </c>
      <c r="Q398" s="98" t="str">
        <f>IF(IFERROR(VLOOKUP(A398,'16.瀝青混凝土'!C:D,1,0),"")="","","✔")</f>
        <v/>
      </c>
      <c r="R398" s="98" t="str">
        <f>IF(IFERROR(VLOOKUP(A398,'17.景觀鋪面(一)'!C:D,1,0),"")="","","✔")</f>
        <v/>
      </c>
      <c r="S398" s="98" t="str">
        <f>IF(IFERROR(VLOOKUP(A398,'18.景觀鋪面(二)'!C:D,1,0),"")="","","✔")</f>
        <v/>
      </c>
      <c r="T398" s="98" t="str">
        <f>IF(IFERROR(VLOOKUP(A398,'19.預鑄緣石'!C:D,1,0),"")="","","✔")</f>
        <v/>
      </c>
      <c r="U398" s="98" t="str">
        <f>IF(IFERROR(VLOOKUP(A398,'20.鋼構工程吊裝'!C:D,1,0),"")="","","✔")</f>
        <v/>
      </c>
      <c r="V398" s="98" t="str">
        <f>IF(IFERROR(VLOOKUP(A398,'21.鋼構工程塗裝'!C:D,1,0),"")="","","✔")</f>
        <v/>
      </c>
      <c r="W398" s="98" t="str">
        <f>IF(IFERROR(VLOOKUP(A398,'22.排水設施(一)'!C:D,1,0),"")="","","✔")</f>
        <v/>
      </c>
      <c r="X398" s="98" t="str">
        <f>IF(IFERROR(VLOOKUP(A398,'23.排水設施(二)'!C:D,1,0),"")="","","✔")</f>
        <v/>
      </c>
      <c r="Y398" s="98" t="str">
        <f>IF(IFERROR(VLOOKUP(A398,'24.木構造'!C:D,1,0),"")="","","✔")</f>
        <v/>
      </c>
      <c r="Z398" s="98" t="str">
        <f>IF(IFERROR(VLOOKUP(A398,'25.管路'!C:D,1,0),"")="","","✔")</f>
        <v/>
      </c>
      <c r="AA398" s="98" t="str">
        <f>IF(IFERROR(VLOOKUP(A398,'26.植栽(移植)'!C:D,1,0),"")="","","✔")</f>
        <v/>
      </c>
      <c r="AB398" s="98" t="str">
        <f>IF(IFERROR(VLOOKUP(A398,'27.植栽(新植)'!C:D,1,0),"")="","","✔")</f>
        <v/>
      </c>
      <c r="AC398" s="98" t="str">
        <f>IF(IFERROR(VLOOKUP(A398,'28.照明'!C:D,1,0),"")="","","✔")</f>
        <v/>
      </c>
      <c r="AD398" s="98" t="str">
        <f>IF(IFERROR(VLOOKUP(A398,'29.既有橋梁拆除'!C:D,1,0),"")="","","✔")</f>
        <v/>
      </c>
    </row>
    <row r="399" spans="1:30" ht="21.75" customHeight="1" x14ac:dyDescent="0.25">
      <c r="A399" s="99">
        <v>45589</v>
      </c>
      <c r="B399" s="98" t="str">
        <f>IF(IFERROR(VLOOKUP(A399,'1.測量放樣'!C:D,1,0),"")="","","✔")</f>
        <v/>
      </c>
      <c r="C399" s="98" t="str">
        <f>IF(IFERROR(VLOOKUP(A399,'2.土方開挖'!C:D,1,0),"")="","","✔")</f>
        <v/>
      </c>
      <c r="D399" s="98" t="str">
        <f>IF(IFERROR(VLOOKUP(A399,'3.土方回填'!C:D,1,0),"")="","","✔")</f>
        <v/>
      </c>
      <c r="E399" s="98" t="str">
        <f>IF(IFERROR(VLOOKUP(A399,'4.鋼筋'!C:D,1,0),"")="","","✔")</f>
        <v/>
      </c>
      <c r="F399" s="98" t="str">
        <f>IF(IFERROR(VLOOKUP(A399,'5.模板'!C:D,1,0),"")="","","✔")</f>
        <v/>
      </c>
      <c r="G399" s="98" t="str">
        <f>IF(IFERROR(VLOOKUP(A399,'6.混凝土'!C:D,1,0),"")="","","✔")</f>
        <v/>
      </c>
      <c r="H399" s="98" t="str">
        <f>IF(IFERROR(VLOOKUP(A399,'7.植筋'!C:D,1,0),"")="","","✔")</f>
        <v/>
      </c>
      <c r="I399" s="98" t="str">
        <f>IF(IFERROR(VLOOKUP(A399,'8.預力混凝土基樁'!C:D,1,0),"")="","","✔")</f>
        <v/>
      </c>
      <c r="J399" s="98" t="str">
        <f>IF(IFERROR(VLOOKUP(A399,'9.砌塊石護岸'!C:D,1,0),"")="","","✔")</f>
        <v/>
      </c>
      <c r="K399" s="98" t="str">
        <f>IF(IFERROR(VLOOKUP(A399,'10.低水護岸'!C:D,1,0),"")="","","✔")</f>
        <v/>
      </c>
      <c r="L399" s="98" t="str">
        <f>IF(IFERROR(VLOOKUP(A399,'11.固床工'!C:D,1,0),"")="","","✔")</f>
        <v/>
      </c>
      <c r="M399" s="98" t="str">
        <f>IF(IFERROR(VLOOKUP(A399,'12.全套管基樁'!C:D,1,0),"")="","","✔")</f>
        <v/>
      </c>
      <c r="N399" s="98" t="str">
        <f>IF(IFERROR(VLOOKUP(A399,'13.鋼筋混凝土管工程'!C:D,1,0),"")="","","✔")</f>
        <v/>
      </c>
      <c r="O399" s="98" t="str">
        <f>IF(IFERROR(VLOOKUP(A399,'14.鋼版樁'!C:D,1,0),"")="","","✔")</f>
        <v/>
      </c>
      <c r="P399" s="98" t="str">
        <f>IF(IFERROR(VLOOKUP(A399,'15.路床 路基高程'!C:D,1,0),"")="","","✔")</f>
        <v/>
      </c>
      <c r="Q399" s="98" t="str">
        <f>IF(IFERROR(VLOOKUP(A399,'16.瀝青混凝土'!C:D,1,0),"")="","","✔")</f>
        <v/>
      </c>
      <c r="R399" s="98" t="str">
        <f>IF(IFERROR(VLOOKUP(A399,'17.景觀鋪面(一)'!C:D,1,0),"")="","","✔")</f>
        <v/>
      </c>
      <c r="S399" s="98" t="str">
        <f>IF(IFERROR(VLOOKUP(A399,'18.景觀鋪面(二)'!C:D,1,0),"")="","","✔")</f>
        <v/>
      </c>
      <c r="T399" s="98" t="str">
        <f>IF(IFERROR(VLOOKUP(A399,'19.預鑄緣石'!C:D,1,0),"")="","","✔")</f>
        <v/>
      </c>
      <c r="U399" s="98" t="str">
        <f>IF(IFERROR(VLOOKUP(A399,'20.鋼構工程吊裝'!C:D,1,0),"")="","","✔")</f>
        <v/>
      </c>
      <c r="V399" s="98" t="str">
        <f>IF(IFERROR(VLOOKUP(A399,'21.鋼構工程塗裝'!C:D,1,0),"")="","","✔")</f>
        <v/>
      </c>
      <c r="W399" s="98" t="str">
        <f>IF(IFERROR(VLOOKUP(A399,'22.排水設施(一)'!C:D,1,0),"")="","","✔")</f>
        <v/>
      </c>
      <c r="X399" s="98" t="str">
        <f>IF(IFERROR(VLOOKUP(A399,'23.排水設施(二)'!C:D,1,0),"")="","","✔")</f>
        <v/>
      </c>
      <c r="Y399" s="98" t="str">
        <f>IF(IFERROR(VLOOKUP(A399,'24.木構造'!C:D,1,0),"")="","","✔")</f>
        <v/>
      </c>
      <c r="Z399" s="98" t="str">
        <f>IF(IFERROR(VLOOKUP(A399,'25.管路'!C:D,1,0),"")="","","✔")</f>
        <v/>
      </c>
      <c r="AA399" s="98" t="str">
        <f>IF(IFERROR(VLOOKUP(A399,'26.植栽(移植)'!C:D,1,0),"")="","","✔")</f>
        <v/>
      </c>
      <c r="AB399" s="98" t="str">
        <f>IF(IFERROR(VLOOKUP(A399,'27.植栽(新植)'!C:D,1,0),"")="","","✔")</f>
        <v/>
      </c>
      <c r="AC399" s="98" t="str">
        <f>IF(IFERROR(VLOOKUP(A399,'28.照明'!C:D,1,0),"")="","","✔")</f>
        <v/>
      </c>
      <c r="AD399" s="98" t="str">
        <f>IF(IFERROR(VLOOKUP(A399,'29.既有橋梁拆除'!C:D,1,0),"")="","","✔")</f>
        <v/>
      </c>
    </row>
    <row r="400" spans="1:30" ht="21.75" customHeight="1" x14ac:dyDescent="0.25">
      <c r="A400" s="99">
        <v>45590</v>
      </c>
      <c r="B400" s="98" t="str">
        <f>IF(IFERROR(VLOOKUP(A400,'1.測量放樣'!C:D,1,0),"")="","","✔")</f>
        <v/>
      </c>
      <c r="C400" s="98" t="str">
        <f>IF(IFERROR(VLOOKUP(A400,'2.土方開挖'!C:D,1,0),"")="","","✔")</f>
        <v/>
      </c>
      <c r="D400" s="98" t="str">
        <f>IF(IFERROR(VLOOKUP(A400,'3.土方回填'!C:D,1,0),"")="","","✔")</f>
        <v/>
      </c>
      <c r="E400" s="98" t="str">
        <f>IF(IFERROR(VLOOKUP(A400,'4.鋼筋'!C:D,1,0),"")="","","✔")</f>
        <v/>
      </c>
      <c r="F400" s="98" t="str">
        <f>IF(IFERROR(VLOOKUP(A400,'5.模板'!C:D,1,0),"")="","","✔")</f>
        <v/>
      </c>
      <c r="G400" s="98" t="str">
        <f>IF(IFERROR(VLOOKUP(A400,'6.混凝土'!C:D,1,0),"")="","","✔")</f>
        <v/>
      </c>
      <c r="H400" s="98" t="str">
        <f>IF(IFERROR(VLOOKUP(A400,'7.植筋'!C:D,1,0),"")="","","✔")</f>
        <v/>
      </c>
      <c r="I400" s="98" t="str">
        <f>IF(IFERROR(VLOOKUP(A400,'8.預力混凝土基樁'!C:D,1,0),"")="","","✔")</f>
        <v/>
      </c>
      <c r="J400" s="98" t="str">
        <f>IF(IFERROR(VLOOKUP(A400,'9.砌塊石護岸'!C:D,1,0),"")="","","✔")</f>
        <v/>
      </c>
      <c r="K400" s="98" t="str">
        <f>IF(IFERROR(VLOOKUP(A400,'10.低水護岸'!C:D,1,0),"")="","","✔")</f>
        <v/>
      </c>
      <c r="L400" s="98" t="str">
        <f>IF(IFERROR(VLOOKUP(A400,'11.固床工'!C:D,1,0),"")="","","✔")</f>
        <v/>
      </c>
      <c r="M400" s="98" t="str">
        <f>IF(IFERROR(VLOOKUP(A400,'12.全套管基樁'!C:D,1,0),"")="","","✔")</f>
        <v/>
      </c>
      <c r="N400" s="98" t="str">
        <f>IF(IFERROR(VLOOKUP(A400,'13.鋼筋混凝土管工程'!C:D,1,0),"")="","","✔")</f>
        <v/>
      </c>
      <c r="O400" s="98" t="str">
        <f>IF(IFERROR(VLOOKUP(A400,'14.鋼版樁'!C:D,1,0),"")="","","✔")</f>
        <v/>
      </c>
      <c r="P400" s="98" t="str">
        <f>IF(IFERROR(VLOOKUP(A400,'15.路床 路基高程'!C:D,1,0),"")="","","✔")</f>
        <v/>
      </c>
      <c r="Q400" s="98" t="str">
        <f>IF(IFERROR(VLOOKUP(A400,'16.瀝青混凝土'!C:D,1,0),"")="","","✔")</f>
        <v/>
      </c>
      <c r="R400" s="98" t="str">
        <f>IF(IFERROR(VLOOKUP(A400,'17.景觀鋪面(一)'!C:D,1,0),"")="","","✔")</f>
        <v/>
      </c>
      <c r="S400" s="98" t="str">
        <f>IF(IFERROR(VLOOKUP(A400,'18.景觀鋪面(二)'!C:D,1,0),"")="","","✔")</f>
        <v/>
      </c>
      <c r="T400" s="98" t="str">
        <f>IF(IFERROR(VLOOKUP(A400,'19.預鑄緣石'!C:D,1,0),"")="","","✔")</f>
        <v/>
      </c>
      <c r="U400" s="98" t="str">
        <f>IF(IFERROR(VLOOKUP(A400,'20.鋼構工程吊裝'!C:D,1,0),"")="","","✔")</f>
        <v/>
      </c>
      <c r="V400" s="98" t="str">
        <f>IF(IFERROR(VLOOKUP(A400,'21.鋼構工程塗裝'!C:D,1,0),"")="","","✔")</f>
        <v/>
      </c>
      <c r="W400" s="98" t="str">
        <f>IF(IFERROR(VLOOKUP(A400,'22.排水設施(一)'!C:D,1,0),"")="","","✔")</f>
        <v/>
      </c>
      <c r="X400" s="98" t="str">
        <f>IF(IFERROR(VLOOKUP(A400,'23.排水設施(二)'!C:D,1,0),"")="","","✔")</f>
        <v/>
      </c>
      <c r="Y400" s="98" t="str">
        <f>IF(IFERROR(VLOOKUP(A400,'24.木構造'!C:D,1,0),"")="","","✔")</f>
        <v/>
      </c>
      <c r="Z400" s="98" t="str">
        <f>IF(IFERROR(VLOOKUP(A400,'25.管路'!C:D,1,0),"")="","","✔")</f>
        <v/>
      </c>
      <c r="AA400" s="98" t="str">
        <f>IF(IFERROR(VLOOKUP(A400,'26.植栽(移植)'!C:D,1,0),"")="","","✔")</f>
        <v/>
      </c>
      <c r="AB400" s="98" t="str">
        <f>IF(IFERROR(VLOOKUP(A400,'27.植栽(新植)'!C:D,1,0),"")="","","✔")</f>
        <v/>
      </c>
      <c r="AC400" s="98" t="str">
        <f>IF(IFERROR(VLOOKUP(A400,'28.照明'!C:D,1,0),"")="","","✔")</f>
        <v/>
      </c>
      <c r="AD400" s="98" t="str">
        <f>IF(IFERROR(VLOOKUP(A400,'29.既有橋梁拆除'!C:D,1,0),"")="","","✔")</f>
        <v/>
      </c>
    </row>
    <row r="401" spans="1:30" ht="21.75" customHeight="1" x14ac:dyDescent="0.25">
      <c r="A401" s="99">
        <v>45591</v>
      </c>
      <c r="B401" s="98" t="str">
        <f>IF(IFERROR(VLOOKUP(A401,'1.測量放樣'!C:D,1,0),"")="","","✔")</f>
        <v/>
      </c>
      <c r="C401" s="98" t="str">
        <f>IF(IFERROR(VLOOKUP(A401,'2.土方開挖'!C:D,1,0),"")="","","✔")</f>
        <v/>
      </c>
      <c r="D401" s="98" t="str">
        <f>IF(IFERROR(VLOOKUP(A401,'3.土方回填'!C:D,1,0),"")="","","✔")</f>
        <v/>
      </c>
      <c r="E401" s="98" t="str">
        <f>IF(IFERROR(VLOOKUP(A401,'4.鋼筋'!C:D,1,0),"")="","","✔")</f>
        <v/>
      </c>
      <c r="F401" s="98" t="str">
        <f>IF(IFERROR(VLOOKUP(A401,'5.模板'!C:D,1,0),"")="","","✔")</f>
        <v/>
      </c>
      <c r="G401" s="98" t="str">
        <f>IF(IFERROR(VLOOKUP(A401,'6.混凝土'!C:D,1,0),"")="","","✔")</f>
        <v/>
      </c>
      <c r="H401" s="98" t="str">
        <f>IF(IFERROR(VLOOKUP(A401,'7.植筋'!C:D,1,0),"")="","","✔")</f>
        <v/>
      </c>
      <c r="I401" s="98" t="str">
        <f>IF(IFERROR(VLOOKUP(A401,'8.預力混凝土基樁'!C:D,1,0),"")="","","✔")</f>
        <v/>
      </c>
      <c r="J401" s="98" t="str">
        <f>IF(IFERROR(VLOOKUP(A401,'9.砌塊石護岸'!C:D,1,0),"")="","","✔")</f>
        <v/>
      </c>
      <c r="K401" s="98" t="str">
        <f>IF(IFERROR(VLOOKUP(A401,'10.低水護岸'!C:D,1,0),"")="","","✔")</f>
        <v/>
      </c>
      <c r="L401" s="98" t="str">
        <f>IF(IFERROR(VLOOKUP(A401,'11.固床工'!C:D,1,0),"")="","","✔")</f>
        <v/>
      </c>
      <c r="M401" s="98" t="str">
        <f>IF(IFERROR(VLOOKUP(A401,'12.全套管基樁'!C:D,1,0),"")="","","✔")</f>
        <v/>
      </c>
      <c r="N401" s="98" t="str">
        <f>IF(IFERROR(VLOOKUP(A401,'13.鋼筋混凝土管工程'!C:D,1,0),"")="","","✔")</f>
        <v/>
      </c>
      <c r="O401" s="98" t="str">
        <f>IF(IFERROR(VLOOKUP(A401,'14.鋼版樁'!C:D,1,0),"")="","","✔")</f>
        <v/>
      </c>
      <c r="P401" s="98" t="str">
        <f>IF(IFERROR(VLOOKUP(A401,'15.路床 路基高程'!C:D,1,0),"")="","","✔")</f>
        <v/>
      </c>
      <c r="Q401" s="98" t="str">
        <f>IF(IFERROR(VLOOKUP(A401,'16.瀝青混凝土'!C:D,1,0),"")="","","✔")</f>
        <v/>
      </c>
      <c r="R401" s="98" t="str">
        <f>IF(IFERROR(VLOOKUP(A401,'17.景觀鋪面(一)'!C:D,1,0),"")="","","✔")</f>
        <v/>
      </c>
      <c r="S401" s="98" t="str">
        <f>IF(IFERROR(VLOOKUP(A401,'18.景觀鋪面(二)'!C:D,1,0),"")="","","✔")</f>
        <v/>
      </c>
      <c r="T401" s="98" t="str">
        <f>IF(IFERROR(VLOOKUP(A401,'19.預鑄緣石'!C:D,1,0),"")="","","✔")</f>
        <v/>
      </c>
      <c r="U401" s="98" t="str">
        <f>IF(IFERROR(VLOOKUP(A401,'20.鋼構工程吊裝'!C:D,1,0),"")="","","✔")</f>
        <v/>
      </c>
      <c r="V401" s="98" t="str">
        <f>IF(IFERROR(VLOOKUP(A401,'21.鋼構工程塗裝'!C:D,1,0),"")="","","✔")</f>
        <v/>
      </c>
      <c r="W401" s="98" t="str">
        <f>IF(IFERROR(VLOOKUP(A401,'22.排水設施(一)'!C:D,1,0),"")="","","✔")</f>
        <v/>
      </c>
      <c r="X401" s="98" t="str">
        <f>IF(IFERROR(VLOOKUP(A401,'23.排水設施(二)'!C:D,1,0),"")="","","✔")</f>
        <v/>
      </c>
      <c r="Y401" s="98" t="str">
        <f>IF(IFERROR(VLOOKUP(A401,'24.木構造'!C:D,1,0),"")="","","✔")</f>
        <v/>
      </c>
      <c r="Z401" s="98" t="str">
        <f>IF(IFERROR(VLOOKUP(A401,'25.管路'!C:D,1,0),"")="","","✔")</f>
        <v/>
      </c>
      <c r="AA401" s="98" t="str">
        <f>IF(IFERROR(VLOOKUP(A401,'26.植栽(移植)'!C:D,1,0),"")="","","✔")</f>
        <v/>
      </c>
      <c r="AB401" s="98" t="str">
        <f>IF(IFERROR(VLOOKUP(A401,'27.植栽(新植)'!C:D,1,0),"")="","","✔")</f>
        <v/>
      </c>
      <c r="AC401" s="98" t="str">
        <f>IF(IFERROR(VLOOKUP(A401,'28.照明'!C:D,1,0),"")="","","✔")</f>
        <v/>
      </c>
      <c r="AD401" s="98" t="str">
        <f>IF(IFERROR(VLOOKUP(A401,'29.既有橋梁拆除'!C:D,1,0),"")="","","✔")</f>
        <v/>
      </c>
    </row>
    <row r="402" spans="1:30" ht="21.75" customHeight="1" x14ac:dyDescent="0.25">
      <c r="A402" s="99">
        <v>45592</v>
      </c>
      <c r="B402" s="98" t="str">
        <f>IF(IFERROR(VLOOKUP(A402,'1.測量放樣'!C:D,1,0),"")="","","✔")</f>
        <v/>
      </c>
      <c r="C402" s="98" t="str">
        <f>IF(IFERROR(VLOOKUP(A402,'2.土方開挖'!C:D,1,0),"")="","","✔")</f>
        <v/>
      </c>
      <c r="D402" s="98" t="str">
        <f>IF(IFERROR(VLOOKUP(A402,'3.土方回填'!C:D,1,0),"")="","","✔")</f>
        <v/>
      </c>
      <c r="E402" s="98" t="str">
        <f>IF(IFERROR(VLOOKUP(A402,'4.鋼筋'!C:D,1,0),"")="","","✔")</f>
        <v/>
      </c>
      <c r="F402" s="98" t="str">
        <f>IF(IFERROR(VLOOKUP(A402,'5.模板'!C:D,1,0),"")="","","✔")</f>
        <v/>
      </c>
      <c r="G402" s="98" t="str">
        <f>IF(IFERROR(VLOOKUP(A402,'6.混凝土'!C:D,1,0),"")="","","✔")</f>
        <v/>
      </c>
      <c r="H402" s="98" t="str">
        <f>IF(IFERROR(VLOOKUP(A402,'7.植筋'!C:D,1,0),"")="","","✔")</f>
        <v/>
      </c>
      <c r="I402" s="98" t="str">
        <f>IF(IFERROR(VLOOKUP(A402,'8.預力混凝土基樁'!C:D,1,0),"")="","","✔")</f>
        <v/>
      </c>
      <c r="J402" s="98" t="str">
        <f>IF(IFERROR(VLOOKUP(A402,'9.砌塊石護岸'!C:D,1,0),"")="","","✔")</f>
        <v/>
      </c>
      <c r="K402" s="98" t="str">
        <f>IF(IFERROR(VLOOKUP(A402,'10.低水護岸'!C:D,1,0),"")="","","✔")</f>
        <v/>
      </c>
      <c r="L402" s="98" t="str">
        <f>IF(IFERROR(VLOOKUP(A402,'11.固床工'!C:D,1,0),"")="","","✔")</f>
        <v/>
      </c>
      <c r="M402" s="98" t="str">
        <f>IF(IFERROR(VLOOKUP(A402,'12.全套管基樁'!C:D,1,0),"")="","","✔")</f>
        <v/>
      </c>
      <c r="N402" s="98" t="str">
        <f>IF(IFERROR(VLOOKUP(A402,'13.鋼筋混凝土管工程'!C:D,1,0),"")="","","✔")</f>
        <v/>
      </c>
      <c r="O402" s="98" t="str">
        <f>IF(IFERROR(VLOOKUP(A402,'14.鋼版樁'!C:D,1,0),"")="","","✔")</f>
        <v/>
      </c>
      <c r="P402" s="98" t="str">
        <f>IF(IFERROR(VLOOKUP(A402,'15.路床 路基高程'!C:D,1,0),"")="","","✔")</f>
        <v/>
      </c>
      <c r="Q402" s="98" t="str">
        <f>IF(IFERROR(VLOOKUP(A402,'16.瀝青混凝土'!C:D,1,0),"")="","","✔")</f>
        <v/>
      </c>
      <c r="R402" s="98" t="str">
        <f>IF(IFERROR(VLOOKUP(A402,'17.景觀鋪面(一)'!C:D,1,0),"")="","","✔")</f>
        <v/>
      </c>
      <c r="S402" s="98" t="str">
        <f>IF(IFERROR(VLOOKUP(A402,'18.景觀鋪面(二)'!C:D,1,0),"")="","","✔")</f>
        <v/>
      </c>
      <c r="T402" s="98" t="str">
        <f>IF(IFERROR(VLOOKUP(A402,'19.預鑄緣石'!C:D,1,0),"")="","","✔")</f>
        <v/>
      </c>
      <c r="U402" s="98" t="str">
        <f>IF(IFERROR(VLOOKUP(A402,'20.鋼構工程吊裝'!C:D,1,0),"")="","","✔")</f>
        <v/>
      </c>
      <c r="V402" s="98" t="str">
        <f>IF(IFERROR(VLOOKUP(A402,'21.鋼構工程塗裝'!C:D,1,0),"")="","","✔")</f>
        <v/>
      </c>
      <c r="W402" s="98" t="str">
        <f>IF(IFERROR(VLOOKUP(A402,'22.排水設施(一)'!C:D,1,0),"")="","","✔")</f>
        <v/>
      </c>
      <c r="X402" s="98" t="str">
        <f>IF(IFERROR(VLOOKUP(A402,'23.排水設施(二)'!C:D,1,0),"")="","","✔")</f>
        <v/>
      </c>
      <c r="Y402" s="98" t="str">
        <f>IF(IFERROR(VLOOKUP(A402,'24.木構造'!C:D,1,0),"")="","","✔")</f>
        <v/>
      </c>
      <c r="Z402" s="98" t="str">
        <f>IF(IFERROR(VLOOKUP(A402,'25.管路'!C:D,1,0),"")="","","✔")</f>
        <v/>
      </c>
      <c r="AA402" s="98" t="str">
        <f>IF(IFERROR(VLOOKUP(A402,'26.植栽(移植)'!C:D,1,0),"")="","","✔")</f>
        <v/>
      </c>
      <c r="AB402" s="98" t="str">
        <f>IF(IFERROR(VLOOKUP(A402,'27.植栽(新植)'!C:D,1,0),"")="","","✔")</f>
        <v/>
      </c>
      <c r="AC402" s="98" t="str">
        <f>IF(IFERROR(VLOOKUP(A402,'28.照明'!C:D,1,0),"")="","","✔")</f>
        <v/>
      </c>
      <c r="AD402" s="98" t="str">
        <f>IF(IFERROR(VLOOKUP(A402,'29.既有橋梁拆除'!C:D,1,0),"")="","","✔")</f>
        <v/>
      </c>
    </row>
    <row r="403" spans="1:30" ht="21.75" customHeight="1" x14ac:dyDescent="0.25">
      <c r="A403" s="99">
        <v>45593</v>
      </c>
      <c r="B403" s="98" t="str">
        <f>IF(IFERROR(VLOOKUP(A403,'1.測量放樣'!C:D,1,0),"")="","","✔")</f>
        <v/>
      </c>
      <c r="C403" s="98" t="str">
        <f>IF(IFERROR(VLOOKUP(A403,'2.土方開挖'!C:D,1,0),"")="","","✔")</f>
        <v/>
      </c>
      <c r="D403" s="98" t="str">
        <f>IF(IFERROR(VLOOKUP(A403,'3.土方回填'!C:D,1,0),"")="","","✔")</f>
        <v/>
      </c>
      <c r="E403" s="98" t="str">
        <f>IF(IFERROR(VLOOKUP(A403,'4.鋼筋'!C:D,1,0),"")="","","✔")</f>
        <v/>
      </c>
      <c r="F403" s="98" t="str">
        <f>IF(IFERROR(VLOOKUP(A403,'5.模板'!C:D,1,0),"")="","","✔")</f>
        <v/>
      </c>
      <c r="G403" s="98" t="str">
        <f>IF(IFERROR(VLOOKUP(A403,'6.混凝土'!C:D,1,0),"")="","","✔")</f>
        <v/>
      </c>
      <c r="H403" s="98" t="str">
        <f>IF(IFERROR(VLOOKUP(A403,'7.植筋'!C:D,1,0),"")="","","✔")</f>
        <v/>
      </c>
      <c r="I403" s="98" t="str">
        <f>IF(IFERROR(VLOOKUP(A403,'8.預力混凝土基樁'!C:D,1,0),"")="","","✔")</f>
        <v/>
      </c>
      <c r="J403" s="98" t="str">
        <f>IF(IFERROR(VLOOKUP(A403,'9.砌塊石護岸'!C:D,1,0),"")="","","✔")</f>
        <v/>
      </c>
      <c r="K403" s="98" t="str">
        <f>IF(IFERROR(VLOOKUP(A403,'10.低水護岸'!C:D,1,0),"")="","","✔")</f>
        <v/>
      </c>
      <c r="L403" s="98" t="str">
        <f>IF(IFERROR(VLOOKUP(A403,'11.固床工'!C:D,1,0),"")="","","✔")</f>
        <v/>
      </c>
      <c r="M403" s="98" t="str">
        <f>IF(IFERROR(VLOOKUP(A403,'12.全套管基樁'!C:D,1,0),"")="","","✔")</f>
        <v/>
      </c>
      <c r="N403" s="98" t="str">
        <f>IF(IFERROR(VLOOKUP(A403,'13.鋼筋混凝土管工程'!C:D,1,0),"")="","","✔")</f>
        <v/>
      </c>
      <c r="O403" s="98" t="str">
        <f>IF(IFERROR(VLOOKUP(A403,'14.鋼版樁'!C:D,1,0),"")="","","✔")</f>
        <v/>
      </c>
      <c r="P403" s="98" t="str">
        <f>IF(IFERROR(VLOOKUP(A403,'15.路床 路基高程'!C:D,1,0),"")="","","✔")</f>
        <v/>
      </c>
      <c r="Q403" s="98" t="str">
        <f>IF(IFERROR(VLOOKUP(A403,'16.瀝青混凝土'!C:D,1,0),"")="","","✔")</f>
        <v/>
      </c>
      <c r="R403" s="98" t="str">
        <f>IF(IFERROR(VLOOKUP(A403,'17.景觀鋪面(一)'!C:D,1,0),"")="","","✔")</f>
        <v/>
      </c>
      <c r="S403" s="98" t="str">
        <f>IF(IFERROR(VLOOKUP(A403,'18.景觀鋪面(二)'!C:D,1,0),"")="","","✔")</f>
        <v/>
      </c>
      <c r="T403" s="98" t="str">
        <f>IF(IFERROR(VLOOKUP(A403,'19.預鑄緣石'!C:D,1,0),"")="","","✔")</f>
        <v/>
      </c>
      <c r="U403" s="98" t="str">
        <f>IF(IFERROR(VLOOKUP(A403,'20.鋼構工程吊裝'!C:D,1,0),"")="","","✔")</f>
        <v/>
      </c>
      <c r="V403" s="98" t="str">
        <f>IF(IFERROR(VLOOKUP(A403,'21.鋼構工程塗裝'!C:D,1,0),"")="","","✔")</f>
        <v/>
      </c>
      <c r="W403" s="98" t="str">
        <f>IF(IFERROR(VLOOKUP(A403,'22.排水設施(一)'!C:D,1,0),"")="","","✔")</f>
        <v/>
      </c>
      <c r="X403" s="98" t="str">
        <f>IF(IFERROR(VLOOKUP(A403,'23.排水設施(二)'!C:D,1,0),"")="","","✔")</f>
        <v/>
      </c>
      <c r="Y403" s="98" t="str">
        <f>IF(IFERROR(VLOOKUP(A403,'24.木構造'!C:D,1,0),"")="","","✔")</f>
        <v/>
      </c>
      <c r="Z403" s="98" t="str">
        <f>IF(IFERROR(VLOOKUP(A403,'25.管路'!C:D,1,0),"")="","","✔")</f>
        <v/>
      </c>
      <c r="AA403" s="98" t="str">
        <f>IF(IFERROR(VLOOKUP(A403,'26.植栽(移植)'!C:D,1,0),"")="","","✔")</f>
        <v/>
      </c>
      <c r="AB403" s="98" t="str">
        <f>IF(IFERROR(VLOOKUP(A403,'27.植栽(新植)'!C:D,1,0),"")="","","✔")</f>
        <v/>
      </c>
      <c r="AC403" s="98" t="str">
        <f>IF(IFERROR(VLOOKUP(A403,'28.照明'!C:D,1,0),"")="","","✔")</f>
        <v/>
      </c>
      <c r="AD403" s="98" t="str">
        <f>IF(IFERROR(VLOOKUP(A403,'29.既有橋梁拆除'!C:D,1,0),"")="","","✔")</f>
        <v/>
      </c>
    </row>
    <row r="404" spans="1:30" ht="21.75" customHeight="1" x14ac:dyDescent="0.25">
      <c r="A404" s="99">
        <v>45594</v>
      </c>
      <c r="B404" s="98" t="str">
        <f>IF(IFERROR(VLOOKUP(A404,'1.測量放樣'!C:D,1,0),"")="","","✔")</f>
        <v/>
      </c>
      <c r="C404" s="98" t="str">
        <f>IF(IFERROR(VLOOKUP(A404,'2.土方開挖'!C:D,1,0),"")="","","✔")</f>
        <v/>
      </c>
      <c r="D404" s="98" t="str">
        <f>IF(IFERROR(VLOOKUP(A404,'3.土方回填'!C:D,1,0),"")="","","✔")</f>
        <v/>
      </c>
      <c r="E404" s="98" t="str">
        <f>IF(IFERROR(VLOOKUP(A404,'4.鋼筋'!C:D,1,0),"")="","","✔")</f>
        <v/>
      </c>
      <c r="F404" s="98" t="str">
        <f>IF(IFERROR(VLOOKUP(A404,'5.模板'!C:D,1,0),"")="","","✔")</f>
        <v/>
      </c>
      <c r="G404" s="98" t="str">
        <f>IF(IFERROR(VLOOKUP(A404,'6.混凝土'!C:D,1,0),"")="","","✔")</f>
        <v/>
      </c>
      <c r="H404" s="98" t="str">
        <f>IF(IFERROR(VLOOKUP(A404,'7.植筋'!C:D,1,0),"")="","","✔")</f>
        <v/>
      </c>
      <c r="I404" s="98" t="str">
        <f>IF(IFERROR(VLOOKUP(A404,'8.預力混凝土基樁'!C:D,1,0),"")="","","✔")</f>
        <v/>
      </c>
      <c r="J404" s="98" t="str">
        <f>IF(IFERROR(VLOOKUP(A404,'9.砌塊石護岸'!C:D,1,0),"")="","","✔")</f>
        <v/>
      </c>
      <c r="K404" s="98" t="str">
        <f>IF(IFERROR(VLOOKUP(A404,'10.低水護岸'!C:D,1,0),"")="","","✔")</f>
        <v/>
      </c>
      <c r="L404" s="98" t="str">
        <f>IF(IFERROR(VLOOKUP(A404,'11.固床工'!C:D,1,0),"")="","","✔")</f>
        <v/>
      </c>
      <c r="M404" s="98" t="str">
        <f>IF(IFERROR(VLOOKUP(A404,'12.全套管基樁'!C:D,1,0),"")="","","✔")</f>
        <v/>
      </c>
      <c r="N404" s="98" t="str">
        <f>IF(IFERROR(VLOOKUP(A404,'13.鋼筋混凝土管工程'!C:D,1,0),"")="","","✔")</f>
        <v/>
      </c>
      <c r="O404" s="98" t="str">
        <f>IF(IFERROR(VLOOKUP(A404,'14.鋼版樁'!C:D,1,0),"")="","","✔")</f>
        <v/>
      </c>
      <c r="P404" s="98" t="str">
        <f>IF(IFERROR(VLOOKUP(A404,'15.路床 路基高程'!C:D,1,0),"")="","","✔")</f>
        <v/>
      </c>
      <c r="Q404" s="98" t="str">
        <f>IF(IFERROR(VLOOKUP(A404,'16.瀝青混凝土'!C:D,1,0),"")="","","✔")</f>
        <v/>
      </c>
      <c r="R404" s="98" t="str">
        <f>IF(IFERROR(VLOOKUP(A404,'17.景觀鋪面(一)'!C:D,1,0),"")="","","✔")</f>
        <v/>
      </c>
      <c r="S404" s="98" t="str">
        <f>IF(IFERROR(VLOOKUP(A404,'18.景觀鋪面(二)'!C:D,1,0),"")="","","✔")</f>
        <v/>
      </c>
      <c r="T404" s="98" t="str">
        <f>IF(IFERROR(VLOOKUP(A404,'19.預鑄緣石'!C:D,1,0),"")="","","✔")</f>
        <v/>
      </c>
      <c r="U404" s="98" t="str">
        <f>IF(IFERROR(VLOOKUP(A404,'20.鋼構工程吊裝'!C:D,1,0),"")="","","✔")</f>
        <v/>
      </c>
      <c r="V404" s="98" t="str">
        <f>IF(IFERROR(VLOOKUP(A404,'21.鋼構工程塗裝'!C:D,1,0),"")="","","✔")</f>
        <v/>
      </c>
      <c r="W404" s="98" t="str">
        <f>IF(IFERROR(VLOOKUP(A404,'22.排水設施(一)'!C:D,1,0),"")="","","✔")</f>
        <v/>
      </c>
      <c r="X404" s="98" t="str">
        <f>IF(IFERROR(VLOOKUP(A404,'23.排水設施(二)'!C:D,1,0),"")="","","✔")</f>
        <v/>
      </c>
      <c r="Y404" s="98" t="str">
        <f>IF(IFERROR(VLOOKUP(A404,'24.木構造'!C:D,1,0),"")="","","✔")</f>
        <v/>
      </c>
      <c r="Z404" s="98" t="str">
        <f>IF(IFERROR(VLOOKUP(A404,'25.管路'!C:D,1,0),"")="","","✔")</f>
        <v/>
      </c>
      <c r="AA404" s="98" t="str">
        <f>IF(IFERROR(VLOOKUP(A404,'26.植栽(移植)'!C:D,1,0),"")="","","✔")</f>
        <v/>
      </c>
      <c r="AB404" s="98" t="str">
        <f>IF(IFERROR(VLOOKUP(A404,'27.植栽(新植)'!C:D,1,0),"")="","","✔")</f>
        <v/>
      </c>
      <c r="AC404" s="98" t="str">
        <f>IF(IFERROR(VLOOKUP(A404,'28.照明'!C:D,1,0),"")="","","✔")</f>
        <v/>
      </c>
      <c r="AD404" s="98" t="str">
        <f>IF(IFERROR(VLOOKUP(A404,'29.既有橋梁拆除'!C:D,1,0),"")="","","✔")</f>
        <v/>
      </c>
    </row>
    <row r="405" spans="1:30" ht="21.75" customHeight="1" x14ac:dyDescent="0.25">
      <c r="A405" s="99">
        <v>45595</v>
      </c>
      <c r="B405" s="98" t="str">
        <f>IF(IFERROR(VLOOKUP(A405,'1.測量放樣'!C:D,1,0),"")="","","✔")</f>
        <v/>
      </c>
      <c r="C405" s="98" t="str">
        <f>IF(IFERROR(VLOOKUP(A405,'2.土方開挖'!C:D,1,0),"")="","","✔")</f>
        <v/>
      </c>
      <c r="D405" s="98" t="str">
        <f>IF(IFERROR(VLOOKUP(A405,'3.土方回填'!C:D,1,0),"")="","","✔")</f>
        <v/>
      </c>
      <c r="E405" s="98" t="str">
        <f>IF(IFERROR(VLOOKUP(A405,'4.鋼筋'!C:D,1,0),"")="","","✔")</f>
        <v/>
      </c>
      <c r="F405" s="98" t="str">
        <f>IF(IFERROR(VLOOKUP(A405,'5.模板'!C:D,1,0),"")="","","✔")</f>
        <v/>
      </c>
      <c r="G405" s="98" t="str">
        <f>IF(IFERROR(VLOOKUP(A405,'6.混凝土'!C:D,1,0),"")="","","✔")</f>
        <v/>
      </c>
      <c r="H405" s="98" t="str">
        <f>IF(IFERROR(VLOOKUP(A405,'7.植筋'!C:D,1,0),"")="","","✔")</f>
        <v/>
      </c>
      <c r="I405" s="98" t="str">
        <f>IF(IFERROR(VLOOKUP(A405,'8.預力混凝土基樁'!C:D,1,0),"")="","","✔")</f>
        <v/>
      </c>
      <c r="J405" s="98" t="str">
        <f>IF(IFERROR(VLOOKUP(A405,'9.砌塊石護岸'!C:D,1,0),"")="","","✔")</f>
        <v/>
      </c>
      <c r="K405" s="98" t="str">
        <f>IF(IFERROR(VLOOKUP(A405,'10.低水護岸'!C:D,1,0),"")="","","✔")</f>
        <v/>
      </c>
      <c r="L405" s="98" t="str">
        <f>IF(IFERROR(VLOOKUP(A405,'11.固床工'!C:D,1,0),"")="","","✔")</f>
        <v/>
      </c>
      <c r="M405" s="98" t="str">
        <f>IF(IFERROR(VLOOKUP(A405,'12.全套管基樁'!C:D,1,0),"")="","","✔")</f>
        <v/>
      </c>
      <c r="N405" s="98" t="str">
        <f>IF(IFERROR(VLOOKUP(A405,'13.鋼筋混凝土管工程'!C:D,1,0),"")="","","✔")</f>
        <v/>
      </c>
      <c r="O405" s="98" t="str">
        <f>IF(IFERROR(VLOOKUP(A405,'14.鋼版樁'!C:D,1,0),"")="","","✔")</f>
        <v/>
      </c>
      <c r="P405" s="98" t="str">
        <f>IF(IFERROR(VLOOKUP(A405,'15.路床 路基高程'!C:D,1,0),"")="","","✔")</f>
        <v/>
      </c>
      <c r="Q405" s="98" t="str">
        <f>IF(IFERROR(VLOOKUP(A405,'16.瀝青混凝土'!C:D,1,0),"")="","","✔")</f>
        <v/>
      </c>
      <c r="R405" s="98" t="str">
        <f>IF(IFERROR(VLOOKUP(A405,'17.景觀鋪面(一)'!C:D,1,0),"")="","","✔")</f>
        <v/>
      </c>
      <c r="S405" s="98" t="str">
        <f>IF(IFERROR(VLOOKUP(A405,'18.景觀鋪面(二)'!C:D,1,0),"")="","","✔")</f>
        <v/>
      </c>
      <c r="T405" s="98" t="str">
        <f>IF(IFERROR(VLOOKUP(A405,'19.預鑄緣石'!C:D,1,0),"")="","","✔")</f>
        <v/>
      </c>
      <c r="U405" s="98" t="str">
        <f>IF(IFERROR(VLOOKUP(A405,'20.鋼構工程吊裝'!C:D,1,0),"")="","","✔")</f>
        <v/>
      </c>
      <c r="V405" s="98" t="str">
        <f>IF(IFERROR(VLOOKUP(A405,'21.鋼構工程塗裝'!C:D,1,0),"")="","","✔")</f>
        <v/>
      </c>
      <c r="W405" s="98" t="str">
        <f>IF(IFERROR(VLOOKUP(A405,'22.排水設施(一)'!C:D,1,0),"")="","","✔")</f>
        <v/>
      </c>
      <c r="X405" s="98" t="str">
        <f>IF(IFERROR(VLOOKUP(A405,'23.排水設施(二)'!C:D,1,0),"")="","","✔")</f>
        <v/>
      </c>
      <c r="Y405" s="98" t="str">
        <f>IF(IFERROR(VLOOKUP(A405,'24.木構造'!C:D,1,0),"")="","","✔")</f>
        <v/>
      </c>
      <c r="Z405" s="98" t="str">
        <f>IF(IFERROR(VLOOKUP(A405,'25.管路'!C:D,1,0),"")="","","✔")</f>
        <v/>
      </c>
      <c r="AA405" s="98" t="str">
        <f>IF(IFERROR(VLOOKUP(A405,'26.植栽(移植)'!C:D,1,0),"")="","","✔")</f>
        <v/>
      </c>
      <c r="AB405" s="98" t="str">
        <f>IF(IFERROR(VLOOKUP(A405,'27.植栽(新植)'!C:D,1,0),"")="","","✔")</f>
        <v/>
      </c>
      <c r="AC405" s="98" t="str">
        <f>IF(IFERROR(VLOOKUP(A405,'28.照明'!C:D,1,0),"")="","","✔")</f>
        <v/>
      </c>
      <c r="AD405" s="98" t="str">
        <f>IF(IFERROR(VLOOKUP(A405,'29.既有橋梁拆除'!C:D,1,0),"")="","","✔")</f>
        <v/>
      </c>
    </row>
    <row r="406" spans="1:30" ht="21.75" customHeight="1" x14ac:dyDescent="0.25">
      <c r="A406" s="99">
        <v>45596</v>
      </c>
      <c r="B406" s="98" t="str">
        <f>IF(IFERROR(VLOOKUP(A406,'1.測量放樣'!C:D,1,0),"")="","","✔")</f>
        <v/>
      </c>
      <c r="C406" s="98" t="str">
        <f>IF(IFERROR(VLOOKUP(A406,'2.土方開挖'!C:D,1,0),"")="","","✔")</f>
        <v/>
      </c>
      <c r="D406" s="98" t="str">
        <f>IF(IFERROR(VLOOKUP(A406,'3.土方回填'!C:D,1,0),"")="","","✔")</f>
        <v/>
      </c>
      <c r="E406" s="98" t="str">
        <f>IF(IFERROR(VLOOKUP(A406,'4.鋼筋'!C:D,1,0),"")="","","✔")</f>
        <v/>
      </c>
      <c r="F406" s="98" t="str">
        <f>IF(IFERROR(VLOOKUP(A406,'5.模板'!C:D,1,0),"")="","","✔")</f>
        <v/>
      </c>
      <c r="G406" s="98" t="str">
        <f>IF(IFERROR(VLOOKUP(A406,'6.混凝土'!C:D,1,0),"")="","","✔")</f>
        <v/>
      </c>
      <c r="H406" s="98" t="str">
        <f>IF(IFERROR(VLOOKUP(A406,'7.植筋'!C:D,1,0),"")="","","✔")</f>
        <v/>
      </c>
      <c r="I406" s="98" t="str">
        <f>IF(IFERROR(VLOOKUP(A406,'8.預力混凝土基樁'!C:D,1,0),"")="","","✔")</f>
        <v/>
      </c>
      <c r="J406" s="98" t="str">
        <f>IF(IFERROR(VLOOKUP(A406,'9.砌塊石護岸'!C:D,1,0),"")="","","✔")</f>
        <v/>
      </c>
      <c r="K406" s="98" t="str">
        <f>IF(IFERROR(VLOOKUP(A406,'10.低水護岸'!C:D,1,0),"")="","","✔")</f>
        <v/>
      </c>
      <c r="L406" s="98" t="str">
        <f>IF(IFERROR(VLOOKUP(A406,'11.固床工'!C:D,1,0),"")="","","✔")</f>
        <v/>
      </c>
      <c r="M406" s="98" t="str">
        <f>IF(IFERROR(VLOOKUP(A406,'12.全套管基樁'!C:D,1,0),"")="","","✔")</f>
        <v/>
      </c>
      <c r="N406" s="98" t="str">
        <f>IF(IFERROR(VLOOKUP(A406,'13.鋼筋混凝土管工程'!C:D,1,0),"")="","","✔")</f>
        <v/>
      </c>
      <c r="O406" s="98" t="str">
        <f>IF(IFERROR(VLOOKUP(A406,'14.鋼版樁'!C:D,1,0),"")="","","✔")</f>
        <v/>
      </c>
      <c r="P406" s="98" t="str">
        <f>IF(IFERROR(VLOOKUP(A406,'15.路床 路基高程'!C:D,1,0),"")="","","✔")</f>
        <v/>
      </c>
      <c r="Q406" s="98" t="str">
        <f>IF(IFERROR(VLOOKUP(A406,'16.瀝青混凝土'!C:D,1,0),"")="","","✔")</f>
        <v/>
      </c>
      <c r="R406" s="98" t="str">
        <f>IF(IFERROR(VLOOKUP(A406,'17.景觀鋪面(一)'!C:D,1,0),"")="","","✔")</f>
        <v/>
      </c>
      <c r="S406" s="98" t="str">
        <f>IF(IFERROR(VLOOKUP(A406,'18.景觀鋪面(二)'!C:D,1,0),"")="","","✔")</f>
        <v/>
      </c>
      <c r="T406" s="98" t="str">
        <f>IF(IFERROR(VLOOKUP(A406,'19.預鑄緣石'!C:D,1,0),"")="","","✔")</f>
        <v/>
      </c>
      <c r="U406" s="98" t="str">
        <f>IF(IFERROR(VLOOKUP(A406,'20.鋼構工程吊裝'!C:D,1,0),"")="","","✔")</f>
        <v/>
      </c>
      <c r="V406" s="98" t="str">
        <f>IF(IFERROR(VLOOKUP(A406,'21.鋼構工程塗裝'!C:D,1,0),"")="","","✔")</f>
        <v/>
      </c>
      <c r="W406" s="98" t="str">
        <f>IF(IFERROR(VLOOKUP(A406,'22.排水設施(一)'!C:D,1,0),"")="","","✔")</f>
        <v/>
      </c>
      <c r="X406" s="98" t="str">
        <f>IF(IFERROR(VLOOKUP(A406,'23.排水設施(二)'!C:D,1,0),"")="","","✔")</f>
        <v/>
      </c>
      <c r="Y406" s="98" t="str">
        <f>IF(IFERROR(VLOOKUP(A406,'24.木構造'!C:D,1,0),"")="","","✔")</f>
        <v/>
      </c>
      <c r="Z406" s="98" t="str">
        <f>IF(IFERROR(VLOOKUP(A406,'25.管路'!C:D,1,0),"")="","","✔")</f>
        <v/>
      </c>
      <c r="AA406" s="98" t="str">
        <f>IF(IFERROR(VLOOKUP(A406,'26.植栽(移植)'!C:D,1,0),"")="","","✔")</f>
        <v/>
      </c>
      <c r="AB406" s="98" t="str">
        <f>IF(IFERROR(VLOOKUP(A406,'27.植栽(新植)'!C:D,1,0),"")="","","✔")</f>
        <v/>
      </c>
      <c r="AC406" s="98" t="str">
        <f>IF(IFERROR(VLOOKUP(A406,'28.照明'!C:D,1,0),"")="","","✔")</f>
        <v/>
      </c>
      <c r="AD406" s="98" t="str">
        <f>IF(IFERROR(VLOOKUP(A406,'29.既有橋梁拆除'!C:D,1,0),"")="","","✔")</f>
        <v/>
      </c>
    </row>
    <row r="407" spans="1:30" ht="21.75" customHeight="1" x14ac:dyDescent="0.25">
      <c r="A407" s="99">
        <v>45597</v>
      </c>
      <c r="B407" s="98" t="str">
        <f>IF(IFERROR(VLOOKUP(A407,'1.測量放樣'!C:D,1,0),"")="","","✔")</f>
        <v/>
      </c>
      <c r="C407" s="98" t="str">
        <f>IF(IFERROR(VLOOKUP(A407,'2.土方開挖'!C:D,1,0),"")="","","✔")</f>
        <v/>
      </c>
      <c r="D407" s="98" t="str">
        <f>IF(IFERROR(VLOOKUP(A407,'3.土方回填'!C:D,1,0),"")="","","✔")</f>
        <v/>
      </c>
      <c r="E407" s="98" t="str">
        <f>IF(IFERROR(VLOOKUP(A407,'4.鋼筋'!C:D,1,0),"")="","","✔")</f>
        <v/>
      </c>
      <c r="F407" s="98" t="str">
        <f>IF(IFERROR(VLOOKUP(A407,'5.模板'!C:D,1,0),"")="","","✔")</f>
        <v/>
      </c>
      <c r="G407" s="98" t="str">
        <f>IF(IFERROR(VLOOKUP(A407,'6.混凝土'!C:D,1,0),"")="","","✔")</f>
        <v/>
      </c>
      <c r="H407" s="98" t="str">
        <f>IF(IFERROR(VLOOKUP(A407,'7.植筋'!C:D,1,0),"")="","","✔")</f>
        <v/>
      </c>
      <c r="I407" s="98" t="str">
        <f>IF(IFERROR(VLOOKUP(A407,'8.預力混凝土基樁'!C:D,1,0),"")="","","✔")</f>
        <v/>
      </c>
      <c r="J407" s="98" t="str">
        <f>IF(IFERROR(VLOOKUP(A407,'9.砌塊石護岸'!C:D,1,0),"")="","","✔")</f>
        <v/>
      </c>
      <c r="K407" s="98" t="str">
        <f>IF(IFERROR(VLOOKUP(A407,'10.低水護岸'!C:D,1,0),"")="","","✔")</f>
        <v/>
      </c>
      <c r="L407" s="98" t="str">
        <f>IF(IFERROR(VLOOKUP(A407,'11.固床工'!C:D,1,0),"")="","","✔")</f>
        <v/>
      </c>
      <c r="M407" s="98" t="str">
        <f>IF(IFERROR(VLOOKUP(A407,'12.全套管基樁'!C:D,1,0),"")="","","✔")</f>
        <v/>
      </c>
      <c r="N407" s="98" t="str">
        <f>IF(IFERROR(VLOOKUP(A407,'13.鋼筋混凝土管工程'!C:D,1,0),"")="","","✔")</f>
        <v/>
      </c>
      <c r="O407" s="98" t="str">
        <f>IF(IFERROR(VLOOKUP(A407,'14.鋼版樁'!C:D,1,0),"")="","","✔")</f>
        <v/>
      </c>
      <c r="P407" s="98" t="str">
        <f>IF(IFERROR(VLOOKUP(A407,'15.路床 路基高程'!C:D,1,0),"")="","","✔")</f>
        <v/>
      </c>
      <c r="Q407" s="98" t="str">
        <f>IF(IFERROR(VLOOKUP(A407,'16.瀝青混凝土'!C:D,1,0),"")="","","✔")</f>
        <v/>
      </c>
      <c r="R407" s="98" t="str">
        <f>IF(IFERROR(VLOOKUP(A407,'17.景觀鋪面(一)'!C:D,1,0),"")="","","✔")</f>
        <v/>
      </c>
      <c r="S407" s="98" t="str">
        <f>IF(IFERROR(VLOOKUP(A407,'18.景觀鋪面(二)'!C:D,1,0),"")="","","✔")</f>
        <v/>
      </c>
      <c r="T407" s="98" t="str">
        <f>IF(IFERROR(VLOOKUP(A407,'19.預鑄緣石'!C:D,1,0),"")="","","✔")</f>
        <v/>
      </c>
      <c r="U407" s="98" t="str">
        <f>IF(IFERROR(VLOOKUP(A407,'20.鋼構工程吊裝'!C:D,1,0),"")="","","✔")</f>
        <v/>
      </c>
      <c r="V407" s="98" t="str">
        <f>IF(IFERROR(VLOOKUP(A407,'21.鋼構工程塗裝'!C:D,1,0),"")="","","✔")</f>
        <v/>
      </c>
      <c r="W407" s="98" t="str">
        <f>IF(IFERROR(VLOOKUP(A407,'22.排水設施(一)'!C:D,1,0),"")="","","✔")</f>
        <v/>
      </c>
      <c r="X407" s="98" t="str">
        <f>IF(IFERROR(VLOOKUP(A407,'23.排水設施(二)'!C:D,1,0),"")="","","✔")</f>
        <v/>
      </c>
      <c r="Y407" s="98" t="str">
        <f>IF(IFERROR(VLOOKUP(A407,'24.木構造'!C:D,1,0),"")="","","✔")</f>
        <v/>
      </c>
      <c r="Z407" s="98" t="str">
        <f>IF(IFERROR(VLOOKUP(A407,'25.管路'!C:D,1,0),"")="","","✔")</f>
        <v/>
      </c>
      <c r="AA407" s="98" t="str">
        <f>IF(IFERROR(VLOOKUP(A407,'26.植栽(移植)'!C:D,1,0),"")="","","✔")</f>
        <v/>
      </c>
      <c r="AB407" s="98" t="str">
        <f>IF(IFERROR(VLOOKUP(A407,'27.植栽(新植)'!C:D,1,0),"")="","","✔")</f>
        <v/>
      </c>
      <c r="AC407" s="98" t="str">
        <f>IF(IFERROR(VLOOKUP(A407,'28.照明'!C:D,1,0),"")="","","✔")</f>
        <v/>
      </c>
      <c r="AD407" s="98" t="str">
        <f>IF(IFERROR(VLOOKUP(A407,'29.既有橋梁拆除'!C:D,1,0),"")="","","✔")</f>
        <v/>
      </c>
    </row>
    <row r="408" spans="1:30" ht="21.75" customHeight="1" x14ac:dyDescent="0.25">
      <c r="A408" s="99">
        <v>45598</v>
      </c>
      <c r="B408" s="98" t="str">
        <f>IF(IFERROR(VLOOKUP(A408,'1.測量放樣'!C:D,1,0),"")="","","✔")</f>
        <v/>
      </c>
      <c r="C408" s="98" t="str">
        <f>IF(IFERROR(VLOOKUP(A408,'2.土方開挖'!C:D,1,0),"")="","","✔")</f>
        <v/>
      </c>
      <c r="D408" s="98" t="str">
        <f>IF(IFERROR(VLOOKUP(A408,'3.土方回填'!C:D,1,0),"")="","","✔")</f>
        <v/>
      </c>
      <c r="E408" s="98" t="str">
        <f>IF(IFERROR(VLOOKUP(A408,'4.鋼筋'!C:D,1,0),"")="","","✔")</f>
        <v/>
      </c>
      <c r="F408" s="98" t="str">
        <f>IF(IFERROR(VLOOKUP(A408,'5.模板'!C:D,1,0),"")="","","✔")</f>
        <v/>
      </c>
      <c r="G408" s="98" t="str">
        <f>IF(IFERROR(VLOOKUP(A408,'6.混凝土'!C:D,1,0),"")="","","✔")</f>
        <v/>
      </c>
      <c r="H408" s="98" t="str">
        <f>IF(IFERROR(VLOOKUP(A408,'7.植筋'!C:D,1,0),"")="","","✔")</f>
        <v/>
      </c>
      <c r="I408" s="98" t="str">
        <f>IF(IFERROR(VLOOKUP(A408,'8.預力混凝土基樁'!C:D,1,0),"")="","","✔")</f>
        <v/>
      </c>
      <c r="J408" s="98" t="str">
        <f>IF(IFERROR(VLOOKUP(A408,'9.砌塊石護岸'!C:D,1,0),"")="","","✔")</f>
        <v/>
      </c>
      <c r="K408" s="98" t="str">
        <f>IF(IFERROR(VLOOKUP(A408,'10.低水護岸'!C:D,1,0),"")="","","✔")</f>
        <v/>
      </c>
      <c r="L408" s="98" t="str">
        <f>IF(IFERROR(VLOOKUP(A408,'11.固床工'!C:D,1,0),"")="","","✔")</f>
        <v/>
      </c>
      <c r="M408" s="98" t="str">
        <f>IF(IFERROR(VLOOKUP(A408,'12.全套管基樁'!C:D,1,0),"")="","","✔")</f>
        <v/>
      </c>
      <c r="N408" s="98" t="str">
        <f>IF(IFERROR(VLOOKUP(A408,'13.鋼筋混凝土管工程'!C:D,1,0),"")="","","✔")</f>
        <v/>
      </c>
      <c r="O408" s="98" t="str">
        <f>IF(IFERROR(VLOOKUP(A408,'14.鋼版樁'!C:D,1,0),"")="","","✔")</f>
        <v/>
      </c>
      <c r="P408" s="98" t="str">
        <f>IF(IFERROR(VLOOKUP(A408,'15.路床 路基高程'!C:D,1,0),"")="","","✔")</f>
        <v/>
      </c>
      <c r="Q408" s="98" t="str">
        <f>IF(IFERROR(VLOOKUP(A408,'16.瀝青混凝土'!C:D,1,0),"")="","","✔")</f>
        <v/>
      </c>
      <c r="R408" s="98" t="str">
        <f>IF(IFERROR(VLOOKUP(A408,'17.景觀鋪面(一)'!C:D,1,0),"")="","","✔")</f>
        <v/>
      </c>
      <c r="S408" s="98" t="str">
        <f>IF(IFERROR(VLOOKUP(A408,'18.景觀鋪面(二)'!C:D,1,0),"")="","","✔")</f>
        <v/>
      </c>
      <c r="T408" s="98" t="str">
        <f>IF(IFERROR(VLOOKUP(A408,'19.預鑄緣石'!C:D,1,0),"")="","","✔")</f>
        <v/>
      </c>
      <c r="U408" s="98" t="str">
        <f>IF(IFERROR(VLOOKUP(A408,'20.鋼構工程吊裝'!C:D,1,0),"")="","","✔")</f>
        <v/>
      </c>
      <c r="V408" s="98" t="str">
        <f>IF(IFERROR(VLOOKUP(A408,'21.鋼構工程塗裝'!C:D,1,0),"")="","","✔")</f>
        <v/>
      </c>
      <c r="W408" s="98" t="str">
        <f>IF(IFERROR(VLOOKUP(A408,'22.排水設施(一)'!C:D,1,0),"")="","","✔")</f>
        <v/>
      </c>
      <c r="X408" s="98" t="str">
        <f>IF(IFERROR(VLOOKUP(A408,'23.排水設施(二)'!C:D,1,0),"")="","","✔")</f>
        <v/>
      </c>
      <c r="Y408" s="98" t="str">
        <f>IF(IFERROR(VLOOKUP(A408,'24.木構造'!C:D,1,0),"")="","","✔")</f>
        <v/>
      </c>
      <c r="Z408" s="98" t="str">
        <f>IF(IFERROR(VLOOKUP(A408,'25.管路'!C:D,1,0),"")="","","✔")</f>
        <v/>
      </c>
      <c r="AA408" s="98" t="str">
        <f>IF(IFERROR(VLOOKUP(A408,'26.植栽(移植)'!C:D,1,0),"")="","","✔")</f>
        <v/>
      </c>
      <c r="AB408" s="98" t="str">
        <f>IF(IFERROR(VLOOKUP(A408,'27.植栽(新植)'!C:D,1,0),"")="","","✔")</f>
        <v/>
      </c>
      <c r="AC408" s="98" t="str">
        <f>IF(IFERROR(VLOOKUP(A408,'28.照明'!C:D,1,0),"")="","","✔")</f>
        <v/>
      </c>
      <c r="AD408" s="98" t="str">
        <f>IF(IFERROR(VLOOKUP(A408,'29.既有橋梁拆除'!C:D,1,0),"")="","","✔")</f>
        <v/>
      </c>
    </row>
    <row r="409" spans="1:30" ht="21.75" customHeight="1" x14ac:dyDescent="0.25">
      <c r="A409" s="99">
        <v>45599</v>
      </c>
      <c r="B409" s="98" t="str">
        <f>IF(IFERROR(VLOOKUP(A409,'1.測量放樣'!C:D,1,0),"")="","","✔")</f>
        <v/>
      </c>
      <c r="C409" s="98" t="str">
        <f>IF(IFERROR(VLOOKUP(A409,'2.土方開挖'!C:D,1,0),"")="","","✔")</f>
        <v/>
      </c>
      <c r="D409" s="98" t="str">
        <f>IF(IFERROR(VLOOKUP(A409,'3.土方回填'!C:D,1,0),"")="","","✔")</f>
        <v/>
      </c>
      <c r="E409" s="98" t="str">
        <f>IF(IFERROR(VLOOKUP(A409,'4.鋼筋'!C:D,1,0),"")="","","✔")</f>
        <v/>
      </c>
      <c r="F409" s="98" t="str">
        <f>IF(IFERROR(VLOOKUP(A409,'5.模板'!C:D,1,0),"")="","","✔")</f>
        <v/>
      </c>
      <c r="G409" s="98" t="str">
        <f>IF(IFERROR(VLOOKUP(A409,'6.混凝土'!C:D,1,0),"")="","","✔")</f>
        <v/>
      </c>
      <c r="H409" s="98" t="str">
        <f>IF(IFERROR(VLOOKUP(A409,'7.植筋'!C:D,1,0),"")="","","✔")</f>
        <v/>
      </c>
      <c r="I409" s="98" t="str">
        <f>IF(IFERROR(VLOOKUP(A409,'8.預力混凝土基樁'!C:D,1,0),"")="","","✔")</f>
        <v/>
      </c>
      <c r="J409" s="98" t="str">
        <f>IF(IFERROR(VLOOKUP(A409,'9.砌塊石護岸'!C:D,1,0),"")="","","✔")</f>
        <v/>
      </c>
      <c r="K409" s="98" t="str">
        <f>IF(IFERROR(VLOOKUP(A409,'10.低水護岸'!C:D,1,0),"")="","","✔")</f>
        <v/>
      </c>
      <c r="L409" s="98" t="str">
        <f>IF(IFERROR(VLOOKUP(A409,'11.固床工'!C:D,1,0),"")="","","✔")</f>
        <v/>
      </c>
      <c r="M409" s="98" t="str">
        <f>IF(IFERROR(VLOOKUP(A409,'12.全套管基樁'!C:D,1,0),"")="","","✔")</f>
        <v/>
      </c>
      <c r="N409" s="98" t="str">
        <f>IF(IFERROR(VLOOKUP(A409,'13.鋼筋混凝土管工程'!C:D,1,0),"")="","","✔")</f>
        <v/>
      </c>
      <c r="O409" s="98" t="str">
        <f>IF(IFERROR(VLOOKUP(A409,'14.鋼版樁'!C:D,1,0),"")="","","✔")</f>
        <v/>
      </c>
      <c r="P409" s="98" t="str">
        <f>IF(IFERROR(VLOOKUP(A409,'15.路床 路基高程'!C:D,1,0),"")="","","✔")</f>
        <v/>
      </c>
      <c r="Q409" s="98" t="str">
        <f>IF(IFERROR(VLOOKUP(A409,'16.瀝青混凝土'!C:D,1,0),"")="","","✔")</f>
        <v/>
      </c>
      <c r="R409" s="98" t="str">
        <f>IF(IFERROR(VLOOKUP(A409,'17.景觀鋪面(一)'!C:D,1,0),"")="","","✔")</f>
        <v/>
      </c>
      <c r="S409" s="98" t="str">
        <f>IF(IFERROR(VLOOKUP(A409,'18.景觀鋪面(二)'!C:D,1,0),"")="","","✔")</f>
        <v/>
      </c>
      <c r="T409" s="98" t="str">
        <f>IF(IFERROR(VLOOKUP(A409,'19.預鑄緣石'!C:D,1,0),"")="","","✔")</f>
        <v/>
      </c>
      <c r="U409" s="98" t="str">
        <f>IF(IFERROR(VLOOKUP(A409,'20.鋼構工程吊裝'!C:D,1,0),"")="","","✔")</f>
        <v/>
      </c>
      <c r="V409" s="98" t="str">
        <f>IF(IFERROR(VLOOKUP(A409,'21.鋼構工程塗裝'!C:D,1,0),"")="","","✔")</f>
        <v/>
      </c>
      <c r="W409" s="98" t="str">
        <f>IF(IFERROR(VLOOKUP(A409,'22.排水設施(一)'!C:D,1,0),"")="","","✔")</f>
        <v/>
      </c>
      <c r="X409" s="98" t="str">
        <f>IF(IFERROR(VLOOKUP(A409,'23.排水設施(二)'!C:D,1,0),"")="","","✔")</f>
        <v/>
      </c>
      <c r="Y409" s="98" t="str">
        <f>IF(IFERROR(VLOOKUP(A409,'24.木構造'!C:D,1,0),"")="","","✔")</f>
        <v/>
      </c>
      <c r="Z409" s="98" t="str">
        <f>IF(IFERROR(VLOOKUP(A409,'25.管路'!C:D,1,0),"")="","","✔")</f>
        <v/>
      </c>
      <c r="AA409" s="98" t="str">
        <f>IF(IFERROR(VLOOKUP(A409,'26.植栽(移植)'!C:D,1,0),"")="","","✔")</f>
        <v/>
      </c>
      <c r="AB409" s="98" t="str">
        <f>IF(IFERROR(VLOOKUP(A409,'27.植栽(新植)'!C:D,1,0),"")="","","✔")</f>
        <v/>
      </c>
      <c r="AC409" s="98" t="str">
        <f>IF(IFERROR(VLOOKUP(A409,'28.照明'!C:D,1,0),"")="","","✔")</f>
        <v/>
      </c>
      <c r="AD409" s="98" t="str">
        <f>IF(IFERROR(VLOOKUP(A409,'29.既有橋梁拆除'!C:D,1,0),"")="","","✔")</f>
        <v/>
      </c>
    </row>
    <row r="410" spans="1:30" ht="21.75" customHeight="1" x14ac:dyDescent="0.25">
      <c r="A410" s="99">
        <v>45600</v>
      </c>
      <c r="B410" s="98" t="str">
        <f>IF(IFERROR(VLOOKUP(A410,'1.測量放樣'!C:D,1,0),"")="","","✔")</f>
        <v/>
      </c>
      <c r="C410" s="98" t="str">
        <f>IF(IFERROR(VLOOKUP(A410,'2.土方開挖'!C:D,1,0),"")="","","✔")</f>
        <v/>
      </c>
      <c r="D410" s="98" t="str">
        <f>IF(IFERROR(VLOOKUP(A410,'3.土方回填'!C:D,1,0),"")="","","✔")</f>
        <v/>
      </c>
      <c r="E410" s="98" t="str">
        <f>IF(IFERROR(VLOOKUP(A410,'4.鋼筋'!C:D,1,0),"")="","","✔")</f>
        <v/>
      </c>
      <c r="F410" s="98" t="str">
        <f>IF(IFERROR(VLOOKUP(A410,'5.模板'!C:D,1,0),"")="","","✔")</f>
        <v/>
      </c>
      <c r="G410" s="98" t="str">
        <f>IF(IFERROR(VLOOKUP(A410,'6.混凝土'!C:D,1,0),"")="","","✔")</f>
        <v/>
      </c>
      <c r="H410" s="98" t="str">
        <f>IF(IFERROR(VLOOKUP(A410,'7.植筋'!C:D,1,0),"")="","","✔")</f>
        <v/>
      </c>
      <c r="I410" s="98" t="str">
        <f>IF(IFERROR(VLOOKUP(A410,'8.預力混凝土基樁'!C:D,1,0),"")="","","✔")</f>
        <v/>
      </c>
      <c r="J410" s="98" t="str">
        <f>IF(IFERROR(VLOOKUP(A410,'9.砌塊石護岸'!C:D,1,0),"")="","","✔")</f>
        <v/>
      </c>
      <c r="K410" s="98" t="str">
        <f>IF(IFERROR(VLOOKUP(A410,'10.低水護岸'!C:D,1,0),"")="","","✔")</f>
        <v/>
      </c>
      <c r="L410" s="98" t="str">
        <f>IF(IFERROR(VLOOKUP(A410,'11.固床工'!C:D,1,0),"")="","","✔")</f>
        <v/>
      </c>
      <c r="M410" s="98" t="str">
        <f>IF(IFERROR(VLOOKUP(A410,'12.全套管基樁'!C:D,1,0),"")="","","✔")</f>
        <v/>
      </c>
      <c r="N410" s="98" t="str">
        <f>IF(IFERROR(VLOOKUP(A410,'13.鋼筋混凝土管工程'!C:D,1,0),"")="","","✔")</f>
        <v/>
      </c>
      <c r="O410" s="98" t="str">
        <f>IF(IFERROR(VLOOKUP(A410,'14.鋼版樁'!C:D,1,0),"")="","","✔")</f>
        <v/>
      </c>
      <c r="P410" s="98" t="str">
        <f>IF(IFERROR(VLOOKUP(A410,'15.路床 路基高程'!C:D,1,0),"")="","","✔")</f>
        <v/>
      </c>
      <c r="Q410" s="98" t="str">
        <f>IF(IFERROR(VLOOKUP(A410,'16.瀝青混凝土'!C:D,1,0),"")="","","✔")</f>
        <v/>
      </c>
      <c r="R410" s="98" t="str">
        <f>IF(IFERROR(VLOOKUP(A410,'17.景觀鋪面(一)'!C:D,1,0),"")="","","✔")</f>
        <v/>
      </c>
      <c r="S410" s="98" t="str">
        <f>IF(IFERROR(VLOOKUP(A410,'18.景觀鋪面(二)'!C:D,1,0),"")="","","✔")</f>
        <v/>
      </c>
      <c r="T410" s="98" t="str">
        <f>IF(IFERROR(VLOOKUP(A410,'19.預鑄緣石'!C:D,1,0),"")="","","✔")</f>
        <v/>
      </c>
      <c r="U410" s="98" t="str">
        <f>IF(IFERROR(VLOOKUP(A410,'20.鋼構工程吊裝'!C:D,1,0),"")="","","✔")</f>
        <v/>
      </c>
      <c r="V410" s="98" t="str">
        <f>IF(IFERROR(VLOOKUP(A410,'21.鋼構工程塗裝'!C:D,1,0),"")="","","✔")</f>
        <v/>
      </c>
      <c r="W410" s="98" t="str">
        <f>IF(IFERROR(VLOOKUP(A410,'22.排水設施(一)'!C:D,1,0),"")="","","✔")</f>
        <v/>
      </c>
      <c r="X410" s="98" t="str">
        <f>IF(IFERROR(VLOOKUP(A410,'23.排水設施(二)'!C:D,1,0),"")="","","✔")</f>
        <v/>
      </c>
      <c r="Y410" s="98" t="str">
        <f>IF(IFERROR(VLOOKUP(A410,'24.木構造'!C:D,1,0),"")="","","✔")</f>
        <v/>
      </c>
      <c r="Z410" s="98" t="str">
        <f>IF(IFERROR(VLOOKUP(A410,'25.管路'!C:D,1,0),"")="","","✔")</f>
        <v/>
      </c>
      <c r="AA410" s="98" t="str">
        <f>IF(IFERROR(VLOOKUP(A410,'26.植栽(移植)'!C:D,1,0),"")="","","✔")</f>
        <v/>
      </c>
      <c r="AB410" s="98" t="str">
        <f>IF(IFERROR(VLOOKUP(A410,'27.植栽(新植)'!C:D,1,0),"")="","","✔")</f>
        <v/>
      </c>
      <c r="AC410" s="98" t="str">
        <f>IF(IFERROR(VLOOKUP(A410,'28.照明'!C:D,1,0),"")="","","✔")</f>
        <v/>
      </c>
      <c r="AD410" s="98" t="str">
        <f>IF(IFERROR(VLOOKUP(A410,'29.既有橋梁拆除'!C:D,1,0),"")="","","✔")</f>
        <v/>
      </c>
    </row>
    <row r="411" spans="1:30" ht="21.75" customHeight="1" x14ac:dyDescent="0.25">
      <c r="A411" s="99">
        <v>45601</v>
      </c>
      <c r="B411" s="98" t="str">
        <f>IF(IFERROR(VLOOKUP(A411,'1.測量放樣'!C:D,1,0),"")="","","✔")</f>
        <v/>
      </c>
      <c r="C411" s="98" t="str">
        <f>IF(IFERROR(VLOOKUP(A411,'2.土方開挖'!C:D,1,0),"")="","","✔")</f>
        <v/>
      </c>
      <c r="D411" s="98" t="str">
        <f>IF(IFERROR(VLOOKUP(A411,'3.土方回填'!C:D,1,0),"")="","","✔")</f>
        <v/>
      </c>
      <c r="E411" s="98" t="str">
        <f>IF(IFERROR(VLOOKUP(A411,'4.鋼筋'!C:D,1,0),"")="","","✔")</f>
        <v/>
      </c>
      <c r="F411" s="98" t="str">
        <f>IF(IFERROR(VLOOKUP(A411,'5.模板'!C:D,1,0),"")="","","✔")</f>
        <v/>
      </c>
      <c r="G411" s="98" t="str">
        <f>IF(IFERROR(VLOOKUP(A411,'6.混凝土'!C:D,1,0),"")="","","✔")</f>
        <v/>
      </c>
      <c r="H411" s="98" t="str">
        <f>IF(IFERROR(VLOOKUP(A411,'7.植筋'!C:D,1,0),"")="","","✔")</f>
        <v/>
      </c>
      <c r="I411" s="98" t="str">
        <f>IF(IFERROR(VLOOKUP(A411,'8.預力混凝土基樁'!C:D,1,0),"")="","","✔")</f>
        <v/>
      </c>
      <c r="J411" s="98" t="str">
        <f>IF(IFERROR(VLOOKUP(A411,'9.砌塊石護岸'!C:D,1,0),"")="","","✔")</f>
        <v/>
      </c>
      <c r="K411" s="98" t="str">
        <f>IF(IFERROR(VLOOKUP(A411,'10.低水護岸'!C:D,1,0),"")="","","✔")</f>
        <v/>
      </c>
      <c r="L411" s="98" t="str">
        <f>IF(IFERROR(VLOOKUP(A411,'11.固床工'!C:D,1,0),"")="","","✔")</f>
        <v/>
      </c>
      <c r="M411" s="98" t="str">
        <f>IF(IFERROR(VLOOKUP(A411,'12.全套管基樁'!C:D,1,0),"")="","","✔")</f>
        <v/>
      </c>
      <c r="N411" s="98" t="str">
        <f>IF(IFERROR(VLOOKUP(A411,'13.鋼筋混凝土管工程'!C:D,1,0),"")="","","✔")</f>
        <v/>
      </c>
      <c r="O411" s="98" t="str">
        <f>IF(IFERROR(VLOOKUP(A411,'14.鋼版樁'!C:D,1,0),"")="","","✔")</f>
        <v/>
      </c>
      <c r="P411" s="98" t="str">
        <f>IF(IFERROR(VLOOKUP(A411,'15.路床 路基高程'!C:D,1,0),"")="","","✔")</f>
        <v/>
      </c>
      <c r="Q411" s="98" t="str">
        <f>IF(IFERROR(VLOOKUP(A411,'16.瀝青混凝土'!C:D,1,0),"")="","","✔")</f>
        <v/>
      </c>
      <c r="R411" s="98" t="str">
        <f>IF(IFERROR(VLOOKUP(A411,'17.景觀鋪面(一)'!C:D,1,0),"")="","","✔")</f>
        <v/>
      </c>
      <c r="S411" s="98" t="str">
        <f>IF(IFERROR(VLOOKUP(A411,'18.景觀鋪面(二)'!C:D,1,0),"")="","","✔")</f>
        <v/>
      </c>
      <c r="T411" s="98" t="str">
        <f>IF(IFERROR(VLOOKUP(A411,'19.預鑄緣石'!C:D,1,0),"")="","","✔")</f>
        <v/>
      </c>
      <c r="U411" s="98" t="str">
        <f>IF(IFERROR(VLOOKUP(A411,'20.鋼構工程吊裝'!C:D,1,0),"")="","","✔")</f>
        <v/>
      </c>
      <c r="V411" s="98" t="str">
        <f>IF(IFERROR(VLOOKUP(A411,'21.鋼構工程塗裝'!C:D,1,0),"")="","","✔")</f>
        <v/>
      </c>
      <c r="W411" s="98" t="str">
        <f>IF(IFERROR(VLOOKUP(A411,'22.排水設施(一)'!C:D,1,0),"")="","","✔")</f>
        <v/>
      </c>
      <c r="X411" s="98" t="str">
        <f>IF(IFERROR(VLOOKUP(A411,'23.排水設施(二)'!C:D,1,0),"")="","","✔")</f>
        <v/>
      </c>
      <c r="Y411" s="98" t="str">
        <f>IF(IFERROR(VLOOKUP(A411,'24.木構造'!C:D,1,0),"")="","","✔")</f>
        <v/>
      </c>
      <c r="Z411" s="98" t="str">
        <f>IF(IFERROR(VLOOKUP(A411,'25.管路'!C:D,1,0),"")="","","✔")</f>
        <v/>
      </c>
      <c r="AA411" s="98" t="str">
        <f>IF(IFERROR(VLOOKUP(A411,'26.植栽(移植)'!C:D,1,0),"")="","","✔")</f>
        <v/>
      </c>
      <c r="AB411" s="98" t="str">
        <f>IF(IFERROR(VLOOKUP(A411,'27.植栽(新植)'!C:D,1,0),"")="","","✔")</f>
        <v/>
      </c>
      <c r="AC411" s="98" t="str">
        <f>IF(IFERROR(VLOOKUP(A411,'28.照明'!C:D,1,0),"")="","","✔")</f>
        <v/>
      </c>
      <c r="AD411" s="98" t="str">
        <f>IF(IFERROR(VLOOKUP(A411,'29.既有橋梁拆除'!C:D,1,0),"")="","","✔")</f>
        <v/>
      </c>
    </row>
    <row r="412" spans="1:30" ht="21.75" customHeight="1" x14ac:dyDescent="0.25">
      <c r="A412" s="99">
        <v>45602</v>
      </c>
      <c r="B412" s="98" t="str">
        <f>IF(IFERROR(VLOOKUP(A412,'1.測量放樣'!C:D,1,0),"")="","","✔")</f>
        <v/>
      </c>
      <c r="C412" s="98" t="str">
        <f>IF(IFERROR(VLOOKUP(A412,'2.土方開挖'!C:D,1,0),"")="","","✔")</f>
        <v/>
      </c>
      <c r="D412" s="98" t="str">
        <f>IF(IFERROR(VLOOKUP(A412,'3.土方回填'!C:D,1,0),"")="","","✔")</f>
        <v/>
      </c>
      <c r="E412" s="98" t="str">
        <f>IF(IFERROR(VLOOKUP(A412,'4.鋼筋'!C:D,1,0),"")="","","✔")</f>
        <v/>
      </c>
      <c r="F412" s="98" t="str">
        <f>IF(IFERROR(VLOOKUP(A412,'5.模板'!C:D,1,0),"")="","","✔")</f>
        <v/>
      </c>
      <c r="G412" s="98" t="str">
        <f>IF(IFERROR(VLOOKUP(A412,'6.混凝土'!C:D,1,0),"")="","","✔")</f>
        <v/>
      </c>
      <c r="H412" s="98" t="str">
        <f>IF(IFERROR(VLOOKUP(A412,'7.植筋'!C:D,1,0),"")="","","✔")</f>
        <v/>
      </c>
      <c r="I412" s="98" t="str">
        <f>IF(IFERROR(VLOOKUP(A412,'8.預力混凝土基樁'!C:D,1,0),"")="","","✔")</f>
        <v/>
      </c>
      <c r="J412" s="98" t="str">
        <f>IF(IFERROR(VLOOKUP(A412,'9.砌塊石護岸'!C:D,1,0),"")="","","✔")</f>
        <v/>
      </c>
      <c r="K412" s="98" t="str">
        <f>IF(IFERROR(VLOOKUP(A412,'10.低水護岸'!C:D,1,0),"")="","","✔")</f>
        <v/>
      </c>
      <c r="L412" s="98" t="str">
        <f>IF(IFERROR(VLOOKUP(A412,'11.固床工'!C:D,1,0),"")="","","✔")</f>
        <v/>
      </c>
      <c r="M412" s="98" t="str">
        <f>IF(IFERROR(VLOOKUP(A412,'12.全套管基樁'!C:D,1,0),"")="","","✔")</f>
        <v/>
      </c>
      <c r="N412" s="98" t="str">
        <f>IF(IFERROR(VLOOKUP(A412,'13.鋼筋混凝土管工程'!C:D,1,0),"")="","","✔")</f>
        <v/>
      </c>
      <c r="O412" s="98" t="str">
        <f>IF(IFERROR(VLOOKUP(A412,'14.鋼版樁'!C:D,1,0),"")="","","✔")</f>
        <v/>
      </c>
      <c r="P412" s="98" t="str">
        <f>IF(IFERROR(VLOOKUP(A412,'15.路床 路基高程'!C:D,1,0),"")="","","✔")</f>
        <v/>
      </c>
      <c r="Q412" s="98" t="str">
        <f>IF(IFERROR(VLOOKUP(A412,'16.瀝青混凝土'!C:D,1,0),"")="","","✔")</f>
        <v/>
      </c>
      <c r="R412" s="98" t="str">
        <f>IF(IFERROR(VLOOKUP(A412,'17.景觀鋪面(一)'!C:D,1,0),"")="","","✔")</f>
        <v/>
      </c>
      <c r="S412" s="98" t="str">
        <f>IF(IFERROR(VLOOKUP(A412,'18.景觀鋪面(二)'!C:D,1,0),"")="","","✔")</f>
        <v/>
      </c>
      <c r="T412" s="98" t="str">
        <f>IF(IFERROR(VLOOKUP(A412,'19.預鑄緣石'!C:D,1,0),"")="","","✔")</f>
        <v/>
      </c>
      <c r="U412" s="98" t="str">
        <f>IF(IFERROR(VLOOKUP(A412,'20.鋼構工程吊裝'!C:D,1,0),"")="","","✔")</f>
        <v/>
      </c>
      <c r="V412" s="98" t="str">
        <f>IF(IFERROR(VLOOKUP(A412,'21.鋼構工程塗裝'!C:D,1,0),"")="","","✔")</f>
        <v/>
      </c>
      <c r="W412" s="98" t="str">
        <f>IF(IFERROR(VLOOKUP(A412,'22.排水設施(一)'!C:D,1,0),"")="","","✔")</f>
        <v/>
      </c>
      <c r="X412" s="98" t="str">
        <f>IF(IFERROR(VLOOKUP(A412,'23.排水設施(二)'!C:D,1,0),"")="","","✔")</f>
        <v/>
      </c>
      <c r="Y412" s="98" t="str">
        <f>IF(IFERROR(VLOOKUP(A412,'24.木構造'!C:D,1,0),"")="","","✔")</f>
        <v/>
      </c>
      <c r="Z412" s="98" t="str">
        <f>IF(IFERROR(VLOOKUP(A412,'25.管路'!C:D,1,0),"")="","","✔")</f>
        <v/>
      </c>
      <c r="AA412" s="98" t="str">
        <f>IF(IFERROR(VLOOKUP(A412,'26.植栽(移植)'!C:D,1,0),"")="","","✔")</f>
        <v/>
      </c>
      <c r="AB412" s="98" t="str">
        <f>IF(IFERROR(VLOOKUP(A412,'27.植栽(新植)'!C:D,1,0),"")="","","✔")</f>
        <v/>
      </c>
      <c r="AC412" s="98" t="str">
        <f>IF(IFERROR(VLOOKUP(A412,'28.照明'!C:D,1,0),"")="","","✔")</f>
        <v/>
      </c>
      <c r="AD412" s="98" t="str">
        <f>IF(IFERROR(VLOOKUP(A412,'29.既有橋梁拆除'!C:D,1,0),"")="","","✔")</f>
        <v/>
      </c>
    </row>
    <row r="413" spans="1:30" ht="21.75" customHeight="1" x14ac:dyDescent="0.25">
      <c r="A413" s="99">
        <v>45603</v>
      </c>
      <c r="B413" s="98" t="str">
        <f>IF(IFERROR(VLOOKUP(A413,'1.測量放樣'!C:D,1,0),"")="","","✔")</f>
        <v/>
      </c>
      <c r="C413" s="98" t="str">
        <f>IF(IFERROR(VLOOKUP(A413,'2.土方開挖'!C:D,1,0),"")="","","✔")</f>
        <v/>
      </c>
      <c r="D413" s="98" t="str">
        <f>IF(IFERROR(VLOOKUP(A413,'3.土方回填'!C:D,1,0),"")="","","✔")</f>
        <v/>
      </c>
      <c r="E413" s="98" t="str">
        <f>IF(IFERROR(VLOOKUP(A413,'4.鋼筋'!C:D,1,0),"")="","","✔")</f>
        <v/>
      </c>
      <c r="F413" s="98" t="str">
        <f>IF(IFERROR(VLOOKUP(A413,'5.模板'!C:D,1,0),"")="","","✔")</f>
        <v/>
      </c>
      <c r="G413" s="98" t="str">
        <f>IF(IFERROR(VLOOKUP(A413,'6.混凝土'!C:D,1,0),"")="","","✔")</f>
        <v/>
      </c>
      <c r="H413" s="98" t="str">
        <f>IF(IFERROR(VLOOKUP(A413,'7.植筋'!C:D,1,0),"")="","","✔")</f>
        <v/>
      </c>
      <c r="I413" s="98" t="str">
        <f>IF(IFERROR(VLOOKUP(A413,'8.預力混凝土基樁'!C:D,1,0),"")="","","✔")</f>
        <v/>
      </c>
      <c r="J413" s="98" t="str">
        <f>IF(IFERROR(VLOOKUP(A413,'9.砌塊石護岸'!C:D,1,0),"")="","","✔")</f>
        <v/>
      </c>
      <c r="K413" s="98" t="str">
        <f>IF(IFERROR(VLOOKUP(A413,'10.低水護岸'!C:D,1,0),"")="","","✔")</f>
        <v/>
      </c>
      <c r="L413" s="98" t="str">
        <f>IF(IFERROR(VLOOKUP(A413,'11.固床工'!C:D,1,0),"")="","","✔")</f>
        <v/>
      </c>
      <c r="M413" s="98" t="str">
        <f>IF(IFERROR(VLOOKUP(A413,'12.全套管基樁'!C:D,1,0),"")="","","✔")</f>
        <v/>
      </c>
      <c r="N413" s="98" t="str">
        <f>IF(IFERROR(VLOOKUP(A413,'13.鋼筋混凝土管工程'!C:D,1,0),"")="","","✔")</f>
        <v/>
      </c>
      <c r="O413" s="98" t="str">
        <f>IF(IFERROR(VLOOKUP(A413,'14.鋼版樁'!C:D,1,0),"")="","","✔")</f>
        <v/>
      </c>
      <c r="P413" s="98" t="str">
        <f>IF(IFERROR(VLOOKUP(A413,'15.路床 路基高程'!C:D,1,0),"")="","","✔")</f>
        <v/>
      </c>
      <c r="Q413" s="98" t="str">
        <f>IF(IFERROR(VLOOKUP(A413,'16.瀝青混凝土'!C:D,1,0),"")="","","✔")</f>
        <v/>
      </c>
      <c r="R413" s="98" t="str">
        <f>IF(IFERROR(VLOOKUP(A413,'17.景觀鋪面(一)'!C:D,1,0),"")="","","✔")</f>
        <v/>
      </c>
      <c r="S413" s="98" t="str">
        <f>IF(IFERROR(VLOOKUP(A413,'18.景觀鋪面(二)'!C:D,1,0),"")="","","✔")</f>
        <v/>
      </c>
      <c r="T413" s="98" t="str">
        <f>IF(IFERROR(VLOOKUP(A413,'19.預鑄緣石'!C:D,1,0),"")="","","✔")</f>
        <v/>
      </c>
      <c r="U413" s="98" t="str">
        <f>IF(IFERROR(VLOOKUP(A413,'20.鋼構工程吊裝'!C:D,1,0),"")="","","✔")</f>
        <v/>
      </c>
      <c r="V413" s="98" t="str">
        <f>IF(IFERROR(VLOOKUP(A413,'21.鋼構工程塗裝'!C:D,1,0),"")="","","✔")</f>
        <v/>
      </c>
      <c r="W413" s="98" t="str">
        <f>IF(IFERROR(VLOOKUP(A413,'22.排水設施(一)'!C:D,1,0),"")="","","✔")</f>
        <v/>
      </c>
      <c r="X413" s="98" t="str">
        <f>IF(IFERROR(VLOOKUP(A413,'23.排水設施(二)'!C:D,1,0),"")="","","✔")</f>
        <v/>
      </c>
      <c r="Y413" s="98" t="str">
        <f>IF(IFERROR(VLOOKUP(A413,'24.木構造'!C:D,1,0),"")="","","✔")</f>
        <v/>
      </c>
      <c r="Z413" s="98" t="str">
        <f>IF(IFERROR(VLOOKUP(A413,'25.管路'!C:D,1,0),"")="","","✔")</f>
        <v/>
      </c>
      <c r="AA413" s="98" t="str">
        <f>IF(IFERROR(VLOOKUP(A413,'26.植栽(移植)'!C:D,1,0),"")="","","✔")</f>
        <v/>
      </c>
      <c r="AB413" s="98" t="str">
        <f>IF(IFERROR(VLOOKUP(A413,'27.植栽(新植)'!C:D,1,0),"")="","","✔")</f>
        <v/>
      </c>
      <c r="AC413" s="98" t="str">
        <f>IF(IFERROR(VLOOKUP(A413,'28.照明'!C:D,1,0),"")="","","✔")</f>
        <v/>
      </c>
      <c r="AD413" s="98" t="str">
        <f>IF(IFERROR(VLOOKUP(A413,'29.既有橋梁拆除'!C:D,1,0),"")="","","✔")</f>
        <v/>
      </c>
    </row>
    <row r="414" spans="1:30" ht="21.75" customHeight="1" x14ac:dyDescent="0.25">
      <c r="A414" s="99">
        <v>45604</v>
      </c>
      <c r="B414" s="98" t="str">
        <f>IF(IFERROR(VLOOKUP(A414,'1.測量放樣'!C:D,1,0),"")="","","✔")</f>
        <v/>
      </c>
      <c r="C414" s="98" t="str">
        <f>IF(IFERROR(VLOOKUP(A414,'2.土方開挖'!C:D,1,0),"")="","","✔")</f>
        <v/>
      </c>
      <c r="D414" s="98" t="str">
        <f>IF(IFERROR(VLOOKUP(A414,'3.土方回填'!C:D,1,0),"")="","","✔")</f>
        <v/>
      </c>
      <c r="E414" s="98" t="str">
        <f>IF(IFERROR(VLOOKUP(A414,'4.鋼筋'!C:D,1,0),"")="","","✔")</f>
        <v/>
      </c>
      <c r="F414" s="98" t="str">
        <f>IF(IFERROR(VLOOKUP(A414,'5.模板'!C:D,1,0),"")="","","✔")</f>
        <v/>
      </c>
      <c r="G414" s="98" t="str">
        <f>IF(IFERROR(VLOOKUP(A414,'6.混凝土'!C:D,1,0),"")="","","✔")</f>
        <v/>
      </c>
      <c r="H414" s="98" t="str">
        <f>IF(IFERROR(VLOOKUP(A414,'7.植筋'!C:D,1,0),"")="","","✔")</f>
        <v/>
      </c>
      <c r="I414" s="98" t="str">
        <f>IF(IFERROR(VLOOKUP(A414,'8.預力混凝土基樁'!C:D,1,0),"")="","","✔")</f>
        <v/>
      </c>
      <c r="J414" s="98" t="str">
        <f>IF(IFERROR(VLOOKUP(A414,'9.砌塊石護岸'!C:D,1,0),"")="","","✔")</f>
        <v/>
      </c>
      <c r="K414" s="98" t="str">
        <f>IF(IFERROR(VLOOKUP(A414,'10.低水護岸'!C:D,1,0),"")="","","✔")</f>
        <v/>
      </c>
      <c r="L414" s="98" t="str">
        <f>IF(IFERROR(VLOOKUP(A414,'11.固床工'!C:D,1,0),"")="","","✔")</f>
        <v/>
      </c>
      <c r="M414" s="98" t="str">
        <f>IF(IFERROR(VLOOKUP(A414,'12.全套管基樁'!C:D,1,0),"")="","","✔")</f>
        <v/>
      </c>
      <c r="N414" s="98" t="str">
        <f>IF(IFERROR(VLOOKUP(A414,'13.鋼筋混凝土管工程'!C:D,1,0),"")="","","✔")</f>
        <v/>
      </c>
      <c r="O414" s="98" t="str">
        <f>IF(IFERROR(VLOOKUP(A414,'14.鋼版樁'!C:D,1,0),"")="","","✔")</f>
        <v/>
      </c>
      <c r="P414" s="98" t="str">
        <f>IF(IFERROR(VLOOKUP(A414,'15.路床 路基高程'!C:D,1,0),"")="","","✔")</f>
        <v/>
      </c>
      <c r="Q414" s="98" t="str">
        <f>IF(IFERROR(VLOOKUP(A414,'16.瀝青混凝土'!C:D,1,0),"")="","","✔")</f>
        <v/>
      </c>
      <c r="R414" s="98" t="str">
        <f>IF(IFERROR(VLOOKUP(A414,'17.景觀鋪面(一)'!C:D,1,0),"")="","","✔")</f>
        <v/>
      </c>
      <c r="S414" s="98" t="str">
        <f>IF(IFERROR(VLOOKUP(A414,'18.景觀鋪面(二)'!C:D,1,0),"")="","","✔")</f>
        <v/>
      </c>
      <c r="T414" s="98" t="str">
        <f>IF(IFERROR(VLOOKUP(A414,'19.預鑄緣石'!C:D,1,0),"")="","","✔")</f>
        <v/>
      </c>
      <c r="U414" s="98" t="str">
        <f>IF(IFERROR(VLOOKUP(A414,'20.鋼構工程吊裝'!C:D,1,0),"")="","","✔")</f>
        <v/>
      </c>
      <c r="V414" s="98" t="str">
        <f>IF(IFERROR(VLOOKUP(A414,'21.鋼構工程塗裝'!C:D,1,0),"")="","","✔")</f>
        <v/>
      </c>
      <c r="W414" s="98" t="str">
        <f>IF(IFERROR(VLOOKUP(A414,'22.排水設施(一)'!C:D,1,0),"")="","","✔")</f>
        <v/>
      </c>
      <c r="X414" s="98" t="str">
        <f>IF(IFERROR(VLOOKUP(A414,'23.排水設施(二)'!C:D,1,0),"")="","","✔")</f>
        <v/>
      </c>
      <c r="Y414" s="98" t="str">
        <f>IF(IFERROR(VLOOKUP(A414,'24.木構造'!C:D,1,0),"")="","","✔")</f>
        <v/>
      </c>
      <c r="Z414" s="98" t="str">
        <f>IF(IFERROR(VLOOKUP(A414,'25.管路'!C:D,1,0),"")="","","✔")</f>
        <v/>
      </c>
      <c r="AA414" s="98" t="str">
        <f>IF(IFERROR(VLOOKUP(A414,'26.植栽(移植)'!C:D,1,0),"")="","","✔")</f>
        <v/>
      </c>
      <c r="AB414" s="98" t="str">
        <f>IF(IFERROR(VLOOKUP(A414,'27.植栽(新植)'!C:D,1,0),"")="","","✔")</f>
        <v/>
      </c>
      <c r="AC414" s="98" t="str">
        <f>IF(IFERROR(VLOOKUP(A414,'28.照明'!C:D,1,0),"")="","","✔")</f>
        <v/>
      </c>
      <c r="AD414" s="98" t="str">
        <f>IF(IFERROR(VLOOKUP(A414,'29.既有橋梁拆除'!C:D,1,0),"")="","","✔")</f>
        <v/>
      </c>
    </row>
    <row r="415" spans="1:30" ht="21.75" customHeight="1" x14ac:dyDescent="0.25">
      <c r="A415" s="99">
        <v>45605</v>
      </c>
      <c r="B415" s="98" t="str">
        <f>IF(IFERROR(VLOOKUP(A415,'1.測量放樣'!C:D,1,0),"")="","","✔")</f>
        <v/>
      </c>
      <c r="C415" s="98" t="str">
        <f>IF(IFERROR(VLOOKUP(A415,'2.土方開挖'!C:D,1,0),"")="","","✔")</f>
        <v/>
      </c>
      <c r="D415" s="98" t="str">
        <f>IF(IFERROR(VLOOKUP(A415,'3.土方回填'!C:D,1,0),"")="","","✔")</f>
        <v/>
      </c>
      <c r="E415" s="98" t="str">
        <f>IF(IFERROR(VLOOKUP(A415,'4.鋼筋'!C:D,1,0),"")="","","✔")</f>
        <v/>
      </c>
      <c r="F415" s="98" t="str">
        <f>IF(IFERROR(VLOOKUP(A415,'5.模板'!C:D,1,0),"")="","","✔")</f>
        <v/>
      </c>
      <c r="G415" s="98" t="str">
        <f>IF(IFERROR(VLOOKUP(A415,'6.混凝土'!C:D,1,0),"")="","","✔")</f>
        <v/>
      </c>
      <c r="H415" s="98" t="str">
        <f>IF(IFERROR(VLOOKUP(A415,'7.植筋'!C:D,1,0),"")="","","✔")</f>
        <v/>
      </c>
      <c r="I415" s="98" t="str">
        <f>IF(IFERROR(VLOOKUP(A415,'8.預力混凝土基樁'!C:D,1,0),"")="","","✔")</f>
        <v/>
      </c>
      <c r="J415" s="98" t="str">
        <f>IF(IFERROR(VLOOKUP(A415,'9.砌塊石護岸'!C:D,1,0),"")="","","✔")</f>
        <v/>
      </c>
      <c r="K415" s="98" t="str">
        <f>IF(IFERROR(VLOOKUP(A415,'10.低水護岸'!C:D,1,0),"")="","","✔")</f>
        <v/>
      </c>
      <c r="L415" s="98" t="str">
        <f>IF(IFERROR(VLOOKUP(A415,'11.固床工'!C:D,1,0),"")="","","✔")</f>
        <v/>
      </c>
      <c r="M415" s="98" t="str">
        <f>IF(IFERROR(VLOOKUP(A415,'12.全套管基樁'!C:D,1,0),"")="","","✔")</f>
        <v/>
      </c>
      <c r="N415" s="98" t="str">
        <f>IF(IFERROR(VLOOKUP(A415,'13.鋼筋混凝土管工程'!C:D,1,0),"")="","","✔")</f>
        <v/>
      </c>
      <c r="O415" s="98" t="str">
        <f>IF(IFERROR(VLOOKUP(A415,'14.鋼版樁'!C:D,1,0),"")="","","✔")</f>
        <v/>
      </c>
      <c r="P415" s="98" t="str">
        <f>IF(IFERROR(VLOOKUP(A415,'15.路床 路基高程'!C:D,1,0),"")="","","✔")</f>
        <v/>
      </c>
      <c r="Q415" s="98" t="str">
        <f>IF(IFERROR(VLOOKUP(A415,'16.瀝青混凝土'!C:D,1,0),"")="","","✔")</f>
        <v/>
      </c>
      <c r="R415" s="98" t="str">
        <f>IF(IFERROR(VLOOKUP(A415,'17.景觀鋪面(一)'!C:D,1,0),"")="","","✔")</f>
        <v/>
      </c>
      <c r="S415" s="98" t="str">
        <f>IF(IFERROR(VLOOKUP(A415,'18.景觀鋪面(二)'!C:D,1,0),"")="","","✔")</f>
        <v/>
      </c>
      <c r="T415" s="98" t="str">
        <f>IF(IFERROR(VLOOKUP(A415,'19.預鑄緣石'!C:D,1,0),"")="","","✔")</f>
        <v/>
      </c>
      <c r="U415" s="98" t="str">
        <f>IF(IFERROR(VLOOKUP(A415,'20.鋼構工程吊裝'!C:D,1,0),"")="","","✔")</f>
        <v/>
      </c>
      <c r="V415" s="98" t="str">
        <f>IF(IFERROR(VLOOKUP(A415,'21.鋼構工程塗裝'!C:D,1,0),"")="","","✔")</f>
        <v/>
      </c>
      <c r="W415" s="98" t="str">
        <f>IF(IFERROR(VLOOKUP(A415,'22.排水設施(一)'!C:D,1,0),"")="","","✔")</f>
        <v/>
      </c>
      <c r="X415" s="98" t="str">
        <f>IF(IFERROR(VLOOKUP(A415,'23.排水設施(二)'!C:D,1,0),"")="","","✔")</f>
        <v/>
      </c>
      <c r="Y415" s="98" t="str">
        <f>IF(IFERROR(VLOOKUP(A415,'24.木構造'!C:D,1,0),"")="","","✔")</f>
        <v/>
      </c>
      <c r="Z415" s="98" t="str">
        <f>IF(IFERROR(VLOOKUP(A415,'25.管路'!C:D,1,0),"")="","","✔")</f>
        <v/>
      </c>
      <c r="AA415" s="98" t="str">
        <f>IF(IFERROR(VLOOKUP(A415,'26.植栽(移植)'!C:D,1,0),"")="","","✔")</f>
        <v/>
      </c>
      <c r="AB415" s="98" t="str">
        <f>IF(IFERROR(VLOOKUP(A415,'27.植栽(新植)'!C:D,1,0),"")="","","✔")</f>
        <v/>
      </c>
      <c r="AC415" s="98" t="str">
        <f>IF(IFERROR(VLOOKUP(A415,'28.照明'!C:D,1,0),"")="","","✔")</f>
        <v/>
      </c>
      <c r="AD415" s="98" t="str">
        <f>IF(IFERROR(VLOOKUP(A415,'29.既有橋梁拆除'!C:D,1,0),"")="","","✔")</f>
        <v/>
      </c>
    </row>
    <row r="416" spans="1:30" ht="21.75" customHeight="1" x14ac:dyDescent="0.25">
      <c r="A416" s="99">
        <v>45606</v>
      </c>
      <c r="B416" s="98" t="str">
        <f>IF(IFERROR(VLOOKUP(A416,'1.測量放樣'!C:D,1,0),"")="","","✔")</f>
        <v/>
      </c>
      <c r="C416" s="98" t="str">
        <f>IF(IFERROR(VLOOKUP(A416,'2.土方開挖'!C:D,1,0),"")="","","✔")</f>
        <v/>
      </c>
      <c r="D416" s="98" t="str">
        <f>IF(IFERROR(VLOOKUP(A416,'3.土方回填'!C:D,1,0),"")="","","✔")</f>
        <v/>
      </c>
      <c r="E416" s="98" t="str">
        <f>IF(IFERROR(VLOOKUP(A416,'4.鋼筋'!C:D,1,0),"")="","","✔")</f>
        <v/>
      </c>
      <c r="F416" s="98" t="str">
        <f>IF(IFERROR(VLOOKUP(A416,'5.模板'!C:D,1,0),"")="","","✔")</f>
        <v/>
      </c>
      <c r="G416" s="98" t="str">
        <f>IF(IFERROR(VLOOKUP(A416,'6.混凝土'!C:D,1,0),"")="","","✔")</f>
        <v/>
      </c>
      <c r="H416" s="98" t="str">
        <f>IF(IFERROR(VLOOKUP(A416,'7.植筋'!C:D,1,0),"")="","","✔")</f>
        <v/>
      </c>
      <c r="I416" s="98" t="str">
        <f>IF(IFERROR(VLOOKUP(A416,'8.預力混凝土基樁'!C:D,1,0),"")="","","✔")</f>
        <v/>
      </c>
      <c r="J416" s="98" t="str">
        <f>IF(IFERROR(VLOOKUP(A416,'9.砌塊石護岸'!C:D,1,0),"")="","","✔")</f>
        <v/>
      </c>
      <c r="K416" s="98" t="str">
        <f>IF(IFERROR(VLOOKUP(A416,'10.低水護岸'!C:D,1,0),"")="","","✔")</f>
        <v/>
      </c>
      <c r="L416" s="98" t="str">
        <f>IF(IFERROR(VLOOKUP(A416,'11.固床工'!C:D,1,0),"")="","","✔")</f>
        <v/>
      </c>
      <c r="M416" s="98" t="str">
        <f>IF(IFERROR(VLOOKUP(A416,'12.全套管基樁'!C:D,1,0),"")="","","✔")</f>
        <v/>
      </c>
      <c r="N416" s="98" t="str">
        <f>IF(IFERROR(VLOOKUP(A416,'13.鋼筋混凝土管工程'!C:D,1,0),"")="","","✔")</f>
        <v/>
      </c>
      <c r="O416" s="98" t="str">
        <f>IF(IFERROR(VLOOKUP(A416,'14.鋼版樁'!C:D,1,0),"")="","","✔")</f>
        <v/>
      </c>
      <c r="P416" s="98" t="str">
        <f>IF(IFERROR(VLOOKUP(A416,'15.路床 路基高程'!C:D,1,0),"")="","","✔")</f>
        <v/>
      </c>
      <c r="Q416" s="98" t="str">
        <f>IF(IFERROR(VLOOKUP(A416,'16.瀝青混凝土'!C:D,1,0),"")="","","✔")</f>
        <v/>
      </c>
      <c r="R416" s="98" t="str">
        <f>IF(IFERROR(VLOOKUP(A416,'17.景觀鋪面(一)'!C:D,1,0),"")="","","✔")</f>
        <v/>
      </c>
      <c r="S416" s="98" t="str">
        <f>IF(IFERROR(VLOOKUP(A416,'18.景觀鋪面(二)'!C:D,1,0),"")="","","✔")</f>
        <v/>
      </c>
      <c r="T416" s="98" t="str">
        <f>IF(IFERROR(VLOOKUP(A416,'19.預鑄緣石'!C:D,1,0),"")="","","✔")</f>
        <v/>
      </c>
      <c r="U416" s="98" t="str">
        <f>IF(IFERROR(VLOOKUP(A416,'20.鋼構工程吊裝'!C:D,1,0),"")="","","✔")</f>
        <v/>
      </c>
      <c r="V416" s="98" t="str">
        <f>IF(IFERROR(VLOOKUP(A416,'21.鋼構工程塗裝'!C:D,1,0),"")="","","✔")</f>
        <v/>
      </c>
      <c r="W416" s="98" t="str">
        <f>IF(IFERROR(VLOOKUP(A416,'22.排水設施(一)'!C:D,1,0),"")="","","✔")</f>
        <v/>
      </c>
      <c r="X416" s="98" t="str">
        <f>IF(IFERROR(VLOOKUP(A416,'23.排水設施(二)'!C:D,1,0),"")="","","✔")</f>
        <v/>
      </c>
      <c r="Y416" s="98" t="str">
        <f>IF(IFERROR(VLOOKUP(A416,'24.木構造'!C:D,1,0),"")="","","✔")</f>
        <v/>
      </c>
      <c r="Z416" s="98" t="str">
        <f>IF(IFERROR(VLOOKUP(A416,'25.管路'!C:D,1,0),"")="","","✔")</f>
        <v/>
      </c>
      <c r="AA416" s="98" t="str">
        <f>IF(IFERROR(VLOOKUP(A416,'26.植栽(移植)'!C:D,1,0),"")="","","✔")</f>
        <v/>
      </c>
      <c r="AB416" s="98" t="str">
        <f>IF(IFERROR(VLOOKUP(A416,'27.植栽(新植)'!C:D,1,0),"")="","","✔")</f>
        <v/>
      </c>
      <c r="AC416" s="98" t="str">
        <f>IF(IFERROR(VLOOKUP(A416,'28.照明'!C:D,1,0),"")="","","✔")</f>
        <v/>
      </c>
      <c r="AD416" s="98" t="str">
        <f>IF(IFERROR(VLOOKUP(A416,'29.既有橋梁拆除'!C:D,1,0),"")="","","✔")</f>
        <v/>
      </c>
    </row>
    <row r="417" spans="1:30" ht="21.75" customHeight="1" x14ac:dyDescent="0.25">
      <c r="A417" s="99">
        <v>45607</v>
      </c>
      <c r="B417" s="98" t="str">
        <f>IF(IFERROR(VLOOKUP(A417,'1.測量放樣'!C:D,1,0),"")="","","✔")</f>
        <v/>
      </c>
      <c r="C417" s="98" t="str">
        <f>IF(IFERROR(VLOOKUP(A417,'2.土方開挖'!C:D,1,0),"")="","","✔")</f>
        <v/>
      </c>
      <c r="D417" s="98" t="str">
        <f>IF(IFERROR(VLOOKUP(A417,'3.土方回填'!C:D,1,0),"")="","","✔")</f>
        <v/>
      </c>
      <c r="E417" s="98" t="str">
        <f>IF(IFERROR(VLOOKUP(A417,'4.鋼筋'!C:D,1,0),"")="","","✔")</f>
        <v/>
      </c>
      <c r="F417" s="98" t="str">
        <f>IF(IFERROR(VLOOKUP(A417,'5.模板'!C:D,1,0),"")="","","✔")</f>
        <v/>
      </c>
      <c r="G417" s="98" t="str">
        <f>IF(IFERROR(VLOOKUP(A417,'6.混凝土'!C:D,1,0),"")="","","✔")</f>
        <v/>
      </c>
      <c r="H417" s="98" t="str">
        <f>IF(IFERROR(VLOOKUP(A417,'7.植筋'!C:D,1,0),"")="","","✔")</f>
        <v/>
      </c>
      <c r="I417" s="98" t="str">
        <f>IF(IFERROR(VLOOKUP(A417,'8.預力混凝土基樁'!C:D,1,0),"")="","","✔")</f>
        <v/>
      </c>
      <c r="J417" s="98" t="str">
        <f>IF(IFERROR(VLOOKUP(A417,'9.砌塊石護岸'!C:D,1,0),"")="","","✔")</f>
        <v/>
      </c>
      <c r="K417" s="98" t="str">
        <f>IF(IFERROR(VLOOKUP(A417,'10.低水護岸'!C:D,1,0),"")="","","✔")</f>
        <v/>
      </c>
      <c r="L417" s="98" t="str">
        <f>IF(IFERROR(VLOOKUP(A417,'11.固床工'!C:D,1,0),"")="","","✔")</f>
        <v/>
      </c>
      <c r="M417" s="98" t="str">
        <f>IF(IFERROR(VLOOKUP(A417,'12.全套管基樁'!C:D,1,0),"")="","","✔")</f>
        <v/>
      </c>
      <c r="N417" s="98" t="str">
        <f>IF(IFERROR(VLOOKUP(A417,'13.鋼筋混凝土管工程'!C:D,1,0),"")="","","✔")</f>
        <v/>
      </c>
      <c r="O417" s="98" t="str">
        <f>IF(IFERROR(VLOOKUP(A417,'14.鋼版樁'!C:D,1,0),"")="","","✔")</f>
        <v/>
      </c>
      <c r="P417" s="98" t="str">
        <f>IF(IFERROR(VLOOKUP(A417,'15.路床 路基高程'!C:D,1,0),"")="","","✔")</f>
        <v/>
      </c>
      <c r="Q417" s="98" t="str">
        <f>IF(IFERROR(VLOOKUP(A417,'16.瀝青混凝土'!C:D,1,0),"")="","","✔")</f>
        <v/>
      </c>
      <c r="R417" s="98" t="str">
        <f>IF(IFERROR(VLOOKUP(A417,'17.景觀鋪面(一)'!C:D,1,0),"")="","","✔")</f>
        <v/>
      </c>
      <c r="S417" s="98" t="str">
        <f>IF(IFERROR(VLOOKUP(A417,'18.景觀鋪面(二)'!C:D,1,0),"")="","","✔")</f>
        <v/>
      </c>
      <c r="T417" s="98" t="str">
        <f>IF(IFERROR(VLOOKUP(A417,'19.預鑄緣石'!C:D,1,0),"")="","","✔")</f>
        <v/>
      </c>
      <c r="U417" s="98" t="str">
        <f>IF(IFERROR(VLOOKUP(A417,'20.鋼構工程吊裝'!C:D,1,0),"")="","","✔")</f>
        <v/>
      </c>
      <c r="V417" s="98" t="str">
        <f>IF(IFERROR(VLOOKUP(A417,'21.鋼構工程塗裝'!C:D,1,0),"")="","","✔")</f>
        <v/>
      </c>
      <c r="W417" s="98" t="str">
        <f>IF(IFERROR(VLOOKUP(A417,'22.排水設施(一)'!C:D,1,0),"")="","","✔")</f>
        <v/>
      </c>
      <c r="X417" s="98" t="str">
        <f>IF(IFERROR(VLOOKUP(A417,'23.排水設施(二)'!C:D,1,0),"")="","","✔")</f>
        <v/>
      </c>
      <c r="Y417" s="98" t="str">
        <f>IF(IFERROR(VLOOKUP(A417,'24.木構造'!C:D,1,0),"")="","","✔")</f>
        <v/>
      </c>
      <c r="Z417" s="98" t="str">
        <f>IF(IFERROR(VLOOKUP(A417,'25.管路'!C:D,1,0),"")="","","✔")</f>
        <v/>
      </c>
      <c r="AA417" s="98" t="str">
        <f>IF(IFERROR(VLOOKUP(A417,'26.植栽(移植)'!C:D,1,0),"")="","","✔")</f>
        <v/>
      </c>
      <c r="AB417" s="98" t="str">
        <f>IF(IFERROR(VLOOKUP(A417,'27.植栽(新植)'!C:D,1,0),"")="","","✔")</f>
        <v/>
      </c>
      <c r="AC417" s="98" t="str">
        <f>IF(IFERROR(VLOOKUP(A417,'28.照明'!C:D,1,0),"")="","","✔")</f>
        <v/>
      </c>
      <c r="AD417" s="98" t="str">
        <f>IF(IFERROR(VLOOKUP(A417,'29.既有橋梁拆除'!C:D,1,0),"")="","","✔")</f>
        <v/>
      </c>
    </row>
    <row r="418" spans="1:30" ht="21.75" customHeight="1" x14ac:dyDescent="0.25">
      <c r="A418" s="99">
        <v>45608</v>
      </c>
      <c r="B418" s="98" t="str">
        <f>IF(IFERROR(VLOOKUP(A418,'1.測量放樣'!C:D,1,0),"")="","","✔")</f>
        <v/>
      </c>
      <c r="C418" s="98" t="str">
        <f>IF(IFERROR(VLOOKUP(A418,'2.土方開挖'!C:D,1,0),"")="","","✔")</f>
        <v/>
      </c>
      <c r="D418" s="98" t="str">
        <f>IF(IFERROR(VLOOKUP(A418,'3.土方回填'!C:D,1,0),"")="","","✔")</f>
        <v/>
      </c>
      <c r="E418" s="98" t="str">
        <f>IF(IFERROR(VLOOKUP(A418,'4.鋼筋'!C:D,1,0),"")="","","✔")</f>
        <v/>
      </c>
      <c r="F418" s="98" t="str">
        <f>IF(IFERROR(VLOOKUP(A418,'5.模板'!C:D,1,0),"")="","","✔")</f>
        <v/>
      </c>
      <c r="G418" s="98" t="str">
        <f>IF(IFERROR(VLOOKUP(A418,'6.混凝土'!C:D,1,0),"")="","","✔")</f>
        <v/>
      </c>
      <c r="H418" s="98" t="str">
        <f>IF(IFERROR(VLOOKUP(A418,'7.植筋'!C:D,1,0),"")="","","✔")</f>
        <v/>
      </c>
      <c r="I418" s="98" t="str">
        <f>IF(IFERROR(VLOOKUP(A418,'8.預力混凝土基樁'!C:D,1,0),"")="","","✔")</f>
        <v/>
      </c>
      <c r="J418" s="98" t="str">
        <f>IF(IFERROR(VLOOKUP(A418,'9.砌塊石護岸'!C:D,1,0),"")="","","✔")</f>
        <v/>
      </c>
      <c r="K418" s="98" t="str">
        <f>IF(IFERROR(VLOOKUP(A418,'10.低水護岸'!C:D,1,0),"")="","","✔")</f>
        <v/>
      </c>
      <c r="L418" s="98" t="str">
        <f>IF(IFERROR(VLOOKUP(A418,'11.固床工'!C:D,1,0),"")="","","✔")</f>
        <v/>
      </c>
      <c r="M418" s="98" t="str">
        <f>IF(IFERROR(VLOOKUP(A418,'12.全套管基樁'!C:D,1,0),"")="","","✔")</f>
        <v/>
      </c>
      <c r="N418" s="98" t="str">
        <f>IF(IFERROR(VLOOKUP(A418,'13.鋼筋混凝土管工程'!C:D,1,0),"")="","","✔")</f>
        <v/>
      </c>
      <c r="O418" s="98" t="str">
        <f>IF(IFERROR(VLOOKUP(A418,'14.鋼版樁'!C:D,1,0),"")="","","✔")</f>
        <v/>
      </c>
      <c r="P418" s="98" t="str">
        <f>IF(IFERROR(VLOOKUP(A418,'15.路床 路基高程'!C:D,1,0),"")="","","✔")</f>
        <v/>
      </c>
      <c r="Q418" s="98" t="str">
        <f>IF(IFERROR(VLOOKUP(A418,'16.瀝青混凝土'!C:D,1,0),"")="","","✔")</f>
        <v/>
      </c>
      <c r="R418" s="98" t="str">
        <f>IF(IFERROR(VLOOKUP(A418,'17.景觀鋪面(一)'!C:D,1,0),"")="","","✔")</f>
        <v/>
      </c>
      <c r="S418" s="98" t="str">
        <f>IF(IFERROR(VLOOKUP(A418,'18.景觀鋪面(二)'!C:D,1,0),"")="","","✔")</f>
        <v/>
      </c>
      <c r="T418" s="98" t="str">
        <f>IF(IFERROR(VLOOKUP(A418,'19.預鑄緣石'!C:D,1,0),"")="","","✔")</f>
        <v/>
      </c>
      <c r="U418" s="98" t="str">
        <f>IF(IFERROR(VLOOKUP(A418,'20.鋼構工程吊裝'!C:D,1,0),"")="","","✔")</f>
        <v/>
      </c>
      <c r="V418" s="98" t="str">
        <f>IF(IFERROR(VLOOKUP(A418,'21.鋼構工程塗裝'!C:D,1,0),"")="","","✔")</f>
        <v/>
      </c>
      <c r="W418" s="98" t="str">
        <f>IF(IFERROR(VLOOKUP(A418,'22.排水設施(一)'!C:D,1,0),"")="","","✔")</f>
        <v/>
      </c>
      <c r="X418" s="98" t="str">
        <f>IF(IFERROR(VLOOKUP(A418,'23.排水設施(二)'!C:D,1,0),"")="","","✔")</f>
        <v/>
      </c>
      <c r="Y418" s="98" t="str">
        <f>IF(IFERROR(VLOOKUP(A418,'24.木構造'!C:D,1,0),"")="","","✔")</f>
        <v/>
      </c>
      <c r="Z418" s="98" t="str">
        <f>IF(IFERROR(VLOOKUP(A418,'25.管路'!C:D,1,0),"")="","","✔")</f>
        <v/>
      </c>
      <c r="AA418" s="98" t="str">
        <f>IF(IFERROR(VLOOKUP(A418,'26.植栽(移植)'!C:D,1,0),"")="","","✔")</f>
        <v/>
      </c>
      <c r="AB418" s="98" t="str">
        <f>IF(IFERROR(VLOOKUP(A418,'27.植栽(新植)'!C:D,1,0),"")="","","✔")</f>
        <v/>
      </c>
      <c r="AC418" s="98" t="str">
        <f>IF(IFERROR(VLOOKUP(A418,'28.照明'!C:D,1,0),"")="","","✔")</f>
        <v/>
      </c>
      <c r="AD418" s="98" t="str">
        <f>IF(IFERROR(VLOOKUP(A418,'29.既有橋梁拆除'!C:D,1,0),"")="","","✔")</f>
        <v/>
      </c>
    </row>
    <row r="419" spans="1:30" ht="21.75" customHeight="1" x14ac:dyDescent="0.25">
      <c r="A419" s="99">
        <v>45609</v>
      </c>
      <c r="B419" s="98" t="str">
        <f>IF(IFERROR(VLOOKUP(A419,'1.測量放樣'!C:D,1,0),"")="","","✔")</f>
        <v/>
      </c>
      <c r="C419" s="98" t="str">
        <f>IF(IFERROR(VLOOKUP(A419,'2.土方開挖'!C:D,1,0),"")="","","✔")</f>
        <v/>
      </c>
      <c r="D419" s="98" t="str">
        <f>IF(IFERROR(VLOOKUP(A419,'3.土方回填'!C:D,1,0),"")="","","✔")</f>
        <v/>
      </c>
      <c r="E419" s="98" t="str">
        <f>IF(IFERROR(VLOOKUP(A419,'4.鋼筋'!C:D,1,0),"")="","","✔")</f>
        <v/>
      </c>
      <c r="F419" s="98" t="str">
        <f>IF(IFERROR(VLOOKUP(A419,'5.模板'!C:D,1,0),"")="","","✔")</f>
        <v/>
      </c>
      <c r="G419" s="98" t="str">
        <f>IF(IFERROR(VLOOKUP(A419,'6.混凝土'!C:D,1,0),"")="","","✔")</f>
        <v/>
      </c>
      <c r="H419" s="98" t="str">
        <f>IF(IFERROR(VLOOKUP(A419,'7.植筋'!C:D,1,0),"")="","","✔")</f>
        <v/>
      </c>
      <c r="I419" s="98" t="str">
        <f>IF(IFERROR(VLOOKUP(A419,'8.預力混凝土基樁'!C:D,1,0),"")="","","✔")</f>
        <v/>
      </c>
      <c r="J419" s="98" t="str">
        <f>IF(IFERROR(VLOOKUP(A419,'9.砌塊石護岸'!C:D,1,0),"")="","","✔")</f>
        <v/>
      </c>
      <c r="K419" s="98" t="str">
        <f>IF(IFERROR(VLOOKUP(A419,'10.低水護岸'!C:D,1,0),"")="","","✔")</f>
        <v/>
      </c>
      <c r="L419" s="98" t="str">
        <f>IF(IFERROR(VLOOKUP(A419,'11.固床工'!C:D,1,0),"")="","","✔")</f>
        <v/>
      </c>
      <c r="M419" s="98" t="str">
        <f>IF(IFERROR(VLOOKUP(A419,'12.全套管基樁'!C:D,1,0),"")="","","✔")</f>
        <v/>
      </c>
      <c r="N419" s="98" t="str">
        <f>IF(IFERROR(VLOOKUP(A419,'13.鋼筋混凝土管工程'!C:D,1,0),"")="","","✔")</f>
        <v/>
      </c>
      <c r="O419" s="98" t="str">
        <f>IF(IFERROR(VLOOKUP(A419,'14.鋼版樁'!C:D,1,0),"")="","","✔")</f>
        <v/>
      </c>
      <c r="P419" s="98" t="str">
        <f>IF(IFERROR(VLOOKUP(A419,'15.路床 路基高程'!C:D,1,0),"")="","","✔")</f>
        <v/>
      </c>
      <c r="Q419" s="98" t="str">
        <f>IF(IFERROR(VLOOKUP(A419,'16.瀝青混凝土'!C:D,1,0),"")="","","✔")</f>
        <v/>
      </c>
      <c r="R419" s="98" t="str">
        <f>IF(IFERROR(VLOOKUP(A419,'17.景觀鋪面(一)'!C:D,1,0),"")="","","✔")</f>
        <v/>
      </c>
      <c r="S419" s="98" t="str">
        <f>IF(IFERROR(VLOOKUP(A419,'18.景觀鋪面(二)'!C:D,1,0),"")="","","✔")</f>
        <v/>
      </c>
      <c r="T419" s="98" t="str">
        <f>IF(IFERROR(VLOOKUP(A419,'19.預鑄緣石'!C:D,1,0),"")="","","✔")</f>
        <v/>
      </c>
      <c r="U419" s="98" t="str">
        <f>IF(IFERROR(VLOOKUP(A419,'20.鋼構工程吊裝'!C:D,1,0),"")="","","✔")</f>
        <v/>
      </c>
      <c r="V419" s="98" t="str">
        <f>IF(IFERROR(VLOOKUP(A419,'21.鋼構工程塗裝'!C:D,1,0),"")="","","✔")</f>
        <v/>
      </c>
      <c r="W419" s="98" t="str">
        <f>IF(IFERROR(VLOOKUP(A419,'22.排水設施(一)'!C:D,1,0),"")="","","✔")</f>
        <v/>
      </c>
      <c r="X419" s="98" t="str">
        <f>IF(IFERROR(VLOOKUP(A419,'23.排水設施(二)'!C:D,1,0),"")="","","✔")</f>
        <v/>
      </c>
      <c r="Y419" s="98" t="str">
        <f>IF(IFERROR(VLOOKUP(A419,'24.木構造'!C:D,1,0),"")="","","✔")</f>
        <v/>
      </c>
      <c r="Z419" s="98" t="str">
        <f>IF(IFERROR(VLOOKUP(A419,'25.管路'!C:D,1,0),"")="","","✔")</f>
        <v/>
      </c>
      <c r="AA419" s="98" t="str">
        <f>IF(IFERROR(VLOOKUP(A419,'26.植栽(移植)'!C:D,1,0),"")="","","✔")</f>
        <v/>
      </c>
      <c r="AB419" s="98" t="str">
        <f>IF(IFERROR(VLOOKUP(A419,'27.植栽(新植)'!C:D,1,0),"")="","","✔")</f>
        <v/>
      </c>
      <c r="AC419" s="98" t="str">
        <f>IF(IFERROR(VLOOKUP(A419,'28.照明'!C:D,1,0),"")="","","✔")</f>
        <v/>
      </c>
      <c r="AD419" s="98" t="str">
        <f>IF(IFERROR(VLOOKUP(A419,'29.既有橋梁拆除'!C:D,1,0),"")="","","✔")</f>
        <v/>
      </c>
    </row>
    <row r="420" spans="1:30" ht="21.75" customHeight="1" x14ac:dyDescent="0.25">
      <c r="A420" s="99">
        <v>45610</v>
      </c>
      <c r="B420" s="98" t="str">
        <f>IF(IFERROR(VLOOKUP(A420,'1.測量放樣'!C:D,1,0),"")="","","✔")</f>
        <v/>
      </c>
      <c r="C420" s="98" t="str">
        <f>IF(IFERROR(VLOOKUP(A420,'2.土方開挖'!C:D,1,0),"")="","","✔")</f>
        <v/>
      </c>
      <c r="D420" s="98" t="str">
        <f>IF(IFERROR(VLOOKUP(A420,'3.土方回填'!C:D,1,0),"")="","","✔")</f>
        <v/>
      </c>
      <c r="E420" s="98" t="str">
        <f>IF(IFERROR(VLOOKUP(A420,'4.鋼筋'!C:D,1,0),"")="","","✔")</f>
        <v/>
      </c>
      <c r="F420" s="98" t="str">
        <f>IF(IFERROR(VLOOKUP(A420,'5.模板'!C:D,1,0),"")="","","✔")</f>
        <v/>
      </c>
      <c r="G420" s="98" t="str">
        <f>IF(IFERROR(VLOOKUP(A420,'6.混凝土'!C:D,1,0),"")="","","✔")</f>
        <v/>
      </c>
      <c r="H420" s="98" t="str">
        <f>IF(IFERROR(VLOOKUP(A420,'7.植筋'!C:D,1,0),"")="","","✔")</f>
        <v/>
      </c>
      <c r="I420" s="98" t="str">
        <f>IF(IFERROR(VLOOKUP(A420,'8.預力混凝土基樁'!C:D,1,0),"")="","","✔")</f>
        <v/>
      </c>
      <c r="J420" s="98" t="str">
        <f>IF(IFERROR(VLOOKUP(A420,'9.砌塊石護岸'!C:D,1,0),"")="","","✔")</f>
        <v/>
      </c>
      <c r="K420" s="98" t="str">
        <f>IF(IFERROR(VLOOKUP(A420,'10.低水護岸'!C:D,1,0),"")="","","✔")</f>
        <v/>
      </c>
      <c r="L420" s="98" t="str">
        <f>IF(IFERROR(VLOOKUP(A420,'11.固床工'!C:D,1,0),"")="","","✔")</f>
        <v/>
      </c>
      <c r="M420" s="98" t="str">
        <f>IF(IFERROR(VLOOKUP(A420,'12.全套管基樁'!C:D,1,0),"")="","","✔")</f>
        <v/>
      </c>
      <c r="N420" s="98" t="str">
        <f>IF(IFERROR(VLOOKUP(A420,'13.鋼筋混凝土管工程'!C:D,1,0),"")="","","✔")</f>
        <v/>
      </c>
      <c r="O420" s="98" t="str">
        <f>IF(IFERROR(VLOOKUP(A420,'14.鋼版樁'!C:D,1,0),"")="","","✔")</f>
        <v/>
      </c>
      <c r="P420" s="98" t="str">
        <f>IF(IFERROR(VLOOKUP(A420,'15.路床 路基高程'!C:D,1,0),"")="","","✔")</f>
        <v/>
      </c>
      <c r="Q420" s="98" t="str">
        <f>IF(IFERROR(VLOOKUP(A420,'16.瀝青混凝土'!C:D,1,0),"")="","","✔")</f>
        <v/>
      </c>
      <c r="R420" s="98" t="str">
        <f>IF(IFERROR(VLOOKUP(A420,'17.景觀鋪面(一)'!C:D,1,0),"")="","","✔")</f>
        <v/>
      </c>
      <c r="S420" s="98" t="str">
        <f>IF(IFERROR(VLOOKUP(A420,'18.景觀鋪面(二)'!C:D,1,0),"")="","","✔")</f>
        <v/>
      </c>
      <c r="T420" s="98" t="str">
        <f>IF(IFERROR(VLOOKUP(A420,'19.預鑄緣石'!C:D,1,0),"")="","","✔")</f>
        <v/>
      </c>
      <c r="U420" s="98" t="str">
        <f>IF(IFERROR(VLOOKUP(A420,'20.鋼構工程吊裝'!C:D,1,0),"")="","","✔")</f>
        <v/>
      </c>
      <c r="V420" s="98" t="str">
        <f>IF(IFERROR(VLOOKUP(A420,'21.鋼構工程塗裝'!C:D,1,0),"")="","","✔")</f>
        <v/>
      </c>
      <c r="W420" s="98" t="str">
        <f>IF(IFERROR(VLOOKUP(A420,'22.排水設施(一)'!C:D,1,0),"")="","","✔")</f>
        <v/>
      </c>
      <c r="X420" s="98" t="str">
        <f>IF(IFERROR(VLOOKUP(A420,'23.排水設施(二)'!C:D,1,0),"")="","","✔")</f>
        <v/>
      </c>
      <c r="Y420" s="98" t="str">
        <f>IF(IFERROR(VLOOKUP(A420,'24.木構造'!C:D,1,0),"")="","","✔")</f>
        <v/>
      </c>
      <c r="Z420" s="98" t="str">
        <f>IF(IFERROR(VLOOKUP(A420,'25.管路'!C:D,1,0),"")="","","✔")</f>
        <v/>
      </c>
      <c r="AA420" s="98" t="str">
        <f>IF(IFERROR(VLOOKUP(A420,'26.植栽(移植)'!C:D,1,0),"")="","","✔")</f>
        <v/>
      </c>
      <c r="AB420" s="98" t="str">
        <f>IF(IFERROR(VLOOKUP(A420,'27.植栽(新植)'!C:D,1,0),"")="","","✔")</f>
        <v/>
      </c>
      <c r="AC420" s="98" t="str">
        <f>IF(IFERROR(VLOOKUP(A420,'28.照明'!C:D,1,0),"")="","","✔")</f>
        <v/>
      </c>
      <c r="AD420" s="98" t="str">
        <f>IF(IFERROR(VLOOKUP(A420,'29.既有橋梁拆除'!C:D,1,0),"")="","","✔")</f>
        <v/>
      </c>
    </row>
    <row r="421" spans="1:30" ht="21.75" customHeight="1" x14ac:dyDescent="0.25">
      <c r="A421" s="99">
        <v>45611</v>
      </c>
      <c r="B421" s="98" t="str">
        <f>IF(IFERROR(VLOOKUP(A421,'1.測量放樣'!C:D,1,0),"")="","","✔")</f>
        <v/>
      </c>
      <c r="C421" s="98" t="str">
        <f>IF(IFERROR(VLOOKUP(A421,'2.土方開挖'!C:D,1,0),"")="","","✔")</f>
        <v/>
      </c>
      <c r="D421" s="98" t="str">
        <f>IF(IFERROR(VLOOKUP(A421,'3.土方回填'!C:D,1,0),"")="","","✔")</f>
        <v/>
      </c>
      <c r="E421" s="98" t="str">
        <f>IF(IFERROR(VLOOKUP(A421,'4.鋼筋'!C:D,1,0),"")="","","✔")</f>
        <v/>
      </c>
      <c r="F421" s="98" t="str">
        <f>IF(IFERROR(VLOOKUP(A421,'5.模板'!C:D,1,0),"")="","","✔")</f>
        <v/>
      </c>
      <c r="G421" s="98" t="str">
        <f>IF(IFERROR(VLOOKUP(A421,'6.混凝土'!C:D,1,0),"")="","","✔")</f>
        <v/>
      </c>
      <c r="H421" s="98" t="str">
        <f>IF(IFERROR(VLOOKUP(A421,'7.植筋'!C:D,1,0),"")="","","✔")</f>
        <v/>
      </c>
      <c r="I421" s="98" t="str">
        <f>IF(IFERROR(VLOOKUP(A421,'8.預力混凝土基樁'!C:D,1,0),"")="","","✔")</f>
        <v/>
      </c>
      <c r="J421" s="98" t="str">
        <f>IF(IFERROR(VLOOKUP(A421,'9.砌塊石護岸'!C:D,1,0),"")="","","✔")</f>
        <v/>
      </c>
      <c r="K421" s="98" t="str">
        <f>IF(IFERROR(VLOOKUP(A421,'10.低水護岸'!C:D,1,0),"")="","","✔")</f>
        <v/>
      </c>
      <c r="L421" s="98" t="str">
        <f>IF(IFERROR(VLOOKUP(A421,'11.固床工'!C:D,1,0),"")="","","✔")</f>
        <v/>
      </c>
      <c r="M421" s="98" t="str">
        <f>IF(IFERROR(VLOOKUP(A421,'12.全套管基樁'!C:D,1,0),"")="","","✔")</f>
        <v/>
      </c>
      <c r="N421" s="98" t="str">
        <f>IF(IFERROR(VLOOKUP(A421,'13.鋼筋混凝土管工程'!C:D,1,0),"")="","","✔")</f>
        <v/>
      </c>
      <c r="O421" s="98" t="str">
        <f>IF(IFERROR(VLOOKUP(A421,'14.鋼版樁'!C:D,1,0),"")="","","✔")</f>
        <v/>
      </c>
      <c r="P421" s="98" t="str">
        <f>IF(IFERROR(VLOOKUP(A421,'15.路床 路基高程'!C:D,1,0),"")="","","✔")</f>
        <v/>
      </c>
      <c r="Q421" s="98" t="str">
        <f>IF(IFERROR(VLOOKUP(A421,'16.瀝青混凝土'!C:D,1,0),"")="","","✔")</f>
        <v/>
      </c>
      <c r="R421" s="98" t="str">
        <f>IF(IFERROR(VLOOKUP(A421,'17.景觀鋪面(一)'!C:D,1,0),"")="","","✔")</f>
        <v/>
      </c>
      <c r="S421" s="98" t="str">
        <f>IF(IFERROR(VLOOKUP(A421,'18.景觀鋪面(二)'!C:D,1,0),"")="","","✔")</f>
        <v/>
      </c>
      <c r="T421" s="98" t="str">
        <f>IF(IFERROR(VLOOKUP(A421,'19.預鑄緣石'!C:D,1,0),"")="","","✔")</f>
        <v/>
      </c>
      <c r="U421" s="98" t="str">
        <f>IF(IFERROR(VLOOKUP(A421,'20.鋼構工程吊裝'!C:D,1,0),"")="","","✔")</f>
        <v/>
      </c>
      <c r="V421" s="98" t="str">
        <f>IF(IFERROR(VLOOKUP(A421,'21.鋼構工程塗裝'!C:D,1,0),"")="","","✔")</f>
        <v/>
      </c>
      <c r="W421" s="98" t="str">
        <f>IF(IFERROR(VLOOKUP(A421,'22.排水設施(一)'!C:D,1,0),"")="","","✔")</f>
        <v/>
      </c>
      <c r="X421" s="98" t="str">
        <f>IF(IFERROR(VLOOKUP(A421,'23.排水設施(二)'!C:D,1,0),"")="","","✔")</f>
        <v/>
      </c>
      <c r="Y421" s="98" t="str">
        <f>IF(IFERROR(VLOOKUP(A421,'24.木構造'!C:D,1,0),"")="","","✔")</f>
        <v/>
      </c>
      <c r="Z421" s="98" t="str">
        <f>IF(IFERROR(VLOOKUP(A421,'25.管路'!C:D,1,0),"")="","","✔")</f>
        <v/>
      </c>
      <c r="AA421" s="98" t="str">
        <f>IF(IFERROR(VLOOKUP(A421,'26.植栽(移植)'!C:D,1,0),"")="","","✔")</f>
        <v/>
      </c>
      <c r="AB421" s="98" t="str">
        <f>IF(IFERROR(VLOOKUP(A421,'27.植栽(新植)'!C:D,1,0),"")="","","✔")</f>
        <v/>
      </c>
      <c r="AC421" s="98" t="str">
        <f>IF(IFERROR(VLOOKUP(A421,'28.照明'!C:D,1,0),"")="","","✔")</f>
        <v/>
      </c>
      <c r="AD421" s="98" t="str">
        <f>IF(IFERROR(VLOOKUP(A421,'29.既有橋梁拆除'!C:D,1,0),"")="","","✔")</f>
        <v/>
      </c>
    </row>
    <row r="422" spans="1:30" ht="21.75" customHeight="1" x14ac:dyDescent="0.25">
      <c r="A422" s="99">
        <v>45612</v>
      </c>
      <c r="B422" s="98" t="str">
        <f>IF(IFERROR(VLOOKUP(A422,'1.測量放樣'!C:D,1,0),"")="","","✔")</f>
        <v/>
      </c>
      <c r="C422" s="98" t="str">
        <f>IF(IFERROR(VLOOKUP(A422,'2.土方開挖'!C:D,1,0),"")="","","✔")</f>
        <v/>
      </c>
      <c r="D422" s="98" t="str">
        <f>IF(IFERROR(VLOOKUP(A422,'3.土方回填'!C:D,1,0),"")="","","✔")</f>
        <v/>
      </c>
      <c r="E422" s="98" t="str">
        <f>IF(IFERROR(VLOOKUP(A422,'4.鋼筋'!C:D,1,0),"")="","","✔")</f>
        <v/>
      </c>
      <c r="F422" s="98" t="str">
        <f>IF(IFERROR(VLOOKUP(A422,'5.模板'!C:D,1,0),"")="","","✔")</f>
        <v/>
      </c>
      <c r="G422" s="98" t="str">
        <f>IF(IFERROR(VLOOKUP(A422,'6.混凝土'!C:D,1,0),"")="","","✔")</f>
        <v/>
      </c>
      <c r="H422" s="98" t="str">
        <f>IF(IFERROR(VLOOKUP(A422,'7.植筋'!C:D,1,0),"")="","","✔")</f>
        <v/>
      </c>
      <c r="I422" s="98" t="str">
        <f>IF(IFERROR(VLOOKUP(A422,'8.預力混凝土基樁'!C:D,1,0),"")="","","✔")</f>
        <v/>
      </c>
      <c r="J422" s="98" t="str">
        <f>IF(IFERROR(VLOOKUP(A422,'9.砌塊石護岸'!C:D,1,0),"")="","","✔")</f>
        <v/>
      </c>
      <c r="K422" s="98" t="str">
        <f>IF(IFERROR(VLOOKUP(A422,'10.低水護岸'!C:D,1,0),"")="","","✔")</f>
        <v/>
      </c>
      <c r="L422" s="98" t="str">
        <f>IF(IFERROR(VLOOKUP(A422,'11.固床工'!C:D,1,0),"")="","","✔")</f>
        <v/>
      </c>
      <c r="M422" s="98" t="str">
        <f>IF(IFERROR(VLOOKUP(A422,'12.全套管基樁'!C:D,1,0),"")="","","✔")</f>
        <v/>
      </c>
      <c r="N422" s="98" t="str">
        <f>IF(IFERROR(VLOOKUP(A422,'13.鋼筋混凝土管工程'!C:D,1,0),"")="","","✔")</f>
        <v/>
      </c>
      <c r="O422" s="98" t="str">
        <f>IF(IFERROR(VLOOKUP(A422,'14.鋼版樁'!C:D,1,0),"")="","","✔")</f>
        <v/>
      </c>
      <c r="P422" s="98" t="str">
        <f>IF(IFERROR(VLOOKUP(A422,'15.路床 路基高程'!C:D,1,0),"")="","","✔")</f>
        <v/>
      </c>
      <c r="Q422" s="98" t="str">
        <f>IF(IFERROR(VLOOKUP(A422,'16.瀝青混凝土'!C:D,1,0),"")="","","✔")</f>
        <v/>
      </c>
      <c r="R422" s="98" t="str">
        <f>IF(IFERROR(VLOOKUP(A422,'17.景觀鋪面(一)'!C:D,1,0),"")="","","✔")</f>
        <v/>
      </c>
      <c r="S422" s="98" t="str">
        <f>IF(IFERROR(VLOOKUP(A422,'18.景觀鋪面(二)'!C:D,1,0),"")="","","✔")</f>
        <v/>
      </c>
      <c r="T422" s="98" t="str">
        <f>IF(IFERROR(VLOOKUP(A422,'19.預鑄緣石'!C:D,1,0),"")="","","✔")</f>
        <v/>
      </c>
      <c r="U422" s="98" t="str">
        <f>IF(IFERROR(VLOOKUP(A422,'20.鋼構工程吊裝'!C:D,1,0),"")="","","✔")</f>
        <v/>
      </c>
      <c r="V422" s="98" t="str">
        <f>IF(IFERROR(VLOOKUP(A422,'21.鋼構工程塗裝'!C:D,1,0),"")="","","✔")</f>
        <v/>
      </c>
      <c r="W422" s="98" t="str">
        <f>IF(IFERROR(VLOOKUP(A422,'22.排水設施(一)'!C:D,1,0),"")="","","✔")</f>
        <v/>
      </c>
      <c r="X422" s="98" t="str">
        <f>IF(IFERROR(VLOOKUP(A422,'23.排水設施(二)'!C:D,1,0),"")="","","✔")</f>
        <v/>
      </c>
      <c r="Y422" s="98" t="str">
        <f>IF(IFERROR(VLOOKUP(A422,'24.木構造'!C:D,1,0),"")="","","✔")</f>
        <v/>
      </c>
      <c r="Z422" s="98" t="str">
        <f>IF(IFERROR(VLOOKUP(A422,'25.管路'!C:D,1,0),"")="","","✔")</f>
        <v/>
      </c>
      <c r="AA422" s="98" t="str">
        <f>IF(IFERROR(VLOOKUP(A422,'26.植栽(移植)'!C:D,1,0),"")="","","✔")</f>
        <v/>
      </c>
      <c r="AB422" s="98" t="str">
        <f>IF(IFERROR(VLOOKUP(A422,'27.植栽(新植)'!C:D,1,0),"")="","","✔")</f>
        <v/>
      </c>
      <c r="AC422" s="98" t="str">
        <f>IF(IFERROR(VLOOKUP(A422,'28.照明'!C:D,1,0),"")="","","✔")</f>
        <v/>
      </c>
      <c r="AD422" s="98" t="str">
        <f>IF(IFERROR(VLOOKUP(A422,'29.既有橋梁拆除'!C:D,1,0),"")="","","✔")</f>
        <v/>
      </c>
    </row>
    <row r="423" spans="1:30" ht="21.75" customHeight="1" x14ac:dyDescent="0.25">
      <c r="A423" s="99">
        <v>45613</v>
      </c>
      <c r="B423" s="98" t="str">
        <f>IF(IFERROR(VLOOKUP(A423,'1.測量放樣'!C:D,1,0),"")="","","✔")</f>
        <v/>
      </c>
      <c r="C423" s="98" t="str">
        <f>IF(IFERROR(VLOOKUP(A423,'2.土方開挖'!C:D,1,0),"")="","","✔")</f>
        <v/>
      </c>
      <c r="D423" s="98" t="str">
        <f>IF(IFERROR(VLOOKUP(A423,'3.土方回填'!C:D,1,0),"")="","","✔")</f>
        <v/>
      </c>
      <c r="E423" s="98" t="str">
        <f>IF(IFERROR(VLOOKUP(A423,'4.鋼筋'!C:D,1,0),"")="","","✔")</f>
        <v/>
      </c>
      <c r="F423" s="98" t="str">
        <f>IF(IFERROR(VLOOKUP(A423,'5.模板'!C:D,1,0),"")="","","✔")</f>
        <v/>
      </c>
      <c r="G423" s="98" t="str">
        <f>IF(IFERROR(VLOOKUP(A423,'6.混凝土'!C:D,1,0),"")="","","✔")</f>
        <v/>
      </c>
      <c r="H423" s="98" t="str">
        <f>IF(IFERROR(VLOOKUP(A423,'7.植筋'!C:D,1,0),"")="","","✔")</f>
        <v/>
      </c>
      <c r="I423" s="98" t="str">
        <f>IF(IFERROR(VLOOKUP(A423,'8.預力混凝土基樁'!C:D,1,0),"")="","","✔")</f>
        <v/>
      </c>
      <c r="J423" s="98" t="str">
        <f>IF(IFERROR(VLOOKUP(A423,'9.砌塊石護岸'!C:D,1,0),"")="","","✔")</f>
        <v/>
      </c>
      <c r="K423" s="98" t="str">
        <f>IF(IFERROR(VLOOKUP(A423,'10.低水護岸'!C:D,1,0),"")="","","✔")</f>
        <v/>
      </c>
      <c r="L423" s="98" t="str">
        <f>IF(IFERROR(VLOOKUP(A423,'11.固床工'!C:D,1,0),"")="","","✔")</f>
        <v/>
      </c>
      <c r="M423" s="98" t="str">
        <f>IF(IFERROR(VLOOKUP(A423,'12.全套管基樁'!C:D,1,0),"")="","","✔")</f>
        <v/>
      </c>
      <c r="N423" s="98" t="str">
        <f>IF(IFERROR(VLOOKUP(A423,'13.鋼筋混凝土管工程'!C:D,1,0),"")="","","✔")</f>
        <v/>
      </c>
      <c r="O423" s="98" t="str">
        <f>IF(IFERROR(VLOOKUP(A423,'14.鋼版樁'!C:D,1,0),"")="","","✔")</f>
        <v/>
      </c>
      <c r="P423" s="98" t="str">
        <f>IF(IFERROR(VLOOKUP(A423,'15.路床 路基高程'!C:D,1,0),"")="","","✔")</f>
        <v/>
      </c>
      <c r="Q423" s="98" t="str">
        <f>IF(IFERROR(VLOOKUP(A423,'16.瀝青混凝土'!C:D,1,0),"")="","","✔")</f>
        <v/>
      </c>
      <c r="R423" s="98" t="str">
        <f>IF(IFERROR(VLOOKUP(A423,'17.景觀鋪面(一)'!C:D,1,0),"")="","","✔")</f>
        <v/>
      </c>
      <c r="S423" s="98" t="str">
        <f>IF(IFERROR(VLOOKUP(A423,'18.景觀鋪面(二)'!C:D,1,0),"")="","","✔")</f>
        <v/>
      </c>
      <c r="T423" s="98" t="str">
        <f>IF(IFERROR(VLOOKUP(A423,'19.預鑄緣石'!C:D,1,0),"")="","","✔")</f>
        <v/>
      </c>
      <c r="U423" s="98" t="str">
        <f>IF(IFERROR(VLOOKUP(A423,'20.鋼構工程吊裝'!C:D,1,0),"")="","","✔")</f>
        <v/>
      </c>
      <c r="V423" s="98" t="str">
        <f>IF(IFERROR(VLOOKUP(A423,'21.鋼構工程塗裝'!C:D,1,0),"")="","","✔")</f>
        <v/>
      </c>
      <c r="W423" s="98" t="str">
        <f>IF(IFERROR(VLOOKUP(A423,'22.排水設施(一)'!C:D,1,0),"")="","","✔")</f>
        <v/>
      </c>
      <c r="X423" s="98" t="str">
        <f>IF(IFERROR(VLOOKUP(A423,'23.排水設施(二)'!C:D,1,0),"")="","","✔")</f>
        <v/>
      </c>
      <c r="Y423" s="98" t="str">
        <f>IF(IFERROR(VLOOKUP(A423,'24.木構造'!C:D,1,0),"")="","","✔")</f>
        <v/>
      </c>
      <c r="Z423" s="98" t="str">
        <f>IF(IFERROR(VLOOKUP(A423,'25.管路'!C:D,1,0),"")="","","✔")</f>
        <v/>
      </c>
      <c r="AA423" s="98" t="str">
        <f>IF(IFERROR(VLOOKUP(A423,'26.植栽(移植)'!C:D,1,0),"")="","","✔")</f>
        <v/>
      </c>
      <c r="AB423" s="98" t="str">
        <f>IF(IFERROR(VLOOKUP(A423,'27.植栽(新植)'!C:D,1,0),"")="","","✔")</f>
        <v/>
      </c>
      <c r="AC423" s="98" t="str">
        <f>IF(IFERROR(VLOOKUP(A423,'28.照明'!C:D,1,0),"")="","","✔")</f>
        <v/>
      </c>
      <c r="AD423" s="98" t="str">
        <f>IF(IFERROR(VLOOKUP(A423,'29.既有橋梁拆除'!C:D,1,0),"")="","","✔")</f>
        <v/>
      </c>
    </row>
    <row r="424" spans="1:30" ht="21.75" customHeight="1" x14ac:dyDescent="0.25">
      <c r="A424" s="99">
        <v>45614</v>
      </c>
      <c r="B424" s="98" t="str">
        <f>IF(IFERROR(VLOOKUP(A424,'1.測量放樣'!C:D,1,0),"")="","","✔")</f>
        <v/>
      </c>
      <c r="C424" s="98" t="str">
        <f>IF(IFERROR(VLOOKUP(A424,'2.土方開挖'!C:D,1,0),"")="","","✔")</f>
        <v/>
      </c>
      <c r="D424" s="98" t="str">
        <f>IF(IFERROR(VLOOKUP(A424,'3.土方回填'!C:D,1,0),"")="","","✔")</f>
        <v/>
      </c>
      <c r="E424" s="98" t="str">
        <f>IF(IFERROR(VLOOKUP(A424,'4.鋼筋'!C:D,1,0),"")="","","✔")</f>
        <v/>
      </c>
      <c r="F424" s="98" t="str">
        <f>IF(IFERROR(VLOOKUP(A424,'5.模板'!C:D,1,0),"")="","","✔")</f>
        <v/>
      </c>
      <c r="G424" s="98" t="str">
        <f>IF(IFERROR(VLOOKUP(A424,'6.混凝土'!C:D,1,0),"")="","","✔")</f>
        <v/>
      </c>
      <c r="H424" s="98" t="str">
        <f>IF(IFERROR(VLOOKUP(A424,'7.植筋'!C:D,1,0),"")="","","✔")</f>
        <v/>
      </c>
      <c r="I424" s="98" t="str">
        <f>IF(IFERROR(VLOOKUP(A424,'8.預力混凝土基樁'!C:D,1,0),"")="","","✔")</f>
        <v/>
      </c>
      <c r="J424" s="98" t="str">
        <f>IF(IFERROR(VLOOKUP(A424,'9.砌塊石護岸'!C:D,1,0),"")="","","✔")</f>
        <v/>
      </c>
      <c r="K424" s="98" t="str">
        <f>IF(IFERROR(VLOOKUP(A424,'10.低水護岸'!C:D,1,0),"")="","","✔")</f>
        <v/>
      </c>
      <c r="L424" s="98" t="str">
        <f>IF(IFERROR(VLOOKUP(A424,'11.固床工'!C:D,1,0),"")="","","✔")</f>
        <v/>
      </c>
      <c r="M424" s="98" t="str">
        <f>IF(IFERROR(VLOOKUP(A424,'12.全套管基樁'!C:D,1,0),"")="","","✔")</f>
        <v/>
      </c>
      <c r="N424" s="98" t="str">
        <f>IF(IFERROR(VLOOKUP(A424,'13.鋼筋混凝土管工程'!C:D,1,0),"")="","","✔")</f>
        <v/>
      </c>
      <c r="O424" s="98" t="str">
        <f>IF(IFERROR(VLOOKUP(A424,'14.鋼版樁'!C:D,1,0),"")="","","✔")</f>
        <v/>
      </c>
      <c r="P424" s="98" t="str">
        <f>IF(IFERROR(VLOOKUP(A424,'15.路床 路基高程'!C:D,1,0),"")="","","✔")</f>
        <v/>
      </c>
      <c r="Q424" s="98" t="str">
        <f>IF(IFERROR(VLOOKUP(A424,'16.瀝青混凝土'!C:D,1,0),"")="","","✔")</f>
        <v/>
      </c>
      <c r="R424" s="98" t="str">
        <f>IF(IFERROR(VLOOKUP(A424,'17.景觀鋪面(一)'!C:D,1,0),"")="","","✔")</f>
        <v/>
      </c>
      <c r="S424" s="98" t="str">
        <f>IF(IFERROR(VLOOKUP(A424,'18.景觀鋪面(二)'!C:D,1,0),"")="","","✔")</f>
        <v/>
      </c>
      <c r="T424" s="98" t="str">
        <f>IF(IFERROR(VLOOKUP(A424,'19.預鑄緣石'!C:D,1,0),"")="","","✔")</f>
        <v/>
      </c>
      <c r="U424" s="98" t="str">
        <f>IF(IFERROR(VLOOKUP(A424,'20.鋼構工程吊裝'!C:D,1,0),"")="","","✔")</f>
        <v/>
      </c>
      <c r="V424" s="98" t="str">
        <f>IF(IFERROR(VLOOKUP(A424,'21.鋼構工程塗裝'!C:D,1,0),"")="","","✔")</f>
        <v/>
      </c>
      <c r="W424" s="98" t="str">
        <f>IF(IFERROR(VLOOKUP(A424,'22.排水設施(一)'!C:D,1,0),"")="","","✔")</f>
        <v/>
      </c>
      <c r="X424" s="98" t="str">
        <f>IF(IFERROR(VLOOKUP(A424,'23.排水設施(二)'!C:D,1,0),"")="","","✔")</f>
        <v/>
      </c>
      <c r="Y424" s="98" t="str">
        <f>IF(IFERROR(VLOOKUP(A424,'24.木構造'!C:D,1,0),"")="","","✔")</f>
        <v/>
      </c>
      <c r="Z424" s="98" t="str">
        <f>IF(IFERROR(VLOOKUP(A424,'25.管路'!C:D,1,0),"")="","","✔")</f>
        <v/>
      </c>
      <c r="AA424" s="98" t="str">
        <f>IF(IFERROR(VLOOKUP(A424,'26.植栽(移植)'!C:D,1,0),"")="","","✔")</f>
        <v/>
      </c>
      <c r="AB424" s="98" t="str">
        <f>IF(IFERROR(VLOOKUP(A424,'27.植栽(新植)'!C:D,1,0),"")="","","✔")</f>
        <v/>
      </c>
      <c r="AC424" s="98" t="str">
        <f>IF(IFERROR(VLOOKUP(A424,'28.照明'!C:D,1,0),"")="","","✔")</f>
        <v/>
      </c>
      <c r="AD424" s="98" t="str">
        <f>IF(IFERROR(VLOOKUP(A424,'29.既有橋梁拆除'!C:D,1,0),"")="","","✔")</f>
        <v/>
      </c>
    </row>
    <row r="425" spans="1:30" ht="21.75" customHeight="1" x14ac:dyDescent="0.25">
      <c r="A425" s="99">
        <v>45615</v>
      </c>
      <c r="B425" s="98" t="str">
        <f>IF(IFERROR(VLOOKUP(A425,'1.測量放樣'!C:D,1,0),"")="","","✔")</f>
        <v/>
      </c>
      <c r="C425" s="98" t="str">
        <f>IF(IFERROR(VLOOKUP(A425,'2.土方開挖'!C:D,1,0),"")="","","✔")</f>
        <v/>
      </c>
      <c r="D425" s="98" t="str">
        <f>IF(IFERROR(VLOOKUP(A425,'3.土方回填'!C:D,1,0),"")="","","✔")</f>
        <v/>
      </c>
      <c r="E425" s="98" t="str">
        <f>IF(IFERROR(VLOOKUP(A425,'4.鋼筋'!C:D,1,0),"")="","","✔")</f>
        <v/>
      </c>
      <c r="F425" s="98" t="str">
        <f>IF(IFERROR(VLOOKUP(A425,'5.模板'!C:D,1,0),"")="","","✔")</f>
        <v/>
      </c>
      <c r="G425" s="98" t="str">
        <f>IF(IFERROR(VLOOKUP(A425,'6.混凝土'!C:D,1,0),"")="","","✔")</f>
        <v/>
      </c>
      <c r="H425" s="98" t="str">
        <f>IF(IFERROR(VLOOKUP(A425,'7.植筋'!C:D,1,0),"")="","","✔")</f>
        <v/>
      </c>
      <c r="I425" s="98" t="str">
        <f>IF(IFERROR(VLOOKUP(A425,'8.預力混凝土基樁'!C:D,1,0),"")="","","✔")</f>
        <v/>
      </c>
      <c r="J425" s="98" t="str">
        <f>IF(IFERROR(VLOOKUP(A425,'9.砌塊石護岸'!C:D,1,0),"")="","","✔")</f>
        <v/>
      </c>
      <c r="K425" s="98" t="str">
        <f>IF(IFERROR(VLOOKUP(A425,'10.低水護岸'!C:D,1,0),"")="","","✔")</f>
        <v/>
      </c>
      <c r="L425" s="98" t="str">
        <f>IF(IFERROR(VLOOKUP(A425,'11.固床工'!C:D,1,0),"")="","","✔")</f>
        <v/>
      </c>
      <c r="M425" s="98" t="str">
        <f>IF(IFERROR(VLOOKUP(A425,'12.全套管基樁'!C:D,1,0),"")="","","✔")</f>
        <v/>
      </c>
      <c r="N425" s="98" t="str">
        <f>IF(IFERROR(VLOOKUP(A425,'13.鋼筋混凝土管工程'!C:D,1,0),"")="","","✔")</f>
        <v/>
      </c>
      <c r="O425" s="98" t="str">
        <f>IF(IFERROR(VLOOKUP(A425,'14.鋼版樁'!C:D,1,0),"")="","","✔")</f>
        <v/>
      </c>
      <c r="P425" s="98" t="str">
        <f>IF(IFERROR(VLOOKUP(A425,'15.路床 路基高程'!C:D,1,0),"")="","","✔")</f>
        <v/>
      </c>
      <c r="Q425" s="98" t="str">
        <f>IF(IFERROR(VLOOKUP(A425,'16.瀝青混凝土'!C:D,1,0),"")="","","✔")</f>
        <v/>
      </c>
      <c r="R425" s="98" t="str">
        <f>IF(IFERROR(VLOOKUP(A425,'17.景觀鋪面(一)'!C:D,1,0),"")="","","✔")</f>
        <v/>
      </c>
      <c r="S425" s="98" t="str">
        <f>IF(IFERROR(VLOOKUP(A425,'18.景觀鋪面(二)'!C:D,1,0),"")="","","✔")</f>
        <v/>
      </c>
      <c r="T425" s="98" t="str">
        <f>IF(IFERROR(VLOOKUP(A425,'19.預鑄緣石'!C:D,1,0),"")="","","✔")</f>
        <v/>
      </c>
      <c r="U425" s="98" t="str">
        <f>IF(IFERROR(VLOOKUP(A425,'20.鋼構工程吊裝'!C:D,1,0),"")="","","✔")</f>
        <v/>
      </c>
      <c r="V425" s="98" t="str">
        <f>IF(IFERROR(VLOOKUP(A425,'21.鋼構工程塗裝'!C:D,1,0),"")="","","✔")</f>
        <v/>
      </c>
      <c r="W425" s="98" t="str">
        <f>IF(IFERROR(VLOOKUP(A425,'22.排水設施(一)'!C:D,1,0),"")="","","✔")</f>
        <v/>
      </c>
      <c r="X425" s="98" t="str">
        <f>IF(IFERROR(VLOOKUP(A425,'23.排水設施(二)'!C:D,1,0),"")="","","✔")</f>
        <v/>
      </c>
      <c r="Y425" s="98" t="str">
        <f>IF(IFERROR(VLOOKUP(A425,'24.木構造'!C:D,1,0),"")="","","✔")</f>
        <v/>
      </c>
      <c r="Z425" s="98" t="str">
        <f>IF(IFERROR(VLOOKUP(A425,'25.管路'!C:D,1,0),"")="","","✔")</f>
        <v/>
      </c>
      <c r="AA425" s="98" t="str">
        <f>IF(IFERROR(VLOOKUP(A425,'26.植栽(移植)'!C:D,1,0),"")="","","✔")</f>
        <v/>
      </c>
      <c r="AB425" s="98" t="str">
        <f>IF(IFERROR(VLOOKUP(A425,'27.植栽(新植)'!C:D,1,0),"")="","","✔")</f>
        <v/>
      </c>
      <c r="AC425" s="98" t="str">
        <f>IF(IFERROR(VLOOKUP(A425,'28.照明'!C:D,1,0),"")="","","✔")</f>
        <v/>
      </c>
      <c r="AD425" s="98" t="str">
        <f>IF(IFERROR(VLOOKUP(A425,'29.既有橋梁拆除'!C:D,1,0),"")="","","✔")</f>
        <v/>
      </c>
    </row>
    <row r="426" spans="1:30" ht="21.75" customHeight="1" x14ac:dyDescent="0.25">
      <c r="A426" s="99">
        <v>45616</v>
      </c>
      <c r="B426" s="98" t="str">
        <f>IF(IFERROR(VLOOKUP(A426,'1.測量放樣'!C:D,1,0),"")="","","✔")</f>
        <v/>
      </c>
      <c r="C426" s="98" t="str">
        <f>IF(IFERROR(VLOOKUP(A426,'2.土方開挖'!C:D,1,0),"")="","","✔")</f>
        <v/>
      </c>
      <c r="D426" s="98" t="str">
        <f>IF(IFERROR(VLOOKUP(A426,'3.土方回填'!C:D,1,0),"")="","","✔")</f>
        <v/>
      </c>
      <c r="E426" s="98" t="str">
        <f>IF(IFERROR(VLOOKUP(A426,'4.鋼筋'!C:D,1,0),"")="","","✔")</f>
        <v/>
      </c>
      <c r="F426" s="98" t="str">
        <f>IF(IFERROR(VLOOKUP(A426,'5.模板'!C:D,1,0),"")="","","✔")</f>
        <v/>
      </c>
      <c r="G426" s="98" t="str">
        <f>IF(IFERROR(VLOOKUP(A426,'6.混凝土'!C:D,1,0),"")="","","✔")</f>
        <v/>
      </c>
      <c r="H426" s="98" t="str">
        <f>IF(IFERROR(VLOOKUP(A426,'7.植筋'!C:D,1,0),"")="","","✔")</f>
        <v/>
      </c>
      <c r="I426" s="98" t="str">
        <f>IF(IFERROR(VLOOKUP(A426,'8.預力混凝土基樁'!C:D,1,0),"")="","","✔")</f>
        <v/>
      </c>
      <c r="J426" s="98" t="str">
        <f>IF(IFERROR(VLOOKUP(A426,'9.砌塊石護岸'!C:D,1,0),"")="","","✔")</f>
        <v/>
      </c>
      <c r="K426" s="98" t="str">
        <f>IF(IFERROR(VLOOKUP(A426,'10.低水護岸'!C:D,1,0),"")="","","✔")</f>
        <v/>
      </c>
      <c r="L426" s="98" t="str">
        <f>IF(IFERROR(VLOOKUP(A426,'11.固床工'!C:D,1,0),"")="","","✔")</f>
        <v/>
      </c>
      <c r="M426" s="98" t="str">
        <f>IF(IFERROR(VLOOKUP(A426,'12.全套管基樁'!C:D,1,0),"")="","","✔")</f>
        <v/>
      </c>
      <c r="N426" s="98" t="str">
        <f>IF(IFERROR(VLOOKUP(A426,'13.鋼筋混凝土管工程'!C:D,1,0),"")="","","✔")</f>
        <v/>
      </c>
      <c r="O426" s="98" t="str">
        <f>IF(IFERROR(VLOOKUP(A426,'14.鋼版樁'!C:D,1,0),"")="","","✔")</f>
        <v/>
      </c>
      <c r="P426" s="98" t="str">
        <f>IF(IFERROR(VLOOKUP(A426,'15.路床 路基高程'!C:D,1,0),"")="","","✔")</f>
        <v/>
      </c>
      <c r="Q426" s="98" t="str">
        <f>IF(IFERROR(VLOOKUP(A426,'16.瀝青混凝土'!C:D,1,0),"")="","","✔")</f>
        <v/>
      </c>
      <c r="R426" s="98" t="str">
        <f>IF(IFERROR(VLOOKUP(A426,'17.景觀鋪面(一)'!C:D,1,0),"")="","","✔")</f>
        <v/>
      </c>
      <c r="S426" s="98" t="str">
        <f>IF(IFERROR(VLOOKUP(A426,'18.景觀鋪面(二)'!C:D,1,0),"")="","","✔")</f>
        <v/>
      </c>
      <c r="T426" s="98" t="str">
        <f>IF(IFERROR(VLOOKUP(A426,'19.預鑄緣石'!C:D,1,0),"")="","","✔")</f>
        <v/>
      </c>
      <c r="U426" s="98" t="str">
        <f>IF(IFERROR(VLOOKUP(A426,'20.鋼構工程吊裝'!C:D,1,0),"")="","","✔")</f>
        <v/>
      </c>
      <c r="V426" s="98" t="str">
        <f>IF(IFERROR(VLOOKUP(A426,'21.鋼構工程塗裝'!C:D,1,0),"")="","","✔")</f>
        <v/>
      </c>
      <c r="W426" s="98" t="str">
        <f>IF(IFERROR(VLOOKUP(A426,'22.排水設施(一)'!C:D,1,0),"")="","","✔")</f>
        <v/>
      </c>
      <c r="X426" s="98" t="str">
        <f>IF(IFERROR(VLOOKUP(A426,'23.排水設施(二)'!C:D,1,0),"")="","","✔")</f>
        <v/>
      </c>
      <c r="Y426" s="98" t="str">
        <f>IF(IFERROR(VLOOKUP(A426,'24.木構造'!C:D,1,0),"")="","","✔")</f>
        <v/>
      </c>
      <c r="Z426" s="98" t="str">
        <f>IF(IFERROR(VLOOKUP(A426,'25.管路'!C:D,1,0),"")="","","✔")</f>
        <v/>
      </c>
      <c r="AA426" s="98" t="str">
        <f>IF(IFERROR(VLOOKUP(A426,'26.植栽(移植)'!C:D,1,0),"")="","","✔")</f>
        <v/>
      </c>
      <c r="AB426" s="98" t="str">
        <f>IF(IFERROR(VLOOKUP(A426,'27.植栽(新植)'!C:D,1,0),"")="","","✔")</f>
        <v/>
      </c>
      <c r="AC426" s="98" t="str">
        <f>IF(IFERROR(VLOOKUP(A426,'28.照明'!C:D,1,0),"")="","","✔")</f>
        <v/>
      </c>
      <c r="AD426" s="98" t="str">
        <f>IF(IFERROR(VLOOKUP(A426,'29.既有橋梁拆除'!C:D,1,0),"")="","","✔")</f>
        <v/>
      </c>
    </row>
    <row r="427" spans="1:30" ht="21.75" customHeight="1" x14ac:dyDescent="0.25">
      <c r="A427" s="99">
        <v>45617</v>
      </c>
      <c r="B427" s="98" t="str">
        <f>IF(IFERROR(VLOOKUP(A427,'1.測量放樣'!C:D,1,0),"")="","","✔")</f>
        <v/>
      </c>
      <c r="C427" s="98" t="str">
        <f>IF(IFERROR(VLOOKUP(A427,'2.土方開挖'!C:D,1,0),"")="","","✔")</f>
        <v/>
      </c>
      <c r="D427" s="98" t="str">
        <f>IF(IFERROR(VLOOKUP(A427,'3.土方回填'!C:D,1,0),"")="","","✔")</f>
        <v/>
      </c>
      <c r="E427" s="98" t="str">
        <f>IF(IFERROR(VLOOKUP(A427,'4.鋼筋'!C:D,1,0),"")="","","✔")</f>
        <v/>
      </c>
      <c r="F427" s="98" t="str">
        <f>IF(IFERROR(VLOOKUP(A427,'5.模板'!C:D,1,0),"")="","","✔")</f>
        <v/>
      </c>
      <c r="G427" s="98" t="str">
        <f>IF(IFERROR(VLOOKUP(A427,'6.混凝土'!C:D,1,0),"")="","","✔")</f>
        <v/>
      </c>
      <c r="H427" s="98" t="str">
        <f>IF(IFERROR(VLOOKUP(A427,'7.植筋'!C:D,1,0),"")="","","✔")</f>
        <v/>
      </c>
      <c r="I427" s="98" t="str">
        <f>IF(IFERROR(VLOOKUP(A427,'8.預力混凝土基樁'!C:D,1,0),"")="","","✔")</f>
        <v/>
      </c>
      <c r="J427" s="98" t="str">
        <f>IF(IFERROR(VLOOKUP(A427,'9.砌塊石護岸'!C:D,1,0),"")="","","✔")</f>
        <v/>
      </c>
      <c r="K427" s="98" t="str">
        <f>IF(IFERROR(VLOOKUP(A427,'10.低水護岸'!C:D,1,0),"")="","","✔")</f>
        <v/>
      </c>
      <c r="L427" s="98" t="str">
        <f>IF(IFERROR(VLOOKUP(A427,'11.固床工'!C:D,1,0),"")="","","✔")</f>
        <v/>
      </c>
      <c r="M427" s="98" t="str">
        <f>IF(IFERROR(VLOOKUP(A427,'12.全套管基樁'!C:D,1,0),"")="","","✔")</f>
        <v/>
      </c>
      <c r="N427" s="98" t="str">
        <f>IF(IFERROR(VLOOKUP(A427,'13.鋼筋混凝土管工程'!C:D,1,0),"")="","","✔")</f>
        <v/>
      </c>
      <c r="O427" s="98" t="str">
        <f>IF(IFERROR(VLOOKUP(A427,'14.鋼版樁'!C:D,1,0),"")="","","✔")</f>
        <v/>
      </c>
      <c r="P427" s="98" t="str">
        <f>IF(IFERROR(VLOOKUP(A427,'15.路床 路基高程'!C:D,1,0),"")="","","✔")</f>
        <v/>
      </c>
      <c r="Q427" s="98" t="str">
        <f>IF(IFERROR(VLOOKUP(A427,'16.瀝青混凝土'!C:D,1,0),"")="","","✔")</f>
        <v/>
      </c>
      <c r="R427" s="98" t="str">
        <f>IF(IFERROR(VLOOKUP(A427,'17.景觀鋪面(一)'!C:D,1,0),"")="","","✔")</f>
        <v/>
      </c>
      <c r="S427" s="98" t="str">
        <f>IF(IFERROR(VLOOKUP(A427,'18.景觀鋪面(二)'!C:D,1,0),"")="","","✔")</f>
        <v/>
      </c>
      <c r="T427" s="98" t="str">
        <f>IF(IFERROR(VLOOKUP(A427,'19.預鑄緣石'!C:D,1,0),"")="","","✔")</f>
        <v/>
      </c>
      <c r="U427" s="98" t="str">
        <f>IF(IFERROR(VLOOKUP(A427,'20.鋼構工程吊裝'!C:D,1,0),"")="","","✔")</f>
        <v/>
      </c>
      <c r="V427" s="98" t="str">
        <f>IF(IFERROR(VLOOKUP(A427,'21.鋼構工程塗裝'!C:D,1,0),"")="","","✔")</f>
        <v/>
      </c>
      <c r="W427" s="98" t="str">
        <f>IF(IFERROR(VLOOKUP(A427,'22.排水設施(一)'!C:D,1,0),"")="","","✔")</f>
        <v/>
      </c>
      <c r="X427" s="98" t="str">
        <f>IF(IFERROR(VLOOKUP(A427,'23.排水設施(二)'!C:D,1,0),"")="","","✔")</f>
        <v/>
      </c>
      <c r="Y427" s="98" t="str">
        <f>IF(IFERROR(VLOOKUP(A427,'24.木構造'!C:D,1,0),"")="","","✔")</f>
        <v/>
      </c>
      <c r="Z427" s="98" t="str">
        <f>IF(IFERROR(VLOOKUP(A427,'25.管路'!C:D,1,0),"")="","","✔")</f>
        <v/>
      </c>
      <c r="AA427" s="98" t="str">
        <f>IF(IFERROR(VLOOKUP(A427,'26.植栽(移植)'!C:D,1,0),"")="","","✔")</f>
        <v/>
      </c>
      <c r="AB427" s="98" t="str">
        <f>IF(IFERROR(VLOOKUP(A427,'27.植栽(新植)'!C:D,1,0),"")="","","✔")</f>
        <v/>
      </c>
      <c r="AC427" s="98" t="str">
        <f>IF(IFERROR(VLOOKUP(A427,'28.照明'!C:D,1,0),"")="","","✔")</f>
        <v/>
      </c>
      <c r="AD427" s="98" t="str">
        <f>IF(IFERROR(VLOOKUP(A427,'29.既有橋梁拆除'!C:D,1,0),"")="","","✔")</f>
        <v/>
      </c>
    </row>
    <row r="428" spans="1:30" ht="21.75" customHeight="1" x14ac:dyDescent="0.25">
      <c r="A428" s="99">
        <v>45618</v>
      </c>
      <c r="B428" s="98" t="str">
        <f>IF(IFERROR(VLOOKUP(A428,'1.測量放樣'!C:D,1,0),"")="","","✔")</f>
        <v/>
      </c>
      <c r="C428" s="98" t="str">
        <f>IF(IFERROR(VLOOKUP(A428,'2.土方開挖'!C:D,1,0),"")="","","✔")</f>
        <v/>
      </c>
      <c r="D428" s="98" t="str">
        <f>IF(IFERROR(VLOOKUP(A428,'3.土方回填'!C:D,1,0),"")="","","✔")</f>
        <v/>
      </c>
      <c r="E428" s="98" t="str">
        <f>IF(IFERROR(VLOOKUP(A428,'4.鋼筋'!C:D,1,0),"")="","","✔")</f>
        <v/>
      </c>
      <c r="F428" s="98" t="str">
        <f>IF(IFERROR(VLOOKUP(A428,'5.模板'!C:D,1,0),"")="","","✔")</f>
        <v/>
      </c>
      <c r="G428" s="98" t="str">
        <f>IF(IFERROR(VLOOKUP(A428,'6.混凝土'!C:D,1,0),"")="","","✔")</f>
        <v/>
      </c>
      <c r="H428" s="98" t="str">
        <f>IF(IFERROR(VLOOKUP(A428,'7.植筋'!C:D,1,0),"")="","","✔")</f>
        <v/>
      </c>
      <c r="I428" s="98" t="str">
        <f>IF(IFERROR(VLOOKUP(A428,'8.預力混凝土基樁'!C:D,1,0),"")="","","✔")</f>
        <v/>
      </c>
      <c r="J428" s="98" t="str">
        <f>IF(IFERROR(VLOOKUP(A428,'9.砌塊石護岸'!C:D,1,0),"")="","","✔")</f>
        <v/>
      </c>
      <c r="K428" s="98" t="str">
        <f>IF(IFERROR(VLOOKUP(A428,'10.低水護岸'!C:D,1,0),"")="","","✔")</f>
        <v/>
      </c>
      <c r="L428" s="98" t="str">
        <f>IF(IFERROR(VLOOKUP(A428,'11.固床工'!C:D,1,0),"")="","","✔")</f>
        <v/>
      </c>
      <c r="M428" s="98" t="str">
        <f>IF(IFERROR(VLOOKUP(A428,'12.全套管基樁'!C:D,1,0),"")="","","✔")</f>
        <v/>
      </c>
      <c r="N428" s="98" t="str">
        <f>IF(IFERROR(VLOOKUP(A428,'13.鋼筋混凝土管工程'!C:D,1,0),"")="","","✔")</f>
        <v/>
      </c>
      <c r="O428" s="98" t="str">
        <f>IF(IFERROR(VLOOKUP(A428,'14.鋼版樁'!C:D,1,0),"")="","","✔")</f>
        <v/>
      </c>
      <c r="P428" s="98" t="str">
        <f>IF(IFERROR(VLOOKUP(A428,'15.路床 路基高程'!C:D,1,0),"")="","","✔")</f>
        <v/>
      </c>
      <c r="Q428" s="98" t="str">
        <f>IF(IFERROR(VLOOKUP(A428,'16.瀝青混凝土'!C:D,1,0),"")="","","✔")</f>
        <v/>
      </c>
      <c r="R428" s="98" t="str">
        <f>IF(IFERROR(VLOOKUP(A428,'17.景觀鋪面(一)'!C:D,1,0),"")="","","✔")</f>
        <v/>
      </c>
      <c r="S428" s="98" t="str">
        <f>IF(IFERROR(VLOOKUP(A428,'18.景觀鋪面(二)'!C:D,1,0),"")="","","✔")</f>
        <v/>
      </c>
      <c r="T428" s="98" t="str">
        <f>IF(IFERROR(VLOOKUP(A428,'19.預鑄緣石'!C:D,1,0),"")="","","✔")</f>
        <v/>
      </c>
      <c r="U428" s="98" t="str">
        <f>IF(IFERROR(VLOOKUP(A428,'20.鋼構工程吊裝'!C:D,1,0),"")="","","✔")</f>
        <v/>
      </c>
      <c r="V428" s="98" t="str">
        <f>IF(IFERROR(VLOOKUP(A428,'21.鋼構工程塗裝'!C:D,1,0),"")="","","✔")</f>
        <v/>
      </c>
      <c r="W428" s="98" t="str">
        <f>IF(IFERROR(VLOOKUP(A428,'22.排水設施(一)'!C:D,1,0),"")="","","✔")</f>
        <v/>
      </c>
      <c r="X428" s="98" t="str">
        <f>IF(IFERROR(VLOOKUP(A428,'23.排水設施(二)'!C:D,1,0),"")="","","✔")</f>
        <v/>
      </c>
      <c r="Y428" s="98" t="str">
        <f>IF(IFERROR(VLOOKUP(A428,'24.木構造'!C:D,1,0),"")="","","✔")</f>
        <v/>
      </c>
      <c r="Z428" s="98" t="str">
        <f>IF(IFERROR(VLOOKUP(A428,'25.管路'!C:D,1,0),"")="","","✔")</f>
        <v/>
      </c>
      <c r="AA428" s="98" t="str">
        <f>IF(IFERROR(VLOOKUP(A428,'26.植栽(移植)'!C:D,1,0),"")="","","✔")</f>
        <v/>
      </c>
      <c r="AB428" s="98" t="str">
        <f>IF(IFERROR(VLOOKUP(A428,'27.植栽(新植)'!C:D,1,0),"")="","","✔")</f>
        <v/>
      </c>
      <c r="AC428" s="98" t="str">
        <f>IF(IFERROR(VLOOKUP(A428,'28.照明'!C:D,1,0),"")="","","✔")</f>
        <v/>
      </c>
      <c r="AD428" s="98" t="str">
        <f>IF(IFERROR(VLOOKUP(A428,'29.既有橋梁拆除'!C:D,1,0),"")="","","✔")</f>
        <v/>
      </c>
    </row>
    <row r="429" spans="1:30" ht="21.75" customHeight="1" x14ac:dyDescent="0.25">
      <c r="A429" s="99">
        <v>45619</v>
      </c>
      <c r="B429" s="98" t="str">
        <f>IF(IFERROR(VLOOKUP(A429,'1.測量放樣'!C:D,1,0),"")="","","✔")</f>
        <v/>
      </c>
      <c r="C429" s="98" t="str">
        <f>IF(IFERROR(VLOOKUP(A429,'2.土方開挖'!C:D,1,0),"")="","","✔")</f>
        <v/>
      </c>
      <c r="D429" s="98" t="str">
        <f>IF(IFERROR(VLOOKUP(A429,'3.土方回填'!C:D,1,0),"")="","","✔")</f>
        <v/>
      </c>
      <c r="E429" s="98" t="str">
        <f>IF(IFERROR(VLOOKUP(A429,'4.鋼筋'!C:D,1,0),"")="","","✔")</f>
        <v/>
      </c>
      <c r="F429" s="98" t="str">
        <f>IF(IFERROR(VLOOKUP(A429,'5.模板'!C:D,1,0),"")="","","✔")</f>
        <v/>
      </c>
      <c r="G429" s="98" t="str">
        <f>IF(IFERROR(VLOOKUP(A429,'6.混凝土'!C:D,1,0),"")="","","✔")</f>
        <v/>
      </c>
      <c r="H429" s="98" t="str">
        <f>IF(IFERROR(VLOOKUP(A429,'7.植筋'!C:D,1,0),"")="","","✔")</f>
        <v/>
      </c>
      <c r="I429" s="98" t="str">
        <f>IF(IFERROR(VLOOKUP(A429,'8.預力混凝土基樁'!C:D,1,0),"")="","","✔")</f>
        <v/>
      </c>
      <c r="J429" s="98" t="str">
        <f>IF(IFERROR(VLOOKUP(A429,'9.砌塊石護岸'!C:D,1,0),"")="","","✔")</f>
        <v/>
      </c>
      <c r="K429" s="98" t="str">
        <f>IF(IFERROR(VLOOKUP(A429,'10.低水護岸'!C:D,1,0),"")="","","✔")</f>
        <v/>
      </c>
      <c r="L429" s="98" t="str">
        <f>IF(IFERROR(VLOOKUP(A429,'11.固床工'!C:D,1,0),"")="","","✔")</f>
        <v/>
      </c>
      <c r="M429" s="98" t="str">
        <f>IF(IFERROR(VLOOKUP(A429,'12.全套管基樁'!C:D,1,0),"")="","","✔")</f>
        <v/>
      </c>
      <c r="N429" s="98" t="str">
        <f>IF(IFERROR(VLOOKUP(A429,'13.鋼筋混凝土管工程'!C:D,1,0),"")="","","✔")</f>
        <v/>
      </c>
      <c r="O429" s="98" t="str">
        <f>IF(IFERROR(VLOOKUP(A429,'14.鋼版樁'!C:D,1,0),"")="","","✔")</f>
        <v/>
      </c>
      <c r="P429" s="98" t="str">
        <f>IF(IFERROR(VLOOKUP(A429,'15.路床 路基高程'!C:D,1,0),"")="","","✔")</f>
        <v/>
      </c>
      <c r="Q429" s="98" t="str">
        <f>IF(IFERROR(VLOOKUP(A429,'16.瀝青混凝土'!C:D,1,0),"")="","","✔")</f>
        <v/>
      </c>
      <c r="R429" s="98" t="str">
        <f>IF(IFERROR(VLOOKUP(A429,'17.景觀鋪面(一)'!C:D,1,0),"")="","","✔")</f>
        <v/>
      </c>
      <c r="S429" s="98" t="str">
        <f>IF(IFERROR(VLOOKUP(A429,'18.景觀鋪面(二)'!C:D,1,0),"")="","","✔")</f>
        <v/>
      </c>
      <c r="T429" s="98" t="str">
        <f>IF(IFERROR(VLOOKUP(A429,'19.預鑄緣石'!C:D,1,0),"")="","","✔")</f>
        <v/>
      </c>
      <c r="U429" s="98" t="str">
        <f>IF(IFERROR(VLOOKUP(A429,'20.鋼構工程吊裝'!C:D,1,0),"")="","","✔")</f>
        <v/>
      </c>
      <c r="V429" s="98" t="str">
        <f>IF(IFERROR(VLOOKUP(A429,'21.鋼構工程塗裝'!C:D,1,0),"")="","","✔")</f>
        <v/>
      </c>
      <c r="W429" s="98" t="str">
        <f>IF(IFERROR(VLOOKUP(A429,'22.排水設施(一)'!C:D,1,0),"")="","","✔")</f>
        <v/>
      </c>
      <c r="X429" s="98" t="str">
        <f>IF(IFERROR(VLOOKUP(A429,'23.排水設施(二)'!C:D,1,0),"")="","","✔")</f>
        <v/>
      </c>
      <c r="Y429" s="98" t="str">
        <f>IF(IFERROR(VLOOKUP(A429,'24.木構造'!C:D,1,0),"")="","","✔")</f>
        <v/>
      </c>
      <c r="Z429" s="98" t="str">
        <f>IF(IFERROR(VLOOKUP(A429,'25.管路'!C:D,1,0),"")="","","✔")</f>
        <v/>
      </c>
      <c r="AA429" s="98" t="str">
        <f>IF(IFERROR(VLOOKUP(A429,'26.植栽(移植)'!C:D,1,0),"")="","","✔")</f>
        <v/>
      </c>
      <c r="AB429" s="98" t="str">
        <f>IF(IFERROR(VLOOKUP(A429,'27.植栽(新植)'!C:D,1,0),"")="","","✔")</f>
        <v/>
      </c>
      <c r="AC429" s="98" t="str">
        <f>IF(IFERROR(VLOOKUP(A429,'28.照明'!C:D,1,0),"")="","","✔")</f>
        <v/>
      </c>
      <c r="AD429" s="98" t="str">
        <f>IF(IFERROR(VLOOKUP(A429,'29.既有橋梁拆除'!C:D,1,0),"")="","","✔")</f>
        <v/>
      </c>
    </row>
    <row r="430" spans="1:30" ht="21.75" customHeight="1" x14ac:dyDescent="0.25">
      <c r="A430" s="99">
        <v>45620</v>
      </c>
      <c r="B430" s="98" t="str">
        <f>IF(IFERROR(VLOOKUP(A430,'1.測量放樣'!C:D,1,0),"")="","","✔")</f>
        <v/>
      </c>
      <c r="C430" s="98" t="str">
        <f>IF(IFERROR(VLOOKUP(A430,'2.土方開挖'!C:D,1,0),"")="","","✔")</f>
        <v/>
      </c>
      <c r="D430" s="98" t="str">
        <f>IF(IFERROR(VLOOKUP(A430,'3.土方回填'!C:D,1,0),"")="","","✔")</f>
        <v/>
      </c>
      <c r="E430" s="98" t="str">
        <f>IF(IFERROR(VLOOKUP(A430,'4.鋼筋'!C:D,1,0),"")="","","✔")</f>
        <v/>
      </c>
      <c r="F430" s="98" t="str">
        <f>IF(IFERROR(VLOOKUP(A430,'5.模板'!C:D,1,0),"")="","","✔")</f>
        <v/>
      </c>
      <c r="G430" s="98" t="str">
        <f>IF(IFERROR(VLOOKUP(A430,'6.混凝土'!C:D,1,0),"")="","","✔")</f>
        <v/>
      </c>
      <c r="H430" s="98" t="str">
        <f>IF(IFERROR(VLOOKUP(A430,'7.植筋'!C:D,1,0),"")="","","✔")</f>
        <v/>
      </c>
      <c r="I430" s="98" t="str">
        <f>IF(IFERROR(VLOOKUP(A430,'8.預力混凝土基樁'!C:D,1,0),"")="","","✔")</f>
        <v/>
      </c>
      <c r="J430" s="98" t="str">
        <f>IF(IFERROR(VLOOKUP(A430,'9.砌塊石護岸'!C:D,1,0),"")="","","✔")</f>
        <v/>
      </c>
      <c r="K430" s="98" t="str">
        <f>IF(IFERROR(VLOOKUP(A430,'10.低水護岸'!C:D,1,0),"")="","","✔")</f>
        <v/>
      </c>
      <c r="L430" s="98" t="str">
        <f>IF(IFERROR(VLOOKUP(A430,'11.固床工'!C:D,1,0),"")="","","✔")</f>
        <v/>
      </c>
      <c r="M430" s="98" t="str">
        <f>IF(IFERROR(VLOOKUP(A430,'12.全套管基樁'!C:D,1,0),"")="","","✔")</f>
        <v/>
      </c>
      <c r="N430" s="98" t="str">
        <f>IF(IFERROR(VLOOKUP(A430,'13.鋼筋混凝土管工程'!C:D,1,0),"")="","","✔")</f>
        <v/>
      </c>
      <c r="O430" s="98" t="str">
        <f>IF(IFERROR(VLOOKUP(A430,'14.鋼版樁'!C:D,1,0),"")="","","✔")</f>
        <v/>
      </c>
      <c r="P430" s="98" t="str">
        <f>IF(IFERROR(VLOOKUP(A430,'15.路床 路基高程'!C:D,1,0),"")="","","✔")</f>
        <v/>
      </c>
      <c r="Q430" s="98" t="str">
        <f>IF(IFERROR(VLOOKUP(A430,'16.瀝青混凝土'!C:D,1,0),"")="","","✔")</f>
        <v/>
      </c>
      <c r="R430" s="98" t="str">
        <f>IF(IFERROR(VLOOKUP(A430,'17.景觀鋪面(一)'!C:D,1,0),"")="","","✔")</f>
        <v/>
      </c>
      <c r="S430" s="98" t="str">
        <f>IF(IFERROR(VLOOKUP(A430,'18.景觀鋪面(二)'!C:D,1,0),"")="","","✔")</f>
        <v/>
      </c>
      <c r="T430" s="98" t="str">
        <f>IF(IFERROR(VLOOKUP(A430,'19.預鑄緣石'!C:D,1,0),"")="","","✔")</f>
        <v/>
      </c>
      <c r="U430" s="98" t="str">
        <f>IF(IFERROR(VLOOKUP(A430,'20.鋼構工程吊裝'!C:D,1,0),"")="","","✔")</f>
        <v/>
      </c>
      <c r="V430" s="98" t="str">
        <f>IF(IFERROR(VLOOKUP(A430,'21.鋼構工程塗裝'!C:D,1,0),"")="","","✔")</f>
        <v/>
      </c>
      <c r="W430" s="98" t="str">
        <f>IF(IFERROR(VLOOKUP(A430,'22.排水設施(一)'!C:D,1,0),"")="","","✔")</f>
        <v/>
      </c>
      <c r="X430" s="98" t="str">
        <f>IF(IFERROR(VLOOKUP(A430,'23.排水設施(二)'!C:D,1,0),"")="","","✔")</f>
        <v/>
      </c>
      <c r="Y430" s="98" t="str">
        <f>IF(IFERROR(VLOOKUP(A430,'24.木構造'!C:D,1,0),"")="","","✔")</f>
        <v/>
      </c>
      <c r="Z430" s="98" t="str">
        <f>IF(IFERROR(VLOOKUP(A430,'25.管路'!C:D,1,0),"")="","","✔")</f>
        <v/>
      </c>
      <c r="AA430" s="98" t="str">
        <f>IF(IFERROR(VLOOKUP(A430,'26.植栽(移植)'!C:D,1,0),"")="","","✔")</f>
        <v/>
      </c>
      <c r="AB430" s="98" t="str">
        <f>IF(IFERROR(VLOOKUP(A430,'27.植栽(新植)'!C:D,1,0),"")="","","✔")</f>
        <v/>
      </c>
      <c r="AC430" s="98" t="str">
        <f>IF(IFERROR(VLOOKUP(A430,'28.照明'!C:D,1,0),"")="","","✔")</f>
        <v/>
      </c>
      <c r="AD430" s="98" t="str">
        <f>IF(IFERROR(VLOOKUP(A430,'29.既有橋梁拆除'!C:D,1,0),"")="","","✔")</f>
        <v/>
      </c>
    </row>
    <row r="431" spans="1:30" ht="21.75" customHeight="1" x14ac:dyDescent="0.25">
      <c r="A431" s="99">
        <v>45621</v>
      </c>
      <c r="B431" s="98" t="str">
        <f>IF(IFERROR(VLOOKUP(A431,'1.測量放樣'!C:D,1,0),"")="","","✔")</f>
        <v/>
      </c>
      <c r="C431" s="98" t="str">
        <f>IF(IFERROR(VLOOKUP(A431,'2.土方開挖'!C:D,1,0),"")="","","✔")</f>
        <v/>
      </c>
      <c r="D431" s="98" t="str">
        <f>IF(IFERROR(VLOOKUP(A431,'3.土方回填'!C:D,1,0),"")="","","✔")</f>
        <v/>
      </c>
      <c r="E431" s="98" t="str">
        <f>IF(IFERROR(VLOOKUP(A431,'4.鋼筋'!C:D,1,0),"")="","","✔")</f>
        <v/>
      </c>
      <c r="F431" s="98" t="str">
        <f>IF(IFERROR(VLOOKUP(A431,'5.模板'!C:D,1,0),"")="","","✔")</f>
        <v/>
      </c>
      <c r="G431" s="98" t="str">
        <f>IF(IFERROR(VLOOKUP(A431,'6.混凝土'!C:D,1,0),"")="","","✔")</f>
        <v/>
      </c>
      <c r="H431" s="98" t="str">
        <f>IF(IFERROR(VLOOKUP(A431,'7.植筋'!C:D,1,0),"")="","","✔")</f>
        <v/>
      </c>
      <c r="I431" s="98" t="str">
        <f>IF(IFERROR(VLOOKUP(A431,'8.預力混凝土基樁'!C:D,1,0),"")="","","✔")</f>
        <v/>
      </c>
      <c r="J431" s="98" t="str">
        <f>IF(IFERROR(VLOOKUP(A431,'9.砌塊石護岸'!C:D,1,0),"")="","","✔")</f>
        <v/>
      </c>
      <c r="K431" s="98" t="str">
        <f>IF(IFERROR(VLOOKUP(A431,'10.低水護岸'!C:D,1,0),"")="","","✔")</f>
        <v/>
      </c>
      <c r="L431" s="98" t="str">
        <f>IF(IFERROR(VLOOKUP(A431,'11.固床工'!C:D,1,0),"")="","","✔")</f>
        <v/>
      </c>
      <c r="M431" s="98" t="str">
        <f>IF(IFERROR(VLOOKUP(A431,'12.全套管基樁'!C:D,1,0),"")="","","✔")</f>
        <v/>
      </c>
      <c r="N431" s="98" t="str">
        <f>IF(IFERROR(VLOOKUP(A431,'13.鋼筋混凝土管工程'!C:D,1,0),"")="","","✔")</f>
        <v/>
      </c>
      <c r="O431" s="98" t="str">
        <f>IF(IFERROR(VLOOKUP(A431,'14.鋼版樁'!C:D,1,0),"")="","","✔")</f>
        <v/>
      </c>
      <c r="P431" s="98" t="str">
        <f>IF(IFERROR(VLOOKUP(A431,'15.路床 路基高程'!C:D,1,0),"")="","","✔")</f>
        <v/>
      </c>
      <c r="Q431" s="98" t="str">
        <f>IF(IFERROR(VLOOKUP(A431,'16.瀝青混凝土'!C:D,1,0),"")="","","✔")</f>
        <v/>
      </c>
      <c r="R431" s="98" t="str">
        <f>IF(IFERROR(VLOOKUP(A431,'17.景觀鋪面(一)'!C:D,1,0),"")="","","✔")</f>
        <v/>
      </c>
      <c r="S431" s="98" t="str">
        <f>IF(IFERROR(VLOOKUP(A431,'18.景觀鋪面(二)'!C:D,1,0),"")="","","✔")</f>
        <v/>
      </c>
      <c r="T431" s="98" t="str">
        <f>IF(IFERROR(VLOOKUP(A431,'19.預鑄緣石'!C:D,1,0),"")="","","✔")</f>
        <v/>
      </c>
      <c r="U431" s="98" t="str">
        <f>IF(IFERROR(VLOOKUP(A431,'20.鋼構工程吊裝'!C:D,1,0),"")="","","✔")</f>
        <v/>
      </c>
      <c r="V431" s="98" t="str">
        <f>IF(IFERROR(VLOOKUP(A431,'21.鋼構工程塗裝'!C:D,1,0),"")="","","✔")</f>
        <v/>
      </c>
      <c r="W431" s="98" t="str">
        <f>IF(IFERROR(VLOOKUP(A431,'22.排水設施(一)'!C:D,1,0),"")="","","✔")</f>
        <v/>
      </c>
      <c r="X431" s="98" t="str">
        <f>IF(IFERROR(VLOOKUP(A431,'23.排水設施(二)'!C:D,1,0),"")="","","✔")</f>
        <v/>
      </c>
      <c r="Y431" s="98" t="str">
        <f>IF(IFERROR(VLOOKUP(A431,'24.木構造'!C:D,1,0),"")="","","✔")</f>
        <v/>
      </c>
      <c r="Z431" s="98" t="str">
        <f>IF(IFERROR(VLOOKUP(A431,'25.管路'!C:D,1,0),"")="","","✔")</f>
        <v/>
      </c>
      <c r="AA431" s="98" t="str">
        <f>IF(IFERROR(VLOOKUP(A431,'26.植栽(移植)'!C:D,1,0),"")="","","✔")</f>
        <v/>
      </c>
      <c r="AB431" s="98" t="str">
        <f>IF(IFERROR(VLOOKUP(A431,'27.植栽(新植)'!C:D,1,0),"")="","","✔")</f>
        <v/>
      </c>
      <c r="AC431" s="98" t="str">
        <f>IF(IFERROR(VLOOKUP(A431,'28.照明'!C:D,1,0),"")="","","✔")</f>
        <v/>
      </c>
      <c r="AD431" s="98" t="str">
        <f>IF(IFERROR(VLOOKUP(A431,'29.既有橋梁拆除'!C:D,1,0),"")="","","✔")</f>
        <v/>
      </c>
    </row>
    <row r="432" spans="1:30" ht="21.75" customHeight="1" x14ac:dyDescent="0.25">
      <c r="A432" s="99">
        <v>45622</v>
      </c>
      <c r="B432" s="98" t="str">
        <f>IF(IFERROR(VLOOKUP(A432,'1.測量放樣'!C:D,1,0),"")="","","✔")</f>
        <v/>
      </c>
      <c r="C432" s="98" t="str">
        <f>IF(IFERROR(VLOOKUP(A432,'2.土方開挖'!C:D,1,0),"")="","","✔")</f>
        <v/>
      </c>
      <c r="D432" s="98" t="str">
        <f>IF(IFERROR(VLOOKUP(A432,'3.土方回填'!C:D,1,0),"")="","","✔")</f>
        <v/>
      </c>
      <c r="E432" s="98" t="str">
        <f>IF(IFERROR(VLOOKUP(A432,'4.鋼筋'!C:D,1,0),"")="","","✔")</f>
        <v/>
      </c>
      <c r="F432" s="98" t="str">
        <f>IF(IFERROR(VLOOKUP(A432,'5.模板'!C:D,1,0),"")="","","✔")</f>
        <v/>
      </c>
      <c r="G432" s="98" t="str">
        <f>IF(IFERROR(VLOOKUP(A432,'6.混凝土'!C:D,1,0),"")="","","✔")</f>
        <v/>
      </c>
      <c r="H432" s="98" t="str">
        <f>IF(IFERROR(VLOOKUP(A432,'7.植筋'!C:D,1,0),"")="","","✔")</f>
        <v/>
      </c>
      <c r="I432" s="98" t="str">
        <f>IF(IFERROR(VLOOKUP(A432,'8.預力混凝土基樁'!C:D,1,0),"")="","","✔")</f>
        <v/>
      </c>
      <c r="J432" s="98" t="str">
        <f>IF(IFERROR(VLOOKUP(A432,'9.砌塊石護岸'!C:D,1,0),"")="","","✔")</f>
        <v/>
      </c>
      <c r="K432" s="98" t="str">
        <f>IF(IFERROR(VLOOKUP(A432,'10.低水護岸'!C:D,1,0),"")="","","✔")</f>
        <v/>
      </c>
      <c r="L432" s="98" t="str">
        <f>IF(IFERROR(VLOOKUP(A432,'11.固床工'!C:D,1,0),"")="","","✔")</f>
        <v/>
      </c>
      <c r="M432" s="98" t="str">
        <f>IF(IFERROR(VLOOKUP(A432,'12.全套管基樁'!C:D,1,0),"")="","","✔")</f>
        <v/>
      </c>
      <c r="N432" s="98" t="str">
        <f>IF(IFERROR(VLOOKUP(A432,'13.鋼筋混凝土管工程'!C:D,1,0),"")="","","✔")</f>
        <v/>
      </c>
      <c r="O432" s="98" t="str">
        <f>IF(IFERROR(VLOOKUP(A432,'14.鋼版樁'!C:D,1,0),"")="","","✔")</f>
        <v/>
      </c>
      <c r="P432" s="98" t="str">
        <f>IF(IFERROR(VLOOKUP(A432,'15.路床 路基高程'!C:D,1,0),"")="","","✔")</f>
        <v/>
      </c>
      <c r="Q432" s="98" t="str">
        <f>IF(IFERROR(VLOOKUP(A432,'16.瀝青混凝土'!C:D,1,0),"")="","","✔")</f>
        <v/>
      </c>
      <c r="R432" s="98" t="str">
        <f>IF(IFERROR(VLOOKUP(A432,'17.景觀鋪面(一)'!C:D,1,0),"")="","","✔")</f>
        <v/>
      </c>
      <c r="S432" s="98" t="str">
        <f>IF(IFERROR(VLOOKUP(A432,'18.景觀鋪面(二)'!C:D,1,0),"")="","","✔")</f>
        <v/>
      </c>
      <c r="T432" s="98" t="str">
        <f>IF(IFERROR(VLOOKUP(A432,'19.預鑄緣石'!C:D,1,0),"")="","","✔")</f>
        <v/>
      </c>
      <c r="U432" s="98" t="str">
        <f>IF(IFERROR(VLOOKUP(A432,'20.鋼構工程吊裝'!C:D,1,0),"")="","","✔")</f>
        <v/>
      </c>
      <c r="V432" s="98" t="str">
        <f>IF(IFERROR(VLOOKUP(A432,'21.鋼構工程塗裝'!C:D,1,0),"")="","","✔")</f>
        <v/>
      </c>
      <c r="W432" s="98" t="str">
        <f>IF(IFERROR(VLOOKUP(A432,'22.排水設施(一)'!C:D,1,0),"")="","","✔")</f>
        <v/>
      </c>
      <c r="X432" s="98" t="str">
        <f>IF(IFERROR(VLOOKUP(A432,'23.排水設施(二)'!C:D,1,0),"")="","","✔")</f>
        <v/>
      </c>
      <c r="Y432" s="98" t="str">
        <f>IF(IFERROR(VLOOKUP(A432,'24.木構造'!C:D,1,0),"")="","","✔")</f>
        <v/>
      </c>
      <c r="Z432" s="98" t="str">
        <f>IF(IFERROR(VLOOKUP(A432,'25.管路'!C:D,1,0),"")="","","✔")</f>
        <v/>
      </c>
      <c r="AA432" s="98" t="str">
        <f>IF(IFERROR(VLOOKUP(A432,'26.植栽(移植)'!C:D,1,0),"")="","","✔")</f>
        <v/>
      </c>
      <c r="AB432" s="98" t="str">
        <f>IF(IFERROR(VLOOKUP(A432,'27.植栽(新植)'!C:D,1,0),"")="","","✔")</f>
        <v/>
      </c>
      <c r="AC432" s="98" t="str">
        <f>IF(IFERROR(VLOOKUP(A432,'28.照明'!C:D,1,0),"")="","","✔")</f>
        <v/>
      </c>
      <c r="AD432" s="98" t="str">
        <f>IF(IFERROR(VLOOKUP(A432,'29.既有橋梁拆除'!C:D,1,0),"")="","","✔")</f>
        <v/>
      </c>
    </row>
    <row r="433" spans="1:30" ht="21.75" customHeight="1" x14ac:dyDescent="0.25">
      <c r="A433" s="99">
        <v>45623</v>
      </c>
      <c r="B433" s="98" t="str">
        <f>IF(IFERROR(VLOOKUP(A433,'1.測量放樣'!C:D,1,0),"")="","","✔")</f>
        <v/>
      </c>
      <c r="C433" s="98" t="str">
        <f>IF(IFERROR(VLOOKUP(A433,'2.土方開挖'!C:D,1,0),"")="","","✔")</f>
        <v/>
      </c>
      <c r="D433" s="98" t="str">
        <f>IF(IFERROR(VLOOKUP(A433,'3.土方回填'!C:D,1,0),"")="","","✔")</f>
        <v/>
      </c>
      <c r="E433" s="98" t="str">
        <f>IF(IFERROR(VLOOKUP(A433,'4.鋼筋'!C:D,1,0),"")="","","✔")</f>
        <v/>
      </c>
      <c r="F433" s="98" t="str">
        <f>IF(IFERROR(VLOOKUP(A433,'5.模板'!C:D,1,0),"")="","","✔")</f>
        <v/>
      </c>
      <c r="G433" s="98" t="str">
        <f>IF(IFERROR(VLOOKUP(A433,'6.混凝土'!C:D,1,0),"")="","","✔")</f>
        <v/>
      </c>
      <c r="H433" s="98" t="str">
        <f>IF(IFERROR(VLOOKUP(A433,'7.植筋'!C:D,1,0),"")="","","✔")</f>
        <v/>
      </c>
      <c r="I433" s="98" t="str">
        <f>IF(IFERROR(VLOOKUP(A433,'8.預力混凝土基樁'!C:D,1,0),"")="","","✔")</f>
        <v/>
      </c>
      <c r="J433" s="98" t="str">
        <f>IF(IFERROR(VLOOKUP(A433,'9.砌塊石護岸'!C:D,1,0),"")="","","✔")</f>
        <v/>
      </c>
      <c r="K433" s="98" t="str">
        <f>IF(IFERROR(VLOOKUP(A433,'10.低水護岸'!C:D,1,0),"")="","","✔")</f>
        <v/>
      </c>
      <c r="L433" s="98" t="str">
        <f>IF(IFERROR(VLOOKUP(A433,'11.固床工'!C:D,1,0),"")="","","✔")</f>
        <v/>
      </c>
      <c r="M433" s="98" t="str">
        <f>IF(IFERROR(VLOOKUP(A433,'12.全套管基樁'!C:D,1,0),"")="","","✔")</f>
        <v/>
      </c>
      <c r="N433" s="98" t="str">
        <f>IF(IFERROR(VLOOKUP(A433,'13.鋼筋混凝土管工程'!C:D,1,0),"")="","","✔")</f>
        <v/>
      </c>
      <c r="O433" s="98" t="str">
        <f>IF(IFERROR(VLOOKUP(A433,'14.鋼版樁'!C:D,1,0),"")="","","✔")</f>
        <v/>
      </c>
      <c r="P433" s="98" t="str">
        <f>IF(IFERROR(VLOOKUP(A433,'15.路床 路基高程'!C:D,1,0),"")="","","✔")</f>
        <v/>
      </c>
      <c r="Q433" s="98" t="str">
        <f>IF(IFERROR(VLOOKUP(A433,'16.瀝青混凝土'!C:D,1,0),"")="","","✔")</f>
        <v/>
      </c>
      <c r="R433" s="98" t="str">
        <f>IF(IFERROR(VLOOKUP(A433,'17.景觀鋪面(一)'!C:D,1,0),"")="","","✔")</f>
        <v/>
      </c>
      <c r="S433" s="98" t="str">
        <f>IF(IFERROR(VLOOKUP(A433,'18.景觀鋪面(二)'!C:D,1,0),"")="","","✔")</f>
        <v/>
      </c>
      <c r="T433" s="98" t="str">
        <f>IF(IFERROR(VLOOKUP(A433,'19.預鑄緣石'!C:D,1,0),"")="","","✔")</f>
        <v/>
      </c>
      <c r="U433" s="98" t="str">
        <f>IF(IFERROR(VLOOKUP(A433,'20.鋼構工程吊裝'!C:D,1,0),"")="","","✔")</f>
        <v/>
      </c>
      <c r="V433" s="98" t="str">
        <f>IF(IFERROR(VLOOKUP(A433,'21.鋼構工程塗裝'!C:D,1,0),"")="","","✔")</f>
        <v/>
      </c>
      <c r="W433" s="98" t="str">
        <f>IF(IFERROR(VLOOKUP(A433,'22.排水設施(一)'!C:D,1,0),"")="","","✔")</f>
        <v/>
      </c>
      <c r="X433" s="98" t="str">
        <f>IF(IFERROR(VLOOKUP(A433,'23.排水設施(二)'!C:D,1,0),"")="","","✔")</f>
        <v/>
      </c>
      <c r="Y433" s="98" t="str">
        <f>IF(IFERROR(VLOOKUP(A433,'24.木構造'!C:D,1,0),"")="","","✔")</f>
        <v/>
      </c>
      <c r="Z433" s="98" t="str">
        <f>IF(IFERROR(VLOOKUP(A433,'25.管路'!C:D,1,0),"")="","","✔")</f>
        <v/>
      </c>
      <c r="AA433" s="98" t="str">
        <f>IF(IFERROR(VLOOKUP(A433,'26.植栽(移植)'!C:D,1,0),"")="","","✔")</f>
        <v/>
      </c>
      <c r="AB433" s="98" t="str">
        <f>IF(IFERROR(VLOOKUP(A433,'27.植栽(新植)'!C:D,1,0),"")="","","✔")</f>
        <v/>
      </c>
      <c r="AC433" s="98" t="str">
        <f>IF(IFERROR(VLOOKUP(A433,'28.照明'!C:D,1,0),"")="","","✔")</f>
        <v/>
      </c>
      <c r="AD433" s="98" t="str">
        <f>IF(IFERROR(VLOOKUP(A433,'29.既有橋梁拆除'!C:D,1,0),"")="","","✔")</f>
        <v/>
      </c>
    </row>
    <row r="434" spans="1:30" ht="21.75" customHeight="1" x14ac:dyDescent="0.25">
      <c r="A434" s="99">
        <v>45624</v>
      </c>
      <c r="B434" s="98" t="str">
        <f>IF(IFERROR(VLOOKUP(A434,'1.測量放樣'!C:D,1,0),"")="","","✔")</f>
        <v/>
      </c>
      <c r="C434" s="98" t="str">
        <f>IF(IFERROR(VLOOKUP(A434,'2.土方開挖'!C:D,1,0),"")="","","✔")</f>
        <v/>
      </c>
      <c r="D434" s="98" t="str">
        <f>IF(IFERROR(VLOOKUP(A434,'3.土方回填'!C:D,1,0),"")="","","✔")</f>
        <v/>
      </c>
      <c r="E434" s="98" t="str">
        <f>IF(IFERROR(VLOOKUP(A434,'4.鋼筋'!C:D,1,0),"")="","","✔")</f>
        <v/>
      </c>
      <c r="F434" s="98" t="str">
        <f>IF(IFERROR(VLOOKUP(A434,'5.模板'!C:D,1,0),"")="","","✔")</f>
        <v/>
      </c>
      <c r="G434" s="98" t="str">
        <f>IF(IFERROR(VLOOKUP(A434,'6.混凝土'!C:D,1,0),"")="","","✔")</f>
        <v/>
      </c>
      <c r="H434" s="98" t="str">
        <f>IF(IFERROR(VLOOKUP(A434,'7.植筋'!C:D,1,0),"")="","","✔")</f>
        <v/>
      </c>
      <c r="I434" s="98" t="str">
        <f>IF(IFERROR(VLOOKUP(A434,'8.預力混凝土基樁'!C:D,1,0),"")="","","✔")</f>
        <v/>
      </c>
      <c r="J434" s="98" t="str">
        <f>IF(IFERROR(VLOOKUP(A434,'9.砌塊石護岸'!C:D,1,0),"")="","","✔")</f>
        <v/>
      </c>
      <c r="K434" s="98" t="str">
        <f>IF(IFERROR(VLOOKUP(A434,'10.低水護岸'!C:D,1,0),"")="","","✔")</f>
        <v/>
      </c>
      <c r="L434" s="98" t="str">
        <f>IF(IFERROR(VLOOKUP(A434,'11.固床工'!C:D,1,0),"")="","","✔")</f>
        <v/>
      </c>
      <c r="M434" s="98" t="str">
        <f>IF(IFERROR(VLOOKUP(A434,'12.全套管基樁'!C:D,1,0),"")="","","✔")</f>
        <v/>
      </c>
      <c r="N434" s="98" t="str">
        <f>IF(IFERROR(VLOOKUP(A434,'13.鋼筋混凝土管工程'!C:D,1,0),"")="","","✔")</f>
        <v/>
      </c>
      <c r="O434" s="98" t="str">
        <f>IF(IFERROR(VLOOKUP(A434,'14.鋼版樁'!C:D,1,0),"")="","","✔")</f>
        <v/>
      </c>
      <c r="P434" s="98" t="str">
        <f>IF(IFERROR(VLOOKUP(A434,'15.路床 路基高程'!C:D,1,0),"")="","","✔")</f>
        <v/>
      </c>
      <c r="Q434" s="98" t="str">
        <f>IF(IFERROR(VLOOKUP(A434,'16.瀝青混凝土'!C:D,1,0),"")="","","✔")</f>
        <v/>
      </c>
      <c r="R434" s="98" t="str">
        <f>IF(IFERROR(VLOOKUP(A434,'17.景觀鋪面(一)'!C:D,1,0),"")="","","✔")</f>
        <v/>
      </c>
      <c r="S434" s="98" t="str">
        <f>IF(IFERROR(VLOOKUP(A434,'18.景觀鋪面(二)'!C:D,1,0),"")="","","✔")</f>
        <v/>
      </c>
      <c r="T434" s="98" t="str">
        <f>IF(IFERROR(VLOOKUP(A434,'19.預鑄緣石'!C:D,1,0),"")="","","✔")</f>
        <v/>
      </c>
      <c r="U434" s="98" t="str">
        <f>IF(IFERROR(VLOOKUP(A434,'20.鋼構工程吊裝'!C:D,1,0),"")="","","✔")</f>
        <v/>
      </c>
      <c r="V434" s="98" t="str">
        <f>IF(IFERROR(VLOOKUP(A434,'21.鋼構工程塗裝'!C:D,1,0),"")="","","✔")</f>
        <v/>
      </c>
      <c r="W434" s="98" t="str">
        <f>IF(IFERROR(VLOOKUP(A434,'22.排水設施(一)'!C:D,1,0),"")="","","✔")</f>
        <v/>
      </c>
      <c r="X434" s="98" t="str">
        <f>IF(IFERROR(VLOOKUP(A434,'23.排水設施(二)'!C:D,1,0),"")="","","✔")</f>
        <v/>
      </c>
      <c r="Y434" s="98" t="str">
        <f>IF(IFERROR(VLOOKUP(A434,'24.木構造'!C:D,1,0),"")="","","✔")</f>
        <v/>
      </c>
      <c r="Z434" s="98" t="str">
        <f>IF(IFERROR(VLOOKUP(A434,'25.管路'!C:D,1,0),"")="","","✔")</f>
        <v/>
      </c>
      <c r="AA434" s="98" t="str">
        <f>IF(IFERROR(VLOOKUP(A434,'26.植栽(移植)'!C:D,1,0),"")="","","✔")</f>
        <v/>
      </c>
      <c r="AB434" s="98" t="str">
        <f>IF(IFERROR(VLOOKUP(A434,'27.植栽(新植)'!C:D,1,0),"")="","","✔")</f>
        <v/>
      </c>
      <c r="AC434" s="98" t="str">
        <f>IF(IFERROR(VLOOKUP(A434,'28.照明'!C:D,1,0),"")="","","✔")</f>
        <v/>
      </c>
      <c r="AD434" s="98" t="str">
        <f>IF(IFERROR(VLOOKUP(A434,'29.既有橋梁拆除'!C:D,1,0),"")="","","✔")</f>
        <v/>
      </c>
    </row>
    <row r="435" spans="1:30" ht="21.75" customHeight="1" x14ac:dyDescent="0.25">
      <c r="A435" s="99">
        <v>45625</v>
      </c>
      <c r="B435" s="98" t="str">
        <f>IF(IFERROR(VLOOKUP(A435,'1.測量放樣'!C:D,1,0),"")="","","✔")</f>
        <v/>
      </c>
      <c r="C435" s="98" t="str">
        <f>IF(IFERROR(VLOOKUP(A435,'2.土方開挖'!C:D,1,0),"")="","","✔")</f>
        <v/>
      </c>
      <c r="D435" s="98" t="str">
        <f>IF(IFERROR(VLOOKUP(A435,'3.土方回填'!C:D,1,0),"")="","","✔")</f>
        <v/>
      </c>
      <c r="E435" s="98" t="str">
        <f>IF(IFERROR(VLOOKUP(A435,'4.鋼筋'!C:D,1,0),"")="","","✔")</f>
        <v/>
      </c>
      <c r="F435" s="98" t="str">
        <f>IF(IFERROR(VLOOKUP(A435,'5.模板'!C:D,1,0),"")="","","✔")</f>
        <v/>
      </c>
      <c r="G435" s="98" t="str">
        <f>IF(IFERROR(VLOOKUP(A435,'6.混凝土'!C:D,1,0),"")="","","✔")</f>
        <v/>
      </c>
      <c r="H435" s="98" t="str">
        <f>IF(IFERROR(VLOOKUP(A435,'7.植筋'!C:D,1,0),"")="","","✔")</f>
        <v/>
      </c>
      <c r="I435" s="98" t="str">
        <f>IF(IFERROR(VLOOKUP(A435,'8.預力混凝土基樁'!C:D,1,0),"")="","","✔")</f>
        <v/>
      </c>
      <c r="J435" s="98" t="str">
        <f>IF(IFERROR(VLOOKUP(A435,'9.砌塊石護岸'!C:D,1,0),"")="","","✔")</f>
        <v/>
      </c>
      <c r="K435" s="98" t="str">
        <f>IF(IFERROR(VLOOKUP(A435,'10.低水護岸'!C:D,1,0),"")="","","✔")</f>
        <v/>
      </c>
      <c r="L435" s="98" t="str">
        <f>IF(IFERROR(VLOOKUP(A435,'11.固床工'!C:D,1,0),"")="","","✔")</f>
        <v/>
      </c>
      <c r="M435" s="98" t="str">
        <f>IF(IFERROR(VLOOKUP(A435,'12.全套管基樁'!C:D,1,0),"")="","","✔")</f>
        <v/>
      </c>
      <c r="N435" s="98" t="str">
        <f>IF(IFERROR(VLOOKUP(A435,'13.鋼筋混凝土管工程'!C:D,1,0),"")="","","✔")</f>
        <v/>
      </c>
      <c r="O435" s="98" t="str">
        <f>IF(IFERROR(VLOOKUP(A435,'14.鋼版樁'!C:D,1,0),"")="","","✔")</f>
        <v/>
      </c>
      <c r="P435" s="98" t="str">
        <f>IF(IFERROR(VLOOKUP(A435,'15.路床 路基高程'!C:D,1,0),"")="","","✔")</f>
        <v/>
      </c>
      <c r="Q435" s="98" t="str">
        <f>IF(IFERROR(VLOOKUP(A435,'16.瀝青混凝土'!C:D,1,0),"")="","","✔")</f>
        <v/>
      </c>
      <c r="R435" s="98" t="str">
        <f>IF(IFERROR(VLOOKUP(A435,'17.景觀鋪面(一)'!C:D,1,0),"")="","","✔")</f>
        <v/>
      </c>
      <c r="S435" s="98" t="str">
        <f>IF(IFERROR(VLOOKUP(A435,'18.景觀鋪面(二)'!C:D,1,0),"")="","","✔")</f>
        <v/>
      </c>
      <c r="T435" s="98" t="str">
        <f>IF(IFERROR(VLOOKUP(A435,'19.預鑄緣石'!C:D,1,0),"")="","","✔")</f>
        <v/>
      </c>
      <c r="U435" s="98" t="str">
        <f>IF(IFERROR(VLOOKUP(A435,'20.鋼構工程吊裝'!C:D,1,0),"")="","","✔")</f>
        <v/>
      </c>
      <c r="V435" s="98" t="str">
        <f>IF(IFERROR(VLOOKUP(A435,'21.鋼構工程塗裝'!C:D,1,0),"")="","","✔")</f>
        <v/>
      </c>
      <c r="W435" s="98" t="str">
        <f>IF(IFERROR(VLOOKUP(A435,'22.排水設施(一)'!C:D,1,0),"")="","","✔")</f>
        <v/>
      </c>
      <c r="X435" s="98" t="str">
        <f>IF(IFERROR(VLOOKUP(A435,'23.排水設施(二)'!C:D,1,0),"")="","","✔")</f>
        <v/>
      </c>
      <c r="Y435" s="98" t="str">
        <f>IF(IFERROR(VLOOKUP(A435,'24.木構造'!C:D,1,0),"")="","","✔")</f>
        <v/>
      </c>
      <c r="Z435" s="98" t="str">
        <f>IF(IFERROR(VLOOKUP(A435,'25.管路'!C:D,1,0),"")="","","✔")</f>
        <v/>
      </c>
      <c r="AA435" s="98" t="str">
        <f>IF(IFERROR(VLOOKUP(A435,'26.植栽(移植)'!C:D,1,0),"")="","","✔")</f>
        <v/>
      </c>
      <c r="AB435" s="98" t="str">
        <f>IF(IFERROR(VLOOKUP(A435,'27.植栽(新植)'!C:D,1,0),"")="","","✔")</f>
        <v/>
      </c>
      <c r="AC435" s="98" t="str">
        <f>IF(IFERROR(VLOOKUP(A435,'28.照明'!C:D,1,0),"")="","","✔")</f>
        <v/>
      </c>
      <c r="AD435" s="98" t="str">
        <f>IF(IFERROR(VLOOKUP(A435,'29.既有橋梁拆除'!C:D,1,0),"")="","","✔")</f>
        <v/>
      </c>
    </row>
    <row r="436" spans="1:30" ht="21.75" customHeight="1" x14ac:dyDescent="0.25">
      <c r="A436" s="99">
        <v>45626</v>
      </c>
      <c r="B436" s="98" t="str">
        <f>IF(IFERROR(VLOOKUP(A436,'1.測量放樣'!C:D,1,0),"")="","","✔")</f>
        <v/>
      </c>
      <c r="C436" s="98" t="str">
        <f>IF(IFERROR(VLOOKUP(A436,'2.土方開挖'!C:D,1,0),"")="","","✔")</f>
        <v/>
      </c>
      <c r="D436" s="98" t="str">
        <f>IF(IFERROR(VLOOKUP(A436,'3.土方回填'!C:D,1,0),"")="","","✔")</f>
        <v/>
      </c>
      <c r="E436" s="98" t="str">
        <f>IF(IFERROR(VLOOKUP(A436,'4.鋼筋'!C:D,1,0),"")="","","✔")</f>
        <v/>
      </c>
      <c r="F436" s="98" t="str">
        <f>IF(IFERROR(VLOOKUP(A436,'5.模板'!C:D,1,0),"")="","","✔")</f>
        <v/>
      </c>
      <c r="G436" s="98" t="str">
        <f>IF(IFERROR(VLOOKUP(A436,'6.混凝土'!C:D,1,0),"")="","","✔")</f>
        <v/>
      </c>
      <c r="H436" s="98" t="str">
        <f>IF(IFERROR(VLOOKUP(A436,'7.植筋'!C:D,1,0),"")="","","✔")</f>
        <v/>
      </c>
      <c r="I436" s="98" t="str">
        <f>IF(IFERROR(VLOOKUP(A436,'8.預力混凝土基樁'!C:D,1,0),"")="","","✔")</f>
        <v/>
      </c>
      <c r="J436" s="98" t="str">
        <f>IF(IFERROR(VLOOKUP(A436,'9.砌塊石護岸'!C:D,1,0),"")="","","✔")</f>
        <v/>
      </c>
      <c r="K436" s="98" t="str">
        <f>IF(IFERROR(VLOOKUP(A436,'10.低水護岸'!C:D,1,0),"")="","","✔")</f>
        <v/>
      </c>
      <c r="L436" s="98" t="str">
        <f>IF(IFERROR(VLOOKUP(A436,'11.固床工'!C:D,1,0),"")="","","✔")</f>
        <v/>
      </c>
      <c r="M436" s="98" t="str">
        <f>IF(IFERROR(VLOOKUP(A436,'12.全套管基樁'!C:D,1,0),"")="","","✔")</f>
        <v/>
      </c>
      <c r="N436" s="98" t="str">
        <f>IF(IFERROR(VLOOKUP(A436,'13.鋼筋混凝土管工程'!C:D,1,0),"")="","","✔")</f>
        <v/>
      </c>
      <c r="O436" s="98" t="str">
        <f>IF(IFERROR(VLOOKUP(A436,'14.鋼版樁'!C:D,1,0),"")="","","✔")</f>
        <v/>
      </c>
      <c r="P436" s="98" t="str">
        <f>IF(IFERROR(VLOOKUP(A436,'15.路床 路基高程'!C:D,1,0),"")="","","✔")</f>
        <v/>
      </c>
      <c r="Q436" s="98" t="str">
        <f>IF(IFERROR(VLOOKUP(A436,'16.瀝青混凝土'!C:D,1,0),"")="","","✔")</f>
        <v/>
      </c>
      <c r="R436" s="98" t="str">
        <f>IF(IFERROR(VLOOKUP(A436,'17.景觀鋪面(一)'!C:D,1,0),"")="","","✔")</f>
        <v/>
      </c>
      <c r="S436" s="98" t="str">
        <f>IF(IFERROR(VLOOKUP(A436,'18.景觀鋪面(二)'!C:D,1,0),"")="","","✔")</f>
        <v/>
      </c>
      <c r="T436" s="98" t="str">
        <f>IF(IFERROR(VLOOKUP(A436,'19.預鑄緣石'!C:D,1,0),"")="","","✔")</f>
        <v/>
      </c>
      <c r="U436" s="98" t="str">
        <f>IF(IFERROR(VLOOKUP(A436,'20.鋼構工程吊裝'!C:D,1,0),"")="","","✔")</f>
        <v/>
      </c>
      <c r="V436" s="98" t="str">
        <f>IF(IFERROR(VLOOKUP(A436,'21.鋼構工程塗裝'!C:D,1,0),"")="","","✔")</f>
        <v/>
      </c>
      <c r="W436" s="98" t="str">
        <f>IF(IFERROR(VLOOKUP(A436,'22.排水設施(一)'!C:D,1,0),"")="","","✔")</f>
        <v/>
      </c>
      <c r="X436" s="98" t="str">
        <f>IF(IFERROR(VLOOKUP(A436,'23.排水設施(二)'!C:D,1,0),"")="","","✔")</f>
        <v/>
      </c>
      <c r="Y436" s="98" t="str">
        <f>IF(IFERROR(VLOOKUP(A436,'24.木構造'!C:D,1,0),"")="","","✔")</f>
        <v/>
      </c>
      <c r="Z436" s="98" t="str">
        <f>IF(IFERROR(VLOOKUP(A436,'25.管路'!C:D,1,0),"")="","","✔")</f>
        <v/>
      </c>
      <c r="AA436" s="98" t="str">
        <f>IF(IFERROR(VLOOKUP(A436,'26.植栽(移植)'!C:D,1,0),"")="","","✔")</f>
        <v/>
      </c>
      <c r="AB436" s="98" t="str">
        <f>IF(IFERROR(VLOOKUP(A436,'27.植栽(新植)'!C:D,1,0),"")="","","✔")</f>
        <v/>
      </c>
      <c r="AC436" s="98" t="str">
        <f>IF(IFERROR(VLOOKUP(A436,'28.照明'!C:D,1,0),"")="","","✔")</f>
        <v/>
      </c>
      <c r="AD436" s="98" t="str">
        <f>IF(IFERROR(VLOOKUP(A436,'29.既有橋梁拆除'!C:D,1,0),"")="","","✔")</f>
        <v/>
      </c>
    </row>
    <row r="437" spans="1:30" ht="21.75" customHeight="1" x14ac:dyDescent="0.25">
      <c r="A437" s="99">
        <v>45627</v>
      </c>
      <c r="B437" s="98" t="str">
        <f>IF(IFERROR(VLOOKUP(A437,'1.測量放樣'!C:D,1,0),"")="","","✔")</f>
        <v/>
      </c>
      <c r="C437" s="98" t="str">
        <f>IF(IFERROR(VLOOKUP(A437,'2.土方開挖'!C:D,1,0),"")="","","✔")</f>
        <v/>
      </c>
      <c r="D437" s="98" t="str">
        <f>IF(IFERROR(VLOOKUP(A437,'3.土方回填'!C:D,1,0),"")="","","✔")</f>
        <v/>
      </c>
      <c r="E437" s="98" t="str">
        <f>IF(IFERROR(VLOOKUP(A437,'4.鋼筋'!C:D,1,0),"")="","","✔")</f>
        <v/>
      </c>
      <c r="F437" s="98" t="str">
        <f>IF(IFERROR(VLOOKUP(A437,'5.模板'!C:D,1,0),"")="","","✔")</f>
        <v/>
      </c>
      <c r="G437" s="98" t="str">
        <f>IF(IFERROR(VLOOKUP(A437,'6.混凝土'!C:D,1,0),"")="","","✔")</f>
        <v/>
      </c>
      <c r="H437" s="98" t="str">
        <f>IF(IFERROR(VLOOKUP(A437,'7.植筋'!C:D,1,0),"")="","","✔")</f>
        <v/>
      </c>
      <c r="I437" s="98" t="str">
        <f>IF(IFERROR(VLOOKUP(A437,'8.預力混凝土基樁'!C:D,1,0),"")="","","✔")</f>
        <v/>
      </c>
      <c r="J437" s="98" t="str">
        <f>IF(IFERROR(VLOOKUP(A437,'9.砌塊石護岸'!C:D,1,0),"")="","","✔")</f>
        <v/>
      </c>
      <c r="K437" s="98" t="str">
        <f>IF(IFERROR(VLOOKUP(A437,'10.低水護岸'!C:D,1,0),"")="","","✔")</f>
        <v/>
      </c>
      <c r="L437" s="98" t="str">
        <f>IF(IFERROR(VLOOKUP(A437,'11.固床工'!C:D,1,0),"")="","","✔")</f>
        <v/>
      </c>
      <c r="M437" s="98" t="str">
        <f>IF(IFERROR(VLOOKUP(A437,'12.全套管基樁'!C:D,1,0),"")="","","✔")</f>
        <v/>
      </c>
      <c r="N437" s="98" t="str">
        <f>IF(IFERROR(VLOOKUP(A437,'13.鋼筋混凝土管工程'!C:D,1,0),"")="","","✔")</f>
        <v/>
      </c>
      <c r="O437" s="98" t="str">
        <f>IF(IFERROR(VLOOKUP(A437,'14.鋼版樁'!C:D,1,0),"")="","","✔")</f>
        <v/>
      </c>
      <c r="P437" s="98" t="str">
        <f>IF(IFERROR(VLOOKUP(A437,'15.路床 路基高程'!C:D,1,0),"")="","","✔")</f>
        <v/>
      </c>
      <c r="Q437" s="98" t="str">
        <f>IF(IFERROR(VLOOKUP(A437,'16.瀝青混凝土'!C:D,1,0),"")="","","✔")</f>
        <v/>
      </c>
      <c r="R437" s="98" t="str">
        <f>IF(IFERROR(VLOOKUP(A437,'17.景觀鋪面(一)'!C:D,1,0),"")="","","✔")</f>
        <v/>
      </c>
      <c r="S437" s="98" t="str">
        <f>IF(IFERROR(VLOOKUP(A437,'18.景觀鋪面(二)'!C:D,1,0),"")="","","✔")</f>
        <v/>
      </c>
      <c r="T437" s="98" t="str">
        <f>IF(IFERROR(VLOOKUP(A437,'19.預鑄緣石'!C:D,1,0),"")="","","✔")</f>
        <v/>
      </c>
      <c r="U437" s="98" t="str">
        <f>IF(IFERROR(VLOOKUP(A437,'20.鋼構工程吊裝'!C:D,1,0),"")="","","✔")</f>
        <v/>
      </c>
      <c r="V437" s="98" t="str">
        <f>IF(IFERROR(VLOOKUP(A437,'21.鋼構工程塗裝'!C:D,1,0),"")="","","✔")</f>
        <v/>
      </c>
      <c r="W437" s="98" t="str">
        <f>IF(IFERROR(VLOOKUP(A437,'22.排水設施(一)'!C:D,1,0),"")="","","✔")</f>
        <v/>
      </c>
      <c r="X437" s="98" t="str">
        <f>IF(IFERROR(VLOOKUP(A437,'23.排水設施(二)'!C:D,1,0),"")="","","✔")</f>
        <v/>
      </c>
      <c r="Y437" s="98" t="str">
        <f>IF(IFERROR(VLOOKUP(A437,'24.木構造'!C:D,1,0),"")="","","✔")</f>
        <v/>
      </c>
      <c r="Z437" s="98" t="str">
        <f>IF(IFERROR(VLOOKUP(A437,'25.管路'!C:D,1,0),"")="","","✔")</f>
        <v/>
      </c>
      <c r="AA437" s="98" t="str">
        <f>IF(IFERROR(VLOOKUP(A437,'26.植栽(移植)'!C:D,1,0),"")="","","✔")</f>
        <v/>
      </c>
      <c r="AB437" s="98" t="str">
        <f>IF(IFERROR(VLOOKUP(A437,'27.植栽(新植)'!C:D,1,0),"")="","","✔")</f>
        <v/>
      </c>
      <c r="AC437" s="98" t="str">
        <f>IF(IFERROR(VLOOKUP(A437,'28.照明'!C:D,1,0),"")="","","✔")</f>
        <v/>
      </c>
      <c r="AD437" s="98" t="str">
        <f>IF(IFERROR(VLOOKUP(A437,'29.既有橋梁拆除'!C:D,1,0),"")="","","✔")</f>
        <v/>
      </c>
    </row>
    <row r="438" spans="1:30" ht="21.75" customHeight="1" x14ac:dyDescent="0.25">
      <c r="A438" s="99">
        <v>45628</v>
      </c>
      <c r="B438" s="98" t="str">
        <f>IF(IFERROR(VLOOKUP(A438,'1.測量放樣'!C:D,1,0),"")="","","✔")</f>
        <v/>
      </c>
      <c r="C438" s="98" t="str">
        <f>IF(IFERROR(VLOOKUP(A438,'2.土方開挖'!C:D,1,0),"")="","","✔")</f>
        <v/>
      </c>
      <c r="D438" s="98" t="str">
        <f>IF(IFERROR(VLOOKUP(A438,'3.土方回填'!C:D,1,0),"")="","","✔")</f>
        <v/>
      </c>
      <c r="E438" s="98" t="str">
        <f>IF(IFERROR(VLOOKUP(A438,'4.鋼筋'!C:D,1,0),"")="","","✔")</f>
        <v/>
      </c>
      <c r="F438" s="98" t="str">
        <f>IF(IFERROR(VLOOKUP(A438,'5.模板'!C:D,1,0),"")="","","✔")</f>
        <v/>
      </c>
      <c r="G438" s="98" t="str">
        <f>IF(IFERROR(VLOOKUP(A438,'6.混凝土'!C:D,1,0),"")="","","✔")</f>
        <v/>
      </c>
      <c r="H438" s="98" t="str">
        <f>IF(IFERROR(VLOOKUP(A438,'7.植筋'!C:D,1,0),"")="","","✔")</f>
        <v/>
      </c>
      <c r="I438" s="98" t="str">
        <f>IF(IFERROR(VLOOKUP(A438,'8.預力混凝土基樁'!C:D,1,0),"")="","","✔")</f>
        <v/>
      </c>
      <c r="J438" s="98" t="str">
        <f>IF(IFERROR(VLOOKUP(A438,'9.砌塊石護岸'!C:D,1,0),"")="","","✔")</f>
        <v/>
      </c>
      <c r="K438" s="98" t="str">
        <f>IF(IFERROR(VLOOKUP(A438,'10.低水護岸'!C:D,1,0),"")="","","✔")</f>
        <v/>
      </c>
      <c r="L438" s="98" t="str">
        <f>IF(IFERROR(VLOOKUP(A438,'11.固床工'!C:D,1,0),"")="","","✔")</f>
        <v/>
      </c>
      <c r="M438" s="98" t="str">
        <f>IF(IFERROR(VLOOKUP(A438,'12.全套管基樁'!C:D,1,0),"")="","","✔")</f>
        <v/>
      </c>
      <c r="N438" s="98" t="str">
        <f>IF(IFERROR(VLOOKUP(A438,'13.鋼筋混凝土管工程'!C:D,1,0),"")="","","✔")</f>
        <v/>
      </c>
      <c r="O438" s="98" t="str">
        <f>IF(IFERROR(VLOOKUP(A438,'14.鋼版樁'!C:D,1,0),"")="","","✔")</f>
        <v/>
      </c>
      <c r="P438" s="98" t="str">
        <f>IF(IFERROR(VLOOKUP(A438,'15.路床 路基高程'!C:D,1,0),"")="","","✔")</f>
        <v/>
      </c>
      <c r="Q438" s="98" t="str">
        <f>IF(IFERROR(VLOOKUP(A438,'16.瀝青混凝土'!C:D,1,0),"")="","","✔")</f>
        <v/>
      </c>
      <c r="R438" s="98" t="str">
        <f>IF(IFERROR(VLOOKUP(A438,'17.景觀鋪面(一)'!C:D,1,0),"")="","","✔")</f>
        <v/>
      </c>
      <c r="S438" s="98" t="str">
        <f>IF(IFERROR(VLOOKUP(A438,'18.景觀鋪面(二)'!C:D,1,0),"")="","","✔")</f>
        <v/>
      </c>
      <c r="T438" s="98" t="str">
        <f>IF(IFERROR(VLOOKUP(A438,'19.預鑄緣石'!C:D,1,0),"")="","","✔")</f>
        <v/>
      </c>
      <c r="U438" s="98" t="str">
        <f>IF(IFERROR(VLOOKUP(A438,'20.鋼構工程吊裝'!C:D,1,0),"")="","","✔")</f>
        <v/>
      </c>
      <c r="V438" s="98" t="str">
        <f>IF(IFERROR(VLOOKUP(A438,'21.鋼構工程塗裝'!C:D,1,0),"")="","","✔")</f>
        <v/>
      </c>
      <c r="W438" s="98" t="str">
        <f>IF(IFERROR(VLOOKUP(A438,'22.排水設施(一)'!C:D,1,0),"")="","","✔")</f>
        <v/>
      </c>
      <c r="X438" s="98" t="str">
        <f>IF(IFERROR(VLOOKUP(A438,'23.排水設施(二)'!C:D,1,0),"")="","","✔")</f>
        <v/>
      </c>
      <c r="Y438" s="98" t="str">
        <f>IF(IFERROR(VLOOKUP(A438,'24.木構造'!C:D,1,0),"")="","","✔")</f>
        <v/>
      </c>
      <c r="Z438" s="98" t="str">
        <f>IF(IFERROR(VLOOKUP(A438,'25.管路'!C:D,1,0),"")="","","✔")</f>
        <v/>
      </c>
      <c r="AA438" s="98" t="str">
        <f>IF(IFERROR(VLOOKUP(A438,'26.植栽(移植)'!C:D,1,0),"")="","","✔")</f>
        <v/>
      </c>
      <c r="AB438" s="98" t="str">
        <f>IF(IFERROR(VLOOKUP(A438,'27.植栽(新植)'!C:D,1,0),"")="","","✔")</f>
        <v/>
      </c>
      <c r="AC438" s="98" t="str">
        <f>IF(IFERROR(VLOOKUP(A438,'28.照明'!C:D,1,0),"")="","","✔")</f>
        <v/>
      </c>
      <c r="AD438" s="98" t="str">
        <f>IF(IFERROR(VLOOKUP(A438,'29.既有橋梁拆除'!C:D,1,0),"")="","","✔")</f>
        <v/>
      </c>
    </row>
    <row r="439" spans="1:30" ht="21.75" customHeight="1" x14ac:dyDescent="0.25">
      <c r="A439" s="99">
        <v>45629</v>
      </c>
      <c r="B439" s="98" t="str">
        <f>IF(IFERROR(VLOOKUP(A439,'1.測量放樣'!C:D,1,0),"")="","","✔")</f>
        <v/>
      </c>
      <c r="C439" s="98" t="str">
        <f>IF(IFERROR(VLOOKUP(A439,'2.土方開挖'!C:D,1,0),"")="","","✔")</f>
        <v/>
      </c>
      <c r="D439" s="98" t="str">
        <f>IF(IFERROR(VLOOKUP(A439,'3.土方回填'!C:D,1,0),"")="","","✔")</f>
        <v/>
      </c>
      <c r="E439" s="98" t="str">
        <f>IF(IFERROR(VLOOKUP(A439,'4.鋼筋'!C:D,1,0),"")="","","✔")</f>
        <v/>
      </c>
      <c r="F439" s="98" t="str">
        <f>IF(IFERROR(VLOOKUP(A439,'5.模板'!C:D,1,0),"")="","","✔")</f>
        <v/>
      </c>
      <c r="G439" s="98" t="str">
        <f>IF(IFERROR(VLOOKUP(A439,'6.混凝土'!C:D,1,0),"")="","","✔")</f>
        <v/>
      </c>
      <c r="H439" s="98" t="str">
        <f>IF(IFERROR(VLOOKUP(A439,'7.植筋'!C:D,1,0),"")="","","✔")</f>
        <v/>
      </c>
      <c r="I439" s="98" t="str">
        <f>IF(IFERROR(VLOOKUP(A439,'8.預力混凝土基樁'!C:D,1,0),"")="","","✔")</f>
        <v/>
      </c>
      <c r="J439" s="98" t="str">
        <f>IF(IFERROR(VLOOKUP(A439,'9.砌塊石護岸'!C:D,1,0),"")="","","✔")</f>
        <v/>
      </c>
      <c r="K439" s="98" t="str">
        <f>IF(IFERROR(VLOOKUP(A439,'10.低水護岸'!C:D,1,0),"")="","","✔")</f>
        <v/>
      </c>
      <c r="L439" s="98" t="str">
        <f>IF(IFERROR(VLOOKUP(A439,'11.固床工'!C:D,1,0),"")="","","✔")</f>
        <v/>
      </c>
      <c r="M439" s="98" t="str">
        <f>IF(IFERROR(VLOOKUP(A439,'12.全套管基樁'!C:D,1,0),"")="","","✔")</f>
        <v/>
      </c>
      <c r="N439" s="98" t="str">
        <f>IF(IFERROR(VLOOKUP(A439,'13.鋼筋混凝土管工程'!C:D,1,0),"")="","","✔")</f>
        <v/>
      </c>
      <c r="O439" s="98" t="str">
        <f>IF(IFERROR(VLOOKUP(A439,'14.鋼版樁'!C:D,1,0),"")="","","✔")</f>
        <v/>
      </c>
      <c r="P439" s="98" t="str">
        <f>IF(IFERROR(VLOOKUP(A439,'15.路床 路基高程'!C:D,1,0),"")="","","✔")</f>
        <v/>
      </c>
      <c r="Q439" s="98" t="str">
        <f>IF(IFERROR(VLOOKUP(A439,'16.瀝青混凝土'!C:D,1,0),"")="","","✔")</f>
        <v/>
      </c>
      <c r="R439" s="98" t="str">
        <f>IF(IFERROR(VLOOKUP(A439,'17.景觀鋪面(一)'!C:D,1,0),"")="","","✔")</f>
        <v/>
      </c>
      <c r="S439" s="98" t="str">
        <f>IF(IFERROR(VLOOKUP(A439,'18.景觀鋪面(二)'!C:D,1,0),"")="","","✔")</f>
        <v/>
      </c>
      <c r="T439" s="98" t="str">
        <f>IF(IFERROR(VLOOKUP(A439,'19.預鑄緣石'!C:D,1,0),"")="","","✔")</f>
        <v/>
      </c>
      <c r="U439" s="98" t="str">
        <f>IF(IFERROR(VLOOKUP(A439,'20.鋼構工程吊裝'!C:D,1,0),"")="","","✔")</f>
        <v/>
      </c>
      <c r="V439" s="98" t="str">
        <f>IF(IFERROR(VLOOKUP(A439,'21.鋼構工程塗裝'!C:D,1,0),"")="","","✔")</f>
        <v/>
      </c>
      <c r="W439" s="98" t="str">
        <f>IF(IFERROR(VLOOKUP(A439,'22.排水設施(一)'!C:D,1,0),"")="","","✔")</f>
        <v/>
      </c>
      <c r="X439" s="98" t="str">
        <f>IF(IFERROR(VLOOKUP(A439,'23.排水設施(二)'!C:D,1,0),"")="","","✔")</f>
        <v/>
      </c>
      <c r="Y439" s="98" t="str">
        <f>IF(IFERROR(VLOOKUP(A439,'24.木構造'!C:D,1,0),"")="","","✔")</f>
        <v/>
      </c>
      <c r="Z439" s="98" t="str">
        <f>IF(IFERROR(VLOOKUP(A439,'25.管路'!C:D,1,0),"")="","","✔")</f>
        <v/>
      </c>
      <c r="AA439" s="98" t="str">
        <f>IF(IFERROR(VLOOKUP(A439,'26.植栽(移植)'!C:D,1,0),"")="","","✔")</f>
        <v/>
      </c>
      <c r="AB439" s="98" t="str">
        <f>IF(IFERROR(VLOOKUP(A439,'27.植栽(新植)'!C:D,1,0),"")="","","✔")</f>
        <v/>
      </c>
      <c r="AC439" s="98" t="str">
        <f>IF(IFERROR(VLOOKUP(A439,'28.照明'!C:D,1,0),"")="","","✔")</f>
        <v/>
      </c>
      <c r="AD439" s="98" t="str">
        <f>IF(IFERROR(VLOOKUP(A439,'29.既有橋梁拆除'!C:D,1,0),"")="","","✔")</f>
        <v/>
      </c>
    </row>
    <row r="440" spans="1:30" ht="21.75" customHeight="1" x14ac:dyDescent="0.25">
      <c r="A440" s="99">
        <v>45630</v>
      </c>
      <c r="B440" s="98" t="str">
        <f>IF(IFERROR(VLOOKUP(A440,'1.測量放樣'!C:D,1,0),"")="","","✔")</f>
        <v/>
      </c>
      <c r="C440" s="98" t="str">
        <f>IF(IFERROR(VLOOKUP(A440,'2.土方開挖'!C:D,1,0),"")="","","✔")</f>
        <v/>
      </c>
      <c r="D440" s="98" t="str">
        <f>IF(IFERROR(VLOOKUP(A440,'3.土方回填'!C:D,1,0),"")="","","✔")</f>
        <v/>
      </c>
      <c r="E440" s="98" t="str">
        <f>IF(IFERROR(VLOOKUP(A440,'4.鋼筋'!C:D,1,0),"")="","","✔")</f>
        <v/>
      </c>
      <c r="F440" s="98" t="str">
        <f>IF(IFERROR(VLOOKUP(A440,'5.模板'!C:D,1,0),"")="","","✔")</f>
        <v/>
      </c>
      <c r="G440" s="98" t="str">
        <f>IF(IFERROR(VLOOKUP(A440,'6.混凝土'!C:D,1,0),"")="","","✔")</f>
        <v/>
      </c>
      <c r="H440" s="98" t="str">
        <f>IF(IFERROR(VLOOKUP(A440,'7.植筋'!C:D,1,0),"")="","","✔")</f>
        <v/>
      </c>
      <c r="I440" s="98" t="str">
        <f>IF(IFERROR(VLOOKUP(A440,'8.預力混凝土基樁'!C:D,1,0),"")="","","✔")</f>
        <v/>
      </c>
      <c r="J440" s="98" t="str">
        <f>IF(IFERROR(VLOOKUP(A440,'9.砌塊石護岸'!C:D,1,0),"")="","","✔")</f>
        <v/>
      </c>
      <c r="K440" s="98" t="str">
        <f>IF(IFERROR(VLOOKUP(A440,'10.低水護岸'!C:D,1,0),"")="","","✔")</f>
        <v/>
      </c>
      <c r="L440" s="98" t="str">
        <f>IF(IFERROR(VLOOKUP(A440,'11.固床工'!C:D,1,0),"")="","","✔")</f>
        <v/>
      </c>
      <c r="M440" s="98" t="str">
        <f>IF(IFERROR(VLOOKUP(A440,'12.全套管基樁'!C:D,1,0),"")="","","✔")</f>
        <v/>
      </c>
      <c r="N440" s="98" t="str">
        <f>IF(IFERROR(VLOOKUP(A440,'13.鋼筋混凝土管工程'!C:D,1,0),"")="","","✔")</f>
        <v/>
      </c>
      <c r="O440" s="98" t="str">
        <f>IF(IFERROR(VLOOKUP(A440,'14.鋼版樁'!C:D,1,0),"")="","","✔")</f>
        <v/>
      </c>
      <c r="P440" s="98" t="str">
        <f>IF(IFERROR(VLOOKUP(A440,'15.路床 路基高程'!C:D,1,0),"")="","","✔")</f>
        <v/>
      </c>
      <c r="Q440" s="98" t="str">
        <f>IF(IFERROR(VLOOKUP(A440,'16.瀝青混凝土'!C:D,1,0),"")="","","✔")</f>
        <v/>
      </c>
      <c r="R440" s="98" t="str">
        <f>IF(IFERROR(VLOOKUP(A440,'17.景觀鋪面(一)'!C:D,1,0),"")="","","✔")</f>
        <v/>
      </c>
      <c r="S440" s="98" t="str">
        <f>IF(IFERROR(VLOOKUP(A440,'18.景觀鋪面(二)'!C:D,1,0),"")="","","✔")</f>
        <v/>
      </c>
      <c r="T440" s="98" t="str">
        <f>IF(IFERROR(VLOOKUP(A440,'19.預鑄緣石'!C:D,1,0),"")="","","✔")</f>
        <v/>
      </c>
      <c r="U440" s="98" t="str">
        <f>IF(IFERROR(VLOOKUP(A440,'20.鋼構工程吊裝'!C:D,1,0),"")="","","✔")</f>
        <v/>
      </c>
      <c r="V440" s="98" t="str">
        <f>IF(IFERROR(VLOOKUP(A440,'21.鋼構工程塗裝'!C:D,1,0),"")="","","✔")</f>
        <v/>
      </c>
      <c r="W440" s="98" t="str">
        <f>IF(IFERROR(VLOOKUP(A440,'22.排水設施(一)'!C:D,1,0),"")="","","✔")</f>
        <v/>
      </c>
      <c r="X440" s="98" t="str">
        <f>IF(IFERROR(VLOOKUP(A440,'23.排水設施(二)'!C:D,1,0),"")="","","✔")</f>
        <v/>
      </c>
      <c r="Y440" s="98" t="str">
        <f>IF(IFERROR(VLOOKUP(A440,'24.木構造'!C:D,1,0),"")="","","✔")</f>
        <v/>
      </c>
      <c r="Z440" s="98" t="str">
        <f>IF(IFERROR(VLOOKUP(A440,'25.管路'!C:D,1,0),"")="","","✔")</f>
        <v/>
      </c>
      <c r="AA440" s="98" t="str">
        <f>IF(IFERROR(VLOOKUP(A440,'26.植栽(移植)'!C:D,1,0),"")="","","✔")</f>
        <v/>
      </c>
      <c r="AB440" s="98" t="str">
        <f>IF(IFERROR(VLOOKUP(A440,'27.植栽(新植)'!C:D,1,0),"")="","","✔")</f>
        <v/>
      </c>
      <c r="AC440" s="98" t="str">
        <f>IF(IFERROR(VLOOKUP(A440,'28.照明'!C:D,1,0),"")="","","✔")</f>
        <v/>
      </c>
      <c r="AD440" s="98" t="str">
        <f>IF(IFERROR(VLOOKUP(A440,'29.既有橋梁拆除'!C:D,1,0),"")="","","✔")</f>
        <v/>
      </c>
    </row>
    <row r="441" spans="1:30" ht="21.75" customHeight="1" x14ac:dyDescent="0.25">
      <c r="A441" s="99">
        <v>45631</v>
      </c>
      <c r="B441" s="98" t="str">
        <f>IF(IFERROR(VLOOKUP(A441,'1.測量放樣'!C:D,1,0),"")="","","✔")</f>
        <v/>
      </c>
      <c r="C441" s="98" t="str">
        <f>IF(IFERROR(VLOOKUP(A441,'2.土方開挖'!C:D,1,0),"")="","","✔")</f>
        <v/>
      </c>
      <c r="D441" s="98" t="str">
        <f>IF(IFERROR(VLOOKUP(A441,'3.土方回填'!C:D,1,0),"")="","","✔")</f>
        <v/>
      </c>
      <c r="E441" s="98" t="str">
        <f>IF(IFERROR(VLOOKUP(A441,'4.鋼筋'!C:D,1,0),"")="","","✔")</f>
        <v/>
      </c>
      <c r="F441" s="98" t="str">
        <f>IF(IFERROR(VLOOKUP(A441,'5.模板'!C:D,1,0),"")="","","✔")</f>
        <v/>
      </c>
      <c r="G441" s="98" t="str">
        <f>IF(IFERROR(VLOOKUP(A441,'6.混凝土'!C:D,1,0),"")="","","✔")</f>
        <v/>
      </c>
      <c r="H441" s="98" t="str">
        <f>IF(IFERROR(VLOOKUP(A441,'7.植筋'!C:D,1,0),"")="","","✔")</f>
        <v/>
      </c>
      <c r="I441" s="98" t="str">
        <f>IF(IFERROR(VLOOKUP(A441,'8.預力混凝土基樁'!C:D,1,0),"")="","","✔")</f>
        <v/>
      </c>
      <c r="J441" s="98" t="str">
        <f>IF(IFERROR(VLOOKUP(A441,'9.砌塊石護岸'!C:D,1,0),"")="","","✔")</f>
        <v/>
      </c>
      <c r="K441" s="98" t="str">
        <f>IF(IFERROR(VLOOKUP(A441,'10.低水護岸'!C:D,1,0),"")="","","✔")</f>
        <v/>
      </c>
      <c r="L441" s="98" t="str">
        <f>IF(IFERROR(VLOOKUP(A441,'11.固床工'!C:D,1,0),"")="","","✔")</f>
        <v/>
      </c>
      <c r="M441" s="98" t="str">
        <f>IF(IFERROR(VLOOKUP(A441,'12.全套管基樁'!C:D,1,0),"")="","","✔")</f>
        <v/>
      </c>
      <c r="N441" s="98" t="str">
        <f>IF(IFERROR(VLOOKUP(A441,'13.鋼筋混凝土管工程'!C:D,1,0),"")="","","✔")</f>
        <v/>
      </c>
      <c r="O441" s="98" t="str">
        <f>IF(IFERROR(VLOOKUP(A441,'14.鋼版樁'!C:D,1,0),"")="","","✔")</f>
        <v/>
      </c>
      <c r="P441" s="98" t="str">
        <f>IF(IFERROR(VLOOKUP(A441,'15.路床 路基高程'!C:D,1,0),"")="","","✔")</f>
        <v/>
      </c>
      <c r="Q441" s="98" t="str">
        <f>IF(IFERROR(VLOOKUP(A441,'16.瀝青混凝土'!C:D,1,0),"")="","","✔")</f>
        <v/>
      </c>
      <c r="R441" s="98" t="str">
        <f>IF(IFERROR(VLOOKUP(A441,'17.景觀鋪面(一)'!C:D,1,0),"")="","","✔")</f>
        <v/>
      </c>
      <c r="S441" s="98" t="str">
        <f>IF(IFERROR(VLOOKUP(A441,'18.景觀鋪面(二)'!C:D,1,0),"")="","","✔")</f>
        <v/>
      </c>
      <c r="T441" s="98" t="str">
        <f>IF(IFERROR(VLOOKUP(A441,'19.預鑄緣石'!C:D,1,0),"")="","","✔")</f>
        <v/>
      </c>
      <c r="U441" s="98" t="str">
        <f>IF(IFERROR(VLOOKUP(A441,'20.鋼構工程吊裝'!C:D,1,0),"")="","","✔")</f>
        <v/>
      </c>
      <c r="V441" s="98" t="str">
        <f>IF(IFERROR(VLOOKUP(A441,'21.鋼構工程塗裝'!C:D,1,0),"")="","","✔")</f>
        <v/>
      </c>
      <c r="W441" s="98" t="str">
        <f>IF(IFERROR(VLOOKUP(A441,'22.排水設施(一)'!C:D,1,0),"")="","","✔")</f>
        <v/>
      </c>
      <c r="X441" s="98" t="str">
        <f>IF(IFERROR(VLOOKUP(A441,'23.排水設施(二)'!C:D,1,0),"")="","","✔")</f>
        <v/>
      </c>
      <c r="Y441" s="98" t="str">
        <f>IF(IFERROR(VLOOKUP(A441,'24.木構造'!C:D,1,0),"")="","","✔")</f>
        <v/>
      </c>
      <c r="Z441" s="98" t="str">
        <f>IF(IFERROR(VLOOKUP(A441,'25.管路'!C:D,1,0),"")="","","✔")</f>
        <v/>
      </c>
      <c r="AA441" s="98" t="str">
        <f>IF(IFERROR(VLOOKUP(A441,'26.植栽(移植)'!C:D,1,0),"")="","","✔")</f>
        <v/>
      </c>
      <c r="AB441" s="98" t="str">
        <f>IF(IFERROR(VLOOKUP(A441,'27.植栽(新植)'!C:D,1,0),"")="","","✔")</f>
        <v/>
      </c>
      <c r="AC441" s="98" t="str">
        <f>IF(IFERROR(VLOOKUP(A441,'28.照明'!C:D,1,0),"")="","","✔")</f>
        <v/>
      </c>
      <c r="AD441" s="98" t="str">
        <f>IF(IFERROR(VLOOKUP(A441,'29.既有橋梁拆除'!C:D,1,0),"")="","","✔")</f>
        <v/>
      </c>
    </row>
    <row r="442" spans="1:30" ht="21.75" customHeight="1" x14ac:dyDescent="0.25">
      <c r="A442" s="99">
        <v>45632</v>
      </c>
      <c r="B442" s="98" t="str">
        <f>IF(IFERROR(VLOOKUP(A442,'1.測量放樣'!C:D,1,0),"")="","","✔")</f>
        <v/>
      </c>
      <c r="C442" s="98" t="str">
        <f>IF(IFERROR(VLOOKUP(A442,'2.土方開挖'!C:D,1,0),"")="","","✔")</f>
        <v/>
      </c>
      <c r="D442" s="98" t="str">
        <f>IF(IFERROR(VLOOKUP(A442,'3.土方回填'!C:D,1,0),"")="","","✔")</f>
        <v/>
      </c>
      <c r="E442" s="98" t="str">
        <f>IF(IFERROR(VLOOKUP(A442,'4.鋼筋'!C:D,1,0),"")="","","✔")</f>
        <v/>
      </c>
      <c r="F442" s="98" t="str">
        <f>IF(IFERROR(VLOOKUP(A442,'5.模板'!C:D,1,0),"")="","","✔")</f>
        <v/>
      </c>
      <c r="G442" s="98" t="str">
        <f>IF(IFERROR(VLOOKUP(A442,'6.混凝土'!C:D,1,0),"")="","","✔")</f>
        <v/>
      </c>
      <c r="H442" s="98" t="str">
        <f>IF(IFERROR(VLOOKUP(A442,'7.植筋'!C:D,1,0),"")="","","✔")</f>
        <v/>
      </c>
      <c r="I442" s="98" t="str">
        <f>IF(IFERROR(VLOOKUP(A442,'8.預力混凝土基樁'!C:D,1,0),"")="","","✔")</f>
        <v/>
      </c>
      <c r="J442" s="98" t="str">
        <f>IF(IFERROR(VLOOKUP(A442,'9.砌塊石護岸'!C:D,1,0),"")="","","✔")</f>
        <v/>
      </c>
      <c r="K442" s="98" t="str">
        <f>IF(IFERROR(VLOOKUP(A442,'10.低水護岸'!C:D,1,0),"")="","","✔")</f>
        <v/>
      </c>
      <c r="L442" s="98" t="str">
        <f>IF(IFERROR(VLOOKUP(A442,'11.固床工'!C:D,1,0),"")="","","✔")</f>
        <v/>
      </c>
      <c r="M442" s="98" t="str">
        <f>IF(IFERROR(VLOOKUP(A442,'12.全套管基樁'!C:D,1,0),"")="","","✔")</f>
        <v/>
      </c>
      <c r="N442" s="98" t="str">
        <f>IF(IFERROR(VLOOKUP(A442,'13.鋼筋混凝土管工程'!C:D,1,0),"")="","","✔")</f>
        <v/>
      </c>
      <c r="O442" s="98" t="str">
        <f>IF(IFERROR(VLOOKUP(A442,'14.鋼版樁'!C:D,1,0),"")="","","✔")</f>
        <v/>
      </c>
      <c r="P442" s="98" t="str">
        <f>IF(IFERROR(VLOOKUP(A442,'15.路床 路基高程'!C:D,1,0),"")="","","✔")</f>
        <v/>
      </c>
      <c r="Q442" s="98" t="str">
        <f>IF(IFERROR(VLOOKUP(A442,'16.瀝青混凝土'!C:D,1,0),"")="","","✔")</f>
        <v/>
      </c>
      <c r="R442" s="98" t="str">
        <f>IF(IFERROR(VLOOKUP(A442,'17.景觀鋪面(一)'!C:D,1,0),"")="","","✔")</f>
        <v/>
      </c>
      <c r="S442" s="98" t="str">
        <f>IF(IFERROR(VLOOKUP(A442,'18.景觀鋪面(二)'!C:D,1,0),"")="","","✔")</f>
        <v/>
      </c>
      <c r="T442" s="98" t="str">
        <f>IF(IFERROR(VLOOKUP(A442,'19.預鑄緣石'!C:D,1,0),"")="","","✔")</f>
        <v/>
      </c>
      <c r="U442" s="98" t="str">
        <f>IF(IFERROR(VLOOKUP(A442,'20.鋼構工程吊裝'!C:D,1,0),"")="","","✔")</f>
        <v/>
      </c>
      <c r="V442" s="98" t="str">
        <f>IF(IFERROR(VLOOKUP(A442,'21.鋼構工程塗裝'!C:D,1,0),"")="","","✔")</f>
        <v/>
      </c>
      <c r="W442" s="98" t="str">
        <f>IF(IFERROR(VLOOKUP(A442,'22.排水設施(一)'!C:D,1,0),"")="","","✔")</f>
        <v/>
      </c>
      <c r="X442" s="98" t="str">
        <f>IF(IFERROR(VLOOKUP(A442,'23.排水設施(二)'!C:D,1,0),"")="","","✔")</f>
        <v/>
      </c>
      <c r="Y442" s="98" t="str">
        <f>IF(IFERROR(VLOOKUP(A442,'24.木構造'!C:D,1,0),"")="","","✔")</f>
        <v/>
      </c>
      <c r="Z442" s="98" t="str">
        <f>IF(IFERROR(VLOOKUP(A442,'25.管路'!C:D,1,0),"")="","","✔")</f>
        <v/>
      </c>
      <c r="AA442" s="98" t="str">
        <f>IF(IFERROR(VLOOKUP(A442,'26.植栽(移植)'!C:D,1,0),"")="","","✔")</f>
        <v/>
      </c>
      <c r="AB442" s="98" t="str">
        <f>IF(IFERROR(VLOOKUP(A442,'27.植栽(新植)'!C:D,1,0),"")="","","✔")</f>
        <v/>
      </c>
      <c r="AC442" s="98" t="str">
        <f>IF(IFERROR(VLOOKUP(A442,'28.照明'!C:D,1,0),"")="","","✔")</f>
        <v/>
      </c>
      <c r="AD442" s="98" t="str">
        <f>IF(IFERROR(VLOOKUP(A442,'29.既有橋梁拆除'!C:D,1,0),"")="","","✔")</f>
        <v/>
      </c>
    </row>
    <row r="443" spans="1:30" ht="21.75" customHeight="1" x14ac:dyDescent="0.25">
      <c r="A443" s="99">
        <v>45633</v>
      </c>
      <c r="B443" s="98" t="str">
        <f>IF(IFERROR(VLOOKUP(A443,'1.測量放樣'!C:D,1,0),"")="","","✔")</f>
        <v/>
      </c>
      <c r="C443" s="98" t="str">
        <f>IF(IFERROR(VLOOKUP(A443,'2.土方開挖'!C:D,1,0),"")="","","✔")</f>
        <v/>
      </c>
      <c r="D443" s="98" t="str">
        <f>IF(IFERROR(VLOOKUP(A443,'3.土方回填'!C:D,1,0),"")="","","✔")</f>
        <v/>
      </c>
      <c r="E443" s="98" t="str">
        <f>IF(IFERROR(VLOOKUP(A443,'4.鋼筋'!C:D,1,0),"")="","","✔")</f>
        <v/>
      </c>
      <c r="F443" s="98" t="str">
        <f>IF(IFERROR(VLOOKUP(A443,'5.模板'!C:D,1,0),"")="","","✔")</f>
        <v/>
      </c>
      <c r="G443" s="98" t="str">
        <f>IF(IFERROR(VLOOKUP(A443,'6.混凝土'!C:D,1,0),"")="","","✔")</f>
        <v/>
      </c>
      <c r="H443" s="98" t="str">
        <f>IF(IFERROR(VLOOKUP(A443,'7.植筋'!C:D,1,0),"")="","","✔")</f>
        <v/>
      </c>
      <c r="I443" s="98" t="str">
        <f>IF(IFERROR(VLOOKUP(A443,'8.預力混凝土基樁'!C:D,1,0),"")="","","✔")</f>
        <v/>
      </c>
      <c r="J443" s="98" t="str">
        <f>IF(IFERROR(VLOOKUP(A443,'9.砌塊石護岸'!C:D,1,0),"")="","","✔")</f>
        <v/>
      </c>
      <c r="K443" s="98" t="str">
        <f>IF(IFERROR(VLOOKUP(A443,'10.低水護岸'!C:D,1,0),"")="","","✔")</f>
        <v/>
      </c>
      <c r="L443" s="98" t="str">
        <f>IF(IFERROR(VLOOKUP(A443,'11.固床工'!C:D,1,0),"")="","","✔")</f>
        <v/>
      </c>
      <c r="M443" s="98" t="str">
        <f>IF(IFERROR(VLOOKUP(A443,'12.全套管基樁'!C:D,1,0),"")="","","✔")</f>
        <v/>
      </c>
      <c r="N443" s="98" t="str">
        <f>IF(IFERROR(VLOOKUP(A443,'13.鋼筋混凝土管工程'!C:D,1,0),"")="","","✔")</f>
        <v/>
      </c>
      <c r="O443" s="98" t="str">
        <f>IF(IFERROR(VLOOKUP(A443,'14.鋼版樁'!C:D,1,0),"")="","","✔")</f>
        <v/>
      </c>
      <c r="P443" s="98" t="str">
        <f>IF(IFERROR(VLOOKUP(A443,'15.路床 路基高程'!C:D,1,0),"")="","","✔")</f>
        <v/>
      </c>
      <c r="Q443" s="98" t="str">
        <f>IF(IFERROR(VLOOKUP(A443,'16.瀝青混凝土'!C:D,1,0),"")="","","✔")</f>
        <v/>
      </c>
      <c r="R443" s="98" t="str">
        <f>IF(IFERROR(VLOOKUP(A443,'17.景觀鋪面(一)'!C:D,1,0),"")="","","✔")</f>
        <v/>
      </c>
      <c r="S443" s="98" t="str">
        <f>IF(IFERROR(VLOOKUP(A443,'18.景觀鋪面(二)'!C:D,1,0),"")="","","✔")</f>
        <v/>
      </c>
      <c r="T443" s="98" t="str">
        <f>IF(IFERROR(VLOOKUP(A443,'19.預鑄緣石'!C:D,1,0),"")="","","✔")</f>
        <v/>
      </c>
      <c r="U443" s="98" t="str">
        <f>IF(IFERROR(VLOOKUP(A443,'20.鋼構工程吊裝'!C:D,1,0),"")="","","✔")</f>
        <v/>
      </c>
      <c r="V443" s="98" t="str">
        <f>IF(IFERROR(VLOOKUP(A443,'21.鋼構工程塗裝'!C:D,1,0),"")="","","✔")</f>
        <v/>
      </c>
      <c r="W443" s="98" t="str">
        <f>IF(IFERROR(VLOOKUP(A443,'22.排水設施(一)'!C:D,1,0),"")="","","✔")</f>
        <v/>
      </c>
      <c r="X443" s="98" t="str">
        <f>IF(IFERROR(VLOOKUP(A443,'23.排水設施(二)'!C:D,1,0),"")="","","✔")</f>
        <v/>
      </c>
      <c r="Y443" s="98" t="str">
        <f>IF(IFERROR(VLOOKUP(A443,'24.木構造'!C:D,1,0),"")="","","✔")</f>
        <v/>
      </c>
      <c r="Z443" s="98" t="str">
        <f>IF(IFERROR(VLOOKUP(A443,'25.管路'!C:D,1,0),"")="","","✔")</f>
        <v/>
      </c>
      <c r="AA443" s="98" t="str">
        <f>IF(IFERROR(VLOOKUP(A443,'26.植栽(移植)'!C:D,1,0),"")="","","✔")</f>
        <v/>
      </c>
      <c r="AB443" s="98" t="str">
        <f>IF(IFERROR(VLOOKUP(A443,'27.植栽(新植)'!C:D,1,0),"")="","","✔")</f>
        <v/>
      </c>
      <c r="AC443" s="98" t="str">
        <f>IF(IFERROR(VLOOKUP(A443,'28.照明'!C:D,1,0),"")="","","✔")</f>
        <v/>
      </c>
      <c r="AD443" s="98" t="str">
        <f>IF(IFERROR(VLOOKUP(A443,'29.既有橋梁拆除'!C:D,1,0),"")="","","✔")</f>
        <v/>
      </c>
    </row>
    <row r="444" spans="1:30" ht="21.75" customHeight="1" x14ac:dyDescent="0.25">
      <c r="A444" s="99">
        <v>45634</v>
      </c>
      <c r="B444" s="98" t="str">
        <f>IF(IFERROR(VLOOKUP(A444,'1.測量放樣'!C:D,1,0),"")="","","✔")</f>
        <v/>
      </c>
      <c r="C444" s="98" t="str">
        <f>IF(IFERROR(VLOOKUP(A444,'2.土方開挖'!C:D,1,0),"")="","","✔")</f>
        <v/>
      </c>
      <c r="D444" s="98" t="str">
        <f>IF(IFERROR(VLOOKUP(A444,'3.土方回填'!C:D,1,0),"")="","","✔")</f>
        <v/>
      </c>
      <c r="E444" s="98" t="str">
        <f>IF(IFERROR(VLOOKUP(A444,'4.鋼筋'!C:D,1,0),"")="","","✔")</f>
        <v/>
      </c>
      <c r="F444" s="98" t="str">
        <f>IF(IFERROR(VLOOKUP(A444,'5.模板'!C:D,1,0),"")="","","✔")</f>
        <v/>
      </c>
      <c r="G444" s="98" t="str">
        <f>IF(IFERROR(VLOOKUP(A444,'6.混凝土'!C:D,1,0),"")="","","✔")</f>
        <v/>
      </c>
      <c r="H444" s="98" t="str">
        <f>IF(IFERROR(VLOOKUP(A444,'7.植筋'!C:D,1,0),"")="","","✔")</f>
        <v/>
      </c>
      <c r="I444" s="98" t="str">
        <f>IF(IFERROR(VLOOKUP(A444,'8.預力混凝土基樁'!C:D,1,0),"")="","","✔")</f>
        <v/>
      </c>
      <c r="J444" s="98" t="str">
        <f>IF(IFERROR(VLOOKUP(A444,'9.砌塊石護岸'!C:D,1,0),"")="","","✔")</f>
        <v/>
      </c>
      <c r="K444" s="98" t="str">
        <f>IF(IFERROR(VLOOKUP(A444,'10.低水護岸'!C:D,1,0),"")="","","✔")</f>
        <v/>
      </c>
      <c r="L444" s="98" t="str">
        <f>IF(IFERROR(VLOOKUP(A444,'11.固床工'!C:D,1,0),"")="","","✔")</f>
        <v/>
      </c>
      <c r="M444" s="98" t="str">
        <f>IF(IFERROR(VLOOKUP(A444,'12.全套管基樁'!C:D,1,0),"")="","","✔")</f>
        <v/>
      </c>
      <c r="N444" s="98" t="str">
        <f>IF(IFERROR(VLOOKUP(A444,'13.鋼筋混凝土管工程'!C:D,1,0),"")="","","✔")</f>
        <v/>
      </c>
      <c r="O444" s="98" t="str">
        <f>IF(IFERROR(VLOOKUP(A444,'14.鋼版樁'!C:D,1,0),"")="","","✔")</f>
        <v/>
      </c>
      <c r="P444" s="98" t="str">
        <f>IF(IFERROR(VLOOKUP(A444,'15.路床 路基高程'!C:D,1,0),"")="","","✔")</f>
        <v/>
      </c>
      <c r="Q444" s="98" t="str">
        <f>IF(IFERROR(VLOOKUP(A444,'16.瀝青混凝土'!C:D,1,0),"")="","","✔")</f>
        <v/>
      </c>
      <c r="R444" s="98" t="str">
        <f>IF(IFERROR(VLOOKUP(A444,'17.景觀鋪面(一)'!C:D,1,0),"")="","","✔")</f>
        <v/>
      </c>
      <c r="S444" s="98" t="str">
        <f>IF(IFERROR(VLOOKUP(A444,'18.景觀鋪面(二)'!C:D,1,0),"")="","","✔")</f>
        <v/>
      </c>
      <c r="T444" s="98" t="str">
        <f>IF(IFERROR(VLOOKUP(A444,'19.預鑄緣石'!C:D,1,0),"")="","","✔")</f>
        <v/>
      </c>
      <c r="U444" s="98" t="str">
        <f>IF(IFERROR(VLOOKUP(A444,'20.鋼構工程吊裝'!C:D,1,0),"")="","","✔")</f>
        <v/>
      </c>
      <c r="V444" s="98" t="str">
        <f>IF(IFERROR(VLOOKUP(A444,'21.鋼構工程塗裝'!C:D,1,0),"")="","","✔")</f>
        <v/>
      </c>
      <c r="W444" s="98" t="str">
        <f>IF(IFERROR(VLOOKUP(A444,'22.排水設施(一)'!C:D,1,0),"")="","","✔")</f>
        <v/>
      </c>
      <c r="X444" s="98" t="str">
        <f>IF(IFERROR(VLOOKUP(A444,'23.排水設施(二)'!C:D,1,0),"")="","","✔")</f>
        <v/>
      </c>
      <c r="Y444" s="98" t="str">
        <f>IF(IFERROR(VLOOKUP(A444,'24.木構造'!C:D,1,0),"")="","","✔")</f>
        <v/>
      </c>
      <c r="Z444" s="98" t="str">
        <f>IF(IFERROR(VLOOKUP(A444,'25.管路'!C:D,1,0),"")="","","✔")</f>
        <v/>
      </c>
      <c r="AA444" s="98" t="str">
        <f>IF(IFERROR(VLOOKUP(A444,'26.植栽(移植)'!C:D,1,0),"")="","","✔")</f>
        <v/>
      </c>
      <c r="AB444" s="98" t="str">
        <f>IF(IFERROR(VLOOKUP(A444,'27.植栽(新植)'!C:D,1,0),"")="","","✔")</f>
        <v/>
      </c>
      <c r="AC444" s="98" t="str">
        <f>IF(IFERROR(VLOOKUP(A444,'28.照明'!C:D,1,0),"")="","","✔")</f>
        <v/>
      </c>
      <c r="AD444" s="98" t="str">
        <f>IF(IFERROR(VLOOKUP(A444,'29.既有橋梁拆除'!C:D,1,0),"")="","","✔")</f>
        <v/>
      </c>
    </row>
    <row r="445" spans="1:30" ht="21.75" customHeight="1" x14ac:dyDescent="0.25">
      <c r="A445" s="99">
        <v>45635</v>
      </c>
      <c r="B445" s="98" t="str">
        <f>IF(IFERROR(VLOOKUP(A445,'1.測量放樣'!C:D,1,0),"")="","","✔")</f>
        <v/>
      </c>
      <c r="C445" s="98" t="str">
        <f>IF(IFERROR(VLOOKUP(A445,'2.土方開挖'!C:D,1,0),"")="","","✔")</f>
        <v/>
      </c>
      <c r="D445" s="98" t="str">
        <f>IF(IFERROR(VLOOKUP(A445,'3.土方回填'!C:D,1,0),"")="","","✔")</f>
        <v/>
      </c>
      <c r="E445" s="98" t="str">
        <f>IF(IFERROR(VLOOKUP(A445,'4.鋼筋'!C:D,1,0),"")="","","✔")</f>
        <v/>
      </c>
      <c r="F445" s="98" t="str">
        <f>IF(IFERROR(VLOOKUP(A445,'5.模板'!C:D,1,0),"")="","","✔")</f>
        <v/>
      </c>
      <c r="G445" s="98" t="str">
        <f>IF(IFERROR(VLOOKUP(A445,'6.混凝土'!C:D,1,0),"")="","","✔")</f>
        <v/>
      </c>
      <c r="H445" s="98" t="str">
        <f>IF(IFERROR(VLOOKUP(A445,'7.植筋'!C:D,1,0),"")="","","✔")</f>
        <v/>
      </c>
      <c r="I445" s="98" t="str">
        <f>IF(IFERROR(VLOOKUP(A445,'8.預力混凝土基樁'!C:D,1,0),"")="","","✔")</f>
        <v/>
      </c>
      <c r="J445" s="98" t="str">
        <f>IF(IFERROR(VLOOKUP(A445,'9.砌塊石護岸'!C:D,1,0),"")="","","✔")</f>
        <v/>
      </c>
      <c r="K445" s="98" t="str">
        <f>IF(IFERROR(VLOOKUP(A445,'10.低水護岸'!C:D,1,0),"")="","","✔")</f>
        <v/>
      </c>
      <c r="L445" s="98" t="str">
        <f>IF(IFERROR(VLOOKUP(A445,'11.固床工'!C:D,1,0),"")="","","✔")</f>
        <v/>
      </c>
      <c r="M445" s="98" t="str">
        <f>IF(IFERROR(VLOOKUP(A445,'12.全套管基樁'!C:D,1,0),"")="","","✔")</f>
        <v/>
      </c>
      <c r="N445" s="98" t="str">
        <f>IF(IFERROR(VLOOKUP(A445,'13.鋼筋混凝土管工程'!C:D,1,0),"")="","","✔")</f>
        <v/>
      </c>
      <c r="O445" s="98" t="str">
        <f>IF(IFERROR(VLOOKUP(A445,'14.鋼版樁'!C:D,1,0),"")="","","✔")</f>
        <v/>
      </c>
      <c r="P445" s="98" t="str">
        <f>IF(IFERROR(VLOOKUP(A445,'15.路床 路基高程'!C:D,1,0),"")="","","✔")</f>
        <v/>
      </c>
      <c r="Q445" s="98" t="str">
        <f>IF(IFERROR(VLOOKUP(A445,'16.瀝青混凝土'!C:D,1,0),"")="","","✔")</f>
        <v/>
      </c>
      <c r="R445" s="98" t="str">
        <f>IF(IFERROR(VLOOKUP(A445,'17.景觀鋪面(一)'!C:D,1,0),"")="","","✔")</f>
        <v/>
      </c>
      <c r="S445" s="98" t="str">
        <f>IF(IFERROR(VLOOKUP(A445,'18.景觀鋪面(二)'!C:D,1,0),"")="","","✔")</f>
        <v/>
      </c>
      <c r="T445" s="98" t="str">
        <f>IF(IFERROR(VLOOKUP(A445,'19.預鑄緣石'!C:D,1,0),"")="","","✔")</f>
        <v/>
      </c>
      <c r="U445" s="98" t="str">
        <f>IF(IFERROR(VLOOKUP(A445,'20.鋼構工程吊裝'!C:D,1,0),"")="","","✔")</f>
        <v/>
      </c>
      <c r="V445" s="98" t="str">
        <f>IF(IFERROR(VLOOKUP(A445,'21.鋼構工程塗裝'!C:D,1,0),"")="","","✔")</f>
        <v/>
      </c>
      <c r="W445" s="98" t="str">
        <f>IF(IFERROR(VLOOKUP(A445,'22.排水設施(一)'!C:D,1,0),"")="","","✔")</f>
        <v/>
      </c>
      <c r="X445" s="98" t="str">
        <f>IF(IFERROR(VLOOKUP(A445,'23.排水設施(二)'!C:D,1,0),"")="","","✔")</f>
        <v/>
      </c>
      <c r="Y445" s="98" t="str">
        <f>IF(IFERROR(VLOOKUP(A445,'24.木構造'!C:D,1,0),"")="","","✔")</f>
        <v/>
      </c>
      <c r="Z445" s="98" t="str">
        <f>IF(IFERROR(VLOOKUP(A445,'25.管路'!C:D,1,0),"")="","","✔")</f>
        <v/>
      </c>
      <c r="AA445" s="98" t="str">
        <f>IF(IFERROR(VLOOKUP(A445,'26.植栽(移植)'!C:D,1,0),"")="","","✔")</f>
        <v/>
      </c>
      <c r="AB445" s="98" t="str">
        <f>IF(IFERROR(VLOOKUP(A445,'27.植栽(新植)'!C:D,1,0),"")="","","✔")</f>
        <v/>
      </c>
      <c r="AC445" s="98" t="str">
        <f>IF(IFERROR(VLOOKUP(A445,'28.照明'!C:D,1,0),"")="","","✔")</f>
        <v/>
      </c>
      <c r="AD445" s="98" t="str">
        <f>IF(IFERROR(VLOOKUP(A445,'29.既有橋梁拆除'!C:D,1,0),"")="","","✔")</f>
        <v/>
      </c>
    </row>
    <row r="446" spans="1:30" ht="21.75" customHeight="1" x14ac:dyDescent="0.25">
      <c r="A446" s="99">
        <v>45636</v>
      </c>
      <c r="B446" s="98" t="str">
        <f>IF(IFERROR(VLOOKUP(A446,'1.測量放樣'!C:D,1,0),"")="","","✔")</f>
        <v/>
      </c>
      <c r="C446" s="98" t="str">
        <f>IF(IFERROR(VLOOKUP(A446,'2.土方開挖'!C:D,1,0),"")="","","✔")</f>
        <v/>
      </c>
      <c r="D446" s="98" t="str">
        <f>IF(IFERROR(VLOOKUP(A446,'3.土方回填'!C:D,1,0),"")="","","✔")</f>
        <v/>
      </c>
      <c r="E446" s="98" t="str">
        <f>IF(IFERROR(VLOOKUP(A446,'4.鋼筋'!C:D,1,0),"")="","","✔")</f>
        <v/>
      </c>
      <c r="F446" s="98" t="str">
        <f>IF(IFERROR(VLOOKUP(A446,'5.模板'!C:D,1,0),"")="","","✔")</f>
        <v/>
      </c>
      <c r="G446" s="98" t="str">
        <f>IF(IFERROR(VLOOKUP(A446,'6.混凝土'!C:D,1,0),"")="","","✔")</f>
        <v/>
      </c>
      <c r="H446" s="98" t="str">
        <f>IF(IFERROR(VLOOKUP(A446,'7.植筋'!C:D,1,0),"")="","","✔")</f>
        <v/>
      </c>
      <c r="I446" s="98" t="str">
        <f>IF(IFERROR(VLOOKUP(A446,'8.預力混凝土基樁'!C:D,1,0),"")="","","✔")</f>
        <v/>
      </c>
      <c r="J446" s="98" t="str">
        <f>IF(IFERROR(VLOOKUP(A446,'9.砌塊石護岸'!C:D,1,0),"")="","","✔")</f>
        <v/>
      </c>
      <c r="K446" s="98" t="str">
        <f>IF(IFERROR(VLOOKUP(A446,'10.低水護岸'!C:D,1,0),"")="","","✔")</f>
        <v/>
      </c>
      <c r="L446" s="98" t="str">
        <f>IF(IFERROR(VLOOKUP(A446,'11.固床工'!C:D,1,0),"")="","","✔")</f>
        <v/>
      </c>
      <c r="M446" s="98" t="str">
        <f>IF(IFERROR(VLOOKUP(A446,'12.全套管基樁'!C:D,1,0),"")="","","✔")</f>
        <v/>
      </c>
      <c r="N446" s="98" t="str">
        <f>IF(IFERROR(VLOOKUP(A446,'13.鋼筋混凝土管工程'!C:D,1,0),"")="","","✔")</f>
        <v/>
      </c>
      <c r="O446" s="98" t="str">
        <f>IF(IFERROR(VLOOKUP(A446,'14.鋼版樁'!C:D,1,0),"")="","","✔")</f>
        <v/>
      </c>
      <c r="P446" s="98" t="str">
        <f>IF(IFERROR(VLOOKUP(A446,'15.路床 路基高程'!C:D,1,0),"")="","","✔")</f>
        <v/>
      </c>
      <c r="Q446" s="98" t="str">
        <f>IF(IFERROR(VLOOKUP(A446,'16.瀝青混凝土'!C:D,1,0),"")="","","✔")</f>
        <v/>
      </c>
      <c r="R446" s="98" t="str">
        <f>IF(IFERROR(VLOOKUP(A446,'17.景觀鋪面(一)'!C:D,1,0),"")="","","✔")</f>
        <v/>
      </c>
      <c r="S446" s="98" t="str">
        <f>IF(IFERROR(VLOOKUP(A446,'18.景觀鋪面(二)'!C:D,1,0),"")="","","✔")</f>
        <v/>
      </c>
      <c r="T446" s="98" t="str">
        <f>IF(IFERROR(VLOOKUP(A446,'19.預鑄緣石'!C:D,1,0),"")="","","✔")</f>
        <v/>
      </c>
      <c r="U446" s="98" t="str">
        <f>IF(IFERROR(VLOOKUP(A446,'20.鋼構工程吊裝'!C:D,1,0),"")="","","✔")</f>
        <v/>
      </c>
      <c r="V446" s="98" t="str">
        <f>IF(IFERROR(VLOOKUP(A446,'21.鋼構工程塗裝'!C:D,1,0),"")="","","✔")</f>
        <v/>
      </c>
      <c r="W446" s="98" t="str">
        <f>IF(IFERROR(VLOOKUP(A446,'22.排水設施(一)'!C:D,1,0),"")="","","✔")</f>
        <v/>
      </c>
      <c r="X446" s="98" t="str">
        <f>IF(IFERROR(VLOOKUP(A446,'23.排水設施(二)'!C:D,1,0),"")="","","✔")</f>
        <v/>
      </c>
      <c r="Y446" s="98" t="str">
        <f>IF(IFERROR(VLOOKUP(A446,'24.木構造'!C:D,1,0),"")="","","✔")</f>
        <v/>
      </c>
      <c r="Z446" s="98" t="str">
        <f>IF(IFERROR(VLOOKUP(A446,'25.管路'!C:D,1,0),"")="","","✔")</f>
        <v/>
      </c>
      <c r="AA446" s="98" t="str">
        <f>IF(IFERROR(VLOOKUP(A446,'26.植栽(移植)'!C:D,1,0),"")="","","✔")</f>
        <v/>
      </c>
      <c r="AB446" s="98" t="str">
        <f>IF(IFERROR(VLOOKUP(A446,'27.植栽(新植)'!C:D,1,0),"")="","","✔")</f>
        <v/>
      </c>
      <c r="AC446" s="98" t="str">
        <f>IF(IFERROR(VLOOKUP(A446,'28.照明'!C:D,1,0),"")="","","✔")</f>
        <v/>
      </c>
      <c r="AD446" s="98" t="str">
        <f>IF(IFERROR(VLOOKUP(A446,'29.既有橋梁拆除'!C:D,1,0),"")="","","✔")</f>
        <v/>
      </c>
    </row>
    <row r="447" spans="1:30" ht="21.75" customHeight="1" x14ac:dyDescent="0.25">
      <c r="A447" s="99">
        <v>45637</v>
      </c>
      <c r="B447" s="98" t="str">
        <f>IF(IFERROR(VLOOKUP(A447,'1.測量放樣'!C:D,1,0),"")="","","✔")</f>
        <v/>
      </c>
      <c r="C447" s="98" t="str">
        <f>IF(IFERROR(VLOOKUP(A447,'2.土方開挖'!C:D,1,0),"")="","","✔")</f>
        <v/>
      </c>
      <c r="D447" s="98" t="str">
        <f>IF(IFERROR(VLOOKUP(A447,'3.土方回填'!C:D,1,0),"")="","","✔")</f>
        <v/>
      </c>
      <c r="E447" s="98" t="str">
        <f>IF(IFERROR(VLOOKUP(A447,'4.鋼筋'!C:D,1,0),"")="","","✔")</f>
        <v/>
      </c>
      <c r="F447" s="98" t="str">
        <f>IF(IFERROR(VLOOKUP(A447,'5.模板'!C:D,1,0),"")="","","✔")</f>
        <v/>
      </c>
      <c r="G447" s="98" t="str">
        <f>IF(IFERROR(VLOOKUP(A447,'6.混凝土'!C:D,1,0),"")="","","✔")</f>
        <v/>
      </c>
      <c r="H447" s="98" t="str">
        <f>IF(IFERROR(VLOOKUP(A447,'7.植筋'!C:D,1,0),"")="","","✔")</f>
        <v/>
      </c>
      <c r="I447" s="98" t="str">
        <f>IF(IFERROR(VLOOKUP(A447,'8.預力混凝土基樁'!C:D,1,0),"")="","","✔")</f>
        <v/>
      </c>
      <c r="J447" s="98" t="str">
        <f>IF(IFERROR(VLOOKUP(A447,'9.砌塊石護岸'!C:D,1,0),"")="","","✔")</f>
        <v/>
      </c>
      <c r="K447" s="98" t="str">
        <f>IF(IFERROR(VLOOKUP(A447,'10.低水護岸'!C:D,1,0),"")="","","✔")</f>
        <v/>
      </c>
      <c r="L447" s="98" t="str">
        <f>IF(IFERROR(VLOOKUP(A447,'11.固床工'!C:D,1,0),"")="","","✔")</f>
        <v/>
      </c>
      <c r="M447" s="98" t="str">
        <f>IF(IFERROR(VLOOKUP(A447,'12.全套管基樁'!C:D,1,0),"")="","","✔")</f>
        <v/>
      </c>
      <c r="N447" s="98" t="str">
        <f>IF(IFERROR(VLOOKUP(A447,'13.鋼筋混凝土管工程'!C:D,1,0),"")="","","✔")</f>
        <v/>
      </c>
      <c r="O447" s="98" t="str">
        <f>IF(IFERROR(VLOOKUP(A447,'14.鋼版樁'!C:D,1,0),"")="","","✔")</f>
        <v/>
      </c>
      <c r="P447" s="98" t="str">
        <f>IF(IFERROR(VLOOKUP(A447,'15.路床 路基高程'!C:D,1,0),"")="","","✔")</f>
        <v/>
      </c>
      <c r="Q447" s="98" t="str">
        <f>IF(IFERROR(VLOOKUP(A447,'16.瀝青混凝土'!C:D,1,0),"")="","","✔")</f>
        <v/>
      </c>
      <c r="R447" s="98" t="str">
        <f>IF(IFERROR(VLOOKUP(A447,'17.景觀鋪面(一)'!C:D,1,0),"")="","","✔")</f>
        <v/>
      </c>
      <c r="S447" s="98" t="str">
        <f>IF(IFERROR(VLOOKUP(A447,'18.景觀鋪面(二)'!C:D,1,0),"")="","","✔")</f>
        <v/>
      </c>
      <c r="T447" s="98" t="str">
        <f>IF(IFERROR(VLOOKUP(A447,'19.預鑄緣石'!C:D,1,0),"")="","","✔")</f>
        <v/>
      </c>
      <c r="U447" s="98" t="str">
        <f>IF(IFERROR(VLOOKUP(A447,'20.鋼構工程吊裝'!C:D,1,0),"")="","","✔")</f>
        <v/>
      </c>
      <c r="V447" s="98" t="str">
        <f>IF(IFERROR(VLOOKUP(A447,'21.鋼構工程塗裝'!C:D,1,0),"")="","","✔")</f>
        <v/>
      </c>
      <c r="W447" s="98" t="str">
        <f>IF(IFERROR(VLOOKUP(A447,'22.排水設施(一)'!C:D,1,0),"")="","","✔")</f>
        <v/>
      </c>
      <c r="X447" s="98" t="str">
        <f>IF(IFERROR(VLOOKUP(A447,'23.排水設施(二)'!C:D,1,0),"")="","","✔")</f>
        <v/>
      </c>
      <c r="Y447" s="98" t="str">
        <f>IF(IFERROR(VLOOKUP(A447,'24.木構造'!C:D,1,0),"")="","","✔")</f>
        <v/>
      </c>
      <c r="Z447" s="98" t="str">
        <f>IF(IFERROR(VLOOKUP(A447,'25.管路'!C:D,1,0),"")="","","✔")</f>
        <v/>
      </c>
      <c r="AA447" s="98" t="str">
        <f>IF(IFERROR(VLOOKUP(A447,'26.植栽(移植)'!C:D,1,0),"")="","","✔")</f>
        <v/>
      </c>
      <c r="AB447" s="98" t="str">
        <f>IF(IFERROR(VLOOKUP(A447,'27.植栽(新植)'!C:D,1,0),"")="","","✔")</f>
        <v/>
      </c>
      <c r="AC447" s="98" t="str">
        <f>IF(IFERROR(VLOOKUP(A447,'28.照明'!C:D,1,0),"")="","","✔")</f>
        <v/>
      </c>
      <c r="AD447" s="98" t="str">
        <f>IF(IFERROR(VLOOKUP(A447,'29.既有橋梁拆除'!C:D,1,0),"")="","","✔")</f>
        <v/>
      </c>
    </row>
    <row r="448" spans="1:30" ht="21.75" customHeight="1" x14ac:dyDescent="0.25">
      <c r="A448" s="99">
        <v>45638</v>
      </c>
      <c r="B448" s="98" t="str">
        <f>IF(IFERROR(VLOOKUP(A448,'1.測量放樣'!C:D,1,0),"")="","","✔")</f>
        <v/>
      </c>
      <c r="C448" s="98" t="str">
        <f>IF(IFERROR(VLOOKUP(A448,'2.土方開挖'!C:D,1,0),"")="","","✔")</f>
        <v/>
      </c>
      <c r="D448" s="98" t="str">
        <f>IF(IFERROR(VLOOKUP(A448,'3.土方回填'!C:D,1,0),"")="","","✔")</f>
        <v/>
      </c>
      <c r="E448" s="98" t="str">
        <f>IF(IFERROR(VLOOKUP(A448,'4.鋼筋'!C:D,1,0),"")="","","✔")</f>
        <v/>
      </c>
      <c r="F448" s="98" t="str">
        <f>IF(IFERROR(VLOOKUP(A448,'5.模板'!C:D,1,0),"")="","","✔")</f>
        <v/>
      </c>
      <c r="G448" s="98" t="str">
        <f>IF(IFERROR(VLOOKUP(A448,'6.混凝土'!C:D,1,0),"")="","","✔")</f>
        <v/>
      </c>
      <c r="H448" s="98" t="str">
        <f>IF(IFERROR(VLOOKUP(A448,'7.植筋'!C:D,1,0),"")="","","✔")</f>
        <v/>
      </c>
      <c r="I448" s="98" t="str">
        <f>IF(IFERROR(VLOOKUP(A448,'8.預力混凝土基樁'!C:D,1,0),"")="","","✔")</f>
        <v/>
      </c>
      <c r="J448" s="98" t="str">
        <f>IF(IFERROR(VLOOKUP(A448,'9.砌塊石護岸'!C:D,1,0),"")="","","✔")</f>
        <v/>
      </c>
      <c r="K448" s="98" t="str">
        <f>IF(IFERROR(VLOOKUP(A448,'10.低水護岸'!C:D,1,0),"")="","","✔")</f>
        <v/>
      </c>
      <c r="L448" s="98" t="str">
        <f>IF(IFERROR(VLOOKUP(A448,'11.固床工'!C:D,1,0),"")="","","✔")</f>
        <v/>
      </c>
      <c r="M448" s="98" t="str">
        <f>IF(IFERROR(VLOOKUP(A448,'12.全套管基樁'!C:D,1,0),"")="","","✔")</f>
        <v/>
      </c>
      <c r="N448" s="98" t="str">
        <f>IF(IFERROR(VLOOKUP(A448,'13.鋼筋混凝土管工程'!C:D,1,0),"")="","","✔")</f>
        <v/>
      </c>
      <c r="O448" s="98" t="str">
        <f>IF(IFERROR(VLOOKUP(A448,'14.鋼版樁'!C:D,1,0),"")="","","✔")</f>
        <v/>
      </c>
      <c r="P448" s="98" t="str">
        <f>IF(IFERROR(VLOOKUP(A448,'15.路床 路基高程'!C:D,1,0),"")="","","✔")</f>
        <v/>
      </c>
      <c r="Q448" s="98" t="str">
        <f>IF(IFERROR(VLOOKUP(A448,'16.瀝青混凝土'!C:D,1,0),"")="","","✔")</f>
        <v/>
      </c>
      <c r="R448" s="98" t="str">
        <f>IF(IFERROR(VLOOKUP(A448,'17.景觀鋪面(一)'!C:D,1,0),"")="","","✔")</f>
        <v/>
      </c>
      <c r="S448" s="98" t="str">
        <f>IF(IFERROR(VLOOKUP(A448,'18.景觀鋪面(二)'!C:D,1,0),"")="","","✔")</f>
        <v/>
      </c>
      <c r="T448" s="98" t="str">
        <f>IF(IFERROR(VLOOKUP(A448,'19.預鑄緣石'!C:D,1,0),"")="","","✔")</f>
        <v/>
      </c>
      <c r="U448" s="98" t="str">
        <f>IF(IFERROR(VLOOKUP(A448,'20.鋼構工程吊裝'!C:D,1,0),"")="","","✔")</f>
        <v/>
      </c>
      <c r="V448" s="98" t="str">
        <f>IF(IFERROR(VLOOKUP(A448,'21.鋼構工程塗裝'!C:D,1,0),"")="","","✔")</f>
        <v/>
      </c>
      <c r="W448" s="98" t="str">
        <f>IF(IFERROR(VLOOKUP(A448,'22.排水設施(一)'!C:D,1,0),"")="","","✔")</f>
        <v/>
      </c>
      <c r="X448" s="98" t="str">
        <f>IF(IFERROR(VLOOKUP(A448,'23.排水設施(二)'!C:D,1,0),"")="","","✔")</f>
        <v/>
      </c>
      <c r="Y448" s="98" t="str">
        <f>IF(IFERROR(VLOOKUP(A448,'24.木構造'!C:D,1,0),"")="","","✔")</f>
        <v/>
      </c>
      <c r="Z448" s="98" t="str">
        <f>IF(IFERROR(VLOOKUP(A448,'25.管路'!C:D,1,0),"")="","","✔")</f>
        <v/>
      </c>
      <c r="AA448" s="98" t="str">
        <f>IF(IFERROR(VLOOKUP(A448,'26.植栽(移植)'!C:D,1,0),"")="","","✔")</f>
        <v/>
      </c>
      <c r="AB448" s="98" t="str">
        <f>IF(IFERROR(VLOOKUP(A448,'27.植栽(新植)'!C:D,1,0),"")="","","✔")</f>
        <v/>
      </c>
      <c r="AC448" s="98" t="str">
        <f>IF(IFERROR(VLOOKUP(A448,'28.照明'!C:D,1,0),"")="","","✔")</f>
        <v/>
      </c>
      <c r="AD448" s="98" t="str">
        <f>IF(IFERROR(VLOOKUP(A448,'29.既有橋梁拆除'!C:D,1,0),"")="","","✔")</f>
        <v/>
      </c>
    </row>
    <row r="449" spans="1:30" ht="21.75" customHeight="1" x14ac:dyDescent="0.25">
      <c r="A449" s="99">
        <v>45639</v>
      </c>
      <c r="B449" s="98" t="str">
        <f>IF(IFERROR(VLOOKUP(A449,'1.測量放樣'!C:D,1,0),"")="","","✔")</f>
        <v/>
      </c>
      <c r="C449" s="98" t="str">
        <f>IF(IFERROR(VLOOKUP(A449,'2.土方開挖'!C:D,1,0),"")="","","✔")</f>
        <v/>
      </c>
      <c r="D449" s="98" t="str">
        <f>IF(IFERROR(VLOOKUP(A449,'3.土方回填'!C:D,1,0),"")="","","✔")</f>
        <v/>
      </c>
      <c r="E449" s="98" t="str">
        <f>IF(IFERROR(VLOOKUP(A449,'4.鋼筋'!C:D,1,0),"")="","","✔")</f>
        <v/>
      </c>
      <c r="F449" s="98" t="str">
        <f>IF(IFERROR(VLOOKUP(A449,'5.模板'!C:D,1,0),"")="","","✔")</f>
        <v/>
      </c>
      <c r="G449" s="98" t="str">
        <f>IF(IFERROR(VLOOKUP(A449,'6.混凝土'!C:D,1,0),"")="","","✔")</f>
        <v/>
      </c>
      <c r="H449" s="98" t="str">
        <f>IF(IFERROR(VLOOKUP(A449,'7.植筋'!C:D,1,0),"")="","","✔")</f>
        <v/>
      </c>
      <c r="I449" s="98" t="str">
        <f>IF(IFERROR(VLOOKUP(A449,'8.預力混凝土基樁'!C:D,1,0),"")="","","✔")</f>
        <v/>
      </c>
      <c r="J449" s="98" t="str">
        <f>IF(IFERROR(VLOOKUP(A449,'9.砌塊石護岸'!C:D,1,0),"")="","","✔")</f>
        <v/>
      </c>
      <c r="K449" s="98" t="str">
        <f>IF(IFERROR(VLOOKUP(A449,'10.低水護岸'!C:D,1,0),"")="","","✔")</f>
        <v/>
      </c>
      <c r="L449" s="98" t="str">
        <f>IF(IFERROR(VLOOKUP(A449,'11.固床工'!C:D,1,0),"")="","","✔")</f>
        <v/>
      </c>
      <c r="M449" s="98" t="str">
        <f>IF(IFERROR(VLOOKUP(A449,'12.全套管基樁'!C:D,1,0),"")="","","✔")</f>
        <v/>
      </c>
      <c r="N449" s="98" t="str">
        <f>IF(IFERROR(VLOOKUP(A449,'13.鋼筋混凝土管工程'!C:D,1,0),"")="","","✔")</f>
        <v/>
      </c>
      <c r="O449" s="98" t="str">
        <f>IF(IFERROR(VLOOKUP(A449,'14.鋼版樁'!C:D,1,0),"")="","","✔")</f>
        <v/>
      </c>
      <c r="P449" s="98" t="str">
        <f>IF(IFERROR(VLOOKUP(A449,'15.路床 路基高程'!C:D,1,0),"")="","","✔")</f>
        <v/>
      </c>
      <c r="Q449" s="98" t="str">
        <f>IF(IFERROR(VLOOKUP(A449,'16.瀝青混凝土'!C:D,1,0),"")="","","✔")</f>
        <v/>
      </c>
      <c r="R449" s="98" t="str">
        <f>IF(IFERROR(VLOOKUP(A449,'17.景觀鋪面(一)'!C:D,1,0),"")="","","✔")</f>
        <v/>
      </c>
      <c r="S449" s="98" t="str">
        <f>IF(IFERROR(VLOOKUP(A449,'18.景觀鋪面(二)'!C:D,1,0),"")="","","✔")</f>
        <v/>
      </c>
      <c r="T449" s="98" t="str">
        <f>IF(IFERROR(VLOOKUP(A449,'19.預鑄緣石'!C:D,1,0),"")="","","✔")</f>
        <v/>
      </c>
      <c r="U449" s="98" t="str">
        <f>IF(IFERROR(VLOOKUP(A449,'20.鋼構工程吊裝'!C:D,1,0),"")="","","✔")</f>
        <v/>
      </c>
      <c r="V449" s="98" t="str">
        <f>IF(IFERROR(VLOOKUP(A449,'21.鋼構工程塗裝'!C:D,1,0),"")="","","✔")</f>
        <v/>
      </c>
      <c r="W449" s="98" t="str">
        <f>IF(IFERROR(VLOOKUP(A449,'22.排水設施(一)'!C:D,1,0),"")="","","✔")</f>
        <v/>
      </c>
      <c r="X449" s="98" t="str">
        <f>IF(IFERROR(VLOOKUP(A449,'23.排水設施(二)'!C:D,1,0),"")="","","✔")</f>
        <v/>
      </c>
      <c r="Y449" s="98" t="str">
        <f>IF(IFERROR(VLOOKUP(A449,'24.木構造'!C:D,1,0),"")="","","✔")</f>
        <v/>
      </c>
      <c r="Z449" s="98" t="str">
        <f>IF(IFERROR(VLOOKUP(A449,'25.管路'!C:D,1,0),"")="","","✔")</f>
        <v/>
      </c>
      <c r="AA449" s="98" t="str">
        <f>IF(IFERROR(VLOOKUP(A449,'26.植栽(移植)'!C:D,1,0),"")="","","✔")</f>
        <v/>
      </c>
      <c r="AB449" s="98" t="str">
        <f>IF(IFERROR(VLOOKUP(A449,'27.植栽(新植)'!C:D,1,0),"")="","","✔")</f>
        <v/>
      </c>
      <c r="AC449" s="98" t="str">
        <f>IF(IFERROR(VLOOKUP(A449,'28.照明'!C:D,1,0),"")="","","✔")</f>
        <v/>
      </c>
      <c r="AD449" s="98" t="str">
        <f>IF(IFERROR(VLOOKUP(A449,'29.既有橋梁拆除'!C:D,1,0),"")="","","✔")</f>
        <v/>
      </c>
    </row>
    <row r="450" spans="1:30" ht="21.75" customHeight="1" x14ac:dyDescent="0.25">
      <c r="A450" s="99">
        <v>45640</v>
      </c>
      <c r="B450" s="98" t="str">
        <f>IF(IFERROR(VLOOKUP(A450,'1.測量放樣'!C:D,1,0),"")="","","✔")</f>
        <v/>
      </c>
      <c r="C450" s="98" t="str">
        <f>IF(IFERROR(VLOOKUP(A450,'2.土方開挖'!C:D,1,0),"")="","","✔")</f>
        <v/>
      </c>
      <c r="D450" s="98" t="str">
        <f>IF(IFERROR(VLOOKUP(A450,'3.土方回填'!C:D,1,0),"")="","","✔")</f>
        <v/>
      </c>
      <c r="E450" s="98" t="str">
        <f>IF(IFERROR(VLOOKUP(A450,'4.鋼筋'!C:D,1,0),"")="","","✔")</f>
        <v/>
      </c>
      <c r="F450" s="98" t="str">
        <f>IF(IFERROR(VLOOKUP(A450,'5.模板'!C:D,1,0),"")="","","✔")</f>
        <v/>
      </c>
      <c r="G450" s="98" t="str">
        <f>IF(IFERROR(VLOOKUP(A450,'6.混凝土'!C:D,1,0),"")="","","✔")</f>
        <v/>
      </c>
      <c r="H450" s="98" t="str">
        <f>IF(IFERROR(VLOOKUP(A450,'7.植筋'!C:D,1,0),"")="","","✔")</f>
        <v/>
      </c>
      <c r="I450" s="98" t="str">
        <f>IF(IFERROR(VLOOKUP(A450,'8.預力混凝土基樁'!C:D,1,0),"")="","","✔")</f>
        <v/>
      </c>
      <c r="J450" s="98" t="str">
        <f>IF(IFERROR(VLOOKUP(A450,'9.砌塊石護岸'!C:D,1,0),"")="","","✔")</f>
        <v/>
      </c>
      <c r="K450" s="98" t="str">
        <f>IF(IFERROR(VLOOKUP(A450,'10.低水護岸'!C:D,1,0),"")="","","✔")</f>
        <v/>
      </c>
      <c r="L450" s="98" t="str">
        <f>IF(IFERROR(VLOOKUP(A450,'11.固床工'!C:D,1,0),"")="","","✔")</f>
        <v/>
      </c>
      <c r="M450" s="98" t="str">
        <f>IF(IFERROR(VLOOKUP(A450,'12.全套管基樁'!C:D,1,0),"")="","","✔")</f>
        <v/>
      </c>
      <c r="N450" s="98" t="str">
        <f>IF(IFERROR(VLOOKUP(A450,'13.鋼筋混凝土管工程'!C:D,1,0),"")="","","✔")</f>
        <v/>
      </c>
      <c r="O450" s="98" t="str">
        <f>IF(IFERROR(VLOOKUP(A450,'14.鋼版樁'!C:D,1,0),"")="","","✔")</f>
        <v/>
      </c>
      <c r="P450" s="98" t="str">
        <f>IF(IFERROR(VLOOKUP(A450,'15.路床 路基高程'!C:D,1,0),"")="","","✔")</f>
        <v/>
      </c>
      <c r="Q450" s="98" t="str">
        <f>IF(IFERROR(VLOOKUP(A450,'16.瀝青混凝土'!C:D,1,0),"")="","","✔")</f>
        <v/>
      </c>
      <c r="R450" s="98" t="str">
        <f>IF(IFERROR(VLOOKUP(A450,'17.景觀鋪面(一)'!C:D,1,0),"")="","","✔")</f>
        <v/>
      </c>
      <c r="S450" s="98" t="str">
        <f>IF(IFERROR(VLOOKUP(A450,'18.景觀鋪面(二)'!C:D,1,0),"")="","","✔")</f>
        <v/>
      </c>
      <c r="T450" s="98" t="str">
        <f>IF(IFERROR(VLOOKUP(A450,'19.預鑄緣石'!C:D,1,0),"")="","","✔")</f>
        <v/>
      </c>
      <c r="U450" s="98" t="str">
        <f>IF(IFERROR(VLOOKUP(A450,'20.鋼構工程吊裝'!C:D,1,0),"")="","","✔")</f>
        <v/>
      </c>
      <c r="V450" s="98" t="str">
        <f>IF(IFERROR(VLOOKUP(A450,'21.鋼構工程塗裝'!C:D,1,0),"")="","","✔")</f>
        <v/>
      </c>
      <c r="W450" s="98" t="str">
        <f>IF(IFERROR(VLOOKUP(A450,'22.排水設施(一)'!C:D,1,0),"")="","","✔")</f>
        <v/>
      </c>
      <c r="X450" s="98" t="str">
        <f>IF(IFERROR(VLOOKUP(A450,'23.排水設施(二)'!C:D,1,0),"")="","","✔")</f>
        <v/>
      </c>
      <c r="Y450" s="98" t="str">
        <f>IF(IFERROR(VLOOKUP(A450,'24.木構造'!C:D,1,0),"")="","","✔")</f>
        <v/>
      </c>
      <c r="Z450" s="98" t="str">
        <f>IF(IFERROR(VLOOKUP(A450,'25.管路'!C:D,1,0),"")="","","✔")</f>
        <v/>
      </c>
      <c r="AA450" s="98" t="str">
        <f>IF(IFERROR(VLOOKUP(A450,'26.植栽(移植)'!C:D,1,0),"")="","","✔")</f>
        <v/>
      </c>
      <c r="AB450" s="98" t="str">
        <f>IF(IFERROR(VLOOKUP(A450,'27.植栽(新植)'!C:D,1,0),"")="","","✔")</f>
        <v/>
      </c>
      <c r="AC450" s="98" t="str">
        <f>IF(IFERROR(VLOOKUP(A450,'28.照明'!C:D,1,0),"")="","","✔")</f>
        <v/>
      </c>
      <c r="AD450" s="98" t="str">
        <f>IF(IFERROR(VLOOKUP(A450,'29.既有橋梁拆除'!C:D,1,0),"")="","","✔")</f>
        <v/>
      </c>
    </row>
    <row r="451" spans="1:30" ht="21.75" customHeight="1" x14ac:dyDescent="0.25">
      <c r="A451" s="99">
        <v>45641</v>
      </c>
      <c r="B451" s="98" t="str">
        <f>IF(IFERROR(VLOOKUP(A451,'1.測量放樣'!C:D,1,0),"")="","","✔")</f>
        <v/>
      </c>
      <c r="C451" s="98" t="str">
        <f>IF(IFERROR(VLOOKUP(A451,'2.土方開挖'!C:D,1,0),"")="","","✔")</f>
        <v/>
      </c>
      <c r="D451" s="98" t="str">
        <f>IF(IFERROR(VLOOKUP(A451,'3.土方回填'!C:D,1,0),"")="","","✔")</f>
        <v/>
      </c>
      <c r="E451" s="98" t="str">
        <f>IF(IFERROR(VLOOKUP(A451,'4.鋼筋'!C:D,1,0),"")="","","✔")</f>
        <v/>
      </c>
      <c r="F451" s="98" t="str">
        <f>IF(IFERROR(VLOOKUP(A451,'5.模板'!C:D,1,0),"")="","","✔")</f>
        <v/>
      </c>
      <c r="G451" s="98" t="str">
        <f>IF(IFERROR(VLOOKUP(A451,'6.混凝土'!C:D,1,0),"")="","","✔")</f>
        <v/>
      </c>
      <c r="H451" s="98" t="str">
        <f>IF(IFERROR(VLOOKUP(A451,'7.植筋'!C:D,1,0),"")="","","✔")</f>
        <v/>
      </c>
      <c r="I451" s="98" t="str">
        <f>IF(IFERROR(VLOOKUP(A451,'8.預力混凝土基樁'!C:D,1,0),"")="","","✔")</f>
        <v/>
      </c>
      <c r="J451" s="98" t="str">
        <f>IF(IFERROR(VLOOKUP(A451,'9.砌塊石護岸'!C:D,1,0),"")="","","✔")</f>
        <v/>
      </c>
      <c r="K451" s="98" t="str">
        <f>IF(IFERROR(VLOOKUP(A451,'10.低水護岸'!C:D,1,0),"")="","","✔")</f>
        <v/>
      </c>
      <c r="L451" s="98" t="str">
        <f>IF(IFERROR(VLOOKUP(A451,'11.固床工'!C:D,1,0),"")="","","✔")</f>
        <v/>
      </c>
      <c r="M451" s="98" t="str">
        <f>IF(IFERROR(VLOOKUP(A451,'12.全套管基樁'!C:D,1,0),"")="","","✔")</f>
        <v/>
      </c>
      <c r="N451" s="98" t="str">
        <f>IF(IFERROR(VLOOKUP(A451,'13.鋼筋混凝土管工程'!C:D,1,0),"")="","","✔")</f>
        <v/>
      </c>
      <c r="O451" s="98" t="str">
        <f>IF(IFERROR(VLOOKUP(A451,'14.鋼版樁'!C:D,1,0),"")="","","✔")</f>
        <v/>
      </c>
      <c r="P451" s="98" t="str">
        <f>IF(IFERROR(VLOOKUP(A451,'15.路床 路基高程'!C:D,1,0),"")="","","✔")</f>
        <v/>
      </c>
      <c r="Q451" s="98" t="str">
        <f>IF(IFERROR(VLOOKUP(A451,'16.瀝青混凝土'!C:D,1,0),"")="","","✔")</f>
        <v/>
      </c>
      <c r="R451" s="98" t="str">
        <f>IF(IFERROR(VLOOKUP(A451,'17.景觀鋪面(一)'!C:D,1,0),"")="","","✔")</f>
        <v/>
      </c>
      <c r="S451" s="98" t="str">
        <f>IF(IFERROR(VLOOKUP(A451,'18.景觀鋪面(二)'!C:D,1,0),"")="","","✔")</f>
        <v/>
      </c>
      <c r="T451" s="98" t="str">
        <f>IF(IFERROR(VLOOKUP(A451,'19.預鑄緣石'!C:D,1,0),"")="","","✔")</f>
        <v/>
      </c>
      <c r="U451" s="98" t="str">
        <f>IF(IFERROR(VLOOKUP(A451,'20.鋼構工程吊裝'!C:D,1,0),"")="","","✔")</f>
        <v/>
      </c>
      <c r="V451" s="98" t="str">
        <f>IF(IFERROR(VLOOKUP(A451,'21.鋼構工程塗裝'!C:D,1,0),"")="","","✔")</f>
        <v/>
      </c>
      <c r="W451" s="98" t="str">
        <f>IF(IFERROR(VLOOKUP(A451,'22.排水設施(一)'!C:D,1,0),"")="","","✔")</f>
        <v/>
      </c>
      <c r="X451" s="98" t="str">
        <f>IF(IFERROR(VLOOKUP(A451,'23.排水設施(二)'!C:D,1,0),"")="","","✔")</f>
        <v/>
      </c>
      <c r="Y451" s="98" t="str">
        <f>IF(IFERROR(VLOOKUP(A451,'24.木構造'!C:D,1,0),"")="","","✔")</f>
        <v/>
      </c>
      <c r="Z451" s="98" t="str">
        <f>IF(IFERROR(VLOOKUP(A451,'25.管路'!C:D,1,0),"")="","","✔")</f>
        <v/>
      </c>
      <c r="AA451" s="98" t="str">
        <f>IF(IFERROR(VLOOKUP(A451,'26.植栽(移植)'!C:D,1,0),"")="","","✔")</f>
        <v/>
      </c>
      <c r="AB451" s="98" t="str">
        <f>IF(IFERROR(VLOOKUP(A451,'27.植栽(新植)'!C:D,1,0),"")="","","✔")</f>
        <v/>
      </c>
      <c r="AC451" s="98" t="str">
        <f>IF(IFERROR(VLOOKUP(A451,'28.照明'!C:D,1,0),"")="","","✔")</f>
        <v/>
      </c>
      <c r="AD451" s="98" t="str">
        <f>IF(IFERROR(VLOOKUP(A451,'29.既有橋梁拆除'!C:D,1,0),"")="","","✔")</f>
        <v/>
      </c>
    </row>
    <row r="452" spans="1:30" ht="21.75" customHeight="1" x14ac:dyDescent="0.25">
      <c r="A452" s="99">
        <v>45642</v>
      </c>
      <c r="B452" s="98" t="str">
        <f>IF(IFERROR(VLOOKUP(A452,'1.測量放樣'!C:D,1,0),"")="","","✔")</f>
        <v/>
      </c>
      <c r="C452" s="98" t="str">
        <f>IF(IFERROR(VLOOKUP(A452,'2.土方開挖'!C:D,1,0),"")="","","✔")</f>
        <v/>
      </c>
      <c r="D452" s="98" t="str">
        <f>IF(IFERROR(VLOOKUP(A452,'3.土方回填'!C:D,1,0),"")="","","✔")</f>
        <v/>
      </c>
      <c r="E452" s="98" t="str">
        <f>IF(IFERROR(VLOOKUP(A452,'4.鋼筋'!C:D,1,0),"")="","","✔")</f>
        <v/>
      </c>
      <c r="F452" s="98" t="str">
        <f>IF(IFERROR(VLOOKUP(A452,'5.模板'!C:D,1,0),"")="","","✔")</f>
        <v/>
      </c>
      <c r="G452" s="98" t="str">
        <f>IF(IFERROR(VLOOKUP(A452,'6.混凝土'!C:D,1,0),"")="","","✔")</f>
        <v/>
      </c>
      <c r="H452" s="98" t="str">
        <f>IF(IFERROR(VLOOKUP(A452,'7.植筋'!C:D,1,0),"")="","","✔")</f>
        <v/>
      </c>
      <c r="I452" s="98" t="str">
        <f>IF(IFERROR(VLOOKUP(A452,'8.預力混凝土基樁'!C:D,1,0),"")="","","✔")</f>
        <v/>
      </c>
      <c r="J452" s="98" t="str">
        <f>IF(IFERROR(VLOOKUP(A452,'9.砌塊石護岸'!C:D,1,0),"")="","","✔")</f>
        <v/>
      </c>
      <c r="K452" s="98" t="str">
        <f>IF(IFERROR(VLOOKUP(A452,'10.低水護岸'!C:D,1,0),"")="","","✔")</f>
        <v/>
      </c>
      <c r="L452" s="98" t="str">
        <f>IF(IFERROR(VLOOKUP(A452,'11.固床工'!C:D,1,0),"")="","","✔")</f>
        <v/>
      </c>
      <c r="M452" s="98" t="str">
        <f>IF(IFERROR(VLOOKUP(A452,'12.全套管基樁'!C:D,1,0),"")="","","✔")</f>
        <v/>
      </c>
      <c r="N452" s="98" t="str">
        <f>IF(IFERROR(VLOOKUP(A452,'13.鋼筋混凝土管工程'!C:D,1,0),"")="","","✔")</f>
        <v/>
      </c>
      <c r="O452" s="98" t="str">
        <f>IF(IFERROR(VLOOKUP(A452,'14.鋼版樁'!C:D,1,0),"")="","","✔")</f>
        <v/>
      </c>
      <c r="P452" s="98" t="str">
        <f>IF(IFERROR(VLOOKUP(A452,'15.路床 路基高程'!C:D,1,0),"")="","","✔")</f>
        <v/>
      </c>
      <c r="Q452" s="98" t="str">
        <f>IF(IFERROR(VLOOKUP(A452,'16.瀝青混凝土'!C:D,1,0),"")="","","✔")</f>
        <v/>
      </c>
      <c r="R452" s="98" t="str">
        <f>IF(IFERROR(VLOOKUP(A452,'17.景觀鋪面(一)'!C:D,1,0),"")="","","✔")</f>
        <v/>
      </c>
      <c r="S452" s="98" t="str">
        <f>IF(IFERROR(VLOOKUP(A452,'18.景觀鋪面(二)'!C:D,1,0),"")="","","✔")</f>
        <v/>
      </c>
      <c r="T452" s="98" t="str">
        <f>IF(IFERROR(VLOOKUP(A452,'19.預鑄緣石'!C:D,1,0),"")="","","✔")</f>
        <v/>
      </c>
      <c r="U452" s="98" t="str">
        <f>IF(IFERROR(VLOOKUP(A452,'20.鋼構工程吊裝'!C:D,1,0),"")="","","✔")</f>
        <v/>
      </c>
      <c r="V452" s="98" t="str">
        <f>IF(IFERROR(VLOOKUP(A452,'21.鋼構工程塗裝'!C:D,1,0),"")="","","✔")</f>
        <v/>
      </c>
      <c r="W452" s="98" t="str">
        <f>IF(IFERROR(VLOOKUP(A452,'22.排水設施(一)'!C:D,1,0),"")="","","✔")</f>
        <v/>
      </c>
      <c r="X452" s="98" t="str">
        <f>IF(IFERROR(VLOOKUP(A452,'23.排水設施(二)'!C:D,1,0),"")="","","✔")</f>
        <v/>
      </c>
      <c r="Y452" s="98" t="str">
        <f>IF(IFERROR(VLOOKUP(A452,'24.木構造'!C:D,1,0),"")="","","✔")</f>
        <v/>
      </c>
      <c r="Z452" s="98" t="str">
        <f>IF(IFERROR(VLOOKUP(A452,'25.管路'!C:D,1,0),"")="","","✔")</f>
        <v/>
      </c>
      <c r="AA452" s="98" t="str">
        <f>IF(IFERROR(VLOOKUP(A452,'26.植栽(移植)'!C:D,1,0),"")="","","✔")</f>
        <v/>
      </c>
      <c r="AB452" s="98" t="str">
        <f>IF(IFERROR(VLOOKUP(A452,'27.植栽(新植)'!C:D,1,0),"")="","","✔")</f>
        <v/>
      </c>
      <c r="AC452" s="98" t="str">
        <f>IF(IFERROR(VLOOKUP(A452,'28.照明'!C:D,1,0),"")="","","✔")</f>
        <v/>
      </c>
      <c r="AD452" s="98" t="str">
        <f>IF(IFERROR(VLOOKUP(A452,'29.既有橋梁拆除'!C:D,1,0),"")="","","✔")</f>
        <v/>
      </c>
    </row>
    <row r="453" spans="1:30" ht="21.75" customHeight="1" x14ac:dyDescent="0.25">
      <c r="A453" s="99">
        <v>45643</v>
      </c>
      <c r="B453" s="98" t="str">
        <f>IF(IFERROR(VLOOKUP(A453,'1.測量放樣'!C:D,1,0),"")="","","✔")</f>
        <v/>
      </c>
      <c r="C453" s="98" t="str">
        <f>IF(IFERROR(VLOOKUP(A453,'2.土方開挖'!C:D,1,0),"")="","","✔")</f>
        <v/>
      </c>
      <c r="D453" s="98" t="str">
        <f>IF(IFERROR(VLOOKUP(A453,'3.土方回填'!C:D,1,0),"")="","","✔")</f>
        <v/>
      </c>
      <c r="E453" s="98" t="str">
        <f>IF(IFERROR(VLOOKUP(A453,'4.鋼筋'!C:D,1,0),"")="","","✔")</f>
        <v/>
      </c>
      <c r="F453" s="98" t="str">
        <f>IF(IFERROR(VLOOKUP(A453,'5.模板'!C:D,1,0),"")="","","✔")</f>
        <v/>
      </c>
      <c r="G453" s="98" t="str">
        <f>IF(IFERROR(VLOOKUP(A453,'6.混凝土'!C:D,1,0),"")="","","✔")</f>
        <v/>
      </c>
      <c r="H453" s="98" t="str">
        <f>IF(IFERROR(VLOOKUP(A453,'7.植筋'!C:D,1,0),"")="","","✔")</f>
        <v/>
      </c>
      <c r="I453" s="98" t="str">
        <f>IF(IFERROR(VLOOKUP(A453,'8.預力混凝土基樁'!C:D,1,0),"")="","","✔")</f>
        <v/>
      </c>
      <c r="J453" s="98" t="str">
        <f>IF(IFERROR(VLOOKUP(A453,'9.砌塊石護岸'!C:D,1,0),"")="","","✔")</f>
        <v/>
      </c>
      <c r="K453" s="98" t="str">
        <f>IF(IFERROR(VLOOKUP(A453,'10.低水護岸'!C:D,1,0),"")="","","✔")</f>
        <v/>
      </c>
      <c r="L453" s="98" t="str">
        <f>IF(IFERROR(VLOOKUP(A453,'11.固床工'!C:D,1,0),"")="","","✔")</f>
        <v/>
      </c>
      <c r="M453" s="98" t="str">
        <f>IF(IFERROR(VLOOKUP(A453,'12.全套管基樁'!C:D,1,0),"")="","","✔")</f>
        <v/>
      </c>
      <c r="N453" s="98" t="str">
        <f>IF(IFERROR(VLOOKUP(A453,'13.鋼筋混凝土管工程'!C:D,1,0),"")="","","✔")</f>
        <v/>
      </c>
      <c r="O453" s="98" t="str">
        <f>IF(IFERROR(VLOOKUP(A453,'14.鋼版樁'!C:D,1,0),"")="","","✔")</f>
        <v/>
      </c>
      <c r="P453" s="98" t="str">
        <f>IF(IFERROR(VLOOKUP(A453,'15.路床 路基高程'!C:D,1,0),"")="","","✔")</f>
        <v/>
      </c>
      <c r="Q453" s="98" t="str">
        <f>IF(IFERROR(VLOOKUP(A453,'16.瀝青混凝土'!C:D,1,0),"")="","","✔")</f>
        <v/>
      </c>
      <c r="R453" s="98" t="str">
        <f>IF(IFERROR(VLOOKUP(A453,'17.景觀鋪面(一)'!C:D,1,0),"")="","","✔")</f>
        <v/>
      </c>
      <c r="S453" s="98" t="str">
        <f>IF(IFERROR(VLOOKUP(A453,'18.景觀鋪面(二)'!C:D,1,0),"")="","","✔")</f>
        <v/>
      </c>
      <c r="T453" s="98" t="str">
        <f>IF(IFERROR(VLOOKUP(A453,'19.預鑄緣石'!C:D,1,0),"")="","","✔")</f>
        <v/>
      </c>
      <c r="U453" s="98" t="str">
        <f>IF(IFERROR(VLOOKUP(A453,'20.鋼構工程吊裝'!C:D,1,0),"")="","","✔")</f>
        <v/>
      </c>
      <c r="V453" s="98" t="str">
        <f>IF(IFERROR(VLOOKUP(A453,'21.鋼構工程塗裝'!C:D,1,0),"")="","","✔")</f>
        <v/>
      </c>
      <c r="W453" s="98" t="str">
        <f>IF(IFERROR(VLOOKUP(A453,'22.排水設施(一)'!C:D,1,0),"")="","","✔")</f>
        <v/>
      </c>
      <c r="X453" s="98" t="str">
        <f>IF(IFERROR(VLOOKUP(A453,'23.排水設施(二)'!C:D,1,0),"")="","","✔")</f>
        <v/>
      </c>
      <c r="Y453" s="98" t="str">
        <f>IF(IFERROR(VLOOKUP(A453,'24.木構造'!C:D,1,0),"")="","","✔")</f>
        <v/>
      </c>
      <c r="Z453" s="98" t="str">
        <f>IF(IFERROR(VLOOKUP(A453,'25.管路'!C:D,1,0),"")="","","✔")</f>
        <v/>
      </c>
      <c r="AA453" s="98" t="str">
        <f>IF(IFERROR(VLOOKUP(A453,'26.植栽(移植)'!C:D,1,0),"")="","","✔")</f>
        <v/>
      </c>
      <c r="AB453" s="98" t="str">
        <f>IF(IFERROR(VLOOKUP(A453,'27.植栽(新植)'!C:D,1,0),"")="","","✔")</f>
        <v/>
      </c>
      <c r="AC453" s="98" t="str">
        <f>IF(IFERROR(VLOOKUP(A453,'28.照明'!C:D,1,0),"")="","","✔")</f>
        <v/>
      </c>
      <c r="AD453" s="98" t="str">
        <f>IF(IFERROR(VLOOKUP(A453,'29.既有橋梁拆除'!C:D,1,0),"")="","","✔")</f>
        <v/>
      </c>
    </row>
    <row r="454" spans="1:30" ht="21.75" customHeight="1" x14ac:dyDescent="0.25">
      <c r="A454" s="99">
        <v>45644</v>
      </c>
      <c r="B454" s="98" t="str">
        <f>IF(IFERROR(VLOOKUP(A454,'1.測量放樣'!C:D,1,0),"")="","","✔")</f>
        <v/>
      </c>
      <c r="C454" s="98" t="str">
        <f>IF(IFERROR(VLOOKUP(A454,'2.土方開挖'!C:D,1,0),"")="","","✔")</f>
        <v/>
      </c>
      <c r="D454" s="98" t="str">
        <f>IF(IFERROR(VLOOKUP(A454,'3.土方回填'!C:D,1,0),"")="","","✔")</f>
        <v/>
      </c>
      <c r="E454" s="98" t="str">
        <f>IF(IFERROR(VLOOKUP(A454,'4.鋼筋'!C:D,1,0),"")="","","✔")</f>
        <v/>
      </c>
      <c r="F454" s="98" t="str">
        <f>IF(IFERROR(VLOOKUP(A454,'5.模板'!C:D,1,0),"")="","","✔")</f>
        <v/>
      </c>
      <c r="G454" s="98" t="str">
        <f>IF(IFERROR(VLOOKUP(A454,'6.混凝土'!C:D,1,0),"")="","","✔")</f>
        <v/>
      </c>
      <c r="H454" s="98" t="str">
        <f>IF(IFERROR(VLOOKUP(A454,'7.植筋'!C:D,1,0),"")="","","✔")</f>
        <v/>
      </c>
      <c r="I454" s="98" t="str">
        <f>IF(IFERROR(VLOOKUP(A454,'8.預力混凝土基樁'!C:D,1,0),"")="","","✔")</f>
        <v/>
      </c>
      <c r="J454" s="98" t="str">
        <f>IF(IFERROR(VLOOKUP(A454,'9.砌塊石護岸'!C:D,1,0),"")="","","✔")</f>
        <v/>
      </c>
      <c r="K454" s="98" t="str">
        <f>IF(IFERROR(VLOOKUP(A454,'10.低水護岸'!C:D,1,0),"")="","","✔")</f>
        <v/>
      </c>
      <c r="L454" s="98" t="str">
        <f>IF(IFERROR(VLOOKUP(A454,'11.固床工'!C:D,1,0),"")="","","✔")</f>
        <v/>
      </c>
      <c r="M454" s="98" t="str">
        <f>IF(IFERROR(VLOOKUP(A454,'12.全套管基樁'!C:D,1,0),"")="","","✔")</f>
        <v/>
      </c>
      <c r="N454" s="98" t="str">
        <f>IF(IFERROR(VLOOKUP(A454,'13.鋼筋混凝土管工程'!C:D,1,0),"")="","","✔")</f>
        <v/>
      </c>
      <c r="O454" s="98" t="str">
        <f>IF(IFERROR(VLOOKUP(A454,'14.鋼版樁'!C:D,1,0),"")="","","✔")</f>
        <v/>
      </c>
      <c r="P454" s="98" t="str">
        <f>IF(IFERROR(VLOOKUP(A454,'15.路床 路基高程'!C:D,1,0),"")="","","✔")</f>
        <v/>
      </c>
      <c r="Q454" s="98" t="str">
        <f>IF(IFERROR(VLOOKUP(A454,'16.瀝青混凝土'!C:D,1,0),"")="","","✔")</f>
        <v/>
      </c>
      <c r="R454" s="98" t="str">
        <f>IF(IFERROR(VLOOKUP(A454,'17.景觀鋪面(一)'!C:D,1,0),"")="","","✔")</f>
        <v/>
      </c>
      <c r="S454" s="98" t="str">
        <f>IF(IFERROR(VLOOKUP(A454,'18.景觀鋪面(二)'!C:D,1,0),"")="","","✔")</f>
        <v/>
      </c>
      <c r="T454" s="98" t="str">
        <f>IF(IFERROR(VLOOKUP(A454,'19.預鑄緣石'!C:D,1,0),"")="","","✔")</f>
        <v/>
      </c>
      <c r="U454" s="98" t="str">
        <f>IF(IFERROR(VLOOKUP(A454,'20.鋼構工程吊裝'!C:D,1,0),"")="","","✔")</f>
        <v/>
      </c>
      <c r="V454" s="98" t="str">
        <f>IF(IFERROR(VLOOKUP(A454,'21.鋼構工程塗裝'!C:D,1,0),"")="","","✔")</f>
        <v/>
      </c>
      <c r="W454" s="98" t="str">
        <f>IF(IFERROR(VLOOKUP(A454,'22.排水設施(一)'!C:D,1,0),"")="","","✔")</f>
        <v/>
      </c>
      <c r="X454" s="98" t="str">
        <f>IF(IFERROR(VLOOKUP(A454,'23.排水設施(二)'!C:D,1,0),"")="","","✔")</f>
        <v/>
      </c>
      <c r="Y454" s="98" t="str">
        <f>IF(IFERROR(VLOOKUP(A454,'24.木構造'!C:D,1,0),"")="","","✔")</f>
        <v/>
      </c>
      <c r="Z454" s="98" t="str">
        <f>IF(IFERROR(VLOOKUP(A454,'25.管路'!C:D,1,0),"")="","","✔")</f>
        <v/>
      </c>
      <c r="AA454" s="98" t="str">
        <f>IF(IFERROR(VLOOKUP(A454,'26.植栽(移植)'!C:D,1,0),"")="","","✔")</f>
        <v/>
      </c>
      <c r="AB454" s="98" t="str">
        <f>IF(IFERROR(VLOOKUP(A454,'27.植栽(新植)'!C:D,1,0),"")="","","✔")</f>
        <v/>
      </c>
      <c r="AC454" s="98" t="str">
        <f>IF(IFERROR(VLOOKUP(A454,'28.照明'!C:D,1,0),"")="","","✔")</f>
        <v/>
      </c>
      <c r="AD454" s="98" t="str">
        <f>IF(IFERROR(VLOOKUP(A454,'29.既有橋梁拆除'!C:D,1,0),"")="","","✔")</f>
        <v/>
      </c>
    </row>
    <row r="455" spans="1:30" ht="21.75" customHeight="1" x14ac:dyDescent="0.25">
      <c r="A455" s="99">
        <v>45645</v>
      </c>
      <c r="B455" s="98" t="str">
        <f>IF(IFERROR(VLOOKUP(A455,'1.測量放樣'!C:D,1,0),"")="","","✔")</f>
        <v/>
      </c>
      <c r="C455" s="98" t="str">
        <f>IF(IFERROR(VLOOKUP(A455,'2.土方開挖'!C:D,1,0),"")="","","✔")</f>
        <v/>
      </c>
      <c r="D455" s="98" t="str">
        <f>IF(IFERROR(VLOOKUP(A455,'3.土方回填'!C:D,1,0),"")="","","✔")</f>
        <v/>
      </c>
      <c r="E455" s="98" t="str">
        <f>IF(IFERROR(VLOOKUP(A455,'4.鋼筋'!C:D,1,0),"")="","","✔")</f>
        <v/>
      </c>
      <c r="F455" s="98" t="str">
        <f>IF(IFERROR(VLOOKUP(A455,'5.模板'!C:D,1,0),"")="","","✔")</f>
        <v/>
      </c>
      <c r="G455" s="98" t="str">
        <f>IF(IFERROR(VLOOKUP(A455,'6.混凝土'!C:D,1,0),"")="","","✔")</f>
        <v/>
      </c>
      <c r="H455" s="98" t="str">
        <f>IF(IFERROR(VLOOKUP(A455,'7.植筋'!C:D,1,0),"")="","","✔")</f>
        <v/>
      </c>
      <c r="I455" s="98" t="str">
        <f>IF(IFERROR(VLOOKUP(A455,'8.預力混凝土基樁'!C:D,1,0),"")="","","✔")</f>
        <v/>
      </c>
      <c r="J455" s="98" t="str">
        <f>IF(IFERROR(VLOOKUP(A455,'9.砌塊石護岸'!C:D,1,0),"")="","","✔")</f>
        <v/>
      </c>
      <c r="K455" s="98" t="str">
        <f>IF(IFERROR(VLOOKUP(A455,'10.低水護岸'!C:D,1,0),"")="","","✔")</f>
        <v/>
      </c>
      <c r="L455" s="98" t="str">
        <f>IF(IFERROR(VLOOKUP(A455,'11.固床工'!C:D,1,0),"")="","","✔")</f>
        <v/>
      </c>
      <c r="M455" s="98" t="str">
        <f>IF(IFERROR(VLOOKUP(A455,'12.全套管基樁'!C:D,1,0),"")="","","✔")</f>
        <v/>
      </c>
      <c r="N455" s="98" t="str">
        <f>IF(IFERROR(VLOOKUP(A455,'13.鋼筋混凝土管工程'!C:D,1,0),"")="","","✔")</f>
        <v/>
      </c>
      <c r="O455" s="98" t="str">
        <f>IF(IFERROR(VLOOKUP(A455,'14.鋼版樁'!C:D,1,0),"")="","","✔")</f>
        <v/>
      </c>
      <c r="P455" s="98" t="str">
        <f>IF(IFERROR(VLOOKUP(A455,'15.路床 路基高程'!C:D,1,0),"")="","","✔")</f>
        <v/>
      </c>
      <c r="Q455" s="98" t="str">
        <f>IF(IFERROR(VLOOKUP(A455,'16.瀝青混凝土'!C:D,1,0),"")="","","✔")</f>
        <v/>
      </c>
      <c r="R455" s="98" t="str">
        <f>IF(IFERROR(VLOOKUP(A455,'17.景觀鋪面(一)'!C:D,1,0),"")="","","✔")</f>
        <v/>
      </c>
      <c r="S455" s="98" t="str">
        <f>IF(IFERROR(VLOOKUP(A455,'18.景觀鋪面(二)'!C:D,1,0),"")="","","✔")</f>
        <v/>
      </c>
      <c r="T455" s="98" t="str">
        <f>IF(IFERROR(VLOOKUP(A455,'19.預鑄緣石'!C:D,1,0),"")="","","✔")</f>
        <v/>
      </c>
      <c r="U455" s="98" t="str">
        <f>IF(IFERROR(VLOOKUP(A455,'20.鋼構工程吊裝'!C:D,1,0),"")="","","✔")</f>
        <v/>
      </c>
      <c r="V455" s="98" t="str">
        <f>IF(IFERROR(VLOOKUP(A455,'21.鋼構工程塗裝'!C:D,1,0),"")="","","✔")</f>
        <v/>
      </c>
      <c r="W455" s="98" t="str">
        <f>IF(IFERROR(VLOOKUP(A455,'22.排水設施(一)'!C:D,1,0),"")="","","✔")</f>
        <v/>
      </c>
      <c r="X455" s="98" t="str">
        <f>IF(IFERROR(VLOOKUP(A455,'23.排水設施(二)'!C:D,1,0),"")="","","✔")</f>
        <v/>
      </c>
      <c r="Y455" s="98" t="str">
        <f>IF(IFERROR(VLOOKUP(A455,'24.木構造'!C:D,1,0),"")="","","✔")</f>
        <v/>
      </c>
      <c r="Z455" s="98" t="str">
        <f>IF(IFERROR(VLOOKUP(A455,'25.管路'!C:D,1,0),"")="","","✔")</f>
        <v/>
      </c>
      <c r="AA455" s="98" t="str">
        <f>IF(IFERROR(VLOOKUP(A455,'26.植栽(移植)'!C:D,1,0),"")="","","✔")</f>
        <v/>
      </c>
      <c r="AB455" s="98" t="str">
        <f>IF(IFERROR(VLOOKUP(A455,'27.植栽(新植)'!C:D,1,0),"")="","","✔")</f>
        <v/>
      </c>
      <c r="AC455" s="98" t="str">
        <f>IF(IFERROR(VLOOKUP(A455,'28.照明'!C:D,1,0),"")="","","✔")</f>
        <v/>
      </c>
      <c r="AD455" s="98" t="str">
        <f>IF(IFERROR(VLOOKUP(A455,'29.既有橋梁拆除'!C:D,1,0),"")="","","✔")</f>
        <v/>
      </c>
    </row>
    <row r="456" spans="1:30" ht="21.75" customHeight="1" x14ac:dyDescent="0.25">
      <c r="A456" s="99">
        <v>45646</v>
      </c>
      <c r="B456" s="98" t="str">
        <f>IF(IFERROR(VLOOKUP(A456,'1.測量放樣'!C:D,1,0),"")="","","✔")</f>
        <v/>
      </c>
      <c r="C456" s="98" t="str">
        <f>IF(IFERROR(VLOOKUP(A456,'2.土方開挖'!C:D,1,0),"")="","","✔")</f>
        <v/>
      </c>
      <c r="D456" s="98" t="str">
        <f>IF(IFERROR(VLOOKUP(A456,'3.土方回填'!C:D,1,0),"")="","","✔")</f>
        <v/>
      </c>
      <c r="E456" s="98" t="str">
        <f>IF(IFERROR(VLOOKUP(A456,'4.鋼筋'!C:D,1,0),"")="","","✔")</f>
        <v/>
      </c>
      <c r="F456" s="98" t="str">
        <f>IF(IFERROR(VLOOKUP(A456,'5.模板'!C:D,1,0),"")="","","✔")</f>
        <v/>
      </c>
      <c r="G456" s="98" t="str">
        <f>IF(IFERROR(VLOOKUP(A456,'6.混凝土'!C:D,1,0),"")="","","✔")</f>
        <v/>
      </c>
      <c r="H456" s="98" t="str">
        <f>IF(IFERROR(VLOOKUP(A456,'7.植筋'!C:D,1,0),"")="","","✔")</f>
        <v/>
      </c>
      <c r="I456" s="98" t="str">
        <f>IF(IFERROR(VLOOKUP(A456,'8.預力混凝土基樁'!C:D,1,0),"")="","","✔")</f>
        <v/>
      </c>
      <c r="J456" s="98" t="str">
        <f>IF(IFERROR(VLOOKUP(A456,'9.砌塊石護岸'!C:D,1,0),"")="","","✔")</f>
        <v/>
      </c>
      <c r="K456" s="98" t="str">
        <f>IF(IFERROR(VLOOKUP(A456,'10.低水護岸'!C:D,1,0),"")="","","✔")</f>
        <v/>
      </c>
      <c r="L456" s="98" t="str">
        <f>IF(IFERROR(VLOOKUP(A456,'11.固床工'!C:D,1,0),"")="","","✔")</f>
        <v/>
      </c>
      <c r="M456" s="98" t="str">
        <f>IF(IFERROR(VLOOKUP(A456,'12.全套管基樁'!C:D,1,0),"")="","","✔")</f>
        <v/>
      </c>
      <c r="N456" s="98" t="str">
        <f>IF(IFERROR(VLOOKUP(A456,'13.鋼筋混凝土管工程'!C:D,1,0),"")="","","✔")</f>
        <v/>
      </c>
      <c r="O456" s="98" t="str">
        <f>IF(IFERROR(VLOOKUP(A456,'14.鋼版樁'!C:D,1,0),"")="","","✔")</f>
        <v/>
      </c>
      <c r="P456" s="98" t="str">
        <f>IF(IFERROR(VLOOKUP(A456,'15.路床 路基高程'!C:D,1,0),"")="","","✔")</f>
        <v/>
      </c>
      <c r="Q456" s="98" t="str">
        <f>IF(IFERROR(VLOOKUP(A456,'16.瀝青混凝土'!C:D,1,0),"")="","","✔")</f>
        <v/>
      </c>
      <c r="R456" s="98" t="str">
        <f>IF(IFERROR(VLOOKUP(A456,'17.景觀鋪面(一)'!C:D,1,0),"")="","","✔")</f>
        <v/>
      </c>
      <c r="S456" s="98" t="str">
        <f>IF(IFERROR(VLOOKUP(A456,'18.景觀鋪面(二)'!C:D,1,0),"")="","","✔")</f>
        <v/>
      </c>
      <c r="T456" s="98" t="str">
        <f>IF(IFERROR(VLOOKUP(A456,'19.預鑄緣石'!C:D,1,0),"")="","","✔")</f>
        <v/>
      </c>
      <c r="U456" s="98" t="str">
        <f>IF(IFERROR(VLOOKUP(A456,'20.鋼構工程吊裝'!C:D,1,0),"")="","","✔")</f>
        <v/>
      </c>
      <c r="V456" s="98" t="str">
        <f>IF(IFERROR(VLOOKUP(A456,'21.鋼構工程塗裝'!C:D,1,0),"")="","","✔")</f>
        <v/>
      </c>
      <c r="W456" s="98" t="str">
        <f>IF(IFERROR(VLOOKUP(A456,'22.排水設施(一)'!C:D,1,0),"")="","","✔")</f>
        <v/>
      </c>
      <c r="X456" s="98" t="str">
        <f>IF(IFERROR(VLOOKUP(A456,'23.排水設施(二)'!C:D,1,0),"")="","","✔")</f>
        <v/>
      </c>
      <c r="Y456" s="98" t="str">
        <f>IF(IFERROR(VLOOKUP(A456,'24.木構造'!C:D,1,0),"")="","","✔")</f>
        <v/>
      </c>
      <c r="Z456" s="98" t="str">
        <f>IF(IFERROR(VLOOKUP(A456,'25.管路'!C:D,1,0),"")="","","✔")</f>
        <v/>
      </c>
      <c r="AA456" s="98" t="str">
        <f>IF(IFERROR(VLOOKUP(A456,'26.植栽(移植)'!C:D,1,0),"")="","","✔")</f>
        <v/>
      </c>
      <c r="AB456" s="98" t="str">
        <f>IF(IFERROR(VLOOKUP(A456,'27.植栽(新植)'!C:D,1,0),"")="","","✔")</f>
        <v/>
      </c>
      <c r="AC456" s="98" t="str">
        <f>IF(IFERROR(VLOOKUP(A456,'28.照明'!C:D,1,0),"")="","","✔")</f>
        <v/>
      </c>
      <c r="AD456" s="98" t="str">
        <f>IF(IFERROR(VLOOKUP(A456,'29.既有橋梁拆除'!C:D,1,0),"")="","","✔")</f>
        <v/>
      </c>
    </row>
    <row r="457" spans="1:30" ht="21.75" customHeight="1" x14ac:dyDescent="0.25">
      <c r="A457" s="99">
        <v>45647</v>
      </c>
      <c r="B457" s="98" t="str">
        <f>IF(IFERROR(VLOOKUP(A457,'1.測量放樣'!C:D,1,0),"")="","","✔")</f>
        <v/>
      </c>
      <c r="C457" s="98" t="str">
        <f>IF(IFERROR(VLOOKUP(A457,'2.土方開挖'!C:D,1,0),"")="","","✔")</f>
        <v/>
      </c>
      <c r="D457" s="98" t="str">
        <f>IF(IFERROR(VLOOKUP(A457,'3.土方回填'!C:D,1,0),"")="","","✔")</f>
        <v/>
      </c>
      <c r="E457" s="98" t="str">
        <f>IF(IFERROR(VLOOKUP(A457,'4.鋼筋'!C:D,1,0),"")="","","✔")</f>
        <v/>
      </c>
      <c r="F457" s="98" t="str">
        <f>IF(IFERROR(VLOOKUP(A457,'5.模板'!C:D,1,0),"")="","","✔")</f>
        <v/>
      </c>
      <c r="G457" s="98" t="str">
        <f>IF(IFERROR(VLOOKUP(A457,'6.混凝土'!C:D,1,0),"")="","","✔")</f>
        <v/>
      </c>
      <c r="H457" s="98" t="str">
        <f>IF(IFERROR(VLOOKUP(A457,'7.植筋'!C:D,1,0),"")="","","✔")</f>
        <v/>
      </c>
      <c r="I457" s="98" t="str">
        <f>IF(IFERROR(VLOOKUP(A457,'8.預力混凝土基樁'!C:D,1,0),"")="","","✔")</f>
        <v/>
      </c>
      <c r="J457" s="98" t="str">
        <f>IF(IFERROR(VLOOKUP(A457,'9.砌塊石護岸'!C:D,1,0),"")="","","✔")</f>
        <v/>
      </c>
      <c r="K457" s="98" t="str">
        <f>IF(IFERROR(VLOOKUP(A457,'10.低水護岸'!C:D,1,0),"")="","","✔")</f>
        <v/>
      </c>
      <c r="L457" s="98" t="str">
        <f>IF(IFERROR(VLOOKUP(A457,'11.固床工'!C:D,1,0),"")="","","✔")</f>
        <v/>
      </c>
      <c r="M457" s="98" t="str">
        <f>IF(IFERROR(VLOOKUP(A457,'12.全套管基樁'!C:D,1,0),"")="","","✔")</f>
        <v/>
      </c>
      <c r="N457" s="98" t="str">
        <f>IF(IFERROR(VLOOKUP(A457,'13.鋼筋混凝土管工程'!C:D,1,0),"")="","","✔")</f>
        <v/>
      </c>
      <c r="O457" s="98" t="str">
        <f>IF(IFERROR(VLOOKUP(A457,'14.鋼版樁'!C:D,1,0),"")="","","✔")</f>
        <v/>
      </c>
      <c r="P457" s="98" t="str">
        <f>IF(IFERROR(VLOOKUP(A457,'15.路床 路基高程'!C:D,1,0),"")="","","✔")</f>
        <v/>
      </c>
      <c r="Q457" s="98" t="str">
        <f>IF(IFERROR(VLOOKUP(A457,'16.瀝青混凝土'!C:D,1,0),"")="","","✔")</f>
        <v/>
      </c>
      <c r="R457" s="98" t="str">
        <f>IF(IFERROR(VLOOKUP(A457,'17.景觀鋪面(一)'!C:D,1,0),"")="","","✔")</f>
        <v/>
      </c>
      <c r="S457" s="98" t="str">
        <f>IF(IFERROR(VLOOKUP(A457,'18.景觀鋪面(二)'!C:D,1,0),"")="","","✔")</f>
        <v/>
      </c>
      <c r="T457" s="98" t="str">
        <f>IF(IFERROR(VLOOKUP(A457,'19.預鑄緣石'!C:D,1,0),"")="","","✔")</f>
        <v/>
      </c>
      <c r="U457" s="98" t="str">
        <f>IF(IFERROR(VLOOKUP(A457,'20.鋼構工程吊裝'!C:D,1,0),"")="","","✔")</f>
        <v/>
      </c>
      <c r="V457" s="98" t="str">
        <f>IF(IFERROR(VLOOKUP(A457,'21.鋼構工程塗裝'!C:D,1,0),"")="","","✔")</f>
        <v/>
      </c>
      <c r="W457" s="98" t="str">
        <f>IF(IFERROR(VLOOKUP(A457,'22.排水設施(一)'!C:D,1,0),"")="","","✔")</f>
        <v/>
      </c>
      <c r="X457" s="98" t="str">
        <f>IF(IFERROR(VLOOKUP(A457,'23.排水設施(二)'!C:D,1,0),"")="","","✔")</f>
        <v/>
      </c>
      <c r="Y457" s="98" t="str">
        <f>IF(IFERROR(VLOOKUP(A457,'24.木構造'!C:D,1,0),"")="","","✔")</f>
        <v/>
      </c>
      <c r="Z457" s="98" t="str">
        <f>IF(IFERROR(VLOOKUP(A457,'25.管路'!C:D,1,0),"")="","","✔")</f>
        <v/>
      </c>
      <c r="AA457" s="98" t="str">
        <f>IF(IFERROR(VLOOKUP(A457,'26.植栽(移植)'!C:D,1,0),"")="","","✔")</f>
        <v/>
      </c>
      <c r="AB457" s="98" t="str">
        <f>IF(IFERROR(VLOOKUP(A457,'27.植栽(新植)'!C:D,1,0),"")="","","✔")</f>
        <v/>
      </c>
      <c r="AC457" s="98" t="str">
        <f>IF(IFERROR(VLOOKUP(A457,'28.照明'!C:D,1,0),"")="","","✔")</f>
        <v/>
      </c>
      <c r="AD457" s="98" t="str">
        <f>IF(IFERROR(VLOOKUP(A457,'29.既有橋梁拆除'!C:D,1,0),"")="","","✔")</f>
        <v/>
      </c>
    </row>
    <row r="458" spans="1:30" ht="21.75" customHeight="1" x14ac:dyDescent="0.25">
      <c r="A458" s="99">
        <v>45648</v>
      </c>
      <c r="B458" s="98" t="str">
        <f>IF(IFERROR(VLOOKUP(A458,'1.測量放樣'!C:D,1,0),"")="","","✔")</f>
        <v/>
      </c>
      <c r="C458" s="98" t="str">
        <f>IF(IFERROR(VLOOKUP(A458,'2.土方開挖'!C:D,1,0),"")="","","✔")</f>
        <v/>
      </c>
      <c r="D458" s="98" t="str">
        <f>IF(IFERROR(VLOOKUP(A458,'3.土方回填'!C:D,1,0),"")="","","✔")</f>
        <v/>
      </c>
      <c r="E458" s="98" t="str">
        <f>IF(IFERROR(VLOOKUP(A458,'4.鋼筋'!C:D,1,0),"")="","","✔")</f>
        <v/>
      </c>
      <c r="F458" s="98" t="str">
        <f>IF(IFERROR(VLOOKUP(A458,'5.模板'!C:D,1,0),"")="","","✔")</f>
        <v/>
      </c>
      <c r="G458" s="98" t="str">
        <f>IF(IFERROR(VLOOKUP(A458,'6.混凝土'!C:D,1,0),"")="","","✔")</f>
        <v/>
      </c>
      <c r="H458" s="98" t="str">
        <f>IF(IFERROR(VLOOKUP(A458,'7.植筋'!C:D,1,0),"")="","","✔")</f>
        <v/>
      </c>
      <c r="I458" s="98" t="str">
        <f>IF(IFERROR(VLOOKUP(A458,'8.預力混凝土基樁'!C:D,1,0),"")="","","✔")</f>
        <v/>
      </c>
      <c r="J458" s="98" t="str">
        <f>IF(IFERROR(VLOOKUP(A458,'9.砌塊石護岸'!C:D,1,0),"")="","","✔")</f>
        <v/>
      </c>
      <c r="K458" s="98" t="str">
        <f>IF(IFERROR(VLOOKUP(A458,'10.低水護岸'!C:D,1,0),"")="","","✔")</f>
        <v/>
      </c>
      <c r="L458" s="98" t="str">
        <f>IF(IFERROR(VLOOKUP(A458,'11.固床工'!C:D,1,0),"")="","","✔")</f>
        <v/>
      </c>
      <c r="M458" s="98" t="str">
        <f>IF(IFERROR(VLOOKUP(A458,'12.全套管基樁'!C:D,1,0),"")="","","✔")</f>
        <v/>
      </c>
      <c r="N458" s="98" t="str">
        <f>IF(IFERROR(VLOOKUP(A458,'13.鋼筋混凝土管工程'!C:D,1,0),"")="","","✔")</f>
        <v/>
      </c>
      <c r="O458" s="98" t="str">
        <f>IF(IFERROR(VLOOKUP(A458,'14.鋼版樁'!C:D,1,0),"")="","","✔")</f>
        <v/>
      </c>
      <c r="P458" s="98" t="str">
        <f>IF(IFERROR(VLOOKUP(A458,'15.路床 路基高程'!C:D,1,0),"")="","","✔")</f>
        <v/>
      </c>
      <c r="Q458" s="98" t="str">
        <f>IF(IFERROR(VLOOKUP(A458,'16.瀝青混凝土'!C:D,1,0),"")="","","✔")</f>
        <v/>
      </c>
      <c r="R458" s="98" t="str">
        <f>IF(IFERROR(VLOOKUP(A458,'17.景觀鋪面(一)'!C:D,1,0),"")="","","✔")</f>
        <v/>
      </c>
      <c r="S458" s="98" t="str">
        <f>IF(IFERROR(VLOOKUP(A458,'18.景觀鋪面(二)'!C:D,1,0),"")="","","✔")</f>
        <v/>
      </c>
      <c r="T458" s="98" t="str">
        <f>IF(IFERROR(VLOOKUP(A458,'19.預鑄緣石'!C:D,1,0),"")="","","✔")</f>
        <v/>
      </c>
      <c r="U458" s="98" t="str">
        <f>IF(IFERROR(VLOOKUP(A458,'20.鋼構工程吊裝'!C:D,1,0),"")="","","✔")</f>
        <v/>
      </c>
      <c r="V458" s="98" t="str">
        <f>IF(IFERROR(VLOOKUP(A458,'21.鋼構工程塗裝'!C:D,1,0),"")="","","✔")</f>
        <v/>
      </c>
      <c r="W458" s="98" t="str">
        <f>IF(IFERROR(VLOOKUP(A458,'22.排水設施(一)'!C:D,1,0),"")="","","✔")</f>
        <v/>
      </c>
      <c r="X458" s="98" t="str">
        <f>IF(IFERROR(VLOOKUP(A458,'23.排水設施(二)'!C:D,1,0),"")="","","✔")</f>
        <v/>
      </c>
      <c r="Y458" s="98" t="str">
        <f>IF(IFERROR(VLOOKUP(A458,'24.木構造'!C:D,1,0),"")="","","✔")</f>
        <v/>
      </c>
      <c r="Z458" s="98" t="str">
        <f>IF(IFERROR(VLOOKUP(A458,'25.管路'!C:D,1,0),"")="","","✔")</f>
        <v/>
      </c>
      <c r="AA458" s="98" t="str">
        <f>IF(IFERROR(VLOOKUP(A458,'26.植栽(移植)'!C:D,1,0),"")="","","✔")</f>
        <v/>
      </c>
      <c r="AB458" s="98" t="str">
        <f>IF(IFERROR(VLOOKUP(A458,'27.植栽(新植)'!C:D,1,0),"")="","","✔")</f>
        <v/>
      </c>
      <c r="AC458" s="98" t="str">
        <f>IF(IFERROR(VLOOKUP(A458,'28.照明'!C:D,1,0),"")="","","✔")</f>
        <v/>
      </c>
      <c r="AD458" s="98" t="str">
        <f>IF(IFERROR(VLOOKUP(A458,'29.既有橋梁拆除'!C:D,1,0),"")="","","✔")</f>
        <v/>
      </c>
    </row>
    <row r="459" spans="1:30" ht="21.75" customHeight="1" x14ac:dyDescent="0.25">
      <c r="A459" s="99">
        <v>45649</v>
      </c>
      <c r="B459" s="98" t="str">
        <f>IF(IFERROR(VLOOKUP(A459,'1.測量放樣'!C:D,1,0),"")="","","✔")</f>
        <v/>
      </c>
      <c r="C459" s="98" t="str">
        <f>IF(IFERROR(VLOOKUP(A459,'2.土方開挖'!C:D,1,0),"")="","","✔")</f>
        <v/>
      </c>
      <c r="D459" s="98" t="str">
        <f>IF(IFERROR(VLOOKUP(A459,'3.土方回填'!C:D,1,0),"")="","","✔")</f>
        <v/>
      </c>
      <c r="E459" s="98" t="str">
        <f>IF(IFERROR(VLOOKUP(A459,'4.鋼筋'!C:D,1,0),"")="","","✔")</f>
        <v/>
      </c>
      <c r="F459" s="98" t="str">
        <f>IF(IFERROR(VLOOKUP(A459,'5.模板'!C:D,1,0),"")="","","✔")</f>
        <v/>
      </c>
      <c r="G459" s="98" t="str">
        <f>IF(IFERROR(VLOOKUP(A459,'6.混凝土'!C:D,1,0),"")="","","✔")</f>
        <v/>
      </c>
      <c r="H459" s="98" t="str">
        <f>IF(IFERROR(VLOOKUP(A459,'7.植筋'!C:D,1,0),"")="","","✔")</f>
        <v/>
      </c>
      <c r="I459" s="98" t="str">
        <f>IF(IFERROR(VLOOKUP(A459,'8.預力混凝土基樁'!C:D,1,0),"")="","","✔")</f>
        <v/>
      </c>
      <c r="J459" s="98" t="str">
        <f>IF(IFERROR(VLOOKUP(A459,'9.砌塊石護岸'!C:D,1,0),"")="","","✔")</f>
        <v/>
      </c>
      <c r="K459" s="98" t="str">
        <f>IF(IFERROR(VLOOKUP(A459,'10.低水護岸'!C:D,1,0),"")="","","✔")</f>
        <v/>
      </c>
      <c r="L459" s="98" t="str">
        <f>IF(IFERROR(VLOOKUP(A459,'11.固床工'!C:D,1,0),"")="","","✔")</f>
        <v/>
      </c>
      <c r="M459" s="98" t="str">
        <f>IF(IFERROR(VLOOKUP(A459,'12.全套管基樁'!C:D,1,0),"")="","","✔")</f>
        <v/>
      </c>
      <c r="N459" s="98" t="str">
        <f>IF(IFERROR(VLOOKUP(A459,'13.鋼筋混凝土管工程'!C:D,1,0),"")="","","✔")</f>
        <v/>
      </c>
      <c r="O459" s="98" t="str">
        <f>IF(IFERROR(VLOOKUP(A459,'14.鋼版樁'!C:D,1,0),"")="","","✔")</f>
        <v/>
      </c>
      <c r="P459" s="98" t="str">
        <f>IF(IFERROR(VLOOKUP(A459,'15.路床 路基高程'!C:D,1,0),"")="","","✔")</f>
        <v/>
      </c>
      <c r="Q459" s="98" t="str">
        <f>IF(IFERROR(VLOOKUP(A459,'16.瀝青混凝土'!C:D,1,0),"")="","","✔")</f>
        <v/>
      </c>
      <c r="R459" s="98" t="str">
        <f>IF(IFERROR(VLOOKUP(A459,'17.景觀鋪面(一)'!C:D,1,0),"")="","","✔")</f>
        <v/>
      </c>
      <c r="S459" s="98" t="str">
        <f>IF(IFERROR(VLOOKUP(A459,'18.景觀鋪面(二)'!C:D,1,0),"")="","","✔")</f>
        <v/>
      </c>
      <c r="T459" s="98" t="str">
        <f>IF(IFERROR(VLOOKUP(A459,'19.預鑄緣石'!C:D,1,0),"")="","","✔")</f>
        <v/>
      </c>
      <c r="U459" s="98" t="str">
        <f>IF(IFERROR(VLOOKUP(A459,'20.鋼構工程吊裝'!C:D,1,0),"")="","","✔")</f>
        <v/>
      </c>
      <c r="V459" s="98" t="str">
        <f>IF(IFERROR(VLOOKUP(A459,'21.鋼構工程塗裝'!C:D,1,0),"")="","","✔")</f>
        <v/>
      </c>
      <c r="W459" s="98" t="str">
        <f>IF(IFERROR(VLOOKUP(A459,'22.排水設施(一)'!C:D,1,0),"")="","","✔")</f>
        <v/>
      </c>
      <c r="X459" s="98" t="str">
        <f>IF(IFERROR(VLOOKUP(A459,'23.排水設施(二)'!C:D,1,0),"")="","","✔")</f>
        <v/>
      </c>
      <c r="Y459" s="98" t="str">
        <f>IF(IFERROR(VLOOKUP(A459,'24.木構造'!C:D,1,0),"")="","","✔")</f>
        <v/>
      </c>
      <c r="Z459" s="98" t="str">
        <f>IF(IFERROR(VLOOKUP(A459,'25.管路'!C:D,1,0),"")="","","✔")</f>
        <v/>
      </c>
      <c r="AA459" s="98" t="str">
        <f>IF(IFERROR(VLOOKUP(A459,'26.植栽(移植)'!C:D,1,0),"")="","","✔")</f>
        <v/>
      </c>
      <c r="AB459" s="98" t="str">
        <f>IF(IFERROR(VLOOKUP(A459,'27.植栽(新植)'!C:D,1,0),"")="","","✔")</f>
        <v/>
      </c>
      <c r="AC459" s="98" t="str">
        <f>IF(IFERROR(VLOOKUP(A459,'28.照明'!C:D,1,0),"")="","","✔")</f>
        <v/>
      </c>
      <c r="AD459" s="98" t="str">
        <f>IF(IFERROR(VLOOKUP(A459,'29.既有橋梁拆除'!C:D,1,0),"")="","","✔")</f>
        <v/>
      </c>
    </row>
    <row r="460" spans="1:30" ht="21.75" customHeight="1" x14ac:dyDescent="0.25">
      <c r="A460" s="99">
        <v>45650</v>
      </c>
      <c r="B460" s="98" t="str">
        <f>IF(IFERROR(VLOOKUP(A460,'1.測量放樣'!C:D,1,0),"")="","","✔")</f>
        <v/>
      </c>
      <c r="C460" s="98" t="str">
        <f>IF(IFERROR(VLOOKUP(A460,'2.土方開挖'!C:D,1,0),"")="","","✔")</f>
        <v/>
      </c>
      <c r="D460" s="98" t="str">
        <f>IF(IFERROR(VLOOKUP(A460,'3.土方回填'!C:D,1,0),"")="","","✔")</f>
        <v/>
      </c>
      <c r="E460" s="98" t="str">
        <f>IF(IFERROR(VLOOKUP(A460,'4.鋼筋'!C:D,1,0),"")="","","✔")</f>
        <v/>
      </c>
      <c r="F460" s="98" t="str">
        <f>IF(IFERROR(VLOOKUP(A460,'5.模板'!C:D,1,0),"")="","","✔")</f>
        <v/>
      </c>
      <c r="G460" s="98" t="str">
        <f>IF(IFERROR(VLOOKUP(A460,'6.混凝土'!C:D,1,0),"")="","","✔")</f>
        <v/>
      </c>
      <c r="H460" s="98" t="str">
        <f>IF(IFERROR(VLOOKUP(A460,'7.植筋'!C:D,1,0),"")="","","✔")</f>
        <v/>
      </c>
      <c r="I460" s="98" t="str">
        <f>IF(IFERROR(VLOOKUP(A460,'8.預力混凝土基樁'!C:D,1,0),"")="","","✔")</f>
        <v/>
      </c>
      <c r="J460" s="98" t="str">
        <f>IF(IFERROR(VLOOKUP(A460,'9.砌塊石護岸'!C:D,1,0),"")="","","✔")</f>
        <v/>
      </c>
      <c r="K460" s="98" t="str">
        <f>IF(IFERROR(VLOOKUP(A460,'10.低水護岸'!C:D,1,0),"")="","","✔")</f>
        <v/>
      </c>
      <c r="L460" s="98" t="str">
        <f>IF(IFERROR(VLOOKUP(A460,'11.固床工'!C:D,1,0),"")="","","✔")</f>
        <v/>
      </c>
      <c r="M460" s="98" t="str">
        <f>IF(IFERROR(VLOOKUP(A460,'12.全套管基樁'!C:D,1,0),"")="","","✔")</f>
        <v/>
      </c>
      <c r="N460" s="98" t="str">
        <f>IF(IFERROR(VLOOKUP(A460,'13.鋼筋混凝土管工程'!C:D,1,0),"")="","","✔")</f>
        <v/>
      </c>
      <c r="O460" s="98" t="str">
        <f>IF(IFERROR(VLOOKUP(A460,'14.鋼版樁'!C:D,1,0),"")="","","✔")</f>
        <v/>
      </c>
      <c r="P460" s="98" t="str">
        <f>IF(IFERROR(VLOOKUP(A460,'15.路床 路基高程'!C:D,1,0),"")="","","✔")</f>
        <v/>
      </c>
      <c r="Q460" s="98" t="str">
        <f>IF(IFERROR(VLOOKUP(A460,'16.瀝青混凝土'!C:D,1,0),"")="","","✔")</f>
        <v/>
      </c>
      <c r="R460" s="98" t="str">
        <f>IF(IFERROR(VLOOKUP(A460,'17.景觀鋪面(一)'!C:D,1,0),"")="","","✔")</f>
        <v/>
      </c>
      <c r="S460" s="98" t="str">
        <f>IF(IFERROR(VLOOKUP(A460,'18.景觀鋪面(二)'!C:D,1,0),"")="","","✔")</f>
        <v/>
      </c>
      <c r="T460" s="98" t="str">
        <f>IF(IFERROR(VLOOKUP(A460,'19.預鑄緣石'!C:D,1,0),"")="","","✔")</f>
        <v/>
      </c>
      <c r="U460" s="98" t="str">
        <f>IF(IFERROR(VLOOKUP(A460,'20.鋼構工程吊裝'!C:D,1,0),"")="","","✔")</f>
        <v/>
      </c>
      <c r="V460" s="98" t="str">
        <f>IF(IFERROR(VLOOKUP(A460,'21.鋼構工程塗裝'!C:D,1,0),"")="","","✔")</f>
        <v/>
      </c>
      <c r="W460" s="98" t="str">
        <f>IF(IFERROR(VLOOKUP(A460,'22.排水設施(一)'!C:D,1,0),"")="","","✔")</f>
        <v/>
      </c>
      <c r="X460" s="98" t="str">
        <f>IF(IFERROR(VLOOKUP(A460,'23.排水設施(二)'!C:D,1,0),"")="","","✔")</f>
        <v/>
      </c>
      <c r="Y460" s="98" t="str">
        <f>IF(IFERROR(VLOOKUP(A460,'24.木構造'!C:D,1,0),"")="","","✔")</f>
        <v/>
      </c>
      <c r="Z460" s="98" t="str">
        <f>IF(IFERROR(VLOOKUP(A460,'25.管路'!C:D,1,0),"")="","","✔")</f>
        <v/>
      </c>
      <c r="AA460" s="98" t="str">
        <f>IF(IFERROR(VLOOKUP(A460,'26.植栽(移植)'!C:D,1,0),"")="","","✔")</f>
        <v/>
      </c>
      <c r="AB460" s="98" t="str">
        <f>IF(IFERROR(VLOOKUP(A460,'27.植栽(新植)'!C:D,1,0),"")="","","✔")</f>
        <v/>
      </c>
      <c r="AC460" s="98" t="str">
        <f>IF(IFERROR(VLOOKUP(A460,'28.照明'!C:D,1,0),"")="","","✔")</f>
        <v/>
      </c>
      <c r="AD460" s="98" t="str">
        <f>IF(IFERROR(VLOOKUP(A460,'29.既有橋梁拆除'!C:D,1,0),"")="","","✔")</f>
        <v/>
      </c>
    </row>
    <row r="461" spans="1:30" ht="21.75" customHeight="1" x14ac:dyDescent="0.25">
      <c r="A461" s="99">
        <v>45651</v>
      </c>
      <c r="B461" s="98" t="str">
        <f>IF(IFERROR(VLOOKUP(A461,'1.測量放樣'!C:D,1,0),"")="","","✔")</f>
        <v/>
      </c>
      <c r="C461" s="98" t="str">
        <f>IF(IFERROR(VLOOKUP(A461,'2.土方開挖'!C:D,1,0),"")="","","✔")</f>
        <v/>
      </c>
      <c r="D461" s="98" t="str">
        <f>IF(IFERROR(VLOOKUP(A461,'3.土方回填'!C:D,1,0),"")="","","✔")</f>
        <v/>
      </c>
      <c r="E461" s="98" t="str">
        <f>IF(IFERROR(VLOOKUP(A461,'4.鋼筋'!C:D,1,0),"")="","","✔")</f>
        <v/>
      </c>
      <c r="F461" s="98" t="str">
        <f>IF(IFERROR(VLOOKUP(A461,'5.模板'!C:D,1,0),"")="","","✔")</f>
        <v/>
      </c>
      <c r="G461" s="98" t="str">
        <f>IF(IFERROR(VLOOKUP(A461,'6.混凝土'!C:D,1,0),"")="","","✔")</f>
        <v/>
      </c>
      <c r="H461" s="98" t="str">
        <f>IF(IFERROR(VLOOKUP(A461,'7.植筋'!C:D,1,0),"")="","","✔")</f>
        <v/>
      </c>
      <c r="I461" s="98" t="str">
        <f>IF(IFERROR(VLOOKUP(A461,'8.預力混凝土基樁'!C:D,1,0),"")="","","✔")</f>
        <v/>
      </c>
      <c r="J461" s="98" t="str">
        <f>IF(IFERROR(VLOOKUP(A461,'9.砌塊石護岸'!C:D,1,0),"")="","","✔")</f>
        <v/>
      </c>
      <c r="K461" s="98" t="str">
        <f>IF(IFERROR(VLOOKUP(A461,'10.低水護岸'!C:D,1,0),"")="","","✔")</f>
        <v/>
      </c>
      <c r="L461" s="98" t="str">
        <f>IF(IFERROR(VLOOKUP(A461,'11.固床工'!C:D,1,0),"")="","","✔")</f>
        <v/>
      </c>
      <c r="M461" s="98" t="str">
        <f>IF(IFERROR(VLOOKUP(A461,'12.全套管基樁'!C:D,1,0),"")="","","✔")</f>
        <v/>
      </c>
      <c r="N461" s="98" t="str">
        <f>IF(IFERROR(VLOOKUP(A461,'13.鋼筋混凝土管工程'!C:D,1,0),"")="","","✔")</f>
        <v/>
      </c>
      <c r="O461" s="98" t="str">
        <f>IF(IFERROR(VLOOKUP(A461,'14.鋼版樁'!C:D,1,0),"")="","","✔")</f>
        <v/>
      </c>
      <c r="P461" s="98" t="str">
        <f>IF(IFERROR(VLOOKUP(A461,'15.路床 路基高程'!C:D,1,0),"")="","","✔")</f>
        <v/>
      </c>
      <c r="Q461" s="98" t="str">
        <f>IF(IFERROR(VLOOKUP(A461,'16.瀝青混凝土'!C:D,1,0),"")="","","✔")</f>
        <v/>
      </c>
      <c r="R461" s="98" t="str">
        <f>IF(IFERROR(VLOOKUP(A461,'17.景觀鋪面(一)'!C:D,1,0),"")="","","✔")</f>
        <v/>
      </c>
      <c r="S461" s="98" t="str">
        <f>IF(IFERROR(VLOOKUP(A461,'18.景觀鋪面(二)'!C:D,1,0),"")="","","✔")</f>
        <v/>
      </c>
      <c r="T461" s="98" t="str">
        <f>IF(IFERROR(VLOOKUP(A461,'19.預鑄緣石'!C:D,1,0),"")="","","✔")</f>
        <v/>
      </c>
      <c r="U461" s="98" t="str">
        <f>IF(IFERROR(VLOOKUP(A461,'20.鋼構工程吊裝'!C:D,1,0),"")="","","✔")</f>
        <v/>
      </c>
      <c r="V461" s="98" t="str">
        <f>IF(IFERROR(VLOOKUP(A461,'21.鋼構工程塗裝'!C:D,1,0),"")="","","✔")</f>
        <v/>
      </c>
      <c r="W461" s="98" t="str">
        <f>IF(IFERROR(VLOOKUP(A461,'22.排水設施(一)'!C:D,1,0),"")="","","✔")</f>
        <v/>
      </c>
      <c r="X461" s="98" t="str">
        <f>IF(IFERROR(VLOOKUP(A461,'23.排水設施(二)'!C:D,1,0),"")="","","✔")</f>
        <v/>
      </c>
      <c r="Y461" s="98" t="str">
        <f>IF(IFERROR(VLOOKUP(A461,'24.木構造'!C:D,1,0),"")="","","✔")</f>
        <v/>
      </c>
      <c r="Z461" s="98" t="str">
        <f>IF(IFERROR(VLOOKUP(A461,'25.管路'!C:D,1,0),"")="","","✔")</f>
        <v/>
      </c>
      <c r="AA461" s="98" t="str">
        <f>IF(IFERROR(VLOOKUP(A461,'26.植栽(移植)'!C:D,1,0),"")="","","✔")</f>
        <v/>
      </c>
      <c r="AB461" s="98" t="str">
        <f>IF(IFERROR(VLOOKUP(A461,'27.植栽(新植)'!C:D,1,0),"")="","","✔")</f>
        <v/>
      </c>
      <c r="AC461" s="98" t="str">
        <f>IF(IFERROR(VLOOKUP(A461,'28.照明'!C:D,1,0),"")="","","✔")</f>
        <v/>
      </c>
      <c r="AD461" s="98" t="str">
        <f>IF(IFERROR(VLOOKUP(A461,'29.既有橋梁拆除'!C:D,1,0),"")="","","✔")</f>
        <v/>
      </c>
    </row>
    <row r="462" spans="1:30" ht="21.75" customHeight="1" x14ac:dyDescent="0.25">
      <c r="A462" s="99">
        <v>45652</v>
      </c>
      <c r="B462" s="98" t="str">
        <f>IF(IFERROR(VLOOKUP(A462,'1.測量放樣'!C:D,1,0),"")="","","✔")</f>
        <v/>
      </c>
      <c r="C462" s="98" t="str">
        <f>IF(IFERROR(VLOOKUP(A462,'2.土方開挖'!C:D,1,0),"")="","","✔")</f>
        <v/>
      </c>
      <c r="D462" s="98" t="str">
        <f>IF(IFERROR(VLOOKUP(A462,'3.土方回填'!C:D,1,0),"")="","","✔")</f>
        <v/>
      </c>
      <c r="E462" s="98" t="str">
        <f>IF(IFERROR(VLOOKUP(A462,'4.鋼筋'!C:D,1,0),"")="","","✔")</f>
        <v/>
      </c>
      <c r="F462" s="98" t="str">
        <f>IF(IFERROR(VLOOKUP(A462,'5.模板'!C:D,1,0),"")="","","✔")</f>
        <v/>
      </c>
      <c r="G462" s="98" t="str">
        <f>IF(IFERROR(VLOOKUP(A462,'6.混凝土'!C:D,1,0),"")="","","✔")</f>
        <v/>
      </c>
      <c r="H462" s="98" t="str">
        <f>IF(IFERROR(VLOOKUP(A462,'7.植筋'!C:D,1,0),"")="","","✔")</f>
        <v/>
      </c>
      <c r="I462" s="98" t="str">
        <f>IF(IFERROR(VLOOKUP(A462,'8.預力混凝土基樁'!C:D,1,0),"")="","","✔")</f>
        <v/>
      </c>
      <c r="J462" s="98" t="str">
        <f>IF(IFERROR(VLOOKUP(A462,'9.砌塊石護岸'!C:D,1,0),"")="","","✔")</f>
        <v/>
      </c>
      <c r="K462" s="98" t="str">
        <f>IF(IFERROR(VLOOKUP(A462,'10.低水護岸'!C:D,1,0),"")="","","✔")</f>
        <v/>
      </c>
      <c r="L462" s="98" t="str">
        <f>IF(IFERROR(VLOOKUP(A462,'11.固床工'!C:D,1,0),"")="","","✔")</f>
        <v/>
      </c>
      <c r="M462" s="98" t="str">
        <f>IF(IFERROR(VLOOKUP(A462,'12.全套管基樁'!C:D,1,0),"")="","","✔")</f>
        <v/>
      </c>
      <c r="N462" s="98" t="str">
        <f>IF(IFERROR(VLOOKUP(A462,'13.鋼筋混凝土管工程'!C:D,1,0),"")="","","✔")</f>
        <v/>
      </c>
      <c r="O462" s="98" t="str">
        <f>IF(IFERROR(VLOOKUP(A462,'14.鋼版樁'!C:D,1,0),"")="","","✔")</f>
        <v/>
      </c>
      <c r="P462" s="98" t="str">
        <f>IF(IFERROR(VLOOKUP(A462,'15.路床 路基高程'!C:D,1,0),"")="","","✔")</f>
        <v/>
      </c>
      <c r="Q462" s="98" t="str">
        <f>IF(IFERROR(VLOOKUP(A462,'16.瀝青混凝土'!C:D,1,0),"")="","","✔")</f>
        <v/>
      </c>
      <c r="R462" s="98" t="str">
        <f>IF(IFERROR(VLOOKUP(A462,'17.景觀鋪面(一)'!C:D,1,0),"")="","","✔")</f>
        <v/>
      </c>
      <c r="S462" s="98" t="str">
        <f>IF(IFERROR(VLOOKUP(A462,'18.景觀鋪面(二)'!C:D,1,0),"")="","","✔")</f>
        <v/>
      </c>
      <c r="T462" s="98" t="str">
        <f>IF(IFERROR(VLOOKUP(A462,'19.預鑄緣石'!C:D,1,0),"")="","","✔")</f>
        <v/>
      </c>
      <c r="U462" s="98" t="str">
        <f>IF(IFERROR(VLOOKUP(A462,'20.鋼構工程吊裝'!C:D,1,0),"")="","","✔")</f>
        <v/>
      </c>
      <c r="V462" s="98" t="str">
        <f>IF(IFERROR(VLOOKUP(A462,'21.鋼構工程塗裝'!C:D,1,0),"")="","","✔")</f>
        <v/>
      </c>
      <c r="W462" s="98" t="str">
        <f>IF(IFERROR(VLOOKUP(A462,'22.排水設施(一)'!C:D,1,0),"")="","","✔")</f>
        <v/>
      </c>
      <c r="X462" s="98" t="str">
        <f>IF(IFERROR(VLOOKUP(A462,'23.排水設施(二)'!C:D,1,0),"")="","","✔")</f>
        <v/>
      </c>
      <c r="Y462" s="98" t="str">
        <f>IF(IFERROR(VLOOKUP(A462,'24.木構造'!C:D,1,0),"")="","","✔")</f>
        <v/>
      </c>
      <c r="Z462" s="98" t="str">
        <f>IF(IFERROR(VLOOKUP(A462,'25.管路'!C:D,1,0),"")="","","✔")</f>
        <v/>
      </c>
      <c r="AA462" s="98" t="str">
        <f>IF(IFERROR(VLOOKUP(A462,'26.植栽(移植)'!C:D,1,0),"")="","","✔")</f>
        <v/>
      </c>
      <c r="AB462" s="98" t="str">
        <f>IF(IFERROR(VLOOKUP(A462,'27.植栽(新植)'!C:D,1,0),"")="","","✔")</f>
        <v/>
      </c>
      <c r="AC462" s="98" t="str">
        <f>IF(IFERROR(VLOOKUP(A462,'28.照明'!C:D,1,0),"")="","","✔")</f>
        <v/>
      </c>
      <c r="AD462" s="98" t="str">
        <f>IF(IFERROR(VLOOKUP(A462,'29.既有橋梁拆除'!C:D,1,0),"")="","","✔")</f>
        <v/>
      </c>
    </row>
    <row r="463" spans="1:30" ht="21.75" customHeight="1" x14ac:dyDescent="0.25">
      <c r="A463" s="99">
        <v>45653</v>
      </c>
      <c r="B463" s="98" t="str">
        <f>IF(IFERROR(VLOOKUP(A463,'1.測量放樣'!C:D,1,0),"")="","","✔")</f>
        <v/>
      </c>
      <c r="C463" s="98" t="str">
        <f>IF(IFERROR(VLOOKUP(A463,'2.土方開挖'!C:D,1,0),"")="","","✔")</f>
        <v/>
      </c>
      <c r="D463" s="98" t="str">
        <f>IF(IFERROR(VLOOKUP(A463,'3.土方回填'!C:D,1,0),"")="","","✔")</f>
        <v/>
      </c>
      <c r="E463" s="98" t="str">
        <f>IF(IFERROR(VLOOKUP(A463,'4.鋼筋'!C:D,1,0),"")="","","✔")</f>
        <v/>
      </c>
      <c r="F463" s="98" t="str">
        <f>IF(IFERROR(VLOOKUP(A463,'5.模板'!C:D,1,0),"")="","","✔")</f>
        <v/>
      </c>
      <c r="G463" s="98" t="str">
        <f>IF(IFERROR(VLOOKUP(A463,'6.混凝土'!C:D,1,0),"")="","","✔")</f>
        <v/>
      </c>
      <c r="H463" s="98" t="str">
        <f>IF(IFERROR(VLOOKUP(A463,'7.植筋'!C:D,1,0),"")="","","✔")</f>
        <v/>
      </c>
      <c r="I463" s="98" t="str">
        <f>IF(IFERROR(VLOOKUP(A463,'8.預力混凝土基樁'!C:D,1,0),"")="","","✔")</f>
        <v/>
      </c>
      <c r="J463" s="98" t="str">
        <f>IF(IFERROR(VLOOKUP(A463,'9.砌塊石護岸'!C:D,1,0),"")="","","✔")</f>
        <v/>
      </c>
      <c r="K463" s="98" t="str">
        <f>IF(IFERROR(VLOOKUP(A463,'10.低水護岸'!C:D,1,0),"")="","","✔")</f>
        <v/>
      </c>
      <c r="L463" s="98" t="str">
        <f>IF(IFERROR(VLOOKUP(A463,'11.固床工'!C:D,1,0),"")="","","✔")</f>
        <v/>
      </c>
      <c r="M463" s="98" t="str">
        <f>IF(IFERROR(VLOOKUP(A463,'12.全套管基樁'!C:D,1,0),"")="","","✔")</f>
        <v/>
      </c>
      <c r="N463" s="98" t="str">
        <f>IF(IFERROR(VLOOKUP(A463,'13.鋼筋混凝土管工程'!C:D,1,0),"")="","","✔")</f>
        <v/>
      </c>
      <c r="O463" s="98" t="str">
        <f>IF(IFERROR(VLOOKUP(A463,'14.鋼版樁'!C:D,1,0),"")="","","✔")</f>
        <v/>
      </c>
      <c r="P463" s="98" t="str">
        <f>IF(IFERROR(VLOOKUP(A463,'15.路床 路基高程'!C:D,1,0),"")="","","✔")</f>
        <v/>
      </c>
      <c r="Q463" s="98" t="str">
        <f>IF(IFERROR(VLOOKUP(A463,'16.瀝青混凝土'!C:D,1,0),"")="","","✔")</f>
        <v/>
      </c>
      <c r="R463" s="98" t="str">
        <f>IF(IFERROR(VLOOKUP(A463,'17.景觀鋪面(一)'!C:D,1,0),"")="","","✔")</f>
        <v/>
      </c>
      <c r="S463" s="98" t="str">
        <f>IF(IFERROR(VLOOKUP(A463,'18.景觀鋪面(二)'!C:D,1,0),"")="","","✔")</f>
        <v/>
      </c>
      <c r="T463" s="98" t="str">
        <f>IF(IFERROR(VLOOKUP(A463,'19.預鑄緣石'!C:D,1,0),"")="","","✔")</f>
        <v/>
      </c>
      <c r="U463" s="98" t="str">
        <f>IF(IFERROR(VLOOKUP(A463,'20.鋼構工程吊裝'!C:D,1,0),"")="","","✔")</f>
        <v/>
      </c>
      <c r="V463" s="98" t="str">
        <f>IF(IFERROR(VLOOKUP(A463,'21.鋼構工程塗裝'!C:D,1,0),"")="","","✔")</f>
        <v/>
      </c>
      <c r="W463" s="98" t="str">
        <f>IF(IFERROR(VLOOKUP(A463,'22.排水設施(一)'!C:D,1,0),"")="","","✔")</f>
        <v/>
      </c>
      <c r="X463" s="98" t="str">
        <f>IF(IFERROR(VLOOKUP(A463,'23.排水設施(二)'!C:D,1,0),"")="","","✔")</f>
        <v/>
      </c>
      <c r="Y463" s="98" t="str">
        <f>IF(IFERROR(VLOOKUP(A463,'24.木構造'!C:D,1,0),"")="","","✔")</f>
        <v/>
      </c>
      <c r="Z463" s="98" t="str">
        <f>IF(IFERROR(VLOOKUP(A463,'25.管路'!C:D,1,0),"")="","","✔")</f>
        <v/>
      </c>
      <c r="AA463" s="98" t="str">
        <f>IF(IFERROR(VLOOKUP(A463,'26.植栽(移植)'!C:D,1,0),"")="","","✔")</f>
        <v/>
      </c>
      <c r="AB463" s="98" t="str">
        <f>IF(IFERROR(VLOOKUP(A463,'27.植栽(新植)'!C:D,1,0),"")="","","✔")</f>
        <v/>
      </c>
      <c r="AC463" s="98" t="str">
        <f>IF(IFERROR(VLOOKUP(A463,'28.照明'!C:D,1,0),"")="","","✔")</f>
        <v/>
      </c>
      <c r="AD463" s="98" t="str">
        <f>IF(IFERROR(VLOOKUP(A463,'29.既有橋梁拆除'!C:D,1,0),"")="","","✔")</f>
        <v/>
      </c>
    </row>
    <row r="464" spans="1:30" ht="21.75" customHeight="1" x14ac:dyDescent="0.25">
      <c r="A464" s="99">
        <v>45654</v>
      </c>
      <c r="B464" s="98" t="str">
        <f>IF(IFERROR(VLOOKUP(A464,'1.測量放樣'!C:D,1,0),"")="","","✔")</f>
        <v/>
      </c>
      <c r="C464" s="98" t="str">
        <f>IF(IFERROR(VLOOKUP(A464,'2.土方開挖'!C:D,1,0),"")="","","✔")</f>
        <v/>
      </c>
      <c r="D464" s="98" t="str">
        <f>IF(IFERROR(VLOOKUP(A464,'3.土方回填'!C:D,1,0),"")="","","✔")</f>
        <v/>
      </c>
      <c r="E464" s="98" t="str">
        <f>IF(IFERROR(VLOOKUP(A464,'4.鋼筋'!C:D,1,0),"")="","","✔")</f>
        <v/>
      </c>
      <c r="F464" s="98" t="str">
        <f>IF(IFERROR(VLOOKUP(A464,'5.模板'!C:D,1,0),"")="","","✔")</f>
        <v/>
      </c>
      <c r="G464" s="98" t="str">
        <f>IF(IFERROR(VLOOKUP(A464,'6.混凝土'!C:D,1,0),"")="","","✔")</f>
        <v/>
      </c>
      <c r="H464" s="98" t="str">
        <f>IF(IFERROR(VLOOKUP(A464,'7.植筋'!C:D,1,0),"")="","","✔")</f>
        <v/>
      </c>
      <c r="I464" s="98" t="str">
        <f>IF(IFERROR(VLOOKUP(A464,'8.預力混凝土基樁'!C:D,1,0),"")="","","✔")</f>
        <v/>
      </c>
      <c r="J464" s="98" t="str">
        <f>IF(IFERROR(VLOOKUP(A464,'9.砌塊石護岸'!C:D,1,0),"")="","","✔")</f>
        <v/>
      </c>
      <c r="K464" s="98" t="str">
        <f>IF(IFERROR(VLOOKUP(A464,'10.低水護岸'!C:D,1,0),"")="","","✔")</f>
        <v/>
      </c>
      <c r="L464" s="98" t="str">
        <f>IF(IFERROR(VLOOKUP(A464,'11.固床工'!C:D,1,0),"")="","","✔")</f>
        <v/>
      </c>
      <c r="M464" s="98" t="str">
        <f>IF(IFERROR(VLOOKUP(A464,'12.全套管基樁'!C:D,1,0),"")="","","✔")</f>
        <v/>
      </c>
      <c r="N464" s="98" t="str">
        <f>IF(IFERROR(VLOOKUP(A464,'13.鋼筋混凝土管工程'!C:D,1,0),"")="","","✔")</f>
        <v/>
      </c>
      <c r="O464" s="98" t="str">
        <f>IF(IFERROR(VLOOKUP(A464,'14.鋼版樁'!C:D,1,0),"")="","","✔")</f>
        <v/>
      </c>
      <c r="P464" s="98" t="str">
        <f>IF(IFERROR(VLOOKUP(A464,'15.路床 路基高程'!C:D,1,0),"")="","","✔")</f>
        <v/>
      </c>
      <c r="Q464" s="98" t="str">
        <f>IF(IFERROR(VLOOKUP(A464,'16.瀝青混凝土'!C:D,1,0),"")="","","✔")</f>
        <v/>
      </c>
      <c r="R464" s="98" t="str">
        <f>IF(IFERROR(VLOOKUP(A464,'17.景觀鋪面(一)'!C:D,1,0),"")="","","✔")</f>
        <v/>
      </c>
      <c r="S464" s="98" t="str">
        <f>IF(IFERROR(VLOOKUP(A464,'18.景觀鋪面(二)'!C:D,1,0),"")="","","✔")</f>
        <v/>
      </c>
      <c r="T464" s="98" t="str">
        <f>IF(IFERROR(VLOOKUP(A464,'19.預鑄緣石'!C:D,1,0),"")="","","✔")</f>
        <v/>
      </c>
      <c r="U464" s="98" t="str">
        <f>IF(IFERROR(VLOOKUP(A464,'20.鋼構工程吊裝'!C:D,1,0),"")="","","✔")</f>
        <v/>
      </c>
      <c r="V464" s="98" t="str">
        <f>IF(IFERROR(VLOOKUP(A464,'21.鋼構工程塗裝'!C:D,1,0),"")="","","✔")</f>
        <v/>
      </c>
      <c r="W464" s="98" t="str">
        <f>IF(IFERROR(VLOOKUP(A464,'22.排水設施(一)'!C:D,1,0),"")="","","✔")</f>
        <v/>
      </c>
      <c r="X464" s="98" t="str">
        <f>IF(IFERROR(VLOOKUP(A464,'23.排水設施(二)'!C:D,1,0),"")="","","✔")</f>
        <v/>
      </c>
      <c r="Y464" s="98" t="str">
        <f>IF(IFERROR(VLOOKUP(A464,'24.木構造'!C:D,1,0),"")="","","✔")</f>
        <v/>
      </c>
      <c r="Z464" s="98" t="str">
        <f>IF(IFERROR(VLOOKUP(A464,'25.管路'!C:D,1,0),"")="","","✔")</f>
        <v/>
      </c>
      <c r="AA464" s="98" t="str">
        <f>IF(IFERROR(VLOOKUP(A464,'26.植栽(移植)'!C:D,1,0),"")="","","✔")</f>
        <v/>
      </c>
      <c r="AB464" s="98" t="str">
        <f>IF(IFERROR(VLOOKUP(A464,'27.植栽(新植)'!C:D,1,0),"")="","","✔")</f>
        <v/>
      </c>
      <c r="AC464" s="98" t="str">
        <f>IF(IFERROR(VLOOKUP(A464,'28.照明'!C:D,1,0),"")="","","✔")</f>
        <v/>
      </c>
      <c r="AD464" s="98" t="str">
        <f>IF(IFERROR(VLOOKUP(A464,'29.既有橋梁拆除'!C:D,1,0),"")="","","✔")</f>
        <v/>
      </c>
    </row>
    <row r="465" spans="1:30" ht="21.75" customHeight="1" x14ac:dyDescent="0.25">
      <c r="A465" s="99">
        <v>45655</v>
      </c>
      <c r="B465" s="98" t="str">
        <f>IF(IFERROR(VLOOKUP(A465,'1.測量放樣'!C:D,1,0),"")="","","✔")</f>
        <v/>
      </c>
      <c r="C465" s="98" t="str">
        <f>IF(IFERROR(VLOOKUP(A465,'2.土方開挖'!C:D,1,0),"")="","","✔")</f>
        <v/>
      </c>
      <c r="D465" s="98" t="str">
        <f>IF(IFERROR(VLOOKUP(A465,'3.土方回填'!C:D,1,0),"")="","","✔")</f>
        <v/>
      </c>
      <c r="E465" s="98" t="str">
        <f>IF(IFERROR(VLOOKUP(A465,'4.鋼筋'!C:D,1,0),"")="","","✔")</f>
        <v/>
      </c>
      <c r="F465" s="98" t="str">
        <f>IF(IFERROR(VLOOKUP(A465,'5.模板'!C:D,1,0),"")="","","✔")</f>
        <v/>
      </c>
      <c r="G465" s="98" t="str">
        <f>IF(IFERROR(VLOOKUP(A465,'6.混凝土'!C:D,1,0),"")="","","✔")</f>
        <v/>
      </c>
      <c r="H465" s="98" t="str">
        <f>IF(IFERROR(VLOOKUP(A465,'7.植筋'!C:D,1,0),"")="","","✔")</f>
        <v/>
      </c>
      <c r="I465" s="98" t="str">
        <f>IF(IFERROR(VLOOKUP(A465,'8.預力混凝土基樁'!C:D,1,0),"")="","","✔")</f>
        <v/>
      </c>
      <c r="J465" s="98" t="str">
        <f>IF(IFERROR(VLOOKUP(A465,'9.砌塊石護岸'!C:D,1,0),"")="","","✔")</f>
        <v/>
      </c>
      <c r="K465" s="98" t="str">
        <f>IF(IFERROR(VLOOKUP(A465,'10.低水護岸'!C:D,1,0),"")="","","✔")</f>
        <v/>
      </c>
      <c r="L465" s="98" t="str">
        <f>IF(IFERROR(VLOOKUP(A465,'11.固床工'!C:D,1,0),"")="","","✔")</f>
        <v/>
      </c>
      <c r="M465" s="98" t="str">
        <f>IF(IFERROR(VLOOKUP(A465,'12.全套管基樁'!C:D,1,0),"")="","","✔")</f>
        <v/>
      </c>
      <c r="N465" s="98" t="str">
        <f>IF(IFERROR(VLOOKUP(A465,'13.鋼筋混凝土管工程'!C:D,1,0),"")="","","✔")</f>
        <v/>
      </c>
      <c r="O465" s="98" t="str">
        <f>IF(IFERROR(VLOOKUP(A465,'14.鋼版樁'!C:D,1,0),"")="","","✔")</f>
        <v/>
      </c>
      <c r="P465" s="98" t="str">
        <f>IF(IFERROR(VLOOKUP(A465,'15.路床 路基高程'!C:D,1,0),"")="","","✔")</f>
        <v/>
      </c>
      <c r="Q465" s="98" t="str">
        <f>IF(IFERROR(VLOOKUP(A465,'16.瀝青混凝土'!C:D,1,0),"")="","","✔")</f>
        <v/>
      </c>
      <c r="R465" s="98" t="str">
        <f>IF(IFERROR(VLOOKUP(A465,'17.景觀鋪面(一)'!C:D,1,0),"")="","","✔")</f>
        <v/>
      </c>
      <c r="S465" s="98" t="str">
        <f>IF(IFERROR(VLOOKUP(A465,'18.景觀鋪面(二)'!C:D,1,0),"")="","","✔")</f>
        <v/>
      </c>
      <c r="T465" s="98" t="str">
        <f>IF(IFERROR(VLOOKUP(A465,'19.預鑄緣石'!C:D,1,0),"")="","","✔")</f>
        <v/>
      </c>
      <c r="U465" s="98" t="str">
        <f>IF(IFERROR(VLOOKUP(A465,'20.鋼構工程吊裝'!C:D,1,0),"")="","","✔")</f>
        <v/>
      </c>
      <c r="V465" s="98" t="str">
        <f>IF(IFERROR(VLOOKUP(A465,'21.鋼構工程塗裝'!C:D,1,0),"")="","","✔")</f>
        <v/>
      </c>
      <c r="W465" s="98" t="str">
        <f>IF(IFERROR(VLOOKUP(A465,'22.排水設施(一)'!C:D,1,0),"")="","","✔")</f>
        <v/>
      </c>
      <c r="X465" s="98" t="str">
        <f>IF(IFERROR(VLOOKUP(A465,'23.排水設施(二)'!C:D,1,0),"")="","","✔")</f>
        <v/>
      </c>
      <c r="Y465" s="98" t="str">
        <f>IF(IFERROR(VLOOKUP(A465,'24.木構造'!C:D,1,0),"")="","","✔")</f>
        <v/>
      </c>
      <c r="Z465" s="98" t="str">
        <f>IF(IFERROR(VLOOKUP(A465,'25.管路'!C:D,1,0),"")="","","✔")</f>
        <v/>
      </c>
      <c r="AA465" s="98" t="str">
        <f>IF(IFERROR(VLOOKUP(A465,'26.植栽(移植)'!C:D,1,0),"")="","","✔")</f>
        <v/>
      </c>
      <c r="AB465" s="98" t="str">
        <f>IF(IFERROR(VLOOKUP(A465,'27.植栽(新植)'!C:D,1,0),"")="","","✔")</f>
        <v/>
      </c>
      <c r="AC465" s="98" t="str">
        <f>IF(IFERROR(VLOOKUP(A465,'28.照明'!C:D,1,0),"")="","","✔")</f>
        <v/>
      </c>
      <c r="AD465" s="98" t="str">
        <f>IF(IFERROR(VLOOKUP(A465,'29.既有橋梁拆除'!C:D,1,0),"")="","","✔")</f>
        <v/>
      </c>
    </row>
    <row r="466" spans="1:30" ht="21.75" customHeight="1" x14ac:dyDescent="0.25">
      <c r="A466" s="99">
        <v>45656</v>
      </c>
      <c r="B466" s="98" t="str">
        <f>IF(IFERROR(VLOOKUP(A466,'1.測量放樣'!C:D,1,0),"")="","","✔")</f>
        <v/>
      </c>
      <c r="C466" s="98" t="str">
        <f>IF(IFERROR(VLOOKUP(A466,'2.土方開挖'!C:D,1,0),"")="","","✔")</f>
        <v/>
      </c>
      <c r="D466" s="98" t="str">
        <f>IF(IFERROR(VLOOKUP(A466,'3.土方回填'!C:D,1,0),"")="","","✔")</f>
        <v/>
      </c>
      <c r="E466" s="98" t="str">
        <f>IF(IFERROR(VLOOKUP(A466,'4.鋼筋'!C:D,1,0),"")="","","✔")</f>
        <v/>
      </c>
      <c r="F466" s="98" t="str">
        <f>IF(IFERROR(VLOOKUP(A466,'5.模板'!C:D,1,0),"")="","","✔")</f>
        <v/>
      </c>
      <c r="G466" s="98" t="str">
        <f>IF(IFERROR(VLOOKUP(A466,'6.混凝土'!C:D,1,0),"")="","","✔")</f>
        <v/>
      </c>
      <c r="H466" s="98" t="str">
        <f>IF(IFERROR(VLOOKUP(A466,'7.植筋'!C:D,1,0),"")="","","✔")</f>
        <v/>
      </c>
      <c r="I466" s="98" t="str">
        <f>IF(IFERROR(VLOOKUP(A466,'8.預力混凝土基樁'!C:D,1,0),"")="","","✔")</f>
        <v/>
      </c>
      <c r="J466" s="98" t="str">
        <f>IF(IFERROR(VLOOKUP(A466,'9.砌塊石護岸'!C:D,1,0),"")="","","✔")</f>
        <v/>
      </c>
      <c r="K466" s="98" t="str">
        <f>IF(IFERROR(VLOOKUP(A466,'10.低水護岸'!C:D,1,0),"")="","","✔")</f>
        <v/>
      </c>
      <c r="L466" s="98" t="str">
        <f>IF(IFERROR(VLOOKUP(A466,'11.固床工'!C:D,1,0),"")="","","✔")</f>
        <v/>
      </c>
      <c r="M466" s="98" t="str">
        <f>IF(IFERROR(VLOOKUP(A466,'12.全套管基樁'!C:D,1,0),"")="","","✔")</f>
        <v/>
      </c>
      <c r="N466" s="98" t="str">
        <f>IF(IFERROR(VLOOKUP(A466,'13.鋼筋混凝土管工程'!C:D,1,0),"")="","","✔")</f>
        <v/>
      </c>
      <c r="O466" s="98" t="str">
        <f>IF(IFERROR(VLOOKUP(A466,'14.鋼版樁'!C:D,1,0),"")="","","✔")</f>
        <v/>
      </c>
      <c r="P466" s="98" t="str">
        <f>IF(IFERROR(VLOOKUP(A466,'15.路床 路基高程'!C:D,1,0),"")="","","✔")</f>
        <v/>
      </c>
      <c r="Q466" s="98" t="str">
        <f>IF(IFERROR(VLOOKUP(A466,'16.瀝青混凝土'!C:D,1,0),"")="","","✔")</f>
        <v/>
      </c>
      <c r="R466" s="98" t="str">
        <f>IF(IFERROR(VLOOKUP(A466,'17.景觀鋪面(一)'!C:D,1,0),"")="","","✔")</f>
        <v/>
      </c>
      <c r="S466" s="98" t="str">
        <f>IF(IFERROR(VLOOKUP(A466,'18.景觀鋪面(二)'!C:D,1,0),"")="","","✔")</f>
        <v/>
      </c>
      <c r="T466" s="98" t="str">
        <f>IF(IFERROR(VLOOKUP(A466,'19.預鑄緣石'!C:D,1,0),"")="","","✔")</f>
        <v/>
      </c>
      <c r="U466" s="98" t="str">
        <f>IF(IFERROR(VLOOKUP(A466,'20.鋼構工程吊裝'!C:D,1,0),"")="","","✔")</f>
        <v/>
      </c>
      <c r="V466" s="98" t="str">
        <f>IF(IFERROR(VLOOKUP(A466,'21.鋼構工程塗裝'!C:D,1,0),"")="","","✔")</f>
        <v/>
      </c>
      <c r="W466" s="98" t="str">
        <f>IF(IFERROR(VLOOKUP(A466,'22.排水設施(一)'!C:D,1,0),"")="","","✔")</f>
        <v/>
      </c>
      <c r="X466" s="98" t="str">
        <f>IF(IFERROR(VLOOKUP(A466,'23.排水設施(二)'!C:D,1,0),"")="","","✔")</f>
        <v/>
      </c>
      <c r="Y466" s="98" t="str">
        <f>IF(IFERROR(VLOOKUP(A466,'24.木構造'!C:D,1,0),"")="","","✔")</f>
        <v/>
      </c>
      <c r="Z466" s="98" t="str">
        <f>IF(IFERROR(VLOOKUP(A466,'25.管路'!C:D,1,0),"")="","","✔")</f>
        <v/>
      </c>
      <c r="AA466" s="98" t="str">
        <f>IF(IFERROR(VLOOKUP(A466,'26.植栽(移植)'!C:D,1,0),"")="","","✔")</f>
        <v/>
      </c>
      <c r="AB466" s="98" t="str">
        <f>IF(IFERROR(VLOOKUP(A466,'27.植栽(新植)'!C:D,1,0),"")="","","✔")</f>
        <v/>
      </c>
      <c r="AC466" s="98" t="str">
        <f>IF(IFERROR(VLOOKUP(A466,'28.照明'!C:D,1,0),"")="","","✔")</f>
        <v/>
      </c>
      <c r="AD466" s="98" t="str">
        <f>IF(IFERROR(VLOOKUP(A466,'29.既有橋梁拆除'!C:D,1,0),"")="","","✔")</f>
        <v/>
      </c>
    </row>
    <row r="467" spans="1:30" ht="21.75" customHeight="1" x14ac:dyDescent="0.25">
      <c r="A467" s="99">
        <v>45657</v>
      </c>
      <c r="B467" s="98" t="str">
        <f>IF(IFERROR(VLOOKUP(A467,'1.測量放樣'!C:D,1,0),"")="","","✔")</f>
        <v/>
      </c>
      <c r="C467" s="98" t="str">
        <f>IF(IFERROR(VLOOKUP(A467,'2.土方開挖'!C:D,1,0),"")="","","✔")</f>
        <v/>
      </c>
      <c r="D467" s="98" t="str">
        <f>IF(IFERROR(VLOOKUP(A467,'3.土方回填'!C:D,1,0),"")="","","✔")</f>
        <v/>
      </c>
      <c r="E467" s="98" t="str">
        <f>IF(IFERROR(VLOOKUP(A467,'4.鋼筋'!C:D,1,0),"")="","","✔")</f>
        <v/>
      </c>
      <c r="F467" s="98" t="str">
        <f>IF(IFERROR(VLOOKUP(A467,'5.模板'!C:D,1,0),"")="","","✔")</f>
        <v/>
      </c>
      <c r="G467" s="98" t="str">
        <f>IF(IFERROR(VLOOKUP(A467,'6.混凝土'!C:D,1,0),"")="","","✔")</f>
        <v/>
      </c>
      <c r="H467" s="98" t="str">
        <f>IF(IFERROR(VLOOKUP(A467,'7.植筋'!C:D,1,0),"")="","","✔")</f>
        <v/>
      </c>
      <c r="I467" s="98" t="str">
        <f>IF(IFERROR(VLOOKUP(A467,'8.預力混凝土基樁'!C:D,1,0),"")="","","✔")</f>
        <v/>
      </c>
      <c r="J467" s="98" t="str">
        <f>IF(IFERROR(VLOOKUP(A467,'9.砌塊石護岸'!C:D,1,0),"")="","","✔")</f>
        <v/>
      </c>
      <c r="K467" s="98" t="str">
        <f>IF(IFERROR(VLOOKUP(A467,'10.低水護岸'!C:D,1,0),"")="","","✔")</f>
        <v/>
      </c>
      <c r="L467" s="98" t="str">
        <f>IF(IFERROR(VLOOKUP(A467,'11.固床工'!C:D,1,0),"")="","","✔")</f>
        <v/>
      </c>
      <c r="M467" s="98" t="str">
        <f>IF(IFERROR(VLOOKUP(A467,'12.全套管基樁'!C:D,1,0),"")="","","✔")</f>
        <v/>
      </c>
      <c r="N467" s="98" t="str">
        <f>IF(IFERROR(VLOOKUP(A467,'13.鋼筋混凝土管工程'!C:D,1,0),"")="","","✔")</f>
        <v/>
      </c>
      <c r="O467" s="98" t="str">
        <f>IF(IFERROR(VLOOKUP(A467,'14.鋼版樁'!C:D,1,0),"")="","","✔")</f>
        <v/>
      </c>
      <c r="P467" s="98" t="str">
        <f>IF(IFERROR(VLOOKUP(A467,'15.路床 路基高程'!C:D,1,0),"")="","","✔")</f>
        <v/>
      </c>
      <c r="Q467" s="98" t="str">
        <f>IF(IFERROR(VLOOKUP(A467,'16.瀝青混凝土'!C:D,1,0),"")="","","✔")</f>
        <v/>
      </c>
      <c r="R467" s="98" t="str">
        <f>IF(IFERROR(VLOOKUP(A467,'17.景觀鋪面(一)'!C:D,1,0),"")="","","✔")</f>
        <v/>
      </c>
      <c r="S467" s="98" t="str">
        <f>IF(IFERROR(VLOOKUP(A467,'18.景觀鋪面(二)'!C:D,1,0),"")="","","✔")</f>
        <v/>
      </c>
      <c r="T467" s="98" t="str">
        <f>IF(IFERROR(VLOOKUP(A467,'19.預鑄緣石'!C:D,1,0),"")="","","✔")</f>
        <v/>
      </c>
      <c r="U467" s="98" t="str">
        <f>IF(IFERROR(VLOOKUP(A467,'20.鋼構工程吊裝'!C:D,1,0),"")="","","✔")</f>
        <v/>
      </c>
      <c r="V467" s="98" t="str">
        <f>IF(IFERROR(VLOOKUP(A467,'21.鋼構工程塗裝'!C:D,1,0),"")="","","✔")</f>
        <v/>
      </c>
      <c r="W467" s="98" t="str">
        <f>IF(IFERROR(VLOOKUP(A467,'22.排水設施(一)'!C:D,1,0),"")="","","✔")</f>
        <v/>
      </c>
      <c r="X467" s="98" t="str">
        <f>IF(IFERROR(VLOOKUP(A467,'23.排水設施(二)'!C:D,1,0),"")="","","✔")</f>
        <v/>
      </c>
      <c r="Y467" s="98" t="str">
        <f>IF(IFERROR(VLOOKUP(A467,'24.木構造'!C:D,1,0),"")="","","✔")</f>
        <v/>
      </c>
      <c r="Z467" s="98" t="str">
        <f>IF(IFERROR(VLOOKUP(A467,'25.管路'!C:D,1,0),"")="","","✔")</f>
        <v/>
      </c>
      <c r="AA467" s="98" t="str">
        <f>IF(IFERROR(VLOOKUP(A467,'26.植栽(移植)'!C:D,1,0),"")="","","✔")</f>
        <v/>
      </c>
      <c r="AB467" s="98" t="str">
        <f>IF(IFERROR(VLOOKUP(A467,'27.植栽(新植)'!C:D,1,0),"")="","","✔")</f>
        <v/>
      </c>
      <c r="AC467" s="98" t="str">
        <f>IF(IFERROR(VLOOKUP(A467,'28.照明'!C:D,1,0),"")="","","✔")</f>
        <v/>
      </c>
      <c r="AD467" s="98" t="str">
        <f>IF(IFERROR(VLOOKUP(A467,'29.既有橋梁拆除'!C:D,1,0),"")="","","✔")</f>
        <v/>
      </c>
    </row>
    <row r="468" spans="1:30" ht="21.75" customHeight="1" x14ac:dyDescent="0.25">
      <c r="A468" s="99">
        <v>45658</v>
      </c>
      <c r="B468" s="98" t="str">
        <f>IF(IFERROR(VLOOKUP(A468,'1.測量放樣'!C:D,1,0),"")="","","✔")</f>
        <v/>
      </c>
      <c r="C468" s="98" t="str">
        <f>IF(IFERROR(VLOOKUP(A468,'2.土方開挖'!C:D,1,0),"")="","","✔")</f>
        <v/>
      </c>
      <c r="D468" s="98" t="str">
        <f>IF(IFERROR(VLOOKUP(A468,'3.土方回填'!C:D,1,0),"")="","","✔")</f>
        <v/>
      </c>
      <c r="E468" s="98" t="str">
        <f>IF(IFERROR(VLOOKUP(A468,'4.鋼筋'!C:D,1,0),"")="","","✔")</f>
        <v/>
      </c>
      <c r="F468" s="98" t="str">
        <f>IF(IFERROR(VLOOKUP(A468,'5.模板'!C:D,1,0),"")="","","✔")</f>
        <v/>
      </c>
      <c r="G468" s="98" t="str">
        <f>IF(IFERROR(VLOOKUP(A468,'6.混凝土'!C:D,1,0),"")="","","✔")</f>
        <v/>
      </c>
      <c r="H468" s="98" t="str">
        <f>IF(IFERROR(VLOOKUP(A468,'7.植筋'!C:D,1,0),"")="","","✔")</f>
        <v/>
      </c>
      <c r="I468" s="98" t="str">
        <f>IF(IFERROR(VLOOKUP(A468,'8.預力混凝土基樁'!C:D,1,0),"")="","","✔")</f>
        <v/>
      </c>
      <c r="J468" s="98" t="str">
        <f>IF(IFERROR(VLOOKUP(A468,'9.砌塊石護岸'!C:D,1,0),"")="","","✔")</f>
        <v/>
      </c>
      <c r="K468" s="98" t="str">
        <f>IF(IFERROR(VLOOKUP(A468,'10.低水護岸'!C:D,1,0),"")="","","✔")</f>
        <v/>
      </c>
      <c r="L468" s="98" t="str">
        <f>IF(IFERROR(VLOOKUP(A468,'11.固床工'!C:D,1,0),"")="","","✔")</f>
        <v/>
      </c>
      <c r="M468" s="98" t="str">
        <f>IF(IFERROR(VLOOKUP(A468,'12.全套管基樁'!C:D,1,0),"")="","","✔")</f>
        <v/>
      </c>
      <c r="N468" s="98" t="str">
        <f>IF(IFERROR(VLOOKUP(A468,'13.鋼筋混凝土管工程'!C:D,1,0),"")="","","✔")</f>
        <v/>
      </c>
      <c r="O468" s="98" t="str">
        <f>IF(IFERROR(VLOOKUP(A468,'14.鋼版樁'!C:D,1,0),"")="","","✔")</f>
        <v/>
      </c>
      <c r="P468" s="98" t="str">
        <f>IF(IFERROR(VLOOKUP(A468,'15.路床 路基高程'!C:D,1,0),"")="","","✔")</f>
        <v/>
      </c>
      <c r="Q468" s="98" t="str">
        <f>IF(IFERROR(VLOOKUP(A468,'16.瀝青混凝土'!C:D,1,0),"")="","","✔")</f>
        <v/>
      </c>
      <c r="R468" s="98" t="str">
        <f>IF(IFERROR(VLOOKUP(A468,'17.景觀鋪面(一)'!C:D,1,0),"")="","","✔")</f>
        <v/>
      </c>
      <c r="S468" s="98" t="str">
        <f>IF(IFERROR(VLOOKUP(A468,'18.景觀鋪面(二)'!C:D,1,0),"")="","","✔")</f>
        <v/>
      </c>
      <c r="T468" s="98" t="str">
        <f>IF(IFERROR(VLOOKUP(A468,'19.預鑄緣石'!C:D,1,0),"")="","","✔")</f>
        <v/>
      </c>
      <c r="U468" s="98" t="str">
        <f>IF(IFERROR(VLOOKUP(A468,'20.鋼構工程吊裝'!C:D,1,0),"")="","","✔")</f>
        <v/>
      </c>
      <c r="V468" s="98" t="str">
        <f>IF(IFERROR(VLOOKUP(A468,'21.鋼構工程塗裝'!C:D,1,0),"")="","","✔")</f>
        <v/>
      </c>
      <c r="W468" s="98" t="str">
        <f>IF(IFERROR(VLOOKUP(A468,'22.排水設施(一)'!C:D,1,0),"")="","","✔")</f>
        <v/>
      </c>
      <c r="X468" s="98" t="str">
        <f>IF(IFERROR(VLOOKUP(A468,'23.排水設施(二)'!C:D,1,0),"")="","","✔")</f>
        <v/>
      </c>
      <c r="Y468" s="98" t="str">
        <f>IF(IFERROR(VLOOKUP(A468,'24.木構造'!C:D,1,0),"")="","","✔")</f>
        <v/>
      </c>
      <c r="Z468" s="98" t="str">
        <f>IF(IFERROR(VLOOKUP(A468,'25.管路'!C:D,1,0),"")="","","✔")</f>
        <v/>
      </c>
      <c r="AA468" s="98" t="str">
        <f>IF(IFERROR(VLOOKUP(A468,'26.植栽(移植)'!C:D,1,0),"")="","","✔")</f>
        <v/>
      </c>
      <c r="AB468" s="98" t="str">
        <f>IF(IFERROR(VLOOKUP(A468,'27.植栽(新植)'!C:D,1,0),"")="","","✔")</f>
        <v/>
      </c>
      <c r="AC468" s="98" t="str">
        <f>IF(IFERROR(VLOOKUP(A468,'28.照明'!C:D,1,0),"")="","","✔")</f>
        <v/>
      </c>
      <c r="AD468" s="98" t="str">
        <f>IF(IFERROR(VLOOKUP(A468,'29.既有橋梁拆除'!C:D,1,0),"")="","","✔")</f>
        <v/>
      </c>
    </row>
    <row r="469" spans="1:30" ht="21.75" customHeight="1" x14ac:dyDescent="0.25">
      <c r="A469" s="99">
        <v>45659</v>
      </c>
      <c r="B469" s="98" t="str">
        <f>IF(IFERROR(VLOOKUP(A469,'1.測量放樣'!C:D,1,0),"")="","","✔")</f>
        <v/>
      </c>
      <c r="C469" s="98" t="str">
        <f>IF(IFERROR(VLOOKUP(A469,'2.土方開挖'!C:D,1,0),"")="","","✔")</f>
        <v/>
      </c>
      <c r="D469" s="98" t="str">
        <f>IF(IFERROR(VLOOKUP(A469,'3.土方回填'!C:D,1,0),"")="","","✔")</f>
        <v/>
      </c>
      <c r="E469" s="98" t="str">
        <f>IF(IFERROR(VLOOKUP(A469,'4.鋼筋'!C:D,1,0),"")="","","✔")</f>
        <v/>
      </c>
      <c r="F469" s="98" t="str">
        <f>IF(IFERROR(VLOOKUP(A469,'5.模板'!C:D,1,0),"")="","","✔")</f>
        <v/>
      </c>
      <c r="G469" s="98" t="str">
        <f>IF(IFERROR(VLOOKUP(A469,'6.混凝土'!C:D,1,0),"")="","","✔")</f>
        <v/>
      </c>
      <c r="H469" s="98" t="str">
        <f>IF(IFERROR(VLOOKUP(A469,'7.植筋'!C:D,1,0),"")="","","✔")</f>
        <v/>
      </c>
      <c r="I469" s="98" t="str">
        <f>IF(IFERROR(VLOOKUP(A469,'8.預力混凝土基樁'!C:D,1,0),"")="","","✔")</f>
        <v/>
      </c>
      <c r="J469" s="98" t="str">
        <f>IF(IFERROR(VLOOKUP(A469,'9.砌塊石護岸'!C:D,1,0),"")="","","✔")</f>
        <v/>
      </c>
      <c r="K469" s="98" t="str">
        <f>IF(IFERROR(VLOOKUP(A469,'10.低水護岸'!C:D,1,0),"")="","","✔")</f>
        <v/>
      </c>
      <c r="L469" s="98" t="str">
        <f>IF(IFERROR(VLOOKUP(A469,'11.固床工'!C:D,1,0),"")="","","✔")</f>
        <v/>
      </c>
      <c r="M469" s="98" t="str">
        <f>IF(IFERROR(VLOOKUP(A469,'12.全套管基樁'!C:D,1,0),"")="","","✔")</f>
        <v/>
      </c>
      <c r="N469" s="98" t="str">
        <f>IF(IFERROR(VLOOKUP(A469,'13.鋼筋混凝土管工程'!C:D,1,0),"")="","","✔")</f>
        <v/>
      </c>
      <c r="O469" s="98" t="str">
        <f>IF(IFERROR(VLOOKUP(A469,'14.鋼版樁'!C:D,1,0),"")="","","✔")</f>
        <v/>
      </c>
      <c r="P469" s="98" t="str">
        <f>IF(IFERROR(VLOOKUP(A469,'15.路床 路基高程'!C:D,1,0),"")="","","✔")</f>
        <v/>
      </c>
      <c r="Q469" s="98" t="str">
        <f>IF(IFERROR(VLOOKUP(A469,'16.瀝青混凝土'!C:D,1,0),"")="","","✔")</f>
        <v/>
      </c>
      <c r="R469" s="98" t="str">
        <f>IF(IFERROR(VLOOKUP(A469,'17.景觀鋪面(一)'!C:D,1,0),"")="","","✔")</f>
        <v/>
      </c>
      <c r="S469" s="98" t="str">
        <f>IF(IFERROR(VLOOKUP(A469,'18.景觀鋪面(二)'!C:D,1,0),"")="","","✔")</f>
        <v/>
      </c>
      <c r="T469" s="98" t="str">
        <f>IF(IFERROR(VLOOKUP(A469,'19.預鑄緣石'!C:D,1,0),"")="","","✔")</f>
        <v/>
      </c>
      <c r="U469" s="98" t="str">
        <f>IF(IFERROR(VLOOKUP(A469,'20.鋼構工程吊裝'!C:D,1,0),"")="","","✔")</f>
        <v/>
      </c>
      <c r="V469" s="98" t="str">
        <f>IF(IFERROR(VLOOKUP(A469,'21.鋼構工程塗裝'!C:D,1,0),"")="","","✔")</f>
        <v/>
      </c>
      <c r="W469" s="98" t="str">
        <f>IF(IFERROR(VLOOKUP(A469,'22.排水設施(一)'!C:D,1,0),"")="","","✔")</f>
        <v/>
      </c>
      <c r="X469" s="98" t="str">
        <f>IF(IFERROR(VLOOKUP(A469,'23.排水設施(二)'!C:D,1,0),"")="","","✔")</f>
        <v/>
      </c>
      <c r="Y469" s="98" t="str">
        <f>IF(IFERROR(VLOOKUP(A469,'24.木構造'!C:D,1,0),"")="","","✔")</f>
        <v/>
      </c>
      <c r="Z469" s="98" t="str">
        <f>IF(IFERROR(VLOOKUP(A469,'25.管路'!C:D,1,0),"")="","","✔")</f>
        <v/>
      </c>
      <c r="AA469" s="98" t="str">
        <f>IF(IFERROR(VLOOKUP(A469,'26.植栽(移植)'!C:D,1,0),"")="","","✔")</f>
        <v/>
      </c>
      <c r="AB469" s="98" t="str">
        <f>IF(IFERROR(VLOOKUP(A469,'27.植栽(新植)'!C:D,1,0),"")="","","✔")</f>
        <v/>
      </c>
      <c r="AC469" s="98" t="str">
        <f>IF(IFERROR(VLOOKUP(A469,'28.照明'!C:D,1,0),"")="","","✔")</f>
        <v/>
      </c>
      <c r="AD469" s="98" t="str">
        <f>IF(IFERROR(VLOOKUP(A469,'29.既有橋梁拆除'!C:D,1,0),"")="","","✔")</f>
        <v/>
      </c>
    </row>
    <row r="470" spans="1:30" ht="21.75" customHeight="1" x14ac:dyDescent="0.25">
      <c r="A470" s="99">
        <v>45660</v>
      </c>
      <c r="B470" s="98" t="str">
        <f>IF(IFERROR(VLOOKUP(A470,'1.測量放樣'!C:D,1,0),"")="","","✔")</f>
        <v/>
      </c>
      <c r="C470" s="98" t="str">
        <f>IF(IFERROR(VLOOKUP(A470,'2.土方開挖'!C:D,1,0),"")="","","✔")</f>
        <v/>
      </c>
      <c r="D470" s="98" t="str">
        <f>IF(IFERROR(VLOOKUP(A470,'3.土方回填'!C:D,1,0),"")="","","✔")</f>
        <v/>
      </c>
      <c r="E470" s="98" t="str">
        <f>IF(IFERROR(VLOOKUP(A470,'4.鋼筋'!C:D,1,0),"")="","","✔")</f>
        <v/>
      </c>
      <c r="F470" s="98" t="str">
        <f>IF(IFERROR(VLOOKUP(A470,'5.模板'!C:D,1,0),"")="","","✔")</f>
        <v/>
      </c>
      <c r="G470" s="98" t="str">
        <f>IF(IFERROR(VLOOKUP(A470,'6.混凝土'!C:D,1,0),"")="","","✔")</f>
        <v/>
      </c>
      <c r="H470" s="98" t="str">
        <f>IF(IFERROR(VLOOKUP(A470,'7.植筋'!C:D,1,0),"")="","","✔")</f>
        <v/>
      </c>
      <c r="I470" s="98" t="str">
        <f>IF(IFERROR(VLOOKUP(A470,'8.預力混凝土基樁'!C:D,1,0),"")="","","✔")</f>
        <v/>
      </c>
      <c r="J470" s="98" t="str">
        <f>IF(IFERROR(VLOOKUP(A470,'9.砌塊石護岸'!C:D,1,0),"")="","","✔")</f>
        <v/>
      </c>
      <c r="K470" s="98" t="str">
        <f>IF(IFERROR(VLOOKUP(A470,'10.低水護岸'!C:D,1,0),"")="","","✔")</f>
        <v/>
      </c>
      <c r="L470" s="98" t="str">
        <f>IF(IFERROR(VLOOKUP(A470,'11.固床工'!C:D,1,0),"")="","","✔")</f>
        <v/>
      </c>
      <c r="M470" s="98" t="str">
        <f>IF(IFERROR(VLOOKUP(A470,'12.全套管基樁'!C:D,1,0),"")="","","✔")</f>
        <v/>
      </c>
      <c r="N470" s="98" t="str">
        <f>IF(IFERROR(VLOOKUP(A470,'13.鋼筋混凝土管工程'!C:D,1,0),"")="","","✔")</f>
        <v/>
      </c>
      <c r="O470" s="98" t="str">
        <f>IF(IFERROR(VLOOKUP(A470,'14.鋼版樁'!C:D,1,0),"")="","","✔")</f>
        <v/>
      </c>
      <c r="P470" s="98" t="str">
        <f>IF(IFERROR(VLOOKUP(A470,'15.路床 路基高程'!C:D,1,0),"")="","","✔")</f>
        <v/>
      </c>
      <c r="Q470" s="98" t="str">
        <f>IF(IFERROR(VLOOKUP(A470,'16.瀝青混凝土'!C:D,1,0),"")="","","✔")</f>
        <v/>
      </c>
      <c r="R470" s="98" t="str">
        <f>IF(IFERROR(VLOOKUP(A470,'17.景觀鋪面(一)'!C:D,1,0),"")="","","✔")</f>
        <v/>
      </c>
      <c r="S470" s="98" t="str">
        <f>IF(IFERROR(VLOOKUP(A470,'18.景觀鋪面(二)'!C:D,1,0),"")="","","✔")</f>
        <v/>
      </c>
      <c r="T470" s="98" t="str">
        <f>IF(IFERROR(VLOOKUP(A470,'19.預鑄緣石'!C:D,1,0),"")="","","✔")</f>
        <v/>
      </c>
      <c r="U470" s="98" t="str">
        <f>IF(IFERROR(VLOOKUP(A470,'20.鋼構工程吊裝'!C:D,1,0),"")="","","✔")</f>
        <v/>
      </c>
      <c r="V470" s="98" t="str">
        <f>IF(IFERROR(VLOOKUP(A470,'21.鋼構工程塗裝'!C:D,1,0),"")="","","✔")</f>
        <v/>
      </c>
      <c r="W470" s="98" t="str">
        <f>IF(IFERROR(VLOOKUP(A470,'22.排水設施(一)'!C:D,1,0),"")="","","✔")</f>
        <v/>
      </c>
      <c r="X470" s="98" t="str">
        <f>IF(IFERROR(VLOOKUP(A470,'23.排水設施(二)'!C:D,1,0),"")="","","✔")</f>
        <v/>
      </c>
      <c r="Y470" s="98" t="str">
        <f>IF(IFERROR(VLOOKUP(A470,'24.木構造'!C:D,1,0),"")="","","✔")</f>
        <v/>
      </c>
      <c r="Z470" s="98" t="str">
        <f>IF(IFERROR(VLOOKUP(A470,'25.管路'!C:D,1,0),"")="","","✔")</f>
        <v/>
      </c>
      <c r="AA470" s="98" t="str">
        <f>IF(IFERROR(VLOOKUP(A470,'26.植栽(移植)'!C:D,1,0),"")="","","✔")</f>
        <v/>
      </c>
      <c r="AB470" s="98" t="str">
        <f>IF(IFERROR(VLOOKUP(A470,'27.植栽(新植)'!C:D,1,0),"")="","","✔")</f>
        <v/>
      </c>
      <c r="AC470" s="98" t="str">
        <f>IF(IFERROR(VLOOKUP(A470,'28.照明'!C:D,1,0),"")="","","✔")</f>
        <v/>
      </c>
      <c r="AD470" s="98" t="str">
        <f>IF(IFERROR(VLOOKUP(A470,'29.既有橋梁拆除'!C:D,1,0),"")="","","✔")</f>
        <v/>
      </c>
    </row>
    <row r="471" spans="1:30" ht="21.75" customHeight="1" x14ac:dyDescent="0.25">
      <c r="A471" s="99">
        <v>45661</v>
      </c>
      <c r="B471" s="98" t="str">
        <f>IF(IFERROR(VLOOKUP(A471,'1.測量放樣'!C:D,1,0),"")="","","✔")</f>
        <v/>
      </c>
      <c r="C471" s="98" t="str">
        <f>IF(IFERROR(VLOOKUP(A471,'2.土方開挖'!C:D,1,0),"")="","","✔")</f>
        <v/>
      </c>
      <c r="D471" s="98" t="str">
        <f>IF(IFERROR(VLOOKUP(A471,'3.土方回填'!C:D,1,0),"")="","","✔")</f>
        <v/>
      </c>
      <c r="E471" s="98" t="str">
        <f>IF(IFERROR(VLOOKUP(A471,'4.鋼筋'!C:D,1,0),"")="","","✔")</f>
        <v/>
      </c>
      <c r="F471" s="98" t="str">
        <f>IF(IFERROR(VLOOKUP(A471,'5.模板'!C:D,1,0),"")="","","✔")</f>
        <v/>
      </c>
      <c r="G471" s="98" t="str">
        <f>IF(IFERROR(VLOOKUP(A471,'6.混凝土'!C:D,1,0),"")="","","✔")</f>
        <v/>
      </c>
      <c r="H471" s="98" t="str">
        <f>IF(IFERROR(VLOOKUP(A471,'7.植筋'!C:D,1,0),"")="","","✔")</f>
        <v/>
      </c>
      <c r="I471" s="98" t="str">
        <f>IF(IFERROR(VLOOKUP(A471,'8.預力混凝土基樁'!C:D,1,0),"")="","","✔")</f>
        <v/>
      </c>
      <c r="J471" s="98" t="str">
        <f>IF(IFERROR(VLOOKUP(A471,'9.砌塊石護岸'!C:D,1,0),"")="","","✔")</f>
        <v/>
      </c>
      <c r="K471" s="98" t="str">
        <f>IF(IFERROR(VLOOKUP(A471,'10.低水護岸'!C:D,1,0),"")="","","✔")</f>
        <v/>
      </c>
      <c r="L471" s="98" t="str">
        <f>IF(IFERROR(VLOOKUP(A471,'11.固床工'!C:D,1,0),"")="","","✔")</f>
        <v/>
      </c>
      <c r="M471" s="98" t="str">
        <f>IF(IFERROR(VLOOKUP(A471,'12.全套管基樁'!C:D,1,0),"")="","","✔")</f>
        <v/>
      </c>
      <c r="N471" s="98" t="str">
        <f>IF(IFERROR(VLOOKUP(A471,'13.鋼筋混凝土管工程'!C:D,1,0),"")="","","✔")</f>
        <v/>
      </c>
      <c r="O471" s="98" t="str">
        <f>IF(IFERROR(VLOOKUP(A471,'14.鋼版樁'!C:D,1,0),"")="","","✔")</f>
        <v/>
      </c>
      <c r="P471" s="98" t="str">
        <f>IF(IFERROR(VLOOKUP(A471,'15.路床 路基高程'!C:D,1,0),"")="","","✔")</f>
        <v/>
      </c>
      <c r="Q471" s="98" t="str">
        <f>IF(IFERROR(VLOOKUP(A471,'16.瀝青混凝土'!C:D,1,0),"")="","","✔")</f>
        <v/>
      </c>
      <c r="R471" s="98" t="str">
        <f>IF(IFERROR(VLOOKUP(A471,'17.景觀鋪面(一)'!C:D,1,0),"")="","","✔")</f>
        <v/>
      </c>
      <c r="S471" s="98" t="str">
        <f>IF(IFERROR(VLOOKUP(A471,'18.景觀鋪面(二)'!C:D,1,0),"")="","","✔")</f>
        <v/>
      </c>
      <c r="T471" s="98" t="str">
        <f>IF(IFERROR(VLOOKUP(A471,'19.預鑄緣石'!C:D,1,0),"")="","","✔")</f>
        <v/>
      </c>
      <c r="U471" s="98" t="str">
        <f>IF(IFERROR(VLOOKUP(A471,'20.鋼構工程吊裝'!C:D,1,0),"")="","","✔")</f>
        <v/>
      </c>
      <c r="V471" s="98" t="str">
        <f>IF(IFERROR(VLOOKUP(A471,'21.鋼構工程塗裝'!C:D,1,0),"")="","","✔")</f>
        <v/>
      </c>
      <c r="W471" s="98" t="str">
        <f>IF(IFERROR(VLOOKUP(A471,'22.排水設施(一)'!C:D,1,0),"")="","","✔")</f>
        <v/>
      </c>
      <c r="X471" s="98" t="str">
        <f>IF(IFERROR(VLOOKUP(A471,'23.排水設施(二)'!C:D,1,0),"")="","","✔")</f>
        <v/>
      </c>
      <c r="Y471" s="98" t="str">
        <f>IF(IFERROR(VLOOKUP(A471,'24.木構造'!C:D,1,0),"")="","","✔")</f>
        <v/>
      </c>
      <c r="Z471" s="98" t="str">
        <f>IF(IFERROR(VLOOKUP(A471,'25.管路'!C:D,1,0),"")="","","✔")</f>
        <v/>
      </c>
      <c r="AA471" s="98" t="str">
        <f>IF(IFERROR(VLOOKUP(A471,'26.植栽(移植)'!C:D,1,0),"")="","","✔")</f>
        <v/>
      </c>
      <c r="AB471" s="98" t="str">
        <f>IF(IFERROR(VLOOKUP(A471,'27.植栽(新植)'!C:D,1,0),"")="","","✔")</f>
        <v/>
      </c>
      <c r="AC471" s="98" t="str">
        <f>IF(IFERROR(VLOOKUP(A471,'28.照明'!C:D,1,0),"")="","","✔")</f>
        <v/>
      </c>
      <c r="AD471" s="98" t="str">
        <f>IF(IFERROR(VLOOKUP(A471,'29.既有橋梁拆除'!C:D,1,0),"")="","","✔")</f>
        <v/>
      </c>
    </row>
    <row r="472" spans="1:30" ht="21.75" customHeight="1" x14ac:dyDescent="0.25">
      <c r="A472" s="99">
        <v>45662</v>
      </c>
      <c r="B472" s="98" t="str">
        <f>IF(IFERROR(VLOOKUP(A472,'1.測量放樣'!C:D,1,0),"")="","","✔")</f>
        <v/>
      </c>
      <c r="C472" s="98" t="str">
        <f>IF(IFERROR(VLOOKUP(A472,'2.土方開挖'!C:D,1,0),"")="","","✔")</f>
        <v/>
      </c>
      <c r="D472" s="98" t="str">
        <f>IF(IFERROR(VLOOKUP(A472,'3.土方回填'!C:D,1,0),"")="","","✔")</f>
        <v/>
      </c>
      <c r="E472" s="98" t="str">
        <f>IF(IFERROR(VLOOKUP(A472,'4.鋼筋'!C:D,1,0),"")="","","✔")</f>
        <v/>
      </c>
      <c r="F472" s="98" t="str">
        <f>IF(IFERROR(VLOOKUP(A472,'5.模板'!C:D,1,0),"")="","","✔")</f>
        <v/>
      </c>
      <c r="G472" s="98" t="str">
        <f>IF(IFERROR(VLOOKUP(A472,'6.混凝土'!C:D,1,0),"")="","","✔")</f>
        <v/>
      </c>
      <c r="H472" s="98" t="str">
        <f>IF(IFERROR(VLOOKUP(A472,'7.植筋'!C:D,1,0),"")="","","✔")</f>
        <v/>
      </c>
      <c r="I472" s="98" t="str">
        <f>IF(IFERROR(VLOOKUP(A472,'8.預力混凝土基樁'!C:D,1,0),"")="","","✔")</f>
        <v/>
      </c>
      <c r="J472" s="98" t="str">
        <f>IF(IFERROR(VLOOKUP(A472,'9.砌塊石護岸'!C:D,1,0),"")="","","✔")</f>
        <v/>
      </c>
      <c r="K472" s="98" t="str">
        <f>IF(IFERROR(VLOOKUP(A472,'10.低水護岸'!C:D,1,0),"")="","","✔")</f>
        <v/>
      </c>
      <c r="L472" s="98" t="str">
        <f>IF(IFERROR(VLOOKUP(A472,'11.固床工'!C:D,1,0),"")="","","✔")</f>
        <v/>
      </c>
      <c r="M472" s="98" t="str">
        <f>IF(IFERROR(VLOOKUP(A472,'12.全套管基樁'!C:D,1,0),"")="","","✔")</f>
        <v/>
      </c>
      <c r="N472" s="98" t="str">
        <f>IF(IFERROR(VLOOKUP(A472,'13.鋼筋混凝土管工程'!C:D,1,0),"")="","","✔")</f>
        <v/>
      </c>
      <c r="O472" s="98" t="str">
        <f>IF(IFERROR(VLOOKUP(A472,'14.鋼版樁'!C:D,1,0),"")="","","✔")</f>
        <v/>
      </c>
      <c r="P472" s="98" t="str">
        <f>IF(IFERROR(VLOOKUP(A472,'15.路床 路基高程'!C:D,1,0),"")="","","✔")</f>
        <v/>
      </c>
      <c r="Q472" s="98" t="str">
        <f>IF(IFERROR(VLOOKUP(A472,'16.瀝青混凝土'!C:D,1,0),"")="","","✔")</f>
        <v/>
      </c>
      <c r="R472" s="98" t="str">
        <f>IF(IFERROR(VLOOKUP(A472,'17.景觀鋪面(一)'!C:D,1,0),"")="","","✔")</f>
        <v/>
      </c>
      <c r="S472" s="98" t="str">
        <f>IF(IFERROR(VLOOKUP(A472,'18.景觀鋪面(二)'!C:D,1,0),"")="","","✔")</f>
        <v/>
      </c>
      <c r="T472" s="98" t="str">
        <f>IF(IFERROR(VLOOKUP(A472,'19.預鑄緣石'!C:D,1,0),"")="","","✔")</f>
        <v/>
      </c>
      <c r="U472" s="98" t="str">
        <f>IF(IFERROR(VLOOKUP(A472,'20.鋼構工程吊裝'!C:D,1,0),"")="","","✔")</f>
        <v/>
      </c>
      <c r="V472" s="98" t="str">
        <f>IF(IFERROR(VLOOKUP(A472,'21.鋼構工程塗裝'!C:D,1,0),"")="","","✔")</f>
        <v/>
      </c>
      <c r="W472" s="98" t="str">
        <f>IF(IFERROR(VLOOKUP(A472,'22.排水設施(一)'!C:D,1,0),"")="","","✔")</f>
        <v/>
      </c>
      <c r="X472" s="98" t="str">
        <f>IF(IFERROR(VLOOKUP(A472,'23.排水設施(二)'!C:D,1,0),"")="","","✔")</f>
        <v/>
      </c>
      <c r="Y472" s="98" t="str">
        <f>IF(IFERROR(VLOOKUP(A472,'24.木構造'!C:D,1,0),"")="","","✔")</f>
        <v/>
      </c>
      <c r="Z472" s="98" t="str">
        <f>IF(IFERROR(VLOOKUP(A472,'25.管路'!C:D,1,0),"")="","","✔")</f>
        <v/>
      </c>
      <c r="AA472" s="98" t="str">
        <f>IF(IFERROR(VLOOKUP(A472,'26.植栽(移植)'!C:D,1,0),"")="","","✔")</f>
        <v/>
      </c>
      <c r="AB472" s="98" t="str">
        <f>IF(IFERROR(VLOOKUP(A472,'27.植栽(新植)'!C:D,1,0),"")="","","✔")</f>
        <v/>
      </c>
      <c r="AC472" s="98" t="str">
        <f>IF(IFERROR(VLOOKUP(A472,'28.照明'!C:D,1,0),"")="","","✔")</f>
        <v/>
      </c>
      <c r="AD472" s="98" t="str">
        <f>IF(IFERROR(VLOOKUP(A472,'29.既有橋梁拆除'!C:D,1,0),"")="","","✔")</f>
        <v/>
      </c>
    </row>
    <row r="473" spans="1:30" ht="21.75" customHeight="1" x14ac:dyDescent="0.25">
      <c r="A473" s="99">
        <v>45663</v>
      </c>
      <c r="B473" s="98" t="str">
        <f>IF(IFERROR(VLOOKUP(A473,'1.測量放樣'!C:D,1,0),"")="","","✔")</f>
        <v/>
      </c>
      <c r="C473" s="98" t="str">
        <f>IF(IFERROR(VLOOKUP(A473,'2.土方開挖'!C:D,1,0),"")="","","✔")</f>
        <v/>
      </c>
      <c r="D473" s="98" t="str">
        <f>IF(IFERROR(VLOOKUP(A473,'3.土方回填'!C:D,1,0),"")="","","✔")</f>
        <v/>
      </c>
      <c r="E473" s="98" t="str">
        <f>IF(IFERROR(VLOOKUP(A473,'4.鋼筋'!C:D,1,0),"")="","","✔")</f>
        <v/>
      </c>
      <c r="F473" s="98" t="str">
        <f>IF(IFERROR(VLOOKUP(A473,'5.模板'!C:D,1,0),"")="","","✔")</f>
        <v/>
      </c>
      <c r="G473" s="98" t="str">
        <f>IF(IFERROR(VLOOKUP(A473,'6.混凝土'!C:D,1,0),"")="","","✔")</f>
        <v/>
      </c>
      <c r="H473" s="98" t="str">
        <f>IF(IFERROR(VLOOKUP(A473,'7.植筋'!C:D,1,0),"")="","","✔")</f>
        <v/>
      </c>
      <c r="I473" s="98" t="str">
        <f>IF(IFERROR(VLOOKUP(A473,'8.預力混凝土基樁'!C:D,1,0),"")="","","✔")</f>
        <v/>
      </c>
      <c r="J473" s="98" t="str">
        <f>IF(IFERROR(VLOOKUP(A473,'9.砌塊石護岸'!C:D,1,0),"")="","","✔")</f>
        <v/>
      </c>
      <c r="K473" s="98" t="str">
        <f>IF(IFERROR(VLOOKUP(A473,'10.低水護岸'!C:D,1,0),"")="","","✔")</f>
        <v/>
      </c>
      <c r="L473" s="98" t="str">
        <f>IF(IFERROR(VLOOKUP(A473,'11.固床工'!C:D,1,0),"")="","","✔")</f>
        <v/>
      </c>
      <c r="M473" s="98" t="str">
        <f>IF(IFERROR(VLOOKUP(A473,'12.全套管基樁'!C:D,1,0),"")="","","✔")</f>
        <v/>
      </c>
      <c r="N473" s="98" t="str">
        <f>IF(IFERROR(VLOOKUP(A473,'13.鋼筋混凝土管工程'!C:D,1,0),"")="","","✔")</f>
        <v/>
      </c>
      <c r="O473" s="98" t="str">
        <f>IF(IFERROR(VLOOKUP(A473,'14.鋼版樁'!C:D,1,0),"")="","","✔")</f>
        <v/>
      </c>
      <c r="P473" s="98" t="str">
        <f>IF(IFERROR(VLOOKUP(A473,'15.路床 路基高程'!C:D,1,0),"")="","","✔")</f>
        <v/>
      </c>
      <c r="Q473" s="98" t="str">
        <f>IF(IFERROR(VLOOKUP(A473,'16.瀝青混凝土'!C:D,1,0),"")="","","✔")</f>
        <v/>
      </c>
      <c r="R473" s="98" t="str">
        <f>IF(IFERROR(VLOOKUP(A473,'17.景觀鋪面(一)'!C:D,1,0),"")="","","✔")</f>
        <v/>
      </c>
      <c r="S473" s="98" t="str">
        <f>IF(IFERROR(VLOOKUP(A473,'18.景觀鋪面(二)'!C:D,1,0),"")="","","✔")</f>
        <v/>
      </c>
      <c r="T473" s="98" t="str">
        <f>IF(IFERROR(VLOOKUP(A473,'19.預鑄緣石'!C:D,1,0),"")="","","✔")</f>
        <v/>
      </c>
      <c r="U473" s="98" t="str">
        <f>IF(IFERROR(VLOOKUP(A473,'20.鋼構工程吊裝'!C:D,1,0),"")="","","✔")</f>
        <v/>
      </c>
      <c r="V473" s="98" t="str">
        <f>IF(IFERROR(VLOOKUP(A473,'21.鋼構工程塗裝'!C:D,1,0),"")="","","✔")</f>
        <v/>
      </c>
      <c r="W473" s="98" t="str">
        <f>IF(IFERROR(VLOOKUP(A473,'22.排水設施(一)'!C:D,1,0),"")="","","✔")</f>
        <v/>
      </c>
      <c r="X473" s="98" t="str">
        <f>IF(IFERROR(VLOOKUP(A473,'23.排水設施(二)'!C:D,1,0),"")="","","✔")</f>
        <v/>
      </c>
      <c r="Y473" s="98" t="str">
        <f>IF(IFERROR(VLOOKUP(A473,'24.木構造'!C:D,1,0),"")="","","✔")</f>
        <v/>
      </c>
      <c r="Z473" s="98" t="str">
        <f>IF(IFERROR(VLOOKUP(A473,'25.管路'!C:D,1,0),"")="","","✔")</f>
        <v/>
      </c>
      <c r="AA473" s="98" t="str">
        <f>IF(IFERROR(VLOOKUP(A473,'26.植栽(移植)'!C:D,1,0),"")="","","✔")</f>
        <v/>
      </c>
      <c r="AB473" s="98" t="str">
        <f>IF(IFERROR(VLOOKUP(A473,'27.植栽(新植)'!C:D,1,0),"")="","","✔")</f>
        <v/>
      </c>
      <c r="AC473" s="98" t="str">
        <f>IF(IFERROR(VLOOKUP(A473,'28.照明'!C:D,1,0),"")="","","✔")</f>
        <v/>
      </c>
      <c r="AD473" s="98" t="str">
        <f>IF(IFERROR(VLOOKUP(A473,'29.既有橋梁拆除'!C:D,1,0),"")="","","✔")</f>
        <v/>
      </c>
    </row>
    <row r="474" spans="1:30" ht="21.75" customHeight="1" x14ac:dyDescent="0.25">
      <c r="A474" s="99">
        <v>45664</v>
      </c>
      <c r="B474" s="98" t="str">
        <f>IF(IFERROR(VLOOKUP(A474,'1.測量放樣'!C:D,1,0),"")="","","✔")</f>
        <v/>
      </c>
      <c r="C474" s="98" t="str">
        <f>IF(IFERROR(VLOOKUP(A474,'2.土方開挖'!C:D,1,0),"")="","","✔")</f>
        <v/>
      </c>
      <c r="D474" s="98" t="str">
        <f>IF(IFERROR(VLOOKUP(A474,'3.土方回填'!C:D,1,0),"")="","","✔")</f>
        <v/>
      </c>
      <c r="E474" s="98" t="str">
        <f>IF(IFERROR(VLOOKUP(A474,'4.鋼筋'!C:D,1,0),"")="","","✔")</f>
        <v/>
      </c>
      <c r="F474" s="98" t="str">
        <f>IF(IFERROR(VLOOKUP(A474,'5.模板'!C:D,1,0),"")="","","✔")</f>
        <v/>
      </c>
      <c r="G474" s="98" t="str">
        <f>IF(IFERROR(VLOOKUP(A474,'6.混凝土'!C:D,1,0),"")="","","✔")</f>
        <v/>
      </c>
      <c r="H474" s="98" t="str">
        <f>IF(IFERROR(VLOOKUP(A474,'7.植筋'!C:D,1,0),"")="","","✔")</f>
        <v/>
      </c>
      <c r="I474" s="98" t="str">
        <f>IF(IFERROR(VLOOKUP(A474,'8.預力混凝土基樁'!C:D,1,0),"")="","","✔")</f>
        <v/>
      </c>
      <c r="J474" s="98" t="str">
        <f>IF(IFERROR(VLOOKUP(A474,'9.砌塊石護岸'!C:D,1,0),"")="","","✔")</f>
        <v/>
      </c>
      <c r="K474" s="98" t="str">
        <f>IF(IFERROR(VLOOKUP(A474,'10.低水護岸'!C:D,1,0),"")="","","✔")</f>
        <v/>
      </c>
      <c r="L474" s="98" t="str">
        <f>IF(IFERROR(VLOOKUP(A474,'11.固床工'!C:D,1,0),"")="","","✔")</f>
        <v/>
      </c>
      <c r="M474" s="98" t="str">
        <f>IF(IFERROR(VLOOKUP(A474,'12.全套管基樁'!C:D,1,0),"")="","","✔")</f>
        <v/>
      </c>
      <c r="N474" s="98" t="str">
        <f>IF(IFERROR(VLOOKUP(A474,'13.鋼筋混凝土管工程'!C:D,1,0),"")="","","✔")</f>
        <v/>
      </c>
      <c r="O474" s="98" t="str">
        <f>IF(IFERROR(VLOOKUP(A474,'14.鋼版樁'!C:D,1,0),"")="","","✔")</f>
        <v/>
      </c>
      <c r="P474" s="98" t="str">
        <f>IF(IFERROR(VLOOKUP(A474,'15.路床 路基高程'!C:D,1,0),"")="","","✔")</f>
        <v/>
      </c>
      <c r="Q474" s="98" t="str">
        <f>IF(IFERROR(VLOOKUP(A474,'16.瀝青混凝土'!C:D,1,0),"")="","","✔")</f>
        <v/>
      </c>
      <c r="R474" s="98" t="str">
        <f>IF(IFERROR(VLOOKUP(A474,'17.景觀鋪面(一)'!C:D,1,0),"")="","","✔")</f>
        <v/>
      </c>
      <c r="S474" s="98" t="str">
        <f>IF(IFERROR(VLOOKUP(A474,'18.景觀鋪面(二)'!C:D,1,0),"")="","","✔")</f>
        <v/>
      </c>
      <c r="T474" s="98" t="str">
        <f>IF(IFERROR(VLOOKUP(A474,'19.預鑄緣石'!C:D,1,0),"")="","","✔")</f>
        <v/>
      </c>
      <c r="U474" s="98" t="str">
        <f>IF(IFERROR(VLOOKUP(A474,'20.鋼構工程吊裝'!C:D,1,0),"")="","","✔")</f>
        <v/>
      </c>
      <c r="V474" s="98" t="str">
        <f>IF(IFERROR(VLOOKUP(A474,'21.鋼構工程塗裝'!C:D,1,0),"")="","","✔")</f>
        <v/>
      </c>
      <c r="W474" s="98" t="str">
        <f>IF(IFERROR(VLOOKUP(A474,'22.排水設施(一)'!C:D,1,0),"")="","","✔")</f>
        <v/>
      </c>
      <c r="X474" s="98" t="str">
        <f>IF(IFERROR(VLOOKUP(A474,'23.排水設施(二)'!C:D,1,0),"")="","","✔")</f>
        <v/>
      </c>
      <c r="Y474" s="98" t="str">
        <f>IF(IFERROR(VLOOKUP(A474,'24.木構造'!C:D,1,0),"")="","","✔")</f>
        <v/>
      </c>
      <c r="Z474" s="98" t="str">
        <f>IF(IFERROR(VLOOKUP(A474,'25.管路'!C:D,1,0),"")="","","✔")</f>
        <v/>
      </c>
      <c r="AA474" s="98" t="str">
        <f>IF(IFERROR(VLOOKUP(A474,'26.植栽(移植)'!C:D,1,0),"")="","","✔")</f>
        <v/>
      </c>
      <c r="AB474" s="98" t="str">
        <f>IF(IFERROR(VLOOKUP(A474,'27.植栽(新植)'!C:D,1,0),"")="","","✔")</f>
        <v/>
      </c>
      <c r="AC474" s="98" t="str">
        <f>IF(IFERROR(VLOOKUP(A474,'28.照明'!C:D,1,0),"")="","","✔")</f>
        <v/>
      </c>
      <c r="AD474" s="98" t="str">
        <f>IF(IFERROR(VLOOKUP(A474,'29.既有橋梁拆除'!C:D,1,0),"")="","","✔")</f>
        <v/>
      </c>
    </row>
    <row r="475" spans="1:30" ht="21.75" customHeight="1" x14ac:dyDescent="0.25">
      <c r="A475" s="99">
        <v>45665</v>
      </c>
      <c r="B475" s="98" t="str">
        <f>IF(IFERROR(VLOOKUP(A475,'1.測量放樣'!C:D,1,0),"")="","","✔")</f>
        <v/>
      </c>
      <c r="C475" s="98" t="str">
        <f>IF(IFERROR(VLOOKUP(A475,'2.土方開挖'!C:D,1,0),"")="","","✔")</f>
        <v/>
      </c>
      <c r="D475" s="98" t="str">
        <f>IF(IFERROR(VLOOKUP(A475,'3.土方回填'!C:D,1,0),"")="","","✔")</f>
        <v/>
      </c>
      <c r="E475" s="98" t="str">
        <f>IF(IFERROR(VLOOKUP(A475,'4.鋼筋'!C:D,1,0),"")="","","✔")</f>
        <v/>
      </c>
      <c r="F475" s="98" t="str">
        <f>IF(IFERROR(VLOOKUP(A475,'5.模板'!C:D,1,0),"")="","","✔")</f>
        <v/>
      </c>
      <c r="G475" s="98" t="str">
        <f>IF(IFERROR(VLOOKUP(A475,'6.混凝土'!C:D,1,0),"")="","","✔")</f>
        <v/>
      </c>
      <c r="H475" s="98" t="str">
        <f>IF(IFERROR(VLOOKUP(A475,'7.植筋'!C:D,1,0),"")="","","✔")</f>
        <v/>
      </c>
      <c r="I475" s="98" t="str">
        <f>IF(IFERROR(VLOOKUP(A475,'8.預力混凝土基樁'!C:D,1,0),"")="","","✔")</f>
        <v/>
      </c>
      <c r="J475" s="98" t="str">
        <f>IF(IFERROR(VLOOKUP(A475,'9.砌塊石護岸'!C:D,1,0),"")="","","✔")</f>
        <v/>
      </c>
      <c r="K475" s="98" t="str">
        <f>IF(IFERROR(VLOOKUP(A475,'10.低水護岸'!C:D,1,0),"")="","","✔")</f>
        <v/>
      </c>
      <c r="L475" s="98" t="str">
        <f>IF(IFERROR(VLOOKUP(A475,'11.固床工'!C:D,1,0),"")="","","✔")</f>
        <v/>
      </c>
      <c r="M475" s="98" t="str">
        <f>IF(IFERROR(VLOOKUP(A475,'12.全套管基樁'!C:D,1,0),"")="","","✔")</f>
        <v/>
      </c>
      <c r="N475" s="98" t="str">
        <f>IF(IFERROR(VLOOKUP(A475,'13.鋼筋混凝土管工程'!C:D,1,0),"")="","","✔")</f>
        <v/>
      </c>
      <c r="O475" s="98" t="str">
        <f>IF(IFERROR(VLOOKUP(A475,'14.鋼版樁'!C:D,1,0),"")="","","✔")</f>
        <v/>
      </c>
      <c r="P475" s="98" t="str">
        <f>IF(IFERROR(VLOOKUP(A475,'15.路床 路基高程'!C:D,1,0),"")="","","✔")</f>
        <v/>
      </c>
      <c r="Q475" s="98" t="str">
        <f>IF(IFERROR(VLOOKUP(A475,'16.瀝青混凝土'!C:D,1,0),"")="","","✔")</f>
        <v/>
      </c>
      <c r="R475" s="98" t="str">
        <f>IF(IFERROR(VLOOKUP(A475,'17.景觀鋪面(一)'!C:D,1,0),"")="","","✔")</f>
        <v/>
      </c>
      <c r="S475" s="98" t="str">
        <f>IF(IFERROR(VLOOKUP(A475,'18.景觀鋪面(二)'!C:D,1,0),"")="","","✔")</f>
        <v/>
      </c>
      <c r="T475" s="98" t="str">
        <f>IF(IFERROR(VLOOKUP(A475,'19.預鑄緣石'!C:D,1,0),"")="","","✔")</f>
        <v/>
      </c>
      <c r="U475" s="98" t="str">
        <f>IF(IFERROR(VLOOKUP(A475,'20.鋼構工程吊裝'!C:D,1,0),"")="","","✔")</f>
        <v/>
      </c>
      <c r="V475" s="98" t="str">
        <f>IF(IFERROR(VLOOKUP(A475,'21.鋼構工程塗裝'!C:D,1,0),"")="","","✔")</f>
        <v/>
      </c>
      <c r="W475" s="98" t="str">
        <f>IF(IFERROR(VLOOKUP(A475,'22.排水設施(一)'!C:D,1,0),"")="","","✔")</f>
        <v/>
      </c>
      <c r="X475" s="98" t="str">
        <f>IF(IFERROR(VLOOKUP(A475,'23.排水設施(二)'!C:D,1,0),"")="","","✔")</f>
        <v/>
      </c>
      <c r="Y475" s="98" t="str">
        <f>IF(IFERROR(VLOOKUP(A475,'24.木構造'!C:D,1,0),"")="","","✔")</f>
        <v/>
      </c>
      <c r="Z475" s="98" t="str">
        <f>IF(IFERROR(VLOOKUP(A475,'25.管路'!C:D,1,0),"")="","","✔")</f>
        <v/>
      </c>
      <c r="AA475" s="98" t="str">
        <f>IF(IFERROR(VLOOKUP(A475,'26.植栽(移植)'!C:D,1,0),"")="","","✔")</f>
        <v/>
      </c>
      <c r="AB475" s="98" t="str">
        <f>IF(IFERROR(VLOOKUP(A475,'27.植栽(新植)'!C:D,1,0),"")="","","✔")</f>
        <v/>
      </c>
      <c r="AC475" s="98" t="str">
        <f>IF(IFERROR(VLOOKUP(A475,'28.照明'!C:D,1,0),"")="","","✔")</f>
        <v/>
      </c>
      <c r="AD475" s="98" t="str">
        <f>IF(IFERROR(VLOOKUP(A475,'29.既有橋梁拆除'!C:D,1,0),"")="","","✔")</f>
        <v/>
      </c>
    </row>
    <row r="476" spans="1:30" ht="21.75" customHeight="1" x14ac:dyDescent="0.25">
      <c r="A476" s="99">
        <v>45666</v>
      </c>
      <c r="B476" s="98" t="str">
        <f>IF(IFERROR(VLOOKUP(A476,'1.測量放樣'!C:D,1,0),"")="","","✔")</f>
        <v/>
      </c>
      <c r="C476" s="98" t="str">
        <f>IF(IFERROR(VLOOKUP(A476,'2.土方開挖'!C:D,1,0),"")="","","✔")</f>
        <v/>
      </c>
      <c r="D476" s="98" t="str">
        <f>IF(IFERROR(VLOOKUP(A476,'3.土方回填'!C:D,1,0),"")="","","✔")</f>
        <v/>
      </c>
      <c r="E476" s="98" t="str">
        <f>IF(IFERROR(VLOOKUP(A476,'4.鋼筋'!C:D,1,0),"")="","","✔")</f>
        <v/>
      </c>
      <c r="F476" s="98" t="str">
        <f>IF(IFERROR(VLOOKUP(A476,'5.模板'!C:D,1,0),"")="","","✔")</f>
        <v/>
      </c>
      <c r="G476" s="98" t="str">
        <f>IF(IFERROR(VLOOKUP(A476,'6.混凝土'!C:D,1,0),"")="","","✔")</f>
        <v/>
      </c>
      <c r="H476" s="98" t="str">
        <f>IF(IFERROR(VLOOKUP(A476,'7.植筋'!C:D,1,0),"")="","","✔")</f>
        <v/>
      </c>
      <c r="I476" s="98" t="str">
        <f>IF(IFERROR(VLOOKUP(A476,'8.預力混凝土基樁'!C:D,1,0),"")="","","✔")</f>
        <v/>
      </c>
      <c r="J476" s="98" t="str">
        <f>IF(IFERROR(VLOOKUP(A476,'9.砌塊石護岸'!C:D,1,0),"")="","","✔")</f>
        <v/>
      </c>
      <c r="K476" s="98" t="str">
        <f>IF(IFERROR(VLOOKUP(A476,'10.低水護岸'!C:D,1,0),"")="","","✔")</f>
        <v/>
      </c>
      <c r="L476" s="98" t="str">
        <f>IF(IFERROR(VLOOKUP(A476,'11.固床工'!C:D,1,0),"")="","","✔")</f>
        <v/>
      </c>
      <c r="M476" s="98" t="str">
        <f>IF(IFERROR(VLOOKUP(A476,'12.全套管基樁'!C:D,1,0),"")="","","✔")</f>
        <v/>
      </c>
      <c r="N476" s="98" t="str">
        <f>IF(IFERROR(VLOOKUP(A476,'13.鋼筋混凝土管工程'!C:D,1,0),"")="","","✔")</f>
        <v/>
      </c>
      <c r="O476" s="98" t="str">
        <f>IF(IFERROR(VLOOKUP(A476,'14.鋼版樁'!C:D,1,0),"")="","","✔")</f>
        <v/>
      </c>
      <c r="P476" s="98" t="str">
        <f>IF(IFERROR(VLOOKUP(A476,'15.路床 路基高程'!C:D,1,0),"")="","","✔")</f>
        <v/>
      </c>
      <c r="Q476" s="98" t="str">
        <f>IF(IFERROR(VLOOKUP(A476,'16.瀝青混凝土'!C:D,1,0),"")="","","✔")</f>
        <v/>
      </c>
      <c r="R476" s="98" t="str">
        <f>IF(IFERROR(VLOOKUP(A476,'17.景觀鋪面(一)'!C:D,1,0),"")="","","✔")</f>
        <v/>
      </c>
      <c r="S476" s="98" t="str">
        <f>IF(IFERROR(VLOOKUP(A476,'18.景觀鋪面(二)'!C:D,1,0),"")="","","✔")</f>
        <v/>
      </c>
      <c r="T476" s="98" t="str">
        <f>IF(IFERROR(VLOOKUP(A476,'19.預鑄緣石'!C:D,1,0),"")="","","✔")</f>
        <v/>
      </c>
      <c r="U476" s="98" t="str">
        <f>IF(IFERROR(VLOOKUP(A476,'20.鋼構工程吊裝'!C:D,1,0),"")="","","✔")</f>
        <v/>
      </c>
      <c r="V476" s="98" t="str">
        <f>IF(IFERROR(VLOOKUP(A476,'21.鋼構工程塗裝'!C:D,1,0),"")="","","✔")</f>
        <v/>
      </c>
      <c r="W476" s="98" t="str">
        <f>IF(IFERROR(VLOOKUP(A476,'22.排水設施(一)'!C:D,1,0),"")="","","✔")</f>
        <v/>
      </c>
      <c r="X476" s="98" t="str">
        <f>IF(IFERROR(VLOOKUP(A476,'23.排水設施(二)'!C:D,1,0),"")="","","✔")</f>
        <v/>
      </c>
      <c r="Y476" s="98" t="str">
        <f>IF(IFERROR(VLOOKUP(A476,'24.木構造'!C:D,1,0),"")="","","✔")</f>
        <v/>
      </c>
      <c r="Z476" s="98" t="str">
        <f>IF(IFERROR(VLOOKUP(A476,'25.管路'!C:D,1,0),"")="","","✔")</f>
        <v/>
      </c>
      <c r="AA476" s="98" t="str">
        <f>IF(IFERROR(VLOOKUP(A476,'26.植栽(移植)'!C:D,1,0),"")="","","✔")</f>
        <v/>
      </c>
      <c r="AB476" s="98" t="str">
        <f>IF(IFERROR(VLOOKUP(A476,'27.植栽(新植)'!C:D,1,0),"")="","","✔")</f>
        <v/>
      </c>
      <c r="AC476" s="98" t="str">
        <f>IF(IFERROR(VLOOKUP(A476,'28.照明'!C:D,1,0),"")="","","✔")</f>
        <v/>
      </c>
      <c r="AD476" s="98" t="str">
        <f>IF(IFERROR(VLOOKUP(A476,'29.既有橋梁拆除'!C:D,1,0),"")="","","✔")</f>
        <v/>
      </c>
    </row>
    <row r="477" spans="1:30" ht="21.75" customHeight="1" x14ac:dyDescent="0.25">
      <c r="A477" s="99">
        <v>45667</v>
      </c>
      <c r="B477" s="98" t="str">
        <f>IF(IFERROR(VLOOKUP(A477,'1.測量放樣'!C:D,1,0),"")="","","✔")</f>
        <v/>
      </c>
      <c r="C477" s="98" t="str">
        <f>IF(IFERROR(VLOOKUP(A477,'2.土方開挖'!C:D,1,0),"")="","","✔")</f>
        <v/>
      </c>
      <c r="D477" s="98" t="str">
        <f>IF(IFERROR(VLOOKUP(A477,'3.土方回填'!C:D,1,0),"")="","","✔")</f>
        <v/>
      </c>
      <c r="E477" s="98" t="str">
        <f>IF(IFERROR(VLOOKUP(A477,'4.鋼筋'!C:D,1,0),"")="","","✔")</f>
        <v/>
      </c>
      <c r="F477" s="98" t="str">
        <f>IF(IFERROR(VLOOKUP(A477,'5.模板'!C:D,1,0),"")="","","✔")</f>
        <v/>
      </c>
      <c r="G477" s="98" t="str">
        <f>IF(IFERROR(VLOOKUP(A477,'6.混凝土'!C:D,1,0),"")="","","✔")</f>
        <v/>
      </c>
      <c r="H477" s="98" t="str">
        <f>IF(IFERROR(VLOOKUP(A477,'7.植筋'!C:D,1,0),"")="","","✔")</f>
        <v/>
      </c>
      <c r="I477" s="98" t="str">
        <f>IF(IFERROR(VLOOKUP(A477,'8.預力混凝土基樁'!C:D,1,0),"")="","","✔")</f>
        <v/>
      </c>
      <c r="J477" s="98" t="str">
        <f>IF(IFERROR(VLOOKUP(A477,'9.砌塊石護岸'!C:D,1,0),"")="","","✔")</f>
        <v/>
      </c>
      <c r="K477" s="98" t="str">
        <f>IF(IFERROR(VLOOKUP(A477,'10.低水護岸'!C:D,1,0),"")="","","✔")</f>
        <v/>
      </c>
      <c r="L477" s="98" t="str">
        <f>IF(IFERROR(VLOOKUP(A477,'11.固床工'!C:D,1,0),"")="","","✔")</f>
        <v/>
      </c>
      <c r="M477" s="98" t="str">
        <f>IF(IFERROR(VLOOKUP(A477,'12.全套管基樁'!C:D,1,0),"")="","","✔")</f>
        <v/>
      </c>
      <c r="N477" s="98" t="str">
        <f>IF(IFERROR(VLOOKUP(A477,'13.鋼筋混凝土管工程'!C:D,1,0),"")="","","✔")</f>
        <v/>
      </c>
      <c r="O477" s="98" t="str">
        <f>IF(IFERROR(VLOOKUP(A477,'14.鋼版樁'!C:D,1,0),"")="","","✔")</f>
        <v/>
      </c>
      <c r="P477" s="98" t="str">
        <f>IF(IFERROR(VLOOKUP(A477,'15.路床 路基高程'!C:D,1,0),"")="","","✔")</f>
        <v/>
      </c>
      <c r="Q477" s="98" t="str">
        <f>IF(IFERROR(VLOOKUP(A477,'16.瀝青混凝土'!C:D,1,0),"")="","","✔")</f>
        <v/>
      </c>
      <c r="R477" s="98" t="str">
        <f>IF(IFERROR(VLOOKUP(A477,'17.景觀鋪面(一)'!C:D,1,0),"")="","","✔")</f>
        <v/>
      </c>
      <c r="S477" s="98" t="str">
        <f>IF(IFERROR(VLOOKUP(A477,'18.景觀鋪面(二)'!C:D,1,0),"")="","","✔")</f>
        <v/>
      </c>
      <c r="T477" s="98" t="str">
        <f>IF(IFERROR(VLOOKUP(A477,'19.預鑄緣石'!C:D,1,0),"")="","","✔")</f>
        <v/>
      </c>
      <c r="U477" s="98" t="str">
        <f>IF(IFERROR(VLOOKUP(A477,'20.鋼構工程吊裝'!C:D,1,0),"")="","","✔")</f>
        <v/>
      </c>
      <c r="V477" s="98" t="str">
        <f>IF(IFERROR(VLOOKUP(A477,'21.鋼構工程塗裝'!C:D,1,0),"")="","","✔")</f>
        <v/>
      </c>
      <c r="W477" s="98" t="str">
        <f>IF(IFERROR(VLOOKUP(A477,'22.排水設施(一)'!C:D,1,0),"")="","","✔")</f>
        <v/>
      </c>
      <c r="X477" s="98" t="str">
        <f>IF(IFERROR(VLOOKUP(A477,'23.排水設施(二)'!C:D,1,0),"")="","","✔")</f>
        <v/>
      </c>
      <c r="Y477" s="98" t="str">
        <f>IF(IFERROR(VLOOKUP(A477,'24.木構造'!C:D,1,0),"")="","","✔")</f>
        <v/>
      </c>
      <c r="Z477" s="98" t="str">
        <f>IF(IFERROR(VLOOKUP(A477,'25.管路'!C:D,1,0),"")="","","✔")</f>
        <v/>
      </c>
      <c r="AA477" s="98" t="str">
        <f>IF(IFERROR(VLOOKUP(A477,'26.植栽(移植)'!C:D,1,0),"")="","","✔")</f>
        <v/>
      </c>
      <c r="AB477" s="98" t="str">
        <f>IF(IFERROR(VLOOKUP(A477,'27.植栽(新植)'!C:D,1,0),"")="","","✔")</f>
        <v/>
      </c>
      <c r="AC477" s="98" t="str">
        <f>IF(IFERROR(VLOOKUP(A477,'28.照明'!C:D,1,0),"")="","","✔")</f>
        <v/>
      </c>
      <c r="AD477" s="98" t="str">
        <f>IF(IFERROR(VLOOKUP(A477,'29.既有橋梁拆除'!C:D,1,0),"")="","","✔")</f>
        <v/>
      </c>
    </row>
    <row r="478" spans="1:30" ht="21.75" customHeight="1" x14ac:dyDescent="0.25">
      <c r="A478" s="99">
        <v>45668</v>
      </c>
      <c r="B478" s="98" t="str">
        <f>IF(IFERROR(VLOOKUP(A478,'1.測量放樣'!C:D,1,0),"")="","","✔")</f>
        <v/>
      </c>
      <c r="C478" s="98" t="str">
        <f>IF(IFERROR(VLOOKUP(A478,'2.土方開挖'!C:D,1,0),"")="","","✔")</f>
        <v/>
      </c>
      <c r="D478" s="98" t="str">
        <f>IF(IFERROR(VLOOKUP(A478,'3.土方回填'!C:D,1,0),"")="","","✔")</f>
        <v/>
      </c>
      <c r="E478" s="98" t="str">
        <f>IF(IFERROR(VLOOKUP(A478,'4.鋼筋'!C:D,1,0),"")="","","✔")</f>
        <v/>
      </c>
      <c r="F478" s="98" t="str">
        <f>IF(IFERROR(VLOOKUP(A478,'5.模板'!C:D,1,0),"")="","","✔")</f>
        <v/>
      </c>
      <c r="G478" s="98" t="str">
        <f>IF(IFERROR(VLOOKUP(A478,'6.混凝土'!C:D,1,0),"")="","","✔")</f>
        <v/>
      </c>
      <c r="H478" s="98" t="str">
        <f>IF(IFERROR(VLOOKUP(A478,'7.植筋'!C:D,1,0),"")="","","✔")</f>
        <v/>
      </c>
      <c r="I478" s="98" t="str">
        <f>IF(IFERROR(VLOOKUP(A478,'8.預力混凝土基樁'!C:D,1,0),"")="","","✔")</f>
        <v/>
      </c>
      <c r="J478" s="98" t="str">
        <f>IF(IFERROR(VLOOKUP(A478,'9.砌塊石護岸'!C:D,1,0),"")="","","✔")</f>
        <v/>
      </c>
      <c r="K478" s="98" t="str">
        <f>IF(IFERROR(VLOOKUP(A478,'10.低水護岸'!C:D,1,0),"")="","","✔")</f>
        <v/>
      </c>
      <c r="L478" s="98" t="str">
        <f>IF(IFERROR(VLOOKUP(A478,'11.固床工'!C:D,1,0),"")="","","✔")</f>
        <v/>
      </c>
      <c r="M478" s="98" t="str">
        <f>IF(IFERROR(VLOOKUP(A478,'12.全套管基樁'!C:D,1,0),"")="","","✔")</f>
        <v/>
      </c>
      <c r="N478" s="98" t="str">
        <f>IF(IFERROR(VLOOKUP(A478,'13.鋼筋混凝土管工程'!C:D,1,0),"")="","","✔")</f>
        <v/>
      </c>
      <c r="O478" s="98" t="str">
        <f>IF(IFERROR(VLOOKUP(A478,'14.鋼版樁'!C:D,1,0),"")="","","✔")</f>
        <v/>
      </c>
      <c r="P478" s="98" t="str">
        <f>IF(IFERROR(VLOOKUP(A478,'15.路床 路基高程'!C:D,1,0),"")="","","✔")</f>
        <v/>
      </c>
      <c r="Q478" s="98" t="str">
        <f>IF(IFERROR(VLOOKUP(A478,'16.瀝青混凝土'!C:D,1,0),"")="","","✔")</f>
        <v/>
      </c>
      <c r="R478" s="98" t="str">
        <f>IF(IFERROR(VLOOKUP(A478,'17.景觀鋪面(一)'!C:D,1,0),"")="","","✔")</f>
        <v/>
      </c>
      <c r="S478" s="98" t="str">
        <f>IF(IFERROR(VLOOKUP(A478,'18.景觀鋪面(二)'!C:D,1,0),"")="","","✔")</f>
        <v/>
      </c>
      <c r="T478" s="98" t="str">
        <f>IF(IFERROR(VLOOKUP(A478,'19.預鑄緣石'!C:D,1,0),"")="","","✔")</f>
        <v/>
      </c>
      <c r="U478" s="98" t="str">
        <f>IF(IFERROR(VLOOKUP(A478,'20.鋼構工程吊裝'!C:D,1,0),"")="","","✔")</f>
        <v/>
      </c>
      <c r="V478" s="98" t="str">
        <f>IF(IFERROR(VLOOKUP(A478,'21.鋼構工程塗裝'!C:D,1,0),"")="","","✔")</f>
        <v/>
      </c>
      <c r="W478" s="98" t="str">
        <f>IF(IFERROR(VLOOKUP(A478,'22.排水設施(一)'!C:D,1,0),"")="","","✔")</f>
        <v/>
      </c>
      <c r="X478" s="98" t="str">
        <f>IF(IFERROR(VLOOKUP(A478,'23.排水設施(二)'!C:D,1,0),"")="","","✔")</f>
        <v/>
      </c>
      <c r="Y478" s="98" t="str">
        <f>IF(IFERROR(VLOOKUP(A478,'24.木構造'!C:D,1,0),"")="","","✔")</f>
        <v/>
      </c>
      <c r="Z478" s="98" t="str">
        <f>IF(IFERROR(VLOOKUP(A478,'25.管路'!C:D,1,0),"")="","","✔")</f>
        <v/>
      </c>
      <c r="AA478" s="98" t="str">
        <f>IF(IFERROR(VLOOKUP(A478,'26.植栽(移植)'!C:D,1,0),"")="","","✔")</f>
        <v/>
      </c>
      <c r="AB478" s="98" t="str">
        <f>IF(IFERROR(VLOOKUP(A478,'27.植栽(新植)'!C:D,1,0),"")="","","✔")</f>
        <v/>
      </c>
      <c r="AC478" s="98" t="str">
        <f>IF(IFERROR(VLOOKUP(A478,'28.照明'!C:D,1,0),"")="","","✔")</f>
        <v/>
      </c>
      <c r="AD478" s="98" t="str">
        <f>IF(IFERROR(VLOOKUP(A478,'29.既有橋梁拆除'!C:D,1,0),"")="","","✔")</f>
        <v/>
      </c>
    </row>
    <row r="479" spans="1:30" ht="21.75" customHeight="1" x14ac:dyDescent="0.25">
      <c r="A479" s="99">
        <v>45669</v>
      </c>
      <c r="B479" s="98" t="str">
        <f>IF(IFERROR(VLOOKUP(A479,'1.測量放樣'!C:D,1,0),"")="","","✔")</f>
        <v/>
      </c>
      <c r="C479" s="98" t="str">
        <f>IF(IFERROR(VLOOKUP(A479,'2.土方開挖'!C:D,1,0),"")="","","✔")</f>
        <v/>
      </c>
      <c r="D479" s="98" t="str">
        <f>IF(IFERROR(VLOOKUP(A479,'3.土方回填'!C:D,1,0),"")="","","✔")</f>
        <v/>
      </c>
      <c r="E479" s="98" t="str">
        <f>IF(IFERROR(VLOOKUP(A479,'4.鋼筋'!C:D,1,0),"")="","","✔")</f>
        <v/>
      </c>
      <c r="F479" s="98" t="str">
        <f>IF(IFERROR(VLOOKUP(A479,'5.模板'!C:D,1,0),"")="","","✔")</f>
        <v/>
      </c>
      <c r="G479" s="98" t="str">
        <f>IF(IFERROR(VLOOKUP(A479,'6.混凝土'!C:D,1,0),"")="","","✔")</f>
        <v/>
      </c>
      <c r="H479" s="98" t="str">
        <f>IF(IFERROR(VLOOKUP(A479,'7.植筋'!C:D,1,0),"")="","","✔")</f>
        <v/>
      </c>
      <c r="I479" s="98" t="str">
        <f>IF(IFERROR(VLOOKUP(A479,'8.預力混凝土基樁'!C:D,1,0),"")="","","✔")</f>
        <v/>
      </c>
      <c r="J479" s="98" t="str">
        <f>IF(IFERROR(VLOOKUP(A479,'9.砌塊石護岸'!C:D,1,0),"")="","","✔")</f>
        <v/>
      </c>
      <c r="K479" s="98" t="str">
        <f>IF(IFERROR(VLOOKUP(A479,'10.低水護岸'!C:D,1,0),"")="","","✔")</f>
        <v/>
      </c>
      <c r="L479" s="98" t="str">
        <f>IF(IFERROR(VLOOKUP(A479,'11.固床工'!C:D,1,0),"")="","","✔")</f>
        <v/>
      </c>
      <c r="M479" s="98" t="str">
        <f>IF(IFERROR(VLOOKUP(A479,'12.全套管基樁'!C:D,1,0),"")="","","✔")</f>
        <v/>
      </c>
      <c r="N479" s="98" t="str">
        <f>IF(IFERROR(VLOOKUP(A479,'13.鋼筋混凝土管工程'!C:D,1,0),"")="","","✔")</f>
        <v/>
      </c>
      <c r="O479" s="98" t="str">
        <f>IF(IFERROR(VLOOKUP(A479,'14.鋼版樁'!C:D,1,0),"")="","","✔")</f>
        <v/>
      </c>
      <c r="P479" s="98" t="str">
        <f>IF(IFERROR(VLOOKUP(A479,'15.路床 路基高程'!C:D,1,0),"")="","","✔")</f>
        <v/>
      </c>
      <c r="Q479" s="98" t="str">
        <f>IF(IFERROR(VLOOKUP(A479,'16.瀝青混凝土'!C:D,1,0),"")="","","✔")</f>
        <v/>
      </c>
      <c r="R479" s="98" t="str">
        <f>IF(IFERROR(VLOOKUP(A479,'17.景觀鋪面(一)'!C:D,1,0),"")="","","✔")</f>
        <v/>
      </c>
      <c r="S479" s="98" t="str">
        <f>IF(IFERROR(VLOOKUP(A479,'18.景觀鋪面(二)'!C:D,1,0),"")="","","✔")</f>
        <v/>
      </c>
      <c r="T479" s="98" t="str">
        <f>IF(IFERROR(VLOOKUP(A479,'19.預鑄緣石'!C:D,1,0),"")="","","✔")</f>
        <v/>
      </c>
      <c r="U479" s="98" t="str">
        <f>IF(IFERROR(VLOOKUP(A479,'20.鋼構工程吊裝'!C:D,1,0),"")="","","✔")</f>
        <v/>
      </c>
      <c r="V479" s="98" t="str">
        <f>IF(IFERROR(VLOOKUP(A479,'21.鋼構工程塗裝'!C:D,1,0),"")="","","✔")</f>
        <v/>
      </c>
      <c r="W479" s="98" t="str">
        <f>IF(IFERROR(VLOOKUP(A479,'22.排水設施(一)'!C:D,1,0),"")="","","✔")</f>
        <v/>
      </c>
      <c r="X479" s="98" t="str">
        <f>IF(IFERROR(VLOOKUP(A479,'23.排水設施(二)'!C:D,1,0),"")="","","✔")</f>
        <v/>
      </c>
      <c r="Y479" s="98" t="str">
        <f>IF(IFERROR(VLOOKUP(A479,'24.木構造'!C:D,1,0),"")="","","✔")</f>
        <v/>
      </c>
      <c r="Z479" s="98" t="str">
        <f>IF(IFERROR(VLOOKUP(A479,'25.管路'!C:D,1,0),"")="","","✔")</f>
        <v/>
      </c>
      <c r="AA479" s="98" t="str">
        <f>IF(IFERROR(VLOOKUP(A479,'26.植栽(移植)'!C:D,1,0),"")="","","✔")</f>
        <v/>
      </c>
      <c r="AB479" s="98" t="str">
        <f>IF(IFERROR(VLOOKUP(A479,'27.植栽(新植)'!C:D,1,0),"")="","","✔")</f>
        <v/>
      </c>
      <c r="AC479" s="98" t="str">
        <f>IF(IFERROR(VLOOKUP(A479,'28.照明'!C:D,1,0),"")="","","✔")</f>
        <v/>
      </c>
      <c r="AD479" s="98" t="str">
        <f>IF(IFERROR(VLOOKUP(A479,'29.既有橋梁拆除'!C:D,1,0),"")="","","✔")</f>
        <v/>
      </c>
    </row>
    <row r="480" spans="1:30" ht="21.75" customHeight="1" x14ac:dyDescent="0.25">
      <c r="A480" s="99">
        <v>45670</v>
      </c>
      <c r="B480" s="98" t="str">
        <f>IF(IFERROR(VLOOKUP(A480,'1.測量放樣'!C:D,1,0),"")="","","✔")</f>
        <v/>
      </c>
      <c r="C480" s="98" t="str">
        <f>IF(IFERROR(VLOOKUP(A480,'2.土方開挖'!C:D,1,0),"")="","","✔")</f>
        <v/>
      </c>
      <c r="D480" s="98" t="str">
        <f>IF(IFERROR(VLOOKUP(A480,'3.土方回填'!C:D,1,0),"")="","","✔")</f>
        <v/>
      </c>
      <c r="E480" s="98" t="str">
        <f>IF(IFERROR(VLOOKUP(A480,'4.鋼筋'!C:D,1,0),"")="","","✔")</f>
        <v/>
      </c>
      <c r="F480" s="98" t="str">
        <f>IF(IFERROR(VLOOKUP(A480,'5.模板'!C:D,1,0),"")="","","✔")</f>
        <v/>
      </c>
      <c r="G480" s="98" t="str">
        <f>IF(IFERROR(VLOOKUP(A480,'6.混凝土'!C:D,1,0),"")="","","✔")</f>
        <v/>
      </c>
      <c r="H480" s="98" t="str">
        <f>IF(IFERROR(VLOOKUP(A480,'7.植筋'!C:D,1,0),"")="","","✔")</f>
        <v/>
      </c>
      <c r="I480" s="98" t="str">
        <f>IF(IFERROR(VLOOKUP(A480,'8.預力混凝土基樁'!C:D,1,0),"")="","","✔")</f>
        <v/>
      </c>
      <c r="J480" s="98" t="str">
        <f>IF(IFERROR(VLOOKUP(A480,'9.砌塊石護岸'!C:D,1,0),"")="","","✔")</f>
        <v/>
      </c>
      <c r="K480" s="98" t="str">
        <f>IF(IFERROR(VLOOKUP(A480,'10.低水護岸'!C:D,1,0),"")="","","✔")</f>
        <v/>
      </c>
      <c r="L480" s="98" t="str">
        <f>IF(IFERROR(VLOOKUP(A480,'11.固床工'!C:D,1,0),"")="","","✔")</f>
        <v/>
      </c>
      <c r="M480" s="98" t="str">
        <f>IF(IFERROR(VLOOKUP(A480,'12.全套管基樁'!C:D,1,0),"")="","","✔")</f>
        <v/>
      </c>
      <c r="N480" s="98" t="str">
        <f>IF(IFERROR(VLOOKUP(A480,'13.鋼筋混凝土管工程'!C:D,1,0),"")="","","✔")</f>
        <v/>
      </c>
      <c r="O480" s="98" t="str">
        <f>IF(IFERROR(VLOOKUP(A480,'14.鋼版樁'!C:D,1,0),"")="","","✔")</f>
        <v/>
      </c>
      <c r="P480" s="98" t="str">
        <f>IF(IFERROR(VLOOKUP(A480,'15.路床 路基高程'!C:D,1,0),"")="","","✔")</f>
        <v/>
      </c>
      <c r="Q480" s="98" t="str">
        <f>IF(IFERROR(VLOOKUP(A480,'16.瀝青混凝土'!C:D,1,0),"")="","","✔")</f>
        <v/>
      </c>
      <c r="R480" s="98" t="str">
        <f>IF(IFERROR(VLOOKUP(A480,'17.景觀鋪面(一)'!C:D,1,0),"")="","","✔")</f>
        <v/>
      </c>
      <c r="S480" s="98" t="str">
        <f>IF(IFERROR(VLOOKUP(A480,'18.景觀鋪面(二)'!C:D,1,0),"")="","","✔")</f>
        <v/>
      </c>
      <c r="T480" s="98" t="str">
        <f>IF(IFERROR(VLOOKUP(A480,'19.預鑄緣石'!C:D,1,0),"")="","","✔")</f>
        <v/>
      </c>
      <c r="U480" s="98" t="str">
        <f>IF(IFERROR(VLOOKUP(A480,'20.鋼構工程吊裝'!C:D,1,0),"")="","","✔")</f>
        <v/>
      </c>
      <c r="V480" s="98" t="str">
        <f>IF(IFERROR(VLOOKUP(A480,'21.鋼構工程塗裝'!C:D,1,0),"")="","","✔")</f>
        <v/>
      </c>
      <c r="W480" s="98" t="str">
        <f>IF(IFERROR(VLOOKUP(A480,'22.排水設施(一)'!C:D,1,0),"")="","","✔")</f>
        <v/>
      </c>
      <c r="X480" s="98" t="str">
        <f>IF(IFERROR(VLOOKUP(A480,'23.排水設施(二)'!C:D,1,0),"")="","","✔")</f>
        <v/>
      </c>
      <c r="Y480" s="98" t="str">
        <f>IF(IFERROR(VLOOKUP(A480,'24.木構造'!C:D,1,0),"")="","","✔")</f>
        <v/>
      </c>
      <c r="Z480" s="98" t="str">
        <f>IF(IFERROR(VLOOKUP(A480,'25.管路'!C:D,1,0),"")="","","✔")</f>
        <v/>
      </c>
      <c r="AA480" s="98" t="str">
        <f>IF(IFERROR(VLOOKUP(A480,'26.植栽(移植)'!C:D,1,0),"")="","","✔")</f>
        <v/>
      </c>
      <c r="AB480" s="98" t="str">
        <f>IF(IFERROR(VLOOKUP(A480,'27.植栽(新植)'!C:D,1,0),"")="","","✔")</f>
        <v/>
      </c>
      <c r="AC480" s="98" t="str">
        <f>IF(IFERROR(VLOOKUP(A480,'28.照明'!C:D,1,0),"")="","","✔")</f>
        <v/>
      </c>
      <c r="AD480" s="98" t="str">
        <f>IF(IFERROR(VLOOKUP(A480,'29.既有橋梁拆除'!C:D,1,0),"")="","","✔")</f>
        <v/>
      </c>
    </row>
    <row r="481" spans="1:30" ht="21.75" customHeight="1" x14ac:dyDescent="0.25">
      <c r="A481" s="99">
        <v>45671</v>
      </c>
      <c r="B481" s="98" t="str">
        <f>IF(IFERROR(VLOOKUP(A481,'1.測量放樣'!C:D,1,0),"")="","","✔")</f>
        <v/>
      </c>
      <c r="C481" s="98" t="str">
        <f>IF(IFERROR(VLOOKUP(A481,'2.土方開挖'!C:D,1,0),"")="","","✔")</f>
        <v/>
      </c>
      <c r="D481" s="98" t="str">
        <f>IF(IFERROR(VLOOKUP(A481,'3.土方回填'!C:D,1,0),"")="","","✔")</f>
        <v/>
      </c>
      <c r="E481" s="98" t="str">
        <f>IF(IFERROR(VLOOKUP(A481,'4.鋼筋'!C:D,1,0),"")="","","✔")</f>
        <v/>
      </c>
      <c r="F481" s="98" t="str">
        <f>IF(IFERROR(VLOOKUP(A481,'5.模板'!C:D,1,0),"")="","","✔")</f>
        <v/>
      </c>
      <c r="G481" s="98" t="str">
        <f>IF(IFERROR(VLOOKUP(A481,'6.混凝土'!C:D,1,0),"")="","","✔")</f>
        <v/>
      </c>
      <c r="H481" s="98" t="str">
        <f>IF(IFERROR(VLOOKUP(A481,'7.植筋'!C:D,1,0),"")="","","✔")</f>
        <v/>
      </c>
      <c r="I481" s="98" t="str">
        <f>IF(IFERROR(VLOOKUP(A481,'8.預力混凝土基樁'!C:D,1,0),"")="","","✔")</f>
        <v/>
      </c>
      <c r="J481" s="98" t="str">
        <f>IF(IFERROR(VLOOKUP(A481,'9.砌塊石護岸'!C:D,1,0),"")="","","✔")</f>
        <v/>
      </c>
      <c r="K481" s="98" t="str">
        <f>IF(IFERROR(VLOOKUP(A481,'10.低水護岸'!C:D,1,0),"")="","","✔")</f>
        <v/>
      </c>
      <c r="L481" s="98" t="str">
        <f>IF(IFERROR(VLOOKUP(A481,'11.固床工'!C:D,1,0),"")="","","✔")</f>
        <v/>
      </c>
      <c r="M481" s="98" t="str">
        <f>IF(IFERROR(VLOOKUP(A481,'12.全套管基樁'!C:D,1,0),"")="","","✔")</f>
        <v/>
      </c>
      <c r="N481" s="98" t="str">
        <f>IF(IFERROR(VLOOKUP(A481,'13.鋼筋混凝土管工程'!C:D,1,0),"")="","","✔")</f>
        <v/>
      </c>
      <c r="O481" s="98" t="str">
        <f>IF(IFERROR(VLOOKUP(A481,'14.鋼版樁'!C:D,1,0),"")="","","✔")</f>
        <v/>
      </c>
      <c r="P481" s="98" t="str">
        <f>IF(IFERROR(VLOOKUP(A481,'15.路床 路基高程'!C:D,1,0),"")="","","✔")</f>
        <v/>
      </c>
      <c r="Q481" s="98" t="str">
        <f>IF(IFERROR(VLOOKUP(A481,'16.瀝青混凝土'!C:D,1,0),"")="","","✔")</f>
        <v/>
      </c>
      <c r="R481" s="98" t="str">
        <f>IF(IFERROR(VLOOKUP(A481,'17.景觀鋪面(一)'!C:D,1,0),"")="","","✔")</f>
        <v/>
      </c>
      <c r="S481" s="98" t="str">
        <f>IF(IFERROR(VLOOKUP(A481,'18.景觀鋪面(二)'!C:D,1,0),"")="","","✔")</f>
        <v/>
      </c>
      <c r="T481" s="98" t="str">
        <f>IF(IFERROR(VLOOKUP(A481,'19.預鑄緣石'!C:D,1,0),"")="","","✔")</f>
        <v/>
      </c>
      <c r="U481" s="98" t="str">
        <f>IF(IFERROR(VLOOKUP(A481,'20.鋼構工程吊裝'!C:D,1,0),"")="","","✔")</f>
        <v/>
      </c>
      <c r="V481" s="98" t="str">
        <f>IF(IFERROR(VLOOKUP(A481,'21.鋼構工程塗裝'!C:D,1,0),"")="","","✔")</f>
        <v/>
      </c>
      <c r="W481" s="98" t="str">
        <f>IF(IFERROR(VLOOKUP(A481,'22.排水設施(一)'!C:D,1,0),"")="","","✔")</f>
        <v/>
      </c>
      <c r="X481" s="98" t="str">
        <f>IF(IFERROR(VLOOKUP(A481,'23.排水設施(二)'!C:D,1,0),"")="","","✔")</f>
        <v/>
      </c>
      <c r="Y481" s="98" t="str">
        <f>IF(IFERROR(VLOOKUP(A481,'24.木構造'!C:D,1,0),"")="","","✔")</f>
        <v/>
      </c>
      <c r="Z481" s="98" t="str">
        <f>IF(IFERROR(VLOOKUP(A481,'25.管路'!C:D,1,0),"")="","","✔")</f>
        <v/>
      </c>
      <c r="AA481" s="98" t="str">
        <f>IF(IFERROR(VLOOKUP(A481,'26.植栽(移植)'!C:D,1,0),"")="","","✔")</f>
        <v/>
      </c>
      <c r="AB481" s="98" t="str">
        <f>IF(IFERROR(VLOOKUP(A481,'27.植栽(新植)'!C:D,1,0),"")="","","✔")</f>
        <v/>
      </c>
      <c r="AC481" s="98" t="str">
        <f>IF(IFERROR(VLOOKUP(A481,'28.照明'!C:D,1,0),"")="","","✔")</f>
        <v/>
      </c>
      <c r="AD481" s="98" t="str">
        <f>IF(IFERROR(VLOOKUP(A481,'29.既有橋梁拆除'!C:D,1,0),"")="","","✔")</f>
        <v/>
      </c>
    </row>
    <row r="482" spans="1:30" ht="21.75" customHeight="1" x14ac:dyDescent="0.25">
      <c r="A482" s="99">
        <v>45672</v>
      </c>
      <c r="B482" s="98" t="str">
        <f>IF(IFERROR(VLOOKUP(A482,'1.測量放樣'!C:D,1,0),"")="","","✔")</f>
        <v/>
      </c>
      <c r="C482" s="98" t="str">
        <f>IF(IFERROR(VLOOKUP(A482,'2.土方開挖'!C:D,1,0),"")="","","✔")</f>
        <v/>
      </c>
      <c r="D482" s="98" t="str">
        <f>IF(IFERROR(VLOOKUP(A482,'3.土方回填'!C:D,1,0),"")="","","✔")</f>
        <v/>
      </c>
      <c r="E482" s="98" t="str">
        <f>IF(IFERROR(VLOOKUP(A482,'4.鋼筋'!C:D,1,0),"")="","","✔")</f>
        <v/>
      </c>
      <c r="F482" s="98" t="str">
        <f>IF(IFERROR(VLOOKUP(A482,'5.模板'!C:D,1,0),"")="","","✔")</f>
        <v/>
      </c>
      <c r="G482" s="98" t="str">
        <f>IF(IFERROR(VLOOKUP(A482,'6.混凝土'!C:D,1,0),"")="","","✔")</f>
        <v/>
      </c>
      <c r="H482" s="98" t="str">
        <f>IF(IFERROR(VLOOKUP(A482,'7.植筋'!C:D,1,0),"")="","","✔")</f>
        <v/>
      </c>
      <c r="I482" s="98" t="str">
        <f>IF(IFERROR(VLOOKUP(A482,'8.預力混凝土基樁'!C:D,1,0),"")="","","✔")</f>
        <v/>
      </c>
      <c r="J482" s="98" t="str">
        <f>IF(IFERROR(VLOOKUP(A482,'9.砌塊石護岸'!C:D,1,0),"")="","","✔")</f>
        <v/>
      </c>
      <c r="K482" s="98" t="str">
        <f>IF(IFERROR(VLOOKUP(A482,'10.低水護岸'!C:D,1,0),"")="","","✔")</f>
        <v/>
      </c>
      <c r="L482" s="98" t="str">
        <f>IF(IFERROR(VLOOKUP(A482,'11.固床工'!C:D,1,0),"")="","","✔")</f>
        <v/>
      </c>
      <c r="M482" s="98" t="str">
        <f>IF(IFERROR(VLOOKUP(A482,'12.全套管基樁'!C:D,1,0),"")="","","✔")</f>
        <v/>
      </c>
      <c r="N482" s="98" t="str">
        <f>IF(IFERROR(VLOOKUP(A482,'13.鋼筋混凝土管工程'!C:D,1,0),"")="","","✔")</f>
        <v/>
      </c>
      <c r="O482" s="98" t="str">
        <f>IF(IFERROR(VLOOKUP(A482,'14.鋼版樁'!C:D,1,0),"")="","","✔")</f>
        <v/>
      </c>
      <c r="P482" s="98" t="str">
        <f>IF(IFERROR(VLOOKUP(A482,'15.路床 路基高程'!C:D,1,0),"")="","","✔")</f>
        <v/>
      </c>
      <c r="Q482" s="98" t="str">
        <f>IF(IFERROR(VLOOKUP(A482,'16.瀝青混凝土'!C:D,1,0),"")="","","✔")</f>
        <v/>
      </c>
      <c r="R482" s="98" t="str">
        <f>IF(IFERROR(VLOOKUP(A482,'17.景觀鋪面(一)'!C:D,1,0),"")="","","✔")</f>
        <v/>
      </c>
      <c r="S482" s="98" t="str">
        <f>IF(IFERROR(VLOOKUP(A482,'18.景觀鋪面(二)'!C:D,1,0),"")="","","✔")</f>
        <v/>
      </c>
      <c r="T482" s="98" t="str">
        <f>IF(IFERROR(VLOOKUP(A482,'19.預鑄緣石'!C:D,1,0),"")="","","✔")</f>
        <v/>
      </c>
      <c r="U482" s="98" t="str">
        <f>IF(IFERROR(VLOOKUP(A482,'20.鋼構工程吊裝'!C:D,1,0),"")="","","✔")</f>
        <v/>
      </c>
      <c r="V482" s="98" t="str">
        <f>IF(IFERROR(VLOOKUP(A482,'21.鋼構工程塗裝'!C:D,1,0),"")="","","✔")</f>
        <v/>
      </c>
      <c r="W482" s="98" t="str">
        <f>IF(IFERROR(VLOOKUP(A482,'22.排水設施(一)'!C:D,1,0),"")="","","✔")</f>
        <v/>
      </c>
      <c r="X482" s="98" t="str">
        <f>IF(IFERROR(VLOOKUP(A482,'23.排水設施(二)'!C:D,1,0),"")="","","✔")</f>
        <v/>
      </c>
      <c r="Y482" s="98" t="str">
        <f>IF(IFERROR(VLOOKUP(A482,'24.木構造'!C:D,1,0),"")="","","✔")</f>
        <v/>
      </c>
      <c r="Z482" s="98" t="str">
        <f>IF(IFERROR(VLOOKUP(A482,'25.管路'!C:D,1,0),"")="","","✔")</f>
        <v/>
      </c>
      <c r="AA482" s="98" t="str">
        <f>IF(IFERROR(VLOOKUP(A482,'26.植栽(移植)'!C:D,1,0),"")="","","✔")</f>
        <v/>
      </c>
      <c r="AB482" s="98" t="str">
        <f>IF(IFERROR(VLOOKUP(A482,'27.植栽(新植)'!C:D,1,0),"")="","","✔")</f>
        <v/>
      </c>
      <c r="AC482" s="98" t="str">
        <f>IF(IFERROR(VLOOKUP(A482,'28.照明'!C:D,1,0),"")="","","✔")</f>
        <v/>
      </c>
      <c r="AD482" s="98" t="str">
        <f>IF(IFERROR(VLOOKUP(A482,'29.既有橋梁拆除'!C:D,1,0),"")="","","✔")</f>
        <v/>
      </c>
    </row>
    <row r="483" spans="1:30" ht="21.75" customHeight="1" x14ac:dyDescent="0.25">
      <c r="A483" s="99">
        <v>45673</v>
      </c>
      <c r="B483" s="98" t="str">
        <f>IF(IFERROR(VLOOKUP(A483,'1.測量放樣'!C:D,1,0),"")="","","✔")</f>
        <v/>
      </c>
      <c r="C483" s="98" t="str">
        <f>IF(IFERROR(VLOOKUP(A483,'2.土方開挖'!C:D,1,0),"")="","","✔")</f>
        <v/>
      </c>
      <c r="D483" s="98" t="str">
        <f>IF(IFERROR(VLOOKUP(A483,'3.土方回填'!C:D,1,0),"")="","","✔")</f>
        <v/>
      </c>
      <c r="E483" s="98" t="str">
        <f>IF(IFERROR(VLOOKUP(A483,'4.鋼筋'!C:D,1,0),"")="","","✔")</f>
        <v/>
      </c>
      <c r="F483" s="98" t="str">
        <f>IF(IFERROR(VLOOKUP(A483,'5.模板'!C:D,1,0),"")="","","✔")</f>
        <v/>
      </c>
      <c r="G483" s="98" t="str">
        <f>IF(IFERROR(VLOOKUP(A483,'6.混凝土'!C:D,1,0),"")="","","✔")</f>
        <v/>
      </c>
      <c r="H483" s="98" t="str">
        <f>IF(IFERROR(VLOOKUP(A483,'7.植筋'!C:D,1,0),"")="","","✔")</f>
        <v/>
      </c>
      <c r="I483" s="98" t="str">
        <f>IF(IFERROR(VLOOKUP(A483,'8.預力混凝土基樁'!C:D,1,0),"")="","","✔")</f>
        <v/>
      </c>
      <c r="J483" s="98" t="str">
        <f>IF(IFERROR(VLOOKUP(A483,'9.砌塊石護岸'!C:D,1,0),"")="","","✔")</f>
        <v/>
      </c>
      <c r="K483" s="98" t="str">
        <f>IF(IFERROR(VLOOKUP(A483,'10.低水護岸'!C:D,1,0),"")="","","✔")</f>
        <v/>
      </c>
      <c r="L483" s="98" t="str">
        <f>IF(IFERROR(VLOOKUP(A483,'11.固床工'!C:D,1,0),"")="","","✔")</f>
        <v/>
      </c>
      <c r="M483" s="98" t="str">
        <f>IF(IFERROR(VLOOKUP(A483,'12.全套管基樁'!C:D,1,0),"")="","","✔")</f>
        <v/>
      </c>
      <c r="N483" s="98" t="str">
        <f>IF(IFERROR(VLOOKUP(A483,'13.鋼筋混凝土管工程'!C:D,1,0),"")="","","✔")</f>
        <v/>
      </c>
      <c r="O483" s="98" t="str">
        <f>IF(IFERROR(VLOOKUP(A483,'14.鋼版樁'!C:D,1,0),"")="","","✔")</f>
        <v/>
      </c>
      <c r="P483" s="98" t="str">
        <f>IF(IFERROR(VLOOKUP(A483,'15.路床 路基高程'!C:D,1,0),"")="","","✔")</f>
        <v/>
      </c>
      <c r="Q483" s="98" t="str">
        <f>IF(IFERROR(VLOOKUP(A483,'16.瀝青混凝土'!C:D,1,0),"")="","","✔")</f>
        <v/>
      </c>
      <c r="R483" s="98" t="str">
        <f>IF(IFERROR(VLOOKUP(A483,'17.景觀鋪面(一)'!C:D,1,0),"")="","","✔")</f>
        <v/>
      </c>
      <c r="S483" s="98" t="str">
        <f>IF(IFERROR(VLOOKUP(A483,'18.景觀鋪面(二)'!C:D,1,0),"")="","","✔")</f>
        <v/>
      </c>
      <c r="T483" s="98" t="str">
        <f>IF(IFERROR(VLOOKUP(A483,'19.預鑄緣石'!C:D,1,0),"")="","","✔")</f>
        <v/>
      </c>
      <c r="U483" s="98" t="str">
        <f>IF(IFERROR(VLOOKUP(A483,'20.鋼構工程吊裝'!C:D,1,0),"")="","","✔")</f>
        <v/>
      </c>
      <c r="V483" s="98" t="str">
        <f>IF(IFERROR(VLOOKUP(A483,'21.鋼構工程塗裝'!C:D,1,0),"")="","","✔")</f>
        <v/>
      </c>
      <c r="W483" s="98" t="str">
        <f>IF(IFERROR(VLOOKUP(A483,'22.排水設施(一)'!C:D,1,0),"")="","","✔")</f>
        <v/>
      </c>
      <c r="X483" s="98" t="str">
        <f>IF(IFERROR(VLOOKUP(A483,'23.排水設施(二)'!C:D,1,0),"")="","","✔")</f>
        <v/>
      </c>
      <c r="Y483" s="98" t="str">
        <f>IF(IFERROR(VLOOKUP(A483,'24.木構造'!C:D,1,0),"")="","","✔")</f>
        <v/>
      </c>
      <c r="Z483" s="98" t="str">
        <f>IF(IFERROR(VLOOKUP(A483,'25.管路'!C:D,1,0),"")="","","✔")</f>
        <v/>
      </c>
      <c r="AA483" s="98" t="str">
        <f>IF(IFERROR(VLOOKUP(A483,'26.植栽(移植)'!C:D,1,0),"")="","","✔")</f>
        <v/>
      </c>
      <c r="AB483" s="98" t="str">
        <f>IF(IFERROR(VLOOKUP(A483,'27.植栽(新植)'!C:D,1,0),"")="","","✔")</f>
        <v/>
      </c>
      <c r="AC483" s="98" t="str">
        <f>IF(IFERROR(VLOOKUP(A483,'28.照明'!C:D,1,0),"")="","","✔")</f>
        <v/>
      </c>
      <c r="AD483" s="98" t="str">
        <f>IF(IFERROR(VLOOKUP(A483,'29.既有橋梁拆除'!C:D,1,0),"")="","","✔")</f>
        <v/>
      </c>
    </row>
    <row r="484" spans="1:30" ht="21.75" customHeight="1" x14ac:dyDescent="0.25">
      <c r="A484" s="99">
        <v>45674</v>
      </c>
      <c r="B484" s="98" t="str">
        <f>IF(IFERROR(VLOOKUP(A484,'1.測量放樣'!C:D,1,0),"")="","","✔")</f>
        <v/>
      </c>
      <c r="C484" s="98" t="str">
        <f>IF(IFERROR(VLOOKUP(A484,'2.土方開挖'!C:D,1,0),"")="","","✔")</f>
        <v/>
      </c>
      <c r="D484" s="98" t="str">
        <f>IF(IFERROR(VLOOKUP(A484,'3.土方回填'!C:D,1,0),"")="","","✔")</f>
        <v/>
      </c>
      <c r="E484" s="98" t="str">
        <f>IF(IFERROR(VLOOKUP(A484,'4.鋼筋'!C:D,1,0),"")="","","✔")</f>
        <v/>
      </c>
      <c r="F484" s="98" t="str">
        <f>IF(IFERROR(VLOOKUP(A484,'5.模板'!C:D,1,0),"")="","","✔")</f>
        <v/>
      </c>
      <c r="G484" s="98" t="str">
        <f>IF(IFERROR(VLOOKUP(A484,'6.混凝土'!C:D,1,0),"")="","","✔")</f>
        <v/>
      </c>
      <c r="H484" s="98" t="str">
        <f>IF(IFERROR(VLOOKUP(A484,'7.植筋'!C:D,1,0),"")="","","✔")</f>
        <v/>
      </c>
      <c r="I484" s="98" t="str">
        <f>IF(IFERROR(VLOOKUP(A484,'8.預力混凝土基樁'!C:D,1,0),"")="","","✔")</f>
        <v/>
      </c>
      <c r="J484" s="98" t="str">
        <f>IF(IFERROR(VLOOKUP(A484,'9.砌塊石護岸'!C:D,1,0),"")="","","✔")</f>
        <v/>
      </c>
      <c r="K484" s="98" t="str">
        <f>IF(IFERROR(VLOOKUP(A484,'10.低水護岸'!C:D,1,0),"")="","","✔")</f>
        <v/>
      </c>
      <c r="L484" s="98" t="str">
        <f>IF(IFERROR(VLOOKUP(A484,'11.固床工'!C:D,1,0),"")="","","✔")</f>
        <v/>
      </c>
      <c r="M484" s="98" t="str">
        <f>IF(IFERROR(VLOOKUP(A484,'12.全套管基樁'!C:D,1,0),"")="","","✔")</f>
        <v/>
      </c>
      <c r="N484" s="98" t="str">
        <f>IF(IFERROR(VLOOKUP(A484,'13.鋼筋混凝土管工程'!C:D,1,0),"")="","","✔")</f>
        <v/>
      </c>
      <c r="O484" s="98" t="str">
        <f>IF(IFERROR(VLOOKUP(A484,'14.鋼版樁'!C:D,1,0),"")="","","✔")</f>
        <v/>
      </c>
      <c r="P484" s="98" t="str">
        <f>IF(IFERROR(VLOOKUP(A484,'15.路床 路基高程'!C:D,1,0),"")="","","✔")</f>
        <v/>
      </c>
      <c r="Q484" s="98" t="str">
        <f>IF(IFERROR(VLOOKUP(A484,'16.瀝青混凝土'!C:D,1,0),"")="","","✔")</f>
        <v/>
      </c>
      <c r="R484" s="98" t="str">
        <f>IF(IFERROR(VLOOKUP(A484,'17.景觀鋪面(一)'!C:D,1,0),"")="","","✔")</f>
        <v/>
      </c>
      <c r="S484" s="98" t="str">
        <f>IF(IFERROR(VLOOKUP(A484,'18.景觀鋪面(二)'!C:D,1,0),"")="","","✔")</f>
        <v/>
      </c>
      <c r="T484" s="98" t="str">
        <f>IF(IFERROR(VLOOKUP(A484,'19.預鑄緣石'!C:D,1,0),"")="","","✔")</f>
        <v/>
      </c>
      <c r="U484" s="98" t="str">
        <f>IF(IFERROR(VLOOKUP(A484,'20.鋼構工程吊裝'!C:D,1,0),"")="","","✔")</f>
        <v/>
      </c>
      <c r="V484" s="98" t="str">
        <f>IF(IFERROR(VLOOKUP(A484,'21.鋼構工程塗裝'!C:D,1,0),"")="","","✔")</f>
        <v/>
      </c>
      <c r="W484" s="98" t="str">
        <f>IF(IFERROR(VLOOKUP(A484,'22.排水設施(一)'!C:D,1,0),"")="","","✔")</f>
        <v/>
      </c>
      <c r="X484" s="98" t="str">
        <f>IF(IFERROR(VLOOKUP(A484,'23.排水設施(二)'!C:D,1,0),"")="","","✔")</f>
        <v/>
      </c>
      <c r="Y484" s="98" t="str">
        <f>IF(IFERROR(VLOOKUP(A484,'24.木構造'!C:D,1,0),"")="","","✔")</f>
        <v/>
      </c>
      <c r="Z484" s="98" t="str">
        <f>IF(IFERROR(VLOOKUP(A484,'25.管路'!C:D,1,0),"")="","","✔")</f>
        <v/>
      </c>
      <c r="AA484" s="98" t="str">
        <f>IF(IFERROR(VLOOKUP(A484,'26.植栽(移植)'!C:D,1,0),"")="","","✔")</f>
        <v/>
      </c>
      <c r="AB484" s="98" t="str">
        <f>IF(IFERROR(VLOOKUP(A484,'27.植栽(新植)'!C:D,1,0),"")="","","✔")</f>
        <v/>
      </c>
      <c r="AC484" s="98" t="str">
        <f>IF(IFERROR(VLOOKUP(A484,'28.照明'!C:D,1,0),"")="","","✔")</f>
        <v/>
      </c>
      <c r="AD484" s="98" t="str">
        <f>IF(IFERROR(VLOOKUP(A484,'29.既有橋梁拆除'!C:D,1,0),"")="","","✔")</f>
        <v/>
      </c>
    </row>
    <row r="485" spans="1:30" ht="21.75" customHeight="1" x14ac:dyDescent="0.25">
      <c r="A485" s="99">
        <v>45675</v>
      </c>
      <c r="B485" s="98" t="str">
        <f>IF(IFERROR(VLOOKUP(A485,'1.測量放樣'!C:D,1,0),"")="","","✔")</f>
        <v/>
      </c>
      <c r="C485" s="98" t="str">
        <f>IF(IFERROR(VLOOKUP(A485,'2.土方開挖'!C:D,1,0),"")="","","✔")</f>
        <v/>
      </c>
      <c r="D485" s="98" t="str">
        <f>IF(IFERROR(VLOOKUP(A485,'3.土方回填'!C:D,1,0),"")="","","✔")</f>
        <v/>
      </c>
      <c r="E485" s="98" t="str">
        <f>IF(IFERROR(VLOOKUP(A485,'4.鋼筋'!C:D,1,0),"")="","","✔")</f>
        <v/>
      </c>
      <c r="F485" s="98" t="str">
        <f>IF(IFERROR(VLOOKUP(A485,'5.模板'!C:D,1,0),"")="","","✔")</f>
        <v/>
      </c>
      <c r="G485" s="98" t="str">
        <f>IF(IFERROR(VLOOKUP(A485,'6.混凝土'!C:D,1,0),"")="","","✔")</f>
        <v/>
      </c>
      <c r="H485" s="98" t="str">
        <f>IF(IFERROR(VLOOKUP(A485,'7.植筋'!C:D,1,0),"")="","","✔")</f>
        <v/>
      </c>
      <c r="I485" s="98" t="str">
        <f>IF(IFERROR(VLOOKUP(A485,'8.預力混凝土基樁'!C:D,1,0),"")="","","✔")</f>
        <v/>
      </c>
      <c r="J485" s="98" t="str">
        <f>IF(IFERROR(VLOOKUP(A485,'9.砌塊石護岸'!C:D,1,0),"")="","","✔")</f>
        <v/>
      </c>
      <c r="K485" s="98" t="str">
        <f>IF(IFERROR(VLOOKUP(A485,'10.低水護岸'!C:D,1,0),"")="","","✔")</f>
        <v/>
      </c>
      <c r="L485" s="98" t="str">
        <f>IF(IFERROR(VLOOKUP(A485,'11.固床工'!C:D,1,0),"")="","","✔")</f>
        <v/>
      </c>
      <c r="M485" s="98" t="str">
        <f>IF(IFERROR(VLOOKUP(A485,'12.全套管基樁'!C:D,1,0),"")="","","✔")</f>
        <v/>
      </c>
      <c r="N485" s="98" t="str">
        <f>IF(IFERROR(VLOOKUP(A485,'13.鋼筋混凝土管工程'!C:D,1,0),"")="","","✔")</f>
        <v/>
      </c>
      <c r="O485" s="98" t="str">
        <f>IF(IFERROR(VLOOKUP(A485,'14.鋼版樁'!C:D,1,0),"")="","","✔")</f>
        <v/>
      </c>
      <c r="P485" s="98" t="str">
        <f>IF(IFERROR(VLOOKUP(A485,'15.路床 路基高程'!C:D,1,0),"")="","","✔")</f>
        <v/>
      </c>
      <c r="Q485" s="98" t="str">
        <f>IF(IFERROR(VLOOKUP(A485,'16.瀝青混凝土'!C:D,1,0),"")="","","✔")</f>
        <v/>
      </c>
      <c r="R485" s="98" t="str">
        <f>IF(IFERROR(VLOOKUP(A485,'17.景觀鋪面(一)'!C:D,1,0),"")="","","✔")</f>
        <v/>
      </c>
      <c r="S485" s="98" t="str">
        <f>IF(IFERROR(VLOOKUP(A485,'18.景觀鋪面(二)'!C:D,1,0),"")="","","✔")</f>
        <v/>
      </c>
      <c r="T485" s="98" t="str">
        <f>IF(IFERROR(VLOOKUP(A485,'19.預鑄緣石'!C:D,1,0),"")="","","✔")</f>
        <v/>
      </c>
      <c r="U485" s="98" t="str">
        <f>IF(IFERROR(VLOOKUP(A485,'20.鋼構工程吊裝'!C:D,1,0),"")="","","✔")</f>
        <v/>
      </c>
      <c r="V485" s="98" t="str">
        <f>IF(IFERROR(VLOOKUP(A485,'21.鋼構工程塗裝'!C:D,1,0),"")="","","✔")</f>
        <v/>
      </c>
      <c r="W485" s="98" t="str">
        <f>IF(IFERROR(VLOOKUP(A485,'22.排水設施(一)'!C:D,1,0),"")="","","✔")</f>
        <v/>
      </c>
      <c r="X485" s="98" t="str">
        <f>IF(IFERROR(VLOOKUP(A485,'23.排水設施(二)'!C:D,1,0),"")="","","✔")</f>
        <v/>
      </c>
      <c r="Y485" s="98" t="str">
        <f>IF(IFERROR(VLOOKUP(A485,'24.木構造'!C:D,1,0),"")="","","✔")</f>
        <v/>
      </c>
      <c r="Z485" s="98" t="str">
        <f>IF(IFERROR(VLOOKUP(A485,'25.管路'!C:D,1,0),"")="","","✔")</f>
        <v/>
      </c>
      <c r="AA485" s="98" t="str">
        <f>IF(IFERROR(VLOOKUP(A485,'26.植栽(移植)'!C:D,1,0),"")="","","✔")</f>
        <v/>
      </c>
      <c r="AB485" s="98" t="str">
        <f>IF(IFERROR(VLOOKUP(A485,'27.植栽(新植)'!C:D,1,0),"")="","","✔")</f>
        <v/>
      </c>
      <c r="AC485" s="98" t="str">
        <f>IF(IFERROR(VLOOKUP(A485,'28.照明'!C:D,1,0),"")="","","✔")</f>
        <v/>
      </c>
      <c r="AD485" s="98" t="str">
        <f>IF(IFERROR(VLOOKUP(A485,'29.既有橋梁拆除'!C:D,1,0),"")="","","✔")</f>
        <v/>
      </c>
    </row>
    <row r="486" spans="1:30" ht="21.75" customHeight="1" x14ac:dyDescent="0.25">
      <c r="A486" s="99">
        <v>45676</v>
      </c>
      <c r="B486" s="98" t="str">
        <f>IF(IFERROR(VLOOKUP(A486,'1.測量放樣'!C:D,1,0),"")="","","✔")</f>
        <v/>
      </c>
      <c r="C486" s="98" t="str">
        <f>IF(IFERROR(VLOOKUP(A486,'2.土方開挖'!C:D,1,0),"")="","","✔")</f>
        <v/>
      </c>
      <c r="D486" s="98" t="str">
        <f>IF(IFERROR(VLOOKUP(A486,'3.土方回填'!C:D,1,0),"")="","","✔")</f>
        <v/>
      </c>
      <c r="E486" s="98" t="str">
        <f>IF(IFERROR(VLOOKUP(A486,'4.鋼筋'!C:D,1,0),"")="","","✔")</f>
        <v/>
      </c>
      <c r="F486" s="98" t="str">
        <f>IF(IFERROR(VLOOKUP(A486,'5.模板'!C:D,1,0),"")="","","✔")</f>
        <v/>
      </c>
      <c r="G486" s="98" t="str">
        <f>IF(IFERROR(VLOOKUP(A486,'6.混凝土'!C:D,1,0),"")="","","✔")</f>
        <v/>
      </c>
      <c r="H486" s="98" t="str">
        <f>IF(IFERROR(VLOOKUP(A486,'7.植筋'!C:D,1,0),"")="","","✔")</f>
        <v/>
      </c>
      <c r="I486" s="98" t="str">
        <f>IF(IFERROR(VLOOKUP(A486,'8.預力混凝土基樁'!C:D,1,0),"")="","","✔")</f>
        <v/>
      </c>
      <c r="J486" s="98" t="str">
        <f>IF(IFERROR(VLOOKUP(A486,'9.砌塊石護岸'!C:D,1,0),"")="","","✔")</f>
        <v/>
      </c>
      <c r="K486" s="98" t="str">
        <f>IF(IFERROR(VLOOKUP(A486,'10.低水護岸'!C:D,1,0),"")="","","✔")</f>
        <v/>
      </c>
      <c r="L486" s="98" t="str">
        <f>IF(IFERROR(VLOOKUP(A486,'11.固床工'!C:D,1,0),"")="","","✔")</f>
        <v/>
      </c>
      <c r="M486" s="98" t="str">
        <f>IF(IFERROR(VLOOKUP(A486,'12.全套管基樁'!C:D,1,0),"")="","","✔")</f>
        <v/>
      </c>
      <c r="N486" s="98" t="str">
        <f>IF(IFERROR(VLOOKUP(A486,'13.鋼筋混凝土管工程'!C:D,1,0),"")="","","✔")</f>
        <v/>
      </c>
      <c r="O486" s="98" t="str">
        <f>IF(IFERROR(VLOOKUP(A486,'14.鋼版樁'!C:D,1,0),"")="","","✔")</f>
        <v/>
      </c>
      <c r="P486" s="98" t="str">
        <f>IF(IFERROR(VLOOKUP(A486,'15.路床 路基高程'!C:D,1,0),"")="","","✔")</f>
        <v/>
      </c>
      <c r="Q486" s="98" t="str">
        <f>IF(IFERROR(VLOOKUP(A486,'16.瀝青混凝土'!C:D,1,0),"")="","","✔")</f>
        <v/>
      </c>
      <c r="R486" s="98" t="str">
        <f>IF(IFERROR(VLOOKUP(A486,'17.景觀鋪面(一)'!C:D,1,0),"")="","","✔")</f>
        <v/>
      </c>
      <c r="S486" s="98" t="str">
        <f>IF(IFERROR(VLOOKUP(A486,'18.景觀鋪面(二)'!C:D,1,0),"")="","","✔")</f>
        <v/>
      </c>
      <c r="T486" s="98" t="str">
        <f>IF(IFERROR(VLOOKUP(A486,'19.預鑄緣石'!C:D,1,0),"")="","","✔")</f>
        <v/>
      </c>
      <c r="U486" s="98" t="str">
        <f>IF(IFERROR(VLOOKUP(A486,'20.鋼構工程吊裝'!C:D,1,0),"")="","","✔")</f>
        <v/>
      </c>
      <c r="V486" s="98" t="str">
        <f>IF(IFERROR(VLOOKUP(A486,'21.鋼構工程塗裝'!C:D,1,0),"")="","","✔")</f>
        <v/>
      </c>
      <c r="W486" s="98" t="str">
        <f>IF(IFERROR(VLOOKUP(A486,'22.排水設施(一)'!C:D,1,0),"")="","","✔")</f>
        <v/>
      </c>
      <c r="X486" s="98" t="str">
        <f>IF(IFERROR(VLOOKUP(A486,'23.排水設施(二)'!C:D,1,0),"")="","","✔")</f>
        <v/>
      </c>
      <c r="Y486" s="98" t="str">
        <f>IF(IFERROR(VLOOKUP(A486,'24.木構造'!C:D,1,0),"")="","","✔")</f>
        <v/>
      </c>
      <c r="Z486" s="98" t="str">
        <f>IF(IFERROR(VLOOKUP(A486,'25.管路'!C:D,1,0),"")="","","✔")</f>
        <v/>
      </c>
      <c r="AA486" s="98" t="str">
        <f>IF(IFERROR(VLOOKUP(A486,'26.植栽(移植)'!C:D,1,0),"")="","","✔")</f>
        <v/>
      </c>
      <c r="AB486" s="98" t="str">
        <f>IF(IFERROR(VLOOKUP(A486,'27.植栽(新植)'!C:D,1,0),"")="","","✔")</f>
        <v/>
      </c>
      <c r="AC486" s="98" t="str">
        <f>IF(IFERROR(VLOOKUP(A486,'28.照明'!C:D,1,0),"")="","","✔")</f>
        <v/>
      </c>
      <c r="AD486" s="98" t="str">
        <f>IF(IFERROR(VLOOKUP(A486,'29.既有橋梁拆除'!C:D,1,0),"")="","","✔")</f>
        <v/>
      </c>
    </row>
    <row r="487" spans="1:30" ht="21.75" customHeight="1" x14ac:dyDescent="0.25">
      <c r="A487" s="99">
        <v>45677</v>
      </c>
      <c r="B487" s="98" t="str">
        <f>IF(IFERROR(VLOOKUP(A487,'1.測量放樣'!C:D,1,0),"")="","","✔")</f>
        <v/>
      </c>
      <c r="C487" s="98" t="str">
        <f>IF(IFERROR(VLOOKUP(A487,'2.土方開挖'!C:D,1,0),"")="","","✔")</f>
        <v/>
      </c>
      <c r="D487" s="98" t="str">
        <f>IF(IFERROR(VLOOKUP(A487,'3.土方回填'!C:D,1,0),"")="","","✔")</f>
        <v/>
      </c>
      <c r="E487" s="98" t="str">
        <f>IF(IFERROR(VLOOKUP(A487,'4.鋼筋'!C:D,1,0),"")="","","✔")</f>
        <v/>
      </c>
      <c r="F487" s="98" t="str">
        <f>IF(IFERROR(VLOOKUP(A487,'5.模板'!C:D,1,0),"")="","","✔")</f>
        <v/>
      </c>
      <c r="G487" s="98" t="str">
        <f>IF(IFERROR(VLOOKUP(A487,'6.混凝土'!C:D,1,0),"")="","","✔")</f>
        <v/>
      </c>
      <c r="H487" s="98" t="str">
        <f>IF(IFERROR(VLOOKUP(A487,'7.植筋'!C:D,1,0),"")="","","✔")</f>
        <v/>
      </c>
      <c r="I487" s="98" t="str">
        <f>IF(IFERROR(VLOOKUP(A487,'8.預力混凝土基樁'!C:D,1,0),"")="","","✔")</f>
        <v/>
      </c>
      <c r="J487" s="98" t="str">
        <f>IF(IFERROR(VLOOKUP(A487,'9.砌塊石護岸'!C:D,1,0),"")="","","✔")</f>
        <v/>
      </c>
      <c r="K487" s="98" t="str">
        <f>IF(IFERROR(VLOOKUP(A487,'10.低水護岸'!C:D,1,0),"")="","","✔")</f>
        <v/>
      </c>
      <c r="L487" s="98" t="str">
        <f>IF(IFERROR(VLOOKUP(A487,'11.固床工'!C:D,1,0),"")="","","✔")</f>
        <v/>
      </c>
      <c r="M487" s="98" t="str">
        <f>IF(IFERROR(VLOOKUP(A487,'12.全套管基樁'!C:D,1,0),"")="","","✔")</f>
        <v/>
      </c>
      <c r="N487" s="98" t="str">
        <f>IF(IFERROR(VLOOKUP(A487,'13.鋼筋混凝土管工程'!C:D,1,0),"")="","","✔")</f>
        <v/>
      </c>
      <c r="O487" s="98" t="str">
        <f>IF(IFERROR(VLOOKUP(A487,'14.鋼版樁'!C:D,1,0),"")="","","✔")</f>
        <v/>
      </c>
      <c r="P487" s="98" t="str">
        <f>IF(IFERROR(VLOOKUP(A487,'15.路床 路基高程'!C:D,1,0),"")="","","✔")</f>
        <v/>
      </c>
      <c r="Q487" s="98" t="str">
        <f>IF(IFERROR(VLOOKUP(A487,'16.瀝青混凝土'!C:D,1,0),"")="","","✔")</f>
        <v/>
      </c>
      <c r="R487" s="98" t="str">
        <f>IF(IFERROR(VLOOKUP(A487,'17.景觀鋪面(一)'!C:D,1,0),"")="","","✔")</f>
        <v/>
      </c>
      <c r="S487" s="98" t="str">
        <f>IF(IFERROR(VLOOKUP(A487,'18.景觀鋪面(二)'!C:D,1,0),"")="","","✔")</f>
        <v/>
      </c>
      <c r="T487" s="98" t="str">
        <f>IF(IFERROR(VLOOKUP(A487,'19.預鑄緣石'!C:D,1,0),"")="","","✔")</f>
        <v/>
      </c>
      <c r="U487" s="98" t="str">
        <f>IF(IFERROR(VLOOKUP(A487,'20.鋼構工程吊裝'!C:D,1,0),"")="","","✔")</f>
        <v/>
      </c>
      <c r="V487" s="98" t="str">
        <f>IF(IFERROR(VLOOKUP(A487,'21.鋼構工程塗裝'!C:D,1,0),"")="","","✔")</f>
        <v/>
      </c>
      <c r="W487" s="98" t="str">
        <f>IF(IFERROR(VLOOKUP(A487,'22.排水設施(一)'!C:D,1,0),"")="","","✔")</f>
        <v/>
      </c>
      <c r="X487" s="98" t="str">
        <f>IF(IFERROR(VLOOKUP(A487,'23.排水設施(二)'!C:D,1,0),"")="","","✔")</f>
        <v/>
      </c>
      <c r="Y487" s="98" t="str">
        <f>IF(IFERROR(VLOOKUP(A487,'24.木構造'!C:D,1,0),"")="","","✔")</f>
        <v/>
      </c>
      <c r="Z487" s="98" t="str">
        <f>IF(IFERROR(VLOOKUP(A487,'25.管路'!C:D,1,0),"")="","","✔")</f>
        <v/>
      </c>
      <c r="AA487" s="98" t="str">
        <f>IF(IFERROR(VLOOKUP(A487,'26.植栽(移植)'!C:D,1,0),"")="","","✔")</f>
        <v/>
      </c>
      <c r="AB487" s="98" t="str">
        <f>IF(IFERROR(VLOOKUP(A487,'27.植栽(新植)'!C:D,1,0),"")="","","✔")</f>
        <v/>
      </c>
      <c r="AC487" s="98" t="str">
        <f>IF(IFERROR(VLOOKUP(A487,'28.照明'!C:D,1,0),"")="","","✔")</f>
        <v/>
      </c>
      <c r="AD487" s="98" t="str">
        <f>IF(IFERROR(VLOOKUP(A487,'29.既有橋梁拆除'!C:D,1,0),"")="","","✔")</f>
        <v/>
      </c>
    </row>
    <row r="488" spans="1:30" ht="21.75" customHeight="1" x14ac:dyDescent="0.25">
      <c r="A488" s="99">
        <v>45678</v>
      </c>
      <c r="B488" s="98" t="str">
        <f>IF(IFERROR(VLOOKUP(A488,'1.測量放樣'!C:D,1,0),"")="","","✔")</f>
        <v/>
      </c>
      <c r="C488" s="98" t="str">
        <f>IF(IFERROR(VLOOKUP(A488,'2.土方開挖'!C:D,1,0),"")="","","✔")</f>
        <v/>
      </c>
      <c r="D488" s="98" t="str">
        <f>IF(IFERROR(VLOOKUP(A488,'3.土方回填'!C:D,1,0),"")="","","✔")</f>
        <v/>
      </c>
      <c r="E488" s="98" t="str">
        <f>IF(IFERROR(VLOOKUP(A488,'4.鋼筋'!C:D,1,0),"")="","","✔")</f>
        <v/>
      </c>
      <c r="F488" s="98" t="str">
        <f>IF(IFERROR(VLOOKUP(A488,'5.模板'!C:D,1,0),"")="","","✔")</f>
        <v/>
      </c>
      <c r="G488" s="98" t="str">
        <f>IF(IFERROR(VLOOKUP(A488,'6.混凝土'!C:D,1,0),"")="","","✔")</f>
        <v/>
      </c>
      <c r="H488" s="98" t="str">
        <f>IF(IFERROR(VLOOKUP(A488,'7.植筋'!C:D,1,0),"")="","","✔")</f>
        <v/>
      </c>
      <c r="I488" s="98" t="str">
        <f>IF(IFERROR(VLOOKUP(A488,'8.預力混凝土基樁'!C:D,1,0),"")="","","✔")</f>
        <v/>
      </c>
      <c r="J488" s="98" t="str">
        <f>IF(IFERROR(VLOOKUP(A488,'9.砌塊石護岸'!C:D,1,0),"")="","","✔")</f>
        <v/>
      </c>
      <c r="K488" s="98" t="str">
        <f>IF(IFERROR(VLOOKUP(A488,'10.低水護岸'!C:D,1,0),"")="","","✔")</f>
        <v/>
      </c>
      <c r="L488" s="98" t="str">
        <f>IF(IFERROR(VLOOKUP(A488,'11.固床工'!C:D,1,0),"")="","","✔")</f>
        <v/>
      </c>
      <c r="M488" s="98" t="str">
        <f>IF(IFERROR(VLOOKUP(A488,'12.全套管基樁'!C:D,1,0),"")="","","✔")</f>
        <v/>
      </c>
      <c r="N488" s="98" t="str">
        <f>IF(IFERROR(VLOOKUP(A488,'13.鋼筋混凝土管工程'!C:D,1,0),"")="","","✔")</f>
        <v/>
      </c>
      <c r="O488" s="98" t="str">
        <f>IF(IFERROR(VLOOKUP(A488,'14.鋼版樁'!C:D,1,0),"")="","","✔")</f>
        <v/>
      </c>
      <c r="P488" s="98" t="str">
        <f>IF(IFERROR(VLOOKUP(A488,'15.路床 路基高程'!C:D,1,0),"")="","","✔")</f>
        <v/>
      </c>
      <c r="Q488" s="98" t="str">
        <f>IF(IFERROR(VLOOKUP(A488,'16.瀝青混凝土'!C:D,1,0),"")="","","✔")</f>
        <v/>
      </c>
      <c r="R488" s="98" t="str">
        <f>IF(IFERROR(VLOOKUP(A488,'17.景觀鋪面(一)'!C:D,1,0),"")="","","✔")</f>
        <v/>
      </c>
      <c r="S488" s="98" t="str">
        <f>IF(IFERROR(VLOOKUP(A488,'18.景觀鋪面(二)'!C:D,1,0),"")="","","✔")</f>
        <v/>
      </c>
      <c r="T488" s="98" t="str">
        <f>IF(IFERROR(VLOOKUP(A488,'19.預鑄緣石'!C:D,1,0),"")="","","✔")</f>
        <v/>
      </c>
      <c r="U488" s="98" t="str">
        <f>IF(IFERROR(VLOOKUP(A488,'20.鋼構工程吊裝'!C:D,1,0),"")="","","✔")</f>
        <v/>
      </c>
      <c r="V488" s="98" t="str">
        <f>IF(IFERROR(VLOOKUP(A488,'21.鋼構工程塗裝'!C:D,1,0),"")="","","✔")</f>
        <v/>
      </c>
      <c r="W488" s="98" t="str">
        <f>IF(IFERROR(VLOOKUP(A488,'22.排水設施(一)'!C:D,1,0),"")="","","✔")</f>
        <v/>
      </c>
      <c r="X488" s="98" t="str">
        <f>IF(IFERROR(VLOOKUP(A488,'23.排水設施(二)'!C:D,1,0),"")="","","✔")</f>
        <v/>
      </c>
      <c r="Y488" s="98" t="str">
        <f>IF(IFERROR(VLOOKUP(A488,'24.木構造'!C:D,1,0),"")="","","✔")</f>
        <v/>
      </c>
      <c r="Z488" s="98" t="str">
        <f>IF(IFERROR(VLOOKUP(A488,'25.管路'!C:D,1,0),"")="","","✔")</f>
        <v/>
      </c>
      <c r="AA488" s="98" t="str">
        <f>IF(IFERROR(VLOOKUP(A488,'26.植栽(移植)'!C:D,1,0),"")="","","✔")</f>
        <v/>
      </c>
      <c r="AB488" s="98" t="str">
        <f>IF(IFERROR(VLOOKUP(A488,'27.植栽(新植)'!C:D,1,0),"")="","","✔")</f>
        <v/>
      </c>
      <c r="AC488" s="98" t="str">
        <f>IF(IFERROR(VLOOKUP(A488,'28.照明'!C:D,1,0),"")="","","✔")</f>
        <v/>
      </c>
      <c r="AD488" s="98" t="str">
        <f>IF(IFERROR(VLOOKUP(A488,'29.既有橋梁拆除'!C:D,1,0),"")="","","✔")</f>
        <v/>
      </c>
    </row>
    <row r="489" spans="1:30" ht="21.75" customHeight="1" x14ac:dyDescent="0.25">
      <c r="A489" s="99">
        <v>45679</v>
      </c>
      <c r="B489" s="98" t="str">
        <f>IF(IFERROR(VLOOKUP(A489,'1.測量放樣'!C:D,1,0),"")="","","✔")</f>
        <v/>
      </c>
      <c r="C489" s="98" t="str">
        <f>IF(IFERROR(VLOOKUP(A489,'2.土方開挖'!C:D,1,0),"")="","","✔")</f>
        <v/>
      </c>
      <c r="D489" s="98" t="str">
        <f>IF(IFERROR(VLOOKUP(A489,'3.土方回填'!C:D,1,0),"")="","","✔")</f>
        <v/>
      </c>
      <c r="E489" s="98" t="str">
        <f>IF(IFERROR(VLOOKUP(A489,'4.鋼筋'!C:D,1,0),"")="","","✔")</f>
        <v/>
      </c>
      <c r="F489" s="98" t="str">
        <f>IF(IFERROR(VLOOKUP(A489,'5.模板'!C:D,1,0),"")="","","✔")</f>
        <v/>
      </c>
      <c r="G489" s="98" t="str">
        <f>IF(IFERROR(VLOOKUP(A489,'6.混凝土'!C:D,1,0),"")="","","✔")</f>
        <v/>
      </c>
      <c r="H489" s="98" t="str">
        <f>IF(IFERROR(VLOOKUP(A489,'7.植筋'!C:D,1,0),"")="","","✔")</f>
        <v/>
      </c>
      <c r="I489" s="98" t="str">
        <f>IF(IFERROR(VLOOKUP(A489,'8.預力混凝土基樁'!C:D,1,0),"")="","","✔")</f>
        <v/>
      </c>
      <c r="J489" s="98" t="str">
        <f>IF(IFERROR(VLOOKUP(A489,'9.砌塊石護岸'!C:D,1,0),"")="","","✔")</f>
        <v/>
      </c>
      <c r="K489" s="98" t="str">
        <f>IF(IFERROR(VLOOKUP(A489,'10.低水護岸'!C:D,1,0),"")="","","✔")</f>
        <v/>
      </c>
      <c r="L489" s="98" t="str">
        <f>IF(IFERROR(VLOOKUP(A489,'11.固床工'!C:D,1,0),"")="","","✔")</f>
        <v/>
      </c>
      <c r="M489" s="98" t="str">
        <f>IF(IFERROR(VLOOKUP(A489,'12.全套管基樁'!C:D,1,0),"")="","","✔")</f>
        <v/>
      </c>
      <c r="N489" s="98" t="str">
        <f>IF(IFERROR(VLOOKUP(A489,'13.鋼筋混凝土管工程'!C:D,1,0),"")="","","✔")</f>
        <v/>
      </c>
      <c r="O489" s="98" t="str">
        <f>IF(IFERROR(VLOOKUP(A489,'14.鋼版樁'!C:D,1,0),"")="","","✔")</f>
        <v/>
      </c>
      <c r="P489" s="98" t="str">
        <f>IF(IFERROR(VLOOKUP(A489,'15.路床 路基高程'!C:D,1,0),"")="","","✔")</f>
        <v/>
      </c>
      <c r="Q489" s="98" t="str">
        <f>IF(IFERROR(VLOOKUP(A489,'16.瀝青混凝土'!C:D,1,0),"")="","","✔")</f>
        <v/>
      </c>
      <c r="R489" s="98" t="str">
        <f>IF(IFERROR(VLOOKUP(A489,'17.景觀鋪面(一)'!C:D,1,0),"")="","","✔")</f>
        <v/>
      </c>
      <c r="S489" s="98" t="str">
        <f>IF(IFERROR(VLOOKUP(A489,'18.景觀鋪面(二)'!C:D,1,0),"")="","","✔")</f>
        <v/>
      </c>
      <c r="T489" s="98" t="str">
        <f>IF(IFERROR(VLOOKUP(A489,'19.預鑄緣石'!C:D,1,0),"")="","","✔")</f>
        <v/>
      </c>
      <c r="U489" s="98" t="str">
        <f>IF(IFERROR(VLOOKUP(A489,'20.鋼構工程吊裝'!C:D,1,0),"")="","","✔")</f>
        <v/>
      </c>
      <c r="V489" s="98" t="str">
        <f>IF(IFERROR(VLOOKUP(A489,'21.鋼構工程塗裝'!C:D,1,0),"")="","","✔")</f>
        <v/>
      </c>
      <c r="W489" s="98" t="str">
        <f>IF(IFERROR(VLOOKUP(A489,'22.排水設施(一)'!C:D,1,0),"")="","","✔")</f>
        <v/>
      </c>
      <c r="X489" s="98" t="str">
        <f>IF(IFERROR(VLOOKUP(A489,'23.排水設施(二)'!C:D,1,0),"")="","","✔")</f>
        <v/>
      </c>
      <c r="Y489" s="98" t="str">
        <f>IF(IFERROR(VLOOKUP(A489,'24.木構造'!C:D,1,0),"")="","","✔")</f>
        <v/>
      </c>
      <c r="Z489" s="98" t="str">
        <f>IF(IFERROR(VLOOKUP(A489,'25.管路'!C:D,1,0),"")="","","✔")</f>
        <v/>
      </c>
      <c r="AA489" s="98" t="str">
        <f>IF(IFERROR(VLOOKUP(A489,'26.植栽(移植)'!C:D,1,0),"")="","","✔")</f>
        <v/>
      </c>
      <c r="AB489" s="98" t="str">
        <f>IF(IFERROR(VLOOKUP(A489,'27.植栽(新植)'!C:D,1,0),"")="","","✔")</f>
        <v/>
      </c>
      <c r="AC489" s="98" t="str">
        <f>IF(IFERROR(VLOOKUP(A489,'28.照明'!C:D,1,0),"")="","","✔")</f>
        <v/>
      </c>
      <c r="AD489" s="98" t="str">
        <f>IF(IFERROR(VLOOKUP(A489,'29.既有橋梁拆除'!C:D,1,0),"")="","","✔")</f>
        <v/>
      </c>
    </row>
    <row r="490" spans="1:30" ht="21.75" customHeight="1" x14ac:dyDescent="0.25">
      <c r="A490" s="99">
        <v>45680</v>
      </c>
      <c r="B490" s="98" t="str">
        <f>IF(IFERROR(VLOOKUP(A490,'1.測量放樣'!C:D,1,0),"")="","","✔")</f>
        <v/>
      </c>
      <c r="C490" s="98" t="str">
        <f>IF(IFERROR(VLOOKUP(A490,'2.土方開挖'!C:D,1,0),"")="","","✔")</f>
        <v/>
      </c>
      <c r="D490" s="98" t="str">
        <f>IF(IFERROR(VLOOKUP(A490,'3.土方回填'!C:D,1,0),"")="","","✔")</f>
        <v/>
      </c>
      <c r="E490" s="98" t="str">
        <f>IF(IFERROR(VLOOKUP(A490,'4.鋼筋'!C:D,1,0),"")="","","✔")</f>
        <v/>
      </c>
      <c r="F490" s="98" t="str">
        <f>IF(IFERROR(VLOOKUP(A490,'5.模板'!C:D,1,0),"")="","","✔")</f>
        <v/>
      </c>
      <c r="G490" s="98" t="str">
        <f>IF(IFERROR(VLOOKUP(A490,'6.混凝土'!C:D,1,0),"")="","","✔")</f>
        <v/>
      </c>
      <c r="H490" s="98" t="str">
        <f>IF(IFERROR(VLOOKUP(A490,'7.植筋'!C:D,1,0),"")="","","✔")</f>
        <v/>
      </c>
      <c r="I490" s="98" t="str">
        <f>IF(IFERROR(VLOOKUP(A490,'8.預力混凝土基樁'!C:D,1,0),"")="","","✔")</f>
        <v/>
      </c>
      <c r="J490" s="98" t="str">
        <f>IF(IFERROR(VLOOKUP(A490,'9.砌塊石護岸'!C:D,1,0),"")="","","✔")</f>
        <v/>
      </c>
      <c r="K490" s="98" t="str">
        <f>IF(IFERROR(VLOOKUP(A490,'10.低水護岸'!C:D,1,0),"")="","","✔")</f>
        <v/>
      </c>
      <c r="L490" s="98" t="str">
        <f>IF(IFERROR(VLOOKUP(A490,'11.固床工'!C:D,1,0),"")="","","✔")</f>
        <v/>
      </c>
      <c r="M490" s="98" t="str">
        <f>IF(IFERROR(VLOOKUP(A490,'12.全套管基樁'!C:D,1,0),"")="","","✔")</f>
        <v/>
      </c>
      <c r="N490" s="98" t="str">
        <f>IF(IFERROR(VLOOKUP(A490,'13.鋼筋混凝土管工程'!C:D,1,0),"")="","","✔")</f>
        <v/>
      </c>
      <c r="O490" s="98" t="str">
        <f>IF(IFERROR(VLOOKUP(A490,'14.鋼版樁'!C:D,1,0),"")="","","✔")</f>
        <v/>
      </c>
      <c r="P490" s="98" t="str">
        <f>IF(IFERROR(VLOOKUP(A490,'15.路床 路基高程'!C:D,1,0),"")="","","✔")</f>
        <v/>
      </c>
      <c r="Q490" s="98" t="str">
        <f>IF(IFERROR(VLOOKUP(A490,'16.瀝青混凝土'!C:D,1,0),"")="","","✔")</f>
        <v/>
      </c>
      <c r="R490" s="98" t="str">
        <f>IF(IFERROR(VLOOKUP(A490,'17.景觀鋪面(一)'!C:D,1,0),"")="","","✔")</f>
        <v/>
      </c>
      <c r="S490" s="98" t="str">
        <f>IF(IFERROR(VLOOKUP(A490,'18.景觀鋪面(二)'!C:D,1,0),"")="","","✔")</f>
        <v/>
      </c>
      <c r="T490" s="98" t="str">
        <f>IF(IFERROR(VLOOKUP(A490,'19.預鑄緣石'!C:D,1,0),"")="","","✔")</f>
        <v/>
      </c>
      <c r="U490" s="98" t="str">
        <f>IF(IFERROR(VLOOKUP(A490,'20.鋼構工程吊裝'!C:D,1,0),"")="","","✔")</f>
        <v/>
      </c>
      <c r="V490" s="98" t="str">
        <f>IF(IFERROR(VLOOKUP(A490,'21.鋼構工程塗裝'!C:D,1,0),"")="","","✔")</f>
        <v/>
      </c>
      <c r="W490" s="98" t="str">
        <f>IF(IFERROR(VLOOKUP(A490,'22.排水設施(一)'!C:D,1,0),"")="","","✔")</f>
        <v/>
      </c>
      <c r="X490" s="98" t="str">
        <f>IF(IFERROR(VLOOKUP(A490,'23.排水設施(二)'!C:D,1,0),"")="","","✔")</f>
        <v/>
      </c>
      <c r="Y490" s="98" t="str">
        <f>IF(IFERROR(VLOOKUP(A490,'24.木構造'!C:D,1,0),"")="","","✔")</f>
        <v/>
      </c>
      <c r="Z490" s="98" t="str">
        <f>IF(IFERROR(VLOOKUP(A490,'25.管路'!C:D,1,0),"")="","","✔")</f>
        <v/>
      </c>
      <c r="AA490" s="98" t="str">
        <f>IF(IFERROR(VLOOKUP(A490,'26.植栽(移植)'!C:D,1,0),"")="","","✔")</f>
        <v/>
      </c>
      <c r="AB490" s="98" t="str">
        <f>IF(IFERROR(VLOOKUP(A490,'27.植栽(新植)'!C:D,1,0),"")="","","✔")</f>
        <v/>
      </c>
      <c r="AC490" s="98" t="str">
        <f>IF(IFERROR(VLOOKUP(A490,'28.照明'!C:D,1,0),"")="","","✔")</f>
        <v/>
      </c>
      <c r="AD490" s="98" t="str">
        <f>IF(IFERROR(VLOOKUP(A490,'29.既有橋梁拆除'!C:D,1,0),"")="","","✔")</f>
        <v/>
      </c>
    </row>
    <row r="491" spans="1:30" ht="21.75" customHeight="1" x14ac:dyDescent="0.25">
      <c r="A491" s="99">
        <v>45681</v>
      </c>
      <c r="B491" s="98" t="str">
        <f>IF(IFERROR(VLOOKUP(A491,'1.測量放樣'!C:D,1,0),"")="","","✔")</f>
        <v/>
      </c>
      <c r="C491" s="98" t="str">
        <f>IF(IFERROR(VLOOKUP(A491,'2.土方開挖'!C:D,1,0),"")="","","✔")</f>
        <v/>
      </c>
      <c r="D491" s="98" t="str">
        <f>IF(IFERROR(VLOOKUP(A491,'3.土方回填'!C:D,1,0),"")="","","✔")</f>
        <v/>
      </c>
      <c r="E491" s="98" t="str">
        <f>IF(IFERROR(VLOOKUP(A491,'4.鋼筋'!C:D,1,0),"")="","","✔")</f>
        <v/>
      </c>
      <c r="F491" s="98" t="str">
        <f>IF(IFERROR(VLOOKUP(A491,'5.模板'!C:D,1,0),"")="","","✔")</f>
        <v/>
      </c>
      <c r="G491" s="98" t="str">
        <f>IF(IFERROR(VLOOKUP(A491,'6.混凝土'!C:D,1,0),"")="","","✔")</f>
        <v/>
      </c>
      <c r="H491" s="98" t="str">
        <f>IF(IFERROR(VLOOKUP(A491,'7.植筋'!C:D,1,0),"")="","","✔")</f>
        <v/>
      </c>
      <c r="I491" s="98" t="str">
        <f>IF(IFERROR(VLOOKUP(A491,'8.預力混凝土基樁'!C:D,1,0),"")="","","✔")</f>
        <v/>
      </c>
      <c r="J491" s="98" t="str">
        <f>IF(IFERROR(VLOOKUP(A491,'9.砌塊石護岸'!C:D,1,0),"")="","","✔")</f>
        <v/>
      </c>
      <c r="K491" s="98" t="str">
        <f>IF(IFERROR(VLOOKUP(A491,'10.低水護岸'!C:D,1,0),"")="","","✔")</f>
        <v/>
      </c>
      <c r="L491" s="98" t="str">
        <f>IF(IFERROR(VLOOKUP(A491,'11.固床工'!C:D,1,0),"")="","","✔")</f>
        <v/>
      </c>
      <c r="M491" s="98" t="str">
        <f>IF(IFERROR(VLOOKUP(A491,'12.全套管基樁'!C:D,1,0),"")="","","✔")</f>
        <v/>
      </c>
      <c r="N491" s="98" t="str">
        <f>IF(IFERROR(VLOOKUP(A491,'13.鋼筋混凝土管工程'!C:D,1,0),"")="","","✔")</f>
        <v/>
      </c>
      <c r="O491" s="98" t="str">
        <f>IF(IFERROR(VLOOKUP(A491,'14.鋼版樁'!C:D,1,0),"")="","","✔")</f>
        <v/>
      </c>
      <c r="P491" s="98" t="str">
        <f>IF(IFERROR(VLOOKUP(A491,'15.路床 路基高程'!C:D,1,0),"")="","","✔")</f>
        <v/>
      </c>
      <c r="Q491" s="98" t="str">
        <f>IF(IFERROR(VLOOKUP(A491,'16.瀝青混凝土'!C:D,1,0),"")="","","✔")</f>
        <v/>
      </c>
      <c r="R491" s="98" t="str">
        <f>IF(IFERROR(VLOOKUP(A491,'17.景觀鋪面(一)'!C:D,1,0),"")="","","✔")</f>
        <v/>
      </c>
      <c r="S491" s="98" t="str">
        <f>IF(IFERROR(VLOOKUP(A491,'18.景觀鋪面(二)'!C:D,1,0),"")="","","✔")</f>
        <v/>
      </c>
      <c r="T491" s="98" t="str">
        <f>IF(IFERROR(VLOOKUP(A491,'19.預鑄緣石'!C:D,1,0),"")="","","✔")</f>
        <v/>
      </c>
      <c r="U491" s="98" t="str">
        <f>IF(IFERROR(VLOOKUP(A491,'20.鋼構工程吊裝'!C:D,1,0),"")="","","✔")</f>
        <v/>
      </c>
      <c r="V491" s="98" t="str">
        <f>IF(IFERROR(VLOOKUP(A491,'21.鋼構工程塗裝'!C:D,1,0),"")="","","✔")</f>
        <v/>
      </c>
      <c r="W491" s="98" t="str">
        <f>IF(IFERROR(VLOOKUP(A491,'22.排水設施(一)'!C:D,1,0),"")="","","✔")</f>
        <v/>
      </c>
      <c r="X491" s="98" t="str">
        <f>IF(IFERROR(VLOOKUP(A491,'23.排水設施(二)'!C:D,1,0),"")="","","✔")</f>
        <v/>
      </c>
      <c r="Y491" s="98" t="str">
        <f>IF(IFERROR(VLOOKUP(A491,'24.木構造'!C:D,1,0),"")="","","✔")</f>
        <v/>
      </c>
      <c r="Z491" s="98" t="str">
        <f>IF(IFERROR(VLOOKUP(A491,'25.管路'!C:D,1,0),"")="","","✔")</f>
        <v/>
      </c>
      <c r="AA491" s="98" t="str">
        <f>IF(IFERROR(VLOOKUP(A491,'26.植栽(移植)'!C:D,1,0),"")="","","✔")</f>
        <v/>
      </c>
      <c r="AB491" s="98" t="str">
        <f>IF(IFERROR(VLOOKUP(A491,'27.植栽(新植)'!C:D,1,0),"")="","","✔")</f>
        <v/>
      </c>
      <c r="AC491" s="98" t="str">
        <f>IF(IFERROR(VLOOKUP(A491,'28.照明'!C:D,1,0),"")="","","✔")</f>
        <v/>
      </c>
      <c r="AD491" s="98" t="str">
        <f>IF(IFERROR(VLOOKUP(A491,'29.既有橋梁拆除'!C:D,1,0),"")="","","✔")</f>
        <v/>
      </c>
    </row>
    <row r="492" spans="1:30" ht="21.75" customHeight="1" x14ac:dyDescent="0.25">
      <c r="A492" s="99">
        <v>45682</v>
      </c>
      <c r="B492" s="98" t="str">
        <f>IF(IFERROR(VLOOKUP(A492,'1.測量放樣'!C:D,1,0),"")="","","✔")</f>
        <v/>
      </c>
      <c r="C492" s="98" t="str">
        <f>IF(IFERROR(VLOOKUP(A492,'2.土方開挖'!C:D,1,0),"")="","","✔")</f>
        <v/>
      </c>
      <c r="D492" s="98" t="str">
        <f>IF(IFERROR(VLOOKUP(A492,'3.土方回填'!C:D,1,0),"")="","","✔")</f>
        <v/>
      </c>
      <c r="E492" s="98" t="str">
        <f>IF(IFERROR(VLOOKUP(A492,'4.鋼筋'!C:D,1,0),"")="","","✔")</f>
        <v/>
      </c>
      <c r="F492" s="98" t="str">
        <f>IF(IFERROR(VLOOKUP(A492,'5.模板'!C:D,1,0),"")="","","✔")</f>
        <v/>
      </c>
      <c r="G492" s="98" t="str">
        <f>IF(IFERROR(VLOOKUP(A492,'6.混凝土'!C:D,1,0),"")="","","✔")</f>
        <v/>
      </c>
      <c r="H492" s="98" t="str">
        <f>IF(IFERROR(VLOOKUP(A492,'7.植筋'!C:D,1,0),"")="","","✔")</f>
        <v/>
      </c>
      <c r="I492" s="98" t="str">
        <f>IF(IFERROR(VLOOKUP(A492,'8.預力混凝土基樁'!C:D,1,0),"")="","","✔")</f>
        <v/>
      </c>
      <c r="J492" s="98" t="str">
        <f>IF(IFERROR(VLOOKUP(A492,'9.砌塊石護岸'!C:D,1,0),"")="","","✔")</f>
        <v/>
      </c>
      <c r="K492" s="98" t="str">
        <f>IF(IFERROR(VLOOKUP(A492,'10.低水護岸'!C:D,1,0),"")="","","✔")</f>
        <v/>
      </c>
      <c r="L492" s="98" t="str">
        <f>IF(IFERROR(VLOOKUP(A492,'11.固床工'!C:D,1,0),"")="","","✔")</f>
        <v/>
      </c>
      <c r="M492" s="98" t="str">
        <f>IF(IFERROR(VLOOKUP(A492,'12.全套管基樁'!C:D,1,0),"")="","","✔")</f>
        <v/>
      </c>
      <c r="N492" s="98" t="str">
        <f>IF(IFERROR(VLOOKUP(A492,'13.鋼筋混凝土管工程'!C:D,1,0),"")="","","✔")</f>
        <v/>
      </c>
      <c r="O492" s="98" t="str">
        <f>IF(IFERROR(VLOOKUP(A492,'14.鋼版樁'!C:D,1,0),"")="","","✔")</f>
        <v/>
      </c>
      <c r="P492" s="98" t="str">
        <f>IF(IFERROR(VLOOKUP(A492,'15.路床 路基高程'!C:D,1,0),"")="","","✔")</f>
        <v/>
      </c>
      <c r="Q492" s="98" t="str">
        <f>IF(IFERROR(VLOOKUP(A492,'16.瀝青混凝土'!C:D,1,0),"")="","","✔")</f>
        <v/>
      </c>
      <c r="R492" s="98" t="str">
        <f>IF(IFERROR(VLOOKUP(A492,'17.景觀鋪面(一)'!C:D,1,0),"")="","","✔")</f>
        <v/>
      </c>
      <c r="S492" s="98" t="str">
        <f>IF(IFERROR(VLOOKUP(A492,'18.景觀鋪面(二)'!C:D,1,0),"")="","","✔")</f>
        <v/>
      </c>
      <c r="T492" s="98" t="str">
        <f>IF(IFERROR(VLOOKUP(A492,'19.預鑄緣石'!C:D,1,0),"")="","","✔")</f>
        <v/>
      </c>
      <c r="U492" s="98" t="str">
        <f>IF(IFERROR(VLOOKUP(A492,'20.鋼構工程吊裝'!C:D,1,0),"")="","","✔")</f>
        <v/>
      </c>
      <c r="V492" s="98" t="str">
        <f>IF(IFERROR(VLOOKUP(A492,'21.鋼構工程塗裝'!C:D,1,0),"")="","","✔")</f>
        <v/>
      </c>
      <c r="W492" s="98" t="str">
        <f>IF(IFERROR(VLOOKUP(A492,'22.排水設施(一)'!C:D,1,0),"")="","","✔")</f>
        <v/>
      </c>
      <c r="X492" s="98" t="str">
        <f>IF(IFERROR(VLOOKUP(A492,'23.排水設施(二)'!C:D,1,0),"")="","","✔")</f>
        <v/>
      </c>
      <c r="Y492" s="98" t="str">
        <f>IF(IFERROR(VLOOKUP(A492,'24.木構造'!C:D,1,0),"")="","","✔")</f>
        <v/>
      </c>
      <c r="Z492" s="98" t="str">
        <f>IF(IFERROR(VLOOKUP(A492,'25.管路'!C:D,1,0),"")="","","✔")</f>
        <v/>
      </c>
      <c r="AA492" s="98" t="str">
        <f>IF(IFERROR(VLOOKUP(A492,'26.植栽(移植)'!C:D,1,0),"")="","","✔")</f>
        <v/>
      </c>
      <c r="AB492" s="98" t="str">
        <f>IF(IFERROR(VLOOKUP(A492,'27.植栽(新植)'!C:D,1,0),"")="","","✔")</f>
        <v/>
      </c>
      <c r="AC492" s="98" t="str">
        <f>IF(IFERROR(VLOOKUP(A492,'28.照明'!C:D,1,0),"")="","","✔")</f>
        <v/>
      </c>
      <c r="AD492" s="98" t="str">
        <f>IF(IFERROR(VLOOKUP(A492,'29.既有橋梁拆除'!C:D,1,0),"")="","","✔")</f>
        <v/>
      </c>
    </row>
    <row r="493" spans="1:30" ht="21.75" customHeight="1" x14ac:dyDescent="0.25">
      <c r="A493" s="99">
        <v>45683</v>
      </c>
      <c r="B493" s="98" t="str">
        <f>IF(IFERROR(VLOOKUP(A493,'1.測量放樣'!C:D,1,0),"")="","","✔")</f>
        <v/>
      </c>
      <c r="C493" s="98" t="str">
        <f>IF(IFERROR(VLOOKUP(A493,'2.土方開挖'!C:D,1,0),"")="","","✔")</f>
        <v/>
      </c>
      <c r="D493" s="98" t="str">
        <f>IF(IFERROR(VLOOKUP(A493,'3.土方回填'!C:D,1,0),"")="","","✔")</f>
        <v/>
      </c>
      <c r="E493" s="98" t="str">
        <f>IF(IFERROR(VLOOKUP(A493,'4.鋼筋'!C:D,1,0),"")="","","✔")</f>
        <v/>
      </c>
      <c r="F493" s="98" t="str">
        <f>IF(IFERROR(VLOOKUP(A493,'5.模板'!C:D,1,0),"")="","","✔")</f>
        <v/>
      </c>
      <c r="G493" s="98" t="str">
        <f>IF(IFERROR(VLOOKUP(A493,'6.混凝土'!C:D,1,0),"")="","","✔")</f>
        <v/>
      </c>
      <c r="H493" s="98" t="str">
        <f>IF(IFERROR(VLOOKUP(A493,'7.植筋'!C:D,1,0),"")="","","✔")</f>
        <v/>
      </c>
      <c r="I493" s="98" t="str">
        <f>IF(IFERROR(VLOOKUP(A493,'8.預力混凝土基樁'!C:D,1,0),"")="","","✔")</f>
        <v/>
      </c>
      <c r="J493" s="98" t="str">
        <f>IF(IFERROR(VLOOKUP(A493,'9.砌塊石護岸'!C:D,1,0),"")="","","✔")</f>
        <v/>
      </c>
      <c r="K493" s="98" t="str">
        <f>IF(IFERROR(VLOOKUP(A493,'10.低水護岸'!C:D,1,0),"")="","","✔")</f>
        <v/>
      </c>
      <c r="L493" s="98" t="str">
        <f>IF(IFERROR(VLOOKUP(A493,'11.固床工'!C:D,1,0),"")="","","✔")</f>
        <v/>
      </c>
      <c r="M493" s="98" t="str">
        <f>IF(IFERROR(VLOOKUP(A493,'12.全套管基樁'!C:D,1,0),"")="","","✔")</f>
        <v/>
      </c>
      <c r="N493" s="98" t="str">
        <f>IF(IFERROR(VLOOKUP(A493,'13.鋼筋混凝土管工程'!C:D,1,0),"")="","","✔")</f>
        <v/>
      </c>
      <c r="O493" s="98" t="str">
        <f>IF(IFERROR(VLOOKUP(A493,'14.鋼版樁'!C:D,1,0),"")="","","✔")</f>
        <v/>
      </c>
      <c r="P493" s="98" t="str">
        <f>IF(IFERROR(VLOOKUP(A493,'15.路床 路基高程'!C:D,1,0),"")="","","✔")</f>
        <v/>
      </c>
      <c r="Q493" s="98" t="str">
        <f>IF(IFERROR(VLOOKUP(A493,'16.瀝青混凝土'!C:D,1,0),"")="","","✔")</f>
        <v/>
      </c>
      <c r="R493" s="98" t="str">
        <f>IF(IFERROR(VLOOKUP(A493,'17.景觀鋪面(一)'!C:D,1,0),"")="","","✔")</f>
        <v/>
      </c>
      <c r="S493" s="98" t="str">
        <f>IF(IFERROR(VLOOKUP(A493,'18.景觀鋪面(二)'!C:D,1,0),"")="","","✔")</f>
        <v/>
      </c>
      <c r="T493" s="98" t="str">
        <f>IF(IFERROR(VLOOKUP(A493,'19.預鑄緣石'!C:D,1,0),"")="","","✔")</f>
        <v/>
      </c>
      <c r="U493" s="98" t="str">
        <f>IF(IFERROR(VLOOKUP(A493,'20.鋼構工程吊裝'!C:D,1,0),"")="","","✔")</f>
        <v/>
      </c>
      <c r="V493" s="98" t="str">
        <f>IF(IFERROR(VLOOKUP(A493,'21.鋼構工程塗裝'!C:D,1,0),"")="","","✔")</f>
        <v/>
      </c>
      <c r="W493" s="98" t="str">
        <f>IF(IFERROR(VLOOKUP(A493,'22.排水設施(一)'!C:D,1,0),"")="","","✔")</f>
        <v/>
      </c>
      <c r="X493" s="98" t="str">
        <f>IF(IFERROR(VLOOKUP(A493,'23.排水設施(二)'!C:D,1,0),"")="","","✔")</f>
        <v/>
      </c>
      <c r="Y493" s="98" t="str">
        <f>IF(IFERROR(VLOOKUP(A493,'24.木構造'!C:D,1,0),"")="","","✔")</f>
        <v/>
      </c>
      <c r="Z493" s="98" t="str">
        <f>IF(IFERROR(VLOOKUP(A493,'25.管路'!C:D,1,0),"")="","","✔")</f>
        <v/>
      </c>
      <c r="AA493" s="98" t="str">
        <f>IF(IFERROR(VLOOKUP(A493,'26.植栽(移植)'!C:D,1,0),"")="","","✔")</f>
        <v/>
      </c>
      <c r="AB493" s="98" t="str">
        <f>IF(IFERROR(VLOOKUP(A493,'27.植栽(新植)'!C:D,1,0),"")="","","✔")</f>
        <v/>
      </c>
      <c r="AC493" s="98" t="str">
        <f>IF(IFERROR(VLOOKUP(A493,'28.照明'!C:D,1,0),"")="","","✔")</f>
        <v/>
      </c>
      <c r="AD493" s="98" t="str">
        <f>IF(IFERROR(VLOOKUP(A493,'29.既有橋梁拆除'!C:D,1,0),"")="","","✔")</f>
        <v/>
      </c>
    </row>
    <row r="494" spans="1:30" ht="21.75" customHeight="1" x14ac:dyDescent="0.25">
      <c r="A494" s="99">
        <v>45684</v>
      </c>
      <c r="B494" s="98" t="str">
        <f>IF(IFERROR(VLOOKUP(A494,'1.測量放樣'!C:D,1,0),"")="","","✔")</f>
        <v/>
      </c>
      <c r="C494" s="98" t="str">
        <f>IF(IFERROR(VLOOKUP(A494,'2.土方開挖'!C:D,1,0),"")="","","✔")</f>
        <v/>
      </c>
      <c r="D494" s="98" t="str">
        <f>IF(IFERROR(VLOOKUP(A494,'3.土方回填'!C:D,1,0),"")="","","✔")</f>
        <v/>
      </c>
      <c r="E494" s="98" t="str">
        <f>IF(IFERROR(VLOOKUP(A494,'4.鋼筋'!C:D,1,0),"")="","","✔")</f>
        <v/>
      </c>
      <c r="F494" s="98" t="str">
        <f>IF(IFERROR(VLOOKUP(A494,'5.模板'!C:D,1,0),"")="","","✔")</f>
        <v/>
      </c>
      <c r="G494" s="98" t="str">
        <f>IF(IFERROR(VLOOKUP(A494,'6.混凝土'!C:D,1,0),"")="","","✔")</f>
        <v/>
      </c>
      <c r="H494" s="98" t="str">
        <f>IF(IFERROR(VLOOKUP(A494,'7.植筋'!C:D,1,0),"")="","","✔")</f>
        <v/>
      </c>
      <c r="I494" s="98" t="str">
        <f>IF(IFERROR(VLOOKUP(A494,'8.預力混凝土基樁'!C:D,1,0),"")="","","✔")</f>
        <v/>
      </c>
      <c r="J494" s="98" t="str">
        <f>IF(IFERROR(VLOOKUP(A494,'9.砌塊石護岸'!C:D,1,0),"")="","","✔")</f>
        <v/>
      </c>
      <c r="K494" s="98" t="str">
        <f>IF(IFERROR(VLOOKUP(A494,'10.低水護岸'!C:D,1,0),"")="","","✔")</f>
        <v/>
      </c>
      <c r="L494" s="98" t="str">
        <f>IF(IFERROR(VLOOKUP(A494,'11.固床工'!C:D,1,0),"")="","","✔")</f>
        <v/>
      </c>
      <c r="M494" s="98" t="str">
        <f>IF(IFERROR(VLOOKUP(A494,'12.全套管基樁'!C:D,1,0),"")="","","✔")</f>
        <v/>
      </c>
      <c r="N494" s="98" t="str">
        <f>IF(IFERROR(VLOOKUP(A494,'13.鋼筋混凝土管工程'!C:D,1,0),"")="","","✔")</f>
        <v/>
      </c>
      <c r="O494" s="98" t="str">
        <f>IF(IFERROR(VLOOKUP(A494,'14.鋼版樁'!C:D,1,0),"")="","","✔")</f>
        <v/>
      </c>
      <c r="P494" s="98" t="str">
        <f>IF(IFERROR(VLOOKUP(A494,'15.路床 路基高程'!C:D,1,0),"")="","","✔")</f>
        <v/>
      </c>
      <c r="Q494" s="98" t="str">
        <f>IF(IFERROR(VLOOKUP(A494,'16.瀝青混凝土'!C:D,1,0),"")="","","✔")</f>
        <v/>
      </c>
      <c r="R494" s="98" t="str">
        <f>IF(IFERROR(VLOOKUP(A494,'17.景觀鋪面(一)'!C:D,1,0),"")="","","✔")</f>
        <v/>
      </c>
      <c r="S494" s="98" t="str">
        <f>IF(IFERROR(VLOOKUP(A494,'18.景觀鋪面(二)'!C:D,1,0),"")="","","✔")</f>
        <v/>
      </c>
      <c r="T494" s="98" t="str">
        <f>IF(IFERROR(VLOOKUP(A494,'19.預鑄緣石'!C:D,1,0),"")="","","✔")</f>
        <v/>
      </c>
      <c r="U494" s="98" t="str">
        <f>IF(IFERROR(VLOOKUP(A494,'20.鋼構工程吊裝'!C:D,1,0),"")="","","✔")</f>
        <v/>
      </c>
      <c r="V494" s="98" t="str">
        <f>IF(IFERROR(VLOOKUP(A494,'21.鋼構工程塗裝'!C:D,1,0),"")="","","✔")</f>
        <v/>
      </c>
      <c r="W494" s="98" t="str">
        <f>IF(IFERROR(VLOOKUP(A494,'22.排水設施(一)'!C:D,1,0),"")="","","✔")</f>
        <v/>
      </c>
      <c r="X494" s="98" t="str">
        <f>IF(IFERROR(VLOOKUP(A494,'23.排水設施(二)'!C:D,1,0),"")="","","✔")</f>
        <v/>
      </c>
      <c r="Y494" s="98" t="str">
        <f>IF(IFERROR(VLOOKUP(A494,'24.木構造'!C:D,1,0),"")="","","✔")</f>
        <v/>
      </c>
      <c r="Z494" s="98" t="str">
        <f>IF(IFERROR(VLOOKUP(A494,'25.管路'!C:D,1,0),"")="","","✔")</f>
        <v/>
      </c>
      <c r="AA494" s="98" t="str">
        <f>IF(IFERROR(VLOOKUP(A494,'26.植栽(移植)'!C:D,1,0),"")="","","✔")</f>
        <v/>
      </c>
      <c r="AB494" s="98" t="str">
        <f>IF(IFERROR(VLOOKUP(A494,'27.植栽(新植)'!C:D,1,0),"")="","","✔")</f>
        <v/>
      </c>
      <c r="AC494" s="98" t="str">
        <f>IF(IFERROR(VLOOKUP(A494,'28.照明'!C:D,1,0),"")="","","✔")</f>
        <v/>
      </c>
      <c r="AD494" s="98" t="str">
        <f>IF(IFERROR(VLOOKUP(A494,'29.既有橋梁拆除'!C:D,1,0),"")="","","✔")</f>
        <v/>
      </c>
    </row>
    <row r="495" spans="1:30" ht="21.75" customHeight="1" x14ac:dyDescent="0.25">
      <c r="A495" s="99">
        <v>45685</v>
      </c>
      <c r="B495" s="98" t="str">
        <f>IF(IFERROR(VLOOKUP(A495,'1.測量放樣'!C:D,1,0),"")="","","✔")</f>
        <v/>
      </c>
      <c r="C495" s="98" t="str">
        <f>IF(IFERROR(VLOOKUP(A495,'2.土方開挖'!C:D,1,0),"")="","","✔")</f>
        <v/>
      </c>
      <c r="D495" s="98" t="str">
        <f>IF(IFERROR(VLOOKUP(A495,'3.土方回填'!C:D,1,0),"")="","","✔")</f>
        <v/>
      </c>
      <c r="E495" s="98" t="str">
        <f>IF(IFERROR(VLOOKUP(A495,'4.鋼筋'!C:D,1,0),"")="","","✔")</f>
        <v/>
      </c>
      <c r="F495" s="98" t="str">
        <f>IF(IFERROR(VLOOKUP(A495,'5.模板'!C:D,1,0),"")="","","✔")</f>
        <v/>
      </c>
      <c r="G495" s="98" t="str">
        <f>IF(IFERROR(VLOOKUP(A495,'6.混凝土'!C:D,1,0),"")="","","✔")</f>
        <v/>
      </c>
      <c r="H495" s="98" t="str">
        <f>IF(IFERROR(VLOOKUP(A495,'7.植筋'!C:D,1,0),"")="","","✔")</f>
        <v/>
      </c>
      <c r="I495" s="98" t="str">
        <f>IF(IFERROR(VLOOKUP(A495,'8.預力混凝土基樁'!C:D,1,0),"")="","","✔")</f>
        <v/>
      </c>
      <c r="J495" s="98" t="str">
        <f>IF(IFERROR(VLOOKUP(A495,'9.砌塊石護岸'!C:D,1,0),"")="","","✔")</f>
        <v/>
      </c>
      <c r="K495" s="98" t="str">
        <f>IF(IFERROR(VLOOKUP(A495,'10.低水護岸'!C:D,1,0),"")="","","✔")</f>
        <v/>
      </c>
      <c r="L495" s="98" t="str">
        <f>IF(IFERROR(VLOOKUP(A495,'11.固床工'!C:D,1,0),"")="","","✔")</f>
        <v/>
      </c>
      <c r="M495" s="98" t="str">
        <f>IF(IFERROR(VLOOKUP(A495,'12.全套管基樁'!C:D,1,0),"")="","","✔")</f>
        <v/>
      </c>
      <c r="N495" s="98" t="str">
        <f>IF(IFERROR(VLOOKUP(A495,'13.鋼筋混凝土管工程'!C:D,1,0),"")="","","✔")</f>
        <v/>
      </c>
      <c r="O495" s="98" t="str">
        <f>IF(IFERROR(VLOOKUP(A495,'14.鋼版樁'!C:D,1,0),"")="","","✔")</f>
        <v/>
      </c>
      <c r="P495" s="98" t="str">
        <f>IF(IFERROR(VLOOKUP(A495,'15.路床 路基高程'!C:D,1,0),"")="","","✔")</f>
        <v/>
      </c>
      <c r="Q495" s="98" t="str">
        <f>IF(IFERROR(VLOOKUP(A495,'16.瀝青混凝土'!C:D,1,0),"")="","","✔")</f>
        <v/>
      </c>
      <c r="R495" s="98" t="str">
        <f>IF(IFERROR(VLOOKUP(A495,'17.景觀鋪面(一)'!C:D,1,0),"")="","","✔")</f>
        <v/>
      </c>
      <c r="S495" s="98" t="str">
        <f>IF(IFERROR(VLOOKUP(A495,'18.景觀鋪面(二)'!C:D,1,0),"")="","","✔")</f>
        <v/>
      </c>
      <c r="T495" s="98" t="str">
        <f>IF(IFERROR(VLOOKUP(A495,'19.預鑄緣石'!C:D,1,0),"")="","","✔")</f>
        <v/>
      </c>
      <c r="U495" s="98" t="str">
        <f>IF(IFERROR(VLOOKUP(A495,'20.鋼構工程吊裝'!C:D,1,0),"")="","","✔")</f>
        <v/>
      </c>
      <c r="V495" s="98" t="str">
        <f>IF(IFERROR(VLOOKUP(A495,'21.鋼構工程塗裝'!C:D,1,0),"")="","","✔")</f>
        <v/>
      </c>
      <c r="W495" s="98" t="str">
        <f>IF(IFERROR(VLOOKUP(A495,'22.排水設施(一)'!C:D,1,0),"")="","","✔")</f>
        <v/>
      </c>
      <c r="X495" s="98" t="str">
        <f>IF(IFERROR(VLOOKUP(A495,'23.排水設施(二)'!C:D,1,0),"")="","","✔")</f>
        <v/>
      </c>
      <c r="Y495" s="98" t="str">
        <f>IF(IFERROR(VLOOKUP(A495,'24.木構造'!C:D,1,0),"")="","","✔")</f>
        <v/>
      </c>
      <c r="Z495" s="98" t="str">
        <f>IF(IFERROR(VLOOKUP(A495,'25.管路'!C:D,1,0),"")="","","✔")</f>
        <v/>
      </c>
      <c r="AA495" s="98" t="str">
        <f>IF(IFERROR(VLOOKUP(A495,'26.植栽(移植)'!C:D,1,0),"")="","","✔")</f>
        <v/>
      </c>
      <c r="AB495" s="98" t="str">
        <f>IF(IFERROR(VLOOKUP(A495,'27.植栽(新植)'!C:D,1,0),"")="","","✔")</f>
        <v/>
      </c>
      <c r="AC495" s="98" t="str">
        <f>IF(IFERROR(VLOOKUP(A495,'28.照明'!C:D,1,0),"")="","","✔")</f>
        <v/>
      </c>
      <c r="AD495" s="98" t="str">
        <f>IF(IFERROR(VLOOKUP(A495,'29.既有橋梁拆除'!C:D,1,0),"")="","","✔")</f>
        <v/>
      </c>
    </row>
    <row r="496" spans="1:30" ht="21.75" customHeight="1" x14ac:dyDescent="0.25">
      <c r="A496" s="99">
        <v>45686</v>
      </c>
      <c r="B496" s="98" t="str">
        <f>IF(IFERROR(VLOOKUP(A496,'1.測量放樣'!C:D,1,0),"")="","","✔")</f>
        <v/>
      </c>
      <c r="C496" s="98" t="str">
        <f>IF(IFERROR(VLOOKUP(A496,'2.土方開挖'!C:D,1,0),"")="","","✔")</f>
        <v/>
      </c>
      <c r="D496" s="98" t="str">
        <f>IF(IFERROR(VLOOKUP(A496,'3.土方回填'!C:D,1,0),"")="","","✔")</f>
        <v/>
      </c>
      <c r="E496" s="98" t="str">
        <f>IF(IFERROR(VLOOKUP(A496,'4.鋼筋'!C:D,1,0),"")="","","✔")</f>
        <v/>
      </c>
      <c r="F496" s="98" t="str">
        <f>IF(IFERROR(VLOOKUP(A496,'5.模板'!C:D,1,0),"")="","","✔")</f>
        <v/>
      </c>
      <c r="G496" s="98" t="str">
        <f>IF(IFERROR(VLOOKUP(A496,'6.混凝土'!C:D,1,0),"")="","","✔")</f>
        <v/>
      </c>
      <c r="H496" s="98" t="str">
        <f>IF(IFERROR(VLOOKUP(A496,'7.植筋'!C:D,1,0),"")="","","✔")</f>
        <v/>
      </c>
      <c r="I496" s="98" t="str">
        <f>IF(IFERROR(VLOOKUP(A496,'8.預力混凝土基樁'!C:D,1,0),"")="","","✔")</f>
        <v/>
      </c>
      <c r="J496" s="98" t="str">
        <f>IF(IFERROR(VLOOKUP(A496,'9.砌塊石護岸'!C:D,1,0),"")="","","✔")</f>
        <v/>
      </c>
      <c r="K496" s="98" t="str">
        <f>IF(IFERROR(VLOOKUP(A496,'10.低水護岸'!C:D,1,0),"")="","","✔")</f>
        <v/>
      </c>
      <c r="L496" s="98" t="str">
        <f>IF(IFERROR(VLOOKUP(A496,'11.固床工'!C:D,1,0),"")="","","✔")</f>
        <v/>
      </c>
      <c r="M496" s="98" t="str">
        <f>IF(IFERROR(VLOOKUP(A496,'12.全套管基樁'!C:D,1,0),"")="","","✔")</f>
        <v/>
      </c>
      <c r="N496" s="98" t="str">
        <f>IF(IFERROR(VLOOKUP(A496,'13.鋼筋混凝土管工程'!C:D,1,0),"")="","","✔")</f>
        <v/>
      </c>
      <c r="O496" s="98" t="str">
        <f>IF(IFERROR(VLOOKUP(A496,'14.鋼版樁'!C:D,1,0),"")="","","✔")</f>
        <v/>
      </c>
      <c r="P496" s="98" t="str">
        <f>IF(IFERROR(VLOOKUP(A496,'15.路床 路基高程'!C:D,1,0),"")="","","✔")</f>
        <v/>
      </c>
      <c r="Q496" s="98" t="str">
        <f>IF(IFERROR(VLOOKUP(A496,'16.瀝青混凝土'!C:D,1,0),"")="","","✔")</f>
        <v/>
      </c>
      <c r="R496" s="98" t="str">
        <f>IF(IFERROR(VLOOKUP(A496,'17.景觀鋪面(一)'!C:D,1,0),"")="","","✔")</f>
        <v/>
      </c>
      <c r="S496" s="98" t="str">
        <f>IF(IFERROR(VLOOKUP(A496,'18.景觀鋪面(二)'!C:D,1,0),"")="","","✔")</f>
        <v/>
      </c>
      <c r="T496" s="98" t="str">
        <f>IF(IFERROR(VLOOKUP(A496,'19.預鑄緣石'!C:D,1,0),"")="","","✔")</f>
        <v/>
      </c>
      <c r="U496" s="98" t="str">
        <f>IF(IFERROR(VLOOKUP(A496,'20.鋼構工程吊裝'!C:D,1,0),"")="","","✔")</f>
        <v/>
      </c>
      <c r="V496" s="98" t="str">
        <f>IF(IFERROR(VLOOKUP(A496,'21.鋼構工程塗裝'!C:D,1,0),"")="","","✔")</f>
        <v/>
      </c>
      <c r="W496" s="98" t="str">
        <f>IF(IFERROR(VLOOKUP(A496,'22.排水設施(一)'!C:D,1,0),"")="","","✔")</f>
        <v/>
      </c>
      <c r="X496" s="98" t="str">
        <f>IF(IFERROR(VLOOKUP(A496,'23.排水設施(二)'!C:D,1,0),"")="","","✔")</f>
        <v/>
      </c>
      <c r="Y496" s="98" t="str">
        <f>IF(IFERROR(VLOOKUP(A496,'24.木構造'!C:D,1,0),"")="","","✔")</f>
        <v/>
      </c>
      <c r="Z496" s="98" t="str">
        <f>IF(IFERROR(VLOOKUP(A496,'25.管路'!C:D,1,0),"")="","","✔")</f>
        <v/>
      </c>
      <c r="AA496" s="98" t="str">
        <f>IF(IFERROR(VLOOKUP(A496,'26.植栽(移植)'!C:D,1,0),"")="","","✔")</f>
        <v/>
      </c>
      <c r="AB496" s="98" t="str">
        <f>IF(IFERROR(VLOOKUP(A496,'27.植栽(新植)'!C:D,1,0),"")="","","✔")</f>
        <v/>
      </c>
      <c r="AC496" s="98" t="str">
        <f>IF(IFERROR(VLOOKUP(A496,'28.照明'!C:D,1,0),"")="","","✔")</f>
        <v/>
      </c>
      <c r="AD496" s="98" t="str">
        <f>IF(IFERROR(VLOOKUP(A496,'29.既有橋梁拆除'!C:D,1,0),"")="","","✔")</f>
        <v/>
      </c>
    </row>
    <row r="497" spans="1:30" ht="21.75" customHeight="1" x14ac:dyDescent="0.25">
      <c r="A497" s="99">
        <v>45687</v>
      </c>
      <c r="B497" s="98" t="str">
        <f>IF(IFERROR(VLOOKUP(A497,'1.測量放樣'!C:D,1,0),"")="","","✔")</f>
        <v/>
      </c>
      <c r="C497" s="98" t="str">
        <f>IF(IFERROR(VLOOKUP(A497,'2.土方開挖'!C:D,1,0),"")="","","✔")</f>
        <v/>
      </c>
      <c r="D497" s="98" t="str">
        <f>IF(IFERROR(VLOOKUP(A497,'3.土方回填'!C:D,1,0),"")="","","✔")</f>
        <v/>
      </c>
      <c r="E497" s="98" t="str">
        <f>IF(IFERROR(VLOOKUP(A497,'4.鋼筋'!C:D,1,0),"")="","","✔")</f>
        <v/>
      </c>
      <c r="F497" s="98" t="str">
        <f>IF(IFERROR(VLOOKUP(A497,'5.模板'!C:D,1,0),"")="","","✔")</f>
        <v/>
      </c>
      <c r="G497" s="98" t="str">
        <f>IF(IFERROR(VLOOKUP(A497,'6.混凝土'!C:D,1,0),"")="","","✔")</f>
        <v/>
      </c>
      <c r="H497" s="98" t="str">
        <f>IF(IFERROR(VLOOKUP(A497,'7.植筋'!C:D,1,0),"")="","","✔")</f>
        <v/>
      </c>
      <c r="I497" s="98" t="str">
        <f>IF(IFERROR(VLOOKUP(A497,'8.預力混凝土基樁'!C:D,1,0),"")="","","✔")</f>
        <v/>
      </c>
      <c r="J497" s="98" t="str">
        <f>IF(IFERROR(VLOOKUP(A497,'9.砌塊石護岸'!C:D,1,0),"")="","","✔")</f>
        <v/>
      </c>
      <c r="K497" s="98" t="str">
        <f>IF(IFERROR(VLOOKUP(A497,'10.低水護岸'!C:D,1,0),"")="","","✔")</f>
        <v/>
      </c>
      <c r="L497" s="98" t="str">
        <f>IF(IFERROR(VLOOKUP(A497,'11.固床工'!C:D,1,0),"")="","","✔")</f>
        <v/>
      </c>
      <c r="M497" s="98" t="str">
        <f>IF(IFERROR(VLOOKUP(A497,'12.全套管基樁'!C:D,1,0),"")="","","✔")</f>
        <v/>
      </c>
      <c r="N497" s="98" t="str">
        <f>IF(IFERROR(VLOOKUP(A497,'13.鋼筋混凝土管工程'!C:D,1,0),"")="","","✔")</f>
        <v/>
      </c>
      <c r="O497" s="98" t="str">
        <f>IF(IFERROR(VLOOKUP(A497,'14.鋼版樁'!C:D,1,0),"")="","","✔")</f>
        <v/>
      </c>
      <c r="P497" s="98" t="str">
        <f>IF(IFERROR(VLOOKUP(A497,'15.路床 路基高程'!C:D,1,0),"")="","","✔")</f>
        <v/>
      </c>
      <c r="Q497" s="98" t="str">
        <f>IF(IFERROR(VLOOKUP(A497,'16.瀝青混凝土'!C:D,1,0),"")="","","✔")</f>
        <v/>
      </c>
      <c r="R497" s="98" t="str">
        <f>IF(IFERROR(VLOOKUP(A497,'17.景觀鋪面(一)'!C:D,1,0),"")="","","✔")</f>
        <v/>
      </c>
      <c r="S497" s="98" t="str">
        <f>IF(IFERROR(VLOOKUP(A497,'18.景觀鋪面(二)'!C:D,1,0),"")="","","✔")</f>
        <v/>
      </c>
      <c r="T497" s="98" t="str">
        <f>IF(IFERROR(VLOOKUP(A497,'19.預鑄緣石'!C:D,1,0),"")="","","✔")</f>
        <v/>
      </c>
      <c r="U497" s="98" t="str">
        <f>IF(IFERROR(VLOOKUP(A497,'20.鋼構工程吊裝'!C:D,1,0),"")="","","✔")</f>
        <v/>
      </c>
      <c r="V497" s="98" t="str">
        <f>IF(IFERROR(VLOOKUP(A497,'21.鋼構工程塗裝'!C:D,1,0),"")="","","✔")</f>
        <v/>
      </c>
      <c r="W497" s="98" t="str">
        <f>IF(IFERROR(VLOOKUP(A497,'22.排水設施(一)'!C:D,1,0),"")="","","✔")</f>
        <v/>
      </c>
      <c r="X497" s="98" t="str">
        <f>IF(IFERROR(VLOOKUP(A497,'23.排水設施(二)'!C:D,1,0),"")="","","✔")</f>
        <v/>
      </c>
      <c r="Y497" s="98" t="str">
        <f>IF(IFERROR(VLOOKUP(A497,'24.木構造'!C:D,1,0),"")="","","✔")</f>
        <v/>
      </c>
      <c r="Z497" s="98" t="str">
        <f>IF(IFERROR(VLOOKUP(A497,'25.管路'!C:D,1,0),"")="","","✔")</f>
        <v/>
      </c>
      <c r="AA497" s="98" t="str">
        <f>IF(IFERROR(VLOOKUP(A497,'26.植栽(移植)'!C:D,1,0),"")="","","✔")</f>
        <v/>
      </c>
      <c r="AB497" s="98" t="str">
        <f>IF(IFERROR(VLOOKUP(A497,'27.植栽(新植)'!C:D,1,0),"")="","","✔")</f>
        <v/>
      </c>
      <c r="AC497" s="98" t="str">
        <f>IF(IFERROR(VLOOKUP(A497,'28.照明'!C:D,1,0),"")="","","✔")</f>
        <v/>
      </c>
      <c r="AD497" s="98" t="str">
        <f>IF(IFERROR(VLOOKUP(A497,'29.既有橋梁拆除'!C:D,1,0),"")="","","✔")</f>
        <v/>
      </c>
    </row>
    <row r="498" spans="1:30" ht="21.75" customHeight="1" x14ac:dyDescent="0.25">
      <c r="A498" s="99">
        <v>45688</v>
      </c>
      <c r="B498" s="98" t="str">
        <f>IF(IFERROR(VLOOKUP(A498,'1.測量放樣'!C:D,1,0),"")="","","✔")</f>
        <v/>
      </c>
      <c r="C498" s="98" t="str">
        <f>IF(IFERROR(VLOOKUP(A498,'2.土方開挖'!C:D,1,0),"")="","","✔")</f>
        <v/>
      </c>
      <c r="D498" s="98" t="str">
        <f>IF(IFERROR(VLOOKUP(A498,'3.土方回填'!C:D,1,0),"")="","","✔")</f>
        <v/>
      </c>
      <c r="E498" s="98" t="str">
        <f>IF(IFERROR(VLOOKUP(A498,'4.鋼筋'!C:D,1,0),"")="","","✔")</f>
        <v/>
      </c>
      <c r="F498" s="98" t="str">
        <f>IF(IFERROR(VLOOKUP(A498,'5.模板'!C:D,1,0),"")="","","✔")</f>
        <v/>
      </c>
      <c r="G498" s="98" t="str">
        <f>IF(IFERROR(VLOOKUP(A498,'6.混凝土'!C:D,1,0),"")="","","✔")</f>
        <v/>
      </c>
      <c r="H498" s="98" t="str">
        <f>IF(IFERROR(VLOOKUP(A498,'7.植筋'!C:D,1,0),"")="","","✔")</f>
        <v/>
      </c>
      <c r="I498" s="98" t="str">
        <f>IF(IFERROR(VLOOKUP(A498,'8.預力混凝土基樁'!C:D,1,0),"")="","","✔")</f>
        <v/>
      </c>
      <c r="J498" s="98" t="str">
        <f>IF(IFERROR(VLOOKUP(A498,'9.砌塊石護岸'!C:D,1,0),"")="","","✔")</f>
        <v/>
      </c>
      <c r="K498" s="98" t="str">
        <f>IF(IFERROR(VLOOKUP(A498,'10.低水護岸'!C:D,1,0),"")="","","✔")</f>
        <v/>
      </c>
      <c r="L498" s="98" t="str">
        <f>IF(IFERROR(VLOOKUP(A498,'11.固床工'!C:D,1,0),"")="","","✔")</f>
        <v/>
      </c>
      <c r="M498" s="98" t="str">
        <f>IF(IFERROR(VLOOKUP(A498,'12.全套管基樁'!C:D,1,0),"")="","","✔")</f>
        <v/>
      </c>
      <c r="N498" s="98" t="str">
        <f>IF(IFERROR(VLOOKUP(A498,'13.鋼筋混凝土管工程'!C:D,1,0),"")="","","✔")</f>
        <v/>
      </c>
      <c r="O498" s="98" t="str">
        <f>IF(IFERROR(VLOOKUP(A498,'14.鋼版樁'!C:D,1,0),"")="","","✔")</f>
        <v/>
      </c>
      <c r="P498" s="98" t="str">
        <f>IF(IFERROR(VLOOKUP(A498,'15.路床 路基高程'!C:D,1,0),"")="","","✔")</f>
        <v/>
      </c>
      <c r="Q498" s="98" t="str">
        <f>IF(IFERROR(VLOOKUP(A498,'16.瀝青混凝土'!C:D,1,0),"")="","","✔")</f>
        <v/>
      </c>
      <c r="R498" s="98" t="str">
        <f>IF(IFERROR(VLOOKUP(A498,'17.景觀鋪面(一)'!C:D,1,0),"")="","","✔")</f>
        <v/>
      </c>
      <c r="S498" s="98" t="str">
        <f>IF(IFERROR(VLOOKUP(A498,'18.景觀鋪面(二)'!C:D,1,0),"")="","","✔")</f>
        <v/>
      </c>
      <c r="T498" s="98" t="str">
        <f>IF(IFERROR(VLOOKUP(A498,'19.預鑄緣石'!C:D,1,0),"")="","","✔")</f>
        <v/>
      </c>
      <c r="U498" s="98" t="str">
        <f>IF(IFERROR(VLOOKUP(A498,'20.鋼構工程吊裝'!C:D,1,0),"")="","","✔")</f>
        <v/>
      </c>
      <c r="V498" s="98" t="str">
        <f>IF(IFERROR(VLOOKUP(A498,'21.鋼構工程塗裝'!C:D,1,0),"")="","","✔")</f>
        <v/>
      </c>
      <c r="W498" s="98" t="str">
        <f>IF(IFERROR(VLOOKUP(A498,'22.排水設施(一)'!C:D,1,0),"")="","","✔")</f>
        <v/>
      </c>
      <c r="X498" s="98" t="str">
        <f>IF(IFERROR(VLOOKUP(A498,'23.排水設施(二)'!C:D,1,0),"")="","","✔")</f>
        <v/>
      </c>
      <c r="Y498" s="98" t="str">
        <f>IF(IFERROR(VLOOKUP(A498,'24.木構造'!C:D,1,0),"")="","","✔")</f>
        <v/>
      </c>
      <c r="Z498" s="98" t="str">
        <f>IF(IFERROR(VLOOKUP(A498,'25.管路'!C:D,1,0),"")="","","✔")</f>
        <v/>
      </c>
      <c r="AA498" s="98" t="str">
        <f>IF(IFERROR(VLOOKUP(A498,'26.植栽(移植)'!C:D,1,0),"")="","","✔")</f>
        <v/>
      </c>
      <c r="AB498" s="98" t="str">
        <f>IF(IFERROR(VLOOKUP(A498,'27.植栽(新植)'!C:D,1,0),"")="","","✔")</f>
        <v/>
      </c>
      <c r="AC498" s="98" t="str">
        <f>IF(IFERROR(VLOOKUP(A498,'28.照明'!C:D,1,0),"")="","","✔")</f>
        <v/>
      </c>
      <c r="AD498" s="98" t="str">
        <f>IF(IFERROR(VLOOKUP(A498,'29.既有橋梁拆除'!C:D,1,0),"")="","","✔")</f>
        <v/>
      </c>
    </row>
    <row r="499" spans="1:30" ht="21.75" customHeight="1" x14ac:dyDescent="0.25">
      <c r="A499" s="99">
        <v>45689</v>
      </c>
      <c r="B499" s="98" t="str">
        <f>IF(IFERROR(VLOOKUP(A499,'1.測量放樣'!C:D,1,0),"")="","","✔")</f>
        <v/>
      </c>
      <c r="C499" s="98" t="str">
        <f>IF(IFERROR(VLOOKUP(A499,'2.土方開挖'!C:D,1,0),"")="","","✔")</f>
        <v/>
      </c>
      <c r="D499" s="98" t="str">
        <f>IF(IFERROR(VLOOKUP(A499,'3.土方回填'!C:D,1,0),"")="","","✔")</f>
        <v/>
      </c>
      <c r="E499" s="98" t="str">
        <f>IF(IFERROR(VLOOKUP(A499,'4.鋼筋'!C:D,1,0),"")="","","✔")</f>
        <v/>
      </c>
      <c r="F499" s="98" t="str">
        <f>IF(IFERROR(VLOOKUP(A499,'5.模板'!C:D,1,0),"")="","","✔")</f>
        <v/>
      </c>
      <c r="G499" s="98" t="str">
        <f>IF(IFERROR(VLOOKUP(A499,'6.混凝土'!C:D,1,0),"")="","","✔")</f>
        <v/>
      </c>
      <c r="H499" s="98" t="str">
        <f>IF(IFERROR(VLOOKUP(A499,'7.植筋'!C:D,1,0),"")="","","✔")</f>
        <v/>
      </c>
      <c r="I499" s="98" t="str">
        <f>IF(IFERROR(VLOOKUP(A499,'8.預力混凝土基樁'!C:D,1,0),"")="","","✔")</f>
        <v/>
      </c>
      <c r="J499" s="98" t="str">
        <f>IF(IFERROR(VLOOKUP(A499,'9.砌塊石護岸'!C:D,1,0),"")="","","✔")</f>
        <v/>
      </c>
      <c r="K499" s="98" t="str">
        <f>IF(IFERROR(VLOOKUP(A499,'10.低水護岸'!C:D,1,0),"")="","","✔")</f>
        <v/>
      </c>
      <c r="L499" s="98" t="str">
        <f>IF(IFERROR(VLOOKUP(A499,'11.固床工'!C:D,1,0),"")="","","✔")</f>
        <v/>
      </c>
      <c r="M499" s="98" t="str">
        <f>IF(IFERROR(VLOOKUP(A499,'12.全套管基樁'!C:D,1,0),"")="","","✔")</f>
        <v/>
      </c>
      <c r="N499" s="98" t="str">
        <f>IF(IFERROR(VLOOKUP(A499,'13.鋼筋混凝土管工程'!C:D,1,0),"")="","","✔")</f>
        <v/>
      </c>
      <c r="O499" s="98" t="str">
        <f>IF(IFERROR(VLOOKUP(A499,'14.鋼版樁'!C:D,1,0),"")="","","✔")</f>
        <v/>
      </c>
      <c r="P499" s="98" t="str">
        <f>IF(IFERROR(VLOOKUP(A499,'15.路床 路基高程'!C:D,1,0),"")="","","✔")</f>
        <v/>
      </c>
      <c r="Q499" s="98" t="str">
        <f>IF(IFERROR(VLOOKUP(A499,'16.瀝青混凝土'!C:D,1,0),"")="","","✔")</f>
        <v/>
      </c>
      <c r="R499" s="98" t="str">
        <f>IF(IFERROR(VLOOKUP(A499,'17.景觀鋪面(一)'!C:D,1,0),"")="","","✔")</f>
        <v/>
      </c>
      <c r="S499" s="98" t="str">
        <f>IF(IFERROR(VLOOKUP(A499,'18.景觀鋪面(二)'!C:D,1,0),"")="","","✔")</f>
        <v/>
      </c>
      <c r="T499" s="98" t="str">
        <f>IF(IFERROR(VLOOKUP(A499,'19.預鑄緣石'!C:D,1,0),"")="","","✔")</f>
        <v/>
      </c>
      <c r="U499" s="98" t="str">
        <f>IF(IFERROR(VLOOKUP(A499,'20.鋼構工程吊裝'!C:D,1,0),"")="","","✔")</f>
        <v/>
      </c>
      <c r="V499" s="98" t="str">
        <f>IF(IFERROR(VLOOKUP(A499,'21.鋼構工程塗裝'!C:D,1,0),"")="","","✔")</f>
        <v/>
      </c>
      <c r="W499" s="98" t="str">
        <f>IF(IFERROR(VLOOKUP(A499,'22.排水設施(一)'!C:D,1,0),"")="","","✔")</f>
        <v/>
      </c>
      <c r="X499" s="98" t="str">
        <f>IF(IFERROR(VLOOKUP(A499,'23.排水設施(二)'!C:D,1,0),"")="","","✔")</f>
        <v/>
      </c>
      <c r="Y499" s="98" t="str">
        <f>IF(IFERROR(VLOOKUP(A499,'24.木構造'!C:D,1,0),"")="","","✔")</f>
        <v/>
      </c>
      <c r="Z499" s="98" t="str">
        <f>IF(IFERROR(VLOOKUP(A499,'25.管路'!C:D,1,0),"")="","","✔")</f>
        <v/>
      </c>
      <c r="AA499" s="98" t="str">
        <f>IF(IFERROR(VLOOKUP(A499,'26.植栽(移植)'!C:D,1,0),"")="","","✔")</f>
        <v/>
      </c>
      <c r="AB499" s="98" t="str">
        <f>IF(IFERROR(VLOOKUP(A499,'27.植栽(新植)'!C:D,1,0),"")="","","✔")</f>
        <v/>
      </c>
      <c r="AC499" s="98" t="str">
        <f>IF(IFERROR(VLOOKUP(A499,'28.照明'!C:D,1,0),"")="","","✔")</f>
        <v/>
      </c>
      <c r="AD499" s="98" t="str">
        <f>IF(IFERROR(VLOOKUP(A499,'29.既有橋梁拆除'!C:D,1,0),"")="","","✔")</f>
        <v/>
      </c>
    </row>
    <row r="500" spans="1:30" ht="21.75" customHeight="1" x14ac:dyDescent="0.25">
      <c r="A500" s="99">
        <v>45690</v>
      </c>
      <c r="B500" s="98" t="str">
        <f>IF(IFERROR(VLOOKUP(A500,'1.測量放樣'!C:D,1,0),"")="","","✔")</f>
        <v/>
      </c>
      <c r="C500" s="98" t="str">
        <f>IF(IFERROR(VLOOKUP(A500,'2.土方開挖'!C:D,1,0),"")="","","✔")</f>
        <v/>
      </c>
      <c r="D500" s="98" t="str">
        <f>IF(IFERROR(VLOOKUP(A500,'3.土方回填'!C:D,1,0),"")="","","✔")</f>
        <v/>
      </c>
      <c r="E500" s="98" t="str">
        <f>IF(IFERROR(VLOOKUP(A500,'4.鋼筋'!C:D,1,0),"")="","","✔")</f>
        <v/>
      </c>
      <c r="F500" s="98" t="str">
        <f>IF(IFERROR(VLOOKUP(A500,'5.模板'!C:D,1,0),"")="","","✔")</f>
        <v/>
      </c>
      <c r="G500" s="98" t="str">
        <f>IF(IFERROR(VLOOKUP(A500,'6.混凝土'!C:D,1,0),"")="","","✔")</f>
        <v/>
      </c>
      <c r="H500" s="98" t="str">
        <f>IF(IFERROR(VLOOKUP(A500,'7.植筋'!C:D,1,0),"")="","","✔")</f>
        <v/>
      </c>
      <c r="I500" s="98" t="str">
        <f>IF(IFERROR(VLOOKUP(A500,'8.預力混凝土基樁'!C:D,1,0),"")="","","✔")</f>
        <v/>
      </c>
      <c r="J500" s="98" t="str">
        <f>IF(IFERROR(VLOOKUP(A500,'9.砌塊石護岸'!C:D,1,0),"")="","","✔")</f>
        <v/>
      </c>
      <c r="K500" s="98" t="str">
        <f>IF(IFERROR(VLOOKUP(A500,'10.低水護岸'!C:D,1,0),"")="","","✔")</f>
        <v/>
      </c>
      <c r="L500" s="98" t="str">
        <f>IF(IFERROR(VLOOKUP(A500,'11.固床工'!C:D,1,0),"")="","","✔")</f>
        <v/>
      </c>
      <c r="M500" s="98" t="str">
        <f>IF(IFERROR(VLOOKUP(A500,'12.全套管基樁'!C:D,1,0),"")="","","✔")</f>
        <v/>
      </c>
      <c r="N500" s="98" t="str">
        <f>IF(IFERROR(VLOOKUP(A500,'13.鋼筋混凝土管工程'!C:D,1,0),"")="","","✔")</f>
        <v/>
      </c>
      <c r="O500" s="98" t="str">
        <f>IF(IFERROR(VLOOKUP(A500,'14.鋼版樁'!C:D,1,0),"")="","","✔")</f>
        <v/>
      </c>
      <c r="P500" s="98" t="str">
        <f>IF(IFERROR(VLOOKUP(A500,'15.路床 路基高程'!C:D,1,0),"")="","","✔")</f>
        <v/>
      </c>
      <c r="Q500" s="98" t="str">
        <f>IF(IFERROR(VLOOKUP(A500,'16.瀝青混凝土'!C:D,1,0),"")="","","✔")</f>
        <v/>
      </c>
      <c r="R500" s="98" t="str">
        <f>IF(IFERROR(VLOOKUP(A500,'17.景觀鋪面(一)'!C:D,1,0),"")="","","✔")</f>
        <v/>
      </c>
      <c r="S500" s="98" t="str">
        <f>IF(IFERROR(VLOOKUP(A500,'18.景觀鋪面(二)'!C:D,1,0),"")="","","✔")</f>
        <v/>
      </c>
      <c r="T500" s="98" t="str">
        <f>IF(IFERROR(VLOOKUP(A500,'19.預鑄緣石'!C:D,1,0),"")="","","✔")</f>
        <v/>
      </c>
      <c r="U500" s="98" t="str">
        <f>IF(IFERROR(VLOOKUP(A500,'20.鋼構工程吊裝'!C:D,1,0),"")="","","✔")</f>
        <v/>
      </c>
      <c r="V500" s="98" t="str">
        <f>IF(IFERROR(VLOOKUP(A500,'21.鋼構工程塗裝'!C:D,1,0),"")="","","✔")</f>
        <v/>
      </c>
      <c r="W500" s="98" t="str">
        <f>IF(IFERROR(VLOOKUP(A500,'22.排水設施(一)'!C:D,1,0),"")="","","✔")</f>
        <v/>
      </c>
      <c r="X500" s="98" t="str">
        <f>IF(IFERROR(VLOOKUP(A500,'23.排水設施(二)'!C:D,1,0),"")="","","✔")</f>
        <v/>
      </c>
      <c r="Y500" s="98" t="str">
        <f>IF(IFERROR(VLOOKUP(A500,'24.木構造'!C:D,1,0),"")="","","✔")</f>
        <v/>
      </c>
      <c r="Z500" s="98" t="str">
        <f>IF(IFERROR(VLOOKUP(A500,'25.管路'!C:D,1,0),"")="","","✔")</f>
        <v/>
      </c>
      <c r="AA500" s="98" t="str">
        <f>IF(IFERROR(VLOOKUP(A500,'26.植栽(移植)'!C:D,1,0),"")="","","✔")</f>
        <v/>
      </c>
      <c r="AB500" s="98" t="str">
        <f>IF(IFERROR(VLOOKUP(A500,'27.植栽(新植)'!C:D,1,0),"")="","","✔")</f>
        <v/>
      </c>
      <c r="AC500" s="98" t="str">
        <f>IF(IFERROR(VLOOKUP(A500,'28.照明'!C:D,1,0),"")="","","✔")</f>
        <v/>
      </c>
      <c r="AD500" s="98" t="str">
        <f>IF(IFERROR(VLOOKUP(A500,'29.既有橋梁拆除'!C:D,1,0),"")="","","✔")</f>
        <v/>
      </c>
    </row>
    <row r="501" spans="1:30" ht="21.75" customHeight="1" x14ac:dyDescent="0.25">
      <c r="A501" s="99">
        <v>45691</v>
      </c>
      <c r="B501" s="98" t="str">
        <f>IF(IFERROR(VLOOKUP(A501,'1.測量放樣'!C:D,1,0),"")="","","✔")</f>
        <v/>
      </c>
      <c r="C501" s="98" t="str">
        <f>IF(IFERROR(VLOOKUP(A501,'2.土方開挖'!C:D,1,0),"")="","","✔")</f>
        <v/>
      </c>
      <c r="D501" s="98" t="str">
        <f>IF(IFERROR(VLOOKUP(A501,'3.土方回填'!C:D,1,0),"")="","","✔")</f>
        <v/>
      </c>
      <c r="E501" s="98" t="str">
        <f>IF(IFERROR(VLOOKUP(A501,'4.鋼筋'!C:D,1,0),"")="","","✔")</f>
        <v/>
      </c>
      <c r="F501" s="98" t="str">
        <f>IF(IFERROR(VLOOKUP(A501,'5.模板'!C:D,1,0),"")="","","✔")</f>
        <v/>
      </c>
      <c r="G501" s="98" t="str">
        <f>IF(IFERROR(VLOOKUP(A501,'6.混凝土'!C:D,1,0),"")="","","✔")</f>
        <v/>
      </c>
      <c r="H501" s="98" t="str">
        <f>IF(IFERROR(VLOOKUP(A501,'7.植筋'!C:D,1,0),"")="","","✔")</f>
        <v/>
      </c>
      <c r="I501" s="98" t="str">
        <f>IF(IFERROR(VLOOKUP(A501,'8.預力混凝土基樁'!C:D,1,0),"")="","","✔")</f>
        <v/>
      </c>
      <c r="J501" s="98" t="str">
        <f>IF(IFERROR(VLOOKUP(A501,'9.砌塊石護岸'!C:D,1,0),"")="","","✔")</f>
        <v/>
      </c>
      <c r="K501" s="98" t="str">
        <f>IF(IFERROR(VLOOKUP(A501,'10.低水護岸'!C:D,1,0),"")="","","✔")</f>
        <v/>
      </c>
      <c r="L501" s="98" t="str">
        <f>IF(IFERROR(VLOOKUP(A501,'11.固床工'!C:D,1,0),"")="","","✔")</f>
        <v/>
      </c>
      <c r="M501" s="98" t="str">
        <f>IF(IFERROR(VLOOKUP(A501,'12.全套管基樁'!C:D,1,0),"")="","","✔")</f>
        <v/>
      </c>
      <c r="N501" s="98" t="str">
        <f>IF(IFERROR(VLOOKUP(A501,'13.鋼筋混凝土管工程'!C:D,1,0),"")="","","✔")</f>
        <v/>
      </c>
      <c r="O501" s="98" t="str">
        <f>IF(IFERROR(VLOOKUP(A501,'14.鋼版樁'!C:D,1,0),"")="","","✔")</f>
        <v/>
      </c>
      <c r="P501" s="98" t="str">
        <f>IF(IFERROR(VLOOKUP(A501,'15.路床 路基高程'!C:D,1,0),"")="","","✔")</f>
        <v/>
      </c>
      <c r="Q501" s="98" t="str">
        <f>IF(IFERROR(VLOOKUP(A501,'16.瀝青混凝土'!C:D,1,0),"")="","","✔")</f>
        <v/>
      </c>
      <c r="R501" s="98" t="str">
        <f>IF(IFERROR(VLOOKUP(A501,'17.景觀鋪面(一)'!C:D,1,0),"")="","","✔")</f>
        <v/>
      </c>
      <c r="S501" s="98" t="str">
        <f>IF(IFERROR(VLOOKUP(A501,'18.景觀鋪面(二)'!C:D,1,0),"")="","","✔")</f>
        <v/>
      </c>
      <c r="T501" s="98" t="str">
        <f>IF(IFERROR(VLOOKUP(A501,'19.預鑄緣石'!C:D,1,0),"")="","","✔")</f>
        <v/>
      </c>
      <c r="U501" s="98" t="str">
        <f>IF(IFERROR(VLOOKUP(A501,'20.鋼構工程吊裝'!C:D,1,0),"")="","","✔")</f>
        <v/>
      </c>
      <c r="V501" s="98" t="str">
        <f>IF(IFERROR(VLOOKUP(A501,'21.鋼構工程塗裝'!C:D,1,0),"")="","","✔")</f>
        <v/>
      </c>
      <c r="W501" s="98" t="str">
        <f>IF(IFERROR(VLOOKUP(A501,'22.排水設施(一)'!C:D,1,0),"")="","","✔")</f>
        <v/>
      </c>
      <c r="X501" s="98" t="str">
        <f>IF(IFERROR(VLOOKUP(A501,'23.排水設施(二)'!C:D,1,0),"")="","","✔")</f>
        <v/>
      </c>
      <c r="Y501" s="98" t="str">
        <f>IF(IFERROR(VLOOKUP(A501,'24.木構造'!C:D,1,0),"")="","","✔")</f>
        <v/>
      </c>
      <c r="Z501" s="98" t="str">
        <f>IF(IFERROR(VLOOKUP(A501,'25.管路'!C:D,1,0),"")="","","✔")</f>
        <v/>
      </c>
      <c r="AA501" s="98" t="str">
        <f>IF(IFERROR(VLOOKUP(A501,'26.植栽(移植)'!C:D,1,0),"")="","","✔")</f>
        <v/>
      </c>
      <c r="AB501" s="98" t="str">
        <f>IF(IFERROR(VLOOKUP(A501,'27.植栽(新植)'!C:D,1,0),"")="","","✔")</f>
        <v/>
      </c>
      <c r="AC501" s="98" t="str">
        <f>IF(IFERROR(VLOOKUP(A501,'28.照明'!C:D,1,0),"")="","","✔")</f>
        <v/>
      </c>
      <c r="AD501" s="98" t="str">
        <f>IF(IFERROR(VLOOKUP(A501,'29.既有橋梁拆除'!C:D,1,0),"")="","","✔")</f>
        <v/>
      </c>
    </row>
    <row r="502" spans="1:30" ht="21.75" customHeight="1" x14ac:dyDescent="0.25">
      <c r="A502" s="99">
        <v>45692</v>
      </c>
      <c r="B502" s="98" t="str">
        <f>IF(IFERROR(VLOOKUP(A502,'1.測量放樣'!C:D,1,0),"")="","","✔")</f>
        <v/>
      </c>
      <c r="C502" s="98" t="str">
        <f>IF(IFERROR(VLOOKUP(A502,'2.土方開挖'!C:D,1,0),"")="","","✔")</f>
        <v/>
      </c>
      <c r="D502" s="98" t="str">
        <f>IF(IFERROR(VLOOKUP(A502,'3.土方回填'!C:D,1,0),"")="","","✔")</f>
        <v/>
      </c>
      <c r="E502" s="98" t="str">
        <f>IF(IFERROR(VLOOKUP(A502,'4.鋼筋'!C:D,1,0),"")="","","✔")</f>
        <v/>
      </c>
      <c r="F502" s="98" t="str">
        <f>IF(IFERROR(VLOOKUP(A502,'5.模板'!C:D,1,0),"")="","","✔")</f>
        <v/>
      </c>
      <c r="G502" s="98" t="str">
        <f>IF(IFERROR(VLOOKUP(A502,'6.混凝土'!C:D,1,0),"")="","","✔")</f>
        <v/>
      </c>
      <c r="H502" s="98" t="str">
        <f>IF(IFERROR(VLOOKUP(A502,'7.植筋'!C:D,1,0),"")="","","✔")</f>
        <v/>
      </c>
      <c r="I502" s="98" t="str">
        <f>IF(IFERROR(VLOOKUP(A502,'8.預力混凝土基樁'!C:D,1,0),"")="","","✔")</f>
        <v/>
      </c>
      <c r="J502" s="98" t="str">
        <f>IF(IFERROR(VLOOKUP(A502,'9.砌塊石護岸'!C:D,1,0),"")="","","✔")</f>
        <v/>
      </c>
      <c r="K502" s="98" t="str">
        <f>IF(IFERROR(VLOOKUP(A502,'10.低水護岸'!C:D,1,0),"")="","","✔")</f>
        <v/>
      </c>
      <c r="L502" s="98" t="str">
        <f>IF(IFERROR(VLOOKUP(A502,'11.固床工'!C:D,1,0),"")="","","✔")</f>
        <v/>
      </c>
      <c r="M502" s="98" t="str">
        <f>IF(IFERROR(VLOOKUP(A502,'12.全套管基樁'!C:D,1,0),"")="","","✔")</f>
        <v/>
      </c>
      <c r="N502" s="98" t="str">
        <f>IF(IFERROR(VLOOKUP(A502,'13.鋼筋混凝土管工程'!C:D,1,0),"")="","","✔")</f>
        <v/>
      </c>
      <c r="O502" s="98" t="str">
        <f>IF(IFERROR(VLOOKUP(A502,'14.鋼版樁'!C:D,1,0),"")="","","✔")</f>
        <v/>
      </c>
      <c r="P502" s="98" t="str">
        <f>IF(IFERROR(VLOOKUP(A502,'15.路床 路基高程'!C:D,1,0),"")="","","✔")</f>
        <v/>
      </c>
      <c r="Q502" s="98" t="str">
        <f>IF(IFERROR(VLOOKUP(A502,'16.瀝青混凝土'!C:D,1,0),"")="","","✔")</f>
        <v/>
      </c>
      <c r="R502" s="98" t="str">
        <f>IF(IFERROR(VLOOKUP(A502,'17.景觀鋪面(一)'!C:D,1,0),"")="","","✔")</f>
        <v/>
      </c>
      <c r="S502" s="98" t="str">
        <f>IF(IFERROR(VLOOKUP(A502,'18.景觀鋪面(二)'!C:D,1,0),"")="","","✔")</f>
        <v/>
      </c>
      <c r="T502" s="98" t="str">
        <f>IF(IFERROR(VLOOKUP(A502,'19.預鑄緣石'!C:D,1,0),"")="","","✔")</f>
        <v/>
      </c>
      <c r="U502" s="98" t="str">
        <f>IF(IFERROR(VLOOKUP(A502,'20.鋼構工程吊裝'!C:D,1,0),"")="","","✔")</f>
        <v/>
      </c>
      <c r="V502" s="98" t="str">
        <f>IF(IFERROR(VLOOKUP(A502,'21.鋼構工程塗裝'!C:D,1,0),"")="","","✔")</f>
        <v/>
      </c>
      <c r="W502" s="98" t="str">
        <f>IF(IFERROR(VLOOKUP(A502,'22.排水設施(一)'!C:D,1,0),"")="","","✔")</f>
        <v/>
      </c>
      <c r="X502" s="98" t="str">
        <f>IF(IFERROR(VLOOKUP(A502,'23.排水設施(二)'!C:D,1,0),"")="","","✔")</f>
        <v/>
      </c>
      <c r="Y502" s="98" t="str">
        <f>IF(IFERROR(VLOOKUP(A502,'24.木構造'!C:D,1,0),"")="","","✔")</f>
        <v/>
      </c>
      <c r="Z502" s="98" t="str">
        <f>IF(IFERROR(VLOOKUP(A502,'25.管路'!C:D,1,0),"")="","","✔")</f>
        <v/>
      </c>
      <c r="AA502" s="98" t="str">
        <f>IF(IFERROR(VLOOKUP(A502,'26.植栽(移植)'!C:D,1,0),"")="","","✔")</f>
        <v/>
      </c>
      <c r="AB502" s="98" t="str">
        <f>IF(IFERROR(VLOOKUP(A502,'27.植栽(新植)'!C:D,1,0),"")="","","✔")</f>
        <v/>
      </c>
      <c r="AC502" s="98" t="str">
        <f>IF(IFERROR(VLOOKUP(A502,'28.照明'!C:D,1,0),"")="","","✔")</f>
        <v/>
      </c>
      <c r="AD502" s="98" t="str">
        <f>IF(IFERROR(VLOOKUP(A502,'29.既有橋梁拆除'!C:D,1,0),"")="","","✔")</f>
        <v/>
      </c>
    </row>
    <row r="503" spans="1:30" ht="21.75" customHeight="1" x14ac:dyDescent="0.25">
      <c r="A503" s="99">
        <v>45693</v>
      </c>
      <c r="B503" s="98" t="str">
        <f>IF(IFERROR(VLOOKUP(A503,'1.測量放樣'!C:D,1,0),"")="","","✔")</f>
        <v/>
      </c>
      <c r="C503" s="98" t="str">
        <f>IF(IFERROR(VLOOKUP(A503,'2.土方開挖'!C:D,1,0),"")="","","✔")</f>
        <v/>
      </c>
      <c r="D503" s="98" t="str">
        <f>IF(IFERROR(VLOOKUP(A503,'3.土方回填'!C:D,1,0),"")="","","✔")</f>
        <v/>
      </c>
      <c r="E503" s="98" t="str">
        <f>IF(IFERROR(VLOOKUP(A503,'4.鋼筋'!C:D,1,0),"")="","","✔")</f>
        <v/>
      </c>
      <c r="F503" s="98" t="str">
        <f>IF(IFERROR(VLOOKUP(A503,'5.模板'!C:D,1,0),"")="","","✔")</f>
        <v/>
      </c>
      <c r="G503" s="98" t="str">
        <f>IF(IFERROR(VLOOKUP(A503,'6.混凝土'!C:D,1,0),"")="","","✔")</f>
        <v/>
      </c>
      <c r="H503" s="98" t="str">
        <f>IF(IFERROR(VLOOKUP(A503,'7.植筋'!C:D,1,0),"")="","","✔")</f>
        <v/>
      </c>
      <c r="I503" s="98" t="str">
        <f>IF(IFERROR(VLOOKUP(A503,'8.預力混凝土基樁'!C:D,1,0),"")="","","✔")</f>
        <v/>
      </c>
      <c r="J503" s="98" t="str">
        <f>IF(IFERROR(VLOOKUP(A503,'9.砌塊石護岸'!C:D,1,0),"")="","","✔")</f>
        <v/>
      </c>
      <c r="K503" s="98" t="str">
        <f>IF(IFERROR(VLOOKUP(A503,'10.低水護岸'!C:D,1,0),"")="","","✔")</f>
        <v/>
      </c>
      <c r="L503" s="98" t="str">
        <f>IF(IFERROR(VLOOKUP(A503,'11.固床工'!C:D,1,0),"")="","","✔")</f>
        <v/>
      </c>
      <c r="M503" s="98" t="str">
        <f>IF(IFERROR(VLOOKUP(A503,'12.全套管基樁'!C:D,1,0),"")="","","✔")</f>
        <v/>
      </c>
      <c r="N503" s="98" t="str">
        <f>IF(IFERROR(VLOOKUP(A503,'13.鋼筋混凝土管工程'!C:D,1,0),"")="","","✔")</f>
        <v/>
      </c>
      <c r="O503" s="98" t="str">
        <f>IF(IFERROR(VLOOKUP(A503,'14.鋼版樁'!C:D,1,0),"")="","","✔")</f>
        <v/>
      </c>
      <c r="P503" s="98" t="str">
        <f>IF(IFERROR(VLOOKUP(A503,'15.路床 路基高程'!C:D,1,0),"")="","","✔")</f>
        <v/>
      </c>
      <c r="Q503" s="98" t="str">
        <f>IF(IFERROR(VLOOKUP(A503,'16.瀝青混凝土'!C:D,1,0),"")="","","✔")</f>
        <v/>
      </c>
      <c r="R503" s="98" t="str">
        <f>IF(IFERROR(VLOOKUP(A503,'17.景觀鋪面(一)'!C:D,1,0),"")="","","✔")</f>
        <v/>
      </c>
      <c r="S503" s="98" t="str">
        <f>IF(IFERROR(VLOOKUP(A503,'18.景觀鋪面(二)'!C:D,1,0),"")="","","✔")</f>
        <v/>
      </c>
      <c r="T503" s="98" t="str">
        <f>IF(IFERROR(VLOOKUP(A503,'19.預鑄緣石'!C:D,1,0),"")="","","✔")</f>
        <v/>
      </c>
      <c r="U503" s="98" t="str">
        <f>IF(IFERROR(VLOOKUP(A503,'20.鋼構工程吊裝'!C:D,1,0),"")="","","✔")</f>
        <v/>
      </c>
      <c r="V503" s="98" t="str">
        <f>IF(IFERROR(VLOOKUP(A503,'21.鋼構工程塗裝'!C:D,1,0),"")="","","✔")</f>
        <v/>
      </c>
      <c r="W503" s="98" t="str">
        <f>IF(IFERROR(VLOOKUP(A503,'22.排水設施(一)'!C:D,1,0),"")="","","✔")</f>
        <v/>
      </c>
      <c r="X503" s="98" t="str">
        <f>IF(IFERROR(VLOOKUP(A503,'23.排水設施(二)'!C:D,1,0),"")="","","✔")</f>
        <v/>
      </c>
      <c r="Y503" s="98" t="str">
        <f>IF(IFERROR(VLOOKUP(A503,'24.木構造'!C:D,1,0),"")="","","✔")</f>
        <v/>
      </c>
      <c r="Z503" s="98" t="str">
        <f>IF(IFERROR(VLOOKUP(A503,'25.管路'!C:D,1,0),"")="","","✔")</f>
        <v/>
      </c>
      <c r="AA503" s="98" t="str">
        <f>IF(IFERROR(VLOOKUP(A503,'26.植栽(移植)'!C:D,1,0),"")="","","✔")</f>
        <v/>
      </c>
      <c r="AB503" s="98" t="str">
        <f>IF(IFERROR(VLOOKUP(A503,'27.植栽(新植)'!C:D,1,0),"")="","","✔")</f>
        <v/>
      </c>
      <c r="AC503" s="98" t="str">
        <f>IF(IFERROR(VLOOKUP(A503,'28.照明'!C:D,1,0),"")="","","✔")</f>
        <v/>
      </c>
      <c r="AD503" s="98" t="str">
        <f>IF(IFERROR(VLOOKUP(A503,'29.既有橋梁拆除'!C:D,1,0),"")="","","✔")</f>
        <v/>
      </c>
    </row>
    <row r="504" spans="1:30" ht="21.75" customHeight="1" x14ac:dyDescent="0.25">
      <c r="A504" s="99">
        <v>45694</v>
      </c>
      <c r="B504" s="98" t="str">
        <f>IF(IFERROR(VLOOKUP(A504,'1.測量放樣'!C:D,1,0),"")="","","✔")</f>
        <v/>
      </c>
      <c r="C504" s="98" t="str">
        <f>IF(IFERROR(VLOOKUP(A504,'2.土方開挖'!C:D,1,0),"")="","","✔")</f>
        <v/>
      </c>
      <c r="D504" s="98" t="str">
        <f>IF(IFERROR(VLOOKUP(A504,'3.土方回填'!C:D,1,0),"")="","","✔")</f>
        <v/>
      </c>
      <c r="E504" s="98" t="str">
        <f>IF(IFERROR(VLOOKUP(A504,'4.鋼筋'!C:D,1,0),"")="","","✔")</f>
        <v/>
      </c>
      <c r="F504" s="98" t="str">
        <f>IF(IFERROR(VLOOKUP(A504,'5.模板'!C:D,1,0),"")="","","✔")</f>
        <v/>
      </c>
      <c r="G504" s="98" t="str">
        <f>IF(IFERROR(VLOOKUP(A504,'6.混凝土'!C:D,1,0),"")="","","✔")</f>
        <v/>
      </c>
      <c r="H504" s="98" t="str">
        <f>IF(IFERROR(VLOOKUP(A504,'7.植筋'!C:D,1,0),"")="","","✔")</f>
        <v/>
      </c>
      <c r="I504" s="98" t="str">
        <f>IF(IFERROR(VLOOKUP(A504,'8.預力混凝土基樁'!C:D,1,0),"")="","","✔")</f>
        <v/>
      </c>
      <c r="J504" s="98" t="str">
        <f>IF(IFERROR(VLOOKUP(A504,'9.砌塊石護岸'!C:D,1,0),"")="","","✔")</f>
        <v/>
      </c>
      <c r="K504" s="98" t="str">
        <f>IF(IFERROR(VLOOKUP(A504,'10.低水護岸'!C:D,1,0),"")="","","✔")</f>
        <v/>
      </c>
      <c r="L504" s="98" t="str">
        <f>IF(IFERROR(VLOOKUP(A504,'11.固床工'!C:D,1,0),"")="","","✔")</f>
        <v/>
      </c>
      <c r="M504" s="98" t="str">
        <f>IF(IFERROR(VLOOKUP(A504,'12.全套管基樁'!C:D,1,0),"")="","","✔")</f>
        <v/>
      </c>
      <c r="N504" s="98" t="str">
        <f>IF(IFERROR(VLOOKUP(A504,'13.鋼筋混凝土管工程'!C:D,1,0),"")="","","✔")</f>
        <v/>
      </c>
      <c r="O504" s="98" t="str">
        <f>IF(IFERROR(VLOOKUP(A504,'14.鋼版樁'!C:D,1,0),"")="","","✔")</f>
        <v/>
      </c>
      <c r="P504" s="98" t="str">
        <f>IF(IFERROR(VLOOKUP(A504,'15.路床 路基高程'!C:D,1,0),"")="","","✔")</f>
        <v/>
      </c>
      <c r="Q504" s="98" t="str">
        <f>IF(IFERROR(VLOOKUP(A504,'16.瀝青混凝土'!C:D,1,0),"")="","","✔")</f>
        <v/>
      </c>
      <c r="R504" s="98" t="str">
        <f>IF(IFERROR(VLOOKUP(A504,'17.景觀鋪面(一)'!C:D,1,0),"")="","","✔")</f>
        <v/>
      </c>
      <c r="S504" s="98" t="str">
        <f>IF(IFERROR(VLOOKUP(A504,'18.景觀鋪面(二)'!C:D,1,0),"")="","","✔")</f>
        <v/>
      </c>
      <c r="T504" s="98" t="str">
        <f>IF(IFERROR(VLOOKUP(A504,'19.預鑄緣石'!C:D,1,0),"")="","","✔")</f>
        <v/>
      </c>
      <c r="U504" s="98" t="str">
        <f>IF(IFERROR(VLOOKUP(A504,'20.鋼構工程吊裝'!C:D,1,0),"")="","","✔")</f>
        <v/>
      </c>
      <c r="V504" s="98" t="str">
        <f>IF(IFERROR(VLOOKUP(A504,'21.鋼構工程塗裝'!C:D,1,0),"")="","","✔")</f>
        <v/>
      </c>
      <c r="W504" s="98" t="str">
        <f>IF(IFERROR(VLOOKUP(A504,'22.排水設施(一)'!C:D,1,0),"")="","","✔")</f>
        <v/>
      </c>
      <c r="X504" s="98" t="str">
        <f>IF(IFERROR(VLOOKUP(A504,'23.排水設施(二)'!C:D,1,0),"")="","","✔")</f>
        <v/>
      </c>
      <c r="Y504" s="98" t="str">
        <f>IF(IFERROR(VLOOKUP(A504,'24.木構造'!C:D,1,0),"")="","","✔")</f>
        <v/>
      </c>
      <c r="Z504" s="98" t="str">
        <f>IF(IFERROR(VLOOKUP(A504,'25.管路'!C:D,1,0),"")="","","✔")</f>
        <v/>
      </c>
      <c r="AA504" s="98" t="str">
        <f>IF(IFERROR(VLOOKUP(A504,'26.植栽(移植)'!C:D,1,0),"")="","","✔")</f>
        <v/>
      </c>
      <c r="AB504" s="98" t="str">
        <f>IF(IFERROR(VLOOKUP(A504,'27.植栽(新植)'!C:D,1,0),"")="","","✔")</f>
        <v/>
      </c>
      <c r="AC504" s="98" t="str">
        <f>IF(IFERROR(VLOOKUP(A504,'28.照明'!C:D,1,0),"")="","","✔")</f>
        <v/>
      </c>
      <c r="AD504" s="98" t="str">
        <f>IF(IFERROR(VLOOKUP(A504,'29.既有橋梁拆除'!C:D,1,0),"")="","","✔")</f>
        <v/>
      </c>
    </row>
    <row r="505" spans="1:30" ht="21.75" customHeight="1" x14ac:dyDescent="0.25">
      <c r="A505" s="99">
        <v>45695</v>
      </c>
      <c r="B505" s="98" t="str">
        <f>IF(IFERROR(VLOOKUP(A505,'1.測量放樣'!C:D,1,0),"")="","","✔")</f>
        <v/>
      </c>
      <c r="C505" s="98" t="str">
        <f>IF(IFERROR(VLOOKUP(A505,'2.土方開挖'!C:D,1,0),"")="","","✔")</f>
        <v/>
      </c>
      <c r="D505" s="98" t="str">
        <f>IF(IFERROR(VLOOKUP(A505,'3.土方回填'!C:D,1,0),"")="","","✔")</f>
        <v/>
      </c>
      <c r="E505" s="98" t="str">
        <f>IF(IFERROR(VLOOKUP(A505,'4.鋼筋'!C:D,1,0),"")="","","✔")</f>
        <v/>
      </c>
      <c r="F505" s="98" t="str">
        <f>IF(IFERROR(VLOOKUP(A505,'5.模板'!C:D,1,0),"")="","","✔")</f>
        <v/>
      </c>
      <c r="G505" s="98" t="str">
        <f>IF(IFERROR(VLOOKUP(A505,'6.混凝土'!C:D,1,0),"")="","","✔")</f>
        <v/>
      </c>
      <c r="H505" s="98" t="str">
        <f>IF(IFERROR(VLOOKUP(A505,'7.植筋'!C:D,1,0),"")="","","✔")</f>
        <v/>
      </c>
      <c r="I505" s="98" t="str">
        <f>IF(IFERROR(VLOOKUP(A505,'8.預力混凝土基樁'!C:D,1,0),"")="","","✔")</f>
        <v/>
      </c>
      <c r="J505" s="98" t="str">
        <f>IF(IFERROR(VLOOKUP(A505,'9.砌塊石護岸'!C:D,1,0),"")="","","✔")</f>
        <v/>
      </c>
      <c r="K505" s="98" t="str">
        <f>IF(IFERROR(VLOOKUP(A505,'10.低水護岸'!C:D,1,0),"")="","","✔")</f>
        <v/>
      </c>
      <c r="L505" s="98" t="str">
        <f>IF(IFERROR(VLOOKUP(A505,'11.固床工'!C:D,1,0),"")="","","✔")</f>
        <v/>
      </c>
      <c r="M505" s="98" t="str">
        <f>IF(IFERROR(VLOOKUP(A505,'12.全套管基樁'!C:D,1,0),"")="","","✔")</f>
        <v/>
      </c>
      <c r="N505" s="98" t="str">
        <f>IF(IFERROR(VLOOKUP(A505,'13.鋼筋混凝土管工程'!C:D,1,0),"")="","","✔")</f>
        <v/>
      </c>
      <c r="O505" s="98" t="str">
        <f>IF(IFERROR(VLOOKUP(A505,'14.鋼版樁'!C:D,1,0),"")="","","✔")</f>
        <v/>
      </c>
      <c r="P505" s="98" t="str">
        <f>IF(IFERROR(VLOOKUP(A505,'15.路床 路基高程'!C:D,1,0),"")="","","✔")</f>
        <v/>
      </c>
      <c r="Q505" s="98" t="str">
        <f>IF(IFERROR(VLOOKUP(A505,'16.瀝青混凝土'!C:D,1,0),"")="","","✔")</f>
        <v/>
      </c>
      <c r="R505" s="98" t="str">
        <f>IF(IFERROR(VLOOKUP(A505,'17.景觀鋪面(一)'!C:D,1,0),"")="","","✔")</f>
        <v/>
      </c>
      <c r="S505" s="98" t="str">
        <f>IF(IFERROR(VLOOKUP(A505,'18.景觀鋪面(二)'!C:D,1,0),"")="","","✔")</f>
        <v/>
      </c>
      <c r="T505" s="98" t="str">
        <f>IF(IFERROR(VLOOKUP(A505,'19.預鑄緣石'!C:D,1,0),"")="","","✔")</f>
        <v/>
      </c>
      <c r="U505" s="98" t="str">
        <f>IF(IFERROR(VLOOKUP(A505,'20.鋼構工程吊裝'!C:D,1,0),"")="","","✔")</f>
        <v/>
      </c>
      <c r="V505" s="98" t="str">
        <f>IF(IFERROR(VLOOKUP(A505,'21.鋼構工程塗裝'!C:D,1,0),"")="","","✔")</f>
        <v/>
      </c>
      <c r="W505" s="98" t="str">
        <f>IF(IFERROR(VLOOKUP(A505,'22.排水設施(一)'!C:D,1,0),"")="","","✔")</f>
        <v/>
      </c>
      <c r="X505" s="98" t="str">
        <f>IF(IFERROR(VLOOKUP(A505,'23.排水設施(二)'!C:D,1,0),"")="","","✔")</f>
        <v/>
      </c>
      <c r="Y505" s="98" t="str">
        <f>IF(IFERROR(VLOOKUP(A505,'24.木構造'!C:D,1,0),"")="","","✔")</f>
        <v/>
      </c>
      <c r="Z505" s="98" t="str">
        <f>IF(IFERROR(VLOOKUP(A505,'25.管路'!C:D,1,0),"")="","","✔")</f>
        <v/>
      </c>
      <c r="AA505" s="98" t="str">
        <f>IF(IFERROR(VLOOKUP(A505,'26.植栽(移植)'!C:D,1,0),"")="","","✔")</f>
        <v/>
      </c>
      <c r="AB505" s="98" t="str">
        <f>IF(IFERROR(VLOOKUP(A505,'27.植栽(新植)'!C:D,1,0),"")="","","✔")</f>
        <v/>
      </c>
      <c r="AC505" s="98" t="str">
        <f>IF(IFERROR(VLOOKUP(A505,'28.照明'!C:D,1,0),"")="","","✔")</f>
        <v/>
      </c>
      <c r="AD505" s="98" t="str">
        <f>IF(IFERROR(VLOOKUP(A505,'29.既有橋梁拆除'!C:D,1,0),"")="","","✔")</f>
        <v/>
      </c>
    </row>
    <row r="506" spans="1:30" ht="21.75" customHeight="1" x14ac:dyDescent="0.25">
      <c r="A506" s="99">
        <v>45696</v>
      </c>
      <c r="B506" s="98" t="str">
        <f>IF(IFERROR(VLOOKUP(A506,'1.測量放樣'!C:D,1,0),"")="","","✔")</f>
        <v/>
      </c>
      <c r="C506" s="98" t="str">
        <f>IF(IFERROR(VLOOKUP(A506,'2.土方開挖'!C:D,1,0),"")="","","✔")</f>
        <v/>
      </c>
      <c r="D506" s="98" t="str">
        <f>IF(IFERROR(VLOOKUP(A506,'3.土方回填'!C:D,1,0),"")="","","✔")</f>
        <v/>
      </c>
      <c r="E506" s="98" t="str">
        <f>IF(IFERROR(VLOOKUP(A506,'4.鋼筋'!C:D,1,0),"")="","","✔")</f>
        <v/>
      </c>
      <c r="F506" s="98" t="str">
        <f>IF(IFERROR(VLOOKUP(A506,'5.模板'!C:D,1,0),"")="","","✔")</f>
        <v/>
      </c>
      <c r="G506" s="98" t="str">
        <f>IF(IFERROR(VLOOKUP(A506,'6.混凝土'!C:D,1,0),"")="","","✔")</f>
        <v/>
      </c>
      <c r="H506" s="98" t="str">
        <f>IF(IFERROR(VLOOKUP(A506,'7.植筋'!C:D,1,0),"")="","","✔")</f>
        <v/>
      </c>
      <c r="I506" s="98" t="str">
        <f>IF(IFERROR(VLOOKUP(A506,'8.預力混凝土基樁'!C:D,1,0),"")="","","✔")</f>
        <v/>
      </c>
      <c r="J506" s="98" t="str">
        <f>IF(IFERROR(VLOOKUP(A506,'9.砌塊石護岸'!C:D,1,0),"")="","","✔")</f>
        <v/>
      </c>
      <c r="K506" s="98" t="str">
        <f>IF(IFERROR(VLOOKUP(A506,'10.低水護岸'!C:D,1,0),"")="","","✔")</f>
        <v/>
      </c>
      <c r="L506" s="98" t="str">
        <f>IF(IFERROR(VLOOKUP(A506,'11.固床工'!C:D,1,0),"")="","","✔")</f>
        <v/>
      </c>
      <c r="M506" s="98" t="str">
        <f>IF(IFERROR(VLOOKUP(A506,'12.全套管基樁'!C:D,1,0),"")="","","✔")</f>
        <v/>
      </c>
      <c r="N506" s="98" t="str">
        <f>IF(IFERROR(VLOOKUP(A506,'13.鋼筋混凝土管工程'!C:D,1,0),"")="","","✔")</f>
        <v/>
      </c>
      <c r="O506" s="98" t="str">
        <f>IF(IFERROR(VLOOKUP(A506,'14.鋼版樁'!C:D,1,0),"")="","","✔")</f>
        <v/>
      </c>
      <c r="P506" s="98" t="str">
        <f>IF(IFERROR(VLOOKUP(A506,'15.路床 路基高程'!C:D,1,0),"")="","","✔")</f>
        <v/>
      </c>
      <c r="Q506" s="98" t="str">
        <f>IF(IFERROR(VLOOKUP(A506,'16.瀝青混凝土'!C:D,1,0),"")="","","✔")</f>
        <v/>
      </c>
      <c r="R506" s="98" t="str">
        <f>IF(IFERROR(VLOOKUP(A506,'17.景觀鋪面(一)'!C:D,1,0),"")="","","✔")</f>
        <v/>
      </c>
      <c r="S506" s="98" t="str">
        <f>IF(IFERROR(VLOOKUP(A506,'18.景觀鋪面(二)'!C:D,1,0),"")="","","✔")</f>
        <v/>
      </c>
      <c r="T506" s="98" t="str">
        <f>IF(IFERROR(VLOOKUP(A506,'19.預鑄緣石'!C:D,1,0),"")="","","✔")</f>
        <v/>
      </c>
      <c r="U506" s="98" t="str">
        <f>IF(IFERROR(VLOOKUP(A506,'20.鋼構工程吊裝'!C:D,1,0),"")="","","✔")</f>
        <v/>
      </c>
      <c r="V506" s="98" t="str">
        <f>IF(IFERROR(VLOOKUP(A506,'21.鋼構工程塗裝'!C:D,1,0),"")="","","✔")</f>
        <v/>
      </c>
      <c r="W506" s="98" t="str">
        <f>IF(IFERROR(VLOOKUP(A506,'22.排水設施(一)'!C:D,1,0),"")="","","✔")</f>
        <v/>
      </c>
      <c r="X506" s="98" t="str">
        <f>IF(IFERROR(VLOOKUP(A506,'23.排水設施(二)'!C:D,1,0),"")="","","✔")</f>
        <v/>
      </c>
      <c r="Y506" s="98" t="str">
        <f>IF(IFERROR(VLOOKUP(A506,'24.木構造'!C:D,1,0),"")="","","✔")</f>
        <v/>
      </c>
      <c r="Z506" s="98" t="str">
        <f>IF(IFERROR(VLOOKUP(A506,'25.管路'!C:D,1,0),"")="","","✔")</f>
        <v/>
      </c>
      <c r="AA506" s="98" t="str">
        <f>IF(IFERROR(VLOOKUP(A506,'26.植栽(移植)'!C:D,1,0),"")="","","✔")</f>
        <v/>
      </c>
      <c r="AB506" s="98" t="str">
        <f>IF(IFERROR(VLOOKUP(A506,'27.植栽(新植)'!C:D,1,0),"")="","","✔")</f>
        <v/>
      </c>
      <c r="AC506" s="98" t="str">
        <f>IF(IFERROR(VLOOKUP(A506,'28.照明'!C:D,1,0),"")="","","✔")</f>
        <v/>
      </c>
      <c r="AD506" s="98" t="str">
        <f>IF(IFERROR(VLOOKUP(A506,'29.既有橋梁拆除'!C:D,1,0),"")="","","✔")</f>
        <v/>
      </c>
    </row>
    <row r="507" spans="1:30" ht="21.75" customHeight="1" x14ac:dyDescent="0.25">
      <c r="A507" s="99">
        <v>45697</v>
      </c>
      <c r="B507" s="98" t="str">
        <f>IF(IFERROR(VLOOKUP(A507,'1.測量放樣'!C:D,1,0),"")="","","✔")</f>
        <v/>
      </c>
      <c r="C507" s="98" t="str">
        <f>IF(IFERROR(VLOOKUP(A507,'2.土方開挖'!C:D,1,0),"")="","","✔")</f>
        <v/>
      </c>
      <c r="D507" s="98" t="str">
        <f>IF(IFERROR(VLOOKUP(A507,'3.土方回填'!C:D,1,0),"")="","","✔")</f>
        <v/>
      </c>
      <c r="E507" s="98" t="str">
        <f>IF(IFERROR(VLOOKUP(A507,'4.鋼筋'!C:D,1,0),"")="","","✔")</f>
        <v/>
      </c>
      <c r="F507" s="98" t="str">
        <f>IF(IFERROR(VLOOKUP(A507,'5.模板'!C:D,1,0),"")="","","✔")</f>
        <v/>
      </c>
      <c r="G507" s="98" t="str">
        <f>IF(IFERROR(VLOOKUP(A507,'6.混凝土'!C:D,1,0),"")="","","✔")</f>
        <v/>
      </c>
      <c r="H507" s="98" t="str">
        <f>IF(IFERROR(VLOOKUP(A507,'7.植筋'!C:D,1,0),"")="","","✔")</f>
        <v/>
      </c>
      <c r="I507" s="98" t="str">
        <f>IF(IFERROR(VLOOKUP(A507,'8.預力混凝土基樁'!C:D,1,0),"")="","","✔")</f>
        <v/>
      </c>
      <c r="J507" s="98" t="str">
        <f>IF(IFERROR(VLOOKUP(A507,'9.砌塊石護岸'!C:D,1,0),"")="","","✔")</f>
        <v/>
      </c>
      <c r="K507" s="98" t="str">
        <f>IF(IFERROR(VLOOKUP(A507,'10.低水護岸'!C:D,1,0),"")="","","✔")</f>
        <v/>
      </c>
      <c r="L507" s="98" t="str">
        <f>IF(IFERROR(VLOOKUP(A507,'11.固床工'!C:D,1,0),"")="","","✔")</f>
        <v/>
      </c>
      <c r="M507" s="98" t="str">
        <f>IF(IFERROR(VLOOKUP(A507,'12.全套管基樁'!C:D,1,0),"")="","","✔")</f>
        <v/>
      </c>
      <c r="N507" s="98" t="str">
        <f>IF(IFERROR(VLOOKUP(A507,'13.鋼筋混凝土管工程'!C:D,1,0),"")="","","✔")</f>
        <v/>
      </c>
      <c r="O507" s="98" t="str">
        <f>IF(IFERROR(VLOOKUP(A507,'14.鋼版樁'!C:D,1,0),"")="","","✔")</f>
        <v/>
      </c>
      <c r="P507" s="98" t="str">
        <f>IF(IFERROR(VLOOKUP(A507,'15.路床 路基高程'!C:D,1,0),"")="","","✔")</f>
        <v/>
      </c>
      <c r="Q507" s="98" t="str">
        <f>IF(IFERROR(VLOOKUP(A507,'16.瀝青混凝土'!C:D,1,0),"")="","","✔")</f>
        <v/>
      </c>
      <c r="R507" s="98" t="str">
        <f>IF(IFERROR(VLOOKUP(A507,'17.景觀鋪面(一)'!C:D,1,0),"")="","","✔")</f>
        <v/>
      </c>
      <c r="S507" s="98" t="str">
        <f>IF(IFERROR(VLOOKUP(A507,'18.景觀鋪面(二)'!C:D,1,0),"")="","","✔")</f>
        <v/>
      </c>
      <c r="T507" s="98" t="str">
        <f>IF(IFERROR(VLOOKUP(A507,'19.預鑄緣石'!C:D,1,0),"")="","","✔")</f>
        <v/>
      </c>
      <c r="U507" s="98" t="str">
        <f>IF(IFERROR(VLOOKUP(A507,'20.鋼構工程吊裝'!C:D,1,0),"")="","","✔")</f>
        <v/>
      </c>
      <c r="V507" s="98" t="str">
        <f>IF(IFERROR(VLOOKUP(A507,'21.鋼構工程塗裝'!C:D,1,0),"")="","","✔")</f>
        <v/>
      </c>
      <c r="W507" s="98" t="str">
        <f>IF(IFERROR(VLOOKUP(A507,'22.排水設施(一)'!C:D,1,0),"")="","","✔")</f>
        <v/>
      </c>
      <c r="X507" s="98" t="str">
        <f>IF(IFERROR(VLOOKUP(A507,'23.排水設施(二)'!C:D,1,0),"")="","","✔")</f>
        <v/>
      </c>
      <c r="Y507" s="98" t="str">
        <f>IF(IFERROR(VLOOKUP(A507,'24.木構造'!C:D,1,0),"")="","","✔")</f>
        <v/>
      </c>
      <c r="Z507" s="98" t="str">
        <f>IF(IFERROR(VLOOKUP(A507,'25.管路'!C:D,1,0),"")="","","✔")</f>
        <v/>
      </c>
      <c r="AA507" s="98" t="str">
        <f>IF(IFERROR(VLOOKUP(A507,'26.植栽(移植)'!C:D,1,0),"")="","","✔")</f>
        <v/>
      </c>
      <c r="AB507" s="98" t="str">
        <f>IF(IFERROR(VLOOKUP(A507,'27.植栽(新植)'!C:D,1,0),"")="","","✔")</f>
        <v/>
      </c>
      <c r="AC507" s="98" t="str">
        <f>IF(IFERROR(VLOOKUP(A507,'28.照明'!C:D,1,0),"")="","","✔")</f>
        <v/>
      </c>
      <c r="AD507" s="98" t="str">
        <f>IF(IFERROR(VLOOKUP(A507,'29.既有橋梁拆除'!C:D,1,0),"")="","","✔")</f>
        <v/>
      </c>
    </row>
    <row r="508" spans="1:30" ht="21.75" customHeight="1" x14ac:dyDescent="0.25">
      <c r="A508" s="99">
        <v>45698</v>
      </c>
      <c r="B508" s="98" t="str">
        <f>IF(IFERROR(VLOOKUP(A508,'1.測量放樣'!C:D,1,0),"")="","","✔")</f>
        <v/>
      </c>
      <c r="C508" s="98" t="str">
        <f>IF(IFERROR(VLOOKUP(A508,'2.土方開挖'!C:D,1,0),"")="","","✔")</f>
        <v/>
      </c>
      <c r="D508" s="98" t="str">
        <f>IF(IFERROR(VLOOKUP(A508,'3.土方回填'!C:D,1,0),"")="","","✔")</f>
        <v/>
      </c>
      <c r="E508" s="98" t="str">
        <f>IF(IFERROR(VLOOKUP(A508,'4.鋼筋'!C:D,1,0),"")="","","✔")</f>
        <v/>
      </c>
      <c r="F508" s="98" t="str">
        <f>IF(IFERROR(VLOOKUP(A508,'5.模板'!C:D,1,0),"")="","","✔")</f>
        <v/>
      </c>
      <c r="G508" s="98" t="str">
        <f>IF(IFERROR(VLOOKUP(A508,'6.混凝土'!C:D,1,0),"")="","","✔")</f>
        <v/>
      </c>
      <c r="H508" s="98" t="str">
        <f>IF(IFERROR(VLOOKUP(A508,'7.植筋'!C:D,1,0),"")="","","✔")</f>
        <v/>
      </c>
      <c r="I508" s="98" t="str">
        <f>IF(IFERROR(VLOOKUP(A508,'8.預力混凝土基樁'!C:D,1,0),"")="","","✔")</f>
        <v/>
      </c>
      <c r="J508" s="98" t="str">
        <f>IF(IFERROR(VLOOKUP(A508,'9.砌塊石護岸'!C:D,1,0),"")="","","✔")</f>
        <v/>
      </c>
      <c r="K508" s="98" t="str">
        <f>IF(IFERROR(VLOOKUP(A508,'10.低水護岸'!C:D,1,0),"")="","","✔")</f>
        <v/>
      </c>
      <c r="L508" s="98" t="str">
        <f>IF(IFERROR(VLOOKUP(A508,'11.固床工'!C:D,1,0),"")="","","✔")</f>
        <v/>
      </c>
      <c r="M508" s="98" t="str">
        <f>IF(IFERROR(VLOOKUP(A508,'12.全套管基樁'!C:D,1,0),"")="","","✔")</f>
        <v/>
      </c>
      <c r="N508" s="98" t="str">
        <f>IF(IFERROR(VLOOKUP(A508,'13.鋼筋混凝土管工程'!C:D,1,0),"")="","","✔")</f>
        <v/>
      </c>
      <c r="O508" s="98" t="str">
        <f>IF(IFERROR(VLOOKUP(A508,'14.鋼版樁'!C:D,1,0),"")="","","✔")</f>
        <v/>
      </c>
      <c r="P508" s="98" t="str">
        <f>IF(IFERROR(VLOOKUP(A508,'15.路床 路基高程'!C:D,1,0),"")="","","✔")</f>
        <v/>
      </c>
      <c r="Q508" s="98" t="str">
        <f>IF(IFERROR(VLOOKUP(A508,'16.瀝青混凝土'!C:D,1,0),"")="","","✔")</f>
        <v/>
      </c>
      <c r="R508" s="98" t="str">
        <f>IF(IFERROR(VLOOKUP(A508,'17.景觀鋪面(一)'!C:D,1,0),"")="","","✔")</f>
        <v/>
      </c>
      <c r="S508" s="98" t="str">
        <f>IF(IFERROR(VLOOKUP(A508,'18.景觀鋪面(二)'!C:D,1,0),"")="","","✔")</f>
        <v/>
      </c>
      <c r="T508" s="98" t="str">
        <f>IF(IFERROR(VLOOKUP(A508,'19.預鑄緣石'!C:D,1,0),"")="","","✔")</f>
        <v/>
      </c>
      <c r="U508" s="98" t="str">
        <f>IF(IFERROR(VLOOKUP(A508,'20.鋼構工程吊裝'!C:D,1,0),"")="","","✔")</f>
        <v/>
      </c>
      <c r="V508" s="98" t="str">
        <f>IF(IFERROR(VLOOKUP(A508,'21.鋼構工程塗裝'!C:D,1,0),"")="","","✔")</f>
        <v/>
      </c>
      <c r="W508" s="98" t="str">
        <f>IF(IFERROR(VLOOKUP(A508,'22.排水設施(一)'!C:D,1,0),"")="","","✔")</f>
        <v/>
      </c>
      <c r="X508" s="98" t="str">
        <f>IF(IFERROR(VLOOKUP(A508,'23.排水設施(二)'!C:D,1,0),"")="","","✔")</f>
        <v/>
      </c>
      <c r="Y508" s="98" t="str">
        <f>IF(IFERROR(VLOOKUP(A508,'24.木構造'!C:D,1,0),"")="","","✔")</f>
        <v/>
      </c>
      <c r="Z508" s="98" t="str">
        <f>IF(IFERROR(VLOOKUP(A508,'25.管路'!C:D,1,0),"")="","","✔")</f>
        <v/>
      </c>
      <c r="AA508" s="98" t="str">
        <f>IF(IFERROR(VLOOKUP(A508,'26.植栽(移植)'!C:D,1,0),"")="","","✔")</f>
        <v/>
      </c>
      <c r="AB508" s="98" t="str">
        <f>IF(IFERROR(VLOOKUP(A508,'27.植栽(新植)'!C:D,1,0),"")="","","✔")</f>
        <v/>
      </c>
      <c r="AC508" s="98" t="str">
        <f>IF(IFERROR(VLOOKUP(A508,'28.照明'!C:D,1,0),"")="","","✔")</f>
        <v/>
      </c>
      <c r="AD508" s="98" t="str">
        <f>IF(IFERROR(VLOOKUP(A508,'29.既有橋梁拆除'!C:D,1,0),"")="","","✔")</f>
        <v/>
      </c>
    </row>
    <row r="509" spans="1:30" ht="21.75" customHeight="1" x14ac:dyDescent="0.25">
      <c r="A509" s="99">
        <v>45699</v>
      </c>
      <c r="B509" s="98" t="str">
        <f>IF(IFERROR(VLOOKUP(A509,'1.測量放樣'!C:D,1,0),"")="","","✔")</f>
        <v/>
      </c>
      <c r="C509" s="98" t="str">
        <f>IF(IFERROR(VLOOKUP(A509,'2.土方開挖'!C:D,1,0),"")="","","✔")</f>
        <v/>
      </c>
      <c r="D509" s="98" t="str">
        <f>IF(IFERROR(VLOOKUP(A509,'3.土方回填'!C:D,1,0),"")="","","✔")</f>
        <v/>
      </c>
      <c r="E509" s="98" t="str">
        <f>IF(IFERROR(VLOOKUP(A509,'4.鋼筋'!C:D,1,0),"")="","","✔")</f>
        <v/>
      </c>
      <c r="F509" s="98" t="str">
        <f>IF(IFERROR(VLOOKUP(A509,'5.模板'!C:D,1,0),"")="","","✔")</f>
        <v/>
      </c>
      <c r="G509" s="98" t="str">
        <f>IF(IFERROR(VLOOKUP(A509,'6.混凝土'!C:D,1,0),"")="","","✔")</f>
        <v/>
      </c>
      <c r="H509" s="98" t="str">
        <f>IF(IFERROR(VLOOKUP(A509,'7.植筋'!C:D,1,0),"")="","","✔")</f>
        <v/>
      </c>
      <c r="I509" s="98" t="str">
        <f>IF(IFERROR(VLOOKUP(A509,'8.預力混凝土基樁'!C:D,1,0),"")="","","✔")</f>
        <v/>
      </c>
      <c r="J509" s="98" t="str">
        <f>IF(IFERROR(VLOOKUP(A509,'9.砌塊石護岸'!C:D,1,0),"")="","","✔")</f>
        <v/>
      </c>
      <c r="K509" s="98" t="str">
        <f>IF(IFERROR(VLOOKUP(A509,'10.低水護岸'!C:D,1,0),"")="","","✔")</f>
        <v/>
      </c>
      <c r="L509" s="98" t="str">
        <f>IF(IFERROR(VLOOKUP(A509,'11.固床工'!C:D,1,0),"")="","","✔")</f>
        <v/>
      </c>
      <c r="M509" s="98" t="str">
        <f>IF(IFERROR(VLOOKUP(A509,'12.全套管基樁'!C:D,1,0),"")="","","✔")</f>
        <v/>
      </c>
      <c r="N509" s="98" t="str">
        <f>IF(IFERROR(VLOOKUP(A509,'13.鋼筋混凝土管工程'!C:D,1,0),"")="","","✔")</f>
        <v/>
      </c>
      <c r="O509" s="98" t="str">
        <f>IF(IFERROR(VLOOKUP(A509,'14.鋼版樁'!C:D,1,0),"")="","","✔")</f>
        <v/>
      </c>
      <c r="P509" s="98" t="str">
        <f>IF(IFERROR(VLOOKUP(A509,'15.路床 路基高程'!C:D,1,0),"")="","","✔")</f>
        <v/>
      </c>
      <c r="Q509" s="98" t="str">
        <f>IF(IFERROR(VLOOKUP(A509,'16.瀝青混凝土'!C:D,1,0),"")="","","✔")</f>
        <v/>
      </c>
      <c r="R509" s="98" t="str">
        <f>IF(IFERROR(VLOOKUP(A509,'17.景觀鋪面(一)'!C:D,1,0),"")="","","✔")</f>
        <v/>
      </c>
      <c r="S509" s="98" t="str">
        <f>IF(IFERROR(VLOOKUP(A509,'18.景觀鋪面(二)'!C:D,1,0),"")="","","✔")</f>
        <v/>
      </c>
      <c r="T509" s="98" t="str">
        <f>IF(IFERROR(VLOOKUP(A509,'19.預鑄緣石'!C:D,1,0),"")="","","✔")</f>
        <v/>
      </c>
      <c r="U509" s="98" t="str">
        <f>IF(IFERROR(VLOOKUP(A509,'20.鋼構工程吊裝'!C:D,1,0),"")="","","✔")</f>
        <v/>
      </c>
      <c r="V509" s="98" t="str">
        <f>IF(IFERROR(VLOOKUP(A509,'21.鋼構工程塗裝'!C:D,1,0),"")="","","✔")</f>
        <v/>
      </c>
      <c r="W509" s="98" t="str">
        <f>IF(IFERROR(VLOOKUP(A509,'22.排水設施(一)'!C:D,1,0),"")="","","✔")</f>
        <v/>
      </c>
      <c r="X509" s="98" t="str">
        <f>IF(IFERROR(VLOOKUP(A509,'23.排水設施(二)'!C:D,1,0),"")="","","✔")</f>
        <v/>
      </c>
      <c r="Y509" s="98" t="str">
        <f>IF(IFERROR(VLOOKUP(A509,'24.木構造'!C:D,1,0),"")="","","✔")</f>
        <v/>
      </c>
      <c r="Z509" s="98" t="str">
        <f>IF(IFERROR(VLOOKUP(A509,'25.管路'!C:D,1,0),"")="","","✔")</f>
        <v/>
      </c>
      <c r="AA509" s="98" t="str">
        <f>IF(IFERROR(VLOOKUP(A509,'26.植栽(移植)'!C:D,1,0),"")="","","✔")</f>
        <v/>
      </c>
      <c r="AB509" s="98" t="str">
        <f>IF(IFERROR(VLOOKUP(A509,'27.植栽(新植)'!C:D,1,0),"")="","","✔")</f>
        <v/>
      </c>
      <c r="AC509" s="98" t="str">
        <f>IF(IFERROR(VLOOKUP(A509,'28.照明'!C:D,1,0),"")="","","✔")</f>
        <v/>
      </c>
      <c r="AD509" s="98" t="str">
        <f>IF(IFERROR(VLOOKUP(A509,'29.既有橋梁拆除'!C:D,1,0),"")="","","✔")</f>
        <v/>
      </c>
    </row>
    <row r="510" spans="1:30" ht="21.75" customHeight="1" x14ac:dyDescent="0.25">
      <c r="A510" s="99">
        <v>45700</v>
      </c>
      <c r="B510" s="98" t="str">
        <f>IF(IFERROR(VLOOKUP(A510,'1.測量放樣'!C:D,1,0),"")="","","✔")</f>
        <v/>
      </c>
      <c r="C510" s="98" t="str">
        <f>IF(IFERROR(VLOOKUP(A510,'2.土方開挖'!C:D,1,0),"")="","","✔")</f>
        <v/>
      </c>
      <c r="D510" s="98" t="str">
        <f>IF(IFERROR(VLOOKUP(A510,'3.土方回填'!C:D,1,0),"")="","","✔")</f>
        <v/>
      </c>
      <c r="E510" s="98" t="str">
        <f>IF(IFERROR(VLOOKUP(A510,'4.鋼筋'!C:D,1,0),"")="","","✔")</f>
        <v/>
      </c>
      <c r="F510" s="98" t="str">
        <f>IF(IFERROR(VLOOKUP(A510,'5.模板'!C:D,1,0),"")="","","✔")</f>
        <v/>
      </c>
      <c r="G510" s="98" t="str">
        <f>IF(IFERROR(VLOOKUP(A510,'6.混凝土'!C:D,1,0),"")="","","✔")</f>
        <v/>
      </c>
      <c r="H510" s="98" t="str">
        <f>IF(IFERROR(VLOOKUP(A510,'7.植筋'!C:D,1,0),"")="","","✔")</f>
        <v/>
      </c>
      <c r="I510" s="98" t="str">
        <f>IF(IFERROR(VLOOKUP(A510,'8.預力混凝土基樁'!C:D,1,0),"")="","","✔")</f>
        <v/>
      </c>
      <c r="J510" s="98" t="str">
        <f>IF(IFERROR(VLOOKUP(A510,'9.砌塊石護岸'!C:D,1,0),"")="","","✔")</f>
        <v/>
      </c>
      <c r="K510" s="98" t="str">
        <f>IF(IFERROR(VLOOKUP(A510,'10.低水護岸'!C:D,1,0),"")="","","✔")</f>
        <v/>
      </c>
      <c r="L510" s="98" t="str">
        <f>IF(IFERROR(VLOOKUP(A510,'11.固床工'!C:D,1,0),"")="","","✔")</f>
        <v/>
      </c>
      <c r="M510" s="98" t="str">
        <f>IF(IFERROR(VLOOKUP(A510,'12.全套管基樁'!C:D,1,0),"")="","","✔")</f>
        <v/>
      </c>
      <c r="N510" s="98" t="str">
        <f>IF(IFERROR(VLOOKUP(A510,'13.鋼筋混凝土管工程'!C:D,1,0),"")="","","✔")</f>
        <v/>
      </c>
      <c r="O510" s="98" t="str">
        <f>IF(IFERROR(VLOOKUP(A510,'14.鋼版樁'!C:D,1,0),"")="","","✔")</f>
        <v/>
      </c>
      <c r="P510" s="98" t="str">
        <f>IF(IFERROR(VLOOKUP(A510,'15.路床 路基高程'!C:D,1,0),"")="","","✔")</f>
        <v/>
      </c>
      <c r="Q510" s="98" t="str">
        <f>IF(IFERROR(VLOOKUP(A510,'16.瀝青混凝土'!C:D,1,0),"")="","","✔")</f>
        <v/>
      </c>
      <c r="R510" s="98" t="str">
        <f>IF(IFERROR(VLOOKUP(A510,'17.景觀鋪面(一)'!C:D,1,0),"")="","","✔")</f>
        <v/>
      </c>
      <c r="S510" s="98" t="str">
        <f>IF(IFERROR(VLOOKUP(A510,'18.景觀鋪面(二)'!C:D,1,0),"")="","","✔")</f>
        <v/>
      </c>
      <c r="T510" s="98" t="str">
        <f>IF(IFERROR(VLOOKUP(A510,'19.預鑄緣石'!C:D,1,0),"")="","","✔")</f>
        <v/>
      </c>
      <c r="U510" s="98" t="str">
        <f>IF(IFERROR(VLOOKUP(A510,'20.鋼構工程吊裝'!C:D,1,0),"")="","","✔")</f>
        <v/>
      </c>
      <c r="V510" s="98" t="str">
        <f>IF(IFERROR(VLOOKUP(A510,'21.鋼構工程塗裝'!C:D,1,0),"")="","","✔")</f>
        <v/>
      </c>
      <c r="W510" s="98" t="str">
        <f>IF(IFERROR(VLOOKUP(A510,'22.排水設施(一)'!C:D,1,0),"")="","","✔")</f>
        <v/>
      </c>
      <c r="X510" s="98" t="str">
        <f>IF(IFERROR(VLOOKUP(A510,'23.排水設施(二)'!C:D,1,0),"")="","","✔")</f>
        <v/>
      </c>
      <c r="Y510" s="98" t="str">
        <f>IF(IFERROR(VLOOKUP(A510,'24.木構造'!C:D,1,0),"")="","","✔")</f>
        <v/>
      </c>
      <c r="Z510" s="98" t="str">
        <f>IF(IFERROR(VLOOKUP(A510,'25.管路'!C:D,1,0),"")="","","✔")</f>
        <v/>
      </c>
      <c r="AA510" s="98" t="str">
        <f>IF(IFERROR(VLOOKUP(A510,'26.植栽(移植)'!C:D,1,0),"")="","","✔")</f>
        <v/>
      </c>
      <c r="AB510" s="98" t="str">
        <f>IF(IFERROR(VLOOKUP(A510,'27.植栽(新植)'!C:D,1,0),"")="","","✔")</f>
        <v/>
      </c>
      <c r="AC510" s="98" t="str">
        <f>IF(IFERROR(VLOOKUP(A510,'28.照明'!C:D,1,0),"")="","","✔")</f>
        <v/>
      </c>
      <c r="AD510" s="98" t="str">
        <f>IF(IFERROR(VLOOKUP(A510,'29.既有橋梁拆除'!C:D,1,0),"")="","","✔")</f>
        <v/>
      </c>
    </row>
    <row r="511" spans="1:30" ht="21.75" customHeight="1" x14ac:dyDescent="0.25">
      <c r="A511" s="99">
        <v>45701</v>
      </c>
      <c r="B511" s="98" t="str">
        <f>IF(IFERROR(VLOOKUP(A511,'1.測量放樣'!C:D,1,0),"")="","","✔")</f>
        <v/>
      </c>
      <c r="C511" s="98" t="str">
        <f>IF(IFERROR(VLOOKUP(A511,'2.土方開挖'!C:D,1,0),"")="","","✔")</f>
        <v/>
      </c>
      <c r="D511" s="98" t="str">
        <f>IF(IFERROR(VLOOKUP(A511,'3.土方回填'!C:D,1,0),"")="","","✔")</f>
        <v/>
      </c>
      <c r="E511" s="98" t="str">
        <f>IF(IFERROR(VLOOKUP(A511,'4.鋼筋'!C:D,1,0),"")="","","✔")</f>
        <v/>
      </c>
      <c r="F511" s="98" t="str">
        <f>IF(IFERROR(VLOOKUP(A511,'5.模板'!C:D,1,0),"")="","","✔")</f>
        <v/>
      </c>
      <c r="G511" s="98" t="str">
        <f>IF(IFERROR(VLOOKUP(A511,'6.混凝土'!C:D,1,0),"")="","","✔")</f>
        <v/>
      </c>
      <c r="H511" s="98" t="str">
        <f>IF(IFERROR(VLOOKUP(A511,'7.植筋'!C:D,1,0),"")="","","✔")</f>
        <v/>
      </c>
      <c r="I511" s="98" t="str">
        <f>IF(IFERROR(VLOOKUP(A511,'8.預力混凝土基樁'!C:D,1,0),"")="","","✔")</f>
        <v/>
      </c>
      <c r="J511" s="98" t="str">
        <f>IF(IFERROR(VLOOKUP(A511,'9.砌塊石護岸'!C:D,1,0),"")="","","✔")</f>
        <v/>
      </c>
      <c r="K511" s="98" t="str">
        <f>IF(IFERROR(VLOOKUP(A511,'10.低水護岸'!C:D,1,0),"")="","","✔")</f>
        <v/>
      </c>
      <c r="L511" s="98" t="str">
        <f>IF(IFERROR(VLOOKUP(A511,'11.固床工'!C:D,1,0),"")="","","✔")</f>
        <v/>
      </c>
      <c r="M511" s="98" t="str">
        <f>IF(IFERROR(VLOOKUP(A511,'12.全套管基樁'!C:D,1,0),"")="","","✔")</f>
        <v/>
      </c>
      <c r="N511" s="98" t="str">
        <f>IF(IFERROR(VLOOKUP(A511,'13.鋼筋混凝土管工程'!C:D,1,0),"")="","","✔")</f>
        <v/>
      </c>
      <c r="O511" s="98" t="str">
        <f>IF(IFERROR(VLOOKUP(A511,'14.鋼版樁'!C:D,1,0),"")="","","✔")</f>
        <v/>
      </c>
      <c r="P511" s="98" t="str">
        <f>IF(IFERROR(VLOOKUP(A511,'15.路床 路基高程'!C:D,1,0),"")="","","✔")</f>
        <v/>
      </c>
      <c r="Q511" s="98" t="str">
        <f>IF(IFERROR(VLOOKUP(A511,'16.瀝青混凝土'!C:D,1,0),"")="","","✔")</f>
        <v/>
      </c>
      <c r="R511" s="98" t="str">
        <f>IF(IFERROR(VLOOKUP(A511,'17.景觀鋪面(一)'!C:D,1,0),"")="","","✔")</f>
        <v/>
      </c>
      <c r="S511" s="98" t="str">
        <f>IF(IFERROR(VLOOKUP(A511,'18.景觀鋪面(二)'!C:D,1,0),"")="","","✔")</f>
        <v/>
      </c>
      <c r="T511" s="98" t="str">
        <f>IF(IFERROR(VLOOKUP(A511,'19.預鑄緣石'!C:D,1,0),"")="","","✔")</f>
        <v/>
      </c>
      <c r="U511" s="98" t="str">
        <f>IF(IFERROR(VLOOKUP(A511,'20.鋼構工程吊裝'!C:D,1,0),"")="","","✔")</f>
        <v/>
      </c>
      <c r="V511" s="98" t="str">
        <f>IF(IFERROR(VLOOKUP(A511,'21.鋼構工程塗裝'!C:D,1,0),"")="","","✔")</f>
        <v/>
      </c>
      <c r="W511" s="98" t="str">
        <f>IF(IFERROR(VLOOKUP(A511,'22.排水設施(一)'!C:D,1,0),"")="","","✔")</f>
        <v/>
      </c>
      <c r="X511" s="98" t="str">
        <f>IF(IFERROR(VLOOKUP(A511,'23.排水設施(二)'!C:D,1,0),"")="","","✔")</f>
        <v/>
      </c>
      <c r="Y511" s="98" t="str">
        <f>IF(IFERROR(VLOOKUP(A511,'24.木構造'!C:D,1,0),"")="","","✔")</f>
        <v/>
      </c>
      <c r="Z511" s="98" t="str">
        <f>IF(IFERROR(VLOOKUP(A511,'25.管路'!C:D,1,0),"")="","","✔")</f>
        <v/>
      </c>
      <c r="AA511" s="98" t="str">
        <f>IF(IFERROR(VLOOKUP(A511,'26.植栽(移植)'!C:D,1,0),"")="","","✔")</f>
        <v/>
      </c>
      <c r="AB511" s="98" t="str">
        <f>IF(IFERROR(VLOOKUP(A511,'27.植栽(新植)'!C:D,1,0),"")="","","✔")</f>
        <v/>
      </c>
      <c r="AC511" s="98" t="str">
        <f>IF(IFERROR(VLOOKUP(A511,'28.照明'!C:D,1,0),"")="","","✔")</f>
        <v/>
      </c>
      <c r="AD511" s="98" t="str">
        <f>IF(IFERROR(VLOOKUP(A511,'29.既有橋梁拆除'!C:D,1,0),"")="","","✔")</f>
        <v/>
      </c>
    </row>
    <row r="512" spans="1:30" ht="21.75" customHeight="1" x14ac:dyDescent="0.25">
      <c r="A512" s="99">
        <v>45702</v>
      </c>
      <c r="B512" s="98" t="str">
        <f>IF(IFERROR(VLOOKUP(A512,'1.測量放樣'!C:D,1,0),"")="","","✔")</f>
        <v/>
      </c>
      <c r="C512" s="98" t="str">
        <f>IF(IFERROR(VLOOKUP(A512,'2.土方開挖'!C:D,1,0),"")="","","✔")</f>
        <v/>
      </c>
      <c r="D512" s="98" t="str">
        <f>IF(IFERROR(VLOOKUP(A512,'3.土方回填'!C:D,1,0),"")="","","✔")</f>
        <v/>
      </c>
      <c r="E512" s="98" t="str">
        <f>IF(IFERROR(VLOOKUP(A512,'4.鋼筋'!C:D,1,0),"")="","","✔")</f>
        <v/>
      </c>
      <c r="F512" s="98" t="str">
        <f>IF(IFERROR(VLOOKUP(A512,'5.模板'!C:D,1,0),"")="","","✔")</f>
        <v/>
      </c>
      <c r="G512" s="98" t="str">
        <f>IF(IFERROR(VLOOKUP(A512,'6.混凝土'!C:D,1,0),"")="","","✔")</f>
        <v/>
      </c>
      <c r="H512" s="98" t="str">
        <f>IF(IFERROR(VLOOKUP(A512,'7.植筋'!C:D,1,0),"")="","","✔")</f>
        <v/>
      </c>
      <c r="I512" s="98" t="str">
        <f>IF(IFERROR(VLOOKUP(A512,'8.預力混凝土基樁'!C:D,1,0),"")="","","✔")</f>
        <v/>
      </c>
      <c r="J512" s="98" t="str">
        <f>IF(IFERROR(VLOOKUP(A512,'9.砌塊石護岸'!C:D,1,0),"")="","","✔")</f>
        <v/>
      </c>
      <c r="K512" s="98" t="str">
        <f>IF(IFERROR(VLOOKUP(A512,'10.低水護岸'!C:D,1,0),"")="","","✔")</f>
        <v/>
      </c>
      <c r="L512" s="98" t="str">
        <f>IF(IFERROR(VLOOKUP(A512,'11.固床工'!C:D,1,0),"")="","","✔")</f>
        <v/>
      </c>
      <c r="M512" s="98" t="str">
        <f>IF(IFERROR(VLOOKUP(A512,'12.全套管基樁'!C:D,1,0),"")="","","✔")</f>
        <v/>
      </c>
      <c r="N512" s="98" t="str">
        <f>IF(IFERROR(VLOOKUP(A512,'13.鋼筋混凝土管工程'!C:D,1,0),"")="","","✔")</f>
        <v/>
      </c>
      <c r="O512" s="98" t="str">
        <f>IF(IFERROR(VLOOKUP(A512,'14.鋼版樁'!C:D,1,0),"")="","","✔")</f>
        <v/>
      </c>
      <c r="P512" s="98" t="str">
        <f>IF(IFERROR(VLOOKUP(A512,'15.路床 路基高程'!C:D,1,0),"")="","","✔")</f>
        <v/>
      </c>
      <c r="Q512" s="98" t="str">
        <f>IF(IFERROR(VLOOKUP(A512,'16.瀝青混凝土'!C:D,1,0),"")="","","✔")</f>
        <v/>
      </c>
      <c r="R512" s="98" t="str">
        <f>IF(IFERROR(VLOOKUP(A512,'17.景觀鋪面(一)'!C:D,1,0),"")="","","✔")</f>
        <v/>
      </c>
      <c r="S512" s="98" t="str">
        <f>IF(IFERROR(VLOOKUP(A512,'18.景觀鋪面(二)'!C:D,1,0),"")="","","✔")</f>
        <v/>
      </c>
      <c r="T512" s="98" t="str">
        <f>IF(IFERROR(VLOOKUP(A512,'19.預鑄緣石'!C:D,1,0),"")="","","✔")</f>
        <v/>
      </c>
      <c r="U512" s="98" t="str">
        <f>IF(IFERROR(VLOOKUP(A512,'20.鋼構工程吊裝'!C:D,1,0),"")="","","✔")</f>
        <v/>
      </c>
      <c r="V512" s="98" t="str">
        <f>IF(IFERROR(VLOOKUP(A512,'21.鋼構工程塗裝'!C:D,1,0),"")="","","✔")</f>
        <v/>
      </c>
      <c r="W512" s="98" t="str">
        <f>IF(IFERROR(VLOOKUP(A512,'22.排水設施(一)'!C:D,1,0),"")="","","✔")</f>
        <v/>
      </c>
      <c r="X512" s="98" t="str">
        <f>IF(IFERROR(VLOOKUP(A512,'23.排水設施(二)'!C:D,1,0),"")="","","✔")</f>
        <v/>
      </c>
      <c r="Y512" s="98" t="str">
        <f>IF(IFERROR(VLOOKUP(A512,'24.木構造'!C:D,1,0),"")="","","✔")</f>
        <v/>
      </c>
      <c r="Z512" s="98" t="str">
        <f>IF(IFERROR(VLOOKUP(A512,'25.管路'!C:D,1,0),"")="","","✔")</f>
        <v/>
      </c>
      <c r="AA512" s="98" t="str">
        <f>IF(IFERROR(VLOOKUP(A512,'26.植栽(移植)'!C:D,1,0),"")="","","✔")</f>
        <v/>
      </c>
      <c r="AB512" s="98" t="str">
        <f>IF(IFERROR(VLOOKUP(A512,'27.植栽(新植)'!C:D,1,0),"")="","","✔")</f>
        <v/>
      </c>
      <c r="AC512" s="98" t="str">
        <f>IF(IFERROR(VLOOKUP(A512,'28.照明'!C:D,1,0),"")="","","✔")</f>
        <v/>
      </c>
      <c r="AD512" s="98" t="str">
        <f>IF(IFERROR(VLOOKUP(A512,'29.既有橋梁拆除'!C:D,1,0),"")="","","✔")</f>
        <v/>
      </c>
    </row>
    <row r="513" spans="1:30" ht="21.75" customHeight="1" x14ac:dyDescent="0.25">
      <c r="A513" s="99">
        <v>45703</v>
      </c>
      <c r="B513" s="98" t="str">
        <f>IF(IFERROR(VLOOKUP(A513,'1.測量放樣'!C:D,1,0),"")="","","✔")</f>
        <v/>
      </c>
      <c r="C513" s="98" t="str">
        <f>IF(IFERROR(VLOOKUP(A513,'2.土方開挖'!C:D,1,0),"")="","","✔")</f>
        <v/>
      </c>
      <c r="D513" s="98" t="str">
        <f>IF(IFERROR(VLOOKUP(A513,'3.土方回填'!C:D,1,0),"")="","","✔")</f>
        <v/>
      </c>
      <c r="E513" s="98" t="str">
        <f>IF(IFERROR(VLOOKUP(A513,'4.鋼筋'!C:D,1,0),"")="","","✔")</f>
        <v/>
      </c>
      <c r="F513" s="98" t="str">
        <f>IF(IFERROR(VLOOKUP(A513,'5.模板'!C:D,1,0),"")="","","✔")</f>
        <v/>
      </c>
      <c r="G513" s="98" t="str">
        <f>IF(IFERROR(VLOOKUP(A513,'6.混凝土'!C:D,1,0),"")="","","✔")</f>
        <v/>
      </c>
      <c r="H513" s="98" t="str">
        <f>IF(IFERROR(VLOOKUP(A513,'7.植筋'!C:D,1,0),"")="","","✔")</f>
        <v/>
      </c>
      <c r="I513" s="98" t="str">
        <f>IF(IFERROR(VLOOKUP(A513,'8.預力混凝土基樁'!C:D,1,0),"")="","","✔")</f>
        <v/>
      </c>
      <c r="J513" s="98" t="str">
        <f>IF(IFERROR(VLOOKUP(A513,'9.砌塊石護岸'!C:D,1,0),"")="","","✔")</f>
        <v/>
      </c>
      <c r="K513" s="98" t="str">
        <f>IF(IFERROR(VLOOKUP(A513,'10.低水護岸'!C:D,1,0),"")="","","✔")</f>
        <v/>
      </c>
      <c r="L513" s="98" t="str">
        <f>IF(IFERROR(VLOOKUP(A513,'11.固床工'!C:D,1,0),"")="","","✔")</f>
        <v/>
      </c>
      <c r="M513" s="98" t="str">
        <f>IF(IFERROR(VLOOKUP(A513,'12.全套管基樁'!C:D,1,0),"")="","","✔")</f>
        <v/>
      </c>
      <c r="N513" s="98" t="str">
        <f>IF(IFERROR(VLOOKUP(A513,'13.鋼筋混凝土管工程'!C:D,1,0),"")="","","✔")</f>
        <v/>
      </c>
      <c r="O513" s="98" t="str">
        <f>IF(IFERROR(VLOOKUP(A513,'14.鋼版樁'!C:D,1,0),"")="","","✔")</f>
        <v/>
      </c>
      <c r="P513" s="98" t="str">
        <f>IF(IFERROR(VLOOKUP(A513,'15.路床 路基高程'!C:D,1,0),"")="","","✔")</f>
        <v/>
      </c>
      <c r="Q513" s="98" t="str">
        <f>IF(IFERROR(VLOOKUP(A513,'16.瀝青混凝土'!C:D,1,0),"")="","","✔")</f>
        <v/>
      </c>
      <c r="R513" s="98" t="str">
        <f>IF(IFERROR(VLOOKUP(A513,'17.景觀鋪面(一)'!C:D,1,0),"")="","","✔")</f>
        <v/>
      </c>
      <c r="S513" s="98" t="str">
        <f>IF(IFERROR(VLOOKUP(A513,'18.景觀鋪面(二)'!C:D,1,0),"")="","","✔")</f>
        <v/>
      </c>
      <c r="T513" s="98" t="str">
        <f>IF(IFERROR(VLOOKUP(A513,'19.預鑄緣石'!C:D,1,0),"")="","","✔")</f>
        <v/>
      </c>
      <c r="U513" s="98" t="str">
        <f>IF(IFERROR(VLOOKUP(A513,'20.鋼構工程吊裝'!C:D,1,0),"")="","","✔")</f>
        <v/>
      </c>
      <c r="V513" s="98" t="str">
        <f>IF(IFERROR(VLOOKUP(A513,'21.鋼構工程塗裝'!C:D,1,0),"")="","","✔")</f>
        <v/>
      </c>
      <c r="W513" s="98" t="str">
        <f>IF(IFERROR(VLOOKUP(A513,'22.排水設施(一)'!C:D,1,0),"")="","","✔")</f>
        <v/>
      </c>
      <c r="X513" s="98" t="str">
        <f>IF(IFERROR(VLOOKUP(A513,'23.排水設施(二)'!C:D,1,0),"")="","","✔")</f>
        <v/>
      </c>
      <c r="Y513" s="98" t="str">
        <f>IF(IFERROR(VLOOKUP(A513,'24.木構造'!C:D,1,0),"")="","","✔")</f>
        <v/>
      </c>
      <c r="Z513" s="98" t="str">
        <f>IF(IFERROR(VLOOKUP(A513,'25.管路'!C:D,1,0),"")="","","✔")</f>
        <v/>
      </c>
      <c r="AA513" s="98" t="str">
        <f>IF(IFERROR(VLOOKUP(A513,'26.植栽(移植)'!C:D,1,0),"")="","","✔")</f>
        <v/>
      </c>
      <c r="AB513" s="98" t="str">
        <f>IF(IFERROR(VLOOKUP(A513,'27.植栽(新植)'!C:D,1,0),"")="","","✔")</f>
        <v/>
      </c>
      <c r="AC513" s="98" t="str">
        <f>IF(IFERROR(VLOOKUP(A513,'28.照明'!C:D,1,0),"")="","","✔")</f>
        <v/>
      </c>
      <c r="AD513" s="98" t="str">
        <f>IF(IFERROR(VLOOKUP(A513,'29.既有橋梁拆除'!C:D,1,0),"")="","","✔")</f>
        <v/>
      </c>
    </row>
    <row r="514" spans="1:30" ht="21.75" customHeight="1" x14ac:dyDescent="0.25">
      <c r="A514" s="99">
        <v>45704</v>
      </c>
      <c r="B514" s="98" t="str">
        <f>IF(IFERROR(VLOOKUP(A514,'1.測量放樣'!C:D,1,0),"")="","","✔")</f>
        <v/>
      </c>
      <c r="C514" s="98" t="str">
        <f>IF(IFERROR(VLOOKUP(A514,'2.土方開挖'!C:D,1,0),"")="","","✔")</f>
        <v/>
      </c>
      <c r="D514" s="98" t="str">
        <f>IF(IFERROR(VLOOKUP(A514,'3.土方回填'!C:D,1,0),"")="","","✔")</f>
        <v/>
      </c>
      <c r="E514" s="98" t="str">
        <f>IF(IFERROR(VLOOKUP(A514,'4.鋼筋'!C:D,1,0),"")="","","✔")</f>
        <v/>
      </c>
      <c r="F514" s="98" t="str">
        <f>IF(IFERROR(VLOOKUP(A514,'5.模板'!C:D,1,0),"")="","","✔")</f>
        <v/>
      </c>
      <c r="G514" s="98" t="str">
        <f>IF(IFERROR(VLOOKUP(A514,'6.混凝土'!C:D,1,0),"")="","","✔")</f>
        <v/>
      </c>
      <c r="H514" s="98" t="str">
        <f>IF(IFERROR(VLOOKUP(A514,'7.植筋'!C:D,1,0),"")="","","✔")</f>
        <v/>
      </c>
      <c r="I514" s="98" t="str">
        <f>IF(IFERROR(VLOOKUP(A514,'8.預力混凝土基樁'!C:D,1,0),"")="","","✔")</f>
        <v/>
      </c>
      <c r="J514" s="98" t="str">
        <f>IF(IFERROR(VLOOKUP(A514,'9.砌塊石護岸'!C:D,1,0),"")="","","✔")</f>
        <v/>
      </c>
      <c r="K514" s="98" t="str">
        <f>IF(IFERROR(VLOOKUP(A514,'10.低水護岸'!C:D,1,0),"")="","","✔")</f>
        <v/>
      </c>
      <c r="L514" s="98" t="str">
        <f>IF(IFERROR(VLOOKUP(A514,'11.固床工'!C:D,1,0),"")="","","✔")</f>
        <v/>
      </c>
      <c r="M514" s="98" t="str">
        <f>IF(IFERROR(VLOOKUP(A514,'12.全套管基樁'!C:D,1,0),"")="","","✔")</f>
        <v/>
      </c>
      <c r="N514" s="98" t="str">
        <f>IF(IFERROR(VLOOKUP(A514,'13.鋼筋混凝土管工程'!C:D,1,0),"")="","","✔")</f>
        <v/>
      </c>
      <c r="O514" s="98" t="str">
        <f>IF(IFERROR(VLOOKUP(A514,'14.鋼版樁'!C:D,1,0),"")="","","✔")</f>
        <v/>
      </c>
      <c r="P514" s="98" t="str">
        <f>IF(IFERROR(VLOOKUP(A514,'15.路床 路基高程'!C:D,1,0),"")="","","✔")</f>
        <v/>
      </c>
      <c r="Q514" s="98" t="str">
        <f>IF(IFERROR(VLOOKUP(A514,'16.瀝青混凝土'!C:D,1,0),"")="","","✔")</f>
        <v/>
      </c>
      <c r="R514" s="98" t="str">
        <f>IF(IFERROR(VLOOKUP(A514,'17.景觀鋪面(一)'!C:D,1,0),"")="","","✔")</f>
        <v/>
      </c>
      <c r="S514" s="98" t="str">
        <f>IF(IFERROR(VLOOKUP(A514,'18.景觀鋪面(二)'!C:D,1,0),"")="","","✔")</f>
        <v/>
      </c>
      <c r="T514" s="98" t="str">
        <f>IF(IFERROR(VLOOKUP(A514,'19.預鑄緣石'!C:D,1,0),"")="","","✔")</f>
        <v/>
      </c>
      <c r="U514" s="98" t="str">
        <f>IF(IFERROR(VLOOKUP(A514,'20.鋼構工程吊裝'!C:D,1,0),"")="","","✔")</f>
        <v/>
      </c>
      <c r="V514" s="98" t="str">
        <f>IF(IFERROR(VLOOKUP(A514,'21.鋼構工程塗裝'!C:D,1,0),"")="","","✔")</f>
        <v/>
      </c>
      <c r="W514" s="98" t="str">
        <f>IF(IFERROR(VLOOKUP(A514,'22.排水設施(一)'!C:D,1,0),"")="","","✔")</f>
        <v/>
      </c>
      <c r="X514" s="98" t="str">
        <f>IF(IFERROR(VLOOKUP(A514,'23.排水設施(二)'!C:D,1,0),"")="","","✔")</f>
        <v/>
      </c>
      <c r="Y514" s="98" t="str">
        <f>IF(IFERROR(VLOOKUP(A514,'24.木構造'!C:D,1,0),"")="","","✔")</f>
        <v/>
      </c>
      <c r="Z514" s="98" t="str">
        <f>IF(IFERROR(VLOOKUP(A514,'25.管路'!C:D,1,0),"")="","","✔")</f>
        <v/>
      </c>
      <c r="AA514" s="98" t="str">
        <f>IF(IFERROR(VLOOKUP(A514,'26.植栽(移植)'!C:D,1,0),"")="","","✔")</f>
        <v/>
      </c>
      <c r="AB514" s="98" t="str">
        <f>IF(IFERROR(VLOOKUP(A514,'27.植栽(新植)'!C:D,1,0),"")="","","✔")</f>
        <v/>
      </c>
      <c r="AC514" s="98" t="str">
        <f>IF(IFERROR(VLOOKUP(A514,'28.照明'!C:D,1,0),"")="","","✔")</f>
        <v/>
      </c>
      <c r="AD514" s="98" t="str">
        <f>IF(IFERROR(VLOOKUP(A514,'29.既有橋梁拆除'!C:D,1,0),"")="","","✔")</f>
        <v/>
      </c>
    </row>
    <row r="515" spans="1:30" ht="21.75" customHeight="1" x14ac:dyDescent="0.25">
      <c r="A515" s="99">
        <v>45705</v>
      </c>
      <c r="B515" s="98" t="str">
        <f>IF(IFERROR(VLOOKUP(A515,'1.測量放樣'!C:D,1,0),"")="","","✔")</f>
        <v/>
      </c>
      <c r="C515" s="98" t="str">
        <f>IF(IFERROR(VLOOKUP(A515,'2.土方開挖'!C:D,1,0),"")="","","✔")</f>
        <v/>
      </c>
      <c r="D515" s="98" t="str">
        <f>IF(IFERROR(VLOOKUP(A515,'3.土方回填'!C:D,1,0),"")="","","✔")</f>
        <v/>
      </c>
      <c r="E515" s="98" t="str">
        <f>IF(IFERROR(VLOOKUP(A515,'4.鋼筋'!C:D,1,0),"")="","","✔")</f>
        <v/>
      </c>
      <c r="F515" s="98" t="str">
        <f>IF(IFERROR(VLOOKUP(A515,'5.模板'!C:D,1,0),"")="","","✔")</f>
        <v/>
      </c>
      <c r="G515" s="98" t="str">
        <f>IF(IFERROR(VLOOKUP(A515,'6.混凝土'!C:D,1,0),"")="","","✔")</f>
        <v/>
      </c>
      <c r="H515" s="98" t="str">
        <f>IF(IFERROR(VLOOKUP(A515,'7.植筋'!C:D,1,0),"")="","","✔")</f>
        <v/>
      </c>
      <c r="I515" s="98" t="str">
        <f>IF(IFERROR(VLOOKUP(A515,'8.預力混凝土基樁'!C:D,1,0),"")="","","✔")</f>
        <v/>
      </c>
      <c r="J515" s="98" t="str">
        <f>IF(IFERROR(VLOOKUP(A515,'9.砌塊石護岸'!C:D,1,0),"")="","","✔")</f>
        <v/>
      </c>
      <c r="K515" s="98" t="str">
        <f>IF(IFERROR(VLOOKUP(A515,'10.低水護岸'!C:D,1,0),"")="","","✔")</f>
        <v/>
      </c>
      <c r="L515" s="98" t="str">
        <f>IF(IFERROR(VLOOKUP(A515,'11.固床工'!C:D,1,0),"")="","","✔")</f>
        <v/>
      </c>
      <c r="M515" s="98" t="str">
        <f>IF(IFERROR(VLOOKUP(A515,'12.全套管基樁'!C:D,1,0),"")="","","✔")</f>
        <v/>
      </c>
      <c r="N515" s="98" t="str">
        <f>IF(IFERROR(VLOOKUP(A515,'13.鋼筋混凝土管工程'!C:D,1,0),"")="","","✔")</f>
        <v/>
      </c>
      <c r="O515" s="98" t="str">
        <f>IF(IFERROR(VLOOKUP(A515,'14.鋼版樁'!C:D,1,0),"")="","","✔")</f>
        <v/>
      </c>
      <c r="P515" s="98" t="str">
        <f>IF(IFERROR(VLOOKUP(A515,'15.路床 路基高程'!C:D,1,0),"")="","","✔")</f>
        <v/>
      </c>
      <c r="Q515" s="98" t="str">
        <f>IF(IFERROR(VLOOKUP(A515,'16.瀝青混凝土'!C:D,1,0),"")="","","✔")</f>
        <v/>
      </c>
      <c r="R515" s="98" t="str">
        <f>IF(IFERROR(VLOOKUP(A515,'17.景觀鋪面(一)'!C:D,1,0),"")="","","✔")</f>
        <v/>
      </c>
      <c r="S515" s="98" t="str">
        <f>IF(IFERROR(VLOOKUP(A515,'18.景觀鋪面(二)'!C:D,1,0),"")="","","✔")</f>
        <v/>
      </c>
      <c r="T515" s="98" t="str">
        <f>IF(IFERROR(VLOOKUP(A515,'19.預鑄緣石'!C:D,1,0),"")="","","✔")</f>
        <v/>
      </c>
      <c r="U515" s="98" t="str">
        <f>IF(IFERROR(VLOOKUP(A515,'20.鋼構工程吊裝'!C:D,1,0),"")="","","✔")</f>
        <v/>
      </c>
      <c r="V515" s="98" t="str">
        <f>IF(IFERROR(VLOOKUP(A515,'21.鋼構工程塗裝'!C:D,1,0),"")="","","✔")</f>
        <v/>
      </c>
      <c r="W515" s="98" t="str">
        <f>IF(IFERROR(VLOOKUP(A515,'22.排水設施(一)'!C:D,1,0),"")="","","✔")</f>
        <v/>
      </c>
      <c r="X515" s="98" t="str">
        <f>IF(IFERROR(VLOOKUP(A515,'23.排水設施(二)'!C:D,1,0),"")="","","✔")</f>
        <v/>
      </c>
      <c r="Y515" s="98" t="str">
        <f>IF(IFERROR(VLOOKUP(A515,'24.木構造'!C:D,1,0),"")="","","✔")</f>
        <v/>
      </c>
      <c r="Z515" s="98" t="str">
        <f>IF(IFERROR(VLOOKUP(A515,'25.管路'!C:D,1,0),"")="","","✔")</f>
        <v/>
      </c>
      <c r="AA515" s="98" t="str">
        <f>IF(IFERROR(VLOOKUP(A515,'26.植栽(移植)'!C:D,1,0),"")="","","✔")</f>
        <v/>
      </c>
      <c r="AB515" s="98" t="str">
        <f>IF(IFERROR(VLOOKUP(A515,'27.植栽(新植)'!C:D,1,0),"")="","","✔")</f>
        <v/>
      </c>
      <c r="AC515" s="98" t="str">
        <f>IF(IFERROR(VLOOKUP(A515,'28.照明'!C:D,1,0),"")="","","✔")</f>
        <v/>
      </c>
      <c r="AD515" s="98" t="str">
        <f>IF(IFERROR(VLOOKUP(A515,'29.既有橋梁拆除'!C:D,1,0),"")="","","✔")</f>
        <v/>
      </c>
    </row>
    <row r="516" spans="1:30" ht="21.75" customHeight="1" x14ac:dyDescent="0.25">
      <c r="A516" s="99">
        <v>45706</v>
      </c>
      <c r="B516" s="98" t="str">
        <f>IF(IFERROR(VLOOKUP(A516,'1.測量放樣'!C:D,1,0),"")="","","✔")</f>
        <v/>
      </c>
      <c r="C516" s="98" t="str">
        <f>IF(IFERROR(VLOOKUP(A516,'2.土方開挖'!C:D,1,0),"")="","","✔")</f>
        <v/>
      </c>
      <c r="D516" s="98" t="str">
        <f>IF(IFERROR(VLOOKUP(A516,'3.土方回填'!C:D,1,0),"")="","","✔")</f>
        <v/>
      </c>
      <c r="E516" s="98" t="str">
        <f>IF(IFERROR(VLOOKUP(A516,'4.鋼筋'!C:D,1,0),"")="","","✔")</f>
        <v/>
      </c>
      <c r="F516" s="98" t="str">
        <f>IF(IFERROR(VLOOKUP(A516,'5.模板'!C:D,1,0),"")="","","✔")</f>
        <v/>
      </c>
      <c r="G516" s="98" t="str">
        <f>IF(IFERROR(VLOOKUP(A516,'6.混凝土'!C:D,1,0),"")="","","✔")</f>
        <v/>
      </c>
      <c r="H516" s="98" t="str">
        <f>IF(IFERROR(VLOOKUP(A516,'7.植筋'!C:D,1,0),"")="","","✔")</f>
        <v/>
      </c>
      <c r="I516" s="98" t="str">
        <f>IF(IFERROR(VLOOKUP(A516,'8.預力混凝土基樁'!C:D,1,0),"")="","","✔")</f>
        <v/>
      </c>
      <c r="J516" s="98" t="str">
        <f>IF(IFERROR(VLOOKUP(A516,'9.砌塊石護岸'!C:D,1,0),"")="","","✔")</f>
        <v/>
      </c>
      <c r="K516" s="98" t="str">
        <f>IF(IFERROR(VLOOKUP(A516,'10.低水護岸'!C:D,1,0),"")="","","✔")</f>
        <v/>
      </c>
      <c r="L516" s="98" t="str">
        <f>IF(IFERROR(VLOOKUP(A516,'11.固床工'!C:D,1,0),"")="","","✔")</f>
        <v/>
      </c>
      <c r="M516" s="98" t="str">
        <f>IF(IFERROR(VLOOKUP(A516,'12.全套管基樁'!C:D,1,0),"")="","","✔")</f>
        <v/>
      </c>
      <c r="N516" s="98" t="str">
        <f>IF(IFERROR(VLOOKUP(A516,'13.鋼筋混凝土管工程'!C:D,1,0),"")="","","✔")</f>
        <v/>
      </c>
      <c r="O516" s="98" t="str">
        <f>IF(IFERROR(VLOOKUP(A516,'14.鋼版樁'!C:D,1,0),"")="","","✔")</f>
        <v/>
      </c>
      <c r="P516" s="98" t="str">
        <f>IF(IFERROR(VLOOKUP(A516,'15.路床 路基高程'!C:D,1,0),"")="","","✔")</f>
        <v/>
      </c>
      <c r="Q516" s="98" t="str">
        <f>IF(IFERROR(VLOOKUP(A516,'16.瀝青混凝土'!C:D,1,0),"")="","","✔")</f>
        <v/>
      </c>
      <c r="R516" s="98" t="str">
        <f>IF(IFERROR(VLOOKUP(A516,'17.景觀鋪面(一)'!C:D,1,0),"")="","","✔")</f>
        <v/>
      </c>
      <c r="S516" s="98" t="str">
        <f>IF(IFERROR(VLOOKUP(A516,'18.景觀鋪面(二)'!C:D,1,0),"")="","","✔")</f>
        <v/>
      </c>
      <c r="T516" s="98" t="str">
        <f>IF(IFERROR(VLOOKUP(A516,'19.預鑄緣石'!C:D,1,0),"")="","","✔")</f>
        <v/>
      </c>
      <c r="U516" s="98" t="str">
        <f>IF(IFERROR(VLOOKUP(A516,'20.鋼構工程吊裝'!C:D,1,0),"")="","","✔")</f>
        <v/>
      </c>
      <c r="V516" s="98" t="str">
        <f>IF(IFERROR(VLOOKUP(A516,'21.鋼構工程塗裝'!C:D,1,0),"")="","","✔")</f>
        <v/>
      </c>
      <c r="W516" s="98" t="str">
        <f>IF(IFERROR(VLOOKUP(A516,'22.排水設施(一)'!C:D,1,0),"")="","","✔")</f>
        <v/>
      </c>
      <c r="X516" s="98" t="str">
        <f>IF(IFERROR(VLOOKUP(A516,'23.排水設施(二)'!C:D,1,0),"")="","","✔")</f>
        <v/>
      </c>
      <c r="Y516" s="98" t="str">
        <f>IF(IFERROR(VLOOKUP(A516,'24.木構造'!C:D,1,0),"")="","","✔")</f>
        <v/>
      </c>
      <c r="Z516" s="98" t="str">
        <f>IF(IFERROR(VLOOKUP(A516,'25.管路'!C:D,1,0),"")="","","✔")</f>
        <v/>
      </c>
      <c r="AA516" s="98" t="str">
        <f>IF(IFERROR(VLOOKUP(A516,'26.植栽(移植)'!C:D,1,0),"")="","","✔")</f>
        <v/>
      </c>
      <c r="AB516" s="98" t="str">
        <f>IF(IFERROR(VLOOKUP(A516,'27.植栽(新植)'!C:D,1,0),"")="","","✔")</f>
        <v/>
      </c>
      <c r="AC516" s="98" t="str">
        <f>IF(IFERROR(VLOOKUP(A516,'28.照明'!C:D,1,0),"")="","","✔")</f>
        <v/>
      </c>
      <c r="AD516" s="98" t="str">
        <f>IF(IFERROR(VLOOKUP(A516,'29.既有橋梁拆除'!C:D,1,0),"")="","","✔")</f>
        <v/>
      </c>
    </row>
    <row r="517" spans="1:30" ht="21.75" customHeight="1" x14ac:dyDescent="0.25">
      <c r="A517" s="99">
        <v>45707</v>
      </c>
      <c r="B517" s="98" t="str">
        <f>IF(IFERROR(VLOOKUP(A517,'1.測量放樣'!C:D,1,0),"")="","","✔")</f>
        <v/>
      </c>
      <c r="C517" s="98" t="str">
        <f>IF(IFERROR(VLOOKUP(A517,'2.土方開挖'!C:D,1,0),"")="","","✔")</f>
        <v/>
      </c>
      <c r="D517" s="98" t="str">
        <f>IF(IFERROR(VLOOKUP(A517,'3.土方回填'!C:D,1,0),"")="","","✔")</f>
        <v/>
      </c>
      <c r="E517" s="98" t="str">
        <f>IF(IFERROR(VLOOKUP(A517,'4.鋼筋'!C:D,1,0),"")="","","✔")</f>
        <v/>
      </c>
      <c r="F517" s="98" t="str">
        <f>IF(IFERROR(VLOOKUP(A517,'5.模板'!C:D,1,0),"")="","","✔")</f>
        <v/>
      </c>
      <c r="G517" s="98" t="str">
        <f>IF(IFERROR(VLOOKUP(A517,'6.混凝土'!C:D,1,0),"")="","","✔")</f>
        <v/>
      </c>
      <c r="H517" s="98" t="str">
        <f>IF(IFERROR(VLOOKUP(A517,'7.植筋'!C:D,1,0),"")="","","✔")</f>
        <v/>
      </c>
      <c r="I517" s="98" t="str">
        <f>IF(IFERROR(VLOOKUP(A517,'8.預力混凝土基樁'!C:D,1,0),"")="","","✔")</f>
        <v/>
      </c>
      <c r="J517" s="98" t="str">
        <f>IF(IFERROR(VLOOKUP(A517,'9.砌塊石護岸'!C:D,1,0),"")="","","✔")</f>
        <v/>
      </c>
      <c r="K517" s="98" t="str">
        <f>IF(IFERROR(VLOOKUP(A517,'10.低水護岸'!C:D,1,0),"")="","","✔")</f>
        <v/>
      </c>
      <c r="L517" s="98" t="str">
        <f>IF(IFERROR(VLOOKUP(A517,'11.固床工'!C:D,1,0),"")="","","✔")</f>
        <v/>
      </c>
      <c r="M517" s="98" t="str">
        <f>IF(IFERROR(VLOOKUP(A517,'12.全套管基樁'!C:D,1,0),"")="","","✔")</f>
        <v/>
      </c>
      <c r="N517" s="98" t="str">
        <f>IF(IFERROR(VLOOKUP(A517,'13.鋼筋混凝土管工程'!C:D,1,0),"")="","","✔")</f>
        <v/>
      </c>
      <c r="O517" s="98" t="str">
        <f>IF(IFERROR(VLOOKUP(A517,'14.鋼版樁'!C:D,1,0),"")="","","✔")</f>
        <v/>
      </c>
      <c r="P517" s="98" t="str">
        <f>IF(IFERROR(VLOOKUP(A517,'15.路床 路基高程'!C:D,1,0),"")="","","✔")</f>
        <v/>
      </c>
      <c r="Q517" s="98" t="str">
        <f>IF(IFERROR(VLOOKUP(A517,'16.瀝青混凝土'!C:D,1,0),"")="","","✔")</f>
        <v/>
      </c>
      <c r="R517" s="98" t="str">
        <f>IF(IFERROR(VLOOKUP(A517,'17.景觀鋪面(一)'!C:D,1,0),"")="","","✔")</f>
        <v/>
      </c>
      <c r="S517" s="98" t="str">
        <f>IF(IFERROR(VLOOKUP(A517,'18.景觀鋪面(二)'!C:D,1,0),"")="","","✔")</f>
        <v/>
      </c>
      <c r="T517" s="98" t="str">
        <f>IF(IFERROR(VLOOKUP(A517,'19.預鑄緣石'!C:D,1,0),"")="","","✔")</f>
        <v/>
      </c>
      <c r="U517" s="98" t="str">
        <f>IF(IFERROR(VLOOKUP(A517,'20.鋼構工程吊裝'!C:D,1,0),"")="","","✔")</f>
        <v/>
      </c>
      <c r="V517" s="98" t="str">
        <f>IF(IFERROR(VLOOKUP(A517,'21.鋼構工程塗裝'!C:D,1,0),"")="","","✔")</f>
        <v/>
      </c>
      <c r="W517" s="98" t="str">
        <f>IF(IFERROR(VLOOKUP(A517,'22.排水設施(一)'!C:D,1,0),"")="","","✔")</f>
        <v/>
      </c>
      <c r="X517" s="98" t="str">
        <f>IF(IFERROR(VLOOKUP(A517,'23.排水設施(二)'!C:D,1,0),"")="","","✔")</f>
        <v/>
      </c>
      <c r="Y517" s="98" t="str">
        <f>IF(IFERROR(VLOOKUP(A517,'24.木構造'!C:D,1,0),"")="","","✔")</f>
        <v/>
      </c>
      <c r="Z517" s="98" t="str">
        <f>IF(IFERROR(VLOOKUP(A517,'25.管路'!C:D,1,0),"")="","","✔")</f>
        <v/>
      </c>
      <c r="AA517" s="98" t="str">
        <f>IF(IFERROR(VLOOKUP(A517,'26.植栽(移植)'!C:D,1,0),"")="","","✔")</f>
        <v/>
      </c>
      <c r="AB517" s="98" t="str">
        <f>IF(IFERROR(VLOOKUP(A517,'27.植栽(新植)'!C:D,1,0),"")="","","✔")</f>
        <v/>
      </c>
      <c r="AC517" s="98" t="str">
        <f>IF(IFERROR(VLOOKUP(A517,'28.照明'!C:D,1,0),"")="","","✔")</f>
        <v/>
      </c>
      <c r="AD517" s="98" t="str">
        <f>IF(IFERROR(VLOOKUP(A517,'29.既有橋梁拆除'!C:D,1,0),"")="","","✔")</f>
        <v/>
      </c>
    </row>
    <row r="518" spans="1:30" ht="21.75" customHeight="1" x14ac:dyDescent="0.25">
      <c r="A518" s="99">
        <v>45708</v>
      </c>
      <c r="B518" s="98" t="str">
        <f>IF(IFERROR(VLOOKUP(A518,'1.測量放樣'!C:D,1,0),"")="","","✔")</f>
        <v/>
      </c>
      <c r="C518" s="98" t="str">
        <f>IF(IFERROR(VLOOKUP(A518,'2.土方開挖'!C:D,1,0),"")="","","✔")</f>
        <v/>
      </c>
      <c r="D518" s="98" t="str">
        <f>IF(IFERROR(VLOOKUP(A518,'3.土方回填'!C:D,1,0),"")="","","✔")</f>
        <v/>
      </c>
      <c r="E518" s="98" t="str">
        <f>IF(IFERROR(VLOOKUP(A518,'4.鋼筋'!C:D,1,0),"")="","","✔")</f>
        <v/>
      </c>
      <c r="F518" s="98" t="str">
        <f>IF(IFERROR(VLOOKUP(A518,'5.模板'!C:D,1,0),"")="","","✔")</f>
        <v/>
      </c>
      <c r="G518" s="98" t="str">
        <f>IF(IFERROR(VLOOKUP(A518,'6.混凝土'!C:D,1,0),"")="","","✔")</f>
        <v/>
      </c>
      <c r="H518" s="98" t="str">
        <f>IF(IFERROR(VLOOKUP(A518,'7.植筋'!C:D,1,0),"")="","","✔")</f>
        <v/>
      </c>
      <c r="I518" s="98" t="str">
        <f>IF(IFERROR(VLOOKUP(A518,'8.預力混凝土基樁'!C:D,1,0),"")="","","✔")</f>
        <v/>
      </c>
      <c r="J518" s="98" t="str">
        <f>IF(IFERROR(VLOOKUP(A518,'9.砌塊石護岸'!C:D,1,0),"")="","","✔")</f>
        <v/>
      </c>
      <c r="K518" s="98" t="str">
        <f>IF(IFERROR(VLOOKUP(A518,'10.低水護岸'!C:D,1,0),"")="","","✔")</f>
        <v/>
      </c>
      <c r="L518" s="98" t="str">
        <f>IF(IFERROR(VLOOKUP(A518,'11.固床工'!C:D,1,0),"")="","","✔")</f>
        <v/>
      </c>
      <c r="M518" s="98" t="str">
        <f>IF(IFERROR(VLOOKUP(A518,'12.全套管基樁'!C:D,1,0),"")="","","✔")</f>
        <v/>
      </c>
      <c r="N518" s="98" t="str">
        <f>IF(IFERROR(VLOOKUP(A518,'13.鋼筋混凝土管工程'!C:D,1,0),"")="","","✔")</f>
        <v/>
      </c>
      <c r="O518" s="98" t="str">
        <f>IF(IFERROR(VLOOKUP(A518,'14.鋼版樁'!C:D,1,0),"")="","","✔")</f>
        <v/>
      </c>
      <c r="P518" s="98" t="str">
        <f>IF(IFERROR(VLOOKUP(A518,'15.路床 路基高程'!C:D,1,0),"")="","","✔")</f>
        <v/>
      </c>
      <c r="Q518" s="98" t="str">
        <f>IF(IFERROR(VLOOKUP(A518,'16.瀝青混凝土'!C:D,1,0),"")="","","✔")</f>
        <v/>
      </c>
      <c r="R518" s="98" t="str">
        <f>IF(IFERROR(VLOOKUP(A518,'17.景觀鋪面(一)'!C:D,1,0),"")="","","✔")</f>
        <v/>
      </c>
      <c r="S518" s="98" t="str">
        <f>IF(IFERROR(VLOOKUP(A518,'18.景觀鋪面(二)'!C:D,1,0),"")="","","✔")</f>
        <v/>
      </c>
      <c r="T518" s="98" t="str">
        <f>IF(IFERROR(VLOOKUP(A518,'19.預鑄緣石'!C:D,1,0),"")="","","✔")</f>
        <v/>
      </c>
      <c r="U518" s="98" t="str">
        <f>IF(IFERROR(VLOOKUP(A518,'20.鋼構工程吊裝'!C:D,1,0),"")="","","✔")</f>
        <v/>
      </c>
      <c r="V518" s="98" t="str">
        <f>IF(IFERROR(VLOOKUP(A518,'21.鋼構工程塗裝'!C:D,1,0),"")="","","✔")</f>
        <v/>
      </c>
      <c r="W518" s="98" t="str">
        <f>IF(IFERROR(VLOOKUP(A518,'22.排水設施(一)'!C:D,1,0),"")="","","✔")</f>
        <v/>
      </c>
      <c r="X518" s="98" t="str">
        <f>IF(IFERROR(VLOOKUP(A518,'23.排水設施(二)'!C:D,1,0),"")="","","✔")</f>
        <v/>
      </c>
      <c r="Y518" s="98" t="str">
        <f>IF(IFERROR(VLOOKUP(A518,'24.木構造'!C:D,1,0),"")="","","✔")</f>
        <v/>
      </c>
      <c r="Z518" s="98" t="str">
        <f>IF(IFERROR(VLOOKUP(A518,'25.管路'!C:D,1,0),"")="","","✔")</f>
        <v/>
      </c>
      <c r="AA518" s="98" t="str">
        <f>IF(IFERROR(VLOOKUP(A518,'26.植栽(移植)'!C:D,1,0),"")="","","✔")</f>
        <v/>
      </c>
      <c r="AB518" s="98" t="str">
        <f>IF(IFERROR(VLOOKUP(A518,'27.植栽(新植)'!C:D,1,0),"")="","","✔")</f>
        <v/>
      </c>
      <c r="AC518" s="98" t="str">
        <f>IF(IFERROR(VLOOKUP(A518,'28.照明'!C:D,1,0),"")="","","✔")</f>
        <v/>
      </c>
      <c r="AD518" s="98" t="str">
        <f>IF(IFERROR(VLOOKUP(A518,'29.既有橋梁拆除'!C:D,1,0),"")="","","✔")</f>
        <v/>
      </c>
    </row>
    <row r="519" spans="1:30" ht="21.75" customHeight="1" x14ac:dyDescent="0.25">
      <c r="A519" s="99">
        <v>45709</v>
      </c>
      <c r="B519" s="98" t="str">
        <f>IF(IFERROR(VLOOKUP(A519,'1.測量放樣'!C:D,1,0),"")="","","✔")</f>
        <v/>
      </c>
      <c r="C519" s="98" t="str">
        <f>IF(IFERROR(VLOOKUP(A519,'2.土方開挖'!C:D,1,0),"")="","","✔")</f>
        <v/>
      </c>
      <c r="D519" s="98" t="str">
        <f>IF(IFERROR(VLOOKUP(A519,'3.土方回填'!C:D,1,0),"")="","","✔")</f>
        <v/>
      </c>
      <c r="E519" s="98" t="str">
        <f>IF(IFERROR(VLOOKUP(A519,'4.鋼筋'!C:D,1,0),"")="","","✔")</f>
        <v/>
      </c>
      <c r="F519" s="98" t="str">
        <f>IF(IFERROR(VLOOKUP(A519,'5.模板'!C:D,1,0),"")="","","✔")</f>
        <v/>
      </c>
      <c r="G519" s="98" t="str">
        <f>IF(IFERROR(VLOOKUP(A519,'6.混凝土'!C:D,1,0),"")="","","✔")</f>
        <v/>
      </c>
      <c r="H519" s="98" t="str">
        <f>IF(IFERROR(VLOOKUP(A519,'7.植筋'!C:D,1,0),"")="","","✔")</f>
        <v/>
      </c>
      <c r="I519" s="98" t="str">
        <f>IF(IFERROR(VLOOKUP(A519,'8.預力混凝土基樁'!C:D,1,0),"")="","","✔")</f>
        <v/>
      </c>
      <c r="J519" s="98" t="str">
        <f>IF(IFERROR(VLOOKUP(A519,'9.砌塊石護岸'!C:D,1,0),"")="","","✔")</f>
        <v/>
      </c>
      <c r="K519" s="98" t="str">
        <f>IF(IFERROR(VLOOKUP(A519,'10.低水護岸'!C:D,1,0),"")="","","✔")</f>
        <v/>
      </c>
      <c r="L519" s="98" t="str">
        <f>IF(IFERROR(VLOOKUP(A519,'11.固床工'!C:D,1,0),"")="","","✔")</f>
        <v/>
      </c>
      <c r="M519" s="98" t="str">
        <f>IF(IFERROR(VLOOKUP(A519,'12.全套管基樁'!C:D,1,0),"")="","","✔")</f>
        <v/>
      </c>
      <c r="N519" s="98" t="str">
        <f>IF(IFERROR(VLOOKUP(A519,'13.鋼筋混凝土管工程'!C:D,1,0),"")="","","✔")</f>
        <v/>
      </c>
      <c r="O519" s="98" t="str">
        <f>IF(IFERROR(VLOOKUP(A519,'14.鋼版樁'!C:D,1,0),"")="","","✔")</f>
        <v/>
      </c>
      <c r="P519" s="98" t="str">
        <f>IF(IFERROR(VLOOKUP(A519,'15.路床 路基高程'!C:D,1,0),"")="","","✔")</f>
        <v/>
      </c>
      <c r="Q519" s="98" t="str">
        <f>IF(IFERROR(VLOOKUP(A519,'16.瀝青混凝土'!C:D,1,0),"")="","","✔")</f>
        <v/>
      </c>
      <c r="R519" s="98" t="str">
        <f>IF(IFERROR(VLOOKUP(A519,'17.景觀鋪面(一)'!C:D,1,0),"")="","","✔")</f>
        <v/>
      </c>
      <c r="S519" s="98" t="str">
        <f>IF(IFERROR(VLOOKUP(A519,'18.景觀鋪面(二)'!C:D,1,0),"")="","","✔")</f>
        <v/>
      </c>
      <c r="T519" s="98" t="str">
        <f>IF(IFERROR(VLOOKUP(A519,'19.預鑄緣石'!C:D,1,0),"")="","","✔")</f>
        <v/>
      </c>
      <c r="U519" s="98" t="str">
        <f>IF(IFERROR(VLOOKUP(A519,'20.鋼構工程吊裝'!C:D,1,0),"")="","","✔")</f>
        <v/>
      </c>
      <c r="V519" s="98" t="str">
        <f>IF(IFERROR(VLOOKUP(A519,'21.鋼構工程塗裝'!C:D,1,0),"")="","","✔")</f>
        <v/>
      </c>
      <c r="W519" s="98" t="str">
        <f>IF(IFERROR(VLOOKUP(A519,'22.排水設施(一)'!C:D,1,0),"")="","","✔")</f>
        <v/>
      </c>
      <c r="X519" s="98" t="str">
        <f>IF(IFERROR(VLOOKUP(A519,'23.排水設施(二)'!C:D,1,0),"")="","","✔")</f>
        <v/>
      </c>
      <c r="Y519" s="98" t="str">
        <f>IF(IFERROR(VLOOKUP(A519,'24.木構造'!C:D,1,0),"")="","","✔")</f>
        <v/>
      </c>
      <c r="Z519" s="98" t="str">
        <f>IF(IFERROR(VLOOKUP(A519,'25.管路'!C:D,1,0),"")="","","✔")</f>
        <v/>
      </c>
      <c r="AA519" s="98" t="str">
        <f>IF(IFERROR(VLOOKUP(A519,'26.植栽(移植)'!C:D,1,0),"")="","","✔")</f>
        <v/>
      </c>
      <c r="AB519" s="98" t="str">
        <f>IF(IFERROR(VLOOKUP(A519,'27.植栽(新植)'!C:D,1,0),"")="","","✔")</f>
        <v/>
      </c>
      <c r="AC519" s="98" t="str">
        <f>IF(IFERROR(VLOOKUP(A519,'28.照明'!C:D,1,0),"")="","","✔")</f>
        <v/>
      </c>
      <c r="AD519" s="98" t="str">
        <f>IF(IFERROR(VLOOKUP(A519,'29.既有橋梁拆除'!C:D,1,0),"")="","","✔")</f>
        <v/>
      </c>
    </row>
    <row r="520" spans="1:30" ht="21.75" customHeight="1" x14ac:dyDescent="0.25">
      <c r="A520" s="99">
        <v>45710</v>
      </c>
      <c r="B520" s="98" t="str">
        <f>IF(IFERROR(VLOOKUP(A520,'1.測量放樣'!C:D,1,0),"")="","","✔")</f>
        <v/>
      </c>
      <c r="C520" s="98" t="str">
        <f>IF(IFERROR(VLOOKUP(A520,'2.土方開挖'!C:D,1,0),"")="","","✔")</f>
        <v/>
      </c>
      <c r="D520" s="98" t="str">
        <f>IF(IFERROR(VLOOKUP(A520,'3.土方回填'!C:D,1,0),"")="","","✔")</f>
        <v/>
      </c>
      <c r="E520" s="98" t="str">
        <f>IF(IFERROR(VLOOKUP(A520,'4.鋼筋'!C:D,1,0),"")="","","✔")</f>
        <v/>
      </c>
      <c r="F520" s="98" t="str">
        <f>IF(IFERROR(VLOOKUP(A520,'5.模板'!C:D,1,0),"")="","","✔")</f>
        <v/>
      </c>
      <c r="G520" s="98" t="str">
        <f>IF(IFERROR(VLOOKUP(A520,'6.混凝土'!C:D,1,0),"")="","","✔")</f>
        <v/>
      </c>
      <c r="H520" s="98" t="str">
        <f>IF(IFERROR(VLOOKUP(A520,'7.植筋'!C:D,1,0),"")="","","✔")</f>
        <v/>
      </c>
      <c r="I520" s="98" t="str">
        <f>IF(IFERROR(VLOOKUP(A520,'8.預力混凝土基樁'!C:D,1,0),"")="","","✔")</f>
        <v/>
      </c>
      <c r="J520" s="98" t="str">
        <f>IF(IFERROR(VLOOKUP(A520,'9.砌塊石護岸'!C:D,1,0),"")="","","✔")</f>
        <v/>
      </c>
      <c r="K520" s="98" t="str">
        <f>IF(IFERROR(VLOOKUP(A520,'10.低水護岸'!C:D,1,0),"")="","","✔")</f>
        <v/>
      </c>
      <c r="L520" s="98" t="str">
        <f>IF(IFERROR(VLOOKUP(A520,'11.固床工'!C:D,1,0),"")="","","✔")</f>
        <v/>
      </c>
      <c r="M520" s="98" t="str">
        <f>IF(IFERROR(VLOOKUP(A520,'12.全套管基樁'!C:D,1,0),"")="","","✔")</f>
        <v/>
      </c>
      <c r="N520" s="98" t="str">
        <f>IF(IFERROR(VLOOKUP(A520,'13.鋼筋混凝土管工程'!C:D,1,0),"")="","","✔")</f>
        <v/>
      </c>
      <c r="O520" s="98" t="str">
        <f>IF(IFERROR(VLOOKUP(A520,'14.鋼版樁'!C:D,1,0),"")="","","✔")</f>
        <v/>
      </c>
      <c r="P520" s="98" t="str">
        <f>IF(IFERROR(VLOOKUP(A520,'15.路床 路基高程'!C:D,1,0),"")="","","✔")</f>
        <v/>
      </c>
      <c r="Q520" s="98" t="str">
        <f>IF(IFERROR(VLOOKUP(A520,'16.瀝青混凝土'!C:D,1,0),"")="","","✔")</f>
        <v/>
      </c>
      <c r="R520" s="98" t="str">
        <f>IF(IFERROR(VLOOKUP(A520,'17.景觀鋪面(一)'!C:D,1,0),"")="","","✔")</f>
        <v/>
      </c>
      <c r="S520" s="98" t="str">
        <f>IF(IFERROR(VLOOKUP(A520,'18.景觀鋪面(二)'!C:D,1,0),"")="","","✔")</f>
        <v/>
      </c>
      <c r="T520" s="98" t="str">
        <f>IF(IFERROR(VLOOKUP(A520,'19.預鑄緣石'!C:D,1,0),"")="","","✔")</f>
        <v/>
      </c>
      <c r="U520" s="98" t="str">
        <f>IF(IFERROR(VLOOKUP(A520,'20.鋼構工程吊裝'!C:D,1,0),"")="","","✔")</f>
        <v/>
      </c>
      <c r="V520" s="98" t="str">
        <f>IF(IFERROR(VLOOKUP(A520,'21.鋼構工程塗裝'!C:D,1,0),"")="","","✔")</f>
        <v/>
      </c>
      <c r="W520" s="98" t="str">
        <f>IF(IFERROR(VLOOKUP(A520,'22.排水設施(一)'!C:D,1,0),"")="","","✔")</f>
        <v/>
      </c>
      <c r="X520" s="98" t="str">
        <f>IF(IFERROR(VLOOKUP(A520,'23.排水設施(二)'!C:D,1,0),"")="","","✔")</f>
        <v/>
      </c>
      <c r="Y520" s="98" t="str">
        <f>IF(IFERROR(VLOOKUP(A520,'24.木構造'!C:D,1,0),"")="","","✔")</f>
        <v/>
      </c>
      <c r="Z520" s="98" t="str">
        <f>IF(IFERROR(VLOOKUP(A520,'25.管路'!C:D,1,0),"")="","","✔")</f>
        <v/>
      </c>
      <c r="AA520" s="98" t="str">
        <f>IF(IFERROR(VLOOKUP(A520,'26.植栽(移植)'!C:D,1,0),"")="","","✔")</f>
        <v/>
      </c>
      <c r="AB520" s="98" t="str">
        <f>IF(IFERROR(VLOOKUP(A520,'27.植栽(新植)'!C:D,1,0),"")="","","✔")</f>
        <v/>
      </c>
      <c r="AC520" s="98" t="str">
        <f>IF(IFERROR(VLOOKUP(A520,'28.照明'!C:D,1,0),"")="","","✔")</f>
        <v/>
      </c>
      <c r="AD520" s="98" t="str">
        <f>IF(IFERROR(VLOOKUP(A520,'29.既有橋梁拆除'!C:D,1,0),"")="","","✔")</f>
        <v/>
      </c>
    </row>
    <row r="521" spans="1:30" ht="21.75" customHeight="1" x14ac:dyDescent="0.25">
      <c r="A521" s="99">
        <v>45711</v>
      </c>
      <c r="B521" s="98" t="str">
        <f>IF(IFERROR(VLOOKUP(A521,'1.測量放樣'!C:D,1,0),"")="","","✔")</f>
        <v/>
      </c>
      <c r="C521" s="98" t="str">
        <f>IF(IFERROR(VLOOKUP(A521,'2.土方開挖'!C:D,1,0),"")="","","✔")</f>
        <v/>
      </c>
      <c r="D521" s="98" t="str">
        <f>IF(IFERROR(VLOOKUP(A521,'3.土方回填'!C:D,1,0),"")="","","✔")</f>
        <v/>
      </c>
      <c r="E521" s="98" t="str">
        <f>IF(IFERROR(VLOOKUP(A521,'4.鋼筋'!C:D,1,0),"")="","","✔")</f>
        <v/>
      </c>
      <c r="F521" s="98" t="str">
        <f>IF(IFERROR(VLOOKUP(A521,'5.模板'!C:D,1,0),"")="","","✔")</f>
        <v/>
      </c>
      <c r="G521" s="98" t="str">
        <f>IF(IFERROR(VLOOKUP(A521,'6.混凝土'!C:D,1,0),"")="","","✔")</f>
        <v/>
      </c>
      <c r="H521" s="98" t="str">
        <f>IF(IFERROR(VLOOKUP(A521,'7.植筋'!C:D,1,0),"")="","","✔")</f>
        <v/>
      </c>
      <c r="I521" s="98" t="str">
        <f>IF(IFERROR(VLOOKUP(A521,'8.預力混凝土基樁'!C:D,1,0),"")="","","✔")</f>
        <v/>
      </c>
      <c r="J521" s="98" t="str">
        <f>IF(IFERROR(VLOOKUP(A521,'9.砌塊石護岸'!C:D,1,0),"")="","","✔")</f>
        <v/>
      </c>
      <c r="K521" s="98" t="str">
        <f>IF(IFERROR(VLOOKUP(A521,'10.低水護岸'!C:D,1,0),"")="","","✔")</f>
        <v/>
      </c>
      <c r="L521" s="98" t="str">
        <f>IF(IFERROR(VLOOKUP(A521,'11.固床工'!C:D,1,0),"")="","","✔")</f>
        <v/>
      </c>
      <c r="M521" s="98" t="str">
        <f>IF(IFERROR(VLOOKUP(A521,'12.全套管基樁'!C:D,1,0),"")="","","✔")</f>
        <v/>
      </c>
      <c r="N521" s="98" t="str">
        <f>IF(IFERROR(VLOOKUP(A521,'13.鋼筋混凝土管工程'!C:D,1,0),"")="","","✔")</f>
        <v/>
      </c>
      <c r="O521" s="98" t="str">
        <f>IF(IFERROR(VLOOKUP(A521,'14.鋼版樁'!C:D,1,0),"")="","","✔")</f>
        <v/>
      </c>
      <c r="P521" s="98" t="str">
        <f>IF(IFERROR(VLOOKUP(A521,'15.路床 路基高程'!C:D,1,0),"")="","","✔")</f>
        <v/>
      </c>
      <c r="Q521" s="98" t="str">
        <f>IF(IFERROR(VLOOKUP(A521,'16.瀝青混凝土'!C:D,1,0),"")="","","✔")</f>
        <v/>
      </c>
      <c r="R521" s="98" t="str">
        <f>IF(IFERROR(VLOOKUP(A521,'17.景觀鋪面(一)'!C:D,1,0),"")="","","✔")</f>
        <v/>
      </c>
      <c r="S521" s="98" t="str">
        <f>IF(IFERROR(VLOOKUP(A521,'18.景觀鋪面(二)'!C:D,1,0),"")="","","✔")</f>
        <v/>
      </c>
      <c r="T521" s="98" t="str">
        <f>IF(IFERROR(VLOOKUP(A521,'19.預鑄緣石'!C:D,1,0),"")="","","✔")</f>
        <v/>
      </c>
      <c r="U521" s="98" t="str">
        <f>IF(IFERROR(VLOOKUP(A521,'20.鋼構工程吊裝'!C:D,1,0),"")="","","✔")</f>
        <v/>
      </c>
      <c r="V521" s="98" t="str">
        <f>IF(IFERROR(VLOOKUP(A521,'21.鋼構工程塗裝'!C:D,1,0),"")="","","✔")</f>
        <v/>
      </c>
      <c r="W521" s="98" t="str">
        <f>IF(IFERROR(VLOOKUP(A521,'22.排水設施(一)'!C:D,1,0),"")="","","✔")</f>
        <v/>
      </c>
      <c r="X521" s="98" t="str">
        <f>IF(IFERROR(VLOOKUP(A521,'23.排水設施(二)'!C:D,1,0),"")="","","✔")</f>
        <v/>
      </c>
      <c r="Y521" s="98" t="str">
        <f>IF(IFERROR(VLOOKUP(A521,'24.木構造'!C:D,1,0),"")="","","✔")</f>
        <v/>
      </c>
      <c r="Z521" s="98" t="str">
        <f>IF(IFERROR(VLOOKUP(A521,'25.管路'!C:D,1,0),"")="","","✔")</f>
        <v/>
      </c>
      <c r="AA521" s="98" t="str">
        <f>IF(IFERROR(VLOOKUP(A521,'26.植栽(移植)'!C:D,1,0),"")="","","✔")</f>
        <v/>
      </c>
      <c r="AB521" s="98" t="str">
        <f>IF(IFERROR(VLOOKUP(A521,'27.植栽(新植)'!C:D,1,0),"")="","","✔")</f>
        <v/>
      </c>
      <c r="AC521" s="98" t="str">
        <f>IF(IFERROR(VLOOKUP(A521,'28.照明'!C:D,1,0),"")="","","✔")</f>
        <v/>
      </c>
      <c r="AD521" s="98" t="str">
        <f>IF(IFERROR(VLOOKUP(A521,'29.既有橋梁拆除'!C:D,1,0),"")="","","✔")</f>
        <v/>
      </c>
    </row>
    <row r="522" spans="1:30" ht="21.75" customHeight="1" x14ac:dyDescent="0.25">
      <c r="A522" s="99">
        <v>45712</v>
      </c>
      <c r="B522" s="98" t="str">
        <f>IF(IFERROR(VLOOKUP(A522,'1.測量放樣'!C:D,1,0),"")="","","✔")</f>
        <v/>
      </c>
      <c r="C522" s="98" t="str">
        <f>IF(IFERROR(VLOOKUP(A522,'2.土方開挖'!C:D,1,0),"")="","","✔")</f>
        <v/>
      </c>
      <c r="D522" s="98" t="str">
        <f>IF(IFERROR(VLOOKUP(A522,'3.土方回填'!C:D,1,0),"")="","","✔")</f>
        <v/>
      </c>
      <c r="E522" s="98" t="str">
        <f>IF(IFERROR(VLOOKUP(A522,'4.鋼筋'!C:D,1,0),"")="","","✔")</f>
        <v/>
      </c>
      <c r="F522" s="98" t="str">
        <f>IF(IFERROR(VLOOKUP(A522,'5.模板'!C:D,1,0),"")="","","✔")</f>
        <v/>
      </c>
      <c r="G522" s="98" t="str">
        <f>IF(IFERROR(VLOOKUP(A522,'6.混凝土'!C:D,1,0),"")="","","✔")</f>
        <v/>
      </c>
      <c r="H522" s="98" t="str">
        <f>IF(IFERROR(VLOOKUP(A522,'7.植筋'!C:D,1,0),"")="","","✔")</f>
        <v/>
      </c>
      <c r="I522" s="98" t="str">
        <f>IF(IFERROR(VLOOKUP(A522,'8.預力混凝土基樁'!C:D,1,0),"")="","","✔")</f>
        <v/>
      </c>
      <c r="J522" s="98" t="str">
        <f>IF(IFERROR(VLOOKUP(A522,'9.砌塊石護岸'!C:D,1,0),"")="","","✔")</f>
        <v/>
      </c>
      <c r="K522" s="98" t="str">
        <f>IF(IFERROR(VLOOKUP(A522,'10.低水護岸'!C:D,1,0),"")="","","✔")</f>
        <v/>
      </c>
      <c r="L522" s="98" t="str">
        <f>IF(IFERROR(VLOOKUP(A522,'11.固床工'!C:D,1,0),"")="","","✔")</f>
        <v/>
      </c>
      <c r="M522" s="98" t="str">
        <f>IF(IFERROR(VLOOKUP(A522,'12.全套管基樁'!C:D,1,0),"")="","","✔")</f>
        <v/>
      </c>
      <c r="N522" s="98" t="str">
        <f>IF(IFERROR(VLOOKUP(A522,'13.鋼筋混凝土管工程'!C:D,1,0),"")="","","✔")</f>
        <v/>
      </c>
      <c r="O522" s="98" t="str">
        <f>IF(IFERROR(VLOOKUP(A522,'14.鋼版樁'!C:D,1,0),"")="","","✔")</f>
        <v/>
      </c>
      <c r="P522" s="98" t="str">
        <f>IF(IFERROR(VLOOKUP(A522,'15.路床 路基高程'!C:D,1,0),"")="","","✔")</f>
        <v/>
      </c>
      <c r="Q522" s="98" t="str">
        <f>IF(IFERROR(VLOOKUP(A522,'16.瀝青混凝土'!C:D,1,0),"")="","","✔")</f>
        <v/>
      </c>
      <c r="R522" s="98" t="str">
        <f>IF(IFERROR(VLOOKUP(A522,'17.景觀鋪面(一)'!C:D,1,0),"")="","","✔")</f>
        <v/>
      </c>
      <c r="S522" s="98" t="str">
        <f>IF(IFERROR(VLOOKUP(A522,'18.景觀鋪面(二)'!C:D,1,0),"")="","","✔")</f>
        <v/>
      </c>
      <c r="T522" s="98" t="str">
        <f>IF(IFERROR(VLOOKUP(A522,'19.預鑄緣石'!C:D,1,0),"")="","","✔")</f>
        <v/>
      </c>
      <c r="U522" s="98" t="str">
        <f>IF(IFERROR(VLOOKUP(A522,'20.鋼構工程吊裝'!C:D,1,0),"")="","","✔")</f>
        <v/>
      </c>
      <c r="V522" s="98" t="str">
        <f>IF(IFERROR(VLOOKUP(A522,'21.鋼構工程塗裝'!C:D,1,0),"")="","","✔")</f>
        <v/>
      </c>
      <c r="W522" s="98" t="str">
        <f>IF(IFERROR(VLOOKUP(A522,'22.排水設施(一)'!C:D,1,0),"")="","","✔")</f>
        <v/>
      </c>
      <c r="X522" s="98" t="str">
        <f>IF(IFERROR(VLOOKUP(A522,'23.排水設施(二)'!C:D,1,0),"")="","","✔")</f>
        <v/>
      </c>
      <c r="Y522" s="98" t="str">
        <f>IF(IFERROR(VLOOKUP(A522,'24.木構造'!C:D,1,0),"")="","","✔")</f>
        <v/>
      </c>
      <c r="Z522" s="98" t="str">
        <f>IF(IFERROR(VLOOKUP(A522,'25.管路'!C:D,1,0),"")="","","✔")</f>
        <v/>
      </c>
      <c r="AA522" s="98" t="str">
        <f>IF(IFERROR(VLOOKUP(A522,'26.植栽(移植)'!C:D,1,0),"")="","","✔")</f>
        <v/>
      </c>
      <c r="AB522" s="98" t="str">
        <f>IF(IFERROR(VLOOKUP(A522,'27.植栽(新植)'!C:D,1,0),"")="","","✔")</f>
        <v/>
      </c>
      <c r="AC522" s="98" t="str">
        <f>IF(IFERROR(VLOOKUP(A522,'28.照明'!C:D,1,0),"")="","","✔")</f>
        <v/>
      </c>
      <c r="AD522" s="98" t="str">
        <f>IF(IFERROR(VLOOKUP(A522,'29.既有橋梁拆除'!C:D,1,0),"")="","","✔")</f>
        <v/>
      </c>
    </row>
    <row r="523" spans="1:30" ht="21.75" customHeight="1" x14ac:dyDescent="0.25">
      <c r="A523" s="99">
        <v>45713</v>
      </c>
      <c r="B523" s="98" t="str">
        <f>IF(IFERROR(VLOOKUP(A523,'1.測量放樣'!C:D,1,0),"")="","","✔")</f>
        <v/>
      </c>
      <c r="C523" s="98" t="str">
        <f>IF(IFERROR(VLOOKUP(A523,'2.土方開挖'!C:D,1,0),"")="","","✔")</f>
        <v/>
      </c>
      <c r="D523" s="98" t="str">
        <f>IF(IFERROR(VLOOKUP(A523,'3.土方回填'!C:D,1,0),"")="","","✔")</f>
        <v/>
      </c>
      <c r="E523" s="98" t="str">
        <f>IF(IFERROR(VLOOKUP(A523,'4.鋼筋'!C:D,1,0),"")="","","✔")</f>
        <v/>
      </c>
      <c r="F523" s="98" t="str">
        <f>IF(IFERROR(VLOOKUP(A523,'5.模板'!C:D,1,0),"")="","","✔")</f>
        <v/>
      </c>
      <c r="G523" s="98" t="str">
        <f>IF(IFERROR(VLOOKUP(A523,'6.混凝土'!C:D,1,0),"")="","","✔")</f>
        <v/>
      </c>
      <c r="H523" s="98" t="str">
        <f>IF(IFERROR(VLOOKUP(A523,'7.植筋'!C:D,1,0),"")="","","✔")</f>
        <v/>
      </c>
      <c r="I523" s="98" t="str">
        <f>IF(IFERROR(VLOOKUP(A523,'8.預力混凝土基樁'!C:D,1,0),"")="","","✔")</f>
        <v/>
      </c>
      <c r="J523" s="98" t="str">
        <f>IF(IFERROR(VLOOKUP(A523,'9.砌塊石護岸'!C:D,1,0),"")="","","✔")</f>
        <v/>
      </c>
      <c r="K523" s="98" t="str">
        <f>IF(IFERROR(VLOOKUP(A523,'10.低水護岸'!C:D,1,0),"")="","","✔")</f>
        <v/>
      </c>
      <c r="L523" s="98" t="str">
        <f>IF(IFERROR(VLOOKUP(A523,'11.固床工'!C:D,1,0),"")="","","✔")</f>
        <v/>
      </c>
      <c r="M523" s="98" t="str">
        <f>IF(IFERROR(VLOOKUP(A523,'12.全套管基樁'!C:D,1,0),"")="","","✔")</f>
        <v/>
      </c>
      <c r="N523" s="98" t="str">
        <f>IF(IFERROR(VLOOKUP(A523,'13.鋼筋混凝土管工程'!C:D,1,0),"")="","","✔")</f>
        <v/>
      </c>
      <c r="O523" s="98" t="str">
        <f>IF(IFERROR(VLOOKUP(A523,'14.鋼版樁'!C:D,1,0),"")="","","✔")</f>
        <v/>
      </c>
      <c r="P523" s="98" t="str">
        <f>IF(IFERROR(VLOOKUP(A523,'15.路床 路基高程'!C:D,1,0),"")="","","✔")</f>
        <v/>
      </c>
      <c r="Q523" s="98" t="str">
        <f>IF(IFERROR(VLOOKUP(A523,'16.瀝青混凝土'!C:D,1,0),"")="","","✔")</f>
        <v/>
      </c>
      <c r="R523" s="98" t="str">
        <f>IF(IFERROR(VLOOKUP(A523,'17.景觀鋪面(一)'!C:D,1,0),"")="","","✔")</f>
        <v/>
      </c>
      <c r="S523" s="98" t="str">
        <f>IF(IFERROR(VLOOKUP(A523,'18.景觀鋪面(二)'!C:D,1,0),"")="","","✔")</f>
        <v/>
      </c>
      <c r="T523" s="98" t="str">
        <f>IF(IFERROR(VLOOKUP(A523,'19.預鑄緣石'!C:D,1,0),"")="","","✔")</f>
        <v/>
      </c>
      <c r="U523" s="98" t="str">
        <f>IF(IFERROR(VLOOKUP(A523,'20.鋼構工程吊裝'!C:D,1,0),"")="","","✔")</f>
        <v/>
      </c>
      <c r="V523" s="98" t="str">
        <f>IF(IFERROR(VLOOKUP(A523,'21.鋼構工程塗裝'!C:D,1,0),"")="","","✔")</f>
        <v/>
      </c>
      <c r="W523" s="98" t="str">
        <f>IF(IFERROR(VLOOKUP(A523,'22.排水設施(一)'!C:D,1,0),"")="","","✔")</f>
        <v/>
      </c>
      <c r="X523" s="98" t="str">
        <f>IF(IFERROR(VLOOKUP(A523,'23.排水設施(二)'!C:D,1,0),"")="","","✔")</f>
        <v/>
      </c>
      <c r="Y523" s="98" t="str">
        <f>IF(IFERROR(VLOOKUP(A523,'24.木構造'!C:D,1,0),"")="","","✔")</f>
        <v/>
      </c>
      <c r="Z523" s="98" t="str">
        <f>IF(IFERROR(VLOOKUP(A523,'25.管路'!C:D,1,0),"")="","","✔")</f>
        <v/>
      </c>
      <c r="AA523" s="98" t="str">
        <f>IF(IFERROR(VLOOKUP(A523,'26.植栽(移植)'!C:D,1,0),"")="","","✔")</f>
        <v/>
      </c>
      <c r="AB523" s="98" t="str">
        <f>IF(IFERROR(VLOOKUP(A523,'27.植栽(新植)'!C:D,1,0),"")="","","✔")</f>
        <v/>
      </c>
      <c r="AC523" s="98" t="str">
        <f>IF(IFERROR(VLOOKUP(A523,'28.照明'!C:D,1,0),"")="","","✔")</f>
        <v/>
      </c>
      <c r="AD523" s="98" t="str">
        <f>IF(IFERROR(VLOOKUP(A523,'29.既有橋梁拆除'!C:D,1,0),"")="","","✔")</f>
        <v/>
      </c>
    </row>
    <row r="524" spans="1:30" ht="21.75" customHeight="1" x14ac:dyDescent="0.25">
      <c r="A524" s="99">
        <v>45714</v>
      </c>
      <c r="B524" s="98" t="str">
        <f>IF(IFERROR(VLOOKUP(A524,'1.測量放樣'!C:D,1,0),"")="","","✔")</f>
        <v/>
      </c>
      <c r="C524" s="98" t="str">
        <f>IF(IFERROR(VLOOKUP(A524,'2.土方開挖'!C:D,1,0),"")="","","✔")</f>
        <v/>
      </c>
      <c r="D524" s="98" t="str">
        <f>IF(IFERROR(VLOOKUP(A524,'3.土方回填'!C:D,1,0),"")="","","✔")</f>
        <v/>
      </c>
      <c r="E524" s="98" t="str">
        <f>IF(IFERROR(VLOOKUP(A524,'4.鋼筋'!C:D,1,0),"")="","","✔")</f>
        <v/>
      </c>
      <c r="F524" s="98" t="str">
        <f>IF(IFERROR(VLOOKUP(A524,'5.模板'!C:D,1,0),"")="","","✔")</f>
        <v/>
      </c>
      <c r="G524" s="98" t="str">
        <f>IF(IFERROR(VLOOKUP(A524,'6.混凝土'!C:D,1,0),"")="","","✔")</f>
        <v/>
      </c>
      <c r="H524" s="98" t="str">
        <f>IF(IFERROR(VLOOKUP(A524,'7.植筋'!C:D,1,0),"")="","","✔")</f>
        <v/>
      </c>
      <c r="I524" s="98" t="str">
        <f>IF(IFERROR(VLOOKUP(A524,'8.預力混凝土基樁'!C:D,1,0),"")="","","✔")</f>
        <v/>
      </c>
      <c r="J524" s="98" t="str">
        <f>IF(IFERROR(VLOOKUP(A524,'9.砌塊石護岸'!C:D,1,0),"")="","","✔")</f>
        <v/>
      </c>
      <c r="K524" s="98" t="str">
        <f>IF(IFERROR(VLOOKUP(A524,'10.低水護岸'!C:D,1,0),"")="","","✔")</f>
        <v/>
      </c>
      <c r="L524" s="98" t="str">
        <f>IF(IFERROR(VLOOKUP(A524,'11.固床工'!C:D,1,0),"")="","","✔")</f>
        <v/>
      </c>
      <c r="M524" s="98" t="str">
        <f>IF(IFERROR(VLOOKUP(A524,'12.全套管基樁'!C:D,1,0),"")="","","✔")</f>
        <v/>
      </c>
      <c r="N524" s="98" t="str">
        <f>IF(IFERROR(VLOOKUP(A524,'13.鋼筋混凝土管工程'!C:D,1,0),"")="","","✔")</f>
        <v/>
      </c>
      <c r="O524" s="98" t="str">
        <f>IF(IFERROR(VLOOKUP(A524,'14.鋼版樁'!C:D,1,0),"")="","","✔")</f>
        <v/>
      </c>
      <c r="P524" s="98" t="str">
        <f>IF(IFERROR(VLOOKUP(A524,'15.路床 路基高程'!C:D,1,0),"")="","","✔")</f>
        <v/>
      </c>
      <c r="Q524" s="98" t="str">
        <f>IF(IFERROR(VLOOKUP(A524,'16.瀝青混凝土'!C:D,1,0),"")="","","✔")</f>
        <v/>
      </c>
      <c r="R524" s="98" t="str">
        <f>IF(IFERROR(VLOOKUP(A524,'17.景觀鋪面(一)'!C:D,1,0),"")="","","✔")</f>
        <v/>
      </c>
      <c r="S524" s="98" t="str">
        <f>IF(IFERROR(VLOOKUP(A524,'18.景觀鋪面(二)'!C:D,1,0),"")="","","✔")</f>
        <v/>
      </c>
      <c r="T524" s="98" t="str">
        <f>IF(IFERROR(VLOOKUP(A524,'19.預鑄緣石'!C:D,1,0),"")="","","✔")</f>
        <v/>
      </c>
      <c r="U524" s="98" t="str">
        <f>IF(IFERROR(VLOOKUP(A524,'20.鋼構工程吊裝'!C:D,1,0),"")="","","✔")</f>
        <v/>
      </c>
      <c r="V524" s="98" t="str">
        <f>IF(IFERROR(VLOOKUP(A524,'21.鋼構工程塗裝'!C:D,1,0),"")="","","✔")</f>
        <v/>
      </c>
      <c r="W524" s="98" t="str">
        <f>IF(IFERROR(VLOOKUP(A524,'22.排水設施(一)'!C:D,1,0),"")="","","✔")</f>
        <v/>
      </c>
      <c r="X524" s="98" t="str">
        <f>IF(IFERROR(VLOOKUP(A524,'23.排水設施(二)'!C:D,1,0),"")="","","✔")</f>
        <v/>
      </c>
      <c r="Y524" s="98" t="str">
        <f>IF(IFERROR(VLOOKUP(A524,'24.木構造'!C:D,1,0),"")="","","✔")</f>
        <v/>
      </c>
      <c r="Z524" s="98" t="str">
        <f>IF(IFERROR(VLOOKUP(A524,'25.管路'!C:D,1,0),"")="","","✔")</f>
        <v/>
      </c>
      <c r="AA524" s="98" t="str">
        <f>IF(IFERROR(VLOOKUP(A524,'26.植栽(移植)'!C:D,1,0),"")="","","✔")</f>
        <v/>
      </c>
      <c r="AB524" s="98" t="str">
        <f>IF(IFERROR(VLOOKUP(A524,'27.植栽(新植)'!C:D,1,0),"")="","","✔")</f>
        <v/>
      </c>
      <c r="AC524" s="98" t="str">
        <f>IF(IFERROR(VLOOKUP(A524,'28.照明'!C:D,1,0),"")="","","✔")</f>
        <v/>
      </c>
      <c r="AD524" s="98" t="str">
        <f>IF(IFERROR(VLOOKUP(A524,'29.既有橋梁拆除'!C:D,1,0),"")="","","✔")</f>
        <v/>
      </c>
    </row>
    <row r="525" spans="1:30" ht="21.75" customHeight="1" x14ac:dyDescent="0.25">
      <c r="A525" s="99">
        <v>45715</v>
      </c>
      <c r="B525" s="98" t="str">
        <f>IF(IFERROR(VLOOKUP(A525,'1.測量放樣'!C:D,1,0),"")="","","✔")</f>
        <v/>
      </c>
      <c r="C525" s="98" t="str">
        <f>IF(IFERROR(VLOOKUP(A525,'2.土方開挖'!C:D,1,0),"")="","","✔")</f>
        <v/>
      </c>
      <c r="D525" s="98" t="str">
        <f>IF(IFERROR(VLOOKUP(A525,'3.土方回填'!C:D,1,0),"")="","","✔")</f>
        <v/>
      </c>
      <c r="E525" s="98" t="str">
        <f>IF(IFERROR(VLOOKUP(A525,'4.鋼筋'!C:D,1,0),"")="","","✔")</f>
        <v/>
      </c>
      <c r="F525" s="98" t="str">
        <f>IF(IFERROR(VLOOKUP(A525,'5.模板'!C:D,1,0),"")="","","✔")</f>
        <v/>
      </c>
      <c r="G525" s="98" t="str">
        <f>IF(IFERROR(VLOOKUP(A525,'6.混凝土'!C:D,1,0),"")="","","✔")</f>
        <v/>
      </c>
      <c r="H525" s="98" t="str">
        <f>IF(IFERROR(VLOOKUP(A525,'7.植筋'!C:D,1,0),"")="","","✔")</f>
        <v/>
      </c>
      <c r="I525" s="98" t="str">
        <f>IF(IFERROR(VLOOKUP(A525,'8.預力混凝土基樁'!C:D,1,0),"")="","","✔")</f>
        <v/>
      </c>
      <c r="J525" s="98" t="str">
        <f>IF(IFERROR(VLOOKUP(A525,'9.砌塊石護岸'!C:D,1,0),"")="","","✔")</f>
        <v/>
      </c>
      <c r="K525" s="98" t="str">
        <f>IF(IFERROR(VLOOKUP(A525,'10.低水護岸'!C:D,1,0),"")="","","✔")</f>
        <v/>
      </c>
      <c r="L525" s="98" t="str">
        <f>IF(IFERROR(VLOOKUP(A525,'11.固床工'!C:D,1,0),"")="","","✔")</f>
        <v/>
      </c>
      <c r="M525" s="98" t="str">
        <f>IF(IFERROR(VLOOKUP(A525,'12.全套管基樁'!C:D,1,0),"")="","","✔")</f>
        <v/>
      </c>
      <c r="N525" s="98" t="str">
        <f>IF(IFERROR(VLOOKUP(A525,'13.鋼筋混凝土管工程'!C:D,1,0),"")="","","✔")</f>
        <v/>
      </c>
      <c r="O525" s="98" t="str">
        <f>IF(IFERROR(VLOOKUP(A525,'14.鋼版樁'!C:D,1,0),"")="","","✔")</f>
        <v/>
      </c>
      <c r="P525" s="98" t="str">
        <f>IF(IFERROR(VLOOKUP(A525,'15.路床 路基高程'!C:D,1,0),"")="","","✔")</f>
        <v/>
      </c>
      <c r="Q525" s="98" t="str">
        <f>IF(IFERROR(VLOOKUP(A525,'16.瀝青混凝土'!C:D,1,0),"")="","","✔")</f>
        <v/>
      </c>
      <c r="R525" s="98" t="str">
        <f>IF(IFERROR(VLOOKUP(A525,'17.景觀鋪面(一)'!C:D,1,0),"")="","","✔")</f>
        <v/>
      </c>
      <c r="S525" s="98" t="str">
        <f>IF(IFERROR(VLOOKUP(A525,'18.景觀鋪面(二)'!C:D,1,0),"")="","","✔")</f>
        <v/>
      </c>
      <c r="T525" s="98" t="str">
        <f>IF(IFERROR(VLOOKUP(A525,'19.預鑄緣石'!C:D,1,0),"")="","","✔")</f>
        <v/>
      </c>
      <c r="U525" s="98" t="str">
        <f>IF(IFERROR(VLOOKUP(A525,'20.鋼構工程吊裝'!C:D,1,0),"")="","","✔")</f>
        <v/>
      </c>
      <c r="V525" s="98" t="str">
        <f>IF(IFERROR(VLOOKUP(A525,'21.鋼構工程塗裝'!C:D,1,0),"")="","","✔")</f>
        <v/>
      </c>
      <c r="W525" s="98" t="str">
        <f>IF(IFERROR(VLOOKUP(A525,'22.排水設施(一)'!C:D,1,0),"")="","","✔")</f>
        <v/>
      </c>
      <c r="X525" s="98" t="str">
        <f>IF(IFERROR(VLOOKUP(A525,'23.排水設施(二)'!C:D,1,0),"")="","","✔")</f>
        <v/>
      </c>
      <c r="Y525" s="98" t="str">
        <f>IF(IFERROR(VLOOKUP(A525,'24.木構造'!C:D,1,0),"")="","","✔")</f>
        <v/>
      </c>
      <c r="Z525" s="98" t="str">
        <f>IF(IFERROR(VLOOKUP(A525,'25.管路'!C:D,1,0),"")="","","✔")</f>
        <v/>
      </c>
      <c r="AA525" s="98" t="str">
        <f>IF(IFERROR(VLOOKUP(A525,'26.植栽(移植)'!C:D,1,0),"")="","","✔")</f>
        <v/>
      </c>
      <c r="AB525" s="98" t="str">
        <f>IF(IFERROR(VLOOKUP(A525,'27.植栽(新植)'!C:D,1,0),"")="","","✔")</f>
        <v/>
      </c>
      <c r="AC525" s="98" t="str">
        <f>IF(IFERROR(VLOOKUP(A525,'28.照明'!C:D,1,0),"")="","","✔")</f>
        <v/>
      </c>
      <c r="AD525" s="98" t="str">
        <f>IF(IFERROR(VLOOKUP(A525,'29.既有橋梁拆除'!C:D,1,0),"")="","","✔")</f>
        <v/>
      </c>
    </row>
    <row r="526" spans="1:30" ht="21.75" customHeight="1" x14ac:dyDescent="0.25">
      <c r="A526" s="99">
        <v>45716</v>
      </c>
      <c r="B526" s="98" t="str">
        <f>IF(IFERROR(VLOOKUP(A526,'1.測量放樣'!C:D,1,0),"")="","","✔")</f>
        <v/>
      </c>
      <c r="C526" s="98" t="str">
        <f>IF(IFERROR(VLOOKUP(A526,'2.土方開挖'!C:D,1,0),"")="","","✔")</f>
        <v/>
      </c>
      <c r="D526" s="98" t="str">
        <f>IF(IFERROR(VLOOKUP(A526,'3.土方回填'!C:D,1,0),"")="","","✔")</f>
        <v/>
      </c>
      <c r="E526" s="98" t="str">
        <f>IF(IFERROR(VLOOKUP(A526,'4.鋼筋'!C:D,1,0),"")="","","✔")</f>
        <v/>
      </c>
      <c r="F526" s="98" t="str">
        <f>IF(IFERROR(VLOOKUP(A526,'5.模板'!C:D,1,0),"")="","","✔")</f>
        <v/>
      </c>
      <c r="G526" s="98" t="str">
        <f>IF(IFERROR(VLOOKUP(A526,'6.混凝土'!C:D,1,0),"")="","","✔")</f>
        <v/>
      </c>
      <c r="H526" s="98" t="str">
        <f>IF(IFERROR(VLOOKUP(A526,'7.植筋'!C:D,1,0),"")="","","✔")</f>
        <v/>
      </c>
      <c r="I526" s="98" t="str">
        <f>IF(IFERROR(VLOOKUP(A526,'8.預力混凝土基樁'!C:D,1,0),"")="","","✔")</f>
        <v/>
      </c>
      <c r="J526" s="98" t="str">
        <f>IF(IFERROR(VLOOKUP(A526,'9.砌塊石護岸'!C:D,1,0),"")="","","✔")</f>
        <v/>
      </c>
      <c r="K526" s="98" t="str">
        <f>IF(IFERROR(VLOOKUP(A526,'10.低水護岸'!C:D,1,0),"")="","","✔")</f>
        <v/>
      </c>
      <c r="L526" s="98" t="str">
        <f>IF(IFERROR(VLOOKUP(A526,'11.固床工'!C:D,1,0),"")="","","✔")</f>
        <v/>
      </c>
      <c r="M526" s="98" t="str">
        <f>IF(IFERROR(VLOOKUP(A526,'12.全套管基樁'!C:D,1,0),"")="","","✔")</f>
        <v/>
      </c>
      <c r="N526" s="98" t="str">
        <f>IF(IFERROR(VLOOKUP(A526,'13.鋼筋混凝土管工程'!C:D,1,0),"")="","","✔")</f>
        <v/>
      </c>
      <c r="O526" s="98" t="str">
        <f>IF(IFERROR(VLOOKUP(A526,'14.鋼版樁'!C:D,1,0),"")="","","✔")</f>
        <v/>
      </c>
      <c r="P526" s="98" t="str">
        <f>IF(IFERROR(VLOOKUP(A526,'15.路床 路基高程'!C:D,1,0),"")="","","✔")</f>
        <v/>
      </c>
      <c r="Q526" s="98" t="str">
        <f>IF(IFERROR(VLOOKUP(A526,'16.瀝青混凝土'!C:D,1,0),"")="","","✔")</f>
        <v/>
      </c>
      <c r="R526" s="98" t="str">
        <f>IF(IFERROR(VLOOKUP(A526,'17.景觀鋪面(一)'!C:D,1,0),"")="","","✔")</f>
        <v/>
      </c>
      <c r="S526" s="98" t="str">
        <f>IF(IFERROR(VLOOKUP(A526,'18.景觀鋪面(二)'!C:D,1,0),"")="","","✔")</f>
        <v/>
      </c>
      <c r="T526" s="98" t="str">
        <f>IF(IFERROR(VLOOKUP(A526,'19.預鑄緣石'!C:D,1,0),"")="","","✔")</f>
        <v/>
      </c>
      <c r="U526" s="98" t="str">
        <f>IF(IFERROR(VLOOKUP(A526,'20.鋼構工程吊裝'!C:D,1,0),"")="","","✔")</f>
        <v/>
      </c>
      <c r="V526" s="98" t="str">
        <f>IF(IFERROR(VLOOKUP(A526,'21.鋼構工程塗裝'!C:D,1,0),"")="","","✔")</f>
        <v/>
      </c>
      <c r="W526" s="98" t="str">
        <f>IF(IFERROR(VLOOKUP(A526,'22.排水設施(一)'!C:D,1,0),"")="","","✔")</f>
        <v/>
      </c>
      <c r="X526" s="98" t="str">
        <f>IF(IFERROR(VLOOKUP(A526,'23.排水設施(二)'!C:D,1,0),"")="","","✔")</f>
        <v/>
      </c>
      <c r="Y526" s="98" t="str">
        <f>IF(IFERROR(VLOOKUP(A526,'24.木構造'!C:D,1,0),"")="","","✔")</f>
        <v/>
      </c>
      <c r="Z526" s="98" t="str">
        <f>IF(IFERROR(VLOOKUP(A526,'25.管路'!C:D,1,0),"")="","","✔")</f>
        <v/>
      </c>
      <c r="AA526" s="98" t="str">
        <f>IF(IFERROR(VLOOKUP(A526,'26.植栽(移植)'!C:D,1,0),"")="","","✔")</f>
        <v/>
      </c>
      <c r="AB526" s="98" t="str">
        <f>IF(IFERROR(VLOOKUP(A526,'27.植栽(新植)'!C:D,1,0),"")="","","✔")</f>
        <v/>
      </c>
      <c r="AC526" s="98" t="str">
        <f>IF(IFERROR(VLOOKUP(A526,'28.照明'!C:D,1,0),"")="","","✔")</f>
        <v/>
      </c>
      <c r="AD526" s="98" t="str">
        <f>IF(IFERROR(VLOOKUP(A526,'29.既有橋梁拆除'!C:D,1,0),"")="","","✔")</f>
        <v/>
      </c>
    </row>
    <row r="527" spans="1:30" ht="21.75" customHeight="1" x14ac:dyDescent="0.25">
      <c r="A527" s="99">
        <v>45717</v>
      </c>
      <c r="B527" s="98" t="str">
        <f>IF(IFERROR(VLOOKUP(A527,'1.測量放樣'!C:D,1,0),"")="","","✔")</f>
        <v/>
      </c>
      <c r="C527" s="98" t="str">
        <f>IF(IFERROR(VLOOKUP(A527,'2.土方開挖'!C:D,1,0),"")="","","✔")</f>
        <v/>
      </c>
      <c r="D527" s="98" t="str">
        <f>IF(IFERROR(VLOOKUP(A527,'3.土方回填'!C:D,1,0),"")="","","✔")</f>
        <v/>
      </c>
      <c r="E527" s="98" t="str">
        <f>IF(IFERROR(VLOOKUP(A527,'4.鋼筋'!C:D,1,0),"")="","","✔")</f>
        <v/>
      </c>
      <c r="F527" s="98" t="str">
        <f>IF(IFERROR(VLOOKUP(A527,'5.模板'!C:D,1,0),"")="","","✔")</f>
        <v/>
      </c>
      <c r="G527" s="98" t="str">
        <f>IF(IFERROR(VLOOKUP(A527,'6.混凝土'!C:D,1,0),"")="","","✔")</f>
        <v/>
      </c>
      <c r="H527" s="98" t="str">
        <f>IF(IFERROR(VLOOKUP(A527,'7.植筋'!C:D,1,0),"")="","","✔")</f>
        <v/>
      </c>
      <c r="I527" s="98" t="str">
        <f>IF(IFERROR(VLOOKUP(A527,'8.預力混凝土基樁'!C:D,1,0),"")="","","✔")</f>
        <v/>
      </c>
      <c r="J527" s="98" t="str">
        <f>IF(IFERROR(VLOOKUP(A527,'9.砌塊石護岸'!C:D,1,0),"")="","","✔")</f>
        <v/>
      </c>
      <c r="K527" s="98" t="str">
        <f>IF(IFERROR(VLOOKUP(A527,'10.低水護岸'!C:D,1,0),"")="","","✔")</f>
        <v/>
      </c>
      <c r="L527" s="98" t="str">
        <f>IF(IFERROR(VLOOKUP(A527,'11.固床工'!C:D,1,0),"")="","","✔")</f>
        <v/>
      </c>
      <c r="M527" s="98" t="str">
        <f>IF(IFERROR(VLOOKUP(A527,'12.全套管基樁'!C:D,1,0),"")="","","✔")</f>
        <v/>
      </c>
      <c r="N527" s="98" t="str">
        <f>IF(IFERROR(VLOOKUP(A527,'13.鋼筋混凝土管工程'!C:D,1,0),"")="","","✔")</f>
        <v/>
      </c>
      <c r="O527" s="98" t="str">
        <f>IF(IFERROR(VLOOKUP(A527,'14.鋼版樁'!C:D,1,0),"")="","","✔")</f>
        <v/>
      </c>
      <c r="P527" s="98" t="str">
        <f>IF(IFERROR(VLOOKUP(A527,'15.路床 路基高程'!C:D,1,0),"")="","","✔")</f>
        <v/>
      </c>
      <c r="Q527" s="98" t="str">
        <f>IF(IFERROR(VLOOKUP(A527,'16.瀝青混凝土'!C:D,1,0),"")="","","✔")</f>
        <v/>
      </c>
      <c r="R527" s="98" t="str">
        <f>IF(IFERROR(VLOOKUP(A527,'17.景觀鋪面(一)'!C:D,1,0),"")="","","✔")</f>
        <v/>
      </c>
      <c r="S527" s="98" t="str">
        <f>IF(IFERROR(VLOOKUP(A527,'18.景觀鋪面(二)'!C:D,1,0),"")="","","✔")</f>
        <v/>
      </c>
      <c r="T527" s="98" t="str">
        <f>IF(IFERROR(VLOOKUP(A527,'19.預鑄緣石'!C:D,1,0),"")="","","✔")</f>
        <v/>
      </c>
      <c r="U527" s="98" t="str">
        <f>IF(IFERROR(VLOOKUP(A527,'20.鋼構工程吊裝'!C:D,1,0),"")="","","✔")</f>
        <v/>
      </c>
      <c r="V527" s="98" t="str">
        <f>IF(IFERROR(VLOOKUP(A527,'21.鋼構工程塗裝'!C:D,1,0),"")="","","✔")</f>
        <v/>
      </c>
      <c r="W527" s="98" t="str">
        <f>IF(IFERROR(VLOOKUP(A527,'22.排水設施(一)'!C:D,1,0),"")="","","✔")</f>
        <v/>
      </c>
      <c r="X527" s="98" t="str">
        <f>IF(IFERROR(VLOOKUP(A527,'23.排水設施(二)'!C:D,1,0),"")="","","✔")</f>
        <v/>
      </c>
      <c r="Y527" s="98" t="str">
        <f>IF(IFERROR(VLOOKUP(A527,'24.木構造'!C:D,1,0),"")="","","✔")</f>
        <v/>
      </c>
      <c r="Z527" s="98" t="str">
        <f>IF(IFERROR(VLOOKUP(A527,'25.管路'!C:D,1,0),"")="","","✔")</f>
        <v/>
      </c>
      <c r="AA527" s="98" t="str">
        <f>IF(IFERROR(VLOOKUP(A527,'26.植栽(移植)'!C:D,1,0),"")="","","✔")</f>
        <v/>
      </c>
      <c r="AB527" s="98" t="str">
        <f>IF(IFERROR(VLOOKUP(A527,'27.植栽(新植)'!C:D,1,0),"")="","","✔")</f>
        <v/>
      </c>
      <c r="AC527" s="98" t="str">
        <f>IF(IFERROR(VLOOKUP(A527,'28.照明'!C:D,1,0),"")="","","✔")</f>
        <v/>
      </c>
      <c r="AD527" s="98" t="str">
        <f>IF(IFERROR(VLOOKUP(A527,'29.既有橋梁拆除'!C:D,1,0),"")="","","✔")</f>
        <v/>
      </c>
    </row>
    <row r="528" spans="1:30" ht="21.75" customHeight="1" x14ac:dyDescent="0.25">
      <c r="A528" s="99">
        <v>45718</v>
      </c>
      <c r="B528" s="98" t="str">
        <f>IF(IFERROR(VLOOKUP(A528,'1.測量放樣'!C:D,1,0),"")="","","✔")</f>
        <v/>
      </c>
      <c r="C528" s="98" t="str">
        <f>IF(IFERROR(VLOOKUP(A528,'2.土方開挖'!C:D,1,0),"")="","","✔")</f>
        <v/>
      </c>
      <c r="D528" s="98" t="str">
        <f>IF(IFERROR(VLOOKUP(A528,'3.土方回填'!C:D,1,0),"")="","","✔")</f>
        <v/>
      </c>
      <c r="E528" s="98" t="str">
        <f>IF(IFERROR(VLOOKUP(A528,'4.鋼筋'!C:D,1,0),"")="","","✔")</f>
        <v/>
      </c>
      <c r="F528" s="98" t="str">
        <f>IF(IFERROR(VLOOKUP(A528,'5.模板'!C:D,1,0),"")="","","✔")</f>
        <v/>
      </c>
      <c r="G528" s="98" t="str">
        <f>IF(IFERROR(VLOOKUP(A528,'6.混凝土'!C:D,1,0),"")="","","✔")</f>
        <v/>
      </c>
      <c r="H528" s="98" t="str">
        <f>IF(IFERROR(VLOOKUP(A528,'7.植筋'!C:D,1,0),"")="","","✔")</f>
        <v/>
      </c>
      <c r="I528" s="98" t="str">
        <f>IF(IFERROR(VLOOKUP(A528,'8.預力混凝土基樁'!C:D,1,0),"")="","","✔")</f>
        <v/>
      </c>
      <c r="J528" s="98" t="str">
        <f>IF(IFERROR(VLOOKUP(A528,'9.砌塊石護岸'!C:D,1,0),"")="","","✔")</f>
        <v/>
      </c>
      <c r="K528" s="98" t="str">
        <f>IF(IFERROR(VLOOKUP(A528,'10.低水護岸'!C:D,1,0),"")="","","✔")</f>
        <v/>
      </c>
      <c r="L528" s="98" t="str">
        <f>IF(IFERROR(VLOOKUP(A528,'11.固床工'!C:D,1,0),"")="","","✔")</f>
        <v/>
      </c>
      <c r="M528" s="98" t="str">
        <f>IF(IFERROR(VLOOKUP(A528,'12.全套管基樁'!C:D,1,0),"")="","","✔")</f>
        <v/>
      </c>
      <c r="N528" s="98" t="str">
        <f>IF(IFERROR(VLOOKUP(A528,'13.鋼筋混凝土管工程'!C:D,1,0),"")="","","✔")</f>
        <v/>
      </c>
      <c r="O528" s="98" t="str">
        <f>IF(IFERROR(VLOOKUP(A528,'14.鋼版樁'!C:D,1,0),"")="","","✔")</f>
        <v/>
      </c>
      <c r="P528" s="98" t="str">
        <f>IF(IFERROR(VLOOKUP(A528,'15.路床 路基高程'!C:D,1,0),"")="","","✔")</f>
        <v/>
      </c>
      <c r="Q528" s="98" t="str">
        <f>IF(IFERROR(VLOOKUP(A528,'16.瀝青混凝土'!C:D,1,0),"")="","","✔")</f>
        <v/>
      </c>
      <c r="R528" s="98" t="str">
        <f>IF(IFERROR(VLOOKUP(A528,'17.景觀鋪面(一)'!C:D,1,0),"")="","","✔")</f>
        <v/>
      </c>
      <c r="S528" s="98" t="str">
        <f>IF(IFERROR(VLOOKUP(A528,'18.景觀鋪面(二)'!C:D,1,0),"")="","","✔")</f>
        <v/>
      </c>
      <c r="T528" s="98" t="str">
        <f>IF(IFERROR(VLOOKUP(A528,'19.預鑄緣石'!C:D,1,0),"")="","","✔")</f>
        <v/>
      </c>
      <c r="U528" s="98" t="str">
        <f>IF(IFERROR(VLOOKUP(A528,'20.鋼構工程吊裝'!C:D,1,0),"")="","","✔")</f>
        <v/>
      </c>
      <c r="V528" s="98" t="str">
        <f>IF(IFERROR(VLOOKUP(A528,'21.鋼構工程塗裝'!C:D,1,0),"")="","","✔")</f>
        <v/>
      </c>
      <c r="W528" s="98" t="str">
        <f>IF(IFERROR(VLOOKUP(A528,'22.排水設施(一)'!C:D,1,0),"")="","","✔")</f>
        <v/>
      </c>
      <c r="X528" s="98" t="str">
        <f>IF(IFERROR(VLOOKUP(A528,'23.排水設施(二)'!C:D,1,0),"")="","","✔")</f>
        <v/>
      </c>
      <c r="Y528" s="98" t="str">
        <f>IF(IFERROR(VLOOKUP(A528,'24.木構造'!C:D,1,0),"")="","","✔")</f>
        <v/>
      </c>
      <c r="Z528" s="98" t="str">
        <f>IF(IFERROR(VLOOKUP(A528,'25.管路'!C:D,1,0),"")="","","✔")</f>
        <v/>
      </c>
      <c r="AA528" s="98" t="str">
        <f>IF(IFERROR(VLOOKUP(A528,'26.植栽(移植)'!C:D,1,0),"")="","","✔")</f>
        <v/>
      </c>
      <c r="AB528" s="98" t="str">
        <f>IF(IFERROR(VLOOKUP(A528,'27.植栽(新植)'!C:D,1,0),"")="","","✔")</f>
        <v/>
      </c>
      <c r="AC528" s="98" t="str">
        <f>IF(IFERROR(VLOOKUP(A528,'28.照明'!C:D,1,0),"")="","","✔")</f>
        <v/>
      </c>
      <c r="AD528" s="98" t="str">
        <f>IF(IFERROR(VLOOKUP(A528,'29.既有橋梁拆除'!C:D,1,0),"")="","","✔")</f>
        <v/>
      </c>
    </row>
    <row r="529" spans="1:30" ht="21.75" customHeight="1" x14ac:dyDescent="0.25">
      <c r="A529" s="99">
        <v>45719</v>
      </c>
      <c r="B529" s="98" t="str">
        <f>IF(IFERROR(VLOOKUP(A529,'1.測量放樣'!C:D,1,0),"")="","","✔")</f>
        <v/>
      </c>
      <c r="C529" s="98" t="str">
        <f>IF(IFERROR(VLOOKUP(A529,'2.土方開挖'!C:D,1,0),"")="","","✔")</f>
        <v/>
      </c>
      <c r="D529" s="98" t="str">
        <f>IF(IFERROR(VLOOKUP(A529,'3.土方回填'!C:D,1,0),"")="","","✔")</f>
        <v/>
      </c>
      <c r="E529" s="98" t="str">
        <f>IF(IFERROR(VLOOKUP(A529,'4.鋼筋'!C:D,1,0),"")="","","✔")</f>
        <v/>
      </c>
      <c r="F529" s="98" t="str">
        <f>IF(IFERROR(VLOOKUP(A529,'5.模板'!C:D,1,0),"")="","","✔")</f>
        <v/>
      </c>
      <c r="G529" s="98" t="str">
        <f>IF(IFERROR(VLOOKUP(A529,'6.混凝土'!C:D,1,0),"")="","","✔")</f>
        <v/>
      </c>
      <c r="H529" s="98" t="str">
        <f>IF(IFERROR(VLOOKUP(A529,'7.植筋'!C:D,1,0),"")="","","✔")</f>
        <v/>
      </c>
      <c r="I529" s="98" t="str">
        <f>IF(IFERROR(VLOOKUP(A529,'8.預力混凝土基樁'!C:D,1,0),"")="","","✔")</f>
        <v/>
      </c>
      <c r="J529" s="98" t="str">
        <f>IF(IFERROR(VLOOKUP(A529,'9.砌塊石護岸'!C:D,1,0),"")="","","✔")</f>
        <v/>
      </c>
      <c r="K529" s="98" t="str">
        <f>IF(IFERROR(VLOOKUP(A529,'10.低水護岸'!C:D,1,0),"")="","","✔")</f>
        <v/>
      </c>
      <c r="L529" s="98" t="str">
        <f>IF(IFERROR(VLOOKUP(A529,'11.固床工'!C:D,1,0),"")="","","✔")</f>
        <v/>
      </c>
      <c r="M529" s="98" t="str">
        <f>IF(IFERROR(VLOOKUP(A529,'12.全套管基樁'!C:D,1,0),"")="","","✔")</f>
        <v/>
      </c>
      <c r="N529" s="98" t="str">
        <f>IF(IFERROR(VLOOKUP(A529,'13.鋼筋混凝土管工程'!C:D,1,0),"")="","","✔")</f>
        <v/>
      </c>
      <c r="O529" s="98" t="str">
        <f>IF(IFERROR(VLOOKUP(A529,'14.鋼版樁'!C:D,1,0),"")="","","✔")</f>
        <v/>
      </c>
      <c r="P529" s="98" t="str">
        <f>IF(IFERROR(VLOOKUP(A529,'15.路床 路基高程'!C:D,1,0),"")="","","✔")</f>
        <v/>
      </c>
      <c r="Q529" s="98" t="str">
        <f>IF(IFERROR(VLOOKUP(A529,'16.瀝青混凝土'!C:D,1,0),"")="","","✔")</f>
        <v/>
      </c>
      <c r="R529" s="98" t="str">
        <f>IF(IFERROR(VLOOKUP(A529,'17.景觀鋪面(一)'!C:D,1,0),"")="","","✔")</f>
        <v/>
      </c>
      <c r="S529" s="98" t="str">
        <f>IF(IFERROR(VLOOKUP(A529,'18.景觀鋪面(二)'!C:D,1,0),"")="","","✔")</f>
        <v/>
      </c>
      <c r="T529" s="98" t="str">
        <f>IF(IFERROR(VLOOKUP(A529,'19.預鑄緣石'!C:D,1,0),"")="","","✔")</f>
        <v/>
      </c>
      <c r="U529" s="98" t="str">
        <f>IF(IFERROR(VLOOKUP(A529,'20.鋼構工程吊裝'!C:D,1,0),"")="","","✔")</f>
        <v/>
      </c>
      <c r="V529" s="98" t="str">
        <f>IF(IFERROR(VLOOKUP(A529,'21.鋼構工程塗裝'!C:D,1,0),"")="","","✔")</f>
        <v/>
      </c>
      <c r="W529" s="98" t="str">
        <f>IF(IFERROR(VLOOKUP(A529,'22.排水設施(一)'!C:D,1,0),"")="","","✔")</f>
        <v/>
      </c>
      <c r="X529" s="98" t="str">
        <f>IF(IFERROR(VLOOKUP(A529,'23.排水設施(二)'!C:D,1,0),"")="","","✔")</f>
        <v/>
      </c>
      <c r="Y529" s="98" t="str">
        <f>IF(IFERROR(VLOOKUP(A529,'24.木構造'!C:D,1,0),"")="","","✔")</f>
        <v/>
      </c>
      <c r="Z529" s="98" t="str">
        <f>IF(IFERROR(VLOOKUP(A529,'25.管路'!C:D,1,0),"")="","","✔")</f>
        <v/>
      </c>
      <c r="AA529" s="98" t="str">
        <f>IF(IFERROR(VLOOKUP(A529,'26.植栽(移植)'!C:D,1,0),"")="","","✔")</f>
        <v/>
      </c>
      <c r="AB529" s="98" t="str">
        <f>IF(IFERROR(VLOOKUP(A529,'27.植栽(新植)'!C:D,1,0),"")="","","✔")</f>
        <v/>
      </c>
      <c r="AC529" s="98" t="str">
        <f>IF(IFERROR(VLOOKUP(A529,'28.照明'!C:D,1,0),"")="","","✔")</f>
        <v/>
      </c>
      <c r="AD529" s="98" t="str">
        <f>IF(IFERROR(VLOOKUP(A529,'29.既有橋梁拆除'!C:D,1,0),"")="","","✔")</f>
        <v/>
      </c>
    </row>
    <row r="530" spans="1:30" ht="21.75" customHeight="1" x14ac:dyDescent="0.25">
      <c r="A530" s="99">
        <v>45720</v>
      </c>
      <c r="B530" s="98" t="str">
        <f>IF(IFERROR(VLOOKUP(A530,'1.測量放樣'!C:D,1,0),"")="","","✔")</f>
        <v/>
      </c>
      <c r="C530" s="98" t="str">
        <f>IF(IFERROR(VLOOKUP(A530,'2.土方開挖'!C:D,1,0),"")="","","✔")</f>
        <v/>
      </c>
      <c r="D530" s="98" t="str">
        <f>IF(IFERROR(VLOOKUP(A530,'3.土方回填'!C:D,1,0),"")="","","✔")</f>
        <v/>
      </c>
      <c r="E530" s="98" t="str">
        <f>IF(IFERROR(VLOOKUP(A530,'4.鋼筋'!C:D,1,0),"")="","","✔")</f>
        <v/>
      </c>
      <c r="F530" s="98" t="str">
        <f>IF(IFERROR(VLOOKUP(A530,'5.模板'!C:D,1,0),"")="","","✔")</f>
        <v/>
      </c>
      <c r="G530" s="98" t="str">
        <f>IF(IFERROR(VLOOKUP(A530,'6.混凝土'!C:D,1,0),"")="","","✔")</f>
        <v/>
      </c>
      <c r="H530" s="98" t="str">
        <f>IF(IFERROR(VLOOKUP(A530,'7.植筋'!C:D,1,0),"")="","","✔")</f>
        <v/>
      </c>
      <c r="I530" s="98" t="str">
        <f>IF(IFERROR(VLOOKUP(A530,'8.預力混凝土基樁'!C:D,1,0),"")="","","✔")</f>
        <v/>
      </c>
      <c r="J530" s="98" t="str">
        <f>IF(IFERROR(VLOOKUP(A530,'9.砌塊石護岸'!C:D,1,0),"")="","","✔")</f>
        <v/>
      </c>
      <c r="K530" s="98" t="str">
        <f>IF(IFERROR(VLOOKUP(A530,'10.低水護岸'!C:D,1,0),"")="","","✔")</f>
        <v/>
      </c>
      <c r="L530" s="98" t="str">
        <f>IF(IFERROR(VLOOKUP(A530,'11.固床工'!C:D,1,0),"")="","","✔")</f>
        <v/>
      </c>
      <c r="M530" s="98" t="str">
        <f>IF(IFERROR(VLOOKUP(A530,'12.全套管基樁'!C:D,1,0),"")="","","✔")</f>
        <v/>
      </c>
      <c r="N530" s="98" t="str">
        <f>IF(IFERROR(VLOOKUP(A530,'13.鋼筋混凝土管工程'!C:D,1,0),"")="","","✔")</f>
        <v/>
      </c>
      <c r="O530" s="98" t="str">
        <f>IF(IFERROR(VLOOKUP(A530,'14.鋼版樁'!C:D,1,0),"")="","","✔")</f>
        <v/>
      </c>
      <c r="P530" s="98" t="str">
        <f>IF(IFERROR(VLOOKUP(A530,'15.路床 路基高程'!C:D,1,0),"")="","","✔")</f>
        <v/>
      </c>
      <c r="Q530" s="98" t="str">
        <f>IF(IFERROR(VLOOKUP(A530,'16.瀝青混凝土'!C:D,1,0),"")="","","✔")</f>
        <v/>
      </c>
      <c r="R530" s="98" t="str">
        <f>IF(IFERROR(VLOOKUP(A530,'17.景觀鋪面(一)'!C:D,1,0),"")="","","✔")</f>
        <v/>
      </c>
      <c r="S530" s="98" t="str">
        <f>IF(IFERROR(VLOOKUP(A530,'18.景觀鋪面(二)'!C:D,1,0),"")="","","✔")</f>
        <v/>
      </c>
      <c r="T530" s="98" t="str">
        <f>IF(IFERROR(VLOOKUP(A530,'19.預鑄緣石'!C:D,1,0),"")="","","✔")</f>
        <v/>
      </c>
      <c r="U530" s="98" t="str">
        <f>IF(IFERROR(VLOOKUP(A530,'20.鋼構工程吊裝'!C:D,1,0),"")="","","✔")</f>
        <v/>
      </c>
      <c r="V530" s="98" t="str">
        <f>IF(IFERROR(VLOOKUP(A530,'21.鋼構工程塗裝'!C:D,1,0),"")="","","✔")</f>
        <v/>
      </c>
      <c r="W530" s="98" t="str">
        <f>IF(IFERROR(VLOOKUP(A530,'22.排水設施(一)'!C:D,1,0),"")="","","✔")</f>
        <v/>
      </c>
      <c r="X530" s="98" t="str">
        <f>IF(IFERROR(VLOOKUP(A530,'23.排水設施(二)'!C:D,1,0),"")="","","✔")</f>
        <v/>
      </c>
      <c r="Y530" s="98" t="str">
        <f>IF(IFERROR(VLOOKUP(A530,'24.木構造'!C:D,1,0),"")="","","✔")</f>
        <v/>
      </c>
      <c r="Z530" s="98" t="str">
        <f>IF(IFERROR(VLOOKUP(A530,'25.管路'!C:D,1,0),"")="","","✔")</f>
        <v/>
      </c>
      <c r="AA530" s="98" t="str">
        <f>IF(IFERROR(VLOOKUP(A530,'26.植栽(移植)'!C:D,1,0),"")="","","✔")</f>
        <v/>
      </c>
      <c r="AB530" s="98" t="str">
        <f>IF(IFERROR(VLOOKUP(A530,'27.植栽(新植)'!C:D,1,0),"")="","","✔")</f>
        <v/>
      </c>
      <c r="AC530" s="98" t="str">
        <f>IF(IFERROR(VLOOKUP(A530,'28.照明'!C:D,1,0),"")="","","✔")</f>
        <v/>
      </c>
      <c r="AD530" s="98" t="str">
        <f>IF(IFERROR(VLOOKUP(A530,'29.既有橋梁拆除'!C:D,1,0),"")="","","✔")</f>
        <v/>
      </c>
    </row>
    <row r="531" spans="1:30" ht="21.75" customHeight="1" x14ac:dyDescent="0.25">
      <c r="A531" s="99">
        <v>45721</v>
      </c>
      <c r="B531" s="98" t="str">
        <f>IF(IFERROR(VLOOKUP(A531,'1.測量放樣'!C:D,1,0),"")="","","✔")</f>
        <v/>
      </c>
      <c r="C531" s="98" t="str">
        <f>IF(IFERROR(VLOOKUP(A531,'2.土方開挖'!C:D,1,0),"")="","","✔")</f>
        <v/>
      </c>
      <c r="D531" s="98" t="str">
        <f>IF(IFERROR(VLOOKUP(A531,'3.土方回填'!C:D,1,0),"")="","","✔")</f>
        <v/>
      </c>
      <c r="E531" s="98" t="str">
        <f>IF(IFERROR(VLOOKUP(A531,'4.鋼筋'!C:D,1,0),"")="","","✔")</f>
        <v/>
      </c>
      <c r="F531" s="98" t="str">
        <f>IF(IFERROR(VLOOKUP(A531,'5.模板'!C:D,1,0),"")="","","✔")</f>
        <v/>
      </c>
      <c r="G531" s="98" t="str">
        <f>IF(IFERROR(VLOOKUP(A531,'6.混凝土'!C:D,1,0),"")="","","✔")</f>
        <v/>
      </c>
      <c r="H531" s="98" t="str">
        <f>IF(IFERROR(VLOOKUP(A531,'7.植筋'!C:D,1,0),"")="","","✔")</f>
        <v/>
      </c>
      <c r="I531" s="98" t="str">
        <f>IF(IFERROR(VLOOKUP(A531,'8.預力混凝土基樁'!C:D,1,0),"")="","","✔")</f>
        <v/>
      </c>
      <c r="J531" s="98" t="str">
        <f>IF(IFERROR(VLOOKUP(A531,'9.砌塊石護岸'!C:D,1,0),"")="","","✔")</f>
        <v/>
      </c>
      <c r="K531" s="98" t="str">
        <f>IF(IFERROR(VLOOKUP(A531,'10.低水護岸'!C:D,1,0),"")="","","✔")</f>
        <v/>
      </c>
      <c r="L531" s="98" t="str">
        <f>IF(IFERROR(VLOOKUP(A531,'11.固床工'!C:D,1,0),"")="","","✔")</f>
        <v/>
      </c>
      <c r="M531" s="98" t="str">
        <f>IF(IFERROR(VLOOKUP(A531,'12.全套管基樁'!C:D,1,0),"")="","","✔")</f>
        <v/>
      </c>
      <c r="N531" s="98" t="str">
        <f>IF(IFERROR(VLOOKUP(A531,'13.鋼筋混凝土管工程'!C:D,1,0),"")="","","✔")</f>
        <v/>
      </c>
      <c r="O531" s="98" t="str">
        <f>IF(IFERROR(VLOOKUP(A531,'14.鋼版樁'!C:D,1,0),"")="","","✔")</f>
        <v/>
      </c>
      <c r="P531" s="98" t="str">
        <f>IF(IFERROR(VLOOKUP(A531,'15.路床 路基高程'!C:D,1,0),"")="","","✔")</f>
        <v/>
      </c>
      <c r="Q531" s="98" t="str">
        <f>IF(IFERROR(VLOOKUP(A531,'16.瀝青混凝土'!C:D,1,0),"")="","","✔")</f>
        <v/>
      </c>
      <c r="R531" s="98" t="str">
        <f>IF(IFERROR(VLOOKUP(A531,'17.景觀鋪面(一)'!C:D,1,0),"")="","","✔")</f>
        <v/>
      </c>
      <c r="S531" s="98" t="str">
        <f>IF(IFERROR(VLOOKUP(A531,'18.景觀鋪面(二)'!C:D,1,0),"")="","","✔")</f>
        <v/>
      </c>
      <c r="T531" s="98" t="str">
        <f>IF(IFERROR(VLOOKUP(A531,'19.預鑄緣石'!C:D,1,0),"")="","","✔")</f>
        <v/>
      </c>
      <c r="U531" s="98" t="str">
        <f>IF(IFERROR(VLOOKUP(A531,'20.鋼構工程吊裝'!C:D,1,0),"")="","","✔")</f>
        <v/>
      </c>
      <c r="V531" s="98" t="str">
        <f>IF(IFERROR(VLOOKUP(A531,'21.鋼構工程塗裝'!C:D,1,0),"")="","","✔")</f>
        <v/>
      </c>
      <c r="W531" s="98" t="str">
        <f>IF(IFERROR(VLOOKUP(A531,'22.排水設施(一)'!C:D,1,0),"")="","","✔")</f>
        <v/>
      </c>
      <c r="X531" s="98" t="str">
        <f>IF(IFERROR(VLOOKUP(A531,'23.排水設施(二)'!C:D,1,0),"")="","","✔")</f>
        <v/>
      </c>
      <c r="Y531" s="98" t="str">
        <f>IF(IFERROR(VLOOKUP(A531,'24.木構造'!C:D,1,0),"")="","","✔")</f>
        <v/>
      </c>
      <c r="Z531" s="98" t="str">
        <f>IF(IFERROR(VLOOKUP(A531,'25.管路'!C:D,1,0),"")="","","✔")</f>
        <v/>
      </c>
      <c r="AA531" s="98" t="str">
        <f>IF(IFERROR(VLOOKUP(A531,'26.植栽(移植)'!C:D,1,0),"")="","","✔")</f>
        <v/>
      </c>
      <c r="AB531" s="98" t="str">
        <f>IF(IFERROR(VLOOKUP(A531,'27.植栽(新植)'!C:D,1,0),"")="","","✔")</f>
        <v/>
      </c>
      <c r="AC531" s="98" t="str">
        <f>IF(IFERROR(VLOOKUP(A531,'28.照明'!C:D,1,0),"")="","","✔")</f>
        <v/>
      </c>
      <c r="AD531" s="98" t="str">
        <f>IF(IFERROR(VLOOKUP(A531,'29.既有橋梁拆除'!C:D,1,0),"")="","","✔")</f>
        <v/>
      </c>
    </row>
    <row r="532" spans="1:30" ht="21.75" customHeight="1" x14ac:dyDescent="0.25">
      <c r="A532" s="99">
        <v>45722</v>
      </c>
      <c r="B532" s="98" t="str">
        <f>IF(IFERROR(VLOOKUP(A532,'1.測量放樣'!C:D,1,0),"")="","","✔")</f>
        <v/>
      </c>
      <c r="C532" s="98" t="str">
        <f>IF(IFERROR(VLOOKUP(A532,'2.土方開挖'!C:D,1,0),"")="","","✔")</f>
        <v/>
      </c>
      <c r="D532" s="98" t="str">
        <f>IF(IFERROR(VLOOKUP(A532,'3.土方回填'!C:D,1,0),"")="","","✔")</f>
        <v/>
      </c>
      <c r="E532" s="98" t="str">
        <f>IF(IFERROR(VLOOKUP(A532,'4.鋼筋'!C:D,1,0),"")="","","✔")</f>
        <v/>
      </c>
      <c r="F532" s="98" t="str">
        <f>IF(IFERROR(VLOOKUP(A532,'5.模板'!C:D,1,0),"")="","","✔")</f>
        <v/>
      </c>
      <c r="G532" s="98" t="str">
        <f>IF(IFERROR(VLOOKUP(A532,'6.混凝土'!C:D,1,0),"")="","","✔")</f>
        <v/>
      </c>
      <c r="H532" s="98" t="str">
        <f>IF(IFERROR(VLOOKUP(A532,'7.植筋'!C:D,1,0),"")="","","✔")</f>
        <v/>
      </c>
      <c r="I532" s="98" t="str">
        <f>IF(IFERROR(VLOOKUP(A532,'8.預力混凝土基樁'!C:D,1,0),"")="","","✔")</f>
        <v/>
      </c>
      <c r="J532" s="98" t="str">
        <f>IF(IFERROR(VLOOKUP(A532,'9.砌塊石護岸'!C:D,1,0),"")="","","✔")</f>
        <v/>
      </c>
      <c r="K532" s="98" t="str">
        <f>IF(IFERROR(VLOOKUP(A532,'10.低水護岸'!C:D,1,0),"")="","","✔")</f>
        <v/>
      </c>
      <c r="L532" s="98" t="str">
        <f>IF(IFERROR(VLOOKUP(A532,'11.固床工'!C:D,1,0),"")="","","✔")</f>
        <v/>
      </c>
      <c r="M532" s="98" t="str">
        <f>IF(IFERROR(VLOOKUP(A532,'12.全套管基樁'!C:D,1,0),"")="","","✔")</f>
        <v/>
      </c>
      <c r="N532" s="98" t="str">
        <f>IF(IFERROR(VLOOKUP(A532,'13.鋼筋混凝土管工程'!C:D,1,0),"")="","","✔")</f>
        <v/>
      </c>
      <c r="O532" s="98" t="str">
        <f>IF(IFERROR(VLOOKUP(A532,'14.鋼版樁'!C:D,1,0),"")="","","✔")</f>
        <v/>
      </c>
      <c r="P532" s="98" t="str">
        <f>IF(IFERROR(VLOOKUP(A532,'15.路床 路基高程'!C:D,1,0),"")="","","✔")</f>
        <v/>
      </c>
      <c r="Q532" s="98" t="str">
        <f>IF(IFERROR(VLOOKUP(A532,'16.瀝青混凝土'!C:D,1,0),"")="","","✔")</f>
        <v/>
      </c>
      <c r="R532" s="98" t="str">
        <f>IF(IFERROR(VLOOKUP(A532,'17.景觀鋪面(一)'!C:D,1,0),"")="","","✔")</f>
        <v/>
      </c>
      <c r="S532" s="98" t="str">
        <f>IF(IFERROR(VLOOKUP(A532,'18.景觀鋪面(二)'!C:D,1,0),"")="","","✔")</f>
        <v/>
      </c>
      <c r="T532" s="98" t="str">
        <f>IF(IFERROR(VLOOKUP(A532,'19.預鑄緣石'!C:D,1,0),"")="","","✔")</f>
        <v/>
      </c>
      <c r="U532" s="98" t="str">
        <f>IF(IFERROR(VLOOKUP(A532,'20.鋼構工程吊裝'!C:D,1,0),"")="","","✔")</f>
        <v/>
      </c>
      <c r="V532" s="98" t="str">
        <f>IF(IFERROR(VLOOKUP(A532,'21.鋼構工程塗裝'!C:D,1,0),"")="","","✔")</f>
        <v/>
      </c>
      <c r="W532" s="98" t="str">
        <f>IF(IFERROR(VLOOKUP(A532,'22.排水設施(一)'!C:D,1,0),"")="","","✔")</f>
        <v/>
      </c>
      <c r="X532" s="98" t="str">
        <f>IF(IFERROR(VLOOKUP(A532,'23.排水設施(二)'!C:D,1,0),"")="","","✔")</f>
        <v/>
      </c>
      <c r="Y532" s="98" t="str">
        <f>IF(IFERROR(VLOOKUP(A532,'24.木構造'!C:D,1,0),"")="","","✔")</f>
        <v/>
      </c>
      <c r="Z532" s="98" t="str">
        <f>IF(IFERROR(VLOOKUP(A532,'25.管路'!C:D,1,0),"")="","","✔")</f>
        <v/>
      </c>
      <c r="AA532" s="98" t="str">
        <f>IF(IFERROR(VLOOKUP(A532,'26.植栽(移植)'!C:D,1,0),"")="","","✔")</f>
        <v/>
      </c>
      <c r="AB532" s="98" t="str">
        <f>IF(IFERROR(VLOOKUP(A532,'27.植栽(新植)'!C:D,1,0),"")="","","✔")</f>
        <v/>
      </c>
      <c r="AC532" s="98" t="str">
        <f>IF(IFERROR(VLOOKUP(A532,'28.照明'!C:D,1,0),"")="","","✔")</f>
        <v/>
      </c>
      <c r="AD532" s="98" t="str">
        <f>IF(IFERROR(VLOOKUP(A532,'29.既有橋梁拆除'!C:D,1,0),"")="","","✔")</f>
        <v/>
      </c>
    </row>
    <row r="533" spans="1:30" ht="21.75" customHeight="1" x14ac:dyDescent="0.25">
      <c r="A533" s="99">
        <v>45723</v>
      </c>
      <c r="B533" s="98" t="str">
        <f>IF(IFERROR(VLOOKUP(A533,'1.測量放樣'!C:D,1,0),"")="","","✔")</f>
        <v/>
      </c>
      <c r="C533" s="98" t="str">
        <f>IF(IFERROR(VLOOKUP(A533,'2.土方開挖'!C:D,1,0),"")="","","✔")</f>
        <v/>
      </c>
      <c r="D533" s="98" t="str">
        <f>IF(IFERROR(VLOOKUP(A533,'3.土方回填'!C:D,1,0),"")="","","✔")</f>
        <v/>
      </c>
      <c r="E533" s="98" t="str">
        <f>IF(IFERROR(VLOOKUP(A533,'4.鋼筋'!C:D,1,0),"")="","","✔")</f>
        <v/>
      </c>
      <c r="F533" s="98" t="str">
        <f>IF(IFERROR(VLOOKUP(A533,'5.模板'!C:D,1,0),"")="","","✔")</f>
        <v/>
      </c>
      <c r="G533" s="98" t="str">
        <f>IF(IFERROR(VLOOKUP(A533,'6.混凝土'!C:D,1,0),"")="","","✔")</f>
        <v/>
      </c>
      <c r="H533" s="98" t="str">
        <f>IF(IFERROR(VLOOKUP(A533,'7.植筋'!C:D,1,0),"")="","","✔")</f>
        <v/>
      </c>
      <c r="I533" s="98" t="str">
        <f>IF(IFERROR(VLOOKUP(A533,'8.預力混凝土基樁'!C:D,1,0),"")="","","✔")</f>
        <v/>
      </c>
      <c r="J533" s="98" t="str">
        <f>IF(IFERROR(VLOOKUP(A533,'9.砌塊石護岸'!C:D,1,0),"")="","","✔")</f>
        <v/>
      </c>
      <c r="K533" s="98" t="str">
        <f>IF(IFERROR(VLOOKUP(A533,'10.低水護岸'!C:D,1,0),"")="","","✔")</f>
        <v/>
      </c>
      <c r="L533" s="98" t="str">
        <f>IF(IFERROR(VLOOKUP(A533,'11.固床工'!C:D,1,0),"")="","","✔")</f>
        <v/>
      </c>
      <c r="M533" s="98" t="str">
        <f>IF(IFERROR(VLOOKUP(A533,'12.全套管基樁'!C:D,1,0),"")="","","✔")</f>
        <v/>
      </c>
      <c r="N533" s="98" t="str">
        <f>IF(IFERROR(VLOOKUP(A533,'13.鋼筋混凝土管工程'!C:D,1,0),"")="","","✔")</f>
        <v/>
      </c>
      <c r="O533" s="98" t="str">
        <f>IF(IFERROR(VLOOKUP(A533,'14.鋼版樁'!C:D,1,0),"")="","","✔")</f>
        <v/>
      </c>
      <c r="P533" s="98" t="str">
        <f>IF(IFERROR(VLOOKUP(A533,'15.路床 路基高程'!C:D,1,0),"")="","","✔")</f>
        <v/>
      </c>
      <c r="Q533" s="98" t="str">
        <f>IF(IFERROR(VLOOKUP(A533,'16.瀝青混凝土'!C:D,1,0),"")="","","✔")</f>
        <v/>
      </c>
      <c r="R533" s="98" t="str">
        <f>IF(IFERROR(VLOOKUP(A533,'17.景觀鋪面(一)'!C:D,1,0),"")="","","✔")</f>
        <v/>
      </c>
      <c r="S533" s="98" t="str">
        <f>IF(IFERROR(VLOOKUP(A533,'18.景觀鋪面(二)'!C:D,1,0),"")="","","✔")</f>
        <v/>
      </c>
      <c r="T533" s="98" t="str">
        <f>IF(IFERROR(VLOOKUP(A533,'19.預鑄緣石'!C:D,1,0),"")="","","✔")</f>
        <v/>
      </c>
      <c r="U533" s="98" t="str">
        <f>IF(IFERROR(VLOOKUP(A533,'20.鋼構工程吊裝'!C:D,1,0),"")="","","✔")</f>
        <v/>
      </c>
      <c r="V533" s="98" t="str">
        <f>IF(IFERROR(VLOOKUP(A533,'21.鋼構工程塗裝'!C:D,1,0),"")="","","✔")</f>
        <v/>
      </c>
      <c r="W533" s="98" t="str">
        <f>IF(IFERROR(VLOOKUP(A533,'22.排水設施(一)'!C:D,1,0),"")="","","✔")</f>
        <v/>
      </c>
      <c r="X533" s="98" t="str">
        <f>IF(IFERROR(VLOOKUP(A533,'23.排水設施(二)'!C:D,1,0),"")="","","✔")</f>
        <v/>
      </c>
      <c r="Y533" s="98" t="str">
        <f>IF(IFERROR(VLOOKUP(A533,'24.木構造'!C:D,1,0),"")="","","✔")</f>
        <v/>
      </c>
      <c r="Z533" s="98" t="str">
        <f>IF(IFERROR(VLOOKUP(A533,'25.管路'!C:D,1,0),"")="","","✔")</f>
        <v/>
      </c>
      <c r="AA533" s="98" t="str">
        <f>IF(IFERROR(VLOOKUP(A533,'26.植栽(移植)'!C:D,1,0),"")="","","✔")</f>
        <v/>
      </c>
      <c r="AB533" s="98" t="str">
        <f>IF(IFERROR(VLOOKUP(A533,'27.植栽(新植)'!C:D,1,0),"")="","","✔")</f>
        <v/>
      </c>
      <c r="AC533" s="98" t="str">
        <f>IF(IFERROR(VLOOKUP(A533,'28.照明'!C:D,1,0),"")="","","✔")</f>
        <v/>
      </c>
      <c r="AD533" s="98" t="str">
        <f>IF(IFERROR(VLOOKUP(A533,'29.既有橋梁拆除'!C:D,1,0),"")="","","✔")</f>
        <v/>
      </c>
    </row>
    <row r="534" spans="1:30" ht="21.75" customHeight="1" x14ac:dyDescent="0.25">
      <c r="A534" s="99">
        <v>45724</v>
      </c>
      <c r="B534" s="98" t="str">
        <f>IF(IFERROR(VLOOKUP(A534,'1.測量放樣'!C:D,1,0),"")="","","✔")</f>
        <v/>
      </c>
      <c r="C534" s="98" t="str">
        <f>IF(IFERROR(VLOOKUP(A534,'2.土方開挖'!C:D,1,0),"")="","","✔")</f>
        <v/>
      </c>
      <c r="D534" s="98" t="str">
        <f>IF(IFERROR(VLOOKUP(A534,'3.土方回填'!C:D,1,0),"")="","","✔")</f>
        <v/>
      </c>
      <c r="E534" s="98" t="str">
        <f>IF(IFERROR(VLOOKUP(A534,'4.鋼筋'!C:D,1,0),"")="","","✔")</f>
        <v/>
      </c>
      <c r="F534" s="98" t="str">
        <f>IF(IFERROR(VLOOKUP(A534,'5.模板'!C:D,1,0),"")="","","✔")</f>
        <v/>
      </c>
      <c r="G534" s="98" t="str">
        <f>IF(IFERROR(VLOOKUP(A534,'6.混凝土'!C:D,1,0),"")="","","✔")</f>
        <v/>
      </c>
      <c r="H534" s="98" t="str">
        <f>IF(IFERROR(VLOOKUP(A534,'7.植筋'!C:D,1,0),"")="","","✔")</f>
        <v/>
      </c>
      <c r="I534" s="98" t="str">
        <f>IF(IFERROR(VLOOKUP(A534,'8.預力混凝土基樁'!C:D,1,0),"")="","","✔")</f>
        <v/>
      </c>
      <c r="J534" s="98" t="str">
        <f>IF(IFERROR(VLOOKUP(A534,'9.砌塊石護岸'!C:D,1,0),"")="","","✔")</f>
        <v/>
      </c>
      <c r="K534" s="98" t="str">
        <f>IF(IFERROR(VLOOKUP(A534,'10.低水護岸'!C:D,1,0),"")="","","✔")</f>
        <v/>
      </c>
      <c r="L534" s="98" t="str">
        <f>IF(IFERROR(VLOOKUP(A534,'11.固床工'!C:D,1,0),"")="","","✔")</f>
        <v/>
      </c>
      <c r="M534" s="98" t="str">
        <f>IF(IFERROR(VLOOKUP(A534,'12.全套管基樁'!C:D,1,0),"")="","","✔")</f>
        <v/>
      </c>
      <c r="N534" s="98" t="str">
        <f>IF(IFERROR(VLOOKUP(A534,'13.鋼筋混凝土管工程'!C:D,1,0),"")="","","✔")</f>
        <v/>
      </c>
      <c r="O534" s="98" t="str">
        <f>IF(IFERROR(VLOOKUP(A534,'14.鋼版樁'!C:D,1,0),"")="","","✔")</f>
        <v/>
      </c>
      <c r="P534" s="98" t="str">
        <f>IF(IFERROR(VLOOKUP(A534,'15.路床 路基高程'!C:D,1,0),"")="","","✔")</f>
        <v/>
      </c>
      <c r="Q534" s="98" t="str">
        <f>IF(IFERROR(VLOOKUP(A534,'16.瀝青混凝土'!C:D,1,0),"")="","","✔")</f>
        <v/>
      </c>
      <c r="R534" s="98" t="str">
        <f>IF(IFERROR(VLOOKUP(A534,'17.景觀鋪面(一)'!C:D,1,0),"")="","","✔")</f>
        <v/>
      </c>
      <c r="S534" s="98" t="str">
        <f>IF(IFERROR(VLOOKUP(A534,'18.景觀鋪面(二)'!C:D,1,0),"")="","","✔")</f>
        <v/>
      </c>
      <c r="T534" s="98" t="str">
        <f>IF(IFERROR(VLOOKUP(A534,'19.預鑄緣石'!C:D,1,0),"")="","","✔")</f>
        <v/>
      </c>
      <c r="U534" s="98" t="str">
        <f>IF(IFERROR(VLOOKUP(A534,'20.鋼構工程吊裝'!C:D,1,0),"")="","","✔")</f>
        <v/>
      </c>
      <c r="V534" s="98" t="str">
        <f>IF(IFERROR(VLOOKUP(A534,'21.鋼構工程塗裝'!C:D,1,0),"")="","","✔")</f>
        <v/>
      </c>
      <c r="W534" s="98" t="str">
        <f>IF(IFERROR(VLOOKUP(A534,'22.排水設施(一)'!C:D,1,0),"")="","","✔")</f>
        <v/>
      </c>
      <c r="X534" s="98" t="str">
        <f>IF(IFERROR(VLOOKUP(A534,'23.排水設施(二)'!C:D,1,0),"")="","","✔")</f>
        <v/>
      </c>
      <c r="Y534" s="98" t="str">
        <f>IF(IFERROR(VLOOKUP(A534,'24.木構造'!C:D,1,0),"")="","","✔")</f>
        <v/>
      </c>
      <c r="Z534" s="98" t="str">
        <f>IF(IFERROR(VLOOKUP(A534,'25.管路'!C:D,1,0),"")="","","✔")</f>
        <v/>
      </c>
      <c r="AA534" s="98" t="str">
        <f>IF(IFERROR(VLOOKUP(A534,'26.植栽(移植)'!C:D,1,0),"")="","","✔")</f>
        <v/>
      </c>
      <c r="AB534" s="98" t="str">
        <f>IF(IFERROR(VLOOKUP(A534,'27.植栽(新植)'!C:D,1,0),"")="","","✔")</f>
        <v/>
      </c>
      <c r="AC534" s="98" t="str">
        <f>IF(IFERROR(VLOOKUP(A534,'28.照明'!C:D,1,0),"")="","","✔")</f>
        <v/>
      </c>
      <c r="AD534" s="98" t="str">
        <f>IF(IFERROR(VLOOKUP(A534,'29.既有橋梁拆除'!C:D,1,0),"")="","","✔")</f>
        <v/>
      </c>
    </row>
    <row r="535" spans="1:30" ht="21.75" customHeight="1" x14ac:dyDescent="0.25">
      <c r="A535" s="99">
        <v>45725</v>
      </c>
      <c r="B535" s="98" t="str">
        <f>IF(IFERROR(VLOOKUP(A535,'1.測量放樣'!C:D,1,0),"")="","","✔")</f>
        <v/>
      </c>
      <c r="C535" s="98" t="str">
        <f>IF(IFERROR(VLOOKUP(A535,'2.土方開挖'!C:D,1,0),"")="","","✔")</f>
        <v/>
      </c>
      <c r="D535" s="98" t="str">
        <f>IF(IFERROR(VLOOKUP(A535,'3.土方回填'!C:D,1,0),"")="","","✔")</f>
        <v/>
      </c>
      <c r="E535" s="98" t="str">
        <f>IF(IFERROR(VLOOKUP(A535,'4.鋼筋'!C:D,1,0),"")="","","✔")</f>
        <v/>
      </c>
      <c r="F535" s="98" t="str">
        <f>IF(IFERROR(VLOOKUP(A535,'5.模板'!C:D,1,0),"")="","","✔")</f>
        <v/>
      </c>
      <c r="G535" s="98" t="str">
        <f>IF(IFERROR(VLOOKUP(A535,'6.混凝土'!C:D,1,0),"")="","","✔")</f>
        <v/>
      </c>
      <c r="H535" s="98" t="str">
        <f>IF(IFERROR(VLOOKUP(A535,'7.植筋'!C:D,1,0),"")="","","✔")</f>
        <v/>
      </c>
      <c r="I535" s="98" t="str">
        <f>IF(IFERROR(VLOOKUP(A535,'8.預力混凝土基樁'!C:D,1,0),"")="","","✔")</f>
        <v/>
      </c>
      <c r="J535" s="98" t="str">
        <f>IF(IFERROR(VLOOKUP(A535,'9.砌塊石護岸'!C:D,1,0),"")="","","✔")</f>
        <v/>
      </c>
      <c r="K535" s="98" t="str">
        <f>IF(IFERROR(VLOOKUP(A535,'10.低水護岸'!C:D,1,0),"")="","","✔")</f>
        <v/>
      </c>
      <c r="L535" s="98" t="str">
        <f>IF(IFERROR(VLOOKUP(A535,'11.固床工'!C:D,1,0),"")="","","✔")</f>
        <v/>
      </c>
      <c r="M535" s="98" t="str">
        <f>IF(IFERROR(VLOOKUP(A535,'12.全套管基樁'!C:D,1,0),"")="","","✔")</f>
        <v/>
      </c>
      <c r="N535" s="98" t="str">
        <f>IF(IFERROR(VLOOKUP(A535,'13.鋼筋混凝土管工程'!C:D,1,0),"")="","","✔")</f>
        <v/>
      </c>
      <c r="O535" s="98" t="str">
        <f>IF(IFERROR(VLOOKUP(A535,'14.鋼版樁'!C:D,1,0),"")="","","✔")</f>
        <v/>
      </c>
      <c r="P535" s="98" t="str">
        <f>IF(IFERROR(VLOOKUP(A535,'15.路床 路基高程'!C:D,1,0),"")="","","✔")</f>
        <v/>
      </c>
      <c r="Q535" s="98" t="str">
        <f>IF(IFERROR(VLOOKUP(A535,'16.瀝青混凝土'!C:D,1,0),"")="","","✔")</f>
        <v/>
      </c>
      <c r="R535" s="98" t="str">
        <f>IF(IFERROR(VLOOKUP(A535,'17.景觀鋪面(一)'!C:D,1,0),"")="","","✔")</f>
        <v/>
      </c>
      <c r="S535" s="98" t="str">
        <f>IF(IFERROR(VLOOKUP(A535,'18.景觀鋪面(二)'!C:D,1,0),"")="","","✔")</f>
        <v/>
      </c>
      <c r="T535" s="98" t="str">
        <f>IF(IFERROR(VLOOKUP(A535,'19.預鑄緣石'!C:D,1,0),"")="","","✔")</f>
        <v/>
      </c>
      <c r="U535" s="98" t="str">
        <f>IF(IFERROR(VLOOKUP(A535,'20.鋼構工程吊裝'!C:D,1,0),"")="","","✔")</f>
        <v/>
      </c>
      <c r="V535" s="98" t="str">
        <f>IF(IFERROR(VLOOKUP(A535,'21.鋼構工程塗裝'!C:D,1,0),"")="","","✔")</f>
        <v/>
      </c>
      <c r="W535" s="98" t="str">
        <f>IF(IFERROR(VLOOKUP(A535,'22.排水設施(一)'!C:D,1,0),"")="","","✔")</f>
        <v/>
      </c>
      <c r="X535" s="98" t="str">
        <f>IF(IFERROR(VLOOKUP(A535,'23.排水設施(二)'!C:D,1,0),"")="","","✔")</f>
        <v/>
      </c>
      <c r="Y535" s="98" t="str">
        <f>IF(IFERROR(VLOOKUP(A535,'24.木構造'!C:D,1,0),"")="","","✔")</f>
        <v/>
      </c>
      <c r="Z535" s="98" t="str">
        <f>IF(IFERROR(VLOOKUP(A535,'25.管路'!C:D,1,0),"")="","","✔")</f>
        <v/>
      </c>
      <c r="AA535" s="98" t="str">
        <f>IF(IFERROR(VLOOKUP(A535,'26.植栽(移植)'!C:D,1,0),"")="","","✔")</f>
        <v/>
      </c>
      <c r="AB535" s="98" t="str">
        <f>IF(IFERROR(VLOOKUP(A535,'27.植栽(新植)'!C:D,1,0),"")="","","✔")</f>
        <v/>
      </c>
      <c r="AC535" s="98" t="str">
        <f>IF(IFERROR(VLOOKUP(A535,'28.照明'!C:D,1,0),"")="","","✔")</f>
        <v/>
      </c>
      <c r="AD535" s="98" t="str">
        <f>IF(IFERROR(VLOOKUP(A535,'29.既有橋梁拆除'!C:D,1,0),"")="","","✔")</f>
        <v/>
      </c>
    </row>
    <row r="536" spans="1:30" ht="21.75" customHeight="1" x14ac:dyDescent="0.25">
      <c r="A536" s="99">
        <v>45726</v>
      </c>
      <c r="B536" s="98" t="str">
        <f>IF(IFERROR(VLOOKUP(A536,'1.測量放樣'!C:D,1,0),"")="","","✔")</f>
        <v/>
      </c>
      <c r="C536" s="98" t="str">
        <f>IF(IFERROR(VLOOKUP(A536,'2.土方開挖'!C:D,1,0),"")="","","✔")</f>
        <v/>
      </c>
      <c r="D536" s="98" t="str">
        <f>IF(IFERROR(VLOOKUP(A536,'3.土方回填'!C:D,1,0),"")="","","✔")</f>
        <v/>
      </c>
      <c r="E536" s="98" t="str">
        <f>IF(IFERROR(VLOOKUP(A536,'4.鋼筋'!C:D,1,0),"")="","","✔")</f>
        <v/>
      </c>
      <c r="F536" s="98" t="str">
        <f>IF(IFERROR(VLOOKUP(A536,'5.模板'!C:D,1,0),"")="","","✔")</f>
        <v/>
      </c>
      <c r="G536" s="98" t="str">
        <f>IF(IFERROR(VLOOKUP(A536,'6.混凝土'!C:D,1,0),"")="","","✔")</f>
        <v/>
      </c>
      <c r="H536" s="98" t="str">
        <f>IF(IFERROR(VLOOKUP(A536,'7.植筋'!C:D,1,0),"")="","","✔")</f>
        <v/>
      </c>
      <c r="I536" s="98" t="str">
        <f>IF(IFERROR(VLOOKUP(A536,'8.預力混凝土基樁'!C:D,1,0),"")="","","✔")</f>
        <v/>
      </c>
      <c r="J536" s="98" t="str">
        <f>IF(IFERROR(VLOOKUP(A536,'9.砌塊石護岸'!C:D,1,0),"")="","","✔")</f>
        <v/>
      </c>
      <c r="K536" s="98" t="str">
        <f>IF(IFERROR(VLOOKUP(A536,'10.低水護岸'!C:D,1,0),"")="","","✔")</f>
        <v/>
      </c>
      <c r="L536" s="98" t="str">
        <f>IF(IFERROR(VLOOKUP(A536,'11.固床工'!C:D,1,0),"")="","","✔")</f>
        <v/>
      </c>
      <c r="M536" s="98" t="str">
        <f>IF(IFERROR(VLOOKUP(A536,'12.全套管基樁'!C:D,1,0),"")="","","✔")</f>
        <v/>
      </c>
      <c r="N536" s="98" t="str">
        <f>IF(IFERROR(VLOOKUP(A536,'13.鋼筋混凝土管工程'!C:D,1,0),"")="","","✔")</f>
        <v/>
      </c>
      <c r="O536" s="98" t="str">
        <f>IF(IFERROR(VLOOKUP(A536,'14.鋼版樁'!C:D,1,0),"")="","","✔")</f>
        <v/>
      </c>
      <c r="P536" s="98" t="str">
        <f>IF(IFERROR(VLOOKUP(A536,'15.路床 路基高程'!C:D,1,0),"")="","","✔")</f>
        <v/>
      </c>
      <c r="Q536" s="98" t="str">
        <f>IF(IFERROR(VLOOKUP(A536,'16.瀝青混凝土'!C:D,1,0),"")="","","✔")</f>
        <v/>
      </c>
      <c r="R536" s="98" t="str">
        <f>IF(IFERROR(VLOOKUP(A536,'17.景觀鋪面(一)'!C:D,1,0),"")="","","✔")</f>
        <v/>
      </c>
      <c r="S536" s="98" t="str">
        <f>IF(IFERROR(VLOOKUP(A536,'18.景觀鋪面(二)'!C:D,1,0),"")="","","✔")</f>
        <v/>
      </c>
      <c r="T536" s="98" t="str">
        <f>IF(IFERROR(VLOOKUP(A536,'19.預鑄緣石'!C:D,1,0),"")="","","✔")</f>
        <v/>
      </c>
      <c r="U536" s="98" t="str">
        <f>IF(IFERROR(VLOOKUP(A536,'20.鋼構工程吊裝'!C:D,1,0),"")="","","✔")</f>
        <v/>
      </c>
      <c r="V536" s="98" t="str">
        <f>IF(IFERROR(VLOOKUP(A536,'21.鋼構工程塗裝'!C:D,1,0),"")="","","✔")</f>
        <v/>
      </c>
      <c r="W536" s="98" t="str">
        <f>IF(IFERROR(VLOOKUP(A536,'22.排水設施(一)'!C:D,1,0),"")="","","✔")</f>
        <v/>
      </c>
      <c r="X536" s="98" t="str">
        <f>IF(IFERROR(VLOOKUP(A536,'23.排水設施(二)'!C:D,1,0),"")="","","✔")</f>
        <v/>
      </c>
      <c r="Y536" s="98" t="str">
        <f>IF(IFERROR(VLOOKUP(A536,'24.木構造'!C:D,1,0),"")="","","✔")</f>
        <v/>
      </c>
      <c r="Z536" s="98" t="str">
        <f>IF(IFERROR(VLOOKUP(A536,'25.管路'!C:D,1,0),"")="","","✔")</f>
        <v/>
      </c>
      <c r="AA536" s="98" t="str">
        <f>IF(IFERROR(VLOOKUP(A536,'26.植栽(移植)'!C:D,1,0),"")="","","✔")</f>
        <v/>
      </c>
      <c r="AB536" s="98" t="str">
        <f>IF(IFERROR(VLOOKUP(A536,'27.植栽(新植)'!C:D,1,0),"")="","","✔")</f>
        <v/>
      </c>
      <c r="AC536" s="98" t="str">
        <f>IF(IFERROR(VLOOKUP(A536,'28.照明'!C:D,1,0),"")="","","✔")</f>
        <v/>
      </c>
      <c r="AD536" s="98" t="str">
        <f>IF(IFERROR(VLOOKUP(A536,'29.既有橋梁拆除'!C:D,1,0),"")="","","✔")</f>
        <v/>
      </c>
    </row>
    <row r="537" spans="1:30" ht="21.75" customHeight="1" x14ac:dyDescent="0.25">
      <c r="A537" s="99">
        <v>45727</v>
      </c>
      <c r="B537" s="98" t="str">
        <f>IF(IFERROR(VLOOKUP(A537,'1.測量放樣'!C:D,1,0),"")="","","✔")</f>
        <v/>
      </c>
      <c r="C537" s="98" t="str">
        <f>IF(IFERROR(VLOOKUP(A537,'2.土方開挖'!C:D,1,0),"")="","","✔")</f>
        <v/>
      </c>
      <c r="D537" s="98" t="str">
        <f>IF(IFERROR(VLOOKUP(A537,'3.土方回填'!C:D,1,0),"")="","","✔")</f>
        <v/>
      </c>
      <c r="E537" s="98" t="str">
        <f>IF(IFERROR(VLOOKUP(A537,'4.鋼筋'!C:D,1,0),"")="","","✔")</f>
        <v/>
      </c>
      <c r="F537" s="98" t="str">
        <f>IF(IFERROR(VLOOKUP(A537,'5.模板'!C:D,1,0),"")="","","✔")</f>
        <v/>
      </c>
      <c r="G537" s="98" t="str">
        <f>IF(IFERROR(VLOOKUP(A537,'6.混凝土'!C:D,1,0),"")="","","✔")</f>
        <v/>
      </c>
      <c r="H537" s="98" t="str">
        <f>IF(IFERROR(VLOOKUP(A537,'7.植筋'!C:D,1,0),"")="","","✔")</f>
        <v/>
      </c>
      <c r="I537" s="98" t="str">
        <f>IF(IFERROR(VLOOKUP(A537,'8.預力混凝土基樁'!C:D,1,0),"")="","","✔")</f>
        <v/>
      </c>
      <c r="J537" s="98" t="str">
        <f>IF(IFERROR(VLOOKUP(A537,'9.砌塊石護岸'!C:D,1,0),"")="","","✔")</f>
        <v/>
      </c>
      <c r="K537" s="98" t="str">
        <f>IF(IFERROR(VLOOKUP(A537,'10.低水護岸'!C:D,1,0),"")="","","✔")</f>
        <v/>
      </c>
      <c r="L537" s="98" t="str">
        <f>IF(IFERROR(VLOOKUP(A537,'11.固床工'!C:D,1,0),"")="","","✔")</f>
        <v/>
      </c>
      <c r="M537" s="98" t="str">
        <f>IF(IFERROR(VLOOKUP(A537,'12.全套管基樁'!C:D,1,0),"")="","","✔")</f>
        <v/>
      </c>
      <c r="N537" s="98" t="str">
        <f>IF(IFERROR(VLOOKUP(A537,'13.鋼筋混凝土管工程'!C:D,1,0),"")="","","✔")</f>
        <v/>
      </c>
      <c r="O537" s="98" t="str">
        <f>IF(IFERROR(VLOOKUP(A537,'14.鋼版樁'!C:D,1,0),"")="","","✔")</f>
        <v/>
      </c>
      <c r="P537" s="98" t="str">
        <f>IF(IFERROR(VLOOKUP(A537,'15.路床 路基高程'!C:D,1,0),"")="","","✔")</f>
        <v/>
      </c>
      <c r="Q537" s="98" t="str">
        <f>IF(IFERROR(VLOOKUP(A537,'16.瀝青混凝土'!C:D,1,0),"")="","","✔")</f>
        <v/>
      </c>
      <c r="R537" s="98" t="str">
        <f>IF(IFERROR(VLOOKUP(A537,'17.景觀鋪面(一)'!C:D,1,0),"")="","","✔")</f>
        <v/>
      </c>
      <c r="S537" s="98" t="str">
        <f>IF(IFERROR(VLOOKUP(A537,'18.景觀鋪面(二)'!C:D,1,0),"")="","","✔")</f>
        <v/>
      </c>
      <c r="T537" s="98" t="str">
        <f>IF(IFERROR(VLOOKUP(A537,'19.預鑄緣石'!C:D,1,0),"")="","","✔")</f>
        <v/>
      </c>
      <c r="U537" s="98" t="str">
        <f>IF(IFERROR(VLOOKUP(A537,'20.鋼構工程吊裝'!C:D,1,0),"")="","","✔")</f>
        <v/>
      </c>
      <c r="V537" s="98" t="str">
        <f>IF(IFERROR(VLOOKUP(A537,'21.鋼構工程塗裝'!C:D,1,0),"")="","","✔")</f>
        <v/>
      </c>
      <c r="W537" s="98" t="str">
        <f>IF(IFERROR(VLOOKUP(A537,'22.排水設施(一)'!C:D,1,0),"")="","","✔")</f>
        <v/>
      </c>
      <c r="X537" s="98" t="str">
        <f>IF(IFERROR(VLOOKUP(A537,'23.排水設施(二)'!C:D,1,0),"")="","","✔")</f>
        <v/>
      </c>
      <c r="Y537" s="98" t="str">
        <f>IF(IFERROR(VLOOKUP(A537,'24.木構造'!C:D,1,0),"")="","","✔")</f>
        <v/>
      </c>
      <c r="Z537" s="98" t="str">
        <f>IF(IFERROR(VLOOKUP(A537,'25.管路'!C:D,1,0),"")="","","✔")</f>
        <v/>
      </c>
      <c r="AA537" s="98" t="str">
        <f>IF(IFERROR(VLOOKUP(A537,'26.植栽(移植)'!C:D,1,0),"")="","","✔")</f>
        <v/>
      </c>
      <c r="AB537" s="98" t="str">
        <f>IF(IFERROR(VLOOKUP(A537,'27.植栽(新植)'!C:D,1,0),"")="","","✔")</f>
        <v/>
      </c>
      <c r="AC537" s="98" t="str">
        <f>IF(IFERROR(VLOOKUP(A537,'28.照明'!C:D,1,0),"")="","","✔")</f>
        <v/>
      </c>
      <c r="AD537" s="98" t="str">
        <f>IF(IFERROR(VLOOKUP(A537,'29.既有橋梁拆除'!C:D,1,0),"")="","","✔")</f>
        <v/>
      </c>
    </row>
    <row r="538" spans="1:30" ht="21.75" customHeight="1" x14ac:dyDescent="0.25">
      <c r="A538" s="99">
        <v>45728</v>
      </c>
      <c r="B538" s="98" t="str">
        <f>IF(IFERROR(VLOOKUP(A538,'1.測量放樣'!C:D,1,0),"")="","","✔")</f>
        <v/>
      </c>
      <c r="C538" s="98" t="str">
        <f>IF(IFERROR(VLOOKUP(A538,'2.土方開挖'!C:D,1,0),"")="","","✔")</f>
        <v/>
      </c>
      <c r="D538" s="98" t="str">
        <f>IF(IFERROR(VLOOKUP(A538,'3.土方回填'!C:D,1,0),"")="","","✔")</f>
        <v/>
      </c>
      <c r="E538" s="98" t="str">
        <f>IF(IFERROR(VLOOKUP(A538,'4.鋼筋'!C:D,1,0),"")="","","✔")</f>
        <v/>
      </c>
      <c r="F538" s="98" t="str">
        <f>IF(IFERROR(VLOOKUP(A538,'5.模板'!C:D,1,0),"")="","","✔")</f>
        <v/>
      </c>
      <c r="G538" s="98" t="str">
        <f>IF(IFERROR(VLOOKUP(A538,'6.混凝土'!C:D,1,0),"")="","","✔")</f>
        <v/>
      </c>
      <c r="H538" s="98" t="str">
        <f>IF(IFERROR(VLOOKUP(A538,'7.植筋'!C:D,1,0),"")="","","✔")</f>
        <v/>
      </c>
      <c r="I538" s="98" t="str">
        <f>IF(IFERROR(VLOOKUP(A538,'8.預力混凝土基樁'!C:D,1,0),"")="","","✔")</f>
        <v/>
      </c>
      <c r="J538" s="98" t="str">
        <f>IF(IFERROR(VLOOKUP(A538,'9.砌塊石護岸'!C:D,1,0),"")="","","✔")</f>
        <v/>
      </c>
      <c r="K538" s="98" t="str">
        <f>IF(IFERROR(VLOOKUP(A538,'10.低水護岸'!C:D,1,0),"")="","","✔")</f>
        <v/>
      </c>
      <c r="L538" s="98" t="str">
        <f>IF(IFERROR(VLOOKUP(A538,'11.固床工'!C:D,1,0),"")="","","✔")</f>
        <v/>
      </c>
      <c r="M538" s="98" t="str">
        <f>IF(IFERROR(VLOOKUP(A538,'12.全套管基樁'!C:D,1,0),"")="","","✔")</f>
        <v/>
      </c>
      <c r="N538" s="98" t="str">
        <f>IF(IFERROR(VLOOKUP(A538,'13.鋼筋混凝土管工程'!C:D,1,0),"")="","","✔")</f>
        <v/>
      </c>
      <c r="O538" s="98" t="str">
        <f>IF(IFERROR(VLOOKUP(A538,'14.鋼版樁'!C:D,1,0),"")="","","✔")</f>
        <v/>
      </c>
      <c r="P538" s="98" t="str">
        <f>IF(IFERROR(VLOOKUP(A538,'15.路床 路基高程'!C:D,1,0),"")="","","✔")</f>
        <v/>
      </c>
      <c r="Q538" s="98" t="str">
        <f>IF(IFERROR(VLOOKUP(A538,'16.瀝青混凝土'!C:D,1,0),"")="","","✔")</f>
        <v/>
      </c>
      <c r="R538" s="98" t="str">
        <f>IF(IFERROR(VLOOKUP(A538,'17.景觀鋪面(一)'!C:D,1,0),"")="","","✔")</f>
        <v/>
      </c>
      <c r="S538" s="98" t="str">
        <f>IF(IFERROR(VLOOKUP(A538,'18.景觀鋪面(二)'!C:D,1,0),"")="","","✔")</f>
        <v/>
      </c>
      <c r="T538" s="98" t="str">
        <f>IF(IFERROR(VLOOKUP(A538,'19.預鑄緣石'!C:D,1,0),"")="","","✔")</f>
        <v/>
      </c>
      <c r="U538" s="98" t="str">
        <f>IF(IFERROR(VLOOKUP(A538,'20.鋼構工程吊裝'!C:D,1,0),"")="","","✔")</f>
        <v/>
      </c>
      <c r="V538" s="98" t="str">
        <f>IF(IFERROR(VLOOKUP(A538,'21.鋼構工程塗裝'!C:D,1,0),"")="","","✔")</f>
        <v/>
      </c>
      <c r="W538" s="98" t="str">
        <f>IF(IFERROR(VLOOKUP(A538,'22.排水設施(一)'!C:D,1,0),"")="","","✔")</f>
        <v/>
      </c>
      <c r="X538" s="98" t="str">
        <f>IF(IFERROR(VLOOKUP(A538,'23.排水設施(二)'!C:D,1,0),"")="","","✔")</f>
        <v/>
      </c>
      <c r="Y538" s="98" t="str">
        <f>IF(IFERROR(VLOOKUP(A538,'24.木構造'!C:D,1,0),"")="","","✔")</f>
        <v/>
      </c>
      <c r="Z538" s="98" t="str">
        <f>IF(IFERROR(VLOOKUP(A538,'25.管路'!C:D,1,0),"")="","","✔")</f>
        <v/>
      </c>
      <c r="AA538" s="98" t="str">
        <f>IF(IFERROR(VLOOKUP(A538,'26.植栽(移植)'!C:D,1,0),"")="","","✔")</f>
        <v/>
      </c>
      <c r="AB538" s="98" t="str">
        <f>IF(IFERROR(VLOOKUP(A538,'27.植栽(新植)'!C:D,1,0),"")="","","✔")</f>
        <v/>
      </c>
      <c r="AC538" s="98" t="str">
        <f>IF(IFERROR(VLOOKUP(A538,'28.照明'!C:D,1,0),"")="","","✔")</f>
        <v/>
      </c>
      <c r="AD538" s="98" t="str">
        <f>IF(IFERROR(VLOOKUP(A538,'29.既有橋梁拆除'!C:D,1,0),"")="","","✔")</f>
        <v/>
      </c>
    </row>
    <row r="539" spans="1:30" ht="21.75" customHeight="1" x14ac:dyDescent="0.25">
      <c r="A539" s="99">
        <v>45729</v>
      </c>
      <c r="B539" s="98" t="str">
        <f>IF(IFERROR(VLOOKUP(A539,'1.測量放樣'!C:D,1,0),"")="","","✔")</f>
        <v/>
      </c>
      <c r="C539" s="98" t="str">
        <f>IF(IFERROR(VLOOKUP(A539,'2.土方開挖'!C:D,1,0),"")="","","✔")</f>
        <v/>
      </c>
      <c r="D539" s="98" t="str">
        <f>IF(IFERROR(VLOOKUP(A539,'3.土方回填'!C:D,1,0),"")="","","✔")</f>
        <v/>
      </c>
      <c r="E539" s="98" t="str">
        <f>IF(IFERROR(VLOOKUP(A539,'4.鋼筋'!C:D,1,0),"")="","","✔")</f>
        <v/>
      </c>
      <c r="F539" s="98" t="str">
        <f>IF(IFERROR(VLOOKUP(A539,'5.模板'!C:D,1,0),"")="","","✔")</f>
        <v/>
      </c>
      <c r="G539" s="98" t="str">
        <f>IF(IFERROR(VLOOKUP(A539,'6.混凝土'!C:D,1,0),"")="","","✔")</f>
        <v/>
      </c>
      <c r="H539" s="98" t="str">
        <f>IF(IFERROR(VLOOKUP(A539,'7.植筋'!C:D,1,0),"")="","","✔")</f>
        <v/>
      </c>
      <c r="I539" s="98" t="str">
        <f>IF(IFERROR(VLOOKUP(A539,'8.預力混凝土基樁'!C:D,1,0),"")="","","✔")</f>
        <v/>
      </c>
      <c r="J539" s="98" t="str">
        <f>IF(IFERROR(VLOOKUP(A539,'9.砌塊石護岸'!C:D,1,0),"")="","","✔")</f>
        <v/>
      </c>
      <c r="K539" s="98" t="str">
        <f>IF(IFERROR(VLOOKUP(A539,'10.低水護岸'!C:D,1,0),"")="","","✔")</f>
        <v/>
      </c>
      <c r="L539" s="98" t="str">
        <f>IF(IFERROR(VLOOKUP(A539,'11.固床工'!C:D,1,0),"")="","","✔")</f>
        <v/>
      </c>
      <c r="M539" s="98" t="str">
        <f>IF(IFERROR(VLOOKUP(A539,'12.全套管基樁'!C:D,1,0),"")="","","✔")</f>
        <v/>
      </c>
      <c r="N539" s="98" t="str">
        <f>IF(IFERROR(VLOOKUP(A539,'13.鋼筋混凝土管工程'!C:D,1,0),"")="","","✔")</f>
        <v/>
      </c>
      <c r="O539" s="98" t="str">
        <f>IF(IFERROR(VLOOKUP(A539,'14.鋼版樁'!C:D,1,0),"")="","","✔")</f>
        <v/>
      </c>
      <c r="P539" s="98" t="str">
        <f>IF(IFERROR(VLOOKUP(A539,'15.路床 路基高程'!C:D,1,0),"")="","","✔")</f>
        <v/>
      </c>
      <c r="Q539" s="98" t="str">
        <f>IF(IFERROR(VLOOKUP(A539,'16.瀝青混凝土'!C:D,1,0),"")="","","✔")</f>
        <v/>
      </c>
      <c r="R539" s="98" t="str">
        <f>IF(IFERROR(VLOOKUP(A539,'17.景觀鋪面(一)'!C:D,1,0),"")="","","✔")</f>
        <v/>
      </c>
      <c r="S539" s="98" t="str">
        <f>IF(IFERROR(VLOOKUP(A539,'18.景觀鋪面(二)'!C:D,1,0),"")="","","✔")</f>
        <v/>
      </c>
      <c r="T539" s="98" t="str">
        <f>IF(IFERROR(VLOOKUP(A539,'19.預鑄緣石'!C:D,1,0),"")="","","✔")</f>
        <v/>
      </c>
      <c r="U539" s="98" t="str">
        <f>IF(IFERROR(VLOOKUP(A539,'20.鋼構工程吊裝'!C:D,1,0),"")="","","✔")</f>
        <v/>
      </c>
      <c r="V539" s="98" t="str">
        <f>IF(IFERROR(VLOOKUP(A539,'21.鋼構工程塗裝'!C:D,1,0),"")="","","✔")</f>
        <v/>
      </c>
      <c r="W539" s="98" t="str">
        <f>IF(IFERROR(VLOOKUP(A539,'22.排水設施(一)'!C:D,1,0),"")="","","✔")</f>
        <v/>
      </c>
      <c r="X539" s="98" t="str">
        <f>IF(IFERROR(VLOOKUP(A539,'23.排水設施(二)'!C:D,1,0),"")="","","✔")</f>
        <v/>
      </c>
      <c r="Y539" s="98" t="str">
        <f>IF(IFERROR(VLOOKUP(A539,'24.木構造'!C:D,1,0),"")="","","✔")</f>
        <v/>
      </c>
      <c r="Z539" s="98" t="str">
        <f>IF(IFERROR(VLOOKUP(A539,'25.管路'!C:D,1,0),"")="","","✔")</f>
        <v/>
      </c>
      <c r="AA539" s="98" t="str">
        <f>IF(IFERROR(VLOOKUP(A539,'26.植栽(移植)'!C:D,1,0),"")="","","✔")</f>
        <v/>
      </c>
      <c r="AB539" s="98" t="str">
        <f>IF(IFERROR(VLOOKUP(A539,'27.植栽(新植)'!C:D,1,0),"")="","","✔")</f>
        <v/>
      </c>
      <c r="AC539" s="98" t="str">
        <f>IF(IFERROR(VLOOKUP(A539,'28.照明'!C:D,1,0),"")="","","✔")</f>
        <v/>
      </c>
      <c r="AD539" s="98" t="str">
        <f>IF(IFERROR(VLOOKUP(A539,'29.既有橋梁拆除'!C:D,1,0),"")="","","✔")</f>
        <v/>
      </c>
    </row>
    <row r="540" spans="1:30" ht="21.75" customHeight="1" x14ac:dyDescent="0.25">
      <c r="A540" s="99">
        <v>45730</v>
      </c>
      <c r="B540" s="98" t="str">
        <f>IF(IFERROR(VLOOKUP(A540,'1.測量放樣'!C:D,1,0),"")="","","✔")</f>
        <v/>
      </c>
      <c r="C540" s="98" t="str">
        <f>IF(IFERROR(VLOOKUP(A540,'2.土方開挖'!C:D,1,0),"")="","","✔")</f>
        <v/>
      </c>
      <c r="D540" s="98" t="str">
        <f>IF(IFERROR(VLOOKUP(A540,'3.土方回填'!C:D,1,0),"")="","","✔")</f>
        <v/>
      </c>
      <c r="E540" s="98" t="str">
        <f>IF(IFERROR(VLOOKUP(A540,'4.鋼筋'!C:D,1,0),"")="","","✔")</f>
        <v/>
      </c>
      <c r="F540" s="98" t="str">
        <f>IF(IFERROR(VLOOKUP(A540,'5.模板'!C:D,1,0),"")="","","✔")</f>
        <v/>
      </c>
      <c r="G540" s="98" t="str">
        <f>IF(IFERROR(VLOOKUP(A540,'6.混凝土'!C:D,1,0),"")="","","✔")</f>
        <v/>
      </c>
      <c r="H540" s="98" t="str">
        <f>IF(IFERROR(VLOOKUP(A540,'7.植筋'!C:D,1,0),"")="","","✔")</f>
        <v/>
      </c>
      <c r="I540" s="98" t="str">
        <f>IF(IFERROR(VLOOKUP(A540,'8.預力混凝土基樁'!C:D,1,0),"")="","","✔")</f>
        <v/>
      </c>
      <c r="J540" s="98" t="str">
        <f>IF(IFERROR(VLOOKUP(A540,'9.砌塊石護岸'!C:D,1,0),"")="","","✔")</f>
        <v/>
      </c>
      <c r="K540" s="98" t="str">
        <f>IF(IFERROR(VLOOKUP(A540,'10.低水護岸'!C:D,1,0),"")="","","✔")</f>
        <v/>
      </c>
      <c r="L540" s="98" t="str">
        <f>IF(IFERROR(VLOOKUP(A540,'11.固床工'!C:D,1,0),"")="","","✔")</f>
        <v/>
      </c>
      <c r="M540" s="98" t="str">
        <f>IF(IFERROR(VLOOKUP(A540,'12.全套管基樁'!C:D,1,0),"")="","","✔")</f>
        <v/>
      </c>
      <c r="N540" s="98" t="str">
        <f>IF(IFERROR(VLOOKUP(A540,'13.鋼筋混凝土管工程'!C:D,1,0),"")="","","✔")</f>
        <v/>
      </c>
      <c r="O540" s="98" t="str">
        <f>IF(IFERROR(VLOOKUP(A540,'14.鋼版樁'!C:D,1,0),"")="","","✔")</f>
        <v/>
      </c>
      <c r="P540" s="98" t="str">
        <f>IF(IFERROR(VLOOKUP(A540,'15.路床 路基高程'!C:D,1,0),"")="","","✔")</f>
        <v/>
      </c>
      <c r="Q540" s="98" t="str">
        <f>IF(IFERROR(VLOOKUP(A540,'16.瀝青混凝土'!C:D,1,0),"")="","","✔")</f>
        <v/>
      </c>
      <c r="R540" s="98" t="str">
        <f>IF(IFERROR(VLOOKUP(A540,'17.景觀鋪面(一)'!C:D,1,0),"")="","","✔")</f>
        <v/>
      </c>
      <c r="S540" s="98" t="str">
        <f>IF(IFERROR(VLOOKUP(A540,'18.景觀鋪面(二)'!C:D,1,0),"")="","","✔")</f>
        <v/>
      </c>
      <c r="T540" s="98" t="str">
        <f>IF(IFERROR(VLOOKUP(A540,'19.預鑄緣石'!C:D,1,0),"")="","","✔")</f>
        <v/>
      </c>
      <c r="U540" s="98" t="str">
        <f>IF(IFERROR(VLOOKUP(A540,'20.鋼構工程吊裝'!C:D,1,0),"")="","","✔")</f>
        <v/>
      </c>
      <c r="V540" s="98" t="str">
        <f>IF(IFERROR(VLOOKUP(A540,'21.鋼構工程塗裝'!C:D,1,0),"")="","","✔")</f>
        <v/>
      </c>
      <c r="W540" s="98" t="str">
        <f>IF(IFERROR(VLOOKUP(A540,'22.排水設施(一)'!C:D,1,0),"")="","","✔")</f>
        <v/>
      </c>
      <c r="X540" s="98" t="str">
        <f>IF(IFERROR(VLOOKUP(A540,'23.排水設施(二)'!C:D,1,0),"")="","","✔")</f>
        <v/>
      </c>
      <c r="Y540" s="98" t="str">
        <f>IF(IFERROR(VLOOKUP(A540,'24.木構造'!C:D,1,0),"")="","","✔")</f>
        <v/>
      </c>
      <c r="Z540" s="98" t="str">
        <f>IF(IFERROR(VLOOKUP(A540,'25.管路'!C:D,1,0),"")="","","✔")</f>
        <v/>
      </c>
      <c r="AA540" s="98" t="str">
        <f>IF(IFERROR(VLOOKUP(A540,'26.植栽(移植)'!C:D,1,0),"")="","","✔")</f>
        <v/>
      </c>
      <c r="AB540" s="98" t="str">
        <f>IF(IFERROR(VLOOKUP(A540,'27.植栽(新植)'!C:D,1,0),"")="","","✔")</f>
        <v/>
      </c>
      <c r="AC540" s="98" t="str">
        <f>IF(IFERROR(VLOOKUP(A540,'28.照明'!C:D,1,0),"")="","","✔")</f>
        <v/>
      </c>
      <c r="AD540" s="98" t="str">
        <f>IF(IFERROR(VLOOKUP(A540,'29.既有橋梁拆除'!C:D,1,0),"")="","","✔")</f>
        <v/>
      </c>
    </row>
    <row r="541" spans="1:30" ht="21.75" customHeight="1" x14ac:dyDescent="0.25">
      <c r="A541" s="99">
        <v>45731</v>
      </c>
      <c r="B541" s="98" t="str">
        <f>IF(IFERROR(VLOOKUP(A541,'1.測量放樣'!C:D,1,0),"")="","","✔")</f>
        <v/>
      </c>
      <c r="C541" s="98" t="str">
        <f>IF(IFERROR(VLOOKUP(A541,'2.土方開挖'!C:D,1,0),"")="","","✔")</f>
        <v/>
      </c>
      <c r="D541" s="98" t="str">
        <f>IF(IFERROR(VLOOKUP(A541,'3.土方回填'!C:D,1,0),"")="","","✔")</f>
        <v/>
      </c>
      <c r="E541" s="98" t="str">
        <f>IF(IFERROR(VLOOKUP(A541,'4.鋼筋'!C:D,1,0),"")="","","✔")</f>
        <v/>
      </c>
      <c r="F541" s="98" t="str">
        <f>IF(IFERROR(VLOOKUP(A541,'5.模板'!C:D,1,0),"")="","","✔")</f>
        <v/>
      </c>
      <c r="G541" s="98" t="str">
        <f>IF(IFERROR(VLOOKUP(A541,'6.混凝土'!C:D,1,0),"")="","","✔")</f>
        <v/>
      </c>
      <c r="H541" s="98" t="str">
        <f>IF(IFERROR(VLOOKUP(A541,'7.植筋'!C:D,1,0),"")="","","✔")</f>
        <v/>
      </c>
      <c r="I541" s="98" t="str">
        <f>IF(IFERROR(VLOOKUP(A541,'8.預力混凝土基樁'!C:D,1,0),"")="","","✔")</f>
        <v/>
      </c>
      <c r="J541" s="98" t="str">
        <f>IF(IFERROR(VLOOKUP(A541,'9.砌塊石護岸'!C:D,1,0),"")="","","✔")</f>
        <v/>
      </c>
      <c r="K541" s="98" t="str">
        <f>IF(IFERROR(VLOOKUP(A541,'10.低水護岸'!C:D,1,0),"")="","","✔")</f>
        <v/>
      </c>
      <c r="L541" s="98" t="str">
        <f>IF(IFERROR(VLOOKUP(A541,'11.固床工'!C:D,1,0),"")="","","✔")</f>
        <v/>
      </c>
      <c r="M541" s="98" t="str">
        <f>IF(IFERROR(VLOOKUP(A541,'12.全套管基樁'!C:D,1,0),"")="","","✔")</f>
        <v/>
      </c>
      <c r="N541" s="98" t="str">
        <f>IF(IFERROR(VLOOKUP(A541,'13.鋼筋混凝土管工程'!C:D,1,0),"")="","","✔")</f>
        <v/>
      </c>
      <c r="O541" s="98" t="str">
        <f>IF(IFERROR(VLOOKUP(A541,'14.鋼版樁'!C:D,1,0),"")="","","✔")</f>
        <v/>
      </c>
      <c r="P541" s="98" t="str">
        <f>IF(IFERROR(VLOOKUP(A541,'15.路床 路基高程'!C:D,1,0),"")="","","✔")</f>
        <v/>
      </c>
      <c r="Q541" s="98" t="str">
        <f>IF(IFERROR(VLOOKUP(A541,'16.瀝青混凝土'!C:D,1,0),"")="","","✔")</f>
        <v/>
      </c>
      <c r="R541" s="98" t="str">
        <f>IF(IFERROR(VLOOKUP(A541,'17.景觀鋪面(一)'!C:D,1,0),"")="","","✔")</f>
        <v/>
      </c>
      <c r="S541" s="98" t="str">
        <f>IF(IFERROR(VLOOKUP(A541,'18.景觀鋪面(二)'!C:D,1,0),"")="","","✔")</f>
        <v/>
      </c>
      <c r="T541" s="98" t="str">
        <f>IF(IFERROR(VLOOKUP(A541,'19.預鑄緣石'!C:D,1,0),"")="","","✔")</f>
        <v/>
      </c>
      <c r="U541" s="98" t="str">
        <f>IF(IFERROR(VLOOKUP(A541,'20.鋼構工程吊裝'!C:D,1,0),"")="","","✔")</f>
        <v/>
      </c>
      <c r="V541" s="98" t="str">
        <f>IF(IFERROR(VLOOKUP(A541,'21.鋼構工程塗裝'!C:D,1,0),"")="","","✔")</f>
        <v/>
      </c>
      <c r="W541" s="98" t="str">
        <f>IF(IFERROR(VLOOKUP(A541,'22.排水設施(一)'!C:D,1,0),"")="","","✔")</f>
        <v/>
      </c>
      <c r="X541" s="98" t="str">
        <f>IF(IFERROR(VLOOKUP(A541,'23.排水設施(二)'!C:D,1,0),"")="","","✔")</f>
        <v/>
      </c>
      <c r="Y541" s="98" t="str">
        <f>IF(IFERROR(VLOOKUP(A541,'24.木構造'!C:D,1,0),"")="","","✔")</f>
        <v/>
      </c>
      <c r="Z541" s="98" t="str">
        <f>IF(IFERROR(VLOOKUP(A541,'25.管路'!C:D,1,0),"")="","","✔")</f>
        <v/>
      </c>
      <c r="AA541" s="98" t="str">
        <f>IF(IFERROR(VLOOKUP(A541,'26.植栽(移植)'!C:D,1,0),"")="","","✔")</f>
        <v/>
      </c>
      <c r="AB541" s="98" t="str">
        <f>IF(IFERROR(VLOOKUP(A541,'27.植栽(新植)'!C:D,1,0),"")="","","✔")</f>
        <v/>
      </c>
      <c r="AC541" s="98" t="str">
        <f>IF(IFERROR(VLOOKUP(A541,'28.照明'!C:D,1,0),"")="","","✔")</f>
        <v/>
      </c>
      <c r="AD541" s="98" t="str">
        <f>IF(IFERROR(VLOOKUP(A541,'29.既有橋梁拆除'!C:D,1,0),"")="","","✔")</f>
        <v/>
      </c>
    </row>
    <row r="542" spans="1:30" ht="21.75" customHeight="1" x14ac:dyDescent="0.25">
      <c r="A542" s="99">
        <v>45732</v>
      </c>
      <c r="B542" s="98" t="str">
        <f>IF(IFERROR(VLOOKUP(A542,'1.測量放樣'!C:D,1,0),"")="","","✔")</f>
        <v/>
      </c>
      <c r="C542" s="98" t="str">
        <f>IF(IFERROR(VLOOKUP(A542,'2.土方開挖'!C:D,1,0),"")="","","✔")</f>
        <v/>
      </c>
      <c r="D542" s="98" t="str">
        <f>IF(IFERROR(VLOOKUP(A542,'3.土方回填'!C:D,1,0),"")="","","✔")</f>
        <v/>
      </c>
      <c r="E542" s="98" t="str">
        <f>IF(IFERROR(VLOOKUP(A542,'4.鋼筋'!C:D,1,0),"")="","","✔")</f>
        <v/>
      </c>
      <c r="F542" s="98" t="str">
        <f>IF(IFERROR(VLOOKUP(A542,'5.模板'!C:D,1,0),"")="","","✔")</f>
        <v/>
      </c>
      <c r="G542" s="98" t="str">
        <f>IF(IFERROR(VLOOKUP(A542,'6.混凝土'!C:D,1,0),"")="","","✔")</f>
        <v/>
      </c>
      <c r="H542" s="98" t="str">
        <f>IF(IFERROR(VLOOKUP(A542,'7.植筋'!C:D,1,0),"")="","","✔")</f>
        <v/>
      </c>
      <c r="I542" s="98" t="str">
        <f>IF(IFERROR(VLOOKUP(A542,'8.預力混凝土基樁'!C:D,1,0),"")="","","✔")</f>
        <v/>
      </c>
      <c r="J542" s="98" t="str">
        <f>IF(IFERROR(VLOOKUP(A542,'9.砌塊石護岸'!C:D,1,0),"")="","","✔")</f>
        <v/>
      </c>
      <c r="K542" s="98" t="str">
        <f>IF(IFERROR(VLOOKUP(A542,'10.低水護岸'!C:D,1,0),"")="","","✔")</f>
        <v/>
      </c>
      <c r="L542" s="98" t="str">
        <f>IF(IFERROR(VLOOKUP(A542,'11.固床工'!C:D,1,0),"")="","","✔")</f>
        <v/>
      </c>
      <c r="M542" s="98" t="str">
        <f>IF(IFERROR(VLOOKUP(A542,'12.全套管基樁'!C:D,1,0),"")="","","✔")</f>
        <v/>
      </c>
      <c r="N542" s="98" t="str">
        <f>IF(IFERROR(VLOOKUP(A542,'13.鋼筋混凝土管工程'!C:D,1,0),"")="","","✔")</f>
        <v/>
      </c>
      <c r="O542" s="98" t="str">
        <f>IF(IFERROR(VLOOKUP(A542,'14.鋼版樁'!C:D,1,0),"")="","","✔")</f>
        <v/>
      </c>
      <c r="P542" s="98" t="str">
        <f>IF(IFERROR(VLOOKUP(A542,'15.路床 路基高程'!C:D,1,0),"")="","","✔")</f>
        <v/>
      </c>
      <c r="Q542" s="98" t="str">
        <f>IF(IFERROR(VLOOKUP(A542,'16.瀝青混凝土'!C:D,1,0),"")="","","✔")</f>
        <v/>
      </c>
      <c r="R542" s="98" t="str">
        <f>IF(IFERROR(VLOOKUP(A542,'17.景觀鋪面(一)'!C:D,1,0),"")="","","✔")</f>
        <v/>
      </c>
      <c r="S542" s="98" t="str">
        <f>IF(IFERROR(VLOOKUP(A542,'18.景觀鋪面(二)'!C:D,1,0),"")="","","✔")</f>
        <v/>
      </c>
      <c r="T542" s="98" t="str">
        <f>IF(IFERROR(VLOOKUP(A542,'19.預鑄緣石'!C:D,1,0),"")="","","✔")</f>
        <v/>
      </c>
      <c r="U542" s="98" t="str">
        <f>IF(IFERROR(VLOOKUP(A542,'20.鋼構工程吊裝'!C:D,1,0),"")="","","✔")</f>
        <v/>
      </c>
      <c r="V542" s="98" t="str">
        <f>IF(IFERROR(VLOOKUP(A542,'21.鋼構工程塗裝'!C:D,1,0),"")="","","✔")</f>
        <v/>
      </c>
      <c r="W542" s="98" t="str">
        <f>IF(IFERROR(VLOOKUP(A542,'22.排水設施(一)'!C:D,1,0),"")="","","✔")</f>
        <v/>
      </c>
      <c r="X542" s="98" t="str">
        <f>IF(IFERROR(VLOOKUP(A542,'23.排水設施(二)'!C:D,1,0),"")="","","✔")</f>
        <v/>
      </c>
      <c r="Y542" s="98" t="str">
        <f>IF(IFERROR(VLOOKUP(A542,'24.木構造'!C:D,1,0),"")="","","✔")</f>
        <v/>
      </c>
      <c r="Z542" s="98" t="str">
        <f>IF(IFERROR(VLOOKUP(A542,'25.管路'!C:D,1,0),"")="","","✔")</f>
        <v/>
      </c>
      <c r="AA542" s="98" t="str">
        <f>IF(IFERROR(VLOOKUP(A542,'26.植栽(移植)'!C:D,1,0),"")="","","✔")</f>
        <v/>
      </c>
      <c r="AB542" s="98" t="str">
        <f>IF(IFERROR(VLOOKUP(A542,'27.植栽(新植)'!C:D,1,0),"")="","","✔")</f>
        <v/>
      </c>
      <c r="AC542" s="98" t="str">
        <f>IF(IFERROR(VLOOKUP(A542,'28.照明'!C:D,1,0),"")="","","✔")</f>
        <v/>
      </c>
      <c r="AD542" s="98" t="str">
        <f>IF(IFERROR(VLOOKUP(A542,'29.既有橋梁拆除'!C:D,1,0),"")="","","✔")</f>
        <v/>
      </c>
    </row>
    <row r="543" spans="1:30" ht="21.75" customHeight="1" x14ac:dyDescent="0.25">
      <c r="A543" s="99">
        <v>45733</v>
      </c>
      <c r="B543" s="98" t="str">
        <f>IF(IFERROR(VLOOKUP(A543,'1.測量放樣'!C:D,1,0),"")="","","✔")</f>
        <v/>
      </c>
      <c r="C543" s="98" t="str">
        <f>IF(IFERROR(VLOOKUP(A543,'2.土方開挖'!C:D,1,0),"")="","","✔")</f>
        <v/>
      </c>
      <c r="D543" s="98" t="str">
        <f>IF(IFERROR(VLOOKUP(A543,'3.土方回填'!C:D,1,0),"")="","","✔")</f>
        <v/>
      </c>
      <c r="E543" s="98" t="str">
        <f>IF(IFERROR(VLOOKUP(A543,'4.鋼筋'!C:D,1,0),"")="","","✔")</f>
        <v/>
      </c>
      <c r="F543" s="98" t="str">
        <f>IF(IFERROR(VLOOKUP(A543,'5.模板'!C:D,1,0),"")="","","✔")</f>
        <v/>
      </c>
      <c r="G543" s="98" t="str">
        <f>IF(IFERROR(VLOOKUP(A543,'6.混凝土'!C:D,1,0),"")="","","✔")</f>
        <v/>
      </c>
      <c r="H543" s="98" t="str">
        <f>IF(IFERROR(VLOOKUP(A543,'7.植筋'!C:D,1,0),"")="","","✔")</f>
        <v/>
      </c>
      <c r="I543" s="98" t="str">
        <f>IF(IFERROR(VLOOKUP(A543,'8.預力混凝土基樁'!C:D,1,0),"")="","","✔")</f>
        <v/>
      </c>
      <c r="J543" s="98" t="str">
        <f>IF(IFERROR(VLOOKUP(A543,'9.砌塊石護岸'!C:D,1,0),"")="","","✔")</f>
        <v/>
      </c>
      <c r="K543" s="98" t="str">
        <f>IF(IFERROR(VLOOKUP(A543,'10.低水護岸'!C:D,1,0),"")="","","✔")</f>
        <v/>
      </c>
      <c r="L543" s="98" t="str">
        <f>IF(IFERROR(VLOOKUP(A543,'11.固床工'!C:D,1,0),"")="","","✔")</f>
        <v/>
      </c>
      <c r="M543" s="98" t="str">
        <f>IF(IFERROR(VLOOKUP(A543,'12.全套管基樁'!C:D,1,0),"")="","","✔")</f>
        <v/>
      </c>
      <c r="N543" s="98" t="str">
        <f>IF(IFERROR(VLOOKUP(A543,'13.鋼筋混凝土管工程'!C:D,1,0),"")="","","✔")</f>
        <v/>
      </c>
      <c r="O543" s="98" t="str">
        <f>IF(IFERROR(VLOOKUP(A543,'14.鋼版樁'!C:D,1,0),"")="","","✔")</f>
        <v/>
      </c>
      <c r="P543" s="98" t="str">
        <f>IF(IFERROR(VLOOKUP(A543,'15.路床 路基高程'!C:D,1,0),"")="","","✔")</f>
        <v/>
      </c>
      <c r="Q543" s="98" t="str">
        <f>IF(IFERROR(VLOOKUP(A543,'16.瀝青混凝土'!C:D,1,0),"")="","","✔")</f>
        <v/>
      </c>
      <c r="R543" s="98" t="str">
        <f>IF(IFERROR(VLOOKUP(A543,'17.景觀鋪面(一)'!C:D,1,0),"")="","","✔")</f>
        <v/>
      </c>
      <c r="S543" s="98" t="str">
        <f>IF(IFERROR(VLOOKUP(A543,'18.景觀鋪面(二)'!C:D,1,0),"")="","","✔")</f>
        <v/>
      </c>
      <c r="T543" s="98" t="str">
        <f>IF(IFERROR(VLOOKUP(A543,'19.預鑄緣石'!C:D,1,0),"")="","","✔")</f>
        <v/>
      </c>
      <c r="U543" s="98" t="str">
        <f>IF(IFERROR(VLOOKUP(A543,'20.鋼構工程吊裝'!C:D,1,0),"")="","","✔")</f>
        <v/>
      </c>
      <c r="V543" s="98" t="str">
        <f>IF(IFERROR(VLOOKUP(A543,'21.鋼構工程塗裝'!C:D,1,0),"")="","","✔")</f>
        <v/>
      </c>
      <c r="W543" s="98" t="str">
        <f>IF(IFERROR(VLOOKUP(A543,'22.排水設施(一)'!C:D,1,0),"")="","","✔")</f>
        <v/>
      </c>
      <c r="X543" s="98" t="str">
        <f>IF(IFERROR(VLOOKUP(A543,'23.排水設施(二)'!C:D,1,0),"")="","","✔")</f>
        <v/>
      </c>
      <c r="Y543" s="98" t="str">
        <f>IF(IFERROR(VLOOKUP(A543,'24.木構造'!C:D,1,0),"")="","","✔")</f>
        <v/>
      </c>
      <c r="Z543" s="98" t="str">
        <f>IF(IFERROR(VLOOKUP(A543,'25.管路'!C:D,1,0),"")="","","✔")</f>
        <v/>
      </c>
      <c r="AA543" s="98" t="str">
        <f>IF(IFERROR(VLOOKUP(A543,'26.植栽(移植)'!C:D,1,0),"")="","","✔")</f>
        <v/>
      </c>
      <c r="AB543" s="98" t="str">
        <f>IF(IFERROR(VLOOKUP(A543,'27.植栽(新植)'!C:D,1,0),"")="","","✔")</f>
        <v/>
      </c>
      <c r="AC543" s="98" t="str">
        <f>IF(IFERROR(VLOOKUP(A543,'28.照明'!C:D,1,0),"")="","","✔")</f>
        <v/>
      </c>
      <c r="AD543" s="98" t="str">
        <f>IF(IFERROR(VLOOKUP(A543,'29.既有橋梁拆除'!C:D,1,0),"")="","","✔")</f>
        <v/>
      </c>
    </row>
    <row r="544" spans="1:30" ht="21.75" customHeight="1" x14ac:dyDescent="0.25">
      <c r="A544" s="99">
        <v>45734</v>
      </c>
      <c r="B544" s="98" t="str">
        <f>IF(IFERROR(VLOOKUP(A544,'1.測量放樣'!C:D,1,0),"")="","","✔")</f>
        <v/>
      </c>
      <c r="C544" s="98" t="str">
        <f>IF(IFERROR(VLOOKUP(A544,'2.土方開挖'!C:D,1,0),"")="","","✔")</f>
        <v/>
      </c>
      <c r="D544" s="98" t="str">
        <f>IF(IFERROR(VLOOKUP(A544,'3.土方回填'!C:D,1,0),"")="","","✔")</f>
        <v/>
      </c>
      <c r="E544" s="98" t="str">
        <f>IF(IFERROR(VLOOKUP(A544,'4.鋼筋'!C:D,1,0),"")="","","✔")</f>
        <v/>
      </c>
      <c r="F544" s="98" t="str">
        <f>IF(IFERROR(VLOOKUP(A544,'5.模板'!C:D,1,0),"")="","","✔")</f>
        <v/>
      </c>
      <c r="G544" s="98" t="str">
        <f>IF(IFERROR(VLOOKUP(A544,'6.混凝土'!C:D,1,0),"")="","","✔")</f>
        <v/>
      </c>
      <c r="H544" s="98" t="str">
        <f>IF(IFERROR(VLOOKUP(A544,'7.植筋'!C:D,1,0),"")="","","✔")</f>
        <v/>
      </c>
      <c r="I544" s="98" t="str">
        <f>IF(IFERROR(VLOOKUP(A544,'8.預力混凝土基樁'!C:D,1,0),"")="","","✔")</f>
        <v/>
      </c>
      <c r="J544" s="98" t="str">
        <f>IF(IFERROR(VLOOKUP(A544,'9.砌塊石護岸'!C:D,1,0),"")="","","✔")</f>
        <v/>
      </c>
      <c r="K544" s="98" t="str">
        <f>IF(IFERROR(VLOOKUP(A544,'10.低水護岸'!C:D,1,0),"")="","","✔")</f>
        <v/>
      </c>
      <c r="L544" s="98" t="str">
        <f>IF(IFERROR(VLOOKUP(A544,'11.固床工'!C:D,1,0),"")="","","✔")</f>
        <v/>
      </c>
      <c r="M544" s="98" t="str">
        <f>IF(IFERROR(VLOOKUP(A544,'12.全套管基樁'!C:D,1,0),"")="","","✔")</f>
        <v/>
      </c>
      <c r="N544" s="98" t="str">
        <f>IF(IFERROR(VLOOKUP(A544,'13.鋼筋混凝土管工程'!C:D,1,0),"")="","","✔")</f>
        <v/>
      </c>
      <c r="O544" s="98" t="str">
        <f>IF(IFERROR(VLOOKUP(A544,'14.鋼版樁'!C:D,1,0),"")="","","✔")</f>
        <v/>
      </c>
      <c r="P544" s="98" t="str">
        <f>IF(IFERROR(VLOOKUP(A544,'15.路床 路基高程'!C:D,1,0),"")="","","✔")</f>
        <v/>
      </c>
      <c r="Q544" s="98" t="str">
        <f>IF(IFERROR(VLOOKUP(A544,'16.瀝青混凝土'!C:D,1,0),"")="","","✔")</f>
        <v/>
      </c>
      <c r="R544" s="98" t="str">
        <f>IF(IFERROR(VLOOKUP(A544,'17.景觀鋪面(一)'!C:D,1,0),"")="","","✔")</f>
        <v/>
      </c>
      <c r="S544" s="98" t="str">
        <f>IF(IFERROR(VLOOKUP(A544,'18.景觀鋪面(二)'!C:D,1,0),"")="","","✔")</f>
        <v/>
      </c>
      <c r="T544" s="98" t="str">
        <f>IF(IFERROR(VLOOKUP(A544,'19.預鑄緣石'!C:D,1,0),"")="","","✔")</f>
        <v/>
      </c>
      <c r="U544" s="98" t="str">
        <f>IF(IFERROR(VLOOKUP(A544,'20.鋼構工程吊裝'!C:D,1,0),"")="","","✔")</f>
        <v/>
      </c>
      <c r="V544" s="98" t="str">
        <f>IF(IFERROR(VLOOKUP(A544,'21.鋼構工程塗裝'!C:D,1,0),"")="","","✔")</f>
        <v/>
      </c>
      <c r="W544" s="98" t="str">
        <f>IF(IFERROR(VLOOKUP(A544,'22.排水設施(一)'!C:D,1,0),"")="","","✔")</f>
        <v/>
      </c>
      <c r="X544" s="98" t="str">
        <f>IF(IFERROR(VLOOKUP(A544,'23.排水設施(二)'!C:D,1,0),"")="","","✔")</f>
        <v/>
      </c>
      <c r="Y544" s="98" t="str">
        <f>IF(IFERROR(VLOOKUP(A544,'24.木構造'!C:D,1,0),"")="","","✔")</f>
        <v/>
      </c>
      <c r="Z544" s="98" t="str">
        <f>IF(IFERROR(VLOOKUP(A544,'25.管路'!C:D,1,0),"")="","","✔")</f>
        <v/>
      </c>
      <c r="AA544" s="98" t="str">
        <f>IF(IFERROR(VLOOKUP(A544,'26.植栽(移植)'!C:D,1,0),"")="","","✔")</f>
        <v/>
      </c>
      <c r="AB544" s="98" t="str">
        <f>IF(IFERROR(VLOOKUP(A544,'27.植栽(新植)'!C:D,1,0),"")="","","✔")</f>
        <v/>
      </c>
      <c r="AC544" s="98" t="str">
        <f>IF(IFERROR(VLOOKUP(A544,'28.照明'!C:D,1,0),"")="","","✔")</f>
        <v/>
      </c>
      <c r="AD544" s="98" t="str">
        <f>IF(IFERROR(VLOOKUP(A544,'29.既有橋梁拆除'!C:D,1,0),"")="","","✔")</f>
        <v/>
      </c>
    </row>
    <row r="545" spans="1:30" ht="21.75" customHeight="1" x14ac:dyDescent="0.25">
      <c r="A545" s="99">
        <v>45735</v>
      </c>
      <c r="B545" s="98" t="str">
        <f>IF(IFERROR(VLOOKUP(A545,'1.測量放樣'!C:D,1,0),"")="","","✔")</f>
        <v/>
      </c>
      <c r="C545" s="98" t="str">
        <f>IF(IFERROR(VLOOKUP(A545,'2.土方開挖'!C:D,1,0),"")="","","✔")</f>
        <v/>
      </c>
      <c r="D545" s="98" t="str">
        <f>IF(IFERROR(VLOOKUP(A545,'3.土方回填'!C:D,1,0),"")="","","✔")</f>
        <v/>
      </c>
      <c r="E545" s="98" t="str">
        <f>IF(IFERROR(VLOOKUP(A545,'4.鋼筋'!C:D,1,0),"")="","","✔")</f>
        <v/>
      </c>
      <c r="F545" s="98" t="str">
        <f>IF(IFERROR(VLOOKUP(A545,'5.模板'!C:D,1,0),"")="","","✔")</f>
        <v/>
      </c>
      <c r="G545" s="98" t="str">
        <f>IF(IFERROR(VLOOKUP(A545,'6.混凝土'!C:D,1,0),"")="","","✔")</f>
        <v/>
      </c>
      <c r="H545" s="98" t="str">
        <f>IF(IFERROR(VLOOKUP(A545,'7.植筋'!C:D,1,0),"")="","","✔")</f>
        <v/>
      </c>
      <c r="I545" s="98" t="str">
        <f>IF(IFERROR(VLOOKUP(A545,'8.預力混凝土基樁'!C:D,1,0),"")="","","✔")</f>
        <v/>
      </c>
      <c r="J545" s="98" t="str">
        <f>IF(IFERROR(VLOOKUP(A545,'9.砌塊石護岸'!C:D,1,0),"")="","","✔")</f>
        <v/>
      </c>
      <c r="K545" s="98" t="str">
        <f>IF(IFERROR(VLOOKUP(A545,'10.低水護岸'!C:D,1,0),"")="","","✔")</f>
        <v/>
      </c>
      <c r="L545" s="98" t="str">
        <f>IF(IFERROR(VLOOKUP(A545,'11.固床工'!C:D,1,0),"")="","","✔")</f>
        <v/>
      </c>
      <c r="M545" s="98" t="str">
        <f>IF(IFERROR(VLOOKUP(A545,'12.全套管基樁'!C:D,1,0),"")="","","✔")</f>
        <v/>
      </c>
      <c r="N545" s="98" t="str">
        <f>IF(IFERROR(VLOOKUP(A545,'13.鋼筋混凝土管工程'!C:D,1,0),"")="","","✔")</f>
        <v/>
      </c>
      <c r="O545" s="98" t="str">
        <f>IF(IFERROR(VLOOKUP(A545,'14.鋼版樁'!C:D,1,0),"")="","","✔")</f>
        <v/>
      </c>
      <c r="P545" s="98" t="str">
        <f>IF(IFERROR(VLOOKUP(A545,'15.路床 路基高程'!C:D,1,0),"")="","","✔")</f>
        <v/>
      </c>
      <c r="Q545" s="98" t="str">
        <f>IF(IFERROR(VLOOKUP(A545,'16.瀝青混凝土'!C:D,1,0),"")="","","✔")</f>
        <v/>
      </c>
      <c r="R545" s="98" t="str">
        <f>IF(IFERROR(VLOOKUP(A545,'17.景觀鋪面(一)'!C:D,1,0),"")="","","✔")</f>
        <v/>
      </c>
      <c r="S545" s="98" t="str">
        <f>IF(IFERROR(VLOOKUP(A545,'18.景觀鋪面(二)'!C:D,1,0),"")="","","✔")</f>
        <v/>
      </c>
      <c r="T545" s="98" t="str">
        <f>IF(IFERROR(VLOOKUP(A545,'19.預鑄緣石'!C:D,1,0),"")="","","✔")</f>
        <v/>
      </c>
      <c r="U545" s="98" t="str">
        <f>IF(IFERROR(VLOOKUP(A545,'20.鋼構工程吊裝'!C:D,1,0),"")="","","✔")</f>
        <v/>
      </c>
      <c r="V545" s="98" t="str">
        <f>IF(IFERROR(VLOOKUP(A545,'21.鋼構工程塗裝'!C:D,1,0),"")="","","✔")</f>
        <v/>
      </c>
      <c r="W545" s="98" t="str">
        <f>IF(IFERROR(VLOOKUP(A545,'22.排水設施(一)'!C:D,1,0),"")="","","✔")</f>
        <v/>
      </c>
      <c r="X545" s="98" t="str">
        <f>IF(IFERROR(VLOOKUP(A545,'23.排水設施(二)'!C:D,1,0),"")="","","✔")</f>
        <v/>
      </c>
      <c r="Y545" s="98" t="str">
        <f>IF(IFERROR(VLOOKUP(A545,'24.木構造'!C:D,1,0),"")="","","✔")</f>
        <v/>
      </c>
      <c r="Z545" s="98" t="str">
        <f>IF(IFERROR(VLOOKUP(A545,'25.管路'!C:D,1,0),"")="","","✔")</f>
        <v/>
      </c>
      <c r="AA545" s="98" t="str">
        <f>IF(IFERROR(VLOOKUP(A545,'26.植栽(移植)'!C:D,1,0),"")="","","✔")</f>
        <v/>
      </c>
      <c r="AB545" s="98" t="str">
        <f>IF(IFERROR(VLOOKUP(A545,'27.植栽(新植)'!C:D,1,0),"")="","","✔")</f>
        <v/>
      </c>
      <c r="AC545" s="98" t="str">
        <f>IF(IFERROR(VLOOKUP(A545,'28.照明'!C:D,1,0),"")="","","✔")</f>
        <v/>
      </c>
      <c r="AD545" s="98" t="str">
        <f>IF(IFERROR(VLOOKUP(A545,'29.既有橋梁拆除'!C:D,1,0),"")="","","✔")</f>
        <v/>
      </c>
    </row>
    <row r="546" spans="1:30" ht="21.75" customHeight="1" x14ac:dyDescent="0.25">
      <c r="A546" s="99">
        <v>45736</v>
      </c>
      <c r="B546" s="98" t="str">
        <f>IF(IFERROR(VLOOKUP(A546,'1.測量放樣'!C:D,1,0),"")="","","✔")</f>
        <v/>
      </c>
      <c r="C546" s="98" t="str">
        <f>IF(IFERROR(VLOOKUP(A546,'2.土方開挖'!C:D,1,0),"")="","","✔")</f>
        <v/>
      </c>
      <c r="D546" s="98" t="str">
        <f>IF(IFERROR(VLOOKUP(A546,'3.土方回填'!C:D,1,0),"")="","","✔")</f>
        <v/>
      </c>
      <c r="E546" s="98" t="str">
        <f>IF(IFERROR(VLOOKUP(A546,'4.鋼筋'!C:D,1,0),"")="","","✔")</f>
        <v/>
      </c>
      <c r="F546" s="98" t="str">
        <f>IF(IFERROR(VLOOKUP(A546,'5.模板'!C:D,1,0),"")="","","✔")</f>
        <v/>
      </c>
      <c r="G546" s="98" t="str">
        <f>IF(IFERROR(VLOOKUP(A546,'6.混凝土'!C:D,1,0),"")="","","✔")</f>
        <v/>
      </c>
      <c r="H546" s="98" t="str">
        <f>IF(IFERROR(VLOOKUP(A546,'7.植筋'!C:D,1,0),"")="","","✔")</f>
        <v/>
      </c>
      <c r="I546" s="98" t="str">
        <f>IF(IFERROR(VLOOKUP(A546,'8.預力混凝土基樁'!C:D,1,0),"")="","","✔")</f>
        <v/>
      </c>
      <c r="J546" s="98" t="str">
        <f>IF(IFERROR(VLOOKUP(A546,'9.砌塊石護岸'!C:D,1,0),"")="","","✔")</f>
        <v/>
      </c>
      <c r="K546" s="98" t="str">
        <f>IF(IFERROR(VLOOKUP(A546,'10.低水護岸'!C:D,1,0),"")="","","✔")</f>
        <v/>
      </c>
      <c r="L546" s="98" t="str">
        <f>IF(IFERROR(VLOOKUP(A546,'11.固床工'!C:D,1,0),"")="","","✔")</f>
        <v/>
      </c>
      <c r="M546" s="98" t="str">
        <f>IF(IFERROR(VLOOKUP(A546,'12.全套管基樁'!C:D,1,0),"")="","","✔")</f>
        <v/>
      </c>
      <c r="N546" s="98" t="str">
        <f>IF(IFERROR(VLOOKUP(A546,'13.鋼筋混凝土管工程'!C:D,1,0),"")="","","✔")</f>
        <v/>
      </c>
      <c r="O546" s="98" t="str">
        <f>IF(IFERROR(VLOOKUP(A546,'14.鋼版樁'!C:D,1,0),"")="","","✔")</f>
        <v/>
      </c>
      <c r="P546" s="98" t="str">
        <f>IF(IFERROR(VLOOKUP(A546,'15.路床 路基高程'!C:D,1,0),"")="","","✔")</f>
        <v/>
      </c>
      <c r="Q546" s="98" t="str">
        <f>IF(IFERROR(VLOOKUP(A546,'16.瀝青混凝土'!C:D,1,0),"")="","","✔")</f>
        <v/>
      </c>
      <c r="R546" s="98" t="str">
        <f>IF(IFERROR(VLOOKUP(A546,'17.景觀鋪面(一)'!C:D,1,0),"")="","","✔")</f>
        <v/>
      </c>
      <c r="S546" s="98" t="str">
        <f>IF(IFERROR(VLOOKUP(A546,'18.景觀鋪面(二)'!C:D,1,0),"")="","","✔")</f>
        <v/>
      </c>
      <c r="T546" s="98" t="str">
        <f>IF(IFERROR(VLOOKUP(A546,'19.預鑄緣石'!C:D,1,0),"")="","","✔")</f>
        <v/>
      </c>
      <c r="U546" s="98" t="str">
        <f>IF(IFERROR(VLOOKUP(A546,'20.鋼構工程吊裝'!C:D,1,0),"")="","","✔")</f>
        <v/>
      </c>
      <c r="V546" s="98" t="str">
        <f>IF(IFERROR(VLOOKUP(A546,'21.鋼構工程塗裝'!C:D,1,0),"")="","","✔")</f>
        <v/>
      </c>
      <c r="W546" s="98" t="str">
        <f>IF(IFERROR(VLOOKUP(A546,'22.排水設施(一)'!C:D,1,0),"")="","","✔")</f>
        <v/>
      </c>
      <c r="X546" s="98" t="str">
        <f>IF(IFERROR(VLOOKUP(A546,'23.排水設施(二)'!C:D,1,0),"")="","","✔")</f>
        <v/>
      </c>
      <c r="Y546" s="98" t="str">
        <f>IF(IFERROR(VLOOKUP(A546,'24.木構造'!C:D,1,0),"")="","","✔")</f>
        <v/>
      </c>
      <c r="Z546" s="98" t="str">
        <f>IF(IFERROR(VLOOKUP(A546,'25.管路'!C:D,1,0),"")="","","✔")</f>
        <v/>
      </c>
      <c r="AA546" s="98" t="str">
        <f>IF(IFERROR(VLOOKUP(A546,'26.植栽(移植)'!C:D,1,0),"")="","","✔")</f>
        <v/>
      </c>
      <c r="AB546" s="98" t="str">
        <f>IF(IFERROR(VLOOKUP(A546,'27.植栽(新植)'!C:D,1,0),"")="","","✔")</f>
        <v/>
      </c>
      <c r="AC546" s="98" t="str">
        <f>IF(IFERROR(VLOOKUP(A546,'28.照明'!C:D,1,0),"")="","","✔")</f>
        <v/>
      </c>
      <c r="AD546" s="98" t="str">
        <f>IF(IFERROR(VLOOKUP(A546,'29.既有橋梁拆除'!C:D,1,0),"")="","","✔")</f>
        <v/>
      </c>
    </row>
    <row r="547" spans="1:30" ht="21.75" customHeight="1" x14ac:dyDescent="0.25">
      <c r="A547" s="99">
        <v>45737</v>
      </c>
      <c r="B547" s="98" t="str">
        <f>IF(IFERROR(VLOOKUP(A547,'1.測量放樣'!C:D,1,0),"")="","","✔")</f>
        <v/>
      </c>
      <c r="C547" s="98" t="str">
        <f>IF(IFERROR(VLOOKUP(A547,'2.土方開挖'!C:D,1,0),"")="","","✔")</f>
        <v/>
      </c>
      <c r="D547" s="98" t="str">
        <f>IF(IFERROR(VLOOKUP(A547,'3.土方回填'!C:D,1,0),"")="","","✔")</f>
        <v/>
      </c>
      <c r="E547" s="98" t="str">
        <f>IF(IFERROR(VLOOKUP(A547,'4.鋼筋'!C:D,1,0),"")="","","✔")</f>
        <v/>
      </c>
      <c r="F547" s="98" t="str">
        <f>IF(IFERROR(VLOOKUP(A547,'5.模板'!C:D,1,0),"")="","","✔")</f>
        <v/>
      </c>
      <c r="G547" s="98" t="str">
        <f>IF(IFERROR(VLOOKUP(A547,'6.混凝土'!C:D,1,0),"")="","","✔")</f>
        <v/>
      </c>
      <c r="H547" s="98" t="str">
        <f>IF(IFERROR(VLOOKUP(A547,'7.植筋'!C:D,1,0),"")="","","✔")</f>
        <v/>
      </c>
      <c r="I547" s="98" t="str">
        <f>IF(IFERROR(VLOOKUP(A547,'8.預力混凝土基樁'!C:D,1,0),"")="","","✔")</f>
        <v/>
      </c>
      <c r="J547" s="98" t="str">
        <f>IF(IFERROR(VLOOKUP(A547,'9.砌塊石護岸'!C:D,1,0),"")="","","✔")</f>
        <v/>
      </c>
      <c r="K547" s="98" t="str">
        <f>IF(IFERROR(VLOOKUP(A547,'10.低水護岸'!C:D,1,0),"")="","","✔")</f>
        <v/>
      </c>
      <c r="L547" s="98" t="str">
        <f>IF(IFERROR(VLOOKUP(A547,'11.固床工'!C:D,1,0),"")="","","✔")</f>
        <v/>
      </c>
      <c r="M547" s="98" t="str">
        <f>IF(IFERROR(VLOOKUP(A547,'12.全套管基樁'!C:D,1,0),"")="","","✔")</f>
        <v/>
      </c>
      <c r="N547" s="98" t="str">
        <f>IF(IFERROR(VLOOKUP(A547,'13.鋼筋混凝土管工程'!C:D,1,0),"")="","","✔")</f>
        <v/>
      </c>
      <c r="O547" s="98" t="str">
        <f>IF(IFERROR(VLOOKUP(A547,'14.鋼版樁'!C:D,1,0),"")="","","✔")</f>
        <v/>
      </c>
      <c r="P547" s="98" t="str">
        <f>IF(IFERROR(VLOOKUP(A547,'15.路床 路基高程'!C:D,1,0),"")="","","✔")</f>
        <v/>
      </c>
      <c r="Q547" s="98" t="str">
        <f>IF(IFERROR(VLOOKUP(A547,'16.瀝青混凝土'!C:D,1,0),"")="","","✔")</f>
        <v/>
      </c>
      <c r="R547" s="98" t="str">
        <f>IF(IFERROR(VLOOKUP(A547,'17.景觀鋪面(一)'!C:D,1,0),"")="","","✔")</f>
        <v/>
      </c>
      <c r="S547" s="98" t="str">
        <f>IF(IFERROR(VLOOKUP(A547,'18.景觀鋪面(二)'!C:D,1,0),"")="","","✔")</f>
        <v/>
      </c>
      <c r="T547" s="98" t="str">
        <f>IF(IFERROR(VLOOKUP(A547,'19.預鑄緣石'!C:D,1,0),"")="","","✔")</f>
        <v/>
      </c>
      <c r="U547" s="98" t="str">
        <f>IF(IFERROR(VLOOKUP(A547,'20.鋼構工程吊裝'!C:D,1,0),"")="","","✔")</f>
        <v/>
      </c>
      <c r="V547" s="98" t="str">
        <f>IF(IFERROR(VLOOKUP(A547,'21.鋼構工程塗裝'!C:D,1,0),"")="","","✔")</f>
        <v/>
      </c>
      <c r="W547" s="98" t="str">
        <f>IF(IFERROR(VLOOKUP(A547,'22.排水設施(一)'!C:D,1,0),"")="","","✔")</f>
        <v/>
      </c>
      <c r="X547" s="98" t="str">
        <f>IF(IFERROR(VLOOKUP(A547,'23.排水設施(二)'!C:D,1,0),"")="","","✔")</f>
        <v/>
      </c>
      <c r="Y547" s="98" t="str">
        <f>IF(IFERROR(VLOOKUP(A547,'24.木構造'!C:D,1,0),"")="","","✔")</f>
        <v/>
      </c>
      <c r="Z547" s="98" t="str">
        <f>IF(IFERROR(VLOOKUP(A547,'25.管路'!C:D,1,0),"")="","","✔")</f>
        <v/>
      </c>
      <c r="AA547" s="98" t="str">
        <f>IF(IFERROR(VLOOKUP(A547,'26.植栽(移植)'!C:D,1,0),"")="","","✔")</f>
        <v/>
      </c>
      <c r="AB547" s="98" t="str">
        <f>IF(IFERROR(VLOOKUP(A547,'27.植栽(新植)'!C:D,1,0),"")="","","✔")</f>
        <v/>
      </c>
      <c r="AC547" s="98" t="str">
        <f>IF(IFERROR(VLOOKUP(A547,'28.照明'!C:D,1,0),"")="","","✔")</f>
        <v/>
      </c>
      <c r="AD547" s="98" t="str">
        <f>IF(IFERROR(VLOOKUP(A547,'29.既有橋梁拆除'!C:D,1,0),"")="","","✔")</f>
        <v/>
      </c>
    </row>
    <row r="548" spans="1:30" ht="21.75" customHeight="1" x14ac:dyDescent="0.25">
      <c r="A548" s="99">
        <v>45738</v>
      </c>
      <c r="B548" s="98" t="str">
        <f>IF(IFERROR(VLOOKUP(A548,'1.測量放樣'!C:D,1,0),"")="","","✔")</f>
        <v/>
      </c>
      <c r="C548" s="98" t="str">
        <f>IF(IFERROR(VLOOKUP(A548,'2.土方開挖'!C:D,1,0),"")="","","✔")</f>
        <v/>
      </c>
      <c r="D548" s="98" t="str">
        <f>IF(IFERROR(VLOOKUP(A548,'3.土方回填'!C:D,1,0),"")="","","✔")</f>
        <v/>
      </c>
      <c r="E548" s="98" t="str">
        <f>IF(IFERROR(VLOOKUP(A548,'4.鋼筋'!C:D,1,0),"")="","","✔")</f>
        <v/>
      </c>
      <c r="F548" s="98" t="str">
        <f>IF(IFERROR(VLOOKUP(A548,'5.模板'!C:D,1,0),"")="","","✔")</f>
        <v/>
      </c>
      <c r="G548" s="98" t="str">
        <f>IF(IFERROR(VLOOKUP(A548,'6.混凝土'!C:D,1,0),"")="","","✔")</f>
        <v/>
      </c>
      <c r="H548" s="98" t="str">
        <f>IF(IFERROR(VLOOKUP(A548,'7.植筋'!C:D,1,0),"")="","","✔")</f>
        <v/>
      </c>
      <c r="I548" s="98" t="str">
        <f>IF(IFERROR(VLOOKUP(A548,'8.預力混凝土基樁'!C:D,1,0),"")="","","✔")</f>
        <v/>
      </c>
      <c r="J548" s="98" t="str">
        <f>IF(IFERROR(VLOOKUP(A548,'9.砌塊石護岸'!C:D,1,0),"")="","","✔")</f>
        <v/>
      </c>
      <c r="K548" s="98" t="str">
        <f>IF(IFERROR(VLOOKUP(A548,'10.低水護岸'!C:D,1,0),"")="","","✔")</f>
        <v/>
      </c>
      <c r="L548" s="98" t="str">
        <f>IF(IFERROR(VLOOKUP(A548,'11.固床工'!C:D,1,0),"")="","","✔")</f>
        <v/>
      </c>
      <c r="M548" s="98" t="str">
        <f>IF(IFERROR(VLOOKUP(A548,'12.全套管基樁'!C:D,1,0),"")="","","✔")</f>
        <v/>
      </c>
      <c r="N548" s="98" t="str">
        <f>IF(IFERROR(VLOOKUP(A548,'13.鋼筋混凝土管工程'!C:D,1,0),"")="","","✔")</f>
        <v/>
      </c>
      <c r="O548" s="98" t="str">
        <f>IF(IFERROR(VLOOKUP(A548,'14.鋼版樁'!C:D,1,0),"")="","","✔")</f>
        <v/>
      </c>
      <c r="P548" s="98" t="str">
        <f>IF(IFERROR(VLOOKUP(A548,'15.路床 路基高程'!C:D,1,0),"")="","","✔")</f>
        <v/>
      </c>
      <c r="Q548" s="98" t="str">
        <f>IF(IFERROR(VLOOKUP(A548,'16.瀝青混凝土'!C:D,1,0),"")="","","✔")</f>
        <v/>
      </c>
      <c r="R548" s="98" t="str">
        <f>IF(IFERROR(VLOOKUP(A548,'17.景觀鋪面(一)'!C:D,1,0),"")="","","✔")</f>
        <v/>
      </c>
      <c r="S548" s="98" t="str">
        <f>IF(IFERROR(VLOOKUP(A548,'18.景觀鋪面(二)'!C:D,1,0),"")="","","✔")</f>
        <v/>
      </c>
      <c r="T548" s="98" t="str">
        <f>IF(IFERROR(VLOOKUP(A548,'19.預鑄緣石'!C:D,1,0),"")="","","✔")</f>
        <v/>
      </c>
      <c r="U548" s="98" t="str">
        <f>IF(IFERROR(VLOOKUP(A548,'20.鋼構工程吊裝'!C:D,1,0),"")="","","✔")</f>
        <v/>
      </c>
      <c r="V548" s="98" t="str">
        <f>IF(IFERROR(VLOOKUP(A548,'21.鋼構工程塗裝'!C:D,1,0),"")="","","✔")</f>
        <v/>
      </c>
      <c r="W548" s="98" t="str">
        <f>IF(IFERROR(VLOOKUP(A548,'22.排水設施(一)'!C:D,1,0),"")="","","✔")</f>
        <v/>
      </c>
      <c r="X548" s="98" t="str">
        <f>IF(IFERROR(VLOOKUP(A548,'23.排水設施(二)'!C:D,1,0),"")="","","✔")</f>
        <v/>
      </c>
      <c r="Y548" s="98" t="str">
        <f>IF(IFERROR(VLOOKUP(A548,'24.木構造'!C:D,1,0),"")="","","✔")</f>
        <v/>
      </c>
      <c r="Z548" s="98" t="str">
        <f>IF(IFERROR(VLOOKUP(A548,'25.管路'!C:D,1,0),"")="","","✔")</f>
        <v/>
      </c>
      <c r="AA548" s="98" t="str">
        <f>IF(IFERROR(VLOOKUP(A548,'26.植栽(移植)'!C:D,1,0),"")="","","✔")</f>
        <v/>
      </c>
      <c r="AB548" s="98" t="str">
        <f>IF(IFERROR(VLOOKUP(A548,'27.植栽(新植)'!C:D,1,0),"")="","","✔")</f>
        <v/>
      </c>
      <c r="AC548" s="98" t="str">
        <f>IF(IFERROR(VLOOKUP(A548,'28.照明'!C:D,1,0),"")="","","✔")</f>
        <v/>
      </c>
      <c r="AD548" s="98" t="str">
        <f>IF(IFERROR(VLOOKUP(A548,'29.既有橋梁拆除'!C:D,1,0),"")="","","✔")</f>
        <v/>
      </c>
    </row>
    <row r="549" spans="1:30" ht="21.75" customHeight="1" x14ac:dyDescent="0.25">
      <c r="A549" s="99">
        <v>45739</v>
      </c>
      <c r="B549" s="98" t="str">
        <f>IF(IFERROR(VLOOKUP(A549,'1.測量放樣'!C:D,1,0),"")="","","✔")</f>
        <v/>
      </c>
      <c r="C549" s="98" t="str">
        <f>IF(IFERROR(VLOOKUP(A549,'2.土方開挖'!C:D,1,0),"")="","","✔")</f>
        <v/>
      </c>
      <c r="D549" s="98" t="str">
        <f>IF(IFERROR(VLOOKUP(A549,'3.土方回填'!C:D,1,0),"")="","","✔")</f>
        <v/>
      </c>
      <c r="E549" s="98" t="str">
        <f>IF(IFERROR(VLOOKUP(A549,'4.鋼筋'!C:D,1,0),"")="","","✔")</f>
        <v/>
      </c>
      <c r="F549" s="98" t="str">
        <f>IF(IFERROR(VLOOKUP(A549,'5.模板'!C:D,1,0),"")="","","✔")</f>
        <v/>
      </c>
      <c r="G549" s="98" t="str">
        <f>IF(IFERROR(VLOOKUP(A549,'6.混凝土'!C:D,1,0),"")="","","✔")</f>
        <v/>
      </c>
      <c r="H549" s="98" t="str">
        <f>IF(IFERROR(VLOOKUP(A549,'7.植筋'!C:D,1,0),"")="","","✔")</f>
        <v/>
      </c>
      <c r="I549" s="98" t="str">
        <f>IF(IFERROR(VLOOKUP(A549,'8.預力混凝土基樁'!C:D,1,0),"")="","","✔")</f>
        <v/>
      </c>
      <c r="J549" s="98" t="str">
        <f>IF(IFERROR(VLOOKUP(A549,'9.砌塊石護岸'!C:D,1,0),"")="","","✔")</f>
        <v/>
      </c>
      <c r="K549" s="98" t="str">
        <f>IF(IFERROR(VLOOKUP(A549,'10.低水護岸'!C:D,1,0),"")="","","✔")</f>
        <v/>
      </c>
      <c r="L549" s="98" t="str">
        <f>IF(IFERROR(VLOOKUP(A549,'11.固床工'!C:D,1,0),"")="","","✔")</f>
        <v/>
      </c>
      <c r="M549" s="98" t="str">
        <f>IF(IFERROR(VLOOKUP(A549,'12.全套管基樁'!C:D,1,0),"")="","","✔")</f>
        <v/>
      </c>
      <c r="N549" s="98" t="str">
        <f>IF(IFERROR(VLOOKUP(A549,'13.鋼筋混凝土管工程'!C:D,1,0),"")="","","✔")</f>
        <v/>
      </c>
      <c r="O549" s="98" t="str">
        <f>IF(IFERROR(VLOOKUP(A549,'14.鋼版樁'!C:D,1,0),"")="","","✔")</f>
        <v/>
      </c>
      <c r="P549" s="98" t="str">
        <f>IF(IFERROR(VLOOKUP(A549,'15.路床 路基高程'!C:D,1,0),"")="","","✔")</f>
        <v/>
      </c>
      <c r="Q549" s="98" t="str">
        <f>IF(IFERROR(VLOOKUP(A549,'16.瀝青混凝土'!C:D,1,0),"")="","","✔")</f>
        <v/>
      </c>
      <c r="R549" s="98" t="str">
        <f>IF(IFERROR(VLOOKUP(A549,'17.景觀鋪面(一)'!C:D,1,0),"")="","","✔")</f>
        <v/>
      </c>
      <c r="S549" s="98" t="str">
        <f>IF(IFERROR(VLOOKUP(A549,'18.景觀鋪面(二)'!C:D,1,0),"")="","","✔")</f>
        <v/>
      </c>
      <c r="T549" s="98" t="str">
        <f>IF(IFERROR(VLOOKUP(A549,'19.預鑄緣石'!C:D,1,0),"")="","","✔")</f>
        <v/>
      </c>
      <c r="U549" s="98" t="str">
        <f>IF(IFERROR(VLOOKUP(A549,'20.鋼構工程吊裝'!C:D,1,0),"")="","","✔")</f>
        <v/>
      </c>
      <c r="V549" s="98" t="str">
        <f>IF(IFERROR(VLOOKUP(A549,'21.鋼構工程塗裝'!C:D,1,0),"")="","","✔")</f>
        <v/>
      </c>
      <c r="W549" s="98" t="str">
        <f>IF(IFERROR(VLOOKUP(A549,'22.排水設施(一)'!C:D,1,0),"")="","","✔")</f>
        <v/>
      </c>
      <c r="X549" s="98" t="str">
        <f>IF(IFERROR(VLOOKUP(A549,'23.排水設施(二)'!C:D,1,0),"")="","","✔")</f>
        <v/>
      </c>
      <c r="Y549" s="98" t="str">
        <f>IF(IFERROR(VLOOKUP(A549,'24.木構造'!C:D,1,0),"")="","","✔")</f>
        <v/>
      </c>
      <c r="Z549" s="98" t="str">
        <f>IF(IFERROR(VLOOKUP(A549,'25.管路'!C:D,1,0),"")="","","✔")</f>
        <v/>
      </c>
      <c r="AA549" s="98" t="str">
        <f>IF(IFERROR(VLOOKUP(A549,'26.植栽(移植)'!C:D,1,0),"")="","","✔")</f>
        <v/>
      </c>
      <c r="AB549" s="98" t="str">
        <f>IF(IFERROR(VLOOKUP(A549,'27.植栽(新植)'!C:D,1,0),"")="","","✔")</f>
        <v/>
      </c>
      <c r="AC549" s="98" t="str">
        <f>IF(IFERROR(VLOOKUP(A549,'28.照明'!C:D,1,0),"")="","","✔")</f>
        <v/>
      </c>
      <c r="AD549" s="98" t="str">
        <f>IF(IFERROR(VLOOKUP(A549,'29.既有橋梁拆除'!C:D,1,0),"")="","","✔")</f>
        <v/>
      </c>
    </row>
    <row r="550" spans="1:30" ht="21.75" customHeight="1" x14ac:dyDescent="0.25">
      <c r="A550" s="99">
        <v>45740</v>
      </c>
      <c r="B550" s="98" t="str">
        <f>IF(IFERROR(VLOOKUP(A550,'1.測量放樣'!C:D,1,0),"")="","","✔")</f>
        <v/>
      </c>
      <c r="C550" s="98" t="str">
        <f>IF(IFERROR(VLOOKUP(A550,'2.土方開挖'!C:D,1,0),"")="","","✔")</f>
        <v/>
      </c>
      <c r="D550" s="98" t="str">
        <f>IF(IFERROR(VLOOKUP(A550,'3.土方回填'!C:D,1,0),"")="","","✔")</f>
        <v/>
      </c>
      <c r="E550" s="98" t="str">
        <f>IF(IFERROR(VLOOKUP(A550,'4.鋼筋'!C:D,1,0),"")="","","✔")</f>
        <v/>
      </c>
      <c r="F550" s="98" t="str">
        <f>IF(IFERROR(VLOOKUP(A550,'5.模板'!C:D,1,0),"")="","","✔")</f>
        <v/>
      </c>
      <c r="G550" s="98" t="str">
        <f>IF(IFERROR(VLOOKUP(A550,'6.混凝土'!C:D,1,0),"")="","","✔")</f>
        <v/>
      </c>
      <c r="H550" s="98" t="str">
        <f>IF(IFERROR(VLOOKUP(A550,'7.植筋'!C:D,1,0),"")="","","✔")</f>
        <v/>
      </c>
      <c r="I550" s="98" t="str">
        <f>IF(IFERROR(VLOOKUP(A550,'8.預力混凝土基樁'!C:D,1,0),"")="","","✔")</f>
        <v/>
      </c>
      <c r="J550" s="98" t="str">
        <f>IF(IFERROR(VLOOKUP(A550,'9.砌塊石護岸'!C:D,1,0),"")="","","✔")</f>
        <v/>
      </c>
      <c r="K550" s="98" t="str">
        <f>IF(IFERROR(VLOOKUP(A550,'10.低水護岸'!C:D,1,0),"")="","","✔")</f>
        <v/>
      </c>
      <c r="L550" s="98" t="str">
        <f>IF(IFERROR(VLOOKUP(A550,'11.固床工'!C:D,1,0),"")="","","✔")</f>
        <v/>
      </c>
      <c r="M550" s="98" t="str">
        <f>IF(IFERROR(VLOOKUP(A550,'12.全套管基樁'!C:D,1,0),"")="","","✔")</f>
        <v/>
      </c>
      <c r="N550" s="98" t="str">
        <f>IF(IFERROR(VLOOKUP(A550,'13.鋼筋混凝土管工程'!C:D,1,0),"")="","","✔")</f>
        <v/>
      </c>
      <c r="O550" s="98" t="str">
        <f>IF(IFERROR(VLOOKUP(A550,'14.鋼版樁'!C:D,1,0),"")="","","✔")</f>
        <v/>
      </c>
      <c r="P550" s="98" t="str">
        <f>IF(IFERROR(VLOOKUP(A550,'15.路床 路基高程'!C:D,1,0),"")="","","✔")</f>
        <v/>
      </c>
      <c r="Q550" s="98" t="str">
        <f>IF(IFERROR(VLOOKUP(A550,'16.瀝青混凝土'!C:D,1,0),"")="","","✔")</f>
        <v/>
      </c>
      <c r="R550" s="98" t="str">
        <f>IF(IFERROR(VLOOKUP(A550,'17.景觀鋪面(一)'!C:D,1,0),"")="","","✔")</f>
        <v/>
      </c>
      <c r="S550" s="98" t="str">
        <f>IF(IFERROR(VLOOKUP(A550,'18.景觀鋪面(二)'!C:D,1,0),"")="","","✔")</f>
        <v/>
      </c>
      <c r="T550" s="98" t="str">
        <f>IF(IFERROR(VLOOKUP(A550,'19.預鑄緣石'!C:D,1,0),"")="","","✔")</f>
        <v/>
      </c>
      <c r="U550" s="98" t="str">
        <f>IF(IFERROR(VLOOKUP(A550,'20.鋼構工程吊裝'!C:D,1,0),"")="","","✔")</f>
        <v/>
      </c>
      <c r="V550" s="98" t="str">
        <f>IF(IFERROR(VLOOKUP(A550,'21.鋼構工程塗裝'!C:D,1,0),"")="","","✔")</f>
        <v/>
      </c>
      <c r="W550" s="98" t="str">
        <f>IF(IFERROR(VLOOKUP(A550,'22.排水設施(一)'!C:D,1,0),"")="","","✔")</f>
        <v/>
      </c>
      <c r="X550" s="98" t="str">
        <f>IF(IFERROR(VLOOKUP(A550,'23.排水設施(二)'!C:D,1,0),"")="","","✔")</f>
        <v/>
      </c>
      <c r="Y550" s="98" t="str">
        <f>IF(IFERROR(VLOOKUP(A550,'24.木構造'!C:D,1,0),"")="","","✔")</f>
        <v/>
      </c>
      <c r="Z550" s="98" t="str">
        <f>IF(IFERROR(VLOOKUP(A550,'25.管路'!C:D,1,0),"")="","","✔")</f>
        <v/>
      </c>
      <c r="AA550" s="98" t="str">
        <f>IF(IFERROR(VLOOKUP(A550,'26.植栽(移植)'!C:D,1,0),"")="","","✔")</f>
        <v/>
      </c>
      <c r="AB550" s="98" t="str">
        <f>IF(IFERROR(VLOOKUP(A550,'27.植栽(新植)'!C:D,1,0),"")="","","✔")</f>
        <v/>
      </c>
      <c r="AC550" s="98" t="str">
        <f>IF(IFERROR(VLOOKUP(A550,'28.照明'!C:D,1,0),"")="","","✔")</f>
        <v/>
      </c>
      <c r="AD550" s="98" t="str">
        <f>IF(IFERROR(VLOOKUP(A550,'29.既有橋梁拆除'!C:D,1,0),"")="","","✔")</f>
        <v/>
      </c>
    </row>
    <row r="551" spans="1:30" ht="21.75" customHeight="1" x14ac:dyDescent="0.25">
      <c r="A551" s="99">
        <v>45741</v>
      </c>
      <c r="B551" s="98" t="str">
        <f>IF(IFERROR(VLOOKUP(A551,'1.測量放樣'!C:D,1,0),"")="","","✔")</f>
        <v/>
      </c>
      <c r="C551" s="98" t="str">
        <f>IF(IFERROR(VLOOKUP(A551,'2.土方開挖'!C:D,1,0),"")="","","✔")</f>
        <v/>
      </c>
      <c r="D551" s="98" t="str">
        <f>IF(IFERROR(VLOOKUP(A551,'3.土方回填'!C:D,1,0),"")="","","✔")</f>
        <v/>
      </c>
      <c r="E551" s="98" t="str">
        <f>IF(IFERROR(VLOOKUP(A551,'4.鋼筋'!C:D,1,0),"")="","","✔")</f>
        <v/>
      </c>
      <c r="F551" s="98" t="str">
        <f>IF(IFERROR(VLOOKUP(A551,'5.模板'!C:D,1,0),"")="","","✔")</f>
        <v/>
      </c>
      <c r="G551" s="98" t="str">
        <f>IF(IFERROR(VLOOKUP(A551,'6.混凝土'!C:D,1,0),"")="","","✔")</f>
        <v/>
      </c>
      <c r="H551" s="98" t="str">
        <f>IF(IFERROR(VLOOKUP(A551,'7.植筋'!C:D,1,0),"")="","","✔")</f>
        <v/>
      </c>
      <c r="I551" s="98" t="str">
        <f>IF(IFERROR(VLOOKUP(A551,'8.預力混凝土基樁'!C:D,1,0),"")="","","✔")</f>
        <v/>
      </c>
      <c r="J551" s="98" t="str">
        <f>IF(IFERROR(VLOOKUP(A551,'9.砌塊石護岸'!C:D,1,0),"")="","","✔")</f>
        <v/>
      </c>
      <c r="K551" s="98" t="str">
        <f>IF(IFERROR(VLOOKUP(A551,'10.低水護岸'!C:D,1,0),"")="","","✔")</f>
        <v/>
      </c>
      <c r="L551" s="98" t="str">
        <f>IF(IFERROR(VLOOKUP(A551,'11.固床工'!C:D,1,0),"")="","","✔")</f>
        <v/>
      </c>
      <c r="M551" s="98" t="str">
        <f>IF(IFERROR(VLOOKUP(A551,'12.全套管基樁'!C:D,1,0),"")="","","✔")</f>
        <v/>
      </c>
      <c r="N551" s="98" t="str">
        <f>IF(IFERROR(VLOOKUP(A551,'13.鋼筋混凝土管工程'!C:D,1,0),"")="","","✔")</f>
        <v/>
      </c>
      <c r="O551" s="98" t="str">
        <f>IF(IFERROR(VLOOKUP(A551,'14.鋼版樁'!C:D,1,0),"")="","","✔")</f>
        <v/>
      </c>
      <c r="P551" s="98" t="str">
        <f>IF(IFERROR(VLOOKUP(A551,'15.路床 路基高程'!C:D,1,0),"")="","","✔")</f>
        <v/>
      </c>
      <c r="Q551" s="98" t="str">
        <f>IF(IFERROR(VLOOKUP(A551,'16.瀝青混凝土'!C:D,1,0),"")="","","✔")</f>
        <v/>
      </c>
      <c r="R551" s="98" t="str">
        <f>IF(IFERROR(VLOOKUP(A551,'17.景觀鋪面(一)'!C:D,1,0),"")="","","✔")</f>
        <v/>
      </c>
      <c r="S551" s="98" t="str">
        <f>IF(IFERROR(VLOOKUP(A551,'18.景觀鋪面(二)'!C:D,1,0),"")="","","✔")</f>
        <v/>
      </c>
      <c r="T551" s="98" t="str">
        <f>IF(IFERROR(VLOOKUP(A551,'19.預鑄緣石'!C:D,1,0),"")="","","✔")</f>
        <v/>
      </c>
      <c r="U551" s="98" t="str">
        <f>IF(IFERROR(VLOOKUP(A551,'20.鋼構工程吊裝'!C:D,1,0),"")="","","✔")</f>
        <v/>
      </c>
      <c r="V551" s="98" t="str">
        <f>IF(IFERROR(VLOOKUP(A551,'21.鋼構工程塗裝'!C:D,1,0),"")="","","✔")</f>
        <v/>
      </c>
      <c r="W551" s="98" t="str">
        <f>IF(IFERROR(VLOOKUP(A551,'22.排水設施(一)'!C:D,1,0),"")="","","✔")</f>
        <v/>
      </c>
      <c r="X551" s="98" t="str">
        <f>IF(IFERROR(VLOOKUP(A551,'23.排水設施(二)'!C:D,1,0),"")="","","✔")</f>
        <v/>
      </c>
      <c r="Y551" s="98" t="str">
        <f>IF(IFERROR(VLOOKUP(A551,'24.木構造'!C:D,1,0),"")="","","✔")</f>
        <v/>
      </c>
      <c r="Z551" s="98" t="str">
        <f>IF(IFERROR(VLOOKUP(A551,'25.管路'!C:D,1,0),"")="","","✔")</f>
        <v/>
      </c>
      <c r="AA551" s="98" t="str">
        <f>IF(IFERROR(VLOOKUP(A551,'26.植栽(移植)'!C:D,1,0),"")="","","✔")</f>
        <v/>
      </c>
      <c r="AB551" s="98" t="str">
        <f>IF(IFERROR(VLOOKUP(A551,'27.植栽(新植)'!C:D,1,0),"")="","","✔")</f>
        <v/>
      </c>
      <c r="AC551" s="98" t="str">
        <f>IF(IFERROR(VLOOKUP(A551,'28.照明'!C:D,1,0),"")="","","✔")</f>
        <v/>
      </c>
      <c r="AD551" s="98" t="str">
        <f>IF(IFERROR(VLOOKUP(A551,'29.既有橋梁拆除'!C:D,1,0),"")="","","✔")</f>
        <v/>
      </c>
    </row>
    <row r="552" spans="1:30" ht="21.75" customHeight="1" x14ac:dyDescent="0.25">
      <c r="A552" s="99">
        <v>45742</v>
      </c>
      <c r="B552" s="98" t="str">
        <f>IF(IFERROR(VLOOKUP(A552,'1.測量放樣'!C:D,1,0),"")="","","✔")</f>
        <v/>
      </c>
      <c r="C552" s="98" t="str">
        <f>IF(IFERROR(VLOOKUP(A552,'2.土方開挖'!C:D,1,0),"")="","","✔")</f>
        <v/>
      </c>
      <c r="D552" s="98" t="str">
        <f>IF(IFERROR(VLOOKUP(A552,'3.土方回填'!C:D,1,0),"")="","","✔")</f>
        <v/>
      </c>
      <c r="E552" s="98" t="str">
        <f>IF(IFERROR(VLOOKUP(A552,'4.鋼筋'!C:D,1,0),"")="","","✔")</f>
        <v/>
      </c>
      <c r="F552" s="98" t="str">
        <f>IF(IFERROR(VLOOKUP(A552,'5.模板'!C:D,1,0),"")="","","✔")</f>
        <v/>
      </c>
      <c r="G552" s="98" t="str">
        <f>IF(IFERROR(VLOOKUP(A552,'6.混凝土'!C:D,1,0),"")="","","✔")</f>
        <v/>
      </c>
      <c r="H552" s="98" t="str">
        <f>IF(IFERROR(VLOOKUP(A552,'7.植筋'!C:D,1,0),"")="","","✔")</f>
        <v/>
      </c>
      <c r="I552" s="98" t="str">
        <f>IF(IFERROR(VLOOKUP(A552,'8.預力混凝土基樁'!C:D,1,0),"")="","","✔")</f>
        <v/>
      </c>
      <c r="J552" s="98" t="str">
        <f>IF(IFERROR(VLOOKUP(A552,'9.砌塊石護岸'!C:D,1,0),"")="","","✔")</f>
        <v/>
      </c>
      <c r="K552" s="98" t="str">
        <f>IF(IFERROR(VLOOKUP(A552,'10.低水護岸'!C:D,1,0),"")="","","✔")</f>
        <v/>
      </c>
      <c r="L552" s="98" t="str">
        <f>IF(IFERROR(VLOOKUP(A552,'11.固床工'!C:D,1,0),"")="","","✔")</f>
        <v/>
      </c>
      <c r="M552" s="98" t="str">
        <f>IF(IFERROR(VLOOKUP(A552,'12.全套管基樁'!C:D,1,0),"")="","","✔")</f>
        <v/>
      </c>
      <c r="N552" s="98" t="str">
        <f>IF(IFERROR(VLOOKUP(A552,'13.鋼筋混凝土管工程'!C:D,1,0),"")="","","✔")</f>
        <v/>
      </c>
      <c r="O552" s="98" t="str">
        <f>IF(IFERROR(VLOOKUP(A552,'14.鋼版樁'!C:D,1,0),"")="","","✔")</f>
        <v/>
      </c>
      <c r="P552" s="98" t="str">
        <f>IF(IFERROR(VLOOKUP(A552,'15.路床 路基高程'!C:D,1,0),"")="","","✔")</f>
        <v/>
      </c>
      <c r="Q552" s="98" t="str">
        <f>IF(IFERROR(VLOOKUP(A552,'16.瀝青混凝土'!C:D,1,0),"")="","","✔")</f>
        <v/>
      </c>
      <c r="R552" s="98" t="str">
        <f>IF(IFERROR(VLOOKUP(A552,'17.景觀鋪面(一)'!C:D,1,0),"")="","","✔")</f>
        <v/>
      </c>
      <c r="S552" s="98" t="str">
        <f>IF(IFERROR(VLOOKUP(A552,'18.景觀鋪面(二)'!C:D,1,0),"")="","","✔")</f>
        <v/>
      </c>
      <c r="T552" s="98" t="str">
        <f>IF(IFERROR(VLOOKUP(A552,'19.預鑄緣石'!C:D,1,0),"")="","","✔")</f>
        <v/>
      </c>
      <c r="U552" s="98" t="str">
        <f>IF(IFERROR(VLOOKUP(A552,'20.鋼構工程吊裝'!C:D,1,0),"")="","","✔")</f>
        <v/>
      </c>
      <c r="V552" s="98" t="str">
        <f>IF(IFERROR(VLOOKUP(A552,'21.鋼構工程塗裝'!C:D,1,0),"")="","","✔")</f>
        <v/>
      </c>
      <c r="W552" s="98" t="str">
        <f>IF(IFERROR(VLOOKUP(A552,'22.排水設施(一)'!C:D,1,0),"")="","","✔")</f>
        <v/>
      </c>
      <c r="X552" s="98" t="str">
        <f>IF(IFERROR(VLOOKUP(A552,'23.排水設施(二)'!C:D,1,0),"")="","","✔")</f>
        <v/>
      </c>
      <c r="Y552" s="98" t="str">
        <f>IF(IFERROR(VLOOKUP(A552,'24.木構造'!C:D,1,0),"")="","","✔")</f>
        <v/>
      </c>
      <c r="Z552" s="98" t="str">
        <f>IF(IFERROR(VLOOKUP(A552,'25.管路'!C:D,1,0),"")="","","✔")</f>
        <v/>
      </c>
      <c r="AA552" s="98" t="str">
        <f>IF(IFERROR(VLOOKUP(A552,'26.植栽(移植)'!C:D,1,0),"")="","","✔")</f>
        <v/>
      </c>
      <c r="AB552" s="98" t="str">
        <f>IF(IFERROR(VLOOKUP(A552,'27.植栽(新植)'!C:D,1,0),"")="","","✔")</f>
        <v/>
      </c>
      <c r="AC552" s="98" t="str">
        <f>IF(IFERROR(VLOOKUP(A552,'28.照明'!C:D,1,0),"")="","","✔")</f>
        <v/>
      </c>
      <c r="AD552" s="98" t="str">
        <f>IF(IFERROR(VLOOKUP(A552,'29.既有橋梁拆除'!C:D,1,0),"")="","","✔")</f>
        <v/>
      </c>
    </row>
    <row r="553" spans="1:30" ht="21.75" customHeight="1" x14ac:dyDescent="0.25">
      <c r="A553" s="99">
        <v>45743</v>
      </c>
      <c r="B553" s="98" t="str">
        <f>IF(IFERROR(VLOOKUP(A553,'1.測量放樣'!C:D,1,0),"")="","","✔")</f>
        <v/>
      </c>
      <c r="C553" s="98" t="str">
        <f>IF(IFERROR(VLOOKUP(A553,'2.土方開挖'!C:D,1,0),"")="","","✔")</f>
        <v/>
      </c>
      <c r="D553" s="98" t="str">
        <f>IF(IFERROR(VLOOKUP(A553,'3.土方回填'!C:D,1,0),"")="","","✔")</f>
        <v/>
      </c>
      <c r="E553" s="98" t="str">
        <f>IF(IFERROR(VLOOKUP(A553,'4.鋼筋'!C:D,1,0),"")="","","✔")</f>
        <v/>
      </c>
      <c r="F553" s="98" t="str">
        <f>IF(IFERROR(VLOOKUP(A553,'5.模板'!C:D,1,0),"")="","","✔")</f>
        <v/>
      </c>
      <c r="G553" s="98" t="str">
        <f>IF(IFERROR(VLOOKUP(A553,'6.混凝土'!C:D,1,0),"")="","","✔")</f>
        <v/>
      </c>
      <c r="H553" s="98" t="str">
        <f>IF(IFERROR(VLOOKUP(A553,'7.植筋'!C:D,1,0),"")="","","✔")</f>
        <v/>
      </c>
      <c r="I553" s="98" t="str">
        <f>IF(IFERROR(VLOOKUP(A553,'8.預力混凝土基樁'!C:D,1,0),"")="","","✔")</f>
        <v/>
      </c>
      <c r="J553" s="98" t="str">
        <f>IF(IFERROR(VLOOKUP(A553,'9.砌塊石護岸'!C:D,1,0),"")="","","✔")</f>
        <v/>
      </c>
      <c r="K553" s="98" t="str">
        <f>IF(IFERROR(VLOOKUP(A553,'10.低水護岸'!C:D,1,0),"")="","","✔")</f>
        <v/>
      </c>
      <c r="L553" s="98" t="str">
        <f>IF(IFERROR(VLOOKUP(A553,'11.固床工'!C:D,1,0),"")="","","✔")</f>
        <v/>
      </c>
      <c r="M553" s="98" t="str">
        <f>IF(IFERROR(VLOOKUP(A553,'12.全套管基樁'!C:D,1,0),"")="","","✔")</f>
        <v/>
      </c>
      <c r="N553" s="98" t="str">
        <f>IF(IFERROR(VLOOKUP(A553,'13.鋼筋混凝土管工程'!C:D,1,0),"")="","","✔")</f>
        <v/>
      </c>
      <c r="O553" s="98" t="str">
        <f>IF(IFERROR(VLOOKUP(A553,'14.鋼版樁'!C:D,1,0),"")="","","✔")</f>
        <v/>
      </c>
      <c r="P553" s="98" t="str">
        <f>IF(IFERROR(VLOOKUP(A553,'15.路床 路基高程'!C:D,1,0),"")="","","✔")</f>
        <v/>
      </c>
      <c r="Q553" s="98" t="str">
        <f>IF(IFERROR(VLOOKUP(A553,'16.瀝青混凝土'!C:D,1,0),"")="","","✔")</f>
        <v/>
      </c>
      <c r="R553" s="98" t="str">
        <f>IF(IFERROR(VLOOKUP(A553,'17.景觀鋪面(一)'!C:D,1,0),"")="","","✔")</f>
        <v/>
      </c>
      <c r="S553" s="98" t="str">
        <f>IF(IFERROR(VLOOKUP(A553,'18.景觀鋪面(二)'!C:D,1,0),"")="","","✔")</f>
        <v/>
      </c>
      <c r="T553" s="98" t="str">
        <f>IF(IFERROR(VLOOKUP(A553,'19.預鑄緣石'!C:D,1,0),"")="","","✔")</f>
        <v/>
      </c>
      <c r="U553" s="98" t="str">
        <f>IF(IFERROR(VLOOKUP(A553,'20.鋼構工程吊裝'!C:D,1,0),"")="","","✔")</f>
        <v/>
      </c>
      <c r="V553" s="98" t="str">
        <f>IF(IFERROR(VLOOKUP(A553,'21.鋼構工程塗裝'!C:D,1,0),"")="","","✔")</f>
        <v/>
      </c>
      <c r="W553" s="98" t="str">
        <f>IF(IFERROR(VLOOKUP(A553,'22.排水設施(一)'!C:D,1,0),"")="","","✔")</f>
        <v/>
      </c>
      <c r="X553" s="98" t="str">
        <f>IF(IFERROR(VLOOKUP(A553,'23.排水設施(二)'!C:D,1,0),"")="","","✔")</f>
        <v/>
      </c>
      <c r="Y553" s="98" t="str">
        <f>IF(IFERROR(VLOOKUP(A553,'24.木構造'!C:D,1,0),"")="","","✔")</f>
        <v/>
      </c>
      <c r="Z553" s="98" t="str">
        <f>IF(IFERROR(VLOOKUP(A553,'25.管路'!C:D,1,0),"")="","","✔")</f>
        <v/>
      </c>
      <c r="AA553" s="98" t="str">
        <f>IF(IFERROR(VLOOKUP(A553,'26.植栽(移植)'!C:D,1,0),"")="","","✔")</f>
        <v/>
      </c>
      <c r="AB553" s="98" t="str">
        <f>IF(IFERROR(VLOOKUP(A553,'27.植栽(新植)'!C:D,1,0),"")="","","✔")</f>
        <v/>
      </c>
      <c r="AC553" s="98" t="str">
        <f>IF(IFERROR(VLOOKUP(A553,'28.照明'!C:D,1,0),"")="","","✔")</f>
        <v/>
      </c>
      <c r="AD553" s="98" t="str">
        <f>IF(IFERROR(VLOOKUP(A553,'29.既有橋梁拆除'!C:D,1,0),"")="","","✔")</f>
        <v/>
      </c>
    </row>
    <row r="554" spans="1:30" ht="21.75" customHeight="1" x14ac:dyDescent="0.25">
      <c r="A554" s="99">
        <v>45744</v>
      </c>
      <c r="B554" s="98" t="str">
        <f>IF(IFERROR(VLOOKUP(A554,'1.測量放樣'!C:D,1,0),"")="","","✔")</f>
        <v/>
      </c>
      <c r="C554" s="98" t="str">
        <f>IF(IFERROR(VLOOKUP(A554,'2.土方開挖'!C:D,1,0),"")="","","✔")</f>
        <v/>
      </c>
      <c r="D554" s="98" t="str">
        <f>IF(IFERROR(VLOOKUP(A554,'3.土方回填'!C:D,1,0),"")="","","✔")</f>
        <v/>
      </c>
      <c r="E554" s="98" t="str">
        <f>IF(IFERROR(VLOOKUP(A554,'4.鋼筋'!C:D,1,0),"")="","","✔")</f>
        <v/>
      </c>
      <c r="F554" s="98" t="str">
        <f>IF(IFERROR(VLOOKUP(A554,'5.模板'!C:D,1,0),"")="","","✔")</f>
        <v/>
      </c>
      <c r="G554" s="98" t="str">
        <f>IF(IFERROR(VLOOKUP(A554,'6.混凝土'!C:D,1,0),"")="","","✔")</f>
        <v/>
      </c>
      <c r="H554" s="98" t="str">
        <f>IF(IFERROR(VLOOKUP(A554,'7.植筋'!C:D,1,0),"")="","","✔")</f>
        <v/>
      </c>
      <c r="I554" s="98" t="str">
        <f>IF(IFERROR(VLOOKUP(A554,'8.預力混凝土基樁'!C:D,1,0),"")="","","✔")</f>
        <v/>
      </c>
      <c r="J554" s="98" t="str">
        <f>IF(IFERROR(VLOOKUP(A554,'9.砌塊石護岸'!C:D,1,0),"")="","","✔")</f>
        <v/>
      </c>
      <c r="K554" s="98" t="str">
        <f>IF(IFERROR(VLOOKUP(A554,'10.低水護岸'!C:D,1,0),"")="","","✔")</f>
        <v/>
      </c>
      <c r="L554" s="98" t="str">
        <f>IF(IFERROR(VLOOKUP(A554,'11.固床工'!C:D,1,0),"")="","","✔")</f>
        <v/>
      </c>
      <c r="M554" s="98" t="str">
        <f>IF(IFERROR(VLOOKUP(A554,'12.全套管基樁'!C:D,1,0),"")="","","✔")</f>
        <v/>
      </c>
      <c r="N554" s="98" t="str">
        <f>IF(IFERROR(VLOOKUP(A554,'13.鋼筋混凝土管工程'!C:D,1,0),"")="","","✔")</f>
        <v/>
      </c>
      <c r="O554" s="98" t="str">
        <f>IF(IFERROR(VLOOKUP(A554,'14.鋼版樁'!C:D,1,0),"")="","","✔")</f>
        <v/>
      </c>
      <c r="P554" s="98" t="str">
        <f>IF(IFERROR(VLOOKUP(A554,'15.路床 路基高程'!C:D,1,0),"")="","","✔")</f>
        <v/>
      </c>
      <c r="Q554" s="98" t="str">
        <f>IF(IFERROR(VLOOKUP(A554,'16.瀝青混凝土'!C:D,1,0),"")="","","✔")</f>
        <v/>
      </c>
      <c r="R554" s="98" t="str">
        <f>IF(IFERROR(VLOOKUP(A554,'17.景觀鋪面(一)'!C:D,1,0),"")="","","✔")</f>
        <v/>
      </c>
      <c r="S554" s="98" t="str">
        <f>IF(IFERROR(VLOOKUP(A554,'18.景觀鋪面(二)'!C:D,1,0),"")="","","✔")</f>
        <v/>
      </c>
      <c r="T554" s="98" t="str">
        <f>IF(IFERROR(VLOOKUP(A554,'19.預鑄緣石'!C:D,1,0),"")="","","✔")</f>
        <v/>
      </c>
      <c r="U554" s="98" t="str">
        <f>IF(IFERROR(VLOOKUP(A554,'20.鋼構工程吊裝'!C:D,1,0),"")="","","✔")</f>
        <v/>
      </c>
      <c r="V554" s="98" t="str">
        <f>IF(IFERROR(VLOOKUP(A554,'21.鋼構工程塗裝'!C:D,1,0),"")="","","✔")</f>
        <v/>
      </c>
      <c r="W554" s="98" t="str">
        <f>IF(IFERROR(VLOOKUP(A554,'22.排水設施(一)'!C:D,1,0),"")="","","✔")</f>
        <v/>
      </c>
      <c r="X554" s="98" t="str">
        <f>IF(IFERROR(VLOOKUP(A554,'23.排水設施(二)'!C:D,1,0),"")="","","✔")</f>
        <v/>
      </c>
      <c r="Y554" s="98" t="str">
        <f>IF(IFERROR(VLOOKUP(A554,'24.木構造'!C:D,1,0),"")="","","✔")</f>
        <v/>
      </c>
      <c r="Z554" s="98" t="str">
        <f>IF(IFERROR(VLOOKUP(A554,'25.管路'!C:D,1,0),"")="","","✔")</f>
        <v/>
      </c>
      <c r="AA554" s="98" t="str">
        <f>IF(IFERROR(VLOOKUP(A554,'26.植栽(移植)'!C:D,1,0),"")="","","✔")</f>
        <v/>
      </c>
      <c r="AB554" s="98" t="str">
        <f>IF(IFERROR(VLOOKUP(A554,'27.植栽(新植)'!C:D,1,0),"")="","","✔")</f>
        <v/>
      </c>
      <c r="AC554" s="98" t="str">
        <f>IF(IFERROR(VLOOKUP(A554,'28.照明'!C:D,1,0),"")="","","✔")</f>
        <v/>
      </c>
      <c r="AD554" s="98" t="str">
        <f>IF(IFERROR(VLOOKUP(A554,'29.既有橋梁拆除'!C:D,1,0),"")="","","✔")</f>
        <v/>
      </c>
    </row>
    <row r="555" spans="1:30" ht="21.75" customHeight="1" x14ac:dyDescent="0.25">
      <c r="A555" s="99">
        <v>45745</v>
      </c>
      <c r="B555" s="98" t="str">
        <f>IF(IFERROR(VLOOKUP(A555,'1.測量放樣'!C:D,1,0),"")="","","✔")</f>
        <v/>
      </c>
      <c r="C555" s="98" t="str">
        <f>IF(IFERROR(VLOOKUP(A555,'2.土方開挖'!C:D,1,0),"")="","","✔")</f>
        <v/>
      </c>
      <c r="D555" s="98" t="str">
        <f>IF(IFERROR(VLOOKUP(A555,'3.土方回填'!C:D,1,0),"")="","","✔")</f>
        <v/>
      </c>
      <c r="E555" s="98" t="str">
        <f>IF(IFERROR(VLOOKUP(A555,'4.鋼筋'!C:D,1,0),"")="","","✔")</f>
        <v/>
      </c>
      <c r="F555" s="98" t="str">
        <f>IF(IFERROR(VLOOKUP(A555,'5.模板'!C:D,1,0),"")="","","✔")</f>
        <v/>
      </c>
      <c r="G555" s="98" t="str">
        <f>IF(IFERROR(VLOOKUP(A555,'6.混凝土'!C:D,1,0),"")="","","✔")</f>
        <v/>
      </c>
      <c r="H555" s="98" t="str">
        <f>IF(IFERROR(VLOOKUP(A555,'7.植筋'!C:D,1,0),"")="","","✔")</f>
        <v/>
      </c>
      <c r="I555" s="98" t="str">
        <f>IF(IFERROR(VLOOKUP(A555,'8.預力混凝土基樁'!C:D,1,0),"")="","","✔")</f>
        <v/>
      </c>
      <c r="J555" s="98" t="str">
        <f>IF(IFERROR(VLOOKUP(A555,'9.砌塊石護岸'!C:D,1,0),"")="","","✔")</f>
        <v/>
      </c>
      <c r="K555" s="98" t="str">
        <f>IF(IFERROR(VLOOKUP(A555,'10.低水護岸'!C:D,1,0),"")="","","✔")</f>
        <v/>
      </c>
      <c r="L555" s="98" t="str">
        <f>IF(IFERROR(VLOOKUP(A555,'11.固床工'!C:D,1,0),"")="","","✔")</f>
        <v/>
      </c>
      <c r="M555" s="98" t="str">
        <f>IF(IFERROR(VLOOKUP(A555,'12.全套管基樁'!C:D,1,0),"")="","","✔")</f>
        <v/>
      </c>
      <c r="N555" s="98" t="str">
        <f>IF(IFERROR(VLOOKUP(A555,'13.鋼筋混凝土管工程'!C:D,1,0),"")="","","✔")</f>
        <v/>
      </c>
      <c r="O555" s="98" t="str">
        <f>IF(IFERROR(VLOOKUP(A555,'14.鋼版樁'!C:D,1,0),"")="","","✔")</f>
        <v/>
      </c>
      <c r="P555" s="98" t="str">
        <f>IF(IFERROR(VLOOKUP(A555,'15.路床 路基高程'!C:D,1,0),"")="","","✔")</f>
        <v/>
      </c>
      <c r="Q555" s="98" t="str">
        <f>IF(IFERROR(VLOOKUP(A555,'16.瀝青混凝土'!C:D,1,0),"")="","","✔")</f>
        <v/>
      </c>
      <c r="R555" s="98" t="str">
        <f>IF(IFERROR(VLOOKUP(A555,'17.景觀鋪面(一)'!C:D,1,0),"")="","","✔")</f>
        <v/>
      </c>
      <c r="S555" s="98" t="str">
        <f>IF(IFERROR(VLOOKUP(A555,'18.景觀鋪面(二)'!C:D,1,0),"")="","","✔")</f>
        <v/>
      </c>
      <c r="T555" s="98" t="str">
        <f>IF(IFERROR(VLOOKUP(A555,'19.預鑄緣石'!C:D,1,0),"")="","","✔")</f>
        <v/>
      </c>
      <c r="U555" s="98" t="str">
        <f>IF(IFERROR(VLOOKUP(A555,'20.鋼構工程吊裝'!C:D,1,0),"")="","","✔")</f>
        <v/>
      </c>
      <c r="V555" s="98" t="str">
        <f>IF(IFERROR(VLOOKUP(A555,'21.鋼構工程塗裝'!C:D,1,0),"")="","","✔")</f>
        <v/>
      </c>
      <c r="W555" s="98" t="str">
        <f>IF(IFERROR(VLOOKUP(A555,'22.排水設施(一)'!C:D,1,0),"")="","","✔")</f>
        <v/>
      </c>
      <c r="X555" s="98" t="str">
        <f>IF(IFERROR(VLOOKUP(A555,'23.排水設施(二)'!C:D,1,0),"")="","","✔")</f>
        <v/>
      </c>
      <c r="Y555" s="98" t="str">
        <f>IF(IFERROR(VLOOKUP(A555,'24.木構造'!C:D,1,0),"")="","","✔")</f>
        <v/>
      </c>
      <c r="Z555" s="98" t="str">
        <f>IF(IFERROR(VLOOKUP(A555,'25.管路'!C:D,1,0),"")="","","✔")</f>
        <v/>
      </c>
      <c r="AA555" s="98" t="str">
        <f>IF(IFERROR(VLOOKUP(A555,'26.植栽(移植)'!C:D,1,0),"")="","","✔")</f>
        <v/>
      </c>
      <c r="AB555" s="98" t="str">
        <f>IF(IFERROR(VLOOKUP(A555,'27.植栽(新植)'!C:D,1,0),"")="","","✔")</f>
        <v/>
      </c>
      <c r="AC555" s="98" t="str">
        <f>IF(IFERROR(VLOOKUP(A555,'28.照明'!C:D,1,0),"")="","","✔")</f>
        <v/>
      </c>
      <c r="AD555" s="98" t="str">
        <f>IF(IFERROR(VLOOKUP(A555,'29.既有橋梁拆除'!C:D,1,0),"")="","","✔")</f>
        <v/>
      </c>
    </row>
    <row r="556" spans="1:30" ht="21.75" customHeight="1" x14ac:dyDescent="0.25">
      <c r="A556" s="99">
        <v>45746</v>
      </c>
      <c r="B556" s="98" t="str">
        <f>IF(IFERROR(VLOOKUP(A556,'1.測量放樣'!C:D,1,0),"")="","","✔")</f>
        <v/>
      </c>
      <c r="C556" s="98" t="str">
        <f>IF(IFERROR(VLOOKUP(A556,'2.土方開挖'!C:D,1,0),"")="","","✔")</f>
        <v/>
      </c>
      <c r="D556" s="98" t="str">
        <f>IF(IFERROR(VLOOKUP(A556,'3.土方回填'!C:D,1,0),"")="","","✔")</f>
        <v/>
      </c>
      <c r="E556" s="98" t="str">
        <f>IF(IFERROR(VLOOKUP(A556,'4.鋼筋'!C:D,1,0),"")="","","✔")</f>
        <v/>
      </c>
      <c r="F556" s="98" t="str">
        <f>IF(IFERROR(VLOOKUP(A556,'5.模板'!C:D,1,0),"")="","","✔")</f>
        <v/>
      </c>
      <c r="G556" s="98" t="str">
        <f>IF(IFERROR(VLOOKUP(A556,'6.混凝土'!C:D,1,0),"")="","","✔")</f>
        <v/>
      </c>
      <c r="H556" s="98" t="str">
        <f>IF(IFERROR(VLOOKUP(A556,'7.植筋'!C:D,1,0),"")="","","✔")</f>
        <v/>
      </c>
      <c r="I556" s="98" t="str">
        <f>IF(IFERROR(VLOOKUP(A556,'8.預力混凝土基樁'!C:D,1,0),"")="","","✔")</f>
        <v/>
      </c>
      <c r="J556" s="98" t="str">
        <f>IF(IFERROR(VLOOKUP(A556,'9.砌塊石護岸'!C:D,1,0),"")="","","✔")</f>
        <v/>
      </c>
      <c r="K556" s="98" t="str">
        <f>IF(IFERROR(VLOOKUP(A556,'10.低水護岸'!C:D,1,0),"")="","","✔")</f>
        <v/>
      </c>
      <c r="L556" s="98" t="str">
        <f>IF(IFERROR(VLOOKUP(A556,'11.固床工'!C:D,1,0),"")="","","✔")</f>
        <v/>
      </c>
      <c r="M556" s="98" t="str">
        <f>IF(IFERROR(VLOOKUP(A556,'12.全套管基樁'!C:D,1,0),"")="","","✔")</f>
        <v/>
      </c>
      <c r="N556" s="98" t="str">
        <f>IF(IFERROR(VLOOKUP(A556,'13.鋼筋混凝土管工程'!C:D,1,0),"")="","","✔")</f>
        <v/>
      </c>
      <c r="O556" s="98" t="str">
        <f>IF(IFERROR(VLOOKUP(A556,'14.鋼版樁'!C:D,1,0),"")="","","✔")</f>
        <v/>
      </c>
      <c r="P556" s="98" t="str">
        <f>IF(IFERROR(VLOOKUP(A556,'15.路床 路基高程'!C:D,1,0),"")="","","✔")</f>
        <v/>
      </c>
      <c r="Q556" s="98" t="str">
        <f>IF(IFERROR(VLOOKUP(A556,'16.瀝青混凝土'!C:D,1,0),"")="","","✔")</f>
        <v/>
      </c>
      <c r="R556" s="98" t="str">
        <f>IF(IFERROR(VLOOKUP(A556,'17.景觀鋪面(一)'!C:D,1,0),"")="","","✔")</f>
        <v/>
      </c>
      <c r="S556" s="98" t="str">
        <f>IF(IFERROR(VLOOKUP(A556,'18.景觀鋪面(二)'!C:D,1,0),"")="","","✔")</f>
        <v/>
      </c>
      <c r="T556" s="98" t="str">
        <f>IF(IFERROR(VLOOKUP(A556,'19.預鑄緣石'!C:D,1,0),"")="","","✔")</f>
        <v/>
      </c>
      <c r="U556" s="98" t="str">
        <f>IF(IFERROR(VLOOKUP(A556,'20.鋼構工程吊裝'!C:D,1,0),"")="","","✔")</f>
        <v/>
      </c>
      <c r="V556" s="98" t="str">
        <f>IF(IFERROR(VLOOKUP(A556,'21.鋼構工程塗裝'!C:D,1,0),"")="","","✔")</f>
        <v/>
      </c>
      <c r="W556" s="98" t="str">
        <f>IF(IFERROR(VLOOKUP(A556,'22.排水設施(一)'!C:D,1,0),"")="","","✔")</f>
        <v/>
      </c>
      <c r="X556" s="98" t="str">
        <f>IF(IFERROR(VLOOKUP(A556,'23.排水設施(二)'!C:D,1,0),"")="","","✔")</f>
        <v/>
      </c>
      <c r="Y556" s="98" t="str">
        <f>IF(IFERROR(VLOOKUP(A556,'24.木構造'!C:D,1,0),"")="","","✔")</f>
        <v/>
      </c>
      <c r="Z556" s="98" t="str">
        <f>IF(IFERROR(VLOOKUP(A556,'25.管路'!C:D,1,0),"")="","","✔")</f>
        <v/>
      </c>
      <c r="AA556" s="98" t="str">
        <f>IF(IFERROR(VLOOKUP(A556,'26.植栽(移植)'!C:D,1,0),"")="","","✔")</f>
        <v/>
      </c>
      <c r="AB556" s="98" t="str">
        <f>IF(IFERROR(VLOOKUP(A556,'27.植栽(新植)'!C:D,1,0),"")="","","✔")</f>
        <v/>
      </c>
      <c r="AC556" s="98" t="str">
        <f>IF(IFERROR(VLOOKUP(A556,'28.照明'!C:D,1,0),"")="","","✔")</f>
        <v/>
      </c>
      <c r="AD556" s="98" t="str">
        <f>IF(IFERROR(VLOOKUP(A556,'29.既有橋梁拆除'!C:D,1,0),"")="","","✔")</f>
        <v/>
      </c>
    </row>
    <row r="557" spans="1:30" ht="21.75" customHeight="1" x14ac:dyDescent="0.25">
      <c r="A557" s="99">
        <v>45747</v>
      </c>
      <c r="B557" s="98" t="str">
        <f>IF(IFERROR(VLOOKUP(A557,'1.測量放樣'!C:D,1,0),"")="","","✔")</f>
        <v/>
      </c>
      <c r="C557" s="98" t="str">
        <f>IF(IFERROR(VLOOKUP(A557,'2.土方開挖'!C:D,1,0),"")="","","✔")</f>
        <v/>
      </c>
      <c r="D557" s="98" t="str">
        <f>IF(IFERROR(VLOOKUP(A557,'3.土方回填'!C:D,1,0),"")="","","✔")</f>
        <v/>
      </c>
      <c r="E557" s="98" t="str">
        <f>IF(IFERROR(VLOOKUP(A557,'4.鋼筋'!C:D,1,0),"")="","","✔")</f>
        <v/>
      </c>
      <c r="F557" s="98" t="str">
        <f>IF(IFERROR(VLOOKUP(A557,'5.模板'!C:D,1,0),"")="","","✔")</f>
        <v/>
      </c>
      <c r="G557" s="98" t="str">
        <f>IF(IFERROR(VLOOKUP(A557,'6.混凝土'!C:D,1,0),"")="","","✔")</f>
        <v/>
      </c>
      <c r="H557" s="98" t="str">
        <f>IF(IFERROR(VLOOKUP(A557,'7.植筋'!C:D,1,0),"")="","","✔")</f>
        <v/>
      </c>
      <c r="I557" s="98" t="str">
        <f>IF(IFERROR(VLOOKUP(A557,'8.預力混凝土基樁'!C:D,1,0),"")="","","✔")</f>
        <v/>
      </c>
      <c r="J557" s="98" t="str">
        <f>IF(IFERROR(VLOOKUP(A557,'9.砌塊石護岸'!C:D,1,0),"")="","","✔")</f>
        <v/>
      </c>
      <c r="K557" s="98" t="str">
        <f>IF(IFERROR(VLOOKUP(A557,'10.低水護岸'!C:D,1,0),"")="","","✔")</f>
        <v/>
      </c>
      <c r="L557" s="98" t="str">
        <f>IF(IFERROR(VLOOKUP(A557,'11.固床工'!C:D,1,0),"")="","","✔")</f>
        <v/>
      </c>
      <c r="M557" s="98" t="str">
        <f>IF(IFERROR(VLOOKUP(A557,'12.全套管基樁'!C:D,1,0),"")="","","✔")</f>
        <v/>
      </c>
      <c r="N557" s="98" t="str">
        <f>IF(IFERROR(VLOOKUP(A557,'13.鋼筋混凝土管工程'!C:D,1,0),"")="","","✔")</f>
        <v/>
      </c>
      <c r="O557" s="98" t="str">
        <f>IF(IFERROR(VLOOKUP(A557,'14.鋼版樁'!C:D,1,0),"")="","","✔")</f>
        <v/>
      </c>
      <c r="P557" s="98" t="str">
        <f>IF(IFERROR(VLOOKUP(A557,'15.路床 路基高程'!C:D,1,0),"")="","","✔")</f>
        <v/>
      </c>
      <c r="Q557" s="98" t="str">
        <f>IF(IFERROR(VLOOKUP(A557,'16.瀝青混凝土'!C:D,1,0),"")="","","✔")</f>
        <v/>
      </c>
      <c r="R557" s="98" t="str">
        <f>IF(IFERROR(VLOOKUP(A557,'17.景觀鋪面(一)'!C:D,1,0),"")="","","✔")</f>
        <v/>
      </c>
      <c r="S557" s="98" t="str">
        <f>IF(IFERROR(VLOOKUP(A557,'18.景觀鋪面(二)'!C:D,1,0),"")="","","✔")</f>
        <v/>
      </c>
      <c r="T557" s="98" t="str">
        <f>IF(IFERROR(VLOOKUP(A557,'19.預鑄緣石'!C:D,1,0),"")="","","✔")</f>
        <v/>
      </c>
      <c r="U557" s="98" t="str">
        <f>IF(IFERROR(VLOOKUP(A557,'20.鋼構工程吊裝'!C:D,1,0),"")="","","✔")</f>
        <v/>
      </c>
      <c r="V557" s="98" t="str">
        <f>IF(IFERROR(VLOOKUP(A557,'21.鋼構工程塗裝'!C:D,1,0),"")="","","✔")</f>
        <v/>
      </c>
      <c r="W557" s="98" t="str">
        <f>IF(IFERROR(VLOOKUP(A557,'22.排水設施(一)'!C:D,1,0),"")="","","✔")</f>
        <v/>
      </c>
      <c r="X557" s="98" t="str">
        <f>IF(IFERROR(VLOOKUP(A557,'23.排水設施(二)'!C:D,1,0),"")="","","✔")</f>
        <v/>
      </c>
      <c r="Y557" s="98" t="str">
        <f>IF(IFERROR(VLOOKUP(A557,'24.木構造'!C:D,1,0),"")="","","✔")</f>
        <v/>
      </c>
      <c r="Z557" s="98" t="str">
        <f>IF(IFERROR(VLOOKUP(A557,'25.管路'!C:D,1,0),"")="","","✔")</f>
        <v/>
      </c>
      <c r="AA557" s="98" t="str">
        <f>IF(IFERROR(VLOOKUP(A557,'26.植栽(移植)'!C:D,1,0),"")="","","✔")</f>
        <v/>
      </c>
      <c r="AB557" s="98" t="str">
        <f>IF(IFERROR(VLOOKUP(A557,'27.植栽(新植)'!C:D,1,0),"")="","","✔")</f>
        <v/>
      </c>
      <c r="AC557" s="98" t="str">
        <f>IF(IFERROR(VLOOKUP(A557,'28.照明'!C:D,1,0),"")="","","✔")</f>
        <v/>
      </c>
      <c r="AD557" s="98" t="str">
        <f>IF(IFERROR(VLOOKUP(A557,'29.既有橋梁拆除'!C:D,1,0),"")="","","✔")</f>
        <v/>
      </c>
    </row>
    <row r="558" spans="1:30" ht="21.75" customHeight="1" x14ac:dyDescent="0.25">
      <c r="A558" s="99">
        <v>45748</v>
      </c>
      <c r="B558" s="98" t="str">
        <f>IF(IFERROR(VLOOKUP(A558,'1.測量放樣'!C:D,1,0),"")="","","✔")</f>
        <v/>
      </c>
      <c r="C558" s="98" t="str">
        <f>IF(IFERROR(VLOOKUP(A558,'2.土方開挖'!C:D,1,0),"")="","","✔")</f>
        <v/>
      </c>
      <c r="D558" s="98" t="str">
        <f>IF(IFERROR(VLOOKUP(A558,'3.土方回填'!C:D,1,0),"")="","","✔")</f>
        <v/>
      </c>
      <c r="E558" s="98" t="str">
        <f>IF(IFERROR(VLOOKUP(A558,'4.鋼筋'!C:D,1,0),"")="","","✔")</f>
        <v/>
      </c>
      <c r="F558" s="98" t="str">
        <f>IF(IFERROR(VLOOKUP(A558,'5.模板'!C:D,1,0),"")="","","✔")</f>
        <v/>
      </c>
      <c r="G558" s="98" t="str">
        <f>IF(IFERROR(VLOOKUP(A558,'6.混凝土'!C:D,1,0),"")="","","✔")</f>
        <v/>
      </c>
      <c r="H558" s="98" t="str">
        <f>IF(IFERROR(VLOOKUP(A558,'7.植筋'!C:D,1,0),"")="","","✔")</f>
        <v/>
      </c>
      <c r="I558" s="98" t="str">
        <f>IF(IFERROR(VLOOKUP(A558,'8.預力混凝土基樁'!C:D,1,0),"")="","","✔")</f>
        <v/>
      </c>
      <c r="J558" s="98" t="str">
        <f>IF(IFERROR(VLOOKUP(A558,'9.砌塊石護岸'!C:D,1,0),"")="","","✔")</f>
        <v/>
      </c>
      <c r="K558" s="98" t="str">
        <f>IF(IFERROR(VLOOKUP(A558,'10.低水護岸'!C:D,1,0),"")="","","✔")</f>
        <v/>
      </c>
      <c r="L558" s="98" t="str">
        <f>IF(IFERROR(VLOOKUP(A558,'11.固床工'!C:D,1,0),"")="","","✔")</f>
        <v/>
      </c>
      <c r="M558" s="98" t="str">
        <f>IF(IFERROR(VLOOKUP(A558,'12.全套管基樁'!C:D,1,0),"")="","","✔")</f>
        <v/>
      </c>
      <c r="N558" s="98" t="str">
        <f>IF(IFERROR(VLOOKUP(A558,'13.鋼筋混凝土管工程'!C:D,1,0),"")="","","✔")</f>
        <v/>
      </c>
      <c r="O558" s="98" t="str">
        <f>IF(IFERROR(VLOOKUP(A558,'14.鋼版樁'!C:D,1,0),"")="","","✔")</f>
        <v/>
      </c>
      <c r="P558" s="98" t="str">
        <f>IF(IFERROR(VLOOKUP(A558,'15.路床 路基高程'!C:D,1,0),"")="","","✔")</f>
        <v/>
      </c>
      <c r="Q558" s="98" t="str">
        <f>IF(IFERROR(VLOOKUP(A558,'16.瀝青混凝土'!C:D,1,0),"")="","","✔")</f>
        <v/>
      </c>
      <c r="R558" s="98" t="str">
        <f>IF(IFERROR(VLOOKUP(A558,'17.景觀鋪面(一)'!C:D,1,0),"")="","","✔")</f>
        <v/>
      </c>
      <c r="S558" s="98" t="str">
        <f>IF(IFERROR(VLOOKUP(A558,'18.景觀鋪面(二)'!C:D,1,0),"")="","","✔")</f>
        <v/>
      </c>
      <c r="T558" s="98" t="str">
        <f>IF(IFERROR(VLOOKUP(A558,'19.預鑄緣石'!C:D,1,0),"")="","","✔")</f>
        <v/>
      </c>
      <c r="U558" s="98" t="str">
        <f>IF(IFERROR(VLOOKUP(A558,'20.鋼構工程吊裝'!C:D,1,0),"")="","","✔")</f>
        <v/>
      </c>
      <c r="V558" s="98" t="str">
        <f>IF(IFERROR(VLOOKUP(A558,'21.鋼構工程塗裝'!C:D,1,0),"")="","","✔")</f>
        <v/>
      </c>
      <c r="W558" s="98" t="str">
        <f>IF(IFERROR(VLOOKUP(A558,'22.排水設施(一)'!C:D,1,0),"")="","","✔")</f>
        <v/>
      </c>
      <c r="X558" s="98" t="str">
        <f>IF(IFERROR(VLOOKUP(A558,'23.排水設施(二)'!C:D,1,0),"")="","","✔")</f>
        <v/>
      </c>
      <c r="Y558" s="98" t="str">
        <f>IF(IFERROR(VLOOKUP(A558,'24.木構造'!C:D,1,0),"")="","","✔")</f>
        <v/>
      </c>
      <c r="Z558" s="98" t="str">
        <f>IF(IFERROR(VLOOKUP(A558,'25.管路'!C:D,1,0),"")="","","✔")</f>
        <v/>
      </c>
      <c r="AA558" s="98" t="str">
        <f>IF(IFERROR(VLOOKUP(A558,'26.植栽(移植)'!C:D,1,0),"")="","","✔")</f>
        <v/>
      </c>
      <c r="AB558" s="98" t="str">
        <f>IF(IFERROR(VLOOKUP(A558,'27.植栽(新植)'!C:D,1,0),"")="","","✔")</f>
        <v/>
      </c>
      <c r="AC558" s="98" t="str">
        <f>IF(IFERROR(VLOOKUP(A558,'28.照明'!C:D,1,0),"")="","","✔")</f>
        <v/>
      </c>
      <c r="AD558" s="98" t="str">
        <f>IF(IFERROR(VLOOKUP(A558,'29.既有橋梁拆除'!C:D,1,0),"")="","","✔")</f>
        <v/>
      </c>
    </row>
    <row r="559" spans="1:30" ht="21.75" customHeight="1" x14ac:dyDescent="0.25">
      <c r="A559" s="99">
        <v>45749</v>
      </c>
      <c r="B559" s="98" t="str">
        <f>IF(IFERROR(VLOOKUP(A559,'1.測量放樣'!C:D,1,0),"")="","","✔")</f>
        <v/>
      </c>
      <c r="C559" s="98" t="str">
        <f>IF(IFERROR(VLOOKUP(A559,'2.土方開挖'!C:D,1,0),"")="","","✔")</f>
        <v/>
      </c>
      <c r="D559" s="98" t="str">
        <f>IF(IFERROR(VLOOKUP(A559,'3.土方回填'!C:D,1,0),"")="","","✔")</f>
        <v/>
      </c>
      <c r="E559" s="98" t="str">
        <f>IF(IFERROR(VLOOKUP(A559,'4.鋼筋'!C:D,1,0),"")="","","✔")</f>
        <v/>
      </c>
      <c r="F559" s="98" t="str">
        <f>IF(IFERROR(VLOOKUP(A559,'5.模板'!C:D,1,0),"")="","","✔")</f>
        <v/>
      </c>
      <c r="G559" s="98" t="str">
        <f>IF(IFERROR(VLOOKUP(A559,'6.混凝土'!C:D,1,0),"")="","","✔")</f>
        <v/>
      </c>
      <c r="H559" s="98" t="str">
        <f>IF(IFERROR(VLOOKUP(A559,'7.植筋'!C:D,1,0),"")="","","✔")</f>
        <v/>
      </c>
      <c r="I559" s="98" t="str">
        <f>IF(IFERROR(VLOOKUP(A559,'8.預力混凝土基樁'!C:D,1,0),"")="","","✔")</f>
        <v/>
      </c>
      <c r="J559" s="98" t="str">
        <f>IF(IFERROR(VLOOKUP(A559,'9.砌塊石護岸'!C:D,1,0),"")="","","✔")</f>
        <v/>
      </c>
      <c r="K559" s="98" t="str">
        <f>IF(IFERROR(VLOOKUP(A559,'10.低水護岸'!C:D,1,0),"")="","","✔")</f>
        <v/>
      </c>
      <c r="L559" s="98" t="str">
        <f>IF(IFERROR(VLOOKUP(A559,'11.固床工'!C:D,1,0),"")="","","✔")</f>
        <v/>
      </c>
      <c r="M559" s="98" t="str">
        <f>IF(IFERROR(VLOOKUP(A559,'12.全套管基樁'!C:D,1,0),"")="","","✔")</f>
        <v/>
      </c>
      <c r="N559" s="98" t="str">
        <f>IF(IFERROR(VLOOKUP(A559,'13.鋼筋混凝土管工程'!C:D,1,0),"")="","","✔")</f>
        <v/>
      </c>
      <c r="O559" s="98" t="str">
        <f>IF(IFERROR(VLOOKUP(A559,'14.鋼版樁'!C:D,1,0),"")="","","✔")</f>
        <v/>
      </c>
      <c r="P559" s="98" t="str">
        <f>IF(IFERROR(VLOOKUP(A559,'15.路床 路基高程'!C:D,1,0),"")="","","✔")</f>
        <v/>
      </c>
      <c r="Q559" s="98" t="str">
        <f>IF(IFERROR(VLOOKUP(A559,'16.瀝青混凝土'!C:D,1,0),"")="","","✔")</f>
        <v/>
      </c>
      <c r="R559" s="98" t="str">
        <f>IF(IFERROR(VLOOKUP(A559,'17.景觀鋪面(一)'!C:D,1,0),"")="","","✔")</f>
        <v/>
      </c>
      <c r="S559" s="98" t="str">
        <f>IF(IFERROR(VLOOKUP(A559,'18.景觀鋪面(二)'!C:D,1,0),"")="","","✔")</f>
        <v/>
      </c>
      <c r="T559" s="98" t="str">
        <f>IF(IFERROR(VLOOKUP(A559,'19.預鑄緣石'!C:D,1,0),"")="","","✔")</f>
        <v/>
      </c>
      <c r="U559" s="98" t="str">
        <f>IF(IFERROR(VLOOKUP(A559,'20.鋼構工程吊裝'!C:D,1,0),"")="","","✔")</f>
        <v/>
      </c>
      <c r="V559" s="98" t="str">
        <f>IF(IFERROR(VLOOKUP(A559,'21.鋼構工程塗裝'!C:D,1,0),"")="","","✔")</f>
        <v/>
      </c>
      <c r="W559" s="98" t="str">
        <f>IF(IFERROR(VLOOKUP(A559,'22.排水設施(一)'!C:D,1,0),"")="","","✔")</f>
        <v/>
      </c>
      <c r="X559" s="98" t="str">
        <f>IF(IFERROR(VLOOKUP(A559,'23.排水設施(二)'!C:D,1,0),"")="","","✔")</f>
        <v/>
      </c>
      <c r="Y559" s="98" t="str">
        <f>IF(IFERROR(VLOOKUP(A559,'24.木構造'!C:D,1,0),"")="","","✔")</f>
        <v/>
      </c>
      <c r="Z559" s="98" t="str">
        <f>IF(IFERROR(VLOOKUP(A559,'25.管路'!C:D,1,0),"")="","","✔")</f>
        <v/>
      </c>
      <c r="AA559" s="98" t="str">
        <f>IF(IFERROR(VLOOKUP(A559,'26.植栽(移植)'!C:D,1,0),"")="","","✔")</f>
        <v/>
      </c>
      <c r="AB559" s="98" t="str">
        <f>IF(IFERROR(VLOOKUP(A559,'27.植栽(新植)'!C:D,1,0),"")="","","✔")</f>
        <v/>
      </c>
      <c r="AC559" s="98" t="str">
        <f>IF(IFERROR(VLOOKUP(A559,'28.照明'!C:D,1,0),"")="","","✔")</f>
        <v/>
      </c>
      <c r="AD559" s="98" t="str">
        <f>IF(IFERROR(VLOOKUP(A559,'29.既有橋梁拆除'!C:D,1,0),"")="","","✔")</f>
        <v/>
      </c>
    </row>
    <row r="560" spans="1:30" ht="21.75" customHeight="1" x14ac:dyDescent="0.25">
      <c r="A560" s="99">
        <v>45750</v>
      </c>
      <c r="B560" s="98" t="str">
        <f>IF(IFERROR(VLOOKUP(A560,'1.測量放樣'!C:D,1,0),"")="","","✔")</f>
        <v/>
      </c>
      <c r="C560" s="98" t="str">
        <f>IF(IFERROR(VLOOKUP(A560,'2.土方開挖'!C:D,1,0),"")="","","✔")</f>
        <v/>
      </c>
      <c r="D560" s="98" t="str">
        <f>IF(IFERROR(VLOOKUP(A560,'3.土方回填'!C:D,1,0),"")="","","✔")</f>
        <v/>
      </c>
      <c r="E560" s="98" t="str">
        <f>IF(IFERROR(VLOOKUP(A560,'4.鋼筋'!C:D,1,0),"")="","","✔")</f>
        <v/>
      </c>
      <c r="F560" s="98" t="str">
        <f>IF(IFERROR(VLOOKUP(A560,'5.模板'!C:D,1,0),"")="","","✔")</f>
        <v/>
      </c>
      <c r="G560" s="98" t="str">
        <f>IF(IFERROR(VLOOKUP(A560,'6.混凝土'!C:D,1,0),"")="","","✔")</f>
        <v/>
      </c>
      <c r="H560" s="98" t="str">
        <f>IF(IFERROR(VLOOKUP(A560,'7.植筋'!C:D,1,0),"")="","","✔")</f>
        <v/>
      </c>
      <c r="I560" s="98" t="str">
        <f>IF(IFERROR(VLOOKUP(A560,'8.預力混凝土基樁'!C:D,1,0),"")="","","✔")</f>
        <v/>
      </c>
      <c r="J560" s="98" t="str">
        <f>IF(IFERROR(VLOOKUP(A560,'9.砌塊石護岸'!C:D,1,0),"")="","","✔")</f>
        <v/>
      </c>
      <c r="K560" s="98" t="str">
        <f>IF(IFERROR(VLOOKUP(A560,'10.低水護岸'!C:D,1,0),"")="","","✔")</f>
        <v/>
      </c>
      <c r="L560" s="98" t="str">
        <f>IF(IFERROR(VLOOKUP(A560,'11.固床工'!C:D,1,0),"")="","","✔")</f>
        <v/>
      </c>
      <c r="M560" s="98" t="str">
        <f>IF(IFERROR(VLOOKUP(A560,'12.全套管基樁'!C:D,1,0),"")="","","✔")</f>
        <v/>
      </c>
      <c r="N560" s="98" t="str">
        <f>IF(IFERROR(VLOOKUP(A560,'13.鋼筋混凝土管工程'!C:D,1,0),"")="","","✔")</f>
        <v/>
      </c>
      <c r="O560" s="98" t="str">
        <f>IF(IFERROR(VLOOKUP(A560,'14.鋼版樁'!C:D,1,0),"")="","","✔")</f>
        <v/>
      </c>
      <c r="P560" s="98" t="str">
        <f>IF(IFERROR(VLOOKUP(A560,'15.路床 路基高程'!C:D,1,0),"")="","","✔")</f>
        <v/>
      </c>
      <c r="Q560" s="98" t="str">
        <f>IF(IFERROR(VLOOKUP(A560,'16.瀝青混凝土'!C:D,1,0),"")="","","✔")</f>
        <v/>
      </c>
      <c r="R560" s="98" t="str">
        <f>IF(IFERROR(VLOOKUP(A560,'17.景觀鋪面(一)'!C:D,1,0),"")="","","✔")</f>
        <v/>
      </c>
      <c r="S560" s="98" t="str">
        <f>IF(IFERROR(VLOOKUP(A560,'18.景觀鋪面(二)'!C:D,1,0),"")="","","✔")</f>
        <v/>
      </c>
      <c r="T560" s="98" t="str">
        <f>IF(IFERROR(VLOOKUP(A560,'19.預鑄緣石'!C:D,1,0),"")="","","✔")</f>
        <v/>
      </c>
      <c r="U560" s="98" t="str">
        <f>IF(IFERROR(VLOOKUP(A560,'20.鋼構工程吊裝'!C:D,1,0),"")="","","✔")</f>
        <v/>
      </c>
      <c r="V560" s="98" t="str">
        <f>IF(IFERROR(VLOOKUP(A560,'21.鋼構工程塗裝'!C:D,1,0),"")="","","✔")</f>
        <v/>
      </c>
      <c r="W560" s="98" t="str">
        <f>IF(IFERROR(VLOOKUP(A560,'22.排水設施(一)'!C:D,1,0),"")="","","✔")</f>
        <v/>
      </c>
      <c r="X560" s="98" t="str">
        <f>IF(IFERROR(VLOOKUP(A560,'23.排水設施(二)'!C:D,1,0),"")="","","✔")</f>
        <v/>
      </c>
      <c r="Y560" s="98" t="str">
        <f>IF(IFERROR(VLOOKUP(A560,'24.木構造'!C:D,1,0),"")="","","✔")</f>
        <v/>
      </c>
      <c r="Z560" s="98" t="str">
        <f>IF(IFERROR(VLOOKUP(A560,'25.管路'!C:D,1,0),"")="","","✔")</f>
        <v/>
      </c>
      <c r="AA560" s="98" t="str">
        <f>IF(IFERROR(VLOOKUP(A560,'26.植栽(移植)'!C:D,1,0),"")="","","✔")</f>
        <v/>
      </c>
      <c r="AB560" s="98" t="str">
        <f>IF(IFERROR(VLOOKUP(A560,'27.植栽(新植)'!C:D,1,0),"")="","","✔")</f>
        <v/>
      </c>
      <c r="AC560" s="98" t="str">
        <f>IF(IFERROR(VLOOKUP(A560,'28.照明'!C:D,1,0),"")="","","✔")</f>
        <v/>
      </c>
      <c r="AD560" s="98" t="str">
        <f>IF(IFERROR(VLOOKUP(A560,'29.既有橋梁拆除'!C:D,1,0),"")="","","✔")</f>
        <v/>
      </c>
    </row>
    <row r="561" spans="1:30" ht="21.75" customHeight="1" x14ac:dyDescent="0.25">
      <c r="A561" s="99">
        <v>45751</v>
      </c>
      <c r="B561" s="98" t="str">
        <f>IF(IFERROR(VLOOKUP(A561,'1.測量放樣'!C:D,1,0),"")="","","✔")</f>
        <v/>
      </c>
      <c r="C561" s="98" t="str">
        <f>IF(IFERROR(VLOOKUP(A561,'2.土方開挖'!C:D,1,0),"")="","","✔")</f>
        <v/>
      </c>
      <c r="D561" s="98" t="str">
        <f>IF(IFERROR(VLOOKUP(A561,'3.土方回填'!C:D,1,0),"")="","","✔")</f>
        <v/>
      </c>
      <c r="E561" s="98" t="str">
        <f>IF(IFERROR(VLOOKUP(A561,'4.鋼筋'!C:D,1,0),"")="","","✔")</f>
        <v/>
      </c>
      <c r="F561" s="98" t="str">
        <f>IF(IFERROR(VLOOKUP(A561,'5.模板'!C:D,1,0),"")="","","✔")</f>
        <v/>
      </c>
      <c r="G561" s="98" t="str">
        <f>IF(IFERROR(VLOOKUP(A561,'6.混凝土'!C:D,1,0),"")="","","✔")</f>
        <v/>
      </c>
      <c r="H561" s="98" t="str">
        <f>IF(IFERROR(VLOOKUP(A561,'7.植筋'!C:D,1,0),"")="","","✔")</f>
        <v/>
      </c>
      <c r="I561" s="98" t="str">
        <f>IF(IFERROR(VLOOKUP(A561,'8.預力混凝土基樁'!C:D,1,0),"")="","","✔")</f>
        <v/>
      </c>
      <c r="J561" s="98" t="str">
        <f>IF(IFERROR(VLOOKUP(A561,'9.砌塊石護岸'!C:D,1,0),"")="","","✔")</f>
        <v/>
      </c>
      <c r="K561" s="98" t="str">
        <f>IF(IFERROR(VLOOKUP(A561,'10.低水護岸'!C:D,1,0),"")="","","✔")</f>
        <v/>
      </c>
      <c r="L561" s="98" t="str">
        <f>IF(IFERROR(VLOOKUP(A561,'11.固床工'!C:D,1,0),"")="","","✔")</f>
        <v/>
      </c>
      <c r="M561" s="98" t="str">
        <f>IF(IFERROR(VLOOKUP(A561,'12.全套管基樁'!C:D,1,0),"")="","","✔")</f>
        <v/>
      </c>
      <c r="N561" s="98" t="str">
        <f>IF(IFERROR(VLOOKUP(A561,'13.鋼筋混凝土管工程'!C:D,1,0),"")="","","✔")</f>
        <v/>
      </c>
      <c r="O561" s="98" t="str">
        <f>IF(IFERROR(VLOOKUP(A561,'14.鋼版樁'!C:D,1,0),"")="","","✔")</f>
        <v/>
      </c>
      <c r="P561" s="98" t="str">
        <f>IF(IFERROR(VLOOKUP(A561,'15.路床 路基高程'!C:D,1,0),"")="","","✔")</f>
        <v/>
      </c>
      <c r="Q561" s="98" t="str">
        <f>IF(IFERROR(VLOOKUP(A561,'16.瀝青混凝土'!C:D,1,0),"")="","","✔")</f>
        <v/>
      </c>
      <c r="R561" s="98" t="str">
        <f>IF(IFERROR(VLOOKUP(A561,'17.景觀鋪面(一)'!C:D,1,0),"")="","","✔")</f>
        <v/>
      </c>
      <c r="S561" s="98" t="str">
        <f>IF(IFERROR(VLOOKUP(A561,'18.景觀鋪面(二)'!C:D,1,0),"")="","","✔")</f>
        <v/>
      </c>
      <c r="T561" s="98" t="str">
        <f>IF(IFERROR(VLOOKUP(A561,'19.預鑄緣石'!C:D,1,0),"")="","","✔")</f>
        <v/>
      </c>
      <c r="U561" s="98" t="str">
        <f>IF(IFERROR(VLOOKUP(A561,'20.鋼構工程吊裝'!C:D,1,0),"")="","","✔")</f>
        <v/>
      </c>
      <c r="V561" s="98" t="str">
        <f>IF(IFERROR(VLOOKUP(A561,'21.鋼構工程塗裝'!C:D,1,0),"")="","","✔")</f>
        <v/>
      </c>
      <c r="W561" s="98" t="str">
        <f>IF(IFERROR(VLOOKUP(A561,'22.排水設施(一)'!C:D,1,0),"")="","","✔")</f>
        <v/>
      </c>
      <c r="X561" s="98" t="str">
        <f>IF(IFERROR(VLOOKUP(A561,'23.排水設施(二)'!C:D,1,0),"")="","","✔")</f>
        <v/>
      </c>
      <c r="Y561" s="98" t="str">
        <f>IF(IFERROR(VLOOKUP(A561,'24.木構造'!C:D,1,0),"")="","","✔")</f>
        <v/>
      </c>
      <c r="Z561" s="98" t="str">
        <f>IF(IFERROR(VLOOKUP(A561,'25.管路'!C:D,1,0),"")="","","✔")</f>
        <v/>
      </c>
      <c r="AA561" s="98" t="str">
        <f>IF(IFERROR(VLOOKUP(A561,'26.植栽(移植)'!C:D,1,0),"")="","","✔")</f>
        <v/>
      </c>
      <c r="AB561" s="98" t="str">
        <f>IF(IFERROR(VLOOKUP(A561,'27.植栽(新植)'!C:D,1,0),"")="","","✔")</f>
        <v/>
      </c>
      <c r="AC561" s="98" t="str">
        <f>IF(IFERROR(VLOOKUP(A561,'28.照明'!C:D,1,0),"")="","","✔")</f>
        <v/>
      </c>
      <c r="AD561" s="98" t="str">
        <f>IF(IFERROR(VLOOKUP(A561,'29.既有橋梁拆除'!C:D,1,0),"")="","","✔")</f>
        <v/>
      </c>
    </row>
    <row r="562" spans="1:30" ht="21.75" customHeight="1" x14ac:dyDescent="0.25">
      <c r="A562" s="99">
        <v>45752</v>
      </c>
      <c r="B562" s="98" t="str">
        <f>IF(IFERROR(VLOOKUP(A562,'1.測量放樣'!C:D,1,0),"")="","","✔")</f>
        <v/>
      </c>
      <c r="C562" s="98" t="str">
        <f>IF(IFERROR(VLOOKUP(A562,'2.土方開挖'!C:D,1,0),"")="","","✔")</f>
        <v/>
      </c>
      <c r="D562" s="98" t="str">
        <f>IF(IFERROR(VLOOKUP(A562,'3.土方回填'!C:D,1,0),"")="","","✔")</f>
        <v/>
      </c>
      <c r="E562" s="98" t="str">
        <f>IF(IFERROR(VLOOKUP(A562,'4.鋼筋'!C:D,1,0),"")="","","✔")</f>
        <v/>
      </c>
      <c r="F562" s="98" t="str">
        <f>IF(IFERROR(VLOOKUP(A562,'5.模板'!C:D,1,0),"")="","","✔")</f>
        <v/>
      </c>
      <c r="G562" s="98" t="str">
        <f>IF(IFERROR(VLOOKUP(A562,'6.混凝土'!C:D,1,0),"")="","","✔")</f>
        <v/>
      </c>
      <c r="H562" s="98" t="str">
        <f>IF(IFERROR(VLOOKUP(A562,'7.植筋'!C:D,1,0),"")="","","✔")</f>
        <v/>
      </c>
      <c r="I562" s="98" t="str">
        <f>IF(IFERROR(VLOOKUP(A562,'8.預力混凝土基樁'!C:D,1,0),"")="","","✔")</f>
        <v/>
      </c>
      <c r="J562" s="98" t="str">
        <f>IF(IFERROR(VLOOKUP(A562,'9.砌塊石護岸'!C:D,1,0),"")="","","✔")</f>
        <v/>
      </c>
      <c r="K562" s="98" t="str">
        <f>IF(IFERROR(VLOOKUP(A562,'10.低水護岸'!C:D,1,0),"")="","","✔")</f>
        <v/>
      </c>
      <c r="L562" s="98" t="str">
        <f>IF(IFERROR(VLOOKUP(A562,'11.固床工'!C:D,1,0),"")="","","✔")</f>
        <v/>
      </c>
      <c r="M562" s="98" t="str">
        <f>IF(IFERROR(VLOOKUP(A562,'12.全套管基樁'!C:D,1,0),"")="","","✔")</f>
        <v/>
      </c>
      <c r="N562" s="98" t="str">
        <f>IF(IFERROR(VLOOKUP(A562,'13.鋼筋混凝土管工程'!C:D,1,0),"")="","","✔")</f>
        <v/>
      </c>
      <c r="O562" s="98" t="str">
        <f>IF(IFERROR(VLOOKUP(A562,'14.鋼版樁'!C:D,1,0),"")="","","✔")</f>
        <v/>
      </c>
      <c r="P562" s="98" t="str">
        <f>IF(IFERROR(VLOOKUP(A562,'15.路床 路基高程'!C:D,1,0),"")="","","✔")</f>
        <v/>
      </c>
      <c r="Q562" s="98" t="str">
        <f>IF(IFERROR(VLOOKUP(A562,'16.瀝青混凝土'!C:D,1,0),"")="","","✔")</f>
        <v/>
      </c>
      <c r="R562" s="98" t="str">
        <f>IF(IFERROR(VLOOKUP(A562,'17.景觀鋪面(一)'!C:D,1,0),"")="","","✔")</f>
        <v/>
      </c>
      <c r="S562" s="98" t="str">
        <f>IF(IFERROR(VLOOKUP(A562,'18.景觀鋪面(二)'!C:D,1,0),"")="","","✔")</f>
        <v/>
      </c>
      <c r="T562" s="98" t="str">
        <f>IF(IFERROR(VLOOKUP(A562,'19.預鑄緣石'!C:D,1,0),"")="","","✔")</f>
        <v/>
      </c>
      <c r="U562" s="98" t="str">
        <f>IF(IFERROR(VLOOKUP(A562,'20.鋼構工程吊裝'!C:D,1,0),"")="","","✔")</f>
        <v/>
      </c>
      <c r="V562" s="98" t="str">
        <f>IF(IFERROR(VLOOKUP(A562,'21.鋼構工程塗裝'!C:D,1,0),"")="","","✔")</f>
        <v/>
      </c>
      <c r="W562" s="98" t="str">
        <f>IF(IFERROR(VLOOKUP(A562,'22.排水設施(一)'!C:D,1,0),"")="","","✔")</f>
        <v/>
      </c>
      <c r="X562" s="98" t="str">
        <f>IF(IFERROR(VLOOKUP(A562,'23.排水設施(二)'!C:D,1,0),"")="","","✔")</f>
        <v/>
      </c>
      <c r="Y562" s="98" t="str">
        <f>IF(IFERROR(VLOOKUP(A562,'24.木構造'!C:D,1,0),"")="","","✔")</f>
        <v/>
      </c>
      <c r="Z562" s="98" t="str">
        <f>IF(IFERROR(VLOOKUP(A562,'25.管路'!C:D,1,0),"")="","","✔")</f>
        <v/>
      </c>
      <c r="AA562" s="98" t="str">
        <f>IF(IFERROR(VLOOKUP(A562,'26.植栽(移植)'!C:D,1,0),"")="","","✔")</f>
        <v/>
      </c>
      <c r="AB562" s="98" t="str">
        <f>IF(IFERROR(VLOOKUP(A562,'27.植栽(新植)'!C:D,1,0),"")="","","✔")</f>
        <v/>
      </c>
      <c r="AC562" s="98" t="str">
        <f>IF(IFERROR(VLOOKUP(A562,'28.照明'!C:D,1,0),"")="","","✔")</f>
        <v/>
      </c>
      <c r="AD562" s="98" t="str">
        <f>IF(IFERROR(VLOOKUP(A562,'29.既有橋梁拆除'!C:D,1,0),"")="","","✔")</f>
        <v/>
      </c>
    </row>
    <row r="563" spans="1:30" ht="21.75" customHeight="1" x14ac:dyDescent="0.25">
      <c r="A563" s="99">
        <v>45753</v>
      </c>
      <c r="B563" s="98" t="str">
        <f>IF(IFERROR(VLOOKUP(A563,'1.測量放樣'!C:D,1,0),"")="","","✔")</f>
        <v/>
      </c>
      <c r="C563" s="98" t="str">
        <f>IF(IFERROR(VLOOKUP(A563,'2.土方開挖'!C:D,1,0),"")="","","✔")</f>
        <v/>
      </c>
      <c r="D563" s="98" t="str">
        <f>IF(IFERROR(VLOOKUP(A563,'3.土方回填'!C:D,1,0),"")="","","✔")</f>
        <v/>
      </c>
      <c r="E563" s="98" t="str">
        <f>IF(IFERROR(VLOOKUP(A563,'4.鋼筋'!C:D,1,0),"")="","","✔")</f>
        <v/>
      </c>
      <c r="F563" s="98" t="str">
        <f>IF(IFERROR(VLOOKUP(A563,'5.模板'!C:D,1,0),"")="","","✔")</f>
        <v/>
      </c>
      <c r="G563" s="98" t="str">
        <f>IF(IFERROR(VLOOKUP(A563,'6.混凝土'!C:D,1,0),"")="","","✔")</f>
        <v/>
      </c>
      <c r="H563" s="98" t="str">
        <f>IF(IFERROR(VLOOKUP(A563,'7.植筋'!C:D,1,0),"")="","","✔")</f>
        <v/>
      </c>
      <c r="I563" s="98" t="str">
        <f>IF(IFERROR(VLOOKUP(A563,'8.預力混凝土基樁'!C:D,1,0),"")="","","✔")</f>
        <v/>
      </c>
      <c r="J563" s="98" t="str">
        <f>IF(IFERROR(VLOOKUP(A563,'9.砌塊石護岸'!C:D,1,0),"")="","","✔")</f>
        <v/>
      </c>
      <c r="K563" s="98" t="str">
        <f>IF(IFERROR(VLOOKUP(A563,'10.低水護岸'!C:D,1,0),"")="","","✔")</f>
        <v/>
      </c>
      <c r="L563" s="98" t="str">
        <f>IF(IFERROR(VLOOKUP(A563,'11.固床工'!C:D,1,0),"")="","","✔")</f>
        <v/>
      </c>
      <c r="M563" s="98" t="str">
        <f>IF(IFERROR(VLOOKUP(A563,'12.全套管基樁'!C:D,1,0),"")="","","✔")</f>
        <v/>
      </c>
      <c r="N563" s="98" t="str">
        <f>IF(IFERROR(VLOOKUP(A563,'13.鋼筋混凝土管工程'!C:D,1,0),"")="","","✔")</f>
        <v/>
      </c>
      <c r="O563" s="98" t="str">
        <f>IF(IFERROR(VLOOKUP(A563,'14.鋼版樁'!C:D,1,0),"")="","","✔")</f>
        <v/>
      </c>
      <c r="P563" s="98" t="str">
        <f>IF(IFERROR(VLOOKUP(A563,'15.路床 路基高程'!C:D,1,0),"")="","","✔")</f>
        <v/>
      </c>
      <c r="Q563" s="98" t="str">
        <f>IF(IFERROR(VLOOKUP(A563,'16.瀝青混凝土'!C:D,1,0),"")="","","✔")</f>
        <v/>
      </c>
      <c r="R563" s="98" t="str">
        <f>IF(IFERROR(VLOOKUP(A563,'17.景觀鋪面(一)'!C:D,1,0),"")="","","✔")</f>
        <v/>
      </c>
      <c r="S563" s="98" t="str">
        <f>IF(IFERROR(VLOOKUP(A563,'18.景觀鋪面(二)'!C:D,1,0),"")="","","✔")</f>
        <v/>
      </c>
      <c r="T563" s="98" t="str">
        <f>IF(IFERROR(VLOOKUP(A563,'19.預鑄緣石'!C:D,1,0),"")="","","✔")</f>
        <v/>
      </c>
      <c r="U563" s="98" t="str">
        <f>IF(IFERROR(VLOOKUP(A563,'20.鋼構工程吊裝'!C:D,1,0),"")="","","✔")</f>
        <v/>
      </c>
      <c r="V563" s="98" t="str">
        <f>IF(IFERROR(VLOOKUP(A563,'21.鋼構工程塗裝'!C:D,1,0),"")="","","✔")</f>
        <v/>
      </c>
      <c r="W563" s="98" t="str">
        <f>IF(IFERROR(VLOOKUP(A563,'22.排水設施(一)'!C:D,1,0),"")="","","✔")</f>
        <v/>
      </c>
      <c r="X563" s="98" t="str">
        <f>IF(IFERROR(VLOOKUP(A563,'23.排水設施(二)'!C:D,1,0),"")="","","✔")</f>
        <v/>
      </c>
      <c r="Y563" s="98" t="str">
        <f>IF(IFERROR(VLOOKUP(A563,'24.木構造'!C:D,1,0),"")="","","✔")</f>
        <v/>
      </c>
      <c r="Z563" s="98" t="str">
        <f>IF(IFERROR(VLOOKUP(A563,'25.管路'!C:D,1,0),"")="","","✔")</f>
        <v/>
      </c>
      <c r="AA563" s="98" t="str">
        <f>IF(IFERROR(VLOOKUP(A563,'26.植栽(移植)'!C:D,1,0),"")="","","✔")</f>
        <v/>
      </c>
      <c r="AB563" s="98" t="str">
        <f>IF(IFERROR(VLOOKUP(A563,'27.植栽(新植)'!C:D,1,0),"")="","","✔")</f>
        <v/>
      </c>
      <c r="AC563" s="98" t="str">
        <f>IF(IFERROR(VLOOKUP(A563,'28.照明'!C:D,1,0),"")="","","✔")</f>
        <v/>
      </c>
      <c r="AD563" s="98" t="str">
        <f>IF(IFERROR(VLOOKUP(A563,'29.既有橋梁拆除'!C:D,1,0),"")="","","✔")</f>
        <v/>
      </c>
    </row>
    <row r="564" spans="1:30" ht="21.75" customHeight="1" x14ac:dyDescent="0.25">
      <c r="A564" s="99">
        <v>45754</v>
      </c>
      <c r="B564" s="98" t="str">
        <f>IF(IFERROR(VLOOKUP(A564,'1.測量放樣'!C:D,1,0),"")="","","✔")</f>
        <v/>
      </c>
      <c r="C564" s="98" t="str">
        <f>IF(IFERROR(VLOOKUP(A564,'2.土方開挖'!C:D,1,0),"")="","","✔")</f>
        <v/>
      </c>
      <c r="D564" s="98" t="str">
        <f>IF(IFERROR(VLOOKUP(A564,'3.土方回填'!C:D,1,0),"")="","","✔")</f>
        <v/>
      </c>
      <c r="E564" s="98" t="str">
        <f>IF(IFERROR(VLOOKUP(A564,'4.鋼筋'!C:D,1,0),"")="","","✔")</f>
        <v/>
      </c>
      <c r="F564" s="98" t="str">
        <f>IF(IFERROR(VLOOKUP(A564,'5.模板'!C:D,1,0),"")="","","✔")</f>
        <v/>
      </c>
      <c r="G564" s="98" t="str">
        <f>IF(IFERROR(VLOOKUP(A564,'6.混凝土'!C:D,1,0),"")="","","✔")</f>
        <v/>
      </c>
      <c r="H564" s="98" t="str">
        <f>IF(IFERROR(VLOOKUP(A564,'7.植筋'!C:D,1,0),"")="","","✔")</f>
        <v/>
      </c>
      <c r="I564" s="98" t="str">
        <f>IF(IFERROR(VLOOKUP(A564,'8.預力混凝土基樁'!C:D,1,0),"")="","","✔")</f>
        <v/>
      </c>
      <c r="J564" s="98" t="str">
        <f>IF(IFERROR(VLOOKUP(A564,'9.砌塊石護岸'!C:D,1,0),"")="","","✔")</f>
        <v/>
      </c>
      <c r="K564" s="98" t="str">
        <f>IF(IFERROR(VLOOKUP(A564,'10.低水護岸'!C:D,1,0),"")="","","✔")</f>
        <v/>
      </c>
      <c r="L564" s="98" t="str">
        <f>IF(IFERROR(VLOOKUP(A564,'11.固床工'!C:D,1,0),"")="","","✔")</f>
        <v/>
      </c>
      <c r="M564" s="98" t="str">
        <f>IF(IFERROR(VLOOKUP(A564,'12.全套管基樁'!C:D,1,0),"")="","","✔")</f>
        <v/>
      </c>
      <c r="N564" s="98" t="str">
        <f>IF(IFERROR(VLOOKUP(A564,'13.鋼筋混凝土管工程'!C:D,1,0),"")="","","✔")</f>
        <v/>
      </c>
      <c r="O564" s="98" t="str">
        <f>IF(IFERROR(VLOOKUP(A564,'14.鋼版樁'!C:D,1,0),"")="","","✔")</f>
        <v/>
      </c>
      <c r="P564" s="98" t="str">
        <f>IF(IFERROR(VLOOKUP(A564,'15.路床 路基高程'!C:D,1,0),"")="","","✔")</f>
        <v/>
      </c>
      <c r="Q564" s="98" t="str">
        <f>IF(IFERROR(VLOOKUP(A564,'16.瀝青混凝土'!C:D,1,0),"")="","","✔")</f>
        <v/>
      </c>
      <c r="R564" s="98" t="str">
        <f>IF(IFERROR(VLOOKUP(A564,'17.景觀鋪面(一)'!C:D,1,0),"")="","","✔")</f>
        <v/>
      </c>
      <c r="S564" s="98" t="str">
        <f>IF(IFERROR(VLOOKUP(A564,'18.景觀鋪面(二)'!C:D,1,0),"")="","","✔")</f>
        <v/>
      </c>
      <c r="T564" s="98" t="str">
        <f>IF(IFERROR(VLOOKUP(A564,'19.預鑄緣石'!C:D,1,0),"")="","","✔")</f>
        <v/>
      </c>
      <c r="U564" s="98" t="str">
        <f>IF(IFERROR(VLOOKUP(A564,'20.鋼構工程吊裝'!C:D,1,0),"")="","","✔")</f>
        <v/>
      </c>
      <c r="V564" s="98" t="str">
        <f>IF(IFERROR(VLOOKUP(A564,'21.鋼構工程塗裝'!C:D,1,0),"")="","","✔")</f>
        <v/>
      </c>
      <c r="W564" s="98" t="str">
        <f>IF(IFERROR(VLOOKUP(A564,'22.排水設施(一)'!C:D,1,0),"")="","","✔")</f>
        <v/>
      </c>
      <c r="X564" s="98" t="str">
        <f>IF(IFERROR(VLOOKUP(A564,'23.排水設施(二)'!C:D,1,0),"")="","","✔")</f>
        <v/>
      </c>
      <c r="Y564" s="98" t="str">
        <f>IF(IFERROR(VLOOKUP(A564,'24.木構造'!C:D,1,0),"")="","","✔")</f>
        <v/>
      </c>
      <c r="Z564" s="98" t="str">
        <f>IF(IFERROR(VLOOKUP(A564,'25.管路'!C:D,1,0),"")="","","✔")</f>
        <v/>
      </c>
      <c r="AA564" s="98" t="str">
        <f>IF(IFERROR(VLOOKUP(A564,'26.植栽(移植)'!C:D,1,0),"")="","","✔")</f>
        <v/>
      </c>
      <c r="AB564" s="98" t="str">
        <f>IF(IFERROR(VLOOKUP(A564,'27.植栽(新植)'!C:D,1,0),"")="","","✔")</f>
        <v/>
      </c>
      <c r="AC564" s="98" t="str">
        <f>IF(IFERROR(VLOOKUP(A564,'28.照明'!C:D,1,0),"")="","","✔")</f>
        <v/>
      </c>
      <c r="AD564" s="98" t="str">
        <f>IF(IFERROR(VLOOKUP(A564,'29.既有橋梁拆除'!C:D,1,0),"")="","","✔")</f>
        <v/>
      </c>
    </row>
    <row r="565" spans="1:30" ht="21.75" customHeight="1" x14ac:dyDescent="0.25">
      <c r="A565" s="99">
        <v>45755</v>
      </c>
      <c r="B565" s="98" t="str">
        <f>IF(IFERROR(VLOOKUP(A565,'1.測量放樣'!C:D,1,0),"")="","","✔")</f>
        <v/>
      </c>
      <c r="C565" s="98" t="str">
        <f>IF(IFERROR(VLOOKUP(A565,'2.土方開挖'!C:D,1,0),"")="","","✔")</f>
        <v/>
      </c>
      <c r="D565" s="98" t="str">
        <f>IF(IFERROR(VLOOKUP(A565,'3.土方回填'!C:D,1,0),"")="","","✔")</f>
        <v/>
      </c>
      <c r="E565" s="98" t="str">
        <f>IF(IFERROR(VLOOKUP(A565,'4.鋼筋'!C:D,1,0),"")="","","✔")</f>
        <v/>
      </c>
      <c r="F565" s="98" t="str">
        <f>IF(IFERROR(VLOOKUP(A565,'5.模板'!C:D,1,0),"")="","","✔")</f>
        <v/>
      </c>
      <c r="G565" s="98" t="str">
        <f>IF(IFERROR(VLOOKUP(A565,'6.混凝土'!C:D,1,0),"")="","","✔")</f>
        <v/>
      </c>
      <c r="H565" s="98" t="str">
        <f>IF(IFERROR(VLOOKUP(A565,'7.植筋'!C:D,1,0),"")="","","✔")</f>
        <v/>
      </c>
      <c r="I565" s="98" t="str">
        <f>IF(IFERROR(VLOOKUP(A565,'8.預力混凝土基樁'!C:D,1,0),"")="","","✔")</f>
        <v/>
      </c>
      <c r="J565" s="98" t="str">
        <f>IF(IFERROR(VLOOKUP(A565,'9.砌塊石護岸'!C:D,1,0),"")="","","✔")</f>
        <v/>
      </c>
      <c r="K565" s="98" t="str">
        <f>IF(IFERROR(VLOOKUP(A565,'10.低水護岸'!C:D,1,0),"")="","","✔")</f>
        <v/>
      </c>
      <c r="L565" s="98" t="str">
        <f>IF(IFERROR(VLOOKUP(A565,'11.固床工'!C:D,1,0),"")="","","✔")</f>
        <v/>
      </c>
      <c r="M565" s="98" t="str">
        <f>IF(IFERROR(VLOOKUP(A565,'12.全套管基樁'!C:D,1,0),"")="","","✔")</f>
        <v/>
      </c>
      <c r="N565" s="98" t="str">
        <f>IF(IFERROR(VLOOKUP(A565,'13.鋼筋混凝土管工程'!C:D,1,0),"")="","","✔")</f>
        <v/>
      </c>
      <c r="O565" s="98" t="str">
        <f>IF(IFERROR(VLOOKUP(A565,'14.鋼版樁'!C:D,1,0),"")="","","✔")</f>
        <v/>
      </c>
      <c r="P565" s="98" t="str">
        <f>IF(IFERROR(VLOOKUP(A565,'15.路床 路基高程'!C:D,1,0),"")="","","✔")</f>
        <v/>
      </c>
      <c r="Q565" s="98" t="str">
        <f>IF(IFERROR(VLOOKUP(A565,'16.瀝青混凝土'!C:D,1,0),"")="","","✔")</f>
        <v/>
      </c>
      <c r="R565" s="98" t="str">
        <f>IF(IFERROR(VLOOKUP(A565,'17.景觀鋪面(一)'!C:D,1,0),"")="","","✔")</f>
        <v/>
      </c>
      <c r="S565" s="98" t="str">
        <f>IF(IFERROR(VLOOKUP(A565,'18.景觀鋪面(二)'!C:D,1,0),"")="","","✔")</f>
        <v/>
      </c>
      <c r="T565" s="98" t="str">
        <f>IF(IFERROR(VLOOKUP(A565,'19.預鑄緣石'!C:D,1,0),"")="","","✔")</f>
        <v/>
      </c>
      <c r="U565" s="98" t="str">
        <f>IF(IFERROR(VLOOKUP(A565,'20.鋼構工程吊裝'!C:D,1,0),"")="","","✔")</f>
        <v/>
      </c>
      <c r="V565" s="98" t="str">
        <f>IF(IFERROR(VLOOKUP(A565,'21.鋼構工程塗裝'!C:D,1,0),"")="","","✔")</f>
        <v/>
      </c>
      <c r="W565" s="98" t="str">
        <f>IF(IFERROR(VLOOKUP(A565,'22.排水設施(一)'!C:D,1,0),"")="","","✔")</f>
        <v/>
      </c>
      <c r="X565" s="98" t="str">
        <f>IF(IFERROR(VLOOKUP(A565,'23.排水設施(二)'!C:D,1,0),"")="","","✔")</f>
        <v/>
      </c>
      <c r="Y565" s="98" t="str">
        <f>IF(IFERROR(VLOOKUP(A565,'24.木構造'!C:D,1,0),"")="","","✔")</f>
        <v/>
      </c>
      <c r="Z565" s="98" t="str">
        <f>IF(IFERROR(VLOOKUP(A565,'25.管路'!C:D,1,0),"")="","","✔")</f>
        <v/>
      </c>
      <c r="AA565" s="98" t="str">
        <f>IF(IFERROR(VLOOKUP(A565,'26.植栽(移植)'!C:D,1,0),"")="","","✔")</f>
        <v/>
      </c>
      <c r="AB565" s="98" t="str">
        <f>IF(IFERROR(VLOOKUP(A565,'27.植栽(新植)'!C:D,1,0),"")="","","✔")</f>
        <v/>
      </c>
      <c r="AC565" s="98" t="str">
        <f>IF(IFERROR(VLOOKUP(A565,'28.照明'!C:D,1,0),"")="","","✔")</f>
        <v/>
      </c>
      <c r="AD565" s="98" t="str">
        <f>IF(IFERROR(VLOOKUP(A565,'29.既有橋梁拆除'!C:D,1,0),"")="","","✔")</f>
        <v/>
      </c>
    </row>
    <row r="566" spans="1:30" ht="21.75" customHeight="1" x14ac:dyDescent="0.25">
      <c r="A566" s="99">
        <v>45756</v>
      </c>
      <c r="B566" s="98" t="str">
        <f>IF(IFERROR(VLOOKUP(A566,'1.測量放樣'!C:D,1,0),"")="","","✔")</f>
        <v/>
      </c>
      <c r="C566" s="98" t="str">
        <f>IF(IFERROR(VLOOKUP(A566,'2.土方開挖'!C:D,1,0),"")="","","✔")</f>
        <v/>
      </c>
      <c r="D566" s="98" t="str">
        <f>IF(IFERROR(VLOOKUP(A566,'3.土方回填'!C:D,1,0),"")="","","✔")</f>
        <v/>
      </c>
      <c r="E566" s="98" t="str">
        <f>IF(IFERROR(VLOOKUP(A566,'4.鋼筋'!C:D,1,0),"")="","","✔")</f>
        <v/>
      </c>
      <c r="F566" s="98" t="str">
        <f>IF(IFERROR(VLOOKUP(A566,'5.模板'!C:D,1,0),"")="","","✔")</f>
        <v/>
      </c>
      <c r="G566" s="98" t="str">
        <f>IF(IFERROR(VLOOKUP(A566,'6.混凝土'!C:D,1,0),"")="","","✔")</f>
        <v/>
      </c>
      <c r="H566" s="98" t="str">
        <f>IF(IFERROR(VLOOKUP(A566,'7.植筋'!C:D,1,0),"")="","","✔")</f>
        <v/>
      </c>
      <c r="I566" s="98" t="str">
        <f>IF(IFERROR(VLOOKUP(A566,'8.預力混凝土基樁'!C:D,1,0),"")="","","✔")</f>
        <v/>
      </c>
      <c r="J566" s="98" t="str">
        <f>IF(IFERROR(VLOOKUP(A566,'9.砌塊石護岸'!C:D,1,0),"")="","","✔")</f>
        <v/>
      </c>
      <c r="K566" s="98" t="str">
        <f>IF(IFERROR(VLOOKUP(A566,'10.低水護岸'!C:D,1,0),"")="","","✔")</f>
        <v/>
      </c>
      <c r="L566" s="98" t="str">
        <f>IF(IFERROR(VLOOKUP(A566,'11.固床工'!C:D,1,0),"")="","","✔")</f>
        <v/>
      </c>
      <c r="M566" s="98" t="str">
        <f>IF(IFERROR(VLOOKUP(A566,'12.全套管基樁'!C:D,1,0),"")="","","✔")</f>
        <v/>
      </c>
      <c r="N566" s="98" t="str">
        <f>IF(IFERROR(VLOOKUP(A566,'13.鋼筋混凝土管工程'!C:D,1,0),"")="","","✔")</f>
        <v/>
      </c>
      <c r="O566" s="98" t="str">
        <f>IF(IFERROR(VLOOKUP(A566,'14.鋼版樁'!C:D,1,0),"")="","","✔")</f>
        <v/>
      </c>
      <c r="P566" s="98" t="str">
        <f>IF(IFERROR(VLOOKUP(A566,'15.路床 路基高程'!C:D,1,0),"")="","","✔")</f>
        <v/>
      </c>
      <c r="Q566" s="98" t="str">
        <f>IF(IFERROR(VLOOKUP(A566,'16.瀝青混凝土'!C:D,1,0),"")="","","✔")</f>
        <v/>
      </c>
      <c r="R566" s="98" t="str">
        <f>IF(IFERROR(VLOOKUP(A566,'17.景觀鋪面(一)'!C:D,1,0),"")="","","✔")</f>
        <v/>
      </c>
      <c r="S566" s="98" t="str">
        <f>IF(IFERROR(VLOOKUP(A566,'18.景觀鋪面(二)'!C:D,1,0),"")="","","✔")</f>
        <v/>
      </c>
      <c r="T566" s="98" t="str">
        <f>IF(IFERROR(VLOOKUP(A566,'19.預鑄緣石'!C:D,1,0),"")="","","✔")</f>
        <v/>
      </c>
      <c r="U566" s="98" t="str">
        <f>IF(IFERROR(VLOOKUP(A566,'20.鋼構工程吊裝'!C:D,1,0),"")="","","✔")</f>
        <v/>
      </c>
      <c r="V566" s="98" t="str">
        <f>IF(IFERROR(VLOOKUP(A566,'21.鋼構工程塗裝'!C:D,1,0),"")="","","✔")</f>
        <v/>
      </c>
      <c r="W566" s="98" t="str">
        <f>IF(IFERROR(VLOOKUP(A566,'22.排水設施(一)'!C:D,1,0),"")="","","✔")</f>
        <v/>
      </c>
      <c r="X566" s="98" t="str">
        <f>IF(IFERROR(VLOOKUP(A566,'23.排水設施(二)'!C:D,1,0),"")="","","✔")</f>
        <v/>
      </c>
      <c r="Y566" s="98" t="str">
        <f>IF(IFERROR(VLOOKUP(A566,'24.木構造'!C:D,1,0),"")="","","✔")</f>
        <v/>
      </c>
      <c r="Z566" s="98" t="str">
        <f>IF(IFERROR(VLOOKUP(A566,'25.管路'!C:D,1,0),"")="","","✔")</f>
        <v/>
      </c>
      <c r="AA566" s="98" t="str">
        <f>IF(IFERROR(VLOOKUP(A566,'26.植栽(移植)'!C:D,1,0),"")="","","✔")</f>
        <v/>
      </c>
      <c r="AB566" s="98" t="str">
        <f>IF(IFERROR(VLOOKUP(A566,'27.植栽(新植)'!C:D,1,0),"")="","","✔")</f>
        <v/>
      </c>
      <c r="AC566" s="98" t="str">
        <f>IF(IFERROR(VLOOKUP(A566,'28.照明'!C:D,1,0),"")="","","✔")</f>
        <v/>
      </c>
      <c r="AD566" s="98" t="str">
        <f>IF(IFERROR(VLOOKUP(A566,'29.既有橋梁拆除'!C:D,1,0),"")="","","✔")</f>
        <v/>
      </c>
    </row>
    <row r="567" spans="1:30" ht="21.75" customHeight="1" x14ac:dyDescent="0.25">
      <c r="A567" s="99">
        <v>45757</v>
      </c>
      <c r="B567" s="98" t="str">
        <f>IF(IFERROR(VLOOKUP(A567,'1.測量放樣'!C:D,1,0),"")="","","✔")</f>
        <v/>
      </c>
      <c r="C567" s="98" t="str">
        <f>IF(IFERROR(VLOOKUP(A567,'2.土方開挖'!C:D,1,0),"")="","","✔")</f>
        <v/>
      </c>
      <c r="D567" s="98" t="str">
        <f>IF(IFERROR(VLOOKUP(A567,'3.土方回填'!C:D,1,0),"")="","","✔")</f>
        <v/>
      </c>
      <c r="E567" s="98" t="str">
        <f>IF(IFERROR(VLOOKUP(A567,'4.鋼筋'!C:D,1,0),"")="","","✔")</f>
        <v/>
      </c>
      <c r="F567" s="98" t="str">
        <f>IF(IFERROR(VLOOKUP(A567,'5.模板'!C:D,1,0),"")="","","✔")</f>
        <v/>
      </c>
      <c r="G567" s="98" t="str">
        <f>IF(IFERROR(VLOOKUP(A567,'6.混凝土'!C:D,1,0),"")="","","✔")</f>
        <v/>
      </c>
      <c r="H567" s="98" t="str">
        <f>IF(IFERROR(VLOOKUP(A567,'7.植筋'!C:D,1,0),"")="","","✔")</f>
        <v/>
      </c>
      <c r="I567" s="98" t="str">
        <f>IF(IFERROR(VLOOKUP(A567,'8.預力混凝土基樁'!C:D,1,0),"")="","","✔")</f>
        <v/>
      </c>
      <c r="J567" s="98" t="str">
        <f>IF(IFERROR(VLOOKUP(A567,'9.砌塊石護岸'!C:D,1,0),"")="","","✔")</f>
        <v/>
      </c>
      <c r="K567" s="98" t="str">
        <f>IF(IFERROR(VLOOKUP(A567,'10.低水護岸'!C:D,1,0),"")="","","✔")</f>
        <v/>
      </c>
      <c r="L567" s="98" t="str">
        <f>IF(IFERROR(VLOOKUP(A567,'11.固床工'!C:D,1,0),"")="","","✔")</f>
        <v/>
      </c>
      <c r="M567" s="98" t="str">
        <f>IF(IFERROR(VLOOKUP(A567,'12.全套管基樁'!C:D,1,0),"")="","","✔")</f>
        <v/>
      </c>
      <c r="N567" s="98" t="str">
        <f>IF(IFERROR(VLOOKUP(A567,'13.鋼筋混凝土管工程'!C:D,1,0),"")="","","✔")</f>
        <v/>
      </c>
      <c r="O567" s="98" t="str">
        <f>IF(IFERROR(VLOOKUP(A567,'14.鋼版樁'!C:D,1,0),"")="","","✔")</f>
        <v/>
      </c>
      <c r="P567" s="98" t="str">
        <f>IF(IFERROR(VLOOKUP(A567,'15.路床 路基高程'!C:D,1,0),"")="","","✔")</f>
        <v/>
      </c>
      <c r="Q567" s="98" t="str">
        <f>IF(IFERROR(VLOOKUP(A567,'16.瀝青混凝土'!C:D,1,0),"")="","","✔")</f>
        <v/>
      </c>
      <c r="R567" s="98" t="str">
        <f>IF(IFERROR(VLOOKUP(A567,'17.景觀鋪面(一)'!C:D,1,0),"")="","","✔")</f>
        <v/>
      </c>
      <c r="S567" s="98" t="str">
        <f>IF(IFERROR(VLOOKUP(A567,'18.景觀鋪面(二)'!C:D,1,0),"")="","","✔")</f>
        <v/>
      </c>
      <c r="T567" s="98" t="str">
        <f>IF(IFERROR(VLOOKUP(A567,'19.預鑄緣石'!C:D,1,0),"")="","","✔")</f>
        <v/>
      </c>
      <c r="U567" s="98" t="str">
        <f>IF(IFERROR(VLOOKUP(A567,'20.鋼構工程吊裝'!C:D,1,0),"")="","","✔")</f>
        <v/>
      </c>
      <c r="V567" s="98" t="str">
        <f>IF(IFERROR(VLOOKUP(A567,'21.鋼構工程塗裝'!C:D,1,0),"")="","","✔")</f>
        <v/>
      </c>
      <c r="W567" s="98" t="str">
        <f>IF(IFERROR(VLOOKUP(A567,'22.排水設施(一)'!C:D,1,0),"")="","","✔")</f>
        <v/>
      </c>
      <c r="X567" s="98" t="str">
        <f>IF(IFERROR(VLOOKUP(A567,'23.排水設施(二)'!C:D,1,0),"")="","","✔")</f>
        <v/>
      </c>
      <c r="Y567" s="98" t="str">
        <f>IF(IFERROR(VLOOKUP(A567,'24.木構造'!C:D,1,0),"")="","","✔")</f>
        <v/>
      </c>
      <c r="Z567" s="98" t="str">
        <f>IF(IFERROR(VLOOKUP(A567,'25.管路'!C:D,1,0),"")="","","✔")</f>
        <v/>
      </c>
      <c r="AA567" s="98" t="str">
        <f>IF(IFERROR(VLOOKUP(A567,'26.植栽(移植)'!C:D,1,0),"")="","","✔")</f>
        <v/>
      </c>
      <c r="AB567" s="98" t="str">
        <f>IF(IFERROR(VLOOKUP(A567,'27.植栽(新植)'!C:D,1,0),"")="","","✔")</f>
        <v/>
      </c>
      <c r="AC567" s="98" t="str">
        <f>IF(IFERROR(VLOOKUP(A567,'28.照明'!C:D,1,0),"")="","","✔")</f>
        <v/>
      </c>
      <c r="AD567" s="98" t="str">
        <f>IF(IFERROR(VLOOKUP(A567,'29.既有橋梁拆除'!C:D,1,0),"")="","","✔")</f>
        <v/>
      </c>
    </row>
    <row r="568" spans="1:30" ht="21.75" customHeight="1" x14ac:dyDescent="0.25">
      <c r="A568" s="99">
        <v>45758</v>
      </c>
      <c r="B568" s="98" t="str">
        <f>IF(IFERROR(VLOOKUP(A568,'1.測量放樣'!C:D,1,0),"")="","","✔")</f>
        <v/>
      </c>
      <c r="C568" s="98" t="str">
        <f>IF(IFERROR(VLOOKUP(A568,'2.土方開挖'!C:D,1,0),"")="","","✔")</f>
        <v/>
      </c>
      <c r="D568" s="98" t="str">
        <f>IF(IFERROR(VLOOKUP(A568,'3.土方回填'!C:D,1,0),"")="","","✔")</f>
        <v/>
      </c>
      <c r="E568" s="98" t="str">
        <f>IF(IFERROR(VLOOKUP(A568,'4.鋼筋'!C:D,1,0),"")="","","✔")</f>
        <v/>
      </c>
      <c r="F568" s="98" t="str">
        <f>IF(IFERROR(VLOOKUP(A568,'5.模板'!C:D,1,0),"")="","","✔")</f>
        <v/>
      </c>
      <c r="G568" s="98" t="str">
        <f>IF(IFERROR(VLOOKUP(A568,'6.混凝土'!C:D,1,0),"")="","","✔")</f>
        <v/>
      </c>
      <c r="H568" s="98" t="str">
        <f>IF(IFERROR(VLOOKUP(A568,'7.植筋'!C:D,1,0),"")="","","✔")</f>
        <v/>
      </c>
      <c r="I568" s="98" t="str">
        <f>IF(IFERROR(VLOOKUP(A568,'8.預力混凝土基樁'!C:D,1,0),"")="","","✔")</f>
        <v/>
      </c>
      <c r="J568" s="98" t="str">
        <f>IF(IFERROR(VLOOKUP(A568,'9.砌塊石護岸'!C:D,1,0),"")="","","✔")</f>
        <v/>
      </c>
      <c r="K568" s="98" t="str">
        <f>IF(IFERROR(VLOOKUP(A568,'10.低水護岸'!C:D,1,0),"")="","","✔")</f>
        <v/>
      </c>
      <c r="L568" s="98" t="str">
        <f>IF(IFERROR(VLOOKUP(A568,'11.固床工'!C:D,1,0),"")="","","✔")</f>
        <v/>
      </c>
      <c r="M568" s="98" t="str">
        <f>IF(IFERROR(VLOOKUP(A568,'12.全套管基樁'!C:D,1,0),"")="","","✔")</f>
        <v/>
      </c>
      <c r="N568" s="98" t="str">
        <f>IF(IFERROR(VLOOKUP(A568,'13.鋼筋混凝土管工程'!C:D,1,0),"")="","","✔")</f>
        <v/>
      </c>
      <c r="O568" s="98" t="str">
        <f>IF(IFERROR(VLOOKUP(A568,'14.鋼版樁'!C:D,1,0),"")="","","✔")</f>
        <v/>
      </c>
      <c r="P568" s="98" t="str">
        <f>IF(IFERROR(VLOOKUP(A568,'15.路床 路基高程'!C:D,1,0),"")="","","✔")</f>
        <v/>
      </c>
      <c r="Q568" s="98" t="str">
        <f>IF(IFERROR(VLOOKUP(A568,'16.瀝青混凝土'!C:D,1,0),"")="","","✔")</f>
        <v/>
      </c>
      <c r="R568" s="98" t="str">
        <f>IF(IFERROR(VLOOKUP(A568,'17.景觀鋪面(一)'!C:D,1,0),"")="","","✔")</f>
        <v/>
      </c>
      <c r="S568" s="98" t="str">
        <f>IF(IFERROR(VLOOKUP(A568,'18.景觀鋪面(二)'!C:D,1,0),"")="","","✔")</f>
        <v/>
      </c>
      <c r="T568" s="98" t="str">
        <f>IF(IFERROR(VLOOKUP(A568,'19.預鑄緣石'!C:D,1,0),"")="","","✔")</f>
        <v/>
      </c>
      <c r="U568" s="98" t="str">
        <f>IF(IFERROR(VLOOKUP(A568,'20.鋼構工程吊裝'!C:D,1,0),"")="","","✔")</f>
        <v/>
      </c>
      <c r="V568" s="98" t="str">
        <f>IF(IFERROR(VLOOKUP(A568,'21.鋼構工程塗裝'!C:D,1,0),"")="","","✔")</f>
        <v/>
      </c>
      <c r="W568" s="98" t="str">
        <f>IF(IFERROR(VLOOKUP(A568,'22.排水設施(一)'!C:D,1,0),"")="","","✔")</f>
        <v/>
      </c>
      <c r="X568" s="98" t="str">
        <f>IF(IFERROR(VLOOKUP(A568,'23.排水設施(二)'!C:D,1,0),"")="","","✔")</f>
        <v/>
      </c>
      <c r="Y568" s="98" t="str">
        <f>IF(IFERROR(VLOOKUP(A568,'24.木構造'!C:D,1,0),"")="","","✔")</f>
        <v/>
      </c>
      <c r="Z568" s="98" t="str">
        <f>IF(IFERROR(VLOOKUP(A568,'25.管路'!C:D,1,0),"")="","","✔")</f>
        <v/>
      </c>
      <c r="AA568" s="98" t="str">
        <f>IF(IFERROR(VLOOKUP(A568,'26.植栽(移植)'!C:D,1,0),"")="","","✔")</f>
        <v/>
      </c>
      <c r="AB568" s="98" t="str">
        <f>IF(IFERROR(VLOOKUP(A568,'27.植栽(新植)'!C:D,1,0),"")="","","✔")</f>
        <v/>
      </c>
      <c r="AC568" s="98" t="str">
        <f>IF(IFERROR(VLOOKUP(A568,'28.照明'!C:D,1,0),"")="","","✔")</f>
        <v/>
      </c>
      <c r="AD568" s="98" t="str">
        <f>IF(IFERROR(VLOOKUP(A568,'29.既有橋梁拆除'!C:D,1,0),"")="","","✔")</f>
        <v/>
      </c>
    </row>
    <row r="569" spans="1:30" ht="21.75" customHeight="1" x14ac:dyDescent="0.25">
      <c r="A569" s="99">
        <v>45759</v>
      </c>
      <c r="B569" s="98" t="str">
        <f>IF(IFERROR(VLOOKUP(A569,'1.測量放樣'!C:D,1,0),"")="","","✔")</f>
        <v/>
      </c>
      <c r="C569" s="98" t="str">
        <f>IF(IFERROR(VLOOKUP(A569,'2.土方開挖'!C:D,1,0),"")="","","✔")</f>
        <v/>
      </c>
      <c r="D569" s="98" t="str">
        <f>IF(IFERROR(VLOOKUP(A569,'3.土方回填'!C:D,1,0),"")="","","✔")</f>
        <v/>
      </c>
      <c r="E569" s="98" t="str">
        <f>IF(IFERROR(VLOOKUP(A569,'4.鋼筋'!C:D,1,0),"")="","","✔")</f>
        <v/>
      </c>
      <c r="F569" s="98" t="str">
        <f>IF(IFERROR(VLOOKUP(A569,'5.模板'!C:D,1,0),"")="","","✔")</f>
        <v/>
      </c>
      <c r="G569" s="98" t="str">
        <f>IF(IFERROR(VLOOKUP(A569,'6.混凝土'!C:D,1,0),"")="","","✔")</f>
        <v/>
      </c>
      <c r="H569" s="98" t="str">
        <f>IF(IFERROR(VLOOKUP(A569,'7.植筋'!C:D,1,0),"")="","","✔")</f>
        <v/>
      </c>
      <c r="I569" s="98" t="str">
        <f>IF(IFERROR(VLOOKUP(A569,'8.預力混凝土基樁'!C:D,1,0),"")="","","✔")</f>
        <v/>
      </c>
      <c r="J569" s="98" t="str">
        <f>IF(IFERROR(VLOOKUP(A569,'9.砌塊石護岸'!C:D,1,0),"")="","","✔")</f>
        <v/>
      </c>
      <c r="K569" s="98" t="str">
        <f>IF(IFERROR(VLOOKUP(A569,'10.低水護岸'!C:D,1,0),"")="","","✔")</f>
        <v/>
      </c>
      <c r="L569" s="98" t="str">
        <f>IF(IFERROR(VLOOKUP(A569,'11.固床工'!C:D,1,0),"")="","","✔")</f>
        <v/>
      </c>
      <c r="M569" s="98" t="str">
        <f>IF(IFERROR(VLOOKUP(A569,'12.全套管基樁'!C:D,1,0),"")="","","✔")</f>
        <v/>
      </c>
      <c r="N569" s="98" t="str">
        <f>IF(IFERROR(VLOOKUP(A569,'13.鋼筋混凝土管工程'!C:D,1,0),"")="","","✔")</f>
        <v/>
      </c>
      <c r="O569" s="98" t="str">
        <f>IF(IFERROR(VLOOKUP(A569,'14.鋼版樁'!C:D,1,0),"")="","","✔")</f>
        <v/>
      </c>
      <c r="P569" s="98" t="str">
        <f>IF(IFERROR(VLOOKUP(A569,'15.路床 路基高程'!C:D,1,0),"")="","","✔")</f>
        <v/>
      </c>
      <c r="Q569" s="98" t="str">
        <f>IF(IFERROR(VLOOKUP(A569,'16.瀝青混凝土'!C:D,1,0),"")="","","✔")</f>
        <v/>
      </c>
      <c r="R569" s="98" t="str">
        <f>IF(IFERROR(VLOOKUP(A569,'17.景觀鋪面(一)'!C:D,1,0),"")="","","✔")</f>
        <v/>
      </c>
      <c r="S569" s="98" t="str">
        <f>IF(IFERROR(VLOOKUP(A569,'18.景觀鋪面(二)'!C:D,1,0),"")="","","✔")</f>
        <v/>
      </c>
      <c r="T569" s="98" t="str">
        <f>IF(IFERROR(VLOOKUP(A569,'19.預鑄緣石'!C:D,1,0),"")="","","✔")</f>
        <v/>
      </c>
      <c r="U569" s="98" t="str">
        <f>IF(IFERROR(VLOOKUP(A569,'20.鋼構工程吊裝'!C:D,1,0),"")="","","✔")</f>
        <v/>
      </c>
      <c r="V569" s="98" t="str">
        <f>IF(IFERROR(VLOOKUP(A569,'21.鋼構工程塗裝'!C:D,1,0),"")="","","✔")</f>
        <v/>
      </c>
      <c r="W569" s="98" t="str">
        <f>IF(IFERROR(VLOOKUP(A569,'22.排水設施(一)'!C:D,1,0),"")="","","✔")</f>
        <v/>
      </c>
      <c r="X569" s="98" t="str">
        <f>IF(IFERROR(VLOOKUP(A569,'23.排水設施(二)'!C:D,1,0),"")="","","✔")</f>
        <v/>
      </c>
      <c r="Y569" s="98" t="str">
        <f>IF(IFERROR(VLOOKUP(A569,'24.木構造'!C:D,1,0),"")="","","✔")</f>
        <v/>
      </c>
      <c r="Z569" s="98" t="str">
        <f>IF(IFERROR(VLOOKUP(A569,'25.管路'!C:D,1,0),"")="","","✔")</f>
        <v/>
      </c>
      <c r="AA569" s="98" t="str">
        <f>IF(IFERROR(VLOOKUP(A569,'26.植栽(移植)'!C:D,1,0),"")="","","✔")</f>
        <v/>
      </c>
      <c r="AB569" s="98" t="str">
        <f>IF(IFERROR(VLOOKUP(A569,'27.植栽(新植)'!C:D,1,0),"")="","","✔")</f>
        <v/>
      </c>
      <c r="AC569" s="98" t="str">
        <f>IF(IFERROR(VLOOKUP(A569,'28.照明'!C:D,1,0),"")="","","✔")</f>
        <v/>
      </c>
      <c r="AD569" s="98" t="str">
        <f>IF(IFERROR(VLOOKUP(A569,'29.既有橋梁拆除'!C:D,1,0),"")="","","✔")</f>
        <v/>
      </c>
    </row>
    <row r="570" spans="1:30" ht="21.75" customHeight="1" x14ac:dyDescent="0.25">
      <c r="A570" s="99">
        <v>45760</v>
      </c>
      <c r="B570" s="98" t="str">
        <f>IF(IFERROR(VLOOKUP(A570,'1.測量放樣'!C:D,1,0),"")="","","✔")</f>
        <v/>
      </c>
      <c r="C570" s="98" t="str">
        <f>IF(IFERROR(VLOOKUP(A570,'2.土方開挖'!C:D,1,0),"")="","","✔")</f>
        <v/>
      </c>
      <c r="D570" s="98" t="str">
        <f>IF(IFERROR(VLOOKUP(A570,'3.土方回填'!C:D,1,0),"")="","","✔")</f>
        <v/>
      </c>
      <c r="E570" s="98" t="str">
        <f>IF(IFERROR(VLOOKUP(A570,'4.鋼筋'!C:D,1,0),"")="","","✔")</f>
        <v/>
      </c>
      <c r="F570" s="98" t="str">
        <f>IF(IFERROR(VLOOKUP(A570,'5.模板'!C:D,1,0),"")="","","✔")</f>
        <v/>
      </c>
      <c r="G570" s="98" t="str">
        <f>IF(IFERROR(VLOOKUP(A570,'6.混凝土'!C:D,1,0),"")="","","✔")</f>
        <v/>
      </c>
      <c r="H570" s="98" t="str">
        <f>IF(IFERROR(VLOOKUP(A570,'7.植筋'!C:D,1,0),"")="","","✔")</f>
        <v/>
      </c>
      <c r="I570" s="98" t="str">
        <f>IF(IFERROR(VLOOKUP(A570,'8.預力混凝土基樁'!C:D,1,0),"")="","","✔")</f>
        <v/>
      </c>
      <c r="J570" s="98" t="str">
        <f>IF(IFERROR(VLOOKUP(A570,'9.砌塊石護岸'!C:D,1,0),"")="","","✔")</f>
        <v/>
      </c>
      <c r="K570" s="98" t="str">
        <f>IF(IFERROR(VLOOKUP(A570,'10.低水護岸'!C:D,1,0),"")="","","✔")</f>
        <v/>
      </c>
      <c r="L570" s="98" t="str">
        <f>IF(IFERROR(VLOOKUP(A570,'11.固床工'!C:D,1,0),"")="","","✔")</f>
        <v/>
      </c>
      <c r="M570" s="98" t="str">
        <f>IF(IFERROR(VLOOKUP(A570,'12.全套管基樁'!C:D,1,0),"")="","","✔")</f>
        <v/>
      </c>
      <c r="N570" s="98" t="str">
        <f>IF(IFERROR(VLOOKUP(A570,'13.鋼筋混凝土管工程'!C:D,1,0),"")="","","✔")</f>
        <v/>
      </c>
      <c r="O570" s="98" t="str">
        <f>IF(IFERROR(VLOOKUP(A570,'14.鋼版樁'!C:D,1,0),"")="","","✔")</f>
        <v/>
      </c>
      <c r="P570" s="98" t="str">
        <f>IF(IFERROR(VLOOKUP(A570,'15.路床 路基高程'!C:D,1,0),"")="","","✔")</f>
        <v/>
      </c>
      <c r="Q570" s="98" t="str">
        <f>IF(IFERROR(VLOOKUP(A570,'16.瀝青混凝土'!C:D,1,0),"")="","","✔")</f>
        <v/>
      </c>
      <c r="R570" s="98" t="str">
        <f>IF(IFERROR(VLOOKUP(A570,'17.景觀鋪面(一)'!C:D,1,0),"")="","","✔")</f>
        <v/>
      </c>
      <c r="S570" s="98" t="str">
        <f>IF(IFERROR(VLOOKUP(A570,'18.景觀鋪面(二)'!C:D,1,0),"")="","","✔")</f>
        <v/>
      </c>
      <c r="T570" s="98" t="str">
        <f>IF(IFERROR(VLOOKUP(A570,'19.預鑄緣石'!C:D,1,0),"")="","","✔")</f>
        <v/>
      </c>
      <c r="U570" s="98" t="str">
        <f>IF(IFERROR(VLOOKUP(A570,'20.鋼構工程吊裝'!C:D,1,0),"")="","","✔")</f>
        <v/>
      </c>
      <c r="V570" s="98" t="str">
        <f>IF(IFERROR(VLOOKUP(A570,'21.鋼構工程塗裝'!C:D,1,0),"")="","","✔")</f>
        <v/>
      </c>
      <c r="W570" s="98" t="str">
        <f>IF(IFERROR(VLOOKUP(A570,'22.排水設施(一)'!C:D,1,0),"")="","","✔")</f>
        <v/>
      </c>
      <c r="X570" s="98" t="str">
        <f>IF(IFERROR(VLOOKUP(A570,'23.排水設施(二)'!C:D,1,0),"")="","","✔")</f>
        <v/>
      </c>
      <c r="Y570" s="98" t="str">
        <f>IF(IFERROR(VLOOKUP(A570,'24.木構造'!C:D,1,0),"")="","","✔")</f>
        <v/>
      </c>
      <c r="Z570" s="98" t="str">
        <f>IF(IFERROR(VLOOKUP(A570,'25.管路'!C:D,1,0),"")="","","✔")</f>
        <v/>
      </c>
      <c r="AA570" s="98" t="str">
        <f>IF(IFERROR(VLOOKUP(A570,'26.植栽(移植)'!C:D,1,0),"")="","","✔")</f>
        <v/>
      </c>
      <c r="AB570" s="98" t="str">
        <f>IF(IFERROR(VLOOKUP(A570,'27.植栽(新植)'!C:D,1,0),"")="","","✔")</f>
        <v/>
      </c>
      <c r="AC570" s="98" t="str">
        <f>IF(IFERROR(VLOOKUP(A570,'28.照明'!C:D,1,0),"")="","","✔")</f>
        <v/>
      </c>
      <c r="AD570" s="98" t="str">
        <f>IF(IFERROR(VLOOKUP(A570,'29.既有橋梁拆除'!C:D,1,0),"")="","","✔")</f>
        <v/>
      </c>
    </row>
    <row r="571" spans="1:30" ht="21.75" customHeight="1" x14ac:dyDescent="0.25">
      <c r="A571" s="99">
        <v>45761</v>
      </c>
      <c r="B571" s="98" t="str">
        <f>IF(IFERROR(VLOOKUP(A571,'1.測量放樣'!C:D,1,0),"")="","","✔")</f>
        <v/>
      </c>
      <c r="C571" s="98" t="str">
        <f>IF(IFERROR(VLOOKUP(A571,'2.土方開挖'!C:D,1,0),"")="","","✔")</f>
        <v/>
      </c>
      <c r="D571" s="98" t="str">
        <f>IF(IFERROR(VLOOKUP(A571,'3.土方回填'!C:D,1,0),"")="","","✔")</f>
        <v/>
      </c>
      <c r="E571" s="98" t="str">
        <f>IF(IFERROR(VLOOKUP(A571,'4.鋼筋'!C:D,1,0),"")="","","✔")</f>
        <v/>
      </c>
      <c r="F571" s="98" t="str">
        <f>IF(IFERROR(VLOOKUP(A571,'5.模板'!C:D,1,0),"")="","","✔")</f>
        <v/>
      </c>
      <c r="G571" s="98" t="str">
        <f>IF(IFERROR(VLOOKUP(A571,'6.混凝土'!C:D,1,0),"")="","","✔")</f>
        <v/>
      </c>
      <c r="H571" s="98" t="str">
        <f>IF(IFERROR(VLOOKUP(A571,'7.植筋'!C:D,1,0),"")="","","✔")</f>
        <v/>
      </c>
      <c r="I571" s="98" t="str">
        <f>IF(IFERROR(VLOOKUP(A571,'8.預力混凝土基樁'!C:D,1,0),"")="","","✔")</f>
        <v/>
      </c>
      <c r="J571" s="98" t="str">
        <f>IF(IFERROR(VLOOKUP(A571,'9.砌塊石護岸'!C:D,1,0),"")="","","✔")</f>
        <v/>
      </c>
      <c r="K571" s="98" t="str">
        <f>IF(IFERROR(VLOOKUP(A571,'10.低水護岸'!C:D,1,0),"")="","","✔")</f>
        <v/>
      </c>
      <c r="L571" s="98" t="str">
        <f>IF(IFERROR(VLOOKUP(A571,'11.固床工'!C:D,1,0),"")="","","✔")</f>
        <v/>
      </c>
      <c r="M571" s="98" t="str">
        <f>IF(IFERROR(VLOOKUP(A571,'12.全套管基樁'!C:D,1,0),"")="","","✔")</f>
        <v/>
      </c>
      <c r="N571" s="98" t="str">
        <f>IF(IFERROR(VLOOKUP(A571,'13.鋼筋混凝土管工程'!C:D,1,0),"")="","","✔")</f>
        <v/>
      </c>
      <c r="O571" s="98" t="str">
        <f>IF(IFERROR(VLOOKUP(A571,'14.鋼版樁'!C:D,1,0),"")="","","✔")</f>
        <v/>
      </c>
      <c r="P571" s="98" t="str">
        <f>IF(IFERROR(VLOOKUP(A571,'15.路床 路基高程'!C:D,1,0),"")="","","✔")</f>
        <v/>
      </c>
      <c r="Q571" s="98" t="str">
        <f>IF(IFERROR(VLOOKUP(A571,'16.瀝青混凝土'!C:D,1,0),"")="","","✔")</f>
        <v/>
      </c>
      <c r="R571" s="98" t="str">
        <f>IF(IFERROR(VLOOKUP(A571,'17.景觀鋪面(一)'!C:D,1,0),"")="","","✔")</f>
        <v/>
      </c>
      <c r="S571" s="98" t="str">
        <f>IF(IFERROR(VLOOKUP(A571,'18.景觀鋪面(二)'!C:D,1,0),"")="","","✔")</f>
        <v/>
      </c>
      <c r="T571" s="98" t="str">
        <f>IF(IFERROR(VLOOKUP(A571,'19.預鑄緣石'!C:D,1,0),"")="","","✔")</f>
        <v/>
      </c>
      <c r="U571" s="98" t="str">
        <f>IF(IFERROR(VLOOKUP(A571,'20.鋼構工程吊裝'!C:D,1,0),"")="","","✔")</f>
        <v/>
      </c>
      <c r="V571" s="98" t="str">
        <f>IF(IFERROR(VLOOKUP(A571,'21.鋼構工程塗裝'!C:D,1,0),"")="","","✔")</f>
        <v/>
      </c>
      <c r="W571" s="98" t="str">
        <f>IF(IFERROR(VLOOKUP(A571,'22.排水設施(一)'!C:D,1,0),"")="","","✔")</f>
        <v/>
      </c>
      <c r="X571" s="98" t="str">
        <f>IF(IFERROR(VLOOKUP(A571,'23.排水設施(二)'!C:D,1,0),"")="","","✔")</f>
        <v/>
      </c>
      <c r="Y571" s="98" t="str">
        <f>IF(IFERROR(VLOOKUP(A571,'24.木構造'!C:D,1,0),"")="","","✔")</f>
        <v/>
      </c>
      <c r="Z571" s="98" t="str">
        <f>IF(IFERROR(VLOOKUP(A571,'25.管路'!C:D,1,0),"")="","","✔")</f>
        <v/>
      </c>
      <c r="AA571" s="98" t="str">
        <f>IF(IFERROR(VLOOKUP(A571,'26.植栽(移植)'!C:D,1,0),"")="","","✔")</f>
        <v/>
      </c>
      <c r="AB571" s="98" t="str">
        <f>IF(IFERROR(VLOOKUP(A571,'27.植栽(新植)'!C:D,1,0),"")="","","✔")</f>
        <v/>
      </c>
      <c r="AC571" s="98" t="str">
        <f>IF(IFERROR(VLOOKUP(A571,'28.照明'!C:D,1,0),"")="","","✔")</f>
        <v/>
      </c>
      <c r="AD571" s="98" t="str">
        <f>IF(IFERROR(VLOOKUP(A571,'29.既有橋梁拆除'!C:D,1,0),"")="","","✔")</f>
        <v/>
      </c>
    </row>
    <row r="572" spans="1:30" ht="21.75" customHeight="1" x14ac:dyDescent="0.25">
      <c r="A572" s="99">
        <v>45762</v>
      </c>
      <c r="B572" s="98" t="str">
        <f>IF(IFERROR(VLOOKUP(A572,'1.測量放樣'!C:D,1,0),"")="","","✔")</f>
        <v/>
      </c>
      <c r="C572" s="98" t="str">
        <f>IF(IFERROR(VLOOKUP(A572,'2.土方開挖'!C:D,1,0),"")="","","✔")</f>
        <v/>
      </c>
      <c r="D572" s="98" t="str">
        <f>IF(IFERROR(VLOOKUP(A572,'3.土方回填'!C:D,1,0),"")="","","✔")</f>
        <v/>
      </c>
      <c r="E572" s="98" t="str">
        <f>IF(IFERROR(VLOOKUP(A572,'4.鋼筋'!C:D,1,0),"")="","","✔")</f>
        <v/>
      </c>
      <c r="F572" s="98" t="str">
        <f>IF(IFERROR(VLOOKUP(A572,'5.模板'!C:D,1,0),"")="","","✔")</f>
        <v/>
      </c>
      <c r="G572" s="98" t="str">
        <f>IF(IFERROR(VLOOKUP(A572,'6.混凝土'!C:D,1,0),"")="","","✔")</f>
        <v/>
      </c>
      <c r="H572" s="98" t="str">
        <f>IF(IFERROR(VLOOKUP(A572,'7.植筋'!C:D,1,0),"")="","","✔")</f>
        <v/>
      </c>
      <c r="I572" s="98" t="str">
        <f>IF(IFERROR(VLOOKUP(A572,'8.預力混凝土基樁'!C:D,1,0),"")="","","✔")</f>
        <v/>
      </c>
      <c r="J572" s="98" t="str">
        <f>IF(IFERROR(VLOOKUP(A572,'9.砌塊石護岸'!C:D,1,0),"")="","","✔")</f>
        <v/>
      </c>
      <c r="K572" s="98" t="str">
        <f>IF(IFERROR(VLOOKUP(A572,'10.低水護岸'!C:D,1,0),"")="","","✔")</f>
        <v/>
      </c>
      <c r="L572" s="98" t="str">
        <f>IF(IFERROR(VLOOKUP(A572,'11.固床工'!C:D,1,0),"")="","","✔")</f>
        <v/>
      </c>
      <c r="M572" s="98" t="str">
        <f>IF(IFERROR(VLOOKUP(A572,'12.全套管基樁'!C:D,1,0),"")="","","✔")</f>
        <v/>
      </c>
      <c r="N572" s="98" t="str">
        <f>IF(IFERROR(VLOOKUP(A572,'13.鋼筋混凝土管工程'!C:D,1,0),"")="","","✔")</f>
        <v/>
      </c>
      <c r="O572" s="98" t="str">
        <f>IF(IFERROR(VLOOKUP(A572,'14.鋼版樁'!C:D,1,0),"")="","","✔")</f>
        <v/>
      </c>
      <c r="P572" s="98" t="str">
        <f>IF(IFERROR(VLOOKUP(A572,'15.路床 路基高程'!C:D,1,0),"")="","","✔")</f>
        <v/>
      </c>
      <c r="Q572" s="98" t="str">
        <f>IF(IFERROR(VLOOKUP(A572,'16.瀝青混凝土'!C:D,1,0),"")="","","✔")</f>
        <v/>
      </c>
      <c r="R572" s="98" t="str">
        <f>IF(IFERROR(VLOOKUP(A572,'17.景觀鋪面(一)'!C:D,1,0),"")="","","✔")</f>
        <v/>
      </c>
      <c r="S572" s="98" t="str">
        <f>IF(IFERROR(VLOOKUP(A572,'18.景觀鋪面(二)'!C:D,1,0),"")="","","✔")</f>
        <v/>
      </c>
      <c r="T572" s="98" t="str">
        <f>IF(IFERROR(VLOOKUP(A572,'19.預鑄緣石'!C:D,1,0),"")="","","✔")</f>
        <v/>
      </c>
      <c r="U572" s="98" t="str">
        <f>IF(IFERROR(VLOOKUP(A572,'20.鋼構工程吊裝'!C:D,1,0),"")="","","✔")</f>
        <v/>
      </c>
      <c r="V572" s="98" t="str">
        <f>IF(IFERROR(VLOOKUP(A572,'21.鋼構工程塗裝'!C:D,1,0),"")="","","✔")</f>
        <v/>
      </c>
      <c r="W572" s="98" t="str">
        <f>IF(IFERROR(VLOOKUP(A572,'22.排水設施(一)'!C:D,1,0),"")="","","✔")</f>
        <v/>
      </c>
      <c r="X572" s="98" t="str">
        <f>IF(IFERROR(VLOOKUP(A572,'23.排水設施(二)'!C:D,1,0),"")="","","✔")</f>
        <v/>
      </c>
      <c r="Y572" s="98" t="str">
        <f>IF(IFERROR(VLOOKUP(A572,'24.木構造'!C:D,1,0),"")="","","✔")</f>
        <v/>
      </c>
      <c r="Z572" s="98" t="str">
        <f>IF(IFERROR(VLOOKUP(A572,'25.管路'!C:D,1,0),"")="","","✔")</f>
        <v/>
      </c>
      <c r="AA572" s="98" t="str">
        <f>IF(IFERROR(VLOOKUP(A572,'26.植栽(移植)'!C:D,1,0),"")="","","✔")</f>
        <v/>
      </c>
      <c r="AB572" s="98" t="str">
        <f>IF(IFERROR(VLOOKUP(A572,'27.植栽(新植)'!C:D,1,0),"")="","","✔")</f>
        <v/>
      </c>
      <c r="AC572" s="98" t="str">
        <f>IF(IFERROR(VLOOKUP(A572,'28.照明'!C:D,1,0),"")="","","✔")</f>
        <v/>
      </c>
      <c r="AD572" s="98" t="str">
        <f>IF(IFERROR(VLOOKUP(A572,'29.既有橋梁拆除'!C:D,1,0),"")="","","✔")</f>
        <v/>
      </c>
    </row>
    <row r="573" spans="1:30" ht="21.75" customHeight="1" x14ac:dyDescent="0.25">
      <c r="A573" s="99">
        <v>45763</v>
      </c>
      <c r="B573" s="98" t="str">
        <f>IF(IFERROR(VLOOKUP(A573,'1.測量放樣'!C:D,1,0),"")="","","✔")</f>
        <v/>
      </c>
      <c r="C573" s="98" t="str">
        <f>IF(IFERROR(VLOOKUP(A573,'2.土方開挖'!C:D,1,0),"")="","","✔")</f>
        <v/>
      </c>
      <c r="D573" s="98" t="str">
        <f>IF(IFERROR(VLOOKUP(A573,'3.土方回填'!C:D,1,0),"")="","","✔")</f>
        <v/>
      </c>
      <c r="E573" s="98" t="str">
        <f>IF(IFERROR(VLOOKUP(A573,'4.鋼筋'!C:D,1,0),"")="","","✔")</f>
        <v/>
      </c>
      <c r="F573" s="98" t="str">
        <f>IF(IFERROR(VLOOKUP(A573,'5.模板'!C:D,1,0),"")="","","✔")</f>
        <v/>
      </c>
      <c r="G573" s="98" t="str">
        <f>IF(IFERROR(VLOOKUP(A573,'6.混凝土'!C:D,1,0),"")="","","✔")</f>
        <v/>
      </c>
      <c r="H573" s="98" t="str">
        <f>IF(IFERROR(VLOOKUP(A573,'7.植筋'!C:D,1,0),"")="","","✔")</f>
        <v/>
      </c>
      <c r="I573" s="98" t="str">
        <f>IF(IFERROR(VLOOKUP(A573,'8.預力混凝土基樁'!C:D,1,0),"")="","","✔")</f>
        <v/>
      </c>
      <c r="J573" s="98" t="str">
        <f>IF(IFERROR(VLOOKUP(A573,'9.砌塊石護岸'!C:D,1,0),"")="","","✔")</f>
        <v/>
      </c>
      <c r="K573" s="98" t="str">
        <f>IF(IFERROR(VLOOKUP(A573,'10.低水護岸'!C:D,1,0),"")="","","✔")</f>
        <v/>
      </c>
      <c r="L573" s="98" t="str">
        <f>IF(IFERROR(VLOOKUP(A573,'11.固床工'!C:D,1,0),"")="","","✔")</f>
        <v/>
      </c>
      <c r="M573" s="98" t="str">
        <f>IF(IFERROR(VLOOKUP(A573,'12.全套管基樁'!C:D,1,0),"")="","","✔")</f>
        <v/>
      </c>
      <c r="N573" s="98" t="str">
        <f>IF(IFERROR(VLOOKUP(A573,'13.鋼筋混凝土管工程'!C:D,1,0),"")="","","✔")</f>
        <v/>
      </c>
      <c r="O573" s="98" t="str">
        <f>IF(IFERROR(VLOOKUP(A573,'14.鋼版樁'!C:D,1,0),"")="","","✔")</f>
        <v/>
      </c>
      <c r="P573" s="98" t="str">
        <f>IF(IFERROR(VLOOKUP(A573,'15.路床 路基高程'!C:D,1,0),"")="","","✔")</f>
        <v/>
      </c>
      <c r="Q573" s="98" t="str">
        <f>IF(IFERROR(VLOOKUP(A573,'16.瀝青混凝土'!C:D,1,0),"")="","","✔")</f>
        <v/>
      </c>
      <c r="R573" s="98" t="str">
        <f>IF(IFERROR(VLOOKUP(A573,'17.景觀鋪面(一)'!C:D,1,0),"")="","","✔")</f>
        <v/>
      </c>
      <c r="S573" s="98" t="str">
        <f>IF(IFERROR(VLOOKUP(A573,'18.景觀鋪面(二)'!C:D,1,0),"")="","","✔")</f>
        <v/>
      </c>
      <c r="T573" s="98" t="str">
        <f>IF(IFERROR(VLOOKUP(A573,'19.預鑄緣石'!C:D,1,0),"")="","","✔")</f>
        <v/>
      </c>
      <c r="U573" s="98" t="str">
        <f>IF(IFERROR(VLOOKUP(A573,'20.鋼構工程吊裝'!C:D,1,0),"")="","","✔")</f>
        <v/>
      </c>
      <c r="V573" s="98" t="str">
        <f>IF(IFERROR(VLOOKUP(A573,'21.鋼構工程塗裝'!C:D,1,0),"")="","","✔")</f>
        <v/>
      </c>
      <c r="W573" s="98" t="str">
        <f>IF(IFERROR(VLOOKUP(A573,'22.排水設施(一)'!C:D,1,0),"")="","","✔")</f>
        <v/>
      </c>
      <c r="X573" s="98" t="str">
        <f>IF(IFERROR(VLOOKUP(A573,'23.排水設施(二)'!C:D,1,0),"")="","","✔")</f>
        <v/>
      </c>
      <c r="Y573" s="98" t="str">
        <f>IF(IFERROR(VLOOKUP(A573,'24.木構造'!C:D,1,0),"")="","","✔")</f>
        <v/>
      </c>
      <c r="Z573" s="98" t="str">
        <f>IF(IFERROR(VLOOKUP(A573,'25.管路'!C:D,1,0),"")="","","✔")</f>
        <v/>
      </c>
      <c r="AA573" s="98" t="str">
        <f>IF(IFERROR(VLOOKUP(A573,'26.植栽(移植)'!C:D,1,0),"")="","","✔")</f>
        <v/>
      </c>
      <c r="AB573" s="98" t="str">
        <f>IF(IFERROR(VLOOKUP(A573,'27.植栽(新植)'!C:D,1,0),"")="","","✔")</f>
        <v/>
      </c>
      <c r="AC573" s="98" t="str">
        <f>IF(IFERROR(VLOOKUP(A573,'28.照明'!C:D,1,0),"")="","","✔")</f>
        <v/>
      </c>
      <c r="AD573" s="98" t="str">
        <f>IF(IFERROR(VLOOKUP(A573,'29.既有橋梁拆除'!C:D,1,0),"")="","","✔")</f>
        <v/>
      </c>
    </row>
    <row r="574" spans="1:30" ht="21.75" customHeight="1" x14ac:dyDescent="0.25">
      <c r="A574" s="99">
        <v>45764</v>
      </c>
      <c r="B574" s="98" t="str">
        <f>IF(IFERROR(VLOOKUP(A574,'1.測量放樣'!C:D,1,0),"")="","","✔")</f>
        <v/>
      </c>
      <c r="C574" s="98" t="str">
        <f>IF(IFERROR(VLOOKUP(A574,'2.土方開挖'!C:D,1,0),"")="","","✔")</f>
        <v/>
      </c>
      <c r="D574" s="98" t="str">
        <f>IF(IFERROR(VLOOKUP(A574,'3.土方回填'!C:D,1,0),"")="","","✔")</f>
        <v/>
      </c>
      <c r="E574" s="98" t="str">
        <f>IF(IFERROR(VLOOKUP(A574,'4.鋼筋'!C:D,1,0),"")="","","✔")</f>
        <v/>
      </c>
      <c r="F574" s="98" t="str">
        <f>IF(IFERROR(VLOOKUP(A574,'5.模板'!C:D,1,0),"")="","","✔")</f>
        <v/>
      </c>
      <c r="G574" s="98" t="str">
        <f>IF(IFERROR(VLOOKUP(A574,'6.混凝土'!C:D,1,0),"")="","","✔")</f>
        <v/>
      </c>
      <c r="H574" s="98" t="str">
        <f>IF(IFERROR(VLOOKUP(A574,'7.植筋'!C:D,1,0),"")="","","✔")</f>
        <v/>
      </c>
      <c r="I574" s="98" t="str">
        <f>IF(IFERROR(VLOOKUP(A574,'8.預力混凝土基樁'!C:D,1,0),"")="","","✔")</f>
        <v/>
      </c>
      <c r="J574" s="98" t="str">
        <f>IF(IFERROR(VLOOKUP(A574,'9.砌塊石護岸'!C:D,1,0),"")="","","✔")</f>
        <v/>
      </c>
      <c r="K574" s="98" t="str">
        <f>IF(IFERROR(VLOOKUP(A574,'10.低水護岸'!C:D,1,0),"")="","","✔")</f>
        <v/>
      </c>
      <c r="L574" s="98" t="str">
        <f>IF(IFERROR(VLOOKUP(A574,'11.固床工'!C:D,1,0),"")="","","✔")</f>
        <v/>
      </c>
      <c r="M574" s="98" t="str">
        <f>IF(IFERROR(VLOOKUP(A574,'12.全套管基樁'!C:D,1,0),"")="","","✔")</f>
        <v/>
      </c>
      <c r="N574" s="98" t="str">
        <f>IF(IFERROR(VLOOKUP(A574,'13.鋼筋混凝土管工程'!C:D,1,0),"")="","","✔")</f>
        <v/>
      </c>
      <c r="O574" s="98" t="str">
        <f>IF(IFERROR(VLOOKUP(A574,'14.鋼版樁'!C:D,1,0),"")="","","✔")</f>
        <v/>
      </c>
      <c r="P574" s="98" t="str">
        <f>IF(IFERROR(VLOOKUP(A574,'15.路床 路基高程'!C:D,1,0),"")="","","✔")</f>
        <v/>
      </c>
      <c r="Q574" s="98" t="str">
        <f>IF(IFERROR(VLOOKUP(A574,'16.瀝青混凝土'!C:D,1,0),"")="","","✔")</f>
        <v/>
      </c>
      <c r="R574" s="98" t="str">
        <f>IF(IFERROR(VLOOKUP(A574,'17.景觀鋪面(一)'!C:D,1,0),"")="","","✔")</f>
        <v/>
      </c>
      <c r="S574" s="98" t="str">
        <f>IF(IFERROR(VLOOKUP(A574,'18.景觀鋪面(二)'!C:D,1,0),"")="","","✔")</f>
        <v/>
      </c>
      <c r="T574" s="98" t="str">
        <f>IF(IFERROR(VLOOKUP(A574,'19.預鑄緣石'!C:D,1,0),"")="","","✔")</f>
        <v/>
      </c>
      <c r="U574" s="98" t="str">
        <f>IF(IFERROR(VLOOKUP(A574,'20.鋼構工程吊裝'!C:D,1,0),"")="","","✔")</f>
        <v/>
      </c>
      <c r="V574" s="98" t="str">
        <f>IF(IFERROR(VLOOKUP(A574,'21.鋼構工程塗裝'!C:D,1,0),"")="","","✔")</f>
        <v/>
      </c>
      <c r="W574" s="98" t="str">
        <f>IF(IFERROR(VLOOKUP(A574,'22.排水設施(一)'!C:D,1,0),"")="","","✔")</f>
        <v/>
      </c>
      <c r="X574" s="98" t="str">
        <f>IF(IFERROR(VLOOKUP(A574,'23.排水設施(二)'!C:D,1,0),"")="","","✔")</f>
        <v/>
      </c>
      <c r="Y574" s="98" t="str">
        <f>IF(IFERROR(VLOOKUP(A574,'24.木構造'!C:D,1,0),"")="","","✔")</f>
        <v/>
      </c>
      <c r="Z574" s="98" t="str">
        <f>IF(IFERROR(VLOOKUP(A574,'25.管路'!C:D,1,0),"")="","","✔")</f>
        <v/>
      </c>
      <c r="AA574" s="98" t="str">
        <f>IF(IFERROR(VLOOKUP(A574,'26.植栽(移植)'!C:D,1,0),"")="","","✔")</f>
        <v/>
      </c>
      <c r="AB574" s="98" t="str">
        <f>IF(IFERROR(VLOOKUP(A574,'27.植栽(新植)'!C:D,1,0),"")="","","✔")</f>
        <v/>
      </c>
      <c r="AC574" s="98" t="str">
        <f>IF(IFERROR(VLOOKUP(A574,'28.照明'!C:D,1,0),"")="","","✔")</f>
        <v/>
      </c>
      <c r="AD574" s="98" t="str">
        <f>IF(IFERROR(VLOOKUP(A574,'29.既有橋梁拆除'!C:D,1,0),"")="","","✔")</f>
        <v/>
      </c>
    </row>
    <row r="575" spans="1:30" ht="21.75" customHeight="1" x14ac:dyDescent="0.25">
      <c r="A575" s="99">
        <v>45765</v>
      </c>
      <c r="B575" s="98" t="str">
        <f>IF(IFERROR(VLOOKUP(A575,'1.測量放樣'!C:D,1,0),"")="","","✔")</f>
        <v/>
      </c>
      <c r="C575" s="98" t="str">
        <f>IF(IFERROR(VLOOKUP(A575,'2.土方開挖'!C:D,1,0),"")="","","✔")</f>
        <v/>
      </c>
      <c r="D575" s="98" t="str">
        <f>IF(IFERROR(VLOOKUP(A575,'3.土方回填'!C:D,1,0),"")="","","✔")</f>
        <v/>
      </c>
      <c r="E575" s="98" t="str">
        <f>IF(IFERROR(VLOOKUP(A575,'4.鋼筋'!C:D,1,0),"")="","","✔")</f>
        <v/>
      </c>
      <c r="F575" s="98" t="str">
        <f>IF(IFERROR(VLOOKUP(A575,'5.模板'!C:D,1,0),"")="","","✔")</f>
        <v/>
      </c>
      <c r="G575" s="98" t="str">
        <f>IF(IFERROR(VLOOKUP(A575,'6.混凝土'!C:D,1,0),"")="","","✔")</f>
        <v/>
      </c>
      <c r="H575" s="98" t="str">
        <f>IF(IFERROR(VLOOKUP(A575,'7.植筋'!C:D,1,0),"")="","","✔")</f>
        <v/>
      </c>
      <c r="I575" s="98" t="str">
        <f>IF(IFERROR(VLOOKUP(A575,'8.預力混凝土基樁'!C:D,1,0),"")="","","✔")</f>
        <v/>
      </c>
      <c r="J575" s="98" t="str">
        <f>IF(IFERROR(VLOOKUP(A575,'9.砌塊石護岸'!C:D,1,0),"")="","","✔")</f>
        <v/>
      </c>
      <c r="K575" s="98" t="str">
        <f>IF(IFERROR(VLOOKUP(A575,'10.低水護岸'!C:D,1,0),"")="","","✔")</f>
        <v/>
      </c>
      <c r="L575" s="98" t="str">
        <f>IF(IFERROR(VLOOKUP(A575,'11.固床工'!C:D,1,0),"")="","","✔")</f>
        <v/>
      </c>
      <c r="M575" s="98" t="str">
        <f>IF(IFERROR(VLOOKUP(A575,'12.全套管基樁'!C:D,1,0),"")="","","✔")</f>
        <v/>
      </c>
      <c r="N575" s="98" t="str">
        <f>IF(IFERROR(VLOOKUP(A575,'13.鋼筋混凝土管工程'!C:D,1,0),"")="","","✔")</f>
        <v/>
      </c>
      <c r="O575" s="98" t="str">
        <f>IF(IFERROR(VLOOKUP(A575,'14.鋼版樁'!C:D,1,0),"")="","","✔")</f>
        <v/>
      </c>
      <c r="P575" s="98" t="str">
        <f>IF(IFERROR(VLOOKUP(A575,'15.路床 路基高程'!C:D,1,0),"")="","","✔")</f>
        <v/>
      </c>
      <c r="Q575" s="98" t="str">
        <f>IF(IFERROR(VLOOKUP(A575,'16.瀝青混凝土'!C:D,1,0),"")="","","✔")</f>
        <v/>
      </c>
      <c r="R575" s="98" t="str">
        <f>IF(IFERROR(VLOOKUP(A575,'17.景觀鋪面(一)'!C:D,1,0),"")="","","✔")</f>
        <v/>
      </c>
      <c r="S575" s="98" t="str">
        <f>IF(IFERROR(VLOOKUP(A575,'18.景觀鋪面(二)'!C:D,1,0),"")="","","✔")</f>
        <v/>
      </c>
      <c r="T575" s="98" t="str">
        <f>IF(IFERROR(VLOOKUP(A575,'19.預鑄緣石'!C:D,1,0),"")="","","✔")</f>
        <v/>
      </c>
      <c r="U575" s="98" t="str">
        <f>IF(IFERROR(VLOOKUP(A575,'20.鋼構工程吊裝'!C:D,1,0),"")="","","✔")</f>
        <v/>
      </c>
      <c r="V575" s="98" t="str">
        <f>IF(IFERROR(VLOOKUP(A575,'21.鋼構工程塗裝'!C:D,1,0),"")="","","✔")</f>
        <v/>
      </c>
      <c r="W575" s="98" t="str">
        <f>IF(IFERROR(VLOOKUP(A575,'22.排水設施(一)'!C:D,1,0),"")="","","✔")</f>
        <v/>
      </c>
      <c r="X575" s="98" t="str">
        <f>IF(IFERROR(VLOOKUP(A575,'23.排水設施(二)'!C:D,1,0),"")="","","✔")</f>
        <v/>
      </c>
      <c r="Y575" s="98" t="str">
        <f>IF(IFERROR(VLOOKUP(A575,'24.木構造'!C:D,1,0),"")="","","✔")</f>
        <v/>
      </c>
      <c r="Z575" s="98" t="str">
        <f>IF(IFERROR(VLOOKUP(A575,'25.管路'!C:D,1,0),"")="","","✔")</f>
        <v/>
      </c>
      <c r="AA575" s="98" t="str">
        <f>IF(IFERROR(VLOOKUP(A575,'26.植栽(移植)'!C:D,1,0),"")="","","✔")</f>
        <v/>
      </c>
      <c r="AB575" s="98" t="str">
        <f>IF(IFERROR(VLOOKUP(A575,'27.植栽(新植)'!C:D,1,0),"")="","","✔")</f>
        <v/>
      </c>
      <c r="AC575" s="98" t="str">
        <f>IF(IFERROR(VLOOKUP(A575,'28.照明'!C:D,1,0),"")="","","✔")</f>
        <v/>
      </c>
      <c r="AD575" s="98" t="str">
        <f>IF(IFERROR(VLOOKUP(A575,'29.既有橋梁拆除'!C:D,1,0),"")="","","✔")</f>
        <v/>
      </c>
    </row>
    <row r="576" spans="1:30" ht="21.75" customHeight="1" x14ac:dyDescent="0.25">
      <c r="A576" s="99">
        <v>45766</v>
      </c>
      <c r="B576" s="98" t="str">
        <f>IF(IFERROR(VLOOKUP(A576,'1.測量放樣'!C:D,1,0),"")="","","✔")</f>
        <v/>
      </c>
      <c r="C576" s="98" t="str">
        <f>IF(IFERROR(VLOOKUP(A576,'2.土方開挖'!C:D,1,0),"")="","","✔")</f>
        <v/>
      </c>
      <c r="D576" s="98" t="str">
        <f>IF(IFERROR(VLOOKUP(A576,'3.土方回填'!C:D,1,0),"")="","","✔")</f>
        <v/>
      </c>
      <c r="E576" s="98" t="str">
        <f>IF(IFERROR(VLOOKUP(A576,'4.鋼筋'!C:D,1,0),"")="","","✔")</f>
        <v/>
      </c>
      <c r="F576" s="98" t="str">
        <f>IF(IFERROR(VLOOKUP(A576,'5.模板'!C:D,1,0),"")="","","✔")</f>
        <v/>
      </c>
      <c r="G576" s="98" t="str">
        <f>IF(IFERROR(VLOOKUP(A576,'6.混凝土'!C:D,1,0),"")="","","✔")</f>
        <v/>
      </c>
      <c r="H576" s="98" t="str">
        <f>IF(IFERROR(VLOOKUP(A576,'7.植筋'!C:D,1,0),"")="","","✔")</f>
        <v/>
      </c>
      <c r="I576" s="98" t="str">
        <f>IF(IFERROR(VLOOKUP(A576,'8.預力混凝土基樁'!C:D,1,0),"")="","","✔")</f>
        <v/>
      </c>
      <c r="J576" s="98" t="str">
        <f>IF(IFERROR(VLOOKUP(A576,'9.砌塊石護岸'!C:D,1,0),"")="","","✔")</f>
        <v/>
      </c>
      <c r="K576" s="98" t="str">
        <f>IF(IFERROR(VLOOKUP(A576,'10.低水護岸'!C:D,1,0),"")="","","✔")</f>
        <v/>
      </c>
      <c r="L576" s="98" t="str">
        <f>IF(IFERROR(VLOOKUP(A576,'11.固床工'!C:D,1,0),"")="","","✔")</f>
        <v/>
      </c>
      <c r="M576" s="98" t="str">
        <f>IF(IFERROR(VLOOKUP(A576,'12.全套管基樁'!C:D,1,0),"")="","","✔")</f>
        <v/>
      </c>
      <c r="N576" s="98" t="str">
        <f>IF(IFERROR(VLOOKUP(A576,'13.鋼筋混凝土管工程'!C:D,1,0),"")="","","✔")</f>
        <v/>
      </c>
      <c r="O576" s="98" t="str">
        <f>IF(IFERROR(VLOOKUP(A576,'14.鋼版樁'!C:D,1,0),"")="","","✔")</f>
        <v/>
      </c>
      <c r="P576" s="98" t="str">
        <f>IF(IFERROR(VLOOKUP(A576,'15.路床 路基高程'!C:D,1,0),"")="","","✔")</f>
        <v/>
      </c>
      <c r="Q576" s="98" t="str">
        <f>IF(IFERROR(VLOOKUP(A576,'16.瀝青混凝土'!C:D,1,0),"")="","","✔")</f>
        <v/>
      </c>
      <c r="R576" s="98" t="str">
        <f>IF(IFERROR(VLOOKUP(A576,'17.景觀鋪面(一)'!C:D,1,0),"")="","","✔")</f>
        <v/>
      </c>
      <c r="S576" s="98" t="str">
        <f>IF(IFERROR(VLOOKUP(A576,'18.景觀鋪面(二)'!C:D,1,0),"")="","","✔")</f>
        <v/>
      </c>
      <c r="T576" s="98" t="str">
        <f>IF(IFERROR(VLOOKUP(A576,'19.預鑄緣石'!C:D,1,0),"")="","","✔")</f>
        <v/>
      </c>
      <c r="U576" s="98" t="str">
        <f>IF(IFERROR(VLOOKUP(A576,'20.鋼構工程吊裝'!C:D,1,0),"")="","","✔")</f>
        <v/>
      </c>
      <c r="V576" s="98" t="str">
        <f>IF(IFERROR(VLOOKUP(A576,'21.鋼構工程塗裝'!C:D,1,0),"")="","","✔")</f>
        <v/>
      </c>
      <c r="W576" s="98" t="str">
        <f>IF(IFERROR(VLOOKUP(A576,'22.排水設施(一)'!C:D,1,0),"")="","","✔")</f>
        <v/>
      </c>
      <c r="X576" s="98" t="str">
        <f>IF(IFERROR(VLOOKUP(A576,'23.排水設施(二)'!C:D,1,0),"")="","","✔")</f>
        <v/>
      </c>
      <c r="Y576" s="98" t="str">
        <f>IF(IFERROR(VLOOKUP(A576,'24.木構造'!C:D,1,0),"")="","","✔")</f>
        <v/>
      </c>
      <c r="Z576" s="98" t="str">
        <f>IF(IFERROR(VLOOKUP(A576,'25.管路'!C:D,1,0),"")="","","✔")</f>
        <v/>
      </c>
      <c r="AA576" s="98" t="str">
        <f>IF(IFERROR(VLOOKUP(A576,'26.植栽(移植)'!C:D,1,0),"")="","","✔")</f>
        <v/>
      </c>
      <c r="AB576" s="98" t="str">
        <f>IF(IFERROR(VLOOKUP(A576,'27.植栽(新植)'!C:D,1,0),"")="","","✔")</f>
        <v/>
      </c>
      <c r="AC576" s="98" t="str">
        <f>IF(IFERROR(VLOOKUP(A576,'28.照明'!C:D,1,0),"")="","","✔")</f>
        <v/>
      </c>
      <c r="AD576" s="98" t="str">
        <f>IF(IFERROR(VLOOKUP(A576,'29.既有橋梁拆除'!C:D,1,0),"")="","","✔")</f>
        <v/>
      </c>
    </row>
    <row r="577" spans="1:30" ht="21.75" customHeight="1" x14ac:dyDescent="0.25">
      <c r="A577" s="99">
        <v>45767</v>
      </c>
      <c r="B577" s="98" t="str">
        <f>IF(IFERROR(VLOOKUP(A577,'1.測量放樣'!C:D,1,0),"")="","","✔")</f>
        <v/>
      </c>
      <c r="C577" s="98" t="str">
        <f>IF(IFERROR(VLOOKUP(A577,'2.土方開挖'!C:D,1,0),"")="","","✔")</f>
        <v/>
      </c>
      <c r="D577" s="98" t="str">
        <f>IF(IFERROR(VLOOKUP(A577,'3.土方回填'!C:D,1,0),"")="","","✔")</f>
        <v/>
      </c>
      <c r="E577" s="98" t="str">
        <f>IF(IFERROR(VLOOKUP(A577,'4.鋼筋'!C:D,1,0),"")="","","✔")</f>
        <v/>
      </c>
      <c r="F577" s="98" t="str">
        <f>IF(IFERROR(VLOOKUP(A577,'5.模板'!C:D,1,0),"")="","","✔")</f>
        <v/>
      </c>
      <c r="G577" s="98" t="str">
        <f>IF(IFERROR(VLOOKUP(A577,'6.混凝土'!C:D,1,0),"")="","","✔")</f>
        <v/>
      </c>
      <c r="H577" s="98" t="str">
        <f>IF(IFERROR(VLOOKUP(A577,'7.植筋'!C:D,1,0),"")="","","✔")</f>
        <v/>
      </c>
      <c r="I577" s="98" t="str">
        <f>IF(IFERROR(VLOOKUP(A577,'8.預力混凝土基樁'!C:D,1,0),"")="","","✔")</f>
        <v/>
      </c>
      <c r="J577" s="98" t="str">
        <f>IF(IFERROR(VLOOKUP(A577,'9.砌塊石護岸'!C:D,1,0),"")="","","✔")</f>
        <v/>
      </c>
      <c r="K577" s="98" t="str">
        <f>IF(IFERROR(VLOOKUP(A577,'10.低水護岸'!C:D,1,0),"")="","","✔")</f>
        <v/>
      </c>
      <c r="L577" s="98" t="str">
        <f>IF(IFERROR(VLOOKUP(A577,'11.固床工'!C:D,1,0),"")="","","✔")</f>
        <v/>
      </c>
      <c r="M577" s="98" t="str">
        <f>IF(IFERROR(VLOOKUP(A577,'12.全套管基樁'!C:D,1,0),"")="","","✔")</f>
        <v/>
      </c>
      <c r="N577" s="98" t="str">
        <f>IF(IFERROR(VLOOKUP(A577,'13.鋼筋混凝土管工程'!C:D,1,0),"")="","","✔")</f>
        <v/>
      </c>
      <c r="O577" s="98" t="str">
        <f>IF(IFERROR(VLOOKUP(A577,'14.鋼版樁'!C:D,1,0),"")="","","✔")</f>
        <v/>
      </c>
      <c r="P577" s="98" t="str">
        <f>IF(IFERROR(VLOOKUP(A577,'15.路床 路基高程'!C:D,1,0),"")="","","✔")</f>
        <v/>
      </c>
      <c r="Q577" s="98" t="str">
        <f>IF(IFERROR(VLOOKUP(A577,'16.瀝青混凝土'!C:D,1,0),"")="","","✔")</f>
        <v/>
      </c>
      <c r="R577" s="98" t="str">
        <f>IF(IFERROR(VLOOKUP(A577,'17.景觀鋪面(一)'!C:D,1,0),"")="","","✔")</f>
        <v/>
      </c>
      <c r="S577" s="98" t="str">
        <f>IF(IFERROR(VLOOKUP(A577,'18.景觀鋪面(二)'!C:D,1,0),"")="","","✔")</f>
        <v/>
      </c>
      <c r="T577" s="98" t="str">
        <f>IF(IFERROR(VLOOKUP(A577,'19.預鑄緣石'!C:D,1,0),"")="","","✔")</f>
        <v/>
      </c>
      <c r="U577" s="98" t="str">
        <f>IF(IFERROR(VLOOKUP(A577,'20.鋼構工程吊裝'!C:D,1,0),"")="","","✔")</f>
        <v/>
      </c>
      <c r="V577" s="98" t="str">
        <f>IF(IFERROR(VLOOKUP(A577,'21.鋼構工程塗裝'!C:D,1,0),"")="","","✔")</f>
        <v/>
      </c>
      <c r="W577" s="98" t="str">
        <f>IF(IFERROR(VLOOKUP(A577,'22.排水設施(一)'!C:D,1,0),"")="","","✔")</f>
        <v/>
      </c>
      <c r="X577" s="98" t="str">
        <f>IF(IFERROR(VLOOKUP(A577,'23.排水設施(二)'!C:D,1,0),"")="","","✔")</f>
        <v/>
      </c>
      <c r="Y577" s="98" t="str">
        <f>IF(IFERROR(VLOOKUP(A577,'24.木構造'!C:D,1,0),"")="","","✔")</f>
        <v/>
      </c>
      <c r="Z577" s="98" t="str">
        <f>IF(IFERROR(VLOOKUP(A577,'25.管路'!C:D,1,0),"")="","","✔")</f>
        <v/>
      </c>
      <c r="AA577" s="98" t="str">
        <f>IF(IFERROR(VLOOKUP(A577,'26.植栽(移植)'!C:D,1,0),"")="","","✔")</f>
        <v/>
      </c>
      <c r="AB577" s="98" t="str">
        <f>IF(IFERROR(VLOOKUP(A577,'27.植栽(新植)'!C:D,1,0),"")="","","✔")</f>
        <v/>
      </c>
      <c r="AC577" s="98" t="str">
        <f>IF(IFERROR(VLOOKUP(A577,'28.照明'!C:D,1,0),"")="","","✔")</f>
        <v/>
      </c>
      <c r="AD577" s="98" t="str">
        <f>IF(IFERROR(VLOOKUP(A577,'29.既有橋梁拆除'!C:D,1,0),"")="","","✔")</f>
        <v/>
      </c>
    </row>
    <row r="578" spans="1:30" ht="21.75" customHeight="1" x14ac:dyDescent="0.25">
      <c r="A578" s="99">
        <v>45768</v>
      </c>
      <c r="B578" s="98" t="str">
        <f>IF(IFERROR(VLOOKUP(A578,'1.測量放樣'!C:D,1,0),"")="","","✔")</f>
        <v/>
      </c>
      <c r="C578" s="98" t="str">
        <f>IF(IFERROR(VLOOKUP(A578,'2.土方開挖'!C:D,1,0),"")="","","✔")</f>
        <v/>
      </c>
      <c r="D578" s="98" t="str">
        <f>IF(IFERROR(VLOOKUP(A578,'3.土方回填'!C:D,1,0),"")="","","✔")</f>
        <v/>
      </c>
      <c r="E578" s="98" t="str">
        <f>IF(IFERROR(VLOOKUP(A578,'4.鋼筋'!C:D,1,0),"")="","","✔")</f>
        <v/>
      </c>
      <c r="F578" s="98" t="str">
        <f>IF(IFERROR(VLOOKUP(A578,'5.模板'!C:D,1,0),"")="","","✔")</f>
        <v/>
      </c>
      <c r="G578" s="98" t="str">
        <f>IF(IFERROR(VLOOKUP(A578,'6.混凝土'!C:D,1,0),"")="","","✔")</f>
        <v/>
      </c>
      <c r="H578" s="98" t="str">
        <f>IF(IFERROR(VLOOKUP(A578,'7.植筋'!C:D,1,0),"")="","","✔")</f>
        <v/>
      </c>
      <c r="I578" s="98" t="str">
        <f>IF(IFERROR(VLOOKUP(A578,'8.預力混凝土基樁'!C:D,1,0),"")="","","✔")</f>
        <v/>
      </c>
      <c r="J578" s="98" t="str">
        <f>IF(IFERROR(VLOOKUP(A578,'9.砌塊石護岸'!C:D,1,0),"")="","","✔")</f>
        <v/>
      </c>
      <c r="K578" s="98" t="str">
        <f>IF(IFERROR(VLOOKUP(A578,'10.低水護岸'!C:D,1,0),"")="","","✔")</f>
        <v/>
      </c>
      <c r="L578" s="98" t="str">
        <f>IF(IFERROR(VLOOKUP(A578,'11.固床工'!C:D,1,0),"")="","","✔")</f>
        <v/>
      </c>
      <c r="M578" s="98" t="str">
        <f>IF(IFERROR(VLOOKUP(A578,'12.全套管基樁'!C:D,1,0),"")="","","✔")</f>
        <v/>
      </c>
      <c r="N578" s="98" t="str">
        <f>IF(IFERROR(VLOOKUP(A578,'13.鋼筋混凝土管工程'!C:D,1,0),"")="","","✔")</f>
        <v/>
      </c>
      <c r="O578" s="98" t="str">
        <f>IF(IFERROR(VLOOKUP(A578,'14.鋼版樁'!C:D,1,0),"")="","","✔")</f>
        <v/>
      </c>
      <c r="P578" s="98" t="str">
        <f>IF(IFERROR(VLOOKUP(A578,'15.路床 路基高程'!C:D,1,0),"")="","","✔")</f>
        <v/>
      </c>
      <c r="Q578" s="98" t="str">
        <f>IF(IFERROR(VLOOKUP(A578,'16.瀝青混凝土'!C:D,1,0),"")="","","✔")</f>
        <v/>
      </c>
      <c r="R578" s="98" t="str">
        <f>IF(IFERROR(VLOOKUP(A578,'17.景觀鋪面(一)'!C:D,1,0),"")="","","✔")</f>
        <v/>
      </c>
      <c r="S578" s="98" t="str">
        <f>IF(IFERROR(VLOOKUP(A578,'18.景觀鋪面(二)'!C:D,1,0),"")="","","✔")</f>
        <v/>
      </c>
      <c r="T578" s="98" t="str">
        <f>IF(IFERROR(VLOOKUP(A578,'19.預鑄緣石'!C:D,1,0),"")="","","✔")</f>
        <v/>
      </c>
      <c r="U578" s="98" t="str">
        <f>IF(IFERROR(VLOOKUP(A578,'20.鋼構工程吊裝'!C:D,1,0),"")="","","✔")</f>
        <v/>
      </c>
      <c r="V578" s="98" t="str">
        <f>IF(IFERROR(VLOOKUP(A578,'21.鋼構工程塗裝'!C:D,1,0),"")="","","✔")</f>
        <v/>
      </c>
      <c r="W578" s="98" t="str">
        <f>IF(IFERROR(VLOOKUP(A578,'22.排水設施(一)'!C:D,1,0),"")="","","✔")</f>
        <v/>
      </c>
      <c r="X578" s="98" t="str">
        <f>IF(IFERROR(VLOOKUP(A578,'23.排水設施(二)'!C:D,1,0),"")="","","✔")</f>
        <v/>
      </c>
      <c r="Y578" s="98" t="str">
        <f>IF(IFERROR(VLOOKUP(A578,'24.木構造'!C:D,1,0),"")="","","✔")</f>
        <v/>
      </c>
      <c r="Z578" s="98" t="str">
        <f>IF(IFERROR(VLOOKUP(A578,'25.管路'!C:D,1,0),"")="","","✔")</f>
        <v/>
      </c>
      <c r="AA578" s="98" t="str">
        <f>IF(IFERROR(VLOOKUP(A578,'26.植栽(移植)'!C:D,1,0),"")="","","✔")</f>
        <v/>
      </c>
      <c r="AB578" s="98" t="str">
        <f>IF(IFERROR(VLOOKUP(A578,'27.植栽(新植)'!C:D,1,0),"")="","","✔")</f>
        <v/>
      </c>
      <c r="AC578" s="98" t="str">
        <f>IF(IFERROR(VLOOKUP(A578,'28.照明'!C:D,1,0),"")="","","✔")</f>
        <v/>
      </c>
      <c r="AD578" s="98" t="str">
        <f>IF(IFERROR(VLOOKUP(A578,'29.既有橋梁拆除'!C:D,1,0),"")="","","✔")</f>
        <v/>
      </c>
    </row>
    <row r="579" spans="1:30" ht="21.75" customHeight="1" x14ac:dyDescent="0.25">
      <c r="A579" s="99">
        <v>45769</v>
      </c>
      <c r="B579" s="98" t="str">
        <f>IF(IFERROR(VLOOKUP(A579,'1.測量放樣'!C:D,1,0),"")="","","✔")</f>
        <v/>
      </c>
      <c r="C579" s="98" t="str">
        <f>IF(IFERROR(VLOOKUP(A579,'2.土方開挖'!C:D,1,0),"")="","","✔")</f>
        <v/>
      </c>
      <c r="D579" s="98" t="str">
        <f>IF(IFERROR(VLOOKUP(A579,'3.土方回填'!C:D,1,0),"")="","","✔")</f>
        <v/>
      </c>
      <c r="E579" s="98" t="str">
        <f>IF(IFERROR(VLOOKUP(A579,'4.鋼筋'!C:D,1,0),"")="","","✔")</f>
        <v/>
      </c>
      <c r="F579" s="98" t="str">
        <f>IF(IFERROR(VLOOKUP(A579,'5.模板'!C:D,1,0),"")="","","✔")</f>
        <v/>
      </c>
      <c r="G579" s="98" t="str">
        <f>IF(IFERROR(VLOOKUP(A579,'6.混凝土'!C:D,1,0),"")="","","✔")</f>
        <v/>
      </c>
      <c r="H579" s="98" t="str">
        <f>IF(IFERROR(VLOOKUP(A579,'7.植筋'!C:D,1,0),"")="","","✔")</f>
        <v/>
      </c>
      <c r="I579" s="98" t="str">
        <f>IF(IFERROR(VLOOKUP(A579,'8.預力混凝土基樁'!C:D,1,0),"")="","","✔")</f>
        <v/>
      </c>
      <c r="J579" s="98" t="str">
        <f>IF(IFERROR(VLOOKUP(A579,'9.砌塊石護岸'!C:D,1,0),"")="","","✔")</f>
        <v/>
      </c>
      <c r="K579" s="98" t="str">
        <f>IF(IFERROR(VLOOKUP(A579,'10.低水護岸'!C:D,1,0),"")="","","✔")</f>
        <v/>
      </c>
      <c r="L579" s="98" t="str">
        <f>IF(IFERROR(VLOOKUP(A579,'11.固床工'!C:D,1,0),"")="","","✔")</f>
        <v/>
      </c>
      <c r="M579" s="98" t="str">
        <f>IF(IFERROR(VLOOKUP(A579,'12.全套管基樁'!C:D,1,0),"")="","","✔")</f>
        <v/>
      </c>
      <c r="N579" s="98" t="str">
        <f>IF(IFERROR(VLOOKUP(A579,'13.鋼筋混凝土管工程'!C:D,1,0),"")="","","✔")</f>
        <v/>
      </c>
      <c r="O579" s="98" t="str">
        <f>IF(IFERROR(VLOOKUP(A579,'14.鋼版樁'!C:D,1,0),"")="","","✔")</f>
        <v/>
      </c>
      <c r="P579" s="98" t="str">
        <f>IF(IFERROR(VLOOKUP(A579,'15.路床 路基高程'!C:D,1,0),"")="","","✔")</f>
        <v/>
      </c>
      <c r="Q579" s="98" t="str">
        <f>IF(IFERROR(VLOOKUP(A579,'16.瀝青混凝土'!C:D,1,0),"")="","","✔")</f>
        <v/>
      </c>
      <c r="R579" s="98" t="str">
        <f>IF(IFERROR(VLOOKUP(A579,'17.景觀鋪面(一)'!C:D,1,0),"")="","","✔")</f>
        <v/>
      </c>
      <c r="S579" s="98" t="str">
        <f>IF(IFERROR(VLOOKUP(A579,'18.景觀鋪面(二)'!C:D,1,0),"")="","","✔")</f>
        <v/>
      </c>
      <c r="T579" s="98" t="str">
        <f>IF(IFERROR(VLOOKUP(A579,'19.預鑄緣石'!C:D,1,0),"")="","","✔")</f>
        <v/>
      </c>
      <c r="U579" s="98" t="str">
        <f>IF(IFERROR(VLOOKUP(A579,'20.鋼構工程吊裝'!C:D,1,0),"")="","","✔")</f>
        <v/>
      </c>
      <c r="V579" s="98" t="str">
        <f>IF(IFERROR(VLOOKUP(A579,'21.鋼構工程塗裝'!C:D,1,0),"")="","","✔")</f>
        <v/>
      </c>
      <c r="W579" s="98" t="str">
        <f>IF(IFERROR(VLOOKUP(A579,'22.排水設施(一)'!C:D,1,0),"")="","","✔")</f>
        <v/>
      </c>
      <c r="X579" s="98" t="str">
        <f>IF(IFERROR(VLOOKUP(A579,'23.排水設施(二)'!C:D,1,0),"")="","","✔")</f>
        <v/>
      </c>
      <c r="Y579" s="98" t="str">
        <f>IF(IFERROR(VLOOKUP(A579,'24.木構造'!C:D,1,0),"")="","","✔")</f>
        <v/>
      </c>
      <c r="Z579" s="98" t="str">
        <f>IF(IFERROR(VLOOKUP(A579,'25.管路'!C:D,1,0),"")="","","✔")</f>
        <v/>
      </c>
      <c r="AA579" s="98" t="str">
        <f>IF(IFERROR(VLOOKUP(A579,'26.植栽(移植)'!C:D,1,0),"")="","","✔")</f>
        <v/>
      </c>
      <c r="AB579" s="98" t="str">
        <f>IF(IFERROR(VLOOKUP(A579,'27.植栽(新植)'!C:D,1,0),"")="","","✔")</f>
        <v/>
      </c>
      <c r="AC579" s="98" t="str">
        <f>IF(IFERROR(VLOOKUP(A579,'28.照明'!C:D,1,0),"")="","","✔")</f>
        <v/>
      </c>
      <c r="AD579" s="98" t="str">
        <f>IF(IFERROR(VLOOKUP(A579,'29.既有橋梁拆除'!C:D,1,0),"")="","","✔")</f>
        <v/>
      </c>
    </row>
    <row r="580" spans="1:30" ht="21.75" customHeight="1" x14ac:dyDescent="0.25">
      <c r="A580" s="99">
        <v>45770</v>
      </c>
      <c r="B580" s="98" t="str">
        <f>IF(IFERROR(VLOOKUP(A580,'1.測量放樣'!C:D,1,0),"")="","","✔")</f>
        <v/>
      </c>
      <c r="C580" s="98" t="str">
        <f>IF(IFERROR(VLOOKUP(A580,'2.土方開挖'!C:D,1,0),"")="","","✔")</f>
        <v/>
      </c>
      <c r="D580" s="98" t="str">
        <f>IF(IFERROR(VLOOKUP(A580,'3.土方回填'!C:D,1,0),"")="","","✔")</f>
        <v/>
      </c>
      <c r="E580" s="98" t="str">
        <f>IF(IFERROR(VLOOKUP(A580,'4.鋼筋'!C:D,1,0),"")="","","✔")</f>
        <v/>
      </c>
      <c r="F580" s="98" t="str">
        <f>IF(IFERROR(VLOOKUP(A580,'5.模板'!C:D,1,0),"")="","","✔")</f>
        <v/>
      </c>
      <c r="G580" s="98" t="str">
        <f>IF(IFERROR(VLOOKUP(A580,'6.混凝土'!C:D,1,0),"")="","","✔")</f>
        <v/>
      </c>
      <c r="H580" s="98" t="str">
        <f>IF(IFERROR(VLOOKUP(A580,'7.植筋'!C:D,1,0),"")="","","✔")</f>
        <v/>
      </c>
      <c r="I580" s="98" t="str">
        <f>IF(IFERROR(VLOOKUP(A580,'8.預力混凝土基樁'!C:D,1,0),"")="","","✔")</f>
        <v/>
      </c>
      <c r="J580" s="98" t="str">
        <f>IF(IFERROR(VLOOKUP(A580,'9.砌塊石護岸'!C:D,1,0),"")="","","✔")</f>
        <v/>
      </c>
      <c r="K580" s="98" t="str">
        <f>IF(IFERROR(VLOOKUP(A580,'10.低水護岸'!C:D,1,0),"")="","","✔")</f>
        <v/>
      </c>
      <c r="L580" s="98" t="str">
        <f>IF(IFERROR(VLOOKUP(A580,'11.固床工'!C:D,1,0),"")="","","✔")</f>
        <v/>
      </c>
      <c r="M580" s="98" t="str">
        <f>IF(IFERROR(VLOOKUP(A580,'12.全套管基樁'!C:D,1,0),"")="","","✔")</f>
        <v/>
      </c>
      <c r="N580" s="98" t="str">
        <f>IF(IFERROR(VLOOKUP(A580,'13.鋼筋混凝土管工程'!C:D,1,0),"")="","","✔")</f>
        <v/>
      </c>
      <c r="O580" s="98" t="str">
        <f>IF(IFERROR(VLOOKUP(A580,'14.鋼版樁'!C:D,1,0),"")="","","✔")</f>
        <v/>
      </c>
      <c r="P580" s="98" t="str">
        <f>IF(IFERROR(VLOOKUP(A580,'15.路床 路基高程'!C:D,1,0),"")="","","✔")</f>
        <v/>
      </c>
      <c r="Q580" s="98" t="str">
        <f>IF(IFERROR(VLOOKUP(A580,'16.瀝青混凝土'!C:D,1,0),"")="","","✔")</f>
        <v/>
      </c>
      <c r="R580" s="98" t="str">
        <f>IF(IFERROR(VLOOKUP(A580,'17.景觀鋪面(一)'!C:D,1,0),"")="","","✔")</f>
        <v/>
      </c>
      <c r="S580" s="98" t="str">
        <f>IF(IFERROR(VLOOKUP(A580,'18.景觀鋪面(二)'!C:D,1,0),"")="","","✔")</f>
        <v/>
      </c>
      <c r="T580" s="98" t="str">
        <f>IF(IFERROR(VLOOKUP(A580,'19.預鑄緣石'!C:D,1,0),"")="","","✔")</f>
        <v/>
      </c>
      <c r="U580" s="98" t="str">
        <f>IF(IFERROR(VLOOKUP(A580,'20.鋼構工程吊裝'!C:D,1,0),"")="","","✔")</f>
        <v/>
      </c>
      <c r="V580" s="98" t="str">
        <f>IF(IFERROR(VLOOKUP(A580,'21.鋼構工程塗裝'!C:D,1,0),"")="","","✔")</f>
        <v/>
      </c>
      <c r="W580" s="98" t="str">
        <f>IF(IFERROR(VLOOKUP(A580,'22.排水設施(一)'!C:D,1,0),"")="","","✔")</f>
        <v/>
      </c>
      <c r="X580" s="98" t="str">
        <f>IF(IFERROR(VLOOKUP(A580,'23.排水設施(二)'!C:D,1,0),"")="","","✔")</f>
        <v/>
      </c>
      <c r="Y580" s="98" t="str">
        <f>IF(IFERROR(VLOOKUP(A580,'24.木構造'!C:D,1,0),"")="","","✔")</f>
        <v/>
      </c>
      <c r="Z580" s="98" t="str">
        <f>IF(IFERROR(VLOOKUP(A580,'25.管路'!C:D,1,0),"")="","","✔")</f>
        <v/>
      </c>
      <c r="AA580" s="98" t="str">
        <f>IF(IFERROR(VLOOKUP(A580,'26.植栽(移植)'!C:D,1,0),"")="","","✔")</f>
        <v/>
      </c>
      <c r="AB580" s="98" t="str">
        <f>IF(IFERROR(VLOOKUP(A580,'27.植栽(新植)'!C:D,1,0),"")="","","✔")</f>
        <v/>
      </c>
      <c r="AC580" s="98" t="str">
        <f>IF(IFERROR(VLOOKUP(A580,'28.照明'!C:D,1,0),"")="","","✔")</f>
        <v/>
      </c>
      <c r="AD580" s="98" t="str">
        <f>IF(IFERROR(VLOOKUP(A580,'29.既有橋梁拆除'!C:D,1,0),"")="","","✔")</f>
        <v/>
      </c>
    </row>
    <row r="581" spans="1:30" ht="21.75" customHeight="1" x14ac:dyDescent="0.25">
      <c r="A581" s="99">
        <v>45771</v>
      </c>
      <c r="B581" s="98" t="str">
        <f>IF(IFERROR(VLOOKUP(A581,'1.測量放樣'!C:D,1,0),"")="","","✔")</f>
        <v/>
      </c>
      <c r="C581" s="98" t="str">
        <f>IF(IFERROR(VLOOKUP(A581,'2.土方開挖'!C:D,1,0),"")="","","✔")</f>
        <v/>
      </c>
      <c r="D581" s="98" t="str">
        <f>IF(IFERROR(VLOOKUP(A581,'3.土方回填'!C:D,1,0),"")="","","✔")</f>
        <v/>
      </c>
      <c r="E581" s="98" t="str">
        <f>IF(IFERROR(VLOOKUP(A581,'4.鋼筋'!C:D,1,0),"")="","","✔")</f>
        <v/>
      </c>
      <c r="F581" s="98" t="str">
        <f>IF(IFERROR(VLOOKUP(A581,'5.模板'!C:D,1,0),"")="","","✔")</f>
        <v/>
      </c>
      <c r="G581" s="98" t="str">
        <f>IF(IFERROR(VLOOKUP(A581,'6.混凝土'!C:D,1,0),"")="","","✔")</f>
        <v/>
      </c>
      <c r="H581" s="98" t="str">
        <f>IF(IFERROR(VLOOKUP(A581,'7.植筋'!C:D,1,0),"")="","","✔")</f>
        <v/>
      </c>
      <c r="I581" s="98" t="str">
        <f>IF(IFERROR(VLOOKUP(A581,'8.預力混凝土基樁'!C:D,1,0),"")="","","✔")</f>
        <v/>
      </c>
      <c r="J581" s="98" t="str">
        <f>IF(IFERROR(VLOOKUP(A581,'9.砌塊石護岸'!C:D,1,0),"")="","","✔")</f>
        <v/>
      </c>
      <c r="K581" s="98" t="str">
        <f>IF(IFERROR(VLOOKUP(A581,'10.低水護岸'!C:D,1,0),"")="","","✔")</f>
        <v/>
      </c>
      <c r="L581" s="98" t="str">
        <f>IF(IFERROR(VLOOKUP(A581,'11.固床工'!C:D,1,0),"")="","","✔")</f>
        <v/>
      </c>
      <c r="M581" s="98" t="str">
        <f>IF(IFERROR(VLOOKUP(A581,'12.全套管基樁'!C:D,1,0),"")="","","✔")</f>
        <v/>
      </c>
      <c r="N581" s="98" t="str">
        <f>IF(IFERROR(VLOOKUP(A581,'13.鋼筋混凝土管工程'!C:D,1,0),"")="","","✔")</f>
        <v/>
      </c>
      <c r="O581" s="98" t="str">
        <f>IF(IFERROR(VLOOKUP(A581,'14.鋼版樁'!C:D,1,0),"")="","","✔")</f>
        <v/>
      </c>
      <c r="P581" s="98" t="str">
        <f>IF(IFERROR(VLOOKUP(A581,'15.路床 路基高程'!C:D,1,0),"")="","","✔")</f>
        <v/>
      </c>
      <c r="Q581" s="98" t="str">
        <f>IF(IFERROR(VLOOKUP(A581,'16.瀝青混凝土'!C:D,1,0),"")="","","✔")</f>
        <v/>
      </c>
      <c r="R581" s="98" t="str">
        <f>IF(IFERROR(VLOOKUP(A581,'17.景觀鋪面(一)'!C:D,1,0),"")="","","✔")</f>
        <v/>
      </c>
      <c r="S581" s="98" t="str">
        <f>IF(IFERROR(VLOOKUP(A581,'18.景觀鋪面(二)'!C:D,1,0),"")="","","✔")</f>
        <v/>
      </c>
      <c r="T581" s="98" t="str">
        <f>IF(IFERROR(VLOOKUP(A581,'19.預鑄緣石'!C:D,1,0),"")="","","✔")</f>
        <v/>
      </c>
      <c r="U581" s="98" t="str">
        <f>IF(IFERROR(VLOOKUP(A581,'20.鋼構工程吊裝'!C:D,1,0),"")="","","✔")</f>
        <v/>
      </c>
      <c r="V581" s="98" t="str">
        <f>IF(IFERROR(VLOOKUP(A581,'21.鋼構工程塗裝'!C:D,1,0),"")="","","✔")</f>
        <v/>
      </c>
      <c r="W581" s="98" t="str">
        <f>IF(IFERROR(VLOOKUP(A581,'22.排水設施(一)'!C:D,1,0),"")="","","✔")</f>
        <v/>
      </c>
      <c r="X581" s="98" t="str">
        <f>IF(IFERROR(VLOOKUP(A581,'23.排水設施(二)'!C:D,1,0),"")="","","✔")</f>
        <v/>
      </c>
      <c r="Y581" s="98" t="str">
        <f>IF(IFERROR(VLOOKUP(A581,'24.木構造'!C:D,1,0),"")="","","✔")</f>
        <v/>
      </c>
      <c r="Z581" s="98" t="str">
        <f>IF(IFERROR(VLOOKUP(A581,'25.管路'!C:D,1,0),"")="","","✔")</f>
        <v/>
      </c>
      <c r="AA581" s="98" t="str">
        <f>IF(IFERROR(VLOOKUP(A581,'26.植栽(移植)'!C:D,1,0),"")="","","✔")</f>
        <v/>
      </c>
      <c r="AB581" s="98" t="str">
        <f>IF(IFERROR(VLOOKUP(A581,'27.植栽(新植)'!C:D,1,0),"")="","","✔")</f>
        <v/>
      </c>
      <c r="AC581" s="98" t="str">
        <f>IF(IFERROR(VLOOKUP(A581,'28.照明'!C:D,1,0),"")="","","✔")</f>
        <v/>
      </c>
      <c r="AD581" s="98" t="str">
        <f>IF(IFERROR(VLOOKUP(A581,'29.既有橋梁拆除'!C:D,1,0),"")="","","✔")</f>
        <v/>
      </c>
    </row>
    <row r="582" spans="1:30" ht="21.75" customHeight="1" x14ac:dyDescent="0.25">
      <c r="A582" s="99">
        <v>45772</v>
      </c>
      <c r="B582" s="98" t="str">
        <f>IF(IFERROR(VLOOKUP(A582,'1.測量放樣'!C:D,1,0),"")="","","✔")</f>
        <v/>
      </c>
      <c r="C582" s="98" t="str">
        <f>IF(IFERROR(VLOOKUP(A582,'2.土方開挖'!C:D,1,0),"")="","","✔")</f>
        <v/>
      </c>
      <c r="D582" s="98" t="str">
        <f>IF(IFERROR(VLOOKUP(A582,'3.土方回填'!C:D,1,0),"")="","","✔")</f>
        <v/>
      </c>
      <c r="E582" s="98" t="str">
        <f>IF(IFERROR(VLOOKUP(A582,'4.鋼筋'!C:D,1,0),"")="","","✔")</f>
        <v/>
      </c>
      <c r="F582" s="98" t="str">
        <f>IF(IFERROR(VLOOKUP(A582,'5.模板'!C:D,1,0),"")="","","✔")</f>
        <v/>
      </c>
      <c r="G582" s="98" t="str">
        <f>IF(IFERROR(VLOOKUP(A582,'6.混凝土'!C:D,1,0),"")="","","✔")</f>
        <v/>
      </c>
      <c r="H582" s="98" t="str">
        <f>IF(IFERROR(VLOOKUP(A582,'7.植筋'!C:D,1,0),"")="","","✔")</f>
        <v/>
      </c>
      <c r="I582" s="98" t="str">
        <f>IF(IFERROR(VLOOKUP(A582,'8.預力混凝土基樁'!C:D,1,0),"")="","","✔")</f>
        <v/>
      </c>
      <c r="J582" s="98" t="str">
        <f>IF(IFERROR(VLOOKUP(A582,'9.砌塊石護岸'!C:D,1,0),"")="","","✔")</f>
        <v/>
      </c>
      <c r="K582" s="98" t="str">
        <f>IF(IFERROR(VLOOKUP(A582,'10.低水護岸'!C:D,1,0),"")="","","✔")</f>
        <v/>
      </c>
      <c r="L582" s="98" t="str">
        <f>IF(IFERROR(VLOOKUP(A582,'11.固床工'!C:D,1,0),"")="","","✔")</f>
        <v/>
      </c>
      <c r="M582" s="98" t="str">
        <f>IF(IFERROR(VLOOKUP(A582,'12.全套管基樁'!C:D,1,0),"")="","","✔")</f>
        <v/>
      </c>
      <c r="N582" s="98" t="str">
        <f>IF(IFERROR(VLOOKUP(A582,'13.鋼筋混凝土管工程'!C:D,1,0),"")="","","✔")</f>
        <v/>
      </c>
      <c r="O582" s="98" t="str">
        <f>IF(IFERROR(VLOOKUP(A582,'14.鋼版樁'!C:D,1,0),"")="","","✔")</f>
        <v/>
      </c>
      <c r="P582" s="98" t="str">
        <f>IF(IFERROR(VLOOKUP(A582,'15.路床 路基高程'!C:D,1,0),"")="","","✔")</f>
        <v/>
      </c>
      <c r="Q582" s="98" t="str">
        <f>IF(IFERROR(VLOOKUP(A582,'16.瀝青混凝土'!C:D,1,0),"")="","","✔")</f>
        <v/>
      </c>
      <c r="R582" s="98" t="str">
        <f>IF(IFERROR(VLOOKUP(A582,'17.景觀鋪面(一)'!C:D,1,0),"")="","","✔")</f>
        <v/>
      </c>
      <c r="S582" s="98" t="str">
        <f>IF(IFERROR(VLOOKUP(A582,'18.景觀鋪面(二)'!C:D,1,0),"")="","","✔")</f>
        <v/>
      </c>
      <c r="T582" s="98" t="str">
        <f>IF(IFERROR(VLOOKUP(A582,'19.預鑄緣石'!C:D,1,0),"")="","","✔")</f>
        <v/>
      </c>
      <c r="U582" s="98" t="str">
        <f>IF(IFERROR(VLOOKUP(A582,'20.鋼構工程吊裝'!C:D,1,0),"")="","","✔")</f>
        <v/>
      </c>
      <c r="V582" s="98" t="str">
        <f>IF(IFERROR(VLOOKUP(A582,'21.鋼構工程塗裝'!C:D,1,0),"")="","","✔")</f>
        <v/>
      </c>
      <c r="W582" s="98" t="str">
        <f>IF(IFERROR(VLOOKUP(A582,'22.排水設施(一)'!C:D,1,0),"")="","","✔")</f>
        <v/>
      </c>
      <c r="X582" s="98" t="str">
        <f>IF(IFERROR(VLOOKUP(A582,'23.排水設施(二)'!C:D,1,0),"")="","","✔")</f>
        <v/>
      </c>
      <c r="Y582" s="98" t="str">
        <f>IF(IFERROR(VLOOKUP(A582,'24.木構造'!C:D,1,0),"")="","","✔")</f>
        <v/>
      </c>
      <c r="Z582" s="98" t="str">
        <f>IF(IFERROR(VLOOKUP(A582,'25.管路'!C:D,1,0),"")="","","✔")</f>
        <v/>
      </c>
      <c r="AA582" s="98" t="str">
        <f>IF(IFERROR(VLOOKUP(A582,'26.植栽(移植)'!C:D,1,0),"")="","","✔")</f>
        <v/>
      </c>
      <c r="AB582" s="98" t="str">
        <f>IF(IFERROR(VLOOKUP(A582,'27.植栽(新植)'!C:D,1,0),"")="","","✔")</f>
        <v/>
      </c>
      <c r="AC582" s="98" t="str">
        <f>IF(IFERROR(VLOOKUP(A582,'28.照明'!C:D,1,0),"")="","","✔")</f>
        <v/>
      </c>
      <c r="AD582" s="98" t="str">
        <f>IF(IFERROR(VLOOKUP(A582,'29.既有橋梁拆除'!C:D,1,0),"")="","","✔")</f>
        <v/>
      </c>
    </row>
    <row r="583" spans="1:30" ht="21.75" customHeight="1" x14ac:dyDescent="0.25">
      <c r="A583" s="99">
        <v>45773</v>
      </c>
      <c r="B583" s="98" t="str">
        <f>IF(IFERROR(VLOOKUP(A583,'1.測量放樣'!C:D,1,0),"")="","","✔")</f>
        <v/>
      </c>
      <c r="C583" s="98" t="str">
        <f>IF(IFERROR(VLOOKUP(A583,'2.土方開挖'!C:D,1,0),"")="","","✔")</f>
        <v/>
      </c>
      <c r="D583" s="98" t="str">
        <f>IF(IFERROR(VLOOKUP(A583,'3.土方回填'!C:D,1,0),"")="","","✔")</f>
        <v/>
      </c>
      <c r="E583" s="98" t="str">
        <f>IF(IFERROR(VLOOKUP(A583,'4.鋼筋'!C:D,1,0),"")="","","✔")</f>
        <v/>
      </c>
      <c r="F583" s="98" t="str">
        <f>IF(IFERROR(VLOOKUP(A583,'5.模板'!C:D,1,0),"")="","","✔")</f>
        <v/>
      </c>
      <c r="G583" s="98" t="str">
        <f>IF(IFERROR(VLOOKUP(A583,'6.混凝土'!C:D,1,0),"")="","","✔")</f>
        <v/>
      </c>
      <c r="H583" s="98" t="str">
        <f>IF(IFERROR(VLOOKUP(A583,'7.植筋'!C:D,1,0),"")="","","✔")</f>
        <v/>
      </c>
      <c r="I583" s="98" t="str">
        <f>IF(IFERROR(VLOOKUP(A583,'8.預力混凝土基樁'!C:D,1,0),"")="","","✔")</f>
        <v/>
      </c>
      <c r="J583" s="98" t="str">
        <f>IF(IFERROR(VLOOKUP(A583,'9.砌塊石護岸'!C:D,1,0),"")="","","✔")</f>
        <v/>
      </c>
      <c r="K583" s="98" t="str">
        <f>IF(IFERROR(VLOOKUP(A583,'10.低水護岸'!C:D,1,0),"")="","","✔")</f>
        <v/>
      </c>
      <c r="L583" s="98" t="str">
        <f>IF(IFERROR(VLOOKUP(A583,'11.固床工'!C:D,1,0),"")="","","✔")</f>
        <v/>
      </c>
      <c r="M583" s="98" t="str">
        <f>IF(IFERROR(VLOOKUP(A583,'12.全套管基樁'!C:D,1,0),"")="","","✔")</f>
        <v/>
      </c>
      <c r="N583" s="98" t="str">
        <f>IF(IFERROR(VLOOKUP(A583,'13.鋼筋混凝土管工程'!C:D,1,0),"")="","","✔")</f>
        <v/>
      </c>
      <c r="O583" s="98" t="str">
        <f>IF(IFERROR(VLOOKUP(A583,'14.鋼版樁'!C:D,1,0),"")="","","✔")</f>
        <v/>
      </c>
      <c r="P583" s="98" t="str">
        <f>IF(IFERROR(VLOOKUP(A583,'15.路床 路基高程'!C:D,1,0),"")="","","✔")</f>
        <v/>
      </c>
      <c r="Q583" s="98" t="str">
        <f>IF(IFERROR(VLOOKUP(A583,'16.瀝青混凝土'!C:D,1,0),"")="","","✔")</f>
        <v/>
      </c>
      <c r="R583" s="98" t="str">
        <f>IF(IFERROR(VLOOKUP(A583,'17.景觀鋪面(一)'!C:D,1,0),"")="","","✔")</f>
        <v/>
      </c>
      <c r="S583" s="98" t="str">
        <f>IF(IFERROR(VLOOKUP(A583,'18.景觀鋪面(二)'!C:D,1,0),"")="","","✔")</f>
        <v/>
      </c>
      <c r="T583" s="98" t="str">
        <f>IF(IFERROR(VLOOKUP(A583,'19.預鑄緣石'!C:D,1,0),"")="","","✔")</f>
        <v/>
      </c>
      <c r="U583" s="98" t="str">
        <f>IF(IFERROR(VLOOKUP(A583,'20.鋼構工程吊裝'!C:D,1,0),"")="","","✔")</f>
        <v/>
      </c>
      <c r="V583" s="98" t="str">
        <f>IF(IFERROR(VLOOKUP(A583,'21.鋼構工程塗裝'!C:D,1,0),"")="","","✔")</f>
        <v/>
      </c>
      <c r="W583" s="98" t="str">
        <f>IF(IFERROR(VLOOKUP(A583,'22.排水設施(一)'!C:D,1,0),"")="","","✔")</f>
        <v/>
      </c>
      <c r="X583" s="98" t="str">
        <f>IF(IFERROR(VLOOKUP(A583,'23.排水設施(二)'!C:D,1,0),"")="","","✔")</f>
        <v/>
      </c>
      <c r="Y583" s="98" t="str">
        <f>IF(IFERROR(VLOOKUP(A583,'24.木構造'!C:D,1,0),"")="","","✔")</f>
        <v/>
      </c>
      <c r="Z583" s="98" t="str">
        <f>IF(IFERROR(VLOOKUP(A583,'25.管路'!C:D,1,0),"")="","","✔")</f>
        <v/>
      </c>
      <c r="AA583" s="98" t="str">
        <f>IF(IFERROR(VLOOKUP(A583,'26.植栽(移植)'!C:D,1,0),"")="","","✔")</f>
        <v/>
      </c>
      <c r="AB583" s="98" t="str">
        <f>IF(IFERROR(VLOOKUP(A583,'27.植栽(新植)'!C:D,1,0),"")="","","✔")</f>
        <v/>
      </c>
      <c r="AC583" s="98" t="str">
        <f>IF(IFERROR(VLOOKUP(A583,'28.照明'!C:D,1,0),"")="","","✔")</f>
        <v/>
      </c>
      <c r="AD583" s="98" t="str">
        <f>IF(IFERROR(VLOOKUP(A583,'29.既有橋梁拆除'!C:D,1,0),"")="","","✔")</f>
        <v/>
      </c>
    </row>
    <row r="584" spans="1:30" ht="21.75" customHeight="1" x14ac:dyDescent="0.25">
      <c r="A584" s="99">
        <v>45774</v>
      </c>
      <c r="B584" s="98" t="str">
        <f>IF(IFERROR(VLOOKUP(A584,'1.測量放樣'!C:D,1,0),"")="","","✔")</f>
        <v/>
      </c>
      <c r="C584" s="98" t="str">
        <f>IF(IFERROR(VLOOKUP(A584,'2.土方開挖'!C:D,1,0),"")="","","✔")</f>
        <v/>
      </c>
      <c r="D584" s="98" t="str">
        <f>IF(IFERROR(VLOOKUP(A584,'3.土方回填'!C:D,1,0),"")="","","✔")</f>
        <v/>
      </c>
      <c r="E584" s="98" t="str">
        <f>IF(IFERROR(VLOOKUP(A584,'4.鋼筋'!C:D,1,0),"")="","","✔")</f>
        <v/>
      </c>
      <c r="F584" s="98" t="str">
        <f>IF(IFERROR(VLOOKUP(A584,'5.模板'!C:D,1,0),"")="","","✔")</f>
        <v/>
      </c>
      <c r="G584" s="98" t="str">
        <f>IF(IFERROR(VLOOKUP(A584,'6.混凝土'!C:D,1,0),"")="","","✔")</f>
        <v/>
      </c>
      <c r="H584" s="98" t="str">
        <f>IF(IFERROR(VLOOKUP(A584,'7.植筋'!C:D,1,0),"")="","","✔")</f>
        <v/>
      </c>
      <c r="I584" s="98" t="str">
        <f>IF(IFERROR(VLOOKUP(A584,'8.預力混凝土基樁'!C:D,1,0),"")="","","✔")</f>
        <v/>
      </c>
      <c r="J584" s="98" t="str">
        <f>IF(IFERROR(VLOOKUP(A584,'9.砌塊石護岸'!C:D,1,0),"")="","","✔")</f>
        <v/>
      </c>
      <c r="K584" s="98" t="str">
        <f>IF(IFERROR(VLOOKUP(A584,'10.低水護岸'!C:D,1,0),"")="","","✔")</f>
        <v/>
      </c>
      <c r="L584" s="98" t="str">
        <f>IF(IFERROR(VLOOKUP(A584,'11.固床工'!C:D,1,0),"")="","","✔")</f>
        <v/>
      </c>
      <c r="M584" s="98" t="str">
        <f>IF(IFERROR(VLOOKUP(A584,'12.全套管基樁'!C:D,1,0),"")="","","✔")</f>
        <v/>
      </c>
      <c r="N584" s="98" t="str">
        <f>IF(IFERROR(VLOOKUP(A584,'13.鋼筋混凝土管工程'!C:D,1,0),"")="","","✔")</f>
        <v/>
      </c>
      <c r="O584" s="98" t="str">
        <f>IF(IFERROR(VLOOKUP(A584,'14.鋼版樁'!C:D,1,0),"")="","","✔")</f>
        <v/>
      </c>
      <c r="P584" s="98" t="str">
        <f>IF(IFERROR(VLOOKUP(A584,'15.路床 路基高程'!C:D,1,0),"")="","","✔")</f>
        <v/>
      </c>
      <c r="Q584" s="98" t="str">
        <f>IF(IFERROR(VLOOKUP(A584,'16.瀝青混凝土'!C:D,1,0),"")="","","✔")</f>
        <v/>
      </c>
      <c r="R584" s="98" t="str">
        <f>IF(IFERROR(VLOOKUP(A584,'17.景觀鋪面(一)'!C:D,1,0),"")="","","✔")</f>
        <v/>
      </c>
      <c r="S584" s="98" t="str">
        <f>IF(IFERROR(VLOOKUP(A584,'18.景觀鋪面(二)'!C:D,1,0),"")="","","✔")</f>
        <v/>
      </c>
      <c r="T584" s="98" t="str">
        <f>IF(IFERROR(VLOOKUP(A584,'19.預鑄緣石'!C:D,1,0),"")="","","✔")</f>
        <v/>
      </c>
      <c r="U584" s="98" t="str">
        <f>IF(IFERROR(VLOOKUP(A584,'20.鋼構工程吊裝'!C:D,1,0),"")="","","✔")</f>
        <v/>
      </c>
      <c r="V584" s="98" t="str">
        <f>IF(IFERROR(VLOOKUP(A584,'21.鋼構工程塗裝'!C:D,1,0),"")="","","✔")</f>
        <v/>
      </c>
      <c r="W584" s="98" t="str">
        <f>IF(IFERROR(VLOOKUP(A584,'22.排水設施(一)'!C:D,1,0),"")="","","✔")</f>
        <v/>
      </c>
      <c r="X584" s="98" t="str">
        <f>IF(IFERROR(VLOOKUP(A584,'23.排水設施(二)'!C:D,1,0),"")="","","✔")</f>
        <v/>
      </c>
      <c r="Y584" s="98" t="str">
        <f>IF(IFERROR(VLOOKUP(A584,'24.木構造'!C:D,1,0),"")="","","✔")</f>
        <v/>
      </c>
      <c r="Z584" s="98" t="str">
        <f>IF(IFERROR(VLOOKUP(A584,'25.管路'!C:D,1,0),"")="","","✔")</f>
        <v/>
      </c>
      <c r="AA584" s="98" t="str">
        <f>IF(IFERROR(VLOOKUP(A584,'26.植栽(移植)'!C:D,1,0),"")="","","✔")</f>
        <v/>
      </c>
      <c r="AB584" s="98" t="str">
        <f>IF(IFERROR(VLOOKUP(A584,'27.植栽(新植)'!C:D,1,0),"")="","","✔")</f>
        <v/>
      </c>
      <c r="AC584" s="98" t="str">
        <f>IF(IFERROR(VLOOKUP(A584,'28.照明'!C:D,1,0),"")="","","✔")</f>
        <v/>
      </c>
      <c r="AD584" s="98" t="str">
        <f>IF(IFERROR(VLOOKUP(A584,'29.既有橋梁拆除'!C:D,1,0),"")="","","✔")</f>
        <v/>
      </c>
    </row>
    <row r="585" spans="1:30" ht="21.75" customHeight="1" x14ac:dyDescent="0.25">
      <c r="A585" s="99">
        <v>45775</v>
      </c>
      <c r="B585" s="98" t="str">
        <f>IF(IFERROR(VLOOKUP(A585,'1.測量放樣'!C:D,1,0),"")="","","✔")</f>
        <v/>
      </c>
      <c r="C585" s="98" t="str">
        <f>IF(IFERROR(VLOOKUP(A585,'2.土方開挖'!C:D,1,0),"")="","","✔")</f>
        <v/>
      </c>
      <c r="D585" s="98" t="str">
        <f>IF(IFERROR(VLOOKUP(A585,'3.土方回填'!C:D,1,0),"")="","","✔")</f>
        <v/>
      </c>
      <c r="E585" s="98" t="str">
        <f>IF(IFERROR(VLOOKUP(A585,'4.鋼筋'!C:D,1,0),"")="","","✔")</f>
        <v/>
      </c>
      <c r="F585" s="98" t="str">
        <f>IF(IFERROR(VLOOKUP(A585,'5.模板'!C:D,1,0),"")="","","✔")</f>
        <v/>
      </c>
      <c r="G585" s="98" t="str">
        <f>IF(IFERROR(VLOOKUP(A585,'6.混凝土'!C:D,1,0),"")="","","✔")</f>
        <v/>
      </c>
      <c r="H585" s="98" t="str">
        <f>IF(IFERROR(VLOOKUP(A585,'7.植筋'!C:D,1,0),"")="","","✔")</f>
        <v/>
      </c>
      <c r="I585" s="98" t="str">
        <f>IF(IFERROR(VLOOKUP(A585,'8.預力混凝土基樁'!C:D,1,0),"")="","","✔")</f>
        <v/>
      </c>
      <c r="J585" s="98" t="str">
        <f>IF(IFERROR(VLOOKUP(A585,'9.砌塊石護岸'!C:D,1,0),"")="","","✔")</f>
        <v/>
      </c>
      <c r="K585" s="98" t="str">
        <f>IF(IFERROR(VLOOKUP(A585,'10.低水護岸'!C:D,1,0),"")="","","✔")</f>
        <v/>
      </c>
      <c r="L585" s="98" t="str">
        <f>IF(IFERROR(VLOOKUP(A585,'11.固床工'!C:D,1,0),"")="","","✔")</f>
        <v/>
      </c>
      <c r="M585" s="98" t="str">
        <f>IF(IFERROR(VLOOKUP(A585,'12.全套管基樁'!C:D,1,0),"")="","","✔")</f>
        <v/>
      </c>
      <c r="N585" s="98" t="str">
        <f>IF(IFERROR(VLOOKUP(A585,'13.鋼筋混凝土管工程'!C:D,1,0),"")="","","✔")</f>
        <v/>
      </c>
      <c r="O585" s="98" t="str">
        <f>IF(IFERROR(VLOOKUP(A585,'14.鋼版樁'!C:D,1,0),"")="","","✔")</f>
        <v/>
      </c>
      <c r="P585" s="98" t="str">
        <f>IF(IFERROR(VLOOKUP(A585,'15.路床 路基高程'!C:D,1,0),"")="","","✔")</f>
        <v/>
      </c>
      <c r="Q585" s="98" t="str">
        <f>IF(IFERROR(VLOOKUP(A585,'16.瀝青混凝土'!C:D,1,0),"")="","","✔")</f>
        <v/>
      </c>
      <c r="R585" s="98" t="str">
        <f>IF(IFERROR(VLOOKUP(A585,'17.景觀鋪面(一)'!C:D,1,0),"")="","","✔")</f>
        <v/>
      </c>
      <c r="S585" s="98" t="str">
        <f>IF(IFERROR(VLOOKUP(A585,'18.景觀鋪面(二)'!C:D,1,0),"")="","","✔")</f>
        <v/>
      </c>
      <c r="T585" s="98" t="str">
        <f>IF(IFERROR(VLOOKUP(A585,'19.預鑄緣石'!C:D,1,0),"")="","","✔")</f>
        <v/>
      </c>
      <c r="U585" s="98" t="str">
        <f>IF(IFERROR(VLOOKUP(A585,'20.鋼構工程吊裝'!C:D,1,0),"")="","","✔")</f>
        <v/>
      </c>
      <c r="V585" s="98" t="str">
        <f>IF(IFERROR(VLOOKUP(A585,'21.鋼構工程塗裝'!C:D,1,0),"")="","","✔")</f>
        <v/>
      </c>
      <c r="W585" s="98" t="str">
        <f>IF(IFERROR(VLOOKUP(A585,'22.排水設施(一)'!C:D,1,0),"")="","","✔")</f>
        <v/>
      </c>
      <c r="X585" s="98" t="str">
        <f>IF(IFERROR(VLOOKUP(A585,'23.排水設施(二)'!C:D,1,0),"")="","","✔")</f>
        <v/>
      </c>
      <c r="Y585" s="98" t="str">
        <f>IF(IFERROR(VLOOKUP(A585,'24.木構造'!C:D,1,0),"")="","","✔")</f>
        <v/>
      </c>
      <c r="Z585" s="98" t="str">
        <f>IF(IFERROR(VLOOKUP(A585,'25.管路'!C:D,1,0),"")="","","✔")</f>
        <v/>
      </c>
      <c r="AA585" s="98" t="str">
        <f>IF(IFERROR(VLOOKUP(A585,'26.植栽(移植)'!C:D,1,0),"")="","","✔")</f>
        <v/>
      </c>
      <c r="AB585" s="98" t="str">
        <f>IF(IFERROR(VLOOKUP(A585,'27.植栽(新植)'!C:D,1,0),"")="","","✔")</f>
        <v/>
      </c>
      <c r="AC585" s="98" t="str">
        <f>IF(IFERROR(VLOOKUP(A585,'28.照明'!C:D,1,0),"")="","","✔")</f>
        <v/>
      </c>
      <c r="AD585" s="98" t="str">
        <f>IF(IFERROR(VLOOKUP(A585,'29.既有橋梁拆除'!C:D,1,0),"")="","","✔")</f>
        <v/>
      </c>
    </row>
    <row r="586" spans="1:30" ht="21.75" customHeight="1" x14ac:dyDescent="0.25">
      <c r="A586" s="99">
        <v>45776</v>
      </c>
      <c r="B586" s="98" t="str">
        <f>IF(IFERROR(VLOOKUP(A586,'1.測量放樣'!C:D,1,0),"")="","","✔")</f>
        <v/>
      </c>
      <c r="C586" s="98" t="str">
        <f>IF(IFERROR(VLOOKUP(A586,'2.土方開挖'!C:D,1,0),"")="","","✔")</f>
        <v/>
      </c>
      <c r="D586" s="98" t="str">
        <f>IF(IFERROR(VLOOKUP(A586,'3.土方回填'!C:D,1,0),"")="","","✔")</f>
        <v/>
      </c>
      <c r="E586" s="98" t="str">
        <f>IF(IFERROR(VLOOKUP(A586,'4.鋼筋'!C:D,1,0),"")="","","✔")</f>
        <v/>
      </c>
      <c r="F586" s="98" t="str">
        <f>IF(IFERROR(VLOOKUP(A586,'5.模板'!C:D,1,0),"")="","","✔")</f>
        <v/>
      </c>
      <c r="G586" s="98" t="str">
        <f>IF(IFERROR(VLOOKUP(A586,'6.混凝土'!C:D,1,0),"")="","","✔")</f>
        <v/>
      </c>
      <c r="H586" s="98" t="str">
        <f>IF(IFERROR(VLOOKUP(A586,'7.植筋'!C:D,1,0),"")="","","✔")</f>
        <v/>
      </c>
      <c r="I586" s="98" t="str">
        <f>IF(IFERROR(VLOOKUP(A586,'8.預力混凝土基樁'!C:D,1,0),"")="","","✔")</f>
        <v/>
      </c>
      <c r="J586" s="98" t="str">
        <f>IF(IFERROR(VLOOKUP(A586,'9.砌塊石護岸'!C:D,1,0),"")="","","✔")</f>
        <v/>
      </c>
      <c r="K586" s="98" t="str">
        <f>IF(IFERROR(VLOOKUP(A586,'10.低水護岸'!C:D,1,0),"")="","","✔")</f>
        <v/>
      </c>
      <c r="L586" s="98" t="str">
        <f>IF(IFERROR(VLOOKUP(A586,'11.固床工'!C:D,1,0),"")="","","✔")</f>
        <v/>
      </c>
      <c r="M586" s="98" t="str">
        <f>IF(IFERROR(VLOOKUP(A586,'12.全套管基樁'!C:D,1,0),"")="","","✔")</f>
        <v/>
      </c>
      <c r="N586" s="98" t="str">
        <f>IF(IFERROR(VLOOKUP(A586,'13.鋼筋混凝土管工程'!C:D,1,0),"")="","","✔")</f>
        <v/>
      </c>
      <c r="O586" s="98" t="str">
        <f>IF(IFERROR(VLOOKUP(A586,'14.鋼版樁'!C:D,1,0),"")="","","✔")</f>
        <v/>
      </c>
      <c r="P586" s="98" t="str">
        <f>IF(IFERROR(VLOOKUP(A586,'15.路床 路基高程'!C:D,1,0),"")="","","✔")</f>
        <v/>
      </c>
      <c r="Q586" s="98" t="str">
        <f>IF(IFERROR(VLOOKUP(A586,'16.瀝青混凝土'!C:D,1,0),"")="","","✔")</f>
        <v/>
      </c>
      <c r="R586" s="98" t="str">
        <f>IF(IFERROR(VLOOKUP(A586,'17.景觀鋪面(一)'!C:D,1,0),"")="","","✔")</f>
        <v/>
      </c>
      <c r="S586" s="98" t="str">
        <f>IF(IFERROR(VLOOKUP(A586,'18.景觀鋪面(二)'!C:D,1,0),"")="","","✔")</f>
        <v/>
      </c>
      <c r="T586" s="98" t="str">
        <f>IF(IFERROR(VLOOKUP(A586,'19.預鑄緣石'!C:D,1,0),"")="","","✔")</f>
        <v/>
      </c>
      <c r="U586" s="98" t="str">
        <f>IF(IFERROR(VLOOKUP(A586,'20.鋼構工程吊裝'!C:D,1,0),"")="","","✔")</f>
        <v/>
      </c>
      <c r="V586" s="98" t="str">
        <f>IF(IFERROR(VLOOKUP(A586,'21.鋼構工程塗裝'!C:D,1,0),"")="","","✔")</f>
        <v/>
      </c>
      <c r="W586" s="98" t="str">
        <f>IF(IFERROR(VLOOKUP(A586,'22.排水設施(一)'!C:D,1,0),"")="","","✔")</f>
        <v/>
      </c>
      <c r="X586" s="98" t="str">
        <f>IF(IFERROR(VLOOKUP(A586,'23.排水設施(二)'!C:D,1,0),"")="","","✔")</f>
        <v/>
      </c>
      <c r="Y586" s="98" t="str">
        <f>IF(IFERROR(VLOOKUP(A586,'24.木構造'!C:D,1,0),"")="","","✔")</f>
        <v/>
      </c>
      <c r="Z586" s="98" t="str">
        <f>IF(IFERROR(VLOOKUP(A586,'25.管路'!C:D,1,0),"")="","","✔")</f>
        <v/>
      </c>
      <c r="AA586" s="98" t="str">
        <f>IF(IFERROR(VLOOKUP(A586,'26.植栽(移植)'!C:D,1,0),"")="","","✔")</f>
        <v/>
      </c>
      <c r="AB586" s="98" t="str">
        <f>IF(IFERROR(VLOOKUP(A586,'27.植栽(新植)'!C:D,1,0),"")="","","✔")</f>
        <v/>
      </c>
      <c r="AC586" s="98" t="str">
        <f>IF(IFERROR(VLOOKUP(A586,'28.照明'!C:D,1,0),"")="","","✔")</f>
        <v/>
      </c>
      <c r="AD586" s="98" t="str">
        <f>IF(IFERROR(VLOOKUP(A586,'29.既有橋梁拆除'!C:D,1,0),"")="","","✔")</f>
        <v/>
      </c>
    </row>
    <row r="587" spans="1:30" ht="21.75" customHeight="1" x14ac:dyDescent="0.25">
      <c r="A587" s="99">
        <v>45777</v>
      </c>
      <c r="B587" s="98" t="str">
        <f>IF(IFERROR(VLOOKUP(A587,'1.測量放樣'!C:D,1,0),"")="","","✔")</f>
        <v/>
      </c>
      <c r="C587" s="98" t="str">
        <f>IF(IFERROR(VLOOKUP(A587,'2.土方開挖'!C:D,1,0),"")="","","✔")</f>
        <v/>
      </c>
      <c r="D587" s="98" t="str">
        <f>IF(IFERROR(VLOOKUP(A587,'3.土方回填'!C:D,1,0),"")="","","✔")</f>
        <v/>
      </c>
      <c r="E587" s="98" t="str">
        <f>IF(IFERROR(VLOOKUP(A587,'4.鋼筋'!C:D,1,0),"")="","","✔")</f>
        <v/>
      </c>
      <c r="F587" s="98" t="str">
        <f>IF(IFERROR(VLOOKUP(A587,'5.模板'!C:D,1,0),"")="","","✔")</f>
        <v/>
      </c>
      <c r="G587" s="98" t="str">
        <f>IF(IFERROR(VLOOKUP(A587,'6.混凝土'!C:D,1,0),"")="","","✔")</f>
        <v/>
      </c>
      <c r="H587" s="98" t="str">
        <f>IF(IFERROR(VLOOKUP(A587,'7.植筋'!C:D,1,0),"")="","","✔")</f>
        <v/>
      </c>
      <c r="I587" s="98" t="str">
        <f>IF(IFERROR(VLOOKUP(A587,'8.預力混凝土基樁'!C:D,1,0),"")="","","✔")</f>
        <v/>
      </c>
      <c r="J587" s="98" t="str">
        <f>IF(IFERROR(VLOOKUP(A587,'9.砌塊石護岸'!C:D,1,0),"")="","","✔")</f>
        <v/>
      </c>
      <c r="K587" s="98" t="str">
        <f>IF(IFERROR(VLOOKUP(A587,'10.低水護岸'!C:D,1,0),"")="","","✔")</f>
        <v/>
      </c>
      <c r="L587" s="98" t="str">
        <f>IF(IFERROR(VLOOKUP(A587,'11.固床工'!C:D,1,0),"")="","","✔")</f>
        <v/>
      </c>
      <c r="M587" s="98" t="str">
        <f>IF(IFERROR(VLOOKUP(A587,'12.全套管基樁'!C:D,1,0),"")="","","✔")</f>
        <v/>
      </c>
      <c r="N587" s="98" t="str">
        <f>IF(IFERROR(VLOOKUP(A587,'13.鋼筋混凝土管工程'!C:D,1,0),"")="","","✔")</f>
        <v/>
      </c>
      <c r="O587" s="98" t="str">
        <f>IF(IFERROR(VLOOKUP(A587,'14.鋼版樁'!C:D,1,0),"")="","","✔")</f>
        <v/>
      </c>
      <c r="P587" s="98" t="str">
        <f>IF(IFERROR(VLOOKUP(A587,'15.路床 路基高程'!C:D,1,0),"")="","","✔")</f>
        <v/>
      </c>
      <c r="Q587" s="98" t="str">
        <f>IF(IFERROR(VLOOKUP(A587,'16.瀝青混凝土'!C:D,1,0),"")="","","✔")</f>
        <v/>
      </c>
      <c r="R587" s="98" t="str">
        <f>IF(IFERROR(VLOOKUP(A587,'17.景觀鋪面(一)'!C:D,1,0),"")="","","✔")</f>
        <v/>
      </c>
      <c r="S587" s="98" t="str">
        <f>IF(IFERROR(VLOOKUP(A587,'18.景觀鋪面(二)'!C:D,1,0),"")="","","✔")</f>
        <v/>
      </c>
      <c r="T587" s="98" t="str">
        <f>IF(IFERROR(VLOOKUP(A587,'19.預鑄緣石'!C:D,1,0),"")="","","✔")</f>
        <v/>
      </c>
      <c r="U587" s="98" t="str">
        <f>IF(IFERROR(VLOOKUP(A587,'20.鋼構工程吊裝'!C:D,1,0),"")="","","✔")</f>
        <v/>
      </c>
      <c r="V587" s="98" t="str">
        <f>IF(IFERROR(VLOOKUP(A587,'21.鋼構工程塗裝'!C:D,1,0),"")="","","✔")</f>
        <v/>
      </c>
      <c r="W587" s="98" t="str">
        <f>IF(IFERROR(VLOOKUP(A587,'22.排水設施(一)'!C:D,1,0),"")="","","✔")</f>
        <v/>
      </c>
      <c r="X587" s="98" t="str">
        <f>IF(IFERROR(VLOOKUP(A587,'23.排水設施(二)'!C:D,1,0),"")="","","✔")</f>
        <v/>
      </c>
      <c r="Y587" s="98" t="str">
        <f>IF(IFERROR(VLOOKUP(A587,'24.木構造'!C:D,1,0),"")="","","✔")</f>
        <v/>
      </c>
      <c r="Z587" s="98" t="str">
        <f>IF(IFERROR(VLOOKUP(A587,'25.管路'!C:D,1,0),"")="","","✔")</f>
        <v/>
      </c>
      <c r="AA587" s="98" t="str">
        <f>IF(IFERROR(VLOOKUP(A587,'26.植栽(移植)'!C:D,1,0),"")="","","✔")</f>
        <v/>
      </c>
      <c r="AB587" s="98" t="str">
        <f>IF(IFERROR(VLOOKUP(A587,'27.植栽(新植)'!C:D,1,0),"")="","","✔")</f>
        <v/>
      </c>
      <c r="AC587" s="98" t="str">
        <f>IF(IFERROR(VLOOKUP(A587,'28.照明'!C:D,1,0),"")="","","✔")</f>
        <v/>
      </c>
      <c r="AD587" s="98" t="str">
        <f>IF(IFERROR(VLOOKUP(A587,'29.既有橋梁拆除'!C:D,1,0),"")="","","✔")</f>
        <v/>
      </c>
    </row>
    <row r="588" spans="1:30" ht="21.75" customHeight="1" x14ac:dyDescent="0.25">
      <c r="A588" s="99">
        <v>45778</v>
      </c>
      <c r="B588" s="98" t="str">
        <f>IF(IFERROR(VLOOKUP(A588,'1.測量放樣'!C:D,1,0),"")="","","✔")</f>
        <v/>
      </c>
      <c r="C588" s="98" t="str">
        <f>IF(IFERROR(VLOOKUP(A588,'2.土方開挖'!C:D,1,0),"")="","","✔")</f>
        <v/>
      </c>
      <c r="D588" s="98" t="str">
        <f>IF(IFERROR(VLOOKUP(A588,'3.土方回填'!C:D,1,0),"")="","","✔")</f>
        <v/>
      </c>
      <c r="E588" s="98" t="str">
        <f>IF(IFERROR(VLOOKUP(A588,'4.鋼筋'!C:D,1,0),"")="","","✔")</f>
        <v/>
      </c>
      <c r="F588" s="98" t="str">
        <f>IF(IFERROR(VLOOKUP(A588,'5.模板'!C:D,1,0),"")="","","✔")</f>
        <v/>
      </c>
      <c r="G588" s="98" t="str">
        <f>IF(IFERROR(VLOOKUP(A588,'6.混凝土'!C:D,1,0),"")="","","✔")</f>
        <v/>
      </c>
      <c r="H588" s="98" t="str">
        <f>IF(IFERROR(VLOOKUP(A588,'7.植筋'!C:D,1,0),"")="","","✔")</f>
        <v/>
      </c>
      <c r="I588" s="98" t="str">
        <f>IF(IFERROR(VLOOKUP(A588,'8.預力混凝土基樁'!C:D,1,0),"")="","","✔")</f>
        <v/>
      </c>
      <c r="J588" s="98" t="str">
        <f>IF(IFERROR(VLOOKUP(A588,'9.砌塊石護岸'!C:D,1,0),"")="","","✔")</f>
        <v/>
      </c>
      <c r="K588" s="98" t="str">
        <f>IF(IFERROR(VLOOKUP(A588,'10.低水護岸'!C:D,1,0),"")="","","✔")</f>
        <v/>
      </c>
      <c r="L588" s="98" t="str">
        <f>IF(IFERROR(VLOOKUP(A588,'11.固床工'!C:D,1,0),"")="","","✔")</f>
        <v/>
      </c>
      <c r="M588" s="98" t="str">
        <f>IF(IFERROR(VLOOKUP(A588,'12.全套管基樁'!C:D,1,0),"")="","","✔")</f>
        <v/>
      </c>
      <c r="N588" s="98" t="str">
        <f>IF(IFERROR(VLOOKUP(A588,'13.鋼筋混凝土管工程'!C:D,1,0),"")="","","✔")</f>
        <v/>
      </c>
      <c r="O588" s="98" t="str">
        <f>IF(IFERROR(VLOOKUP(A588,'14.鋼版樁'!C:D,1,0),"")="","","✔")</f>
        <v/>
      </c>
      <c r="P588" s="98" t="str">
        <f>IF(IFERROR(VLOOKUP(A588,'15.路床 路基高程'!C:D,1,0),"")="","","✔")</f>
        <v/>
      </c>
      <c r="Q588" s="98" t="str">
        <f>IF(IFERROR(VLOOKUP(A588,'16.瀝青混凝土'!C:D,1,0),"")="","","✔")</f>
        <v/>
      </c>
      <c r="R588" s="98" t="str">
        <f>IF(IFERROR(VLOOKUP(A588,'17.景觀鋪面(一)'!C:D,1,0),"")="","","✔")</f>
        <v/>
      </c>
      <c r="S588" s="98" t="str">
        <f>IF(IFERROR(VLOOKUP(A588,'18.景觀鋪面(二)'!C:D,1,0),"")="","","✔")</f>
        <v/>
      </c>
      <c r="T588" s="98" t="str">
        <f>IF(IFERROR(VLOOKUP(A588,'19.預鑄緣石'!C:D,1,0),"")="","","✔")</f>
        <v/>
      </c>
      <c r="U588" s="98" t="str">
        <f>IF(IFERROR(VLOOKUP(A588,'20.鋼構工程吊裝'!C:D,1,0),"")="","","✔")</f>
        <v/>
      </c>
      <c r="V588" s="98" t="str">
        <f>IF(IFERROR(VLOOKUP(A588,'21.鋼構工程塗裝'!C:D,1,0),"")="","","✔")</f>
        <v/>
      </c>
      <c r="W588" s="98" t="str">
        <f>IF(IFERROR(VLOOKUP(A588,'22.排水設施(一)'!C:D,1,0),"")="","","✔")</f>
        <v/>
      </c>
      <c r="X588" s="98" t="str">
        <f>IF(IFERROR(VLOOKUP(A588,'23.排水設施(二)'!C:D,1,0),"")="","","✔")</f>
        <v/>
      </c>
      <c r="Y588" s="98" t="str">
        <f>IF(IFERROR(VLOOKUP(A588,'24.木構造'!C:D,1,0),"")="","","✔")</f>
        <v/>
      </c>
      <c r="Z588" s="98" t="str">
        <f>IF(IFERROR(VLOOKUP(A588,'25.管路'!C:D,1,0),"")="","","✔")</f>
        <v/>
      </c>
      <c r="AA588" s="98" t="str">
        <f>IF(IFERROR(VLOOKUP(A588,'26.植栽(移植)'!C:D,1,0),"")="","","✔")</f>
        <v/>
      </c>
      <c r="AB588" s="98" t="str">
        <f>IF(IFERROR(VLOOKUP(A588,'27.植栽(新植)'!C:D,1,0),"")="","","✔")</f>
        <v/>
      </c>
      <c r="AC588" s="98" t="str">
        <f>IF(IFERROR(VLOOKUP(A588,'28.照明'!C:D,1,0),"")="","","✔")</f>
        <v/>
      </c>
      <c r="AD588" s="98" t="str">
        <f>IF(IFERROR(VLOOKUP(A588,'29.既有橋梁拆除'!C:D,1,0),"")="","","✔")</f>
        <v/>
      </c>
    </row>
    <row r="589" spans="1:30" ht="21.75" customHeight="1" x14ac:dyDescent="0.25">
      <c r="A589" s="99">
        <v>45779</v>
      </c>
      <c r="B589" s="98" t="str">
        <f>IF(IFERROR(VLOOKUP(A589,'1.測量放樣'!C:D,1,0),"")="","","✔")</f>
        <v/>
      </c>
      <c r="C589" s="98" t="str">
        <f>IF(IFERROR(VLOOKUP(A589,'2.土方開挖'!C:D,1,0),"")="","","✔")</f>
        <v/>
      </c>
      <c r="D589" s="98" t="str">
        <f>IF(IFERROR(VLOOKUP(A589,'3.土方回填'!C:D,1,0),"")="","","✔")</f>
        <v/>
      </c>
      <c r="E589" s="98" t="str">
        <f>IF(IFERROR(VLOOKUP(A589,'4.鋼筋'!C:D,1,0),"")="","","✔")</f>
        <v/>
      </c>
      <c r="F589" s="98" t="str">
        <f>IF(IFERROR(VLOOKUP(A589,'5.模板'!C:D,1,0),"")="","","✔")</f>
        <v/>
      </c>
      <c r="G589" s="98" t="str">
        <f>IF(IFERROR(VLOOKUP(A589,'6.混凝土'!C:D,1,0),"")="","","✔")</f>
        <v/>
      </c>
      <c r="H589" s="98" t="str">
        <f>IF(IFERROR(VLOOKUP(A589,'7.植筋'!C:D,1,0),"")="","","✔")</f>
        <v/>
      </c>
      <c r="I589" s="98" t="str">
        <f>IF(IFERROR(VLOOKUP(A589,'8.預力混凝土基樁'!C:D,1,0),"")="","","✔")</f>
        <v/>
      </c>
      <c r="J589" s="98" t="str">
        <f>IF(IFERROR(VLOOKUP(A589,'9.砌塊石護岸'!C:D,1,0),"")="","","✔")</f>
        <v/>
      </c>
      <c r="K589" s="98" t="str">
        <f>IF(IFERROR(VLOOKUP(A589,'10.低水護岸'!C:D,1,0),"")="","","✔")</f>
        <v/>
      </c>
      <c r="L589" s="98" t="str">
        <f>IF(IFERROR(VLOOKUP(A589,'11.固床工'!C:D,1,0),"")="","","✔")</f>
        <v/>
      </c>
      <c r="M589" s="98" t="str">
        <f>IF(IFERROR(VLOOKUP(A589,'12.全套管基樁'!C:D,1,0),"")="","","✔")</f>
        <v/>
      </c>
      <c r="N589" s="98" t="str">
        <f>IF(IFERROR(VLOOKUP(A589,'13.鋼筋混凝土管工程'!C:D,1,0),"")="","","✔")</f>
        <v/>
      </c>
      <c r="O589" s="98" t="str">
        <f>IF(IFERROR(VLOOKUP(A589,'14.鋼版樁'!C:D,1,0),"")="","","✔")</f>
        <v/>
      </c>
      <c r="P589" s="98" t="str">
        <f>IF(IFERROR(VLOOKUP(A589,'15.路床 路基高程'!C:D,1,0),"")="","","✔")</f>
        <v/>
      </c>
      <c r="Q589" s="98" t="str">
        <f>IF(IFERROR(VLOOKUP(A589,'16.瀝青混凝土'!C:D,1,0),"")="","","✔")</f>
        <v/>
      </c>
      <c r="R589" s="98" t="str">
        <f>IF(IFERROR(VLOOKUP(A589,'17.景觀鋪面(一)'!C:D,1,0),"")="","","✔")</f>
        <v/>
      </c>
      <c r="S589" s="98" t="str">
        <f>IF(IFERROR(VLOOKUP(A589,'18.景觀鋪面(二)'!C:D,1,0),"")="","","✔")</f>
        <v/>
      </c>
      <c r="T589" s="98" t="str">
        <f>IF(IFERROR(VLOOKUP(A589,'19.預鑄緣石'!C:D,1,0),"")="","","✔")</f>
        <v/>
      </c>
      <c r="U589" s="98" t="str">
        <f>IF(IFERROR(VLOOKUP(A589,'20.鋼構工程吊裝'!C:D,1,0),"")="","","✔")</f>
        <v/>
      </c>
      <c r="V589" s="98" t="str">
        <f>IF(IFERROR(VLOOKUP(A589,'21.鋼構工程塗裝'!C:D,1,0),"")="","","✔")</f>
        <v/>
      </c>
      <c r="W589" s="98" t="str">
        <f>IF(IFERROR(VLOOKUP(A589,'22.排水設施(一)'!C:D,1,0),"")="","","✔")</f>
        <v/>
      </c>
      <c r="X589" s="98" t="str">
        <f>IF(IFERROR(VLOOKUP(A589,'23.排水設施(二)'!C:D,1,0),"")="","","✔")</f>
        <v/>
      </c>
      <c r="Y589" s="98" t="str">
        <f>IF(IFERROR(VLOOKUP(A589,'24.木構造'!C:D,1,0),"")="","","✔")</f>
        <v/>
      </c>
      <c r="Z589" s="98" t="str">
        <f>IF(IFERROR(VLOOKUP(A589,'25.管路'!C:D,1,0),"")="","","✔")</f>
        <v/>
      </c>
      <c r="AA589" s="98" t="str">
        <f>IF(IFERROR(VLOOKUP(A589,'26.植栽(移植)'!C:D,1,0),"")="","","✔")</f>
        <v/>
      </c>
      <c r="AB589" s="98" t="str">
        <f>IF(IFERROR(VLOOKUP(A589,'27.植栽(新植)'!C:D,1,0),"")="","","✔")</f>
        <v/>
      </c>
      <c r="AC589" s="98" t="str">
        <f>IF(IFERROR(VLOOKUP(A589,'28.照明'!C:D,1,0),"")="","","✔")</f>
        <v/>
      </c>
      <c r="AD589" s="98" t="str">
        <f>IF(IFERROR(VLOOKUP(A589,'29.既有橋梁拆除'!C:D,1,0),"")="","","✔")</f>
        <v/>
      </c>
    </row>
    <row r="590" spans="1:30" ht="21.75" customHeight="1" x14ac:dyDescent="0.25">
      <c r="A590" s="99">
        <v>45780</v>
      </c>
      <c r="B590" s="98" t="str">
        <f>IF(IFERROR(VLOOKUP(A590,'1.測量放樣'!C:D,1,0),"")="","","✔")</f>
        <v/>
      </c>
      <c r="C590" s="98" t="str">
        <f>IF(IFERROR(VLOOKUP(A590,'2.土方開挖'!C:D,1,0),"")="","","✔")</f>
        <v/>
      </c>
      <c r="D590" s="98" t="str">
        <f>IF(IFERROR(VLOOKUP(A590,'3.土方回填'!C:D,1,0),"")="","","✔")</f>
        <v/>
      </c>
      <c r="E590" s="98" t="str">
        <f>IF(IFERROR(VLOOKUP(A590,'4.鋼筋'!C:D,1,0),"")="","","✔")</f>
        <v/>
      </c>
      <c r="F590" s="98" t="str">
        <f>IF(IFERROR(VLOOKUP(A590,'5.模板'!C:D,1,0),"")="","","✔")</f>
        <v/>
      </c>
      <c r="G590" s="98" t="str">
        <f>IF(IFERROR(VLOOKUP(A590,'6.混凝土'!C:D,1,0),"")="","","✔")</f>
        <v/>
      </c>
      <c r="H590" s="98" t="str">
        <f>IF(IFERROR(VLOOKUP(A590,'7.植筋'!C:D,1,0),"")="","","✔")</f>
        <v/>
      </c>
      <c r="I590" s="98" t="str">
        <f>IF(IFERROR(VLOOKUP(A590,'8.預力混凝土基樁'!C:D,1,0),"")="","","✔")</f>
        <v/>
      </c>
      <c r="J590" s="98" t="str">
        <f>IF(IFERROR(VLOOKUP(A590,'9.砌塊石護岸'!C:D,1,0),"")="","","✔")</f>
        <v/>
      </c>
      <c r="K590" s="98" t="str">
        <f>IF(IFERROR(VLOOKUP(A590,'10.低水護岸'!C:D,1,0),"")="","","✔")</f>
        <v/>
      </c>
      <c r="L590" s="98" t="str">
        <f>IF(IFERROR(VLOOKUP(A590,'11.固床工'!C:D,1,0),"")="","","✔")</f>
        <v/>
      </c>
      <c r="M590" s="98" t="str">
        <f>IF(IFERROR(VLOOKUP(A590,'12.全套管基樁'!C:D,1,0),"")="","","✔")</f>
        <v/>
      </c>
      <c r="N590" s="98" t="str">
        <f>IF(IFERROR(VLOOKUP(A590,'13.鋼筋混凝土管工程'!C:D,1,0),"")="","","✔")</f>
        <v/>
      </c>
      <c r="O590" s="98" t="str">
        <f>IF(IFERROR(VLOOKUP(A590,'14.鋼版樁'!C:D,1,0),"")="","","✔")</f>
        <v/>
      </c>
      <c r="P590" s="98" t="str">
        <f>IF(IFERROR(VLOOKUP(A590,'15.路床 路基高程'!C:D,1,0),"")="","","✔")</f>
        <v/>
      </c>
      <c r="Q590" s="98" t="str">
        <f>IF(IFERROR(VLOOKUP(A590,'16.瀝青混凝土'!C:D,1,0),"")="","","✔")</f>
        <v/>
      </c>
      <c r="R590" s="98" t="str">
        <f>IF(IFERROR(VLOOKUP(A590,'17.景觀鋪面(一)'!C:D,1,0),"")="","","✔")</f>
        <v/>
      </c>
      <c r="S590" s="98" t="str">
        <f>IF(IFERROR(VLOOKUP(A590,'18.景觀鋪面(二)'!C:D,1,0),"")="","","✔")</f>
        <v/>
      </c>
      <c r="T590" s="98" t="str">
        <f>IF(IFERROR(VLOOKUP(A590,'19.預鑄緣石'!C:D,1,0),"")="","","✔")</f>
        <v/>
      </c>
      <c r="U590" s="98" t="str">
        <f>IF(IFERROR(VLOOKUP(A590,'20.鋼構工程吊裝'!C:D,1,0),"")="","","✔")</f>
        <v/>
      </c>
      <c r="V590" s="98" t="str">
        <f>IF(IFERROR(VLOOKUP(A590,'21.鋼構工程塗裝'!C:D,1,0),"")="","","✔")</f>
        <v/>
      </c>
      <c r="W590" s="98" t="str">
        <f>IF(IFERROR(VLOOKUP(A590,'22.排水設施(一)'!C:D,1,0),"")="","","✔")</f>
        <v/>
      </c>
      <c r="X590" s="98" t="str">
        <f>IF(IFERROR(VLOOKUP(A590,'23.排水設施(二)'!C:D,1,0),"")="","","✔")</f>
        <v/>
      </c>
      <c r="Y590" s="98" t="str">
        <f>IF(IFERROR(VLOOKUP(A590,'24.木構造'!C:D,1,0),"")="","","✔")</f>
        <v/>
      </c>
      <c r="Z590" s="98" t="str">
        <f>IF(IFERROR(VLOOKUP(A590,'25.管路'!C:D,1,0),"")="","","✔")</f>
        <v/>
      </c>
      <c r="AA590" s="98" t="str">
        <f>IF(IFERROR(VLOOKUP(A590,'26.植栽(移植)'!C:D,1,0),"")="","","✔")</f>
        <v/>
      </c>
      <c r="AB590" s="98" t="str">
        <f>IF(IFERROR(VLOOKUP(A590,'27.植栽(新植)'!C:D,1,0),"")="","","✔")</f>
        <v/>
      </c>
      <c r="AC590" s="98" t="str">
        <f>IF(IFERROR(VLOOKUP(A590,'28.照明'!C:D,1,0),"")="","","✔")</f>
        <v/>
      </c>
      <c r="AD590" s="98" t="str">
        <f>IF(IFERROR(VLOOKUP(A590,'29.既有橋梁拆除'!C:D,1,0),"")="","","✔")</f>
        <v/>
      </c>
    </row>
    <row r="591" spans="1:30" ht="21.75" customHeight="1" x14ac:dyDescent="0.25">
      <c r="A591" s="99">
        <v>45781</v>
      </c>
      <c r="B591" s="98" t="str">
        <f>IF(IFERROR(VLOOKUP(A591,'1.測量放樣'!C:D,1,0),"")="","","✔")</f>
        <v/>
      </c>
      <c r="C591" s="98" t="str">
        <f>IF(IFERROR(VLOOKUP(A591,'2.土方開挖'!C:D,1,0),"")="","","✔")</f>
        <v/>
      </c>
      <c r="D591" s="98" t="str">
        <f>IF(IFERROR(VLOOKUP(A591,'3.土方回填'!C:D,1,0),"")="","","✔")</f>
        <v/>
      </c>
      <c r="E591" s="98" t="str">
        <f>IF(IFERROR(VLOOKUP(A591,'4.鋼筋'!C:D,1,0),"")="","","✔")</f>
        <v/>
      </c>
      <c r="F591" s="98" t="str">
        <f>IF(IFERROR(VLOOKUP(A591,'5.模板'!C:D,1,0),"")="","","✔")</f>
        <v/>
      </c>
      <c r="G591" s="98" t="str">
        <f>IF(IFERROR(VLOOKUP(A591,'6.混凝土'!C:D,1,0),"")="","","✔")</f>
        <v/>
      </c>
      <c r="H591" s="98" t="str">
        <f>IF(IFERROR(VLOOKUP(A591,'7.植筋'!C:D,1,0),"")="","","✔")</f>
        <v/>
      </c>
      <c r="I591" s="98" t="str">
        <f>IF(IFERROR(VLOOKUP(A591,'8.預力混凝土基樁'!C:D,1,0),"")="","","✔")</f>
        <v/>
      </c>
      <c r="J591" s="98" t="str">
        <f>IF(IFERROR(VLOOKUP(A591,'9.砌塊石護岸'!C:D,1,0),"")="","","✔")</f>
        <v/>
      </c>
      <c r="K591" s="98" t="str">
        <f>IF(IFERROR(VLOOKUP(A591,'10.低水護岸'!C:D,1,0),"")="","","✔")</f>
        <v/>
      </c>
      <c r="L591" s="98" t="str">
        <f>IF(IFERROR(VLOOKUP(A591,'11.固床工'!C:D,1,0),"")="","","✔")</f>
        <v/>
      </c>
      <c r="M591" s="98" t="str">
        <f>IF(IFERROR(VLOOKUP(A591,'12.全套管基樁'!C:D,1,0),"")="","","✔")</f>
        <v/>
      </c>
      <c r="N591" s="98" t="str">
        <f>IF(IFERROR(VLOOKUP(A591,'13.鋼筋混凝土管工程'!C:D,1,0),"")="","","✔")</f>
        <v/>
      </c>
      <c r="O591" s="98" t="str">
        <f>IF(IFERROR(VLOOKUP(A591,'14.鋼版樁'!C:D,1,0),"")="","","✔")</f>
        <v/>
      </c>
      <c r="P591" s="98" t="str">
        <f>IF(IFERROR(VLOOKUP(A591,'15.路床 路基高程'!C:D,1,0),"")="","","✔")</f>
        <v/>
      </c>
      <c r="Q591" s="98" t="str">
        <f>IF(IFERROR(VLOOKUP(A591,'16.瀝青混凝土'!C:D,1,0),"")="","","✔")</f>
        <v/>
      </c>
      <c r="R591" s="98" t="str">
        <f>IF(IFERROR(VLOOKUP(A591,'17.景觀鋪面(一)'!C:D,1,0),"")="","","✔")</f>
        <v/>
      </c>
      <c r="S591" s="98" t="str">
        <f>IF(IFERROR(VLOOKUP(A591,'18.景觀鋪面(二)'!C:D,1,0),"")="","","✔")</f>
        <v/>
      </c>
      <c r="T591" s="98" t="str">
        <f>IF(IFERROR(VLOOKUP(A591,'19.預鑄緣石'!C:D,1,0),"")="","","✔")</f>
        <v/>
      </c>
      <c r="U591" s="98" t="str">
        <f>IF(IFERROR(VLOOKUP(A591,'20.鋼構工程吊裝'!C:D,1,0),"")="","","✔")</f>
        <v/>
      </c>
      <c r="V591" s="98" t="str">
        <f>IF(IFERROR(VLOOKUP(A591,'21.鋼構工程塗裝'!C:D,1,0),"")="","","✔")</f>
        <v/>
      </c>
      <c r="W591" s="98" t="str">
        <f>IF(IFERROR(VLOOKUP(A591,'22.排水設施(一)'!C:D,1,0),"")="","","✔")</f>
        <v/>
      </c>
      <c r="X591" s="98" t="str">
        <f>IF(IFERROR(VLOOKUP(A591,'23.排水設施(二)'!C:D,1,0),"")="","","✔")</f>
        <v/>
      </c>
      <c r="Y591" s="98" t="str">
        <f>IF(IFERROR(VLOOKUP(A591,'24.木構造'!C:D,1,0),"")="","","✔")</f>
        <v/>
      </c>
      <c r="Z591" s="98" t="str">
        <f>IF(IFERROR(VLOOKUP(A591,'25.管路'!C:D,1,0),"")="","","✔")</f>
        <v/>
      </c>
      <c r="AA591" s="98" t="str">
        <f>IF(IFERROR(VLOOKUP(A591,'26.植栽(移植)'!C:D,1,0),"")="","","✔")</f>
        <v/>
      </c>
      <c r="AB591" s="98" t="str">
        <f>IF(IFERROR(VLOOKUP(A591,'27.植栽(新植)'!C:D,1,0),"")="","","✔")</f>
        <v/>
      </c>
      <c r="AC591" s="98" t="str">
        <f>IF(IFERROR(VLOOKUP(A591,'28.照明'!C:D,1,0),"")="","","✔")</f>
        <v/>
      </c>
      <c r="AD591" s="98" t="str">
        <f>IF(IFERROR(VLOOKUP(A591,'29.既有橋梁拆除'!C:D,1,0),"")="","","✔")</f>
        <v/>
      </c>
    </row>
    <row r="592" spans="1:30" ht="21.75" customHeight="1" x14ac:dyDescent="0.25">
      <c r="A592" s="99">
        <v>45782</v>
      </c>
      <c r="B592" s="98" t="str">
        <f>IF(IFERROR(VLOOKUP(A592,'1.測量放樣'!C:D,1,0),"")="","","✔")</f>
        <v/>
      </c>
      <c r="C592" s="98" t="str">
        <f>IF(IFERROR(VLOOKUP(A592,'2.土方開挖'!C:D,1,0),"")="","","✔")</f>
        <v/>
      </c>
      <c r="D592" s="98" t="str">
        <f>IF(IFERROR(VLOOKUP(A592,'3.土方回填'!C:D,1,0),"")="","","✔")</f>
        <v/>
      </c>
      <c r="E592" s="98" t="str">
        <f>IF(IFERROR(VLOOKUP(A592,'4.鋼筋'!C:D,1,0),"")="","","✔")</f>
        <v/>
      </c>
      <c r="F592" s="98" t="str">
        <f>IF(IFERROR(VLOOKUP(A592,'5.模板'!C:D,1,0),"")="","","✔")</f>
        <v/>
      </c>
      <c r="G592" s="98" t="str">
        <f>IF(IFERROR(VLOOKUP(A592,'6.混凝土'!C:D,1,0),"")="","","✔")</f>
        <v/>
      </c>
      <c r="H592" s="98" t="str">
        <f>IF(IFERROR(VLOOKUP(A592,'7.植筋'!C:D,1,0),"")="","","✔")</f>
        <v/>
      </c>
      <c r="I592" s="98" t="str">
        <f>IF(IFERROR(VLOOKUP(A592,'8.預力混凝土基樁'!C:D,1,0),"")="","","✔")</f>
        <v/>
      </c>
      <c r="J592" s="98" t="str">
        <f>IF(IFERROR(VLOOKUP(A592,'9.砌塊石護岸'!C:D,1,0),"")="","","✔")</f>
        <v/>
      </c>
      <c r="K592" s="98" t="str">
        <f>IF(IFERROR(VLOOKUP(A592,'10.低水護岸'!C:D,1,0),"")="","","✔")</f>
        <v/>
      </c>
      <c r="L592" s="98" t="str">
        <f>IF(IFERROR(VLOOKUP(A592,'11.固床工'!C:D,1,0),"")="","","✔")</f>
        <v/>
      </c>
      <c r="M592" s="98" t="str">
        <f>IF(IFERROR(VLOOKUP(A592,'12.全套管基樁'!C:D,1,0),"")="","","✔")</f>
        <v/>
      </c>
      <c r="N592" s="98" t="str">
        <f>IF(IFERROR(VLOOKUP(A592,'13.鋼筋混凝土管工程'!C:D,1,0),"")="","","✔")</f>
        <v/>
      </c>
      <c r="O592" s="98" t="str">
        <f>IF(IFERROR(VLOOKUP(A592,'14.鋼版樁'!C:D,1,0),"")="","","✔")</f>
        <v/>
      </c>
      <c r="P592" s="98" t="str">
        <f>IF(IFERROR(VLOOKUP(A592,'15.路床 路基高程'!C:D,1,0),"")="","","✔")</f>
        <v/>
      </c>
      <c r="Q592" s="98" t="str">
        <f>IF(IFERROR(VLOOKUP(A592,'16.瀝青混凝土'!C:D,1,0),"")="","","✔")</f>
        <v/>
      </c>
      <c r="R592" s="98" t="str">
        <f>IF(IFERROR(VLOOKUP(A592,'17.景觀鋪面(一)'!C:D,1,0),"")="","","✔")</f>
        <v/>
      </c>
      <c r="S592" s="98" t="str">
        <f>IF(IFERROR(VLOOKUP(A592,'18.景觀鋪面(二)'!C:D,1,0),"")="","","✔")</f>
        <v/>
      </c>
      <c r="T592" s="98" t="str">
        <f>IF(IFERROR(VLOOKUP(A592,'19.預鑄緣石'!C:D,1,0),"")="","","✔")</f>
        <v/>
      </c>
      <c r="U592" s="98" t="str">
        <f>IF(IFERROR(VLOOKUP(A592,'20.鋼構工程吊裝'!C:D,1,0),"")="","","✔")</f>
        <v/>
      </c>
      <c r="V592" s="98" t="str">
        <f>IF(IFERROR(VLOOKUP(A592,'21.鋼構工程塗裝'!C:D,1,0),"")="","","✔")</f>
        <v/>
      </c>
      <c r="W592" s="98" t="str">
        <f>IF(IFERROR(VLOOKUP(A592,'22.排水設施(一)'!C:D,1,0),"")="","","✔")</f>
        <v/>
      </c>
      <c r="X592" s="98" t="str">
        <f>IF(IFERROR(VLOOKUP(A592,'23.排水設施(二)'!C:D,1,0),"")="","","✔")</f>
        <v/>
      </c>
      <c r="Y592" s="98" t="str">
        <f>IF(IFERROR(VLOOKUP(A592,'24.木構造'!C:D,1,0),"")="","","✔")</f>
        <v/>
      </c>
      <c r="Z592" s="98" t="str">
        <f>IF(IFERROR(VLOOKUP(A592,'25.管路'!C:D,1,0),"")="","","✔")</f>
        <v/>
      </c>
      <c r="AA592" s="98" t="str">
        <f>IF(IFERROR(VLOOKUP(A592,'26.植栽(移植)'!C:D,1,0),"")="","","✔")</f>
        <v/>
      </c>
      <c r="AB592" s="98" t="str">
        <f>IF(IFERROR(VLOOKUP(A592,'27.植栽(新植)'!C:D,1,0),"")="","","✔")</f>
        <v/>
      </c>
      <c r="AC592" s="98" t="str">
        <f>IF(IFERROR(VLOOKUP(A592,'28.照明'!C:D,1,0),"")="","","✔")</f>
        <v/>
      </c>
      <c r="AD592" s="98" t="str">
        <f>IF(IFERROR(VLOOKUP(A592,'29.既有橋梁拆除'!C:D,1,0),"")="","","✔")</f>
        <v/>
      </c>
    </row>
    <row r="593" spans="1:30" ht="21.75" customHeight="1" x14ac:dyDescent="0.25">
      <c r="A593" s="99">
        <v>45783</v>
      </c>
      <c r="B593" s="98" t="str">
        <f>IF(IFERROR(VLOOKUP(A593,'1.測量放樣'!C:D,1,0),"")="","","✔")</f>
        <v/>
      </c>
      <c r="C593" s="98" t="str">
        <f>IF(IFERROR(VLOOKUP(A593,'2.土方開挖'!C:D,1,0),"")="","","✔")</f>
        <v/>
      </c>
      <c r="D593" s="98" t="str">
        <f>IF(IFERROR(VLOOKUP(A593,'3.土方回填'!C:D,1,0),"")="","","✔")</f>
        <v/>
      </c>
      <c r="E593" s="98" t="str">
        <f>IF(IFERROR(VLOOKUP(A593,'4.鋼筋'!C:D,1,0),"")="","","✔")</f>
        <v/>
      </c>
      <c r="F593" s="98" t="str">
        <f>IF(IFERROR(VLOOKUP(A593,'5.模板'!C:D,1,0),"")="","","✔")</f>
        <v/>
      </c>
      <c r="G593" s="98" t="str">
        <f>IF(IFERROR(VLOOKUP(A593,'6.混凝土'!C:D,1,0),"")="","","✔")</f>
        <v/>
      </c>
      <c r="H593" s="98" t="str">
        <f>IF(IFERROR(VLOOKUP(A593,'7.植筋'!C:D,1,0),"")="","","✔")</f>
        <v/>
      </c>
      <c r="I593" s="98" t="str">
        <f>IF(IFERROR(VLOOKUP(A593,'8.預力混凝土基樁'!C:D,1,0),"")="","","✔")</f>
        <v/>
      </c>
      <c r="J593" s="98" t="str">
        <f>IF(IFERROR(VLOOKUP(A593,'9.砌塊石護岸'!C:D,1,0),"")="","","✔")</f>
        <v/>
      </c>
      <c r="K593" s="98" t="str">
        <f>IF(IFERROR(VLOOKUP(A593,'10.低水護岸'!C:D,1,0),"")="","","✔")</f>
        <v/>
      </c>
      <c r="L593" s="98" t="str">
        <f>IF(IFERROR(VLOOKUP(A593,'11.固床工'!C:D,1,0),"")="","","✔")</f>
        <v/>
      </c>
      <c r="M593" s="98" t="str">
        <f>IF(IFERROR(VLOOKUP(A593,'12.全套管基樁'!C:D,1,0),"")="","","✔")</f>
        <v/>
      </c>
      <c r="N593" s="98" t="str">
        <f>IF(IFERROR(VLOOKUP(A593,'13.鋼筋混凝土管工程'!C:D,1,0),"")="","","✔")</f>
        <v/>
      </c>
      <c r="O593" s="98" t="str">
        <f>IF(IFERROR(VLOOKUP(A593,'14.鋼版樁'!C:D,1,0),"")="","","✔")</f>
        <v/>
      </c>
      <c r="P593" s="98" t="str">
        <f>IF(IFERROR(VLOOKUP(A593,'15.路床 路基高程'!C:D,1,0),"")="","","✔")</f>
        <v/>
      </c>
      <c r="Q593" s="98" t="str">
        <f>IF(IFERROR(VLOOKUP(A593,'16.瀝青混凝土'!C:D,1,0),"")="","","✔")</f>
        <v/>
      </c>
      <c r="R593" s="98" t="str">
        <f>IF(IFERROR(VLOOKUP(A593,'17.景觀鋪面(一)'!C:D,1,0),"")="","","✔")</f>
        <v/>
      </c>
      <c r="S593" s="98" t="str">
        <f>IF(IFERROR(VLOOKUP(A593,'18.景觀鋪面(二)'!C:D,1,0),"")="","","✔")</f>
        <v/>
      </c>
      <c r="T593" s="98" t="str">
        <f>IF(IFERROR(VLOOKUP(A593,'19.預鑄緣石'!C:D,1,0),"")="","","✔")</f>
        <v/>
      </c>
      <c r="U593" s="98" t="str">
        <f>IF(IFERROR(VLOOKUP(A593,'20.鋼構工程吊裝'!C:D,1,0),"")="","","✔")</f>
        <v/>
      </c>
      <c r="V593" s="98" t="str">
        <f>IF(IFERROR(VLOOKUP(A593,'21.鋼構工程塗裝'!C:D,1,0),"")="","","✔")</f>
        <v/>
      </c>
      <c r="W593" s="98" t="str">
        <f>IF(IFERROR(VLOOKUP(A593,'22.排水設施(一)'!C:D,1,0),"")="","","✔")</f>
        <v/>
      </c>
      <c r="X593" s="98" t="str">
        <f>IF(IFERROR(VLOOKUP(A593,'23.排水設施(二)'!C:D,1,0),"")="","","✔")</f>
        <v/>
      </c>
      <c r="Y593" s="98" t="str">
        <f>IF(IFERROR(VLOOKUP(A593,'24.木構造'!C:D,1,0),"")="","","✔")</f>
        <v/>
      </c>
      <c r="Z593" s="98" t="str">
        <f>IF(IFERROR(VLOOKUP(A593,'25.管路'!C:D,1,0),"")="","","✔")</f>
        <v/>
      </c>
      <c r="AA593" s="98" t="str">
        <f>IF(IFERROR(VLOOKUP(A593,'26.植栽(移植)'!C:D,1,0),"")="","","✔")</f>
        <v/>
      </c>
      <c r="AB593" s="98" t="str">
        <f>IF(IFERROR(VLOOKUP(A593,'27.植栽(新植)'!C:D,1,0),"")="","","✔")</f>
        <v/>
      </c>
      <c r="AC593" s="98" t="str">
        <f>IF(IFERROR(VLOOKUP(A593,'28.照明'!C:D,1,0),"")="","","✔")</f>
        <v/>
      </c>
      <c r="AD593" s="98" t="str">
        <f>IF(IFERROR(VLOOKUP(A593,'29.既有橋梁拆除'!C:D,1,0),"")="","","✔")</f>
        <v/>
      </c>
    </row>
    <row r="594" spans="1:30" ht="21.75" customHeight="1" x14ac:dyDescent="0.25">
      <c r="A594" s="99">
        <v>45784</v>
      </c>
      <c r="B594" s="98" t="str">
        <f>IF(IFERROR(VLOOKUP(A594,'1.測量放樣'!C:D,1,0),"")="","","✔")</f>
        <v/>
      </c>
      <c r="C594" s="98" t="str">
        <f>IF(IFERROR(VLOOKUP(A594,'2.土方開挖'!C:D,1,0),"")="","","✔")</f>
        <v/>
      </c>
      <c r="D594" s="98" t="str">
        <f>IF(IFERROR(VLOOKUP(A594,'3.土方回填'!C:D,1,0),"")="","","✔")</f>
        <v/>
      </c>
      <c r="E594" s="98" t="str">
        <f>IF(IFERROR(VLOOKUP(A594,'4.鋼筋'!C:D,1,0),"")="","","✔")</f>
        <v/>
      </c>
      <c r="F594" s="98" t="str">
        <f>IF(IFERROR(VLOOKUP(A594,'5.模板'!C:D,1,0),"")="","","✔")</f>
        <v/>
      </c>
      <c r="G594" s="98" t="str">
        <f>IF(IFERROR(VLOOKUP(A594,'6.混凝土'!C:D,1,0),"")="","","✔")</f>
        <v/>
      </c>
      <c r="H594" s="98" t="str">
        <f>IF(IFERROR(VLOOKUP(A594,'7.植筋'!C:D,1,0),"")="","","✔")</f>
        <v/>
      </c>
      <c r="I594" s="98" t="str">
        <f>IF(IFERROR(VLOOKUP(A594,'8.預力混凝土基樁'!C:D,1,0),"")="","","✔")</f>
        <v/>
      </c>
      <c r="J594" s="98" t="str">
        <f>IF(IFERROR(VLOOKUP(A594,'9.砌塊石護岸'!C:D,1,0),"")="","","✔")</f>
        <v/>
      </c>
      <c r="K594" s="98" t="str">
        <f>IF(IFERROR(VLOOKUP(A594,'10.低水護岸'!C:D,1,0),"")="","","✔")</f>
        <v/>
      </c>
      <c r="L594" s="98" t="str">
        <f>IF(IFERROR(VLOOKUP(A594,'11.固床工'!C:D,1,0),"")="","","✔")</f>
        <v/>
      </c>
      <c r="M594" s="98" t="str">
        <f>IF(IFERROR(VLOOKUP(A594,'12.全套管基樁'!C:D,1,0),"")="","","✔")</f>
        <v/>
      </c>
      <c r="N594" s="98" t="str">
        <f>IF(IFERROR(VLOOKUP(A594,'13.鋼筋混凝土管工程'!C:D,1,0),"")="","","✔")</f>
        <v/>
      </c>
      <c r="O594" s="98" t="str">
        <f>IF(IFERROR(VLOOKUP(A594,'14.鋼版樁'!C:D,1,0),"")="","","✔")</f>
        <v/>
      </c>
      <c r="P594" s="98" t="str">
        <f>IF(IFERROR(VLOOKUP(A594,'15.路床 路基高程'!C:D,1,0),"")="","","✔")</f>
        <v/>
      </c>
      <c r="Q594" s="98" t="str">
        <f>IF(IFERROR(VLOOKUP(A594,'16.瀝青混凝土'!C:D,1,0),"")="","","✔")</f>
        <v/>
      </c>
      <c r="R594" s="98" t="str">
        <f>IF(IFERROR(VLOOKUP(A594,'17.景觀鋪面(一)'!C:D,1,0),"")="","","✔")</f>
        <v/>
      </c>
      <c r="S594" s="98" t="str">
        <f>IF(IFERROR(VLOOKUP(A594,'18.景觀鋪面(二)'!C:D,1,0),"")="","","✔")</f>
        <v/>
      </c>
      <c r="T594" s="98" t="str">
        <f>IF(IFERROR(VLOOKUP(A594,'19.預鑄緣石'!C:D,1,0),"")="","","✔")</f>
        <v/>
      </c>
      <c r="U594" s="98" t="str">
        <f>IF(IFERROR(VLOOKUP(A594,'20.鋼構工程吊裝'!C:D,1,0),"")="","","✔")</f>
        <v/>
      </c>
      <c r="V594" s="98" t="str">
        <f>IF(IFERROR(VLOOKUP(A594,'21.鋼構工程塗裝'!C:D,1,0),"")="","","✔")</f>
        <v/>
      </c>
      <c r="W594" s="98" t="str">
        <f>IF(IFERROR(VLOOKUP(A594,'22.排水設施(一)'!C:D,1,0),"")="","","✔")</f>
        <v/>
      </c>
      <c r="X594" s="98" t="str">
        <f>IF(IFERROR(VLOOKUP(A594,'23.排水設施(二)'!C:D,1,0),"")="","","✔")</f>
        <v/>
      </c>
      <c r="Y594" s="98" t="str">
        <f>IF(IFERROR(VLOOKUP(A594,'24.木構造'!C:D,1,0),"")="","","✔")</f>
        <v/>
      </c>
      <c r="Z594" s="98" t="str">
        <f>IF(IFERROR(VLOOKUP(A594,'25.管路'!C:D,1,0),"")="","","✔")</f>
        <v/>
      </c>
      <c r="AA594" s="98" t="str">
        <f>IF(IFERROR(VLOOKUP(A594,'26.植栽(移植)'!C:D,1,0),"")="","","✔")</f>
        <v/>
      </c>
      <c r="AB594" s="98" t="str">
        <f>IF(IFERROR(VLOOKUP(A594,'27.植栽(新植)'!C:D,1,0),"")="","","✔")</f>
        <v/>
      </c>
      <c r="AC594" s="98" t="str">
        <f>IF(IFERROR(VLOOKUP(A594,'28.照明'!C:D,1,0),"")="","","✔")</f>
        <v/>
      </c>
      <c r="AD594" s="98" t="str">
        <f>IF(IFERROR(VLOOKUP(A594,'29.既有橋梁拆除'!C:D,1,0),"")="","","✔")</f>
        <v/>
      </c>
    </row>
    <row r="595" spans="1:30" ht="21.75" customHeight="1" x14ac:dyDescent="0.25">
      <c r="A595" s="99">
        <v>45785</v>
      </c>
      <c r="B595" s="98" t="str">
        <f>IF(IFERROR(VLOOKUP(A595,'1.測量放樣'!C:D,1,0),"")="","","✔")</f>
        <v/>
      </c>
      <c r="C595" s="98" t="str">
        <f>IF(IFERROR(VLOOKUP(A595,'2.土方開挖'!C:D,1,0),"")="","","✔")</f>
        <v/>
      </c>
      <c r="D595" s="98" t="str">
        <f>IF(IFERROR(VLOOKUP(A595,'3.土方回填'!C:D,1,0),"")="","","✔")</f>
        <v/>
      </c>
      <c r="E595" s="98" t="str">
        <f>IF(IFERROR(VLOOKUP(A595,'4.鋼筋'!C:D,1,0),"")="","","✔")</f>
        <v/>
      </c>
      <c r="F595" s="98" t="str">
        <f>IF(IFERROR(VLOOKUP(A595,'5.模板'!C:D,1,0),"")="","","✔")</f>
        <v/>
      </c>
      <c r="G595" s="98" t="str">
        <f>IF(IFERROR(VLOOKUP(A595,'6.混凝土'!C:D,1,0),"")="","","✔")</f>
        <v/>
      </c>
      <c r="H595" s="98" t="str">
        <f>IF(IFERROR(VLOOKUP(A595,'7.植筋'!C:D,1,0),"")="","","✔")</f>
        <v/>
      </c>
      <c r="I595" s="98" t="str">
        <f>IF(IFERROR(VLOOKUP(A595,'8.預力混凝土基樁'!C:D,1,0),"")="","","✔")</f>
        <v/>
      </c>
      <c r="J595" s="98" t="str">
        <f>IF(IFERROR(VLOOKUP(A595,'9.砌塊石護岸'!C:D,1,0),"")="","","✔")</f>
        <v/>
      </c>
      <c r="K595" s="98" t="str">
        <f>IF(IFERROR(VLOOKUP(A595,'10.低水護岸'!C:D,1,0),"")="","","✔")</f>
        <v/>
      </c>
      <c r="L595" s="98" t="str">
        <f>IF(IFERROR(VLOOKUP(A595,'11.固床工'!C:D,1,0),"")="","","✔")</f>
        <v/>
      </c>
      <c r="M595" s="98" t="str">
        <f>IF(IFERROR(VLOOKUP(A595,'12.全套管基樁'!C:D,1,0),"")="","","✔")</f>
        <v/>
      </c>
      <c r="N595" s="98" t="str">
        <f>IF(IFERROR(VLOOKUP(A595,'13.鋼筋混凝土管工程'!C:D,1,0),"")="","","✔")</f>
        <v/>
      </c>
      <c r="O595" s="98" t="str">
        <f>IF(IFERROR(VLOOKUP(A595,'14.鋼版樁'!C:D,1,0),"")="","","✔")</f>
        <v/>
      </c>
      <c r="P595" s="98" t="str">
        <f>IF(IFERROR(VLOOKUP(A595,'15.路床 路基高程'!C:D,1,0),"")="","","✔")</f>
        <v/>
      </c>
      <c r="Q595" s="98" t="str">
        <f>IF(IFERROR(VLOOKUP(A595,'16.瀝青混凝土'!C:D,1,0),"")="","","✔")</f>
        <v/>
      </c>
      <c r="R595" s="98" t="str">
        <f>IF(IFERROR(VLOOKUP(A595,'17.景觀鋪面(一)'!C:D,1,0),"")="","","✔")</f>
        <v/>
      </c>
      <c r="S595" s="98" t="str">
        <f>IF(IFERROR(VLOOKUP(A595,'18.景觀鋪面(二)'!C:D,1,0),"")="","","✔")</f>
        <v/>
      </c>
      <c r="T595" s="98" t="str">
        <f>IF(IFERROR(VLOOKUP(A595,'19.預鑄緣石'!C:D,1,0),"")="","","✔")</f>
        <v/>
      </c>
      <c r="U595" s="98" t="str">
        <f>IF(IFERROR(VLOOKUP(A595,'20.鋼構工程吊裝'!C:D,1,0),"")="","","✔")</f>
        <v/>
      </c>
      <c r="V595" s="98" t="str">
        <f>IF(IFERROR(VLOOKUP(A595,'21.鋼構工程塗裝'!C:D,1,0),"")="","","✔")</f>
        <v/>
      </c>
      <c r="W595" s="98" t="str">
        <f>IF(IFERROR(VLOOKUP(A595,'22.排水設施(一)'!C:D,1,0),"")="","","✔")</f>
        <v/>
      </c>
      <c r="X595" s="98" t="str">
        <f>IF(IFERROR(VLOOKUP(A595,'23.排水設施(二)'!C:D,1,0),"")="","","✔")</f>
        <v/>
      </c>
      <c r="Y595" s="98" t="str">
        <f>IF(IFERROR(VLOOKUP(A595,'24.木構造'!C:D,1,0),"")="","","✔")</f>
        <v/>
      </c>
      <c r="Z595" s="98" t="str">
        <f>IF(IFERROR(VLOOKUP(A595,'25.管路'!C:D,1,0),"")="","","✔")</f>
        <v/>
      </c>
      <c r="AA595" s="98" t="str">
        <f>IF(IFERROR(VLOOKUP(A595,'26.植栽(移植)'!C:D,1,0),"")="","","✔")</f>
        <v/>
      </c>
      <c r="AB595" s="98" t="str">
        <f>IF(IFERROR(VLOOKUP(A595,'27.植栽(新植)'!C:D,1,0),"")="","","✔")</f>
        <v/>
      </c>
      <c r="AC595" s="98" t="str">
        <f>IF(IFERROR(VLOOKUP(A595,'28.照明'!C:D,1,0),"")="","","✔")</f>
        <v/>
      </c>
      <c r="AD595" s="98" t="str">
        <f>IF(IFERROR(VLOOKUP(A595,'29.既有橋梁拆除'!C:D,1,0),"")="","","✔")</f>
        <v/>
      </c>
    </row>
    <row r="596" spans="1:30" ht="21.75" customHeight="1" x14ac:dyDescent="0.25">
      <c r="A596" s="99">
        <v>45786</v>
      </c>
      <c r="B596" s="98" t="str">
        <f>IF(IFERROR(VLOOKUP(A596,'1.測量放樣'!C:D,1,0),"")="","","✔")</f>
        <v/>
      </c>
      <c r="C596" s="98" t="str">
        <f>IF(IFERROR(VLOOKUP(A596,'2.土方開挖'!C:D,1,0),"")="","","✔")</f>
        <v/>
      </c>
      <c r="D596" s="98" t="str">
        <f>IF(IFERROR(VLOOKUP(A596,'3.土方回填'!C:D,1,0),"")="","","✔")</f>
        <v/>
      </c>
      <c r="E596" s="98" t="str">
        <f>IF(IFERROR(VLOOKUP(A596,'4.鋼筋'!C:D,1,0),"")="","","✔")</f>
        <v/>
      </c>
      <c r="F596" s="98" t="str">
        <f>IF(IFERROR(VLOOKUP(A596,'5.模板'!C:D,1,0),"")="","","✔")</f>
        <v/>
      </c>
      <c r="G596" s="98" t="str">
        <f>IF(IFERROR(VLOOKUP(A596,'6.混凝土'!C:D,1,0),"")="","","✔")</f>
        <v/>
      </c>
      <c r="H596" s="98" t="str">
        <f>IF(IFERROR(VLOOKUP(A596,'7.植筋'!C:D,1,0),"")="","","✔")</f>
        <v/>
      </c>
      <c r="I596" s="98" t="str">
        <f>IF(IFERROR(VLOOKUP(A596,'8.預力混凝土基樁'!C:D,1,0),"")="","","✔")</f>
        <v/>
      </c>
      <c r="J596" s="98" t="str">
        <f>IF(IFERROR(VLOOKUP(A596,'9.砌塊石護岸'!C:D,1,0),"")="","","✔")</f>
        <v/>
      </c>
      <c r="K596" s="98" t="str">
        <f>IF(IFERROR(VLOOKUP(A596,'10.低水護岸'!C:D,1,0),"")="","","✔")</f>
        <v/>
      </c>
      <c r="L596" s="98" t="str">
        <f>IF(IFERROR(VLOOKUP(A596,'11.固床工'!C:D,1,0),"")="","","✔")</f>
        <v/>
      </c>
      <c r="M596" s="98" t="str">
        <f>IF(IFERROR(VLOOKUP(A596,'12.全套管基樁'!C:D,1,0),"")="","","✔")</f>
        <v/>
      </c>
      <c r="N596" s="98" t="str">
        <f>IF(IFERROR(VLOOKUP(A596,'13.鋼筋混凝土管工程'!C:D,1,0),"")="","","✔")</f>
        <v/>
      </c>
      <c r="O596" s="98" t="str">
        <f>IF(IFERROR(VLOOKUP(A596,'14.鋼版樁'!C:D,1,0),"")="","","✔")</f>
        <v/>
      </c>
      <c r="P596" s="98" t="str">
        <f>IF(IFERROR(VLOOKUP(A596,'15.路床 路基高程'!C:D,1,0),"")="","","✔")</f>
        <v/>
      </c>
      <c r="Q596" s="98" t="str">
        <f>IF(IFERROR(VLOOKUP(A596,'16.瀝青混凝土'!C:D,1,0),"")="","","✔")</f>
        <v/>
      </c>
      <c r="R596" s="98" t="str">
        <f>IF(IFERROR(VLOOKUP(A596,'17.景觀鋪面(一)'!C:D,1,0),"")="","","✔")</f>
        <v/>
      </c>
      <c r="S596" s="98" t="str">
        <f>IF(IFERROR(VLOOKUP(A596,'18.景觀鋪面(二)'!C:D,1,0),"")="","","✔")</f>
        <v/>
      </c>
      <c r="T596" s="98" t="str">
        <f>IF(IFERROR(VLOOKUP(A596,'19.預鑄緣石'!C:D,1,0),"")="","","✔")</f>
        <v/>
      </c>
      <c r="U596" s="98" t="str">
        <f>IF(IFERROR(VLOOKUP(A596,'20.鋼構工程吊裝'!C:D,1,0),"")="","","✔")</f>
        <v/>
      </c>
      <c r="V596" s="98" t="str">
        <f>IF(IFERROR(VLOOKUP(A596,'21.鋼構工程塗裝'!C:D,1,0),"")="","","✔")</f>
        <v/>
      </c>
      <c r="W596" s="98" t="str">
        <f>IF(IFERROR(VLOOKUP(A596,'22.排水設施(一)'!C:D,1,0),"")="","","✔")</f>
        <v/>
      </c>
      <c r="X596" s="98" t="str">
        <f>IF(IFERROR(VLOOKUP(A596,'23.排水設施(二)'!C:D,1,0),"")="","","✔")</f>
        <v/>
      </c>
      <c r="Y596" s="98" t="str">
        <f>IF(IFERROR(VLOOKUP(A596,'24.木構造'!C:D,1,0),"")="","","✔")</f>
        <v/>
      </c>
      <c r="Z596" s="98" t="str">
        <f>IF(IFERROR(VLOOKUP(A596,'25.管路'!C:D,1,0),"")="","","✔")</f>
        <v/>
      </c>
      <c r="AA596" s="98" t="str">
        <f>IF(IFERROR(VLOOKUP(A596,'26.植栽(移植)'!C:D,1,0),"")="","","✔")</f>
        <v/>
      </c>
      <c r="AB596" s="98" t="str">
        <f>IF(IFERROR(VLOOKUP(A596,'27.植栽(新植)'!C:D,1,0),"")="","","✔")</f>
        <v/>
      </c>
      <c r="AC596" s="98" t="str">
        <f>IF(IFERROR(VLOOKUP(A596,'28.照明'!C:D,1,0),"")="","","✔")</f>
        <v/>
      </c>
      <c r="AD596" s="98" t="str">
        <f>IF(IFERROR(VLOOKUP(A596,'29.既有橋梁拆除'!C:D,1,0),"")="","","✔")</f>
        <v/>
      </c>
    </row>
    <row r="597" spans="1:30" ht="21.75" customHeight="1" x14ac:dyDescent="0.25">
      <c r="A597" s="99">
        <v>45787</v>
      </c>
      <c r="B597" s="98" t="str">
        <f>IF(IFERROR(VLOOKUP(A597,'1.測量放樣'!C:D,1,0),"")="","","✔")</f>
        <v/>
      </c>
      <c r="C597" s="98" t="str">
        <f>IF(IFERROR(VLOOKUP(A597,'2.土方開挖'!C:D,1,0),"")="","","✔")</f>
        <v/>
      </c>
      <c r="D597" s="98" t="str">
        <f>IF(IFERROR(VLOOKUP(A597,'3.土方回填'!C:D,1,0),"")="","","✔")</f>
        <v/>
      </c>
      <c r="E597" s="98" t="str">
        <f>IF(IFERROR(VLOOKUP(A597,'4.鋼筋'!C:D,1,0),"")="","","✔")</f>
        <v/>
      </c>
      <c r="F597" s="98" t="str">
        <f>IF(IFERROR(VLOOKUP(A597,'5.模板'!C:D,1,0),"")="","","✔")</f>
        <v/>
      </c>
      <c r="G597" s="98" t="str">
        <f>IF(IFERROR(VLOOKUP(A597,'6.混凝土'!C:D,1,0),"")="","","✔")</f>
        <v/>
      </c>
      <c r="H597" s="98" t="str">
        <f>IF(IFERROR(VLOOKUP(A597,'7.植筋'!C:D,1,0),"")="","","✔")</f>
        <v/>
      </c>
      <c r="I597" s="98" t="str">
        <f>IF(IFERROR(VLOOKUP(A597,'8.預力混凝土基樁'!C:D,1,0),"")="","","✔")</f>
        <v/>
      </c>
      <c r="J597" s="98" t="str">
        <f>IF(IFERROR(VLOOKUP(A597,'9.砌塊石護岸'!C:D,1,0),"")="","","✔")</f>
        <v/>
      </c>
      <c r="K597" s="98" t="str">
        <f>IF(IFERROR(VLOOKUP(A597,'10.低水護岸'!C:D,1,0),"")="","","✔")</f>
        <v/>
      </c>
      <c r="L597" s="98" t="str">
        <f>IF(IFERROR(VLOOKUP(A597,'11.固床工'!C:D,1,0),"")="","","✔")</f>
        <v/>
      </c>
      <c r="M597" s="98" t="str">
        <f>IF(IFERROR(VLOOKUP(A597,'12.全套管基樁'!C:D,1,0),"")="","","✔")</f>
        <v/>
      </c>
      <c r="N597" s="98" t="str">
        <f>IF(IFERROR(VLOOKUP(A597,'13.鋼筋混凝土管工程'!C:D,1,0),"")="","","✔")</f>
        <v/>
      </c>
      <c r="O597" s="98" t="str">
        <f>IF(IFERROR(VLOOKUP(A597,'14.鋼版樁'!C:D,1,0),"")="","","✔")</f>
        <v/>
      </c>
      <c r="P597" s="98" t="str">
        <f>IF(IFERROR(VLOOKUP(A597,'15.路床 路基高程'!C:D,1,0),"")="","","✔")</f>
        <v/>
      </c>
      <c r="Q597" s="98" t="str">
        <f>IF(IFERROR(VLOOKUP(A597,'16.瀝青混凝土'!C:D,1,0),"")="","","✔")</f>
        <v/>
      </c>
      <c r="R597" s="98" t="str">
        <f>IF(IFERROR(VLOOKUP(A597,'17.景觀鋪面(一)'!C:D,1,0),"")="","","✔")</f>
        <v/>
      </c>
      <c r="S597" s="98" t="str">
        <f>IF(IFERROR(VLOOKUP(A597,'18.景觀鋪面(二)'!C:D,1,0),"")="","","✔")</f>
        <v/>
      </c>
      <c r="T597" s="98" t="str">
        <f>IF(IFERROR(VLOOKUP(A597,'19.預鑄緣石'!C:D,1,0),"")="","","✔")</f>
        <v/>
      </c>
      <c r="U597" s="98" t="str">
        <f>IF(IFERROR(VLOOKUP(A597,'20.鋼構工程吊裝'!C:D,1,0),"")="","","✔")</f>
        <v/>
      </c>
      <c r="V597" s="98" t="str">
        <f>IF(IFERROR(VLOOKUP(A597,'21.鋼構工程塗裝'!C:D,1,0),"")="","","✔")</f>
        <v/>
      </c>
      <c r="W597" s="98" t="str">
        <f>IF(IFERROR(VLOOKUP(A597,'22.排水設施(一)'!C:D,1,0),"")="","","✔")</f>
        <v/>
      </c>
      <c r="X597" s="98" t="str">
        <f>IF(IFERROR(VLOOKUP(A597,'23.排水設施(二)'!C:D,1,0),"")="","","✔")</f>
        <v/>
      </c>
      <c r="Y597" s="98" t="str">
        <f>IF(IFERROR(VLOOKUP(A597,'24.木構造'!C:D,1,0),"")="","","✔")</f>
        <v/>
      </c>
      <c r="Z597" s="98" t="str">
        <f>IF(IFERROR(VLOOKUP(A597,'25.管路'!C:D,1,0),"")="","","✔")</f>
        <v/>
      </c>
      <c r="AA597" s="98" t="str">
        <f>IF(IFERROR(VLOOKUP(A597,'26.植栽(移植)'!C:D,1,0),"")="","","✔")</f>
        <v/>
      </c>
      <c r="AB597" s="98" t="str">
        <f>IF(IFERROR(VLOOKUP(A597,'27.植栽(新植)'!C:D,1,0),"")="","","✔")</f>
        <v/>
      </c>
      <c r="AC597" s="98" t="str">
        <f>IF(IFERROR(VLOOKUP(A597,'28.照明'!C:D,1,0),"")="","","✔")</f>
        <v/>
      </c>
      <c r="AD597" s="98" t="str">
        <f>IF(IFERROR(VLOOKUP(A597,'29.既有橋梁拆除'!C:D,1,0),"")="","","✔")</f>
        <v/>
      </c>
    </row>
    <row r="598" spans="1:30" ht="21.75" customHeight="1" x14ac:dyDescent="0.25">
      <c r="A598" s="99">
        <v>45788</v>
      </c>
      <c r="B598" s="98" t="str">
        <f>IF(IFERROR(VLOOKUP(A598,'1.測量放樣'!C:D,1,0),"")="","","✔")</f>
        <v/>
      </c>
      <c r="C598" s="98" t="str">
        <f>IF(IFERROR(VLOOKUP(A598,'2.土方開挖'!C:D,1,0),"")="","","✔")</f>
        <v/>
      </c>
      <c r="D598" s="98" t="str">
        <f>IF(IFERROR(VLOOKUP(A598,'3.土方回填'!C:D,1,0),"")="","","✔")</f>
        <v/>
      </c>
      <c r="E598" s="98" t="str">
        <f>IF(IFERROR(VLOOKUP(A598,'4.鋼筋'!C:D,1,0),"")="","","✔")</f>
        <v/>
      </c>
      <c r="F598" s="98" t="str">
        <f>IF(IFERROR(VLOOKUP(A598,'5.模板'!C:D,1,0),"")="","","✔")</f>
        <v/>
      </c>
      <c r="G598" s="98" t="str">
        <f>IF(IFERROR(VLOOKUP(A598,'6.混凝土'!C:D,1,0),"")="","","✔")</f>
        <v/>
      </c>
      <c r="H598" s="98" t="str">
        <f>IF(IFERROR(VLOOKUP(A598,'7.植筋'!C:D,1,0),"")="","","✔")</f>
        <v/>
      </c>
      <c r="I598" s="98" t="str">
        <f>IF(IFERROR(VLOOKUP(A598,'8.預力混凝土基樁'!C:D,1,0),"")="","","✔")</f>
        <v/>
      </c>
      <c r="J598" s="98" t="str">
        <f>IF(IFERROR(VLOOKUP(A598,'9.砌塊石護岸'!C:D,1,0),"")="","","✔")</f>
        <v/>
      </c>
      <c r="K598" s="98" t="str">
        <f>IF(IFERROR(VLOOKUP(A598,'10.低水護岸'!C:D,1,0),"")="","","✔")</f>
        <v/>
      </c>
      <c r="L598" s="98" t="str">
        <f>IF(IFERROR(VLOOKUP(A598,'11.固床工'!C:D,1,0),"")="","","✔")</f>
        <v/>
      </c>
      <c r="M598" s="98" t="str">
        <f>IF(IFERROR(VLOOKUP(A598,'12.全套管基樁'!C:D,1,0),"")="","","✔")</f>
        <v/>
      </c>
      <c r="N598" s="98" t="str">
        <f>IF(IFERROR(VLOOKUP(A598,'13.鋼筋混凝土管工程'!C:D,1,0),"")="","","✔")</f>
        <v/>
      </c>
      <c r="O598" s="98" t="str">
        <f>IF(IFERROR(VLOOKUP(A598,'14.鋼版樁'!C:D,1,0),"")="","","✔")</f>
        <v/>
      </c>
      <c r="P598" s="98" t="str">
        <f>IF(IFERROR(VLOOKUP(A598,'15.路床 路基高程'!C:D,1,0),"")="","","✔")</f>
        <v/>
      </c>
      <c r="Q598" s="98" t="str">
        <f>IF(IFERROR(VLOOKUP(A598,'16.瀝青混凝土'!C:D,1,0),"")="","","✔")</f>
        <v/>
      </c>
      <c r="R598" s="98" t="str">
        <f>IF(IFERROR(VLOOKUP(A598,'17.景觀鋪面(一)'!C:D,1,0),"")="","","✔")</f>
        <v/>
      </c>
      <c r="S598" s="98" t="str">
        <f>IF(IFERROR(VLOOKUP(A598,'18.景觀鋪面(二)'!C:D,1,0),"")="","","✔")</f>
        <v/>
      </c>
      <c r="T598" s="98" t="str">
        <f>IF(IFERROR(VLOOKUP(A598,'19.預鑄緣石'!C:D,1,0),"")="","","✔")</f>
        <v/>
      </c>
      <c r="U598" s="98" t="str">
        <f>IF(IFERROR(VLOOKUP(A598,'20.鋼構工程吊裝'!C:D,1,0),"")="","","✔")</f>
        <v/>
      </c>
      <c r="V598" s="98" t="str">
        <f>IF(IFERROR(VLOOKUP(A598,'21.鋼構工程塗裝'!C:D,1,0),"")="","","✔")</f>
        <v/>
      </c>
      <c r="W598" s="98" t="str">
        <f>IF(IFERROR(VLOOKUP(A598,'22.排水設施(一)'!C:D,1,0),"")="","","✔")</f>
        <v/>
      </c>
      <c r="X598" s="98" t="str">
        <f>IF(IFERROR(VLOOKUP(A598,'23.排水設施(二)'!C:D,1,0),"")="","","✔")</f>
        <v/>
      </c>
      <c r="Y598" s="98" t="str">
        <f>IF(IFERROR(VLOOKUP(A598,'24.木構造'!C:D,1,0),"")="","","✔")</f>
        <v/>
      </c>
      <c r="Z598" s="98" t="str">
        <f>IF(IFERROR(VLOOKUP(A598,'25.管路'!C:D,1,0),"")="","","✔")</f>
        <v/>
      </c>
      <c r="AA598" s="98" t="str">
        <f>IF(IFERROR(VLOOKUP(A598,'26.植栽(移植)'!C:D,1,0),"")="","","✔")</f>
        <v/>
      </c>
      <c r="AB598" s="98" t="str">
        <f>IF(IFERROR(VLOOKUP(A598,'27.植栽(新植)'!C:D,1,0),"")="","","✔")</f>
        <v/>
      </c>
      <c r="AC598" s="98" t="str">
        <f>IF(IFERROR(VLOOKUP(A598,'28.照明'!C:D,1,0),"")="","","✔")</f>
        <v/>
      </c>
      <c r="AD598" s="98" t="str">
        <f>IF(IFERROR(VLOOKUP(A598,'29.既有橋梁拆除'!C:D,1,0),"")="","","✔")</f>
        <v/>
      </c>
    </row>
    <row r="599" spans="1:30" ht="21.75" customHeight="1" x14ac:dyDescent="0.25">
      <c r="A599" s="99">
        <v>45789</v>
      </c>
      <c r="B599" s="98" t="str">
        <f>IF(IFERROR(VLOOKUP(A599,'1.測量放樣'!C:D,1,0),"")="","","✔")</f>
        <v/>
      </c>
      <c r="C599" s="98" t="str">
        <f>IF(IFERROR(VLOOKUP(A599,'2.土方開挖'!C:D,1,0),"")="","","✔")</f>
        <v/>
      </c>
      <c r="D599" s="98" t="str">
        <f>IF(IFERROR(VLOOKUP(A599,'3.土方回填'!C:D,1,0),"")="","","✔")</f>
        <v/>
      </c>
      <c r="E599" s="98" t="str">
        <f>IF(IFERROR(VLOOKUP(A599,'4.鋼筋'!C:D,1,0),"")="","","✔")</f>
        <v/>
      </c>
      <c r="F599" s="98" t="str">
        <f>IF(IFERROR(VLOOKUP(A599,'5.模板'!C:D,1,0),"")="","","✔")</f>
        <v/>
      </c>
      <c r="G599" s="98" t="str">
        <f>IF(IFERROR(VLOOKUP(A599,'6.混凝土'!C:D,1,0),"")="","","✔")</f>
        <v/>
      </c>
      <c r="H599" s="98" t="str">
        <f>IF(IFERROR(VLOOKUP(A599,'7.植筋'!C:D,1,0),"")="","","✔")</f>
        <v/>
      </c>
      <c r="I599" s="98" t="str">
        <f>IF(IFERROR(VLOOKUP(A599,'8.預力混凝土基樁'!C:D,1,0),"")="","","✔")</f>
        <v/>
      </c>
      <c r="J599" s="98" t="str">
        <f>IF(IFERROR(VLOOKUP(A599,'9.砌塊石護岸'!C:D,1,0),"")="","","✔")</f>
        <v/>
      </c>
      <c r="K599" s="98" t="str">
        <f>IF(IFERROR(VLOOKUP(A599,'10.低水護岸'!C:D,1,0),"")="","","✔")</f>
        <v/>
      </c>
      <c r="L599" s="98" t="str">
        <f>IF(IFERROR(VLOOKUP(A599,'11.固床工'!C:D,1,0),"")="","","✔")</f>
        <v/>
      </c>
      <c r="M599" s="98" t="str">
        <f>IF(IFERROR(VLOOKUP(A599,'12.全套管基樁'!C:D,1,0),"")="","","✔")</f>
        <v/>
      </c>
      <c r="N599" s="98" t="str">
        <f>IF(IFERROR(VLOOKUP(A599,'13.鋼筋混凝土管工程'!C:D,1,0),"")="","","✔")</f>
        <v/>
      </c>
      <c r="O599" s="98" t="str">
        <f>IF(IFERROR(VLOOKUP(A599,'14.鋼版樁'!C:D,1,0),"")="","","✔")</f>
        <v/>
      </c>
      <c r="P599" s="98" t="str">
        <f>IF(IFERROR(VLOOKUP(A599,'15.路床 路基高程'!C:D,1,0),"")="","","✔")</f>
        <v/>
      </c>
      <c r="Q599" s="98" t="str">
        <f>IF(IFERROR(VLOOKUP(A599,'16.瀝青混凝土'!C:D,1,0),"")="","","✔")</f>
        <v/>
      </c>
      <c r="R599" s="98" t="str">
        <f>IF(IFERROR(VLOOKUP(A599,'17.景觀鋪面(一)'!C:D,1,0),"")="","","✔")</f>
        <v/>
      </c>
      <c r="S599" s="98" t="str">
        <f>IF(IFERROR(VLOOKUP(A599,'18.景觀鋪面(二)'!C:D,1,0),"")="","","✔")</f>
        <v/>
      </c>
      <c r="T599" s="98" t="str">
        <f>IF(IFERROR(VLOOKUP(A599,'19.預鑄緣石'!C:D,1,0),"")="","","✔")</f>
        <v/>
      </c>
      <c r="U599" s="98" t="str">
        <f>IF(IFERROR(VLOOKUP(A599,'20.鋼構工程吊裝'!C:D,1,0),"")="","","✔")</f>
        <v/>
      </c>
      <c r="V599" s="98" t="str">
        <f>IF(IFERROR(VLOOKUP(A599,'21.鋼構工程塗裝'!C:D,1,0),"")="","","✔")</f>
        <v/>
      </c>
      <c r="W599" s="98" t="str">
        <f>IF(IFERROR(VLOOKUP(A599,'22.排水設施(一)'!C:D,1,0),"")="","","✔")</f>
        <v/>
      </c>
      <c r="X599" s="98" t="str">
        <f>IF(IFERROR(VLOOKUP(A599,'23.排水設施(二)'!C:D,1,0),"")="","","✔")</f>
        <v/>
      </c>
      <c r="Y599" s="98" t="str">
        <f>IF(IFERROR(VLOOKUP(A599,'24.木構造'!C:D,1,0),"")="","","✔")</f>
        <v/>
      </c>
      <c r="Z599" s="98" t="str">
        <f>IF(IFERROR(VLOOKUP(A599,'25.管路'!C:D,1,0),"")="","","✔")</f>
        <v/>
      </c>
      <c r="AA599" s="98" t="str">
        <f>IF(IFERROR(VLOOKUP(A599,'26.植栽(移植)'!C:D,1,0),"")="","","✔")</f>
        <v/>
      </c>
      <c r="AB599" s="98" t="str">
        <f>IF(IFERROR(VLOOKUP(A599,'27.植栽(新植)'!C:D,1,0),"")="","","✔")</f>
        <v/>
      </c>
      <c r="AC599" s="98" t="str">
        <f>IF(IFERROR(VLOOKUP(A599,'28.照明'!C:D,1,0),"")="","","✔")</f>
        <v/>
      </c>
      <c r="AD599" s="98" t="str">
        <f>IF(IFERROR(VLOOKUP(A599,'29.既有橋梁拆除'!C:D,1,0),"")="","","✔")</f>
        <v/>
      </c>
    </row>
    <row r="600" spans="1:30" ht="21.75" customHeight="1" x14ac:dyDescent="0.25">
      <c r="A600" s="99">
        <v>45790</v>
      </c>
      <c r="B600" s="98" t="str">
        <f>IF(IFERROR(VLOOKUP(A600,'1.測量放樣'!C:D,1,0),"")="","","✔")</f>
        <v/>
      </c>
      <c r="C600" s="98" t="str">
        <f>IF(IFERROR(VLOOKUP(A600,'2.土方開挖'!C:D,1,0),"")="","","✔")</f>
        <v/>
      </c>
      <c r="D600" s="98" t="str">
        <f>IF(IFERROR(VLOOKUP(A600,'3.土方回填'!C:D,1,0),"")="","","✔")</f>
        <v/>
      </c>
      <c r="E600" s="98" t="str">
        <f>IF(IFERROR(VLOOKUP(A600,'4.鋼筋'!C:D,1,0),"")="","","✔")</f>
        <v/>
      </c>
      <c r="F600" s="98" t="str">
        <f>IF(IFERROR(VLOOKUP(A600,'5.模板'!C:D,1,0),"")="","","✔")</f>
        <v/>
      </c>
      <c r="G600" s="98" t="str">
        <f>IF(IFERROR(VLOOKUP(A600,'6.混凝土'!C:D,1,0),"")="","","✔")</f>
        <v/>
      </c>
      <c r="H600" s="98" t="str">
        <f>IF(IFERROR(VLOOKUP(A600,'7.植筋'!C:D,1,0),"")="","","✔")</f>
        <v/>
      </c>
      <c r="I600" s="98" t="str">
        <f>IF(IFERROR(VLOOKUP(A600,'8.預力混凝土基樁'!C:D,1,0),"")="","","✔")</f>
        <v/>
      </c>
      <c r="J600" s="98" t="str">
        <f>IF(IFERROR(VLOOKUP(A600,'9.砌塊石護岸'!C:D,1,0),"")="","","✔")</f>
        <v/>
      </c>
      <c r="K600" s="98" t="str">
        <f>IF(IFERROR(VLOOKUP(A600,'10.低水護岸'!C:D,1,0),"")="","","✔")</f>
        <v/>
      </c>
      <c r="L600" s="98" t="str">
        <f>IF(IFERROR(VLOOKUP(A600,'11.固床工'!C:D,1,0),"")="","","✔")</f>
        <v/>
      </c>
      <c r="M600" s="98" t="str">
        <f>IF(IFERROR(VLOOKUP(A600,'12.全套管基樁'!C:D,1,0),"")="","","✔")</f>
        <v/>
      </c>
      <c r="N600" s="98" t="str">
        <f>IF(IFERROR(VLOOKUP(A600,'13.鋼筋混凝土管工程'!C:D,1,0),"")="","","✔")</f>
        <v/>
      </c>
      <c r="O600" s="98" t="str">
        <f>IF(IFERROR(VLOOKUP(A600,'14.鋼版樁'!C:D,1,0),"")="","","✔")</f>
        <v/>
      </c>
      <c r="P600" s="98" t="str">
        <f>IF(IFERROR(VLOOKUP(A600,'15.路床 路基高程'!C:D,1,0),"")="","","✔")</f>
        <v/>
      </c>
      <c r="Q600" s="98" t="str">
        <f>IF(IFERROR(VLOOKUP(A600,'16.瀝青混凝土'!C:D,1,0),"")="","","✔")</f>
        <v/>
      </c>
      <c r="R600" s="98" t="str">
        <f>IF(IFERROR(VLOOKUP(A600,'17.景觀鋪面(一)'!C:D,1,0),"")="","","✔")</f>
        <v/>
      </c>
      <c r="S600" s="98" t="str">
        <f>IF(IFERROR(VLOOKUP(A600,'18.景觀鋪面(二)'!C:D,1,0),"")="","","✔")</f>
        <v/>
      </c>
      <c r="T600" s="98" t="str">
        <f>IF(IFERROR(VLOOKUP(A600,'19.預鑄緣石'!C:D,1,0),"")="","","✔")</f>
        <v/>
      </c>
      <c r="U600" s="98" t="str">
        <f>IF(IFERROR(VLOOKUP(A600,'20.鋼構工程吊裝'!C:D,1,0),"")="","","✔")</f>
        <v/>
      </c>
      <c r="V600" s="98" t="str">
        <f>IF(IFERROR(VLOOKUP(A600,'21.鋼構工程塗裝'!C:D,1,0),"")="","","✔")</f>
        <v/>
      </c>
      <c r="W600" s="98" t="str">
        <f>IF(IFERROR(VLOOKUP(A600,'22.排水設施(一)'!C:D,1,0),"")="","","✔")</f>
        <v/>
      </c>
      <c r="X600" s="98" t="str">
        <f>IF(IFERROR(VLOOKUP(A600,'23.排水設施(二)'!C:D,1,0),"")="","","✔")</f>
        <v/>
      </c>
      <c r="Y600" s="98" t="str">
        <f>IF(IFERROR(VLOOKUP(A600,'24.木構造'!C:D,1,0),"")="","","✔")</f>
        <v/>
      </c>
      <c r="Z600" s="98" t="str">
        <f>IF(IFERROR(VLOOKUP(A600,'25.管路'!C:D,1,0),"")="","","✔")</f>
        <v/>
      </c>
      <c r="AA600" s="98" t="str">
        <f>IF(IFERROR(VLOOKUP(A600,'26.植栽(移植)'!C:D,1,0),"")="","","✔")</f>
        <v/>
      </c>
      <c r="AB600" s="98" t="str">
        <f>IF(IFERROR(VLOOKUP(A600,'27.植栽(新植)'!C:D,1,0),"")="","","✔")</f>
        <v/>
      </c>
      <c r="AC600" s="98" t="str">
        <f>IF(IFERROR(VLOOKUP(A600,'28.照明'!C:D,1,0),"")="","","✔")</f>
        <v/>
      </c>
      <c r="AD600" s="98" t="str">
        <f>IF(IFERROR(VLOOKUP(A600,'29.既有橋梁拆除'!C:D,1,0),"")="","","✔")</f>
        <v/>
      </c>
    </row>
    <row r="601" spans="1:30" ht="21.75" customHeight="1" x14ac:dyDescent="0.25">
      <c r="A601" s="99">
        <v>45791</v>
      </c>
      <c r="B601" s="98" t="str">
        <f>IF(IFERROR(VLOOKUP(A601,'1.測量放樣'!C:D,1,0),"")="","","✔")</f>
        <v/>
      </c>
      <c r="C601" s="98" t="str">
        <f>IF(IFERROR(VLOOKUP(A601,'2.土方開挖'!C:D,1,0),"")="","","✔")</f>
        <v/>
      </c>
      <c r="D601" s="98" t="str">
        <f>IF(IFERROR(VLOOKUP(A601,'3.土方回填'!C:D,1,0),"")="","","✔")</f>
        <v/>
      </c>
      <c r="E601" s="98" t="str">
        <f>IF(IFERROR(VLOOKUP(A601,'4.鋼筋'!C:D,1,0),"")="","","✔")</f>
        <v/>
      </c>
      <c r="F601" s="98" t="str">
        <f>IF(IFERROR(VLOOKUP(A601,'5.模板'!C:D,1,0),"")="","","✔")</f>
        <v/>
      </c>
      <c r="G601" s="98" t="str">
        <f>IF(IFERROR(VLOOKUP(A601,'6.混凝土'!C:D,1,0),"")="","","✔")</f>
        <v/>
      </c>
      <c r="H601" s="98" t="str">
        <f>IF(IFERROR(VLOOKUP(A601,'7.植筋'!C:D,1,0),"")="","","✔")</f>
        <v/>
      </c>
      <c r="I601" s="98" t="str">
        <f>IF(IFERROR(VLOOKUP(A601,'8.預力混凝土基樁'!C:D,1,0),"")="","","✔")</f>
        <v/>
      </c>
      <c r="J601" s="98" t="str">
        <f>IF(IFERROR(VLOOKUP(A601,'9.砌塊石護岸'!C:D,1,0),"")="","","✔")</f>
        <v/>
      </c>
      <c r="K601" s="98" t="str">
        <f>IF(IFERROR(VLOOKUP(A601,'10.低水護岸'!C:D,1,0),"")="","","✔")</f>
        <v/>
      </c>
      <c r="L601" s="98" t="str">
        <f>IF(IFERROR(VLOOKUP(A601,'11.固床工'!C:D,1,0),"")="","","✔")</f>
        <v/>
      </c>
      <c r="M601" s="98" t="str">
        <f>IF(IFERROR(VLOOKUP(A601,'12.全套管基樁'!C:D,1,0),"")="","","✔")</f>
        <v/>
      </c>
      <c r="N601" s="98" t="str">
        <f>IF(IFERROR(VLOOKUP(A601,'13.鋼筋混凝土管工程'!C:D,1,0),"")="","","✔")</f>
        <v/>
      </c>
      <c r="O601" s="98" t="str">
        <f>IF(IFERROR(VLOOKUP(A601,'14.鋼版樁'!C:D,1,0),"")="","","✔")</f>
        <v/>
      </c>
      <c r="P601" s="98" t="str">
        <f>IF(IFERROR(VLOOKUP(A601,'15.路床 路基高程'!C:D,1,0),"")="","","✔")</f>
        <v/>
      </c>
      <c r="Q601" s="98" t="str">
        <f>IF(IFERROR(VLOOKUP(A601,'16.瀝青混凝土'!C:D,1,0),"")="","","✔")</f>
        <v/>
      </c>
      <c r="R601" s="98" t="str">
        <f>IF(IFERROR(VLOOKUP(A601,'17.景觀鋪面(一)'!C:D,1,0),"")="","","✔")</f>
        <v/>
      </c>
      <c r="S601" s="98" t="str">
        <f>IF(IFERROR(VLOOKUP(A601,'18.景觀鋪面(二)'!C:D,1,0),"")="","","✔")</f>
        <v/>
      </c>
      <c r="T601" s="98" t="str">
        <f>IF(IFERROR(VLOOKUP(A601,'19.預鑄緣石'!C:D,1,0),"")="","","✔")</f>
        <v/>
      </c>
      <c r="U601" s="98" t="str">
        <f>IF(IFERROR(VLOOKUP(A601,'20.鋼構工程吊裝'!C:D,1,0),"")="","","✔")</f>
        <v/>
      </c>
      <c r="V601" s="98" t="str">
        <f>IF(IFERROR(VLOOKUP(A601,'21.鋼構工程塗裝'!C:D,1,0),"")="","","✔")</f>
        <v/>
      </c>
      <c r="W601" s="98" t="str">
        <f>IF(IFERROR(VLOOKUP(A601,'22.排水設施(一)'!C:D,1,0),"")="","","✔")</f>
        <v/>
      </c>
      <c r="X601" s="98" t="str">
        <f>IF(IFERROR(VLOOKUP(A601,'23.排水設施(二)'!C:D,1,0),"")="","","✔")</f>
        <v/>
      </c>
      <c r="Y601" s="98" t="str">
        <f>IF(IFERROR(VLOOKUP(A601,'24.木構造'!C:D,1,0),"")="","","✔")</f>
        <v/>
      </c>
      <c r="Z601" s="98" t="str">
        <f>IF(IFERROR(VLOOKUP(A601,'25.管路'!C:D,1,0),"")="","","✔")</f>
        <v/>
      </c>
      <c r="AA601" s="98" t="str">
        <f>IF(IFERROR(VLOOKUP(A601,'26.植栽(移植)'!C:D,1,0),"")="","","✔")</f>
        <v/>
      </c>
      <c r="AB601" s="98" t="str">
        <f>IF(IFERROR(VLOOKUP(A601,'27.植栽(新植)'!C:D,1,0),"")="","","✔")</f>
        <v/>
      </c>
      <c r="AC601" s="98" t="str">
        <f>IF(IFERROR(VLOOKUP(A601,'28.照明'!C:D,1,0),"")="","","✔")</f>
        <v/>
      </c>
      <c r="AD601" s="98" t="str">
        <f>IF(IFERROR(VLOOKUP(A601,'29.既有橋梁拆除'!C:D,1,0),"")="","","✔")</f>
        <v/>
      </c>
    </row>
    <row r="602" spans="1:30" ht="21.75" customHeight="1" x14ac:dyDescent="0.25">
      <c r="A602" s="99">
        <v>45792</v>
      </c>
      <c r="B602" s="98" t="str">
        <f>IF(IFERROR(VLOOKUP(A602,'1.測量放樣'!C:D,1,0),"")="","","✔")</f>
        <v/>
      </c>
      <c r="C602" s="98" t="str">
        <f>IF(IFERROR(VLOOKUP(A602,'2.土方開挖'!C:D,1,0),"")="","","✔")</f>
        <v/>
      </c>
      <c r="D602" s="98" t="str">
        <f>IF(IFERROR(VLOOKUP(A602,'3.土方回填'!C:D,1,0),"")="","","✔")</f>
        <v/>
      </c>
      <c r="E602" s="98" t="str">
        <f>IF(IFERROR(VLOOKUP(A602,'4.鋼筋'!C:D,1,0),"")="","","✔")</f>
        <v/>
      </c>
      <c r="F602" s="98" t="str">
        <f>IF(IFERROR(VLOOKUP(A602,'5.模板'!C:D,1,0),"")="","","✔")</f>
        <v/>
      </c>
      <c r="G602" s="98" t="str">
        <f>IF(IFERROR(VLOOKUP(A602,'6.混凝土'!C:D,1,0),"")="","","✔")</f>
        <v/>
      </c>
      <c r="H602" s="98" t="str">
        <f>IF(IFERROR(VLOOKUP(A602,'7.植筋'!C:D,1,0),"")="","","✔")</f>
        <v/>
      </c>
      <c r="I602" s="98" t="str">
        <f>IF(IFERROR(VLOOKUP(A602,'8.預力混凝土基樁'!C:D,1,0),"")="","","✔")</f>
        <v/>
      </c>
      <c r="J602" s="98" t="str">
        <f>IF(IFERROR(VLOOKUP(A602,'9.砌塊石護岸'!C:D,1,0),"")="","","✔")</f>
        <v/>
      </c>
      <c r="K602" s="98" t="str">
        <f>IF(IFERROR(VLOOKUP(A602,'10.低水護岸'!C:D,1,0),"")="","","✔")</f>
        <v/>
      </c>
      <c r="L602" s="98" t="str">
        <f>IF(IFERROR(VLOOKUP(A602,'11.固床工'!C:D,1,0),"")="","","✔")</f>
        <v/>
      </c>
      <c r="M602" s="98" t="str">
        <f>IF(IFERROR(VLOOKUP(A602,'12.全套管基樁'!C:D,1,0),"")="","","✔")</f>
        <v/>
      </c>
      <c r="N602" s="98" t="str">
        <f>IF(IFERROR(VLOOKUP(A602,'13.鋼筋混凝土管工程'!C:D,1,0),"")="","","✔")</f>
        <v/>
      </c>
      <c r="O602" s="98" t="str">
        <f>IF(IFERROR(VLOOKUP(A602,'14.鋼版樁'!C:D,1,0),"")="","","✔")</f>
        <v/>
      </c>
      <c r="P602" s="98" t="str">
        <f>IF(IFERROR(VLOOKUP(A602,'15.路床 路基高程'!C:D,1,0),"")="","","✔")</f>
        <v/>
      </c>
      <c r="Q602" s="98" t="str">
        <f>IF(IFERROR(VLOOKUP(A602,'16.瀝青混凝土'!C:D,1,0),"")="","","✔")</f>
        <v/>
      </c>
      <c r="R602" s="98" t="str">
        <f>IF(IFERROR(VLOOKUP(A602,'17.景觀鋪面(一)'!C:D,1,0),"")="","","✔")</f>
        <v/>
      </c>
      <c r="S602" s="98" t="str">
        <f>IF(IFERROR(VLOOKUP(A602,'18.景觀鋪面(二)'!C:D,1,0),"")="","","✔")</f>
        <v/>
      </c>
      <c r="T602" s="98" t="str">
        <f>IF(IFERROR(VLOOKUP(A602,'19.預鑄緣石'!C:D,1,0),"")="","","✔")</f>
        <v/>
      </c>
      <c r="U602" s="98" t="str">
        <f>IF(IFERROR(VLOOKUP(A602,'20.鋼構工程吊裝'!C:D,1,0),"")="","","✔")</f>
        <v/>
      </c>
      <c r="V602" s="98" t="str">
        <f>IF(IFERROR(VLOOKUP(A602,'21.鋼構工程塗裝'!C:D,1,0),"")="","","✔")</f>
        <v/>
      </c>
      <c r="W602" s="98" t="str">
        <f>IF(IFERROR(VLOOKUP(A602,'22.排水設施(一)'!C:D,1,0),"")="","","✔")</f>
        <v/>
      </c>
      <c r="X602" s="98" t="str">
        <f>IF(IFERROR(VLOOKUP(A602,'23.排水設施(二)'!C:D,1,0),"")="","","✔")</f>
        <v/>
      </c>
      <c r="Y602" s="98" t="str">
        <f>IF(IFERROR(VLOOKUP(A602,'24.木構造'!C:D,1,0),"")="","","✔")</f>
        <v/>
      </c>
      <c r="Z602" s="98" t="str">
        <f>IF(IFERROR(VLOOKUP(A602,'25.管路'!C:D,1,0),"")="","","✔")</f>
        <v/>
      </c>
      <c r="AA602" s="98" t="str">
        <f>IF(IFERROR(VLOOKUP(A602,'26.植栽(移植)'!C:D,1,0),"")="","","✔")</f>
        <v/>
      </c>
      <c r="AB602" s="98" t="str">
        <f>IF(IFERROR(VLOOKUP(A602,'27.植栽(新植)'!C:D,1,0),"")="","","✔")</f>
        <v/>
      </c>
      <c r="AC602" s="98" t="str">
        <f>IF(IFERROR(VLOOKUP(A602,'28.照明'!C:D,1,0),"")="","","✔")</f>
        <v/>
      </c>
      <c r="AD602" s="98" t="str">
        <f>IF(IFERROR(VLOOKUP(A602,'29.既有橋梁拆除'!C:D,1,0),"")="","","✔")</f>
        <v/>
      </c>
    </row>
    <row r="603" spans="1:30" ht="21.75" customHeight="1" x14ac:dyDescent="0.25">
      <c r="A603" s="99">
        <v>45793</v>
      </c>
      <c r="B603" s="98" t="str">
        <f>IF(IFERROR(VLOOKUP(A603,'1.測量放樣'!C:D,1,0),"")="","","✔")</f>
        <v/>
      </c>
      <c r="C603" s="98" t="str">
        <f>IF(IFERROR(VLOOKUP(A603,'2.土方開挖'!C:D,1,0),"")="","","✔")</f>
        <v/>
      </c>
      <c r="D603" s="98" t="str">
        <f>IF(IFERROR(VLOOKUP(A603,'3.土方回填'!C:D,1,0),"")="","","✔")</f>
        <v/>
      </c>
      <c r="E603" s="98" t="str">
        <f>IF(IFERROR(VLOOKUP(A603,'4.鋼筋'!C:D,1,0),"")="","","✔")</f>
        <v/>
      </c>
      <c r="F603" s="98" t="str">
        <f>IF(IFERROR(VLOOKUP(A603,'5.模板'!C:D,1,0),"")="","","✔")</f>
        <v/>
      </c>
      <c r="G603" s="98" t="str">
        <f>IF(IFERROR(VLOOKUP(A603,'6.混凝土'!C:D,1,0),"")="","","✔")</f>
        <v/>
      </c>
      <c r="H603" s="98" t="str">
        <f>IF(IFERROR(VLOOKUP(A603,'7.植筋'!C:D,1,0),"")="","","✔")</f>
        <v/>
      </c>
      <c r="I603" s="98" t="str">
        <f>IF(IFERROR(VLOOKUP(A603,'8.預力混凝土基樁'!C:D,1,0),"")="","","✔")</f>
        <v/>
      </c>
      <c r="J603" s="98" t="str">
        <f>IF(IFERROR(VLOOKUP(A603,'9.砌塊石護岸'!C:D,1,0),"")="","","✔")</f>
        <v/>
      </c>
      <c r="K603" s="98" t="str">
        <f>IF(IFERROR(VLOOKUP(A603,'10.低水護岸'!C:D,1,0),"")="","","✔")</f>
        <v/>
      </c>
      <c r="L603" s="98" t="str">
        <f>IF(IFERROR(VLOOKUP(A603,'11.固床工'!C:D,1,0),"")="","","✔")</f>
        <v/>
      </c>
      <c r="M603" s="98" t="str">
        <f>IF(IFERROR(VLOOKUP(A603,'12.全套管基樁'!C:D,1,0),"")="","","✔")</f>
        <v/>
      </c>
      <c r="N603" s="98" t="str">
        <f>IF(IFERROR(VLOOKUP(A603,'13.鋼筋混凝土管工程'!C:D,1,0),"")="","","✔")</f>
        <v/>
      </c>
      <c r="O603" s="98" t="str">
        <f>IF(IFERROR(VLOOKUP(A603,'14.鋼版樁'!C:D,1,0),"")="","","✔")</f>
        <v/>
      </c>
      <c r="P603" s="98" t="str">
        <f>IF(IFERROR(VLOOKUP(A603,'15.路床 路基高程'!C:D,1,0),"")="","","✔")</f>
        <v/>
      </c>
      <c r="Q603" s="98" t="str">
        <f>IF(IFERROR(VLOOKUP(A603,'16.瀝青混凝土'!C:D,1,0),"")="","","✔")</f>
        <v/>
      </c>
      <c r="R603" s="98" t="str">
        <f>IF(IFERROR(VLOOKUP(A603,'17.景觀鋪面(一)'!C:D,1,0),"")="","","✔")</f>
        <v/>
      </c>
      <c r="S603" s="98" t="str">
        <f>IF(IFERROR(VLOOKUP(A603,'18.景觀鋪面(二)'!C:D,1,0),"")="","","✔")</f>
        <v/>
      </c>
      <c r="T603" s="98" t="str">
        <f>IF(IFERROR(VLOOKUP(A603,'19.預鑄緣石'!C:D,1,0),"")="","","✔")</f>
        <v/>
      </c>
      <c r="U603" s="98" t="str">
        <f>IF(IFERROR(VLOOKUP(A603,'20.鋼構工程吊裝'!C:D,1,0),"")="","","✔")</f>
        <v/>
      </c>
      <c r="V603" s="98" t="str">
        <f>IF(IFERROR(VLOOKUP(A603,'21.鋼構工程塗裝'!C:D,1,0),"")="","","✔")</f>
        <v/>
      </c>
      <c r="W603" s="98" t="str">
        <f>IF(IFERROR(VLOOKUP(A603,'22.排水設施(一)'!C:D,1,0),"")="","","✔")</f>
        <v/>
      </c>
      <c r="X603" s="98" t="str">
        <f>IF(IFERROR(VLOOKUP(A603,'23.排水設施(二)'!C:D,1,0),"")="","","✔")</f>
        <v/>
      </c>
      <c r="Y603" s="98" t="str">
        <f>IF(IFERROR(VLOOKUP(A603,'24.木構造'!C:D,1,0),"")="","","✔")</f>
        <v/>
      </c>
      <c r="Z603" s="98" t="str">
        <f>IF(IFERROR(VLOOKUP(A603,'25.管路'!C:D,1,0),"")="","","✔")</f>
        <v/>
      </c>
      <c r="AA603" s="98" t="str">
        <f>IF(IFERROR(VLOOKUP(A603,'26.植栽(移植)'!C:D,1,0),"")="","","✔")</f>
        <v/>
      </c>
      <c r="AB603" s="98" t="str">
        <f>IF(IFERROR(VLOOKUP(A603,'27.植栽(新植)'!C:D,1,0),"")="","","✔")</f>
        <v/>
      </c>
      <c r="AC603" s="98" t="str">
        <f>IF(IFERROR(VLOOKUP(A603,'28.照明'!C:D,1,0),"")="","","✔")</f>
        <v/>
      </c>
      <c r="AD603" s="98" t="str">
        <f>IF(IFERROR(VLOOKUP(A603,'29.既有橋梁拆除'!C:D,1,0),"")="","","✔")</f>
        <v/>
      </c>
    </row>
    <row r="604" spans="1:30" ht="21.75" customHeight="1" x14ac:dyDescent="0.25">
      <c r="A604" s="99">
        <v>45794</v>
      </c>
      <c r="B604" s="98" t="str">
        <f>IF(IFERROR(VLOOKUP(A604,'1.測量放樣'!C:D,1,0),"")="","","✔")</f>
        <v/>
      </c>
      <c r="C604" s="98" t="str">
        <f>IF(IFERROR(VLOOKUP(A604,'2.土方開挖'!C:D,1,0),"")="","","✔")</f>
        <v/>
      </c>
      <c r="D604" s="98" t="str">
        <f>IF(IFERROR(VLOOKUP(A604,'3.土方回填'!C:D,1,0),"")="","","✔")</f>
        <v/>
      </c>
      <c r="E604" s="98" t="str">
        <f>IF(IFERROR(VLOOKUP(A604,'4.鋼筋'!C:D,1,0),"")="","","✔")</f>
        <v/>
      </c>
      <c r="F604" s="98" t="str">
        <f>IF(IFERROR(VLOOKUP(A604,'5.模板'!C:D,1,0),"")="","","✔")</f>
        <v/>
      </c>
      <c r="G604" s="98" t="str">
        <f>IF(IFERROR(VLOOKUP(A604,'6.混凝土'!C:D,1,0),"")="","","✔")</f>
        <v/>
      </c>
      <c r="H604" s="98" t="str">
        <f>IF(IFERROR(VLOOKUP(A604,'7.植筋'!C:D,1,0),"")="","","✔")</f>
        <v/>
      </c>
      <c r="I604" s="98" t="str">
        <f>IF(IFERROR(VLOOKUP(A604,'8.預力混凝土基樁'!C:D,1,0),"")="","","✔")</f>
        <v/>
      </c>
      <c r="J604" s="98" t="str">
        <f>IF(IFERROR(VLOOKUP(A604,'9.砌塊石護岸'!C:D,1,0),"")="","","✔")</f>
        <v/>
      </c>
      <c r="K604" s="98" t="str">
        <f>IF(IFERROR(VLOOKUP(A604,'10.低水護岸'!C:D,1,0),"")="","","✔")</f>
        <v/>
      </c>
      <c r="L604" s="98" t="str">
        <f>IF(IFERROR(VLOOKUP(A604,'11.固床工'!C:D,1,0),"")="","","✔")</f>
        <v/>
      </c>
      <c r="M604" s="98" t="str">
        <f>IF(IFERROR(VLOOKUP(A604,'12.全套管基樁'!C:D,1,0),"")="","","✔")</f>
        <v/>
      </c>
      <c r="N604" s="98" t="str">
        <f>IF(IFERROR(VLOOKUP(A604,'13.鋼筋混凝土管工程'!C:D,1,0),"")="","","✔")</f>
        <v/>
      </c>
      <c r="O604" s="98" t="str">
        <f>IF(IFERROR(VLOOKUP(A604,'14.鋼版樁'!C:D,1,0),"")="","","✔")</f>
        <v/>
      </c>
      <c r="P604" s="98" t="str">
        <f>IF(IFERROR(VLOOKUP(A604,'15.路床 路基高程'!C:D,1,0),"")="","","✔")</f>
        <v/>
      </c>
      <c r="Q604" s="98" t="str">
        <f>IF(IFERROR(VLOOKUP(A604,'16.瀝青混凝土'!C:D,1,0),"")="","","✔")</f>
        <v/>
      </c>
      <c r="R604" s="98" t="str">
        <f>IF(IFERROR(VLOOKUP(A604,'17.景觀鋪面(一)'!C:D,1,0),"")="","","✔")</f>
        <v/>
      </c>
      <c r="S604" s="98" t="str">
        <f>IF(IFERROR(VLOOKUP(A604,'18.景觀鋪面(二)'!C:D,1,0),"")="","","✔")</f>
        <v/>
      </c>
      <c r="T604" s="98" t="str">
        <f>IF(IFERROR(VLOOKUP(A604,'19.預鑄緣石'!C:D,1,0),"")="","","✔")</f>
        <v/>
      </c>
      <c r="U604" s="98" t="str">
        <f>IF(IFERROR(VLOOKUP(A604,'20.鋼構工程吊裝'!C:D,1,0),"")="","","✔")</f>
        <v/>
      </c>
      <c r="V604" s="98" t="str">
        <f>IF(IFERROR(VLOOKUP(A604,'21.鋼構工程塗裝'!C:D,1,0),"")="","","✔")</f>
        <v/>
      </c>
      <c r="W604" s="98" t="str">
        <f>IF(IFERROR(VLOOKUP(A604,'22.排水設施(一)'!C:D,1,0),"")="","","✔")</f>
        <v/>
      </c>
      <c r="X604" s="98" t="str">
        <f>IF(IFERROR(VLOOKUP(A604,'23.排水設施(二)'!C:D,1,0),"")="","","✔")</f>
        <v/>
      </c>
      <c r="Y604" s="98" t="str">
        <f>IF(IFERROR(VLOOKUP(A604,'24.木構造'!C:D,1,0),"")="","","✔")</f>
        <v/>
      </c>
      <c r="Z604" s="98" t="str">
        <f>IF(IFERROR(VLOOKUP(A604,'25.管路'!C:D,1,0),"")="","","✔")</f>
        <v/>
      </c>
      <c r="AA604" s="98" t="str">
        <f>IF(IFERROR(VLOOKUP(A604,'26.植栽(移植)'!C:D,1,0),"")="","","✔")</f>
        <v/>
      </c>
      <c r="AB604" s="98" t="str">
        <f>IF(IFERROR(VLOOKUP(A604,'27.植栽(新植)'!C:D,1,0),"")="","","✔")</f>
        <v/>
      </c>
      <c r="AC604" s="98" t="str">
        <f>IF(IFERROR(VLOOKUP(A604,'28.照明'!C:D,1,0),"")="","","✔")</f>
        <v/>
      </c>
      <c r="AD604" s="98" t="str">
        <f>IF(IFERROR(VLOOKUP(A604,'29.既有橋梁拆除'!C:D,1,0),"")="","","✔")</f>
        <v/>
      </c>
    </row>
    <row r="605" spans="1:30" ht="21.75" customHeight="1" x14ac:dyDescent="0.25">
      <c r="A605" s="99">
        <v>45795</v>
      </c>
      <c r="B605" s="98" t="str">
        <f>IF(IFERROR(VLOOKUP(A605,'1.測量放樣'!C:D,1,0),"")="","","✔")</f>
        <v/>
      </c>
      <c r="C605" s="98" t="str">
        <f>IF(IFERROR(VLOOKUP(A605,'2.土方開挖'!C:D,1,0),"")="","","✔")</f>
        <v/>
      </c>
      <c r="D605" s="98" t="str">
        <f>IF(IFERROR(VLOOKUP(A605,'3.土方回填'!C:D,1,0),"")="","","✔")</f>
        <v/>
      </c>
      <c r="E605" s="98" t="str">
        <f>IF(IFERROR(VLOOKUP(A605,'4.鋼筋'!C:D,1,0),"")="","","✔")</f>
        <v/>
      </c>
      <c r="F605" s="98" t="str">
        <f>IF(IFERROR(VLOOKUP(A605,'5.模板'!C:D,1,0),"")="","","✔")</f>
        <v/>
      </c>
      <c r="G605" s="98" t="str">
        <f>IF(IFERROR(VLOOKUP(A605,'6.混凝土'!C:D,1,0),"")="","","✔")</f>
        <v/>
      </c>
      <c r="H605" s="98" t="str">
        <f>IF(IFERROR(VLOOKUP(A605,'7.植筋'!C:D,1,0),"")="","","✔")</f>
        <v/>
      </c>
      <c r="I605" s="98" t="str">
        <f>IF(IFERROR(VLOOKUP(A605,'8.預力混凝土基樁'!C:D,1,0),"")="","","✔")</f>
        <v/>
      </c>
      <c r="J605" s="98" t="str">
        <f>IF(IFERROR(VLOOKUP(A605,'9.砌塊石護岸'!C:D,1,0),"")="","","✔")</f>
        <v/>
      </c>
      <c r="K605" s="98" t="str">
        <f>IF(IFERROR(VLOOKUP(A605,'10.低水護岸'!C:D,1,0),"")="","","✔")</f>
        <v/>
      </c>
      <c r="L605" s="98" t="str">
        <f>IF(IFERROR(VLOOKUP(A605,'11.固床工'!C:D,1,0),"")="","","✔")</f>
        <v/>
      </c>
      <c r="M605" s="98" t="str">
        <f>IF(IFERROR(VLOOKUP(A605,'12.全套管基樁'!C:D,1,0),"")="","","✔")</f>
        <v/>
      </c>
      <c r="N605" s="98" t="str">
        <f>IF(IFERROR(VLOOKUP(A605,'13.鋼筋混凝土管工程'!C:D,1,0),"")="","","✔")</f>
        <v/>
      </c>
      <c r="O605" s="98" t="str">
        <f>IF(IFERROR(VLOOKUP(A605,'14.鋼版樁'!C:D,1,0),"")="","","✔")</f>
        <v/>
      </c>
      <c r="P605" s="98" t="str">
        <f>IF(IFERROR(VLOOKUP(A605,'15.路床 路基高程'!C:D,1,0),"")="","","✔")</f>
        <v/>
      </c>
      <c r="Q605" s="98" t="str">
        <f>IF(IFERROR(VLOOKUP(A605,'16.瀝青混凝土'!C:D,1,0),"")="","","✔")</f>
        <v/>
      </c>
      <c r="R605" s="98" t="str">
        <f>IF(IFERROR(VLOOKUP(A605,'17.景觀鋪面(一)'!C:D,1,0),"")="","","✔")</f>
        <v/>
      </c>
      <c r="S605" s="98" t="str">
        <f>IF(IFERROR(VLOOKUP(A605,'18.景觀鋪面(二)'!C:D,1,0),"")="","","✔")</f>
        <v/>
      </c>
      <c r="T605" s="98" t="str">
        <f>IF(IFERROR(VLOOKUP(A605,'19.預鑄緣石'!C:D,1,0),"")="","","✔")</f>
        <v/>
      </c>
      <c r="U605" s="98" t="str">
        <f>IF(IFERROR(VLOOKUP(A605,'20.鋼構工程吊裝'!C:D,1,0),"")="","","✔")</f>
        <v/>
      </c>
      <c r="V605" s="98" t="str">
        <f>IF(IFERROR(VLOOKUP(A605,'21.鋼構工程塗裝'!C:D,1,0),"")="","","✔")</f>
        <v/>
      </c>
      <c r="W605" s="98" t="str">
        <f>IF(IFERROR(VLOOKUP(A605,'22.排水設施(一)'!C:D,1,0),"")="","","✔")</f>
        <v/>
      </c>
      <c r="X605" s="98" t="str">
        <f>IF(IFERROR(VLOOKUP(A605,'23.排水設施(二)'!C:D,1,0),"")="","","✔")</f>
        <v/>
      </c>
      <c r="Y605" s="98" t="str">
        <f>IF(IFERROR(VLOOKUP(A605,'24.木構造'!C:D,1,0),"")="","","✔")</f>
        <v/>
      </c>
      <c r="Z605" s="98" t="str">
        <f>IF(IFERROR(VLOOKUP(A605,'25.管路'!C:D,1,0),"")="","","✔")</f>
        <v/>
      </c>
      <c r="AA605" s="98" t="str">
        <f>IF(IFERROR(VLOOKUP(A605,'26.植栽(移植)'!C:D,1,0),"")="","","✔")</f>
        <v/>
      </c>
      <c r="AB605" s="98" t="str">
        <f>IF(IFERROR(VLOOKUP(A605,'27.植栽(新植)'!C:D,1,0),"")="","","✔")</f>
        <v/>
      </c>
      <c r="AC605" s="98" t="str">
        <f>IF(IFERROR(VLOOKUP(A605,'28.照明'!C:D,1,0),"")="","","✔")</f>
        <v/>
      </c>
      <c r="AD605" s="98" t="str">
        <f>IF(IFERROR(VLOOKUP(A605,'29.既有橋梁拆除'!C:D,1,0),"")="","","✔")</f>
        <v/>
      </c>
    </row>
    <row r="606" spans="1:30" ht="21.75" customHeight="1" x14ac:dyDescent="0.25">
      <c r="A606" s="99">
        <v>45796</v>
      </c>
      <c r="B606" s="98" t="str">
        <f>IF(IFERROR(VLOOKUP(A606,'1.測量放樣'!C:D,1,0),"")="","","✔")</f>
        <v/>
      </c>
      <c r="C606" s="98" t="str">
        <f>IF(IFERROR(VLOOKUP(A606,'2.土方開挖'!C:D,1,0),"")="","","✔")</f>
        <v/>
      </c>
      <c r="D606" s="98" t="str">
        <f>IF(IFERROR(VLOOKUP(A606,'3.土方回填'!C:D,1,0),"")="","","✔")</f>
        <v/>
      </c>
      <c r="E606" s="98" t="str">
        <f>IF(IFERROR(VLOOKUP(A606,'4.鋼筋'!C:D,1,0),"")="","","✔")</f>
        <v/>
      </c>
      <c r="F606" s="98" t="str">
        <f>IF(IFERROR(VLOOKUP(A606,'5.模板'!C:D,1,0),"")="","","✔")</f>
        <v/>
      </c>
      <c r="G606" s="98" t="str">
        <f>IF(IFERROR(VLOOKUP(A606,'6.混凝土'!C:D,1,0),"")="","","✔")</f>
        <v/>
      </c>
      <c r="H606" s="98" t="str">
        <f>IF(IFERROR(VLOOKUP(A606,'7.植筋'!C:D,1,0),"")="","","✔")</f>
        <v/>
      </c>
      <c r="I606" s="98" t="str">
        <f>IF(IFERROR(VLOOKUP(A606,'8.預力混凝土基樁'!C:D,1,0),"")="","","✔")</f>
        <v/>
      </c>
      <c r="J606" s="98" t="str">
        <f>IF(IFERROR(VLOOKUP(A606,'9.砌塊石護岸'!C:D,1,0),"")="","","✔")</f>
        <v/>
      </c>
      <c r="K606" s="98" t="str">
        <f>IF(IFERROR(VLOOKUP(A606,'10.低水護岸'!C:D,1,0),"")="","","✔")</f>
        <v/>
      </c>
      <c r="L606" s="98" t="str">
        <f>IF(IFERROR(VLOOKUP(A606,'11.固床工'!C:D,1,0),"")="","","✔")</f>
        <v/>
      </c>
      <c r="M606" s="98" t="str">
        <f>IF(IFERROR(VLOOKUP(A606,'12.全套管基樁'!C:D,1,0),"")="","","✔")</f>
        <v/>
      </c>
      <c r="N606" s="98" t="str">
        <f>IF(IFERROR(VLOOKUP(A606,'13.鋼筋混凝土管工程'!C:D,1,0),"")="","","✔")</f>
        <v/>
      </c>
      <c r="O606" s="98" t="str">
        <f>IF(IFERROR(VLOOKUP(A606,'14.鋼版樁'!C:D,1,0),"")="","","✔")</f>
        <v/>
      </c>
      <c r="P606" s="98" t="str">
        <f>IF(IFERROR(VLOOKUP(A606,'15.路床 路基高程'!C:D,1,0),"")="","","✔")</f>
        <v/>
      </c>
      <c r="Q606" s="98" t="str">
        <f>IF(IFERROR(VLOOKUP(A606,'16.瀝青混凝土'!C:D,1,0),"")="","","✔")</f>
        <v/>
      </c>
      <c r="R606" s="98" t="str">
        <f>IF(IFERROR(VLOOKUP(A606,'17.景觀鋪面(一)'!C:D,1,0),"")="","","✔")</f>
        <v/>
      </c>
      <c r="S606" s="98" t="str">
        <f>IF(IFERROR(VLOOKUP(A606,'18.景觀鋪面(二)'!C:D,1,0),"")="","","✔")</f>
        <v/>
      </c>
      <c r="T606" s="98" t="str">
        <f>IF(IFERROR(VLOOKUP(A606,'19.預鑄緣石'!C:D,1,0),"")="","","✔")</f>
        <v/>
      </c>
      <c r="U606" s="98" t="str">
        <f>IF(IFERROR(VLOOKUP(A606,'20.鋼構工程吊裝'!C:D,1,0),"")="","","✔")</f>
        <v/>
      </c>
      <c r="V606" s="98" t="str">
        <f>IF(IFERROR(VLOOKUP(A606,'21.鋼構工程塗裝'!C:D,1,0),"")="","","✔")</f>
        <v/>
      </c>
      <c r="W606" s="98" t="str">
        <f>IF(IFERROR(VLOOKUP(A606,'22.排水設施(一)'!C:D,1,0),"")="","","✔")</f>
        <v/>
      </c>
      <c r="X606" s="98" t="str">
        <f>IF(IFERROR(VLOOKUP(A606,'23.排水設施(二)'!C:D,1,0),"")="","","✔")</f>
        <v/>
      </c>
      <c r="Y606" s="98" t="str">
        <f>IF(IFERROR(VLOOKUP(A606,'24.木構造'!C:D,1,0),"")="","","✔")</f>
        <v/>
      </c>
      <c r="Z606" s="98" t="str">
        <f>IF(IFERROR(VLOOKUP(A606,'25.管路'!C:D,1,0),"")="","","✔")</f>
        <v/>
      </c>
      <c r="AA606" s="98" t="str">
        <f>IF(IFERROR(VLOOKUP(A606,'26.植栽(移植)'!C:D,1,0),"")="","","✔")</f>
        <v/>
      </c>
      <c r="AB606" s="98" t="str">
        <f>IF(IFERROR(VLOOKUP(A606,'27.植栽(新植)'!C:D,1,0),"")="","","✔")</f>
        <v/>
      </c>
      <c r="AC606" s="98" t="str">
        <f>IF(IFERROR(VLOOKUP(A606,'28.照明'!C:D,1,0),"")="","","✔")</f>
        <v/>
      </c>
      <c r="AD606" s="98" t="str">
        <f>IF(IFERROR(VLOOKUP(A606,'29.既有橋梁拆除'!C:D,1,0),"")="","","✔")</f>
        <v/>
      </c>
    </row>
    <row r="607" spans="1:30" ht="21.75" customHeight="1" x14ac:dyDescent="0.25">
      <c r="A607" s="99">
        <v>45797</v>
      </c>
      <c r="B607" s="98" t="str">
        <f>IF(IFERROR(VLOOKUP(A607,'1.測量放樣'!C:D,1,0),"")="","","✔")</f>
        <v/>
      </c>
      <c r="C607" s="98" t="str">
        <f>IF(IFERROR(VLOOKUP(A607,'2.土方開挖'!C:D,1,0),"")="","","✔")</f>
        <v/>
      </c>
      <c r="D607" s="98" t="str">
        <f>IF(IFERROR(VLOOKUP(A607,'3.土方回填'!C:D,1,0),"")="","","✔")</f>
        <v/>
      </c>
      <c r="E607" s="98" t="str">
        <f>IF(IFERROR(VLOOKUP(A607,'4.鋼筋'!C:D,1,0),"")="","","✔")</f>
        <v/>
      </c>
      <c r="F607" s="98" t="str">
        <f>IF(IFERROR(VLOOKUP(A607,'5.模板'!C:D,1,0),"")="","","✔")</f>
        <v/>
      </c>
      <c r="G607" s="98" t="str">
        <f>IF(IFERROR(VLOOKUP(A607,'6.混凝土'!C:D,1,0),"")="","","✔")</f>
        <v/>
      </c>
      <c r="H607" s="98" t="str">
        <f>IF(IFERROR(VLOOKUP(A607,'7.植筋'!C:D,1,0),"")="","","✔")</f>
        <v/>
      </c>
      <c r="I607" s="98" t="str">
        <f>IF(IFERROR(VLOOKUP(A607,'8.預力混凝土基樁'!C:D,1,0),"")="","","✔")</f>
        <v/>
      </c>
      <c r="J607" s="98" t="str">
        <f>IF(IFERROR(VLOOKUP(A607,'9.砌塊石護岸'!C:D,1,0),"")="","","✔")</f>
        <v/>
      </c>
      <c r="K607" s="98" t="str">
        <f>IF(IFERROR(VLOOKUP(A607,'10.低水護岸'!C:D,1,0),"")="","","✔")</f>
        <v/>
      </c>
      <c r="L607" s="98" t="str">
        <f>IF(IFERROR(VLOOKUP(A607,'11.固床工'!C:D,1,0),"")="","","✔")</f>
        <v/>
      </c>
      <c r="M607" s="98" t="str">
        <f>IF(IFERROR(VLOOKUP(A607,'12.全套管基樁'!C:D,1,0),"")="","","✔")</f>
        <v/>
      </c>
      <c r="N607" s="98" t="str">
        <f>IF(IFERROR(VLOOKUP(A607,'13.鋼筋混凝土管工程'!C:D,1,0),"")="","","✔")</f>
        <v/>
      </c>
      <c r="O607" s="98" t="str">
        <f>IF(IFERROR(VLOOKUP(A607,'14.鋼版樁'!C:D,1,0),"")="","","✔")</f>
        <v/>
      </c>
      <c r="P607" s="98" t="str">
        <f>IF(IFERROR(VLOOKUP(A607,'15.路床 路基高程'!C:D,1,0),"")="","","✔")</f>
        <v/>
      </c>
      <c r="Q607" s="98" t="str">
        <f>IF(IFERROR(VLOOKUP(A607,'16.瀝青混凝土'!C:D,1,0),"")="","","✔")</f>
        <v/>
      </c>
      <c r="R607" s="98" t="str">
        <f>IF(IFERROR(VLOOKUP(A607,'17.景觀鋪面(一)'!C:D,1,0),"")="","","✔")</f>
        <v/>
      </c>
      <c r="S607" s="98" t="str">
        <f>IF(IFERROR(VLOOKUP(A607,'18.景觀鋪面(二)'!C:D,1,0),"")="","","✔")</f>
        <v/>
      </c>
      <c r="T607" s="98" t="str">
        <f>IF(IFERROR(VLOOKUP(A607,'19.預鑄緣石'!C:D,1,0),"")="","","✔")</f>
        <v/>
      </c>
      <c r="U607" s="98" t="str">
        <f>IF(IFERROR(VLOOKUP(A607,'20.鋼構工程吊裝'!C:D,1,0),"")="","","✔")</f>
        <v/>
      </c>
      <c r="V607" s="98" t="str">
        <f>IF(IFERROR(VLOOKUP(A607,'21.鋼構工程塗裝'!C:D,1,0),"")="","","✔")</f>
        <v/>
      </c>
      <c r="W607" s="98" t="str">
        <f>IF(IFERROR(VLOOKUP(A607,'22.排水設施(一)'!C:D,1,0),"")="","","✔")</f>
        <v/>
      </c>
      <c r="X607" s="98" t="str">
        <f>IF(IFERROR(VLOOKUP(A607,'23.排水設施(二)'!C:D,1,0),"")="","","✔")</f>
        <v/>
      </c>
      <c r="Y607" s="98" t="str">
        <f>IF(IFERROR(VLOOKUP(A607,'24.木構造'!C:D,1,0),"")="","","✔")</f>
        <v/>
      </c>
      <c r="Z607" s="98" t="str">
        <f>IF(IFERROR(VLOOKUP(A607,'25.管路'!C:D,1,0),"")="","","✔")</f>
        <v/>
      </c>
      <c r="AA607" s="98" t="str">
        <f>IF(IFERROR(VLOOKUP(A607,'26.植栽(移植)'!C:D,1,0),"")="","","✔")</f>
        <v/>
      </c>
      <c r="AB607" s="98" t="str">
        <f>IF(IFERROR(VLOOKUP(A607,'27.植栽(新植)'!C:D,1,0),"")="","","✔")</f>
        <v/>
      </c>
      <c r="AC607" s="98" t="str">
        <f>IF(IFERROR(VLOOKUP(A607,'28.照明'!C:D,1,0),"")="","","✔")</f>
        <v/>
      </c>
      <c r="AD607" s="98" t="str">
        <f>IF(IFERROR(VLOOKUP(A607,'29.既有橋梁拆除'!C:D,1,0),"")="","","✔")</f>
        <v/>
      </c>
    </row>
    <row r="608" spans="1:30" ht="21.75" customHeight="1" x14ac:dyDescent="0.25">
      <c r="A608" s="99">
        <v>45798</v>
      </c>
      <c r="B608" s="98" t="str">
        <f>IF(IFERROR(VLOOKUP(A608,'1.測量放樣'!C:D,1,0),"")="","","✔")</f>
        <v/>
      </c>
      <c r="C608" s="98" t="str">
        <f>IF(IFERROR(VLOOKUP(A608,'2.土方開挖'!C:D,1,0),"")="","","✔")</f>
        <v/>
      </c>
      <c r="D608" s="98" t="str">
        <f>IF(IFERROR(VLOOKUP(A608,'3.土方回填'!C:D,1,0),"")="","","✔")</f>
        <v/>
      </c>
      <c r="E608" s="98" t="str">
        <f>IF(IFERROR(VLOOKUP(A608,'4.鋼筋'!C:D,1,0),"")="","","✔")</f>
        <v/>
      </c>
      <c r="F608" s="98" t="str">
        <f>IF(IFERROR(VLOOKUP(A608,'5.模板'!C:D,1,0),"")="","","✔")</f>
        <v/>
      </c>
      <c r="G608" s="98" t="str">
        <f>IF(IFERROR(VLOOKUP(A608,'6.混凝土'!C:D,1,0),"")="","","✔")</f>
        <v/>
      </c>
      <c r="H608" s="98" t="str">
        <f>IF(IFERROR(VLOOKUP(A608,'7.植筋'!C:D,1,0),"")="","","✔")</f>
        <v/>
      </c>
      <c r="I608" s="98" t="str">
        <f>IF(IFERROR(VLOOKUP(A608,'8.預力混凝土基樁'!C:D,1,0),"")="","","✔")</f>
        <v/>
      </c>
      <c r="J608" s="98" t="str">
        <f>IF(IFERROR(VLOOKUP(A608,'9.砌塊石護岸'!C:D,1,0),"")="","","✔")</f>
        <v/>
      </c>
      <c r="K608" s="98" t="str">
        <f>IF(IFERROR(VLOOKUP(A608,'10.低水護岸'!C:D,1,0),"")="","","✔")</f>
        <v/>
      </c>
      <c r="L608" s="98" t="str">
        <f>IF(IFERROR(VLOOKUP(A608,'11.固床工'!C:D,1,0),"")="","","✔")</f>
        <v/>
      </c>
      <c r="M608" s="98" t="str">
        <f>IF(IFERROR(VLOOKUP(A608,'12.全套管基樁'!C:D,1,0),"")="","","✔")</f>
        <v/>
      </c>
      <c r="N608" s="98" t="str">
        <f>IF(IFERROR(VLOOKUP(A608,'13.鋼筋混凝土管工程'!C:D,1,0),"")="","","✔")</f>
        <v/>
      </c>
      <c r="O608" s="98" t="str">
        <f>IF(IFERROR(VLOOKUP(A608,'14.鋼版樁'!C:D,1,0),"")="","","✔")</f>
        <v/>
      </c>
      <c r="P608" s="98" t="str">
        <f>IF(IFERROR(VLOOKUP(A608,'15.路床 路基高程'!C:D,1,0),"")="","","✔")</f>
        <v/>
      </c>
      <c r="Q608" s="98" t="str">
        <f>IF(IFERROR(VLOOKUP(A608,'16.瀝青混凝土'!C:D,1,0),"")="","","✔")</f>
        <v/>
      </c>
      <c r="R608" s="98" t="str">
        <f>IF(IFERROR(VLOOKUP(A608,'17.景觀鋪面(一)'!C:D,1,0),"")="","","✔")</f>
        <v/>
      </c>
      <c r="S608" s="98" t="str">
        <f>IF(IFERROR(VLOOKUP(A608,'18.景觀鋪面(二)'!C:D,1,0),"")="","","✔")</f>
        <v/>
      </c>
      <c r="T608" s="98" t="str">
        <f>IF(IFERROR(VLOOKUP(A608,'19.預鑄緣石'!C:D,1,0),"")="","","✔")</f>
        <v/>
      </c>
      <c r="U608" s="98" t="str">
        <f>IF(IFERROR(VLOOKUP(A608,'20.鋼構工程吊裝'!C:D,1,0),"")="","","✔")</f>
        <v/>
      </c>
      <c r="V608" s="98" t="str">
        <f>IF(IFERROR(VLOOKUP(A608,'21.鋼構工程塗裝'!C:D,1,0),"")="","","✔")</f>
        <v/>
      </c>
      <c r="W608" s="98" t="str">
        <f>IF(IFERROR(VLOOKUP(A608,'22.排水設施(一)'!C:D,1,0),"")="","","✔")</f>
        <v/>
      </c>
      <c r="X608" s="98" t="str">
        <f>IF(IFERROR(VLOOKUP(A608,'23.排水設施(二)'!C:D,1,0),"")="","","✔")</f>
        <v/>
      </c>
      <c r="Y608" s="98" t="str">
        <f>IF(IFERROR(VLOOKUP(A608,'24.木構造'!C:D,1,0),"")="","","✔")</f>
        <v/>
      </c>
      <c r="Z608" s="98" t="str">
        <f>IF(IFERROR(VLOOKUP(A608,'25.管路'!C:D,1,0),"")="","","✔")</f>
        <v/>
      </c>
      <c r="AA608" s="98" t="str">
        <f>IF(IFERROR(VLOOKUP(A608,'26.植栽(移植)'!C:D,1,0),"")="","","✔")</f>
        <v/>
      </c>
      <c r="AB608" s="98" t="str">
        <f>IF(IFERROR(VLOOKUP(A608,'27.植栽(新植)'!C:D,1,0),"")="","","✔")</f>
        <v/>
      </c>
      <c r="AC608" s="98" t="str">
        <f>IF(IFERROR(VLOOKUP(A608,'28.照明'!C:D,1,0),"")="","","✔")</f>
        <v/>
      </c>
      <c r="AD608" s="98" t="str">
        <f>IF(IFERROR(VLOOKUP(A608,'29.既有橋梁拆除'!C:D,1,0),"")="","","✔")</f>
        <v/>
      </c>
    </row>
    <row r="609" spans="1:30" ht="21.75" customHeight="1" x14ac:dyDescent="0.25">
      <c r="A609" s="99">
        <v>45799</v>
      </c>
      <c r="B609" s="98" t="str">
        <f>IF(IFERROR(VLOOKUP(A609,'1.測量放樣'!C:D,1,0),"")="","","✔")</f>
        <v/>
      </c>
      <c r="C609" s="98" t="str">
        <f>IF(IFERROR(VLOOKUP(A609,'2.土方開挖'!C:D,1,0),"")="","","✔")</f>
        <v/>
      </c>
      <c r="D609" s="98" t="str">
        <f>IF(IFERROR(VLOOKUP(A609,'3.土方回填'!C:D,1,0),"")="","","✔")</f>
        <v/>
      </c>
      <c r="E609" s="98" t="str">
        <f>IF(IFERROR(VLOOKUP(A609,'4.鋼筋'!C:D,1,0),"")="","","✔")</f>
        <v/>
      </c>
      <c r="F609" s="98" t="str">
        <f>IF(IFERROR(VLOOKUP(A609,'5.模板'!C:D,1,0),"")="","","✔")</f>
        <v/>
      </c>
      <c r="G609" s="98" t="str">
        <f>IF(IFERROR(VLOOKUP(A609,'6.混凝土'!C:D,1,0),"")="","","✔")</f>
        <v/>
      </c>
      <c r="H609" s="98" t="str">
        <f>IF(IFERROR(VLOOKUP(A609,'7.植筋'!C:D,1,0),"")="","","✔")</f>
        <v/>
      </c>
      <c r="I609" s="98" t="str">
        <f>IF(IFERROR(VLOOKUP(A609,'8.預力混凝土基樁'!C:D,1,0),"")="","","✔")</f>
        <v/>
      </c>
      <c r="J609" s="98" t="str">
        <f>IF(IFERROR(VLOOKUP(A609,'9.砌塊石護岸'!C:D,1,0),"")="","","✔")</f>
        <v/>
      </c>
      <c r="K609" s="98" t="str">
        <f>IF(IFERROR(VLOOKUP(A609,'10.低水護岸'!C:D,1,0),"")="","","✔")</f>
        <v/>
      </c>
      <c r="L609" s="98" t="str">
        <f>IF(IFERROR(VLOOKUP(A609,'11.固床工'!C:D,1,0),"")="","","✔")</f>
        <v/>
      </c>
      <c r="M609" s="98" t="str">
        <f>IF(IFERROR(VLOOKUP(A609,'12.全套管基樁'!C:D,1,0),"")="","","✔")</f>
        <v/>
      </c>
      <c r="N609" s="98" t="str">
        <f>IF(IFERROR(VLOOKUP(A609,'13.鋼筋混凝土管工程'!C:D,1,0),"")="","","✔")</f>
        <v/>
      </c>
      <c r="O609" s="98" t="str">
        <f>IF(IFERROR(VLOOKUP(A609,'14.鋼版樁'!C:D,1,0),"")="","","✔")</f>
        <v/>
      </c>
      <c r="P609" s="98" t="str">
        <f>IF(IFERROR(VLOOKUP(A609,'15.路床 路基高程'!C:D,1,0),"")="","","✔")</f>
        <v/>
      </c>
      <c r="Q609" s="98" t="str">
        <f>IF(IFERROR(VLOOKUP(A609,'16.瀝青混凝土'!C:D,1,0),"")="","","✔")</f>
        <v/>
      </c>
      <c r="R609" s="98" t="str">
        <f>IF(IFERROR(VLOOKUP(A609,'17.景觀鋪面(一)'!C:D,1,0),"")="","","✔")</f>
        <v/>
      </c>
      <c r="S609" s="98" t="str">
        <f>IF(IFERROR(VLOOKUP(A609,'18.景觀鋪面(二)'!C:D,1,0),"")="","","✔")</f>
        <v/>
      </c>
      <c r="T609" s="98" t="str">
        <f>IF(IFERROR(VLOOKUP(A609,'19.預鑄緣石'!C:D,1,0),"")="","","✔")</f>
        <v/>
      </c>
      <c r="U609" s="98" t="str">
        <f>IF(IFERROR(VLOOKUP(A609,'20.鋼構工程吊裝'!C:D,1,0),"")="","","✔")</f>
        <v/>
      </c>
      <c r="V609" s="98" t="str">
        <f>IF(IFERROR(VLOOKUP(A609,'21.鋼構工程塗裝'!C:D,1,0),"")="","","✔")</f>
        <v/>
      </c>
      <c r="W609" s="98" t="str">
        <f>IF(IFERROR(VLOOKUP(A609,'22.排水設施(一)'!C:D,1,0),"")="","","✔")</f>
        <v/>
      </c>
      <c r="X609" s="98" t="str">
        <f>IF(IFERROR(VLOOKUP(A609,'23.排水設施(二)'!C:D,1,0),"")="","","✔")</f>
        <v/>
      </c>
      <c r="Y609" s="98" t="str">
        <f>IF(IFERROR(VLOOKUP(A609,'24.木構造'!C:D,1,0),"")="","","✔")</f>
        <v/>
      </c>
      <c r="Z609" s="98" t="str">
        <f>IF(IFERROR(VLOOKUP(A609,'25.管路'!C:D,1,0),"")="","","✔")</f>
        <v/>
      </c>
      <c r="AA609" s="98" t="str">
        <f>IF(IFERROR(VLOOKUP(A609,'26.植栽(移植)'!C:D,1,0),"")="","","✔")</f>
        <v/>
      </c>
      <c r="AB609" s="98" t="str">
        <f>IF(IFERROR(VLOOKUP(A609,'27.植栽(新植)'!C:D,1,0),"")="","","✔")</f>
        <v/>
      </c>
      <c r="AC609" s="98" t="str">
        <f>IF(IFERROR(VLOOKUP(A609,'28.照明'!C:D,1,0),"")="","","✔")</f>
        <v/>
      </c>
      <c r="AD609" s="98" t="str">
        <f>IF(IFERROR(VLOOKUP(A609,'29.既有橋梁拆除'!C:D,1,0),"")="","","✔")</f>
        <v/>
      </c>
    </row>
    <row r="610" spans="1:30" ht="21.75" customHeight="1" x14ac:dyDescent="0.25">
      <c r="A610" s="99">
        <v>45800</v>
      </c>
      <c r="B610" s="98" t="str">
        <f>IF(IFERROR(VLOOKUP(A610,'1.測量放樣'!C:D,1,0),"")="","","✔")</f>
        <v/>
      </c>
      <c r="C610" s="98" t="str">
        <f>IF(IFERROR(VLOOKUP(A610,'2.土方開挖'!C:D,1,0),"")="","","✔")</f>
        <v/>
      </c>
      <c r="D610" s="98" t="str">
        <f>IF(IFERROR(VLOOKUP(A610,'3.土方回填'!C:D,1,0),"")="","","✔")</f>
        <v/>
      </c>
      <c r="E610" s="98" t="str">
        <f>IF(IFERROR(VLOOKUP(A610,'4.鋼筋'!C:D,1,0),"")="","","✔")</f>
        <v/>
      </c>
      <c r="F610" s="98" t="str">
        <f>IF(IFERROR(VLOOKUP(A610,'5.模板'!C:D,1,0),"")="","","✔")</f>
        <v/>
      </c>
      <c r="G610" s="98" t="str">
        <f>IF(IFERROR(VLOOKUP(A610,'6.混凝土'!C:D,1,0),"")="","","✔")</f>
        <v/>
      </c>
      <c r="H610" s="98" t="str">
        <f>IF(IFERROR(VLOOKUP(A610,'7.植筋'!C:D,1,0),"")="","","✔")</f>
        <v/>
      </c>
      <c r="I610" s="98" t="str">
        <f>IF(IFERROR(VLOOKUP(A610,'8.預力混凝土基樁'!C:D,1,0),"")="","","✔")</f>
        <v/>
      </c>
      <c r="J610" s="98" t="str">
        <f>IF(IFERROR(VLOOKUP(A610,'9.砌塊石護岸'!C:D,1,0),"")="","","✔")</f>
        <v/>
      </c>
      <c r="K610" s="98" t="str">
        <f>IF(IFERROR(VLOOKUP(A610,'10.低水護岸'!C:D,1,0),"")="","","✔")</f>
        <v/>
      </c>
      <c r="L610" s="98" t="str">
        <f>IF(IFERROR(VLOOKUP(A610,'11.固床工'!C:D,1,0),"")="","","✔")</f>
        <v/>
      </c>
      <c r="M610" s="98" t="str">
        <f>IF(IFERROR(VLOOKUP(A610,'12.全套管基樁'!C:D,1,0),"")="","","✔")</f>
        <v/>
      </c>
      <c r="N610" s="98" t="str">
        <f>IF(IFERROR(VLOOKUP(A610,'13.鋼筋混凝土管工程'!C:D,1,0),"")="","","✔")</f>
        <v/>
      </c>
      <c r="O610" s="98" t="str">
        <f>IF(IFERROR(VLOOKUP(A610,'14.鋼版樁'!C:D,1,0),"")="","","✔")</f>
        <v/>
      </c>
      <c r="P610" s="98" t="str">
        <f>IF(IFERROR(VLOOKUP(A610,'15.路床 路基高程'!C:D,1,0),"")="","","✔")</f>
        <v/>
      </c>
      <c r="Q610" s="98" t="str">
        <f>IF(IFERROR(VLOOKUP(A610,'16.瀝青混凝土'!C:D,1,0),"")="","","✔")</f>
        <v/>
      </c>
      <c r="R610" s="98" t="str">
        <f>IF(IFERROR(VLOOKUP(A610,'17.景觀鋪面(一)'!C:D,1,0),"")="","","✔")</f>
        <v/>
      </c>
      <c r="S610" s="98" t="str">
        <f>IF(IFERROR(VLOOKUP(A610,'18.景觀鋪面(二)'!C:D,1,0),"")="","","✔")</f>
        <v/>
      </c>
      <c r="T610" s="98" t="str">
        <f>IF(IFERROR(VLOOKUP(A610,'19.預鑄緣石'!C:D,1,0),"")="","","✔")</f>
        <v/>
      </c>
      <c r="U610" s="98" t="str">
        <f>IF(IFERROR(VLOOKUP(A610,'20.鋼構工程吊裝'!C:D,1,0),"")="","","✔")</f>
        <v/>
      </c>
      <c r="V610" s="98" t="str">
        <f>IF(IFERROR(VLOOKUP(A610,'21.鋼構工程塗裝'!C:D,1,0),"")="","","✔")</f>
        <v/>
      </c>
      <c r="W610" s="98" t="str">
        <f>IF(IFERROR(VLOOKUP(A610,'22.排水設施(一)'!C:D,1,0),"")="","","✔")</f>
        <v/>
      </c>
      <c r="X610" s="98" t="str">
        <f>IF(IFERROR(VLOOKUP(A610,'23.排水設施(二)'!C:D,1,0),"")="","","✔")</f>
        <v/>
      </c>
      <c r="Y610" s="98" t="str">
        <f>IF(IFERROR(VLOOKUP(A610,'24.木構造'!C:D,1,0),"")="","","✔")</f>
        <v/>
      </c>
      <c r="Z610" s="98" t="str">
        <f>IF(IFERROR(VLOOKUP(A610,'25.管路'!C:D,1,0),"")="","","✔")</f>
        <v/>
      </c>
      <c r="AA610" s="98" t="str">
        <f>IF(IFERROR(VLOOKUP(A610,'26.植栽(移植)'!C:D,1,0),"")="","","✔")</f>
        <v/>
      </c>
      <c r="AB610" s="98" t="str">
        <f>IF(IFERROR(VLOOKUP(A610,'27.植栽(新植)'!C:D,1,0),"")="","","✔")</f>
        <v/>
      </c>
      <c r="AC610" s="98" t="str">
        <f>IF(IFERROR(VLOOKUP(A610,'28.照明'!C:D,1,0),"")="","","✔")</f>
        <v/>
      </c>
      <c r="AD610" s="98" t="str">
        <f>IF(IFERROR(VLOOKUP(A610,'29.既有橋梁拆除'!C:D,1,0),"")="","","✔")</f>
        <v/>
      </c>
    </row>
    <row r="611" spans="1:30" ht="21.75" customHeight="1" x14ac:dyDescent="0.25">
      <c r="A611" s="99">
        <v>45801</v>
      </c>
      <c r="B611" s="98" t="str">
        <f>IF(IFERROR(VLOOKUP(A611,'1.測量放樣'!C:D,1,0),"")="","","✔")</f>
        <v/>
      </c>
      <c r="C611" s="98" t="str">
        <f>IF(IFERROR(VLOOKUP(A611,'2.土方開挖'!C:D,1,0),"")="","","✔")</f>
        <v/>
      </c>
      <c r="D611" s="98" t="str">
        <f>IF(IFERROR(VLOOKUP(A611,'3.土方回填'!C:D,1,0),"")="","","✔")</f>
        <v/>
      </c>
      <c r="E611" s="98" t="str">
        <f>IF(IFERROR(VLOOKUP(A611,'4.鋼筋'!C:D,1,0),"")="","","✔")</f>
        <v/>
      </c>
      <c r="F611" s="98" t="str">
        <f>IF(IFERROR(VLOOKUP(A611,'5.模板'!C:D,1,0),"")="","","✔")</f>
        <v/>
      </c>
      <c r="G611" s="98" t="str">
        <f>IF(IFERROR(VLOOKUP(A611,'6.混凝土'!C:D,1,0),"")="","","✔")</f>
        <v/>
      </c>
      <c r="H611" s="98" t="str">
        <f>IF(IFERROR(VLOOKUP(A611,'7.植筋'!C:D,1,0),"")="","","✔")</f>
        <v/>
      </c>
      <c r="I611" s="98" t="str">
        <f>IF(IFERROR(VLOOKUP(A611,'8.預力混凝土基樁'!C:D,1,0),"")="","","✔")</f>
        <v/>
      </c>
      <c r="J611" s="98" t="str">
        <f>IF(IFERROR(VLOOKUP(A611,'9.砌塊石護岸'!C:D,1,0),"")="","","✔")</f>
        <v/>
      </c>
      <c r="K611" s="98" t="str">
        <f>IF(IFERROR(VLOOKUP(A611,'10.低水護岸'!C:D,1,0),"")="","","✔")</f>
        <v/>
      </c>
      <c r="L611" s="98" t="str">
        <f>IF(IFERROR(VLOOKUP(A611,'11.固床工'!C:D,1,0),"")="","","✔")</f>
        <v/>
      </c>
      <c r="M611" s="98" t="str">
        <f>IF(IFERROR(VLOOKUP(A611,'12.全套管基樁'!C:D,1,0),"")="","","✔")</f>
        <v/>
      </c>
      <c r="N611" s="98" t="str">
        <f>IF(IFERROR(VLOOKUP(A611,'13.鋼筋混凝土管工程'!C:D,1,0),"")="","","✔")</f>
        <v/>
      </c>
      <c r="O611" s="98" t="str">
        <f>IF(IFERROR(VLOOKUP(A611,'14.鋼版樁'!C:D,1,0),"")="","","✔")</f>
        <v/>
      </c>
      <c r="P611" s="98" t="str">
        <f>IF(IFERROR(VLOOKUP(A611,'15.路床 路基高程'!C:D,1,0),"")="","","✔")</f>
        <v/>
      </c>
      <c r="Q611" s="98" t="str">
        <f>IF(IFERROR(VLOOKUP(A611,'16.瀝青混凝土'!C:D,1,0),"")="","","✔")</f>
        <v/>
      </c>
      <c r="R611" s="98" t="str">
        <f>IF(IFERROR(VLOOKUP(A611,'17.景觀鋪面(一)'!C:D,1,0),"")="","","✔")</f>
        <v/>
      </c>
      <c r="S611" s="98" t="str">
        <f>IF(IFERROR(VLOOKUP(A611,'18.景觀鋪面(二)'!C:D,1,0),"")="","","✔")</f>
        <v/>
      </c>
      <c r="T611" s="98" t="str">
        <f>IF(IFERROR(VLOOKUP(A611,'19.預鑄緣石'!C:D,1,0),"")="","","✔")</f>
        <v/>
      </c>
      <c r="U611" s="98" t="str">
        <f>IF(IFERROR(VLOOKUP(A611,'20.鋼構工程吊裝'!C:D,1,0),"")="","","✔")</f>
        <v/>
      </c>
      <c r="V611" s="98" t="str">
        <f>IF(IFERROR(VLOOKUP(A611,'21.鋼構工程塗裝'!C:D,1,0),"")="","","✔")</f>
        <v/>
      </c>
      <c r="W611" s="98" t="str">
        <f>IF(IFERROR(VLOOKUP(A611,'22.排水設施(一)'!C:D,1,0),"")="","","✔")</f>
        <v/>
      </c>
      <c r="X611" s="98" t="str">
        <f>IF(IFERROR(VLOOKUP(A611,'23.排水設施(二)'!C:D,1,0),"")="","","✔")</f>
        <v/>
      </c>
      <c r="Y611" s="98" t="str">
        <f>IF(IFERROR(VLOOKUP(A611,'24.木構造'!C:D,1,0),"")="","","✔")</f>
        <v/>
      </c>
      <c r="Z611" s="98" t="str">
        <f>IF(IFERROR(VLOOKUP(A611,'25.管路'!C:D,1,0),"")="","","✔")</f>
        <v/>
      </c>
      <c r="AA611" s="98" t="str">
        <f>IF(IFERROR(VLOOKUP(A611,'26.植栽(移植)'!C:D,1,0),"")="","","✔")</f>
        <v/>
      </c>
      <c r="AB611" s="98" t="str">
        <f>IF(IFERROR(VLOOKUP(A611,'27.植栽(新植)'!C:D,1,0),"")="","","✔")</f>
        <v/>
      </c>
      <c r="AC611" s="98" t="str">
        <f>IF(IFERROR(VLOOKUP(A611,'28.照明'!C:D,1,0),"")="","","✔")</f>
        <v/>
      </c>
      <c r="AD611" s="98" t="str">
        <f>IF(IFERROR(VLOOKUP(A611,'29.既有橋梁拆除'!C:D,1,0),"")="","","✔")</f>
        <v/>
      </c>
    </row>
    <row r="612" spans="1:30" ht="21.75" customHeight="1" x14ac:dyDescent="0.25">
      <c r="A612" s="99">
        <v>45802</v>
      </c>
      <c r="B612" s="98" t="str">
        <f>IF(IFERROR(VLOOKUP(A612,'1.測量放樣'!C:D,1,0),"")="","","✔")</f>
        <v/>
      </c>
      <c r="C612" s="98" t="str">
        <f>IF(IFERROR(VLOOKUP(A612,'2.土方開挖'!C:D,1,0),"")="","","✔")</f>
        <v/>
      </c>
      <c r="D612" s="98" t="str">
        <f>IF(IFERROR(VLOOKUP(A612,'3.土方回填'!C:D,1,0),"")="","","✔")</f>
        <v/>
      </c>
      <c r="E612" s="98" t="str">
        <f>IF(IFERROR(VLOOKUP(A612,'4.鋼筋'!C:D,1,0),"")="","","✔")</f>
        <v/>
      </c>
      <c r="F612" s="98" t="str">
        <f>IF(IFERROR(VLOOKUP(A612,'5.模板'!C:D,1,0),"")="","","✔")</f>
        <v/>
      </c>
      <c r="G612" s="98" t="str">
        <f>IF(IFERROR(VLOOKUP(A612,'6.混凝土'!C:D,1,0),"")="","","✔")</f>
        <v/>
      </c>
      <c r="H612" s="98" t="str">
        <f>IF(IFERROR(VLOOKUP(A612,'7.植筋'!C:D,1,0),"")="","","✔")</f>
        <v/>
      </c>
      <c r="I612" s="98" t="str">
        <f>IF(IFERROR(VLOOKUP(A612,'8.預力混凝土基樁'!C:D,1,0),"")="","","✔")</f>
        <v/>
      </c>
      <c r="J612" s="98" t="str">
        <f>IF(IFERROR(VLOOKUP(A612,'9.砌塊石護岸'!C:D,1,0),"")="","","✔")</f>
        <v/>
      </c>
      <c r="K612" s="98" t="str">
        <f>IF(IFERROR(VLOOKUP(A612,'10.低水護岸'!C:D,1,0),"")="","","✔")</f>
        <v/>
      </c>
      <c r="L612" s="98" t="str">
        <f>IF(IFERROR(VLOOKUP(A612,'11.固床工'!C:D,1,0),"")="","","✔")</f>
        <v/>
      </c>
      <c r="M612" s="98" t="str">
        <f>IF(IFERROR(VLOOKUP(A612,'12.全套管基樁'!C:D,1,0),"")="","","✔")</f>
        <v/>
      </c>
      <c r="N612" s="98" t="str">
        <f>IF(IFERROR(VLOOKUP(A612,'13.鋼筋混凝土管工程'!C:D,1,0),"")="","","✔")</f>
        <v/>
      </c>
      <c r="O612" s="98" t="str">
        <f>IF(IFERROR(VLOOKUP(A612,'14.鋼版樁'!C:D,1,0),"")="","","✔")</f>
        <v/>
      </c>
      <c r="P612" s="98" t="str">
        <f>IF(IFERROR(VLOOKUP(A612,'15.路床 路基高程'!C:D,1,0),"")="","","✔")</f>
        <v/>
      </c>
      <c r="Q612" s="98" t="str">
        <f>IF(IFERROR(VLOOKUP(A612,'16.瀝青混凝土'!C:D,1,0),"")="","","✔")</f>
        <v/>
      </c>
      <c r="R612" s="98" t="str">
        <f>IF(IFERROR(VLOOKUP(A612,'17.景觀鋪面(一)'!C:D,1,0),"")="","","✔")</f>
        <v/>
      </c>
      <c r="S612" s="98" t="str">
        <f>IF(IFERROR(VLOOKUP(A612,'18.景觀鋪面(二)'!C:D,1,0),"")="","","✔")</f>
        <v/>
      </c>
      <c r="T612" s="98" t="str">
        <f>IF(IFERROR(VLOOKUP(A612,'19.預鑄緣石'!C:D,1,0),"")="","","✔")</f>
        <v/>
      </c>
      <c r="U612" s="98" t="str">
        <f>IF(IFERROR(VLOOKUP(A612,'20.鋼構工程吊裝'!C:D,1,0),"")="","","✔")</f>
        <v/>
      </c>
      <c r="V612" s="98" t="str">
        <f>IF(IFERROR(VLOOKUP(A612,'21.鋼構工程塗裝'!C:D,1,0),"")="","","✔")</f>
        <v/>
      </c>
      <c r="W612" s="98" t="str">
        <f>IF(IFERROR(VLOOKUP(A612,'22.排水設施(一)'!C:D,1,0),"")="","","✔")</f>
        <v/>
      </c>
      <c r="X612" s="98" t="str">
        <f>IF(IFERROR(VLOOKUP(A612,'23.排水設施(二)'!C:D,1,0),"")="","","✔")</f>
        <v/>
      </c>
      <c r="Y612" s="98" t="str">
        <f>IF(IFERROR(VLOOKUP(A612,'24.木構造'!C:D,1,0),"")="","","✔")</f>
        <v/>
      </c>
      <c r="Z612" s="98" t="str">
        <f>IF(IFERROR(VLOOKUP(A612,'25.管路'!C:D,1,0),"")="","","✔")</f>
        <v/>
      </c>
      <c r="AA612" s="98" t="str">
        <f>IF(IFERROR(VLOOKUP(A612,'26.植栽(移植)'!C:D,1,0),"")="","","✔")</f>
        <v/>
      </c>
      <c r="AB612" s="98" t="str">
        <f>IF(IFERROR(VLOOKUP(A612,'27.植栽(新植)'!C:D,1,0),"")="","","✔")</f>
        <v/>
      </c>
      <c r="AC612" s="98" t="str">
        <f>IF(IFERROR(VLOOKUP(A612,'28.照明'!C:D,1,0),"")="","","✔")</f>
        <v/>
      </c>
      <c r="AD612" s="98" t="str">
        <f>IF(IFERROR(VLOOKUP(A612,'29.既有橋梁拆除'!C:D,1,0),"")="","","✔")</f>
        <v/>
      </c>
    </row>
    <row r="613" spans="1:30" ht="21.75" customHeight="1" x14ac:dyDescent="0.25">
      <c r="A613" s="99">
        <v>45803</v>
      </c>
      <c r="B613" s="98" t="str">
        <f>IF(IFERROR(VLOOKUP(A613,'1.測量放樣'!C:D,1,0),"")="","","✔")</f>
        <v/>
      </c>
      <c r="C613" s="98" t="str">
        <f>IF(IFERROR(VLOOKUP(A613,'2.土方開挖'!C:D,1,0),"")="","","✔")</f>
        <v/>
      </c>
      <c r="D613" s="98" t="str">
        <f>IF(IFERROR(VLOOKUP(A613,'3.土方回填'!C:D,1,0),"")="","","✔")</f>
        <v/>
      </c>
      <c r="E613" s="98" t="str">
        <f>IF(IFERROR(VLOOKUP(A613,'4.鋼筋'!C:D,1,0),"")="","","✔")</f>
        <v/>
      </c>
      <c r="F613" s="98" t="str">
        <f>IF(IFERROR(VLOOKUP(A613,'5.模板'!C:D,1,0),"")="","","✔")</f>
        <v/>
      </c>
      <c r="G613" s="98" t="str">
        <f>IF(IFERROR(VLOOKUP(A613,'6.混凝土'!C:D,1,0),"")="","","✔")</f>
        <v/>
      </c>
      <c r="H613" s="98" t="str">
        <f>IF(IFERROR(VLOOKUP(A613,'7.植筋'!C:D,1,0),"")="","","✔")</f>
        <v/>
      </c>
      <c r="I613" s="98" t="str">
        <f>IF(IFERROR(VLOOKUP(A613,'8.預力混凝土基樁'!C:D,1,0),"")="","","✔")</f>
        <v/>
      </c>
      <c r="J613" s="98" t="str">
        <f>IF(IFERROR(VLOOKUP(A613,'9.砌塊石護岸'!C:D,1,0),"")="","","✔")</f>
        <v/>
      </c>
      <c r="K613" s="98" t="str">
        <f>IF(IFERROR(VLOOKUP(A613,'10.低水護岸'!C:D,1,0),"")="","","✔")</f>
        <v/>
      </c>
      <c r="L613" s="98" t="str">
        <f>IF(IFERROR(VLOOKUP(A613,'11.固床工'!C:D,1,0),"")="","","✔")</f>
        <v/>
      </c>
      <c r="M613" s="98" t="str">
        <f>IF(IFERROR(VLOOKUP(A613,'12.全套管基樁'!C:D,1,0),"")="","","✔")</f>
        <v/>
      </c>
      <c r="N613" s="98" t="str">
        <f>IF(IFERROR(VLOOKUP(A613,'13.鋼筋混凝土管工程'!C:D,1,0),"")="","","✔")</f>
        <v/>
      </c>
      <c r="O613" s="98" t="str">
        <f>IF(IFERROR(VLOOKUP(A613,'14.鋼版樁'!C:D,1,0),"")="","","✔")</f>
        <v/>
      </c>
      <c r="P613" s="98" t="str">
        <f>IF(IFERROR(VLOOKUP(A613,'15.路床 路基高程'!C:D,1,0),"")="","","✔")</f>
        <v/>
      </c>
      <c r="Q613" s="98" t="str">
        <f>IF(IFERROR(VLOOKUP(A613,'16.瀝青混凝土'!C:D,1,0),"")="","","✔")</f>
        <v/>
      </c>
      <c r="R613" s="98" t="str">
        <f>IF(IFERROR(VLOOKUP(A613,'17.景觀鋪面(一)'!C:D,1,0),"")="","","✔")</f>
        <v/>
      </c>
      <c r="S613" s="98" t="str">
        <f>IF(IFERROR(VLOOKUP(A613,'18.景觀鋪面(二)'!C:D,1,0),"")="","","✔")</f>
        <v/>
      </c>
      <c r="T613" s="98" t="str">
        <f>IF(IFERROR(VLOOKUP(A613,'19.預鑄緣石'!C:D,1,0),"")="","","✔")</f>
        <v/>
      </c>
      <c r="U613" s="98" t="str">
        <f>IF(IFERROR(VLOOKUP(A613,'20.鋼構工程吊裝'!C:D,1,0),"")="","","✔")</f>
        <v/>
      </c>
      <c r="V613" s="98" t="str">
        <f>IF(IFERROR(VLOOKUP(A613,'21.鋼構工程塗裝'!C:D,1,0),"")="","","✔")</f>
        <v/>
      </c>
      <c r="W613" s="98" t="str">
        <f>IF(IFERROR(VLOOKUP(A613,'22.排水設施(一)'!C:D,1,0),"")="","","✔")</f>
        <v/>
      </c>
      <c r="X613" s="98" t="str">
        <f>IF(IFERROR(VLOOKUP(A613,'23.排水設施(二)'!C:D,1,0),"")="","","✔")</f>
        <v/>
      </c>
      <c r="Y613" s="98" t="str">
        <f>IF(IFERROR(VLOOKUP(A613,'24.木構造'!C:D,1,0),"")="","","✔")</f>
        <v/>
      </c>
      <c r="Z613" s="98" t="str">
        <f>IF(IFERROR(VLOOKUP(A613,'25.管路'!C:D,1,0),"")="","","✔")</f>
        <v/>
      </c>
      <c r="AA613" s="98" t="str">
        <f>IF(IFERROR(VLOOKUP(A613,'26.植栽(移植)'!C:D,1,0),"")="","","✔")</f>
        <v/>
      </c>
      <c r="AB613" s="98" t="str">
        <f>IF(IFERROR(VLOOKUP(A613,'27.植栽(新植)'!C:D,1,0),"")="","","✔")</f>
        <v/>
      </c>
      <c r="AC613" s="98" t="str">
        <f>IF(IFERROR(VLOOKUP(A613,'28.照明'!C:D,1,0),"")="","","✔")</f>
        <v/>
      </c>
      <c r="AD613" s="98" t="str">
        <f>IF(IFERROR(VLOOKUP(A613,'29.既有橋梁拆除'!C:D,1,0),"")="","","✔")</f>
        <v/>
      </c>
    </row>
    <row r="614" spans="1:30" ht="21.75" customHeight="1" x14ac:dyDescent="0.25">
      <c r="A614" s="99">
        <v>45804</v>
      </c>
      <c r="B614" s="98" t="str">
        <f>IF(IFERROR(VLOOKUP(A614,'1.測量放樣'!C:D,1,0),"")="","","✔")</f>
        <v/>
      </c>
      <c r="C614" s="98" t="str">
        <f>IF(IFERROR(VLOOKUP(A614,'2.土方開挖'!C:D,1,0),"")="","","✔")</f>
        <v/>
      </c>
      <c r="D614" s="98" t="str">
        <f>IF(IFERROR(VLOOKUP(A614,'3.土方回填'!C:D,1,0),"")="","","✔")</f>
        <v/>
      </c>
      <c r="E614" s="98" t="str">
        <f>IF(IFERROR(VLOOKUP(A614,'4.鋼筋'!C:D,1,0),"")="","","✔")</f>
        <v/>
      </c>
      <c r="F614" s="98" t="str">
        <f>IF(IFERROR(VLOOKUP(A614,'5.模板'!C:D,1,0),"")="","","✔")</f>
        <v/>
      </c>
      <c r="G614" s="98" t="str">
        <f>IF(IFERROR(VLOOKUP(A614,'6.混凝土'!C:D,1,0),"")="","","✔")</f>
        <v/>
      </c>
      <c r="H614" s="98" t="str">
        <f>IF(IFERROR(VLOOKUP(A614,'7.植筋'!C:D,1,0),"")="","","✔")</f>
        <v/>
      </c>
      <c r="I614" s="98" t="str">
        <f>IF(IFERROR(VLOOKUP(A614,'8.預力混凝土基樁'!C:D,1,0),"")="","","✔")</f>
        <v/>
      </c>
      <c r="J614" s="98" t="str">
        <f>IF(IFERROR(VLOOKUP(A614,'9.砌塊石護岸'!C:D,1,0),"")="","","✔")</f>
        <v/>
      </c>
      <c r="K614" s="98" t="str">
        <f>IF(IFERROR(VLOOKUP(A614,'10.低水護岸'!C:D,1,0),"")="","","✔")</f>
        <v/>
      </c>
      <c r="L614" s="98" t="str">
        <f>IF(IFERROR(VLOOKUP(A614,'11.固床工'!C:D,1,0),"")="","","✔")</f>
        <v/>
      </c>
      <c r="M614" s="98" t="str">
        <f>IF(IFERROR(VLOOKUP(A614,'12.全套管基樁'!C:D,1,0),"")="","","✔")</f>
        <v/>
      </c>
      <c r="N614" s="98" t="str">
        <f>IF(IFERROR(VLOOKUP(A614,'13.鋼筋混凝土管工程'!C:D,1,0),"")="","","✔")</f>
        <v/>
      </c>
      <c r="O614" s="98" t="str">
        <f>IF(IFERROR(VLOOKUP(A614,'14.鋼版樁'!C:D,1,0),"")="","","✔")</f>
        <v/>
      </c>
      <c r="P614" s="98" t="str">
        <f>IF(IFERROR(VLOOKUP(A614,'15.路床 路基高程'!C:D,1,0),"")="","","✔")</f>
        <v/>
      </c>
      <c r="Q614" s="98" t="str">
        <f>IF(IFERROR(VLOOKUP(A614,'16.瀝青混凝土'!C:D,1,0),"")="","","✔")</f>
        <v/>
      </c>
      <c r="R614" s="98" t="str">
        <f>IF(IFERROR(VLOOKUP(A614,'17.景觀鋪面(一)'!C:D,1,0),"")="","","✔")</f>
        <v/>
      </c>
      <c r="S614" s="98" t="str">
        <f>IF(IFERROR(VLOOKUP(A614,'18.景觀鋪面(二)'!C:D,1,0),"")="","","✔")</f>
        <v/>
      </c>
      <c r="T614" s="98" t="str">
        <f>IF(IFERROR(VLOOKUP(A614,'19.預鑄緣石'!C:D,1,0),"")="","","✔")</f>
        <v/>
      </c>
      <c r="U614" s="98" t="str">
        <f>IF(IFERROR(VLOOKUP(A614,'20.鋼構工程吊裝'!C:D,1,0),"")="","","✔")</f>
        <v/>
      </c>
      <c r="V614" s="98" t="str">
        <f>IF(IFERROR(VLOOKUP(A614,'21.鋼構工程塗裝'!C:D,1,0),"")="","","✔")</f>
        <v/>
      </c>
      <c r="W614" s="98" t="str">
        <f>IF(IFERROR(VLOOKUP(A614,'22.排水設施(一)'!C:D,1,0),"")="","","✔")</f>
        <v/>
      </c>
      <c r="X614" s="98" t="str">
        <f>IF(IFERROR(VLOOKUP(A614,'23.排水設施(二)'!C:D,1,0),"")="","","✔")</f>
        <v/>
      </c>
      <c r="Y614" s="98" t="str">
        <f>IF(IFERROR(VLOOKUP(A614,'24.木構造'!C:D,1,0),"")="","","✔")</f>
        <v/>
      </c>
      <c r="Z614" s="98" t="str">
        <f>IF(IFERROR(VLOOKUP(A614,'25.管路'!C:D,1,0),"")="","","✔")</f>
        <v/>
      </c>
      <c r="AA614" s="98" t="str">
        <f>IF(IFERROR(VLOOKUP(A614,'26.植栽(移植)'!C:D,1,0),"")="","","✔")</f>
        <v/>
      </c>
      <c r="AB614" s="98" t="str">
        <f>IF(IFERROR(VLOOKUP(A614,'27.植栽(新植)'!C:D,1,0),"")="","","✔")</f>
        <v/>
      </c>
      <c r="AC614" s="98" t="str">
        <f>IF(IFERROR(VLOOKUP(A614,'28.照明'!C:D,1,0),"")="","","✔")</f>
        <v/>
      </c>
      <c r="AD614" s="98" t="str">
        <f>IF(IFERROR(VLOOKUP(A614,'29.既有橋梁拆除'!C:D,1,0),"")="","","✔")</f>
        <v/>
      </c>
    </row>
    <row r="615" spans="1:30" ht="21.75" customHeight="1" x14ac:dyDescent="0.25">
      <c r="A615" s="99">
        <v>45805</v>
      </c>
      <c r="B615" s="98" t="str">
        <f>IF(IFERROR(VLOOKUP(A615,'1.測量放樣'!C:D,1,0),"")="","","✔")</f>
        <v/>
      </c>
      <c r="C615" s="98" t="str">
        <f>IF(IFERROR(VLOOKUP(A615,'2.土方開挖'!C:D,1,0),"")="","","✔")</f>
        <v/>
      </c>
      <c r="D615" s="98" t="str">
        <f>IF(IFERROR(VLOOKUP(A615,'3.土方回填'!C:D,1,0),"")="","","✔")</f>
        <v/>
      </c>
      <c r="E615" s="98" t="str">
        <f>IF(IFERROR(VLOOKUP(A615,'4.鋼筋'!C:D,1,0),"")="","","✔")</f>
        <v/>
      </c>
      <c r="F615" s="98" t="str">
        <f>IF(IFERROR(VLOOKUP(A615,'5.模板'!C:D,1,0),"")="","","✔")</f>
        <v/>
      </c>
      <c r="G615" s="98" t="str">
        <f>IF(IFERROR(VLOOKUP(A615,'6.混凝土'!C:D,1,0),"")="","","✔")</f>
        <v/>
      </c>
      <c r="H615" s="98" t="str">
        <f>IF(IFERROR(VLOOKUP(A615,'7.植筋'!C:D,1,0),"")="","","✔")</f>
        <v/>
      </c>
      <c r="I615" s="98" t="str">
        <f>IF(IFERROR(VLOOKUP(A615,'8.預力混凝土基樁'!C:D,1,0),"")="","","✔")</f>
        <v/>
      </c>
      <c r="J615" s="98" t="str">
        <f>IF(IFERROR(VLOOKUP(A615,'9.砌塊石護岸'!C:D,1,0),"")="","","✔")</f>
        <v/>
      </c>
      <c r="K615" s="98" t="str">
        <f>IF(IFERROR(VLOOKUP(A615,'10.低水護岸'!C:D,1,0),"")="","","✔")</f>
        <v/>
      </c>
      <c r="L615" s="98" t="str">
        <f>IF(IFERROR(VLOOKUP(A615,'11.固床工'!C:D,1,0),"")="","","✔")</f>
        <v/>
      </c>
      <c r="M615" s="98" t="str">
        <f>IF(IFERROR(VLOOKUP(A615,'12.全套管基樁'!C:D,1,0),"")="","","✔")</f>
        <v/>
      </c>
      <c r="N615" s="98" t="str">
        <f>IF(IFERROR(VLOOKUP(A615,'13.鋼筋混凝土管工程'!C:D,1,0),"")="","","✔")</f>
        <v/>
      </c>
      <c r="O615" s="98" t="str">
        <f>IF(IFERROR(VLOOKUP(A615,'14.鋼版樁'!C:D,1,0),"")="","","✔")</f>
        <v/>
      </c>
      <c r="P615" s="98" t="str">
        <f>IF(IFERROR(VLOOKUP(A615,'15.路床 路基高程'!C:D,1,0),"")="","","✔")</f>
        <v/>
      </c>
      <c r="Q615" s="98" t="str">
        <f>IF(IFERROR(VLOOKUP(A615,'16.瀝青混凝土'!C:D,1,0),"")="","","✔")</f>
        <v/>
      </c>
      <c r="R615" s="98" t="str">
        <f>IF(IFERROR(VLOOKUP(A615,'17.景觀鋪面(一)'!C:D,1,0),"")="","","✔")</f>
        <v/>
      </c>
      <c r="S615" s="98" t="str">
        <f>IF(IFERROR(VLOOKUP(A615,'18.景觀鋪面(二)'!C:D,1,0),"")="","","✔")</f>
        <v/>
      </c>
      <c r="T615" s="98" t="str">
        <f>IF(IFERROR(VLOOKUP(A615,'19.預鑄緣石'!C:D,1,0),"")="","","✔")</f>
        <v/>
      </c>
      <c r="U615" s="98" t="str">
        <f>IF(IFERROR(VLOOKUP(A615,'20.鋼構工程吊裝'!C:D,1,0),"")="","","✔")</f>
        <v/>
      </c>
      <c r="V615" s="98" t="str">
        <f>IF(IFERROR(VLOOKUP(A615,'21.鋼構工程塗裝'!C:D,1,0),"")="","","✔")</f>
        <v/>
      </c>
      <c r="W615" s="98" t="str">
        <f>IF(IFERROR(VLOOKUP(A615,'22.排水設施(一)'!C:D,1,0),"")="","","✔")</f>
        <v/>
      </c>
      <c r="X615" s="98" t="str">
        <f>IF(IFERROR(VLOOKUP(A615,'23.排水設施(二)'!C:D,1,0),"")="","","✔")</f>
        <v/>
      </c>
      <c r="Y615" s="98" t="str">
        <f>IF(IFERROR(VLOOKUP(A615,'24.木構造'!C:D,1,0),"")="","","✔")</f>
        <v/>
      </c>
      <c r="Z615" s="98" t="str">
        <f>IF(IFERROR(VLOOKUP(A615,'25.管路'!C:D,1,0),"")="","","✔")</f>
        <v/>
      </c>
      <c r="AA615" s="98" t="str">
        <f>IF(IFERROR(VLOOKUP(A615,'26.植栽(移植)'!C:D,1,0),"")="","","✔")</f>
        <v/>
      </c>
      <c r="AB615" s="98" t="str">
        <f>IF(IFERROR(VLOOKUP(A615,'27.植栽(新植)'!C:D,1,0),"")="","","✔")</f>
        <v/>
      </c>
      <c r="AC615" s="98" t="str">
        <f>IF(IFERROR(VLOOKUP(A615,'28.照明'!C:D,1,0),"")="","","✔")</f>
        <v/>
      </c>
      <c r="AD615" s="98" t="str">
        <f>IF(IFERROR(VLOOKUP(A615,'29.既有橋梁拆除'!C:D,1,0),"")="","","✔")</f>
        <v/>
      </c>
    </row>
    <row r="616" spans="1:30" ht="21.75" customHeight="1" x14ac:dyDescent="0.25">
      <c r="A616" s="99">
        <v>45806</v>
      </c>
      <c r="B616" s="98" t="str">
        <f>IF(IFERROR(VLOOKUP(A616,'1.測量放樣'!C:D,1,0),"")="","","✔")</f>
        <v/>
      </c>
      <c r="C616" s="98" t="str">
        <f>IF(IFERROR(VLOOKUP(A616,'2.土方開挖'!C:D,1,0),"")="","","✔")</f>
        <v/>
      </c>
      <c r="D616" s="98" t="str">
        <f>IF(IFERROR(VLOOKUP(A616,'3.土方回填'!C:D,1,0),"")="","","✔")</f>
        <v/>
      </c>
      <c r="E616" s="98" t="str">
        <f>IF(IFERROR(VLOOKUP(A616,'4.鋼筋'!C:D,1,0),"")="","","✔")</f>
        <v/>
      </c>
      <c r="F616" s="98" t="str">
        <f>IF(IFERROR(VLOOKUP(A616,'5.模板'!C:D,1,0),"")="","","✔")</f>
        <v/>
      </c>
      <c r="G616" s="98" t="str">
        <f>IF(IFERROR(VLOOKUP(A616,'6.混凝土'!C:D,1,0),"")="","","✔")</f>
        <v/>
      </c>
      <c r="H616" s="98" t="str">
        <f>IF(IFERROR(VLOOKUP(A616,'7.植筋'!C:D,1,0),"")="","","✔")</f>
        <v/>
      </c>
      <c r="I616" s="98" t="str">
        <f>IF(IFERROR(VLOOKUP(A616,'8.預力混凝土基樁'!C:D,1,0),"")="","","✔")</f>
        <v/>
      </c>
      <c r="J616" s="98" t="str">
        <f>IF(IFERROR(VLOOKUP(A616,'9.砌塊石護岸'!C:D,1,0),"")="","","✔")</f>
        <v/>
      </c>
      <c r="K616" s="98" t="str">
        <f>IF(IFERROR(VLOOKUP(A616,'10.低水護岸'!C:D,1,0),"")="","","✔")</f>
        <v/>
      </c>
      <c r="L616" s="98" t="str">
        <f>IF(IFERROR(VLOOKUP(A616,'11.固床工'!C:D,1,0),"")="","","✔")</f>
        <v/>
      </c>
      <c r="M616" s="98" t="str">
        <f>IF(IFERROR(VLOOKUP(A616,'12.全套管基樁'!C:D,1,0),"")="","","✔")</f>
        <v/>
      </c>
      <c r="N616" s="98" t="str">
        <f>IF(IFERROR(VLOOKUP(A616,'13.鋼筋混凝土管工程'!C:D,1,0),"")="","","✔")</f>
        <v/>
      </c>
      <c r="O616" s="98" t="str">
        <f>IF(IFERROR(VLOOKUP(A616,'14.鋼版樁'!C:D,1,0),"")="","","✔")</f>
        <v/>
      </c>
      <c r="P616" s="98" t="str">
        <f>IF(IFERROR(VLOOKUP(A616,'15.路床 路基高程'!C:D,1,0),"")="","","✔")</f>
        <v/>
      </c>
      <c r="Q616" s="98" t="str">
        <f>IF(IFERROR(VLOOKUP(A616,'16.瀝青混凝土'!C:D,1,0),"")="","","✔")</f>
        <v/>
      </c>
      <c r="R616" s="98" t="str">
        <f>IF(IFERROR(VLOOKUP(A616,'17.景觀鋪面(一)'!C:D,1,0),"")="","","✔")</f>
        <v/>
      </c>
      <c r="S616" s="98" t="str">
        <f>IF(IFERROR(VLOOKUP(A616,'18.景觀鋪面(二)'!C:D,1,0),"")="","","✔")</f>
        <v/>
      </c>
      <c r="T616" s="98" t="str">
        <f>IF(IFERROR(VLOOKUP(A616,'19.預鑄緣石'!C:D,1,0),"")="","","✔")</f>
        <v/>
      </c>
      <c r="U616" s="98" t="str">
        <f>IF(IFERROR(VLOOKUP(A616,'20.鋼構工程吊裝'!C:D,1,0),"")="","","✔")</f>
        <v/>
      </c>
      <c r="V616" s="98" t="str">
        <f>IF(IFERROR(VLOOKUP(A616,'21.鋼構工程塗裝'!C:D,1,0),"")="","","✔")</f>
        <v/>
      </c>
      <c r="W616" s="98" t="str">
        <f>IF(IFERROR(VLOOKUP(A616,'22.排水設施(一)'!C:D,1,0),"")="","","✔")</f>
        <v/>
      </c>
      <c r="X616" s="98" t="str">
        <f>IF(IFERROR(VLOOKUP(A616,'23.排水設施(二)'!C:D,1,0),"")="","","✔")</f>
        <v/>
      </c>
      <c r="Y616" s="98" t="str">
        <f>IF(IFERROR(VLOOKUP(A616,'24.木構造'!C:D,1,0),"")="","","✔")</f>
        <v/>
      </c>
      <c r="Z616" s="98" t="str">
        <f>IF(IFERROR(VLOOKUP(A616,'25.管路'!C:D,1,0),"")="","","✔")</f>
        <v/>
      </c>
      <c r="AA616" s="98" t="str">
        <f>IF(IFERROR(VLOOKUP(A616,'26.植栽(移植)'!C:D,1,0),"")="","","✔")</f>
        <v/>
      </c>
      <c r="AB616" s="98" t="str">
        <f>IF(IFERROR(VLOOKUP(A616,'27.植栽(新植)'!C:D,1,0),"")="","","✔")</f>
        <v/>
      </c>
      <c r="AC616" s="98" t="str">
        <f>IF(IFERROR(VLOOKUP(A616,'28.照明'!C:D,1,0),"")="","","✔")</f>
        <v/>
      </c>
      <c r="AD616" s="98" t="str">
        <f>IF(IFERROR(VLOOKUP(A616,'29.既有橋梁拆除'!C:D,1,0),"")="","","✔")</f>
        <v/>
      </c>
    </row>
    <row r="617" spans="1:30" ht="21.75" customHeight="1" x14ac:dyDescent="0.25">
      <c r="A617" s="99">
        <v>45807</v>
      </c>
      <c r="B617" s="98" t="str">
        <f>IF(IFERROR(VLOOKUP(A617,'1.測量放樣'!C:D,1,0),"")="","","✔")</f>
        <v/>
      </c>
      <c r="C617" s="98" t="str">
        <f>IF(IFERROR(VLOOKUP(A617,'2.土方開挖'!C:D,1,0),"")="","","✔")</f>
        <v/>
      </c>
      <c r="D617" s="98" t="str">
        <f>IF(IFERROR(VLOOKUP(A617,'3.土方回填'!C:D,1,0),"")="","","✔")</f>
        <v/>
      </c>
      <c r="E617" s="98" t="str">
        <f>IF(IFERROR(VLOOKUP(A617,'4.鋼筋'!C:D,1,0),"")="","","✔")</f>
        <v/>
      </c>
      <c r="F617" s="98" t="str">
        <f>IF(IFERROR(VLOOKUP(A617,'5.模板'!C:D,1,0),"")="","","✔")</f>
        <v/>
      </c>
      <c r="G617" s="98" t="str">
        <f>IF(IFERROR(VLOOKUP(A617,'6.混凝土'!C:D,1,0),"")="","","✔")</f>
        <v/>
      </c>
      <c r="H617" s="98" t="str">
        <f>IF(IFERROR(VLOOKUP(A617,'7.植筋'!C:D,1,0),"")="","","✔")</f>
        <v/>
      </c>
      <c r="I617" s="98" t="str">
        <f>IF(IFERROR(VLOOKUP(A617,'8.預力混凝土基樁'!C:D,1,0),"")="","","✔")</f>
        <v/>
      </c>
      <c r="J617" s="98" t="str">
        <f>IF(IFERROR(VLOOKUP(A617,'9.砌塊石護岸'!C:D,1,0),"")="","","✔")</f>
        <v/>
      </c>
      <c r="K617" s="98" t="str">
        <f>IF(IFERROR(VLOOKUP(A617,'10.低水護岸'!C:D,1,0),"")="","","✔")</f>
        <v/>
      </c>
      <c r="L617" s="98" t="str">
        <f>IF(IFERROR(VLOOKUP(A617,'11.固床工'!C:D,1,0),"")="","","✔")</f>
        <v/>
      </c>
      <c r="M617" s="98" t="str">
        <f>IF(IFERROR(VLOOKUP(A617,'12.全套管基樁'!C:D,1,0),"")="","","✔")</f>
        <v/>
      </c>
      <c r="N617" s="98" t="str">
        <f>IF(IFERROR(VLOOKUP(A617,'13.鋼筋混凝土管工程'!C:D,1,0),"")="","","✔")</f>
        <v/>
      </c>
      <c r="O617" s="98" t="str">
        <f>IF(IFERROR(VLOOKUP(A617,'14.鋼版樁'!C:D,1,0),"")="","","✔")</f>
        <v/>
      </c>
      <c r="P617" s="98" t="str">
        <f>IF(IFERROR(VLOOKUP(A617,'15.路床 路基高程'!C:D,1,0),"")="","","✔")</f>
        <v/>
      </c>
      <c r="Q617" s="98" t="str">
        <f>IF(IFERROR(VLOOKUP(A617,'16.瀝青混凝土'!C:D,1,0),"")="","","✔")</f>
        <v/>
      </c>
      <c r="R617" s="98" t="str">
        <f>IF(IFERROR(VLOOKUP(A617,'17.景觀鋪面(一)'!C:D,1,0),"")="","","✔")</f>
        <v/>
      </c>
      <c r="S617" s="98" t="str">
        <f>IF(IFERROR(VLOOKUP(A617,'18.景觀鋪面(二)'!C:D,1,0),"")="","","✔")</f>
        <v/>
      </c>
      <c r="T617" s="98" t="str">
        <f>IF(IFERROR(VLOOKUP(A617,'19.預鑄緣石'!C:D,1,0),"")="","","✔")</f>
        <v/>
      </c>
      <c r="U617" s="98" t="str">
        <f>IF(IFERROR(VLOOKUP(A617,'20.鋼構工程吊裝'!C:D,1,0),"")="","","✔")</f>
        <v/>
      </c>
      <c r="V617" s="98" t="str">
        <f>IF(IFERROR(VLOOKUP(A617,'21.鋼構工程塗裝'!C:D,1,0),"")="","","✔")</f>
        <v/>
      </c>
      <c r="W617" s="98" t="str">
        <f>IF(IFERROR(VLOOKUP(A617,'22.排水設施(一)'!C:D,1,0),"")="","","✔")</f>
        <v/>
      </c>
      <c r="X617" s="98" t="str">
        <f>IF(IFERROR(VLOOKUP(A617,'23.排水設施(二)'!C:D,1,0),"")="","","✔")</f>
        <v/>
      </c>
      <c r="Y617" s="98" t="str">
        <f>IF(IFERROR(VLOOKUP(A617,'24.木構造'!C:D,1,0),"")="","","✔")</f>
        <v/>
      </c>
      <c r="Z617" s="98" t="str">
        <f>IF(IFERROR(VLOOKUP(A617,'25.管路'!C:D,1,0),"")="","","✔")</f>
        <v/>
      </c>
      <c r="AA617" s="98" t="str">
        <f>IF(IFERROR(VLOOKUP(A617,'26.植栽(移植)'!C:D,1,0),"")="","","✔")</f>
        <v/>
      </c>
      <c r="AB617" s="98" t="str">
        <f>IF(IFERROR(VLOOKUP(A617,'27.植栽(新植)'!C:D,1,0),"")="","","✔")</f>
        <v/>
      </c>
      <c r="AC617" s="98" t="str">
        <f>IF(IFERROR(VLOOKUP(A617,'28.照明'!C:D,1,0),"")="","","✔")</f>
        <v/>
      </c>
      <c r="AD617" s="98" t="str">
        <f>IF(IFERROR(VLOOKUP(A617,'29.既有橋梁拆除'!C:D,1,0),"")="","","✔")</f>
        <v/>
      </c>
    </row>
    <row r="618" spans="1:30" ht="21.75" customHeight="1" x14ac:dyDescent="0.25">
      <c r="A618" s="99">
        <v>45808</v>
      </c>
      <c r="B618" s="98" t="str">
        <f>IF(IFERROR(VLOOKUP(A618,'1.測量放樣'!C:D,1,0),"")="","","✔")</f>
        <v/>
      </c>
      <c r="C618" s="98" t="str">
        <f>IF(IFERROR(VLOOKUP(A618,'2.土方開挖'!C:D,1,0),"")="","","✔")</f>
        <v/>
      </c>
      <c r="D618" s="98" t="str">
        <f>IF(IFERROR(VLOOKUP(A618,'3.土方回填'!C:D,1,0),"")="","","✔")</f>
        <v/>
      </c>
      <c r="E618" s="98" t="str">
        <f>IF(IFERROR(VLOOKUP(A618,'4.鋼筋'!C:D,1,0),"")="","","✔")</f>
        <v/>
      </c>
      <c r="F618" s="98" t="str">
        <f>IF(IFERROR(VLOOKUP(A618,'5.模板'!C:D,1,0),"")="","","✔")</f>
        <v/>
      </c>
      <c r="G618" s="98" t="str">
        <f>IF(IFERROR(VLOOKUP(A618,'6.混凝土'!C:D,1,0),"")="","","✔")</f>
        <v/>
      </c>
      <c r="H618" s="98" t="str">
        <f>IF(IFERROR(VLOOKUP(A618,'7.植筋'!C:D,1,0),"")="","","✔")</f>
        <v/>
      </c>
      <c r="I618" s="98" t="str">
        <f>IF(IFERROR(VLOOKUP(A618,'8.預力混凝土基樁'!C:D,1,0),"")="","","✔")</f>
        <v/>
      </c>
      <c r="J618" s="98" t="str">
        <f>IF(IFERROR(VLOOKUP(A618,'9.砌塊石護岸'!C:D,1,0),"")="","","✔")</f>
        <v/>
      </c>
      <c r="K618" s="98" t="str">
        <f>IF(IFERROR(VLOOKUP(A618,'10.低水護岸'!C:D,1,0),"")="","","✔")</f>
        <v/>
      </c>
      <c r="L618" s="98" t="str">
        <f>IF(IFERROR(VLOOKUP(A618,'11.固床工'!C:D,1,0),"")="","","✔")</f>
        <v/>
      </c>
      <c r="M618" s="98" t="str">
        <f>IF(IFERROR(VLOOKUP(A618,'12.全套管基樁'!C:D,1,0),"")="","","✔")</f>
        <v/>
      </c>
      <c r="N618" s="98" t="str">
        <f>IF(IFERROR(VLOOKUP(A618,'13.鋼筋混凝土管工程'!C:D,1,0),"")="","","✔")</f>
        <v/>
      </c>
      <c r="O618" s="98" t="str">
        <f>IF(IFERROR(VLOOKUP(A618,'14.鋼版樁'!C:D,1,0),"")="","","✔")</f>
        <v/>
      </c>
      <c r="P618" s="98" t="str">
        <f>IF(IFERROR(VLOOKUP(A618,'15.路床 路基高程'!C:D,1,0),"")="","","✔")</f>
        <v/>
      </c>
      <c r="Q618" s="98" t="str">
        <f>IF(IFERROR(VLOOKUP(A618,'16.瀝青混凝土'!C:D,1,0),"")="","","✔")</f>
        <v/>
      </c>
      <c r="R618" s="98" t="str">
        <f>IF(IFERROR(VLOOKUP(A618,'17.景觀鋪面(一)'!C:D,1,0),"")="","","✔")</f>
        <v/>
      </c>
      <c r="S618" s="98" t="str">
        <f>IF(IFERROR(VLOOKUP(A618,'18.景觀鋪面(二)'!C:D,1,0),"")="","","✔")</f>
        <v/>
      </c>
      <c r="T618" s="98" t="str">
        <f>IF(IFERROR(VLOOKUP(A618,'19.預鑄緣石'!C:D,1,0),"")="","","✔")</f>
        <v/>
      </c>
      <c r="U618" s="98" t="str">
        <f>IF(IFERROR(VLOOKUP(A618,'20.鋼構工程吊裝'!C:D,1,0),"")="","","✔")</f>
        <v/>
      </c>
      <c r="V618" s="98" t="str">
        <f>IF(IFERROR(VLOOKUP(A618,'21.鋼構工程塗裝'!C:D,1,0),"")="","","✔")</f>
        <v/>
      </c>
      <c r="W618" s="98" t="str">
        <f>IF(IFERROR(VLOOKUP(A618,'22.排水設施(一)'!C:D,1,0),"")="","","✔")</f>
        <v/>
      </c>
      <c r="X618" s="98" t="str">
        <f>IF(IFERROR(VLOOKUP(A618,'23.排水設施(二)'!C:D,1,0),"")="","","✔")</f>
        <v/>
      </c>
      <c r="Y618" s="98" t="str">
        <f>IF(IFERROR(VLOOKUP(A618,'24.木構造'!C:D,1,0),"")="","","✔")</f>
        <v/>
      </c>
      <c r="Z618" s="98" t="str">
        <f>IF(IFERROR(VLOOKUP(A618,'25.管路'!C:D,1,0),"")="","","✔")</f>
        <v/>
      </c>
      <c r="AA618" s="98" t="str">
        <f>IF(IFERROR(VLOOKUP(A618,'26.植栽(移植)'!C:D,1,0),"")="","","✔")</f>
        <v/>
      </c>
      <c r="AB618" s="98" t="str">
        <f>IF(IFERROR(VLOOKUP(A618,'27.植栽(新植)'!C:D,1,0),"")="","","✔")</f>
        <v/>
      </c>
      <c r="AC618" s="98" t="str">
        <f>IF(IFERROR(VLOOKUP(A618,'28.照明'!C:D,1,0),"")="","","✔")</f>
        <v/>
      </c>
      <c r="AD618" s="98" t="str">
        <f>IF(IFERROR(VLOOKUP(A618,'29.既有橋梁拆除'!C:D,1,0),"")="","","✔")</f>
        <v/>
      </c>
    </row>
    <row r="619" spans="1:30" ht="21.75" customHeight="1" x14ac:dyDescent="0.25">
      <c r="A619" s="99">
        <v>45809</v>
      </c>
      <c r="B619" s="98" t="str">
        <f>IF(IFERROR(VLOOKUP(A619,'1.測量放樣'!C:D,1,0),"")="","","✔")</f>
        <v/>
      </c>
      <c r="C619" s="98" t="str">
        <f>IF(IFERROR(VLOOKUP(A619,'2.土方開挖'!C:D,1,0),"")="","","✔")</f>
        <v/>
      </c>
      <c r="D619" s="98" t="str">
        <f>IF(IFERROR(VLOOKUP(A619,'3.土方回填'!C:D,1,0),"")="","","✔")</f>
        <v/>
      </c>
      <c r="E619" s="98" t="str">
        <f>IF(IFERROR(VLOOKUP(A619,'4.鋼筋'!C:D,1,0),"")="","","✔")</f>
        <v/>
      </c>
      <c r="F619" s="98" t="str">
        <f>IF(IFERROR(VLOOKUP(A619,'5.模板'!C:D,1,0),"")="","","✔")</f>
        <v/>
      </c>
      <c r="G619" s="98" t="str">
        <f>IF(IFERROR(VLOOKUP(A619,'6.混凝土'!C:D,1,0),"")="","","✔")</f>
        <v/>
      </c>
      <c r="H619" s="98" t="str">
        <f>IF(IFERROR(VLOOKUP(A619,'7.植筋'!C:D,1,0),"")="","","✔")</f>
        <v/>
      </c>
      <c r="I619" s="98" t="str">
        <f>IF(IFERROR(VLOOKUP(A619,'8.預力混凝土基樁'!C:D,1,0),"")="","","✔")</f>
        <v/>
      </c>
      <c r="J619" s="98" t="str">
        <f>IF(IFERROR(VLOOKUP(A619,'9.砌塊石護岸'!C:D,1,0),"")="","","✔")</f>
        <v/>
      </c>
      <c r="K619" s="98" t="str">
        <f>IF(IFERROR(VLOOKUP(A619,'10.低水護岸'!C:D,1,0),"")="","","✔")</f>
        <v/>
      </c>
      <c r="L619" s="98" t="str">
        <f>IF(IFERROR(VLOOKUP(A619,'11.固床工'!C:D,1,0),"")="","","✔")</f>
        <v/>
      </c>
      <c r="M619" s="98" t="str">
        <f>IF(IFERROR(VLOOKUP(A619,'12.全套管基樁'!C:D,1,0),"")="","","✔")</f>
        <v/>
      </c>
      <c r="N619" s="98" t="str">
        <f>IF(IFERROR(VLOOKUP(A619,'13.鋼筋混凝土管工程'!C:D,1,0),"")="","","✔")</f>
        <v/>
      </c>
      <c r="O619" s="98" t="str">
        <f>IF(IFERROR(VLOOKUP(A619,'14.鋼版樁'!C:D,1,0),"")="","","✔")</f>
        <v/>
      </c>
      <c r="P619" s="98" t="str">
        <f>IF(IFERROR(VLOOKUP(A619,'15.路床 路基高程'!C:D,1,0),"")="","","✔")</f>
        <v/>
      </c>
      <c r="Q619" s="98" t="str">
        <f>IF(IFERROR(VLOOKUP(A619,'16.瀝青混凝土'!C:D,1,0),"")="","","✔")</f>
        <v/>
      </c>
      <c r="R619" s="98" t="str">
        <f>IF(IFERROR(VLOOKUP(A619,'17.景觀鋪面(一)'!C:D,1,0),"")="","","✔")</f>
        <v/>
      </c>
      <c r="S619" s="98" t="str">
        <f>IF(IFERROR(VLOOKUP(A619,'18.景觀鋪面(二)'!C:D,1,0),"")="","","✔")</f>
        <v/>
      </c>
      <c r="T619" s="98" t="str">
        <f>IF(IFERROR(VLOOKUP(A619,'19.預鑄緣石'!C:D,1,0),"")="","","✔")</f>
        <v/>
      </c>
      <c r="U619" s="98" t="str">
        <f>IF(IFERROR(VLOOKUP(A619,'20.鋼構工程吊裝'!C:D,1,0),"")="","","✔")</f>
        <v/>
      </c>
      <c r="V619" s="98" t="str">
        <f>IF(IFERROR(VLOOKUP(A619,'21.鋼構工程塗裝'!C:D,1,0),"")="","","✔")</f>
        <v/>
      </c>
      <c r="W619" s="98" t="str">
        <f>IF(IFERROR(VLOOKUP(A619,'22.排水設施(一)'!C:D,1,0),"")="","","✔")</f>
        <v/>
      </c>
      <c r="X619" s="98" t="str">
        <f>IF(IFERROR(VLOOKUP(A619,'23.排水設施(二)'!C:D,1,0),"")="","","✔")</f>
        <v/>
      </c>
      <c r="Y619" s="98" t="str">
        <f>IF(IFERROR(VLOOKUP(A619,'24.木構造'!C:D,1,0),"")="","","✔")</f>
        <v/>
      </c>
      <c r="Z619" s="98" t="str">
        <f>IF(IFERROR(VLOOKUP(A619,'25.管路'!C:D,1,0),"")="","","✔")</f>
        <v/>
      </c>
      <c r="AA619" s="98" t="str">
        <f>IF(IFERROR(VLOOKUP(A619,'26.植栽(移植)'!C:D,1,0),"")="","","✔")</f>
        <v/>
      </c>
      <c r="AB619" s="98" t="str">
        <f>IF(IFERROR(VLOOKUP(A619,'27.植栽(新植)'!C:D,1,0),"")="","","✔")</f>
        <v/>
      </c>
      <c r="AC619" s="98" t="str">
        <f>IF(IFERROR(VLOOKUP(A619,'28.照明'!C:D,1,0),"")="","","✔")</f>
        <v/>
      </c>
      <c r="AD619" s="98" t="str">
        <f>IF(IFERROR(VLOOKUP(A619,'29.既有橋梁拆除'!C:D,1,0),"")="","","✔")</f>
        <v/>
      </c>
    </row>
    <row r="620" spans="1:30" ht="21.75" customHeight="1" x14ac:dyDescent="0.25">
      <c r="A620" s="99">
        <v>45810</v>
      </c>
      <c r="B620" s="98" t="str">
        <f>IF(IFERROR(VLOOKUP(A620,'1.測量放樣'!C:D,1,0),"")="","","✔")</f>
        <v/>
      </c>
      <c r="C620" s="98" t="str">
        <f>IF(IFERROR(VLOOKUP(A620,'2.土方開挖'!C:D,1,0),"")="","","✔")</f>
        <v/>
      </c>
      <c r="D620" s="98" t="str">
        <f>IF(IFERROR(VLOOKUP(A620,'3.土方回填'!C:D,1,0),"")="","","✔")</f>
        <v/>
      </c>
      <c r="E620" s="98" t="str">
        <f>IF(IFERROR(VLOOKUP(A620,'4.鋼筋'!C:D,1,0),"")="","","✔")</f>
        <v/>
      </c>
      <c r="F620" s="98" t="str">
        <f>IF(IFERROR(VLOOKUP(A620,'5.模板'!C:D,1,0),"")="","","✔")</f>
        <v/>
      </c>
      <c r="G620" s="98" t="str">
        <f>IF(IFERROR(VLOOKUP(A620,'6.混凝土'!C:D,1,0),"")="","","✔")</f>
        <v/>
      </c>
      <c r="H620" s="98" t="str">
        <f>IF(IFERROR(VLOOKUP(A620,'7.植筋'!C:D,1,0),"")="","","✔")</f>
        <v/>
      </c>
      <c r="I620" s="98" t="str">
        <f>IF(IFERROR(VLOOKUP(A620,'8.預力混凝土基樁'!C:D,1,0),"")="","","✔")</f>
        <v/>
      </c>
      <c r="J620" s="98" t="str">
        <f>IF(IFERROR(VLOOKUP(A620,'9.砌塊石護岸'!C:D,1,0),"")="","","✔")</f>
        <v/>
      </c>
      <c r="K620" s="98" t="str">
        <f>IF(IFERROR(VLOOKUP(A620,'10.低水護岸'!C:D,1,0),"")="","","✔")</f>
        <v/>
      </c>
      <c r="L620" s="98" t="str">
        <f>IF(IFERROR(VLOOKUP(A620,'11.固床工'!C:D,1,0),"")="","","✔")</f>
        <v/>
      </c>
      <c r="M620" s="98" t="str">
        <f>IF(IFERROR(VLOOKUP(A620,'12.全套管基樁'!C:D,1,0),"")="","","✔")</f>
        <v/>
      </c>
      <c r="N620" s="98" t="str">
        <f>IF(IFERROR(VLOOKUP(A620,'13.鋼筋混凝土管工程'!C:D,1,0),"")="","","✔")</f>
        <v/>
      </c>
      <c r="O620" s="98" t="str">
        <f>IF(IFERROR(VLOOKUP(A620,'14.鋼版樁'!C:D,1,0),"")="","","✔")</f>
        <v/>
      </c>
      <c r="P620" s="98" t="str">
        <f>IF(IFERROR(VLOOKUP(A620,'15.路床 路基高程'!C:D,1,0),"")="","","✔")</f>
        <v/>
      </c>
      <c r="Q620" s="98" t="str">
        <f>IF(IFERROR(VLOOKUP(A620,'16.瀝青混凝土'!C:D,1,0),"")="","","✔")</f>
        <v/>
      </c>
      <c r="R620" s="98" t="str">
        <f>IF(IFERROR(VLOOKUP(A620,'17.景觀鋪面(一)'!C:D,1,0),"")="","","✔")</f>
        <v/>
      </c>
      <c r="S620" s="98" t="str">
        <f>IF(IFERROR(VLOOKUP(A620,'18.景觀鋪面(二)'!C:D,1,0),"")="","","✔")</f>
        <v/>
      </c>
      <c r="T620" s="98" t="str">
        <f>IF(IFERROR(VLOOKUP(A620,'19.預鑄緣石'!C:D,1,0),"")="","","✔")</f>
        <v/>
      </c>
      <c r="U620" s="98" t="str">
        <f>IF(IFERROR(VLOOKUP(A620,'20.鋼構工程吊裝'!C:D,1,0),"")="","","✔")</f>
        <v/>
      </c>
      <c r="V620" s="98" t="str">
        <f>IF(IFERROR(VLOOKUP(A620,'21.鋼構工程塗裝'!C:D,1,0),"")="","","✔")</f>
        <v/>
      </c>
      <c r="W620" s="98" t="str">
        <f>IF(IFERROR(VLOOKUP(A620,'22.排水設施(一)'!C:D,1,0),"")="","","✔")</f>
        <v/>
      </c>
      <c r="X620" s="98" t="str">
        <f>IF(IFERROR(VLOOKUP(A620,'23.排水設施(二)'!C:D,1,0),"")="","","✔")</f>
        <v/>
      </c>
      <c r="Y620" s="98" t="str">
        <f>IF(IFERROR(VLOOKUP(A620,'24.木構造'!C:D,1,0),"")="","","✔")</f>
        <v/>
      </c>
      <c r="Z620" s="98" t="str">
        <f>IF(IFERROR(VLOOKUP(A620,'25.管路'!C:D,1,0),"")="","","✔")</f>
        <v/>
      </c>
      <c r="AA620" s="98" t="str">
        <f>IF(IFERROR(VLOOKUP(A620,'26.植栽(移植)'!C:D,1,0),"")="","","✔")</f>
        <v/>
      </c>
      <c r="AB620" s="98" t="str">
        <f>IF(IFERROR(VLOOKUP(A620,'27.植栽(新植)'!C:D,1,0),"")="","","✔")</f>
        <v/>
      </c>
      <c r="AC620" s="98" t="str">
        <f>IF(IFERROR(VLOOKUP(A620,'28.照明'!C:D,1,0),"")="","","✔")</f>
        <v/>
      </c>
      <c r="AD620" s="98" t="str">
        <f>IF(IFERROR(VLOOKUP(A620,'29.既有橋梁拆除'!C:D,1,0),"")="","","✔")</f>
        <v/>
      </c>
    </row>
    <row r="621" spans="1:30" ht="21.75" customHeight="1" x14ac:dyDescent="0.25">
      <c r="A621" s="99">
        <v>45811</v>
      </c>
      <c r="B621" s="98" t="str">
        <f>IF(IFERROR(VLOOKUP(A621,'1.測量放樣'!C:D,1,0),"")="","","✔")</f>
        <v/>
      </c>
      <c r="C621" s="98" t="str">
        <f>IF(IFERROR(VLOOKUP(A621,'2.土方開挖'!C:D,1,0),"")="","","✔")</f>
        <v/>
      </c>
      <c r="D621" s="98" t="str">
        <f>IF(IFERROR(VLOOKUP(A621,'3.土方回填'!C:D,1,0),"")="","","✔")</f>
        <v/>
      </c>
      <c r="E621" s="98" t="str">
        <f>IF(IFERROR(VLOOKUP(A621,'4.鋼筋'!C:D,1,0),"")="","","✔")</f>
        <v/>
      </c>
      <c r="F621" s="98" t="str">
        <f>IF(IFERROR(VLOOKUP(A621,'5.模板'!C:D,1,0),"")="","","✔")</f>
        <v/>
      </c>
      <c r="G621" s="98" t="str">
        <f>IF(IFERROR(VLOOKUP(A621,'6.混凝土'!C:D,1,0),"")="","","✔")</f>
        <v/>
      </c>
      <c r="H621" s="98" t="str">
        <f>IF(IFERROR(VLOOKUP(A621,'7.植筋'!C:D,1,0),"")="","","✔")</f>
        <v/>
      </c>
      <c r="I621" s="98" t="str">
        <f>IF(IFERROR(VLOOKUP(A621,'8.預力混凝土基樁'!C:D,1,0),"")="","","✔")</f>
        <v/>
      </c>
      <c r="J621" s="98" t="str">
        <f>IF(IFERROR(VLOOKUP(A621,'9.砌塊石護岸'!C:D,1,0),"")="","","✔")</f>
        <v/>
      </c>
      <c r="K621" s="98" t="str">
        <f>IF(IFERROR(VLOOKUP(A621,'10.低水護岸'!C:D,1,0),"")="","","✔")</f>
        <v/>
      </c>
      <c r="L621" s="98" t="str">
        <f>IF(IFERROR(VLOOKUP(A621,'11.固床工'!C:D,1,0),"")="","","✔")</f>
        <v/>
      </c>
      <c r="M621" s="98" t="str">
        <f>IF(IFERROR(VLOOKUP(A621,'12.全套管基樁'!C:D,1,0),"")="","","✔")</f>
        <v/>
      </c>
      <c r="N621" s="98" t="str">
        <f>IF(IFERROR(VLOOKUP(A621,'13.鋼筋混凝土管工程'!C:D,1,0),"")="","","✔")</f>
        <v/>
      </c>
      <c r="O621" s="98" t="str">
        <f>IF(IFERROR(VLOOKUP(A621,'14.鋼版樁'!C:D,1,0),"")="","","✔")</f>
        <v/>
      </c>
      <c r="P621" s="98" t="str">
        <f>IF(IFERROR(VLOOKUP(A621,'15.路床 路基高程'!C:D,1,0),"")="","","✔")</f>
        <v/>
      </c>
      <c r="Q621" s="98" t="str">
        <f>IF(IFERROR(VLOOKUP(A621,'16.瀝青混凝土'!C:D,1,0),"")="","","✔")</f>
        <v/>
      </c>
      <c r="R621" s="98" t="str">
        <f>IF(IFERROR(VLOOKUP(A621,'17.景觀鋪面(一)'!C:D,1,0),"")="","","✔")</f>
        <v/>
      </c>
      <c r="S621" s="98" t="str">
        <f>IF(IFERROR(VLOOKUP(A621,'18.景觀鋪面(二)'!C:D,1,0),"")="","","✔")</f>
        <v/>
      </c>
      <c r="T621" s="98" t="str">
        <f>IF(IFERROR(VLOOKUP(A621,'19.預鑄緣石'!C:D,1,0),"")="","","✔")</f>
        <v/>
      </c>
      <c r="U621" s="98" t="str">
        <f>IF(IFERROR(VLOOKUP(A621,'20.鋼構工程吊裝'!C:D,1,0),"")="","","✔")</f>
        <v/>
      </c>
      <c r="V621" s="98" t="str">
        <f>IF(IFERROR(VLOOKUP(A621,'21.鋼構工程塗裝'!C:D,1,0),"")="","","✔")</f>
        <v/>
      </c>
      <c r="W621" s="98" t="str">
        <f>IF(IFERROR(VLOOKUP(A621,'22.排水設施(一)'!C:D,1,0),"")="","","✔")</f>
        <v/>
      </c>
      <c r="X621" s="98" t="str">
        <f>IF(IFERROR(VLOOKUP(A621,'23.排水設施(二)'!C:D,1,0),"")="","","✔")</f>
        <v/>
      </c>
      <c r="Y621" s="98" t="str">
        <f>IF(IFERROR(VLOOKUP(A621,'24.木構造'!C:D,1,0),"")="","","✔")</f>
        <v/>
      </c>
      <c r="Z621" s="98" t="str">
        <f>IF(IFERROR(VLOOKUP(A621,'25.管路'!C:D,1,0),"")="","","✔")</f>
        <v/>
      </c>
      <c r="AA621" s="98" t="str">
        <f>IF(IFERROR(VLOOKUP(A621,'26.植栽(移植)'!C:D,1,0),"")="","","✔")</f>
        <v/>
      </c>
      <c r="AB621" s="98" t="str">
        <f>IF(IFERROR(VLOOKUP(A621,'27.植栽(新植)'!C:D,1,0),"")="","","✔")</f>
        <v/>
      </c>
      <c r="AC621" s="98" t="str">
        <f>IF(IFERROR(VLOOKUP(A621,'28.照明'!C:D,1,0),"")="","","✔")</f>
        <v/>
      </c>
      <c r="AD621" s="98" t="str">
        <f>IF(IFERROR(VLOOKUP(A621,'29.既有橋梁拆除'!C:D,1,0),"")="","","✔")</f>
        <v/>
      </c>
    </row>
    <row r="622" spans="1:30" ht="21.75" customHeight="1" x14ac:dyDescent="0.25">
      <c r="A622" s="99">
        <v>45812</v>
      </c>
      <c r="B622" s="98" t="str">
        <f>IF(IFERROR(VLOOKUP(A622,'1.測量放樣'!C:D,1,0),"")="","","✔")</f>
        <v/>
      </c>
      <c r="C622" s="98" t="str">
        <f>IF(IFERROR(VLOOKUP(A622,'2.土方開挖'!C:D,1,0),"")="","","✔")</f>
        <v/>
      </c>
      <c r="D622" s="98" t="str">
        <f>IF(IFERROR(VLOOKUP(A622,'3.土方回填'!C:D,1,0),"")="","","✔")</f>
        <v/>
      </c>
      <c r="E622" s="98" t="str">
        <f>IF(IFERROR(VLOOKUP(A622,'4.鋼筋'!C:D,1,0),"")="","","✔")</f>
        <v/>
      </c>
      <c r="F622" s="98" t="str">
        <f>IF(IFERROR(VLOOKUP(A622,'5.模板'!C:D,1,0),"")="","","✔")</f>
        <v/>
      </c>
      <c r="G622" s="98" t="str">
        <f>IF(IFERROR(VLOOKUP(A622,'6.混凝土'!C:D,1,0),"")="","","✔")</f>
        <v/>
      </c>
      <c r="H622" s="98" t="str">
        <f>IF(IFERROR(VLOOKUP(A622,'7.植筋'!C:D,1,0),"")="","","✔")</f>
        <v/>
      </c>
      <c r="I622" s="98" t="str">
        <f>IF(IFERROR(VLOOKUP(A622,'8.預力混凝土基樁'!C:D,1,0),"")="","","✔")</f>
        <v/>
      </c>
      <c r="J622" s="98" t="str">
        <f>IF(IFERROR(VLOOKUP(A622,'9.砌塊石護岸'!C:D,1,0),"")="","","✔")</f>
        <v/>
      </c>
      <c r="K622" s="98" t="str">
        <f>IF(IFERROR(VLOOKUP(A622,'10.低水護岸'!C:D,1,0),"")="","","✔")</f>
        <v/>
      </c>
      <c r="L622" s="98" t="str">
        <f>IF(IFERROR(VLOOKUP(A622,'11.固床工'!C:D,1,0),"")="","","✔")</f>
        <v/>
      </c>
      <c r="M622" s="98" t="str">
        <f>IF(IFERROR(VLOOKUP(A622,'12.全套管基樁'!C:D,1,0),"")="","","✔")</f>
        <v/>
      </c>
      <c r="N622" s="98" t="str">
        <f>IF(IFERROR(VLOOKUP(A622,'13.鋼筋混凝土管工程'!C:D,1,0),"")="","","✔")</f>
        <v/>
      </c>
      <c r="O622" s="98" t="str">
        <f>IF(IFERROR(VLOOKUP(A622,'14.鋼版樁'!C:D,1,0),"")="","","✔")</f>
        <v/>
      </c>
      <c r="P622" s="98" t="str">
        <f>IF(IFERROR(VLOOKUP(A622,'15.路床 路基高程'!C:D,1,0),"")="","","✔")</f>
        <v/>
      </c>
      <c r="Q622" s="98" t="str">
        <f>IF(IFERROR(VLOOKUP(A622,'16.瀝青混凝土'!C:D,1,0),"")="","","✔")</f>
        <v/>
      </c>
      <c r="R622" s="98" t="str">
        <f>IF(IFERROR(VLOOKUP(A622,'17.景觀鋪面(一)'!C:D,1,0),"")="","","✔")</f>
        <v/>
      </c>
      <c r="S622" s="98" t="str">
        <f>IF(IFERROR(VLOOKUP(A622,'18.景觀鋪面(二)'!C:D,1,0),"")="","","✔")</f>
        <v/>
      </c>
      <c r="T622" s="98" t="str">
        <f>IF(IFERROR(VLOOKUP(A622,'19.預鑄緣石'!C:D,1,0),"")="","","✔")</f>
        <v/>
      </c>
      <c r="U622" s="98" t="str">
        <f>IF(IFERROR(VLOOKUP(A622,'20.鋼構工程吊裝'!C:D,1,0),"")="","","✔")</f>
        <v/>
      </c>
      <c r="V622" s="98" t="str">
        <f>IF(IFERROR(VLOOKUP(A622,'21.鋼構工程塗裝'!C:D,1,0),"")="","","✔")</f>
        <v/>
      </c>
      <c r="W622" s="98" t="str">
        <f>IF(IFERROR(VLOOKUP(A622,'22.排水設施(一)'!C:D,1,0),"")="","","✔")</f>
        <v/>
      </c>
      <c r="X622" s="98" t="str">
        <f>IF(IFERROR(VLOOKUP(A622,'23.排水設施(二)'!C:D,1,0),"")="","","✔")</f>
        <v/>
      </c>
      <c r="Y622" s="98" t="str">
        <f>IF(IFERROR(VLOOKUP(A622,'24.木構造'!C:D,1,0),"")="","","✔")</f>
        <v/>
      </c>
      <c r="Z622" s="98" t="str">
        <f>IF(IFERROR(VLOOKUP(A622,'25.管路'!C:D,1,0),"")="","","✔")</f>
        <v/>
      </c>
      <c r="AA622" s="98" t="str">
        <f>IF(IFERROR(VLOOKUP(A622,'26.植栽(移植)'!C:D,1,0),"")="","","✔")</f>
        <v/>
      </c>
      <c r="AB622" s="98" t="str">
        <f>IF(IFERROR(VLOOKUP(A622,'27.植栽(新植)'!C:D,1,0),"")="","","✔")</f>
        <v/>
      </c>
      <c r="AC622" s="98" t="str">
        <f>IF(IFERROR(VLOOKUP(A622,'28.照明'!C:D,1,0),"")="","","✔")</f>
        <v/>
      </c>
      <c r="AD622" s="98" t="str">
        <f>IF(IFERROR(VLOOKUP(A622,'29.既有橋梁拆除'!C:D,1,0),"")="","","✔")</f>
        <v/>
      </c>
    </row>
    <row r="623" spans="1:30" ht="21.75" customHeight="1" x14ac:dyDescent="0.25">
      <c r="A623" s="99">
        <v>45813</v>
      </c>
      <c r="B623" s="98" t="str">
        <f>IF(IFERROR(VLOOKUP(A623,'1.測量放樣'!C:D,1,0),"")="","","✔")</f>
        <v/>
      </c>
      <c r="C623" s="98" t="str">
        <f>IF(IFERROR(VLOOKUP(A623,'2.土方開挖'!C:D,1,0),"")="","","✔")</f>
        <v/>
      </c>
      <c r="D623" s="98" t="str">
        <f>IF(IFERROR(VLOOKUP(A623,'3.土方回填'!C:D,1,0),"")="","","✔")</f>
        <v/>
      </c>
      <c r="E623" s="98" t="str">
        <f>IF(IFERROR(VLOOKUP(A623,'4.鋼筋'!C:D,1,0),"")="","","✔")</f>
        <v/>
      </c>
      <c r="F623" s="98" t="str">
        <f>IF(IFERROR(VLOOKUP(A623,'5.模板'!C:D,1,0),"")="","","✔")</f>
        <v/>
      </c>
      <c r="G623" s="98" t="str">
        <f>IF(IFERROR(VLOOKUP(A623,'6.混凝土'!C:D,1,0),"")="","","✔")</f>
        <v/>
      </c>
      <c r="H623" s="98" t="str">
        <f>IF(IFERROR(VLOOKUP(A623,'7.植筋'!C:D,1,0),"")="","","✔")</f>
        <v/>
      </c>
      <c r="I623" s="98" t="str">
        <f>IF(IFERROR(VLOOKUP(A623,'8.預力混凝土基樁'!C:D,1,0),"")="","","✔")</f>
        <v/>
      </c>
      <c r="J623" s="98" t="str">
        <f>IF(IFERROR(VLOOKUP(A623,'9.砌塊石護岸'!C:D,1,0),"")="","","✔")</f>
        <v/>
      </c>
      <c r="K623" s="98" t="str">
        <f>IF(IFERROR(VLOOKUP(A623,'10.低水護岸'!C:D,1,0),"")="","","✔")</f>
        <v/>
      </c>
      <c r="L623" s="98" t="str">
        <f>IF(IFERROR(VLOOKUP(A623,'11.固床工'!C:D,1,0),"")="","","✔")</f>
        <v/>
      </c>
      <c r="M623" s="98" t="str">
        <f>IF(IFERROR(VLOOKUP(A623,'12.全套管基樁'!C:D,1,0),"")="","","✔")</f>
        <v/>
      </c>
      <c r="N623" s="98" t="str">
        <f>IF(IFERROR(VLOOKUP(A623,'13.鋼筋混凝土管工程'!C:D,1,0),"")="","","✔")</f>
        <v/>
      </c>
      <c r="O623" s="98" t="str">
        <f>IF(IFERROR(VLOOKUP(A623,'14.鋼版樁'!C:D,1,0),"")="","","✔")</f>
        <v/>
      </c>
      <c r="P623" s="98" t="str">
        <f>IF(IFERROR(VLOOKUP(A623,'15.路床 路基高程'!C:D,1,0),"")="","","✔")</f>
        <v/>
      </c>
      <c r="Q623" s="98" t="str">
        <f>IF(IFERROR(VLOOKUP(A623,'16.瀝青混凝土'!C:D,1,0),"")="","","✔")</f>
        <v/>
      </c>
      <c r="R623" s="98" t="str">
        <f>IF(IFERROR(VLOOKUP(A623,'17.景觀鋪面(一)'!C:D,1,0),"")="","","✔")</f>
        <v/>
      </c>
      <c r="S623" s="98" t="str">
        <f>IF(IFERROR(VLOOKUP(A623,'18.景觀鋪面(二)'!C:D,1,0),"")="","","✔")</f>
        <v/>
      </c>
      <c r="T623" s="98" t="str">
        <f>IF(IFERROR(VLOOKUP(A623,'19.預鑄緣石'!C:D,1,0),"")="","","✔")</f>
        <v/>
      </c>
      <c r="U623" s="98" t="str">
        <f>IF(IFERROR(VLOOKUP(A623,'20.鋼構工程吊裝'!C:D,1,0),"")="","","✔")</f>
        <v/>
      </c>
      <c r="V623" s="98" t="str">
        <f>IF(IFERROR(VLOOKUP(A623,'21.鋼構工程塗裝'!C:D,1,0),"")="","","✔")</f>
        <v/>
      </c>
      <c r="W623" s="98" t="str">
        <f>IF(IFERROR(VLOOKUP(A623,'22.排水設施(一)'!C:D,1,0),"")="","","✔")</f>
        <v/>
      </c>
      <c r="X623" s="98" t="str">
        <f>IF(IFERROR(VLOOKUP(A623,'23.排水設施(二)'!C:D,1,0),"")="","","✔")</f>
        <v/>
      </c>
      <c r="Y623" s="98" t="str">
        <f>IF(IFERROR(VLOOKUP(A623,'24.木構造'!C:D,1,0),"")="","","✔")</f>
        <v/>
      </c>
      <c r="Z623" s="98" t="str">
        <f>IF(IFERROR(VLOOKUP(A623,'25.管路'!C:D,1,0),"")="","","✔")</f>
        <v/>
      </c>
      <c r="AA623" s="98" t="str">
        <f>IF(IFERROR(VLOOKUP(A623,'26.植栽(移植)'!C:D,1,0),"")="","","✔")</f>
        <v/>
      </c>
      <c r="AB623" s="98" t="str">
        <f>IF(IFERROR(VLOOKUP(A623,'27.植栽(新植)'!C:D,1,0),"")="","","✔")</f>
        <v/>
      </c>
      <c r="AC623" s="98" t="str">
        <f>IF(IFERROR(VLOOKUP(A623,'28.照明'!C:D,1,0),"")="","","✔")</f>
        <v/>
      </c>
      <c r="AD623" s="98" t="str">
        <f>IF(IFERROR(VLOOKUP(A623,'29.既有橋梁拆除'!C:D,1,0),"")="","","✔")</f>
        <v/>
      </c>
    </row>
    <row r="624" spans="1:30" ht="21.75" customHeight="1" x14ac:dyDescent="0.25">
      <c r="A624" s="99">
        <v>45814</v>
      </c>
      <c r="B624" s="98" t="str">
        <f>IF(IFERROR(VLOOKUP(A624,'1.測量放樣'!C:D,1,0),"")="","","✔")</f>
        <v/>
      </c>
      <c r="C624" s="98" t="str">
        <f>IF(IFERROR(VLOOKUP(A624,'2.土方開挖'!C:D,1,0),"")="","","✔")</f>
        <v/>
      </c>
      <c r="D624" s="98" t="str">
        <f>IF(IFERROR(VLOOKUP(A624,'3.土方回填'!C:D,1,0),"")="","","✔")</f>
        <v/>
      </c>
      <c r="E624" s="98" t="str">
        <f>IF(IFERROR(VLOOKUP(A624,'4.鋼筋'!C:D,1,0),"")="","","✔")</f>
        <v/>
      </c>
      <c r="F624" s="98" t="str">
        <f>IF(IFERROR(VLOOKUP(A624,'5.模板'!C:D,1,0),"")="","","✔")</f>
        <v/>
      </c>
      <c r="G624" s="98" t="str">
        <f>IF(IFERROR(VLOOKUP(A624,'6.混凝土'!C:D,1,0),"")="","","✔")</f>
        <v/>
      </c>
      <c r="H624" s="98" t="str">
        <f>IF(IFERROR(VLOOKUP(A624,'7.植筋'!C:D,1,0),"")="","","✔")</f>
        <v/>
      </c>
      <c r="I624" s="98" t="str">
        <f>IF(IFERROR(VLOOKUP(A624,'8.預力混凝土基樁'!C:D,1,0),"")="","","✔")</f>
        <v/>
      </c>
      <c r="J624" s="98" t="str">
        <f>IF(IFERROR(VLOOKUP(A624,'9.砌塊石護岸'!C:D,1,0),"")="","","✔")</f>
        <v/>
      </c>
      <c r="K624" s="98" t="str">
        <f>IF(IFERROR(VLOOKUP(A624,'10.低水護岸'!C:D,1,0),"")="","","✔")</f>
        <v/>
      </c>
      <c r="L624" s="98" t="str">
        <f>IF(IFERROR(VLOOKUP(A624,'11.固床工'!C:D,1,0),"")="","","✔")</f>
        <v/>
      </c>
      <c r="M624" s="98" t="str">
        <f>IF(IFERROR(VLOOKUP(A624,'12.全套管基樁'!C:D,1,0),"")="","","✔")</f>
        <v/>
      </c>
      <c r="N624" s="98" t="str">
        <f>IF(IFERROR(VLOOKUP(A624,'13.鋼筋混凝土管工程'!C:D,1,0),"")="","","✔")</f>
        <v/>
      </c>
      <c r="O624" s="98" t="str">
        <f>IF(IFERROR(VLOOKUP(A624,'14.鋼版樁'!C:D,1,0),"")="","","✔")</f>
        <v/>
      </c>
      <c r="P624" s="98" t="str">
        <f>IF(IFERROR(VLOOKUP(A624,'15.路床 路基高程'!C:D,1,0),"")="","","✔")</f>
        <v/>
      </c>
      <c r="Q624" s="98" t="str">
        <f>IF(IFERROR(VLOOKUP(A624,'16.瀝青混凝土'!C:D,1,0),"")="","","✔")</f>
        <v/>
      </c>
      <c r="R624" s="98" t="str">
        <f>IF(IFERROR(VLOOKUP(A624,'17.景觀鋪面(一)'!C:D,1,0),"")="","","✔")</f>
        <v/>
      </c>
      <c r="S624" s="98" t="str">
        <f>IF(IFERROR(VLOOKUP(A624,'18.景觀鋪面(二)'!C:D,1,0),"")="","","✔")</f>
        <v/>
      </c>
      <c r="T624" s="98" t="str">
        <f>IF(IFERROR(VLOOKUP(A624,'19.預鑄緣石'!C:D,1,0),"")="","","✔")</f>
        <v/>
      </c>
      <c r="U624" s="98" t="str">
        <f>IF(IFERROR(VLOOKUP(A624,'20.鋼構工程吊裝'!C:D,1,0),"")="","","✔")</f>
        <v/>
      </c>
      <c r="V624" s="98" t="str">
        <f>IF(IFERROR(VLOOKUP(A624,'21.鋼構工程塗裝'!C:D,1,0),"")="","","✔")</f>
        <v/>
      </c>
      <c r="W624" s="98" t="str">
        <f>IF(IFERROR(VLOOKUP(A624,'22.排水設施(一)'!C:D,1,0),"")="","","✔")</f>
        <v/>
      </c>
      <c r="X624" s="98" t="str">
        <f>IF(IFERROR(VLOOKUP(A624,'23.排水設施(二)'!C:D,1,0),"")="","","✔")</f>
        <v/>
      </c>
      <c r="Y624" s="98" t="str">
        <f>IF(IFERROR(VLOOKUP(A624,'24.木構造'!C:D,1,0),"")="","","✔")</f>
        <v/>
      </c>
      <c r="Z624" s="98" t="str">
        <f>IF(IFERROR(VLOOKUP(A624,'25.管路'!C:D,1,0),"")="","","✔")</f>
        <v/>
      </c>
      <c r="AA624" s="98" t="str">
        <f>IF(IFERROR(VLOOKUP(A624,'26.植栽(移植)'!C:D,1,0),"")="","","✔")</f>
        <v/>
      </c>
      <c r="AB624" s="98" t="str">
        <f>IF(IFERROR(VLOOKUP(A624,'27.植栽(新植)'!C:D,1,0),"")="","","✔")</f>
        <v/>
      </c>
      <c r="AC624" s="98" t="str">
        <f>IF(IFERROR(VLOOKUP(A624,'28.照明'!C:D,1,0),"")="","","✔")</f>
        <v/>
      </c>
      <c r="AD624" s="98" t="str">
        <f>IF(IFERROR(VLOOKUP(A624,'29.既有橋梁拆除'!C:D,1,0),"")="","","✔")</f>
        <v/>
      </c>
    </row>
    <row r="625" spans="1:30" ht="21.75" customHeight="1" x14ac:dyDescent="0.25">
      <c r="A625" s="99">
        <v>45815</v>
      </c>
      <c r="B625" s="98" t="str">
        <f>IF(IFERROR(VLOOKUP(A625,'1.測量放樣'!C:D,1,0),"")="","","✔")</f>
        <v/>
      </c>
      <c r="C625" s="98" t="str">
        <f>IF(IFERROR(VLOOKUP(A625,'2.土方開挖'!C:D,1,0),"")="","","✔")</f>
        <v/>
      </c>
      <c r="D625" s="98" t="str">
        <f>IF(IFERROR(VLOOKUP(A625,'3.土方回填'!C:D,1,0),"")="","","✔")</f>
        <v/>
      </c>
      <c r="E625" s="98" t="str">
        <f>IF(IFERROR(VLOOKUP(A625,'4.鋼筋'!C:D,1,0),"")="","","✔")</f>
        <v/>
      </c>
      <c r="F625" s="98" t="str">
        <f>IF(IFERROR(VLOOKUP(A625,'5.模板'!C:D,1,0),"")="","","✔")</f>
        <v/>
      </c>
      <c r="G625" s="98" t="str">
        <f>IF(IFERROR(VLOOKUP(A625,'6.混凝土'!C:D,1,0),"")="","","✔")</f>
        <v/>
      </c>
      <c r="H625" s="98" t="str">
        <f>IF(IFERROR(VLOOKUP(A625,'7.植筋'!C:D,1,0),"")="","","✔")</f>
        <v/>
      </c>
      <c r="I625" s="98" t="str">
        <f>IF(IFERROR(VLOOKUP(A625,'8.預力混凝土基樁'!C:D,1,0),"")="","","✔")</f>
        <v/>
      </c>
      <c r="J625" s="98" t="str">
        <f>IF(IFERROR(VLOOKUP(A625,'9.砌塊石護岸'!C:D,1,0),"")="","","✔")</f>
        <v/>
      </c>
      <c r="K625" s="98" t="str">
        <f>IF(IFERROR(VLOOKUP(A625,'10.低水護岸'!C:D,1,0),"")="","","✔")</f>
        <v/>
      </c>
      <c r="L625" s="98" t="str">
        <f>IF(IFERROR(VLOOKUP(A625,'11.固床工'!C:D,1,0),"")="","","✔")</f>
        <v/>
      </c>
      <c r="M625" s="98" t="str">
        <f>IF(IFERROR(VLOOKUP(A625,'12.全套管基樁'!C:D,1,0),"")="","","✔")</f>
        <v/>
      </c>
      <c r="N625" s="98" t="str">
        <f>IF(IFERROR(VLOOKUP(A625,'13.鋼筋混凝土管工程'!C:D,1,0),"")="","","✔")</f>
        <v/>
      </c>
      <c r="O625" s="98" t="str">
        <f>IF(IFERROR(VLOOKUP(A625,'14.鋼版樁'!C:D,1,0),"")="","","✔")</f>
        <v/>
      </c>
      <c r="P625" s="98" t="str">
        <f>IF(IFERROR(VLOOKUP(A625,'15.路床 路基高程'!C:D,1,0),"")="","","✔")</f>
        <v/>
      </c>
      <c r="Q625" s="98" t="str">
        <f>IF(IFERROR(VLOOKUP(A625,'16.瀝青混凝土'!C:D,1,0),"")="","","✔")</f>
        <v/>
      </c>
      <c r="R625" s="98" t="str">
        <f>IF(IFERROR(VLOOKUP(A625,'17.景觀鋪面(一)'!C:D,1,0),"")="","","✔")</f>
        <v/>
      </c>
      <c r="S625" s="98" t="str">
        <f>IF(IFERROR(VLOOKUP(A625,'18.景觀鋪面(二)'!C:D,1,0),"")="","","✔")</f>
        <v/>
      </c>
      <c r="T625" s="98" t="str">
        <f>IF(IFERROR(VLOOKUP(A625,'19.預鑄緣石'!C:D,1,0),"")="","","✔")</f>
        <v/>
      </c>
      <c r="U625" s="98" t="str">
        <f>IF(IFERROR(VLOOKUP(A625,'20.鋼構工程吊裝'!C:D,1,0),"")="","","✔")</f>
        <v/>
      </c>
      <c r="V625" s="98" t="str">
        <f>IF(IFERROR(VLOOKUP(A625,'21.鋼構工程塗裝'!C:D,1,0),"")="","","✔")</f>
        <v/>
      </c>
      <c r="W625" s="98" t="str">
        <f>IF(IFERROR(VLOOKUP(A625,'22.排水設施(一)'!C:D,1,0),"")="","","✔")</f>
        <v/>
      </c>
      <c r="X625" s="98" t="str">
        <f>IF(IFERROR(VLOOKUP(A625,'23.排水設施(二)'!C:D,1,0),"")="","","✔")</f>
        <v/>
      </c>
      <c r="Y625" s="98" t="str">
        <f>IF(IFERROR(VLOOKUP(A625,'24.木構造'!C:D,1,0),"")="","","✔")</f>
        <v/>
      </c>
      <c r="Z625" s="98" t="str">
        <f>IF(IFERROR(VLOOKUP(A625,'25.管路'!C:D,1,0),"")="","","✔")</f>
        <v/>
      </c>
      <c r="AA625" s="98" t="str">
        <f>IF(IFERROR(VLOOKUP(A625,'26.植栽(移植)'!C:D,1,0),"")="","","✔")</f>
        <v/>
      </c>
      <c r="AB625" s="98" t="str">
        <f>IF(IFERROR(VLOOKUP(A625,'27.植栽(新植)'!C:D,1,0),"")="","","✔")</f>
        <v/>
      </c>
      <c r="AC625" s="98" t="str">
        <f>IF(IFERROR(VLOOKUP(A625,'28.照明'!C:D,1,0),"")="","","✔")</f>
        <v/>
      </c>
      <c r="AD625" s="98" t="str">
        <f>IF(IFERROR(VLOOKUP(A625,'29.既有橋梁拆除'!C:D,1,0),"")="","","✔")</f>
        <v/>
      </c>
    </row>
    <row r="626" spans="1:30" ht="21.75" customHeight="1" x14ac:dyDescent="0.25">
      <c r="A626" s="99">
        <v>45816</v>
      </c>
      <c r="B626" s="98" t="str">
        <f>IF(IFERROR(VLOOKUP(A626,'1.測量放樣'!C:D,1,0),"")="","","✔")</f>
        <v/>
      </c>
      <c r="C626" s="98" t="str">
        <f>IF(IFERROR(VLOOKUP(A626,'2.土方開挖'!C:D,1,0),"")="","","✔")</f>
        <v/>
      </c>
      <c r="D626" s="98" t="str">
        <f>IF(IFERROR(VLOOKUP(A626,'3.土方回填'!C:D,1,0),"")="","","✔")</f>
        <v/>
      </c>
      <c r="E626" s="98" t="str">
        <f>IF(IFERROR(VLOOKUP(A626,'4.鋼筋'!C:D,1,0),"")="","","✔")</f>
        <v/>
      </c>
      <c r="F626" s="98" t="str">
        <f>IF(IFERROR(VLOOKUP(A626,'5.模板'!C:D,1,0),"")="","","✔")</f>
        <v/>
      </c>
      <c r="G626" s="98" t="str">
        <f>IF(IFERROR(VLOOKUP(A626,'6.混凝土'!C:D,1,0),"")="","","✔")</f>
        <v/>
      </c>
      <c r="H626" s="98" t="str">
        <f>IF(IFERROR(VLOOKUP(A626,'7.植筋'!C:D,1,0),"")="","","✔")</f>
        <v/>
      </c>
      <c r="I626" s="98" t="str">
        <f>IF(IFERROR(VLOOKUP(A626,'8.預力混凝土基樁'!C:D,1,0),"")="","","✔")</f>
        <v/>
      </c>
      <c r="J626" s="98" t="str">
        <f>IF(IFERROR(VLOOKUP(A626,'9.砌塊石護岸'!C:D,1,0),"")="","","✔")</f>
        <v/>
      </c>
      <c r="K626" s="98" t="str">
        <f>IF(IFERROR(VLOOKUP(A626,'10.低水護岸'!C:D,1,0),"")="","","✔")</f>
        <v/>
      </c>
      <c r="L626" s="98" t="str">
        <f>IF(IFERROR(VLOOKUP(A626,'11.固床工'!C:D,1,0),"")="","","✔")</f>
        <v/>
      </c>
      <c r="M626" s="98" t="str">
        <f>IF(IFERROR(VLOOKUP(A626,'12.全套管基樁'!C:D,1,0),"")="","","✔")</f>
        <v/>
      </c>
      <c r="N626" s="98" t="str">
        <f>IF(IFERROR(VLOOKUP(A626,'13.鋼筋混凝土管工程'!C:D,1,0),"")="","","✔")</f>
        <v/>
      </c>
      <c r="O626" s="98" t="str">
        <f>IF(IFERROR(VLOOKUP(A626,'14.鋼版樁'!C:D,1,0),"")="","","✔")</f>
        <v/>
      </c>
      <c r="P626" s="98" t="str">
        <f>IF(IFERROR(VLOOKUP(A626,'15.路床 路基高程'!C:D,1,0),"")="","","✔")</f>
        <v/>
      </c>
      <c r="Q626" s="98" t="str">
        <f>IF(IFERROR(VLOOKUP(A626,'16.瀝青混凝土'!C:D,1,0),"")="","","✔")</f>
        <v/>
      </c>
      <c r="R626" s="98" t="str">
        <f>IF(IFERROR(VLOOKUP(A626,'17.景觀鋪面(一)'!C:D,1,0),"")="","","✔")</f>
        <v/>
      </c>
      <c r="S626" s="98" t="str">
        <f>IF(IFERROR(VLOOKUP(A626,'18.景觀鋪面(二)'!C:D,1,0),"")="","","✔")</f>
        <v/>
      </c>
      <c r="T626" s="98" t="str">
        <f>IF(IFERROR(VLOOKUP(A626,'19.預鑄緣石'!C:D,1,0),"")="","","✔")</f>
        <v/>
      </c>
      <c r="U626" s="98" t="str">
        <f>IF(IFERROR(VLOOKUP(A626,'20.鋼構工程吊裝'!C:D,1,0),"")="","","✔")</f>
        <v/>
      </c>
      <c r="V626" s="98" t="str">
        <f>IF(IFERROR(VLOOKUP(A626,'21.鋼構工程塗裝'!C:D,1,0),"")="","","✔")</f>
        <v/>
      </c>
      <c r="W626" s="98" t="str">
        <f>IF(IFERROR(VLOOKUP(A626,'22.排水設施(一)'!C:D,1,0),"")="","","✔")</f>
        <v/>
      </c>
      <c r="X626" s="98" t="str">
        <f>IF(IFERROR(VLOOKUP(A626,'23.排水設施(二)'!C:D,1,0),"")="","","✔")</f>
        <v/>
      </c>
      <c r="Y626" s="98" t="str">
        <f>IF(IFERROR(VLOOKUP(A626,'24.木構造'!C:D,1,0),"")="","","✔")</f>
        <v/>
      </c>
      <c r="Z626" s="98" t="str">
        <f>IF(IFERROR(VLOOKUP(A626,'25.管路'!C:D,1,0),"")="","","✔")</f>
        <v/>
      </c>
      <c r="AA626" s="98" t="str">
        <f>IF(IFERROR(VLOOKUP(A626,'26.植栽(移植)'!C:D,1,0),"")="","","✔")</f>
        <v/>
      </c>
      <c r="AB626" s="98" t="str">
        <f>IF(IFERROR(VLOOKUP(A626,'27.植栽(新植)'!C:D,1,0),"")="","","✔")</f>
        <v/>
      </c>
      <c r="AC626" s="98" t="str">
        <f>IF(IFERROR(VLOOKUP(A626,'28.照明'!C:D,1,0),"")="","","✔")</f>
        <v/>
      </c>
      <c r="AD626" s="98" t="str">
        <f>IF(IFERROR(VLOOKUP(A626,'29.既有橋梁拆除'!C:D,1,0),"")="","","✔")</f>
        <v/>
      </c>
    </row>
    <row r="627" spans="1:30" ht="21.75" customHeight="1" x14ac:dyDescent="0.25">
      <c r="A627" s="99">
        <v>45817</v>
      </c>
      <c r="B627" s="98" t="str">
        <f>IF(IFERROR(VLOOKUP(A627,'1.測量放樣'!C:D,1,0),"")="","","✔")</f>
        <v/>
      </c>
      <c r="C627" s="98" t="str">
        <f>IF(IFERROR(VLOOKUP(A627,'2.土方開挖'!C:D,1,0),"")="","","✔")</f>
        <v/>
      </c>
      <c r="D627" s="98" t="str">
        <f>IF(IFERROR(VLOOKUP(A627,'3.土方回填'!C:D,1,0),"")="","","✔")</f>
        <v/>
      </c>
      <c r="E627" s="98" t="str">
        <f>IF(IFERROR(VLOOKUP(A627,'4.鋼筋'!C:D,1,0),"")="","","✔")</f>
        <v/>
      </c>
      <c r="F627" s="98" t="str">
        <f>IF(IFERROR(VLOOKUP(A627,'5.模板'!C:D,1,0),"")="","","✔")</f>
        <v/>
      </c>
      <c r="G627" s="98" t="str">
        <f>IF(IFERROR(VLOOKUP(A627,'6.混凝土'!C:D,1,0),"")="","","✔")</f>
        <v/>
      </c>
      <c r="H627" s="98" t="str">
        <f>IF(IFERROR(VLOOKUP(A627,'7.植筋'!C:D,1,0),"")="","","✔")</f>
        <v/>
      </c>
      <c r="I627" s="98" t="str">
        <f>IF(IFERROR(VLOOKUP(A627,'8.預力混凝土基樁'!C:D,1,0),"")="","","✔")</f>
        <v/>
      </c>
      <c r="J627" s="98" t="str">
        <f>IF(IFERROR(VLOOKUP(A627,'9.砌塊石護岸'!C:D,1,0),"")="","","✔")</f>
        <v/>
      </c>
      <c r="K627" s="98" t="str">
        <f>IF(IFERROR(VLOOKUP(A627,'10.低水護岸'!C:D,1,0),"")="","","✔")</f>
        <v/>
      </c>
      <c r="L627" s="98" t="str">
        <f>IF(IFERROR(VLOOKUP(A627,'11.固床工'!C:D,1,0),"")="","","✔")</f>
        <v/>
      </c>
      <c r="M627" s="98" t="str">
        <f>IF(IFERROR(VLOOKUP(A627,'12.全套管基樁'!C:D,1,0),"")="","","✔")</f>
        <v/>
      </c>
      <c r="N627" s="98" t="str">
        <f>IF(IFERROR(VLOOKUP(A627,'13.鋼筋混凝土管工程'!C:D,1,0),"")="","","✔")</f>
        <v/>
      </c>
      <c r="O627" s="98" t="str">
        <f>IF(IFERROR(VLOOKUP(A627,'14.鋼版樁'!C:D,1,0),"")="","","✔")</f>
        <v/>
      </c>
      <c r="P627" s="98" t="str">
        <f>IF(IFERROR(VLOOKUP(A627,'15.路床 路基高程'!C:D,1,0),"")="","","✔")</f>
        <v/>
      </c>
      <c r="Q627" s="98" t="str">
        <f>IF(IFERROR(VLOOKUP(A627,'16.瀝青混凝土'!C:D,1,0),"")="","","✔")</f>
        <v/>
      </c>
      <c r="R627" s="98" t="str">
        <f>IF(IFERROR(VLOOKUP(A627,'17.景觀鋪面(一)'!C:D,1,0),"")="","","✔")</f>
        <v/>
      </c>
      <c r="S627" s="98" t="str">
        <f>IF(IFERROR(VLOOKUP(A627,'18.景觀鋪面(二)'!C:D,1,0),"")="","","✔")</f>
        <v/>
      </c>
      <c r="T627" s="98" t="str">
        <f>IF(IFERROR(VLOOKUP(A627,'19.預鑄緣石'!C:D,1,0),"")="","","✔")</f>
        <v/>
      </c>
      <c r="U627" s="98" t="str">
        <f>IF(IFERROR(VLOOKUP(A627,'20.鋼構工程吊裝'!C:D,1,0),"")="","","✔")</f>
        <v/>
      </c>
      <c r="V627" s="98" t="str">
        <f>IF(IFERROR(VLOOKUP(A627,'21.鋼構工程塗裝'!C:D,1,0),"")="","","✔")</f>
        <v/>
      </c>
      <c r="W627" s="98" t="str">
        <f>IF(IFERROR(VLOOKUP(A627,'22.排水設施(一)'!C:D,1,0),"")="","","✔")</f>
        <v/>
      </c>
      <c r="X627" s="98" t="str">
        <f>IF(IFERROR(VLOOKUP(A627,'23.排水設施(二)'!C:D,1,0),"")="","","✔")</f>
        <v/>
      </c>
      <c r="Y627" s="98" t="str">
        <f>IF(IFERROR(VLOOKUP(A627,'24.木構造'!C:D,1,0),"")="","","✔")</f>
        <v/>
      </c>
      <c r="Z627" s="98" t="str">
        <f>IF(IFERROR(VLOOKUP(A627,'25.管路'!C:D,1,0),"")="","","✔")</f>
        <v/>
      </c>
      <c r="AA627" s="98" t="str">
        <f>IF(IFERROR(VLOOKUP(A627,'26.植栽(移植)'!C:D,1,0),"")="","","✔")</f>
        <v/>
      </c>
      <c r="AB627" s="98" t="str">
        <f>IF(IFERROR(VLOOKUP(A627,'27.植栽(新植)'!C:D,1,0),"")="","","✔")</f>
        <v/>
      </c>
      <c r="AC627" s="98" t="str">
        <f>IF(IFERROR(VLOOKUP(A627,'28.照明'!C:D,1,0),"")="","","✔")</f>
        <v/>
      </c>
      <c r="AD627" s="98" t="str">
        <f>IF(IFERROR(VLOOKUP(A627,'29.既有橋梁拆除'!C:D,1,0),"")="","","✔")</f>
        <v/>
      </c>
    </row>
    <row r="628" spans="1:30" ht="21.75" customHeight="1" x14ac:dyDescent="0.25">
      <c r="A628" s="99">
        <v>45818</v>
      </c>
      <c r="B628" s="98" t="str">
        <f>IF(IFERROR(VLOOKUP(A628,'1.測量放樣'!C:D,1,0),"")="","","✔")</f>
        <v/>
      </c>
      <c r="C628" s="98" t="str">
        <f>IF(IFERROR(VLOOKUP(A628,'2.土方開挖'!C:D,1,0),"")="","","✔")</f>
        <v/>
      </c>
      <c r="D628" s="98" t="str">
        <f>IF(IFERROR(VLOOKUP(A628,'3.土方回填'!C:D,1,0),"")="","","✔")</f>
        <v/>
      </c>
      <c r="E628" s="98" t="str">
        <f>IF(IFERROR(VLOOKUP(A628,'4.鋼筋'!C:D,1,0),"")="","","✔")</f>
        <v/>
      </c>
      <c r="F628" s="98" t="str">
        <f>IF(IFERROR(VLOOKUP(A628,'5.模板'!C:D,1,0),"")="","","✔")</f>
        <v/>
      </c>
      <c r="G628" s="98" t="str">
        <f>IF(IFERROR(VLOOKUP(A628,'6.混凝土'!C:D,1,0),"")="","","✔")</f>
        <v/>
      </c>
      <c r="H628" s="98" t="str">
        <f>IF(IFERROR(VLOOKUP(A628,'7.植筋'!C:D,1,0),"")="","","✔")</f>
        <v/>
      </c>
      <c r="I628" s="98" t="str">
        <f>IF(IFERROR(VLOOKUP(A628,'8.預力混凝土基樁'!C:D,1,0),"")="","","✔")</f>
        <v/>
      </c>
      <c r="J628" s="98" t="str">
        <f>IF(IFERROR(VLOOKUP(A628,'9.砌塊石護岸'!C:D,1,0),"")="","","✔")</f>
        <v/>
      </c>
      <c r="K628" s="98" t="str">
        <f>IF(IFERROR(VLOOKUP(A628,'10.低水護岸'!C:D,1,0),"")="","","✔")</f>
        <v/>
      </c>
      <c r="L628" s="98" t="str">
        <f>IF(IFERROR(VLOOKUP(A628,'11.固床工'!C:D,1,0),"")="","","✔")</f>
        <v/>
      </c>
      <c r="M628" s="98" t="str">
        <f>IF(IFERROR(VLOOKUP(A628,'12.全套管基樁'!C:D,1,0),"")="","","✔")</f>
        <v/>
      </c>
      <c r="N628" s="98" t="str">
        <f>IF(IFERROR(VLOOKUP(A628,'13.鋼筋混凝土管工程'!C:D,1,0),"")="","","✔")</f>
        <v/>
      </c>
      <c r="O628" s="98" t="str">
        <f>IF(IFERROR(VLOOKUP(A628,'14.鋼版樁'!C:D,1,0),"")="","","✔")</f>
        <v/>
      </c>
      <c r="P628" s="98" t="str">
        <f>IF(IFERROR(VLOOKUP(A628,'15.路床 路基高程'!C:D,1,0),"")="","","✔")</f>
        <v/>
      </c>
      <c r="Q628" s="98" t="str">
        <f>IF(IFERROR(VLOOKUP(A628,'16.瀝青混凝土'!C:D,1,0),"")="","","✔")</f>
        <v/>
      </c>
      <c r="R628" s="98" t="str">
        <f>IF(IFERROR(VLOOKUP(A628,'17.景觀鋪面(一)'!C:D,1,0),"")="","","✔")</f>
        <v/>
      </c>
      <c r="S628" s="98" t="str">
        <f>IF(IFERROR(VLOOKUP(A628,'18.景觀鋪面(二)'!C:D,1,0),"")="","","✔")</f>
        <v/>
      </c>
      <c r="T628" s="98" t="str">
        <f>IF(IFERROR(VLOOKUP(A628,'19.預鑄緣石'!C:D,1,0),"")="","","✔")</f>
        <v/>
      </c>
      <c r="U628" s="98" t="str">
        <f>IF(IFERROR(VLOOKUP(A628,'20.鋼構工程吊裝'!C:D,1,0),"")="","","✔")</f>
        <v/>
      </c>
      <c r="V628" s="98" t="str">
        <f>IF(IFERROR(VLOOKUP(A628,'21.鋼構工程塗裝'!C:D,1,0),"")="","","✔")</f>
        <v/>
      </c>
      <c r="W628" s="98" t="str">
        <f>IF(IFERROR(VLOOKUP(A628,'22.排水設施(一)'!C:D,1,0),"")="","","✔")</f>
        <v/>
      </c>
      <c r="X628" s="98" t="str">
        <f>IF(IFERROR(VLOOKUP(A628,'23.排水設施(二)'!C:D,1,0),"")="","","✔")</f>
        <v/>
      </c>
      <c r="Y628" s="98" t="str">
        <f>IF(IFERROR(VLOOKUP(A628,'24.木構造'!C:D,1,0),"")="","","✔")</f>
        <v/>
      </c>
      <c r="Z628" s="98" t="str">
        <f>IF(IFERROR(VLOOKUP(A628,'25.管路'!C:D,1,0),"")="","","✔")</f>
        <v/>
      </c>
      <c r="AA628" s="98" t="str">
        <f>IF(IFERROR(VLOOKUP(A628,'26.植栽(移植)'!C:D,1,0),"")="","","✔")</f>
        <v/>
      </c>
      <c r="AB628" s="98" t="str">
        <f>IF(IFERROR(VLOOKUP(A628,'27.植栽(新植)'!C:D,1,0),"")="","","✔")</f>
        <v/>
      </c>
      <c r="AC628" s="98" t="str">
        <f>IF(IFERROR(VLOOKUP(A628,'28.照明'!C:D,1,0),"")="","","✔")</f>
        <v/>
      </c>
      <c r="AD628" s="98" t="str">
        <f>IF(IFERROR(VLOOKUP(A628,'29.既有橋梁拆除'!C:D,1,0),"")="","","✔")</f>
        <v/>
      </c>
    </row>
    <row r="629" spans="1:30" ht="21.75" customHeight="1" x14ac:dyDescent="0.25">
      <c r="A629" s="99">
        <v>45819</v>
      </c>
      <c r="B629" s="98" t="str">
        <f>IF(IFERROR(VLOOKUP(A629,'1.測量放樣'!C:D,1,0),"")="","","✔")</f>
        <v/>
      </c>
      <c r="C629" s="98" t="str">
        <f>IF(IFERROR(VLOOKUP(A629,'2.土方開挖'!C:D,1,0),"")="","","✔")</f>
        <v/>
      </c>
      <c r="D629" s="98" t="str">
        <f>IF(IFERROR(VLOOKUP(A629,'3.土方回填'!C:D,1,0),"")="","","✔")</f>
        <v/>
      </c>
      <c r="E629" s="98" t="str">
        <f>IF(IFERROR(VLOOKUP(A629,'4.鋼筋'!C:D,1,0),"")="","","✔")</f>
        <v/>
      </c>
      <c r="F629" s="98" t="str">
        <f>IF(IFERROR(VLOOKUP(A629,'5.模板'!C:D,1,0),"")="","","✔")</f>
        <v/>
      </c>
      <c r="G629" s="98" t="str">
        <f>IF(IFERROR(VLOOKUP(A629,'6.混凝土'!C:D,1,0),"")="","","✔")</f>
        <v/>
      </c>
      <c r="H629" s="98" t="str">
        <f>IF(IFERROR(VLOOKUP(A629,'7.植筋'!C:D,1,0),"")="","","✔")</f>
        <v/>
      </c>
      <c r="I629" s="98" t="str">
        <f>IF(IFERROR(VLOOKUP(A629,'8.預力混凝土基樁'!C:D,1,0),"")="","","✔")</f>
        <v/>
      </c>
      <c r="J629" s="98" t="str">
        <f>IF(IFERROR(VLOOKUP(A629,'9.砌塊石護岸'!C:D,1,0),"")="","","✔")</f>
        <v/>
      </c>
      <c r="K629" s="98" t="str">
        <f>IF(IFERROR(VLOOKUP(A629,'10.低水護岸'!C:D,1,0),"")="","","✔")</f>
        <v/>
      </c>
      <c r="L629" s="98" t="str">
        <f>IF(IFERROR(VLOOKUP(A629,'11.固床工'!C:D,1,0),"")="","","✔")</f>
        <v/>
      </c>
      <c r="M629" s="98" t="str">
        <f>IF(IFERROR(VLOOKUP(A629,'12.全套管基樁'!C:D,1,0),"")="","","✔")</f>
        <v/>
      </c>
      <c r="N629" s="98" t="str">
        <f>IF(IFERROR(VLOOKUP(A629,'13.鋼筋混凝土管工程'!C:D,1,0),"")="","","✔")</f>
        <v/>
      </c>
      <c r="O629" s="98" t="str">
        <f>IF(IFERROR(VLOOKUP(A629,'14.鋼版樁'!C:D,1,0),"")="","","✔")</f>
        <v/>
      </c>
      <c r="P629" s="98" t="str">
        <f>IF(IFERROR(VLOOKUP(A629,'15.路床 路基高程'!C:D,1,0),"")="","","✔")</f>
        <v/>
      </c>
      <c r="Q629" s="98" t="str">
        <f>IF(IFERROR(VLOOKUP(A629,'16.瀝青混凝土'!C:D,1,0),"")="","","✔")</f>
        <v/>
      </c>
      <c r="R629" s="98" t="str">
        <f>IF(IFERROR(VLOOKUP(A629,'17.景觀鋪面(一)'!C:D,1,0),"")="","","✔")</f>
        <v/>
      </c>
      <c r="S629" s="98" t="str">
        <f>IF(IFERROR(VLOOKUP(A629,'18.景觀鋪面(二)'!C:D,1,0),"")="","","✔")</f>
        <v/>
      </c>
      <c r="T629" s="98" t="str">
        <f>IF(IFERROR(VLOOKUP(A629,'19.預鑄緣石'!C:D,1,0),"")="","","✔")</f>
        <v/>
      </c>
      <c r="U629" s="98" t="str">
        <f>IF(IFERROR(VLOOKUP(A629,'20.鋼構工程吊裝'!C:D,1,0),"")="","","✔")</f>
        <v/>
      </c>
      <c r="V629" s="98" t="str">
        <f>IF(IFERROR(VLOOKUP(A629,'21.鋼構工程塗裝'!C:D,1,0),"")="","","✔")</f>
        <v/>
      </c>
      <c r="W629" s="98" t="str">
        <f>IF(IFERROR(VLOOKUP(A629,'22.排水設施(一)'!C:D,1,0),"")="","","✔")</f>
        <v/>
      </c>
      <c r="X629" s="98" t="str">
        <f>IF(IFERROR(VLOOKUP(A629,'23.排水設施(二)'!C:D,1,0),"")="","","✔")</f>
        <v/>
      </c>
      <c r="Y629" s="98" t="str">
        <f>IF(IFERROR(VLOOKUP(A629,'24.木構造'!C:D,1,0),"")="","","✔")</f>
        <v/>
      </c>
      <c r="Z629" s="98" t="str">
        <f>IF(IFERROR(VLOOKUP(A629,'25.管路'!C:D,1,0),"")="","","✔")</f>
        <v/>
      </c>
      <c r="AA629" s="98" t="str">
        <f>IF(IFERROR(VLOOKUP(A629,'26.植栽(移植)'!C:D,1,0),"")="","","✔")</f>
        <v/>
      </c>
      <c r="AB629" s="98" t="str">
        <f>IF(IFERROR(VLOOKUP(A629,'27.植栽(新植)'!C:D,1,0),"")="","","✔")</f>
        <v/>
      </c>
      <c r="AC629" s="98" t="str">
        <f>IF(IFERROR(VLOOKUP(A629,'28.照明'!C:D,1,0),"")="","","✔")</f>
        <v/>
      </c>
      <c r="AD629" s="98" t="str">
        <f>IF(IFERROR(VLOOKUP(A629,'29.既有橋梁拆除'!C:D,1,0),"")="","","✔")</f>
        <v/>
      </c>
    </row>
    <row r="630" spans="1:30" ht="21.75" customHeight="1" x14ac:dyDescent="0.25">
      <c r="A630" s="99">
        <v>45820</v>
      </c>
      <c r="B630" s="98" t="str">
        <f>IF(IFERROR(VLOOKUP(A630,'1.測量放樣'!C:D,1,0),"")="","","✔")</f>
        <v/>
      </c>
      <c r="C630" s="98" t="str">
        <f>IF(IFERROR(VLOOKUP(A630,'2.土方開挖'!C:D,1,0),"")="","","✔")</f>
        <v/>
      </c>
      <c r="D630" s="98" t="str">
        <f>IF(IFERROR(VLOOKUP(A630,'3.土方回填'!C:D,1,0),"")="","","✔")</f>
        <v/>
      </c>
      <c r="E630" s="98" t="str">
        <f>IF(IFERROR(VLOOKUP(A630,'4.鋼筋'!C:D,1,0),"")="","","✔")</f>
        <v/>
      </c>
      <c r="F630" s="98" t="str">
        <f>IF(IFERROR(VLOOKUP(A630,'5.模板'!C:D,1,0),"")="","","✔")</f>
        <v/>
      </c>
      <c r="G630" s="98" t="str">
        <f>IF(IFERROR(VLOOKUP(A630,'6.混凝土'!C:D,1,0),"")="","","✔")</f>
        <v/>
      </c>
      <c r="H630" s="98" t="str">
        <f>IF(IFERROR(VLOOKUP(A630,'7.植筋'!C:D,1,0),"")="","","✔")</f>
        <v/>
      </c>
      <c r="I630" s="98" t="str">
        <f>IF(IFERROR(VLOOKUP(A630,'8.預力混凝土基樁'!C:D,1,0),"")="","","✔")</f>
        <v/>
      </c>
      <c r="J630" s="98" t="str">
        <f>IF(IFERROR(VLOOKUP(A630,'9.砌塊石護岸'!C:D,1,0),"")="","","✔")</f>
        <v/>
      </c>
      <c r="K630" s="98" t="str">
        <f>IF(IFERROR(VLOOKUP(A630,'10.低水護岸'!C:D,1,0),"")="","","✔")</f>
        <v/>
      </c>
      <c r="L630" s="98" t="str">
        <f>IF(IFERROR(VLOOKUP(A630,'11.固床工'!C:D,1,0),"")="","","✔")</f>
        <v/>
      </c>
      <c r="M630" s="98" t="str">
        <f>IF(IFERROR(VLOOKUP(A630,'12.全套管基樁'!C:D,1,0),"")="","","✔")</f>
        <v/>
      </c>
      <c r="N630" s="98" t="str">
        <f>IF(IFERROR(VLOOKUP(A630,'13.鋼筋混凝土管工程'!C:D,1,0),"")="","","✔")</f>
        <v/>
      </c>
      <c r="O630" s="98" t="str">
        <f>IF(IFERROR(VLOOKUP(A630,'14.鋼版樁'!C:D,1,0),"")="","","✔")</f>
        <v/>
      </c>
      <c r="P630" s="98" t="str">
        <f>IF(IFERROR(VLOOKUP(A630,'15.路床 路基高程'!C:D,1,0),"")="","","✔")</f>
        <v/>
      </c>
      <c r="Q630" s="98" t="str">
        <f>IF(IFERROR(VLOOKUP(A630,'16.瀝青混凝土'!C:D,1,0),"")="","","✔")</f>
        <v/>
      </c>
      <c r="R630" s="98" t="str">
        <f>IF(IFERROR(VLOOKUP(A630,'17.景觀鋪面(一)'!C:D,1,0),"")="","","✔")</f>
        <v/>
      </c>
      <c r="S630" s="98" t="str">
        <f>IF(IFERROR(VLOOKUP(A630,'18.景觀鋪面(二)'!C:D,1,0),"")="","","✔")</f>
        <v/>
      </c>
      <c r="T630" s="98" t="str">
        <f>IF(IFERROR(VLOOKUP(A630,'19.預鑄緣石'!C:D,1,0),"")="","","✔")</f>
        <v/>
      </c>
      <c r="U630" s="98" t="str">
        <f>IF(IFERROR(VLOOKUP(A630,'20.鋼構工程吊裝'!C:D,1,0),"")="","","✔")</f>
        <v/>
      </c>
      <c r="V630" s="98" t="str">
        <f>IF(IFERROR(VLOOKUP(A630,'21.鋼構工程塗裝'!C:D,1,0),"")="","","✔")</f>
        <v/>
      </c>
      <c r="W630" s="98" t="str">
        <f>IF(IFERROR(VLOOKUP(A630,'22.排水設施(一)'!C:D,1,0),"")="","","✔")</f>
        <v/>
      </c>
      <c r="X630" s="98" t="str">
        <f>IF(IFERROR(VLOOKUP(A630,'23.排水設施(二)'!C:D,1,0),"")="","","✔")</f>
        <v/>
      </c>
      <c r="Y630" s="98" t="str">
        <f>IF(IFERROR(VLOOKUP(A630,'24.木構造'!C:D,1,0),"")="","","✔")</f>
        <v/>
      </c>
      <c r="Z630" s="98" t="str">
        <f>IF(IFERROR(VLOOKUP(A630,'25.管路'!C:D,1,0),"")="","","✔")</f>
        <v/>
      </c>
      <c r="AA630" s="98" t="str">
        <f>IF(IFERROR(VLOOKUP(A630,'26.植栽(移植)'!C:D,1,0),"")="","","✔")</f>
        <v/>
      </c>
      <c r="AB630" s="98" t="str">
        <f>IF(IFERROR(VLOOKUP(A630,'27.植栽(新植)'!C:D,1,0),"")="","","✔")</f>
        <v/>
      </c>
      <c r="AC630" s="98" t="str">
        <f>IF(IFERROR(VLOOKUP(A630,'28.照明'!C:D,1,0),"")="","","✔")</f>
        <v/>
      </c>
      <c r="AD630" s="98" t="str">
        <f>IF(IFERROR(VLOOKUP(A630,'29.既有橋梁拆除'!C:D,1,0),"")="","","✔")</f>
        <v/>
      </c>
    </row>
    <row r="631" spans="1:30" ht="21.75" customHeight="1" x14ac:dyDescent="0.25">
      <c r="A631" s="99">
        <v>45821</v>
      </c>
      <c r="B631" s="98" t="str">
        <f>IF(IFERROR(VLOOKUP(A631,'1.測量放樣'!C:D,1,0),"")="","","✔")</f>
        <v/>
      </c>
      <c r="C631" s="98" t="str">
        <f>IF(IFERROR(VLOOKUP(A631,'2.土方開挖'!C:D,1,0),"")="","","✔")</f>
        <v/>
      </c>
      <c r="D631" s="98" t="str">
        <f>IF(IFERROR(VLOOKUP(A631,'3.土方回填'!C:D,1,0),"")="","","✔")</f>
        <v/>
      </c>
      <c r="E631" s="98" t="str">
        <f>IF(IFERROR(VLOOKUP(A631,'4.鋼筋'!C:D,1,0),"")="","","✔")</f>
        <v/>
      </c>
      <c r="F631" s="98" t="str">
        <f>IF(IFERROR(VLOOKUP(A631,'5.模板'!C:D,1,0),"")="","","✔")</f>
        <v/>
      </c>
      <c r="G631" s="98" t="str">
        <f>IF(IFERROR(VLOOKUP(A631,'6.混凝土'!C:D,1,0),"")="","","✔")</f>
        <v/>
      </c>
      <c r="H631" s="98" t="str">
        <f>IF(IFERROR(VLOOKUP(A631,'7.植筋'!C:D,1,0),"")="","","✔")</f>
        <v/>
      </c>
      <c r="I631" s="98" t="str">
        <f>IF(IFERROR(VLOOKUP(A631,'8.預力混凝土基樁'!C:D,1,0),"")="","","✔")</f>
        <v/>
      </c>
      <c r="J631" s="98" t="str">
        <f>IF(IFERROR(VLOOKUP(A631,'9.砌塊石護岸'!C:D,1,0),"")="","","✔")</f>
        <v/>
      </c>
      <c r="K631" s="98" t="str">
        <f>IF(IFERROR(VLOOKUP(A631,'10.低水護岸'!C:D,1,0),"")="","","✔")</f>
        <v/>
      </c>
      <c r="L631" s="98" t="str">
        <f>IF(IFERROR(VLOOKUP(A631,'11.固床工'!C:D,1,0),"")="","","✔")</f>
        <v/>
      </c>
      <c r="M631" s="98" t="str">
        <f>IF(IFERROR(VLOOKUP(A631,'12.全套管基樁'!C:D,1,0),"")="","","✔")</f>
        <v/>
      </c>
      <c r="N631" s="98" t="str">
        <f>IF(IFERROR(VLOOKUP(A631,'13.鋼筋混凝土管工程'!C:D,1,0),"")="","","✔")</f>
        <v/>
      </c>
      <c r="O631" s="98" t="str">
        <f>IF(IFERROR(VLOOKUP(A631,'14.鋼版樁'!C:D,1,0),"")="","","✔")</f>
        <v/>
      </c>
      <c r="P631" s="98" t="str">
        <f>IF(IFERROR(VLOOKUP(A631,'15.路床 路基高程'!C:D,1,0),"")="","","✔")</f>
        <v/>
      </c>
      <c r="Q631" s="98" t="str">
        <f>IF(IFERROR(VLOOKUP(A631,'16.瀝青混凝土'!C:D,1,0),"")="","","✔")</f>
        <v/>
      </c>
      <c r="R631" s="98" t="str">
        <f>IF(IFERROR(VLOOKUP(A631,'17.景觀鋪面(一)'!C:D,1,0),"")="","","✔")</f>
        <v/>
      </c>
      <c r="S631" s="98" t="str">
        <f>IF(IFERROR(VLOOKUP(A631,'18.景觀鋪面(二)'!C:D,1,0),"")="","","✔")</f>
        <v/>
      </c>
      <c r="T631" s="98" t="str">
        <f>IF(IFERROR(VLOOKUP(A631,'19.預鑄緣石'!C:D,1,0),"")="","","✔")</f>
        <v/>
      </c>
      <c r="U631" s="98" t="str">
        <f>IF(IFERROR(VLOOKUP(A631,'20.鋼構工程吊裝'!C:D,1,0),"")="","","✔")</f>
        <v/>
      </c>
      <c r="V631" s="98" t="str">
        <f>IF(IFERROR(VLOOKUP(A631,'21.鋼構工程塗裝'!C:D,1,0),"")="","","✔")</f>
        <v/>
      </c>
      <c r="W631" s="98" t="str">
        <f>IF(IFERROR(VLOOKUP(A631,'22.排水設施(一)'!C:D,1,0),"")="","","✔")</f>
        <v/>
      </c>
      <c r="X631" s="98" t="str">
        <f>IF(IFERROR(VLOOKUP(A631,'23.排水設施(二)'!C:D,1,0),"")="","","✔")</f>
        <v/>
      </c>
      <c r="Y631" s="98" t="str">
        <f>IF(IFERROR(VLOOKUP(A631,'24.木構造'!C:D,1,0),"")="","","✔")</f>
        <v/>
      </c>
      <c r="Z631" s="98" t="str">
        <f>IF(IFERROR(VLOOKUP(A631,'25.管路'!C:D,1,0),"")="","","✔")</f>
        <v/>
      </c>
      <c r="AA631" s="98" t="str">
        <f>IF(IFERROR(VLOOKUP(A631,'26.植栽(移植)'!C:D,1,0),"")="","","✔")</f>
        <v/>
      </c>
      <c r="AB631" s="98" t="str">
        <f>IF(IFERROR(VLOOKUP(A631,'27.植栽(新植)'!C:D,1,0),"")="","","✔")</f>
        <v/>
      </c>
      <c r="AC631" s="98" t="str">
        <f>IF(IFERROR(VLOOKUP(A631,'28.照明'!C:D,1,0),"")="","","✔")</f>
        <v/>
      </c>
      <c r="AD631" s="98" t="str">
        <f>IF(IFERROR(VLOOKUP(A631,'29.既有橋梁拆除'!C:D,1,0),"")="","","✔")</f>
        <v/>
      </c>
    </row>
    <row r="632" spans="1:30" ht="21.75" customHeight="1" x14ac:dyDescent="0.25">
      <c r="A632" s="99">
        <v>45822</v>
      </c>
      <c r="B632" s="98" t="str">
        <f>IF(IFERROR(VLOOKUP(A632,'1.測量放樣'!C:D,1,0),"")="","","✔")</f>
        <v/>
      </c>
      <c r="C632" s="98" t="str">
        <f>IF(IFERROR(VLOOKUP(A632,'2.土方開挖'!C:D,1,0),"")="","","✔")</f>
        <v/>
      </c>
      <c r="D632" s="98" t="str">
        <f>IF(IFERROR(VLOOKUP(A632,'3.土方回填'!C:D,1,0),"")="","","✔")</f>
        <v/>
      </c>
      <c r="E632" s="98" t="str">
        <f>IF(IFERROR(VLOOKUP(A632,'4.鋼筋'!C:D,1,0),"")="","","✔")</f>
        <v/>
      </c>
      <c r="F632" s="98" t="str">
        <f>IF(IFERROR(VLOOKUP(A632,'5.模板'!C:D,1,0),"")="","","✔")</f>
        <v/>
      </c>
      <c r="G632" s="98" t="str">
        <f>IF(IFERROR(VLOOKUP(A632,'6.混凝土'!C:D,1,0),"")="","","✔")</f>
        <v/>
      </c>
      <c r="H632" s="98" t="str">
        <f>IF(IFERROR(VLOOKUP(A632,'7.植筋'!C:D,1,0),"")="","","✔")</f>
        <v/>
      </c>
      <c r="I632" s="98" t="str">
        <f>IF(IFERROR(VLOOKUP(A632,'8.預力混凝土基樁'!C:D,1,0),"")="","","✔")</f>
        <v/>
      </c>
      <c r="J632" s="98" t="str">
        <f>IF(IFERROR(VLOOKUP(A632,'9.砌塊石護岸'!C:D,1,0),"")="","","✔")</f>
        <v/>
      </c>
      <c r="K632" s="98" t="str">
        <f>IF(IFERROR(VLOOKUP(A632,'10.低水護岸'!C:D,1,0),"")="","","✔")</f>
        <v/>
      </c>
      <c r="L632" s="98" t="str">
        <f>IF(IFERROR(VLOOKUP(A632,'11.固床工'!C:D,1,0),"")="","","✔")</f>
        <v/>
      </c>
      <c r="M632" s="98" t="str">
        <f>IF(IFERROR(VLOOKUP(A632,'12.全套管基樁'!C:D,1,0),"")="","","✔")</f>
        <v/>
      </c>
      <c r="N632" s="98" t="str">
        <f>IF(IFERROR(VLOOKUP(A632,'13.鋼筋混凝土管工程'!C:D,1,0),"")="","","✔")</f>
        <v/>
      </c>
      <c r="O632" s="98" t="str">
        <f>IF(IFERROR(VLOOKUP(A632,'14.鋼版樁'!C:D,1,0),"")="","","✔")</f>
        <v/>
      </c>
      <c r="P632" s="98" t="str">
        <f>IF(IFERROR(VLOOKUP(A632,'15.路床 路基高程'!C:D,1,0),"")="","","✔")</f>
        <v/>
      </c>
      <c r="Q632" s="98" t="str">
        <f>IF(IFERROR(VLOOKUP(A632,'16.瀝青混凝土'!C:D,1,0),"")="","","✔")</f>
        <v/>
      </c>
      <c r="R632" s="98" t="str">
        <f>IF(IFERROR(VLOOKUP(A632,'17.景觀鋪面(一)'!C:D,1,0),"")="","","✔")</f>
        <v/>
      </c>
      <c r="S632" s="98" t="str">
        <f>IF(IFERROR(VLOOKUP(A632,'18.景觀鋪面(二)'!C:D,1,0),"")="","","✔")</f>
        <v/>
      </c>
      <c r="T632" s="98" t="str">
        <f>IF(IFERROR(VLOOKUP(A632,'19.預鑄緣石'!C:D,1,0),"")="","","✔")</f>
        <v/>
      </c>
      <c r="U632" s="98" t="str">
        <f>IF(IFERROR(VLOOKUP(A632,'20.鋼構工程吊裝'!C:D,1,0),"")="","","✔")</f>
        <v/>
      </c>
      <c r="V632" s="98" t="str">
        <f>IF(IFERROR(VLOOKUP(A632,'21.鋼構工程塗裝'!C:D,1,0),"")="","","✔")</f>
        <v/>
      </c>
      <c r="W632" s="98" t="str">
        <f>IF(IFERROR(VLOOKUP(A632,'22.排水設施(一)'!C:D,1,0),"")="","","✔")</f>
        <v/>
      </c>
      <c r="X632" s="98" t="str">
        <f>IF(IFERROR(VLOOKUP(A632,'23.排水設施(二)'!C:D,1,0),"")="","","✔")</f>
        <v/>
      </c>
      <c r="Y632" s="98" t="str">
        <f>IF(IFERROR(VLOOKUP(A632,'24.木構造'!C:D,1,0),"")="","","✔")</f>
        <v/>
      </c>
      <c r="Z632" s="98" t="str">
        <f>IF(IFERROR(VLOOKUP(A632,'25.管路'!C:D,1,0),"")="","","✔")</f>
        <v/>
      </c>
      <c r="AA632" s="98" t="str">
        <f>IF(IFERROR(VLOOKUP(A632,'26.植栽(移植)'!C:D,1,0),"")="","","✔")</f>
        <v/>
      </c>
      <c r="AB632" s="98" t="str">
        <f>IF(IFERROR(VLOOKUP(A632,'27.植栽(新植)'!C:D,1,0),"")="","","✔")</f>
        <v/>
      </c>
      <c r="AC632" s="98" t="str">
        <f>IF(IFERROR(VLOOKUP(A632,'28.照明'!C:D,1,0),"")="","","✔")</f>
        <v/>
      </c>
      <c r="AD632" s="98" t="str">
        <f>IF(IFERROR(VLOOKUP(A632,'29.既有橋梁拆除'!C:D,1,0),"")="","","✔")</f>
        <v/>
      </c>
    </row>
    <row r="633" spans="1:30" ht="21.75" customHeight="1" x14ac:dyDescent="0.25">
      <c r="A633" s="99">
        <v>45823</v>
      </c>
      <c r="B633" s="98" t="str">
        <f>IF(IFERROR(VLOOKUP(A633,'1.測量放樣'!C:D,1,0),"")="","","✔")</f>
        <v/>
      </c>
      <c r="C633" s="98" t="str">
        <f>IF(IFERROR(VLOOKUP(A633,'2.土方開挖'!C:D,1,0),"")="","","✔")</f>
        <v/>
      </c>
      <c r="D633" s="98" t="str">
        <f>IF(IFERROR(VLOOKUP(A633,'3.土方回填'!C:D,1,0),"")="","","✔")</f>
        <v/>
      </c>
      <c r="E633" s="98" t="str">
        <f>IF(IFERROR(VLOOKUP(A633,'4.鋼筋'!C:D,1,0),"")="","","✔")</f>
        <v/>
      </c>
      <c r="F633" s="98" t="str">
        <f>IF(IFERROR(VLOOKUP(A633,'5.模板'!C:D,1,0),"")="","","✔")</f>
        <v/>
      </c>
      <c r="G633" s="98" t="str">
        <f>IF(IFERROR(VLOOKUP(A633,'6.混凝土'!C:D,1,0),"")="","","✔")</f>
        <v/>
      </c>
      <c r="H633" s="98" t="str">
        <f>IF(IFERROR(VLOOKUP(A633,'7.植筋'!C:D,1,0),"")="","","✔")</f>
        <v/>
      </c>
      <c r="I633" s="98" t="str">
        <f>IF(IFERROR(VLOOKUP(A633,'8.預力混凝土基樁'!C:D,1,0),"")="","","✔")</f>
        <v/>
      </c>
      <c r="J633" s="98" t="str">
        <f>IF(IFERROR(VLOOKUP(A633,'9.砌塊石護岸'!C:D,1,0),"")="","","✔")</f>
        <v/>
      </c>
      <c r="K633" s="98" t="str">
        <f>IF(IFERROR(VLOOKUP(A633,'10.低水護岸'!C:D,1,0),"")="","","✔")</f>
        <v/>
      </c>
      <c r="L633" s="98" t="str">
        <f>IF(IFERROR(VLOOKUP(A633,'11.固床工'!C:D,1,0),"")="","","✔")</f>
        <v/>
      </c>
      <c r="M633" s="98" t="str">
        <f>IF(IFERROR(VLOOKUP(A633,'12.全套管基樁'!C:D,1,0),"")="","","✔")</f>
        <v/>
      </c>
      <c r="N633" s="98" t="str">
        <f>IF(IFERROR(VLOOKUP(A633,'13.鋼筋混凝土管工程'!C:D,1,0),"")="","","✔")</f>
        <v/>
      </c>
      <c r="O633" s="98" t="str">
        <f>IF(IFERROR(VLOOKUP(A633,'14.鋼版樁'!C:D,1,0),"")="","","✔")</f>
        <v/>
      </c>
      <c r="P633" s="98" t="str">
        <f>IF(IFERROR(VLOOKUP(A633,'15.路床 路基高程'!C:D,1,0),"")="","","✔")</f>
        <v/>
      </c>
      <c r="Q633" s="98" t="str">
        <f>IF(IFERROR(VLOOKUP(A633,'16.瀝青混凝土'!C:D,1,0),"")="","","✔")</f>
        <v/>
      </c>
      <c r="R633" s="98" t="str">
        <f>IF(IFERROR(VLOOKUP(A633,'17.景觀鋪面(一)'!C:D,1,0),"")="","","✔")</f>
        <v/>
      </c>
      <c r="S633" s="98" t="str">
        <f>IF(IFERROR(VLOOKUP(A633,'18.景觀鋪面(二)'!C:D,1,0),"")="","","✔")</f>
        <v/>
      </c>
      <c r="T633" s="98" t="str">
        <f>IF(IFERROR(VLOOKUP(A633,'19.預鑄緣石'!C:D,1,0),"")="","","✔")</f>
        <v/>
      </c>
      <c r="U633" s="98" t="str">
        <f>IF(IFERROR(VLOOKUP(A633,'20.鋼構工程吊裝'!C:D,1,0),"")="","","✔")</f>
        <v/>
      </c>
      <c r="V633" s="98" t="str">
        <f>IF(IFERROR(VLOOKUP(A633,'21.鋼構工程塗裝'!C:D,1,0),"")="","","✔")</f>
        <v/>
      </c>
      <c r="W633" s="98" t="str">
        <f>IF(IFERROR(VLOOKUP(A633,'22.排水設施(一)'!C:D,1,0),"")="","","✔")</f>
        <v/>
      </c>
      <c r="X633" s="98" t="str">
        <f>IF(IFERROR(VLOOKUP(A633,'23.排水設施(二)'!C:D,1,0),"")="","","✔")</f>
        <v/>
      </c>
      <c r="Y633" s="98" t="str">
        <f>IF(IFERROR(VLOOKUP(A633,'24.木構造'!C:D,1,0),"")="","","✔")</f>
        <v/>
      </c>
      <c r="Z633" s="98" t="str">
        <f>IF(IFERROR(VLOOKUP(A633,'25.管路'!C:D,1,0),"")="","","✔")</f>
        <v/>
      </c>
      <c r="AA633" s="98" t="str">
        <f>IF(IFERROR(VLOOKUP(A633,'26.植栽(移植)'!C:D,1,0),"")="","","✔")</f>
        <v/>
      </c>
      <c r="AB633" s="98" t="str">
        <f>IF(IFERROR(VLOOKUP(A633,'27.植栽(新植)'!C:D,1,0),"")="","","✔")</f>
        <v/>
      </c>
      <c r="AC633" s="98" t="str">
        <f>IF(IFERROR(VLOOKUP(A633,'28.照明'!C:D,1,0),"")="","","✔")</f>
        <v/>
      </c>
      <c r="AD633" s="98" t="str">
        <f>IF(IFERROR(VLOOKUP(A633,'29.既有橋梁拆除'!C:D,1,0),"")="","","✔")</f>
        <v/>
      </c>
    </row>
    <row r="634" spans="1:30" ht="21.75" customHeight="1" x14ac:dyDescent="0.25">
      <c r="A634" s="99">
        <v>45824</v>
      </c>
      <c r="B634" s="98" t="str">
        <f>IF(IFERROR(VLOOKUP(A634,'1.測量放樣'!C:D,1,0),"")="","","✔")</f>
        <v/>
      </c>
      <c r="C634" s="98" t="str">
        <f>IF(IFERROR(VLOOKUP(A634,'2.土方開挖'!C:D,1,0),"")="","","✔")</f>
        <v/>
      </c>
      <c r="D634" s="98" t="str">
        <f>IF(IFERROR(VLOOKUP(A634,'3.土方回填'!C:D,1,0),"")="","","✔")</f>
        <v/>
      </c>
      <c r="E634" s="98" t="str">
        <f>IF(IFERROR(VLOOKUP(A634,'4.鋼筋'!C:D,1,0),"")="","","✔")</f>
        <v/>
      </c>
      <c r="F634" s="98" t="str">
        <f>IF(IFERROR(VLOOKUP(A634,'5.模板'!C:D,1,0),"")="","","✔")</f>
        <v/>
      </c>
      <c r="G634" s="98" t="str">
        <f>IF(IFERROR(VLOOKUP(A634,'6.混凝土'!C:D,1,0),"")="","","✔")</f>
        <v/>
      </c>
      <c r="H634" s="98" t="str">
        <f>IF(IFERROR(VLOOKUP(A634,'7.植筋'!C:D,1,0),"")="","","✔")</f>
        <v/>
      </c>
      <c r="I634" s="98" t="str">
        <f>IF(IFERROR(VLOOKUP(A634,'8.預力混凝土基樁'!C:D,1,0),"")="","","✔")</f>
        <v/>
      </c>
      <c r="J634" s="98" t="str">
        <f>IF(IFERROR(VLOOKUP(A634,'9.砌塊石護岸'!C:D,1,0),"")="","","✔")</f>
        <v/>
      </c>
      <c r="K634" s="98" t="str">
        <f>IF(IFERROR(VLOOKUP(A634,'10.低水護岸'!C:D,1,0),"")="","","✔")</f>
        <v/>
      </c>
      <c r="L634" s="98" t="str">
        <f>IF(IFERROR(VLOOKUP(A634,'11.固床工'!C:D,1,0),"")="","","✔")</f>
        <v/>
      </c>
      <c r="M634" s="98" t="str">
        <f>IF(IFERROR(VLOOKUP(A634,'12.全套管基樁'!C:D,1,0),"")="","","✔")</f>
        <v/>
      </c>
      <c r="N634" s="98" t="str">
        <f>IF(IFERROR(VLOOKUP(A634,'13.鋼筋混凝土管工程'!C:D,1,0),"")="","","✔")</f>
        <v/>
      </c>
      <c r="O634" s="98" t="str">
        <f>IF(IFERROR(VLOOKUP(A634,'14.鋼版樁'!C:D,1,0),"")="","","✔")</f>
        <v/>
      </c>
      <c r="P634" s="98" t="str">
        <f>IF(IFERROR(VLOOKUP(A634,'15.路床 路基高程'!C:D,1,0),"")="","","✔")</f>
        <v/>
      </c>
      <c r="Q634" s="98" t="str">
        <f>IF(IFERROR(VLOOKUP(A634,'16.瀝青混凝土'!C:D,1,0),"")="","","✔")</f>
        <v/>
      </c>
      <c r="R634" s="98" t="str">
        <f>IF(IFERROR(VLOOKUP(A634,'17.景觀鋪面(一)'!C:D,1,0),"")="","","✔")</f>
        <v/>
      </c>
      <c r="S634" s="98" t="str">
        <f>IF(IFERROR(VLOOKUP(A634,'18.景觀鋪面(二)'!C:D,1,0),"")="","","✔")</f>
        <v/>
      </c>
      <c r="T634" s="98" t="str">
        <f>IF(IFERROR(VLOOKUP(A634,'19.預鑄緣石'!C:D,1,0),"")="","","✔")</f>
        <v/>
      </c>
      <c r="U634" s="98" t="str">
        <f>IF(IFERROR(VLOOKUP(A634,'20.鋼構工程吊裝'!C:D,1,0),"")="","","✔")</f>
        <v/>
      </c>
      <c r="V634" s="98" t="str">
        <f>IF(IFERROR(VLOOKUP(A634,'21.鋼構工程塗裝'!C:D,1,0),"")="","","✔")</f>
        <v/>
      </c>
      <c r="W634" s="98" t="str">
        <f>IF(IFERROR(VLOOKUP(A634,'22.排水設施(一)'!C:D,1,0),"")="","","✔")</f>
        <v/>
      </c>
      <c r="X634" s="98" t="str">
        <f>IF(IFERROR(VLOOKUP(A634,'23.排水設施(二)'!C:D,1,0),"")="","","✔")</f>
        <v/>
      </c>
      <c r="Y634" s="98" t="str">
        <f>IF(IFERROR(VLOOKUP(A634,'24.木構造'!C:D,1,0),"")="","","✔")</f>
        <v/>
      </c>
      <c r="Z634" s="98" t="str">
        <f>IF(IFERROR(VLOOKUP(A634,'25.管路'!C:D,1,0),"")="","","✔")</f>
        <v/>
      </c>
      <c r="AA634" s="98" t="str">
        <f>IF(IFERROR(VLOOKUP(A634,'26.植栽(移植)'!C:D,1,0),"")="","","✔")</f>
        <v/>
      </c>
      <c r="AB634" s="98" t="str">
        <f>IF(IFERROR(VLOOKUP(A634,'27.植栽(新植)'!C:D,1,0),"")="","","✔")</f>
        <v/>
      </c>
      <c r="AC634" s="98" t="str">
        <f>IF(IFERROR(VLOOKUP(A634,'28.照明'!C:D,1,0),"")="","","✔")</f>
        <v/>
      </c>
      <c r="AD634" s="98" t="str">
        <f>IF(IFERROR(VLOOKUP(A634,'29.既有橋梁拆除'!C:D,1,0),"")="","","✔")</f>
        <v/>
      </c>
    </row>
    <row r="635" spans="1:30" ht="21.75" customHeight="1" x14ac:dyDescent="0.25">
      <c r="A635" s="99">
        <v>45825</v>
      </c>
      <c r="B635" s="98" t="str">
        <f>IF(IFERROR(VLOOKUP(A635,'1.測量放樣'!C:D,1,0),"")="","","✔")</f>
        <v/>
      </c>
      <c r="C635" s="98" t="str">
        <f>IF(IFERROR(VLOOKUP(A635,'2.土方開挖'!C:D,1,0),"")="","","✔")</f>
        <v/>
      </c>
      <c r="D635" s="98" t="str">
        <f>IF(IFERROR(VLOOKUP(A635,'3.土方回填'!C:D,1,0),"")="","","✔")</f>
        <v/>
      </c>
      <c r="E635" s="98" t="str">
        <f>IF(IFERROR(VLOOKUP(A635,'4.鋼筋'!C:D,1,0),"")="","","✔")</f>
        <v/>
      </c>
      <c r="F635" s="98" t="str">
        <f>IF(IFERROR(VLOOKUP(A635,'5.模板'!C:D,1,0),"")="","","✔")</f>
        <v/>
      </c>
      <c r="G635" s="98" t="str">
        <f>IF(IFERROR(VLOOKUP(A635,'6.混凝土'!C:D,1,0),"")="","","✔")</f>
        <v/>
      </c>
      <c r="H635" s="98" t="str">
        <f>IF(IFERROR(VLOOKUP(A635,'7.植筋'!C:D,1,0),"")="","","✔")</f>
        <v/>
      </c>
      <c r="I635" s="98" t="str">
        <f>IF(IFERROR(VLOOKUP(A635,'8.預力混凝土基樁'!C:D,1,0),"")="","","✔")</f>
        <v/>
      </c>
      <c r="J635" s="98" t="str">
        <f>IF(IFERROR(VLOOKUP(A635,'9.砌塊石護岸'!C:D,1,0),"")="","","✔")</f>
        <v/>
      </c>
      <c r="K635" s="98" t="str">
        <f>IF(IFERROR(VLOOKUP(A635,'10.低水護岸'!C:D,1,0),"")="","","✔")</f>
        <v/>
      </c>
      <c r="L635" s="98" t="str">
        <f>IF(IFERROR(VLOOKUP(A635,'11.固床工'!C:D,1,0),"")="","","✔")</f>
        <v/>
      </c>
      <c r="M635" s="98" t="str">
        <f>IF(IFERROR(VLOOKUP(A635,'12.全套管基樁'!C:D,1,0),"")="","","✔")</f>
        <v/>
      </c>
      <c r="N635" s="98" t="str">
        <f>IF(IFERROR(VLOOKUP(A635,'13.鋼筋混凝土管工程'!C:D,1,0),"")="","","✔")</f>
        <v/>
      </c>
      <c r="O635" s="98" t="str">
        <f>IF(IFERROR(VLOOKUP(A635,'14.鋼版樁'!C:D,1,0),"")="","","✔")</f>
        <v/>
      </c>
      <c r="P635" s="98" t="str">
        <f>IF(IFERROR(VLOOKUP(A635,'15.路床 路基高程'!C:D,1,0),"")="","","✔")</f>
        <v/>
      </c>
      <c r="Q635" s="98" t="str">
        <f>IF(IFERROR(VLOOKUP(A635,'16.瀝青混凝土'!C:D,1,0),"")="","","✔")</f>
        <v/>
      </c>
      <c r="R635" s="98" t="str">
        <f>IF(IFERROR(VLOOKUP(A635,'17.景觀鋪面(一)'!C:D,1,0),"")="","","✔")</f>
        <v/>
      </c>
      <c r="S635" s="98" t="str">
        <f>IF(IFERROR(VLOOKUP(A635,'18.景觀鋪面(二)'!C:D,1,0),"")="","","✔")</f>
        <v/>
      </c>
      <c r="T635" s="98" t="str">
        <f>IF(IFERROR(VLOOKUP(A635,'19.預鑄緣石'!C:D,1,0),"")="","","✔")</f>
        <v/>
      </c>
      <c r="U635" s="98" t="str">
        <f>IF(IFERROR(VLOOKUP(A635,'20.鋼構工程吊裝'!C:D,1,0),"")="","","✔")</f>
        <v/>
      </c>
      <c r="V635" s="98" t="str">
        <f>IF(IFERROR(VLOOKUP(A635,'21.鋼構工程塗裝'!C:D,1,0),"")="","","✔")</f>
        <v/>
      </c>
      <c r="W635" s="98" t="str">
        <f>IF(IFERROR(VLOOKUP(A635,'22.排水設施(一)'!C:D,1,0),"")="","","✔")</f>
        <v/>
      </c>
      <c r="X635" s="98" t="str">
        <f>IF(IFERROR(VLOOKUP(A635,'23.排水設施(二)'!C:D,1,0),"")="","","✔")</f>
        <v/>
      </c>
      <c r="Y635" s="98" t="str">
        <f>IF(IFERROR(VLOOKUP(A635,'24.木構造'!C:D,1,0),"")="","","✔")</f>
        <v/>
      </c>
      <c r="Z635" s="98" t="str">
        <f>IF(IFERROR(VLOOKUP(A635,'25.管路'!C:D,1,0),"")="","","✔")</f>
        <v/>
      </c>
      <c r="AA635" s="98" t="str">
        <f>IF(IFERROR(VLOOKUP(A635,'26.植栽(移植)'!C:D,1,0),"")="","","✔")</f>
        <v/>
      </c>
      <c r="AB635" s="98" t="str">
        <f>IF(IFERROR(VLOOKUP(A635,'27.植栽(新植)'!C:D,1,0),"")="","","✔")</f>
        <v/>
      </c>
      <c r="AC635" s="98" t="str">
        <f>IF(IFERROR(VLOOKUP(A635,'28.照明'!C:D,1,0),"")="","","✔")</f>
        <v/>
      </c>
      <c r="AD635" s="98" t="str">
        <f>IF(IFERROR(VLOOKUP(A635,'29.既有橋梁拆除'!C:D,1,0),"")="","","✔")</f>
        <v/>
      </c>
    </row>
    <row r="636" spans="1:30" ht="21.75" customHeight="1" x14ac:dyDescent="0.25">
      <c r="A636" s="99">
        <v>45826</v>
      </c>
      <c r="B636" s="98" t="str">
        <f>IF(IFERROR(VLOOKUP(A636,'1.測量放樣'!C:D,1,0),"")="","","✔")</f>
        <v/>
      </c>
      <c r="C636" s="98" t="str">
        <f>IF(IFERROR(VLOOKUP(A636,'2.土方開挖'!C:D,1,0),"")="","","✔")</f>
        <v/>
      </c>
      <c r="D636" s="98" t="str">
        <f>IF(IFERROR(VLOOKUP(A636,'3.土方回填'!C:D,1,0),"")="","","✔")</f>
        <v/>
      </c>
      <c r="E636" s="98" t="str">
        <f>IF(IFERROR(VLOOKUP(A636,'4.鋼筋'!C:D,1,0),"")="","","✔")</f>
        <v/>
      </c>
      <c r="F636" s="98" t="str">
        <f>IF(IFERROR(VLOOKUP(A636,'5.模板'!C:D,1,0),"")="","","✔")</f>
        <v/>
      </c>
      <c r="G636" s="98" t="str">
        <f>IF(IFERROR(VLOOKUP(A636,'6.混凝土'!C:D,1,0),"")="","","✔")</f>
        <v/>
      </c>
      <c r="H636" s="98" t="str">
        <f>IF(IFERROR(VLOOKUP(A636,'7.植筋'!C:D,1,0),"")="","","✔")</f>
        <v/>
      </c>
      <c r="I636" s="98" t="str">
        <f>IF(IFERROR(VLOOKUP(A636,'8.預力混凝土基樁'!C:D,1,0),"")="","","✔")</f>
        <v/>
      </c>
      <c r="J636" s="98" t="str">
        <f>IF(IFERROR(VLOOKUP(A636,'9.砌塊石護岸'!C:D,1,0),"")="","","✔")</f>
        <v/>
      </c>
      <c r="K636" s="98" t="str">
        <f>IF(IFERROR(VLOOKUP(A636,'10.低水護岸'!C:D,1,0),"")="","","✔")</f>
        <v/>
      </c>
      <c r="L636" s="98" t="str">
        <f>IF(IFERROR(VLOOKUP(A636,'11.固床工'!C:D,1,0),"")="","","✔")</f>
        <v/>
      </c>
      <c r="M636" s="98" t="str">
        <f>IF(IFERROR(VLOOKUP(A636,'12.全套管基樁'!C:D,1,0),"")="","","✔")</f>
        <v/>
      </c>
      <c r="N636" s="98" t="str">
        <f>IF(IFERROR(VLOOKUP(A636,'13.鋼筋混凝土管工程'!C:D,1,0),"")="","","✔")</f>
        <v/>
      </c>
      <c r="O636" s="98" t="str">
        <f>IF(IFERROR(VLOOKUP(A636,'14.鋼版樁'!C:D,1,0),"")="","","✔")</f>
        <v/>
      </c>
      <c r="P636" s="98" t="str">
        <f>IF(IFERROR(VLOOKUP(A636,'15.路床 路基高程'!C:D,1,0),"")="","","✔")</f>
        <v/>
      </c>
      <c r="Q636" s="98" t="str">
        <f>IF(IFERROR(VLOOKUP(A636,'16.瀝青混凝土'!C:D,1,0),"")="","","✔")</f>
        <v/>
      </c>
      <c r="R636" s="98" t="str">
        <f>IF(IFERROR(VLOOKUP(A636,'17.景觀鋪面(一)'!C:D,1,0),"")="","","✔")</f>
        <v/>
      </c>
      <c r="S636" s="98" t="str">
        <f>IF(IFERROR(VLOOKUP(A636,'18.景觀鋪面(二)'!C:D,1,0),"")="","","✔")</f>
        <v/>
      </c>
      <c r="T636" s="98" t="str">
        <f>IF(IFERROR(VLOOKUP(A636,'19.預鑄緣石'!C:D,1,0),"")="","","✔")</f>
        <v/>
      </c>
      <c r="U636" s="98" t="str">
        <f>IF(IFERROR(VLOOKUP(A636,'20.鋼構工程吊裝'!C:D,1,0),"")="","","✔")</f>
        <v/>
      </c>
      <c r="V636" s="98" t="str">
        <f>IF(IFERROR(VLOOKUP(A636,'21.鋼構工程塗裝'!C:D,1,0),"")="","","✔")</f>
        <v/>
      </c>
      <c r="W636" s="98" t="str">
        <f>IF(IFERROR(VLOOKUP(A636,'22.排水設施(一)'!C:D,1,0),"")="","","✔")</f>
        <v/>
      </c>
      <c r="X636" s="98" t="str">
        <f>IF(IFERROR(VLOOKUP(A636,'23.排水設施(二)'!C:D,1,0),"")="","","✔")</f>
        <v/>
      </c>
      <c r="Y636" s="98" t="str">
        <f>IF(IFERROR(VLOOKUP(A636,'24.木構造'!C:D,1,0),"")="","","✔")</f>
        <v/>
      </c>
      <c r="Z636" s="98" t="str">
        <f>IF(IFERROR(VLOOKUP(A636,'25.管路'!C:D,1,0),"")="","","✔")</f>
        <v/>
      </c>
      <c r="AA636" s="98" t="str">
        <f>IF(IFERROR(VLOOKUP(A636,'26.植栽(移植)'!C:D,1,0),"")="","","✔")</f>
        <v/>
      </c>
      <c r="AB636" s="98" t="str">
        <f>IF(IFERROR(VLOOKUP(A636,'27.植栽(新植)'!C:D,1,0),"")="","","✔")</f>
        <v/>
      </c>
      <c r="AC636" s="98" t="str">
        <f>IF(IFERROR(VLOOKUP(A636,'28.照明'!C:D,1,0),"")="","","✔")</f>
        <v/>
      </c>
      <c r="AD636" s="98" t="str">
        <f>IF(IFERROR(VLOOKUP(A636,'29.既有橋梁拆除'!C:D,1,0),"")="","","✔")</f>
        <v/>
      </c>
    </row>
    <row r="637" spans="1:30" ht="21.75" customHeight="1" x14ac:dyDescent="0.25">
      <c r="A637" s="99">
        <v>45827</v>
      </c>
      <c r="B637" s="98" t="str">
        <f>IF(IFERROR(VLOOKUP(A637,'1.測量放樣'!C:D,1,0),"")="","","✔")</f>
        <v/>
      </c>
      <c r="C637" s="98" t="str">
        <f>IF(IFERROR(VLOOKUP(A637,'2.土方開挖'!C:D,1,0),"")="","","✔")</f>
        <v/>
      </c>
      <c r="D637" s="98" t="str">
        <f>IF(IFERROR(VLOOKUP(A637,'3.土方回填'!C:D,1,0),"")="","","✔")</f>
        <v/>
      </c>
      <c r="E637" s="98" t="str">
        <f>IF(IFERROR(VLOOKUP(A637,'4.鋼筋'!C:D,1,0),"")="","","✔")</f>
        <v/>
      </c>
      <c r="F637" s="98" t="str">
        <f>IF(IFERROR(VLOOKUP(A637,'5.模板'!C:D,1,0),"")="","","✔")</f>
        <v/>
      </c>
      <c r="G637" s="98" t="str">
        <f>IF(IFERROR(VLOOKUP(A637,'6.混凝土'!C:D,1,0),"")="","","✔")</f>
        <v/>
      </c>
      <c r="H637" s="98" t="str">
        <f>IF(IFERROR(VLOOKUP(A637,'7.植筋'!C:D,1,0),"")="","","✔")</f>
        <v/>
      </c>
      <c r="I637" s="98" t="str">
        <f>IF(IFERROR(VLOOKUP(A637,'8.預力混凝土基樁'!C:D,1,0),"")="","","✔")</f>
        <v/>
      </c>
      <c r="J637" s="98" t="str">
        <f>IF(IFERROR(VLOOKUP(A637,'9.砌塊石護岸'!C:D,1,0),"")="","","✔")</f>
        <v/>
      </c>
      <c r="K637" s="98" t="str">
        <f>IF(IFERROR(VLOOKUP(A637,'10.低水護岸'!C:D,1,0),"")="","","✔")</f>
        <v/>
      </c>
      <c r="L637" s="98" t="str">
        <f>IF(IFERROR(VLOOKUP(A637,'11.固床工'!C:D,1,0),"")="","","✔")</f>
        <v/>
      </c>
      <c r="M637" s="98" t="str">
        <f>IF(IFERROR(VLOOKUP(A637,'12.全套管基樁'!C:D,1,0),"")="","","✔")</f>
        <v/>
      </c>
      <c r="N637" s="98" t="str">
        <f>IF(IFERROR(VLOOKUP(A637,'13.鋼筋混凝土管工程'!C:D,1,0),"")="","","✔")</f>
        <v/>
      </c>
      <c r="O637" s="98" t="str">
        <f>IF(IFERROR(VLOOKUP(A637,'14.鋼版樁'!C:D,1,0),"")="","","✔")</f>
        <v/>
      </c>
      <c r="P637" s="98" t="str">
        <f>IF(IFERROR(VLOOKUP(A637,'15.路床 路基高程'!C:D,1,0),"")="","","✔")</f>
        <v/>
      </c>
      <c r="Q637" s="98" t="str">
        <f>IF(IFERROR(VLOOKUP(A637,'16.瀝青混凝土'!C:D,1,0),"")="","","✔")</f>
        <v/>
      </c>
      <c r="R637" s="98" t="str">
        <f>IF(IFERROR(VLOOKUP(A637,'17.景觀鋪面(一)'!C:D,1,0),"")="","","✔")</f>
        <v/>
      </c>
      <c r="S637" s="98" t="str">
        <f>IF(IFERROR(VLOOKUP(A637,'18.景觀鋪面(二)'!C:D,1,0),"")="","","✔")</f>
        <v/>
      </c>
      <c r="T637" s="98" t="str">
        <f>IF(IFERROR(VLOOKUP(A637,'19.預鑄緣石'!C:D,1,0),"")="","","✔")</f>
        <v/>
      </c>
      <c r="U637" s="98" t="str">
        <f>IF(IFERROR(VLOOKUP(A637,'20.鋼構工程吊裝'!C:D,1,0),"")="","","✔")</f>
        <v/>
      </c>
      <c r="V637" s="98" t="str">
        <f>IF(IFERROR(VLOOKUP(A637,'21.鋼構工程塗裝'!C:D,1,0),"")="","","✔")</f>
        <v/>
      </c>
      <c r="W637" s="98" t="str">
        <f>IF(IFERROR(VLOOKUP(A637,'22.排水設施(一)'!C:D,1,0),"")="","","✔")</f>
        <v/>
      </c>
      <c r="X637" s="98" t="str">
        <f>IF(IFERROR(VLOOKUP(A637,'23.排水設施(二)'!C:D,1,0),"")="","","✔")</f>
        <v/>
      </c>
      <c r="Y637" s="98" t="str">
        <f>IF(IFERROR(VLOOKUP(A637,'24.木構造'!C:D,1,0),"")="","","✔")</f>
        <v/>
      </c>
      <c r="Z637" s="98" t="str">
        <f>IF(IFERROR(VLOOKUP(A637,'25.管路'!C:D,1,0),"")="","","✔")</f>
        <v/>
      </c>
      <c r="AA637" s="98" t="str">
        <f>IF(IFERROR(VLOOKUP(A637,'26.植栽(移植)'!C:D,1,0),"")="","","✔")</f>
        <v/>
      </c>
      <c r="AB637" s="98" t="str">
        <f>IF(IFERROR(VLOOKUP(A637,'27.植栽(新植)'!C:D,1,0),"")="","","✔")</f>
        <v/>
      </c>
      <c r="AC637" s="98" t="str">
        <f>IF(IFERROR(VLOOKUP(A637,'28.照明'!C:D,1,0),"")="","","✔")</f>
        <v/>
      </c>
      <c r="AD637" s="98" t="str">
        <f>IF(IFERROR(VLOOKUP(A637,'29.既有橋梁拆除'!C:D,1,0),"")="","","✔")</f>
        <v/>
      </c>
    </row>
    <row r="638" spans="1:30" ht="21.75" customHeight="1" x14ac:dyDescent="0.25">
      <c r="A638" s="99">
        <v>45828</v>
      </c>
      <c r="B638" s="98" t="str">
        <f>IF(IFERROR(VLOOKUP(A638,'1.測量放樣'!C:D,1,0),"")="","","✔")</f>
        <v/>
      </c>
      <c r="C638" s="98" t="str">
        <f>IF(IFERROR(VLOOKUP(A638,'2.土方開挖'!C:D,1,0),"")="","","✔")</f>
        <v/>
      </c>
      <c r="D638" s="98" t="str">
        <f>IF(IFERROR(VLOOKUP(A638,'3.土方回填'!C:D,1,0),"")="","","✔")</f>
        <v/>
      </c>
      <c r="E638" s="98" t="str">
        <f>IF(IFERROR(VLOOKUP(A638,'4.鋼筋'!C:D,1,0),"")="","","✔")</f>
        <v/>
      </c>
      <c r="F638" s="98" t="str">
        <f>IF(IFERROR(VLOOKUP(A638,'5.模板'!C:D,1,0),"")="","","✔")</f>
        <v/>
      </c>
      <c r="G638" s="98" t="str">
        <f>IF(IFERROR(VLOOKUP(A638,'6.混凝土'!C:D,1,0),"")="","","✔")</f>
        <v/>
      </c>
      <c r="H638" s="98" t="str">
        <f>IF(IFERROR(VLOOKUP(A638,'7.植筋'!C:D,1,0),"")="","","✔")</f>
        <v/>
      </c>
      <c r="I638" s="98" t="str">
        <f>IF(IFERROR(VLOOKUP(A638,'8.預力混凝土基樁'!C:D,1,0),"")="","","✔")</f>
        <v/>
      </c>
      <c r="J638" s="98" t="str">
        <f>IF(IFERROR(VLOOKUP(A638,'9.砌塊石護岸'!C:D,1,0),"")="","","✔")</f>
        <v/>
      </c>
      <c r="K638" s="98" t="str">
        <f>IF(IFERROR(VLOOKUP(A638,'10.低水護岸'!C:D,1,0),"")="","","✔")</f>
        <v/>
      </c>
      <c r="L638" s="98" t="str">
        <f>IF(IFERROR(VLOOKUP(A638,'11.固床工'!C:D,1,0),"")="","","✔")</f>
        <v/>
      </c>
      <c r="M638" s="98" t="str">
        <f>IF(IFERROR(VLOOKUP(A638,'12.全套管基樁'!C:D,1,0),"")="","","✔")</f>
        <v/>
      </c>
      <c r="N638" s="98" t="str">
        <f>IF(IFERROR(VLOOKUP(A638,'13.鋼筋混凝土管工程'!C:D,1,0),"")="","","✔")</f>
        <v/>
      </c>
      <c r="O638" s="98" t="str">
        <f>IF(IFERROR(VLOOKUP(A638,'14.鋼版樁'!C:D,1,0),"")="","","✔")</f>
        <v/>
      </c>
      <c r="P638" s="98" t="str">
        <f>IF(IFERROR(VLOOKUP(A638,'15.路床 路基高程'!C:D,1,0),"")="","","✔")</f>
        <v/>
      </c>
      <c r="Q638" s="98" t="str">
        <f>IF(IFERROR(VLOOKUP(A638,'16.瀝青混凝土'!C:D,1,0),"")="","","✔")</f>
        <v/>
      </c>
      <c r="R638" s="98" t="str">
        <f>IF(IFERROR(VLOOKUP(A638,'17.景觀鋪面(一)'!C:D,1,0),"")="","","✔")</f>
        <v/>
      </c>
      <c r="S638" s="98" t="str">
        <f>IF(IFERROR(VLOOKUP(A638,'18.景觀鋪面(二)'!C:D,1,0),"")="","","✔")</f>
        <v/>
      </c>
      <c r="T638" s="98" t="str">
        <f>IF(IFERROR(VLOOKUP(A638,'19.預鑄緣石'!C:D,1,0),"")="","","✔")</f>
        <v/>
      </c>
      <c r="U638" s="98" t="str">
        <f>IF(IFERROR(VLOOKUP(A638,'20.鋼構工程吊裝'!C:D,1,0),"")="","","✔")</f>
        <v/>
      </c>
      <c r="V638" s="98" t="str">
        <f>IF(IFERROR(VLOOKUP(A638,'21.鋼構工程塗裝'!C:D,1,0),"")="","","✔")</f>
        <v/>
      </c>
      <c r="W638" s="98" t="str">
        <f>IF(IFERROR(VLOOKUP(A638,'22.排水設施(一)'!C:D,1,0),"")="","","✔")</f>
        <v/>
      </c>
      <c r="X638" s="98" t="str">
        <f>IF(IFERROR(VLOOKUP(A638,'23.排水設施(二)'!C:D,1,0),"")="","","✔")</f>
        <v/>
      </c>
      <c r="Y638" s="98" t="str">
        <f>IF(IFERROR(VLOOKUP(A638,'24.木構造'!C:D,1,0),"")="","","✔")</f>
        <v/>
      </c>
      <c r="Z638" s="98" t="str">
        <f>IF(IFERROR(VLOOKUP(A638,'25.管路'!C:D,1,0),"")="","","✔")</f>
        <v/>
      </c>
      <c r="AA638" s="98" t="str">
        <f>IF(IFERROR(VLOOKUP(A638,'26.植栽(移植)'!C:D,1,0),"")="","","✔")</f>
        <v/>
      </c>
      <c r="AB638" s="98" t="str">
        <f>IF(IFERROR(VLOOKUP(A638,'27.植栽(新植)'!C:D,1,0),"")="","","✔")</f>
        <v/>
      </c>
      <c r="AC638" s="98" t="str">
        <f>IF(IFERROR(VLOOKUP(A638,'28.照明'!C:D,1,0),"")="","","✔")</f>
        <v/>
      </c>
      <c r="AD638" s="98" t="str">
        <f>IF(IFERROR(VLOOKUP(A638,'29.既有橋梁拆除'!C:D,1,0),"")="","","✔")</f>
        <v/>
      </c>
    </row>
    <row r="639" spans="1:30" ht="21.75" customHeight="1" x14ac:dyDescent="0.25">
      <c r="A639" s="99">
        <v>45829</v>
      </c>
      <c r="B639" s="98" t="str">
        <f>IF(IFERROR(VLOOKUP(A639,'1.測量放樣'!C:D,1,0),"")="","","✔")</f>
        <v/>
      </c>
      <c r="C639" s="98" t="str">
        <f>IF(IFERROR(VLOOKUP(A639,'2.土方開挖'!C:D,1,0),"")="","","✔")</f>
        <v/>
      </c>
      <c r="D639" s="98" t="str">
        <f>IF(IFERROR(VLOOKUP(A639,'3.土方回填'!C:D,1,0),"")="","","✔")</f>
        <v/>
      </c>
      <c r="E639" s="98" t="str">
        <f>IF(IFERROR(VLOOKUP(A639,'4.鋼筋'!C:D,1,0),"")="","","✔")</f>
        <v/>
      </c>
      <c r="F639" s="98" t="str">
        <f>IF(IFERROR(VLOOKUP(A639,'5.模板'!C:D,1,0),"")="","","✔")</f>
        <v/>
      </c>
      <c r="G639" s="98" t="str">
        <f>IF(IFERROR(VLOOKUP(A639,'6.混凝土'!C:D,1,0),"")="","","✔")</f>
        <v/>
      </c>
      <c r="H639" s="98" t="str">
        <f>IF(IFERROR(VLOOKUP(A639,'7.植筋'!C:D,1,0),"")="","","✔")</f>
        <v/>
      </c>
      <c r="I639" s="98" t="str">
        <f>IF(IFERROR(VLOOKUP(A639,'8.預力混凝土基樁'!C:D,1,0),"")="","","✔")</f>
        <v/>
      </c>
      <c r="J639" s="98" t="str">
        <f>IF(IFERROR(VLOOKUP(A639,'9.砌塊石護岸'!C:D,1,0),"")="","","✔")</f>
        <v/>
      </c>
      <c r="K639" s="98" t="str">
        <f>IF(IFERROR(VLOOKUP(A639,'10.低水護岸'!C:D,1,0),"")="","","✔")</f>
        <v/>
      </c>
      <c r="L639" s="98" t="str">
        <f>IF(IFERROR(VLOOKUP(A639,'11.固床工'!C:D,1,0),"")="","","✔")</f>
        <v/>
      </c>
      <c r="M639" s="98" t="str">
        <f>IF(IFERROR(VLOOKUP(A639,'12.全套管基樁'!C:D,1,0),"")="","","✔")</f>
        <v/>
      </c>
      <c r="N639" s="98" t="str">
        <f>IF(IFERROR(VLOOKUP(A639,'13.鋼筋混凝土管工程'!C:D,1,0),"")="","","✔")</f>
        <v/>
      </c>
      <c r="O639" s="98" t="str">
        <f>IF(IFERROR(VLOOKUP(A639,'14.鋼版樁'!C:D,1,0),"")="","","✔")</f>
        <v/>
      </c>
      <c r="P639" s="98" t="str">
        <f>IF(IFERROR(VLOOKUP(A639,'15.路床 路基高程'!C:D,1,0),"")="","","✔")</f>
        <v/>
      </c>
      <c r="Q639" s="98" t="str">
        <f>IF(IFERROR(VLOOKUP(A639,'16.瀝青混凝土'!C:D,1,0),"")="","","✔")</f>
        <v/>
      </c>
      <c r="R639" s="98" t="str">
        <f>IF(IFERROR(VLOOKUP(A639,'17.景觀鋪面(一)'!C:D,1,0),"")="","","✔")</f>
        <v/>
      </c>
      <c r="S639" s="98" t="str">
        <f>IF(IFERROR(VLOOKUP(A639,'18.景觀鋪面(二)'!C:D,1,0),"")="","","✔")</f>
        <v/>
      </c>
      <c r="T639" s="98" t="str">
        <f>IF(IFERROR(VLOOKUP(A639,'19.預鑄緣石'!C:D,1,0),"")="","","✔")</f>
        <v/>
      </c>
      <c r="U639" s="98" t="str">
        <f>IF(IFERROR(VLOOKUP(A639,'20.鋼構工程吊裝'!C:D,1,0),"")="","","✔")</f>
        <v/>
      </c>
      <c r="V639" s="98" t="str">
        <f>IF(IFERROR(VLOOKUP(A639,'21.鋼構工程塗裝'!C:D,1,0),"")="","","✔")</f>
        <v/>
      </c>
      <c r="W639" s="98" t="str">
        <f>IF(IFERROR(VLOOKUP(A639,'22.排水設施(一)'!C:D,1,0),"")="","","✔")</f>
        <v/>
      </c>
      <c r="X639" s="98" t="str">
        <f>IF(IFERROR(VLOOKUP(A639,'23.排水設施(二)'!C:D,1,0),"")="","","✔")</f>
        <v/>
      </c>
      <c r="Y639" s="98" t="str">
        <f>IF(IFERROR(VLOOKUP(A639,'24.木構造'!C:D,1,0),"")="","","✔")</f>
        <v/>
      </c>
      <c r="Z639" s="98" t="str">
        <f>IF(IFERROR(VLOOKUP(A639,'25.管路'!C:D,1,0),"")="","","✔")</f>
        <v/>
      </c>
      <c r="AA639" s="98" t="str">
        <f>IF(IFERROR(VLOOKUP(A639,'26.植栽(移植)'!C:D,1,0),"")="","","✔")</f>
        <v/>
      </c>
      <c r="AB639" s="98" t="str">
        <f>IF(IFERROR(VLOOKUP(A639,'27.植栽(新植)'!C:D,1,0),"")="","","✔")</f>
        <v/>
      </c>
      <c r="AC639" s="98" t="str">
        <f>IF(IFERROR(VLOOKUP(A639,'28.照明'!C:D,1,0),"")="","","✔")</f>
        <v/>
      </c>
      <c r="AD639" s="98" t="str">
        <f>IF(IFERROR(VLOOKUP(A639,'29.既有橋梁拆除'!C:D,1,0),"")="","","✔")</f>
        <v/>
      </c>
    </row>
    <row r="640" spans="1:30" ht="21.75" customHeight="1" x14ac:dyDescent="0.25">
      <c r="A640" s="99">
        <v>45830</v>
      </c>
      <c r="B640" s="98" t="str">
        <f>IF(IFERROR(VLOOKUP(A640,'1.測量放樣'!C:D,1,0),"")="","","✔")</f>
        <v/>
      </c>
      <c r="C640" s="98" t="str">
        <f>IF(IFERROR(VLOOKUP(A640,'2.土方開挖'!C:D,1,0),"")="","","✔")</f>
        <v/>
      </c>
      <c r="D640" s="98" t="str">
        <f>IF(IFERROR(VLOOKUP(A640,'3.土方回填'!C:D,1,0),"")="","","✔")</f>
        <v/>
      </c>
      <c r="E640" s="98" t="str">
        <f>IF(IFERROR(VLOOKUP(A640,'4.鋼筋'!C:D,1,0),"")="","","✔")</f>
        <v/>
      </c>
      <c r="F640" s="98" t="str">
        <f>IF(IFERROR(VLOOKUP(A640,'5.模板'!C:D,1,0),"")="","","✔")</f>
        <v/>
      </c>
      <c r="G640" s="98" t="str">
        <f>IF(IFERROR(VLOOKUP(A640,'6.混凝土'!C:D,1,0),"")="","","✔")</f>
        <v/>
      </c>
      <c r="H640" s="98" t="str">
        <f>IF(IFERROR(VLOOKUP(A640,'7.植筋'!C:D,1,0),"")="","","✔")</f>
        <v/>
      </c>
      <c r="I640" s="98" t="str">
        <f>IF(IFERROR(VLOOKUP(A640,'8.預力混凝土基樁'!C:D,1,0),"")="","","✔")</f>
        <v/>
      </c>
      <c r="J640" s="98" t="str">
        <f>IF(IFERROR(VLOOKUP(A640,'9.砌塊石護岸'!C:D,1,0),"")="","","✔")</f>
        <v/>
      </c>
      <c r="K640" s="98" t="str">
        <f>IF(IFERROR(VLOOKUP(A640,'10.低水護岸'!C:D,1,0),"")="","","✔")</f>
        <v/>
      </c>
      <c r="L640" s="98" t="str">
        <f>IF(IFERROR(VLOOKUP(A640,'11.固床工'!C:D,1,0),"")="","","✔")</f>
        <v/>
      </c>
      <c r="M640" s="98" t="str">
        <f>IF(IFERROR(VLOOKUP(A640,'12.全套管基樁'!C:D,1,0),"")="","","✔")</f>
        <v/>
      </c>
      <c r="N640" s="98" t="str">
        <f>IF(IFERROR(VLOOKUP(A640,'13.鋼筋混凝土管工程'!C:D,1,0),"")="","","✔")</f>
        <v/>
      </c>
      <c r="O640" s="98" t="str">
        <f>IF(IFERROR(VLOOKUP(A640,'14.鋼版樁'!C:D,1,0),"")="","","✔")</f>
        <v/>
      </c>
      <c r="P640" s="98" t="str">
        <f>IF(IFERROR(VLOOKUP(A640,'15.路床 路基高程'!C:D,1,0),"")="","","✔")</f>
        <v/>
      </c>
      <c r="Q640" s="98" t="str">
        <f>IF(IFERROR(VLOOKUP(A640,'16.瀝青混凝土'!C:D,1,0),"")="","","✔")</f>
        <v/>
      </c>
      <c r="R640" s="98" t="str">
        <f>IF(IFERROR(VLOOKUP(A640,'17.景觀鋪面(一)'!C:D,1,0),"")="","","✔")</f>
        <v/>
      </c>
      <c r="S640" s="98" t="str">
        <f>IF(IFERROR(VLOOKUP(A640,'18.景觀鋪面(二)'!C:D,1,0),"")="","","✔")</f>
        <v/>
      </c>
      <c r="T640" s="98" t="str">
        <f>IF(IFERROR(VLOOKUP(A640,'19.預鑄緣石'!C:D,1,0),"")="","","✔")</f>
        <v/>
      </c>
      <c r="U640" s="98" t="str">
        <f>IF(IFERROR(VLOOKUP(A640,'20.鋼構工程吊裝'!C:D,1,0),"")="","","✔")</f>
        <v/>
      </c>
      <c r="V640" s="98" t="str">
        <f>IF(IFERROR(VLOOKUP(A640,'21.鋼構工程塗裝'!C:D,1,0),"")="","","✔")</f>
        <v/>
      </c>
      <c r="W640" s="98" t="str">
        <f>IF(IFERROR(VLOOKUP(A640,'22.排水設施(一)'!C:D,1,0),"")="","","✔")</f>
        <v/>
      </c>
      <c r="X640" s="98" t="str">
        <f>IF(IFERROR(VLOOKUP(A640,'23.排水設施(二)'!C:D,1,0),"")="","","✔")</f>
        <v/>
      </c>
      <c r="Y640" s="98" t="str">
        <f>IF(IFERROR(VLOOKUP(A640,'24.木構造'!C:D,1,0),"")="","","✔")</f>
        <v/>
      </c>
      <c r="Z640" s="98" t="str">
        <f>IF(IFERROR(VLOOKUP(A640,'25.管路'!C:D,1,0),"")="","","✔")</f>
        <v/>
      </c>
      <c r="AA640" s="98" t="str">
        <f>IF(IFERROR(VLOOKUP(A640,'26.植栽(移植)'!C:D,1,0),"")="","","✔")</f>
        <v/>
      </c>
      <c r="AB640" s="98" t="str">
        <f>IF(IFERROR(VLOOKUP(A640,'27.植栽(新植)'!C:D,1,0),"")="","","✔")</f>
        <v/>
      </c>
      <c r="AC640" s="98" t="str">
        <f>IF(IFERROR(VLOOKUP(A640,'28.照明'!C:D,1,0),"")="","","✔")</f>
        <v/>
      </c>
      <c r="AD640" s="98" t="str">
        <f>IF(IFERROR(VLOOKUP(A640,'29.既有橋梁拆除'!C:D,1,0),"")="","","✔")</f>
        <v/>
      </c>
    </row>
    <row r="641" spans="1:30" ht="21.75" customHeight="1" x14ac:dyDescent="0.25">
      <c r="A641" s="99">
        <v>45831</v>
      </c>
      <c r="B641" s="98" t="str">
        <f>IF(IFERROR(VLOOKUP(A641,'1.測量放樣'!C:D,1,0),"")="","","✔")</f>
        <v/>
      </c>
      <c r="C641" s="98" t="str">
        <f>IF(IFERROR(VLOOKUP(A641,'2.土方開挖'!C:D,1,0),"")="","","✔")</f>
        <v/>
      </c>
      <c r="D641" s="98" t="str">
        <f>IF(IFERROR(VLOOKUP(A641,'3.土方回填'!C:D,1,0),"")="","","✔")</f>
        <v/>
      </c>
      <c r="E641" s="98" t="str">
        <f>IF(IFERROR(VLOOKUP(A641,'4.鋼筋'!C:D,1,0),"")="","","✔")</f>
        <v/>
      </c>
      <c r="F641" s="98" t="str">
        <f>IF(IFERROR(VLOOKUP(A641,'5.模板'!C:D,1,0),"")="","","✔")</f>
        <v/>
      </c>
      <c r="G641" s="98" t="str">
        <f>IF(IFERROR(VLOOKUP(A641,'6.混凝土'!C:D,1,0),"")="","","✔")</f>
        <v/>
      </c>
      <c r="H641" s="98" t="str">
        <f>IF(IFERROR(VLOOKUP(A641,'7.植筋'!C:D,1,0),"")="","","✔")</f>
        <v/>
      </c>
      <c r="I641" s="98" t="str">
        <f>IF(IFERROR(VLOOKUP(A641,'8.預力混凝土基樁'!C:D,1,0),"")="","","✔")</f>
        <v/>
      </c>
      <c r="J641" s="98" t="str">
        <f>IF(IFERROR(VLOOKUP(A641,'9.砌塊石護岸'!C:D,1,0),"")="","","✔")</f>
        <v/>
      </c>
      <c r="K641" s="98" t="str">
        <f>IF(IFERROR(VLOOKUP(A641,'10.低水護岸'!C:D,1,0),"")="","","✔")</f>
        <v/>
      </c>
      <c r="L641" s="98" t="str">
        <f>IF(IFERROR(VLOOKUP(A641,'11.固床工'!C:D,1,0),"")="","","✔")</f>
        <v/>
      </c>
      <c r="M641" s="98" t="str">
        <f>IF(IFERROR(VLOOKUP(A641,'12.全套管基樁'!C:D,1,0),"")="","","✔")</f>
        <v/>
      </c>
      <c r="N641" s="98" t="str">
        <f>IF(IFERROR(VLOOKUP(A641,'13.鋼筋混凝土管工程'!C:D,1,0),"")="","","✔")</f>
        <v/>
      </c>
      <c r="O641" s="98" t="str">
        <f>IF(IFERROR(VLOOKUP(A641,'14.鋼版樁'!C:D,1,0),"")="","","✔")</f>
        <v/>
      </c>
      <c r="P641" s="98" t="str">
        <f>IF(IFERROR(VLOOKUP(A641,'15.路床 路基高程'!C:D,1,0),"")="","","✔")</f>
        <v/>
      </c>
      <c r="Q641" s="98" t="str">
        <f>IF(IFERROR(VLOOKUP(A641,'16.瀝青混凝土'!C:D,1,0),"")="","","✔")</f>
        <v/>
      </c>
      <c r="R641" s="98" t="str">
        <f>IF(IFERROR(VLOOKUP(A641,'17.景觀鋪面(一)'!C:D,1,0),"")="","","✔")</f>
        <v/>
      </c>
      <c r="S641" s="98" t="str">
        <f>IF(IFERROR(VLOOKUP(A641,'18.景觀鋪面(二)'!C:D,1,0),"")="","","✔")</f>
        <v/>
      </c>
      <c r="T641" s="98" t="str">
        <f>IF(IFERROR(VLOOKUP(A641,'19.預鑄緣石'!C:D,1,0),"")="","","✔")</f>
        <v/>
      </c>
      <c r="U641" s="98" t="str">
        <f>IF(IFERROR(VLOOKUP(A641,'20.鋼構工程吊裝'!C:D,1,0),"")="","","✔")</f>
        <v/>
      </c>
      <c r="V641" s="98" t="str">
        <f>IF(IFERROR(VLOOKUP(A641,'21.鋼構工程塗裝'!C:D,1,0),"")="","","✔")</f>
        <v/>
      </c>
      <c r="W641" s="98" t="str">
        <f>IF(IFERROR(VLOOKUP(A641,'22.排水設施(一)'!C:D,1,0),"")="","","✔")</f>
        <v/>
      </c>
      <c r="X641" s="98" t="str">
        <f>IF(IFERROR(VLOOKUP(A641,'23.排水設施(二)'!C:D,1,0),"")="","","✔")</f>
        <v/>
      </c>
      <c r="Y641" s="98" t="str">
        <f>IF(IFERROR(VLOOKUP(A641,'24.木構造'!C:D,1,0),"")="","","✔")</f>
        <v/>
      </c>
      <c r="Z641" s="98" t="str">
        <f>IF(IFERROR(VLOOKUP(A641,'25.管路'!C:D,1,0),"")="","","✔")</f>
        <v/>
      </c>
      <c r="AA641" s="98" t="str">
        <f>IF(IFERROR(VLOOKUP(A641,'26.植栽(移植)'!C:D,1,0),"")="","","✔")</f>
        <v/>
      </c>
      <c r="AB641" s="98" t="str">
        <f>IF(IFERROR(VLOOKUP(A641,'27.植栽(新植)'!C:D,1,0),"")="","","✔")</f>
        <v/>
      </c>
      <c r="AC641" s="98" t="str">
        <f>IF(IFERROR(VLOOKUP(A641,'28.照明'!C:D,1,0),"")="","","✔")</f>
        <v/>
      </c>
      <c r="AD641" s="98" t="str">
        <f>IF(IFERROR(VLOOKUP(A641,'29.既有橋梁拆除'!C:D,1,0),"")="","","✔")</f>
        <v/>
      </c>
    </row>
    <row r="642" spans="1:30" ht="21.75" customHeight="1" x14ac:dyDescent="0.25">
      <c r="A642" s="99">
        <v>45832</v>
      </c>
      <c r="B642" s="98" t="str">
        <f>IF(IFERROR(VLOOKUP(A642,'1.測量放樣'!C:D,1,0),"")="","","✔")</f>
        <v/>
      </c>
      <c r="C642" s="98" t="str">
        <f>IF(IFERROR(VLOOKUP(A642,'2.土方開挖'!C:D,1,0),"")="","","✔")</f>
        <v/>
      </c>
      <c r="D642" s="98" t="str">
        <f>IF(IFERROR(VLOOKUP(A642,'3.土方回填'!C:D,1,0),"")="","","✔")</f>
        <v/>
      </c>
      <c r="E642" s="98" t="str">
        <f>IF(IFERROR(VLOOKUP(A642,'4.鋼筋'!C:D,1,0),"")="","","✔")</f>
        <v/>
      </c>
      <c r="F642" s="98" t="str">
        <f>IF(IFERROR(VLOOKUP(A642,'5.模板'!C:D,1,0),"")="","","✔")</f>
        <v/>
      </c>
      <c r="G642" s="98" t="str">
        <f>IF(IFERROR(VLOOKUP(A642,'6.混凝土'!C:D,1,0),"")="","","✔")</f>
        <v/>
      </c>
      <c r="H642" s="98" t="str">
        <f>IF(IFERROR(VLOOKUP(A642,'7.植筋'!C:D,1,0),"")="","","✔")</f>
        <v/>
      </c>
      <c r="I642" s="98" t="str">
        <f>IF(IFERROR(VLOOKUP(A642,'8.預力混凝土基樁'!C:D,1,0),"")="","","✔")</f>
        <v/>
      </c>
      <c r="J642" s="98" t="str">
        <f>IF(IFERROR(VLOOKUP(A642,'9.砌塊石護岸'!C:D,1,0),"")="","","✔")</f>
        <v/>
      </c>
      <c r="K642" s="98" t="str">
        <f>IF(IFERROR(VLOOKUP(A642,'10.低水護岸'!C:D,1,0),"")="","","✔")</f>
        <v/>
      </c>
      <c r="L642" s="98" t="str">
        <f>IF(IFERROR(VLOOKUP(A642,'11.固床工'!C:D,1,0),"")="","","✔")</f>
        <v/>
      </c>
      <c r="M642" s="98" t="str">
        <f>IF(IFERROR(VLOOKUP(A642,'12.全套管基樁'!C:D,1,0),"")="","","✔")</f>
        <v/>
      </c>
      <c r="N642" s="98" t="str">
        <f>IF(IFERROR(VLOOKUP(A642,'13.鋼筋混凝土管工程'!C:D,1,0),"")="","","✔")</f>
        <v/>
      </c>
      <c r="O642" s="98" t="str">
        <f>IF(IFERROR(VLOOKUP(A642,'14.鋼版樁'!C:D,1,0),"")="","","✔")</f>
        <v/>
      </c>
      <c r="P642" s="98" t="str">
        <f>IF(IFERROR(VLOOKUP(A642,'15.路床 路基高程'!C:D,1,0),"")="","","✔")</f>
        <v/>
      </c>
      <c r="Q642" s="98" t="str">
        <f>IF(IFERROR(VLOOKUP(A642,'16.瀝青混凝土'!C:D,1,0),"")="","","✔")</f>
        <v/>
      </c>
      <c r="R642" s="98" t="str">
        <f>IF(IFERROR(VLOOKUP(A642,'17.景觀鋪面(一)'!C:D,1,0),"")="","","✔")</f>
        <v/>
      </c>
      <c r="S642" s="98" t="str">
        <f>IF(IFERROR(VLOOKUP(A642,'18.景觀鋪面(二)'!C:D,1,0),"")="","","✔")</f>
        <v/>
      </c>
      <c r="T642" s="98" t="str">
        <f>IF(IFERROR(VLOOKUP(A642,'19.預鑄緣石'!C:D,1,0),"")="","","✔")</f>
        <v/>
      </c>
      <c r="U642" s="98" t="str">
        <f>IF(IFERROR(VLOOKUP(A642,'20.鋼構工程吊裝'!C:D,1,0),"")="","","✔")</f>
        <v/>
      </c>
      <c r="V642" s="98" t="str">
        <f>IF(IFERROR(VLOOKUP(A642,'21.鋼構工程塗裝'!C:D,1,0),"")="","","✔")</f>
        <v/>
      </c>
      <c r="W642" s="98" t="str">
        <f>IF(IFERROR(VLOOKUP(A642,'22.排水設施(一)'!C:D,1,0),"")="","","✔")</f>
        <v/>
      </c>
      <c r="X642" s="98" t="str">
        <f>IF(IFERROR(VLOOKUP(A642,'23.排水設施(二)'!C:D,1,0),"")="","","✔")</f>
        <v/>
      </c>
      <c r="Y642" s="98" t="str">
        <f>IF(IFERROR(VLOOKUP(A642,'24.木構造'!C:D,1,0),"")="","","✔")</f>
        <v/>
      </c>
      <c r="Z642" s="98" t="str">
        <f>IF(IFERROR(VLOOKUP(A642,'25.管路'!C:D,1,0),"")="","","✔")</f>
        <v/>
      </c>
      <c r="AA642" s="98" t="str">
        <f>IF(IFERROR(VLOOKUP(A642,'26.植栽(移植)'!C:D,1,0),"")="","","✔")</f>
        <v/>
      </c>
      <c r="AB642" s="98" t="str">
        <f>IF(IFERROR(VLOOKUP(A642,'27.植栽(新植)'!C:D,1,0),"")="","","✔")</f>
        <v/>
      </c>
      <c r="AC642" s="98" t="str">
        <f>IF(IFERROR(VLOOKUP(A642,'28.照明'!C:D,1,0),"")="","","✔")</f>
        <v/>
      </c>
      <c r="AD642" s="98" t="str">
        <f>IF(IFERROR(VLOOKUP(A642,'29.既有橋梁拆除'!C:D,1,0),"")="","","✔")</f>
        <v/>
      </c>
    </row>
    <row r="643" spans="1:30" ht="21.75" customHeight="1" x14ac:dyDescent="0.25">
      <c r="A643" s="99">
        <v>45833</v>
      </c>
      <c r="B643" s="98" t="str">
        <f>IF(IFERROR(VLOOKUP(A643,'1.測量放樣'!C:D,1,0),"")="","","✔")</f>
        <v/>
      </c>
      <c r="C643" s="98" t="str">
        <f>IF(IFERROR(VLOOKUP(A643,'2.土方開挖'!C:D,1,0),"")="","","✔")</f>
        <v/>
      </c>
      <c r="D643" s="98" t="str">
        <f>IF(IFERROR(VLOOKUP(A643,'3.土方回填'!C:D,1,0),"")="","","✔")</f>
        <v/>
      </c>
      <c r="E643" s="98" t="str">
        <f>IF(IFERROR(VLOOKUP(A643,'4.鋼筋'!C:D,1,0),"")="","","✔")</f>
        <v/>
      </c>
      <c r="F643" s="98" t="str">
        <f>IF(IFERROR(VLOOKUP(A643,'5.模板'!C:D,1,0),"")="","","✔")</f>
        <v/>
      </c>
      <c r="G643" s="98" t="str">
        <f>IF(IFERROR(VLOOKUP(A643,'6.混凝土'!C:D,1,0),"")="","","✔")</f>
        <v/>
      </c>
      <c r="H643" s="98" t="str">
        <f>IF(IFERROR(VLOOKUP(A643,'7.植筋'!C:D,1,0),"")="","","✔")</f>
        <v/>
      </c>
      <c r="I643" s="98" t="str">
        <f>IF(IFERROR(VLOOKUP(A643,'8.預力混凝土基樁'!C:D,1,0),"")="","","✔")</f>
        <v/>
      </c>
      <c r="J643" s="98" t="str">
        <f>IF(IFERROR(VLOOKUP(A643,'9.砌塊石護岸'!C:D,1,0),"")="","","✔")</f>
        <v/>
      </c>
      <c r="K643" s="98" t="str">
        <f>IF(IFERROR(VLOOKUP(A643,'10.低水護岸'!C:D,1,0),"")="","","✔")</f>
        <v/>
      </c>
      <c r="L643" s="98" t="str">
        <f>IF(IFERROR(VLOOKUP(A643,'11.固床工'!C:D,1,0),"")="","","✔")</f>
        <v/>
      </c>
      <c r="M643" s="98" t="str">
        <f>IF(IFERROR(VLOOKUP(A643,'12.全套管基樁'!C:D,1,0),"")="","","✔")</f>
        <v/>
      </c>
      <c r="N643" s="98" t="str">
        <f>IF(IFERROR(VLOOKUP(A643,'13.鋼筋混凝土管工程'!C:D,1,0),"")="","","✔")</f>
        <v/>
      </c>
      <c r="O643" s="98" t="str">
        <f>IF(IFERROR(VLOOKUP(A643,'14.鋼版樁'!C:D,1,0),"")="","","✔")</f>
        <v/>
      </c>
      <c r="P643" s="98" t="str">
        <f>IF(IFERROR(VLOOKUP(A643,'15.路床 路基高程'!C:D,1,0),"")="","","✔")</f>
        <v/>
      </c>
      <c r="Q643" s="98" t="str">
        <f>IF(IFERROR(VLOOKUP(A643,'16.瀝青混凝土'!C:D,1,0),"")="","","✔")</f>
        <v/>
      </c>
      <c r="R643" s="98" t="str">
        <f>IF(IFERROR(VLOOKUP(A643,'17.景觀鋪面(一)'!C:D,1,0),"")="","","✔")</f>
        <v/>
      </c>
      <c r="S643" s="98" t="str">
        <f>IF(IFERROR(VLOOKUP(A643,'18.景觀鋪面(二)'!C:D,1,0),"")="","","✔")</f>
        <v/>
      </c>
      <c r="T643" s="98" t="str">
        <f>IF(IFERROR(VLOOKUP(A643,'19.預鑄緣石'!C:D,1,0),"")="","","✔")</f>
        <v/>
      </c>
      <c r="U643" s="98" t="str">
        <f>IF(IFERROR(VLOOKUP(A643,'20.鋼構工程吊裝'!C:D,1,0),"")="","","✔")</f>
        <v/>
      </c>
      <c r="V643" s="98" t="str">
        <f>IF(IFERROR(VLOOKUP(A643,'21.鋼構工程塗裝'!C:D,1,0),"")="","","✔")</f>
        <v/>
      </c>
      <c r="W643" s="98" t="str">
        <f>IF(IFERROR(VLOOKUP(A643,'22.排水設施(一)'!C:D,1,0),"")="","","✔")</f>
        <v/>
      </c>
      <c r="X643" s="98" t="str">
        <f>IF(IFERROR(VLOOKUP(A643,'23.排水設施(二)'!C:D,1,0),"")="","","✔")</f>
        <v/>
      </c>
      <c r="Y643" s="98" t="str">
        <f>IF(IFERROR(VLOOKUP(A643,'24.木構造'!C:D,1,0),"")="","","✔")</f>
        <v/>
      </c>
      <c r="Z643" s="98" t="str">
        <f>IF(IFERROR(VLOOKUP(A643,'25.管路'!C:D,1,0),"")="","","✔")</f>
        <v/>
      </c>
      <c r="AA643" s="98" t="str">
        <f>IF(IFERROR(VLOOKUP(A643,'26.植栽(移植)'!C:D,1,0),"")="","","✔")</f>
        <v/>
      </c>
      <c r="AB643" s="98" t="str">
        <f>IF(IFERROR(VLOOKUP(A643,'27.植栽(新植)'!C:D,1,0),"")="","","✔")</f>
        <v/>
      </c>
      <c r="AC643" s="98" t="str">
        <f>IF(IFERROR(VLOOKUP(A643,'28.照明'!C:D,1,0),"")="","","✔")</f>
        <v/>
      </c>
      <c r="AD643" s="98" t="str">
        <f>IF(IFERROR(VLOOKUP(A643,'29.既有橋梁拆除'!C:D,1,0),"")="","","✔")</f>
        <v/>
      </c>
    </row>
    <row r="644" spans="1:30" ht="21.75" customHeight="1" x14ac:dyDescent="0.25">
      <c r="A644" s="99">
        <v>45834</v>
      </c>
      <c r="B644" s="98" t="str">
        <f>IF(IFERROR(VLOOKUP(A644,'1.測量放樣'!C:D,1,0),"")="","","✔")</f>
        <v/>
      </c>
      <c r="C644" s="98" t="str">
        <f>IF(IFERROR(VLOOKUP(A644,'2.土方開挖'!C:D,1,0),"")="","","✔")</f>
        <v/>
      </c>
      <c r="D644" s="98" t="str">
        <f>IF(IFERROR(VLOOKUP(A644,'3.土方回填'!C:D,1,0),"")="","","✔")</f>
        <v/>
      </c>
      <c r="E644" s="98" t="str">
        <f>IF(IFERROR(VLOOKUP(A644,'4.鋼筋'!C:D,1,0),"")="","","✔")</f>
        <v/>
      </c>
      <c r="F644" s="98" t="str">
        <f>IF(IFERROR(VLOOKUP(A644,'5.模板'!C:D,1,0),"")="","","✔")</f>
        <v/>
      </c>
      <c r="G644" s="98" t="str">
        <f>IF(IFERROR(VLOOKUP(A644,'6.混凝土'!C:D,1,0),"")="","","✔")</f>
        <v/>
      </c>
      <c r="H644" s="98" t="str">
        <f>IF(IFERROR(VLOOKUP(A644,'7.植筋'!C:D,1,0),"")="","","✔")</f>
        <v/>
      </c>
      <c r="I644" s="98" t="str">
        <f>IF(IFERROR(VLOOKUP(A644,'8.預力混凝土基樁'!C:D,1,0),"")="","","✔")</f>
        <v/>
      </c>
      <c r="J644" s="98" t="str">
        <f>IF(IFERROR(VLOOKUP(A644,'9.砌塊石護岸'!C:D,1,0),"")="","","✔")</f>
        <v/>
      </c>
      <c r="K644" s="98" t="str">
        <f>IF(IFERROR(VLOOKUP(A644,'10.低水護岸'!C:D,1,0),"")="","","✔")</f>
        <v/>
      </c>
      <c r="L644" s="98" t="str">
        <f>IF(IFERROR(VLOOKUP(A644,'11.固床工'!C:D,1,0),"")="","","✔")</f>
        <v/>
      </c>
      <c r="M644" s="98" t="str">
        <f>IF(IFERROR(VLOOKUP(A644,'12.全套管基樁'!C:D,1,0),"")="","","✔")</f>
        <v/>
      </c>
      <c r="N644" s="98" t="str">
        <f>IF(IFERROR(VLOOKUP(A644,'13.鋼筋混凝土管工程'!C:D,1,0),"")="","","✔")</f>
        <v/>
      </c>
      <c r="O644" s="98" t="str">
        <f>IF(IFERROR(VLOOKUP(A644,'14.鋼版樁'!C:D,1,0),"")="","","✔")</f>
        <v/>
      </c>
      <c r="P644" s="98" t="str">
        <f>IF(IFERROR(VLOOKUP(A644,'15.路床 路基高程'!C:D,1,0),"")="","","✔")</f>
        <v/>
      </c>
      <c r="Q644" s="98" t="str">
        <f>IF(IFERROR(VLOOKUP(A644,'16.瀝青混凝土'!C:D,1,0),"")="","","✔")</f>
        <v/>
      </c>
      <c r="R644" s="98" t="str">
        <f>IF(IFERROR(VLOOKUP(A644,'17.景觀鋪面(一)'!C:D,1,0),"")="","","✔")</f>
        <v/>
      </c>
      <c r="S644" s="98" t="str">
        <f>IF(IFERROR(VLOOKUP(A644,'18.景觀鋪面(二)'!C:D,1,0),"")="","","✔")</f>
        <v/>
      </c>
      <c r="T644" s="98" t="str">
        <f>IF(IFERROR(VLOOKUP(A644,'19.預鑄緣石'!C:D,1,0),"")="","","✔")</f>
        <v/>
      </c>
      <c r="U644" s="98" t="str">
        <f>IF(IFERROR(VLOOKUP(A644,'20.鋼構工程吊裝'!C:D,1,0),"")="","","✔")</f>
        <v/>
      </c>
      <c r="V644" s="98" t="str">
        <f>IF(IFERROR(VLOOKUP(A644,'21.鋼構工程塗裝'!C:D,1,0),"")="","","✔")</f>
        <v/>
      </c>
      <c r="W644" s="98" t="str">
        <f>IF(IFERROR(VLOOKUP(A644,'22.排水設施(一)'!C:D,1,0),"")="","","✔")</f>
        <v/>
      </c>
      <c r="X644" s="98" t="str">
        <f>IF(IFERROR(VLOOKUP(A644,'23.排水設施(二)'!C:D,1,0),"")="","","✔")</f>
        <v/>
      </c>
      <c r="Y644" s="98" t="str">
        <f>IF(IFERROR(VLOOKUP(A644,'24.木構造'!C:D,1,0),"")="","","✔")</f>
        <v/>
      </c>
      <c r="Z644" s="98" t="str">
        <f>IF(IFERROR(VLOOKUP(A644,'25.管路'!C:D,1,0),"")="","","✔")</f>
        <v/>
      </c>
      <c r="AA644" s="98" t="str">
        <f>IF(IFERROR(VLOOKUP(A644,'26.植栽(移植)'!C:D,1,0),"")="","","✔")</f>
        <v/>
      </c>
      <c r="AB644" s="98" t="str">
        <f>IF(IFERROR(VLOOKUP(A644,'27.植栽(新植)'!C:D,1,0),"")="","","✔")</f>
        <v/>
      </c>
      <c r="AC644" s="98" t="str">
        <f>IF(IFERROR(VLOOKUP(A644,'28.照明'!C:D,1,0),"")="","","✔")</f>
        <v/>
      </c>
      <c r="AD644" s="98" t="str">
        <f>IF(IFERROR(VLOOKUP(A644,'29.既有橋梁拆除'!C:D,1,0),"")="","","✔")</f>
        <v/>
      </c>
    </row>
    <row r="645" spans="1:30" ht="21.75" customHeight="1" x14ac:dyDescent="0.25">
      <c r="A645" s="99">
        <v>45835</v>
      </c>
      <c r="B645" s="98" t="str">
        <f>IF(IFERROR(VLOOKUP(A645,'1.測量放樣'!C:D,1,0),"")="","","✔")</f>
        <v/>
      </c>
      <c r="C645" s="98" t="str">
        <f>IF(IFERROR(VLOOKUP(A645,'2.土方開挖'!C:D,1,0),"")="","","✔")</f>
        <v/>
      </c>
      <c r="D645" s="98" t="str">
        <f>IF(IFERROR(VLOOKUP(A645,'3.土方回填'!C:D,1,0),"")="","","✔")</f>
        <v/>
      </c>
      <c r="E645" s="98" t="str">
        <f>IF(IFERROR(VLOOKUP(A645,'4.鋼筋'!C:D,1,0),"")="","","✔")</f>
        <v/>
      </c>
      <c r="F645" s="98" t="str">
        <f>IF(IFERROR(VLOOKUP(A645,'5.模板'!C:D,1,0),"")="","","✔")</f>
        <v/>
      </c>
      <c r="G645" s="98" t="str">
        <f>IF(IFERROR(VLOOKUP(A645,'6.混凝土'!C:D,1,0),"")="","","✔")</f>
        <v/>
      </c>
      <c r="H645" s="98" t="str">
        <f>IF(IFERROR(VLOOKUP(A645,'7.植筋'!C:D,1,0),"")="","","✔")</f>
        <v/>
      </c>
      <c r="I645" s="98" t="str">
        <f>IF(IFERROR(VLOOKUP(A645,'8.預力混凝土基樁'!C:D,1,0),"")="","","✔")</f>
        <v/>
      </c>
      <c r="J645" s="98" t="str">
        <f>IF(IFERROR(VLOOKUP(A645,'9.砌塊石護岸'!C:D,1,0),"")="","","✔")</f>
        <v/>
      </c>
      <c r="K645" s="98" t="str">
        <f>IF(IFERROR(VLOOKUP(A645,'10.低水護岸'!C:D,1,0),"")="","","✔")</f>
        <v/>
      </c>
      <c r="L645" s="98" t="str">
        <f>IF(IFERROR(VLOOKUP(A645,'11.固床工'!C:D,1,0),"")="","","✔")</f>
        <v/>
      </c>
      <c r="M645" s="98" t="str">
        <f>IF(IFERROR(VLOOKUP(A645,'12.全套管基樁'!C:D,1,0),"")="","","✔")</f>
        <v/>
      </c>
      <c r="N645" s="98" t="str">
        <f>IF(IFERROR(VLOOKUP(A645,'13.鋼筋混凝土管工程'!C:D,1,0),"")="","","✔")</f>
        <v/>
      </c>
      <c r="O645" s="98" t="str">
        <f>IF(IFERROR(VLOOKUP(A645,'14.鋼版樁'!C:D,1,0),"")="","","✔")</f>
        <v/>
      </c>
      <c r="P645" s="98" t="str">
        <f>IF(IFERROR(VLOOKUP(A645,'15.路床 路基高程'!C:D,1,0),"")="","","✔")</f>
        <v/>
      </c>
      <c r="Q645" s="98" t="str">
        <f>IF(IFERROR(VLOOKUP(A645,'16.瀝青混凝土'!C:D,1,0),"")="","","✔")</f>
        <v/>
      </c>
      <c r="R645" s="98" t="str">
        <f>IF(IFERROR(VLOOKUP(A645,'17.景觀鋪面(一)'!C:D,1,0),"")="","","✔")</f>
        <v/>
      </c>
      <c r="S645" s="98" t="str">
        <f>IF(IFERROR(VLOOKUP(A645,'18.景觀鋪面(二)'!C:D,1,0),"")="","","✔")</f>
        <v/>
      </c>
      <c r="T645" s="98" t="str">
        <f>IF(IFERROR(VLOOKUP(A645,'19.預鑄緣石'!C:D,1,0),"")="","","✔")</f>
        <v/>
      </c>
      <c r="U645" s="98" t="str">
        <f>IF(IFERROR(VLOOKUP(A645,'20.鋼構工程吊裝'!C:D,1,0),"")="","","✔")</f>
        <v/>
      </c>
      <c r="V645" s="98" t="str">
        <f>IF(IFERROR(VLOOKUP(A645,'21.鋼構工程塗裝'!C:D,1,0),"")="","","✔")</f>
        <v/>
      </c>
      <c r="W645" s="98" t="str">
        <f>IF(IFERROR(VLOOKUP(A645,'22.排水設施(一)'!C:D,1,0),"")="","","✔")</f>
        <v/>
      </c>
      <c r="X645" s="98" t="str">
        <f>IF(IFERROR(VLOOKUP(A645,'23.排水設施(二)'!C:D,1,0),"")="","","✔")</f>
        <v/>
      </c>
      <c r="Y645" s="98" t="str">
        <f>IF(IFERROR(VLOOKUP(A645,'24.木構造'!C:D,1,0),"")="","","✔")</f>
        <v/>
      </c>
      <c r="Z645" s="98" t="str">
        <f>IF(IFERROR(VLOOKUP(A645,'25.管路'!C:D,1,0),"")="","","✔")</f>
        <v/>
      </c>
      <c r="AA645" s="98" t="str">
        <f>IF(IFERROR(VLOOKUP(A645,'26.植栽(移植)'!C:D,1,0),"")="","","✔")</f>
        <v/>
      </c>
      <c r="AB645" s="98" t="str">
        <f>IF(IFERROR(VLOOKUP(A645,'27.植栽(新植)'!C:D,1,0),"")="","","✔")</f>
        <v/>
      </c>
      <c r="AC645" s="98" t="str">
        <f>IF(IFERROR(VLOOKUP(A645,'28.照明'!C:D,1,0),"")="","","✔")</f>
        <v/>
      </c>
      <c r="AD645" s="98" t="str">
        <f>IF(IFERROR(VLOOKUP(A645,'29.既有橋梁拆除'!C:D,1,0),"")="","","✔")</f>
        <v/>
      </c>
    </row>
    <row r="646" spans="1:30" ht="21.75" customHeight="1" x14ac:dyDescent="0.25">
      <c r="A646" s="99">
        <v>45836</v>
      </c>
      <c r="B646" s="98" t="str">
        <f>IF(IFERROR(VLOOKUP(A646,'1.測量放樣'!C:D,1,0),"")="","","✔")</f>
        <v/>
      </c>
      <c r="C646" s="98" t="str">
        <f>IF(IFERROR(VLOOKUP(A646,'2.土方開挖'!C:D,1,0),"")="","","✔")</f>
        <v/>
      </c>
      <c r="D646" s="98" t="str">
        <f>IF(IFERROR(VLOOKUP(A646,'3.土方回填'!C:D,1,0),"")="","","✔")</f>
        <v/>
      </c>
      <c r="E646" s="98" t="str">
        <f>IF(IFERROR(VLOOKUP(A646,'4.鋼筋'!C:D,1,0),"")="","","✔")</f>
        <v/>
      </c>
      <c r="F646" s="98" t="str">
        <f>IF(IFERROR(VLOOKUP(A646,'5.模板'!C:D,1,0),"")="","","✔")</f>
        <v/>
      </c>
      <c r="G646" s="98" t="str">
        <f>IF(IFERROR(VLOOKUP(A646,'6.混凝土'!C:D,1,0),"")="","","✔")</f>
        <v/>
      </c>
      <c r="H646" s="98" t="str">
        <f>IF(IFERROR(VLOOKUP(A646,'7.植筋'!C:D,1,0),"")="","","✔")</f>
        <v/>
      </c>
      <c r="I646" s="98" t="str">
        <f>IF(IFERROR(VLOOKUP(A646,'8.預力混凝土基樁'!C:D,1,0),"")="","","✔")</f>
        <v/>
      </c>
      <c r="J646" s="98" t="str">
        <f>IF(IFERROR(VLOOKUP(A646,'9.砌塊石護岸'!C:D,1,0),"")="","","✔")</f>
        <v/>
      </c>
      <c r="K646" s="98" t="str">
        <f>IF(IFERROR(VLOOKUP(A646,'10.低水護岸'!C:D,1,0),"")="","","✔")</f>
        <v/>
      </c>
      <c r="L646" s="98" t="str">
        <f>IF(IFERROR(VLOOKUP(A646,'11.固床工'!C:D,1,0),"")="","","✔")</f>
        <v/>
      </c>
      <c r="M646" s="98" t="str">
        <f>IF(IFERROR(VLOOKUP(A646,'12.全套管基樁'!C:D,1,0),"")="","","✔")</f>
        <v/>
      </c>
      <c r="N646" s="98" t="str">
        <f>IF(IFERROR(VLOOKUP(A646,'13.鋼筋混凝土管工程'!C:D,1,0),"")="","","✔")</f>
        <v/>
      </c>
      <c r="O646" s="98" t="str">
        <f>IF(IFERROR(VLOOKUP(A646,'14.鋼版樁'!C:D,1,0),"")="","","✔")</f>
        <v/>
      </c>
      <c r="P646" s="98" t="str">
        <f>IF(IFERROR(VLOOKUP(A646,'15.路床 路基高程'!C:D,1,0),"")="","","✔")</f>
        <v/>
      </c>
      <c r="Q646" s="98" t="str">
        <f>IF(IFERROR(VLOOKUP(A646,'16.瀝青混凝土'!C:D,1,0),"")="","","✔")</f>
        <v/>
      </c>
      <c r="R646" s="98" t="str">
        <f>IF(IFERROR(VLOOKUP(A646,'17.景觀鋪面(一)'!C:D,1,0),"")="","","✔")</f>
        <v/>
      </c>
      <c r="S646" s="98" t="str">
        <f>IF(IFERROR(VLOOKUP(A646,'18.景觀鋪面(二)'!C:D,1,0),"")="","","✔")</f>
        <v/>
      </c>
      <c r="T646" s="98" t="str">
        <f>IF(IFERROR(VLOOKUP(A646,'19.預鑄緣石'!C:D,1,0),"")="","","✔")</f>
        <v/>
      </c>
      <c r="U646" s="98" t="str">
        <f>IF(IFERROR(VLOOKUP(A646,'20.鋼構工程吊裝'!C:D,1,0),"")="","","✔")</f>
        <v/>
      </c>
      <c r="V646" s="98" t="str">
        <f>IF(IFERROR(VLOOKUP(A646,'21.鋼構工程塗裝'!C:D,1,0),"")="","","✔")</f>
        <v/>
      </c>
      <c r="W646" s="98" t="str">
        <f>IF(IFERROR(VLOOKUP(A646,'22.排水設施(一)'!C:D,1,0),"")="","","✔")</f>
        <v/>
      </c>
      <c r="X646" s="98" t="str">
        <f>IF(IFERROR(VLOOKUP(A646,'23.排水設施(二)'!C:D,1,0),"")="","","✔")</f>
        <v/>
      </c>
      <c r="Y646" s="98" t="str">
        <f>IF(IFERROR(VLOOKUP(A646,'24.木構造'!C:D,1,0),"")="","","✔")</f>
        <v/>
      </c>
      <c r="Z646" s="98" t="str">
        <f>IF(IFERROR(VLOOKUP(A646,'25.管路'!C:D,1,0),"")="","","✔")</f>
        <v/>
      </c>
      <c r="AA646" s="98" t="str">
        <f>IF(IFERROR(VLOOKUP(A646,'26.植栽(移植)'!C:D,1,0),"")="","","✔")</f>
        <v/>
      </c>
      <c r="AB646" s="98" t="str">
        <f>IF(IFERROR(VLOOKUP(A646,'27.植栽(新植)'!C:D,1,0),"")="","","✔")</f>
        <v/>
      </c>
      <c r="AC646" s="98" t="str">
        <f>IF(IFERROR(VLOOKUP(A646,'28.照明'!C:D,1,0),"")="","","✔")</f>
        <v/>
      </c>
      <c r="AD646" s="98" t="str">
        <f>IF(IFERROR(VLOOKUP(A646,'29.既有橋梁拆除'!C:D,1,0),"")="","","✔")</f>
        <v/>
      </c>
    </row>
    <row r="647" spans="1:30" ht="21.75" customHeight="1" x14ac:dyDescent="0.25">
      <c r="A647" s="99">
        <v>45837</v>
      </c>
      <c r="B647" s="98" t="str">
        <f>IF(IFERROR(VLOOKUP(A647,'1.測量放樣'!C:D,1,0),"")="","","✔")</f>
        <v/>
      </c>
      <c r="C647" s="98" t="str">
        <f>IF(IFERROR(VLOOKUP(A647,'2.土方開挖'!C:D,1,0),"")="","","✔")</f>
        <v/>
      </c>
      <c r="D647" s="98" t="str">
        <f>IF(IFERROR(VLOOKUP(A647,'3.土方回填'!C:D,1,0),"")="","","✔")</f>
        <v/>
      </c>
      <c r="E647" s="98" t="str">
        <f>IF(IFERROR(VLOOKUP(A647,'4.鋼筋'!C:D,1,0),"")="","","✔")</f>
        <v/>
      </c>
      <c r="F647" s="98" t="str">
        <f>IF(IFERROR(VLOOKUP(A647,'5.模板'!C:D,1,0),"")="","","✔")</f>
        <v/>
      </c>
      <c r="G647" s="98" t="str">
        <f>IF(IFERROR(VLOOKUP(A647,'6.混凝土'!C:D,1,0),"")="","","✔")</f>
        <v/>
      </c>
      <c r="H647" s="98" t="str">
        <f>IF(IFERROR(VLOOKUP(A647,'7.植筋'!C:D,1,0),"")="","","✔")</f>
        <v/>
      </c>
      <c r="I647" s="98" t="str">
        <f>IF(IFERROR(VLOOKUP(A647,'8.預力混凝土基樁'!C:D,1,0),"")="","","✔")</f>
        <v/>
      </c>
      <c r="J647" s="98" t="str">
        <f>IF(IFERROR(VLOOKUP(A647,'9.砌塊石護岸'!C:D,1,0),"")="","","✔")</f>
        <v/>
      </c>
      <c r="K647" s="98" t="str">
        <f>IF(IFERROR(VLOOKUP(A647,'10.低水護岸'!C:D,1,0),"")="","","✔")</f>
        <v/>
      </c>
      <c r="L647" s="98" t="str">
        <f>IF(IFERROR(VLOOKUP(A647,'11.固床工'!C:D,1,0),"")="","","✔")</f>
        <v/>
      </c>
      <c r="M647" s="98" t="str">
        <f>IF(IFERROR(VLOOKUP(A647,'12.全套管基樁'!C:D,1,0),"")="","","✔")</f>
        <v/>
      </c>
      <c r="N647" s="98" t="str">
        <f>IF(IFERROR(VLOOKUP(A647,'13.鋼筋混凝土管工程'!C:D,1,0),"")="","","✔")</f>
        <v/>
      </c>
      <c r="O647" s="98" t="str">
        <f>IF(IFERROR(VLOOKUP(A647,'14.鋼版樁'!C:D,1,0),"")="","","✔")</f>
        <v/>
      </c>
      <c r="P647" s="98" t="str">
        <f>IF(IFERROR(VLOOKUP(A647,'15.路床 路基高程'!C:D,1,0),"")="","","✔")</f>
        <v/>
      </c>
      <c r="Q647" s="98" t="str">
        <f>IF(IFERROR(VLOOKUP(A647,'16.瀝青混凝土'!C:D,1,0),"")="","","✔")</f>
        <v/>
      </c>
      <c r="R647" s="98" t="str">
        <f>IF(IFERROR(VLOOKUP(A647,'17.景觀鋪面(一)'!C:D,1,0),"")="","","✔")</f>
        <v/>
      </c>
      <c r="S647" s="98" t="str">
        <f>IF(IFERROR(VLOOKUP(A647,'18.景觀鋪面(二)'!C:D,1,0),"")="","","✔")</f>
        <v/>
      </c>
      <c r="T647" s="98" t="str">
        <f>IF(IFERROR(VLOOKUP(A647,'19.預鑄緣石'!C:D,1,0),"")="","","✔")</f>
        <v/>
      </c>
      <c r="U647" s="98" t="str">
        <f>IF(IFERROR(VLOOKUP(A647,'20.鋼構工程吊裝'!C:D,1,0),"")="","","✔")</f>
        <v/>
      </c>
      <c r="V647" s="98" t="str">
        <f>IF(IFERROR(VLOOKUP(A647,'21.鋼構工程塗裝'!C:D,1,0),"")="","","✔")</f>
        <v/>
      </c>
      <c r="W647" s="98" t="str">
        <f>IF(IFERROR(VLOOKUP(A647,'22.排水設施(一)'!C:D,1,0),"")="","","✔")</f>
        <v/>
      </c>
      <c r="X647" s="98" t="str">
        <f>IF(IFERROR(VLOOKUP(A647,'23.排水設施(二)'!C:D,1,0),"")="","","✔")</f>
        <v/>
      </c>
      <c r="Y647" s="98" t="str">
        <f>IF(IFERROR(VLOOKUP(A647,'24.木構造'!C:D,1,0),"")="","","✔")</f>
        <v/>
      </c>
      <c r="Z647" s="98" t="str">
        <f>IF(IFERROR(VLOOKUP(A647,'25.管路'!C:D,1,0),"")="","","✔")</f>
        <v/>
      </c>
      <c r="AA647" s="98" t="str">
        <f>IF(IFERROR(VLOOKUP(A647,'26.植栽(移植)'!C:D,1,0),"")="","","✔")</f>
        <v/>
      </c>
      <c r="AB647" s="98" t="str">
        <f>IF(IFERROR(VLOOKUP(A647,'27.植栽(新植)'!C:D,1,0),"")="","","✔")</f>
        <v/>
      </c>
      <c r="AC647" s="98" t="str">
        <f>IF(IFERROR(VLOOKUP(A647,'28.照明'!C:D,1,0),"")="","","✔")</f>
        <v/>
      </c>
      <c r="AD647" s="98" t="str">
        <f>IF(IFERROR(VLOOKUP(A647,'29.既有橋梁拆除'!C:D,1,0),"")="","","✔")</f>
        <v/>
      </c>
    </row>
    <row r="648" spans="1:30" ht="21.75" customHeight="1" x14ac:dyDescent="0.25">
      <c r="A648" s="99">
        <v>45838</v>
      </c>
      <c r="B648" s="98" t="str">
        <f>IF(IFERROR(VLOOKUP(A648,'1.測量放樣'!C:D,1,0),"")="","","✔")</f>
        <v/>
      </c>
      <c r="C648" s="98" t="str">
        <f>IF(IFERROR(VLOOKUP(A648,'2.土方開挖'!C:D,1,0),"")="","","✔")</f>
        <v/>
      </c>
      <c r="D648" s="98" t="str">
        <f>IF(IFERROR(VLOOKUP(A648,'3.土方回填'!C:D,1,0),"")="","","✔")</f>
        <v/>
      </c>
      <c r="E648" s="98" t="str">
        <f>IF(IFERROR(VLOOKUP(A648,'4.鋼筋'!C:D,1,0),"")="","","✔")</f>
        <v/>
      </c>
      <c r="F648" s="98" t="str">
        <f>IF(IFERROR(VLOOKUP(A648,'5.模板'!C:D,1,0),"")="","","✔")</f>
        <v/>
      </c>
      <c r="G648" s="98" t="str">
        <f>IF(IFERROR(VLOOKUP(A648,'6.混凝土'!C:D,1,0),"")="","","✔")</f>
        <v/>
      </c>
      <c r="H648" s="98" t="str">
        <f>IF(IFERROR(VLOOKUP(A648,'7.植筋'!C:D,1,0),"")="","","✔")</f>
        <v/>
      </c>
      <c r="I648" s="98" t="str">
        <f>IF(IFERROR(VLOOKUP(A648,'8.預力混凝土基樁'!C:D,1,0),"")="","","✔")</f>
        <v/>
      </c>
      <c r="J648" s="98" t="str">
        <f>IF(IFERROR(VLOOKUP(A648,'9.砌塊石護岸'!C:D,1,0),"")="","","✔")</f>
        <v/>
      </c>
      <c r="K648" s="98" t="str">
        <f>IF(IFERROR(VLOOKUP(A648,'10.低水護岸'!C:D,1,0),"")="","","✔")</f>
        <v/>
      </c>
      <c r="L648" s="98" t="str">
        <f>IF(IFERROR(VLOOKUP(A648,'11.固床工'!C:D,1,0),"")="","","✔")</f>
        <v/>
      </c>
      <c r="M648" s="98" t="str">
        <f>IF(IFERROR(VLOOKUP(A648,'12.全套管基樁'!C:D,1,0),"")="","","✔")</f>
        <v/>
      </c>
      <c r="N648" s="98" t="str">
        <f>IF(IFERROR(VLOOKUP(A648,'13.鋼筋混凝土管工程'!C:D,1,0),"")="","","✔")</f>
        <v/>
      </c>
      <c r="O648" s="98" t="str">
        <f>IF(IFERROR(VLOOKUP(A648,'14.鋼版樁'!C:D,1,0),"")="","","✔")</f>
        <v/>
      </c>
      <c r="P648" s="98" t="str">
        <f>IF(IFERROR(VLOOKUP(A648,'15.路床 路基高程'!C:D,1,0),"")="","","✔")</f>
        <v/>
      </c>
      <c r="Q648" s="98" t="str">
        <f>IF(IFERROR(VLOOKUP(A648,'16.瀝青混凝土'!C:D,1,0),"")="","","✔")</f>
        <v/>
      </c>
      <c r="R648" s="98" t="str">
        <f>IF(IFERROR(VLOOKUP(A648,'17.景觀鋪面(一)'!C:D,1,0),"")="","","✔")</f>
        <v/>
      </c>
      <c r="S648" s="98" t="str">
        <f>IF(IFERROR(VLOOKUP(A648,'18.景觀鋪面(二)'!C:D,1,0),"")="","","✔")</f>
        <v/>
      </c>
      <c r="T648" s="98" t="str">
        <f>IF(IFERROR(VLOOKUP(A648,'19.預鑄緣石'!C:D,1,0),"")="","","✔")</f>
        <v/>
      </c>
      <c r="U648" s="98" t="str">
        <f>IF(IFERROR(VLOOKUP(A648,'20.鋼構工程吊裝'!C:D,1,0),"")="","","✔")</f>
        <v/>
      </c>
      <c r="V648" s="98" t="str">
        <f>IF(IFERROR(VLOOKUP(A648,'21.鋼構工程塗裝'!C:D,1,0),"")="","","✔")</f>
        <v/>
      </c>
      <c r="W648" s="98" t="str">
        <f>IF(IFERROR(VLOOKUP(A648,'22.排水設施(一)'!C:D,1,0),"")="","","✔")</f>
        <v/>
      </c>
      <c r="X648" s="98" t="str">
        <f>IF(IFERROR(VLOOKUP(A648,'23.排水設施(二)'!C:D,1,0),"")="","","✔")</f>
        <v/>
      </c>
      <c r="Y648" s="98" t="str">
        <f>IF(IFERROR(VLOOKUP(A648,'24.木構造'!C:D,1,0),"")="","","✔")</f>
        <v/>
      </c>
      <c r="Z648" s="98" t="str">
        <f>IF(IFERROR(VLOOKUP(A648,'25.管路'!C:D,1,0),"")="","","✔")</f>
        <v/>
      </c>
      <c r="AA648" s="98" t="str">
        <f>IF(IFERROR(VLOOKUP(A648,'26.植栽(移植)'!C:D,1,0),"")="","","✔")</f>
        <v/>
      </c>
      <c r="AB648" s="98" t="str">
        <f>IF(IFERROR(VLOOKUP(A648,'27.植栽(新植)'!C:D,1,0),"")="","","✔")</f>
        <v/>
      </c>
      <c r="AC648" s="98" t="str">
        <f>IF(IFERROR(VLOOKUP(A648,'28.照明'!C:D,1,0),"")="","","✔")</f>
        <v/>
      </c>
      <c r="AD648" s="98" t="str">
        <f>IF(IFERROR(VLOOKUP(A648,'29.既有橋梁拆除'!C:D,1,0),"")="","","✔")</f>
        <v/>
      </c>
    </row>
    <row r="649" spans="1:30" ht="21.75" customHeight="1" x14ac:dyDescent="0.25">
      <c r="A649" s="99">
        <v>45839</v>
      </c>
      <c r="B649" s="98" t="str">
        <f>IF(IFERROR(VLOOKUP(A649,'1.測量放樣'!C:D,1,0),"")="","","✔")</f>
        <v/>
      </c>
      <c r="C649" s="98" t="str">
        <f>IF(IFERROR(VLOOKUP(A649,'2.土方開挖'!C:D,1,0),"")="","","✔")</f>
        <v/>
      </c>
      <c r="D649" s="98" t="str">
        <f>IF(IFERROR(VLOOKUP(A649,'3.土方回填'!C:D,1,0),"")="","","✔")</f>
        <v/>
      </c>
      <c r="E649" s="98" t="str">
        <f>IF(IFERROR(VLOOKUP(A649,'4.鋼筋'!C:D,1,0),"")="","","✔")</f>
        <v/>
      </c>
      <c r="F649" s="98" t="str">
        <f>IF(IFERROR(VLOOKUP(A649,'5.模板'!C:D,1,0),"")="","","✔")</f>
        <v/>
      </c>
      <c r="G649" s="98" t="str">
        <f>IF(IFERROR(VLOOKUP(A649,'6.混凝土'!C:D,1,0),"")="","","✔")</f>
        <v/>
      </c>
      <c r="H649" s="98" t="str">
        <f>IF(IFERROR(VLOOKUP(A649,'7.植筋'!C:D,1,0),"")="","","✔")</f>
        <v/>
      </c>
      <c r="I649" s="98" t="str">
        <f>IF(IFERROR(VLOOKUP(A649,'8.預力混凝土基樁'!C:D,1,0),"")="","","✔")</f>
        <v/>
      </c>
      <c r="J649" s="98" t="str">
        <f>IF(IFERROR(VLOOKUP(A649,'9.砌塊石護岸'!C:D,1,0),"")="","","✔")</f>
        <v/>
      </c>
      <c r="K649" s="98" t="str">
        <f>IF(IFERROR(VLOOKUP(A649,'10.低水護岸'!C:D,1,0),"")="","","✔")</f>
        <v/>
      </c>
      <c r="L649" s="98" t="str">
        <f>IF(IFERROR(VLOOKUP(A649,'11.固床工'!C:D,1,0),"")="","","✔")</f>
        <v/>
      </c>
      <c r="M649" s="98" t="str">
        <f>IF(IFERROR(VLOOKUP(A649,'12.全套管基樁'!C:D,1,0),"")="","","✔")</f>
        <v/>
      </c>
      <c r="N649" s="98" t="str">
        <f>IF(IFERROR(VLOOKUP(A649,'13.鋼筋混凝土管工程'!C:D,1,0),"")="","","✔")</f>
        <v/>
      </c>
      <c r="O649" s="98" t="str">
        <f>IF(IFERROR(VLOOKUP(A649,'14.鋼版樁'!C:D,1,0),"")="","","✔")</f>
        <v/>
      </c>
      <c r="P649" s="98" t="str">
        <f>IF(IFERROR(VLOOKUP(A649,'15.路床 路基高程'!C:D,1,0),"")="","","✔")</f>
        <v/>
      </c>
      <c r="Q649" s="98" t="str">
        <f>IF(IFERROR(VLOOKUP(A649,'16.瀝青混凝土'!C:D,1,0),"")="","","✔")</f>
        <v/>
      </c>
      <c r="R649" s="98" t="str">
        <f>IF(IFERROR(VLOOKUP(A649,'17.景觀鋪面(一)'!C:D,1,0),"")="","","✔")</f>
        <v/>
      </c>
      <c r="S649" s="98" t="str">
        <f>IF(IFERROR(VLOOKUP(A649,'18.景觀鋪面(二)'!C:D,1,0),"")="","","✔")</f>
        <v/>
      </c>
      <c r="T649" s="98" t="str">
        <f>IF(IFERROR(VLOOKUP(A649,'19.預鑄緣石'!C:D,1,0),"")="","","✔")</f>
        <v/>
      </c>
      <c r="U649" s="98" t="str">
        <f>IF(IFERROR(VLOOKUP(A649,'20.鋼構工程吊裝'!C:D,1,0),"")="","","✔")</f>
        <v/>
      </c>
      <c r="V649" s="98" t="str">
        <f>IF(IFERROR(VLOOKUP(A649,'21.鋼構工程塗裝'!C:D,1,0),"")="","","✔")</f>
        <v/>
      </c>
      <c r="W649" s="98" t="str">
        <f>IF(IFERROR(VLOOKUP(A649,'22.排水設施(一)'!C:D,1,0),"")="","","✔")</f>
        <v/>
      </c>
      <c r="X649" s="98" t="str">
        <f>IF(IFERROR(VLOOKUP(A649,'23.排水設施(二)'!C:D,1,0),"")="","","✔")</f>
        <v/>
      </c>
      <c r="Y649" s="98" t="str">
        <f>IF(IFERROR(VLOOKUP(A649,'24.木構造'!C:D,1,0),"")="","","✔")</f>
        <v/>
      </c>
      <c r="Z649" s="98" t="str">
        <f>IF(IFERROR(VLOOKUP(A649,'25.管路'!C:D,1,0),"")="","","✔")</f>
        <v/>
      </c>
      <c r="AA649" s="98" t="str">
        <f>IF(IFERROR(VLOOKUP(A649,'26.植栽(移植)'!C:D,1,0),"")="","","✔")</f>
        <v/>
      </c>
      <c r="AB649" s="98" t="str">
        <f>IF(IFERROR(VLOOKUP(A649,'27.植栽(新植)'!C:D,1,0),"")="","","✔")</f>
        <v/>
      </c>
      <c r="AC649" s="98" t="str">
        <f>IF(IFERROR(VLOOKUP(A649,'28.照明'!C:D,1,0),"")="","","✔")</f>
        <v/>
      </c>
      <c r="AD649" s="98" t="str">
        <f>IF(IFERROR(VLOOKUP(A649,'29.既有橋梁拆除'!C:D,1,0),"")="","","✔")</f>
        <v/>
      </c>
    </row>
    <row r="650" spans="1:30" ht="21.75" customHeight="1" x14ac:dyDescent="0.25">
      <c r="A650" s="99">
        <v>45840</v>
      </c>
      <c r="B650" s="98" t="str">
        <f>IF(IFERROR(VLOOKUP(A650,'1.測量放樣'!C:D,1,0),"")="","","✔")</f>
        <v/>
      </c>
      <c r="C650" s="98" t="str">
        <f>IF(IFERROR(VLOOKUP(A650,'2.土方開挖'!C:D,1,0),"")="","","✔")</f>
        <v/>
      </c>
      <c r="D650" s="98" t="str">
        <f>IF(IFERROR(VLOOKUP(A650,'3.土方回填'!C:D,1,0),"")="","","✔")</f>
        <v/>
      </c>
      <c r="E650" s="98" t="str">
        <f>IF(IFERROR(VLOOKUP(A650,'4.鋼筋'!C:D,1,0),"")="","","✔")</f>
        <v/>
      </c>
      <c r="F650" s="98" t="str">
        <f>IF(IFERROR(VLOOKUP(A650,'5.模板'!C:D,1,0),"")="","","✔")</f>
        <v/>
      </c>
      <c r="G650" s="98" t="str">
        <f>IF(IFERROR(VLOOKUP(A650,'6.混凝土'!C:D,1,0),"")="","","✔")</f>
        <v/>
      </c>
      <c r="H650" s="98" t="str">
        <f>IF(IFERROR(VLOOKUP(A650,'7.植筋'!C:D,1,0),"")="","","✔")</f>
        <v/>
      </c>
      <c r="I650" s="98" t="str">
        <f>IF(IFERROR(VLOOKUP(A650,'8.預力混凝土基樁'!C:D,1,0),"")="","","✔")</f>
        <v/>
      </c>
      <c r="J650" s="98" t="str">
        <f>IF(IFERROR(VLOOKUP(A650,'9.砌塊石護岸'!C:D,1,0),"")="","","✔")</f>
        <v/>
      </c>
      <c r="K650" s="98" t="str">
        <f>IF(IFERROR(VLOOKUP(A650,'10.低水護岸'!C:D,1,0),"")="","","✔")</f>
        <v/>
      </c>
      <c r="L650" s="98" t="str">
        <f>IF(IFERROR(VLOOKUP(A650,'11.固床工'!C:D,1,0),"")="","","✔")</f>
        <v/>
      </c>
      <c r="M650" s="98" t="str">
        <f>IF(IFERROR(VLOOKUP(A650,'12.全套管基樁'!C:D,1,0),"")="","","✔")</f>
        <v/>
      </c>
      <c r="N650" s="98" t="str">
        <f>IF(IFERROR(VLOOKUP(A650,'13.鋼筋混凝土管工程'!C:D,1,0),"")="","","✔")</f>
        <v/>
      </c>
      <c r="O650" s="98" t="str">
        <f>IF(IFERROR(VLOOKUP(A650,'14.鋼版樁'!C:D,1,0),"")="","","✔")</f>
        <v/>
      </c>
      <c r="P650" s="98" t="str">
        <f>IF(IFERROR(VLOOKUP(A650,'15.路床 路基高程'!C:D,1,0),"")="","","✔")</f>
        <v/>
      </c>
      <c r="Q650" s="98" t="str">
        <f>IF(IFERROR(VLOOKUP(A650,'16.瀝青混凝土'!C:D,1,0),"")="","","✔")</f>
        <v/>
      </c>
      <c r="R650" s="98" t="str">
        <f>IF(IFERROR(VLOOKUP(A650,'17.景觀鋪面(一)'!C:D,1,0),"")="","","✔")</f>
        <v/>
      </c>
      <c r="S650" s="98" t="str">
        <f>IF(IFERROR(VLOOKUP(A650,'18.景觀鋪面(二)'!C:D,1,0),"")="","","✔")</f>
        <v/>
      </c>
      <c r="T650" s="98" t="str">
        <f>IF(IFERROR(VLOOKUP(A650,'19.預鑄緣石'!C:D,1,0),"")="","","✔")</f>
        <v/>
      </c>
      <c r="U650" s="98" t="str">
        <f>IF(IFERROR(VLOOKUP(A650,'20.鋼構工程吊裝'!C:D,1,0),"")="","","✔")</f>
        <v/>
      </c>
      <c r="V650" s="98" t="str">
        <f>IF(IFERROR(VLOOKUP(A650,'21.鋼構工程塗裝'!C:D,1,0),"")="","","✔")</f>
        <v/>
      </c>
      <c r="W650" s="98" t="str">
        <f>IF(IFERROR(VLOOKUP(A650,'22.排水設施(一)'!C:D,1,0),"")="","","✔")</f>
        <v/>
      </c>
      <c r="X650" s="98" t="str">
        <f>IF(IFERROR(VLOOKUP(A650,'23.排水設施(二)'!C:D,1,0),"")="","","✔")</f>
        <v/>
      </c>
      <c r="Y650" s="98" t="str">
        <f>IF(IFERROR(VLOOKUP(A650,'24.木構造'!C:D,1,0),"")="","","✔")</f>
        <v/>
      </c>
      <c r="Z650" s="98" t="str">
        <f>IF(IFERROR(VLOOKUP(A650,'25.管路'!C:D,1,0),"")="","","✔")</f>
        <v/>
      </c>
      <c r="AA650" s="98" t="str">
        <f>IF(IFERROR(VLOOKUP(A650,'26.植栽(移植)'!C:D,1,0),"")="","","✔")</f>
        <v/>
      </c>
      <c r="AB650" s="98" t="str">
        <f>IF(IFERROR(VLOOKUP(A650,'27.植栽(新植)'!C:D,1,0),"")="","","✔")</f>
        <v/>
      </c>
      <c r="AC650" s="98" t="str">
        <f>IF(IFERROR(VLOOKUP(A650,'28.照明'!C:D,1,0),"")="","","✔")</f>
        <v/>
      </c>
      <c r="AD650" s="98" t="str">
        <f>IF(IFERROR(VLOOKUP(A650,'29.既有橋梁拆除'!C:D,1,0),"")="","","✔")</f>
        <v/>
      </c>
    </row>
    <row r="651" spans="1:30" ht="21.75" customHeight="1" x14ac:dyDescent="0.25">
      <c r="A651" s="99">
        <v>45841</v>
      </c>
      <c r="B651" s="98" t="str">
        <f>IF(IFERROR(VLOOKUP(A651,'1.測量放樣'!C:D,1,0),"")="","","✔")</f>
        <v/>
      </c>
      <c r="C651" s="98" t="str">
        <f>IF(IFERROR(VLOOKUP(A651,'2.土方開挖'!C:D,1,0),"")="","","✔")</f>
        <v/>
      </c>
      <c r="D651" s="98" t="str">
        <f>IF(IFERROR(VLOOKUP(A651,'3.土方回填'!C:D,1,0),"")="","","✔")</f>
        <v/>
      </c>
      <c r="E651" s="98" t="str">
        <f>IF(IFERROR(VLOOKUP(A651,'4.鋼筋'!C:D,1,0),"")="","","✔")</f>
        <v/>
      </c>
      <c r="F651" s="98" t="str">
        <f>IF(IFERROR(VLOOKUP(A651,'5.模板'!C:D,1,0),"")="","","✔")</f>
        <v/>
      </c>
      <c r="G651" s="98" t="str">
        <f>IF(IFERROR(VLOOKUP(A651,'6.混凝土'!C:D,1,0),"")="","","✔")</f>
        <v/>
      </c>
      <c r="H651" s="98" t="str">
        <f>IF(IFERROR(VLOOKUP(A651,'7.植筋'!C:D,1,0),"")="","","✔")</f>
        <v/>
      </c>
      <c r="I651" s="98" t="str">
        <f>IF(IFERROR(VLOOKUP(A651,'8.預力混凝土基樁'!C:D,1,0),"")="","","✔")</f>
        <v/>
      </c>
      <c r="J651" s="98" t="str">
        <f>IF(IFERROR(VLOOKUP(A651,'9.砌塊石護岸'!C:D,1,0),"")="","","✔")</f>
        <v/>
      </c>
      <c r="K651" s="98" t="str">
        <f>IF(IFERROR(VLOOKUP(A651,'10.低水護岸'!C:D,1,0),"")="","","✔")</f>
        <v/>
      </c>
      <c r="L651" s="98" t="str">
        <f>IF(IFERROR(VLOOKUP(A651,'11.固床工'!C:D,1,0),"")="","","✔")</f>
        <v/>
      </c>
      <c r="M651" s="98" t="str">
        <f>IF(IFERROR(VLOOKUP(A651,'12.全套管基樁'!C:D,1,0),"")="","","✔")</f>
        <v/>
      </c>
      <c r="N651" s="98" t="str">
        <f>IF(IFERROR(VLOOKUP(A651,'13.鋼筋混凝土管工程'!C:D,1,0),"")="","","✔")</f>
        <v/>
      </c>
      <c r="O651" s="98" t="str">
        <f>IF(IFERROR(VLOOKUP(A651,'14.鋼版樁'!C:D,1,0),"")="","","✔")</f>
        <v/>
      </c>
      <c r="P651" s="98" t="str">
        <f>IF(IFERROR(VLOOKUP(A651,'15.路床 路基高程'!C:D,1,0),"")="","","✔")</f>
        <v/>
      </c>
      <c r="Q651" s="98" t="str">
        <f>IF(IFERROR(VLOOKUP(A651,'16.瀝青混凝土'!C:D,1,0),"")="","","✔")</f>
        <v/>
      </c>
      <c r="R651" s="98" t="str">
        <f>IF(IFERROR(VLOOKUP(A651,'17.景觀鋪面(一)'!C:D,1,0),"")="","","✔")</f>
        <v/>
      </c>
      <c r="S651" s="98" t="str">
        <f>IF(IFERROR(VLOOKUP(A651,'18.景觀鋪面(二)'!C:D,1,0),"")="","","✔")</f>
        <v/>
      </c>
      <c r="T651" s="98" t="str">
        <f>IF(IFERROR(VLOOKUP(A651,'19.預鑄緣石'!C:D,1,0),"")="","","✔")</f>
        <v/>
      </c>
      <c r="U651" s="98" t="str">
        <f>IF(IFERROR(VLOOKUP(A651,'20.鋼構工程吊裝'!C:D,1,0),"")="","","✔")</f>
        <v/>
      </c>
      <c r="V651" s="98" t="str">
        <f>IF(IFERROR(VLOOKUP(A651,'21.鋼構工程塗裝'!C:D,1,0),"")="","","✔")</f>
        <v/>
      </c>
      <c r="W651" s="98" t="str">
        <f>IF(IFERROR(VLOOKUP(A651,'22.排水設施(一)'!C:D,1,0),"")="","","✔")</f>
        <v/>
      </c>
      <c r="X651" s="98" t="str">
        <f>IF(IFERROR(VLOOKUP(A651,'23.排水設施(二)'!C:D,1,0),"")="","","✔")</f>
        <v/>
      </c>
      <c r="Y651" s="98" t="str">
        <f>IF(IFERROR(VLOOKUP(A651,'24.木構造'!C:D,1,0),"")="","","✔")</f>
        <v/>
      </c>
      <c r="Z651" s="98" t="str">
        <f>IF(IFERROR(VLOOKUP(A651,'25.管路'!C:D,1,0),"")="","","✔")</f>
        <v/>
      </c>
      <c r="AA651" s="98" t="str">
        <f>IF(IFERROR(VLOOKUP(A651,'26.植栽(移植)'!C:D,1,0),"")="","","✔")</f>
        <v/>
      </c>
      <c r="AB651" s="98" t="str">
        <f>IF(IFERROR(VLOOKUP(A651,'27.植栽(新植)'!C:D,1,0),"")="","","✔")</f>
        <v/>
      </c>
      <c r="AC651" s="98" t="str">
        <f>IF(IFERROR(VLOOKUP(A651,'28.照明'!C:D,1,0),"")="","","✔")</f>
        <v/>
      </c>
      <c r="AD651" s="98" t="str">
        <f>IF(IFERROR(VLOOKUP(A651,'29.既有橋梁拆除'!C:D,1,0),"")="","","✔")</f>
        <v/>
      </c>
    </row>
    <row r="652" spans="1:30" ht="21.75" customHeight="1" x14ac:dyDescent="0.25">
      <c r="A652" s="99">
        <v>45842</v>
      </c>
      <c r="B652" s="98" t="str">
        <f>IF(IFERROR(VLOOKUP(A652,'1.測量放樣'!C:D,1,0),"")="","","✔")</f>
        <v/>
      </c>
      <c r="C652" s="98" t="str">
        <f>IF(IFERROR(VLOOKUP(A652,'2.土方開挖'!C:D,1,0),"")="","","✔")</f>
        <v/>
      </c>
      <c r="D652" s="98" t="str">
        <f>IF(IFERROR(VLOOKUP(A652,'3.土方回填'!C:D,1,0),"")="","","✔")</f>
        <v/>
      </c>
      <c r="E652" s="98" t="str">
        <f>IF(IFERROR(VLOOKUP(A652,'4.鋼筋'!C:D,1,0),"")="","","✔")</f>
        <v/>
      </c>
      <c r="F652" s="98" t="str">
        <f>IF(IFERROR(VLOOKUP(A652,'5.模板'!C:D,1,0),"")="","","✔")</f>
        <v/>
      </c>
      <c r="G652" s="98" t="str">
        <f>IF(IFERROR(VLOOKUP(A652,'6.混凝土'!C:D,1,0),"")="","","✔")</f>
        <v/>
      </c>
      <c r="H652" s="98" t="str">
        <f>IF(IFERROR(VLOOKUP(A652,'7.植筋'!C:D,1,0),"")="","","✔")</f>
        <v/>
      </c>
      <c r="I652" s="98" t="str">
        <f>IF(IFERROR(VLOOKUP(A652,'8.預力混凝土基樁'!C:D,1,0),"")="","","✔")</f>
        <v/>
      </c>
      <c r="J652" s="98" t="str">
        <f>IF(IFERROR(VLOOKUP(A652,'9.砌塊石護岸'!C:D,1,0),"")="","","✔")</f>
        <v/>
      </c>
      <c r="K652" s="98" t="str">
        <f>IF(IFERROR(VLOOKUP(A652,'10.低水護岸'!C:D,1,0),"")="","","✔")</f>
        <v/>
      </c>
      <c r="L652" s="98" t="str">
        <f>IF(IFERROR(VLOOKUP(A652,'11.固床工'!C:D,1,0),"")="","","✔")</f>
        <v/>
      </c>
      <c r="M652" s="98" t="str">
        <f>IF(IFERROR(VLOOKUP(A652,'12.全套管基樁'!C:D,1,0),"")="","","✔")</f>
        <v/>
      </c>
      <c r="N652" s="98" t="str">
        <f>IF(IFERROR(VLOOKUP(A652,'13.鋼筋混凝土管工程'!C:D,1,0),"")="","","✔")</f>
        <v/>
      </c>
      <c r="O652" s="98" t="str">
        <f>IF(IFERROR(VLOOKUP(A652,'14.鋼版樁'!C:D,1,0),"")="","","✔")</f>
        <v/>
      </c>
      <c r="P652" s="98" t="str">
        <f>IF(IFERROR(VLOOKUP(A652,'15.路床 路基高程'!C:D,1,0),"")="","","✔")</f>
        <v/>
      </c>
      <c r="Q652" s="98" t="str">
        <f>IF(IFERROR(VLOOKUP(A652,'16.瀝青混凝土'!C:D,1,0),"")="","","✔")</f>
        <v/>
      </c>
      <c r="R652" s="98" t="str">
        <f>IF(IFERROR(VLOOKUP(A652,'17.景觀鋪面(一)'!C:D,1,0),"")="","","✔")</f>
        <v/>
      </c>
      <c r="S652" s="98" t="str">
        <f>IF(IFERROR(VLOOKUP(A652,'18.景觀鋪面(二)'!C:D,1,0),"")="","","✔")</f>
        <v/>
      </c>
      <c r="T652" s="98" t="str">
        <f>IF(IFERROR(VLOOKUP(A652,'19.預鑄緣石'!C:D,1,0),"")="","","✔")</f>
        <v/>
      </c>
      <c r="U652" s="98" t="str">
        <f>IF(IFERROR(VLOOKUP(A652,'20.鋼構工程吊裝'!C:D,1,0),"")="","","✔")</f>
        <v/>
      </c>
      <c r="V652" s="98" t="str">
        <f>IF(IFERROR(VLOOKUP(A652,'21.鋼構工程塗裝'!C:D,1,0),"")="","","✔")</f>
        <v/>
      </c>
      <c r="W652" s="98" t="str">
        <f>IF(IFERROR(VLOOKUP(A652,'22.排水設施(一)'!C:D,1,0),"")="","","✔")</f>
        <v/>
      </c>
      <c r="X652" s="98" t="str">
        <f>IF(IFERROR(VLOOKUP(A652,'23.排水設施(二)'!C:D,1,0),"")="","","✔")</f>
        <v/>
      </c>
      <c r="Y652" s="98" t="str">
        <f>IF(IFERROR(VLOOKUP(A652,'24.木構造'!C:D,1,0),"")="","","✔")</f>
        <v/>
      </c>
      <c r="Z652" s="98" t="str">
        <f>IF(IFERROR(VLOOKUP(A652,'25.管路'!C:D,1,0),"")="","","✔")</f>
        <v/>
      </c>
      <c r="AA652" s="98" t="str">
        <f>IF(IFERROR(VLOOKUP(A652,'26.植栽(移植)'!C:D,1,0),"")="","","✔")</f>
        <v/>
      </c>
      <c r="AB652" s="98" t="str">
        <f>IF(IFERROR(VLOOKUP(A652,'27.植栽(新植)'!C:D,1,0),"")="","","✔")</f>
        <v/>
      </c>
      <c r="AC652" s="98" t="str">
        <f>IF(IFERROR(VLOOKUP(A652,'28.照明'!C:D,1,0),"")="","","✔")</f>
        <v/>
      </c>
      <c r="AD652" s="98" t="str">
        <f>IF(IFERROR(VLOOKUP(A652,'29.既有橋梁拆除'!C:D,1,0),"")="","","✔")</f>
        <v/>
      </c>
    </row>
    <row r="653" spans="1:30" ht="21.75" customHeight="1" x14ac:dyDescent="0.25">
      <c r="A653" s="99">
        <v>45843</v>
      </c>
      <c r="B653" s="98" t="str">
        <f>IF(IFERROR(VLOOKUP(A653,'1.測量放樣'!C:D,1,0),"")="","","✔")</f>
        <v/>
      </c>
      <c r="C653" s="98" t="str">
        <f>IF(IFERROR(VLOOKUP(A653,'2.土方開挖'!C:D,1,0),"")="","","✔")</f>
        <v/>
      </c>
      <c r="D653" s="98" t="str">
        <f>IF(IFERROR(VLOOKUP(A653,'3.土方回填'!C:D,1,0),"")="","","✔")</f>
        <v/>
      </c>
      <c r="E653" s="98" t="str">
        <f>IF(IFERROR(VLOOKUP(A653,'4.鋼筋'!C:D,1,0),"")="","","✔")</f>
        <v/>
      </c>
      <c r="F653" s="98" t="str">
        <f>IF(IFERROR(VLOOKUP(A653,'5.模板'!C:D,1,0),"")="","","✔")</f>
        <v/>
      </c>
      <c r="G653" s="98" t="str">
        <f>IF(IFERROR(VLOOKUP(A653,'6.混凝土'!C:D,1,0),"")="","","✔")</f>
        <v/>
      </c>
      <c r="H653" s="98" t="str">
        <f>IF(IFERROR(VLOOKUP(A653,'7.植筋'!C:D,1,0),"")="","","✔")</f>
        <v/>
      </c>
      <c r="I653" s="98" t="str">
        <f>IF(IFERROR(VLOOKUP(A653,'8.預力混凝土基樁'!C:D,1,0),"")="","","✔")</f>
        <v/>
      </c>
      <c r="J653" s="98" t="str">
        <f>IF(IFERROR(VLOOKUP(A653,'9.砌塊石護岸'!C:D,1,0),"")="","","✔")</f>
        <v/>
      </c>
      <c r="K653" s="98" t="str">
        <f>IF(IFERROR(VLOOKUP(A653,'10.低水護岸'!C:D,1,0),"")="","","✔")</f>
        <v/>
      </c>
      <c r="L653" s="98" t="str">
        <f>IF(IFERROR(VLOOKUP(A653,'11.固床工'!C:D,1,0),"")="","","✔")</f>
        <v/>
      </c>
      <c r="M653" s="98" t="str">
        <f>IF(IFERROR(VLOOKUP(A653,'12.全套管基樁'!C:D,1,0),"")="","","✔")</f>
        <v/>
      </c>
      <c r="N653" s="98" t="str">
        <f>IF(IFERROR(VLOOKUP(A653,'13.鋼筋混凝土管工程'!C:D,1,0),"")="","","✔")</f>
        <v/>
      </c>
      <c r="O653" s="98" t="str">
        <f>IF(IFERROR(VLOOKUP(A653,'14.鋼版樁'!C:D,1,0),"")="","","✔")</f>
        <v/>
      </c>
      <c r="P653" s="98" t="str">
        <f>IF(IFERROR(VLOOKUP(A653,'15.路床 路基高程'!C:D,1,0),"")="","","✔")</f>
        <v/>
      </c>
      <c r="Q653" s="98" t="str">
        <f>IF(IFERROR(VLOOKUP(A653,'16.瀝青混凝土'!C:D,1,0),"")="","","✔")</f>
        <v/>
      </c>
      <c r="R653" s="98" t="str">
        <f>IF(IFERROR(VLOOKUP(A653,'17.景觀鋪面(一)'!C:D,1,0),"")="","","✔")</f>
        <v/>
      </c>
      <c r="S653" s="98" t="str">
        <f>IF(IFERROR(VLOOKUP(A653,'18.景觀鋪面(二)'!C:D,1,0),"")="","","✔")</f>
        <v/>
      </c>
      <c r="T653" s="98" t="str">
        <f>IF(IFERROR(VLOOKUP(A653,'19.預鑄緣石'!C:D,1,0),"")="","","✔")</f>
        <v/>
      </c>
      <c r="U653" s="98" t="str">
        <f>IF(IFERROR(VLOOKUP(A653,'20.鋼構工程吊裝'!C:D,1,0),"")="","","✔")</f>
        <v/>
      </c>
      <c r="V653" s="98" t="str">
        <f>IF(IFERROR(VLOOKUP(A653,'21.鋼構工程塗裝'!C:D,1,0),"")="","","✔")</f>
        <v/>
      </c>
      <c r="W653" s="98" t="str">
        <f>IF(IFERROR(VLOOKUP(A653,'22.排水設施(一)'!C:D,1,0),"")="","","✔")</f>
        <v/>
      </c>
      <c r="X653" s="98" t="str">
        <f>IF(IFERROR(VLOOKUP(A653,'23.排水設施(二)'!C:D,1,0),"")="","","✔")</f>
        <v/>
      </c>
      <c r="Y653" s="98" t="str">
        <f>IF(IFERROR(VLOOKUP(A653,'24.木構造'!C:D,1,0),"")="","","✔")</f>
        <v/>
      </c>
      <c r="Z653" s="98" t="str">
        <f>IF(IFERROR(VLOOKUP(A653,'25.管路'!C:D,1,0),"")="","","✔")</f>
        <v/>
      </c>
      <c r="AA653" s="98" t="str">
        <f>IF(IFERROR(VLOOKUP(A653,'26.植栽(移植)'!C:D,1,0),"")="","","✔")</f>
        <v/>
      </c>
      <c r="AB653" s="98" t="str">
        <f>IF(IFERROR(VLOOKUP(A653,'27.植栽(新植)'!C:D,1,0),"")="","","✔")</f>
        <v/>
      </c>
      <c r="AC653" s="98" t="str">
        <f>IF(IFERROR(VLOOKUP(A653,'28.照明'!C:D,1,0),"")="","","✔")</f>
        <v/>
      </c>
      <c r="AD653" s="98" t="str">
        <f>IF(IFERROR(VLOOKUP(A653,'29.既有橋梁拆除'!C:D,1,0),"")="","","✔")</f>
        <v/>
      </c>
    </row>
    <row r="654" spans="1:30" ht="21.75" customHeight="1" x14ac:dyDescent="0.25">
      <c r="A654" s="99">
        <v>45844</v>
      </c>
      <c r="B654" s="98" t="str">
        <f>IF(IFERROR(VLOOKUP(A654,'1.測量放樣'!C:D,1,0),"")="","","✔")</f>
        <v/>
      </c>
      <c r="C654" s="98" t="str">
        <f>IF(IFERROR(VLOOKUP(A654,'2.土方開挖'!C:D,1,0),"")="","","✔")</f>
        <v/>
      </c>
      <c r="D654" s="98" t="str">
        <f>IF(IFERROR(VLOOKUP(A654,'3.土方回填'!C:D,1,0),"")="","","✔")</f>
        <v/>
      </c>
      <c r="E654" s="98" t="str">
        <f>IF(IFERROR(VLOOKUP(A654,'4.鋼筋'!C:D,1,0),"")="","","✔")</f>
        <v/>
      </c>
      <c r="F654" s="98" t="str">
        <f>IF(IFERROR(VLOOKUP(A654,'5.模板'!C:D,1,0),"")="","","✔")</f>
        <v/>
      </c>
      <c r="G654" s="98" t="str">
        <f>IF(IFERROR(VLOOKUP(A654,'6.混凝土'!C:D,1,0),"")="","","✔")</f>
        <v/>
      </c>
      <c r="H654" s="98" t="str">
        <f>IF(IFERROR(VLOOKUP(A654,'7.植筋'!C:D,1,0),"")="","","✔")</f>
        <v/>
      </c>
      <c r="I654" s="98" t="str">
        <f>IF(IFERROR(VLOOKUP(A654,'8.預力混凝土基樁'!C:D,1,0),"")="","","✔")</f>
        <v/>
      </c>
      <c r="J654" s="98" t="str">
        <f>IF(IFERROR(VLOOKUP(A654,'9.砌塊石護岸'!C:D,1,0),"")="","","✔")</f>
        <v/>
      </c>
      <c r="K654" s="98" t="str">
        <f>IF(IFERROR(VLOOKUP(A654,'10.低水護岸'!C:D,1,0),"")="","","✔")</f>
        <v/>
      </c>
      <c r="L654" s="98" t="str">
        <f>IF(IFERROR(VLOOKUP(A654,'11.固床工'!C:D,1,0),"")="","","✔")</f>
        <v/>
      </c>
      <c r="M654" s="98" t="str">
        <f>IF(IFERROR(VLOOKUP(A654,'12.全套管基樁'!C:D,1,0),"")="","","✔")</f>
        <v/>
      </c>
      <c r="N654" s="98" t="str">
        <f>IF(IFERROR(VLOOKUP(A654,'13.鋼筋混凝土管工程'!C:D,1,0),"")="","","✔")</f>
        <v/>
      </c>
      <c r="O654" s="98" t="str">
        <f>IF(IFERROR(VLOOKUP(A654,'14.鋼版樁'!C:D,1,0),"")="","","✔")</f>
        <v/>
      </c>
      <c r="P654" s="98" t="str">
        <f>IF(IFERROR(VLOOKUP(A654,'15.路床 路基高程'!C:D,1,0),"")="","","✔")</f>
        <v/>
      </c>
      <c r="Q654" s="98" t="str">
        <f>IF(IFERROR(VLOOKUP(A654,'16.瀝青混凝土'!C:D,1,0),"")="","","✔")</f>
        <v/>
      </c>
      <c r="R654" s="98" t="str">
        <f>IF(IFERROR(VLOOKUP(A654,'17.景觀鋪面(一)'!C:D,1,0),"")="","","✔")</f>
        <v/>
      </c>
      <c r="S654" s="98" t="str">
        <f>IF(IFERROR(VLOOKUP(A654,'18.景觀鋪面(二)'!C:D,1,0),"")="","","✔")</f>
        <v/>
      </c>
      <c r="T654" s="98" t="str">
        <f>IF(IFERROR(VLOOKUP(A654,'19.預鑄緣石'!C:D,1,0),"")="","","✔")</f>
        <v/>
      </c>
      <c r="U654" s="98" t="str">
        <f>IF(IFERROR(VLOOKUP(A654,'20.鋼構工程吊裝'!C:D,1,0),"")="","","✔")</f>
        <v/>
      </c>
      <c r="V654" s="98" t="str">
        <f>IF(IFERROR(VLOOKUP(A654,'21.鋼構工程塗裝'!C:D,1,0),"")="","","✔")</f>
        <v/>
      </c>
      <c r="W654" s="98" t="str">
        <f>IF(IFERROR(VLOOKUP(A654,'22.排水設施(一)'!C:D,1,0),"")="","","✔")</f>
        <v/>
      </c>
      <c r="X654" s="98" t="str">
        <f>IF(IFERROR(VLOOKUP(A654,'23.排水設施(二)'!C:D,1,0),"")="","","✔")</f>
        <v/>
      </c>
      <c r="Y654" s="98" t="str">
        <f>IF(IFERROR(VLOOKUP(A654,'24.木構造'!C:D,1,0),"")="","","✔")</f>
        <v/>
      </c>
      <c r="Z654" s="98" t="str">
        <f>IF(IFERROR(VLOOKUP(A654,'25.管路'!C:D,1,0),"")="","","✔")</f>
        <v/>
      </c>
      <c r="AA654" s="98" t="str">
        <f>IF(IFERROR(VLOOKUP(A654,'26.植栽(移植)'!C:D,1,0),"")="","","✔")</f>
        <v/>
      </c>
      <c r="AB654" s="98" t="str">
        <f>IF(IFERROR(VLOOKUP(A654,'27.植栽(新植)'!C:D,1,0),"")="","","✔")</f>
        <v/>
      </c>
      <c r="AC654" s="98" t="str">
        <f>IF(IFERROR(VLOOKUP(A654,'28.照明'!C:D,1,0),"")="","","✔")</f>
        <v/>
      </c>
      <c r="AD654" s="98" t="str">
        <f>IF(IFERROR(VLOOKUP(A654,'29.既有橋梁拆除'!C:D,1,0),"")="","","✔")</f>
        <v/>
      </c>
    </row>
    <row r="655" spans="1:30" ht="21.75" customHeight="1" x14ac:dyDescent="0.25">
      <c r="A655" s="99">
        <v>45845</v>
      </c>
      <c r="B655" s="98" t="str">
        <f>IF(IFERROR(VLOOKUP(A655,'1.測量放樣'!C:D,1,0),"")="","","✔")</f>
        <v/>
      </c>
      <c r="C655" s="98" t="str">
        <f>IF(IFERROR(VLOOKUP(A655,'2.土方開挖'!C:D,1,0),"")="","","✔")</f>
        <v/>
      </c>
      <c r="D655" s="98" t="str">
        <f>IF(IFERROR(VLOOKUP(A655,'3.土方回填'!C:D,1,0),"")="","","✔")</f>
        <v/>
      </c>
      <c r="E655" s="98" t="str">
        <f>IF(IFERROR(VLOOKUP(A655,'4.鋼筋'!C:D,1,0),"")="","","✔")</f>
        <v/>
      </c>
      <c r="F655" s="98" t="str">
        <f>IF(IFERROR(VLOOKUP(A655,'5.模板'!C:D,1,0),"")="","","✔")</f>
        <v/>
      </c>
      <c r="G655" s="98" t="str">
        <f>IF(IFERROR(VLOOKUP(A655,'6.混凝土'!C:D,1,0),"")="","","✔")</f>
        <v/>
      </c>
      <c r="H655" s="98" t="str">
        <f>IF(IFERROR(VLOOKUP(A655,'7.植筋'!C:D,1,0),"")="","","✔")</f>
        <v/>
      </c>
      <c r="I655" s="98" t="str">
        <f>IF(IFERROR(VLOOKUP(A655,'8.預力混凝土基樁'!C:D,1,0),"")="","","✔")</f>
        <v/>
      </c>
      <c r="J655" s="98" t="str">
        <f>IF(IFERROR(VLOOKUP(A655,'9.砌塊石護岸'!C:D,1,0),"")="","","✔")</f>
        <v/>
      </c>
      <c r="K655" s="98" t="str">
        <f>IF(IFERROR(VLOOKUP(A655,'10.低水護岸'!C:D,1,0),"")="","","✔")</f>
        <v/>
      </c>
      <c r="L655" s="98" t="str">
        <f>IF(IFERROR(VLOOKUP(A655,'11.固床工'!C:D,1,0),"")="","","✔")</f>
        <v/>
      </c>
      <c r="M655" s="98" t="str">
        <f>IF(IFERROR(VLOOKUP(A655,'12.全套管基樁'!C:D,1,0),"")="","","✔")</f>
        <v/>
      </c>
      <c r="N655" s="98" t="str">
        <f>IF(IFERROR(VLOOKUP(A655,'13.鋼筋混凝土管工程'!C:D,1,0),"")="","","✔")</f>
        <v/>
      </c>
      <c r="O655" s="98" t="str">
        <f>IF(IFERROR(VLOOKUP(A655,'14.鋼版樁'!C:D,1,0),"")="","","✔")</f>
        <v/>
      </c>
      <c r="P655" s="98" t="str">
        <f>IF(IFERROR(VLOOKUP(A655,'15.路床 路基高程'!C:D,1,0),"")="","","✔")</f>
        <v/>
      </c>
      <c r="Q655" s="98" t="str">
        <f>IF(IFERROR(VLOOKUP(A655,'16.瀝青混凝土'!C:D,1,0),"")="","","✔")</f>
        <v/>
      </c>
      <c r="R655" s="98" t="str">
        <f>IF(IFERROR(VLOOKUP(A655,'17.景觀鋪面(一)'!C:D,1,0),"")="","","✔")</f>
        <v/>
      </c>
      <c r="S655" s="98" t="str">
        <f>IF(IFERROR(VLOOKUP(A655,'18.景觀鋪面(二)'!C:D,1,0),"")="","","✔")</f>
        <v/>
      </c>
      <c r="T655" s="98" t="str">
        <f>IF(IFERROR(VLOOKUP(A655,'19.預鑄緣石'!C:D,1,0),"")="","","✔")</f>
        <v/>
      </c>
      <c r="U655" s="98" t="str">
        <f>IF(IFERROR(VLOOKUP(A655,'20.鋼構工程吊裝'!C:D,1,0),"")="","","✔")</f>
        <v/>
      </c>
      <c r="V655" s="98" t="str">
        <f>IF(IFERROR(VLOOKUP(A655,'21.鋼構工程塗裝'!C:D,1,0),"")="","","✔")</f>
        <v/>
      </c>
      <c r="W655" s="98" t="str">
        <f>IF(IFERROR(VLOOKUP(A655,'22.排水設施(一)'!C:D,1,0),"")="","","✔")</f>
        <v/>
      </c>
      <c r="X655" s="98" t="str">
        <f>IF(IFERROR(VLOOKUP(A655,'23.排水設施(二)'!C:D,1,0),"")="","","✔")</f>
        <v/>
      </c>
      <c r="Y655" s="98" t="str">
        <f>IF(IFERROR(VLOOKUP(A655,'24.木構造'!C:D,1,0),"")="","","✔")</f>
        <v/>
      </c>
      <c r="Z655" s="98" t="str">
        <f>IF(IFERROR(VLOOKUP(A655,'25.管路'!C:D,1,0),"")="","","✔")</f>
        <v/>
      </c>
      <c r="AA655" s="98" t="str">
        <f>IF(IFERROR(VLOOKUP(A655,'26.植栽(移植)'!C:D,1,0),"")="","","✔")</f>
        <v/>
      </c>
      <c r="AB655" s="98" t="str">
        <f>IF(IFERROR(VLOOKUP(A655,'27.植栽(新植)'!C:D,1,0),"")="","","✔")</f>
        <v/>
      </c>
      <c r="AC655" s="98" t="str">
        <f>IF(IFERROR(VLOOKUP(A655,'28.照明'!C:D,1,0),"")="","","✔")</f>
        <v/>
      </c>
      <c r="AD655" s="98" t="str">
        <f>IF(IFERROR(VLOOKUP(A655,'29.既有橋梁拆除'!C:D,1,0),"")="","","✔")</f>
        <v/>
      </c>
    </row>
    <row r="656" spans="1:30" ht="21.75" customHeight="1" x14ac:dyDescent="0.25">
      <c r="A656" s="99">
        <v>45846</v>
      </c>
      <c r="B656" s="98" t="str">
        <f>IF(IFERROR(VLOOKUP(A656,'1.測量放樣'!C:D,1,0),"")="","","✔")</f>
        <v/>
      </c>
      <c r="C656" s="98" t="str">
        <f>IF(IFERROR(VLOOKUP(A656,'2.土方開挖'!C:D,1,0),"")="","","✔")</f>
        <v/>
      </c>
      <c r="D656" s="98" t="str">
        <f>IF(IFERROR(VLOOKUP(A656,'3.土方回填'!C:D,1,0),"")="","","✔")</f>
        <v/>
      </c>
      <c r="E656" s="98" t="str">
        <f>IF(IFERROR(VLOOKUP(A656,'4.鋼筋'!C:D,1,0),"")="","","✔")</f>
        <v/>
      </c>
      <c r="F656" s="98" t="str">
        <f>IF(IFERROR(VLOOKUP(A656,'5.模板'!C:D,1,0),"")="","","✔")</f>
        <v/>
      </c>
      <c r="G656" s="98" t="str">
        <f>IF(IFERROR(VLOOKUP(A656,'6.混凝土'!C:D,1,0),"")="","","✔")</f>
        <v/>
      </c>
      <c r="H656" s="98" t="str">
        <f>IF(IFERROR(VLOOKUP(A656,'7.植筋'!C:D,1,0),"")="","","✔")</f>
        <v/>
      </c>
      <c r="I656" s="98" t="str">
        <f>IF(IFERROR(VLOOKUP(A656,'8.預力混凝土基樁'!C:D,1,0),"")="","","✔")</f>
        <v/>
      </c>
      <c r="J656" s="98" t="str">
        <f>IF(IFERROR(VLOOKUP(A656,'9.砌塊石護岸'!C:D,1,0),"")="","","✔")</f>
        <v/>
      </c>
      <c r="K656" s="98" t="str">
        <f>IF(IFERROR(VLOOKUP(A656,'10.低水護岸'!C:D,1,0),"")="","","✔")</f>
        <v/>
      </c>
      <c r="L656" s="98" t="str">
        <f>IF(IFERROR(VLOOKUP(A656,'11.固床工'!C:D,1,0),"")="","","✔")</f>
        <v/>
      </c>
      <c r="M656" s="98" t="str">
        <f>IF(IFERROR(VLOOKUP(A656,'12.全套管基樁'!C:D,1,0),"")="","","✔")</f>
        <v/>
      </c>
      <c r="N656" s="98" t="str">
        <f>IF(IFERROR(VLOOKUP(A656,'13.鋼筋混凝土管工程'!C:D,1,0),"")="","","✔")</f>
        <v/>
      </c>
      <c r="O656" s="98" t="str">
        <f>IF(IFERROR(VLOOKUP(A656,'14.鋼版樁'!C:D,1,0),"")="","","✔")</f>
        <v/>
      </c>
      <c r="P656" s="98" t="str">
        <f>IF(IFERROR(VLOOKUP(A656,'15.路床 路基高程'!C:D,1,0),"")="","","✔")</f>
        <v/>
      </c>
      <c r="Q656" s="98" t="str">
        <f>IF(IFERROR(VLOOKUP(A656,'16.瀝青混凝土'!C:D,1,0),"")="","","✔")</f>
        <v/>
      </c>
      <c r="R656" s="98" t="str">
        <f>IF(IFERROR(VLOOKUP(A656,'17.景觀鋪面(一)'!C:D,1,0),"")="","","✔")</f>
        <v/>
      </c>
      <c r="S656" s="98" t="str">
        <f>IF(IFERROR(VLOOKUP(A656,'18.景觀鋪面(二)'!C:D,1,0),"")="","","✔")</f>
        <v/>
      </c>
      <c r="T656" s="98" t="str">
        <f>IF(IFERROR(VLOOKUP(A656,'19.預鑄緣石'!C:D,1,0),"")="","","✔")</f>
        <v/>
      </c>
      <c r="U656" s="98" t="str">
        <f>IF(IFERROR(VLOOKUP(A656,'20.鋼構工程吊裝'!C:D,1,0),"")="","","✔")</f>
        <v/>
      </c>
      <c r="V656" s="98" t="str">
        <f>IF(IFERROR(VLOOKUP(A656,'21.鋼構工程塗裝'!C:D,1,0),"")="","","✔")</f>
        <v/>
      </c>
      <c r="W656" s="98" t="str">
        <f>IF(IFERROR(VLOOKUP(A656,'22.排水設施(一)'!C:D,1,0),"")="","","✔")</f>
        <v/>
      </c>
      <c r="X656" s="98" t="str">
        <f>IF(IFERROR(VLOOKUP(A656,'23.排水設施(二)'!C:D,1,0),"")="","","✔")</f>
        <v/>
      </c>
      <c r="Y656" s="98" t="str">
        <f>IF(IFERROR(VLOOKUP(A656,'24.木構造'!C:D,1,0),"")="","","✔")</f>
        <v/>
      </c>
      <c r="Z656" s="98" t="str">
        <f>IF(IFERROR(VLOOKUP(A656,'25.管路'!C:D,1,0),"")="","","✔")</f>
        <v/>
      </c>
      <c r="AA656" s="98" t="str">
        <f>IF(IFERROR(VLOOKUP(A656,'26.植栽(移植)'!C:D,1,0),"")="","","✔")</f>
        <v/>
      </c>
      <c r="AB656" s="98" t="str">
        <f>IF(IFERROR(VLOOKUP(A656,'27.植栽(新植)'!C:D,1,0),"")="","","✔")</f>
        <v/>
      </c>
      <c r="AC656" s="98" t="str">
        <f>IF(IFERROR(VLOOKUP(A656,'28.照明'!C:D,1,0),"")="","","✔")</f>
        <v/>
      </c>
      <c r="AD656" s="98" t="str">
        <f>IF(IFERROR(VLOOKUP(A656,'29.既有橋梁拆除'!C:D,1,0),"")="","","✔")</f>
        <v/>
      </c>
    </row>
    <row r="657" spans="1:30" ht="21.75" customHeight="1" x14ac:dyDescent="0.25">
      <c r="A657" s="99">
        <v>45847</v>
      </c>
      <c r="B657" s="98" t="str">
        <f>IF(IFERROR(VLOOKUP(A657,'1.測量放樣'!C:D,1,0),"")="","","✔")</f>
        <v/>
      </c>
      <c r="C657" s="98" t="str">
        <f>IF(IFERROR(VLOOKUP(A657,'2.土方開挖'!C:D,1,0),"")="","","✔")</f>
        <v/>
      </c>
      <c r="D657" s="98" t="str">
        <f>IF(IFERROR(VLOOKUP(A657,'3.土方回填'!C:D,1,0),"")="","","✔")</f>
        <v/>
      </c>
      <c r="E657" s="98" t="str">
        <f>IF(IFERROR(VLOOKUP(A657,'4.鋼筋'!C:D,1,0),"")="","","✔")</f>
        <v/>
      </c>
      <c r="F657" s="98" t="str">
        <f>IF(IFERROR(VLOOKUP(A657,'5.模板'!C:D,1,0),"")="","","✔")</f>
        <v/>
      </c>
      <c r="G657" s="98" t="str">
        <f>IF(IFERROR(VLOOKUP(A657,'6.混凝土'!C:D,1,0),"")="","","✔")</f>
        <v/>
      </c>
      <c r="H657" s="98" t="str">
        <f>IF(IFERROR(VLOOKUP(A657,'7.植筋'!C:D,1,0),"")="","","✔")</f>
        <v/>
      </c>
      <c r="I657" s="98" t="str">
        <f>IF(IFERROR(VLOOKUP(A657,'8.預力混凝土基樁'!C:D,1,0),"")="","","✔")</f>
        <v/>
      </c>
      <c r="J657" s="98" t="str">
        <f>IF(IFERROR(VLOOKUP(A657,'9.砌塊石護岸'!C:D,1,0),"")="","","✔")</f>
        <v/>
      </c>
      <c r="K657" s="98" t="str">
        <f>IF(IFERROR(VLOOKUP(A657,'10.低水護岸'!C:D,1,0),"")="","","✔")</f>
        <v/>
      </c>
      <c r="L657" s="98" t="str">
        <f>IF(IFERROR(VLOOKUP(A657,'11.固床工'!C:D,1,0),"")="","","✔")</f>
        <v/>
      </c>
      <c r="M657" s="98" t="str">
        <f>IF(IFERROR(VLOOKUP(A657,'12.全套管基樁'!C:D,1,0),"")="","","✔")</f>
        <v/>
      </c>
      <c r="N657" s="98" t="str">
        <f>IF(IFERROR(VLOOKUP(A657,'13.鋼筋混凝土管工程'!C:D,1,0),"")="","","✔")</f>
        <v/>
      </c>
      <c r="O657" s="98" t="str">
        <f>IF(IFERROR(VLOOKUP(A657,'14.鋼版樁'!C:D,1,0),"")="","","✔")</f>
        <v/>
      </c>
      <c r="P657" s="98" t="str">
        <f>IF(IFERROR(VLOOKUP(A657,'15.路床 路基高程'!C:D,1,0),"")="","","✔")</f>
        <v/>
      </c>
      <c r="Q657" s="98" t="str">
        <f>IF(IFERROR(VLOOKUP(A657,'16.瀝青混凝土'!C:D,1,0),"")="","","✔")</f>
        <v/>
      </c>
      <c r="R657" s="98" t="str">
        <f>IF(IFERROR(VLOOKUP(A657,'17.景觀鋪面(一)'!C:D,1,0),"")="","","✔")</f>
        <v/>
      </c>
      <c r="S657" s="98" t="str">
        <f>IF(IFERROR(VLOOKUP(A657,'18.景觀鋪面(二)'!C:D,1,0),"")="","","✔")</f>
        <v/>
      </c>
      <c r="T657" s="98" t="str">
        <f>IF(IFERROR(VLOOKUP(A657,'19.預鑄緣石'!C:D,1,0),"")="","","✔")</f>
        <v/>
      </c>
      <c r="U657" s="98" t="str">
        <f>IF(IFERROR(VLOOKUP(A657,'20.鋼構工程吊裝'!C:D,1,0),"")="","","✔")</f>
        <v/>
      </c>
      <c r="V657" s="98" t="str">
        <f>IF(IFERROR(VLOOKUP(A657,'21.鋼構工程塗裝'!C:D,1,0),"")="","","✔")</f>
        <v/>
      </c>
      <c r="W657" s="98" t="str">
        <f>IF(IFERROR(VLOOKUP(A657,'22.排水設施(一)'!C:D,1,0),"")="","","✔")</f>
        <v/>
      </c>
      <c r="X657" s="98" t="str">
        <f>IF(IFERROR(VLOOKUP(A657,'23.排水設施(二)'!C:D,1,0),"")="","","✔")</f>
        <v/>
      </c>
      <c r="Y657" s="98" t="str">
        <f>IF(IFERROR(VLOOKUP(A657,'24.木構造'!C:D,1,0),"")="","","✔")</f>
        <v/>
      </c>
      <c r="Z657" s="98" t="str">
        <f>IF(IFERROR(VLOOKUP(A657,'25.管路'!C:D,1,0),"")="","","✔")</f>
        <v/>
      </c>
      <c r="AA657" s="98" t="str">
        <f>IF(IFERROR(VLOOKUP(A657,'26.植栽(移植)'!C:D,1,0),"")="","","✔")</f>
        <v/>
      </c>
      <c r="AB657" s="98" t="str">
        <f>IF(IFERROR(VLOOKUP(A657,'27.植栽(新植)'!C:D,1,0),"")="","","✔")</f>
        <v/>
      </c>
      <c r="AC657" s="98" t="str">
        <f>IF(IFERROR(VLOOKUP(A657,'28.照明'!C:D,1,0),"")="","","✔")</f>
        <v/>
      </c>
      <c r="AD657" s="98" t="str">
        <f>IF(IFERROR(VLOOKUP(A657,'29.既有橋梁拆除'!C:D,1,0),"")="","","✔")</f>
        <v/>
      </c>
    </row>
    <row r="658" spans="1:30" ht="21.75" customHeight="1" x14ac:dyDescent="0.25">
      <c r="A658" s="99">
        <v>45848</v>
      </c>
      <c r="B658" s="98" t="str">
        <f>IF(IFERROR(VLOOKUP(A658,'1.測量放樣'!C:D,1,0),"")="","","✔")</f>
        <v/>
      </c>
      <c r="C658" s="98" t="str">
        <f>IF(IFERROR(VLOOKUP(A658,'2.土方開挖'!C:D,1,0),"")="","","✔")</f>
        <v/>
      </c>
      <c r="D658" s="98" t="str">
        <f>IF(IFERROR(VLOOKUP(A658,'3.土方回填'!C:D,1,0),"")="","","✔")</f>
        <v/>
      </c>
      <c r="E658" s="98" t="str">
        <f>IF(IFERROR(VLOOKUP(A658,'4.鋼筋'!C:D,1,0),"")="","","✔")</f>
        <v/>
      </c>
      <c r="F658" s="98" t="str">
        <f>IF(IFERROR(VLOOKUP(A658,'5.模板'!C:D,1,0),"")="","","✔")</f>
        <v/>
      </c>
      <c r="G658" s="98" t="str">
        <f>IF(IFERROR(VLOOKUP(A658,'6.混凝土'!C:D,1,0),"")="","","✔")</f>
        <v/>
      </c>
      <c r="H658" s="98" t="str">
        <f>IF(IFERROR(VLOOKUP(A658,'7.植筋'!C:D,1,0),"")="","","✔")</f>
        <v/>
      </c>
      <c r="I658" s="98" t="str">
        <f>IF(IFERROR(VLOOKUP(A658,'8.預力混凝土基樁'!C:D,1,0),"")="","","✔")</f>
        <v/>
      </c>
      <c r="J658" s="98" t="str">
        <f>IF(IFERROR(VLOOKUP(A658,'9.砌塊石護岸'!C:D,1,0),"")="","","✔")</f>
        <v/>
      </c>
      <c r="K658" s="98" t="str">
        <f>IF(IFERROR(VLOOKUP(A658,'10.低水護岸'!C:D,1,0),"")="","","✔")</f>
        <v/>
      </c>
      <c r="L658" s="98" t="str">
        <f>IF(IFERROR(VLOOKUP(A658,'11.固床工'!C:D,1,0),"")="","","✔")</f>
        <v/>
      </c>
      <c r="M658" s="98" t="str">
        <f>IF(IFERROR(VLOOKUP(A658,'12.全套管基樁'!C:D,1,0),"")="","","✔")</f>
        <v/>
      </c>
      <c r="N658" s="98" t="str">
        <f>IF(IFERROR(VLOOKUP(A658,'13.鋼筋混凝土管工程'!C:D,1,0),"")="","","✔")</f>
        <v/>
      </c>
      <c r="O658" s="98" t="str">
        <f>IF(IFERROR(VLOOKUP(A658,'14.鋼版樁'!C:D,1,0),"")="","","✔")</f>
        <v/>
      </c>
      <c r="P658" s="98" t="str">
        <f>IF(IFERROR(VLOOKUP(A658,'15.路床 路基高程'!C:D,1,0),"")="","","✔")</f>
        <v/>
      </c>
      <c r="Q658" s="98" t="str">
        <f>IF(IFERROR(VLOOKUP(A658,'16.瀝青混凝土'!C:D,1,0),"")="","","✔")</f>
        <v/>
      </c>
      <c r="R658" s="98" t="str">
        <f>IF(IFERROR(VLOOKUP(A658,'17.景觀鋪面(一)'!C:D,1,0),"")="","","✔")</f>
        <v/>
      </c>
      <c r="S658" s="98" t="str">
        <f>IF(IFERROR(VLOOKUP(A658,'18.景觀鋪面(二)'!C:D,1,0),"")="","","✔")</f>
        <v/>
      </c>
      <c r="T658" s="98" t="str">
        <f>IF(IFERROR(VLOOKUP(A658,'19.預鑄緣石'!C:D,1,0),"")="","","✔")</f>
        <v/>
      </c>
      <c r="U658" s="98" t="str">
        <f>IF(IFERROR(VLOOKUP(A658,'20.鋼構工程吊裝'!C:D,1,0),"")="","","✔")</f>
        <v/>
      </c>
      <c r="V658" s="98" t="str">
        <f>IF(IFERROR(VLOOKUP(A658,'21.鋼構工程塗裝'!C:D,1,0),"")="","","✔")</f>
        <v/>
      </c>
      <c r="W658" s="98" t="str">
        <f>IF(IFERROR(VLOOKUP(A658,'22.排水設施(一)'!C:D,1,0),"")="","","✔")</f>
        <v/>
      </c>
      <c r="X658" s="98" t="str">
        <f>IF(IFERROR(VLOOKUP(A658,'23.排水設施(二)'!C:D,1,0),"")="","","✔")</f>
        <v/>
      </c>
      <c r="Y658" s="98" t="str">
        <f>IF(IFERROR(VLOOKUP(A658,'24.木構造'!C:D,1,0),"")="","","✔")</f>
        <v/>
      </c>
      <c r="Z658" s="98" t="str">
        <f>IF(IFERROR(VLOOKUP(A658,'25.管路'!C:D,1,0),"")="","","✔")</f>
        <v/>
      </c>
      <c r="AA658" s="98" t="str">
        <f>IF(IFERROR(VLOOKUP(A658,'26.植栽(移植)'!C:D,1,0),"")="","","✔")</f>
        <v/>
      </c>
      <c r="AB658" s="98" t="str">
        <f>IF(IFERROR(VLOOKUP(A658,'27.植栽(新植)'!C:D,1,0),"")="","","✔")</f>
        <v/>
      </c>
      <c r="AC658" s="98" t="str">
        <f>IF(IFERROR(VLOOKUP(A658,'28.照明'!C:D,1,0),"")="","","✔")</f>
        <v/>
      </c>
      <c r="AD658" s="98" t="str">
        <f>IF(IFERROR(VLOOKUP(A658,'29.既有橋梁拆除'!C:D,1,0),"")="","","✔")</f>
        <v/>
      </c>
    </row>
    <row r="659" spans="1:30" ht="21.75" customHeight="1" x14ac:dyDescent="0.25">
      <c r="A659" s="99">
        <v>45849</v>
      </c>
      <c r="B659" s="98" t="str">
        <f>IF(IFERROR(VLOOKUP(A659,'1.測量放樣'!C:D,1,0),"")="","","✔")</f>
        <v/>
      </c>
      <c r="C659" s="98" t="str">
        <f>IF(IFERROR(VLOOKUP(A659,'2.土方開挖'!C:D,1,0),"")="","","✔")</f>
        <v/>
      </c>
      <c r="D659" s="98" t="str">
        <f>IF(IFERROR(VLOOKUP(A659,'3.土方回填'!C:D,1,0),"")="","","✔")</f>
        <v/>
      </c>
      <c r="E659" s="98" t="str">
        <f>IF(IFERROR(VLOOKUP(A659,'4.鋼筋'!C:D,1,0),"")="","","✔")</f>
        <v/>
      </c>
      <c r="F659" s="98" t="str">
        <f>IF(IFERROR(VLOOKUP(A659,'5.模板'!C:D,1,0),"")="","","✔")</f>
        <v/>
      </c>
      <c r="G659" s="98" t="str">
        <f>IF(IFERROR(VLOOKUP(A659,'6.混凝土'!C:D,1,0),"")="","","✔")</f>
        <v/>
      </c>
      <c r="H659" s="98" t="str">
        <f>IF(IFERROR(VLOOKUP(A659,'7.植筋'!C:D,1,0),"")="","","✔")</f>
        <v/>
      </c>
      <c r="I659" s="98" t="str">
        <f>IF(IFERROR(VLOOKUP(A659,'8.預力混凝土基樁'!C:D,1,0),"")="","","✔")</f>
        <v/>
      </c>
      <c r="J659" s="98" t="str">
        <f>IF(IFERROR(VLOOKUP(A659,'9.砌塊石護岸'!C:D,1,0),"")="","","✔")</f>
        <v/>
      </c>
      <c r="K659" s="98" t="str">
        <f>IF(IFERROR(VLOOKUP(A659,'10.低水護岸'!C:D,1,0),"")="","","✔")</f>
        <v/>
      </c>
      <c r="L659" s="98" t="str">
        <f>IF(IFERROR(VLOOKUP(A659,'11.固床工'!C:D,1,0),"")="","","✔")</f>
        <v/>
      </c>
      <c r="M659" s="98" t="str">
        <f>IF(IFERROR(VLOOKUP(A659,'12.全套管基樁'!C:D,1,0),"")="","","✔")</f>
        <v/>
      </c>
      <c r="N659" s="98" t="str">
        <f>IF(IFERROR(VLOOKUP(A659,'13.鋼筋混凝土管工程'!C:D,1,0),"")="","","✔")</f>
        <v/>
      </c>
      <c r="O659" s="98" t="str">
        <f>IF(IFERROR(VLOOKUP(A659,'14.鋼版樁'!C:D,1,0),"")="","","✔")</f>
        <v/>
      </c>
      <c r="P659" s="98" t="str">
        <f>IF(IFERROR(VLOOKUP(A659,'15.路床 路基高程'!C:D,1,0),"")="","","✔")</f>
        <v/>
      </c>
      <c r="Q659" s="98" t="str">
        <f>IF(IFERROR(VLOOKUP(A659,'16.瀝青混凝土'!C:D,1,0),"")="","","✔")</f>
        <v/>
      </c>
      <c r="R659" s="98" t="str">
        <f>IF(IFERROR(VLOOKUP(A659,'17.景觀鋪面(一)'!C:D,1,0),"")="","","✔")</f>
        <v/>
      </c>
      <c r="S659" s="98" t="str">
        <f>IF(IFERROR(VLOOKUP(A659,'18.景觀鋪面(二)'!C:D,1,0),"")="","","✔")</f>
        <v/>
      </c>
      <c r="T659" s="98" t="str">
        <f>IF(IFERROR(VLOOKUP(A659,'19.預鑄緣石'!C:D,1,0),"")="","","✔")</f>
        <v/>
      </c>
      <c r="U659" s="98" t="str">
        <f>IF(IFERROR(VLOOKUP(A659,'20.鋼構工程吊裝'!C:D,1,0),"")="","","✔")</f>
        <v/>
      </c>
      <c r="V659" s="98" t="str">
        <f>IF(IFERROR(VLOOKUP(A659,'21.鋼構工程塗裝'!C:D,1,0),"")="","","✔")</f>
        <v/>
      </c>
      <c r="W659" s="98" t="str">
        <f>IF(IFERROR(VLOOKUP(A659,'22.排水設施(一)'!C:D,1,0),"")="","","✔")</f>
        <v/>
      </c>
      <c r="X659" s="98" t="str">
        <f>IF(IFERROR(VLOOKUP(A659,'23.排水設施(二)'!C:D,1,0),"")="","","✔")</f>
        <v/>
      </c>
      <c r="Y659" s="98" t="str">
        <f>IF(IFERROR(VLOOKUP(A659,'24.木構造'!C:D,1,0),"")="","","✔")</f>
        <v/>
      </c>
      <c r="Z659" s="98" t="str">
        <f>IF(IFERROR(VLOOKUP(A659,'25.管路'!C:D,1,0),"")="","","✔")</f>
        <v/>
      </c>
      <c r="AA659" s="98" t="str">
        <f>IF(IFERROR(VLOOKUP(A659,'26.植栽(移植)'!C:D,1,0),"")="","","✔")</f>
        <v/>
      </c>
      <c r="AB659" s="98" t="str">
        <f>IF(IFERROR(VLOOKUP(A659,'27.植栽(新植)'!C:D,1,0),"")="","","✔")</f>
        <v/>
      </c>
      <c r="AC659" s="98" t="str">
        <f>IF(IFERROR(VLOOKUP(A659,'28.照明'!C:D,1,0),"")="","","✔")</f>
        <v/>
      </c>
      <c r="AD659" s="98" t="str">
        <f>IF(IFERROR(VLOOKUP(A659,'29.既有橋梁拆除'!C:D,1,0),"")="","","✔")</f>
        <v/>
      </c>
    </row>
    <row r="660" spans="1:30" ht="21.75" customHeight="1" x14ac:dyDescent="0.25">
      <c r="A660" s="99">
        <v>45850</v>
      </c>
      <c r="B660" s="98" t="str">
        <f>IF(IFERROR(VLOOKUP(A660,'1.測量放樣'!C:D,1,0),"")="","","✔")</f>
        <v/>
      </c>
      <c r="C660" s="98" t="str">
        <f>IF(IFERROR(VLOOKUP(A660,'2.土方開挖'!C:D,1,0),"")="","","✔")</f>
        <v/>
      </c>
      <c r="D660" s="98" t="str">
        <f>IF(IFERROR(VLOOKUP(A660,'3.土方回填'!C:D,1,0),"")="","","✔")</f>
        <v/>
      </c>
      <c r="E660" s="98" t="str">
        <f>IF(IFERROR(VLOOKUP(A660,'4.鋼筋'!C:D,1,0),"")="","","✔")</f>
        <v/>
      </c>
      <c r="F660" s="98" t="str">
        <f>IF(IFERROR(VLOOKUP(A660,'5.模板'!C:D,1,0),"")="","","✔")</f>
        <v/>
      </c>
      <c r="G660" s="98" t="str">
        <f>IF(IFERROR(VLOOKUP(A660,'6.混凝土'!C:D,1,0),"")="","","✔")</f>
        <v/>
      </c>
      <c r="H660" s="98" t="str">
        <f>IF(IFERROR(VLOOKUP(A660,'7.植筋'!C:D,1,0),"")="","","✔")</f>
        <v/>
      </c>
      <c r="I660" s="98" t="str">
        <f>IF(IFERROR(VLOOKUP(A660,'8.預力混凝土基樁'!C:D,1,0),"")="","","✔")</f>
        <v/>
      </c>
      <c r="J660" s="98" t="str">
        <f>IF(IFERROR(VLOOKUP(A660,'9.砌塊石護岸'!C:D,1,0),"")="","","✔")</f>
        <v/>
      </c>
      <c r="K660" s="98" t="str">
        <f>IF(IFERROR(VLOOKUP(A660,'10.低水護岸'!C:D,1,0),"")="","","✔")</f>
        <v/>
      </c>
      <c r="L660" s="98" t="str">
        <f>IF(IFERROR(VLOOKUP(A660,'11.固床工'!C:D,1,0),"")="","","✔")</f>
        <v/>
      </c>
      <c r="M660" s="98" t="str">
        <f>IF(IFERROR(VLOOKUP(A660,'12.全套管基樁'!C:D,1,0),"")="","","✔")</f>
        <v/>
      </c>
      <c r="N660" s="98" t="str">
        <f>IF(IFERROR(VLOOKUP(A660,'13.鋼筋混凝土管工程'!C:D,1,0),"")="","","✔")</f>
        <v/>
      </c>
      <c r="O660" s="98" t="str">
        <f>IF(IFERROR(VLOOKUP(A660,'14.鋼版樁'!C:D,1,0),"")="","","✔")</f>
        <v/>
      </c>
      <c r="P660" s="98" t="str">
        <f>IF(IFERROR(VLOOKUP(A660,'15.路床 路基高程'!C:D,1,0),"")="","","✔")</f>
        <v/>
      </c>
      <c r="Q660" s="98" t="str">
        <f>IF(IFERROR(VLOOKUP(A660,'16.瀝青混凝土'!C:D,1,0),"")="","","✔")</f>
        <v/>
      </c>
      <c r="R660" s="98" t="str">
        <f>IF(IFERROR(VLOOKUP(A660,'17.景觀鋪面(一)'!C:D,1,0),"")="","","✔")</f>
        <v/>
      </c>
      <c r="S660" s="98" t="str">
        <f>IF(IFERROR(VLOOKUP(A660,'18.景觀鋪面(二)'!C:D,1,0),"")="","","✔")</f>
        <v/>
      </c>
      <c r="T660" s="98" t="str">
        <f>IF(IFERROR(VLOOKUP(A660,'19.預鑄緣石'!C:D,1,0),"")="","","✔")</f>
        <v/>
      </c>
      <c r="U660" s="98" t="str">
        <f>IF(IFERROR(VLOOKUP(A660,'20.鋼構工程吊裝'!C:D,1,0),"")="","","✔")</f>
        <v/>
      </c>
      <c r="V660" s="98" t="str">
        <f>IF(IFERROR(VLOOKUP(A660,'21.鋼構工程塗裝'!C:D,1,0),"")="","","✔")</f>
        <v/>
      </c>
      <c r="W660" s="98" t="str">
        <f>IF(IFERROR(VLOOKUP(A660,'22.排水設施(一)'!C:D,1,0),"")="","","✔")</f>
        <v/>
      </c>
      <c r="X660" s="98" t="str">
        <f>IF(IFERROR(VLOOKUP(A660,'23.排水設施(二)'!C:D,1,0),"")="","","✔")</f>
        <v/>
      </c>
      <c r="Y660" s="98" t="str">
        <f>IF(IFERROR(VLOOKUP(A660,'24.木構造'!C:D,1,0),"")="","","✔")</f>
        <v/>
      </c>
      <c r="Z660" s="98" t="str">
        <f>IF(IFERROR(VLOOKUP(A660,'25.管路'!C:D,1,0),"")="","","✔")</f>
        <v/>
      </c>
      <c r="AA660" s="98" t="str">
        <f>IF(IFERROR(VLOOKUP(A660,'26.植栽(移植)'!C:D,1,0),"")="","","✔")</f>
        <v/>
      </c>
      <c r="AB660" s="98" t="str">
        <f>IF(IFERROR(VLOOKUP(A660,'27.植栽(新植)'!C:D,1,0),"")="","","✔")</f>
        <v/>
      </c>
      <c r="AC660" s="98" t="str">
        <f>IF(IFERROR(VLOOKUP(A660,'28.照明'!C:D,1,0),"")="","","✔")</f>
        <v/>
      </c>
      <c r="AD660" s="98" t="str">
        <f>IF(IFERROR(VLOOKUP(A660,'29.既有橋梁拆除'!C:D,1,0),"")="","","✔")</f>
        <v/>
      </c>
    </row>
    <row r="661" spans="1:30" ht="21.75" customHeight="1" x14ac:dyDescent="0.25">
      <c r="A661" s="99">
        <v>45851</v>
      </c>
      <c r="B661" s="98" t="str">
        <f>IF(IFERROR(VLOOKUP(A661,'1.測量放樣'!C:D,1,0),"")="","","✔")</f>
        <v/>
      </c>
      <c r="C661" s="98" t="str">
        <f>IF(IFERROR(VLOOKUP(A661,'2.土方開挖'!C:D,1,0),"")="","","✔")</f>
        <v/>
      </c>
      <c r="D661" s="98" t="str">
        <f>IF(IFERROR(VLOOKUP(A661,'3.土方回填'!C:D,1,0),"")="","","✔")</f>
        <v/>
      </c>
      <c r="E661" s="98" t="str">
        <f>IF(IFERROR(VLOOKUP(A661,'4.鋼筋'!C:D,1,0),"")="","","✔")</f>
        <v/>
      </c>
      <c r="F661" s="98" t="str">
        <f>IF(IFERROR(VLOOKUP(A661,'5.模板'!C:D,1,0),"")="","","✔")</f>
        <v/>
      </c>
      <c r="G661" s="98" t="str">
        <f>IF(IFERROR(VLOOKUP(A661,'6.混凝土'!C:D,1,0),"")="","","✔")</f>
        <v/>
      </c>
      <c r="H661" s="98" t="str">
        <f>IF(IFERROR(VLOOKUP(A661,'7.植筋'!C:D,1,0),"")="","","✔")</f>
        <v/>
      </c>
      <c r="I661" s="98" t="str">
        <f>IF(IFERROR(VLOOKUP(A661,'8.預力混凝土基樁'!C:D,1,0),"")="","","✔")</f>
        <v/>
      </c>
      <c r="J661" s="98" t="str">
        <f>IF(IFERROR(VLOOKUP(A661,'9.砌塊石護岸'!C:D,1,0),"")="","","✔")</f>
        <v/>
      </c>
      <c r="K661" s="98" t="str">
        <f>IF(IFERROR(VLOOKUP(A661,'10.低水護岸'!C:D,1,0),"")="","","✔")</f>
        <v/>
      </c>
      <c r="L661" s="98" t="str">
        <f>IF(IFERROR(VLOOKUP(A661,'11.固床工'!C:D,1,0),"")="","","✔")</f>
        <v/>
      </c>
      <c r="M661" s="98" t="str">
        <f>IF(IFERROR(VLOOKUP(A661,'12.全套管基樁'!C:D,1,0),"")="","","✔")</f>
        <v/>
      </c>
      <c r="N661" s="98" t="str">
        <f>IF(IFERROR(VLOOKUP(A661,'13.鋼筋混凝土管工程'!C:D,1,0),"")="","","✔")</f>
        <v/>
      </c>
      <c r="O661" s="98" t="str">
        <f>IF(IFERROR(VLOOKUP(A661,'14.鋼版樁'!C:D,1,0),"")="","","✔")</f>
        <v/>
      </c>
      <c r="P661" s="98" t="str">
        <f>IF(IFERROR(VLOOKUP(A661,'15.路床 路基高程'!C:D,1,0),"")="","","✔")</f>
        <v/>
      </c>
      <c r="Q661" s="98" t="str">
        <f>IF(IFERROR(VLOOKUP(A661,'16.瀝青混凝土'!C:D,1,0),"")="","","✔")</f>
        <v/>
      </c>
      <c r="R661" s="98" t="str">
        <f>IF(IFERROR(VLOOKUP(A661,'17.景觀鋪面(一)'!C:D,1,0),"")="","","✔")</f>
        <v/>
      </c>
      <c r="S661" s="98" t="str">
        <f>IF(IFERROR(VLOOKUP(A661,'18.景觀鋪面(二)'!C:D,1,0),"")="","","✔")</f>
        <v/>
      </c>
      <c r="T661" s="98" t="str">
        <f>IF(IFERROR(VLOOKUP(A661,'19.預鑄緣石'!C:D,1,0),"")="","","✔")</f>
        <v/>
      </c>
      <c r="U661" s="98" t="str">
        <f>IF(IFERROR(VLOOKUP(A661,'20.鋼構工程吊裝'!C:D,1,0),"")="","","✔")</f>
        <v/>
      </c>
      <c r="V661" s="98" t="str">
        <f>IF(IFERROR(VLOOKUP(A661,'21.鋼構工程塗裝'!C:D,1,0),"")="","","✔")</f>
        <v/>
      </c>
      <c r="W661" s="98" t="str">
        <f>IF(IFERROR(VLOOKUP(A661,'22.排水設施(一)'!C:D,1,0),"")="","","✔")</f>
        <v/>
      </c>
      <c r="X661" s="98" t="str">
        <f>IF(IFERROR(VLOOKUP(A661,'23.排水設施(二)'!C:D,1,0),"")="","","✔")</f>
        <v/>
      </c>
      <c r="Y661" s="98" t="str">
        <f>IF(IFERROR(VLOOKUP(A661,'24.木構造'!C:D,1,0),"")="","","✔")</f>
        <v/>
      </c>
      <c r="Z661" s="98" t="str">
        <f>IF(IFERROR(VLOOKUP(A661,'25.管路'!C:D,1,0),"")="","","✔")</f>
        <v/>
      </c>
      <c r="AA661" s="98" t="str">
        <f>IF(IFERROR(VLOOKUP(A661,'26.植栽(移植)'!C:D,1,0),"")="","","✔")</f>
        <v/>
      </c>
      <c r="AB661" s="98" t="str">
        <f>IF(IFERROR(VLOOKUP(A661,'27.植栽(新植)'!C:D,1,0),"")="","","✔")</f>
        <v/>
      </c>
      <c r="AC661" s="98" t="str">
        <f>IF(IFERROR(VLOOKUP(A661,'28.照明'!C:D,1,0),"")="","","✔")</f>
        <v/>
      </c>
      <c r="AD661" s="98" t="str">
        <f>IF(IFERROR(VLOOKUP(A661,'29.既有橋梁拆除'!C:D,1,0),"")="","","✔")</f>
        <v/>
      </c>
    </row>
    <row r="662" spans="1:30" ht="21.75" customHeight="1" x14ac:dyDescent="0.25">
      <c r="A662" s="99">
        <v>45852</v>
      </c>
      <c r="B662" s="98" t="str">
        <f>IF(IFERROR(VLOOKUP(A662,'1.測量放樣'!C:D,1,0),"")="","","✔")</f>
        <v/>
      </c>
      <c r="C662" s="98" t="str">
        <f>IF(IFERROR(VLOOKUP(A662,'2.土方開挖'!C:D,1,0),"")="","","✔")</f>
        <v/>
      </c>
      <c r="D662" s="98" t="str">
        <f>IF(IFERROR(VLOOKUP(A662,'3.土方回填'!C:D,1,0),"")="","","✔")</f>
        <v/>
      </c>
      <c r="E662" s="98" t="str">
        <f>IF(IFERROR(VLOOKUP(A662,'4.鋼筋'!C:D,1,0),"")="","","✔")</f>
        <v/>
      </c>
      <c r="F662" s="98" t="str">
        <f>IF(IFERROR(VLOOKUP(A662,'5.模板'!C:D,1,0),"")="","","✔")</f>
        <v/>
      </c>
      <c r="G662" s="98" t="str">
        <f>IF(IFERROR(VLOOKUP(A662,'6.混凝土'!C:D,1,0),"")="","","✔")</f>
        <v/>
      </c>
      <c r="H662" s="98" t="str">
        <f>IF(IFERROR(VLOOKUP(A662,'7.植筋'!C:D,1,0),"")="","","✔")</f>
        <v/>
      </c>
      <c r="I662" s="98" t="str">
        <f>IF(IFERROR(VLOOKUP(A662,'8.預力混凝土基樁'!C:D,1,0),"")="","","✔")</f>
        <v/>
      </c>
      <c r="J662" s="98" t="str">
        <f>IF(IFERROR(VLOOKUP(A662,'9.砌塊石護岸'!C:D,1,0),"")="","","✔")</f>
        <v/>
      </c>
      <c r="K662" s="98" t="str">
        <f>IF(IFERROR(VLOOKUP(A662,'10.低水護岸'!C:D,1,0),"")="","","✔")</f>
        <v/>
      </c>
      <c r="L662" s="98" t="str">
        <f>IF(IFERROR(VLOOKUP(A662,'11.固床工'!C:D,1,0),"")="","","✔")</f>
        <v/>
      </c>
      <c r="M662" s="98" t="str">
        <f>IF(IFERROR(VLOOKUP(A662,'12.全套管基樁'!C:D,1,0),"")="","","✔")</f>
        <v/>
      </c>
      <c r="N662" s="98" t="str">
        <f>IF(IFERROR(VLOOKUP(A662,'13.鋼筋混凝土管工程'!C:D,1,0),"")="","","✔")</f>
        <v/>
      </c>
      <c r="O662" s="98" t="str">
        <f>IF(IFERROR(VLOOKUP(A662,'14.鋼版樁'!C:D,1,0),"")="","","✔")</f>
        <v/>
      </c>
      <c r="P662" s="98" t="str">
        <f>IF(IFERROR(VLOOKUP(A662,'15.路床 路基高程'!C:D,1,0),"")="","","✔")</f>
        <v/>
      </c>
      <c r="Q662" s="98" t="str">
        <f>IF(IFERROR(VLOOKUP(A662,'16.瀝青混凝土'!C:D,1,0),"")="","","✔")</f>
        <v/>
      </c>
      <c r="R662" s="98" t="str">
        <f>IF(IFERROR(VLOOKUP(A662,'17.景觀鋪面(一)'!C:D,1,0),"")="","","✔")</f>
        <v/>
      </c>
      <c r="S662" s="98" t="str">
        <f>IF(IFERROR(VLOOKUP(A662,'18.景觀鋪面(二)'!C:D,1,0),"")="","","✔")</f>
        <v/>
      </c>
      <c r="T662" s="98" t="str">
        <f>IF(IFERROR(VLOOKUP(A662,'19.預鑄緣石'!C:D,1,0),"")="","","✔")</f>
        <v/>
      </c>
      <c r="U662" s="98" t="str">
        <f>IF(IFERROR(VLOOKUP(A662,'20.鋼構工程吊裝'!C:D,1,0),"")="","","✔")</f>
        <v/>
      </c>
      <c r="V662" s="98" t="str">
        <f>IF(IFERROR(VLOOKUP(A662,'21.鋼構工程塗裝'!C:D,1,0),"")="","","✔")</f>
        <v/>
      </c>
      <c r="W662" s="98" t="str">
        <f>IF(IFERROR(VLOOKUP(A662,'22.排水設施(一)'!C:D,1,0),"")="","","✔")</f>
        <v/>
      </c>
      <c r="X662" s="98" t="str">
        <f>IF(IFERROR(VLOOKUP(A662,'23.排水設施(二)'!C:D,1,0),"")="","","✔")</f>
        <v/>
      </c>
      <c r="Y662" s="98" t="str">
        <f>IF(IFERROR(VLOOKUP(A662,'24.木構造'!C:D,1,0),"")="","","✔")</f>
        <v/>
      </c>
      <c r="Z662" s="98" t="str">
        <f>IF(IFERROR(VLOOKUP(A662,'25.管路'!C:D,1,0),"")="","","✔")</f>
        <v/>
      </c>
      <c r="AA662" s="98" t="str">
        <f>IF(IFERROR(VLOOKUP(A662,'26.植栽(移植)'!C:D,1,0),"")="","","✔")</f>
        <v/>
      </c>
      <c r="AB662" s="98" t="str">
        <f>IF(IFERROR(VLOOKUP(A662,'27.植栽(新植)'!C:D,1,0),"")="","","✔")</f>
        <v/>
      </c>
      <c r="AC662" s="98" t="str">
        <f>IF(IFERROR(VLOOKUP(A662,'28.照明'!C:D,1,0),"")="","","✔")</f>
        <v/>
      </c>
      <c r="AD662" s="98" t="str">
        <f>IF(IFERROR(VLOOKUP(A662,'29.既有橋梁拆除'!C:D,1,0),"")="","","✔")</f>
        <v/>
      </c>
    </row>
    <row r="663" spans="1:30" ht="21.75" customHeight="1" x14ac:dyDescent="0.25">
      <c r="A663" s="99">
        <v>45853</v>
      </c>
      <c r="B663" s="98" t="str">
        <f>IF(IFERROR(VLOOKUP(A663,'1.測量放樣'!C:D,1,0),"")="","","✔")</f>
        <v/>
      </c>
      <c r="C663" s="98" t="str">
        <f>IF(IFERROR(VLOOKUP(A663,'2.土方開挖'!C:D,1,0),"")="","","✔")</f>
        <v/>
      </c>
      <c r="D663" s="98" t="str">
        <f>IF(IFERROR(VLOOKUP(A663,'3.土方回填'!C:D,1,0),"")="","","✔")</f>
        <v/>
      </c>
      <c r="E663" s="98" t="str">
        <f>IF(IFERROR(VLOOKUP(A663,'4.鋼筋'!C:D,1,0),"")="","","✔")</f>
        <v/>
      </c>
      <c r="F663" s="98" t="str">
        <f>IF(IFERROR(VLOOKUP(A663,'5.模板'!C:D,1,0),"")="","","✔")</f>
        <v/>
      </c>
      <c r="G663" s="98" t="str">
        <f>IF(IFERROR(VLOOKUP(A663,'6.混凝土'!C:D,1,0),"")="","","✔")</f>
        <v/>
      </c>
      <c r="H663" s="98" t="str">
        <f>IF(IFERROR(VLOOKUP(A663,'7.植筋'!C:D,1,0),"")="","","✔")</f>
        <v/>
      </c>
      <c r="I663" s="98" t="str">
        <f>IF(IFERROR(VLOOKUP(A663,'8.預力混凝土基樁'!C:D,1,0),"")="","","✔")</f>
        <v/>
      </c>
      <c r="J663" s="98" t="str">
        <f>IF(IFERROR(VLOOKUP(A663,'9.砌塊石護岸'!C:D,1,0),"")="","","✔")</f>
        <v/>
      </c>
      <c r="K663" s="98" t="str">
        <f>IF(IFERROR(VLOOKUP(A663,'10.低水護岸'!C:D,1,0),"")="","","✔")</f>
        <v/>
      </c>
      <c r="L663" s="98" t="str">
        <f>IF(IFERROR(VLOOKUP(A663,'11.固床工'!C:D,1,0),"")="","","✔")</f>
        <v/>
      </c>
      <c r="M663" s="98" t="str">
        <f>IF(IFERROR(VLOOKUP(A663,'12.全套管基樁'!C:D,1,0),"")="","","✔")</f>
        <v/>
      </c>
      <c r="N663" s="98" t="str">
        <f>IF(IFERROR(VLOOKUP(A663,'13.鋼筋混凝土管工程'!C:D,1,0),"")="","","✔")</f>
        <v/>
      </c>
      <c r="O663" s="98" t="str">
        <f>IF(IFERROR(VLOOKUP(A663,'14.鋼版樁'!C:D,1,0),"")="","","✔")</f>
        <v/>
      </c>
      <c r="P663" s="98" t="str">
        <f>IF(IFERROR(VLOOKUP(A663,'15.路床 路基高程'!C:D,1,0),"")="","","✔")</f>
        <v/>
      </c>
      <c r="Q663" s="98" t="str">
        <f>IF(IFERROR(VLOOKUP(A663,'16.瀝青混凝土'!C:D,1,0),"")="","","✔")</f>
        <v/>
      </c>
      <c r="R663" s="98" t="str">
        <f>IF(IFERROR(VLOOKUP(A663,'17.景觀鋪面(一)'!C:D,1,0),"")="","","✔")</f>
        <v/>
      </c>
      <c r="S663" s="98" t="str">
        <f>IF(IFERROR(VLOOKUP(A663,'18.景觀鋪面(二)'!C:D,1,0),"")="","","✔")</f>
        <v/>
      </c>
      <c r="T663" s="98" t="str">
        <f>IF(IFERROR(VLOOKUP(A663,'19.預鑄緣石'!C:D,1,0),"")="","","✔")</f>
        <v/>
      </c>
      <c r="U663" s="98" t="str">
        <f>IF(IFERROR(VLOOKUP(A663,'20.鋼構工程吊裝'!C:D,1,0),"")="","","✔")</f>
        <v/>
      </c>
      <c r="V663" s="98" t="str">
        <f>IF(IFERROR(VLOOKUP(A663,'21.鋼構工程塗裝'!C:D,1,0),"")="","","✔")</f>
        <v/>
      </c>
      <c r="W663" s="98" t="str">
        <f>IF(IFERROR(VLOOKUP(A663,'22.排水設施(一)'!C:D,1,0),"")="","","✔")</f>
        <v/>
      </c>
      <c r="X663" s="98" t="str">
        <f>IF(IFERROR(VLOOKUP(A663,'23.排水設施(二)'!C:D,1,0),"")="","","✔")</f>
        <v/>
      </c>
      <c r="Y663" s="98" t="str">
        <f>IF(IFERROR(VLOOKUP(A663,'24.木構造'!C:D,1,0),"")="","","✔")</f>
        <v/>
      </c>
      <c r="Z663" s="98" t="str">
        <f>IF(IFERROR(VLOOKUP(A663,'25.管路'!C:D,1,0),"")="","","✔")</f>
        <v/>
      </c>
      <c r="AA663" s="98" t="str">
        <f>IF(IFERROR(VLOOKUP(A663,'26.植栽(移植)'!C:D,1,0),"")="","","✔")</f>
        <v/>
      </c>
      <c r="AB663" s="98" t="str">
        <f>IF(IFERROR(VLOOKUP(A663,'27.植栽(新植)'!C:D,1,0),"")="","","✔")</f>
        <v/>
      </c>
      <c r="AC663" s="98" t="str">
        <f>IF(IFERROR(VLOOKUP(A663,'28.照明'!C:D,1,0),"")="","","✔")</f>
        <v/>
      </c>
      <c r="AD663" s="98" t="str">
        <f>IF(IFERROR(VLOOKUP(A663,'29.既有橋梁拆除'!C:D,1,0),"")="","","✔")</f>
        <v/>
      </c>
    </row>
    <row r="664" spans="1:30" ht="21.75" customHeight="1" x14ac:dyDescent="0.25">
      <c r="A664" s="99">
        <v>45854</v>
      </c>
      <c r="B664" s="98" t="str">
        <f>IF(IFERROR(VLOOKUP(A664,'1.測量放樣'!C:D,1,0),"")="","","✔")</f>
        <v/>
      </c>
      <c r="C664" s="98" t="str">
        <f>IF(IFERROR(VLOOKUP(A664,'2.土方開挖'!C:D,1,0),"")="","","✔")</f>
        <v/>
      </c>
      <c r="D664" s="98" t="str">
        <f>IF(IFERROR(VLOOKUP(A664,'3.土方回填'!C:D,1,0),"")="","","✔")</f>
        <v/>
      </c>
      <c r="E664" s="98" t="str">
        <f>IF(IFERROR(VLOOKUP(A664,'4.鋼筋'!C:D,1,0),"")="","","✔")</f>
        <v/>
      </c>
      <c r="F664" s="98" t="str">
        <f>IF(IFERROR(VLOOKUP(A664,'5.模板'!C:D,1,0),"")="","","✔")</f>
        <v/>
      </c>
      <c r="G664" s="98" t="str">
        <f>IF(IFERROR(VLOOKUP(A664,'6.混凝土'!C:D,1,0),"")="","","✔")</f>
        <v/>
      </c>
      <c r="H664" s="98" t="str">
        <f>IF(IFERROR(VLOOKUP(A664,'7.植筋'!C:D,1,0),"")="","","✔")</f>
        <v/>
      </c>
      <c r="I664" s="98" t="str">
        <f>IF(IFERROR(VLOOKUP(A664,'8.預力混凝土基樁'!C:D,1,0),"")="","","✔")</f>
        <v/>
      </c>
      <c r="J664" s="98" t="str">
        <f>IF(IFERROR(VLOOKUP(A664,'9.砌塊石護岸'!C:D,1,0),"")="","","✔")</f>
        <v/>
      </c>
      <c r="K664" s="98" t="str">
        <f>IF(IFERROR(VLOOKUP(A664,'10.低水護岸'!C:D,1,0),"")="","","✔")</f>
        <v/>
      </c>
      <c r="L664" s="98" t="str">
        <f>IF(IFERROR(VLOOKUP(A664,'11.固床工'!C:D,1,0),"")="","","✔")</f>
        <v/>
      </c>
      <c r="M664" s="98" t="str">
        <f>IF(IFERROR(VLOOKUP(A664,'12.全套管基樁'!C:D,1,0),"")="","","✔")</f>
        <v/>
      </c>
      <c r="N664" s="98" t="str">
        <f>IF(IFERROR(VLOOKUP(A664,'13.鋼筋混凝土管工程'!C:D,1,0),"")="","","✔")</f>
        <v/>
      </c>
      <c r="O664" s="98" t="str">
        <f>IF(IFERROR(VLOOKUP(A664,'14.鋼版樁'!C:D,1,0),"")="","","✔")</f>
        <v/>
      </c>
      <c r="P664" s="98" t="str">
        <f>IF(IFERROR(VLOOKUP(A664,'15.路床 路基高程'!C:D,1,0),"")="","","✔")</f>
        <v/>
      </c>
      <c r="Q664" s="98" t="str">
        <f>IF(IFERROR(VLOOKUP(A664,'16.瀝青混凝土'!C:D,1,0),"")="","","✔")</f>
        <v/>
      </c>
      <c r="R664" s="98" t="str">
        <f>IF(IFERROR(VLOOKUP(A664,'17.景觀鋪面(一)'!C:D,1,0),"")="","","✔")</f>
        <v/>
      </c>
      <c r="S664" s="98" t="str">
        <f>IF(IFERROR(VLOOKUP(A664,'18.景觀鋪面(二)'!C:D,1,0),"")="","","✔")</f>
        <v/>
      </c>
      <c r="T664" s="98" t="str">
        <f>IF(IFERROR(VLOOKUP(A664,'19.預鑄緣石'!C:D,1,0),"")="","","✔")</f>
        <v/>
      </c>
      <c r="U664" s="98" t="str">
        <f>IF(IFERROR(VLOOKUP(A664,'20.鋼構工程吊裝'!C:D,1,0),"")="","","✔")</f>
        <v/>
      </c>
      <c r="V664" s="98" t="str">
        <f>IF(IFERROR(VLOOKUP(A664,'21.鋼構工程塗裝'!C:D,1,0),"")="","","✔")</f>
        <v/>
      </c>
      <c r="W664" s="98" t="str">
        <f>IF(IFERROR(VLOOKUP(A664,'22.排水設施(一)'!C:D,1,0),"")="","","✔")</f>
        <v/>
      </c>
      <c r="X664" s="98" t="str">
        <f>IF(IFERROR(VLOOKUP(A664,'23.排水設施(二)'!C:D,1,0),"")="","","✔")</f>
        <v/>
      </c>
      <c r="Y664" s="98" t="str">
        <f>IF(IFERROR(VLOOKUP(A664,'24.木構造'!C:D,1,0),"")="","","✔")</f>
        <v/>
      </c>
      <c r="Z664" s="98" t="str">
        <f>IF(IFERROR(VLOOKUP(A664,'25.管路'!C:D,1,0),"")="","","✔")</f>
        <v/>
      </c>
      <c r="AA664" s="98" t="str">
        <f>IF(IFERROR(VLOOKUP(A664,'26.植栽(移植)'!C:D,1,0),"")="","","✔")</f>
        <v/>
      </c>
      <c r="AB664" s="98" t="str">
        <f>IF(IFERROR(VLOOKUP(A664,'27.植栽(新植)'!C:D,1,0),"")="","","✔")</f>
        <v/>
      </c>
      <c r="AC664" s="98" t="str">
        <f>IF(IFERROR(VLOOKUP(A664,'28.照明'!C:D,1,0),"")="","","✔")</f>
        <v/>
      </c>
      <c r="AD664" s="98" t="str">
        <f>IF(IFERROR(VLOOKUP(A664,'29.既有橋梁拆除'!C:D,1,0),"")="","","✔")</f>
        <v/>
      </c>
    </row>
    <row r="665" spans="1:30" ht="21.75" customHeight="1" x14ac:dyDescent="0.25">
      <c r="A665" s="99">
        <v>45855</v>
      </c>
      <c r="B665" s="98" t="str">
        <f>IF(IFERROR(VLOOKUP(A665,'1.測量放樣'!C:D,1,0),"")="","","✔")</f>
        <v/>
      </c>
      <c r="C665" s="98" t="str">
        <f>IF(IFERROR(VLOOKUP(A665,'2.土方開挖'!C:D,1,0),"")="","","✔")</f>
        <v/>
      </c>
      <c r="D665" s="98" t="str">
        <f>IF(IFERROR(VLOOKUP(A665,'3.土方回填'!C:D,1,0),"")="","","✔")</f>
        <v/>
      </c>
      <c r="E665" s="98" t="str">
        <f>IF(IFERROR(VLOOKUP(A665,'4.鋼筋'!C:D,1,0),"")="","","✔")</f>
        <v/>
      </c>
      <c r="F665" s="98" t="str">
        <f>IF(IFERROR(VLOOKUP(A665,'5.模板'!C:D,1,0),"")="","","✔")</f>
        <v/>
      </c>
      <c r="G665" s="98" t="str">
        <f>IF(IFERROR(VLOOKUP(A665,'6.混凝土'!C:D,1,0),"")="","","✔")</f>
        <v/>
      </c>
      <c r="H665" s="98" t="str">
        <f>IF(IFERROR(VLOOKUP(A665,'7.植筋'!C:D,1,0),"")="","","✔")</f>
        <v/>
      </c>
      <c r="I665" s="98" t="str">
        <f>IF(IFERROR(VLOOKUP(A665,'8.預力混凝土基樁'!C:D,1,0),"")="","","✔")</f>
        <v/>
      </c>
      <c r="J665" s="98" t="str">
        <f>IF(IFERROR(VLOOKUP(A665,'9.砌塊石護岸'!C:D,1,0),"")="","","✔")</f>
        <v/>
      </c>
      <c r="K665" s="98" t="str">
        <f>IF(IFERROR(VLOOKUP(A665,'10.低水護岸'!C:D,1,0),"")="","","✔")</f>
        <v/>
      </c>
      <c r="L665" s="98" t="str">
        <f>IF(IFERROR(VLOOKUP(A665,'11.固床工'!C:D,1,0),"")="","","✔")</f>
        <v/>
      </c>
      <c r="M665" s="98" t="str">
        <f>IF(IFERROR(VLOOKUP(A665,'12.全套管基樁'!C:D,1,0),"")="","","✔")</f>
        <v/>
      </c>
      <c r="N665" s="98" t="str">
        <f>IF(IFERROR(VLOOKUP(A665,'13.鋼筋混凝土管工程'!C:D,1,0),"")="","","✔")</f>
        <v/>
      </c>
      <c r="O665" s="98" t="str">
        <f>IF(IFERROR(VLOOKUP(A665,'14.鋼版樁'!C:D,1,0),"")="","","✔")</f>
        <v/>
      </c>
      <c r="P665" s="98" t="str">
        <f>IF(IFERROR(VLOOKUP(A665,'15.路床 路基高程'!C:D,1,0),"")="","","✔")</f>
        <v/>
      </c>
      <c r="Q665" s="98" t="str">
        <f>IF(IFERROR(VLOOKUP(A665,'16.瀝青混凝土'!C:D,1,0),"")="","","✔")</f>
        <v/>
      </c>
      <c r="R665" s="98" t="str">
        <f>IF(IFERROR(VLOOKUP(A665,'17.景觀鋪面(一)'!C:D,1,0),"")="","","✔")</f>
        <v/>
      </c>
      <c r="S665" s="98" t="str">
        <f>IF(IFERROR(VLOOKUP(A665,'18.景觀鋪面(二)'!C:D,1,0),"")="","","✔")</f>
        <v/>
      </c>
      <c r="T665" s="98" t="str">
        <f>IF(IFERROR(VLOOKUP(A665,'19.預鑄緣石'!C:D,1,0),"")="","","✔")</f>
        <v/>
      </c>
      <c r="U665" s="98" t="str">
        <f>IF(IFERROR(VLOOKUP(A665,'20.鋼構工程吊裝'!C:D,1,0),"")="","","✔")</f>
        <v/>
      </c>
      <c r="V665" s="98" t="str">
        <f>IF(IFERROR(VLOOKUP(A665,'21.鋼構工程塗裝'!C:D,1,0),"")="","","✔")</f>
        <v/>
      </c>
      <c r="W665" s="98" t="str">
        <f>IF(IFERROR(VLOOKUP(A665,'22.排水設施(一)'!C:D,1,0),"")="","","✔")</f>
        <v/>
      </c>
      <c r="X665" s="98" t="str">
        <f>IF(IFERROR(VLOOKUP(A665,'23.排水設施(二)'!C:D,1,0),"")="","","✔")</f>
        <v/>
      </c>
      <c r="Y665" s="98" t="str">
        <f>IF(IFERROR(VLOOKUP(A665,'24.木構造'!C:D,1,0),"")="","","✔")</f>
        <v/>
      </c>
      <c r="Z665" s="98" t="str">
        <f>IF(IFERROR(VLOOKUP(A665,'25.管路'!C:D,1,0),"")="","","✔")</f>
        <v/>
      </c>
      <c r="AA665" s="98" t="str">
        <f>IF(IFERROR(VLOOKUP(A665,'26.植栽(移植)'!C:D,1,0),"")="","","✔")</f>
        <v/>
      </c>
      <c r="AB665" s="98" t="str">
        <f>IF(IFERROR(VLOOKUP(A665,'27.植栽(新植)'!C:D,1,0),"")="","","✔")</f>
        <v/>
      </c>
      <c r="AC665" s="98" t="str">
        <f>IF(IFERROR(VLOOKUP(A665,'28.照明'!C:D,1,0),"")="","","✔")</f>
        <v/>
      </c>
      <c r="AD665" s="98" t="str">
        <f>IF(IFERROR(VLOOKUP(A665,'29.既有橋梁拆除'!C:D,1,0),"")="","","✔")</f>
        <v/>
      </c>
    </row>
    <row r="666" spans="1:30" ht="21.75" customHeight="1" x14ac:dyDescent="0.25">
      <c r="A666" s="99">
        <v>45856</v>
      </c>
      <c r="B666" s="98" t="str">
        <f>IF(IFERROR(VLOOKUP(A666,'1.測量放樣'!C:D,1,0),"")="","","✔")</f>
        <v/>
      </c>
      <c r="C666" s="98" t="str">
        <f>IF(IFERROR(VLOOKUP(A666,'2.土方開挖'!C:D,1,0),"")="","","✔")</f>
        <v/>
      </c>
      <c r="D666" s="98" t="str">
        <f>IF(IFERROR(VLOOKUP(A666,'3.土方回填'!C:D,1,0),"")="","","✔")</f>
        <v/>
      </c>
      <c r="E666" s="98" t="str">
        <f>IF(IFERROR(VLOOKUP(A666,'4.鋼筋'!C:D,1,0),"")="","","✔")</f>
        <v/>
      </c>
      <c r="F666" s="98" t="str">
        <f>IF(IFERROR(VLOOKUP(A666,'5.模板'!C:D,1,0),"")="","","✔")</f>
        <v/>
      </c>
      <c r="G666" s="98" t="str">
        <f>IF(IFERROR(VLOOKUP(A666,'6.混凝土'!C:D,1,0),"")="","","✔")</f>
        <v/>
      </c>
      <c r="H666" s="98" t="str">
        <f>IF(IFERROR(VLOOKUP(A666,'7.植筋'!C:D,1,0),"")="","","✔")</f>
        <v/>
      </c>
      <c r="I666" s="98" t="str">
        <f>IF(IFERROR(VLOOKUP(A666,'8.預力混凝土基樁'!C:D,1,0),"")="","","✔")</f>
        <v/>
      </c>
      <c r="J666" s="98" t="str">
        <f>IF(IFERROR(VLOOKUP(A666,'9.砌塊石護岸'!C:D,1,0),"")="","","✔")</f>
        <v/>
      </c>
      <c r="K666" s="98" t="str">
        <f>IF(IFERROR(VLOOKUP(A666,'10.低水護岸'!C:D,1,0),"")="","","✔")</f>
        <v/>
      </c>
      <c r="L666" s="98" t="str">
        <f>IF(IFERROR(VLOOKUP(A666,'11.固床工'!C:D,1,0),"")="","","✔")</f>
        <v/>
      </c>
      <c r="M666" s="98" t="str">
        <f>IF(IFERROR(VLOOKUP(A666,'12.全套管基樁'!C:D,1,0),"")="","","✔")</f>
        <v/>
      </c>
      <c r="N666" s="98" t="str">
        <f>IF(IFERROR(VLOOKUP(A666,'13.鋼筋混凝土管工程'!C:D,1,0),"")="","","✔")</f>
        <v/>
      </c>
      <c r="O666" s="98" t="str">
        <f>IF(IFERROR(VLOOKUP(A666,'14.鋼版樁'!C:D,1,0),"")="","","✔")</f>
        <v/>
      </c>
      <c r="P666" s="98" t="str">
        <f>IF(IFERROR(VLOOKUP(A666,'15.路床 路基高程'!C:D,1,0),"")="","","✔")</f>
        <v/>
      </c>
      <c r="Q666" s="98" t="str">
        <f>IF(IFERROR(VLOOKUP(A666,'16.瀝青混凝土'!C:D,1,0),"")="","","✔")</f>
        <v/>
      </c>
      <c r="R666" s="98" t="str">
        <f>IF(IFERROR(VLOOKUP(A666,'17.景觀鋪面(一)'!C:D,1,0),"")="","","✔")</f>
        <v/>
      </c>
      <c r="S666" s="98" t="str">
        <f>IF(IFERROR(VLOOKUP(A666,'18.景觀鋪面(二)'!C:D,1,0),"")="","","✔")</f>
        <v/>
      </c>
      <c r="T666" s="98" t="str">
        <f>IF(IFERROR(VLOOKUP(A666,'19.預鑄緣石'!C:D,1,0),"")="","","✔")</f>
        <v/>
      </c>
      <c r="U666" s="98" t="str">
        <f>IF(IFERROR(VLOOKUP(A666,'20.鋼構工程吊裝'!C:D,1,0),"")="","","✔")</f>
        <v/>
      </c>
      <c r="V666" s="98" t="str">
        <f>IF(IFERROR(VLOOKUP(A666,'21.鋼構工程塗裝'!C:D,1,0),"")="","","✔")</f>
        <v/>
      </c>
      <c r="W666" s="98" t="str">
        <f>IF(IFERROR(VLOOKUP(A666,'22.排水設施(一)'!C:D,1,0),"")="","","✔")</f>
        <v/>
      </c>
      <c r="X666" s="98" t="str">
        <f>IF(IFERROR(VLOOKUP(A666,'23.排水設施(二)'!C:D,1,0),"")="","","✔")</f>
        <v/>
      </c>
      <c r="Y666" s="98" t="str">
        <f>IF(IFERROR(VLOOKUP(A666,'24.木構造'!C:D,1,0),"")="","","✔")</f>
        <v/>
      </c>
      <c r="Z666" s="98" t="str">
        <f>IF(IFERROR(VLOOKUP(A666,'25.管路'!C:D,1,0),"")="","","✔")</f>
        <v/>
      </c>
      <c r="AA666" s="98" t="str">
        <f>IF(IFERROR(VLOOKUP(A666,'26.植栽(移植)'!C:D,1,0),"")="","","✔")</f>
        <v/>
      </c>
      <c r="AB666" s="98" t="str">
        <f>IF(IFERROR(VLOOKUP(A666,'27.植栽(新植)'!C:D,1,0),"")="","","✔")</f>
        <v/>
      </c>
      <c r="AC666" s="98" t="str">
        <f>IF(IFERROR(VLOOKUP(A666,'28.照明'!C:D,1,0),"")="","","✔")</f>
        <v/>
      </c>
      <c r="AD666" s="98" t="str">
        <f>IF(IFERROR(VLOOKUP(A666,'29.既有橋梁拆除'!C:D,1,0),"")="","","✔")</f>
        <v/>
      </c>
    </row>
    <row r="667" spans="1:30" ht="21.75" customHeight="1" x14ac:dyDescent="0.25">
      <c r="A667" s="99">
        <v>45857</v>
      </c>
      <c r="B667" s="98" t="str">
        <f>IF(IFERROR(VLOOKUP(A667,'1.測量放樣'!C:D,1,0),"")="","","✔")</f>
        <v/>
      </c>
      <c r="C667" s="98" t="str">
        <f>IF(IFERROR(VLOOKUP(A667,'2.土方開挖'!C:D,1,0),"")="","","✔")</f>
        <v/>
      </c>
      <c r="D667" s="98" t="str">
        <f>IF(IFERROR(VLOOKUP(A667,'3.土方回填'!C:D,1,0),"")="","","✔")</f>
        <v/>
      </c>
      <c r="E667" s="98" t="str">
        <f>IF(IFERROR(VLOOKUP(A667,'4.鋼筋'!C:D,1,0),"")="","","✔")</f>
        <v/>
      </c>
      <c r="F667" s="98" t="str">
        <f>IF(IFERROR(VLOOKUP(A667,'5.模板'!C:D,1,0),"")="","","✔")</f>
        <v/>
      </c>
      <c r="G667" s="98" t="str">
        <f>IF(IFERROR(VLOOKUP(A667,'6.混凝土'!C:D,1,0),"")="","","✔")</f>
        <v/>
      </c>
      <c r="H667" s="98" t="str">
        <f>IF(IFERROR(VLOOKUP(A667,'7.植筋'!C:D,1,0),"")="","","✔")</f>
        <v/>
      </c>
      <c r="I667" s="98" t="str">
        <f>IF(IFERROR(VLOOKUP(A667,'8.預力混凝土基樁'!C:D,1,0),"")="","","✔")</f>
        <v/>
      </c>
      <c r="J667" s="98" t="str">
        <f>IF(IFERROR(VLOOKUP(A667,'9.砌塊石護岸'!C:D,1,0),"")="","","✔")</f>
        <v/>
      </c>
      <c r="K667" s="98" t="str">
        <f>IF(IFERROR(VLOOKUP(A667,'10.低水護岸'!C:D,1,0),"")="","","✔")</f>
        <v/>
      </c>
      <c r="L667" s="98" t="str">
        <f>IF(IFERROR(VLOOKUP(A667,'11.固床工'!C:D,1,0),"")="","","✔")</f>
        <v/>
      </c>
      <c r="M667" s="98" t="str">
        <f>IF(IFERROR(VLOOKUP(A667,'12.全套管基樁'!C:D,1,0),"")="","","✔")</f>
        <v/>
      </c>
      <c r="N667" s="98" t="str">
        <f>IF(IFERROR(VLOOKUP(A667,'13.鋼筋混凝土管工程'!C:D,1,0),"")="","","✔")</f>
        <v/>
      </c>
      <c r="O667" s="98" t="str">
        <f>IF(IFERROR(VLOOKUP(A667,'14.鋼版樁'!C:D,1,0),"")="","","✔")</f>
        <v/>
      </c>
      <c r="P667" s="98" t="str">
        <f>IF(IFERROR(VLOOKUP(A667,'15.路床 路基高程'!C:D,1,0),"")="","","✔")</f>
        <v/>
      </c>
      <c r="Q667" s="98" t="str">
        <f>IF(IFERROR(VLOOKUP(A667,'16.瀝青混凝土'!C:D,1,0),"")="","","✔")</f>
        <v/>
      </c>
      <c r="R667" s="98" t="str">
        <f>IF(IFERROR(VLOOKUP(A667,'17.景觀鋪面(一)'!C:D,1,0),"")="","","✔")</f>
        <v/>
      </c>
      <c r="S667" s="98" t="str">
        <f>IF(IFERROR(VLOOKUP(A667,'18.景觀鋪面(二)'!C:D,1,0),"")="","","✔")</f>
        <v/>
      </c>
      <c r="T667" s="98" t="str">
        <f>IF(IFERROR(VLOOKUP(A667,'19.預鑄緣石'!C:D,1,0),"")="","","✔")</f>
        <v/>
      </c>
      <c r="U667" s="98" t="str">
        <f>IF(IFERROR(VLOOKUP(A667,'20.鋼構工程吊裝'!C:D,1,0),"")="","","✔")</f>
        <v/>
      </c>
      <c r="V667" s="98" t="str">
        <f>IF(IFERROR(VLOOKUP(A667,'21.鋼構工程塗裝'!C:D,1,0),"")="","","✔")</f>
        <v/>
      </c>
      <c r="W667" s="98" t="str">
        <f>IF(IFERROR(VLOOKUP(A667,'22.排水設施(一)'!C:D,1,0),"")="","","✔")</f>
        <v/>
      </c>
      <c r="X667" s="98" t="str">
        <f>IF(IFERROR(VLOOKUP(A667,'23.排水設施(二)'!C:D,1,0),"")="","","✔")</f>
        <v/>
      </c>
      <c r="Y667" s="98" t="str">
        <f>IF(IFERROR(VLOOKUP(A667,'24.木構造'!C:D,1,0),"")="","","✔")</f>
        <v/>
      </c>
      <c r="Z667" s="98" t="str">
        <f>IF(IFERROR(VLOOKUP(A667,'25.管路'!C:D,1,0),"")="","","✔")</f>
        <v/>
      </c>
      <c r="AA667" s="98" t="str">
        <f>IF(IFERROR(VLOOKUP(A667,'26.植栽(移植)'!C:D,1,0),"")="","","✔")</f>
        <v/>
      </c>
      <c r="AB667" s="98" t="str">
        <f>IF(IFERROR(VLOOKUP(A667,'27.植栽(新植)'!C:D,1,0),"")="","","✔")</f>
        <v/>
      </c>
      <c r="AC667" s="98" t="str">
        <f>IF(IFERROR(VLOOKUP(A667,'28.照明'!C:D,1,0),"")="","","✔")</f>
        <v/>
      </c>
      <c r="AD667" s="98" t="str">
        <f>IF(IFERROR(VLOOKUP(A667,'29.既有橋梁拆除'!C:D,1,0),"")="","","✔")</f>
        <v/>
      </c>
    </row>
    <row r="668" spans="1:30" ht="21.75" customHeight="1" x14ac:dyDescent="0.25">
      <c r="A668" s="99">
        <v>45858</v>
      </c>
      <c r="B668" s="98" t="str">
        <f>IF(IFERROR(VLOOKUP(A668,'1.測量放樣'!C:D,1,0),"")="","","✔")</f>
        <v/>
      </c>
      <c r="C668" s="98" t="str">
        <f>IF(IFERROR(VLOOKUP(A668,'2.土方開挖'!C:D,1,0),"")="","","✔")</f>
        <v/>
      </c>
      <c r="D668" s="98" t="str">
        <f>IF(IFERROR(VLOOKUP(A668,'3.土方回填'!C:D,1,0),"")="","","✔")</f>
        <v/>
      </c>
      <c r="E668" s="98" t="str">
        <f>IF(IFERROR(VLOOKUP(A668,'4.鋼筋'!C:D,1,0),"")="","","✔")</f>
        <v/>
      </c>
      <c r="F668" s="98" t="str">
        <f>IF(IFERROR(VLOOKUP(A668,'5.模板'!C:D,1,0),"")="","","✔")</f>
        <v/>
      </c>
      <c r="G668" s="98" t="str">
        <f>IF(IFERROR(VLOOKUP(A668,'6.混凝土'!C:D,1,0),"")="","","✔")</f>
        <v/>
      </c>
      <c r="H668" s="98" t="str">
        <f>IF(IFERROR(VLOOKUP(A668,'7.植筋'!C:D,1,0),"")="","","✔")</f>
        <v/>
      </c>
      <c r="I668" s="98" t="str">
        <f>IF(IFERROR(VLOOKUP(A668,'8.預力混凝土基樁'!C:D,1,0),"")="","","✔")</f>
        <v/>
      </c>
      <c r="J668" s="98" t="str">
        <f>IF(IFERROR(VLOOKUP(A668,'9.砌塊石護岸'!C:D,1,0),"")="","","✔")</f>
        <v/>
      </c>
      <c r="K668" s="98" t="str">
        <f>IF(IFERROR(VLOOKUP(A668,'10.低水護岸'!C:D,1,0),"")="","","✔")</f>
        <v/>
      </c>
      <c r="L668" s="98" t="str">
        <f>IF(IFERROR(VLOOKUP(A668,'11.固床工'!C:D,1,0),"")="","","✔")</f>
        <v/>
      </c>
      <c r="M668" s="98" t="str">
        <f>IF(IFERROR(VLOOKUP(A668,'12.全套管基樁'!C:D,1,0),"")="","","✔")</f>
        <v/>
      </c>
      <c r="N668" s="98" t="str">
        <f>IF(IFERROR(VLOOKUP(A668,'13.鋼筋混凝土管工程'!C:D,1,0),"")="","","✔")</f>
        <v/>
      </c>
      <c r="O668" s="98" t="str">
        <f>IF(IFERROR(VLOOKUP(A668,'14.鋼版樁'!C:D,1,0),"")="","","✔")</f>
        <v/>
      </c>
      <c r="P668" s="98" t="str">
        <f>IF(IFERROR(VLOOKUP(A668,'15.路床 路基高程'!C:D,1,0),"")="","","✔")</f>
        <v/>
      </c>
      <c r="Q668" s="98" t="str">
        <f>IF(IFERROR(VLOOKUP(A668,'16.瀝青混凝土'!C:D,1,0),"")="","","✔")</f>
        <v/>
      </c>
      <c r="R668" s="98" t="str">
        <f>IF(IFERROR(VLOOKUP(A668,'17.景觀鋪面(一)'!C:D,1,0),"")="","","✔")</f>
        <v/>
      </c>
      <c r="S668" s="98" t="str">
        <f>IF(IFERROR(VLOOKUP(A668,'18.景觀鋪面(二)'!C:D,1,0),"")="","","✔")</f>
        <v/>
      </c>
      <c r="T668" s="98" t="str">
        <f>IF(IFERROR(VLOOKUP(A668,'19.預鑄緣石'!C:D,1,0),"")="","","✔")</f>
        <v/>
      </c>
      <c r="U668" s="98" t="str">
        <f>IF(IFERROR(VLOOKUP(A668,'20.鋼構工程吊裝'!C:D,1,0),"")="","","✔")</f>
        <v/>
      </c>
      <c r="V668" s="98" t="str">
        <f>IF(IFERROR(VLOOKUP(A668,'21.鋼構工程塗裝'!C:D,1,0),"")="","","✔")</f>
        <v/>
      </c>
      <c r="W668" s="98" t="str">
        <f>IF(IFERROR(VLOOKUP(A668,'22.排水設施(一)'!C:D,1,0),"")="","","✔")</f>
        <v/>
      </c>
      <c r="X668" s="98" t="str">
        <f>IF(IFERROR(VLOOKUP(A668,'23.排水設施(二)'!C:D,1,0),"")="","","✔")</f>
        <v/>
      </c>
      <c r="Y668" s="98" t="str">
        <f>IF(IFERROR(VLOOKUP(A668,'24.木構造'!C:D,1,0),"")="","","✔")</f>
        <v/>
      </c>
      <c r="Z668" s="98" t="str">
        <f>IF(IFERROR(VLOOKUP(A668,'25.管路'!C:D,1,0),"")="","","✔")</f>
        <v/>
      </c>
      <c r="AA668" s="98" t="str">
        <f>IF(IFERROR(VLOOKUP(A668,'26.植栽(移植)'!C:D,1,0),"")="","","✔")</f>
        <v/>
      </c>
      <c r="AB668" s="98" t="str">
        <f>IF(IFERROR(VLOOKUP(A668,'27.植栽(新植)'!C:D,1,0),"")="","","✔")</f>
        <v/>
      </c>
      <c r="AC668" s="98" t="str">
        <f>IF(IFERROR(VLOOKUP(A668,'28.照明'!C:D,1,0),"")="","","✔")</f>
        <v/>
      </c>
      <c r="AD668" s="98" t="str">
        <f>IF(IFERROR(VLOOKUP(A668,'29.既有橋梁拆除'!C:D,1,0),"")="","","✔")</f>
        <v/>
      </c>
    </row>
    <row r="669" spans="1:30" ht="21.75" customHeight="1" x14ac:dyDescent="0.25">
      <c r="A669" s="99">
        <v>45859</v>
      </c>
      <c r="B669" s="98" t="str">
        <f>IF(IFERROR(VLOOKUP(A669,'1.測量放樣'!C:D,1,0),"")="","","✔")</f>
        <v/>
      </c>
      <c r="C669" s="98" t="str">
        <f>IF(IFERROR(VLOOKUP(A669,'2.土方開挖'!C:D,1,0),"")="","","✔")</f>
        <v/>
      </c>
      <c r="D669" s="98" t="str">
        <f>IF(IFERROR(VLOOKUP(A669,'3.土方回填'!C:D,1,0),"")="","","✔")</f>
        <v/>
      </c>
      <c r="E669" s="98" t="str">
        <f>IF(IFERROR(VLOOKUP(A669,'4.鋼筋'!C:D,1,0),"")="","","✔")</f>
        <v/>
      </c>
      <c r="F669" s="98" t="str">
        <f>IF(IFERROR(VLOOKUP(A669,'5.模板'!C:D,1,0),"")="","","✔")</f>
        <v/>
      </c>
      <c r="G669" s="98" t="str">
        <f>IF(IFERROR(VLOOKUP(A669,'6.混凝土'!C:D,1,0),"")="","","✔")</f>
        <v/>
      </c>
      <c r="H669" s="98" t="str">
        <f>IF(IFERROR(VLOOKUP(A669,'7.植筋'!C:D,1,0),"")="","","✔")</f>
        <v/>
      </c>
      <c r="I669" s="98" t="str">
        <f>IF(IFERROR(VLOOKUP(A669,'8.預力混凝土基樁'!C:D,1,0),"")="","","✔")</f>
        <v/>
      </c>
      <c r="J669" s="98" t="str">
        <f>IF(IFERROR(VLOOKUP(A669,'9.砌塊石護岸'!C:D,1,0),"")="","","✔")</f>
        <v/>
      </c>
      <c r="K669" s="98" t="str">
        <f>IF(IFERROR(VLOOKUP(A669,'10.低水護岸'!C:D,1,0),"")="","","✔")</f>
        <v/>
      </c>
      <c r="L669" s="98" t="str">
        <f>IF(IFERROR(VLOOKUP(A669,'11.固床工'!C:D,1,0),"")="","","✔")</f>
        <v/>
      </c>
      <c r="M669" s="98" t="str">
        <f>IF(IFERROR(VLOOKUP(A669,'12.全套管基樁'!C:D,1,0),"")="","","✔")</f>
        <v/>
      </c>
      <c r="N669" s="98" t="str">
        <f>IF(IFERROR(VLOOKUP(A669,'13.鋼筋混凝土管工程'!C:D,1,0),"")="","","✔")</f>
        <v/>
      </c>
      <c r="O669" s="98" t="str">
        <f>IF(IFERROR(VLOOKUP(A669,'14.鋼版樁'!C:D,1,0),"")="","","✔")</f>
        <v/>
      </c>
      <c r="P669" s="98" t="str">
        <f>IF(IFERROR(VLOOKUP(A669,'15.路床 路基高程'!C:D,1,0),"")="","","✔")</f>
        <v/>
      </c>
      <c r="Q669" s="98" t="str">
        <f>IF(IFERROR(VLOOKUP(A669,'16.瀝青混凝土'!C:D,1,0),"")="","","✔")</f>
        <v/>
      </c>
      <c r="R669" s="98" t="str">
        <f>IF(IFERROR(VLOOKUP(A669,'17.景觀鋪面(一)'!C:D,1,0),"")="","","✔")</f>
        <v/>
      </c>
      <c r="S669" s="98" t="str">
        <f>IF(IFERROR(VLOOKUP(A669,'18.景觀鋪面(二)'!C:D,1,0),"")="","","✔")</f>
        <v/>
      </c>
      <c r="T669" s="98" t="str">
        <f>IF(IFERROR(VLOOKUP(A669,'19.預鑄緣石'!C:D,1,0),"")="","","✔")</f>
        <v/>
      </c>
      <c r="U669" s="98" t="str">
        <f>IF(IFERROR(VLOOKUP(A669,'20.鋼構工程吊裝'!C:D,1,0),"")="","","✔")</f>
        <v/>
      </c>
      <c r="V669" s="98" t="str">
        <f>IF(IFERROR(VLOOKUP(A669,'21.鋼構工程塗裝'!C:D,1,0),"")="","","✔")</f>
        <v/>
      </c>
      <c r="W669" s="98" t="str">
        <f>IF(IFERROR(VLOOKUP(A669,'22.排水設施(一)'!C:D,1,0),"")="","","✔")</f>
        <v/>
      </c>
      <c r="X669" s="98" t="str">
        <f>IF(IFERROR(VLOOKUP(A669,'23.排水設施(二)'!C:D,1,0),"")="","","✔")</f>
        <v/>
      </c>
      <c r="Y669" s="98" t="str">
        <f>IF(IFERROR(VLOOKUP(A669,'24.木構造'!C:D,1,0),"")="","","✔")</f>
        <v/>
      </c>
      <c r="Z669" s="98" t="str">
        <f>IF(IFERROR(VLOOKUP(A669,'25.管路'!C:D,1,0),"")="","","✔")</f>
        <v/>
      </c>
      <c r="AA669" s="98" t="str">
        <f>IF(IFERROR(VLOOKUP(A669,'26.植栽(移植)'!C:D,1,0),"")="","","✔")</f>
        <v/>
      </c>
      <c r="AB669" s="98" t="str">
        <f>IF(IFERROR(VLOOKUP(A669,'27.植栽(新植)'!C:D,1,0),"")="","","✔")</f>
        <v/>
      </c>
      <c r="AC669" s="98" t="str">
        <f>IF(IFERROR(VLOOKUP(A669,'28.照明'!C:D,1,0),"")="","","✔")</f>
        <v/>
      </c>
      <c r="AD669" s="98" t="str">
        <f>IF(IFERROR(VLOOKUP(A669,'29.既有橋梁拆除'!C:D,1,0),"")="","","✔")</f>
        <v/>
      </c>
    </row>
    <row r="670" spans="1:30" ht="21.75" customHeight="1" x14ac:dyDescent="0.25">
      <c r="A670" s="99">
        <v>45860</v>
      </c>
      <c r="B670" s="98" t="str">
        <f>IF(IFERROR(VLOOKUP(A670,'1.測量放樣'!C:D,1,0),"")="","","✔")</f>
        <v/>
      </c>
      <c r="C670" s="98" t="str">
        <f>IF(IFERROR(VLOOKUP(A670,'2.土方開挖'!C:D,1,0),"")="","","✔")</f>
        <v/>
      </c>
      <c r="D670" s="98" t="str">
        <f>IF(IFERROR(VLOOKUP(A670,'3.土方回填'!C:D,1,0),"")="","","✔")</f>
        <v/>
      </c>
      <c r="E670" s="98" t="str">
        <f>IF(IFERROR(VLOOKUP(A670,'4.鋼筋'!C:D,1,0),"")="","","✔")</f>
        <v/>
      </c>
      <c r="F670" s="98" t="str">
        <f>IF(IFERROR(VLOOKUP(A670,'5.模板'!C:D,1,0),"")="","","✔")</f>
        <v/>
      </c>
      <c r="G670" s="98" t="str">
        <f>IF(IFERROR(VLOOKUP(A670,'6.混凝土'!C:D,1,0),"")="","","✔")</f>
        <v/>
      </c>
      <c r="H670" s="98" t="str">
        <f>IF(IFERROR(VLOOKUP(A670,'7.植筋'!C:D,1,0),"")="","","✔")</f>
        <v/>
      </c>
      <c r="I670" s="98" t="str">
        <f>IF(IFERROR(VLOOKUP(A670,'8.預力混凝土基樁'!C:D,1,0),"")="","","✔")</f>
        <v/>
      </c>
      <c r="J670" s="98" t="str">
        <f>IF(IFERROR(VLOOKUP(A670,'9.砌塊石護岸'!C:D,1,0),"")="","","✔")</f>
        <v/>
      </c>
      <c r="K670" s="98" t="str">
        <f>IF(IFERROR(VLOOKUP(A670,'10.低水護岸'!C:D,1,0),"")="","","✔")</f>
        <v/>
      </c>
      <c r="L670" s="98" t="str">
        <f>IF(IFERROR(VLOOKUP(A670,'11.固床工'!C:D,1,0),"")="","","✔")</f>
        <v/>
      </c>
      <c r="M670" s="98" t="str">
        <f>IF(IFERROR(VLOOKUP(A670,'12.全套管基樁'!C:D,1,0),"")="","","✔")</f>
        <v/>
      </c>
      <c r="N670" s="98" t="str">
        <f>IF(IFERROR(VLOOKUP(A670,'13.鋼筋混凝土管工程'!C:D,1,0),"")="","","✔")</f>
        <v/>
      </c>
      <c r="O670" s="98" t="str">
        <f>IF(IFERROR(VLOOKUP(A670,'14.鋼版樁'!C:D,1,0),"")="","","✔")</f>
        <v/>
      </c>
      <c r="P670" s="98" t="str">
        <f>IF(IFERROR(VLOOKUP(A670,'15.路床 路基高程'!C:D,1,0),"")="","","✔")</f>
        <v/>
      </c>
      <c r="Q670" s="98" t="str">
        <f>IF(IFERROR(VLOOKUP(A670,'16.瀝青混凝土'!C:D,1,0),"")="","","✔")</f>
        <v/>
      </c>
      <c r="R670" s="98" t="str">
        <f>IF(IFERROR(VLOOKUP(A670,'17.景觀鋪面(一)'!C:D,1,0),"")="","","✔")</f>
        <v/>
      </c>
      <c r="S670" s="98" t="str">
        <f>IF(IFERROR(VLOOKUP(A670,'18.景觀鋪面(二)'!C:D,1,0),"")="","","✔")</f>
        <v/>
      </c>
      <c r="T670" s="98" t="str">
        <f>IF(IFERROR(VLOOKUP(A670,'19.預鑄緣石'!C:D,1,0),"")="","","✔")</f>
        <v/>
      </c>
      <c r="U670" s="98" t="str">
        <f>IF(IFERROR(VLOOKUP(A670,'20.鋼構工程吊裝'!C:D,1,0),"")="","","✔")</f>
        <v/>
      </c>
      <c r="V670" s="98" t="str">
        <f>IF(IFERROR(VLOOKUP(A670,'21.鋼構工程塗裝'!C:D,1,0),"")="","","✔")</f>
        <v/>
      </c>
      <c r="W670" s="98" t="str">
        <f>IF(IFERROR(VLOOKUP(A670,'22.排水設施(一)'!C:D,1,0),"")="","","✔")</f>
        <v/>
      </c>
      <c r="X670" s="98" t="str">
        <f>IF(IFERROR(VLOOKUP(A670,'23.排水設施(二)'!C:D,1,0),"")="","","✔")</f>
        <v/>
      </c>
      <c r="Y670" s="98" t="str">
        <f>IF(IFERROR(VLOOKUP(A670,'24.木構造'!C:D,1,0),"")="","","✔")</f>
        <v/>
      </c>
      <c r="Z670" s="98" t="str">
        <f>IF(IFERROR(VLOOKUP(A670,'25.管路'!C:D,1,0),"")="","","✔")</f>
        <v/>
      </c>
      <c r="AA670" s="98" t="str">
        <f>IF(IFERROR(VLOOKUP(A670,'26.植栽(移植)'!C:D,1,0),"")="","","✔")</f>
        <v/>
      </c>
      <c r="AB670" s="98" t="str">
        <f>IF(IFERROR(VLOOKUP(A670,'27.植栽(新植)'!C:D,1,0),"")="","","✔")</f>
        <v/>
      </c>
      <c r="AC670" s="98" t="str">
        <f>IF(IFERROR(VLOOKUP(A670,'28.照明'!C:D,1,0),"")="","","✔")</f>
        <v/>
      </c>
      <c r="AD670" s="98" t="str">
        <f>IF(IFERROR(VLOOKUP(A670,'29.既有橋梁拆除'!C:D,1,0),"")="","","✔")</f>
        <v/>
      </c>
    </row>
    <row r="671" spans="1:30" ht="21.75" customHeight="1" x14ac:dyDescent="0.25">
      <c r="A671" s="99">
        <v>45861</v>
      </c>
      <c r="B671" s="98" t="str">
        <f>IF(IFERROR(VLOOKUP(A671,'1.測量放樣'!C:D,1,0),"")="","","✔")</f>
        <v/>
      </c>
      <c r="C671" s="98" t="str">
        <f>IF(IFERROR(VLOOKUP(A671,'2.土方開挖'!C:D,1,0),"")="","","✔")</f>
        <v/>
      </c>
      <c r="D671" s="98" t="str">
        <f>IF(IFERROR(VLOOKUP(A671,'3.土方回填'!C:D,1,0),"")="","","✔")</f>
        <v/>
      </c>
      <c r="E671" s="98" t="str">
        <f>IF(IFERROR(VLOOKUP(A671,'4.鋼筋'!C:D,1,0),"")="","","✔")</f>
        <v/>
      </c>
      <c r="F671" s="98" t="str">
        <f>IF(IFERROR(VLOOKUP(A671,'5.模板'!C:D,1,0),"")="","","✔")</f>
        <v/>
      </c>
      <c r="G671" s="98" t="str">
        <f>IF(IFERROR(VLOOKUP(A671,'6.混凝土'!C:D,1,0),"")="","","✔")</f>
        <v/>
      </c>
      <c r="H671" s="98" t="str">
        <f>IF(IFERROR(VLOOKUP(A671,'7.植筋'!C:D,1,0),"")="","","✔")</f>
        <v/>
      </c>
      <c r="I671" s="98" t="str">
        <f>IF(IFERROR(VLOOKUP(A671,'8.預力混凝土基樁'!C:D,1,0),"")="","","✔")</f>
        <v/>
      </c>
      <c r="J671" s="98" t="str">
        <f>IF(IFERROR(VLOOKUP(A671,'9.砌塊石護岸'!C:D,1,0),"")="","","✔")</f>
        <v/>
      </c>
      <c r="K671" s="98" t="str">
        <f>IF(IFERROR(VLOOKUP(A671,'10.低水護岸'!C:D,1,0),"")="","","✔")</f>
        <v/>
      </c>
      <c r="L671" s="98" t="str">
        <f>IF(IFERROR(VLOOKUP(A671,'11.固床工'!C:D,1,0),"")="","","✔")</f>
        <v/>
      </c>
      <c r="M671" s="98" t="str">
        <f>IF(IFERROR(VLOOKUP(A671,'12.全套管基樁'!C:D,1,0),"")="","","✔")</f>
        <v/>
      </c>
      <c r="N671" s="98" t="str">
        <f>IF(IFERROR(VLOOKUP(A671,'13.鋼筋混凝土管工程'!C:D,1,0),"")="","","✔")</f>
        <v/>
      </c>
      <c r="O671" s="98" t="str">
        <f>IF(IFERROR(VLOOKUP(A671,'14.鋼版樁'!C:D,1,0),"")="","","✔")</f>
        <v/>
      </c>
      <c r="P671" s="98" t="str">
        <f>IF(IFERROR(VLOOKUP(A671,'15.路床 路基高程'!C:D,1,0),"")="","","✔")</f>
        <v/>
      </c>
      <c r="Q671" s="98" t="str">
        <f>IF(IFERROR(VLOOKUP(A671,'16.瀝青混凝土'!C:D,1,0),"")="","","✔")</f>
        <v/>
      </c>
      <c r="R671" s="98" t="str">
        <f>IF(IFERROR(VLOOKUP(A671,'17.景觀鋪面(一)'!C:D,1,0),"")="","","✔")</f>
        <v/>
      </c>
      <c r="S671" s="98" t="str">
        <f>IF(IFERROR(VLOOKUP(A671,'18.景觀鋪面(二)'!C:D,1,0),"")="","","✔")</f>
        <v/>
      </c>
      <c r="T671" s="98" t="str">
        <f>IF(IFERROR(VLOOKUP(A671,'19.預鑄緣石'!C:D,1,0),"")="","","✔")</f>
        <v/>
      </c>
      <c r="U671" s="98" t="str">
        <f>IF(IFERROR(VLOOKUP(A671,'20.鋼構工程吊裝'!C:D,1,0),"")="","","✔")</f>
        <v/>
      </c>
      <c r="V671" s="98" t="str">
        <f>IF(IFERROR(VLOOKUP(A671,'21.鋼構工程塗裝'!C:D,1,0),"")="","","✔")</f>
        <v/>
      </c>
      <c r="W671" s="98" t="str">
        <f>IF(IFERROR(VLOOKUP(A671,'22.排水設施(一)'!C:D,1,0),"")="","","✔")</f>
        <v/>
      </c>
      <c r="X671" s="98" t="str">
        <f>IF(IFERROR(VLOOKUP(A671,'23.排水設施(二)'!C:D,1,0),"")="","","✔")</f>
        <v/>
      </c>
      <c r="Y671" s="98" t="str">
        <f>IF(IFERROR(VLOOKUP(A671,'24.木構造'!C:D,1,0),"")="","","✔")</f>
        <v/>
      </c>
      <c r="Z671" s="98" t="str">
        <f>IF(IFERROR(VLOOKUP(A671,'25.管路'!C:D,1,0),"")="","","✔")</f>
        <v/>
      </c>
      <c r="AA671" s="98" t="str">
        <f>IF(IFERROR(VLOOKUP(A671,'26.植栽(移植)'!C:D,1,0),"")="","","✔")</f>
        <v/>
      </c>
      <c r="AB671" s="98" t="str">
        <f>IF(IFERROR(VLOOKUP(A671,'27.植栽(新植)'!C:D,1,0),"")="","","✔")</f>
        <v/>
      </c>
      <c r="AC671" s="98" t="str">
        <f>IF(IFERROR(VLOOKUP(A671,'28.照明'!C:D,1,0),"")="","","✔")</f>
        <v/>
      </c>
      <c r="AD671" s="98" t="str">
        <f>IF(IFERROR(VLOOKUP(A671,'29.既有橋梁拆除'!C:D,1,0),"")="","","✔")</f>
        <v/>
      </c>
    </row>
    <row r="672" spans="1:30" ht="21.75" customHeight="1" x14ac:dyDescent="0.25">
      <c r="A672" s="99">
        <v>45862</v>
      </c>
      <c r="B672" s="98" t="str">
        <f>IF(IFERROR(VLOOKUP(A672,'1.測量放樣'!C:D,1,0),"")="","","✔")</f>
        <v/>
      </c>
      <c r="C672" s="98" t="str">
        <f>IF(IFERROR(VLOOKUP(A672,'2.土方開挖'!C:D,1,0),"")="","","✔")</f>
        <v/>
      </c>
      <c r="D672" s="98" t="str">
        <f>IF(IFERROR(VLOOKUP(A672,'3.土方回填'!C:D,1,0),"")="","","✔")</f>
        <v/>
      </c>
      <c r="E672" s="98" t="str">
        <f>IF(IFERROR(VLOOKUP(A672,'4.鋼筋'!C:D,1,0),"")="","","✔")</f>
        <v/>
      </c>
      <c r="F672" s="98" t="str">
        <f>IF(IFERROR(VLOOKUP(A672,'5.模板'!C:D,1,0),"")="","","✔")</f>
        <v/>
      </c>
      <c r="G672" s="98" t="str">
        <f>IF(IFERROR(VLOOKUP(A672,'6.混凝土'!C:D,1,0),"")="","","✔")</f>
        <v/>
      </c>
      <c r="H672" s="98" t="str">
        <f>IF(IFERROR(VLOOKUP(A672,'7.植筋'!C:D,1,0),"")="","","✔")</f>
        <v/>
      </c>
      <c r="I672" s="98" t="str">
        <f>IF(IFERROR(VLOOKUP(A672,'8.預力混凝土基樁'!C:D,1,0),"")="","","✔")</f>
        <v/>
      </c>
      <c r="J672" s="98" t="str">
        <f>IF(IFERROR(VLOOKUP(A672,'9.砌塊石護岸'!C:D,1,0),"")="","","✔")</f>
        <v/>
      </c>
      <c r="K672" s="98" t="str">
        <f>IF(IFERROR(VLOOKUP(A672,'10.低水護岸'!C:D,1,0),"")="","","✔")</f>
        <v/>
      </c>
      <c r="L672" s="98" t="str">
        <f>IF(IFERROR(VLOOKUP(A672,'11.固床工'!C:D,1,0),"")="","","✔")</f>
        <v/>
      </c>
      <c r="M672" s="98" t="str">
        <f>IF(IFERROR(VLOOKUP(A672,'12.全套管基樁'!C:D,1,0),"")="","","✔")</f>
        <v/>
      </c>
      <c r="N672" s="98" t="str">
        <f>IF(IFERROR(VLOOKUP(A672,'13.鋼筋混凝土管工程'!C:D,1,0),"")="","","✔")</f>
        <v/>
      </c>
      <c r="O672" s="98" t="str">
        <f>IF(IFERROR(VLOOKUP(A672,'14.鋼版樁'!C:D,1,0),"")="","","✔")</f>
        <v/>
      </c>
      <c r="P672" s="98" t="str">
        <f>IF(IFERROR(VLOOKUP(A672,'15.路床 路基高程'!C:D,1,0),"")="","","✔")</f>
        <v/>
      </c>
      <c r="Q672" s="98" t="str">
        <f>IF(IFERROR(VLOOKUP(A672,'16.瀝青混凝土'!C:D,1,0),"")="","","✔")</f>
        <v/>
      </c>
      <c r="R672" s="98" t="str">
        <f>IF(IFERROR(VLOOKUP(A672,'17.景觀鋪面(一)'!C:D,1,0),"")="","","✔")</f>
        <v/>
      </c>
      <c r="S672" s="98" t="str">
        <f>IF(IFERROR(VLOOKUP(A672,'18.景觀鋪面(二)'!C:D,1,0),"")="","","✔")</f>
        <v/>
      </c>
      <c r="T672" s="98" t="str">
        <f>IF(IFERROR(VLOOKUP(A672,'19.預鑄緣石'!C:D,1,0),"")="","","✔")</f>
        <v/>
      </c>
      <c r="U672" s="98" t="str">
        <f>IF(IFERROR(VLOOKUP(A672,'20.鋼構工程吊裝'!C:D,1,0),"")="","","✔")</f>
        <v/>
      </c>
      <c r="V672" s="98" t="str">
        <f>IF(IFERROR(VLOOKUP(A672,'21.鋼構工程塗裝'!C:D,1,0),"")="","","✔")</f>
        <v/>
      </c>
      <c r="W672" s="98" t="str">
        <f>IF(IFERROR(VLOOKUP(A672,'22.排水設施(一)'!C:D,1,0),"")="","","✔")</f>
        <v/>
      </c>
      <c r="X672" s="98" t="str">
        <f>IF(IFERROR(VLOOKUP(A672,'23.排水設施(二)'!C:D,1,0),"")="","","✔")</f>
        <v/>
      </c>
      <c r="Y672" s="98" t="str">
        <f>IF(IFERROR(VLOOKUP(A672,'24.木構造'!C:D,1,0),"")="","","✔")</f>
        <v/>
      </c>
      <c r="Z672" s="98" t="str">
        <f>IF(IFERROR(VLOOKUP(A672,'25.管路'!C:D,1,0),"")="","","✔")</f>
        <v/>
      </c>
      <c r="AA672" s="98" t="str">
        <f>IF(IFERROR(VLOOKUP(A672,'26.植栽(移植)'!C:D,1,0),"")="","","✔")</f>
        <v/>
      </c>
      <c r="AB672" s="98" t="str">
        <f>IF(IFERROR(VLOOKUP(A672,'27.植栽(新植)'!C:D,1,0),"")="","","✔")</f>
        <v/>
      </c>
      <c r="AC672" s="98" t="str">
        <f>IF(IFERROR(VLOOKUP(A672,'28.照明'!C:D,1,0),"")="","","✔")</f>
        <v/>
      </c>
      <c r="AD672" s="98" t="str">
        <f>IF(IFERROR(VLOOKUP(A672,'29.既有橋梁拆除'!C:D,1,0),"")="","","✔")</f>
        <v/>
      </c>
    </row>
    <row r="673" spans="1:30" ht="21.75" customHeight="1" x14ac:dyDescent="0.25">
      <c r="A673" s="99">
        <v>45863</v>
      </c>
      <c r="B673" s="98" t="str">
        <f>IF(IFERROR(VLOOKUP(A673,'1.測量放樣'!C:D,1,0),"")="","","✔")</f>
        <v/>
      </c>
      <c r="C673" s="98" t="str">
        <f>IF(IFERROR(VLOOKUP(A673,'2.土方開挖'!C:D,1,0),"")="","","✔")</f>
        <v/>
      </c>
      <c r="D673" s="98" t="str">
        <f>IF(IFERROR(VLOOKUP(A673,'3.土方回填'!C:D,1,0),"")="","","✔")</f>
        <v/>
      </c>
      <c r="E673" s="98" t="str">
        <f>IF(IFERROR(VLOOKUP(A673,'4.鋼筋'!C:D,1,0),"")="","","✔")</f>
        <v/>
      </c>
      <c r="F673" s="98" t="str">
        <f>IF(IFERROR(VLOOKUP(A673,'5.模板'!C:D,1,0),"")="","","✔")</f>
        <v/>
      </c>
      <c r="G673" s="98" t="str">
        <f>IF(IFERROR(VLOOKUP(A673,'6.混凝土'!C:D,1,0),"")="","","✔")</f>
        <v/>
      </c>
      <c r="H673" s="98" t="str">
        <f>IF(IFERROR(VLOOKUP(A673,'7.植筋'!C:D,1,0),"")="","","✔")</f>
        <v/>
      </c>
      <c r="I673" s="98" t="str">
        <f>IF(IFERROR(VLOOKUP(A673,'8.預力混凝土基樁'!C:D,1,0),"")="","","✔")</f>
        <v/>
      </c>
      <c r="J673" s="98" t="str">
        <f>IF(IFERROR(VLOOKUP(A673,'9.砌塊石護岸'!C:D,1,0),"")="","","✔")</f>
        <v/>
      </c>
      <c r="K673" s="98" t="str">
        <f>IF(IFERROR(VLOOKUP(A673,'10.低水護岸'!C:D,1,0),"")="","","✔")</f>
        <v/>
      </c>
      <c r="L673" s="98" t="str">
        <f>IF(IFERROR(VLOOKUP(A673,'11.固床工'!C:D,1,0),"")="","","✔")</f>
        <v/>
      </c>
      <c r="M673" s="98" t="str">
        <f>IF(IFERROR(VLOOKUP(A673,'12.全套管基樁'!C:D,1,0),"")="","","✔")</f>
        <v/>
      </c>
      <c r="N673" s="98" t="str">
        <f>IF(IFERROR(VLOOKUP(A673,'13.鋼筋混凝土管工程'!C:D,1,0),"")="","","✔")</f>
        <v/>
      </c>
      <c r="O673" s="98" t="str">
        <f>IF(IFERROR(VLOOKUP(A673,'14.鋼版樁'!C:D,1,0),"")="","","✔")</f>
        <v/>
      </c>
      <c r="P673" s="98" t="str">
        <f>IF(IFERROR(VLOOKUP(A673,'15.路床 路基高程'!C:D,1,0),"")="","","✔")</f>
        <v/>
      </c>
      <c r="Q673" s="98" t="str">
        <f>IF(IFERROR(VLOOKUP(A673,'16.瀝青混凝土'!C:D,1,0),"")="","","✔")</f>
        <v/>
      </c>
      <c r="R673" s="98" t="str">
        <f>IF(IFERROR(VLOOKUP(A673,'17.景觀鋪面(一)'!C:D,1,0),"")="","","✔")</f>
        <v/>
      </c>
      <c r="S673" s="98" t="str">
        <f>IF(IFERROR(VLOOKUP(A673,'18.景觀鋪面(二)'!C:D,1,0),"")="","","✔")</f>
        <v/>
      </c>
      <c r="T673" s="98" t="str">
        <f>IF(IFERROR(VLOOKUP(A673,'19.預鑄緣石'!C:D,1,0),"")="","","✔")</f>
        <v/>
      </c>
      <c r="U673" s="98" t="str">
        <f>IF(IFERROR(VLOOKUP(A673,'20.鋼構工程吊裝'!C:D,1,0),"")="","","✔")</f>
        <v/>
      </c>
      <c r="V673" s="98" t="str">
        <f>IF(IFERROR(VLOOKUP(A673,'21.鋼構工程塗裝'!C:D,1,0),"")="","","✔")</f>
        <v/>
      </c>
      <c r="W673" s="98" t="str">
        <f>IF(IFERROR(VLOOKUP(A673,'22.排水設施(一)'!C:D,1,0),"")="","","✔")</f>
        <v/>
      </c>
      <c r="X673" s="98" t="str">
        <f>IF(IFERROR(VLOOKUP(A673,'23.排水設施(二)'!C:D,1,0),"")="","","✔")</f>
        <v/>
      </c>
      <c r="Y673" s="98" t="str">
        <f>IF(IFERROR(VLOOKUP(A673,'24.木構造'!C:D,1,0),"")="","","✔")</f>
        <v/>
      </c>
      <c r="Z673" s="98" t="str">
        <f>IF(IFERROR(VLOOKUP(A673,'25.管路'!C:D,1,0),"")="","","✔")</f>
        <v/>
      </c>
      <c r="AA673" s="98" t="str">
        <f>IF(IFERROR(VLOOKUP(A673,'26.植栽(移植)'!C:D,1,0),"")="","","✔")</f>
        <v/>
      </c>
      <c r="AB673" s="98" t="str">
        <f>IF(IFERROR(VLOOKUP(A673,'27.植栽(新植)'!C:D,1,0),"")="","","✔")</f>
        <v/>
      </c>
      <c r="AC673" s="98" t="str">
        <f>IF(IFERROR(VLOOKUP(A673,'28.照明'!C:D,1,0),"")="","","✔")</f>
        <v/>
      </c>
      <c r="AD673" s="98" t="str">
        <f>IF(IFERROR(VLOOKUP(A673,'29.既有橋梁拆除'!C:D,1,0),"")="","","✔")</f>
        <v/>
      </c>
    </row>
    <row r="674" spans="1:30" ht="21.75" customHeight="1" x14ac:dyDescent="0.25">
      <c r="A674" s="99">
        <v>45864</v>
      </c>
      <c r="B674" s="98" t="str">
        <f>IF(IFERROR(VLOOKUP(A674,'1.測量放樣'!C:D,1,0),"")="","","✔")</f>
        <v/>
      </c>
      <c r="C674" s="98" t="str">
        <f>IF(IFERROR(VLOOKUP(A674,'2.土方開挖'!C:D,1,0),"")="","","✔")</f>
        <v/>
      </c>
      <c r="D674" s="98" t="str">
        <f>IF(IFERROR(VLOOKUP(A674,'3.土方回填'!C:D,1,0),"")="","","✔")</f>
        <v/>
      </c>
      <c r="E674" s="98" t="str">
        <f>IF(IFERROR(VLOOKUP(A674,'4.鋼筋'!C:D,1,0),"")="","","✔")</f>
        <v/>
      </c>
      <c r="F674" s="98" t="str">
        <f>IF(IFERROR(VLOOKUP(A674,'5.模板'!C:D,1,0),"")="","","✔")</f>
        <v/>
      </c>
      <c r="G674" s="98" t="str">
        <f>IF(IFERROR(VLOOKUP(A674,'6.混凝土'!C:D,1,0),"")="","","✔")</f>
        <v/>
      </c>
      <c r="H674" s="98" t="str">
        <f>IF(IFERROR(VLOOKUP(A674,'7.植筋'!C:D,1,0),"")="","","✔")</f>
        <v/>
      </c>
      <c r="I674" s="98" t="str">
        <f>IF(IFERROR(VLOOKUP(A674,'8.預力混凝土基樁'!C:D,1,0),"")="","","✔")</f>
        <v/>
      </c>
      <c r="J674" s="98" t="str">
        <f>IF(IFERROR(VLOOKUP(A674,'9.砌塊石護岸'!C:D,1,0),"")="","","✔")</f>
        <v/>
      </c>
      <c r="K674" s="98" t="str">
        <f>IF(IFERROR(VLOOKUP(A674,'10.低水護岸'!C:D,1,0),"")="","","✔")</f>
        <v/>
      </c>
      <c r="L674" s="98" t="str">
        <f>IF(IFERROR(VLOOKUP(A674,'11.固床工'!C:D,1,0),"")="","","✔")</f>
        <v/>
      </c>
      <c r="M674" s="98" t="str">
        <f>IF(IFERROR(VLOOKUP(A674,'12.全套管基樁'!C:D,1,0),"")="","","✔")</f>
        <v/>
      </c>
      <c r="N674" s="98" t="str">
        <f>IF(IFERROR(VLOOKUP(A674,'13.鋼筋混凝土管工程'!C:D,1,0),"")="","","✔")</f>
        <v/>
      </c>
      <c r="O674" s="98" t="str">
        <f>IF(IFERROR(VLOOKUP(A674,'14.鋼版樁'!C:D,1,0),"")="","","✔")</f>
        <v/>
      </c>
      <c r="P674" s="98" t="str">
        <f>IF(IFERROR(VLOOKUP(A674,'15.路床 路基高程'!C:D,1,0),"")="","","✔")</f>
        <v/>
      </c>
      <c r="Q674" s="98" t="str">
        <f>IF(IFERROR(VLOOKUP(A674,'16.瀝青混凝土'!C:D,1,0),"")="","","✔")</f>
        <v/>
      </c>
      <c r="R674" s="98" t="str">
        <f>IF(IFERROR(VLOOKUP(A674,'17.景觀鋪面(一)'!C:D,1,0),"")="","","✔")</f>
        <v/>
      </c>
      <c r="S674" s="98" t="str">
        <f>IF(IFERROR(VLOOKUP(A674,'18.景觀鋪面(二)'!C:D,1,0),"")="","","✔")</f>
        <v/>
      </c>
      <c r="T674" s="98" t="str">
        <f>IF(IFERROR(VLOOKUP(A674,'19.預鑄緣石'!C:D,1,0),"")="","","✔")</f>
        <v/>
      </c>
      <c r="U674" s="98" t="str">
        <f>IF(IFERROR(VLOOKUP(A674,'20.鋼構工程吊裝'!C:D,1,0),"")="","","✔")</f>
        <v/>
      </c>
      <c r="V674" s="98" t="str">
        <f>IF(IFERROR(VLOOKUP(A674,'21.鋼構工程塗裝'!C:D,1,0),"")="","","✔")</f>
        <v/>
      </c>
      <c r="W674" s="98" t="str">
        <f>IF(IFERROR(VLOOKUP(A674,'22.排水設施(一)'!C:D,1,0),"")="","","✔")</f>
        <v/>
      </c>
      <c r="X674" s="98" t="str">
        <f>IF(IFERROR(VLOOKUP(A674,'23.排水設施(二)'!C:D,1,0),"")="","","✔")</f>
        <v/>
      </c>
      <c r="Y674" s="98" t="str">
        <f>IF(IFERROR(VLOOKUP(A674,'24.木構造'!C:D,1,0),"")="","","✔")</f>
        <v/>
      </c>
      <c r="Z674" s="98" t="str">
        <f>IF(IFERROR(VLOOKUP(A674,'25.管路'!C:D,1,0),"")="","","✔")</f>
        <v/>
      </c>
      <c r="AA674" s="98" t="str">
        <f>IF(IFERROR(VLOOKUP(A674,'26.植栽(移植)'!C:D,1,0),"")="","","✔")</f>
        <v/>
      </c>
      <c r="AB674" s="98" t="str">
        <f>IF(IFERROR(VLOOKUP(A674,'27.植栽(新植)'!C:D,1,0),"")="","","✔")</f>
        <v/>
      </c>
      <c r="AC674" s="98" t="str">
        <f>IF(IFERROR(VLOOKUP(A674,'28.照明'!C:D,1,0),"")="","","✔")</f>
        <v/>
      </c>
      <c r="AD674" s="98" t="str">
        <f>IF(IFERROR(VLOOKUP(A674,'29.既有橋梁拆除'!C:D,1,0),"")="","","✔")</f>
        <v/>
      </c>
    </row>
    <row r="675" spans="1:30" ht="21.75" customHeight="1" x14ac:dyDescent="0.25">
      <c r="A675" s="99">
        <v>45865</v>
      </c>
      <c r="B675" s="98" t="str">
        <f>IF(IFERROR(VLOOKUP(A675,'1.測量放樣'!C:D,1,0),"")="","","✔")</f>
        <v/>
      </c>
      <c r="C675" s="98" t="str">
        <f>IF(IFERROR(VLOOKUP(A675,'2.土方開挖'!C:D,1,0),"")="","","✔")</f>
        <v/>
      </c>
      <c r="D675" s="98" t="str">
        <f>IF(IFERROR(VLOOKUP(A675,'3.土方回填'!C:D,1,0),"")="","","✔")</f>
        <v/>
      </c>
      <c r="E675" s="98" t="str">
        <f>IF(IFERROR(VLOOKUP(A675,'4.鋼筋'!C:D,1,0),"")="","","✔")</f>
        <v/>
      </c>
      <c r="F675" s="98" t="str">
        <f>IF(IFERROR(VLOOKUP(A675,'5.模板'!C:D,1,0),"")="","","✔")</f>
        <v/>
      </c>
      <c r="G675" s="98" t="str">
        <f>IF(IFERROR(VLOOKUP(A675,'6.混凝土'!C:D,1,0),"")="","","✔")</f>
        <v/>
      </c>
      <c r="H675" s="98" t="str">
        <f>IF(IFERROR(VLOOKUP(A675,'7.植筋'!C:D,1,0),"")="","","✔")</f>
        <v/>
      </c>
      <c r="I675" s="98" t="str">
        <f>IF(IFERROR(VLOOKUP(A675,'8.預力混凝土基樁'!C:D,1,0),"")="","","✔")</f>
        <v/>
      </c>
      <c r="J675" s="98" t="str">
        <f>IF(IFERROR(VLOOKUP(A675,'9.砌塊石護岸'!C:D,1,0),"")="","","✔")</f>
        <v/>
      </c>
      <c r="K675" s="98" t="str">
        <f>IF(IFERROR(VLOOKUP(A675,'10.低水護岸'!C:D,1,0),"")="","","✔")</f>
        <v/>
      </c>
      <c r="L675" s="98" t="str">
        <f>IF(IFERROR(VLOOKUP(A675,'11.固床工'!C:D,1,0),"")="","","✔")</f>
        <v/>
      </c>
      <c r="M675" s="98" t="str">
        <f>IF(IFERROR(VLOOKUP(A675,'12.全套管基樁'!C:D,1,0),"")="","","✔")</f>
        <v/>
      </c>
      <c r="N675" s="98" t="str">
        <f>IF(IFERROR(VLOOKUP(A675,'13.鋼筋混凝土管工程'!C:D,1,0),"")="","","✔")</f>
        <v/>
      </c>
      <c r="O675" s="98" t="str">
        <f>IF(IFERROR(VLOOKUP(A675,'14.鋼版樁'!C:D,1,0),"")="","","✔")</f>
        <v/>
      </c>
      <c r="P675" s="98" t="str">
        <f>IF(IFERROR(VLOOKUP(A675,'15.路床 路基高程'!C:D,1,0),"")="","","✔")</f>
        <v/>
      </c>
      <c r="Q675" s="98" t="str">
        <f>IF(IFERROR(VLOOKUP(A675,'16.瀝青混凝土'!C:D,1,0),"")="","","✔")</f>
        <v/>
      </c>
      <c r="R675" s="98" t="str">
        <f>IF(IFERROR(VLOOKUP(A675,'17.景觀鋪面(一)'!C:D,1,0),"")="","","✔")</f>
        <v/>
      </c>
      <c r="S675" s="98" t="str">
        <f>IF(IFERROR(VLOOKUP(A675,'18.景觀鋪面(二)'!C:D,1,0),"")="","","✔")</f>
        <v/>
      </c>
      <c r="T675" s="98" t="str">
        <f>IF(IFERROR(VLOOKUP(A675,'19.預鑄緣石'!C:D,1,0),"")="","","✔")</f>
        <v/>
      </c>
      <c r="U675" s="98" t="str">
        <f>IF(IFERROR(VLOOKUP(A675,'20.鋼構工程吊裝'!C:D,1,0),"")="","","✔")</f>
        <v/>
      </c>
      <c r="V675" s="98" t="str">
        <f>IF(IFERROR(VLOOKUP(A675,'21.鋼構工程塗裝'!C:D,1,0),"")="","","✔")</f>
        <v/>
      </c>
      <c r="W675" s="98" t="str">
        <f>IF(IFERROR(VLOOKUP(A675,'22.排水設施(一)'!C:D,1,0),"")="","","✔")</f>
        <v/>
      </c>
      <c r="X675" s="98" t="str">
        <f>IF(IFERROR(VLOOKUP(A675,'23.排水設施(二)'!C:D,1,0),"")="","","✔")</f>
        <v/>
      </c>
      <c r="Y675" s="98" t="str">
        <f>IF(IFERROR(VLOOKUP(A675,'24.木構造'!C:D,1,0),"")="","","✔")</f>
        <v/>
      </c>
      <c r="Z675" s="98" t="str">
        <f>IF(IFERROR(VLOOKUP(A675,'25.管路'!C:D,1,0),"")="","","✔")</f>
        <v/>
      </c>
      <c r="AA675" s="98" t="str">
        <f>IF(IFERROR(VLOOKUP(A675,'26.植栽(移植)'!C:D,1,0),"")="","","✔")</f>
        <v/>
      </c>
      <c r="AB675" s="98" t="str">
        <f>IF(IFERROR(VLOOKUP(A675,'27.植栽(新植)'!C:D,1,0),"")="","","✔")</f>
        <v/>
      </c>
      <c r="AC675" s="98" t="str">
        <f>IF(IFERROR(VLOOKUP(A675,'28.照明'!C:D,1,0),"")="","","✔")</f>
        <v/>
      </c>
      <c r="AD675" s="98" t="str">
        <f>IF(IFERROR(VLOOKUP(A675,'29.既有橋梁拆除'!C:D,1,0),"")="","","✔")</f>
        <v/>
      </c>
    </row>
    <row r="676" spans="1:30" ht="21.75" customHeight="1" x14ac:dyDescent="0.25">
      <c r="A676" s="99">
        <v>45866</v>
      </c>
      <c r="B676" s="98" t="str">
        <f>IF(IFERROR(VLOOKUP(A676,'1.測量放樣'!C:D,1,0),"")="","","✔")</f>
        <v/>
      </c>
      <c r="C676" s="98" t="str">
        <f>IF(IFERROR(VLOOKUP(A676,'2.土方開挖'!C:D,1,0),"")="","","✔")</f>
        <v/>
      </c>
      <c r="D676" s="98" t="str">
        <f>IF(IFERROR(VLOOKUP(A676,'3.土方回填'!C:D,1,0),"")="","","✔")</f>
        <v/>
      </c>
      <c r="E676" s="98" t="str">
        <f>IF(IFERROR(VLOOKUP(A676,'4.鋼筋'!C:D,1,0),"")="","","✔")</f>
        <v/>
      </c>
      <c r="F676" s="98" t="str">
        <f>IF(IFERROR(VLOOKUP(A676,'5.模板'!C:D,1,0),"")="","","✔")</f>
        <v/>
      </c>
      <c r="G676" s="98" t="str">
        <f>IF(IFERROR(VLOOKUP(A676,'6.混凝土'!C:D,1,0),"")="","","✔")</f>
        <v/>
      </c>
      <c r="H676" s="98" t="str">
        <f>IF(IFERROR(VLOOKUP(A676,'7.植筋'!C:D,1,0),"")="","","✔")</f>
        <v/>
      </c>
      <c r="I676" s="98" t="str">
        <f>IF(IFERROR(VLOOKUP(A676,'8.預力混凝土基樁'!C:D,1,0),"")="","","✔")</f>
        <v/>
      </c>
      <c r="J676" s="98" t="str">
        <f>IF(IFERROR(VLOOKUP(A676,'9.砌塊石護岸'!C:D,1,0),"")="","","✔")</f>
        <v/>
      </c>
      <c r="K676" s="98" t="str">
        <f>IF(IFERROR(VLOOKUP(A676,'10.低水護岸'!C:D,1,0),"")="","","✔")</f>
        <v/>
      </c>
      <c r="L676" s="98" t="str">
        <f>IF(IFERROR(VLOOKUP(A676,'11.固床工'!C:D,1,0),"")="","","✔")</f>
        <v/>
      </c>
      <c r="M676" s="98" t="str">
        <f>IF(IFERROR(VLOOKUP(A676,'12.全套管基樁'!C:D,1,0),"")="","","✔")</f>
        <v/>
      </c>
      <c r="N676" s="98" t="str">
        <f>IF(IFERROR(VLOOKUP(A676,'13.鋼筋混凝土管工程'!C:D,1,0),"")="","","✔")</f>
        <v/>
      </c>
      <c r="O676" s="98" t="str">
        <f>IF(IFERROR(VLOOKUP(A676,'14.鋼版樁'!C:D,1,0),"")="","","✔")</f>
        <v/>
      </c>
      <c r="P676" s="98" t="str">
        <f>IF(IFERROR(VLOOKUP(A676,'15.路床 路基高程'!C:D,1,0),"")="","","✔")</f>
        <v/>
      </c>
      <c r="Q676" s="98" t="str">
        <f>IF(IFERROR(VLOOKUP(A676,'16.瀝青混凝土'!C:D,1,0),"")="","","✔")</f>
        <v/>
      </c>
      <c r="R676" s="98" t="str">
        <f>IF(IFERROR(VLOOKUP(A676,'17.景觀鋪面(一)'!C:D,1,0),"")="","","✔")</f>
        <v/>
      </c>
      <c r="S676" s="98" t="str">
        <f>IF(IFERROR(VLOOKUP(A676,'18.景觀鋪面(二)'!C:D,1,0),"")="","","✔")</f>
        <v/>
      </c>
      <c r="T676" s="98" t="str">
        <f>IF(IFERROR(VLOOKUP(A676,'19.預鑄緣石'!C:D,1,0),"")="","","✔")</f>
        <v/>
      </c>
      <c r="U676" s="98" t="str">
        <f>IF(IFERROR(VLOOKUP(A676,'20.鋼構工程吊裝'!C:D,1,0),"")="","","✔")</f>
        <v/>
      </c>
      <c r="V676" s="98" t="str">
        <f>IF(IFERROR(VLOOKUP(A676,'21.鋼構工程塗裝'!C:D,1,0),"")="","","✔")</f>
        <v/>
      </c>
      <c r="W676" s="98" t="str">
        <f>IF(IFERROR(VLOOKUP(A676,'22.排水設施(一)'!C:D,1,0),"")="","","✔")</f>
        <v/>
      </c>
      <c r="X676" s="98" t="str">
        <f>IF(IFERROR(VLOOKUP(A676,'23.排水設施(二)'!C:D,1,0),"")="","","✔")</f>
        <v/>
      </c>
      <c r="Y676" s="98" t="str">
        <f>IF(IFERROR(VLOOKUP(A676,'24.木構造'!C:D,1,0),"")="","","✔")</f>
        <v/>
      </c>
      <c r="Z676" s="98" t="str">
        <f>IF(IFERROR(VLOOKUP(A676,'25.管路'!C:D,1,0),"")="","","✔")</f>
        <v/>
      </c>
      <c r="AA676" s="98" t="str">
        <f>IF(IFERROR(VLOOKUP(A676,'26.植栽(移植)'!C:D,1,0),"")="","","✔")</f>
        <v/>
      </c>
      <c r="AB676" s="98" t="str">
        <f>IF(IFERROR(VLOOKUP(A676,'27.植栽(新植)'!C:D,1,0),"")="","","✔")</f>
        <v/>
      </c>
      <c r="AC676" s="98" t="str">
        <f>IF(IFERROR(VLOOKUP(A676,'28.照明'!C:D,1,0),"")="","","✔")</f>
        <v/>
      </c>
      <c r="AD676" s="98" t="str">
        <f>IF(IFERROR(VLOOKUP(A676,'29.既有橋梁拆除'!C:D,1,0),"")="","","✔")</f>
        <v/>
      </c>
    </row>
    <row r="677" spans="1:30" ht="21.75" customHeight="1" x14ac:dyDescent="0.25">
      <c r="A677" s="99">
        <v>45867</v>
      </c>
      <c r="B677" s="98" t="str">
        <f>IF(IFERROR(VLOOKUP(A677,'1.測量放樣'!C:D,1,0),"")="","","✔")</f>
        <v/>
      </c>
      <c r="C677" s="98" t="str">
        <f>IF(IFERROR(VLOOKUP(A677,'2.土方開挖'!C:D,1,0),"")="","","✔")</f>
        <v/>
      </c>
      <c r="D677" s="98" t="str">
        <f>IF(IFERROR(VLOOKUP(A677,'3.土方回填'!C:D,1,0),"")="","","✔")</f>
        <v/>
      </c>
      <c r="E677" s="98" t="str">
        <f>IF(IFERROR(VLOOKUP(A677,'4.鋼筋'!C:D,1,0),"")="","","✔")</f>
        <v/>
      </c>
      <c r="F677" s="98" t="str">
        <f>IF(IFERROR(VLOOKUP(A677,'5.模板'!C:D,1,0),"")="","","✔")</f>
        <v/>
      </c>
      <c r="G677" s="98" t="str">
        <f>IF(IFERROR(VLOOKUP(A677,'6.混凝土'!C:D,1,0),"")="","","✔")</f>
        <v/>
      </c>
      <c r="H677" s="98" t="str">
        <f>IF(IFERROR(VLOOKUP(A677,'7.植筋'!C:D,1,0),"")="","","✔")</f>
        <v/>
      </c>
      <c r="I677" s="98" t="str">
        <f>IF(IFERROR(VLOOKUP(A677,'8.預力混凝土基樁'!C:D,1,0),"")="","","✔")</f>
        <v/>
      </c>
      <c r="J677" s="98" t="str">
        <f>IF(IFERROR(VLOOKUP(A677,'9.砌塊石護岸'!C:D,1,0),"")="","","✔")</f>
        <v/>
      </c>
      <c r="K677" s="98" t="str">
        <f>IF(IFERROR(VLOOKUP(A677,'10.低水護岸'!C:D,1,0),"")="","","✔")</f>
        <v/>
      </c>
      <c r="L677" s="98" t="str">
        <f>IF(IFERROR(VLOOKUP(A677,'11.固床工'!C:D,1,0),"")="","","✔")</f>
        <v/>
      </c>
      <c r="M677" s="98" t="str">
        <f>IF(IFERROR(VLOOKUP(A677,'12.全套管基樁'!C:D,1,0),"")="","","✔")</f>
        <v/>
      </c>
      <c r="N677" s="98" t="str">
        <f>IF(IFERROR(VLOOKUP(A677,'13.鋼筋混凝土管工程'!C:D,1,0),"")="","","✔")</f>
        <v/>
      </c>
      <c r="O677" s="98" t="str">
        <f>IF(IFERROR(VLOOKUP(A677,'14.鋼版樁'!C:D,1,0),"")="","","✔")</f>
        <v/>
      </c>
      <c r="P677" s="98" t="str">
        <f>IF(IFERROR(VLOOKUP(A677,'15.路床 路基高程'!C:D,1,0),"")="","","✔")</f>
        <v/>
      </c>
      <c r="Q677" s="98" t="str">
        <f>IF(IFERROR(VLOOKUP(A677,'16.瀝青混凝土'!C:D,1,0),"")="","","✔")</f>
        <v/>
      </c>
      <c r="R677" s="98" t="str">
        <f>IF(IFERROR(VLOOKUP(A677,'17.景觀鋪面(一)'!C:D,1,0),"")="","","✔")</f>
        <v/>
      </c>
      <c r="S677" s="98" t="str">
        <f>IF(IFERROR(VLOOKUP(A677,'18.景觀鋪面(二)'!C:D,1,0),"")="","","✔")</f>
        <v/>
      </c>
      <c r="T677" s="98" t="str">
        <f>IF(IFERROR(VLOOKUP(A677,'19.預鑄緣石'!C:D,1,0),"")="","","✔")</f>
        <v/>
      </c>
      <c r="U677" s="98" t="str">
        <f>IF(IFERROR(VLOOKUP(A677,'20.鋼構工程吊裝'!C:D,1,0),"")="","","✔")</f>
        <v/>
      </c>
      <c r="V677" s="98" t="str">
        <f>IF(IFERROR(VLOOKUP(A677,'21.鋼構工程塗裝'!C:D,1,0),"")="","","✔")</f>
        <v/>
      </c>
      <c r="W677" s="98" t="str">
        <f>IF(IFERROR(VLOOKUP(A677,'22.排水設施(一)'!C:D,1,0),"")="","","✔")</f>
        <v/>
      </c>
      <c r="X677" s="98" t="str">
        <f>IF(IFERROR(VLOOKUP(A677,'23.排水設施(二)'!C:D,1,0),"")="","","✔")</f>
        <v/>
      </c>
      <c r="Y677" s="98" t="str">
        <f>IF(IFERROR(VLOOKUP(A677,'24.木構造'!C:D,1,0),"")="","","✔")</f>
        <v/>
      </c>
      <c r="Z677" s="98" t="str">
        <f>IF(IFERROR(VLOOKUP(A677,'25.管路'!C:D,1,0),"")="","","✔")</f>
        <v/>
      </c>
      <c r="AA677" s="98" t="str">
        <f>IF(IFERROR(VLOOKUP(A677,'26.植栽(移植)'!C:D,1,0),"")="","","✔")</f>
        <v/>
      </c>
      <c r="AB677" s="98" t="str">
        <f>IF(IFERROR(VLOOKUP(A677,'27.植栽(新植)'!C:D,1,0),"")="","","✔")</f>
        <v/>
      </c>
      <c r="AC677" s="98" t="str">
        <f>IF(IFERROR(VLOOKUP(A677,'28.照明'!C:D,1,0),"")="","","✔")</f>
        <v/>
      </c>
      <c r="AD677" s="98" t="str">
        <f>IF(IFERROR(VLOOKUP(A677,'29.既有橋梁拆除'!C:D,1,0),"")="","","✔")</f>
        <v/>
      </c>
    </row>
    <row r="678" spans="1:30" ht="21.75" customHeight="1" x14ac:dyDescent="0.25">
      <c r="A678" s="99">
        <v>45868</v>
      </c>
      <c r="B678" s="98" t="str">
        <f>IF(IFERROR(VLOOKUP(A678,'1.測量放樣'!C:D,1,0),"")="","","✔")</f>
        <v/>
      </c>
      <c r="C678" s="98" t="str">
        <f>IF(IFERROR(VLOOKUP(A678,'2.土方開挖'!C:D,1,0),"")="","","✔")</f>
        <v/>
      </c>
      <c r="D678" s="98" t="str">
        <f>IF(IFERROR(VLOOKUP(A678,'3.土方回填'!C:D,1,0),"")="","","✔")</f>
        <v/>
      </c>
      <c r="E678" s="98" t="str">
        <f>IF(IFERROR(VLOOKUP(A678,'4.鋼筋'!C:D,1,0),"")="","","✔")</f>
        <v/>
      </c>
      <c r="F678" s="98" t="str">
        <f>IF(IFERROR(VLOOKUP(A678,'5.模板'!C:D,1,0),"")="","","✔")</f>
        <v/>
      </c>
      <c r="G678" s="98" t="str">
        <f>IF(IFERROR(VLOOKUP(A678,'6.混凝土'!C:D,1,0),"")="","","✔")</f>
        <v/>
      </c>
      <c r="H678" s="98" t="str">
        <f>IF(IFERROR(VLOOKUP(A678,'7.植筋'!C:D,1,0),"")="","","✔")</f>
        <v/>
      </c>
      <c r="I678" s="98" t="str">
        <f>IF(IFERROR(VLOOKUP(A678,'8.預力混凝土基樁'!C:D,1,0),"")="","","✔")</f>
        <v/>
      </c>
      <c r="J678" s="98" t="str">
        <f>IF(IFERROR(VLOOKUP(A678,'9.砌塊石護岸'!C:D,1,0),"")="","","✔")</f>
        <v/>
      </c>
      <c r="K678" s="98" t="str">
        <f>IF(IFERROR(VLOOKUP(A678,'10.低水護岸'!C:D,1,0),"")="","","✔")</f>
        <v/>
      </c>
      <c r="L678" s="98" t="str">
        <f>IF(IFERROR(VLOOKUP(A678,'11.固床工'!C:D,1,0),"")="","","✔")</f>
        <v/>
      </c>
      <c r="M678" s="98" t="str">
        <f>IF(IFERROR(VLOOKUP(A678,'12.全套管基樁'!C:D,1,0),"")="","","✔")</f>
        <v/>
      </c>
      <c r="N678" s="98" t="str">
        <f>IF(IFERROR(VLOOKUP(A678,'13.鋼筋混凝土管工程'!C:D,1,0),"")="","","✔")</f>
        <v/>
      </c>
      <c r="O678" s="98" t="str">
        <f>IF(IFERROR(VLOOKUP(A678,'14.鋼版樁'!C:D,1,0),"")="","","✔")</f>
        <v/>
      </c>
      <c r="P678" s="98" t="str">
        <f>IF(IFERROR(VLOOKUP(A678,'15.路床 路基高程'!C:D,1,0),"")="","","✔")</f>
        <v/>
      </c>
      <c r="Q678" s="98" t="str">
        <f>IF(IFERROR(VLOOKUP(A678,'16.瀝青混凝土'!C:D,1,0),"")="","","✔")</f>
        <v/>
      </c>
      <c r="R678" s="98" t="str">
        <f>IF(IFERROR(VLOOKUP(A678,'17.景觀鋪面(一)'!C:D,1,0),"")="","","✔")</f>
        <v/>
      </c>
      <c r="S678" s="98" t="str">
        <f>IF(IFERROR(VLOOKUP(A678,'18.景觀鋪面(二)'!C:D,1,0),"")="","","✔")</f>
        <v/>
      </c>
      <c r="T678" s="98" t="str">
        <f>IF(IFERROR(VLOOKUP(A678,'19.預鑄緣石'!C:D,1,0),"")="","","✔")</f>
        <v/>
      </c>
      <c r="U678" s="98" t="str">
        <f>IF(IFERROR(VLOOKUP(A678,'20.鋼構工程吊裝'!C:D,1,0),"")="","","✔")</f>
        <v/>
      </c>
      <c r="V678" s="98" t="str">
        <f>IF(IFERROR(VLOOKUP(A678,'21.鋼構工程塗裝'!C:D,1,0),"")="","","✔")</f>
        <v/>
      </c>
      <c r="W678" s="98" t="str">
        <f>IF(IFERROR(VLOOKUP(A678,'22.排水設施(一)'!C:D,1,0),"")="","","✔")</f>
        <v/>
      </c>
      <c r="X678" s="98" t="str">
        <f>IF(IFERROR(VLOOKUP(A678,'23.排水設施(二)'!C:D,1,0),"")="","","✔")</f>
        <v/>
      </c>
      <c r="Y678" s="98" t="str">
        <f>IF(IFERROR(VLOOKUP(A678,'24.木構造'!C:D,1,0),"")="","","✔")</f>
        <v/>
      </c>
      <c r="Z678" s="98" t="str">
        <f>IF(IFERROR(VLOOKUP(A678,'25.管路'!C:D,1,0),"")="","","✔")</f>
        <v/>
      </c>
      <c r="AA678" s="98" t="str">
        <f>IF(IFERROR(VLOOKUP(A678,'26.植栽(移植)'!C:D,1,0),"")="","","✔")</f>
        <v/>
      </c>
      <c r="AB678" s="98" t="str">
        <f>IF(IFERROR(VLOOKUP(A678,'27.植栽(新植)'!C:D,1,0),"")="","","✔")</f>
        <v/>
      </c>
      <c r="AC678" s="98" t="str">
        <f>IF(IFERROR(VLOOKUP(A678,'28.照明'!C:D,1,0),"")="","","✔")</f>
        <v/>
      </c>
      <c r="AD678" s="98" t="str">
        <f>IF(IFERROR(VLOOKUP(A678,'29.既有橋梁拆除'!C:D,1,0),"")="","","✔")</f>
        <v/>
      </c>
    </row>
    <row r="679" spans="1:30" ht="21.75" customHeight="1" x14ac:dyDescent="0.25">
      <c r="A679" s="99">
        <v>45869</v>
      </c>
      <c r="B679" s="98" t="str">
        <f>IF(IFERROR(VLOOKUP(A679,'1.測量放樣'!C:D,1,0),"")="","","✔")</f>
        <v/>
      </c>
      <c r="C679" s="98" t="str">
        <f>IF(IFERROR(VLOOKUP(A679,'2.土方開挖'!C:D,1,0),"")="","","✔")</f>
        <v/>
      </c>
      <c r="D679" s="98" t="str">
        <f>IF(IFERROR(VLOOKUP(A679,'3.土方回填'!C:D,1,0),"")="","","✔")</f>
        <v/>
      </c>
      <c r="E679" s="98" t="str">
        <f>IF(IFERROR(VLOOKUP(A679,'4.鋼筋'!C:D,1,0),"")="","","✔")</f>
        <v/>
      </c>
      <c r="F679" s="98" t="str">
        <f>IF(IFERROR(VLOOKUP(A679,'5.模板'!C:D,1,0),"")="","","✔")</f>
        <v/>
      </c>
      <c r="G679" s="98" t="str">
        <f>IF(IFERROR(VLOOKUP(A679,'6.混凝土'!C:D,1,0),"")="","","✔")</f>
        <v/>
      </c>
      <c r="H679" s="98" t="str">
        <f>IF(IFERROR(VLOOKUP(A679,'7.植筋'!C:D,1,0),"")="","","✔")</f>
        <v/>
      </c>
      <c r="I679" s="98" t="str">
        <f>IF(IFERROR(VLOOKUP(A679,'8.預力混凝土基樁'!C:D,1,0),"")="","","✔")</f>
        <v/>
      </c>
      <c r="J679" s="98" t="str">
        <f>IF(IFERROR(VLOOKUP(A679,'9.砌塊石護岸'!C:D,1,0),"")="","","✔")</f>
        <v/>
      </c>
      <c r="K679" s="98" t="str">
        <f>IF(IFERROR(VLOOKUP(A679,'10.低水護岸'!C:D,1,0),"")="","","✔")</f>
        <v/>
      </c>
      <c r="L679" s="98" t="str">
        <f>IF(IFERROR(VLOOKUP(A679,'11.固床工'!C:D,1,0),"")="","","✔")</f>
        <v/>
      </c>
      <c r="M679" s="98" t="str">
        <f>IF(IFERROR(VLOOKUP(A679,'12.全套管基樁'!C:D,1,0),"")="","","✔")</f>
        <v/>
      </c>
      <c r="N679" s="98" t="str">
        <f>IF(IFERROR(VLOOKUP(A679,'13.鋼筋混凝土管工程'!C:D,1,0),"")="","","✔")</f>
        <v/>
      </c>
      <c r="O679" s="98" t="str">
        <f>IF(IFERROR(VLOOKUP(A679,'14.鋼版樁'!C:D,1,0),"")="","","✔")</f>
        <v/>
      </c>
      <c r="P679" s="98" t="str">
        <f>IF(IFERROR(VLOOKUP(A679,'15.路床 路基高程'!C:D,1,0),"")="","","✔")</f>
        <v/>
      </c>
      <c r="Q679" s="98" t="str">
        <f>IF(IFERROR(VLOOKUP(A679,'16.瀝青混凝土'!C:D,1,0),"")="","","✔")</f>
        <v/>
      </c>
      <c r="R679" s="98" t="str">
        <f>IF(IFERROR(VLOOKUP(A679,'17.景觀鋪面(一)'!C:D,1,0),"")="","","✔")</f>
        <v/>
      </c>
      <c r="S679" s="98" t="str">
        <f>IF(IFERROR(VLOOKUP(A679,'18.景觀鋪面(二)'!C:D,1,0),"")="","","✔")</f>
        <v/>
      </c>
      <c r="T679" s="98" t="str">
        <f>IF(IFERROR(VLOOKUP(A679,'19.預鑄緣石'!C:D,1,0),"")="","","✔")</f>
        <v/>
      </c>
      <c r="U679" s="98" t="str">
        <f>IF(IFERROR(VLOOKUP(A679,'20.鋼構工程吊裝'!C:D,1,0),"")="","","✔")</f>
        <v/>
      </c>
      <c r="V679" s="98" t="str">
        <f>IF(IFERROR(VLOOKUP(A679,'21.鋼構工程塗裝'!C:D,1,0),"")="","","✔")</f>
        <v/>
      </c>
      <c r="W679" s="98" t="str">
        <f>IF(IFERROR(VLOOKUP(A679,'22.排水設施(一)'!C:D,1,0),"")="","","✔")</f>
        <v/>
      </c>
      <c r="X679" s="98" t="str">
        <f>IF(IFERROR(VLOOKUP(A679,'23.排水設施(二)'!C:D,1,0),"")="","","✔")</f>
        <v/>
      </c>
      <c r="Y679" s="98" t="str">
        <f>IF(IFERROR(VLOOKUP(A679,'24.木構造'!C:D,1,0),"")="","","✔")</f>
        <v/>
      </c>
      <c r="Z679" s="98" t="str">
        <f>IF(IFERROR(VLOOKUP(A679,'25.管路'!C:D,1,0),"")="","","✔")</f>
        <v/>
      </c>
      <c r="AA679" s="98" t="str">
        <f>IF(IFERROR(VLOOKUP(A679,'26.植栽(移植)'!C:D,1,0),"")="","","✔")</f>
        <v/>
      </c>
      <c r="AB679" s="98" t="str">
        <f>IF(IFERROR(VLOOKUP(A679,'27.植栽(新植)'!C:D,1,0),"")="","","✔")</f>
        <v/>
      </c>
      <c r="AC679" s="98" t="str">
        <f>IF(IFERROR(VLOOKUP(A679,'28.照明'!C:D,1,0),"")="","","✔")</f>
        <v/>
      </c>
      <c r="AD679" s="98" t="str">
        <f>IF(IFERROR(VLOOKUP(A679,'29.既有橋梁拆除'!C:D,1,0),"")="","","✔")</f>
        <v/>
      </c>
    </row>
    <row r="680" spans="1:30" ht="21.75" customHeight="1" x14ac:dyDescent="0.25">
      <c r="A680" s="99">
        <v>45870</v>
      </c>
      <c r="B680" s="98" t="str">
        <f>IF(IFERROR(VLOOKUP(A680,'1.測量放樣'!C:D,1,0),"")="","","✔")</f>
        <v/>
      </c>
      <c r="C680" s="98" t="str">
        <f>IF(IFERROR(VLOOKUP(A680,'2.土方開挖'!C:D,1,0),"")="","","✔")</f>
        <v/>
      </c>
      <c r="D680" s="98" t="str">
        <f>IF(IFERROR(VLOOKUP(A680,'3.土方回填'!C:D,1,0),"")="","","✔")</f>
        <v/>
      </c>
      <c r="E680" s="98" t="str">
        <f>IF(IFERROR(VLOOKUP(A680,'4.鋼筋'!C:D,1,0),"")="","","✔")</f>
        <v/>
      </c>
      <c r="F680" s="98" t="str">
        <f>IF(IFERROR(VLOOKUP(A680,'5.模板'!C:D,1,0),"")="","","✔")</f>
        <v/>
      </c>
      <c r="G680" s="98" t="str">
        <f>IF(IFERROR(VLOOKUP(A680,'6.混凝土'!C:D,1,0),"")="","","✔")</f>
        <v/>
      </c>
      <c r="H680" s="98" t="str">
        <f>IF(IFERROR(VLOOKUP(A680,'7.植筋'!C:D,1,0),"")="","","✔")</f>
        <v/>
      </c>
      <c r="I680" s="98" t="str">
        <f>IF(IFERROR(VLOOKUP(A680,'8.預力混凝土基樁'!C:D,1,0),"")="","","✔")</f>
        <v/>
      </c>
      <c r="J680" s="98" t="str">
        <f>IF(IFERROR(VLOOKUP(A680,'9.砌塊石護岸'!C:D,1,0),"")="","","✔")</f>
        <v/>
      </c>
      <c r="K680" s="98" t="str">
        <f>IF(IFERROR(VLOOKUP(A680,'10.低水護岸'!C:D,1,0),"")="","","✔")</f>
        <v/>
      </c>
      <c r="L680" s="98" t="str">
        <f>IF(IFERROR(VLOOKUP(A680,'11.固床工'!C:D,1,0),"")="","","✔")</f>
        <v/>
      </c>
      <c r="M680" s="98" t="str">
        <f>IF(IFERROR(VLOOKUP(A680,'12.全套管基樁'!C:D,1,0),"")="","","✔")</f>
        <v/>
      </c>
      <c r="N680" s="98" t="str">
        <f>IF(IFERROR(VLOOKUP(A680,'13.鋼筋混凝土管工程'!C:D,1,0),"")="","","✔")</f>
        <v/>
      </c>
      <c r="O680" s="98" t="str">
        <f>IF(IFERROR(VLOOKUP(A680,'14.鋼版樁'!C:D,1,0),"")="","","✔")</f>
        <v/>
      </c>
      <c r="P680" s="98" t="str">
        <f>IF(IFERROR(VLOOKUP(A680,'15.路床 路基高程'!C:D,1,0),"")="","","✔")</f>
        <v/>
      </c>
      <c r="Q680" s="98" t="str">
        <f>IF(IFERROR(VLOOKUP(A680,'16.瀝青混凝土'!C:D,1,0),"")="","","✔")</f>
        <v/>
      </c>
      <c r="R680" s="98" t="str">
        <f>IF(IFERROR(VLOOKUP(A680,'17.景觀鋪面(一)'!C:D,1,0),"")="","","✔")</f>
        <v/>
      </c>
      <c r="S680" s="98" t="str">
        <f>IF(IFERROR(VLOOKUP(A680,'18.景觀鋪面(二)'!C:D,1,0),"")="","","✔")</f>
        <v/>
      </c>
      <c r="T680" s="98" t="str">
        <f>IF(IFERROR(VLOOKUP(A680,'19.預鑄緣石'!C:D,1,0),"")="","","✔")</f>
        <v/>
      </c>
      <c r="U680" s="98" t="str">
        <f>IF(IFERROR(VLOOKUP(A680,'20.鋼構工程吊裝'!C:D,1,0),"")="","","✔")</f>
        <v/>
      </c>
      <c r="V680" s="98" t="str">
        <f>IF(IFERROR(VLOOKUP(A680,'21.鋼構工程塗裝'!C:D,1,0),"")="","","✔")</f>
        <v/>
      </c>
      <c r="W680" s="98" t="str">
        <f>IF(IFERROR(VLOOKUP(A680,'22.排水設施(一)'!C:D,1,0),"")="","","✔")</f>
        <v/>
      </c>
      <c r="X680" s="98" t="str">
        <f>IF(IFERROR(VLOOKUP(A680,'23.排水設施(二)'!C:D,1,0),"")="","","✔")</f>
        <v/>
      </c>
      <c r="Y680" s="98" t="str">
        <f>IF(IFERROR(VLOOKUP(A680,'24.木構造'!C:D,1,0),"")="","","✔")</f>
        <v/>
      </c>
      <c r="Z680" s="98" t="str">
        <f>IF(IFERROR(VLOOKUP(A680,'25.管路'!C:D,1,0),"")="","","✔")</f>
        <v/>
      </c>
      <c r="AA680" s="98" t="str">
        <f>IF(IFERROR(VLOOKUP(A680,'26.植栽(移植)'!C:D,1,0),"")="","","✔")</f>
        <v/>
      </c>
      <c r="AB680" s="98" t="str">
        <f>IF(IFERROR(VLOOKUP(A680,'27.植栽(新植)'!C:D,1,0),"")="","","✔")</f>
        <v/>
      </c>
      <c r="AC680" s="98" t="str">
        <f>IF(IFERROR(VLOOKUP(A680,'28.照明'!C:D,1,0),"")="","","✔")</f>
        <v/>
      </c>
      <c r="AD680" s="98" t="str">
        <f>IF(IFERROR(VLOOKUP(A680,'29.既有橋梁拆除'!C:D,1,0),"")="","","✔")</f>
        <v/>
      </c>
    </row>
    <row r="681" spans="1:30" ht="21.75" customHeight="1" x14ac:dyDescent="0.25">
      <c r="A681" s="99">
        <v>45871</v>
      </c>
      <c r="B681" s="98" t="str">
        <f>IF(IFERROR(VLOOKUP(A681,'1.測量放樣'!C:D,1,0),"")="","","✔")</f>
        <v/>
      </c>
      <c r="C681" s="98" t="str">
        <f>IF(IFERROR(VLOOKUP(A681,'2.土方開挖'!C:D,1,0),"")="","","✔")</f>
        <v/>
      </c>
      <c r="D681" s="98" t="str">
        <f>IF(IFERROR(VLOOKUP(A681,'3.土方回填'!C:D,1,0),"")="","","✔")</f>
        <v/>
      </c>
      <c r="E681" s="98" t="str">
        <f>IF(IFERROR(VLOOKUP(A681,'4.鋼筋'!C:D,1,0),"")="","","✔")</f>
        <v/>
      </c>
      <c r="F681" s="98" t="str">
        <f>IF(IFERROR(VLOOKUP(A681,'5.模板'!C:D,1,0),"")="","","✔")</f>
        <v/>
      </c>
      <c r="G681" s="98" t="str">
        <f>IF(IFERROR(VLOOKUP(A681,'6.混凝土'!C:D,1,0),"")="","","✔")</f>
        <v/>
      </c>
      <c r="H681" s="98" t="str">
        <f>IF(IFERROR(VLOOKUP(A681,'7.植筋'!C:D,1,0),"")="","","✔")</f>
        <v/>
      </c>
      <c r="I681" s="98" t="str">
        <f>IF(IFERROR(VLOOKUP(A681,'8.預力混凝土基樁'!C:D,1,0),"")="","","✔")</f>
        <v/>
      </c>
      <c r="J681" s="98" t="str">
        <f>IF(IFERROR(VLOOKUP(A681,'9.砌塊石護岸'!C:D,1,0),"")="","","✔")</f>
        <v/>
      </c>
      <c r="K681" s="98" t="str">
        <f>IF(IFERROR(VLOOKUP(A681,'10.低水護岸'!C:D,1,0),"")="","","✔")</f>
        <v/>
      </c>
      <c r="L681" s="98" t="str">
        <f>IF(IFERROR(VLOOKUP(A681,'11.固床工'!C:D,1,0),"")="","","✔")</f>
        <v/>
      </c>
      <c r="M681" s="98" t="str">
        <f>IF(IFERROR(VLOOKUP(A681,'12.全套管基樁'!C:D,1,0),"")="","","✔")</f>
        <v/>
      </c>
      <c r="N681" s="98" t="str">
        <f>IF(IFERROR(VLOOKUP(A681,'13.鋼筋混凝土管工程'!C:D,1,0),"")="","","✔")</f>
        <v/>
      </c>
      <c r="O681" s="98" t="str">
        <f>IF(IFERROR(VLOOKUP(A681,'14.鋼版樁'!C:D,1,0),"")="","","✔")</f>
        <v/>
      </c>
      <c r="P681" s="98" t="str">
        <f>IF(IFERROR(VLOOKUP(A681,'15.路床 路基高程'!C:D,1,0),"")="","","✔")</f>
        <v/>
      </c>
      <c r="Q681" s="98" t="str">
        <f>IF(IFERROR(VLOOKUP(A681,'16.瀝青混凝土'!C:D,1,0),"")="","","✔")</f>
        <v/>
      </c>
      <c r="R681" s="98" t="str">
        <f>IF(IFERROR(VLOOKUP(A681,'17.景觀鋪面(一)'!C:D,1,0),"")="","","✔")</f>
        <v/>
      </c>
      <c r="S681" s="98" t="str">
        <f>IF(IFERROR(VLOOKUP(A681,'18.景觀鋪面(二)'!C:D,1,0),"")="","","✔")</f>
        <v/>
      </c>
      <c r="T681" s="98" t="str">
        <f>IF(IFERROR(VLOOKUP(A681,'19.預鑄緣石'!C:D,1,0),"")="","","✔")</f>
        <v/>
      </c>
      <c r="U681" s="98" t="str">
        <f>IF(IFERROR(VLOOKUP(A681,'20.鋼構工程吊裝'!C:D,1,0),"")="","","✔")</f>
        <v/>
      </c>
      <c r="V681" s="98" t="str">
        <f>IF(IFERROR(VLOOKUP(A681,'21.鋼構工程塗裝'!C:D,1,0),"")="","","✔")</f>
        <v/>
      </c>
      <c r="W681" s="98" t="str">
        <f>IF(IFERROR(VLOOKUP(A681,'22.排水設施(一)'!C:D,1,0),"")="","","✔")</f>
        <v/>
      </c>
      <c r="X681" s="98" t="str">
        <f>IF(IFERROR(VLOOKUP(A681,'23.排水設施(二)'!C:D,1,0),"")="","","✔")</f>
        <v/>
      </c>
      <c r="Y681" s="98" t="str">
        <f>IF(IFERROR(VLOOKUP(A681,'24.木構造'!C:D,1,0),"")="","","✔")</f>
        <v/>
      </c>
      <c r="Z681" s="98" t="str">
        <f>IF(IFERROR(VLOOKUP(A681,'25.管路'!C:D,1,0),"")="","","✔")</f>
        <v/>
      </c>
      <c r="AA681" s="98" t="str">
        <f>IF(IFERROR(VLOOKUP(A681,'26.植栽(移植)'!C:D,1,0),"")="","","✔")</f>
        <v/>
      </c>
      <c r="AB681" s="98" t="str">
        <f>IF(IFERROR(VLOOKUP(A681,'27.植栽(新植)'!C:D,1,0),"")="","","✔")</f>
        <v/>
      </c>
      <c r="AC681" s="98" t="str">
        <f>IF(IFERROR(VLOOKUP(A681,'28.照明'!C:D,1,0),"")="","","✔")</f>
        <v/>
      </c>
      <c r="AD681" s="98" t="str">
        <f>IF(IFERROR(VLOOKUP(A681,'29.既有橋梁拆除'!C:D,1,0),"")="","","✔")</f>
        <v/>
      </c>
    </row>
    <row r="682" spans="1:30" ht="21.75" customHeight="1" x14ac:dyDescent="0.25">
      <c r="A682" s="99">
        <v>45872</v>
      </c>
      <c r="B682" s="98" t="str">
        <f>IF(IFERROR(VLOOKUP(A682,'1.測量放樣'!C:D,1,0),"")="","","✔")</f>
        <v/>
      </c>
      <c r="C682" s="98" t="str">
        <f>IF(IFERROR(VLOOKUP(A682,'2.土方開挖'!C:D,1,0),"")="","","✔")</f>
        <v/>
      </c>
      <c r="D682" s="98" t="str">
        <f>IF(IFERROR(VLOOKUP(A682,'3.土方回填'!C:D,1,0),"")="","","✔")</f>
        <v/>
      </c>
      <c r="E682" s="98" t="str">
        <f>IF(IFERROR(VLOOKUP(A682,'4.鋼筋'!C:D,1,0),"")="","","✔")</f>
        <v/>
      </c>
      <c r="F682" s="98" t="str">
        <f>IF(IFERROR(VLOOKUP(A682,'5.模板'!C:D,1,0),"")="","","✔")</f>
        <v/>
      </c>
      <c r="G682" s="98" t="str">
        <f>IF(IFERROR(VLOOKUP(A682,'6.混凝土'!C:D,1,0),"")="","","✔")</f>
        <v/>
      </c>
      <c r="H682" s="98" t="str">
        <f>IF(IFERROR(VLOOKUP(A682,'7.植筋'!C:D,1,0),"")="","","✔")</f>
        <v/>
      </c>
      <c r="I682" s="98" t="str">
        <f>IF(IFERROR(VLOOKUP(A682,'8.預力混凝土基樁'!C:D,1,0),"")="","","✔")</f>
        <v/>
      </c>
      <c r="J682" s="98" t="str">
        <f>IF(IFERROR(VLOOKUP(A682,'9.砌塊石護岸'!C:D,1,0),"")="","","✔")</f>
        <v/>
      </c>
      <c r="K682" s="98" t="str">
        <f>IF(IFERROR(VLOOKUP(A682,'10.低水護岸'!C:D,1,0),"")="","","✔")</f>
        <v/>
      </c>
      <c r="L682" s="98" t="str">
        <f>IF(IFERROR(VLOOKUP(A682,'11.固床工'!C:D,1,0),"")="","","✔")</f>
        <v/>
      </c>
      <c r="M682" s="98" t="str">
        <f>IF(IFERROR(VLOOKUP(A682,'12.全套管基樁'!C:D,1,0),"")="","","✔")</f>
        <v/>
      </c>
      <c r="N682" s="98" t="str">
        <f>IF(IFERROR(VLOOKUP(A682,'13.鋼筋混凝土管工程'!C:D,1,0),"")="","","✔")</f>
        <v/>
      </c>
      <c r="O682" s="98" t="str">
        <f>IF(IFERROR(VLOOKUP(A682,'14.鋼版樁'!C:D,1,0),"")="","","✔")</f>
        <v/>
      </c>
      <c r="P682" s="98" t="str">
        <f>IF(IFERROR(VLOOKUP(A682,'15.路床 路基高程'!C:D,1,0),"")="","","✔")</f>
        <v/>
      </c>
      <c r="Q682" s="98" t="str">
        <f>IF(IFERROR(VLOOKUP(A682,'16.瀝青混凝土'!C:D,1,0),"")="","","✔")</f>
        <v/>
      </c>
      <c r="R682" s="98" t="str">
        <f>IF(IFERROR(VLOOKUP(A682,'17.景觀鋪面(一)'!C:D,1,0),"")="","","✔")</f>
        <v/>
      </c>
      <c r="S682" s="98" t="str">
        <f>IF(IFERROR(VLOOKUP(A682,'18.景觀鋪面(二)'!C:D,1,0),"")="","","✔")</f>
        <v/>
      </c>
      <c r="T682" s="98" t="str">
        <f>IF(IFERROR(VLOOKUP(A682,'19.預鑄緣石'!C:D,1,0),"")="","","✔")</f>
        <v/>
      </c>
      <c r="U682" s="98" t="str">
        <f>IF(IFERROR(VLOOKUP(A682,'20.鋼構工程吊裝'!C:D,1,0),"")="","","✔")</f>
        <v/>
      </c>
      <c r="V682" s="98" t="str">
        <f>IF(IFERROR(VLOOKUP(A682,'21.鋼構工程塗裝'!C:D,1,0),"")="","","✔")</f>
        <v/>
      </c>
      <c r="W682" s="98" t="str">
        <f>IF(IFERROR(VLOOKUP(A682,'22.排水設施(一)'!C:D,1,0),"")="","","✔")</f>
        <v/>
      </c>
      <c r="X682" s="98" t="str">
        <f>IF(IFERROR(VLOOKUP(A682,'23.排水設施(二)'!C:D,1,0),"")="","","✔")</f>
        <v/>
      </c>
      <c r="Y682" s="98" t="str">
        <f>IF(IFERROR(VLOOKUP(A682,'24.木構造'!C:D,1,0),"")="","","✔")</f>
        <v/>
      </c>
      <c r="Z682" s="98" t="str">
        <f>IF(IFERROR(VLOOKUP(A682,'25.管路'!C:D,1,0),"")="","","✔")</f>
        <v/>
      </c>
      <c r="AA682" s="98" t="str">
        <f>IF(IFERROR(VLOOKUP(A682,'26.植栽(移植)'!C:D,1,0),"")="","","✔")</f>
        <v/>
      </c>
      <c r="AB682" s="98" t="str">
        <f>IF(IFERROR(VLOOKUP(A682,'27.植栽(新植)'!C:D,1,0),"")="","","✔")</f>
        <v/>
      </c>
      <c r="AC682" s="98" t="str">
        <f>IF(IFERROR(VLOOKUP(A682,'28.照明'!C:D,1,0),"")="","","✔")</f>
        <v/>
      </c>
      <c r="AD682" s="98" t="str">
        <f>IF(IFERROR(VLOOKUP(A682,'29.既有橋梁拆除'!C:D,1,0),"")="","","✔")</f>
        <v/>
      </c>
    </row>
    <row r="683" spans="1:30" ht="21.75" customHeight="1" x14ac:dyDescent="0.25">
      <c r="A683" s="99">
        <v>45873</v>
      </c>
      <c r="B683" s="98" t="str">
        <f>IF(IFERROR(VLOOKUP(A683,'1.測量放樣'!C:D,1,0),"")="","","✔")</f>
        <v/>
      </c>
      <c r="C683" s="98" t="str">
        <f>IF(IFERROR(VLOOKUP(A683,'2.土方開挖'!C:D,1,0),"")="","","✔")</f>
        <v/>
      </c>
      <c r="D683" s="98" t="str">
        <f>IF(IFERROR(VLOOKUP(A683,'3.土方回填'!C:D,1,0),"")="","","✔")</f>
        <v/>
      </c>
      <c r="E683" s="98" t="str">
        <f>IF(IFERROR(VLOOKUP(A683,'4.鋼筋'!C:D,1,0),"")="","","✔")</f>
        <v/>
      </c>
      <c r="F683" s="98" t="str">
        <f>IF(IFERROR(VLOOKUP(A683,'5.模板'!C:D,1,0),"")="","","✔")</f>
        <v/>
      </c>
      <c r="G683" s="98" t="str">
        <f>IF(IFERROR(VLOOKUP(A683,'6.混凝土'!C:D,1,0),"")="","","✔")</f>
        <v/>
      </c>
      <c r="H683" s="98" t="str">
        <f>IF(IFERROR(VLOOKUP(A683,'7.植筋'!C:D,1,0),"")="","","✔")</f>
        <v/>
      </c>
      <c r="I683" s="98" t="str">
        <f>IF(IFERROR(VLOOKUP(A683,'8.預力混凝土基樁'!C:D,1,0),"")="","","✔")</f>
        <v/>
      </c>
      <c r="J683" s="98" t="str">
        <f>IF(IFERROR(VLOOKUP(A683,'9.砌塊石護岸'!C:D,1,0),"")="","","✔")</f>
        <v/>
      </c>
      <c r="K683" s="98" t="str">
        <f>IF(IFERROR(VLOOKUP(A683,'10.低水護岸'!C:D,1,0),"")="","","✔")</f>
        <v/>
      </c>
      <c r="L683" s="98" t="str">
        <f>IF(IFERROR(VLOOKUP(A683,'11.固床工'!C:D,1,0),"")="","","✔")</f>
        <v/>
      </c>
      <c r="M683" s="98" t="str">
        <f>IF(IFERROR(VLOOKUP(A683,'12.全套管基樁'!C:D,1,0),"")="","","✔")</f>
        <v/>
      </c>
      <c r="N683" s="98" t="str">
        <f>IF(IFERROR(VLOOKUP(A683,'13.鋼筋混凝土管工程'!C:D,1,0),"")="","","✔")</f>
        <v/>
      </c>
      <c r="O683" s="98" t="str">
        <f>IF(IFERROR(VLOOKUP(A683,'14.鋼版樁'!C:D,1,0),"")="","","✔")</f>
        <v/>
      </c>
      <c r="P683" s="98" t="str">
        <f>IF(IFERROR(VLOOKUP(A683,'15.路床 路基高程'!C:D,1,0),"")="","","✔")</f>
        <v/>
      </c>
      <c r="Q683" s="98" t="str">
        <f>IF(IFERROR(VLOOKUP(A683,'16.瀝青混凝土'!C:D,1,0),"")="","","✔")</f>
        <v/>
      </c>
      <c r="R683" s="98" t="str">
        <f>IF(IFERROR(VLOOKUP(A683,'17.景觀鋪面(一)'!C:D,1,0),"")="","","✔")</f>
        <v/>
      </c>
      <c r="S683" s="98" t="str">
        <f>IF(IFERROR(VLOOKUP(A683,'18.景觀鋪面(二)'!C:D,1,0),"")="","","✔")</f>
        <v/>
      </c>
      <c r="T683" s="98" t="str">
        <f>IF(IFERROR(VLOOKUP(A683,'19.預鑄緣石'!C:D,1,0),"")="","","✔")</f>
        <v/>
      </c>
      <c r="U683" s="98" t="str">
        <f>IF(IFERROR(VLOOKUP(A683,'20.鋼構工程吊裝'!C:D,1,0),"")="","","✔")</f>
        <v/>
      </c>
      <c r="V683" s="98" t="str">
        <f>IF(IFERROR(VLOOKUP(A683,'21.鋼構工程塗裝'!C:D,1,0),"")="","","✔")</f>
        <v/>
      </c>
      <c r="W683" s="98" t="str">
        <f>IF(IFERROR(VLOOKUP(A683,'22.排水設施(一)'!C:D,1,0),"")="","","✔")</f>
        <v/>
      </c>
      <c r="X683" s="98" t="str">
        <f>IF(IFERROR(VLOOKUP(A683,'23.排水設施(二)'!C:D,1,0),"")="","","✔")</f>
        <v/>
      </c>
      <c r="Y683" s="98" t="str">
        <f>IF(IFERROR(VLOOKUP(A683,'24.木構造'!C:D,1,0),"")="","","✔")</f>
        <v/>
      </c>
      <c r="Z683" s="98" t="str">
        <f>IF(IFERROR(VLOOKUP(A683,'25.管路'!C:D,1,0),"")="","","✔")</f>
        <v/>
      </c>
      <c r="AA683" s="98" t="str">
        <f>IF(IFERROR(VLOOKUP(A683,'26.植栽(移植)'!C:D,1,0),"")="","","✔")</f>
        <v/>
      </c>
      <c r="AB683" s="98" t="str">
        <f>IF(IFERROR(VLOOKUP(A683,'27.植栽(新植)'!C:D,1,0),"")="","","✔")</f>
        <v/>
      </c>
      <c r="AC683" s="98" t="str">
        <f>IF(IFERROR(VLOOKUP(A683,'28.照明'!C:D,1,0),"")="","","✔")</f>
        <v/>
      </c>
      <c r="AD683" s="98" t="str">
        <f>IF(IFERROR(VLOOKUP(A683,'29.既有橋梁拆除'!C:D,1,0),"")="","","✔")</f>
        <v/>
      </c>
    </row>
    <row r="684" spans="1:30" ht="21.75" customHeight="1" x14ac:dyDescent="0.25">
      <c r="A684" s="99">
        <v>45874</v>
      </c>
      <c r="B684" s="98" t="str">
        <f>IF(IFERROR(VLOOKUP(A684,'1.測量放樣'!C:D,1,0),"")="","","✔")</f>
        <v/>
      </c>
      <c r="C684" s="98" t="str">
        <f>IF(IFERROR(VLOOKUP(A684,'2.土方開挖'!C:D,1,0),"")="","","✔")</f>
        <v/>
      </c>
      <c r="D684" s="98" t="str">
        <f>IF(IFERROR(VLOOKUP(A684,'3.土方回填'!C:D,1,0),"")="","","✔")</f>
        <v/>
      </c>
      <c r="E684" s="98" t="str">
        <f>IF(IFERROR(VLOOKUP(A684,'4.鋼筋'!C:D,1,0),"")="","","✔")</f>
        <v/>
      </c>
      <c r="F684" s="98" t="str">
        <f>IF(IFERROR(VLOOKUP(A684,'5.模板'!C:D,1,0),"")="","","✔")</f>
        <v/>
      </c>
      <c r="G684" s="98" t="str">
        <f>IF(IFERROR(VLOOKUP(A684,'6.混凝土'!C:D,1,0),"")="","","✔")</f>
        <v/>
      </c>
      <c r="H684" s="98" t="str">
        <f>IF(IFERROR(VLOOKUP(A684,'7.植筋'!C:D,1,0),"")="","","✔")</f>
        <v/>
      </c>
      <c r="I684" s="98" t="str">
        <f>IF(IFERROR(VLOOKUP(A684,'8.預力混凝土基樁'!C:D,1,0),"")="","","✔")</f>
        <v/>
      </c>
      <c r="J684" s="98" t="str">
        <f>IF(IFERROR(VLOOKUP(A684,'9.砌塊石護岸'!C:D,1,0),"")="","","✔")</f>
        <v/>
      </c>
      <c r="K684" s="98" t="str">
        <f>IF(IFERROR(VLOOKUP(A684,'10.低水護岸'!C:D,1,0),"")="","","✔")</f>
        <v/>
      </c>
      <c r="L684" s="98" t="str">
        <f>IF(IFERROR(VLOOKUP(A684,'11.固床工'!C:D,1,0),"")="","","✔")</f>
        <v/>
      </c>
      <c r="M684" s="98" t="str">
        <f>IF(IFERROR(VLOOKUP(A684,'12.全套管基樁'!C:D,1,0),"")="","","✔")</f>
        <v/>
      </c>
      <c r="N684" s="98" t="str">
        <f>IF(IFERROR(VLOOKUP(A684,'13.鋼筋混凝土管工程'!C:D,1,0),"")="","","✔")</f>
        <v/>
      </c>
      <c r="O684" s="98" t="str">
        <f>IF(IFERROR(VLOOKUP(A684,'14.鋼版樁'!C:D,1,0),"")="","","✔")</f>
        <v/>
      </c>
      <c r="P684" s="98" t="str">
        <f>IF(IFERROR(VLOOKUP(A684,'15.路床 路基高程'!C:D,1,0),"")="","","✔")</f>
        <v/>
      </c>
      <c r="Q684" s="98" t="str">
        <f>IF(IFERROR(VLOOKUP(A684,'16.瀝青混凝土'!C:D,1,0),"")="","","✔")</f>
        <v/>
      </c>
      <c r="R684" s="98" t="str">
        <f>IF(IFERROR(VLOOKUP(A684,'17.景觀鋪面(一)'!C:D,1,0),"")="","","✔")</f>
        <v/>
      </c>
      <c r="S684" s="98" t="str">
        <f>IF(IFERROR(VLOOKUP(A684,'18.景觀鋪面(二)'!C:D,1,0),"")="","","✔")</f>
        <v/>
      </c>
      <c r="T684" s="98" t="str">
        <f>IF(IFERROR(VLOOKUP(A684,'19.預鑄緣石'!C:D,1,0),"")="","","✔")</f>
        <v/>
      </c>
      <c r="U684" s="98" t="str">
        <f>IF(IFERROR(VLOOKUP(A684,'20.鋼構工程吊裝'!C:D,1,0),"")="","","✔")</f>
        <v/>
      </c>
      <c r="V684" s="98" t="str">
        <f>IF(IFERROR(VLOOKUP(A684,'21.鋼構工程塗裝'!C:D,1,0),"")="","","✔")</f>
        <v/>
      </c>
      <c r="W684" s="98" t="str">
        <f>IF(IFERROR(VLOOKUP(A684,'22.排水設施(一)'!C:D,1,0),"")="","","✔")</f>
        <v/>
      </c>
      <c r="X684" s="98" t="str">
        <f>IF(IFERROR(VLOOKUP(A684,'23.排水設施(二)'!C:D,1,0),"")="","","✔")</f>
        <v/>
      </c>
      <c r="Y684" s="98" t="str">
        <f>IF(IFERROR(VLOOKUP(A684,'24.木構造'!C:D,1,0),"")="","","✔")</f>
        <v/>
      </c>
      <c r="Z684" s="98" t="str">
        <f>IF(IFERROR(VLOOKUP(A684,'25.管路'!C:D,1,0),"")="","","✔")</f>
        <v/>
      </c>
      <c r="AA684" s="98" t="str">
        <f>IF(IFERROR(VLOOKUP(A684,'26.植栽(移植)'!C:D,1,0),"")="","","✔")</f>
        <v/>
      </c>
      <c r="AB684" s="98" t="str">
        <f>IF(IFERROR(VLOOKUP(A684,'27.植栽(新植)'!C:D,1,0),"")="","","✔")</f>
        <v/>
      </c>
      <c r="AC684" s="98" t="str">
        <f>IF(IFERROR(VLOOKUP(A684,'28.照明'!C:D,1,0),"")="","","✔")</f>
        <v/>
      </c>
      <c r="AD684" s="98" t="str">
        <f>IF(IFERROR(VLOOKUP(A684,'29.既有橋梁拆除'!C:D,1,0),"")="","","✔")</f>
        <v/>
      </c>
    </row>
    <row r="685" spans="1:30" ht="21.75" customHeight="1" x14ac:dyDescent="0.25">
      <c r="A685" s="99">
        <v>45875</v>
      </c>
      <c r="B685" s="98" t="str">
        <f>IF(IFERROR(VLOOKUP(A685,'1.測量放樣'!C:D,1,0),"")="","","✔")</f>
        <v/>
      </c>
      <c r="C685" s="98" t="str">
        <f>IF(IFERROR(VLOOKUP(A685,'2.土方開挖'!C:D,1,0),"")="","","✔")</f>
        <v/>
      </c>
      <c r="D685" s="98" t="str">
        <f>IF(IFERROR(VLOOKUP(A685,'3.土方回填'!C:D,1,0),"")="","","✔")</f>
        <v/>
      </c>
      <c r="E685" s="98" t="str">
        <f>IF(IFERROR(VLOOKUP(A685,'4.鋼筋'!C:D,1,0),"")="","","✔")</f>
        <v/>
      </c>
      <c r="F685" s="98" t="str">
        <f>IF(IFERROR(VLOOKUP(A685,'5.模板'!C:D,1,0),"")="","","✔")</f>
        <v/>
      </c>
      <c r="G685" s="98" t="str">
        <f>IF(IFERROR(VLOOKUP(A685,'6.混凝土'!C:D,1,0),"")="","","✔")</f>
        <v/>
      </c>
      <c r="H685" s="98" t="str">
        <f>IF(IFERROR(VLOOKUP(A685,'7.植筋'!C:D,1,0),"")="","","✔")</f>
        <v/>
      </c>
      <c r="I685" s="98" t="str">
        <f>IF(IFERROR(VLOOKUP(A685,'8.預力混凝土基樁'!C:D,1,0),"")="","","✔")</f>
        <v/>
      </c>
      <c r="J685" s="98" t="str">
        <f>IF(IFERROR(VLOOKUP(A685,'9.砌塊石護岸'!C:D,1,0),"")="","","✔")</f>
        <v/>
      </c>
      <c r="K685" s="98" t="str">
        <f>IF(IFERROR(VLOOKUP(A685,'10.低水護岸'!C:D,1,0),"")="","","✔")</f>
        <v/>
      </c>
      <c r="L685" s="98" t="str">
        <f>IF(IFERROR(VLOOKUP(A685,'11.固床工'!C:D,1,0),"")="","","✔")</f>
        <v/>
      </c>
      <c r="M685" s="98" t="str">
        <f>IF(IFERROR(VLOOKUP(A685,'12.全套管基樁'!C:D,1,0),"")="","","✔")</f>
        <v/>
      </c>
      <c r="N685" s="98" t="str">
        <f>IF(IFERROR(VLOOKUP(A685,'13.鋼筋混凝土管工程'!C:D,1,0),"")="","","✔")</f>
        <v/>
      </c>
      <c r="O685" s="98" t="str">
        <f>IF(IFERROR(VLOOKUP(A685,'14.鋼版樁'!C:D,1,0),"")="","","✔")</f>
        <v/>
      </c>
      <c r="P685" s="98" t="str">
        <f>IF(IFERROR(VLOOKUP(A685,'15.路床 路基高程'!C:D,1,0),"")="","","✔")</f>
        <v/>
      </c>
      <c r="Q685" s="98" t="str">
        <f>IF(IFERROR(VLOOKUP(A685,'16.瀝青混凝土'!C:D,1,0),"")="","","✔")</f>
        <v/>
      </c>
      <c r="R685" s="98" t="str">
        <f>IF(IFERROR(VLOOKUP(A685,'17.景觀鋪面(一)'!C:D,1,0),"")="","","✔")</f>
        <v/>
      </c>
      <c r="S685" s="98" t="str">
        <f>IF(IFERROR(VLOOKUP(A685,'18.景觀鋪面(二)'!C:D,1,0),"")="","","✔")</f>
        <v/>
      </c>
      <c r="T685" s="98" t="str">
        <f>IF(IFERROR(VLOOKUP(A685,'19.預鑄緣石'!C:D,1,0),"")="","","✔")</f>
        <v/>
      </c>
      <c r="U685" s="98" t="str">
        <f>IF(IFERROR(VLOOKUP(A685,'20.鋼構工程吊裝'!C:D,1,0),"")="","","✔")</f>
        <v/>
      </c>
      <c r="V685" s="98" t="str">
        <f>IF(IFERROR(VLOOKUP(A685,'21.鋼構工程塗裝'!C:D,1,0),"")="","","✔")</f>
        <v/>
      </c>
      <c r="W685" s="98" t="str">
        <f>IF(IFERROR(VLOOKUP(A685,'22.排水設施(一)'!C:D,1,0),"")="","","✔")</f>
        <v/>
      </c>
      <c r="X685" s="98" t="str">
        <f>IF(IFERROR(VLOOKUP(A685,'23.排水設施(二)'!C:D,1,0),"")="","","✔")</f>
        <v/>
      </c>
      <c r="Y685" s="98" t="str">
        <f>IF(IFERROR(VLOOKUP(A685,'24.木構造'!C:D,1,0),"")="","","✔")</f>
        <v/>
      </c>
      <c r="Z685" s="98" t="str">
        <f>IF(IFERROR(VLOOKUP(A685,'25.管路'!C:D,1,0),"")="","","✔")</f>
        <v/>
      </c>
      <c r="AA685" s="98" t="str">
        <f>IF(IFERROR(VLOOKUP(A685,'26.植栽(移植)'!C:D,1,0),"")="","","✔")</f>
        <v/>
      </c>
      <c r="AB685" s="98" t="str">
        <f>IF(IFERROR(VLOOKUP(A685,'27.植栽(新植)'!C:D,1,0),"")="","","✔")</f>
        <v/>
      </c>
      <c r="AC685" s="98" t="str">
        <f>IF(IFERROR(VLOOKUP(A685,'28.照明'!C:D,1,0),"")="","","✔")</f>
        <v/>
      </c>
      <c r="AD685" s="98" t="str">
        <f>IF(IFERROR(VLOOKUP(A685,'29.既有橋梁拆除'!C:D,1,0),"")="","","✔")</f>
        <v/>
      </c>
    </row>
    <row r="686" spans="1:30" ht="21.75" customHeight="1" x14ac:dyDescent="0.25">
      <c r="A686" s="99">
        <v>45876</v>
      </c>
      <c r="B686" s="98" t="str">
        <f>IF(IFERROR(VLOOKUP(A686,'1.測量放樣'!C:D,1,0),"")="","","✔")</f>
        <v/>
      </c>
      <c r="C686" s="98" t="str">
        <f>IF(IFERROR(VLOOKUP(A686,'2.土方開挖'!C:D,1,0),"")="","","✔")</f>
        <v/>
      </c>
      <c r="D686" s="98" t="str">
        <f>IF(IFERROR(VLOOKUP(A686,'3.土方回填'!C:D,1,0),"")="","","✔")</f>
        <v/>
      </c>
      <c r="E686" s="98" t="str">
        <f>IF(IFERROR(VLOOKUP(A686,'4.鋼筋'!C:D,1,0),"")="","","✔")</f>
        <v/>
      </c>
      <c r="F686" s="98" t="str">
        <f>IF(IFERROR(VLOOKUP(A686,'5.模板'!C:D,1,0),"")="","","✔")</f>
        <v/>
      </c>
      <c r="G686" s="98" t="str">
        <f>IF(IFERROR(VLOOKUP(A686,'6.混凝土'!C:D,1,0),"")="","","✔")</f>
        <v/>
      </c>
      <c r="H686" s="98" t="str">
        <f>IF(IFERROR(VLOOKUP(A686,'7.植筋'!C:D,1,0),"")="","","✔")</f>
        <v/>
      </c>
      <c r="I686" s="98" t="str">
        <f>IF(IFERROR(VLOOKUP(A686,'8.預力混凝土基樁'!C:D,1,0),"")="","","✔")</f>
        <v/>
      </c>
      <c r="J686" s="98" t="str">
        <f>IF(IFERROR(VLOOKUP(A686,'9.砌塊石護岸'!C:D,1,0),"")="","","✔")</f>
        <v/>
      </c>
      <c r="K686" s="98" t="str">
        <f>IF(IFERROR(VLOOKUP(A686,'10.低水護岸'!C:D,1,0),"")="","","✔")</f>
        <v/>
      </c>
      <c r="L686" s="98" t="str">
        <f>IF(IFERROR(VLOOKUP(A686,'11.固床工'!C:D,1,0),"")="","","✔")</f>
        <v/>
      </c>
      <c r="M686" s="98" t="str">
        <f>IF(IFERROR(VLOOKUP(A686,'12.全套管基樁'!C:D,1,0),"")="","","✔")</f>
        <v/>
      </c>
      <c r="N686" s="98" t="str">
        <f>IF(IFERROR(VLOOKUP(A686,'13.鋼筋混凝土管工程'!C:D,1,0),"")="","","✔")</f>
        <v/>
      </c>
      <c r="O686" s="98" t="str">
        <f>IF(IFERROR(VLOOKUP(A686,'14.鋼版樁'!C:D,1,0),"")="","","✔")</f>
        <v/>
      </c>
      <c r="P686" s="98" t="str">
        <f>IF(IFERROR(VLOOKUP(A686,'15.路床 路基高程'!C:D,1,0),"")="","","✔")</f>
        <v/>
      </c>
      <c r="Q686" s="98" t="str">
        <f>IF(IFERROR(VLOOKUP(A686,'16.瀝青混凝土'!C:D,1,0),"")="","","✔")</f>
        <v/>
      </c>
      <c r="R686" s="98" t="str">
        <f>IF(IFERROR(VLOOKUP(A686,'17.景觀鋪面(一)'!C:D,1,0),"")="","","✔")</f>
        <v/>
      </c>
      <c r="S686" s="98" t="str">
        <f>IF(IFERROR(VLOOKUP(A686,'18.景觀鋪面(二)'!C:D,1,0),"")="","","✔")</f>
        <v/>
      </c>
      <c r="T686" s="98" t="str">
        <f>IF(IFERROR(VLOOKUP(A686,'19.預鑄緣石'!C:D,1,0),"")="","","✔")</f>
        <v/>
      </c>
      <c r="U686" s="98" t="str">
        <f>IF(IFERROR(VLOOKUP(A686,'20.鋼構工程吊裝'!C:D,1,0),"")="","","✔")</f>
        <v/>
      </c>
      <c r="V686" s="98" t="str">
        <f>IF(IFERROR(VLOOKUP(A686,'21.鋼構工程塗裝'!C:D,1,0),"")="","","✔")</f>
        <v/>
      </c>
      <c r="W686" s="98" t="str">
        <f>IF(IFERROR(VLOOKUP(A686,'22.排水設施(一)'!C:D,1,0),"")="","","✔")</f>
        <v/>
      </c>
      <c r="X686" s="98" t="str">
        <f>IF(IFERROR(VLOOKUP(A686,'23.排水設施(二)'!C:D,1,0),"")="","","✔")</f>
        <v/>
      </c>
      <c r="Y686" s="98" t="str">
        <f>IF(IFERROR(VLOOKUP(A686,'24.木構造'!C:D,1,0),"")="","","✔")</f>
        <v/>
      </c>
      <c r="Z686" s="98" t="str">
        <f>IF(IFERROR(VLOOKUP(A686,'25.管路'!C:D,1,0),"")="","","✔")</f>
        <v/>
      </c>
      <c r="AA686" s="98" t="str">
        <f>IF(IFERROR(VLOOKUP(A686,'26.植栽(移植)'!C:D,1,0),"")="","","✔")</f>
        <v/>
      </c>
      <c r="AB686" s="98" t="str">
        <f>IF(IFERROR(VLOOKUP(A686,'27.植栽(新植)'!C:D,1,0),"")="","","✔")</f>
        <v/>
      </c>
      <c r="AC686" s="98" t="str">
        <f>IF(IFERROR(VLOOKUP(A686,'28.照明'!C:D,1,0),"")="","","✔")</f>
        <v/>
      </c>
      <c r="AD686" s="98" t="str">
        <f>IF(IFERROR(VLOOKUP(A686,'29.既有橋梁拆除'!C:D,1,0),"")="","","✔")</f>
        <v/>
      </c>
    </row>
    <row r="687" spans="1:30" ht="21.75" customHeight="1" x14ac:dyDescent="0.25">
      <c r="A687" s="99">
        <v>45877</v>
      </c>
      <c r="B687" s="98" t="str">
        <f>IF(IFERROR(VLOOKUP(A687,'1.測量放樣'!C:D,1,0),"")="","","✔")</f>
        <v/>
      </c>
      <c r="C687" s="98" t="str">
        <f>IF(IFERROR(VLOOKUP(A687,'2.土方開挖'!C:D,1,0),"")="","","✔")</f>
        <v/>
      </c>
      <c r="D687" s="98" t="str">
        <f>IF(IFERROR(VLOOKUP(A687,'3.土方回填'!C:D,1,0),"")="","","✔")</f>
        <v/>
      </c>
      <c r="E687" s="98" t="str">
        <f>IF(IFERROR(VLOOKUP(A687,'4.鋼筋'!C:D,1,0),"")="","","✔")</f>
        <v/>
      </c>
      <c r="F687" s="98" t="str">
        <f>IF(IFERROR(VLOOKUP(A687,'5.模板'!C:D,1,0),"")="","","✔")</f>
        <v/>
      </c>
      <c r="G687" s="98" t="str">
        <f>IF(IFERROR(VLOOKUP(A687,'6.混凝土'!C:D,1,0),"")="","","✔")</f>
        <v/>
      </c>
      <c r="H687" s="98" t="str">
        <f>IF(IFERROR(VLOOKUP(A687,'7.植筋'!C:D,1,0),"")="","","✔")</f>
        <v/>
      </c>
      <c r="I687" s="98" t="str">
        <f>IF(IFERROR(VLOOKUP(A687,'8.預力混凝土基樁'!C:D,1,0),"")="","","✔")</f>
        <v/>
      </c>
      <c r="J687" s="98" t="str">
        <f>IF(IFERROR(VLOOKUP(A687,'9.砌塊石護岸'!C:D,1,0),"")="","","✔")</f>
        <v/>
      </c>
      <c r="K687" s="98" t="str">
        <f>IF(IFERROR(VLOOKUP(A687,'10.低水護岸'!C:D,1,0),"")="","","✔")</f>
        <v/>
      </c>
      <c r="L687" s="98" t="str">
        <f>IF(IFERROR(VLOOKUP(A687,'11.固床工'!C:D,1,0),"")="","","✔")</f>
        <v/>
      </c>
      <c r="M687" s="98" t="str">
        <f>IF(IFERROR(VLOOKUP(A687,'12.全套管基樁'!C:D,1,0),"")="","","✔")</f>
        <v/>
      </c>
      <c r="N687" s="98" t="str">
        <f>IF(IFERROR(VLOOKUP(A687,'13.鋼筋混凝土管工程'!C:D,1,0),"")="","","✔")</f>
        <v/>
      </c>
      <c r="O687" s="98" t="str">
        <f>IF(IFERROR(VLOOKUP(A687,'14.鋼版樁'!C:D,1,0),"")="","","✔")</f>
        <v/>
      </c>
      <c r="P687" s="98" t="str">
        <f>IF(IFERROR(VLOOKUP(A687,'15.路床 路基高程'!C:D,1,0),"")="","","✔")</f>
        <v/>
      </c>
      <c r="Q687" s="98" t="str">
        <f>IF(IFERROR(VLOOKUP(A687,'16.瀝青混凝土'!C:D,1,0),"")="","","✔")</f>
        <v/>
      </c>
      <c r="R687" s="98" t="str">
        <f>IF(IFERROR(VLOOKUP(A687,'17.景觀鋪面(一)'!C:D,1,0),"")="","","✔")</f>
        <v/>
      </c>
      <c r="S687" s="98" t="str">
        <f>IF(IFERROR(VLOOKUP(A687,'18.景觀鋪面(二)'!C:D,1,0),"")="","","✔")</f>
        <v/>
      </c>
      <c r="T687" s="98" t="str">
        <f>IF(IFERROR(VLOOKUP(A687,'19.預鑄緣石'!C:D,1,0),"")="","","✔")</f>
        <v/>
      </c>
      <c r="U687" s="98" t="str">
        <f>IF(IFERROR(VLOOKUP(A687,'20.鋼構工程吊裝'!C:D,1,0),"")="","","✔")</f>
        <v/>
      </c>
      <c r="V687" s="98" t="str">
        <f>IF(IFERROR(VLOOKUP(A687,'21.鋼構工程塗裝'!C:D,1,0),"")="","","✔")</f>
        <v/>
      </c>
      <c r="W687" s="98" t="str">
        <f>IF(IFERROR(VLOOKUP(A687,'22.排水設施(一)'!C:D,1,0),"")="","","✔")</f>
        <v/>
      </c>
      <c r="X687" s="98" t="str">
        <f>IF(IFERROR(VLOOKUP(A687,'23.排水設施(二)'!C:D,1,0),"")="","","✔")</f>
        <v/>
      </c>
      <c r="Y687" s="98" t="str">
        <f>IF(IFERROR(VLOOKUP(A687,'24.木構造'!C:D,1,0),"")="","","✔")</f>
        <v/>
      </c>
      <c r="Z687" s="98" t="str">
        <f>IF(IFERROR(VLOOKUP(A687,'25.管路'!C:D,1,0),"")="","","✔")</f>
        <v/>
      </c>
      <c r="AA687" s="98" t="str">
        <f>IF(IFERROR(VLOOKUP(A687,'26.植栽(移植)'!C:D,1,0),"")="","","✔")</f>
        <v/>
      </c>
      <c r="AB687" s="98" t="str">
        <f>IF(IFERROR(VLOOKUP(A687,'27.植栽(新植)'!C:D,1,0),"")="","","✔")</f>
        <v/>
      </c>
      <c r="AC687" s="98" t="str">
        <f>IF(IFERROR(VLOOKUP(A687,'28.照明'!C:D,1,0),"")="","","✔")</f>
        <v/>
      </c>
      <c r="AD687" s="98" t="str">
        <f>IF(IFERROR(VLOOKUP(A687,'29.既有橋梁拆除'!C:D,1,0),"")="","","✔")</f>
        <v/>
      </c>
    </row>
    <row r="688" spans="1:30" ht="21.75" customHeight="1" x14ac:dyDescent="0.25">
      <c r="A688" s="99">
        <v>45878</v>
      </c>
      <c r="B688" s="98" t="str">
        <f>IF(IFERROR(VLOOKUP(A688,'1.測量放樣'!C:D,1,0),"")="","","✔")</f>
        <v/>
      </c>
      <c r="C688" s="98" t="str">
        <f>IF(IFERROR(VLOOKUP(A688,'2.土方開挖'!C:D,1,0),"")="","","✔")</f>
        <v/>
      </c>
      <c r="D688" s="98" t="str">
        <f>IF(IFERROR(VLOOKUP(A688,'3.土方回填'!C:D,1,0),"")="","","✔")</f>
        <v/>
      </c>
      <c r="E688" s="98" t="str">
        <f>IF(IFERROR(VLOOKUP(A688,'4.鋼筋'!C:D,1,0),"")="","","✔")</f>
        <v/>
      </c>
      <c r="F688" s="98" t="str">
        <f>IF(IFERROR(VLOOKUP(A688,'5.模板'!C:D,1,0),"")="","","✔")</f>
        <v/>
      </c>
      <c r="G688" s="98" t="str">
        <f>IF(IFERROR(VLOOKUP(A688,'6.混凝土'!C:D,1,0),"")="","","✔")</f>
        <v/>
      </c>
      <c r="H688" s="98" t="str">
        <f>IF(IFERROR(VLOOKUP(A688,'7.植筋'!C:D,1,0),"")="","","✔")</f>
        <v/>
      </c>
      <c r="I688" s="98" t="str">
        <f>IF(IFERROR(VLOOKUP(A688,'8.預力混凝土基樁'!C:D,1,0),"")="","","✔")</f>
        <v/>
      </c>
      <c r="J688" s="98" t="str">
        <f>IF(IFERROR(VLOOKUP(A688,'9.砌塊石護岸'!C:D,1,0),"")="","","✔")</f>
        <v/>
      </c>
      <c r="K688" s="98" t="str">
        <f>IF(IFERROR(VLOOKUP(A688,'10.低水護岸'!C:D,1,0),"")="","","✔")</f>
        <v/>
      </c>
      <c r="L688" s="98" t="str">
        <f>IF(IFERROR(VLOOKUP(A688,'11.固床工'!C:D,1,0),"")="","","✔")</f>
        <v/>
      </c>
      <c r="M688" s="98" t="str">
        <f>IF(IFERROR(VLOOKUP(A688,'12.全套管基樁'!C:D,1,0),"")="","","✔")</f>
        <v/>
      </c>
      <c r="N688" s="98" t="str">
        <f>IF(IFERROR(VLOOKUP(A688,'13.鋼筋混凝土管工程'!C:D,1,0),"")="","","✔")</f>
        <v/>
      </c>
      <c r="O688" s="98" t="str">
        <f>IF(IFERROR(VLOOKUP(A688,'14.鋼版樁'!C:D,1,0),"")="","","✔")</f>
        <v/>
      </c>
      <c r="P688" s="98" t="str">
        <f>IF(IFERROR(VLOOKUP(A688,'15.路床 路基高程'!C:D,1,0),"")="","","✔")</f>
        <v/>
      </c>
      <c r="Q688" s="98" t="str">
        <f>IF(IFERROR(VLOOKUP(A688,'16.瀝青混凝土'!C:D,1,0),"")="","","✔")</f>
        <v/>
      </c>
      <c r="R688" s="98" t="str">
        <f>IF(IFERROR(VLOOKUP(A688,'17.景觀鋪面(一)'!C:D,1,0),"")="","","✔")</f>
        <v/>
      </c>
      <c r="S688" s="98" t="str">
        <f>IF(IFERROR(VLOOKUP(A688,'18.景觀鋪面(二)'!C:D,1,0),"")="","","✔")</f>
        <v/>
      </c>
      <c r="T688" s="98" t="str">
        <f>IF(IFERROR(VLOOKUP(A688,'19.預鑄緣石'!C:D,1,0),"")="","","✔")</f>
        <v/>
      </c>
      <c r="U688" s="98" t="str">
        <f>IF(IFERROR(VLOOKUP(A688,'20.鋼構工程吊裝'!C:D,1,0),"")="","","✔")</f>
        <v/>
      </c>
      <c r="V688" s="98" t="str">
        <f>IF(IFERROR(VLOOKUP(A688,'21.鋼構工程塗裝'!C:D,1,0),"")="","","✔")</f>
        <v/>
      </c>
      <c r="W688" s="98" t="str">
        <f>IF(IFERROR(VLOOKUP(A688,'22.排水設施(一)'!C:D,1,0),"")="","","✔")</f>
        <v/>
      </c>
      <c r="X688" s="98" t="str">
        <f>IF(IFERROR(VLOOKUP(A688,'23.排水設施(二)'!C:D,1,0),"")="","","✔")</f>
        <v/>
      </c>
      <c r="Y688" s="98" t="str">
        <f>IF(IFERROR(VLOOKUP(A688,'24.木構造'!C:D,1,0),"")="","","✔")</f>
        <v/>
      </c>
      <c r="Z688" s="98" t="str">
        <f>IF(IFERROR(VLOOKUP(A688,'25.管路'!C:D,1,0),"")="","","✔")</f>
        <v/>
      </c>
      <c r="AA688" s="98" t="str">
        <f>IF(IFERROR(VLOOKUP(A688,'26.植栽(移植)'!C:D,1,0),"")="","","✔")</f>
        <v/>
      </c>
      <c r="AB688" s="98" t="str">
        <f>IF(IFERROR(VLOOKUP(A688,'27.植栽(新植)'!C:D,1,0),"")="","","✔")</f>
        <v/>
      </c>
      <c r="AC688" s="98" t="str">
        <f>IF(IFERROR(VLOOKUP(A688,'28.照明'!C:D,1,0),"")="","","✔")</f>
        <v/>
      </c>
      <c r="AD688" s="98" t="str">
        <f>IF(IFERROR(VLOOKUP(A688,'29.既有橋梁拆除'!C:D,1,0),"")="","","✔")</f>
        <v/>
      </c>
    </row>
    <row r="689" spans="1:30" ht="21.75" customHeight="1" x14ac:dyDescent="0.25">
      <c r="A689" s="99">
        <v>45879</v>
      </c>
      <c r="B689" s="98" t="str">
        <f>IF(IFERROR(VLOOKUP(A689,'1.測量放樣'!C:D,1,0),"")="","","✔")</f>
        <v/>
      </c>
      <c r="C689" s="98" t="str">
        <f>IF(IFERROR(VLOOKUP(A689,'2.土方開挖'!C:D,1,0),"")="","","✔")</f>
        <v/>
      </c>
      <c r="D689" s="98" t="str">
        <f>IF(IFERROR(VLOOKUP(A689,'3.土方回填'!C:D,1,0),"")="","","✔")</f>
        <v/>
      </c>
      <c r="E689" s="98" t="str">
        <f>IF(IFERROR(VLOOKUP(A689,'4.鋼筋'!C:D,1,0),"")="","","✔")</f>
        <v/>
      </c>
      <c r="F689" s="98" t="str">
        <f>IF(IFERROR(VLOOKUP(A689,'5.模板'!C:D,1,0),"")="","","✔")</f>
        <v/>
      </c>
      <c r="G689" s="98" t="str">
        <f>IF(IFERROR(VLOOKUP(A689,'6.混凝土'!C:D,1,0),"")="","","✔")</f>
        <v/>
      </c>
      <c r="H689" s="98" t="str">
        <f>IF(IFERROR(VLOOKUP(A689,'7.植筋'!C:D,1,0),"")="","","✔")</f>
        <v/>
      </c>
      <c r="I689" s="98" t="str">
        <f>IF(IFERROR(VLOOKUP(A689,'8.預力混凝土基樁'!C:D,1,0),"")="","","✔")</f>
        <v/>
      </c>
      <c r="J689" s="98" t="str">
        <f>IF(IFERROR(VLOOKUP(A689,'9.砌塊石護岸'!C:D,1,0),"")="","","✔")</f>
        <v/>
      </c>
      <c r="K689" s="98" t="str">
        <f>IF(IFERROR(VLOOKUP(A689,'10.低水護岸'!C:D,1,0),"")="","","✔")</f>
        <v/>
      </c>
      <c r="L689" s="98" t="str">
        <f>IF(IFERROR(VLOOKUP(A689,'11.固床工'!C:D,1,0),"")="","","✔")</f>
        <v/>
      </c>
      <c r="M689" s="98" t="str">
        <f>IF(IFERROR(VLOOKUP(A689,'12.全套管基樁'!C:D,1,0),"")="","","✔")</f>
        <v/>
      </c>
      <c r="N689" s="98" t="str">
        <f>IF(IFERROR(VLOOKUP(A689,'13.鋼筋混凝土管工程'!C:D,1,0),"")="","","✔")</f>
        <v/>
      </c>
      <c r="O689" s="98" t="str">
        <f>IF(IFERROR(VLOOKUP(A689,'14.鋼版樁'!C:D,1,0),"")="","","✔")</f>
        <v/>
      </c>
      <c r="P689" s="98" t="str">
        <f>IF(IFERROR(VLOOKUP(A689,'15.路床 路基高程'!C:D,1,0),"")="","","✔")</f>
        <v/>
      </c>
      <c r="Q689" s="98" t="str">
        <f>IF(IFERROR(VLOOKUP(A689,'16.瀝青混凝土'!C:D,1,0),"")="","","✔")</f>
        <v/>
      </c>
      <c r="R689" s="98" t="str">
        <f>IF(IFERROR(VLOOKUP(A689,'17.景觀鋪面(一)'!C:D,1,0),"")="","","✔")</f>
        <v/>
      </c>
      <c r="S689" s="98" t="str">
        <f>IF(IFERROR(VLOOKUP(A689,'18.景觀鋪面(二)'!C:D,1,0),"")="","","✔")</f>
        <v/>
      </c>
      <c r="T689" s="98" t="str">
        <f>IF(IFERROR(VLOOKUP(A689,'19.預鑄緣石'!C:D,1,0),"")="","","✔")</f>
        <v/>
      </c>
      <c r="U689" s="98" t="str">
        <f>IF(IFERROR(VLOOKUP(A689,'20.鋼構工程吊裝'!C:D,1,0),"")="","","✔")</f>
        <v/>
      </c>
      <c r="V689" s="98" t="str">
        <f>IF(IFERROR(VLOOKUP(A689,'21.鋼構工程塗裝'!C:D,1,0),"")="","","✔")</f>
        <v/>
      </c>
      <c r="W689" s="98" t="str">
        <f>IF(IFERROR(VLOOKUP(A689,'22.排水設施(一)'!C:D,1,0),"")="","","✔")</f>
        <v/>
      </c>
      <c r="X689" s="98" t="str">
        <f>IF(IFERROR(VLOOKUP(A689,'23.排水設施(二)'!C:D,1,0),"")="","","✔")</f>
        <v/>
      </c>
      <c r="Y689" s="98" t="str">
        <f>IF(IFERROR(VLOOKUP(A689,'24.木構造'!C:D,1,0),"")="","","✔")</f>
        <v/>
      </c>
      <c r="Z689" s="98" t="str">
        <f>IF(IFERROR(VLOOKUP(A689,'25.管路'!C:D,1,0),"")="","","✔")</f>
        <v/>
      </c>
      <c r="AA689" s="98" t="str">
        <f>IF(IFERROR(VLOOKUP(A689,'26.植栽(移植)'!C:D,1,0),"")="","","✔")</f>
        <v/>
      </c>
      <c r="AB689" s="98" t="str">
        <f>IF(IFERROR(VLOOKUP(A689,'27.植栽(新植)'!C:D,1,0),"")="","","✔")</f>
        <v/>
      </c>
      <c r="AC689" s="98" t="str">
        <f>IF(IFERROR(VLOOKUP(A689,'28.照明'!C:D,1,0),"")="","","✔")</f>
        <v/>
      </c>
      <c r="AD689" s="98" t="str">
        <f>IF(IFERROR(VLOOKUP(A689,'29.既有橋梁拆除'!C:D,1,0),"")="","","✔")</f>
        <v/>
      </c>
    </row>
    <row r="690" spans="1:30" ht="21.75" customHeight="1" x14ac:dyDescent="0.25">
      <c r="A690" s="99">
        <v>45880</v>
      </c>
      <c r="B690" s="98" t="str">
        <f>IF(IFERROR(VLOOKUP(A690,'1.測量放樣'!C:D,1,0),"")="","","✔")</f>
        <v/>
      </c>
      <c r="C690" s="98" t="str">
        <f>IF(IFERROR(VLOOKUP(A690,'2.土方開挖'!C:D,1,0),"")="","","✔")</f>
        <v/>
      </c>
      <c r="D690" s="98" t="str">
        <f>IF(IFERROR(VLOOKUP(A690,'3.土方回填'!C:D,1,0),"")="","","✔")</f>
        <v/>
      </c>
      <c r="E690" s="98" t="str">
        <f>IF(IFERROR(VLOOKUP(A690,'4.鋼筋'!C:D,1,0),"")="","","✔")</f>
        <v/>
      </c>
      <c r="F690" s="98" t="str">
        <f>IF(IFERROR(VLOOKUP(A690,'5.模板'!C:D,1,0),"")="","","✔")</f>
        <v/>
      </c>
      <c r="G690" s="98" t="str">
        <f>IF(IFERROR(VLOOKUP(A690,'6.混凝土'!C:D,1,0),"")="","","✔")</f>
        <v/>
      </c>
      <c r="H690" s="98" t="str">
        <f>IF(IFERROR(VLOOKUP(A690,'7.植筋'!C:D,1,0),"")="","","✔")</f>
        <v/>
      </c>
      <c r="I690" s="98" t="str">
        <f>IF(IFERROR(VLOOKUP(A690,'8.預力混凝土基樁'!C:D,1,0),"")="","","✔")</f>
        <v/>
      </c>
      <c r="J690" s="98" t="str">
        <f>IF(IFERROR(VLOOKUP(A690,'9.砌塊石護岸'!C:D,1,0),"")="","","✔")</f>
        <v/>
      </c>
      <c r="K690" s="98" t="str">
        <f>IF(IFERROR(VLOOKUP(A690,'10.低水護岸'!C:D,1,0),"")="","","✔")</f>
        <v/>
      </c>
      <c r="L690" s="98" t="str">
        <f>IF(IFERROR(VLOOKUP(A690,'11.固床工'!C:D,1,0),"")="","","✔")</f>
        <v/>
      </c>
      <c r="M690" s="98" t="str">
        <f>IF(IFERROR(VLOOKUP(A690,'12.全套管基樁'!C:D,1,0),"")="","","✔")</f>
        <v/>
      </c>
      <c r="N690" s="98" t="str">
        <f>IF(IFERROR(VLOOKUP(A690,'13.鋼筋混凝土管工程'!C:D,1,0),"")="","","✔")</f>
        <v/>
      </c>
      <c r="O690" s="98" t="str">
        <f>IF(IFERROR(VLOOKUP(A690,'14.鋼版樁'!C:D,1,0),"")="","","✔")</f>
        <v/>
      </c>
      <c r="P690" s="98" t="str">
        <f>IF(IFERROR(VLOOKUP(A690,'15.路床 路基高程'!C:D,1,0),"")="","","✔")</f>
        <v/>
      </c>
      <c r="Q690" s="98" t="str">
        <f>IF(IFERROR(VLOOKUP(A690,'16.瀝青混凝土'!C:D,1,0),"")="","","✔")</f>
        <v/>
      </c>
      <c r="R690" s="98" t="str">
        <f>IF(IFERROR(VLOOKUP(A690,'17.景觀鋪面(一)'!C:D,1,0),"")="","","✔")</f>
        <v/>
      </c>
      <c r="S690" s="98" t="str">
        <f>IF(IFERROR(VLOOKUP(A690,'18.景觀鋪面(二)'!C:D,1,0),"")="","","✔")</f>
        <v/>
      </c>
      <c r="T690" s="98" t="str">
        <f>IF(IFERROR(VLOOKUP(A690,'19.預鑄緣石'!C:D,1,0),"")="","","✔")</f>
        <v/>
      </c>
      <c r="U690" s="98" t="str">
        <f>IF(IFERROR(VLOOKUP(A690,'20.鋼構工程吊裝'!C:D,1,0),"")="","","✔")</f>
        <v/>
      </c>
      <c r="V690" s="98" t="str">
        <f>IF(IFERROR(VLOOKUP(A690,'21.鋼構工程塗裝'!C:D,1,0),"")="","","✔")</f>
        <v/>
      </c>
      <c r="W690" s="98" t="str">
        <f>IF(IFERROR(VLOOKUP(A690,'22.排水設施(一)'!C:D,1,0),"")="","","✔")</f>
        <v/>
      </c>
      <c r="X690" s="98" t="str">
        <f>IF(IFERROR(VLOOKUP(A690,'23.排水設施(二)'!C:D,1,0),"")="","","✔")</f>
        <v/>
      </c>
      <c r="Y690" s="98" t="str">
        <f>IF(IFERROR(VLOOKUP(A690,'24.木構造'!C:D,1,0),"")="","","✔")</f>
        <v/>
      </c>
      <c r="Z690" s="98" t="str">
        <f>IF(IFERROR(VLOOKUP(A690,'25.管路'!C:D,1,0),"")="","","✔")</f>
        <v/>
      </c>
      <c r="AA690" s="98" t="str">
        <f>IF(IFERROR(VLOOKUP(A690,'26.植栽(移植)'!C:D,1,0),"")="","","✔")</f>
        <v/>
      </c>
      <c r="AB690" s="98" t="str">
        <f>IF(IFERROR(VLOOKUP(A690,'27.植栽(新植)'!C:D,1,0),"")="","","✔")</f>
        <v/>
      </c>
      <c r="AC690" s="98" t="str">
        <f>IF(IFERROR(VLOOKUP(A690,'28.照明'!C:D,1,0),"")="","","✔")</f>
        <v/>
      </c>
      <c r="AD690" s="98" t="str">
        <f>IF(IFERROR(VLOOKUP(A690,'29.既有橋梁拆除'!C:D,1,0),"")="","","✔")</f>
        <v/>
      </c>
    </row>
    <row r="691" spans="1:30" ht="21.75" customHeight="1" x14ac:dyDescent="0.25">
      <c r="A691" s="99">
        <v>45881</v>
      </c>
      <c r="B691" s="98" t="str">
        <f>IF(IFERROR(VLOOKUP(A691,'1.測量放樣'!C:D,1,0),"")="","","✔")</f>
        <v/>
      </c>
      <c r="C691" s="98" t="str">
        <f>IF(IFERROR(VLOOKUP(A691,'2.土方開挖'!C:D,1,0),"")="","","✔")</f>
        <v/>
      </c>
      <c r="D691" s="98" t="str">
        <f>IF(IFERROR(VLOOKUP(A691,'3.土方回填'!C:D,1,0),"")="","","✔")</f>
        <v/>
      </c>
      <c r="E691" s="98" t="str">
        <f>IF(IFERROR(VLOOKUP(A691,'4.鋼筋'!C:D,1,0),"")="","","✔")</f>
        <v/>
      </c>
      <c r="F691" s="98" t="str">
        <f>IF(IFERROR(VLOOKUP(A691,'5.模板'!C:D,1,0),"")="","","✔")</f>
        <v/>
      </c>
      <c r="G691" s="98" t="str">
        <f>IF(IFERROR(VLOOKUP(A691,'6.混凝土'!C:D,1,0),"")="","","✔")</f>
        <v/>
      </c>
      <c r="H691" s="98" t="str">
        <f>IF(IFERROR(VLOOKUP(A691,'7.植筋'!C:D,1,0),"")="","","✔")</f>
        <v/>
      </c>
      <c r="I691" s="98" t="str">
        <f>IF(IFERROR(VLOOKUP(A691,'8.預力混凝土基樁'!C:D,1,0),"")="","","✔")</f>
        <v/>
      </c>
      <c r="J691" s="98" t="str">
        <f>IF(IFERROR(VLOOKUP(A691,'9.砌塊石護岸'!C:D,1,0),"")="","","✔")</f>
        <v/>
      </c>
      <c r="K691" s="98" t="str">
        <f>IF(IFERROR(VLOOKUP(A691,'10.低水護岸'!C:D,1,0),"")="","","✔")</f>
        <v/>
      </c>
      <c r="L691" s="98" t="str">
        <f>IF(IFERROR(VLOOKUP(A691,'11.固床工'!C:D,1,0),"")="","","✔")</f>
        <v/>
      </c>
      <c r="M691" s="98" t="str">
        <f>IF(IFERROR(VLOOKUP(A691,'12.全套管基樁'!C:D,1,0),"")="","","✔")</f>
        <v/>
      </c>
      <c r="N691" s="98" t="str">
        <f>IF(IFERROR(VLOOKUP(A691,'13.鋼筋混凝土管工程'!C:D,1,0),"")="","","✔")</f>
        <v/>
      </c>
      <c r="O691" s="98" t="str">
        <f>IF(IFERROR(VLOOKUP(A691,'14.鋼版樁'!C:D,1,0),"")="","","✔")</f>
        <v/>
      </c>
      <c r="P691" s="98" t="str">
        <f>IF(IFERROR(VLOOKUP(A691,'15.路床 路基高程'!C:D,1,0),"")="","","✔")</f>
        <v/>
      </c>
      <c r="Q691" s="98" t="str">
        <f>IF(IFERROR(VLOOKUP(A691,'16.瀝青混凝土'!C:D,1,0),"")="","","✔")</f>
        <v/>
      </c>
      <c r="R691" s="98" t="str">
        <f>IF(IFERROR(VLOOKUP(A691,'17.景觀鋪面(一)'!C:D,1,0),"")="","","✔")</f>
        <v/>
      </c>
      <c r="S691" s="98" t="str">
        <f>IF(IFERROR(VLOOKUP(A691,'18.景觀鋪面(二)'!C:D,1,0),"")="","","✔")</f>
        <v/>
      </c>
      <c r="T691" s="98" t="str">
        <f>IF(IFERROR(VLOOKUP(A691,'19.預鑄緣石'!C:D,1,0),"")="","","✔")</f>
        <v/>
      </c>
      <c r="U691" s="98" t="str">
        <f>IF(IFERROR(VLOOKUP(A691,'20.鋼構工程吊裝'!C:D,1,0),"")="","","✔")</f>
        <v/>
      </c>
      <c r="V691" s="98" t="str">
        <f>IF(IFERROR(VLOOKUP(A691,'21.鋼構工程塗裝'!C:D,1,0),"")="","","✔")</f>
        <v/>
      </c>
      <c r="W691" s="98" t="str">
        <f>IF(IFERROR(VLOOKUP(A691,'22.排水設施(一)'!C:D,1,0),"")="","","✔")</f>
        <v/>
      </c>
      <c r="X691" s="98" t="str">
        <f>IF(IFERROR(VLOOKUP(A691,'23.排水設施(二)'!C:D,1,0),"")="","","✔")</f>
        <v/>
      </c>
      <c r="Y691" s="98" t="str">
        <f>IF(IFERROR(VLOOKUP(A691,'24.木構造'!C:D,1,0),"")="","","✔")</f>
        <v/>
      </c>
      <c r="Z691" s="98" t="str">
        <f>IF(IFERROR(VLOOKUP(A691,'25.管路'!C:D,1,0),"")="","","✔")</f>
        <v/>
      </c>
      <c r="AA691" s="98" t="str">
        <f>IF(IFERROR(VLOOKUP(A691,'26.植栽(移植)'!C:D,1,0),"")="","","✔")</f>
        <v/>
      </c>
      <c r="AB691" s="98" t="str">
        <f>IF(IFERROR(VLOOKUP(A691,'27.植栽(新植)'!C:D,1,0),"")="","","✔")</f>
        <v/>
      </c>
      <c r="AC691" s="98" t="str">
        <f>IF(IFERROR(VLOOKUP(A691,'28.照明'!C:D,1,0),"")="","","✔")</f>
        <v/>
      </c>
      <c r="AD691" s="98" t="str">
        <f>IF(IFERROR(VLOOKUP(A691,'29.既有橋梁拆除'!C:D,1,0),"")="","","✔")</f>
        <v/>
      </c>
    </row>
    <row r="692" spans="1:30" ht="21.75" customHeight="1" x14ac:dyDescent="0.25">
      <c r="A692" s="99">
        <v>45882</v>
      </c>
      <c r="B692" s="98" t="str">
        <f>IF(IFERROR(VLOOKUP(A692,'1.測量放樣'!C:D,1,0),"")="","","✔")</f>
        <v/>
      </c>
      <c r="C692" s="98" t="str">
        <f>IF(IFERROR(VLOOKUP(A692,'2.土方開挖'!C:D,1,0),"")="","","✔")</f>
        <v/>
      </c>
      <c r="D692" s="98" t="str">
        <f>IF(IFERROR(VLOOKUP(A692,'3.土方回填'!C:D,1,0),"")="","","✔")</f>
        <v/>
      </c>
      <c r="E692" s="98" t="str">
        <f>IF(IFERROR(VLOOKUP(A692,'4.鋼筋'!C:D,1,0),"")="","","✔")</f>
        <v/>
      </c>
      <c r="F692" s="98" t="str">
        <f>IF(IFERROR(VLOOKUP(A692,'5.模板'!C:D,1,0),"")="","","✔")</f>
        <v/>
      </c>
      <c r="G692" s="98" t="str">
        <f>IF(IFERROR(VLOOKUP(A692,'6.混凝土'!C:D,1,0),"")="","","✔")</f>
        <v/>
      </c>
      <c r="H692" s="98" t="str">
        <f>IF(IFERROR(VLOOKUP(A692,'7.植筋'!C:D,1,0),"")="","","✔")</f>
        <v/>
      </c>
      <c r="I692" s="98" t="str">
        <f>IF(IFERROR(VLOOKUP(A692,'8.預力混凝土基樁'!C:D,1,0),"")="","","✔")</f>
        <v/>
      </c>
      <c r="J692" s="98" t="str">
        <f>IF(IFERROR(VLOOKUP(A692,'9.砌塊石護岸'!C:D,1,0),"")="","","✔")</f>
        <v/>
      </c>
      <c r="K692" s="98" t="str">
        <f>IF(IFERROR(VLOOKUP(A692,'10.低水護岸'!C:D,1,0),"")="","","✔")</f>
        <v/>
      </c>
      <c r="L692" s="98" t="str">
        <f>IF(IFERROR(VLOOKUP(A692,'11.固床工'!C:D,1,0),"")="","","✔")</f>
        <v/>
      </c>
      <c r="M692" s="98" t="str">
        <f>IF(IFERROR(VLOOKUP(A692,'12.全套管基樁'!C:D,1,0),"")="","","✔")</f>
        <v/>
      </c>
      <c r="N692" s="98" t="str">
        <f>IF(IFERROR(VLOOKUP(A692,'13.鋼筋混凝土管工程'!C:D,1,0),"")="","","✔")</f>
        <v/>
      </c>
      <c r="O692" s="98" t="str">
        <f>IF(IFERROR(VLOOKUP(A692,'14.鋼版樁'!C:D,1,0),"")="","","✔")</f>
        <v/>
      </c>
      <c r="P692" s="98" t="str">
        <f>IF(IFERROR(VLOOKUP(A692,'15.路床 路基高程'!C:D,1,0),"")="","","✔")</f>
        <v/>
      </c>
      <c r="Q692" s="98" t="str">
        <f>IF(IFERROR(VLOOKUP(A692,'16.瀝青混凝土'!C:D,1,0),"")="","","✔")</f>
        <v/>
      </c>
      <c r="R692" s="98" t="str">
        <f>IF(IFERROR(VLOOKUP(A692,'17.景觀鋪面(一)'!C:D,1,0),"")="","","✔")</f>
        <v/>
      </c>
      <c r="S692" s="98" t="str">
        <f>IF(IFERROR(VLOOKUP(A692,'18.景觀鋪面(二)'!C:D,1,0),"")="","","✔")</f>
        <v/>
      </c>
      <c r="T692" s="98" t="str">
        <f>IF(IFERROR(VLOOKUP(A692,'19.預鑄緣石'!C:D,1,0),"")="","","✔")</f>
        <v/>
      </c>
      <c r="U692" s="98" t="str">
        <f>IF(IFERROR(VLOOKUP(A692,'20.鋼構工程吊裝'!C:D,1,0),"")="","","✔")</f>
        <v/>
      </c>
      <c r="V692" s="98" t="str">
        <f>IF(IFERROR(VLOOKUP(A692,'21.鋼構工程塗裝'!C:D,1,0),"")="","","✔")</f>
        <v/>
      </c>
      <c r="W692" s="98" t="str">
        <f>IF(IFERROR(VLOOKUP(A692,'22.排水設施(一)'!C:D,1,0),"")="","","✔")</f>
        <v/>
      </c>
      <c r="X692" s="98" t="str">
        <f>IF(IFERROR(VLOOKUP(A692,'23.排水設施(二)'!C:D,1,0),"")="","","✔")</f>
        <v/>
      </c>
      <c r="Y692" s="98" t="str">
        <f>IF(IFERROR(VLOOKUP(A692,'24.木構造'!C:D,1,0),"")="","","✔")</f>
        <v/>
      </c>
      <c r="Z692" s="98" t="str">
        <f>IF(IFERROR(VLOOKUP(A692,'25.管路'!C:D,1,0),"")="","","✔")</f>
        <v/>
      </c>
      <c r="AA692" s="98" t="str">
        <f>IF(IFERROR(VLOOKUP(A692,'26.植栽(移植)'!C:D,1,0),"")="","","✔")</f>
        <v/>
      </c>
      <c r="AB692" s="98" t="str">
        <f>IF(IFERROR(VLOOKUP(A692,'27.植栽(新植)'!C:D,1,0),"")="","","✔")</f>
        <v/>
      </c>
      <c r="AC692" s="98" t="str">
        <f>IF(IFERROR(VLOOKUP(A692,'28.照明'!C:D,1,0),"")="","","✔")</f>
        <v/>
      </c>
      <c r="AD692" s="98" t="str">
        <f>IF(IFERROR(VLOOKUP(A692,'29.既有橋梁拆除'!C:D,1,0),"")="","","✔")</f>
        <v/>
      </c>
    </row>
    <row r="693" spans="1:30" ht="21.75" customHeight="1" x14ac:dyDescent="0.25">
      <c r="A693" s="99">
        <v>45883</v>
      </c>
      <c r="B693" s="98" t="str">
        <f>IF(IFERROR(VLOOKUP(A693,'1.測量放樣'!C:D,1,0),"")="","","✔")</f>
        <v/>
      </c>
      <c r="C693" s="98" t="str">
        <f>IF(IFERROR(VLOOKUP(A693,'2.土方開挖'!C:D,1,0),"")="","","✔")</f>
        <v/>
      </c>
      <c r="D693" s="98" t="str">
        <f>IF(IFERROR(VLOOKUP(A693,'3.土方回填'!C:D,1,0),"")="","","✔")</f>
        <v/>
      </c>
      <c r="E693" s="98" t="str">
        <f>IF(IFERROR(VLOOKUP(A693,'4.鋼筋'!C:D,1,0),"")="","","✔")</f>
        <v/>
      </c>
      <c r="F693" s="98" t="str">
        <f>IF(IFERROR(VLOOKUP(A693,'5.模板'!C:D,1,0),"")="","","✔")</f>
        <v/>
      </c>
      <c r="G693" s="98" t="str">
        <f>IF(IFERROR(VLOOKUP(A693,'6.混凝土'!C:D,1,0),"")="","","✔")</f>
        <v/>
      </c>
      <c r="H693" s="98" t="str">
        <f>IF(IFERROR(VLOOKUP(A693,'7.植筋'!C:D,1,0),"")="","","✔")</f>
        <v/>
      </c>
      <c r="I693" s="98" t="str">
        <f>IF(IFERROR(VLOOKUP(A693,'8.預力混凝土基樁'!C:D,1,0),"")="","","✔")</f>
        <v/>
      </c>
      <c r="J693" s="98" t="str">
        <f>IF(IFERROR(VLOOKUP(A693,'9.砌塊石護岸'!C:D,1,0),"")="","","✔")</f>
        <v/>
      </c>
      <c r="K693" s="98" t="str">
        <f>IF(IFERROR(VLOOKUP(A693,'10.低水護岸'!C:D,1,0),"")="","","✔")</f>
        <v/>
      </c>
      <c r="L693" s="98" t="str">
        <f>IF(IFERROR(VLOOKUP(A693,'11.固床工'!C:D,1,0),"")="","","✔")</f>
        <v/>
      </c>
      <c r="M693" s="98" t="str">
        <f>IF(IFERROR(VLOOKUP(A693,'12.全套管基樁'!C:D,1,0),"")="","","✔")</f>
        <v/>
      </c>
      <c r="N693" s="98" t="str">
        <f>IF(IFERROR(VLOOKUP(A693,'13.鋼筋混凝土管工程'!C:D,1,0),"")="","","✔")</f>
        <v/>
      </c>
      <c r="O693" s="98" t="str">
        <f>IF(IFERROR(VLOOKUP(A693,'14.鋼版樁'!C:D,1,0),"")="","","✔")</f>
        <v/>
      </c>
      <c r="P693" s="98" t="str">
        <f>IF(IFERROR(VLOOKUP(A693,'15.路床 路基高程'!C:D,1,0),"")="","","✔")</f>
        <v/>
      </c>
      <c r="Q693" s="98" t="str">
        <f>IF(IFERROR(VLOOKUP(A693,'16.瀝青混凝土'!C:D,1,0),"")="","","✔")</f>
        <v/>
      </c>
      <c r="R693" s="98" t="str">
        <f>IF(IFERROR(VLOOKUP(A693,'17.景觀鋪面(一)'!C:D,1,0),"")="","","✔")</f>
        <v/>
      </c>
      <c r="S693" s="98" t="str">
        <f>IF(IFERROR(VLOOKUP(A693,'18.景觀鋪面(二)'!C:D,1,0),"")="","","✔")</f>
        <v/>
      </c>
      <c r="T693" s="98" t="str">
        <f>IF(IFERROR(VLOOKUP(A693,'19.預鑄緣石'!C:D,1,0),"")="","","✔")</f>
        <v/>
      </c>
      <c r="U693" s="98" t="str">
        <f>IF(IFERROR(VLOOKUP(A693,'20.鋼構工程吊裝'!C:D,1,0),"")="","","✔")</f>
        <v/>
      </c>
      <c r="V693" s="98" t="str">
        <f>IF(IFERROR(VLOOKUP(A693,'21.鋼構工程塗裝'!C:D,1,0),"")="","","✔")</f>
        <v/>
      </c>
      <c r="W693" s="98" t="str">
        <f>IF(IFERROR(VLOOKUP(A693,'22.排水設施(一)'!C:D,1,0),"")="","","✔")</f>
        <v/>
      </c>
      <c r="X693" s="98" t="str">
        <f>IF(IFERROR(VLOOKUP(A693,'23.排水設施(二)'!C:D,1,0),"")="","","✔")</f>
        <v/>
      </c>
      <c r="Y693" s="98" t="str">
        <f>IF(IFERROR(VLOOKUP(A693,'24.木構造'!C:D,1,0),"")="","","✔")</f>
        <v/>
      </c>
      <c r="Z693" s="98" t="str">
        <f>IF(IFERROR(VLOOKUP(A693,'25.管路'!C:D,1,0),"")="","","✔")</f>
        <v/>
      </c>
      <c r="AA693" s="98" t="str">
        <f>IF(IFERROR(VLOOKUP(A693,'26.植栽(移植)'!C:D,1,0),"")="","","✔")</f>
        <v/>
      </c>
      <c r="AB693" s="98" t="str">
        <f>IF(IFERROR(VLOOKUP(A693,'27.植栽(新植)'!C:D,1,0),"")="","","✔")</f>
        <v/>
      </c>
      <c r="AC693" s="98" t="str">
        <f>IF(IFERROR(VLOOKUP(A693,'28.照明'!C:D,1,0),"")="","","✔")</f>
        <v/>
      </c>
      <c r="AD693" s="98" t="str">
        <f>IF(IFERROR(VLOOKUP(A693,'29.既有橋梁拆除'!C:D,1,0),"")="","","✔")</f>
        <v/>
      </c>
    </row>
    <row r="694" spans="1:30" ht="21.75" customHeight="1" x14ac:dyDescent="0.25">
      <c r="A694" s="99">
        <v>45884</v>
      </c>
      <c r="B694" s="98" t="str">
        <f>IF(IFERROR(VLOOKUP(A694,'1.測量放樣'!C:D,1,0),"")="","","✔")</f>
        <v/>
      </c>
      <c r="C694" s="98" t="str">
        <f>IF(IFERROR(VLOOKUP(A694,'2.土方開挖'!C:D,1,0),"")="","","✔")</f>
        <v/>
      </c>
      <c r="D694" s="98" t="str">
        <f>IF(IFERROR(VLOOKUP(A694,'3.土方回填'!C:D,1,0),"")="","","✔")</f>
        <v/>
      </c>
      <c r="E694" s="98" t="str">
        <f>IF(IFERROR(VLOOKUP(A694,'4.鋼筋'!C:D,1,0),"")="","","✔")</f>
        <v/>
      </c>
      <c r="F694" s="98" t="str">
        <f>IF(IFERROR(VLOOKUP(A694,'5.模板'!C:D,1,0),"")="","","✔")</f>
        <v/>
      </c>
      <c r="G694" s="98" t="str">
        <f>IF(IFERROR(VLOOKUP(A694,'6.混凝土'!C:D,1,0),"")="","","✔")</f>
        <v/>
      </c>
      <c r="H694" s="98" t="str">
        <f>IF(IFERROR(VLOOKUP(A694,'7.植筋'!C:D,1,0),"")="","","✔")</f>
        <v/>
      </c>
      <c r="I694" s="98" t="str">
        <f>IF(IFERROR(VLOOKUP(A694,'8.預力混凝土基樁'!C:D,1,0),"")="","","✔")</f>
        <v/>
      </c>
      <c r="J694" s="98" t="str">
        <f>IF(IFERROR(VLOOKUP(A694,'9.砌塊石護岸'!C:D,1,0),"")="","","✔")</f>
        <v/>
      </c>
      <c r="K694" s="98" t="str">
        <f>IF(IFERROR(VLOOKUP(A694,'10.低水護岸'!C:D,1,0),"")="","","✔")</f>
        <v/>
      </c>
      <c r="L694" s="98" t="str">
        <f>IF(IFERROR(VLOOKUP(A694,'11.固床工'!C:D,1,0),"")="","","✔")</f>
        <v/>
      </c>
      <c r="M694" s="98" t="str">
        <f>IF(IFERROR(VLOOKUP(A694,'12.全套管基樁'!C:D,1,0),"")="","","✔")</f>
        <v/>
      </c>
      <c r="N694" s="98" t="str">
        <f>IF(IFERROR(VLOOKUP(A694,'13.鋼筋混凝土管工程'!C:D,1,0),"")="","","✔")</f>
        <v/>
      </c>
      <c r="O694" s="98" t="str">
        <f>IF(IFERROR(VLOOKUP(A694,'14.鋼版樁'!C:D,1,0),"")="","","✔")</f>
        <v/>
      </c>
      <c r="P694" s="98" t="str">
        <f>IF(IFERROR(VLOOKUP(A694,'15.路床 路基高程'!C:D,1,0),"")="","","✔")</f>
        <v/>
      </c>
      <c r="Q694" s="98" t="str">
        <f>IF(IFERROR(VLOOKUP(A694,'16.瀝青混凝土'!C:D,1,0),"")="","","✔")</f>
        <v/>
      </c>
      <c r="R694" s="98" t="str">
        <f>IF(IFERROR(VLOOKUP(A694,'17.景觀鋪面(一)'!C:D,1,0),"")="","","✔")</f>
        <v/>
      </c>
      <c r="S694" s="98" t="str">
        <f>IF(IFERROR(VLOOKUP(A694,'18.景觀鋪面(二)'!C:D,1,0),"")="","","✔")</f>
        <v/>
      </c>
      <c r="T694" s="98" t="str">
        <f>IF(IFERROR(VLOOKUP(A694,'19.預鑄緣石'!C:D,1,0),"")="","","✔")</f>
        <v/>
      </c>
      <c r="U694" s="98" t="str">
        <f>IF(IFERROR(VLOOKUP(A694,'20.鋼構工程吊裝'!C:D,1,0),"")="","","✔")</f>
        <v/>
      </c>
      <c r="V694" s="98" t="str">
        <f>IF(IFERROR(VLOOKUP(A694,'21.鋼構工程塗裝'!C:D,1,0),"")="","","✔")</f>
        <v/>
      </c>
      <c r="W694" s="98" t="str">
        <f>IF(IFERROR(VLOOKUP(A694,'22.排水設施(一)'!C:D,1,0),"")="","","✔")</f>
        <v/>
      </c>
      <c r="X694" s="98" t="str">
        <f>IF(IFERROR(VLOOKUP(A694,'23.排水設施(二)'!C:D,1,0),"")="","","✔")</f>
        <v/>
      </c>
      <c r="Y694" s="98" t="str">
        <f>IF(IFERROR(VLOOKUP(A694,'24.木構造'!C:D,1,0),"")="","","✔")</f>
        <v/>
      </c>
      <c r="Z694" s="98" t="str">
        <f>IF(IFERROR(VLOOKUP(A694,'25.管路'!C:D,1,0),"")="","","✔")</f>
        <v/>
      </c>
      <c r="AA694" s="98" t="str">
        <f>IF(IFERROR(VLOOKUP(A694,'26.植栽(移植)'!C:D,1,0),"")="","","✔")</f>
        <v/>
      </c>
      <c r="AB694" s="98" t="str">
        <f>IF(IFERROR(VLOOKUP(A694,'27.植栽(新植)'!C:D,1,0),"")="","","✔")</f>
        <v/>
      </c>
      <c r="AC694" s="98" t="str">
        <f>IF(IFERROR(VLOOKUP(A694,'28.照明'!C:D,1,0),"")="","","✔")</f>
        <v/>
      </c>
      <c r="AD694" s="98" t="str">
        <f>IF(IFERROR(VLOOKUP(A694,'29.既有橋梁拆除'!C:D,1,0),"")="","","✔")</f>
        <v/>
      </c>
    </row>
    <row r="695" spans="1:30" ht="21.75" customHeight="1" x14ac:dyDescent="0.25">
      <c r="A695" s="99">
        <v>45885</v>
      </c>
      <c r="B695" s="98" t="str">
        <f>IF(IFERROR(VLOOKUP(A695,'1.測量放樣'!C:D,1,0),"")="","","✔")</f>
        <v/>
      </c>
      <c r="C695" s="98" t="str">
        <f>IF(IFERROR(VLOOKUP(A695,'2.土方開挖'!C:D,1,0),"")="","","✔")</f>
        <v/>
      </c>
      <c r="D695" s="98" t="str">
        <f>IF(IFERROR(VLOOKUP(A695,'3.土方回填'!C:D,1,0),"")="","","✔")</f>
        <v/>
      </c>
      <c r="E695" s="98" t="str">
        <f>IF(IFERROR(VLOOKUP(A695,'4.鋼筋'!C:D,1,0),"")="","","✔")</f>
        <v/>
      </c>
      <c r="F695" s="98" t="str">
        <f>IF(IFERROR(VLOOKUP(A695,'5.模板'!C:D,1,0),"")="","","✔")</f>
        <v/>
      </c>
      <c r="G695" s="98" t="str">
        <f>IF(IFERROR(VLOOKUP(A695,'6.混凝土'!C:D,1,0),"")="","","✔")</f>
        <v/>
      </c>
      <c r="H695" s="98" t="str">
        <f>IF(IFERROR(VLOOKUP(A695,'7.植筋'!C:D,1,0),"")="","","✔")</f>
        <v/>
      </c>
      <c r="I695" s="98" t="str">
        <f>IF(IFERROR(VLOOKUP(A695,'8.預力混凝土基樁'!C:D,1,0),"")="","","✔")</f>
        <v/>
      </c>
      <c r="J695" s="98" t="str">
        <f>IF(IFERROR(VLOOKUP(A695,'9.砌塊石護岸'!C:D,1,0),"")="","","✔")</f>
        <v/>
      </c>
      <c r="K695" s="98" t="str">
        <f>IF(IFERROR(VLOOKUP(A695,'10.低水護岸'!C:D,1,0),"")="","","✔")</f>
        <v/>
      </c>
      <c r="L695" s="98" t="str">
        <f>IF(IFERROR(VLOOKUP(A695,'11.固床工'!C:D,1,0),"")="","","✔")</f>
        <v/>
      </c>
      <c r="M695" s="98" t="str">
        <f>IF(IFERROR(VLOOKUP(A695,'12.全套管基樁'!C:D,1,0),"")="","","✔")</f>
        <v/>
      </c>
      <c r="N695" s="98" t="str">
        <f>IF(IFERROR(VLOOKUP(A695,'13.鋼筋混凝土管工程'!C:D,1,0),"")="","","✔")</f>
        <v/>
      </c>
      <c r="O695" s="98" t="str">
        <f>IF(IFERROR(VLOOKUP(A695,'14.鋼版樁'!C:D,1,0),"")="","","✔")</f>
        <v/>
      </c>
      <c r="P695" s="98" t="str">
        <f>IF(IFERROR(VLOOKUP(A695,'15.路床 路基高程'!C:D,1,0),"")="","","✔")</f>
        <v/>
      </c>
      <c r="Q695" s="98" t="str">
        <f>IF(IFERROR(VLOOKUP(A695,'16.瀝青混凝土'!C:D,1,0),"")="","","✔")</f>
        <v/>
      </c>
      <c r="R695" s="98" t="str">
        <f>IF(IFERROR(VLOOKUP(A695,'17.景觀鋪面(一)'!C:D,1,0),"")="","","✔")</f>
        <v/>
      </c>
      <c r="S695" s="98" t="str">
        <f>IF(IFERROR(VLOOKUP(A695,'18.景觀鋪面(二)'!C:D,1,0),"")="","","✔")</f>
        <v/>
      </c>
      <c r="T695" s="98" t="str">
        <f>IF(IFERROR(VLOOKUP(A695,'19.預鑄緣石'!C:D,1,0),"")="","","✔")</f>
        <v/>
      </c>
      <c r="U695" s="98" t="str">
        <f>IF(IFERROR(VLOOKUP(A695,'20.鋼構工程吊裝'!C:D,1,0),"")="","","✔")</f>
        <v/>
      </c>
      <c r="V695" s="98" t="str">
        <f>IF(IFERROR(VLOOKUP(A695,'21.鋼構工程塗裝'!C:D,1,0),"")="","","✔")</f>
        <v/>
      </c>
      <c r="W695" s="98" t="str">
        <f>IF(IFERROR(VLOOKUP(A695,'22.排水設施(一)'!C:D,1,0),"")="","","✔")</f>
        <v/>
      </c>
      <c r="X695" s="98" t="str">
        <f>IF(IFERROR(VLOOKUP(A695,'23.排水設施(二)'!C:D,1,0),"")="","","✔")</f>
        <v/>
      </c>
      <c r="Y695" s="98" t="str">
        <f>IF(IFERROR(VLOOKUP(A695,'24.木構造'!C:D,1,0),"")="","","✔")</f>
        <v/>
      </c>
      <c r="Z695" s="98" t="str">
        <f>IF(IFERROR(VLOOKUP(A695,'25.管路'!C:D,1,0),"")="","","✔")</f>
        <v/>
      </c>
      <c r="AA695" s="98" t="str">
        <f>IF(IFERROR(VLOOKUP(A695,'26.植栽(移植)'!C:D,1,0),"")="","","✔")</f>
        <v/>
      </c>
      <c r="AB695" s="98" t="str">
        <f>IF(IFERROR(VLOOKUP(A695,'27.植栽(新植)'!C:D,1,0),"")="","","✔")</f>
        <v/>
      </c>
      <c r="AC695" s="98" t="str">
        <f>IF(IFERROR(VLOOKUP(A695,'28.照明'!C:D,1,0),"")="","","✔")</f>
        <v/>
      </c>
      <c r="AD695" s="98" t="str">
        <f>IF(IFERROR(VLOOKUP(A695,'29.既有橋梁拆除'!C:D,1,0),"")="","","✔")</f>
        <v/>
      </c>
    </row>
    <row r="696" spans="1:30" ht="21.75" customHeight="1" x14ac:dyDescent="0.25">
      <c r="A696" s="99">
        <v>45886</v>
      </c>
      <c r="B696" s="98" t="str">
        <f>IF(IFERROR(VLOOKUP(A696,'1.測量放樣'!C:D,1,0),"")="","","✔")</f>
        <v/>
      </c>
      <c r="C696" s="98" t="str">
        <f>IF(IFERROR(VLOOKUP(A696,'2.土方開挖'!C:D,1,0),"")="","","✔")</f>
        <v/>
      </c>
      <c r="D696" s="98" t="str">
        <f>IF(IFERROR(VLOOKUP(A696,'3.土方回填'!C:D,1,0),"")="","","✔")</f>
        <v/>
      </c>
      <c r="E696" s="98" t="str">
        <f>IF(IFERROR(VLOOKUP(A696,'4.鋼筋'!C:D,1,0),"")="","","✔")</f>
        <v/>
      </c>
      <c r="F696" s="98" t="str">
        <f>IF(IFERROR(VLOOKUP(A696,'5.模板'!C:D,1,0),"")="","","✔")</f>
        <v/>
      </c>
      <c r="G696" s="98" t="str">
        <f>IF(IFERROR(VLOOKUP(A696,'6.混凝土'!C:D,1,0),"")="","","✔")</f>
        <v/>
      </c>
      <c r="H696" s="98" t="str">
        <f>IF(IFERROR(VLOOKUP(A696,'7.植筋'!C:D,1,0),"")="","","✔")</f>
        <v/>
      </c>
      <c r="I696" s="98" t="str">
        <f>IF(IFERROR(VLOOKUP(A696,'8.預力混凝土基樁'!C:D,1,0),"")="","","✔")</f>
        <v/>
      </c>
      <c r="J696" s="98" t="str">
        <f>IF(IFERROR(VLOOKUP(A696,'9.砌塊石護岸'!C:D,1,0),"")="","","✔")</f>
        <v/>
      </c>
      <c r="K696" s="98" t="str">
        <f>IF(IFERROR(VLOOKUP(A696,'10.低水護岸'!C:D,1,0),"")="","","✔")</f>
        <v/>
      </c>
      <c r="L696" s="98" t="str">
        <f>IF(IFERROR(VLOOKUP(A696,'11.固床工'!C:D,1,0),"")="","","✔")</f>
        <v/>
      </c>
      <c r="M696" s="98" t="str">
        <f>IF(IFERROR(VLOOKUP(A696,'12.全套管基樁'!C:D,1,0),"")="","","✔")</f>
        <v/>
      </c>
      <c r="N696" s="98" t="str">
        <f>IF(IFERROR(VLOOKUP(A696,'13.鋼筋混凝土管工程'!C:D,1,0),"")="","","✔")</f>
        <v/>
      </c>
      <c r="O696" s="98" t="str">
        <f>IF(IFERROR(VLOOKUP(A696,'14.鋼版樁'!C:D,1,0),"")="","","✔")</f>
        <v/>
      </c>
      <c r="P696" s="98" t="str">
        <f>IF(IFERROR(VLOOKUP(A696,'15.路床 路基高程'!C:D,1,0),"")="","","✔")</f>
        <v/>
      </c>
      <c r="Q696" s="98" t="str">
        <f>IF(IFERROR(VLOOKUP(A696,'16.瀝青混凝土'!C:D,1,0),"")="","","✔")</f>
        <v/>
      </c>
      <c r="R696" s="98" t="str">
        <f>IF(IFERROR(VLOOKUP(A696,'17.景觀鋪面(一)'!C:D,1,0),"")="","","✔")</f>
        <v/>
      </c>
      <c r="S696" s="98" t="str">
        <f>IF(IFERROR(VLOOKUP(A696,'18.景觀鋪面(二)'!C:D,1,0),"")="","","✔")</f>
        <v/>
      </c>
      <c r="T696" s="98" t="str">
        <f>IF(IFERROR(VLOOKUP(A696,'19.預鑄緣石'!C:D,1,0),"")="","","✔")</f>
        <v/>
      </c>
      <c r="U696" s="98" t="str">
        <f>IF(IFERROR(VLOOKUP(A696,'20.鋼構工程吊裝'!C:D,1,0),"")="","","✔")</f>
        <v/>
      </c>
      <c r="V696" s="98" t="str">
        <f>IF(IFERROR(VLOOKUP(A696,'21.鋼構工程塗裝'!C:D,1,0),"")="","","✔")</f>
        <v/>
      </c>
      <c r="W696" s="98" t="str">
        <f>IF(IFERROR(VLOOKUP(A696,'22.排水設施(一)'!C:D,1,0),"")="","","✔")</f>
        <v/>
      </c>
      <c r="X696" s="98" t="str">
        <f>IF(IFERROR(VLOOKUP(A696,'23.排水設施(二)'!C:D,1,0),"")="","","✔")</f>
        <v/>
      </c>
      <c r="Y696" s="98" t="str">
        <f>IF(IFERROR(VLOOKUP(A696,'24.木構造'!C:D,1,0),"")="","","✔")</f>
        <v/>
      </c>
      <c r="Z696" s="98" t="str">
        <f>IF(IFERROR(VLOOKUP(A696,'25.管路'!C:D,1,0),"")="","","✔")</f>
        <v/>
      </c>
      <c r="AA696" s="98" t="str">
        <f>IF(IFERROR(VLOOKUP(A696,'26.植栽(移植)'!C:D,1,0),"")="","","✔")</f>
        <v/>
      </c>
      <c r="AB696" s="98" t="str">
        <f>IF(IFERROR(VLOOKUP(A696,'27.植栽(新植)'!C:D,1,0),"")="","","✔")</f>
        <v/>
      </c>
      <c r="AC696" s="98" t="str">
        <f>IF(IFERROR(VLOOKUP(A696,'28.照明'!C:D,1,0),"")="","","✔")</f>
        <v/>
      </c>
      <c r="AD696" s="98" t="str">
        <f>IF(IFERROR(VLOOKUP(A696,'29.既有橋梁拆除'!C:D,1,0),"")="","","✔")</f>
        <v/>
      </c>
    </row>
    <row r="697" spans="1:30" ht="21.75" customHeight="1" x14ac:dyDescent="0.25">
      <c r="A697" s="99">
        <v>45887</v>
      </c>
      <c r="B697" s="98" t="str">
        <f>IF(IFERROR(VLOOKUP(A697,'1.測量放樣'!C:D,1,0),"")="","","✔")</f>
        <v/>
      </c>
      <c r="C697" s="98" t="str">
        <f>IF(IFERROR(VLOOKUP(A697,'2.土方開挖'!C:D,1,0),"")="","","✔")</f>
        <v/>
      </c>
      <c r="D697" s="98" t="str">
        <f>IF(IFERROR(VLOOKUP(A697,'3.土方回填'!C:D,1,0),"")="","","✔")</f>
        <v/>
      </c>
      <c r="E697" s="98" t="str">
        <f>IF(IFERROR(VLOOKUP(A697,'4.鋼筋'!C:D,1,0),"")="","","✔")</f>
        <v/>
      </c>
      <c r="F697" s="98" t="str">
        <f>IF(IFERROR(VLOOKUP(A697,'5.模板'!C:D,1,0),"")="","","✔")</f>
        <v/>
      </c>
      <c r="G697" s="98" t="str">
        <f>IF(IFERROR(VLOOKUP(A697,'6.混凝土'!C:D,1,0),"")="","","✔")</f>
        <v/>
      </c>
      <c r="H697" s="98" t="str">
        <f>IF(IFERROR(VLOOKUP(A697,'7.植筋'!C:D,1,0),"")="","","✔")</f>
        <v/>
      </c>
      <c r="I697" s="98" t="str">
        <f>IF(IFERROR(VLOOKUP(A697,'8.預力混凝土基樁'!C:D,1,0),"")="","","✔")</f>
        <v/>
      </c>
      <c r="J697" s="98" t="str">
        <f>IF(IFERROR(VLOOKUP(A697,'9.砌塊石護岸'!C:D,1,0),"")="","","✔")</f>
        <v/>
      </c>
      <c r="K697" s="98" t="str">
        <f>IF(IFERROR(VLOOKUP(A697,'10.低水護岸'!C:D,1,0),"")="","","✔")</f>
        <v/>
      </c>
      <c r="L697" s="98" t="str">
        <f>IF(IFERROR(VLOOKUP(A697,'11.固床工'!C:D,1,0),"")="","","✔")</f>
        <v/>
      </c>
      <c r="M697" s="98" t="str">
        <f>IF(IFERROR(VLOOKUP(A697,'12.全套管基樁'!C:D,1,0),"")="","","✔")</f>
        <v/>
      </c>
      <c r="N697" s="98" t="str">
        <f>IF(IFERROR(VLOOKUP(A697,'13.鋼筋混凝土管工程'!C:D,1,0),"")="","","✔")</f>
        <v/>
      </c>
      <c r="O697" s="98" t="str">
        <f>IF(IFERROR(VLOOKUP(A697,'14.鋼版樁'!C:D,1,0),"")="","","✔")</f>
        <v/>
      </c>
      <c r="P697" s="98" t="str">
        <f>IF(IFERROR(VLOOKUP(A697,'15.路床 路基高程'!C:D,1,0),"")="","","✔")</f>
        <v/>
      </c>
      <c r="Q697" s="98" t="str">
        <f>IF(IFERROR(VLOOKUP(A697,'16.瀝青混凝土'!C:D,1,0),"")="","","✔")</f>
        <v/>
      </c>
      <c r="R697" s="98" t="str">
        <f>IF(IFERROR(VLOOKUP(A697,'17.景觀鋪面(一)'!C:D,1,0),"")="","","✔")</f>
        <v/>
      </c>
      <c r="S697" s="98" t="str">
        <f>IF(IFERROR(VLOOKUP(A697,'18.景觀鋪面(二)'!C:D,1,0),"")="","","✔")</f>
        <v/>
      </c>
      <c r="T697" s="98" t="str">
        <f>IF(IFERROR(VLOOKUP(A697,'19.預鑄緣石'!C:D,1,0),"")="","","✔")</f>
        <v/>
      </c>
      <c r="U697" s="98" t="str">
        <f>IF(IFERROR(VLOOKUP(A697,'20.鋼構工程吊裝'!C:D,1,0),"")="","","✔")</f>
        <v/>
      </c>
      <c r="V697" s="98" t="str">
        <f>IF(IFERROR(VLOOKUP(A697,'21.鋼構工程塗裝'!C:D,1,0),"")="","","✔")</f>
        <v/>
      </c>
      <c r="W697" s="98" t="str">
        <f>IF(IFERROR(VLOOKUP(A697,'22.排水設施(一)'!C:D,1,0),"")="","","✔")</f>
        <v/>
      </c>
      <c r="X697" s="98" t="str">
        <f>IF(IFERROR(VLOOKUP(A697,'23.排水設施(二)'!C:D,1,0),"")="","","✔")</f>
        <v/>
      </c>
      <c r="Y697" s="98" t="str">
        <f>IF(IFERROR(VLOOKUP(A697,'24.木構造'!C:D,1,0),"")="","","✔")</f>
        <v/>
      </c>
      <c r="Z697" s="98" t="str">
        <f>IF(IFERROR(VLOOKUP(A697,'25.管路'!C:D,1,0),"")="","","✔")</f>
        <v/>
      </c>
      <c r="AA697" s="98" t="str">
        <f>IF(IFERROR(VLOOKUP(A697,'26.植栽(移植)'!C:D,1,0),"")="","","✔")</f>
        <v/>
      </c>
      <c r="AB697" s="98" t="str">
        <f>IF(IFERROR(VLOOKUP(A697,'27.植栽(新植)'!C:D,1,0),"")="","","✔")</f>
        <v/>
      </c>
      <c r="AC697" s="98" t="str">
        <f>IF(IFERROR(VLOOKUP(A697,'28.照明'!C:D,1,0),"")="","","✔")</f>
        <v/>
      </c>
      <c r="AD697" s="98" t="str">
        <f>IF(IFERROR(VLOOKUP(A697,'29.既有橋梁拆除'!C:D,1,0),"")="","","✔")</f>
        <v/>
      </c>
    </row>
    <row r="698" spans="1:30" ht="21.75" customHeight="1" x14ac:dyDescent="0.25">
      <c r="A698" s="99">
        <v>45888</v>
      </c>
      <c r="B698" s="98" t="str">
        <f>IF(IFERROR(VLOOKUP(A698,'1.測量放樣'!C:D,1,0),"")="","","✔")</f>
        <v/>
      </c>
      <c r="C698" s="98" t="str">
        <f>IF(IFERROR(VLOOKUP(A698,'2.土方開挖'!C:D,1,0),"")="","","✔")</f>
        <v/>
      </c>
      <c r="D698" s="98" t="str">
        <f>IF(IFERROR(VLOOKUP(A698,'3.土方回填'!C:D,1,0),"")="","","✔")</f>
        <v/>
      </c>
      <c r="E698" s="98" t="str">
        <f>IF(IFERROR(VLOOKUP(A698,'4.鋼筋'!C:D,1,0),"")="","","✔")</f>
        <v/>
      </c>
      <c r="F698" s="98" t="str">
        <f>IF(IFERROR(VLOOKUP(A698,'5.模板'!C:D,1,0),"")="","","✔")</f>
        <v/>
      </c>
      <c r="G698" s="98" t="str">
        <f>IF(IFERROR(VLOOKUP(A698,'6.混凝土'!C:D,1,0),"")="","","✔")</f>
        <v/>
      </c>
      <c r="H698" s="98" t="str">
        <f>IF(IFERROR(VLOOKUP(A698,'7.植筋'!C:D,1,0),"")="","","✔")</f>
        <v/>
      </c>
      <c r="I698" s="98" t="str">
        <f>IF(IFERROR(VLOOKUP(A698,'8.預力混凝土基樁'!C:D,1,0),"")="","","✔")</f>
        <v/>
      </c>
      <c r="J698" s="98" t="str">
        <f>IF(IFERROR(VLOOKUP(A698,'9.砌塊石護岸'!C:D,1,0),"")="","","✔")</f>
        <v/>
      </c>
      <c r="K698" s="98" t="str">
        <f>IF(IFERROR(VLOOKUP(A698,'10.低水護岸'!C:D,1,0),"")="","","✔")</f>
        <v/>
      </c>
      <c r="L698" s="98" t="str">
        <f>IF(IFERROR(VLOOKUP(A698,'11.固床工'!C:D,1,0),"")="","","✔")</f>
        <v/>
      </c>
      <c r="M698" s="98" t="str">
        <f>IF(IFERROR(VLOOKUP(A698,'12.全套管基樁'!C:D,1,0),"")="","","✔")</f>
        <v/>
      </c>
      <c r="N698" s="98" t="str">
        <f>IF(IFERROR(VLOOKUP(A698,'13.鋼筋混凝土管工程'!C:D,1,0),"")="","","✔")</f>
        <v/>
      </c>
      <c r="O698" s="98" t="str">
        <f>IF(IFERROR(VLOOKUP(A698,'14.鋼版樁'!C:D,1,0),"")="","","✔")</f>
        <v/>
      </c>
      <c r="P698" s="98" t="str">
        <f>IF(IFERROR(VLOOKUP(A698,'15.路床 路基高程'!C:D,1,0),"")="","","✔")</f>
        <v/>
      </c>
      <c r="Q698" s="98" t="str">
        <f>IF(IFERROR(VLOOKUP(A698,'16.瀝青混凝土'!C:D,1,0),"")="","","✔")</f>
        <v/>
      </c>
      <c r="R698" s="98" t="str">
        <f>IF(IFERROR(VLOOKUP(A698,'17.景觀鋪面(一)'!C:D,1,0),"")="","","✔")</f>
        <v/>
      </c>
      <c r="S698" s="98" t="str">
        <f>IF(IFERROR(VLOOKUP(A698,'18.景觀鋪面(二)'!C:D,1,0),"")="","","✔")</f>
        <v/>
      </c>
      <c r="T698" s="98" t="str">
        <f>IF(IFERROR(VLOOKUP(A698,'19.預鑄緣石'!C:D,1,0),"")="","","✔")</f>
        <v/>
      </c>
      <c r="U698" s="98" t="str">
        <f>IF(IFERROR(VLOOKUP(A698,'20.鋼構工程吊裝'!C:D,1,0),"")="","","✔")</f>
        <v/>
      </c>
      <c r="V698" s="98" t="str">
        <f>IF(IFERROR(VLOOKUP(A698,'21.鋼構工程塗裝'!C:D,1,0),"")="","","✔")</f>
        <v/>
      </c>
      <c r="W698" s="98" t="str">
        <f>IF(IFERROR(VLOOKUP(A698,'22.排水設施(一)'!C:D,1,0),"")="","","✔")</f>
        <v/>
      </c>
      <c r="X698" s="98" t="str">
        <f>IF(IFERROR(VLOOKUP(A698,'23.排水設施(二)'!C:D,1,0),"")="","","✔")</f>
        <v/>
      </c>
      <c r="Y698" s="98" t="str">
        <f>IF(IFERROR(VLOOKUP(A698,'24.木構造'!C:D,1,0),"")="","","✔")</f>
        <v/>
      </c>
      <c r="Z698" s="98" t="str">
        <f>IF(IFERROR(VLOOKUP(A698,'25.管路'!C:D,1,0),"")="","","✔")</f>
        <v/>
      </c>
      <c r="AA698" s="98" t="str">
        <f>IF(IFERROR(VLOOKUP(A698,'26.植栽(移植)'!C:D,1,0),"")="","","✔")</f>
        <v/>
      </c>
      <c r="AB698" s="98" t="str">
        <f>IF(IFERROR(VLOOKUP(A698,'27.植栽(新植)'!C:D,1,0),"")="","","✔")</f>
        <v/>
      </c>
      <c r="AC698" s="98" t="str">
        <f>IF(IFERROR(VLOOKUP(A698,'28.照明'!C:D,1,0),"")="","","✔")</f>
        <v/>
      </c>
      <c r="AD698" s="98" t="str">
        <f>IF(IFERROR(VLOOKUP(A698,'29.既有橋梁拆除'!C:D,1,0),"")="","","✔")</f>
        <v/>
      </c>
    </row>
    <row r="699" spans="1:30" ht="21.75" customHeight="1" x14ac:dyDescent="0.25">
      <c r="A699" s="99">
        <v>45889</v>
      </c>
      <c r="B699" s="98" t="str">
        <f>IF(IFERROR(VLOOKUP(A699,'1.測量放樣'!C:D,1,0),"")="","","✔")</f>
        <v/>
      </c>
      <c r="C699" s="98" t="str">
        <f>IF(IFERROR(VLOOKUP(A699,'2.土方開挖'!C:D,1,0),"")="","","✔")</f>
        <v/>
      </c>
      <c r="D699" s="98" t="str">
        <f>IF(IFERROR(VLOOKUP(A699,'3.土方回填'!C:D,1,0),"")="","","✔")</f>
        <v/>
      </c>
      <c r="E699" s="98" t="str">
        <f>IF(IFERROR(VLOOKUP(A699,'4.鋼筋'!C:D,1,0),"")="","","✔")</f>
        <v/>
      </c>
      <c r="F699" s="98" t="str">
        <f>IF(IFERROR(VLOOKUP(A699,'5.模板'!C:D,1,0),"")="","","✔")</f>
        <v/>
      </c>
      <c r="G699" s="98" t="str">
        <f>IF(IFERROR(VLOOKUP(A699,'6.混凝土'!C:D,1,0),"")="","","✔")</f>
        <v/>
      </c>
      <c r="H699" s="98" t="str">
        <f>IF(IFERROR(VLOOKUP(A699,'7.植筋'!C:D,1,0),"")="","","✔")</f>
        <v/>
      </c>
      <c r="I699" s="98" t="str">
        <f>IF(IFERROR(VLOOKUP(A699,'8.預力混凝土基樁'!C:D,1,0),"")="","","✔")</f>
        <v/>
      </c>
      <c r="J699" s="98" t="str">
        <f>IF(IFERROR(VLOOKUP(A699,'9.砌塊石護岸'!C:D,1,0),"")="","","✔")</f>
        <v/>
      </c>
      <c r="K699" s="98" t="str">
        <f>IF(IFERROR(VLOOKUP(A699,'10.低水護岸'!C:D,1,0),"")="","","✔")</f>
        <v/>
      </c>
      <c r="L699" s="98" t="str">
        <f>IF(IFERROR(VLOOKUP(A699,'11.固床工'!C:D,1,0),"")="","","✔")</f>
        <v/>
      </c>
      <c r="M699" s="98" t="str">
        <f>IF(IFERROR(VLOOKUP(A699,'12.全套管基樁'!C:D,1,0),"")="","","✔")</f>
        <v/>
      </c>
      <c r="N699" s="98" t="str">
        <f>IF(IFERROR(VLOOKUP(A699,'13.鋼筋混凝土管工程'!C:D,1,0),"")="","","✔")</f>
        <v/>
      </c>
      <c r="O699" s="98" t="str">
        <f>IF(IFERROR(VLOOKUP(A699,'14.鋼版樁'!C:D,1,0),"")="","","✔")</f>
        <v/>
      </c>
      <c r="P699" s="98" t="str">
        <f>IF(IFERROR(VLOOKUP(A699,'15.路床 路基高程'!C:D,1,0),"")="","","✔")</f>
        <v/>
      </c>
      <c r="Q699" s="98" t="str">
        <f>IF(IFERROR(VLOOKUP(A699,'16.瀝青混凝土'!C:D,1,0),"")="","","✔")</f>
        <v/>
      </c>
      <c r="R699" s="98" t="str">
        <f>IF(IFERROR(VLOOKUP(A699,'17.景觀鋪面(一)'!C:D,1,0),"")="","","✔")</f>
        <v/>
      </c>
      <c r="S699" s="98" t="str">
        <f>IF(IFERROR(VLOOKUP(A699,'18.景觀鋪面(二)'!C:D,1,0),"")="","","✔")</f>
        <v/>
      </c>
      <c r="T699" s="98" t="str">
        <f>IF(IFERROR(VLOOKUP(A699,'19.預鑄緣石'!C:D,1,0),"")="","","✔")</f>
        <v/>
      </c>
      <c r="U699" s="98" t="str">
        <f>IF(IFERROR(VLOOKUP(A699,'20.鋼構工程吊裝'!C:D,1,0),"")="","","✔")</f>
        <v/>
      </c>
      <c r="V699" s="98" t="str">
        <f>IF(IFERROR(VLOOKUP(A699,'21.鋼構工程塗裝'!C:D,1,0),"")="","","✔")</f>
        <v/>
      </c>
      <c r="W699" s="98" t="str">
        <f>IF(IFERROR(VLOOKUP(A699,'22.排水設施(一)'!C:D,1,0),"")="","","✔")</f>
        <v/>
      </c>
      <c r="X699" s="98" t="str">
        <f>IF(IFERROR(VLOOKUP(A699,'23.排水設施(二)'!C:D,1,0),"")="","","✔")</f>
        <v/>
      </c>
      <c r="Y699" s="98" t="str">
        <f>IF(IFERROR(VLOOKUP(A699,'24.木構造'!C:D,1,0),"")="","","✔")</f>
        <v/>
      </c>
      <c r="Z699" s="98" t="str">
        <f>IF(IFERROR(VLOOKUP(A699,'25.管路'!C:D,1,0),"")="","","✔")</f>
        <v/>
      </c>
      <c r="AA699" s="98" t="str">
        <f>IF(IFERROR(VLOOKUP(A699,'26.植栽(移植)'!C:D,1,0),"")="","","✔")</f>
        <v/>
      </c>
      <c r="AB699" s="98" t="str">
        <f>IF(IFERROR(VLOOKUP(A699,'27.植栽(新植)'!C:D,1,0),"")="","","✔")</f>
        <v/>
      </c>
      <c r="AC699" s="98" t="str">
        <f>IF(IFERROR(VLOOKUP(A699,'28.照明'!C:D,1,0),"")="","","✔")</f>
        <v/>
      </c>
      <c r="AD699" s="98" t="str">
        <f>IF(IFERROR(VLOOKUP(A699,'29.既有橋梁拆除'!C:D,1,0),"")="","","✔")</f>
        <v/>
      </c>
    </row>
    <row r="700" spans="1:30" ht="21.75" customHeight="1" x14ac:dyDescent="0.25">
      <c r="A700" s="99">
        <v>45890</v>
      </c>
      <c r="B700" s="98" t="str">
        <f>IF(IFERROR(VLOOKUP(A700,'1.測量放樣'!C:D,1,0),"")="","","✔")</f>
        <v/>
      </c>
      <c r="C700" s="98" t="str">
        <f>IF(IFERROR(VLOOKUP(A700,'2.土方開挖'!C:D,1,0),"")="","","✔")</f>
        <v/>
      </c>
      <c r="D700" s="98" t="str">
        <f>IF(IFERROR(VLOOKUP(A700,'3.土方回填'!C:D,1,0),"")="","","✔")</f>
        <v/>
      </c>
      <c r="E700" s="98" t="str">
        <f>IF(IFERROR(VLOOKUP(A700,'4.鋼筋'!C:D,1,0),"")="","","✔")</f>
        <v/>
      </c>
      <c r="F700" s="98" t="str">
        <f>IF(IFERROR(VLOOKUP(A700,'5.模板'!C:D,1,0),"")="","","✔")</f>
        <v/>
      </c>
      <c r="G700" s="98" t="str">
        <f>IF(IFERROR(VLOOKUP(A700,'6.混凝土'!C:D,1,0),"")="","","✔")</f>
        <v/>
      </c>
      <c r="H700" s="98" t="str">
        <f>IF(IFERROR(VLOOKUP(A700,'7.植筋'!C:D,1,0),"")="","","✔")</f>
        <v/>
      </c>
      <c r="I700" s="98" t="str">
        <f>IF(IFERROR(VLOOKUP(A700,'8.預力混凝土基樁'!C:D,1,0),"")="","","✔")</f>
        <v/>
      </c>
      <c r="J700" s="98" t="str">
        <f>IF(IFERROR(VLOOKUP(A700,'9.砌塊石護岸'!C:D,1,0),"")="","","✔")</f>
        <v/>
      </c>
      <c r="K700" s="98" t="str">
        <f>IF(IFERROR(VLOOKUP(A700,'10.低水護岸'!C:D,1,0),"")="","","✔")</f>
        <v/>
      </c>
      <c r="L700" s="98" t="str">
        <f>IF(IFERROR(VLOOKUP(A700,'11.固床工'!C:D,1,0),"")="","","✔")</f>
        <v/>
      </c>
      <c r="M700" s="98" t="str">
        <f>IF(IFERROR(VLOOKUP(A700,'12.全套管基樁'!C:D,1,0),"")="","","✔")</f>
        <v/>
      </c>
      <c r="N700" s="98" t="str">
        <f>IF(IFERROR(VLOOKUP(A700,'13.鋼筋混凝土管工程'!C:D,1,0),"")="","","✔")</f>
        <v/>
      </c>
      <c r="O700" s="98" t="str">
        <f>IF(IFERROR(VLOOKUP(A700,'14.鋼版樁'!C:D,1,0),"")="","","✔")</f>
        <v/>
      </c>
      <c r="P700" s="98" t="str">
        <f>IF(IFERROR(VLOOKUP(A700,'15.路床 路基高程'!C:D,1,0),"")="","","✔")</f>
        <v/>
      </c>
      <c r="Q700" s="98" t="str">
        <f>IF(IFERROR(VLOOKUP(A700,'16.瀝青混凝土'!C:D,1,0),"")="","","✔")</f>
        <v/>
      </c>
      <c r="R700" s="98" t="str">
        <f>IF(IFERROR(VLOOKUP(A700,'17.景觀鋪面(一)'!C:D,1,0),"")="","","✔")</f>
        <v/>
      </c>
      <c r="S700" s="98" t="str">
        <f>IF(IFERROR(VLOOKUP(A700,'18.景觀鋪面(二)'!C:D,1,0),"")="","","✔")</f>
        <v/>
      </c>
      <c r="T700" s="98" t="str">
        <f>IF(IFERROR(VLOOKUP(A700,'19.預鑄緣石'!C:D,1,0),"")="","","✔")</f>
        <v/>
      </c>
      <c r="U700" s="98" t="str">
        <f>IF(IFERROR(VLOOKUP(A700,'20.鋼構工程吊裝'!C:D,1,0),"")="","","✔")</f>
        <v/>
      </c>
      <c r="V700" s="98" t="str">
        <f>IF(IFERROR(VLOOKUP(A700,'21.鋼構工程塗裝'!C:D,1,0),"")="","","✔")</f>
        <v/>
      </c>
      <c r="W700" s="98" t="str">
        <f>IF(IFERROR(VLOOKUP(A700,'22.排水設施(一)'!C:D,1,0),"")="","","✔")</f>
        <v/>
      </c>
      <c r="X700" s="98" t="str">
        <f>IF(IFERROR(VLOOKUP(A700,'23.排水設施(二)'!C:D,1,0),"")="","","✔")</f>
        <v/>
      </c>
      <c r="Y700" s="98" t="str">
        <f>IF(IFERROR(VLOOKUP(A700,'24.木構造'!C:D,1,0),"")="","","✔")</f>
        <v/>
      </c>
      <c r="Z700" s="98" t="str">
        <f>IF(IFERROR(VLOOKUP(A700,'25.管路'!C:D,1,0),"")="","","✔")</f>
        <v/>
      </c>
      <c r="AA700" s="98" t="str">
        <f>IF(IFERROR(VLOOKUP(A700,'26.植栽(移植)'!C:D,1,0),"")="","","✔")</f>
        <v/>
      </c>
      <c r="AB700" s="98" t="str">
        <f>IF(IFERROR(VLOOKUP(A700,'27.植栽(新植)'!C:D,1,0),"")="","","✔")</f>
        <v/>
      </c>
      <c r="AC700" s="98" t="str">
        <f>IF(IFERROR(VLOOKUP(A700,'28.照明'!C:D,1,0),"")="","","✔")</f>
        <v/>
      </c>
      <c r="AD700" s="98" t="str">
        <f>IF(IFERROR(VLOOKUP(A700,'29.既有橋梁拆除'!C:D,1,0),"")="","","✔")</f>
        <v/>
      </c>
    </row>
    <row r="701" spans="1:30" ht="21.75" customHeight="1" x14ac:dyDescent="0.25">
      <c r="A701" s="99">
        <v>45891</v>
      </c>
      <c r="B701" s="98" t="str">
        <f>IF(IFERROR(VLOOKUP(A701,'1.測量放樣'!C:D,1,0),"")="","","✔")</f>
        <v/>
      </c>
      <c r="C701" s="98" t="str">
        <f>IF(IFERROR(VLOOKUP(A701,'2.土方開挖'!C:D,1,0),"")="","","✔")</f>
        <v/>
      </c>
      <c r="D701" s="98" t="str">
        <f>IF(IFERROR(VLOOKUP(A701,'3.土方回填'!C:D,1,0),"")="","","✔")</f>
        <v/>
      </c>
      <c r="E701" s="98" t="str">
        <f>IF(IFERROR(VLOOKUP(A701,'4.鋼筋'!C:D,1,0),"")="","","✔")</f>
        <v/>
      </c>
      <c r="F701" s="98" t="str">
        <f>IF(IFERROR(VLOOKUP(A701,'5.模板'!C:D,1,0),"")="","","✔")</f>
        <v/>
      </c>
      <c r="G701" s="98" t="str">
        <f>IF(IFERROR(VLOOKUP(A701,'6.混凝土'!C:D,1,0),"")="","","✔")</f>
        <v/>
      </c>
      <c r="H701" s="98" t="str">
        <f>IF(IFERROR(VLOOKUP(A701,'7.植筋'!C:D,1,0),"")="","","✔")</f>
        <v/>
      </c>
      <c r="I701" s="98" t="str">
        <f>IF(IFERROR(VLOOKUP(A701,'8.預力混凝土基樁'!C:D,1,0),"")="","","✔")</f>
        <v/>
      </c>
      <c r="J701" s="98" t="str">
        <f>IF(IFERROR(VLOOKUP(A701,'9.砌塊石護岸'!C:D,1,0),"")="","","✔")</f>
        <v/>
      </c>
      <c r="K701" s="98" t="str">
        <f>IF(IFERROR(VLOOKUP(A701,'10.低水護岸'!C:D,1,0),"")="","","✔")</f>
        <v/>
      </c>
      <c r="L701" s="98" t="str">
        <f>IF(IFERROR(VLOOKUP(A701,'11.固床工'!C:D,1,0),"")="","","✔")</f>
        <v/>
      </c>
      <c r="M701" s="98" t="str">
        <f>IF(IFERROR(VLOOKUP(A701,'12.全套管基樁'!C:D,1,0),"")="","","✔")</f>
        <v/>
      </c>
      <c r="N701" s="98" t="str">
        <f>IF(IFERROR(VLOOKUP(A701,'13.鋼筋混凝土管工程'!C:D,1,0),"")="","","✔")</f>
        <v/>
      </c>
      <c r="O701" s="98" t="str">
        <f>IF(IFERROR(VLOOKUP(A701,'14.鋼版樁'!C:D,1,0),"")="","","✔")</f>
        <v/>
      </c>
      <c r="P701" s="98" t="str">
        <f>IF(IFERROR(VLOOKUP(A701,'15.路床 路基高程'!C:D,1,0),"")="","","✔")</f>
        <v/>
      </c>
      <c r="Q701" s="98" t="str">
        <f>IF(IFERROR(VLOOKUP(A701,'16.瀝青混凝土'!C:D,1,0),"")="","","✔")</f>
        <v/>
      </c>
      <c r="R701" s="98" t="str">
        <f>IF(IFERROR(VLOOKUP(A701,'17.景觀鋪面(一)'!C:D,1,0),"")="","","✔")</f>
        <v/>
      </c>
      <c r="S701" s="98" t="str">
        <f>IF(IFERROR(VLOOKUP(A701,'18.景觀鋪面(二)'!C:D,1,0),"")="","","✔")</f>
        <v/>
      </c>
      <c r="T701" s="98" t="str">
        <f>IF(IFERROR(VLOOKUP(A701,'19.預鑄緣石'!C:D,1,0),"")="","","✔")</f>
        <v/>
      </c>
      <c r="U701" s="98" t="str">
        <f>IF(IFERROR(VLOOKUP(A701,'20.鋼構工程吊裝'!C:D,1,0),"")="","","✔")</f>
        <v/>
      </c>
      <c r="V701" s="98" t="str">
        <f>IF(IFERROR(VLOOKUP(A701,'21.鋼構工程塗裝'!C:D,1,0),"")="","","✔")</f>
        <v/>
      </c>
      <c r="W701" s="98" t="str">
        <f>IF(IFERROR(VLOOKUP(A701,'22.排水設施(一)'!C:D,1,0),"")="","","✔")</f>
        <v/>
      </c>
      <c r="X701" s="98" t="str">
        <f>IF(IFERROR(VLOOKUP(A701,'23.排水設施(二)'!C:D,1,0),"")="","","✔")</f>
        <v/>
      </c>
      <c r="Y701" s="98" t="str">
        <f>IF(IFERROR(VLOOKUP(A701,'24.木構造'!C:D,1,0),"")="","","✔")</f>
        <v/>
      </c>
      <c r="Z701" s="98" t="str">
        <f>IF(IFERROR(VLOOKUP(A701,'25.管路'!C:D,1,0),"")="","","✔")</f>
        <v/>
      </c>
      <c r="AA701" s="98" t="str">
        <f>IF(IFERROR(VLOOKUP(A701,'26.植栽(移植)'!C:D,1,0),"")="","","✔")</f>
        <v/>
      </c>
      <c r="AB701" s="98" t="str">
        <f>IF(IFERROR(VLOOKUP(A701,'27.植栽(新植)'!C:D,1,0),"")="","","✔")</f>
        <v/>
      </c>
      <c r="AC701" s="98" t="str">
        <f>IF(IFERROR(VLOOKUP(A701,'28.照明'!C:D,1,0),"")="","","✔")</f>
        <v/>
      </c>
      <c r="AD701" s="98" t="str">
        <f>IF(IFERROR(VLOOKUP(A701,'29.既有橋梁拆除'!C:D,1,0),"")="","","✔")</f>
        <v/>
      </c>
    </row>
    <row r="702" spans="1:30" ht="21.75" customHeight="1" x14ac:dyDescent="0.25">
      <c r="A702" s="99">
        <v>45892</v>
      </c>
      <c r="B702" s="98" t="str">
        <f>IF(IFERROR(VLOOKUP(A702,'1.測量放樣'!C:D,1,0),"")="","","✔")</f>
        <v/>
      </c>
      <c r="C702" s="98" t="str">
        <f>IF(IFERROR(VLOOKUP(A702,'2.土方開挖'!C:D,1,0),"")="","","✔")</f>
        <v/>
      </c>
      <c r="D702" s="98" t="str">
        <f>IF(IFERROR(VLOOKUP(A702,'3.土方回填'!C:D,1,0),"")="","","✔")</f>
        <v/>
      </c>
      <c r="E702" s="98" t="str">
        <f>IF(IFERROR(VLOOKUP(A702,'4.鋼筋'!C:D,1,0),"")="","","✔")</f>
        <v/>
      </c>
      <c r="F702" s="98" t="str">
        <f>IF(IFERROR(VLOOKUP(A702,'5.模板'!C:D,1,0),"")="","","✔")</f>
        <v/>
      </c>
      <c r="G702" s="98" t="str">
        <f>IF(IFERROR(VLOOKUP(A702,'6.混凝土'!C:D,1,0),"")="","","✔")</f>
        <v/>
      </c>
      <c r="H702" s="98" t="str">
        <f>IF(IFERROR(VLOOKUP(A702,'7.植筋'!C:D,1,0),"")="","","✔")</f>
        <v/>
      </c>
      <c r="I702" s="98" t="str">
        <f>IF(IFERROR(VLOOKUP(A702,'8.預力混凝土基樁'!C:D,1,0),"")="","","✔")</f>
        <v/>
      </c>
      <c r="J702" s="98" t="str">
        <f>IF(IFERROR(VLOOKUP(A702,'9.砌塊石護岸'!C:D,1,0),"")="","","✔")</f>
        <v/>
      </c>
      <c r="K702" s="98" t="str">
        <f>IF(IFERROR(VLOOKUP(A702,'10.低水護岸'!C:D,1,0),"")="","","✔")</f>
        <v/>
      </c>
      <c r="L702" s="98" t="str">
        <f>IF(IFERROR(VLOOKUP(A702,'11.固床工'!C:D,1,0),"")="","","✔")</f>
        <v/>
      </c>
      <c r="M702" s="98" t="str">
        <f>IF(IFERROR(VLOOKUP(A702,'12.全套管基樁'!C:D,1,0),"")="","","✔")</f>
        <v/>
      </c>
      <c r="N702" s="98" t="str">
        <f>IF(IFERROR(VLOOKUP(A702,'13.鋼筋混凝土管工程'!C:D,1,0),"")="","","✔")</f>
        <v/>
      </c>
      <c r="O702" s="98" t="str">
        <f>IF(IFERROR(VLOOKUP(A702,'14.鋼版樁'!C:D,1,0),"")="","","✔")</f>
        <v/>
      </c>
      <c r="P702" s="98" t="str">
        <f>IF(IFERROR(VLOOKUP(A702,'15.路床 路基高程'!C:D,1,0),"")="","","✔")</f>
        <v/>
      </c>
      <c r="Q702" s="98" t="str">
        <f>IF(IFERROR(VLOOKUP(A702,'16.瀝青混凝土'!C:D,1,0),"")="","","✔")</f>
        <v/>
      </c>
      <c r="R702" s="98" t="str">
        <f>IF(IFERROR(VLOOKUP(A702,'17.景觀鋪面(一)'!C:D,1,0),"")="","","✔")</f>
        <v/>
      </c>
      <c r="S702" s="98" t="str">
        <f>IF(IFERROR(VLOOKUP(A702,'18.景觀鋪面(二)'!C:D,1,0),"")="","","✔")</f>
        <v/>
      </c>
      <c r="T702" s="98" t="str">
        <f>IF(IFERROR(VLOOKUP(A702,'19.預鑄緣石'!C:D,1,0),"")="","","✔")</f>
        <v/>
      </c>
      <c r="U702" s="98" t="str">
        <f>IF(IFERROR(VLOOKUP(A702,'20.鋼構工程吊裝'!C:D,1,0),"")="","","✔")</f>
        <v/>
      </c>
      <c r="V702" s="98" t="str">
        <f>IF(IFERROR(VLOOKUP(A702,'21.鋼構工程塗裝'!C:D,1,0),"")="","","✔")</f>
        <v/>
      </c>
      <c r="W702" s="98" t="str">
        <f>IF(IFERROR(VLOOKUP(A702,'22.排水設施(一)'!C:D,1,0),"")="","","✔")</f>
        <v/>
      </c>
      <c r="X702" s="98" t="str">
        <f>IF(IFERROR(VLOOKUP(A702,'23.排水設施(二)'!C:D,1,0),"")="","","✔")</f>
        <v/>
      </c>
      <c r="Y702" s="98" t="str">
        <f>IF(IFERROR(VLOOKUP(A702,'24.木構造'!C:D,1,0),"")="","","✔")</f>
        <v/>
      </c>
      <c r="Z702" s="98" t="str">
        <f>IF(IFERROR(VLOOKUP(A702,'25.管路'!C:D,1,0),"")="","","✔")</f>
        <v/>
      </c>
      <c r="AA702" s="98" t="str">
        <f>IF(IFERROR(VLOOKUP(A702,'26.植栽(移植)'!C:D,1,0),"")="","","✔")</f>
        <v/>
      </c>
      <c r="AB702" s="98" t="str">
        <f>IF(IFERROR(VLOOKUP(A702,'27.植栽(新植)'!C:D,1,0),"")="","","✔")</f>
        <v/>
      </c>
      <c r="AC702" s="98" t="str">
        <f>IF(IFERROR(VLOOKUP(A702,'28.照明'!C:D,1,0),"")="","","✔")</f>
        <v/>
      </c>
      <c r="AD702" s="98" t="str">
        <f>IF(IFERROR(VLOOKUP(A702,'29.既有橋梁拆除'!C:D,1,0),"")="","","✔")</f>
        <v/>
      </c>
    </row>
    <row r="703" spans="1:30" ht="21.75" customHeight="1" x14ac:dyDescent="0.25">
      <c r="A703" s="99">
        <v>45893</v>
      </c>
      <c r="B703" s="98" t="str">
        <f>IF(IFERROR(VLOOKUP(A703,'1.測量放樣'!C:D,1,0),"")="","","✔")</f>
        <v/>
      </c>
      <c r="C703" s="98" t="str">
        <f>IF(IFERROR(VLOOKUP(A703,'2.土方開挖'!C:D,1,0),"")="","","✔")</f>
        <v/>
      </c>
      <c r="D703" s="98" t="str">
        <f>IF(IFERROR(VLOOKUP(A703,'3.土方回填'!C:D,1,0),"")="","","✔")</f>
        <v/>
      </c>
      <c r="E703" s="98" t="str">
        <f>IF(IFERROR(VLOOKUP(A703,'4.鋼筋'!C:D,1,0),"")="","","✔")</f>
        <v/>
      </c>
      <c r="F703" s="98" t="str">
        <f>IF(IFERROR(VLOOKUP(A703,'5.模板'!C:D,1,0),"")="","","✔")</f>
        <v/>
      </c>
      <c r="G703" s="98" t="str">
        <f>IF(IFERROR(VLOOKUP(A703,'6.混凝土'!C:D,1,0),"")="","","✔")</f>
        <v/>
      </c>
      <c r="H703" s="98" t="str">
        <f>IF(IFERROR(VLOOKUP(A703,'7.植筋'!C:D,1,0),"")="","","✔")</f>
        <v/>
      </c>
      <c r="I703" s="98" t="str">
        <f>IF(IFERROR(VLOOKUP(A703,'8.預力混凝土基樁'!C:D,1,0),"")="","","✔")</f>
        <v/>
      </c>
      <c r="J703" s="98" t="str">
        <f>IF(IFERROR(VLOOKUP(A703,'9.砌塊石護岸'!C:D,1,0),"")="","","✔")</f>
        <v/>
      </c>
      <c r="K703" s="98" t="str">
        <f>IF(IFERROR(VLOOKUP(A703,'10.低水護岸'!C:D,1,0),"")="","","✔")</f>
        <v/>
      </c>
      <c r="L703" s="98" t="str">
        <f>IF(IFERROR(VLOOKUP(A703,'11.固床工'!C:D,1,0),"")="","","✔")</f>
        <v/>
      </c>
      <c r="M703" s="98" t="str">
        <f>IF(IFERROR(VLOOKUP(A703,'12.全套管基樁'!C:D,1,0),"")="","","✔")</f>
        <v/>
      </c>
      <c r="N703" s="98" t="str">
        <f>IF(IFERROR(VLOOKUP(A703,'13.鋼筋混凝土管工程'!C:D,1,0),"")="","","✔")</f>
        <v/>
      </c>
      <c r="O703" s="98" t="str">
        <f>IF(IFERROR(VLOOKUP(A703,'14.鋼版樁'!C:D,1,0),"")="","","✔")</f>
        <v/>
      </c>
      <c r="P703" s="98" t="str">
        <f>IF(IFERROR(VLOOKUP(A703,'15.路床 路基高程'!C:D,1,0),"")="","","✔")</f>
        <v/>
      </c>
      <c r="Q703" s="98" t="str">
        <f>IF(IFERROR(VLOOKUP(A703,'16.瀝青混凝土'!C:D,1,0),"")="","","✔")</f>
        <v/>
      </c>
      <c r="R703" s="98" t="str">
        <f>IF(IFERROR(VLOOKUP(A703,'17.景觀鋪面(一)'!C:D,1,0),"")="","","✔")</f>
        <v/>
      </c>
      <c r="S703" s="98" t="str">
        <f>IF(IFERROR(VLOOKUP(A703,'18.景觀鋪面(二)'!C:D,1,0),"")="","","✔")</f>
        <v/>
      </c>
      <c r="T703" s="98" t="str">
        <f>IF(IFERROR(VLOOKUP(A703,'19.預鑄緣石'!C:D,1,0),"")="","","✔")</f>
        <v/>
      </c>
      <c r="U703" s="98" t="str">
        <f>IF(IFERROR(VLOOKUP(A703,'20.鋼構工程吊裝'!C:D,1,0),"")="","","✔")</f>
        <v/>
      </c>
      <c r="V703" s="98" t="str">
        <f>IF(IFERROR(VLOOKUP(A703,'21.鋼構工程塗裝'!C:D,1,0),"")="","","✔")</f>
        <v/>
      </c>
      <c r="W703" s="98" t="str">
        <f>IF(IFERROR(VLOOKUP(A703,'22.排水設施(一)'!C:D,1,0),"")="","","✔")</f>
        <v/>
      </c>
      <c r="X703" s="98" t="str">
        <f>IF(IFERROR(VLOOKUP(A703,'23.排水設施(二)'!C:D,1,0),"")="","","✔")</f>
        <v/>
      </c>
      <c r="Y703" s="98" t="str">
        <f>IF(IFERROR(VLOOKUP(A703,'24.木構造'!C:D,1,0),"")="","","✔")</f>
        <v/>
      </c>
      <c r="Z703" s="98" t="str">
        <f>IF(IFERROR(VLOOKUP(A703,'25.管路'!C:D,1,0),"")="","","✔")</f>
        <v/>
      </c>
      <c r="AA703" s="98" t="str">
        <f>IF(IFERROR(VLOOKUP(A703,'26.植栽(移植)'!C:D,1,0),"")="","","✔")</f>
        <v/>
      </c>
      <c r="AB703" s="98" t="str">
        <f>IF(IFERROR(VLOOKUP(A703,'27.植栽(新植)'!C:D,1,0),"")="","","✔")</f>
        <v/>
      </c>
      <c r="AC703" s="98" t="str">
        <f>IF(IFERROR(VLOOKUP(A703,'28.照明'!C:D,1,0),"")="","","✔")</f>
        <v/>
      </c>
      <c r="AD703" s="98" t="str">
        <f>IF(IFERROR(VLOOKUP(A703,'29.既有橋梁拆除'!C:D,1,0),"")="","","✔")</f>
        <v/>
      </c>
    </row>
    <row r="704" spans="1:30" ht="21.75" customHeight="1" x14ac:dyDescent="0.25">
      <c r="A704" s="99">
        <v>45894</v>
      </c>
      <c r="B704" s="98" t="str">
        <f>IF(IFERROR(VLOOKUP(A704,'1.測量放樣'!C:D,1,0),"")="","","✔")</f>
        <v/>
      </c>
      <c r="C704" s="98" t="str">
        <f>IF(IFERROR(VLOOKUP(A704,'2.土方開挖'!C:D,1,0),"")="","","✔")</f>
        <v/>
      </c>
      <c r="D704" s="98" t="str">
        <f>IF(IFERROR(VLOOKUP(A704,'3.土方回填'!C:D,1,0),"")="","","✔")</f>
        <v/>
      </c>
      <c r="E704" s="98" t="str">
        <f>IF(IFERROR(VLOOKUP(A704,'4.鋼筋'!C:D,1,0),"")="","","✔")</f>
        <v/>
      </c>
      <c r="F704" s="98" t="str">
        <f>IF(IFERROR(VLOOKUP(A704,'5.模板'!C:D,1,0),"")="","","✔")</f>
        <v/>
      </c>
      <c r="G704" s="98" t="str">
        <f>IF(IFERROR(VLOOKUP(A704,'6.混凝土'!C:D,1,0),"")="","","✔")</f>
        <v/>
      </c>
      <c r="H704" s="98" t="str">
        <f>IF(IFERROR(VLOOKUP(A704,'7.植筋'!C:D,1,0),"")="","","✔")</f>
        <v/>
      </c>
      <c r="I704" s="98" t="str">
        <f>IF(IFERROR(VLOOKUP(A704,'8.預力混凝土基樁'!C:D,1,0),"")="","","✔")</f>
        <v/>
      </c>
      <c r="J704" s="98" t="str">
        <f>IF(IFERROR(VLOOKUP(A704,'9.砌塊石護岸'!C:D,1,0),"")="","","✔")</f>
        <v/>
      </c>
      <c r="K704" s="98" t="str">
        <f>IF(IFERROR(VLOOKUP(A704,'10.低水護岸'!C:D,1,0),"")="","","✔")</f>
        <v/>
      </c>
      <c r="L704" s="98" t="str">
        <f>IF(IFERROR(VLOOKUP(A704,'11.固床工'!C:D,1,0),"")="","","✔")</f>
        <v/>
      </c>
      <c r="M704" s="98" t="str">
        <f>IF(IFERROR(VLOOKUP(A704,'12.全套管基樁'!C:D,1,0),"")="","","✔")</f>
        <v/>
      </c>
      <c r="N704" s="98" t="str">
        <f>IF(IFERROR(VLOOKUP(A704,'13.鋼筋混凝土管工程'!C:D,1,0),"")="","","✔")</f>
        <v/>
      </c>
      <c r="O704" s="98" t="str">
        <f>IF(IFERROR(VLOOKUP(A704,'14.鋼版樁'!C:D,1,0),"")="","","✔")</f>
        <v/>
      </c>
      <c r="P704" s="98" t="str">
        <f>IF(IFERROR(VLOOKUP(A704,'15.路床 路基高程'!C:D,1,0),"")="","","✔")</f>
        <v/>
      </c>
      <c r="Q704" s="98" t="str">
        <f>IF(IFERROR(VLOOKUP(A704,'16.瀝青混凝土'!C:D,1,0),"")="","","✔")</f>
        <v/>
      </c>
      <c r="R704" s="98" t="str">
        <f>IF(IFERROR(VLOOKUP(A704,'17.景觀鋪面(一)'!C:D,1,0),"")="","","✔")</f>
        <v/>
      </c>
      <c r="S704" s="98" t="str">
        <f>IF(IFERROR(VLOOKUP(A704,'18.景觀鋪面(二)'!C:D,1,0),"")="","","✔")</f>
        <v/>
      </c>
      <c r="T704" s="98" t="str">
        <f>IF(IFERROR(VLOOKUP(A704,'19.預鑄緣石'!C:D,1,0),"")="","","✔")</f>
        <v/>
      </c>
      <c r="U704" s="98" t="str">
        <f>IF(IFERROR(VLOOKUP(A704,'20.鋼構工程吊裝'!C:D,1,0),"")="","","✔")</f>
        <v/>
      </c>
      <c r="V704" s="98" t="str">
        <f>IF(IFERROR(VLOOKUP(A704,'21.鋼構工程塗裝'!C:D,1,0),"")="","","✔")</f>
        <v/>
      </c>
      <c r="W704" s="98" t="str">
        <f>IF(IFERROR(VLOOKUP(A704,'22.排水設施(一)'!C:D,1,0),"")="","","✔")</f>
        <v/>
      </c>
      <c r="X704" s="98" t="str">
        <f>IF(IFERROR(VLOOKUP(A704,'23.排水設施(二)'!C:D,1,0),"")="","","✔")</f>
        <v/>
      </c>
      <c r="Y704" s="98" t="str">
        <f>IF(IFERROR(VLOOKUP(A704,'24.木構造'!C:D,1,0),"")="","","✔")</f>
        <v/>
      </c>
      <c r="Z704" s="98" t="str">
        <f>IF(IFERROR(VLOOKUP(A704,'25.管路'!C:D,1,0),"")="","","✔")</f>
        <v/>
      </c>
      <c r="AA704" s="98" t="str">
        <f>IF(IFERROR(VLOOKUP(A704,'26.植栽(移植)'!C:D,1,0),"")="","","✔")</f>
        <v/>
      </c>
      <c r="AB704" s="98" t="str">
        <f>IF(IFERROR(VLOOKUP(A704,'27.植栽(新植)'!C:D,1,0),"")="","","✔")</f>
        <v/>
      </c>
      <c r="AC704" s="98" t="str">
        <f>IF(IFERROR(VLOOKUP(A704,'28.照明'!C:D,1,0),"")="","","✔")</f>
        <v/>
      </c>
      <c r="AD704" s="98" t="str">
        <f>IF(IFERROR(VLOOKUP(A704,'29.既有橋梁拆除'!C:D,1,0),"")="","","✔")</f>
        <v/>
      </c>
    </row>
    <row r="705" spans="1:30" ht="21.75" customHeight="1" x14ac:dyDescent="0.25">
      <c r="A705" s="99">
        <v>45895</v>
      </c>
      <c r="B705" s="98" t="str">
        <f>IF(IFERROR(VLOOKUP(A705,'1.測量放樣'!C:D,1,0),"")="","","✔")</f>
        <v/>
      </c>
      <c r="C705" s="98" t="str">
        <f>IF(IFERROR(VLOOKUP(A705,'2.土方開挖'!C:D,1,0),"")="","","✔")</f>
        <v/>
      </c>
      <c r="D705" s="98" t="str">
        <f>IF(IFERROR(VLOOKUP(A705,'3.土方回填'!C:D,1,0),"")="","","✔")</f>
        <v/>
      </c>
      <c r="E705" s="98" t="str">
        <f>IF(IFERROR(VLOOKUP(A705,'4.鋼筋'!C:D,1,0),"")="","","✔")</f>
        <v/>
      </c>
      <c r="F705" s="98" t="str">
        <f>IF(IFERROR(VLOOKUP(A705,'5.模板'!C:D,1,0),"")="","","✔")</f>
        <v/>
      </c>
      <c r="G705" s="98" t="str">
        <f>IF(IFERROR(VLOOKUP(A705,'6.混凝土'!C:D,1,0),"")="","","✔")</f>
        <v/>
      </c>
      <c r="H705" s="98" t="str">
        <f>IF(IFERROR(VLOOKUP(A705,'7.植筋'!C:D,1,0),"")="","","✔")</f>
        <v/>
      </c>
      <c r="I705" s="98" t="str">
        <f>IF(IFERROR(VLOOKUP(A705,'8.預力混凝土基樁'!C:D,1,0),"")="","","✔")</f>
        <v/>
      </c>
      <c r="J705" s="98" t="str">
        <f>IF(IFERROR(VLOOKUP(A705,'9.砌塊石護岸'!C:D,1,0),"")="","","✔")</f>
        <v/>
      </c>
      <c r="K705" s="98" t="str">
        <f>IF(IFERROR(VLOOKUP(A705,'10.低水護岸'!C:D,1,0),"")="","","✔")</f>
        <v/>
      </c>
      <c r="L705" s="98" t="str">
        <f>IF(IFERROR(VLOOKUP(A705,'11.固床工'!C:D,1,0),"")="","","✔")</f>
        <v/>
      </c>
      <c r="M705" s="98" t="str">
        <f>IF(IFERROR(VLOOKUP(A705,'12.全套管基樁'!C:D,1,0),"")="","","✔")</f>
        <v/>
      </c>
      <c r="N705" s="98" t="str">
        <f>IF(IFERROR(VLOOKUP(A705,'13.鋼筋混凝土管工程'!C:D,1,0),"")="","","✔")</f>
        <v/>
      </c>
      <c r="O705" s="98" t="str">
        <f>IF(IFERROR(VLOOKUP(A705,'14.鋼版樁'!C:D,1,0),"")="","","✔")</f>
        <v/>
      </c>
      <c r="P705" s="98" t="str">
        <f>IF(IFERROR(VLOOKUP(A705,'15.路床 路基高程'!C:D,1,0),"")="","","✔")</f>
        <v/>
      </c>
      <c r="Q705" s="98" t="str">
        <f>IF(IFERROR(VLOOKUP(A705,'16.瀝青混凝土'!C:D,1,0),"")="","","✔")</f>
        <v/>
      </c>
      <c r="R705" s="98" t="str">
        <f>IF(IFERROR(VLOOKUP(A705,'17.景觀鋪面(一)'!C:D,1,0),"")="","","✔")</f>
        <v/>
      </c>
      <c r="S705" s="98" t="str">
        <f>IF(IFERROR(VLOOKUP(A705,'18.景觀鋪面(二)'!C:D,1,0),"")="","","✔")</f>
        <v/>
      </c>
      <c r="T705" s="98" t="str">
        <f>IF(IFERROR(VLOOKUP(A705,'19.預鑄緣石'!C:D,1,0),"")="","","✔")</f>
        <v/>
      </c>
      <c r="U705" s="98" t="str">
        <f>IF(IFERROR(VLOOKUP(A705,'20.鋼構工程吊裝'!C:D,1,0),"")="","","✔")</f>
        <v/>
      </c>
      <c r="V705" s="98" t="str">
        <f>IF(IFERROR(VLOOKUP(A705,'21.鋼構工程塗裝'!C:D,1,0),"")="","","✔")</f>
        <v/>
      </c>
      <c r="W705" s="98" t="str">
        <f>IF(IFERROR(VLOOKUP(A705,'22.排水設施(一)'!C:D,1,0),"")="","","✔")</f>
        <v/>
      </c>
      <c r="X705" s="98" t="str">
        <f>IF(IFERROR(VLOOKUP(A705,'23.排水設施(二)'!C:D,1,0),"")="","","✔")</f>
        <v/>
      </c>
      <c r="Y705" s="98" t="str">
        <f>IF(IFERROR(VLOOKUP(A705,'24.木構造'!C:D,1,0),"")="","","✔")</f>
        <v/>
      </c>
      <c r="Z705" s="98" t="str">
        <f>IF(IFERROR(VLOOKUP(A705,'25.管路'!C:D,1,0),"")="","","✔")</f>
        <v/>
      </c>
      <c r="AA705" s="98" t="str">
        <f>IF(IFERROR(VLOOKUP(A705,'26.植栽(移植)'!C:D,1,0),"")="","","✔")</f>
        <v/>
      </c>
      <c r="AB705" s="98" t="str">
        <f>IF(IFERROR(VLOOKUP(A705,'27.植栽(新植)'!C:D,1,0),"")="","","✔")</f>
        <v/>
      </c>
      <c r="AC705" s="98" t="str">
        <f>IF(IFERROR(VLOOKUP(A705,'28.照明'!C:D,1,0),"")="","","✔")</f>
        <v/>
      </c>
      <c r="AD705" s="98" t="str">
        <f>IF(IFERROR(VLOOKUP(A705,'29.既有橋梁拆除'!C:D,1,0),"")="","","✔")</f>
        <v/>
      </c>
    </row>
    <row r="706" spans="1:30" ht="21.75" customHeight="1" x14ac:dyDescent="0.25">
      <c r="A706" s="99">
        <v>45896</v>
      </c>
      <c r="B706" s="98" t="str">
        <f>IF(IFERROR(VLOOKUP(A706,'1.測量放樣'!C:D,1,0),"")="","","✔")</f>
        <v/>
      </c>
      <c r="C706" s="98" t="str">
        <f>IF(IFERROR(VLOOKUP(A706,'2.土方開挖'!C:D,1,0),"")="","","✔")</f>
        <v/>
      </c>
      <c r="D706" s="98" t="str">
        <f>IF(IFERROR(VLOOKUP(A706,'3.土方回填'!C:D,1,0),"")="","","✔")</f>
        <v/>
      </c>
      <c r="E706" s="98" t="str">
        <f>IF(IFERROR(VLOOKUP(A706,'4.鋼筋'!C:D,1,0),"")="","","✔")</f>
        <v/>
      </c>
      <c r="F706" s="98" t="str">
        <f>IF(IFERROR(VLOOKUP(A706,'5.模板'!C:D,1,0),"")="","","✔")</f>
        <v/>
      </c>
      <c r="G706" s="98" t="str">
        <f>IF(IFERROR(VLOOKUP(A706,'6.混凝土'!C:D,1,0),"")="","","✔")</f>
        <v/>
      </c>
      <c r="H706" s="98" t="str">
        <f>IF(IFERROR(VLOOKUP(A706,'7.植筋'!C:D,1,0),"")="","","✔")</f>
        <v/>
      </c>
      <c r="I706" s="98" t="str">
        <f>IF(IFERROR(VLOOKUP(A706,'8.預力混凝土基樁'!C:D,1,0),"")="","","✔")</f>
        <v/>
      </c>
      <c r="J706" s="98" t="str">
        <f>IF(IFERROR(VLOOKUP(A706,'9.砌塊石護岸'!C:D,1,0),"")="","","✔")</f>
        <v/>
      </c>
      <c r="K706" s="98" t="str">
        <f>IF(IFERROR(VLOOKUP(A706,'10.低水護岸'!C:D,1,0),"")="","","✔")</f>
        <v/>
      </c>
      <c r="L706" s="98" t="str">
        <f>IF(IFERROR(VLOOKUP(A706,'11.固床工'!C:D,1,0),"")="","","✔")</f>
        <v/>
      </c>
      <c r="M706" s="98" t="str">
        <f>IF(IFERROR(VLOOKUP(A706,'12.全套管基樁'!C:D,1,0),"")="","","✔")</f>
        <v/>
      </c>
      <c r="N706" s="98" t="str">
        <f>IF(IFERROR(VLOOKUP(A706,'13.鋼筋混凝土管工程'!C:D,1,0),"")="","","✔")</f>
        <v/>
      </c>
      <c r="O706" s="98" t="str">
        <f>IF(IFERROR(VLOOKUP(A706,'14.鋼版樁'!C:D,1,0),"")="","","✔")</f>
        <v/>
      </c>
      <c r="P706" s="98" t="str">
        <f>IF(IFERROR(VLOOKUP(A706,'15.路床 路基高程'!C:D,1,0),"")="","","✔")</f>
        <v/>
      </c>
      <c r="Q706" s="98" t="str">
        <f>IF(IFERROR(VLOOKUP(A706,'16.瀝青混凝土'!C:D,1,0),"")="","","✔")</f>
        <v/>
      </c>
      <c r="R706" s="98" t="str">
        <f>IF(IFERROR(VLOOKUP(A706,'17.景觀鋪面(一)'!C:D,1,0),"")="","","✔")</f>
        <v/>
      </c>
      <c r="S706" s="98" t="str">
        <f>IF(IFERROR(VLOOKUP(A706,'18.景觀鋪面(二)'!C:D,1,0),"")="","","✔")</f>
        <v/>
      </c>
      <c r="T706" s="98" t="str">
        <f>IF(IFERROR(VLOOKUP(A706,'19.預鑄緣石'!C:D,1,0),"")="","","✔")</f>
        <v/>
      </c>
      <c r="U706" s="98" t="str">
        <f>IF(IFERROR(VLOOKUP(A706,'20.鋼構工程吊裝'!C:D,1,0),"")="","","✔")</f>
        <v/>
      </c>
      <c r="V706" s="98" t="str">
        <f>IF(IFERROR(VLOOKUP(A706,'21.鋼構工程塗裝'!C:D,1,0),"")="","","✔")</f>
        <v/>
      </c>
      <c r="W706" s="98" t="str">
        <f>IF(IFERROR(VLOOKUP(A706,'22.排水設施(一)'!C:D,1,0),"")="","","✔")</f>
        <v/>
      </c>
      <c r="X706" s="98" t="str">
        <f>IF(IFERROR(VLOOKUP(A706,'23.排水設施(二)'!C:D,1,0),"")="","","✔")</f>
        <v/>
      </c>
      <c r="Y706" s="98" t="str">
        <f>IF(IFERROR(VLOOKUP(A706,'24.木構造'!C:D,1,0),"")="","","✔")</f>
        <v/>
      </c>
      <c r="Z706" s="98" t="str">
        <f>IF(IFERROR(VLOOKUP(A706,'25.管路'!C:D,1,0),"")="","","✔")</f>
        <v/>
      </c>
      <c r="AA706" s="98" t="str">
        <f>IF(IFERROR(VLOOKUP(A706,'26.植栽(移植)'!C:D,1,0),"")="","","✔")</f>
        <v/>
      </c>
      <c r="AB706" s="98" t="str">
        <f>IF(IFERROR(VLOOKUP(A706,'27.植栽(新植)'!C:D,1,0),"")="","","✔")</f>
        <v/>
      </c>
      <c r="AC706" s="98" t="str">
        <f>IF(IFERROR(VLOOKUP(A706,'28.照明'!C:D,1,0),"")="","","✔")</f>
        <v/>
      </c>
      <c r="AD706" s="98" t="str">
        <f>IF(IFERROR(VLOOKUP(A706,'29.既有橋梁拆除'!C:D,1,0),"")="","","✔")</f>
        <v/>
      </c>
    </row>
    <row r="707" spans="1:30" ht="21.75" customHeight="1" x14ac:dyDescent="0.25">
      <c r="A707" s="99">
        <v>45897</v>
      </c>
      <c r="B707" s="98" t="str">
        <f>IF(IFERROR(VLOOKUP(A707,'1.測量放樣'!C:D,1,0),"")="","","✔")</f>
        <v/>
      </c>
      <c r="C707" s="98" t="str">
        <f>IF(IFERROR(VLOOKUP(A707,'2.土方開挖'!C:D,1,0),"")="","","✔")</f>
        <v/>
      </c>
      <c r="D707" s="98" t="str">
        <f>IF(IFERROR(VLOOKUP(A707,'3.土方回填'!C:D,1,0),"")="","","✔")</f>
        <v/>
      </c>
      <c r="E707" s="98" t="str">
        <f>IF(IFERROR(VLOOKUP(A707,'4.鋼筋'!C:D,1,0),"")="","","✔")</f>
        <v/>
      </c>
      <c r="F707" s="98" t="str">
        <f>IF(IFERROR(VLOOKUP(A707,'5.模板'!C:D,1,0),"")="","","✔")</f>
        <v/>
      </c>
      <c r="G707" s="98" t="str">
        <f>IF(IFERROR(VLOOKUP(A707,'6.混凝土'!C:D,1,0),"")="","","✔")</f>
        <v/>
      </c>
      <c r="H707" s="98" t="str">
        <f>IF(IFERROR(VLOOKUP(A707,'7.植筋'!C:D,1,0),"")="","","✔")</f>
        <v/>
      </c>
      <c r="I707" s="98" t="str">
        <f>IF(IFERROR(VLOOKUP(A707,'8.預力混凝土基樁'!C:D,1,0),"")="","","✔")</f>
        <v/>
      </c>
      <c r="J707" s="98" t="str">
        <f>IF(IFERROR(VLOOKUP(A707,'9.砌塊石護岸'!C:D,1,0),"")="","","✔")</f>
        <v/>
      </c>
      <c r="K707" s="98" t="str">
        <f>IF(IFERROR(VLOOKUP(A707,'10.低水護岸'!C:D,1,0),"")="","","✔")</f>
        <v/>
      </c>
      <c r="L707" s="98" t="str">
        <f>IF(IFERROR(VLOOKUP(A707,'11.固床工'!C:D,1,0),"")="","","✔")</f>
        <v/>
      </c>
      <c r="M707" s="98" t="str">
        <f>IF(IFERROR(VLOOKUP(A707,'12.全套管基樁'!C:D,1,0),"")="","","✔")</f>
        <v/>
      </c>
      <c r="N707" s="98" t="str">
        <f>IF(IFERROR(VLOOKUP(A707,'13.鋼筋混凝土管工程'!C:D,1,0),"")="","","✔")</f>
        <v/>
      </c>
      <c r="O707" s="98" t="str">
        <f>IF(IFERROR(VLOOKUP(A707,'14.鋼版樁'!C:D,1,0),"")="","","✔")</f>
        <v/>
      </c>
      <c r="P707" s="98" t="str">
        <f>IF(IFERROR(VLOOKUP(A707,'15.路床 路基高程'!C:D,1,0),"")="","","✔")</f>
        <v/>
      </c>
      <c r="Q707" s="98" t="str">
        <f>IF(IFERROR(VLOOKUP(A707,'16.瀝青混凝土'!C:D,1,0),"")="","","✔")</f>
        <v/>
      </c>
      <c r="R707" s="98" t="str">
        <f>IF(IFERROR(VLOOKUP(A707,'17.景觀鋪面(一)'!C:D,1,0),"")="","","✔")</f>
        <v/>
      </c>
      <c r="S707" s="98" t="str">
        <f>IF(IFERROR(VLOOKUP(A707,'18.景觀鋪面(二)'!C:D,1,0),"")="","","✔")</f>
        <v/>
      </c>
      <c r="T707" s="98" t="str">
        <f>IF(IFERROR(VLOOKUP(A707,'19.預鑄緣石'!C:D,1,0),"")="","","✔")</f>
        <v/>
      </c>
      <c r="U707" s="98" t="str">
        <f>IF(IFERROR(VLOOKUP(A707,'20.鋼構工程吊裝'!C:D,1,0),"")="","","✔")</f>
        <v/>
      </c>
      <c r="V707" s="98" t="str">
        <f>IF(IFERROR(VLOOKUP(A707,'21.鋼構工程塗裝'!C:D,1,0),"")="","","✔")</f>
        <v/>
      </c>
      <c r="W707" s="98" t="str">
        <f>IF(IFERROR(VLOOKUP(A707,'22.排水設施(一)'!C:D,1,0),"")="","","✔")</f>
        <v/>
      </c>
      <c r="X707" s="98" t="str">
        <f>IF(IFERROR(VLOOKUP(A707,'23.排水設施(二)'!C:D,1,0),"")="","","✔")</f>
        <v/>
      </c>
      <c r="Y707" s="98" t="str">
        <f>IF(IFERROR(VLOOKUP(A707,'24.木構造'!C:D,1,0),"")="","","✔")</f>
        <v/>
      </c>
      <c r="Z707" s="98" t="str">
        <f>IF(IFERROR(VLOOKUP(A707,'25.管路'!C:D,1,0),"")="","","✔")</f>
        <v/>
      </c>
      <c r="AA707" s="98" t="str">
        <f>IF(IFERROR(VLOOKUP(A707,'26.植栽(移植)'!C:D,1,0),"")="","","✔")</f>
        <v/>
      </c>
      <c r="AB707" s="98" t="str">
        <f>IF(IFERROR(VLOOKUP(A707,'27.植栽(新植)'!C:D,1,0),"")="","","✔")</f>
        <v/>
      </c>
      <c r="AC707" s="98" t="str">
        <f>IF(IFERROR(VLOOKUP(A707,'28.照明'!C:D,1,0),"")="","","✔")</f>
        <v/>
      </c>
      <c r="AD707" s="98" t="str">
        <f>IF(IFERROR(VLOOKUP(A707,'29.既有橋梁拆除'!C:D,1,0),"")="","","✔")</f>
        <v/>
      </c>
    </row>
    <row r="708" spans="1:30" ht="21.75" customHeight="1" x14ac:dyDescent="0.25">
      <c r="A708" s="99">
        <v>45898</v>
      </c>
      <c r="B708" s="98" t="str">
        <f>IF(IFERROR(VLOOKUP(A708,'1.測量放樣'!C:D,1,0),"")="","","✔")</f>
        <v/>
      </c>
      <c r="C708" s="98" t="str">
        <f>IF(IFERROR(VLOOKUP(A708,'2.土方開挖'!C:D,1,0),"")="","","✔")</f>
        <v/>
      </c>
      <c r="D708" s="98" t="str">
        <f>IF(IFERROR(VLOOKUP(A708,'3.土方回填'!C:D,1,0),"")="","","✔")</f>
        <v/>
      </c>
      <c r="E708" s="98" t="str">
        <f>IF(IFERROR(VLOOKUP(A708,'4.鋼筋'!C:D,1,0),"")="","","✔")</f>
        <v/>
      </c>
      <c r="F708" s="98" t="str">
        <f>IF(IFERROR(VLOOKUP(A708,'5.模板'!C:D,1,0),"")="","","✔")</f>
        <v/>
      </c>
      <c r="G708" s="98" t="str">
        <f>IF(IFERROR(VLOOKUP(A708,'6.混凝土'!C:D,1,0),"")="","","✔")</f>
        <v/>
      </c>
      <c r="H708" s="98" t="str">
        <f>IF(IFERROR(VLOOKUP(A708,'7.植筋'!C:D,1,0),"")="","","✔")</f>
        <v/>
      </c>
      <c r="I708" s="98" t="str">
        <f>IF(IFERROR(VLOOKUP(A708,'8.預力混凝土基樁'!C:D,1,0),"")="","","✔")</f>
        <v/>
      </c>
      <c r="J708" s="98" t="str">
        <f>IF(IFERROR(VLOOKUP(A708,'9.砌塊石護岸'!C:D,1,0),"")="","","✔")</f>
        <v/>
      </c>
      <c r="K708" s="98" t="str">
        <f>IF(IFERROR(VLOOKUP(A708,'10.低水護岸'!C:D,1,0),"")="","","✔")</f>
        <v/>
      </c>
      <c r="L708" s="98" t="str">
        <f>IF(IFERROR(VLOOKUP(A708,'11.固床工'!C:D,1,0),"")="","","✔")</f>
        <v/>
      </c>
      <c r="M708" s="98" t="str">
        <f>IF(IFERROR(VLOOKUP(A708,'12.全套管基樁'!C:D,1,0),"")="","","✔")</f>
        <v/>
      </c>
      <c r="N708" s="98" t="str">
        <f>IF(IFERROR(VLOOKUP(A708,'13.鋼筋混凝土管工程'!C:D,1,0),"")="","","✔")</f>
        <v/>
      </c>
      <c r="O708" s="98" t="str">
        <f>IF(IFERROR(VLOOKUP(A708,'14.鋼版樁'!C:D,1,0),"")="","","✔")</f>
        <v/>
      </c>
      <c r="P708" s="98" t="str">
        <f>IF(IFERROR(VLOOKUP(A708,'15.路床 路基高程'!C:D,1,0),"")="","","✔")</f>
        <v/>
      </c>
      <c r="Q708" s="98" t="str">
        <f>IF(IFERROR(VLOOKUP(A708,'16.瀝青混凝土'!C:D,1,0),"")="","","✔")</f>
        <v/>
      </c>
      <c r="R708" s="98" t="str">
        <f>IF(IFERROR(VLOOKUP(A708,'17.景觀鋪面(一)'!C:D,1,0),"")="","","✔")</f>
        <v/>
      </c>
      <c r="S708" s="98" t="str">
        <f>IF(IFERROR(VLOOKUP(A708,'18.景觀鋪面(二)'!C:D,1,0),"")="","","✔")</f>
        <v/>
      </c>
      <c r="T708" s="98" t="str">
        <f>IF(IFERROR(VLOOKUP(A708,'19.預鑄緣石'!C:D,1,0),"")="","","✔")</f>
        <v/>
      </c>
      <c r="U708" s="98" t="str">
        <f>IF(IFERROR(VLOOKUP(A708,'20.鋼構工程吊裝'!C:D,1,0),"")="","","✔")</f>
        <v/>
      </c>
      <c r="V708" s="98" t="str">
        <f>IF(IFERROR(VLOOKUP(A708,'21.鋼構工程塗裝'!C:D,1,0),"")="","","✔")</f>
        <v/>
      </c>
      <c r="W708" s="98" t="str">
        <f>IF(IFERROR(VLOOKUP(A708,'22.排水設施(一)'!C:D,1,0),"")="","","✔")</f>
        <v/>
      </c>
      <c r="X708" s="98" t="str">
        <f>IF(IFERROR(VLOOKUP(A708,'23.排水設施(二)'!C:D,1,0),"")="","","✔")</f>
        <v/>
      </c>
      <c r="Y708" s="98" t="str">
        <f>IF(IFERROR(VLOOKUP(A708,'24.木構造'!C:D,1,0),"")="","","✔")</f>
        <v/>
      </c>
      <c r="Z708" s="98" t="str">
        <f>IF(IFERROR(VLOOKUP(A708,'25.管路'!C:D,1,0),"")="","","✔")</f>
        <v/>
      </c>
      <c r="AA708" s="98" t="str">
        <f>IF(IFERROR(VLOOKUP(A708,'26.植栽(移植)'!C:D,1,0),"")="","","✔")</f>
        <v/>
      </c>
      <c r="AB708" s="98" t="str">
        <f>IF(IFERROR(VLOOKUP(A708,'27.植栽(新植)'!C:D,1,0),"")="","","✔")</f>
        <v/>
      </c>
      <c r="AC708" s="98" t="str">
        <f>IF(IFERROR(VLOOKUP(A708,'28.照明'!C:D,1,0),"")="","","✔")</f>
        <v/>
      </c>
      <c r="AD708" s="98" t="str">
        <f>IF(IFERROR(VLOOKUP(A708,'29.既有橋梁拆除'!C:D,1,0),"")="","","✔")</f>
        <v/>
      </c>
    </row>
    <row r="709" spans="1:30" ht="21.75" customHeight="1" x14ac:dyDescent="0.25">
      <c r="A709" s="99">
        <v>45899</v>
      </c>
      <c r="B709" s="98" t="str">
        <f>IF(IFERROR(VLOOKUP(A709,'1.測量放樣'!C:D,1,0),"")="","","✔")</f>
        <v/>
      </c>
      <c r="C709" s="98" t="str">
        <f>IF(IFERROR(VLOOKUP(A709,'2.土方開挖'!C:D,1,0),"")="","","✔")</f>
        <v/>
      </c>
      <c r="D709" s="98" t="str">
        <f>IF(IFERROR(VLOOKUP(A709,'3.土方回填'!C:D,1,0),"")="","","✔")</f>
        <v/>
      </c>
      <c r="E709" s="98" t="str">
        <f>IF(IFERROR(VLOOKUP(A709,'4.鋼筋'!C:D,1,0),"")="","","✔")</f>
        <v/>
      </c>
      <c r="F709" s="98" t="str">
        <f>IF(IFERROR(VLOOKUP(A709,'5.模板'!C:D,1,0),"")="","","✔")</f>
        <v/>
      </c>
      <c r="G709" s="98" t="str">
        <f>IF(IFERROR(VLOOKUP(A709,'6.混凝土'!C:D,1,0),"")="","","✔")</f>
        <v/>
      </c>
      <c r="H709" s="98" t="str">
        <f>IF(IFERROR(VLOOKUP(A709,'7.植筋'!C:D,1,0),"")="","","✔")</f>
        <v/>
      </c>
      <c r="I709" s="98" t="str">
        <f>IF(IFERROR(VLOOKUP(A709,'8.預力混凝土基樁'!C:D,1,0),"")="","","✔")</f>
        <v/>
      </c>
      <c r="J709" s="98" t="str">
        <f>IF(IFERROR(VLOOKUP(A709,'9.砌塊石護岸'!C:D,1,0),"")="","","✔")</f>
        <v/>
      </c>
      <c r="K709" s="98" t="str">
        <f>IF(IFERROR(VLOOKUP(A709,'10.低水護岸'!C:D,1,0),"")="","","✔")</f>
        <v/>
      </c>
      <c r="L709" s="98" t="str">
        <f>IF(IFERROR(VLOOKUP(A709,'11.固床工'!C:D,1,0),"")="","","✔")</f>
        <v/>
      </c>
      <c r="M709" s="98" t="str">
        <f>IF(IFERROR(VLOOKUP(A709,'12.全套管基樁'!C:D,1,0),"")="","","✔")</f>
        <v/>
      </c>
      <c r="N709" s="98" t="str">
        <f>IF(IFERROR(VLOOKUP(A709,'13.鋼筋混凝土管工程'!C:D,1,0),"")="","","✔")</f>
        <v/>
      </c>
      <c r="O709" s="98" t="str">
        <f>IF(IFERROR(VLOOKUP(A709,'14.鋼版樁'!C:D,1,0),"")="","","✔")</f>
        <v/>
      </c>
      <c r="P709" s="98" t="str">
        <f>IF(IFERROR(VLOOKUP(A709,'15.路床 路基高程'!C:D,1,0),"")="","","✔")</f>
        <v/>
      </c>
      <c r="Q709" s="98" t="str">
        <f>IF(IFERROR(VLOOKUP(A709,'16.瀝青混凝土'!C:D,1,0),"")="","","✔")</f>
        <v/>
      </c>
      <c r="R709" s="98" t="str">
        <f>IF(IFERROR(VLOOKUP(A709,'17.景觀鋪面(一)'!C:D,1,0),"")="","","✔")</f>
        <v/>
      </c>
      <c r="S709" s="98" t="str">
        <f>IF(IFERROR(VLOOKUP(A709,'18.景觀鋪面(二)'!C:D,1,0),"")="","","✔")</f>
        <v/>
      </c>
      <c r="T709" s="98" t="str">
        <f>IF(IFERROR(VLOOKUP(A709,'19.預鑄緣石'!C:D,1,0),"")="","","✔")</f>
        <v/>
      </c>
      <c r="U709" s="98" t="str">
        <f>IF(IFERROR(VLOOKUP(A709,'20.鋼構工程吊裝'!C:D,1,0),"")="","","✔")</f>
        <v/>
      </c>
      <c r="V709" s="98" t="str">
        <f>IF(IFERROR(VLOOKUP(A709,'21.鋼構工程塗裝'!C:D,1,0),"")="","","✔")</f>
        <v/>
      </c>
      <c r="W709" s="98" t="str">
        <f>IF(IFERROR(VLOOKUP(A709,'22.排水設施(一)'!C:D,1,0),"")="","","✔")</f>
        <v/>
      </c>
      <c r="X709" s="98" t="str">
        <f>IF(IFERROR(VLOOKUP(A709,'23.排水設施(二)'!C:D,1,0),"")="","","✔")</f>
        <v/>
      </c>
      <c r="Y709" s="98" t="str">
        <f>IF(IFERROR(VLOOKUP(A709,'24.木構造'!C:D,1,0),"")="","","✔")</f>
        <v/>
      </c>
      <c r="Z709" s="98" t="str">
        <f>IF(IFERROR(VLOOKUP(A709,'25.管路'!C:D,1,0),"")="","","✔")</f>
        <v/>
      </c>
      <c r="AA709" s="98" t="str">
        <f>IF(IFERROR(VLOOKUP(A709,'26.植栽(移植)'!C:D,1,0),"")="","","✔")</f>
        <v/>
      </c>
      <c r="AB709" s="98" t="str">
        <f>IF(IFERROR(VLOOKUP(A709,'27.植栽(新植)'!C:D,1,0),"")="","","✔")</f>
        <v/>
      </c>
      <c r="AC709" s="98" t="str">
        <f>IF(IFERROR(VLOOKUP(A709,'28.照明'!C:D,1,0),"")="","","✔")</f>
        <v/>
      </c>
      <c r="AD709" s="98" t="str">
        <f>IF(IFERROR(VLOOKUP(A709,'29.既有橋梁拆除'!C:D,1,0),"")="","","✔")</f>
        <v/>
      </c>
    </row>
    <row r="710" spans="1:30" ht="21.75" customHeight="1" x14ac:dyDescent="0.25">
      <c r="A710" s="99">
        <v>45900</v>
      </c>
      <c r="B710" s="98" t="str">
        <f>IF(IFERROR(VLOOKUP(A710,'1.測量放樣'!C:D,1,0),"")="","","✔")</f>
        <v/>
      </c>
      <c r="C710" s="98" t="str">
        <f>IF(IFERROR(VLOOKUP(A710,'2.土方開挖'!C:D,1,0),"")="","","✔")</f>
        <v/>
      </c>
      <c r="D710" s="98" t="str">
        <f>IF(IFERROR(VLOOKUP(A710,'3.土方回填'!C:D,1,0),"")="","","✔")</f>
        <v/>
      </c>
      <c r="E710" s="98" t="str">
        <f>IF(IFERROR(VLOOKUP(A710,'4.鋼筋'!C:D,1,0),"")="","","✔")</f>
        <v/>
      </c>
      <c r="F710" s="98" t="str">
        <f>IF(IFERROR(VLOOKUP(A710,'5.模板'!C:D,1,0),"")="","","✔")</f>
        <v/>
      </c>
      <c r="G710" s="98" t="str">
        <f>IF(IFERROR(VLOOKUP(A710,'6.混凝土'!C:D,1,0),"")="","","✔")</f>
        <v/>
      </c>
      <c r="H710" s="98" t="str">
        <f>IF(IFERROR(VLOOKUP(A710,'7.植筋'!C:D,1,0),"")="","","✔")</f>
        <v/>
      </c>
      <c r="I710" s="98" t="str">
        <f>IF(IFERROR(VLOOKUP(A710,'8.預力混凝土基樁'!C:D,1,0),"")="","","✔")</f>
        <v/>
      </c>
      <c r="J710" s="98" t="str">
        <f>IF(IFERROR(VLOOKUP(A710,'9.砌塊石護岸'!C:D,1,0),"")="","","✔")</f>
        <v/>
      </c>
      <c r="K710" s="98" t="str">
        <f>IF(IFERROR(VLOOKUP(A710,'10.低水護岸'!C:D,1,0),"")="","","✔")</f>
        <v/>
      </c>
      <c r="L710" s="98" t="str">
        <f>IF(IFERROR(VLOOKUP(A710,'11.固床工'!C:D,1,0),"")="","","✔")</f>
        <v/>
      </c>
      <c r="M710" s="98" t="str">
        <f>IF(IFERROR(VLOOKUP(A710,'12.全套管基樁'!C:D,1,0),"")="","","✔")</f>
        <v/>
      </c>
      <c r="N710" s="98" t="str">
        <f>IF(IFERROR(VLOOKUP(A710,'13.鋼筋混凝土管工程'!C:D,1,0),"")="","","✔")</f>
        <v/>
      </c>
      <c r="O710" s="98" t="str">
        <f>IF(IFERROR(VLOOKUP(A710,'14.鋼版樁'!C:D,1,0),"")="","","✔")</f>
        <v/>
      </c>
      <c r="P710" s="98" t="str">
        <f>IF(IFERROR(VLOOKUP(A710,'15.路床 路基高程'!C:D,1,0),"")="","","✔")</f>
        <v/>
      </c>
      <c r="Q710" s="98" t="str">
        <f>IF(IFERROR(VLOOKUP(A710,'16.瀝青混凝土'!C:D,1,0),"")="","","✔")</f>
        <v/>
      </c>
      <c r="R710" s="98" t="str">
        <f>IF(IFERROR(VLOOKUP(A710,'17.景觀鋪面(一)'!C:D,1,0),"")="","","✔")</f>
        <v/>
      </c>
      <c r="S710" s="98" t="str">
        <f>IF(IFERROR(VLOOKUP(A710,'18.景觀鋪面(二)'!C:D,1,0),"")="","","✔")</f>
        <v/>
      </c>
      <c r="T710" s="98" t="str">
        <f>IF(IFERROR(VLOOKUP(A710,'19.預鑄緣石'!C:D,1,0),"")="","","✔")</f>
        <v/>
      </c>
      <c r="U710" s="98" t="str">
        <f>IF(IFERROR(VLOOKUP(A710,'20.鋼構工程吊裝'!C:D,1,0),"")="","","✔")</f>
        <v/>
      </c>
      <c r="V710" s="98" t="str">
        <f>IF(IFERROR(VLOOKUP(A710,'21.鋼構工程塗裝'!C:D,1,0),"")="","","✔")</f>
        <v/>
      </c>
      <c r="W710" s="98" t="str">
        <f>IF(IFERROR(VLOOKUP(A710,'22.排水設施(一)'!C:D,1,0),"")="","","✔")</f>
        <v/>
      </c>
      <c r="X710" s="98" t="str">
        <f>IF(IFERROR(VLOOKUP(A710,'23.排水設施(二)'!C:D,1,0),"")="","","✔")</f>
        <v/>
      </c>
      <c r="Y710" s="98" t="str">
        <f>IF(IFERROR(VLOOKUP(A710,'24.木構造'!C:D,1,0),"")="","","✔")</f>
        <v/>
      </c>
      <c r="Z710" s="98" t="str">
        <f>IF(IFERROR(VLOOKUP(A710,'25.管路'!C:D,1,0),"")="","","✔")</f>
        <v/>
      </c>
      <c r="AA710" s="98" t="str">
        <f>IF(IFERROR(VLOOKUP(A710,'26.植栽(移植)'!C:D,1,0),"")="","","✔")</f>
        <v/>
      </c>
      <c r="AB710" s="98" t="str">
        <f>IF(IFERROR(VLOOKUP(A710,'27.植栽(新植)'!C:D,1,0),"")="","","✔")</f>
        <v/>
      </c>
      <c r="AC710" s="98" t="str">
        <f>IF(IFERROR(VLOOKUP(A710,'28.照明'!C:D,1,0),"")="","","✔")</f>
        <v/>
      </c>
      <c r="AD710" s="98" t="str">
        <f>IF(IFERROR(VLOOKUP(A710,'29.既有橋梁拆除'!C:D,1,0),"")="","","✔")</f>
        <v/>
      </c>
    </row>
    <row r="711" spans="1:30" ht="21.75" customHeight="1" x14ac:dyDescent="0.25">
      <c r="A711" s="99">
        <v>45901</v>
      </c>
      <c r="B711" s="98" t="str">
        <f>IF(IFERROR(VLOOKUP(A711,'1.測量放樣'!C:D,1,0),"")="","","✔")</f>
        <v/>
      </c>
      <c r="C711" s="98" t="str">
        <f>IF(IFERROR(VLOOKUP(A711,'2.土方開挖'!C:D,1,0),"")="","","✔")</f>
        <v/>
      </c>
      <c r="D711" s="98" t="str">
        <f>IF(IFERROR(VLOOKUP(A711,'3.土方回填'!C:D,1,0),"")="","","✔")</f>
        <v/>
      </c>
      <c r="E711" s="98" t="str">
        <f>IF(IFERROR(VLOOKUP(A711,'4.鋼筋'!C:D,1,0),"")="","","✔")</f>
        <v/>
      </c>
      <c r="F711" s="98" t="str">
        <f>IF(IFERROR(VLOOKUP(A711,'5.模板'!C:D,1,0),"")="","","✔")</f>
        <v/>
      </c>
      <c r="G711" s="98" t="str">
        <f>IF(IFERROR(VLOOKUP(A711,'6.混凝土'!C:D,1,0),"")="","","✔")</f>
        <v/>
      </c>
      <c r="H711" s="98" t="str">
        <f>IF(IFERROR(VLOOKUP(A711,'7.植筋'!C:D,1,0),"")="","","✔")</f>
        <v/>
      </c>
      <c r="I711" s="98" t="str">
        <f>IF(IFERROR(VLOOKUP(A711,'8.預力混凝土基樁'!C:D,1,0),"")="","","✔")</f>
        <v/>
      </c>
      <c r="J711" s="98" t="str">
        <f>IF(IFERROR(VLOOKUP(A711,'9.砌塊石護岸'!C:D,1,0),"")="","","✔")</f>
        <v/>
      </c>
      <c r="K711" s="98" t="str">
        <f>IF(IFERROR(VLOOKUP(A711,'10.低水護岸'!C:D,1,0),"")="","","✔")</f>
        <v/>
      </c>
      <c r="L711" s="98" t="str">
        <f>IF(IFERROR(VLOOKUP(A711,'11.固床工'!C:D,1,0),"")="","","✔")</f>
        <v/>
      </c>
      <c r="M711" s="98" t="str">
        <f>IF(IFERROR(VLOOKUP(A711,'12.全套管基樁'!C:D,1,0),"")="","","✔")</f>
        <v/>
      </c>
      <c r="N711" s="98" t="str">
        <f>IF(IFERROR(VLOOKUP(A711,'13.鋼筋混凝土管工程'!C:D,1,0),"")="","","✔")</f>
        <v/>
      </c>
      <c r="O711" s="98" t="str">
        <f>IF(IFERROR(VLOOKUP(A711,'14.鋼版樁'!C:D,1,0),"")="","","✔")</f>
        <v/>
      </c>
      <c r="P711" s="98" t="str">
        <f>IF(IFERROR(VLOOKUP(A711,'15.路床 路基高程'!C:D,1,0),"")="","","✔")</f>
        <v/>
      </c>
      <c r="Q711" s="98" t="str">
        <f>IF(IFERROR(VLOOKUP(A711,'16.瀝青混凝土'!C:D,1,0),"")="","","✔")</f>
        <v/>
      </c>
      <c r="R711" s="98" t="str">
        <f>IF(IFERROR(VLOOKUP(A711,'17.景觀鋪面(一)'!C:D,1,0),"")="","","✔")</f>
        <v/>
      </c>
      <c r="S711" s="98" t="str">
        <f>IF(IFERROR(VLOOKUP(A711,'18.景觀鋪面(二)'!C:D,1,0),"")="","","✔")</f>
        <v/>
      </c>
      <c r="T711" s="98" t="str">
        <f>IF(IFERROR(VLOOKUP(A711,'19.預鑄緣石'!C:D,1,0),"")="","","✔")</f>
        <v/>
      </c>
      <c r="U711" s="98" t="str">
        <f>IF(IFERROR(VLOOKUP(A711,'20.鋼構工程吊裝'!C:D,1,0),"")="","","✔")</f>
        <v/>
      </c>
      <c r="V711" s="98" t="str">
        <f>IF(IFERROR(VLOOKUP(A711,'21.鋼構工程塗裝'!C:D,1,0),"")="","","✔")</f>
        <v/>
      </c>
      <c r="W711" s="98" t="str">
        <f>IF(IFERROR(VLOOKUP(A711,'22.排水設施(一)'!C:D,1,0),"")="","","✔")</f>
        <v/>
      </c>
      <c r="X711" s="98" t="str">
        <f>IF(IFERROR(VLOOKUP(A711,'23.排水設施(二)'!C:D,1,0),"")="","","✔")</f>
        <v/>
      </c>
      <c r="Y711" s="98" t="str">
        <f>IF(IFERROR(VLOOKUP(A711,'24.木構造'!C:D,1,0),"")="","","✔")</f>
        <v/>
      </c>
      <c r="Z711" s="98" t="str">
        <f>IF(IFERROR(VLOOKUP(A711,'25.管路'!C:D,1,0),"")="","","✔")</f>
        <v/>
      </c>
      <c r="AA711" s="98" t="str">
        <f>IF(IFERROR(VLOOKUP(A711,'26.植栽(移植)'!C:D,1,0),"")="","","✔")</f>
        <v/>
      </c>
      <c r="AB711" s="98" t="str">
        <f>IF(IFERROR(VLOOKUP(A711,'27.植栽(新植)'!C:D,1,0),"")="","","✔")</f>
        <v/>
      </c>
      <c r="AC711" s="98" t="str">
        <f>IF(IFERROR(VLOOKUP(A711,'28.照明'!C:D,1,0),"")="","","✔")</f>
        <v/>
      </c>
      <c r="AD711" s="98" t="str">
        <f>IF(IFERROR(VLOOKUP(A711,'29.既有橋梁拆除'!C:D,1,0),"")="","","✔")</f>
        <v/>
      </c>
    </row>
    <row r="712" spans="1:30" ht="21.75" customHeight="1" x14ac:dyDescent="0.25">
      <c r="A712" s="99">
        <v>45902</v>
      </c>
      <c r="B712" s="98" t="str">
        <f>IF(IFERROR(VLOOKUP(A712,'1.測量放樣'!C:D,1,0),"")="","","✔")</f>
        <v/>
      </c>
      <c r="C712" s="98" t="str">
        <f>IF(IFERROR(VLOOKUP(A712,'2.土方開挖'!C:D,1,0),"")="","","✔")</f>
        <v/>
      </c>
      <c r="D712" s="98" t="str">
        <f>IF(IFERROR(VLOOKUP(A712,'3.土方回填'!C:D,1,0),"")="","","✔")</f>
        <v/>
      </c>
      <c r="E712" s="98" t="str">
        <f>IF(IFERROR(VLOOKUP(A712,'4.鋼筋'!C:D,1,0),"")="","","✔")</f>
        <v/>
      </c>
      <c r="F712" s="98" t="str">
        <f>IF(IFERROR(VLOOKUP(A712,'5.模板'!C:D,1,0),"")="","","✔")</f>
        <v/>
      </c>
      <c r="G712" s="98" t="str">
        <f>IF(IFERROR(VLOOKUP(A712,'6.混凝土'!C:D,1,0),"")="","","✔")</f>
        <v/>
      </c>
      <c r="H712" s="98" t="str">
        <f>IF(IFERROR(VLOOKUP(A712,'7.植筋'!C:D,1,0),"")="","","✔")</f>
        <v/>
      </c>
      <c r="I712" s="98" t="str">
        <f>IF(IFERROR(VLOOKUP(A712,'8.預力混凝土基樁'!C:D,1,0),"")="","","✔")</f>
        <v/>
      </c>
      <c r="J712" s="98" t="str">
        <f>IF(IFERROR(VLOOKUP(A712,'9.砌塊石護岸'!C:D,1,0),"")="","","✔")</f>
        <v/>
      </c>
      <c r="K712" s="98" t="str">
        <f>IF(IFERROR(VLOOKUP(A712,'10.低水護岸'!C:D,1,0),"")="","","✔")</f>
        <v/>
      </c>
      <c r="L712" s="98" t="str">
        <f>IF(IFERROR(VLOOKUP(A712,'11.固床工'!C:D,1,0),"")="","","✔")</f>
        <v/>
      </c>
      <c r="M712" s="98" t="str">
        <f>IF(IFERROR(VLOOKUP(A712,'12.全套管基樁'!C:D,1,0),"")="","","✔")</f>
        <v/>
      </c>
      <c r="N712" s="98" t="str">
        <f>IF(IFERROR(VLOOKUP(A712,'13.鋼筋混凝土管工程'!C:D,1,0),"")="","","✔")</f>
        <v/>
      </c>
      <c r="O712" s="98" t="str">
        <f>IF(IFERROR(VLOOKUP(A712,'14.鋼版樁'!C:D,1,0),"")="","","✔")</f>
        <v/>
      </c>
      <c r="P712" s="98" t="str">
        <f>IF(IFERROR(VLOOKUP(A712,'15.路床 路基高程'!C:D,1,0),"")="","","✔")</f>
        <v/>
      </c>
      <c r="Q712" s="98" t="str">
        <f>IF(IFERROR(VLOOKUP(A712,'16.瀝青混凝土'!C:D,1,0),"")="","","✔")</f>
        <v/>
      </c>
      <c r="R712" s="98" t="str">
        <f>IF(IFERROR(VLOOKUP(A712,'17.景觀鋪面(一)'!C:D,1,0),"")="","","✔")</f>
        <v/>
      </c>
      <c r="S712" s="98" t="str">
        <f>IF(IFERROR(VLOOKUP(A712,'18.景觀鋪面(二)'!C:D,1,0),"")="","","✔")</f>
        <v/>
      </c>
      <c r="T712" s="98" t="str">
        <f>IF(IFERROR(VLOOKUP(A712,'19.預鑄緣石'!C:D,1,0),"")="","","✔")</f>
        <v/>
      </c>
      <c r="U712" s="98" t="str">
        <f>IF(IFERROR(VLOOKUP(A712,'20.鋼構工程吊裝'!C:D,1,0),"")="","","✔")</f>
        <v/>
      </c>
      <c r="V712" s="98" t="str">
        <f>IF(IFERROR(VLOOKUP(A712,'21.鋼構工程塗裝'!C:D,1,0),"")="","","✔")</f>
        <v/>
      </c>
      <c r="W712" s="98" t="str">
        <f>IF(IFERROR(VLOOKUP(A712,'22.排水設施(一)'!C:D,1,0),"")="","","✔")</f>
        <v/>
      </c>
      <c r="X712" s="98" t="str">
        <f>IF(IFERROR(VLOOKUP(A712,'23.排水設施(二)'!C:D,1,0),"")="","","✔")</f>
        <v/>
      </c>
      <c r="Y712" s="98" t="str">
        <f>IF(IFERROR(VLOOKUP(A712,'24.木構造'!C:D,1,0),"")="","","✔")</f>
        <v/>
      </c>
      <c r="Z712" s="98" t="str">
        <f>IF(IFERROR(VLOOKUP(A712,'25.管路'!C:D,1,0),"")="","","✔")</f>
        <v/>
      </c>
      <c r="AA712" s="98" t="str">
        <f>IF(IFERROR(VLOOKUP(A712,'26.植栽(移植)'!C:D,1,0),"")="","","✔")</f>
        <v/>
      </c>
      <c r="AB712" s="98" t="str">
        <f>IF(IFERROR(VLOOKUP(A712,'27.植栽(新植)'!C:D,1,0),"")="","","✔")</f>
        <v/>
      </c>
      <c r="AC712" s="98" t="str">
        <f>IF(IFERROR(VLOOKUP(A712,'28.照明'!C:D,1,0),"")="","","✔")</f>
        <v/>
      </c>
      <c r="AD712" s="98" t="str">
        <f>IF(IFERROR(VLOOKUP(A712,'29.既有橋梁拆除'!C:D,1,0),"")="","","✔")</f>
        <v/>
      </c>
    </row>
    <row r="713" spans="1:30" ht="21.75" customHeight="1" x14ac:dyDescent="0.25">
      <c r="A713" s="99">
        <v>45903</v>
      </c>
      <c r="B713" s="98" t="str">
        <f>IF(IFERROR(VLOOKUP(A713,'1.測量放樣'!C:D,1,0),"")="","","✔")</f>
        <v/>
      </c>
      <c r="C713" s="98" t="str">
        <f>IF(IFERROR(VLOOKUP(A713,'2.土方開挖'!C:D,1,0),"")="","","✔")</f>
        <v/>
      </c>
      <c r="D713" s="98" t="str">
        <f>IF(IFERROR(VLOOKUP(A713,'3.土方回填'!C:D,1,0),"")="","","✔")</f>
        <v/>
      </c>
      <c r="E713" s="98" t="str">
        <f>IF(IFERROR(VLOOKUP(A713,'4.鋼筋'!C:D,1,0),"")="","","✔")</f>
        <v/>
      </c>
      <c r="F713" s="98" t="str">
        <f>IF(IFERROR(VLOOKUP(A713,'5.模板'!C:D,1,0),"")="","","✔")</f>
        <v/>
      </c>
      <c r="G713" s="98" t="str">
        <f>IF(IFERROR(VLOOKUP(A713,'6.混凝土'!C:D,1,0),"")="","","✔")</f>
        <v/>
      </c>
      <c r="H713" s="98" t="str">
        <f>IF(IFERROR(VLOOKUP(A713,'7.植筋'!C:D,1,0),"")="","","✔")</f>
        <v/>
      </c>
      <c r="I713" s="98" t="str">
        <f>IF(IFERROR(VLOOKUP(A713,'8.預力混凝土基樁'!C:D,1,0),"")="","","✔")</f>
        <v/>
      </c>
      <c r="J713" s="98" t="str">
        <f>IF(IFERROR(VLOOKUP(A713,'9.砌塊石護岸'!C:D,1,0),"")="","","✔")</f>
        <v/>
      </c>
      <c r="K713" s="98" t="str">
        <f>IF(IFERROR(VLOOKUP(A713,'10.低水護岸'!C:D,1,0),"")="","","✔")</f>
        <v/>
      </c>
      <c r="L713" s="98" t="str">
        <f>IF(IFERROR(VLOOKUP(A713,'11.固床工'!C:D,1,0),"")="","","✔")</f>
        <v/>
      </c>
      <c r="M713" s="98" t="str">
        <f>IF(IFERROR(VLOOKUP(A713,'12.全套管基樁'!C:D,1,0),"")="","","✔")</f>
        <v/>
      </c>
      <c r="N713" s="98" t="str">
        <f>IF(IFERROR(VLOOKUP(A713,'13.鋼筋混凝土管工程'!C:D,1,0),"")="","","✔")</f>
        <v/>
      </c>
      <c r="O713" s="98" t="str">
        <f>IF(IFERROR(VLOOKUP(A713,'14.鋼版樁'!C:D,1,0),"")="","","✔")</f>
        <v/>
      </c>
      <c r="P713" s="98" t="str">
        <f>IF(IFERROR(VLOOKUP(A713,'15.路床 路基高程'!C:D,1,0),"")="","","✔")</f>
        <v/>
      </c>
      <c r="Q713" s="98" t="str">
        <f>IF(IFERROR(VLOOKUP(A713,'16.瀝青混凝土'!C:D,1,0),"")="","","✔")</f>
        <v/>
      </c>
      <c r="R713" s="98" t="str">
        <f>IF(IFERROR(VLOOKUP(A713,'17.景觀鋪面(一)'!C:D,1,0),"")="","","✔")</f>
        <v/>
      </c>
      <c r="S713" s="98" t="str">
        <f>IF(IFERROR(VLOOKUP(A713,'18.景觀鋪面(二)'!C:D,1,0),"")="","","✔")</f>
        <v/>
      </c>
      <c r="T713" s="98" t="str">
        <f>IF(IFERROR(VLOOKUP(A713,'19.預鑄緣石'!C:D,1,0),"")="","","✔")</f>
        <v/>
      </c>
      <c r="U713" s="98" t="str">
        <f>IF(IFERROR(VLOOKUP(A713,'20.鋼構工程吊裝'!C:D,1,0),"")="","","✔")</f>
        <v/>
      </c>
      <c r="V713" s="98" t="str">
        <f>IF(IFERROR(VLOOKUP(A713,'21.鋼構工程塗裝'!C:D,1,0),"")="","","✔")</f>
        <v/>
      </c>
      <c r="W713" s="98" t="str">
        <f>IF(IFERROR(VLOOKUP(A713,'22.排水設施(一)'!C:D,1,0),"")="","","✔")</f>
        <v/>
      </c>
      <c r="X713" s="98" t="str">
        <f>IF(IFERROR(VLOOKUP(A713,'23.排水設施(二)'!C:D,1,0),"")="","","✔")</f>
        <v/>
      </c>
      <c r="Y713" s="98" t="str">
        <f>IF(IFERROR(VLOOKUP(A713,'24.木構造'!C:D,1,0),"")="","","✔")</f>
        <v/>
      </c>
      <c r="Z713" s="98" t="str">
        <f>IF(IFERROR(VLOOKUP(A713,'25.管路'!C:D,1,0),"")="","","✔")</f>
        <v/>
      </c>
      <c r="AA713" s="98" t="str">
        <f>IF(IFERROR(VLOOKUP(A713,'26.植栽(移植)'!C:D,1,0),"")="","","✔")</f>
        <v/>
      </c>
      <c r="AB713" s="98" t="str">
        <f>IF(IFERROR(VLOOKUP(A713,'27.植栽(新植)'!C:D,1,0),"")="","","✔")</f>
        <v/>
      </c>
      <c r="AC713" s="98" t="str">
        <f>IF(IFERROR(VLOOKUP(A713,'28.照明'!C:D,1,0),"")="","","✔")</f>
        <v/>
      </c>
      <c r="AD713" s="98" t="str">
        <f>IF(IFERROR(VLOOKUP(A713,'29.既有橋梁拆除'!C:D,1,0),"")="","","✔")</f>
        <v/>
      </c>
    </row>
    <row r="714" spans="1:30" ht="21.75" customHeight="1" x14ac:dyDescent="0.25">
      <c r="A714" s="99">
        <v>45904</v>
      </c>
      <c r="B714" s="98" t="str">
        <f>IF(IFERROR(VLOOKUP(A714,'1.測量放樣'!C:D,1,0),"")="","","✔")</f>
        <v/>
      </c>
      <c r="C714" s="98" t="str">
        <f>IF(IFERROR(VLOOKUP(A714,'2.土方開挖'!C:D,1,0),"")="","","✔")</f>
        <v/>
      </c>
      <c r="D714" s="98" t="str">
        <f>IF(IFERROR(VLOOKUP(A714,'3.土方回填'!C:D,1,0),"")="","","✔")</f>
        <v/>
      </c>
      <c r="E714" s="98" t="str">
        <f>IF(IFERROR(VLOOKUP(A714,'4.鋼筋'!C:D,1,0),"")="","","✔")</f>
        <v/>
      </c>
      <c r="F714" s="98" t="str">
        <f>IF(IFERROR(VLOOKUP(A714,'5.模板'!C:D,1,0),"")="","","✔")</f>
        <v/>
      </c>
      <c r="G714" s="98" t="str">
        <f>IF(IFERROR(VLOOKUP(A714,'6.混凝土'!C:D,1,0),"")="","","✔")</f>
        <v/>
      </c>
      <c r="H714" s="98" t="str">
        <f>IF(IFERROR(VLOOKUP(A714,'7.植筋'!C:D,1,0),"")="","","✔")</f>
        <v/>
      </c>
      <c r="I714" s="98" t="str">
        <f>IF(IFERROR(VLOOKUP(A714,'8.預力混凝土基樁'!C:D,1,0),"")="","","✔")</f>
        <v/>
      </c>
      <c r="J714" s="98" t="str">
        <f>IF(IFERROR(VLOOKUP(A714,'9.砌塊石護岸'!C:D,1,0),"")="","","✔")</f>
        <v/>
      </c>
      <c r="K714" s="98" t="str">
        <f>IF(IFERROR(VLOOKUP(A714,'10.低水護岸'!C:D,1,0),"")="","","✔")</f>
        <v/>
      </c>
      <c r="L714" s="98" t="str">
        <f>IF(IFERROR(VLOOKUP(A714,'11.固床工'!C:D,1,0),"")="","","✔")</f>
        <v/>
      </c>
      <c r="M714" s="98" t="str">
        <f>IF(IFERROR(VLOOKUP(A714,'12.全套管基樁'!C:D,1,0),"")="","","✔")</f>
        <v/>
      </c>
      <c r="N714" s="98" t="str">
        <f>IF(IFERROR(VLOOKUP(A714,'13.鋼筋混凝土管工程'!C:D,1,0),"")="","","✔")</f>
        <v/>
      </c>
      <c r="O714" s="98" t="str">
        <f>IF(IFERROR(VLOOKUP(A714,'14.鋼版樁'!C:D,1,0),"")="","","✔")</f>
        <v/>
      </c>
      <c r="P714" s="98" t="str">
        <f>IF(IFERROR(VLOOKUP(A714,'15.路床 路基高程'!C:D,1,0),"")="","","✔")</f>
        <v/>
      </c>
      <c r="Q714" s="98" t="str">
        <f>IF(IFERROR(VLOOKUP(A714,'16.瀝青混凝土'!C:D,1,0),"")="","","✔")</f>
        <v/>
      </c>
      <c r="R714" s="98" t="str">
        <f>IF(IFERROR(VLOOKUP(A714,'17.景觀鋪面(一)'!C:D,1,0),"")="","","✔")</f>
        <v/>
      </c>
      <c r="S714" s="98" t="str">
        <f>IF(IFERROR(VLOOKUP(A714,'18.景觀鋪面(二)'!C:D,1,0),"")="","","✔")</f>
        <v/>
      </c>
      <c r="T714" s="98" t="str">
        <f>IF(IFERROR(VLOOKUP(A714,'19.預鑄緣石'!C:D,1,0),"")="","","✔")</f>
        <v/>
      </c>
      <c r="U714" s="98" t="str">
        <f>IF(IFERROR(VLOOKUP(A714,'20.鋼構工程吊裝'!C:D,1,0),"")="","","✔")</f>
        <v/>
      </c>
      <c r="V714" s="98" t="str">
        <f>IF(IFERROR(VLOOKUP(A714,'21.鋼構工程塗裝'!C:D,1,0),"")="","","✔")</f>
        <v/>
      </c>
      <c r="W714" s="98" t="str">
        <f>IF(IFERROR(VLOOKUP(A714,'22.排水設施(一)'!C:D,1,0),"")="","","✔")</f>
        <v/>
      </c>
      <c r="X714" s="98" t="str">
        <f>IF(IFERROR(VLOOKUP(A714,'23.排水設施(二)'!C:D,1,0),"")="","","✔")</f>
        <v/>
      </c>
      <c r="Y714" s="98" t="str">
        <f>IF(IFERROR(VLOOKUP(A714,'24.木構造'!C:D,1,0),"")="","","✔")</f>
        <v/>
      </c>
      <c r="Z714" s="98" t="str">
        <f>IF(IFERROR(VLOOKUP(A714,'25.管路'!C:D,1,0),"")="","","✔")</f>
        <v/>
      </c>
      <c r="AA714" s="98" t="str">
        <f>IF(IFERROR(VLOOKUP(A714,'26.植栽(移植)'!C:D,1,0),"")="","","✔")</f>
        <v/>
      </c>
      <c r="AB714" s="98" t="str">
        <f>IF(IFERROR(VLOOKUP(A714,'27.植栽(新植)'!C:D,1,0),"")="","","✔")</f>
        <v/>
      </c>
      <c r="AC714" s="98" t="str">
        <f>IF(IFERROR(VLOOKUP(A714,'28.照明'!C:D,1,0),"")="","","✔")</f>
        <v/>
      </c>
      <c r="AD714" s="98" t="str">
        <f>IF(IFERROR(VLOOKUP(A714,'29.既有橋梁拆除'!C:D,1,0),"")="","","✔")</f>
        <v/>
      </c>
    </row>
    <row r="715" spans="1:30" ht="21.75" customHeight="1" x14ac:dyDescent="0.25">
      <c r="A715" s="99">
        <v>45905</v>
      </c>
      <c r="B715" s="98" t="str">
        <f>IF(IFERROR(VLOOKUP(A715,'1.測量放樣'!C:D,1,0),"")="","","✔")</f>
        <v/>
      </c>
      <c r="C715" s="98" t="str">
        <f>IF(IFERROR(VLOOKUP(A715,'2.土方開挖'!C:D,1,0),"")="","","✔")</f>
        <v/>
      </c>
      <c r="D715" s="98" t="str">
        <f>IF(IFERROR(VLOOKUP(A715,'3.土方回填'!C:D,1,0),"")="","","✔")</f>
        <v/>
      </c>
      <c r="E715" s="98" t="str">
        <f>IF(IFERROR(VLOOKUP(A715,'4.鋼筋'!C:D,1,0),"")="","","✔")</f>
        <v/>
      </c>
      <c r="F715" s="98" t="str">
        <f>IF(IFERROR(VLOOKUP(A715,'5.模板'!C:D,1,0),"")="","","✔")</f>
        <v/>
      </c>
      <c r="G715" s="98" t="str">
        <f>IF(IFERROR(VLOOKUP(A715,'6.混凝土'!C:D,1,0),"")="","","✔")</f>
        <v/>
      </c>
      <c r="H715" s="98" t="str">
        <f>IF(IFERROR(VLOOKUP(A715,'7.植筋'!C:D,1,0),"")="","","✔")</f>
        <v/>
      </c>
      <c r="I715" s="98" t="str">
        <f>IF(IFERROR(VLOOKUP(A715,'8.預力混凝土基樁'!C:D,1,0),"")="","","✔")</f>
        <v/>
      </c>
      <c r="J715" s="98" t="str">
        <f>IF(IFERROR(VLOOKUP(A715,'9.砌塊石護岸'!C:D,1,0),"")="","","✔")</f>
        <v/>
      </c>
      <c r="K715" s="98" t="str">
        <f>IF(IFERROR(VLOOKUP(A715,'10.低水護岸'!C:D,1,0),"")="","","✔")</f>
        <v/>
      </c>
      <c r="L715" s="98" t="str">
        <f>IF(IFERROR(VLOOKUP(A715,'11.固床工'!C:D,1,0),"")="","","✔")</f>
        <v/>
      </c>
      <c r="M715" s="98" t="str">
        <f>IF(IFERROR(VLOOKUP(A715,'12.全套管基樁'!C:D,1,0),"")="","","✔")</f>
        <v/>
      </c>
      <c r="N715" s="98" t="str">
        <f>IF(IFERROR(VLOOKUP(A715,'13.鋼筋混凝土管工程'!C:D,1,0),"")="","","✔")</f>
        <v/>
      </c>
      <c r="O715" s="98" t="str">
        <f>IF(IFERROR(VLOOKUP(A715,'14.鋼版樁'!C:D,1,0),"")="","","✔")</f>
        <v/>
      </c>
      <c r="P715" s="98" t="str">
        <f>IF(IFERROR(VLOOKUP(A715,'15.路床 路基高程'!C:D,1,0),"")="","","✔")</f>
        <v/>
      </c>
      <c r="Q715" s="98" t="str">
        <f>IF(IFERROR(VLOOKUP(A715,'16.瀝青混凝土'!C:D,1,0),"")="","","✔")</f>
        <v/>
      </c>
      <c r="R715" s="98" t="str">
        <f>IF(IFERROR(VLOOKUP(A715,'17.景觀鋪面(一)'!C:D,1,0),"")="","","✔")</f>
        <v/>
      </c>
      <c r="S715" s="98" t="str">
        <f>IF(IFERROR(VLOOKUP(A715,'18.景觀鋪面(二)'!C:D,1,0),"")="","","✔")</f>
        <v/>
      </c>
      <c r="T715" s="98" t="str">
        <f>IF(IFERROR(VLOOKUP(A715,'19.預鑄緣石'!C:D,1,0),"")="","","✔")</f>
        <v/>
      </c>
      <c r="U715" s="98" t="str">
        <f>IF(IFERROR(VLOOKUP(A715,'20.鋼構工程吊裝'!C:D,1,0),"")="","","✔")</f>
        <v/>
      </c>
      <c r="V715" s="98" t="str">
        <f>IF(IFERROR(VLOOKUP(A715,'21.鋼構工程塗裝'!C:D,1,0),"")="","","✔")</f>
        <v/>
      </c>
      <c r="W715" s="98" t="str">
        <f>IF(IFERROR(VLOOKUP(A715,'22.排水設施(一)'!C:D,1,0),"")="","","✔")</f>
        <v/>
      </c>
      <c r="X715" s="98" t="str">
        <f>IF(IFERROR(VLOOKUP(A715,'23.排水設施(二)'!C:D,1,0),"")="","","✔")</f>
        <v/>
      </c>
      <c r="Y715" s="98" t="str">
        <f>IF(IFERROR(VLOOKUP(A715,'24.木構造'!C:D,1,0),"")="","","✔")</f>
        <v/>
      </c>
      <c r="Z715" s="98" t="str">
        <f>IF(IFERROR(VLOOKUP(A715,'25.管路'!C:D,1,0),"")="","","✔")</f>
        <v/>
      </c>
      <c r="AA715" s="98" t="str">
        <f>IF(IFERROR(VLOOKUP(A715,'26.植栽(移植)'!C:D,1,0),"")="","","✔")</f>
        <v/>
      </c>
      <c r="AB715" s="98" t="str">
        <f>IF(IFERROR(VLOOKUP(A715,'27.植栽(新植)'!C:D,1,0),"")="","","✔")</f>
        <v/>
      </c>
      <c r="AC715" s="98" t="str">
        <f>IF(IFERROR(VLOOKUP(A715,'28.照明'!C:D,1,0),"")="","","✔")</f>
        <v/>
      </c>
      <c r="AD715" s="98" t="str">
        <f>IF(IFERROR(VLOOKUP(A715,'29.既有橋梁拆除'!C:D,1,0),"")="","","✔")</f>
        <v/>
      </c>
    </row>
    <row r="716" spans="1:30" ht="21.75" customHeight="1" x14ac:dyDescent="0.25">
      <c r="A716" s="99">
        <v>45906</v>
      </c>
      <c r="B716" s="98" t="str">
        <f>IF(IFERROR(VLOOKUP(A716,'1.測量放樣'!C:D,1,0),"")="","","✔")</f>
        <v/>
      </c>
      <c r="C716" s="98" t="str">
        <f>IF(IFERROR(VLOOKUP(A716,'2.土方開挖'!C:D,1,0),"")="","","✔")</f>
        <v/>
      </c>
      <c r="D716" s="98" t="str">
        <f>IF(IFERROR(VLOOKUP(A716,'3.土方回填'!C:D,1,0),"")="","","✔")</f>
        <v/>
      </c>
      <c r="E716" s="98" t="str">
        <f>IF(IFERROR(VLOOKUP(A716,'4.鋼筋'!C:D,1,0),"")="","","✔")</f>
        <v/>
      </c>
      <c r="F716" s="98" t="str">
        <f>IF(IFERROR(VLOOKUP(A716,'5.模板'!C:D,1,0),"")="","","✔")</f>
        <v/>
      </c>
      <c r="G716" s="98" t="str">
        <f>IF(IFERROR(VLOOKUP(A716,'6.混凝土'!C:D,1,0),"")="","","✔")</f>
        <v/>
      </c>
      <c r="H716" s="98" t="str">
        <f>IF(IFERROR(VLOOKUP(A716,'7.植筋'!C:D,1,0),"")="","","✔")</f>
        <v/>
      </c>
      <c r="I716" s="98" t="str">
        <f>IF(IFERROR(VLOOKUP(A716,'8.預力混凝土基樁'!C:D,1,0),"")="","","✔")</f>
        <v/>
      </c>
      <c r="J716" s="98" t="str">
        <f>IF(IFERROR(VLOOKUP(A716,'9.砌塊石護岸'!C:D,1,0),"")="","","✔")</f>
        <v/>
      </c>
      <c r="K716" s="98" t="str">
        <f>IF(IFERROR(VLOOKUP(A716,'10.低水護岸'!C:D,1,0),"")="","","✔")</f>
        <v/>
      </c>
      <c r="L716" s="98" t="str">
        <f>IF(IFERROR(VLOOKUP(A716,'11.固床工'!C:D,1,0),"")="","","✔")</f>
        <v/>
      </c>
      <c r="M716" s="98" t="str">
        <f>IF(IFERROR(VLOOKUP(A716,'12.全套管基樁'!C:D,1,0),"")="","","✔")</f>
        <v/>
      </c>
      <c r="N716" s="98" t="str">
        <f>IF(IFERROR(VLOOKUP(A716,'13.鋼筋混凝土管工程'!C:D,1,0),"")="","","✔")</f>
        <v/>
      </c>
      <c r="O716" s="98" t="str">
        <f>IF(IFERROR(VLOOKUP(A716,'14.鋼版樁'!C:D,1,0),"")="","","✔")</f>
        <v/>
      </c>
      <c r="P716" s="98" t="str">
        <f>IF(IFERROR(VLOOKUP(A716,'15.路床 路基高程'!C:D,1,0),"")="","","✔")</f>
        <v/>
      </c>
      <c r="Q716" s="98" t="str">
        <f>IF(IFERROR(VLOOKUP(A716,'16.瀝青混凝土'!C:D,1,0),"")="","","✔")</f>
        <v/>
      </c>
      <c r="R716" s="98" t="str">
        <f>IF(IFERROR(VLOOKUP(A716,'17.景觀鋪面(一)'!C:D,1,0),"")="","","✔")</f>
        <v/>
      </c>
      <c r="S716" s="98" t="str">
        <f>IF(IFERROR(VLOOKUP(A716,'18.景觀鋪面(二)'!C:D,1,0),"")="","","✔")</f>
        <v/>
      </c>
      <c r="T716" s="98" t="str">
        <f>IF(IFERROR(VLOOKUP(A716,'19.預鑄緣石'!C:D,1,0),"")="","","✔")</f>
        <v/>
      </c>
      <c r="U716" s="98" t="str">
        <f>IF(IFERROR(VLOOKUP(A716,'20.鋼構工程吊裝'!C:D,1,0),"")="","","✔")</f>
        <v/>
      </c>
      <c r="V716" s="98" t="str">
        <f>IF(IFERROR(VLOOKUP(A716,'21.鋼構工程塗裝'!C:D,1,0),"")="","","✔")</f>
        <v/>
      </c>
      <c r="W716" s="98" t="str">
        <f>IF(IFERROR(VLOOKUP(A716,'22.排水設施(一)'!C:D,1,0),"")="","","✔")</f>
        <v/>
      </c>
      <c r="X716" s="98" t="str">
        <f>IF(IFERROR(VLOOKUP(A716,'23.排水設施(二)'!C:D,1,0),"")="","","✔")</f>
        <v/>
      </c>
      <c r="Y716" s="98" t="str">
        <f>IF(IFERROR(VLOOKUP(A716,'24.木構造'!C:D,1,0),"")="","","✔")</f>
        <v/>
      </c>
      <c r="Z716" s="98" t="str">
        <f>IF(IFERROR(VLOOKUP(A716,'25.管路'!C:D,1,0),"")="","","✔")</f>
        <v/>
      </c>
      <c r="AA716" s="98" t="str">
        <f>IF(IFERROR(VLOOKUP(A716,'26.植栽(移植)'!C:D,1,0),"")="","","✔")</f>
        <v/>
      </c>
      <c r="AB716" s="98" t="str">
        <f>IF(IFERROR(VLOOKUP(A716,'27.植栽(新植)'!C:D,1,0),"")="","","✔")</f>
        <v/>
      </c>
      <c r="AC716" s="98" t="str">
        <f>IF(IFERROR(VLOOKUP(A716,'28.照明'!C:D,1,0),"")="","","✔")</f>
        <v/>
      </c>
      <c r="AD716" s="98" t="str">
        <f>IF(IFERROR(VLOOKUP(A716,'29.既有橋梁拆除'!C:D,1,0),"")="","","✔")</f>
        <v/>
      </c>
    </row>
    <row r="717" spans="1:30" ht="21.75" customHeight="1" x14ac:dyDescent="0.25">
      <c r="A717" s="99">
        <v>45907</v>
      </c>
      <c r="B717" s="98" t="str">
        <f>IF(IFERROR(VLOOKUP(A717,'1.測量放樣'!C:D,1,0),"")="","","✔")</f>
        <v/>
      </c>
      <c r="C717" s="98" t="str">
        <f>IF(IFERROR(VLOOKUP(A717,'2.土方開挖'!C:D,1,0),"")="","","✔")</f>
        <v/>
      </c>
      <c r="D717" s="98" t="str">
        <f>IF(IFERROR(VLOOKUP(A717,'3.土方回填'!C:D,1,0),"")="","","✔")</f>
        <v/>
      </c>
      <c r="E717" s="98" t="str">
        <f>IF(IFERROR(VLOOKUP(A717,'4.鋼筋'!C:D,1,0),"")="","","✔")</f>
        <v/>
      </c>
      <c r="F717" s="98" t="str">
        <f>IF(IFERROR(VLOOKUP(A717,'5.模板'!C:D,1,0),"")="","","✔")</f>
        <v/>
      </c>
      <c r="G717" s="98" t="str">
        <f>IF(IFERROR(VLOOKUP(A717,'6.混凝土'!C:D,1,0),"")="","","✔")</f>
        <v/>
      </c>
      <c r="H717" s="98" t="str">
        <f>IF(IFERROR(VLOOKUP(A717,'7.植筋'!C:D,1,0),"")="","","✔")</f>
        <v/>
      </c>
      <c r="I717" s="98" t="str">
        <f>IF(IFERROR(VLOOKUP(A717,'8.預力混凝土基樁'!C:D,1,0),"")="","","✔")</f>
        <v/>
      </c>
      <c r="J717" s="98" t="str">
        <f>IF(IFERROR(VLOOKUP(A717,'9.砌塊石護岸'!C:D,1,0),"")="","","✔")</f>
        <v/>
      </c>
      <c r="K717" s="98" t="str">
        <f>IF(IFERROR(VLOOKUP(A717,'10.低水護岸'!C:D,1,0),"")="","","✔")</f>
        <v/>
      </c>
      <c r="L717" s="98" t="str">
        <f>IF(IFERROR(VLOOKUP(A717,'11.固床工'!C:D,1,0),"")="","","✔")</f>
        <v/>
      </c>
      <c r="M717" s="98" t="str">
        <f>IF(IFERROR(VLOOKUP(A717,'12.全套管基樁'!C:D,1,0),"")="","","✔")</f>
        <v/>
      </c>
      <c r="N717" s="98" t="str">
        <f>IF(IFERROR(VLOOKUP(A717,'13.鋼筋混凝土管工程'!C:D,1,0),"")="","","✔")</f>
        <v/>
      </c>
      <c r="O717" s="98" t="str">
        <f>IF(IFERROR(VLOOKUP(A717,'14.鋼版樁'!C:D,1,0),"")="","","✔")</f>
        <v/>
      </c>
      <c r="P717" s="98" t="str">
        <f>IF(IFERROR(VLOOKUP(A717,'15.路床 路基高程'!C:D,1,0),"")="","","✔")</f>
        <v/>
      </c>
      <c r="Q717" s="98" t="str">
        <f>IF(IFERROR(VLOOKUP(A717,'16.瀝青混凝土'!C:D,1,0),"")="","","✔")</f>
        <v/>
      </c>
      <c r="R717" s="98" t="str">
        <f>IF(IFERROR(VLOOKUP(A717,'17.景觀鋪面(一)'!C:D,1,0),"")="","","✔")</f>
        <v/>
      </c>
      <c r="S717" s="98" t="str">
        <f>IF(IFERROR(VLOOKUP(A717,'18.景觀鋪面(二)'!C:D,1,0),"")="","","✔")</f>
        <v/>
      </c>
      <c r="T717" s="98" t="str">
        <f>IF(IFERROR(VLOOKUP(A717,'19.預鑄緣石'!C:D,1,0),"")="","","✔")</f>
        <v/>
      </c>
      <c r="U717" s="98" t="str">
        <f>IF(IFERROR(VLOOKUP(A717,'20.鋼構工程吊裝'!C:D,1,0),"")="","","✔")</f>
        <v/>
      </c>
      <c r="V717" s="98" t="str">
        <f>IF(IFERROR(VLOOKUP(A717,'21.鋼構工程塗裝'!C:D,1,0),"")="","","✔")</f>
        <v/>
      </c>
      <c r="W717" s="98" t="str">
        <f>IF(IFERROR(VLOOKUP(A717,'22.排水設施(一)'!C:D,1,0),"")="","","✔")</f>
        <v/>
      </c>
      <c r="X717" s="98" t="str">
        <f>IF(IFERROR(VLOOKUP(A717,'23.排水設施(二)'!C:D,1,0),"")="","","✔")</f>
        <v/>
      </c>
      <c r="Y717" s="98" t="str">
        <f>IF(IFERROR(VLOOKUP(A717,'24.木構造'!C:D,1,0),"")="","","✔")</f>
        <v/>
      </c>
      <c r="Z717" s="98" t="str">
        <f>IF(IFERROR(VLOOKUP(A717,'25.管路'!C:D,1,0),"")="","","✔")</f>
        <v/>
      </c>
      <c r="AA717" s="98" t="str">
        <f>IF(IFERROR(VLOOKUP(A717,'26.植栽(移植)'!C:D,1,0),"")="","","✔")</f>
        <v/>
      </c>
      <c r="AB717" s="98" t="str">
        <f>IF(IFERROR(VLOOKUP(A717,'27.植栽(新植)'!C:D,1,0),"")="","","✔")</f>
        <v/>
      </c>
      <c r="AC717" s="98" t="str">
        <f>IF(IFERROR(VLOOKUP(A717,'28.照明'!C:D,1,0),"")="","","✔")</f>
        <v/>
      </c>
      <c r="AD717" s="98" t="str">
        <f>IF(IFERROR(VLOOKUP(A717,'29.既有橋梁拆除'!C:D,1,0),"")="","","✔")</f>
        <v/>
      </c>
    </row>
    <row r="718" spans="1:30" ht="21.75" customHeight="1" x14ac:dyDescent="0.25">
      <c r="A718" s="99">
        <v>45908</v>
      </c>
      <c r="B718" s="98" t="str">
        <f>IF(IFERROR(VLOOKUP(A718,'1.測量放樣'!C:D,1,0),"")="","","✔")</f>
        <v/>
      </c>
      <c r="C718" s="98" t="str">
        <f>IF(IFERROR(VLOOKUP(A718,'2.土方開挖'!C:D,1,0),"")="","","✔")</f>
        <v/>
      </c>
      <c r="D718" s="98" t="str">
        <f>IF(IFERROR(VLOOKUP(A718,'3.土方回填'!C:D,1,0),"")="","","✔")</f>
        <v/>
      </c>
      <c r="E718" s="98" t="str">
        <f>IF(IFERROR(VLOOKUP(A718,'4.鋼筋'!C:D,1,0),"")="","","✔")</f>
        <v/>
      </c>
      <c r="F718" s="98" t="str">
        <f>IF(IFERROR(VLOOKUP(A718,'5.模板'!C:D,1,0),"")="","","✔")</f>
        <v/>
      </c>
      <c r="G718" s="98" t="str">
        <f>IF(IFERROR(VLOOKUP(A718,'6.混凝土'!C:D,1,0),"")="","","✔")</f>
        <v/>
      </c>
      <c r="H718" s="98" t="str">
        <f>IF(IFERROR(VLOOKUP(A718,'7.植筋'!C:D,1,0),"")="","","✔")</f>
        <v/>
      </c>
      <c r="I718" s="98" t="str">
        <f>IF(IFERROR(VLOOKUP(A718,'8.預力混凝土基樁'!C:D,1,0),"")="","","✔")</f>
        <v/>
      </c>
      <c r="J718" s="98" t="str">
        <f>IF(IFERROR(VLOOKUP(A718,'9.砌塊石護岸'!C:D,1,0),"")="","","✔")</f>
        <v/>
      </c>
      <c r="K718" s="98" t="str">
        <f>IF(IFERROR(VLOOKUP(A718,'10.低水護岸'!C:D,1,0),"")="","","✔")</f>
        <v/>
      </c>
      <c r="L718" s="98" t="str">
        <f>IF(IFERROR(VLOOKUP(A718,'11.固床工'!C:D,1,0),"")="","","✔")</f>
        <v/>
      </c>
      <c r="M718" s="98" t="str">
        <f>IF(IFERROR(VLOOKUP(A718,'12.全套管基樁'!C:D,1,0),"")="","","✔")</f>
        <v/>
      </c>
      <c r="N718" s="98" t="str">
        <f>IF(IFERROR(VLOOKUP(A718,'13.鋼筋混凝土管工程'!C:D,1,0),"")="","","✔")</f>
        <v/>
      </c>
      <c r="O718" s="98" t="str">
        <f>IF(IFERROR(VLOOKUP(A718,'14.鋼版樁'!C:D,1,0),"")="","","✔")</f>
        <v/>
      </c>
      <c r="P718" s="98" t="str">
        <f>IF(IFERROR(VLOOKUP(A718,'15.路床 路基高程'!C:D,1,0),"")="","","✔")</f>
        <v/>
      </c>
      <c r="Q718" s="98" t="str">
        <f>IF(IFERROR(VLOOKUP(A718,'16.瀝青混凝土'!C:D,1,0),"")="","","✔")</f>
        <v/>
      </c>
      <c r="R718" s="98" t="str">
        <f>IF(IFERROR(VLOOKUP(A718,'17.景觀鋪面(一)'!C:D,1,0),"")="","","✔")</f>
        <v/>
      </c>
      <c r="S718" s="98" t="str">
        <f>IF(IFERROR(VLOOKUP(A718,'18.景觀鋪面(二)'!C:D,1,0),"")="","","✔")</f>
        <v/>
      </c>
      <c r="T718" s="98" t="str">
        <f>IF(IFERROR(VLOOKUP(A718,'19.預鑄緣石'!C:D,1,0),"")="","","✔")</f>
        <v/>
      </c>
      <c r="U718" s="98" t="str">
        <f>IF(IFERROR(VLOOKUP(A718,'20.鋼構工程吊裝'!C:D,1,0),"")="","","✔")</f>
        <v/>
      </c>
      <c r="V718" s="98" t="str">
        <f>IF(IFERROR(VLOOKUP(A718,'21.鋼構工程塗裝'!C:D,1,0),"")="","","✔")</f>
        <v/>
      </c>
      <c r="W718" s="98" t="str">
        <f>IF(IFERROR(VLOOKUP(A718,'22.排水設施(一)'!C:D,1,0),"")="","","✔")</f>
        <v/>
      </c>
      <c r="X718" s="98" t="str">
        <f>IF(IFERROR(VLOOKUP(A718,'23.排水設施(二)'!C:D,1,0),"")="","","✔")</f>
        <v/>
      </c>
      <c r="Y718" s="98" t="str">
        <f>IF(IFERROR(VLOOKUP(A718,'24.木構造'!C:D,1,0),"")="","","✔")</f>
        <v/>
      </c>
      <c r="Z718" s="98" t="str">
        <f>IF(IFERROR(VLOOKUP(A718,'25.管路'!C:D,1,0),"")="","","✔")</f>
        <v/>
      </c>
      <c r="AA718" s="98" t="str">
        <f>IF(IFERROR(VLOOKUP(A718,'26.植栽(移植)'!C:D,1,0),"")="","","✔")</f>
        <v/>
      </c>
      <c r="AB718" s="98" t="str">
        <f>IF(IFERROR(VLOOKUP(A718,'27.植栽(新植)'!C:D,1,0),"")="","","✔")</f>
        <v/>
      </c>
      <c r="AC718" s="98" t="str">
        <f>IF(IFERROR(VLOOKUP(A718,'28.照明'!C:D,1,0),"")="","","✔")</f>
        <v/>
      </c>
      <c r="AD718" s="98" t="str">
        <f>IF(IFERROR(VLOOKUP(A718,'29.既有橋梁拆除'!C:D,1,0),"")="","","✔")</f>
        <v/>
      </c>
    </row>
    <row r="719" spans="1:30" ht="21.75" customHeight="1" x14ac:dyDescent="0.25">
      <c r="A719" s="99">
        <v>45909</v>
      </c>
      <c r="B719" s="98" t="str">
        <f>IF(IFERROR(VLOOKUP(A719,'1.測量放樣'!C:D,1,0),"")="","","✔")</f>
        <v/>
      </c>
      <c r="C719" s="98" t="str">
        <f>IF(IFERROR(VLOOKUP(A719,'2.土方開挖'!C:D,1,0),"")="","","✔")</f>
        <v/>
      </c>
      <c r="D719" s="98" t="str">
        <f>IF(IFERROR(VLOOKUP(A719,'3.土方回填'!C:D,1,0),"")="","","✔")</f>
        <v/>
      </c>
      <c r="E719" s="98" t="str">
        <f>IF(IFERROR(VLOOKUP(A719,'4.鋼筋'!C:D,1,0),"")="","","✔")</f>
        <v/>
      </c>
      <c r="F719" s="98" t="str">
        <f>IF(IFERROR(VLOOKUP(A719,'5.模板'!C:D,1,0),"")="","","✔")</f>
        <v/>
      </c>
      <c r="G719" s="98" t="str">
        <f>IF(IFERROR(VLOOKUP(A719,'6.混凝土'!C:D,1,0),"")="","","✔")</f>
        <v/>
      </c>
      <c r="H719" s="98" t="str">
        <f>IF(IFERROR(VLOOKUP(A719,'7.植筋'!C:D,1,0),"")="","","✔")</f>
        <v/>
      </c>
      <c r="I719" s="98" t="str">
        <f>IF(IFERROR(VLOOKUP(A719,'8.預力混凝土基樁'!C:D,1,0),"")="","","✔")</f>
        <v/>
      </c>
      <c r="J719" s="98" t="str">
        <f>IF(IFERROR(VLOOKUP(A719,'9.砌塊石護岸'!C:D,1,0),"")="","","✔")</f>
        <v/>
      </c>
      <c r="K719" s="98" t="str">
        <f>IF(IFERROR(VLOOKUP(A719,'10.低水護岸'!C:D,1,0),"")="","","✔")</f>
        <v/>
      </c>
      <c r="L719" s="98" t="str">
        <f>IF(IFERROR(VLOOKUP(A719,'11.固床工'!C:D,1,0),"")="","","✔")</f>
        <v/>
      </c>
      <c r="M719" s="98" t="str">
        <f>IF(IFERROR(VLOOKUP(A719,'12.全套管基樁'!C:D,1,0),"")="","","✔")</f>
        <v/>
      </c>
      <c r="N719" s="98" t="str">
        <f>IF(IFERROR(VLOOKUP(A719,'13.鋼筋混凝土管工程'!C:D,1,0),"")="","","✔")</f>
        <v/>
      </c>
      <c r="O719" s="98" t="str">
        <f>IF(IFERROR(VLOOKUP(A719,'14.鋼版樁'!C:D,1,0),"")="","","✔")</f>
        <v/>
      </c>
      <c r="P719" s="98" t="str">
        <f>IF(IFERROR(VLOOKUP(A719,'15.路床 路基高程'!C:D,1,0),"")="","","✔")</f>
        <v/>
      </c>
      <c r="Q719" s="98" t="str">
        <f>IF(IFERROR(VLOOKUP(A719,'16.瀝青混凝土'!C:D,1,0),"")="","","✔")</f>
        <v/>
      </c>
      <c r="R719" s="98" t="str">
        <f>IF(IFERROR(VLOOKUP(A719,'17.景觀鋪面(一)'!C:D,1,0),"")="","","✔")</f>
        <v/>
      </c>
      <c r="S719" s="98" t="str">
        <f>IF(IFERROR(VLOOKUP(A719,'18.景觀鋪面(二)'!C:D,1,0),"")="","","✔")</f>
        <v/>
      </c>
      <c r="T719" s="98" t="str">
        <f>IF(IFERROR(VLOOKUP(A719,'19.預鑄緣石'!C:D,1,0),"")="","","✔")</f>
        <v/>
      </c>
      <c r="U719" s="98" t="str">
        <f>IF(IFERROR(VLOOKUP(A719,'20.鋼構工程吊裝'!C:D,1,0),"")="","","✔")</f>
        <v/>
      </c>
      <c r="V719" s="98" t="str">
        <f>IF(IFERROR(VLOOKUP(A719,'21.鋼構工程塗裝'!C:D,1,0),"")="","","✔")</f>
        <v/>
      </c>
      <c r="W719" s="98" t="str">
        <f>IF(IFERROR(VLOOKUP(A719,'22.排水設施(一)'!C:D,1,0),"")="","","✔")</f>
        <v/>
      </c>
      <c r="X719" s="98" t="str">
        <f>IF(IFERROR(VLOOKUP(A719,'23.排水設施(二)'!C:D,1,0),"")="","","✔")</f>
        <v/>
      </c>
      <c r="Y719" s="98" t="str">
        <f>IF(IFERROR(VLOOKUP(A719,'24.木構造'!C:D,1,0),"")="","","✔")</f>
        <v/>
      </c>
      <c r="Z719" s="98" t="str">
        <f>IF(IFERROR(VLOOKUP(A719,'25.管路'!C:D,1,0),"")="","","✔")</f>
        <v/>
      </c>
      <c r="AA719" s="98" t="str">
        <f>IF(IFERROR(VLOOKUP(A719,'26.植栽(移植)'!C:D,1,0),"")="","","✔")</f>
        <v/>
      </c>
      <c r="AB719" s="98" t="str">
        <f>IF(IFERROR(VLOOKUP(A719,'27.植栽(新植)'!C:D,1,0),"")="","","✔")</f>
        <v/>
      </c>
      <c r="AC719" s="98" t="str">
        <f>IF(IFERROR(VLOOKUP(A719,'28.照明'!C:D,1,0),"")="","","✔")</f>
        <v/>
      </c>
      <c r="AD719" s="98" t="str">
        <f>IF(IFERROR(VLOOKUP(A719,'29.既有橋梁拆除'!C:D,1,0),"")="","","✔")</f>
        <v/>
      </c>
    </row>
    <row r="720" spans="1:30" ht="21.75" customHeight="1" x14ac:dyDescent="0.25">
      <c r="A720" s="99">
        <v>45910</v>
      </c>
      <c r="B720" s="98" t="str">
        <f>IF(IFERROR(VLOOKUP(A720,'1.測量放樣'!C:D,1,0),"")="","","✔")</f>
        <v/>
      </c>
      <c r="C720" s="98" t="str">
        <f>IF(IFERROR(VLOOKUP(A720,'2.土方開挖'!C:D,1,0),"")="","","✔")</f>
        <v/>
      </c>
      <c r="D720" s="98" t="str">
        <f>IF(IFERROR(VLOOKUP(A720,'3.土方回填'!C:D,1,0),"")="","","✔")</f>
        <v/>
      </c>
      <c r="E720" s="98" t="str">
        <f>IF(IFERROR(VLOOKUP(A720,'4.鋼筋'!C:D,1,0),"")="","","✔")</f>
        <v/>
      </c>
      <c r="F720" s="98" t="str">
        <f>IF(IFERROR(VLOOKUP(A720,'5.模板'!C:D,1,0),"")="","","✔")</f>
        <v/>
      </c>
      <c r="G720" s="98" t="str">
        <f>IF(IFERROR(VLOOKUP(A720,'6.混凝土'!C:D,1,0),"")="","","✔")</f>
        <v/>
      </c>
      <c r="H720" s="98" t="str">
        <f>IF(IFERROR(VLOOKUP(A720,'7.植筋'!C:D,1,0),"")="","","✔")</f>
        <v/>
      </c>
      <c r="I720" s="98" t="str">
        <f>IF(IFERROR(VLOOKUP(A720,'8.預力混凝土基樁'!C:D,1,0),"")="","","✔")</f>
        <v/>
      </c>
      <c r="J720" s="98" t="str">
        <f>IF(IFERROR(VLOOKUP(A720,'9.砌塊石護岸'!C:D,1,0),"")="","","✔")</f>
        <v/>
      </c>
      <c r="K720" s="98" t="str">
        <f>IF(IFERROR(VLOOKUP(A720,'10.低水護岸'!C:D,1,0),"")="","","✔")</f>
        <v/>
      </c>
      <c r="L720" s="98" t="str">
        <f>IF(IFERROR(VLOOKUP(A720,'11.固床工'!C:D,1,0),"")="","","✔")</f>
        <v/>
      </c>
      <c r="M720" s="98" t="str">
        <f>IF(IFERROR(VLOOKUP(A720,'12.全套管基樁'!C:D,1,0),"")="","","✔")</f>
        <v/>
      </c>
      <c r="N720" s="98" t="str">
        <f>IF(IFERROR(VLOOKUP(A720,'13.鋼筋混凝土管工程'!C:D,1,0),"")="","","✔")</f>
        <v/>
      </c>
      <c r="O720" s="98" t="str">
        <f>IF(IFERROR(VLOOKUP(A720,'14.鋼版樁'!C:D,1,0),"")="","","✔")</f>
        <v/>
      </c>
      <c r="P720" s="98" t="str">
        <f>IF(IFERROR(VLOOKUP(A720,'15.路床 路基高程'!C:D,1,0),"")="","","✔")</f>
        <v/>
      </c>
      <c r="Q720" s="98" t="str">
        <f>IF(IFERROR(VLOOKUP(A720,'16.瀝青混凝土'!C:D,1,0),"")="","","✔")</f>
        <v/>
      </c>
      <c r="R720" s="98" t="str">
        <f>IF(IFERROR(VLOOKUP(A720,'17.景觀鋪面(一)'!C:D,1,0),"")="","","✔")</f>
        <v/>
      </c>
      <c r="S720" s="98" t="str">
        <f>IF(IFERROR(VLOOKUP(A720,'18.景觀鋪面(二)'!C:D,1,0),"")="","","✔")</f>
        <v/>
      </c>
      <c r="T720" s="98" t="str">
        <f>IF(IFERROR(VLOOKUP(A720,'19.預鑄緣石'!C:D,1,0),"")="","","✔")</f>
        <v/>
      </c>
      <c r="U720" s="98" t="str">
        <f>IF(IFERROR(VLOOKUP(A720,'20.鋼構工程吊裝'!C:D,1,0),"")="","","✔")</f>
        <v/>
      </c>
      <c r="V720" s="98" t="str">
        <f>IF(IFERROR(VLOOKUP(A720,'21.鋼構工程塗裝'!C:D,1,0),"")="","","✔")</f>
        <v/>
      </c>
      <c r="W720" s="98" t="str">
        <f>IF(IFERROR(VLOOKUP(A720,'22.排水設施(一)'!C:D,1,0),"")="","","✔")</f>
        <v/>
      </c>
      <c r="X720" s="98" t="str">
        <f>IF(IFERROR(VLOOKUP(A720,'23.排水設施(二)'!C:D,1,0),"")="","","✔")</f>
        <v/>
      </c>
      <c r="Y720" s="98" t="str">
        <f>IF(IFERROR(VLOOKUP(A720,'24.木構造'!C:D,1,0),"")="","","✔")</f>
        <v/>
      </c>
      <c r="Z720" s="98" t="str">
        <f>IF(IFERROR(VLOOKUP(A720,'25.管路'!C:D,1,0),"")="","","✔")</f>
        <v/>
      </c>
      <c r="AA720" s="98" t="str">
        <f>IF(IFERROR(VLOOKUP(A720,'26.植栽(移植)'!C:D,1,0),"")="","","✔")</f>
        <v/>
      </c>
      <c r="AB720" s="98" t="str">
        <f>IF(IFERROR(VLOOKUP(A720,'27.植栽(新植)'!C:D,1,0),"")="","","✔")</f>
        <v/>
      </c>
      <c r="AC720" s="98" t="str">
        <f>IF(IFERROR(VLOOKUP(A720,'28.照明'!C:D,1,0),"")="","","✔")</f>
        <v/>
      </c>
      <c r="AD720" s="98" t="str">
        <f>IF(IFERROR(VLOOKUP(A720,'29.既有橋梁拆除'!C:D,1,0),"")="","","✔")</f>
        <v/>
      </c>
    </row>
    <row r="721" spans="1:30" ht="21.75" customHeight="1" x14ac:dyDescent="0.25">
      <c r="A721" s="99">
        <v>45911</v>
      </c>
      <c r="B721" s="98" t="str">
        <f>IF(IFERROR(VLOOKUP(A721,'1.測量放樣'!C:D,1,0),"")="","","✔")</f>
        <v/>
      </c>
      <c r="C721" s="98" t="str">
        <f>IF(IFERROR(VLOOKUP(A721,'2.土方開挖'!C:D,1,0),"")="","","✔")</f>
        <v/>
      </c>
      <c r="D721" s="98" t="str">
        <f>IF(IFERROR(VLOOKUP(A721,'3.土方回填'!C:D,1,0),"")="","","✔")</f>
        <v/>
      </c>
      <c r="E721" s="98" t="str">
        <f>IF(IFERROR(VLOOKUP(A721,'4.鋼筋'!C:D,1,0),"")="","","✔")</f>
        <v/>
      </c>
      <c r="F721" s="98" t="str">
        <f>IF(IFERROR(VLOOKUP(A721,'5.模板'!C:D,1,0),"")="","","✔")</f>
        <v/>
      </c>
      <c r="G721" s="98" t="str">
        <f>IF(IFERROR(VLOOKUP(A721,'6.混凝土'!C:D,1,0),"")="","","✔")</f>
        <v/>
      </c>
      <c r="H721" s="98" t="str">
        <f>IF(IFERROR(VLOOKUP(A721,'7.植筋'!C:D,1,0),"")="","","✔")</f>
        <v/>
      </c>
      <c r="I721" s="98" t="str">
        <f>IF(IFERROR(VLOOKUP(A721,'8.預力混凝土基樁'!C:D,1,0),"")="","","✔")</f>
        <v/>
      </c>
      <c r="J721" s="98" t="str">
        <f>IF(IFERROR(VLOOKUP(A721,'9.砌塊石護岸'!C:D,1,0),"")="","","✔")</f>
        <v/>
      </c>
      <c r="K721" s="98" t="str">
        <f>IF(IFERROR(VLOOKUP(A721,'10.低水護岸'!C:D,1,0),"")="","","✔")</f>
        <v/>
      </c>
      <c r="L721" s="98" t="str">
        <f>IF(IFERROR(VLOOKUP(A721,'11.固床工'!C:D,1,0),"")="","","✔")</f>
        <v/>
      </c>
      <c r="M721" s="98" t="str">
        <f>IF(IFERROR(VLOOKUP(A721,'12.全套管基樁'!C:D,1,0),"")="","","✔")</f>
        <v/>
      </c>
      <c r="N721" s="98" t="str">
        <f>IF(IFERROR(VLOOKUP(A721,'13.鋼筋混凝土管工程'!C:D,1,0),"")="","","✔")</f>
        <v/>
      </c>
      <c r="O721" s="98" t="str">
        <f>IF(IFERROR(VLOOKUP(A721,'14.鋼版樁'!C:D,1,0),"")="","","✔")</f>
        <v/>
      </c>
      <c r="P721" s="98" t="str">
        <f>IF(IFERROR(VLOOKUP(A721,'15.路床 路基高程'!C:D,1,0),"")="","","✔")</f>
        <v/>
      </c>
      <c r="Q721" s="98" t="str">
        <f>IF(IFERROR(VLOOKUP(A721,'16.瀝青混凝土'!C:D,1,0),"")="","","✔")</f>
        <v/>
      </c>
      <c r="R721" s="98" t="str">
        <f>IF(IFERROR(VLOOKUP(A721,'17.景觀鋪面(一)'!C:D,1,0),"")="","","✔")</f>
        <v/>
      </c>
      <c r="S721" s="98" t="str">
        <f>IF(IFERROR(VLOOKUP(A721,'18.景觀鋪面(二)'!C:D,1,0),"")="","","✔")</f>
        <v/>
      </c>
      <c r="T721" s="98" t="str">
        <f>IF(IFERROR(VLOOKUP(A721,'19.預鑄緣石'!C:D,1,0),"")="","","✔")</f>
        <v/>
      </c>
      <c r="U721" s="98" t="str">
        <f>IF(IFERROR(VLOOKUP(A721,'20.鋼構工程吊裝'!C:D,1,0),"")="","","✔")</f>
        <v/>
      </c>
      <c r="V721" s="98" t="str">
        <f>IF(IFERROR(VLOOKUP(A721,'21.鋼構工程塗裝'!C:D,1,0),"")="","","✔")</f>
        <v/>
      </c>
      <c r="W721" s="98" t="str">
        <f>IF(IFERROR(VLOOKUP(A721,'22.排水設施(一)'!C:D,1,0),"")="","","✔")</f>
        <v/>
      </c>
      <c r="X721" s="98" t="str">
        <f>IF(IFERROR(VLOOKUP(A721,'23.排水設施(二)'!C:D,1,0),"")="","","✔")</f>
        <v/>
      </c>
      <c r="Y721" s="98" t="str">
        <f>IF(IFERROR(VLOOKUP(A721,'24.木構造'!C:D,1,0),"")="","","✔")</f>
        <v/>
      </c>
      <c r="Z721" s="98" t="str">
        <f>IF(IFERROR(VLOOKUP(A721,'25.管路'!C:D,1,0),"")="","","✔")</f>
        <v/>
      </c>
      <c r="AA721" s="98" t="str">
        <f>IF(IFERROR(VLOOKUP(A721,'26.植栽(移植)'!C:D,1,0),"")="","","✔")</f>
        <v/>
      </c>
      <c r="AB721" s="98" t="str">
        <f>IF(IFERROR(VLOOKUP(A721,'27.植栽(新植)'!C:D,1,0),"")="","","✔")</f>
        <v/>
      </c>
      <c r="AC721" s="98" t="str">
        <f>IF(IFERROR(VLOOKUP(A721,'28.照明'!C:D,1,0),"")="","","✔")</f>
        <v/>
      </c>
      <c r="AD721" s="98" t="str">
        <f>IF(IFERROR(VLOOKUP(A721,'29.既有橋梁拆除'!C:D,1,0),"")="","","✔")</f>
        <v/>
      </c>
    </row>
    <row r="722" spans="1:30" ht="21.75" customHeight="1" x14ac:dyDescent="0.25">
      <c r="A722" s="99">
        <v>45912</v>
      </c>
      <c r="B722" s="98" t="str">
        <f>IF(IFERROR(VLOOKUP(A722,'1.測量放樣'!C:D,1,0),"")="","","✔")</f>
        <v/>
      </c>
      <c r="C722" s="98" t="str">
        <f>IF(IFERROR(VLOOKUP(A722,'2.土方開挖'!C:D,1,0),"")="","","✔")</f>
        <v/>
      </c>
      <c r="D722" s="98" t="str">
        <f>IF(IFERROR(VLOOKUP(A722,'3.土方回填'!C:D,1,0),"")="","","✔")</f>
        <v/>
      </c>
      <c r="E722" s="98" t="str">
        <f>IF(IFERROR(VLOOKUP(A722,'4.鋼筋'!C:D,1,0),"")="","","✔")</f>
        <v/>
      </c>
      <c r="F722" s="98" t="str">
        <f>IF(IFERROR(VLOOKUP(A722,'5.模板'!C:D,1,0),"")="","","✔")</f>
        <v/>
      </c>
      <c r="G722" s="98" t="str">
        <f>IF(IFERROR(VLOOKUP(A722,'6.混凝土'!C:D,1,0),"")="","","✔")</f>
        <v/>
      </c>
      <c r="H722" s="98" t="str">
        <f>IF(IFERROR(VLOOKUP(A722,'7.植筋'!C:D,1,0),"")="","","✔")</f>
        <v/>
      </c>
      <c r="I722" s="98" t="str">
        <f>IF(IFERROR(VLOOKUP(A722,'8.預力混凝土基樁'!C:D,1,0),"")="","","✔")</f>
        <v/>
      </c>
      <c r="J722" s="98" t="str">
        <f>IF(IFERROR(VLOOKUP(A722,'9.砌塊石護岸'!C:D,1,0),"")="","","✔")</f>
        <v/>
      </c>
      <c r="K722" s="98" t="str">
        <f>IF(IFERROR(VLOOKUP(A722,'10.低水護岸'!C:D,1,0),"")="","","✔")</f>
        <v/>
      </c>
      <c r="L722" s="98" t="str">
        <f>IF(IFERROR(VLOOKUP(A722,'11.固床工'!C:D,1,0),"")="","","✔")</f>
        <v/>
      </c>
      <c r="M722" s="98" t="str">
        <f>IF(IFERROR(VLOOKUP(A722,'12.全套管基樁'!C:D,1,0),"")="","","✔")</f>
        <v/>
      </c>
      <c r="N722" s="98" t="str">
        <f>IF(IFERROR(VLOOKUP(A722,'13.鋼筋混凝土管工程'!C:D,1,0),"")="","","✔")</f>
        <v/>
      </c>
      <c r="O722" s="98" t="str">
        <f>IF(IFERROR(VLOOKUP(A722,'14.鋼版樁'!C:D,1,0),"")="","","✔")</f>
        <v/>
      </c>
      <c r="P722" s="98" t="str">
        <f>IF(IFERROR(VLOOKUP(A722,'15.路床 路基高程'!C:D,1,0),"")="","","✔")</f>
        <v/>
      </c>
      <c r="Q722" s="98" t="str">
        <f>IF(IFERROR(VLOOKUP(A722,'16.瀝青混凝土'!C:D,1,0),"")="","","✔")</f>
        <v/>
      </c>
      <c r="R722" s="98" t="str">
        <f>IF(IFERROR(VLOOKUP(A722,'17.景觀鋪面(一)'!C:D,1,0),"")="","","✔")</f>
        <v/>
      </c>
      <c r="S722" s="98" t="str">
        <f>IF(IFERROR(VLOOKUP(A722,'18.景觀鋪面(二)'!C:D,1,0),"")="","","✔")</f>
        <v/>
      </c>
      <c r="T722" s="98" t="str">
        <f>IF(IFERROR(VLOOKUP(A722,'19.預鑄緣石'!C:D,1,0),"")="","","✔")</f>
        <v/>
      </c>
      <c r="U722" s="98" t="str">
        <f>IF(IFERROR(VLOOKUP(A722,'20.鋼構工程吊裝'!C:D,1,0),"")="","","✔")</f>
        <v/>
      </c>
      <c r="V722" s="98" t="str">
        <f>IF(IFERROR(VLOOKUP(A722,'21.鋼構工程塗裝'!C:D,1,0),"")="","","✔")</f>
        <v/>
      </c>
      <c r="W722" s="98" t="str">
        <f>IF(IFERROR(VLOOKUP(A722,'22.排水設施(一)'!C:D,1,0),"")="","","✔")</f>
        <v/>
      </c>
      <c r="X722" s="98" t="str">
        <f>IF(IFERROR(VLOOKUP(A722,'23.排水設施(二)'!C:D,1,0),"")="","","✔")</f>
        <v/>
      </c>
      <c r="Y722" s="98" t="str">
        <f>IF(IFERROR(VLOOKUP(A722,'24.木構造'!C:D,1,0),"")="","","✔")</f>
        <v/>
      </c>
      <c r="Z722" s="98" t="str">
        <f>IF(IFERROR(VLOOKUP(A722,'25.管路'!C:D,1,0),"")="","","✔")</f>
        <v/>
      </c>
      <c r="AA722" s="98" t="str">
        <f>IF(IFERROR(VLOOKUP(A722,'26.植栽(移植)'!C:D,1,0),"")="","","✔")</f>
        <v/>
      </c>
      <c r="AB722" s="98" t="str">
        <f>IF(IFERROR(VLOOKUP(A722,'27.植栽(新植)'!C:D,1,0),"")="","","✔")</f>
        <v/>
      </c>
      <c r="AC722" s="98" t="str">
        <f>IF(IFERROR(VLOOKUP(A722,'28.照明'!C:D,1,0),"")="","","✔")</f>
        <v/>
      </c>
      <c r="AD722" s="98" t="str">
        <f>IF(IFERROR(VLOOKUP(A722,'29.既有橋梁拆除'!C:D,1,0),"")="","","✔")</f>
        <v/>
      </c>
    </row>
    <row r="723" spans="1:30" ht="21.75" customHeight="1" x14ac:dyDescent="0.25">
      <c r="A723" s="99">
        <v>45913</v>
      </c>
      <c r="B723" s="98" t="str">
        <f>IF(IFERROR(VLOOKUP(A723,'1.測量放樣'!C:D,1,0),"")="","","✔")</f>
        <v/>
      </c>
      <c r="C723" s="98" t="str">
        <f>IF(IFERROR(VLOOKUP(A723,'2.土方開挖'!C:D,1,0),"")="","","✔")</f>
        <v/>
      </c>
      <c r="D723" s="98" t="str">
        <f>IF(IFERROR(VLOOKUP(A723,'3.土方回填'!C:D,1,0),"")="","","✔")</f>
        <v/>
      </c>
      <c r="E723" s="98" t="str">
        <f>IF(IFERROR(VLOOKUP(A723,'4.鋼筋'!C:D,1,0),"")="","","✔")</f>
        <v/>
      </c>
      <c r="F723" s="98" t="str">
        <f>IF(IFERROR(VLOOKUP(A723,'5.模板'!C:D,1,0),"")="","","✔")</f>
        <v/>
      </c>
      <c r="G723" s="98" t="str">
        <f>IF(IFERROR(VLOOKUP(A723,'6.混凝土'!C:D,1,0),"")="","","✔")</f>
        <v/>
      </c>
      <c r="H723" s="98" t="str">
        <f>IF(IFERROR(VLOOKUP(A723,'7.植筋'!C:D,1,0),"")="","","✔")</f>
        <v/>
      </c>
      <c r="I723" s="98" t="str">
        <f>IF(IFERROR(VLOOKUP(A723,'8.預力混凝土基樁'!C:D,1,0),"")="","","✔")</f>
        <v/>
      </c>
      <c r="J723" s="98" t="str">
        <f>IF(IFERROR(VLOOKUP(A723,'9.砌塊石護岸'!C:D,1,0),"")="","","✔")</f>
        <v/>
      </c>
      <c r="K723" s="98" t="str">
        <f>IF(IFERROR(VLOOKUP(A723,'10.低水護岸'!C:D,1,0),"")="","","✔")</f>
        <v/>
      </c>
      <c r="L723" s="98" t="str">
        <f>IF(IFERROR(VLOOKUP(A723,'11.固床工'!C:D,1,0),"")="","","✔")</f>
        <v/>
      </c>
      <c r="M723" s="98" t="str">
        <f>IF(IFERROR(VLOOKUP(A723,'12.全套管基樁'!C:D,1,0),"")="","","✔")</f>
        <v/>
      </c>
      <c r="N723" s="98" t="str">
        <f>IF(IFERROR(VLOOKUP(A723,'13.鋼筋混凝土管工程'!C:D,1,0),"")="","","✔")</f>
        <v/>
      </c>
      <c r="O723" s="98" t="str">
        <f>IF(IFERROR(VLOOKUP(A723,'14.鋼版樁'!C:D,1,0),"")="","","✔")</f>
        <v/>
      </c>
      <c r="P723" s="98" t="str">
        <f>IF(IFERROR(VLOOKUP(A723,'15.路床 路基高程'!C:D,1,0),"")="","","✔")</f>
        <v/>
      </c>
      <c r="Q723" s="98" t="str">
        <f>IF(IFERROR(VLOOKUP(A723,'16.瀝青混凝土'!C:D,1,0),"")="","","✔")</f>
        <v/>
      </c>
      <c r="R723" s="98" t="str">
        <f>IF(IFERROR(VLOOKUP(A723,'17.景觀鋪面(一)'!C:D,1,0),"")="","","✔")</f>
        <v/>
      </c>
      <c r="S723" s="98" t="str">
        <f>IF(IFERROR(VLOOKUP(A723,'18.景觀鋪面(二)'!C:D,1,0),"")="","","✔")</f>
        <v/>
      </c>
      <c r="T723" s="98" t="str">
        <f>IF(IFERROR(VLOOKUP(A723,'19.預鑄緣石'!C:D,1,0),"")="","","✔")</f>
        <v/>
      </c>
      <c r="U723" s="98" t="str">
        <f>IF(IFERROR(VLOOKUP(A723,'20.鋼構工程吊裝'!C:D,1,0),"")="","","✔")</f>
        <v/>
      </c>
      <c r="V723" s="98" t="str">
        <f>IF(IFERROR(VLOOKUP(A723,'21.鋼構工程塗裝'!C:D,1,0),"")="","","✔")</f>
        <v/>
      </c>
      <c r="W723" s="98" t="str">
        <f>IF(IFERROR(VLOOKUP(A723,'22.排水設施(一)'!C:D,1,0),"")="","","✔")</f>
        <v/>
      </c>
      <c r="X723" s="98" t="str">
        <f>IF(IFERROR(VLOOKUP(A723,'23.排水設施(二)'!C:D,1,0),"")="","","✔")</f>
        <v/>
      </c>
      <c r="Y723" s="98" t="str">
        <f>IF(IFERROR(VLOOKUP(A723,'24.木構造'!C:D,1,0),"")="","","✔")</f>
        <v/>
      </c>
      <c r="Z723" s="98" t="str">
        <f>IF(IFERROR(VLOOKUP(A723,'25.管路'!C:D,1,0),"")="","","✔")</f>
        <v/>
      </c>
      <c r="AA723" s="98" t="str">
        <f>IF(IFERROR(VLOOKUP(A723,'26.植栽(移植)'!C:D,1,0),"")="","","✔")</f>
        <v/>
      </c>
      <c r="AB723" s="98" t="str">
        <f>IF(IFERROR(VLOOKUP(A723,'27.植栽(新植)'!C:D,1,0),"")="","","✔")</f>
        <v/>
      </c>
      <c r="AC723" s="98" t="str">
        <f>IF(IFERROR(VLOOKUP(A723,'28.照明'!C:D,1,0),"")="","","✔")</f>
        <v/>
      </c>
      <c r="AD723" s="98" t="str">
        <f>IF(IFERROR(VLOOKUP(A723,'29.既有橋梁拆除'!C:D,1,0),"")="","","✔")</f>
        <v/>
      </c>
    </row>
    <row r="724" spans="1:30" ht="21.75" customHeight="1" x14ac:dyDescent="0.25">
      <c r="A724" s="99">
        <v>45914</v>
      </c>
      <c r="B724" s="98" t="str">
        <f>IF(IFERROR(VLOOKUP(A724,'1.測量放樣'!C:D,1,0),"")="","","✔")</f>
        <v/>
      </c>
      <c r="C724" s="98" t="str">
        <f>IF(IFERROR(VLOOKUP(A724,'2.土方開挖'!C:D,1,0),"")="","","✔")</f>
        <v/>
      </c>
      <c r="D724" s="98" t="str">
        <f>IF(IFERROR(VLOOKUP(A724,'3.土方回填'!C:D,1,0),"")="","","✔")</f>
        <v/>
      </c>
      <c r="E724" s="98" t="str">
        <f>IF(IFERROR(VLOOKUP(A724,'4.鋼筋'!C:D,1,0),"")="","","✔")</f>
        <v/>
      </c>
      <c r="F724" s="98" t="str">
        <f>IF(IFERROR(VLOOKUP(A724,'5.模板'!C:D,1,0),"")="","","✔")</f>
        <v/>
      </c>
      <c r="G724" s="98" t="str">
        <f>IF(IFERROR(VLOOKUP(A724,'6.混凝土'!C:D,1,0),"")="","","✔")</f>
        <v/>
      </c>
      <c r="H724" s="98" t="str">
        <f>IF(IFERROR(VLOOKUP(A724,'7.植筋'!C:D,1,0),"")="","","✔")</f>
        <v/>
      </c>
      <c r="I724" s="98" t="str">
        <f>IF(IFERROR(VLOOKUP(A724,'8.預力混凝土基樁'!C:D,1,0),"")="","","✔")</f>
        <v/>
      </c>
      <c r="J724" s="98" t="str">
        <f>IF(IFERROR(VLOOKUP(A724,'9.砌塊石護岸'!C:D,1,0),"")="","","✔")</f>
        <v/>
      </c>
      <c r="K724" s="98" t="str">
        <f>IF(IFERROR(VLOOKUP(A724,'10.低水護岸'!C:D,1,0),"")="","","✔")</f>
        <v/>
      </c>
      <c r="L724" s="98" t="str">
        <f>IF(IFERROR(VLOOKUP(A724,'11.固床工'!C:D,1,0),"")="","","✔")</f>
        <v/>
      </c>
      <c r="M724" s="98" t="str">
        <f>IF(IFERROR(VLOOKUP(A724,'12.全套管基樁'!C:D,1,0),"")="","","✔")</f>
        <v/>
      </c>
      <c r="N724" s="98" t="str">
        <f>IF(IFERROR(VLOOKUP(A724,'13.鋼筋混凝土管工程'!C:D,1,0),"")="","","✔")</f>
        <v/>
      </c>
      <c r="O724" s="98" t="str">
        <f>IF(IFERROR(VLOOKUP(A724,'14.鋼版樁'!C:D,1,0),"")="","","✔")</f>
        <v/>
      </c>
      <c r="P724" s="98" t="str">
        <f>IF(IFERROR(VLOOKUP(A724,'15.路床 路基高程'!C:D,1,0),"")="","","✔")</f>
        <v/>
      </c>
      <c r="Q724" s="98" t="str">
        <f>IF(IFERROR(VLOOKUP(A724,'16.瀝青混凝土'!C:D,1,0),"")="","","✔")</f>
        <v/>
      </c>
      <c r="R724" s="98" t="str">
        <f>IF(IFERROR(VLOOKUP(A724,'17.景觀鋪面(一)'!C:D,1,0),"")="","","✔")</f>
        <v/>
      </c>
      <c r="S724" s="98" t="str">
        <f>IF(IFERROR(VLOOKUP(A724,'18.景觀鋪面(二)'!C:D,1,0),"")="","","✔")</f>
        <v/>
      </c>
      <c r="T724" s="98" t="str">
        <f>IF(IFERROR(VLOOKUP(A724,'19.預鑄緣石'!C:D,1,0),"")="","","✔")</f>
        <v/>
      </c>
      <c r="U724" s="98" t="str">
        <f>IF(IFERROR(VLOOKUP(A724,'20.鋼構工程吊裝'!C:D,1,0),"")="","","✔")</f>
        <v/>
      </c>
      <c r="V724" s="98" t="str">
        <f>IF(IFERROR(VLOOKUP(A724,'21.鋼構工程塗裝'!C:D,1,0),"")="","","✔")</f>
        <v/>
      </c>
      <c r="W724" s="98" t="str">
        <f>IF(IFERROR(VLOOKUP(A724,'22.排水設施(一)'!C:D,1,0),"")="","","✔")</f>
        <v/>
      </c>
      <c r="X724" s="98" t="str">
        <f>IF(IFERROR(VLOOKUP(A724,'23.排水設施(二)'!C:D,1,0),"")="","","✔")</f>
        <v/>
      </c>
      <c r="Y724" s="98" t="str">
        <f>IF(IFERROR(VLOOKUP(A724,'24.木構造'!C:D,1,0),"")="","","✔")</f>
        <v/>
      </c>
      <c r="Z724" s="98" t="str">
        <f>IF(IFERROR(VLOOKUP(A724,'25.管路'!C:D,1,0),"")="","","✔")</f>
        <v/>
      </c>
      <c r="AA724" s="98" t="str">
        <f>IF(IFERROR(VLOOKUP(A724,'26.植栽(移植)'!C:D,1,0),"")="","","✔")</f>
        <v/>
      </c>
      <c r="AB724" s="98" t="str">
        <f>IF(IFERROR(VLOOKUP(A724,'27.植栽(新植)'!C:D,1,0),"")="","","✔")</f>
        <v/>
      </c>
      <c r="AC724" s="98" t="str">
        <f>IF(IFERROR(VLOOKUP(A724,'28.照明'!C:D,1,0),"")="","","✔")</f>
        <v/>
      </c>
      <c r="AD724" s="98" t="str">
        <f>IF(IFERROR(VLOOKUP(A724,'29.既有橋梁拆除'!C:D,1,0),"")="","","✔")</f>
        <v/>
      </c>
    </row>
    <row r="725" spans="1:30" ht="21.75" customHeight="1" x14ac:dyDescent="0.25">
      <c r="A725" s="99">
        <v>45915</v>
      </c>
      <c r="B725" s="98" t="str">
        <f>IF(IFERROR(VLOOKUP(A725,'1.測量放樣'!C:D,1,0),"")="","","✔")</f>
        <v/>
      </c>
      <c r="C725" s="98" t="str">
        <f>IF(IFERROR(VLOOKUP(A725,'2.土方開挖'!C:D,1,0),"")="","","✔")</f>
        <v/>
      </c>
      <c r="D725" s="98" t="str">
        <f>IF(IFERROR(VLOOKUP(A725,'3.土方回填'!C:D,1,0),"")="","","✔")</f>
        <v/>
      </c>
      <c r="E725" s="98" t="str">
        <f>IF(IFERROR(VLOOKUP(A725,'4.鋼筋'!C:D,1,0),"")="","","✔")</f>
        <v/>
      </c>
      <c r="F725" s="98" t="str">
        <f>IF(IFERROR(VLOOKUP(A725,'5.模板'!C:D,1,0),"")="","","✔")</f>
        <v/>
      </c>
      <c r="G725" s="98" t="str">
        <f>IF(IFERROR(VLOOKUP(A725,'6.混凝土'!C:D,1,0),"")="","","✔")</f>
        <v/>
      </c>
      <c r="H725" s="98" t="str">
        <f>IF(IFERROR(VLOOKUP(A725,'7.植筋'!C:D,1,0),"")="","","✔")</f>
        <v/>
      </c>
      <c r="I725" s="98" t="str">
        <f>IF(IFERROR(VLOOKUP(A725,'8.預力混凝土基樁'!C:D,1,0),"")="","","✔")</f>
        <v/>
      </c>
      <c r="J725" s="98" t="str">
        <f>IF(IFERROR(VLOOKUP(A725,'9.砌塊石護岸'!C:D,1,0),"")="","","✔")</f>
        <v/>
      </c>
      <c r="K725" s="98" t="str">
        <f>IF(IFERROR(VLOOKUP(A725,'10.低水護岸'!C:D,1,0),"")="","","✔")</f>
        <v/>
      </c>
      <c r="L725" s="98" t="str">
        <f>IF(IFERROR(VLOOKUP(A725,'11.固床工'!C:D,1,0),"")="","","✔")</f>
        <v/>
      </c>
      <c r="M725" s="98" t="str">
        <f>IF(IFERROR(VLOOKUP(A725,'12.全套管基樁'!C:D,1,0),"")="","","✔")</f>
        <v/>
      </c>
      <c r="N725" s="98" t="str">
        <f>IF(IFERROR(VLOOKUP(A725,'13.鋼筋混凝土管工程'!C:D,1,0),"")="","","✔")</f>
        <v/>
      </c>
      <c r="O725" s="98" t="str">
        <f>IF(IFERROR(VLOOKUP(A725,'14.鋼版樁'!C:D,1,0),"")="","","✔")</f>
        <v/>
      </c>
      <c r="P725" s="98" t="str">
        <f>IF(IFERROR(VLOOKUP(A725,'15.路床 路基高程'!C:D,1,0),"")="","","✔")</f>
        <v/>
      </c>
      <c r="Q725" s="98" t="str">
        <f>IF(IFERROR(VLOOKUP(A725,'16.瀝青混凝土'!C:D,1,0),"")="","","✔")</f>
        <v/>
      </c>
      <c r="R725" s="98" t="str">
        <f>IF(IFERROR(VLOOKUP(A725,'17.景觀鋪面(一)'!C:D,1,0),"")="","","✔")</f>
        <v/>
      </c>
      <c r="S725" s="98" t="str">
        <f>IF(IFERROR(VLOOKUP(A725,'18.景觀鋪面(二)'!C:D,1,0),"")="","","✔")</f>
        <v/>
      </c>
      <c r="T725" s="98" t="str">
        <f>IF(IFERROR(VLOOKUP(A725,'19.預鑄緣石'!C:D,1,0),"")="","","✔")</f>
        <v/>
      </c>
      <c r="U725" s="98" t="str">
        <f>IF(IFERROR(VLOOKUP(A725,'20.鋼構工程吊裝'!C:D,1,0),"")="","","✔")</f>
        <v/>
      </c>
      <c r="V725" s="98" t="str">
        <f>IF(IFERROR(VLOOKUP(A725,'21.鋼構工程塗裝'!C:D,1,0),"")="","","✔")</f>
        <v/>
      </c>
      <c r="W725" s="98" t="str">
        <f>IF(IFERROR(VLOOKUP(A725,'22.排水設施(一)'!C:D,1,0),"")="","","✔")</f>
        <v/>
      </c>
      <c r="X725" s="98" t="str">
        <f>IF(IFERROR(VLOOKUP(A725,'23.排水設施(二)'!C:D,1,0),"")="","","✔")</f>
        <v/>
      </c>
      <c r="Y725" s="98" t="str">
        <f>IF(IFERROR(VLOOKUP(A725,'24.木構造'!C:D,1,0),"")="","","✔")</f>
        <v/>
      </c>
      <c r="Z725" s="98" t="str">
        <f>IF(IFERROR(VLOOKUP(A725,'25.管路'!C:D,1,0),"")="","","✔")</f>
        <v/>
      </c>
      <c r="AA725" s="98" t="str">
        <f>IF(IFERROR(VLOOKUP(A725,'26.植栽(移植)'!C:D,1,0),"")="","","✔")</f>
        <v/>
      </c>
      <c r="AB725" s="98" t="str">
        <f>IF(IFERROR(VLOOKUP(A725,'27.植栽(新植)'!C:D,1,0),"")="","","✔")</f>
        <v/>
      </c>
      <c r="AC725" s="98" t="str">
        <f>IF(IFERROR(VLOOKUP(A725,'28.照明'!C:D,1,0),"")="","","✔")</f>
        <v/>
      </c>
      <c r="AD725" s="98" t="str">
        <f>IF(IFERROR(VLOOKUP(A725,'29.既有橋梁拆除'!C:D,1,0),"")="","","✔")</f>
        <v/>
      </c>
    </row>
    <row r="726" spans="1:30" ht="21.75" customHeight="1" x14ac:dyDescent="0.25">
      <c r="A726" s="99">
        <v>45916</v>
      </c>
      <c r="B726" s="98" t="str">
        <f>IF(IFERROR(VLOOKUP(A726,'1.測量放樣'!C:D,1,0),"")="","","✔")</f>
        <v/>
      </c>
      <c r="C726" s="98" t="str">
        <f>IF(IFERROR(VLOOKUP(A726,'2.土方開挖'!C:D,1,0),"")="","","✔")</f>
        <v/>
      </c>
      <c r="D726" s="98" t="str">
        <f>IF(IFERROR(VLOOKUP(A726,'3.土方回填'!C:D,1,0),"")="","","✔")</f>
        <v/>
      </c>
      <c r="E726" s="98" t="str">
        <f>IF(IFERROR(VLOOKUP(A726,'4.鋼筋'!C:D,1,0),"")="","","✔")</f>
        <v/>
      </c>
      <c r="F726" s="98" t="str">
        <f>IF(IFERROR(VLOOKUP(A726,'5.模板'!C:D,1,0),"")="","","✔")</f>
        <v/>
      </c>
      <c r="G726" s="98" t="str">
        <f>IF(IFERROR(VLOOKUP(A726,'6.混凝土'!C:D,1,0),"")="","","✔")</f>
        <v/>
      </c>
      <c r="H726" s="98" t="str">
        <f>IF(IFERROR(VLOOKUP(A726,'7.植筋'!C:D,1,0),"")="","","✔")</f>
        <v/>
      </c>
      <c r="I726" s="98" t="str">
        <f>IF(IFERROR(VLOOKUP(A726,'8.預力混凝土基樁'!C:D,1,0),"")="","","✔")</f>
        <v/>
      </c>
      <c r="J726" s="98" t="str">
        <f>IF(IFERROR(VLOOKUP(A726,'9.砌塊石護岸'!C:D,1,0),"")="","","✔")</f>
        <v/>
      </c>
      <c r="K726" s="98" t="str">
        <f>IF(IFERROR(VLOOKUP(A726,'10.低水護岸'!C:D,1,0),"")="","","✔")</f>
        <v/>
      </c>
      <c r="L726" s="98" t="str">
        <f>IF(IFERROR(VLOOKUP(A726,'11.固床工'!C:D,1,0),"")="","","✔")</f>
        <v/>
      </c>
      <c r="M726" s="98" t="str">
        <f>IF(IFERROR(VLOOKUP(A726,'12.全套管基樁'!C:D,1,0),"")="","","✔")</f>
        <v/>
      </c>
      <c r="N726" s="98" t="str">
        <f>IF(IFERROR(VLOOKUP(A726,'13.鋼筋混凝土管工程'!C:D,1,0),"")="","","✔")</f>
        <v/>
      </c>
      <c r="O726" s="98" t="str">
        <f>IF(IFERROR(VLOOKUP(A726,'14.鋼版樁'!C:D,1,0),"")="","","✔")</f>
        <v/>
      </c>
      <c r="P726" s="98" t="str">
        <f>IF(IFERROR(VLOOKUP(A726,'15.路床 路基高程'!C:D,1,0),"")="","","✔")</f>
        <v/>
      </c>
      <c r="Q726" s="98" t="str">
        <f>IF(IFERROR(VLOOKUP(A726,'16.瀝青混凝土'!C:D,1,0),"")="","","✔")</f>
        <v/>
      </c>
      <c r="R726" s="98" t="str">
        <f>IF(IFERROR(VLOOKUP(A726,'17.景觀鋪面(一)'!C:D,1,0),"")="","","✔")</f>
        <v/>
      </c>
      <c r="S726" s="98" t="str">
        <f>IF(IFERROR(VLOOKUP(A726,'18.景觀鋪面(二)'!C:D,1,0),"")="","","✔")</f>
        <v/>
      </c>
      <c r="T726" s="98" t="str">
        <f>IF(IFERROR(VLOOKUP(A726,'19.預鑄緣石'!C:D,1,0),"")="","","✔")</f>
        <v/>
      </c>
      <c r="U726" s="98" t="str">
        <f>IF(IFERROR(VLOOKUP(A726,'20.鋼構工程吊裝'!C:D,1,0),"")="","","✔")</f>
        <v/>
      </c>
      <c r="V726" s="98" t="str">
        <f>IF(IFERROR(VLOOKUP(A726,'21.鋼構工程塗裝'!C:D,1,0),"")="","","✔")</f>
        <v/>
      </c>
      <c r="W726" s="98" t="str">
        <f>IF(IFERROR(VLOOKUP(A726,'22.排水設施(一)'!C:D,1,0),"")="","","✔")</f>
        <v/>
      </c>
      <c r="X726" s="98" t="str">
        <f>IF(IFERROR(VLOOKUP(A726,'23.排水設施(二)'!C:D,1,0),"")="","","✔")</f>
        <v/>
      </c>
      <c r="Y726" s="98" t="str">
        <f>IF(IFERROR(VLOOKUP(A726,'24.木構造'!C:D,1,0),"")="","","✔")</f>
        <v/>
      </c>
      <c r="Z726" s="98" t="str">
        <f>IF(IFERROR(VLOOKUP(A726,'25.管路'!C:D,1,0),"")="","","✔")</f>
        <v/>
      </c>
      <c r="AA726" s="98" t="str">
        <f>IF(IFERROR(VLOOKUP(A726,'26.植栽(移植)'!C:D,1,0),"")="","","✔")</f>
        <v/>
      </c>
      <c r="AB726" s="98" t="str">
        <f>IF(IFERROR(VLOOKUP(A726,'27.植栽(新植)'!C:D,1,0),"")="","","✔")</f>
        <v/>
      </c>
      <c r="AC726" s="98" t="str">
        <f>IF(IFERROR(VLOOKUP(A726,'28.照明'!C:D,1,0),"")="","","✔")</f>
        <v/>
      </c>
      <c r="AD726" s="98" t="str">
        <f>IF(IFERROR(VLOOKUP(A726,'29.既有橋梁拆除'!C:D,1,0),"")="","","✔")</f>
        <v/>
      </c>
    </row>
    <row r="727" spans="1:30" ht="21.75" customHeight="1" x14ac:dyDescent="0.25">
      <c r="A727" s="99">
        <v>45917</v>
      </c>
      <c r="B727" s="98" t="str">
        <f>IF(IFERROR(VLOOKUP(A727,'1.測量放樣'!C:D,1,0),"")="","","✔")</f>
        <v/>
      </c>
      <c r="C727" s="98" t="str">
        <f>IF(IFERROR(VLOOKUP(A727,'2.土方開挖'!C:D,1,0),"")="","","✔")</f>
        <v/>
      </c>
      <c r="D727" s="98" t="str">
        <f>IF(IFERROR(VLOOKUP(A727,'3.土方回填'!C:D,1,0),"")="","","✔")</f>
        <v/>
      </c>
      <c r="E727" s="98" t="str">
        <f>IF(IFERROR(VLOOKUP(A727,'4.鋼筋'!C:D,1,0),"")="","","✔")</f>
        <v/>
      </c>
      <c r="F727" s="98" t="str">
        <f>IF(IFERROR(VLOOKUP(A727,'5.模板'!C:D,1,0),"")="","","✔")</f>
        <v/>
      </c>
      <c r="G727" s="98" t="str">
        <f>IF(IFERROR(VLOOKUP(A727,'6.混凝土'!C:D,1,0),"")="","","✔")</f>
        <v/>
      </c>
      <c r="H727" s="98" t="str">
        <f>IF(IFERROR(VLOOKUP(A727,'7.植筋'!C:D,1,0),"")="","","✔")</f>
        <v/>
      </c>
      <c r="I727" s="98" t="str">
        <f>IF(IFERROR(VLOOKUP(A727,'8.預力混凝土基樁'!C:D,1,0),"")="","","✔")</f>
        <v/>
      </c>
      <c r="J727" s="98" t="str">
        <f>IF(IFERROR(VLOOKUP(A727,'9.砌塊石護岸'!C:D,1,0),"")="","","✔")</f>
        <v/>
      </c>
      <c r="K727" s="98" t="str">
        <f>IF(IFERROR(VLOOKUP(A727,'10.低水護岸'!C:D,1,0),"")="","","✔")</f>
        <v/>
      </c>
      <c r="L727" s="98" t="str">
        <f>IF(IFERROR(VLOOKUP(A727,'11.固床工'!C:D,1,0),"")="","","✔")</f>
        <v/>
      </c>
      <c r="M727" s="98" t="str">
        <f>IF(IFERROR(VLOOKUP(A727,'12.全套管基樁'!C:D,1,0),"")="","","✔")</f>
        <v/>
      </c>
      <c r="N727" s="98" t="str">
        <f>IF(IFERROR(VLOOKUP(A727,'13.鋼筋混凝土管工程'!C:D,1,0),"")="","","✔")</f>
        <v/>
      </c>
      <c r="O727" s="98" t="str">
        <f>IF(IFERROR(VLOOKUP(A727,'14.鋼版樁'!C:D,1,0),"")="","","✔")</f>
        <v/>
      </c>
      <c r="P727" s="98" t="str">
        <f>IF(IFERROR(VLOOKUP(A727,'15.路床 路基高程'!C:D,1,0),"")="","","✔")</f>
        <v/>
      </c>
      <c r="Q727" s="98" t="str">
        <f>IF(IFERROR(VLOOKUP(A727,'16.瀝青混凝土'!C:D,1,0),"")="","","✔")</f>
        <v/>
      </c>
      <c r="R727" s="98" t="str">
        <f>IF(IFERROR(VLOOKUP(A727,'17.景觀鋪面(一)'!C:D,1,0),"")="","","✔")</f>
        <v/>
      </c>
      <c r="S727" s="98" t="str">
        <f>IF(IFERROR(VLOOKUP(A727,'18.景觀鋪面(二)'!C:D,1,0),"")="","","✔")</f>
        <v/>
      </c>
      <c r="T727" s="98" t="str">
        <f>IF(IFERROR(VLOOKUP(A727,'19.預鑄緣石'!C:D,1,0),"")="","","✔")</f>
        <v/>
      </c>
      <c r="U727" s="98" t="str">
        <f>IF(IFERROR(VLOOKUP(A727,'20.鋼構工程吊裝'!C:D,1,0),"")="","","✔")</f>
        <v/>
      </c>
      <c r="V727" s="98" t="str">
        <f>IF(IFERROR(VLOOKUP(A727,'21.鋼構工程塗裝'!C:D,1,0),"")="","","✔")</f>
        <v/>
      </c>
      <c r="W727" s="98" t="str">
        <f>IF(IFERROR(VLOOKUP(A727,'22.排水設施(一)'!C:D,1,0),"")="","","✔")</f>
        <v/>
      </c>
      <c r="X727" s="98" t="str">
        <f>IF(IFERROR(VLOOKUP(A727,'23.排水設施(二)'!C:D,1,0),"")="","","✔")</f>
        <v/>
      </c>
      <c r="Y727" s="98" t="str">
        <f>IF(IFERROR(VLOOKUP(A727,'24.木構造'!C:D,1,0),"")="","","✔")</f>
        <v/>
      </c>
      <c r="Z727" s="98" t="str">
        <f>IF(IFERROR(VLOOKUP(A727,'25.管路'!C:D,1,0),"")="","","✔")</f>
        <v/>
      </c>
      <c r="AA727" s="98" t="str">
        <f>IF(IFERROR(VLOOKUP(A727,'26.植栽(移植)'!C:D,1,0),"")="","","✔")</f>
        <v/>
      </c>
      <c r="AB727" s="98" t="str">
        <f>IF(IFERROR(VLOOKUP(A727,'27.植栽(新植)'!C:D,1,0),"")="","","✔")</f>
        <v/>
      </c>
      <c r="AC727" s="98" t="str">
        <f>IF(IFERROR(VLOOKUP(A727,'28.照明'!C:D,1,0),"")="","","✔")</f>
        <v/>
      </c>
      <c r="AD727" s="98" t="str">
        <f>IF(IFERROR(VLOOKUP(A727,'29.既有橋梁拆除'!C:D,1,0),"")="","","✔")</f>
        <v/>
      </c>
    </row>
    <row r="728" spans="1:30" ht="21.75" customHeight="1" x14ac:dyDescent="0.25">
      <c r="A728" s="99">
        <v>45918</v>
      </c>
      <c r="B728" s="98" t="str">
        <f>IF(IFERROR(VLOOKUP(A728,'1.測量放樣'!C:D,1,0),"")="","","✔")</f>
        <v/>
      </c>
      <c r="C728" s="98" t="str">
        <f>IF(IFERROR(VLOOKUP(A728,'2.土方開挖'!C:D,1,0),"")="","","✔")</f>
        <v/>
      </c>
      <c r="D728" s="98" t="str">
        <f>IF(IFERROR(VLOOKUP(A728,'3.土方回填'!C:D,1,0),"")="","","✔")</f>
        <v/>
      </c>
      <c r="E728" s="98" t="str">
        <f>IF(IFERROR(VLOOKUP(A728,'4.鋼筋'!C:D,1,0),"")="","","✔")</f>
        <v/>
      </c>
      <c r="F728" s="98" t="str">
        <f>IF(IFERROR(VLOOKUP(A728,'5.模板'!C:D,1,0),"")="","","✔")</f>
        <v/>
      </c>
      <c r="G728" s="98" t="str">
        <f>IF(IFERROR(VLOOKUP(A728,'6.混凝土'!C:D,1,0),"")="","","✔")</f>
        <v/>
      </c>
      <c r="H728" s="98" t="str">
        <f>IF(IFERROR(VLOOKUP(A728,'7.植筋'!C:D,1,0),"")="","","✔")</f>
        <v/>
      </c>
      <c r="I728" s="98" t="str">
        <f>IF(IFERROR(VLOOKUP(A728,'8.預力混凝土基樁'!C:D,1,0),"")="","","✔")</f>
        <v/>
      </c>
      <c r="J728" s="98" t="str">
        <f>IF(IFERROR(VLOOKUP(A728,'9.砌塊石護岸'!C:D,1,0),"")="","","✔")</f>
        <v/>
      </c>
      <c r="K728" s="98" t="str">
        <f>IF(IFERROR(VLOOKUP(A728,'10.低水護岸'!C:D,1,0),"")="","","✔")</f>
        <v/>
      </c>
      <c r="L728" s="98" t="str">
        <f>IF(IFERROR(VLOOKUP(A728,'11.固床工'!C:D,1,0),"")="","","✔")</f>
        <v/>
      </c>
      <c r="M728" s="98" t="str">
        <f>IF(IFERROR(VLOOKUP(A728,'12.全套管基樁'!C:D,1,0),"")="","","✔")</f>
        <v/>
      </c>
      <c r="N728" s="98" t="str">
        <f>IF(IFERROR(VLOOKUP(A728,'13.鋼筋混凝土管工程'!C:D,1,0),"")="","","✔")</f>
        <v/>
      </c>
      <c r="O728" s="98" t="str">
        <f>IF(IFERROR(VLOOKUP(A728,'14.鋼版樁'!C:D,1,0),"")="","","✔")</f>
        <v/>
      </c>
      <c r="P728" s="98" t="str">
        <f>IF(IFERROR(VLOOKUP(A728,'15.路床 路基高程'!C:D,1,0),"")="","","✔")</f>
        <v/>
      </c>
      <c r="Q728" s="98" t="str">
        <f>IF(IFERROR(VLOOKUP(A728,'16.瀝青混凝土'!C:D,1,0),"")="","","✔")</f>
        <v/>
      </c>
      <c r="R728" s="98" t="str">
        <f>IF(IFERROR(VLOOKUP(A728,'17.景觀鋪面(一)'!C:D,1,0),"")="","","✔")</f>
        <v/>
      </c>
      <c r="S728" s="98" t="str">
        <f>IF(IFERROR(VLOOKUP(A728,'18.景觀鋪面(二)'!C:D,1,0),"")="","","✔")</f>
        <v/>
      </c>
      <c r="T728" s="98" t="str">
        <f>IF(IFERROR(VLOOKUP(A728,'19.預鑄緣石'!C:D,1,0),"")="","","✔")</f>
        <v/>
      </c>
      <c r="U728" s="98" t="str">
        <f>IF(IFERROR(VLOOKUP(A728,'20.鋼構工程吊裝'!C:D,1,0),"")="","","✔")</f>
        <v/>
      </c>
      <c r="V728" s="98" t="str">
        <f>IF(IFERROR(VLOOKUP(A728,'21.鋼構工程塗裝'!C:D,1,0),"")="","","✔")</f>
        <v/>
      </c>
      <c r="W728" s="98" t="str">
        <f>IF(IFERROR(VLOOKUP(A728,'22.排水設施(一)'!C:D,1,0),"")="","","✔")</f>
        <v/>
      </c>
      <c r="X728" s="98" t="str">
        <f>IF(IFERROR(VLOOKUP(A728,'23.排水設施(二)'!C:D,1,0),"")="","","✔")</f>
        <v/>
      </c>
      <c r="Y728" s="98" t="str">
        <f>IF(IFERROR(VLOOKUP(A728,'24.木構造'!C:D,1,0),"")="","","✔")</f>
        <v/>
      </c>
      <c r="Z728" s="98" t="str">
        <f>IF(IFERROR(VLOOKUP(A728,'25.管路'!C:D,1,0),"")="","","✔")</f>
        <v/>
      </c>
      <c r="AA728" s="98" t="str">
        <f>IF(IFERROR(VLOOKUP(A728,'26.植栽(移植)'!C:D,1,0),"")="","","✔")</f>
        <v/>
      </c>
      <c r="AB728" s="98" t="str">
        <f>IF(IFERROR(VLOOKUP(A728,'27.植栽(新植)'!C:D,1,0),"")="","","✔")</f>
        <v/>
      </c>
      <c r="AC728" s="98" t="str">
        <f>IF(IFERROR(VLOOKUP(A728,'28.照明'!C:D,1,0),"")="","","✔")</f>
        <v/>
      </c>
      <c r="AD728" s="98" t="str">
        <f>IF(IFERROR(VLOOKUP(A728,'29.既有橋梁拆除'!C:D,1,0),"")="","","✔")</f>
        <v/>
      </c>
    </row>
    <row r="729" spans="1:30" ht="21.75" customHeight="1" x14ac:dyDescent="0.25">
      <c r="A729" s="99">
        <v>45919</v>
      </c>
      <c r="B729" s="98" t="str">
        <f>IF(IFERROR(VLOOKUP(A729,'1.測量放樣'!C:D,1,0),"")="","","✔")</f>
        <v/>
      </c>
      <c r="C729" s="98" t="str">
        <f>IF(IFERROR(VLOOKUP(A729,'2.土方開挖'!C:D,1,0),"")="","","✔")</f>
        <v/>
      </c>
      <c r="D729" s="98" t="str">
        <f>IF(IFERROR(VLOOKUP(A729,'3.土方回填'!C:D,1,0),"")="","","✔")</f>
        <v/>
      </c>
      <c r="E729" s="98" t="str">
        <f>IF(IFERROR(VLOOKUP(A729,'4.鋼筋'!C:D,1,0),"")="","","✔")</f>
        <v/>
      </c>
      <c r="F729" s="98" t="str">
        <f>IF(IFERROR(VLOOKUP(A729,'5.模板'!C:D,1,0),"")="","","✔")</f>
        <v/>
      </c>
      <c r="G729" s="98" t="str">
        <f>IF(IFERROR(VLOOKUP(A729,'6.混凝土'!C:D,1,0),"")="","","✔")</f>
        <v/>
      </c>
      <c r="H729" s="98" t="str">
        <f>IF(IFERROR(VLOOKUP(A729,'7.植筋'!C:D,1,0),"")="","","✔")</f>
        <v/>
      </c>
      <c r="I729" s="98" t="str">
        <f>IF(IFERROR(VLOOKUP(A729,'8.預力混凝土基樁'!C:D,1,0),"")="","","✔")</f>
        <v/>
      </c>
      <c r="J729" s="98" t="str">
        <f>IF(IFERROR(VLOOKUP(A729,'9.砌塊石護岸'!C:D,1,0),"")="","","✔")</f>
        <v/>
      </c>
      <c r="K729" s="98" t="str">
        <f>IF(IFERROR(VLOOKUP(A729,'10.低水護岸'!C:D,1,0),"")="","","✔")</f>
        <v/>
      </c>
      <c r="L729" s="98" t="str">
        <f>IF(IFERROR(VLOOKUP(A729,'11.固床工'!C:D,1,0),"")="","","✔")</f>
        <v/>
      </c>
      <c r="M729" s="98" t="str">
        <f>IF(IFERROR(VLOOKUP(A729,'12.全套管基樁'!C:D,1,0),"")="","","✔")</f>
        <v/>
      </c>
      <c r="N729" s="98" t="str">
        <f>IF(IFERROR(VLOOKUP(A729,'13.鋼筋混凝土管工程'!C:D,1,0),"")="","","✔")</f>
        <v/>
      </c>
      <c r="O729" s="98" t="str">
        <f>IF(IFERROR(VLOOKUP(A729,'14.鋼版樁'!C:D,1,0),"")="","","✔")</f>
        <v/>
      </c>
      <c r="P729" s="98" t="str">
        <f>IF(IFERROR(VLOOKUP(A729,'15.路床 路基高程'!C:D,1,0),"")="","","✔")</f>
        <v/>
      </c>
      <c r="Q729" s="98" t="str">
        <f>IF(IFERROR(VLOOKUP(A729,'16.瀝青混凝土'!C:D,1,0),"")="","","✔")</f>
        <v/>
      </c>
      <c r="R729" s="98" t="str">
        <f>IF(IFERROR(VLOOKUP(A729,'17.景觀鋪面(一)'!C:D,1,0),"")="","","✔")</f>
        <v/>
      </c>
      <c r="S729" s="98" t="str">
        <f>IF(IFERROR(VLOOKUP(A729,'18.景觀鋪面(二)'!C:D,1,0),"")="","","✔")</f>
        <v/>
      </c>
      <c r="T729" s="98" t="str">
        <f>IF(IFERROR(VLOOKUP(A729,'19.預鑄緣石'!C:D,1,0),"")="","","✔")</f>
        <v/>
      </c>
      <c r="U729" s="98" t="str">
        <f>IF(IFERROR(VLOOKUP(A729,'20.鋼構工程吊裝'!C:D,1,0),"")="","","✔")</f>
        <v/>
      </c>
      <c r="V729" s="98" t="str">
        <f>IF(IFERROR(VLOOKUP(A729,'21.鋼構工程塗裝'!C:D,1,0),"")="","","✔")</f>
        <v/>
      </c>
      <c r="W729" s="98" t="str">
        <f>IF(IFERROR(VLOOKUP(A729,'22.排水設施(一)'!C:D,1,0),"")="","","✔")</f>
        <v/>
      </c>
      <c r="X729" s="98" t="str">
        <f>IF(IFERROR(VLOOKUP(A729,'23.排水設施(二)'!C:D,1,0),"")="","","✔")</f>
        <v/>
      </c>
      <c r="Y729" s="98" t="str">
        <f>IF(IFERROR(VLOOKUP(A729,'24.木構造'!C:D,1,0),"")="","","✔")</f>
        <v/>
      </c>
      <c r="Z729" s="98" t="str">
        <f>IF(IFERROR(VLOOKUP(A729,'25.管路'!C:D,1,0),"")="","","✔")</f>
        <v/>
      </c>
      <c r="AA729" s="98" t="str">
        <f>IF(IFERROR(VLOOKUP(A729,'26.植栽(移植)'!C:D,1,0),"")="","","✔")</f>
        <v/>
      </c>
      <c r="AB729" s="98" t="str">
        <f>IF(IFERROR(VLOOKUP(A729,'27.植栽(新植)'!C:D,1,0),"")="","","✔")</f>
        <v/>
      </c>
      <c r="AC729" s="98" t="str">
        <f>IF(IFERROR(VLOOKUP(A729,'28.照明'!C:D,1,0),"")="","","✔")</f>
        <v/>
      </c>
      <c r="AD729" s="98" t="str">
        <f>IF(IFERROR(VLOOKUP(A729,'29.既有橋梁拆除'!C:D,1,0),"")="","","✔")</f>
        <v/>
      </c>
    </row>
    <row r="730" spans="1:30" ht="21.75" customHeight="1" x14ac:dyDescent="0.25">
      <c r="A730" s="99">
        <v>45920</v>
      </c>
      <c r="B730" s="98" t="str">
        <f>IF(IFERROR(VLOOKUP(A730,'1.測量放樣'!C:D,1,0),"")="","","✔")</f>
        <v/>
      </c>
      <c r="C730" s="98" t="str">
        <f>IF(IFERROR(VLOOKUP(A730,'2.土方開挖'!C:D,1,0),"")="","","✔")</f>
        <v/>
      </c>
      <c r="D730" s="98" t="str">
        <f>IF(IFERROR(VLOOKUP(A730,'3.土方回填'!C:D,1,0),"")="","","✔")</f>
        <v/>
      </c>
      <c r="E730" s="98" t="str">
        <f>IF(IFERROR(VLOOKUP(A730,'4.鋼筋'!C:D,1,0),"")="","","✔")</f>
        <v/>
      </c>
      <c r="F730" s="98" t="str">
        <f>IF(IFERROR(VLOOKUP(A730,'5.模板'!C:D,1,0),"")="","","✔")</f>
        <v/>
      </c>
      <c r="G730" s="98" t="str">
        <f>IF(IFERROR(VLOOKUP(A730,'6.混凝土'!C:D,1,0),"")="","","✔")</f>
        <v/>
      </c>
      <c r="H730" s="98" t="str">
        <f>IF(IFERROR(VLOOKUP(A730,'7.植筋'!C:D,1,0),"")="","","✔")</f>
        <v/>
      </c>
      <c r="I730" s="98" t="str">
        <f>IF(IFERROR(VLOOKUP(A730,'8.預力混凝土基樁'!C:D,1,0),"")="","","✔")</f>
        <v/>
      </c>
      <c r="J730" s="98" t="str">
        <f>IF(IFERROR(VLOOKUP(A730,'9.砌塊石護岸'!C:D,1,0),"")="","","✔")</f>
        <v/>
      </c>
      <c r="K730" s="98" t="str">
        <f>IF(IFERROR(VLOOKUP(A730,'10.低水護岸'!C:D,1,0),"")="","","✔")</f>
        <v/>
      </c>
      <c r="L730" s="98" t="str">
        <f>IF(IFERROR(VLOOKUP(A730,'11.固床工'!C:D,1,0),"")="","","✔")</f>
        <v/>
      </c>
      <c r="M730" s="98" t="str">
        <f>IF(IFERROR(VLOOKUP(A730,'12.全套管基樁'!C:D,1,0),"")="","","✔")</f>
        <v/>
      </c>
      <c r="N730" s="98" t="str">
        <f>IF(IFERROR(VLOOKUP(A730,'13.鋼筋混凝土管工程'!C:D,1,0),"")="","","✔")</f>
        <v/>
      </c>
      <c r="O730" s="98" t="str">
        <f>IF(IFERROR(VLOOKUP(A730,'14.鋼版樁'!C:D,1,0),"")="","","✔")</f>
        <v/>
      </c>
      <c r="P730" s="98" t="str">
        <f>IF(IFERROR(VLOOKUP(A730,'15.路床 路基高程'!C:D,1,0),"")="","","✔")</f>
        <v/>
      </c>
      <c r="Q730" s="98" t="str">
        <f>IF(IFERROR(VLOOKUP(A730,'16.瀝青混凝土'!C:D,1,0),"")="","","✔")</f>
        <v/>
      </c>
      <c r="R730" s="98" t="str">
        <f>IF(IFERROR(VLOOKUP(A730,'17.景觀鋪面(一)'!C:D,1,0),"")="","","✔")</f>
        <v/>
      </c>
      <c r="S730" s="98" t="str">
        <f>IF(IFERROR(VLOOKUP(A730,'18.景觀鋪面(二)'!C:D,1,0),"")="","","✔")</f>
        <v/>
      </c>
      <c r="T730" s="98" t="str">
        <f>IF(IFERROR(VLOOKUP(A730,'19.預鑄緣石'!C:D,1,0),"")="","","✔")</f>
        <v/>
      </c>
      <c r="U730" s="98" t="str">
        <f>IF(IFERROR(VLOOKUP(A730,'20.鋼構工程吊裝'!C:D,1,0),"")="","","✔")</f>
        <v/>
      </c>
      <c r="V730" s="98" t="str">
        <f>IF(IFERROR(VLOOKUP(A730,'21.鋼構工程塗裝'!C:D,1,0),"")="","","✔")</f>
        <v/>
      </c>
      <c r="W730" s="98" t="str">
        <f>IF(IFERROR(VLOOKUP(A730,'22.排水設施(一)'!C:D,1,0),"")="","","✔")</f>
        <v/>
      </c>
      <c r="X730" s="98" t="str">
        <f>IF(IFERROR(VLOOKUP(A730,'23.排水設施(二)'!C:D,1,0),"")="","","✔")</f>
        <v/>
      </c>
      <c r="Y730" s="98" t="str">
        <f>IF(IFERROR(VLOOKUP(A730,'24.木構造'!C:D,1,0),"")="","","✔")</f>
        <v/>
      </c>
      <c r="Z730" s="98" t="str">
        <f>IF(IFERROR(VLOOKUP(A730,'25.管路'!C:D,1,0),"")="","","✔")</f>
        <v/>
      </c>
      <c r="AA730" s="98" t="str">
        <f>IF(IFERROR(VLOOKUP(A730,'26.植栽(移植)'!C:D,1,0),"")="","","✔")</f>
        <v/>
      </c>
      <c r="AB730" s="98" t="str">
        <f>IF(IFERROR(VLOOKUP(A730,'27.植栽(新植)'!C:D,1,0),"")="","","✔")</f>
        <v/>
      </c>
      <c r="AC730" s="98" t="str">
        <f>IF(IFERROR(VLOOKUP(A730,'28.照明'!C:D,1,0),"")="","","✔")</f>
        <v/>
      </c>
      <c r="AD730" s="98" t="str">
        <f>IF(IFERROR(VLOOKUP(A730,'29.既有橋梁拆除'!C:D,1,0),"")="","","✔")</f>
        <v/>
      </c>
    </row>
    <row r="731" spans="1:30" ht="21.75" customHeight="1" x14ac:dyDescent="0.25">
      <c r="A731" s="99">
        <v>45921</v>
      </c>
      <c r="B731" s="98" t="str">
        <f>IF(IFERROR(VLOOKUP(A731,'1.測量放樣'!C:D,1,0),"")="","","✔")</f>
        <v/>
      </c>
      <c r="C731" s="98" t="str">
        <f>IF(IFERROR(VLOOKUP(A731,'2.土方開挖'!C:D,1,0),"")="","","✔")</f>
        <v/>
      </c>
      <c r="D731" s="98" t="str">
        <f>IF(IFERROR(VLOOKUP(A731,'3.土方回填'!C:D,1,0),"")="","","✔")</f>
        <v/>
      </c>
      <c r="E731" s="98" t="str">
        <f>IF(IFERROR(VLOOKUP(A731,'4.鋼筋'!C:D,1,0),"")="","","✔")</f>
        <v/>
      </c>
      <c r="F731" s="98" t="str">
        <f>IF(IFERROR(VLOOKUP(A731,'5.模板'!C:D,1,0),"")="","","✔")</f>
        <v/>
      </c>
      <c r="G731" s="98" t="str">
        <f>IF(IFERROR(VLOOKUP(A731,'6.混凝土'!C:D,1,0),"")="","","✔")</f>
        <v/>
      </c>
      <c r="H731" s="98" t="str">
        <f>IF(IFERROR(VLOOKUP(A731,'7.植筋'!C:D,1,0),"")="","","✔")</f>
        <v/>
      </c>
      <c r="I731" s="98" t="str">
        <f>IF(IFERROR(VLOOKUP(A731,'8.預力混凝土基樁'!C:D,1,0),"")="","","✔")</f>
        <v/>
      </c>
      <c r="J731" s="98" t="str">
        <f>IF(IFERROR(VLOOKUP(A731,'9.砌塊石護岸'!C:D,1,0),"")="","","✔")</f>
        <v/>
      </c>
      <c r="K731" s="98" t="str">
        <f>IF(IFERROR(VLOOKUP(A731,'10.低水護岸'!C:D,1,0),"")="","","✔")</f>
        <v/>
      </c>
      <c r="L731" s="98" t="str">
        <f>IF(IFERROR(VLOOKUP(A731,'11.固床工'!C:D,1,0),"")="","","✔")</f>
        <v/>
      </c>
      <c r="M731" s="98" t="str">
        <f>IF(IFERROR(VLOOKUP(A731,'12.全套管基樁'!C:D,1,0),"")="","","✔")</f>
        <v/>
      </c>
      <c r="N731" s="98" t="str">
        <f>IF(IFERROR(VLOOKUP(A731,'13.鋼筋混凝土管工程'!C:D,1,0),"")="","","✔")</f>
        <v/>
      </c>
      <c r="O731" s="98" t="str">
        <f>IF(IFERROR(VLOOKUP(A731,'14.鋼版樁'!C:D,1,0),"")="","","✔")</f>
        <v/>
      </c>
      <c r="P731" s="98" t="str">
        <f>IF(IFERROR(VLOOKUP(A731,'15.路床 路基高程'!C:D,1,0),"")="","","✔")</f>
        <v/>
      </c>
      <c r="Q731" s="98" t="str">
        <f>IF(IFERROR(VLOOKUP(A731,'16.瀝青混凝土'!C:D,1,0),"")="","","✔")</f>
        <v/>
      </c>
      <c r="R731" s="98" t="str">
        <f>IF(IFERROR(VLOOKUP(A731,'17.景觀鋪面(一)'!C:D,1,0),"")="","","✔")</f>
        <v/>
      </c>
      <c r="S731" s="98" t="str">
        <f>IF(IFERROR(VLOOKUP(A731,'18.景觀鋪面(二)'!C:D,1,0),"")="","","✔")</f>
        <v/>
      </c>
      <c r="T731" s="98" t="str">
        <f>IF(IFERROR(VLOOKUP(A731,'19.預鑄緣石'!C:D,1,0),"")="","","✔")</f>
        <v/>
      </c>
      <c r="U731" s="98" t="str">
        <f>IF(IFERROR(VLOOKUP(A731,'20.鋼構工程吊裝'!C:D,1,0),"")="","","✔")</f>
        <v/>
      </c>
      <c r="V731" s="98" t="str">
        <f>IF(IFERROR(VLOOKUP(A731,'21.鋼構工程塗裝'!C:D,1,0),"")="","","✔")</f>
        <v/>
      </c>
      <c r="W731" s="98" t="str">
        <f>IF(IFERROR(VLOOKUP(A731,'22.排水設施(一)'!C:D,1,0),"")="","","✔")</f>
        <v/>
      </c>
      <c r="X731" s="98" t="str">
        <f>IF(IFERROR(VLOOKUP(A731,'23.排水設施(二)'!C:D,1,0),"")="","","✔")</f>
        <v/>
      </c>
      <c r="Y731" s="98" t="str">
        <f>IF(IFERROR(VLOOKUP(A731,'24.木構造'!C:D,1,0),"")="","","✔")</f>
        <v/>
      </c>
      <c r="Z731" s="98" t="str">
        <f>IF(IFERROR(VLOOKUP(A731,'25.管路'!C:D,1,0),"")="","","✔")</f>
        <v/>
      </c>
      <c r="AA731" s="98" t="str">
        <f>IF(IFERROR(VLOOKUP(A731,'26.植栽(移植)'!C:D,1,0),"")="","","✔")</f>
        <v/>
      </c>
      <c r="AB731" s="98" t="str">
        <f>IF(IFERROR(VLOOKUP(A731,'27.植栽(新植)'!C:D,1,0),"")="","","✔")</f>
        <v/>
      </c>
      <c r="AC731" s="98" t="str">
        <f>IF(IFERROR(VLOOKUP(A731,'28.照明'!C:D,1,0),"")="","","✔")</f>
        <v/>
      </c>
      <c r="AD731" s="98" t="str">
        <f>IF(IFERROR(VLOOKUP(A731,'29.既有橋梁拆除'!C:D,1,0),"")="","","✔")</f>
        <v/>
      </c>
    </row>
    <row r="732" spans="1:30" ht="21.75" customHeight="1" x14ac:dyDescent="0.25">
      <c r="A732" s="99">
        <v>45922</v>
      </c>
      <c r="B732" s="98" t="str">
        <f>IF(IFERROR(VLOOKUP(A732,'1.測量放樣'!C:D,1,0),"")="","","✔")</f>
        <v/>
      </c>
      <c r="C732" s="98" t="str">
        <f>IF(IFERROR(VLOOKUP(A732,'2.土方開挖'!C:D,1,0),"")="","","✔")</f>
        <v/>
      </c>
      <c r="D732" s="98" t="str">
        <f>IF(IFERROR(VLOOKUP(A732,'3.土方回填'!C:D,1,0),"")="","","✔")</f>
        <v/>
      </c>
      <c r="E732" s="98" t="str">
        <f>IF(IFERROR(VLOOKUP(A732,'4.鋼筋'!C:D,1,0),"")="","","✔")</f>
        <v/>
      </c>
      <c r="F732" s="98" t="str">
        <f>IF(IFERROR(VLOOKUP(A732,'5.模板'!C:D,1,0),"")="","","✔")</f>
        <v/>
      </c>
      <c r="G732" s="98" t="str">
        <f>IF(IFERROR(VLOOKUP(A732,'6.混凝土'!C:D,1,0),"")="","","✔")</f>
        <v/>
      </c>
      <c r="H732" s="98" t="str">
        <f>IF(IFERROR(VLOOKUP(A732,'7.植筋'!C:D,1,0),"")="","","✔")</f>
        <v/>
      </c>
      <c r="I732" s="98" t="str">
        <f>IF(IFERROR(VLOOKUP(A732,'8.預力混凝土基樁'!C:D,1,0),"")="","","✔")</f>
        <v/>
      </c>
      <c r="J732" s="98" t="str">
        <f>IF(IFERROR(VLOOKUP(A732,'9.砌塊石護岸'!C:D,1,0),"")="","","✔")</f>
        <v/>
      </c>
      <c r="K732" s="98" t="str">
        <f>IF(IFERROR(VLOOKUP(A732,'10.低水護岸'!C:D,1,0),"")="","","✔")</f>
        <v/>
      </c>
      <c r="L732" s="98" t="str">
        <f>IF(IFERROR(VLOOKUP(A732,'11.固床工'!C:D,1,0),"")="","","✔")</f>
        <v/>
      </c>
      <c r="M732" s="98" t="str">
        <f>IF(IFERROR(VLOOKUP(A732,'12.全套管基樁'!C:D,1,0),"")="","","✔")</f>
        <v/>
      </c>
      <c r="N732" s="98" t="str">
        <f>IF(IFERROR(VLOOKUP(A732,'13.鋼筋混凝土管工程'!C:D,1,0),"")="","","✔")</f>
        <v/>
      </c>
      <c r="O732" s="98" t="str">
        <f>IF(IFERROR(VLOOKUP(A732,'14.鋼版樁'!C:D,1,0),"")="","","✔")</f>
        <v/>
      </c>
      <c r="P732" s="98" t="str">
        <f>IF(IFERROR(VLOOKUP(A732,'15.路床 路基高程'!C:D,1,0),"")="","","✔")</f>
        <v/>
      </c>
      <c r="Q732" s="98" t="str">
        <f>IF(IFERROR(VLOOKUP(A732,'16.瀝青混凝土'!C:D,1,0),"")="","","✔")</f>
        <v/>
      </c>
      <c r="R732" s="98" t="str">
        <f>IF(IFERROR(VLOOKUP(A732,'17.景觀鋪面(一)'!C:D,1,0),"")="","","✔")</f>
        <v/>
      </c>
      <c r="S732" s="98" t="str">
        <f>IF(IFERROR(VLOOKUP(A732,'18.景觀鋪面(二)'!C:D,1,0),"")="","","✔")</f>
        <v/>
      </c>
      <c r="T732" s="98" t="str">
        <f>IF(IFERROR(VLOOKUP(A732,'19.預鑄緣石'!C:D,1,0),"")="","","✔")</f>
        <v/>
      </c>
      <c r="U732" s="98" t="str">
        <f>IF(IFERROR(VLOOKUP(A732,'20.鋼構工程吊裝'!C:D,1,0),"")="","","✔")</f>
        <v/>
      </c>
      <c r="V732" s="98" t="str">
        <f>IF(IFERROR(VLOOKUP(A732,'21.鋼構工程塗裝'!C:D,1,0),"")="","","✔")</f>
        <v/>
      </c>
      <c r="W732" s="98" t="str">
        <f>IF(IFERROR(VLOOKUP(A732,'22.排水設施(一)'!C:D,1,0),"")="","","✔")</f>
        <v/>
      </c>
      <c r="X732" s="98" t="str">
        <f>IF(IFERROR(VLOOKUP(A732,'23.排水設施(二)'!C:D,1,0),"")="","","✔")</f>
        <v/>
      </c>
      <c r="Y732" s="98" t="str">
        <f>IF(IFERROR(VLOOKUP(A732,'24.木構造'!C:D,1,0),"")="","","✔")</f>
        <v/>
      </c>
      <c r="Z732" s="98" t="str">
        <f>IF(IFERROR(VLOOKUP(A732,'25.管路'!C:D,1,0),"")="","","✔")</f>
        <v/>
      </c>
      <c r="AA732" s="98" t="str">
        <f>IF(IFERROR(VLOOKUP(A732,'26.植栽(移植)'!C:D,1,0),"")="","","✔")</f>
        <v/>
      </c>
      <c r="AB732" s="98" t="str">
        <f>IF(IFERROR(VLOOKUP(A732,'27.植栽(新植)'!C:D,1,0),"")="","","✔")</f>
        <v/>
      </c>
      <c r="AC732" s="98" t="str">
        <f>IF(IFERROR(VLOOKUP(A732,'28.照明'!C:D,1,0),"")="","","✔")</f>
        <v/>
      </c>
      <c r="AD732" s="98" t="str">
        <f>IF(IFERROR(VLOOKUP(A732,'29.既有橋梁拆除'!C:D,1,0),"")="","","✔")</f>
        <v/>
      </c>
    </row>
    <row r="733" spans="1:30" ht="21.75" customHeight="1" x14ac:dyDescent="0.25">
      <c r="A733" s="99">
        <v>45923</v>
      </c>
      <c r="B733" s="98" t="str">
        <f>IF(IFERROR(VLOOKUP(A733,'1.測量放樣'!C:D,1,0),"")="","","✔")</f>
        <v/>
      </c>
      <c r="C733" s="98" t="str">
        <f>IF(IFERROR(VLOOKUP(A733,'2.土方開挖'!C:D,1,0),"")="","","✔")</f>
        <v/>
      </c>
      <c r="D733" s="98" t="str">
        <f>IF(IFERROR(VLOOKUP(A733,'3.土方回填'!C:D,1,0),"")="","","✔")</f>
        <v/>
      </c>
      <c r="E733" s="98" t="str">
        <f>IF(IFERROR(VLOOKUP(A733,'4.鋼筋'!C:D,1,0),"")="","","✔")</f>
        <v/>
      </c>
      <c r="F733" s="98" t="str">
        <f>IF(IFERROR(VLOOKUP(A733,'5.模板'!C:D,1,0),"")="","","✔")</f>
        <v/>
      </c>
      <c r="G733" s="98" t="str">
        <f>IF(IFERROR(VLOOKUP(A733,'6.混凝土'!C:D,1,0),"")="","","✔")</f>
        <v/>
      </c>
      <c r="H733" s="98" t="str">
        <f>IF(IFERROR(VLOOKUP(A733,'7.植筋'!C:D,1,0),"")="","","✔")</f>
        <v/>
      </c>
      <c r="I733" s="98" t="str">
        <f>IF(IFERROR(VLOOKUP(A733,'8.預力混凝土基樁'!C:D,1,0),"")="","","✔")</f>
        <v/>
      </c>
      <c r="J733" s="98" t="str">
        <f>IF(IFERROR(VLOOKUP(A733,'9.砌塊石護岸'!C:D,1,0),"")="","","✔")</f>
        <v/>
      </c>
      <c r="K733" s="98" t="str">
        <f>IF(IFERROR(VLOOKUP(A733,'10.低水護岸'!C:D,1,0),"")="","","✔")</f>
        <v/>
      </c>
      <c r="L733" s="98" t="str">
        <f>IF(IFERROR(VLOOKUP(A733,'11.固床工'!C:D,1,0),"")="","","✔")</f>
        <v/>
      </c>
      <c r="M733" s="98" t="str">
        <f>IF(IFERROR(VLOOKUP(A733,'12.全套管基樁'!C:D,1,0),"")="","","✔")</f>
        <v/>
      </c>
      <c r="N733" s="98" t="str">
        <f>IF(IFERROR(VLOOKUP(A733,'13.鋼筋混凝土管工程'!C:D,1,0),"")="","","✔")</f>
        <v/>
      </c>
      <c r="O733" s="98" t="str">
        <f>IF(IFERROR(VLOOKUP(A733,'14.鋼版樁'!C:D,1,0),"")="","","✔")</f>
        <v/>
      </c>
      <c r="P733" s="98" t="str">
        <f>IF(IFERROR(VLOOKUP(A733,'15.路床 路基高程'!C:D,1,0),"")="","","✔")</f>
        <v/>
      </c>
      <c r="Q733" s="98" t="str">
        <f>IF(IFERROR(VLOOKUP(A733,'16.瀝青混凝土'!C:D,1,0),"")="","","✔")</f>
        <v/>
      </c>
      <c r="R733" s="98" t="str">
        <f>IF(IFERROR(VLOOKUP(A733,'17.景觀鋪面(一)'!C:D,1,0),"")="","","✔")</f>
        <v/>
      </c>
      <c r="S733" s="98" t="str">
        <f>IF(IFERROR(VLOOKUP(A733,'18.景觀鋪面(二)'!C:D,1,0),"")="","","✔")</f>
        <v/>
      </c>
      <c r="T733" s="98" t="str">
        <f>IF(IFERROR(VLOOKUP(A733,'19.預鑄緣石'!C:D,1,0),"")="","","✔")</f>
        <v/>
      </c>
      <c r="U733" s="98" t="str">
        <f>IF(IFERROR(VLOOKUP(A733,'20.鋼構工程吊裝'!C:D,1,0),"")="","","✔")</f>
        <v/>
      </c>
      <c r="V733" s="98" t="str">
        <f>IF(IFERROR(VLOOKUP(A733,'21.鋼構工程塗裝'!C:D,1,0),"")="","","✔")</f>
        <v/>
      </c>
      <c r="W733" s="98" t="str">
        <f>IF(IFERROR(VLOOKUP(A733,'22.排水設施(一)'!C:D,1,0),"")="","","✔")</f>
        <v/>
      </c>
      <c r="X733" s="98" t="str">
        <f>IF(IFERROR(VLOOKUP(A733,'23.排水設施(二)'!C:D,1,0),"")="","","✔")</f>
        <v/>
      </c>
      <c r="Y733" s="98" t="str">
        <f>IF(IFERROR(VLOOKUP(A733,'24.木構造'!C:D,1,0),"")="","","✔")</f>
        <v/>
      </c>
      <c r="Z733" s="98" t="str">
        <f>IF(IFERROR(VLOOKUP(A733,'25.管路'!C:D,1,0),"")="","","✔")</f>
        <v/>
      </c>
      <c r="AA733" s="98" t="str">
        <f>IF(IFERROR(VLOOKUP(A733,'26.植栽(移植)'!C:D,1,0),"")="","","✔")</f>
        <v/>
      </c>
      <c r="AB733" s="98" t="str">
        <f>IF(IFERROR(VLOOKUP(A733,'27.植栽(新植)'!C:D,1,0),"")="","","✔")</f>
        <v/>
      </c>
      <c r="AC733" s="98" t="str">
        <f>IF(IFERROR(VLOOKUP(A733,'28.照明'!C:D,1,0),"")="","","✔")</f>
        <v/>
      </c>
      <c r="AD733" s="98" t="str">
        <f>IF(IFERROR(VLOOKUP(A733,'29.既有橋梁拆除'!C:D,1,0),"")="","","✔")</f>
        <v/>
      </c>
    </row>
    <row r="734" spans="1:30" ht="21.75" customHeight="1" x14ac:dyDescent="0.25">
      <c r="A734" s="99">
        <v>45924</v>
      </c>
      <c r="B734" s="98" t="str">
        <f>IF(IFERROR(VLOOKUP(A734,'1.測量放樣'!C:D,1,0),"")="","","✔")</f>
        <v/>
      </c>
      <c r="C734" s="98" t="str">
        <f>IF(IFERROR(VLOOKUP(A734,'2.土方開挖'!C:D,1,0),"")="","","✔")</f>
        <v/>
      </c>
      <c r="D734" s="98" t="str">
        <f>IF(IFERROR(VLOOKUP(A734,'3.土方回填'!C:D,1,0),"")="","","✔")</f>
        <v/>
      </c>
      <c r="E734" s="98" t="str">
        <f>IF(IFERROR(VLOOKUP(A734,'4.鋼筋'!C:D,1,0),"")="","","✔")</f>
        <v/>
      </c>
      <c r="F734" s="98" t="str">
        <f>IF(IFERROR(VLOOKUP(A734,'5.模板'!C:D,1,0),"")="","","✔")</f>
        <v/>
      </c>
      <c r="G734" s="98" t="str">
        <f>IF(IFERROR(VLOOKUP(A734,'6.混凝土'!C:D,1,0),"")="","","✔")</f>
        <v/>
      </c>
      <c r="H734" s="98" t="str">
        <f>IF(IFERROR(VLOOKUP(A734,'7.植筋'!C:D,1,0),"")="","","✔")</f>
        <v/>
      </c>
      <c r="I734" s="98" t="str">
        <f>IF(IFERROR(VLOOKUP(A734,'8.預力混凝土基樁'!C:D,1,0),"")="","","✔")</f>
        <v/>
      </c>
      <c r="J734" s="98" t="str">
        <f>IF(IFERROR(VLOOKUP(A734,'9.砌塊石護岸'!C:D,1,0),"")="","","✔")</f>
        <v/>
      </c>
      <c r="K734" s="98" t="str">
        <f>IF(IFERROR(VLOOKUP(A734,'10.低水護岸'!C:D,1,0),"")="","","✔")</f>
        <v/>
      </c>
      <c r="L734" s="98" t="str">
        <f>IF(IFERROR(VLOOKUP(A734,'11.固床工'!C:D,1,0),"")="","","✔")</f>
        <v/>
      </c>
      <c r="M734" s="98" t="str">
        <f>IF(IFERROR(VLOOKUP(A734,'12.全套管基樁'!C:D,1,0),"")="","","✔")</f>
        <v/>
      </c>
      <c r="N734" s="98" t="str">
        <f>IF(IFERROR(VLOOKUP(A734,'13.鋼筋混凝土管工程'!C:D,1,0),"")="","","✔")</f>
        <v/>
      </c>
      <c r="O734" s="98" t="str">
        <f>IF(IFERROR(VLOOKUP(A734,'14.鋼版樁'!C:D,1,0),"")="","","✔")</f>
        <v/>
      </c>
      <c r="P734" s="98" t="str">
        <f>IF(IFERROR(VLOOKUP(A734,'15.路床 路基高程'!C:D,1,0),"")="","","✔")</f>
        <v/>
      </c>
      <c r="Q734" s="98" t="str">
        <f>IF(IFERROR(VLOOKUP(A734,'16.瀝青混凝土'!C:D,1,0),"")="","","✔")</f>
        <v/>
      </c>
      <c r="R734" s="98" t="str">
        <f>IF(IFERROR(VLOOKUP(A734,'17.景觀鋪面(一)'!C:D,1,0),"")="","","✔")</f>
        <v/>
      </c>
      <c r="S734" s="98" t="str">
        <f>IF(IFERROR(VLOOKUP(A734,'18.景觀鋪面(二)'!C:D,1,0),"")="","","✔")</f>
        <v/>
      </c>
      <c r="T734" s="98" t="str">
        <f>IF(IFERROR(VLOOKUP(A734,'19.預鑄緣石'!C:D,1,0),"")="","","✔")</f>
        <v/>
      </c>
      <c r="U734" s="98" t="str">
        <f>IF(IFERROR(VLOOKUP(A734,'20.鋼構工程吊裝'!C:D,1,0),"")="","","✔")</f>
        <v/>
      </c>
      <c r="V734" s="98" t="str">
        <f>IF(IFERROR(VLOOKUP(A734,'21.鋼構工程塗裝'!C:D,1,0),"")="","","✔")</f>
        <v/>
      </c>
      <c r="W734" s="98" t="str">
        <f>IF(IFERROR(VLOOKUP(A734,'22.排水設施(一)'!C:D,1,0),"")="","","✔")</f>
        <v/>
      </c>
      <c r="X734" s="98" t="str">
        <f>IF(IFERROR(VLOOKUP(A734,'23.排水設施(二)'!C:D,1,0),"")="","","✔")</f>
        <v/>
      </c>
      <c r="Y734" s="98" t="str">
        <f>IF(IFERROR(VLOOKUP(A734,'24.木構造'!C:D,1,0),"")="","","✔")</f>
        <v/>
      </c>
      <c r="Z734" s="98" t="str">
        <f>IF(IFERROR(VLOOKUP(A734,'25.管路'!C:D,1,0),"")="","","✔")</f>
        <v/>
      </c>
      <c r="AA734" s="98" t="str">
        <f>IF(IFERROR(VLOOKUP(A734,'26.植栽(移植)'!C:D,1,0),"")="","","✔")</f>
        <v/>
      </c>
      <c r="AB734" s="98" t="str">
        <f>IF(IFERROR(VLOOKUP(A734,'27.植栽(新植)'!C:D,1,0),"")="","","✔")</f>
        <v/>
      </c>
      <c r="AC734" s="98" t="str">
        <f>IF(IFERROR(VLOOKUP(A734,'28.照明'!C:D,1,0),"")="","","✔")</f>
        <v/>
      </c>
      <c r="AD734" s="98" t="str">
        <f>IF(IFERROR(VLOOKUP(A734,'29.既有橋梁拆除'!C:D,1,0),"")="","","✔")</f>
        <v/>
      </c>
    </row>
    <row r="735" spans="1:30" ht="21.75" customHeight="1" x14ac:dyDescent="0.25">
      <c r="A735" s="99">
        <v>45925</v>
      </c>
      <c r="B735" s="98" t="str">
        <f>IF(IFERROR(VLOOKUP(A735,'1.測量放樣'!C:D,1,0),"")="","","✔")</f>
        <v/>
      </c>
      <c r="C735" s="98" t="str">
        <f>IF(IFERROR(VLOOKUP(A735,'2.土方開挖'!C:D,1,0),"")="","","✔")</f>
        <v/>
      </c>
      <c r="D735" s="98" t="str">
        <f>IF(IFERROR(VLOOKUP(A735,'3.土方回填'!C:D,1,0),"")="","","✔")</f>
        <v/>
      </c>
      <c r="E735" s="98" t="str">
        <f>IF(IFERROR(VLOOKUP(A735,'4.鋼筋'!C:D,1,0),"")="","","✔")</f>
        <v/>
      </c>
      <c r="F735" s="98" t="str">
        <f>IF(IFERROR(VLOOKUP(A735,'5.模板'!C:D,1,0),"")="","","✔")</f>
        <v/>
      </c>
      <c r="G735" s="98" t="str">
        <f>IF(IFERROR(VLOOKUP(A735,'6.混凝土'!C:D,1,0),"")="","","✔")</f>
        <v/>
      </c>
      <c r="H735" s="98" t="str">
        <f>IF(IFERROR(VLOOKUP(A735,'7.植筋'!C:D,1,0),"")="","","✔")</f>
        <v/>
      </c>
      <c r="I735" s="98" t="str">
        <f>IF(IFERROR(VLOOKUP(A735,'8.預力混凝土基樁'!C:D,1,0),"")="","","✔")</f>
        <v/>
      </c>
      <c r="J735" s="98" t="str">
        <f>IF(IFERROR(VLOOKUP(A735,'9.砌塊石護岸'!C:D,1,0),"")="","","✔")</f>
        <v/>
      </c>
      <c r="K735" s="98" t="str">
        <f>IF(IFERROR(VLOOKUP(A735,'10.低水護岸'!C:D,1,0),"")="","","✔")</f>
        <v/>
      </c>
      <c r="L735" s="98" t="str">
        <f>IF(IFERROR(VLOOKUP(A735,'11.固床工'!C:D,1,0),"")="","","✔")</f>
        <v/>
      </c>
      <c r="M735" s="98" t="str">
        <f>IF(IFERROR(VLOOKUP(A735,'12.全套管基樁'!C:D,1,0),"")="","","✔")</f>
        <v/>
      </c>
      <c r="N735" s="98" t="str">
        <f>IF(IFERROR(VLOOKUP(A735,'13.鋼筋混凝土管工程'!C:D,1,0),"")="","","✔")</f>
        <v/>
      </c>
      <c r="O735" s="98" t="str">
        <f>IF(IFERROR(VLOOKUP(A735,'14.鋼版樁'!C:D,1,0),"")="","","✔")</f>
        <v/>
      </c>
      <c r="P735" s="98" t="str">
        <f>IF(IFERROR(VLOOKUP(A735,'15.路床 路基高程'!C:D,1,0),"")="","","✔")</f>
        <v/>
      </c>
      <c r="Q735" s="98" t="str">
        <f>IF(IFERROR(VLOOKUP(A735,'16.瀝青混凝土'!C:D,1,0),"")="","","✔")</f>
        <v/>
      </c>
      <c r="R735" s="98" t="str">
        <f>IF(IFERROR(VLOOKUP(A735,'17.景觀鋪面(一)'!C:D,1,0),"")="","","✔")</f>
        <v/>
      </c>
      <c r="S735" s="98" t="str">
        <f>IF(IFERROR(VLOOKUP(A735,'18.景觀鋪面(二)'!C:D,1,0),"")="","","✔")</f>
        <v/>
      </c>
      <c r="T735" s="98" t="str">
        <f>IF(IFERROR(VLOOKUP(A735,'19.預鑄緣石'!C:D,1,0),"")="","","✔")</f>
        <v/>
      </c>
      <c r="U735" s="98" t="str">
        <f>IF(IFERROR(VLOOKUP(A735,'20.鋼構工程吊裝'!C:D,1,0),"")="","","✔")</f>
        <v/>
      </c>
      <c r="V735" s="98" t="str">
        <f>IF(IFERROR(VLOOKUP(A735,'21.鋼構工程塗裝'!C:D,1,0),"")="","","✔")</f>
        <v/>
      </c>
      <c r="W735" s="98" t="str">
        <f>IF(IFERROR(VLOOKUP(A735,'22.排水設施(一)'!C:D,1,0),"")="","","✔")</f>
        <v/>
      </c>
      <c r="X735" s="98" t="str">
        <f>IF(IFERROR(VLOOKUP(A735,'23.排水設施(二)'!C:D,1,0),"")="","","✔")</f>
        <v/>
      </c>
      <c r="Y735" s="98" t="str">
        <f>IF(IFERROR(VLOOKUP(A735,'24.木構造'!C:D,1,0),"")="","","✔")</f>
        <v/>
      </c>
      <c r="Z735" s="98" t="str">
        <f>IF(IFERROR(VLOOKUP(A735,'25.管路'!C:D,1,0),"")="","","✔")</f>
        <v/>
      </c>
      <c r="AA735" s="98" t="str">
        <f>IF(IFERROR(VLOOKUP(A735,'26.植栽(移植)'!C:D,1,0),"")="","","✔")</f>
        <v/>
      </c>
      <c r="AB735" s="98" t="str">
        <f>IF(IFERROR(VLOOKUP(A735,'27.植栽(新植)'!C:D,1,0),"")="","","✔")</f>
        <v/>
      </c>
      <c r="AC735" s="98" t="str">
        <f>IF(IFERROR(VLOOKUP(A735,'28.照明'!C:D,1,0),"")="","","✔")</f>
        <v/>
      </c>
      <c r="AD735" s="98" t="str">
        <f>IF(IFERROR(VLOOKUP(A735,'29.既有橋梁拆除'!C:D,1,0),"")="","","✔")</f>
        <v/>
      </c>
    </row>
    <row r="736" spans="1:30" ht="21.75" customHeight="1" x14ac:dyDescent="0.25">
      <c r="A736" s="99">
        <v>45926</v>
      </c>
      <c r="B736" s="98" t="str">
        <f>IF(IFERROR(VLOOKUP(A736,'1.測量放樣'!C:D,1,0),"")="","","✔")</f>
        <v/>
      </c>
      <c r="C736" s="98" t="str">
        <f>IF(IFERROR(VLOOKUP(A736,'2.土方開挖'!C:D,1,0),"")="","","✔")</f>
        <v/>
      </c>
      <c r="D736" s="98" t="str">
        <f>IF(IFERROR(VLOOKUP(A736,'3.土方回填'!C:D,1,0),"")="","","✔")</f>
        <v/>
      </c>
      <c r="E736" s="98" t="str">
        <f>IF(IFERROR(VLOOKUP(A736,'4.鋼筋'!C:D,1,0),"")="","","✔")</f>
        <v/>
      </c>
      <c r="F736" s="98" t="str">
        <f>IF(IFERROR(VLOOKUP(A736,'5.模板'!C:D,1,0),"")="","","✔")</f>
        <v/>
      </c>
      <c r="G736" s="98" t="str">
        <f>IF(IFERROR(VLOOKUP(A736,'6.混凝土'!C:D,1,0),"")="","","✔")</f>
        <v/>
      </c>
      <c r="H736" s="98" t="str">
        <f>IF(IFERROR(VLOOKUP(A736,'7.植筋'!C:D,1,0),"")="","","✔")</f>
        <v/>
      </c>
      <c r="I736" s="98" t="str">
        <f>IF(IFERROR(VLOOKUP(A736,'8.預力混凝土基樁'!C:D,1,0),"")="","","✔")</f>
        <v/>
      </c>
      <c r="J736" s="98" t="str">
        <f>IF(IFERROR(VLOOKUP(A736,'9.砌塊石護岸'!C:D,1,0),"")="","","✔")</f>
        <v/>
      </c>
      <c r="K736" s="98" t="str">
        <f>IF(IFERROR(VLOOKUP(A736,'10.低水護岸'!C:D,1,0),"")="","","✔")</f>
        <v/>
      </c>
      <c r="L736" s="98" t="str">
        <f>IF(IFERROR(VLOOKUP(A736,'11.固床工'!C:D,1,0),"")="","","✔")</f>
        <v/>
      </c>
      <c r="M736" s="98" t="str">
        <f>IF(IFERROR(VLOOKUP(A736,'12.全套管基樁'!C:D,1,0),"")="","","✔")</f>
        <v/>
      </c>
      <c r="N736" s="98" t="str">
        <f>IF(IFERROR(VLOOKUP(A736,'13.鋼筋混凝土管工程'!C:D,1,0),"")="","","✔")</f>
        <v/>
      </c>
      <c r="O736" s="98" t="str">
        <f>IF(IFERROR(VLOOKUP(A736,'14.鋼版樁'!C:D,1,0),"")="","","✔")</f>
        <v/>
      </c>
      <c r="P736" s="98" t="str">
        <f>IF(IFERROR(VLOOKUP(A736,'15.路床 路基高程'!C:D,1,0),"")="","","✔")</f>
        <v/>
      </c>
      <c r="Q736" s="98" t="str">
        <f>IF(IFERROR(VLOOKUP(A736,'16.瀝青混凝土'!C:D,1,0),"")="","","✔")</f>
        <v/>
      </c>
      <c r="R736" s="98" t="str">
        <f>IF(IFERROR(VLOOKUP(A736,'17.景觀鋪面(一)'!C:D,1,0),"")="","","✔")</f>
        <v/>
      </c>
      <c r="S736" s="98" t="str">
        <f>IF(IFERROR(VLOOKUP(A736,'18.景觀鋪面(二)'!C:D,1,0),"")="","","✔")</f>
        <v/>
      </c>
      <c r="T736" s="98" t="str">
        <f>IF(IFERROR(VLOOKUP(A736,'19.預鑄緣石'!C:D,1,0),"")="","","✔")</f>
        <v/>
      </c>
      <c r="U736" s="98" t="str">
        <f>IF(IFERROR(VLOOKUP(A736,'20.鋼構工程吊裝'!C:D,1,0),"")="","","✔")</f>
        <v/>
      </c>
      <c r="V736" s="98" t="str">
        <f>IF(IFERROR(VLOOKUP(A736,'21.鋼構工程塗裝'!C:D,1,0),"")="","","✔")</f>
        <v/>
      </c>
      <c r="W736" s="98" t="str">
        <f>IF(IFERROR(VLOOKUP(A736,'22.排水設施(一)'!C:D,1,0),"")="","","✔")</f>
        <v/>
      </c>
      <c r="X736" s="98" t="str">
        <f>IF(IFERROR(VLOOKUP(A736,'23.排水設施(二)'!C:D,1,0),"")="","","✔")</f>
        <v/>
      </c>
      <c r="Y736" s="98" t="str">
        <f>IF(IFERROR(VLOOKUP(A736,'24.木構造'!C:D,1,0),"")="","","✔")</f>
        <v/>
      </c>
      <c r="Z736" s="98" t="str">
        <f>IF(IFERROR(VLOOKUP(A736,'25.管路'!C:D,1,0),"")="","","✔")</f>
        <v/>
      </c>
      <c r="AA736" s="98" t="str">
        <f>IF(IFERROR(VLOOKUP(A736,'26.植栽(移植)'!C:D,1,0),"")="","","✔")</f>
        <v/>
      </c>
      <c r="AB736" s="98" t="str">
        <f>IF(IFERROR(VLOOKUP(A736,'27.植栽(新植)'!C:D,1,0),"")="","","✔")</f>
        <v/>
      </c>
      <c r="AC736" s="98" t="str">
        <f>IF(IFERROR(VLOOKUP(A736,'28.照明'!C:D,1,0),"")="","","✔")</f>
        <v/>
      </c>
      <c r="AD736" s="98" t="str">
        <f>IF(IFERROR(VLOOKUP(A736,'29.既有橋梁拆除'!C:D,1,0),"")="","","✔")</f>
        <v/>
      </c>
    </row>
    <row r="737" spans="1:30" ht="21.75" customHeight="1" x14ac:dyDescent="0.25">
      <c r="A737" s="99">
        <v>45927</v>
      </c>
      <c r="B737" s="98" t="str">
        <f>IF(IFERROR(VLOOKUP(A737,'1.測量放樣'!C:D,1,0),"")="","","✔")</f>
        <v/>
      </c>
      <c r="C737" s="98" t="str">
        <f>IF(IFERROR(VLOOKUP(A737,'2.土方開挖'!C:D,1,0),"")="","","✔")</f>
        <v/>
      </c>
      <c r="D737" s="98" t="str">
        <f>IF(IFERROR(VLOOKUP(A737,'3.土方回填'!C:D,1,0),"")="","","✔")</f>
        <v/>
      </c>
      <c r="E737" s="98" t="str">
        <f>IF(IFERROR(VLOOKUP(A737,'4.鋼筋'!C:D,1,0),"")="","","✔")</f>
        <v/>
      </c>
      <c r="F737" s="98" t="str">
        <f>IF(IFERROR(VLOOKUP(A737,'5.模板'!C:D,1,0),"")="","","✔")</f>
        <v/>
      </c>
      <c r="G737" s="98" t="str">
        <f>IF(IFERROR(VLOOKUP(A737,'6.混凝土'!C:D,1,0),"")="","","✔")</f>
        <v/>
      </c>
      <c r="H737" s="98" t="str">
        <f>IF(IFERROR(VLOOKUP(A737,'7.植筋'!C:D,1,0),"")="","","✔")</f>
        <v/>
      </c>
      <c r="I737" s="98" t="str">
        <f>IF(IFERROR(VLOOKUP(A737,'8.預力混凝土基樁'!C:D,1,0),"")="","","✔")</f>
        <v/>
      </c>
      <c r="J737" s="98" t="str">
        <f>IF(IFERROR(VLOOKUP(A737,'9.砌塊石護岸'!C:D,1,0),"")="","","✔")</f>
        <v/>
      </c>
      <c r="K737" s="98" t="str">
        <f>IF(IFERROR(VLOOKUP(A737,'10.低水護岸'!C:D,1,0),"")="","","✔")</f>
        <v/>
      </c>
      <c r="L737" s="98" t="str">
        <f>IF(IFERROR(VLOOKUP(A737,'11.固床工'!C:D,1,0),"")="","","✔")</f>
        <v/>
      </c>
      <c r="M737" s="98" t="str">
        <f>IF(IFERROR(VLOOKUP(A737,'12.全套管基樁'!C:D,1,0),"")="","","✔")</f>
        <v/>
      </c>
      <c r="N737" s="98" t="str">
        <f>IF(IFERROR(VLOOKUP(A737,'13.鋼筋混凝土管工程'!C:D,1,0),"")="","","✔")</f>
        <v/>
      </c>
      <c r="O737" s="98" t="str">
        <f>IF(IFERROR(VLOOKUP(A737,'14.鋼版樁'!C:D,1,0),"")="","","✔")</f>
        <v/>
      </c>
      <c r="P737" s="98" t="str">
        <f>IF(IFERROR(VLOOKUP(A737,'15.路床 路基高程'!C:D,1,0),"")="","","✔")</f>
        <v/>
      </c>
      <c r="Q737" s="98" t="str">
        <f>IF(IFERROR(VLOOKUP(A737,'16.瀝青混凝土'!C:D,1,0),"")="","","✔")</f>
        <v/>
      </c>
      <c r="R737" s="98" t="str">
        <f>IF(IFERROR(VLOOKUP(A737,'17.景觀鋪面(一)'!C:D,1,0),"")="","","✔")</f>
        <v/>
      </c>
      <c r="S737" s="98" t="str">
        <f>IF(IFERROR(VLOOKUP(A737,'18.景觀鋪面(二)'!C:D,1,0),"")="","","✔")</f>
        <v/>
      </c>
      <c r="T737" s="98" t="str">
        <f>IF(IFERROR(VLOOKUP(A737,'19.預鑄緣石'!C:D,1,0),"")="","","✔")</f>
        <v/>
      </c>
      <c r="U737" s="98" t="str">
        <f>IF(IFERROR(VLOOKUP(A737,'20.鋼構工程吊裝'!C:D,1,0),"")="","","✔")</f>
        <v/>
      </c>
      <c r="V737" s="98" t="str">
        <f>IF(IFERROR(VLOOKUP(A737,'21.鋼構工程塗裝'!C:D,1,0),"")="","","✔")</f>
        <v/>
      </c>
      <c r="W737" s="98" t="str">
        <f>IF(IFERROR(VLOOKUP(A737,'22.排水設施(一)'!C:D,1,0),"")="","","✔")</f>
        <v/>
      </c>
      <c r="X737" s="98" t="str">
        <f>IF(IFERROR(VLOOKUP(A737,'23.排水設施(二)'!C:D,1,0),"")="","","✔")</f>
        <v/>
      </c>
      <c r="Y737" s="98" t="str">
        <f>IF(IFERROR(VLOOKUP(A737,'24.木構造'!C:D,1,0),"")="","","✔")</f>
        <v/>
      </c>
      <c r="Z737" s="98" t="str">
        <f>IF(IFERROR(VLOOKUP(A737,'25.管路'!C:D,1,0),"")="","","✔")</f>
        <v/>
      </c>
      <c r="AA737" s="98" t="str">
        <f>IF(IFERROR(VLOOKUP(A737,'26.植栽(移植)'!C:D,1,0),"")="","","✔")</f>
        <v/>
      </c>
      <c r="AB737" s="98" t="str">
        <f>IF(IFERROR(VLOOKUP(A737,'27.植栽(新植)'!C:D,1,0),"")="","","✔")</f>
        <v/>
      </c>
      <c r="AC737" s="98" t="str">
        <f>IF(IFERROR(VLOOKUP(A737,'28.照明'!C:D,1,0),"")="","","✔")</f>
        <v/>
      </c>
      <c r="AD737" s="98" t="str">
        <f>IF(IFERROR(VLOOKUP(A737,'29.既有橋梁拆除'!C:D,1,0),"")="","","✔")</f>
        <v/>
      </c>
    </row>
    <row r="738" spans="1:30" ht="21.75" customHeight="1" x14ac:dyDescent="0.25">
      <c r="A738" s="99">
        <v>45928</v>
      </c>
      <c r="B738" s="98" t="str">
        <f>IF(IFERROR(VLOOKUP(A738,'1.測量放樣'!C:D,1,0),"")="","","✔")</f>
        <v/>
      </c>
      <c r="C738" s="98" t="str">
        <f>IF(IFERROR(VLOOKUP(A738,'2.土方開挖'!C:D,1,0),"")="","","✔")</f>
        <v/>
      </c>
      <c r="D738" s="98" t="str">
        <f>IF(IFERROR(VLOOKUP(A738,'3.土方回填'!C:D,1,0),"")="","","✔")</f>
        <v/>
      </c>
      <c r="E738" s="98" t="str">
        <f>IF(IFERROR(VLOOKUP(A738,'4.鋼筋'!C:D,1,0),"")="","","✔")</f>
        <v/>
      </c>
      <c r="F738" s="98" t="str">
        <f>IF(IFERROR(VLOOKUP(A738,'5.模板'!C:D,1,0),"")="","","✔")</f>
        <v/>
      </c>
      <c r="G738" s="98" t="str">
        <f>IF(IFERROR(VLOOKUP(A738,'6.混凝土'!C:D,1,0),"")="","","✔")</f>
        <v/>
      </c>
      <c r="H738" s="98" t="str">
        <f>IF(IFERROR(VLOOKUP(A738,'7.植筋'!C:D,1,0),"")="","","✔")</f>
        <v/>
      </c>
      <c r="I738" s="98" t="str">
        <f>IF(IFERROR(VLOOKUP(A738,'8.預力混凝土基樁'!C:D,1,0),"")="","","✔")</f>
        <v/>
      </c>
      <c r="J738" s="98" t="str">
        <f>IF(IFERROR(VLOOKUP(A738,'9.砌塊石護岸'!C:D,1,0),"")="","","✔")</f>
        <v/>
      </c>
      <c r="K738" s="98" t="str">
        <f>IF(IFERROR(VLOOKUP(A738,'10.低水護岸'!C:D,1,0),"")="","","✔")</f>
        <v/>
      </c>
      <c r="L738" s="98" t="str">
        <f>IF(IFERROR(VLOOKUP(A738,'11.固床工'!C:D,1,0),"")="","","✔")</f>
        <v/>
      </c>
      <c r="M738" s="98" t="str">
        <f>IF(IFERROR(VLOOKUP(A738,'12.全套管基樁'!C:D,1,0),"")="","","✔")</f>
        <v/>
      </c>
      <c r="N738" s="98" t="str">
        <f>IF(IFERROR(VLOOKUP(A738,'13.鋼筋混凝土管工程'!C:D,1,0),"")="","","✔")</f>
        <v/>
      </c>
      <c r="O738" s="98" t="str">
        <f>IF(IFERROR(VLOOKUP(A738,'14.鋼版樁'!C:D,1,0),"")="","","✔")</f>
        <v/>
      </c>
      <c r="P738" s="98" t="str">
        <f>IF(IFERROR(VLOOKUP(A738,'15.路床 路基高程'!C:D,1,0),"")="","","✔")</f>
        <v/>
      </c>
      <c r="Q738" s="98" t="str">
        <f>IF(IFERROR(VLOOKUP(A738,'16.瀝青混凝土'!C:D,1,0),"")="","","✔")</f>
        <v/>
      </c>
      <c r="R738" s="98" t="str">
        <f>IF(IFERROR(VLOOKUP(A738,'17.景觀鋪面(一)'!C:D,1,0),"")="","","✔")</f>
        <v/>
      </c>
      <c r="S738" s="98" t="str">
        <f>IF(IFERROR(VLOOKUP(A738,'18.景觀鋪面(二)'!C:D,1,0),"")="","","✔")</f>
        <v/>
      </c>
      <c r="T738" s="98" t="str">
        <f>IF(IFERROR(VLOOKUP(A738,'19.預鑄緣石'!C:D,1,0),"")="","","✔")</f>
        <v/>
      </c>
      <c r="U738" s="98" t="str">
        <f>IF(IFERROR(VLOOKUP(A738,'20.鋼構工程吊裝'!C:D,1,0),"")="","","✔")</f>
        <v/>
      </c>
      <c r="V738" s="98" t="str">
        <f>IF(IFERROR(VLOOKUP(A738,'21.鋼構工程塗裝'!C:D,1,0),"")="","","✔")</f>
        <v/>
      </c>
      <c r="W738" s="98" t="str">
        <f>IF(IFERROR(VLOOKUP(A738,'22.排水設施(一)'!C:D,1,0),"")="","","✔")</f>
        <v/>
      </c>
      <c r="X738" s="98" t="str">
        <f>IF(IFERROR(VLOOKUP(A738,'23.排水設施(二)'!C:D,1,0),"")="","","✔")</f>
        <v/>
      </c>
      <c r="Y738" s="98" t="str">
        <f>IF(IFERROR(VLOOKUP(A738,'24.木構造'!C:D,1,0),"")="","","✔")</f>
        <v/>
      </c>
      <c r="Z738" s="98" t="str">
        <f>IF(IFERROR(VLOOKUP(A738,'25.管路'!C:D,1,0),"")="","","✔")</f>
        <v/>
      </c>
      <c r="AA738" s="98" t="str">
        <f>IF(IFERROR(VLOOKUP(A738,'26.植栽(移植)'!C:D,1,0),"")="","","✔")</f>
        <v/>
      </c>
      <c r="AB738" s="98" t="str">
        <f>IF(IFERROR(VLOOKUP(A738,'27.植栽(新植)'!C:D,1,0),"")="","","✔")</f>
        <v/>
      </c>
      <c r="AC738" s="98" t="str">
        <f>IF(IFERROR(VLOOKUP(A738,'28.照明'!C:D,1,0),"")="","","✔")</f>
        <v/>
      </c>
      <c r="AD738" s="98" t="str">
        <f>IF(IFERROR(VLOOKUP(A738,'29.既有橋梁拆除'!C:D,1,0),"")="","","✔")</f>
        <v/>
      </c>
    </row>
    <row r="739" spans="1:30" ht="21.75" customHeight="1" x14ac:dyDescent="0.25">
      <c r="A739" s="99">
        <v>45929</v>
      </c>
      <c r="B739" s="98" t="str">
        <f>IF(IFERROR(VLOOKUP(A739,'1.測量放樣'!C:D,1,0),"")="","","✔")</f>
        <v/>
      </c>
      <c r="C739" s="98" t="str">
        <f>IF(IFERROR(VLOOKUP(A739,'2.土方開挖'!C:D,1,0),"")="","","✔")</f>
        <v/>
      </c>
      <c r="D739" s="98" t="str">
        <f>IF(IFERROR(VLOOKUP(A739,'3.土方回填'!C:D,1,0),"")="","","✔")</f>
        <v/>
      </c>
      <c r="E739" s="98" t="str">
        <f>IF(IFERROR(VLOOKUP(A739,'4.鋼筋'!C:D,1,0),"")="","","✔")</f>
        <v/>
      </c>
      <c r="F739" s="98" t="str">
        <f>IF(IFERROR(VLOOKUP(A739,'5.模板'!C:D,1,0),"")="","","✔")</f>
        <v/>
      </c>
      <c r="G739" s="98" t="str">
        <f>IF(IFERROR(VLOOKUP(A739,'6.混凝土'!C:D,1,0),"")="","","✔")</f>
        <v/>
      </c>
      <c r="H739" s="98" t="str">
        <f>IF(IFERROR(VLOOKUP(A739,'7.植筋'!C:D,1,0),"")="","","✔")</f>
        <v/>
      </c>
      <c r="I739" s="98" t="str">
        <f>IF(IFERROR(VLOOKUP(A739,'8.預力混凝土基樁'!C:D,1,0),"")="","","✔")</f>
        <v/>
      </c>
      <c r="J739" s="98" t="str">
        <f>IF(IFERROR(VLOOKUP(A739,'9.砌塊石護岸'!C:D,1,0),"")="","","✔")</f>
        <v/>
      </c>
      <c r="K739" s="98" t="str">
        <f>IF(IFERROR(VLOOKUP(A739,'10.低水護岸'!C:D,1,0),"")="","","✔")</f>
        <v/>
      </c>
      <c r="L739" s="98" t="str">
        <f>IF(IFERROR(VLOOKUP(A739,'11.固床工'!C:D,1,0),"")="","","✔")</f>
        <v/>
      </c>
      <c r="M739" s="98" t="str">
        <f>IF(IFERROR(VLOOKUP(A739,'12.全套管基樁'!C:D,1,0),"")="","","✔")</f>
        <v/>
      </c>
      <c r="N739" s="98" t="str">
        <f>IF(IFERROR(VLOOKUP(A739,'13.鋼筋混凝土管工程'!C:D,1,0),"")="","","✔")</f>
        <v/>
      </c>
      <c r="O739" s="98" t="str">
        <f>IF(IFERROR(VLOOKUP(A739,'14.鋼版樁'!C:D,1,0),"")="","","✔")</f>
        <v/>
      </c>
      <c r="P739" s="98" t="str">
        <f>IF(IFERROR(VLOOKUP(A739,'15.路床 路基高程'!C:D,1,0),"")="","","✔")</f>
        <v/>
      </c>
      <c r="Q739" s="98" t="str">
        <f>IF(IFERROR(VLOOKUP(A739,'16.瀝青混凝土'!C:D,1,0),"")="","","✔")</f>
        <v/>
      </c>
      <c r="R739" s="98" t="str">
        <f>IF(IFERROR(VLOOKUP(A739,'17.景觀鋪面(一)'!C:D,1,0),"")="","","✔")</f>
        <v/>
      </c>
      <c r="S739" s="98" t="str">
        <f>IF(IFERROR(VLOOKUP(A739,'18.景觀鋪面(二)'!C:D,1,0),"")="","","✔")</f>
        <v/>
      </c>
      <c r="T739" s="98" t="str">
        <f>IF(IFERROR(VLOOKUP(A739,'19.預鑄緣石'!C:D,1,0),"")="","","✔")</f>
        <v/>
      </c>
      <c r="U739" s="98" t="str">
        <f>IF(IFERROR(VLOOKUP(A739,'20.鋼構工程吊裝'!C:D,1,0),"")="","","✔")</f>
        <v/>
      </c>
      <c r="V739" s="98" t="str">
        <f>IF(IFERROR(VLOOKUP(A739,'21.鋼構工程塗裝'!C:D,1,0),"")="","","✔")</f>
        <v/>
      </c>
      <c r="W739" s="98" t="str">
        <f>IF(IFERROR(VLOOKUP(A739,'22.排水設施(一)'!C:D,1,0),"")="","","✔")</f>
        <v/>
      </c>
      <c r="X739" s="98" t="str">
        <f>IF(IFERROR(VLOOKUP(A739,'23.排水設施(二)'!C:D,1,0),"")="","","✔")</f>
        <v/>
      </c>
      <c r="Y739" s="98" t="str">
        <f>IF(IFERROR(VLOOKUP(A739,'24.木構造'!C:D,1,0),"")="","","✔")</f>
        <v/>
      </c>
      <c r="Z739" s="98" t="str">
        <f>IF(IFERROR(VLOOKUP(A739,'25.管路'!C:D,1,0),"")="","","✔")</f>
        <v/>
      </c>
      <c r="AA739" s="98" t="str">
        <f>IF(IFERROR(VLOOKUP(A739,'26.植栽(移植)'!C:D,1,0),"")="","","✔")</f>
        <v/>
      </c>
      <c r="AB739" s="98" t="str">
        <f>IF(IFERROR(VLOOKUP(A739,'27.植栽(新植)'!C:D,1,0),"")="","","✔")</f>
        <v/>
      </c>
      <c r="AC739" s="98" t="str">
        <f>IF(IFERROR(VLOOKUP(A739,'28.照明'!C:D,1,0),"")="","","✔")</f>
        <v/>
      </c>
      <c r="AD739" s="98" t="str">
        <f>IF(IFERROR(VLOOKUP(A739,'29.既有橋梁拆除'!C:D,1,0),"")="","","✔")</f>
        <v/>
      </c>
    </row>
    <row r="740" spans="1:30" ht="21.75" customHeight="1" x14ac:dyDescent="0.25">
      <c r="A740" s="99">
        <v>45930</v>
      </c>
      <c r="B740" s="98" t="str">
        <f>IF(IFERROR(VLOOKUP(A740,'1.測量放樣'!C:D,1,0),"")="","","✔")</f>
        <v/>
      </c>
      <c r="C740" s="98" t="str">
        <f>IF(IFERROR(VLOOKUP(A740,'2.土方開挖'!C:D,1,0),"")="","","✔")</f>
        <v/>
      </c>
      <c r="D740" s="98" t="str">
        <f>IF(IFERROR(VLOOKUP(A740,'3.土方回填'!C:D,1,0),"")="","","✔")</f>
        <v/>
      </c>
      <c r="E740" s="98" t="str">
        <f>IF(IFERROR(VLOOKUP(A740,'4.鋼筋'!C:D,1,0),"")="","","✔")</f>
        <v/>
      </c>
      <c r="F740" s="98" t="str">
        <f>IF(IFERROR(VLOOKUP(A740,'5.模板'!C:D,1,0),"")="","","✔")</f>
        <v/>
      </c>
      <c r="G740" s="98" t="str">
        <f>IF(IFERROR(VLOOKUP(A740,'6.混凝土'!C:D,1,0),"")="","","✔")</f>
        <v/>
      </c>
      <c r="H740" s="98" t="str">
        <f>IF(IFERROR(VLOOKUP(A740,'7.植筋'!C:D,1,0),"")="","","✔")</f>
        <v/>
      </c>
      <c r="I740" s="98" t="str">
        <f>IF(IFERROR(VLOOKUP(A740,'8.預力混凝土基樁'!C:D,1,0),"")="","","✔")</f>
        <v/>
      </c>
      <c r="J740" s="98" t="str">
        <f>IF(IFERROR(VLOOKUP(A740,'9.砌塊石護岸'!C:D,1,0),"")="","","✔")</f>
        <v/>
      </c>
      <c r="K740" s="98" t="str">
        <f>IF(IFERROR(VLOOKUP(A740,'10.低水護岸'!C:D,1,0),"")="","","✔")</f>
        <v/>
      </c>
      <c r="L740" s="98" t="str">
        <f>IF(IFERROR(VLOOKUP(A740,'11.固床工'!C:D,1,0),"")="","","✔")</f>
        <v/>
      </c>
      <c r="M740" s="98" t="str">
        <f>IF(IFERROR(VLOOKUP(A740,'12.全套管基樁'!C:D,1,0),"")="","","✔")</f>
        <v/>
      </c>
      <c r="N740" s="98" t="str">
        <f>IF(IFERROR(VLOOKUP(A740,'13.鋼筋混凝土管工程'!C:D,1,0),"")="","","✔")</f>
        <v/>
      </c>
      <c r="O740" s="98" t="str">
        <f>IF(IFERROR(VLOOKUP(A740,'14.鋼版樁'!C:D,1,0),"")="","","✔")</f>
        <v/>
      </c>
      <c r="P740" s="98" t="str">
        <f>IF(IFERROR(VLOOKUP(A740,'15.路床 路基高程'!C:D,1,0),"")="","","✔")</f>
        <v/>
      </c>
      <c r="Q740" s="98" t="str">
        <f>IF(IFERROR(VLOOKUP(A740,'16.瀝青混凝土'!C:D,1,0),"")="","","✔")</f>
        <v/>
      </c>
      <c r="R740" s="98" t="str">
        <f>IF(IFERROR(VLOOKUP(A740,'17.景觀鋪面(一)'!C:D,1,0),"")="","","✔")</f>
        <v/>
      </c>
      <c r="S740" s="98" t="str">
        <f>IF(IFERROR(VLOOKUP(A740,'18.景觀鋪面(二)'!C:D,1,0),"")="","","✔")</f>
        <v/>
      </c>
      <c r="T740" s="98" t="str">
        <f>IF(IFERROR(VLOOKUP(A740,'19.預鑄緣石'!C:D,1,0),"")="","","✔")</f>
        <v/>
      </c>
      <c r="U740" s="98" t="str">
        <f>IF(IFERROR(VLOOKUP(A740,'20.鋼構工程吊裝'!C:D,1,0),"")="","","✔")</f>
        <v/>
      </c>
      <c r="V740" s="98" t="str">
        <f>IF(IFERROR(VLOOKUP(A740,'21.鋼構工程塗裝'!C:D,1,0),"")="","","✔")</f>
        <v/>
      </c>
      <c r="W740" s="98" t="str">
        <f>IF(IFERROR(VLOOKUP(A740,'22.排水設施(一)'!C:D,1,0),"")="","","✔")</f>
        <v/>
      </c>
      <c r="X740" s="98" t="str">
        <f>IF(IFERROR(VLOOKUP(A740,'23.排水設施(二)'!C:D,1,0),"")="","","✔")</f>
        <v/>
      </c>
      <c r="Y740" s="98" t="str">
        <f>IF(IFERROR(VLOOKUP(A740,'24.木構造'!C:D,1,0),"")="","","✔")</f>
        <v/>
      </c>
      <c r="Z740" s="98" t="str">
        <f>IF(IFERROR(VLOOKUP(A740,'25.管路'!C:D,1,0),"")="","","✔")</f>
        <v/>
      </c>
      <c r="AA740" s="98" t="str">
        <f>IF(IFERROR(VLOOKUP(A740,'26.植栽(移植)'!C:D,1,0),"")="","","✔")</f>
        <v/>
      </c>
      <c r="AB740" s="98" t="str">
        <f>IF(IFERROR(VLOOKUP(A740,'27.植栽(新植)'!C:D,1,0),"")="","","✔")</f>
        <v/>
      </c>
      <c r="AC740" s="98" t="str">
        <f>IF(IFERROR(VLOOKUP(A740,'28.照明'!C:D,1,0),"")="","","✔")</f>
        <v/>
      </c>
      <c r="AD740" s="98" t="str">
        <f>IF(IFERROR(VLOOKUP(A740,'29.既有橋梁拆除'!C:D,1,0),"")="","","✔")</f>
        <v/>
      </c>
    </row>
    <row r="741" spans="1:30" ht="21.75" customHeight="1" x14ac:dyDescent="0.25">
      <c r="A741" s="99">
        <v>45931</v>
      </c>
      <c r="B741" s="98" t="str">
        <f>IF(IFERROR(VLOOKUP(A741,'1.測量放樣'!C:D,1,0),"")="","","✔")</f>
        <v/>
      </c>
      <c r="C741" s="98" t="str">
        <f>IF(IFERROR(VLOOKUP(A741,'2.土方開挖'!C:D,1,0),"")="","","✔")</f>
        <v/>
      </c>
      <c r="D741" s="98" t="str">
        <f>IF(IFERROR(VLOOKUP(A741,'3.土方回填'!C:D,1,0),"")="","","✔")</f>
        <v/>
      </c>
      <c r="E741" s="98" t="str">
        <f>IF(IFERROR(VLOOKUP(A741,'4.鋼筋'!C:D,1,0),"")="","","✔")</f>
        <v/>
      </c>
      <c r="F741" s="98" t="str">
        <f>IF(IFERROR(VLOOKUP(A741,'5.模板'!C:D,1,0),"")="","","✔")</f>
        <v/>
      </c>
      <c r="G741" s="98" t="str">
        <f>IF(IFERROR(VLOOKUP(A741,'6.混凝土'!C:D,1,0),"")="","","✔")</f>
        <v/>
      </c>
      <c r="H741" s="98" t="str">
        <f>IF(IFERROR(VLOOKUP(A741,'7.植筋'!C:D,1,0),"")="","","✔")</f>
        <v/>
      </c>
      <c r="I741" s="98" t="str">
        <f>IF(IFERROR(VLOOKUP(A741,'8.預力混凝土基樁'!C:D,1,0),"")="","","✔")</f>
        <v/>
      </c>
      <c r="J741" s="98" t="str">
        <f>IF(IFERROR(VLOOKUP(A741,'9.砌塊石護岸'!C:D,1,0),"")="","","✔")</f>
        <v/>
      </c>
      <c r="K741" s="98" t="str">
        <f>IF(IFERROR(VLOOKUP(A741,'10.低水護岸'!C:D,1,0),"")="","","✔")</f>
        <v/>
      </c>
      <c r="L741" s="98" t="str">
        <f>IF(IFERROR(VLOOKUP(A741,'11.固床工'!C:D,1,0),"")="","","✔")</f>
        <v/>
      </c>
      <c r="M741" s="98" t="str">
        <f>IF(IFERROR(VLOOKUP(A741,'12.全套管基樁'!C:D,1,0),"")="","","✔")</f>
        <v/>
      </c>
      <c r="N741" s="98" t="str">
        <f>IF(IFERROR(VLOOKUP(A741,'13.鋼筋混凝土管工程'!C:D,1,0),"")="","","✔")</f>
        <v/>
      </c>
      <c r="O741" s="98" t="str">
        <f>IF(IFERROR(VLOOKUP(A741,'14.鋼版樁'!C:D,1,0),"")="","","✔")</f>
        <v/>
      </c>
      <c r="P741" s="98" t="str">
        <f>IF(IFERROR(VLOOKUP(A741,'15.路床 路基高程'!C:D,1,0),"")="","","✔")</f>
        <v/>
      </c>
      <c r="Q741" s="98" t="str">
        <f>IF(IFERROR(VLOOKUP(A741,'16.瀝青混凝土'!C:D,1,0),"")="","","✔")</f>
        <v/>
      </c>
      <c r="R741" s="98" t="str">
        <f>IF(IFERROR(VLOOKUP(A741,'17.景觀鋪面(一)'!C:D,1,0),"")="","","✔")</f>
        <v/>
      </c>
      <c r="S741" s="98" t="str">
        <f>IF(IFERROR(VLOOKUP(A741,'18.景觀鋪面(二)'!C:D,1,0),"")="","","✔")</f>
        <v/>
      </c>
      <c r="T741" s="98" t="str">
        <f>IF(IFERROR(VLOOKUP(A741,'19.預鑄緣石'!C:D,1,0),"")="","","✔")</f>
        <v/>
      </c>
      <c r="U741" s="98" t="str">
        <f>IF(IFERROR(VLOOKUP(A741,'20.鋼構工程吊裝'!C:D,1,0),"")="","","✔")</f>
        <v/>
      </c>
      <c r="V741" s="98" t="str">
        <f>IF(IFERROR(VLOOKUP(A741,'21.鋼構工程塗裝'!C:D,1,0),"")="","","✔")</f>
        <v/>
      </c>
      <c r="W741" s="98" t="str">
        <f>IF(IFERROR(VLOOKUP(A741,'22.排水設施(一)'!C:D,1,0),"")="","","✔")</f>
        <v/>
      </c>
      <c r="X741" s="98" t="str">
        <f>IF(IFERROR(VLOOKUP(A741,'23.排水設施(二)'!C:D,1,0),"")="","","✔")</f>
        <v/>
      </c>
      <c r="Y741" s="98" t="str">
        <f>IF(IFERROR(VLOOKUP(A741,'24.木構造'!C:D,1,0),"")="","","✔")</f>
        <v/>
      </c>
      <c r="Z741" s="98" t="str">
        <f>IF(IFERROR(VLOOKUP(A741,'25.管路'!C:D,1,0),"")="","","✔")</f>
        <v/>
      </c>
      <c r="AA741" s="98" t="str">
        <f>IF(IFERROR(VLOOKUP(A741,'26.植栽(移植)'!C:D,1,0),"")="","","✔")</f>
        <v/>
      </c>
      <c r="AB741" s="98" t="str">
        <f>IF(IFERROR(VLOOKUP(A741,'27.植栽(新植)'!C:D,1,0),"")="","","✔")</f>
        <v/>
      </c>
      <c r="AC741" s="98" t="str">
        <f>IF(IFERROR(VLOOKUP(A741,'28.照明'!C:D,1,0),"")="","","✔")</f>
        <v/>
      </c>
      <c r="AD741" s="98" t="str">
        <f>IF(IFERROR(VLOOKUP(A741,'29.既有橋梁拆除'!C:D,1,0),"")="","","✔")</f>
        <v/>
      </c>
    </row>
  </sheetData>
  <phoneticPr fontId="1" type="noConversion"/>
  <conditionalFormatting sqref="A1:AD1048576">
    <cfRule type="cellIs" dxfId="4" priority="1" operator="equal">
      <formula>"✔"</formula>
    </cfRule>
  </conditionalFormatting>
  <pageMargins left="0.23622047244094491" right="0.23622047244094491" top="0.74803149606299213" bottom="0.74803149606299213" header="0.31496062992125984" footer="0.31496062992125984"/>
  <pageSetup paperSize="8" scale="96" orientation="landscape" r:id="rId1"/>
  <headerFooter>
    <oddHeader>&amp;C&amp;"標楷體,粗體"磺港溪再造C段護岸及步道整建工程（延壽橋至三合橋）
自主檢查統計表</oddHeader>
  </headerFooter>
  <rowBreaks count="24" manualBreakCount="24">
    <brk id="9" max="16383" man="1"/>
    <brk id="40" max="16383" man="1"/>
    <brk id="70" max="16383" man="1"/>
    <brk id="101" max="16383" man="1"/>
    <brk id="132" max="16383" man="1"/>
    <brk id="161" max="16383" man="1"/>
    <brk id="192" max="16383" man="1"/>
    <brk id="222" max="16383" man="1"/>
    <brk id="253" max="16383" man="1"/>
    <brk id="283" max="16383" man="1"/>
    <brk id="314" max="16383" man="1"/>
    <brk id="345" max="16383" man="1"/>
    <brk id="375" max="16383" man="1"/>
    <brk id="406" max="16383" man="1"/>
    <brk id="436" max="16383" man="1"/>
    <brk id="467" max="16383" man="1"/>
    <brk id="498" max="16383" man="1"/>
    <brk id="526" max="16383" man="1"/>
    <brk id="557" max="16383" man="1"/>
    <brk id="587" max="16383" man="1"/>
    <brk id="618" max="16383" man="1"/>
    <brk id="648" max="16383" man="1"/>
    <brk id="679" max="16383" man="1"/>
    <brk id="71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829C-5894-4191-9FE1-B925531B3B35}">
  <sheetPr codeName="工作表5">
    <tabColor theme="4" tint="-0.249977111117893"/>
  </sheetPr>
  <dimension ref="A1:M32"/>
  <sheetViews>
    <sheetView showWhiteSpace="0" view="pageBreakPreview" zoomScaleNormal="100" zoomScaleSheetLayoutView="100" workbookViewId="0">
      <selection activeCell="C11" sqref="C11"/>
    </sheetView>
  </sheetViews>
  <sheetFormatPr defaultRowHeight="16.5" x14ac:dyDescent="0.25"/>
  <cols>
    <col min="1" max="1" width="12.5" style="1" customWidth="1"/>
    <col min="2" max="2" width="29.375" style="1" bestFit="1" customWidth="1"/>
    <col min="3" max="3" width="16.875" style="1" customWidth="1"/>
    <col min="4" max="5" width="9" style="1"/>
    <col min="6" max="6" width="8.625" style="1" customWidth="1"/>
    <col min="7" max="7" width="6.875" style="1" customWidth="1"/>
    <col min="8" max="8" width="32.75" style="1" bestFit="1" customWidth="1"/>
    <col min="9" max="9" width="29.375" style="1" bestFit="1" customWidth="1"/>
    <col min="10" max="10" width="9" style="1"/>
    <col min="11" max="11" width="9" style="60"/>
    <col min="12" max="12" width="9" style="1"/>
    <col min="13" max="13" width="9" style="60"/>
    <col min="14" max="16384" width="9" style="1"/>
  </cols>
  <sheetData>
    <row r="1" spans="1:13" ht="17.25" thickBot="1" x14ac:dyDescent="0.3">
      <c r="A1" s="105" t="s">
        <v>130</v>
      </c>
      <c r="B1" s="105"/>
      <c r="C1" s="105"/>
    </row>
    <row r="2" spans="1:13" ht="17.25" thickBot="1" x14ac:dyDescent="0.3">
      <c r="A2" s="11" t="s">
        <v>20</v>
      </c>
      <c r="B2" s="8" t="s">
        <v>21</v>
      </c>
      <c r="C2" s="11" t="s">
        <v>22</v>
      </c>
      <c r="I2" s="11" t="s">
        <v>127</v>
      </c>
      <c r="J2" s="108" t="s">
        <v>27</v>
      </c>
      <c r="K2" s="109"/>
      <c r="L2" s="108" t="s">
        <v>126</v>
      </c>
      <c r="M2" s="109"/>
    </row>
    <row r="3" spans="1:13" x14ac:dyDescent="0.25">
      <c r="A3" s="12">
        <f>ROW()-2</f>
        <v>1</v>
      </c>
      <c r="B3" s="9" t="s">
        <v>176</v>
      </c>
      <c r="C3" s="12">
        <f ca="1">COUNTA('1.測量放樣'!A:A)-4</f>
        <v>8</v>
      </c>
      <c r="G3" s="1" t="s">
        <v>193</v>
      </c>
      <c r="H3" s="1" t="str">
        <f>A3&amp;"."&amp;B3</f>
        <v>1.測量放樣</v>
      </c>
      <c r="I3" s="69" t="str">
        <f>B3</f>
        <v>測量放樣</v>
      </c>
      <c r="J3" s="62">
        <f>COUNTIF('1.測量放樣'!E:E,"*監造*")</f>
        <v>4</v>
      </c>
      <c r="K3" s="63">
        <f ca="1">IFERROR(J3/C3,"")</f>
        <v>0.5</v>
      </c>
      <c r="L3" s="62">
        <f>COUNTIF('1.測量放樣'!E:E,"*業主*")</f>
        <v>0</v>
      </c>
      <c r="M3" s="63">
        <f ca="1">IFERROR(L3/C3,"")</f>
        <v>0</v>
      </c>
    </row>
    <row r="4" spans="1:13" x14ac:dyDescent="0.25">
      <c r="A4" s="7">
        <f t="shared" ref="A4:A31" si="0">ROW()-2</f>
        <v>2</v>
      </c>
      <c r="B4" s="10" t="s">
        <v>174</v>
      </c>
      <c r="C4" s="7">
        <f ca="1">COUNTA('2.土方開挖'!A:A)-4</f>
        <v>21</v>
      </c>
      <c r="G4" s="1" t="s">
        <v>194</v>
      </c>
      <c r="H4" s="1" t="str">
        <f t="shared" ref="H4:H31" si="1">A4&amp;"."&amp;B4</f>
        <v>2.土方開挖</v>
      </c>
      <c r="I4" s="7" t="str">
        <f t="shared" ref="I4:I23" si="2">B4</f>
        <v>土方開挖</v>
      </c>
      <c r="J4" s="18">
        <f>COUNTIF('2.土方開挖'!E:E,"*監造*")</f>
        <v>9</v>
      </c>
      <c r="K4" s="61">
        <f t="shared" ref="K4:K31" ca="1" si="3">IFERROR(J4/C4,"")</f>
        <v>0.42857142857142855</v>
      </c>
      <c r="L4" s="18">
        <f>COUNTIF('2.土方開挖'!E:E,"*業主*")</f>
        <v>1</v>
      </c>
      <c r="M4" s="61">
        <f t="shared" ref="M4:M31" ca="1" si="4">IFERROR(L4/C4,"")</f>
        <v>4.7619047619047616E-2</v>
      </c>
    </row>
    <row r="5" spans="1:13" x14ac:dyDescent="0.25">
      <c r="A5" s="7">
        <f t="shared" si="0"/>
        <v>3</v>
      </c>
      <c r="B5" s="10" t="s">
        <v>175</v>
      </c>
      <c r="C5" s="7">
        <f ca="1">COUNTA('3.土方回填'!A:A)-4</f>
        <v>0</v>
      </c>
      <c r="G5" s="1" t="s">
        <v>195</v>
      </c>
      <c r="H5" s="1" t="str">
        <f t="shared" si="1"/>
        <v>3.土方回填(含級配)</v>
      </c>
      <c r="I5" s="7" t="str">
        <f t="shared" si="2"/>
        <v>土方回填(含級配)</v>
      </c>
      <c r="J5" s="18">
        <f>COUNTIF('3.土方回填'!E:E,"*監造*")</f>
        <v>0</v>
      </c>
      <c r="K5" s="61" t="str">
        <f t="shared" ca="1" si="3"/>
        <v/>
      </c>
      <c r="L5" s="18">
        <f>COUNTIF('3.土方回填'!E:E,"*業主*")</f>
        <v>0</v>
      </c>
      <c r="M5" s="61" t="str">
        <f t="shared" ca="1" si="4"/>
        <v/>
      </c>
    </row>
    <row r="6" spans="1:13" x14ac:dyDescent="0.25">
      <c r="A6" s="7">
        <f t="shared" si="0"/>
        <v>4</v>
      </c>
      <c r="B6" s="10" t="s">
        <v>146</v>
      </c>
      <c r="C6" s="7">
        <f ca="1">COUNTA('4.鋼筋'!A:A)-4</f>
        <v>16</v>
      </c>
      <c r="G6" s="1" t="s">
        <v>196</v>
      </c>
      <c r="H6" s="1" t="str">
        <f t="shared" si="1"/>
        <v>4.鋼筋工程</v>
      </c>
      <c r="I6" s="7" t="str">
        <f t="shared" si="2"/>
        <v>鋼筋工程</v>
      </c>
      <c r="J6" s="18">
        <f>COUNTIF('4.鋼筋'!E:E,"*監造*")</f>
        <v>16</v>
      </c>
      <c r="K6" s="61">
        <f t="shared" ca="1" si="3"/>
        <v>1</v>
      </c>
      <c r="L6" s="18">
        <f>COUNTIF('4.鋼筋'!E:E,"*業主*")</f>
        <v>1</v>
      </c>
      <c r="M6" s="61">
        <f t="shared" ca="1" si="4"/>
        <v>6.25E-2</v>
      </c>
    </row>
    <row r="7" spans="1:13" x14ac:dyDescent="0.25">
      <c r="A7" s="7">
        <f t="shared" si="0"/>
        <v>5</v>
      </c>
      <c r="B7" s="10" t="s">
        <v>338</v>
      </c>
      <c r="C7" s="7">
        <f ca="1">COUNTA('5.模板'!A:A)-4</f>
        <v>4</v>
      </c>
      <c r="G7" s="1" t="s">
        <v>197</v>
      </c>
      <c r="H7" s="1" t="str">
        <f t="shared" si="1"/>
        <v>5.模板工程</v>
      </c>
      <c r="I7" s="7" t="str">
        <f t="shared" si="2"/>
        <v>模板工程</v>
      </c>
      <c r="J7" s="18">
        <f>COUNTIF('5.模板'!E:E,"*監造*")</f>
        <v>2</v>
      </c>
      <c r="K7" s="61">
        <f t="shared" ca="1" si="3"/>
        <v>0.5</v>
      </c>
      <c r="L7" s="18">
        <f>COUNTIF('5.模板'!E:E,"*業主*")</f>
        <v>0</v>
      </c>
      <c r="M7" s="61">
        <f t="shared" ca="1" si="4"/>
        <v>0</v>
      </c>
    </row>
    <row r="8" spans="1:13" x14ac:dyDescent="0.25">
      <c r="A8" s="7">
        <f t="shared" si="0"/>
        <v>6</v>
      </c>
      <c r="B8" s="10" t="s">
        <v>147</v>
      </c>
      <c r="C8" s="7">
        <f ca="1">COUNTA('6.混凝土'!A:A)-4</f>
        <v>17</v>
      </c>
      <c r="G8" s="1" t="s">
        <v>198</v>
      </c>
      <c r="H8" s="1" t="str">
        <f t="shared" si="1"/>
        <v>6.混凝土工程</v>
      </c>
      <c r="I8" s="7" t="str">
        <f t="shared" si="2"/>
        <v>混凝土工程</v>
      </c>
      <c r="J8" s="18">
        <f>COUNTIF('6.混凝土'!E:E,"*監造*")</f>
        <v>16</v>
      </c>
      <c r="K8" s="61">
        <f t="shared" ca="1" si="3"/>
        <v>0.94117647058823528</v>
      </c>
      <c r="L8" s="18">
        <f>COUNTIF('6.混凝土'!E:E,"*業主*")</f>
        <v>1</v>
      </c>
      <c r="M8" s="61">
        <f t="shared" ca="1" si="4"/>
        <v>5.8823529411764705E-2</v>
      </c>
    </row>
    <row r="9" spans="1:13" x14ac:dyDescent="0.25">
      <c r="A9" s="7">
        <f t="shared" si="0"/>
        <v>7</v>
      </c>
      <c r="B9" s="10" t="s">
        <v>148</v>
      </c>
      <c r="C9" s="7">
        <f ca="1">COUNTA('7.植筋'!A:A)-4</f>
        <v>0</v>
      </c>
      <c r="G9" s="1" t="s">
        <v>199</v>
      </c>
      <c r="H9" s="1" t="str">
        <f t="shared" si="1"/>
        <v>7.植筋工程</v>
      </c>
      <c r="I9" s="7" t="str">
        <f t="shared" si="2"/>
        <v>植筋工程</v>
      </c>
      <c r="J9" s="18">
        <f>COUNTIF('7.植筋'!E:E,"*監造*")</f>
        <v>0</v>
      </c>
      <c r="K9" s="61" t="str">
        <f t="shared" ca="1" si="3"/>
        <v/>
      </c>
      <c r="L9" s="18">
        <f>COUNTIF('7.植筋'!E:E,"*業主*")</f>
        <v>0</v>
      </c>
      <c r="M9" s="61" t="str">
        <f t="shared" ca="1" si="4"/>
        <v/>
      </c>
    </row>
    <row r="10" spans="1:13" x14ac:dyDescent="0.25">
      <c r="A10" s="7">
        <f t="shared" si="0"/>
        <v>8</v>
      </c>
      <c r="B10" s="10" t="s">
        <v>171</v>
      </c>
      <c r="C10" s="7">
        <f ca="1">COUNTA('8.預力混凝土基樁'!A:A)-4</f>
        <v>3</v>
      </c>
      <c r="G10" s="1" t="s">
        <v>200</v>
      </c>
      <c r="H10" s="1" t="str">
        <f t="shared" si="1"/>
        <v>8.預力混凝土基樁</v>
      </c>
      <c r="I10" s="7" t="str">
        <f t="shared" si="2"/>
        <v>預力混凝土基樁</v>
      </c>
      <c r="J10" s="18">
        <f>COUNTIF('8.預力混凝土基樁'!E:E,"*監造*")</f>
        <v>2</v>
      </c>
      <c r="K10" s="61">
        <f t="shared" ca="1" si="3"/>
        <v>0.66666666666666663</v>
      </c>
      <c r="L10" s="18">
        <f>COUNTIF('8.預力混凝土基樁'!E:E,"*業主*")</f>
        <v>2</v>
      </c>
      <c r="M10" s="61">
        <f t="shared" ca="1" si="4"/>
        <v>0.66666666666666663</v>
      </c>
    </row>
    <row r="11" spans="1:13" x14ac:dyDescent="0.25">
      <c r="A11" s="7">
        <f t="shared" si="0"/>
        <v>9</v>
      </c>
      <c r="B11" s="10" t="s">
        <v>172</v>
      </c>
      <c r="C11" s="7">
        <f ca="1">COUNTA('9.砌塊石護岸'!A:A)-4</f>
        <v>0</v>
      </c>
      <c r="G11" s="1" t="s">
        <v>201</v>
      </c>
      <c r="H11" s="1" t="str">
        <f t="shared" si="1"/>
        <v>9.砌塊石護岸</v>
      </c>
      <c r="I11" s="7" t="str">
        <f t="shared" si="2"/>
        <v>砌塊石護岸</v>
      </c>
      <c r="J11" s="18">
        <f>COUNTIF('9.砌塊石護岸'!E:E,"*監造*")</f>
        <v>0</v>
      </c>
      <c r="K11" s="61" t="str">
        <f t="shared" ca="1" si="3"/>
        <v/>
      </c>
      <c r="L11" s="18">
        <f>COUNTIF('9.砌塊石護岸'!E:E,"*業主*")</f>
        <v>0</v>
      </c>
      <c r="M11" s="61" t="str">
        <f t="shared" ca="1" si="4"/>
        <v/>
      </c>
    </row>
    <row r="12" spans="1:13" x14ac:dyDescent="0.25">
      <c r="A12" s="7">
        <f t="shared" si="0"/>
        <v>10</v>
      </c>
      <c r="B12" s="10" t="s">
        <v>173</v>
      </c>
      <c r="C12" s="7">
        <f ca="1">COUNTA('10.低水護岸'!A:A)-4</f>
        <v>0</v>
      </c>
      <c r="G12" s="1" t="s">
        <v>202</v>
      </c>
      <c r="H12" s="1" t="str">
        <f t="shared" si="1"/>
        <v>10.低水護岸</v>
      </c>
      <c r="I12" s="7" t="str">
        <f t="shared" si="2"/>
        <v>低水護岸</v>
      </c>
      <c r="J12" s="18">
        <f>COUNTIF('10.低水護岸'!E:E,"*監造*")</f>
        <v>0</v>
      </c>
      <c r="K12" s="61" t="str">
        <f t="shared" ca="1" si="3"/>
        <v/>
      </c>
      <c r="L12" s="18">
        <f>COUNTIF('10.低水護岸'!E:E,"*業主*")</f>
        <v>0</v>
      </c>
      <c r="M12" s="61" t="str">
        <f t="shared" ca="1" si="4"/>
        <v/>
      </c>
    </row>
    <row r="13" spans="1:13" x14ac:dyDescent="0.25">
      <c r="A13" s="7">
        <f t="shared" si="0"/>
        <v>11</v>
      </c>
      <c r="B13" s="10" t="s">
        <v>177</v>
      </c>
      <c r="C13" s="7">
        <f ca="1">COUNTA('11.固床工'!A:A)-4</f>
        <v>0</v>
      </c>
      <c r="G13" s="1" t="s">
        <v>203</v>
      </c>
      <c r="H13" s="1" t="str">
        <f t="shared" si="1"/>
        <v>11.固床工</v>
      </c>
      <c r="I13" s="7" t="str">
        <f t="shared" si="2"/>
        <v>固床工</v>
      </c>
      <c r="J13" s="18">
        <f>COUNTIF('11.固床工'!E:E,"*監造*")</f>
        <v>0</v>
      </c>
      <c r="K13" s="61" t="str">
        <f t="shared" ca="1" si="3"/>
        <v/>
      </c>
      <c r="L13" s="18">
        <f>COUNTIF('11.固床工'!E:E,"*業主*")</f>
        <v>0</v>
      </c>
      <c r="M13" s="61" t="str">
        <f t="shared" ca="1" si="4"/>
        <v/>
      </c>
    </row>
    <row r="14" spans="1:13" x14ac:dyDescent="0.25">
      <c r="A14" s="7">
        <f t="shared" si="0"/>
        <v>12</v>
      </c>
      <c r="B14" s="10" t="s">
        <v>178</v>
      </c>
      <c r="C14" s="7">
        <f ca="1">COUNTA('12.全套管基樁'!A:A)-4</f>
        <v>14</v>
      </c>
      <c r="G14" s="1" t="s">
        <v>204</v>
      </c>
      <c r="H14" s="1" t="str">
        <f t="shared" si="1"/>
        <v>12.全套管基樁</v>
      </c>
      <c r="I14" s="7" t="str">
        <f t="shared" si="2"/>
        <v>全套管基樁</v>
      </c>
      <c r="J14" s="18">
        <f>COUNTIF('12.全套管基樁'!E:E,"*監造*")</f>
        <v>11</v>
      </c>
      <c r="K14" s="61">
        <f t="shared" ca="1" si="3"/>
        <v>0.7857142857142857</v>
      </c>
      <c r="L14" s="18">
        <f>COUNTIF('12.全套管基樁'!E:E,"*業主*")</f>
        <v>1</v>
      </c>
      <c r="M14" s="61">
        <f t="shared" ca="1" si="4"/>
        <v>7.1428571428571425E-2</v>
      </c>
    </row>
    <row r="15" spans="1:13" x14ac:dyDescent="0.25">
      <c r="A15" s="7">
        <f t="shared" si="0"/>
        <v>13</v>
      </c>
      <c r="B15" s="10" t="s">
        <v>339</v>
      </c>
      <c r="C15" s="7">
        <f ca="1">COUNTA('13.鋼筋混凝土管工程'!A:A)-4</f>
        <v>0</v>
      </c>
      <c r="G15" s="1" t="s">
        <v>205</v>
      </c>
      <c r="H15" s="1" t="str">
        <f t="shared" si="1"/>
        <v>13.鋼筋混凝土管</v>
      </c>
      <c r="I15" s="7" t="str">
        <f t="shared" si="2"/>
        <v>鋼筋混凝土管</v>
      </c>
      <c r="J15" s="18">
        <f>COUNTIF('13.鋼筋混凝土管工程'!E:E,"*監造*")</f>
        <v>0</v>
      </c>
      <c r="K15" s="61" t="str">
        <f t="shared" ca="1" si="3"/>
        <v/>
      </c>
      <c r="L15" s="18">
        <f>COUNTIF('13.鋼筋混凝土管工程'!E:E,"*業主*")</f>
        <v>0</v>
      </c>
      <c r="M15" s="61" t="str">
        <f t="shared" ca="1" si="4"/>
        <v/>
      </c>
    </row>
    <row r="16" spans="1:13" x14ac:dyDescent="0.25">
      <c r="A16" s="7">
        <f t="shared" si="0"/>
        <v>14</v>
      </c>
      <c r="B16" s="15" t="s">
        <v>179</v>
      </c>
      <c r="C16" s="7">
        <f ca="1">COUNTA('14.鋼版樁'!A:A)-4</f>
        <v>3</v>
      </c>
      <c r="G16" s="1" t="s">
        <v>206</v>
      </c>
      <c r="H16" s="1" t="str">
        <f t="shared" si="1"/>
        <v>14.鋼版樁</v>
      </c>
      <c r="I16" s="7" t="str">
        <f t="shared" si="2"/>
        <v>鋼版樁</v>
      </c>
      <c r="J16" s="18">
        <f>COUNTIF('14.鋼版樁'!E:E,"*監造*")</f>
        <v>2</v>
      </c>
      <c r="K16" s="61">
        <f t="shared" ca="1" si="3"/>
        <v>0.66666666666666663</v>
      </c>
      <c r="L16" s="18">
        <f>COUNTIF('14.鋼版樁'!E:E,"*業主*")</f>
        <v>0</v>
      </c>
      <c r="M16" s="61">
        <f t="shared" ca="1" si="4"/>
        <v>0</v>
      </c>
    </row>
    <row r="17" spans="1:13" x14ac:dyDescent="0.25">
      <c r="A17" s="7">
        <f t="shared" si="0"/>
        <v>15</v>
      </c>
      <c r="B17" s="15" t="s">
        <v>180</v>
      </c>
      <c r="C17" s="7">
        <f ca="1">COUNTA('15.路床 路基高程'!A:A)-4</f>
        <v>0</v>
      </c>
      <c r="G17" s="1" t="s">
        <v>207</v>
      </c>
      <c r="H17" s="1" t="str">
        <f t="shared" si="1"/>
        <v>15.路床/路基高程</v>
      </c>
      <c r="I17" s="7" t="str">
        <f t="shared" si="2"/>
        <v>路床/路基高程</v>
      </c>
      <c r="J17" s="18">
        <f>COUNTIF('15.路床 路基高程'!E:E,"*監造*")</f>
        <v>0</v>
      </c>
      <c r="K17" s="61" t="str">
        <f t="shared" ca="1" si="3"/>
        <v/>
      </c>
      <c r="L17" s="18">
        <f>COUNTIF('15.路床 路基高程'!E:E,"*業主*")</f>
        <v>0</v>
      </c>
      <c r="M17" s="61" t="str">
        <f t="shared" ca="1" si="4"/>
        <v/>
      </c>
    </row>
    <row r="18" spans="1:13" x14ac:dyDescent="0.25">
      <c r="A18" s="7">
        <f t="shared" si="0"/>
        <v>16</v>
      </c>
      <c r="B18" s="15" t="s">
        <v>181</v>
      </c>
      <c r="C18" s="7">
        <f ca="1">COUNTA('16.瀝青混凝土'!A:A)-4</f>
        <v>0</v>
      </c>
      <c r="G18" s="1" t="s">
        <v>208</v>
      </c>
      <c r="H18" s="1" t="str">
        <f t="shared" si="1"/>
        <v>16.瀝青混凝土</v>
      </c>
      <c r="I18" s="7" t="str">
        <f t="shared" si="2"/>
        <v>瀝青混凝土</v>
      </c>
      <c r="J18" s="18">
        <f>COUNTIF('6.混凝土'!E:E,"*監造*")</f>
        <v>16</v>
      </c>
      <c r="K18" s="61" t="str">
        <f t="shared" ca="1" si="3"/>
        <v/>
      </c>
      <c r="L18" s="18">
        <f>COUNTIF('6.混凝土'!E:E,"*業主*")</f>
        <v>1</v>
      </c>
      <c r="M18" s="61" t="str">
        <f t="shared" ca="1" si="4"/>
        <v/>
      </c>
    </row>
    <row r="19" spans="1:13" x14ac:dyDescent="0.25">
      <c r="A19" s="7">
        <f t="shared" si="0"/>
        <v>17</v>
      </c>
      <c r="B19" s="15" t="s">
        <v>182</v>
      </c>
      <c r="C19" s="7">
        <f ca="1">COUNTA('17.景觀鋪面(一)'!A:A)-4</f>
        <v>0</v>
      </c>
      <c r="G19" s="1" t="s">
        <v>209</v>
      </c>
      <c r="H19" s="1" t="str">
        <f t="shared" si="1"/>
        <v>17.景觀鋪面(一)</v>
      </c>
      <c r="I19" s="7" t="str">
        <f t="shared" si="2"/>
        <v>景觀鋪面(一)</v>
      </c>
      <c r="J19" s="18">
        <f>COUNTIF('17.景觀鋪面(一)'!E:E,"*監造*")</f>
        <v>0</v>
      </c>
      <c r="K19" s="61" t="str">
        <f t="shared" ca="1" si="3"/>
        <v/>
      </c>
      <c r="L19" s="18">
        <f>COUNTIF('17.景觀鋪面(一)'!E:E,"*業主*")</f>
        <v>0</v>
      </c>
      <c r="M19" s="61" t="str">
        <f t="shared" ca="1" si="4"/>
        <v/>
      </c>
    </row>
    <row r="20" spans="1:13" x14ac:dyDescent="0.25">
      <c r="A20" s="7">
        <f t="shared" si="0"/>
        <v>18</v>
      </c>
      <c r="B20" s="15" t="s">
        <v>183</v>
      </c>
      <c r="C20" s="7">
        <f ca="1">COUNTA('18.景觀鋪面(二)'!A:A)-4</f>
        <v>0</v>
      </c>
      <c r="G20" s="1" t="s">
        <v>210</v>
      </c>
      <c r="H20" s="1" t="str">
        <f t="shared" si="1"/>
        <v>18.景觀鋪面(二)</v>
      </c>
      <c r="I20" s="7" t="str">
        <f t="shared" si="2"/>
        <v>景觀鋪面(二)</v>
      </c>
      <c r="J20" s="18">
        <f>COUNTIF('18.景觀鋪面(二)'!E:E,"*監造*")</f>
        <v>0</v>
      </c>
      <c r="K20" s="61" t="str">
        <f t="shared" ca="1" si="3"/>
        <v/>
      </c>
      <c r="L20" s="18">
        <f>COUNTIF('18.景觀鋪面(二)'!E:E,"*業主*")</f>
        <v>0</v>
      </c>
      <c r="M20" s="61" t="str">
        <f t="shared" ca="1" si="4"/>
        <v/>
      </c>
    </row>
    <row r="21" spans="1:13" x14ac:dyDescent="0.25">
      <c r="A21" s="7">
        <f t="shared" si="0"/>
        <v>19</v>
      </c>
      <c r="B21" s="15" t="s">
        <v>184</v>
      </c>
      <c r="C21" s="7">
        <f ca="1">COUNTA('19.預鑄緣石'!A:A)-4</f>
        <v>0</v>
      </c>
      <c r="G21" s="1" t="s">
        <v>211</v>
      </c>
      <c r="H21" s="1" t="str">
        <f t="shared" si="1"/>
        <v>19.預鑄緣石</v>
      </c>
      <c r="I21" s="7" t="str">
        <f t="shared" si="2"/>
        <v>預鑄緣石</v>
      </c>
      <c r="J21" s="18">
        <f>COUNTIF('19.預鑄緣石'!E:E,"*監造*")</f>
        <v>0</v>
      </c>
      <c r="K21" s="61" t="str">
        <f t="shared" ca="1" si="3"/>
        <v/>
      </c>
      <c r="L21" s="18">
        <f>COUNTIF('19.預鑄緣石'!E:E,"*業主*")</f>
        <v>0</v>
      </c>
      <c r="M21" s="61" t="str">
        <f t="shared" ca="1" si="4"/>
        <v/>
      </c>
    </row>
    <row r="22" spans="1:13" x14ac:dyDescent="0.25">
      <c r="A22" s="7">
        <f t="shared" si="0"/>
        <v>20</v>
      </c>
      <c r="B22" s="15" t="s">
        <v>185</v>
      </c>
      <c r="C22" s="7">
        <f ca="1">COUNTA('20.鋼構工程吊裝'!A:A)-4</f>
        <v>0</v>
      </c>
      <c r="G22" s="1" t="s">
        <v>212</v>
      </c>
      <c r="H22" s="1" t="str">
        <f t="shared" si="1"/>
        <v>20.鋼構工程吊裝</v>
      </c>
      <c r="I22" s="7" t="str">
        <f t="shared" ref="I22" si="5">B22</f>
        <v>鋼構工程吊裝</v>
      </c>
      <c r="J22" s="18">
        <f>COUNTIF('20.鋼構工程吊裝'!E:E,"*監造*")</f>
        <v>0</v>
      </c>
      <c r="K22" s="61" t="str">
        <f t="shared" ca="1" si="3"/>
        <v/>
      </c>
      <c r="L22" s="18">
        <f>COUNTIF('20.鋼構工程吊裝'!E:E,"*業主*")</f>
        <v>0</v>
      </c>
      <c r="M22" s="61" t="str">
        <f t="shared" ca="1" si="4"/>
        <v/>
      </c>
    </row>
    <row r="23" spans="1:13" x14ac:dyDescent="0.25">
      <c r="A23" s="7">
        <f t="shared" si="0"/>
        <v>21</v>
      </c>
      <c r="B23" s="15" t="s">
        <v>186</v>
      </c>
      <c r="C23" s="7">
        <f ca="1">COUNTA('21.鋼構工程塗裝'!A:A)-4</f>
        <v>0</v>
      </c>
      <c r="G23" s="1" t="s">
        <v>213</v>
      </c>
      <c r="H23" s="1" t="str">
        <f t="shared" si="1"/>
        <v>21.鋼構工程塗裝</v>
      </c>
      <c r="I23" s="7" t="str">
        <f t="shared" si="2"/>
        <v>鋼構工程塗裝</v>
      </c>
      <c r="J23" s="18">
        <f>COUNTIF('21.鋼構工程塗裝'!E:E,"*監造*")</f>
        <v>0</v>
      </c>
      <c r="K23" s="61" t="str">
        <f t="shared" ca="1" si="3"/>
        <v/>
      </c>
      <c r="L23" s="18">
        <f>COUNTIF('21.鋼構工程塗裝'!E:E,"*業主*")</f>
        <v>0</v>
      </c>
      <c r="M23" s="61" t="str">
        <f t="shared" ca="1" si="4"/>
        <v/>
      </c>
    </row>
    <row r="24" spans="1:13" x14ac:dyDescent="0.25">
      <c r="A24" s="7">
        <f t="shared" si="0"/>
        <v>22</v>
      </c>
      <c r="B24" s="15" t="s">
        <v>187</v>
      </c>
      <c r="C24" s="7">
        <f ca="1">COUNTA('22.排水設施(一)'!A:A)-4</f>
        <v>0</v>
      </c>
      <c r="G24" s="1" t="s">
        <v>214</v>
      </c>
      <c r="H24" s="1" t="str">
        <f t="shared" si="1"/>
        <v>22.排水設施(一)</v>
      </c>
      <c r="I24" s="7" t="str">
        <f t="shared" ref="I24:I31" si="6">B24</f>
        <v>排水設施(一)</v>
      </c>
      <c r="J24" s="18">
        <f>COUNTIF('22.排水設施(一)'!E:E,"*監造*")</f>
        <v>0</v>
      </c>
      <c r="K24" s="61" t="str">
        <f t="shared" ca="1" si="3"/>
        <v/>
      </c>
      <c r="L24" s="18">
        <f>COUNTIF('22.排水設施(一)'!E:E,"*業主*")</f>
        <v>0</v>
      </c>
      <c r="M24" s="61" t="str">
        <f t="shared" ca="1" si="4"/>
        <v/>
      </c>
    </row>
    <row r="25" spans="1:13" x14ac:dyDescent="0.25">
      <c r="A25" s="7">
        <f t="shared" si="0"/>
        <v>23</v>
      </c>
      <c r="B25" s="15" t="s">
        <v>188</v>
      </c>
      <c r="C25" s="7">
        <f ca="1">COUNTA('23.排水設施(二)'!A:A)-4</f>
        <v>0</v>
      </c>
      <c r="G25" s="1" t="s">
        <v>215</v>
      </c>
      <c r="H25" s="1" t="str">
        <f t="shared" si="1"/>
        <v>23.排水設施(二)</v>
      </c>
      <c r="I25" s="7" t="str">
        <f t="shared" si="6"/>
        <v>排水設施(二)</v>
      </c>
      <c r="J25" s="18">
        <f>COUNTIF('23.排水設施(二)'!E:E,"*監造*")</f>
        <v>0</v>
      </c>
      <c r="K25" s="61" t="str">
        <f t="shared" ca="1" si="3"/>
        <v/>
      </c>
      <c r="L25" s="18">
        <f>COUNTIF('23.排水設施(二)'!E:E,"*業主*")</f>
        <v>0</v>
      </c>
      <c r="M25" s="61" t="str">
        <f t="shared" ca="1" si="4"/>
        <v/>
      </c>
    </row>
    <row r="26" spans="1:13" x14ac:dyDescent="0.25">
      <c r="A26" s="7">
        <f t="shared" si="0"/>
        <v>24</v>
      </c>
      <c r="B26" s="15" t="s">
        <v>189</v>
      </c>
      <c r="C26" s="7">
        <f ca="1">COUNTA('24.木構造'!A:A)-4</f>
        <v>0</v>
      </c>
      <c r="G26" s="1" t="s">
        <v>216</v>
      </c>
      <c r="H26" s="1" t="str">
        <f t="shared" si="1"/>
        <v>24.木構造</v>
      </c>
      <c r="I26" s="7" t="str">
        <f t="shared" si="6"/>
        <v>木構造</v>
      </c>
      <c r="J26" s="18">
        <f>COUNTIF('24.木構造'!E:E,"*監造*")</f>
        <v>0</v>
      </c>
      <c r="K26" s="61" t="str">
        <f t="shared" ca="1" si="3"/>
        <v/>
      </c>
      <c r="L26" s="18">
        <f>COUNTIF('24.木構造'!E:E,"*業主*")</f>
        <v>0</v>
      </c>
      <c r="M26" s="61" t="str">
        <f t="shared" ca="1" si="4"/>
        <v/>
      </c>
    </row>
    <row r="27" spans="1:13" x14ac:dyDescent="0.25">
      <c r="A27" s="7">
        <f t="shared" si="0"/>
        <v>25</v>
      </c>
      <c r="B27" s="15" t="s">
        <v>190</v>
      </c>
      <c r="C27" s="7">
        <f ca="1">COUNTA('25.管路'!A:A)-4</f>
        <v>0</v>
      </c>
      <c r="G27" s="1" t="s">
        <v>217</v>
      </c>
      <c r="H27" s="1" t="str">
        <f t="shared" si="1"/>
        <v>25.管路</v>
      </c>
      <c r="I27" s="7" t="str">
        <f t="shared" si="6"/>
        <v>管路</v>
      </c>
      <c r="J27" s="18">
        <f>COUNTIF('25.管路'!E:E,"*監造*")</f>
        <v>0</v>
      </c>
      <c r="K27" s="61" t="str">
        <f t="shared" ca="1" si="3"/>
        <v/>
      </c>
      <c r="L27" s="18">
        <f>COUNTIF('25.管路'!E:E,"*業主*")</f>
        <v>0</v>
      </c>
      <c r="M27" s="61" t="str">
        <f t="shared" ca="1" si="4"/>
        <v/>
      </c>
    </row>
    <row r="28" spans="1:13" x14ac:dyDescent="0.25">
      <c r="A28" s="7">
        <f t="shared" si="0"/>
        <v>26</v>
      </c>
      <c r="B28" s="15" t="s">
        <v>340</v>
      </c>
      <c r="C28" s="7">
        <f ca="1">COUNTA('26.植栽(移植)'!A:A)-4</f>
        <v>7</v>
      </c>
      <c r="G28" s="1" t="s">
        <v>218</v>
      </c>
      <c r="H28" s="1" t="str">
        <f t="shared" si="1"/>
        <v>26.植栽(移植)</v>
      </c>
      <c r="I28" s="7" t="str">
        <f t="shared" si="6"/>
        <v>植栽(移植)</v>
      </c>
      <c r="J28" s="18">
        <f>COUNTIF('26.植栽(移植)'!E:E,"*監造*")</f>
        <v>3</v>
      </c>
      <c r="K28" s="61">
        <f t="shared" ca="1" si="3"/>
        <v>0.42857142857142855</v>
      </c>
      <c r="L28" s="18">
        <f>COUNTIF('26.植栽(移植)'!E:E,"*業主*")</f>
        <v>0</v>
      </c>
      <c r="M28" s="61">
        <f t="shared" ca="1" si="4"/>
        <v>0</v>
      </c>
    </row>
    <row r="29" spans="1:13" x14ac:dyDescent="0.25">
      <c r="A29" s="7">
        <f t="shared" si="0"/>
        <v>27</v>
      </c>
      <c r="B29" s="15" t="s">
        <v>341</v>
      </c>
      <c r="C29" s="7">
        <f ca="1">COUNTA('27.植栽(新植)'!A:A)-4</f>
        <v>0</v>
      </c>
      <c r="G29" s="1" t="s">
        <v>219</v>
      </c>
      <c r="H29" s="1" t="str">
        <f t="shared" si="1"/>
        <v>27.植栽(新植)</v>
      </c>
      <c r="I29" s="7" t="str">
        <f t="shared" si="6"/>
        <v>植栽(新植)</v>
      </c>
      <c r="J29" s="18">
        <f>COUNTIF('27.植栽(新植)'!E:E,"*監造*")</f>
        <v>0</v>
      </c>
      <c r="K29" s="61" t="str">
        <f t="shared" ca="1" si="3"/>
        <v/>
      </c>
      <c r="L29" s="18">
        <f>COUNTIF('27.植栽(新植)'!E:E,"*業主*")</f>
        <v>0</v>
      </c>
      <c r="M29" s="61" t="str">
        <f t="shared" ca="1" si="4"/>
        <v/>
      </c>
    </row>
    <row r="30" spans="1:13" x14ac:dyDescent="0.25">
      <c r="A30" s="7">
        <f t="shared" si="0"/>
        <v>28</v>
      </c>
      <c r="B30" s="15" t="s">
        <v>342</v>
      </c>
      <c r="C30" s="7">
        <f ca="1">COUNTA('28.照明'!A:A)-4</f>
        <v>0</v>
      </c>
      <c r="H30" s="1" t="str">
        <f t="shared" si="1"/>
        <v>28.照明</v>
      </c>
      <c r="I30" s="7" t="str">
        <f t="shared" si="6"/>
        <v>照明</v>
      </c>
      <c r="J30" s="18">
        <f>COUNTIF('28.照明'!E:E,"*監造*")</f>
        <v>0</v>
      </c>
      <c r="K30" s="61" t="str">
        <f t="shared" ca="1" si="3"/>
        <v/>
      </c>
      <c r="L30" s="18">
        <f>COUNTIF('28.照明'!E:E,"*業主*")</f>
        <v>0</v>
      </c>
      <c r="M30" s="61" t="str">
        <f t="shared" ca="1" si="4"/>
        <v/>
      </c>
    </row>
    <row r="31" spans="1:13" ht="17.25" thickBot="1" x14ac:dyDescent="0.3">
      <c r="A31" s="7">
        <f t="shared" si="0"/>
        <v>29</v>
      </c>
      <c r="B31" s="15" t="s">
        <v>191</v>
      </c>
      <c r="C31" s="7">
        <f ca="1">COUNTA('29.既有橋梁拆除'!A:A)-4</f>
        <v>14</v>
      </c>
      <c r="G31" s="1" t="s">
        <v>220</v>
      </c>
      <c r="H31" s="1" t="str">
        <f t="shared" si="1"/>
        <v>29.既有橋梁拆除</v>
      </c>
      <c r="I31" s="7" t="str">
        <f t="shared" si="6"/>
        <v>既有橋梁拆除</v>
      </c>
      <c r="J31" s="18">
        <f>COUNTIF('29.既有橋梁拆除'!E:E,"*監造*")</f>
        <v>5</v>
      </c>
      <c r="K31" s="61">
        <f t="shared" ca="1" si="3"/>
        <v>0.35714285714285715</v>
      </c>
      <c r="L31" s="18">
        <f>COUNTIF('29.既有橋梁拆除'!E:E,"*業主*")</f>
        <v>0</v>
      </c>
      <c r="M31" s="61">
        <f t="shared" ca="1" si="4"/>
        <v>0</v>
      </c>
    </row>
    <row r="32" spans="1:13" ht="17.25" thickBot="1" x14ac:dyDescent="0.3">
      <c r="A32" s="106" t="s">
        <v>23</v>
      </c>
      <c r="B32" s="107"/>
      <c r="C32" s="11">
        <f ca="1">SUM(C3:C31)</f>
        <v>107</v>
      </c>
    </row>
  </sheetData>
  <mergeCells count="4">
    <mergeCell ref="A1:C1"/>
    <mergeCell ref="A32:B32"/>
    <mergeCell ref="J2:K2"/>
    <mergeCell ref="L2:M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CF40-0A6D-4278-95E5-A93A76721D65}">
  <sheetPr codeName="工作表6"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E14" sqref="E14"/>
      <selection pane="bottomLeft" activeCell="B12" sqref="B12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\\上溢北投\d\雲端\A.上溢\1.磺港溪再造C段護岸及步道整建工程（延壽橋至三合橋）\9.施工\4.自主檢查\自主檢查統計\[磺港溪C-A自主檢查統計1130401.xlsx]1.測量放樣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1.測量放樣</v>
      </c>
    </row>
    <row r="3" spans="1:7" ht="21" x14ac:dyDescent="0.25">
      <c r="A3" s="111" t="str">
        <f ca="1">G13&amp;"自主檢查表統計"</f>
        <v>測量放樣自主檢查表統計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1測量放樣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1測量放樣</v>
      </c>
    </row>
    <row r="5" spans="1:7" x14ac:dyDescent="0.25">
      <c r="A5" s="3">
        <f t="shared" ref="A5:A12" si="1">ROW()-4</f>
        <v>1</v>
      </c>
      <c r="B5" s="3" t="s">
        <v>164</v>
      </c>
      <c r="C5" s="13">
        <v>45243</v>
      </c>
      <c r="D5" s="3" t="s">
        <v>355</v>
      </c>
      <c r="E5" s="3" t="s">
        <v>27</v>
      </c>
      <c r="F5" s="1">
        <v>1</v>
      </c>
      <c r="G5" s="1" t="str">
        <f t="shared" ca="1" si="0"/>
        <v>測量放樣</v>
      </c>
    </row>
    <row r="6" spans="1:7" x14ac:dyDescent="0.25">
      <c r="A6" s="3">
        <f t="shared" si="1"/>
        <v>2</v>
      </c>
      <c r="B6" s="3" t="s">
        <v>163</v>
      </c>
      <c r="C6" s="13">
        <v>45250</v>
      </c>
      <c r="D6" s="3" t="s">
        <v>354</v>
      </c>
      <c r="E6" s="3" t="s">
        <v>27</v>
      </c>
      <c r="F6" s="1">
        <v>2</v>
      </c>
      <c r="G6" s="1" t="str">
        <f t="shared" ca="1" si="0"/>
        <v>測量放樣</v>
      </c>
    </row>
    <row r="7" spans="1:7" x14ac:dyDescent="0.25">
      <c r="A7" s="3">
        <f t="shared" si="1"/>
        <v>3</v>
      </c>
      <c r="B7" s="3" t="s">
        <v>221</v>
      </c>
      <c r="C7" s="13">
        <v>45262</v>
      </c>
      <c r="D7" s="3" t="s">
        <v>355</v>
      </c>
      <c r="E7" s="3" t="s">
        <v>27</v>
      </c>
      <c r="F7" s="1">
        <v>3</v>
      </c>
      <c r="G7" s="1" t="str">
        <f t="shared" ca="1" si="0"/>
        <v>測量放樣</v>
      </c>
    </row>
    <row r="8" spans="1:7" x14ac:dyDescent="0.25">
      <c r="A8" s="3">
        <f t="shared" si="1"/>
        <v>4</v>
      </c>
      <c r="B8" s="3" t="s">
        <v>222</v>
      </c>
      <c r="C8" s="13">
        <v>45263</v>
      </c>
      <c r="D8" s="3" t="s">
        <v>354</v>
      </c>
      <c r="E8" s="3"/>
      <c r="F8" s="1">
        <v>4</v>
      </c>
      <c r="G8" s="1" t="str">
        <f t="shared" ca="1" si="0"/>
        <v>測量放樣</v>
      </c>
    </row>
    <row r="9" spans="1:7" x14ac:dyDescent="0.25">
      <c r="A9" s="3">
        <f t="shared" si="1"/>
        <v>5</v>
      </c>
      <c r="B9" s="3" t="s">
        <v>223</v>
      </c>
      <c r="C9" s="13">
        <v>45297</v>
      </c>
      <c r="D9" s="3" t="s">
        <v>353</v>
      </c>
      <c r="E9" s="3" t="s">
        <v>27</v>
      </c>
      <c r="F9" s="1">
        <v>5</v>
      </c>
      <c r="G9" s="1" t="str">
        <f t="shared" ca="1" si="0"/>
        <v>測量放樣</v>
      </c>
    </row>
    <row r="10" spans="1:7" x14ac:dyDescent="0.25">
      <c r="A10" s="3">
        <f t="shared" si="1"/>
        <v>6</v>
      </c>
      <c r="B10" s="3" t="s">
        <v>380</v>
      </c>
      <c r="C10" s="13">
        <v>45338</v>
      </c>
      <c r="D10" s="3" t="s">
        <v>379</v>
      </c>
      <c r="E10" s="3"/>
      <c r="F10" s="1">
        <v>6</v>
      </c>
      <c r="G10" s="1" t="str">
        <f t="shared" ca="1" si="0"/>
        <v>測量放樣</v>
      </c>
    </row>
    <row r="11" spans="1:7" x14ac:dyDescent="0.25">
      <c r="A11" s="3">
        <f t="shared" si="1"/>
        <v>7</v>
      </c>
      <c r="B11" s="3" t="s">
        <v>410</v>
      </c>
      <c r="C11" s="13">
        <v>45355</v>
      </c>
      <c r="D11" s="3" t="s">
        <v>409</v>
      </c>
      <c r="E11" s="3"/>
      <c r="F11" s="1">
        <v>7</v>
      </c>
      <c r="G11" s="1" t="str">
        <f t="shared" ca="1" si="0"/>
        <v>測量放樣</v>
      </c>
    </row>
    <row r="12" spans="1:7" x14ac:dyDescent="0.25">
      <c r="A12" s="3">
        <f t="shared" si="1"/>
        <v>8</v>
      </c>
      <c r="B12" s="3" t="s">
        <v>479</v>
      </c>
      <c r="C12" s="13">
        <v>45365</v>
      </c>
      <c r="D12" s="3" t="s">
        <v>444</v>
      </c>
      <c r="E12" s="3"/>
      <c r="F12" s="1">
        <v>8</v>
      </c>
      <c r="G12" s="1" t="str">
        <f t="shared" ca="1" si="0"/>
        <v>測量放樣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測量放樣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2:E2"/>
    <mergeCell ref="A3:E3"/>
    <mergeCell ref="A1:E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E4E0-CBFB-4D87-90DD-D8EBB17BFBE2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15" activePane="bottomLeft" state="frozen"/>
      <selection activeCell="C14" sqref="C14"/>
      <selection pane="bottomLeft" activeCell="D15" sqref="D15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\\上溢北投\d\雲端\A.上溢\1.磺港溪再造C段護岸及步道整建工程（延壽橋至三合橋）\9.施工\4.自主檢查\自主檢查統計\[磺港溪C-A自主檢查統計1130401.xlsx]2.土方開挖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2.土方開挖</v>
      </c>
    </row>
    <row r="3" spans="1:7" ht="21" x14ac:dyDescent="0.25">
      <c r="A3" s="111" t="str">
        <f ca="1">G13&amp;"自主檢查表統計"</f>
        <v>土方開挖自主檢查表統計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2土方開挖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2土方開挖</v>
      </c>
    </row>
    <row r="5" spans="1:7" x14ac:dyDescent="0.25">
      <c r="A5" s="3">
        <f t="shared" ref="A5:A24" si="1">ROW()-4</f>
        <v>1</v>
      </c>
      <c r="B5" s="3" t="s">
        <v>169</v>
      </c>
      <c r="C5" s="13">
        <v>45238</v>
      </c>
      <c r="D5" s="3" t="s">
        <v>357</v>
      </c>
      <c r="E5" s="3" t="s">
        <v>27</v>
      </c>
      <c r="F5" s="1">
        <v>1</v>
      </c>
      <c r="G5" s="1" t="str">
        <f t="shared" ca="1" si="0"/>
        <v>2土方開挖</v>
      </c>
    </row>
    <row r="6" spans="1:7" x14ac:dyDescent="0.25">
      <c r="A6" s="3">
        <f t="shared" si="1"/>
        <v>2</v>
      </c>
      <c r="B6" s="3" t="s">
        <v>165</v>
      </c>
      <c r="C6" s="13">
        <v>45243</v>
      </c>
      <c r="D6" s="3" t="s">
        <v>357</v>
      </c>
      <c r="E6" s="3" t="s">
        <v>27</v>
      </c>
      <c r="F6" s="1">
        <v>2</v>
      </c>
      <c r="G6" s="1" t="str">
        <f t="shared" ca="1" si="0"/>
        <v>土方開挖</v>
      </c>
    </row>
    <row r="7" spans="1:7" x14ac:dyDescent="0.25">
      <c r="A7" s="3">
        <f t="shared" si="1"/>
        <v>3</v>
      </c>
      <c r="B7" s="3" t="s">
        <v>166</v>
      </c>
      <c r="C7" s="13">
        <v>45246</v>
      </c>
      <c r="D7" s="3" t="s">
        <v>357</v>
      </c>
      <c r="E7" s="3"/>
      <c r="F7" s="1">
        <v>3</v>
      </c>
      <c r="G7" s="1" t="str">
        <f t="shared" ca="1" si="0"/>
        <v>土方開挖</v>
      </c>
    </row>
    <row r="8" spans="1:7" x14ac:dyDescent="0.25">
      <c r="A8" s="3">
        <f t="shared" si="1"/>
        <v>4</v>
      </c>
      <c r="B8" s="3" t="s">
        <v>170</v>
      </c>
      <c r="C8" s="13">
        <v>45252</v>
      </c>
      <c r="D8" s="3" t="s">
        <v>356</v>
      </c>
      <c r="E8" s="3" t="s">
        <v>27</v>
      </c>
      <c r="F8" s="1">
        <v>4</v>
      </c>
      <c r="G8" s="1" t="str">
        <f t="shared" ca="1" si="0"/>
        <v>土方開挖</v>
      </c>
    </row>
    <row r="9" spans="1:7" x14ac:dyDescent="0.25">
      <c r="A9" s="3">
        <f t="shared" si="1"/>
        <v>5</v>
      </c>
      <c r="B9" s="3" t="s">
        <v>167</v>
      </c>
      <c r="C9" s="13">
        <v>45253</v>
      </c>
      <c r="D9" s="3" t="s">
        <v>356</v>
      </c>
      <c r="E9" s="3"/>
      <c r="F9" s="1">
        <v>5</v>
      </c>
      <c r="G9" s="1" t="str">
        <f t="shared" ca="1" si="0"/>
        <v>土方開挖</v>
      </c>
    </row>
    <row r="10" spans="1:7" x14ac:dyDescent="0.25">
      <c r="A10" s="3">
        <f t="shared" si="1"/>
        <v>6</v>
      </c>
      <c r="B10" s="3" t="s">
        <v>168</v>
      </c>
      <c r="C10" s="13">
        <v>45257</v>
      </c>
      <c r="D10" s="3" t="s">
        <v>356</v>
      </c>
      <c r="E10" s="3"/>
      <c r="F10" s="1">
        <v>6</v>
      </c>
      <c r="G10" s="1" t="str">
        <f t="shared" ca="1" si="0"/>
        <v>土方開挖</v>
      </c>
    </row>
    <row r="11" spans="1:7" x14ac:dyDescent="0.25">
      <c r="A11" s="3">
        <f t="shared" si="1"/>
        <v>7</v>
      </c>
      <c r="B11" s="3" t="s">
        <v>224</v>
      </c>
      <c r="C11" s="13">
        <v>45264</v>
      </c>
      <c r="D11" s="3" t="s">
        <v>358</v>
      </c>
      <c r="E11" s="3" t="s">
        <v>27</v>
      </c>
      <c r="F11" s="1">
        <v>7</v>
      </c>
      <c r="G11" s="1" t="str">
        <f t="shared" ca="1" si="0"/>
        <v>土方開挖</v>
      </c>
    </row>
    <row r="12" spans="1:7" x14ac:dyDescent="0.25">
      <c r="A12" s="3">
        <f t="shared" si="1"/>
        <v>8</v>
      </c>
      <c r="B12" s="3" t="s">
        <v>225</v>
      </c>
      <c r="C12" s="13">
        <v>45265</v>
      </c>
      <c r="D12" s="3" t="s">
        <v>358</v>
      </c>
      <c r="E12" s="3"/>
      <c r="F12" s="1">
        <v>8</v>
      </c>
      <c r="G12" s="1" t="str">
        <f t="shared" ca="1" si="0"/>
        <v>土方開挖</v>
      </c>
    </row>
    <row r="13" spans="1:7" x14ac:dyDescent="0.25">
      <c r="A13" s="3">
        <f t="shared" si="1"/>
        <v>9</v>
      </c>
      <c r="B13" s="3" t="s">
        <v>226</v>
      </c>
      <c r="C13" s="13">
        <v>45266</v>
      </c>
      <c r="D13" s="3" t="s">
        <v>359</v>
      </c>
      <c r="E13" s="3" t="s">
        <v>27</v>
      </c>
      <c r="F13" s="1">
        <v>9</v>
      </c>
      <c r="G13" s="1" t="str">
        <f t="shared" ca="1" si="0"/>
        <v>土方開挖</v>
      </c>
    </row>
    <row r="14" spans="1:7" x14ac:dyDescent="0.25">
      <c r="A14" s="3">
        <f t="shared" si="1"/>
        <v>10</v>
      </c>
      <c r="B14" s="3" t="s">
        <v>227</v>
      </c>
      <c r="C14" s="13">
        <v>45267</v>
      </c>
      <c r="D14" s="3" t="s">
        <v>359</v>
      </c>
      <c r="E14" s="3"/>
    </row>
    <row r="15" spans="1:7" x14ac:dyDescent="0.25">
      <c r="A15" s="3">
        <f t="shared" si="1"/>
        <v>11</v>
      </c>
      <c r="B15" s="3" t="s">
        <v>228</v>
      </c>
      <c r="C15" s="13">
        <v>45269</v>
      </c>
      <c r="D15" s="3" t="s">
        <v>359</v>
      </c>
      <c r="E15" s="3"/>
    </row>
    <row r="16" spans="1:7" x14ac:dyDescent="0.25">
      <c r="A16" s="3">
        <f t="shared" si="1"/>
        <v>12</v>
      </c>
      <c r="B16" s="3" t="s">
        <v>229</v>
      </c>
      <c r="C16" s="13">
        <v>45270</v>
      </c>
      <c r="D16" s="3" t="s">
        <v>359</v>
      </c>
      <c r="E16" s="3" t="s">
        <v>27</v>
      </c>
    </row>
    <row r="17" spans="1:5" x14ac:dyDescent="0.25">
      <c r="A17" s="3">
        <f t="shared" si="1"/>
        <v>13</v>
      </c>
      <c r="B17" s="3" t="s">
        <v>230</v>
      </c>
      <c r="C17" s="13">
        <v>45293</v>
      </c>
      <c r="D17" s="3" t="s">
        <v>360</v>
      </c>
      <c r="E17" s="3" t="s">
        <v>27</v>
      </c>
    </row>
    <row r="18" spans="1:5" x14ac:dyDescent="0.25">
      <c r="A18" s="3">
        <f t="shared" si="1"/>
        <v>14</v>
      </c>
      <c r="B18" s="3" t="s">
        <v>231</v>
      </c>
      <c r="C18" s="13">
        <v>45294</v>
      </c>
      <c r="D18" s="3" t="s">
        <v>361</v>
      </c>
      <c r="E18" s="3"/>
    </row>
    <row r="19" spans="1:5" x14ac:dyDescent="0.25">
      <c r="A19" s="3">
        <f t="shared" si="1"/>
        <v>15</v>
      </c>
      <c r="B19" s="3" t="s">
        <v>232</v>
      </c>
      <c r="C19" s="13">
        <v>45295</v>
      </c>
      <c r="D19" s="3" t="s">
        <v>361</v>
      </c>
      <c r="E19" s="3" t="s">
        <v>27</v>
      </c>
    </row>
    <row r="20" spans="1:5" x14ac:dyDescent="0.25">
      <c r="A20" s="3">
        <f t="shared" si="1"/>
        <v>16</v>
      </c>
      <c r="B20" s="3" t="s">
        <v>374</v>
      </c>
      <c r="C20" s="13">
        <v>45338</v>
      </c>
      <c r="D20" s="3" t="s">
        <v>379</v>
      </c>
      <c r="E20" s="3"/>
    </row>
    <row r="21" spans="1:5" x14ac:dyDescent="0.25">
      <c r="A21" s="3">
        <f t="shared" si="1"/>
        <v>17</v>
      </c>
      <c r="B21" s="3" t="s">
        <v>429</v>
      </c>
      <c r="C21" s="13">
        <v>45355</v>
      </c>
      <c r="D21" s="3" t="s">
        <v>430</v>
      </c>
      <c r="E21" s="3"/>
    </row>
    <row r="22" spans="1:5" x14ac:dyDescent="0.25">
      <c r="A22" s="3">
        <f t="shared" si="1"/>
        <v>18</v>
      </c>
      <c r="B22" s="3" t="s">
        <v>431</v>
      </c>
      <c r="C22" s="13">
        <v>45362</v>
      </c>
      <c r="D22" s="3" t="s">
        <v>434</v>
      </c>
      <c r="E22" s="3"/>
    </row>
    <row r="23" spans="1:5" x14ac:dyDescent="0.25">
      <c r="A23" s="3">
        <f t="shared" si="1"/>
        <v>19</v>
      </c>
      <c r="B23" s="3" t="s">
        <v>432</v>
      </c>
      <c r="C23" s="13">
        <v>45363</v>
      </c>
      <c r="D23" s="3" t="s">
        <v>434</v>
      </c>
      <c r="E23" s="3"/>
    </row>
    <row r="24" spans="1:5" x14ac:dyDescent="0.25">
      <c r="A24" s="3">
        <f t="shared" si="1"/>
        <v>20</v>
      </c>
      <c r="B24" s="3" t="s">
        <v>433</v>
      </c>
      <c r="C24" s="13">
        <v>45364</v>
      </c>
      <c r="D24" s="3" t="s">
        <v>435</v>
      </c>
      <c r="E24" s="3"/>
    </row>
    <row r="25" spans="1:5" x14ac:dyDescent="0.25">
      <c r="A25" s="3"/>
      <c r="B25" s="3"/>
      <c r="C25" s="13">
        <v>45364</v>
      </c>
      <c r="D25" s="3" t="s">
        <v>436</v>
      </c>
      <c r="E25" s="3" t="s">
        <v>294</v>
      </c>
    </row>
    <row r="26" spans="1:5" x14ac:dyDescent="0.25">
      <c r="A26" s="3">
        <f>ROW()-5</f>
        <v>21</v>
      </c>
      <c r="B26" s="3" t="s">
        <v>443</v>
      </c>
      <c r="C26" s="13">
        <v>45365</v>
      </c>
      <c r="D26" s="3" t="s">
        <v>444</v>
      </c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E245-DC58-420F-99DC-CD88FB192E87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\\上溢北投\d\雲端\A.上溢\1.磺港溪再造C段護岸及步道整建工程（延壽橋至三合橋）\9.施工\4.自主檢查\自主檢查統計\[磺港溪C-A自主檢查統計1130401.xlsx]3.土方回填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3.土方回填</v>
      </c>
    </row>
    <row r="3" spans="1:7" ht="21" x14ac:dyDescent="0.25">
      <c r="A3" s="111" t="str">
        <f ca="1">G13&amp;"自主檢查表統計"</f>
        <v>土方回填自主檢查表統計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3土方回填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3土方回填</v>
      </c>
    </row>
    <row r="5" spans="1:7" x14ac:dyDescent="0.25">
      <c r="A5" s="3"/>
      <c r="B5" s="3" t="s">
        <v>145</v>
      </c>
      <c r="C5" s="13"/>
      <c r="D5" s="3"/>
      <c r="E5" s="3"/>
      <c r="F5" s="1">
        <v>1</v>
      </c>
      <c r="G5" s="1" t="str">
        <f t="shared" ca="1" si="0"/>
        <v>3土方回填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3土方回填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土方回填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土方回填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土方回填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土方回填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土方回填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土方回填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土方回填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E269-7388-4166-85F8-9A465BD9FB21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13" activePane="bottomLeft" state="frozen"/>
      <selection activeCell="C14" sqref="C14"/>
      <selection pane="bottomLeft" activeCell="C21" sqref="C21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\\上溢北投\d\雲端\A.上溢\1.磺港溪再造C段護岸及步道整建工程（延壽橋至三合橋）\9.施工\4.自主檢查\自主檢查統計\[磺港溪C-A自主檢查統計1130401.xlsx]4.鋼筋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4.鋼筋</v>
      </c>
    </row>
    <row r="3" spans="1:7" ht="21" x14ac:dyDescent="0.25">
      <c r="A3" s="111" t="str">
        <f ca="1">G13&amp;"自主檢查表統計"</f>
        <v>鋼筋自主檢查表統計</v>
      </c>
      <c r="B3" s="111"/>
      <c r="C3" s="111"/>
      <c r="D3" s="111"/>
      <c r="E3" s="111"/>
      <c r="F3" s="1" t="s">
        <v>144</v>
      </c>
      <c r="G3" s="1" t="str">
        <f t="shared" ref="G3:G6" ca="1" si="0">SUBSTITUTE(G2,F3,"")</f>
        <v>4鋼筋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4鋼筋</v>
      </c>
    </row>
    <row r="5" spans="1:7" x14ac:dyDescent="0.25">
      <c r="A5" s="3">
        <f>ROW()-4</f>
        <v>1</v>
      </c>
      <c r="B5" s="3" t="s">
        <v>299</v>
      </c>
      <c r="C5" s="13">
        <v>45285</v>
      </c>
      <c r="D5" s="3" t="s">
        <v>241</v>
      </c>
      <c r="E5" s="3"/>
      <c r="F5" s="1">
        <v>1</v>
      </c>
      <c r="G5" s="1" t="str">
        <f t="shared" ca="1" si="0"/>
        <v>4鋼筋</v>
      </c>
    </row>
    <row r="6" spans="1:7" x14ac:dyDescent="0.25">
      <c r="A6" s="3">
        <f t="shared" ref="A6:A20" si="1">ROW()-4</f>
        <v>2</v>
      </c>
      <c r="B6" s="3" t="s">
        <v>300</v>
      </c>
      <c r="C6" s="13">
        <v>45286</v>
      </c>
      <c r="D6" s="3" t="s">
        <v>241</v>
      </c>
      <c r="E6" s="3" t="s">
        <v>27</v>
      </c>
      <c r="F6" s="1">
        <v>2</v>
      </c>
      <c r="G6" s="1" t="str">
        <f t="shared" ca="1" si="0"/>
        <v>4鋼筋</v>
      </c>
    </row>
    <row r="7" spans="1:7" x14ac:dyDescent="0.25">
      <c r="A7" s="3">
        <f t="shared" si="1"/>
        <v>3</v>
      </c>
      <c r="B7" s="3" t="s">
        <v>386</v>
      </c>
      <c r="C7" s="13">
        <v>45286</v>
      </c>
      <c r="D7" s="3" t="s">
        <v>373</v>
      </c>
      <c r="E7" s="3" t="s">
        <v>27</v>
      </c>
      <c r="F7" s="1">
        <v>3</v>
      </c>
      <c r="G7" s="1" t="str">
        <f t="shared" ref="G7:G13" ca="1" si="2">SUBSTITUTE(G6,F7,"")</f>
        <v>4鋼筋</v>
      </c>
    </row>
    <row r="8" spans="1:7" x14ac:dyDescent="0.25">
      <c r="A8" s="3">
        <f t="shared" si="1"/>
        <v>4</v>
      </c>
      <c r="B8" s="3" t="s">
        <v>301</v>
      </c>
      <c r="C8" s="13">
        <v>45299</v>
      </c>
      <c r="D8" s="3" t="s">
        <v>246</v>
      </c>
      <c r="E8" s="3" t="s">
        <v>27</v>
      </c>
      <c r="F8" s="1">
        <v>4</v>
      </c>
      <c r="G8" s="1" t="str">
        <f t="shared" ca="1" si="2"/>
        <v>鋼筋</v>
      </c>
    </row>
    <row r="9" spans="1:7" x14ac:dyDescent="0.25">
      <c r="A9" s="3">
        <f t="shared" si="1"/>
        <v>5</v>
      </c>
      <c r="B9" s="3" t="s">
        <v>382</v>
      </c>
      <c r="C9" s="13">
        <v>45300</v>
      </c>
      <c r="D9" s="3" t="s">
        <v>244</v>
      </c>
      <c r="E9" s="3" t="s">
        <v>27</v>
      </c>
      <c r="F9" s="1">
        <v>5</v>
      </c>
      <c r="G9" s="1" t="str">
        <f t="shared" ca="1" si="2"/>
        <v>鋼筋</v>
      </c>
    </row>
    <row r="10" spans="1:7" x14ac:dyDescent="0.25">
      <c r="A10" s="3">
        <f t="shared" si="1"/>
        <v>6</v>
      </c>
      <c r="B10" s="3" t="s">
        <v>302</v>
      </c>
      <c r="C10" s="13">
        <v>45307</v>
      </c>
      <c r="D10" s="3" t="s">
        <v>252</v>
      </c>
      <c r="E10" s="3" t="s">
        <v>381</v>
      </c>
      <c r="F10" s="1">
        <v>6</v>
      </c>
      <c r="G10" s="1" t="str">
        <f t="shared" ca="1" si="2"/>
        <v>鋼筋</v>
      </c>
    </row>
    <row r="11" spans="1:7" x14ac:dyDescent="0.25">
      <c r="A11" s="3">
        <f t="shared" si="1"/>
        <v>7</v>
      </c>
      <c r="B11" s="3" t="s">
        <v>303</v>
      </c>
      <c r="C11" s="13">
        <v>45310</v>
      </c>
      <c r="D11" s="3" t="s">
        <v>296</v>
      </c>
      <c r="E11" s="3" t="s">
        <v>27</v>
      </c>
      <c r="F11" s="1">
        <v>7</v>
      </c>
      <c r="G11" s="1" t="str">
        <f t="shared" ca="1" si="2"/>
        <v>鋼筋</v>
      </c>
    </row>
    <row r="12" spans="1:7" x14ac:dyDescent="0.25">
      <c r="A12" s="3">
        <f t="shared" si="1"/>
        <v>8</v>
      </c>
      <c r="B12" s="3" t="s">
        <v>304</v>
      </c>
      <c r="C12" s="13">
        <v>45310</v>
      </c>
      <c r="D12" s="3" t="s">
        <v>297</v>
      </c>
      <c r="E12" s="3" t="s">
        <v>27</v>
      </c>
      <c r="F12" s="1">
        <v>8</v>
      </c>
      <c r="G12" s="1" t="str">
        <f t="shared" ca="1" si="2"/>
        <v>鋼筋</v>
      </c>
    </row>
    <row r="13" spans="1:7" x14ac:dyDescent="0.25">
      <c r="A13" s="3">
        <f t="shared" si="1"/>
        <v>9</v>
      </c>
      <c r="B13" s="3" t="s">
        <v>305</v>
      </c>
      <c r="C13" s="13">
        <v>45310</v>
      </c>
      <c r="D13" s="3" t="s">
        <v>298</v>
      </c>
      <c r="E13" s="3" t="s">
        <v>27</v>
      </c>
      <c r="F13" s="1">
        <v>9</v>
      </c>
      <c r="G13" s="1" t="str">
        <f t="shared" ca="1" si="2"/>
        <v>鋼筋</v>
      </c>
    </row>
    <row r="14" spans="1:7" x14ac:dyDescent="0.25">
      <c r="A14" s="3">
        <f t="shared" si="1"/>
        <v>10</v>
      </c>
      <c r="B14" s="3" t="s">
        <v>383</v>
      </c>
      <c r="C14" s="13">
        <v>45321</v>
      </c>
      <c r="D14" s="3" t="s">
        <v>370</v>
      </c>
      <c r="E14" s="3" t="s">
        <v>27</v>
      </c>
    </row>
    <row r="15" spans="1:7" x14ac:dyDescent="0.25">
      <c r="A15" s="3">
        <f t="shared" si="1"/>
        <v>11</v>
      </c>
      <c r="B15" s="3" t="s">
        <v>384</v>
      </c>
      <c r="C15" s="13">
        <v>45321</v>
      </c>
      <c r="D15" s="3" t="s">
        <v>372</v>
      </c>
      <c r="E15" s="3" t="s">
        <v>27</v>
      </c>
    </row>
    <row r="16" spans="1:7" x14ac:dyDescent="0.25">
      <c r="A16" s="3">
        <f t="shared" si="1"/>
        <v>12</v>
      </c>
      <c r="B16" s="3" t="s">
        <v>385</v>
      </c>
      <c r="C16" s="13">
        <v>45321</v>
      </c>
      <c r="D16" s="3" t="s">
        <v>371</v>
      </c>
      <c r="E16" s="3" t="s">
        <v>27</v>
      </c>
    </row>
    <row r="17" spans="1:5" x14ac:dyDescent="0.25">
      <c r="A17" s="3">
        <f t="shared" si="1"/>
        <v>13</v>
      </c>
      <c r="B17" s="3" t="s">
        <v>387</v>
      </c>
      <c r="C17" s="13">
        <v>45342</v>
      </c>
      <c r="D17" s="3" t="s">
        <v>388</v>
      </c>
      <c r="E17" s="3" t="s">
        <v>27</v>
      </c>
    </row>
    <row r="18" spans="1:5" x14ac:dyDescent="0.25">
      <c r="A18" s="3">
        <f t="shared" si="1"/>
        <v>14</v>
      </c>
      <c r="B18" s="3" t="s">
        <v>412</v>
      </c>
      <c r="C18" s="13">
        <v>45357</v>
      </c>
      <c r="D18" s="3" t="s">
        <v>413</v>
      </c>
      <c r="E18" s="3" t="s">
        <v>27</v>
      </c>
    </row>
    <row r="19" spans="1:5" x14ac:dyDescent="0.25">
      <c r="A19" s="3">
        <f t="shared" si="1"/>
        <v>15</v>
      </c>
      <c r="B19" s="3" t="s">
        <v>437</v>
      </c>
      <c r="C19" s="13">
        <v>45363</v>
      </c>
      <c r="D19" s="3" t="s">
        <v>438</v>
      </c>
      <c r="E19" s="3" t="s">
        <v>27</v>
      </c>
    </row>
    <row r="20" spans="1:5" x14ac:dyDescent="0.25">
      <c r="A20" s="3">
        <f t="shared" si="1"/>
        <v>16</v>
      </c>
      <c r="B20" s="3" t="s">
        <v>482</v>
      </c>
      <c r="C20" s="13">
        <v>45377</v>
      </c>
      <c r="D20" s="3" t="s">
        <v>480</v>
      </c>
      <c r="E20" s="3" t="s">
        <v>27</v>
      </c>
    </row>
    <row r="21" spans="1:5" x14ac:dyDescent="0.25">
      <c r="A21" s="3"/>
      <c r="B21" s="3"/>
      <c r="C21" s="13">
        <v>45377</v>
      </c>
      <c r="D21" s="3" t="s">
        <v>484</v>
      </c>
      <c r="E21" s="3" t="s">
        <v>242</v>
      </c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7B41-C168-4FB4-A85F-67E395F3D374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A8" sqref="A8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\\上溢北投\d\雲端\A.上溢\1.磺港溪再造C段護岸及步道整建工程（延壽橋至三合橋）\9.施工\4.自主檢查\自主檢查統計\[磺港溪C-A自主檢查統計1130401.xlsx]5.模板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5.模板</v>
      </c>
    </row>
    <row r="3" spans="1:7" ht="21" x14ac:dyDescent="0.25">
      <c r="A3" s="111" t="str">
        <f ca="1">G13&amp;"自主檢查表統計"</f>
        <v>模板自主檢查表統計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5模板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5模板</v>
      </c>
    </row>
    <row r="5" spans="1:7" x14ac:dyDescent="0.25">
      <c r="A5" s="3">
        <f t="shared" ref="A5:A8" si="1">ROW()-4</f>
        <v>1</v>
      </c>
      <c r="B5" s="3" t="s">
        <v>408</v>
      </c>
      <c r="C5" s="13">
        <v>45343</v>
      </c>
      <c r="D5" s="3" t="s">
        <v>388</v>
      </c>
      <c r="E5" s="3" t="s">
        <v>27</v>
      </c>
      <c r="F5" s="1">
        <v>1</v>
      </c>
      <c r="G5" s="1" t="str">
        <f t="shared" ca="1" si="0"/>
        <v>5模板</v>
      </c>
    </row>
    <row r="6" spans="1:7" x14ac:dyDescent="0.25">
      <c r="A6" s="3">
        <f t="shared" si="1"/>
        <v>2</v>
      </c>
      <c r="B6" s="3" t="s">
        <v>415</v>
      </c>
      <c r="C6" s="13">
        <v>45358</v>
      </c>
      <c r="D6" s="3" t="s">
        <v>413</v>
      </c>
      <c r="E6" s="3"/>
      <c r="F6" s="1">
        <v>2</v>
      </c>
      <c r="G6" s="1" t="str">
        <f t="shared" ca="1" si="0"/>
        <v>5模板</v>
      </c>
    </row>
    <row r="7" spans="1:7" x14ac:dyDescent="0.25">
      <c r="A7" s="3">
        <f t="shared" si="1"/>
        <v>3</v>
      </c>
      <c r="B7" s="3" t="s">
        <v>439</v>
      </c>
      <c r="C7" s="13">
        <v>45364</v>
      </c>
      <c r="D7" s="3" t="s">
        <v>438</v>
      </c>
      <c r="E7" s="3" t="s">
        <v>27</v>
      </c>
      <c r="F7" s="1">
        <v>3</v>
      </c>
      <c r="G7" s="1" t="str">
        <f t="shared" ca="1" si="0"/>
        <v>5模板</v>
      </c>
    </row>
    <row r="8" spans="1:7" x14ac:dyDescent="0.25">
      <c r="A8" s="3">
        <f t="shared" si="1"/>
        <v>4</v>
      </c>
      <c r="B8" s="3" t="s">
        <v>481</v>
      </c>
      <c r="C8" s="13">
        <v>45378</v>
      </c>
      <c r="D8" s="3" t="s">
        <v>480</v>
      </c>
      <c r="E8" s="3"/>
      <c r="F8" s="1">
        <v>4</v>
      </c>
      <c r="G8" s="1" t="str">
        <f t="shared" ca="1" si="0"/>
        <v>5模板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模板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模板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模板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模板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模板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4BE3-8F97-4791-B60F-7219466418DF}">
  <sheetPr>
    <tabColor theme="4" tint="-0.249977111117893"/>
    <pageSetUpPr fitToPage="1"/>
  </sheetPr>
  <dimension ref="A1:G34"/>
  <sheetViews>
    <sheetView view="pageBreakPreview" zoomScale="160" zoomScaleNormal="100" zoomScaleSheetLayoutView="160" zoomScalePageLayoutView="130" workbookViewId="0">
      <pane ySplit="4" topLeftCell="A11" activePane="bottomLeft" state="frozen"/>
      <selection activeCell="C14" sqref="C14"/>
      <selection pane="bottomLeft" activeCell="D16" sqref="D16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41.625" style="1" bestFit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\\上溢北投\d\雲端\A.上溢\1.磺港溪再造C段護岸及步道整建工程（延壽橋至三合橋）\9.施工\4.自主檢查\自主檢查統計\[磺港溪C-A自主檢查統計1130401.xlsx]6.混凝土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6.混凝土</v>
      </c>
    </row>
    <row r="3" spans="1:7" ht="21" x14ac:dyDescent="0.25">
      <c r="A3" s="111" t="str">
        <f ca="1">G13&amp;"自主檢查表統計"</f>
        <v>混凝土自主檢查表統計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6混凝土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6混凝土</v>
      </c>
    </row>
    <row r="5" spans="1:7" x14ac:dyDescent="0.25">
      <c r="A5" s="3">
        <f t="shared" ref="A5:A20" si="1">ROW()-4</f>
        <v>1</v>
      </c>
      <c r="B5" s="3" t="s">
        <v>233</v>
      </c>
      <c r="C5" s="13">
        <v>45289</v>
      </c>
      <c r="D5" s="3" t="s">
        <v>234</v>
      </c>
      <c r="E5" s="3" t="s">
        <v>27</v>
      </c>
      <c r="F5" s="1">
        <v>1</v>
      </c>
      <c r="G5" s="1" t="str">
        <f t="shared" ca="1" si="0"/>
        <v>6混凝土</v>
      </c>
    </row>
    <row r="6" spans="1:7" x14ac:dyDescent="0.25">
      <c r="A6" s="3">
        <f t="shared" si="1"/>
        <v>2</v>
      </c>
      <c r="B6" s="3" t="s">
        <v>235</v>
      </c>
      <c r="C6" s="13">
        <v>45296</v>
      </c>
      <c r="D6" s="3" t="s">
        <v>236</v>
      </c>
      <c r="E6" s="3" t="s">
        <v>27</v>
      </c>
      <c r="F6" s="1">
        <v>2</v>
      </c>
      <c r="G6" s="1" t="str">
        <f t="shared" ca="1" si="0"/>
        <v>6混凝土</v>
      </c>
    </row>
    <row r="7" spans="1:7" x14ac:dyDescent="0.25">
      <c r="A7" s="3">
        <f t="shared" si="1"/>
        <v>3</v>
      </c>
      <c r="B7" s="3" t="s">
        <v>237</v>
      </c>
      <c r="C7" s="13">
        <v>45300</v>
      </c>
      <c r="D7" s="3" t="s">
        <v>238</v>
      </c>
      <c r="E7" s="3" t="s">
        <v>27</v>
      </c>
      <c r="F7" s="1">
        <v>3</v>
      </c>
      <c r="G7" s="1" t="str">
        <f t="shared" ca="1" si="0"/>
        <v>6混凝土</v>
      </c>
    </row>
    <row r="8" spans="1:7" x14ac:dyDescent="0.25">
      <c r="A8" s="3">
        <f t="shared" si="1"/>
        <v>4</v>
      </c>
      <c r="B8" s="3" t="s">
        <v>239</v>
      </c>
      <c r="C8" s="13">
        <v>45303</v>
      </c>
      <c r="D8" s="3" t="s">
        <v>240</v>
      </c>
      <c r="E8" s="3" t="s">
        <v>294</v>
      </c>
      <c r="F8" s="1">
        <v>4</v>
      </c>
      <c r="G8" s="1" t="str">
        <f t="shared" ca="1" si="0"/>
        <v>6混凝土</v>
      </c>
    </row>
    <row r="9" spans="1:7" x14ac:dyDescent="0.25">
      <c r="A9" s="3">
        <f t="shared" si="1"/>
        <v>5</v>
      </c>
      <c r="B9" s="3" t="s">
        <v>293</v>
      </c>
      <c r="C9" s="13">
        <v>45309</v>
      </c>
      <c r="D9" s="3" t="s">
        <v>292</v>
      </c>
      <c r="E9" s="3" t="s">
        <v>27</v>
      </c>
      <c r="F9" s="1">
        <v>5</v>
      </c>
      <c r="G9" s="1" t="str">
        <f t="shared" ca="1" si="0"/>
        <v>6混凝土</v>
      </c>
    </row>
    <row r="10" spans="1:7" x14ac:dyDescent="0.25">
      <c r="A10" s="3">
        <f t="shared" si="1"/>
        <v>6</v>
      </c>
      <c r="B10" s="3" t="s">
        <v>310</v>
      </c>
      <c r="C10" s="13">
        <v>45311</v>
      </c>
      <c r="D10" s="3" t="s">
        <v>306</v>
      </c>
      <c r="E10" s="3" t="s">
        <v>27</v>
      </c>
      <c r="F10" s="1">
        <v>6</v>
      </c>
      <c r="G10" s="1" t="str">
        <f t="shared" ca="1" si="0"/>
        <v>混凝土</v>
      </c>
    </row>
    <row r="11" spans="1:7" x14ac:dyDescent="0.25">
      <c r="A11" s="3">
        <f t="shared" si="1"/>
        <v>7</v>
      </c>
      <c r="B11" s="3" t="s">
        <v>311</v>
      </c>
      <c r="C11" s="13">
        <v>45314</v>
      </c>
      <c r="D11" s="3" t="s">
        <v>307</v>
      </c>
      <c r="E11" s="3" t="s">
        <v>27</v>
      </c>
      <c r="F11" s="1">
        <v>7</v>
      </c>
      <c r="G11" s="1" t="str">
        <f t="shared" ca="1" si="0"/>
        <v>混凝土</v>
      </c>
    </row>
    <row r="12" spans="1:7" x14ac:dyDescent="0.25">
      <c r="A12" s="3">
        <f t="shared" si="1"/>
        <v>8</v>
      </c>
      <c r="B12" s="3" t="s">
        <v>343</v>
      </c>
      <c r="C12" s="13">
        <v>45320</v>
      </c>
      <c r="D12" s="3" t="s">
        <v>344</v>
      </c>
      <c r="E12" s="3" t="s">
        <v>27</v>
      </c>
      <c r="F12" s="1">
        <v>8</v>
      </c>
      <c r="G12" s="1" t="str">
        <f t="shared" ca="1" si="0"/>
        <v>混凝土</v>
      </c>
    </row>
    <row r="13" spans="1:7" x14ac:dyDescent="0.25">
      <c r="A13" s="3">
        <f t="shared" si="1"/>
        <v>9</v>
      </c>
      <c r="B13" s="3" t="s">
        <v>345</v>
      </c>
      <c r="C13" s="13">
        <v>45321</v>
      </c>
      <c r="D13" s="3" t="s">
        <v>346</v>
      </c>
      <c r="E13" s="3" t="s">
        <v>27</v>
      </c>
      <c r="F13" s="1">
        <v>9</v>
      </c>
      <c r="G13" s="1" t="str">
        <f t="shared" ca="1" si="0"/>
        <v>混凝土</v>
      </c>
    </row>
    <row r="14" spans="1:7" x14ac:dyDescent="0.25">
      <c r="A14" s="3">
        <f t="shared" si="1"/>
        <v>10</v>
      </c>
      <c r="B14" s="3" t="s">
        <v>351</v>
      </c>
      <c r="C14" s="13">
        <v>45323</v>
      </c>
      <c r="D14" s="3" t="s">
        <v>350</v>
      </c>
      <c r="E14" s="3" t="s">
        <v>27</v>
      </c>
    </row>
    <row r="15" spans="1:7" x14ac:dyDescent="0.25">
      <c r="A15" s="3">
        <f t="shared" si="1"/>
        <v>11</v>
      </c>
      <c r="B15" s="3" t="s">
        <v>375</v>
      </c>
      <c r="C15" s="13">
        <v>45339</v>
      </c>
      <c r="D15" s="3" t="s">
        <v>428</v>
      </c>
      <c r="E15" s="3" t="s">
        <v>27</v>
      </c>
    </row>
    <row r="16" spans="1:7" x14ac:dyDescent="0.25">
      <c r="A16" s="3">
        <f t="shared" si="1"/>
        <v>12</v>
      </c>
      <c r="B16" s="3" t="s">
        <v>389</v>
      </c>
      <c r="C16" s="13">
        <v>45344</v>
      </c>
      <c r="D16" s="3" t="s">
        <v>388</v>
      </c>
      <c r="E16" s="3" t="s">
        <v>27</v>
      </c>
    </row>
    <row r="17" spans="1:5" x14ac:dyDescent="0.25">
      <c r="A17" s="3">
        <f t="shared" si="1"/>
        <v>13</v>
      </c>
      <c r="B17" s="3" t="s">
        <v>411</v>
      </c>
      <c r="C17" s="13">
        <v>45356</v>
      </c>
      <c r="D17" s="3" t="s">
        <v>414</v>
      </c>
      <c r="E17" s="3"/>
    </row>
    <row r="18" spans="1:5" x14ac:dyDescent="0.25">
      <c r="A18" s="3">
        <f t="shared" si="1"/>
        <v>14</v>
      </c>
      <c r="B18" s="3" t="s">
        <v>416</v>
      </c>
      <c r="C18" s="13">
        <v>45358</v>
      </c>
      <c r="D18" s="3" t="s">
        <v>413</v>
      </c>
      <c r="E18" s="3" t="s">
        <v>27</v>
      </c>
    </row>
    <row r="19" spans="1:5" x14ac:dyDescent="0.25">
      <c r="A19" s="3">
        <f t="shared" si="1"/>
        <v>15</v>
      </c>
      <c r="B19" s="3" t="s">
        <v>440</v>
      </c>
      <c r="C19" s="13">
        <v>45364</v>
      </c>
      <c r="D19" s="3" t="s">
        <v>438</v>
      </c>
      <c r="E19" s="3" t="s">
        <v>27</v>
      </c>
    </row>
    <row r="20" spans="1:5" x14ac:dyDescent="0.25">
      <c r="A20" s="3">
        <f t="shared" si="1"/>
        <v>16</v>
      </c>
      <c r="B20" s="3" t="s">
        <v>477</v>
      </c>
      <c r="C20" s="13">
        <v>45376</v>
      </c>
      <c r="D20" s="3" t="s">
        <v>478</v>
      </c>
      <c r="E20" s="3" t="s">
        <v>27</v>
      </c>
    </row>
    <row r="21" spans="1:5" x14ac:dyDescent="0.25">
      <c r="A21" s="3">
        <f>ROW()-4</f>
        <v>17</v>
      </c>
      <c r="B21" s="3" t="s">
        <v>483</v>
      </c>
      <c r="C21" s="13">
        <v>45378</v>
      </c>
      <c r="D21" s="3" t="s">
        <v>480</v>
      </c>
      <c r="E21" s="3" t="s">
        <v>27</v>
      </c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B02C-1E4E-4F26-9453-BD2E54FA950A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\\上溢北投\d\雲端\A.上溢\1.磺港溪再造C段護岸及步道整建工程（延壽橋至三合橋）\9.施工\4.自主檢查\自主檢查統計\[磺港溪C-A自主檢查統計1130401.xlsx]7.植筋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7.植筋</v>
      </c>
    </row>
    <row r="3" spans="1:7" ht="21" x14ac:dyDescent="0.25">
      <c r="A3" s="111" t="str">
        <f ca="1">G13&amp;"自主檢查表統計"</f>
        <v>植筋自主檢查表統計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7植筋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7植筋</v>
      </c>
    </row>
    <row r="5" spans="1:7" x14ac:dyDescent="0.25">
      <c r="A5" s="3"/>
      <c r="B5" s="3" t="s">
        <v>149</v>
      </c>
      <c r="C5" s="13"/>
      <c r="D5" s="3"/>
      <c r="E5" s="3"/>
      <c r="F5" s="1">
        <v>1</v>
      </c>
      <c r="G5" s="1" t="str">
        <f t="shared" ca="1" si="0"/>
        <v>7植筋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7植筋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7植筋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7植筋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7植筋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7植筋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植筋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植筋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植筋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9862-8E2E-42B8-AD9E-F34237670B4C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6" width="9" style="1"/>
    <col min="7" max="7" width="18.375" style="1" bestFit="1" customWidth="1"/>
    <col min="8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\\上溢北投\d\雲端\A.上溢\1.磺港溪再造C段護岸及步道整建工程（延壽橋至三合橋）\9.施工\4.自主檢查\自主檢查統計\[磺港溪C-A自主檢查統計1130401.xlsx]8.預力混凝土基樁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8.預力混凝土基樁</v>
      </c>
    </row>
    <row r="3" spans="1:7" ht="21" x14ac:dyDescent="0.25">
      <c r="A3" s="111" t="str">
        <f ca="1">G13&amp;"自主檢查表統計"</f>
        <v>預力混凝土基樁自主檢查表統計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8預力混凝土基樁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8預力混凝土基樁</v>
      </c>
    </row>
    <row r="5" spans="1:7" x14ac:dyDescent="0.25">
      <c r="A5" s="3">
        <f>ROW()-4</f>
        <v>1</v>
      </c>
      <c r="B5" s="3" t="s">
        <v>406</v>
      </c>
      <c r="C5" s="13">
        <v>45285</v>
      </c>
      <c r="D5" s="3" t="s">
        <v>407</v>
      </c>
      <c r="E5" s="3" t="s">
        <v>242</v>
      </c>
      <c r="F5" s="1">
        <v>1</v>
      </c>
      <c r="G5" s="1" t="str">
        <f t="shared" ca="1" si="0"/>
        <v>8預力混凝土基樁</v>
      </c>
    </row>
    <row r="6" spans="1:7" x14ac:dyDescent="0.25">
      <c r="A6" s="3">
        <f>ROW()-4</f>
        <v>2</v>
      </c>
      <c r="B6" s="3" t="s">
        <v>248</v>
      </c>
      <c r="C6" s="13">
        <v>45287</v>
      </c>
      <c r="D6" s="3" t="s">
        <v>247</v>
      </c>
      <c r="E6" s="3" t="s">
        <v>242</v>
      </c>
      <c r="F6" s="1">
        <v>2</v>
      </c>
      <c r="G6" s="1" t="str">
        <f t="shared" ca="1" si="0"/>
        <v>8預力混凝土基樁</v>
      </c>
    </row>
    <row r="7" spans="1:7" x14ac:dyDescent="0.25">
      <c r="A7" s="3">
        <f>ROW()-4</f>
        <v>3</v>
      </c>
      <c r="B7" s="3" t="s">
        <v>249</v>
      </c>
      <c r="C7" s="13">
        <v>45288</v>
      </c>
      <c r="D7" s="3" t="s">
        <v>247</v>
      </c>
      <c r="E7" s="3"/>
      <c r="F7" s="1">
        <v>3</v>
      </c>
      <c r="G7" s="1" t="str">
        <f t="shared" ca="1" si="0"/>
        <v>8預力混凝土基樁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8預力混凝土基樁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8預力混凝土基樁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8預力混凝土基樁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8預力混凝土基樁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預力混凝土基樁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預力混凝土基樁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6D88-69AE-4839-A4DA-FABB48051DD5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\\上溢北投\d\雲端\A.上溢\1.磺港溪再造C段護岸及步道整建工程（延壽橋至三合橋）\9.施工\4.自主檢查\自主檢查統計\[磺港溪C-A自主檢查統計1130401.xlsx]9.砌塊石護岸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9.砌塊石護岸</v>
      </c>
    </row>
    <row r="3" spans="1:7" ht="21" x14ac:dyDescent="0.25">
      <c r="A3" s="111" t="str">
        <f ca="1">G13&amp;"自主檢查表統計"</f>
        <v>砌塊石護岸自主檢查表統計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9砌塊石護岸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9砌塊石護岸</v>
      </c>
    </row>
    <row r="5" spans="1:7" x14ac:dyDescent="0.25">
      <c r="A5" s="3"/>
      <c r="B5" s="3" t="s">
        <v>150</v>
      </c>
      <c r="C5" s="13"/>
      <c r="D5" s="3"/>
      <c r="E5" s="3"/>
      <c r="F5" s="1">
        <v>1</v>
      </c>
      <c r="G5" s="1" t="str">
        <f t="shared" ca="1" si="0"/>
        <v>9砌塊石護岸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9砌塊石護岸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9砌塊石護岸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9砌塊石護岸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9砌塊石護岸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9砌塊石護岸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9砌塊石護岸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9砌塊石護岸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砌塊石護岸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ADE4-B0B4-4027-8259-9F2EAF030FA7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\\上溢北投\d\雲端\A.上溢\1.磺港溪再造C段護岸及步道整建工程（延壽橋至三合橋）\9.施工\4.自主檢查\自主檢查統計\[磺港溪C-A自主檢查統計1130401.xlsx]10.低水護岸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10.低水護岸</v>
      </c>
    </row>
    <row r="3" spans="1:7" ht="21" x14ac:dyDescent="0.25">
      <c r="A3" s="111" t="str">
        <f ca="1">G13&amp;"自主檢查表統計"</f>
        <v>低水護岸自主檢查表統計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10低水護岸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1低水護岸</v>
      </c>
    </row>
    <row r="5" spans="1:7" x14ac:dyDescent="0.25">
      <c r="A5" s="3"/>
      <c r="B5" s="3" t="s">
        <v>151</v>
      </c>
      <c r="C5" s="13"/>
      <c r="D5" s="3"/>
      <c r="E5" s="3"/>
      <c r="F5" s="1">
        <v>1</v>
      </c>
      <c r="G5" s="1" t="str">
        <f t="shared" ca="1" si="0"/>
        <v>低水護岸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低水護岸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低水護岸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低水護岸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低水護岸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低水護岸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低水護岸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低水護岸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低水護岸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39D2-3222-45FA-AD33-38D452878DCC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\\上溢北投\d\雲端\A.上溢\1.磺港溪再造C段護岸及步道整建工程（延壽橋至三合橋）\9.施工\4.自主檢查\自主檢查統計\[磺港溪C-A自主檢查統計1130401.xlsx]11.固床工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11.固床工</v>
      </c>
    </row>
    <row r="3" spans="1:7" ht="21" x14ac:dyDescent="0.25">
      <c r="A3" s="111" t="str">
        <f ca="1">G13&amp;"自主檢查表統計"</f>
        <v>固床工自主檢查表統計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11固床工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11固床工</v>
      </c>
    </row>
    <row r="5" spans="1:7" x14ac:dyDescent="0.25">
      <c r="A5" s="3"/>
      <c r="B5" s="3" t="s">
        <v>141</v>
      </c>
      <c r="C5" s="13"/>
      <c r="D5" s="3"/>
      <c r="E5" s="3"/>
      <c r="F5" s="1">
        <v>1</v>
      </c>
      <c r="G5" s="1" t="str">
        <f t="shared" ca="1" si="0"/>
        <v>固床工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固床工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固床工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固床工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固床工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固床工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固床工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固床工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固床工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F824-F61E-485A-B472-912D07A8673E}">
  <sheetPr>
    <tabColor theme="4" tint="-0.249977111117893"/>
    <pageSetUpPr fitToPage="1"/>
  </sheetPr>
  <dimension ref="A1:G35"/>
  <sheetViews>
    <sheetView view="pageBreakPreview" zoomScale="160" zoomScaleNormal="100" zoomScaleSheetLayoutView="160" zoomScalePageLayoutView="130" workbookViewId="0">
      <pane ySplit="4" topLeftCell="A5" activePane="bottomLeft" state="frozen"/>
      <selection activeCell="C14" sqref="C14"/>
      <selection pane="bottomLeft" activeCell="D17" sqref="D17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\\上溢北投\d\雲端\A.上溢\1.磺港溪再造C段護岸及步道整建工程（延壽橋至三合橋）\9.施工\4.自主檢查\自主檢查統計\[磺港溪C-A自主檢查統計1130401.xlsx]12.全套管基樁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12.全套管基樁</v>
      </c>
    </row>
    <row r="3" spans="1:7" ht="21" x14ac:dyDescent="0.25">
      <c r="A3" s="111" t="str">
        <f ca="1">G11&amp;"自主檢查表統計"</f>
        <v>全套管基樁自主檢查表統計</v>
      </c>
      <c r="B3" s="111"/>
      <c r="C3" s="111"/>
      <c r="D3" s="111"/>
      <c r="E3" s="111"/>
      <c r="F3" s="1" t="s">
        <v>144</v>
      </c>
      <c r="G3" s="1" t="str">
        <f t="shared" ref="G3:G4" ca="1" si="0">SUBSTITUTE(G2,F3,"")</f>
        <v>12全套管基樁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12全套管基樁</v>
      </c>
    </row>
    <row r="5" spans="1:7" x14ac:dyDescent="0.25">
      <c r="A5" s="3">
        <f t="shared" ref="A5:A18" si="1">ROW()-4</f>
        <v>1</v>
      </c>
      <c r="B5" s="3" t="s">
        <v>250</v>
      </c>
      <c r="C5" s="13">
        <v>45289</v>
      </c>
      <c r="D5" s="3" t="s">
        <v>234</v>
      </c>
      <c r="E5" s="3" t="s">
        <v>27</v>
      </c>
      <c r="F5" s="1">
        <v>1</v>
      </c>
      <c r="G5" s="1" t="str">
        <f t="shared" ref="G5:G13" ca="1" si="2">SUBSTITUTE(G4,F5,"")</f>
        <v>2全套管基樁</v>
      </c>
    </row>
    <row r="6" spans="1:7" x14ac:dyDescent="0.25">
      <c r="A6" s="3">
        <f t="shared" si="1"/>
        <v>2</v>
      </c>
      <c r="B6" s="3" t="s">
        <v>243</v>
      </c>
      <c r="C6" s="13">
        <v>45296</v>
      </c>
      <c r="D6" s="3" t="s">
        <v>236</v>
      </c>
      <c r="E6" s="3" t="s">
        <v>27</v>
      </c>
      <c r="F6" s="1">
        <v>2</v>
      </c>
      <c r="G6" s="1" t="str">
        <f t="shared" ca="1" si="2"/>
        <v>全套管基樁</v>
      </c>
    </row>
    <row r="7" spans="1:7" x14ac:dyDescent="0.25">
      <c r="A7" s="3">
        <f t="shared" si="1"/>
        <v>3</v>
      </c>
      <c r="B7" s="3" t="s">
        <v>245</v>
      </c>
      <c r="C7" s="13">
        <v>45300</v>
      </c>
      <c r="D7" s="3" t="s">
        <v>238</v>
      </c>
      <c r="E7" s="3" t="s">
        <v>27</v>
      </c>
      <c r="F7" s="1">
        <v>3</v>
      </c>
      <c r="G7" s="1" t="str">
        <f t="shared" ca="1" si="2"/>
        <v>全套管基樁</v>
      </c>
    </row>
    <row r="8" spans="1:7" x14ac:dyDescent="0.25">
      <c r="A8" s="3">
        <f t="shared" si="1"/>
        <v>4</v>
      </c>
      <c r="B8" s="3" t="s">
        <v>391</v>
      </c>
      <c r="C8" s="13">
        <v>45302</v>
      </c>
      <c r="D8" s="3" t="s">
        <v>240</v>
      </c>
      <c r="E8" s="3" t="s">
        <v>27</v>
      </c>
      <c r="F8" s="1">
        <v>4</v>
      </c>
      <c r="G8" s="1" t="str">
        <f t="shared" ca="1" si="2"/>
        <v>全套管基樁</v>
      </c>
    </row>
    <row r="9" spans="1:7" x14ac:dyDescent="0.25">
      <c r="A9" s="3">
        <f t="shared" si="1"/>
        <v>5</v>
      </c>
      <c r="B9" s="3" t="s">
        <v>251</v>
      </c>
      <c r="C9" s="13">
        <v>45303</v>
      </c>
      <c r="D9" s="3" t="s">
        <v>392</v>
      </c>
      <c r="E9" s="3"/>
      <c r="F9" s="1">
        <v>5</v>
      </c>
      <c r="G9" s="1" t="str">
        <f t="shared" ca="1" si="2"/>
        <v>全套管基樁</v>
      </c>
    </row>
    <row r="10" spans="1:7" x14ac:dyDescent="0.25">
      <c r="A10" s="3">
        <f t="shared" si="1"/>
        <v>6</v>
      </c>
      <c r="B10" s="3" t="s">
        <v>393</v>
      </c>
      <c r="C10" s="13">
        <v>45308</v>
      </c>
      <c r="D10" s="3" t="s">
        <v>292</v>
      </c>
      <c r="E10" s="3" t="s">
        <v>27</v>
      </c>
      <c r="F10" s="1">
        <v>6</v>
      </c>
      <c r="G10" s="1" t="str">
        <f t="shared" ca="1" si="2"/>
        <v>全套管基樁</v>
      </c>
    </row>
    <row r="11" spans="1:7" x14ac:dyDescent="0.25">
      <c r="A11" s="3">
        <f t="shared" si="1"/>
        <v>7</v>
      </c>
      <c r="B11" s="3" t="s">
        <v>291</v>
      </c>
      <c r="C11" s="13">
        <v>45309</v>
      </c>
      <c r="D11" s="3" t="s">
        <v>394</v>
      </c>
      <c r="E11" s="3"/>
      <c r="F11" s="1">
        <v>7</v>
      </c>
      <c r="G11" s="1" t="str">
        <f t="shared" ca="1" si="2"/>
        <v>全套管基樁</v>
      </c>
    </row>
    <row r="12" spans="1:7" x14ac:dyDescent="0.25">
      <c r="A12" s="3">
        <f t="shared" si="1"/>
        <v>8</v>
      </c>
      <c r="B12" s="3" t="s">
        <v>309</v>
      </c>
      <c r="C12" s="13">
        <v>45311</v>
      </c>
      <c r="D12" s="3" t="s">
        <v>306</v>
      </c>
      <c r="E12" s="3" t="s">
        <v>27</v>
      </c>
      <c r="F12" s="1">
        <v>8</v>
      </c>
      <c r="G12" s="1" t="str">
        <f t="shared" ca="1" si="2"/>
        <v>全套管基樁</v>
      </c>
    </row>
    <row r="13" spans="1:7" x14ac:dyDescent="0.25">
      <c r="A13" s="3">
        <f t="shared" si="1"/>
        <v>9</v>
      </c>
      <c r="B13" s="3" t="s">
        <v>308</v>
      </c>
      <c r="C13" s="13">
        <v>45314</v>
      </c>
      <c r="D13" s="3" t="s">
        <v>307</v>
      </c>
      <c r="E13" s="3" t="s">
        <v>27</v>
      </c>
      <c r="F13" s="1">
        <v>9</v>
      </c>
      <c r="G13" s="1" t="str">
        <f t="shared" ca="1" si="2"/>
        <v>全套管基樁</v>
      </c>
    </row>
    <row r="14" spans="1:7" x14ac:dyDescent="0.25">
      <c r="A14" s="3">
        <f t="shared" si="1"/>
        <v>10</v>
      </c>
      <c r="B14" s="3" t="s">
        <v>347</v>
      </c>
      <c r="C14" s="13">
        <v>45320</v>
      </c>
      <c r="D14" s="3" t="s">
        <v>344</v>
      </c>
      <c r="E14" s="3" t="s">
        <v>27</v>
      </c>
    </row>
    <row r="15" spans="1:7" x14ac:dyDescent="0.25">
      <c r="A15" s="3">
        <f t="shared" si="1"/>
        <v>11</v>
      </c>
      <c r="B15" s="3" t="s">
        <v>348</v>
      </c>
      <c r="C15" s="13">
        <v>45321</v>
      </c>
      <c r="D15" s="3" t="s">
        <v>346</v>
      </c>
      <c r="E15" s="3" t="s">
        <v>27</v>
      </c>
    </row>
    <row r="16" spans="1:7" x14ac:dyDescent="0.25">
      <c r="A16" s="3">
        <f t="shared" si="1"/>
        <v>12</v>
      </c>
      <c r="B16" s="3" t="s">
        <v>395</v>
      </c>
      <c r="C16" s="13">
        <v>45322</v>
      </c>
      <c r="D16" s="3" t="s">
        <v>399</v>
      </c>
      <c r="E16" s="3" t="s">
        <v>27</v>
      </c>
    </row>
    <row r="17" spans="1:5" x14ac:dyDescent="0.25">
      <c r="A17" s="3">
        <f t="shared" si="1"/>
        <v>13</v>
      </c>
      <c r="B17" s="3" t="s">
        <v>349</v>
      </c>
      <c r="C17" s="13">
        <v>45323</v>
      </c>
      <c r="D17" s="3" t="s">
        <v>398</v>
      </c>
      <c r="E17" s="3" t="s">
        <v>242</v>
      </c>
    </row>
    <row r="18" spans="1:5" x14ac:dyDescent="0.25">
      <c r="A18" s="3">
        <f t="shared" si="1"/>
        <v>14</v>
      </c>
      <c r="B18" s="3" t="s">
        <v>397</v>
      </c>
      <c r="C18" s="13">
        <v>45323</v>
      </c>
      <c r="D18" s="3" t="s">
        <v>396</v>
      </c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  <row r="35" spans="1:5" x14ac:dyDescent="0.25">
      <c r="A35" s="3"/>
      <c r="B35" s="3"/>
      <c r="C35" s="13"/>
      <c r="D35" s="3"/>
      <c r="E35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015E-D797-46DD-9791-C8A8272BB918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\\上溢北投\d\雲端\A.上溢\1.磺港溪再造C段護岸及步道整建工程（延壽橋至三合橋）\9.施工\4.自主檢查\自主檢查統計\[磺港溪C-A自主檢查統計1130401.xlsx]13.鋼筋混凝土管工程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13.鋼筋混凝土管工程</v>
      </c>
    </row>
    <row r="3" spans="1:7" ht="21" x14ac:dyDescent="0.25">
      <c r="A3" s="111" t="str">
        <f ca="1">G13&amp;"自主檢查表統計"</f>
        <v>鋼筋混凝土管工程自主檢查表統計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13鋼筋混凝土管工程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13鋼筋混凝土管工程</v>
      </c>
    </row>
    <row r="5" spans="1:7" x14ac:dyDescent="0.25">
      <c r="A5" s="3"/>
      <c r="B5" s="3" t="s">
        <v>152</v>
      </c>
      <c r="C5" s="13"/>
      <c r="D5" s="3"/>
      <c r="E5" s="3"/>
      <c r="F5" s="1">
        <v>1</v>
      </c>
      <c r="G5" s="1" t="str">
        <f t="shared" ca="1" si="0"/>
        <v>3鋼筋混凝土管工程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3鋼筋混凝土管工程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鋼筋混凝土管工程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鋼筋混凝土管工程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鋼筋混凝土管工程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鋼筋混凝土管工程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鋼筋混凝土管工程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鋼筋混凝土管工程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鋼筋混凝土管工程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B8DA-0DD5-4220-B5BC-3A0DD16C8C35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A7" sqref="A7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\\上溢北投\d\雲端\A.上溢\1.磺港溪再造C段護岸及步道整建工程（延壽橋至三合橋）\9.施工\4.自主檢查\自主檢查統計\[磺港溪C-A自主檢查統計1130401.xlsx]14.鋼版樁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14.鋼版樁</v>
      </c>
    </row>
    <row r="3" spans="1:7" ht="21" x14ac:dyDescent="0.25">
      <c r="A3" s="111" t="str">
        <f ca="1">G13&amp;"自主檢查表統計"</f>
        <v>鋼版樁自主檢查表統計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14鋼版樁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14鋼版樁</v>
      </c>
    </row>
    <row r="5" spans="1:7" x14ac:dyDescent="0.25">
      <c r="A5" s="3">
        <f>ROW()-4</f>
        <v>1</v>
      </c>
      <c r="B5" s="3" t="s">
        <v>262</v>
      </c>
      <c r="C5" s="13">
        <v>45267</v>
      </c>
      <c r="D5" s="3" t="s">
        <v>261</v>
      </c>
      <c r="E5" s="3" t="s">
        <v>27</v>
      </c>
      <c r="F5" s="1">
        <v>1</v>
      </c>
      <c r="G5" s="1" t="str">
        <f t="shared" ca="1" si="0"/>
        <v>4鋼版樁</v>
      </c>
    </row>
    <row r="6" spans="1:7" x14ac:dyDescent="0.25">
      <c r="A6" s="3">
        <f>ROW()-4</f>
        <v>2</v>
      </c>
      <c r="B6" s="3" t="s">
        <v>263</v>
      </c>
      <c r="C6" s="13">
        <v>45279</v>
      </c>
      <c r="D6" s="3" t="s">
        <v>247</v>
      </c>
      <c r="E6" s="3" t="s">
        <v>27</v>
      </c>
      <c r="F6" s="1">
        <v>2</v>
      </c>
      <c r="G6" s="1" t="str">
        <f t="shared" ca="1" si="0"/>
        <v>4鋼版樁</v>
      </c>
    </row>
    <row r="7" spans="1:7" x14ac:dyDescent="0.25">
      <c r="A7" s="3">
        <f>ROW()-4</f>
        <v>3</v>
      </c>
      <c r="B7" s="3" t="s">
        <v>442</v>
      </c>
      <c r="C7" s="13">
        <v>45364</v>
      </c>
      <c r="D7" s="3" t="s">
        <v>441</v>
      </c>
      <c r="E7" s="3"/>
      <c r="F7" s="1">
        <v>3</v>
      </c>
      <c r="G7" s="1" t="str">
        <f t="shared" ca="1" si="0"/>
        <v>4鋼版樁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鋼版樁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鋼版樁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鋼版樁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鋼版樁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鋼版樁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鋼版樁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A19B-D96B-45C9-AA2E-16EAEDF785D5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\\上溢北投\d\雲端\A.上溢\1.磺港溪再造C段護岸及步道整建工程（延壽橋至三合橋）\9.施工\4.自主檢查\自主檢查統計\[磺港溪C-A自主檢查統計1130401.xlsx]15.路床 路基高程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15.路床 路基高程</v>
      </c>
    </row>
    <row r="3" spans="1:7" ht="21" x14ac:dyDescent="0.25">
      <c r="A3" s="111" t="str">
        <f ca="1">G13&amp;"自主檢查表統計"</f>
        <v>路床 路基高程自主檢查表統計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15路床 路基高程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15路床 路基高程</v>
      </c>
    </row>
    <row r="5" spans="1:7" x14ac:dyDescent="0.25">
      <c r="A5" s="3"/>
      <c r="B5" s="3" t="s">
        <v>153</v>
      </c>
      <c r="C5" s="13"/>
      <c r="D5" s="3"/>
      <c r="E5" s="3"/>
      <c r="F5" s="1">
        <v>1</v>
      </c>
      <c r="G5" s="1" t="str">
        <f t="shared" ca="1" si="0"/>
        <v>5路床 路基高程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5路床 路基高程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5路床 路基高程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5路床 路基高程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路床 路基高程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路床 路基高程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路床 路基高程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路床 路基高程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路床 路基高程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D626-B611-4552-9BFA-954D8296BC7E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\\上溢北投\d\雲端\A.上溢\1.磺港溪再造C段護岸及步道整建工程（延壽橋至三合橋）\9.施工\4.自主檢查\自主檢查統計\[磺港溪C-A自主檢查統計1130401.xlsx]16.瀝青混凝土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16.瀝青混凝土</v>
      </c>
    </row>
    <row r="3" spans="1:7" ht="21" x14ac:dyDescent="0.25">
      <c r="A3" s="111" t="str">
        <f ca="1">G13&amp;"自主檢查表統計"</f>
        <v>瀝青混凝土自主檢查表統計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16瀝青混凝土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16瀝青混凝土</v>
      </c>
    </row>
    <row r="5" spans="1:7" x14ac:dyDescent="0.25">
      <c r="A5" s="3"/>
      <c r="B5" s="3" t="s">
        <v>334</v>
      </c>
      <c r="C5" s="13"/>
      <c r="D5" s="3"/>
      <c r="E5" s="3"/>
      <c r="F5" s="1">
        <v>1</v>
      </c>
      <c r="G5" s="1" t="str">
        <f t="shared" ca="1" si="0"/>
        <v>6瀝青混凝土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6瀝青混凝土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6瀝青混凝土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6瀝青混凝土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6瀝青混凝土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瀝青混凝土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瀝青混凝土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瀝青混凝土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瀝青混凝土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E91C-7410-40E6-936A-67B63DE25E47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\\上溢北投\d\雲端\A.上溢\1.磺港溪再造C段護岸及步道整建工程（延壽橋至三合橋）\9.施工\4.自主檢查\自主檢查統計\[磺港溪C-A自主檢查統計1130401.xlsx]17.景觀鋪面(一)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17.景觀鋪面(一)</v>
      </c>
    </row>
    <row r="3" spans="1:7" ht="21" x14ac:dyDescent="0.25">
      <c r="A3" s="111" t="str">
        <f ca="1">G13&amp;"自主檢查表統計"</f>
        <v>景觀鋪面(一)自主檢查表統計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17景觀鋪面(一)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17景觀鋪面(一)</v>
      </c>
    </row>
    <row r="5" spans="1:7" x14ac:dyDescent="0.25">
      <c r="A5" s="3"/>
      <c r="B5" s="3" t="s">
        <v>154</v>
      </c>
      <c r="C5" s="13"/>
      <c r="D5" s="3"/>
      <c r="E5" s="3"/>
      <c r="F5" s="1">
        <v>1</v>
      </c>
      <c r="G5" s="1" t="str">
        <f t="shared" ca="1" si="0"/>
        <v>7景觀鋪面(一)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7景觀鋪面(一)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7景觀鋪面(一)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7景觀鋪面(一)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7景觀鋪面(一)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7景觀鋪面(一)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景觀鋪面(一)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景觀鋪面(一)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景觀鋪面(一)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FFFB-B62F-41F5-841E-17E917AB1A74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\\上溢北投\d\雲端\A.上溢\1.磺港溪再造C段護岸及步道整建工程（延壽橋至三合橋）\9.施工\4.自主檢查\自主檢查統計\[磺港溪C-A自主檢查統計1130401.xlsx]18.景觀鋪面(二)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18.景觀鋪面(二)</v>
      </c>
    </row>
    <row r="3" spans="1:7" ht="21" x14ac:dyDescent="0.25">
      <c r="A3" s="111" t="str">
        <f ca="1">G13&amp;"自主檢查表統計"</f>
        <v>景觀鋪面(二)自主檢查表統計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18景觀鋪面(二)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18景觀鋪面(二)</v>
      </c>
    </row>
    <row r="5" spans="1:7" x14ac:dyDescent="0.25">
      <c r="A5" s="3"/>
      <c r="B5" s="3" t="s">
        <v>155</v>
      </c>
      <c r="C5" s="13"/>
      <c r="D5" s="3"/>
      <c r="E5" s="3"/>
      <c r="F5" s="1">
        <v>1</v>
      </c>
      <c r="G5" s="1" t="str">
        <f t="shared" ca="1" si="0"/>
        <v>8景觀鋪面(二)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8景觀鋪面(二)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8景觀鋪面(二)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8景觀鋪面(二)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8景觀鋪面(二)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8景觀鋪面(二)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8景觀鋪面(二)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景觀鋪面(二)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景觀鋪面(二)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BA63-E5A9-47B4-B109-B0ADEEDC5854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\\上溢北投\d\雲端\A.上溢\1.磺港溪再造C段護岸及步道整建工程（延壽橋至三合橋）\9.施工\4.自主檢查\自主檢查統計\[磺港溪C-A自主檢查統計1130401.xlsx]19.預鑄緣石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19.預鑄緣石</v>
      </c>
    </row>
    <row r="3" spans="1:7" ht="21" x14ac:dyDescent="0.25">
      <c r="A3" s="111" t="str">
        <f ca="1">G13&amp;"自主檢查表統計"</f>
        <v>預鑄緣石自主檢查表統計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19預鑄緣石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19預鑄緣石</v>
      </c>
    </row>
    <row r="5" spans="1:7" x14ac:dyDescent="0.25">
      <c r="A5" s="3"/>
      <c r="B5" s="3" t="s">
        <v>156</v>
      </c>
      <c r="C5" s="13"/>
      <c r="D5" s="3"/>
      <c r="E5" s="3"/>
      <c r="F5" s="1">
        <v>1</v>
      </c>
      <c r="G5" s="1" t="str">
        <f t="shared" ca="1" si="0"/>
        <v>9預鑄緣石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9預鑄緣石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9預鑄緣石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9預鑄緣石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9預鑄緣石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9預鑄緣石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9預鑄緣石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9預鑄緣石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預鑄緣石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23AA-99FF-41F9-91B0-5EEB1C0B620A}">
  <sheetPr>
    <tabColor theme="4" tint="-0.249977111117893"/>
    <pageSetUpPr fitToPage="1"/>
  </sheetPr>
  <dimension ref="A1:G34"/>
  <sheetViews>
    <sheetView view="pageBreakPreview" zoomScale="130" zoomScaleNormal="100" zoomScaleSheetLayoutView="130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\\上溢北投\d\雲端\A.上溢\1.磺港溪再造C段護岸及步道整建工程（延壽橋至三合橋）\9.施工\4.自主檢查\自主檢查統計\[磺港溪C-A自主檢查統計1130401.xlsx]20.鋼構工程吊裝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20.鋼構工程吊裝</v>
      </c>
    </row>
    <row r="3" spans="1:7" ht="21" x14ac:dyDescent="0.25">
      <c r="A3" s="111" t="str">
        <f ca="1">G13&amp;"自主檢查表統計"</f>
        <v>鋼構工程吊裝自主檢查表統計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20鋼構工程吊裝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2鋼構工程吊裝</v>
      </c>
    </row>
    <row r="5" spans="1:7" x14ac:dyDescent="0.25">
      <c r="A5" s="3"/>
      <c r="B5" s="3" t="s">
        <v>157</v>
      </c>
      <c r="C5" s="13"/>
      <c r="D5" s="3"/>
      <c r="E5" s="3"/>
      <c r="F5" s="1">
        <v>1</v>
      </c>
      <c r="G5" s="1" t="str">
        <f t="shared" ca="1" si="0"/>
        <v>2鋼構工程吊裝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鋼構工程吊裝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鋼構工程吊裝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鋼構工程吊裝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鋼構工程吊裝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鋼構工程吊裝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鋼構工程吊裝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鋼構工程吊裝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鋼構工程吊裝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1A2A-7CF6-4AFD-BE3A-EAC2F8943E47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\\上溢北投\d\雲端\A.上溢\1.磺港溪再造C段護岸及步道整建工程（延壽橋至三合橋）\9.施工\4.自主檢查\自主檢查統計\[磺港溪C-A自主檢查統計1130401.xlsx]21.鋼構工程塗裝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21.鋼構工程塗裝</v>
      </c>
    </row>
    <row r="3" spans="1:7" ht="21" x14ac:dyDescent="0.25">
      <c r="A3" s="111" t="str">
        <f ca="1">G13&amp;"自主檢查表統計"</f>
        <v>鋼構工程塗裝自主檢查表統計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21鋼構工程塗裝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21鋼構工程塗裝</v>
      </c>
    </row>
    <row r="5" spans="1:7" x14ac:dyDescent="0.25">
      <c r="A5" s="3"/>
      <c r="B5" s="3" t="s">
        <v>158</v>
      </c>
      <c r="C5" s="13"/>
      <c r="D5" s="3"/>
      <c r="E5" s="3"/>
      <c r="F5" s="1">
        <v>1</v>
      </c>
      <c r="G5" s="1" t="str">
        <f t="shared" ca="1" si="0"/>
        <v>2鋼構工程塗裝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鋼構工程塗裝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鋼構工程塗裝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鋼構工程塗裝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鋼構工程塗裝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鋼構工程塗裝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鋼構工程塗裝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鋼構工程塗裝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鋼構工程塗裝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2414-9CC6-494F-8851-530F3AACE05C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\\上溢北投\d\雲端\A.上溢\1.磺港溪再造C段護岸及步道整建工程（延壽橋至三合橋）\9.施工\4.自主檢查\自主檢查統計\[磺港溪C-A自主檢查統計1130401.xlsx]22.排水設施(一)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22.排水設施(一)</v>
      </c>
    </row>
    <row r="3" spans="1:7" ht="21" x14ac:dyDescent="0.25">
      <c r="A3" s="111" t="str">
        <f ca="1">G13&amp;"自主檢查表統計"</f>
        <v>排水設施(一)自主檢查表統計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22排水設施(一)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22排水設施(一)</v>
      </c>
    </row>
    <row r="5" spans="1:7" x14ac:dyDescent="0.25">
      <c r="A5" s="3"/>
      <c r="B5" s="3" t="s">
        <v>159</v>
      </c>
      <c r="C5" s="13"/>
      <c r="D5" s="3"/>
      <c r="E5" s="3"/>
      <c r="F5" s="1">
        <v>1</v>
      </c>
      <c r="G5" s="1" t="str">
        <f t="shared" ca="1" si="0"/>
        <v>22排水設施(一)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排水設施(一)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排水設施(一)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排水設施(一)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排水設施(一)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排水設施(一)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排水設施(一)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排水設施(一)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排水設施(一)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C845-14C6-4EBB-B49B-7958D6B830B2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\\上溢北投\d\雲端\A.上溢\1.磺港溪再造C段護岸及步道整建工程（延壽橋至三合橋）\9.施工\4.自主檢查\自主檢查統計\[磺港溪C-A自主檢查統計1130401.xlsx]23.排水設施(二)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23.排水設施(二)</v>
      </c>
    </row>
    <row r="3" spans="1:7" ht="21" x14ac:dyDescent="0.25">
      <c r="A3" s="111" t="str">
        <f ca="1">G13&amp;"自主檢查表統計"</f>
        <v>排水設施(二)自主檢查表統計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23排水設施(二)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23排水設施(二)</v>
      </c>
    </row>
    <row r="5" spans="1:7" x14ac:dyDescent="0.25">
      <c r="A5" s="3"/>
      <c r="B5" s="3" t="s">
        <v>160</v>
      </c>
      <c r="C5" s="13"/>
      <c r="D5" s="3"/>
      <c r="E5" s="3"/>
      <c r="F5" s="1">
        <v>1</v>
      </c>
      <c r="G5" s="1" t="str">
        <f t="shared" ca="1" si="0"/>
        <v>23排水設施(二)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3排水設施(二)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排水設施(二)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排水設施(二)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排水設施(二)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排水設施(二)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排水設施(二)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排水設施(二)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排水設施(二)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88AF-92BA-4753-B095-0E34FB783D9F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\\上溢北投\d\雲端\A.上溢\1.磺港溪再造C段護岸及步道整建工程（延壽橋至三合橋）\9.施工\4.自主檢查\自主檢查統計\[磺港溪C-A自主檢查統計1130401.xlsx]24.木構造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24.木構造</v>
      </c>
    </row>
    <row r="3" spans="1:7" ht="21" x14ac:dyDescent="0.25">
      <c r="A3" s="111" t="str">
        <f ca="1">G13&amp;"自主檢查表統計"</f>
        <v>木構造自主檢查表統計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24木構造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24木構造</v>
      </c>
    </row>
    <row r="5" spans="1:7" x14ac:dyDescent="0.25">
      <c r="A5" s="3"/>
      <c r="B5" s="3" t="s">
        <v>161</v>
      </c>
      <c r="C5" s="13"/>
      <c r="D5" s="3"/>
      <c r="E5" s="3"/>
      <c r="F5" s="1">
        <v>1</v>
      </c>
      <c r="G5" s="1" t="str">
        <f t="shared" ca="1" si="0"/>
        <v>24木構造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4木構造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4木構造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木構造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木構造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木構造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木構造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木構造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木構造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442C-6EA7-4D59-9163-65F024CA0DCE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\\上溢北投\d\雲端\A.上溢\1.磺港溪再造C段護岸及步道整建工程（延壽橋至三合橋）\9.施工\4.自主檢查\自主檢查統計\[磺港溪C-A自主檢查統計1130401.xlsx]25.管路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25.管路</v>
      </c>
    </row>
    <row r="3" spans="1:7" ht="21" x14ac:dyDescent="0.25">
      <c r="A3" s="111" t="str">
        <f ca="1">G13&amp;"自主檢查表統計"</f>
        <v>管路自主檢查表統計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25管路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25管路</v>
      </c>
    </row>
    <row r="5" spans="1:7" x14ac:dyDescent="0.25">
      <c r="A5" s="3"/>
      <c r="B5" s="3" t="s">
        <v>192</v>
      </c>
      <c r="C5" s="13"/>
      <c r="D5" s="3"/>
      <c r="E5" s="3"/>
      <c r="F5" s="1">
        <v>1</v>
      </c>
      <c r="G5" s="1" t="str">
        <f t="shared" ca="1" si="0"/>
        <v>25管路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5管路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5管路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5管路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管路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管路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管路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管路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管路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2A58-819B-41FC-AB3D-D42A11E41E32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\\上溢北投\d\雲端\A.上溢\1.磺港溪再造C段護岸及步道整建工程（延壽橋至三合橋）\9.施工\4.自主檢查\自主檢查統計\[磺港溪C-A自主檢查統計1130401.xlsx]26.植栽(移植)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26.植栽(移植)</v>
      </c>
    </row>
    <row r="3" spans="1:7" ht="21" x14ac:dyDescent="0.25">
      <c r="A3" s="111" t="str">
        <f ca="1">G13&amp;"自主檢查表統計"</f>
        <v>植栽(移植)自主檢查表統計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26植栽(移植)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26植栽(移植)</v>
      </c>
    </row>
    <row r="5" spans="1:7" x14ac:dyDescent="0.25">
      <c r="A5" s="3">
        <f t="shared" ref="A5:A11" si="1">ROW()-4</f>
        <v>1</v>
      </c>
      <c r="B5" s="3" t="s">
        <v>425</v>
      </c>
      <c r="C5" s="13">
        <v>45192</v>
      </c>
      <c r="D5" s="3" t="s">
        <v>427</v>
      </c>
      <c r="E5" s="3"/>
      <c r="F5" s="1">
        <v>1</v>
      </c>
      <c r="G5" s="1" t="str">
        <f t="shared" ca="1" si="0"/>
        <v>26植栽(移植)</v>
      </c>
    </row>
    <row r="6" spans="1:7" x14ac:dyDescent="0.25">
      <c r="A6" s="3">
        <f t="shared" si="1"/>
        <v>2</v>
      </c>
      <c r="B6" s="3" t="s">
        <v>426</v>
      </c>
      <c r="C6" s="13">
        <v>45194</v>
      </c>
      <c r="D6" s="3" t="s">
        <v>335</v>
      </c>
      <c r="E6" s="3"/>
      <c r="F6" s="1">
        <v>2</v>
      </c>
      <c r="G6" s="1" t="str">
        <f t="shared" ca="1" si="0"/>
        <v>6植栽(移植)</v>
      </c>
    </row>
    <row r="7" spans="1:7" x14ac:dyDescent="0.25">
      <c r="A7" s="3">
        <f t="shared" si="1"/>
        <v>3</v>
      </c>
      <c r="B7" s="3" t="s">
        <v>336</v>
      </c>
      <c r="C7" s="13">
        <v>45246</v>
      </c>
      <c r="D7" s="3" t="s">
        <v>335</v>
      </c>
      <c r="E7" s="3" t="s">
        <v>27</v>
      </c>
      <c r="F7" s="1">
        <v>3</v>
      </c>
      <c r="G7" s="1" t="str">
        <f t="shared" ca="1" si="0"/>
        <v>6植栽(移植)</v>
      </c>
    </row>
    <row r="8" spans="1:7" x14ac:dyDescent="0.25">
      <c r="A8" s="3">
        <f t="shared" si="1"/>
        <v>4</v>
      </c>
      <c r="B8" s="3" t="s">
        <v>337</v>
      </c>
      <c r="C8" s="13">
        <v>45247</v>
      </c>
      <c r="D8" s="3" t="s">
        <v>335</v>
      </c>
      <c r="E8" s="3" t="s">
        <v>27</v>
      </c>
      <c r="F8" s="1">
        <v>4</v>
      </c>
      <c r="G8" s="1" t="str">
        <f t="shared" ca="1" si="0"/>
        <v>6植栽(移植)</v>
      </c>
    </row>
    <row r="9" spans="1:7" x14ac:dyDescent="0.25">
      <c r="A9" s="3">
        <f t="shared" si="1"/>
        <v>5</v>
      </c>
      <c r="B9" s="3" t="s">
        <v>362</v>
      </c>
      <c r="C9" s="13">
        <v>45282</v>
      </c>
      <c r="D9" s="3" t="s">
        <v>335</v>
      </c>
      <c r="E9" s="3" t="s">
        <v>27</v>
      </c>
      <c r="F9" s="1">
        <v>5</v>
      </c>
      <c r="G9" s="1" t="str">
        <f t="shared" ca="1" si="0"/>
        <v>6植栽(移植)</v>
      </c>
    </row>
    <row r="10" spans="1:7" x14ac:dyDescent="0.25">
      <c r="A10" s="3">
        <f t="shared" si="1"/>
        <v>6</v>
      </c>
      <c r="B10" s="3" t="s">
        <v>363</v>
      </c>
      <c r="C10" s="13">
        <v>45284</v>
      </c>
      <c r="D10" s="3" t="s">
        <v>335</v>
      </c>
      <c r="E10" s="3"/>
      <c r="F10" s="1">
        <v>6</v>
      </c>
      <c r="G10" s="1" t="str">
        <f t="shared" ca="1" si="0"/>
        <v>植栽(移植)</v>
      </c>
    </row>
    <row r="11" spans="1:7" x14ac:dyDescent="0.25">
      <c r="A11" s="3">
        <f t="shared" si="1"/>
        <v>7</v>
      </c>
      <c r="B11" s="3" t="s">
        <v>364</v>
      </c>
      <c r="C11" s="13">
        <v>45285</v>
      </c>
      <c r="D11" s="3" t="s">
        <v>335</v>
      </c>
      <c r="E11" s="3"/>
      <c r="F11" s="1">
        <v>7</v>
      </c>
      <c r="G11" s="1" t="str">
        <f t="shared" ca="1" si="0"/>
        <v>植栽(移植)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植栽(移植)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植栽(移植)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5874-5D06-4296-88B6-38664B5EDD49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\\上溢北投\d\雲端\A.上溢\1.磺港溪再造C段護岸及步道整建工程（延壽橋至三合橋）\9.施工\4.自主檢查\自主檢查統計\[磺港溪C-A自主檢查統計1130401.xlsx]27.植栽(新植)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27.植栽(新植)</v>
      </c>
    </row>
    <row r="3" spans="1:7" ht="21" x14ac:dyDescent="0.25">
      <c r="A3" s="111" t="str">
        <f ca="1">G13&amp;"自主檢查表統計"</f>
        <v>植栽(新植)自主檢查表統計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27植栽(新植)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27植栽(新植)</v>
      </c>
    </row>
    <row r="5" spans="1:7" x14ac:dyDescent="0.25">
      <c r="A5" s="3"/>
      <c r="B5" s="3" t="s">
        <v>162</v>
      </c>
      <c r="C5" s="13"/>
      <c r="D5" s="3"/>
      <c r="E5" s="3"/>
      <c r="F5" s="1">
        <v>1</v>
      </c>
      <c r="G5" s="1" t="str">
        <f t="shared" ca="1" si="0"/>
        <v>27植栽(新植)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7植栽(新植)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7植栽(新植)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7植栽(新植)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7植栽(新植)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7植栽(新植)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植栽(新植)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植栽(新植)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植栽(新植)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0A99-4DB7-4BE0-AEDD-75EB78EA68EB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5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\\上溢北投\d\雲端\A.上溢\1.磺港溪再造C段護岸及步道整建工程（延壽橋至三合橋）\9.施工\4.自主檢查\自主檢查統計\[磺港溪C-A自主檢查統計1130401.xlsx]28.照明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28.照明</v>
      </c>
    </row>
    <row r="3" spans="1:7" ht="21" x14ac:dyDescent="0.25">
      <c r="A3" s="111" t="str">
        <f ca="1">G13&amp;"自主檢查表統計"</f>
        <v>照明自主檢查表統計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28照明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28照明</v>
      </c>
    </row>
    <row r="5" spans="1:7" x14ac:dyDescent="0.25">
      <c r="A5" s="3"/>
      <c r="B5" s="3" t="s">
        <v>162</v>
      </c>
      <c r="C5" s="13"/>
      <c r="D5" s="3"/>
      <c r="E5" s="3"/>
      <c r="F5" s="1">
        <v>1</v>
      </c>
      <c r="G5" s="1" t="str">
        <f t="shared" ca="1" si="0"/>
        <v>28照明</v>
      </c>
    </row>
    <row r="6" spans="1:7" x14ac:dyDescent="0.25">
      <c r="A6" s="3"/>
      <c r="B6" s="3"/>
      <c r="C6" s="13"/>
      <c r="D6" s="3"/>
      <c r="E6" s="3"/>
      <c r="F6" s="1">
        <v>2</v>
      </c>
      <c r="G6" s="1" t="str">
        <f t="shared" ca="1" si="0"/>
        <v>8照明</v>
      </c>
    </row>
    <row r="7" spans="1:7" x14ac:dyDescent="0.25">
      <c r="A7" s="3"/>
      <c r="B7" s="3"/>
      <c r="C7" s="13"/>
      <c r="D7" s="3"/>
      <c r="E7" s="3"/>
      <c r="F7" s="1">
        <v>3</v>
      </c>
      <c r="G7" s="1" t="str">
        <f t="shared" ca="1" si="0"/>
        <v>8照明</v>
      </c>
    </row>
    <row r="8" spans="1:7" x14ac:dyDescent="0.25">
      <c r="A8" s="3"/>
      <c r="B8" s="3"/>
      <c r="C8" s="13"/>
      <c r="D8" s="3"/>
      <c r="E8" s="3"/>
      <c r="F8" s="1">
        <v>4</v>
      </c>
      <c r="G8" s="1" t="str">
        <f t="shared" ca="1" si="0"/>
        <v>8照明</v>
      </c>
    </row>
    <row r="9" spans="1:7" x14ac:dyDescent="0.25">
      <c r="A9" s="3"/>
      <c r="B9" s="3"/>
      <c r="C9" s="13"/>
      <c r="D9" s="3"/>
      <c r="E9" s="3"/>
      <c r="F9" s="1">
        <v>5</v>
      </c>
      <c r="G9" s="1" t="str">
        <f t="shared" ca="1" si="0"/>
        <v>8照明</v>
      </c>
    </row>
    <row r="10" spans="1:7" x14ac:dyDescent="0.25">
      <c r="A10" s="3"/>
      <c r="B10" s="3"/>
      <c r="C10" s="13"/>
      <c r="D10" s="3"/>
      <c r="E10" s="3"/>
      <c r="F10" s="1">
        <v>6</v>
      </c>
      <c r="G10" s="1" t="str">
        <f t="shared" ca="1" si="0"/>
        <v>8照明</v>
      </c>
    </row>
    <row r="11" spans="1:7" x14ac:dyDescent="0.25">
      <c r="A11" s="3"/>
      <c r="B11" s="3"/>
      <c r="C11" s="13"/>
      <c r="D11" s="3"/>
      <c r="E11" s="3"/>
      <c r="F11" s="1">
        <v>7</v>
      </c>
      <c r="G11" s="1" t="str">
        <f t="shared" ca="1" si="0"/>
        <v>8照明</v>
      </c>
    </row>
    <row r="12" spans="1:7" x14ac:dyDescent="0.25">
      <c r="A12" s="3"/>
      <c r="B12" s="3"/>
      <c r="C12" s="13"/>
      <c r="D12" s="3"/>
      <c r="E12" s="3"/>
      <c r="F12" s="1">
        <v>8</v>
      </c>
      <c r="G12" s="1" t="str">
        <f t="shared" ca="1" si="0"/>
        <v>照明</v>
      </c>
    </row>
    <row r="13" spans="1:7" x14ac:dyDescent="0.25">
      <c r="A13" s="3"/>
      <c r="B13" s="3"/>
      <c r="C13" s="13"/>
      <c r="D13" s="3"/>
      <c r="E13" s="3"/>
      <c r="F13" s="1">
        <v>9</v>
      </c>
      <c r="G13" s="1" t="str">
        <f t="shared" ca="1" si="0"/>
        <v>照明</v>
      </c>
    </row>
    <row r="14" spans="1:7" x14ac:dyDescent="0.25">
      <c r="A14" s="3"/>
      <c r="B14" s="3"/>
      <c r="C14" s="13"/>
      <c r="D14" s="3"/>
      <c r="E14" s="3"/>
    </row>
    <row r="15" spans="1:7" x14ac:dyDescent="0.25">
      <c r="A15" s="3"/>
      <c r="B15" s="3"/>
      <c r="C15" s="13"/>
      <c r="D15" s="3"/>
      <c r="E15" s="3"/>
    </row>
    <row r="16" spans="1:7" x14ac:dyDescent="0.25">
      <c r="A16" s="3"/>
      <c r="B16" s="3"/>
      <c r="C16" s="13"/>
      <c r="D16" s="3"/>
      <c r="E16" s="3"/>
    </row>
    <row r="17" spans="1:5" x14ac:dyDescent="0.25">
      <c r="A17" s="3"/>
      <c r="B17" s="3"/>
      <c r="C17" s="13"/>
      <c r="D17" s="3"/>
      <c r="E17" s="3"/>
    </row>
    <row r="18" spans="1:5" x14ac:dyDescent="0.25">
      <c r="A18" s="3"/>
      <c r="B18" s="3"/>
      <c r="C18" s="13"/>
      <c r="D18" s="3"/>
      <c r="E18" s="3"/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BB9F-2AF2-4EA3-BC84-4DAF1B80AC60}">
  <sheetPr>
    <tabColor theme="4" tint="-0.249977111117893"/>
    <pageSetUpPr fitToPage="1"/>
  </sheetPr>
  <dimension ref="A1:G34"/>
  <sheetViews>
    <sheetView view="pageBreakPreview" zoomScale="175" zoomScaleNormal="100" zoomScaleSheetLayoutView="175" zoomScalePageLayoutView="130" workbookViewId="0">
      <pane ySplit="4" topLeftCell="A8" activePane="bottomLeft" state="frozen"/>
      <selection activeCell="C14" sqref="C14"/>
      <selection pane="bottomLeft" activeCell="C14" sqref="C14"/>
    </sheetView>
  </sheetViews>
  <sheetFormatPr defaultRowHeight="16.5" x14ac:dyDescent="0.25"/>
  <cols>
    <col min="1" max="1" width="9" style="1"/>
    <col min="2" max="2" width="18.375" style="1" customWidth="1"/>
    <col min="3" max="3" width="15.625" style="14" customWidth="1"/>
    <col min="4" max="4" width="35.25" style="1" customWidth="1"/>
    <col min="5" max="5" width="11.125" style="1" customWidth="1"/>
    <col min="6" max="16384" width="9" style="1"/>
  </cols>
  <sheetData>
    <row r="1" spans="1:7" ht="19.5" x14ac:dyDescent="0.25">
      <c r="A1" s="112" t="s">
        <v>25</v>
      </c>
      <c r="B1" s="112"/>
      <c r="C1" s="112"/>
      <c r="D1" s="112"/>
      <c r="E1" s="112"/>
      <c r="F1" s="79" t="str">
        <f ca="1">CELL("filename",A1)</f>
        <v>\\上溢北投\d\雲端\A.上溢\1.磺港溪再造C段護岸及步道整建工程（延壽橋至三合橋）\9.施工\4.自主檢查\自主檢查統計\[磺港溪C-A自主檢查統計1130401.xlsx]29.既有橋梁拆除</v>
      </c>
    </row>
    <row r="2" spans="1:7" ht="19.5" x14ac:dyDescent="0.25">
      <c r="A2" s="110" t="s">
        <v>142</v>
      </c>
      <c r="B2" s="110"/>
      <c r="C2" s="110"/>
      <c r="D2" s="110"/>
      <c r="E2" s="110"/>
      <c r="G2" s="79" t="str">
        <f ca="1">RIGHT(F1,LEN(F1)-FIND("]",F1))</f>
        <v>29.既有橋梁拆除</v>
      </c>
    </row>
    <row r="3" spans="1:7" ht="21" x14ac:dyDescent="0.25">
      <c r="A3" s="111" t="str">
        <f ca="1">G13&amp;"自主檢查表統計"</f>
        <v>既有橋梁拆除自主檢查表統計</v>
      </c>
      <c r="B3" s="111"/>
      <c r="C3" s="111"/>
      <c r="D3" s="111"/>
      <c r="E3" s="111"/>
      <c r="F3" s="1" t="s">
        <v>144</v>
      </c>
      <c r="G3" s="1" t="str">
        <f t="shared" ref="G3:G13" ca="1" si="0">SUBSTITUTE(G2,F3,"")</f>
        <v>29既有橋梁拆除</v>
      </c>
    </row>
    <row r="4" spans="1:7" x14ac:dyDescent="0.25">
      <c r="A4" s="3" t="s">
        <v>18</v>
      </c>
      <c r="B4" s="3" t="s">
        <v>2</v>
      </c>
      <c r="C4" s="13" t="s">
        <v>17</v>
      </c>
      <c r="D4" s="3" t="s">
        <v>16</v>
      </c>
      <c r="E4" s="3" t="s">
        <v>15</v>
      </c>
      <c r="F4" s="1">
        <v>0</v>
      </c>
      <c r="G4" s="1" t="str">
        <f t="shared" ca="1" si="0"/>
        <v>29既有橋梁拆除</v>
      </c>
    </row>
    <row r="5" spans="1:7" x14ac:dyDescent="0.25">
      <c r="A5" s="3">
        <f>ROW()-4</f>
        <v>1</v>
      </c>
      <c r="B5" s="3" t="s">
        <v>253</v>
      </c>
      <c r="C5" s="13">
        <v>45210</v>
      </c>
      <c r="D5" s="3" t="s">
        <v>365</v>
      </c>
      <c r="E5" s="3"/>
      <c r="F5" s="1">
        <v>1</v>
      </c>
      <c r="G5" s="1" t="str">
        <f t="shared" ca="1" si="0"/>
        <v>29既有橋梁拆除</v>
      </c>
    </row>
    <row r="6" spans="1:7" x14ac:dyDescent="0.25">
      <c r="A6" s="3">
        <f>ROW()-4</f>
        <v>2</v>
      </c>
      <c r="B6" s="3" t="s">
        <v>254</v>
      </c>
      <c r="C6" s="13">
        <v>45216</v>
      </c>
      <c r="D6" s="3" t="s">
        <v>366</v>
      </c>
      <c r="E6" s="3" t="s">
        <v>27</v>
      </c>
      <c r="F6" s="1">
        <v>2</v>
      </c>
      <c r="G6" s="1" t="str">
        <f t="shared" ca="1" si="0"/>
        <v>9既有橋梁拆除</v>
      </c>
    </row>
    <row r="7" spans="1:7" x14ac:dyDescent="0.25">
      <c r="A7" s="3">
        <f>ROW()-4</f>
        <v>3</v>
      </c>
      <c r="B7" s="3" t="s">
        <v>255</v>
      </c>
      <c r="C7" s="13">
        <v>45217</v>
      </c>
      <c r="D7" s="3" t="s">
        <v>366</v>
      </c>
      <c r="E7" s="3"/>
      <c r="F7" s="1">
        <v>3</v>
      </c>
      <c r="G7" s="1" t="str">
        <f t="shared" ca="1" si="0"/>
        <v>9既有橋梁拆除</v>
      </c>
    </row>
    <row r="8" spans="1:7" x14ac:dyDescent="0.25">
      <c r="A8" s="3">
        <f t="shared" ref="A8:A18" si="1">ROW()-4</f>
        <v>4</v>
      </c>
      <c r="B8" s="3" t="s">
        <v>256</v>
      </c>
      <c r="C8" s="13">
        <v>45218</v>
      </c>
      <c r="D8" s="3" t="s">
        <v>367</v>
      </c>
      <c r="E8" s="3"/>
      <c r="F8" s="1">
        <v>4</v>
      </c>
      <c r="G8" s="1" t="str">
        <f t="shared" ca="1" si="0"/>
        <v>9既有橋梁拆除</v>
      </c>
    </row>
    <row r="9" spans="1:7" x14ac:dyDescent="0.25">
      <c r="A9" s="3">
        <f t="shared" si="1"/>
        <v>5</v>
      </c>
      <c r="B9" s="3" t="s">
        <v>257</v>
      </c>
      <c r="C9" s="13">
        <v>45219</v>
      </c>
      <c r="D9" s="3" t="s">
        <v>367</v>
      </c>
      <c r="E9" s="3"/>
      <c r="F9" s="1">
        <v>5</v>
      </c>
      <c r="G9" s="1" t="str">
        <f t="shared" ca="1" si="0"/>
        <v>9既有橋梁拆除</v>
      </c>
    </row>
    <row r="10" spans="1:7" x14ac:dyDescent="0.25">
      <c r="A10" s="3">
        <f t="shared" si="1"/>
        <v>6</v>
      </c>
      <c r="B10" s="3" t="s">
        <v>258</v>
      </c>
      <c r="C10" s="13">
        <v>45220</v>
      </c>
      <c r="D10" s="3" t="s">
        <v>368</v>
      </c>
      <c r="E10" s="3" t="s">
        <v>27</v>
      </c>
      <c r="F10" s="1">
        <v>6</v>
      </c>
      <c r="G10" s="1" t="str">
        <f t="shared" ca="1" si="0"/>
        <v>9既有橋梁拆除</v>
      </c>
    </row>
    <row r="11" spans="1:7" x14ac:dyDescent="0.25">
      <c r="A11" s="3">
        <f t="shared" si="1"/>
        <v>7</v>
      </c>
      <c r="B11" s="3" t="s">
        <v>259</v>
      </c>
      <c r="C11" s="13">
        <v>45221</v>
      </c>
      <c r="D11" s="3" t="s">
        <v>368</v>
      </c>
      <c r="E11" s="3"/>
      <c r="F11" s="1">
        <v>7</v>
      </c>
      <c r="G11" s="1" t="str">
        <f t="shared" ca="1" si="0"/>
        <v>9既有橋梁拆除</v>
      </c>
    </row>
    <row r="12" spans="1:7" x14ac:dyDescent="0.25">
      <c r="A12" s="3">
        <f t="shared" si="1"/>
        <v>8</v>
      </c>
      <c r="B12" s="3" t="s">
        <v>260</v>
      </c>
      <c r="C12" s="13">
        <v>45222</v>
      </c>
      <c r="D12" s="3" t="s">
        <v>369</v>
      </c>
      <c r="E12" s="3" t="s">
        <v>27</v>
      </c>
      <c r="F12" s="1">
        <v>8</v>
      </c>
      <c r="G12" s="1" t="str">
        <f t="shared" ca="1" si="0"/>
        <v>9既有橋梁拆除</v>
      </c>
    </row>
    <row r="13" spans="1:7" x14ac:dyDescent="0.25">
      <c r="A13" s="3">
        <f t="shared" si="1"/>
        <v>9</v>
      </c>
      <c r="B13" s="3" t="s">
        <v>401</v>
      </c>
      <c r="C13" s="13">
        <v>45223</v>
      </c>
      <c r="D13" s="3" t="s">
        <v>369</v>
      </c>
      <c r="E13" s="3"/>
      <c r="F13" s="1">
        <v>9</v>
      </c>
      <c r="G13" s="1" t="str">
        <f t="shared" ca="1" si="0"/>
        <v>既有橋梁拆除</v>
      </c>
    </row>
    <row r="14" spans="1:7" x14ac:dyDescent="0.25">
      <c r="A14" s="3">
        <f t="shared" si="1"/>
        <v>10</v>
      </c>
      <c r="B14" s="3" t="s">
        <v>400</v>
      </c>
      <c r="C14" s="13">
        <v>45225</v>
      </c>
      <c r="D14" s="3" t="s">
        <v>369</v>
      </c>
      <c r="E14" s="3" t="s">
        <v>27</v>
      </c>
    </row>
    <row r="15" spans="1:7" x14ac:dyDescent="0.25">
      <c r="A15" s="3">
        <f t="shared" si="1"/>
        <v>11</v>
      </c>
      <c r="B15" s="3" t="s">
        <v>404</v>
      </c>
      <c r="C15" s="13">
        <v>45226</v>
      </c>
      <c r="D15" s="3" t="s">
        <v>402</v>
      </c>
      <c r="E15" s="3"/>
    </row>
    <row r="16" spans="1:7" x14ac:dyDescent="0.25">
      <c r="A16" s="3">
        <f t="shared" si="1"/>
        <v>12</v>
      </c>
      <c r="B16" s="3" t="s">
        <v>405</v>
      </c>
      <c r="C16" s="13">
        <v>45258</v>
      </c>
      <c r="D16" s="3" t="s">
        <v>403</v>
      </c>
      <c r="E16" s="3"/>
    </row>
    <row r="17" spans="1:5" x14ac:dyDescent="0.25">
      <c r="A17" s="3">
        <f t="shared" si="1"/>
        <v>13</v>
      </c>
      <c r="B17" s="3" t="s">
        <v>421</v>
      </c>
      <c r="C17" s="13">
        <v>45356</v>
      </c>
      <c r="D17" s="3" t="s">
        <v>422</v>
      </c>
      <c r="E17" s="3"/>
    </row>
    <row r="18" spans="1:5" x14ac:dyDescent="0.25">
      <c r="A18" s="3">
        <f t="shared" si="1"/>
        <v>14</v>
      </c>
      <c r="B18" s="3" t="s">
        <v>423</v>
      </c>
      <c r="C18" s="13">
        <v>45362</v>
      </c>
      <c r="D18" s="3" t="s">
        <v>424</v>
      </c>
      <c r="E18" s="3" t="s">
        <v>27</v>
      </c>
    </row>
    <row r="19" spans="1:5" x14ac:dyDescent="0.25">
      <c r="A19" s="3"/>
      <c r="B19" s="3"/>
      <c r="C19" s="13"/>
      <c r="D19" s="3"/>
      <c r="E19" s="3"/>
    </row>
    <row r="20" spans="1:5" x14ac:dyDescent="0.25">
      <c r="A20" s="3"/>
      <c r="B20" s="3"/>
      <c r="C20" s="13"/>
      <c r="D20" s="3"/>
      <c r="E20" s="3"/>
    </row>
    <row r="21" spans="1:5" x14ac:dyDescent="0.25">
      <c r="A21" s="3"/>
      <c r="B21" s="3"/>
      <c r="C21" s="13"/>
      <c r="D21" s="3"/>
      <c r="E21" s="3"/>
    </row>
    <row r="22" spans="1:5" x14ac:dyDescent="0.25">
      <c r="A22" s="3"/>
      <c r="B22" s="3"/>
      <c r="C22" s="13"/>
      <c r="D22" s="3"/>
      <c r="E22" s="3"/>
    </row>
    <row r="23" spans="1:5" x14ac:dyDescent="0.25">
      <c r="A23" s="3"/>
      <c r="B23" s="3"/>
      <c r="C23" s="13"/>
      <c r="D23" s="3"/>
      <c r="E23" s="3"/>
    </row>
    <row r="24" spans="1:5" x14ac:dyDescent="0.25">
      <c r="A24" s="3"/>
      <c r="B24" s="3"/>
      <c r="C24" s="13"/>
      <c r="D24" s="3"/>
      <c r="E24" s="3"/>
    </row>
    <row r="25" spans="1:5" x14ac:dyDescent="0.25">
      <c r="A25" s="3"/>
      <c r="B25" s="3"/>
      <c r="C25" s="13"/>
      <c r="D25" s="3"/>
      <c r="E25" s="3"/>
    </row>
    <row r="26" spans="1:5" x14ac:dyDescent="0.25">
      <c r="A26" s="3"/>
      <c r="B26" s="3"/>
      <c r="C26" s="13"/>
      <c r="D26" s="3"/>
      <c r="E26" s="3"/>
    </row>
    <row r="27" spans="1:5" x14ac:dyDescent="0.25">
      <c r="A27" s="3"/>
      <c r="B27" s="3"/>
      <c r="C27" s="13"/>
      <c r="D27" s="3"/>
      <c r="E27" s="3"/>
    </row>
    <row r="28" spans="1:5" x14ac:dyDescent="0.25">
      <c r="A28" s="3"/>
      <c r="B28" s="3"/>
      <c r="C28" s="13"/>
      <c r="D28" s="3"/>
      <c r="E28" s="3"/>
    </row>
    <row r="29" spans="1:5" x14ac:dyDescent="0.25">
      <c r="A29" s="3"/>
      <c r="B29" s="3"/>
      <c r="C29" s="13"/>
      <c r="D29" s="3"/>
      <c r="E29" s="3"/>
    </row>
    <row r="30" spans="1:5" x14ac:dyDescent="0.25">
      <c r="A30" s="3"/>
      <c r="B30" s="3"/>
      <c r="C30" s="13"/>
      <c r="D30" s="3"/>
      <c r="E30" s="3"/>
    </row>
    <row r="31" spans="1:5" x14ac:dyDescent="0.25">
      <c r="A31" s="3"/>
      <c r="B31" s="3"/>
      <c r="C31" s="13"/>
      <c r="D31" s="3"/>
      <c r="E31" s="3"/>
    </row>
    <row r="32" spans="1:5" x14ac:dyDescent="0.25">
      <c r="A32" s="3"/>
      <c r="B32" s="3"/>
      <c r="C32" s="13"/>
      <c r="D32" s="3"/>
      <c r="E32" s="3"/>
    </row>
    <row r="33" spans="1:5" x14ac:dyDescent="0.25">
      <c r="A33" s="3"/>
      <c r="B33" s="3"/>
      <c r="C33" s="13"/>
      <c r="D33" s="3"/>
      <c r="E33" s="3"/>
    </row>
    <row r="34" spans="1:5" x14ac:dyDescent="0.25">
      <c r="A34" s="3"/>
      <c r="B34" s="3"/>
      <c r="C34" s="13"/>
      <c r="D34" s="3"/>
      <c r="E34" s="3"/>
    </row>
  </sheetData>
  <mergeCells count="3">
    <mergeCell ref="A1:E1"/>
    <mergeCell ref="A2:E2"/>
    <mergeCell ref="A3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CEAD-90C4-4E15-9F02-35F61584844B}">
  <sheetPr codeName="工作表3">
    <tabColor rgb="FFFFFF00"/>
  </sheetPr>
  <dimension ref="A1:U24"/>
  <sheetViews>
    <sheetView view="pageBreakPreview" zoomScale="85" zoomScaleNormal="85" zoomScaleSheetLayoutView="85"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J38" sqref="J38"/>
    </sheetView>
  </sheetViews>
  <sheetFormatPr defaultRowHeight="32.25" customHeight="1" x14ac:dyDescent="0.25"/>
  <cols>
    <col min="1" max="1" width="15.375" style="3" customWidth="1"/>
    <col min="2" max="2" width="11.125" style="3" customWidth="1"/>
    <col min="3" max="3" width="15.375" style="13" customWidth="1"/>
    <col min="4" max="5" width="15.375" style="16" customWidth="1"/>
    <col min="6" max="8" width="14.125" style="3" customWidth="1"/>
    <col min="9" max="9" width="15.375" style="4" customWidth="1"/>
    <col min="10" max="10" width="15.625" style="4" customWidth="1"/>
    <col min="11" max="11" width="23.75" style="55" bestFit="1" customWidth="1"/>
    <col min="12" max="12" width="9.875" style="1" bestFit="1" customWidth="1"/>
    <col min="13" max="14" width="9" style="1"/>
    <col min="15" max="15" width="15.75" style="55" bestFit="1" customWidth="1"/>
    <col min="16" max="19" width="9" style="1"/>
    <col min="20" max="21" width="15.125" style="1" customWidth="1"/>
    <col min="22" max="16384" width="9" style="1"/>
  </cols>
  <sheetData>
    <row r="1" spans="1:21" ht="32.25" customHeight="1" thickBot="1" x14ac:dyDescent="0.3">
      <c r="A1" s="113" t="s">
        <v>19</v>
      </c>
      <c r="B1" s="113"/>
      <c r="C1" s="113"/>
      <c r="D1" s="113"/>
      <c r="E1" s="113"/>
      <c r="F1" s="113"/>
      <c r="G1" s="113"/>
      <c r="H1" s="113"/>
      <c r="I1" s="113"/>
      <c r="J1" s="113"/>
      <c r="K1" s="64"/>
      <c r="O1" s="68"/>
    </row>
    <row r="2" spans="1:21" ht="32.25" customHeight="1" thickBot="1" x14ac:dyDescent="0.3">
      <c r="A2" s="94" t="s">
        <v>2</v>
      </c>
      <c r="B2" s="65" t="s">
        <v>312</v>
      </c>
      <c r="C2" s="104" t="s">
        <v>12</v>
      </c>
      <c r="D2" s="95" t="s">
        <v>143</v>
      </c>
      <c r="E2" s="95" t="s">
        <v>11</v>
      </c>
      <c r="F2" s="65" t="s">
        <v>0</v>
      </c>
      <c r="G2" s="65" t="s">
        <v>13</v>
      </c>
      <c r="H2" s="65" t="s">
        <v>10</v>
      </c>
      <c r="I2" s="96" t="s">
        <v>9</v>
      </c>
      <c r="J2" s="97" t="s">
        <v>14</v>
      </c>
      <c r="K2" s="55" t="s">
        <v>289</v>
      </c>
      <c r="L2" s="55" t="s">
        <v>129</v>
      </c>
      <c r="M2" s="1" t="s">
        <v>125</v>
      </c>
      <c r="N2" s="1" t="s">
        <v>128</v>
      </c>
      <c r="O2" s="68"/>
    </row>
    <row r="3" spans="1:21" ht="32.25" customHeight="1" x14ac:dyDescent="0.25">
      <c r="A3" s="83">
        <v>1</v>
      </c>
      <c r="B3" s="84" t="s">
        <v>313</v>
      </c>
      <c r="C3" s="85">
        <v>45275</v>
      </c>
      <c r="D3" s="85">
        <v>45278</v>
      </c>
      <c r="E3" s="85">
        <v>45282</v>
      </c>
      <c r="F3" s="84" t="s">
        <v>264</v>
      </c>
      <c r="G3" s="84" t="s">
        <v>265</v>
      </c>
      <c r="H3" s="84" t="s">
        <v>266</v>
      </c>
      <c r="I3" s="86">
        <v>5500</v>
      </c>
      <c r="J3" s="87">
        <f>SUMIFS(I:I,F:F,F3,A:A,"&lt;=1")</f>
        <v>5500</v>
      </c>
      <c r="K3" s="55" t="s">
        <v>140</v>
      </c>
      <c r="L3" s="2" t="s">
        <v>123</v>
      </c>
      <c r="M3" s="2" t="s">
        <v>123</v>
      </c>
      <c r="N3" s="2" t="s">
        <v>123</v>
      </c>
      <c r="O3" s="68"/>
    </row>
    <row r="4" spans="1:21" ht="32.25" customHeight="1" x14ac:dyDescent="0.25">
      <c r="A4" s="18">
        <f>A3+1</f>
        <v>2</v>
      </c>
      <c r="B4" s="3" t="s">
        <v>313</v>
      </c>
      <c r="C4" s="13">
        <v>45275</v>
      </c>
      <c r="D4" s="13">
        <v>45278</v>
      </c>
      <c r="E4" s="13">
        <v>45282</v>
      </c>
      <c r="F4" s="3" t="s">
        <v>264</v>
      </c>
      <c r="G4" s="3" t="s">
        <v>267</v>
      </c>
      <c r="H4" s="3" t="s">
        <v>266</v>
      </c>
      <c r="I4" s="4">
        <v>19500</v>
      </c>
      <c r="J4" s="88">
        <f>SUMIFS(I:I,F:F,F4,A:A,"&lt;=2")</f>
        <v>25000</v>
      </c>
      <c r="K4" s="55" t="s">
        <v>140</v>
      </c>
      <c r="L4" s="2" t="s">
        <v>123</v>
      </c>
      <c r="M4" s="2" t="s">
        <v>123</v>
      </c>
      <c r="N4" s="2" t="s">
        <v>123</v>
      </c>
      <c r="O4" s="68"/>
    </row>
    <row r="5" spans="1:21" ht="32.25" customHeight="1" x14ac:dyDescent="0.25">
      <c r="A5" s="18">
        <f t="shared" ref="A5:A23" si="0">A4+1</f>
        <v>3</v>
      </c>
      <c r="B5" s="3" t="s">
        <v>313</v>
      </c>
      <c r="C5" s="13">
        <v>45275</v>
      </c>
      <c r="D5" s="13">
        <v>45278</v>
      </c>
      <c r="E5" s="13">
        <v>45282</v>
      </c>
      <c r="F5" s="3" t="s">
        <v>264</v>
      </c>
      <c r="G5" s="3" t="s">
        <v>268</v>
      </c>
      <c r="H5" s="3" t="s">
        <v>269</v>
      </c>
      <c r="I5" s="4">
        <v>13500</v>
      </c>
      <c r="J5" s="88">
        <f>SUMIFS(I:I,F:F,F5,A:A,"&lt;=3")</f>
        <v>38500</v>
      </c>
      <c r="K5" s="55" t="s">
        <v>140</v>
      </c>
      <c r="L5" s="2" t="s">
        <v>123</v>
      </c>
      <c r="M5" s="2" t="s">
        <v>123</v>
      </c>
      <c r="N5" s="2" t="s">
        <v>123</v>
      </c>
      <c r="O5" s="68"/>
    </row>
    <row r="6" spans="1:21" ht="32.25" customHeight="1" thickBot="1" x14ac:dyDescent="0.3">
      <c r="A6" s="89">
        <f t="shared" si="0"/>
        <v>4</v>
      </c>
      <c r="B6" s="90" t="s">
        <v>313</v>
      </c>
      <c r="C6" s="91">
        <v>45275</v>
      </c>
      <c r="D6" s="91">
        <v>45278</v>
      </c>
      <c r="E6" s="91">
        <v>45282</v>
      </c>
      <c r="F6" s="90" t="s">
        <v>264</v>
      </c>
      <c r="G6" s="90" t="s">
        <v>270</v>
      </c>
      <c r="H6" s="90" t="s">
        <v>269</v>
      </c>
      <c r="I6" s="92">
        <v>10500</v>
      </c>
      <c r="J6" s="93">
        <f>SUMIFS(I:I,F:F,F6,A:A,"&lt;=4")</f>
        <v>49000</v>
      </c>
      <c r="K6" s="55" t="s">
        <v>140</v>
      </c>
      <c r="L6" s="2" t="s">
        <v>123</v>
      </c>
      <c r="M6" s="2" t="s">
        <v>123</v>
      </c>
      <c r="N6" s="2" t="s">
        <v>123</v>
      </c>
      <c r="O6" s="68"/>
    </row>
    <row r="7" spans="1:21" ht="32.25" customHeight="1" x14ac:dyDescent="0.25">
      <c r="A7" s="83">
        <f t="shared" si="0"/>
        <v>5</v>
      </c>
      <c r="B7" s="84" t="s">
        <v>314</v>
      </c>
      <c r="C7" s="85">
        <v>45282</v>
      </c>
      <c r="D7" s="85">
        <v>45282</v>
      </c>
      <c r="E7" s="85">
        <v>45287</v>
      </c>
      <c r="F7" s="84" t="s">
        <v>271</v>
      </c>
      <c r="G7" s="84" t="s">
        <v>272</v>
      </c>
      <c r="H7" s="84" t="s">
        <v>273</v>
      </c>
      <c r="I7" s="86">
        <v>25000</v>
      </c>
      <c r="J7" s="87">
        <f>SUMIFS(I:I,F:F,F7,A:A,"&lt;=5")</f>
        <v>25000</v>
      </c>
      <c r="K7" s="55" t="s">
        <v>378</v>
      </c>
      <c r="L7" s="2" t="s">
        <v>123</v>
      </c>
      <c r="M7" s="2" t="s">
        <v>123</v>
      </c>
      <c r="N7" s="2" t="s">
        <v>123</v>
      </c>
      <c r="O7" s="68"/>
    </row>
    <row r="8" spans="1:21" ht="32.25" customHeight="1" x14ac:dyDescent="0.25">
      <c r="A8" s="18">
        <f t="shared" si="0"/>
        <v>6</v>
      </c>
      <c r="B8" s="3" t="s">
        <v>314</v>
      </c>
      <c r="C8" s="13">
        <v>45282</v>
      </c>
      <c r="D8" s="13">
        <v>45282</v>
      </c>
      <c r="E8" s="13">
        <v>45287</v>
      </c>
      <c r="F8" s="3" t="s">
        <v>271</v>
      </c>
      <c r="G8" s="3" t="s">
        <v>274</v>
      </c>
      <c r="H8" s="3" t="s">
        <v>275</v>
      </c>
      <c r="I8" s="4">
        <v>23000</v>
      </c>
      <c r="J8" s="88">
        <f>SUMIFS(I:I,F:F,F8,A:A,"&lt;=6")</f>
        <v>48000</v>
      </c>
      <c r="K8" s="55" t="s">
        <v>140</v>
      </c>
      <c r="L8" s="2" t="s">
        <v>123</v>
      </c>
      <c r="M8" s="2" t="s">
        <v>123</v>
      </c>
      <c r="N8" s="2" t="s">
        <v>123</v>
      </c>
      <c r="O8" s="68"/>
    </row>
    <row r="9" spans="1:21" ht="32.25" customHeight="1" x14ac:dyDescent="0.25">
      <c r="A9" s="18">
        <f t="shared" si="0"/>
        <v>7</v>
      </c>
      <c r="B9" s="3" t="s">
        <v>314</v>
      </c>
      <c r="C9" s="13">
        <v>45282</v>
      </c>
      <c r="D9" s="13">
        <v>45282</v>
      </c>
      <c r="E9" s="13">
        <v>45287</v>
      </c>
      <c r="F9" s="3" t="s">
        <v>271</v>
      </c>
      <c r="G9" s="3" t="s">
        <v>276</v>
      </c>
      <c r="H9" s="3" t="s">
        <v>277</v>
      </c>
      <c r="I9" s="4">
        <v>13500</v>
      </c>
      <c r="J9" s="88">
        <f>SUMIFS(I:I,F:F,F9,A:A,"&lt;=7")</f>
        <v>61500</v>
      </c>
      <c r="K9" s="55" t="s">
        <v>140</v>
      </c>
      <c r="L9" s="2" t="s">
        <v>123</v>
      </c>
      <c r="M9" s="2" t="s">
        <v>123</v>
      </c>
      <c r="N9" s="2" t="s">
        <v>123</v>
      </c>
      <c r="O9" s="68"/>
    </row>
    <row r="10" spans="1:21" ht="32.25" customHeight="1" thickBot="1" x14ac:dyDescent="0.3">
      <c r="A10" s="89">
        <f t="shared" si="0"/>
        <v>8</v>
      </c>
      <c r="B10" s="90" t="s">
        <v>314</v>
      </c>
      <c r="C10" s="91">
        <v>45282</v>
      </c>
      <c r="D10" s="91">
        <v>45282</v>
      </c>
      <c r="E10" s="91">
        <v>45287</v>
      </c>
      <c r="F10" s="90" t="s">
        <v>271</v>
      </c>
      <c r="G10" s="90" t="s">
        <v>278</v>
      </c>
      <c r="H10" s="90" t="s">
        <v>277</v>
      </c>
      <c r="I10" s="92">
        <v>11500</v>
      </c>
      <c r="J10" s="93">
        <f>SUMIFS(I:I,F:F,F10,A:A,"&lt;=8")</f>
        <v>73000</v>
      </c>
      <c r="K10" s="55" t="s">
        <v>140</v>
      </c>
      <c r="L10" s="2" t="s">
        <v>123</v>
      </c>
      <c r="M10" s="2" t="s">
        <v>123</v>
      </c>
      <c r="N10" s="2" t="s">
        <v>123</v>
      </c>
      <c r="O10" s="68"/>
    </row>
    <row r="11" spans="1:21" ht="32.25" customHeight="1" x14ac:dyDescent="0.25">
      <c r="A11" s="58">
        <f t="shared" si="0"/>
        <v>9</v>
      </c>
      <c r="B11" s="58" t="s">
        <v>315</v>
      </c>
      <c r="C11" s="81">
        <v>45316</v>
      </c>
      <c r="D11" s="81">
        <v>45317</v>
      </c>
      <c r="E11" s="81">
        <v>45321</v>
      </c>
      <c r="F11" s="58" t="s">
        <v>316</v>
      </c>
      <c r="G11" s="58" t="s">
        <v>317</v>
      </c>
      <c r="H11" s="58" t="s">
        <v>320</v>
      </c>
      <c r="I11" s="82">
        <v>17000</v>
      </c>
      <c r="J11" s="82">
        <f>SUMIFS(I:I,F:F,F11,A:A,"&lt;=9")</f>
        <v>66000</v>
      </c>
      <c r="K11" s="55" t="s">
        <v>140</v>
      </c>
      <c r="L11" s="2" t="s">
        <v>123</v>
      </c>
      <c r="M11" s="2" t="s">
        <v>123</v>
      </c>
      <c r="N11" s="2" t="s">
        <v>123</v>
      </c>
      <c r="O11" s="68"/>
      <c r="T11" s="3">
        <f t="shared" ref="T11:T18" si="1">SUMIFS(F:F,H:H,U11)</f>
        <v>0</v>
      </c>
      <c r="U11" s="3" t="s">
        <v>132</v>
      </c>
    </row>
    <row r="12" spans="1:21" ht="32.25" customHeight="1" x14ac:dyDescent="0.25">
      <c r="A12" s="3">
        <f t="shared" si="0"/>
        <v>10</v>
      </c>
      <c r="B12" s="3" t="s">
        <v>315</v>
      </c>
      <c r="C12" s="13">
        <v>45316</v>
      </c>
      <c r="D12" s="13">
        <v>45317</v>
      </c>
      <c r="E12" s="13">
        <v>45321</v>
      </c>
      <c r="F12" s="3" t="s">
        <v>316</v>
      </c>
      <c r="G12" s="3" t="s">
        <v>318</v>
      </c>
      <c r="H12" s="3" t="s">
        <v>319</v>
      </c>
      <c r="I12" s="4">
        <v>8500</v>
      </c>
      <c r="J12" s="4">
        <f>SUMIFS(I:I,F:F,F12,A:A,"&lt;=10")</f>
        <v>74500</v>
      </c>
      <c r="K12" s="55" t="s">
        <v>140</v>
      </c>
      <c r="L12" s="2" t="s">
        <v>123</v>
      </c>
      <c r="M12" s="2" t="s">
        <v>123</v>
      </c>
      <c r="N12" s="2" t="s">
        <v>123</v>
      </c>
      <c r="O12" s="68"/>
      <c r="T12" s="3">
        <f t="shared" si="1"/>
        <v>0</v>
      </c>
      <c r="U12" s="3" t="s">
        <v>133</v>
      </c>
    </row>
    <row r="13" spans="1:21" ht="32.25" customHeight="1" x14ac:dyDescent="0.25">
      <c r="A13" s="3">
        <f t="shared" si="0"/>
        <v>11</v>
      </c>
      <c r="B13" s="3" t="s">
        <v>315</v>
      </c>
      <c r="C13" s="13">
        <v>45316</v>
      </c>
      <c r="D13" s="13">
        <v>45317</v>
      </c>
      <c r="E13" s="13">
        <v>45321</v>
      </c>
      <c r="F13" s="3" t="s">
        <v>316</v>
      </c>
      <c r="G13" s="3" t="s">
        <v>322</v>
      </c>
      <c r="H13" s="3" t="s">
        <v>321</v>
      </c>
      <c r="I13" s="4">
        <v>2500</v>
      </c>
      <c r="J13" s="4">
        <f>SUMIFS(I:I,F:F,F13,A:A,"&lt;=11")</f>
        <v>77000</v>
      </c>
      <c r="K13" s="55" t="s">
        <v>140</v>
      </c>
      <c r="L13" s="2" t="s">
        <v>123</v>
      </c>
      <c r="M13" s="2" t="s">
        <v>123</v>
      </c>
      <c r="N13" s="2" t="s">
        <v>123</v>
      </c>
      <c r="O13" s="68"/>
      <c r="T13" s="3">
        <f t="shared" si="1"/>
        <v>0</v>
      </c>
      <c r="U13" s="3" t="s">
        <v>134</v>
      </c>
    </row>
    <row r="14" spans="1:21" ht="32.25" customHeight="1" x14ac:dyDescent="0.25">
      <c r="A14" s="3">
        <f t="shared" si="0"/>
        <v>12</v>
      </c>
      <c r="B14" s="3" t="s">
        <v>315</v>
      </c>
      <c r="C14" s="13">
        <v>45316</v>
      </c>
      <c r="D14" s="13">
        <v>45317</v>
      </c>
      <c r="E14" s="13">
        <v>45321</v>
      </c>
      <c r="F14" s="3" t="s">
        <v>316</v>
      </c>
      <c r="G14" s="3" t="s">
        <v>323</v>
      </c>
      <c r="H14" s="3" t="s">
        <v>321</v>
      </c>
      <c r="I14" s="4">
        <v>23000</v>
      </c>
      <c r="J14" s="4">
        <f>SUMIFS(I:I,F:F,F14,A:A,"&lt;=12")</f>
        <v>100000</v>
      </c>
      <c r="K14" s="55" t="s">
        <v>140</v>
      </c>
      <c r="L14" s="2" t="s">
        <v>123</v>
      </c>
      <c r="M14" s="2" t="s">
        <v>123</v>
      </c>
      <c r="N14" s="2" t="s">
        <v>123</v>
      </c>
      <c r="O14" s="68"/>
      <c r="T14" s="3">
        <f t="shared" si="1"/>
        <v>0</v>
      </c>
      <c r="U14" s="3" t="s">
        <v>135</v>
      </c>
    </row>
    <row r="15" spans="1:21" ht="32.25" customHeight="1" x14ac:dyDescent="0.25">
      <c r="A15" s="3">
        <f t="shared" si="0"/>
        <v>13</v>
      </c>
      <c r="B15" s="3" t="s">
        <v>315</v>
      </c>
      <c r="C15" s="13">
        <v>45316</v>
      </c>
      <c r="D15" s="13">
        <v>45317</v>
      </c>
      <c r="E15" s="13">
        <v>45321</v>
      </c>
      <c r="F15" s="3" t="s">
        <v>316</v>
      </c>
      <c r="G15" s="3" t="s">
        <v>325</v>
      </c>
      <c r="H15" s="3" t="s">
        <v>324</v>
      </c>
      <c r="I15" s="4">
        <v>25000</v>
      </c>
      <c r="J15" s="4">
        <f>SUMIFS(I:I,F:F,F15,A:A,"&lt;=13")</f>
        <v>125000</v>
      </c>
      <c r="K15" s="55" t="s">
        <v>140</v>
      </c>
      <c r="L15" s="2" t="s">
        <v>123</v>
      </c>
      <c r="M15" s="2" t="s">
        <v>123</v>
      </c>
      <c r="N15" s="2" t="s">
        <v>123</v>
      </c>
      <c r="O15" s="68"/>
      <c r="T15" s="3">
        <f t="shared" si="1"/>
        <v>0</v>
      </c>
      <c r="U15" s="3" t="s">
        <v>136</v>
      </c>
    </row>
    <row r="16" spans="1:21" ht="32.25" customHeight="1" x14ac:dyDescent="0.25">
      <c r="A16" s="3">
        <f t="shared" si="0"/>
        <v>14</v>
      </c>
      <c r="B16" s="3" t="s">
        <v>315</v>
      </c>
      <c r="C16" s="13">
        <v>45316</v>
      </c>
      <c r="D16" s="13">
        <v>45317</v>
      </c>
      <c r="E16" s="13">
        <v>45321</v>
      </c>
      <c r="F16" s="3" t="s">
        <v>316</v>
      </c>
      <c r="G16" s="3" t="s">
        <v>327</v>
      </c>
      <c r="H16" s="3" t="s">
        <v>326</v>
      </c>
      <c r="I16" s="4">
        <v>23000</v>
      </c>
      <c r="J16" s="4">
        <f>SUMIFS(I:I,F:F,F16,A:A,"&lt;=14")</f>
        <v>148000</v>
      </c>
      <c r="K16" s="55" t="s">
        <v>140</v>
      </c>
      <c r="L16" s="2" t="s">
        <v>123</v>
      </c>
      <c r="M16" s="2" t="s">
        <v>123</v>
      </c>
      <c r="N16" s="2" t="s">
        <v>123</v>
      </c>
      <c r="O16" s="68"/>
      <c r="T16" s="3">
        <f t="shared" si="1"/>
        <v>0</v>
      </c>
      <c r="U16" s="3" t="s">
        <v>137</v>
      </c>
    </row>
    <row r="17" spans="1:21" ht="32.25" customHeight="1" x14ac:dyDescent="0.25">
      <c r="A17" s="3">
        <f t="shared" si="0"/>
        <v>15</v>
      </c>
      <c r="B17" s="3" t="s">
        <v>315</v>
      </c>
      <c r="C17" s="13">
        <v>45316</v>
      </c>
      <c r="D17" s="13">
        <v>45317</v>
      </c>
      <c r="E17" s="13">
        <v>45321</v>
      </c>
      <c r="F17" s="3" t="s">
        <v>316</v>
      </c>
      <c r="G17" s="3" t="s">
        <v>328</v>
      </c>
      <c r="H17" s="3" t="s">
        <v>330</v>
      </c>
      <c r="I17" s="4">
        <v>2500</v>
      </c>
      <c r="J17" s="4">
        <f>SUMIFS(I:I,F:F,F17,A:A,"&lt;=15")</f>
        <v>150500</v>
      </c>
      <c r="K17" s="55" t="s">
        <v>140</v>
      </c>
      <c r="L17" s="2" t="s">
        <v>123</v>
      </c>
      <c r="M17" s="2" t="s">
        <v>123</v>
      </c>
      <c r="N17" s="2" t="s">
        <v>123</v>
      </c>
      <c r="O17" s="68"/>
      <c r="T17" s="3">
        <f t="shared" si="1"/>
        <v>0</v>
      </c>
      <c r="U17" s="3" t="s">
        <v>138</v>
      </c>
    </row>
    <row r="18" spans="1:21" ht="32.25" customHeight="1" x14ac:dyDescent="0.25">
      <c r="A18" s="3">
        <f t="shared" si="0"/>
        <v>16</v>
      </c>
      <c r="B18" s="3" t="s">
        <v>315</v>
      </c>
      <c r="C18" s="13">
        <v>45316</v>
      </c>
      <c r="D18" s="13">
        <v>45317</v>
      </c>
      <c r="E18" s="13">
        <v>45321</v>
      </c>
      <c r="F18" s="3" t="s">
        <v>316</v>
      </c>
      <c r="G18" s="3" t="s">
        <v>329</v>
      </c>
      <c r="H18" s="3" t="s">
        <v>330</v>
      </c>
      <c r="I18" s="4">
        <v>20000</v>
      </c>
      <c r="J18" s="4">
        <f>SUMIFS(I:I,F:F,F18,A:A,"&lt;=16")</f>
        <v>170500</v>
      </c>
      <c r="K18" s="55" t="s">
        <v>140</v>
      </c>
      <c r="L18" s="2" t="s">
        <v>123</v>
      </c>
      <c r="M18" s="2" t="s">
        <v>123</v>
      </c>
      <c r="N18" s="2" t="s">
        <v>123</v>
      </c>
      <c r="O18" s="68"/>
      <c r="T18" s="3">
        <f t="shared" si="1"/>
        <v>0</v>
      </c>
      <c r="U18" s="3" t="s">
        <v>139</v>
      </c>
    </row>
    <row r="19" spans="1:21" ht="32.25" customHeight="1" x14ac:dyDescent="0.25">
      <c r="A19" s="3">
        <f t="shared" si="0"/>
        <v>17</v>
      </c>
      <c r="B19" s="3" t="s">
        <v>315</v>
      </c>
      <c r="C19" s="13">
        <v>45316</v>
      </c>
      <c r="D19" s="13">
        <v>45317</v>
      </c>
      <c r="E19" s="13">
        <v>45321</v>
      </c>
      <c r="F19" s="3" t="s">
        <v>316</v>
      </c>
      <c r="G19" s="3" t="s">
        <v>332</v>
      </c>
      <c r="H19" s="3" t="s">
        <v>331</v>
      </c>
      <c r="I19" s="4">
        <v>22000</v>
      </c>
      <c r="J19" s="4">
        <f>SUMIFS(I:I,F:F,F19,A:A,"&lt;=17")</f>
        <v>192500</v>
      </c>
      <c r="K19" s="55" t="s">
        <v>140</v>
      </c>
      <c r="L19" s="2" t="s">
        <v>123</v>
      </c>
      <c r="M19" s="2" t="s">
        <v>123</v>
      </c>
      <c r="N19" s="2" t="s">
        <v>123</v>
      </c>
    </row>
    <row r="20" spans="1:21" ht="32.25" customHeight="1" x14ac:dyDescent="0.25">
      <c r="A20" s="3">
        <f t="shared" si="0"/>
        <v>18</v>
      </c>
      <c r="B20" s="3" t="s">
        <v>315</v>
      </c>
      <c r="C20" s="13">
        <v>45316</v>
      </c>
      <c r="D20" s="13">
        <v>45317</v>
      </c>
      <c r="E20" s="13">
        <v>45321</v>
      </c>
      <c r="F20" s="3" t="s">
        <v>316</v>
      </c>
      <c r="G20" s="3" t="s">
        <v>333</v>
      </c>
      <c r="H20" s="3" t="s">
        <v>331</v>
      </c>
      <c r="I20" s="4">
        <v>2500</v>
      </c>
      <c r="J20" s="4">
        <f>SUMIFS(I:I,F:F,F20,A:A,"&lt;=18")</f>
        <v>195000</v>
      </c>
      <c r="K20" s="55" t="s">
        <v>140</v>
      </c>
      <c r="L20" s="2" t="s">
        <v>123</v>
      </c>
      <c r="M20" s="2" t="s">
        <v>123</v>
      </c>
      <c r="N20" s="2" t="s">
        <v>123</v>
      </c>
    </row>
    <row r="21" spans="1:21" ht="32.25" customHeight="1" x14ac:dyDescent="0.25">
      <c r="A21" s="3">
        <f t="shared" si="0"/>
        <v>19</v>
      </c>
      <c r="B21" s="3" t="s">
        <v>472</v>
      </c>
      <c r="C21" s="13">
        <v>45376</v>
      </c>
      <c r="D21" s="13">
        <v>45376</v>
      </c>
      <c r="E21" s="13">
        <v>45383</v>
      </c>
      <c r="F21" s="3" t="s">
        <v>316</v>
      </c>
      <c r="G21" s="3" t="s">
        <v>473</v>
      </c>
      <c r="H21" s="3" t="s">
        <v>476</v>
      </c>
      <c r="I21" s="4">
        <v>11500</v>
      </c>
      <c r="J21" s="4">
        <f>SUMIFS(I:I,F:F,F21,A:A,"&lt;=19")</f>
        <v>206500</v>
      </c>
      <c r="K21" s="55" t="s">
        <v>140</v>
      </c>
    </row>
    <row r="22" spans="1:21" ht="32.25" customHeight="1" x14ac:dyDescent="0.25">
      <c r="A22" s="3">
        <f t="shared" si="0"/>
        <v>20</v>
      </c>
      <c r="B22" s="3" t="s">
        <v>471</v>
      </c>
      <c r="C22" s="13">
        <v>45376</v>
      </c>
      <c r="D22" s="13">
        <v>45376</v>
      </c>
      <c r="E22" s="13">
        <v>45383</v>
      </c>
      <c r="F22" s="3" t="s">
        <v>316</v>
      </c>
      <c r="G22" s="3" t="s">
        <v>474</v>
      </c>
      <c r="H22" s="3" t="s">
        <v>476</v>
      </c>
      <c r="I22" s="4">
        <v>14500</v>
      </c>
      <c r="J22" s="4">
        <f>SUMIFS(I:I,F:F,F22,A:A,"&lt;=20")</f>
        <v>221000</v>
      </c>
      <c r="K22" s="55" t="s">
        <v>140</v>
      </c>
    </row>
    <row r="23" spans="1:21" ht="32.25" customHeight="1" x14ac:dyDescent="0.25">
      <c r="A23" s="3">
        <f t="shared" si="0"/>
        <v>21</v>
      </c>
      <c r="B23" s="3" t="s">
        <v>471</v>
      </c>
      <c r="C23" s="13">
        <v>45376</v>
      </c>
      <c r="D23" s="13">
        <v>45376</v>
      </c>
      <c r="E23" s="13">
        <v>45383</v>
      </c>
      <c r="F23" s="3" t="s">
        <v>316</v>
      </c>
      <c r="G23" s="3" t="s">
        <v>475</v>
      </c>
      <c r="H23" s="3" t="s">
        <v>476</v>
      </c>
      <c r="I23" s="4">
        <v>25000</v>
      </c>
      <c r="J23" s="4">
        <f>SUMIFS(I:I,F:F,F23,A:A,"&lt;=21")</f>
        <v>246000</v>
      </c>
      <c r="K23" s="55" t="s">
        <v>140</v>
      </c>
    </row>
    <row r="24" spans="1:21" ht="32.25" customHeight="1" x14ac:dyDescent="0.25">
      <c r="D24" s="13"/>
    </row>
  </sheetData>
  <mergeCells count="1">
    <mergeCell ref="A1:J1"/>
  </mergeCells>
  <phoneticPr fontId="1" type="noConversion"/>
  <conditionalFormatting sqref="G1:G1048576">
    <cfRule type="duplicateValues" dxfId="3" priority="1"/>
  </conditionalFormatting>
  <conditionalFormatting sqref="G3:G18">
    <cfRule type="duplicateValues" dxfId="2" priority="4"/>
  </conditionalFormatting>
  <conditionalFormatting sqref="G21">
    <cfRule type="duplicateValues" dxfId="1" priority="3"/>
  </conditionalFormatting>
  <conditionalFormatting sqref="G23"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9" scale="88" orientation="landscape" r:id="rId1"/>
  <rowBreaks count="3" manualBreakCount="3">
    <brk id="6" max="16383" man="1"/>
    <brk id="10" max="16383" man="1"/>
    <brk id="20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2B33-825B-43F0-A521-01F4C168E254}">
  <sheetPr>
    <tabColor rgb="FFFFFF00"/>
  </sheetPr>
  <dimension ref="A1:L3"/>
  <sheetViews>
    <sheetView view="pageBreakPreview" zoomScale="130" zoomScaleNormal="85" zoomScaleSheetLayoutView="130" workbookViewId="0">
      <selection activeCell="C3" sqref="C3"/>
    </sheetView>
  </sheetViews>
  <sheetFormatPr defaultColWidth="9" defaultRowHeight="32.25" customHeight="1" x14ac:dyDescent="0.25"/>
  <cols>
    <col min="1" max="1" width="15.375" style="1" customWidth="1"/>
    <col min="2" max="2" width="15.375" style="14" customWidth="1"/>
    <col min="3" max="4" width="15.375" style="17" customWidth="1"/>
    <col min="5" max="5" width="15.375" style="55" customWidth="1"/>
    <col min="6" max="6" width="24.125" style="55" customWidth="1"/>
    <col min="7" max="7" width="13.375" style="55" bestFit="1" customWidth="1"/>
    <col min="8" max="8" width="8.5" style="55" bestFit="1" customWidth="1"/>
    <col min="9" max="9" width="9.875" style="1" bestFit="1" customWidth="1"/>
    <col min="10" max="11" width="9" style="1"/>
    <col min="12" max="12" width="15.75" style="55" bestFit="1" customWidth="1"/>
    <col min="13" max="16" width="9" style="1"/>
    <col min="17" max="18" width="15.125" style="1" customWidth="1"/>
    <col min="19" max="16384" width="9" style="1"/>
  </cols>
  <sheetData>
    <row r="1" spans="1:12" ht="32.25" customHeight="1" x14ac:dyDescent="0.25">
      <c r="A1" s="111" t="s">
        <v>290</v>
      </c>
      <c r="B1" s="111"/>
      <c r="C1" s="111"/>
      <c r="D1" s="111"/>
      <c r="E1" s="111"/>
      <c r="F1" s="111"/>
      <c r="G1" s="64"/>
      <c r="H1" s="64"/>
      <c r="L1" s="68"/>
    </row>
    <row r="2" spans="1:12" ht="32.25" customHeight="1" x14ac:dyDescent="0.25">
      <c r="A2" s="6" t="s">
        <v>2</v>
      </c>
      <c r="B2" s="80" t="s">
        <v>12</v>
      </c>
      <c r="C2" s="77" t="s">
        <v>143</v>
      </c>
      <c r="D2" s="77" t="s">
        <v>11</v>
      </c>
      <c r="E2" s="78" t="s">
        <v>9</v>
      </c>
      <c r="F2" s="78" t="s">
        <v>14</v>
      </c>
      <c r="G2" s="55" t="s">
        <v>289</v>
      </c>
      <c r="H2" s="55" t="s">
        <v>129</v>
      </c>
      <c r="I2" s="1" t="s">
        <v>125</v>
      </c>
      <c r="J2" s="1" t="s">
        <v>128</v>
      </c>
      <c r="L2" s="68"/>
    </row>
    <row r="3" spans="1:12" ht="32.25" customHeight="1" x14ac:dyDescent="0.25">
      <c r="A3" s="3">
        <v>1</v>
      </c>
      <c r="B3" s="13">
        <v>45285</v>
      </c>
      <c r="C3" s="13">
        <v>45239</v>
      </c>
      <c r="D3" s="13">
        <v>45254</v>
      </c>
      <c r="E3" s="4" t="s">
        <v>288</v>
      </c>
      <c r="F3" s="4" t="str">
        <f>E3</f>
        <v>41支</v>
      </c>
      <c r="G3" s="55" t="s">
        <v>287</v>
      </c>
      <c r="H3" s="2" t="s">
        <v>123</v>
      </c>
      <c r="I3" s="2" t="s">
        <v>123</v>
      </c>
      <c r="J3" s="2" t="s">
        <v>123</v>
      </c>
      <c r="L3" s="68"/>
    </row>
  </sheetData>
  <mergeCells count="1">
    <mergeCell ref="A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0BB2-B6A6-4E41-AB9B-E32E858EB036}">
  <sheetPr codeName="工作表27">
    <tabColor rgb="FFFFFF00"/>
  </sheetPr>
  <dimension ref="A1:T22"/>
  <sheetViews>
    <sheetView view="pageBreakPreview" zoomScale="115" zoomScaleNormal="175" zoomScaleSheetLayoutView="115" zoomScalePageLayoutView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8" sqref="I28"/>
    </sheetView>
  </sheetViews>
  <sheetFormatPr defaultColWidth="8.875" defaultRowHeight="16.5" x14ac:dyDescent="0.25"/>
  <cols>
    <col min="1" max="1" width="11.5" style="1" bestFit="1" customWidth="1"/>
    <col min="2" max="2" width="12.375" style="17" bestFit="1" customWidth="1"/>
    <col min="3" max="3" width="8.125" style="1" customWidth="1"/>
    <col min="4" max="4" width="9.625" style="57" customWidth="1"/>
    <col min="5" max="5" width="9.25" style="57" customWidth="1"/>
    <col min="6" max="6" width="6.75" style="57" customWidth="1"/>
    <col min="7" max="7" width="47.375" style="56" customWidth="1"/>
    <col min="8" max="8" width="25" style="1" bestFit="1" customWidth="1"/>
    <col min="9" max="9" width="12.375" style="17" bestFit="1" customWidth="1"/>
    <col min="10" max="10" width="9.875" style="1" customWidth="1"/>
    <col min="11" max="11" width="12.5" style="17" bestFit="1" customWidth="1"/>
    <col min="12" max="12" width="9.5" style="1" customWidth="1"/>
    <col min="13" max="13" width="23.75" style="1" bestFit="1" customWidth="1"/>
    <col min="14" max="14" width="23.75" style="1" customWidth="1"/>
    <col min="15" max="15" width="22.75" style="1" bestFit="1" customWidth="1"/>
    <col min="16" max="17" width="9.5" style="1" customWidth="1"/>
    <col min="18" max="16384" width="8.875" style="1"/>
  </cols>
  <sheetData>
    <row r="1" spans="1:20" ht="17.25" thickBot="1" x14ac:dyDescent="0.3">
      <c r="A1" s="70" t="s">
        <v>2</v>
      </c>
      <c r="B1" s="74" t="s">
        <v>3</v>
      </c>
      <c r="C1" s="75" t="s">
        <v>4</v>
      </c>
      <c r="D1" s="65" t="s">
        <v>1</v>
      </c>
      <c r="E1" s="65" t="s">
        <v>26</v>
      </c>
      <c r="F1" s="65" t="s">
        <v>8</v>
      </c>
      <c r="G1" s="76" t="s">
        <v>7</v>
      </c>
      <c r="H1" s="75" t="s">
        <v>24</v>
      </c>
      <c r="I1" s="74" t="s">
        <v>6</v>
      </c>
      <c r="J1" s="75" t="s">
        <v>4</v>
      </c>
      <c r="K1" s="74" t="s">
        <v>5</v>
      </c>
      <c r="L1" s="71" t="s">
        <v>4</v>
      </c>
      <c r="M1" s="1" t="s">
        <v>118</v>
      </c>
      <c r="N1" s="1" t="s">
        <v>289</v>
      </c>
      <c r="O1" s="1" t="s">
        <v>129</v>
      </c>
      <c r="P1" s="1" t="s">
        <v>122</v>
      </c>
      <c r="Q1" s="2" t="s">
        <v>128</v>
      </c>
      <c r="R1" s="1" t="s">
        <v>96</v>
      </c>
      <c r="S1" s="1" t="s">
        <v>28</v>
      </c>
      <c r="T1" s="1" t="s">
        <v>97</v>
      </c>
    </row>
    <row r="2" spans="1:20" x14ac:dyDescent="0.25">
      <c r="A2" s="62">
        <v>1</v>
      </c>
      <c r="B2" s="59">
        <v>45181</v>
      </c>
      <c r="C2" s="66" t="str">
        <f t="shared" ref="C2:C9" si="0">CHOOSE(WEEKDAY(B2),"日","一","二","三","四","五","六")</f>
        <v>二</v>
      </c>
      <c r="D2" s="72">
        <v>140</v>
      </c>
      <c r="E2" s="72">
        <v>0</v>
      </c>
      <c r="F2" s="72">
        <v>1</v>
      </c>
      <c r="G2" s="67" t="s">
        <v>279</v>
      </c>
      <c r="H2" s="58" t="s">
        <v>280</v>
      </c>
      <c r="I2" s="16">
        <f t="shared" ref="I2:I9" si="1">IF(F2="免驗","",B2+7)</f>
        <v>45188</v>
      </c>
      <c r="J2" s="66" t="str">
        <f t="shared" ref="J2:J7" si="2">IF(F2="免驗","",CHOOSE(WEEKDAY(I2),"日","一","二","三","四","五","六"))</f>
        <v>二</v>
      </c>
      <c r="K2" s="59">
        <f t="shared" ref="K2:K5" si="3">IF(F2="免驗","",B2+28)+2</f>
        <v>45211</v>
      </c>
      <c r="L2" s="73" t="str">
        <f t="shared" ref="L2:L9" si="4">IF(F2="免驗","",CHOOSE(WEEKDAY(K2),"日","一","二","三","四","五","六"))</f>
        <v>四</v>
      </c>
      <c r="M2" s="1" t="s">
        <v>124</v>
      </c>
      <c r="N2" s="1" t="s">
        <v>376</v>
      </c>
      <c r="O2" s="2" t="s">
        <v>123</v>
      </c>
      <c r="P2" s="2" t="s">
        <v>123</v>
      </c>
      <c r="Q2" s="2" t="s">
        <v>123</v>
      </c>
      <c r="R2" s="1" t="s">
        <v>281</v>
      </c>
      <c r="S2" s="1" t="s">
        <v>282</v>
      </c>
      <c r="T2" s="1" t="s">
        <v>283</v>
      </c>
    </row>
    <row r="3" spans="1:20" x14ac:dyDescent="0.25">
      <c r="A3" s="18">
        <f t="shared" ref="A3:A22" si="5">A2+1</f>
        <v>2</v>
      </c>
      <c r="B3" s="16">
        <v>45181</v>
      </c>
      <c r="C3" s="5" t="str">
        <f t="shared" si="0"/>
        <v>二</v>
      </c>
      <c r="D3" s="6">
        <v>210</v>
      </c>
      <c r="E3" s="6">
        <v>0</v>
      </c>
      <c r="F3" s="6">
        <v>1</v>
      </c>
      <c r="G3" s="67" t="s">
        <v>279</v>
      </c>
      <c r="H3" s="58" t="s">
        <v>280</v>
      </c>
      <c r="I3" s="16">
        <f t="shared" si="1"/>
        <v>45188</v>
      </c>
      <c r="J3" s="5" t="str">
        <f t="shared" si="2"/>
        <v>二</v>
      </c>
      <c r="K3" s="59">
        <f t="shared" si="3"/>
        <v>45211</v>
      </c>
      <c r="L3" s="19" t="str">
        <f t="shared" si="4"/>
        <v>四</v>
      </c>
      <c r="M3" s="1" t="s">
        <v>124</v>
      </c>
      <c r="N3" s="1" t="s">
        <v>376</v>
      </c>
      <c r="O3" s="2" t="s">
        <v>123</v>
      </c>
      <c r="P3" s="2" t="s">
        <v>123</v>
      </c>
      <c r="Q3" s="2" t="s">
        <v>123</v>
      </c>
      <c r="R3" s="1" t="s">
        <v>281</v>
      </c>
      <c r="S3" s="1" t="s">
        <v>282</v>
      </c>
      <c r="T3" s="1" t="s">
        <v>283</v>
      </c>
    </row>
    <row r="4" spans="1:20" x14ac:dyDescent="0.25">
      <c r="A4" s="18">
        <f t="shared" si="5"/>
        <v>3</v>
      </c>
      <c r="B4" s="16">
        <v>45181</v>
      </c>
      <c r="C4" s="5" t="str">
        <f t="shared" si="0"/>
        <v>二</v>
      </c>
      <c r="D4" s="6">
        <v>280</v>
      </c>
      <c r="E4" s="6">
        <v>0</v>
      </c>
      <c r="F4" s="6">
        <v>1</v>
      </c>
      <c r="G4" s="67" t="s">
        <v>279</v>
      </c>
      <c r="H4" s="58" t="s">
        <v>280</v>
      </c>
      <c r="I4" s="16">
        <f t="shared" si="1"/>
        <v>45188</v>
      </c>
      <c r="J4" s="5" t="str">
        <f t="shared" si="2"/>
        <v>二</v>
      </c>
      <c r="K4" s="59">
        <f t="shared" si="3"/>
        <v>45211</v>
      </c>
      <c r="L4" s="19" t="str">
        <f t="shared" si="4"/>
        <v>四</v>
      </c>
      <c r="M4" s="1" t="s">
        <v>124</v>
      </c>
      <c r="N4" s="1" t="s">
        <v>376</v>
      </c>
      <c r="O4" s="2" t="s">
        <v>123</v>
      </c>
      <c r="P4" s="2" t="s">
        <v>123</v>
      </c>
      <c r="Q4" s="2" t="s">
        <v>123</v>
      </c>
      <c r="R4" s="1" t="s">
        <v>281</v>
      </c>
      <c r="S4" s="1" t="s">
        <v>282</v>
      </c>
      <c r="T4" s="1" t="s">
        <v>283</v>
      </c>
    </row>
    <row r="5" spans="1:20" x14ac:dyDescent="0.25">
      <c r="A5" s="18">
        <f t="shared" si="5"/>
        <v>4</v>
      </c>
      <c r="B5" s="16">
        <v>45181</v>
      </c>
      <c r="C5" s="5" t="str">
        <f t="shared" si="0"/>
        <v>二</v>
      </c>
      <c r="D5" s="6" t="s">
        <v>284</v>
      </c>
      <c r="E5" s="6">
        <v>0</v>
      </c>
      <c r="F5" s="6">
        <v>1</v>
      </c>
      <c r="G5" s="67" t="s">
        <v>279</v>
      </c>
      <c r="H5" s="58" t="s">
        <v>280</v>
      </c>
      <c r="I5" s="16">
        <f t="shared" si="1"/>
        <v>45188</v>
      </c>
      <c r="J5" s="5" t="str">
        <f t="shared" si="2"/>
        <v>二</v>
      </c>
      <c r="K5" s="59">
        <f t="shared" si="3"/>
        <v>45211</v>
      </c>
      <c r="L5" s="19" t="str">
        <f t="shared" si="4"/>
        <v>四</v>
      </c>
      <c r="M5" s="1" t="s">
        <v>124</v>
      </c>
      <c r="N5" s="1" t="s">
        <v>376</v>
      </c>
      <c r="O5" s="2" t="s">
        <v>123</v>
      </c>
      <c r="P5" s="2" t="s">
        <v>123</v>
      </c>
      <c r="Q5" s="2" t="s">
        <v>123</v>
      </c>
      <c r="R5" s="1" t="s">
        <v>281</v>
      </c>
      <c r="S5" s="1" t="s">
        <v>282</v>
      </c>
      <c r="T5" s="1" t="s">
        <v>283</v>
      </c>
    </row>
    <row r="6" spans="1:20" x14ac:dyDescent="0.25">
      <c r="A6" s="18">
        <f t="shared" si="5"/>
        <v>5</v>
      </c>
      <c r="B6" s="16">
        <f>'6.混凝土'!C5</f>
        <v>45289</v>
      </c>
      <c r="C6" s="5" t="str">
        <f t="shared" si="0"/>
        <v>五</v>
      </c>
      <c r="D6" s="6" t="s">
        <v>284</v>
      </c>
      <c r="E6" s="6">
        <v>58</v>
      </c>
      <c r="F6" s="6">
        <f t="shared" ref="F6:F11" si="6">IF(E6&lt;20,0,ROUNDUP(E6/100,0))</f>
        <v>1</v>
      </c>
      <c r="G6" s="67" t="str">
        <f>'6.混凝土'!D5</f>
        <v>共月橋全套管基樁1</v>
      </c>
      <c r="H6" s="58" t="s">
        <v>286</v>
      </c>
      <c r="I6" s="16">
        <f t="shared" si="1"/>
        <v>45296</v>
      </c>
      <c r="J6" s="5" t="str">
        <f t="shared" si="2"/>
        <v>五</v>
      </c>
      <c r="K6" s="59">
        <f>IF(F6="免驗","",B6+28)</f>
        <v>45317</v>
      </c>
      <c r="L6" s="19" t="str">
        <f t="shared" si="4"/>
        <v>五</v>
      </c>
      <c r="M6" s="1" t="s">
        <v>119</v>
      </c>
      <c r="N6" s="1" t="s">
        <v>140</v>
      </c>
      <c r="O6" s="2" t="s">
        <v>123</v>
      </c>
      <c r="P6" s="2" t="s">
        <v>123</v>
      </c>
      <c r="Q6" s="2" t="s">
        <v>123</v>
      </c>
      <c r="S6" s="1" t="s">
        <v>282</v>
      </c>
      <c r="T6" s="1" t="s">
        <v>283</v>
      </c>
    </row>
    <row r="7" spans="1:20" x14ac:dyDescent="0.25">
      <c r="A7" s="18">
        <f t="shared" si="5"/>
        <v>6</v>
      </c>
      <c r="B7" s="16">
        <f>'6.混凝土'!C6</f>
        <v>45296</v>
      </c>
      <c r="C7" s="5" t="str">
        <f t="shared" si="0"/>
        <v>五</v>
      </c>
      <c r="D7" s="6" t="s">
        <v>284</v>
      </c>
      <c r="E7" s="6">
        <v>58</v>
      </c>
      <c r="F7" s="6">
        <f t="shared" si="6"/>
        <v>1</v>
      </c>
      <c r="G7" s="67" t="str">
        <f>'6.混凝土'!D6</f>
        <v>共月橋全套管基樁2</v>
      </c>
      <c r="H7" s="58" t="s">
        <v>286</v>
      </c>
      <c r="I7" s="16">
        <f t="shared" si="1"/>
        <v>45303</v>
      </c>
      <c r="J7" s="5" t="str">
        <f t="shared" si="2"/>
        <v>五</v>
      </c>
      <c r="K7" s="59">
        <f t="shared" ref="K7:K10" si="7">IF(F7="免驗","",B7+28)</f>
        <v>45324</v>
      </c>
      <c r="L7" s="19" t="str">
        <f t="shared" si="4"/>
        <v>五</v>
      </c>
      <c r="M7" s="1" t="s">
        <v>119</v>
      </c>
      <c r="N7" s="1" t="s">
        <v>140</v>
      </c>
      <c r="O7" s="2" t="s">
        <v>123</v>
      </c>
      <c r="P7" s="2" t="s">
        <v>123</v>
      </c>
      <c r="Q7" s="2" t="s">
        <v>123</v>
      </c>
      <c r="R7" s="2"/>
      <c r="S7" s="1" t="s">
        <v>282</v>
      </c>
      <c r="T7" s="1" t="s">
        <v>283</v>
      </c>
    </row>
    <row r="8" spans="1:20" x14ac:dyDescent="0.25">
      <c r="A8" s="18">
        <f t="shared" si="5"/>
        <v>7</v>
      </c>
      <c r="B8" s="16">
        <f>'6.混凝土'!C7</f>
        <v>45300</v>
      </c>
      <c r="C8" s="5" t="str">
        <f t="shared" si="0"/>
        <v>二</v>
      </c>
      <c r="D8" s="6" t="s">
        <v>284</v>
      </c>
      <c r="E8" s="6">
        <v>58</v>
      </c>
      <c r="F8" s="6">
        <f t="shared" si="6"/>
        <v>1</v>
      </c>
      <c r="G8" s="67" t="str">
        <f>'6.混凝土'!D7</f>
        <v>共月橋全套管基樁4</v>
      </c>
      <c r="H8" s="58" t="s">
        <v>285</v>
      </c>
      <c r="I8" s="16">
        <f t="shared" si="1"/>
        <v>45307</v>
      </c>
      <c r="J8" s="5" t="str">
        <f>IF(F8="免驗","",CHOOSE(WEEKDAY(I8),"日","一","二","三","四","五","六"))</f>
        <v>二</v>
      </c>
      <c r="K8" s="59">
        <f t="shared" si="7"/>
        <v>45328</v>
      </c>
      <c r="L8" s="19" t="str">
        <f t="shared" si="4"/>
        <v>二</v>
      </c>
      <c r="M8" s="1" t="s">
        <v>119</v>
      </c>
      <c r="N8" s="1" t="s">
        <v>140</v>
      </c>
      <c r="O8" s="2" t="s">
        <v>123</v>
      </c>
      <c r="P8" s="2" t="s">
        <v>123</v>
      </c>
      <c r="Q8" s="2" t="s">
        <v>123</v>
      </c>
      <c r="R8" s="2"/>
      <c r="S8" s="1" t="s">
        <v>282</v>
      </c>
      <c r="T8" s="1" t="s">
        <v>417</v>
      </c>
    </row>
    <row r="9" spans="1:20" x14ac:dyDescent="0.25">
      <c r="A9" s="18">
        <f t="shared" si="5"/>
        <v>8</v>
      </c>
      <c r="B9" s="16">
        <f>'6.混凝土'!C8</f>
        <v>45303</v>
      </c>
      <c r="C9" s="5" t="str">
        <f t="shared" si="0"/>
        <v>五</v>
      </c>
      <c r="D9" s="6" t="s">
        <v>284</v>
      </c>
      <c r="E9" s="6">
        <v>58</v>
      </c>
      <c r="F9" s="6">
        <f t="shared" si="6"/>
        <v>1</v>
      </c>
      <c r="G9" s="67" t="str">
        <f>'6.混凝土'!D8</f>
        <v>共月橋全套管基樁3</v>
      </c>
      <c r="H9" s="58" t="s">
        <v>295</v>
      </c>
      <c r="I9" s="16">
        <f t="shared" si="1"/>
        <v>45310</v>
      </c>
      <c r="J9" s="5" t="str">
        <f>IF(F9="免驗","",CHOOSE(WEEKDAY(I9),"日","一","二","三","四","五","六"))</f>
        <v>五</v>
      </c>
      <c r="K9" s="59">
        <f t="shared" si="7"/>
        <v>45331</v>
      </c>
      <c r="L9" s="19" t="str">
        <f t="shared" si="4"/>
        <v>五</v>
      </c>
      <c r="M9" s="1" t="s">
        <v>119</v>
      </c>
      <c r="N9" s="1" t="s">
        <v>377</v>
      </c>
      <c r="O9" s="2" t="s">
        <v>123</v>
      </c>
      <c r="P9" s="2" t="s">
        <v>123</v>
      </c>
      <c r="Q9" s="2" t="s">
        <v>123</v>
      </c>
      <c r="R9" s="1" t="s">
        <v>281</v>
      </c>
      <c r="S9" s="1" t="s">
        <v>282</v>
      </c>
      <c r="T9" s="1" t="s">
        <v>417</v>
      </c>
    </row>
    <row r="10" spans="1:20" x14ac:dyDescent="0.25">
      <c r="A10" s="18">
        <f t="shared" si="5"/>
        <v>9</v>
      </c>
      <c r="B10" s="16">
        <f>'6.混凝土'!C9</f>
        <v>45309</v>
      </c>
      <c r="C10" s="5" t="str">
        <f t="shared" ref="C10" si="8">CHOOSE(WEEKDAY(B10),"日","一","二","三","四","五","六")</f>
        <v>四</v>
      </c>
      <c r="D10" s="6" t="s">
        <v>284</v>
      </c>
      <c r="E10" s="6">
        <v>58</v>
      </c>
      <c r="F10" s="6">
        <f t="shared" si="6"/>
        <v>1</v>
      </c>
      <c r="G10" s="67" t="str">
        <f>'6.混凝土'!D9</f>
        <v>共月橋全套管基樁5</v>
      </c>
      <c r="H10" s="58" t="s">
        <v>285</v>
      </c>
      <c r="I10" s="16">
        <f t="shared" ref="I10" si="9">IF(F10="免驗","",B10+7)</f>
        <v>45316</v>
      </c>
      <c r="J10" s="5" t="str">
        <f>IF(F10="免驗","",CHOOSE(WEEKDAY(I10),"日","一","二","三","四","五","六"))</f>
        <v>四</v>
      </c>
      <c r="K10" s="59">
        <f t="shared" si="7"/>
        <v>45337</v>
      </c>
      <c r="L10" s="19" t="str">
        <f t="shared" ref="L10" si="10">IF(F10="免驗","",CHOOSE(WEEKDAY(K10),"日","一","二","三","四","五","六"))</f>
        <v>四</v>
      </c>
      <c r="M10" s="1" t="s">
        <v>119</v>
      </c>
      <c r="N10" s="1" t="s">
        <v>140</v>
      </c>
      <c r="O10" s="2" t="s">
        <v>123</v>
      </c>
      <c r="P10" s="2" t="s">
        <v>123</v>
      </c>
      <c r="Q10" s="2" t="s">
        <v>123</v>
      </c>
      <c r="S10" s="1" t="s">
        <v>282</v>
      </c>
      <c r="T10" s="1" t="s">
        <v>417</v>
      </c>
    </row>
    <row r="11" spans="1:20" x14ac:dyDescent="0.25">
      <c r="A11" s="18">
        <f t="shared" si="5"/>
        <v>10</v>
      </c>
      <c r="B11" s="16">
        <f>'6.混凝土'!C10</f>
        <v>45311</v>
      </c>
      <c r="C11" s="5" t="str">
        <f t="shared" ref="C11" si="11">CHOOSE(WEEKDAY(B11),"日","一","二","三","四","五","六")</f>
        <v>六</v>
      </c>
      <c r="D11" s="6" t="s">
        <v>284</v>
      </c>
      <c r="E11" s="6">
        <v>58</v>
      </c>
      <c r="F11" s="6">
        <f t="shared" si="6"/>
        <v>1</v>
      </c>
      <c r="G11" s="67" t="str">
        <f>'6.混凝土'!D10</f>
        <v>共月橋全套管基樁6</v>
      </c>
      <c r="H11" s="58" t="s">
        <v>420</v>
      </c>
      <c r="I11" s="16">
        <f t="shared" ref="I11" si="12">IF(F11="免驗","",B11+7)</f>
        <v>45318</v>
      </c>
      <c r="J11" s="5" t="str">
        <f>IF(F11="免驗","",CHOOSE(WEEKDAY(I11),"日","一","二","三","四","五","六"))</f>
        <v>六</v>
      </c>
      <c r="K11" s="59">
        <f t="shared" ref="K11" si="13">IF(F11="免驗","",B11+28)</f>
        <v>45339</v>
      </c>
      <c r="L11" s="19" t="str">
        <f t="shared" ref="L11" si="14">IF(F11="免驗","",CHOOSE(WEEKDAY(K11),"日","一","二","三","四","五","六"))</f>
        <v>六</v>
      </c>
      <c r="M11" s="1" t="s">
        <v>119</v>
      </c>
      <c r="N11" s="1" t="s">
        <v>140</v>
      </c>
      <c r="O11" s="2" t="s">
        <v>123</v>
      </c>
      <c r="P11" s="2" t="s">
        <v>123</v>
      </c>
      <c r="Q11" s="2" t="s">
        <v>123</v>
      </c>
      <c r="S11" s="1" t="s">
        <v>418</v>
      </c>
      <c r="T11" s="1" t="s">
        <v>417</v>
      </c>
    </row>
    <row r="12" spans="1:20" x14ac:dyDescent="0.25">
      <c r="A12" s="18">
        <f t="shared" si="5"/>
        <v>11</v>
      </c>
      <c r="B12" s="16">
        <f>'6.混凝土'!C11</f>
        <v>45314</v>
      </c>
      <c r="C12" s="5" t="str">
        <f t="shared" ref="C12" si="15">CHOOSE(WEEKDAY(B12),"日","一","二","三","四","五","六")</f>
        <v>二</v>
      </c>
      <c r="D12" s="6" t="s">
        <v>284</v>
      </c>
      <c r="E12" s="6">
        <v>58</v>
      </c>
      <c r="F12" s="6">
        <f t="shared" ref="F12" si="16">IF(E12&lt;20,0,ROUNDUP(E12/100,0))</f>
        <v>1</v>
      </c>
      <c r="G12" s="67" t="str">
        <f>'6.混凝土'!D11</f>
        <v>共月橋全套管基樁7</v>
      </c>
      <c r="H12" s="58" t="s">
        <v>420</v>
      </c>
      <c r="I12" s="16">
        <f t="shared" ref="I12" si="17">IF(F12="免驗","",B12+7)</f>
        <v>45321</v>
      </c>
      <c r="J12" s="5" t="str">
        <f>IF(F12="免驗","",CHOOSE(WEEKDAY(I12),"日","一","二","三","四","五","六"))</f>
        <v>二</v>
      </c>
      <c r="K12" s="59">
        <f t="shared" ref="K12" si="18">IF(F12="免驗","",B12+28)</f>
        <v>45342</v>
      </c>
      <c r="L12" s="19" t="str">
        <f t="shared" ref="L12" si="19">IF(F12="免驗","",CHOOSE(WEEKDAY(K12),"日","一","二","三","四","五","六"))</f>
        <v>二</v>
      </c>
      <c r="M12" s="1" t="s">
        <v>119</v>
      </c>
      <c r="N12" s="1" t="s">
        <v>140</v>
      </c>
      <c r="O12" s="2" t="s">
        <v>123</v>
      </c>
      <c r="P12" s="2" t="s">
        <v>123</v>
      </c>
      <c r="S12" s="1" t="s">
        <v>418</v>
      </c>
      <c r="T12" s="1" t="s">
        <v>417</v>
      </c>
    </row>
    <row r="13" spans="1:20" x14ac:dyDescent="0.25">
      <c r="A13" s="18">
        <f t="shared" si="5"/>
        <v>12</v>
      </c>
      <c r="B13" s="16">
        <f>'6.混凝土'!C12</f>
        <v>45320</v>
      </c>
      <c r="C13" s="5" t="str">
        <f t="shared" ref="C13:C15" si="20">CHOOSE(WEEKDAY(B13),"日","一","二","三","四","五","六")</f>
        <v>一</v>
      </c>
      <c r="D13" s="6" t="s">
        <v>284</v>
      </c>
      <c r="E13" s="6">
        <v>58</v>
      </c>
      <c r="F13" s="6">
        <f t="shared" ref="F13:F18" si="21">IF(E13&lt;20,0,ROUNDUP(E13/100,0))</f>
        <v>1</v>
      </c>
      <c r="G13" s="67" t="str">
        <f>'6.混凝土'!D12</f>
        <v>共月橋全套管基樁8</v>
      </c>
      <c r="H13" s="58" t="s">
        <v>420</v>
      </c>
      <c r="I13" s="16">
        <f t="shared" ref="I13:I15" si="22">IF(F13="免驗","",B13+7)</f>
        <v>45327</v>
      </c>
      <c r="J13" s="5" t="str">
        <f t="shared" ref="J13:J15" si="23">IF(F13="免驗","",CHOOSE(WEEKDAY(I13),"日","一","二","三","四","五","六"))</f>
        <v>一</v>
      </c>
      <c r="K13" s="59">
        <f t="shared" ref="K13:K15" si="24">IF(F13="免驗","",B13+28)</f>
        <v>45348</v>
      </c>
      <c r="L13" s="19" t="str">
        <f t="shared" ref="L13:L15" si="25">IF(F13="免驗","",CHOOSE(WEEKDAY(K13),"日","一","二","三","四","五","六"))</f>
        <v>一</v>
      </c>
      <c r="M13" s="1" t="s">
        <v>352</v>
      </c>
      <c r="N13" s="1" t="s">
        <v>140</v>
      </c>
      <c r="O13" s="2" t="s">
        <v>123</v>
      </c>
      <c r="P13" s="2" t="s">
        <v>123</v>
      </c>
      <c r="S13" s="1" t="s">
        <v>418</v>
      </c>
      <c r="T13" s="1" t="s">
        <v>417</v>
      </c>
    </row>
    <row r="14" spans="1:20" x14ac:dyDescent="0.25">
      <c r="A14" s="18">
        <f t="shared" si="5"/>
        <v>13</v>
      </c>
      <c r="B14" s="16">
        <f>'6.混凝土'!C13</f>
        <v>45321</v>
      </c>
      <c r="C14" s="5" t="str">
        <f t="shared" si="20"/>
        <v>二</v>
      </c>
      <c r="D14" s="6" t="s">
        <v>284</v>
      </c>
      <c r="E14" s="6">
        <v>35</v>
      </c>
      <c r="F14" s="6">
        <f t="shared" si="21"/>
        <v>1</v>
      </c>
      <c r="G14" s="67" t="str">
        <f>'6.混凝土'!D13</f>
        <v>共月橋全套管基樁9</v>
      </c>
      <c r="H14" s="58" t="s">
        <v>420</v>
      </c>
      <c r="I14" s="16">
        <f t="shared" si="22"/>
        <v>45328</v>
      </c>
      <c r="J14" s="5" t="str">
        <f t="shared" si="23"/>
        <v>二</v>
      </c>
      <c r="K14" s="59">
        <f t="shared" si="24"/>
        <v>45349</v>
      </c>
      <c r="L14" s="19" t="str">
        <f t="shared" si="25"/>
        <v>二</v>
      </c>
      <c r="M14" s="1" t="s">
        <v>119</v>
      </c>
      <c r="N14" s="1" t="s">
        <v>140</v>
      </c>
      <c r="O14" s="2" t="s">
        <v>123</v>
      </c>
      <c r="P14" s="2" t="s">
        <v>123</v>
      </c>
      <c r="S14" s="1" t="s">
        <v>418</v>
      </c>
      <c r="T14" s="1" t="s">
        <v>417</v>
      </c>
    </row>
    <row r="15" spans="1:20" x14ac:dyDescent="0.25">
      <c r="A15" s="18">
        <f t="shared" si="5"/>
        <v>14</v>
      </c>
      <c r="B15" s="16">
        <f>'6.混凝土'!C14</f>
        <v>45323</v>
      </c>
      <c r="C15" s="5" t="str">
        <f t="shared" si="20"/>
        <v>四</v>
      </c>
      <c r="D15" s="6" t="s">
        <v>284</v>
      </c>
      <c r="E15" s="6">
        <v>58</v>
      </c>
      <c r="F15" s="6">
        <f t="shared" si="21"/>
        <v>1</v>
      </c>
      <c r="G15" s="67" t="str">
        <f>'6.混凝土'!D14</f>
        <v>共月橋全套管基樁10、11</v>
      </c>
      <c r="H15" s="58" t="s">
        <v>420</v>
      </c>
      <c r="I15" s="16">
        <f t="shared" si="22"/>
        <v>45330</v>
      </c>
      <c r="J15" s="5" t="str">
        <f t="shared" si="23"/>
        <v>四</v>
      </c>
      <c r="K15" s="59">
        <f t="shared" si="24"/>
        <v>45351</v>
      </c>
      <c r="L15" s="19" t="str">
        <f t="shared" si="25"/>
        <v>四</v>
      </c>
      <c r="M15" s="1" t="s">
        <v>352</v>
      </c>
      <c r="N15" s="1" t="s">
        <v>140</v>
      </c>
      <c r="S15" s="1" t="s">
        <v>418</v>
      </c>
      <c r="T15" s="1" t="s">
        <v>417</v>
      </c>
    </row>
    <row r="16" spans="1:20" x14ac:dyDescent="0.25">
      <c r="A16" s="18">
        <f t="shared" si="5"/>
        <v>15</v>
      </c>
      <c r="B16" s="16">
        <f>'6.混凝土'!C15</f>
        <v>45339</v>
      </c>
      <c r="C16" s="5" t="str">
        <f t="shared" ref="C16" si="26">CHOOSE(WEEKDAY(B16),"日","一","二","三","四","五","六")</f>
        <v>六</v>
      </c>
      <c r="D16" s="6">
        <v>140</v>
      </c>
      <c r="E16" s="6">
        <v>8</v>
      </c>
      <c r="F16" s="6">
        <v>1</v>
      </c>
      <c r="G16" s="67" t="str">
        <f>'6.混凝土'!D15</f>
        <v>地梁(0K+500~0K+625)底PC</v>
      </c>
      <c r="H16" s="58" t="s">
        <v>420</v>
      </c>
      <c r="I16" s="16">
        <f t="shared" ref="I16" si="27">IF(F16="免驗","",B16+7)</f>
        <v>45346</v>
      </c>
      <c r="J16" s="5" t="str">
        <f t="shared" ref="J16" si="28">IF(F16="免驗","",CHOOSE(WEEKDAY(I16),"日","一","二","三","四","五","六"))</f>
        <v>六</v>
      </c>
      <c r="K16" s="59">
        <f t="shared" ref="K16" si="29">IF(F16="免驗","",B16+28)</f>
        <v>45367</v>
      </c>
      <c r="L16" s="19" t="str">
        <f t="shared" ref="L16" si="30">IF(F16="免驗","",CHOOSE(WEEKDAY(K16),"日","一","二","三","四","五","六"))</f>
        <v>六</v>
      </c>
      <c r="M16" s="1" t="s">
        <v>119</v>
      </c>
      <c r="N16" s="1" t="s">
        <v>140</v>
      </c>
      <c r="S16" s="1" t="s">
        <v>418</v>
      </c>
      <c r="T16" s="1" t="s">
        <v>417</v>
      </c>
    </row>
    <row r="17" spans="1:20" x14ac:dyDescent="0.25">
      <c r="A17" s="18">
        <f t="shared" si="5"/>
        <v>16</v>
      </c>
      <c r="B17" s="16">
        <f>'6.混凝土'!C16</f>
        <v>45344</v>
      </c>
      <c r="C17" s="5" t="str">
        <f t="shared" ref="C17" si="31">CHOOSE(WEEKDAY(B17),"日","一","二","三","四","五","六")</f>
        <v>四</v>
      </c>
      <c r="D17" s="6" t="s">
        <v>390</v>
      </c>
      <c r="E17" s="6">
        <v>98</v>
      </c>
      <c r="F17" s="6">
        <f t="shared" si="21"/>
        <v>1</v>
      </c>
      <c r="G17" s="67" t="str">
        <f>'6.混凝土'!D16</f>
        <v>地梁(0K+540~0K+625)</v>
      </c>
      <c r="H17" s="58" t="s">
        <v>285</v>
      </c>
      <c r="I17" s="16">
        <f t="shared" ref="I17" si="32">IF(F17="免驗","",B17+7)</f>
        <v>45351</v>
      </c>
      <c r="J17" s="5" t="str">
        <f t="shared" ref="J17" si="33">IF(F17="免驗","",CHOOSE(WEEKDAY(I17),"日","一","二","三","四","五","六"))</f>
        <v>四</v>
      </c>
      <c r="K17" s="59">
        <f t="shared" ref="K17" si="34">IF(F17="免驗","",B17+28)</f>
        <v>45372</v>
      </c>
      <c r="L17" s="19" t="str">
        <f t="shared" ref="L17" si="35">IF(F17="免驗","",CHOOSE(WEEKDAY(K17),"日","一","二","三","四","五","六"))</f>
        <v>四</v>
      </c>
      <c r="M17" s="1" t="s">
        <v>119</v>
      </c>
      <c r="N17" s="1" t="s">
        <v>140</v>
      </c>
      <c r="S17" s="1" t="s">
        <v>282</v>
      </c>
      <c r="T17" s="1" t="s">
        <v>417</v>
      </c>
    </row>
    <row r="18" spans="1:20" x14ac:dyDescent="0.25">
      <c r="A18" s="18">
        <f t="shared" si="5"/>
        <v>17</v>
      </c>
      <c r="B18" s="16">
        <f>'6.混凝土'!C17</f>
        <v>45356</v>
      </c>
      <c r="C18" s="5" t="str">
        <f t="shared" ref="C18" si="36">CHOOSE(WEEKDAY(B18),"日","一","二","三","四","五","六")</f>
        <v>二</v>
      </c>
      <c r="D18" s="6">
        <v>140</v>
      </c>
      <c r="E18" s="6">
        <v>18</v>
      </c>
      <c r="F18" s="6">
        <f t="shared" si="21"/>
        <v>0</v>
      </c>
      <c r="G18" s="67" t="str">
        <f>'6.混凝土'!D17</f>
        <v>共月橋P1、P2橋台、砌石0K+540~0K+625底</v>
      </c>
      <c r="H18" s="58" t="s">
        <v>420</v>
      </c>
      <c r="I18" s="16">
        <f t="shared" ref="I18" si="37">IF(F18="免驗","",B18+7)</f>
        <v>45363</v>
      </c>
      <c r="J18" s="5" t="str">
        <f t="shared" ref="J18" si="38">IF(F18="免驗","",CHOOSE(WEEKDAY(I18),"日","一","二","三","四","五","六"))</f>
        <v>二</v>
      </c>
      <c r="K18" s="59">
        <f t="shared" ref="K18" si="39">IF(F18="免驗","",B18+28)</f>
        <v>45384</v>
      </c>
      <c r="L18" s="19" t="str">
        <f t="shared" ref="L18" si="40">IF(F18="免驗","",CHOOSE(WEEKDAY(K18),"日","一","二","三","四","五","六"))</f>
        <v>二</v>
      </c>
      <c r="M18" s="1" t="s">
        <v>119</v>
      </c>
      <c r="N18" s="1" t="s">
        <v>140</v>
      </c>
      <c r="S18" s="1" t="s">
        <v>418</v>
      </c>
      <c r="T18" s="1" t="s">
        <v>417</v>
      </c>
    </row>
    <row r="19" spans="1:20" x14ac:dyDescent="0.25">
      <c r="A19" s="18">
        <f t="shared" si="5"/>
        <v>18</v>
      </c>
      <c r="B19" s="16">
        <f>'6.混凝土'!C18</f>
        <v>45358</v>
      </c>
      <c r="C19" s="5" t="str">
        <f t="shared" ref="C19" si="41">CHOOSE(WEEKDAY(B19),"日","一","二","三","四","五","六")</f>
        <v>四</v>
      </c>
      <c r="D19" s="6" t="s">
        <v>390</v>
      </c>
      <c r="E19" s="6">
        <v>60</v>
      </c>
      <c r="F19" s="6">
        <f t="shared" ref="F19" si="42">IF(E19&lt;20,0,ROUNDUP(E19/100,0))</f>
        <v>1</v>
      </c>
      <c r="G19" s="67" t="str">
        <f>'6.混凝土'!D18</f>
        <v>共月橋P1、P2橋台基礎</v>
      </c>
      <c r="H19" s="58" t="s">
        <v>420</v>
      </c>
      <c r="I19" s="16">
        <f t="shared" ref="I19" si="43">IF(F19="免驗","",B19+7)</f>
        <v>45365</v>
      </c>
      <c r="J19" s="5" t="str">
        <f t="shared" ref="J19" si="44">IF(F19="免驗","",CHOOSE(WEEKDAY(I19),"日","一","二","三","四","五","六"))</f>
        <v>四</v>
      </c>
      <c r="K19" s="59">
        <f t="shared" ref="K19" si="45">IF(F19="免驗","",B19+28)</f>
        <v>45386</v>
      </c>
      <c r="L19" s="19" t="str">
        <f t="shared" ref="L19" si="46">IF(F19="免驗","",CHOOSE(WEEKDAY(K19),"日","一","二","三","四","五","六"))</f>
        <v>四</v>
      </c>
      <c r="M19" s="1" t="s">
        <v>119</v>
      </c>
      <c r="N19" s="1" t="s">
        <v>140</v>
      </c>
      <c r="S19" s="1" t="s">
        <v>419</v>
      </c>
      <c r="T19" s="1" t="s">
        <v>417</v>
      </c>
    </row>
    <row r="20" spans="1:20" x14ac:dyDescent="0.25">
      <c r="A20" s="18">
        <f t="shared" si="5"/>
        <v>19</v>
      </c>
      <c r="B20" s="16">
        <f>'6.混凝土'!C19</f>
        <v>45364</v>
      </c>
      <c r="C20" s="5" t="str">
        <f t="shared" ref="C20" si="47">CHOOSE(WEEKDAY(B20),"日","一","二","三","四","五","六")</f>
        <v>三</v>
      </c>
      <c r="D20" s="6" t="s">
        <v>390</v>
      </c>
      <c r="E20" s="6">
        <v>20</v>
      </c>
      <c r="F20" s="6">
        <f t="shared" ref="F20:F22" si="48">IF(E20&lt;20,0,ROUNDUP(E20/100,0))</f>
        <v>1</v>
      </c>
      <c r="G20" s="67" t="str">
        <f>'6.混凝土'!D19</f>
        <v>共月橋P1、P2橋墩柱</v>
      </c>
      <c r="H20" s="58" t="s">
        <v>420</v>
      </c>
      <c r="I20" s="16">
        <f t="shared" ref="I20" si="49">IF(F20="免驗","",B20+7)</f>
        <v>45371</v>
      </c>
      <c r="J20" s="5" t="str">
        <f t="shared" ref="J20" si="50">IF(F20="免驗","",CHOOSE(WEEKDAY(I20),"日","一","二","三","四","五","六"))</f>
        <v>三</v>
      </c>
      <c r="K20" s="59">
        <f t="shared" ref="K20" si="51">IF(F20="免驗","",B20+28)</f>
        <v>45392</v>
      </c>
      <c r="L20" s="19" t="str">
        <f t="shared" ref="L20" si="52">IF(F20="免驗","",CHOOSE(WEEKDAY(K20),"日","一","二","三","四","五","六"))</f>
        <v>三</v>
      </c>
      <c r="M20" s="1" t="s">
        <v>119</v>
      </c>
      <c r="N20" s="1" t="s">
        <v>140</v>
      </c>
      <c r="S20" s="1" t="s">
        <v>419</v>
      </c>
      <c r="T20" s="1" t="s">
        <v>417</v>
      </c>
    </row>
    <row r="21" spans="1:20" x14ac:dyDescent="0.25">
      <c r="A21" s="18">
        <f t="shared" si="5"/>
        <v>20</v>
      </c>
      <c r="B21" s="16">
        <f>'6.混凝土'!C20</f>
        <v>45376</v>
      </c>
      <c r="C21" s="5" t="str">
        <f t="shared" ref="C21:C22" si="53">CHOOSE(WEEKDAY(B21),"日","一","二","三","四","五","六")</f>
        <v>一</v>
      </c>
      <c r="D21" s="6">
        <v>140</v>
      </c>
      <c r="E21" s="6">
        <v>20</v>
      </c>
      <c r="F21" s="6">
        <f t="shared" ref="F21" si="54">IF(E21&lt;20,0,ROUNDUP(E21/100,0))</f>
        <v>1</v>
      </c>
      <c r="G21" s="67" t="str">
        <f>'6.混凝土'!D20</f>
        <v>地梁(0K+306~0K+500)底PC</v>
      </c>
      <c r="H21" s="58" t="s">
        <v>285</v>
      </c>
      <c r="I21" s="16">
        <f t="shared" ref="I21:I22" si="55">IF(F21="免驗","",B21+7)</f>
        <v>45383</v>
      </c>
      <c r="J21" s="5" t="str">
        <f t="shared" ref="J21:J22" si="56">IF(F21="免驗","",CHOOSE(WEEKDAY(I21),"日","一","二","三","四","五","六"))</f>
        <v>一</v>
      </c>
      <c r="K21" s="59">
        <f t="shared" ref="K21:K22" si="57">IF(F21="免驗","",B21+28)</f>
        <v>45404</v>
      </c>
      <c r="L21" s="19" t="str">
        <f t="shared" ref="L21:L22" si="58">IF(F21="免驗","",CHOOSE(WEEKDAY(K21),"日","一","二","三","四","五","六"))</f>
        <v>一</v>
      </c>
      <c r="M21" s="1" t="s">
        <v>119</v>
      </c>
      <c r="N21" s="1" t="s">
        <v>140</v>
      </c>
    </row>
    <row r="22" spans="1:20" x14ac:dyDescent="0.25">
      <c r="A22" s="18">
        <f t="shared" si="5"/>
        <v>21</v>
      </c>
      <c r="B22" s="16">
        <f>'6.混凝土'!C21</f>
        <v>45378</v>
      </c>
      <c r="C22" s="5" t="str">
        <f t="shared" si="53"/>
        <v>三</v>
      </c>
      <c r="D22" s="6" t="s">
        <v>390</v>
      </c>
      <c r="E22" s="6">
        <v>288</v>
      </c>
      <c r="F22" s="6">
        <f t="shared" si="48"/>
        <v>3</v>
      </c>
      <c r="G22" s="67" t="str">
        <f>'6.混凝土'!D21</f>
        <v>地梁(0K+306~0K+540)</v>
      </c>
      <c r="H22" s="58" t="s">
        <v>420</v>
      </c>
      <c r="I22" s="16">
        <f t="shared" si="55"/>
        <v>45385</v>
      </c>
      <c r="J22" s="5" t="str">
        <f t="shared" si="56"/>
        <v>三</v>
      </c>
      <c r="K22" s="59">
        <f t="shared" si="57"/>
        <v>45406</v>
      </c>
      <c r="L22" s="19" t="str">
        <f t="shared" si="58"/>
        <v>三</v>
      </c>
      <c r="M22" s="1" t="s">
        <v>119</v>
      </c>
      <c r="N22" s="1" t="s">
        <v>140</v>
      </c>
    </row>
  </sheetData>
  <autoFilter ref="A1:T9" xr:uid="{6CE491CC-D584-48C3-877A-B5230E1A495C}"/>
  <phoneticPr fontId="1" type="noConversion"/>
  <pageMargins left="0.70866141732283472" right="0.70866141732283472" top="0.9055118110236221" bottom="0.74803149606299213" header="0.31496062992125984" footer="0.31496062992125984"/>
  <pageSetup paperSize="9" scale="75" orientation="landscape" r:id="rId1"/>
  <headerFooter>
    <oddHeader>&amp;C&amp;"標楷體,標準"上溢營造股份有限公司
磺港溪再造C段護岸及步道整建工程（延壽橋至三合橋）
混凝土取樣一覽表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9660B-19B3-42D1-83D3-27C2DAB28D4A}">
  <sheetPr>
    <tabColor rgb="FFFFFF00"/>
  </sheetPr>
  <dimension ref="A1:L3"/>
  <sheetViews>
    <sheetView tabSelected="1" view="pageBreakPreview" zoomScale="130" zoomScaleNormal="85" zoomScaleSheetLayoutView="130" workbookViewId="0">
      <selection sqref="A1:F1"/>
    </sheetView>
  </sheetViews>
  <sheetFormatPr defaultColWidth="9" defaultRowHeight="32.25" customHeight="1" x14ac:dyDescent="0.25"/>
  <cols>
    <col min="1" max="1" width="15.375" style="1" customWidth="1"/>
    <col min="2" max="2" width="15.375" style="14" customWidth="1"/>
    <col min="3" max="4" width="15.375" style="17" customWidth="1"/>
    <col min="5" max="5" width="15.375" style="55" customWidth="1"/>
    <col min="6" max="6" width="24.125" style="55" customWidth="1"/>
    <col min="7" max="7" width="13.375" style="55" bestFit="1" customWidth="1"/>
    <col min="8" max="8" width="8.5" style="55" bestFit="1" customWidth="1"/>
    <col min="9" max="9" width="9.875" style="1" bestFit="1" customWidth="1"/>
    <col min="10" max="11" width="9" style="1"/>
    <col min="12" max="12" width="15.75" style="55" bestFit="1" customWidth="1"/>
    <col min="13" max="16" width="9" style="1"/>
    <col min="17" max="18" width="15.125" style="1" customWidth="1"/>
    <col min="19" max="16384" width="9" style="1"/>
  </cols>
  <sheetData>
    <row r="1" spans="1:12" ht="32.25" customHeight="1" x14ac:dyDescent="0.25">
      <c r="A1" s="111" t="s">
        <v>486</v>
      </c>
      <c r="B1" s="111"/>
      <c r="C1" s="111"/>
      <c r="D1" s="111"/>
      <c r="E1" s="111"/>
      <c r="F1" s="111"/>
      <c r="G1" s="64"/>
      <c r="H1" s="64"/>
      <c r="L1" s="68"/>
    </row>
    <row r="2" spans="1:12" ht="32.25" customHeight="1" x14ac:dyDescent="0.25">
      <c r="A2" s="6" t="s">
        <v>2</v>
      </c>
      <c r="B2" s="80" t="s">
        <v>12</v>
      </c>
      <c r="C2" s="77" t="s">
        <v>143</v>
      </c>
      <c r="D2" s="77" t="s">
        <v>11</v>
      </c>
      <c r="E2" s="78" t="s">
        <v>9</v>
      </c>
      <c r="F2" s="78" t="s">
        <v>14</v>
      </c>
      <c r="G2" s="55" t="s">
        <v>289</v>
      </c>
      <c r="H2" s="55" t="s">
        <v>129</v>
      </c>
      <c r="I2" s="1" t="s">
        <v>125</v>
      </c>
      <c r="J2" s="1" t="s">
        <v>128</v>
      </c>
      <c r="L2" s="68"/>
    </row>
    <row r="3" spans="1:12" ht="32.25" customHeight="1" x14ac:dyDescent="0.25">
      <c r="A3" s="3">
        <v>1</v>
      </c>
      <c r="B3" s="13">
        <v>45380</v>
      </c>
      <c r="C3" s="13">
        <v>45383</v>
      </c>
      <c r="D3" s="13">
        <v>45383</v>
      </c>
      <c r="E3" s="4" t="s">
        <v>485</v>
      </c>
      <c r="F3" s="4" t="str">
        <f>E3</f>
        <v>1920M2</v>
      </c>
      <c r="G3" s="55" t="s">
        <v>140</v>
      </c>
      <c r="H3" s="2"/>
      <c r="I3" s="2"/>
      <c r="J3" s="2"/>
      <c r="L3" s="68"/>
    </row>
  </sheetData>
  <mergeCells count="1">
    <mergeCell ref="A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098D-48D7-482A-9D40-DA4F8B9AB11E}">
  <sheetPr codeName="工作表29">
    <tabColor theme="9" tint="0.39997558519241921"/>
    <pageSetUpPr fitToPage="1"/>
  </sheetPr>
  <dimension ref="A1:AP73"/>
  <sheetViews>
    <sheetView showGridLines="0" view="pageBreakPreview" zoomScale="115" zoomScaleNormal="100" zoomScaleSheetLayoutView="115" workbookViewId="0">
      <selection sqref="A1:Z1"/>
    </sheetView>
  </sheetViews>
  <sheetFormatPr defaultColWidth="9" defaultRowHeight="16.5" x14ac:dyDescent="0.25"/>
  <cols>
    <col min="1" max="256" width="4.625" style="20" customWidth="1"/>
    <col min="257" max="16384" width="9" style="20"/>
  </cols>
  <sheetData>
    <row r="1" spans="1:41" ht="24.95" customHeight="1" x14ac:dyDescent="0.25">
      <c r="A1" s="301" t="s">
        <v>29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</row>
    <row r="2" spans="1:41" ht="24.95" customHeight="1" x14ac:dyDescent="0.25">
      <c r="A2" s="302" t="s">
        <v>98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</row>
    <row r="3" spans="1:41" ht="20.100000000000001" customHeight="1" thickBot="1" x14ac:dyDescent="0.35">
      <c r="A3" s="21"/>
      <c r="B3" s="21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 t="s">
        <v>30</v>
      </c>
      <c r="V3" s="24"/>
      <c r="W3" s="25"/>
      <c r="X3" s="25"/>
      <c r="Y3" s="25"/>
      <c r="Z3" s="25"/>
    </row>
    <row r="4" spans="1:41" ht="20.100000000000001" customHeight="1" thickTop="1" thickBot="1" x14ac:dyDescent="0.3">
      <c r="A4" s="303" t="s">
        <v>31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5" t="s">
        <v>32</v>
      </c>
      <c r="V4" s="306"/>
      <c r="W4" s="306"/>
      <c r="X4" s="306"/>
      <c r="Y4" s="306"/>
      <c r="Z4" s="306"/>
      <c r="AC4" s="20">
        <v>40</v>
      </c>
    </row>
    <row r="5" spans="1:41" ht="30" customHeight="1" thickTop="1" x14ac:dyDescent="0.25">
      <c r="A5" s="307" t="s">
        <v>33</v>
      </c>
      <c r="B5" s="308"/>
      <c r="C5" s="308"/>
      <c r="D5" s="309" t="s">
        <v>142</v>
      </c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10"/>
    </row>
    <row r="6" spans="1:41" ht="30" customHeight="1" x14ac:dyDescent="0.25">
      <c r="A6" s="283" t="s">
        <v>34</v>
      </c>
      <c r="B6" s="284"/>
      <c r="C6" s="284"/>
      <c r="D6" s="290" t="s">
        <v>35</v>
      </c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1"/>
    </row>
    <row r="7" spans="1:41" ht="30" customHeight="1" x14ac:dyDescent="0.25">
      <c r="A7" s="283" t="s">
        <v>36</v>
      </c>
      <c r="B7" s="284"/>
      <c r="C7" s="284"/>
      <c r="D7" s="290" t="s">
        <v>37</v>
      </c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1"/>
    </row>
    <row r="8" spans="1:41" ht="30" customHeight="1" x14ac:dyDescent="0.25">
      <c r="A8" s="283" t="s">
        <v>38</v>
      </c>
      <c r="B8" s="284"/>
      <c r="C8" s="284"/>
      <c r="D8" s="290" t="s">
        <v>39</v>
      </c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1"/>
    </row>
    <row r="9" spans="1:41" ht="30" customHeight="1" x14ac:dyDescent="0.25">
      <c r="A9" s="297" t="s">
        <v>40</v>
      </c>
      <c r="B9" s="298"/>
      <c r="C9" s="298"/>
      <c r="D9" s="290" t="s">
        <v>35</v>
      </c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1"/>
      <c r="AD9" s="118"/>
      <c r="AE9" s="118"/>
      <c r="AF9" s="124"/>
      <c r="AG9" s="124"/>
      <c r="AH9" s="124"/>
      <c r="AI9" s="124"/>
      <c r="AJ9" s="124"/>
      <c r="AK9" s="124"/>
      <c r="AL9" s="124"/>
      <c r="AM9" s="124"/>
      <c r="AN9" s="124"/>
      <c r="AO9" s="124"/>
    </row>
    <row r="10" spans="1:41" ht="30" customHeight="1" x14ac:dyDescent="0.25">
      <c r="A10" s="299" t="s">
        <v>41</v>
      </c>
      <c r="B10" s="300"/>
      <c r="C10" s="300"/>
      <c r="D10" s="290" t="s">
        <v>99</v>
      </c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290"/>
      <c r="P10" s="290"/>
      <c r="Q10" s="290"/>
      <c r="R10" s="290"/>
      <c r="S10" s="290"/>
      <c r="T10" s="290"/>
      <c r="U10" s="290"/>
      <c r="V10" s="290"/>
      <c r="W10" s="290"/>
      <c r="X10" s="290"/>
      <c r="Y10" s="290"/>
      <c r="Z10" s="291"/>
      <c r="AD10" s="118"/>
      <c r="AE10" s="118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</row>
    <row r="11" spans="1:41" ht="30" customHeight="1" x14ac:dyDescent="0.15">
      <c r="A11" s="283" t="s">
        <v>42</v>
      </c>
      <c r="B11" s="284"/>
      <c r="C11" s="284"/>
      <c r="D11" s="292"/>
      <c r="E11" s="289"/>
      <c r="F11" s="289"/>
      <c r="G11" s="289"/>
      <c r="H11" s="289"/>
      <c r="I11" s="289"/>
      <c r="J11" s="289"/>
      <c r="K11" s="289"/>
      <c r="L11" s="289"/>
      <c r="M11" s="289"/>
      <c r="N11" s="289"/>
      <c r="O11" s="289"/>
      <c r="P11" s="289"/>
      <c r="Q11" s="289"/>
      <c r="R11" s="289"/>
      <c r="S11" s="289"/>
      <c r="T11" s="289"/>
      <c r="U11" s="289"/>
      <c r="V11" s="289"/>
      <c r="W11" s="289"/>
      <c r="X11" s="289"/>
      <c r="Y11" s="289"/>
      <c r="Z11" s="293"/>
      <c r="AD11" s="294"/>
      <c r="AE11" s="294"/>
      <c r="AF11" s="124"/>
      <c r="AG11" s="124"/>
      <c r="AH11" s="124"/>
      <c r="AI11" s="124"/>
      <c r="AJ11" s="124"/>
      <c r="AK11" s="124"/>
      <c r="AL11" s="295"/>
      <c r="AM11" s="295"/>
      <c r="AN11" s="295"/>
      <c r="AO11" s="295"/>
    </row>
    <row r="12" spans="1:41" ht="30" customHeight="1" x14ac:dyDescent="0.15">
      <c r="A12" s="283" t="s">
        <v>43</v>
      </c>
      <c r="B12" s="284"/>
      <c r="C12" s="284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93"/>
      <c r="AD12" s="294"/>
      <c r="AE12" s="294"/>
      <c r="AF12" s="124"/>
      <c r="AG12" s="124"/>
      <c r="AH12" s="124"/>
      <c r="AI12" s="124"/>
      <c r="AJ12" s="124"/>
      <c r="AK12" s="124"/>
      <c r="AL12" s="296"/>
      <c r="AM12" s="296"/>
      <c r="AN12" s="296"/>
      <c r="AO12" s="296"/>
    </row>
    <row r="13" spans="1:41" ht="30" customHeight="1" x14ac:dyDescent="0.25">
      <c r="A13" s="283" t="s">
        <v>44</v>
      </c>
      <c r="B13" s="284"/>
      <c r="C13" s="284"/>
      <c r="D13" s="284"/>
      <c r="E13" s="27" t="s">
        <v>45</v>
      </c>
      <c r="F13" s="289"/>
      <c r="G13" s="289"/>
      <c r="H13" s="289"/>
      <c r="I13" s="27" t="s">
        <v>46</v>
      </c>
      <c r="J13" s="289" t="s">
        <v>131</v>
      </c>
      <c r="K13" s="289"/>
      <c r="L13" s="289"/>
      <c r="M13" s="27" t="s">
        <v>47</v>
      </c>
      <c r="N13" s="289"/>
      <c r="O13" s="289"/>
      <c r="P13" s="289"/>
      <c r="Q13" s="28"/>
      <c r="R13" s="290"/>
      <c r="S13" s="290"/>
      <c r="T13" s="290"/>
      <c r="U13" s="28"/>
      <c r="V13" s="290"/>
      <c r="W13" s="290"/>
      <c r="X13" s="290"/>
      <c r="Y13" s="290"/>
      <c r="Z13" s="291"/>
    </row>
    <row r="14" spans="1:41" ht="30" customHeight="1" x14ac:dyDescent="0.25">
      <c r="A14" s="283" t="s">
        <v>48</v>
      </c>
      <c r="B14" s="284"/>
      <c r="C14" s="284"/>
      <c r="D14" s="284"/>
      <c r="E14" s="27" t="s">
        <v>49</v>
      </c>
      <c r="F14" s="285"/>
      <c r="G14" s="285"/>
      <c r="H14" s="285"/>
      <c r="I14" s="27" t="s">
        <v>46</v>
      </c>
      <c r="J14" s="288"/>
      <c r="K14" s="288"/>
      <c r="L14" s="288"/>
      <c r="M14" s="27" t="s">
        <v>47</v>
      </c>
      <c r="N14" s="288"/>
      <c r="O14" s="288"/>
      <c r="P14" s="288"/>
      <c r="Q14" s="27" t="s">
        <v>50</v>
      </c>
      <c r="R14" s="285"/>
      <c r="S14" s="285"/>
      <c r="T14" s="285"/>
      <c r="U14" s="285"/>
      <c r="V14" s="286" t="s">
        <v>51</v>
      </c>
      <c r="W14" s="286"/>
      <c r="X14" s="286"/>
      <c r="Y14" s="286"/>
      <c r="Z14" s="287"/>
      <c r="AD14" s="26"/>
    </row>
    <row r="15" spans="1:41" ht="30" customHeight="1" x14ac:dyDescent="0.25">
      <c r="A15" s="283" t="s">
        <v>52</v>
      </c>
      <c r="B15" s="284"/>
      <c r="C15" s="284"/>
      <c r="D15" s="284"/>
      <c r="E15" s="27" t="s">
        <v>49</v>
      </c>
      <c r="F15" s="285"/>
      <c r="G15" s="285"/>
      <c r="H15" s="285"/>
      <c r="I15" s="27" t="s">
        <v>46</v>
      </c>
      <c r="J15" s="285"/>
      <c r="K15" s="285"/>
      <c r="L15" s="285"/>
      <c r="M15" s="27" t="s">
        <v>47</v>
      </c>
      <c r="N15" s="285"/>
      <c r="O15" s="285"/>
      <c r="P15" s="285"/>
      <c r="Q15" s="28"/>
      <c r="R15" s="285"/>
      <c r="S15" s="285"/>
      <c r="T15" s="285"/>
      <c r="U15" s="285"/>
      <c r="V15" s="286" t="s">
        <v>51</v>
      </c>
      <c r="W15" s="286"/>
      <c r="X15" s="286"/>
      <c r="Y15" s="286"/>
      <c r="Z15" s="287"/>
      <c r="AD15" s="26"/>
    </row>
    <row r="16" spans="1:41" ht="24.95" customHeight="1" thickBot="1" x14ac:dyDescent="0.3">
      <c r="A16" s="274" t="s">
        <v>53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6" t="s">
        <v>100</v>
      </c>
      <c r="N16" s="276"/>
      <c r="O16" s="275" t="s">
        <v>54</v>
      </c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7"/>
      <c r="AD16" s="26"/>
    </row>
    <row r="17" spans="1:42" ht="30" customHeight="1" thickTop="1" x14ac:dyDescent="0.25">
      <c r="A17" s="270" t="s">
        <v>55</v>
      </c>
      <c r="B17" s="124"/>
      <c r="C17" s="124"/>
      <c r="D17" s="271" t="s">
        <v>121</v>
      </c>
      <c r="E17" s="271"/>
      <c r="F17" s="271"/>
      <c r="G17" s="271"/>
      <c r="H17" s="271"/>
      <c r="I17" s="271"/>
      <c r="J17" s="271"/>
      <c r="K17" s="271"/>
      <c r="L17" s="271"/>
      <c r="M17" s="271"/>
      <c r="N17" s="272" t="s">
        <v>56</v>
      </c>
      <c r="O17" s="278"/>
      <c r="P17" s="278"/>
      <c r="Q17" s="271" t="s">
        <v>117</v>
      </c>
      <c r="R17" s="271"/>
      <c r="S17" s="271"/>
      <c r="T17" s="271"/>
      <c r="U17" s="272" t="s">
        <v>57</v>
      </c>
      <c r="V17" s="279"/>
      <c r="W17" s="280">
        <v>908262883</v>
      </c>
      <c r="X17" s="281"/>
      <c r="Y17" s="281"/>
      <c r="Z17" s="282"/>
      <c r="AD17" s="26"/>
    </row>
    <row r="18" spans="1:42" ht="30" customHeight="1" x14ac:dyDescent="0.25">
      <c r="A18" s="270" t="s">
        <v>58</v>
      </c>
      <c r="B18" s="124"/>
      <c r="C18" s="124"/>
      <c r="D18" s="271" t="s">
        <v>120</v>
      </c>
      <c r="E18" s="271"/>
      <c r="F18" s="271"/>
      <c r="G18" s="271"/>
      <c r="H18" s="271"/>
      <c r="I18" s="271"/>
      <c r="J18" s="271"/>
      <c r="K18" s="271"/>
      <c r="L18" s="271"/>
      <c r="M18" s="271"/>
      <c r="N18" s="272" t="s">
        <v>59</v>
      </c>
      <c r="O18" s="272"/>
      <c r="P18" s="272"/>
      <c r="Q18" s="271" t="s">
        <v>116</v>
      </c>
      <c r="R18" s="271"/>
      <c r="S18" s="271"/>
      <c r="T18" s="271"/>
      <c r="U18" s="272" t="s">
        <v>60</v>
      </c>
      <c r="V18" s="272"/>
      <c r="W18" s="271"/>
      <c r="X18" s="271"/>
      <c r="Y18" s="271"/>
      <c r="Z18" s="273"/>
      <c r="AD18" s="26"/>
    </row>
    <row r="19" spans="1:42" ht="30" customHeight="1" x14ac:dyDescent="0.25">
      <c r="A19" s="265" t="s">
        <v>61</v>
      </c>
      <c r="B19" s="266"/>
      <c r="C19" s="267" t="s">
        <v>101</v>
      </c>
      <c r="D19" s="267"/>
      <c r="E19" s="267"/>
      <c r="F19" s="268"/>
      <c r="G19" s="268"/>
      <c r="H19" s="268"/>
      <c r="I19" s="268"/>
      <c r="J19" s="268"/>
      <c r="K19" s="268"/>
      <c r="L19" s="268"/>
      <c r="M19" s="268"/>
      <c r="N19" s="266" t="s">
        <v>63</v>
      </c>
      <c r="O19" s="266"/>
      <c r="P19" s="267" t="s">
        <v>62</v>
      </c>
      <c r="Q19" s="267"/>
      <c r="R19" s="267"/>
      <c r="S19" s="268"/>
      <c r="T19" s="268"/>
      <c r="U19" s="268"/>
      <c r="V19" s="268"/>
      <c r="W19" s="268"/>
      <c r="X19" s="268"/>
      <c r="Y19" s="268"/>
      <c r="Z19" s="269"/>
      <c r="AD19" s="26"/>
    </row>
    <row r="20" spans="1:42" ht="5.0999999999999996" customHeight="1" thickBot="1" x14ac:dyDescent="0.3">
      <c r="A20" s="251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252"/>
      <c r="AD20" s="26"/>
    </row>
    <row r="21" spans="1:42" ht="24.95" customHeight="1" thickTop="1" thickBot="1" x14ac:dyDescent="0.3">
      <c r="A21" s="253" t="s">
        <v>64</v>
      </c>
      <c r="B21" s="254"/>
      <c r="C21" s="254"/>
      <c r="D21" s="254"/>
      <c r="E21" s="255"/>
      <c r="F21" s="256" t="s">
        <v>65</v>
      </c>
      <c r="G21" s="257"/>
      <c r="H21" s="257"/>
      <c r="I21" s="257"/>
      <c r="J21" s="257"/>
      <c r="K21" s="258"/>
      <c r="L21" s="259"/>
      <c r="M21" s="259"/>
      <c r="N21" s="259"/>
      <c r="O21" s="259"/>
      <c r="P21" s="260" t="s">
        <v>66</v>
      </c>
      <c r="Q21" s="261"/>
      <c r="R21" s="258"/>
      <c r="S21" s="259"/>
      <c r="T21" s="261" t="s">
        <v>67</v>
      </c>
      <c r="U21" s="261"/>
      <c r="V21" s="262"/>
      <c r="W21" s="263"/>
      <c r="X21" s="263"/>
      <c r="Y21" s="263"/>
      <c r="Z21" s="264"/>
      <c r="AD21" s="26"/>
    </row>
    <row r="22" spans="1:42" ht="24.95" customHeight="1" thickTop="1" x14ac:dyDescent="0.25">
      <c r="A22" s="233" t="s">
        <v>102</v>
      </c>
      <c r="B22" s="234"/>
      <c r="C22" s="234"/>
      <c r="D22" s="234"/>
      <c r="E22" s="234"/>
      <c r="F22" s="235" t="s">
        <v>103</v>
      </c>
      <c r="G22" s="236"/>
      <c r="H22" s="236"/>
      <c r="I22" s="236"/>
      <c r="J22" s="236"/>
      <c r="K22" s="236"/>
      <c r="L22" s="236"/>
      <c r="M22" s="236"/>
      <c r="N22" s="237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9"/>
    </row>
    <row r="23" spans="1:42" ht="15.2" customHeight="1" x14ac:dyDescent="0.25">
      <c r="A23" s="207" t="s">
        <v>68</v>
      </c>
      <c r="B23" s="208"/>
      <c r="C23" s="208"/>
      <c r="D23" s="209"/>
      <c r="E23" s="210"/>
      <c r="F23" s="208" t="s">
        <v>69</v>
      </c>
      <c r="G23" s="208"/>
      <c r="H23" s="208"/>
      <c r="I23" s="209"/>
      <c r="J23" s="210"/>
      <c r="K23" s="214" t="s">
        <v>70</v>
      </c>
      <c r="L23" s="209"/>
      <c r="M23" s="210"/>
      <c r="N23" s="241" t="s">
        <v>104</v>
      </c>
      <c r="O23" s="242"/>
      <c r="P23" s="242"/>
      <c r="Q23" s="243"/>
      <c r="R23" s="247" t="s">
        <v>71</v>
      </c>
      <c r="S23" s="209"/>
      <c r="T23" s="210"/>
      <c r="U23" s="247" t="s">
        <v>72</v>
      </c>
      <c r="V23" s="209"/>
      <c r="W23" s="210"/>
      <c r="X23" s="208" t="s">
        <v>73</v>
      </c>
      <c r="Y23" s="208"/>
      <c r="Z23" s="248"/>
    </row>
    <row r="24" spans="1:42" ht="15.2" customHeight="1" x14ac:dyDescent="0.25">
      <c r="A24" s="211"/>
      <c r="B24" s="212"/>
      <c r="C24" s="212"/>
      <c r="D24" s="212"/>
      <c r="E24" s="213"/>
      <c r="F24" s="212"/>
      <c r="G24" s="212"/>
      <c r="H24" s="212"/>
      <c r="I24" s="212"/>
      <c r="J24" s="213"/>
      <c r="K24" s="240"/>
      <c r="L24" s="212"/>
      <c r="M24" s="213"/>
      <c r="N24" s="244"/>
      <c r="O24" s="245"/>
      <c r="P24" s="245"/>
      <c r="Q24" s="246"/>
      <c r="R24" s="240"/>
      <c r="S24" s="212"/>
      <c r="T24" s="213"/>
      <c r="U24" s="240"/>
      <c r="V24" s="212"/>
      <c r="W24" s="213"/>
      <c r="X24" s="249"/>
      <c r="Y24" s="249"/>
      <c r="Z24" s="250"/>
      <c r="AC24" s="127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</row>
    <row r="25" spans="1:42" ht="20.100000000000001" customHeight="1" x14ac:dyDescent="0.25">
      <c r="A25" s="207" t="s">
        <v>105</v>
      </c>
      <c r="B25" s="208"/>
      <c r="C25" s="208"/>
      <c r="D25" s="209"/>
      <c r="E25" s="210"/>
      <c r="F25" s="214" t="s">
        <v>106</v>
      </c>
      <c r="G25" s="208"/>
      <c r="H25" s="208"/>
      <c r="I25" s="208"/>
      <c r="J25" s="215"/>
      <c r="K25" s="219"/>
      <c r="L25" s="220"/>
      <c r="M25" s="221"/>
      <c r="N25" s="219"/>
      <c r="O25" s="220"/>
      <c r="P25" s="220"/>
      <c r="Q25" s="221"/>
      <c r="R25" s="225"/>
      <c r="S25" s="226"/>
      <c r="T25" s="227"/>
      <c r="U25" s="225"/>
      <c r="V25" s="226"/>
      <c r="W25" s="227"/>
      <c r="X25" s="219"/>
      <c r="Y25" s="220"/>
      <c r="Z25" s="231"/>
    </row>
    <row r="26" spans="1:42" ht="20.100000000000001" customHeight="1" x14ac:dyDescent="0.25">
      <c r="A26" s="211"/>
      <c r="B26" s="212"/>
      <c r="C26" s="212"/>
      <c r="D26" s="212"/>
      <c r="E26" s="213"/>
      <c r="F26" s="216"/>
      <c r="G26" s="217"/>
      <c r="H26" s="217"/>
      <c r="I26" s="217"/>
      <c r="J26" s="218"/>
      <c r="K26" s="222"/>
      <c r="L26" s="223"/>
      <c r="M26" s="224"/>
      <c r="N26" s="222"/>
      <c r="O26" s="223"/>
      <c r="P26" s="223"/>
      <c r="Q26" s="224"/>
      <c r="R26" s="228"/>
      <c r="S26" s="229"/>
      <c r="T26" s="230"/>
      <c r="U26" s="228"/>
      <c r="V26" s="229"/>
      <c r="W26" s="230"/>
      <c r="X26" s="222"/>
      <c r="Y26" s="223"/>
      <c r="Z26" s="232"/>
    </row>
    <row r="27" spans="1:42" ht="24.6" customHeight="1" x14ac:dyDescent="0.25">
      <c r="A27" s="191" t="s">
        <v>74</v>
      </c>
      <c r="B27" s="192"/>
      <c r="C27" s="192"/>
      <c r="D27" s="193" t="s">
        <v>75</v>
      </c>
      <c r="E27" s="194"/>
      <c r="F27" s="194"/>
      <c r="G27" s="194"/>
      <c r="H27" s="194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6"/>
    </row>
    <row r="28" spans="1:42" ht="24.6" customHeight="1" x14ac:dyDescent="0.25">
      <c r="A28" s="197" t="s">
        <v>76</v>
      </c>
      <c r="B28" s="114"/>
      <c r="C28" s="114"/>
      <c r="D28" s="114"/>
      <c r="E28" s="198" t="s">
        <v>107</v>
      </c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200"/>
    </row>
    <row r="29" spans="1:42" ht="24.6" customHeight="1" thickBot="1" x14ac:dyDescent="0.3">
      <c r="A29" s="201" t="s">
        <v>77</v>
      </c>
      <c r="B29" s="202"/>
      <c r="C29" s="202"/>
      <c r="D29" s="202"/>
      <c r="E29" s="29"/>
      <c r="F29" s="30" t="s">
        <v>78</v>
      </c>
      <c r="G29" s="29"/>
      <c r="H29" s="30" t="s">
        <v>79</v>
      </c>
      <c r="I29" s="29"/>
      <c r="J29" s="30" t="s">
        <v>80</v>
      </c>
      <c r="K29" s="29"/>
      <c r="L29" s="30" t="s">
        <v>81</v>
      </c>
      <c r="M29" s="29"/>
      <c r="N29" s="203" t="s">
        <v>82</v>
      </c>
      <c r="O29" s="204"/>
      <c r="P29" s="29"/>
      <c r="Q29" s="30" t="s">
        <v>78</v>
      </c>
      <c r="R29" s="29"/>
      <c r="S29" s="30" t="s">
        <v>79</v>
      </c>
      <c r="T29" s="29"/>
      <c r="U29" s="30" t="s">
        <v>80</v>
      </c>
      <c r="V29" s="29"/>
      <c r="W29" s="30" t="s">
        <v>81</v>
      </c>
      <c r="X29" s="29"/>
      <c r="Y29" s="205" t="s">
        <v>83</v>
      </c>
      <c r="Z29" s="206"/>
    </row>
    <row r="30" spans="1:42" s="31" customFormat="1" ht="20.100000000000001" customHeight="1" thickTop="1" x14ac:dyDescent="0.25">
      <c r="A30" s="176" t="s">
        <v>108</v>
      </c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8"/>
      <c r="AE30" s="26"/>
      <c r="AF30" s="26"/>
      <c r="AG30" s="26"/>
      <c r="AH30" s="20"/>
      <c r="AI30" s="32"/>
      <c r="AJ30" s="32"/>
      <c r="AK30" s="32"/>
      <c r="AL30" s="32"/>
      <c r="AM30" s="32"/>
      <c r="AN30" s="32"/>
      <c r="AO30" s="32"/>
      <c r="AP30" s="32"/>
    </row>
    <row r="31" spans="1:42" s="31" customFormat="1" ht="20.100000000000001" customHeight="1" x14ac:dyDescent="0.25">
      <c r="A31" s="179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1"/>
      <c r="AE31" s="26"/>
      <c r="AF31" s="26"/>
      <c r="AG31" s="26"/>
      <c r="AH31" s="20"/>
      <c r="AI31" s="32"/>
      <c r="AJ31" s="32"/>
      <c r="AK31" s="32"/>
      <c r="AL31" s="32"/>
      <c r="AM31" s="32"/>
      <c r="AN31" s="32"/>
      <c r="AO31" s="32"/>
      <c r="AP31" s="32"/>
    </row>
    <row r="32" spans="1:42" s="31" customFormat="1" ht="20.100000000000001" customHeight="1" thickBot="1" x14ac:dyDescent="0.3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5"/>
      <c r="AE32" s="26"/>
      <c r="AF32" s="26"/>
      <c r="AG32" s="26"/>
      <c r="AH32" s="20"/>
      <c r="AI32" s="32"/>
      <c r="AJ32" s="32"/>
      <c r="AK32" s="32"/>
      <c r="AL32" s="32"/>
      <c r="AM32" s="32"/>
      <c r="AN32" s="32"/>
      <c r="AO32" s="32"/>
      <c r="AP32" s="32"/>
    </row>
    <row r="33" spans="1:42" s="31" customFormat="1" ht="20.100000000000001" customHeight="1" thickTop="1" thickBot="1" x14ac:dyDescent="0.3">
      <c r="A33" s="182" t="s">
        <v>84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4"/>
      <c r="AE33" s="26"/>
      <c r="AF33" s="26"/>
      <c r="AG33" s="26"/>
      <c r="AH33" s="20"/>
      <c r="AI33" s="32"/>
      <c r="AJ33" s="32"/>
      <c r="AK33" s="32"/>
      <c r="AL33" s="32"/>
      <c r="AM33" s="32"/>
      <c r="AN33" s="32"/>
      <c r="AO33" s="32"/>
      <c r="AP33" s="32"/>
    </row>
    <row r="34" spans="1:42" ht="20.100000000000001" customHeight="1" thickTop="1" thickBot="1" x14ac:dyDescent="0.3">
      <c r="A34" s="185" t="s">
        <v>85</v>
      </c>
      <c r="B34" s="185"/>
      <c r="C34" s="185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spans="1:42" ht="20.100000000000001" customHeight="1" thickTop="1" x14ac:dyDescent="0.25">
      <c r="A35" s="187" t="s">
        <v>86</v>
      </c>
      <c r="B35" s="188"/>
      <c r="C35" s="188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90"/>
    </row>
    <row r="36" spans="1:42" s="31" customFormat="1" ht="24.95" customHeight="1" x14ac:dyDescent="0.25">
      <c r="A36" s="165" t="s">
        <v>109</v>
      </c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7"/>
      <c r="AE36" s="26"/>
      <c r="AF36" s="26"/>
      <c r="AG36" s="26"/>
      <c r="AH36" s="20"/>
      <c r="AI36" s="32"/>
      <c r="AJ36" s="32"/>
      <c r="AK36" s="32"/>
      <c r="AL36" s="32"/>
      <c r="AM36" s="32"/>
      <c r="AN36" s="32"/>
      <c r="AO36" s="32"/>
      <c r="AP36" s="32"/>
    </row>
    <row r="37" spans="1:42" s="31" customFormat="1" ht="24.95" customHeight="1" x14ac:dyDescent="0.25">
      <c r="A37" s="165" t="s">
        <v>110</v>
      </c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7"/>
      <c r="AE37" s="26"/>
      <c r="AF37" s="26"/>
      <c r="AG37" s="26"/>
      <c r="AH37" s="20"/>
      <c r="AI37" s="32"/>
      <c r="AJ37" s="32"/>
      <c r="AK37" s="32"/>
      <c r="AL37" s="32"/>
      <c r="AM37" s="32"/>
      <c r="AN37" s="32"/>
      <c r="AO37" s="32"/>
      <c r="AP37" s="32"/>
    </row>
    <row r="38" spans="1:42" s="31" customFormat="1" ht="24.95" customHeight="1" x14ac:dyDescent="0.25">
      <c r="A38" s="165" t="s">
        <v>111</v>
      </c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 t="s">
        <v>87</v>
      </c>
      <c r="N38" s="166"/>
      <c r="O38" s="166"/>
      <c r="P38" s="166"/>
      <c r="Q38" s="166"/>
      <c r="R38" s="166"/>
      <c r="S38" s="166"/>
      <c r="T38" s="166" t="s">
        <v>88</v>
      </c>
      <c r="U38" s="166"/>
      <c r="V38" s="166"/>
      <c r="W38" s="166"/>
      <c r="X38" s="166"/>
      <c r="Y38" s="166"/>
      <c r="Z38" s="167"/>
      <c r="AE38" s="26"/>
      <c r="AF38" s="26"/>
      <c r="AG38" s="26"/>
      <c r="AH38" s="20"/>
      <c r="AI38" s="32"/>
      <c r="AJ38" s="32"/>
      <c r="AK38" s="32"/>
      <c r="AL38" s="32"/>
      <c r="AM38" s="32"/>
      <c r="AN38" s="32"/>
      <c r="AO38" s="32"/>
      <c r="AP38" s="32"/>
    </row>
    <row r="39" spans="1:42" s="31" customFormat="1" ht="24.95" customHeight="1" x14ac:dyDescent="0.25">
      <c r="A39" s="165" t="s">
        <v>89</v>
      </c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7"/>
      <c r="AE39" s="26"/>
      <c r="AF39" s="26"/>
      <c r="AG39" s="26"/>
      <c r="AH39" s="20"/>
      <c r="AI39" s="32"/>
      <c r="AJ39" s="32"/>
      <c r="AK39" s="32"/>
      <c r="AL39" s="32"/>
      <c r="AM39" s="32"/>
      <c r="AN39" s="32"/>
      <c r="AO39" s="32"/>
      <c r="AP39" s="32"/>
    </row>
    <row r="40" spans="1:42" s="31" customFormat="1" ht="24.95" customHeight="1" x14ac:dyDescent="0.25">
      <c r="A40" s="165" t="s">
        <v>112</v>
      </c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7"/>
      <c r="AE40" s="26"/>
      <c r="AF40" s="26"/>
      <c r="AG40" s="26"/>
      <c r="AH40" s="20"/>
      <c r="AI40" s="32"/>
      <c r="AJ40" s="32"/>
      <c r="AK40" s="32"/>
      <c r="AL40" s="32"/>
      <c r="AM40" s="32"/>
      <c r="AN40" s="32"/>
      <c r="AO40" s="32"/>
      <c r="AP40" s="32"/>
    </row>
    <row r="41" spans="1:42" s="31" customFormat="1" ht="20.100000000000001" customHeight="1" x14ac:dyDescent="0.25">
      <c r="A41" s="168" t="s">
        <v>90</v>
      </c>
      <c r="B41" s="169"/>
      <c r="C41" s="169"/>
      <c r="D41" s="170"/>
      <c r="E41" s="170"/>
      <c r="F41" s="170"/>
      <c r="G41" s="170"/>
      <c r="H41" s="170"/>
      <c r="I41" s="171"/>
      <c r="J41" s="172" t="s">
        <v>91</v>
      </c>
      <c r="K41" s="173"/>
      <c r="L41" s="173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5"/>
    </row>
    <row r="42" spans="1:42" s="31" customFormat="1" ht="14.1" customHeight="1" x14ac:dyDescent="0.25">
      <c r="A42" s="156" t="s">
        <v>92</v>
      </c>
      <c r="B42" s="157"/>
      <c r="C42" s="157"/>
      <c r="D42" s="157"/>
      <c r="E42" s="157"/>
      <c r="F42" s="157"/>
      <c r="G42" s="157"/>
      <c r="H42" s="157"/>
      <c r="I42" s="158"/>
      <c r="J42" s="159" t="s">
        <v>93</v>
      </c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2"/>
      <c r="AA42" s="20"/>
    </row>
    <row r="43" spans="1:42" s="31" customFormat="1" ht="14.1" customHeight="1" x14ac:dyDescent="0.25">
      <c r="A43" s="149" t="s">
        <v>113</v>
      </c>
      <c r="B43" s="150"/>
      <c r="C43" s="150"/>
      <c r="D43" s="150"/>
      <c r="E43" s="150"/>
      <c r="F43" s="150"/>
      <c r="G43" s="150"/>
      <c r="H43" s="150"/>
      <c r="I43" s="151"/>
      <c r="J43" s="163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64"/>
      <c r="AC43" s="115"/>
      <c r="AD43" s="114"/>
      <c r="AE43" s="114"/>
      <c r="AF43" s="119"/>
      <c r="AG43" s="120"/>
      <c r="AH43" s="120"/>
      <c r="AI43" s="119"/>
      <c r="AJ43" s="119"/>
      <c r="AK43" s="120"/>
      <c r="AL43" s="121"/>
      <c r="AM43" s="121"/>
      <c r="AN43" s="121"/>
      <c r="AO43" s="121"/>
    </row>
    <row r="44" spans="1:42" ht="14.1" customHeight="1" x14ac:dyDescent="0.25">
      <c r="A44" s="149" t="s">
        <v>94</v>
      </c>
      <c r="B44" s="150"/>
      <c r="C44" s="150"/>
      <c r="D44" s="150"/>
      <c r="E44" s="150"/>
      <c r="F44" s="150"/>
      <c r="G44" s="150"/>
      <c r="H44" s="150"/>
      <c r="I44" s="151"/>
      <c r="J44" s="152"/>
      <c r="K44" s="153"/>
      <c r="L44" s="153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5"/>
      <c r="AC44" s="114"/>
      <c r="AD44" s="114"/>
      <c r="AE44" s="114"/>
      <c r="AF44" s="120"/>
      <c r="AG44" s="120"/>
      <c r="AH44" s="120"/>
      <c r="AI44" s="120"/>
      <c r="AJ44" s="120"/>
      <c r="AK44" s="120"/>
      <c r="AL44" s="121"/>
      <c r="AM44" s="121"/>
      <c r="AN44" s="121"/>
      <c r="AO44" s="121"/>
    </row>
    <row r="45" spans="1:42" ht="14.1" customHeight="1" x14ac:dyDescent="0.25">
      <c r="A45" s="140" t="s">
        <v>114</v>
      </c>
      <c r="B45" s="141"/>
      <c r="C45" s="141"/>
      <c r="D45" s="141"/>
      <c r="E45" s="141"/>
      <c r="F45" s="141"/>
      <c r="G45" s="141"/>
      <c r="H45" s="141"/>
      <c r="I45" s="142"/>
      <c r="J45" s="49"/>
      <c r="K45" s="50"/>
      <c r="L45" s="50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2"/>
      <c r="AC45" s="45"/>
      <c r="AD45" s="45"/>
      <c r="AE45" s="45"/>
      <c r="AF45" s="53"/>
      <c r="AG45" s="53"/>
      <c r="AH45" s="53"/>
      <c r="AI45" s="53"/>
      <c r="AJ45" s="53"/>
      <c r="AK45" s="53"/>
      <c r="AL45" s="54"/>
      <c r="AM45" s="54"/>
      <c r="AN45" s="54"/>
      <c r="AO45" s="54"/>
    </row>
    <row r="46" spans="1:42" s="31" customFormat="1" ht="24.95" customHeight="1" thickBot="1" x14ac:dyDescent="0.3">
      <c r="A46" s="143"/>
      <c r="B46" s="144"/>
      <c r="C46" s="144"/>
      <c r="D46" s="144"/>
      <c r="E46" s="144"/>
      <c r="F46" s="144"/>
      <c r="G46" s="144"/>
      <c r="H46" s="144"/>
      <c r="I46" s="145"/>
      <c r="J46" s="146" t="s">
        <v>95</v>
      </c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8"/>
      <c r="AC46" s="134"/>
      <c r="AD46" s="114"/>
      <c r="AE46" s="114"/>
      <c r="AF46" s="135"/>
      <c r="AG46" s="122"/>
      <c r="AH46" s="122"/>
      <c r="AI46" s="114"/>
      <c r="AJ46" s="114"/>
      <c r="AK46" s="114"/>
      <c r="AL46" s="114"/>
      <c r="AM46" s="114"/>
      <c r="AN46" s="114"/>
      <c r="AO46" s="114"/>
    </row>
    <row r="47" spans="1:42" ht="15.2" customHeight="1" thickTop="1" x14ac:dyDescent="0.25">
      <c r="A47" s="136"/>
      <c r="B47" s="136"/>
      <c r="C47" s="136"/>
      <c r="D47" s="136"/>
      <c r="E47" s="136"/>
      <c r="F47" s="137"/>
      <c r="G47" s="137"/>
      <c r="H47" s="137"/>
      <c r="I47" s="137"/>
      <c r="J47" s="138" t="s">
        <v>115</v>
      </c>
      <c r="K47" s="138"/>
      <c r="L47" s="138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C47" s="114"/>
      <c r="AD47" s="114"/>
      <c r="AE47" s="114"/>
      <c r="AF47" s="122"/>
      <c r="AG47" s="122"/>
      <c r="AH47" s="122"/>
      <c r="AI47" s="114"/>
      <c r="AJ47" s="114"/>
      <c r="AK47" s="114"/>
      <c r="AL47" s="114"/>
      <c r="AM47" s="114"/>
      <c r="AN47" s="114"/>
      <c r="AO47" s="114"/>
    </row>
    <row r="48" spans="1:42" ht="20.100000000000001" customHeight="1" x14ac:dyDescent="0.25">
      <c r="A48" s="36"/>
      <c r="B48" s="36"/>
      <c r="C48" s="36"/>
      <c r="D48" s="36"/>
      <c r="E48" s="36"/>
      <c r="F48" s="36"/>
      <c r="G48" s="36"/>
      <c r="H48" s="36"/>
      <c r="I48" s="37"/>
      <c r="J48" s="37"/>
      <c r="K48" s="37"/>
      <c r="L48" s="37"/>
      <c r="M48" s="38"/>
      <c r="T48" s="32"/>
      <c r="U48" s="32"/>
      <c r="V48" s="32"/>
      <c r="W48" s="127"/>
      <c r="X48" s="127"/>
      <c r="Y48" s="127"/>
      <c r="Z48" s="127"/>
      <c r="AC48" s="134"/>
      <c r="AD48" s="114"/>
      <c r="AE48" s="114"/>
      <c r="AF48" s="135"/>
      <c r="AG48" s="122"/>
      <c r="AH48" s="122"/>
      <c r="AI48" s="114"/>
      <c r="AJ48" s="114"/>
      <c r="AK48" s="114"/>
      <c r="AL48" s="114"/>
      <c r="AM48" s="114"/>
      <c r="AN48" s="114"/>
      <c r="AO48" s="114"/>
    </row>
    <row r="49" spans="1:41" ht="20.100000000000001" customHeight="1" x14ac:dyDescent="0.25">
      <c r="A49" s="32"/>
      <c r="B49" s="32"/>
      <c r="C49" s="32"/>
      <c r="E49" s="36"/>
      <c r="F49" s="36"/>
      <c r="G49" s="36"/>
      <c r="H49" s="36"/>
      <c r="I49" s="37"/>
      <c r="J49" s="37"/>
      <c r="K49" s="37"/>
      <c r="L49" s="37"/>
      <c r="T49" s="32"/>
      <c r="U49" s="32"/>
      <c r="V49" s="32"/>
      <c r="W49" s="127"/>
      <c r="X49" s="127"/>
      <c r="Y49" s="127"/>
      <c r="Z49" s="127"/>
      <c r="AC49" s="114"/>
      <c r="AD49" s="114"/>
      <c r="AE49" s="114"/>
      <c r="AF49" s="122"/>
      <c r="AG49" s="122"/>
      <c r="AH49" s="122"/>
      <c r="AI49" s="114"/>
      <c r="AJ49" s="114"/>
      <c r="AK49" s="114"/>
      <c r="AL49" s="114"/>
      <c r="AM49" s="114"/>
      <c r="AN49" s="114"/>
      <c r="AO49" s="114"/>
    </row>
    <row r="50" spans="1:41" ht="15.2" customHeight="1" x14ac:dyDescent="0.25">
      <c r="A50" s="39"/>
      <c r="B50" s="39"/>
      <c r="C50" s="39"/>
      <c r="D50" s="39"/>
      <c r="AC50" s="134"/>
      <c r="AD50" s="114"/>
      <c r="AE50" s="114"/>
      <c r="AF50" s="135"/>
      <c r="AG50" s="122"/>
      <c r="AH50" s="122"/>
      <c r="AI50" s="114"/>
      <c r="AJ50" s="114"/>
      <c r="AK50" s="114"/>
      <c r="AL50" s="114"/>
      <c r="AM50" s="114"/>
      <c r="AN50" s="114"/>
      <c r="AO50" s="114"/>
    </row>
    <row r="51" spans="1:41" x14ac:dyDescent="0.25">
      <c r="A51" s="32"/>
      <c r="B51" s="32"/>
      <c r="C51" s="32"/>
      <c r="D51" s="40"/>
      <c r="E51" s="40"/>
      <c r="F51" s="40"/>
      <c r="G51" s="40"/>
      <c r="H51" s="40"/>
      <c r="I51" s="40"/>
      <c r="J51" s="40"/>
      <c r="K51" s="40"/>
      <c r="L51" s="40"/>
      <c r="M51" s="41"/>
      <c r="Q51" s="40"/>
      <c r="R51" s="40"/>
      <c r="S51" s="40"/>
      <c r="T51" s="41"/>
      <c r="U51" s="41"/>
      <c r="V51" s="41"/>
      <c r="W51" s="40"/>
      <c r="X51" s="40"/>
      <c r="Y51" s="40"/>
      <c r="Z51" s="40"/>
      <c r="AC51" s="114"/>
      <c r="AD51" s="114"/>
      <c r="AE51" s="114"/>
      <c r="AF51" s="122"/>
      <c r="AG51" s="122"/>
      <c r="AH51" s="122"/>
      <c r="AI51" s="114"/>
      <c r="AJ51" s="114"/>
      <c r="AK51" s="114"/>
      <c r="AL51" s="114"/>
      <c r="AM51" s="114"/>
      <c r="AN51" s="114"/>
      <c r="AO51" s="114"/>
    </row>
    <row r="52" spans="1:41" x14ac:dyDescent="0.25">
      <c r="A52" s="127"/>
      <c r="B52" s="127"/>
      <c r="C52" s="127"/>
      <c r="D52" s="127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C52" s="129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</row>
    <row r="53" spans="1:41" x14ac:dyDescent="0.25">
      <c r="A53" s="32"/>
      <c r="B53" s="32"/>
      <c r="C53" s="32"/>
      <c r="D53" s="40"/>
      <c r="E53" s="40"/>
      <c r="F53" s="40"/>
      <c r="G53" s="40"/>
      <c r="H53" s="40"/>
      <c r="I53" s="40"/>
      <c r="J53" s="40"/>
      <c r="K53" s="40"/>
      <c r="L53" s="40"/>
      <c r="M53" s="41"/>
      <c r="N53" s="41"/>
      <c r="O53" s="41"/>
      <c r="P53" s="41"/>
      <c r="Q53" s="40"/>
      <c r="R53" s="40"/>
      <c r="S53" s="40"/>
      <c r="T53" s="41"/>
      <c r="U53" s="41"/>
      <c r="V53" s="41"/>
      <c r="W53" s="40"/>
      <c r="X53" s="40"/>
      <c r="Y53" s="40"/>
      <c r="Z53" s="40"/>
    </row>
    <row r="54" spans="1:41" x14ac:dyDescent="0.25">
      <c r="A54" s="127"/>
      <c r="B54" s="127"/>
      <c r="C54" s="127"/>
      <c r="D54" s="127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 spans="1:41" x14ac:dyDescent="0.25">
      <c r="A55" s="130"/>
      <c r="B55" s="130"/>
      <c r="C55" s="130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41" x14ac:dyDescent="0.25">
      <c r="A56" s="42"/>
      <c r="B56" s="42"/>
      <c r="C56" s="42"/>
      <c r="D56" s="43"/>
      <c r="E56" s="44"/>
      <c r="F56" s="40"/>
      <c r="G56" s="40"/>
      <c r="H56" s="40"/>
      <c r="I56" s="40"/>
      <c r="J56" s="44"/>
      <c r="K56" s="44"/>
      <c r="L56" s="44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spans="1:41" x14ac:dyDescent="0.25">
      <c r="A57" s="132"/>
      <c r="B57" s="132"/>
      <c r="C57" s="132"/>
      <c r="D57" s="132"/>
      <c r="E57" s="40"/>
      <c r="F57" s="40"/>
      <c r="G57" s="40"/>
      <c r="H57" s="40"/>
      <c r="I57" s="40"/>
      <c r="J57" s="133"/>
      <c r="K57" s="133"/>
      <c r="L57" s="133"/>
      <c r="M57" s="133"/>
      <c r="N57" s="40"/>
      <c r="O57" s="40"/>
      <c r="P57" s="40"/>
      <c r="Q57" s="40"/>
      <c r="R57" s="40"/>
      <c r="S57" s="40"/>
      <c r="T57" s="40"/>
      <c r="U57" s="40"/>
      <c r="V57" s="40"/>
      <c r="AA57" s="115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</row>
    <row r="58" spans="1:41" x14ac:dyDescent="0.25">
      <c r="A58" s="31"/>
      <c r="B58" s="31"/>
      <c r="C58" s="31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AA58" s="115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</row>
    <row r="59" spans="1:41" x14ac:dyDescent="0.25">
      <c r="A59" s="31"/>
      <c r="B59" s="31"/>
      <c r="C59" s="31"/>
      <c r="D59" s="45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123"/>
      <c r="T59" s="40"/>
      <c r="U59" s="40"/>
      <c r="V59" s="40"/>
      <c r="AA59" s="26"/>
      <c r="AB59" s="124"/>
      <c r="AC59" s="124"/>
      <c r="AD59" s="124"/>
      <c r="AE59" s="124"/>
      <c r="AF59" s="124"/>
      <c r="AG59" s="124"/>
      <c r="AH59" s="46"/>
      <c r="AI59" s="124"/>
      <c r="AJ59" s="124"/>
      <c r="AK59" s="124"/>
      <c r="AL59" s="124"/>
      <c r="AM59" s="47"/>
    </row>
    <row r="60" spans="1:41" x14ac:dyDescent="0.25">
      <c r="A60" s="31"/>
      <c r="B60" s="31"/>
      <c r="C60" s="31"/>
      <c r="D60" s="45"/>
      <c r="E60" s="40"/>
      <c r="F60" s="40"/>
      <c r="G60" s="40"/>
      <c r="H60" s="40"/>
      <c r="I60" s="40"/>
      <c r="J60" s="40"/>
      <c r="K60" s="40"/>
      <c r="L60" s="40"/>
      <c r="M60" s="44"/>
      <c r="N60" s="44"/>
      <c r="O60" s="44"/>
      <c r="P60" s="44"/>
      <c r="Q60" s="123"/>
      <c r="T60" s="40"/>
      <c r="U60" s="40"/>
      <c r="V60" s="40"/>
      <c r="AA60" s="26"/>
      <c r="AB60" s="124"/>
      <c r="AC60" s="124"/>
      <c r="AD60" s="124"/>
      <c r="AE60" s="124"/>
      <c r="AF60" s="124"/>
      <c r="AG60" s="124"/>
      <c r="AH60" s="46"/>
      <c r="AI60" s="125"/>
      <c r="AJ60" s="126"/>
      <c r="AK60" s="126"/>
      <c r="AL60" s="126"/>
      <c r="AM60" s="47"/>
    </row>
    <row r="61" spans="1:41" x14ac:dyDescent="0.25"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47"/>
    </row>
    <row r="62" spans="1:41" x14ac:dyDescent="0.25"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47"/>
    </row>
    <row r="66" spans="13:32" x14ac:dyDescent="0.25">
      <c r="M66" s="115"/>
      <c r="N66" s="114"/>
      <c r="O66" s="114"/>
      <c r="P66" s="114"/>
      <c r="Q66" s="114"/>
      <c r="R66" s="45"/>
      <c r="S66" s="45"/>
      <c r="T66" s="115"/>
      <c r="U66" s="115"/>
      <c r="V66" s="115"/>
      <c r="W66" s="114"/>
      <c r="X66" s="114"/>
      <c r="Y66" s="45"/>
      <c r="Z66" s="115"/>
      <c r="AA66" s="119"/>
      <c r="AB66" s="120"/>
      <c r="AC66" s="119"/>
      <c r="AD66" s="119"/>
      <c r="AE66" s="121"/>
      <c r="AF66" s="120"/>
    </row>
    <row r="67" spans="13:32" x14ac:dyDescent="0.25">
      <c r="M67" s="114"/>
      <c r="N67" s="114"/>
      <c r="O67" s="114"/>
      <c r="P67" s="114"/>
      <c r="Q67" s="114"/>
      <c r="R67" s="45"/>
      <c r="S67" s="45"/>
      <c r="T67" s="114"/>
      <c r="U67" s="114"/>
      <c r="V67" s="114"/>
      <c r="W67" s="114"/>
      <c r="X67" s="114"/>
      <c r="Y67" s="45"/>
      <c r="Z67" s="114"/>
      <c r="AA67" s="120"/>
      <c r="AB67" s="120"/>
      <c r="AC67" s="120"/>
      <c r="AD67" s="120"/>
      <c r="AE67" s="120"/>
      <c r="AF67" s="120"/>
    </row>
    <row r="68" spans="13:32" x14ac:dyDescent="0.25">
      <c r="M68" s="115"/>
      <c r="N68" s="114"/>
      <c r="O68" s="114"/>
      <c r="P68" s="114"/>
      <c r="Q68" s="114"/>
      <c r="R68" s="45"/>
      <c r="S68" s="45"/>
      <c r="T68" s="116"/>
      <c r="U68" s="116"/>
      <c r="V68" s="116"/>
      <c r="W68" s="117"/>
      <c r="X68" s="117"/>
      <c r="Y68" s="48"/>
      <c r="Z68" s="115"/>
      <c r="AA68" s="45"/>
      <c r="AB68" s="45"/>
      <c r="AC68" s="45"/>
      <c r="AD68" s="45"/>
      <c r="AE68" s="45"/>
      <c r="AF68" s="45"/>
    </row>
    <row r="69" spans="13:32" x14ac:dyDescent="0.25">
      <c r="M69" s="114"/>
      <c r="N69" s="114"/>
      <c r="O69" s="114"/>
      <c r="P69" s="114"/>
      <c r="Q69" s="114"/>
      <c r="R69" s="45"/>
      <c r="S69" s="45"/>
      <c r="T69" s="117"/>
      <c r="U69" s="117"/>
      <c r="V69" s="117"/>
      <c r="W69" s="117"/>
      <c r="X69" s="117"/>
      <c r="Y69" s="48"/>
      <c r="Z69" s="114"/>
      <c r="AA69" s="45"/>
      <c r="AB69" s="45"/>
      <c r="AC69" s="45"/>
      <c r="AD69" s="45"/>
      <c r="AE69" s="45"/>
      <c r="AF69" s="45"/>
    </row>
    <row r="70" spans="13:32" x14ac:dyDescent="0.25">
      <c r="M70" s="115"/>
      <c r="N70" s="114"/>
      <c r="O70" s="114"/>
      <c r="P70" s="114"/>
      <c r="Q70" s="114"/>
      <c r="R70" s="45"/>
      <c r="S70" s="45"/>
      <c r="T70" s="115"/>
      <c r="U70" s="115"/>
      <c r="V70" s="115"/>
      <c r="W70" s="114"/>
      <c r="X70" s="114"/>
      <c r="Y70" s="45"/>
      <c r="Z70" s="115"/>
      <c r="AA70" s="114"/>
      <c r="AB70" s="114"/>
      <c r="AC70" s="114"/>
      <c r="AD70" s="114"/>
      <c r="AE70" s="114"/>
      <c r="AF70" s="114"/>
    </row>
    <row r="71" spans="13:32" x14ac:dyDescent="0.25">
      <c r="M71" s="114"/>
      <c r="N71" s="114"/>
      <c r="O71" s="114"/>
      <c r="P71" s="114"/>
      <c r="Q71" s="114"/>
      <c r="R71" s="45"/>
      <c r="S71" s="45"/>
      <c r="T71" s="114"/>
      <c r="U71" s="114"/>
      <c r="V71" s="114"/>
      <c r="W71" s="114"/>
      <c r="X71" s="114"/>
      <c r="Y71" s="45"/>
      <c r="Z71" s="114"/>
      <c r="AA71" s="114"/>
      <c r="AB71" s="114"/>
      <c r="AC71" s="114"/>
      <c r="AD71" s="114"/>
      <c r="AE71" s="114"/>
      <c r="AF71" s="114"/>
    </row>
    <row r="72" spans="13:32" x14ac:dyDescent="0.25">
      <c r="M72" s="115"/>
      <c r="N72" s="114"/>
      <c r="O72" s="114"/>
      <c r="P72" s="114"/>
      <c r="Q72" s="114"/>
      <c r="R72" s="45"/>
      <c r="S72" s="45"/>
      <c r="T72" s="115"/>
      <c r="U72" s="115"/>
      <c r="V72" s="115"/>
      <c r="W72" s="114"/>
      <c r="X72" s="114"/>
      <c r="Y72" s="45"/>
      <c r="Z72" s="115"/>
      <c r="AA72" s="114"/>
      <c r="AB72" s="114"/>
      <c r="AC72" s="114"/>
      <c r="AD72" s="114"/>
      <c r="AE72" s="114"/>
      <c r="AF72" s="114"/>
    </row>
    <row r="73" spans="13:32" x14ac:dyDescent="0.25">
      <c r="M73" s="114"/>
      <c r="N73" s="114"/>
      <c r="O73" s="114"/>
      <c r="P73" s="114"/>
      <c r="Q73" s="114"/>
      <c r="R73" s="45"/>
      <c r="S73" s="45"/>
      <c r="T73" s="114"/>
      <c r="U73" s="114"/>
      <c r="V73" s="114"/>
      <c r="W73" s="114"/>
      <c r="X73" s="114"/>
      <c r="Y73" s="45"/>
      <c r="Z73" s="114"/>
      <c r="AA73" s="114"/>
      <c r="AB73" s="114"/>
      <c r="AC73" s="114"/>
      <c r="AD73" s="114"/>
      <c r="AE73" s="114"/>
      <c r="AF73" s="114"/>
    </row>
  </sheetData>
  <sheetProtection selectLockedCells="1"/>
  <mergeCells count="194">
    <mergeCell ref="A6:C6"/>
    <mergeCell ref="D6:Z6"/>
    <mergeCell ref="A7:C7"/>
    <mergeCell ref="D7:Z7"/>
    <mergeCell ref="A8:C8"/>
    <mergeCell ref="D8:Z8"/>
    <mergeCell ref="A1:Z1"/>
    <mergeCell ref="A2:Z2"/>
    <mergeCell ref="A4:T4"/>
    <mergeCell ref="U4:Z4"/>
    <mergeCell ref="A5:C5"/>
    <mergeCell ref="D5:Z5"/>
    <mergeCell ref="AF11:AK11"/>
    <mergeCell ref="AL11:AO11"/>
    <mergeCell ref="A12:C12"/>
    <mergeCell ref="D12:Z12"/>
    <mergeCell ref="AD12:AE12"/>
    <mergeCell ref="AF12:AK12"/>
    <mergeCell ref="AL12:AO12"/>
    <mergeCell ref="A9:C9"/>
    <mergeCell ref="D9:Z9"/>
    <mergeCell ref="AD9:AE9"/>
    <mergeCell ref="AF9:AO9"/>
    <mergeCell ref="A10:C10"/>
    <mergeCell ref="D10:Z10"/>
    <mergeCell ref="AD10:AE10"/>
    <mergeCell ref="AF10:AO10"/>
    <mergeCell ref="A13:D13"/>
    <mergeCell ref="F13:H13"/>
    <mergeCell ref="J13:L13"/>
    <mergeCell ref="N13:P13"/>
    <mergeCell ref="R13:T13"/>
    <mergeCell ref="V13:Z13"/>
    <mergeCell ref="A11:C11"/>
    <mergeCell ref="D11:Z11"/>
    <mergeCell ref="AD11:AE11"/>
    <mergeCell ref="A15:D15"/>
    <mergeCell ref="F15:H15"/>
    <mergeCell ref="J15:L15"/>
    <mergeCell ref="N15:P15"/>
    <mergeCell ref="R15:U15"/>
    <mergeCell ref="V15:Z15"/>
    <mergeCell ref="A14:D14"/>
    <mergeCell ref="F14:H14"/>
    <mergeCell ref="J14:L14"/>
    <mergeCell ref="N14:P14"/>
    <mergeCell ref="R14:U14"/>
    <mergeCell ref="V14:Z14"/>
    <mergeCell ref="A18:C18"/>
    <mergeCell ref="D18:M18"/>
    <mergeCell ref="N18:P18"/>
    <mergeCell ref="Q18:T18"/>
    <mergeCell ref="U18:V18"/>
    <mergeCell ref="W18:Z18"/>
    <mergeCell ref="A16:L16"/>
    <mergeCell ref="M16:N16"/>
    <mergeCell ref="O16:Z16"/>
    <mergeCell ref="A17:C17"/>
    <mergeCell ref="D17:M17"/>
    <mergeCell ref="N17:P17"/>
    <mergeCell ref="Q17:T17"/>
    <mergeCell ref="U17:V17"/>
    <mergeCell ref="W17:Z17"/>
    <mergeCell ref="A20:Z20"/>
    <mergeCell ref="A21:E21"/>
    <mergeCell ref="F21:J21"/>
    <mergeCell ref="K21:O21"/>
    <mergeCell ref="P21:Q21"/>
    <mergeCell ref="R21:S21"/>
    <mergeCell ref="T21:V21"/>
    <mergeCell ref="W21:Z21"/>
    <mergeCell ref="A19:B19"/>
    <mergeCell ref="C19:E19"/>
    <mergeCell ref="F19:M19"/>
    <mergeCell ref="N19:O19"/>
    <mergeCell ref="P19:R19"/>
    <mergeCell ref="S19:Z19"/>
    <mergeCell ref="A22:E22"/>
    <mergeCell ref="F22:M22"/>
    <mergeCell ref="N22:Z22"/>
    <mergeCell ref="A23:E24"/>
    <mergeCell ref="F23:J24"/>
    <mergeCell ref="K23:M24"/>
    <mergeCell ref="N23:Q24"/>
    <mergeCell ref="R23:T24"/>
    <mergeCell ref="U23:W24"/>
    <mergeCell ref="X23:Z24"/>
    <mergeCell ref="A27:C27"/>
    <mergeCell ref="D27:H27"/>
    <mergeCell ref="I27:Z27"/>
    <mergeCell ref="A28:D28"/>
    <mergeCell ref="E28:Z28"/>
    <mergeCell ref="A29:D29"/>
    <mergeCell ref="N29:O29"/>
    <mergeCell ref="Y29:Z29"/>
    <mergeCell ref="AC24:AO24"/>
    <mergeCell ref="A25:E26"/>
    <mergeCell ref="F25:J26"/>
    <mergeCell ref="K25:M26"/>
    <mergeCell ref="N25:Q26"/>
    <mergeCell ref="R25:T26"/>
    <mergeCell ref="U25:W26"/>
    <mergeCell ref="X25:Z26"/>
    <mergeCell ref="A37:Z37"/>
    <mergeCell ref="A38:Z38"/>
    <mergeCell ref="A39:Z39"/>
    <mergeCell ref="A40:Z40"/>
    <mergeCell ref="A41:I41"/>
    <mergeCell ref="J41:Z41"/>
    <mergeCell ref="A30:Z30"/>
    <mergeCell ref="A31:Z31"/>
    <mergeCell ref="A33:Z33"/>
    <mergeCell ref="A34:Z34"/>
    <mergeCell ref="A35:Z35"/>
    <mergeCell ref="A36:Z36"/>
    <mergeCell ref="AJ43:AK44"/>
    <mergeCell ref="AL43:AL44"/>
    <mergeCell ref="AM43:AM44"/>
    <mergeCell ref="AN43:AO44"/>
    <mergeCell ref="A44:I44"/>
    <mergeCell ref="J44:Z44"/>
    <mergeCell ref="A42:I42"/>
    <mergeCell ref="J42:Z43"/>
    <mergeCell ref="A43:I43"/>
    <mergeCell ref="AC43:AE44"/>
    <mergeCell ref="AF43:AH44"/>
    <mergeCell ref="AI43:AI44"/>
    <mergeCell ref="AJ46:AK47"/>
    <mergeCell ref="AL46:AL47"/>
    <mergeCell ref="AM46:AM47"/>
    <mergeCell ref="AN46:AO47"/>
    <mergeCell ref="A47:I47"/>
    <mergeCell ref="J47:Z47"/>
    <mergeCell ref="A45:I45"/>
    <mergeCell ref="A46:I46"/>
    <mergeCell ref="J46:Z46"/>
    <mergeCell ref="AC46:AE47"/>
    <mergeCell ref="AF46:AH47"/>
    <mergeCell ref="AI46:AI47"/>
    <mergeCell ref="AM48:AM49"/>
    <mergeCell ref="AN48:AO49"/>
    <mergeCell ref="W49:Z49"/>
    <mergeCell ref="AC50:AE51"/>
    <mergeCell ref="AF50:AH51"/>
    <mergeCell ref="AI50:AI51"/>
    <mergeCell ref="AJ50:AK51"/>
    <mergeCell ref="AL50:AL51"/>
    <mergeCell ref="AM50:AM51"/>
    <mergeCell ref="AN50:AO51"/>
    <mergeCell ref="W48:Z48"/>
    <mergeCell ref="AC48:AE49"/>
    <mergeCell ref="AF48:AH49"/>
    <mergeCell ref="AI48:AI49"/>
    <mergeCell ref="AJ48:AK49"/>
    <mergeCell ref="AL48:AL49"/>
    <mergeCell ref="AA58:AM58"/>
    <mergeCell ref="Q59:Q60"/>
    <mergeCell ref="AB59:AG59"/>
    <mergeCell ref="AI59:AL59"/>
    <mergeCell ref="AB60:AG60"/>
    <mergeCell ref="AI60:AL60"/>
    <mergeCell ref="A52:Z52"/>
    <mergeCell ref="AC52:AO52"/>
    <mergeCell ref="A54:Z54"/>
    <mergeCell ref="A55:Z55"/>
    <mergeCell ref="A57:D57"/>
    <mergeCell ref="J57:M57"/>
    <mergeCell ref="AA57:AM57"/>
    <mergeCell ref="M68:Q69"/>
    <mergeCell ref="T68:X69"/>
    <mergeCell ref="Z68:Z69"/>
    <mergeCell ref="M70:Q71"/>
    <mergeCell ref="T70:X71"/>
    <mergeCell ref="Z70:Z71"/>
    <mergeCell ref="AA61:AL61"/>
    <mergeCell ref="AA62:AL62"/>
    <mergeCell ref="M66:Q67"/>
    <mergeCell ref="T66:X67"/>
    <mergeCell ref="Z66:Z67"/>
    <mergeCell ref="AA66:AB67"/>
    <mergeCell ref="AC66:AC67"/>
    <mergeCell ref="AD66:AD67"/>
    <mergeCell ref="AE66:AF67"/>
    <mergeCell ref="AE72:AF73"/>
    <mergeCell ref="AA70:AB71"/>
    <mergeCell ref="AC70:AC71"/>
    <mergeCell ref="AD70:AD71"/>
    <mergeCell ref="AE70:AF71"/>
    <mergeCell ref="M72:Q73"/>
    <mergeCell ref="T72:X73"/>
    <mergeCell ref="Z72:Z73"/>
    <mergeCell ref="AA72:AB73"/>
    <mergeCell ref="AC72:AC73"/>
    <mergeCell ref="AD72:AD73"/>
  </mergeCells>
  <phoneticPr fontId="1" type="noConversion"/>
  <dataValidations count="4">
    <dataValidation type="list" allowBlank="1" showInputMessage="1" showErrorMessage="1" sqref="F22:M22" xr:uid="{AC112E5E-EBD0-4CF8-9FAE-542ED613D2E3}">
      <formula1>"□∮12*24  □∮15*30  □其他：,█∮12*24  □∮15*30  □其他：,□∮12*24  █∮15*30  □其他：,□∮12*24  □∮15*30  █其他："</formula1>
    </dataValidation>
    <dataValidation type="list" allowBlank="1" showInputMessage="1" showErrorMessage="1" sqref="C19:E19 P19:R19" xr:uid="{BC47A74E-49B8-4CE1-A389-D72F7A410C1C}">
      <formula1>"□自取 □郵寄,█自取 □郵寄,□自取 █郵寄"</formula1>
    </dataValidation>
    <dataValidation type="list" allowBlank="1" showInputMessage="1" showErrorMessage="1" sqref="D27" xr:uid="{78A6FFB0-7D17-4084-8252-0F3F3729BC4C}">
      <formula1>"□同供料廠商 □其他：,█同供料廠商 □其他：,□同供料廠商 █其他："</formula1>
    </dataValidation>
    <dataValidation type="list" allowBlank="1" showInputMessage="1" showErrorMessage="1" sqref="U4:Z4" xr:uid="{605D843B-5D86-410F-BD0A-547B3FD3B9D6}">
      <formula1>"□會驗 □不會驗 □需拍照, █會驗 □不會驗 □需拍照, □會驗 █不會驗 □需拍照, █會驗 □不會驗 █需拍照, □會驗 █不會驗 █需拍照"</formula1>
    </dataValidation>
  </dataValidations>
  <printOptions horizontalCentered="1"/>
  <pageMargins left="0.19685039370078741" right="0.19685039370078741" top="0.19685039370078741" bottom="0.19685039370078741" header="0.31496062992125984" footer="0.31496062992125984"/>
  <pageSetup paperSize="9" scale="78" orientation="portrait" r:id="rId1"/>
  <headerFooter alignWithMargins="0"/>
  <rowBreaks count="1" manualBreakCount="1">
    <brk id="47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36</vt:i4>
      </vt:variant>
      <vt:variant>
        <vt:lpstr>具名範圍</vt:lpstr>
      </vt:variant>
      <vt:variant>
        <vt:i4>40</vt:i4>
      </vt:variant>
    </vt:vector>
  </HeadingPairs>
  <TitlesOfParts>
    <vt:vector size="76" baseType="lpstr">
      <vt:lpstr>統計表</vt:lpstr>
      <vt:lpstr>統計圖</vt:lpstr>
      <vt:lpstr>1.測量放樣</vt:lpstr>
      <vt:lpstr>2.土方開挖</vt:lpstr>
      <vt:lpstr>3.土方回填</vt:lpstr>
      <vt:lpstr>4.鋼筋</vt:lpstr>
      <vt:lpstr>5.模板</vt:lpstr>
      <vt:lpstr>6.混凝土</vt:lpstr>
      <vt:lpstr>7.植筋</vt:lpstr>
      <vt:lpstr>8.預力混凝土基樁</vt:lpstr>
      <vt:lpstr>9.砌塊石護岸</vt:lpstr>
      <vt:lpstr>10.低水護岸</vt:lpstr>
      <vt:lpstr>11.固床工</vt:lpstr>
      <vt:lpstr>12.全套管基樁</vt:lpstr>
      <vt:lpstr>13.鋼筋混凝土管工程</vt:lpstr>
      <vt:lpstr>14.鋼版樁</vt:lpstr>
      <vt:lpstr>15.路床 路基高程</vt:lpstr>
      <vt:lpstr>16.瀝青混凝土</vt:lpstr>
      <vt:lpstr>17.景觀鋪面(一)</vt:lpstr>
      <vt:lpstr>18.景觀鋪面(二)</vt:lpstr>
      <vt:lpstr>19.預鑄緣石</vt:lpstr>
      <vt:lpstr>20.鋼構工程吊裝</vt:lpstr>
      <vt:lpstr>21.鋼構工程塗裝</vt:lpstr>
      <vt:lpstr>22.排水設施(一)</vt:lpstr>
      <vt:lpstr>23.排水設施(二)</vt:lpstr>
      <vt:lpstr>24.木構造</vt:lpstr>
      <vt:lpstr>25.管路</vt:lpstr>
      <vt:lpstr>26.植栽(移植)</vt:lpstr>
      <vt:lpstr>27.植栽(新植)</vt:lpstr>
      <vt:lpstr>28.照明</vt:lpstr>
      <vt:lpstr>29.既有橋梁拆除</vt:lpstr>
      <vt:lpstr>鋼筋</vt:lpstr>
      <vt:lpstr>PC樁</vt:lpstr>
      <vt:lpstr>混凝土</vt:lpstr>
      <vt:lpstr>銲接鋼線網</vt:lpstr>
      <vt:lpstr>混凝土送驗單</vt:lpstr>
      <vt:lpstr>'1.測量放樣'!Print_Area</vt:lpstr>
      <vt:lpstr>'10.低水護岸'!Print_Area</vt:lpstr>
      <vt:lpstr>'11.固床工'!Print_Area</vt:lpstr>
      <vt:lpstr>'12.全套管基樁'!Print_Area</vt:lpstr>
      <vt:lpstr>'13.鋼筋混凝土管工程'!Print_Area</vt:lpstr>
      <vt:lpstr>'14.鋼版樁'!Print_Area</vt:lpstr>
      <vt:lpstr>'15.路床 路基高程'!Print_Area</vt:lpstr>
      <vt:lpstr>'16.瀝青混凝土'!Print_Area</vt:lpstr>
      <vt:lpstr>'17.景觀鋪面(一)'!Print_Area</vt:lpstr>
      <vt:lpstr>'18.景觀鋪面(二)'!Print_Area</vt:lpstr>
      <vt:lpstr>'19.預鑄緣石'!Print_Area</vt:lpstr>
      <vt:lpstr>'2.土方開挖'!Print_Area</vt:lpstr>
      <vt:lpstr>'20.鋼構工程吊裝'!Print_Area</vt:lpstr>
      <vt:lpstr>'21.鋼構工程塗裝'!Print_Area</vt:lpstr>
      <vt:lpstr>'22.排水設施(一)'!Print_Area</vt:lpstr>
      <vt:lpstr>'23.排水設施(二)'!Print_Area</vt:lpstr>
      <vt:lpstr>'24.木構造'!Print_Area</vt:lpstr>
      <vt:lpstr>'25.管路'!Print_Area</vt:lpstr>
      <vt:lpstr>'26.植栽(移植)'!Print_Area</vt:lpstr>
      <vt:lpstr>'27.植栽(新植)'!Print_Area</vt:lpstr>
      <vt:lpstr>'28.照明'!Print_Area</vt:lpstr>
      <vt:lpstr>'29.既有橋梁拆除'!Print_Area</vt:lpstr>
      <vt:lpstr>'3.土方回填'!Print_Area</vt:lpstr>
      <vt:lpstr>'4.鋼筋'!Print_Area</vt:lpstr>
      <vt:lpstr>'5.模板'!Print_Area</vt:lpstr>
      <vt:lpstr>'6.混凝土'!Print_Area</vt:lpstr>
      <vt:lpstr>'7.植筋'!Print_Area</vt:lpstr>
      <vt:lpstr>'8.預力混凝土基樁'!Print_Area</vt:lpstr>
      <vt:lpstr>'9.砌塊石護岸'!Print_Area</vt:lpstr>
      <vt:lpstr>PC樁!Print_Area</vt:lpstr>
      <vt:lpstr>混凝土!Print_Area</vt:lpstr>
      <vt:lpstr>混凝土送驗單!Print_Area</vt:lpstr>
      <vt:lpstr>統計圖!Print_Area</vt:lpstr>
      <vt:lpstr>銲接鋼線網!Print_Area</vt:lpstr>
      <vt:lpstr>鋼筋!Print_Area</vt:lpstr>
      <vt:lpstr>PC樁!Print_Titles</vt:lpstr>
      <vt:lpstr>混凝土!Print_Titles</vt:lpstr>
      <vt:lpstr>統計表!Print_Titles</vt:lpstr>
      <vt:lpstr>銲接鋼線網!Print_Titles</vt:lpstr>
      <vt:lpstr>鋼筋!Print_Titles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HAO ZHE TSENG</cp:lastModifiedBy>
  <cp:lastPrinted>2024-04-01T00:43:00Z</cp:lastPrinted>
  <dcterms:created xsi:type="dcterms:W3CDTF">2020-09-08T07:08:19Z</dcterms:created>
  <dcterms:modified xsi:type="dcterms:W3CDTF">2024-04-01T00:59:39Z</dcterms:modified>
</cp:coreProperties>
</file>