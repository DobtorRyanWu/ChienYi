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我的雲端硬碟\A.上溢\1.磺港溪再造C段護岸及步道整建工程（延壽橋至三合橋）\16.管制總表\"/>
    </mc:Choice>
  </mc:AlternateContent>
  <xr:revisionPtr revIDLastSave="0" documentId="13_ncr:1_{627E5970-D0F8-4CB2-B834-E9A7DFFF4D03}" xr6:coauthVersionLast="47" xr6:coauthVersionMax="47" xr10:uidLastSave="{00000000-0000-0000-0000-000000000000}"/>
  <bookViews>
    <workbookView xWindow="-120" yWindow="-120" windowWidth="29040" windowHeight="15840" tabRatio="801" firstSheet="8" activeTab="21"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420" sheetId="46" r:id="rId36"/>
    <sheet name="280W" sheetId="35" r:id="rId37"/>
    <sheet name="280Ⅱ" sheetId="37" r:id="rId38"/>
    <sheet name="CLSM" sheetId="45"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'140'!$A$1:$T$42</definedName>
    <definedName name="_xlnm._FilterDatabase" localSheetId="33" hidden="1">'210'!$A$1:$T$117</definedName>
    <definedName name="_xlnm._FilterDatabase" localSheetId="34" hidden="1">'280'!$A$1:$T$1</definedName>
    <definedName name="_xlnm._FilterDatabase" localSheetId="37" hidden="1">'280Ⅱ'!$A$1:$T$1</definedName>
    <definedName name="_xlnm._FilterDatabase" localSheetId="36" hidden="1">'280W'!$A$1:$T$1</definedName>
    <definedName name="_xlnm._FilterDatabase" localSheetId="35" hidden="1">'420'!$A$1:$T$2</definedName>
    <definedName name="_xlnm._FilterDatabase" localSheetId="38" hidden="1">CLSM!$A$1:$T$24</definedName>
    <definedName name="_xlnm._FilterDatabase" localSheetId="39" hidden="1">'回填(利用填方)-1'!$A$1:$T$23</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'1.計畫'!$A$1:$I$26</definedName>
    <definedName name="_xlnm.Print_Area" localSheetId="2">'2.分項計畫'!$A$1:$I$23</definedName>
    <definedName name="_xlnm.Print_Area" localSheetId="3">'3.施工圖送審'!$A$1:$I$16</definedName>
    <definedName name="_xlnm.Print_Area" localSheetId="4">'4.送審(廠商)'!$A$1:$N$169</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'5-(19~23)'!$A$1:$K$24</definedName>
    <definedName name="_xlnm.Print_Area" localSheetId="26">'5-(24)'!$A$1:$K$12</definedName>
    <definedName name="_xlnm.Print_Area" localSheetId="31">'5-(26~28)'!$A$1:$K$16</definedName>
    <definedName name="_xlnm.Print_Area" localSheetId="19">'5-(6~7)'!$A$1:$J$50</definedName>
    <definedName name="_xlnm.Print_Area" localSheetId="20">'5-(8)'!$A$1:$K$16</definedName>
    <definedName name="_xlnm.Print_Area" localSheetId="21">'5-(9~17)'!$A$1:$J$52</definedName>
    <definedName name="_xlnm.Print_Area" localSheetId="8">'5-1.420'!$A$1:$K$12</definedName>
    <definedName name="_xlnm.Print_Area" localSheetId="11">'5-1.CLSM'!$A$1:$K$30</definedName>
    <definedName name="_xlnm.Print_Area" localSheetId="5">'5-1.試驗140'!$A$1:$K$114</definedName>
    <definedName name="_xlnm.Print_Area" localSheetId="6">'5-1.試驗210'!$A$1:$K$286</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'5-25回填-1'!$A$1:$K$58</definedName>
    <definedName name="_xlnm.Print_Area" localSheetId="28">'5-25回填-2'!$A$1:$K$20</definedName>
    <definedName name="_xlnm.Print_Area" localSheetId="29">'5-25回填-3'!$A$1:$K$26</definedName>
    <definedName name="_xlnm.Print_Area" localSheetId="30">'5-25回填-4'!$A$1:$K$14</definedName>
    <definedName name="_xlnm.Print_Area" localSheetId="13">'5-3.280W鋼筋'!$A$1:$K$32</definedName>
    <definedName name="_xlnm.Print_Area" localSheetId="14">'5-3.420W.鋼筋'!$A$1:$K$32</definedName>
    <definedName name="_xlnm.Print_Area" localSheetId="0">'5-3.鋼筋'!$A$1:$K$30</definedName>
    <definedName name="_xlnm.Print_Area" localSheetId="16">'5-4.AC(19)'!$A$1:$J$22</definedName>
    <definedName name="_xlnm.Print_Area" localSheetId="15">'5-4.AC(9.5)'!$A$1:$J$30</definedName>
    <definedName name="_xlnm.Print_Area" localSheetId="17">'5-4.AC(其他)'!$A$1:$J$44</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'5-4.AC(19)'!$1:$6</definedName>
    <definedName name="_xlnm.Print_Titles" localSheetId="15">'5-4.AC(9.5)'!$1:$6</definedName>
    <definedName name="_xlnm.Print_Titles" localSheetId="17">'5-4.AC(其他)'!$1:$6</definedName>
    <definedName name="_xlnm.Print_Titles" localSheetId="18">'5-5'!$1:$6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7" i="31" l="1"/>
  <c r="A116" i="31"/>
  <c r="L25" i="2" l="1"/>
  <c r="A25" i="2"/>
  <c r="L24" i="2"/>
  <c r="A24" i="2"/>
  <c r="J23" i="63"/>
  <c r="H24" i="63"/>
  <c r="H23" i="63"/>
  <c r="O23" i="63"/>
  <c r="N23" i="63"/>
  <c r="M23" i="63"/>
  <c r="L23" i="63"/>
  <c r="F24" i="63" s="1"/>
  <c r="D24" i="63"/>
  <c r="F23" i="63"/>
  <c r="E23" i="63"/>
  <c r="D23" i="63"/>
  <c r="A23" i="63"/>
  <c r="A17" i="53"/>
  <c r="F18" i="53"/>
  <c r="D18" i="53"/>
  <c r="F17" i="53"/>
  <c r="E17" i="53"/>
  <c r="D17" i="53"/>
  <c r="H18" i="53"/>
  <c r="J17" i="53"/>
  <c r="H17" i="53"/>
  <c r="E55" i="42"/>
  <c r="M34" i="57" l="1"/>
  <c r="M32" i="57"/>
  <c r="M30" i="57"/>
  <c r="A42" i="29" l="1"/>
  <c r="M38" i="66" l="1"/>
  <c r="M34" i="66"/>
  <c r="M36" i="66" s="1"/>
  <c r="M28" i="66"/>
  <c r="L25" i="66"/>
  <c r="A115" i="31"/>
  <c r="A114" i="31"/>
  <c r="A113" i="31"/>
  <c r="A41" i="29"/>
  <c r="A112" i="31"/>
  <c r="G8" i="57" l="1"/>
  <c r="G7" i="57"/>
  <c r="P7" i="57"/>
  <c r="P9" i="57" s="1"/>
  <c r="P11" i="57" s="1"/>
  <c r="P13" i="57" s="1"/>
  <c r="P17" i="57" s="1"/>
  <c r="P19" i="57" s="1"/>
  <c r="N9" i="57"/>
  <c r="N11" i="57" s="1"/>
  <c r="N13" i="57" s="1"/>
  <c r="N17" i="57" s="1"/>
  <c r="N19" i="57" s="1"/>
  <c r="M9" i="57"/>
  <c r="N7" i="57"/>
  <c r="M7" i="57"/>
  <c r="A40" i="29"/>
  <c r="A109" i="31"/>
  <c r="A110" i="31"/>
  <c r="A111" i="31"/>
  <c r="A106" i="31"/>
  <c r="A107" i="31"/>
  <c r="A108" i="31"/>
  <c r="H16" i="53"/>
  <c r="H15" i="53"/>
  <c r="H14" i="53"/>
  <c r="H13" i="53"/>
  <c r="H12" i="53"/>
  <c r="H11" i="53"/>
  <c r="H10" i="53"/>
  <c r="H9" i="53"/>
  <c r="F16" i="53"/>
  <c r="D16" i="53"/>
  <c r="F15" i="53"/>
  <c r="E15" i="53"/>
  <c r="D15" i="53"/>
  <c r="F14" i="53"/>
  <c r="D14" i="53"/>
  <c r="F13" i="53"/>
  <c r="E13" i="53"/>
  <c r="D13" i="53"/>
  <c r="G10" i="57" l="1"/>
  <c r="M11" i="57"/>
  <c r="G9" i="57"/>
  <c r="K7" i="67"/>
  <c r="M7" i="67" s="1"/>
  <c r="M7" i="40"/>
  <c r="K7" i="40"/>
  <c r="E21" i="63"/>
  <c r="E53" i="42"/>
  <c r="A105" i="31"/>
  <c r="A39" i="29"/>
  <c r="G12" i="57" l="1"/>
  <c r="G11" i="57"/>
  <c r="M13" i="57"/>
  <c r="K8" i="67"/>
  <c r="H4" i="2"/>
  <c r="A23" i="8"/>
  <c r="G14" i="57" l="1"/>
  <c r="G13" i="57"/>
  <c r="M17" i="57"/>
  <c r="A22" i="8"/>
  <c r="K19" i="67"/>
  <c r="K23" i="40"/>
  <c r="K19" i="40"/>
  <c r="G17" i="57" l="1"/>
  <c r="M19" i="57"/>
  <c r="G18" i="57"/>
  <c r="A104" i="31"/>
  <c r="A103" i="31"/>
  <c r="G20" i="57" l="1"/>
  <c r="G19" i="57"/>
  <c r="A102" i="31"/>
  <c r="A101" i="31"/>
  <c r="A38" i="29"/>
  <c r="N8" i="60" l="1"/>
  <c r="M7" i="68" l="1"/>
  <c r="A3" i="69"/>
  <c r="A3" i="68"/>
  <c r="M37" i="57"/>
  <c r="L37" i="57"/>
  <c r="M5" i="67"/>
  <c r="Q5" i="40"/>
  <c r="A100" i="31"/>
  <c r="A99" i="31"/>
  <c r="A98" i="31"/>
  <c r="A97" i="31"/>
  <c r="A96" i="31"/>
  <c r="A95" i="31"/>
  <c r="A37" i="29"/>
  <c r="A36" i="29"/>
  <c r="M42" i="57"/>
  <c r="L42" i="57"/>
  <c r="K15" i="67"/>
  <c r="K13" i="67"/>
  <c r="K27" i="40"/>
  <c r="K25" i="40"/>
  <c r="K21" i="40"/>
  <c r="K15" i="40"/>
  <c r="E11" i="67"/>
  <c r="E9" i="67"/>
  <c r="N7" i="67"/>
  <c r="N9" i="67" s="1"/>
  <c r="N11" i="67" s="1"/>
  <c r="N13" i="67" s="1"/>
  <c r="N15" i="67" s="1"/>
  <c r="N19" i="67" s="1"/>
  <c r="E7" i="67"/>
  <c r="A3" i="67"/>
  <c r="A3" i="66"/>
  <c r="A7" i="55"/>
  <c r="A7" i="63"/>
  <c r="A7" i="53"/>
  <c r="A7" i="42"/>
  <c r="M9" i="65"/>
  <c r="A3" i="65"/>
  <c r="A21" i="8" l="1"/>
  <c r="A94" i="31"/>
  <c r="A93" i="31"/>
  <c r="H8" i="63"/>
  <c r="F8" i="63"/>
  <c r="D8" i="63"/>
  <c r="O7" i="63"/>
  <c r="N7" i="63"/>
  <c r="M7" i="63"/>
  <c r="H7" i="63"/>
  <c r="F7" i="63"/>
  <c r="D7" i="63"/>
  <c r="I11" i="55"/>
  <c r="E11" i="55"/>
  <c r="E17" i="63"/>
  <c r="E15" i="63"/>
  <c r="E13" i="63"/>
  <c r="E11" i="63"/>
  <c r="L9" i="63"/>
  <c r="F10" i="63" s="1"/>
  <c r="E9" i="63"/>
  <c r="E7" i="63"/>
  <c r="A3" i="63"/>
  <c r="A87" i="31"/>
  <c r="A88" i="31"/>
  <c r="A89" i="31"/>
  <c r="A90" i="31"/>
  <c r="A91" i="31"/>
  <c r="A92" i="31"/>
  <c r="L11" i="63" l="1"/>
  <c r="H12" i="63" s="1"/>
  <c r="A11" i="63"/>
  <c r="M9" i="63"/>
  <c r="O11" i="63"/>
  <c r="D10" i="63"/>
  <c r="O9" i="63"/>
  <c r="A9" i="63"/>
  <c r="H9" i="63"/>
  <c r="F11" i="63"/>
  <c r="D12" i="63"/>
  <c r="D9" i="63"/>
  <c r="N9" i="63"/>
  <c r="H10" i="63"/>
  <c r="M11" i="63"/>
  <c r="F12" i="63"/>
  <c r="H11" i="63"/>
  <c r="F9" i="63"/>
  <c r="D11" i="63"/>
  <c r="N11" i="63"/>
  <c r="J7" i="63"/>
  <c r="L13" i="63"/>
  <c r="A13" i="63" s="1"/>
  <c r="J9" i="63" l="1"/>
  <c r="J11" i="63"/>
  <c r="F14" i="63"/>
  <c r="M13" i="63"/>
  <c r="D13" i="63"/>
  <c r="D14" i="63"/>
  <c r="H13" i="63"/>
  <c r="O13" i="63"/>
  <c r="F13" i="63"/>
  <c r="H14" i="63"/>
  <c r="N13" i="63"/>
  <c r="L15" i="63"/>
  <c r="A15" i="63" s="1"/>
  <c r="D16" i="63" l="1"/>
  <c r="H15" i="63"/>
  <c r="D15" i="63"/>
  <c r="M15" i="63"/>
  <c r="O15" i="63"/>
  <c r="F15" i="63"/>
  <c r="H16" i="63"/>
  <c r="N15" i="63"/>
  <c r="F16" i="63"/>
  <c r="L17" i="63"/>
  <c r="J13" i="63"/>
  <c r="A17" i="63" l="1"/>
  <c r="L21" i="63"/>
  <c r="O17" i="63"/>
  <c r="F17" i="63"/>
  <c r="H17" i="63"/>
  <c r="H18" i="63"/>
  <c r="N17" i="63"/>
  <c r="D17" i="63"/>
  <c r="F18" i="63"/>
  <c r="M17" i="63"/>
  <c r="D18" i="63"/>
  <c r="J15" i="63"/>
  <c r="H22" i="63" l="1"/>
  <c r="N21" i="63"/>
  <c r="H21" i="63"/>
  <c r="A21" i="63"/>
  <c r="O21" i="63"/>
  <c r="D21" i="63"/>
  <c r="F22" i="63"/>
  <c r="M21" i="63"/>
  <c r="F21" i="63"/>
  <c r="D22" i="63"/>
  <c r="J17" i="63"/>
  <c r="J21" i="63" l="1"/>
  <c r="A86" i="31"/>
  <c r="A85" i="31"/>
  <c r="A84" i="31"/>
  <c r="A83" i="31"/>
  <c r="L40" i="57" l="1"/>
  <c r="M40"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K9" i="40"/>
  <c r="M9" i="40" s="1"/>
  <c r="E9" i="40"/>
  <c r="E7" i="40"/>
  <c r="A3" i="40"/>
  <c r="N19" i="40" l="1"/>
  <c r="N21" i="40" s="1"/>
  <c r="N23" i="40" s="1"/>
  <c r="N25" i="40" s="1"/>
  <c r="M11" i="40"/>
  <c r="M13" i="40" s="1"/>
  <c r="M15" i="40" s="1"/>
  <c r="M19" i="40" l="1"/>
  <c r="M21" i="40" s="1"/>
  <c r="M23" i="40" s="1"/>
  <c r="M25" i="40" s="1"/>
  <c r="N27" i="40"/>
  <c r="A82" i="31"/>
  <c r="A81" i="31"/>
  <c r="A35" i="29"/>
  <c r="A76" i="31"/>
  <c r="A77" i="31"/>
  <c r="A78" i="31"/>
  <c r="A79" i="31"/>
  <c r="A80" i="31"/>
  <c r="A34" i="29"/>
  <c r="A33" i="29"/>
  <c r="A75" i="31"/>
  <c r="A74" i="31"/>
  <c r="A73" i="31"/>
  <c r="A72" i="31"/>
  <c r="A32" i="29"/>
  <c r="E51" i="42"/>
  <c r="A3" i="60"/>
  <c r="M27" i="40" l="1"/>
  <c r="A71" i="31"/>
  <c r="M38" i="57"/>
  <c r="L38" i="57"/>
  <c r="E37"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E9" i="55"/>
  <c r="E7" i="55"/>
  <c r="A3" i="55"/>
  <c r="F8" i="53"/>
  <c r="D8" i="53"/>
  <c r="O7" i="53"/>
  <c r="N7" i="53"/>
  <c r="M7" i="53"/>
  <c r="F7" i="53"/>
  <c r="D7" i="53"/>
  <c r="E11" i="53"/>
  <c r="L9" i="53"/>
  <c r="A9" i="53" s="1"/>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L11" i="55" l="1"/>
  <c r="A9" i="55"/>
  <c r="N11" i="55"/>
  <c r="D11" i="55"/>
  <c r="O11" i="55"/>
  <c r="F12" i="55"/>
  <c r="M11" i="55"/>
  <c r="H11" i="55"/>
  <c r="D12" i="55"/>
  <c r="F11" i="55"/>
  <c r="D10" i="53"/>
  <c r="D7" i="25"/>
  <c r="F7" i="25" s="1"/>
  <c r="D7" i="30"/>
  <c r="H9" i="55"/>
  <c r="H10" i="55"/>
  <c r="N9" i="53"/>
  <c r="D9" i="53"/>
  <c r="O9" i="53"/>
  <c r="F9" i="53"/>
  <c r="L11" i="53"/>
  <c r="M9" i="53"/>
  <c r="F10" i="53"/>
  <c r="J7" i="55"/>
  <c r="D9" i="55"/>
  <c r="N9" i="55"/>
  <c r="F9" i="55"/>
  <c r="O9" i="55"/>
  <c r="D10" i="55"/>
  <c r="M9" i="55"/>
  <c r="F10" i="55"/>
  <c r="J7" i="53"/>
  <c r="A3" i="52"/>
  <c r="A3" i="49"/>
  <c r="L13" i="53" l="1"/>
  <c r="F12" i="53"/>
  <c r="D12" i="53"/>
  <c r="A11" i="53"/>
  <c r="A11" i="55"/>
  <c r="H12" i="55"/>
  <c r="J11" i="55"/>
  <c r="O13" i="53"/>
  <c r="N13" i="53"/>
  <c r="M13" i="53"/>
  <c r="N11" i="53"/>
  <c r="D11" i="53"/>
  <c r="M11" i="53"/>
  <c r="F11" i="53"/>
  <c r="O11" i="53"/>
  <c r="J9" i="55"/>
  <c r="J9" i="53"/>
  <c r="L15" i="53"/>
  <c r="L20" i="2"/>
  <c r="A20" i="2"/>
  <c r="A19" i="2"/>
  <c r="A18" i="2"/>
  <c r="E41" i="42"/>
  <c r="E39" i="42"/>
  <c r="E37" i="42"/>
  <c r="E35" i="42"/>
  <c r="E31" i="42"/>
  <c r="E29" i="42"/>
  <c r="E27" i="42"/>
  <c r="E25" i="42"/>
  <c r="E23" i="42"/>
  <c r="E21" i="42"/>
  <c r="A15" i="53" l="1"/>
  <c r="A13" i="53"/>
  <c r="J13" i="53"/>
  <c r="L17" i="53"/>
  <c r="J11" i="53"/>
  <c r="O15" i="53"/>
  <c r="N15" i="53"/>
  <c r="M15" i="53"/>
  <c r="J15" i="53" l="1"/>
  <c r="N17" i="53"/>
  <c r="M17" i="53"/>
  <c r="O17" i="53"/>
  <c r="A7" i="47"/>
  <c r="E17" i="42"/>
  <c r="E15" i="42"/>
  <c r="E13" i="42"/>
  <c r="E11" i="42"/>
  <c r="E9" i="42"/>
  <c r="H8" i="42"/>
  <c r="F8" i="42"/>
  <c r="H7" i="42"/>
  <c r="D8" i="42"/>
  <c r="L9" i="42"/>
  <c r="A9" i="42" s="1"/>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A11" i="42" s="1"/>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A13" i="42" s="1"/>
  <c r="O11" i="42"/>
  <c r="N9" i="47"/>
  <c r="H9" i="47" s="1"/>
  <c r="H10" i="47" s="1"/>
  <c r="D7" i="34"/>
  <c r="F7" i="34" s="1"/>
  <c r="S7" i="44"/>
  <c r="R7" i="44"/>
  <c r="Q7" i="44"/>
  <c r="O7" i="44"/>
  <c r="P7" i="44" s="1"/>
  <c r="M7" i="44"/>
  <c r="D7" i="44"/>
  <c r="F7" i="44" s="1"/>
  <c r="A7" i="44"/>
  <c r="L9" i="44"/>
  <c r="A3" i="44"/>
  <c r="J11" i="42" l="1"/>
  <c r="L15" i="42"/>
  <c r="A15" i="42" s="1"/>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A17" i="42" s="1"/>
  <c r="H16" i="42"/>
  <c r="D16" i="42"/>
  <c r="M15" i="42"/>
  <c r="H15" i="42"/>
  <c r="F15" i="42"/>
  <c r="N15" i="42"/>
  <c r="D15" i="42"/>
  <c r="O15" i="42"/>
  <c r="F16" i="42"/>
  <c r="L13" i="44"/>
  <c r="D13" i="44" s="1"/>
  <c r="F13" i="44" s="1"/>
  <c r="M11" i="44"/>
  <c r="E11" i="44" s="1"/>
  <c r="J13" i="42"/>
  <c r="L21" i="42"/>
  <c r="A21" i="42" s="1"/>
  <c r="O17" i="42"/>
  <c r="O11" i="44"/>
  <c r="P11" i="44" s="1"/>
  <c r="S11" i="44"/>
  <c r="A11" i="44"/>
  <c r="R11" i="44"/>
  <c r="D11" i="44"/>
  <c r="F11" i="44" s="1"/>
  <c r="D10" i="44"/>
  <c r="E9" i="44"/>
  <c r="F10" i="44" s="1"/>
  <c r="J9" i="44"/>
  <c r="N9" i="44"/>
  <c r="M17" i="42" l="1"/>
  <c r="H18" i="42"/>
  <c r="J11" i="44"/>
  <c r="S13" i="44"/>
  <c r="L15" i="44"/>
  <c r="M13" i="44"/>
  <c r="D14" i="44" s="1"/>
  <c r="O13" i="44"/>
  <c r="P13" i="44" s="1"/>
  <c r="A13" i="44"/>
  <c r="Q13" i="44"/>
  <c r="R13" i="44"/>
  <c r="D12" i="44"/>
  <c r="F17" i="42"/>
  <c r="D17" i="42"/>
  <c r="N17" i="42"/>
  <c r="J17" i="42" s="1"/>
  <c r="D18" i="42"/>
  <c r="H17" i="42"/>
  <c r="F18" i="42"/>
  <c r="J15" i="42"/>
  <c r="D21" i="42"/>
  <c r="H22" i="42"/>
  <c r="H21" i="42"/>
  <c r="F22" i="42"/>
  <c r="F21" i="42"/>
  <c r="D22" i="42"/>
  <c r="O21" i="42"/>
  <c r="N21" i="42"/>
  <c r="M21" i="42"/>
  <c r="L23" i="42"/>
  <c r="A23" i="42" s="1"/>
  <c r="F12" i="44"/>
  <c r="A15" i="44"/>
  <c r="N11" i="44"/>
  <c r="H9" i="44"/>
  <c r="H10" i="44" s="1"/>
  <c r="D15" i="44" l="1"/>
  <c r="F15" i="44" s="1"/>
  <c r="Q15" i="44"/>
  <c r="M15" i="44"/>
  <c r="E15" i="44" s="1"/>
  <c r="L19" i="44"/>
  <c r="D19" i="44" s="1"/>
  <c r="F19" i="44" s="1"/>
  <c r="O15" i="44"/>
  <c r="P15" i="44" s="1"/>
  <c r="R15" i="44"/>
  <c r="S15" i="44"/>
  <c r="J13" i="44"/>
  <c r="E13" i="44"/>
  <c r="F14" i="44" s="1"/>
  <c r="H24" i="42"/>
  <c r="H23" i="42"/>
  <c r="L25" i="42"/>
  <c r="A25" i="42" s="1"/>
  <c r="F24" i="42"/>
  <c r="F23" i="42"/>
  <c r="D23" i="42"/>
  <c r="D24" i="42"/>
  <c r="J21" i="42"/>
  <c r="N23" i="42"/>
  <c r="O23" i="42"/>
  <c r="M23" i="42"/>
  <c r="N13" i="44"/>
  <c r="H13" i="44" s="1"/>
  <c r="H14" i="44" s="1"/>
  <c r="H11" i="44"/>
  <c r="H12" i="44" s="1"/>
  <c r="M19" i="44" l="1"/>
  <c r="D16" i="44"/>
  <c r="S19" i="44"/>
  <c r="L21" i="44"/>
  <c r="D21" i="44" s="1"/>
  <c r="F21" i="44" s="1"/>
  <c r="A19" i="44"/>
  <c r="R19" i="44"/>
  <c r="J15" i="44"/>
  <c r="Q19" i="44"/>
  <c r="O19" i="44"/>
  <c r="P19" i="44" s="1"/>
  <c r="F16" i="44"/>
  <c r="J23" i="42"/>
  <c r="L27" i="42"/>
  <c r="A27" i="42" s="1"/>
  <c r="F26" i="42"/>
  <c r="M25" i="42"/>
  <c r="F25" i="42"/>
  <c r="H26" i="42"/>
  <c r="D26" i="42"/>
  <c r="H25" i="42"/>
  <c r="O25" i="42"/>
  <c r="D25" i="42"/>
  <c r="N25" i="42"/>
  <c r="E19" i="44"/>
  <c r="D20" i="44"/>
  <c r="A21" i="44"/>
  <c r="R21" i="44"/>
  <c r="N15" i="44"/>
  <c r="L23" i="44" l="1"/>
  <c r="Q21" i="44"/>
  <c r="S21" i="44"/>
  <c r="J21" i="44" s="1"/>
  <c r="J19" i="44"/>
  <c r="M21" i="44"/>
  <c r="O21" i="44"/>
  <c r="P21" i="44" s="1"/>
  <c r="F20" i="44"/>
  <c r="E21" i="44"/>
  <c r="D22" i="44"/>
  <c r="J25" i="42"/>
  <c r="D28" i="42"/>
  <c r="O27" i="42"/>
  <c r="D27" i="42"/>
  <c r="F28" i="42"/>
  <c r="H28" i="42"/>
  <c r="N27" i="42"/>
  <c r="H27" i="42"/>
  <c r="L29" i="42"/>
  <c r="A29" i="42" s="1"/>
  <c r="M27" i="42"/>
  <c r="F27" i="42"/>
  <c r="L25" i="44"/>
  <c r="D23" i="44"/>
  <c r="F23" i="44" s="1"/>
  <c r="A23" i="44"/>
  <c r="R23" i="44"/>
  <c r="Q23" i="44"/>
  <c r="S23" i="44"/>
  <c r="O23" i="44"/>
  <c r="M23" i="44"/>
  <c r="H15" i="44"/>
  <c r="H16" i="44" s="1"/>
  <c r="N19" i="44"/>
  <c r="H19" i="44" s="1"/>
  <c r="H20" i="44" s="1"/>
  <c r="F22" i="44" l="1"/>
  <c r="P23" i="44"/>
  <c r="J23" i="44"/>
  <c r="J27" i="42"/>
  <c r="O29" i="42"/>
  <c r="D29" i="42"/>
  <c r="H30" i="42"/>
  <c r="N29" i="42"/>
  <c r="H29" i="42"/>
  <c r="L31" i="42"/>
  <c r="A31" i="42" s="1"/>
  <c r="F30" i="42"/>
  <c r="M29" i="42"/>
  <c r="F29" i="42"/>
  <c r="D30" i="42"/>
  <c r="D24" i="44"/>
  <c r="E23" i="44"/>
  <c r="F24" i="44" s="1"/>
  <c r="L27" i="44"/>
  <c r="Q25" i="44"/>
  <c r="M25" i="44"/>
  <c r="R25" i="44"/>
  <c r="A25" i="44"/>
  <c r="S25" i="44"/>
  <c r="O25" i="44"/>
  <c r="D25" i="44"/>
  <c r="F25" i="44" s="1"/>
  <c r="N21" i="44"/>
  <c r="H21" i="44" s="1"/>
  <c r="H22" i="44" s="1"/>
  <c r="P25" i="44" l="1"/>
  <c r="J25" i="44"/>
  <c r="L35" i="42"/>
  <c r="A35" i="42" s="1"/>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A37" i="42" s="1"/>
  <c r="J31" i="42"/>
  <c r="D28" i="44"/>
  <c r="E27" i="44"/>
  <c r="F28" i="44" s="1"/>
  <c r="N25" i="44"/>
  <c r="A17" i="2"/>
  <c r="R7" i="30"/>
  <c r="Q7" i="30"/>
  <c r="O37" i="42" l="1"/>
  <c r="D38" i="42"/>
  <c r="F38" i="42"/>
  <c r="H37" i="42"/>
  <c r="D37" i="42"/>
  <c r="J35" i="42"/>
  <c r="L39" i="42"/>
  <c r="A39" i="42" s="1"/>
  <c r="F37" i="42"/>
  <c r="M37" i="42"/>
  <c r="H38" i="42"/>
  <c r="N37" i="42"/>
  <c r="J37" i="42" s="1"/>
  <c r="N27" i="44"/>
  <c r="H25" i="44"/>
  <c r="H26" i="44" s="1"/>
  <c r="A15" i="2"/>
  <c r="A16" i="2"/>
  <c r="A14" i="2"/>
  <c r="D40" i="42" l="1"/>
  <c r="F40" i="42"/>
  <c r="D39" i="42"/>
  <c r="H39" i="42"/>
  <c r="L41" i="42"/>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J7" i="30" s="1"/>
  <c r="O7" i="30"/>
  <c r="M7" i="30"/>
  <c r="D8" i="30" s="1"/>
  <c r="S7" i="25"/>
  <c r="R7" i="25"/>
  <c r="Q7" i="25"/>
  <c r="O7" i="25"/>
  <c r="M7" i="25"/>
  <c r="A7" i="34"/>
  <c r="A7" i="32"/>
  <c r="A7" i="30"/>
  <c r="A7" i="25"/>
  <c r="L9" i="36"/>
  <c r="A3" i="36"/>
  <c r="L9" i="34"/>
  <c r="L9" i="32"/>
  <c r="D9" i="32" s="1"/>
  <c r="F9" i="32" s="1"/>
  <c r="L9" i="30"/>
  <c r="D9" i="30" s="1"/>
  <c r="F9" i="30" s="1"/>
  <c r="L9" i="25"/>
  <c r="A3" i="34"/>
  <c r="A3" i="32"/>
  <c r="A3" i="30"/>
  <c r="L43" i="42" l="1"/>
  <c r="A41" i="42"/>
  <c r="N43" i="42"/>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S9" i="25"/>
  <c r="M9" i="25"/>
  <c r="O9" i="30"/>
  <c r="Q9" i="36"/>
  <c r="R9" i="36"/>
  <c r="M9" i="34"/>
  <c r="L11" i="34"/>
  <c r="A9" i="34"/>
  <c r="M9" i="32"/>
  <c r="S9" i="32"/>
  <c r="L11" i="32"/>
  <c r="D11" i="32" s="1"/>
  <c r="F11" i="32" s="1"/>
  <c r="O9" i="25"/>
  <c r="M9" i="30"/>
  <c r="S9" i="30"/>
  <c r="O9" i="32"/>
  <c r="M9" i="36"/>
  <c r="S9" i="36"/>
  <c r="O9" i="36"/>
  <c r="Q9" i="25"/>
  <c r="Q9" i="32"/>
  <c r="A9" i="25"/>
  <c r="R9" i="25"/>
  <c r="O9" i="34"/>
  <c r="R9" i="34"/>
  <c r="Q9" i="34"/>
  <c r="N7" i="34"/>
  <c r="H7" i="34" s="1"/>
  <c r="P7" i="34"/>
  <c r="N7" i="30"/>
  <c r="E7" i="36"/>
  <c r="P7" i="30"/>
  <c r="J9" i="30" l="1"/>
  <c r="O11" i="25"/>
  <c r="R11" i="25"/>
  <c r="L13" i="25"/>
  <c r="A13" i="25" s="1"/>
  <c r="M11" i="25"/>
  <c r="D12" i="25" s="1"/>
  <c r="A11" i="25"/>
  <c r="S11" i="25"/>
  <c r="Q11" i="25"/>
  <c r="L45" i="42"/>
  <c r="A43" i="42"/>
  <c r="J43" i="42"/>
  <c r="L15" i="25"/>
  <c r="O15" i="25" s="1"/>
  <c r="E9" i="25"/>
  <c r="F10" i="25" s="1"/>
  <c r="D10" i="25"/>
  <c r="Q11" i="36"/>
  <c r="O11" i="36"/>
  <c r="S11" i="36"/>
  <c r="J41" i="42"/>
  <c r="H7" i="30"/>
  <c r="H8" i="30" s="1"/>
  <c r="L13" i="36"/>
  <c r="M13" i="36" s="1"/>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Q11" i="30"/>
  <c r="H8" i="32"/>
  <c r="J9" i="34"/>
  <c r="H8" i="34"/>
  <c r="J9" i="36"/>
  <c r="L13" i="30"/>
  <c r="D13" i="30" s="1"/>
  <c r="F13" i="30" s="1"/>
  <c r="A11" i="30"/>
  <c r="N9" i="32"/>
  <c r="R15" i="25"/>
  <c r="Q11" i="34"/>
  <c r="S11" i="34"/>
  <c r="R11" i="34"/>
  <c r="A11" i="34"/>
  <c r="P9" i="30"/>
  <c r="N9" i="30"/>
  <c r="H9" i="30" s="1"/>
  <c r="L13" i="34"/>
  <c r="O11" i="34"/>
  <c r="P9" i="36"/>
  <c r="P9" i="34"/>
  <c r="E7" i="30"/>
  <c r="F8" i="30" s="1"/>
  <c r="F8" i="36"/>
  <c r="N9" i="34"/>
  <c r="H9" i="34" s="1"/>
  <c r="J11" i="30" l="1"/>
  <c r="R13" i="25"/>
  <c r="Q15" i="25"/>
  <c r="Q13" i="25"/>
  <c r="S15" i="25"/>
  <c r="M15" i="25"/>
  <c r="D16" i="25" s="1"/>
  <c r="D13" i="25"/>
  <c r="F13" i="25" s="1"/>
  <c r="O13" i="25"/>
  <c r="M13" i="25"/>
  <c r="D14" i="25" s="1"/>
  <c r="A15" i="25"/>
  <c r="E11" i="25"/>
  <c r="F12" i="25" s="1"/>
  <c r="S13" i="25"/>
  <c r="P11" i="36"/>
  <c r="A45" i="42"/>
  <c r="N45" i="42"/>
  <c r="M45" i="42"/>
  <c r="D46" i="42"/>
  <c r="H45" i="42"/>
  <c r="F45" i="42"/>
  <c r="D45" i="42"/>
  <c r="L49" i="42"/>
  <c r="O45" i="42"/>
  <c r="H46" i="42"/>
  <c r="F46" i="42"/>
  <c r="L19" i="25"/>
  <c r="D15" i="25"/>
  <c r="F15" i="25" s="1"/>
  <c r="J11" i="36"/>
  <c r="A13" i="36"/>
  <c r="R13" i="36"/>
  <c r="S13" i="36"/>
  <c r="D13" i="36"/>
  <c r="F13" i="36" s="1"/>
  <c r="L15" i="36"/>
  <c r="D15" i="36" s="1"/>
  <c r="F15" i="36" s="1"/>
  <c r="Q13" i="36"/>
  <c r="O13" i="36"/>
  <c r="P13" i="36" s="1"/>
  <c r="O16" i="32"/>
  <c r="P16" i="32" s="1"/>
  <c r="S16" i="32"/>
  <c r="R16" i="32"/>
  <c r="M16" i="32"/>
  <c r="Q16" i="32"/>
  <c r="A13" i="32"/>
  <c r="D13" i="32"/>
  <c r="F13" i="32" s="1"/>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S13" i="32"/>
  <c r="M13" i="32"/>
  <c r="R13" i="32"/>
  <c r="Q13" i="32"/>
  <c r="H10" i="30"/>
  <c r="L15" i="30"/>
  <c r="R13" i="30"/>
  <c r="Q13" i="30"/>
  <c r="S13" i="30"/>
  <c r="A13" i="30"/>
  <c r="O13" i="30"/>
  <c r="M13" i="30"/>
  <c r="N11" i="30"/>
  <c r="H11" i="30" s="1"/>
  <c r="P11" i="34"/>
  <c r="S13" i="34"/>
  <c r="L15" i="34"/>
  <c r="A13" i="34"/>
  <c r="O13" i="34"/>
  <c r="M13" i="34"/>
  <c r="Q13" i="34"/>
  <c r="N11" i="34"/>
  <c r="H11" i="34" s="1"/>
  <c r="N9" i="36"/>
  <c r="H9" i="36" s="1"/>
  <c r="H10" i="36" s="1"/>
  <c r="J13" i="25" l="1"/>
  <c r="J13" i="30"/>
  <c r="J15" i="25"/>
  <c r="E13" i="25"/>
  <c r="F14" i="25" s="1"/>
  <c r="E15" i="25"/>
  <c r="F16" i="25" s="1"/>
  <c r="P13" i="32"/>
  <c r="A49" i="42"/>
  <c r="H49" i="42"/>
  <c r="D50" i="42"/>
  <c r="L51" i="42"/>
  <c r="D49" i="42"/>
  <c r="N49" i="42"/>
  <c r="F49" i="42"/>
  <c r="H50" i="42"/>
  <c r="O49" i="42"/>
  <c r="F50" i="42"/>
  <c r="M49" i="42"/>
  <c r="J45" i="42"/>
  <c r="J13" i="32"/>
  <c r="A19" i="25"/>
  <c r="O19" i="25"/>
  <c r="L21" i="25"/>
  <c r="M19" i="25"/>
  <c r="D19" i="25"/>
  <c r="F19" i="25" s="1"/>
  <c r="R19" i="25"/>
  <c r="Q19" i="25"/>
  <c r="S19" i="25"/>
  <c r="S15" i="36"/>
  <c r="Q15" i="36"/>
  <c r="M15" i="36"/>
  <c r="D16" i="36" s="1"/>
  <c r="A15" i="36"/>
  <c r="R15" i="36"/>
  <c r="L19" i="36"/>
  <c r="S19" i="36" s="1"/>
  <c r="O15" i="36"/>
  <c r="P15" i="36" s="1"/>
  <c r="J13" i="36"/>
  <c r="F14" i="36"/>
  <c r="M19" i="36"/>
  <c r="E19" i="36" s="1"/>
  <c r="N16" i="32"/>
  <c r="N13" i="32"/>
  <c r="E13" i="32"/>
  <c r="F14" i="32" s="1"/>
  <c r="D14" i="32"/>
  <c r="H12" i="30"/>
  <c r="P13" i="30"/>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L53" i="42" l="1"/>
  <c r="L55" i="42" s="1"/>
  <c r="H52" i="42"/>
  <c r="H51" i="42"/>
  <c r="J15" i="30"/>
  <c r="J49" i="42"/>
  <c r="N53" i="42"/>
  <c r="A53" i="42"/>
  <c r="O53" i="42"/>
  <c r="D53" i="42"/>
  <c r="F54" i="42"/>
  <c r="M53" i="42"/>
  <c r="F53" i="42"/>
  <c r="D54" i="42"/>
  <c r="R19" i="36"/>
  <c r="A51" i="42"/>
  <c r="F52" i="42"/>
  <c r="N51" i="42"/>
  <c r="D51" i="42"/>
  <c r="O51" i="42"/>
  <c r="M51" i="42"/>
  <c r="F51" i="42"/>
  <c r="D52" i="42"/>
  <c r="J19" i="25"/>
  <c r="D20" i="25"/>
  <c r="E19" i="25"/>
  <c r="F20" i="25" s="1"/>
  <c r="D21" i="25"/>
  <c r="F21" i="25" s="1"/>
  <c r="O21" i="25"/>
  <c r="L23" i="25"/>
  <c r="M21" i="25"/>
  <c r="A21" i="25"/>
  <c r="S21" i="25"/>
  <c r="R21" i="25"/>
  <c r="Q21" i="25"/>
  <c r="O19" i="36"/>
  <c r="F20" i="36" s="1"/>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N55" i="42" l="1"/>
  <c r="F55" i="42"/>
  <c r="A55" i="42"/>
  <c r="H56" i="42"/>
  <c r="M55" i="42"/>
  <c r="H55" i="42"/>
  <c r="F56" i="42"/>
  <c r="D56" i="42"/>
  <c r="D55" i="42"/>
  <c r="O55" i="42"/>
  <c r="H53" i="42"/>
  <c r="H54" i="42"/>
  <c r="J53" i="42"/>
  <c r="J51" i="42"/>
  <c r="P19" i="36"/>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J55" i="42" l="1"/>
  <c r="P23" i="36"/>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N19" i="36"/>
  <c r="H19" i="36" s="1"/>
  <c r="H20" i="36" s="1"/>
  <c r="M25" i="34"/>
  <c r="Q25" i="34"/>
  <c r="A25" i="34"/>
  <c r="S25" i="34"/>
  <c r="R27" i="36" l="1"/>
  <c r="J25" i="25"/>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P25" i="34" l="1"/>
  <c r="D28" i="36"/>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H26" i="34" l="1"/>
  <c r="J31" i="25"/>
  <c r="P33" i="36"/>
  <c r="M33" i="25"/>
  <c r="D33" i="25"/>
  <c r="F33" i="25" s="1"/>
  <c r="L35" i="25"/>
  <c r="R33" i="25"/>
  <c r="Q33" i="25"/>
  <c r="O33" i="25"/>
  <c r="S33" i="25"/>
  <c r="A33" i="25"/>
  <c r="D32" i="25"/>
  <c r="E31" i="25"/>
  <c r="F32" i="25" s="1"/>
  <c r="D28" i="34"/>
  <c r="Q29" i="30"/>
  <c r="H26" i="30"/>
  <c r="P27" i="30"/>
  <c r="D31" i="34"/>
  <c r="F31" i="34" s="1"/>
  <c r="F28" i="34"/>
  <c r="R31" i="34"/>
  <c r="A31" i="34"/>
  <c r="J27" i="34"/>
  <c r="O31" i="34"/>
  <c r="P31" i="34" s="1"/>
  <c r="L33" i="34"/>
  <c r="D33" i="34" s="1"/>
  <c r="F33" i="34" s="1"/>
  <c r="Q31" i="34"/>
  <c r="M31" i="34"/>
  <c r="E31" i="34" s="1"/>
  <c r="N27" i="34"/>
  <c r="H27" i="34" s="1"/>
  <c r="H28" i="34" s="1"/>
  <c r="O29" i="30"/>
  <c r="S29" i="30"/>
  <c r="M29" i="30"/>
  <c r="E29" i="30" s="1"/>
  <c r="L31" i="30"/>
  <c r="D31" i="30" s="1"/>
  <c r="F31" i="30" s="1"/>
  <c r="R29" i="30"/>
  <c r="A29" i="30"/>
  <c r="J27" i="30"/>
  <c r="E27" i="30"/>
  <c r="F28" i="30" s="1"/>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P33" i="34" s="1"/>
  <c r="M33" i="34"/>
  <c r="D34" i="34" s="1"/>
  <c r="F32" i="34"/>
  <c r="D32" i="34"/>
  <c r="Q33" i="34"/>
  <c r="N31" i="34"/>
  <c r="H31" i="34" s="1"/>
  <c r="H32" i="34" s="1"/>
  <c r="D30" i="30"/>
  <c r="L35" i="30"/>
  <c r="D35" i="30" s="1"/>
  <c r="F35" i="30" s="1"/>
  <c r="F30" i="30"/>
  <c r="O31" i="30"/>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P31" i="30" l="1"/>
  <c r="S35" i="34"/>
  <c r="Q35" i="34"/>
  <c r="M35" i="34"/>
  <c r="E35" i="34" s="1"/>
  <c r="L37" i="34"/>
  <c r="D37" i="34" s="1"/>
  <c r="F37" i="34" s="1"/>
  <c r="O35" i="34"/>
  <c r="P35" i="34" s="1"/>
  <c r="A35" i="34"/>
  <c r="R35" i="34"/>
  <c r="J35" i="25"/>
  <c r="D36" i="25"/>
  <c r="E35" i="25"/>
  <c r="F36" i="25" s="1"/>
  <c r="R37" i="25"/>
  <c r="Q37" i="25"/>
  <c r="D37" i="25"/>
  <c r="F37" i="25" s="1"/>
  <c r="A37" i="25"/>
  <c r="S37" i="25"/>
  <c r="O37" i="25"/>
  <c r="L39" i="25"/>
  <c r="M37" i="25"/>
  <c r="J33" i="34"/>
  <c r="S35" i="30"/>
  <c r="Q35" i="30"/>
  <c r="E33" i="34"/>
  <c r="F34" i="34" s="1"/>
  <c r="N33" i="34"/>
  <c r="H33" i="34" s="1"/>
  <c r="H34" i="34" s="1"/>
  <c r="D36" i="34"/>
  <c r="A35" i="30"/>
  <c r="L37" i="30"/>
  <c r="D37" i="30" s="1"/>
  <c r="F37" i="30" s="1"/>
  <c r="O35" i="30"/>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P35" i="30" l="1"/>
  <c r="S37" i="34"/>
  <c r="A37" i="34"/>
  <c r="L39" i="34"/>
  <c r="D39" i="34" s="1"/>
  <c r="F39" i="34" s="1"/>
  <c r="O37" i="34"/>
  <c r="P37" i="34" s="1"/>
  <c r="F36" i="34"/>
  <c r="R37" i="34"/>
  <c r="Q37" i="34"/>
  <c r="M37" i="34"/>
  <c r="E37" i="34" s="1"/>
  <c r="F38" i="34" s="1"/>
  <c r="L43" i="34"/>
  <c r="D43" i="34" s="1"/>
  <c r="F43" i="34" s="1"/>
  <c r="J35" i="34"/>
  <c r="R37" i="30"/>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Q39" i="34"/>
  <c r="O39" i="34"/>
  <c r="Q37" i="30"/>
  <c r="S37" i="30"/>
  <c r="M37" i="30"/>
  <c r="D38" i="30" s="1"/>
  <c r="F36" i="30"/>
  <c r="Q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0" i="27"/>
  <c r="A19" i="27"/>
  <c r="A18" i="27"/>
  <c r="A17" i="27"/>
  <c r="A16" i="27"/>
  <c r="A15" i="27"/>
  <c r="A14" i="27"/>
  <c r="A13" i="27"/>
  <c r="A12" i="27"/>
  <c r="A11" i="27"/>
  <c r="A10" i="27"/>
  <c r="A9" i="27"/>
  <c r="A8" i="27"/>
  <c r="F4" i="27"/>
  <c r="D4" i="27"/>
  <c r="B4" i="27"/>
  <c r="K3" i="27"/>
  <c r="H3" i="27" s="1"/>
  <c r="K2" i="27"/>
  <c r="H2" i="27" s="1"/>
  <c r="A1" i="27"/>
  <c r="A10" i="2"/>
  <c r="D10" i="2"/>
  <c r="H4" i="27"/>
  <c r="D38" i="34" l="1"/>
  <c r="N37" i="34"/>
  <c r="H37" i="34" s="1"/>
  <c r="H38" i="34" s="1"/>
  <c r="P39" i="34"/>
  <c r="M39" i="30"/>
  <c r="D40" i="30" s="1"/>
  <c r="O39" i="30"/>
  <c r="P39" i="30" s="1"/>
  <c r="S39" i="30"/>
  <c r="R39" i="30"/>
  <c r="J39" i="30" s="1"/>
  <c r="J39" i="25"/>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H35" i="30"/>
  <c r="H36" i="30" s="1"/>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R41" i="30" l="1"/>
  <c r="S41" i="30"/>
  <c r="E39" i="30"/>
  <c r="F40" i="30" s="1"/>
  <c r="M41" i="30"/>
  <c r="D42" i="30" s="1"/>
  <c r="O41" i="30"/>
  <c r="P41" i="30" s="1"/>
  <c r="L43" i="30"/>
  <c r="D43" i="30" s="1"/>
  <c r="F43" i="30" s="1"/>
  <c r="Q41" i="30"/>
  <c r="J41" i="30" s="1"/>
  <c r="J43" i="25"/>
  <c r="P45" i="34"/>
  <c r="P47" i="34" s="1"/>
  <c r="L47" i="25"/>
  <c r="S45" i="25"/>
  <c r="D45" i="25"/>
  <c r="F45" i="25" s="1"/>
  <c r="M45" i="25"/>
  <c r="A45" i="25"/>
  <c r="Q45" i="25"/>
  <c r="O45" i="25"/>
  <c r="R45" i="25"/>
  <c r="E43" i="25"/>
  <c r="F44" i="25" s="1"/>
  <c r="D44" i="25"/>
  <c r="N39" i="30"/>
  <c r="N43" i="34"/>
  <c r="N45" i="34" s="1"/>
  <c r="S43" i="30"/>
  <c r="D47" i="36"/>
  <c r="F47" i="36" s="1"/>
  <c r="A47" i="36"/>
  <c r="J45" i="36"/>
  <c r="D46" i="36"/>
  <c r="E45" i="36"/>
  <c r="F46" i="36" s="1"/>
  <c r="S47" i="36"/>
  <c r="L49" i="36"/>
  <c r="Q47" i="36"/>
  <c r="O47" i="36"/>
  <c r="P47" i="36" s="1"/>
  <c r="M47" i="36"/>
  <c r="R47" i="36"/>
  <c r="J45" i="34"/>
  <c r="N37" i="36"/>
  <c r="H37" i="36" s="1"/>
  <c r="H38" i="36" s="1"/>
  <c r="E45" i="34"/>
  <c r="N41" i="30" l="1"/>
  <c r="M43" i="30"/>
  <c r="D44" i="30" s="1"/>
  <c r="R43" i="30"/>
  <c r="J43" i="30" s="1"/>
  <c r="Q43" i="30"/>
  <c r="A43" i="30"/>
  <c r="O43" i="30"/>
  <c r="P43" i="30" s="1"/>
  <c r="L45" i="30"/>
  <c r="D45" i="30" s="1"/>
  <c r="F45" i="30" s="1"/>
  <c r="E41" i="30"/>
  <c r="F42" i="30" s="1"/>
  <c r="H43" i="34"/>
  <c r="H44" i="34" s="1"/>
  <c r="J45" i="25"/>
  <c r="D46" i="25"/>
  <c r="E45" i="25"/>
  <c r="F46" i="25" s="1"/>
  <c r="O47" i="25"/>
  <c r="R47" i="25"/>
  <c r="L49" i="25"/>
  <c r="S47" i="25"/>
  <c r="D47" i="25"/>
  <c r="F47" i="25" s="1"/>
  <c r="A47" i="25"/>
  <c r="Q47" i="25"/>
  <c r="M47" i="25"/>
  <c r="H39" i="30"/>
  <c r="H40" i="30" s="1"/>
  <c r="H45" i="34"/>
  <c r="H46" i="34" s="1"/>
  <c r="N47" i="34"/>
  <c r="R45" i="30"/>
  <c r="Q45" i="30"/>
  <c r="A45" i="30"/>
  <c r="E43" i="30"/>
  <c r="J47" i="36"/>
  <c r="A49" i="36"/>
  <c r="D49" i="36"/>
  <c r="F49" i="36" s="1"/>
  <c r="D48" i="36"/>
  <c r="E47" i="36"/>
  <c r="F48" i="36" s="1"/>
  <c r="R49" i="36"/>
  <c r="S49" i="36"/>
  <c r="L51" i="36"/>
  <c r="O49" i="36"/>
  <c r="P49" i="36" s="1"/>
  <c r="Q49" i="36"/>
  <c r="M49" i="36"/>
  <c r="N43" i="30"/>
  <c r="H41" i="30"/>
  <c r="H42" i="30" s="1"/>
  <c r="N39" i="36"/>
  <c r="H39" i="36" s="1"/>
  <c r="H40" i="36" s="1"/>
  <c r="F46" i="34"/>
  <c r="H3" i="8"/>
  <c r="H2" i="8"/>
  <c r="L49" i="30" l="1"/>
  <c r="D49" i="30" s="1"/>
  <c r="F49" i="30" s="1"/>
  <c r="M45" i="30"/>
  <c r="E45" i="30" s="1"/>
  <c r="O45" i="30"/>
  <c r="P45" i="30" s="1"/>
  <c r="S45" i="30"/>
  <c r="J45" i="30" s="1"/>
  <c r="F44" i="30"/>
  <c r="E47" i="25"/>
  <c r="F48" i="25" s="1"/>
  <c r="D48" i="25"/>
  <c r="J47" i="25"/>
  <c r="D49" i="25"/>
  <c r="F49" i="25" s="1"/>
  <c r="O49" i="25"/>
  <c r="L51" i="25"/>
  <c r="M49" i="25"/>
  <c r="R49" i="25"/>
  <c r="A49" i="25"/>
  <c r="S49" i="25"/>
  <c r="Q49" i="25"/>
  <c r="Q49" i="30"/>
  <c r="D51" i="36"/>
  <c r="F51" i="36" s="1"/>
  <c r="A51" i="36"/>
  <c r="L51" i="30"/>
  <c r="D51" i="30" s="1"/>
  <c r="F51" i="30" s="1"/>
  <c r="O49" i="30"/>
  <c r="S49" i="30"/>
  <c r="A49" i="30"/>
  <c r="R49" i="30"/>
  <c r="M49" i="30"/>
  <c r="D50" i="36"/>
  <c r="E49" i="36"/>
  <c r="F50" i="36" s="1"/>
  <c r="J49" i="36"/>
  <c r="S51" i="36"/>
  <c r="O51" i="36"/>
  <c r="P51" i="36" s="1"/>
  <c r="R51" i="36"/>
  <c r="M51" i="36"/>
  <c r="Q51" i="36"/>
  <c r="H43" i="30"/>
  <c r="H44" i="30" s="1"/>
  <c r="N45" i="30"/>
  <c r="N43" i="36"/>
  <c r="D46" i="30" l="1"/>
  <c r="F46" i="30"/>
  <c r="P49" i="30"/>
  <c r="J49" i="25"/>
  <c r="L55" i="25"/>
  <c r="D51" i="25"/>
  <c r="F51" i="25" s="1"/>
  <c r="Q51" i="25"/>
  <c r="O51" i="25"/>
  <c r="A51" i="25"/>
  <c r="R51" i="25"/>
  <c r="M51" i="25"/>
  <c r="S51" i="25"/>
  <c r="E49" i="25"/>
  <c r="F50" i="25" s="1"/>
  <c r="D50" i="25"/>
  <c r="L53" i="30"/>
  <c r="D53" i="30" s="1"/>
  <c r="F53" i="30" s="1"/>
  <c r="R51" i="30"/>
  <c r="O51" i="30"/>
  <c r="M51" i="30"/>
  <c r="D52" i="30" s="1"/>
  <c r="S51" i="30"/>
  <c r="A51" i="30"/>
  <c r="Q51" i="30"/>
  <c r="J49" i="30"/>
  <c r="D50" i="30"/>
  <c r="E49" i="30"/>
  <c r="F50" i="30" s="1"/>
  <c r="J51" i="36"/>
  <c r="D52" i="36"/>
  <c r="E51" i="36"/>
  <c r="F52" i="36" s="1"/>
  <c r="H45" i="30"/>
  <c r="H46" i="30" s="1"/>
  <c r="N49" i="30"/>
  <c r="N45" i="36"/>
  <c r="H45" i="36" s="1"/>
  <c r="H46" i="36" s="1"/>
  <c r="H43" i="36"/>
  <c r="H44" i="36" s="1"/>
  <c r="P51" i="30" l="1"/>
  <c r="A53" i="30"/>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A57" i="30" s="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S57" i="30"/>
  <c r="L59" i="30"/>
  <c r="N49" i="36"/>
  <c r="H49" i="36" s="1"/>
  <c r="H50" i="36" s="1"/>
  <c r="H47" i="36"/>
  <c r="H48" i="36" s="1"/>
  <c r="N53" i="30"/>
  <c r="H51" i="30"/>
  <c r="H52" i="30" s="1"/>
  <c r="O57" i="30" l="1"/>
  <c r="R57" i="30"/>
  <c r="J57" i="25"/>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N51" i="36"/>
  <c r="N55" i="30"/>
  <c r="H53" i="30"/>
  <c r="H54" i="30" s="1"/>
  <c r="P7" i="25"/>
  <c r="F58" i="30" l="1"/>
  <c r="P59" i="30"/>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P73" i="25" l="1"/>
  <c r="E73" i="25"/>
  <c r="F74" i="25" s="1"/>
  <c r="D74" i="25"/>
  <c r="J73" i="25"/>
  <c r="L79" i="25"/>
  <c r="D75" i="25"/>
  <c r="F75" i="25" s="1"/>
  <c r="O75" i="25"/>
  <c r="Q75" i="25"/>
  <c r="A75" i="25"/>
  <c r="S75" i="25"/>
  <c r="R75" i="25"/>
  <c r="M75" i="25"/>
  <c r="J73" i="30"/>
  <c r="L79" i="30"/>
  <c r="M77" i="30"/>
  <c r="R77" i="30"/>
  <c r="A77" i="30"/>
  <c r="D77" i="30"/>
  <c r="F77" i="30" s="1"/>
  <c r="O77" i="30"/>
  <c r="P77" i="30" s="1"/>
  <c r="Q77" i="30"/>
  <c r="S77" i="30"/>
  <c r="D74" i="30"/>
  <c r="E73" i="30"/>
  <c r="F74" i="30" s="1"/>
  <c r="N71" i="30"/>
  <c r="H69" i="30"/>
  <c r="H70" i="30" s="1"/>
  <c r="N23" i="25"/>
  <c r="P75" i="25" l="1"/>
  <c r="J75" i="25"/>
  <c r="E75" i="25"/>
  <c r="F76" i="25" s="1"/>
  <c r="D76" i="25"/>
  <c r="L81" i="25"/>
  <c r="S79" i="25"/>
  <c r="D79" i="25"/>
  <c r="F79" i="25" s="1"/>
  <c r="A79" i="25"/>
  <c r="Q79" i="25"/>
  <c r="O79" i="25"/>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P79" i="25" l="1"/>
  <c r="J79" i="25"/>
  <c r="A81" i="25"/>
  <c r="S81" i="25"/>
  <c r="R81" i="25"/>
  <c r="Q81" i="25"/>
  <c r="D81" i="25"/>
  <c r="F81" i="25" s="1"/>
  <c r="O81" i="25"/>
  <c r="L83" i="25"/>
  <c r="M81" i="25"/>
  <c r="D80" i="25"/>
  <c r="E79" i="25"/>
  <c r="F80" i="25" s="1"/>
  <c r="D81" i="30"/>
  <c r="F81" i="30" s="1"/>
  <c r="R81" i="30"/>
  <c r="O81" i="30"/>
  <c r="P81" i="30" s="1"/>
  <c r="M81" i="30"/>
  <c r="A81" i="30"/>
  <c r="S81" i="30"/>
  <c r="Q81" i="30"/>
  <c r="L83" i="30"/>
  <c r="J79" i="30"/>
  <c r="D80" i="30"/>
  <c r="E79" i="30"/>
  <c r="F80" i="30" s="1"/>
  <c r="N27" i="25"/>
  <c r="H73" i="30"/>
  <c r="H74" i="30" s="1"/>
  <c r="N77" i="30"/>
  <c r="P81" i="25" l="1"/>
  <c r="E81" i="25"/>
  <c r="F82" i="25" s="1"/>
  <c r="D82" i="25"/>
  <c r="A83" i="25"/>
  <c r="O83" i="25"/>
  <c r="P83" i="25" s="1"/>
  <c r="L85" i="25"/>
  <c r="L87" i="25" s="1"/>
  <c r="L91"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S91" i="25" l="1"/>
  <c r="L93" i="25"/>
  <c r="O91" i="25"/>
  <c r="M91" i="25"/>
  <c r="Q91" i="25"/>
  <c r="R91" i="25"/>
  <c r="A91" i="25"/>
  <c r="D91" i="25"/>
  <c r="F91" i="25" s="1"/>
  <c r="R87" i="25"/>
  <c r="A87" i="25"/>
  <c r="O87" i="25"/>
  <c r="Q87" i="25"/>
  <c r="M87" i="25"/>
  <c r="S87" i="25"/>
  <c r="D87" i="25"/>
  <c r="F87" i="25" s="1"/>
  <c r="J83" i="25"/>
  <c r="Q85" i="25"/>
  <c r="M85" i="25"/>
  <c r="O85" i="25"/>
  <c r="P85" i="25" s="1"/>
  <c r="P87"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P91" i="25" l="1"/>
  <c r="A93" i="25"/>
  <c r="D93" i="25"/>
  <c r="F93" i="25" s="1"/>
  <c r="S93" i="25"/>
  <c r="M93" i="25"/>
  <c r="L95" i="25"/>
  <c r="R93" i="25"/>
  <c r="Q93" i="25"/>
  <c r="O93" i="25"/>
  <c r="P93" i="25" s="1"/>
  <c r="J91" i="25"/>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D95" i="25" l="1"/>
  <c r="F95" i="25" s="1"/>
  <c r="A95" i="25"/>
  <c r="J93" i="25"/>
  <c r="D94" i="25"/>
  <c r="E93" i="25"/>
  <c r="F94" i="25" s="1"/>
  <c r="O95" i="25"/>
  <c r="P95" i="25" s="1"/>
  <c r="L97" i="25"/>
  <c r="R95" i="25"/>
  <c r="Q95" i="25"/>
  <c r="S95" i="25"/>
  <c r="M95" i="25"/>
  <c r="J87" i="30"/>
  <c r="N37" i="25"/>
  <c r="N39" i="25" s="1"/>
  <c r="E87" i="30"/>
  <c r="F88" i="30" s="1"/>
  <c r="D88" i="30"/>
  <c r="L93" i="30"/>
  <c r="M91" i="30"/>
  <c r="D91" i="30"/>
  <c r="F91" i="30" s="1"/>
  <c r="R91" i="30"/>
  <c r="A91" i="30"/>
  <c r="S91" i="30"/>
  <c r="O91" i="30"/>
  <c r="P91" i="30" s="1"/>
  <c r="Q91" i="30"/>
  <c r="N85" i="30"/>
  <c r="H85" i="30" s="1"/>
  <c r="H86" i="30" s="1"/>
  <c r="D97" i="25" l="1"/>
  <c r="F97" i="25" s="1"/>
  <c r="A97" i="25"/>
  <c r="J95" i="25"/>
  <c r="D96" i="25"/>
  <c r="E95" i="25"/>
  <c r="F96" i="25" s="1"/>
  <c r="O97" i="25"/>
  <c r="P97" i="25" s="1"/>
  <c r="L99" i="25"/>
  <c r="R97" i="25"/>
  <c r="Q97" i="25"/>
  <c r="S97" i="25"/>
  <c r="M97" i="25"/>
  <c r="H37" i="25"/>
  <c r="H38" i="25" s="1"/>
  <c r="D93" i="30"/>
  <c r="F93" i="30" s="1"/>
  <c r="S93" i="30"/>
  <c r="Q93" i="30"/>
  <c r="O93" i="30"/>
  <c r="P93" i="30" s="1"/>
  <c r="L95" i="30"/>
  <c r="R93" i="30"/>
  <c r="A93" i="30"/>
  <c r="M93" i="30"/>
  <c r="J91" i="30"/>
  <c r="D92" i="30"/>
  <c r="E91" i="30"/>
  <c r="F92" i="30" s="1"/>
  <c r="N43" i="25"/>
  <c r="H39" i="25"/>
  <c r="H40" i="25" s="1"/>
  <c r="N87" i="30"/>
  <c r="L103" i="25" l="1"/>
  <c r="D99" i="25"/>
  <c r="F99" i="25" s="1"/>
  <c r="A99" i="25"/>
  <c r="J97" i="25"/>
  <c r="D98" i="25"/>
  <c r="E97" i="25"/>
  <c r="F98" i="25" s="1"/>
  <c r="O99" i="25"/>
  <c r="P99" i="25" s="1"/>
  <c r="Q99" i="25"/>
  <c r="S99" i="25"/>
  <c r="M99" i="25"/>
  <c r="R99" i="25"/>
  <c r="J93" i="30"/>
  <c r="E93" i="30"/>
  <c r="F94" i="30" s="1"/>
  <c r="D94" i="30"/>
  <c r="R95" i="30"/>
  <c r="A95" i="30"/>
  <c r="D95" i="30"/>
  <c r="F95" i="30" s="1"/>
  <c r="M95" i="30"/>
  <c r="S95" i="30"/>
  <c r="O95" i="30"/>
  <c r="P95" i="30" s="1"/>
  <c r="Q95" i="30"/>
  <c r="L97" i="30"/>
  <c r="N91" i="30"/>
  <c r="H87" i="30"/>
  <c r="H88" i="30" s="1"/>
  <c r="H43" i="25"/>
  <c r="H44" i="25" s="1"/>
  <c r="N45" i="25"/>
  <c r="J99" i="25" l="1"/>
  <c r="R103" i="25"/>
  <c r="A103" i="25"/>
  <c r="S103" i="25"/>
  <c r="L105" i="25"/>
  <c r="Q103" i="25"/>
  <c r="M103" i="25"/>
  <c r="O103" i="25"/>
  <c r="P103" i="25" s="1"/>
  <c r="D103" i="25"/>
  <c r="F103" i="25" s="1"/>
  <c r="D100" i="25"/>
  <c r="E99" i="25"/>
  <c r="F100" i="25" s="1"/>
  <c r="J95" i="30"/>
  <c r="L99" i="30"/>
  <c r="M97" i="30"/>
  <c r="R97" i="30"/>
  <c r="A97" i="30"/>
  <c r="D97" i="30"/>
  <c r="F97" i="30" s="1"/>
  <c r="S97" i="30"/>
  <c r="Q97" i="30"/>
  <c r="O97" i="30"/>
  <c r="P97" i="30" s="1"/>
  <c r="E95" i="30"/>
  <c r="F96" i="30" s="1"/>
  <c r="D96" i="30"/>
  <c r="N93" i="30"/>
  <c r="H91" i="30"/>
  <c r="H92" i="30" s="1"/>
  <c r="N47" i="25"/>
  <c r="H45" i="25"/>
  <c r="H46" i="25" s="1"/>
  <c r="D104" i="25" l="1"/>
  <c r="E103" i="25"/>
  <c r="F104" i="25" s="1"/>
  <c r="J103" i="25"/>
  <c r="L107" i="25"/>
  <c r="Q105" i="25"/>
  <c r="M105" i="25"/>
  <c r="R105" i="25"/>
  <c r="S105" i="25"/>
  <c r="O105" i="25"/>
  <c r="P105" i="25" s="1"/>
  <c r="J97" i="30"/>
  <c r="D98" i="30"/>
  <c r="E97" i="30"/>
  <c r="F98" i="30" s="1"/>
  <c r="L101" i="30"/>
  <c r="M99" i="30"/>
  <c r="R99" i="30"/>
  <c r="A99" i="30"/>
  <c r="D99" i="30"/>
  <c r="F99" i="30" s="1"/>
  <c r="O99" i="30"/>
  <c r="P99" i="30" s="1"/>
  <c r="S99" i="30"/>
  <c r="Q99" i="30"/>
  <c r="H93" i="30"/>
  <c r="H94" i="30" s="1"/>
  <c r="N95" i="30"/>
  <c r="N49" i="25"/>
  <c r="H49" i="25" s="1"/>
  <c r="H50" i="25" s="1"/>
  <c r="H47" i="25"/>
  <c r="H48" i="25" s="1"/>
  <c r="L109" i="25" l="1"/>
  <c r="S107" i="25"/>
  <c r="O107" i="25"/>
  <c r="P107" i="25" s="1"/>
  <c r="M107" i="25"/>
  <c r="R107" i="25"/>
  <c r="Q107" i="25"/>
  <c r="L105" i="30"/>
  <c r="M101" i="30"/>
  <c r="R101" i="30"/>
  <c r="S101" i="30"/>
  <c r="D101" i="30"/>
  <c r="F101" i="30" s="1"/>
  <c r="O101" i="30"/>
  <c r="P101" i="30" s="1"/>
  <c r="Q101" i="30"/>
  <c r="A101" i="30"/>
  <c r="D100" i="30"/>
  <c r="E99" i="30"/>
  <c r="F100" i="30" s="1"/>
  <c r="J99" i="30"/>
  <c r="N97" i="30"/>
  <c r="H95" i="30"/>
  <c r="H96" i="30" s="1"/>
  <c r="N51" i="25"/>
  <c r="N55" i="25" s="1"/>
  <c r="S109" i="25" l="1"/>
  <c r="O109" i="25"/>
  <c r="P109" i="25" s="1"/>
  <c r="R109" i="25"/>
  <c r="L111" i="25"/>
  <c r="Q109" i="25"/>
  <c r="M109" i="25"/>
  <c r="J101" i="30"/>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R111" i="25" l="1"/>
  <c r="Q111" i="25"/>
  <c r="M111" i="25"/>
  <c r="O111" i="25"/>
  <c r="P111" i="25" s="1"/>
  <c r="S111" i="25"/>
  <c r="J105" i="30"/>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E129" i="30"/>
  <c r="F130" i="30" s="1"/>
  <c r="D130" i="30"/>
  <c r="J129" i="30"/>
  <c r="A133" i="30"/>
  <c r="D133" i="30"/>
  <c r="F133" i="30" s="1"/>
  <c r="O133" i="30"/>
  <c r="P133" i="30" s="1"/>
  <c r="M133" i="30"/>
  <c r="L135" i="30"/>
  <c r="R133" i="30"/>
  <c r="S133" i="30"/>
  <c r="Q133" i="30"/>
  <c r="N127" i="30"/>
  <c r="H125" i="30"/>
  <c r="H126" i="30" s="1"/>
  <c r="N95" i="25" l="1"/>
  <c r="H93" i="25"/>
  <c r="H94" i="25" s="1"/>
  <c r="H87" i="25"/>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N97" i="25" l="1"/>
  <c r="H95" i="25"/>
  <c r="H96" i="25" s="1"/>
  <c r="J135" i="30"/>
  <c r="S137" i="30"/>
  <c r="O137" i="30"/>
  <c r="P137" i="30" s="1"/>
  <c r="A137" i="30"/>
  <c r="L139" i="30"/>
  <c r="R137" i="30"/>
  <c r="D137" i="30"/>
  <c r="F137" i="30" s="1"/>
  <c r="Q137" i="30"/>
  <c r="M137" i="30"/>
  <c r="E135" i="30"/>
  <c r="F136" i="30" s="1"/>
  <c r="D136" i="30"/>
  <c r="N133" i="30"/>
  <c r="H133" i="30" s="1"/>
  <c r="H134" i="30" s="1"/>
  <c r="N99" i="25" l="1"/>
  <c r="H97" i="25"/>
  <c r="H98" i="25" s="1"/>
  <c r="H91" i="25"/>
  <c r="H92" i="25" s="1"/>
  <c r="J137" i="30"/>
  <c r="D138" i="30"/>
  <c r="E137" i="30"/>
  <c r="F138" i="30" s="1"/>
  <c r="L141" i="30"/>
  <c r="R139" i="30"/>
  <c r="D139" i="30"/>
  <c r="F139" i="30" s="1"/>
  <c r="S139" i="30"/>
  <c r="O139" i="30"/>
  <c r="P139" i="30" s="1"/>
  <c r="Q139" i="30"/>
  <c r="M139" i="30"/>
  <c r="A139" i="30"/>
  <c r="N135" i="30"/>
  <c r="H99" i="25" l="1"/>
  <c r="H100" i="25" s="1"/>
  <c r="N103" i="25"/>
  <c r="J139" i="30"/>
  <c r="D140" i="30"/>
  <c r="E139" i="30"/>
  <c r="F140" i="30" s="1"/>
  <c r="H135" i="30"/>
  <c r="H136" i="30" s="1"/>
  <c r="N137" i="30"/>
  <c r="M141" i="30"/>
  <c r="S141" i="30"/>
  <c r="O141" i="30"/>
  <c r="P141" i="30" s="1"/>
  <c r="Q141" i="30"/>
  <c r="A141" i="30"/>
  <c r="L143" i="30"/>
  <c r="L147" i="30" s="1"/>
  <c r="R141" i="30"/>
  <c r="D141" i="30"/>
  <c r="F141" i="30" s="1"/>
  <c r="H103" i="25" l="1"/>
  <c r="H104" i="25" s="1"/>
  <c r="N105" i="25"/>
  <c r="S147" i="30"/>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N107" i="25" l="1"/>
  <c r="P147" i="30"/>
  <c r="J147" i="30"/>
  <c r="D148" i="30"/>
  <c r="E147" i="30"/>
  <c r="F148" i="30" s="1"/>
  <c r="L151" i="30"/>
  <c r="R149" i="30"/>
  <c r="D149" i="30"/>
  <c r="F149" i="30" s="1"/>
  <c r="O149" i="30"/>
  <c r="Q149" i="30"/>
  <c r="M149" i="30"/>
  <c r="A149" i="30"/>
  <c r="S149" i="30"/>
  <c r="J143" i="30"/>
  <c r="H139" i="30"/>
  <c r="H140" i="30" s="1"/>
  <c r="N141" i="30"/>
  <c r="E143" i="30"/>
  <c r="F144" i="30" s="1"/>
  <c r="D144" i="30"/>
  <c r="N109" i="25" l="1"/>
  <c r="P149" i="30"/>
  <c r="A151" i="30"/>
  <c r="D151" i="30"/>
  <c r="F151" i="30" s="1"/>
  <c r="J149" i="30"/>
  <c r="S151" i="30"/>
  <c r="O151" i="30"/>
  <c r="Q151" i="30"/>
  <c r="L153" i="30"/>
  <c r="R151" i="30"/>
  <c r="M151" i="30"/>
  <c r="E149" i="30"/>
  <c r="F150" i="30" s="1"/>
  <c r="D150" i="30"/>
  <c r="N143" i="30"/>
  <c r="H141" i="30"/>
  <c r="H142" i="30" s="1"/>
  <c r="N111" i="25" l="1"/>
  <c r="J151" i="30"/>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L163" i="30"/>
  <c r="L165" i="30" s="1"/>
  <c r="L167" i="30" s="1"/>
  <c r="R161" i="30"/>
  <c r="D161" i="30"/>
  <c r="F161" i="30" s="1"/>
  <c r="M161" i="30"/>
  <c r="J157" i="30"/>
  <c r="N153" i="30"/>
  <c r="P161" i="30" l="1"/>
  <c r="L169" i="30"/>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S163" i="30"/>
  <c r="N155" i="30"/>
  <c r="H153" i="30"/>
  <c r="H154" i="30" s="1"/>
  <c r="D162" i="30"/>
  <c r="E161" i="30"/>
  <c r="F162" i="30" s="1"/>
  <c r="P163" i="30" l="1"/>
  <c r="P165" i="30" s="1"/>
  <c r="P167" i="30" s="1"/>
  <c r="A169" i="30"/>
  <c r="D169" i="30"/>
  <c r="F169"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L185" i="30"/>
  <c r="D185" i="30" s="1"/>
  <c r="F185" i="30" s="1"/>
  <c r="M183" i="30"/>
  <c r="D184" i="30" s="1"/>
  <c r="J181" i="30"/>
  <c r="P181" i="30"/>
  <c r="A185" i="30"/>
  <c r="N171" i="30"/>
  <c r="J183" i="30" l="1"/>
  <c r="P183" i="30"/>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E191" i="30"/>
  <c r="F192" i="30" s="1"/>
  <c r="M195" i="30"/>
  <c r="E195" i="30" s="1"/>
  <c r="F196" i="30" s="1"/>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J193" i="30"/>
  <c r="N181" i="30"/>
  <c r="N183" i="30" s="1"/>
  <c r="H179" i="30"/>
  <c r="H180" i="30" s="1"/>
  <c r="J205" i="30" l="1"/>
  <c r="D196" i="30"/>
  <c r="F204" i="30"/>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A209" i="30"/>
  <c r="L211" i="30"/>
  <c r="S209" i="30"/>
  <c r="M209" i="30"/>
  <c r="J207" i="30"/>
  <c r="N189" i="30"/>
  <c r="H185" i="30"/>
  <c r="H186" i="30" s="1"/>
  <c r="P209" i="30" l="1"/>
  <c r="E209" i="30"/>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L225" i="30"/>
  <c r="Q223" i="30"/>
  <c r="M223" i="30"/>
  <c r="H199" i="30"/>
  <c r="H200" i="30" s="1"/>
  <c r="N203" i="30"/>
  <c r="N205" i="30" s="1"/>
  <c r="J223" i="30" l="1"/>
  <c r="D224" i="30"/>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P231" i="30" s="1"/>
  <c r="D231" i="30"/>
  <c r="F231" i="30" s="1"/>
  <c r="Q231" i="30"/>
  <c r="M231" i="30"/>
  <c r="R231" i="30"/>
  <c r="A231" i="30"/>
  <c r="L233" i="30"/>
  <c r="D228" i="30"/>
  <c r="E227" i="30"/>
  <c r="F228" i="30" s="1"/>
  <c r="H209" i="30"/>
  <c r="H210" i="30" s="1"/>
  <c r="N211" i="30"/>
  <c r="J231" i="30" l="1"/>
  <c r="R233" i="30"/>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A237" i="30" l="1"/>
  <c r="D237" i="30"/>
  <c r="F237" i="30" s="1"/>
  <c r="J235" i="30"/>
  <c r="D236" i="30"/>
  <c r="E235" i="30"/>
  <c r="F236" i="30" s="1"/>
  <c r="Q237" i="30"/>
  <c r="M237" i="30"/>
  <c r="S237" i="30"/>
  <c r="O237" i="30"/>
  <c r="P237" i="30" s="1"/>
  <c r="R237" i="30"/>
  <c r="L239" i="30"/>
  <c r="N219" i="30"/>
  <c r="H219" i="30" s="1"/>
  <c r="H220" i="30" s="1"/>
  <c r="H217" i="30"/>
  <c r="H218" i="30" s="1"/>
  <c r="J237" i="30" l="1"/>
  <c r="D239" i="30"/>
  <c r="F239" i="30" s="1"/>
  <c r="A239" i="30"/>
  <c r="E237" i="30"/>
  <c r="F238" i="30" s="1"/>
  <c r="D238" i="30"/>
  <c r="S239" i="30"/>
  <c r="O239" i="30"/>
  <c r="P239" i="30" s="1"/>
  <c r="L241" i="30"/>
  <c r="Q239" i="30"/>
  <c r="M239" i="30"/>
  <c r="R239" i="30"/>
  <c r="N221" i="30"/>
  <c r="H221" i="30" s="1"/>
  <c r="H222" i="30" s="1"/>
  <c r="J239" i="30" l="1"/>
  <c r="A241" i="30"/>
  <c r="L245" i="30"/>
  <c r="D241" i="30"/>
  <c r="F241" i="30" s="1"/>
  <c r="E239" i="30"/>
  <c r="F240" i="30" s="1"/>
  <c r="D240" i="30"/>
  <c r="R241" i="30"/>
  <c r="O241" i="30"/>
  <c r="P241" i="30" s="1"/>
  <c r="Q241" i="30"/>
  <c r="M241" i="30"/>
  <c r="S241" i="30"/>
  <c r="N223" i="30"/>
  <c r="H223" i="30" s="1"/>
  <c r="H224" i="30" s="1"/>
  <c r="J241" i="30" l="1"/>
  <c r="S245" i="30"/>
  <c r="O245" i="30"/>
  <c r="P245" i="30" s="1"/>
  <c r="D245" i="30"/>
  <c r="F245" i="30" s="1"/>
  <c r="R245" i="30"/>
  <c r="A245" i="30"/>
  <c r="L247" i="30"/>
  <c r="Q245" i="30"/>
  <c r="M245" i="30"/>
  <c r="D242" i="30"/>
  <c r="E241" i="30"/>
  <c r="F242" i="30" s="1"/>
  <c r="N225" i="30"/>
  <c r="H225" i="30" s="1"/>
  <c r="H226" i="30" s="1"/>
  <c r="D247" i="30" l="1"/>
  <c r="F247" i="30" s="1"/>
  <c r="A247" i="30"/>
  <c r="D246" i="30"/>
  <c r="E245" i="30"/>
  <c r="F246" i="30" s="1"/>
  <c r="J245" i="30"/>
  <c r="R247" i="30"/>
  <c r="O247" i="30"/>
  <c r="P247" i="30" s="1"/>
  <c r="L249" i="30"/>
  <c r="Q247" i="30"/>
  <c r="M247" i="30"/>
  <c r="S247" i="30"/>
  <c r="N227" i="30"/>
  <c r="A249" i="30" l="1"/>
  <c r="D249" i="30"/>
  <c r="F249" i="30" s="1"/>
  <c r="J247" i="30"/>
  <c r="D248" i="30"/>
  <c r="E247" i="30"/>
  <c r="F248" i="30" s="1"/>
  <c r="L251" i="30"/>
  <c r="Q249" i="30"/>
  <c r="M249" i="30"/>
  <c r="R249" i="30"/>
  <c r="S249" i="30"/>
  <c r="O249" i="30"/>
  <c r="P249" i="30" s="1"/>
  <c r="H227" i="30"/>
  <c r="H228" i="30" s="1"/>
  <c r="N231" i="30"/>
  <c r="A34" i="9"/>
  <c r="A36" i="9" s="1"/>
  <c r="D250" i="30" l="1"/>
  <c r="E249" i="30"/>
  <c r="F250" i="30" s="1"/>
  <c r="A251" i="30"/>
  <c r="D251" i="30"/>
  <c r="F251" i="30" s="1"/>
  <c r="J249" i="30"/>
  <c r="M251" i="30"/>
  <c r="S251" i="30"/>
  <c r="O251" i="30"/>
  <c r="P251" i="30" s="1"/>
  <c r="L253" i="30"/>
  <c r="Q251" i="30"/>
  <c r="R251" i="30"/>
  <c r="N233" i="30"/>
  <c r="H231" i="30"/>
  <c r="H232" i="30" s="1"/>
  <c r="A38" i="9"/>
  <c r="J251" i="30" l="1"/>
  <c r="D252" i="30"/>
  <c r="E251" i="30"/>
  <c r="F252" i="30" s="1"/>
  <c r="D253" i="30"/>
  <c r="F253" i="30" s="1"/>
  <c r="A253" i="30"/>
  <c r="S253" i="30"/>
  <c r="O253" i="30"/>
  <c r="P253" i="30" s="1"/>
  <c r="R253" i="30"/>
  <c r="J253" i="30" s="1"/>
  <c r="L255" i="30"/>
  <c r="Q253" i="30"/>
  <c r="M253" i="30"/>
  <c r="H233" i="30"/>
  <c r="H234" i="30" s="1"/>
  <c r="N235" i="30"/>
  <c r="A40" i="9"/>
  <c r="A47" i="9" s="1"/>
  <c r="D254" i="30" l="1"/>
  <c r="E253" i="30"/>
  <c r="F254" i="30" s="1"/>
  <c r="L259" i="30"/>
  <c r="A255" i="30"/>
  <c r="D255" i="30"/>
  <c r="F255" i="30" s="1"/>
  <c r="R255" i="30"/>
  <c r="Q255" i="30"/>
  <c r="M255" i="30"/>
  <c r="O255" i="30"/>
  <c r="P255" i="30" s="1"/>
  <c r="S255" i="30"/>
  <c r="N237" i="30"/>
  <c r="H237" i="30" s="1"/>
  <c r="H238" i="30" s="1"/>
  <c r="H235" i="30"/>
  <c r="H236" i="30" s="1"/>
  <c r="A49" i="9"/>
  <c r="D256" i="30" l="1"/>
  <c r="E255" i="30"/>
  <c r="F256" i="30" s="1"/>
  <c r="S259" i="30"/>
  <c r="O259" i="30"/>
  <c r="P259" i="30" s="1"/>
  <c r="D259" i="30"/>
  <c r="F259" i="30" s="1"/>
  <c r="R259" i="30"/>
  <c r="A259" i="30"/>
  <c r="L261" i="30"/>
  <c r="Q259" i="30"/>
  <c r="M259" i="30"/>
  <c r="J255" i="30"/>
  <c r="N239" i="30"/>
  <c r="H239" i="30" s="1"/>
  <c r="H240" i="30" s="1"/>
  <c r="A51" i="9"/>
  <c r="A53" i="9" s="1"/>
  <c r="A60" i="9" s="1"/>
  <c r="A62" i="9" s="1"/>
  <c r="A64" i="9" s="1"/>
  <c r="A66" i="9" s="1"/>
  <c r="R261" i="30" l="1"/>
  <c r="A261" i="30"/>
  <c r="S261" i="30"/>
  <c r="L263" i="30"/>
  <c r="Q261" i="30"/>
  <c r="M261" i="30"/>
  <c r="O261" i="30"/>
  <c r="P261" i="30" s="1"/>
  <c r="D261" i="30"/>
  <c r="F261" i="30" s="1"/>
  <c r="D260" i="30"/>
  <c r="E259" i="30"/>
  <c r="F260" i="30" s="1"/>
  <c r="J259" i="30"/>
  <c r="N241" i="30"/>
  <c r="A73" i="9"/>
  <c r="A75" i="9" s="1"/>
  <c r="A77" i="9" s="1"/>
  <c r="D263" i="30" l="1"/>
  <c r="F263" i="30" s="1"/>
  <c r="A263" i="30"/>
  <c r="J261" i="30"/>
  <c r="D262" i="30"/>
  <c r="E261" i="30"/>
  <c r="F262" i="30" s="1"/>
  <c r="L265" i="30"/>
  <c r="Q263" i="30"/>
  <c r="M263" i="30"/>
  <c r="R263" i="30"/>
  <c r="S263" i="30"/>
  <c r="O263" i="30"/>
  <c r="P263" i="30" s="1"/>
  <c r="N245" i="30"/>
  <c r="H241" i="30"/>
  <c r="H242" i="30" s="1"/>
  <c r="A79" i="9"/>
  <c r="A86" i="9" s="1"/>
  <c r="A88" i="9" s="1"/>
  <c r="A90" i="9" s="1"/>
  <c r="A92" i="9" s="1"/>
  <c r="A99" i="9" s="1"/>
  <c r="A101" i="9" s="1"/>
  <c r="A103" i="9" s="1"/>
  <c r="A105" i="9" s="1"/>
  <c r="A112" i="9" s="1"/>
  <c r="A114" i="9" s="1"/>
  <c r="D265" i="30" l="1"/>
  <c r="F265" i="30" s="1"/>
  <c r="A265" i="30"/>
  <c r="J263" i="30"/>
  <c r="E263" i="30"/>
  <c r="F264" i="30" s="1"/>
  <c r="D264" i="30"/>
  <c r="Q265" i="30"/>
  <c r="S265" i="30"/>
  <c r="O265" i="30"/>
  <c r="P265" i="30" s="1"/>
  <c r="M265" i="30"/>
  <c r="R265" i="30"/>
  <c r="L267" i="30"/>
  <c r="N247" i="30"/>
  <c r="H247" i="30" s="1"/>
  <c r="H248" i="30" s="1"/>
  <c r="H245" i="30"/>
  <c r="H246" i="30" s="1"/>
  <c r="A116" i="9"/>
  <c r="A118" i="9" s="1"/>
  <c r="A125" i="9" s="1"/>
  <c r="A127" i="9" s="1"/>
  <c r="A129" i="9" s="1"/>
  <c r="A131" i="9" s="1"/>
  <c r="A133" i="9" s="1"/>
  <c r="A140" i="9" s="1"/>
  <c r="A142" i="9" s="1"/>
  <c r="A144" i="9" s="1"/>
  <c r="A146" i="9" s="1"/>
  <c r="A153" i="9" s="1"/>
  <c r="A155" i="9" s="1"/>
  <c r="A157" i="9" s="1"/>
  <c r="A159" i="9" s="1"/>
  <c r="A161" i="9" s="1"/>
  <c r="A163" i="9" s="1"/>
  <c r="J265" i="30" l="1"/>
  <c r="D267" i="30"/>
  <c r="F267" i="30" s="1"/>
  <c r="A267" i="30"/>
  <c r="D266" i="30"/>
  <c r="E265" i="30"/>
  <c r="F266" i="30" s="1"/>
  <c r="S267" i="30"/>
  <c r="O267" i="30"/>
  <c r="P267" i="30" s="1"/>
  <c r="R267" i="30"/>
  <c r="L269" i="30"/>
  <c r="Q267" i="30"/>
  <c r="M267" i="30"/>
  <c r="N249" i="30"/>
  <c r="H249" i="30" s="1"/>
  <c r="H250" i="30" s="1"/>
  <c r="L273" i="30" l="1"/>
  <c r="D269" i="30"/>
  <c r="F269" i="30" s="1"/>
  <c r="A269" i="30"/>
  <c r="J267" i="30"/>
  <c r="D268" i="30"/>
  <c r="E267" i="30"/>
  <c r="F268" i="30" s="1"/>
  <c r="R269" i="30"/>
  <c r="Q269" i="30"/>
  <c r="M269" i="30"/>
  <c r="O269" i="30"/>
  <c r="P269" i="30" s="1"/>
  <c r="S269" i="30"/>
  <c r="N251" i="30"/>
  <c r="H251" i="30" s="1"/>
  <c r="H252" i="30" s="1"/>
  <c r="S273" i="30" l="1"/>
  <c r="O273" i="30"/>
  <c r="P273" i="30" s="1"/>
  <c r="D273" i="30"/>
  <c r="F273" i="30" s="1"/>
  <c r="L275" i="30"/>
  <c r="Q273" i="30"/>
  <c r="M273" i="30"/>
  <c r="R273" i="30"/>
  <c r="A273" i="30"/>
  <c r="J269" i="30"/>
  <c r="D270" i="30"/>
  <c r="E269" i="30"/>
  <c r="F270" i="30" s="1"/>
  <c r="N253" i="30"/>
  <c r="H253" i="30" s="1"/>
  <c r="H254" i="30" s="1"/>
  <c r="J273" i="30" l="1"/>
  <c r="E273" i="30"/>
  <c r="F274" i="30" s="1"/>
  <c r="D274" i="30"/>
  <c r="R275" i="30"/>
  <c r="A275" i="30"/>
  <c r="S275" i="30"/>
  <c r="L277" i="30"/>
  <c r="Q275" i="30"/>
  <c r="M275" i="30"/>
  <c r="O275" i="30"/>
  <c r="P275" i="30" s="1"/>
  <c r="D275" i="30"/>
  <c r="F275" i="30" s="1"/>
  <c r="N255" i="30"/>
  <c r="J275" i="30" l="1"/>
  <c r="L279" i="30"/>
  <c r="Q277" i="30"/>
  <c r="M277" i="30"/>
  <c r="S277" i="30"/>
  <c r="R277" i="30"/>
  <c r="O277" i="30"/>
  <c r="P277" i="30" s="1"/>
  <c r="D276" i="30"/>
  <c r="E275" i="30"/>
  <c r="F276" i="30" s="1"/>
  <c r="N259" i="30"/>
  <c r="H255" i="30"/>
  <c r="H256" i="30" s="1"/>
  <c r="K11" i="67"/>
  <c r="L281" i="30" l="1"/>
  <c r="M279" i="30"/>
  <c r="S279" i="30"/>
  <c r="O279" i="30"/>
  <c r="P279" i="30" s="1"/>
  <c r="R279" i="30"/>
  <c r="Q279" i="30"/>
  <c r="N261" i="30"/>
  <c r="H259" i="30"/>
  <c r="H260" i="30" s="1"/>
  <c r="K9" i="67"/>
  <c r="M9" i="67" s="1"/>
  <c r="M11" i="67" s="1"/>
  <c r="M13" i="67" s="1"/>
  <c r="M15" i="67" s="1"/>
  <c r="M19" i="67" s="1"/>
  <c r="S281" i="30" l="1"/>
  <c r="O281" i="30"/>
  <c r="P281" i="30" s="1"/>
  <c r="R281" i="30"/>
  <c r="L283" i="30"/>
  <c r="Q281" i="30"/>
  <c r="M281" i="30"/>
  <c r="H261" i="30"/>
  <c r="H262" i="30" s="1"/>
  <c r="N263" i="30"/>
  <c r="H263" i="30" s="1"/>
  <c r="H264" i="30" s="1"/>
  <c r="R283" i="30" l="1"/>
  <c r="O283" i="30"/>
  <c r="P283" i="30" s="1"/>
  <c r="Q283" i="30"/>
  <c r="M283" i="30"/>
  <c r="S283" i="30"/>
  <c r="N265" i="30"/>
  <c r="H265" i="30" s="1"/>
  <c r="H266" i="30" s="1"/>
  <c r="N267" i="30" l="1"/>
  <c r="H267" i="30" s="1"/>
  <c r="H268" i="30" s="1"/>
  <c r="N269" i="30" l="1"/>
  <c r="H269" i="30" l="1"/>
  <c r="H270" i="30" s="1"/>
  <c r="N273" i="30"/>
  <c r="N275" i="30" l="1"/>
  <c r="H273" i="30"/>
  <c r="H274" i="30" s="1"/>
  <c r="H275" i="30" l="1"/>
  <c r="H276" i="30" s="1"/>
  <c r="N277" i="30"/>
  <c r="N279" i="30" l="1"/>
  <c r="N281" i="30" l="1"/>
  <c r="N283" i="30" l="1"/>
</calcChain>
</file>

<file path=xl/sharedStrings.xml><?xml version="1.0" encoding="utf-8"?>
<sst xmlns="http://schemas.openxmlformats.org/spreadsheetml/2006/main" count="7760" uniqueCount="1929">
  <si>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</si>
  <si>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</si>
  <si>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</si>
  <si>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6" type="noConversion"/>
  </si>
  <si>
    <t>得標日期：</t>
    <phoneticPr fontId="16" type="noConversion"/>
  </si>
  <si>
    <t>訂約日期：</t>
    <phoneticPr fontId="16" type="noConversion"/>
  </si>
  <si>
    <t>開工日期：</t>
    <phoneticPr fontId="16" type="noConversion"/>
  </si>
  <si>
    <t>預定完工日期：</t>
    <phoneticPr fontId="16" type="noConversion"/>
  </si>
  <si>
    <t>項次</t>
    <phoneticPr fontId="16" type="noConversion"/>
  </si>
  <si>
    <t>送審項目</t>
    <phoneticPr fontId="16" type="noConversion"/>
  </si>
  <si>
    <t>應提送時程</t>
    <phoneticPr fontId="16" type="noConversion"/>
  </si>
  <si>
    <t>限定提送日期</t>
    <phoneticPr fontId="16" type="noConversion"/>
  </si>
  <si>
    <t>第一次送審日期</t>
    <phoneticPr fontId="16" type="noConversion"/>
  </si>
  <si>
    <t>第二次送審日期</t>
    <phoneticPr fontId="16" type="noConversion"/>
  </si>
  <si>
    <t>監造審查日期</t>
    <phoneticPr fontId="16" type="noConversion"/>
  </si>
  <si>
    <t>機關核定日期</t>
    <phoneticPr fontId="16" type="noConversion"/>
  </si>
  <si>
    <t>備註</t>
    <phoneticPr fontId="16" type="noConversion"/>
  </si>
  <si>
    <t>☆</t>
  </si>
  <si>
    <t>監造計畫</t>
    <phoneticPr fontId="16" type="noConversion"/>
  </si>
  <si>
    <t>勞務契約決標(110/00/00)
後20日內</t>
    <phoneticPr fontId="16" type="noConversion"/>
  </si>
  <si>
    <t>-</t>
    <phoneticPr fontId="16" type="noConversion"/>
  </si>
  <si>
    <t>110/8/10
北市工水工字
第1106005424號</t>
    <phoneticPr fontId="16" type="noConversion"/>
  </si>
  <si>
    <t>110/00/00
辦理審查會議</t>
    <phoneticPr fontId="16" type="noConversion"/>
  </si>
  <si>
    <t>監造用人計畫</t>
    <phoneticPr fontId="16" type="noConversion"/>
  </si>
  <si>
    <t>勞務契約決標(110/00/00)
後7日內</t>
    <phoneticPr fontId="16"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</si>
  <si>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6" type="noConversion"/>
  </si>
  <si>
    <t>整體品質計畫</t>
    <phoneticPr fontId="16" type="noConversion"/>
  </si>
  <si>
    <t>工程開工前</t>
    <phoneticPr fontId="16" type="noConversion"/>
  </si>
  <si>
    <t>營造綜合保險</t>
    <phoneticPr fontId="16" type="noConversion"/>
  </si>
  <si>
    <t>第1次估驗計價前，最遲不得逾開工後1個月。</t>
    <phoneticPr fontId="16" type="noConversion"/>
  </si>
  <si>
    <t>送審資料（ˇ）</t>
    <phoneticPr fontId="16" type="noConversion"/>
  </si>
  <si>
    <t>備註
(歸檔編號)</t>
    <phoneticPr fontId="16" type="noConversion"/>
  </si>
  <si>
    <t>協力廠商資料</t>
  </si>
  <si>
    <t>型錄</t>
  </si>
  <si>
    <t>相關試驗報告</t>
  </si>
  <si>
    <t>其他</t>
  </si>
  <si>
    <t>任泰技術顧問有限公司</t>
    <phoneticPr fontId="13" type="noConversion"/>
  </si>
  <si>
    <t>訂約後15日內</t>
    <phoneticPr fontId="16" type="noConversion"/>
  </si>
  <si>
    <t>職業安全衛生管理計畫</t>
    <phoneticPr fontId="16" type="noConversion"/>
  </si>
  <si>
    <t>材料設備送審管制總表</t>
    <phoneticPr fontId="16" type="noConversion"/>
  </si>
  <si>
    <t>監造單位：任泰技術顧問有限公司</t>
    <phoneticPr fontId="16"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</si>
  <si>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</si>
  <si>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</si>
  <si>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</si>
  <si>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6" type="noConversion"/>
  </si>
  <si>
    <t>臺北市政府工務局水利工程處</t>
    <phoneticPr fontId="16" type="noConversion"/>
  </si>
  <si>
    <t>(歸檔編號)</t>
    <phoneticPr fontId="13" type="noConversion"/>
  </si>
  <si>
    <t>編制：</t>
    <phoneticPr fontId="16" type="noConversion"/>
  </si>
  <si>
    <t>合格</t>
    <phoneticPr fontId="13" type="noConversion"/>
  </si>
  <si>
    <t>進場
數量</t>
    <phoneticPr fontId="16" type="noConversion"/>
  </si>
  <si>
    <t>抽樣
日期</t>
    <phoneticPr fontId="13" type="noConversion"/>
  </si>
  <si>
    <t>抽樣
數量</t>
    <phoneticPr fontId="13"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</si>
  <si>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6" type="noConversion"/>
  </si>
  <si>
    <t>預定產出餘土
前20日</t>
    <phoneticPr fontId="16" type="noConversion"/>
  </si>
  <si>
    <t>預定施作
前15日</t>
    <phoneticPr fontId="16" type="noConversion"/>
  </si>
  <si>
    <t>上溢營造股份有限公司</t>
    <phoneticPr fontId="13" type="noConversion"/>
  </si>
  <si>
    <t>磺港溪再造C段護岸及步道整建工程（延壽橋至三合橋）</t>
    <phoneticPr fontId="13" type="noConversion"/>
  </si>
  <si>
    <t>整體施工計畫</t>
    <phoneticPr fontId="16" type="noConversion"/>
  </si>
  <si>
    <t>訂約後30日內</t>
    <phoneticPr fontId="16" type="noConversion"/>
  </si>
  <si>
    <t>剩餘土石方
資源處理計畫
(台北港)</t>
    <phoneticPr fontId="16" type="noConversion"/>
  </si>
  <si>
    <t>全套管基樁計畫</t>
    <phoneticPr fontId="13" type="noConversion"/>
  </si>
  <si>
    <t>契約編號：H-111-03-112080</t>
    <phoneticPr fontId="16" type="noConversion"/>
  </si>
  <si>
    <t>鋼筋</t>
    <phoneticPr fontId="16" type="noConversion"/>
  </si>
  <si>
    <t>1.2.3、1.3.5、1.3.6、1.3.20、1.4.7、1.4.8、1.5.8、1.5.9、1.6.11</t>
    <phoneticPr fontId="16" type="noConversion"/>
  </si>
  <si>
    <t>V</t>
    <phoneticPr fontId="13" type="noConversion"/>
  </si>
  <si>
    <t>1.2.84、1.2.85、1.2.86、1.2.87</t>
    <phoneticPr fontId="16" type="noConversion"/>
  </si>
  <si>
    <t>瀝青混凝土</t>
    <phoneticPr fontId="13" type="noConversion"/>
  </si>
  <si>
    <t>1.2.17、1.2.79、1.2.81、1.2.82、1.2.93、1.6.13</t>
    <phoneticPr fontId="16" type="noConversion"/>
  </si>
  <si>
    <t>1.2.73</t>
    <phoneticPr fontId="13" type="noConversion"/>
  </si>
  <si>
    <t>盤式支承</t>
    <phoneticPr fontId="13" type="noConversion"/>
  </si>
  <si>
    <t>結構用混凝土，預拌，140kgf/cm2</t>
    <phoneticPr fontId="13" type="noConversion"/>
  </si>
  <si>
    <t>結構用混凝土，預拌，210kgf/cm2</t>
  </si>
  <si>
    <t>1.3.20</t>
    <phoneticPr fontId="13" type="noConversion"/>
  </si>
  <si>
    <t>數量未達1000m2時，免送驗。數量達1000~5000m2檢驗1次。數量超過5000m2時，每5000m2加驗1次。</t>
    <phoneticPr fontId="13" type="noConversion"/>
  </si>
  <si>
    <t>鍍鋅鋼料</t>
    <phoneticPr fontId="13" type="noConversion"/>
  </si>
  <si>
    <t>每批1次</t>
    <phoneticPr fontId="13" type="noConversion"/>
  </si>
  <si>
    <t>數量未達40支時，免送驗。數量達40~200支檢驗1支。數量超過200支時，每200支加驗1支。</t>
    <phoneticPr fontId="13" type="noConversion"/>
  </si>
  <si>
    <t>數量未達20支者時免檢驗。數量達20～100支抽樣檢驗1支。數量超過100支時，每100支加驗1支。</t>
    <phoneticPr fontId="13" type="noConversion"/>
  </si>
  <si>
    <t>蜂巢格網</t>
  </si>
  <si>
    <t>每1000M2檢驗1次，未滿1000M2以1000M2計</t>
    <phoneticPr fontId="13" type="noConversion"/>
  </si>
  <si>
    <t>1.6.3</t>
    <phoneticPr fontId="13" type="noConversion"/>
  </si>
  <si>
    <t>全套管式鑽掘混凝土基樁，D=1200mm</t>
    <phoneticPr fontId="13" type="noConversion"/>
  </si>
  <si>
    <t>每1000m2檢驗一次，未滿1000m2以1000m2計。</t>
    <phoneticPr fontId="13" type="noConversion"/>
  </si>
  <si>
    <t>契約編號：H-111-03-112080</t>
  </si>
  <si>
    <t>施工廠商：上溢營造份有限公司</t>
    <phoneticPr fontId="16" type="noConversion"/>
  </si>
  <si>
    <t>人員報核(開工前資料)</t>
    <phoneticPr fontId="16" type="noConversion"/>
  </si>
  <si>
    <t>格柵蓋板
(含化妝蓋板)</t>
    <phoneticPr fontId="13" type="noConversion"/>
  </si>
  <si>
    <t>587.00
塊</t>
    <phoneticPr fontId="13" type="noConversion"/>
  </si>
  <si>
    <t>928.30
M</t>
    <phoneticPr fontId="13" type="noConversion"/>
  </si>
  <si>
    <t>5,207.01
M2</t>
    <phoneticPr fontId="13" type="noConversion"/>
  </si>
  <si>
    <t>693.80
M2</t>
    <phoneticPr fontId="13" type="noConversion"/>
  </si>
  <si>
    <t>1,177.00
M2</t>
    <phoneticPr fontId="13" type="noConversion"/>
  </si>
  <si>
    <t>2.00
座</t>
    <phoneticPr fontId="13" type="noConversion"/>
  </si>
  <si>
    <t>112年9月6日
112任泰顧字
第0906010003號
(友德)</t>
    <phoneticPr fontId="13" type="noConversion"/>
  </si>
  <si>
    <t>112年9月7日
北市工水工字
第1126050536號
同意備查
(友德)</t>
    <phoneticPr fontId="13" type="noConversion"/>
  </si>
  <si>
    <t>112年8月24日
北市工水工字
第1126047747號
同意備查
(大象)
112年9月6日
北市工水工字
第1126049551號
同意備查
(龍形)
112年9月7日
北市工水工字
第1126050509號
同意備查
(正誠)</t>
    <phoneticPr fontId="13" type="noConversion"/>
  </si>
  <si>
    <t>112年8月22日
112任泰顧字
第0822010001號
(大象)
112年8月31日
112任泰顧字
第0831010001號
(龍形)
112年9月6日
112任泰顧字
第0906010002號
(正誠)</t>
    <phoneticPr fontId="13" type="noConversion"/>
  </si>
  <si>
    <t>剩餘土石方
資源處理計畫
(B5、B6)</t>
    <phoneticPr fontId="16" type="noConversion"/>
  </si>
  <si>
    <t>安全視訊監控系統(CCTV)分項施工計畫</t>
    <phoneticPr fontId="13" type="noConversion"/>
  </si>
  <si>
    <t>拆除工程分項計畫</t>
    <phoneticPr fontId="13" type="noConversion"/>
  </si>
  <si>
    <t>生態檢核計畫</t>
    <phoneticPr fontId="13" type="noConversion"/>
  </si>
  <si>
    <t>河防建造物開挖暨復建計畫</t>
    <phoneticPr fontId="13" type="noConversion"/>
  </si>
  <si>
    <t>112年10月5日
112任泰顧字第
1005010001號
(達踴)</t>
    <phoneticPr fontId="13" type="noConversion"/>
  </si>
  <si>
    <t>剩餘土石方
資源處理計畫
(B4、B5)</t>
    <phoneticPr fontId="16" type="noConversion"/>
  </si>
  <si>
    <t>共月橋基樁
鋼筋施工圖</t>
    <phoneticPr fontId="31" type="noConversion"/>
  </si>
  <si>
    <t>112年12月07日</t>
    <phoneticPr fontId="31" type="noConversion"/>
  </si>
  <si>
    <t>鋼便橋分項施工計畫</t>
    <phoneticPr fontId="13" type="noConversion"/>
  </si>
  <si>
    <t>合格</t>
    <phoneticPr fontId="13" type="noConversion"/>
  </si>
  <si>
    <t>112年11月24日</t>
    <phoneticPr fontId="13" type="noConversion"/>
  </si>
  <si>
    <t>-</t>
    <phoneticPr fontId="13" type="noConversion"/>
  </si>
  <si>
    <t>985.97M2</t>
    <phoneticPr fontId="13" type="noConversion"/>
  </si>
  <si>
    <t>405.31
M</t>
    <phoneticPr fontId="13" type="noConversion"/>
  </si>
  <si>
    <t>129
M</t>
    <phoneticPr fontId="13" type="noConversion"/>
  </si>
  <si>
    <t>0
M</t>
    <phoneticPr fontId="13" type="noConversion"/>
  </si>
  <si>
    <t>1984
M2</t>
    <phoneticPr fontId="13" type="noConversion"/>
  </si>
  <si>
    <t>5207.01
M2</t>
    <phoneticPr fontId="13" type="noConversion"/>
  </si>
  <si>
    <t>800
個</t>
    <phoneticPr fontId="13" type="noConversion"/>
  </si>
  <si>
    <t>112年11月10日
112任泰顧字
第1110010001號
(環台)</t>
    <phoneticPr fontId="13" type="noConversion"/>
  </si>
  <si>
    <t>112年11月13日
北市工水工字
第1126062351號
同意備查
(環台)</t>
    <phoneticPr fontId="13" type="noConversion"/>
  </si>
  <si>
    <t>113年2月6日
北市工水工字
第1136012470號
同意備查
(意動創新)</t>
    <phoneticPr fontId="13" type="noConversion"/>
  </si>
  <si>
    <t>112年10月11日
北市工水工字
第1126055994號
同意備查
(達踴)</t>
    <phoneticPr fontId="13" type="noConversion"/>
  </si>
  <si>
    <t>1.5.3</t>
    <phoneticPr fontId="13" type="noConversion"/>
  </si>
  <si>
    <t>1187
M3</t>
    <phoneticPr fontId="13" type="noConversion"/>
  </si>
  <si>
    <t>113年1月22日
113任泰顧字
第0122010001號
(英松)</t>
    <phoneticPr fontId="13" type="noConversion"/>
  </si>
  <si>
    <t>113年2月1日
113任泰顧字
第0201010002號
(意動創新)</t>
    <phoneticPr fontId="13" type="noConversion"/>
  </si>
  <si>
    <t>113年1月30日
北市工水工字
第1136010751號
同意備查
(英松)</t>
    <phoneticPr fontId="13" type="noConversion"/>
  </si>
  <si>
    <t>-</t>
    <phoneticPr fontId="13" type="noConversion"/>
  </si>
  <si>
    <t xml:space="preserve">13
個
</t>
    <phoneticPr fontId="13" type="noConversion"/>
  </si>
  <si>
    <t>2,300.86
KG</t>
    <phoneticPr fontId="13" type="noConversion"/>
  </si>
  <si>
    <t>預鑄路緣石</t>
    <phoneticPr fontId="13" type="noConversion"/>
  </si>
  <si>
    <t>1.2.11</t>
    <phoneticPr fontId="16" type="noConversion"/>
  </si>
  <si>
    <t>1.2.12</t>
    <phoneticPr fontId="16" type="noConversion"/>
  </si>
  <si>
    <t>113年2月1日
113任泰顧字
第0201010001號
(龍形)
113年2月19日
113任泰顧字第0219010004號
(正誠)</t>
    <phoneticPr fontId="13" type="noConversion"/>
  </si>
  <si>
    <t>113年2月27日
北市工水工字
第1136015397號
同意備查
(喜利得)</t>
    <phoneticPr fontId="13" type="noConversion"/>
  </si>
  <si>
    <t>113年2月20日
北市工水工字
第1136014398號
同意備查
(守祥)</t>
    <phoneticPr fontId="13" type="noConversion"/>
  </si>
  <si>
    <t>113年2月19日
113任泰顧字
第0219010002號
(守祥)</t>
    <phoneticPr fontId="13" type="noConversion"/>
  </si>
  <si>
    <t>113年2月19日
113任泰顧字
第0219010003號
(大中鋼鐵)</t>
    <phoneticPr fontId="13" type="noConversion"/>
  </si>
  <si>
    <t>113年2月20日
北市工水工字
第1136014453號
同意備查
(壹際實業)</t>
    <phoneticPr fontId="13" type="noConversion"/>
  </si>
  <si>
    <t>113年2月19日
113任泰顧字
第0219010005號
(壹際實業)</t>
    <phoneticPr fontId="13" type="noConversion"/>
  </si>
  <si>
    <t>113年2月20日
北市工水工字
第1136014400號
同意備查
(勇順號誌)</t>
    <phoneticPr fontId="13" type="noConversion"/>
  </si>
  <si>
    <t>113年2月19日
113任泰顧字
第0219010001號
(勇順號誌)</t>
    <phoneticPr fontId="13" type="noConversion"/>
  </si>
  <si>
    <t>113年2月23日
113任泰顧字
第0222010002號
(喜利得)</t>
    <phoneticPr fontId="13" type="noConversion"/>
  </si>
  <si>
    <t>113年2月19日
113任泰顧字
第0219010006號
(豐裕)</t>
    <phoneticPr fontId="13" type="noConversion"/>
  </si>
  <si>
    <t>113年2月20日
北市工水工字
第1136014454號
同意備查
(豐裕)</t>
    <phoneticPr fontId="13" type="noConversion"/>
  </si>
  <si>
    <t>113年2月20日
北市工水工字
第1136014401號
同意備查
(大中鋼鐵)</t>
    <phoneticPr fontId="13" type="noConversion"/>
  </si>
  <si>
    <t>1.每批次數量未達20 m3時，免檢驗。
2.每批次數量達20～100 m3檢驗1組。
3.每批次數量超過100 m3時，每100 m3加驗1組，餘數未達100m³亦加驗1組。</t>
    <phoneticPr fontId="13"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</si>
  <si>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</si>
  <si>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</si>
  <si>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</si>
  <si>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</si>
  <si>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</si>
  <si>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</si>
  <si>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</si>
  <si>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</si>
  <si>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</si>
  <si>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</si>
  <si>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</si>
  <si>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</si>
  <si>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</si>
  <si>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</si>
  <si>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</si>
  <si>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</si>
  <si>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</si>
  <si>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</si>
  <si>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</si>
  <si>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</si>
  <si>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</si>
  <si>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</si>
  <si>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</si>
  <si>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</si>
  <si>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</si>
  <si>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</si>
  <si>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</si>
  <si>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</si>
  <si>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</si>
  <si>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</si>
  <si>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</si>
  <si>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</si>
  <si>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</si>
  <si>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</si>
  <si>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</si>
  <si>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</si>
  <si>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</si>
  <si>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</si>
  <si>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</si>
  <si>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</si>
  <si>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</si>
  <si>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</si>
  <si>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</si>
  <si>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</si>
  <si>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</si>
  <si>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</si>
  <si>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</si>
  <si>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</si>
  <si>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</si>
  <si>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</si>
  <si>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</si>
  <si>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</si>
  <si>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</si>
  <si>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3" type="noConversion"/>
  </si>
  <si>
    <t>累計數量</t>
    <phoneticPr fontId="13" type="noConversion"/>
  </si>
  <si>
    <t xml:space="preserve"> M3</t>
    <phoneticPr fontId="13" type="noConversion"/>
  </si>
  <si>
    <t>組數</t>
    <phoneticPr fontId="13" type="noConversion"/>
  </si>
  <si>
    <t>累計組數</t>
    <phoneticPr fontId="13" type="noConversion"/>
  </si>
  <si>
    <t>組</t>
    <phoneticPr fontId="13" type="noConversion"/>
  </si>
  <si>
    <t>水利處</t>
    <phoneticPr fontId="13" type="noConversion"/>
  </si>
  <si>
    <t>監造</t>
    <phoneticPr fontId="13" type="noConversion"/>
  </si>
  <si>
    <t>廠商</t>
    <phoneticPr fontId="13" type="noConversion"/>
  </si>
  <si>
    <t>郭冠廷</t>
  </si>
  <si>
    <t>白博文、郭冠廷</t>
  </si>
  <si>
    <t>白博文</t>
  </si>
  <si>
    <t>本次澆置數量
未達20M3
免取樣</t>
    <phoneticPr fontId="13" type="noConversion"/>
  </si>
  <si>
    <t>112年11月10日
112任泰顧字
第1110010001號</t>
    <phoneticPr fontId="13" type="noConversion"/>
  </si>
  <si>
    <t>1.4.3</t>
    <phoneticPr fontId="13" type="noConversion"/>
  </si>
  <si>
    <t>結構用混凝土，預拌，280kgf/cm2</t>
    <phoneticPr fontId="13" type="noConversion"/>
  </si>
  <si>
    <t>結構用混凝土，(預拌，水中)，280kgf/cm2</t>
    <phoneticPr fontId="13" type="noConversion"/>
  </si>
  <si>
    <t>結構用混凝土，(預拌，二型)，280kgf/cm2</t>
    <phoneticPr fontId="13" type="noConversion"/>
  </si>
  <si>
    <t>3-1</t>
    <phoneticPr fontId="13" type="noConversion"/>
  </si>
  <si>
    <t>鋼筋</t>
    <phoneticPr fontId="13" type="noConversion"/>
  </si>
  <si>
    <t>3-2</t>
    <phoneticPr fontId="13" type="noConversion"/>
  </si>
  <si>
    <t>3-3</t>
    <phoneticPr fontId="13" type="noConversion"/>
  </si>
  <si>
    <t>49,000
KG</t>
    <phoneticPr fontId="13" type="noConversion"/>
  </si>
  <si>
    <t>73,000
KG</t>
    <phoneticPr fontId="13" type="noConversion"/>
  </si>
  <si>
    <t>146,000
KG</t>
    <phoneticPr fontId="13" type="noConversion"/>
  </si>
  <si>
    <t>122,000
KG</t>
    <phoneticPr fontId="13" type="noConversion"/>
  </si>
  <si>
    <t>122,000
KG
(8組)</t>
    <phoneticPr fontId="13" type="noConversion"/>
  </si>
  <si>
    <t>73,000
KG
(4組)</t>
    <phoneticPr fontId="13" type="noConversion"/>
  </si>
  <si>
    <t>146,000
KG
(10組)</t>
    <phoneticPr fontId="13" type="noConversion"/>
  </si>
  <si>
    <t>49,000
KG
(4組)</t>
    <phoneticPr fontId="13" type="noConversion"/>
  </si>
  <si>
    <t>268,000
KG</t>
    <phoneticPr fontId="13" type="noConversion"/>
  </si>
  <si>
    <t>以同一爐號及相同標稱直徑之鋼筋為1組，每組取1支試樣，但同一爐號質量超過50t至100t以下者，每組取2支，同一爐號質量超過100t者，每增加50t(不足50t，以50t計)，每組另加取1支。</t>
    <phoneticPr fontId="13" type="noConversion"/>
  </si>
  <si>
    <t>1.6.1、1.6.2</t>
    <phoneticPr fontId="13" type="noConversion"/>
  </si>
  <si>
    <t>壓實試體厚度試驗
每1000m3鑽取1件樣品</t>
    <phoneticPr fontId="13" type="noConversion"/>
  </si>
  <si>
    <t>全區
平整度試驗</t>
    <phoneticPr fontId="13" type="noConversion"/>
  </si>
  <si>
    <t>1.2.10、1.3.15</t>
  </si>
  <si>
    <t>標線，熱處理聚酯，反光，厚2mm，黏層劑(底漆)，第Ⅱ型</t>
    <phoneticPr fontId="13" type="noConversion"/>
  </si>
  <si>
    <t>銲接鋼線網</t>
  </si>
  <si>
    <t>未滿500m2者免驗。500m2以上每1000m2抽驗1組，不滿1000m2以1000m2計。</t>
    <phoneticPr fontId="13" type="noConversion"/>
  </si>
  <si>
    <t>碎石級配</t>
  </si>
  <si>
    <t>數量未達120m3者免送驗，其數量達120~600m3檢驗一組，超過600m3以上時，每增加600m3加驗一組。</t>
  </si>
  <si>
    <t>原木</t>
  </si>
  <si>
    <t>每批各1次</t>
  </si>
  <si>
    <t>數量未達1000m2時，免檢驗。數量達100~500m2檢驗1次。數量超過500m2時，每500m2加驗1次。</t>
  </si>
  <si>
    <t>不銹鋼料，SUS304，含加工安裝等</t>
    <phoneticPr fontId="13" type="noConversion"/>
  </si>
  <si>
    <t>12</t>
    <phoneticPr fontId="13" type="noConversion"/>
  </si>
  <si>
    <t>16</t>
    <phoneticPr fontId="13" type="noConversion"/>
  </si>
  <si>
    <t>鍍鋅格柵蓋板</t>
    <phoneticPr fontId="13" type="noConversion"/>
  </si>
  <si>
    <t>100塊取1組</t>
    <phoneticPr fontId="13" type="noConversion"/>
  </si>
  <si>
    <t>1.2.84、1.2.85、1.2.86、1.2.87</t>
  </si>
  <si>
    <t>至少一次</t>
  </si>
  <si>
    <t>17</t>
    <phoneticPr fontId="13" type="noConversion"/>
  </si>
  <si>
    <t>1.4.14</t>
  </si>
  <si>
    <t>每座樁基礎取一根
基樁施作完整性試驗</t>
    <phoneticPr fontId="13" type="noConversion"/>
  </si>
  <si>
    <t xml:space="preserve">
預力混凝土基樁，D=600mm</t>
  </si>
  <si>
    <t>1.數量未達20支樁時免檢驗。
2.數量達20～100支樁檢驗1組。（1組抽查2支樁）
3.數量超過100支樁時，每100支加驗1組。</t>
    <phoneticPr fontId="13" type="noConversion"/>
  </si>
  <si>
    <t>112年12月25日</t>
    <phoneticPr fontId="13" type="noConversion"/>
  </si>
  <si>
    <t>410 M
(2組)</t>
    <phoneticPr fontId="13" type="noConversion"/>
  </si>
  <si>
    <t>410 M</t>
    <phoneticPr fontId="13" type="noConversion"/>
  </si>
  <si>
    <t>水利處：李晏然                 任  泰：游文圃                 上  溢：郭冠廷</t>
  </si>
  <si>
    <t>水利處：李晏然                 任  泰：白博文                 上  溢：郭冠廷</t>
  </si>
  <si>
    <t>任  泰：游怡任                 上  溢：高翰成</t>
    <phoneticPr fontId="13" type="noConversion"/>
  </si>
  <si>
    <t>112年12月18日
112任泰顧字
第1218010001號</t>
    <phoneticPr fontId="13" type="noConversion"/>
  </si>
  <si>
    <t>113年3月4日
113任泰顧字
第0304010010號</t>
    <phoneticPr fontId="13" type="noConversion"/>
  </si>
  <si>
    <t>113年3月6日
113任泰顧字
第0306010010號</t>
    <phoneticPr fontId="13" type="noConversion"/>
  </si>
  <si>
    <t>113年3月7日
113任泰顧字
第0307010010號</t>
    <phoneticPr fontId="13" type="noConversion"/>
  </si>
  <si>
    <t>土壤重金屬</t>
    <phoneticPr fontId="13" type="noConversion"/>
  </si>
  <si>
    <t>112年8月8日</t>
    <phoneticPr fontId="13" type="noConversion"/>
  </si>
  <si>
    <t>112年8月4日
112任泰顧字
第0804023001號</t>
    <phoneticPr fontId="13" type="noConversion"/>
  </si>
  <si>
    <t>113年3月7日
113任泰顧字
第0308010010號</t>
    <phoneticPr fontId="13" type="noConversion"/>
  </si>
  <si>
    <t>113年3月7日
113任泰顧字
第0311010010號</t>
    <phoneticPr fontId="13" type="noConversion"/>
  </si>
  <si>
    <t>113年2月6日
北市工水工字
第1136012469號
同意備查
(龍形)
113年2月21日
北市工水工字
第1136014452號
同意備查
(正誠)</t>
    <phoneticPr fontId="13" type="noConversion"/>
  </si>
  <si>
    <t>113年3月12日
113任泰顧字
第1130312021號</t>
    <phoneticPr fontId="13" type="noConversion"/>
  </si>
  <si>
    <t>113年3月20日
113任泰顧字
第0320010010號</t>
    <phoneticPr fontId="13" type="noConversion"/>
  </si>
  <si>
    <t>113年3月20日
113任泰顧字
第0320010011號</t>
    <phoneticPr fontId="13" type="noConversion"/>
  </si>
  <si>
    <t>113年3月20日
113任泰顧字
第0320010012號</t>
    <phoneticPr fontId="13" type="noConversion"/>
  </si>
  <si>
    <t>113年3月19日
113任泰顧字
第0319010004號
(潤泰)</t>
    <phoneticPr fontId="13" type="noConversion"/>
  </si>
  <si>
    <t>113年3月22日
北市工水工字
第1136019805號
同意備查
(潤泰)</t>
    <phoneticPr fontId="13" type="noConversion"/>
  </si>
  <si>
    <t>護岸及護坡工程
分項施工暨品質計畫</t>
    <phoneticPr fontId="13" type="noConversion"/>
  </si>
  <si>
    <t>113年4月11日
113任泰顧字
第0411010011號</t>
    <phoneticPr fontId="13" type="noConversion"/>
  </si>
  <si>
    <t>113年4月11日
113任泰顧字
第0411010012號</t>
    <phoneticPr fontId="13" type="noConversion"/>
  </si>
  <si>
    <t>113年4月11日
113任泰顧字
第0411010014號</t>
    <phoneticPr fontId="13" type="noConversion"/>
  </si>
  <si>
    <t>河防建造物開挖暨復建計畫(修正一版)</t>
    <phoneticPr fontId="13"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</si>
  <si>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</si>
  <si>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</si>
  <si>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</si>
  <si>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</si>
  <si>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</si>
  <si>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</si>
  <si>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</si>
  <si>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</si>
  <si>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</si>
  <si>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</si>
  <si>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</si>
  <si>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</si>
  <si>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3" type="noConversion"/>
  </si>
  <si>
    <t>51,000
KG</t>
    <phoneticPr fontId="13" type="noConversion"/>
  </si>
  <si>
    <t>51,000
KG
(3組)</t>
    <phoneticPr fontId="13" type="noConversion"/>
  </si>
  <si>
    <t>319,000
KG</t>
    <phoneticPr fontId="13" type="noConversion"/>
  </si>
  <si>
    <t>水利處：鄧連才                 任  泰：游文圃                 上  溢：常志強
上  溢：康祐銓</t>
    <phoneticPr fontId="13" type="noConversion"/>
  </si>
  <si>
    <t>435M</t>
    <phoneticPr fontId="13" type="noConversion"/>
  </si>
  <si>
    <t>435M
(1組)</t>
    <phoneticPr fontId="13" type="noConversion"/>
  </si>
  <si>
    <t>一次</t>
    <phoneticPr fontId="13" type="noConversion"/>
  </si>
  <si>
    <t>1920M2</t>
    <phoneticPr fontId="13" type="noConversion"/>
  </si>
  <si>
    <t>1920M2
(2組)</t>
    <phoneticPr fontId="13" type="noConversion"/>
  </si>
  <si>
    <t>113年5月10日
北市工水工字
第1136029496號
同意備查
(振華興)</t>
    <phoneticPr fontId="13" type="noConversion"/>
  </si>
  <si>
    <t>113年5月10日
北市工水工字
第1136029497號
同意備查
(築綠生態)</t>
    <phoneticPr fontId="13" type="noConversion"/>
  </si>
  <si>
    <t>113年5月10日
113任泰顧字
第0510010015號</t>
    <phoneticPr fontId="13" type="noConversion"/>
  </si>
  <si>
    <t>113年5月10日
113任泰顧字
第0510010016號</t>
    <phoneticPr fontId="13" type="noConversion"/>
  </si>
  <si>
    <t>113年5月10日
113任泰顧字
第0510010018號</t>
    <phoneticPr fontId="13" type="noConversion"/>
  </si>
  <si>
    <t>地梁(0K+306~0K+500)PC</t>
    <phoneticPr fontId="13" type="noConversion"/>
  </si>
  <si>
    <t>一</t>
    <phoneticPr fontId="13" type="noConversion"/>
  </si>
  <si>
    <t>113年4月11日
113任泰顧字
第0411010013號</t>
    <phoneticPr fontId="13" type="noConversion"/>
  </si>
  <si>
    <t>113年5月10日
113任泰顧字
第0510010017號</t>
    <phoneticPr fontId="13" type="noConversion"/>
  </si>
  <si>
    <t>三合橋鋼構施工圖</t>
    <phoneticPr fontId="31" type="noConversion"/>
  </si>
  <si>
    <t>113年5月9日</t>
    <phoneticPr fontId="31" type="noConversion"/>
  </si>
  <si>
    <t>3-5</t>
  </si>
  <si>
    <t>3-6</t>
  </si>
  <si>
    <t>113年5月9日
113任泰顧字
第0509010002號
(築綠生態)</t>
    <phoneticPr fontId="13" type="noConversion"/>
  </si>
  <si>
    <t>113年5月16日
北市工水工字
第1136029498號
同意備查
(築綠生態)</t>
    <phoneticPr fontId="13" type="noConversion"/>
  </si>
  <si>
    <t>113年5月15日
113任泰顧字
第0515010001號
(華夏)
113年5月15日
113任泰顧字
第0515010002號
(宏昇)</t>
    <phoneticPr fontId="13" type="noConversion"/>
  </si>
  <si>
    <t>113年5月17日
北市工水工字
第1136030840號
同意備查
(華夏)
113年5月17日
北市工水工字
第1136030843號
同意備查
(宏昇)</t>
    <phoneticPr fontId="13" type="noConversion"/>
  </si>
  <si>
    <t>113年5月17日
113任泰顧字
第0517010016號</t>
    <phoneticPr fontId="13" type="noConversion"/>
  </si>
  <si>
    <t>共月橋橋台PC</t>
    <phoneticPr fontId="13" type="noConversion"/>
  </si>
  <si>
    <t>桂田五股</t>
    <phoneticPr fontId="13" type="noConversion"/>
  </si>
  <si>
    <t>113年5月17日
113任泰顧字
第0517010015號</t>
    <phoneticPr fontId="13" type="noConversion"/>
  </si>
  <si>
    <t>地樑(0K+280~0K+292、0K+540~0K+610)</t>
  </si>
  <si>
    <t>三合橋全套管基樁A2-2</t>
  </si>
  <si>
    <t>三合橋全套管基樁A2-3</t>
  </si>
  <si>
    <t>水利處：李晏然                 任  泰：白博文                 上  溢：郭冠廷</t>
    <phoneticPr fontId="13" type="noConversion"/>
  </si>
  <si>
    <t>府查核取樣
(1組)</t>
    <phoneticPr fontId="13" type="noConversion"/>
  </si>
  <si>
    <t>178,000
KG</t>
    <phoneticPr fontId="13" type="noConversion"/>
  </si>
  <si>
    <t>178,000
KG
(11組)</t>
    <phoneticPr fontId="13" type="noConversion"/>
  </si>
  <si>
    <t>497,000
KG</t>
    <phoneticPr fontId="13" type="noConversion"/>
  </si>
  <si>
    <t>橋梁工程計畫</t>
    <phoneticPr fontId="13" type="noConversion"/>
  </si>
  <si>
    <t>113年5月15日
溢磺字
第1121113022號</t>
    <phoneticPr fontId="13" type="noConversion"/>
  </si>
  <si>
    <t>112年8月24日
溢磺字
第1120824021號</t>
    <phoneticPr fontId="13" type="noConversion"/>
  </si>
  <si>
    <t>112年8月22日
溢磺字
第1120822022號</t>
    <phoneticPr fontId="13" type="noConversion"/>
  </si>
  <si>
    <t>112年9月21日
溢磺字
第1120921022號</t>
    <phoneticPr fontId="13" type="noConversion"/>
  </si>
  <si>
    <t>112年10月4日
溢磺字
第1121004022號</t>
    <phoneticPr fontId="13" type="noConversion"/>
  </si>
  <si>
    <t>112年10月18日
溢磺字
第1121018021號</t>
    <phoneticPr fontId="13" type="noConversion"/>
  </si>
  <si>
    <t>112年8月7日
溢磺字
第1120807002號</t>
    <phoneticPr fontId="13" type="noConversion"/>
  </si>
  <si>
    <t>112年10月31日
溢磺字
第1121031021號</t>
    <phoneticPr fontId="13" type="noConversion"/>
  </si>
  <si>
    <t>112年11月13日
溢磺字
第1121113022號</t>
    <phoneticPr fontId="13" type="noConversion"/>
  </si>
  <si>
    <t>112年9月1日
112任泰顧字
第0901010004號</t>
    <phoneticPr fontId="13" type="noConversion"/>
  </si>
  <si>
    <t>112年9月1日
112任泰顧字
第0901010003號</t>
    <phoneticPr fontId="13" type="noConversion"/>
  </si>
  <si>
    <t>112年9月22日
112任泰顧字
第0922010001號</t>
    <phoneticPr fontId="13" type="noConversion"/>
  </si>
  <si>
    <t>112年10月6日
112任泰顧字
第1006010003號</t>
    <phoneticPr fontId="13" type="noConversion"/>
  </si>
  <si>
    <t>112年10月24日
112任泰顧字
第1024010001號</t>
    <phoneticPr fontId="13" type="noConversion"/>
  </si>
  <si>
    <t>112年8月21日
112任泰顧字
第0821010002號</t>
    <phoneticPr fontId="13" type="noConversion"/>
  </si>
  <si>
    <t>112年11月2日
112任泰顧字
第1102010001號</t>
    <phoneticPr fontId="13" type="noConversion"/>
  </si>
  <si>
    <t>112年12月14日
112任泰顧字
第1214010001號</t>
    <phoneticPr fontId="13" type="noConversion"/>
  </si>
  <si>
    <t>113年1月12日
112任泰顧字
第0112010001號</t>
    <phoneticPr fontId="13" type="noConversion"/>
  </si>
  <si>
    <t>113年4月8日
113任泰顧字
第048010001號</t>
    <phoneticPr fontId="13" type="noConversion"/>
  </si>
  <si>
    <t>113年3月28日
113任泰顧字
第0328010001號</t>
    <phoneticPr fontId="13" type="noConversion"/>
  </si>
  <si>
    <t>113年4月25日
北市工水工字
第1136026497號</t>
    <phoneticPr fontId="13" type="noConversion"/>
  </si>
  <si>
    <t>113年4月11日
北市工水工字
第1136023177號</t>
    <phoneticPr fontId="13" type="noConversion"/>
  </si>
  <si>
    <t>113年1月15日
北市工水工字
第1136009266號</t>
    <phoneticPr fontId="13" type="noConversion"/>
  </si>
  <si>
    <t>113年1月19日
北市工水工字
第1136010164號</t>
    <phoneticPr fontId="13" type="noConversion"/>
  </si>
  <si>
    <t>112年11月8日
北市工水工字
第1126060812號</t>
    <phoneticPr fontId="13" type="noConversion"/>
  </si>
  <si>
    <t>112年10月23日
北市工水工字
第1126058439號</t>
    <phoneticPr fontId="13" type="noConversion"/>
  </si>
  <si>
    <t>112年10月26日
北市工水工字
第1126058896號</t>
    <phoneticPr fontId="13" type="noConversion"/>
  </si>
  <si>
    <t>112年10月13日
北市工水工字
第1126056302號</t>
    <phoneticPr fontId="13" type="noConversion"/>
  </si>
  <si>
    <t>112年9月7日
北市工水工字
第1126049835號</t>
    <phoneticPr fontId="13" type="noConversion"/>
  </si>
  <si>
    <t>112年9月7日
北市工水工字
第1126049830號</t>
    <phoneticPr fontId="13" type="noConversion"/>
  </si>
  <si>
    <t>112年10月5日
北市工水工字
第1126055392號</t>
    <phoneticPr fontId="13" type="noConversion"/>
  </si>
  <si>
    <t>113年1月11日
溢磺字
第1130111021號</t>
    <phoneticPr fontId="13" type="noConversion"/>
  </si>
  <si>
    <t>113年4月2日
溢磺字
第1130402021號</t>
    <phoneticPr fontId="13" type="noConversion"/>
  </si>
  <si>
    <t>113年3月27日
溢磺字
第1130327021號</t>
    <phoneticPr fontId="13" type="noConversion"/>
  </si>
  <si>
    <t>113年5月24日
北市工水工字
第1136031101號</t>
    <phoneticPr fontId="13" type="noConversion"/>
  </si>
  <si>
    <t>開工前</t>
    <phoneticPr fontId="16" type="noConversion"/>
  </si>
  <si>
    <t>雙孔箱涵鋼筋施工圖</t>
    <phoneticPr fontId="31" type="noConversion"/>
  </si>
  <si>
    <t>113年5月15日</t>
    <phoneticPr fontId="31" type="noConversion"/>
  </si>
  <si>
    <t xml:space="preserve">113年5月27日
北市工水工字
第1136032615號
同意備查
(漢佳)
</t>
    <phoneticPr fontId="13" type="noConversion"/>
  </si>
  <si>
    <t>112年8月4日
溢磺字
第1120804001號</t>
    <phoneticPr fontId="13" type="noConversion"/>
  </si>
  <si>
    <t>112年8月28日
溢磺字
第1120828001號</t>
    <phoneticPr fontId="13" type="noConversion"/>
  </si>
  <si>
    <t>112年8月17日
溢磺字
第1120817021號</t>
    <phoneticPr fontId="13" type="noConversion"/>
  </si>
  <si>
    <t>112年9月19日
溢磺字
第1120919021號</t>
    <phoneticPr fontId="13" type="noConversion"/>
  </si>
  <si>
    <t>112年9月21日
溢磺字
第1120921021號</t>
    <phoneticPr fontId="13" type="noConversion"/>
  </si>
  <si>
    <t>112年9月22日
112任泰顧字
第0922010002號</t>
    <phoneticPr fontId="13" type="noConversion"/>
  </si>
  <si>
    <t>112年9月20日
112任泰顧字
第0920010001號</t>
    <phoneticPr fontId="13" type="noConversion"/>
  </si>
  <si>
    <t>112年9月7日
112任泰顧字
第0907010001號</t>
    <phoneticPr fontId="13" type="noConversion"/>
  </si>
  <si>
    <t>112年9月8日
112任泰顧字
第0908010002號</t>
    <phoneticPr fontId="13" type="noConversion"/>
  </si>
  <si>
    <t>112年8月21日
112任泰顧字
第0821010003號</t>
    <phoneticPr fontId="13" type="noConversion"/>
  </si>
  <si>
    <t>112年8月16日
溢磺字
第1120816021號</t>
    <phoneticPr fontId="13" type="noConversion"/>
  </si>
  <si>
    <t>112年9月5日
溢磺字
第1120904022號</t>
    <phoneticPr fontId="13" type="noConversion"/>
  </si>
  <si>
    <t>112年8月29日
溢磺字
第1120829021號</t>
    <phoneticPr fontId="13" type="noConversion"/>
  </si>
  <si>
    <t>112年9月14日
北市工水工字
第1126050728號</t>
    <phoneticPr fontId="13" type="noConversion"/>
  </si>
  <si>
    <t>112年10月11日
北市工水工字
第1126056074號</t>
    <phoneticPr fontId="13" type="noConversion"/>
  </si>
  <si>
    <t>112年9月23日
北市工水工字
第1126053488號</t>
    <phoneticPr fontId="13" type="noConversion"/>
  </si>
  <si>
    <t>112年8月29日
北市工水工字
第1126047456號</t>
    <phoneticPr fontId="13" type="noConversion"/>
  </si>
  <si>
    <t>112年9月14日
北市工水工字
第1126050960號</t>
    <phoneticPr fontId="13" type="noConversion"/>
  </si>
  <si>
    <t>112年12月11日
溢磺字
第1121211021號</t>
    <phoneticPr fontId="13" type="noConversion"/>
  </si>
  <si>
    <t>112年8月16日
溢磺字
第1120816022號</t>
    <phoneticPr fontId="13" type="noConversion"/>
  </si>
  <si>
    <t>112年9月4日
溢磺字
第1120904021號</t>
    <phoneticPr fontId="13" type="noConversion"/>
  </si>
  <si>
    <t>113年5月24日
113任泰顧字
第0524010019號</t>
    <phoneticPr fontId="13" type="noConversion"/>
  </si>
  <si>
    <t>113年5月24日
113任泰顧字
第0524010018號</t>
    <phoneticPr fontId="13" type="noConversion"/>
  </si>
  <si>
    <t>113年5月17日
113任泰顧字
第0524010017號</t>
    <phoneticPr fontId="13" type="noConversion"/>
  </si>
  <si>
    <t>113年5月17日
113任泰顧字
第0524010016號</t>
    <phoneticPr fontId="13" type="noConversion"/>
  </si>
  <si>
    <t>職業安全衛生管理計畫
(修正1版)</t>
    <phoneticPr fontId="16" type="noConversion"/>
  </si>
  <si>
    <t>113年5月27日
溢磺字
第1130527023號</t>
    <phoneticPr fontId="13" type="noConversion"/>
  </si>
  <si>
    <t>113年5月27日
溢磺字
第1130527022號</t>
    <phoneticPr fontId="13" type="noConversion"/>
  </si>
  <si>
    <t>113年5月27日
溢磺字
第1130527021號</t>
    <phoneticPr fontId="13" type="noConversion"/>
  </si>
  <si>
    <t>113年5月27日
113任泰顧字
第1130527103號</t>
    <phoneticPr fontId="13" type="noConversion"/>
  </si>
  <si>
    <t>113年5月27日
113任泰顧字
第1130527102號</t>
    <phoneticPr fontId="13" type="noConversion"/>
  </si>
  <si>
    <t>113年5月27日
113任泰顧字
第1130527101號</t>
    <phoneticPr fontId="13" type="noConversion"/>
  </si>
  <si>
    <t>113年5月30日
北市工水工字
第1136033052號</t>
    <phoneticPr fontId="13" type="noConversion"/>
  </si>
  <si>
    <t>113年5月30日
北市工水工字
第1136033049號</t>
    <phoneticPr fontId="13" type="noConversion"/>
  </si>
  <si>
    <t>113年5月30日
北市工水工字
第1136033051號</t>
    <phoneticPr fontId="13" type="noConversion"/>
  </si>
  <si>
    <t>113年5月23日
113任泰顧字
第0523010002號</t>
    <phoneticPr fontId="13" type="noConversion"/>
  </si>
  <si>
    <t>水利處：李晏然                 任  泰：白博文                 上  溢：康祐銓</t>
    <phoneticPr fontId="13" type="noConversion"/>
  </si>
  <si>
    <t>整體施工計畫
(修正1版)</t>
    <phoneticPr fontId="16" type="noConversion"/>
  </si>
  <si>
    <t>整體品質計畫
(修正1版)</t>
    <phoneticPr fontId="16" type="noConversion"/>
  </si>
  <si>
    <t>113年4月11日</t>
    <phoneticPr fontId="31" type="noConversion"/>
  </si>
  <si>
    <t>三合橋污水人孔接續管道施工圖</t>
    <phoneticPr fontId="31" type="noConversion"/>
  </si>
  <si>
    <t>單孔箱涵鋼筋施工圖</t>
    <phoneticPr fontId="31" type="noConversion"/>
  </si>
  <si>
    <t>113年6月12日</t>
    <phoneticPr fontId="31" type="noConversion"/>
  </si>
  <si>
    <t>62M</t>
    <phoneticPr fontId="13" type="noConversion"/>
  </si>
  <si>
    <t>113年6月6日</t>
    <phoneticPr fontId="13" type="noConversion"/>
  </si>
  <si>
    <t>113年6月18日
北市工水工字
第1136035153號
同意備查
(振華興)</t>
    <phoneticPr fontId="13" type="noConversion"/>
  </si>
  <si>
    <t>113年5月20日</t>
    <phoneticPr fontId="13" type="noConversion"/>
  </si>
  <si>
    <t>22個</t>
    <phoneticPr fontId="13" type="noConversion"/>
  </si>
  <si>
    <t>22個
(2組)</t>
    <phoneticPr fontId="13" type="noConversion"/>
  </si>
  <si>
    <t>依固定型或活動型（不分單、雙向）分別檢驗，依設計數量在25個以下抽驗1個，75個以下抽驗2個，超出75個時每增加75個抽驗1個(增加未達75個時仍抽驗1個)。</t>
    <phoneticPr fontId="13" type="noConversion"/>
  </si>
  <si>
    <t>水利處：李晏然                 任  泰：游文圃                 上  溢：康祐銓</t>
    <phoneticPr fontId="13" type="noConversion"/>
  </si>
  <si>
    <t>113年5月23日
113任泰顧字
第0517010005號</t>
    <phoneticPr fontId="13" type="noConversion"/>
  </si>
  <si>
    <t>48M2</t>
    <phoneticPr fontId="13" type="noConversion"/>
  </si>
  <si>
    <t>113年6月20日
北市工水工字
第1136037066號
同意備查
(輔彬)
113年6月20日
北市工水工字
第1136037067號
同意備查
(永曦)</t>
    <phoneticPr fontId="13" type="noConversion"/>
  </si>
  <si>
    <t>113年6月19日
113任泰顧字
第1130619109號</t>
    <phoneticPr fontId="13" type="noConversion"/>
  </si>
  <si>
    <t>113年6月19日
113任泰顧字
第1130619108號</t>
    <phoneticPr fontId="13" type="noConversion"/>
  </si>
  <si>
    <t>113年6月19日
113任泰顧字
第1130619107號</t>
    <phoneticPr fontId="13" type="noConversion"/>
  </si>
  <si>
    <t>113年6月19日
113任泰顧字
第1130620109號</t>
    <phoneticPr fontId="13" type="noConversion"/>
  </si>
  <si>
    <t>113年7月2日
任泰顧字
第1130702108號</t>
    <phoneticPr fontId="13" type="noConversion"/>
  </si>
  <si>
    <t>113年7月2日
任泰顧字
第1130702109號</t>
    <phoneticPr fontId="13" type="noConversion"/>
  </si>
  <si>
    <t>113年7月3日
任泰顧字
第1130703108號</t>
    <phoneticPr fontId="13" type="noConversion"/>
  </si>
  <si>
    <t>水利處：李晏然                 任  泰：白博文                 上  溢：葉展志</t>
    <phoneticPr fontId="13" type="noConversion"/>
  </si>
  <si>
    <t>212549KG
(5組)</t>
    <phoneticPr fontId="13" type="noConversion"/>
  </si>
  <si>
    <t>15867KG</t>
    <phoneticPr fontId="13" type="noConversion"/>
  </si>
  <si>
    <t>15867KG
(4組)</t>
    <phoneticPr fontId="13" type="noConversion"/>
  </si>
  <si>
    <t>2000M2</t>
    <phoneticPr fontId="13" type="noConversion"/>
  </si>
  <si>
    <t>2000M2
(2組)</t>
    <phoneticPr fontId="13" type="noConversion"/>
  </si>
  <si>
    <t>4200M2</t>
    <phoneticPr fontId="13" type="noConversion"/>
  </si>
  <si>
    <t>4200M2
(1組)</t>
    <phoneticPr fontId="13" type="noConversion"/>
  </si>
  <si>
    <t>水利處：李晏然                 任  泰：白博文                 上  溢：業展志</t>
    <phoneticPr fontId="13" type="noConversion"/>
  </si>
  <si>
    <t>1.未達2000M2時，免送驗。
2.數量2000~5000M2，檢驗1次。
3.數量超過5000M2時加驗1次。</t>
    <phoneticPr fontId="13" type="noConversion"/>
  </si>
  <si>
    <t>113年7月8日
任泰顧字
第1130708109號</t>
    <phoneticPr fontId="13" type="noConversion"/>
  </si>
  <si>
    <t>113年7月8日
任泰顧字
第1130708108號</t>
    <phoneticPr fontId="13" type="noConversion"/>
  </si>
  <si>
    <t>113年7月9日
任泰顧字
第1130709109號</t>
    <phoneticPr fontId="13" type="noConversion"/>
  </si>
  <si>
    <t>113年7月9日
任泰顧字
第1130709108號</t>
    <phoneticPr fontId="13" type="noConversion"/>
  </si>
  <si>
    <t>113年7月5日
任泰顧字
第1130715105號</t>
    <phoneticPr fontId="13" type="noConversion"/>
  </si>
  <si>
    <t>3-7</t>
  </si>
  <si>
    <t>97,000
KG</t>
    <phoneticPr fontId="13" type="noConversion"/>
  </si>
  <si>
    <t>97,000
KG
(7組)</t>
    <phoneticPr fontId="13" type="noConversion"/>
  </si>
  <si>
    <t>594,000
KG</t>
    <phoneticPr fontId="13" type="noConversion"/>
  </si>
  <si>
    <t>113年7月16日
任泰顧字
第1130716105號</t>
    <phoneticPr fontId="13" type="noConversion"/>
  </si>
  <si>
    <t>三合橋A1橋台背牆、三合橋A2橋台基礎</t>
  </si>
  <si>
    <t>三合橋A1橋台</t>
  </si>
  <si>
    <t>A2新設擋土牆牆身、共月橋A2頰牆、P3、P4、P5帽粱</t>
  </si>
  <si>
    <t>113年7月30日
任泰顧字
第1130730105號</t>
    <phoneticPr fontId="13" type="noConversion"/>
  </si>
  <si>
    <t>113年7月30日
任泰顧字
第1130730106號</t>
    <phoneticPr fontId="13" type="noConversion"/>
  </si>
  <si>
    <t>三合橋A2橋台背牆</t>
  </si>
  <si>
    <t>113年5月6日
臺北市政府
工程施工查核小組
查核紀錄辦理</t>
    <phoneticPr fontId="13" type="noConversion"/>
  </si>
  <si>
    <t>113年5月31日
溢磺字
第1130531021號</t>
    <phoneticPr fontId="31" type="noConversion"/>
  </si>
  <si>
    <t>113年5月15日
溢磺字
第1130515023號</t>
    <phoneticPr fontId="31" type="noConversion"/>
  </si>
  <si>
    <t>113年5月9日
溢磺字
第1130509021號</t>
    <phoneticPr fontId="31" type="noConversion"/>
  </si>
  <si>
    <t>113年4月11日
溢磺字
第1130411025號</t>
    <phoneticPr fontId="31" type="noConversion"/>
  </si>
  <si>
    <t>112年12月07日
溢磺字
第1121207022號</t>
    <phoneticPr fontId="31" type="noConversion"/>
  </si>
  <si>
    <r>
      <rPr>
        <b/>
        <sz val="28"/>
        <rFont val="標楷體"/>
        <family val="4"/>
        <charset val="136"/>
      </rPr>
      <t xml:space="preserve">                  施工圖</t>
    </r>
    <r>
      <rPr>
        <b/>
        <u/>
        <sz val="28"/>
        <rFont val="標楷體"/>
        <family val="4"/>
        <charset val="136"/>
      </rPr>
      <t>送審管制總表</t>
    </r>
    <phoneticPr fontId="16" type="noConversion"/>
  </si>
  <si>
    <t>113年6月26日
北市工水工字
第1136037916號
同意備查
(震偉)</t>
    <phoneticPr fontId="13" type="noConversion"/>
  </si>
  <si>
    <t>臺北市政府工務局水利工程處</t>
    <phoneticPr fontId="13"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</si>
  <si>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</si>
  <si>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</si>
  <si>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</si>
  <si>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</si>
  <si>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</si>
  <si>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</si>
  <si>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</si>
  <si>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</si>
  <si>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</si>
  <si>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</si>
  <si>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</si>
  <si>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3" type="noConversion"/>
  </si>
  <si>
    <t>EF-1130305
混凝土
自主檢查表</t>
    <phoneticPr fontId="13" type="noConversion"/>
  </si>
  <si>
    <t>113年8月15日
113任泰顧字
第1130815107號</t>
    <phoneticPr fontId="13" type="noConversion"/>
  </si>
  <si>
    <t>156,000
KG</t>
    <phoneticPr fontId="13" type="noConversion"/>
  </si>
  <si>
    <t>113年8月15日
任泰顧字
第1130815106號</t>
    <phoneticPr fontId="13" type="noConversion"/>
  </si>
  <si>
    <t>113年8月20日
任泰顧字
第1130820105號</t>
    <phoneticPr fontId="13" type="noConversion"/>
  </si>
  <si>
    <t>1.4.23</t>
    <phoneticPr fontId="13" type="noConversion"/>
  </si>
  <si>
    <t>113年8月30日
溢磺字
第1130830021號</t>
    <phoneticPr fontId="13" type="noConversion"/>
  </si>
  <si>
    <t>113年8月30日
113任泰顧字
第1130830621號</t>
    <phoneticPr fontId="13" type="noConversion"/>
  </si>
  <si>
    <t>應於接獲
變更設計修正契約總
價表或工期展延經核
准通知後[20]日內辦
妥。</t>
    <phoneticPr fontId="13" type="noConversion"/>
  </si>
  <si>
    <t>309M</t>
    <phoneticPr fontId="13" type="noConversion"/>
  </si>
  <si>
    <t>113年8月2日
任泰顧字
第1130802106號</t>
    <phoneticPr fontId="13" type="noConversion"/>
  </si>
  <si>
    <t>165組</t>
    <phoneticPr fontId="13" type="noConversion"/>
  </si>
  <si>
    <t>165組
(2組)</t>
    <phoneticPr fontId="13" type="noConversion"/>
  </si>
  <si>
    <t>水利處：李晏然                 任  泰：王淑慧                 上  溢：胡舜豪</t>
    <phoneticPr fontId="13" type="noConversion"/>
  </si>
  <si>
    <t>450孔</t>
    <phoneticPr fontId="13" type="noConversion"/>
  </si>
  <si>
    <t>113年6月27日
北市工水工字
第1136038309號
同意備查
(意動創新)</t>
    <phoneticPr fontId="13" type="noConversion"/>
  </si>
  <si>
    <t>113年5月9日
113任泰顧字
第0509010001號
(振華興)</t>
    <phoneticPr fontId="13" type="noConversion"/>
  </si>
  <si>
    <t>113年5月9日
113任泰顧字
第0509010003號
(築綠生態)</t>
    <phoneticPr fontId="13" type="noConversion"/>
  </si>
  <si>
    <t>水利處：余成偉                 任  泰：王淑慧                 上  溢：李建豪</t>
    <phoneticPr fontId="13" type="noConversion"/>
  </si>
  <si>
    <t>450孔
(5組)</t>
    <phoneticPr fontId="13" type="noConversion"/>
  </si>
  <si>
    <t>3-8</t>
    <phoneticPr fontId="13" type="noConversion"/>
  </si>
  <si>
    <t>156,000
KG
(10組)</t>
    <phoneticPr fontId="13" type="noConversion"/>
  </si>
  <si>
    <t>3-9</t>
    <phoneticPr fontId="13" type="noConversion"/>
  </si>
  <si>
    <t>207,400
KG
(9組)</t>
    <phoneticPr fontId="13" type="noConversion"/>
  </si>
  <si>
    <t>957,400
KG</t>
    <phoneticPr fontId="13" type="noConversion"/>
  </si>
  <si>
    <t>任  泰：王淑慧                 上  溢：胡舜豪</t>
    <phoneticPr fontId="13" type="noConversion"/>
  </si>
  <si>
    <t>113年10月9日
113任泰顧字
第1131009622號
(尚美)</t>
    <phoneticPr fontId="13" type="noConversion"/>
  </si>
  <si>
    <t>113年10月18日
北市工水工字
第1136006288號
同意備查
(尚美)</t>
    <phoneticPr fontId="13" type="noConversion"/>
  </si>
  <si>
    <t>113年10月19日
113任泰顧字
第1131019621號
(尚美)</t>
    <phoneticPr fontId="13" type="noConversion"/>
  </si>
  <si>
    <t>113年9月27日
113任泰顧字
第1130927621號</t>
    <phoneticPr fontId="13" type="noConversion"/>
  </si>
  <si>
    <t>113年10月23日
北市工水工字
第1136006431號
同意備查
(尚美)</t>
    <phoneticPr fontId="13" type="noConversion"/>
  </si>
  <si>
    <t>水利處：李晏然                 任  泰：王淑慧                 上  溢：葉展志</t>
    <phoneticPr fontId="13"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</si>
  <si>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</si>
  <si>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</si>
  <si>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</si>
  <si>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</si>
  <si>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</si>
  <si>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</si>
  <si>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</si>
  <si>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</si>
  <si>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</si>
  <si>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</si>
  <si>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</si>
  <si>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</si>
  <si>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</si>
  <si>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</si>
  <si>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</si>
  <si>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</si>
  <si>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</si>
  <si>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</si>
  <si>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</si>
  <si>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</si>
  <si>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</si>
  <si>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</si>
  <si>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</si>
  <si>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</si>
  <si>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</si>
  <si>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</si>
  <si>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</si>
  <si>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</si>
  <si>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</si>
  <si>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</si>
  <si>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</si>
  <si>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</si>
  <si>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3" type="noConversion"/>
  </si>
  <si>
    <t>113年9月27日
113任泰顧字
第1130927622號</t>
    <phoneticPr fontId="13" type="noConversion"/>
  </si>
  <si>
    <t>113年9月27日
113任泰顧字
第1130927623號</t>
    <phoneticPr fontId="13" type="noConversion"/>
  </si>
  <si>
    <t>113年9月27日
113任泰顧字
第1130927624號</t>
    <phoneticPr fontId="13" type="noConversion"/>
  </si>
  <si>
    <t>113年10月21日
113任泰顧字
第1131021621號</t>
    <phoneticPr fontId="13" type="noConversion"/>
  </si>
  <si>
    <t>113年10月21日
113任泰顧字
第1131021622號</t>
    <phoneticPr fontId="13" type="noConversion"/>
  </si>
  <si>
    <t>113年10月21日
113任泰顧字
第1131021623號</t>
    <phoneticPr fontId="13" type="noConversion"/>
  </si>
  <si>
    <t>113年10月21日
113任泰顧字
第1131021624號</t>
    <phoneticPr fontId="13" type="noConversion"/>
  </si>
  <si>
    <t>控制性低強度回填材料及澆置</t>
    <phoneticPr fontId="13" type="noConversion"/>
  </si>
  <si>
    <t>CLSM</t>
  </si>
  <si>
    <t>雙孔箱涵A1橋台側CLSM</t>
  </si>
  <si>
    <t>王淑慧、胡舜豪</t>
  </si>
  <si>
    <t>達踴有限公司</t>
  </si>
  <si>
    <t>三合橋A2台電管線CLSM</t>
  </si>
  <si>
    <t>三合橋A1橋台CLSM</t>
  </si>
  <si>
    <t>EF-1131016
混凝土
自主檢查表</t>
    <phoneticPr fontId="13" type="noConversion"/>
  </si>
  <si>
    <t>EF-1131017-1
混凝土
自主檢查表</t>
    <phoneticPr fontId="13" type="noConversion"/>
  </si>
  <si>
    <t>共月橋鋼構施工圖</t>
    <phoneticPr fontId="31" type="noConversion"/>
  </si>
  <si>
    <t>113年10月31日</t>
    <phoneticPr fontId="31" type="noConversion"/>
  </si>
  <si>
    <t>113年5月21日
113任泰顧字
第0521010001號</t>
    <phoneticPr fontId="31" type="noConversion"/>
  </si>
  <si>
    <t>113年5月9日
113任泰顧字
第0513010001號</t>
    <phoneticPr fontId="31" type="noConversion"/>
  </si>
  <si>
    <t>113年4月16日
113任泰顧字
第0416010001號</t>
    <phoneticPr fontId="31" type="noConversion"/>
  </si>
  <si>
    <t>112年12月7日
112任泰顧字
第1207010001號</t>
    <phoneticPr fontId="31" type="noConversion"/>
  </si>
  <si>
    <t>113年1月18日
北市工水工字
第1136010182號</t>
    <phoneticPr fontId="31" type="noConversion"/>
  </si>
  <si>
    <t>113年4月30日
北市工水工字
第1136027531號</t>
    <phoneticPr fontId="31" type="noConversion"/>
  </si>
  <si>
    <t>113年5月16日
北市工水工字
第1136030215號</t>
    <phoneticPr fontId="31" type="noConversion"/>
  </si>
  <si>
    <t>113年5月24日
北市工水工字
第1136031824號</t>
    <phoneticPr fontId="31" type="noConversion"/>
  </si>
  <si>
    <t>113年6月12日
北市工水工字
第1136035062號</t>
    <phoneticPr fontId="31" type="noConversion"/>
  </si>
  <si>
    <t>113年6月6日
113任泰顧字
第1130606101號</t>
    <phoneticPr fontId="31" type="noConversion"/>
  </si>
  <si>
    <t>113年10月9日
113任泰顧字
第1131009624號</t>
    <phoneticPr fontId="31" type="noConversion"/>
  </si>
  <si>
    <t>113年10月18日
北市工水工字
第1136006290號</t>
    <phoneticPr fontId="31" type="noConversion"/>
  </si>
  <si>
    <t>113年10月9日
溢磺字
第1131009023號</t>
    <phoneticPr fontId="31" type="noConversion"/>
  </si>
  <si>
    <t>預定試驗單位</t>
    <phoneticPr fontId="13" type="noConversion"/>
  </si>
  <si>
    <t>桂田技術顧問有限公司</t>
    <phoneticPr fontId="13" type="noConversion"/>
  </si>
  <si>
    <t>華光工程顧問股份有限公司</t>
    <phoneticPr fontId="13" type="noConversion"/>
  </si>
  <si>
    <t xml:space="preserve">
三杰科技顧問股份有限公司</t>
    <phoneticPr fontId="13" type="noConversion"/>
  </si>
  <si>
    <t>裕全顧問有限公司</t>
    <phoneticPr fontId="13" type="noConversion"/>
  </si>
  <si>
    <t>日鼎檢測事業股份有限公司</t>
    <phoneticPr fontId="13" type="noConversion"/>
  </si>
  <si>
    <t>明研科技股份有限公司</t>
    <phoneticPr fontId="13" type="noConversion"/>
  </si>
  <si>
    <t>國立聯合大學土木與防災工程學系</t>
    <phoneticPr fontId="13" type="noConversion"/>
  </si>
  <si>
    <t>鄭兆鴻結構土木技師事務所</t>
    <phoneticPr fontId="13" type="noConversion"/>
  </si>
  <si>
    <t>中華木質構造建築協會</t>
    <phoneticPr fontId="13" type="noConversion"/>
  </si>
  <si>
    <t>進場
日期</t>
    <phoneticPr fontId="16" type="noConversion"/>
  </si>
  <si>
    <t>契約
數量</t>
    <phoneticPr fontId="13" type="noConversion"/>
  </si>
  <si>
    <t>883.62
M3</t>
    <phoneticPr fontId="13" type="noConversion"/>
  </si>
  <si>
    <t>1187
M3</t>
    <phoneticPr fontId="13" type="noConversion"/>
  </si>
  <si>
    <t>0KG</t>
    <phoneticPr fontId="13" type="noConversion"/>
  </si>
  <si>
    <t>207,400
KG</t>
    <phoneticPr fontId="13" type="noConversion"/>
  </si>
  <si>
    <t>750,000
KG</t>
    <phoneticPr fontId="13" type="noConversion"/>
  </si>
  <si>
    <t>水利處：李晏然
任  泰：王淑慧                 上  溢：康祐銓</t>
    <phoneticPr fontId="13" type="noConversion"/>
  </si>
  <si>
    <t>152,700.86
KG</t>
  </si>
  <si>
    <t>676.98
M2</t>
    <phoneticPr fontId="13" type="noConversion"/>
  </si>
  <si>
    <t>1776.82
M3</t>
    <phoneticPr fontId="13" type="noConversion"/>
  </si>
  <si>
    <t>1.6.13</t>
    <phoneticPr fontId="13" type="noConversion"/>
  </si>
  <si>
    <t>118
組</t>
    <phoneticPr fontId="13" type="noConversion"/>
  </si>
  <si>
    <t>1.7.1</t>
    <phoneticPr fontId="13" type="noConversion"/>
  </si>
  <si>
    <t>植栽，客土，砂質壤土</t>
    <phoneticPr fontId="13" type="noConversion"/>
  </si>
  <si>
    <t>2596.7
M3</t>
    <phoneticPr fontId="13" type="noConversion"/>
  </si>
  <si>
    <t>1.1.6</t>
    <phoneticPr fontId="13" type="noConversion"/>
  </si>
  <si>
    <t>利用填方，含夯實</t>
    <phoneticPr fontId="13" type="noConversion"/>
  </si>
  <si>
    <t>(土壤分類試驗)
數量達300m3以上時檢驗一次，未達300m3，免檢驗。</t>
    <phoneticPr fontId="13" type="noConversion"/>
  </si>
  <si>
    <t>744
M</t>
    <phoneticPr fontId="13" type="noConversion"/>
  </si>
  <si>
    <t>5207.01
M2</t>
    <phoneticPr fontId="13" type="noConversion"/>
  </si>
  <si>
    <t>410
M2</t>
    <phoneticPr fontId="13" type="noConversion"/>
  </si>
  <si>
    <t>1.4.22</t>
    <phoneticPr fontId="13" type="noConversion"/>
  </si>
  <si>
    <t>13
個</t>
    <phoneticPr fontId="13" type="noConversion"/>
  </si>
  <si>
    <t>抽驗及會同人員</t>
    <phoneticPr fontId="16" type="noConversion"/>
  </si>
  <si>
    <t>抽試驗結果</t>
    <phoneticPr fontId="16" type="noConversion"/>
  </si>
  <si>
    <t>規定抽（取）樣頻率</t>
    <phoneticPr fontId="13" type="noConversion"/>
  </si>
  <si>
    <t>材料(設備)名稱</t>
    <phoneticPr fontId="13" type="noConversion"/>
  </si>
  <si>
    <t>是否取樣試驗
（是ˇ、否X）</t>
    <phoneticPr fontId="16" type="noConversion"/>
  </si>
  <si>
    <t>113年11月6日
113任泰顧字
第1131106623號</t>
    <phoneticPr fontId="13" type="noConversion"/>
  </si>
  <si>
    <t>113年11月6日
113任泰顧字
第1131106624號</t>
    <phoneticPr fontId="13" type="noConversion"/>
  </si>
  <si>
    <t>70,400KG
(65組)</t>
    <phoneticPr fontId="13" type="noConversion"/>
  </si>
  <si>
    <t>70,400KG</t>
    <phoneticPr fontId="13" type="noConversion"/>
  </si>
  <si>
    <t>154,424KG</t>
    <phoneticPr fontId="13" type="noConversion"/>
  </si>
  <si>
    <t>154,424KG
(74組)</t>
    <phoneticPr fontId="13" type="noConversion"/>
  </si>
  <si>
    <t>84,024KG</t>
    <phoneticPr fontId="13" type="noConversion"/>
  </si>
  <si>
    <t>84,024KG
(9組)</t>
    <phoneticPr fontId="13" type="noConversion"/>
  </si>
  <si>
    <t>水利處：李晏然                 任  泰：陳勇智                 上  溢：康祐銓</t>
    <phoneticPr fontId="13" type="noConversion"/>
  </si>
  <si>
    <t>7519M3</t>
    <phoneticPr fontId="13" type="noConversion"/>
  </si>
  <si>
    <t>7519M3
(1組)</t>
    <phoneticPr fontId="13" type="noConversion"/>
  </si>
  <si>
    <t>水利處：李晏然
任  泰：王淑慧                 上  溢：周昱辰</t>
    <phoneticPr fontId="13" type="noConversion"/>
  </si>
  <si>
    <t>113年11月19日
113任泰顧字
第1131119621號</t>
    <phoneticPr fontId="13" type="noConversion"/>
  </si>
  <si>
    <t>113年11月19日
113任泰顧字
第1131119622號</t>
    <phoneticPr fontId="13" type="noConversion"/>
  </si>
  <si>
    <t>113年11月19日
113任泰顧字
第1131119623號</t>
    <phoneticPr fontId="13" type="noConversion"/>
  </si>
  <si>
    <t>113年11月19日
113任泰顧字
第1131119624號</t>
    <phoneticPr fontId="13" type="noConversion"/>
  </si>
  <si>
    <t>113年11月19日
113任泰顧字
第1131119625號</t>
    <phoneticPr fontId="13" type="noConversion"/>
  </si>
  <si>
    <t>9-1</t>
    <phoneticPr fontId="13" type="noConversion"/>
  </si>
  <si>
    <t>9-2</t>
    <phoneticPr fontId="13" type="noConversion"/>
  </si>
  <si>
    <t>1998M2</t>
    <phoneticPr fontId="13" type="noConversion"/>
  </si>
  <si>
    <t>3918M2</t>
    <phoneticPr fontId="13" type="noConversion"/>
  </si>
  <si>
    <t>1998M2
(2組)</t>
    <phoneticPr fontId="13"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</si>
  <si>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</si>
  <si>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</si>
  <si>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</si>
  <si>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</si>
  <si>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</si>
  <si>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</si>
  <si>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</si>
  <si>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</si>
  <si>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</si>
  <si>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</si>
  <si>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</si>
  <si>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</si>
  <si>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</si>
  <si>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</si>
  <si>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</si>
  <si>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3"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</si>
  <si>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</si>
  <si>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</si>
  <si>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</si>
  <si>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</si>
  <si>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</si>
  <si>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</si>
  <si>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</si>
  <si>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</si>
  <si>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</si>
  <si>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</si>
  <si>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</si>
  <si>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</si>
  <si>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3" type="noConversion"/>
  </si>
  <si>
    <t>0M3</t>
    <phoneticPr fontId="13" type="noConversion"/>
  </si>
  <si>
    <t xml:space="preserve">
瀚宏有限公司</t>
    <phoneticPr fontId="13" type="noConversion"/>
  </si>
  <si>
    <t>113年12月26日
北市工水工字
第1136069637號
同意備查
(漢佳工程)</t>
    <phoneticPr fontId="13" type="noConversion"/>
  </si>
  <si>
    <t>113年12月17日
任泰顧字
第1131217625號</t>
    <phoneticPr fontId="13" type="noConversion"/>
  </si>
  <si>
    <t>113年12月17日
113任泰顧字
第1131217621號</t>
    <phoneticPr fontId="13" type="noConversion"/>
  </si>
  <si>
    <t>113年12月17日
113任泰顧字
第1131217624號</t>
    <phoneticPr fontId="13" type="noConversion"/>
  </si>
  <si>
    <t>113年12月17日
113任泰顧字
第1131217622號</t>
    <phoneticPr fontId="13" type="noConversion"/>
  </si>
  <si>
    <t>113年12月17日
113任泰顧字
第1131217623號</t>
    <phoneticPr fontId="13" type="noConversion"/>
  </si>
  <si>
    <t>113年12月18日
113任泰顧字
第1131218623號</t>
    <phoneticPr fontId="13" type="noConversion"/>
  </si>
  <si>
    <t>113年12月18日
113任泰顧字
第1131218624號</t>
    <phoneticPr fontId="13" type="noConversion"/>
  </si>
  <si>
    <t>113年12月18日
113任泰顧字
第1131218625號</t>
    <phoneticPr fontId="13" type="noConversion"/>
  </si>
  <si>
    <t>0KG
(9組)</t>
    <phoneticPr fontId="13" type="noConversion"/>
  </si>
  <si>
    <t>154,424KG
(83組)</t>
    <phoneticPr fontId="13" type="noConversion"/>
  </si>
  <si>
    <t>113年12月18日
任泰顧字
第1131218622號</t>
    <phoneticPr fontId="13" type="noConversion"/>
  </si>
  <si>
    <t>113年12月20日
113任泰顧字
第1131220622號</t>
    <phoneticPr fontId="13" type="noConversion"/>
  </si>
  <si>
    <t>1188M3</t>
    <phoneticPr fontId="13" type="noConversion"/>
  </si>
  <si>
    <t>1188M3
(2組)</t>
    <phoneticPr fontId="13" type="noConversion"/>
  </si>
  <si>
    <t>169,853 KG</t>
    <phoneticPr fontId="13" type="noConversion"/>
  </si>
  <si>
    <t>1,413KG</t>
    <phoneticPr fontId="13" type="noConversion"/>
  </si>
  <si>
    <t>1,413KG
(2組)</t>
    <phoneticPr fontId="13" type="noConversion"/>
  </si>
  <si>
    <t>169,853 KG
(3組)</t>
    <phoneticPr fontId="13" type="noConversion"/>
  </si>
  <si>
    <t>水利處：李晏然                 任  泰：王淑慧                 上  溢：曾晧哲</t>
    <phoneticPr fontId="13" type="noConversion"/>
  </si>
  <si>
    <t>4組</t>
    <phoneticPr fontId="13" type="noConversion"/>
  </si>
  <si>
    <t>每日澆置量在1m3以下時取樣1次，每增加1m3增加取樣1次，每次必須取3個試體。</t>
    <phoneticPr fontId="13" type="noConversion"/>
  </si>
  <si>
    <t>0
M3</t>
    <phoneticPr fontId="13" type="noConversion"/>
  </si>
  <si>
    <t>無收縮混凝土，抗壓強度420 kgf/cm2</t>
    <phoneticPr fontId="13" type="noConversion"/>
  </si>
  <si>
    <t>113年12月31日
任泰顧字
第1131231622號</t>
    <phoneticPr fontId="13" type="noConversion"/>
  </si>
  <si>
    <t>114年1月8日
任泰顧字
第1140108623號</t>
    <phoneticPr fontId="13" type="noConversion"/>
  </si>
  <si>
    <t>114年1月8日
任泰顧字
第1140108622號</t>
    <phoneticPr fontId="13" type="noConversion"/>
  </si>
  <si>
    <t>113年2月23日
113任泰顧字
第0222010001號
(瑞山)
114年1月10日任泰顧字第1140110621號函
(聯合)</t>
    <phoneticPr fontId="13" type="noConversion"/>
  </si>
  <si>
    <t>113年2月27日
北市工水工字
第1136015398號
同意備查
(瑞山)
114年1月14日
北市工水工字
第1146000286號
同意備查
(聯合)</t>
    <phoneticPr fontId="13" type="noConversion"/>
  </si>
  <si>
    <t>臨溪側界石底</t>
  </si>
  <si>
    <t>-</t>
  </si>
  <si>
    <t>EF-1140109
混凝土
自主檢查表</t>
    <phoneticPr fontId="13" type="noConversion"/>
  </si>
  <si>
    <t>EF-1140114
混凝土
自主檢查表</t>
    <phoneticPr fontId="13"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</si>
  <si>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</si>
  <si>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</si>
  <si>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</si>
  <si>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</si>
  <si>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1" type="noConversion"/>
  </si>
  <si>
    <t>114年2月3日</t>
    <phoneticPr fontId="31" type="noConversion"/>
  </si>
  <si>
    <t>共月橋P1、P2帽梁</t>
  </si>
  <si>
    <t>EF-1131226
混凝土
自主檢查表</t>
    <phoneticPr fontId="13" type="noConversion"/>
  </si>
  <si>
    <t>單雙孔箱涵(0K+420~0K+440)CLSM</t>
  </si>
  <si>
    <t>單雙孔箱涵(0K+380~0K+420)CLSM</t>
  </si>
  <si>
    <t>李晏然、王淑慧、周昱辰</t>
  </si>
  <si>
    <t>單雙孔箱涵(0K+360~0K+380)CLSM</t>
  </si>
  <si>
    <t>單雙孔箱涵(0K+300~0K+360)CLSM</t>
  </si>
  <si>
    <t>EF-1131219
混凝土
自主檢查表</t>
    <phoneticPr fontId="13" type="noConversion"/>
  </si>
  <si>
    <t>李晏然、王淑慧、張志禕</t>
  </si>
  <si>
    <t>王淑慧、張志禕</t>
  </si>
  <si>
    <t>33.64 M3
(80 T)</t>
    <phoneticPr fontId="13" type="noConversion"/>
  </si>
  <si>
    <t>33.64 M3
(80 T)
(1組)</t>
    <phoneticPr fontId="13" type="noConversion"/>
  </si>
  <si>
    <t>84.10 M3
(200 T)</t>
    <phoneticPr fontId="13" type="noConversion"/>
  </si>
  <si>
    <t>84.10 M3
(200 T)
(1組)</t>
    <phoneticPr fontId="13"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</si>
  <si>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</si>
  <si>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</si>
  <si>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</si>
  <si>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</si>
  <si>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</si>
  <si>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</si>
  <si>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3" type="noConversion"/>
  </si>
  <si>
    <t>2350M3
(1組)</t>
    <phoneticPr fontId="13" type="noConversion"/>
  </si>
  <si>
    <t>上  溢：周昱辰</t>
    <phoneticPr fontId="13" type="noConversion"/>
  </si>
  <si>
    <t>114年1月13日
任泰顧字
第1140113624號</t>
    <phoneticPr fontId="13" type="noConversion"/>
  </si>
  <si>
    <t>114年1月13日
任泰顧字
第1140113623號</t>
    <phoneticPr fontId="13" type="noConversion"/>
  </si>
  <si>
    <t>114年1月13日
任泰顧字
第1140113625號</t>
    <phoneticPr fontId="13" type="noConversion"/>
  </si>
  <si>
    <t>114年1月9日
任泰顧字
第1140109621號</t>
    <phoneticPr fontId="13" type="noConversion"/>
  </si>
  <si>
    <t>114年1月13日
任泰顧字
第1140113622號</t>
    <phoneticPr fontId="13" type="noConversion"/>
  </si>
  <si>
    <t>114年1月9日
任泰顧字
第1140109622號</t>
    <phoneticPr fontId="13" type="noConversion"/>
  </si>
  <si>
    <t>第二次變更設計</t>
    <phoneticPr fontId="13" type="noConversion"/>
  </si>
  <si>
    <t>第三次變更設計</t>
    <phoneticPr fontId="13" type="noConversion"/>
  </si>
  <si>
    <t>114年1月13日
溢磺字
第1140113021號</t>
    <phoneticPr fontId="13" type="noConversion"/>
  </si>
  <si>
    <t>114年1月6日
溢磺字
第1140106021號</t>
    <phoneticPr fontId="13" type="noConversion"/>
  </si>
  <si>
    <t>114年1月15日
溢磺字
第1140115021號</t>
    <phoneticPr fontId="13" type="noConversion"/>
  </si>
  <si>
    <t>114年1月6日</t>
    <phoneticPr fontId="13" type="noConversion"/>
  </si>
  <si>
    <t>114年1月14日
任泰顧字
第1140114621號</t>
    <phoneticPr fontId="13" type="noConversion"/>
  </si>
  <si>
    <t>114年1月16日
任泰顧字
第1140116621號</t>
    <phoneticPr fontId="13" type="noConversion"/>
  </si>
  <si>
    <t>整體施工計畫
(修正2版)</t>
    <phoneticPr fontId="16" type="noConversion"/>
  </si>
  <si>
    <t>整體品質計畫
(修正2版)</t>
    <phoneticPr fontId="16" type="noConversion"/>
  </si>
  <si>
    <t>(工地密度)
每層滾壓完成後，每層數量以1,000m2為一批檢驗1次，餘數500m2以下得併前一批檢驗；超過500m2單獨為一批檢驗。</t>
    <phoneticPr fontId="13" type="noConversion"/>
  </si>
  <si>
    <t>0KG
(鋼箱樑頂)</t>
    <phoneticPr fontId="13" type="noConversion"/>
  </si>
  <si>
    <t>石材鋪面</t>
  </si>
  <si>
    <t>375.23
M2</t>
    <phoneticPr fontId="13" type="noConversion"/>
  </si>
  <si>
    <t>1.2.13</t>
    <phoneticPr fontId="13" type="noConversion"/>
  </si>
  <si>
    <t>1.2.3、1.3.5、1.4.7、1.5.8、1.6.11</t>
    <phoneticPr fontId="13" type="noConversion"/>
  </si>
  <si>
    <t>鋼筋，SD280W</t>
  </si>
  <si>
    <t>48,000
KG</t>
    <phoneticPr fontId="13" type="noConversion"/>
  </si>
  <si>
    <t>48,000
KG
(3組)</t>
    <phoneticPr fontId="13" type="noConversion"/>
  </si>
  <si>
    <t>121,000
KG</t>
    <phoneticPr fontId="13" type="noConversion"/>
  </si>
  <si>
    <t>121,000
KG
(7組)</t>
    <phoneticPr fontId="13" type="noConversion"/>
  </si>
  <si>
    <t>26,000
KG</t>
    <phoneticPr fontId="13" type="noConversion"/>
  </si>
  <si>
    <t>26,000
KG
(2組)</t>
    <phoneticPr fontId="13" type="noConversion"/>
  </si>
  <si>
    <t>147,000
KG</t>
    <phoneticPr fontId="13" type="noConversion"/>
  </si>
  <si>
    <t>221,400
KG
(12組)</t>
    <phoneticPr fontId="13" type="noConversion"/>
  </si>
  <si>
    <t>221,400
KG</t>
    <phoneticPr fontId="13" type="noConversion"/>
  </si>
  <si>
    <t>1.3.6、1.3.20、1.4.8、1.5.9</t>
  </si>
  <si>
    <t>1.3.6、1.3.20、1.4.8、1.5.9</t>
    <phoneticPr fontId="13" type="noConversion"/>
  </si>
  <si>
    <t>694822.61
KG</t>
  </si>
  <si>
    <t>195,000
KG</t>
    <phoneticPr fontId="13" type="noConversion"/>
  </si>
  <si>
    <t>246,000
KG</t>
    <phoneticPr fontId="13" type="noConversion"/>
  </si>
  <si>
    <t>246,000
KG
(18組)</t>
    <phoneticPr fontId="13" type="noConversion"/>
  </si>
  <si>
    <t>195,000
KG
(14組)</t>
    <phoneticPr fontId="13" type="noConversion"/>
  </si>
  <si>
    <t>246,000
KG
(17組)</t>
    <phoneticPr fontId="13" type="noConversion"/>
  </si>
  <si>
    <t>497,000
KG
(33組)</t>
    <phoneticPr fontId="13" type="noConversion"/>
  </si>
  <si>
    <t>442,000
KG</t>
    <phoneticPr fontId="13" type="noConversion"/>
  </si>
  <si>
    <t>424,000
KG
(29組)</t>
    <phoneticPr fontId="13" type="noConversion"/>
  </si>
  <si>
    <t>473,000
KG</t>
    <phoneticPr fontId="13" type="noConversion"/>
  </si>
  <si>
    <t>473,000
KG
(33組)</t>
    <phoneticPr fontId="13" type="noConversion"/>
  </si>
  <si>
    <t>130,000
KG</t>
    <phoneticPr fontId="13" type="noConversion"/>
  </si>
  <si>
    <t>130,000
KG
(8組)</t>
    <phoneticPr fontId="13" type="noConversion"/>
  </si>
  <si>
    <t>603,000 KG
(41組)</t>
    <phoneticPr fontId="13" type="noConversion"/>
  </si>
  <si>
    <t>603,000
KG</t>
    <phoneticPr fontId="13" type="noConversion"/>
  </si>
  <si>
    <t>133,000
KG</t>
    <phoneticPr fontId="13" type="noConversion"/>
  </si>
  <si>
    <t>133,000
KG
(6組)</t>
    <phoneticPr fontId="13" type="noConversion"/>
  </si>
  <si>
    <t>736,000
KG</t>
    <phoneticPr fontId="13" type="noConversion"/>
  </si>
  <si>
    <t>736,000
KG
(47組)</t>
    <phoneticPr fontId="13" type="noConversion"/>
  </si>
  <si>
    <t>268,000
KG
(18組)</t>
    <phoneticPr fontId="13" type="noConversion"/>
  </si>
  <si>
    <t>319,000
KG
(21組)</t>
    <phoneticPr fontId="13" type="noConversion"/>
  </si>
  <si>
    <t>319,000
KG
(22組)</t>
    <phoneticPr fontId="13" type="noConversion"/>
  </si>
  <si>
    <t>594,000
KG
(40組)</t>
    <phoneticPr fontId="13" type="noConversion"/>
  </si>
  <si>
    <t>750,000
KG
(50組)</t>
    <phoneticPr fontId="13" type="noConversion"/>
  </si>
  <si>
    <t>957,400
KG
(59組)</t>
    <phoneticPr fontId="13" type="noConversion"/>
  </si>
  <si>
    <t>73,000
KG</t>
  </si>
  <si>
    <t>73,000
KG
(4組)</t>
  </si>
  <si>
    <t>鋼筋，SD420W</t>
  </si>
  <si>
    <t>鋼筋，SD420W</t>
    <phoneticPr fontId="13" type="noConversion"/>
  </si>
  <si>
    <t>147,000
KG
(9組)</t>
    <phoneticPr fontId="13" type="noConversion"/>
  </si>
  <si>
    <t>114年1月16日
北市工水工字
第1146010473號</t>
    <phoneticPr fontId="13" type="noConversion"/>
  </si>
  <si>
    <t>113年9月2日
北市工水工字
第1136050653號</t>
    <phoneticPr fontId="13"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</si>
  <si>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</si>
  <si>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</si>
  <si>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</si>
  <si>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</si>
  <si>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</si>
  <si>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</si>
  <si>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</si>
  <si>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</si>
  <si>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3" type="noConversion"/>
  </si>
  <si>
    <t>EF-1140121
混凝土
自主檢查表</t>
    <phoneticPr fontId="13" type="noConversion"/>
  </si>
  <si>
    <t>EF-1140123
混凝土
自主檢查表</t>
    <phoneticPr fontId="13" type="noConversion"/>
  </si>
  <si>
    <t>EF-1140204
混凝土
自主檢查表</t>
    <phoneticPr fontId="13" type="noConversion"/>
  </si>
  <si>
    <t>EF-1140210
混凝土
自主檢查表</t>
    <phoneticPr fontId="13" type="noConversion"/>
  </si>
  <si>
    <t>地梁(0K+300~0K+350)</t>
  </si>
  <si>
    <t>EF-1140208
混凝土
自主檢查表</t>
    <phoneticPr fontId="13" type="noConversion"/>
  </si>
  <si>
    <t>270孔</t>
    <phoneticPr fontId="13" type="noConversion"/>
  </si>
  <si>
    <t>270孔
(3組)</t>
    <phoneticPr fontId="13" type="noConversion"/>
  </si>
  <si>
    <t>水利處：李晏然         任  泰：陳勇智                 上  溢：胡舜豪</t>
    <phoneticPr fontId="13" type="noConversion"/>
  </si>
  <si>
    <t>水利處：李晏然         任  泰：陳勇智                 上  溢：李建豪</t>
    <phoneticPr fontId="13" type="noConversion"/>
  </si>
  <si>
    <t>160孔</t>
    <phoneticPr fontId="13" type="noConversion"/>
  </si>
  <si>
    <t>710孔</t>
    <phoneticPr fontId="13" type="noConversion"/>
  </si>
  <si>
    <t>710孔
(8組)</t>
    <phoneticPr fontId="13" type="noConversion"/>
  </si>
  <si>
    <t>114年2月6日
北市工水工字
第1146000625號</t>
    <phoneticPr fontId="31" type="noConversion"/>
  </si>
  <si>
    <t>114年1月18日
任泰顧字
第1140118621號</t>
    <phoneticPr fontId="31" type="noConversion"/>
  </si>
  <si>
    <t>114年1月18日
溢磺字
第1140118021號</t>
    <phoneticPr fontId="31" type="noConversion"/>
  </si>
  <si>
    <t>114年1月20日
北市工水工字
第1146011039號</t>
    <phoneticPr fontId="13" type="noConversion"/>
  </si>
  <si>
    <t>114年2月11日
任泰顧字
第1140211621號
(新全鋼)</t>
    <phoneticPr fontId="13" type="noConversion"/>
  </si>
  <si>
    <t>114年2月18日
北市工水工字
第1146000850號
同意備查
(新全鋼)</t>
    <phoneticPr fontId="13" type="noConversion"/>
  </si>
  <si>
    <t>114年2月18日
任泰顧字
第1140218622號</t>
    <phoneticPr fontId="13" type="noConversion"/>
  </si>
  <si>
    <t>114年2月8日
任泰顧字
第1140208621號</t>
    <phoneticPr fontId="13" type="noConversion"/>
  </si>
  <si>
    <t>114年2月8日
任泰顧字
第1140208622號</t>
    <phoneticPr fontId="13" type="noConversion"/>
  </si>
  <si>
    <t>4-9.5-2</t>
  </si>
  <si>
    <t>114年2月19日
任泰顧字
第1140219627號</t>
    <phoneticPr fontId="13" type="noConversion"/>
  </si>
  <si>
    <t>114年2月19日
任泰顧字
第1140219626號</t>
    <phoneticPr fontId="13" type="noConversion"/>
  </si>
  <si>
    <t>鋪磚分項施工暨品質計畫</t>
    <phoneticPr fontId="13" type="noConversion"/>
  </si>
  <si>
    <t>114年2月24日
溢磺字
第1140224022號</t>
    <phoneticPr fontId="13" type="noConversion"/>
  </si>
  <si>
    <t>114年2月25日
任泰顧字
第1140225621號</t>
    <phoneticPr fontId="13" type="noConversion"/>
  </si>
  <si>
    <t>114年3月3日
北市工水工字
第1146001130號</t>
    <phoneticPr fontId="13" type="noConversion"/>
  </si>
  <si>
    <t>114年2月26日
任泰顧字
第1140226622號</t>
    <phoneticPr fontId="13" type="noConversion"/>
  </si>
  <si>
    <t>114年2月26日
任泰顧字
第1140226624號</t>
    <phoneticPr fontId="13" type="noConversion"/>
  </si>
  <si>
    <t>114年2月26日
任泰顧字
第1140226623號</t>
    <phoneticPr fontId="13" type="noConversion"/>
  </si>
  <si>
    <t>114年2月27日
任泰顧字
第1140227621號</t>
    <phoneticPr fontId="13" type="noConversion"/>
  </si>
  <si>
    <t>共月橋園內引道、三合橋擋牆a’PC</t>
  </si>
  <si>
    <t>道路側溝U5、U5-1 PC</t>
  </si>
  <si>
    <t>EF-1140226
混凝土
自主檢查表</t>
    <phoneticPr fontId="13"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</si>
  <si>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</si>
  <si>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</si>
  <si>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</si>
  <si>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</si>
  <si>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</si>
  <si>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</si>
  <si>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</si>
  <si>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</si>
  <si>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</si>
  <si>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</si>
  <si>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</si>
  <si>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</si>
  <si>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</si>
  <si>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</si>
  <si>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</si>
  <si>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3" type="noConversion"/>
  </si>
  <si>
    <t>3-10</t>
    <phoneticPr fontId="13" type="noConversion"/>
  </si>
  <si>
    <t>43,000
KG</t>
    <phoneticPr fontId="13" type="noConversion"/>
  </si>
  <si>
    <t>43,000
KG
(3組)</t>
    <phoneticPr fontId="13" type="noConversion"/>
  </si>
  <si>
    <t>1,000,400
KG</t>
    <phoneticPr fontId="13" type="noConversion"/>
  </si>
  <si>
    <t>1,000,400
KG
(62組)</t>
    <phoneticPr fontId="13" type="noConversion"/>
  </si>
  <si>
    <t>任  泰：王淑慧                 上  溢：康祐銓</t>
    <phoneticPr fontId="13" type="noConversion"/>
  </si>
  <si>
    <t>264,400
KG</t>
    <phoneticPr fontId="13" type="noConversion"/>
  </si>
  <si>
    <t>264,400
KG
(15組)</t>
    <phoneticPr fontId="13" type="noConversion"/>
  </si>
  <si>
    <t>北向道路(0K+460~0K+720)</t>
  </si>
  <si>
    <t>碎石</t>
  </si>
  <si>
    <t>7-1-1</t>
    <phoneticPr fontId="13" type="noConversion"/>
  </si>
  <si>
    <t>7-2-1</t>
    <phoneticPr fontId="13" type="noConversion"/>
  </si>
  <si>
    <t>84,024
KG</t>
    <phoneticPr fontId="13" type="noConversion"/>
  </si>
  <si>
    <t>84,024
KG
(30組)</t>
    <phoneticPr fontId="13" type="noConversion"/>
  </si>
  <si>
    <t>水利處：李晏然
任  泰：王淑慧
上  溢：康祐銓</t>
    <phoneticPr fontId="13" type="noConversion"/>
  </si>
  <si>
    <t>114年3月7日
任泰顧字
第1140307621號</t>
    <phoneticPr fontId="13" type="noConversion"/>
  </si>
  <si>
    <t>114年3月7日
任泰顧字
第1140307622號</t>
    <phoneticPr fontId="13" type="noConversion"/>
  </si>
  <si>
    <t>114年3月11日
任泰顧字
第1140311622號
(鼎豐)</t>
    <phoneticPr fontId="13" type="noConversion"/>
  </si>
  <si>
    <t>號誌施工圖</t>
    <phoneticPr fontId="31" type="noConversion"/>
  </si>
  <si>
    <t>114年3月10日
溢磺字
第1140310023號</t>
    <phoneticPr fontId="31" type="noConversion"/>
  </si>
  <si>
    <t>114年3月11日
任泰顧字
第1140311623號</t>
    <phoneticPr fontId="31" type="noConversion"/>
  </si>
  <si>
    <t>化學螺栓</t>
    <phoneticPr fontId="13" type="noConversion"/>
  </si>
  <si>
    <t>華光工程顧問有限公司</t>
    <phoneticPr fontId="13" type="noConversion"/>
  </si>
  <si>
    <t>路基整理</t>
    <phoneticPr fontId="13" type="noConversion"/>
  </si>
  <si>
    <t>5103
M2</t>
    <phoneticPr fontId="13" type="noConversion"/>
  </si>
  <si>
    <t>透水磚</t>
    <phoneticPr fontId="13" type="noConversion"/>
  </si>
  <si>
    <t>114年3月14日
任泰顧字
第1140314622號
(致岡國際)</t>
    <phoneticPr fontId="13" type="noConversion"/>
  </si>
  <si>
    <t>114年3月17日
北市工水工字
第1146001427號
同意備查
(致岡國際)</t>
    <phoneticPr fontId="13" type="noConversion"/>
  </si>
  <si>
    <t>3888M2</t>
    <phoneticPr fontId="13" type="noConversion"/>
  </si>
  <si>
    <t>3888M2
(4組)</t>
    <phoneticPr fontId="13" type="noConversion"/>
  </si>
  <si>
    <t>水利處：李晏然                 任  泰：王淑慧                 上  溢：康祐銓</t>
    <phoneticPr fontId="13" type="noConversion"/>
  </si>
  <si>
    <t>7806M2</t>
    <phoneticPr fontId="13" type="noConversion"/>
  </si>
  <si>
    <t>10-1</t>
    <phoneticPr fontId="13" type="noConversion"/>
  </si>
  <si>
    <t>10-2</t>
    <phoneticPr fontId="13" type="noConversion"/>
  </si>
  <si>
    <t>1782M3</t>
    <phoneticPr fontId="13" type="noConversion"/>
  </si>
  <si>
    <t>1782M3
(3組)</t>
    <phoneticPr fontId="13" type="noConversion"/>
  </si>
  <si>
    <t>2970M3
(5組)</t>
    <phoneticPr fontId="13" type="noConversion"/>
  </si>
  <si>
    <t>2970M3</t>
    <phoneticPr fontId="13" type="noConversion"/>
  </si>
  <si>
    <t>5986m2</t>
  </si>
  <si>
    <t>5986m2</t>
    <phoneticPr fontId="13" type="noConversion"/>
  </si>
  <si>
    <t>5986m2
(6組)</t>
    <phoneticPr fontId="13" type="noConversion"/>
  </si>
  <si>
    <t>數量未達40支
本次進場得免驗</t>
    <phoneticPr fontId="13" type="noConversion"/>
  </si>
  <si>
    <t>D02-1140218
材料自主檢查表</t>
    <phoneticPr fontId="13" type="noConversion"/>
  </si>
  <si>
    <t>上  溢：康祐銓</t>
    <phoneticPr fontId="13" type="noConversion"/>
  </si>
  <si>
    <t>鋼筋混凝土管(B型)，D=600mm，三級管，未含開挖回填</t>
    <phoneticPr fontId="13" type="noConversion"/>
  </si>
  <si>
    <t>114年3月13日
北市工水工字
第1146001367號
同意備查
(鼎豐)</t>
    <phoneticPr fontId="13" type="noConversion"/>
  </si>
  <si>
    <t>114年2月19日
任泰顧字
第1140219624號</t>
    <phoneticPr fontId="13" type="noConversion"/>
  </si>
  <si>
    <t>114年2月19日
任泰顧字
第1140219625號</t>
    <phoneticPr fontId="13" type="noConversion"/>
  </si>
  <si>
    <t>114年2月18日
任泰顧字
第1140218623號</t>
    <phoneticPr fontId="13" type="noConversion"/>
  </si>
  <si>
    <t>2350M3</t>
  </si>
  <si>
    <t xml:space="preserve"> 7519
M3</t>
    <phoneticPr fontId="13" type="noConversion"/>
  </si>
  <si>
    <t>19</t>
    <phoneticPr fontId="13" type="noConversion"/>
  </si>
  <si>
    <t>60m (25支)</t>
    <phoneticPr fontId="13" type="noConversion"/>
  </si>
  <si>
    <t>60m (25支)
(0組)</t>
    <phoneticPr fontId="13" type="noConversion"/>
  </si>
  <si>
    <t>20-1</t>
    <phoneticPr fontId="13" type="noConversion"/>
  </si>
  <si>
    <t>20-2</t>
    <phoneticPr fontId="13" type="noConversion"/>
  </si>
  <si>
    <t>20-3</t>
    <phoneticPr fontId="13" type="noConversion"/>
  </si>
  <si>
    <t>21</t>
    <phoneticPr fontId="13" type="noConversion"/>
  </si>
  <si>
    <t>160孔
(2組)</t>
    <phoneticPr fontId="13" type="noConversion"/>
  </si>
  <si>
    <t>水利處：李晏然         任  泰：王淑慧                 上  溢：康祐銓</t>
    <phoneticPr fontId="13" type="noConversion"/>
  </si>
  <si>
    <t>114年2月11日
任泰顧字
第1140211622號
D16*5</t>
    <phoneticPr fontId="13" type="noConversion"/>
  </si>
  <si>
    <t>114年3月7日
任泰顧字
第1140307623號
D25*3</t>
    <phoneticPr fontId="13" type="noConversion"/>
  </si>
  <si>
    <t>114年2月24日
任泰顧字
第1130224622號
(雄鷄)</t>
    <phoneticPr fontId="13" type="noConversion"/>
  </si>
  <si>
    <t>114年3月12日
北市工水工字
第1146019475號
同意備查
(雄鷄)</t>
    <phoneticPr fontId="13" type="noConversion"/>
  </si>
  <si>
    <t>銲接鋼線網</t>
    <phoneticPr fontId="13" type="noConversion"/>
  </si>
  <si>
    <t>3918M2
(4組)</t>
    <phoneticPr fontId="13" type="noConversion"/>
  </si>
  <si>
    <t>114年3月20日
任泰顧字
第1140320623號
(雄鷄)</t>
    <phoneticPr fontId="13" type="noConversion"/>
  </si>
  <si>
    <t>114年3月24日
北市工水工字
第1146001615號
同意備查
(雄鷄)</t>
    <phoneticPr fontId="13"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</si>
  <si>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</si>
  <si>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</si>
  <si>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</si>
  <si>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</si>
  <si>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</si>
  <si>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3" type="noConversion"/>
  </si>
  <si>
    <t>EF-1140310
混凝土
自主檢查表</t>
    <phoneticPr fontId="13" type="noConversion"/>
  </si>
  <si>
    <t>EF-1140313
混凝土
自主檢查表</t>
    <phoneticPr fontId="13" type="noConversion"/>
  </si>
  <si>
    <t>主園道(0K+300~440)</t>
  </si>
  <si>
    <t>主園道(0K+300~440)第二層</t>
  </si>
  <si>
    <t>113年5月16日
113任泰顧字
第0516010001號</t>
    <phoneticPr fontId="13" type="noConversion"/>
  </si>
  <si>
    <t>113年1月22日
112任泰顧字
第0122010010號
D19*2、D25*2</t>
    <phoneticPr fontId="13" type="noConversion"/>
  </si>
  <si>
    <t>113年1月22日
112任泰顧字
第0122010010號
D10*1、D13*1、
D16*2</t>
    <phoneticPr fontId="13" type="noConversion"/>
  </si>
  <si>
    <t>113年2月27日
113任泰顧字
第0227010010號
D13*2、D16*2、D19*1、D22*1、D25*2、D32*2</t>
    <phoneticPr fontId="13" type="noConversion"/>
  </si>
  <si>
    <t>113年5月14日
113任泰顧字
第0514010012號
D25*3</t>
    <phoneticPr fontId="13" type="noConversion"/>
  </si>
  <si>
    <t>113年5月22日
113任泰顧字
第0523010001號
D10*2、D13*2、D16*1、D19*1、D22*2、D25*2、D32*1</t>
    <phoneticPr fontId="13" type="noConversion"/>
  </si>
  <si>
    <t>113年7月18日
113任泰顧字
第1130718105號
D13*3、D16*1、D25*2、D29*1</t>
    <phoneticPr fontId="13" type="noConversion"/>
  </si>
  <si>
    <t>113年9月26日
113任泰顧字
第1130926621號
D13*2、D16*5、D22*2、D29*1</t>
    <phoneticPr fontId="13" type="noConversion"/>
  </si>
  <si>
    <t>113年11月6日
113任泰顧字
第1131106622號
D13*3、D19*1、D22*4、D25*1</t>
    <phoneticPr fontId="13" type="noConversion"/>
  </si>
  <si>
    <t>114年3月26日
任泰顧字
第1140326625號</t>
    <phoneticPr fontId="13" type="noConversion"/>
  </si>
  <si>
    <t>114年3月26日
任泰顧字
第1140326624號</t>
    <phoneticPr fontId="13" type="noConversion"/>
  </si>
  <si>
    <t>114年2月18日
任泰顧字
第1140326622號</t>
    <phoneticPr fontId="13" type="noConversion"/>
  </si>
  <si>
    <t>114年2月18日
任泰顧字
第1140326623號</t>
    <phoneticPr fontId="13" type="noConversion"/>
  </si>
  <si>
    <t>212.35 M3
(505 T)</t>
    <phoneticPr fontId="13" type="noConversion"/>
  </si>
  <si>
    <t>212.35 M3
(505 T)
(1組)</t>
    <phoneticPr fontId="13" type="noConversion"/>
  </si>
  <si>
    <t>7806M2
(8組)</t>
    <phoneticPr fontId="13"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</si>
  <si>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</si>
  <si>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</si>
  <si>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</si>
  <si>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</si>
  <si>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</si>
  <si>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</si>
  <si>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3" type="noConversion"/>
  </si>
  <si>
    <t>744M
(2組)</t>
    <phoneticPr fontId="13" type="noConversion"/>
  </si>
  <si>
    <t>1
個</t>
    <phoneticPr fontId="13" type="noConversion"/>
  </si>
  <si>
    <t>2688m3</t>
    <phoneticPr fontId="13" type="noConversion"/>
  </si>
  <si>
    <t>2688m3
(9組)</t>
    <phoneticPr fontId="13" type="noConversion"/>
  </si>
  <si>
    <t>水利處：李晏然                 任  泰：王淑慧                 
上  溢：康祐銓</t>
    <phoneticPr fontId="13" type="noConversion"/>
  </si>
  <si>
    <t>0m2</t>
    <phoneticPr fontId="13" type="noConversion"/>
  </si>
  <si>
    <t>5986m2
(8組)</t>
    <phoneticPr fontId="13" type="noConversion"/>
  </si>
  <si>
    <t>府查核取樣
(2組)</t>
    <phoneticPr fontId="13" type="noConversion"/>
  </si>
  <si>
    <t>114年4月7日
任泰顧字
第1140407623號</t>
    <phoneticPr fontId="13" type="noConversion"/>
  </si>
  <si>
    <t>114年4月7日
任泰顧字
第1140407624號</t>
    <phoneticPr fontId="13" type="noConversion"/>
  </si>
  <si>
    <t>114年4月7日
任泰顧字
第1140407625號</t>
    <phoneticPr fontId="13" type="noConversion"/>
  </si>
  <si>
    <t>114年4月8日
任泰顧字
第1140408621號</t>
    <phoneticPr fontId="13" type="noConversion"/>
  </si>
  <si>
    <t>0k+300~400梯形磚地坪、N0K+540~560格柵鋪面A型PC</t>
  </si>
  <si>
    <t>延壽橋2側護欄</t>
  </si>
  <si>
    <t>延壽橋上游新設地坪</t>
  </si>
  <si>
    <t>EF-1140408
混凝土
自主檢查表</t>
    <phoneticPr fontId="13" type="noConversion"/>
  </si>
  <si>
    <t>114年4月7日
任泰顧字
第1140407621號</t>
    <phoneticPr fontId="13" type="noConversion"/>
  </si>
  <si>
    <t>82.00 M3
(195 T)</t>
    <phoneticPr fontId="13" type="noConversion"/>
  </si>
  <si>
    <t>82.00 M3
(195 T)
(1組)</t>
    <phoneticPr fontId="13" type="noConversion"/>
  </si>
  <si>
    <t>4-4</t>
    <phoneticPr fontId="13" type="noConversion"/>
  </si>
  <si>
    <t>瀝青黏層，快凝油溶瀝青，RC-70</t>
    <phoneticPr fontId="13" type="noConversion"/>
  </si>
  <si>
    <t>至少一次，可併同監造單位辦理</t>
    <phoneticPr fontId="13" type="noConversion"/>
  </si>
  <si>
    <t>114年4月17日
任泰顧字
第1140417622號
D13*2、D16*1</t>
    <phoneticPr fontId="13" type="noConversion"/>
  </si>
  <si>
    <t>114年4月17日
任泰顧字
第1140417621號</t>
    <phoneticPr fontId="13" type="noConversion"/>
  </si>
  <si>
    <t>114年4月17日
任泰顧字
第1140417623號</t>
    <phoneticPr fontId="13" type="noConversion"/>
  </si>
  <si>
    <t>114年4月18日
任泰顧字
第1140418622號</t>
    <phoneticPr fontId="13" type="noConversion"/>
  </si>
  <si>
    <t>114年4月18日
任泰顧字
第1140418623號</t>
    <phoneticPr fontId="13" type="noConversion"/>
  </si>
  <si>
    <t>114年4月18日
任泰顧字
第1140418621號</t>
    <phoneticPr fontId="13" type="noConversion"/>
  </si>
  <si>
    <t>114年4月17日
任泰顧字
第1140417624號
(宏佳展)</t>
    <phoneticPr fontId="13" type="noConversion"/>
  </si>
  <si>
    <t>114年4月22日
北市工水工字
第1146002275號
同意備查
(宏佳展)</t>
    <phoneticPr fontId="13" type="noConversion"/>
  </si>
  <si>
    <t>整體施工計畫
(修正3版)</t>
    <phoneticPr fontId="16" type="noConversion"/>
  </si>
  <si>
    <t>整體品質計畫
(修正3版)</t>
    <phoneticPr fontId="16" type="noConversion"/>
  </si>
  <si>
    <t>114年4月30日</t>
    <phoneticPr fontId="13" type="noConversion"/>
  </si>
  <si>
    <t>114年4月24日
溢磺字
第1140424024號</t>
    <phoneticPr fontId="13" type="noConversion"/>
  </si>
  <si>
    <t>114年4月23日
溢磺字
第1140423023號</t>
    <phoneticPr fontId="13" type="noConversion"/>
  </si>
  <si>
    <t>114年4月23日
溢磺字
第1140423022號</t>
    <phoneticPr fontId="13" type="noConversion"/>
  </si>
  <si>
    <t>114年4月24日
任泰顧字
第1140424623號</t>
    <phoneticPr fontId="13" type="noConversion"/>
  </si>
  <si>
    <t>警示設備配線施
工大樣圖</t>
    <phoneticPr fontId="31" type="noConversion"/>
  </si>
  <si>
    <t>114年4月16日
任泰顧字
第1140416622號</t>
    <phoneticPr fontId="31" type="noConversion"/>
  </si>
  <si>
    <t>114年4月24日
北市工水工字
第1146002276號</t>
    <phoneticPr fontId="31" type="noConversion"/>
  </si>
  <si>
    <t>114年4月16日
溢磺字
第1140416021號</t>
    <phoneticPr fontId="31" type="noConversion"/>
  </si>
  <si>
    <t>35.46 M3
(77.2 T)</t>
    <phoneticPr fontId="13" type="noConversion"/>
  </si>
  <si>
    <t>35.46 M3
(77.2 T)
(1組)</t>
    <phoneticPr fontId="13" type="noConversion"/>
  </si>
  <si>
    <t>114年4月24日
任泰顧字
第1140424622號
D13*3</t>
    <phoneticPr fontId="13" type="noConversion"/>
  </si>
  <si>
    <t>114年4月25日
任泰顧字
第1140425621號</t>
    <phoneticPr fontId="13" type="noConversion"/>
  </si>
  <si>
    <t>主園道 0K+300~450梯形磚地坪</t>
  </si>
  <si>
    <t>陳勇智、康祐銓</t>
  </si>
  <si>
    <t>滯洪池周邊步道 座台A型PC</t>
  </si>
  <si>
    <t>114年4月28日
北市工水工字
第146027963號</t>
    <phoneticPr fontId="13" type="noConversion"/>
  </si>
  <si>
    <t>114年4月30日
任泰顧字
第1140430621號</t>
    <phoneticPr fontId="13" type="noConversion"/>
  </si>
  <si>
    <t>114年4月29日
任泰顧字
第1140429621號</t>
    <phoneticPr fontId="13" type="noConversion"/>
  </si>
  <si>
    <t>114年4月29日
任泰顧字
第1140429622號</t>
    <phoneticPr fontId="13" type="noConversion"/>
  </si>
  <si>
    <t>主園道-0K+670~690人行道、三合街北側人行道</t>
  </si>
  <si>
    <t>13座</t>
    <phoneticPr fontId="13" type="noConversion"/>
  </si>
  <si>
    <t>7座</t>
    <phoneticPr fontId="13" type="noConversion"/>
  </si>
  <si>
    <t>12座</t>
    <phoneticPr fontId="13" type="noConversion"/>
  </si>
  <si>
    <t>45座</t>
    <phoneticPr fontId="13" type="noConversion"/>
  </si>
  <si>
    <t>216.55M</t>
    <phoneticPr fontId="13" type="noConversion"/>
  </si>
  <si>
    <t>1盞</t>
    <phoneticPr fontId="13" type="noConversion"/>
  </si>
  <si>
    <t>114年5月13日
北市工水工字
第1146002705號
同意備查
(雄鷄)</t>
    <phoneticPr fontId="13" type="noConversion"/>
  </si>
  <si>
    <t>114年5月9日
任泰顧字
第1140509622號
(雄鷄)</t>
    <phoneticPr fontId="13" type="noConversion"/>
  </si>
  <si>
    <t>114年5月9日
任泰顧字
第1140509623號
(雄鷄)</t>
    <phoneticPr fontId="13" type="noConversion"/>
  </si>
  <si>
    <t>114年5月13日
北市工水工字
第1146002706號
同意備查
(雄鷄)</t>
    <phoneticPr fontId="13" type="noConversion"/>
  </si>
  <si>
    <t>磺港路LT-S0K+440~510道路側溝、三合街北側-透水磚B型、瀝青混凝土地坪、主園道-0K+670~690人行道PC</t>
  </si>
  <si>
    <t>磺港路LT-S0K+510~600 道路側溝PC</t>
  </si>
  <si>
    <t>EF-1140514
混凝土
自主檢查表</t>
    <phoneticPr fontId="13" type="noConversion"/>
  </si>
  <si>
    <t>磺港路LT-S0K+440~510 道路側溝底板、主園道0k+670~690透水磚A型、三合街北側透水磚A型、三合街北側透水磚B型、瀝青鋪面地坪</t>
  </si>
  <si>
    <t>114年5月15日
任泰顧字
第1140515621號
第1140515622號
(雄鷄)</t>
    <phoneticPr fontId="13" type="noConversion"/>
  </si>
  <si>
    <t>磺港路LT-S0K+440~510 道路側溝牆身、滯洪池週邊 座台A型</t>
  </si>
  <si>
    <t>磺港路LT-S0K+620~660道路側溝PC</t>
  </si>
  <si>
    <t>磺港路RT-S0K+620~660道路側溝、RPC管</t>
  </si>
  <si>
    <t>EF-1140517
混凝土
自主檢查表</t>
    <phoneticPr fontId="13" type="noConversion"/>
  </si>
  <si>
    <t>第四次變更設計</t>
    <phoneticPr fontId="13" type="noConversion"/>
  </si>
  <si>
    <t>114年5月15日
任泰顧字
第1140515623號</t>
    <phoneticPr fontId="13" type="noConversion"/>
  </si>
  <si>
    <t>114年5月20日
北市工水工字
第1146032182號</t>
    <phoneticPr fontId="13" type="noConversion"/>
  </si>
  <si>
    <t>114年5月15日
溢磺字
第1140515023號</t>
    <phoneticPr fontId="13" type="noConversion"/>
  </si>
  <si>
    <t>114年5月20日
北市工水工字
第1146002879號
同意備查
(雄鷄)</t>
    <phoneticPr fontId="13" type="noConversion"/>
  </si>
  <si>
    <t>114年5月20日
北市工水工字
第1146002880號
第1146002881號
同意備查
(雄鷄)</t>
    <phoneticPr fontId="13" type="noConversion"/>
  </si>
  <si>
    <t>114年5月14日
任泰顧字
第1140514622號
第1140514623號
(雄鷄)</t>
    <phoneticPr fontId="13" type="noConversion"/>
  </si>
  <si>
    <t>114年5月20日
北市工水工字
第1146002877號
第1146002878號
同意備查
(雄鷄)</t>
    <phoneticPr fontId="13" type="noConversion"/>
  </si>
  <si>
    <t>114年5月19日
任泰顧字
第1140519621號
(雄鷄)</t>
    <phoneticPr fontId="13" type="noConversion"/>
  </si>
  <si>
    <t>磺港路RT-S0K+620~660道路側溝牆</t>
  </si>
  <si>
    <t>114年5月21日
北市工水工字
第1146002941號
同意備查
(雄鷄)</t>
    <phoneticPr fontId="13" type="noConversion"/>
  </si>
  <si>
    <t>114年5月16日
任泰顧字
第1140516623號</t>
    <phoneticPr fontId="13" type="noConversion"/>
  </si>
  <si>
    <t>5-1</t>
    <phoneticPr fontId="13" type="noConversion"/>
  </si>
  <si>
    <t>5-2</t>
    <phoneticPr fontId="13" type="noConversion"/>
  </si>
  <si>
    <t>114年5月16日
任泰顧字
第1140516621號</t>
    <phoneticPr fontId="13" type="noConversion"/>
  </si>
  <si>
    <t>264M2</t>
    <phoneticPr fontId="13" type="noConversion"/>
  </si>
  <si>
    <t>264M2
(1組)</t>
    <phoneticPr fontId="13" type="noConversion"/>
  </si>
  <si>
    <t>114年6月3日
北市工水工字
第1146003188號
同意備查
(雄鷄)</t>
    <phoneticPr fontId="13" type="noConversion"/>
  </si>
  <si>
    <t>114年6月2日
任泰顧字
第1140602621號
(雄鷄)</t>
    <phoneticPr fontId="13" type="noConversion"/>
  </si>
  <si>
    <t>114年5月22日
任泰顧字
第1140522622號
(雄鷄)</t>
    <phoneticPr fontId="13" type="noConversion"/>
  </si>
  <si>
    <t>114年5月26日
北市工水工字
第1146003019號
同意備查
(雄鷄)</t>
    <phoneticPr fontId="13" type="noConversion"/>
  </si>
  <si>
    <t>1.2.24、1.2.25、1.2.26</t>
    <phoneticPr fontId="13" type="noConversion"/>
  </si>
  <si>
    <t>361m
(1,000m2)</t>
    <phoneticPr fontId="13" type="noConversion"/>
  </si>
  <si>
    <t>361m
(1,000m2)
(1組)</t>
    <phoneticPr fontId="13" type="noConversion"/>
  </si>
  <si>
    <t>700m
(1,000m2)</t>
    <phoneticPr fontId="13" type="noConversion"/>
  </si>
  <si>
    <t>700m
(1,000m2)
(1組)</t>
    <phoneticPr fontId="13" type="noConversion"/>
  </si>
  <si>
    <t>900m
(1,000m2)</t>
    <phoneticPr fontId="13" type="noConversion"/>
  </si>
  <si>
    <t>900m
(1,000m2)
(1組)</t>
    <phoneticPr fontId="13"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</si>
  <si>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</si>
  <si>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</si>
  <si>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</si>
  <si>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</si>
  <si>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</si>
  <si>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</si>
  <si>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</si>
  <si>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3" type="noConversion"/>
  </si>
  <si>
    <t>EF-1140528
混凝土
自主檢查表</t>
    <phoneticPr fontId="13" type="noConversion"/>
  </si>
  <si>
    <t>EF-1140610-1
混凝土
自主檢查表</t>
    <phoneticPr fontId="13"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</si>
  <si>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</si>
  <si>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</si>
  <si>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</si>
  <si>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3" type="noConversion"/>
  </si>
  <si>
    <t>EF-1140616
混凝土
自主檢查表</t>
    <phoneticPr fontId="13" type="noConversion"/>
  </si>
  <si>
    <t>114年6月13日
任泰顧字
第1140613251號</t>
    <phoneticPr fontId="13"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</si>
  <si>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3" type="noConversion"/>
  </si>
  <si>
    <t>150.4T</t>
    <phoneticPr fontId="13" type="noConversion"/>
  </si>
  <si>
    <t>150.4T
(2組)</t>
    <phoneticPr fontId="13" type="noConversion"/>
  </si>
  <si>
    <t>道路排水-BL10 過路段RCP管</t>
  </si>
  <si>
    <t>5904 M2
(10.5 T)
(1組)</t>
    <phoneticPr fontId="13" type="noConversion"/>
  </si>
  <si>
    <t>1.2.16
1.3.37
1.6.5</t>
    <phoneticPr fontId="13" type="noConversion"/>
  </si>
  <si>
    <t>22685.26 M2
(10.5 T)</t>
    <phoneticPr fontId="13" type="noConversion"/>
  </si>
  <si>
    <t>22685.26 M2
(10.5 T)
(1組)</t>
    <phoneticPr fontId="13" type="noConversion"/>
  </si>
  <si>
    <t>114年6月18日
任泰顧字
第1140618251號</t>
    <phoneticPr fontId="13" type="noConversion"/>
  </si>
  <si>
    <t>114年6月13日
任泰顧字
第1140613254號</t>
    <phoneticPr fontId="13" type="noConversion"/>
  </si>
  <si>
    <t>114年6月13日
任泰顧字
第1140613253號</t>
    <phoneticPr fontId="13" type="noConversion"/>
  </si>
  <si>
    <t>114年5月26日
任泰顧字
第1140526622號</t>
    <phoneticPr fontId="13" type="noConversion"/>
  </si>
  <si>
    <t>114年5月26日
任泰顧字
第1140526624號</t>
    <phoneticPr fontId="13" type="noConversion"/>
  </si>
  <si>
    <t>114年5月23日
任泰顧字
第1140523621號</t>
    <phoneticPr fontId="13" type="noConversion"/>
  </si>
  <si>
    <t>114年5月28日
任泰顧字
第1140528622號</t>
    <phoneticPr fontId="13" type="noConversion"/>
  </si>
  <si>
    <t>114年5月26日
任泰顧字
第1140526623號</t>
    <phoneticPr fontId="13" type="noConversion"/>
  </si>
  <si>
    <t>114年5月21日
任泰顧字
第1140521621號</t>
    <phoneticPr fontId="13" type="noConversion"/>
  </si>
  <si>
    <t>114年5月21日
任泰顧字
第1140521622號</t>
    <phoneticPr fontId="13" type="noConversion"/>
  </si>
  <si>
    <t>114年5月21日
任泰顧字
第1140521623號</t>
    <phoneticPr fontId="13" type="noConversion"/>
  </si>
  <si>
    <t>114年4月22日
任泰顧字
第1140521622號</t>
    <phoneticPr fontId="13" type="noConversion"/>
  </si>
  <si>
    <t>114年4月22日
任泰顧字
第1140521623號</t>
    <phoneticPr fontId="13" type="noConversion"/>
  </si>
  <si>
    <t>114年4月22日
任泰顧字
第1140521624號</t>
    <phoneticPr fontId="13"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</si>
  <si>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</si>
  <si>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</si>
  <si>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</si>
  <si>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</si>
  <si>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</si>
  <si>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</si>
  <si>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</si>
  <si>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</si>
  <si>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3" type="noConversion"/>
  </si>
  <si>
    <t>EF-1140625
混凝土
自主檢查表</t>
    <phoneticPr fontId="13" type="noConversion"/>
  </si>
  <si>
    <t>結構用混凝土，預拌，210kgf/cm2</t>
    <phoneticPr fontId="13" type="noConversion"/>
  </si>
  <si>
    <t>磺港路-LT-S0K+700~740 道路側溝牆身</t>
  </si>
  <si>
    <t>構造物回填，回填及夯實(實際)</t>
    <phoneticPr fontId="13" type="noConversion"/>
  </si>
  <si>
    <t>9-3</t>
    <phoneticPr fontId="13" type="noConversion"/>
  </si>
  <si>
    <t>8-1-1</t>
    <phoneticPr fontId="13" type="noConversion"/>
  </si>
  <si>
    <t>水利處：李晏然
任  泰：陳勇智
上  溢：康祐銓</t>
    <phoneticPr fontId="13" type="noConversion"/>
  </si>
  <si>
    <t>395.04M2</t>
    <phoneticPr fontId="13" type="noConversion"/>
  </si>
  <si>
    <t>998M2</t>
    <phoneticPr fontId="13" type="noConversion"/>
  </si>
  <si>
    <t>998M2
(1組)</t>
    <phoneticPr fontId="13"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</si>
  <si>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</si>
  <si>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</si>
  <si>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</si>
  <si>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</si>
  <si>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3" type="noConversion"/>
  </si>
  <si>
    <t>磺港路LT-S0K+760~800 道路側溝底板</t>
  </si>
  <si>
    <t>磺港路LT-S0K+760~800 道路側溝牆及三合街南側左岸透水磚地坪A</t>
  </si>
  <si>
    <t>114年7月21日
任泰顧字
第1140721253號</t>
    <phoneticPr fontId="13" type="noConversion"/>
  </si>
  <si>
    <t>114年7月7日
任泰顧字
第1140707253號</t>
    <phoneticPr fontId="13" type="noConversion"/>
  </si>
  <si>
    <t>114年6月27日
任泰顧字
第1140627252號</t>
    <phoneticPr fontId="13" type="noConversion"/>
  </si>
  <si>
    <t>114年6月24日
任泰顧字
第1140611251號</t>
    <phoneticPr fontId="13" type="noConversion"/>
  </si>
  <si>
    <t>114年4月23日
任泰顧字
第1140423623號</t>
    <phoneticPr fontId="13" type="noConversion"/>
  </si>
  <si>
    <t>114年7月30日
任泰顧字
第1140730621號</t>
    <phoneticPr fontId="13" type="noConversion"/>
  </si>
  <si>
    <t>114年2月11日
任泰顧字
第1140211623號
D13*8</t>
    <phoneticPr fontId="13" type="noConversion"/>
  </si>
  <si>
    <t>114年2月11日
任泰顧字
第1140211623號
D16*2</t>
    <phoneticPr fontId="13" type="noConversion"/>
  </si>
  <si>
    <t>114年7月29日
任泰顧字第1140729255號
60*10*10cm</t>
    <phoneticPr fontId="13" type="noConversion"/>
  </si>
  <si>
    <t>114年7月29日
任泰顧字第1140729255號
60*10*20cm</t>
    <phoneticPr fontId="13" type="noConversion"/>
  </si>
  <si>
    <t>114年7月29日
任泰顧字第1140729255號
60*(15/20)*22cm</t>
    <phoneticPr fontId="13" type="noConversion"/>
  </si>
  <si>
    <t>114年8月1日
任泰顧字
第1140801621號</t>
    <phoneticPr fontId="13" type="noConversion"/>
  </si>
  <si>
    <t>磺港路LT-S0K+530~600、磺港路LT-S0K+700~740 緣石PC</t>
  </si>
  <si>
    <t>磺港路LT-S0K+800~815 側溝頂板</t>
  </si>
  <si>
    <t>EF-1140801
混凝土
自主檢查表</t>
    <phoneticPr fontId="13" type="noConversion"/>
  </si>
  <si>
    <t>EF-1140806
混凝土
自主檢查表</t>
    <phoneticPr fontId="13"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</si>
  <si>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</si>
  <si>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</si>
  <si>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</si>
  <si>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</si>
  <si>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</si>
  <si>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3" type="noConversion"/>
  </si>
  <si>
    <t>2.施工廠商應將本表於開工報核時檢附提供予監造單位，監造單位報核開工時應檢附本表。</t>
    <phoneticPr fontId="13" type="noConversion"/>
  </si>
  <si>
    <t>3.施工廠商應於開工後適時更新本表，並提送監造單位審核，以確認各項材料設備送審期程是否符合時程。</t>
    <phoneticPr fontId="13"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</si>
  <si>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</si>
  <si>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磺港路LT-S0K+600~620道路緣石PC</t>
  </si>
  <si>
    <t>磺港路LT-S0K+460~530 透水磚地坪A、觀溪亭基礎</t>
  </si>
  <si>
    <t>磺港路LT-S0K+460~600 淺溝、磺港路LT-S0K+680~700暗溝頂板</t>
  </si>
  <si>
    <t>EF-1140812
混凝土
自主檢查表</t>
    <phoneticPr fontId="13" type="noConversion"/>
  </si>
  <si>
    <t>契約詳細表項次</t>
    <phoneticPr fontId="13" type="noConversion"/>
  </si>
  <si>
    <t>累積進場數量</t>
    <phoneticPr fontId="16" type="noConversion"/>
  </si>
  <si>
    <t>累積抽樣數量</t>
    <phoneticPr fontId="13" type="noConversion"/>
  </si>
  <si>
    <t>監造單位：任泰技術顧問有限公司</t>
    <phoneticPr fontId="16" type="noConversion"/>
  </si>
  <si>
    <t>施工廠商：上溢營造份有限公司</t>
    <phoneticPr fontId="16" type="noConversion"/>
  </si>
  <si>
    <t>契約詳細表項次</t>
    <phoneticPr fontId="13" type="noConversion"/>
  </si>
  <si>
    <t>契約
數量</t>
    <phoneticPr fontId="13" type="noConversion"/>
  </si>
  <si>
    <t>進場
日期</t>
    <phoneticPr fontId="16" type="noConversion"/>
  </si>
  <si>
    <t>進場
數量</t>
    <phoneticPr fontId="16" type="noConversion"/>
  </si>
  <si>
    <t>抽樣
日期</t>
    <phoneticPr fontId="13" type="noConversion"/>
  </si>
  <si>
    <t>規定抽（取）樣頻率</t>
    <phoneticPr fontId="13" type="noConversion"/>
  </si>
  <si>
    <t>累積進場數量</t>
    <phoneticPr fontId="16" type="noConversion"/>
  </si>
  <si>
    <t>抽試驗結果</t>
    <phoneticPr fontId="16" type="noConversion"/>
  </si>
  <si>
    <t>抽驗及會同人員</t>
    <phoneticPr fontId="16" type="noConversion"/>
  </si>
  <si>
    <t>備註</t>
    <phoneticPr fontId="16" type="noConversion"/>
  </si>
  <si>
    <t>材料(設備)名稱</t>
    <phoneticPr fontId="13" type="noConversion"/>
  </si>
  <si>
    <t>抽樣
數量</t>
    <phoneticPr fontId="13" type="noConversion"/>
  </si>
  <si>
    <t>累積抽樣數量</t>
    <phoneticPr fontId="13" type="noConversion"/>
  </si>
  <si>
    <t>(歸檔編號)</t>
    <phoneticPr fontId="13" type="noConversion"/>
  </si>
  <si>
    <t>4-9.5-1</t>
    <phoneticPr fontId="13" type="noConversion"/>
  </si>
  <si>
    <t>1.6.1</t>
    <phoneticPr fontId="13" type="noConversion"/>
  </si>
  <si>
    <t>含量抽油試驗每天檢驗2次(分層隨機抽樣)，可併同監造單位辦理；粒料檢驗頻率每2000m3一次</t>
    <phoneticPr fontId="13" type="noConversion"/>
  </si>
  <si>
    <t>合格</t>
    <phoneticPr fontId="13" type="noConversion"/>
  </si>
  <si>
    <t>瀝青混凝土舖面，粗粒料9.5mm，黏度AC(1)-20</t>
    <phoneticPr fontId="13" type="noConversion"/>
  </si>
  <si>
    <t>1.6.1</t>
    <phoneticPr fontId="13" type="noConversion"/>
  </si>
  <si>
    <t>4-9.5-3</t>
    <phoneticPr fontId="13" type="noConversion"/>
  </si>
  <si>
    <t>114年5月16日
任泰顧字
第1140516622號</t>
    <phoneticPr fontId="13" type="noConversion"/>
  </si>
  <si>
    <t>4-9.5-4</t>
    <phoneticPr fontId="13" type="noConversion"/>
  </si>
  <si>
    <t>114年6月13日
任泰顧字
第1140613252號</t>
    <phoneticPr fontId="13" type="noConversion"/>
  </si>
  <si>
    <t>4-19-1</t>
    <phoneticPr fontId="13" type="noConversion"/>
  </si>
  <si>
    <t>1.6.2</t>
    <phoneticPr fontId="13" type="noConversion"/>
  </si>
  <si>
    <t>114年2月19日
任泰顧字
第1140219623號</t>
    <phoneticPr fontId="13" type="noConversion"/>
  </si>
  <si>
    <t>4-19-2</t>
    <phoneticPr fontId="13" type="noConversion"/>
  </si>
  <si>
    <t>114年4月29日
任泰顧字
第1140429623號</t>
    <phoneticPr fontId="13" type="noConversion"/>
  </si>
  <si>
    <t>4-19-3</t>
    <phoneticPr fontId="13"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</si>
  <si>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</si>
  <si>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</si>
  <si>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1920M2</t>
    <phoneticPr fontId="13" type="noConversion"/>
  </si>
  <si>
    <t>15</t>
    <phoneticPr fontId="13" type="noConversion"/>
  </si>
  <si>
    <t>113年7月9日
任泰顧字
第1130709107號</t>
  </si>
  <si>
    <t>(工地密度)
每層滾壓完成後，每層數量以1,000m2為一批檢驗1次，餘數500m2以下得併前一批檢驗；超過500m2單獨為一批檢驗。</t>
  </si>
  <si>
    <t>1.2.5、1.3.3、1.4.2、1.5.2、1.6.7</t>
    <phoneticPr fontId="13" type="noConversion"/>
  </si>
  <si>
    <t>1.每批次數量未達20 m3時，免檢驗。
2.每批次數量達20～100 m3檢驗1組。
3.每批次數量超過100 m3時，每100 m3加驗1組，餘數未達100m³亦加驗1組。</t>
  </si>
  <si>
    <t>1.2.4、1.3.2、1.4.1、1.5.1、1.6.6</t>
    <phoneticPr fontId="13" type="noConversion"/>
  </si>
  <si>
    <t>1.2.3、1.3.5、1.3.20、1.3.6、1.4.7、1.4.8、1.5.8、1.5.9、1.6.11</t>
    <phoneticPr fontId="13" type="noConversion"/>
  </si>
  <si>
    <t xml:space="preserve">113年5月22日113任泰顧字第0522010011號D10*1
(113.5.6府查核)
</t>
    <phoneticPr fontId="13"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</si>
  <si>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3" type="noConversion"/>
  </si>
  <si>
    <t>114年2月19日
任泰顧字
第1140219623號</t>
  </si>
  <si>
    <t>-</t>
    <phoneticPr fontId="13" type="noConversion"/>
  </si>
  <si>
    <t>-</t>
    <phoneticPr fontId="13" type="noConversion"/>
  </si>
  <si>
    <t>上  溢：郭冠廷</t>
    <phoneticPr fontId="13" type="noConversion"/>
  </si>
  <si>
    <t>EF-1140215
混凝土
自主檢查表</t>
    <phoneticPr fontId="13" type="noConversion"/>
  </si>
  <si>
    <t>EF-1140218
混凝土
自主檢查表</t>
    <phoneticPr fontId="13" type="noConversion"/>
  </si>
  <si>
    <t>EF-1140222
混凝土
自主檢查表</t>
    <phoneticPr fontId="13" type="noConversion"/>
  </si>
  <si>
    <t>EF-1140301
混凝土
自主檢查表</t>
    <phoneticPr fontId="13" type="noConversion"/>
  </si>
  <si>
    <t>EF-1140304
混凝土
自主檢查表</t>
    <phoneticPr fontId="13" type="noConversion"/>
  </si>
  <si>
    <t>EF-1140326
混凝土
自主檢查表</t>
    <phoneticPr fontId="13" type="noConversion"/>
  </si>
  <si>
    <t>EF-1140403
混凝土
自主檢查表</t>
    <phoneticPr fontId="13" type="noConversion"/>
  </si>
  <si>
    <t>EF-1140409
混凝土
自主檢查表</t>
    <phoneticPr fontId="13" type="noConversion"/>
  </si>
  <si>
    <t>EF-1140515
混凝土
自主檢查表</t>
    <phoneticPr fontId="13" type="noConversion"/>
  </si>
  <si>
    <t>EF-1140520
混凝土
自主檢查表</t>
    <phoneticPr fontId="13" type="noConversion"/>
  </si>
  <si>
    <t>EF-1140521
混凝土
自主檢查表</t>
    <phoneticPr fontId="13" type="noConversion"/>
  </si>
  <si>
    <t>EF-1140611
混凝土
自主檢查表</t>
    <phoneticPr fontId="13" type="noConversion"/>
  </si>
  <si>
    <t>EF-1140617
混凝土
自主檢查表</t>
    <phoneticPr fontId="13" type="noConversion"/>
  </si>
  <si>
    <t>EF-1140627
混凝土
自主檢查表</t>
    <phoneticPr fontId="13" type="noConversion"/>
  </si>
  <si>
    <t>EF-1140630
混凝土
自主檢查表</t>
    <phoneticPr fontId="13" type="noConversion"/>
  </si>
  <si>
    <t>EF-1140703
混凝土
自主檢查表</t>
    <phoneticPr fontId="13" type="noConversion"/>
  </si>
  <si>
    <t>EF-1140708
混凝土
自主檢查表</t>
    <phoneticPr fontId="13" type="noConversion"/>
  </si>
  <si>
    <t>EF-1140711
混凝土
自主檢查表</t>
    <phoneticPr fontId="13" type="noConversion"/>
  </si>
  <si>
    <t>EF-1140715
混凝土
自主檢查表</t>
    <phoneticPr fontId="13" type="noConversion"/>
  </si>
  <si>
    <t>EF-1140721
混凝土
自主檢查表</t>
    <phoneticPr fontId="13" type="noConversion"/>
  </si>
  <si>
    <t>EF-1140728
混凝土
自主檢查表</t>
    <phoneticPr fontId="13" type="noConversion"/>
  </si>
  <si>
    <t>EF-1140802
混凝土
自主檢查表</t>
    <phoneticPr fontId="13" type="noConversion"/>
  </si>
  <si>
    <t>EF-1140806-1
混凝土
自主檢查表</t>
    <phoneticPr fontId="13" type="noConversion"/>
  </si>
  <si>
    <t>EF-1140811
混凝土
自主檢查表</t>
    <phoneticPr fontId="13" type="noConversion"/>
  </si>
  <si>
    <t>任  泰：王淑慧                 上  溢：李建豪</t>
    <phoneticPr fontId="13" type="noConversion"/>
  </si>
  <si>
    <t>任  泰：陳勇智
上  溢：康祐銓</t>
    <phoneticPr fontId="13" type="noConversion"/>
  </si>
  <si>
    <t>水利處：李晏然
任  泰：陳勇智                 上  溢：康祐銓</t>
    <phoneticPr fontId="13" type="noConversion"/>
  </si>
  <si>
    <t>74,400
KG</t>
    <phoneticPr fontId="13" type="noConversion"/>
  </si>
  <si>
    <t>74,400
KG
(3組)</t>
    <phoneticPr fontId="13" type="noConversion"/>
  </si>
  <si>
    <t>以同一爐號及相同標稱直徑之鋼筋為1組，每組取1支試樣，但同一爐號質量超過50t至100t以下者，每組取2支，同一爐號質量超過100t者，每增加50t(不足50t，以50t計)，每組另加取1支。</t>
  </si>
  <si>
    <t>113年9月26日
113任泰顧字
第1130926621號
D13*2</t>
    <phoneticPr fontId="13" type="noConversion"/>
  </si>
  <si>
    <t>113年9月26日
113任泰顧字
第1130926621號
D16*5、D22*2、D29*1</t>
    <phoneticPr fontId="13" type="noConversion"/>
  </si>
  <si>
    <t>113年11月6日
113任泰顧字
第1131106622號
D19*1、D22*4、D25*1</t>
    <phoneticPr fontId="13" type="noConversion"/>
  </si>
  <si>
    <t>165組</t>
    <phoneticPr fontId="13" type="noConversion"/>
  </si>
  <si>
    <t>114年3月11日
任泰顧字
第1140311621號</t>
    <phoneticPr fontId="13" type="noConversion"/>
  </si>
  <si>
    <t>114年8月8日
任泰顧字
第1140808621號
共月橋(80T)
三合橋(70.4T)</t>
    <phoneticPr fontId="13" type="noConversion"/>
  </si>
  <si>
    <t>4200M2</t>
    <phoneticPr fontId="13" type="noConversion"/>
  </si>
  <si>
    <t>8-2-1</t>
    <phoneticPr fontId="13" type="noConversion"/>
  </si>
  <si>
    <t>契約詳細表項次</t>
    <phoneticPr fontId="16" type="noConversion"/>
  </si>
  <si>
    <t>預定送審  日期</t>
    <phoneticPr fontId="13" type="noConversion"/>
  </si>
  <si>
    <t>審查日期</t>
    <phoneticPr fontId="16" type="noConversion"/>
  </si>
  <si>
    <t>審查結果</t>
    <phoneticPr fontId="16" type="noConversion"/>
  </si>
  <si>
    <t>實際送審  日期</t>
    <phoneticPr fontId="13" type="noConversion"/>
  </si>
  <si>
    <t>ˇ</t>
    <phoneticPr fontId="16" type="noConversion"/>
  </si>
  <si>
    <t>112/11/1</t>
    <phoneticPr fontId="13" type="noConversion"/>
  </si>
  <si>
    <t>X</t>
    <phoneticPr fontId="13" type="noConversion"/>
  </si>
  <si>
    <t>112/9/4</t>
    <phoneticPr fontId="13" type="noConversion"/>
  </si>
  <si>
    <t>ˇ</t>
    <phoneticPr fontId="13" type="noConversion"/>
  </si>
  <si>
    <t>114/4/1</t>
    <phoneticPr fontId="13" type="noConversion"/>
  </si>
  <si>
    <t>113/2/17</t>
    <phoneticPr fontId="13" type="noConversion"/>
  </si>
  <si>
    <t>.</t>
    <phoneticPr fontId="13" type="noConversion"/>
  </si>
  <si>
    <t>1.2.4、1.2.5、
1.3.2、1.3.3、
1.3.4、1.3.20、
1.4.1、1.4.2、
1.4.3、1.4.9、
1.5.1、1.5.2、
1.5.3、1.6.6、
1.6.7</t>
    <phoneticPr fontId="16" type="noConversion"/>
  </si>
  <si>
    <t>預拌混凝土</t>
    <phoneticPr fontId="16" type="noConversion"/>
  </si>
  <si>
    <t>112/8/22</t>
    <phoneticPr fontId="13" type="noConversion"/>
  </si>
  <si>
    <t>註：1.施工廠商應依契約之「材料、設備檢（試）驗一覽表」將資料填入，以預為準備材料設備送審事宜，並作為監造單位管制</t>
    <phoneticPr fontId="16" type="noConversion"/>
  </si>
  <si>
    <t xml:space="preserve"> 各項材料設備送審期程，且需納入結算書陳核。</t>
    <phoneticPr fontId="13" type="noConversion"/>
  </si>
  <si>
    <t>113/2/2</t>
    <phoneticPr fontId="13" type="noConversion"/>
  </si>
  <si>
    <t>預拌混凝土，二型</t>
    <phoneticPr fontId="16" type="noConversion"/>
  </si>
  <si>
    <t>113/1/30</t>
    <phoneticPr fontId="13" type="noConversion"/>
  </si>
  <si>
    <t>1.5.3</t>
    <phoneticPr fontId="16" type="noConversion"/>
  </si>
  <si>
    <t>112/10/5</t>
    <phoneticPr fontId="13" type="noConversion"/>
  </si>
  <si>
    <t>控制性低強度回填材料(CLSM)</t>
    <phoneticPr fontId="16" type="noConversion"/>
  </si>
  <si>
    <t>112/10/3</t>
    <phoneticPr fontId="13" type="noConversion"/>
  </si>
  <si>
    <t>114/1/1</t>
    <phoneticPr fontId="13" type="noConversion"/>
  </si>
  <si>
    <t>HDPE透水管</t>
    <phoneticPr fontId="16" type="noConversion"/>
  </si>
  <si>
    <t>113/2/19</t>
    <phoneticPr fontId="13" type="noConversion"/>
  </si>
  <si>
    <t>113/10/9</t>
    <phoneticPr fontId="13" type="noConversion"/>
  </si>
  <si>
    <t>113/10/18</t>
    <phoneticPr fontId="13" type="noConversion"/>
  </si>
  <si>
    <t>X</t>
    <phoneticPr fontId="16" type="noConversion"/>
  </si>
  <si>
    <t>113年10月19日
任泰顧字
第1131019621號
114年5月7日
任泰顧字
第1140507624號
(尚美)</t>
    <phoneticPr fontId="13" type="noConversion"/>
  </si>
  <si>
    <t>梯形地磚</t>
    <phoneticPr fontId="16" type="noConversion"/>
  </si>
  <si>
    <t>1.4.9、1.4.10、1.4.11</t>
    <phoneticPr fontId="16" type="noConversion"/>
  </si>
  <si>
    <t>114/5/1</t>
    <phoneticPr fontId="13" type="noConversion"/>
  </si>
  <si>
    <t>114/3/1</t>
    <phoneticPr fontId="13" type="noConversion"/>
  </si>
  <si>
    <t>1.6.1、1.6.2</t>
    <phoneticPr fontId="16" type="noConversion"/>
  </si>
  <si>
    <t>114/1/15</t>
    <phoneticPr fontId="13" type="noConversion"/>
  </si>
  <si>
    <t>113年2月2日
113任泰顧字
第0202010001號
(合豐)
113年10月28日
任泰顧字
第1131028622號
(合豐)
114年2月24日
任泰顧字
第1140224621號
(大友)
114年7月7日
任泰顧字
第1140707252號
(大友)</t>
    <phoneticPr fontId="13"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</si>
  <si>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3" type="noConversion"/>
  </si>
  <si>
    <t>瀝青混凝土</t>
    <phoneticPr fontId="16" type="noConversion"/>
  </si>
  <si>
    <t>1.2.10、1.3.14</t>
    <phoneticPr fontId="16" type="noConversion"/>
  </si>
  <si>
    <t>113/6/1</t>
    <phoneticPr fontId="13" type="noConversion"/>
  </si>
  <si>
    <t>113年6月7日
任泰顧字
第1130607101號
(振華興)</t>
    <phoneticPr fontId="13" type="noConversion"/>
  </si>
  <si>
    <t>氟碳烤漆樣板</t>
    <phoneticPr fontId="16" type="noConversion"/>
  </si>
  <si>
    <t>113/6/6</t>
    <phoneticPr fontId="13" type="noConversion"/>
  </si>
  <si>
    <t>原木</t>
    <phoneticPr fontId="16" type="noConversion"/>
  </si>
  <si>
    <t>114/4/17</t>
    <phoneticPr fontId="13" type="noConversion"/>
  </si>
  <si>
    <t>1.2.66、1.2.67、1.2.68、1.2.69</t>
    <phoneticPr fontId="16" type="noConversion"/>
  </si>
  <si>
    <t>114/7/1</t>
    <phoneticPr fontId="13" type="noConversion"/>
  </si>
  <si>
    <t>解說牌圖樣</t>
    <phoneticPr fontId="16" type="noConversion"/>
  </si>
  <si>
    <t>1.2.58</t>
    <phoneticPr fontId="16" type="noConversion"/>
  </si>
  <si>
    <t>地圖導覽牌、告示牌</t>
    <phoneticPr fontId="16" type="noConversion"/>
  </si>
  <si>
    <t>1.2.60</t>
    <phoneticPr fontId="16" type="noConversion"/>
  </si>
  <si>
    <t>標示牌、指引牌</t>
    <phoneticPr fontId="16" type="noConversion"/>
  </si>
  <si>
    <t>1.2.73</t>
    <phoneticPr fontId="16" type="noConversion"/>
  </si>
  <si>
    <t>熱處理聚酯標線</t>
    <phoneticPr fontId="16" type="noConversion"/>
  </si>
  <si>
    <t>1.8.6、1.8.7、1.8.8、1.8.9</t>
    <phoneticPr fontId="16" type="noConversion"/>
  </si>
  <si>
    <t>燈具燈桿烤漆樣板</t>
    <phoneticPr fontId="16" type="noConversion"/>
  </si>
  <si>
    <t>114/2/24</t>
    <phoneticPr fontId="13" type="noConversion"/>
  </si>
  <si>
    <t>1.8.6</t>
    <phoneticPr fontId="16" type="noConversion"/>
  </si>
  <si>
    <t>114/6/1</t>
    <phoneticPr fontId="13" type="noConversion"/>
  </si>
  <si>
    <t>114年5月14日
任泰顧字
第1140514624號
(雄鷄)</t>
    <phoneticPr fontId="13" type="noConversion"/>
  </si>
  <si>
    <t>燈具-單臂路燈</t>
    <phoneticPr fontId="16" type="noConversion"/>
  </si>
  <si>
    <t>114/5/14</t>
    <phoneticPr fontId="13" type="noConversion"/>
  </si>
  <si>
    <t>1.8.7</t>
    <phoneticPr fontId="16" type="noConversion"/>
  </si>
  <si>
    <t>燈具-子母路燈</t>
    <phoneticPr fontId="16" type="noConversion"/>
  </si>
  <si>
    <t>1.8.8</t>
    <phoneticPr fontId="16" type="noConversion"/>
  </si>
  <si>
    <t>燈具-景觀高燈</t>
    <phoneticPr fontId="16" type="noConversion"/>
  </si>
  <si>
    <t>114/3/20</t>
    <phoneticPr fontId="13" type="noConversion"/>
  </si>
  <si>
    <t>1.8.9</t>
    <phoneticPr fontId="16" type="noConversion"/>
  </si>
  <si>
    <t>燈具-矮柱燈</t>
    <phoneticPr fontId="16" type="noConversion"/>
  </si>
  <si>
    <t>114/5/9</t>
    <phoneticPr fontId="13" type="noConversion"/>
  </si>
  <si>
    <t>1.8.10、1.8.11</t>
    <phoneticPr fontId="16" type="noConversion"/>
  </si>
  <si>
    <t>燈具-LED線燈</t>
    <phoneticPr fontId="16" type="noConversion"/>
  </si>
  <si>
    <t>1.8.12</t>
    <phoneticPr fontId="16" type="noConversion"/>
  </si>
  <si>
    <t>燈具-軟帶燈</t>
    <phoneticPr fontId="16" type="noConversion"/>
  </si>
  <si>
    <t>燈具-防水崁燈</t>
    <phoneticPr fontId="16" type="noConversion"/>
  </si>
  <si>
    <t>114/5/22</t>
    <phoneticPr fontId="13" type="noConversion"/>
  </si>
  <si>
    <t>114/6/16</t>
    <phoneticPr fontId="13" type="noConversion"/>
  </si>
  <si>
    <t>燈具-投射燈</t>
    <phoneticPr fontId="16" type="noConversion"/>
  </si>
  <si>
    <t>114/6/2</t>
    <phoneticPr fontId="13" type="noConversion"/>
  </si>
  <si>
    <t>1.8.15</t>
    <phoneticPr fontId="16" type="noConversion"/>
  </si>
  <si>
    <t>燈具-水波紋高燈</t>
    <phoneticPr fontId="16" type="noConversion"/>
  </si>
  <si>
    <t>1.2.84、1.2.85、1.2.86、1.2.87、1.2.94</t>
    <phoneticPr fontId="16" type="noConversion"/>
  </si>
  <si>
    <t>地工織物</t>
    <phoneticPr fontId="16" type="noConversion"/>
  </si>
  <si>
    <t>113/5/7</t>
    <phoneticPr fontId="13" type="noConversion"/>
  </si>
  <si>
    <t>欄杆</t>
    <phoneticPr fontId="16" type="noConversion"/>
  </si>
  <si>
    <t>113/5/9</t>
    <phoneticPr fontId="13" type="noConversion"/>
  </si>
  <si>
    <t>1.2.10、1.3.15</t>
    <phoneticPr fontId="16" type="noConversion"/>
  </si>
  <si>
    <t>結構用鋼材</t>
    <phoneticPr fontId="16" type="noConversion"/>
  </si>
  <si>
    <t>1.5.10</t>
    <phoneticPr fontId="16" type="noConversion"/>
  </si>
  <si>
    <t>鋼筋混凝土管(B型)，D=500mm，三級管，未含開挖回填</t>
    <phoneticPr fontId="16" type="noConversion"/>
  </si>
  <si>
    <t>112/11/8</t>
    <phoneticPr fontId="13" type="noConversion"/>
  </si>
  <si>
    <t>預力混凝土基樁，D=600mm</t>
    <phoneticPr fontId="16" type="noConversion"/>
  </si>
  <si>
    <t>1.4.14</t>
    <phoneticPr fontId="16" type="noConversion"/>
  </si>
  <si>
    <t>113/2/1</t>
    <phoneticPr fontId="13" type="noConversion"/>
  </si>
  <si>
    <t>蜂巢格網</t>
    <phoneticPr fontId="16" type="noConversion"/>
  </si>
  <si>
    <t>1.4.13、1.6.12</t>
    <phoneticPr fontId="16" type="noConversion"/>
  </si>
  <si>
    <t>植筋藥劑</t>
    <phoneticPr fontId="16" type="noConversion"/>
  </si>
  <si>
    <t>113/2/22</t>
    <phoneticPr fontId="13" type="noConversion"/>
  </si>
  <si>
    <t>產品，透水性舖面，透水孔紙模(TH: 15cm)</t>
    <phoneticPr fontId="16" type="noConversion"/>
  </si>
  <si>
    <t>透水黏層砂漿</t>
    <phoneticPr fontId="16" type="noConversion"/>
  </si>
  <si>
    <t>113/3/19</t>
    <phoneticPr fontId="13" type="noConversion"/>
  </si>
  <si>
    <t>1.2.77</t>
    <phoneticPr fontId="16" type="noConversion"/>
  </si>
  <si>
    <t>產品，撥桿式水龍頭</t>
    <phoneticPr fontId="16" type="noConversion"/>
  </si>
  <si>
    <t>1.2.94</t>
    <phoneticPr fontId="16" type="noConversion"/>
  </si>
  <si>
    <t>雨水積磚</t>
    <phoneticPr fontId="16" type="noConversion"/>
  </si>
  <si>
    <t>1.6.3</t>
    <phoneticPr fontId="16" type="noConversion"/>
  </si>
  <si>
    <t>113/1/20</t>
    <phoneticPr fontId="13" type="noConversion"/>
  </si>
  <si>
    <t>盤式支承</t>
    <phoneticPr fontId="16" type="noConversion"/>
  </si>
  <si>
    <t>113/1/17</t>
    <phoneticPr fontId="13" type="noConversion"/>
  </si>
  <si>
    <t>113/5/15</t>
    <phoneticPr fontId="13" type="noConversion"/>
  </si>
  <si>
    <t>PVC管</t>
    <phoneticPr fontId="16" type="noConversion"/>
  </si>
  <si>
    <t>113/5/23</t>
    <phoneticPr fontId="13" type="noConversion"/>
  </si>
  <si>
    <t>113年5月24日
任泰顧字
第1130524101號
(漢佳)</t>
    <phoneticPr fontId="13" type="noConversion"/>
  </si>
  <si>
    <t>石材</t>
    <phoneticPr fontId="16" type="noConversion"/>
  </si>
  <si>
    <t>1.4.16</t>
    <phoneticPr fontId="16" type="noConversion"/>
  </si>
  <si>
    <t>113/6/19</t>
    <phoneticPr fontId="13" type="noConversion"/>
  </si>
  <si>
    <t>113年6月19日
任泰顧字
第1130619101號
(輔彬)
113年6月19日
任泰顧字
第1130619102號
(永曦)</t>
    <phoneticPr fontId="13" type="noConversion"/>
  </si>
  <si>
    <t>止水帶</t>
    <phoneticPr fontId="16" type="noConversion"/>
  </si>
  <si>
    <t>1.4.24</t>
    <phoneticPr fontId="16" type="noConversion"/>
  </si>
  <si>
    <t>113/6/21</t>
    <phoneticPr fontId="13" type="noConversion"/>
  </si>
  <si>
    <t>113年6月24日
任泰顧字
第1130624101號
(震偉)</t>
    <phoneticPr fontId="13" type="noConversion"/>
  </si>
  <si>
    <t>混凝土植草磚</t>
    <phoneticPr fontId="16" type="noConversion"/>
  </si>
  <si>
    <t>113/6/25</t>
    <phoneticPr fontId="13" type="noConversion"/>
  </si>
  <si>
    <t>113年6月26日
任泰顧字
第1130626101號
(意動創新)</t>
    <phoneticPr fontId="13" type="noConversion"/>
  </si>
  <si>
    <t>113/11/5</t>
    <phoneticPr fontId="13" type="noConversion"/>
  </si>
  <si>
    <t>113年11月6日
任泰顧字
第1131106625號
(龍形企業)</t>
    <phoneticPr fontId="13" type="noConversion"/>
  </si>
  <si>
    <t>無收縮混凝土</t>
    <phoneticPr fontId="16" type="noConversion"/>
  </si>
  <si>
    <t>114/1/2</t>
    <phoneticPr fontId="13" type="noConversion"/>
  </si>
  <si>
    <t>113年12月23日
任泰顧字
第1131223621號
(漢佳工程)</t>
    <phoneticPr fontId="13" type="noConversion"/>
  </si>
  <si>
    <t>碎石級配</t>
    <phoneticPr fontId="16" type="noConversion"/>
  </si>
  <si>
    <t>113/12/25</t>
    <phoneticPr fontId="13" type="noConversion"/>
  </si>
  <si>
    <t>1.5.13</t>
    <phoneticPr fontId="16" type="noConversion"/>
  </si>
  <si>
    <t>114/2/20</t>
    <phoneticPr fontId="13" type="noConversion"/>
  </si>
  <si>
    <t>球狀石墨鑄鐵人孔蓋及框座</t>
    <phoneticPr fontId="16" type="noConversion"/>
  </si>
  <si>
    <t>114/2/11</t>
    <phoneticPr fontId="13" type="noConversion"/>
  </si>
  <si>
    <t>114/3/15</t>
    <phoneticPr fontId="13"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</si>
  <si>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</si>
  <si>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</si>
  <si>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</si>
  <si>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</si>
  <si>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</si>
  <si>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</si>
  <si>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</si>
  <si>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</si>
  <si>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3" type="noConversion"/>
  </si>
  <si>
    <t>EF-1140814
混凝土
自主檢查表</t>
    <phoneticPr fontId="13" type="noConversion"/>
  </si>
  <si>
    <t>EF-1140815
混凝土
自主檢查表</t>
    <phoneticPr fontId="13" type="noConversion"/>
  </si>
  <si>
    <t>EF-1140816
混凝土
自主檢查表</t>
    <phoneticPr fontId="13" type="noConversion"/>
  </si>
  <si>
    <t>6-1-1</t>
    <phoneticPr fontId="13" type="noConversion"/>
  </si>
  <si>
    <t>6-1-2</t>
    <phoneticPr fontId="13" type="noConversion"/>
  </si>
  <si>
    <t>鋼鐵件(欄杆)</t>
    <phoneticPr fontId="13" type="noConversion"/>
  </si>
  <si>
    <t>地工織物
(不織布)</t>
    <phoneticPr fontId="13" type="noConversion"/>
  </si>
  <si>
    <t>標線</t>
    <phoneticPr fontId="13" type="noConversion"/>
  </si>
  <si>
    <t>鋼構(結構用鋼材，銲接結構用軋鋼料，SM400B)</t>
    <phoneticPr fontId="13" type="noConversion"/>
  </si>
  <si>
    <t>工廠內
對各種銲接接頭(填角銲道)之首次檢測應就第一次檢測單位全數(100%)檢測，每檢測單位按每一節柱及其所含之梁、板為計算單位。應依每檢測單位之檢測結果再抽樣覆檢25%。</t>
    <phoneticPr fontId="13" type="noConversion"/>
  </si>
  <si>
    <t>現場
對各種銲接接頭(填角銲道)之首次檢測應就第一次檢測單位全數(100%)檢測，每檢測單位按每一節柱及其所含之梁、板為計算單位。應依每檢測單位之檢測結果再抽樣覆檢25%。</t>
    <phoneticPr fontId="13" type="noConversion"/>
  </si>
  <si>
    <t>HDPE透水管</t>
    <phoneticPr fontId="13"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</si>
  <si>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</si>
  <si>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</si>
  <si>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</si>
  <si>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</si>
  <si>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</si>
  <si>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</si>
  <si>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3" type="noConversion"/>
  </si>
  <si>
    <t>EF-1140821
混凝土
自主檢查表</t>
    <phoneticPr fontId="13" type="noConversion"/>
  </si>
  <si>
    <t>EF-1140822
混凝土
自主檢查表</t>
    <phoneticPr fontId="13" type="noConversion"/>
  </si>
  <si>
    <t>EF-1140828
混凝土
自主檢查表</t>
    <phoneticPr fontId="13" type="noConversion"/>
  </si>
  <si>
    <t>EF-1140829
混凝土
自主檢查表</t>
    <phoneticPr fontId="13" type="noConversion"/>
  </si>
  <si>
    <t>EF-1140830
混凝土
自主檢查表</t>
    <phoneticPr fontId="13" type="noConversion"/>
  </si>
  <si>
    <t>1.2.1</t>
    <phoneticPr fontId="13" type="noConversion"/>
  </si>
  <si>
    <t>磺港路ST0K+600~820人行道底層</t>
  </si>
  <si>
    <t>原土</t>
  </si>
  <si>
    <t>透水磚紙模地坪</t>
  </si>
  <si>
    <t>1.2.11</t>
  </si>
  <si>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</si>
  <si>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</si>
  <si>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</si>
  <si>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</si>
  <si>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</si>
  <si>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</si>
  <si>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3" type="noConversion"/>
  </si>
  <si>
    <t>EF-1140906
混凝土
自主檢查表</t>
    <phoneticPr fontId="13" type="noConversion"/>
  </si>
  <si>
    <t>114年9月3日
任泰顧字
第1140903624號</t>
    <phoneticPr fontId="13" type="noConversion"/>
  </si>
  <si>
    <t>114年9月3日
任泰顧字
第1140903625號</t>
    <phoneticPr fontId="13" type="noConversion"/>
  </si>
  <si>
    <t>114年8月29日
任泰顧字
第1140829624號</t>
    <phoneticPr fontId="13" type="noConversion"/>
  </si>
  <si>
    <t>114年9月4日
北市工水工字
第1146005117號</t>
    <phoneticPr fontId="13" type="noConversion"/>
  </si>
  <si>
    <t>114年8月29日
溢磺字
第1140829021號</t>
    <phoneticPr fontId="13" type="noConversion"/>
  </si>
  <si>
    <t>1.2.84~1.2.87、1.2.94</t>
  </si>
  <si>
    <t>113/7/4、113/7/5</t>
    <phoneticPr fontId="13" type="noConversion"/>
  </si>
  <si>
    <t>1-1</t>
    <phoneticPr fontId="13" type="noConversion"/>
  </si>
  <si>
    <t>1-2</t>
  </si>
  <si>
    <t>1-3</t>
  </si>
  <si>
    <t>1.4.23</t>
    <phoneticPr fontId="16" type="noConversion"/>
  </si>
  <si>
    <t>1,526.83
M3</t>
    <phoneticPr fontId="13" type="noConversion"/>
  </si>
  <si>
    <t>1.2.11~1.2.15、1.2.20、1.2.30、1.3.21~1.3.23、1.3.29、1.3.30、1.3.35</t>
    <phoneticPr fontId="13" type="noConversion"/>
  </si>
  <si>
    <t>1.2.11、1.2.17、1.2.21、1.2.64~1.2.66、1.2.84~1.2.92</t>
    <phoneticPr fontId="13" type="noConversion"/>
  </si>
  <si>
    <t>1.2.11~1.2.15、1.2.20、1.2.30、1.3.21~1.3.23、1.3.29、1.3.30、1.3.35</t>
    <phoneticPr fontId="16" type="noConversion"/>
  </si>
  <si>
    <t>1.2.52、1.2.53、1.2.54、1.2.55、1.2.56、1.3.24</t>
    <phoneticPr fontId="16" type="noConversion"/>
  </si>
  <si>
    <t>地工織物，抗沖蝕網，疊接施工</t>
    <phoneticPr fontId="16" type="noConversion"/>
  </si>
  <si>
    <t>2140.9
M2</t>
    <phoneticPr fontId="13" type="noConversion"/>
  </si>
  <si>
    <t>1.4.26</t>
    <phoneticPr fontId="16" type="noConversion"/>
  </si>
  <si>
    <t>(化學)螺栓</t>
    <phoneticPr fontId="16" type="noConversion"/>
  </si>
  <si>
    <t>162
支</t>
    <phoneticPr fontId="13" type="noConversion"/>
  </si>
  <si>
    <t>1.2.58、1.2.59、1.2.60、1.2.61、1.2.62、1.2.63、1.2.64、1.2.65、1.2.66、1.2.67</t>
    <phoneticPr fontId="16" type="noConversion"/>
  </si>
  <si>
    <t>5986m2
(6組)
抗壓</t>
    <phoneticPr fontId="13" type="noConversion"/>
  </si>
  <si>
    <t>23</t>
    <phoneticPr fontId="13" type="noConversion"/>
  </si>
  <si>
    <t>每種尺寸100支試驗1支，不得少於3支</t>
    <phoneticPr fontId="13" type="noConversion"/>
  </si>
  <si>
    <t>24-1-1</t>
    <phoneticPr fontId="13" type="noConversion"/>
  </si>
  <si>
    <t>24-2-1</t>
    <phoneticPr fontId="13" type="noConversion"/>
  </si>
  <si>
    <t>26</t>
    <phoneticPr fontId="13" type="noConversion"/>
  </si>
  <si>
    <t>27-1</t>
    <phoneticPr fontId="13" type="noConversion"/>
  </si>
  <si>
    <t>27-2</t>
    <phoneticPr fontId="13" type="noConversion"/>
  </si>
  <si>
    <t>114/8/20</t>
    <phoneticPr fontId="13" type="noConversion"/>
  </si>
  <si>
    <t>114/8/29</t>
    <phoneticPr fontId="13" type="noConversion"/>
  </si>
  <si>
    <t>1500M2</t>
    <phoneticPr fontId="13" type="noConversion"/>
  </si>
  <si>
    <t>1,244.67
M2</t>
    <phoneticPr fontId="13" type="noConversion"/>
  </si>
  <si>
    <t>1500M2
(1組)</t>
    <phoneticPr fontId="13" type="noConversion"/>
  </si>
  <si>
    <t>1764M2</t>
    <phoneticPr fontId="13" type="noConversion"/>
  </si>
  <si>
    <t>1764M2
(2組)</t>
    <phoneticPr fontId="13" type="noConversion"/>
  </si>
  <si>
    <t>113/12/31</t>
    <phoneticPr fontId="13" type="noConversion"/>
  </si>
  <si>
    <t>1.2.52、1.2.53、1.2.54、1.2.55、1.2.56、1.3.24</t>
    <phoneticPr fontId="13" type="noConversion"/>
  </si>
  <si>
    <t>197.17 M
(15867 KG)</t>
    <phoneticPr fontId="13" type="noConversion"/>
  </si>
  <si>
    <t xml:space="preserve">197.17
M
</t>
    <phoneticPr fontId="13" type="noConversion"/>
  </si>
  <si>
    <t>7-2-2</t>
    <phoneticPr fontId="13" type="noConversion"/>
  </si>
  <si>
    <t>7-2-3</t>
    <phoneticPr fontId="13" type="noConversion"/>
  </si>
  <si>
    <t>7-3-1</t>
    <phoneticPr fontId="13" type="noConversion"/>
  </si>
  <si>
    <t>耐候鋼，A242</t>
    <phoneticPr fontId="13" type="noConversion"/>
  </si>
  <si>
    <t>6-2-1</t>
    <phoneticPr fontId="13" type="noConversion"/>
  </si>
  <si>
    <t>6-3-1</t>
    <phoneticPr fontId="13" type="noConversion"/>
  </si>
  <si>
    <t>6-4-1</t>
    <phoneticPr fontId="13" type="noConversion"/>
  </si>
  <si>
    <t>12,205
KG</t>
    <phoneticPr fontId="13" type="noConversion"/>
  </si>
  <si>
    <t>1.3.10</t>
    <phoneticPr fontId="13" type="noConversion"/>
  </si>
  <si>
    <t>1.3.27、1.3.28</t>
    <phoneticPr fontId="13" type="noConversion"/>
  </si>
  <si>
    <t>1.3.34</t>
    <phoneticPr fontId="13" type="noConversion"/>
  </si>
  <si>
    <t>134
M
(10,117 KG)</t>
    <phoneticPr fontId="13" type="noConversion"/>
  </si>
  <si>
    <t xml:space="preserve">1式
(1,444.5KG)
</t>
    <phoneticPr fontId="13" type="noConversion"/>
  </si>
  <si>
    <t>197.25 M
(15867 KG)
(4組)</t>
    <phoneticPr fontId="13" type="noConversion"/>
  </si>
  <si>
    <t>197.25 M
(15867 KG)
(4組)彎曲</t>
    <phoneticPr fontId="13" type="noConversion"/>
  </si>
  <si>
    <t>114/10/14</t>
    <phoneticPr fontId="13" type="noConversion"/>
  </si>
  <si>
    <t>12,744.5 KG</t>
    <phoneticPr fontId="13" type="noConversion"/>
  </si>
  <si>
    <t>12,744.5 KG
(1組)</t>
    <phoneticPr fontId="13" type="noConversion"/>
  </si>
  <si>
    <t>共月橋耐候鋼包板6MM</t>
    <phoneticPr fontId="13" type="noConversion"/>
  </si>
  <si>
    <t>共月橋樓梯A耐候鋼板</t>
    <phoneticPr fontId="13" type="noConversion"/>
  </si>
  <si>
    <t>134 M
(10,117 KG)</t>
    <phoneticPr fontId="13" type="noConversion"/>
  </si>
  <si>
    <t>1式
(1,444.5KG)</t>
    <phoneticPr fontId="13" type="noConversion"/>
  </si>
  <si>
    <t>134 M
(10,117 KG)
(2組)</t>
    <phoneticPr fontId="13" type="noConversion"/>
  </si>
  <si>
    <t>1式
(1,444.5KG)
(1組)</t>
    <phoneticPr fontId="13" type="noConversion"/>
  </si>
  <si>
    <t>8-1-2</t>
    <phoneticPr fontId="13" type="noConversion"/>
  </si>
  <si>
    <t>377.96M2</t>
    <phoneticPr fontId="13" type="noConversion"/>
  </si>
  <si>
    <t>773
M2</t>
    <phoneticPr fontId="13" type="noConversion"/>
  </si>
  <si>
    <t>395.04
M2</t>
    <phoneticPr fontId="13" type="noConversion"/>
  </si>
  <si>
    <t>每50噸以內1次，如每批超過50噸則取2次
(SUS304)</t>
    <phoneticPr fontId="13" type="noConversion"/>
  </si>
  <si>
    <t>4-9.5-5</t>
    <phoneticPr fontId="13" type="noConversion"/>
  </si>
  <si>
    <t>水利處：李晏然
任  泰：陳勇智                上  溢：康祐銓</t>
    <phoneticPr fontId="13" type="noConversion"/>
  </si>
  <si>
    <t>64.99 M3
(149.47 T)</t>
    <phoneticPr fontId="13" type="noConversion"/>
  </si>
  <si>
    <t>64.99 M3
(149.47 T)
(1組)</t>
    <phoneticPr fontId="13" type="noConversion"/>
  </si>
  <si>
    <t>4-9.5-6</t>
    <phoneticPr fontId="13" type="noConversion"/>
  </si>
  <si>
    <t>4-9.5-7</t>
    <phoneticPr fontId="13" type="noConversion"/>
  </si>
  <si>
    <t>4-9.5-8</t>
    <phoneticPr fontId="13" type="noConversion"/>
  </si>
  <si>
    <t>4-19-4</t>
    <phoneticPr fontId="13" type="noConversion"/>
  </si>
  <si>
    <t>4-19-5</t>
    <phoneticPr fontId="13" type="noConversion"/>
  </si>
  <si>
    <t>4-5-1</t>
    <phoneticPr fontId="13" type="noConversion"/>
  </si>
  <si>
    <t>4-5-2</t>
    <phoneticPr fontId="13" type="noConversion"/>
  </si>
  <si>
    <t>至少一次，可併同監造單位辦理
(黏滯度)</t>
    <phoneticPr fontId="13" type="noConversion"/>
  </si>
  <si>
    <t>共月廣場-座台B、座台D、主園道-0k+450~460 PC混凝土地坪、奇岩1號公園-草地座階PC</t>
  </si>
  <si>
    <t>EF-1141002
混凝土
自主檢查表</t>
    <phoneticPr fontId="13"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</si>
  <si>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</si>
  <si>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</si>
  <si>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</si>
  <si>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</si>
  <si>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</si>
  <si>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</si>
  <si>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3" type="noConversion"/>
  </si>
  <si>
    <t>EF-1140916
混凝土
自主檢查表</t>
    <phoneticPr fontId="13" type="noConversion"/>
  </si>
  <si>
    <t>EF-1141003
混凝土
自主檢查表</t>
    <phoneticPr fontId="13" type="noConversion"/>
  </si>
  <si>
    <t>EF-1141004
混凝土
自主檢查表</t>
    <phoneticPr fontId="13" type="noConversion"/>
  </si>
  <si>
    <t>EF-1141007
混凝土
自主檢查表</t>
    <phoneticPr fontId="13" type="noConversion"/>
  </si>
  <si>
    <t>臺北市政府工務局</t>
    <phoneticPr fontId="13" type="noConversion"/>
  </si>
  <si>
    <t>信威檢驗科技有限公司</t>
    <phoneticPr fontId="13" type="noConversion"/>
  </si>
  <si>
    <t>財團法人石材暨資源產業研究發展中心</t>
    <phoneticPr fontId="13" type="noConversion"/>
  </si>
  <si>
    <t>美商通用檢驗科技股份有限公司台灣分公司</t>
    <phoneticPr fontId="13" type="noConversion"/>
  </si>
  <si>
    <t>1-4</t>
    <phoneticPr fontId="13" type="noConversion"/>
  </si>
  <si>
    <t>584649.02
KG</t>
    <phoneticPr fontId="13" type="noConversion"/>
  </si>
  <si>
    <t>397.84
M3</t>
    <phoneticPr fontId="13" type="noConversion"/>
  </si>
  <si>
    <t>4,360.87 
M3</t>
    <phoneticPr fontId="13" type="noConversion"/>
  </si>
  <si>
    <t>294353.68
KG</t>
  </si>
  <si>
    <t>709.04
M3</t>
    <phoneticPr fontId="13" type="noConversion"/>
  </si>
  <si>
    <t>1526.83
M3</t>
  </si>
  <si>
    <t>917.25
M3
(2109.68T)</t>
    <phoneticPr fontId="13" type="noConversion"/>
  </si>
  <si>
    <t>19027.2
M2
(5.74T)</t>
    <phoneticPr fontId="13" type="noConversion"/>
  </si>
  <si>
    <t>鋼筋，植筋，D13mm，鑽孔(含空氣槍清孔)及化學藥劑</t>
    <phoneticPr fontId="13" type="noConversion"/>
  </si>
  <si>
    <t>1.2.103</t>
    <phoneticPr fontId="13" type="noConversion"/>
  </si>
  <si>
    <t>920
孔</t>
    <phoneticPr fontId="13" type="noConversion"/>
  </si>
  <si>
    <t>鋼筋，植筋，D16mm，鑽孔(含空氣槍清孔)及化學藥劑</t>
    <phoneticPr fontId="13" type="noConversion"/>
  </si>
  <si>
    <t>1.4.29</t>
    <phoneticPr fontId="13" type="noConversion"/>
  </si>
  <si>
    <t>18-1-1</t>
    <phoneticPr fontId="13" type="noConversion"/>
  </si>
  <si>
    <t>18-2-1</t>
    <phoneticPr fontId="13" type="noConversion"/>
  </si>
  <si>
    <t>18-1-2</t>
    <phoneticPr fontId="13" type="noConversion"/>
  </si>
  <si>
    <t>18-2-2</t>
    <phoneticPr fontId="13" type="noConversion"/>
  </si>
  <si>
    <t>568
孔</t>
    <phoneticPr fontId="13" type="noConversion"/>
  </si>
  <si>
    <t>610孔</t>
    <phoneticPr fontId="13" type="noConversion"/>
  </si>
  <si>
    <t>610孔
(7組)</t>
    <phoneticPr fontId="13" type="noConversion"/>
  </si>
  <si>
    <t>372
孔</t>
    <phoneticPr fontId="13" type="noConversion"/>
  </si>
  <si>
    <t>鋼筋，植筋，D25mm，鑽孔(含空氣槍清孔)及化學藥劑</t>
    <phoneticPr fontId="13" type="noConversion"/>
  </si>
  <si>
    <t>1.4.13</t>
    <phoneticPr fontId="13" type="noConversion"/>
  </si>
  <si>
    <t>18-3-1</t>
    <phoneticPr fontId="13" type="noConversion"/>
  </si>
  <si>
    <t>1.2.11、1.2.96</t>
    <phoneticPr fontId="13" type="noConversion"/>
  </si>
  <si>
    <t>回填夯實母材
土壤</t>
    <phoneticPr fontId="13" type="noConversion"/>
  </si>
  <si>
    <t>回填夯實母材
(碎石級配)</t>
    <phoneticPr fontId="13" type="noConversion"/>
  </si>
  <si>
    <t>140
397.84
M3
210
4,360.87 
M3
280
709.04
M3
280W
883.62
M3</t>
    <phoneticPr fontId="13" type="noConversion"/>
  </si>
  <si>
    <t>2-1-1</t>
    <phoneticPr fontId="13" type="noConversion"/>
  </si>
  <si>
    <t>1.2.24</t>
    <phoneticPr fontId="13" type="noConversion"/>
  </si>
  <si>
    <t>1.2.25</t>
    <phoneticPr fontId="13" type="noConversion"/>
  </si>
  <si>
    <t>1.2.26</t>
    <phoneticPr fontId="13" type="noConversion"/>
  </si>
  <si>
    <t>界石收邊</t>
    <phoneticPr fontId="13" type="noConversion"/>
  </si>
  <si>
    <t>緣石收邊</t>
    <phoneticPr fontId="13" type="noConversion"/>
  </si>
  <si>
    <t>道路緣石收邊</t>
    <phoneticPr fontId="13" type="noConversion"/>
  </si>
  <si>
    <t>界石收邊
360.35 M
緣石收邊
691.14 M
道路緣石收邊
890.62 M</t>
    <phoneticPr fontId="13" type="noConversion"/>
  </si>
  <si>
    <t xml:space="preserve">
SD280W
294353.68
KG
SD420W
584649.02
KG</t>
    <phoneticPr fontId="13" type="noConversion"/>
  </si>
  <si>
    <t>9.5MM
360.68
M3
19MM
917.25
M3</t>
    <phoneticPr fontId="13" type="noConversion"/>
  </si>
  <si>
    <t>412.2 M</t>
    <phoneticPr fontId="13" type="noConversion"/>
  </si>
  <si>
    <t>412.2 M
(1組)</t>
    <phoneticPr fontId="13" type="noConversion"/>
  </si>
  <si>
    <t>159,208.45 
KG</t>
    <phoneticPr fontId="13" type="noConversion"/>
  </si>
  <si>
    <t>1860
孔</t>
    <phoneticPr fontId="13" type="noConversion"/>
  </si>
  <si>
    <t>透水磚</t>
    <phoneticPr fontId="16" type="noConversion"/>
  </si>
  <si>
    <t>4297.84
M2</t>
    <phoneticPr fontId="13" type="noConversion"/>
  </si>
  <si>
    <t>4546.65
M</t>
    <phoneticPr fontId="13" type="noConversion"/>
  </si>
  <si>
    <t>1.2.88、1.2.89、1.2.90、1.2.91、1.2.92、1.3.44、1.3.45、1.3.46、1.3.47、1.8.35、1.8.36、1.8.37、1.8.38</t>
    <phoneticPr fontId="16" type="noConversion"/>
  </si>
  <si>
    <t>1499.16
M3</t>
    <phoneticPr fontId="13" type="noConversion"/>
  </si>
  <si>
    <t>6組</t>
    <phoneticPr fontId="13" type="noConversion"/>
  </si>
  <si>
    <t>12.00
座</t>
    <phoneticPr fontId="13" type="noConversion"/>
  </si>
  <si>
    <t>773.78
M2</t>
    <phoneticPr fontId="13" type="noConversion"/>
  </si>
  <si>
    <t>5,940.47
M2</t>
    <phoneticPr fontId="13" type="noConversion"/>
  </si>
  <si>
    <t>石材鋪面</t>
    <phoneticPr fontId="16" type="noConversion"/>
  </si>
  <si>
    <t>1.2.13</t>
    <phoneticPr fontId="16" type="noConversion"/>
  </si>
  <si>
    <t>1.3.13、1.10.12</t>
    <phoneticPr fontId="16" type="noConversion"/>
  </si>
  <si>
    <t>欄杆
(不鏽鋼料)</t>
    <phoneticPr fontId="16" type="noConversion"/>
  </si>
  <si>
    <t>3-11</t>
    <phoneticPr fontId="13" type="noConversion"/>
  </si>
  <si>
    <t>294353.68
KG</t>
    <phoneticPr fontId="13" type="noConversion"/>
  </si>
  <si>
    <t>52,000
KG</t>
    <phoneticPr fontId="13" type="noConversion"/>
  </si>
  <si>
    <t>52,000
KG
(2組)</t>
    <phoneticPr fontId="13" type="noConversion"/>
  </si>
  <si>
    <t>316,400
KG</t>
    <phoneticPr fontId="13" type="noConversion"/>
  </si>
  <si>
    <t>316,400
KG
(17組)</t>
    <phoneticPr fontId="13" type="noConversion"/>
  </si>
  <si>
    <t>分區三-石材地坪、座台F、座台A、梯形磚地坪 PC</t>
  </si>
  <si>
    <t>分區三-座台A 牆身</t>
  </si>
  <si>
    <t>分區三-座台B、座台D 牆身</t>
  </si>
  <si>
    <t>EF-1141015
混凝土
自主檢查表</t>
    <phoneticPr fontId="13" type="noConversion"/>
  </si>
  <si>
    <t>EF-1141016
混凝土
自主檢查表</t>
    <phoneticPr fontId="13" type="noConversion"/>
  </si>
  <si>
    <t>.</t>
    <phoneticPr fontId="16" type="noConversion"/>
  </si>
  <si>
    <t>合格
(扣罰允收)</t>
    <phoneticPr fontId="13" type="noConversion"/>
  </si>
  <si>
    <t>114年9月9日
任泰顧字第1140909621號</t>
    <phoneticPr fontId="13" type="noConversion"/>
  </si>
  <si>
    <t>114年9月9日
任泰顧字
第1140909624號</t>
    <phoneticPr fontId="13" type="noConversion"/>
  </si>
  <si>
    <t>114年9月23日
任泰顧字第1140923622號</t>
    <phoneticPr fontId="13" type="noConversion"/>
  </si>
  <si>
    <t>114年9月11日
任泰顧字
第1140911621號</t>
    <phoneticPr fontId="13" type="noConversion"/>
  </si>
  <si>
    <t>114年9月11日
任泰顧字
第1140911622號</t>
    <phoneticPr fontId="13" type="noConversion"/>
  </si>
  <si>
    <t>114年9月9日
任泰顧字
第1140909623號</t>
    <phoneticPr fontId="13" type="noConversion"/>
  </si>
  <si>
    <t>共月橋舖面廣場</t>
  </si>
  <si>
    <t>114年10月20日
溢磺字
第1141020021號</t>
    <phoneticPr fontId="13" type="noConversion"/>
  </si>
  <si>
    <t>分區三-石材地坪、座台A、座台F基礎</t>
  </si>
  <si>
    <t>分區三-座台A、座台F 牆身</t>
  </si>
  <si>
    <t>377.96M2
(4組)</t>
    <phoneticPr fontId="13" type="noConversion"/>
  </si>
  <si>
    <t>114年9月9日
任泰顧字
第1140909622號</t>
  </si>
  <si>
    <t>114年9月9日
任泰顧字
第1140909622號</t>
    <phoneticPr fontId="13" type="noConversion"/>
  </si>
  <si>
    <t>114年8月6日
任泰顧字第1140806622號</t>
    <phoneticPr fontId="13" type="noConversion"/>
  </si>
  <si>
    <t>114年10月17日
任泰顧字第1141017623號</t>
    <phoneticPr fontId="13" type="noConversion"/>
  </si>
  <si>
    <t>114年10月17日
任泰顧字
第1141017624號</t>
    <phoneticPr fontId="13" type="noConversion"/>
  </si>
  <si>
    <t>395.04M2
(1組)</t>
    <phoneticPr fontId="13" type="noConversion"/>
  </si>
  <si>
    <t>395.04
M2
(1組)</t>
    <phoneticPr fontId="13" type="noConversion"/>
  </si>
  <si>
    <t>772
M2
(5組)</t>
    <phoneticPr fontId="13" type="noConversion"/>
  </si>
  <si>
    <t>114年9月2日
任泰顧字
第1140902621號</t>
    <phoneticPr fontId="13" type="noConversion"/>
  </si>
  <si>
    <t>玻璃珠母材
(外觀形狀)
1. 累計數量&lt;1000 m2時檢驗1組。
2. 累計數量達1000～3000m2再檢驗1組
3. 累計數量超過3000 m2時，每3000 m2加驗1組。
4. 反光玻璃珠之「砷、鉛、銻含量」檢具廠商證明書者免檢驗。</t>
    <phoneticPr fontId="13" type="noConversion"/>
  </si>
  <si>
    <t>114年9月2日
任泰顧字
第1140902621號
(抗滑)
第1140902622號
(厚度、玻璃珠含量、折射率)</t>
    <phoneticPr fontId="13" type="noConversion"/>
  </si>
  <si>
    <t>114年4月29日
任泰顧字
第1140429622號</t>
  </si>
  <si>
    <t>114年9月11日
任泰顧字
第1140911622號</t>
  </si>
  <si>
    <t>尚未取得試驗報告</t>
  </si>
  <si>
    <t>磺港路RT人行道底層(N0K+440~460、N0K+570~620)、磺港路RT人行道底層(N0K+720~800)</t>
  </si>
  <si>
    <t>113年11月9日
任泰顧字
第1131109621號</t>
    <phoneticPr fontId="13" type="noConversion"/>
  </si>
  <si>
    <t>水利處：李晏然                 任  泰：白博文                 上  溢：郭冠廷</t>
    <phoneticPr fontId="13" type="noConversion"/>
  </si>
  <si>
    <t>113年5月14日
113任泰顧字
第0514010013號</t>
    <phoneticPr fontId="13" type="noConversion"/>
  </si>
  <si>
    <t>113年11月18日
任泰顧字
第1131118621號</t>
    <phoneticPr fontId="13" type="noConversion"/>
  </si>
  <si>
    <t>1.2.10、1.3.15</t>
    <phoneticPr fontId="13" type="noConversion"/>
  </si>
  <si>
    <t>980孔
(11組)</t>
    <phoneticPr fontId="13" type="noConversion"/>
  </si>
  <si>
    <t>980孔</t>
    <phoneticPr fontId="13" type="noConversion"/>
  </si>
  <si>
    <t>113年8月13日
任泰顧字
第1130813105號</t>
    <phoneticPr fontId="13" type="noConversion"/>
  </si>
  <si>
    <t>114年5月23日
任泰顧字
第1140523622號</t>
    <phoneticPr fontId="13" type="noConversion"/>
  </si>
  <si>
    <t>1176M</t>
    <phoneticPr fontId="13" type="noConversion"/>
  </si>
  <si>
    <t>人行道(N0K+460~N0K+570)、人行道(N0K+620~N0K+720)</t>
  </si>
  <si>
    <t>4-9.5-9</t>
    <phoneticPr fontId="13" type="noConversion"/>
  </si>
  <si>
    <t>86.13 M3
(198.1 T)</t>
    <phoneticPr fontId="13" type="noConversion"/>
  </si>
  <si>
    <t>86.13 M3
(198.1 T)
(1組)</t>
    <phoneticPr fontId="13" type="noConversion"/>
  </si>
  <si>
    <t>27.00 M3
(62.1 T)</t>
    <phoneticPr fontId="13" type="noConversion"/>
  </si>
  <si>
    <t>27.00 M3
(62.1 T)
(1組)</t>
    <phoneticPr fontId="13" type="noConversion"/>
  </si>
  <si>
    <t>43.58 M3
(100.23 T)</t>
    <phoneticPr fontId="13" type="noConversion"/>
  </si>
  <si>
    <t>43.58 M3
(100.23 T)
(1組)</t>
    <phoneticPr fontId="13" type="noConversion"/>
  </si>
  <si>
    <t>52.6 M3
(120.98 T)</t>
    <phoneticPr fontId="13" type="noConversion"/>
  </si>
  <si>
    <t>52.6 M3
(120.98 T)
(1組)</t>
    <phoneticPr fontId="13" type="noConversion"/>
  </si>
  <si>
    <t>107.23 M3
(246.64 T)</t>
    <phoneticPr fontId="13" type="noConversion"/>
  </si>
  <si>
    <t>107.23 M3
(246.64 T)
(1組)</t>
    <phoneticPr fontId="13" type="noConversion"/>
  </si>
  <si>
    <t>150.94 M3
(347.16 T)</t>
    <phoneticPr fontId="13" type="noConversion"/>
  </si>
  <si>
    <t>150.94 M3
(347.16 T)
(1組)</t>
    <phoneticPr fontId="13" type="noConversion"/>
  </si>
  <si>
    <t>114年11月5日
任泰顧字
第1141105624號</t>
    <phoneticPr fontId="13" type="noConversion"/>
  </si>
  <si>
    <t>114年11月5日
任泰顧字
第1141105623號</t>
    <phoneticPr fontId="13" type="noConversion"/>
  </si>
  <si>
    <t>114年11月5日
任泰顧字
第1141105622號</t>
    <phoneticPr fontId="13" type="noConversion"/>
  </si>
  <si>
    <t>2-2-1</t>
    <phoneticPr fontId="13" type="noConversion"/>
  </si>
  <si>
    <t>2-3-1</t>
    <phoneticPr fontId="13" type="noConversion"/>
  </si>
  <si>
    <t>114年10月20日
任泰顧字
第1141020621號</t>
    <phoneticPr fontId="13" type="noConversion"/>
  </si>
  <si>
    <t>114年10月28日
北市工水工字
第1146006119號</t>
    <phoneticPr fontId="13" type="noConversion"/>
  </si>
  <si>
    <t>360.35
M</t>
    <phoneticPr fontId="13" type="noConversion"/>
  </si>
  <si>
    <t>691.14
M</t>
    <phoneticPr fontId="13" type="noConversion"/>
  </si>
  <si>
    <t>890.62
M</t>
    <phoneticPr fontId="13" type="noConversion"/>
  </si>
  <si>
    <t>113年6月12日
任泰顧字
第1130612108號
D10*2、D13*2、D16*1、D19*1、D22*2、D25*2、D32*1</t>
    <phoneticPr fontId="13" type="noConversion"/>
  </si>
  <si>
    <t>113年7月18日
任泰顧字
第1130718105號
D13*3</t>
    <phoneticPr fontId="13" type="noConversion"/>
  </si>
  <si>
    <t>113年7月18日
任泰顧字
第1130718105號
D16*1、D25*2、D29*1</t>
    <phoneticPr fontId="13" type="noConversion"/>
  </si>
  <si>
    <t>113年11月6日
任泰顧字
第1131106622號
D13*3</t>
    <phoneticPr fontId="13" type="noConversion"/>
  </si>
  <si>
    <t>113年1月22日
113任泰顧字
第0122010010號
D19*2、D25*2</t>
    <phoneticPr fontId="13" type="noConversion"/>
  </si>
  <si>
    <t>1176M
(2組)</t>
    <phoneticPr fontId="13" type="noConversion"/>
  </si>
  <si>
    <t>114年10月31日
任泰顧字
第1141031624號</t>
    <phoneticPr fontId="13" type="noConversion"/>
  </si>
  <si>
    <t>114年10月31日
任泰顧字
第1141031623號</t>
    <phoneticPr fontId="13" type="noConversion"/>
  </si>
  <si>
    <t>114年10月30日
任泰顧字
第1141030622號</t>
    <phoneticPr fontId="13" type="noConversion"/>
  </si>
  <si>
    <t>114年10月30日
任泰顧字
第1141030623號</t>
    <phoneticPr fontId="13" type="noConversion"/>
  </si>
  <si>
    <t>114年10月30日
任泰顧字
第1141030621號</t>
    <phoneticPr fontId="13" type="noConversion"/>
  </si>
  <si>
    <t>114年10月31日
任泰顧字
第1141031622號</t>
    <phoneticPr fontId="13" type="noConversion"/>
  </si>
  <si>
    <t>114年10月31日
任泰顧字
第1141031621號</t>
    <phoneticPr fontId="13" type="noConversion"/>
  </si>
  <si>
    <t>114年11月6日
任泰顧字
第1141106621號
D13*2</t>
    <phoneticPr fontId="13" type="noConversion"/>
  </si>
  <si>
    <t>警示面板分項施工計畫</t>
    <phoneticPr fontId="13" type="noConversion"/>
  </si>
  <si>
    <t>蝶舞亭分項施工計畫</t>
    <phoneticPr fontId="13" type="noConversion"/>
  </si>
  <si>
    <t>觀溪亭分項施工計畫</t>
    <phoneticPr fontId="13" type="noConversion"/>
  </si>
  <si>
    <t>特殊地坪，壓花地坪</t>
    <phoneticPr fontId="13" type="noConversion"/>
  </si>
  <si>
    <t>1.2.95</t>
    <phoneticPr fontId="13" type="noConversion"/>
  </si>
  <si>
    <t>145.4M2</t>
    <phoneticPr fontId="13" type="noConversion"/>
  </si>
  <si>
    <t>分區二-梯形磚地坪、座台A PC</t>
  </si>
  <si>
    <t>分區三-人行道透水紙模、分區二梯形磚地坪</t>
  </si>
  <si>
    <t>分區二-公園綠帶、分區三-公園綠帶</t>
  </si>
  <si>
    <t>分區二-梯形磚地坪、人行道透水磚地坪、分區三-人行道透水磚地坪(第二層)、景觀廁所透水磚地坪</t>
  </si>
  <si>
    <t>分區二-人行道透水磚紙模地坪、分區三-景觀廁所透水磚紙模地坪</t>
  </si>
  <si>
    <t>114/11/10</t>
    <phoneticPr fontId="13" type="noConversion"/>
  </si>
  <si>
    <t>114年11月11日
北市工水工字第1146006457號
同意備查
(捷亞)</t>
    <phoneticPr fontId="13" type="noConversion"/>
  </si>
  <si>
    <t>114年11月7日
任泰顧字
第1141107621號
(捷亞)</t>
    <phoneticPr fontId="13" type="noConversion"/>
  </si>
  <si>
    <t>1298才</t>
    <phoneticPr fontId="13" type="noConversion"/>
  </si>
  <si>
    <t>1298才
(1組)</t>
    <phoneticPr fontId="13" type="noConversion"/>
  </si>
  <si>
    <t>11-1</t>
    <phoneticPr fontId="13" type="noConversion"/>
  </si>
  <si>
    <t>11-2</t>
    <phoneticPr fontId="13" type="noConversion"/>
  </si>
  <si>
    <t>1.2.18、1.2.19、1.2.37、1.2.39、1.2.40、1.2.76、1.2.98</t>
    <phoneticPr fontId="13" type="noConversion"/>
  </si>
  <si>
    <t>2,648.65
才</t>
    <phoneticPr fontId="13" type="noConversion"/>
  </si>
  <si>
    <t>114/11/14</t>
    <phoneticPr fontId="13" type="noConversion"/>
  </si>
  <si>
    <t>1.2.18、1.2.19、1.2.37、1.2.39、1.2.40、1.2.76、1.2.98</t>
    <phoneticPr fontId="16" type="noConversion"/>
  </si>
  <si>
    <t>13,589.11
KG</t>
    <phoneticPr fontId="13" type="noConversion"/>
  </si>
  <si>
    <t>1.2.8、1.2.10、1.3.11、1.3.15、1.10.9、1.10.10</t>
    <phoneticPr fontId="13" type="noConversion"/>
  </si>
  <si>
    <t>6-5-1</t>
    <phoneticPr fontId="13" type="noConversion"/>
  </si>
  <si>
    <t>6-5-2</t>
    <phoneticPr fontId="13" type="noConversion"/>
  </si>
  <si>
    <t>鍍鋅鋼料鍍鋅
每批1次
(SM400B)</t>
    <phoneticPr fontId="13" type="noConversion"/>
  </si>
  <si>
    <t>114年11月13日
溢磺字
第1141113022號</t>
    <phoneticPr fontId="13" type="noConversion"/>
  </si>
  <si>
    <t>114年11月13日
任泰顧字
第1141113622號</t>
    <phoneticPr fontId="13" type="noConversion"/>
  </si>
  <si>
    <r>
      <t>金屬製品，氟碳烤漆(一底二度，厚度50</t>
    </r>
    <r>
      <rPr>
        <sz val="11"/>
        <color theme="1"/>
        <rFont val="Calibri"/>
        <family val="4"/>
        <charset val="161"/>
      </rPr>
      <t>μ</t>
    </r>
    <r>
      <rPr>
        <sz val="11"/>
        <color theme="1"/>
        <rFont val="標楷體"/>
        <family val="4"/>
        <charset val="136"/>
      </rPr>
      <t>M以上)</t>
    </r>
    <phoneticPr fontId="13" type="noConversion"/>
  </si>
  <si>
    <t>每50噸以內1次，如每批超過50噸則取2次
(CNS2473)</t>
    <phoneticPr fontId="13" type="noConversion"/>
  </si>
  <si>
    <t>每50噸以內1次，如每批超過50噸則取2次
(ASTM 242)</t>
    <phoneticPr fontId="13" type="noConversion"/>
  </si>
  <si>
    <t>每50噸以內1次，如每批超過50噸則取2次
(A709)</t>
    <phoneticPr fontId="13" type="noConversion"/>
  </si>
  <si>
    <r>
      <t>1.2.84</t>
    </r>
    <r>
      <rPr>
        <sz val="11"/>
        <color theme="1"/>
        <rFont val="新細明體"/>
        <family val="1"/>
        <charset val="136"/>
      </rPr>
      <t>~</t>
    </r>
    <r>
      <rPr>
        <sz val="11"/>
        <color theme="1"/>
        <rFont val="標楷體"/>
        <family val="4"/>
        <charset val="136"/>
      </rPr>
      <t>1.2.87、1.2.94</t>
    </r>
    <phoneticPr fontId="13" type="noConversion"/>
  </si>
  <si>
    <t>114年11月11日
任泰顧字
第1141111622號</t>
    <phoneticPr fontId="13" type="noConversion"/>
  </si>
  <si>
    <t>單、雙孔箱涵(0K+440~0K+480)CLSM</t>
  </si>
  <si>
    <t>單、雙孔箱涵(0K+480~0K+520)CLSM</t>
  </si>
  <si>
    <t>李晏然、王淑慧、胡舜豪</t>
  </si>
  <si>
    <t>SGS</t>
  </si>
  <si>
    <t>14-1-1</t>
    <phoneticPr fontId="13" type="noConversion"/>
  </si>
  <si>
    <t>426.25 m2</t>
    <phoneticPr fontId="13" type="noConversion"/>
  </si>
  <si>
    <t>426.25 m2
(2組)</t>
    <phoneticPr fontId="13" type="noConversion"/>
  </si>
  <si>
    <t>鋼橋塗裝</t>
    <phoneticPr fontId="13" type="noConversion"/>
  </si>
  <si>
    <t>1.3.36、1.3.37</t>
    <phoneticPr fontId="13" type="noConversion"/>
  </si>
  <si>
    <t>1.2.23、1.2.33、1.2.34、1.2.37、1.2.39、1.2.40、1.2.52、1.2.53、1.2.54、1.2.56、1.2.57、1.2.58、1.2.59、1.2.60、1.2.61、1.2.62、1.2.63、1.2.64、1.2.65、1.2.66、1.2.67、1.2.68、1.2.69、1.2.70、1.2.71、1.2.72、1.3.14</t>
    <phoneticPr fontId="13" type="noConversion"/>
  </si>
  <si>
    <t>114年3月25日
北市工水工字
第1146001368號</t>
    <phoneticPr fontId="31" type="noConversion"/>
  </si>
  <si>
    <t>117.75 M3
(280 T)</t>
    <phoneticPr fontId="13" type="noConversion"/>
  </si>
  <si>
    <t>117.75 M3
(280 T)
(2組)</t>
    <phoneticPr fontId="13" type="noConversion"/>
  </si>
  <si>
    <t>199.75 M3
(475 T)</t>
    <phoneticPr fontId="13" type="noConversion"/>
  </si>
  <si>
    <t>199.75 M3
(475 T)
(3組)</t>
    <phoneticPr fontId="13" type="noConversion"/>
  </si>
  <si>
    <t>232.21 M3
(552.2 T)</t>
    <phoneticPr fontId="13" type="noConversion"/>
  </si>
  <si>
    <t>232.21 M3
(552.2 T)
(4組)</t>
    <phoneticPr fontId="13" type="noConversion"/>
  </si>
  <si>
    <t>318.34 M3
(750.3 T)</t>
    <phoneticPr fontId="13" type="noConversion"/>
  </si>
  <si>
    <t>318.34 M3
(750.3 T)
(5組)</t>
    <phoneticPr fontId="13" type="noConversion"/>
  </si>
  <si>
    <t>345.00 M3
(812.4 T)</t>
    <phoneticPr fontId="13" type="noConversion"/>
  </si>
  <si>
    <t>345.00 M3
(812.4 T)
(6組)</t>
    <phoneticPr fontId="13" type="noConversion"/>
  </si>
  <si>
    <t>389 M3
(912.63 T)</t>
    <phoneticPr fontId="13" type="noConversion"/>
  </si>
  <si>
    <t>389 M3
(912.63 T)
(7組)</t>
    <phoneticPr fontId="13" type="noConversion"/>
  </si>
  <si>
    <t>442.00 M3
(1033.61 T)</t>
    <phoneticPr fontId="13" type="noConversion"/>
  </si>
  <si>
    <t>422.00 M3
(1033.61 T)
(8組)</t>
    <phoneticPr fontId="13" type="noConversion"/>
  </si>
  <si>
    <t>497 M3
(1162.11 T)</t>
    <phoneticPr fontId="13" type="noConversion"/>
  </si>
  <si>
    <t>497 M3
(1162.11 T)
(9組)</t>
    <phoneticPr fontId="13" type="noConversion"/>
  </si>
  <si>
    <t>4-9.5-10</t>
    <phoneticPr fontId="13" type="noConversion"/>
  </si>
  <si>
    <t>35.65 M3
(82 T)</t>
    <phoneticPr fontId="13" type="noConversion"/>
  </si>
  <si>
    <t>35.65 M3
(82 T)
(1組)</t>
    <phoneticPr fontId="13" type="noConversion"/>
  </si>
  <si>
    <t>533.04 M3
(1244.11 T)</t>
    <phoneticPr fontId="13" type="noConversion"/>
  </si>
  <si>
    <t>533.04 M3
(1244.11 T)
(10組)</t>
    <phoneticPr fontId="13" type="noConversion"/>
  </si>
  <si>
    <t>26.09 M3
(60 T)</t>
  </si>
  <si>
    <t>26.09 M3
(60 T)</t>
    <phoneticPr fontId="13" type="noConversion"/>
  </si>
  <si>
    <t>26.09 M3
(60 T)
(1組)</t>
    <phoneticPr fontId="13" type="noConversion"/>
  </si>
  <si>
    <t>128.26 M3
(295 T)</t>
    <phoneticPr fontId="13" type="noConversion"/>
  </si>
  <si>
    <t>128.26 M3
(295 T)
(1組)</t>
    <phoneticPr fontId="13" type="noConversion"/>
  </si>
  <si>
    <t>154.35 M3
(355 T)
(2組)</t>
    <phoneticPr fontId="13" type="noConversion"/>
  </si>
  <si>
    <t>154.35 M3
(355 T)</t>
    <phoneticPr fontId="13" type="noConversion"/>
  </si>
  <si>
    <t>373.92 M3
(860 T)
(3組)</t>
    <phoneticPr fontId="13" type="noConversion"/>
  </si>
  <si>
    <t>373.92 M3
(860 T)</t>
    <phoneticPr fontId="13" type="noConversion"/>
  </si>
  <si>
    <t>438.91 M3
(1009.47 T)
(4組)</t>
    <phoneticPr fontId="13" type="noConversion"/>
  </si>
  <si>
    <t>438.91 M3
(1009.47 T)</t>
    <phoneticPr fontId="13" type="noConversion"/>
  </si>
  <si>
    <t>546.14 M3
(1256.11 T)
(5組)</t>
    <phoneticPr fontId="13" type="noConversion"/>
  </si>
  <si>
    <t>546.14 M3
(1256.11 T)</t>
    <phoneticPr fontId="13" type="noConversion"/>
  </si>
  <si>
    <t>697.08 M3
(1603.27 T)
(6組)</t>
    <phoneticPr fontId="13" type="noConversion"/>
  </si>
  <si>
    <t>697.08 M3
(1623.27 T)</t>
    <phoneticPr fontId="13" type="noConversion"/>
  </si>
  <si>
    <t>55.87 M3
(128.5 T)</t>
    <phoneticPr fontId="13" type="noConversion"/>
  </si>
  <si>
    <t>55.87 M3
(128.5 T)
(1組)</t>
    <phoneticPr fontId="13" type="noConversion"/>
  </si>
  <si>
    <t>4-19-6</t>
    <phoneticPr fontId="13" type="noConversion"/>
  </si>
  <si>
    <t>工地主任：</t>
  </si>
  <si>
    <t>工地主任：</t>
    <phoneticPr fontId="13" type="noConversion"/>
  </si>
  <si>
    <t>附註：</t>
  </si>
  <si>
    <t xml:space="preserve"> 附註：</t>
  </si>
  <si>
    <t>六</t>
    <phoneticPr fontId="13" type="noConversion"/>
  </si>
  <si>
    <t>114年11月18日
北市工水工字
第1146006564號</t>
    <phoneticPr fontId="13" type="noConversion"/>
  </si>
  <si>
    <t>EF-1140808
混凝土
自主檢查表</t>
    <phoneticPr fontId="13" type="noConversion"/>
  </si>
  <si>
    <t>分區二-座台A、座台C 底板</t>
  </si>
  <si>
    <t>分區二-座台A、座台C 牆身</t>
  </si>
  <si>
    <t>蝶舞亭基礎</t>
  </si>
  <si>
    <t>分區二、分區三-透水磚B型、分區二-樓梯B、C、D基礎及截流溝A型、分區一-座台A型PC</t>
  </si>
  <si>
    <t>分區三-座台 B、D二昇牆</t>
  </si>
  <si>
    <t>分區二、三-廁所前透水磚地坪A型紙模</t>
  </si>
  <si>
    <t>分區一-座台A型 底板、分區二-樓梯B、C、D 牆身、踏階</t>
  </si>
  <si>
    <t>EF-1141121
混凝土
自主檢查表</t>
    <phoneticPr fontId="13" type="noConversion"/>
  </si>
  <si>
    <t>EF-1141122
混凝土
自主檢查表</t>
    <phoneticPr fontId="13" type="noConversion"/>
  </si>
  <si>
    <t>EF-1141203
混凝土
自主檢查表</t>
    <phoneticPr fontId="13" type="noConversion"/>
  </si>
  <si>
    <t>EF-1141209
混凝土
自主檢查表</t>
    <phoneticPr fontId="13" type="noConversion"/>
  </si>
  <si>
    <t>113年5月22日
113任泰顧字
第0522010011號
D13*1</t>
    <phoneticPr fontId="13" type="noConversion"/>
  </si>
  <si>
    <t>1,277.93
M3</t>
    <phoneticPr fontId="13" type="noConversion"/>
  </si>
  <si>
    <t>504.36M3
(2521.79M2)</t>
    <phoneticPr fontId="13" type="noConversion"/>
  </si>
  <si>
    <t>504.36M3
(2521.79M2)
(3組)</t>
    <phoneticPr fontId="13" type="noConversion"/>
  </si>
  <si>
    <t>219.39M3
(1462.62M2)</t>
    <phoneticPr fontId="13" type="noConversion"/>
  </si>
  <si>
    <t>219.39M3
(1462.62M2)
(2組)</t>
    <phoneticPr fontId="13" type="noConversion"/>
  </si>
  <si>
    <t>18M3
(120M2)</t>
    <phoneticPr fontId="13" type="noConversion"/>
  </si>
  <si>
    <t>18M3
(120M2)
(1組)</t>
    <phoneticPr fontId="13" type="noConversion"/>
  </si>
  <si>
    <t>62.65M3
(626.53M2)</t>
    <phoneticPr fontId="13" type="noConversion"/>
  </si>
  <si>
    <t>62.65M3
(626.53M2)
(1組)</t>
    <phoneticPr fontId="13" type="noConversion"/>
  </si>
  <si>
    <t>67.21M3
(672.12M2)</t>
    <phoneticPr fontId="13" type="noConversion"/>
  </si>
  <si>
    <t>67.21M3
(672.12M2)
(1組)</t>
    <phoneticPr fontId="13" type="noConversion"/>
  </si>
  <si>
    <t>13.60M3
(272.05M2)</t>
    <phoneticPr fontId="13" type="noConversion"/>
  </si>
  <si>
    <t>13.60M3
(272.05M2)
(1組)</t>
    <phoneticPr fontId="13" type="noConversion"/>
  </si>
  <si>
    <t>114年12月2日
任泰顧字
第1141202621號</t>
    <phoneticPr fontId="13" type="noConversion"/>
  </si>
  <si>
    <t>114年11月28日
任泰顧字
第1141128622號</t>
    <phoneticPr fontId="13" type="noConversion"/>
  </si>
  <si>
    <t>114年11月28日
任泰顧字
第1141128621號</t>
    <phoneticPr fontId="13" type="noConversion"/>
  </si>
  <si>
    <t>114年9月23日
任泰顧字
第1140923621號</t>
    <phoneticPr fontId="13" type="noConversion"/>
  </si>
  <si>
    <t>114年12月10日
任泰顧字
第1141210622號</t>
    <phoneticPr fontId="13" type="noConversion"/>
  </si>
  <si>
    <t>114年12月10日
任泰顧字
第1141210623號</t>
    <phoneticPr fontId="13" type="noConversion"/>
  </si>
  <si>
    <t>114年11月28日
任泰顧字
第1141128623號</t>
    <phoneticPr fontId="13" type="noConversion"/>
  </si>
  <si>
    <t>114年12月1日
任泰顧字
第1141201623號</t>
    <phoneticPr fontId="13" type="noConversion"/>
  </si>
  <si>
    <t>114年12月1日
任泰顧字
第1141201622號</t>
    <phoneticPr fontId="13" type="noConversion"/>
  </si>
  <si>
    <t>114年12月1日
任泰顧字
第1141201624號</t>
    <phoneticPr fontId="13" type="noConversion"/>
  </si>
  <si>
    <t>分區一-座台A型、分區五-木棧橋A型 基礎</t>
  </si>
  <si>
    <t>EF-1141215
混凝土
自主檢查表</t>
    <phoneticPr fontId="13" type="noConversion"/>
  </si>
  <si>
    <t>188359.37
KG</t>
    <phoneticPr fontId="13" type="noConversion"/>
  </si>
  <si>
    <t>分區五-座台E PC</t>
  </si>
  <si>
    <t>EF-1141218
混凝土
自主檢查表</t>
    <phoneticPr fontId="13" type="noConversion"/>
  </si>
  <si>
    <t>114年12月17日
任泰顧字
第1141217621號
(抗滑、厚度、玻璃珠含量、折射率)</t>
    <phoneticPr fontId="13" type="noConversion"/>
  </si>
  <si>
    <t>380.68
M3
(905.26T)</t>
    <phoneticPr fontId="13" type="noConversion"/>
  </si>
  <si>
    <t>114年12月19日
任泰顧字
第1141219621號</t>
    <phoneticPr fontId="13" type="noConversion"/>
  </si>
  <si>
    <t>分區五-座台E基礎、分區一-透水磚地坪B</t>
  </si>
  <si>
    <t>分區五-座台E牆、.分區三-蝶舞亭透水紙模</t>
  </si>
  <si>
    <t>分區五-東側座台E基礎、分區五-北側座台E牆身</t>
  </si>
  <si>
    <t>EF-1141229
混凝土
自主檢查表</t>
    <phoneticPr fontId="13" type="noConversion"/>
  </si>
  <si>
    <t>EF-1141225
混凝土
自主檢查表</t>
    <phoneticPr fontId="13" type="noConversion"/>
  </si>
  <si>
    <t>1.2.22、1.2.77、1.3.13、1.10.12</t>
    <phoneticPr fontId="13" type="noConversion"/>
  </si>
  <si>
    <t>13-1</t>
    <phoneticPr fontId="13" type="noConversion"/>
  </si>
  <si>
    <t>13-2</t>
    <phoneticPr fontId="13" type="noConversion"/>
  </si>
  <si>
    <t>13-3</t>
    <phoneticPr fontId="13" type="noConversion"/>
  </si>
  <si>
    <t>7,439.92KG</t>
    <phoneticPr fontId="13" type="noConversion"/>
  </si>
  <si>
    <t>5,281KG</t>
    <phoneticPr fontId="13" type="noConversion"/>
  </si>
  <si>
    <t>7,439.92KG
(1組)</t>
    <phoneticPr fontId="13" type="noConversion"/>
  </si>
  <si>
    <t>5,281KG
(1組)</t>
    <phoneticPr fontId="13" type="noConversion"/>
  </si>
  <si>
    <t>8,853KG</t>
    <phoneticPr fontId="13" type="noConversion"/>
  </si>
  <si>
    <t>8,853KG
(3組)</t>
    <phoneticPr fontId="13" type="noConversion"/>
  </si>
  <si>
    <t>14,134
KG</t>
    <phoneticPr fontId="13" type="noConversion"/>
  </si>
  <si>
    <t>14,134
KG
(4組)</t>
    <phoneticPr fontId="13" type="noConversion"/>
  </si>
  <si>
    <t>114/11/11</t>
    <phoneticPr fontId="13" type="noConversion"/>
  </si>
  <si>
    <t>114/2/26</t>
    <phoneticPr fontId="13" type="noConversion"/>
  </si>
  <si>
    <t>114/12/29</t>
    <phoneticPr fontId="13" type="noConversion"/>
  </si>
  <si>
    <t>207,193
KG</t>
    <phoneticPr fontId="13" type="noConversion"/>
  </si>
  <si>
    <t>207,193
KG
(6組)</t>
    <phoneticPr fontId="13" type="noConversion"/>
  </si>
  <si>
    <t>6-5-3</t>
    <phoneticPr fontId="13" type="noConversion"/>
  </si>
  <si>
    <t>6-5-4</t>
    <phoneticPr fontId="13" type="noConversion"/>
  </si>
  <si>
    <t>5,750 KG</t>
    <phoneticPr fontId="13" type="noConversion"/>
  </si>
  <si>
    <t>5,750 KG
(1組)</t>
    <phoneticPr fontId="13" type="noConversion"/>
  </si>
  <si>
    <t>175,603
KG</t>
    <phoneticPr fontId="13" type="noConversion"/>
  </si>
  <si>
    <t>175,603
KG
(4組)</t>
    <phoneticPr fontId="13" type="noConversion"/>
  </si>
  <si>
    <t>9,990 KG</t>
    <phoneticPr fontId="13" type="noConversion"/>
  </si>
  <si>
    <t>9,990 KG
(1組)</t>
    <phoneticPr fontId="13" type="noConversion"/>
  </si>
  <si>
    <t>185,593
KG</t>
    <phoneticPr fontId="13" type="noConversion"/>
  </si>
  <si>
    <t>185,593
KG
(5組)</t>
    <phoneticPr fontId="13" type="noConversion"/>
  </si>
  <si>
    <t>21,600 KG</t>
    <phoneticPr fontId="13" type="noConversion"/>
  </si>
  <si>
    <t>21,600 KG
(1組)</t>
    <phoneticPr fontId="13" type="noConversion"/>
  </si>
  <si>
    <t>212,549KG
(5組)</t>
    <phoneticPr fontId="13" type="noConversion"/>
  </si>
  <si>
    <t>212,549KG</t>
    <phoneticPr fontId="13" type="noConversion"/>
  </si>
  <si>
    <t>218,299
KG
(6組)</t>
    <phoneticPr fontId="13" type="noConversion"/>
  </si>
  <si>
    <t>228,289
KG
(7組)</t>
    <phoneticPr fontId="13" type="noConversion"/>
  </si>
  <si>
    <t>212,549
KG</t>
    <phoneticPr fontId="13" type="noConversion"/>
  </si>
  <si>
    <t>218,299
KG</t>
    <phoneticPr fontId="13" type="noConversion"/>
  </si>
  <si>
    <t>249,889
KG
(8組)</t>
    <phoneticPr fontId="13" type="noConversion"/>
  </si>
  <si>
    <t>249,889
KG</t>
    <phoneticPr fontId="13" type="noConversion"/>
  </si>
  <si>
    <t>鍍鋅鋼料鍍鋅
每批1次
(A709)</t>
    <phoneticPr fontId="13" type="noConversion"/>
  </si>
  <si>
    <t>每50噸以內1次，如每批超過50噸則取2次
(SM400B)</t>
    <phoneticPr fontId="13" type="noConversion"/>
  </si>
  <si>
    <t>分區五-南側座台E、座台A PC</t>
  </si>
  <si>
    <t>114年12月29日
任泰顧字第1141229621號
(梅秀水舞金)</t>
    <phoneticPr fontId="13" type="noConversion"/>
  </si>
  <si>
    <t>115年1月2日
北市工水工字第1146007539號
同意備查
(梅秀水舞金)</t>
    <phoneticPr fontId="13" type="noConversion"/>
  </si>
  <si>
    <t>115/1/15</t>
    <phoneticPr fontId="13" type="noConversion"/>
  </si>
  <si>
    <t>1,277.93
M3
(6,734.4M2)</t>
    <phoneticPr fontId="13" type="noConversion"/>
  </si>
  <si>
    <t>1,297.93
M3
(6,734.4M2)</t>
    <phoneticPr fontId="13" type="noConversion"/>
  </si>
  <si>
    <t>2,089.15M2</t>
    <phoneticPr fontId="13" type="noConversion"/>
  </si>
  <si>
    <t>2,209.77M2</t>
    <phoneticPr fontId="13" type="noConversion"/>
  </si>
  <si>
    <t>632.33M2</t>
    <phoneticPr fontId="13" type="noConversion"/>
  </si>
  <si>
    <t>743.85M2</t>
    <phoneticPr fontId="13" type="noConversion"/>
  </si>
  <si>
    <t>2,209.77M2
(1組)</t>
    <phoneticPr fontId="13" type="noConversion"/>
  </si>
  <si>
    <t>632.33M2
(1組)</t>
    <phoneticPr fontId="13" type="noConversion"/>
  </si>
  <si>
    <t>743.85M2
(1組)</t>
    <phoneticPr fontId="13" type="noConversion"/>
  </si>
  <si>
    <t>2,089.15M2
(1組)</t>
    <phoneticPr fontId="13" type="noConversion"/>
  </si>
  <si>
    <t>4,298.92M2</t>
    <phoneticPr fontId="13" type="noConversion"/>
  </si>
  <si>
    <t>4,298.92M2
(2組)</t>
    <phoneticPr fontId="13" type="noConversion"/>
  </si>
  <si>
    <t>4,931.25M2</t>
    <phoneticPr fontId="13" type="noConversion"/>
  </si>
  <si>
    <t>4,931.25M2
(3組)</t>
    <phoneticPr fontId="13" type="noConversion"/>
  </si>
  <si>
    <t>5,675.10M2</t>
    <phoneticPr fontId="13" type="noConversion"/>
  </si>
  <si>
    <t>5,675.10M2
(4組)</t>
    <phoneticPr fontId="13" type="noConversion"/>
  </si>
  <si>
    <t>4297.84
m3</t>
    <phoneticPr fontId="13" type="noConversion"/>
  </si>
  <si>
    <t>1454才</t>
    <phoneticPr fontId="13" type="noConversion"/>
  </si>
  <si>
    <t>1454才
(1組)</t>
    <phoneticPr fontId="13" type="noConversion"/>
  </si>
  <si>
    <t>2752才</t>
    <phoneticPr fontId="13" type="noConversion"/>
  </si>
  <si>
    <t>2752才
(2組)</t>
    <phoneticPr fontId="13" type="noConversion"/>
  </si>
  <si>
    <t>115年1月15日
北市工水工字第1146000298號
同意備查
(振華興)</t>
    <phoneticPr fontId="13" type="noConversion"/>
  </si>
  <si>
    <t>115年1月14日
任泰顧字第1150114621號
(振華興)</t>
    <phoneticPr fontId="13" type="noConversion"/>
  </si>
  <si>
    <t>分區五-公園綠帶</t>
  </si>
  <si>
    <t>7519
M3
(25063.33M2)</t>
  </si>
  <si>
    <t>7519
M3
(25063.33M2)</t>
    <phoneticPr fontId="13" type="noConversion"/>
  </si>
  <si>
    <t>分區五-透水磚A型紙模地坪</t>
  </si>
  <si>
    <t>2347.79
M3
(8740.8M2)</t>
    <phoneticPr fontId="13" type="noConversion"/>
  </si>
  <si>
    <t>4297.84
M3</t>
    <phoneticPr fontId="13" type="noConversion"/>
  </si>
  <si>
    <t>115年1月19日
任泰顧字
第1150119623號</t>
    <phoneticPr fontId="13" type="noConversion"/>
  </si>
  <si>
    <t>115年1月22日
任泰顧字
第1150122623號</t>
    <phoneticPr fontId="13" type="noConversion"/>
  </si>
  <si>
    <t>115年1月22日
任泰顧字
第1150122622號</t>
    <phoneticPr fontId="13" type="noConversion"/>
  </si>
  <si>
    <t>115年1月19日
任泰顧字
第1150119622號</t>
    <phoneticPr fontId="13" type="noConversion"/>
  </si>
  <si>
    <t>115年1月29日
任泰顧字
第1150129625號</t>
    <phoneticPr fontId="13" type="noConversion"/>
  </si>
  <si>
    <t>115年1月29日
任泰顧字
第1150229624號</t>
    <phoneticPr fontId="13" type="noConversion"/>
  </si>
  <si>
    <t>115年1月29日
任泰顧字
第1150129621號</t>
    <phoneticPr fontId="13" type="noConversion"/>
  </si>
  <si>
    <t>115年1月29日
任泰顧字
第1150129622號</t>
    <phoneticPr fontId="13" type="noConversion"/>
  </si>
  <si>
    <t>115年1月29日
任泰顧字
第1150129623號</t>
    <phoneticPr fontId="13" type="noConversion"/>
  </si>
  <si>
    <t>14-2-1</t>
    <phoneticPr fontId="13" type="noConversion"/>
  </si>
  <si>
    <t>14-2-2</t>
    <phoneticPr fontId="13" type="noConversion"/>
  </si>
  <si>
    <t>560.68
m2</t>
    <phoneticPr fontId="13" type="noConversion"/>
  </si>
  <si>
    <t>170.14 m2</t>
    <phoneticPr fontId="13" type="noConversion"/>
  </si>
  <si>
    <t>170.14 m2
(3組)</t>
    <phoneticPr fontId="13" type="noConversion"/>
  </si>
  <si>
    <t>560.68 m2</t>
    <phoneticPr fontId="13" type="noConversion"/>
  </si>
  <si>
    <t>560.68m2
(5組)</t>
    <phoneticPr fontId="13" type="noConversion"/>
  </si>
  <si>
    <t>0
支</t>
    <phoneticPr fontId="13" type="noConversion"/>
  </si>
  <si>
    <t>40支</t>
    <phoneticPr fontId="13" type="noConversion"/>
  </si>
  <si>
    <t>40支
(3組)</t>
    <phoneticPr fontId="13" type="noConversion"/>
  </si>
  <si>
    <t>18</t>
    <phoneticPr fontId="13" type="noConversion"/>
  </si>
  <si>
    <t>115年2月3日
任泰顧字
第1150203623號</t>
    <phoneticPr fontId="13" type="noConversion"/>
  </si>
  <si>
    <t>115年2月4日
任泰顧字
第1150204622號</t>
    <phoneticPr fontId="13" type="noConversion"/>
  </si>
  <si>
    <t>115年2月9日
任泰顧字
第1150209622號</t>
    <phoneticPr fontId="13" type="noConversion"/>
  </si>
  <si>
    <t>第五次變更設計</t>
    <phoneticPr fontId="13" type="noConversion"/>
  </si>
  <si>
    <t>115年2月4日
溢磺字
第1150204023號</t>
    <phoneticPr fontId="13" type="noConversion"/>
  </si>
  <si>
    <t>115年1月15日
溢磺字
第1150115021號</t>
    <phoneticPr fontId="13" type="noConversion"/>
  </si>
  <si>
    <t>115年1月15日
任泰顧字
第1150115621號</t>
    <phoneticPr fontId="13" type="noConversion"/>
  </si>
  <si>
    <t>115年1月19日
北市工水工字
第1156010450號</t>
    <phoneticPr fontId="13" type="noConversion"/>
  </si>
  <si>
    <t>115年2月11日
溢磺字
第1150211021號</t>
    <phoneticPr fontId="13" type="noConversion"/>
  </si>
  <si>
    <t>115年2月11日
任泰顧字
第1150211621號</t>
    <phoneticPr fontId="13" type="noConversion"/>
  </si>
  <si>
    <t>115年2月24日
北市工水工字
第1156015809號</t>
    <phoneticPr fontId="13" type="noConversion"/>
  </si>
  <si>
    <t>第二次工期檢討</t>
    <phoneticPr fontId="13" type="noConversion"/>
  </si>
  <si>
    <t>分區五-座台A、南側座台E基礎</t>
  </si>
  <si>
    <t>分區五-人行道透水磚紙模、座台E及座台A型</t>
  </si>
  <si>
    <t>EF-1150105
混凝土
自主檢查表</t>
    <phoneticPr fontId="13" type="noConversion"/>
  </si>
  <si>
    <t>4-2-1</t>
    <phoneticPr fontId="13" type="noConversion"/>
  </si>
  <si>
    <t>4-2-2</t>
    <phoneticPr fontId="13" type="noConversion"/>
  </si>
  <si>
    <t>4-2-3</t>
    <phoneticPr fontId="13" type="noConversion"/>
  </si>
  <si>
    <t>4-2-4</t>
    <phoneticPr fontId="13" type="noConversion"/>
  </si>
  <si>
    <t>4-2-5</t>
    <phoneticPr fontId="13" type="noConversion"/>
  </si>
  <si>
    <t>4-2-6</t>
    <phoneticPr fontId="13" type="noConversion"/>
  </si>
  <si>
    <t>4-3-1</t>
    <phoneticPr fontId="13" type="noConversion"/>
  </si>
  <si>
    <t>4-3-2</t>
    <phoneticPr fontId="13" type="noConversion"/>
  </si>
  <si>
    <t>4-3-3</t>
    <phoneticPr fontId="13" type="noConversion"/>
  </si>
  <si>
    <t>4-3-4</t>
    <phoneticPr fontId="13" type="noConversion"/>
  </si>
  <si>
    <t>115/1/28</t>
    <phoneticPr fontId="13" type="noConversion"/>
  </si>
  <si>
    <t>115/2/2</t>
    <phoneticPr fontId="13" type="noConversion"/>
  </si>
  <si>
    <t>115年3月4日
任泰顧字
第1150304622號</t>
    <phoneticPr fontId="13" type="noConversion"/>
  </si>
  <si>
    <t>115年3月2日
任泰顧字
第1150302621號</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</si>
</sst>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55">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24"/>
      <color theme="1"/>
      <name val="新細明體"/>
      <family val="1"/>
      <charset val="136"/>
      <scheme val="minor"/>
    </font>
    <font>
      <b/>
      <sz val="16"/>
      <color theme="1"/>
      <name val="標楷體"/>
      <family val="4"/>
      <charset val="136"/>
    </font>
    <font>
      <sz val="9"/>
      <name val="新細明體"/>
      <family val="1"/>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1"/>
      <color theme="1"/>
      <name val="新細明體"/>
      <family val="1"/>
      <charset val="136"/>
      <scheme val="minor"/>
    </font>
    <font>
      <sz val="11"/>
      <color theme="1"/>
      <name val="標楷體"/>
      <family val="4"/>
      <charset val="136"/>
    </font>
    <font>
      <sz val="11"/>
      <name val="新細明體"/>
      <family val="2"/>
      <charset val="136"/>
      <scheme val="minor"/>
    </font>
    <font>
      <sz val="10"/>
      <color theme="1"/>
      <name val="新細明體"/>
      <family val="1"/>
      <charset val="136"/>
      <scheme val="minor"/>
    </font>
    <font>
      <b/>
      <sz val="18"/>
      <color theme="1"/>
      <name val="標楷體"/>
      <family val="4"/>
      <charset val="136"/>
    </font>
    <font>
      <sz val="10"/>
      <color theme="1"/>
      <name val="新細明體"/>
      <family val="2"/>
      <charset val="136"/>
      <scheme val="minor"/>
    </font>
    <font>
      <sz val="10"/>
      <color theme="1"/>
      <name val="標楷體"/>
      <family val="4"/>
      <charset val="136"/>
    </font>
    <font>
      <sz val="8"/>
      <color theme="1"/>
      <name val="標楷體"/>
      <family val="4"/>
      <charset val="136"/>
    </font>
    <font>
      <sz val="8"/>
      <color theme="1"/>
      <name val="新細明體"/>
      <family val="2"/>
      <charset val="136"/>
      <scheme val="minor"/>
    </font>
    <font>
      <sz val="9"/>
      <color theme="1"/>
      <name val="標楷體"/>
      <family val="4"/>
      <charset val="136"/>
    </font>
    <font>
      <sz val="10"/>
      <color theme="1"/>
      <name val="新細明體"/>
      <family val="1"/>
      <charset val="136"/>
    </font>
    <font>
      <sz val="6"/>
      <color theme="1"/>
      <name val="標楷體"/>
      <family val="4"/>
      <charset val="136"/>
    </font>
    <font>
      <sz val="18"/>
      <color theme="1"/>
      <name val="新細明體"/>
      <family val="2"/>
      <charset val="136"/>
      <scheme val="minor"/>
    </font>
    <font>
      <sz val="18"/>
      <color theme="1"/>
      <name val="標楷體"/>
      <family val="4"/>
      <charset val="136"/>
    </font>
    <font>
      <sz val="9"/>
      <color theme="1"/>
      <name val="新細明體"/>
      <family val="2"/>
      <charset val="136"/>
      <scheme val="minor"/>
    </font>
    <font>
      <sz val="11"/>
      <color theme="1"/>
      <name val="Calibri"/>
      <family val="4"/>
      <charset val="161"/>
    </font>
    <font>
      <sz val="11"/>
      <color theme="1"/>
      <name val="新細明體"/>
      <family val="1"/>
      <charset val="136"/>
    </font>
    <font>
      <sz val="11"/>
      <color rgb="FFFF0000"/>
      <name val="標楷體"/>
      <family val="4"/>
      <charset val="136"/>
    </font>
    <font>
      <sz val="12"/>
      <color rgb="FFFF0000"/>
      <name val="標楷體"/>
      <family val="4"/>
      <charset val="136"/>
    </font>
    <font>
      <sz val="12"/>
      <color rgb="FFFF0000"/>
      <name val="新細明體"/>
      <family val="1"/>
      <charset val="136"/>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9">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7">
    <xf numFmtId="0" fontId="0" fillId="0" borderId="0">
      <alignment vertical="center"/>
    </xf>
    <xf numFmtId="0" fontId="10" fillId="0" borderId="0">
      <alignment vertical="center"/>
    </xf>
    <xf numFmtId="0" fontId="11" fillId="0" borderId="0">
      <alignment vertical="center"/>
    </xf>
    <xf numFmtId="0" fontId="11" fillId="0" borderId="0">
      <alignment vertical="center"/>
    </xf>
    <xf numFmtId="43" fontId="10" fillId="0" borderId="0" applyFont="0" applyFill="0" applyBorder="0" applyAlignment="0" applyProtection="0">
      <alignment vertical="center"/>
    </xf>
    <xf numFmtId="0" fontId="9" fillId="0" borderId="0">
      <alignment vertical="center"/>
    </xf>
    <xf numFmtId="0" fontId="26" fillId="0" borderId="0"/>
    <xf numFmtId="0" fontId="10" fillId="0" borderId="0">
      <alignment vertical="center"/>
    </xf>
    <xf numFmtId="0" fontId="4" fillId="0" borderId="0">
      <alignment vertical="center"/>
    </xf>
    <xf numFmtId="43" fontId="4"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0" fillId="0" borderId="0"/>
    <xf numFmtId="9" fontId="2" fillId="0" borderId="0" applyFont="0" applyFill="0" applyBorder="0" applyAlignment="0" applyProtection="0">
      <alignment vertical="center"/>
    </xf>
    <xf numFmtId="43" fontId="32" fillId="0" borderId="0" applyFont="0" applyFill="0" applyBorder="0" applyAlignment="0" applyProtection="0">
      <alignment vertical="center"/>
    </xf>
  </cellStyleXfs>
  <cellXfs count="345">
    <xf numFmtId="0" fontId="0" fillId="0" borderId="0" xfId="0">
      <alignment vertical="center"/>
    </xf>
    <xf numFmtId="0" fontId="15" fillId="0" borderId="0" xfId="5" applyFont="1">
      <alignment vertical="center"/>
    </xf>
    <xf numFmtId="0" fontId="8" fillId="0" borderId="0" xfId="5" applyFont="1">
      <alignment vertical="center"/>
    </xf>
    <xf numFmtId="0" fontId="19" fillId="0" borderId="13" xfId="5" applyFont="1" applyBorder="1" applyAlignment="1">
      <alignment horizontal="right" vertical="center"/>
    </xf>
    <xf numFmtId="0" fontId="19" fillId="0" borderId="15" xfId="5" applyFont="1" applyBorder="1" applyAlignment="1">
      <alignment horizontal="right" vertical="center"/>
    </xf>
    <xf numFmtId="0" fontId="20" fillId="0" borderId="0" xfId="5" applyFont="1" applyAlignment="1">
      <alignment horizontal="center" vertical="center"/>
    </xf>
    <xf numFmtId="0" fontId="20" fillId="0" borderId="0" xfId="5" applyFont="1">
      <alignment vertical="center"/>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8" fillId="0" borderId="11" xfId="5" applyFont="1" applyBorder="1" applyAlignment="1">
      <alignment horizontal="center" vertical="center" wrapText="1"/>
    </xf>
    <xf numFmtId="0" fontId="21" fillId="0" borderId="0" xfId="5" applyFont="1" applyAlignment="1">
      <alignment horizontal="center" vertical="center"/>
    </xf>
    <xf numFmtId="0" fontId="21" fillId="0" borderId="0" xfId="5" applyFont="1">
      <alignment vertical="center"/>
    </xf>
    <xf numFmtId="0" fontId="21" fillId="0" borderId="0" xfId="5" applyFont="1" applyAlignment="1">
      <alignment vertical="center" wrapText="1"/>
    </xf>
    <xf numFmtId="0" fontId="18" fillId="0" borderId="9" xfId="5" applyFont="1" applyBorder="1" applyAlignment="1">
      <alignment horizontal="center" vertical="center" wrapText="1"/>
    </xf>
    <xf numFmtId="0" fontId="18" fillId="0" borderId="8" xfId="5" applyFont="1" applyBorder="1" applyAlignment="1">
      <alignment horizontal="center" vertical="center" wrapText="1"/>
    </xf>
    <xf numFmtId="0" fontId="22" fillId="0" borderId="8" xfId="5" applyFont="1" applyBorder="1" applyAlignment="1">
      <alignment horizontal="center" vertical="center" wrapText="1"/>
    </xf>
    <xf numFmtId="176" fontId="18" fillId="0" borderId="8" xfId="5" applyNumberFormat="1" applyFont="1" applyBorder="1" applyAlignment="1">
      <alignment horizontal="center" vertical="center"/>
    </xf>
    <xf numFmtId="176" fontId="18" fillId="0" borderId="8" xfId="5" applyNumberFormat="1" applyFont="1" applyBorder="1" applyAlignment="1">
      <alignment horizontal="center" vertical="center" wrapText="1"/>
    </xf>
    <xf numFmtId="14" fontId="18" fillId="0" borderId="8" xfId="5" applyNumberFormat="1" applyFont="1" applyBorder="1" applyAlignment="1">
      <alignment horizontal="center" vertical="center" wrapText="1"/>
    </xf>
    <xf numFmtId="14" fontId="18" fillId="0" borderId="10" xfId="5" applyNumberFormat="1" applyFont="1" applyBorder="1" applyAlignment="1">
      <alignment horizontal="center" vertical="center" wrapText="1"/>
    </xf>
    <xf numFmtId="0" fontId="23" fillId="0" borderId="9" xfId="5" applyFont="1" applyBorder="1" applyAlignment="1">
      <alignment horizontal="center" vertical="center"/>
    </xf>
    <xf numFmtId="0" fontId="18" fillId="0" borderId="8" xfId="5" applyFont="1" applyBorder="1" applyAlignment="1">
      <alignment horizontal="center" vertical="center"/>
    </xf>
    <xf numFmtId="0" fontId="23" fillId="0" borderId="8" xfId="5" applyFont="1" applyBorder="1" applyAlignment="1">
      <alignment vertical="center" wrapText="1"/>
    </xf>
    <xf numFmtId="14" fontId="18" fillId="0" borderId="8" xfId="5" applyNumberFormat="1" applyFont="1" applyBorder="1" applyAlignment="1">
      <alignment horizontal="center" vertical="center"/>
    </xf>
    <xf numFmtId="14" fontId="18" fillId="0" borderId="10" xfId="5" applyNumberFormat="1" applyFont="1" applyBorder="1" applyAlignment="1">
      <alignment horizontal="center" vertical="center"/>
    </xf>
    <xf numFmtId="177" fontId="5" fillId="0" borderId="0" xfId="5" applyNumberFormat="1" applyFont="1" applyAlignment="1">
      <alignment horizontal="center" vertical="center" wrapText="1"/>
    </xf>
    <xf numFmtId="177" fontId="6" fillId="0" borderId="0" xfId="5" applyNumberFormat="1" applyFont="1" applyAlignment="1">
      <alignment horizontal="center" vertical="center" wrapText="1"/>
    </xf>
    <xf numFmtId="0" fontId="6" fillId="0" borderId="0" xfId="5" applyFont="1" applyAlignment="1">
      <alignment horizontal="center" vertical="center" wrapText="1"/>
    </xf>
    <xf numFmtId="0" fontId="5" fillId="0" borderId="0" xfId="5" applyFont="1" applyAlignment="1">
      <alignment vertical="center" wrapText="1"/>
    </xf>
    <xf numFmtId="0" fontId="5" fillId="0" borderId="0" xfId="5" applyFont="1">
      <alignment vertical="center"/>
    </xf>
    <xf numFmtId="0" fontId="5" fillId="0" borderId="0" xfId="5" applyFont="1" applyAlignment="1">
      <alignment horizontal="center" vertical="center" wrapText="1"/>
    </xf>
    <xf numFmtId="0" fontId="14" fillId="0" borderId="0" xfId="5" applyFont="1">
      <alignment vertical="center"/>
    </xf>
    <xf numFmtId="177" fontId="24" fillId="0" borderId="0" xfId="5" applyNumberFormat="1" applyFont="1" applyAlignment="1">
      <alignment vertical="center" wrapText="1"/>
    </xf>
    <xf numFmtId="0" fontId="14" fillId="0" borderId="0" xfId="5" applyFont="1" applyAlignment="1">
      <alignment horizontal="center" vertical="center" wrapText="1"/>
    </xf>
    <xf numFmtId="0" fontId="5" fillId="0" borderId="0" xfId="5" applyFont="1" applyAlignment="1">
      <alignment horizontal="center" vertical="center"/>
    </xf>
    <xf numFmtId="0" fontId="23" fillId="0" borderId="0" xfId="5" applyFont="1" applyAlignment="1">
      <alignment horizontal="center" vertical="center"/>
    </xf>
    <xf numFmtId="0" fontId="25" fillId="2" borderId="0" xfId="5" applyFont="1" applyFill="1">
      <alignment vertical="center"/>
    </xf>
    <xf numFmtId="0" fontId="5" fillId="2" borderId="0" xfId="5" applyFont="1" applyFill="1">
      <alignment vertical="center"/>
    </xf>
    <xf numFmtId="0" fontId="18" fillId="0" borderId="2" xfId="5" applyFont="1" applyBorder="1" applyAlignment="1">
      <alignment horizontal="center" vertical="center" wrapText="1"/>
    </xf>
    <xf numFmtId="176" fontId="18" fillId="0" borderId="18" xfId="5" applyNumberFormat="1" applyFont="1" applyBorder="1" applyAlignment="1">
      <alignment horizontal="center" vertical="center" wrapText="1"/>
    </xf>
    <xf numFmtId="14" fontId="18" fillId="0" borderId="18" xfId="5" applyNumberFormat="1" applyFont="1" applyBorder="1" applyAlignment="1">
      <alignment horizontal="center" vertical="center" wrapText="1"/>
    </xf>
    <xf numFmtId="0" fontId="6" fillId="0" borderId="8" xfId="1" applyFont="1" applyBorder="1" applyAlignment="1">
      <alignment horizontal="center" vertical="center" wrapText="1"/>
    </xf>
    <xf numFmtId="0" fontId="28" fillId="2" borderId="0" xfId="10" applyFont="1" applyFill="1" applyAlignment="1">
      <alignment vertical="center" wrapText="1"/>
    </xf>
    <xf numFmtId="0" fontId="28" fillId="2" borderId="0" xfId="8" applyFont="1" applyFill="1" applyAlignment="1">
      <alignment horizontal="center" vertical="center" wrapText="1"/>
    </xf>
    <xf numFmtId="43" fontId="27" fillId="2" borderId="0" xfId="10" applyNumberFormat="1" applyFont="1" applyFill="1" applyAlignment="1">
      <alignment vertical="center" wrapText="1"/>
    </xf>
    <xf numFmtId="43" fontId="28" fillId="2" borderId="0" xfId="10" applyNumberFormat="1" applyFont="1" applyFill="1" applyAlignment="1">
      <alignment vertical="center" wrapText="1"/>
    </xf>
    <xf numFmtId="0" fontId="6" fillId="2" borderId="0" xfId="10" applyFont="1" applyFill="1" applyAlignment="1">
      <alignment vertical="center" wrapText="1"/>
    </xf>
    <xf numFmtId="0" fontId="6" fillId="2" borderId="0" xfId="8" applyFont="1" applyFill="1" applyAlignment="1">
      <alignment horizontal="center" vertical="center" wrapText="1"/>
    </xf>
    <xf numFmtId="178" fontId="19" fillId="0" borderId="14" xfId="5" applyNumberFormat="1" applyFont="1" applyBorder="1" applyAlignment="1">
      <alignment horizontal="left" vertical="center"/>
    </xf>
    <xf numFmtId="178" fontId="18" fillId="0" borderId="8" xfId="5" applyNumberFormat="1" applyFont="1" applyBorder="1" applyAlignment="1">
      <alignment horizontal="center" vertical="center"/>
    </xf>
    <xf numFmtId="178" fontId="18" fillId="0" borderId="8" xfId="5" applyNumberFormat="1" applyFont="1" applyBorder="1" applyAlignment="1">
      <alignment horizontal="center" vertical="center" wrapText="1"/>
    </xf>
    <xf numFmtId="14" fontId="22" fillId="0" borderId="8" xfId="5" applyNumberFormat="1" applyFont="1" applyBorder="1" applyAlignment="1">
      <alignment horizontal="center" vertical="center" wrapText="1"/>
    </xf>
    <xf numFmtId="178" fontId="22"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9" fillId="0" borderId="8" xfId="5" applyFont="1" applyBorder="1" applyAlignment="1">
      <alignment horizontal="right" vertical="center"/>
    </xf>
    <xf numFmtId="178" fontId="19" fillId="0" borderId="8" xfId="5" applyNumberFormat="1" applyFont="1" applyBorder="1" applyAlignment="1">
      <alignment horizontal="left" vertical="center"/>
    </xf>
    <xf numFmtId="0" fontId="23" fillId="0" borderId="8" xfId="5" applyFont="1" applyBorder="1" applyAlignment="1">
      <alignment horizontal="center" vertical="center"/>
    </xf>
    <xf numFmtId="179" fontId="27" fillId="2" borderId="0" xfId="10" applyNumberFormat="1" applyFont="1" applyFill="1" applyAlignment="1">
      <alignment vertical="center" wrapText="1"/>
    </xf>
    <xf numFmtId="0" fontId="5" fillId="0" borderId="8" xfId="5" applyFont="1" applyBorder="1">
      <alignment vertical="center"/>
    </xf>
    <xf numFmtId="178" fontId="30" fillId="0" borderId="8" xfId="5" applyNumberFormat="1" applyFont="1" applyBorder="1" applyAlignment="1">
      <alignment horizontal="center" vertical="center" wrapText="1"/>
    </xf>
    <xf numFmtId="0" fontId="28" fillId="2" borderId="0" xfId="10" applyFont="1" applyFill="1" applyAlignment="1">
      <alignment horizontal="center" vertical="center" wrapText="1"/>
    </xf>
    <xf numFmtId="0" fontId="6" fillId="2" borderId="0" xfId="10" applyFont="1" applyFill="1" applyAlignment="1">
      <alignment horizontal="center" vertical="center" wrapText="1"/>
    </xf>
    <xf numFmtId="0" fontId="9" fillId="0" borderId="0" xfId="0" applyFont="1">
      <alignment vertical="center"/>
    </xf>
    <xf numFmtId="14" fontId="9"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6" fillId="0" borderId="0" xfId="1" applyFont="1">
      <alignment vertical="center"/>
    </xf>
    <xf numFmtId="0" fontId="6" fillId="0" borderId="0" xfId="1" applyFont="1" applyAlignment="1">
      <alignment horizontal="center" vertical="center" wrapText="1"/>
    </xf>
    <xf numFmtId="179" fontId="6"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9" fillId="0" borderId="0" xfId="0" applyNumberFormat="1" applyFont="1" applyAlignment="1">
      <alignment horizontal="center" vertical="center"/>
    </xf>
    <xf numFmtId="0" fontId="9" fillId="0" borderId="0" xfId="0" applyFont="1" applyAlignment="1">
      <alignment horizontal="center" vertical="center"/>
    </xf>
    <xf numFmtId="177" fontId="0" fillId="0" borderId="0" xfId="0" applyNumberFormat="1" applyAlignment="1">
      <alignment horizontal="center" vertical="center"/>
    </xf>
    <xf numFmtId="178" fontId="25" fillId="2" borderId="0" xfId="5" applyNumberFormat="1" applyFont="1" applyFill="1">
      <alignment vertical="center"/>
    </xf>
    <xf numFmtId="0" fontId="33" fillId="0" borderId="0" xfId="0" applyFont="1" applyAlignment="1">
      <alignment horizontal="center" vertical="center"/>
    </xf>
    <xf numFmtId="181" fontId="33" fillId="0" borderId="0" xfId="16" applyNumberFormat="1" applyFont="1" applyBorder="1" applyAlignment="1">
      <alignment horizontal="center" vertical="center"/>
    </xf>
    <xf numFmtId="14" fontId="5" fillId="2" borderId="0" xfId="5" applyNumberFormat="1" applyFont="1" applyFill="1">
      <alignment vertical="center"/>
    </xf>
    <xf numFmtId="178" fontId="18" fillId="0" borderId="10" xfId="5" applyNumberFormat="1" applyFont="1" applyBorder="1" applyAlignment="1">
      <alignment horizontal="center" vertical="center" wrapText="1"/>
    </xf>
    <xf numFmtId="0" fontId="23" fillId="0" borderId="19" xfId="5" applyFont="1" applyBorder="1" applyAlignment="1">
      <alignment horizontal="center" vertical="center"/>
    </xf>
    <xf numFmtId="0" fontId="18" fillId="0" borderId="20" xfId="5" applyFont="1" applyBorder="1" applyAlignment="1">
      <alignment horizontal="center" vertical="center" wrapText="1"/>
    </xf>
    <xf numFmtId="178" fontId="18" fillId="0" borderId="20" xfId="5" applyNumberFormat="1" applyFont="1" applyBorder="1" applyAlignment="1">
      <alignment horizontal="center" vertical="center" wrapText="1"/>
    </xf>
    <xf numFmtId="178" fontId="18" fillId="0" borderId="23" xfId="5" applyNumberFormat="1" applyFont="1" applyBorder="1" applyAlignment="1">
      <alignment horizontal="center" vertical="center" wrapText="1"/>
    </xf>
    <xf numFmtId="0" fontId="5" fillId="0" borderId="8" xfId="1" applyFont="1" applyBorder="1" applyAlignment="1">
      <alignment horizontal="center" vertical="center" wrapText="1"/>
    </xf>
    <xf numFmtId="49" fontId="6" fillId="0" borderId="8" xfId="0" applyNumberFormat="1" applyFont="1" applyBorder="1" applyAlignment="1">
      <alignment horizontal="center" vertical="center" wrapText="1"/>
    </xf>
    <xf numFmtId="177" fontId="25" fillId="2" borderId="0" xfId="5" applyNumberFormat="1" applyFont="1" applyFill="1">
      <alignment vertical="center"/>
    </xf>
    <xf numFmtId="0" fontId="33" fillId="0" borderId="0" xfId="0" applyFont="1">
      <alignment vertical="center"/>
    </xf>
    <xf numFmtId="14" fontId="33" fillId="0" borderId="0" xfId="0" applyNumberFormat="1" applyFont="1">
      <alignment vertical="center"/>
    </xf>
    <xf numFmtId="180" fontId="33" fillId="0" borderId="0" xfId="0" applyNumberFormat="1" applyFont="1">
      <alignment vertical="center"/>
    </xf>
    <xf numFmtId="0" fontId="5" fillId="2" borderId="8" xfId="10" applyFont="1" applyFill="1" applyBorder="1" applyAlignment="1">
      <alignment horizontal="center" vertical="center" wrapText="1"/>
    </xf>
    <xf numFmtId="43" fontId="5" fillId="2" borderId="8" xfId="10" applyNumberFormat="1" applyFont="1" applyFill="1" applyBorder="1" applyAlignment="1">
      <alignment horizontal="center" vertical="center" wrapText="1"/>
    </xf>
    <xf numFmtId="0" fontId="33" fillId="0" borderId="8" xfId="0" applyFont="1" applyBorder="1" applyAlignment="1">
      <alignment horizontal="center" vertical="center" wrapText="1"/>
    </xf>
    <xf numFmtId="0" fontId="6" fillId="0" borderId="0" xfId="1" applyFont="1" applyAlignment="1">
      <alignment horizontal="left" vertical="center" wrapText="1"/>
    </xf>
    <xf numFmtId="178" fontId="34" fillId="2" borderId="8" xfId="11" applyNumberFormat="1" applyFont="1" applyFill="1" applyBorder="1" applyAlignment="1">
      <alignment horizontal="center" vertical="center" wrapText="1"/>
    </xf>
    <xf numFmtId="43" fontId="34" fillId="2" borderId="8" xfId="11" applyFont="1" applyFill="1" applyBorder="1" applyAlignment="1">
      <alignment horizontal="center" vertical="center" wrapText="1"/>
    </xf>
    <xf numFmtId="0" fontId="5" fillId="2" borderId="7" xfId="10" applyFont="1" applyFill="1" applyBorder="1" applyAlignment="1">
      <alignment horizontal="center" vertical="top" wrapText="1"/>
    </xf>
    <xf numFmtId="0" fontId="5" fillId="2" borderId="6" xfId="10" applyFont="1" applyFill="1" applyBorder="1" applyAlignment="1">
      <alignment horizontal="center" wrapText="1"/>
    </xf>
    <xf numFmtId="176" fontId="34" fillId="2" borderId="8" xfId="11" applyNumberFormat="1" applyFont="1" applyFill="1" applyBorder="1" applyAlignment="1">
      <alignment horizontal="center" vertical="center" wrapText="1"/>
    </xf>
    <xf numFmtId="0" fontId="34" fillId="0" borderId="8" xfId="1" applyFont="1" applyBorder="1" applyAlignment="1">
      <alignment horizontal="center" vertical="center" wrapText="1"/>
    </xf>
    <xf numFmtId="0" fontId="36" fillId="0" borderId="8"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xf>
    <xf numFmtId="0" fontId="37" fillId="2" borderId="0" xfId="10" applyFont="1" applyFill="1" applyAlignment="1">
      <alignment horizontal="center" vertical="center" wrapText="1"/>
    </xf>
    <xf numFmtId="0" fontId="34" fillId="2" borderId="0" xfId="10" applyFont="1" applyFill="1" applyAlignment="1">
      <alignment horizontal="center" vertical="center" wrapText="1"/>
    </xf>
    <xf numFmtId="0" fontId="34" fillId="2" borderId="0" xfId="10" applyFont="1" applyFill="1" applyAlignment="1">
      <alignment vertical="center" wrapText="1"/>
    </xf>
    <xf numFmtId="0" fontId="37" fillId="2" borderId="0" xfId="10" applyFont="1" applyFill="1" applyAlignment="1">
      <alignment vertical="center" wrapText="1"/>
    </xf>
    <xf numFmtId="0" fontId="36" fillId="0" borderId="0" xfId="0" applyFont="1" applyAlignment="1">
      <alignment horizontal="center" vertical="center"/>
    </xf>
    <xf numFmtId="0" fontId="37" fillId="2" borderId="0" xfId="10" quotePrefix="1" applyFont="1" applyFill="1" applyAlignment="1">
      <alignment horizontal="center" vertical="center" wrapText="1"/>
    </xf>
    <xf numFmtId="43" fontId="34" fillId="2" borderId="7" xfId="11" applyFont="1" applyFill="1" applyBorder="1" applyAlignment="1">
      <alignment horizontal="center" vertical="center" wrapText="1"/>
    </xf>
    <xf numFmtId="0" fontId="34" fillId="2" borderId="0" xfId="8" applyFont="1" applyFill="1" applyAlignment="1">
      <alignment horizontal="center" vertical="center" wrapText="1"/>
    </xf>
    <xf numFmtId="0" fontId="37" fillId="2" borderId="0" xfId="8" applyFont="1" applyFill="1" applyAlignment="1">
      <alignment horizontal="center" vertical="center" wrapText="1"/>
    </xf>
    <xf numFmtId="0" fontId="6" fillId="0" borderId="8" xfId="1" applyFont="1" applyBorder="1" applyAlignment="1">
      <alignment horizontal="left" vertical="center" wrapText="1"/>
    </xf>
    <xf numFmtId="176" fontId="36" fillId="2" borderId="8" xfId="11" applyNumberFormat="1" applyFont="1" applyFill="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36" fillId="0" borderId="8" xfId="1" applyFont="1" applyBorder="1" applyAlignment="1">
      <alignment horizontal="left" vertical="center" wrapText="1"/>
    </xf>
    <xf numFmtId="0" fontId="24" fillId="0" borderId="0" xfId="1" applyFont="1">
      <alignment vertical="center"/>
    </xf>
    <xf numFmtId="0" fontId="5" fillId="0" borderId="0" xfId="1" applyFont="1">
      <alignment vertical="center"/>
    </xf>
    <xf numFmtId="176" fontId="7" fillId="0" borderId="8" xfId="1" applyNumberFormat="1" applyFont="1" applyBorder="1" applyAlignment="1">
      <alignment horizontal="center" vertical="center" wrapText="1"/>
    </xf>
    <xf numFmtId="177" fontId="7" fillId="0" borderId="8" xfId="1" applyNumberFormat="1" applyFont="1" applyBorder="1" applyAlignment="1">
      <alignment horizontal="center" vertical="center" wrapText="1"/>
    </xf>
    <xf numFmtId="0" fontId="36" fillId="0" borderId="8" xfId="1" applyFont="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0" fillId="2" borderId="0" xfId="10" applyFont="1" applyFill="1" applyAlignment="1">
      <alignment horizontal="center" vertical="center" wrapText="1"/>
    </xf>
    <xf numFmtId="0" fontId="41" fillId="2" borderId="0" xfId="10" applyFont="1" applyFill="1" applyAlignment="1">
      <alignment horizontal="center" vertical="center" wrapText="1"/>
    </xf>
    <xf numFmtId="0" fontId="41" fillId="2" borderId="0" xfId="10" applyFont="1" applyFill="1" applyAlignment="1">
      <alignment vertical="center" wrapText="1"/>
    </xf>
    <xf numFmtId="0" fontId="40" fillId="2" borderId="0" xfId="10" applyFont="1" applyFill="1" applyAlignment="1">
      <alignment vertical="center" wrapText="1"/>
    </xf>
    <xf numFmtId="0" fontId="33" fillId="2" borderId="8" xfId="10" applyFont="1" applyFill="1" applyBorder="1" applyAlignment="1">
      <alignment horizontal="center" vertical="center" wrapText="1"/>
    </xf>
    <xf numFmtId="0" fontId="33" fillId="2" borderId="6" xfId="10" applyFont="1" applyFill="1" applyBorder="1" applyAlignment="1">
      <alignment horizontal="center" wrapText="1"/>
    </xf>
    <xf numFmtId="43" fontId="33" fillId="2" borderId="8" xfId="10" applyNumberFormat="1" applyFont="1" applyFill="1" applyBorder="1" applyAlignment="1">
      <alignment horizontal="center" vertical="center" wrapText="1"/>
    </xf>
    <xf numFmtId="0" fontId="33" fillId="2" borderId="7" xfId="10" applyFont="1" applyFill="1" applyBorder="1" applyAlignment="1">
      <alignment horizontal="center" vertical="top" wrapText="1"/>
    </xf>
    <xf numFmtId="0" fontId="36" fillId="0" borderId="8" xfId="1" quotePrefix="1" applyFont="1" applyBorder="1" applyAlignment="1">
      <alignment horizontal="center" vertical="center" wrapText="1"/>
    </xf>
    <xf numFmtId="0" fontId="40" fillId="2" borderId="0" xfId="10" quotePrefix="1" applyFont="1" applyFill="1" applyAlignment="1">
      <alignment horizontal="center" vertical="center" wrapText="1"/>
    </xf>
    <xf numFmtId="0" fontId="42" fillId="2" borderId="0" xfId="10" applyFont="1" applyFill="1" applyAlignment="1">
      <alignment vertical="center" wrapText="1"/>
    </xf>
    <xf numFmtId="0" fontId="43" fillId="2" borderId="0" xfId="10" applyFont="1" applyFill="1" applyAlignment="1">
      <alignment vertical="center" wrapText="1"/>
    </xf>
    <xf numFmtId="0" fontId="42" fillId="2" borderId="0" xfId="8" applyFont="1" applyFill="1" applyAlignment="1">
      <alignment horizontal="center" vertical="center" wrapText="1"/>
    </xf>
    <xf numFmtId="0" fontId="43" fillId="2" borderId="0" xfId="8" applyFont="1" applyFill="1" applyAlignment="1">
      <alignment horizontal="center" vertical="center" wrapText="1"/>
    </xf>
    <xf numFmtId="178" fontId="36" fillId="0" borderId="8" xfId="1" quotePrefix="1" applyNumberFormat="1" applyFont="1" applyBorder="1" applyAlignment="1">
      <alignment horizontal="center" vertical="center" wrapText="1"/>
    </xf>
    <xf numFmtId="0" fontId="40" fillId="2" borderId="0" xfId="8" applyFont="1" applyFill="1" applyAlignment="1">
      <alignment horizontal="center" vertical="center" wrapText="1"/>
    </xf>
    <xf numFmtId="0" fontId="41" fillId="2" borderId="0" xfId="8" applyFont="1" applyFill="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44" fillId="2" borderId="0" xfId="8" applyFont="1" applyFill="1" applyAlignment="1">
      <alignment horizontal="left" vertical="center" wrapText="1"/>
    </xf>
    <xf numFmtId="43" fontId="45" fillId="2" borderId="0" xfId="10" applyNumberFormat="1" applyFont="1" applyFill="1" applyAlignment="1">
      <alignment vertical="center" wrapText="1"/>
    </xf>
    <xf numFmtId="179" fontId="45" fillId="2" borderId="0" xfId="10" applyNumberFormat="1" applyFont="1" applyFill="1" applyAlignment="1">
      <alignment vertical="center" wrapText="1"/>
    </xf>
    <xf numFmtId="43" fontId="40" fillId="2" borderId="0" xfId="10" applyNumberFormat="1" applyFont="1" applyFill="1" applyAlignment="1">
      <alignment vertical="center" wrapText="1"/>
    </xf>
    <xf numFmtId="0" fontId="36" fillId="0" borderId="7" xfId="1" applyFont="1" applyBorder="1" applyAlignment="1">
      <alignment horizontal="center" vertical="center" wrapText="1"/>
    </xf>
    <xf numFmtId="0" fontId="41" fillId="2" borderId="0" xfId="10" quotePrefix="1" applyFont="1" applyFill="1" applyAlignment="1">
      <alignment horizontal="center" vertical="center" wrapText="1"/>
    </xf>
    <xf numFmtId="43" fontId="41" fillId="2" borderId="0" xfId="10" applyNumberFormat="1" applyFont="1" applyFill="1" applyAlignment="1">
      <alignment vertical="center" wrapText="1"/>
    </xf>
    <xf numFmtId="179" fontId="41" fillId="2" borderId="0" xfId="10" applyNumberFormat="1" applyFont="1" applyFill="1" applyAlignment="1">
      <alignment vertical="center" wrapText="1"/>
    </xf>
    <xf numFmtId="0" fontId="47" fillId="2" borderId="0" xfId="10" applyFont="1" applyFill="1" applyAlignment="1">
      <alignment horizontal="center" vertical="center" wrapText="1"/>
    </xf>
    <xf numFmtId="0" fontId="48" fillId="2" borderId="0" xfId="10" applyFont="1" applyFill="1" applyAlignment="1">
      <alignment horizontal="center" vertical="center" wrapText="1"/>
    </xf>
    <xf numFmtId="0" fontId="48" fillId="2" borderId="0" xfId="10" applyFont="1" applyFill="1" applyAlignment="1">
      <alignment vertical="center" wrapText="1"/>
    </xf>
    <xf numFmtId="0" fontId="47" fillId="2" borderId="0" xfId="10" applyFont="1" applyFill="1" applyAlignment="1">
      <alignment vertical="center" wrapText="1"/>
    </xf>
    <xf numFmtId="0" fontId="41" fillId="0" borderId="8" xfId="1" applyFont="1" applyBorder="1" applyAlignment="1">
      <alignment horizontal="center" vertical="center" wrapText="1"/>
    </xf>
    <xf numFmtId="0" fontId="36" fillId="0" borderId="18" xfId="1" applyFont="1" applyBorder="1" applyAlignment="1">
      <alignment horizontal="center" vertical="center" wrapText="1"/>
    </xf>
    <xf numFmtId="49" fontId="41" fillId="0" borderId="7" xfId="0" applyNumberFormat="1" applyFont="1" applyBorder="1" applyAlignment="1">
      <alignment horizontal="center" vertical="center" wrapText="1"/>
    </xf>
    <xf numFmtId="0" fontId="49" fillId="2" borderId="0" xfId="8" applyFont="1" applyFill="1" applyAlignment="1">
      <alignment horizontal="center" vertical="center" wrapText="1"/>
    </xf>
    <xf numFmtId="0" fontId="44" fillId="2" borderId="0" xfId="8" applyFont="1" applyFill="1" applyAlignment="1">
      <alignment horizontal="center" vertical="center" wrapText="1"/>
    </xf>
    <xf numFmtId="0" fontId="44" fillId="0" borderId="8" xfId="1" applyFont="1" applyBorder="1" applyAlignment="1">
      <alignment horizontal="center" vertical="center" wrapText="1"/>
    </xf>
    <xf numFmtId="0" fontId="1" fillId="2" borderId="0" xfId="10" applyFont="1" applyFill="1" applyAlignment="1">
      <alignment horizontal="center" vertical="center" wrapText="1"/>
    </xf>
    <xf numFmtId="0" fontId="33" fillId="2" borderId="0" xfId="10" applyFont="1" applyFill="1" applyAlignment="1">
      <alignment horizontal="center" vertical="center" wrapText="1"/>
    </xf>
    <xf numFmtId="0" fontId="33" fillId="2" borderId="0" xfId="10" applyFont="1" applyFill="1" applyAlignment="1">
      <alignment vertical="center" wrapText="1"/>
    </xf>
    <xf numFmtId="0" fontId="1" fillId="2" borderId="0" xfId="10" applyFont="1" applyFill="1" applyAlignment="1">
      <alignment vertical="center" wrapText="1"/>
    </xf>
    <xf numFmtId="0" fontId="1" fillId="2" borderId="0" xfId="10" quotePrefix="1" applyFont="1" applyFill="1" applyAlignment="1">
      <alignment horizontal="center" vertical="center" wrapText="1"/>
    </xf>
    <xf numFmtId="0" fontId="33" fillId="2" borderId="0" xfId="8" applyFont="1" applyFill="1" applyAlignment="1">
      <alignment horizontal="center" vertical="center" wrapText="1"/>
    </xf>
    <xf numFmtId="0" fontId="1" fillId="2" borderId="0" xfId="8" applyFont="1" applyFill="1" applyAlignment="1">
      <alignment horizontal="center" vertical="center" wrapText="1"/>
    </xf>
    <xf numFmtId="0" fontId="33" fillId="0" borderId="8" xfId="1" applyFont="1" applyBorder="1" applyAlignment="1">
      <alignment horizontal="center" vertical="center" wrapText="1"/>
    </xf>
    <xf numFmtId="0" fontId="33" fillId="0" borderId="8" xfId="10" applyFont="1" applyBorder="1" applyAlignment="1">
      <alignment horizontal="center" vertical="center" wrapText="1"/>
    </xf>
    <xf numFmtId="0" fontId="36" fillId="0" borderId="6" xfId="10" applyFont="1" applyBorder="1" applyAlignment="1">
      <alignment horizontal="center" vertical="center" wrapText="1"/>
    </xf>
    <xf numFmtId="49" fontId="36" fillId="0" borderId="8" xfId="6" applyNumberFormat="1" applyFont="1" applyBorder="1" applyAlignment="1">
      <alignment horizontal="center" vertical="center" wrapText="1"/>
    </xf>
    <xf numFmtId="0" fontId="36" fillId="0" borderId="5" xfId="10" applyFont="1" applyBorder="1" applyAlignment="1">
      <alignment horizontal="center" vertical="center" wrapText="1"/>
    </xf>
    <xf numFmtId="1" fontId="1" fillId="2" borderId="0" xfId="10" quotePrefix="1" applyNumberFormat="1" applyFont="1" applyFill="1" applyAlignment="1">
      <alignment horizontal="center" vertical="center" wrapText="1"/>
    </xf>
    <xf numFmtId="1" fontId="33" fillId="2" borderId="0" xfId="10" applyNumberFormat="1" applyFont="1" applyFill="1" applyAlignment="1">
      <alignment horizontal="center" vertical="center" wrapText="1"/>
    </xf>
    <xf numFmtId="0" fontId="36" fillId="0" borderId="7" xfId="1" applyFont="1" applyBorder="1" applyAlignment="1">
      <alignment horizontal="left" vertical="center" wrapText="1"/>
    </xf>
    <xf numFmtId="43" fontId="36" fillId="2" borderId="7" xfId="11" applyFont="1" applyFill="1" applyBorder="1" applyAlignment="1">
      <alignment horizontal="center" vertical="center" wrapText="1"/>
    </xf>
    <xf numFmtId="0" fontId="9" fillId="0" borderId="28" xfId="0" applyFont="1" applyBorder="1" applyAlignment="1">
      <alignment horizontal="center" vertical="center" wrapText="1"/>
    </xf>
    <xf numFmtId="0" fontId="41" fillId="0" borderId="8" xfId="1" applyFont="1" applyBorder="1" applyAlignment="1">
      <alignment horizontal="left" vertical="center" wrapText="1"/>
    </xf>
    <xf numFmtId="0" fontId="36" fillId="0" borderId="7" xfId="10" applyFont="1" applyBorder="1" applyAlignment="1">
      <alignment horizontal="center" vertical="center" wrapText="1"/>
    </xf>
    <xf numFmtId="0" fontId="42" fillId="2" borderId="0" xfId="10" applyFont="1" applyFill="1" applyAlignment="1">
      <alignment horizontal="center" vertical="center" wrapText="1"/>
    </xf>
    <xf numFmtId="43" fontId="33" fillId="2" borderId="8" xfId="11" applyFont="1" applyFill="1" applyBorder="1" applyAlignment="1">
      <alignment horizontal="center" vertical="center" wrapText="1"/>
    </xf>
    <xf numFmtId="49" fontId="33" fillId="0" borderId="8" xfId="6" applyNumberFormat="1" applyFont="1" applyBorder="1" applyAlignment="1">
      <alignment horizontal="center" vertical="center" wrapText="1"/>
    </xf>
    <xf numFmtId="0" fontId="33" fillId="0" borderId="7" xfId="10" applyFont="1" applyBorder="1" applyAlignment="1">
      <alignment horizontal="center" vertical="center" wrapText="1"/>
    </xf>
    <xf numFmtId="0" fontId="41" fillId="0" borderId="8" xfId="10" applyFont="1" applyBorder="1" applyAlignment="1">
      <alignment horizontal="center" vertical="center" wrapText="1"/>
    </xf>
    <xf numFmtId="49" fontId="40" fillId="2" borderId="0" xfId="10" quotePrefix="1" applyNumberFormat="1" applyFont="1" applyFill="1" applyAlignment="1">
      <alignment horizontal="center" vertical="center" wrapText="1"/>
    </xf>
    <xf numFmtId="43" fontId="33" fillId="2" borderId="7" xfId="11" applyFont="1" applyFill="1" applyBorder="1" applyAlignment="1">
      <alignment horizontal="center" vertical="center" wrapText="1"/>
    </xf>
    <xf numFmtId="43" fontId="33" fillId="2" borderId="0" xfId="10" applyNumberFormat="1" applyFont="1" applyFill="1" applyAlignment="1">
      <alignment vertical="center" wrapText="1"/>
    </xf>
    <xf numFmtId="179" fontId="33" fillId="2" borderId="0" xfId="10" applyNumberFormat="1" applyFont="1" applyFill="1" applyAlignment="1">
      <alignment vertical="center" wrapText="1"/>
    </xf>
    <xf numFmtId="176" fontId="52" fillId="2" borderId="8" xfId="11" applyNumberFormat="1" applyFont="1" applyFill="1" applyBorder="1" applyAlignment="1">
      <alignment horizontal="center" vertical="center" wrapText="1"/>
    </xf>
    <xf numFmtId="43" fontId="52" fillId="2" borderId="8" xfId="11" applyFont="1" applyFill="1" applyBorder="1" applyAlignment="1">
      <alignment horizontal="center" vertical="center" wrapText="1"/>
    </xf>
    <xf numFmtId="0" fontId="36" fillId="2" borderId="5" xfId="10" applyFont="1" applyFill="1" applyBorder="1" applyAlignment="1">
      <alignment vertical="center" wrapText="1"/>
    </xf>
    <xf numFmtId="0" fontId="36" fillId="2" borderId="7" xfId="10" applyFont="1" applyFill="1" applyBorder="1" applyAlignment="1">
      <alignment vertical="center" wrapText="1"/>
    </xf>
    <xf numFmtId="178" fontId="36" fillId="2" borderId="8" xfId="11" quotePrefix="1" applyNumberFormat="1" applyFont="1" applyFill="1" applyBorder="1" applyAlignment="1">
      <alignment horizontal="center" vertical="center" wrapText="1"/>
    </xf>
    <xf numFmtId="181" fontId="33" fillId="0" borderId="8" xfId="16" applyNumberFormat="1" applyFont="1" applyBorder="1" applyAlignment="1">
      <alignment horizontal="center" vertical="center" wrapText="1"/>
    </xf>
    <xf numFmtId="43" fontId="33" fillId="2" borderId="0" xfId="10" applyNumberFormat="1" applyFont="1" applyFill="1" applyAlignment="1">
      <alignment horizontal="center" vertical="center" wrapText="1"/>
    </xf>
    <xf numFmtId="177" fontId="5" fillId="0" borderId="0" xfId="5" applyNumberFormat="1" applyFont="1">
      <alignment vertical="center"/>
    </xf>
    <xf numFmtId="177" fontId="34" fillId="0" borderId="18" xfId="10" quotePrefix="1" applyNumberFormat="1" applyFont="1" applyBorder="1" applyAlignment="1">
      <alignment horizontal="center" vertical="center" wrapText="1"/>
    </xf>
    <xf numFmtId="0" fontId="34" fillId="0" borderId="18" xfId="10" applyFont="1" applyBorder="1" applyAlignment="1">
      <alignment horizontal="center" vertical="center" wrapText="1"/>
    </xf>
    <xf numFmtId="4" fontId="34" fillId="0" borderId="6" xfId="1" applyNumberFormat="1" applyFont="1" applyBorder="1" applyAlignment="1">
      <alignment horizontal="center" vertical="center" wrapText="1"/>
    </xf>
    <xf numFmtId="4" fontId="34" fillId="0" borderId="7" xfId="1" applyNumberFormat="1" applyFont="1" applyBorder="1" applyAlignment="1">
      <alignment horizontal="center" vertical="center" wrapText="1"/>
    </xf>
    <xf numFmtId="179" fontId="34" fillId="2" borderId="6" xfId="10" applyNumberFormat="1" applyFont="1" applyFill="1" applyBorder="1" applyAlignment="1">
      <alignment horizontal="center" vertical="center" wrapText="1"/>
    </xf>
    <xf numFmtId="179" fontId="34" fillId="2" borderId="7" xfId="10" applyNumberFormat="1" applyFont="1" applyFill="1" applyBorder="1" applyAlignment="1">
      <alignment horizontal="center" vertical="center" wrapText="1"/>
    </xf>
    <xf numFmtId="0" fontId="34" fillId="2" borderId="8" xfId="10" applyFont="1" applyFill="1" applyBorder="1" applyAlignment="1">
      <alignment horizontal="center" vertical="center" wrapText="1"/>
    </xf>
    <xf numFmtId="0" fontId="34" fillId="0" borderId="8" xfId="1" applyFont="1" applyBorder="1" applyAlignment="1">
      <alignment horizontal="center" vertical="center" wrapText="1"/>
    </xf>
    <xf numFmtId="0" fontId="34" fillId="2" borderId="6" xfId="1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5" fillId="2" borderId="18" xfId="8" applyFont="1" applyFill="1" applyBorder="1" applyAlignment="1">
      <alignment horizontal="left"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7" fillId="2" borderId="0" xfId="8" applyFont="1" applyFill="1" applyAlignment="1">
      <alignment horizontal="left" vertical="center" wrapText="1"/>
    </xf>
    <xf numFmtId="177" fontId="34" fillId="0" borderId="22" xfId="10" quotePrefix="1" applyNumberFormat="1" applyFont="1" applyBorder="1" applyAlignment="1">
      <alignment horizontal="center" vertical="center" wrapText="1"/>
    </xf>
    <xf numFmtId="4" fontId="34" fillId="0" borderId="5" xfId="1" applyNumberFormat="1" applyFont="1" applyBorder="1" applyAlignment="1">
      <alignment horizontal="center" vertical="center" wrapText="1"/>
    </xf>
    <xf numFmtId="0" fontId="34" fillId="2" borderId="7" xfId="10" applyFont="1" applyFill="1" applyBorder="1" applyAlignment="1">
      <alignment horizontal="center" vertical="center" wrapText="1"/>
    </xf>
    <xf numFmtId="0" fontId="34" fillId="0" borderId="7" xfId="1" applyFont="1" applyBorder="1" applyAlignment="1">
      <alignment horizontal="center" vertical="center" wrapText="1"/>
    </xf>
    <xf numFmtId="177" fontId="34" fillId="0" borderId="7" xfId="10" quotePrefix="1" applyNumberFormat="1" applyFont="1" applyBorder="1" applyAlignment="1">
      <alignment horizontal="center" vertical="center" wrapText="1"/>
    </xf>
    <xf numFmtId="0" fontId="34" fillId="0" borderId="8" xfId="10" applyFont="1" applyBorder="1" applyAlignment="1">
      <alignment horizontal="center" vertical="center" wrapText="1"/>
    </xf>
    <xf numFmtId="177" fontId="34" fillId="0" borderId="8" xfId="10" quotePrefix="1" applyNumberFormat="1" applyFont="1" applyBorder="1" applyAlignment="1">
      <alignment horizontal="center" vertical="center" wrapText="1"/>
    </xf>
    <xf numFmtId="0" fontId="5" fillId="2" borderId="6" xfId="10" applyFont="1" applyFill="1" applyBorder="1" applyAlignment="1">
      <alignment horizontal="center" vertical="center" wrapText="1"/>
    </xf>
    <xf numFmtId="0" fontId="5" fillId="2" borderId="7" xfId="10" applyFont="1" applyFill="1" applyBorder="1" applyAlignment="1">
      <alignment horizontal="center" vertical="center" wrapText="1"/>
    </xf>
    <xf numFmtId="0" fontId="20" fillId="2" borderId="0" xfId="10" applyFont="1" applyFill="1" applyAlignment="1">
      <alignment horizontal="center" vertical="center" wrapText="1"/>
    </xf>
    <xf numFmtId="0" fontId="5" fillId="2" borderId="24" xfId="8" applyFont="1" applyFill="1" applyBorder="1" applyAlignment="1">
      <alignment horizontal="left" vertical="center" wrapText="1"/>
    </xf>
    <xf numFmtId="0" fontId="5" fillId="2" borderId="21" xfId="8" applyFont="1" applyFill="1" applyBorder="1" applyAlignment="1">
      <alignment horizontal="left" vertical="center" wrapText="1"/>
    </xf>
    <xf numFmtId="179" fontId="5" fillId="2" borderId="6" xfId="10" applyNumberFormat="1" applyFont="1" applyFill="1" applyBorder="1" applyAlignment="1">
      <alignment horizontal="center" vertical="center" wrapText="1"/>
    </xf>
    <xf numFmtId="179" fontId="5" fillId="2" borderId="7" xfId="10" applyNumberFormat="1" applyFont="1" applyFill="1" applyBorder="1" applyAlignment="1">
      <alignment horizontal="center" vertical="center" wrapText="1"/>
    </xf>
    <xf numFmtId="0" fontId="5" fillId="0" borderId="0" xfId="5" applyFont="1" applyAlignment="1">
      <alignment horizontal="center" vertical="center" wrapText="1"/>
    </xf>
    <xf numFmtId="0" fontId="14" fillId="0" borderId="0" xfId="5" applyFo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7" fillId="0" borderId="0" xfId="5" applyFont="1" applyAlignment="1">
      <alignment horizontal="center" vertical="center"/>
    </xf>
    <xf numFmtId="0" fontId="9" fillId="0" borderId="1" xfId="5" applyBorder="1" applyAlignment="1">
      <alignment horizontal="center" vertical="center"/>
    </xf>
    <xf numFmtId="0" fontId="18" fillId="0" borderId="0" xfId="5" applyFont="1" applyAlignment="1">
      <alignment horizontal="left" vertical="center" wrapText="1"/>
    </xf>
    <xf numFmtId="178" fontId="19" fillId="0" borderId="16" xfId="5" applyNumberFormat="1" applyFont="1" applyBorder="1" applyAlignment="1">
      <alignment horizontal="left" vertical="center"/>
    </xf>
    <xf numFmtId="178" fontId="19" fillId="0" borderId="17" xfId="5" applyNumberFormat="1" applyFont="1" applyBorder="1" applyAlignment="1">
      <alignment horizontal="left" vertical="center"/>
    </xf>
    <xf numFmtId="0" fontId="9" fillId="0" borderId="0" xfId="5" applyAlignment="1">
      <alignment horizontal="center" vertical="center"/>
    </xf>
    <xf numFmtId="178" fontId="19" fillId="0" borderId="8" xfId="5" applyNumberFormat="1" applyFont="1" applyBorder="1" applyAlignment="1">
      <alignment horizontal="left" vertical="center"/>
    </xf>
    <xf numFmtId="0" fontId="6" fillId="0" borderId="0" xfId="1" applyFont="1" applyAlignment="1">
      <alignment horizontal="left" vertical="center" wrapText="1"/>
    </xf>
    <xf numFmtId="0" fontId="5" fillId="0" borderId="8" xfId="1" applyFont="1" applyBorder="1" applyAlignment="1">
      <alignment horizontal="center" vertical="center" wrapText="1"/>
    </xf>
    <xf numFmtId="0" fontId="7" fillId="0" borderId="8" xfId="1" applyFont="1" applyBorder="1" applyAlignment="1">
      <alignment horizontal="center" vertical="center" wrapText="1"/>
    </xf>
    <xf numFmtId="0" fontId="6" fillId="0" borderId="8" xfId="1" applyFont="1" applyBorder="1" applyAlignment="1">
      <alignment horizontal="center" vertical="center" wrapText="1"/>
    </xf>
    <xf numFmtId="177" fontId="7"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xf>
    <xf numFmtId="0" fontId="6" fillId="0" borderId="18" xfId="1" applyFont="1" applyBorder="1" applyAlignment="1">
      <alignment horizontal="left" vertical="center" wrapText="1"/>
    </xf>
    <xf numFmtId="0" fontId="6" fillId="0" borderId="24" xfId="1" applyFont="1" applyBorder="1" applyAlignment="1">
      <alignment horizontal="left" vertical="center" wrapText="1"/>
    </xf>
    <xf numFmtId="0" fontId="6" fillId="0" borderId="21" xfId="1" applyFont="1" applyBorder="1" applyAlignment="1">
      <alignment horizontal="left" vertical="center" wrapText="1"/>
    </xf>
    <xf numFmtId="0" fontId="6" fillId="0" borderId="8" xfId="1" applyFont="1" applyBorder="1" applyAlignment="1">
      <alignment horizontal="left" vertical="center" wrapText="1"/>
    </xf>
    <xf numFmtId="0" fontId="6" fillId="0" borderId="8" xfId="7" applyFont="1" applyBorder="1" applyAlignment="1">
      <alignment horizontal="left" vertical="center" wrapText="1"/>
    </xf>
    <xf numFmtId="0" fontId="0" fillId="0" borderId="8" xfId="0" applyBorder="1" applyAlignment="1">
      <alignment horizontal="left"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6" fillId="0" borderId="12" xfId="1" applyFont="1" applyBorder="1" applyAlignment="1">
      <alignment horizontal="left" vertical="center" wrapText="1"/>
    </xf>
    <xf numFmtId="0" fontId="20" fillId="0" borderId="0" xfId="1" applyFont="1" applyAlignment="1">
      <alignment horizontal="center" vertical="center"/>
    </xf>
    <xf numFmtId="0" fontId="24" fillId="0" borderId="0" xfId="1" applyFont="1" applyAlignment="1">
      <alignment horizontal="center" vertical="center"/>
    </xf>
    <xf numFmtId="0" fontId="5" fillId="0" borderId="8" xfId="1" applyFont="1" applyBorder="1" applyAlignment="1">
      <alignment horizontal="left" vertical="center" wrapText="1"/>
    </xf>
    <xf numFmtId="177" fontId="5" fillId="0" borderId="8" xfId="1" quotePrefix="1" applyNumberFormat="1" applyFont="1" applyBorder="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9" fillId="0" borderId="21" xfId="0" applyFont="1" applyBorder="1" applyAlignment="1">
      <alignment horizontal="left" vertical="center" wrapText="1"/>
    </xf>
    <xf numFmtId="0" fontId="44" fillId="2" borderId="0" xfId="8" applyFont="1" applyFill="1" applyAlignment="1">
      <alignment horizontal="left" vertical="center" wrapText="1"/>
    </xf>
    <xf numFmtId="0" fontId="36" fillId="2" borderId="6" xfId="10" applyFont="1" applyFill="1" applyBorder="1" applyAlignment="1">
      <alignment horizontal="center" vertical="center" wrapText="1"/>
    </xf>
    <xf numFmtId="0" fontId="9" fillId="0" borderId="7" xfId="0" applyFont="1" applyBorder="1" applyAlignment="1">
      <alignment horizontal="center" vertical="center" wrapText="1"/>
    </xf>
    <xf numFmtId="0" fontId="36" fillId="2" borderId="7"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3"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6" fillId="2" borderId="5" xfId="10" applyFont="1" applyFill="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3" fillId="2" borderId="6" xfId="10" applyFont="1" applyFill="1" applyBorder="1" applyAlignment="1">
      <alignment horizontal="center" vertical="center" wrapText="1"/>
    </xf>
    <xf numFmtId="0" fontId="33" fillId="2" borderId="7" xfId="10" applyFont="1" applyFill="1" applyBorder="1" applyAlignment="1">
      <alignment horizontal="center" vertical="center" wrapText="1"/>
    </xf>
    <xf numFmtId="0" fontId="36" fillId="0" borderId="6" xfId="1" applyFont="1" applyBorder="1" applyAlignment="1">
      <alignment horizontal="center" vertical="center" wrapText="1"/>
    </xf>
    <xf numFmtId="0" fontId="36" fillId="0" borderId="7" xfId="1" applyFont="1" applyBorder="1" applyAlignment="1">
      <alignment horizontal="center" vertical="center" wrapText="1"/>
    </xf>
    <xf numFmtId="0" fontId="9" fillId="0" borderId="5" xfId="0" applyFont="1" applyBorder="1" applyAlignment="1">
      <alignment horizontal="center" vertical="center" wrapText="1"/>
    </xf>
    <xf numFmtId="0" fontId="36" fillId="0" borderId="18" xfId="10" quotePrefix="1" applyFont="1" applyBorder="1" applyAlignment="1">
      <alignment horizontal="center" vertical="center" wrapText="1"/>
    </xf>
    <xf numFmtId="0" fontId="36" fillId="0" borderId="18" xfId="10" applyFont="1" applyBorder="1" applyAlignment="1">
      <alignment horizontal="center" vertical="center" wrapText="1"/>
    </xf>
    <xf numFmtId="0" fontId="36" fillId="2" borderId="8" xfId="10" applyFont="1" applyFill="1" applyBorder="1" applyAlignment="1">
      <alignment horizontal="center" vertical="center" wrapText="1"/>
    </xf>
    <xf numFmtId="0" fontId="39" fillId="2" borderId="0" xfId="10" applyFont="1" applyFill="1" applyAlignment="1">
      <alignment horizontal="center" vertical="center" wrapText="1"/>
    </xf>
    <xf numFmtId="0" fontId="33" fillId="2" borderId="24" xfId="8" applyFont="1" applyFill="1" applyBorder="1" applyAlignment="1">
      <alignment horizontal="left" vertical="center" wrapText="1"/>
    </xf>
    <xf numFmtId="0" fontId="33" fillId="2" borderId="21" xfId="8" applyFont="1" applyFill="1" applyBorder="1" applyAlignment="1">
      <alignment horizontal="left" vertical="center" wrapText="1"/>
    </xf>
    <xf numFmtId="179" fontId="33" fillId="2" borderId="6" xfId="10" applyNumberFormat="1" applyFont="1" applyFill="1" applyBorder="1" applyAlignment="1">
      <alignment horizontal="center" vertical="center" wrapText="1"/>
    </xf>
    <xf numFmtId="179" fontId="33" fillId="2" borderId="7" xfId="10" applyNumberFormat="1" applyFont="1" applyFill="1" applyBorder="1" applyAlignment="1">
      <alignment horizontal="center" vertical="center" wrapText="1"/>
    </xf>
    <xf numFmtId="0" fontId="33" fillId="0" borderId="6" xfId="1" applyFont="1" applyBorder="1" applyAlignment="1">
      <alignment horizontal="center" vertical="center" wrapText="1"/>
    </xf>
    <xf numFmtId="0" fontId="33" fillId="0" borderId="7" xfId="1" applyFont="1" applyBorder="1" applyAlignment="1">
      <alignment horizontal="center" vertical="center" wrapText="1"/>
    </xf>
    <xf numFmtId="0" fontId="33" fillId="0" borderId="6" xfId="10" quotePrefix="1" applyFont="1" applyBorder="1" applyAlignment="1">
      <alignment horizontal="center" vertical="center" wrapText="1"/>
    </xf>
    <xf numFmtId="0" fontId="33" fillId="0" borderId="7" xfId="10" quotePrefix="1" applyFont="1" applyBorder="1" applyAlignment="1">
      <alignment horizontal="center" vertical="center" wrapText="1"/>
    </xf>
    <xf numFmtId="0" fontId="33" fillId="0" borderId="6" xfId="10" applyFont="1" applyBorder="1" applyAlignment="1">
      <alignment horizontal="center" vertical="center" wrapText="1"/>
    </xf>
    <xf numFmtId="0" fontId="33" fillId="0" borderId="7" xfId="10" applyFont="1" applyBorder="1" applyAlignment="1">
      <alignment horizontal="center" vertical="center" wrapText="1"/>
    </xf>
    <xf numFmtId="0" fontId="33" fillId="0" borderId="5" xfId="0" applyFont="1" applyBorder="1" applyAlignment="1">
      <alignment horizontal="center" vertical="center" wrapText="1"/>
    </xf>
    <xf numFmtId="0" fontId="35" fillId="0" borderId="7" xfId="0" applyFont="1" applyBorder="1" applyAlignment="1">
      <alignment horizontal="center" vertical="center" wrapText="1"/>
    </xf>
    <xf numFmtId="0" fontId="33" fillId="2" borderId="5" xfId="10" applyFont="1" applyFill="1" applyBorder="1" applyAlignment="1">
      <alignment horizontal="center" vertical="center" wrapText="1"/>
    </xf>
    <xf numFmtId="0" fontId="33" fillId="0" borderId="5" xfId="10" quotePrefix="1" applyFont="1" applyBorder="1" applyAlignment="1">
      <alignment horizontal="center" vertical="center" wrapText="1"/>
    </xf>
    <xf numFmtId="0" fontId="39" fillId="2" borderId="25" xfId="10" applyFont="1" applyFill="1" applyBorder="1" applyAlignment="1">
      <alignment horizontal="center" vertical="center" wrapText="1"/>
    </xf>
    <xf numFmtId="0" fontId="33" fillId="0" borderId="5" xfId="1" applyFont="1" applyBorder="1" applyAlignment="1">
      <alignment horizontal="center" vertical="center" wrapText="1"/>
    </xf>
    <xf numFmtId="0" fontId="33" fillId="2" borderId="8" xfId="8" applyFont="1" applyFill="1" applyBorder="1" applyAlignment="1">
      <alignment horizontal="left" vertical="center" wrapText="1"/>
    </xf>
    <xf numFmtId="0" fontId="33" fillId="0" borderId="8" xfId="10" quotePrefix="1" applyFont="1" applyBorder="1" applyAlignment="1">
      <alignment horizontal="center" vertical="center" wrapText="1"/>
    </xf>
    <xf numFmtId="0" fontId="33" fillId="0" borderId="8" xfId="10" applyFont="1" applyBorder="1" applyAlignment="1">
      <alignment horizontal="center" vertical="center" wrapText="1"/>
    </xf>
    <xf numFmtId="0" fontId="33" fillId="0" borderId="8" xfId="1" applyFont="1" applyBorder="1" applyAlignment="1">
      <alignment horizontal="center" vertical="center" wrapText="1"/>
    </xf>
    <xf numFmtId="0" fontId="33" fillId="0" borderId="18" xfId="10" quotePrefix="1" applyFont="1" applyBorder="1" applyAlignment="1">
      <alignment horizontal="center" vertical="center" wrapText="1"/>
    </xf>
    <xf numFmtId="0" fontId="33" fillId="0" borderId="18" xfId="10" applyFont="1" applyBorder="1" applyAlignment="1">
      <alignment horizontal="center" vertical="center" wrapText="1"/>
    </xf>
    <xf numFmtId="179" fontId="36" fillId="2" borderId="8" xfId="10" applyNumberFormat="1" applyFont="1" applyFill="1" applyBorder="1" applyAlignment="1">
      <alignment horizontal="center" vertical="center" wrapText="1"/>
    </xf>
    <xf numFmtId="177" fontId="36" fillId="0" borderId="8" xfId="10" quotePrefix="1" applyNumberFormat="1"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7" fontId="36" fillId="0" borderId="18" xfId="10" quotePrefix="1" applyNumberFormat="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177" fontId="36" fillId="0" borderId="6" xfId="10" quotePrefix="1" applyNumberFormat="1" applyFont="1" applyBorder="1" applyAlignment="1">
      <alignment horizontal="center" vertical="center" wrapText="1"/>
    </xf>
    <xf numFmtId="177" fontId="36" fillId="0" borderId="22" xfId="10" quotePrefix="1" applyNumberFormat="1" applyFont="1" applyBorder="1" applyAlignment="1">
      <alignment horizontal="center" vertical="center" wrapText="1"/>
    </xf>
    <xf numFmtId="0" fontId="52" fillId="2" borderId="6" xfId="10" applyFont="1" applyFill="1" applyBorder="1" applyAlignment="1">
      <alignment horizontal="center" vertical="center" wrapText="1"/>
    </xf>
    <xf numFmtId="0" fontId="54" fillId="0" borderId="5" xfId="0" applyFont="1" applyBorder="1" applyAlignment="1">
      <alignment horizontal="center" vertical="center" wrapText="1"/>
    </xf>
    <xf numFmtId="177" fontId="52" fillId="0" borderId="8" xfId="10" quotePrefix="1" applyNumberFormat="1" applyFont="1" applyBorder="1" applyAlignment="1">
      <alignment horizontal="center" vertical="center" wrapText="1"/>
    </xf>
    <xf numFmtId="0" fontId="52" fillId="0" borderId="8" xfId="10" applyFont="1" applyBorder="1" applyAlignment="1">
      <alignment horizontal="center" vertical="center" wrapText="1"/>
    </xf>
    <xf numFmtId="177" fontId="53" fillId="0" borderId="8" xfId="10" quotePrefix="1" applyNumberFormat="1" applyFont="1" applyBorder="1" applyAlignment="1">
      <alignment horizontal="center" vertical="center" wrapText="1"/>
    </xf>
    <xf numFmtId="0" fontId="53" fillId="0" borderId="8" xfId="10" applyFont="1" applyBorder="1" applyAlignment="1">
      <alignment horizontal="center" vertical="center" wrapText="1"/>
    </xf>
    <xf numFmtId="177" fontId="33" fillId="0" borderId="8" xfId="10" quotePrefix="1" applyNumberFormat="1" applyFont="1" applyBorder="1" applyAlignment="1">
      <alignment horizontal="center" vertical="center" wrapText="1"/>
    </xf>
    <xf numFmtId="0" fontId="46" fillId="2" borderId="0" xfId="8" applyFont="1" applyFill="1" applyAlignment="1">
      <alignment horizontal="left" vertical="center" wrapText="1"/>
    </xf>
    <xf numFmtId="0" fontId="35" fillId="0" borderId="5" xfId="0" applyFont="1" applyBorder="1" applyAlignment="1">
      <alignment horizontal="center" vertical="center" wrapText="1"/>
    </xf>
    <xf numFmtId="0" fontId="36" fillId="0" borderId="5" xfId="1" applyFont="1" applyBorder="1" applyAlignment="1">
      <alignment horizontal="center" vertical="center" wrapText="1"/>
    </xf>
    <xf numFmtId="0" fontId="41" fillId="2" borderId="8" xfId="10" applyFont="1" applyFill="1" applyBorder="1" applyAlignment="1">
      <alignment horizontal="center" vertical="center" wrapText="1"/>
    </xf>
    <xf numFmtId="0" fontId="41" fillId="2" borderId="6" xfId="1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36" fillId="2" borderId="5" xfId="10" applyFont="1" applyFill="1" applyBorder="1" applyAlignment="1">
      <alignment horizontal="left" vertical="center" wrapText="1"/>
    </xf>
    <xf numFmtId="0" fontId="33" fillId="0" borderId="24" xfId="0" applyFont="1" applyBorder="1" applyAlignment="1">
      <alignment horizontal="left" vertical="center" wrapText="1"/>
    </xf>
    <xf numFmtId="0" fontId="33" fillId="0" borderId="21" xfId="0" applyFont="1" applyBorder="1" applyAlignment="1">
      <alignment horizontal="left" vertical="center" wrapText="1"/>
    </xf>
    <xf numFmtId="0" fontId="41" fillId="2" borderId="6" xfId="10" applyFont="1" applyFill="1" applyBorder="1" applyAlignment="1">
      <alignment horizontal="left" vertical="center" wrapText="1"/>
    </xf>
    <xf numFmtId="0" fontId="41" fillId="2" borderId="5"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179" fontId="41" fillId="0" borderId="5" xfId="1" applyNumberFormat="1" applyFont="1" applyBorder="1" applyAlignment="1">
      <alignment horizontal="center" vertical="center" wrapText="1"/>
    </xf>
    <xf numFmtId="179" fontId="41" fillId="0" borderId="7" xfId="1" applyNumberFormat="1" applyFont="1" applyBorder="1" applyAlignment="1">
      <alignment horizontal="center" vertical="center"/>
    </xf>
    <xf numFmtId="0" fontId="36" fillId="0" borderId="5" xfId="1" quotePrefix="1" applyFont="1" applyBorder="1" applyAlignment="1">
      <alignment horizontal="center" vertical="center" wrapText="1"/>
    </xf>
    <xf numFmtId="14" fontId="36" fillId="2" borderId="6" xfId="10" applyNumberFormat="1" applyFont="1" applyFill="1" applyBorder="1" applyAlignment="1">
      <alignment horizontal="center" vertical="center" wrapText="1"/>
    </xf>
    <xf numFmtId="0" fontId="33" fillId="0" borderId="7" xfId="0" applyFont="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cols>
    <col min="1" max="1" width="5.75" style="42" customWidth="1"/>
    <col min="2" max="2" width="13.375" style="42" customWidth="1"/>
    <col min="3" max="3" width="8.75" style="42" customWidth="1"/>
    <col min="4" max="4" width="12.625" style="44" customWidth="1"/>
    <col min="5" max="5" width="8.125" style="60" hidden="1" customWidth="1"/>
    <col min="6" max="6" width="12.625" style="44" customWidth="1"/>
    <col min="7" max="7" width="13.375" style="42" customWidth="1"/>
    <col min="8" max="8" width="10.125" style="45" customWidth="1"/>
    <col min="9" max="9" width="4.75" style="42" customWidth="1"/>
    <col min="10" max="10" width="9.75" style="42" customWidth="1"/>
    <col min="11" max="11" width="15.25" style="42" customWidth="1"/>
    <col min="12" max="12" width="9" style="63"/>
    <col min="13" max="19" width="9" style="64"/>
    <col min="20" max="27" width="9" style="46"/>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c r="A1" s="224" t="s">
        <v>45</v>
      </c>
      <c r="B1" s="224"/>
      <c r="C1" s="224"/>
      <c r="D1" s="224"/>
      <c r="E1" s="224"/>
      <c r="F1" s="224"/>
      <c r="G1" s="224"/>
      <c r="H1" s="224"/>
      <c r="I1" s="224"/>
      <c r="J1" s="224"/>
      <c r="K1" s="224"/>
    </row>
    <row r="2" spans="1:27" ht="20.25" customHeight="1">
      <c r="A2" s="224" t="s">
        <v>0</v>
      </c>
      <c r="B2" s="224"/>
      <c r="C2" s="224"/>
      <c r="D2" s="224"/>
      <c r="E2" s="224"/>
      <c r="F2" s="224"/>
      <c r="G2" s="224"/>
      <c r="H2" s="224"/>
      <c r="I2" s="224"/>
      <c r="J2" s="224"/>
      <c r="K2" s="224"/>
    </row>
    <row r="3" spans="1:27" ht="16.5" customHeight="1">
      <c r="A3" s="211" t="str">
        <f>"工程名稱:"&amp;'1.計畫'!A1:I1</f>
        <v>工程名稱:磺港溪再造C段護岸及步道整建工程（延壽橋至三合橋）</v>
      </c>
      <c r="B3" s="225"/>
      <c r="C3" s="225"/>
      <c r="D3" s="225"/>
      <c r="E3" s="225"/>
      <c r="F3" s="225"/>
      <c r="G3" s="226"/>
      <c r="H3" s="211" t="s">
        <v>83</v>
      </c>
      <c r="I3" s="225"/>
      <c r="J3" s="225"/>
      <c r="K3" s="226"/>
    </row>
    <row r="4" spans="1:27" ht="16.5" customHeight="1">
      <c r="A4" s="211" t="s">
        <v>40</v>
      </c>
      <c r="B4" s="225"/>
      <c r="C4" s="225"/>
      <c r="D4" s="225"/>
      <c r="E4" s="225"/>
      <c r="F4" s="225"/>
      <c r="G4" s="226"/>
      <c r="H4" s="211" t="s">
        <v>84</v>
      </c>
      <c r="I4" s="225"/>
      <c r="J4" s="225"/>
      <c r="K4" s="226"/>
    </row>
    <row r="5" spans="1:27" ht="56.25" customHeight="1">
      <c r="A5" s="222" t="s">
        <v>1</v>
      </c>
      <c r="B5" s="92" t="s">
        <v>1152</v>
      </c>
      <c r="C5" s="222" t="s">
        <v>588</v>
      </c>
      <c r="D5" s="92" t="s">
        <v>587</v>
      </c>
      <c r="E5" s="227" t="s">
        <v>49</v>
      </c>
      <c r="F5" s="92" t="s">
        <v>50</v>
      </c>
      <c r="G5" s="222" t="s">
        <v>613</v>
      </c>
      <c r="H5" s="92" t="s">
        <v>1153</v>
      </c>
      <c r="I5" s="222" t="s">
        <v>612</v>
      </c>
      <c r="J5" s="222" t="s">
        <v>611</v>
      </c>
      <c r="K5" s="99" t="s">
        <v>16</v>
      </c>
    </row>
    <row r="6" spans="1:27" ht="56.25" customHeight="1">
      <c r="A6" s="223"/>
      <c r="B6" s="92" t="s">
        <v>614</v>
      </c>
      <c r="C6" s="223"/>
      <c r="D6" s="92" t="s">
        <v>49</v>
      </c>
      <c r="E6" s="228"/>
      <c r="F6" s="92" t="s">
        <v>51</v>
      </c>
      <c r="G6" s="223"/>
      <c r="H6" s="93" t="s">
        <v>1154</v>
      </c>
      <c r="I6" s="223"/>
      <c r="J6" s="223"/>
      <c r="K6" s="98" t="s">
        <v>46</v>
      </c>
    </row>
    <row r="7" spans="1:27" s="108" customFormat="1" ht="78" customHeight="1">
      <c r="A7" s="221" t="s">
        <v>217</v>
      </c>
      <c r="B7" s="114" t="s">
        <v>1196</v>
      </c>
      <c r="C7" s="202" t="s">
        <v>765</v>
      </c>
      <c r="D7" s="100">
        <v>45275</v>
      </c>
      <c r="E7" s="204" t="s">
        <v>221</v>
      </c>
      <c r="F7" s="100">
        <v>45282</v>
      </c>
      <c r="G7" s="208" t="s">
        <v>230</v>
      </c>
      <c r="H7" s="97" t="s">
        <v>221</v>
      </c>
      <c r="I7" s="206" t="s">
        <v>48</v>
      </c>
      <c r="J7" s="207" t="s">
        <v>258</v>
      </c>
      <c r="K7" s="208" t="s">
        <v>937</v>
      </c>
      <c r="L7" s="110"/>
      <c r="M7" s="106"/>
      <c r="N7" s="106"/>
      <c r="O7" s="106"/>
      <c r="P7" s="106"/>
      <c r="Q7" s="106"/>
      <c r="R7" s="106"/>
      <c r="S7" s="106"/>
      <c r="T7" s="107"/>
      <c r="U7" s="107"/>
      <c r="V7" s="107"/>
      <c r="W7" s="107"/>
      <c r="X7" s="107"/>
      <c r="Y7" s="107"/>
      <c r="Z7" s="107"/>
      <c r="AA7" s="107"/>
    </row>
    <row r="8" spans="1:27" s="108" customFormat="1" ht="50.1" customHeight="1">
      <c r="A8" s="220"/>
      <c r="B8" s="104" t="s">
        <v>218</v>
      </c>
      <c r="C8" s="203"/>
      <c r="D8" s="96" t="s">
        <v>221</v>
      </c>
      <c r="E8" s="205"/>
      <c r="F8" s="97" t="s">
        <v>228</v>
      </c>
      <c r="G8" s="209"/>
      <c r="H8" s="96" t="s">
        <v>228</v>
      </c>
      <c r="I8" s="206"/>
      <c r="J8" s="207"/>
      <c r="K8" s="210"/>
      <c r="L8" s="105"/>
      <c r="M8" s="105"/>
      <c r="N8" s="106"/>
      <c r="O8" s="106"/>
      <c r="P8" s="106"/>
      <c r="Q8" s="106"/>
      <c r="R8" s="106"/>
      <c r="S8" s="106"/>
      <c r="T8" s="107"/>
      <c r="U8" s="107"/>
      <c r="V8" s="107"/>
      <c r="W8" s="107"/>
      <c r="X8" s="107"/>
      <c r="Y8" s="107"/>
      <c r="Z8" s="107"/>
      <c r="AA8" s="107"/>
    </row>
    <row r="9" spans="1:27" s="113" customFormat="1" ht="78" customHeight="1">
      <c r="A9" s="221" t="s">
        <v>219</v>
      </c>
      <c r="B9" s="114" t="s">
        <v>1196</v>
      </c>
      <c r="C9" s="202" t="s">
        <v>765</v>
      </c>
      <c r="D9" s="100">
        <v>45282</v>
      </c>
      <c r="E9" s="204" t="s">
        <v>222</v>
      </c>
      <c r="F9" s="100">
        <v>45287</v>
      </c>
      <c r="G9" s="209"/>
      <c r="H9" s="97" t="s">
        <v>224</v>
      </c>
      <c r="I9" s="206" t="s">
        <v>48</v>
      </c>
      <c r="J9" s="207" t="s">
        <v>258</v>
      </c>
      <c r="K9" s="208" t="s">
        <v>938</v>
      </c>
      <c r="L9" s="110"/>
      <c r="M9" s="106"/>
      <c r="N9" s="106"/>
      <c r="O9" s="106"/>
      <c r="P9" s="106"/>
      <c r="Q9" s="106"/>
      <c r="R9" s="106"/>
      <c r="S9" s="106"/>
      <c r="T9" s="112"/>
      <c r="U9" s="112"/>
      <c r="V9" s="112"/>
      <c r="W9" s="112"/>
      <c r="X9" s="112"/>
      <c r="Y9" s="112"/>
      <c r="Z9" s="112"/>
      <c r="AA9" s="112"/>
    </row>
    <row r="10" spans="1:27" s="113" customFormat="1" ht="50.1" customHeight="1">
      <c r="A10" s="220"/>
      <c r="B10" s="104" t="s">
        <v>218</v>
      </c>
      <c r="C10" s="203"/>
      <c r="D10" s="96" t="s">
        <v>222</v>
      </c>
      <c r="E10" s="205"/>
      <c r="F10" s="97" t="s">
        <v>226</v>
      </c>
      <c r="G10" s="209"/>
      <c r="H10" s="97" t="s">
        <v>225</v>
      </c>
      <c r="I10" s="206"/>
      <c r="J10" s="207"/>
      <c r="K10" s="210"/>
      <c r="L10" s="105"/>
      <c r="M10" s="105"/>
      <c r="N10" s="106"/>
      <c r="O10" s="106"/>
      <c r="P10" s="106"/>
      <c r="Q10" s="106"/>
      <c r="R10" s="106"/>
      <c r="S10" s="106"/>
      <c r="T10" s="112"/>
      <c r="U10" s="112"/>
      <c r="V10" s="112"/>
      <c r="W10" s="112"/>
      <c r="X10" s="112"/>
      <c r="Y10" s="112"/>
      <c r="Z10" s="112"/>
      <c r="AA10" s="112"/>
    </row>
    <row r="11" spans="1:27" s="108" customFormat="1" ht="78" customHeight="1">
      <c r="A11" s="221" t="s">
        <v>220</v>
      </c>
      <c r="B11" s="114" t="s">
        <v>1196</v>
      </c>
      <c r="C11" s="202" t="s">
        <v>765</v>
      </c>
      <c r="D11" s="100">
        <v>45317</v>
      </c>
      <c r="E11" s="204" t="s">
        <v>223</v>
      </c>
      <c r="F11" s="100">
        <v>45321</v>
      </c>
      <c r="G11" s="209"/>
      <c r="H11" s="97" t="s">
        <v>229</v>
      </c>
      <c r="I11" s="206" t="s">
        <v>48</v>
      </c>
      <c r="J11" s="207" t="s">
        <v>259</v>
      </c>
      <c r="K11" s="208" t="s">
        <v>939</v>
      </c>
      <c r="L11" s="110"/>
      <c r="M11" s="106"/>
      <c r="N11" s="106"/>
      <c r="O11" s="106"/>
      <c r="P11" s="106"/>
      <c r="Q11" s="106"/>
      <c r="R11" s="106"/>
      <c r="S11" s="106"/>
      <c r="T11" s="107"/>
      <c r="U11" s="107"/>
      <c r="V11" s="107"/>
      <c r="W11" s="107"/>
      <c r="X11" s="107"/>
      <c r="Y11" s="107"/>
      <c r="Z11" s="107"/>
      <c r="AA11" s="107"/>
    </row>
    <row r="12" spans="1:27" s="108" customFormat="1" ht="50.1" customHeight="1">
      <c r="A12" s="220"/>
      <c r="B12" s="104" t="s">
        <v>218</v>
      </c>
      <c r="C12" s="203"/>
      <c r="D12" s="96" t="s">
        <v>223</v>
      </c>
      <c r="E12" s="205"/>
      <c r="F12" s="97" t="s">
        <v>227</v>
      </c>
      <c r="G12" s="209"/>
      <c r="H12" s="97" t="s">
        <v>784</v>
      </c>
      <c r="I12" s="206"/>
      <c r="J12" s="207"/>
      <c r="K12" s="210"/>
      <c r="L12" s="105"/>
      <c r="M12" s="105"/>
      <c r="N12" s="106"/>
      <c r="O12" s="106"/>
      <c r="P12" s="106"/>
      <c r="Q12" s="106"/>
      <c r="R12" s="106"/>
      <c r="S12" s="106"/>
      <c r="T12" s="107"/>
      <c r="U12" s="107"/>
      <c r="V12" s="107"/>
      <c r="W12" s="107"/>
      <c r="X12" s="107"/>
      <c r="Y12" s="107"/>
      <c r="Z12" s="107"/>
      <c r="AA12" s="107"/>
    </row>
    <row r="13" spans="1:27" s="108" customFormat="1" ht="78" customHeight="1">
      <c r="A13" s="221" t="s">
        <v>294</v>
      </c>
      <c r="B13" s="114" t="s">
        <v>1196</v>
      </c>
      <c r="C13" s="202" t="s">
        <v>765</v>
      </c>
      <c r="D13" s="100">
        <v>45376</v>
      </c>
      <c r="E13" s="204" t="s">
        <v>295</v>
      </c>
      <c r="F13" s="100">
        <v>45383</v>
      </c>
      <c r="G13" s="209"/>
      <c r="H13" s="97" t="s">
        <v>297</v>
      </c>
      <c r="I13" s="206" t="s">
        <v>48</v>
      </c>
      <c r="J13" s="207" t="s">
        <v>328</v>
      </c>
      <c r="K13" s="208" t="s">
        <v>940</v>
      </c>
      <c r="L13" s="105"/>
      <c r="M13" s="105"/>
      <c r="N13" s="106"/>
      <c r="O13" s="106"/>
      <c r="P13" s="106"/>
      <c r="Q13" s="106"/>
      <c r="R13" s="106"/>
      <c r="S13" s="106"/>
      <c r="T13" s="107"/>
      <c r="U13" s="107"/>
      <c r="V13" s="107"/>
      <c r="W13" s="107"/>
      <c r="X13" s="107"/>
      <c r="Y13" s="107"/>
      <c r="Z13" s="107"/>
      <c r="AA13" s="107"/>
    </row>
    <row r="14" spans="1:27" s="108" customFormat="1" ht="50.1" customHeight="1">
      <c r="A14" s="220"/>
      <c r="B14" s="104" t="s">
        <v>218</v>
      </c>
      <c r="C14" s="203"/>
      <c r="D14" s="96" t="s">
        <v>295</v>
      </c>
      <c r="E14" s="205"/>
      <c r="F14" s="97" t="s">
        <v>296</v>
      </c>
      <c r="G14" s="209"/>
      <c r="H14" s="97" t="s">
        <v>785</v>
      </c>
      <c r="I14" s="206"/>
      <c r="J14" s="207"/>
      <c r="K14" s="210"/>
      <c r="L14" s="105"/>
      <c r="M14" s="105"/>
      <c r="N14" s="106"/>
      <c r="O14" s="106"/>
      <c r="P14" s="106"/>
      <c r="Q14" s="106"/>
      <c r="R14" s="106"/>
      <c r="S14" s="106"/>
      <c r="T14" s="107"/>
      <c r="U14" s="107"/>
      <c r="V14" s="107"/>
      <c r="W14" s="107"/>
      <c r="X14" s="107"/>
      <c r="Y14" s="107"/>
      <c r="Z14" s="107"/>
      <c r="AA14" s="107"/>
    </row>
    <row r="15" spans="1:27" s="108" customFormat="1" ht="78" customHeight="1">
      <c r="A15" s="219" t="s">
        <v>315</v>
      </c>
      <c r="B15" s="114" t="s">
        <v>1196</v>
      </c>
      <c r="C15" s="202" t="s">
        <v>765</v>
      </c>
      <c r="D15" s="100">
        <v>45317</v>
      </c>
      <c r="E15" s="204" t="s">
        <v>223</v>
      </c>
      <c r="F15" s="100">
        <v>45418</v>
      </c>
      <c r="G15" s="209"/>
      <c r="H15" s="97" t="s">
        <v>297</v>
      </c>
      <c r="I15" s="206" t="s">
        <v>48</v>
      </c>
      <c r="J15" s="207" t="s">
        <v>328</v>
      </c>
      <c r="K15" s="208" t="s">
        <v>1197</v>
      </c>
      <c r="L15" s="105"/>
      <c r="M15" s="105"/>
      <c r="N15" s="106"/>
      <c r="O15" s="106"/>
      <c r="P15" s="106"/>
      <c r="Q15" s="106"/>
      <c r="R15" s="106"/>
      <c r="S15" s="106"/>
      <c r="T15" s="107"/>
      <c r="U15" s="107"/>
      <c r="V15" s="107"/>
      <c r="W15" s="107"/>
      <c r="X15" s="107"/>
      <c r="Y15" s="107"/>
      <c r="Z15" s="107"/>
      <c r="AA15" s="107"/>
    </row>
    <row r="16" spans="1:27" s="108" customFormat="1" ht="50.1" customHeight="1">
      <c r="A16" s="220"/>
      <c r="B16" s="109" t="s">
        <v>218</v>
      </c>
      <c r="C16" s="203"/>
      <c r="D16" s="96" t="s">
        <v>591</v>
      </c>
      <c r="E16" s="205"/>
      <c r="F16" s="97" t="s">
        <v>329</v>
      </c>
      <c r="G16" s="210"/>
      <c r="H16" s="97" t="s">
        <v>786</v>
      </c>
      <c r="I16" s="206"/>
      <c r="J16" s="207"/>
      <c r="K16" s="210"/>
      <c r="L16" s="105"/>
      <c r="M16" s="105"/>
      <c r="N16" s="106"/>
      <c r="O16" s="106"/>
      <c r="P16" s="106"/>
      <c r="Q16" s="106"/>
      <c r="R16" s="106"/>
      <c r="S16" s="106"/>
      <c r="T16" s="107"/>
      <c r="U16" s="107"/>
      <c r="V16" s="107"/>
      <c r="W16" s="107"/>
      <c r="X16" s="107"/>
      <c r="Y16" s="107"/>
      <c r="Z16" s="107"/>
      <c r="AA16" s="107"/>
    </row>
    <row r="17" spans="1:27" s="43" customFormat="1" ht="49.5" customHeight="1">
      <c r="A17" s="211" t="s">
        <v>47</v>
      </c>
      <c r="B17" s="212"/>
      <c r="C17" s="213"/>
      <c r="D17" s="211" t="s">
        <v>1753</v>
      </c>
      <c r="E17" s="212"/>
      <c r="F17" s="212"/>
      <c r="G17" s="213"/>
      <c r="H17" s="211" t="s">
        <v>1755</v>
      </c>
      <c r="I17" s="212"/>
      <c r="J17" s="212"/>
      <c r="K17" s="213"/>
      <c r="M17" s="47"/>
      <c r="N17" s="47"/>
      <c r="O17" s="47"/>
      <c r="P17" s="47"/>
      <c r="Q17" s="47"/>
      <c r="R17" s="47"/>
      <c r="S17" s="47"/>
      <c r="T17" s="47"/>
      <c r="U17" s="47"/>
      <c r="V17" s="47"/>
      <c r="W17" s="47"/>
      <c r="X17" s="47"/>
      <c r="Y17" s="47"/>
      <c r="Z17" s="47"/>
      <c r="AA17" s="47"/>
    </row>
    <row r="18" spans="1:27" s="43" customFormat="1" ht="54.75" customHeight="1">
      <c r="A18" s="214" t="s">
        <v>1147</v>
      </c>
      <c r="B18" s="214"/>
      <c r="C18" s="214"/>
      <c r="D18" s="214"/>
      <c r="E18" s="214"/>
      <c r="F18" s="214"/>
      <c r="G18" s="214"/>
      <c r="H18" s="214"/>
      <c r="I18" s="214"/>
      <c r="J18" s="214"/>
      <c r="K18" s="214"/>
      <c r="M18" s="47"/>
      <c r="N18" s="47"/>
      <c r="O18" s="47"/>
      <c r="P18" s="47"/>
      <c r="Q18" s="47"/>
      <c r="R18" s="47"/>
      <c r="S18" s="47"/>
      <c r="T18" s="47"/>
      <c r="U18" s="47"/>
      <c r="V18" s="47"/>
      <c r="W18" s="47"/>
      <c r="X18" s="47"/>
      <c r="Y18" s="47"/>
      <c r="Z18" s="47"/>
      <c r="AA18" s="47"/>
    </row>
    <row r="19" spans="1:27" s="108" customFormat="1" ht="78" customHeight="1">
      <c r="A19" s="200" t="s">
        <v>316</v>
      </c>
      <c r="B19" s="114" t="s">
        <v>1196</v>
      </c>
      <c r="C19" s="202" t="s">
        <v>765</v>
      </c>
      <c r="D19" s="100">
        <v>45435</v>
      </c>
      <c r="E19" s="204" t="s">
        <v>330</v>
      </c>
      <c r="F19" s="100">
        <v>45440</v>
      </c>
      <c r="G19" s="208" t="s">
        <v>230</v>
      </c>
      <c r="H19" s="97" t="s">
        <v>332</v>
      </c>
      <c r="I19" s="206" t="s">
        <v>48</v>
      </c>
      <c r="J19" s="207" t="s">
        <v>328</v>
      </c>
      <c r="K19" s="208" t="s">
        <v>941</v>
      </c>
      <c r="L19" s="105"/>
      <c r="M19" s="105"/>
      <c r="N19" s="106"/>
      <c r="O19" s="106"/>
      <c r="P19" s="106"/>
      <c r="Q19" s="106"/>
      <c r="R19" s="106"/>
      <c r="S19" s="106"/>
      <c r="T19" s="107"/>
      <c r="U19" s="107"/>
      <c r="V19" s="107"/>
      <c r="W19" s="107"/>
      <c r="X19" s="107"/>
      <c r="Y19" s="107"/>
      <c r="Z19" s="107"/>
      <c r="AA19" s="107"/>
    </row>
    <row r="20" spans="1:27" s="108" customFormat="1" ht="50.1" customHeight="1">
      <c r="A20" s="201"/>
      <c r="B20" s="104" t="s">
        <v>218</v>
      </c>
      <c r="C20" s="203"/>
      <c r="D20" s="96" t="s">
        <v>330</v>
      </c>
      <c r="E20" s="205"/>
      <c r="F20" s="97" t="s">
        <v>331</v>
      </c>
      <c r="G20" s="209"/>
      <c r="H20" s="97" t="s">
        <v>771</v>
      </c>
      <c r="I20" s="206"/>
      <c r="J20" s="207"/>
      <c r="K20" s="210"/>
      <c r="L20" s="105"/>
      <c r="M20" s="105"/>
      <c r="N20" s="106"/>
      <c r="O20" s="106"/>
      <c r="P20" s="106"/>
      <c r="Q20" s="106"/>
      <c r="R20" s="106"/>
      <c r="S20" s="106"/>
      <c r="T20" s="107"/>
      <c r="U20" s="107"/>
      <c r="V20" s="107"/>
      <c r="W20" s="107"/>
      <c r="X20" s="107"/>
      <c r="Y20" s="107"/>
      <c r="Z20" s="107"/>
      <c r="AA20" s="107"/>
    </row>
    <row r="21" spans="1:27" s="108" customFormat="1" ht="78" customHeight="1">
      <c r="A21" s="200" t="s">
        <v>449</v>
      </c>
      <c r="B21" s="114" t="s">
        <v>1196</v>
      </c>
      <c r="C21" s="202" t="s">
        <v>765</v>
      </c>
      <c r="D21" s="100">
        <v>45463</v>
      </c>
      <c r="E21" s="204" t="s">
        <v>450</v>
      </c>
      <c r="F21" s="100">
        <v>45467</v>
      </c>
      <c r="G21" s="209"/>
      <c r="H21" s="97" t="s">
        <v>452</v>
      </c>
      <c r="I21" s="206" t="s">
        <v>48</v>
      </c>
      <c r="J21" s="207" t="s">
        <v>328</v>
      </c>
      <c r="K21" s="208" t="s">
        <v>942</v>
      </c>
      <c r="L21" s="110"/>
      <c r="M21" s="106"/>
      <c r="N21" s="106"/>
      <c r="O21" s="106"/>
      <c r="P21" s="106"/>
      <c r="Q21" s="106"/>
      <c r="R21" s="106"/>
      <c r="S21" s="106"/>
      <c r="T21" s="107"/>
      <c r="U21" s="107"/>
      <c r="V21" s="107"/>
      <c r="W21" s="107"/>
      <c r="X21" s="107"/>
      <c r="Y21" s="107"/>
      <c r="Z21" s="107"/>
      <c r="AA21" s="107"/>
    </row>
    <row r="22" spans="1:27" s="108" customFormat="1" ht="50.1" customHeight="1">
      <c r="A22" s="201"/>
      <c r="B22" s="104" t="s">
        <v>218</v>
      </c>
      <c r="C22" s="203"/>
      <c r="D22" s="96" t="s">
        <v>450</v>
      </c>
      <c r="E22" s="205"/>
      <c r="F22" s="97" t="s">
        <v>451</v>
      </c>
      <c r="G22" s="209"/>
      <c r="H22" s="97" t="s">
        <v>787</v>
      </c>
      <c r="I22" s="206"/>
      <c r="J22" s="207"/>
      <c r="K22" s="210"/>
      <c r="L22" s="105"/>
      <c r="M22" s="105"/>
      <c r="N22" s="106"/>
      <c r="O22" s="106"/>
      <c r="P22" s="106"/>
      <c r="Q22" s="106"/>
      <c r="R22" s="106"/>
      <c r="S22" s="106"/>
      <c r="T22" s="107"/>
      <c r="U22" s="107"/>
      <c r="V22" s="107"/>
      <c r="W22" s="107"/>
      <c r="X22" s="107"/>
      <c r="Y22" s="107"/>
      <c r="Z22" s="107"/>
      <c r="AA22" s="107"/>
    </row>
    <row r="23" spans="1:27" s="108" customFormat="1" ht="78" customHeight="1">
      <c r="A23" s="200" t="s">
        <v>501</v>
      </c>
      <c r="B23" s="114" t="s">
        <v>1196</v>
      </c>
      <c r="C23" s="202" t="s">
        <v>765</v>
      </c>
      <c r="D23" s="100">
        <v>45518</v>
      </c>
      <c r="E23" s="204" t="s">
        <v>483</v>
      </c>
      <c r="F23" s="100">
        <v>45526</v>
      </c>
      <c r="G23" s="209"/>
      <c r="H23" s="97" t="s">
        <v>593</v>
      </c>
      <c r="I23" s="206" t="s">
        <v>48</v>
      </c>
      <c r="J23" s="207" t="s">
        <v>512</v>
      </c>
      <c r="K23" s="208" t="s">
        <v>943</v>
      </c>
      <c r="L23" s="110"/>
      <c r="M23" s="106"/>
      <c r="N23" s="106"/>
      <c r="O23" s="106"/>
      <c r="P23" s="106"/>
      <c r="Q23" s="106"/>
      <c r="R23" s="106"/>
      <c r="S23" s="106"/>
      <c r="T23" s="107"/>
      <c r="U23" s="107"/>
      <c r="V23" s="107"/>
      <c r="W23" s="107"/>
      <c r="X23" s="107"/>
      <c r="Y23" s="107"/>
      <c r="Z23" s="107"/>
      <c r="AA23" s="107"/>
    </row>
    <row r="24" spans="1:27" s="108" customFormat="1" ht="50.1" customHeight="1">
      <c r="A24" s="201"/>
      <c r="B24" s="104" t="s">
        <v>218</v>
      </c>
      <c r="C24" s="203"/>
      <c r="D24" s="96" t="s">
        <v>483</v>
      </c>
      <c r="E24" s="205"/>
      <c r="F24" s="97" t="s">
        <v>502</v>
      </c>
      <c r="G24" s="209"/>
      <c r="H24" s="97" t="s">
        <v>788</v>
      </c>
      <c r="I24" s="206"/>
      <c r="J24" s="207"/>
      <c r="K24" s="210"/>
      <c r="L24" s="105"/>
      <c r="M24" s="105"/>
      <c r="N24" s="106"/>
      <c r="O24" s="106"/>
      <c r="P24" s="106"/>
      <c r="Q24" s="106"/>
      <c r="R24" s="106"/>
      <c r="S24" s="106"/>
      <c r="T24" s="107"/>
      <c r="U24" s="107"/>
      <c r="V24" s="107"/>
      <c r="W24" s="107"/>
      <c r="X24" s="107"/>
      <c r="Y24" s="107"/>
      <c r="Z24" s="107"/>
      <c r="AA24" s="107"/>
    </row>
    <row r="25" spans="1:27" s="108" customFormat="1" ht="78" customHeight="1">
      <c r="A25" s="215" t="s">
        <v>503</v>
      </c>
      <c r="B25" s="114" t="s">
        <v>1196</v>
      </c>
      <c r="C25" s="216" t="s">
        <v>765</v>
      </c>
      <c r="D25" s="100">
        <v>45548</v>
      </c>
      <c r="E25" s="204" t="s">
        <v>483</v>
      </c>
      <c r="F25" s="100">
        <v>45554</v>
      </c>
      <c r="G25" s="209"/>
      <c r="H25" s="111" t="s">
        <v>505</v>
      </c>
      <c r="I25" s="217" t="s">
        <v>48</v>
      </c>
      <c r="J25" s="218" t="s">
        <v>506</v>
      </c>
      <c r="K25" s="208" t="s">
        <v>944</v>
      </c>
      <c r="L25" s="110"/>
      <c r="M25" s="106"/>
      <c r="N25" s="106"/>
      <c r="O25" s="106"/>
      <c r="P25" s="106"/>
      <c r="Q25" s="106"/>
      <c r="R25" s="106"/>
      <c r="S25" s="106"/>
      <c r="T25" s="107"/>
      <c r="U25" s="107"/>
      <c r="V25" s="107"/>
      <c r="W25" s="107"/>
      <c r="X25" s="107"/>
      <c r="Y25" s="107"/>
      <c r="Z25" s="107"/>
      <c r="AA25" s="107"/>
    </row>
    <row r="26" spans="1:27" s="108" customFormat="1" ht="50.1" customHeight="1">
      <c r="A26" s="201"/>
      <c r="B26" s="104" t="s">
        <v>218</v>
      </c>
      <c r="C26" s="203"/>
      <c r="D26" s="96" t="s">
        <v>592</v>
      </c>
      <c r="E26" s="205"/>
      <c r="F26" s="97" t="s">
        <v>504</v>
      </c>
      <c r="G26" s="209"/>
      <c r="H26" s="97" t="s">
        <v>789</v>
      </c>
      <c r="I26" s="206"/>
      <c r="J26" s="207"/>
      <c r="K26" s="210"/>
      <c r="L26" s="105"/>
      <c r="M26" s="105"/>
      <c r="N26" s="106"/>
      <c r="O26" s="106"/>
      <c r="P26" s="106"/>
      <c r="Q26" s="106"/>
      <c r="R26" s="106"/>
      <c r="S26" s="106"/>
      <c r="T26" s="107"/>
      <c r="U26" s="107"/>
      <c r="V26" s="107"/>
      <c r="W26" s="107"/>
      <c r="X26" s="107"/>
      <c r="Y26" s="107"/>
      <c r="Z26" s="107"/>
      <c r="AA26" s="107"/>
    </row>
    <row r="27" spans="1:27" s="108" customFormat="1" ht="78" customHeight="1">
      <c r="A27" s="215" t="s">
        <v>858</v>
      </c>
      <c r="B27" s="114" t="s">
        <v>1196</v>
      </c>
      <c r="C27" s="216" t="s">
        <v>765</v>
      </c>
      <c r="D27" s="100">
        <v>45705</v>
      </c>
      <c r="E27" s="204" t="s">
        <v>483</v>
      </c>
      <c r="F27" s="100">
        <v>45714</v>
      </c>
      <c r="G27" s="209"/>
      <c r="H27" s="111" t="s">
        <v>861</v>
      </c>
      <c r="I27" s="217" t="s">
        <v>48</v>
      </c>
      <c r="J27" s="207" t="s">
        <v>863</v>
      </c>
      <c r="K27" s="208" t="s">
        <v>981</v>
      </c>
      <c r="L27" s="110"/>
      <c r="M27" s="106">
        <f>957400+43000</f>
        <v>1000400</v>
      </c>
      <c r="N27" s="106"/>
      <c r="O27" s="106"/>
      <c r="P27" s="106"/>
      <c r="Q27" s="106"/>
      <c r="R27" s="106"/>
      <c r="S27" s="106"/>
      <c r="T27" s="107"/>
      <c r="U27" s="107"/>
      <c r="V27" s="107"/>
      <c r="W27" s="107"/>
      <c r="X27" s="107"/>
      <c r="Y27" s="107"/>
      <c r="Z27" s="107"/>
      <c r="AA27" s="107"/>
    </row>
    <row r="28" spans="1:27" s="108" customFormat="1" ht="61.5" customHeight="1">
      <c r="A28" s="201"/>
      <c r="B28" s="104" t="s">
        <v>218</v>
      </c>
      <c r="C28" s="203"/>
      <c r="D28" s="96" t="s">
        <v>859</v>
      </c>
      <c r="E28" s="205"/>
      <c r="F28" s="97" t="s">
        <v>860</v>
      </c>
      <c r="G28" s="210"/>
      <c r="H28" s="97" t="s">
        <v>862</v>
      </c>
      <c r="I28" s="206"/>
      <c r="J28" s="207"/>
      <c r="K28" s="210"/>
      <c r="L28" s="105"/>
      <c r="M28" s="105"/>
      <c r="N28" s="106"/>
      <c r="O28" s="106"/>
      <c r="P28" s="106"/>
      <c r="Q28" s="106"/>
      <c r="R28" s="106"/>
      <c r="S28" s="106"/>
      <c r="T28" s="107"/>
      <c r="U28" s="107"/>
      <c r="V28" s="107"/>
      <c r="W28" s="107"/>
      <c r="X28" s="107"/>
      <c r="Y28" s="107"/>
      <c r="Z28" s="107"/>
      <c r="AA28" s="107"/>
    </row>
    <row r="29" spans="1:27" s="43" customFormat="1" ht="49.5" customHeight="1">
      <c r="A29" s="211" t="s">
        <v>47</v>
      </c>
      <c r="B29" s="212"/>
      <c r="C29" s="213"/>
      <c r="D29" s="211" t="s">
        <v>1753</v>
      </c>
      <c r="E29" s="212"/>
      <c r="F29" s="212"/>
      <c r="G29" s="213"/>
      <c r="H29" s="211" t="s">
        <v>1755</v>
      </c>
      <c r="I29" s="212"/>
      <c r="J29" s="212"/>
      <c r="K29" s="213"/>
      <c r="M29" s="47"/>
      <c r="N29" s="47"/>
      <c r="O29" s="47"/>
      <c r="P29" s="47"/>
      <c r="Q29" s="47"/>
      <c r="R29" s="47"/>
      <c r="S29" s="47"/>
      <c r="T29" s="47"/>
      <c r="U29" s="47"/>
      <c r="V29" s="47"/>
      <c r="W29" s="47"/>
      <c r="X29" s="47"/>
      <c r="Y29" s="47"/>
      <c r="Z29" s="47"/>
      <c r="AA29" s="47"/>
    </row>
    <row r="30" spans="1:27" s="43" customFormat="1" ht="54.75" customHeight="1">
      <c r="A30" s="214" t="s">
        <v>1147</v>
      </c>
      <c r="B30" s="214"/>
      <c r="C30" s="214"/>
      <c r="D30" s="214"/>
      <c r="E30" s="214"/>
      <c r="F30" s="214"/>
      <c r="G30" s="214"/>
      <c r="H30" s="214"/>
      <c r="I30" s="214"/>
      <c r="J30" s="214"/>
      <c r="K30" s="214"/>
      <c r="M30" s="47"/>
      <c r="N30" s="47"/>
      <c r="O30" s="47"/>
      <c r="P30" s="47"/>
      <c r="Q30" s="47"/>
      <c r="R30" s="47"/>
      <c r="S30" s="47"/>
      <c r="T30" s="47"/>
      <c r="U30" s="47"/>
      <c r="V30" s="47"/>
      <c r="W30" s="47"/>
      <c r="X30" s="47"/>
      <c r="Y30" s="47"/>
      <c r="Z30" s="47"/>
      <c r="AA30" s="47"/>
    </row>
  </sheetData>
  <mergeCells count="82">
    <mergeCell ref="J5:J6"/>
    <mergeCell ref="A1:K1"/>
    <mergeCell ref="A2:K2"/>
    <mergeCell ref="A3:G3"/>
    <mergeCell ref="H3:K3"/>
    <mergeCell ref="A4:G4"/>
    <mergeCell ref="H4:K4"/>
    <mergeCell ref="A5:A6"/>
    <mergeCell ref="C5:C6"/>
    <mergeCell ref="E5:E6"/>
    <mergeCell ref="G5:G6"/>
    <mergeCell ref="I5:I6"/>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11:J12"/>
    <mergeCell ref="A13:A14"/>
    <mergeCell ref="C13:C14"/>
    <mergeCell ref="E13:E14"/>
    <mergeCell ref="I13:I14"/>
    <mergeCell ref="J13:J14"/>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K27:K28"/>
    <mergeCell ref="K25:K26"/>
    <mergeCell ref="A29:C29"/>
    <mergeCell ref="D29:G29"/>
    <mergeCell ref="H29:K29"/>
    <mergeCell ref="A23:A24"/>
    <mergeCell ref="C23:C24"/>
    <mergeCell ref="E23:E24"/>
    <mergeCell ref="I23:I24"/>
    <mergeCell ref="J23:J24"/>
    <mergeCell ref="G19:G28"/>
    <mergeCell ref="A21:A22"/>
    <mergeCell ref="C21:C22"/>
    <mergeCell ref="E21:E22"/>
    <mergeCell ref="I21:I22"/>
    <mergeCell ref="J21:J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9"/>
  <sheetViews>
    <sheetView view="pageBreakPreview" topLeftCell="A21" zoomScale="55" zoomScaleNormal="70" zoomScaleSheetLayoutView="55" zoomScalePageLayoutView="40" workbookViewId="0">
      <selection activeCell="A25" sqref="A25"/>
    </sheetView>
  </sheetViews>
  <sheetFormatPr defaultColWidth="9" defaultRowHeight="21"/>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c r="A1" s="231" t="s">
        <v>56</v>
      </c>
      <c r="B1" s="232"/>
      <c r="C1" s="232"/>
      <c r="D1" s="232"/>
      <c r="E1" s="232"/>
      <c r="F1" s="232"/>
      <c r="G1" s="232"/>
      <c r="H1" s="232"/>
      <c r="I1" s="232"/>
    </row>
    <row r="2" spans="1:17" s="1" customFormat="1" ht="22.9" customHeight="1">
      <c r="A2" s="233" t="s">
        <v>3</v>
      </c>
      <c r="B2" s="233"/>
      <c r="C2" s="233"/>
      <c r="D2" s="233"/>
      <c r="E2" s="233"/>
      <c r="F2" s="233"/>
      <c r="G2" s="233"/>
      <c r="H2" s="235" t="str">
        <f>"施工廠商："&amp;$L$2</f>
        <v>施工廠商：上溢營造股份有限公司</v>
      </c>
      <c r="I2" s="235"/>
      <c r="L2" s="2" t="s">
        <v>55</v>
      </c>
    </row>
    <row r="3" spans="1:17" s="1" customFormat="1" ht="22.9" customHeight="1" thickBot="1">
      <c r="A3" s="234"/>
      <c r="B3" s="234"/>
      <c r="C3" s="234"/>
      <c r="D3" s="234"/>
      <c r="E3" s="234"/>
      <c r="F3" s="234"/>
      <c r="G3" s="234"/>
      <c r="H3" s="235" t="str">
        <f>"監造單位："&amp;$L$3</f>
        <v>監造單位：任泰技術顧問有限公司</v>
      </c>
      <c r="I3" s="235"/>
      <c r="L3" s="2" t="s">
        <v>36</v>
      </c>
    </row>
    <row r="4" spans="1:17" s="6" customFormat="1" ht="36.75" customHeight="1" thickBot="1">
      <c r="A4" s="3" t="s">
        <v>4</v>
      </c>
      <c r="B4" s="48">
        <v>44749</v>
      </c>
      <c r="C4" s="4" t="s">
        <v>5</v>
      </c>
      <c r="D4" s="48">
        <v>45128</v>
      </c>
      <c r="E4" s="4" t="s">
        <v>6</v>
      </c>
      <c r="F4" s="48">
        <v>45192</v>
      </c>
      <c r="G4" s="4" t="s">
        <v>7</v>
      </c>
      <c r="H4" s="236">
        <f>F4+730-1+10+132</f>
        <v>46063</v>
      </c>
      <c r="I4" s="237"/>
      <c r="J4" s="5"/>
      <c r="K4" s="5"/>
      <c r="L4" s="5"/>
      <c r="M4" s="5"/>
      <c r="N4" s="5"/>
      <c r="O4" s="5"/>
    </row>
    <row r="5" spans="1:17" s="12" customFormat="1" ht="30.75" customHeight="1">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c r="A6" s="13" t="s">
        <v>17</v>
      </c>
      <c r="B6" s="14" t="s">
        <v>18</v>
      </c>
      <c r="C6" s="15" t="s">
        <v>19</v>
      </c>
      <c r="D6" s="16"/>
      <c r="E6" s="39"/>
      <c r="F6" s="17">
        <v>44414</v>
      </c>
      <c r="G6" s="14" t="s">
        <v>20</v>
      </c>
      <c r="H6" s="18" t="s">
        <v>21</v>
      </c>
      <c r="I6" s="19" t="s">
        <v>22</v>
      </c>
      <c r="J6" s="10"/>
      <c r="K6" s="10"/>
      <c r="L6" s="10"/>
      <c r="M6" s="10"/>
      <c r="N6" s="10"/>
      <c r="O6" s="10"/>
      <c r="P6" s="11"/>
      <c r="Q6" s="11"/>
    </row>
    <row r="7" spans="1:17" hidden="1">
      <c r="A7" s="20"/>
      <c r="B7" s="21"/>
      <c r="C7" s="22"/>
      <c r="D7" s="23"/>
      <c r="E7" s="40"/>
      <c r="F7" s="18"/>
      <c r="G7" s="23"/>
      <c r="H7" s="23"/>
      <c r="I7" s="24"/>
      <c r="J7" s="25"/>
      <c r="K7" s="26"/>
      <c r="L7" s="27"/>
      <c r="M7" s="27"/>
      <c r="N7" s="27"/>
      <c r="O7" s="27"/>
      <c r="P7" s="28"/>
      <c r="Q7" s="28"/>
    </row>
    <row r="8" spans="1:17" s="12" customFormat="1" ht="90" hidden="1" customHeight="1">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c r="A9" s="20">
        <f t="shared" ref="A9:A25" si="0">ROW()-8</f>
        <v>1</v>
      </c>
      <c r="B9" s="14" t="s">
        <v>38</v>
      </c>
      <c r="C9" s="14" t="s">
        <v>37</v>
      </c>
      <c r="D9" s="49">
        <f>$D$4+15</f>
        <v>45143</v>
      </c>
      <c r="E9" s="50" t="s">
        <v>373</v>
      </c>
      <c r="F9" s="50" t="s">
        <v>383</v>
      </c>
      <c r="G9" s="50" t="s">
        <v>382</v>
      </c>
      <c r="H9" s="50" t="s">
        <v>389</v>
      </c>
      <c r="I9" s="19"/>
      <c r="J9" s="229"/>
      <c r="K9" s="230"/>
      <c r="L9" s="30"/>
      <c r="M9" s="30"/>
      <c r="N9" s="30"/>
      <c r="O9" s="30"/>
      <c r="P9" s="28"/>
      <c r="Q9" s="28"/>
    </row>
    <row r="10" spans="1:17" ht="150" customHeight="1">
      <c r="A10" s="20">
        <f t="shared" si="0"/>
        <v>2</v>
      </c>
      <c r="B10" s="14" t="s">
        <v>57</v>
      </c>
      <c r="C10" s="14" t="s">
        <v>27</v>
      </c>
      <c r="D10" s="49">
        <f>F4</f>
        <v>45192</v>
      </c>
      <c r="E10" s="50" t="s">
        <v>374</v>
      </c>
      <c r="F10" s="50" t="s">
        <v>384</v>
      </c>
      <c r="G10" s="50" t="s">
        <v>381</v>
      </c>
      <c r="H10" s="50" t="s">
        <v>390</v>
      </c>
      <c r="I10" s="19"/>
      <c r="J10" s="229"/>
      <c r="K10" s="229"/>
      <c r="L10" s="30"/>
      <c r="M10" s="30"/>
      <c r="N10" s="30"/>
      <c r="O10" s="30"/>
      <c r="P10" s="28"/>
      <c r="Q10" s="28"/>
    </row>
    <row r="11" spans="1:17" ht="150" customHeight="1">
      <c r="A11" s="20">
        <f t="shared" si="0"/>
        <v>3</v>
      </c>
      <c r="B11" s="14" t="s">
        <v>26</v>
      </c>
      <c r="C11" s="14" t="s">
        <v>58</v>
      </c>
      <c r="D11" s="49">
        <f>$D$4+30</f>
        <v>45158</v>
      </c>
      <c r="E11" s="50" t="s">
        <v>375</v>
      </c>
      <c r="F11" s="50" t="s">
        <v>385</v>
      </c>
      <c r="G11" s="50" t="s">
        <v>380</v>
      </c>
      <c r="H11" s="50" t="s">
        <v>386</v>
      </c>
      <c r="I11" s="19"/>
      <c r="J11" s="32"/>
      <c r="K11" s="32"/>
      <c r="L11" s="33"/>
      <c r="M11" s="33"/>
      <c r="N11" s="33"/>
      <c r="O11" s="33"/>
      <c r="P11" s="28"/>
      <c r="Q11" s="28"/>
    </row>
    <row r="12" spans="1:17" ht="150" customHeight="1">
      <c r="A12" s="20">
        <f t="shared" si="0"/>
        <v>4</v>
      </c>
      <c r="B12" s="21" t="s">
        <v>85</v>
      </c>
      <c r="C12" s="14" t="s">
        <v>27</v>
      </c>
      <c r="D12" s="49">
        <f>F4</f>
        <v>45192</v>
      </c>
      <c r="E12" s="50" t="s">
        <v>376</v>
      </c>
      <c r="F12" s="50" t="s">
        <v>109</v>
      </c>
      <c r="G12" s="50" t="s">
        <v>379</v>
      </c>
      <c r="H12" s="50" t="s">
        <v>387</v>
      </c>
      <c r="I12" s="19"/>
      <c r="J12" s="30"/>
      <c r="K12" s="27"/>
      <c r="L12" s="27"/>
      <c r="M12" s="27"/>
      <c r="N12" s="27"/>
      <c r="O12" s="27"/>
      <c r="P12" s="28"/>
      <c r="Q12" s="28"/>
    </row>
    <row r="13" spans="1:17" ht="150" customHeight="1">
      <c r="A13" s="20">
        <f t="shared" si="0"/>
        <v>5</v>
      </c>
      <c r="B13" s="14" t="s">
        <v>28</v>
      </c>
      <c r="C13" s="14" t="s">
        <v>29</v>
      </c>
      <c r="D13" s="50">
        <f>F4+30</f>
        <v>45222</v>
      </c>
      <c r="E13" s="50" t="s">
        <v>377</v>
      </c>
      <c r="F13" s="50" t="s">
        <v>109</v>
      </c>
      <c r="G13" s="50" t="s">
        <v>378</v>
      </c>
      <c r="H13" s="50" t="s">
        <v>388</v>
      </c>
      <c r="I13" s="19"/>
      <c r="J13" s="30"/>
      <c r="K13" s="31"/>
      <c r="L13" s="30"/>
      <c r="M13" s="30"/>
      <c r="N13" s="30"/>
      <c r="O13" s="30"/>
      <c r="P13" s="28"/>
      <c r="Q13" s="28"/>
    </row>
    <row r="14" spans="1:17" ht="150" customHeight="1">
      <c r="A14" s="20">
        <f t="shared" si="0"/>
        <v>6</v>
      </c>
      <c r="B14" s="14" t="s">
        <v>398</v>
      </c>
      <c r="C14" s="50" t="s">
        <v>109</v>
      </c>
      <c r="D14" s="50" t="s">
        <v>417</v>
      </c>
      <c r="E14" s="50" t="s">
        <v>399</v>
      </c>
      <c r="F14" s="50" t="s">
        <v>109</v>
      </c>
      <c r="G14" s="50" t="s">
        <v>402</v>
      </c>
      <c r="H14" s="50" t="s">
        <v>405</v>
      </c>
      <c r="I14" s="81" t="s">
        <v>460</v>
      </c>
    </row>
    <row r="15" spans="1:17" ht="150" customHeight="1">
      <c r="A15" s="20">
        <f t="shared" si="0"/>
        <v>7</v>
      </c>
      <c r="B15" s="14" t="s">
        <v>410</v>
      </c>
      <c r="C15" s="50" t="s">
        <v>109</v>
      </c>
      <c r="D15" s="50" t="s">
        <v>417</v>
      </c>
      <c r="E15" s="50" t="s">
        <v>400</v>
      </c>
      <c r="F15" s="50" t="s">
        <v>109</v>
      </c>
      <c r="G15" s="50" t="s">
        <v>403</v>
      </c>
      <c r="H15" s="50" t="s">
        <v>406</v>
      </c>
      <c r="I15" s="81" t="s">
        <v>460</v>
      </c>
    </row>
    <row r="16" spans="1:17" ht="150" customHeight="1">
      <c r="A16" s="20">
        <f t="shared" si="0"/>
        <v>8</v>
      </c>
      <c r="B16" s="14" t="s">
        <v>411</v>
      </c>
      <c r="C16" s="50" t="s">
        <v>109</v>
      </c>
      <c r="D16" s="50" t="s">
        <v>417</v>
      </c>
      <c r="E16" s="50" t="s">
        <v>401</v>
      </c>
      <c r="F16" s="50" t="s">
        <v>109</v>
      </c>
      <c r="G16" s="50" t="s">
        <v>404</v>
      </c>
      <c r="H16" s="50" t="s">
        <v>407</v>
      </c>
      <c r="I16" s="81" t="s">
        <v>460</v>
      </c>
    </row>
    <row r="17" spans="1:12" ht="150" customHeight="1">
      <c r="A17" s="20">
        <f t="shared" si="0"/>
        <v>9</v>
      </c>
      <c r="B17" s="14" t="s">
        <v>28</v>
      </c>
      <c r="C17" s="14" t="s">
        <v>489</v>
      </c>
      <c r="D17" s="50">
        <v>45541</v>
      </c>
      <c r="E17" s="50" t="s">
        <v>487</v>
      </c>
      <c r="F17" s="50" t="s">
        <v>109</v>
      </c>
      <c r="G17" s="50" t="s">
        <v>488</v>
      </c>
      <c r="H17" s="50" t="s">
        <v>796</v>
      </c>
      <c r="I17" s="81" t="s">
        <v>737</v>
      </c>
    </row>
    <row r="18" spans="1:12" ht="150" customHeight="1">
      <c r="A18" s="20">
        <f t="shared" si="0"/>
        <v>10</v>
      </c>
      <c r="B18" s="14" t="s">
        <v>745</v>
      </c>
      <c r="C18" s="50" t="s">
        <v>109</v>
      </c>
      <c r="D18" s="50" t="s">
        <v>742</v>
      </c>
      <c r="E18" s="50" t="s">
        <v>740</v>
      </c>
      <c r="F18" s="50" t="s">
        <v>741</v>
      </c>
      <c r="G18" s="50" t="s">
        <v>744</v>
      </c>
      <c r="H18" s="50" t="s">
        <v>822</v>
      </c>
      <c r="I18" s="81" t="s">
        <v>737</v>
      </c>
    </row>
    <row r="19" spans="1:12" ht="150" customHeight="1">
      <c r="A19" s="20">
        <f t="shared" si="0"/>
        <v>11</v>
      </c>
      <c r="B19" s="14" t="s">
        <v>746</v>
      </c>
      <c r="C19" s="50" t="s">
        <v>109</v>
      </c>
      <c r="D19" s="50" t="s">
        <v>742</v>
      </c>
      <c r="E19" s="50" t="s">
        <v>740</v>
      </c>
      <c r="F19" s="50" t="s">
        <v>741</v>
      </c>
      <c r="G19" s="50" t="s">
        <v>744</v>
      </c>
      <c r="H19" s="50" t="s">
        <v>822</v>
      </c>
      <c r="I19" s="81" t="s">
        <v>737</v>
      </c>
    </row>
    <row r="20" spans="1:12" ht="150" customHeight="1" thickBot="1">
      <c r="A20" s="82">
        <f t="shared" si="0"/>
        <v>12</v>
      </c>
      <c r="B20" s="83" t="s">
        <v>28</v>
      </c>
      <c r="C20" s="83" t="s">
        <v>489</v>
      </c>
      <c r="D20" s="84">
        <v>45672</v>
      </c>
      <c r="E20" s="84" t="s">
        <v>739</v>
      </c>
      <c r="F20" s="84" t="s">
        <v>109</v>
      </c>
      <c r="G20" s="84" t="s">
        <v>743</v>
      </c>
      <c r="H20" s="84" t="s">
        <v>795</v>
      </c>
      <c r="I20" s="85" t="s">
        <v>738</v>
      </c>
      <c r="K20" s="80">
        <v>45286</v>
      </c>
      <c r="L20" s="80">
        <f>K20+20</f>
        <v>45306</v>
      </c>
    </row>
    <row r="21" spans="1:12" ht="150" customHeight="1">
      <c r="A21" s="20">
        <f t="shared" si="0"/>
        <v>13</v>
      </c>
      <c r="B21" s="14" t="s">
        <v>989</v>
      </c>
      <c r="C21" s="50" t="s">
        <v>109</v>
      </c>
      <c r="D21" s="50" t="s">
        <v>991</v>
      </c>
      <c r="E21" s="50" t="s">
        <v>993</v>
      </c>
      <c r="F21" s="50" t="s">
        <v>992</v>
      </c>
      <c r="G21" s="50" t="s">
        <v>995</v>
      </c>
      <c r="H21" s="50" t="s">
        <v>1007</v>
      </c>
      <c r="I21" s="81" t="s">
        <v>738</v>
      </c>
    </row>
    <row r="22" spans="1:12" ht="150" customHeight="1">
      <c r="A22" s="20">
        <f t="shared" si="0"/>
        <v>14</v>
      </c>
      <c r="B22" s="14" t="s">
        <v>990</v>
      </c>
      <c r="C22" s="50" t="s">
        <v>109</v>
      </c>
      <c r="D22" s="50" t="s">
        <v>991</v>
      </c>
      <c r="E22" s="50" t="s">
        <v>994</v>
      </c>
      <c r="F22" s="50" t="s">
        <v>992</v>
      </c>
      <c r="G22" s="50" t="s">
        <v>995</v>
      </c>
      <c r="H22" s="50" t="s">
        <v>1007</v>
      </c>
      <c r="I22" s="81" t="s">
        <v>738</v>
      </c>
    </row>
    <row r="23" spans="1:12" ht="150" customHeight="1" thickBot="1">
      <c r="A23" s="82">
        <f t="shared" si="0"/>
        <v>15</v>
      </c>
      <c r="B23" s="83" t="s">
        <v>28</v>
      </c>
      <c r="C23" s="83" t="s">
        <v>489</v>
      </c>
      <c r="D23" s="84">
        <v>45796</v>
      </c>
      <c r="E23" s="84" t="s">
        <v>1034</v>
      </c>
      <c r="F23" s="84" t="s">
        <v>109</v>
      </c>
      <c r="G23" s="84" t="s">
        <v>1032</v>
      </c>
      <c r="H23" s="84" t="s">
        <v>1033</v>
      </c>
      <c r="I23" s="85" t="s">
        <v>1031</v>
      </c>
      <c r="K23" s="80">
        <v>45286</v>
      </c>
      <c r="L23" s="80">
        <f>K23+20</f>
        <v>45306</v>
      </c>
    </row>
    <row r="24" spans="1:12" ht="150" customHeight="1" thickBot="1">
      <c r="A24" s="82">
        <f t="shared" si="0"/>
        <v>16</v>
      </c>
      <c r="B24" s="83" t="s">
        <v>28</v>
      </c>
      <c r="C24" s="83" t="s">
        <v>489</v>
      </c>
      <c r="D24" s="84">
        <v>46049</v>
      </c>
      <c r="E24" s="84" t="s">
        <v>1905</v>
      </c>
      <c r="F24" s="84" t="s">
        <v>109</v>
      </c>
      <c r="G24" s="84" t="s">
        <v>1906</v>
      </c>
      <c r="H24" s="84" t="s">
        <v>1907</v>
      </c>
      <c r="I24" s="85" t="s">
        <v>1903</v>
      </c>
      <c r="K24" s="80">
        <v>45286</v>
      </c>
      <c r="L24" s="80">
        <f>K24+20</f>
        <v>45306</v>
      </c>
    </row>
    <row r="25" spans="1:12" ht="150" customHeight="1" thickBot="1">
      <c r="A25" s="82">
        <f t="shared" si="0"/>
        <v>17</v>
      </c>
      <c r="B25" s="83" t="s">
        <v>28</v>
      </c>
      <c r="C25" s="83" t="s">
        <v>489</v>
      </c>
      <c r="D25" s="84">
        <v>46057</v>
      </c>
      <c r="E25" s="84" t="s">
        <v>1904</v>
      </c>
      <c r="F25" s="84" t="s">
        <v>1908</v>
      </c>
      <c r="G25" s="84" t="s">
        <v>1909</v>
      </c>
      <c r="H25" s="84" t="s">
        <v>1910</v>
      </c>
      <c r="I25" s="85" t="s">
        <v>1911</v>
      </c>
      <c r="K25" s="80">
        <v>45286</v>
      </c>
      <c r="L25" s="80">
        <f>K25+20</f>
        <v>45306</v>
      </c>
    </row>
    <row r="26" spans="1:12">
      <c r="C26" s="199"/>
      <c r="D26" s="77"/>
    </row>
    <row r="27" spans="1:12">
      <c r="C27" s="199"/>
      <c r="D27" s="88"/>
    </row>
    <row r="28" spans="1:12">
      <c r="D28" s="77"/>
      <c r="E28" s="199"/>
    </row>
    <row r="29" spans="1:12">
      <c r="E29" s="199"/>
    </row>
  </sheetData>
  <mergeCells count="7">
    <mergeCell ref="J10:K10"/>
    <mergeCell ref="J9:K9"/>
    <mergeCell ref="A1:I1"/>
    <mergeCell ref="A2:G3"/>
    <mergeCell ref="H2:I2"/>
    <mergeCell ref="H3:I3"/>
    <mergeCell ref="H4:I4"/>
  </mergeCells>
  <phoneticPr fontId="13"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8"/>
  <sheetViews>
    <sheetView view="pageBreakPreview" topLeftCell="A11" zoomScale="55" zoomScaleNormal="70" zoomScaleSheetLayoutView="55" zoomScalePageLayoutView="10" workbookViewId="0">
      <selection activeCell="C19" sqref="C19"/>
    </sheetView>
  </sheetViews>
  <sheetFormatPr defaultColWidth="9" defaultRowHeight="21"/>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c r="A1" s="231" t="str">
        <f>'1.計畫'!A1:I1</f>
        <v>磺港溪再造C段護岸及步道整建工程（延壽橋至三合橋）</v>
      </c>
      <c r="B1" s="232"/>
      <c r="C1" s="232"/>
      <c r="D1" s="232"/>
      <c r="E1" s="232"/>
      <c r="F1" s="232"/>
      <c r="G1" s="232"/>
      <c r="H1" s="232"/>
      <c r="I1" s="232"/>
    </row>
    <row r="2" spans="1:16" s="1" customFormat="1" ht="22.9" customHeight="1">
      <c r="A2" s="233" t="s">
        <v>44</v>
      </c>
      <c r="B2" s="233"/>
      <c r="C2" s="233"/>
      <c r="D2" s="233"/>
      <c r="E2" s="233"/>
      <c r="F2" s="233"/>
      <c r="G2" s="233"/>
      <c r="H2" s="235" t="str">
        <f>"施工廠商："&amp;$K$2</f>
        <v>施工廠商：上溢營造股份有限公司</v>
      </c>
      <c r="I2" s="235"/>
      <c r="K2" s="2" t="str">
        <f>'1.計畫'!L2</f>
        <v>上溢營造股份有限公司</v>
      </c>
    </row>
    <row r="3" spans="1:16" s="1" customFormat="1" ht="22.9" customHeight="1">
      <c r="A3" s="238"/>
      <c r="B3" s="238"/>
      <c r="C3" s="238"/>
      <c r="D3" s="238"/>
      <c r="E3" s="238"/>
      <c r="F3" s="238"/>
      <c r="G3" s="238"/>
      <c r="H3" s="235" t="str">
        <f>"監造單位："&amp;$K$3</f>
        <v>監造單位：任泰技術顧問有限公司</v>
      </c>
      <c r="I3" s="235"/>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9">
        <f>'1.計畫'!H4:I4</f>
        <v>46063</v>
      </c>
      <c r="I4" s="239"/>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71.25" customHeight="1">
      <c r="A8" s="59">
        <f t="shared" ref="A8:A23" si="0">ROW()-7</f>
        <v>1</v>
      </c>
      <c r="B8" s="14" t="s">
        <v>98</v>
      </c>
      <c r="C8" s="14" t="s">
        <v>54</v>
      </c>
      <c r="D8" s="50">
        <v>45177</v>
      </c>
      <c r="E8" s="50" t="s">
        <v>335</v>
      </c>
      <c r="F8" s="52" t="s">
        <v>126</v>
      </c>
      <c r="G8" s="50" t="s">
        <v>343</v>
      </c>
      <c r="H8" s="50" t="s">
        <v>362</v>
      </c>
      <c r="I8" s="50"/>
      <c r="J8" s="54"/>
      <c r="K8" s="30"/>
      <c r="L8" s="30"/>
      <c r="M8" s="30"/>
      <c r="N8" s="30"/>
      <c r="O8" s="28"/>
      <c r="P8" s="28"/>
    </row>
    <row r="9" spans="1:16" ht="71.25" customHeight="1">
      <c r="A9" s="59">
        <f t="shared" si="0"/>
        <v>2</v>
      </c>
      <c r="B9" s="14" t="s">
        <v>99</v>
      </c>
      <c r="C9" s="14" t="s">
        <v>54</v>
      </c>
      <c r="D9" s="50">
        <v>45177</v>
      </c>
      <c r="E9" s="50" t="s">
        <v>336</v>
      </c>
      <c r="F9" s="50" t="s">
        <v>393</v>
      </c>
      <c r="G9" s="50" t="s">
        <v>344</v>
      </c>
      <c r="H9" s="50" t="s">
        <v>363</v>
      </c>
      <c r="I9" s="53"/>
      <c r="J9" s="54"/>
      <c r="K9" s="33"/>
      <c r="L9" s="33"/>
      <c r="M9" s="33"/>
      <c r="N9" s="33"/>
      <c r="O9" s="28"/>
      <c r="P9" s="28"/>
    </row>
    <row r="10" spans="1:16" ht="71.25" customHeight="1">
      <c r="A10" s="59">
        <f t="shared" si="0"/>
        <v>3</v>
      </c>
      <c r="B10" s="14" t="s">
        <v>100</v>
      </c>
      <c r="C10" s="14" t="s">
        <v>369</v>
      </c>
      <c r="D10" s="50">
        <v>45192</v>
      </c>
      <c r="E10" s="50" t="s">
        <v>337</v>
      </c>
      <c r="F10" s="52" t="s">
        <v>126</v>
      </c>
      <c r="G10" s="50" t="s">
        <v>345</v>
      </c>
      <c r="H10" s="50" t="s">
        <v>364</v>
      </c>
      <c r="I10" s="61"/>
      <c r="J10" s="54"/>
    </row>
    <row r="11" spans="1:16" ht="71.25" customHeight="1">
      <c r="A11" s="59">
        <f t="shared" si="0"/>
        <v>4</v>
      </c>
      <c r="B11" s="14" t="s">
        <v>97</v>
      </c>
      <c r="C11" s="14" t="s">
        <v>53</v>
      </c>
      <c r="D11" s="50">
        <v>45204</v>
      </c>
      <c r="E11" s="50" t="s">
        <v>338</v>
      </c>
      <c r="F11" s="52" t="s">
        <v>126</v>
      </c>
      <c r="G11" s="50" t="s">
        <v>346</v>
      </c>
      <c r="H11" s="50" t="s">
        <v>361</v>
      </c>
      <c r="I11" s="18"/>
      <c r="J11" s="54"/>
    </row>
    <row r="12" spans="1:16" ht="71.25" customHeight="1">
      <c r="A12" s="59">
        <f t="shared" si="0"/>
        <v>5</v>
      </c>
      <c r="B12" s="14" t="s">
        <v>59</v>
      </c>
      <c r="C12" s="14" t="s">
        <v>53</v>
      </c>
      <c r="D12" s="50">
        <v>45219</v>
      </c>
      <c r="E12" s="50" t="s">
        <v>339</v>
      </c>
      <c r="F12" s="52" t="s">
        <v>126</v>
      </c>
      <c r="G12" s="50" t="s">
        <v>347</v>
      </c>
      <c r="H12" s="50" t="s">
        <v>360</v>
      </c>
      <c r="I12" s="18"/>
    </row>
    <row r="13" spans="1:16" ht="71.25" customHeight="1">
      <c r="A13" s="59">
        <f t="shared" si="0"/>
        <v>6</v>
      </c>
      <c r="B13" s="14" t="s">
        <v>101</v>
      </c>
      <c r="C13" s="14" t="s">
        <v>54</v>
      </c>
      <c r="D13" s="50">
        <v>45177</v>
      </c>
      <c r="E13" s="50" t="s">
        <v>340</v>
      </c>
      <c r="F13" s="50" t="s">
        <v>392</v>
      </c>
      <c r="G13" s="50" t="s">
        <v>348</v>
      </c>
      <c r="H13" s="50" t="s">
        <v>359</v>
      </c>
      <c r="I13" s="53"/>
      <c r="J13" s="54"/>
      <c r="K13" s="33"/>
      <c r="L13" s="33"/>
      <c r="M13" s="33"/>
      <c r="N13" s="33"/>
      <c r="O13" s="28"/>
      <c r="P13" s="28"/>
    </row>
    <row r="14" spans="1:16" ht="71.25" customHeight="1">
      <c r="A14" s="59">
        <f t="shared" si="0"/>
        <v>7</v>
      </c>
      <c r="B14" s="14" t="s">
        <v>60</v>
      </c>
      <c r="C14" s="14" t="s">
        <v>54</v>
      </c>
      <c r="D14" s="50">
        <v>45292</v>
      </c>
      <c r="E14" s="50" t="s">
        <v>341</v>
      </c>
      <c r="F14" s="50" t="s">
        <v>109</v>
      </c>
      <c r="G14" s="50" t="s">
        <v>349</v>
      </c>
      <c r="H14" s="50" t="s">
        <v>358</v>
      </c>
      <c r="I14" s="18"/>
      <c r="J14" s="55"/>
    </row>
    <row r="15" spans="1:16" ht="71.25" customHeight="1">
      <c r="A15" s="59">
        <f t="shared" si="0"/>
        <v>8</v>
      </c>
      <c r="B15" s="14" t="s">
        <v>106</v>
      </c>
      <c r="C15" s="14" t="s">
        <v>54</v>
      </c>
      <c r="D15" s="50">
        <v>45275</v>
      </c>
      <c r="E15" s="50" t="s">
        <v>342</v>
      </c>
      <c r="F15" s="62" t="s">
        <v>391</v>
      </c>
      <c r="G15" s="50" t="s">
        <v>350</v>
      </c>
      <c r="H15" s="50" t="s">
        <v>357</v>
      </c>
      <c r="I15" s="18"/>
      <c r="J15" s="54"/>
    </row>
    <row r="16" spans="1:16" ht="71.25" customHeight="1">
      <c r="A16" s="59">
        <f t="shared" si="0"/>
        <v>9</v>
      </c>
      <c r="B16" s="14" t="s">
        <v>333</v>
      </c>
      <c r="C16" s="14" t="s">
        <v>54</v>
      </c>
      <c r="D16" s="50">
        <v>45443</v>
      </c>
      <c r="E16" s="50" t="s">
        <v>334</v>
      </c>
      <c r="F16" s="52" t="s">
        <v>109</v>
      </c>
      <c r="G16" s="50" t="s">
        <v>936</v>
      </c>
      <c r="H16" s="50" t="s">
        <v>368</v>
      </c>
      <c r="I16" s="18"/>
      <c r="J16" s="54"/>
    </row>
    <row r="17" spans="1:10" ht="71.25" customHeight="1">
      <c r="A17" s="59">
        <f t="shared" si="0"/>
        <v>10</v>
      </c>
      <c r="B17" s="14" t="s">
        <v>831</v>
      </c>
      <c r="C17" s="14" t="s">
        <v>54</v>
      </c>
      <c r="D17" s="50">
        <v>45736</v>
      </c>
      <c r="E17" s="50" t="s">
        <v>832</v>
      </c>
      <c r="F17" s="52" t="s">
        <v>109</v>
      </c>
      <c r="G17" s="50" t="s">
        <v>833</v>
      </c>
      <c r="H17" s="50" t="s">
        <v>834</v>
      </c>
      <c r="I17" s="18"/>
      <c r="J17" s="54"/>
    </row>
    <row r="18" spans="1:10" ht="71.25" customHeight="1">
      <c r="A18" s="59">
        <f t="shared" si="0"/>
        <v>11</v>
      </c>
      <c r="B18" s="14" t="s">
        <v>103</v>
      </c>
      <c r="C18" s="14" t="s">
        <v>53</v>
      </c>
      <c r="D18" s="50">
        <v>45306</v>
      </c>
      <c r="E18" s="18" t="s">
        <v>365</v>
      </c>
      <c r="F18" s="52" t="s">
        <v>109</v>
      </c>
      <c r="G18" s="50" t="s">
        <v>351</v>
      </c>
      <c r="H18" s="18" t="s">
        <v>356</v>
      </c>
      <c r="I18" s="18"/>
      <c r="J18" s="54"/>
    </row>
    <row r="19" spans="1:10" ht="71.25" customHeight="1">
      <c r="A19" s="59">
        <f t="shared" si="0"/>
        <v>12</v>
      </c>
      <c r="B19" s="14" t="s">
        <v>277</v>
      </c>
      <c r="C19" s="14" t="s">
        <v>54</v>
      </c>
      <c r="D19" s="50">
        <v>45397</v>
      </c>
      <c r="E19" s="18" t="s">
        <v>366</v>
      </c>
      <c r="F19" s="52" t="s">
        <v>109</v>
      </c>
      <c r="G19" s="50" t="s">
        <v>352</v>
      </c>
      <c r="H19" s="18" t="s">
        <v>355</v>
      </c>
      <c r="I19" s="18"/>
      <c r="J19" s="54"/>
    </row>
    <row r="20" spans="1:10" ht="71.25" customHeight="1">
      <c r="A20" s="59">
        <f t="shared" si="0"/>
        <v>13</v>
      </c>
      <c r="B20" s="14" t="s">
        <v>281</v>
      </c>
      <c r="C20" s="14" t="s">
        <v>54</v>
      </c>
      <c r="D20" s="50">
        <v>45747</v>
      </c>
      <c r="E20" s="18" t="s">
        <v>367</v>
      </c>
      <c r="F20" s="52" t="s">
        <v>109</v>
      </c>
      <c r="G20" s="50" t="s">
        <v>353</v>
      </c>
      <c r="H20" s="18" t="s">
        <v>354</v>
      </c>
      <c r="I20" s="18"/>
      <c r="J20" s="54"/>
    </row>
    <row r="21" spans="1:10" ht="71.25" customHeight="1">
      <c r="A21" s="59">
        <f t="shared" si="0"/>
        <v>14</v>
      </c>
      <c r="B21" s="14" t="s">
        <v>1670</v>
      </c>
      <c r="C21" s="14" t="s">
        <v>54</v>
      </c>
      <c r="D21" s="50">
        <v>45915</v>
      </c>
      <c r="E21" s="18" t="s">
        <v>1430</v>
      </c>
      <c r="F21" s="52" t="s">
        <v>109</v>
      </c>
      <c r="G21" s="50" t="s">
        <v>1428</v>
      </c>
      <c r="H21" s="18" t="s">
        <v>1429</v>
      </c>
      <c r="I21" s="18"/>
      <c r="J21" s="54"/>
    </row>
    <row r="22" spans="1:10" ht="71.25" customHeight="1">
      <c r="A22" s="59">
        <f t="shared" si="0"/>
        <v>15</v>
      </c>
      <c r="B22" s="14" t="s">
        <v>1669</v>
      </c>
      <c r="C22" s="14" t="s">
        <v>54</v>
      </c>
      <c r="D22" s="50">
        <v>45961</v>
      </c>
      <c r="E22" s="18" t="s">
        <v>1601</v>
      </c>
      <c r="F22" s="52" t="s">
        <v>109</v>
      </c>
      <c r="G22" s="50" t="s">
        <v>1649</v>
      </c>
      <c r="H22" s="18" t="s">
        <v>1650</v>
      </c>
      <c r="I22" s="18"/>
      <c r="J22" s="54"/>
    </row>
    <row r="23" spans="1:10" ht="71.25" customHeight="1">
      <c r="A23" s="59">
        <f t="shared" si="0"/>
        <v>16</v>
      </c>
      <c r="B23" s="14" t="s">
        <v>1668</v>
      </c>
      <c r="C23" s="14" t="s">
        <v>54</v>
      </c>
      <c r="D23" s="50">
        <v>45992</v>
      </c>
      <c r="E23" s="18" t="s">
        <v>1695</v>
      </c>
      <c r="F23" s="52" t="s">
        <v>109</v>
      </c>
      <c r="G23" s="50" t="s">
        <v>1696</v>
      </c>
      <c r="H23" s="18" t="s">
        <v>1758</v>
      </c>
      <c r="I23" s="18"/>
      <c r="J23" s="54"/>
    </row>
    <row r="24" spans="1:10" ht="32.25">
      <c r="J24" s="54"/>
    </row>
    <row r="25" spans="1:10" ht="32.25">
      <c r="J25" s="54"/>
    </row>
    <row r="26" spans="1:10" ht="32.25">
      <c r="J26" s="54"/>
    </row>
    <row r="27" spans="1:10" ht="32.25">
      <c r="J27" s="54"/>
    </row>
    <row r="28" spans="1:10" ht="32.25">
      <c r="J28" s="56"/>
    </row>
  </sheetData>
  <mergeCells count="5">
    <mergeCell ref="A1:I1"/>
    <mergeCell ref="A2:G3"/>
    <mergeCell ref="H2:I2"/>
    <mergeCell ref="H3:I3"/>
    <mergeCell ref="H4:I4"/>
  </mergeCells>
  <phoneticPr fontId="13"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6"/>
  <sheetViews>
    <sheetView view="pageBreakPreview" topLeftCell="A14" zoomScale="70" zoomScaleNormal="70" zoomScaleSheetLayoutView="70" zoomScalePageLayoutView="70" workbookViewId="0">
      <pane xSplit="1" topLeftCell="B1" activePane="topRight" state="frozen"/>
      <selection activeCell="E17" sqref="A17:N24"/>
      <selection pane="topRight" activeCell="I16" sqref="I16"/>
    </sheetView>
  </sheetViews>
  <sheetFormatPr defaultColWidth="9" defaultRowHeight="21"/>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c r="A1" s="231" t="str">
        <f>'1.計畫'!A1:I1</f>
        <v>磺港溪再造C段護岸及步道整建工程（延壽橋至三合橋）</v>
      </c>
      <c r="B1" s="232"/>
      <c r="C1" s="232"/>
      <c r="D1" s="232"/>
      <c r="E1" s="232"/>
      <c r="F1" s="232"/>
      <c r="G1" s="232"/>
      <c r="H1" s="232"/>
      <c r="I1" s="232"/>
    </row>
    <row r="2" spans="1:16" s="1" customFormat="1" ht="22.9" customHeight="1">
      <c r="A2" s="233" t="s">
        <v>466</v>
      </c>
      <c r="B2" s="233"/>
      <c r="C2" s="233"/>
      <c r="D2" s="233"/>
      <c r="E2" s="233"/>
      <c r="F2" s="233"/>
      <c r="G2" s="233"/>
      <c r="H2" s="235" t="str">
        <f>"施工廠商："&amp;$K$2</f>
        <v>施工廠商：上溢營造股份有限公司</v>
      </c>
      <c r="I2" s="235"/>
      <c r="K2" s="2" t="str">
        <f>'1.計畫'!L2</f>
        <v>上溢營造股份有限公司</v>
      </c>
    </row>
    <row r="3" spans="1:16" s="1" customFormat="1" ht="22.9" customHeight="1">
      <c r="A3" s="238"/>
      <c r="B3" s="238"/>
      <c r="C3" s="238"/>
      <c r="D3" s="238"/>
      <c r="E3" s="238"/>
      <c r="F3" s="238"/>
      <c r="G3" s="238"/>
      <c r="H3" s="235" t="str">
        <f>"監造單位："&amp;$K$3</f>
        <v>監造單位：任泰技術顧問有限公司</v>
      </c>
      <c r="I3" s="235"/>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9">
        <f>'1.計畫'!H4:I4</f>
        <v>46063</v>
      </c>
      <c r="I4" s="239"/>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96.75" customHeight="1">
      <c r="A8" s="59">
        <f t="shared" ref="A8:A20" si="0">ROW()-7</f>
        <v>1</v>
      </c>
      <c r="B8" s="14" t="s">
        <v>104</v>
      </c>
      <c r="C8" s="14" t="s">
        <v>54</v>
      </c>
      <c r="D8" s="14" t="s">
        <v>105</v>
      </c>
      <c r="E8" s="50" t="s">
        <v>465</v>
      </c>
      <c r="F8" s="52"/>
      <c r="G8" s="50" t="s">
        <v>567</v>
      </c>
      <c r="H8" s="50" t="s">
        <v>568</v>
      </c>
      <c r="I8" s="50"/>
      <c r="J8" s="54"/>
      <c r="K8" s="30"/>
      <c r="L8" s="30"/>
      <c r="M8" s="30"/>
      <c r="N8" s="30"/>
      <c r="O8" s="28"/>
      <c r="P8" s="28"/>
    </row>
    <row r="9" spans="1:16" ht="96.75" customHeight="1">
      <c r="A9" s="59">
        <f t="shared" si="0"/>
        <v>2</v>
      </c>
      <c r="B9" s="14" t="s">
        <v>413</v>
      </c>
      <c r="C9" s="14" t="s">
        <v>54</v>
      </c>
      <c r="D9" s="14" t="s">
        <v>412</v>
      </c>
      <c r="E9" s="50" t="s">
        <v>464</v>
      </c>
      <c r="F9" s="50"/>
      <c r="G9" s="50" t="s">
        <v>566</v>
      </c>
      <c r="H9" s="50" t="s">
        <v>569</v>
      </c>
      <c r="I9" s="53"/>
      <c r="J9" s="54"/>
      <c r="K9" s="33"/>
      <c r="L9" s="33"/>
      <c r="M9" s="33"/>
      <c r="N9" s="33"/>
      <c r="O9" s="28"/>
      <c r="P9" s="28"/>
    </row>
    <row r="10" spans="1:16" ht="96.75" customHeight="1">
      <c r="A10" s="59">
        <f t="shared" si="0"/>
        <v>3</v>
      </c>
      <c r="B10" s="14" t="s">
        <v>313</v>
      </c>
      <c r="C10" s="14" t="s">
        <v>54</v>
      </c>
      <c r="D10" s="14" t="s">
        <v>314</v>
      </c>
      <c r="E10" s="50" t="s">
        <v>463</v>
      </c>
      <c r="F10" s="50"/>
      <c r="G10" s="50" t="s">
        <v>565</v>
      </c>
      <c r="H10" s="50" t="s">
        <v>570</v>
      </c>
      <c r="I10" s="61"/>
      <c r="J10" s="54"/>
    </row>
    <row r="11" spans="1:16" ht="96.75" customHeight="1">
      <c r="A11" s="59">
        <f t="shared" si="0"/>
        <v>4</v>
      </c>
      <c r="B11" s="14" t="s">
        <v>370</v>
      </c>
      <c r="C11" s="14" t="s">
        <v>54</v>
      </c>
      <c r="D11" s="14" t="s">
        <v>371</v>
      </c>
      <c r="E11" s="50" t="s">
        <v>462</v>
      </c>
      <c r="F11" s="51"/>
      <c r="G11" s="50" t="s">
        <v>564</v>
      </c>
      <c r="H11" s="50" t="s">
        <v>571</v>
      </c>
      <c r="I11" s="18"/>
      <c r="J11" s="54"/>
    </row>
    <row r="12" spans="1:16" ht="96.75" customHeight="1">
      <c r="A12" s="59">
        <f t="shared" si="0"/>
        <v>5</v>
      </c>
      <c r="B12" s="14" t="s">
        <v>414</v>
      </c>
      <c r="C12" s="14" t="s">
        <v>54</v>
      </c>
      <c r="D12" s="14" t="s">
        <v>415</v>
      </c>
      <c r="E12" s="50" t="s">
        <v>461</v>
      </c>
      <c r="F12" s="52"/>
      <c r="G12" s="50" t="s">
        <v>573</v>
      </c>
      <c r="H12" s="50" t="s">
        <v>572</v>
      </c>
      <c r="I12" s="18"/>
    </row>
    <row r="13" spans="1:16" ht="96.75" customHeight="1">
      <c r="A13" s="59">
        <f t="shared" si="0"/>
        <v>6</v>
      </c>
      <c r="B13" s="14" t="s">
        <v>562</v>
      </c>
      <c r="C13" s="14" t="s">
        <v>54</v>
      </c>
      <c r="D13" s="14" t="s">
        <v>563</v>
      </c>
      <c r="E13" s="50" t="s">
        <v>576</v>
      </c>
      <c r="F13" s="50"/>
      <c r="G13" s="50" t="s">
        <v>574</v>
      </c>
      <c r="H13" s="50" t="s">
        <v>575</v>
      </c>
      <c r="I13" s="53"/>
      <c r="J13" s="54"/>
      <c r="K13" s="33"/>
      <c r="L13" s="33"/>
      <c r="M13" s="33"/>
      <c r="N13" s="33"/>
      <c r="O13" s="28"/>
      <c r="P13" s="28"/>
    </row>
    <row r="14" spans="1:16" ht="96.75" customHeight="1">
      <c r="A14" s="59">
        <f t="shared" si="0"/>
        <v>7</v>
      </c>
      <c r="B14" s="14" t="s">
        <v>706</v>
      </c>
      <c r="C14" s="14" t="s">
        <v>54</v>
      </c>
      <c r="D14" s="14" t="s">
        <v>707</v>
      </c>
      <c r="E14" s="50" t="s">
        <v>821</v>
      </c>
      <c r="F14" s="50"/>
      <c r="G14" s="50" t="s">
        <v>820</v>
      </c>
      <c r="H14" s="50" t="s">
        <v>819</v>
      </c>
      <c r="I14" s="18"/>
      <c r="J14" s="55"/>
    </row>
    <row r="15" spans="1:16" ht="96.75" customHeight="1">
      <c r="A15" s="59">
        <f t="shared" si="0"/>
        <v>8</v>
      </c>
      <c r="B15" s="14" t="s">
        <v>876</v>
      </c>
      <c r="C15" s="14" t="s">
        <v>54</v>
      </c>
      <c r="D15" s="50">
        <v>45731</v>
      </c>
      <c r="E15" s="50" t="s">
        <v>877</v>
      </c>
      <c r="F15" s="62"/>
      <c r="G15" s="50" t="s">
        <v>878</v>
      </c>
      <c r="H15" s="50" t="s">
        <v>1713</v>
      </c>
      <c r="I15" s="18"/>
      <c r="J15" s="54"/>
    </row>
    <row r="16" spans="1:16" ht="80.099999999999994" customHeight="1">
      <c r="A16" s="59">
        <f t="shared" si="0"/>
        <v>9</v>
      </c>
      <c r="B16" s="14" t="s">
        <v>996</v>
      </c>
      <c r="C16" s="14" t="s">
        <v>54</v>
      </c>
      <c r="D16" s="50">
        <v>45777</v>
      </c>
      <c r="E16" s="50" t="s">
        <v>999</v>
      </c>
      <c r="F16" s="52"/>
      <c r="G16" s="50" t="s">
        <v>997</v>
      </c>
      <c r="H16" s="50" t="s">
        <v>998</v>
      </c>
      <c r="I16" s="18"/>
      <c r="J16" s="54"/>
    </row>
    <row r="17" spans="1:10" ht="80.099999999999994" customHeight="1">
      <c r="A17" s="59">
        <f t="shared" si="0"/>
        <v>10</v>
      </c>
      <c r="B17" s="14"/>
      <c r="C17" s="14"/>
      <c r="D17" s="18"/>
      <c r="E17" s="18"/>
      <c r="F17" s="18"/>
      <c r="G17" s="50"/>
      <c r="H17" s="18"/>
      <c r="I17" s="18"/>
      <c r="J17" s="54"/>
    </row>
    <row r="18" spans="1:10" ht="80.099999999999994" customHeight="1">
      <c r="A18" s="20">
        <f t="shared" si="0"/>
        <v>11</v>
      </c>
      <c r="B18" s="14"/>
      <c r="C18" s="14"/>
      <c r="D18" s="50"/>
      <c r="E18" s="18"/>
      <c r="F18" s="51"/>
      <c r="G18" s="18"/>
      <c r="H18" s="18"/>
      <c r="I18" s="19"/>
      <c r="J18" s="54"/>
    </row>
    <row r="19" spans="1:10" ht="80.099999999999994" customHeight="1">
      <c r="A19" s="20">
        <f t="shared" si="0"/>
        <v>12</v>
      </c>
      <c r="B19" s="14"/>
      <c r="C19" s="14"/>
      <c r="D19" s="18"/>
      <c r="E19" s="18"/>
      <c r="F19" s="18"/>
      <c r="G19" s="18"/>
      <c r="H19" s="18"/>
      <c r="I19" s="19"/>
      <c r="J19" s="54"/>
    </row>
    <row r="20" spans="1:10" ht="80.099999999999994" customHeight="1">
      <c r="A20" s="20">
        <f t="shared" si="0"/>
        <v>13</v>
      </c>
      <c r="B20" s="14"/>
      <c r="C20" s="14"/>
      <c r="D20" s="50"/>
      <c r="E20" s="18"/>
      <c r="F20" s="51"/>
      <c r="G20" s="18"/>
      <c r="H20" s="18"/>
      <c r="I20" s="19"/>
      <c r="J20" s="54"/>
    </row>
    <row r="21" spans="1:10" ht="32.25">
      <c r="A21" s="20"/>
      <c r="B21" s="14"/>
      <c r="C21" s="14"/>
      <c r="D21" s="23"/>
      <c r="E21" s="18"/>
      <c r="F21" s="18"/>
      <c r="G21" s="23"/>
      <c r="H21" s="18"/>
      <c r="I21" s="19"/>
      <c r="J21" s="54"/>
    </row>
    <row r="22" spans="1:10" ht="32.25">
      <c r="J22" s="54"/>
    </row>
    <row r="23" spans="1:10" ht="32.25">
      <c r="J23" s="54"/>
    </row>
    <row r="24" spans="1:10" ht="32.25">
      <c r="J24" s="54"/>
    </row>
    <row r="25" spans="1:10" ht="32.25">
      <c r="J25" s="54"/>
    </row>
    <row r="26" spans="1:10" ht="32.25">
      <c r="J26" s="56"/>
    </row>
  </sheetData>
  <mergeCells count="5">
    <mergeCell ref="A1:I1"/>
    <mergeCell ref="A2:G3"/>
    <mergeCell ref="H2:I2"/>
    <mergeCell ref="H3:I3"/>
    <mergeCell ref="H4:I4"/>
  </mergeCells>
  <phoneticPr fontId="31" type="noConversion"/>
  <printOptions horizontalCentered="1"/>
  <pageMargins left="0.23622047244094491" right="0.23622047244094491" top="0.70866141732283472" bottom="0.47244094488188981" header="0.19685039370078741" footer="0.19685039370078741"/>
  <pageSetup paperSize="9" scale="46" orientation="landscape" r:id="rId1"/>
  <headerFooter>
    <oddFooter>&amp;L&amp;"標楷體,粗體"&amp;36編制：&amp;C&amp;"標楷體,粗體"&amp;36校核：</oddFooter>
  </headerFooter>
  <rowBreaks count="1" manualBreakCount="1">
    <brk id="2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4"/>
  <sheetViews>
    <sheetView view="pageBreakPreview" zoomScaleNormal="85" zoomScaleSheetLayoutView="100" zoomScalePageLayoutView="85" workbookViewId="0">
      <pane ySplit="7" topLeftCell="A156" activePane="bottomLeft" state="frozen"/>
      <selection activeCell="E17" sqref="A17:N24"/>
      <selection pane="bottomLeft" activeCell="B162" sqref="B162"/>
    </sheetView>
  </sheetViews>
  <sheetFormatPr defaultColWidth="1.375" defaultRowHeight="14.25"/>
  <cols>
    <col min="1" max="1" width="4.25" style="69" customWidth="1"/>
    <col min="2" max="2" width="15" style="70" customWidth="1"/>
    <col min="3" max="3" width="8" style="71" customWidth="1"/>
    <col min="4" max="4" width="4.5" style="69" customWidth="1"/>
    <col min="5" max="5" width="9.125" style="69" customWidth="1"/>
    <col min="6" max="6" width="8.375" style="69" customWidth="1"/>
    <col min="7" max="7" width="5.625" style="69" customWidth="1"/>
    <col min="8" max="12" width="4.25" style="69" customWidth="1"/>
    <col min="13" max="13" width="13.75" style="69" customWidth="1"/>
    <col min="14" max="14" width="13.375" style="69" customWidth="1"/>
    <col min="15" max="16384" width="1.375" style="69"/>
  </cols>
  <sheetData>
    <row r="1" spans="1:14" s="119" customFormat="1" ht="25.5">
      <c r="A1" s="256" t="s">
        <v>468</v>
      </c>
      <c r="B1" s="256"/>
      <c r="C1" s="256"/>
      <c r="D1" s="256"/>
      <c r="E1" s="256"/>
      <c r="F1" s="256"/>
      <c r="G1" s="256"/>
      <c r="H1" s="256"/>
      <c r="I1" s="256"/>
      <c r="J1" s="256"/>
      <c r="K1" s="256"/>
      <c r="L1" s="256"/>
      <c r="M1" s="256"/>
      <c r="N1" s="256"/>
    </row>
    <row r="2" spans="1:14" s="119" customFormat="1" ht="20.25" customHeight="1">
      <c r="A2" s="256" t="s">
        <v>39</v>
      </c>
      <c r="B2" s="257"/>
      <c r="C2" s="257"/>
      <c r="D2" s="257"/>
      <c r="E2" s="257"/>
      <c r="F2" s="257"/>
      <c r="G2" s="257"/>
      <c r="H2" s="257"/>
      <c r="I2" s="257"/>
      <c r="J2" s="257"/>
      <c r="K2" s="257"/>
      <c r="L2" s="257"/>
      <c r="M2" s="257"/>
      <c r="N2" s="257"/>
    </row>
    <row r="3" spans="1:14" s="120" customFormat="1" ht="19.899999999999999" customHeight="1">
      <c r="A3" s="258" t="s">
        <v>1380</v>
      </c>
      <c r="B3" s="258"/>
      <c r="C3" s="258"/>
      <c r="D3" s="258"/>
      <c r="E3" s="258"/>
      <c r="F3" s="258"/>
      <c r="G3" s="258"/>
      <c r="H3" s="258"/>
      <c r="I3" s="258"/>
      <c r="J3" s="258" t="s">
        <v>61</v>
      </c>
      <c r="K3" s="258"/>
      <c r="L3" s="258"/>
      <c r="M3" s="258"/>
      <c r="N3" s="258"/>
    </row>
    <row r="4" spans="1:14" s="120" customFormat="1" ht="16.5" customHeight="1">
      <c r="A4" s="258" t="s">
        <v>1381</v>
      </c>
      <c r="B4" s="258"/>
      <c r="C4" s="258"/>
      <c r="D4" s="258"/>
      <c r="E4" s="258"/>
      <c r="F4" s="258"/>
      <c r="G4" s="258"/>
      <c r="H4" s="258"/>
      <c r="I4" s="258"/>
      <c r="J4" s="258" t="s">
        <v>1382</v>
      </c>
      <c r="K4" s="258"/>
      <c r="L4" s="258"/>
      <c r="M4" s="258"/>
      <c r="N4" s="258"/>
    </row>
    <row r="5" spans="1:14" ht="33.75" customHeight="1">
      <c r="A5" s="243" t="s">
        <v>1</v>
      </c>
      <c r="B5" s="243" t="s">
        <v>1241</v>
      </c>
      <c r="C5" s="245" t="s">
        <v>2</v>
      </c>
      <c r="D5" s="243" t="s">
        <v>615</v>
      </c>
      <c r="E5" s="243" t="s">
        <v>1242</v>
      </c>
      <c r="F5" s="243" t="s">
        <v>41</v>
      </c>
      <c r="G5" s="243" t="s">
        <v>577</v>
      </c>
      <c r="H5" s="243" t="s">
        <v>30</v>
      </c>
      <c r="I5" s="243"/>
      <c r="J5" s="243"/>
      <c r="K5" s="243"/>
      <c r="L5" s="243"/>
      <c r="M5" s="41" t="s">
        <v>1243</v>
      </c>
      <c r="N5" s="243" t="s">
        <v>31</v>
      </c>
    </row>
    <row r="6" spans="1:14" ht="27.2" customHeight="1">
      <c r="A6" s="243"/>
      <c r="B6" s="243"/>
      <c r="C6" s="245"/>
      <c r="D6" s="243"/>
      <c r="E6" s="243"/>
      <c r="F6" s="243"/>
      <c r="G6" s="243"/>
      <c r="H6" s="243" t="s">
        <v>32</v>
      </c>
      <c r="I6" s="243" t="s">
        <v>33</v>
      </c>
      <c r="J6" s="243" t="s">
        <v>34</v>
      </c>
      <c r="K6" s="243" t="s">
        <v>42</v>
      </c>
      <c r="L6" s="243" t="s">
        <v>35</v>
      </c>
      <c r="M6" s="243" t="s">
        <v>1244</v>
      </c>
      <c r="N6" s="243"/>
    </row>
    <row r="7" spans="1:14" ht="49.5" customHeight="1">
      <c r="A7" s="243"/>
      <c r="B7" s="41" t="s">
        <v>614</v>
      </c>
      <c r="C7" s="245"/>
      <c r="D7" s="243"/>
      <c r="E7" s="41" t="s">
        <v>1245</v>
      </c>
      <c r="F7" s="41" t="s">
        <v>43</v>
      </c>
      <c r="G7" s="243"/>
      <c r="H7" s="243"/>
      <c r="I7" s="243"/>
      <c r="J7" s="243"/>
      <c r="K7" s="243"/>
      <c r="L7" s="243"/>
      <c r="M7" s="243"/>
      <c r="N7" s="243"/>
    </row>
    <row r="8" spans="1:14" ht="179.25" customHeight="1">
      <c r="A8" s="221" t="s">
        <v>1433</v>
      </c>
      <c r="B8" s="87" t="s">
        <v>1254</v>
      </c>
      <c r="C8" s="245" t="s">
        <v>1553</v>
      </c>
      <c r="D8" s="243" t="s">
        <v>1246</v>
      </c>
      <c r="E8" s="122" t="s">
        <v>1247</v>
      </c>
      <c r="F8" s="41" t="s">
        <v>1248</v>
      </c>
      <c r="G8" s="244" t="s">
        <v>578</v>
      </c>
      <c r="H8" s="241" t="s">
        <v>64</v>
      </c>
      <c r="I8" s="241"/>
      <c r="J8" s="241" t="s">
        <v>64</v>
      </c>
      <c r="K8" s="241"/>
      <c r="L8" s="241"/>
      <c r="M8" s="41" t="s">
        <v>96</v>
      </c>
      <c r="N8" s="242" t="s">
        <v>95</v>
      </c>
    </row>
    <row r="9" spans="1:14" ht="70.5" customHeight="1">
      <c r="A9" s="220"/>
      <c r="B9" s="41" t="s">
        <v>1255</v>
      </c>
      <c r="C9" s="246"/>
      <c r="D9" s="243"/>
      <c r="E9" s="121" t="s">
        <v>1256</v>
      </c>
      <c r="F9" s="41" t="s">
        <v>109</v>
      </c>
      <c r="G9" s="244"/>
      <c r="H9" s="241"/>
      <c r="I9" s="241"/>
      <c r="J9" s="241"/>
      <c r="K9" s="241"/>
      <c r="L9" s="241"/>
      <c r="M9" s="86" t="s">
        <v>48</v>
      </c>
      <c r="N9" s="242"/>
    </row>
    <row r="10" spans="1:14" ht="120.75" customHeight="1">
      <c r="A10" s="221" t="s">
        <v>1434</v>
      </c>
      <c r="B10" s="87" t="s">
        <v>1436</v>
      </c>
      <c r="C10" s="245" t="s">
        <v>1437</v>
      </c>
      <c r="D10" s="243" t="s">
        <v>1246</v>
      </c>
      <c r="E10" s="122" t="s">
        <v>1259</v>
      </c>
      <c r="F10" s="41" t="s">
        <v>1248</v>
      </c>
      <c r="G10" s="244" t="s">
        <v>578</v>
      </c>
      <c r="H10" s="241" t="s">
        <v>64</v>
      </c>
      <c r="I10" s="241"/>
      <c r="J10" s="241" t="s">
        <v>64</v>
      </c>
      <c r="K10" s="241"/>
      <c r="L10" s="241"/>
      <c r="M10" s="41" t="s">
        <v>132</v>
      </c>
      <c r="N10" s="242" t="s">
        <v>270</v>
      </c>
    </row>
    <row r="11" spans="1:14" ht="30" customHeight="1">
      <c r="A11" s="220"/>
      <c r="B11" s="41" t="s">
        <v>1260</v>
      </c>
      <c r="C11" s="246"/>
      <c r="D11" s="243"/>
      <c r="E11" s="122" t="s">
        <v>1261</v>
      </c>
      <c r="F11" s="41" t="s">
        <v>109</v>
      </c>
      <c r="G11" s="244"/>
      <c r="H11" s="241"/>
      <c r="I11" s="241"/>
      <c r="J11" s="241"/>
      <c r="K11" s="241"/>
      <c r="L11" s="241"/>
      <c r="M11" s="86" t="s">
        <v>48</v>
      </c>
      <c r="N11" s="242"/>
    </row>
    <row r="12" spans="1:14" ht="65.099999999999994" customHeight="1">
      <c r="A12" s="221" t="s">
        <v>1435</v>
      </c>
      <c r="B12" s="87" t="s">
        <v>1262</v>
      </c>
      <c r="C12" s="245" t="s">
        <v>122</v>
      </c>
      <c r="D12" s="243" t="s">
        <v>1246</v>
      </c>
      <c r="E12" s="122" t="s">
        <v>1263</v>
      </c>
      <c r="F12" s="41" t="s">
        <v>1248</v>
      </c>
      <c r="G12" s="244" t="s">
        <v>581</v>
      </c>
      <c r="H12" s="241" t="s">
        <v>64</v>
      </c>
      <c r="I12" s="241" t="s">
        <v>64</v>
      </c>
      <c r="J12" s="241" t="s">
        <v>64</v>
      </c>
      <c r="K12" s="241" t="s">
        <v>64</v>
      </c>
      <c r="L12" s="241" t="s">
        <v>64</v>
      </c>
      <c r="M12" s="41" t="s">
        <v>102</v>
      </c>
      <c r="N12" s="242" t="s">
        <v>120</v>
      </c>
    </row>
    <row r="13" spans="1:14" ht="32.1" customHeight="1">
      <c r="A13" s="220"/>
      <c r="B13" s="41" t="s">
        <v>1264</v>
      </c>
      <c r="C13" s="246"/>
      <c r="D13" s="243"/>
      <c r="E13" s="122" t="s">
        <v>1265</v>
      </c>
      <c r="F13" s="41" t="s">
        <v>109</v>
      </c>
      <c r="G13" s="244"/>
      <c r="H13" s="241"/>
      <c r="I13" s="241"/>
      <c r="J13" s="241"/>
      <c r="K13" s="241"/>
      <c r="L13" s="241"/>
      <c r="M13" s="86" t="s">
        <v>48</v>
      </c>
      <c r="N13" s="242"/>
    </row>
    <row r="14" spans="1:14" ht="57.95" customHeight="1">
      <c r="A14" s="259" t="s">
        <v>1525</v>
      </c>
      <c r="B14" s="87" t="s">
        <v>20</v>
      </c>
      <c r="C14" s="245" t="s">
        <v>667</v>
      </c>
      <c r="D14" s="243" t="s">
        <v>1246</v>
      </c>
      <c r="E14" s="122" t="s">
        <v>1368</v>
      </c>
      <c r="F14" s="41" t="s">
        <v>1248</v>
      </c>
      <c r="G14" s="244" t="s">
        <v>578</v>
      </c>
      <c r="H14" s="241" t="s">
        <v>64</v>
      </c>
      <c r="I14" s="241"/>
      <c r="J14" s="241" t="s">
        <v>64</v>
      </c>
      <c r="K14" s="241"/>
      <c r="L14" s="241"/>
      <c r="M14" s="41" t="s">
        <v>1369</v>
      </c>
      <c r="N14" s="242" t="s">
        <v>666</v>
      </c>
    </row>
    <row r="15" spans="1:14" ht="30" customHeight="1">
      <c r="A15" s="241"/>
      <c r="B15" s="41" t="s">
        <v>1370</v>
      </c>
      <c r="C15" s="246"/>
      <c r="D15" s="243"/>
      <c r="E15" s="122" t="s">
        <v>1368</v>
      </c>
      <c r="F15" s="41" t="s">
        <v>109</v>
      </c>
      <c r="G15" s="244"/>
      <c r="H15" s="241"/>
      <c r="I15" s="241"/>
      <c r="J15" s="241"/>
      <c r="K15" s="241"/>
      <c r="L15" s="241"/>
      <c r="M15" s="86" t="s">
        <v>48</v>
      </c>
      <c r="N15" s="242"/>
    </row>
    <row r="16" spans="1:14" ht="54" customHeight="1">
      <c r="A16" s="247" t="s">
        <v>47</v>
      </c>
      <c r="B16" s="248"/>
      <c r="C16" s="248"/>
      <c r="D16" s="248"/>
      <c r="E16" s="249"/>
      <c r="F16" s="251" t="s">
        <v>1754</v>
      </c>
      <c r="G16" s="252"/>
      <c r="H16" s="252"/>
      <c r="I16" s="252"/>
      <c r="J16" s="252"/>
      <c r="K16" s="252"/>
      <c r="L16" s="251" t="s">
        <v>1755</v>
      </c>
      <c r="M16" s="252"/>
      <c r="N16" s="252"/>
    </row>
    <row r="17" spans="1:14">
      <c r="A17" s="240" t="s">
        <v>1257</v>
      </c>
      <c r="B17" s="240"/>
      <c r="C17" s="240"/>
      <c r="D17" s="240"/>
      <c r="E17" s="240"/>
      <c r="F17" s="240"/>
      <c r="G17" s="240"/>
      <c r="H17" s="240"/>
      <c r="I17" s="240"/>
      <c r="J17" s="240"/>
      <c r="K17" s="240"/>
      <c r="L17" s="240"/>
      <c r="M17" s="240"/>
      <c r="N17" s="240"/>
    </row>
    <row r="18" spans="1:14">
      <c r="A18" s="95"/>
      <c r="B18" s="240" t="s">
        <v>1258</v>
      </c>
      <c r="C18" s="240"/>
      <c r="D18" s="240"/>
      <c r="E18" s="240"/>
      <c r="F18" s="240"/>
      <c r="G18" s="240"/>
      <c r="H18" s="240"/>
      <c r="I18" s="240"/>
      <c r="J18" s="240"/>
      <c r="K18" s="240"/>
      <c r="L18" s="240"/>
      <c r="M18" s="240"/>
      <c r="N18" s="240"/>
    </row>
    <row r="19" spans="1:14">
      <c r="A19" s="95"/>
      <c r="B19" s="240" t="s">
        <v>1145</v>
      </c>
      <c r="C19" s="240"/>
      <c r="D19" s="240"/>
      <c r="E19" s="240"/>
      <c r="F19" s="240"/>
      <c r="G19" s="240"/>
      <c r="H19" s="240"/>
      <c r="I19" s="240"/>
      <c r="J19" s="240"/>
      <c r="K19" s="240"/>
      <c r="L19" s="240"/>
      <c r="M19" s="240"/>
      <c r="N19" s="240"/>
    </row>
    <row r="20" spans="1:14">
      <c r="A20" s="95"/>
      <c r="B20" s="240" t="s">
        <v>1146</v>
      </c>
      <c r="C20" s="240"/>
      <c r="D20" s="240"/>
      <c r="E20" s="240"/>
      <c r="F20" s="240"/>
      <c r="G20" s="240"/>
      <c r="H20" s="240"/>
      <c r="I20" s="240"/>
      <c r="J20" s="240"/>
      <c r="K20" s="240"/>
      <c r="L20" s="240"/>
      <c r="M20" s="240"/>
      <c r="N20" s="240"/>
    </row>
    <row r="21" spans="1:14" ht="65.099999999999994" customHeight="1">
      <c r="A21" s="241">
        <v>2</v>
      </c>
      <c r="B21" s="101" t="s">
        <v>1052</v>
      </c>
      <c r="C21" s="245" t="s">
        <v>1561</v>
      </c>
      <c r="D21" s="243" t="s">
        <v>1246</v>
      </c>
      <c r="E21" s="121" t="s">
        <v>1251</v>
      </c>
      <c r="F21" s="41" t="s">
        <v>1248</v>
      </c>
      <c r="G21" s="244" t="s">
        <v>578</v>
      </c>
      <c r="H21" s="241"/>
      <c r="I21" s="241" t="s">
        <v>64</v>
      </c>
      <c r="J21" s="241" t="s">
        <v>64</v>
      </c>
      <c r="K21" s="241"/>
      <c r="L21" s="241"/>
      <c r="M21" s="41" t="s">
        <v>507</v>
      </c>
      <c r="N21" s="242" t="s">
        <v>508</v>
      </c>
    </row>
    <row r="22" spans="1:14" ht="58.5" customHeight="1">
      <c r="A22" s="241"/>
      <c r="B22" s="104" t="s">
        <v>129</v>
      </c>
      <c r="C22" s="246"/>
      <c r="D22" s="243"/>
      <c r="E22" s="121" t="s">
        <v>1269</v>
      </c>
      <c r="F22" s="41" t="s">
        <v>109</v>
      </c>
      <c r="G22" s="244"/>
      <c r="H22" s="241"/>
      <c r="I22" s="241"/>
      <c r="J22" s="241"/>
      <c r="K22" s="241"/>
      <c r="L22" s="241"/>
      <c r="M22" s="86" t="s">
        <v>48</v>
      </c>
      <c r="N22" s="242"/>
    </row>
    <row r="23" spans="1:14" ht="90" customHeight="1">
      <c r="A23" s="241">
        <v>3</v>
      </c>
      <c r="B23" s="87" t="s">
        <v>63</v>
      </c>
      <c r="C23" s="245" t="s">
        <v>1562</v>
      </c>
      <c r="D23" s="243" t="s">
        <v>1246</v>
      </c>
      <c r="E23" s="121" t="s">
        <v>1247</v>
      </c>
      <c r="F23" s="41" t="s">
        <v>1248</v>
      </c>
      <c r="G23" s="244" t="s">
        <v>578</v>
      </c>
      <c r="H23" s="241" t="s">
        <v>64</v>
      </c>
      <c r="I23" s="241"/>
      <c r="J23" s="241" t="s">
        <v>64</v>
      </c>
      <c r="K23" s="241"/>
      <c r="L23" s="241"/>
      <c r="M23" s="41" t="s">
        <v>93</v>
      </c>
      <c r="N23" s="242" t="s">
        <v>94</v>
      </c>
    </row>
    <row r="24" spans="1:14" ht="30" customHeight="1">
      <c r="A24" s="241"/>
      <c r="B24" s="41" t="s">
        <v>62</v>
      </c>
      <c r="C24" s="246"/>
      <c r="D24" s="243"/>
      <c r="E24" s="121" t="s">
        <v>1249</v>
      </c>
      <c r="F24" s="41" t="s">
        <v>109</v>
      </c>
      <c r="G24" s="244"/>
      <c r="H24" s="241"/>
      <c r="I24" s="241"/>
      <c r="J24" s="241"/>
      <c r="K24" s="241"/>
      <c r="L24" s="241"/>
      <c r="M24" s="86" t="s">
        <v>48</v>
      </c>
      <c r="N24" s="242"/>
    </row>
    <row r="25" spans="1:14" ht="235.5" customHeight="1">
      <c r="A25" s="241">
        <v>4</v>
      </c>
      <c r="B25" s="87" t="s">
        <v>1277</v>
      </c>
      <c r="C25" s="245" t="s">
        <v>1563</v>
      </c>
      <c r="D25" s="243" t="s">
        <v>1246</v>
      </c>
      <c r="E25" s="122" t="s">
        <v>1278</v>
      </c>
      <c r="F25" s="41" t="s">
        <v>1248</v>
      </c>
      <c r="G25" s="244" t="s">
        <v>1521</v>
      </c>
      <c r="H25" s="241" t="s">
        <v>64</v>
      </c>
      <c r="I25" s="241" t="s">
        <v>64</v>
      </c>
      <c r="J25" s="241" t="s">
        <v>64</v>
      </c>
      <c r="K25" s="241" t="s">
        <v>64</v>
      </c>
      <c r="L25" s="241"/>
      <c r="M25" s="41" t="s">
        <v>1279</v>
      </c>
      <c r="N25" s="242" t="s">
        <v>1280</v>
      </c>
    </row>
    <row r="26" spans="1:14" ht="30" customHeight="1">
      <c r="A26" s="241"/>
      <c r="B26" s="41" t="s">
        <v>1281</v>
      </c>
      <c r="C26" s="246"/>
      <c r="D26" s="243"/>
      <c r="E26" s="122" t="s">
        <v>1259</v>
      </c>
      <c r="F26" s="41" t="s">
        <v>109</v>
      </c>
      <c r="G26" s="244"/>
      <c r="H26" s="241"/>
      <c r="I26" s="241"/>
      <c r="J26" s="241"/>
      <c r="K26" s="241"/>
      <c r="L26" s="241"/>
      <c r="M26" s="86" t="s">
        <v>48</v>
      </c>
      <c r="N26" s="242"/>
    </row>
    <row r="27" spans="1:14" ht="66.75" customHeight="1">
      <c r="A27" s="241">
        <v>5</v>
      </c>
      <c r="B27" s="87" t="s">
        <v>1325</v>
      </c>
      <c r="C27" s="245" t="s">
        <v>110</v>
      </c>
      <c r="D27" s="243" t="s">
        <v>1246</v>
      </c>
      <c r="E27" s="122" t="s">
        <v>1266</v>
      </c>
      <c r="F27" s="41" t="s">
        <v>1248</v>
      </c>
      <c r="G27" s="244" t="s">
        <v>582</v>
      </c>
      <c r="H27" s="241" t="s">
        <v>64</v>
      </c>
      <c r="I27" s="241"/>
      <c r="J27" s="241" t="s">
        <v>64</v>
      </c>
      <c r="K27" s="241"/>
      <c r="L27" s="241"/>
      <c r="M27" s="41" t="s">
        <v>498</v>
      </c>
      <c r="N27" s="242" t="s">
        <v>305</v>
      </c>
    </row>
    <row r="28" spans="1:14" ht="24" customHeight="1">
      <c r="A28" s="241"/>
      <c r="B28" s="41" t="s">
        <v>1326</v>
      </c>
      <c r="C28" s="246"/>
      <c r="D28" s="243"/>
      <c r="E28" s="122" t="s">
        <v>1327</v>
      </c>
      <c r="F28" s="41" t="s">
        <v>109</v>
      </c>
      <c r="G28" s="244"/>
      <c r="H28" s="241"/>
      <c r="I28" s="241"/>
      <c r="J28" s="241"/>
      <c r="K28" s="241"/>
      <c r="L28" s="241"/>
      <c r="M28" s="86" t="s">
        <v>48</v>
      </c>
      <c r="N28" s="242"/>
    </row>
    <row r="29" spans="1:14" ht="54" customHeight="1">
      <c r="A29" s="250" t="s">
        <v>47</v>
      </c>
      <c r="B29" s="250"/>
      <c r="C29" s="250"/>
      <c r="D29" s="250"/>
      <c r="E29" s="250"/>
      <c r="F29" s="251" t="s">
        <v>1753</v>
      </c>
      <c r="G29" s="252"/>
      <c r="H29" s="252"/>
      <c r="I29" s="252"/>
      <c r="J29" s="252"/>
      <c r="K29" s="252"/>
      <c r="L29" s="251" t="s">
        <v>1755</v>
      </c>
      <c r="M29" s="252"/>
      <c r="N29" s="252"/>
    </row>
    <row r="30" spans="1:14">
      <c r="A30" s="240" t="s">
        <v>1257</v>
      </c>
      <c r="B30" s="240"/>
      <c r="C30" s="240"/>
      <c r="D30" s="240"/>
      <c r="E30" s="240"/>
      <c r="F30" s="240"/>
      <c r="G30" s="240"/>
      <c r="H30" s="240"/>
      <c r="I30" s="240"/>
      <c r="J30" s="240"/>
      <c r="K30" s="240"/>
      <c r="L30" s="240"/>
      <c r="M30" s="240"/>
      <c r="N30" s="240"/>
    </row>
    <row r="31" spans="1:14">
      <c r="A31" s="95"/>
      <c r="B31" s="240" t="s">
        <v>1258</v>
      </c>
      <c r="C31" s="240"/>
      <c r="D31" s="240"/>
      <c r="E31" s="240"/>
      <c r="F31" s="240"/>
      <c r="G31" s="240"/>
      <c r="H31" s="240"/>
      <c r="I31" s="240"/>
      <c r="J31" s="240"/>
      <c r="K31" s="240"/>
      <c r="L31" s="240"/>
      <c r="M31" s="240"/>
      <c r="N31" s="240"/>
    </row>
    <row r="32" spans="1:14">
      <c r="A32" s="95"/>
      <c r="B32" s="240" t="s">
        <v>1145</v>
      </c>
      <c r="C32" s="240"/>
      <c r="D32" s="240"/>
      <c r="E32" s="240"/>
      <c r="F32" s="240"/>
      <c r="G32" s="240"/>
      <c r="H32" s="240"/>
      <c r="I32" s="240"/>
      <c r="J32" s="240"/>
      <c r="K32" s="240"/>
      <c r="L32" s="240"/>
      <c r="M32" s="240"/>
      <c r="N32" s="240"/>
    </row>
    <row r="33" spans="1:14">
      <c r="A33" s="95"/>
      <c r="B33" s="240" t="s">
        <v>1146</v>
      </c>
      <c r="C33" s="240"/>
      <c r="D33" s="240"/>
      <c r="E33" s="240"/>
      <c r="F33" s="240"/>
      <c r="G33" s="240"/>
      <c r="H33" s="240"/>
      <c r="I33" s="240"/>
      <c r="J33" s="240"/>
      <c r="K33" s="240"/>
      <c r="L33" s="240"/>
      <c r="M33" s="240"/>
      <c r="N33" s="240"/>
    </row>
    <row r="34" spans="1:14" ht="74.25" customHeight="1">
      <c r="A34" s="241">
        <f>A27+1</f>
        <v>6</v>
      </c>
      <c r="B34" s="87" t="s">
        <v>1441</v>
      </c>
      <c r="C34" s="245" t="s">
        <v>111</v>
      </c>
      <c r="D34" s="243" t="s">
        <v>1246</v>
      </c>
      <c r="E34" s="122" t="s">
        <v>1266</v>
      </c>
      <c r="F34" s="41" t="s">
        <v>1248</v>
      </c>
      <c r="G34" s="244" t="s">
        <v>585</v>
      </c>
      <c r="H34" s="241" t="s">
        <v>64</v>
      </c>
      <c r="I34" s="241"/>
      <c r="J34" s="241" t="s">
        <v>64</v>
      </c>
      <c r="K34" s="241" t="s">
        <v>64</v>
      </c>
      <c r="L34" s="241"/>
      <c r="M34" s="41" t="s">
        <v>497</v>
      </c>
      <c r="N34" s="242" t="s">
        <v>304</v>
      </c>
    </row>
    <row r="35" spans="1:14" ht="74.25" customHeight="1">
      <c r="A35" s="241"/>
      <c r="B35" s="41" t="s">
        <v>1328</v>
      </c>
      <c r="C35" s="246"/>
      <c r="D35" s="243"/>
      <c r="E35" s="122" t="s">
        <v>1329</v>
      </c>
      <c r="F35" s="41" t="s">
        <v>109</v>
      </c>
      <c r="G35" s="244"/>
      <c r="H35" s="241"/>
      <c r="I35" s="241"/>
      <c r="J35" s="241"/>
      <c r="K35" s="241"/>
      <c r="L35" s="241"/>
      <c r="M35" s="86" t="s">
        <v>48</v>
      </c>
      <c r="N35" s="242"/>
    </row>
    <row r="36" spans="1:14" ht="74.25" customHeight="1">
      <c r="A36" s="241">
        <f>A34+1</f>
        <v>7</v>
      </c>
      <c r="B36" s="87" t="s">
        <v>1330</v>
      </c>
      <c r="C36" s="245" t="s">
        <v>1566</v>
      </c>
      <c r="D36" s="243" t="s">
        <v>1246</v>
      </c>
      <c r="E36" s="122" t="s">
        <v>1266</v>
      </c>
      <c r="F36" s="41" t="s">
        <v>1248</v>
      </c>
      <c r="G36" s="244" t="s">
        <v>585</v>
      </c>
      <c r="H36" s="241" t="s">
        <v>64</v>
      </c>
      <c r="I36" s="241"/>
      <c r="J36" s="241" t="s">
        <v>64</v>
      </c>
      <c r="K36" s="241"/>
      <c r="L36" s="241"/>
      <c r="M36" s="41" t="s">
        <v>497</v>
      </c>
      <c r="N36" s="242" t="s">
        <v>304</v>
      </c>
    </row>
    <row r="37" spans="1:14" ht="74.25" customHeight="1">
      <c r="A37" s="241"/>
      <c r="B37" s="41" t="s">
        <v>1331</v>
      </c>
      <c r="C37" s="246"/>
      <c r="D37" s="243"/>
      <c r="E37" s="122" t="s">
        <v>1329</v>
      </c>
      <c r="F37" s="41" t="s">
        <v>109</v>
      </c>
      <c r="G37" s="244"/>
      <c r="H37" s="241"/>
      <c r="I37" s="241"/>
      <c r="J37" s="241"/>
      <c r="K37" s="241"/>
      <c r="L37" s="241"/>
      <c r="M37" s="86" t="s">
        <v>48</v>
      </c>
      <c r="N37" s="242"/>
    </row>
    <row r="38" spans="1:14" ht="74.25" customHeight="1">
      <c r="A38" s="241">
        <f>A36+1</f>
        <v>8</v>
      </c>
      <c r="B38" s="87" t="s">
        <v>1296</v>
      </c>
      <c r="C38" s="245" t="s">
        <v>1575</v>
      </c>
      <c r="D38" s="243" t="s">
        <v>1246</v>
      </c>
      <c r="E38" s="122" t="s">
        <v>1278</v>
      </c>
      <c r="F38" s="41" t="s">
        <v>1248</v>
      </c>
      <c r="G38" s="244" t="s">
        <v>1522</v>
      </c>
      <c r="H38" s="241"/>
      <c r="I38" s="241"/>
      <c r="J38" s="241" t="s">
        <v>64</v>
      </c>
      <c r="K38" s="241"/>
      <c r="L38" s="241"/>
      <c r="M38" s="41" t="s">
        <v>140</v>
      </c>
      <c r="N38" s="242" t="s">
        <v>139</v>
      </c>
    </row>
    <row r="39" spans="1:14" ht="74.25" customHeight="1">
      <c r="A39" s="241"/>
      <c r="B39" s="41" t="s">
        <v>1297</v>
      </c>
      <c r="C39" s="246"/>
      <c r="D39" s="243"/>
      <c r="E39" s="122" t="s">
        <v>1252</v>
      </c>
      <c r="F39" s="41" t="s">
        <v>109</v>
      </c>
      <c r="G39" s="244"/>
      <c r="H39" s="241"/>
      <c r="I39" s="241"/>
      <c r="J39" s="241"/>
      <c r="K39" s="241"/>
      <c r="L39" s="241"/>
      <c r="M39" s="86" t="s">
        <v>48</v>
      </c>
      <c r="N39" s="242"/>
    </row>
    <row r="40" spans="1:14" ht="74.25" customHeight="1">
      <c r="A40" s="241">
        <f>A38+1</f>
        <v>9</v>
      </c>
      <c r="B40" s="87" t="s">
        <v>1440</v>
      </c>
      <c r="C40" s="245" t="s">
        <v>1576</v>
      </c>
      <c r="D40" s="243" t="s">
        <v>1250</v>
      </c>
      <c r="E40" s="122" t="s">
        <v>1251</v>
      </c>
      <c r="F40" s="41" t="s">
        <v>1248</v>
      </c>
      <c r="G40" s="244" t="s">
        <v>580</v>
      </c>
      <c r="H40" s="241" t="s">
        <v>1253</v>
      </c>
      <c r="I40" s="241"/>
      <c r="J40" s="241" t="s">
        <v>64</v>
      </c>
      <c r="K40" s="241"/>
      <c r="L40" s="241"/>
      <c r="M40" s="41" t="s">
        <v>136</v>
      </c>
      <c r="N40" s="242" t="s">
        <v>144</v>
      </c>
    </row>
    <row r="41" spans="1:14" ht="74.25" customHeight="1">
      <c r="A41" s="241"/>
      <c r="B41" s="41" t="s">
        <v>922</v>
      </c>
      <c r="C41" s="246"/>
      <c r="D41" s="243"/>
      <c r="E41" s="122" t="s">
        <v>1252</v>
      </c>
      <c r="F41" s="41" t="s">
        <v>109</v>
      </c>
      <c r="G41" s="244"/>
      <c r="H41" s="241"/>
      <c r="I41" s="241"/>
      <c r="J41" s="241"/>
      <c r="K41" s="241"/>
      <c r="L41" s="241"/>
      <c r="M41" s="86" t="s">
        <v>48</v>
      </c>
      <c r="N41" s="242"/>
    </row>
    <row r="42" spans="1:14" ht="54" customHeight="1">
      <c r="A42" s="250" t="s">
        <v>47</v>
      </c>
      <c r="B42" s="250"/>
      <c r="C42" s="250"/>
      <c r="D42" s="250"/>
      <c r="E42" s="250"/>
      <c r="F42" s="251" t="s">
        <v>1753</v>
      </c>
      <c r="G42" s="252"/>
      <c r="H42" s="252"/>
      <c r="I42" s="252"/>
      <c r="J42" s="252"/>
      <c r="K42" s="252"/>
      <c r="L42" s="251" t="s">
        <v>1755</v>
      </c>
      <c r="M42" s="252"/>
      <c r="N42" s="252"/>
    </row>
    <row r="43" spans="1:14">
      <c r="A43" s="240" t="s">
        <v>1257</v>
      </c>
      <c r="B43" s="240"/>
      <c r="C43" s="240"/>
      <c r="D43" s="240"/>
      <c r="E43" s="240"/>
      <c r="F43" s="240"/>
      <c r="G43" s="240"/>
      <c r="H43" s="240"/>
      <c r="I43" s="240"/>
      <c r="J43" s="240"/>
      <c r="K43" s="240"/>
      <c r="L43" s="240"/>
      <c r="M43" s="240"/>
      <c r="N43" s="240"/>
    </row>
    <row r="44" spans="1:14">
      <c r="A44" s="95"/>
      <c r="B44" s="240" t="s">
        <v>1258</v>
      </c>
      <c r="C44" s="240"/>
      <c r="D44" s="240"/>
      <c r="E44" s="240"/>
      <c r="F44" s="240"/>
      <c r="G44" s="240"/>
      <c r="H44" s="240"/>
      <c r="I44" s="240"/>
      <c r="J44" s="240"/>
      <c r="K44" s="240"/>
      <c r="L44" s="240"/>
      <c r="M44" s="240"/>
      <c r="N44" s="240"/>
    </row>
    <row r="45" spans="1:14">
      <c r="A45" s="95"/>
      <c r="B45" s="240" t="s">
        <v>1145</v>
      </c>
      <c r="C45" s="240"/>
      <c r="D45" s="240"/>
      <c r="E45" s="240"/>
      <c r="F45" s="240"/>
      <c r="G45" s="240"/>
      <c r="H45" s="240"/>
      <c r="I45" s="240"/>
      <c r="J45" s="240"/>
      <c r="K45" s="240"/>
      <c r="L45" s="240"/>
      <c r="M45" s="240"/>
      <c r="N45" s="240"/>
    </row>
    <row r="46" spans="1:14">
      <c r="A46" s="95"/>
      <c r="B46" s="240" t="s">
        <v>1146</v>
      </c>
      <c r="C46" s="240"/>
      <c r="D46" s="240"/>
      <c r="E46" s="240"/>
      <c r="F46" s="240"/>
      <c r="G46" s="240"/>
      <c r="H46" s="240"/>
      <c r="I46" s="240"/>
      <c r="J46" s="240"/>
      <c r="K46" s="240"/>
      <c r="L46" s="240"/>
      <c r="M46" s="240"/>
      <c r="N46" s="240"/>
    </row>
    <row r="47" spans="1:14" ht="67.5" customHeight="1">
      <c r="A47" s="241">
        <f>A40+1</f>
        <v>10</v>
      </c>
      <c r="B47" s="87" t="s">
        <v>20</v>
      </c>
      <c r="C47" s="245" t="s">
        <v>667</v>
      </c>
      <c r="D47" s="243" t="s">
        <v>1246</v>
      </c>
      <c r="E47" s="122" t="s">
        <v>1371</v>
      </c>
      <c r="F47" s="41" t="s">
        <v>1248</v>
      </c>
      <c r="G47" s="244" t="s">
        <v>668</v>
      </c>
      <c r="H47" s="241" t="s">
        <v>64</v>
      </c>
      <c r="I47" s="241"/>
      <c r="J47" s="241"/>
      <c r="K47" s="241"/>
      <c r="L47" s="241"/>
      <c r="M47" s="41" t="s">
        <v>1372</v>
      </c>
      <c r="N47" s="242" t="s">
        <v>669</v>
      </c>
    </row>
    <row r="48" spans="1:14" ht="67.5" customHeight="1">
      <c r="A48" s="241"/>
      <c r="B48" s="41" t="s">
        <v>1373</v>
      </c>
      <c r="C48" s="246"/>
      <c r="D48" s="243"/>
      <c r="E48" s="122" t="s">
        <v>1374</v>
      </c>
      <c r="F48" s="41" t="s">
        <v>109</v>
      </c>
      <c r="G48" s="244"/>
      <c r="H48" s="241"/>
      <c r="I48" s="241"/>
      <c r="J48" s="241"/>
      <c r="K48" s="241"/>
      <c r="L48" s="241"/>
      <c r="M48" s="86" t="s">
        <v>48</v>
      </c>
      <c r="N48" s="242"/>
    </row>
    <row r="49" spans="1:14" ht="67.5" customHeight="1">
      <c r="A49" s="241">
        <f>A47+1</f>
        <v>11</v>
      </c>
      <c r="B49" s="87" t="s">
        <v>1689</v>
      </c>
      <c r="C49" s="245" t="s">
        <v>1687</v>
      </c>
      <c r="D49" s="243" t="s">
        <v>1246</v>
      </c>
      <c r="E49" s="122" t="s">
        <v>1275</v>
      </c>
      <c r="F49" s="41" t="s">
        <v>1248</v>
      </c>
      <c r="G49" s="244" t="s">
        <v>586</v>
      </c>
      <c r="H49" s="241" t="s">
        <v>64</v>
      </c>
      <c r="I49" s="241"/>
      <c r="J49" s="241" t="s">
        <v>64</v>
      </c>
      <c r="K49" s="241" t="s">
        <v>64</v>
      </c>
      <c r="L49" s="241"/>
      <c r="M49" s="41" t="s">
        <v>987</v>
      </c>
      <c r="N49" s="242" t="s">
        <v>988</v>
      </c>
    </row>
    <row r="50" spans="1:14" ht="67.5" customHeight="1">
      <c r="A50" s="241"/>
      <c r="B50" s="41" t="s">
        <v>1287</v>
      </c>
      <c r="C50" s="246"/>
      <c r="D50" s="243"/>
      <c r="E50" s="122" t="s">
        <v>1288</v>
      </c>
      <c r="F50" s="41" t="s">
        <v>109</v>
      </c>
      <c r="G50" s="244"/>
      <c r="H50" s="241"/>
      <c r="I50" s="241"/>
      <c r="J50" s="241"/>
      <c r="K50" s="241"/>
      <c r="L50" s="241"/>
      <c r="M50" s="86" t="s">
        <v>48</v>
      </c>
      <c r="N50" s="242"/>
    </row>
    <row r="51" spans="1:14" ht="67.5" customHeight="1">
      <c r="A51" s="241">
        <f>A49+1</f>
        <v>12</v>
      </c>
      <c r="B51" s="87" t="s">
        <v>1578</v>
      </c>
      <c r="C51" s="245" t="s">
        <v>91</v>
      </c>
      <c r="D51" s="243" t="s">
        <v>1246</v>
      </c>
      <c r="E51" s="122" t="s">
        <v>1275</v>
      </c>
      <c r="F51" s="41" t="s">
        <v>1248</v>
      </c>
      <c r="G51" s="244" t="s">
        <v>1523</v>
      </c>
      <c r="H51" s="241" t="s">
        <v>64</v>
      </c>
      <c r="I51" s="241" t="s">
        <v>64</v>
      </c>
      <c r="J51" s="241" t="s">
        <v>64</v>
      </c>
      <c r="K51" s="241" t="s">
        <v>64</v>
      </c>
      <c r="L51" s="241"/>
      <c r="M51" s="41" t="s">
        <v>875</v>
      </c>
      <c r="N51" s="242" t="s">
        <v>903</v>
      </c>
    </row>
    <row r="52" spans="1:14" ht="67.5" customHeight="1">
      <c r="A52" s="241"/>
      <c r="B52" s="41" t="s">
        <v>1577</v>
      </c>
      <c r="C52" s="246"/>
      <c r="D52" s="243"/>
      <c r="E52" s="122" t="s">
        <v>1276</v>
      </c>
      <c r="F52" s="41" t="s">
        <v>109</v>
      </c>
      <c r="G52" s="244"/>
      <c r="H52" s="241"/>
      <c r="I52" s="241"/>
      <c r="J52" s="241"/>
      <c r="K52" s="241"/>
      <c r="L52" s="241"/>
      <c r="M52" s="86" t="s">
        <v>48</v>
      </c>
      <c r="N52" s="242"/>
    </row>
    <row r="53" spans="1:14" ht="67.5" customHeight="1">
      <c r="A53" s="241">
        <f>A51+1</f>
        <v>13</v>
      </c>
      <c r="B53" s="87" t="s">
        <v>1579</v>
      </c>
      <c r="C53" s="245" t="s">
        <v>1690</v>
      </c>
      <c r="D53" s="243" t="s">
        <v>1246</v>
      </c>
      <c r="E53" s="122" t="s">
        <v>1266</v>
      </c>
      <c r="F53" s="41" t="s">
        <v>1248</v>
      </c>
      <c r="G53" s="244" t="s">
        <v>585</v>
      </c>
      <c r="H53" s="241" t="s">
        <v>64</v>
      </c>
      <c r="I53" s="241"/>
      <c r="J53" s="241" t="s">
        <v>64</v>
      </c>
      <c r="K53" s="241" t="s">
        <v>64</v>
      </c>
      <c r="L53" s="241"/>
      <c r="M53" s="41" t="s">
        <v>497</v>
      </c>
      <c r="N53" s="242" t="s">
        <v>304</v>
      </c>
    </row>
    <row r="54" spans="1:14" ht="67.5" customHeight="1">
      <c r="A54" s="241"/>
      <c r="B54" s="41" t="s">
        <v>1580</v>
      </c>
      <c r="C54" s="246"/>
      <c r="D54" s="243"/>
      <c r="E54" s="122" t="s">
        <v>1329</v>
      </c>
      <c r="F54" s="41" t="s">
        <v>109</v>
      </c>
      <c r="G54" s="244"/>
      <c r="H54" s="241"/>
      <c r="I54" s="241"/>
      <c r="J54" s="241"/>
      <c r="K54" s="241"/>
      <c r="L54" s="241"/>
      <c r="M54" s="86" t="s">
        <v>48</v>
      </c>
      <c r="N54" s="242"/>
    </row>
    <row r="55" spans="1:14" ht="54" customHeight="1">
      <c r="A55" s="250" t="s">
        <v>47</v>
      </c>
      <c r="B55" s="250"/>
      <c r="C55" s="250"/>
      <c r="D55" s="250"/>
      <c r="E55" s="250"/>
      <c r="F55" s="251" t="s">
        <v>1753</v>
      </c>
      <c r="G55" s="252"/>
      <c r="H55" s="252"/>
      <c r="I55" s="252"/>
      <c r="J55" s="252"/>
      <c r="K55" s="252"/>
      <c r="L55" s="251" t="s">
        <v>1755</v>
      </c>
      <c r="M55" s="252"/>
      <c r="N55" s="252"/>
    </row>
    <row r="56" spans="1:14">
      <c r="A56" s="240" t="s">
        <v>1257</v>
      </c>
      <c r="B56" s="240"/>
      <c r="C56" s="240"/>
      <c r="D56" s="240"/>
      <c r="E56" s="240"/>
      <c r="F56" s="240"/>
      <c r="G56" s="240"/>
      <c r="H56" s="240"/>
      <c r="I56" s="240"/>
      <c r="J56" s="240"/>
      <c r="K56" s="240"/>
      <c r="L56" s="240"/>
      <c r="M56" s="240"/>
      <c r="N56" s="240"/>
    </row>
    <row r="57" spans="1:14">
      <c r="A57" s="95"/>
      <c r="B57" s="240" t="s">
        <v>1258</v>
      </c>
      <c r="C57" s="240"/>
      <c r="D57" s="240"/>
      <c r="E57" s="240"/>
      <c r="F57" s="240"/>
      <c r="G57" s="240"/>
      <c r="H57" s="240"/>
      <c r="I57" s="240"/>
      <c r="J57" s="240"/>
      <c r="K57" s="240"/>
      <c r="L57" s="240"/>
      <c r="M57" s="240"/>
      <c r="N57" s="240"/>
    </row>
    <row r="58" spans="1:14">
      <c r="A58" s="95"/>
      <c r="B58" s="240" t="s">
        <v>1145</v>
      </c>
      <c r="C58" s="240"/>
      <c r="D58" s="240"/>
      <c r="E58" s="240"/>
      <c r="F58" s="240"/>
      <c r="G58" s="240"/>
      <c r="H58" s="240"/>
      <c r="I58" s="240"/>
      <c r="J58" s="240"/>
      <c r="K58" s="240"/>
      <c r="L58" s="240"/>
      <c r="M58" s="240"/>
      <c r="N58" s="240"/>
    </row>
    <row r="59" spans="1:14">
      <c r="A59" s="95"/>
      <c r="B59" s="240" t="s">
        <v>1146</v>
      </c>
      <c r="C59" s="240"/>
      <c r="D59" s="240"/>
      <c r="E59" s="240"/>
      <c r="F59" s="240"/>
      <c r="G59" s="240"/>
      <c r="H59" s="240"/>
      <c r="I59" s="240"/>
      <c r="J59" s="240"/>
      <c r="K59" s="240"/>
      <c r="L59" s="240"/>
      <c r="M59" s="240"/>
      <c r="N59" s="240"/>
    </row>
    <row r="60" spans="1:14" ht="67.5" customHeight="1">
      <c r="A60" s="241">
        <f>A53+1</f>
        <v>14</v>
      </c>
      <c r="B60" s="87" t="s">
        <v>1282</v>
      </c>
      <c r="C60" s="245" t="s">
        <v>128</v>
      </c>
      <c r="D60" s="243" t="s">
        <v>1246</v>
      </c>
      <c r="E60" s="122" t="s">
        <v>1283</v>
      </c>
      <c r="F60" s="41" t="s">
        <v>1248</v>
      </c>
      <c r="G60" s="244" t="s">
        <v>1524</v>
      </c>
      <c r="H60" s="241"/>
      <c r="I60" s="241"/>
      <c r="J60" s="241"/>
      <c r="K60" s="241" t="s">
        <v>64</v>
      </c>
      <c r="L60" s="241"/>
      <c r="M60" s="41" t="s">
        <v>1284</v>
      </c>
      <c r="N60" s="242" t="s">
        <v>418</v>
      </c>
    </row>
    <row r="61" spans="1:14" ht="67.5" customHeight="1">
      <c r="A61" s="241"/>
      <c r="B61" s="41" t="s">
        <v>1285</v>
      </c>
      <c r="C61" s="246"/>
      <c r="D61" s="243"/>
      <c r="E61" s="122" t="s">
        <v>1286</v>
      </c>
      <c r="F61" s="41" t="s">
        <v>109</v>
      </c>
      <c r="G61" s="244"/>
      <c r="H61" s="241"/>
      <c r="I61" s="241"/>
      <c r="J61" s="241"/>
      <c r="K61" s="241"/>
      <c r="L61" s="241"/>
      <c r="M61" s="86" t="s">
        <v>48</v>
      </c>
      <c r="N61" s="242"/>
    </row>
    <row r="62" spans="1:14" ht="67.5" customHeight="1">
      <c r="A62" s="241">
        <f>A60+1</f>
        <v>15</v>
      </c>
      <c r="B62" s="87" t="s">
        <v>67</v>
      </c>
      <c r="C62" s="245" t="s">
        <v>87</v>
      </c>
      <c r="D62" s="243" t="s">
        <v>1250</v>
      </c>
      <c r="E62" s="122" t="s">
        <v>1251</v>
      </c>
      <c r="F62" s="41" t="s">
        <v>1248</v>
      </c>
      <c r="G62" s="244" t="s">
        <v>579</v>
      </c>
      <c r="H62" s="241" t="s">
        <v>64</v>
      </c>
      <c r="I62" s="241" t="s">
        <v>64</v>
      </c>
      <c r="J62" s="241"/>
      <c r="K62" s="241"/>
      <c r="L62" s="241"/>
      <c r="M62" s="41" t="s">
        <v>135</v>
      </c>
      <c r="N62" s="242" t="s">
        <v>134</v>
      </c>
    </row>
    <row r="63" spans="1:14" ht="67.5" customHeight="1">
      <c r="A63" s="241"/>
      <c r="B63" s="41" t="s">
        <v>86</v>
      </c>
      <c r="C63" s="246"/>
      <c r="D63" s="243"/>
      <c r="E63" s="122" t="s">
        <v>1252</v>
      </c>
      <c r="F63" s="41" t="s">
        <v>109</v>
      </c>
      <c r="G63" s="244"/>
      <c r="H63" s="241"/>
      <c r="I63" s="241"/>
      <c r="J63" s="241"/>
      <c r="K63" s="241"/>
      <c r="L63" s="241"/>
      <c r="M63" s="86" t="s">
        <v>48</v>
      </c>
      <c r="N63" s="242"/>
    </row>
    <row r="64" spans="1:14" ht="66.75" customHeight="1">
      <c r="A64" s="241">
        <f>A62+1</f>
        <v>16</v>
      </c>
      <c r="B64" s="87" t="s">
        <v>65</v>
      </c>
      <c r="C64" s="245" t="s">
        <v>88</v>
      </c>
      <c r="D64" s="243" t="s">
        <v>1246</v>
      </c>
      <c r="E64" s="122" t="s">
        <v>1266</v>
      </c>
      <c r="F64" s="41" t="s">
        <v>1248</v>
      </c>
      <c r="G64" s="244" t="s">
        <v>582</v>
      </c>
      <c r="H64" s="241"/>
      <c r="I64" s="241" t="s">
        <v>64</v>
      </c>
      <c r="J64" s="241" t="s">
        <v>64</v>
      </c>
      <c r="K64" s="241"/>
      <c r="L64" s="241"/>
      <c r="M64" s="41" t="s">
        <v>138</v>
      </c>
      <c r="N64" s="242" t="s">
        <v>137</v>
      </c>
    </row>
    <row r="65" spans="1:14" ht="48" customHeight="1">
      <c r="A65" s="241"/>
      <c r="B65" s="41" t="s">
        <v>1267</v>
      </c>
      <c r="C65" s="246"/>
      <c r="D65" s="243"/>
      <c r="E65" s="122" t="s">
        <v>1268</v>
      </c>
      <c r="F65" s="41" t="s">
        <v>109</v>
      </c>
      <c r="G65" s="244"/>
      <c r="H65" s="241"/>
      <c r="I65" s="241"/>
      <c r="J65" s="241"/>
      <c r="K65" s="241"/>
      <c r="L65" s="241"/>
      <c r="M65" s="86" t="s">
        <v>48</v>
      </c>
      <c r="N65" s="242"/>
    </row>
    <row r="66" spans="1:14" ht="117.75" customHeight="1">
      <c r="A66" s="241">
        <f>A64+1</f>
        <v>17</v>
      </c>
      <c r="B66" s="87" t="s">
        <v>1332</v>
      </c>
      <c r="C66" s="245" t="s">
        <v>112</v>
      </c>
      <c r="D66" s="243" t="s">
        <v>1271</v>
      </c>
      <c r="E66" s="122" t="s">
        <v>1266</v>
      </c>
      <c r="F66" s="41" t="s">
        <v>1248</v>
      </c>
      <c r="G66" s="244" t="s">
        <v>109</v>
      </c>
      <c r="H66" s="241" t="s">
        <v>64</v>
      </c>
      <c r="I66" s="241"/>
      <c r="J66" s="241" t="s">
        <v>64</v>
      </c>
      <c r="K66" s="241"/>
      <c r="L66" s="241"/>
      <c r="M66" s="41" t="s">
        <v>696</v>
      </c>
      <c r="N66" s="242" t="s">
        <v>697</v>
      </c>
    </row>
    <row r="67" spans="1:14" ht="65.25" customHeight="1">
      <c r="A67" s="241"/>
      <c r="B67" s="41" t="s">
        <v>1333</v>
      </c>
      <c r="C67" s="246"/>
      <c r="D67" s="243"/>
      <c r="E67" s="122" t="s">
        <v>1329</v>
      </c>
      <c r="F67" s="41" t="s">
        <v>109</v>
      </c>
      <c r="G67" s="244"/>
      <c r="H67" s="241"/>
      <c r="I67" s="241"/>
      <c r="J67" s="241"/>
      <c r="K67" s="241"/>
      <c r="L67" s="241"/>
      <c r="M67" s="86" t="s">
        <v>48</v>
      </c>
      <c r="N67" s="242"/>
    </row>
    <row r="68" spans="1:14" ht="60" customHeight="1">
      <c r="A68" s="250" t="s">
        <v>47</v>
      </c>
      <c r="B68" s="250"/>
      <c r="C68" s="250"/>
      <c r="D68" s="250"/>
      <c r="E68" s="250"/>
      <c r="F68" s="251" t="s">
        <v>1753</v>
      </c>
      <c r="G68" s="252"/>
      <c r="H68" s="252"/>
      <c r="I68" s="252"/>
      <c r="J68" s="252"/>
      <c r="K68" s="252"/>
      <c r="L68" s="251" t="s">
        <v>1755</v>
      </c>
      <c r="M68" s="252"/>
      <c r="N68" s="252"/>
    </row>
    <row r="69" spans="1:14">
      <c r="A69" s="240" t="s">
        <v>1257</v>
      </c>
      <c r="B69" s="240"/>
      <c r="C69" s="240"/>
      <c r="D69" s="240"/>
      <c r="E69" s="240"/>
      <c r="F69" s="240"/>
      <c r="G69" s="240"/>
      <c r="H69" s="240"/>
      <c r="I69" s="240"/>
      <c r="J69" s="240"/>
      <c r="K69" s="240"/>
      <c r="L69" s="240"/>
      <c r="M69" s="240"/>
      <c r="N69" s="240"/>
    </row>
    <row r="70" spans="1:14">
      <c r="A70" s="95"/>
      <c r="B70" s="240" t="s">
        <v>1258</v>
      </c>
      <c r="C70" s="240"/>
      <c r="D70" s="240"/>
      <c r="E70" s="240"/>
      <c r="F70" s="240"/>
      <c r="G70" s="240"/>
      <c r="H70" s="240"/>
      <c r="I70" s="240"/>
      <c r="J70" s="240"/>
      <c r="K70" s="240"/>
      <c r="L70" s="240"/>
      <c r="M70" s="240"/>
      <c r="N70" s="240"/>
    </row>
    <row r="71" spans="1:14">
      <c r="A71" s="95"/>
      <c r="B71" s="240" t="s">
        <v>1145</v>
      </c>
      <c r="C71" s="240"/>
      <c r="D71" s="240"/>
      <c r="E71" s="240"/>
      <c r="F71" s="240"/>
      <c r="G71" s="240"/>
      <c r="H71" s="240"/>
      <c r="I71" s="240"/>
      <c r="J71" s="240"/>
      <c r="K71" s="240"/>
      <c r="L71" s="240"/>
      <c r="M71" s="240"/>
      <c r="N71" s="240"/>
    </row>
    <row r="72" spans="1:14">
      <c r="A72" s="95"/>
      <c r="B72" s="240" t="s">
        <v>1146</v>
      </c>
      <c r="C72" s="240"/>
      <c r="D72" s="240"/>
      <c r="E72" s="240"/>
      <c r="F72" s="240"/>
      <c r="G72" s="240"/>
      <c r="H72" s="240"/>
      <c r="I72" s="240"/>
      <c r="J72" s="240"/>
      <c r="K72" s="240"/>
      <c r="L72" s="240"/>
      <c r="M72" s="240"/>
      <c r="N72" s="240"/>
    </row>
    <row r="73" spans="1:14" ht="67.5" customHeight="1">
      <c r="A73" s="241">
        <f>A66+1</f>
        <v>18</v>
      </c>
      <c r="B73" s="87" t="s">
        <v>1339</v>
      </c>
      <c r="C73" s="245" t="s">
        <v>1567</v>
      </c>
      <c r="D73" s="243" t="s">
        <v>1246</v>
      </c>
      <c r="E73" s="122" t="s">
        <v>1266</v>
      </c>
      <c r="F73" s="41" t="s">
        <v>1248</v>
      </c>
      <c r="G73" s="244" t="s">
        <v>581</v>
      </c>
      <c r="H73" s="241" t="s">
        <v>64</v>
      </c>
      <c r="I73" s="241" t="s">
        <v>64</v>
      </c>
      <c r="J73" s="241"/>
      <c r="K73" s="241"/>
      <c r="L73" s="241"/>
      <c r="M73" s="41" t="s">
        <v>141</v>
      </c>
      <c r="N73" s="242" t="s">
        <v>133</v>
      </c>
    </row>
    <row r="74" spans="1:14" ht="67.5" customHeight="1">
      <c r="A74" s="241"/>
      <c r="B74" s="41" t="s">
        <v>1340</v>
      </c>
      <c r="C74" s="246"/>
      <c r="D74" s="243"/>
      <c r="E74" s="122" t="s">
        <v>1341</v>
      </c>
      <c r="F74" s="41" t="s">
        <v>109</v>
      </c>
      <c r="G74" s="244"/>
      <c r="H74" s="241"/>
      <c r="I74" s="241"/>
      <c r="J74" s="241"/>
      <c r="K74" s="241"/>
      <c r="L74" s="241"/>
      <c r="M74" s="86" t="s">
        <v>48</v>
      </c>
      <c r="N74" s="242"/>
    </row>
    <row r="75" spans="1:14" ht="67.5" customHeight="1">
      <c r="A75" s="241">
        <f>A73+1</f>
        <v>19</v>
      </c>
      <c r="B75" s="87" t="s">
        <v>1336</v>
      </c>
      <c r="C75" s="245" t="s">
        <v>114</v>
      </c>
      <c r="D75" s="243" t="s">
        <v>1246</v>
      </c>
      <c r="E75" s="122" t="s">
        <v>1337</v>
      </c>
      <c r="F75" s="41" t="s">
        <v>1248</v>
      </c>
      <c r="G75" s="244" t="s">
        <v>582</v>
      </c>
      <c r="H75" s="241" t="s">
        <v>64</v>
      </c>
      <c r="I75" s="241"/>
      <c r="J75" s="241" t="s">
        <v>64</v>
      </c>
      <c r="K75" s="241" t="s">
        <v>64</v>
      </c>
      <c r="L75" s="241"/>
      <c r="M75" s="41" t="s">
        <v>124</v>
      </c>
      <c r="N75" s="242" t="s">
        <v>119</v>
      </c>
    </row>
    <row r="76" spans="1:14" ht="67.5" customHeight="1">
      <c r="A76" s="241"/>
      <c r="B76" s="41" t="s">
        <v>1338</v>
      </c>
      <c r="C76" s="246"/>
      <c r="D76" s="243"/>
      <c r="E76" s="122" t="s">
        <v>1337</v>
      </c>
      <c r="F76" s="41" t="s">
        <v>109</v>
      </c>
      <c r="G76" s="244"/>
      <c r="H76" s="241"/>
      <c r="I76" s="241"/>
      <c r="J76" s="241"/>
      <c r="K76" s="241"/>
      <c r="L76" s="241"/>
      <c r="M76" s="86" t="s">
        <v>48</v>
      </c>
      <c r="N76" s="242"/>
    </row>
    <row r="77" spans="1:14" ht="67.5" customHeight="1">
      <c r="A77" s="241">
        <f>A75+1</f>
        <v>20</v>
      </c>
      <c r="B77" s="87" t="s">
        <v>130</v>
      </c>
      <c r="C77" s="245" t="s">
        <v>89</v>
      </c>
      <c r="D77" s="243" t="s">
        <v>1246</v>
      </c>
      <c r="E77" s="122" t="s">
        <v>1251</v>
      </c>
      <c r="F77" s="41" t="s">
        <v>1248</v>
      </c>
      <c r="G77" s="244" t="s">
        <v>582</v>
      </c>
      <c r="H77" s="241" t="s">
        <v>64</v>
      </c>
      <c r="I77" s="241" t="s">
        <v>64</v>
      </c>
      <c r="J77" s="241" t="s">
        <v>64</v>
      </c>
      <c r="K77" s="241" t="s">
        <v>64</v>
      </c>
      <c r="L77" s="241"/>
      <c r="M77" s="41" t="s">
        <v>509</v>
      </c>
      <c r="N77" s="242" t="s">
        <v>511</v>
      </c>
    </row>
    <row r="78" spans="1:14" ht="67.5" customHeight="1">
      <c r="A78" s="241"/>
      <c r="B78" s="41" t="s">
        <v>1568</v>
      </c>
      <c r="C78" s="246"/>
      <c r="D78" s="243"/>
      <c r="E78" s="122" t="s">
        <v>1270</v>
      </c>
      <c r="F78" s="41" t="s">
        <v>109</v>
      </c>
      <c r="G78" s="244"/>
      <c r="H78" s="241"/>
      <c r="I78" s="241"/>
      <c r="J78" s="241"/>
      <c r="K78" s="241"/>
      <c r="L78" s="241"/>
      <c r="M78" s="86" t="s">
        <v>48</v>
      </c>
      <c r="N78" s="242"/>
    </row>
    <row r="79" spans="1:14" ht="67.5" customHeight="1">
      <c r="A79" s="241">
        <f>A77+1</f>
        <v>21</v>
      </c>
      <c r="B79" s="87" t="s">
        <v>20</v>
      </c>
      <c r="C79" s="245" t="s">
        <v>113</v>
      </c>
      <c r="D79" s="243" t="s">
        <v>1246</v>
      </c>
      <c r="E79" s="122" t="s">
        <v>1334</v>
      </c>
      <c r="F79" s="41" t="s">
        <v>1248</v>
      </c>
      <c r="G79" s="244" t="s">
        <v>584</v>
      </c>
      <c r="H79" s="241" t="s">
        <v>64</v>
      </c>
      <c r="I79" s="241" t="s">
        <v>64</v>
      </c>
      <c r="J79" s="241" t="s">
        <v>64</v>
      </c>
      <c r="K79" s="241" t="s">
        <v>64</v>
      </c>
      <c r="L79" s="241"/>
      <c r="M79" s="41" t="s">
        <v>117</v>
      </c>
      <c r="N79" s="242" t="s">
        <v>118</v>
      </c>
    </row>
    <row r="80" spans="1:14" ht="67.5" customHeight="1">
      <c r="A80" s="241"/>
      <c r="B80" s="41" t="s">
        <v>1335</v>
      </c>
      <c r="C80" s="246"/>
      <c r="D80" s="243"/>
      <c r="E80" s="122" t="s">
        <v>1334</v>
      </c>
      <c r="F80" s="41" t="s">
        <v>109</v>
      </c>
      <c r="G80" s="244"/>
      <c r="H80" s="241"/>
      <c r="I80" s="241"/>
      <c r="J80" s="241"/>
      <c r="K80" s="241"/>
      <c r="L80" s="241"/>
      <c r="M80" s="86" t="s">
        <v>48</v>
      </c>
      <c r="N80" s="242"/>
    </row>
    <row r="81" spans="1:14" ht="54" customHeight="1">
      <c r="A81" s="250" t="s">
        <v>47</v>
      </c>
      <c r="B81" s="250"/>
      <c r="C81" s="250"/>
      <c r="D81" s="250"/>
      <c r="E81" s="250"/>
      <c r="F81" s="251" t="s">
        <v>1753</v>
      </c>
      <c r="G81" s="252"/>
      <c r="H81" s="252"/>
      <c r="I81" s="252"/>
      <c r="J81" s="252"/>
      <c r="K81" s="252"/>
      <c r="L81" s="251" t="s">
        <v>1755</v>
      </c>
      <c r="M81" s="252"/>
      <c r="N81" s="252"/>
    </row>
    <row r="82" spans="1:14">
      <c r="A82" s="240" t="s">
        <v>1257</v>
      </c>
      <c r="B82" s="240"/>
      <c r="C82" s="240"/>
      <c r="D82" s="240"/>
      <c r="E82" s="240"/>
      <c r="F82" s="240"/>
      <c r="G82" s="240"/>
      <c r="H82" s="240"/>
      <c r="I82" s="240"/>
      <c r="J82" s="240"/>
      <c r="K82" s="240"/>
      <c r="L82" s="240"/>
      <c r="M82" s="240"/>
      <c r="N82" s="240"/>
    </row>
    <row r="83" spans="1:14">
      <c r="A83" s="95"/>
      <c r="B83" s="240" t="s">
        <v>1258</v>
      </c>
      <c r="C83" s="240"/>
      <c r="D83" s="240"/>
      <c r="E83" s="240"/>
      <c r="F83" s="240"/>
      <c r="G83" s="240"/>
      <c r="H83" s="240"/>
      <c r="I83" s="240"/>
      <c r="J83" s="240"/>
      <c r="K83" s="240"/>
      <c r="L83" s="240"/>
      <c r="M83" s="240"/>
      <c r="N83" s="240"/>
    </row>
    <row r="84" spans="1:14">
      <c r="A84" s="95"/>
      <c r="B84" s="240" t="s">
        <v>1145</v>
      </c>
      <c r="C84" s="240"/>
      <c r="D84" s="240"/>
      <c r="E84" s="240"/>
      <c r="F84" s="240"/>
      <c r="G84" s="240"/>
      <c r="H84" s="240"/>
      <c r="I84" s="240"/>
      <c r="J84" s="240"/>
      <c r="K84" s="240"/>
      <c r="L84" s="240"/>
      <c r="M84" s="240"/>
      <c r="N84" s="240"/>
    </row>
    <row r="85" spans="1:14">
      <c r="A85" s="95"/>
      <c r="B85" s="240" t="s">
        <v>1146</v>
      </c>
      <c r="C85" s="240"/>
      <c r="D85" s="240"/>
      <c r="E85" s="240"/>
      <c r="F85" s="240"/>
      <c r="G85" s="240"/>
      <c r="H85" s="240"/>
      <c r="I85" s="240"/>
      <c r="J85" s="240"/>
      <c r="K85" s="240"/>
      <c r="L85" s="240"/>
      <c r="M85" s="240"/>
      <c r="N85" s="240"/>
    </row>
    <row r="86" spans="1:14" ht="67.5" customHeight="1">
      <c r="A86" s="241">
        <f>A79+1</f>
        <v>22</v>
      </c>
      <c r="B86" s="87" t="s">
        <v>1349</v>
      </c>
      <c r="C86" s="245" t="s">
        <v>127</v>
      </c>
      <c r="D86" s="243" t="s">
        <v>1246</v>
      </c>
      <c r="E86" s="122" t="s">
        <v>1350</v>
      </c>
      <c r="F86" s="41" t="s">
        <v>1248</v>
      </c>
      <c r="G86" s="244" t="s">
        <v>583</v>
      </c>
      <c r="H86" s="241" t="s">
        <v>64</v>
      </c>
      <c r="I86" s="241"/>
      <c r="J86" s="241" t="s">
        <v>64</v>
      </c>
      <c r="K86" s="241"/>
      <c r="L86" s="241"/>
      <c r="M86" s="41" t="s">
        <v>123</v>
      </c>
      <c r="N86" s="242" t="s">
        <v>125</v>
      </c>
    </row>
    <row r="87" spans="1:14" ht="67.5" customHeight="1">
      <c r="A87" s="241"/>
      <c r="B87" s="41" t="s">
        <v>1351</v>
      </c>
      <c r="C87" s="246"/>
      <c r="D87" s="243"/>
      <c r="E87" s="122" t="s">
        <v>1352</v>
      </c>
      <c r="F87" s="41" t="s">
        <v>109</v>
      </c>
      <c r="G87" s="244"/>
      <c r="H87" s="241"/>
      <c r="I87" s="241"/>
      <c r="J87" s="241"/>
      <c r="K87" s="241"/>
      <c r="L87" s="241"/>
      <c r="M87" s="86" t="s">
        <v>48</v>
      </c>
      <c r="N87" s="242"/>
    </row>
    <row r="88" spans="1:14" ht="67.5" customHeight="1">
      <c r="A88" s="241">
        <f>A86+1</f>
        <v>23</v>
      </c>
      <c r="B88" s="87" t="s">
        <v>1444</v>
      </c>
      <c r="C88" s="245" t="s">
        <v>1443</v>
      </c>
      <c r="D88" s="243" t="s">
        <v>1246</v>
      </c>
      <c r="E88" s="122" t="s">
        <v>1366</v>
      </c>
      <c r="F88" s="41" t="s">
        <v>1248</v>
      </c>
      <c r="G88" s="244" t="s">
        <v>582</v>
      </c>
      <c r="H88" s="241" t="s">
        <v>64</v>
      </c>
      <c r="I88" s="241" t="s">
        <v>64</v>
      </c>
      <c r="J88" s="241" t="s">
        <v>64</v>
      </c>
      <c r="K88" s="241" t="s">
        <v>64</v>
      </c>
      <c r="L88" s="241"/>
      <c r="M88" s="41" t="s">
        <v>1367</v>
      </c>
      <c r="N88" s="242" t="s">
        <v>496</v>
      </c>
    </row>
    <row r="89" spans="1:14" ht="67.5" customHeight="1">
      <c r="A89" s="241"/>
      <c r="B89" s="41" t="s">
        <v>1442</v>
      </c>
      <c r="C89" s="246"/>
      <c r="D89" s="243"/>
      <c r="E89" s="122" t="s">
        <v>1366</v>
      </c>
      <c r="F89" s="41" t="s">
        <v>109</v>
      </c>
      <c r="G89" s="244"/>
      <c r="H89" s="241"/>
      <c r="I89" s="241"/>
      <c r="J89" s="241"/>
      <c r="K89" s="241"/>
      <c r="L89" s="241"/>
      <c r="M89" s="86" t="s">
        <v>48</v>
      </c>
      <c r="N89" s="242"/>
    </row>
    <row r="90" spans="1:14" ht="67.5" customHeight="1">
      <c r="A90" s="241">
        <f>A88+1</f>
        <v>24</v>
      </c>
      <c r="B90" s="87" t="s">
        <v>1447</v>
      </c>
      <c r="C90" s="245" t="s">
        <v>1446</v>
      </c>
      <c r="D90" s="243" t="s">
        <v>1271</v>
      </c>
      <c r="E90" s="122" t="s">
        <v>1379</v>
      </c>
      <c r="F90" s="41" t="s">
        <v>1248</v>
      </c>
      <c r="G90" s="244" t="s">
        <v>880</v>
      </c>
      <c r="H90" s="241" t="s">
        <v>64</v>
      </c>
      <c r="I90" s="241" t="s">
        <v>64</v>
      </c>
      <c r="J90" s="241"/>
      <c r="K90" s="241"/>
      <c r="L90" s="241"/>
      <c r="M90" s="41" t="s">
        <v>884</v>
      </c>
      <c r="N90" s="242" t="s">
        <v>885</v>
      </c>
    </row>
    <row r="91" spans="1:14" ht="67.5" customHeight="1">
      <c r="A91" s="241"/>
      <c r="B91" s="41" t="s">
        <v>1445</v>
      </c>
      <c r="C91" s="246"/>
      <c r="D91" s="243"/>
      <c r="E91" s="122" t="s">
        <v>1276</v>
      </c>
      <c r="F91" s="41" t="s">
        <v>109</v>
      </c>
      <c r="G91" s="244"/>
      <c r="H91" s="241"/>
      <c r="I91" s="241"/>
      <c r="J91" s="241"/>
      <c r="K91" s="241"/>
      <c r="L91" s="241"/>
      <c r="M91" s="86" t="s">
        <v>48</v>
      </c>
      <c r="N91" s="242"/>
    </row>
    <row r="92" spans="1:14" ht="67.5" customHeight="1">
      <c r="A92" s="241">
        <f>A90+1</f>
        <v>25</v>
      </c>
      <c r="B92" s="87" t="s">
        <v>131</v>
      </c>
      <c r="C92" s="245" t="s">
        <v>90</v>
      </c>
      <c r="D92" s="243" t="s">
        <v>1271</v>
      </c>
      <c r="E92" s="122" t="s">
        <v>1251</v>
      </c>
      <c r="F92" s="41" t="s">
        <v>1248</v>
      </c>
      <c r="G92" s="244" t="s">
        <v>109</v>
      </c>
      <c r="H92" s="241" t="s">
        <v>64</v>
      </c>
      <c r="I92" s="241" t="s">
        <v>64</v>
      </c>
      <c r="J92" s="241" t="s">
        <v>64</v>
      </c>
      <c r="K92" s="241" t="s">
        <v>64</v>
      </c>
      <c r="L92" s="241"/>
      <c r="M92" s="41" t="s">
        <v>1272</v>
      </c>
      <c r="N92" s="242" t="s">
        <v>1144</v>
      </c>
    </row>
    <row r="93" spans="1:14" ht="67.5" customHeight="1">
      <c r="A93" s="241"/>
      <c r="B93" s="41" t="s">
        <v>1273</v>
      </c>
      <c r="C93" s="245"/>
      <c r="D93" s="243"/>
      <c r="E93" s="122" t="s">
        <v>1270</v>
      </c>
      <c r="F93" s="41" t="s">
        <v>109</v>
      </c>
      <c r="G93" s="244"/>
      <c r="H93" s="241"/>
      <c r="I93" s="241"/>
      <c r="J93" s="241"/>
      <c r="K93" s="241"/>
      <c r="L93" s="241"/>
      <c r="M93" s="86" t="s">
        <v>48</v>
      </c>
      <c r="N93" s="242"/>
    </row>
    <row r="94" spans="1:14" ht="54" customHeight="1">
      <c r="A94" s="250" t="s">
        <v>47</v>
      </c>
      <c r="B94" s="250"/>
      <c r="C94" s="250"/>
      <c r="D94" s="250"/>
      <c r="E94" s="250"/>
      <c r="F94" s="251" t="s">
        <v>1753</v>
      </c>
      <c r="G94" s="252"/>
      <c r="H94" s="252"/>
      <c r="I94" s="252"/>
      <c r="J94" s="252"/>
      <c r="K94" s="252"/>
      <c r="L94" s="251" t="s">
        <v>1755</v>
      </c>
      <c r="M94" s="252"/>
      <c r="N94" s="252"/>
    </row>
    <row r="95" spans="1:14">
      <c r="A95" s="240" t="s">
        <v>1257</v>
      </c>
      <c r="B95" s="240"/>
      <c r="C95" s="240"/>
      <c r="D95" s="240"/>
      <c r="E95" s="240"/>
      <c r="F95" s="240"/>
      <c r="G95" s="240"/>
      <c r="H95" s="240"/>
      <c r="I95" s="240"/>
      <c r="J95" s="240"/>
      <c r="K95" s="240"/>
      <c r="L95" s="240"/>
      <c r="M95" s="240"/>
      <c r="N95" s="240"/>
    </row>
    <row r="96" spans="1:14">
      <c r="A96" s="95"/>
      <c r="B96" s="240" t="s">
        <v>1258</v>
      </c>
      <c r="C96" s="240"/>
      <c r="D96" s="240"/>
      <c r="E96" s="240"/>
      <c r="F96" s="240"/>
      <c r="G96" s="240"/>
      <c r="H96" s="240"/>
      <c r="I96" s="240"/>
      <c r="J96" s="240"/>
      <c r="K96" s="240"/>
      <c r="L96" s="240"/>
      <c r="M96" s="240"/>
      <c r="N96" s="240"/>
    </row>
    <row r="97" spans="1:14">
      <c r="A97" s="95"/>
      <c r="B97" s="240" t="s">
        <v>1145</v>
      </c>
      <c r="C97" s="240"/>
      <c r="D97" s="240"/>
      <c r="E97" s="240"/>
      <c r="F97" s="240"/>
      <c r="G97" s="240"/>
      <c r="H97" s="240"/>
      <c r="I97" s="240"/>
      <c r="J97" s="240"/>
      <c r="K97" s="240"/>
      <c r="L97" s="240"/>
      <c r="M97" s="240"/>
      <c r="N97" s="240"/>
    </row>
    <row r="98" spans="1:14">
      <c r="A98" s="95"/>
      <c r="B98" s="240" t="s">
        <v>1146</v>
      </c>
      <c r="C98" s="240"/>
      <c r="D98" s="240"/>
      <c r="E98" s="240"/>
      <c r="F98" s="240"/>
      <c r="G98" s="240"/>
      <c r="H98" s="240"/>
      <c r="I98" s="240"/>
      <c r="J98" s="240"/>
      <c r="K98" s="240"/>
      <c r="L98" s="240"/>
      <c r="M98" s="240"/>
      <c r="N98" s="240"/>
    </row>
    <row r="99" spans="1:14" ht="67.5" customHeight="1">
      <c r="A99" s="241">
        <f>A92+1</f>
        <v>26</v>
      </c>
      <c r="B99" s="87" t="s">
        <v>130</v>
      </c>
      <c r="C99" s="245" t="s">
        <v>1569</v>
      </c>
      <c r="D99" s="243" t="s">
        <v>1271</v>
      </c>
      <c r="E99" s="122" t="s">
        <v>1266</v>
      </c>
      <c r="F99" s="41" t="s">
        <v>1248</v>
      </c>
      <c r="G99" s="244" t="s">
        <v>109</v>
      </c>
      <c r="H99" s="241" t="s">
        <v>64</v>
      </c>
      <c r="I99" s="241" t="s">
        <v>64</v>
      </c>
      <c r="J99" s="241"/>
      <c r="K99" s="241"/>
      <c r="L99" s="241"/>
      <c r="M99" s="41" t="s">
        <v>142</v>
      </c>
      <c r="N99" s="242" t="s">
        <v>143</v>
      </c>
    </row>
    <row r="100" spans="1:14" ht="67.5" customHeight="1">
      <c r="A100" s="241"/>
      <c r="B100" s="41" t="s">
        <v>1342</v>
      </c>
      <c r="C100" s="246"/>
      <c r="D100" s="243"/>
      <c r="E100" s="122" t="s">
        <v>1268</v>
      </c>
      <c r="F100" s="41" t="s">
        <v>109</v>
      </c>
      <c r="G100" s="244"/>
      <c r="H100" s="241"/>
      <c r="I100" s="241"/>
      <c r="J100" s="241"/>
      <c r="K100" s="241"/>
      <c r="L100" s="241"/>
      <c r="M100" s="86" t="s">
        <v>48</v>
      </c>
      <c r="N100" s="242"/>
    </row>
    <row r="101" spans="1:14" ht="67.5" customHeight="1">
      <c r="A101" s="241">
        <f>A99+1</f>
        <v>27</v>
      </c>
      <c r="B101" s="87" t="s">
        <v>1347</v>
      </c>
      <c r="C101" s="245" t="s">
        <v>116</v>
      </c>
      <c r="D101" s="243" t="s">
        <v>1271</v>
      </c>
      <c r="E101" s="122" t="s">
        <v>1266</v>
      </c>
      <c r="F101" s="41" t="s">
        <v>1248</v>
      </c>
      <c r="G101" s="244" t="s">
        <v>109</v>
      </c>
      <c r="H101" s="241" t="s">
        <v>64</v>
      </c>
      <c r="I101" s="241"/>
      <c r="J101" s="241" t="s">
        <v>64</v>
      </c>
      <c r="K101" s="241"/>
      <c r="L101" s="241"/>
      <c r="M101" s="41" t="s">
        <v>317</v>
      </c>
      <c r="N101" s="242" t="s">
        <v>318</v>
      </c>
    </row>
    <row r="102" spans="1:14" ht="67.5" customHeight="1">
      <c r="A102" s="241"/>
      <c r="B102" s="41" t="s">
        <v>1348</v>
      </c>
      <c r="C102" s="246"/>
      <c r="D102" s="243"/>
      <c r="E102" s="122" t="s">
        <v>1327</v>
      </c>
      <c r="F102" s="41" t="s">
        <v>109</v>
      </c>
      <c r="G102" s="244"/>
      <c r="H102" s="241"/>
      <c r="I102" s="241"/>
      <c r="J102" s="241"/>
      <c r="K102" s="241"/>
      <c r="L102" s="241"/>
      <c r="M102" s="86" t="s">
        <v>48</v>
      </c>
      <c r="N102" s="242"/>
    </row>
    <row r="103" spans="1:14" ht="123" customHeight="1">
      <c r="A103" s="241">
        <f>A101+1</f>
        <v>28</v>
      </c>
      <c r="B103" s="87" t="s">
        <v>1571</v>
      </c>
      <c r="C103" s="245" t="s">
        <v>1570</v>
      </c>
      <c r="D103" s="243" t="s">
        <v>1271</v>
      </c>
      <c r="E103" s="122" t="s">
        <v>1353</v>
      </c>
      <c r="F103" s="41" t="s">
        <v>1248</v>
      </c>
      <c r="G103" s="244" t="s">
        <v>109</v>
      </c>
      <c r="H103" s="241" t="s">
        <v>64</v>
      </c>
      <c r="I103" s="241" t="s">
        <v>64</v>
      </c>
      <c r="J103" s="241" t="s">
        <v>64</v>
      </c>
      <c r="K103" s="241"/>
      <c r="L103" s="241"/>
      <c r="M103" s="41" t="s">
        <v>319</v>
      </c>
      <c r="N103" s="242" t="s">
        <v>320</v>
      </c>
    </row>
    <row r="104" spans="1:14" ht="67.5" customHeight="1">
      <c r="A104" s="241"/>
      <c r="B104" s="41" t="s">
        <v>1354</v>
      </c>
      <c r="C104" s="246"/>
      <c r="D104" s="243"/>
      <c r="E104" s="122" t="s">
        <v>1353</v>
      </c>
      <c r="F104" s="41" t="s">
        <v>109</v>
      </c>
      <c r="G104" s="244"/>
      <c r="H104" s="241"/>
      <c r="I104" s="241"/>
      <c r="J104" s="241"/>
      <c r="K104" s="241"/>
      <c r="L104" s="241"/>
      <c r="M104" s="86" t="s">
        <v>48</v>
      </c>
      <c r="N104" s="242"/>
    </row>
    <row r="105" spans="1:14" ht="67.5" customHeight="1">
      <c r="A105" s="241">
        <f>A103+1</f>
        <v>29</v>
      </c>
      <c r="B105" s="87" t="s">
        <v>1274</v>
      </c>
      <c r="C105" s="245" t="s">
        <v>1572</v>
      </c>
      <c r="D105" s="243" t="s">
        <v>1271</v>
      </c>
      <c r="E105" s="122" t="s">
        <v>1355</v>
      </c>
      <c r="F105" s="41" t="s">
        <v>1248</v>
      </c>
      <c r="G105" s="244" t="s">
        <v>109</v>
      </c>
      <c r="H105" s="241" t="s">
        <v>64</v>
      </c>
      <c r="I105" s="241" t="s">
        <v>64</v>
      </c>
      <c r="J105" s="241"/>
      <c r="K105" s="241"/>
      <c r="L105" s="241"/>
      <c r="M105" s="41" t="s">
        <v>1356</v>
      </c>
      <c r="N105" s="242" t="s">
        <v>372</v>
      </c>
    </row>
    <row r="106" spans="1:14" ht="67.5" customHeight="1">
      <c r="A106" s="241"/>
      <c r="B106" s="41" t="s">
        <v>1357</v>
      </c>
      <c r="C106" s="246"/>
      <c r="D106" s="243"/>
      <c r="E106" s="122" t="s">
        <v>1355</v>
      </c>
      <c r="F106" s="41" t="s">
        <v>109</v>
      </c>
      <c r="G106" s="244"/>
      <c r="H106" s="241"/>
      <c r="I106" s="241"/>
      <c r="J106" s="241"/>
      <c r="K106" s="241"/>
      <c r="L106" s="241"/>
      <c r="M106" s="86" t="s">
        <v>48</v>
      </c>
      <c r="N106" s="242"/>
    </row>
    <row r="107" spans="1:14" ht="39" customHeight="1">
      <c r="A107" s="250" t="s">
        <v>47</v>
      </c>
      <c r="B107" s="250"/>
      <c r="C107" s="250"/>
      <c r="D107" s="250"/>
      <c r="E107" s="250"/>
      <c r="F107" s="251" t="s">
        <v>1753</v>
      </c>
      <c r="G107" s="252"/>
      <c r="H107" s="252"/>
      <c r="I107" s="252"/>
      <c r="J107" s="252"/>
      <c r="K107" s="252"/>
      <c r="L107" s="251" t="s">
        <v>1755</v>
      </c>
      <c r="M107" s="252"/>
      <c r="N107" s="252"/>
    </row>
    <row r="108" spans="1:14">
      <c r="A108" s="240" t="s">
        <v>1257</v>
      </c>
      <c r="B108" s="240"/>
      <c r="C108" s="240"/>
      <c r="D108" s="240"/>
      <c r="E108" s="240"/>
      <c r="F108" s="240"/>
      <c r="G108" s="240"/>
      <c r="H108" s="240"/>
      <c r="I108" s="240"/>
      <c r="J108" s="240"/>
      <c r="K108" s="240"/>
      <c r="L108" s="240"/>
      <c r="M108" s="240"/>
      <c r="N108" s="240"/>
    </row>
    <row r="109" spans="1:14">
      <c r="A109" s="95"/>
      <c r="B109" s="240" t="s">
        <v>1258</v>
      </c>
      <c r="C109" s="240"/>
      <c r="D109" s="240"/>
      <c r="E109" s="240"/>
      <c r="F109" s="240"/>
      <c r="G109" s="240"/>
      <c r="H109" s="240"/>
      <c r="I109" s="240"/>
      <c r="J109" s="240"/>
      <c r="K109" s="240"/>
      <c r="L109" s="240"/>
      <c r="M109" s="240"/>
      <c r="N109" s="240"/>
    </row>
    <row r="110" spans="1:14">
      <c r="A110" s="95"/>
      <c r="B110" s="240" t="s">
        <v>1145</v>
      </c>
      <c r="C110" s="240"/>
      <c r="D110" s="240"/>
      <c r="E110" s="240"/>
      <c r="F110" s="240"/>
      <c r="G110" s="240"/>
      <c r="H110" s="240"/>
      <c r="I110" s="240"/>
      <c r="J110" s="240"/>
      <c r="K110" s="240"/>
      <c r="L110" s="240"/>
      <c r="M110" s="240"/>
      <c r="N110" s="240"/>
    </row>
    <row r="111" spans="1:14">
      <c r="A111" s="95"/>
      <c r="B111" s="240" t="s">
        <v>1146</v>
      </c>
      <c r="C111" s="240"/>
      <c r="D111" s="240"/>
      <c r="E111" s="240"/>
      <c r="F111" s="240"/>
      <c r="G111" s="240"/>
      <c r="H111" s="240"/>
      <c r="I111" s="240"/>
      <c r="J111" s="240"/>
      <c r="K111" s="240"/>
      <c r="L111" s="240"/>
      <c r="M111" s="240"/>
      <c r="N111" s="240"/>
    </row>
    <row r="112" spans="1:14" ht="135" customHeight="1">
      <c r="A112" s="241">
        <f>A105+1</f>
        <v>30</v>
      </c>
      <c r="B112" s="87" t="s">
        <v>1358</v>
      </c>
      <c r="C112" s="245" t="s">
        <v>416</v>
      </c>
      <c r="D112" s="243" t="s">
        <v>1271</v>
      </c>
      <c r="E112" s="122" t="s">
        <v>1359</v>
      </c>
      <c r="F112" s="41" t="s">
        <v>1248</v>
      </c>
      <c r="G112" s="244" t="s">
        <v>109</v>
      </c>
      <c r="H112" s="241" t="s">
        <v>64</v>
      </c>
      <c r="I112" s="241" t="s">
        <v>64</v>
      </c>
      <c r="J112" s="241" t="s">
        <v>64</v>
      </c>
      <c r="K112" s="241" t="s">
        <v>64</v>
      </c>
      <c r="L112" s="241"/>
      <c r="M112" s="41" t="s">
        <v>1360</v>
      </c>
      <c r="N112" s="242" t="s">
        <v>426</v>
      </c>
    </row>
    <row r="113" spans="1:14" ht="67.5" customHeight="1">
      <c r="A113" s="241"/>
      <c r="B113" s="41" t="s">
        <v>1361</v>
      </c>
      <c r="C113" s="246"/>
      <c r="D113" s="243"/>
      <c r="E113" s="122" t="s">
        <v>1359</v>
      </c>
      <c r="F113" s="41" t="s">
        <v>109</v>
      </c>
      <c r="G113" s="244"/>
      <c r="H113" s="241"/>
      <c r="I113" s="241"/>
      <c r="J113" s="241"/>
      <c r="K113" s="241"/>
      <c r="L113" s="241"/>
      <c r="M113" s="86" t="s">
        <v>48</v>
      </c>
      <c r="N113" s="242"/>
    </row>
    <row r="114" spans="1:14" ht="67.5" customHeight="1">
      <c r="A114" s="241">
        <f>A112+1</f>
        <v>31</v>
      </c>
      <c r="B114" s="87" t="s">
        <v>1362</v>
      </c>
      <c r="C114" s="245" t="s">
        <v>425</v>
      </c>
      <c r="D114" s="243" t="s">
        <v>1271</v>
      </c>
      <c r="E114" s="122" t="s">
        <v>1363</v>
      </c>
      <c r="F114" s="41" t="s">
        <v>1248</v>
      </c>
      <c r="G114" s="244" t="s">
        <v>109</v>
      </c>
      <c r="H114" s="241" t="s">
        <v>64</v>
      </c>
      <c r="I114" s="241" t="s">
        <v>64</v>
      </c>
      <c r="J114" s="241" t="s">
        <v>64</v>
      </c>
      <c r="K114" s="241"/>
      <c r="L114" s="241"/>
      <c r="M114" s="41" t="s">
        <v>1364</v>
      </c>
      <c r="N114" s="242" t="s">
        <v>467</v>
      </c>
    </row>
    <row r="115" spans="1:14" ht="67.5" customHeight="1">
      <c r="A115" s="241"/>
      <c r="B115" s="41" t="s">
        <v>1365</v>
      </c>
      <c r="C115" s="246"/>
      <c r="D115" s="243"/>
      <c r="E115" s="122" t="s">
        <v>1363</v>
      </c>
      <c r="F115" s="41" t="s">
        <v>109</v>
      </c>
      <c r="G115" s="244"/>
      <c r="H115" s="241"/>
      <c r="I115" s="241"/>
      <c r="J115" s="241"/>
      <c r="K115" s="241"/>
      <c r="L115" s="241"/>
      <c r="M115" s="86" t="s">
        <v>48</v>
      </c>
      <c r="N115" s="242"/>
    </row>
    <row r="116" spans="1:14" ht="67.5" customHeight="1">
      <c r="A116" s="241">
        <f>A114+1</f>
        <v>32</v>
      </c>
      <c r="B116" s="87" t="s">
        <v>1375</v>
      </c>
      <c r="C116" s="245" t="s">
        <v>1573</v>
      </c>
      <c r="D116" s="243" t="s">
        <v>1271</v>
      </c>
      <c r="E116" s="122" t="s">
        <v>1376</v>
      </c>
      <c r="F116" s="41" t="s">
        <v>1248</v>
      </c>
      <c r="G116" s="244" t="s">
        <v>109</v>
      </c>
      <c r="H116" s="241" t="s">
        <v>64</v>
      </c>
      <c r="I116" s="241" t="s">
        <v>64</v>
      </c>
      <c r="J116" s="241" t="s">
        <v>64</v>
      </c>
      <c r="K116" s="241"/>
      <c r="L116" s="241"/>
      <c r="M116" s="41" t="s">
        <v>823</v>
      </c>
      <c r="N116" s="242" t="s">
        <v>824</v>
      </c>
    </row>
    <row r="117" spans="1:14" ht="67.5" customHeight="1">
      <c r="A117" s="241"/>
      <c r="B117" s="41" t="s">
        <v>1377</v>
      </c>
      <c r="C117" s="246"/>
      <c r="D117" s="243"/>
      <c r="E117" s="122" t="s">
        <v>1378</v>
      </c>
      <c r="F117" s="41" t="s">
        <v>109</v>
      </c>
      <c r="G117" s="244"/>
      <c r="H117" s="241"/>
      <c r="I117" s="241"/>
      <c r="J117" s="241"/>
      <c r="K117" s="241"/>
      <c r="L117" s="241"/>
      <c r="M117" s="86" t="s">
        <v>48</v>
      </c>
      <c r="N117" s="242"/>
    </row>
    <row r="118" spans="1:14" ht="67.5" customHeight="1">
      <c r="A118" s="241">
        <f>A116+1</f>
        <v>33</v>
      </c>
      <c r="B118" s="87" t="s">
        <v>130</v>
      </c>
      <c r="C118" s="245" t="s">
        <v>1569</v>
      </c>
      <c r="D118" s="243" t="s">
        <v>1271</v>
      </c>
      <c r="E118" s="122" t="s">
        <v>1266</v>
      </c>
      <c r="F118" s="41" t="s">
        <v>1248</v>
      </c>
      <c r="G118" s="244" t="s">
        <v>109</v>
      </c>
      <c r="H118" s="241" t="s">
        <v>64</v>
      </c>
      <c r="I118" s="241" t="s">
        <v>64</v>
      </c>
      <c r="J118" s="241"/>
      <c r="K118" s="241"/>
      <c r="L118" s="241"/>
      <c r="M118" s="41" t="s">
        <v>275</v>
      </c>
      <c r="N118" s="242" t="s">
        <v>276</v>
      </c>
    </row>
    <row r="119" spans="1:14" ht="54" customHeight="1">
      <c r="A119" s="241"/>
      <c r="B119" s="41" t="s">
        <v>1343</v>
      </c>
      <c r="C119" s="246"/>
      <c r="D119" s="243"/>
      <c r="E119" s="122" t="s">
        <v>1344</v>
      </c>
      <c r="F119" s="41" t="s">
        <v>109</v>
      </c>
      <c r="G119" s="244"/>
      <c r="H119" s="241"/>
      <c r="I119" s="241"/>
      <c r="J119" s="241"/>
      <c r="K119" s="241"/>
      <c r="L119" s="241"/>
      <c r="M119" s="86" t="s">
        <v>48</v>
      </c>
      <c r="N119" s="242"/>
    </row>
    <row r="120" spans="1:14" ht="54" customHeight="1">
      <c r="A120" s="250" t="s">
        <v>47</v>
      </c>
      <c r="B120" s="250"/>
      <c r="C120" s="250"/>
      <c r="D120" s="250"/>
      <c r="E120" s="250"/>
      <c r="F120" s="251" t="s">
        <v>1753</v>
      </c>
      <c r="G120" s="252"/>
      <c r="H120" s="252"/>
      <c r="I120" s="252"/>
      <c r="J120" s="252"/>
      <c r="K120" s="252"/>
      <c r="L120" s="251" t="s">
        <v>1755</v>
      </c>
      <c r="M120" s="252"/>
      <c r="N120" s="252"/>
    </row>
    <row r="121" spans="1:14">
      <c r="A121" s="240" t="s">
        <v>1257</v>
      </c>
      <c r="B121" s="240"/>
      <c r="C121" s="240"/>
      <c r="D121" s="240"/>
      <c r="E121" s="240"/>
      <c r="F121" s="240"/>
      <c r="G121" s="240"/>
      <c r="H121" s="240"/>
      <c r="I121" s="240"/>
      <c r="J121" s="240"/>
      <c r="K121" s="240"/>
      <c r="L121" s="240"/>
      <c r="M121" s="240"/>
      <c r="N121" s="240"/>
    </row>
    <row r="122" spans="1:14">
      <c r="A122" s="95"/>
      <c r="B122" s="240" t="s">
        <v>1258</v>
      </c>
      <c r="C122" s="240"/>
      <c r="D122" s="240"/>
      <c r="E122" s="240"/>
      <c r="F122" s="240"/>
      <c r="G122" s="240"/>
      <c r="H122" s="240"/>
      <c r="I122" s="240"/>
      <c r="J122" s="240"/>
      <c r="K122" s="240"/>
      <c r="L122" s="240"/>
      <c r="M122" s="240"/>
      <c r="N122" s="240"/>
    </row>
    <row r="123" spans="1:14">
      <c r="A123" s="95"/>
      <c r="B123" s="240" t="s">
        <v>1145</v>
      </c>
      <c r="C123" s="240"/>
      <c r="D123" s="240"/>
      <c r="E123" s="240"/>
      <c r="F123" s="240"/>
      <c r="G123" s="240"/>
      <c r="H123" s="240"/>
      <c r="I123" s="240"/>
      <c r="J123" s="240"/>
      <c r="K123" s="240"/>
      <c r="L123" s="240"/>
      <c r="M123" s="240"/>
      <c r="N123" s="240"/>
    </row>
    <row r="124" spans="1:14">
      <c r="A124" s="95"/>
      <c r="B124" s="240" t="s">
        <v>1146</v>
      </c>
      <c r="C124" s="240"/>
      <c r="D124" s="240"/>
      <c r="E124" s="240"/>
      <c r="F124" s="240"/>
      <c r="G124" s="240"/>
      <c r="H124" s="240"/>
      <c r="I124" s="240"/>
      <c r="J124" s="240"/>
      <c r="K124" s="240"/>
      <c r="L124" s="240"/>
      <c r="M124" s="240"/>
      <c r="N124" s="240"/>
    </row>
    <row r="125" spans="1:14" ht="60" customHeight="1">
      <c r="A125" s="241">
        <f>A118+1</f>
        <v>34</v>
      </c>
      <c r="B125" s="87" t="s">
        <v>1345</v>
      </c>
      <c r="C125" s="245" t="s">
        <v>960</v>
      </c>
      <c r="D125" s="243" t="s">
        <v>1271</v>
      </c>
      <c r="E125" s="122" t="s">
        <v>1850</v>
      </c>
      <c r="F125" s="41" t="s">
        <v>1248</v>
      </c>
      <c r="G125" s="244" t="s">
        <v>109</v>
      </c>
      <c r="H125" s="241" t="s">
        <v>64</v>
      </c>
      <c r="I125" s="241" t="s">
        <v>64</v>
      </c>
      <c r="J125" s="241"/>
      <c r="K125" s="241"/>
      <c r="L125" s="241"/>
      <c r="M125" s="41" t="s">
        <v>1848</v>
      </c>
      <c r="N125" s="242" t="s">
        <v>1849</v>
      </c>
    </row>
    <row r="126" spans="1:14" ht="60" customHeight="1">
      <c r="A126" s="241"/>
      <c r="B126" s="41" t="s">
        <v>1346</v>
      </c>
      <c r="C126" s="246"/>
      <c r="D126" s="243"/>
      <c r="E126" s="122" t="s">
        <v>1822</v>
      </c>
      <c r="F126" s="41" t="s">
        <v>109</v>
      </c>
      <c r="G126" s="244"/>
      <c r="H126" s="241"/>
      <c r="I126" s="241"/>
      <c r="J126" s="241"/>
      <c r="K126" s="241"/>
      <c r="L126" s="241"/>
      <c r="M126" s="86" t="s">
        <v>48</v>
      </c>
      <c r="N126" s="242"/>
    </row>
    <row r="127" spans="1:14" ht="60" customHeight="1">
      <c r="A127" s="241">
        <f>A125+1</f>
        <v>35</v>
      </c>
      <c r="B127" s="87" t="s">
        <v>1289</v>
      </c>
      <c r="C127" s="245" t="s">
        <v>1574</v>
      </c>
      <c r="D127" s="243" t="s">
        <v>1271</v>
      </c>
      <c r="E127" s="122" t="s">
        <v>1850</v>
      </c>
      <c r="F127" s="41" t="s">
        <v>1248</v>
      </c>
      <c r="G127" s="244" t="s">
        <v>109</v>
      </c>
      <c r="H127" s="241" t="s">
        <v>64</v>
      </c>
      <c r="I127" s="241"/>
      <c r="J127" s="241"/>
      <c r="K127" s="241"/>
      <c r="L127" s="241" t="s">
        <v>64</v>
      </c>
      <c r="M127" s="41" t="s">
        <v>1873</v>
      </c>
      <c r="N127" s="242" t="s">
        <v>1872</v>
      </c>
    </row>
    <row r="128" spans="1:14" ht="60" customHeight="1">
      <c r="A128" s="241"/>
      <c r="B128" s="41" t="s">
        <v>1291</v>
      </c>
      <c r="C128" s="246"/>
      <c r="D128" s="243"/>
      <c r="E128" s="122"/>
      <c r="F128" s="41" t="s">
        <v>109</v>
      </c>
      <c r="G128" s="244"/>
      <c r="H128" s="241"/>
      <c r="I128" s="241"/>
      <c r="J128" s="241"/>
      <c r="K128" s="241"/>
      <c r="L128" s="241"/>
      <c r="M128" s="86" t="s">
        <v>48</v>
      </c>
      <c r="N128" s="242"/>
    </row>
    <row r="129" spans="1:14" ht="60" customHeight="1">
      <c r="A129" s="241">
        <f>A127+1</f>
        <v>36</v>
      </c>
      <c r="B129" s="87" t="s">
        <v>1292</v>
      </c>
      <c r="C129" s="245" t="s">
        <v>92</v>
      </c>
      <c r="D129" s="243" t="s">
        <v>1271</v>
      </c>
      <c r="E129" s="122" t="s">
        <v>1850</v>
      </c>
      <c r="F129" s="41" t="s">
        <v>1248</v>
      </c>
      <c r="G129" s="244" t="s">
        <v>109</v>
      </c>
      <c r="H129" s="241" t="s">
        <v>64</v>
      </c>
      <c r="I129" s="241"/>
      <c r="J129" s="241"/>
      <c r="K129" s="241"/>
      <c r="L129" s="241" t="s">
        <v>64</v>
      </c>
      <c r="M129" s="41" t="s">
        <v>1873</v>
      </c>
      <c r="N129" s="242" t="s">
        <v>1872</v>
      </c>
    </row>
    <row r="130" spans="1:14" ht="60" customHeight="1">
      <c r="A130" s="241"/>
      <c r="B130" s="41" t="s">
        <v>1293</v>
      </c>
      <c r="C130" s="246"/>
      <c r="D130" s="243"/>
      <c r="E130" s="122"/>
      <c r="F130" s="41" t="s">
        <v>109</v>
      </c>
      <c r="G130" s="244"/>
      <c r="H130" s="241"/>
      <c r="I130" s="241"/>
      <c r="J130" s="241"/>
      <c r="K130" s="241"/>
      <c r="L130" s="241"/>
      <c r="M130" s="86" t="s">
        <v>48</v>
      </c>
      <c r="N130" s="242"/>
    </row>
    <row r="131" spans="1:14" ht="60" customHeight="1">
      <c r="A131" s="241">
        <f t="shared" ref="A131" si="0">A129+1</f>
        <v>37</v>
      </c>
      <c r="B131" s="87" t="s">
        <v>1294</v>
      </c>
      <c r="C131" s="245" t="s">
        <v>92</v>
      </c>
      <c r="D131" s="243" t="s">
        <v>1271</v>
      </c>
      <c r="E131" s="122" t="s">
        <v>1850</v>
      </c>
      <c r="F131" s="41" t="s">
        <v>1248</v>
      </c>
      <c r="G131" s="244" t="s">
        <v>109</v>
      </c>
      <c r="H131" s="241" t="s">
        <v>64</v>
      </c>
      <c r="I131" s="241"/>
      <c r="J131" s="241"/>
      <c r="K131" s="241"/>
      <c r="L131" s="241" t="s">
        <v>64</v>
      </c>
      <c r="M131" s="41" t="s">
        <v>1873</v>
      </c>
      <c r="N131" s="242" t="s">
        <v>1872</v>
      </c>
    </row>
    <row r="132" spans="1:14" ht="60" customHeight="1">
      <c r="A132" s="241"/>
      <c r="B132" s="41" t="s">
        <v>1295</v>
      </c>
      <c r="C132" s="246"/>
      <c r="D132" s="243"/>
      <c r="E132" s="122"/>
      <c r="F132" s="41" t="s">
        <v>109</v>
      </c>
      <c r="G132" s="244"/>
      <c r="H132" s="241"/>
      <c r="I132" s="241"/>
      <c r="J132" s="241"/>
      <c r="K132" s="241"/>
      <c r="L132" s="241"/>
      <c r="M132" s="86" t="s">
        <v>48</v>
      </c>
      <c r="N132" s="242"/>
    </row>
    <row r="133" spans="1:14" ht="60" customHeight="1">
      <c r="A133" s="241">
        <f t="shared" ref="A133" si="1">A131+1</f>
        <v>38</v>
      </c>
      <c r="B133" s="87" t="s">
        <v>1301</v>
      </c>
      <c r="C133" s="245" t="s">
        <v>1014</v>
      </c>
      <c r="D133" s="243" t="s">
        <v>1271</v>
      </c>
      <c r="E133" s="122" t="s">
        <v>1302</v>
      </c>
      <c r="F133" s="41" t="s">
        <v>1248</v>
      </c>
      <c r="G133" s="244" t="s">
        <v>109</v>
      </c>
      <c r="H133" s="241" t="s">
        <v>64</v>
      </c>
      <c r="I133" s="241" t="s">
        <v>64</v>
      </c>
      <c r="J133" s="241" t="s">
        <v>64</v>
      </c>
      <c r="K133" s="241" t="s">
        <v>64</v>
      </c>
      <c r="L133" s="241"/>
      <c r="M133" s="41" t="s">
        <v>1303</v>
      </c>
      <c r="N133" s="242" t="s">
        <v>1035</v>
      </c>
    </row>
    <row r="134" spans="1:14" ht="60" customHeight="1">
      <c r="A134" s="241"/>
      <c r="B134" s="41" t="s">
        <v>1304</v>
      </c>
      <c r="C134" s="246"/>
      <c r="D134" s="243"/>
      <c r="E134" s="122" t="s">
        <v>1305</v>
      </c>
      <c r="F134" s="41" t="s">
        <v>109</v>
      </c>
      <c r="G134" s="244"/>
      <c r="H134" s="241"/>
      <c r="I134" s="241"/>
      <c r="J134" s="241"/>
      <c r="K134" s="241"/>
      <c r="L134" s="241"/>
      <c r="M134" s="86" t="s">
        <v>48</v>
      </c>
      <c r="N134" s="242"/>
    </row>
    <row r="135" spans="1:14" ht="54" customHeight="1">
      <c r="A135" s="250" t="s">
        <v>47</v>
      </c>
      <c r="B135" s="250"/>
      <c r="C135" s="250"/>
      <c r="D135" s="250"/>
      <c r="E135" s="250"/>
      <c r="F135" s="251" t="s">
        <v>1753</v>
      </c>
      <c r="G135" s="252"/>
      <c r="H135" s="252"/>
      <c r="I135" s="252"/>
      <c r="J135" s="252"/>
      <c r="K135" s="252"/>
      <c r="L135" s="251" t="s">
        <v>1755</v>
      </c>
      <c r="M135" s="252"/>
      <c r="N135" s="252"/>
    </row>
    <row r="136" spans="1:14">
      <c r="A136" s="240" t="s">
        <v>1257</v>
      </c>
      <c r="B136" s="240"/>
      <c r="C136" s="240"/>
      <c r="D136" s="240"/>
      <c r="E136" s="240"/>
      <c r="F136" s="240"/>
      <c r="G136" s="240"/>
      <c r="H136" s="240"/>
      <c r="I136" s="240"/>
      <c r="J136" s="240"/>
      <c r="K136" s="240"/>
      <c r="L136" s="240"/>
      <c r="M136" s="240"/>
      <c r="N136" s="240"/>
    </row>
    <row r="137" spans="1:14">
      <c r="A137" s="95"/>
      <c r="B137" s="240" t="s">
        <v>1258</v>
      </c>
      <c r="C137" s="240"/>
      <c r="D137" s="240"/>
      <c r="E137" s="240"/>
      <c r="F137" s="240"/>
      <c r="G137" s="240"/>
      <c r="H137" s="240"/>
      <c r="I137" s="240"/>
      <c r="J137" s="240"/>
      <c r="K137" s="240"/>
      <c r="L137" s="240"/>
      <c r="M137" s="240"/>
      <c r="N137" s="240"/>
    </row>
    <row r="138" spans="1:14">
      <c r="A138" s="95"/>
      <c r="B138" s="240" t="s">
        <v>1145</v>
      </c>
      <c r="C138" s="240"/>
      <c r="D138" s="240"/>
      <c r="E138" s="240"/>
      <c r="F138" s="240"/>
      <c r="G138" s="240"/>
      <c r="H138" s="240"/>
      <c r="I138" s="240"/>
      <c r="J138" s="240"/>
      <c r="K138" s="240"/>
      <c r="L138" s="240"/>
      <c r="M138" s="240"/>
      <c r="N138" s="240"/>
    </row>
    <row r="139" spans="1:14">
      <c r="A139" s="95"/>
      <c r="B139" s="240" t="s">
        <v>1146</v>
      </c>
      <c r="C139" s="240"/>
      <c r="D139" s="240"/>
      <c r="E139" s="240"/>
      <c r="F139" s="240"/>
      <c r="G139" s="240"/>
      <c r="H139" s="240"/>
      <c r="I139" s="240"/>
      <c r="J139" s="240"/>
      <c r="K139" s="240"/>
      <c r="L139" s="240"/>
      <c r="M139" s="240"/>
      <c r="N139" s="240"/>
    </row>
    <row r="140" spans="1:14" ht="96.75" customHeight="1">
      <c r="A140" s="241">
        <f t="shared" ref="A140" si="2">A133+1</f>
        <v>39</v>
      </c>
      <c r="B140" s="87" t="s">
        <v>1306</v>
      </c>
      <c r="C140" s="245" t="s">
        <v>1013</v>
      </c>
      <c r="D140" s="243" t="s">
        <v>1271</v>
      </c>
      <c r="E140" s="122" t="s">
        <v>1302</v>
      </c>
      <c r="F140" s="41" t="s">
        <v>1248</v>
      </c>
      <c r="G140" s="244" t="s">
        <v>109</v>
      </c>
      <c r="H140" s="241" t="s">
        <v>64</v>
      </c>
      <c r="I140" s="241" t="s">
        <v>64</v>
      </c>
      <c r="J140" s="241" t="s">
        <v>64</v>
      </c>
      <c r="K140" s="241" t="s">
        <v>64</v>
      </c>
      <c r="L140" s="241"/>
      <c r="M140" s="41" t="s">
        <v>1037</v>
      </c>
      <c r="N140" s="242" t="s">
        <v>1038</v>
      </c>
    </row>
    <row r="141" spans="1:14" ht="60" customHeight="1">
      <c r="A141" s="241"/>
      <c r="B141" s="41" t="s">
        <v>1307</v>
      </c>
      <c r="C141" s="246"/>
      <c r="D141" s="243"/>
      <c r="E141" s="122" t="s">
        <v>1305</v>
      </c>
      <c r="F141" s="41" t="s">
        <v>109</v>
      </c>
      <c r="G141" s="244"/>
      <c r="H141" s="241"/>
      <c r="I141" s="241"/>
      <c r="J141" s="241"/>
      <c r="K141" s="241"/>
      <c r="L141" s="241"/>
      <c r="M141" s="86" t="s">
        <v>48</v>
      </c>
      <c r="N141" s="242"/>
    </row>
    <row r="142" spans="1:14" ht="60" customHeight="1">
      <c r="A142" s="241">
        <f t="shared" ref="A142" si="3">A140+1</f>
        <v>40</v>
      </c>
      <c r="B142" s="87" t="s">
        <v>1311</v>
      </c>
      <c r="C142" s="245" t="s">
        <v>1012</v>
      </c>
      <c r="D142" s="243" t="s">
        <v>1271</v>
      </c>
      <c r="E142" s="122" t="s">
        <v>1302</v>
      </c>
      <c r="F142" s="41" t="s">
        <v>1248</v>
      </c>
      <c r="G142" s="244" t="s">
        <v>109</v>
      </c>
      <c r="H142" s="241" t="s">
        <v>64</v>
      </c>
      <c r="I142" s="241" t="s">
        <v>64</v>
      </c>
      <c r="J142" s="241" t="s">
        <v>64</v>
      </c>
      <c r="K142" s="241" t="s">
        <v>64</v>
      </c>
      <c r="L142" s="241"/>
      <c r="M142" s="41" t="s">
        <v>1019</v>
      </c>
      <c r="N142" s="242" t="s">
        <v>1018</v>
      </c>
    </row>
    <row r="143" spans="1:14" ht="60" customHeight="1">
      <c r="A143" s="241"/>
      <c r="B143" s="41" t="s">
        <v>1312</v>
      </c>
      <c r="C143" s="246"/>
      <c r="D143" s="243"/>
      <c r="E143" s="122" t="s">
        <v>1313</v>
      </c>
      <c r="F143" s="41" t="s">
        <v>109</v>
      </c>
      <c r="G143" s="244"/>
      <c r="H143" s="241"/>
      <c r="I143" s="241"/>
      <c r="J143" s="241"/>
      <c r="K143" s="241"/>
      <c r="L143" s="241"/>
      <c r="M143" s="86" t="s">
        <v>48</v>
      </c>
      <c r="N143" s="242"/>
    </row>
    <row r="144" spans="1:14" ht="107.25" customHeight="1">
      <c r="A144" s="241">
        <f>A142+1</f>
        <v>41</v>
      </c>
      <c r="B144" s="87" t="s">
        <v>1314</v>
      </c>
      <c r="C144" s="245" t="s">
        <v>689</v>
      </c>
      <c r="D144" s="243" t="s">
        <v>1271</v>
      </c>
      <c r="E144" s="122" t="s">
        <v>1302</v>
      </c>
      <c r="F144" s="41" t="s">
        <v>1248</v>
      </c>
      <c r="G144" s="244" t="s">
        <v>109</v>
      </c>
      <c r="H144" s="241" t="s">
        <v>64</v>
      </c>
      <c r="I144" s="241" t="s">
        <v>64</v>
      </c>
      <c r="J144" s="241" t="s">
        <v>64</v>
      </c>
      <c r="K144" s="241" t="s">
        <v>64</v>
      </c>
      <c r="L144" s="241"/>
      <c r="M144" s="41" t="s">
        <v>1026</v>
      </c>
      <c r="N144" s="242" t="s">
        <v>1036</v>
      </c>
    </row>
    <row r="145" spans="1:14" ht="60" customHeight="1">
      <c r="A145" s="241"/>
      <c r="B145" s="41" t="s">
        <v>1315</v>
      </c>
      <c r="C145" s="246"/>
      <c r="D145" s="243"/>
      <c r="E145" s="122" t="s">
        <v>1305</v>
      </c>
      <c r="F145" s="41" t="s">
        <v>109</v>
      </c>
      <c r="G145" s="244"/>
      <c r="H145" s="241"/>
      <c r="I145" s="241"/>
      <c r="J145" s="241"/>
      <c r="K145" s="241"/>
      <c r="L145" s="241"/>
      <c r="M145" s="86" t="s">
        <v>48</v>
      </c>
      <c r="N145" s="242"/>
    </row>
    <row r="146" spans="1:14" ht="76.5" customHeight="1">
      <c r="A146" s="253">
        <f>A144+1</f>
        <v>42</v>
      </c>
      <c r="B146" s="87" t="s">
        <v>1316</v>
      </c>
      <c r="C146" s="245" t="s">
        <v>1016</v>
      </c>
      <c r="D146" s="243" t="s">
        <v>1271</v>
      </c>
      <c r="E146" s="122" t="s">
        <v>1302</v>
      </c>
      <c r="F146" s="41" t="s">
        <v>1248</v>
      </c>
      <c r="G146" s="244" t="s">
        <v>109</v>
      </c>
      <c r="H146" s="241" t="s">
        <v>64</v>
      </c>
      <c r="I146" s="241" t="s">
        <v>64</v>
      </c>
      <c r="J146" s="241" t="s">
        <v>64</v>
      </c>
      <c r="K146" s="241" t="s">
        <v>64</v>
      </c>
      <c r="L146" s="241"/>
      <c r="M146" s="41" t="s">
        <v>1039</v>
      </c>
      <c r="N146" s="242" t="s">
        <v>1041</v>
      </c>
    </row>
    <row r="147" spans="1:14" ht="76.5" customHeight="1">
      <c r="A147" s="254"/>
      <c r="B147" s="41" t="s">
        <v>1317</v>
      </c>
      <c r="C147" s="246"/>
      <c r="D147" s="243"/>
      <c r="E147" s="122" t="s">
        <v>1313</v>
      </c>
      <c r="F147" s="41" t="s">
        <v>109</v>
      </c>
      <c r="G147" s="244"/>
      <c r="H147" s="241"/>
      <c r="I147" s="241"/>
      <c r="J147" s="241"/>
      <c r="K147" s="241"/>
      <c r="L147" s="241"/>
      <c r="M147" s="86" t="s">
        <v>48</v>
      </c>
      <c r="N147" s="242"/>
    </row>
    <row r="148" spans="1:14" ht="39" customHeight="1">
      <c r="A148" s="250" t="s">
        <v>47</v>
      </c>
      <c r="B148" s="250"/>
      <c r="C148" s="250"/>
      <c r="D148" s="250"/>
      <c r="E148" s="250"/>
      <c r="F148" s="251" t="s">
        <v>1753</v>
      </c>
      <c r="G148" s="252"/>
      <c r="H148" s="252"/>
      <c r="I148" s="252"/>
      <c r="J148" s="252"/>
      <c r="K148" s="252"/>
      <c r="L148" s="251" t="s">
        <v>1755</v>
      </c>
      <c r="M148" s="252"/>
      <c r="N148" s="252"/>
    </row>
    <row r="149" spans="1:14">
      <c r="A149" s="240" t="s">
        <v>1257</v>
      </c>
      <c r="B149" s="240"/>
      <c r="C149" s="240"/>
      <c r="D149" s="240"/>
      <c r="E149" s="240"/>
      <c r="F149" s="240"/>
      <c r="G149" s="240"/>
      <c r="H149" s="240"/>
      <c r="I149" s="240"/>
      <c r="J149" s="240"/>
      <c r="K149" s="240"/>
      <c r="L149" s="240"/>
      <c r="M149" s="240"/>
      <c r="N149" s="240"/>
    </row>
    <row r="150" spans="1:14">
      <c r="A150" s="95"/>
      <c r="B150" s="240" t="s">
        <v>1258</v>
      </c>
      <c r="C150" s="240"/>
      <c r="D150" s="240"/>
      <c r="E150" s="240"/>
      <c r="F150" s="240"/>
      <c r="G150" s="240"/>
      <c r="H150" s="240"/>
      <c r="I150" s="240"/>
      <c r="J150" s="240"/>
      <c r="K150" s="240"/>
      <c r="L150" s="240"/>
      <c r="M150" s="240"/>
      <c r="N150" s="240"/>
    </row>
    <row r="151" spans="1:14">
      <c r="A151" s="95"/>
      <c r="B151" s="240" t="s">
        <v>1145</v>
      </c>
      <c r="C151" s="240"/>
      <c r="D151" s="240"/>
      <c r="E151" s="240"/>
      <c r="F151" s="240"/>
      <c r="G151" s="240"/>
      <c r="H151" s="240"/>
      <c r="I151" s="240"/>
      <c r="J151" s="240"/>
      <c r="K151" s="240"/>
      <c r="L151" s="240"/>
      <c r="M151" s="240"/>
      <c r="N151" s="240"/>
    </row>
    <row r="152" spans="1:14">
      <c r="A152" s="95"/>
      <c r="B152" s="240" t="s">
        <v>1146</v>
      </c>
      <c r="C152" s="240"/>
      <c r="D152" s="240"/>
      <c r="E152" s="240"/>
      <c r="F152" s="240"/>
      <c r="G152" s="240"/>
      <c r="H152" s="240"/>
      <c r="I152" s="240"/>
      <c r="J152" s="240"/>
      <c r="K152" s="240"/>
      <c r="L152" s="240"/>
      <c r="M152" s="240"/>
      <c r="N152" s="240"/>
    </row>
    <row r="153" spans="1:14" ht="60" customHeight="1">
      <c r="A153" s="253">
        <f>A146+1</f>
        <v>43</v>
      </c>
      <c r="B153" s="87" t="s">
        <v>1308</v>
      </c>
      <c r="C153" s="245" t="s">
        <v>1012</v>
      </c>
      <c r="D153" s="243" t="s">
        <v>1271</v>
      </c>
      <c r="E153" s="122" t="s">
        <v>1290</v>
      </c>
      <c r="F153" s="41" t="s">
        <v>1248</v>
      </c>
      <c r="G153" s="244" t="s">
        <v>109</v>
      </c>
      <c r="H153" s="241" t="s">
        <v>64</v>
      </c>
      <c r="I153" s="241" t="s">
        <v>64</v>
      </c>
      <c r="J153" s="241" t="s">
        <v>64</v>
      </c>
      <c r="K153" s="241" t="s">
        <v>64</v>
      </c>
      <c r="L153" s="241"/>
      <c r="M153" s="41" t="s">
        <v>924</v>
      </c>
      <c r="N153" s="242" t="s">
        <v>925</v>
      </c>
    </row>
    <row r="154" spans="1:14" ht="42.75" customHeight="1">
      <c r="A154" s="254"/>
      <c r="B154" s="41" t="s">
        <v>1309</v>
      </c>
      <c r="C154" s="246"/>
      <c r="D154" s="243"/>
      <c r="E154" s="122" t="s">
        <v>1310</v>
      </c>
      <c r="F154" s="41" t="s">
        <v>109</v>
      </c>
      <c r="G154" s="244"/>
      <c r="H154" s="241"/>
      <c r="I154" s="241"/>
      <c r="J154" s="241"/>
      <c r="K154" s="241"/>
      <c r="L154" s="241"/>
      <c r="M154" s="86" t="s">
        <v>48</v>
      </c>
      <c r="N154" s="242"/>
    </row>
    <row r="155" spans="1:14" ht="60" customHeight="1">
      <c r="A155" s="253">
        <f>A153+1</f>
        <v>44</v>
      </c>
      <c r="B155" s="87" t="s">
        <v>20</v>
      </c>
      <c r="C155" s="245" t="s">
        <v>109</v>
      </c>
      <c r="D155" s="243" t="s">
        <v>1271</v>
      </c>
      <c r="E155" s="122" t="s">
        <v>1302</v>
      </c>
      <c r="F155" s="41" t="s">
        <v>1248</v>
      </c>
      <c r="G155" s="244" t="s">
        <v>109</v>
      </c>
      <c r="H155" s="241" t="s">
        <v>64</v>
      </c>
      <c r="I155" s="241" t="s">
        <v>64</v>
      </c>
      <c r="J155" s="241" t="s">
        <v>64</v>
      </c>
      <c r="K155" s="241" t="s">
        <v>64</v>
      </c>
      <c r="L155" s="241"/>
      <c r="M155" s="41" t="s">
        <v>1050</v>
      </c>
      <c r="N155" s="242" t="s">
        <v>1051</v>
      </c>
    </row>
    <row r="156" spans="1:14" ht="42.75" customHeight="1">
      <c r="A156" s="254"/>
      <c r="B156" s="41" t="s">
        <v>1318</v>
      </c>
      <c r="C156" s="246"/>
      <c r="D156" s="243"/>
      <c r="E156" s="122" t="s">
        <v>1319</v>
      </c>
      <c r="F156" s="41" t="s">
        <v>109</v>
      </c>
      <c r="G156" s="244"/>
      <c r="H156" s="241"/>
      <c r="I156" s="241"/>
      <c r="J156" s="241"/>
      <c r="K156" s="241"/>
      <c r="L156" s="241"/>
      <c r="M156" s="86" t="s">
        <v>48</v>
      </c>
      <c r="N156" s="242"/>
    </row>
    <row r="157" spans="1:14" ht="60" customHeight="1">
      <c r="A157" s="253">
        <f t="shared" ref="A157" si="4">A155+1</f>
        <v>45</v>
      </c>
      <c r="B157" s="87" t="s">
        <v>20</v>
      </c>
      <c r="C157" s="245" t="s">
        <v>109</v>
      </c>
      <c r="D157" s="243" t="s">
        <v>1271</v>
      </c>
      <c r="E157" s="122" t="s">
        <v>1320</v>
      </c>
      <c r="F157" s="41" t="s">
        <v>1248</v>
      </c>
      <c r="G157" s="244" t="s">
        <v>109</v>
      </c>
      <c r="H157" s="241" t="s">
        <v>64</v>
      </c>
      <c r="I157" s="241" t="s">
        <v>64</v>
      </c>
      <c r="J157" s="241" t="s">
        <v>64</v>
      </c>
      <c r="K157" s="241" t="s">
        <v>64</v>
      </c>
      <c r="L157" s="241"/>
      <c r="M157" s="41" t="s">
        <v>1049</v>
      </c>
      <c r="N157" s="242" t="s">
        <v>1048</v>
      </c>
    </row>
    <row r="158" spans="1:14" ht="42.75" customHeight="1">
      <c r="A158" s="254"/>
      <c r="B158" s="41" t="s">
        <v>1321</v>
      </c>
      <c r="C158" s="246"/>
      <c r="D158" s="243"/>
      <c r="E158" s="122" t="s">
        <v>1322</v>
      </c>
      <c r="F158" s="41" t="s">
        <v>109</v>
      </c>
      <c r="G158" s="244"/>
      <c r="H158" s="241"/>
      <c r="I158" s="241"/>
      <c r="J158" s="241"/>
      <c r="K158" s="241"/>
      <c r="L158" s="241"/>
      <c r="M158" s="86" t="s">
        <v>48</v>
      </c>
      <c r="N158" s="242"/>
    </row>
    <row r="159" spans="1:14" ht="60" customHeight="1">
      <c r="A159" s="253">
        <f t="shared" ref="A159" si="5">A157+1</f>
        <v>46</v>
      </c>
      <c r="B159" s="87" t="s">
        <v>1323</v>
      </c>
      <c r="C159" s="245" t="s">
        <v>1017</v>
      </c>
      <c r="D159" s="243" t="s">
        <v>1271</v>
      </c>
      <c r="E159" s="122" t="s">
        <v>1302</v>
      </c>
      <c r="F159" s="41" t="s">
        <v>1248</v>
      </c>
      <c r="G159" s="244" t="s">
        <v>109</v>
      </c>
      <c r="H159" s="241" t="s">
        <v>64</v>
      </c>
      <c r="I159" s="241" t="s">
        <v>64</v>
      </c>
      <c r="J159" s="241" t="s">
        <v>64</v>
      </c>
      <c r="K159" s="241" t="s">
        <v>64</v>
      </c>
      <c r="L159" s="241"/>
      <c r="M159" s="41" t="s">
        <v>1020</v>
      </c>
      <c r="N159" s="242" t="s">
        <v>1021</v>
      </c>
    </row>
    <row r="160" spans="1:14" ht="42.75" customHeight="1">
      <c r="A160" s="254"/>
      <c r="B160" s="41" t="s">
        <v>1324</v>
      </c>
      <c r="C160" s="246"/>
      <c r="D160" s="243"/>
      <c r="E160" s="122" t="s">
        <v>1313</v>
      </c>
      <c r="F160" s="41" t="s">
        <v>109</v>
      </c>
      <c r="G160" s="244"/>
      <c r="H160" s="241"/>
      <c r="I160" s="241"/>
      <c r="J160" s="241"/>
      <c r="K160" s="241"/>
      <c r="L160" s="241"/>
      <c r="M160" s="86" t="s">
        <v>48</v>
      </c>
      <c r="N160" s="242"/>
    </row>
    <row r="161" spans="1:14" ht="60" customHeight="1">
      <c r="A161" s="253">
        <f t="shared" ref="A161:A163" si="6">A159+1</f>
        <v>47</v>
      </c>
      <c r="B161" s="87" t="s">
        <v>1298</v>
      </c>
      <c r="C161" s="245" t="s">
        <v>1015</v>
      </c>
      <c r="D161" s="243" t="s">
        <v>1271</v>
      </c>
      <c r="E161" s="122" t="s">
        <v>1290</v>
      </c>
      <c r="F161" s="41" t="s">
        <v>1248</v>
      </c>
      <c r="G161" s="244" t="s">
        <v>109</v>
      </c>
      <c r="H161" s="241" t="s">
        <v>64</v>
      </c>
      <c r="I161" s="241"/>
      <c r="J161" s="241"/>
      <c r="K161" s="241" t="s">
        <v>64</v>
      </c>
      <c r="L161" s="241"/>
      <c r="M161" s="41" t="s">
        <v>920</v>
      </c>
      <c r="N161" s="242" t="s">
        <v>921</v>
      </c>
    </row>
    <row r="162" spans="1:14" ht="42.75" customHeight="1">
      <c r="A162" s="254"/>
      <c r="B162" s="41" t="s">
        <v>1299</v>
      </c>
      <c r="C162" s="246"/>
      <c r="D162" s="243"/>
      <c r="E162" s="122" t="s">
        <v>1300</v>
      </c>
      <c r="F162" s="41" t="s">
        <v>109</v>
      </c>
      <c r="G162" s="244"/>
      <c r="H162" s="241"/>
      <c r="I162" s="241"/>
      <c r="J162" s="241"/>
      <c r="K162" s="241"/>
      <c r="L162" s="241"/>
      <c r="M162" s="86" t="s">
        <v>48</v>
      </c>
      <c r="N162" s="242"/>
    </row>
    <row r="163" spans="1:14" ht="60" customHeight="1">
      <c r="A163" s="253">
        <f t="shared" si="6"/>
        <v>48</v>
      </c>
      <c r="B163" s="87" t="s">
        <v>1672</v>
      </c>
      <c r="C163" s="245" t="s">
        <v>1673</v>
      </c>
      <c r="D163" s="243" t="s">
        <v>1271</v>
      </c>
      <c r="E163" s="122">
        <v>45976</v>
      </c>
      <c r="F163" s="41" t="s">
        <v>1248</v>
      </c>
      <c r="G163" s="244"/>
      <c r="H163" s="241" t="s">
        <v>64</v>
      </c>
      <c r="I163" s="241" t="s">
        <v>64</v>
      </c>
      <c r="J163" s="241" t="s">
        <v>64</v>
      </c>
      <c r="K163" s="241"/>
      <c r="L163" s="241"/>
      <c r="M163" s="41" t="s">
        <v>1681</v>
      </c>
      <c r="N163" s="242" t="s">
        <v>1680</v>
      </c>
    </row>
    <row r="164" spans="1:14" ht="42.75" customHeight="1">
      <c r="A164" s="254"/>
      <c r="B164" s="41" t="s">
        <v>1671</v>
      </c>
      <c r="C164" s="246"/>
      <c r="D164" s="243"/>
      <c r="E164" s="122"/>
      <c r="F164" s="41" t="s">
        <v>109</v>
      </c>
      <c r="G164" s="244"/>
      <c r="H164" s="241"/>
      <c r="I164" s="241"/>
      <c r="J164" s="241"/>
      <c r="K164" s="241"/>
      <c r="L164" s="241"/>
      <c r="M164" s="86" t="s">
        <v>48</v>
      </c>
      <c r="N164" s="242"/>
    </row>
    <row r="165" spans="1:14" ht="39" customHeight="1">
      <c r="A165" s="250" t="s">
        <v>47</v>
      </c>
      <c r="B165" s="250"/>
      <c r="C165" s="250"/>
      <c r="D165" s="250"/>
      <c r="E165" s="250"/>
      <c r="F165" s="251" t="s">
        <v>1753</v>
      </c>
      <c r="G165" s="252"/>
      <c r="H165" s="252"/>
      <c r="I165" s="252"/>
      <c r="J165" s="252"/>
      <c r="K165" s="252"/>
      <c r="L165" s="251" t="s">
        <v>1755</v>
      </c>
      <c r="M165" s="252"/>
      <c r="N165" s="252"/>
    </row>
    <row r="166" spans="1:14">
      <c r="A166" s="240" t="s">
        <v>1257</v>
      </c>
      <c r="B166" s="240"/>
      <c r="C166" s="240"/>
      <c r="D166" s="240"/>
      <c r="E166" s="240"/>
      <c r="F166" s="240"/>
      <c r="G166" s="240"/>
      <c r="H166" s="240"/>
      <c r="I166" s="240"/>
      <c r="J166" s="240"/>
      <c r="K166" s="240"/>
      <c r="L166" s="240"/>
      <c r="M166" s="240"/>
      <c r="N166" s="240"/>
    </row>
    <row r="167" spans="1:14">
      <c r="A167" s="95"/>
      <c r="B167" s="240" t="s">
        <v>1258</v>
      </c>
      <c r="C167" s="240"/>
      <c r="D167" s="240"/>
      <c r="E167" s="240"/>
      <c r="F167" s="240"/>
      <c r="G167" s="240"/>
      <c r="H167" s="240"/>
      <c r="I167" s="240"/>
      <c r="J167" s="240"/>
      <c r="K167" s="240"/>
      <c r="L167" s="240"/>
      <c r="M167" s="240"/>
      <c r="N167" s="240"/>
    </row>
    <row r="168" spans="1:14">
      <c r="A168" s="95"/>
      <c r="B168" s="240" t="s">
        <v>1145</v>
      </c>
      <c r="C168" s="240"/>
      <c r="D168" s="240"/>
      <c r="E168" s="240"/>
      <c r="F168" s="240"/>
      <c r="G168" s="240"/>
      <c r="H168" s="240"/>
      <c r="I168" s="240"/>
      <c r="J168" s="240"/>
      <c r="K168" s="240"/>
      <c r="L168" s="240"/>
      <c r="M168" s="240"/>
      <c r="N168" s="240"/>
    </row>
    <row r="169" spans="1:14">
      <c r="A169" s="95"/>
      <c r="B169" s="240" t="s">
        <v>1146</v>
      </c>
      <c r="C169" s="240"/>
      <c r="D169" s="240"/>
      <c r="E169" s="240"/>
      <c r="F169" s="240"/>
      <c r="G169" s="240"/>
      <c r="H169" s="240"/>
      <c r="I169" s="240"/>
      <c r="J169" s="240"/>
      <c r="K169" s="240"/>
      <c r="L169" s="240"/>
      <c r="M169" s="240"/>
      <c r="N169" s="240"/>
    </row>
    <row r="170" spans="1:14" ht="54" customHeight="1" thickBot="1">
      <c r="A170" s="247" t="s">
        <v>47</v>
      </c>
      <c r="B170" s="248"/>
      <c r="C170" s="248"/>
      <c r="D170" s="248"/>
      <c r="E170" s="249"/>
      <c r="F170" s="251" t="s">
        <v>1753</v>
      </c>
      <c r="G170" s="252"/>
      <c r="H170" s="252"/>
      <c r="I170" s="252"/>
      <c r="J170" s="252"/>
      <c r="K170" s="252"/>
      <c r="L170" s="251" t="s">
        <v>1755</v>
      </c>
      <c r="M170" s="252"/>
      <c r="N170" s="252"/>
    </row>
    <row r="171" spans="1:14">
      <c r="A171" s="255" t="s">
        <v>1257</v>
      </c>
      <c r="B171" s="255"/>
      <c r="C171" s="255"/>
      <c r="D171" s="255"/>
      <c r="E171" s="255"/>
      <c r="F171" s="255"/>
      <c r="G171" s="255"/>
      <c r="H171" s="255"/>
      <c r="I171" s="255"/>
      <c r="J171" s="255"/>
      <c r="K171" s="255"/>
      <c r="L171" s="255"/>
      <c r="M171" s="255"/>
      <c r="N171" s="255"/>
    </row>
    <row r="172" spans="1:14">
      <c r="A172" s="95"/>
      <c r="B172" s="240" t="s">
        <v>1258</v>
      </c>
      <c r="C172" s="240"/>
      <c r="D172" s="240"/>
      <c r="E172" s="240"/>
      <c r="F172" s="240"/>
      <c r="G172" s="240"/>
      <c r="H172" s="240"/>
      <c r="I172" s="240"/>
      <c r="J172" s="240"/>
      <c r="K172" s="240"/>
      <c r="L172" s="240"/>
      <c r="M172" s="240"/>
      <c r="N172" s="240"/>
    </row>
    <row r="173" spans="1:14">
      <c r="A173" s="95"/>
      <c r="B173" s="240" t="s">
        <v>1145</v>
      </c>
      <c r="C173" s="240"/>
      <c r="D173" s="240"/>
      <c r="E173" s="240"/>
      <c r="F173" s="240"/>
      <c r="G173" s="240"/>
      <c r="H173" s="240"/>
      <c r="I173" s="240"/>
      <c r="J173" s="240"/>
      <c r="K173" s="240"/>
      <c r="L173" s="240"/>
      <c r="M173" s="240"/>
      <c r="N173" s="240"/>
    </row>
    <row r="174" spans="1:14">
      <c r="A174" s="95"/>
      <c r="B174" s="240" t="s">
        <v>1146</v>
      </c>
      <c r="C174" s="240"/>
      <c r="D174" s="240"/>
      <c r="E174" s="240"/>
      <c r="F174" s="240"/>
      <c r="G174" s="240"/>
      <c r="H174" s="240"/>
      <c r="I174" s="240"/>
      <c r="J174" s="240"/>
      <c r="K174" s="240"/>
      <c r="L174" s="240"/>
      <c r="M174" s="240"/>
      <c r="N174" s="240"/>
    </row>
  </sheetData>
  <sheetProtection formatCells="0" formatColumns="0" formatRows="0"/>
  <mergeCells count="622">
    <mergeCell ref="N163:N164"/>
    <mergeCell ref="A163:A164"/>
    <mergeCell ref="C163:C164"/>
    <mergeCell ref="D163:D164"/>
    <mergeCell ref="G163:G164"/>
    <mergeCell ref="H163:H164"/>
    <mergeCell ref="I163:I164"/>
    <mergeCell ref="J163:J164"/>
    <mergeCell ref="K163:K164"/>
    <mergeCell ref="L163:L164"/>
    <mergeCell ref="I12:I13"/>
    <mergeCell ref="J12:J13"/>
    <mergeCell ref="K12:K13"/>
    <mergeCell ref="K14:K15"/>
    <mergeCell ref="G129:G130"/>
    <mergeCell ref="H129:H130"/>
    <mergeCell ref="I129:I130"/>
    <mergeCell ref="J129:J130"/>
    <mergeCell ref="K129:K130"/>
    <mergeCell ref="B97:N97"/>
    <mergeCell ref="B98:N98"/>
    <mergeCell ref="D86:D87"/>
    <mergeCell ref="L99:L100"/>
    <mergeCell ref="G92:G93"/>
    <mergeCell ref="D92:D93"/>
    <mergeCell ref="N49:N50"/>
    <mergeCell ref="C49:C50"/>
    <mergeCell ref="C66:C67"/>
    <mergeCell ref="L51:L52"/>
    <mergeCell ref="H66:H67"/>
    <mergeCell ref="I66:I67"/>
    <mergeCell ref="C77:C78"/>
    <mergeCell ref="D77:D78"/>
    <mergeCell ref="G77:G78"/>
    <mergeCell ref="L129:L130"/>
    <mergeCell ref="C101:C102"/>
    <mergeCell ref="D101:D102"/>
    <mergeCell ref="A86:A87"/>
    <mergeCell ref="A101:A102"/>
    <mergeCell ref="A112:A113"/>
    <mergeCell ref="J103:J104"/>
    <mergeCell ref="L103:L104"/>
    <mergeCell ref="K103:K104"/>
    <mergeCell ref="H105:H106"/>
    <mergeCell ref="I101:I102"/>
    <mergeCell ref="J101:J102"/>
    <mergeCell ref="K101:K102"/>
    <mergeCell ref="G112:G113"/>
    <mergeCell ref="B111:N111"/>
    <mergeCell ref="A125:A126"/>
    <mergeCell ref="C125:C126"/>
    <mergeCell ref="L101:L102"/>
    <mergeCell ref="N101:N102"/>
    <mergeCell ref="N90:N91"/>
    <mergeCell ref="C90:C91"/>
    <mergeCell ref="I99:I100"/>
    <mergeCell ref="C99:C100"/>
    <mergeCell ref="B96:N96"/>
    <mergeCell ref="G131:G132"/>
    <mergeCell ref="H131:H132"/>
    <mergeCell ref="I131:I132"/>
    <mergeCell ref="J131:J132"/>
    <mergeCell ref="K131:K132"/>
    <mergeCell ref="L131:L132"/>
    <mergeCell ref="I77:I78"/>
    <mergeCell ref="B71:N71"/>
    <mergeCell ref="B72:N72"/>
    <mergeCell ref="N92:N93"/>
    <mergeCell ref="G101:G102"/>
    <mergeCell ref="H101:H102"/>
    <mergeCell ref="C86:C87"/>
    <mergeCell ref="K105:K106"/>
    <mergeCell ref="L105:L106"/>
    <mergeCell ref="C112:C113"/>
    <mergeCell ref="D112:D113"/>
    <mergeCell ref="C75:C76"/>
    <mergeCell ref="G114:G115"/>
    <mergeCell ref="G105:G106"/>
    <mergeCell ref="J105:J106"/>
    <mergeCell ref="F94:K94"/>
    <mergeCell ref="L94:N94"/>
    <mergeCell ref="A95:N95"/>
    <mergeCell ref="L75:L76"/>
    <mergeCell ref="N75:N76"/>
    <mergeCell ref="K75:K76"/>
    <mergeCell ref="L68:N68"/>
    <mergeCell ref="A69:N69"/>
    <mergeCell ref="I73:I74"/>
    <mergeCell ref="D51:D52"/>
    <mergeCell ref="A55:E55"/>
    <mergeCell ref="A75:A76"/>
    <mergeCell ref="J75:J76"/>
    <mergeCell ref="K73:K74"/>
    <mergeCell ref="L73:L74"/>
    <mergeCell ref="B70:N70"/>
    <mergeCell ref="G73:G74"/>
    <mergeCell ref="H73:H74"/>
    <mergeCell ref="A60:A61"/>
    <mergeCell ref="C60:C61"/>
    <mergeCell ref="D60:D61"/>
    <mergeCell ref="G60:G61"/>
    <mergeCell ref="H60:H61"/>
    <mergeCell ref="I60:I61"/>
    <mergeCell ref="C73:C74"/>
    <mergeCell ref="D73:D74"/>
    <mergeCell ref="A64:A65"/>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J142:J143"/>
    <mergeCell ref="I142:I143"/>
    <mergeCell ref="K142:K143"/>
    <mergeCell ref="A133:A134"/>
    <mergeCell ref="C133:C134"/>
    <mergeCell ref="D133:D134"/>
    <mergeCell ref="G133:G134"/>
    <mergeCell ref="H133:H134"/>
    <mergeCell ref="I133:I134"/>
    <mergeCell ref="J133:J134"/>
    <mergeCell ref="K133:K134"/>
    <mergeCell ref="B32:N32"/>
    <mergeCell ref="B33:N33"/>
    <mergeCell ref="I49:I50"/>
    <mergeCell ref="J49:J50"/>
    <mergeCell ref="F42:K42"/>
    <mergeCell ref="D66:D67"/>
    <mergeCell ref="G66:G67"/>
    <mergeCell ref="A62:A63"/>
    <mergeCell ref="J40:J41"/>
    <mergeCell ref="D99:D100"/>
    <mergeCell ref="G99:G100"/>
    <mergeCell ref="A105:A106"/>
    <mergeCell ref="C105:C106"/>
    <mergeCell ref="D105:D106"/>
    <mergeCell ref="N88:N89"/>
    <mergeCell ref="K49:K50"/>
    <mergeCell ref="D103:D104"/>
    <mergeCell ref="C38:C39"/>
    <mergeCell ref="D38:D39"/>
    <mergeCell ref="G38:G39"/>
    <mergeCell ref="H38:H39"/>
    <mergeCell ref="I38:I39"/>
    <mergeCell ref="G40:G41"/>
    <mergeCell ref="H40:H41"/>
    <mergeCell ref="I40:I41"/>
    <mergeCell ref="G88:G89"/>
    <mergeCell ref="D62:D63"/>
    <mergeCell ref="G62:G63"/>
    <mergeCell ref="H62:H63"/>
    <mergeCell ref="I62:I63"/>
    <mergeCell ref="D40:D41"/>
    <mergeCell ref="D64:D65"/>
    <mergeCell ref="G64:G65"/>
    <mergeCell ref="I88:I89"/>
    <mergeCell ref="G53:G54"/>
    <mergeCell ref="D49:D50"/>
    <mergeCell ref="H49:H50"/>
    <mergeCell ref="H88:H89"/>
    <mergeCell ref="B46:N46"/>
    <mergeCell ref="L49:L50"/>
    <mergeCell ref="C161:C162"/>
    <mergeCell ref="N14:N15"/>
    <mergeCell ref="B169:N169"/>
    <mergeCell ref="N114:N115"/>
    <mergeCell ref="L140:L141"/>
    <mergeCell ref="D161:D162"/>
    <mergeCell ref="N142:N143"/>
    <mergeCell ref="C144:C145"/>
    <mergeCell ref="D144:D145"/>
    <mergeCell ref="G144:G145"/>
    <mergeCell ref="H144:H145"/>
    <mergeCell ref="I144:I145"/>
    <mergeCell ref="J144:J145"/>
    <mergeCell ref="K144:K145"/>
    <mergeCell ref="L144:L145"/>
    <mergeCell ref="N144:N145"/>
    <mergeCell ref="L142:L143"/>
    <mergeCell ref="K146:K147"/>
    <mergeCell ref="L146:L147"/>
    <mergeCell ref="C36:C37"/>
    <mergeCell ref="D36:D37"/>
    <mergeCell ref="C14:C15"/>
    <mergeCell ref="D14:D15"/>
    <mergeCell ref="H14:H15"/>
    <mergeCell ref="A17:N17"/>
    <mergeCell ref="B19:N19"/>
    <mergeCell ref="B20:N20"/>
    <mergeCell ref="C8:C9"/>
    <mergeCell ref="D8:D9"/>
    <mergeCell ref="G8:G9"/>
    <mergeCell ref="I14:I15"/>
    <mergeCell ref="J14:J15"/>
    <mergeCell ref="N12:N13"/>
    <mergeCell ref="L12:L13"/>
    <mergeCell ref="F16:K16"/>
    <mergeCell ref="A14:A15"/>
    <mergeCell ref="B18:N18"/>
    <mergeCell ref="A10:A11"/>
    <mergeCell ref="C10:C11"/>
    <mergeCell ref="D10:D11"/>
    <mergeCell ref="G10:G11"/>
    <mergeCell ref="H10:H11"/>
    <mergeCell ref="I10:I11"/>
    <mergeCell ref="A12:A13"/>
    <mergeCell ref="C12:C13"/>
    <mergeCell ref="D12:D13"/>
    <mergeCell ref="G12:G13"/>
    <mergeCell ref="H12:H13"/>
    <mergeCell ref="H8:H9"/>
    <mergeCell ref="A40:A41"/>
    <mergeCell ref="C25:C26"/>
    <mergeCell ref="D25:D26"/>
    <mergeCell ref="H25:H26"/>
    <mergeCell ref="I25:I26"/>
    <mergeCell ref="J25:J26"/>
    <mergeCell ref="A49:A50"/>
    <mergeCell ref="C40:C41"/>
    <mergeCell ref="I47:I48"/>
    <mergeCell ref="G27:G28"/>
    <mergeCell ref="J36:J37"/>
    <mergeCell ref="G25:G26"/>
    <mergeCell ref="G36:G37"/>
    <mergeCell ref="A29:E29"/>
    <mergeCell ref="A36:A37"/>
    <mergeCell ref="A47:A48"/>
    <mergeCell ref="C47:C48"/>
    <mergeCell ref="A42:E42"/>
    <mergeCell ref="G49:G50"/>
    <mergeCell ref="J47:J48"/>
    <mergeCell ref="A8:A9"/>
    <mergeCell ref="A16:E16"/>
    <mergeCell ref="G14:G15"/>
    <mergeCell ref="A25:A26"/>
    <mergeCell ref="K23:K24"/>
    <mergeCell ref="A21:A22"/>
    <mergeCell ref="C21:C22"/>
    <mergeCell ref="D21:D22"/>
    <mergeCell ref="H21:H22"/>
    <mergeCell ref="I21:I22"/>
    <mergeCell ref="J21:J22"/>
    <mergeCell ref="K21:K22"/>
    <mergeCell ref="G21:G22"/>
    <mergeCell ref="D23:D24"/>
    <mergeCell ref="H23:H24"/>
    <mergeCell ref="A38:A39"/>
    <mergeCell ref="F29:K29"/>
    <mergeCell ref="J38:J39"/>
    <mergeCell ref="L36:L37"/>
    <mergeCell ref="A34:A35"/>
    <mergeCell ref="C34:C35"/>
    <mergeCell ref="D34:D35"/>
    <mergeCell ref="G34:G35"/>
    <mergeCell ref="H34:H35"/>
    <mergeCell ref="I34:I35"/>
    <mergeCell ref="J34:J35"/>
    <mergeCell ref="I27:I28"/>
    <mergeCell ref="J27:J28"/>
    <mergeCell ref="K27:K28"/>
    <mergeCell ref="L27:L28"/>
    <mergeCell ref="H27:H28"/>
    <mergeCell ref="H53:H54"/>
    <mergeCell ref="I53:I54"/>
    <mergeCell ref="K36:K37"/>
    <mergeCell ref="K34:K35"/>
    <mergeCell ref="L34:L35"/>
    <mergeCell ref="H36:H37"/>
    <mergeCell ref="K51:K52"/>
    <mergeCell ref="K53:K54"/>
    <mergeCell ref="H51:H52"/>
    <mergeCell ref="I51:I52"/>
    <mergeCell ref="D47:D48"/>
    <mergeCell ref="G47:G48"/>
    <mergeCell ref="H47:H48"/>
    <mergeCell ref="L42:N42"/>
    <mergeCell ref="A43:N43"/>
    <mergeCell ref="B44:N44"/>
    <mergeCell ref="B45:N45"/>
    <mergeCell ref="A53:A54"/>
    <mergeCell ref="C53:C54"/>
    <mergeCell ref="C51:C52"/>
    <mergeCell ref="K47:K48"/>
    <mergeCell ref="L47:L48"/>
    <mergeCell ref="N47:N48"/>
    <mergeCell ref="N51:N52"/>
    <mergeCell ref="L53:L54"/>
    <mergeCell ref="N53:N54"/>
    <mergeCell ref="J51:J52"/>
    <mergeCell ref="A51:A52"/>
    <mergeCell ref="I8:I9"/>
    <mergeCell ref="J8:J9"/>
    <mergeCell ref="K8:K9"/>
    <mergeCell ref="L8:L9"/>
    <mergeCell ref="N8:N9"/>
    <mergeCell ref="N38:N39"/>
    <mergeCell ref="K38:K39"/>
    <mergeCell ref="K40:K41"/>
    <mergeCell ref="L40:L41"/>
    <mergeCell ref="I23:I24"/>
    <mergeCell ref="I36:I37"/>
    <mergeCell ref="N21:N22"/>
    <mergeCell ref="L21:L22"/>
    <mergeCell ref="N36:N37"/>
    <mergeCell ref="N40:N41"/>
    <mergeCell ref="J10:J11"/>
    <mergeCell ref="K10:K11"/>
    <mergeCell ref="L10:L11"/>
    <mergeCell ref="N10:N11"/>
    <mergeCell ref="L38:L39"/>
    <mergeCell ref="N34:N35"/>
    <mergeCell ref="N25:N26"/>
    <mergeCell ref="L14:L15"/>
    <mergeCell ref="L16:N16"/>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M6:M7"/>
    <mergeCell ref="F5:F6"/>
    <mergeCell ref="G5:G7"/>
    <mergeCell ref="L6:L7"/>
    <mergeCell ref="L133:L134"/>
    <mergeCell ref="N133:N134"/>
    <mergeCell ref="N62:N63"/>
    <mergeCell ref="G51:G52"/>
    <mergeCell ref="D53:D54"/>
    <mergeCell ref="J53:J54"/>
    <mergeCell ref="J23:J24"/>
    <mergeCell ref="L23:L24"/>
    <mergeCell ref="L29:N29"/>
    <mergeCell ref="A30:N30"/>
    <mergeCell ref="B31:N31"/>
    <mergeCell ref="K25:K26"/>
    <mergeCell ref="L25:L26"/>
    <mergeCell ref="A27:A28"/>
    <mergeCell ref="C27:C28"/>
    <mergeCell ref="D27:D28"/>
    <mergeCell ref="N23:N24"/>
    <mergeCell ref="N27:N28"/>
    <mergeCell ref="G23:G24"/>
    <mergeCell ref="A23:A24"/>
    <mergeCell ref="C23:C24"/>
    <mergeCell ref="J60:J61"/>
    <mergeCell ref="K60:K61"/>
    <mergeCell ref="L60:L61"/>
    <mergeCell ref="B174:N174"/>
    <mergeCell ref="A103:A104"/>
    <mergeCell ref="C103:C104"/>
    <mergeCell ref="A99:A100"/>
    <mergeCell ref="K99:K100"/>
    <mergeCell ref="L114:L115"/>
    <mergeCell ref="N105:N106"/>
    <mergeCell ref="N103:N104"/>
    <mergeCell ref="N99:N100"/>
    <mergeCell ref="H112:H113"/>
    <mergeCell ref="A144:A145"/>
    <mergeCell ref="C114:C115"/>
    <mergeCell ref="D114:D115"/>
    <mergeCell ref="H114:H115"/>
    <mergeCell ref="I114:I115"/>
    <mergeCell ref="J114:J115"/>
    <mergeCell ref="G127:G128"/>
    <mergeCell ref="H127:H128"/>
    <mergeCell ref="N129:N130"/>
    <mergeCell ref="H99:H100"/>
    <mergeCell ref="C153:C154"/>
    <mergeCell ref="D153:D154"/>
    <mergeCell ref="G153:G154"/>
    <mergeCell ref="H153:H154"/>
    <mergeCell ref="N131:N132"/>
    <mergeCell ref="A129:A130"/>
    <mergeCell ref="C129:C130"/>
    <mergeCell ref="A131:A132"/>
    <mergeCell ref="C131:C132"/>
    <mergeCell ref="D131:D132"/>
    <mergeCell ref="F55:K55"/>
    <mergeCell ref="L55:N55"/>
    <mergeCell ref="A56:N56"/>
    <mergeCell ref="B57:N57"/>
    <mergeCell ref="B58:N58"/>
    <mergeCell ref="B59:N59"/>
    <mergeCell ref="I127:I128"/>
    <mergeCell ref="J127:J128"/>
    <mergeCell ref="K127:K128"/>
    <mergeCell ref="I105:I106"/>
    <mergeCell ref="N60:N61"/>
    <mergeCell ref="N64:N65"/>
    <mergeCell ref="K62:K63"/>
    <mergeCell ref="L62:L63"/>
    <mergeCell ref="L64:L65"/>
    <mergeCell ref="A79:A80"/>
    <mergeCell ref="A94:E94"/>
    <mergeCell ref="B83:N83"/>
    <mergeCell ref="C88:C89"/>
    <mergeCell ref="K77:K78"/>
    <mergeCell ref="H86:H87"/>
    <mergeCell ref="I86:I87"/>
    <mergeCell ref="J88:J89"/>
    <mergeCell ref="L81:N81"/>
    <mergeCell ref="A82:N82"/>
    <mergeCell ref="A88:A89"/>
    <mergeCell ref="L77:L78"/>
    <mergeCell ref="H77:H78"/>
    <mergeCell ref="N77:N78"/>
    <mergeCell ref="J77:J78"/>
    <mergeCell ref="H92:H93"/>
    <mergeCell ref="I92:I93"/>
    <mergeCell ref="J92:J93"/>
    <mergeCell ref="K92:K93"/>
    <mergeCell ref="A77:A78"/>
    <mergeCell ref="B84:N84"/>
    <mergeCell ref="H90:H91"/>
    <mergeCell ref="I90:I91"/>
    <mergeCell ref="J90:J91"/>
    <mergeCell ref="K90:K91"/>
    <mergeCell ref="L90:L91"/>
    <mergeCell ref="G86:G87"/>
    <mergeCell ref="L88:L89"/>
    <mergeCell ref="A92:A93"/>
    <mergeCell ref="C92:C93"/>
    <mergeCell ref="C79:C80"/>
    <mergeCell ref="D79:D80"/>
    <mergeCell ref="G79:G80"/>
    <mergeCell ref="H79:H80"/>
    <mergeCell ref="I79:I80"/>
    <mergeCell ref="J79:J80"/>
    <mergeCell ref="K79:K80"/>
    <mergeCell ref="L79:L80"/>
    <mergeCell ref="B85:N85"/>
    <mergeCell ref="K114:K115"/>
    <mergeCell ref="I112:I113"/>
    <mergeCell ref="L120:N120"/>
    <mergeCell ref="A121:N121"/>
    <mergeCell ref="A118:A119"/>
    <mergeCell ref="C118:C119"/>
    <mergeCell ref="D118:D119"/>
    <mergeCell ref="G118:G119"/>
    <mergeCell ref="H118:H119"/>
    <mergeCell ref="I118:I119"/>
    <mergeCell ref="N112:N113"/>
    <mergeCell ref="J112:J113"/>
    <mergeCell ref="K112:K113"/>
    <mergeCell ref="L112:L113"/>
    <mergeCell ref="A120:E120"/>
    <mergeCell ref="F120:K120"/>
    <mergeCell ref="D146:D147"/>
    <mergeCell ref="G146:G147"/>
    <mergeCell ref="H146:H147"/>
    <mergeCell ref="I146:I147"/>
    <mergeCell ref="C157:C158"/>
    <mergeCell ref="D157:D15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L153:L154"/>
    <mergeCell ref="N153:N154"/>
    <mergeCell ref="K157:K158"/>
    <mergeCell ref="N66:N67"/>
    <mergeCell ref="L107:N107"/>
    <mergeCell ref="J99:J100"/>
    <mergeCell ref="D90:D91"/>
    <mergeCell ref="G90:G91"/>
    <mergeCell ref="D75:D76"/>
    <mergeCell ref="G75:G76"/>
    <mergeCell ref="H75:H76"/>
    <mergeCell ref="I75:I76"/>
    <mergeCell ref="J86:J87"/>
    <mergeCell ref="K86:K87"/>
    <mergeCell ref="L86:L87"/>
    <mergeCell ref="N86:N87"/>
    <mergeCell ref="K88:K89"/>
    <mergeCell ref="D88:D89"/>
    <mergeCell ref="N79:N80"/>
    <mergeCell ref="N73:N74"/>
    <mergeCell ref="G103:G104"/>
    <mergeCell ref="L66:L67"/>
    <mergeCell ref="H103:H104"/>
    <mergeCell ref="I103:I104"/>
    <mergeCell ref="L92:L93"/>
    <mergeCell ref="J73:J74"/>
    <mergeCell ref="A171:N171"/>
    <mergeCell ref="B172:N172"/>
    <mergeCell ref="B173:N173"/>
    <mergeCell ref="F170:K170"/>
    <mergeCell ref="L170:N170"/>
    <mergeCell ref="C159:C160"/>
    <mergeCell ref="D159:D160"/>
    <mergeCell ref="G159:G160"/>
    <mergeCell ref="H159:H160"/>
    <mergeCell ref="I159:I160"/>
    <mergeCell ref="J159:J160"/>
    <mergeCell ref="K159:K160"/>
    <mergeCell ref="L159:L160"/>
    <mergeCell ref="F165:K165"/>
    <mergeCell ref="N159:N160"/>
    <mergeCell ref="G161:G162"/>
    <mergeCell ref="H161:H162"/>
    <mergeCell ref="I161:I162"/>
    <mergeCell ref="J161:J162"/>
    <mergeCell ref="K161:K162"/>
    <mergeCell ref="L161:L162"/>
    <mergeCell ref="N161:N162"/>
    <mergeCell ref="A166:N166"/>
    <mergeCell ref="B167:N167"/>
    <mergeCell ref="B168:N168"/>
    <mergeCell ref="L165:N165"/>
    <mergeCell ref="A116:A117"/>
    <mergeCell ref="C116:C117"/>
    <mergeCell ref="D116:D117"/>
    <mergeCell ref="G116:G117"/>
    <mergeCell ref="H116:H117"/>
    <mergeCell ref="I116:I117"/>
    <mergeCell ref="J116:J117"/>
    <mergeCell ref="K116:K117"/>
    <mergeCell ref="L116:L117"/>
    <mergeCell ref="N116:N117"/>
    <mergeCell ref="A146:A147"/>
    <mergeCell ref="A153:A154"/>
    <mergeCell ref="A155:A156"/>
    <mergeCell ref="A157:A158"/>
    <mergeCell ref="A159:A160"/>
    <mergeCell ref="A161:A162"/>
    <mergeCell ref="N157:N158"/>
    <mergeCell ref="L157:L158"/>
    <mergeCell ref="N155:N156"/>
    <mergeCell ref="J157:J158"/>
    <mergeCell ref="A165:E165"/>
    <mergeCell ref="C146:C147"/>
    <mergeCell ref="C64:C65"/>
    <mergeCell ref="A68:E68"/>
    <mergeCell ref="A73:A74"/>
    <mergeCell ref="F68:K68"/>
    <mergeCell ref="J66:J67"/>
    <mergeCell ref="K66:K67"/>
    <mergeCell ref="I64:I65"/>
    <mergeCell ref="J64:J65"/>
    <mergeCell ref="K64:K65"/>
    <mergeCell ref="A66:A67"/>
    <mergeCell ref="H64:H65"/>
    <mergeCell ref="C62:C63"/>
    <mergeCell ref="J62:J63"/>
    <mergeCell ref="A170:E170"/>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A107:E107"/>
    <mergeCell ref="F107:K107"/>
    <mergeCell ref="A108:N108"/>
    <mergeCell ref="B109:N109"/>
    <mergeCell ref="B110:N110"/>
    <mergeCell ref="J146:J147"/>
    <mergeCell ref="N146:N147"/>
    <mergeCell ref="A114:A115"/>
    <mergeCell ref="D125:D126"/>
    <mergeCell ref="G125:G126"/>
    <mergeCell ref="H125:H126"/>
    <mergeCell ref="I125:I126"/>
    <mergeCell ref="J125:J126"/>
    <mergeCell ref="K125:K126"/>
    <mergeCell ref="L125:L126"/>
    <mergeCell ref="N118:N119"/>
    <mergeCell ref="D129:D130"/>
    <mergeCell ref="L127:L128"/>
    <mergeCell ref="N127:N128"/>
    <mergeCell ref="N125:N126"/>
    <mergeCell ref="N140:N141"/>
    <mergeCell ref="A127:A128"/>
    <mergeCell ref="C127:C128"/>
    <mergeCell ref="D127:D128"/>
    <mergeCell ref="J118:J119"/>
    <mergeCell ref="K118:K119"/>
    <mergeCell ref="L118:L119"/>
  </mergeCells>
  <phoneticPr fontId="13"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14"/>
  <sheetViews>
    <sheetView view="pageBreakPreview" zoomScale="85" zoomScaleNormal="100" zoomScaleSheetLayoutView="85" zoomScalePageLayoutView="85" workbookViewId="0">
      <pane xSplit="1" ySplit="6" topLeftCell="B103" activePane="bottomRight" state="frozen"/>
      <selection activeCell="F16" sqref="F16:K16"/>
      <selection pane="topRight" activeCell="F16" sqref="F16:K16"/>
      <selection pane="bottomLeft" activeCell="F16" sqref="F16:K16"/>
      <selection pane="bottomRight" activeCell="L6" sqref="L6"/>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2.5" customHeight="1">
      <c r="A2" s="286" t="s">
        <v>0</v>
      </c>
      <c r="B2" s="286"/>
      <c r="C2" s="286"/>
      <c r="D2" s="286"/>
      <c r="E2" s="286"/>
      <c r="F2" s="286"/>
      <c r="G2" s="286"/>
      <c r="H2" s="286"/>
      <c r="I2" s="286"/>
      <c r="J2" s="286"/>
      <c r="K2" s="286"/>
    </row>
    <row r="3" spans="1:27" ht="16.5" customHeight="1">
      <c r="A3" s="260" t="str">
        <f>"工程名稱:"&amp;'1.計畫'!A1:I1</f>
        <v>工程名稱:磺港溪再造C段護岸及步道整建工程（延壽橋至三合橋）</v>
      </c>
      <c r="B3" s="287"/>
      <c r="C3" s="287"/>
      <c r="D3" s="287"/>
      <c r="E3" s="287"/>
      <c r="F3" s="287"/>
      <c r="G3" s="288"/>
      <c r="H3" s="260" t="s">
        <v>83</v>
      </c>
      <c r="I3" s="287"/>
      <c r="J3" s="287"/>
      <c r="K3" s="288"/>
    </row>
    <row r="4" spans="1:27" ht="16.5" customHeight="1">
      <c r="A4" s="260" t="s">
        <v>40</v>
      </c>
      <c r="B4" s="287"/>
      <c r="C4" s="287"/>
      <c r="D4" s="287"/>
      <c r="E4" s="287"/>
      <c r="F4" s="287"/>
      <c r="G4" s="288"/>
      <c r="H4" s="260" t="s">
        <v>84</v>
      </c>
      <c r="I4" s="287"/>
      <c r="J4" s="287"/>
      <c r="K4" s="288"/>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75" customHeight="1">
      <c r="A7" s="267" t="str">
        <f>"1-140 -"&amp;L7</f>
        <v>1-140 -1</v>
      </c>
      <c r="B7" s="126" t="s">
        <v>1195</v>
      </c>
      <c r="C7" s="269" t="s">
        <v>1527</v>
      </c>
      <c r="D7" s="115">
        <f>VLOOKUP(L7,'210'!A:T,2,0)</f>
        <v>45181</v>
      </c>
      <c r="E7" s="271" t="str">
        <f>M7&amp;M8</f>
        <v>0 M3</v>
      </c>
      <c r="F7" s="115">
        <f>D7</f>
        <v>45181</v>
      </c>
      <c r="G7" s="264" t="s">
        <v>145</v>
      </c>
      <c r="H7" s="117" t="str">
        <f>N7&amp;M8</f>
        <v>0 M3</v>
      </c>
      <c r="I7" s="285" t="s">
        <v>107</v>
      </c>
      <c r="J7" s="274" t="str">
        <f>IF(R7=0,"上  溢："&amp;S7,IF(Q7=0,"任  泰："&amp;R7&amp;"                 "&amp;"上  溢："&amp;S7,
"水利處："&amp;Q7&amp;"                 "&amp;"任  泰："&amp;R7&amp;"                 "&amp;"上  溢："&amp;S7))</f>
        <v>水利處：李晏然                 任  泰：游文圃                 上  溢：康祐銓</v>
      </c>
      <c r="K7" s="264" t="s">
        <v>212</v>
      </c>
      <c r="L7" s="136">
        <v>1</v>
      </c>
      <c r="M7" s="128">
        <f>VLOOKUP(L7,'140'!A:T,5,0)</f>
        <v>0</v>
      </c>
      <c r="N7" s="128">
        <f>M7</f>
        <v>0</v>
      </c>
      <c r="O7" s="128">
        <f>VLOOKUP(L7,'140'!A:T,6,0)</f>
        <v>1</v>
      </c>
      <c r="P7" s="128">
        <f>O7</f>
        <v>1</v>
      </c>
      <c r="Q7" s="128" t="str">
        <f>VLOOKUP(L7,'140'!A:T,18,0)</f>
        <v>李晏然</v>
      </c>
      <c r="R7" s="128" t="str">
        <f>VLOOKUP(L7,'140'!A:T,19,0)</f>
        <v>游文圃</v>
      </c>
      <c r="S7" s="128" t="str">
        <f>VLOOKUP(L7,'140'!A:T,20,0)</f>
        <v>康祐銓</v>
      </c>
      <c r="T7" s="137"/>
      <c r="U7" s="137"/>
      <c r="V7" s="137"/>
      <c r="W7" s="137"/>
      <c r="X7" s="137"/>
      <c r="Y7" s="137"/>
      <c r="Z7" s="137"/>
      <c r="AA7" s="137"/>
    </row>
    <row r="8" spans="1:27" s="138" customFormat="1" ht="50.1" customHeight="1">
      <c r="A8" s="268"/>
      <c r="B8" s="174" t="s">
        <v>70</v>
      </c>
      <c r="C8" s="270"/>
      <c r="D8" s="116" t="str">
        <f>M7&amp;M8</f>
        <v>0 M3</v>
      </c>
      <c r="E8" s="272"/>
      <c r="F8" s="117" t="str">
        <f>E7&amp;CHAR(10)&amp;"("&amp;O7&amp;O8&amp;")"</f>
        <v>0 M3
(1組)</v>
      </c>
      <c r="G8" s="282"/>
      <c r="H8" s="117" t="str">
        <f>H7&amp;CHAR(10)&amp;"("&amp;P7&amp;O8&amp;")"</f>
        <v>0 M3
(1組)</v>
      </c>
      <c r="I8" s="285"/>
      <c r="J8" s="274"/>
      <c r="K8" s="265"/>
      <c r="L8" s="127"/>
      <c r="M8" s="127" t="s">
        <v>201</v>
      </c>
      <c r="N8" s="128"/>
      <c r="O8" s="128" t="s">
        <v>204</v>
      </c>
      <c r="P8" s="128"/>
      <c r="Q8" s="128"/>
      <c r="R8" s="128"/>
      <c r="S8" s="128"/>
      <c r="T8" s="137"/>
      <c r="U8" s="137"/>
      <c r="V8" s="137"/>
      <c r="W8" s="137"/>
      <c r="X8" s="137"/>
      <c r="Y8" s="137"/>
      <c r="Z8" s="137"/>
      <c r="AA8" s="137"/>
    </row>
    <row r="9" spans="1:27" s="140" customFormat="1" ht="75" customHeight="1">
      <c r="A9" s="267" t="str">
        <f>"1-140 -"&amp;L9</f>
        <v>1-140 -2</v>
      </c>
      <c r="B9" s="126" t="s">
        <v>1195</v>
      </c>
      <c r="C9" s="269" t="s">
        <v>1527</v>
      </c>
      <c r="D9" s="115">
        <f>VLOOKUP(L9,'210'!A:T,2,0)</f>
        <v>45484</v>
      </c>
      <c r="E9" s="271" t="str">
        <f>M9&amp;M10</f>
        <v>8 M3</v>
      </c>
      <c r="F9" s="115">
        <f>D9</f>
        <v>45484</v>
      </c>
      <c r="G9" s="282"/>
      <c r="H9" s="117" t="str">
        <f>N9&amp;M10</f>
        <v>8 M3</v>
      </c>
      <c r="I9" s="285" t="s">
        <v>48</v>
      </c>
      <c r="J9" s="274" t="str">
        <f>IF(R9=0,"上  溢："&amp;S9,IF(Q9=0,"任  泰："&amp;R9&amp;"                 "&amp;"上  溢："&amp;S9,
"水利處："&amp;Q9&amp;"                 "&amp;"任  泰："&amp;R9&amp;"                 "&amp;"上  溢："&amp;S9))</f>
        <v>任  泰：白博文                 上  溢：郭冠廷</v>
      </c>
      <c r="K9" s="264" t="s">
        <v>311</v>
      </c>
      <c r="L9" s="136">
        <f>L7+1</f>
        <v>2</v>
      </c>
      <c r="M9" s="128">
        <f>VLOOKUP(L9,'140'!A:T,5,0)</f>
        <v>8</v>
      </c>
      <c r="N9" s="128">
        <f>N7+M9</f>
        <v>8</v>
      </c>
      <c r="O9" s="128">
        <f>VLOOKUP(L9,'140'!A:T,6,0)</f>
        <v>1</v>
      </c>
      <c r="P9" s="128">
        <f>P7+O9</f>
        <v>2</v>
      </c>
      <c r="Q9" s="128">
        <f>VLOOKUP(L9,'140'!A:T,18,0)</f>
        <v>0</v>
      </c>
      <c r="R9" s="128" t="str">
        <f>VLOOKUP(L9,'140'!A:T,19,0)</f>
        <v>白博文</v>
      </c>
      <c r="S9" s="128" t="str">
        <f>VLOOKUP(L9,'140'!A:T,20,0)</f>
        <v>郭冠廷</v>
      </c>
      <c r="T9" s="139"/>
      <c r="U9" s="139"/>
      <c r="V9" s="139"/>
      <c r="W9" s="139"/>
      <c r="X9" s="139"/>
      <c r="Y9" s="139"/>
      <c r="Z9" s="139"/>
      <c r="AA9" s="139"/>
    </row>
    <row r="10" spans="1:27" s="140" customFormat="1" ht="50.1" customHeight="1">
      <c r="A10" s="268"/>
      <c r="B10" s="174" t="s">
        <v>70</v>
      </c>
      <c r="C10" s="270"/>
      <c r="D10" s="116" t="str">
        <f>M9&amp;M10</f>
        <v>8 M3</v>
      </c>
      <c r="E10" s="272"/>
      <c r="F10" s="117" t="str">
        <f>E9&amp;CHAR(10)&amp;"("&amp;O9&amp;O10&amp;")"</f>
        <v>8 M3
(1組)</v>
      </c>
      <c r="G10" s="282"/>
      <c r="H10" s="117" t="str">
        <f>H9&amp;CHAR(10)&amp;"("&amp;P9&amp;O10&amp;")"</f>
        <v>8 M3
(2組)</v>
      </c>
      <c r="I10" s="285"/>
      <c r="J10" s="274"/>
      <c r="K10" s="265"/>
      <c r="L10" s="127"/>
      <c r="M10" s="127" t="s">
        <v>201</v>
      </c>
      <c r="N10" s="128"/>
      <c r="O10" s="128" t="s">
        <v>204</v>
      </c>
      <c r="P10" s="128"/>
      <c r="Q10" s="128"/>
      <c r="R10" s="128"/>
      <c r="S10" s="128"/>
      <c r="T10" s="139"/>
      <c r="U10" s="139"/>
      <c r="V10" s="139"/>
      <c r="W10" s="139"/>
      <c r="X10" s="139"/>
      <c r="Y10" s="139"/>
      <c r="Z10" s="139"/>
      <c r="AA10" s="139"/>
    </row>
    <row r="11" spans="1:27" s="138" customFormat="1" ht="75" customHeight="1">
      <c r="A11" s="267" t="str">
        <f>"1-140 -"&amp;L11</f>
        <v>1-140 -3</v>
      </c>
      <c r="B11" s="126" t="s">
        <v>1195</v>
      </c>
      <c r="C11" s="269" t="s">
        <v>1527</v>
      </c>
      <c r="D11" s="115">
        <f>VLOOKUP(L11,'210'!A:T,2,0)</f>
        <v>45488</v>
      </c>
      <c r="E11" s="271" t="str">
        <f>M11&amp;M12</f>
        <v>18 M3</v>
      </c>
      <c r="F11" s="115">
        <f>D11</f>
        <v>45488</v>
      </c>
      <c r="G11" s="282"/>
      <c r="H11" s="117" t="str">
        <f>N11&amp;M12</f>
        <v>26 M3</v>
      </c>
      <c r="I11" s="285" t="s">
        <v>109</v>
      </c>
      <c r="J11" s="274" t="s">
        <v>1202</v>
      </c>
      <c r="K11" s="124" t="s">
        <v>211</v>
      </c>
      <c r="L11" s="136">
        <f>L9+1</f>
        <v>3</v>
      </c>
      <c r="M11" s="128">
        <f>VLOOKUP(L11,'140'!A:T,5,0)</f>
        <v>18</v>
      </c>
      <c r="N11" s="128">
        <f>N9+M11</f>
        <v>26</v>
      </c>
      <c r="O11" s="128">
        <f>VLOOKUP(L11,'140'!A:T,6,0)</f>
        <v>0</v>
      </c>
      <c r="P11" s="128">
        <f>P9+O11</f>
        <v>2</v>
      </c>
      <c r="Q11" s="128">
        <f>VLOOKUP(L11,'140'!A:T,18,0)</f>
        <v>0</v>
      </c>
      <c r="R11" s="128" t="str">
        <f>VLOOKUP(L11,'140'!A:T,19,0)</f>
        <v>白博文</v>
      </c>
      <c r="S11" s="128" t="str">
        <f>VLOOKUP(L11,'140'!A:T,20,0)</f>
        <v>郭冠廷</v>
      </c>
      <c r="T11" s="137"/>
      <c r="U11" s="137"/>
      <c r="V11" s="137"/>
      <c r="W11" s="137"/>
      <c r="X11" s="137"/>
      <c r="Y11" s="137"/>
      <c r="Z11" s="137"/>
      <c r="AA11" s="137"/>
    </row>
    <row r="12" spans="1:27" s="138" customFormat="1" ht="50.1" customHeight="1">
      <c r="A12" s="268"/>
      <c r="B12" s="174" t="s">
        <v>70</v>
      </c>
      <c r="C12" s="270"/>
      <c r="D12" s="116" t="str">
        <f>M11&amp;M12</f>
        <v>18 M3</v>
      </c>
      <c r="E12" s="272"/>
      <c r="F12" s="117" t="str">
        <f>E11&amp;CHAR(10)&amp;"("&amp;O11&amp;O12&amp;")"</f>
        <v>18 M3
(0組)</v>
      </c>
      <c r="G12" s="282"/>
      <c r="H12" s="117" t="str">
        <f>H11&amp;CHAR(10)&amp;"("&amp;P11&amp;O12&amp;")"</f>
        <v>26 M3
(2組)</v>
      </c>
      <c r="I12" s="285"/>
      <c r="J12" s="274"/>
      <c r="K12" s="124" t="s">
        <v>481</v>
      </c>
      <c r="L12" s="127"/>
      <c r="M12" s="127" t="s">
        <v>201</v>
      </c>
      <c r="N12" s="128"/>
      <c r="O12" s="128" t="s">
        <v>204</v>
      </c>
      <c r="P12" s="128"/>
      <c r="Q12" s="128"/>
      <c r="R12" s="128"/>
      <c r="S12" s="128"/>
      <c r="T12" s="137"/>
      <c r="U12" s="137"/>
      <c r="V12" s="137"/>
      <c r="W12" s="137"/>
      <c r="X12" s="137"/>
      <c r="Y12" s="137"/>
      <c r="Z12" s="137"/>
      <c r="AA12" s="137"/>
    </row>
    <row r="13" spans="1:27" s="138" customFormat="1" ht="75" customHeight="1">
      <c r="A13" s="267" t="str">
        <f>"1-140 -"&amp;L13</f>
        <v>1-140 -4</v>
      </c>
      <c r="B13" s="126" t="s">
        <v>1195</v>
      </c>
      <c r="C13" s="269" t="s">
        <v>1527</v>
      </c>
      <c r="D13" s="115">
        <f>VLOOKUP(L13,'210'!A:T,2,0)</f>
        <v>45492</v>
      </c>
      <c r="E13" s="271" t="str">
        <f>M13&amp;M14</f>
        <v>20 M3</v>
      </c>
      <c r="F13" s="115">
        <f>D13</f>
        <v>45492</v>
      </c>
      <c r="G13" s="282"/>
      <c r="H13" s="117" t="str">
        <f>N13&amp;M14</f>
        <v>46 M3</v>
      </c>
      <c r="I13" s="285" t="s">
        <v>48</v>
      </c>
      <c r="J13" s="274" t="str">
        <f>IF(R13=0,"上  溢："&amp;S13,IF(Q13=0,"任  泰："&amp;R13&amp;"                 "&amp;"上  溢："&amp;S13,
"水利處："&amp;Q13&amp;"                 "&amp;"任  泰："&amp;R13&amp;"                 "&amp;"上  溢："&amp;S13))</f>
        <v>水利處：李晏然                 任  泰：白博文                 上  溢：郭冠廷</v>
      </c>
      <c r="K13" s="264" t="s">
        <v>312</v>
      </c>
      <c r="L13" s="136">
        <f>L11+1</f>
        <v>4</v>
      </c>
      <c r="M13" s="128">
        <f>VLOOKUP(L13,'140'!A:T,5,0)</f>
        <v>20</v>
      </c>
      <c r="N13" s="128">
        <f>N11+M13</f>
        <v>46</v>
      </c>
      <c r="O13" s="128">
        <f>VLOOKUP(L13,'140'!A:T,6,0)</f>
        <v>1</v>
      </c>
      <c r="P13" s="128">
        <f>P11+O13</f>
        <v>3</v>
      </c>
      <c r="Q13" s="128" t="str">
        <f>VLOOKUP(L13,'140'!A:T,18,0)</f>
        <v>李晏然</v>
      </c>
      <c r="R13" s="128" t="str">
        <f>VLOOKUP(L13,'140'!A:T,19,0)</f>
        <v>白博文</v>
      </c>
      <c r="S13" s="128" t="str">
        <f>VLOOKUP(L13,'140'!A:T,20,0)</f>
        <v>郭冠廷</v>
      </c>
      <c r="T13" s="137"/>
      <c r="U13" s="137"/>
      <c r="V13" s="137"/>
      <c r="W13" s="137"/>
      <c r="X13" s="137"/>
      <c r="Y13" s="137"/>
      <c r="Z13" s="137"/>
      <c r="AA13" s="137"/>
    </row>
    <row r="14" spans="1:27" s="138" customFormat="1" ht="50.1" customHeight="1">
      <c r="A14" s="268"/>
      <c r="B14" s="174" t="s">
        <v>70</v>
      </c>
      <c r="C14" s="270"/>
      <c r="D14" s="116" t="str">
        <f>M13&amp;M14</f>
        <v>20 M3</v>
      </c>
      <c r="E14" s="272"/>
      <c r="F14" s="117" t="str">
        <f>E13&amp;CHAR(10)&amp;"("&amp;O13&amp;O14&amp;")"</f>
        <v>20 M3
(1組)</v>
      </c>
      <c r="G14" s="282"/>
      <c r="H14" s="117" t="str">
        <f>H13&amp;CHAR(10)&amp;"("&amp;P13&amp;O14&amp;")"</f>
        <v>46 M3
(3組)</v>
      </c>
      <c r="I14" s="285"/>
      <c r="J14" s="274"/>
      <c r="K14" s="265"/>
      <c r="L14" s="127"/>
      <c r="M14" s="127" t="s">
        <v>201</v>
      </c>
      <c r="N14" s="128"/>
      <c r="O14" s="128" t="s">
        <v>204</v>
      </c>
      <c r="P14" s="128"/>
      <c r="Q14" s="128"/>
      <c r="R14" s="128"/>
      <c r="S14" s="128"/>
      <c r="T14" s="137"/>
      <c r="U14" s="137"/>
      <c r="V14" s="137"/>
      <c r="W14" s="137"/>
      <c r="X14" s="137"/>
      <c r="Y14" s="137"/>
      <c r="Z14" s="137"/>
      <c r="AA14" s="137"/>
    </row>
    <row r="15" spans="1:27" s="138" customFormat="1" ht="75" customHeight="1">
      <c r="A15" s="267" t="str">
        <f>"1-140 -"&amp;L15</f>
        <v>1-140 -5</v>
      </c>
      <c r="B15" s="126" t="s">
        <v>1195</v>
      </c>
      <c r="C15" s="269" t="s">
        <v>1527</v>
      </c>
      <c r="D15" s="115">
        <f>VLOOKUP(L15,'210'!A:T,2,0)</f>
        <v>45496</v>
      </c>
      <c r="E15" s="271" t="str">
        <f>M15&amp;M16</f>
        <v>10 M3</v>
      </c>
      <c r="F15" s="115">
        <f>D15</f>
        <v>45496</v>
      </c>
      <c r="G15" s="282"/>
      <c r="H15" s="117" t="str">
        <f>N15&amp;M16</f>
        <v>56 M3</v>
      </c>
      <c r="I15" s="285" t="s">
        <v>48</v>
      </c>
      <c r="J15" s="274" t="str">
        <f>IF(R15=0,"上  溢："&amp;S15,IF(Q15=0,"任  泰："&amp;R15&amp;"                 "&amp;"上  溢："&amp;S15,
"水利處："&amp;Q15&amp;"                 "&amp;"任  泰："&amp;R15&amp;"                 "&amp;"上  溢："&amp;S15))</f>
        <v>水利處：李晏然                 任  泰：白博文                 上  溢：郭冠廷</v>
      </c>
      <c r="K15" s="264" t="s">
        <v>324</v>
      </c>
      <c r="L15" s="136">
        <f>L13+1</f>
        <v>5</v>
      </c>
      <c r="M15" s="128">
        <f>VLOOKUP(L15,'140'!A:T,5,0)</f>
        <v>10</v>
      </c>
      <c r="N15" s="128">
        <f>N13+M15</f>
        <v>56</v>
      </c>
      <c r="O15" s="128">
        <f>VLOOKUP(L15,'140'!A:T,6,0)</f>
        <v>1</v>
      </c>
      <c r="P15" s="128">
        <f>P13+O15</f>
        <v>4</v>
      </c>
      <c r="Q15" s="128" t="str">
        <f>VLOOKUP(L15,'140'!A:T,18,0)</f>
        <v>李晏然</v>
      </c>
      <c r="R15" s="128" t="str">
        <f>VLOOKUP(L15,'140'!A:T,19,0)</f>
        <v>白博文</v>
      </c>
      <c r="S15" s="128" t="str">
        <f>VLOOKUP(L15,'140'!A:T,20,0)</f>
        <v>郭冠廷</v>
      </c>
      <c r="T15" s="137"/>
      <c r="U15" s="137"/>
      <c r="V15" s="137"/>
      <c r="W15" s="137"/>
      <c r="X15" s="137"/>
      <c r="Y15" s="137"/>
      <c r="Z15" s="137"/>
      <c r="AA15" s="137"/>
    </row>
    <row r="16" spans="1:27" s="138" customFormat="1" ht="50.1" customHeight="1">
      <c r="A16" s="268"/>
      <c r="B16" s="174" t="s">
        <v>70</v>
      </c>
      <c r="C16" s="270"/>
      <c r="D16" s="116" t="str">
        <f>M15&amp;M16</f>
        <v>10 M3</v>
      </c>
      <c r="E16" s="272"/>
      <c r="F16" s="117" t="str">
        <f>E15&amp;CHAR(10)&amp;"("&amp;O15&amp;O16&amp;")"</f>
        <v>10 M3
(1組)</v>
      </c>
      <c r="G16" s="265"/>
      <c r="H16" s="117" t="str">
        <f>H15&amp;CHAR(10)&amp;"("&amp;P15&amp;O16&amp;")"</f>
        <v>56 M3
(4組)</v>
      </c>
      <c r="I16" s="285"/>
      <c r="J16" s="274"/>
      <c r="K16" s="265"/>
      <c r="L16" s="127"/>
      <c r="M16" s="127" t="s">
        <v>201</v>
      </c>
      <c r="N16" s="128"/>
      <c r="O16" s="128" t="s">
        <v>204</v>
      </c>
      <c r="P16" s="128"/>
      <c r="Q16" s="128"/>
      <c r="R16" s="128"/>
      <c r="S16" s="128"/>
      <c r="T16" s="137"/>
      <c r="U16" s="137"/>
      <c r="V16" s="137"/>
      <c r="W16" s="137"/>
      <c r="X16" s="137"/>
      <c r="Y16" s="137"/>
      <c r="Z16" s="137"/>
      <c r="AA16" s="137"/>
    </row>
    <row r="17" spans="1:27" s="142" customFormat="1" ht="50.1" customHeight="1">
      <c r="A17" s="260" t="s">
        <v>47</v>
      </c>
      <c r="B17" s="261"/>
      <c r="C17" s="262"/>
      <c r="D17" s="260" t="s">
        <v>1753</v>
      </c>
      <c r="E17" s="261"/>
      <c r="F17" s="261"/>
      <c r="G17" s="262"/>
      <c r="H17" s="260" t="s">
        <v>1755</v>
      </c>
      <c r="I17" s="261"/>
      <c r="J17" s="261"/>
      <c r="K17" s="262"/>
      <c r="M17" s="143"/>
      <c r="N17" s="143"/>
      <c r="O17" s="143"/>
      <c r="P17" s="143"/>
      <c r="Q17" s="143"/>
      <c r="R17" s="143"/>
      <c r="S17" s="143"/>
      <c r="T17" s="143"/>
      <c r="U17" s="143"/>
      <c r="V17" s="143"/>
      <c r="W17" s="143"/>
      <c r="X17" s="143"/>
      <c r="Y17" s="143"/>
      <c r="Z17" s="143"/>
      <c r="AA17" s="143"/>
    </row>
    <row r="18" spans="1:27" s="142" customFormat="1" ht="50.1"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19" spans="1:27" s="140" customFormat="1" ht="75" customHeight="1">
      <c r="A19" s="283" t="str">
        <f>"1-140 -"&amp;L19</f>
        <v>1-140 -6</v>
      </c>
      <c r="B19" s="126" t="s">
        <v>1195</v>
      </c>
      <c r="C19" s="269" t="s">
        <v>1527</v>
      </c>
      <c r="D19" s="115">
        <f>VLOOKUP(L19,'140'!A:T,2,0)</f>
        <v>45436</v>
      </c>
      <c r="E19" s="271" t="str">
        <f>M19&amp;M20</f>
        <v>30 M3</v>
      </c>
      <c r="F19" s="115">
        <f>D19</f>
        <v>45436</v>
      </c>
      <c r="G19" s="264" t="s">
        <v>145</v>
      </c>
      <c r="H19" s="117" t="str">
        <f>N19&amp;M20</f>
        <v>86 M3</v>
      </c>
      <c r="I19" s="285" t="s">
        <v>48</v>
      </c>
      <c r="J19" s="274" t="str">
        <f>IF(R19=0,"上  溢："&amp;S19,IF(Q19=0,"任  泰："&amp;R19&amp;"                 "&amp;"上  溢："&amp;S19,
"水利處："&amp;Q19&amp;"                 "&amp;"任  泰："&amp;R19&amp;"                 "&amp;"上  溢："&amp;S19))</f>
        <v>任  泰：白博文                 上  溢：郭冠廷</v>
      </c>
      <c r="K19" s="264" t="s">
        <v>480</v>
      </c>
      <c r="L19" s="136">
        <f>L15+1</f>
        <v>6</v>
      </c>
      <c r="M19" s="128">
        <f>VLOOKUP(L19,'140'!A:T,5,0)</f>
        <v>30</v>
      </c>
      <c r="N19" s="128">
        <f>N15+M19</f>
        <v>86</v>
      </c>
      <c r="O19" s="128">
        <f>VLOOKUP(L19,'140'!A:T,6,0)</f>
        <v>1</v>
      </c>
      <c r="P19" s="128">
        <f>P15+O19</f>
        <v>5</v>
      </c>
      <c r="Q19" s="128">
        <f>VLOOKUP(L19,'140'!A:T,18,0)</f>
        <v>0</v>
      </c>
      <c r="R19" s="128" t="str">
        <f>VLOOKUP(L19,'140'!A:T,19,0)</f>
        <v>白博文</v>
      </c>
      <c r="S19" s="128" t="str">
        <f>VLOOKUP(L19,'140'!A:T,20,0)</f>
        <v>郭冠廷</v>
      </c>
      <c r="T19" s="139"/>
      <c r="U19" s="139"/>
      <c r="V19" s="139"/>
      <c r="W19" s="139"/>
      <c r="X19" s="139"/>
      <c r="Y19" s="139"/>
      <c r="Z19" s="139"/>
      <c r="AA19" s="139"/>
    </row>
    <row r="20" spans="1:27" s="140" customFormat="1" ht="50.1" customHeight="1">
      <c r="A20" s="284"/>
      <c r="B20" s="174" t="s">
        <v>70</v>
      </c>
      <c r="C20" s="270"/>
      <c r="D20" s="116" t="str">
        <f>M19&amp;M20</f>
        <v>30 M3</v>
      </c>
      <c r="E20" s="272"/>
      <c r="F20" s="117" t="str">
        <f>E19&amp;CHAR(10)&amp;"("&amp;O19&amp;O20&amp;")"</f>
        <v>30 M3
(1組)</v>
      </c>
      <c r="G20" s="282"/>
      <c r="H20" s="117" t="str">
        <f>H19&amp;CHAR(10)&amp;"("&amp;P19&amp;O20&amp;")"</f>
        <v>86 M3
(5組)</v>
      </c>
      <c r="I20" s="285"/>
      <c r="J20" s="274"/>
      <c r="K20" s="265"/>
      <c r="L20" s="127"/>
      <c r="M20" s="127" t="s">
        <v>201</v>
      </c>
      <c r="N20" s="128"/>
      <c r="O20" s="128" t="s">
        <v>204</v>
      </c>
      <c r="P20" s="128"/>
      <c r="Q20" s="128"/>
      <c r="R20" s="128"/>
      <c r="S20" s="128"/>
      <c r="T20" s="139"/>
      <c r="U20" s="139"/>
      <c r="V20" s="139"/>
      <c r="W20" s="139"/>
      <c r="X20" s="139"/>
      <c r="Y20" s="139"/>
      <c r="Z20" s="139"/>
      <c r="AA20" s="139"/>
    </row>
    <row r="21" spans="1:27" s="138" customFormat="1" ht="75" customHeight="1">
      <c r="A21" s="283" t="str">
        <f>"1-140 -"&amp;L21</f>
        <v>1-140 -7</v>
      </c>
      <c r="B21" s="126" t="s">
        <v>1195</v>
      </c>
      <c r="C21" s="269" t="s">
        <v>1527</v>
      </c>
      <c r="D21" s="115">
        <f>VLOOKUP(L21,'140'!A:T,2,0)</f>
        <v>45544</v>
      </c>
      <c r="E21" s="271" t="str">
        <f>M21&amp;M22</f>
        <v>10 M3</v>
      </c>
      <c r="F21" s="115">
        <f>D21</f>
        <v>45544</v>
      </c>
      <c r="G21" s="282"/>
      <c r="H21" s="117" t="str">
        <f>N21&amp;M22</f>
        <v>96 M3</v>
      </c>
      <c r="I21" s="273" t="s">
        <v>1200</v>
      </c>
      <c r="J21" s="274" t="str">
        <f>IF(R21=0,"上  溢："&amp;S21,IF(Q21=0,"任  泰："&amp;R21&amp;"                 "&amp;"上  溢："&amp;S21,
"水利處："&amp;Q21&amp;"                 "&amp;"任  泰："&amp;R21&amp;"                 "&amp;"上  溢："&amp;S21))</f>
        <v>上  溢：葉展志</v>
      </c>
      <c r="K21" s="124" t="s">
        <v>211</v>
      </c>
      <c r="L21" s="136">
        <f>L19+1</f>
        <v>7</v>
      </c>
      <c r="M21" s="128">
        <f>VLOOKUP(L21,'140'!A:T,5,0)</f>
        <v>10</v>
      </c>
      <c r="N21" s="128">
        <f>N19+M21</f>
        <v>96</v>
      </c>
      <c r="O21" s="128">
        <f>VLOOKUP(L21,'140'!A:T,6,0)</f>
        <v>0</v>
      </c>
      <c r="P21" s="128">
        <f>P19+O21</f>
        <v>5</v>
      </c>
      <c r="Q21" s="128">
        <f>VLOOKUP(L21,'140'!A:T,18,0)</f>
        <v>0</v>
      </c>
      <c r="R21" s="128">
        <f>VLOOKUP(L21,'140'!A:T,19,0)</f>
        <v>0</v>
      </c>
      <c r="S21" s="128" t="str">
        <f>VLOOKUP(L21,'140'!A:T,20,0)</f>
        <v>葉展志</v>
      </c>
      <c r="T21" s="137"/>
      <c r="U21" s="137"/>
      <c r="V21" s="137"/>
      <c r="W21" s="137"/>
      <c r="X21" s="137"/>
      <c r="Y21" s="137"/>
      <c r="Z21" s="137"/>
      <c r="AA21" s="137"/>
    </row>
    <row r="22" spans="1:27" s="138" customFormat="1" ht="50.1" customHeight="1">
      <c r="A22" s="284"/>
      <c r="B22" s="174" t="s">
        <v>70</v>
      </c>
      <c r="C22" s="270"/>
      <c r="D22" s="116" t="str">
        <f>M21&amp;M22</f>
        <v>10 M3</v>
      </c>
      <c r="E22" s="272"/>
      <c r="F22" s="117" t="str">
        <f>E21&amp;CHAR(10)&amp;"("&amp;O21&amp;O22&amp;")"</f>
        <v>10 M3
(0組)</v>
      </c>
      <c r="G22" s="282"/>
      <c r="H22" s="117" t="str">
        <f>H21&amp;CHAR(10)&amp;"("&amp;P21&amp;O22&amp;")"</f>
        <v>96 M3
(5組)</v>
      </c>
      <c r="I22" s="273"/>
      <c r="J22" s="274"/>
      <c r="K22" s="124" t="s">
        <v>545</v>
      </c>
      <c r="L22" s="127"/>
      <c r="M22" s="127" t="s">
        <v>201</v>
      </c>
      <c r="N22" s="128"/>
      <c r="O22" s="128" t="s">
        <v>204</v>
      </c>
      <c r="P22" s="128"/>
      <c r="Q22" s="128"/>
      <c r="R22" s="128"/>
      <c r="S22" s="128"/>
      <c r="T22" s="137"/>
      <c r="U22" s="137"/>
      <c r="V22" s="137"/>
      <c r="W22" s="137"/>
      <c r="X22" s="137"/>
      <c r="Y22" s="137"/>
      <c r="Z22" s="137"/>
      <c r="AA22" s="137"/>
    </row>
    <row r="23" spans="1:27" s="138" customFormat="1" ht="75" customHeight="1">
      <c r="A23" s="283" t="str">
        <f>"1-140 -"&amp;L23</f>
        <v>1-140 -8</v>
      </c>
      <c r="B23" s="126" t="s">
        <v>1195</v>
      </c>
      <c r="C23" s="269" t="s">
        <v>1527</v>
      </c>
      <c r="D23" s="115">
        <f>VLOOKUP(L23,'140'!A:T,2,0)</f>
        <v>45666</v>
      </c>
      <c r="E23" s="271" t="str">
        <f>M23&amp;M24</f>
        <v>5 M3</v>
      </c>
      <c r="F23" s="115">
        <f>D23</f>
        <v>45666</v>
      </c>
      <c r="G23" s="282"/>
      <c r="H23" s="117" t="str">
        <f>N23&amp;M24</f>
        <v>101 M3</v>
      </c>
      <c r="I23" s="273" t="s">
        <v>1200</v>
      </c>
      <c r="J23" s="274" t="str">
        <f>IF(R23=0,"上  溢："&amp;S23,IF(Q23=0,"任  泰："&amp;R23&amp;"                 "&amp;"上  溢："&amp;S23,
"水利處："&amp;Q23&amp;"                 "&amp;"任  泰："&amp;R23&amp;"                 "&amp;"上  溢："&amp;S23))</f>
        <v>上  溢：周昱辰</v>
      </c>
      <c r="K23" s="124" t="s">
        <v>211</v>
      </c>
      <c r="L23" s="136">
        <f>L21+1</f>
        <v>8</v>
      </c>
      <c r="M23" s="128">
        <f>VLOOKUP(L23,'140'!A:T,5,0)</f>
        <v>5</v>
      </c>
      <c r="N23" s="128">
        <f>N21+M23</f>
        <v>101</v>
      </c>
      <c r="O23" s="128">
        <f>VLOOKUP(L23,'140'!A:T,6,0)</f>
        <v>0</v>
      </c>
      <c r="P23" s="128">
        <f>P21+O23</f>
        <v>5</v>
      </c>
      <c r="Q23" s="128">
        <f>VLOOKUP(L23,'140'!A:T,18,0)</f>
        <v>0</v>
      </c>
      <c r="R23" s="128">
        <f>VLOOKUP(L23,'140'!A:T,19,0)</f>
        <v>0</v>
      </c>
      <c r="S23" s="128" t="str">
        <f>VLOOKUP(L23,'140'!A:T,20,0)</f>
        <v>周昱辰</v>
      </c>
      <c r="T23" s="137"/>
      <c r="U23" s="137"/>
      <c r="V23" s="137"/>
      <c r="W23" s="137"/>
      <c r="X23" s="137"/>
      <c r="Y23" s="137"/>
      <c r="Z23" s="137"/>
      <c r="AA23" s="137"/>
    </row>
    <row r="24" spans="1:27" s="138" customFormat="1" ht="50.1" customHeight="1">
      <c r="A24" s="284"/>
      <c r="B24" s="174" t="s">
        <v>70</v>
      </c>
      <c r="C24" s="270"/>
      <c r="D24" s="116" t="str">
        <f>M23&amp;M24</f>
        <v>5 M3</v>
      </c>
      <c r="E24" s="272"/>
      <c r="F24" s="117" t="str">
        <f>E23&amp;CHAR(10)&amp;"("&amp;O23&amp;O24&amp;")"</f>
        <v>5 M3
(0組)</v>
      </c>
      <c r="G24" s="282"/>
      <c r="H24" s="117" t="str">
        <f>H23&amp;CHAR(10)&amp;"("&amp;P23&amp;O24&amp;")"</f>
        <v>101 M3
(5組)</v>
      </c>
      <c r="I24" s="273"/>
      <c r="J24" s="274"/>
      <c r="K24" s="124" t="s">
        <v>700</v>
      </c>
      <c r="L24" s="127"/>
      <c r="M24" s="127" t="s">
        <v>201</v>
      </c>
      <c r="N24" s="128"/>
      <c r="O24" s="128" t="s">
        <v>204</v>
      </c>
      <c r="P24" s="128"/>
      <c r="Q24" s="128"/>
      <c r="R24" s="128"/>
      <c r="S24" s="128"/>
      <c r="T24" s="137"/>
      <c r="U24" s="137"/>
      <c r="V24" s="137"/>
      <c r="W24" s="137"/>
      <c r="X24" s="137"/>
      <c r="Y24" s="137"/>
      <c r="Z24" s="137"/>
      <c r="AA24" s="137"/>
    </row>
    <row r="25" spans="1:27" s="138" customFormat="1" ht="75" customHeight="1">
      <c r="A25" s="267" t="str">
        <f>"1-140 -"&amp;L25</f>
        <v>1-140 -9</v>
      </c>
      <c r="B25" s="126" t="s">
        <v>1195</v>
      </c>
      <c r="C25" s="269" t="s">
        <v>1527</v>
      </c>
      <c r="D25" s="115">
        <f>VLOOKUP(L25,'140'!A:T,2,0)</f>
        <v>45671</v>
      </c>
      <c r="E25" s="271" t="str">
        <f>M25&amp;M26</f>
        <v>5 M3</v>
      </c>
      <c r="F25" s="115">
        <f>D25</f>
        <v>45671</v>
      </c>
      <c r="G25" s="282"/>
      <c r="H25" s="117" t="str">
        <f>N25&amp;M26</f>
        <v>106 M3</v>
      </c>
      <c r="I25" s="273" t="s">
        <v>1200</v>
      </c>
      <c r="J25" s="274" t="str">
        <f>IF(R25=0,"上  溢："&amp;S25,IF(Q25=0,"任  泰："&amp;R25&amp;"                 "&amp;"上  溢："&amp;S25,
"水利處："&amp;Q25&amp;"                 "&amp;"任  泰："&amp;R25&amp;"                 "&amp;"上  溢："&amp;S25))</f>
        <v>上  溢：周昱辰</v>
      </c>
      <c r="K25" s="124" t="s">
        <v>211</v>
      </c>
      <c r="L25" s="136">
        <f>L23+1</f>
        <v>9</v>
      </c>
      <c r="M25" s="128">
        <f>VLOOKUP(L25,'140'!A:T,5,0)</f>
        <v>5</v>
      </c>
      <c r="N25" s="128">
        <f>N23+M25</f>
        <v>106</v>
      </c>
      <c r="O25" s="128">
        <f>VLOOKUP(L25,'140'!A:T,6,0)</f>
        <v>0</v>
      </c>
      <c r="P25" s="128">
        <f>P23+O25</f>
        <v>5</v>
      </c>
      <c r="Q25" s="128">
        <f>VLOOKUP(L25,'140'!A:T,18,0)</f>
        <v>0</v>
      </c>
      <c r="R25" s="128">
        <f>VLOOKUP(L25,'140'!A:T,19,0)</f>
        <v>0</v>
      </c>
      <c r="S25" s="128" t="str">
        <f>VLOOKUP(L25,'140'!A:T,20,0)</f>
        <v>周昱辰</v>
      </c>
      <c r="T25" s="137"/>
      <c r="U25" s="137"/>
      <c r="V25" s="137"/>
      <c r="W25" s="137"/>
      <c r="X25" s="137"/>
      <c r="Y25" s="137"/>
      <c r="Z25" s="137"/>
      <c r="AA25" s="137"/>
    </row>
    <row r="26" spans="1:27" s="138" customFormat="1" ht="50.1" customHeight="1">
      <c r="A26" s="268"/>
      <c r="B26" s="174" t="s">
        <v>70</v>
      </c>
      <c r="C26" s="270"/>
      <c r="D26" s="116" t="str">
        <f>M25&amp;M26</f>
        <v>5 M3</v>
      </c>
      <c r="E26" s="272"/>
      <c r="F26" s="117" t="str">
        <f>E25&amp;CHAR(10)&amp;"("&amp;O25&amp;O26&amp;")"</f>
        <v>5 M3
(0組)</v>
      </c>
      <c r="G26" s="282"/>
      <c r="H26" s="117" t="str">
        <f>H25&amp;CHAR(10)&amp;"("&amp;P25&amp;O26&amp;")"</f>
        <v>106 M3
(5組)</v>
      </c>
      <c r="I26" s="273"/>
      <c r="J26" s="274"/>
      <c r="K26" s="124" t="s">
        <v>701</v>
      </c>
      <c r="L26" s="127"/>
      <c r="M26" s="127" t="s">
        <v>201</v>
      </c>
      <c r="N26" s="128"/>
      <c r="O26" s="128" t="s">
        <v>204</v>
      </c>
      <c r="P26" s="128"/>
      <c r="Q26" s="128"/>
      <c r="R26" s="128"/>
      <c r="S26" s="128"/>
      <c r="T26" s="137"/>
      <c r="U26" s="137"/>
      <c r="V26" s="137"/>
      <c r="W26" s="137"/>
      <c r="X26" s="137"/>
      <c r="Y26" s="137"/>
      <c r="Z26" s="137"/>
      <c r="AA26" s="137"/>
    </row>
    <row r="27" spans="1:27" s="140" customFormat="1" ht="75" customHeight="1">
      <c r="A27" s="283" t="str">
        <f>"1-140 -"&amp;L27</f>
        <v>1-140 -10</v>
      </c>
      <c r="B27" s="126" t="s">
        <v>1195</v>
      </c>
      <c r="C27" s="269" t="s">
        <v>1527</v>
      </c>
      <c r="D27" s="115">
        <f>VLOOKUP(L27,'140'!A:T,2,0)</f>
        <v>45674</v>
      </c>
      <c r="E27" s="271" t="str">
        <f>M27&amp;M28</f>
        <v>5 M3</v>
      </c>
      <c r="F27" s="115">
        <f>D27</f>
        <v>45674</v>
      </c>
      <c r="G27" s="282"/>
      <c r="H27" s="117" t="str">
        <f>N27&amp;M28</f>
        <v>111 M3</v>
      </c>
      <c r="I27" s="273" t="s">
        <v>1200</v>
      </c>
      <c r="J27" s="274" t="str">
        <f>IF(R27=0,"上  溢："&amp;S27,IF(Q27=0,"任  泰："&amp;R27&amp;"                 "&amp;"上  溢："&amp;S27,
"水利處："&amp;Q27&amp;"                 "&amp;"任  泰："&amp;R27&amp;"                 "&amp;"上  溢："&amp;S27))</f>
        <v>上  溢：康祐銓</v>
      </c>
      <c r="K27" s="124" t="s">
        <v>211</v>
      </c>
      <c r="L27" s="136">
        <f>L25+1</f>
        <v>10</v>
      </c>
      <c r="M27" s="128">
        <f>VLOOKUP(L27,'140'!A:T,5,0)</f>
        <v>5</v>
      </c>
      <c r="N27" s="128">
        <f>N25+M27</f>
        <v>111</v>
      </c>
      <c r="O27" s="128">
        <f>VLOOKUP(L27,'140'!A:T,6,0)</f>
        <v>0</v>
      </c>
      <c r="P27" s="128">
        <f>P25+O27</f>
        <v>5</v>
      </c>
      <c r="Q27" s="128">
        <f>VLOOKUP(L27,'140'!A:T,18,0)</f>
        <v>0</v>
      </c>
      <c r="R27" s="128">
        <f>VLOOKUP(L27,'140'!A:T,19,0)</f>
        <v>0</v>
      </c>
      <c r="S27" s="128" t="str">
        <f>VLOOKUP(L27,'140'!A:T,20,0)</f>
        <v>康祐銓</v>
      </c>
      <c r="T27" s="139"/>
      <c r="U27" s="139"/>
      <c r="V27" s="139"/>
      <c r="W27" s="139"/>
      <c r="X27" s="139"/>
      <c r="Y27" s="139"/>
      <c r="Z27" s="139"/>
      <c r="AA27" s="139"/>
    </row>
    <row r="28" spans="1:27" s="140" customFormat="1" ht="50.1" customHeight="1">
      <c r="A28" s="284"/>
      <c r="B28" s="174" t="s">
        <v>70</v>
      </c>
      <c r="C28" s="270"/>
      <c r="D28" s="116" t="str">
        <f>M27&amp;M28</f>
        <v>5 M3</v>
      </c>
      <c r="E28" s="272"/>
      <c r="F28" s="117" t="str">
        <f>E27&amp;CHAR(10)&amp;"("&amp;O27&amp;O28&amp;")"</f>
        <v>5 M3
(0組)</v>
      </c>
      <c r="G28" s="265"/>
      <c r="H28" s="117" t="str">
        <f>H27&amp;CHAR(10)&amp;"("&amp;P27&amp;O28&amp;")"</f>
        <v>111 M3
(5組)</v>
      </c>
      <c r="I28" s="273"/>
      <c r="J28" s="274"/>
      <c r="K28" s="124" t="s">
        <v>805</v>
      </c>
      <c r="L28" s="127"/>
      <c r="M28" s="127" t="s">
        <v>201</v>
      </c>
      <c r="N28" s="128"/>
      <c r="O28" s="128" t="s">
        <v>204</v>
      </c>
      <c r="P28" s="128"/>
      <c r="Q28" s="128"/>
      <c r="R28" s="128"/>
      <c r="S28" s="128"/>
      <c r="T28" s="139"/>
      <c r="U28" s="139"/>
      <c r="V28" s="139"/>
      <c r="W28" s="139"/>
      <c r="X28" s="139"/>
      <c r="Y28" s="139"/>
      <c r="Z28" s="139"/>
      <c r="AA28" s="139"/>
    </row>
    <row r="29" spans="1:27" s="142" customFormat="1" ht="50.1" customHeight="1">
      <c r="A29" s="260" t="s">
        <v>47</v>
      </c>
      <c r="B29" s="261"/>
      <c r="C29" s="262"/>
      <c r="D29" s="260" t="s">
        <v>1753</v>
      </c>
      <c r="E29" s="261"/>
      <c r="F29" s="261"/>
      <c r="G29" s="262"/>
      <c r="H29" s="260" t="s">
        <v>1755</v>
      </c>
      <c r="I29" s="261"/>
      <c r="J29" s="261"/>
      <c r="K29" s="262"/>
      <c r="M29" s="143"/>
      <c r="N29" s="143"/>
      <c r="O29" s="143"/>
      <c r="P29" s="143"/>
      <c r="Q29" s="143"/>
      <c r="R29" s="143"/>
      <c r="S29" s="143"/>
      <c r="T29" s="143"/>
      <c r="U29" s="143"/>
      <c r="V29" s="143"/>
      <c r="W29" s="143"/>
      <c r="X29" s="143"/>
      <c r="Y29" s="143"/>
      <c r="Z29" s="143"/>
      <c r="AA29" s="143"/>
    </row>
    <row r="30" spans="1:27" s="142" customFormat="1" ht="50.1" customHeight="1">
      <c r="A30" s="263" t="s">
        <v>1147</v>
      </c>
      <c r="B30" s="263"/>
      <c r="C30" s="263"/>
      <c r="D30" s="263"/>
      <c r="E30" s="263"/>
      <c r="F30" s="263"/>
      <c r="G30" s="263"/>
      <c r="H30" s="263"/>
      <c r="I30" s="263"/>
      <c r="J30" s="263"/>
      <c r="K30" s="263"/>
      <c r="M30" s="143"/>
      <c r="N30" s="143"/>
      <c r="O30" s="143"/>
      <c r="P30" s="143"/>
      <c r="Q30" s="143"/>
      <c r="R30" s="143"/>
      <c r="S30" s="143"/>
      <c r="T30" s="143"/>
      <c r="U30" s="143"/>
      <c r="V30" s="143"/>
      <c r="W30" s="143"/>
      <c r="X30" s="143"/>
      <c r="Y30" s="143"/>
      <c r="Z30" s="143"/>
      <c r="AA30" s="143"/>
    </row>
    <row r="31" spans="1:27" s="138" customFormat="1" ht="75" customHeight="1">
      <c r="A31" s="283" t="str">
        <f>"1-140 -"&amp;L31</f>
        <v>1-140 -11</v>
      </c>
      <c r="B31" s="126" t="s">
        <v>1195</v>
      </c>
      <c r="C31" s="269" t="s">
        <v>1527</v>
      </c>
      <c r="D31" s="115">
        <f>VLOOKUP(L31,'140'!A:T,2,0)</f>
        <v>45678</v>
      </c>
      <c r="E31" s="271" t="str">
        <f>M31&amp;M32</f>
        <v>4 M3</v>
      </c>
      <c r="F31" s="115">
        <f>D31</f>
        <v>45678</v>
      </c>
      <c r="G31" s="275" t="s">
        <v>145</v>
      </c>
      <c r="H31" s="117" t="str">
        <f>N31&amp;M32</f>
        <v>115 M3</v>
      </c>
      <c r="I31" s="273" t="s">
        <v>1200</v>
      </c>
      <c r="J31" s="274" t="str">
        <f>IF(R31=0,"上  溢："&amp;S31,IF(Q31=0,"任  泰："&amp;R31&amp;"                 "&amp;"上  溢："&amp;S31,
"水利處："&amp;Q31&amp;"                 "&amp;"任  泰："&amp;R31&amp;"                 "&amp;"上  溢："&amp;S31))</f>
        <v>上  溢：康祐銓</v>
      </c>
      <c r="K31" s="124" t="s">
        <v>211</v>
      </c>
      <c r="L31" s="136">
        <f>L27+1</f>
        <v>11</v>
      </c>
      <c r="M31" s="128">
        <f>VLOOKUP(L31,'140'!A:T,5,0)</f>
        <v>4</v>
      </c>
      <c r="N31" s="128">
        <f>N27+M31</f>
        <v>115</v>
      </c>
      <c r="O31" s="128">
        <f>VLOOKUP(L31,'140'!A:T,6,0)</f>
        <v>0</v>
      </c>
      <c r="P31" s="128">
        <f>P27+O31</f>
        <v>5</v>
      </c>
      <c r="Q31" s="128">
        <f>VLOOKUP(L31,'140'!A:T,18,0)</f>
        <v>0</v>
      </c>
      <c r="R31" s="128">
        <f>VLOOKUP(L31,'140'!A:T,19,0)</f>
        <v>0</v>
      </c>
      <c r="S31" s="128" t="str">
        <f>VLOOKUP(L31,'140'!A:T,20,0)</f>
        <v>康祐銓</v>
      </c>
      <c r="T31" s="137"/>
      <c r="U31" s="137"/>
      <c r="V31" s="137"/>
      <c r="W31" s="137"/>
      <c r="X31" s="137"/>
      <c r="Y31" s="137"/>
      <c r="Z31" s="137"/>
      <c r="AA31" s="137"/>
    </row>
    <row r="32" spans="1:27" s="138" customFormat="1" ht="50.1" customHeight="1">
      <c r="A32" s="284"/>
      <c r="B32" s="174" t="s">
        <v>70</v>
      </c>
      <c r="C32" s="270"/>
      <c r="D32" s="116" t="str">
        <f>M31&amp;M32</f>
        <v>4 M3</v>
      </c>
      <c r="E32" s="272"/>
      <c r="F32" s="117" t="str">
        <f>E31&amp;CHAR(10)&amp;"("&amp;O31&amp;O32&amp;")"</f>
        <v>4 M3
(0組)</v>
      </c>
      <c r="G32" s="282"/>
      <c r="H32" s="117" t="str">
        <f>H31&amp;CHAR(10)&amp;"("&amp;P31&amp;O32&amp;")"</f>
        <v>115 M3
(5組)</v>
      </c>
      <c r="I32" s="273"/>
      <c r="J32" s="274"/>
      <c r="K32" s="124" t="s">
        <v>806</v>
      </c>
      <c r="L32" s="127"/>
      <c r="M32" s="127" t="s">
        <v>201</v>
      </c>
      <c r="N32" s="128"/>
      <c r="O32" s="128" t="s">
        <v>204</v>
      </c>
      <c r="P32" s="128"/>
      <c r="Q32" s="128"/>
      <c r="R32" s="128"/>
      <c r="S32" s="128"/>
      <c r="T32" s="137"/>
      <c r="U32" s="137"/>
      <c r="V32" s="137"/>
      <c r="W32" s="137"/>
      <c r="X32" s="137"/>
      <c r="Y32" s="137"/>
      <c r="Z32" s="137"/>
      <c r="AA32" s="137"/>
    </row>
    <row r="33" spans="1:27" s="138" customFormat="1" ht="75" customHeight="1">
      <c r="A33" s="283" t="str">
        <f>"1-140 -"&amp;L33</f>
        <v>1-140 -12</v>
      </c>
      <c r="B33" s="126" t="s">
        <v>1195</v>
      </c>
      <c r="C33" s="269" t="s">
        <v>1527</v>
      </c>
      <c r="D33" s="115">
        <f>VLOOKUP(L33,'140'!A:T,2,0)</f>
        <v>45680</v>
      </c>
      <c r="E33" s="271" t="str">
        <f>M33&amp;M34</f>
        <v>4.5 M3</v>
      </c>
      <c r="F33" s="115">
        <f>D33</f>
        <v>45680</v>
      </c>
      <c r="G33" s="282"/>
      <c r="H33" s="117" t="str">
        <f>N33&amp;M34</f>
        <v>119.5 M3</v>
      </c>
      <c r="I33" s="273" t="s">
        <v>1200</v>
      </c>
      <c r="J33" s="274" t="str">
        <f>IF(R33=0,"上  溢："&amp;S33,IF(Q33=0,"任  泰："&amp;R33&amp;"                 "&amp;"上  溢："&amp;S33,
"水利處："&amp;Q33&amp;"                 "&amp;"任  泰："&amp;R33&amp;"                 "&amp;"上  溢："&amp;S33))</f>
        <v>上  溢：康祐銓</v>
      </c>
      <c r="K33" s="124" t="s">
        <v>211</v>
      </c>
      <c r="L33" s="136">
        <f>L31+1</f>
        <v>12</v>
      </c>
      <c r="M33" s="128">
        <f>VLOOKUP(L33,'140'!A:T,5,0)</f>
        <v>4.5</v>
      </c>
      <c r="N33" s="128">
        <f>N31+M33</f>
        <v>119.5</v>
      </c>
      <c r="O33" s="128">
        <f>VLOOKUP(L33,'140'!A:T,6,0)</f>
        <v>0</v>
      </c>
      <c r="P33" s="128">
        <f>P31+O33</f>
        <v>5</v>
      </c>
      <c r="Q33" s="128">
        <f>VLOOKUP(L33,'140'!A:T,18,0)</f>
        <v>0</v>
      </c>
      <c r="R33" s="128">
        <f>VLOOKUP(L33,'140'!A:T,19,0)</f>
        <v>0</v>
      </c>
      <c r="S33" s="128" t="str">
        <f>VLOOKUP(L33,'140'!A:T,20,0)</f>
        <v>康祐銓</v>
      </c>
      <c r="T33" s="137"/>
      <c r="U33" s="137"/>
      <c r="V33" s="137"/>
      <c r="W33" s="137"/>
      <c r="X33" s="137"/>
      <c r="Y33" s="137"/>
      <c r="Z33" s="137"/>
      <c r="AA33" s="137"/>
    </row>
    <row r="34" spans="1:27" s="138" customFormat="1" ht="50.1" customHeight="1">
      <c r="A34" s="284"/>
      <c r="B34" s="174" t="s">
        <v>70</v>
      </c>
      <c r="C34" s="270"/>
      <c r="D34" s="116" t="str">
        <f>M33&amp;M34</f>
        <v>4.5 M3</v>
      </c>
      <c r="E34" s="272"/>
      <c r="F34" s="117" t="str">
        <f>E33&amp;CHAR(10)&amp;"("&amp;O33&amp;O34&amp;")"</f>
        <v>4.5 M3
(0組)</v>
      </c>
      <c r="G34" s="282"/>
      <c r="H34" s="117" t="str">
        <f>H33&amp;CHAR(10)&amp;"("&amp;P33&amp;O34&amp;")"</f>
        <v>119.5 M3
(5組)</v>
      </c>
      <c r="I34" s="273"/>
      <c r="J34" s="274"/>
      <c r="K34" s="124" t="s">
        <v>807</v>
      </c>
      <c r="L34" s="127"/>
      <c r="M34" s="127" t="s">
        <v>201</v>
      </c>
      <c r="N34" s="128"/>
      <c r="O34" s="128" t="s">
        <v>204</v>
      </c>
      <c r="P34" s="128"/>
      <c r="Q34" s="128"/>
      <c r="R34" s="128"/>
      <c r="S34" s="128"/>
      <c r="T34" s="137"/>
      <c r="U34" s="137"/>
      <c r="V34" s="137"/>
      <c r="W34" s="137"/>
      <c r="X34" s="137"/>
      <c r="Y34" s="137"/>
      <c r="Z34" s="137"/>
      <c r="AA34" s="137"/>
    </row>
    <row r="35" spans="1:27" s="138" customFormat="1" ht="75" customHeight="1">
      <c r="A35" s="267" t="str">
        <f>"1-140 -"&amp;L35</f>
        <v>1-140 -13</v>
      </c>
      <c r="B35" s="126" t="s">
        <v>1195</v>
      </c>
      <c r="C35" s="269" t="s">
        <v>1527</v>
      </c>
      <c r="D35" s="115">
        <f>VLOOKUP(L35,'140'!A:T,2,0)</f>
        <v>45692</v>
      </c>
      <c r="E35" s="271" t="str">
        <f>M35&amp;M36</f>
        <v>6 M3</v>
      </c>
      <c r="F35" s="115">
        <f>D35</f>
        <v>45692</v>
      </c>
      <c r="G35" s="282"/>
      <c r="H35" s="117" t="str">
        <f>N35&amp;M36</f>
        <v>125.5 M3</v>
      </c>
      <c r="I35" s="273" t="s">
        <v>1200</v>
      </c>
      <c r="J35" s="274" t="str">
        <f>IF(R35=0,"上  溢："&amp;S35,IF(Q35=0,"任  泰："&amp;R35&amp;"                 "&amp;"上  溢："&amp;S35,
"水利處："&amp;Q35&amp;"                 "&amp;"任  泰："&amp;R35&amp;"                 "&amp;"上  溢："&amp;S35))</f>
        <v>上  溢：康祐銓</v>
      </c>
      <c r="K35" s="124" t="s">
        <v>211</v>
      </c>
      <c r="L35" s="136">
        <f>L33+1</f>
        <v>13</v>
      </c>
      <c r="M35" s="128">
        <f>VLOOKUP(L35,'140'!A:T,5,0)</f>
        <v>6</v>
      </c>
      <c r="N35" s="128">
        <f>N33+M35</f>
        <v>125.5</v>
      </c>
      <c r="O35" s="128">
        <f>VLOOKUP(L35,'140'!A:T,6,0)</f>
        <v>0</v>
      </c>
      <c r="P35" s="128">
        <f>P33+O35</f>
        <v>5</v>
      </c>
      <c r="Q35" s="128">
        <f>VLOOKUP(L35,'140'!A:T,18,0)</f>
        <v>0</v>
      </c>
      <c r="R35" s="128">
        <f>VLOOKUP(L35,'140'!A:T,19,0)</f>
        <v>0</v>
      </c>
      <c r="S35" s="128" t="str">
        <f>VLOOKUP(L35,'140'!A:T,20,0)</f>
        <v>康祐銓</v>
      </c>
      <c r="T35" s="137"/>
      <c r="U35" s="137"/>
      <c r="V35" s="137"/>
      <c r="W35" s="137"/>
      <c r="X35" s="137"/>
      <c r="Y35" s="137"/>
      <c r="Z35" s="137"/>
      <c r="AA35" s="137"/>
    </row>
    <row r="36" spans="1:27" s="138" customFormat="1" ht="50.1" customHeight="1">
      <c r="A36" s="268"/>
      <c r="B36" s="174" t="s">
        <v>70</v>
      </c>
      <c r="C36" s="270"/>
      <c r="D36" s="116" t="str">
        <f>M35&amp;M36</f>
        <v>6 M3</v>
      </c>
      <c r="E36" s="272"/>
      <c r="F36" s="117" t="str">
        <f>E35&amp;CHAR(10)&amp;"("&amp;O35&amp;O36&amp;")"</f>
        <v>6 M3
(0組)</v>
      </c>
      <c r="G36" s="282"/>
      <c r="H36" s="117" t="str">
        <f>H35&amp;CHAR(10)&amp;"("&amp;P35&amp;O36&amp;")"</f>
        <v>125.5 M3
(5組)</v>
      </c>
      <c r="I36" s="273"/>
      <c r="J36" s="274"/>
      <c r="K36" s="124" t="s">
        <v>808</v>
      </c>
      <c r="L36" s="127"/>
      <c r="M36" s="127" t="s">
        <v>201</v>
      </c>
      <c r="N36" s="128"/>
      <c r="O36" s="128" t="s">
        <v>204</v>
      </c>
      <c r="P36" s="128"/>
      <c r="Q36" s="128"/>
      <c r="R36" s="128"/>
      <c r="S36" s="128"/>
      <c r="T36" s="137"/>
      <c r="U36" s="137"/>
      <c r="V36" s="137"/>
      <c r="W36" s="137"/>
      <c r="X36" s="137"/>
      <c r="Y36" s="137"/>
      <c r="Z36" s="137"/>
      <c r="AA36" s="137"/>
    </row>
    <row r="37" spans="1:27" s="140" customFormat="1" ht="75" customHeight="1">
      <c r="A37" s="283" t="str">
        <f>"1-140 -"&amp;L37</f>
        <v>1-140 -14</v>
      </c>
      <c r="B37" s="126" t="s">
        <v>1195</v>
      </c>
      <c r="C37" s="269" t="s">
        <v>1527</v>
      </c>
      <c r="D37" s="115">
        <f>VLOOKUP(L37,'140'!A:T,2,0)</f>
        <v>45695</v>
      </c>
      <c r="E37" s="271" t="str">
        <f>M37&amp;M38</f>
        <v>20 M3</v>
      </c>
      <c r="F37" s="115">
        <f>D37</f>
        <v>45695</v>
      </c>
      <c r="G37" s="282"/>
      <c r="H37" s="117" t="str">
        <f>N37&amp;M38</f>
        <v>145.5 M3</v>
      </c>
      <c r="I37" s="285" t="s">
        <v>48</v>
      </c>
      <c r="J37" s="274" t="str">
        <f>IF(R37=0,"上  溢："&amp;S37,IF(Q37=0,"任  泰："&amp;R37&amp;"                 "&amp;"上  溢："&amp;S37,
"水利處："&amp;Q37&amp;"                 "&amp;"任  泰："&amp;R37&amp;"                 "&amp;"上  溢："&amp;S37))</f>
        <v>上  溢：李建豪</v>
      </c>
      <c r="K37" s="264" t="s">
        <v>945</v>
      </c>
      <c r="L37" s="136">
        <f>L35+1</f>
        <v>14</v>
      </c>
      <c r="M37" s="128">
        <f>VLOOKUP(L37,'140'!A:T,5,0)</f>
        <v>20</v>
      </c>
      <c r="N37" s="128">
        <f>N35+M37</f>
        <v>145.5</v>
      </c>
      <c r="O37" s="128">
        <f>VLOOKUP(L37,'140'!A:T,6,0)</f>
        <v>1</v>
      </c>
      <c r="P37" s="128">
        <f>P35+O37</f>
        <v>6</v>
      </c>
      <c r="Q37" s="128">
        <f>VLOOKUP(L37,'140'!A:T,18,0)</f>
        <v>0</v>
      </c>
      <c r="R37" s="128">
        <f>VLOOKUP(L37,'140'!A:T,19,0)</f>
        <v>0</v>
      </c>
      <c r="S37" s="128" t="str">
        <f>VLOOKUP(L37,'140'!A:T,20,0)</f>
        <v>李建豪</v>
      </c>
      <c r="T37" s="139"/>
      <c r="U37" s="139"/>
      <c r="V37" s="139"/>
      <c r="W37" s="139"/>
      <c r="X37" s="139"/>
      <c r="Y37" s="139"/>
      <c r="Z37" s="139"/>
      <c r="AA37" s="139"/>
    </row>
    <row r="38" spans="1:27" s="140" customFormat="1" ht="50.1" customHeight="1">
      <c r="A38" s="284"/>
      <c r="B38" s="174" t="s">
        <v>70</v>
      </c>
      <c r="C38" s="270"/>
      <c r="D38" s="116" t="str">
        <f>M37&amp;M38</f>
        <v>20 M3</v>
      </c>
      <c r="E38" s="272"/>
      <c r="F38" s="117" t="str">
        <f>E37&amp;CHAR(10)&amp;"("&amp;O37&amp;O38&amp;")"</f>
        <v>20 M3
(1組)</v>
      </c>
      <c r="G38" s="282"/>
      <c r="H38" s="117" t="str">
        <f>H37&amp;CHAR(10)&amp;"("&amp;P37&amp;O38&amp;")"</f>
        <v>145.5 M3
(6組)</v>
      </c>
      <c r="I38" s="285"/>
      <c r="J38" s="274"/>
      <c r="K38" s="265"/>
      <c r="L38" s="127"/>
      <c r="M38" s="127" t="s">
        <v>201</v>
      </c>
      <c r="N38" s="128"/>
      <c r="O38" s="128" t="s">
        <v>204</v>
      </c>
      <c r="P38" s="128"/>
      <c r="Q38" s="128"/>
      <c r="R38" s="128"/>
      <c r="S38" s="128"/>
      <c r="T38" s="139"/>
      <c r="U38" s="139"/>
      <c r="V38" s="139"/>
      <c r="W38" s="139"/>
      <c r="X38" s="139"/>
      <c r="Y38" s="139"/>
      <c r="Z38" s="139"/>
      <c r="AA38" s="139"/>
    </row>
    <row r="39" spans="1:27" s="138" customFormat="1" ht="75" customHeight="1">
      <c r="A39" s="283" t="str">
        <f>"1-140 -"&amp;L39</f>
        <v>1-140 -15</v>
      </c>
      <c r="B39" s="126" t="s">
        <v>1195</v>
      </c>
      <c r="C39" s="269" t="s">
        <v>1527</v>
      </c>
      <c r="D39" s="115">
        <f>VLOOKUP(L39,'140'!A:T,2,0)</f>
        <v>45698</v>
      </c>
      <c r="E39" s="271" t="str">
        <f>M39&amp;M40</f>
        <v>10 M3</v>
      </c>
      <c r="F39" s="115">
        <f>D39</f>
        <v>45698</v>
      </c>
      <c r="G39" s="282"/>
      <c r="H39" s="117" t="str">
        <f>N39&amp;M40</f>
        <v>155.5 M3</v>
      </c>
      <c r="I39" s="273" t="s">
        <v>1200</v>
      </c>
      <c r="J39" s="274" t="str">
        <f>IF(R39=0,"上  溢："&amp;S39,IF(Q39=0,"任  泰："&amp;R39&amp;"                 "&amp;"上  溢："&amp;S39,
"水利處："&amp;Q39&amp;"                 "&amp;"任  泰："&amp;R39&amp;"                 "&amp;"上  溢："&amp;S39))</f>
        <v>上  溢：康祐銓</v>
      </c>
      <c r="K39" s="124" t="s">
        <v>211</v>
      </c>
      <c r="L39" s="136">
        <f>L37+1</f>
        <v>15</v>
      </c>
      <c r="M39" s="128">
        <f>VLOOKUP(L39,'140'!A:T,5,0)</f>
        <v>10</v>
      </c>
      <c r="N39" s="128">
        <f>N37+M39</f>
        <v>155.5</v>
      </c>
      <c r="O39" s="128">
        <f>VLOOKUP(L39,'140'!A:T,6,0)</f>
        <v>0</v>
      </c>
      <c r="P39" s="128">
        <f>P37+O39</f>
        <v>6</v>
      </c>
      <c r="Q39" s="128">
        <f>VLOOKUP(L39,'140'!A:T,18,0)</f>
        <v>0</v>
      </c>
      <c r="R39" s="128">
        <f>VLOOKUP(L39,'140'!A:T,19,0)</f>
        <v>0</v>
      </c>
      <c r="S39" s="128" t="str">
        <f>VLOOKUP(L39,'140'!A:T,20,0)</f>
        <v>康祐銓</v>
      </c>
      <c r="T39" s="137"/>
      <c r="U39" s="137"/>
      <c r="V39" s="137"/>
      <c r="W39" s="137"/>
      <c r="X39" s="137"/>
      <c r="Y39" s="137"/>
      <c r="Z39" s="137"/>
      <c r="AA39" s="137"/>
    </row>
    <row r="40" spans="1:27" s="138" customFormat="1" ht="50.1" customHeight="1">
      <c r="A40" s="284"/>
      <c r="B40" s="174" t="s">
        <v>70</v>
      </c>
      <c r="C40" s="270"/>
      <c r="D40" s="116" t="str">
        <f>M39&amp;M40</f>
        <v>10 M3</v>
      </c>
      <c r="E40" s="272"/>
      <c r="F40" s="117" t="str">
        <f>E39&amp;CHAR(10)&amp;"("&amp;O39&amp;O40&amp;")"</f>
        <v>10 M3
(0組)</v>
      </c>
      <c r="G40" s="265"/>
      <c r="H40" s="117" t="str">
        <f>H39&amp;CHAR(10)&amp;"("&amp;P39&amp;O40&amp;")"</f>
        <v>155.5 M3
(6組)</v>
      </c>
      <c r="I40" s="273"/>
      <c r="J40" s="274"/>
      <c r="K40" s="124" t="s">
        <v>809</v>
      </c>
      <c r="L40" s="127"/>
      <c r="M40" s="127" t="s">
        <v>201</v>
      </c>
      <c r="N40" s="128"/>
      <c r="O40" s="128" t="s">
        <v>204</v>
      </c>
      <c r="P40" s="128"/>
      <c r="Q40" s="128"/>
      <c r="R40" s="128"/>
      <c r="S40" s="128"/>
      <c r="T40" s="137"/>
      <c r="U40" s="137"/>
      <c r="V40" s="137"/>
      <c r="W40" s="137"/>
      <c r="X40" s="137"/>
      <c r="Y40" s="137"/>
      <c r="Z40" s="137"/>
      <c r="AA40" s="137"/>
    </row>
    <row r="41" spans="1:27" s="142" customFormat="1" ht="50.1" customHeight="1">
      <c r="A41" s="260" t="s">
        <v>47</v>
      </c>
      <c r="B41" s="261"/>
      <c r="C41" s="262"/>
      <c r="D41" s="260" t="s">
        <v>1753</v>
      </c>
      <c r="E41" s="261"/>
      <c r="F41" s="261"/>
      <c r="G41" s="262"/>
      <c r="H41" s="260" t="s">
        <v>1755</v>
      </c>
      <c r="I41" s="261"/>
      <c r="J41" s="261"/>
      <c r="K41" s="262"/>
      <c r="M41" s="143"/>
      <c r="N41" s="143"/>
      <c r="O41" s="143"/>
      <c r="P41" s="143"/>
      <c r="Q41" s="143"/>
      <c r="R41" s="143"/>
      <c r="S41" s="143"/>
      <c r="T41" s="143"/>
      <c r="U41" s="143"/>
      <c r="V41" s="143"/>
      <c r="W41" s="143"/>
      <c r="X41" s="143"/>
      <c r="Y41" s="143"/>
      <c r="Z41" s="143"/>
      <c r="AA41" s="143"/>
    </row>
    <row r="42" spans="1:27" s="142" customFormat="1" ht="50.1" customHeight="1">
      <c r="A42" s="263" t="s">
        <v>1147</v>
      </c>
      <c r="B42" s="263"/>
      <c r="C42" s="263"/>
      <c r="D42" s="263"/>
      <c r="E42" s="263"/>
      <c r="F42" s="263"/>
      <c r="G42" s="263"/>
      <c r="H42" s="263"/>
      <c r="I42" s="263"/>
      <c r="J42" s="263"/>
      <c r="K42" s="263"/>
      <c r="M42" s="143"/>
      <c r="N42" s="143"/>
      <c r="O42" s="143"/>
      <c r="P42" s="143"/>
      <c r="Q42" s="143"/>
      <c r="R42" s="143"/>
      <c r="S42" s="143"/>
      <c r="T42" s="143"/>
      <c r="U42" s="143"/>
      <c r="V42" s="143"/>
      <c r="W42" s="143"/>
      <c r="X42" s="143"/>
      <c r="Y42" s="143"/>
      <c r="Z42" s="143"/>
      <c r="AA42" s="143"/>
    </row>
    <row r="43" spans="1:27" s="138" customFormat="1" ht="75" customHeight="1">
      <c r="A43" s="283" t="str">
        <f>"1-140 -"&amp;L43</f>
        <v>1-140 -16</v>
      </c>
      <c r="B43" s="126" t="s">
        <v>1195</v>
      </c>
      <c r="C43" s="269" t="s">
        <v>1527</v>
      </c>
      <c r="D43" s="115">
        <f>VLOOKUP(L43,'140'!A:T,2,0)</f>
        <v>45708</v>
      </c>
      <c r="E43" s="271" t="str">
        <f>M43&amp;M44</f>
        <v>20 M3</v>
      </c>
      <c r="F43" s="115">
        <f>D43</f>
        <v>45708</v>
      </c>
      <c r="G43" s="275" t="s">
        <v>145</v>
      </c>
      <c r="H43" s="117" t="str">
        <f>N43&amp;M44</f>
        <v>175.5 M3</v>
      </c>
      <c r="I43" s="285" t="s">
        <v>48</v>
      </c>
      <c r="J43" s="274" t="str">
        <f>IF(R43=0,"上  溢："&amp;S43,IF(Q43=0,"任  泰："&amp;R43&amp;"                 "&amp;"上  溢："&amp;S43,
"水利處："&amp;Q43&amp;"                 "&amp;"任  泰："&amp;R43&amp;"                 "&amp;"上  溢："&amp;S43))</f>
        <v>上  溢：康祐銓</v>
      </c>
      <c r="K43" s="264" t="s">
        <v>1127</v>
      </c>
      <c r="L43" s="136">
        <f>L39+1</f>
        <v>16</v>
      </c>
      <c r="M43" s="128">
        <f>VLOOKUP(L43,'140'!A:T,5,0)</f>
        <v>20</v>
      </c>
      <c r="N43" s="128">
        <f>N39+M43</f>
        <v>175.5</v>
      </c>
      <c r="O43" s="128">
        <f>VLOOKUP(L43,'140'!A:T,6,0)</f>
        <v>1</v>
      </c>
      <c r="P43" s="128">
        <f>P39+O43</f>
        <v>7</v>
      </c>
      <c r="Q43" s="128">
        <f>VLOOKUP(L43,'140'!A:T,18,0)</f>
        <v>0</v>
      </c>
      <c r="R43" s="128">
        <f>VLOOKUP(L43,'140'!A:T,19,0)</f>
        <v>0</v>
      </c>
      <c r="S43" s="128" t="str">
        <f>VLOOKUP(L43,'140'!A:T,20,0)</f>
        <v>康祐銓</v>
      </c>
      <c r="T43" s="137"/>
      <c r="U43" s="137"/>
      <c r="V43" s="137"/>
      <c r="W43" s="137"/>
      <c r="X43" s="137"/>
      <c r="Y43" s="137"/>
      <c r="Z43" s="137"/>
      <c r="AA43" s="137"/>
    </row>
    <row r="44" spans="1:27" s="138" customFormat="1" ht="50.1" customHeight="1">
      <c r="A44" s="284"/>
      <c r="B44" s="174" t="s">
        <v>70</v>
      </c>
      <c r="C44" s="270"/>
      <c r="D44" s="116" t="str">
        <f>M43&amp;M44</f>
        <v>20 M3</v>
      </c>
      <c r="E44" s="272"/>
      <c r="F44" s="117" t="str">
        <f>E43&amp;CHAR(10)&amp;"("&amp;O43&amp;O44&amp;")"</f>
        <v>20 M3
(1組)</v>
      </c>
      <c r="G44" s="282"/>
      <c r="H44" s="117" t="str">
        <f>H43&amp;CHAR(10)&amp;"("&amp;P43&amp;O44&amp;")"</f>
        <v>175.5 M3
(7組)</v>
      </c>
      <c r="I44" s="285"/>
      <c r="J44" s="274"/>
      <c r="K44" s="265"/>
      <c r="L44" s="127"/>
      <c r="M44" s="127" t="s">
        <v>201</v>
      </c>
      <c r="N44" s="128"/>
      <c r="O44" s="128" t="s">
        <v>204</v>
      </c>
      <c r="P44" s="128"/>
      <c r="Q44" s="128"/>
      <c r="R44" s="128"/>
      <c r="S44" s="128"/>
      <c r="T44" s="137"/>
      <c r="U44" s="137"/>
      <c r="V44" s="137"/>
      <c r="W44" s="137"/>
      <c r="X44" s="137"/>
      <c r="Y44" s="137"/>
      <c r="Z44" s="137"/>
      <c r="AA44" s="137"/>
    </row>
    <row r="45" spans="1:27" s="138" customFormat="1" ht="75" customHeight="1">
      <c r="A45" s="267" t="str">
        <f>"1-140 -"&amp;L45</f>
        <v>1-140 -17</v>
      </c>
      <c r="B45" s="126" t="s">
        <v>1195</v>
      </c>
      <c r="C45" s="269" t="s">
        <v>1527</v>
      </c>
      <c r="D45" s="115">
        <f>VLOOKUP(L45,'140'!A:T,2,0)</f>
        <v>45714</v>
      </c>
      <c r="E45" s="271" t="str">
        <f>M45&amp;M46</f>
        <v>6 M3</v>
      </c>
      <c r="F45" s="115">
        <f>D45</f>
        <v>45714</v>
      </c>
      <c r="G45" s="282"/>
      <c r="H45" s="117" t="str">
        <f>N45&amp;M46</f>
        <v>181.5 M3</v>
      </c>
      <c r="I45" s="273" t="s">
        <v>1200</v>
      </c>
      <c r="J45" s="274" t="str">
        <f>IF(R45=0,"上  溢："&amp;S45,IF(Q45=0,"任  泰："&amp;R45&amp;"                 "&amp;"上  溢："&amp;S45,
"水利處："&amp;Q45&amp;"                 "&amp;"任  泰："&amp;R45&amp;"                 "&amp;"上  溢："&amp;S45))</f>
        <v>上  溢：康祐銓</v>
      </c>
      <c r="K45" s="124" t="s">
        <v>211</v>
      </c>
      <c r="L45" s="136">
        <f>L43+1</f>
        <v>17</v>
      </c>
      <c r="M45" s="128">
        <f>VLOOKUP(L45,'140'!A:T,5,0)</f>
        <v>6</v>
      </c>
      <c r="N45" s="128">
        <f>N43+M45</f>
        <v>181.5</v>
      </c>
      <c r="O45" s="128">
        <f>VLOOKUP(L45,'140'!A:T,6,0)</f>
        <v>0</v>
      </c>
      <c r="P45" s="128">
        <f>P43+O45</f>
        <v>7</v>
      </c>
      <c r="Q45" s="128">
        <f>VLOOKUP(L45,'140'!A:T,18,0)</f>
        <v>0</v>
      </c>
      <c r="R45" s="128">
        <f>VLOOKUP(L45,'140'!A:T,19,0)</f>
        <v>0</v>
      </c>
      <c r="S45" s="128" t="str">
        <f>VLOOKUP(L45,'140'!A:T,20,0)</f>
        <v>康祐銓</v>
      </c>
      <c r="T45" s="137"/>
      <c r="U45" s="137"/>
      <c r="V45" s="137"/>
      <c r="W45" s="137"/>
      <c r="X45" s="137"/>
      <c r="Y45" s="137"/>
      <c r="Z45" s="137"/>
      <c r="AA45" s="137"/>
    </row>
    <row r="46" spans="1:27" s="138" customFormat="1" ht="50.1" customHeight="1">
      <c r="A46" s="268"/>
      <c r="B46" s="174" t="s">
        <v>70</v>
      </c>
      <c r="C46" s="270"/>
      <c r="D46" s="116" t="str">
        <f>M45&amp;M46</f>
        <v>6 M3</v>
      </c>
      <c r="E46" s="272"/>
      <c r="F46" s="117" t="str">
        <f>E45&amp;CHAR(10)&amp;"("&amp;O45&amp;O46&amp;")"</f>
        <v>6 M3
(0組)</v>
      </c>
      <c r="G46" s="282"/>
      <c r="H46" s="117" t="str">
        <f>H45&amp;CHAR(10)&amp;"("&amp;P45&amp;O46&amp;")"</f>
        <v>181.5 M3
(7組)</v>
      </c>
      <c r="I46" s="273"/>
      <c r="J46" s="274"/>
      <c r="K46" s="124" t="s">
        <v>841</v>
      </c>
      <c r="L46" s="127"/>
      <c r="M46" s="127" t="s">
        <v>201</v>
      </c>
      <c r="N46" s="128"/>
      <c r="O46" s="128" t="s">
        <v>204</v>
      </c>
      <c r="P46" s="128"/>
      <c r="Q46" s="128"/>
      <c r="R46" s="128"/>
      <c r="S46" s="128"/>
      <c r="T46" s="137"/>
      <c r="U46" s="137"/>
      <c r="V46" s="137"/>
      <c r="W46" s="137"/>
      <c r="X46" s="137"/>
      <c r="Y46" s="137"/>
      <c r="Z46" s="137"/>
      <c r="AA46" s="137"/>
    </row>
    <row r="47" spans="1:27" s="140" customFormat="1" ht="75" customHeight="1">
      <c r="A47" s="283" t="str">
        <f>"1-140 -"&amp;L47</f>
        <v>1-140 -18</v>
      </c>
      <c r="B47" s="126" t="s">
        <v>1195</v>
      </c>
      <c r="C47" s="269" t="s">
        <v>1527</v>
      </c>
      <c r="D47" s="115">
        <f>VLOOKUP(L47,'140'!A:T,2,0)</f>
        <v>45726</v>
      </c>
      <c r="E47" s="271" t="str">
        <f>M47&amp;M48</f>
        <v>10 M3</v>
      </c>
      <c r="F47" s="115">
        <f>D47</f>
        <v>45726</v>
      </c>
      <c r="G47" s="282"/>
      <c r="H47" s="117" t="str">
        <f>N47&amp;M48</f>
        <v>191.5 M3</v>
      </c>
      <c r="I47" s="273" t="s">
        <v>1200</v>
      </c>
      <c r="J47" s="274" t="str">
        <f>IF(R47=0,"上  溢："&amp;S47,IF(Q47=0,"任  泰："&amp;R47&amp;"                 "&amp;"上  溢："&amp;S47,
"水利處："&amp;Q47&amp;"                 "&amp;"任  泰："&amp;R47&amp;"                 "&amp;"上  溢："&amp;S47))</f>
        <v>上  溢：康祐銓</v>
      </c>
      <c r="K47" s="124" t="s">
        <v>211</v>
      </c>
      <c r="L47" s="136">
        <f>L45+1</f>
        <v>18</v>
      </c>
      <c r="M47" s="128">
        <f>VLOOKUP(L47,'140'!A:T,5,0)</f>
        <v>10</v>
      </c>
      <c r="N47" s="128">
        <f>N45+M47</f>
        <v>191.5</v>
      </c>
      <c r="O47" s="128">
        <f>VLOOKUP(L47,'140'!A:T,6,0)</f>
        <v>0</v>
      </c>
      <c r="P47" s="128">
        <f>P45+O47</f>
        <v>7</v>
      </c>
      <c r="Q47" s="128">
        <f>VLOOKUP(L47,'140'!A:T,18,0)</f>
        <v>0</v>
      </c>
      <c r="R47" s="128">
        <f>VLOOKUP(L47,'140'!A:T,19,0)</f>
        <v>0</v>
      </c>
      <c r="S47" s="128" t="str">
        <f>VLOOKUP(L47,'140'!A:T,20,0)</f>
        <v>康祐銓</v>
      </c>
      <c r="T47" s="139"/>
      <c r="U47" s="139"/>
      <c r="V47" s="139"/>
      <c r="W47" s="139"/>
      <c r="X47" s="139"/>
      <c r="Y47" s="139"/>
      <c r="Z47" s="139"/>
      <c r="AA47" s="139"/>
    </row>
    <row r="48" spans="1:27" s="140" customFormat="1" ht="50.1" customHeight="1">
      <c r="A48" s="284"/>
      <c r="B48" s="174" t="s">
        <v>70</v>
      </c>
      <c r="C48" s="270"/>
      <c r="D48" s="116" t="str">
        <f>M47&amp;M48</f>
        <v>10 M3</v>
      </c>
      <c r="E48" s="272"/>
      <c r="F48" s="117" t="str">
        <f>E47&amp;CHAR(10)&amp;"("&amp;O47&amp;O48&amp;")"</f>
        <v>10 M3
(0組)</v>
      </c>
      <c r="G48" s="282"/>
      <c r="H48" s="117" t="str">
        <f>H47&amp;CHAR(10)&amp;"("&amp;P47&amp;O48&amp;")"</f>
        <v>191.5 M3
(7組)</v>
      </c>
      <c r="I48" s="273"/>
      <c r="J48" s="274"/>
      <c r="K48" s="124" t="s">
        <v>932</v>
      </c>
      <c r="L48" s="127"/>
      <c r="M48" s="127" t="s">
        <v>201</v>
      </c>
      <c r="N48" s="128"/>
      <c r="O48" s="128" t="s">
        <v>204</v>
      </c>
      <c r="P48" s="128"/>
      <c r="Q48" s="128"/>
      <c r="R48" s="128"/>
      <c r="S48" s="128"/>
      <c r="T48" s="139"/>
      <c r="U48" s="139"/>
      <c r="V48" s="139"/>
      <c r="W48" s="139"/>
      <c r="X48" s="139"/>
      <c r="Y48" s="139"/>
      <c r="Z48" s="139"/>
      <c r="AA48" s="139"/>
    </row>
    <row r="49" spans="1:27" s="138" customFormat="1" ht="75" customHeight="1">
      <c r="A49" s="283" t="str">
        <f>"1-140 -"&amp;L49</f>
        <v>1-140 -19</v>
      </c>
      <c r="B49" s="126" t="s">
        <v>1195</v>
      </c>
      <c r="C49" s="269" t="s">
        <v>1527</v>
      </c>
      <c r="D49" s="115">
        <f>VLOOKUP(L49,'140'!A:T,2,0)</f>
        <v>45729</v>
      </c>
      <c r="E49" s="271" t="str">
        <f>M49&amp;M50</f>
        <v>3 M3</v>
      </c>
      <c r="F49" s="115">
        <f>D49</f>
        <v>45729</v>
      </c>
      <c r="G49" s="282"/>
      <c r="H49" s="117" t="str">
        <f>N49&amp;M50</f>
        <v>194.5 M3</v>
      </c>
      <c r="I49" s="273" t="s">
        <v>1200</v>
      </c>
      <c r="J49" s="274" t="str">
        <f>IF(R49=0,"上  溢："&amp;S49,IF(Q49=0,"任  泰："&amp;R49&amp;"                 "&amp;"上  溢："&amp;S49,
"水利處："&amp;Q49&amp;"                 "&amp;"任  泰："&amp;R49&amp;"                 "&amp;"上  溢："&amp;S49))</f>
        <v>上  溢：康祐銓</v>
      </c>
      <c r="K49" s="124" t="s">
        <v>211</v>
      </c>
      <c r="L49" s="136">
        <f>L47+1</f>
        <v>19</v>
      </c>
      <c r="M49" s="128">
        <f>VLOOKUP(L49,'140'!A:T,5,0)</f>
        <v>3</v>
      </c>
      <c r="N49" s="128">
        <f>N47+M49</f>
        <v>194.5</v>
      </c>
      <c r="O49" s="128">
        <f>VLOOKUP(L49,'140'!A:T,6,0)</f>
        <v>0</v>
      </c>
      <c r="P49" s="128">
        <f>P47+O49</f>
        <v>7</v>
      </c>
      <c r="Q49" s="128">
        <f>VLOOKUP(L49,'140'!A:T,18,0)</f>
        <v>0</v>
      </c>
      <c r="R49" s="128">
        <f>VLOOKUP(L49,'140'!A:T,19,0)</f>
        <v>0</v>
      </c>
      <c r="S49" s="128" t="str">
        <f>VLOOKUP(L49,'140'!A:T,20,0)</f>
        <v>康祐銓</v>
      </c>
      <c r="T49" s="137"/>
      <c r="U49" s="137"/>
      <c r="V49" s="137"/>
      <c r="W49" s="137"/>
      <c r="X49" s="137"/>
      <c r="Y49" s="137"/>
      <c r="Z49" s="137"/>
      <c r="AA49" s="137"/>
    </row>
    <row r="50" spans="1:27" s="138" customFormat="1" ht="50.1" customHeight="1">
      <c r="A50" s="284"/>
      <c r="B50" s="174" t="s">
        <v>70</v>
      </c>
      <c r="C50" s="270"/>
      <c r="D50" s="116" t="str">
        <f>M49&amp;M50</f>
        <v>3 M3</v>
      </c>
      <c r="E50" s="272"/>
      <c r="F50" s="117" t="str">
        <f>E49&amp;CHAR(10)&amp;"("&amp;O49&amp;O50&amp;")"</f>
        <v>3 M3
(0組)</v>
      </c>
      <c r="G50" s="282"/>
      <c r="H50" s="117" t="str">
        <f>H49&amp;CHAR(10)&amp;"("&amp;P49&amp;O50&amp;")"</f>
        <v>194.5 M3
(7組)</v>
      </c>
      <c r="I50" s="273"/>
      <c r="J50" s="274"/>
      <c r="K50" s="124" t="s">
        <v>933</v>
      </c>
      <c r="L50" s="127"/>
      <c r="M50" s="127" t="s">
        <v>201</v>
      </c>
      <c r="N50" s="128"/>
      <c r="O50" s="128" t="s">
        <v>204</v>
      </c>
      <c r="P50" s="128"/>
      <c r="Q50" s="128"/>
      <c r="R50" s="128"/>
      <c r="S50" s="128"/>
      <c r="T50" s="137"/>
      <c r="U50" s="137"/>
      <c r="V50" s="137"/>
      <c r="W50" s="137"/>
      <c r="X50" s="137"/>
      <c r="Y50" s="137"/>
      <c r="Z50" s="137"/>
      <c r="AA50" s="137"/>
    </row>
    <row r="51" spans="1:27" s="138" customFormat="1" ht="75" customHeight="1">
      <c r="A51" s="283" t="str">
        <f>"1-140 -"&amp;L51</f>
        <v>1-140 -20</v>
      </c>
      <c r="B51" s="126" t="s">
        <v>1195</v>
      </c>
      <c r="C51" s="269" t="s">
        <v>1527</v>
      </c>
      <c r="D51" s="115">
        <f>VLOOKUP(L51,'140'!A:T,2,0)</f>
        <v>45755</v>
      </c>
      <c r="E51" s="271" t="str">
        <f>M51&amp;M52</f>
        <v>18 M3</v>
      </c>
      <c r="F51" s="115">
        <f>D51</f>
        <v>45755</v>
      </c>
      <c r="G51" s="282"/>
      <c r="H51" s="117" t="str">
        <f>N51&amp;M52</f>
        <v>212.5 M3</v>
      </c>
      <c r="I51" s="273" t="s">
        <v>1200</v>
      </c>
      <c r="J51" s="274" t="str">
        <f>IF(R51=0,"上  溢："&amp;S51,IF(Q51=0,"任  泰："&amp;R51&amp;"                 "&amp;"上  溢："&amp;S51,
"水利處："&amp;Q51&amp;"                 "&amp;"任  泰："&amp;R51&amp;"                 "&amp;"上  溢："&amp;S51))</f>
        <v>上  溢：康祐銓</v>
      </c>
      <c r="K51" s="124" t="s">
        <v>211</v>
      </c>
      <c r="L51" s="136">
        <f>L49+1</f>
        <v>20</v>
      </c>
      <c r="M51" s="128">
        <f>VLOOKUP(L51,'140'!A:T,5,0)</f>
        <v>18</v>
      </c>
      <c r="N51" s="128">
        <f>N49+M51</f>
        <v>212.5</v>
      </c>
      <c r="O51" s="128">
        <f>VLOOKUP(L51,'140'!A:T,6,0)</f>
        <v>0</v>
      </c>
      <c r="P51" s="128">
        <f>P49+O51</f>
        <v>7</v>
      </c>
      <c r="Q51" s="128">
        <f>VLOOKUP(L51,'140'!A:T,18,0)</f>
        <v>0</v>
      </c>
      <c r="R51" s="128">
        <f>VLOOKUP(L51,'140'!A:T,19,0)</f>
        <v>0</v>
      </c>
      <c r="S51" s="128" t="str">
        <f>VLOOKUP(L51,'140'!A:T,20,0)</f>
        <v>康祐銓</v>
      </c>
      <c r="T51" s="137"/>
      <c r="U51" s="137"/>
      <c r="V51" s="137"/>
      <c r="W51" s="137"/>
      <c r="X51" s="137"/>
      <c r="Y51" s="137"/>
      <c r="Z51" s="137"/>
      <c r="AA51" s="137"/>
    </row>
    <row r="52" spans="1:27" s="138" customFormat="1" ht="50.1" customHeight="1">
      <c r="A52" s="284"/>
      <c r="B52" s="174" t="s">
        <v>70</v>
      </c>
      <c r="C52" s="270"/>
      <c r="D52" s="116" t="str">
        <f>M51&amp;M52</f>
        <v>18 M3</v>
      </c>
      <c r="E52" s="272"/>
      <c r="F52" s="117" t="str">
        <f>E51&amp;CHAR(10)&amp;"("&amp;O51&amp;O52&amp;")"</f>
        <v>18 M3
(0組)</v>
      </c>
      <c r="G52" s="265"/>
      <c r="H52" s="117" t="str">
        <f>H51&amp;CHAR(10)&amp;"("&amp;P51&amp;O52&amp;")"</f>
        <v>212.5 M3
(7組)</v>
      </c>
      <c r="I52" s="273"/>
      <c r="J52" s="274"/>
      <c r="K52" s="124" t="s">
        <v>974</v>
      </c>
      <c r="L52" s="127"/>
      <c r="M52" s="127" t="s">
        <v>201</v>
      </c>
      <c r="N52" s="128"/>
      <c r="O52" s="128" t="s">
        <v>204</v>
      </c>
      <c r="P52" s="128"/>
      <c r="Q52" s="128"/>
      <c r="R52" s="128"/>
      <c r="S52" s="128"/>
      <c r="T52" s="137"/>
      <c r="U52" s="137"/>
      <c r="V52" s="137"/>
      <c r="W52" s="137"/>
      <c r="X52" s="137"/>
      <c r="Y52" s="137"/>
      <c r="Z52" s="137"/>
      <c r="AA52" s="137"/>
    </row>
    <row r="53" spans="1:27" s="142" customFormat="1" ht="50.1" customHeight="1">
      <c r="A53" s="260" t="s">
        <v>47</v>
      </c>
      <c r="B53" s="261"/>
      <c r="C53" s="262"/>
      <c r="D53" s="260" t="s">
        <v>1753</v>
      </c>
      <c r="E53" s="261"/>
      <c r="F53" s="261"/>
      <c r="G53" s="262"/>
      <c r="H53" s="260" t="s">
        <v>1755</v>
      </c>
      <c r="I53" s="261"/>
      <c r="J53" s="261"/>
      <c r="K53" s="262"/>
      <c r="M53" s="143"/>
      <c r="N53" s="143"/>
      <c r="O53" s="143"/>
      <c r="P53" s="143"/>
      <c r="Q53" s="143"/>
      <c r="R53" s="143"/>
      <c r="S53" s="143"/>
      <c r="T53" s="143"/>
      <c r="U53" s="143"/>
      <c r="V53" s="143"/>
      <c r="W53" s="143"/>
      <c r="X53" s="143"/>
      <c r="Y53" s="143"/>
      <c r="Z53" s="143"/>
      <c r="AA53" s="143"/>
    </row>
    <row r="54" spans="1:27" s="142" customFormat="1" ht="50.1" customHeight="1">
      <c r="A54" s="263" t="s">
        <v>1147</v>
      </c>
      <c r="B54" s="263"/>
      <c r="C54" s="263"/>
      <c r="D54" s="263"/>
      <c r="E54" s="263"/>
      <c r="F54" s="263"/>
      <c r="G54" s="263"/>
      <c r="H54" s="263"/>
      <c r="I54" s="263"/>
      <c r="J54" s="263"/>
      <c r="K54" s="263"/>
      <c r="M54" s="143"/>
      <c r="N54" s="143"/>
      <c r="O54" s="143"/>
      <c r="P54" s="143"/>
      <c r="Q54" s="143"/>
      <c r="R54" s="143"/>
      <c r="S54" s="143"/>
      <c r="T54" s="143"/>
      <c r="U54" s="143"/>
      <c r="V54" s="143"/>
      <c r="W54" s="143"/>
      <c r="X54" s="143"/>
      <c r="Y54" s="143"/>
      <c r="Z54" s="143"/>
      <c r="AA54" s="143"/>
    </row>
    <row r="55" spans="1:27" s="138" customFormat="1" ht="75" customHeight="1">
      <c r="A55" s="267" t="str">
        <f>"1-140 -"&amp;L55</f>
        <v>1-140 -21</v>
      </c>
      <c r="B55" s="126" t="s">
        <v>1195</v>
      </c>
      <c r="C55" s="269" t="s">
        <v>1527</v>
      </c>
      <c r="D55" s="115">
        <f>VLOOKUP(L55,'140'!A:T,2,0)</f>
        <v>45777</v>
      </c>
      <c r="E55" s="271" t="str">
        <f>M55&amp;M56</f>
        <v>20 M3</v>
      </c>
      <c r="F55" s="115">
        <f>D55</f>
        <v>45777</v>
      </c>
      <c r="G55" s="275" t="s">
        <v>145</v>
      </c>
      <c r="H55" s="117" t="str">
        <f>N55&amp;M56</f>
        <v>232.5 M3</v>
      </c>
      <c r="I55" s="285" t="s">
        <v>48</v>
      </c>
      <c r="J55" s="274" t="str">
        <f>IF(R55=0,"上  溢："&amp;S55,IF(Q55=0,"任  泰："&amp;R55&amp;"                 "&amp;"上  溢："&amp;S55,
"水利處："&amp;Q55&amp;"                 "&amp;"任  泰："&amp;R55&amp;"                 "&amp;"上  溢："&amp;S55))</f>
        <v>任  泰：王淑慧                 上  溢：康祐銓</v>
      </c>
      <c r="K55" s="264" t="s">
        <v>1125</v>
      </c>
      <c r="L55" s="136">
        <f>L51+1</f>
        <v>21</v>
      </c>
      <c r="M55" s="128">
        <f>VLOOKUP(L55,'140'!A:T,5,0)</f>
        <v>20</v>
      </c>
      <c r="N55" s="128">
        <f>N51+M55</f>
        <v>232.5</v>
      </c>
      <c r="O55" s="128">
        <f>VLOOKUP(L55,'140'!A:T,6,0)</f>
        <v>1</v>
      </c>
      <c r="P55" s="128">
        <f>P51+O55</f>
        <v>8</v>
      </c>
      <c r="Q55" s="128">
        <f>VLOOKUP(L55,'140'!A:T,18,0)</f>
        <v>0</v>
      </c>
      <c r="R55" s="128" t="str">
        <f>VLOOKUP(L55,'140'!A:T,19,0)</f>
        <v>王淑慧</v>
      </c>
      <c r="S55" s="128" t="str">
        <f>VLOOKUP(L55,'140'!A:T,20,0)</f>
        <v>康祐銓</v>
      </c>
      <c r="T55" s="137"/>
      <c r="U55" s="137"/>
      <c r="V55" s="137"/>
      <c r="W55" s="137"/>
      <c r="X55" s="137"/>
      <c r="Y55" s="137"/>
      <c r="Z55" s="137"/>
      <c r="AA55" s="137"/>
    </row>
    <row r="56" spans="1:27" s="138" customFormat="1" ht="50.1" customHeight="1">
      <c r="A56" s="268"/>
      <c r="B56" s="174" t="s">
        <v>70</v>
      </c>
      <c r="C56" s="270"/>
      <c r="D56" s="116" t="str">
        <f>M55&amp;M56</f>
        <v>20 M3</v>
      </c>
      <c r="E56" s="272"/>
      <c r="F56" s="117" t="str">
        <f>E55&amp;CHAR(10)&amp;"("&amp;O55&amp;O56&amp;")"</f>
        <v>20 M3
(1組)</v>
      </c>
      <c r="G56" s="282"/>
      <c r="H56" s="117" t="str">
        <f>H55&amp;CHAR(10)&amp;"("&amp;P55&amp;O56&amp;")"</f>
        <v>232.5 M3
(8組)</v>
      </c>
      <c r="I56" s="285"/>
      <c r="J56" s="274"/>
      <c r="K56" s="265"/>
      <c r="L56" s="127"/>
      <c r="M56" s="127" t="s">
        <v>201</v>
      </c>
      <c r="N56" s="128"/>
      <c r="O56" s="128" t="s">
        <v>204</v>
      </c>
      <c r="P56" s="128"/>
      <c r="Q56" s="128"/>
      <c r="R56" s="128"/>
      <c r="S56" s="128"/>
      <c r="T56" s="137"/>
      <c r="U56" s="137"/>
      <c r="V56" s="137"/>
      <c r="W56" s="137"/>
      <c r="X56" s="137"/>
      <c r="Y56" s="137"/>
      <c r="Z56" s="137"/>
      <c r="AA56" s="137"/>
    </row>
    <row r="57" spans="1:27" s="140" customFormat="1" ht="75" customHeight="1">
      <c r="A57" s="267" t="str">
        <f>"1-140 -"&amp;L57</f>
        <v>1-140 -22</v>
      </c>
      <c r="B57" s="126" t="s">
        <v>1195</v>
      </c>
      <c r="C57" s="269" t="s">
        <v>1527</v>
      </c>
      <c r="D57" s="115">
        <f>VLOOKUP(L57,'140'!A:T,2,0)</f>
        <v>45789</v>
      </c>
      <c r="E57" s="271" t="str">
        <f>M57&amp;M58</f>
        <v>20 M3</v>
      </c>
      <c r="F57" s="115">
        <f>D57</f>
        <v>45789</v>
      </c>
      <c r="G57" s="282"/>
      <c r="H57" s="117" t="str">
        <f>N57&amp;M58</f>
        <v>252.5 M3</v>
      </c>
      <c r="I57" s="285" t="s">
        <v>48</v>
      </c>
      <c r="J57" s="274" t="str">
        <f>IF(R57=0,"上  溢："&amp;S57,IF(Q57=0,"任  泰："&amp;R57&amp;"                 "&amp;"上  溢："&amp;S57,
"水利處："&amp;Q57&amp;"                 "&amp;"任  泰："&amp;R57&amp;"                 "&amp;"上  溢："&amp;S57))</f>
        <v>任  泰：王淑慧                 上  溢：康祐銓</v>
      </c>
      <c r="K57" s="264" t="s">
        <v>1126</v>
      </c>
      <c r="L57" s="136">
        <f>L55+1</f>
        <v>22</v>
      </c>
      <c r="M57" s="128">
        <f>VLOOKUP(L57,'140'!A:T,5,0)</f>
        <v>20</v>
      </c>
      <c r="N57" s="128">
        <f>N55+M57</f>
        <v>252.5</v>
      </c>
      <c r="O57" s="128">
        <f>VLOOKUP(L57,'140'!A:T,6,0)</f>
        <v>1</v>
      </c>
      <c r="P57" s="128">
        <f>P55+O57</f>
        <v>9</v>
      </c>
      <c r="Q57" s="128">
        <f>VLOOKUP(L57,'140'!A:T,18,0)</f>
        <v>0</v>
      </c>
      <c r="R57" s="128" t="str">
        <f>VLOOKUP(L57,'140'!A:T,19,0)</f>
        <v>王淑慧</v>
      </c>
      <c r="S57" s="128" t="str">
        <f>VLOOKUP(L57,'140'!A:T,20,0)</f>
        <v>康祐銓</v>
      </c>
      <c r="T57" s="139"/>
      <c r="U57" s="139"/>
      <c r="V57" s="139"/>
      <c r="W57" s="139"/>
      <c r="X57" s="139"/>
      <c r="Y57" s="139"/>
      <c r="Z57" s="139"/>
      <c r="AA57" s="139"/>
    </row>
    <row r="58" spans="1:27" s="140" customFormat="1" ht="50.1" customHeight="1">
      <c r="A58" s="268"/>
      <c r="B58" s="174" t="s">
        <v>70</v>
      </c>
      <c r="C58" s="270"/>
      <c r="D58" s="116" t="str">
        <f>M57&amp;M58</f>
        <v>20 M3</v>
      </c>
      <c r="E58" s="272"/>
      <c r="F58" s="117" t="str">
        <f>E57&amp;CHAR(10)&amp;"("&amp;O57&amp;O58&amp;")"</f>
        <v>20 M3
(1組)</v>
      </c>
      <c r="G58" s="282"/>
      <c r="H58" s="117" t="str">
        <f>H57&amp;CHAR(10)&amp;"("&amp;P57&amp;O58&amp;")"</f>
        <v>252.5 M3
(9組)</v>
      </c>
      <c r="I58" s="285"/>
      <c r="J58" s="274"/>
      <c r="K58" s="265"/>
      <c r="L58" s="127"/>
      <c r="M58" s="127" t="s">
        <v>201</v>
      </c>
      <c r="N58" s="128"/>
      <c r="O58" s="128" t="s">
        <v>204</v>
      </c>
      <c r="P58" s="128"/>
      <c r="Q58" s="128"/>
      <c r="R58" s="128"/>
      <c r="S58" s="128"/>
      <c r="T58" s="139"/>
      <c r="U58" s="139"/>
      <c r="V58" s="139"/>
      <c r="W58" s="139"/>
      <c r="X58" s="139"/>
      <c r="Y58" s="139"/>
      <c r="Z58" s="139"/>
      <c r="AA58" s="139"/>
    </row>
    <row r="59" spans="1:27" s="138" customFormat="1" ht="75" customHeight="1">
      <c r="A59" s="267" t="str">
        <f>"1-140 -"&amp;L59</f>
        <v>1-140 -23</v>
      </c>
      <c r="B59" s="126" t="s">
        <v>1195</v>
      </c>
      <c r="C59" s="269" t="s">
        <v>1527</v>
      </c>
      <c r="D59" s="115">
        <f>VLOOKUP(L59,'140'!A:T,2,0)</f>
        <v>45791</v>
      </c>
      <c r="E59" s="271" t="str">
        <f>M59&amp;M60</f>
        <v>6 M3</v>
      </c>
      <c r="F59" s="115">
        <f>D59</f>
        <v>45791</v>
      </c>
      <c r="G59" s="282"/>
      <c r="H59" s="117" t="str">
        <f>N59&amp;M60</f>
        <v>258.5 M3</v>
      </c>
      <c r="I59" s="273" t="s">
        <v>1200</v>
      </c>
      <c r="J59" s="274" t="str">
        <f>IF(R59=0,"上  溢："&amp;S59,IF(Q59=0,"任  泰："&amp;R59&amp;"                 "&amp;"上  溢："&amp;S59,
"水利處："&amp;Q59&amp;"                 "&amp;"任  泰："&amp;R59&amp;"                 "&amp;"上  溢："&amp;S59))</f>
        <v>上  溢：康祐銓</v>
      </c>
      <c r="K59" s="124" t="s">
        <v>211</v>
      </c>
      <c r="L59" s="136">
        <f>L57+1</f>
        <v>23</v>
      </c>
      <c r="M59" s="128">
        <f>VLOOKUP(L59,'140'!A:T,5,0)</f>
        <v>6</v>
      </c>
      <c r="N59" s="128">
        <f>N57+M59</f>
        <v>258.5</v>
      </c>
      <c r="O59" s="128">
        <f>VLOOKUP(L59,'140'!A:T,6,0)</f>
        <v>0</v>
      </c>
      <c r="P59" s="128">
        <f>P57+O59</f>
        <v>9</v>
      </c>
      <c r="Q59" s="128">
        <f>VLOOKUP(L59,'140'!A:T,18,0)</f>
        <v>0</v>
      </c>
      <c r="R59" s="128">
        <f>VLOOKUP(L59,'140'!A:T,19,0)</f>
        <v>0</v>
      </c>
      <c r="S59" s="128" t="str">
        <f>VLOOKUP(L59,'140'!A:T,20,0)</f>
        <v>康祐銓</v>
      </c>
      <c r="T59" s="137"/>
      <c r="U59" s="137"/>
      <c r="V59" s="137"/>
      <c r="W59" s="137"/>
      <c r="X59" s="137"/>
      <c r="Y59" s="137"/>
      <c r="Z59" s="137"/>
      <c r="AA59" s="137"/>
    </row>
    <row r="60" spans="1:27" s="138" customFormat="1" ht="50.1" customHeight="1">
      <c r="A60" s="268"/>
      <c r="B60" s="174" t="s">
        <v>70</v>
      </c>
      <c r="C60" s="270"/>
      <c r="D60" s="116" t="str">
        <f>M59&amp;M60</f>
        <v>6 M3</v>
      </c>
      <c r="E60" s="272"/>
      <c r="F60" s="117" t="str">
        <f>E59&amp;CHAR(10)&amp;"("&amp;O59&amp;O60&amp;")"</f>
        <v>6 M3
(0組)</v>
      </c>
      <c r="G60" s="282"/>
      <c r="H60" s="117" t="str">
        <f>H59&amp;CHAR(10)&amp;"("&amp;P59&amp;O60&amp;")"</f>
        <v>258.5 M3
(9組)</v>
      </c>
      <c r="I60" s="273"/>
      <c r="J60" s="274"/>
      <c r="K60" s="124" t="s">
        <v>1024</v>
      </c>
      <c r="L60" s="127"/>
      <c r="M60" s="127" t="s">
        <v>201</v>
      </c>
      <c r="N60" s="128"/>
      <c r="O60" s="128" t="s">
        <v>204</v>
      </c>
      <c r="P60" s="128"/>
      <c r="Q60" s="128"/>
      <c r="R60" s="128"/>
      <c r="S60" s="128"/>
      <c r="T60" s="137"/>
      <c r="U60" s="137"/>
      <c r="V60" s="137"/>
      <c r="W60" s="137"/>
      <c r="X60" s="137"/>
      <c r="Y60" s="137"/>
      <c r="Z60" s="137"/>
      <c r="AA60" s="137"/>
    </row>
    <row r="61" spans="1:27" s="138" customFormat="1" ht="75" customHeight="1">
      <c r="A61" s="267" t="str">
        <f>"1-140 -"&amp;L61</f>
        <v>1-140 -24</v>
      </c>
      <c r="B61" s="126" t="s">
        <v>1195</v>
      </c>
      <c r="C61" s="269" t="s">
        <v>1527</v>
      </c>
      <c r="D61" s="115">
        <f>VLOOKUP(L61,'140'!A:T,2,0)</f>
        <v>45794</v>
      </c>
      <c r="E61" s="271" t="str">
        <f>M61&amp;M62</f>
        <v>6 M3</v>
      </c>
      <c r="F61" s="115">
        <f>D61</f>
        <v>45794</v>
      </c>
      <c r="G61" s="282"/>
      <c r="H61" s="117" t="str">
        <f>N61&amp;M62</f>
        <v>264.5 M3</v>
      </c>
      <c r="I61" s="273" t="s">
        <v>1200</v>
      </c>
      <c r="J61" s="274" t="str">
        <f>IF(R61=0,"上  溢："&amp;S61,IF(Q61=0,"任  泰："&amp;R61&amp;"                 "&amp;"上  溢："&amp;S61,
"水利處："&amp;Q61&amp;"                 "&amp;"任  泰："&amp;R61&amp;"                 "&amp;"上  溢："&amp;S61))</f>
        <v>上  溢：康祐銓</v>
      </c>
      <c r="K61" s="124" t="s">
        <v>211</v>
      </c>
      <c r="L61" s="136">
        <f>L59+1</f>
        <v>24</v>
      </c>
      <c r="M61" s="128">
        <f>VLOOKUP(L61,'140'!A:T,5,0)</f>
        <v>6</v>
      </c>
      <c r="N61" s="128">
        <f>N59+M61</f>
        <v>264.5</v>
      </c>
      <c r="O61" s="128">
        <f>VLOOKUP(L61,'140'!A:T,6,0)</f>
        <v>0</v>
      </c>
      <c r="P61" s="128">
        <f>P59+O61</f>
        <v>9</v>
      </c>
      <c r="Q61" s="128">
        <f>VLOOKUP(L61,'140'!A:T,18,0)</f>
        <v>0</v>
      </c>
      <c r="R61" s="128">
        <f>VLOOKUP(L61,'140'!A:T,19,0)</f>
        <v>0</v>
      </c>
      <c r="S61" s="128" t="str">
        <f>VLOOKUP(L61,'140'!A:T,20,0)</f>
        <v>康祐銓</v>
      </c>
      <c r="T61" s="137"/>
      <c r="U61" s="137"/>
      <c r="V61" s="137"/>
      <c r="W61" s="137"/>
      <c r="X61" s="137"/>
      <c r="Y61" s="137"/>
      <c r="Z61" s="137"/>
      <c r="AA61" s="137"/>
    </row>
    <row r="62" spans="1:27" s="138" customFormat="1" ht="50.1" customHeight="1">
      <c r="A62" s="268"/>
      <c r="B62" s="174" t="s">
        <v>70</v>
      </c>
      <c r="C62" s="270"/>
      <c r="D62" s="116" t="str">
        <f>M61&amp;M62</f>
        <v>6 M3</v>
      </c>
      <c r="E62" s="272"/>
      <c r="F62" s="117" t="str">
        <f>E61&amp;CHAR(10)&amp;"("&amp;O61&amp;O62&amp;")"</f>
        <v>6 M3
(0組)</v>
      </c>
      <c r="G62" s="282"/>
      <c r="H62" s="117" t="str">
        <f>H61&amp;CHAR(10)&amp;"("&amp;P61&amp;O62&amp;")"</f>
        <v>264.5 M3
(9組)</v>
      </c>
      <c r="I62" s="273"/>
      <c r="J62" s="274"/>
      <c r="K62" s="124" t="s">
        <v>1030</v>
      </c>
      <c r="L62" s="127"/>
      <c r="M62" s="127" t="s">
        <v>201</v>
      </c>
      <c r="N62" s="128"/>
      <c r="O62" s="128" t="s">
        <v>204</v>
      </c>
      <c r="P62" s="128"/>
      <c r="Q62" s="128"/>
      <c r="R62" s="128"/>
      <c r="S62" s="128"/>
      <c r="T62" s="137"/>
      <c r="U62" s="137"/>
      <c r="V62" s="137"/>
      <c r="W62" s="137"/>
      <c r="X62" s="137"/>
      <c r="Y62" s="137"/>
      <c r="Z62" s="137"/>
      <c r="AA62" s="137"/>
    </row>
    <row r="63" spans="1:27" s="138" customFormat="1" ht="75" customHeight="1">
      <c r="A63" s="267" t="str">
        <f>"1-140 -"&amp;L63</f>
        <v>1-140 -25</v>
      </c>
      <c r="B63" s="126" t="s">
        <v>1195</v>
      </c>
      <c r="C63" s="269" t="s">
        <v>1527</v>
      </c>
      <c r="D63" s="115">
        <f>VLOOKUP(L63,'140'!A:T,2,0)</f>
        <v>45805</v>
      </c>
      <c r="E63" s="271" t="str">
        <f>M63&amp;M64</f>
        <v>6 M3</v>
      </c>
      <c r="F63" s="115">
        <f>D63</f>
        <v>45805</v>
      </c>
      <c r="G63" s="282"/>
      <c r="H63" s="117" t="str">
        <f>N63&amp;M64</f>
        <v>270.5 M3</v>
      </c>
      <c r="I63" s="273" t="s">
        <v>1200</v>
      </c>
      <c r="J63" s="274" t="str">
        <f>IF(R63=0,"上  溢："&amp;S63,IF(Q63=0,"任  泰："&amp;R63&amp;"                 "&amp;"上  溢："&amp;S63,
"水利處："&amp;Q63&amp;"                 "&amp;"任  泰："&amp;R63&amp;"                 "&amp;"上  溢："&amp;S63))</f>
        <v>上  溢：康祐銓</v>
      </c>
      <c r="K63" s="124" t="s">
        <v>211</v>
      </c>
      <c r="L63" s="136">
        <f>L61+1</f>
        <v>25</v>
      </c>
      <c r="M63" s="128">
        <f>VLOOKUP(L63,'140'!A:T,5,0)</f>
        <v>6</v>
      </c>
      <c r="N63" s="128">
        <f>N61+M63</f>
        <v>270.5</v>
      </c>
      <c r="O63" s="128">
        <f>VLOOKUP(L63,'140'!A:T,6,0)</f>
        <v>0</v>
      </c>
      <c r="P63" s="128">
        <f>P61+O63</f>
        <v>9</v>
      </c>
      <c r="Q63" s="128">
        <f>VLOOKUP(L63,'140'!A:T,18,0)</f>
        <v>0</v>
      </c>
      <c r="R63" s="128">
        <f>VLOOKUP(L63,'140'!A:T,19,0)</f>
        <v>0</v>
      </c>
      <c r="S63" s="128" t="str">
        <f>VLOOKUP(L63,'140'!A:T,20,0)</f>
        <v>康祐銓</v>
      </c>
      <c r="T63" s="137"/>
      <c r="U63" s="137"/>
      <c r="V63" s="137"/>
      <c r="W63" s="137"/>
      <c r="X63" s="137"/>
      <c r="Y63" s="137"/>
      <c r="Z63" s="137"/>
      <c r="AA63" s="137"/>
    </row>
    <row r="64" spans="1:27" s="138" customFormat="1" ht="50.1" customHeight="1">
      <c r="A64" s="268"/>
      <c r="B64" s="174" t="s">
        <v>70</v>
      </c>
      <c r="C64" s="270"/>
      <c r="D64" s="116" t="str">
        <f>M63&amp;M64</f>
        <v>6 M3</v>
      </c>
      <c r="E64" s="272"/>
      <c r="F64" s="117" t="str">
        <f>E63&amp;CHAR(10)&amp;"("&amp;O63&amp;O64&amp;")"</f>
        <v>6 M3
(0組)</v>
      </c>
      <c r="G64" s="265"/>
      <c r="H64" s="117" t="str">
        <f>H63&amp;CHAR(10)&amp;"("&amp;P63&amp;O64&amp;")"</f>
        <v>270.5 M3
(9組)</v>
      </c>
      <c r="I64" s="273"/>
      <c r="J64" s="274"/>
      <c r="K64" s="124" t="s">
        <v>1067</v>
      </c>
      <c r="L64" s="127"/>
      <c r="M64" s="127" t="s">
        <v>201</v>
      </c>
      <c r="N64" s="128"/>
      <c r="O64" s="128" t="s">
        <v>204</v>
      </c>
      <c r="P64" s="128"/>
      <c r="Q64" s="128"/>
      <c r="R64" s="128"/>
      <c r="S64" s="128"/>
      <c r="T64" s="137"/>
      <c r="U64" s="137"/>
      <c r="V64" s="137"/>
      <c r="W64" s="137"/>
      <c r="X64" s="137"/>
      <c r="Y64" s="137"/>
      <c r="Z64" s="137"/>
      <c r="AA64" s="137"/>
    </row>
    <row r="65" spans="1:27" s="142" customFormat="1" ht="50.1" customHeight="1">
      <c r="A65" s="260" t="s">
        <v>47</v>
      </c>
      <c r="B65" s="261"/>
      <c r="C65" s="262"/>
      <c r="D65" s="260" t="s">
        <v>1753</v>
      </c>
      <c r="E65" s="261"/>
      <c r="F65" s="261"/>
      <c r="G65" s="262"/>
      <c r="H65" s="260" t="s">
        <v>1755</v>
      </c>
      <c r="I65" s="261"/>
      <c r="J65" s="261"/>
      <c r="K65" s="262"/>
      <c r="M65" s="143"/>
      <c r="N65" s="143"/>
      <c r="O65" s="143"/>
      <c r="P65" s="143"/>
      <c r="Q65" s="143"/>
      <c r="R65" s="143"/>
      <c r="S65" s="143"/>
      <c r="T65" s="143"/>
      <c r="U65" s="143"/>
      <c r="V65" s="143"/>
      <c r="W65" s="143"/>
      <c r="X65" s="143"/>
      <c r="Y65" s="143"/>
      <c r="Z65" s="143"/>
      <c r="AA65" s="143"/>
    </row>
    <row r="66" spans="1:27" s="142" customFormat="1" ht="50.1" customHeight="1">
      <c r="A66" s="263" t="s">
        <v>1147</v>
      </c>
      <c r="B66" s="263"/>
      <c r="C66" s="263"/>
      <c r="D66" s="263"/>
      <c r="E66" s="263"/>
      <c r="F66" s="263"/>
      <c r="G66" s="263"/>
      <c r="H66" s="263"/>
      <c r="I66" s="263"/>
      <c r="J66" s="263"/>
      <c r="K66" s="263"/>
      <c r="M66" s="143"/>
      <c r="N66" s="143"/>
      <c r="O66" s="143"/>
      <c r="P66" s="143"/>
      <c r="Q66" s="143"/>
      <c r="R66" s="143"/>
      <c r="S66" s="143"/>
      <c r="T66" s="143"/>
      <c r="U66" s="143"/>
      <c r="V66" s="143"/>
      <c r="W66" s="143"/>
      <c r="X66" s="143"/>
      <c r="Y66" s="143"/>
      <c r="Z66" s="143"/>
      <c r="AA66" s="143"/>
    </row>
    <row r="67" spans="1:27" s="140" customFormat="1" ht="75" customHeight="1">
      <c r="A67" s="267" t="str">
        <f>"1-140 -"&amp;L67</f>
        <v>1-140 -26</v>
      </c>
      <c r="B67" s="126" t="s">
        <v>1195</v>
      </c>
      <c r="C67" s="269" t="s">
        <v>1527</v>
      </c>
      <c r="D67" s="115">
        <f>VLOOKUP(L67,'140'!A:T,2,0)</f>
        <v>45815</v>
      </c>
      <c r="E67" s="271" t="str">
        <f>M67&amp;M68</f>
        <v>8 M3</v>
      </c>
      <c r="F67" s="115">
        <f>D67</f>
        <v>45815</v>
      </c>
      <c r="G67" s="275" t="s">
        <v>145</v>
      </c>
      <c r="H67" s="117" t="str">
        <f>N67&amp;M68</f>
        <v>278.5 M3</v>
      </c>
      <c r="I67" s="273" t="s">
        <v>1200</v>
      </c>
      <c r="J67" s="274" t="str">
        <f>IF(R67=0,"上  溢："&amp;S67,IF(Q67=0,"任  泰："&amp;R67&amp;"                 "&amp;"上  溢："&amp;S67,
"水利處："&amp;Q67&amp;"                 "&amp;"任  泰："&amp;R67&amp;"                 "&amp;"上  溢："&amp;S67))</f>
        <v>上  溢：康祐銓</v>
      </c>
      <c r="K67" s="124" t="s">
        <v>211</v>
      </c>
      <c r="L67" s="136">
        <f>L63+1</f>
        <v>26</v>
      </c>
      <c r="M67" s="128">
        <f>VLOOKUP(L67,'140'!A:T,5,0)</f>
        <v>8</v>
      </c>
      <c r="N67" s="128">
        <f>N63+M67</f>
        <v>278.5</v>
      </c>
      <c r="O67" s="128">
        <f>VLOOKUP(L67,'140'!A:T,6,0)</f>
        <v>0</v>
      </c>
      <c r="P67" s="128">
        <f>P63+O67</f>
        <v>9</v>
      </c>
      <c r="Q67" s="128">
        <f>VLOOKUP(L67,'140'!A:T,18,0)</f>
        <v>0</v>
      </c>
      <c r="R67" s="128">
        <f>VLOOKUP(L67,'140'!A:T,19,0)</f>
        <v>0</v>
      </c>
      <c r="S67" s="128" t="str">
        <f>VLOOKUP(L67,'140'!A:T,20,0)</f>
        <v>康祐銓</v>
      </c>
      <c r="T67" s="139"/>
      <c r="U67" s="139"/>
      <c r="V67" s="139"/>
      <c r="W67" s="139"/>
      <c r="X67" s="139"/>
      <c r="Y67" s="139"/>
      <c r="Z67" s="139"/>
      <c r="AA67" s="139"/>
    </row>
    <row r="68" spans="1:27" s="140" customFormat="1" ht="50.1" customHeight="1">
      <c r="A68" s="268"/>
      <c r="B68" s="174" t="s">
        <v>70</v>
      </c>
      <c r="C68" s="270"/>
      <c r="D68" s="116" t="str">
        <f>M67&amp;M68</f>
        <v>8 M3</v>
      </c>
      <c r="E68" s="272"/>
      <c r="F68" s="117" t="str">
        <f>E67&amp;CHAR(10)&amp;"("&amp;O67&amp;O68&amp;")"</f>
        <v>8 M3
(0組)</v>
      </c>
      <c r="G68" s="282"/>
      <c r="H68" s="117" t="str">
        <f>H67&amp;CHAR(10)&amp;"("&amp;P67&amp;O68&amp;")"</f>
        <v>278.5 M3
(9組)</v>
      </c>
      <c r="I68" s="273"/>
      <c r="J68" s="274"/>
      <c r="K68" s="124" t="s">
        <v>1066</v>
      </c>
      <c r="L68" s="127"/>
      <c r="M68" s="127" t="s">
        <v>201</v>
      </c>
      <c r="N68" s="128"/>
      <c r="O68" s="128" t="s">
        <v>204</v>
      </c>
      <c r="P68" s="128"/>
      <c r="Q68" s="128"/>
      <c r="R68" s="128"/>
      <c r="S68" s="128"/>
      <c r="T68" s="139"/>
      <c r="U68" s="139"/>
      <c r="V68" s="139"/>
      <c r="W68" s="139"/>
      <c r="X68" s="139"/>
      <c r="Y68" s="139"/>
      <c r="Z68" s="139"/>
      <c r="AA68" s="139"/>
    </row>
    <row r="69" spans="1:27" s="138" customFormat="1" ht="75" customHeight="1">
      <c r="A69" s="267" t="str">
        <f>"1-140 -"&amp;L69</f>
        <v>1-140 -27</v>
      </c>
      <c r="B69" s="126" t="s">
        <v>1195</v>
      </c>
      <c r="C69" s="269" t="s">
        <v>1527</v>
      </c>
      <c r="D69" s="115">
        <f>VLOOKUP(L69,'140'!A:T,2,0)</f>
        <v>45818</v>
      </c>
      <c r="E69" s="271" t="str">
        <f>M69&amp;M70</f>
        <v>8 M3</v>
      </c>
      <c r="F69" s="115">
        <f>D69</f>
        <v>45818</v>
      </c>
      <c r="G69" s="282"/>
      <c r="H69" s="117" t="str">
        <f>N69&amp;M70</f>
        <v>286.5 M3</v>
      </c>
      <c r="I69" s="273" t="s">
        <v>1200</v>
      </c>
      <c r="J69" s="274" t="str">
        <f>IF(R69=0,"上  溢："&amp;S69,IF(Q69=0,"任  泰："&amp;R69&amp;"                 "&amp;"上  溢："&amp;S69,
"水利處："&amp;Q69&amp;"                 "&amp;"任  泰："&amp;R69&amp;"                 "&amp;"上  溢："&amp;S69))</f>
        <v>上  溢：康祐銓</v>
      </c>
      <c r="K69" s="124" t="s">
        <v>211</v>
      </c>
      <c r="L69" s="136">
        <f>L67+1</f>
        <v>27</v>
      </c>
      <c r="M69" s="128">
        <f>VLOOKUP(L69,'140'!A:T,5,0)</f>
        <v>8</v>
      </c>
      <c r="N69" s="128">
        <f>N67+M69</f>
        <v>286.5</v>
      </c>
      <c r="O69" s="128">
        <f>VLOOKUP(L69,'140'!A:T,6,0)</f>
        <v>0</v>
      </c>
      <c r="P69" s="128">
        <f>P67+O69</f>
        <v>9</v>
      </c>
      <c r="Q69" s="128">
        <f>VLOOKUP(L69,'140'!A:T,18,0)</f>
        <v>0</v>
      </c>
      <c r="R69" s="128">
        <f>VLOOKUP(L69,'140'!A:T,19,0)</f>
        <v>0</v>
      </c>
      <c r="S69" s="128" t="str">
        <f>VLOOKUP(L69,'140'!A:T,20,0)</f>
        <v>康祐銓</v>
      </c>
      <c r="T69" s="137"/>
      <c r="U69" s="137"/>
      <c r="V69" s="137"/>
      <c r="W69" s="137"/>
      <c r="X69" s="137"/>
      <c r="Y69" s="137"/>
      <c r="Z69" s="137"/>
      <c r="AA69" s="137"/>
    </row>
    <row r="70" spans="1:27" s="138" customFormat="1" ht="50.1" customHeight="1">
      <c r="A70" s="268"/>
      <c r="B70" s="174" t="s">
        <v>70</v>
      </c>
      <c r="C70" s="270"/>
      <c r="D70" s="116" t="str">
        <f>M69&amp;M70</f>
        <v>8 M3</v>
      </c>
      <c r="E70" s="272"/>
      <c r="F70" s="117" t="str">
        <f>E69&amp;CHAR(10)&amp;"("&amp;O69&amp;O70&amp;")"</f>
        <v>8 M3
(0組)</v>
      </c>
      <c r="G70" s="282"/>
      <c r="H70" s="117" t="str">
        <f>H69&amp;CHAR(10)&amp;"("&amp;P69&amp;O70&amp;")"</f>
        <v>286.5 M3
(9組)</v>
      </c>
      <c r="I70" s="273"/>
      <c r="J70" s="274"/>
      <c r="K70" s="124" t="s">
        <v>1068</v>
      </c>
      <c r="L70" s="127"/>
      <c r="M70" s="127" t="s">
        <v>201</v>
      </c>
      <c r="N70" s="128"/>
      <c r="O70" s="128" t="s">
        <v>204</v>
      </c>
      <c r="P70" s="128"/>
      <c r="Q70" s="128"/>
      <c r="R70" s="128"/>
      <c r="S70" s="128"/>
      <c r="T70" s="137"/>
      <c r="U70" s="137"/>
      <c r="V70" s="137"/>
      <c r="W70" s="137"/>
      <c r="X70" s="137"/>
      <c r="Y70" s="137"/>
      <c r="Z70" s="137"/>
      <c r="AA70" s="137"/>
    </row>
    <row r="71" spans="1:27" s="138" customFormat="1" ht="75" customHeight="1">
      <c r="A71" s="267" t="str">
        <f>"1-140 -"&amp;L71</f>
        <v>1-140 -28</v>
      </c>
      <c r="B71" s="126" t="s">
        <v>1195</v>
      </c>
      <c r="C71" s="269" t="s">
        <v>1527</v>
      </c>
      <c r="D71" s="115">
        <f>VLOOKUP(L71,'140'!A:T,2,0)</f>
        <v>45820</v>
      </c>
      <c r="E71" s="271" t="str">
        <f>M71&amp;M72</f>
        <v>10 M3</v>
      </c>
      <c r="F71" s="115">
        <f>D71</f>
        <v>45820</v>
      </c>
      <c r="G71" s="282"/>
      <c r="H71" s="117" t="str">
        <f>N71&amp;M72</f>
        <v>296.5 M3</v>
      </c>
      <c r="I71" s="273" t="s">
        <v>1200</v>
      </c>
      <c r="J71" s="274" t="str">
        <f>IF(R71=0,"上  溢："&amp;S71,IF(Q71=0,"任  泰："&amp;R71&amp;"                 "&amp;"上  溢："&amp;S71,
"水利處："&amp;Q71&amp;"                 "&amp;"任  泰："&amp;R71&amp;"                 "&amp;"上  溢："&amp;S71))</f>
        <v>上  溢：康祐銓</v>
      </c>
      <c r="K71" s="124" t="s">
        <v>211</v>
      </c>
      <c r="L71" s="136">
        <f>L69+1</f>
        <v>28</v>
      </c>
      <c r="M71" s="128">
        <f>VLOOKUP(L71,'140'!A:T,5,0)</f>
        <v>10</v>
      </c>
      <c r="N71" s="128">
        <f>N69+M71</f>
        <v>296.5</v>
      </c>
      <c r="O71" s="128">
        <f>VLOOKUP(L71,'140'!A:T,6,0)</f>
        <v>0</v>
      </c>
      <c r="P71" s="128">
        <f>P69+O71</f>
        <v>9</v>
      </c>
      <c r="Q71" s="128">
        <f>VLOOKUP(L71,'140'!A:T,18,0)</f>
        <v>0</v>
      </c>
      <c r="R71" s="128">
        <f>VLOOKUP(L71,'140'!A:T,19,0)</f>
        <v>0</v>
      </c>
      <c r="S71" s="128" t="str">
        <f>VLOOKUP(L71,'140'!A:T,20,0)</f>
        <v>康祐銓</v>
      </c>
      <c r="T71" s="137"/>
      <c r="U71" s="137"/>
      <c r="V71" s="137"/>
      <c r="W71" s="137"/>
      <c r="X71" s="137"/>
      <c r="Y71" s="137"/>
      <c r="Z71" s="137"/>
      <c r="AA71" s="137"/>
    </row>
    <row r="72" spans="1:27" s="138" customFormat="1" ht="50.1" customHeight="1">
      <c r="A72" s="268"/>
      <c r="B72" s="174" t="s">
        <v>70</v>
      </c>
      <c r="C72" s="270"/>
      <c r="D72" s="116" t="str">
        <f>M71&amp;M72</f>
        <v>10 M3</v>
      </c>
      <c r="E72" s="272"/>
      <c r="F72" s="117" t="str">
        <f>E71&amp;CHAR(10)&amp;"("&amp;O71&amp;O72&amp;")"</f>
        <v>10 M3
(0組)</v>
      </c>
      <c r="G72" s="282"/>
      <c r="H72" s="117" t="str">
        <f>H71&amp;CHAR(10)&amp;"("&amp;P71&amp;O72&amp;")"</f>
        <v>296.5 M3
(9組)</v>
      </c>
      <c r="I72" s="273"/>
      <c r="J72" s="274"/>
      <c r="K72" s="124" t="s">
        <v>1072</v>
      </c>
      <c r="L72" s="127"/>
      <c r="M72" s="127" t="s">
        <v>201</v>
      </c>
      <c r="N72" s="128"/>
      <c r="O72" s="128" t="s">
        <v>204</v>
      </c>
      <c r="P72" s="128"/>
      <c r="Q72" s="128"/>
      <c r="R72" s="128"/>
      <c r="S72" s="128"/>
      <c r="T72" s="137"/>
      <c r="U72" s="137"/>
      <c r="V72" s="137"/>
      <c r="W72" s="137"/>
      <c r="X72" s="137"/>
      <c r="Y72" s="137"/>
      <c r="Z72" s="137"/>
      <c r="AA72" s="137"/>
    </row>
    <row r="73" spans="1:27" s="138" customFormat="1" ht="75" customHeight="1">
      <c r="A73" s="267" t="str">
        <f>"1-140 -"&amp;L73</f>
        <v>1-140 -29</v>
      </c>
      <c r="B73" s="126" t="s">
        <v>1195</v>
      </c>
      <c r="C73" s="269" t="s">
        <v>1527</v>
      </c>
      <c r="D73" s="115">
        <f>VLOOKUP(L73,'140'!A:T,2,0)</f>
        <v>45824</v>
      </c>
      <c r="E73" s="271" t="str">
        <f>M73&amp;M74</f>
        <v>8 M3</v>
      </c>
      <c r="F73" s="115">
        <f>D73</f>
        <v>45824</v>
      </c>
      <c r="G73" s="282"/>
      <c r="H73" s="117" t="str">
        <f>N73&amp;M74</f>
        <v>304.5 M3</v>
      </c>
      <c r="I73" s="273" t="s">
        <v>1200</v>
      </c>
      <c r="J73" s="274" t="str">
        <f>IF(R73=0,"上  溢："&amp;S73,IF(Q73=0,"任  泰："&amp;R73&amp;"                 "&amp;"上  溢："&amp;S73,
"水利處："&amp;Q73&amp;"                 "&amp;"任  泰："&amp;R73&amp;"                 "&amp;"上  溢："&amp;S73))</f>
        <v>上  溢：康祐銓</v>
      </c>
      <c r="K73" s="124" t="s">
        <v>211</v>
      </c>
      <c r="L73" s="136">
        <f>L71+1</f>
        <v>29</v>
      </c>
      <c r="M73" s="128">
        <f>VLOOKUP(L73,'140'!A:T,5,0)</f>
        <v>8</v>
      </c>
      <c r="N73" s="128">
        <f>N71+M73</f>
        <v>304.5</v>
      </c>
      <c r="O73" s="128">
        <f>VLOOKUP(L73,'140'!A:T,6,0)</f>
        <v>0</v>
      </c>
      <c r="P73" s="128">
        <f>P71+O73</f>
        <v>9</v>
      </c>
      <c r="Q73" s="128">
        <f>VLOOKUP(L73,'140'!A:T,18,0)</f>
        <v>0</v>
      </c>
      <c r="R73" s="128">
        <f>VLOOKUP(L73,'140'!A:T,19,0)</f>
        <v>0</v>
      </c>
      <c r="S73" s="128" t="str">
        <f>VLOOKUP(L73,'140'!A:T,20,0)</f>
        <v>康祐銓</v>
      </c>
      <c r="T73" s="137"/>
      <c r="U73" s="137"/>
      <c r="V73" s="137"/>
      <c r="W73" s="137"/>
      <c r="X73" s="137"/>
      <c r="Y73" s="137"/>
      <c r="Z73" s="137"/>
      <c r="AA73" s="137"/>
    </row>
    <row r="74" spans="1:27" s="138" customFormat="1" ht="50.1" customHeight="1">
      <c r="A74" s="268"/>
      <c r="B74" s="174" t="s">
        <v>70</v>
      </c>
      <c r="C74" s="270"/>
      <c r="D74" s="116" t="str">
        <f>M73&amp;M74</f>
        <v>8 M3</v>
      </c>
      <c r="E74" s="272"/>
      <c r="F74" s="117" t="str">
        <f>E73&amp;CHAR(10)&amp;"("&amp;O73&amp;O74&amp;")"</f>
        <v>8 M3
(0組)</v>
      </c>
      <c r="G74" s="282"/>
      <c r="H74" s="117" t="str">
        <f>H73&amp;CHAR(10)&amp;"("&amp;P73&amp;O74&amp;")"</f>
        <v>304.5 M3
(9組)</v>
      </c>
      <c r="I74" s="273"/>
      <c r="J74" s="274"/>
      <c r="K74" s="124" t="s">
        <v>1073</v>
      </c>
      <c r="L74" s="127"/>
      <c r="M74" s="127" t="s">
        <v>201</v>
      </c>
      <c r="N74" s="128"/>
      <c r="O74" s="128" t="s">
        <v>204</v>
      </c>
      <c r="P74" s="128"/>
      <c r="Q74" s="128"/>
      <c r="R74" s="128"/>
      <c r="S74" s="128"/>
      <c r="T74" s="137"/>
      <c r="U74" s="137"/>
      <c r="V74" s="137"/>
      <c r="W74" s="137"/>
      <c r="X74" s="137"/>
      <c r="Y74" s="137"/>
      <c r="Z74" s="137"/>
      <c r="AA74" s="137"/>
    </row>
    <row r="75" spans="1:27" s="140" customFormat="1" ht="75" customHeight="1">
      <c r="A75" s="267" t="str">
        <f>"1-140 -"&amp;L75</f>
        <v>1-140 -30</v>
      </c>
      <c r="B75" s="126" t="s">
        <v>1195</v>
      </c>
      <c r="C75" s="269" t="s">
        <v>1527</v>
      </c>
      <c r="D75" s="115">
        <f>VLOOKUP(L75,'140'!A:T,2,0)</f>
        <v>45836</v>
      </c>
      <c r="E75" s="271" t="str">
        <f>M75&amp;M76</f>
        <v>8 M3</v>
      </c>
      <c r="F75" s="115">
        <f>D75</f>
        <v>45836</v>
      </c>
      <c r="G75" s="282"/>
      <c r="H75" s="117" t="str">
        <f>N75&amp;M76</f>
        <v>312.5 M3</v>
      </c>
      <c r="I75" s="273" t="s">
        <v>1200</v>
      </c>
      <c r="J75" s="274" t="str">
        <f>IF(R75=0,"上  溢："&amp;S75,IF(Q75=0,"任  泰："&amp;R75&amp;"                 "&amp;"上  溢："&amp;S75,
"水利處："&amp;Q75&amp;"                 "&amp;"任  泰："&amp;R75&amp;"                 "&amp;"上  溢："&amp;S75))</f>
        <v>上  溢：康祐銓</v>
      </c>
      <c r="K75" s="124" t="s">
        <v>211</v>
      </c>
      <c r="L75" s="136">
        <f>L73+1</f>
        <v>30</v>
      </c>
      <c r="M75" s="128">
        <f>VLOOKUP(L75,'140'!A:T,5,0)</f>
        <v>8</v>
      </c>
      <c r="N75" s="128">
        <f>N73+M75</f>
        <v>312.5</v>
      </c>
      <c r="O75" s="128">
        <f>VLOOKUP(L75,'140'!A:T,6,0)</f>
        <v>0</v>
      </c>
      <c r="P75" s="128">
        <f>P73+O75</f>
        <v>9</v>
      </c>
      <c r="Q75" s="128">
        <f>VLOOKUP(L75,'140'!A:T,18,0)</f>
        <v>0</v>
      </c>
      <c r="R75" s="128">
        <f>VLOOKUP(L75,'140'!A:T,19,0)</f>
        <v>0</v>
      </c>
      <c r="S75" s="128" t="str">
        <f>VLOOKUP(L75,'140'!A:T,20,0)</f>
        <v>康祐銓</v>
      </c>
      <c r="T75" s="139"/>
      <c r="U75" s="139"/>
      <c r="V75" s="139"/>
      <c r="W75" s="139"/>
      <c r="X75" s="139"/>
      <c r="Y75" s="139"/>
      <c r="Z75" s="139"/>
      <c r="AA75" s="139"/>
    </row>
    <row r="76" spans="1:27" s="140" customFormat="1" ht="50.1" customHeight="1">
      <c r="A76" s="268"/>
      <c r="B76" s="174" t="s">
        <v>70</v>
      </c>
      <c r="C76" s="270"/>
      <c r="D76" s="116" t="str">
        <f>M75&amp;M76</f>
        <v>8 M3</v>
      </c>
      <c r="E76" s="272"/>
      <c r="F76" s="117" t="str">
        <f>E75&amp;CHAR(10)&amp;"("&amp;O75&amp;O76&amp;")"</f>
        <v>8 M3
(0組)</v>
      </c>
      <c r="G76" s="265"/>
      <c r="H76" s="117" t="str">
        <f>H75&amp;CHAR(10)&amp;"("&amp;P75&amp;O76&amp;")"</f>
        <v>312.5 M3
(9組)</v>
      </c>
      <c r="I76" s="273"/>
      <c r="J76" s="274"/>
      <c r="K76" s="124" t="s">
        <v>1105</v>
      </c>
      <c r="L76" s="127"/>
      <c r="M76" s="127" t="s">
        <v>201</v>
      </c>
      <c r="N76" s="128"/>
      <c r="O76" s="128" t="s">
        <v>204</v>
      </c>
      <c r="P76" s="128"/>
      <c r="Q76" s="128"/>
      <c r="R76" s="128"/>
      <c r="S76" s="128"/>
      <c r="T76" s="139"/>
      <c r="U76" s="139"/>
      <c r="V76" s="139"/>
      <c r="W76" s="139"/>
      <c r="X76" s="139"/>
      <c r="Y76" s="139"/>
      <c r="Z76" s="139"/>
      <c r="AA76" s="139"/>
    </row>
    <row r="77" spans="1:27" s="142" customFormat="1" ht="50.1" customHeight="1">
      <c r="A77" s="260" t="s">
        <v>47</v>
      </c>
      <c r="B77" s="261"/>
      <c r="C77" s="262"/>
      <c r="D77" s="260" t="s">
        <v>1753</v>
      </c>
      <c r="E77" s="261"/>
      <c r="F77" s="261"/>
      <c r="G77" s="262"/>
      <c r="H77" s="260" t="s">
        <v>1755</v>
      </c>
      <c r="I77" s="261"/>
      <c r="J77" s="261"/>
      <c r="K77" s="262"/>
      <c r="M77" s="143"/>
      <c r="N77" s="143"/>
      <c r="O77" s="143"/>
      <c r="P77" s="143"/>
      <c r="Q77" s="143"/>
      <c r="R77" s="143"/>
      <c r="S77" s="143"/>
      <c r="T77" s="143"/>
      <c r="U77" s="143"/>
      <c r="V77" s="143"/>
      <c r="W77" s="143"/>
      <c r="X77" s="143"/>
      <c r="Y77" s="143"/>
      <c r="Z77" s="143"/>
      <c r="AA77" s="143"/>
    </row>
    <row r="78" spans="1:27" s="142" customFormat="1" ht="50.1" customHeight="1">
      <c r="A78" s="263" t="s">
        <v>1147</v>
      </c>
      <c r="B78" s="263"/>
      <c r="C78" s="263"/>
      <c r="D78" s="263"/>
      <c r="E78" s="263"/>
      <c r="F78" s="263"/>
      <c r="G78" s="263"/>
      <c r="H78" s="263"/>
      <c r="I78" s="263"/>
      <c r="J78" s="263"/>
      <c r="K78" s="263"/>
      <c r="M78" s="143"/>
      <c r="N78" s="143"/>
      <c r="O78" s="143"/>
      <c r="P78" s="143"/>
      <c r="Q78" s="143"/>
      <c r="R78" s="143"/>
      <c r="S78" s="143"/>
      <c r="T78" s="143"/>
      <c r="U78" s="143"/>
      <c r="V78" s="143"/>
      <c r="W78" s="143"/>
      <c r="X78" s="143"/>
      <c r="Y78" s="143"/>
      <c r="Z78" s="143"/>
      <c r="AA78" s="143"/>
    </row>
    <row r="79" spans="1:27" s="138" customFormat="1" ht="75" customHeight="1">
      <c r="A79" s="267" t="str">
        <f>"1-140 -"&amp;L79</f>
        <v>1-140 -31</v>
      </c>
      <c r="B79" s="126" t="s">
        <v>1195</v>
      </c>
      <c r="C79" s="269" t="s">
        <v>1527</v>
      </c>
      <c r="D79" s="115">
        <f>VLOOKUP(L79,'140'!A:T,2,0)</f>
        <v>45850</v>
      </c>
      <c r="E79" s="271" t="str">
        <f>M79&amp;M80</f>
        <v>10 M3</v>
      </c>
      <c r="F79" s="115">
        <f>D79</f>
        <v>45850</v>
      </c>
      <c r="G79" s="275" t="s">
        <v>145</v>
      </c>
      <c r="H79" s="117" t="str">
        <f>N79&amp;M80</f>
        <v>322.5 M3</v>
      </c>
      <c r="I79" s="273" t="s">
        <v>1200</v>
      </c>
      <c r="J79" s="274" t="str">
        <f>IF(R79=0,"上  溢："&amp;S79,IF(Q79=0,"任  泰："&amp;R79&amp;"                 "&amp;"上  溢："&amp;S79,
"水利處："&amp;Q79&amp;"                 "&amp;"任  泰："&amp;R79&amp;"                 "&amp;"上  溢："&amp;S79))</f>
        <v>上  溢：康祐銓</v>
      </c>
      <c r="K79" s="124" t="s">
        <v>211</v>
      </c>
      <c r="L79" s="136">
        <f>L75+1</f>
        <v>31</v>
      </c>
      <c r="M79" s="128">
        <f>VLOOKUP(L79,'140'!A:T,5,0)</f>
        <v>10</v>
      </c>
      <c r="N79" s="128">
        <f>N75+M79</f>
        <v>322.5</v>
      </c>
      <c r="O79" s="128">
        <f>VLOOKUP(L79,'140'!A:T,6,0)</f>
        <v>0</v>
      </c>
      <c r="P79" s="128">
        <f>P75+O79</f>
        <v>9</v>
      </c>
      <c r="Q79" s="128">
        <f>VLOOKUP(L79,'140'!A:T,18,0)</f>
        <v>0</v>
      </c>
      <c r="R79" s="128">
        <f>VLOOKUP(L79,'140'!A:T,19,0)</f>
        <v>0</v>
      </c>
      <c r="S79" s="128" t="str">
        <f>VLOOKUP(L79,'140'!A:T,20,0)</f>
        <v>康祐銓</v>
      </c>
      <c r="T79" s="137"/>
      <c r="U79" s="137"/>
      <c r="V79" s="137"/>
      <c r="W79" s="137"/>
      <c r="X79" s="137"/>
      <c r="Y79" s="137"/>
      <c r="Z79" s="137"/>
      <c r="AA79" s="137"/>
    </row>
    <row r="80" spans="1:27" s="138" customFormat="1" ht="50.1" customHeight="1">
      <c r="A80" s="268"/>
      <c r="B80" s="174" t="s">
        <v>70</v>
      </c>
      <c r="C80" s="270"/>
      <c r="D80" s="116" t="str">
        <f>M79&amp;M80</f>
        <v>10 M3</v>
      </c>
      <c r="E80" s="272"/>
      <c r="F80" s="117" t="str">
        <f>E79&amp;CHAR(10)&amp;"("&amp;O79&amp;O80&amp;")"</f>
        <v>10 M3
(0組)</v>
      </c>
      <c r="G80" s="275"/>
      <c r="H80" s="117" t="str">
        <f>H79&amp;CHAR(10)&amp;"("&amp;P79&amp;O80&amp;")"</f>
        <v>322.5 M3
(9組)</v>
      </c>
      <c r="I80" s="273"/>
      <c r="J80" s="274"/>
      <c r="K80" s="124" t="s">
        <v>1120</v>
      </c>
      <c r="L80" s="127"/>
      <c r="M80" s="127" t="s">
        <v>201</v>
      </c>
      <c r="N80" s="128"/>
      <c r="O80" s="128" t="s">
        <v>204</v>
      </c>
      <c r="P80" s="128"/>
      <c r="Q80" s="128"/>
      <c r="R80" s="128"/>
      <c r="S80" s="128"/>
      <c r="T80" s="137"/>
      <c r="U80" s="137"/>
      <c r="V80" s="137"/>
      <c r="W80" s="137"/>
      <c r="X80" s="137"/>
      <c r="Y80" s="137"/>
      <c r="Z80" s="137"/>
      <c r="AA80" s="137"/>
    </row>
    <row r="81" spans="1:27" s="138" customFormat="1" ht="75" customHeight="1">
      <c r="A81" s="267" t="str">
        <f>"1-140 -"&amp;L81</f>
        <v>1-140 -32</v>
      </c>
      <c r="B81" s="126" t="s">
        <v>1195</v>
      </c>
      <c r="C81" s="269" t="s">
        <v>1527</v>
      </c>
      <c r="D81" s="115">
        <f>VLOOKUP(L81,'140'!A:T,2,0)</f>
        <v>45873</v>
      </c>
      <c r="E81" s="271" t="str">
        <f>M81&amp;M82</f>
        <v>12 M3</v>
      </c>
      <c r="F81" s="115">
        <f>D81</f>
        <v>45873</v>
      </c>
      <c r="G81" s="275"/>
      <c r="H81" s="117" t="str">
        <f>N81&amp;M82</f>
        <v>334.5 M3</v>
      </c>
      <c r="I81" s="273" t="s">
        <v>1200</v>
      </c>
      <c r="J81" s="274" t="str">
        <f>IF(R81=0,"上  溢："&amp;S81,IF(Q81=0,"任  泰："&amp;R81&amp;"                 "&amp;"上  溢："&amp;S81,
"水利處："&amp;Q81&amp;"                 "&amp;"任  泰："&amp;R81&amp;"                 "&amp;"上  溢："&amp;S81))</f>
        <v>上  溢：康祐銓</v>
      </c>
      <c r="K81" s="124" t="s">
        <v>211</v>
      </c>
      <c r="L81" s="136">
        <f>L79+1</f>
        <v>32</v>
      </c>
      <c r="M81" s="128">
        <f>VLOOKUP(L81,'140'!A:T,5,0)</f>
        <v>12</v>
      </c>
      <c r="N81" s="128">
        <f>N79+M81</f>
        <v>334.5</v>
      </c>
      <c r="O81" s="128">
        <f>VLOOKUP(L81,'140'!A:T,6,0)</f>
        <v>0</v>
      </c>
      <c r="P81" s="128">
        <f>P79+O81</f>
        <v>9</v>
      </c>
      <c r="Q81" s="128">
        <f>VLOOKUP(L81,'140'!A:T,18,0)</f>
        <v>0</v>
      </c>
      <c r="R81" s="128">
        <f>VLOOKUP(L81,'140'!A:T,19,0)</f>
        <v>0</v>
      </c>
      <c r="S81" s="128" t="str">
        <f>VLOOKUP(L81,'140'!A:T,20,0)</f>
        <v>康祐銓</v>
      </c>
      <c r="T81" s="137"/>
      <c r="U81" s="137"/>
      <c r="V81" s="137"/>
      <c r="W81" s="137"/>
      <c r="X81" s="137"/>
      <c r="Y81" s="137"/>
      <c r="Z81" s="137"/>
      <c r="AA81" s="137"/>
    </row>
    <row r="82" spans="1:27" s="138" customFormat="1" ht="50.1" customHeight="1">
      <c r="A82" s="268"/>
      <c r="B82" s="174" t="s">
        <v>70</v>
      </c>
      <c r="C82" s="270"/>
      <c r="D82" s="116" t="str">
        <f>M81&amp;M82</f>
        <v>12 M3</v>
      </c>
      <c r="E82" s="272"/>
      <c r="F82" s="117" t="str">
        <f>E81&amp;CHAR(10)&amp;"("&amp;O81&amp;O82&amp;")"</f>
        <v>12 M3
(0組)</v>
      </c>
      <c r="G82" s="275"/>
      <c r="H82" s="117" t="str">
        <f>H81&amp;CHAR(10)&amp;"("&amp;P81&amp;O82&amp;")"</f>
        <v>334.5 M3
(9組)</v>
      </c>
      <c r="I82" s="273"/>
      <c r="J82" s="274"/>
      <c r="K82" s="124" t="s">
        <v>1137</v>
      </c>
      <c r="L82" s="127"/>
      <c r="M82" s="127" t="s">
        <v>201</v>
      </c>
      <c r="N82" s="128"/>
      <c r="O82" s="128" t="s">
        <v>204</v>
      </c>
      <c r="P82" s="128"/>
      <c r="Q82" s="128"/>
      <c r="R82" s="128"/>
      <c r="S82" s="128"/>
      <c r="T82" s="137"/>
      <c r="U82" s="137"/>
      <c r="V82" s="137"/>
      <c r="W82" s="137"/>
      <c r="X82" s="137"/>
      <c r="Y82" s="137"/>
      <c r="Z82" s="137"/>
      <c r="AA82" s="137"/>
    </row>
    <row r="83" spans="1:27" s="140" customFormat="1" ht="75" customHeight="1">
      <c r="A83" s="267" t="str">
        <f>"1-140 -"&amp;L83</f>
        <v>1-140 -33</v>
      </c>
      <c r="B83" s="126" t="s">
        <v>1195</v>
      </c>
      <c r="C83" s="269" t="s">
        <v>1527</v>
      </c>
      <c r="D83" s="115">
        <f>VLOOKUP(L83,'140'!A:T,2,0)</f>
        <v>45875</v>
      </c>
      <c r="E83" s="271" t="str">
        <f>M83&amp;M84</f>
        <v>12 M3</v>
      </c>
      <c r="F83" s="115">
        <f>D83</f>
        <v>45875</v>
      </c>
      <c r="G83" s="275"/>
      <c r="H83" s="117" t="str">
        <f>N83&amp;M84</f>
        <v>346.5 M3</v>
      </c>
      <c r="I83" s="273" t="s">
        <v>1200</v>
      </c>
      <c r="J83" s="274" t="str">
        <f>IF(R83=0,"上  溢："&amp;S83,IF(Q83=0,"任  泰："&amp;R83&amp;"                 "&amp;"上  溢："&amp;S83,
"水利處："&amp;Q83&amp;"                 "&amp;"任  泰："&amp;R83&amp;"                 "&amp;"上  溢："&amp;S83))</f>
        <v>上  溢：康祐銓</v>
      </c>
      <c r="K83" s="124" t="s">
        <v>211</v>
      </c>
      <c r="L83" s="136">
        <f>L81+1</f>
        <v>33</v>
      </c>
      <c r="M83" s="128">
        <f>VLOOKUP(L83,'140'!A:T,5,0)</f>
        <v>12</v>
      </c>
      <c r="N83" s="128">
        <f>N81+M83</f>
        <v>346.5</v>
      </c>
      <c r="O83" s="128">
        <f>VLOOKUP(L83,'140'!A:T,6,0)</f>
        <v>0</v>
      </c>
      <c r="P83" s="128">
        <f>P81+O83</f>
        <v>9</v>
      </c>
      <c r="Q83" s="128">
        <f>VLOOKUP(L83,'140'!A:T,18,0)</f>
        <v>0</v>
      </c>
      <c r="R83" s="128">
        <f>VLOOKUP(L83,'140'!A:T,19,0)</f>
        <v>0</v>
      </c>
      <c r="S83" s="128" t="str">
        <f>VLOOKUP(L83,'140'!A:T,20,0)</f>
        <v>康祐銓</v>
      </c>
      <c r="T83" s="139"/>
      <c r="U83" s="139"/>
      <c r="V83" s="139"/>
      <c r="W83" s="139"/>
      <c r="X83" s="139"/>
      <c r="Y83" s="139"/>
      <c r="Z83" s="139"/>
      <c r="AA83" s="139"/>
    </row>
    <row r="84" spans="1:27" s="140" customFormat="1" ht="50.1" customHeight="1">
      <c r="A84" s="268"/>
      <c r="B84" s="174" t="s">
        <v>70</v>
      </c>
      <c r="C84" s="270"/>
      <c r="D84" s="116" t="str">
        <f>M83&amp;M84</f>
        <v>12 M3</v>
      </c>
      <c r="E84" s="272"/>
      <c r="F84" s="117" t="str">
        <f>E83&amp;CHAR(10)&amp;"("&amp;O83&amp;O84&amp;")"</f>
        <v>12 M3
(0組)</v>
      </c>
      <c r="G84" s="275"/>
      <c r="H84" s="117" t="str">
        <f>H83&amp;CHAR(10)&amp;"("&amp;P83&amp;O84&amp;")"</f>
        <v>346.5 M3
(9組)</v>
      </c>
      <c r="I84" s="273"/>
      <c r="J84" s="274"/>
      <c r="K84" s="124" t="s">
        <v>1138</v>
      </c>
      <c r="L84" s="127"/>
      <c r="M84" s="127" t="s">
        <v>201</v>
      </c>
      <c r="N84" s="128"/>
      <c r="O84" s="128" t="s">
        <v>204</v>
      </c>
      <c r="P84" s="128"/>
      <c r="Q84" s="128"/>
      <c r="R84" s="128"/>
      <c r="S84" s="128"/>
      <c r="T84" s="139"/>
      <c r="U84" s="139"/>
      <c r="V84" s="139"/>
      <c r="W84" s="139"/>
      <c r="X84" s="139"/>
      <c r="Y84" s="139"/>
      <c r="Z84" s="139"/>
      <c r="AA84" s="139"/>
    </row>
    <row r="85" spans="1:27" s="138" customFormat="1" ht="75" customHeight="1">
      <c r="A85" s="267" t="str">
        <f>"1-140 -"&amp;L85</f>
        <v>1-140 -34</v>
      </c>
      <c r="B85" s="126" t="s">
        <v>1195</v>
      </c>
      <c r="C85" s="269" t="s">
        <v>1527</v>
      </c>
      <c r="D85" s="115">
        <f>VLOOKUP(L85,'140'!A:T,2,0)</f>
        <v>45881</v>
      </c>
      <c r="E85" s="271" t="str">
        <f>M85&amp;M86</f>
        <v>8 M3</v>
      </c>
      <c r="F85" s="115">
        <f>D85</f>
        <v>45881</v>
      </c>
      <c r="G85" s="275"/>
      <c r="H85" s="117" t="str">
        <f>N85&amp;M86</f>
        <v>354.5 M3</v>
      </c>
      <c r="I85" s="273" t="s">
        <v>1200</v>
      </c>
      <c r="J85" s="274" t="str">
        <f>IF(R85=0,"上  溢："&amp;S85,IF(Q85=0,"任  泰："&amp;R85&amp;"                 "&amp;"上  溢："&amp;S85,
"水利處："&amp;Q85&amp;"                 "&amp;"任  泰："&amp;R85&amp;"                 "&amp;"上  溢："&amp;S85))</f>
        <v>上  溢：康祐銓</v>
      </c>
      <c r="K85" s="124" t="s">
        <v>211</v>
      </c>
      <c r="L85" s="136">
        <f>L83+1</f>
        <v>34</v>
      </c>
      <c r="M85" s="128">
        <f>VLOOKUP(L85,'140'!A:T,5,0)</f>
        <v>8</v>
      </c>
      <c r="N85" s="128">
        <f>N83+M85</f>
        <v>354.5</v>
      </c>
      <c r="O85" s="128">
        <f>VLOOKUP(L85,'140'!A:T,6,0)</f>
        <v>0</v>
      </c>
      <c r="P85" s="128">
        <f>P83+O85</f>
        <v>9</v>
      </c>
      <c r="Q85" s="128">
        <f>VLOOKUP(L85,'140'!A:T,18,0)</f>
        <v>0</v>
      </c>
      <c r="R85" s="128">
        <f>VLOOKUP(L85,'140'!A:T,19,0)</f>
        <v>0</v>
      </c>
      <c r="S85" s="128" t="str">
        <f>VLOOKUP(L85,'140'!A:T,20,0)</f>
        <v>康祐銓</v>
      </c>
      <c r="T85" s="137"/>
      <c r="U85" s="137"/>
      <c r="V85" s="137"/>
      <c r="W85" s="137"/>
      <c r="X85" s="137"/>
      <c r="Y85" s="137"/>
      <c r="Z85" s="137"/>
      <c r="AA85" s="137"/>
    </row>
    <row r="86" spans="1:27" s="138" customFormat="1" ht="50.1" customHeight="1">
      <c r="A86" s="268"/>
      <c r="B86" s="174" t="s">
        <v>70</v>
      </c>
      <c r="C86" s="270"/>
      <c r="D86" s="116" t="str">
        <f>M85&amp;M86</f>
        <v>8 M3</v>
      </c>
      <c r="E86" s="272"/>
      <c r="F86" s="117" t="str">
        <f>E85&amp;CHAR(10)&amp;"("&amp;O85&amp;O86&amp;")"</f>
        <v>8 M3
(0組)</v>
      </c>
      <c r="G86" s="275"/>
      <c r="H86" s="117" t="str">
        <f>H85&amp;CHAR(10)&amp;"("&amp;P85&amp;O86&amp;")"</f>
        <v>354.5 M3
(9組)</v>
      </c>
      <c r="I86" s="273"/>
      <c r="J86" s="274"/>
      <c r="K86" s="124" t="s">
        <v>1151</v>
      </c>
      <c r="L86" s="127"/>
      <c r="M86" s="127" t="s">
        <v>201</v>
      </c>
      <c r="N86" s="128"/>
      <c r="O86" s="128" t="s">
        <v>204</v>
      </c>
      <c r="P86" s="128"/>
      <c r="Q86" s="128"/>
      <c r="R86" s="128"/>
      <c r="S86" s="128"/>
      <c r="T86" s="137"/>
      <c r="U86" s="137"/>
      <c r="V86" s="137"/>
      <c r="W86" s="137"/>
      <c r="X86" s="137"/>
      <c r="Y86" s="137"/>
      <c r="Z86" s="137"/>
      <c r="AA86" s="137"/>
    </row>
    <row r="87" spans="1:27" s="138" customFormat="1" ht="69" customHeight="1">
      <c r="A87" s="267" t="str">
        <f>"1-140 -"&amp;L87</f>
        <v>1-140 -35</v>
      </c>
      <c r="B87" s="126" t="s">
        <v>1195</v>
      </c>
      <c r="C87" s="269" t="s">
        <v>1527</v>
      </c>
      <c r="D87" s="115">
        <f>VLOOKUP(L87,'140'!A:T,2,0)</f>
        <v>45903</v>
      </c>
      <c r="E87" s="271" t="str">
        <f>M87&amp;M88</f>
        <v>8 M3</v>
      </c>
      <c r="F87" s="115">
        <f>D87</f>
        <v>45903</v>
      </c>
      <c r="G87" s="275"/>
      <c r="H87" s="117" t="str">
        <f>N87&amp;M88</f>
        <v>362.5 M3</v>
      </c>
      <c r="I87" s="273" t="s">
        <v>109</v>
      </c>
      <c r="J87" s="274" t="str">
        <f>IF(R87=0,"上  溢："&amp;S87,IF(Q87=0,"任  泰："&amp;R87&amp;"                 "&amp;"上  溢："&amp;S87,
"水利處："&amp;Q87&amp;"                 "&amp;"任  泰："&amp;R87&amp;"                 "&amp;"上  溢："&amp;S87))</f>
        <v>上  溢：康祐銓</v>
      </c>
      <c r="K87" s="264" t="s">
        <v>1883</v>
      </c>
      <c r="L87" s="136">
        <f>L85+1</f>
        <v>35</v>
      </c>
      <c r="M87" s="128">
        <f>VLOOKUP(L87,'140'!A:T,5,0)</f>
        <v>8</v>
      </c>
      <c r="N87" s="128">
        <f>N85+M87</f>
        <v>362.5</v>
      </c>
      <c r="O87" s="128">
        <f>VLOOKUP(L87,'140'!A:T,6,0)</f>
        <v>1</v>
      </c>
      <c r="P87" s="128">
        <f>P85+O87</f>
        <v>10</v>
      </c>
      <c r="Q87" s="128">
        <f>VLOOKUP(L87,'140'!A:T,18,0)</f>
        <v>0</v>
      </c>
      <c r="R87" s="128">
        <f>VLOOKUP(L87,'140'!A:T,19,0)</f>
        <v>0</v>
      </c>
      <c r="S87" s="128" t="str">
        <f>VLOOKUP(L87,'140'!A:T,20,0)</f>
        <v>康祐銓</v>
      </c>
      <c r="T87" s="137"/>
      <c r="U87" s="137"/>
      <c r="V87" s="137"/>
      <c r="W87" s="137"/>
      <c r="X87" s="137"/>
      <c r="Y87" s="137"/>
      <c r="Z87" s="137"/>
      <c r="AA87" s="137"/>
    </row>
    <row r="88" spans="1:27" s="138" customFormat="1" ht="50.1" customHeight="1">
      <c r="A88" s="268"/>
      <c r="B88" s="174" t="s">
        <v>70</v>
      </c>
      <c r="C88" s="270"/>
      <c r="D88" s="116" t="str">
        <f>M87&amp;M88</f>
        <v>8 M3</v>
      </c>
      <c r="E88" s="272"/>
      <c r="F88" s="117" t="str">
        <f>E87&amp;CHAR(10)&amp;"("&amp;O87&amp;O88&amp;")"</f>
        <v>8 M3
(1組)</v>
      </c>
      <c r="G88" s="266"/>
      <c r="H88" s="117" t="str">
        <f>H87&amp;CHAR(10)&amp;"("&amp;P87&amp;O88&amp;")"</f>
        <v>362.5 M3
(10組)</v>
      </c>
      <c r="I88" s="273"/>
      <c r="J88" s="274"/>
      <c r="K88" s="265"/>
      <c r="L88" s="127"/>
      <c r="M88" s="127" t="s">
        <v>201</v>
      </c>
      <c r="N88" s="128"/>
      <c r="O88" s="128" t="s">
        <v>204</v>
      </c>
      <c r="P88" s="128"/>
      <c r="Q88" s="128"/>
      <c r="R88" s="128"/>
      <c r="S88" s="128"/>
      <c r="T88" s="137"/>
      <c r="U88" s="137"/>
      <c r="V88" s="137"/>
      <c r="W88" s="137"/>
      <c r="X88" s="137"/>
      <c r="Y88" s="137"/>
      <c r="Z88" s="137"/>
      <c r="AA88" s="137"/>
    </row>
    <row r="89" spans="1:27" s="142" customFormat="1" ht="50.1" customHeight="1">
      <c r="A89" s="260" t="s">
        <v>47</v>
      </c>
      <c r="B89" s="261"/>
      <c r="C89" s="262"/>
      <c r="D89" s="260" t="s">
        <v>1753</v>
      </c>
      <c r="E89" s="261"/>
      <c r="F89" s="261"/>
      <c r="G89" s="262"/>
      <c r="H89" s="260" t="s">
        <v>1755</v>
      </c>
      <c r="I89" s="261"/>
      <c r="J89" s="261"/>
      <c r="K89" s="262"/>
      <c r="M89" s="143"/>
      <c r="N89" s="143"/>
      <c r="O89" s="143"/>
      <c r="P89" s="143"/>
      <c r="Q89" s="143"/>
      <c r="R89" s="143"/>
      <c r="S89" s="143"/>
      <c r="T89" s="143"/>
      <c r="U89" s="143"/>
      <c r="V89" s="143"/>
      <c r="W89" s="143"/>
      <c r="X89" s="143"/>
      <c r="Y89" s="143"/>
      <c r="Z89" s="143"/>
      <c r="AA89" s="143"/>
    </row>
    <row r="90" spans="1:27" s="142" customFormat="1" ht="50.1" customHeight="1">
      <c r="A90" s="263" t="s">
        <v>1147</v>
      </c>
      <c r="B90" s="263"/>
      <c r="C90" s="263"/>
      <c r="D90" s="263"/>
      <c r="E90" s="263"/>
      <c r="F90" s="263"/>
      <c r="G90" s="263"/>
      <c r="H90" s="263"/>
      <c r="I90" s="263"/>
      <c r="J90" s="263"/>
      <c r="K90" s="263"/>
      <c r="M90" s="143"/>
      <c r="N90" s="143"/>
      <c r="O90" s="143"/>
      <c r="P90" s="143"/>
      <c r="Q90" s="143"/>
      <c r="R90" s="143"/>
      <c r="S90" s="143"/>
      <c r="T90" s="143"/>
      <c r="U90" s="143"/>
      <c r="V90" s="143"/>
      <c r="W90" s="143"/>
      <c r="X90" s="143"/>
      <c r="Y90" s="143"/>
      <c r="Z90" s="143"/>
      <c r="AA90" s="143"/>
    </row>
    <row r="91" spans="1:27" s="138" customFormat="1" ht="75" customHeight="1">
      <c r="A91" s="267" t="str">
        <f>"1-140 -"&amp;L91</f>
        <v>1-140 -36</v>
      </c>
      <c r="B91" s="126" t="s">
        <v>1195</v>
      </c>
      <c r="C91" s="269" t="s">
        <v>1527</v>
      </c>
      <c r="D91" s="115">
        <f>VLOOKUP(L91,'140'!A:T,2,0)</f>
        <v>45932</v>
      </c>
      <c r="E91" s="271" t="str">
        <f>M91&amp;M92</f>
        <v>10 M3</v>
      </c>
      <c r="F91" s="115">
        <f>D91</f>
        <v>45932</v>
      </c>
      <c r="G91" s="275" t="s">
        <v>145</v>
      </c>
      <c r="H91" s="117" t="str">
        <f>N91&amp;M92</f>
        <v>372.5 M3</v>
      </c>
      <c r="I91" s="273" t="s">
        <v>109</v>
      </c>
      <c r="J91" s="274" t="str">
        <f>IF(R91=0,"上  溢："&amp;S91,IF(Q91=0,"任  泰："&amp;R91&amp;"                 "&amp;"上  溢："&amp;S91,
"水利處："&amp;Q91&amp;"                 "&amp;"任  泰："&amp;R91&amp;"                 "&amp;"上  溢："&amp;S91))</f>
        <v>上  溢：康祐銓</v>
      </c>
      <c r="K91" s="124" t="s">
        <v>211</v>
      </c>
      <c r="L91" s="136">
        <f>L87+1</f>
        <v>36</v>
      </c>
      <c r="M91" s="128">
        <f>VLOOKUP(L91,'140'!A:T,5,0)</f>
        <v>10</v>
      </c>
      <c r="N91" s="128">
        <f>N87+M91</f>
        <v>372.5</v>
      </c>
      <c r="O91" s="128">
        <f>VLOOKUP(L91,'140'!A:T,6,0)</f>
        <v>0</v>
      </c>
      <c r="P91" s="128">
        <f>P87+O91</f>
        <v>10</v>
      </c>
      <c r="Q91" s="128">
        <f>VLOOKUP(L91,'140'!A:T,18,0)</f>
        <v>0</v>
      </c>
      <c r="R91" s="128">
        <f>VLOOKUP(L91,'140'!A:T,19,0)</f>
        <v>0</v>
      </c>
      <c r="S91" s="128" t="str">
        <f>VLOOKUP(L91,'140'!A:T,20,0)</f>
        <v>康祐銓</v>
      </c>
      <c r="T91" s="137"/>
      <c r="U91" s="137"/>
      <c r="V91" s="137"/>
      <c r="W91" s="137"/>
      <c r="X91" s="137"/>
      <c r="Y91" s="137"/>
      <c r="Z91" s="137"/>
      <c r="AA91" s="137"/>
    </row>
    <row r="92" spans="1:27" s="138" customFormat="1" ht="50.1" customHeight="1">
      <c r="A92" s="268"/>
      <c r="B92" s="174" t="s">
        <v>70</v>
      </c>
      <c r="C92" s="270"/>
      <c r="D92" s="116" t="str">
        <f>M91&amp;M92</f>
        <v>10 M3</v>
      </c>
      <c r="E92" s="272"/>
      <c r="F92" s="117" t="str">
        <f>E91&amp;CHAR(10)&amp;"("&amp;O91&amp;O92&amp;")"</f>
        <v>10 M3
(0組)</v>
      </c>
      <c r="G92" s="275"/>
      <c r="H92" s="117" t="str">
        <f>H91&amp;CHAR(10)&amp;"("&amp;P91&amp;O92&amp;")"</f>
        <v>372.5 M3
(10組)</v>
      </c>
      <c r="I92" s="273"/>
      <c r="J92" s="274"/>
      <c r="K92" s="124" t="s">
        <v>1509</v>
      </c>
      <c r="L92" s="127"/>
      <c r="M92" s="127" t="s">
        <v>201</v>
      </c>
      <c r="N92" s="128"/>
      <c r="O92" s="128" t="s">
        <v>204</v>
      </c>
      <c r="P92" s="128"/>
      <c r="Q92" s="128"/>
      <c r="R92" s="128"/>
      <c r="S92" s="128"/>
      <c r="T92" s="137"/>
      <c r="U92" s="137"/>
      <c r="V92" s="137"/>
      <c r="W92" s="137"/>
      <c r="X92" s="137"/>
      <c r="Y92" s="137"/>
      <c r="Z92" s="137"/>
      <c r="AA92" s="137"/>
    </row>
    <row r="93" spans="1:27" s="138" customFormat="1" ht="75" customHeight="1">
      <c r="A93" s="267" t="str">
        <f>"1-140 -"&amp;L93</f>
        <v>1-140 -37</v>
      </c>
      <c r="B93" s="126" t="s">
        <v>1195</v>
      </c>
      <c r="C93" s="269" t="s">
        <v>1527</v>
      </c>
      <c r="D93" s="115">
        <f>VLOOKUP(L93,'140'!A:T,2,0)</f>
        <v>45948</v>
      </c>
      <c r="E93" s="271" t="str">
        <f>M93&amp;M94</f>
        <v>23 M3</v>
      </c>
      <c r="F93" s="115">
        <f>D93</f>
        <v>45948</v>
      </c>
      <c r="G93" s="275"/>
      <c r="H93" s="117" t="str">
        <f>N93&amp;M94</f>
        <v>395.5 M3</v>
      </c>
      <c r="I93" s="273" t="s">
        <v>109</v>
      </c>
      <c r="J93" s="274" t="str">
        <f>IF(R93=0,"上  溢："&amp;S93,IF(Q93=0,"任  泰："&amp;R93&amp;"                 "&amp;"上  溢："&amp;S93,
"水利處："&amp;Q93&amp;"                 "&amp;"任  泰："&amp;R93&amp;"                 "&amp;"上  溢："&amp;S93))</f>
        <v>上  溢：康祐銓</v>
      </c>
      <c r="K93" s="264" t="s">
        <v>1786</v>
      </c>
      <c r="L93" s="136">
        <f>L91+1</f>
        <v>37</v>
      </c>
      <c r="M93" s="128">
        <f>VLOOKUP(L93,'140'!A:T,5,0)</f>
        <v>23</v>
      </c>
      <c r="N93" s="128">
        <f>N91+M93</f>
        <v>395.5</v>
      </c>
      <c r="O93" s="128">
        <f>VLOOKUP(L93,'140'!A:T,6,0)</f>
        <v>1</v>
      </c>
      <c r="P93" s="128">
        <f>P91+O93</f>
        <v>11</v>
      </c>
      <c r="Q93" s="128">
        <f>VLOOKUP(L93,'140'!A:T,18,0)</f>
        <v>0</v>
      </c>
      <c r="R93" s="128">
        <f>VLOOKUP(L93,'140'!A:T,19,0)</f>
        <v>0</v>
      </c>
      <c r="S93" s="128" t="str">
        <f>VLOOKUP(L93,'140'!A:T,20,0)</f>
        <v>康祐銓</v>
      </c>
      <c r="T93" s="137"/>
      <c r="U93" s="137"/>
      <c r="V93" s="137"/>
      <c r="W93" s="137"/>
      <c r="X93" s="137"/>
      <c r="Y93" s="137"/>
      <c r="Z93" s="137"/>
      <c r="AA93" s="137"/>
    </row>
    <row r="94" spans="1:27" s="138" customFormat="1" ht="50.1" customHeight="1">
      <c r="A94" s="268"/>
      <c r="B94" s="174" t="s">
        <v>70</v>
      </c>
      <c r="C94" s="270"/>
      <c r="D94" s="116" t="str">
        <f>M93&amp;M94</f>
        <v>23 M3</v>
      </c>
      <c r="E94" s="272"/>
      <c r="F94" s="117" t="str">
        <f>E93&amp;CHAR(10)&amp;"("&amp;O93&amp;O94&amp;")"</f>
        <v>23 M3
(1組)</v>
      </c>
      <c r="G94" s="275"/>
      <c r="H94" s="117" t="str">
        <f>H93&amp;CHAR(10)&amp;"("&amp;P93&amp;O94&amp;")"</f>
        <v>395.5 M3
(11組)</v>
      </c>
      <c r="I94" s="273"/>
      <c r="J94" s="274"/>
      <c r="K94" s="265"/>
      <c r="L94" s="127"/>
      <c r="M94" s="127" t="s">
        <v>201</v>
      </c>
      <c r="N94" s="128"/>
      <c r="O94" s="128" t="s">
        <v>204</v>
      </c>
      <c r="P94" s="128"/>
      <c r="Q94" s="128"/>
      <c r="R94" s="128"/>
      <c r="S94" s="128"/>
      <c r="T94" s="137"/>
      <c r="U94" s="137"/>
      <c r="V94" s="137"/>
      <c r="W94" s="137"/>
      <c r="X94" s="137"/>
      <c r="Y94" s="137"/>
      <c r="Z94" s="137"/>
      <c r="AA94" s="137"/>
    </row>
    <row r="95" spans="1:27" s="140" customFormat="1" ht="75" customHeight="1">
      <c r="A95" s="267" t="str">
        <f>"1-140 -"&amp;L95</f>
        <v>1-140 -38</v>
      </c>
      <c r="B95" s="126" t="s">
        <v>1195</v>
      </c>
      <c r="C95" s="269" t="s">
        <v>1527</v>
      </c>
      <c r="D95" s="115">
        <f>VLOOKUP(L95,'140'!A:T,2,0)</f>
        <v>45968</v>
      </c>
      <c r="E95" s="271" t="str">
        <f>M95&amp;M96</f>
        <v>25 M3</v>
      </c>
      <c r="F95" s="115">
        <f>D95</f>
        <v>45968</v>
      </c>
      <c r="G95" s="275"/>
      <c r="H95" s="117" t="str">
        <f>N95&amp;M96</f>
        <v>420.5 M3</v>
      </c>
      <c r="I95" s="273" t="s">
        <v>109</v>
      </c>
      <c r="J95" s="274" t="str">
        <f>IF(R95=0,"上  溢："&amp;S95,IF(Q95=0,"任  泰："&amp;R95&amp;"                 "&amp;"上  溢："&amp;S95,
"水利處："&amp;Q95&amp;"                 "&amp;"任  泰："&amp;R95&amp;"                 "&amp;"上  溢："&amp;S95))</f>
        <v>任  泰：王淑慧                 上  溢：康祐銓</v>
      </c>
      <c r="K95" s="264" t="s">
        <v>1882</v>
      </c>
      <c r="L95" s="136">
        <f>L93+1</f>
        <v>38</v>
      </c>
      <c r="M95" s="128">
        <f>VLOOKUP(L95,'140'!A:T,5,0)</f>
        <v>25</v>
      </c>
      <c r="N95" s="128">
        <f>N93+M95</f>
        <v>420.5</v>
      </c>
      <c r="O95" s="128">
        <f>VLOOKUP(L95,'140'!A:T,6,0)</f>
        <v>1</v>
      </c>
      <c r="P95" s="128">
        <f>P93+O95</f>
        <v>12</v>
      </c>
      <c r="Q95" s="128">
        <f>VLOOKUP(L95,'140'!A:T,18,0)</f>
        <v>0</v>
      </c>
      <c r="R95" s="128" t="str">
        <f>VLOOKUP(L95,'140'!A:T,19,0)</f>
        <v>王淑慧</v>
      </c>
      <c r="S95" s="128" t="str">
        <f>VLOOKUP(L95,'140'!A:T,20,0)</f>
        <v>康祐銓</v>
      </c>
      <c r="T95" s="139"/>
      <c r="U95" s="139"/>
      <c r="V95" s="139"/>
      <c r="W95" s="139"/>
      <c r="X95" s="139"/>
      <c r="Y95" s="139"/>
      <c r="Z95" s="139"/>
      <c r="AA95" s="139"/>
    </row>
    <row r="96" spans="1:27" s="140" customFormat="1" ht="50.1" customHeight="1">
      <c r="A96" s="268"/>
      <c r="B96" s="174" t="s">
        <v>70</v>
      </c>
      <c r="C96" s="270"/>
      <c r="D96" s="116" t="str">
        <f>M95&amp;M96</f>
        <v>25 M3</v>
      </c>
      <c r="E96" s="272"/>
      <c r="F96" s="117" t="str">
        <f>E95&amp;CHAR(10)&amp;"("&amp;O95&amp;O96&amp;")"</f>
        <v>25 M3
(1組)</v>
      </c>
      <c r="G96" s="275"/>
      <c r="H96" s="117" t="str">
        <f>H95&amp;CHAR(10)&amp;"("&amp;P95&amp;O96&amp;")"</f>
        <v>420.5 M3
(12組)</v>
      </c>
      <c r="I96" s="273"/>
      <c r="J96" s="274"/>
      <c r="K96" s="265"/>
      <c r="L96" s="127"/>
      <c r="M96" s="127" t="s">
        <v>201</v>
      </c>
      <c r="N96" s="128"/>
      <c r="O96" s="128" t="s">
        <v>204</v>
      </c>
      <c r="P96" s="128"/>
      <c r="Q96" s="128"/>
      <c r="R96" s="128"/>
      <c r="S96" s="128"/>
      <c r="T96" s="139"/>
      <c r="U96" s="139"/>
      <c r="V96" s="139"/>
      <c r="W96" s="139"/>
      <c r="X96" s="139"/>
      <c r="Y96" s="139"/>
      <c r="Z96" s="139"/>
      <c r="AA96" s="139"/>
    </row>
    <row r="97" spans="1:27" s="138" customFormat="1" ht="75" customHeight="1">
      <c r="A97" s="267" t="str">
        <f>"1-140 -"&amp;L97</f>
        <v>1-140 -39</v>
      </c>
      <c r="B97" s="126" t="s">
        <v>1195</v>
      </c>
      <c r="C97" s="269" t="s">
        <v>1527</v>
      </c>
      <c r="D97" s="115">
        <f>VLOOKUP(L97,'140'!A:T,2,0)</f>
        <v>45997</v>
      </c>
      <c r="E97" s="271" t="str">
        <f>M97&amp;M98</f>
        <v>18.5 M3</v>
      </c>
      <c r="F97" s="115">
        <f>D97</f>
        <v>45997</v>
      </c>
      <c r="G97" s="275"/>
      <c r="H97" s="117" t="str">
        <f>N97&amp;M98</f>
        <v>439 M3</v>
      </c>
      <c r="I97" s="273" t="s">
        <v>48</v>
      </c>
      <c r="J97" s="274" t="str">
        <f>IF(R97=0,"上  溢："&amp;S97,IF(Q97=0,"任  泰："&amp;R97&amp;"                 "&amp;"上  溢："&amp;S97,
"水利處："&amp;Q97&amp;"                 "&amp;"任  泰："&amp;R97&amp;"                 "&amp;"上  溢："&amp;S97))</f>
        <v>任  泰：陳勇智                 上  溢：周昱辰</v>
      </c>
      <c r="K97" s="264" t="s">
        <v>1885</v>
      </c>
      <c r="L97" s="136">
        <f>L95+1</f>
        <v>39</v>
      </c>
      <c r="M97" s="128">
        <f>VLOOKUP(L97,'140'!A:T,5,0)</f>
        <v>18.5</v>
      </c>
      <c r="N97" s="128">
        <f>N95+M97</f>
        <v>439</v>
      </c>
      <c r="O97" s="128">
        <f>VLOOKUP(L97,'140'!A:T,6,0)</f>
        <v>1</v>
      </c>
      <c r="P97" s="128">
        <f>P95+O97</f>
        <v>13</v>
      </c>
      <c r="Q97" s="128">
        <f>VLOOKUP(L97,'140'!A:T,18,0)</f>
        <v>0</v>
      </c>
      <c r="R97" s="128" t="str">
        <f>VLOOKUP(L97,'140'!A:T,19,0)</f>
        <v>陳勇智</v>
      </c>
      <c r="S97" s="128" t="str">
        <f>VLOOKUP(L97,'140'!A:T,20,0)</f>
        <v>周昱辰</v>
      </c>
      <c r="T97" s="137"/>
      <c r="U97" s="137"/>
      <c r="V97" s="137"/>
      <c r="W97" s="137"/>
      <c r="X97" s="137"/>
      <c r="Y97" s="137"/>
      <c r="Z97" s="137"/>
      <c r="AA97" s="137"/>
    </row>
    <row r="98" spans="1:27" s="138" customFormat="1" ht="50.1" customHeight="1">
      <c r="A98" s="268"/>
      <c r="B98" s="174" t="s">
        <v>70</v>
      </c>
      <c r="C98" s="270"/>
      <c r="D98" s="116" t="str">
        <f>M97&amp;M98</f>
        <v>18.5 M3</v>
      </c>
      <c r="E98" s="272"/>
      <c r="F98" s="117" t="str">
        <f>E97&amp;CHAR(10)&amp;"("&amp;O97&amp;O98&amp;")"</f>
        <v>18.5 M3
(1組)</v>
      </c>
      <c r="G98" s="275"/>
      <c r="H98" s="117" t="str">
        <f>H97&amp;CHAR(10)&amp;"("&amp;P97&amp;O98&amp;")"</f>
        <v>439 M3
(13組)</v>
      </c>
      <c r="I98" s="273"/>
      <c r="J98" s="274"/>
      <c r="K98" s="265"/>
      <c r="L98" s="127"/>
      <c r="M98" s="127" t="s">
        <v>201</v>
      </c>
      <c r="N98" s="128"/>
      <c r="O98" s="128" t="s">
        <v>204</v>
      </c>
      <c r="P98" s="128"/>
      <c r="Q98" s="128"/>
      <c r="R98" s="128"/>
      <c r="S98" s="128"/>
      <c r="T98" s="137"/>
      <c r="U98" s="137"/>
      <c r="V98" s="137"/>
      <c r="W98" s="137"/>
      <c r="X98" s="137"/>
      <c r="Y98" s="137"/>
      <c r="Z98" s="137"/>
      <c r="AA98" s="137"/>
    </row>
    <row r="99" spans="1:27" s="138" customFormat="1" ht="69" customHeight="1">
      <c r="A99" s="267" t="str">
        <f>"1-140 -"&amp;L99</f>
        <v>1-140 -40</v>
      </c>
      <c r="B99" s="126" t="s">
        <v>1195</v>
      </c>
      <c r="C99" s="269" t="s">
        <v>1527</v>
      </c>
      <c r="D99" s="115">
        <f>VLOOKUP(L99,'140'!A:T,2,0)</f>
        <v>46009</v>
      </c>
      <c r="E99" s="271" t="str">
        <f>M99&amp;M100</f>
        <v>6 M3</v>
      </c>
      <c r="F99" s="115">
        <f>D99</f>
        <v>46009</v>
      </c>
      <c r="G99" s="275"/>
      <c r="H99" s="117" t="str">
        <f>N99&amp;M100</f>
        <v>445 M3</v>
      </c>
      <c r="I99" s="273" t="s">
        <v>109</v>
      </c>
      <c r="J99" s="274" t="str">
        <f>IF(R99=0,"上  溢："&amp;S99,IF(Q99=0,"任  泰："&amp;R99&amp;"                 "&amp;"上  溢："&amp;S99,
"水利處："&amp;Q99&amp;"                 "&amp;"任  泰："&amp;R99&amp;"                 "&amp;"上  溢："&amp;S99))</f>
        <v>上  溢：康祐銓</v>
      </c>
      <c r="K99" s="124" t="s">
        <v>211</v>
      </c>
      <c r="L99" s="136">
        <f>L97+1</f>
        <v>40</v>
      </c>
      <c r="M99" s="128">
        <f>VLOOKUP(L99,'140'!A:T,5,0)</f>
        <v>6</v>
      </c>
      <c r="N99" s="128">
        <f>N97+M99</f>
        <v>445</v>
      </c>
      <c r="O99" s="128">
        <f>VLOOKUP(L99,'140'!A:T,6,0)</f>
        <v>0</v>
      </c>
      <c r="P99" s="128">
        <f>P97+O99</f>
        <v>13</v>
      </c>
      <c r="Q99" s="128">
        <f>VLOOKUP(L99,'140'!A:T,18,0)</f>
        <v>0</v>
      </c>
      <c r="R99" s="128">
        <f>VLOOKUP(L99,'140'!A:T,19,0)</f>
        <v>0</v>
      </c>
      <c r="S99" s="128" t="str">
        <f>VLOOKUP(L99,'140'!A:T,20,0)</f>
        <v>康祐銓</v>
      </c>
      <c r="T99" s="137"/>
      <c r="U99" s="137"/>
      <c r="V99" s="137"/>
      <c r="W99" s="137"/>
      <c r="X99" s="137"/>
      <c r="Y99" s="137"/>
      <c r="Z99" s="137"/>
      <c r="AA99" s="137"/>
    </row>
    <row r="100" spans="1:27" s="138" customFormat="1" ht="50.1" customHeight="1">
      <c r="A100" s="268"/>
      <c r="B100" s="174" t="s">
        <v>70</v>
      </c>
      <c r="C100" s="270"/>
      <c r="D100" s="116" t="str">
        <f>M99&amp;M100</f>
        <v>6 M3</v>
      </c>
      <c r="E100" s="272"/>
      <c r="F100" s="117" t="str">
        <f>E99&amp;CHAR(10)&amp;"("&amp;O99&amp;O100&amp;")"</f>
        <v>6 M3
(0組)</v>
      </c>
      <c r="G100" s="266"/>
      <c r="H100" s="117" t="str">
        <f>H99&amp;CHAR(10)&amp;"("&amp;P99&amp;O100&amp;")"</f>
        <v>445 M3
(13組)</v>
      </c>
      <c r="I100" s="273"/>
      <c r="J100" s="274"/>
      <c r="K100" s="124" t="s">
        <v>1799</v>
      </c>
      <c r="L100" s="127"/>
      <c r="M100" s="127" t="s">
        <v>201</v>
      </c>
      <c r="N100" s="128"/>
      <c r="O100" s="128" t="s">
        <v>204</v>
      </c>
      <c r="P100" s="128"/>
      <c r="Q100" s="128"/>
      <c r="R100" s="128"/>
      <c r="S100" s="128"/>
      <c r="T100" s="137"/>
      <c r="U100" s="137"/>
      <c r="V100" s="137"/>
      <c r="W100" s="137"/>
      <c r="X100" s="137"/>
      <c r="Y100" s="137"/>
      <c r="Z100" s="137"/>
      <c r="AA100" s="137"/>
    </row>
    <row r="101" spans="1:27" s="142" customFormat="1" ht="50.1" customHeight="1">
      <c r="A101" s="260" t="s">
        <v>47</v>
      </c>
      <c r="B101" s="261"/>
      <c r="C101" s="262"/>
      <c r="D101" s="260" t="s">
        <v>1753</v>
      </c>
      <c r="E101" s="261"/>
      <c r="F101" s="261"/>
      <c r="G101" s="262"/>
      <c r="H101" s="260" t="s">
        <v>1755</v>
      </c>
      <c r="I101" s="261"/>
      <c r="J101" s="261"/>
      <c r="K101" s="262"/>
      <c r="M101" s="143"/>
      <c r="N101" s="143"/>
      <c r="O101" s="143"/>
      <c r="P101" s="143"/>
      <c r="Q101" s="143"/>
      <c r="R101" s="143"/>
      <c r="S101" s="143"/>
      <c r="T101" s="143"/>
      <c r="U101" s="143"/>
      <c r="V101" s="143"/>
      <c r="W101" s="143"/>
      <c r="X101" s="143"/>
      <c r="Y101" s="143"/>
      <c r="Z101" s="143"/>
      <c r="AA101" s="143"/>
    </row>
    <row r="102" spans="1:27" s="142" customFormat="1" ht="50.1" customHeight="1">
      <c r="A102" s="263" t="s">
        <v>1147</v>
      </c>
      <c r="B102" s="263"/>
      <c r="C102" s="263"/>
      <c r="D102" s="263"/>
      <c r="E102" s="263"/>
      <c r="F102" s="263"/>
      <c r="G102" s="263"/>
      <c r="H102" s="263"/>
      <c r="I102" s="263"/>
      <c r="J102" s="263"/>
      <c r="K102" s="263"/>
      <c r="M102" s="143"/>
      <c r="N102" s="143"/>
      <c r="O102" s="143"/>
      <c r="P102" s="143"/>
      <c r="Q102" s="143"/>
      <c r="R102" s="143"/>
      <c r="S102" s="143"/>
      <c r="T102" s="143"/>
      <c r="U102" s="143"/>
      <c r="V102" s="143"/>
      <c r="W102" s="143"/>
      <c r="X102" s="143"/>
      <c r="Y102" s="143"/>
      <c r="Z102" s="143"/>
      <c r="AA102" s="143"/>
    </row>
    <row r="103" spans="1:27" s="138" customFormat="1" ht="75" customHeight="1">
      <c r="A103" s="267" t="str">
        <f>"1-140 -"&amp;L103</f>
        <v>1-140 -41</v>
      </c>
      <c r="B103" s="126" t="s">
        <v>1195</v>
      </c>
      <c r="C103" s="269" t="s">
        <v>1527</v>
      </c>
      <c r="D103" s="115">
        <f>VLOOKUP(L103,'140'!A:T,2,0)</f>
        <v>46024</v>
      </c>
      <c r="E103" s="271" t="str">
        <f>M103&amp;M104</f>
        <v>10 M3</v>
      </c>
      <c r="F103" s="115">
        <f>D103</f>
        <v>46024</v>
      </c>
      <c r="G103" s="275" t="s">
        <v>145</v>
      </c>
      <c r="H103" s="117" t="str">
        <f>N103&amp;M104</f>
        <v>455 M3</v>
      </c>
      <c r="I103" s="273" t="s">
        <v>48</v>
      </c>
      <c r="J103" s="274" t="str">
        <f>IF(R103=0,"上  溢："&amp;S103,IF(Q103=0,"任  泰："&amp;R103&amp;"                 "&amp;"上  溢："&amp;S103,
"水利處："&amp;Q103&amp;"                 "&amp;"任  泰："&amp;R103&amp;"                 "&amp;"上  溢："&amp;S103))</f>
        <v>任  泰：王淑慧                 上  溢：康祐銓</v>
      </c>
      <c r="K103" s="264" t="s">
        <v>1902</v>
      </c>
      <c r="L103" s="136">
        <f>L99+1</f>
        <v>41</v>
      </c>
      <c r="M103" s="128">
        <f>VLOOKUP(L103,'140'!A:T,5,0)</f>
        <v>10</v>
      </c>
      <c r="N103" s="128">
        <f>N99+M103</f>
        <v>455</v>
      </c>
      <c r="O103" s="128">
        <f>VLOOKUP(L103,'140'!A:T,6,0)</f>
        <v>1</v>
      </c>
      <c r="P103" s="128">
        <f>P99+O103</f>
        <v>14</v>
      </c>
      <c r="Q103" s="128">
        <f>VLOOKUP(L103,'140'!A:T,18,0)</f>
        <v>0</v>
      </c>
      <c r="R103" s="128" t="str">
        <f>VLOOKUP(L103,'140'!A:T,19,0)</f>
        <v>王淑慧</v>
      </c>
      <c r="S103" s="128" t="str">
        <f>VLOOKUP(L103,'140'!A:T,20,0)</f>
        <v>康祐銓</v>
      </c>
      <c r="T103" s="137"/>
      <c r="U103" s="137"/>
      <c r="V103" s="137"/>
      <c r="W103" s="137"/>
      <c r="X103" s="137"/>
      <c r="Y103" s="137"/>
      <c r="Z103" s="137"/>
      <c r="AA103" s="137"/>
    </row>
    <row r="104" spans="1:27" s="138" customFormat="1" ht="50.1" customHeight="1">
      <c r="A104" s="268"/>
      <c r="B104" s="174" t="s">
        <v>70</v>
      </c>
      <c r="C104" s="270"/>
      <c r="D104" s="116" t="str">
        <f>M103&amp;M104</f>
        <v>10 M3</v>
      </c>
      <c r="E104" s="272"/>
      <c r="F104" s="117" t="str">
        <f>E103&amp;CHAR(10)&amp;"("&amp;O103&amp;O104&amp;")"</f>
        <v>10 M3
(1組)</v>
      </c>
      <c r="G104" s="275"/>
      <c r="H104" s="117" t="str">
        <f>H103&amp;CHAR(10)&amp;"("&amp;P103&amp;O104&amp;")"</f>
        <v>455 M3
(14組)</v>
      </c>
      <c r="I104" s="273"/>
      <c r="J104" s="274"/>
      <c r="K104" s="265"/>
      <c r="L104" s="127"/>
      <c r="M104" s="127" t="s">
        <v>201</v>
      </c>
      <c r="N104" s="128"/>
      <c r="O104" s="128" t="s">
        <v>204</v>
      </c>
      <c r="P104" s="128"/>
      <c r="Q104" s="128"/>
      <c r="R104" s="128"/>
      <c r="S104" s="128"/>
      <c r="T104" s="137"/>
      <c r="U104" s="137"/>
      <c r="V104" s="137"/>
      <c r="W104" s="137"/>
      <c r="X104" s="137"/>
      <c r="Y104" s="137"/>
      <c r="Z104" s="137"/>
      <c r="AA104" s="137"/>
    </row>
    <row r="105" spans="1:27" s="138" customFormat="1" ht="75" customHeight="1">
      <c r="A105" s="276"/>
      <c r="B105" s="126"/>
      <c r="C105" s="269"/>
      <c r="D105" s="115"/>
      <c r="E105" s="271"/>
      <c r="F105" s="115"/>
      <c r="G105" s="275"/>
      <c r="H105" s="117"/>
      <c r="I105" s="278"/>
      <c r="J105" s="280"/>
      <c r="K105" s="264"/>
      <c r="L105" s="136">
        <f>L103+1</f>
        <v>42</v>
      </c>
      <c r="M105" s="128" t="e">
        <f>VLOOKUP(L105,'140'!A:T,5,0)</f>
        <v>#N/A</v>
      </c>
      <c r="N105" s="128" t="e">
        <f>N103+M105</f>
        <v>#N/A</v>
      </c>
      <c r="O105" s="128" t="e">
        <f>VLOOKUP(L105,'140'!A:T,6,0)</f>
        <v>#N/A</v>
      </c>
      <c r="P105" s="128" t="e">
        <f>P103+O105</f>
        <v>#N/A</v>
      </c>
      <c r="Q105" s="128" t="e">
        <f>VLOOKUP(L105,'140'!A:T,18,0)</f>
        <v>#N/A</v>
      </c>
      <c r="R105" s="128" t="e">
        <f>VLOOKUP(L105,'140'!A:T,19,0)</f>
        <v>#N/A</v>
      </c>
      <c r="S105" s="128" t="e">
        <f>VLOOKUP(L105,'140'!A:T,20,0)</f>
        <v>#N/A</v>
      </c>
      <c r="T105" s="137"/>
      <c r="U105" s="137"/>
      <c r="V105" s="137"/>
      <c r="W105" s="137"/>
      <c r="X105" s="137"/>
      <c r="Y105" s="137"/>
      <c r="Z105" s="137"/>
      <c r="AA105" s="137"/>
    </row>
    <row r="106" spans="1:27" s="138" customFormat="1" ht="50.1" customHeight="1">
      <c r="A106" s="277"/>
      <c r="B106" s="174"/>
      <c r="C106" s="270"/>
      <c r="D106" s="116"/>
      <c r="E106" s="272"/>
      <c r="F106" s="117"/>
      <c r="G106" s="275"/>
      <c r="H106" s="117"/>
      <c r="I106" s="279"/>
      <c r="J106" s="281"/>
      <c r="K106" s="266"/>
      <c r="L106" s="127"/>
      <c r="M106" s="127" t="s">
        <v>201</v>
      </c>
      <c r="N106" s="128"/>
      <c r="O106" s="128" t="s">
        <v>204</v>
      </c>
      <c r="P106" s="128"/>
      <c r="Q106" s="128"/>
      <c r="R106" s="128"/>
      <c r="S106" s="128"/>
      <c r="T106" s="137"/>
      <c r="U106" s="137"/>
      <c r="V106" s="137"/>
      <c r="W106" s="137"/>
      <c r="X106" s="137"/>
      <c r="Y106" s="137"/>
      <c r="Z106" s="137"/>
      <c r="AA106" s="137"/>
    </row>
    <row r="107" spans="1:27" s="140" customFormat="1" ht="75" customHeight="1">
      <c r="A107" s="267"/>
      <c r="B107" s="126"/>
      <c r="C107" s="269"/>
      <c r="D107" s="115"/>
      <c r="E107" s="271"/>
      <c r="F107" s="115"/>
      <c r="G107" s="275"/>
      <c r="H107" s="117"/>
      <c r="I107" s="273"/>
      <c r="J107" s="274"/>
      <c r="K107" s="264"/>
      <c r="L107" s="136">
        <f>L105+1</f>
        <v>43</v>
      </c>
      <c r="M107" s="128" t="e">
        <f>VLOOKUP(L107,'140'!A:T,5,0)</f>
        <v>#N/A</v>
      </c>
      <c r="N107" s="128" t="e">
        <f>N105+M107</f>
        <v>#N/A</v>
      </c>
      <c r="O107" s="128" t="e">
        <f>VLOOKUP(L107,'140'!A:T,6,0)</f>
        <v>#N/A</v>
      </c>
      <c r="P107" s="128" t="e">
        <f>P105+O107</f>
        <v>#N/A</v>
      </c>
      <c r="Q107" s="128" t="e">
        <f>VLOOKUP(L107,'140'!A:T,18,0)</f>
        <v>#N/A</v>
      </c>
      <c r="R107" s="128" t="e">
        <f>VLOOKUP(L107,'140'!A:T,19,0)</f>
        <v>#N/A</v>
      </c>
      <c r="S107" s="128" t="e">
        <f>VLOOKUP(L107,'140'!A:T,20,0)</f>
        <v>#N/A</v>
      </c>
      <c r="T107" s="139"/>
      <c r="U107" s="139"/>
      <c r="V107" s="139"/>
      <c r="W107" s="139"/>
      <c r="X107" s="139"/>
      <c r="Y107" s="139"/>
      <c r="Z107" s="139"/>
      <c r="AA107" s="139"/>
    </row>
    <row r="108" spans="1:27" s="140" customFormat="1" ht="50.1" customHeight="1">
      <c r="A108" s="268"/>
      <c r="B108" s="174"/>
      <c r="C108" s="270"/>
      <c r="D108" s="116"/>
      <c r="E108" s="272"/>
      <c r="F108" s="117"/>
      <c r="G108" s="275"/>
      <c r="H108" s="117"/>
      <c r="I108" s="273"/>
      <c r="J108" s="274"/>
      <c r="K108" s="265"/>
      <c r="L108" s="127"/>
      <c r="M108" s="127" t="s">
        <v>201</v>
      </c>
      <c r="N108" s="128"/>
      <c r="O108" s="128" t="s">
        <v>204</v>
      </c>
      <c r="P108" s="128"/>
      <c r="Q108" s="128"/>
      <c r="R108" s="128"/>
      <c r="S108" s="128"/>
      <c r="T108" s="139"/>
      <c r="U108" s="139"/>
      <c r="V108" s="139"/>
      <c r="W108" s="139"/>
      <c r="X108" s="139"/>
      <c r="Y108" s="139"/>
      <c r="Z108" s="139"/>
      <c r="AA108" s="139"/>
    </row>
    <row r="109" spans="1:27" s="138" customFormat="1" ht="75" customHeight="1">
      <c r="A109" s="267"/>
      <c r="B109" s="126"/>
      <c r="C109" s="269"/>
      <c r="D109" s="115"/>
      <c r="E109" s="271"/>
      <c r="F109" s="115"/>
      <c r="G109" s="275"/>
      <c r="H109" s="117"/>
      <c r="I109" s="273"/>
      <c r="J109" s="274"/>
      <c r="K109" s="264"/>
      <c r="L109" s="136">
        <f>L107+1</f>
        <v>44</v>
      </c>
      <c r="M109" s="128" t="e">
        <f>VLOOKUP(L109,'140'!A:T,5,0)</f>
        <v>#N/A</v>
      </c>
      <c r="N109" s="128" t="e">
        <f>N107+M109</f>
        <v>#N/A</v>
      </c>
      <c r="O109" s="128" t="e">
        <f>VLOOKUP(L109,'140'!A:T,6,0)</f>
        <v>#N/A</v>
      </c>
      <c r="P109" s="128" t="e">
        <f>P107+O109</f>
        <v>#N/A</v>
      </c>
      <c r="Q109" s="128" t="e">
        <f>VLOOKUP(L109,'140'!A:T,18,0)</f>
        <v>#N/A</v>
      </c>
      <c r="R109" s="128" t="e">
        <f>VLOOKUP(L109,'140'!A:T,19,0)</f>
        <v>#N/A</v>
      </c>
      <c r="S109" s="128" t="e">
        <f>VLOOKUP(L109,'140'!A:T,20,0)</f>
        <v>#N/A</v>
      </c>
      <c r="T109" s="137"/>
      <c r="U109" s="137"/>
      <c r="V109" s="137"/>
      <c r="W109" s="137"/>
      <c r="X109" s="137"/>
      <c r="Y109" s="137"/>
      <c r="Z109" s="137"/>
      <c r="AA109" s="137"/>
    </row>
    <row r="110" spans="1:27" s="138" customFormat="1" ht="50.1" customHeight="1">
      <c r="A110" s="268"/>
      <c r="B110" s="174"/>
      <c r="C110" s="270"/>
      <c r="D110" s="116"/>
      <c r="E110" s="272"/>
      <c r="F110" s="117"/>
      <c r="G110" s="275"/>
      <c r="H110" s="117"/>
      <c r="I110" s="273"/>
      <c r="J110" s="274"/>
      <c r="K110" s="265"/>
      <c r="L110" s="127"/>
      <c r="M110" s="127" t="s">
        <v>201</v>
      </c>
      <c r="N110" s="128"/>
      <c r="O110" s="128" t="s">
        <v>204</v>
      </c>
      <c r="P110" s="128"/>
      <c r="Q110" s="128"/>
      <c r="R110" s="128"/>
      <c r="S110" s="128"/>
      <c r="T110" s="137"/>
      <c r="U110" s="137"/>
      <c r="V110" s="137"/>
      <c r="W110" s="137"/>
      <c r="X110" s="137"/>
      <c r="Y110" s="137"/>
      <c r="Z110" s="137"/>
      <c r="AA110" s="137"/>
    </row>
    <row r="111" spans="1:27" s="138" customFormat="1" ht="69" customHeight="1">
      <c r="A111" s="267"/>
      <c r="B111" s="126"/>
      <c r="C111" s="269"/>
      <c r="D111" s="115"/>
      <c r="E111" s="271"/>
      <c r="F111" s="115"/>
      <c r="G111" s="275"/>
      <c r="H111" s="117"/>
      <c r="I111" s="273"/>
      <c r="J111" s="274"/>
      <c r="K111" s="124"/>
      <c r="L111" s="136">
        <f>L109+1</f>
        <v>45</v>
      </c>
      <c r="M111" s="128" t="e">
        <f>VLOOKUP(L111,'140'!A:T,5,0)</f>
        <v>#N/A</v>
      </c>
      <c r="N111" s="128" t="e">
        <f>N109+M111</f>
        <v>#N/A</v>
      </c>
      <c r="O111" s="128" t="e">
        <f>VLOOKUP(L111,'140'!A:T,6,0)</f>
        <v>#N/A</v>
      </c>
      <c r="P111" s="128" t="e">
        <f>P109+O111</f>
        <v>#N/A</v>
      </c>
      <c r="Q111" s="128" t="e">
        <f>VLOOKUP(L111,'140'!A:T,18,0)</f>
        <v>#N/A</v>
      </c>
      <c r="R111" s="128" t="e">
        <f>VLOOKUP(L111,'140'!A:T,19,0)</f>
        <v>#N/A</v>
      </c>
      <c r="S111" s="128" t="e">
        <f>VLOOKUP(L111,'140'!A:T,20,0)</f>
        <v>#N/A</v>
      </c>
      <c r="T111" s="137"/>
      <c r="U111" s="137"/>
      <c r="V111" s="137"/>
      <c r="W111" s="137"/>
      <c r="X111" s="137"/>
      <c r="Y111" s="137"/>
      <c r="Z111" s="137"/>
      <c r="AA111" s="137"/>
    </row>
    <row r="112" spans="1:27" s="138" customFormat="1" ht="50.1" customHeight="1">
      <c r="A112" s="268"/>
      <c r="B112" s="174"/>
      <c r="C112" s="270"/>
      <c r="D112" s="116"/>
      <c r="E112" s="272"/>
      <c r="F112" s="117"/>
      <c r="G112" s="266"/>
      <c r="H112" s="117"/>
      <c r="I112" s="273"/>
      <c r="J112" s="274"/>
      <c r="K112" s="124"/>
      <c r="L112" s="127"/>
      <c r="M112" s="127" t="s">
        <v>201</v>
      </c>
      <c r="N112" s="128"/>
      <c r="O112" s="128" t="s">
        <v>204</v>
      </c>
      <c r="P112" s="128"/>
      <c r="Q112" s="128"/>
      <c r="R112" s="128"/>
      <c r="S112" s="128"/>
      <c r="T112" s="137"/>
      <c r="U112" s="137"/>
      <c r="V112" s="137"/>
      <c r="W112" s="137"/>
      <c r="X112" s="137"/>
      <c r="Y112" s="137"/>
      <c r="Z112" s="137"/>
      <c r="AA112" s="137"/>
    </row>
    <row r="113" spans="1:27" s="142" customFormat="1" ht="50.1" customHeight="1">
      <c r="A113" s="260" t="s">
        <v>47</v>
      </c>
      <c r="B113" s="261"/>
      <c r="C113" s="262"/>
      <c r="D113" s="260" t="s">
        <v>1753</v>
      </c>
      <c r="E113" s="261"/>
      <c r="F113" s="261"/>
      <c r="G113" s="262"/>
      <c r="H113" s="260" t="s">
        <v>1755</v>
      </c>
      <c r="I113" s="261"/>
      <c r="J113" s="261"/>
      <c r="K113" s="262"/>
      <c r="M113" s="143"/>
      <c r="N113" s="143"/>
      <c r="O113" s="143"/>
      <c r="P113" s="143"/>
      <c r="Q113" s="143"/>
      <c r="R113" s="143"/>
      <c r="S113" s="143"/>
      <c r="T113" s="143"/>
      <c r="U113" s="143"/>
      <c r="V113" s="143"/>
      <c r="W113" s="143"/>
      <c r="X113" s="143"/>
      <c r="Y113" s="143"/>
      <c r="Z113" s="143"/>
      <c r="AA113" s="143"/>
    </row>
    <row r="114" spans="1:27" s="142" customFormat="1" ht="50.1" customHeight="1">
      <c r="A114" s="263" t="s">
        <v>1147</v>
      </c>
      <c r="B114" s="263"/>
      <c r="C114" s="263"/>
      <c r="D114" s="263"/>
      <c r="E114" s="263"/>
      <c r="F114" s="263"/>
      <c r="G114" s="263"/>
      <c r="H114" s="263"/>
      <c r="I114" s="263"/>
      <c r="J114" s="263"/>
      <c r="K114" s="263"/>
      <c r="M114" s="143"/>
      <c r="N114" s="143"/>
      <c r="O114" s="143"/>
      <c r="P114" s="143"/>
      <c r="Q114" s="143"/>
      <c r="R114" s="143"/>
      <c r="S114" s="143"/>
      <c r="T114" s="143"/>
      <c r="U114" s="143"/>
      <c r="V114" s="143"/>
      <c r="W114" s="143"/>
      <c r="X114" s="143"/>
      <c r="Y114" s="143"/>
      <c r="Z114" s="143"/>
      <c r="AA114" s="143"/>
    </row>
  </sheetData>
  <mergeCells count="299">
    <mergeCell ref="K87:K88"/>
    <mergeCell ref="K97:K98"/>
    <mergeCell ref="K95:K96"/>
    <mergeCell ref="C81:C82"/>
    <mergeCell ref="E81:E82"/>
    <mergeCell ref="I81:I82"/>
    <mergeCell ref="E55:E56"/>
    <mergeCell ref="I55:I56"/>
    <mergeCell ref="J55:J56"/>
    <mergeCell ref="I63:I64"/>
    <mergeCell ref="J63:J64"/>
    <mergeCell ref="G55:G64"/>
    <mergeCell ref="I61:I62"/>
    <mergeCell ref="J61:J62"/>
    <mergeCell ref="E79:E80"/>
    <mergeCell ref="I79:I80"/>
    <mergeCell ref="J79:J80"/>
    <mergeCell ref="A77:C77"/>
    <mergeCell ref="D77:G77"/>
    <mergeCell ref="H77:K77"/>
    <mergeCell ref="A73:A74"/>
    <mergeCell ref="C73:C74"/>
    <mergeCell ref="A78:K78"/>
    <mergeCell ref="K55:K56"/>
    <mergeCell ref="J71:J72"/>
    <mergeCell ref="E61:E62"/>
    <mergeCell ref="E69:E70"/>
    <mergeCell ref="C61:C62"/>
    <mergeCell ref="C57:C58"/>
    <mergeCell ref="E57:E58"/>
    <mergeCell ref="I57:I58"/>
    <mergeCell ref="A66:K66"/>
    <mergeCell ref="K57:K58"/>
    <mergeCell ref="A65:C65"/>
    <mergeCell ref="D65:G65"/>
    <mergeCell ref="H65:K65"/>
    <mergeCell ref="A63:A64"/>
    <mergeCell ref="C63:C64"/>
    <mergeCell ref="E63:E64"/>
    <mergeCell ref="E71:E72"/>
    <mergeCell ref="I71:I72"/>
    <mergeCell ref="A67:A68"/>
    <mergeCell ref="C67:C68"/>
    <mergeCell ref="E67:E68"/>
    <mergeCell ref="I67:I68"/>
    <mergeCell ref="J67:J68"/>
    <mergeCell ref="A55:A56"/>
    <mergeCell ref="C55:C56"/>
    <mergeCell ref="A61:A62"/>
    <mergeCell ref="A35:A36"/>
    <mergeCell ref="C35:C36"/>
    <mergeCell ref="E35:E36"/>
    <mergeCell ref="A53:C53"/>
    <mergeCell ref="H53:K53"/>
    <mergeCell ref="D53:G53"/>
    <mergeCell ref="K43:K44"/>
    <mergeCell ref="K37:K38"/>
    <mergeCell ref="A39:A40"/>
    <mergeCell ref="C39:C40"/>
    <mergeCell ref="A43:A44"/>
    <mergeCell ref="C43:C44"/>
    <mergeCell ref="E43:E44"/>
    <mergeCell ref="E45:E46"/>
    <mergeCell ref="I45:I46"/>
    <mergeCell ref="A47:A48"/>
    <mergeCell ref="A37:A38"/>
    <mergeCell ref="C37:C38"/>
    <mergeCell ref="E37:E38"/>
    <mergeCell ref="A51:A52"/>
    <mergeCell ref="C51:C52"/>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J7:J8"/>
    <mergeCell ref="C7:C8"/>
    <mergeCell ref="A7:A8"/>
    <mergeCell ref="E7:E8"/>
    <mergeCell ref="I7:I8"/>
    <mergeCell ref="A15:A16"/>
    <mergeCell ref="I13:I14"/>
    <mergeCell ref="A11:A12"/>
    <mergeCell ref="E11:E12"/>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A1:K1"/>
    <mergeCell ref="A2:K2"/>
    <mergeCell ref="A3:G3"/>
    <mergeCell ref="H3:K3"/>
    <mergeCell ref="A4:G4"/>
    <mergeCell ref="H4:K4"/>
    <mergeCell ref="A5:A6"/>
    <mergeCell ref="E5:E6"/>
    <mergeCell ref="G5:G6"/>
    <mergeCell ref="I5:I6"/>
    <mergeCell ref="J5:J6"/>
    <mergeCell ref="C5:C6"/>
    <mergeCell ref="C33:C34"/>
    <mergeCell ref="E33:E34"/>
    <mergeCell ref="I33:I34"/>
    <mergeCell ref="J33:J34"/>
    <mergeCell ref="I51:I52"/>
    <mergeCell ref="J51:J52"/>
    <mergeCell ref="J39:J40"/>
    <mergeCell ref="J43:J44"/>
    <mergeCell ref="J35:J36"/>
    <mergeCell ref="C47:C48"/>
    <mergeCell ref="E47:E48"/>
    <mergeCell ref="I47:I48"/>
    <mergeCell ref="E51:E52"/>
    <mergeCell ref="J45:J46"/>
    <mergeCell ref="J47:J48"/>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A83:A84"/>
    <mergeCell ref="C83:C84"/>
    <mergeCell ref="A75:A76"/>
    <mergeCell ref="C75:C76"/>
    <mergeCell ref="E75:E76"/>
    <mergeCell ref="I75:I76"/>
    <mergeCell ref="J75:J76"/>
    <mergeCell ref="J81:J82"/>
    <mergeCell ref="A79:A80"/>
    <mergeCell ref="C79:C80"/>
    <mergeCell ref="E83:E84"/>
    <mergeCell ref="I83:I84"/>
    <mergeCell ref="J83:J84"/>
    <mergeCell ref="E73:E74"/>
    <mergeCell ref="I73:I74"/>
    <mergeCell ref="J73:J74"/>
    <mergeCell ref="A81:A82"/>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89:C89"/>
    <mergeCell ref="D89:G89"/>
    <mergeCell ref="H89:K89"/>
    <mergeCell ref="K93:K94"/>
    <mergeCell ref="G79:G88"/>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D101:G101"/>
    <mergeCell ref="H101:K101"/>
    <mergeCell ref="A105:A106"/>
    <mergeCell ref="C105:C106"/>
    <mergeCell ref="E105:E106"/>
    <mergeCell ref="I105:I106"/>
    <mergeCell ref="J105:J106"/>
    <mergeCell ref="A111:A112"/>
    <mergeCell ref="C111:C112"/>
    <mergeCell ref="E111:E112"/>
    <mergeCell ref="I111:I112"/>
    <mergeCell ref="J111:J112"/>
    <mergeCell ref="A113:C113"/>
    <mergeCell ref="D113:G113"/>
    <mergeCell ref="H113:K113"/>
    <mergeCell ref="A114:K114"/>
    <mergeCell ref="K103:K104"/>
    <mergeCell ref="K105:K106"/>
    <mergeCell ref="A107:A108"/>
    <mergeCell ref="C107:C108"/>
    <mergeCell ref="E107:E108"/>
    <mergeCell ref="I107:I108"/>
    <mergeCell ref="J107:J108"/>
    <mergeCell ref="K107:K108"/>
    <mergeCell ref="A109:A110"/>
    <mergeCell ref="C109:C110"/>
    <mergeCell ref="E109:E110"/>
    <mergeCell ref="I109:I110"/>
    <mergeCell ref="J109:J110"/>
    <mergeCell ref="K109:K110"/>
    <mergeCell ref="A103:A104"/>
    <mergeCell ref="C103:C104"/>
    <mergeCell ref="E103:E104"/>
    <mergeCell ref="G103:G112"/>
    <mergeCell ref="I103:I104"/>
    <mergeCell ref="J103:J10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87"/>
  <sheetViews>
    <sheetView view="pageBreakPreview" topLeftCell="A276" zoomScale="85" zoomScaleNormal="100" zoomScaleSheetLayoutView="85" zoomScalePageLayoutView="85" workbookViewId="0">
      <selection activeCell="L285" sqref="L285"/>
    </sheetView>
  </sheetViews>
  <sheetFormatPr defaultRowHeight="16.5"/>
  <cols>
    <col min="1" max="1" width="5.75" style="166" customWidth="1"/>
    <col min="2" max="2" width="13.375" style="166" customWidth="1"/>
    <col min="3" max="3" width="8.75" style="166" customWidth="1"/>
    <col min="4" max="4" width="12.625" style="190" customWidth="1"/>
    <col min="5" max="5" width="8.125" style="191" hidden="1" customWidth="1"/>
    <col min="6" max="6" width="12.625" style="190" customWidth="1"/>
    <col min="7" max="7" width="15.125" style="166" customWidth="1"/>
    <col min="8" max="8" width="8.5" style="190" customWidth="1"/>
    <col min="9" max="9" width="4.75" style="166" customWidth="1"/>
    <col min="10" max="10" width="9.75" style="166" customWidth="1"/>
    <col min="11" max="11" width="15.25" style="166"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86" t="s">
        <v>45</v>
      </c>
      <c r="B1" s="286"/>
      <c r="C1" s="286"/>
      <c r="D1" s="286"/>
      <c r="E1" s="286"/>
      <c r="F1" s="286"/>
      <c r="G1" s="286"/>
      <c r="H1" s="286"/>
      <c r="I1" s="286"/>
      <c r="J1" s="286"/>
      <c r="K1" s="286"/>
      <c r="L1" s="154"/>
      <c r="M1" s="155"/>
      <c r="N1" s="155"/>
      <c r="O1" s="155"/>
      <c r="P1" s="155"/>
      <c r="Q1" s="155"/>
      <c r="R1" s="155"/>
      <c r="S1" s="155"/>
      <c r="T1" s="156"/>
      <c r="U1" s="156"/>
      <c r="V1" s="156"/>
      <c r="W1" s="156"/>
      <c r="X1" s="156"/>
      <c r="Y1" s="156"/>
      <c r="Z1" s="156"/>
      <c r="AA1" s="156"/>
    </row>
    <row r="2" spans="1:27" s="157" customFormat="1" ht="22.5" customHeight="1">
      <c r="A2" s="301" t="s">
        <v>0</v>
      </c>
      <c r="B2" s="301"/>
      <c r="C2" s="301"/>
      <c r="D2" s="301"/>
      <c r="E2" s="301"/>
      <c r="F2" s="301"/>
      <c r="G2" s="301"/>
      <c r="H2" s="301"/>
      <c r="I2" s="301"/>
      <c r="J2" s="301"/>
      <c r="K2" s="301"/>
      <c r="L2" s="154"/>
      <c r="M2" s="155"/>
      <c r="N2" s="155"/>
      <c r="O2" s="155"/>
      <c r="P2" s="155"/>
      <c r="Q2" s="155"/>
      <c r="R2" s="155"/>
      <c r="S2" s="155"/>
      <c r="T2" s="156"/>
      <c r="U2" s="156"/>
      <c r="V2" s="156"/>
      <c r="W2" s="156"/>
      <c r="X2" s="156"/>
      <c r="Y2" s="156"/>
      <c r="Z2" s="156"/>
      <c r="AA2" s="156"/>
    </row>
    <row r="3" spans="1:27" ht="16.5" customHeight="1">
      <c r="A3" s="260" t="str">
        <f>"工程名稱:"&amp;'1.計畫'!A1:I1</f>
        <v>工程名稱:磺港溪再造C段護岸及步道整建工程（延壽橋至三合橋）</v>
      </c>
      <c r="B3" s="287"/>
      <c r="C3" s="287"/>
      <c r="D3" s="287"/>
      <c r="E3" s="287"/>
      <c r="F3" s="287"/>
      <c r="G3" s="288"/>
      <c r="H3" s="260" t="s">
        <v>83</v>
      </c>
      <c r="I3" s="287"/>
      <c r="J3" s="287"/>
      <c r="K3" s="288"/>
    </row>
    <row r="4" spans="1:27" ht="16.5" customHeight="1">
      <c r="A4" s="260" t="s">
        <v>40</v>
      </c>
      <c r="B4" s="287"/>
      <c r="C4" s="287"/>
      <c r="D4" s="287"/>
      <c r="E4" s="287"/>
      <c r="F4" s="287"/>
      <c r="G4" s="288"/>
      <c r="H4" s="260" t="s">
        <v>84</v>
      </c>
      <c r="I4" s="287"/>
      <c r="J4" s="287"/>
      <c r="K4" s="288"/>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51.95" customHeight="1">
      <c r="A7" s="276" t="str">
        <f>"1-210 -"&amp;L7</f>
        <v>1-210 -1</v>
      </c>
      <c r="B7" s="187" t="s">
        <v>1193</v>
      </c>
      <c r="C7" s="295" t="s">
        <v>1528</v>
      </c>
      <c r="D7" s="115">
        <f>VLOOKUP(L7,'210'!A:T,2,0)</f>
        <v>45181</v>
      </c>
      <c r="E7" s="271" t="str">
        <f>M7&amp;M8</f>
        <v>0 M3</v>
      </c>
      <c r="F7" s="115">
        <f>D7</f>
        <v>45181</v>
      </c>
      <c r="G7" s="264" t="s">
        <v>145</v>
      </c>
      <c r="H7" s="117" t="str">
        <f>N7&amp;M8</f>
        <v>0 M3</v>
      </c>
      <c r="I7" s="264" t="s">
        <v>48</v>
      </c>
      <c r="J7" s="291" t="str">
        <f t="shared" ref="J7" si="0">IF(R7=0,"上  溢："&amp;S7,IF(Q7=0,"任  泰："&amp;R7&amp;"                 "&amp;"上  溢："&amp;S7,
"水利處："&amp;Q7&amp;"                 "&amp;"任  泰："&amp;R7&amp;"                 "&amp;"上  溢："&amp;S7))</f>
        <v>水利處：李晏然                 任  泰：游文圃                 上  溢：康祐銓</v>
      </c>
      <c r="K7" s="264" t="s">
        <v>212</v>
      </c>
      <c r="L7" s="136">
        <v>1</v>
      </c>
      <c r="M7" s="128">
        <f>VLOOKUP(L7,'210'!A:T,5,0)</f>
        <v>0</v>
      </c>
      <c r="N7" s="128">
        <f>M7</f>
        <v>0</v>
      </c>
      <c r="O7" s="128">
        <f>VLOOKUP(L7,'210'!A:T,6,0)</f>
        <v>1</v>
      </c>
      <c r="P7" s="128">
        <f>O7</f>
        <v>1</v>
      </c>
      <c r="Q7" s="128" t="str">
        <f>VLOOKUP(L7,'210'!A:T,18,0)</f>
        <v>李晏然</v>
      </c>
      <c r="R7" s="128" t="str">
        <f>VLOOKUP(L7,'210'!A:T,19,0)</f>
        <v>游文圃</v>
      </c>
      <c r="S7" s="128" t="str">
        <f>VLOOKUP(L7,'210'!A:T,20,0)</f>
        <v>康祐銓</v>
      </c>
      <c r="T7" s="137"/>
      <c r="U7" s="137"/>
      <c r="V7" s="137"/>
      <c r="W7" s="137"/>
      <c r="X7" s="137"/>
      <c r="Y7" s="137"/>
      <c r="Z7" s="137"/>
      <c r="AA7" s="137"/>
    </row>
    <row r="8" spans="1:27" s="138" customFormat="1" ht="51.95" customHeight="1">
      <c r="A8" s="277"/>
      <c r="B8" s="174" t="s">
        <v>1107</v>
      </c>
      <c r="C8" s="296"/>
      <c r="D8" s="116" t="str">
        <f>M7&amp;M8</f>
        <v>0 M3</v>
      </c>
      <c r="E8" s="272"/>
      <c r="F8" s="117" t="str">
        <f>E7&amp;CHAR(10)&amp;"("&amp;O7&amp;O8&amp;")"</f>
        <v>0 M3
(1組)</v>
      </c>
      <c r="G8" s="282"/>
      <c r="H8" s="117" t="str">
        <f>H7&amp;CHAR(10)&amp;"("&amp;P7&amp;O8&amp;")"</f>
        <v>0 M3
(1組)</v>
      </c>
      <c r="I8" s="266"/>
      <c r="J8" s="292"/>
      <c r="K8" s="298"/>
      <c r="L8" s="127"/>
      <c r="M8" s="127" t="s">
        <v>201</v>
      </c>
      <c r="N8" s="128"/>
      <c r="O8" s="128" t="s">
        <v>204</v>
      </c>
      <c r="P8" s="128"/>
      <c r="Q8" s="128"/>
      <c r="R8" s="128"/>
      <c r="S8" s="128"/>
      <c r="T8" s="137"/>
      <c r="U8" s="137"/>
      <c r="V8" s="137"/>
      <c r="W8" s="137"/>
      <c r="X8" s="137"/>
      <c r="Y8" s="137"/>
      <c r="Z8" s="137"/>
      <c r="AA8" s="137"/>
    </row>
    <row r="9" spans="1:27" s="140" customFormat="1" ht="51.95" customHeight="1">
      <c r="A9" s="276" t="str">
        <f>"1-210 -"&amp;L9</f>
        <v>1-210 -2</v>
      </c>
      <c r="B9" s="187" t="s">
        <v>1193</v>
      </c>
      <c r="C9" s="295" t="s">
        <v>1528</v>
      </c>
      <c r="D9" s="115">
        <f>VLOOKUP(L9,'210'!A:T,2,0)</f>
        <v>45484</v>
      </c>
      <c r="E9" s="271" t="str">
        <f>M9&amp;M10</f>
        <v>95 M3</v>
      </c>
      <c r="F9" s="115">
        <f>D9</f>
        <v>45484</v>
      </c>
      <c r="G9" s="282"/>
      <c r="H9" s="117" t="str">
        <f>N9&amp;M10</f>
        <v>95 M3</v>
      </c>
      <c r="I9" s="264" t="s">
        <v>48</v>
      </c>
      <c r="J9" s="291" t="str">
        <f t="shared" ref="J9" si="1">IF(R9=0,"上  溢："&amp;S9,IF(Q9=0,"任  泰："&amp;R9&amp;"                 "&amp;"上  溢："&amp;S9,
"水利處："&amp;Q9&amp;"                 "&amp;"任  泰："&amp;R9&amp;"                 "&amp;"上  溢："&amp;S9))</f>
        <v>任  泰：白博文                 上  溢：葉展志</v>
      </c>
      <c r="K9" s="264" t="s">
        <v>482</v>
      </c>
      <c r="L9" s="188">
        <f>L7+1</f>
        <v>2</v>
      </c>
      <c r="M9" s="128">
        <f>VLOOKUP(L9,'210'!A:T,5,0)</f>
        <v>95</v>
      </c>
      <c r="N9" s="128">
        <f>N7+M9</f>
        <v>95</v>
      </c>
      <c r="O9" s="128">
        <f>VLOOKUP(L9,'210'!A:T,6,0)</f>
        <v>1</v>
      </c>
      <c r="P9" s="128">
        <f>P7+O9</f>
        <v>2</v>
      </c>
      <c r="Q9" s="128">
        <f>VLOOKUP(L9,'210'!A:T,18,0)</f>
        <v>0</v>
      </c>
      <c r="R9" s="128" t="str">
        <f>VLOOKUP(L9,'210'!A:T,19,0)</f>
        <v>白博文</v>
      </c>
      <c r="S9" s="128" t="str">
        <f>VLOOKUP(L9,'210'!A:T,20,0)</f>
        <v>葉展志</v>
      </c>
      <c r="T9" s="139"/>
      <c r="U9" s="139"/>
      <c r="V9" s="139"/>
      <c r="W9" s="139"/>
      <c r="X9" s="139"/>
      <c r="Y9" s="139"/>
      <c r="Z9" s="139"/>
      <c r="AA9" s="139"/>
    </row>
    <row r="10" spans="1:27" s="140" customFormat="1" ht="51.95" customHeight="1">
      <c r="A10" s="277"/>
      <c r="B10" s="174" t="s">
        <v>1107</v>
      </c>
      <c r="C10" s="296"/>
      <c r="D10" s="116" t="str">
        <f>M9&amp;M10</f>
        <v>95 M3</v>
      </c>
      <c r="E10" s="272"/>
      <c r="F10" s="117" t="str">
        <f>E9&amp;CHAR(10)&amp;"("&amp;O9&amp;O10&amp;")"</f>
        <v>95 M3
(1組)</v>
      </c>
      <c r="G10" s="282"/>
      <c r="H10" s="117" t="str">
        <f>H9&amp;CHAR(10)&amp;"("&amp;P9&amp;O10&amp;")"</f>
        <v>95 M3
(2組)</v>
      </c>
      <c r="I10" s="266"/>
      <c r="J10" s="292"/>
      <c r="K10" s="298"/>
      <c r="L10" s="127"/>
      <c r="M10" s="127" t="s">
        <v>201</v>
      </c>
      <c r="N10" s="128"/>
      <c r="O10" s="128" t="s">
        <v>204</v>
      </c>
      <c r="P10" s="128"/>
      <c r="Q10" s="128"/>
      <c r="R10" s="128"/>
      <c r="S10" s="128"/>
      <c r="T10" s="139"/>
      <c r="U10" s="139"/>
      <c r="V10" s="139"/>
      <c r="W10" s="139"/>
      <c r="X10" s="139"/>
      <c r="Y10" s="139"/>
      <c r="Z10" s="139"/>
      <c r="AA10" s="139"/>
    </row>
    <row r="11" spans="1:27" s="138" customFormat="1" ht="51.95" customHeight="1">
      <c r="A11" s="276" t="str">
        <f>"1-210 -"&amp;L11</f>
        <v>1-210 -3</v>
      </c>
      <c r="B11" s="187" t="s">
        <v>1193</v>
      </c>
      <c r="C11" s="295" t="s">
        <v>1528</v>
      </c>
      <c r="D11" s="115">
        <f>VLOOKUP(L11,'210'!A:T,2,0)</f>
        <v>45488</v>
      </c>
      <c r="E11" s="271" t="str">
        <f>M11&amp;M12</f>
        <v>198 M3</v>
      </c>
      <c r="F11" s="115">
        <f>D11</f>
        <v>45488</v>
      </c>
      <c r="G11" s="282"/>
      <c r="H11" s="117" t="str">
        <f>N11&amp;M12</f>
        <v>293 M3</v>
      </c>
      <c r="I11" s="264" t="s">
        <v>48</v>
      </c>
      <c r="J11" s="291" t="str">
        <f t="shared" ref="J11" si="2">IF(R11=0,"上  溢："&amp;S11,IF(Q11=0,"任  泰："&amp;R11&amp;"                 "&amp;"上  溢："&amp;S11,
"水利處："&amp;Q11&amp;"                 "&amp;"任  泰："&amp;R11&amp;"                 "&amp;"上  溢："&amp;S11))</f>
        <v>任  泰：白博文                 上  溢：葉展志</v>
      </c>
      <c r="K11" s="264" t="s">
        <v>510</v>
      </c>
      <c r="L11" s="188">
        <f>L9+1</f>
        <v>3</v>
      </c>
      <c r="M11" s="128">
        <f>VLOOKUP(L11,'210'!A:T,5,0)</f>
        <v>198</v>
      </c>
      <c r="N11" s="128">
        <f>N9+M11</f>
        <v>293</v>
      </c>
      <c r="O11" s="128">
        <f>VLOOKUP(L11,'210'!A:T,6,0)</f>
        <v>2</v>
      </c>
      <c r="P11" s="128">
        <f>P9+O11</f>
        <v>4</v>
      </c>
      <c r="Q11" s="128">
        <f>VLOOKUP(L11,'210'!A:T,18,0)</f>
        <v>0</v>
      </c>
      <c r="R11" s="128" t="str">
        <f>VLOOKUP(L11,'210'!A:T,19,0)</f>
        <v>白博文</v>
      </c>
      <c r="S11" s="128" t="str">
        <f>VLOOKUP(L11,'210'!A:T,20,0)</f>
        <v>葉展志</v>
      </c>
      <c r="T11" s="137"/>
      <c r="U11" s="137"/>
      <c r="V11" s="137"/>
      <c r="W11" s="137"/>
      <c r="X11" s="137"/>
      <c r="Y11" s="137"/>
      <c r="Z11" s="137"/>
      <c r="AA11" s="137"/>
    </row>
    <row r="12" spans="1:27" s="138" customFormat="1" ht="51.95" customHeight="1">
      <c r="A12" s="277"/>
      <c r="B12" s="174" t="s">
        <v>1107</v>
      </c>
      <c r="C12" s="296"/>
      <c r="D12" s="116" t="str">
        <f>M11&amp;M12</f>
        <v>198 M3</v>
      </c>
      <c r="E12" s="272"/>
      <c r="F12" s="117" t="str">
        <f>E11&amp;CHAR(10)&amp;"("&amp;O11&amp;O12&amp;")"</f>
        <v>198 M3
(2組)</v>
      </c>
      <c r="G12" s="282"/>
      <c r="H12" s="117" t="str">
        <f>H11&amp;CHAR(10)&amp;"("&amp;P11&amp;O12&amp;")"</f>
        <v>293 M3
(4組)</v>
      </c>
      <c r="I12" s="266"/>
      <c r="J12" s="292"/>
      <c r="K12" s="298"/>
      <c r="L12" s="127"/>
      <c r="M12" s="127" t="s">
        <v>201</v>
      </c>
      <c r="N12" s="128"/>
      <c r="O12" s="128" t="s">
        <v>204</v>
      </c>
      <c r="P12" s="128"/>
      <c r="Q12" s="128"/>
      <c r="R12" s="128"/>
      <c r="S12" s="128"/>
      <c r="T12" s="137"/>
      <c r="U12" s="137"/>
      <c r="V12" s="137"/>
      <c r="W12" s="137"/>
      <c r="X12" s="137"/>
      <c r="Y12" s="137"/>
      <c r="Z12" s="137"/>
      <c r="AA12" s="137"/>
    </row>
    <row r="13" spans="1:27" s="138" customFormat="1" ht="51.95" customHeight="1">
      <c r="A13" s="276" t="str">
        <f>"1-210 -"&amp;L13</f>
        <v>1-210 -4</v>
      </c>
      <c r="B13" s="187" t="s">
        <v>1193</v>
      </c>
      <c r="C13" s="295" t="s">
        <v>1528</v>
      </c>
      <c r="D13" s="115">
        <f>VLOOKUP(L13,'210'!A:T,2,0)</f>
        <v>45492</v>
      </c>
      <c r="E13" s="271" t="str">
        <f>M13&amp;M14</f>
        <v>81 M3</v>
      </c>
      <c r="F13" s="115">
        <f>D13</f>
        <v>45492</v>
      </c>
      <c r="G13" s="282"/>
      <c r="H13" s="117" t="str">
        <f>N13&amp;M14</f>
        <v>374 M3</v>
      </c>
      <c r="I13" s="264" t="s">
        <v>48</v>
      </c>
      <c r="J13" s="291" t="str">
        <f t="shared" ref="J13" si="3">IF(R13=0,"上  溢："&amp;S13,IF(Q13=0,"任  泰："&amp;R13&amp;"                 "&amp;"上  溢："&amp;S13,
"水利處："&amp;Q13&amp;"                 "&amp;"任  泰："&amp;R13&amp;"                 "&amp;"上  溢："&amp;S13))</f>
        <v>任  泰：白博文                 上  溢：葉展志</v>
      </c>
      <c r="K13" s="264" t="s">
        <v>546</v>
      </c>
      <c r="L13" s="188">
        <f>L11+1</f>
        <v>4</v>
      </c>
      <c r="M13" s="128">
        <f>VLOOKUP(L13,'210'!A:T,5,0)</f>
        <v>81</v>
      </c>
      <c r="N13" s="128">
        <f>N11+M13</f>
        <v>374</v>
      </c>
      <c r="O13" s="128">
        <f>VLOOKUP(L13,'210'!A:T,6,0)</f>
        <v>1</v>
      </c>
      <c r="P13" s="128">
        <f>P11+O13</f>
        <v>5</v>
      </c>
      <c r="Q13" s="128">
        <f>VLOOKUP(L13,'210'!A:T,18,0)</f>
        <v>0</v>
      </c>
      <c r="R13" s="128" t="str">
        <f>VLOOKUP(L13,'210'!A:T,19,0)</f>
        <v>白博文</v>
      </c>
      <c r="S13" s="128" t="str">
        <f>VLOOKUP(L13,'210'!A:T,20,0)</f>
        <v>葉展志</v>
      </c>
      <c r="T13" s="137"/>
      <c r="U13" s="137"/>
      <c r="V13" s="137"/>
      <c r="W13" s="137"/>
      <c r="X13" s="137"/>
      <c r="Y13" s="137"/>
      <c r="Z13" s="137"/>
      <c r="AA13" s="137"/>
    </row>
    <row r="14" spans="1:27" s="138" customFormat="1" ht="51.95" customHeight="1">
      <c r="A14" s="277"/>
      <c r="B14" s="174" t="s">
        <v>1107</v>
      </c>
      <c r="C14" s="296"/>
      <c r="D14" s="116" t="str">
        <f>M13&amp;M14</f>
        <v>81 M3</v>
      </c>
      <c r="E14" s="272"/>
      <c r="F14" s="117" t="str">
        <f>E13&amp;CHAR(10)&amp;"("&amp;O13&amp;O14&amp;")"</f>
        <v>81 M3
(1組)</v>
      </c>
      <c r="G14" s="282"/>
      <c r="H14" s="117" t="str">
        <f>H13&amp;CHAR(10)&amp;"("&amp;P13&amp;O14&amp;")"</f>
        <v>374 M3
(5組)</v>
      </c>
      <c r="I14" s="266"/>
      <c r="J14" s="292"/>
      <c r="K14" s="298"/>
      <c r="L14" s="127"/>
      <c r="M14" s="127" t="s">
        <v>201</v>
      </c>
      <c r="N14" s="128"/>
      <c r="O14" s="128" t="s">
        <v>204</v>
      </c>
      <c r="P14" s="128"/>
      <c r="Q14" s="128"/>
      <c r="R14" s="128"/>
      <c r="S14" s="128"/>
      <c r="T14" s="137"/>
      <c r="U14" s="137"/>
      <c r="V14" s="137"/>
      <c r="W14" s="137"/>
      <c r="X14" s="137"/>
      <c r="Y14" s="137"/>
      <c r="Z14" s="137"/>
      <c r="AA14" s="137"/>
    </row>
    <row r="15" spans="1:27" s="138" customFormat="1" ht="51.95" customHeight="1">
      <c r="A15" s="276" t="str">
        <f>"1-210 -"&amp;L15</f>
        <v>1-210 -5</v>
      </c>
      <c r="B15" s="187" t="s">
        <v>1193</v>
      </c>
      <c r="C15" s="295" t="s">
        <v>1528</v>
      </c>
      <c r="D15" s="115">
        <f>VLOOKUP(L15,'210'!A:T,2,0)</f>
        <v>45496</v>
      </c>
      <c r="E15" s="271" t="str">
        <f>M15&amp;M16</f>
        <v>188 M3</v>
      </c>
      <c r="F15" s="115">
        <f>D15</f>
        <v>45496</v>
      </c>
      <c r="G15" s="282"/>
      <c r="H15" s="117" t="str">
        <f>N15&amp;M16</f>
        <v>562 M3</v>
      </c>
      <c r="I15" s="264" t="s">
        <v>48</v>
      </c>
      <c r="J15" s="291" t="str">
        <f t="shared" ref="J15" si="4">IF(R15=0,"上  溢："&amp;S15,IF(Q15=0,"任  泰："&amp;R15&amp;"                 "&amp;"上  溢："&amp;S15,
"水利處："&amp;Q15&amp;"                 "&amp;"任  泰："&amp;R15&amp;"                 "&amp;"上  溢："&amp;S15))</f>
        <v>任  泰：白博文                 上  溢：葉展志</v>
      </c>
      <c r="K15" s="264" t="s">
        <v>547</v>
      </c>
      <c r="L15" s="188">
        <f>L13+1</f>
        <v>5</v>
      </c>
      <c r="M15" s="128">
        <f>VLOOKUP(L15,'210'!A:T,5,0)</f>
        <v>188</v>
      </c>
      <c r="N15" s="128">
        <f>N13+M15</f>
        <v>562</v>
      </c>
      <c r="O15" s="128">
        <f>VLOOKUP(L15,'210'!A:T,6,0)</f>
        <v>2</v>
      </c>
      <c r="P15" s="128">
        <f>P13+O15</f>
        <v>7</v>
      </c>
      <c r="Q15" s="128">
        <f>VLOOKUP(L15,'210'!A:T,18,0)</f>
        <v>0</v>
      </c>
      <c r="R15" s="128" t="str">
        <f>VLOOKUP(L15,'210'!A:T,19,0)</f>
        <v>白博文</v>
      </c>
      <c r="S15" s="128" t="str">
        <f>VLOOKUP(L15,'210'!A:T,20,0)</f>
        <v>葉展志</v>
      </c>
      <c r="T15" s="137"/>
      <c r="U15" s="137"/>
      <c r="V15" s="137"/>
      <c r="W15" s="137"/>
      <c r="X15" s="137"/>
      <c r="Y15" s="137"/>
      <c r="Z15" s="137"/>
      <c r="AA15" s="137"/>
    </row>
    <row r="16" spans="1:27" s="138" customFormat="1" ht="51.95" customHeight="1">
      <c r="A16" s="277"/>
      <c r="B16" s="174" t="s">
        <v>1107</v>
      </c>
      <c r="C16" s="296"/>
      <c r="D16" s="116" t="str">
        <f>M15&amp;M16</f>
        <v>188 M3</v>
      </c>
      <c r="E16" s="272"/>
      <c r="F16" s="117" t="str">
        <f>E15&amp;CHAR(10)&amp;"("&amp;O15&amp;O16&amp;")"</f>
        <v>188 M3
(2組)</v>
      </c>
      <c r="G16" s="282"/>
      <c r="H16" s="117" t="str">
        <f>H15&amp;CHAR(10)&amp;"("&amp;P15&amp;O16&amp;")"</f>
        <v>562 M3
(7組)</v>
      </c>
      <c r="I16" s="266"/>
      <c r="J16" s="292"/>
      <c r="K16" s="298"/>
      <c r="L16" s="127"/>
      <c r="M16" s="127" t="s">
        <v>201</v>
      </c>
      <c r="N16" s="128"/>
      <c r="O16" s="128" t="s">
        <v>204</v>
      </c>
      <c r="P16" s="128"/>
      <c r="Q16" s="128"/>
      <c r="R16" s="128"/>
      <c r="S16" s="128"/>
      <c r="T16" s="137"/>
      <c r="U16" s="137"/>
      <c r="V16" s="137"/>
      <c r="W16" s="137"/>
      <c r="X16" s="137"/>
      <c r="Y16" s="137"/>
      <c r="Z16" s="137"/>
      <c r="AA16" s="137"/>
    </row>
    <row r="17" spans="1:27" s="140" customFormat="1" ht="51.95" customHeight="1">
      <c r="A17" s="293" t="str">
        <f>"1-210 -"&amp;L17</f>
        <v>1-210 -6</v>
      </c>
      <c r="B17" s="187" t="s">
        <v>1193</v>
      </c>
      <c r="C17" s="295" t="s">
        <v>1528</v>
      </c>
      <c r="D17" s="115">
        <f>VLOOKUP(L17,'210'!A:T,2,0)</f>
        <v>45523</v>
      </c>
      <c r="E17" s="271" t="str">
        <f>M17&amp;M18</f>
        <v>99 M3</v>
      </c>
      <c r="F17" s="115">
        <f>D17</f>
        <v>45523</v>
      </c>
      <c r="G17" s="282"/>
      <c r="H17" s="184" t="str">
        <f>N17&amp;M18</f>
        <v>661 M3</v>
      </c>
      <c r="I17" s="264" t="s">
        <v>48</v>
      </c>
      <c r="J17" s="291" t="str">
        <f>IF(R17=0,"上  溢："&amp;S17,IF(Q17=0,"任  泰："&amp;R17&amp;"                 "&amp;"上  溢："&amp;S17,
"水利處："&amp;Q17&amp;"                 "&amp;"任  泰："&amp;R17&amp;"                 "&amp;"上  溢："&amp;S17))</f>
        <v>任  泰：白博文                 上  溢：葉展志</v>
      </c>
      <c r="K17" s="264" t="s">
        <v>548</v>
      </c>
      <c r="L17" s="188">
        <f>L15+1</f>
        <v>6</v>
      </c>
      <c r="M17" s="128">
        <f>VLOOKUP(L17,'210'!A:T,5,0)</f>
        <v>99</v>
      </c>
      <c r="N17" s="128">
        <f>N15+M17</f>
        <v>661</v>
      </c>
      <c r="O17" s="128">
        <f>VLOOKUP(L17,'210'!A:T,6,0)</f>
        <v>1</v>
      </c>
      <c r="P17" s="128">
        <f>P15+O17</f>
        <v>8</v>
      </c>
      <c r="Q17" s="128">
        <f>VLOOKUP(L17,'210'!A:T,18,0)</f>
        <v>0</v>
      </c>
      <c r="R17" s="128" t="str">
        <f>VLOOKUP(L17,'210'!A:T,19,0)</f>
        <v>白博文</v>
      </c>
      <c r="S17" s="128" t="str">
        <f>VLOOKUP(L17,'210'!A:T,20,0)</f>
        <v>葉展志</v>
      </c>
      <c r="T17" s="139"/>
      <c r="U17" s="139"/>
      <c r="V17" s="139"/>
      <c r="W17" s="139"/>
      <c r="X17" s="139"/>
      <c r="Y17" s="139"/>
      <c r="Z17" s="139"/>
      <c r="AA17" s="139"/>
    </row>
    <row r="18" spans="1:27" s="140" customFormat="1" ht="51.95" customHeight="1">
      <c r="A18" s="294"/>
      <c r="B18" s="185" t="s">
        <v>1107</v>
      </c>
      <c r="C18" s="296"/>
      <c r="D18" s="116" t="str">
        <f>M17&amp;M18</f>
        <v>99 M3</v>
      </c>
      <c r="E18" s="272"/>
      <c r="F18" s="117" t="str">
        <f>E17&amp;CHAR(10)&amp;"("&amp;O17&amp;O18&amp;")"</f>
        <v>99 M3
(1組)</v>
      </c>
      <c r="G18" s="265"/>
      <c r="H18" s="184" t="str">
        <f>H17&amp;CHAR(10)&amp;"("&amp;P17&amp;O18&amp;")"</f>
        <v>661 M3
(8組)</v>
      </c>
      <c r="I18" s="266"/>
      <c r="J18" s="292"/>
      <c r="K18" s="298"/>
      <c r="L18" s="127"/>
      <c r="M18" s="127" t="s">
        <v>201</v>
      </c>
      <c r="N18" s="128"/>
      <c r="O18" s="128" t="s">
        <v>204</v>
      </c>
      <c r="P18" s="128"/>
      <c r="Q18" s="128"/>
      <c r="R18" s="128"/>
      <c r="S18" s="128"/>
      <c r="T18" s="139"/>
      <c r="U18" s="139"/>
      <c r="V18" s="139"/>
      <c r="W18" s="139"/>
      <c r="X18" s="139"/>
      <c r="Y18" s="139"/>
      <c r="Z18" s="139"/>
      <c r="AA18" s="139"/>
    </row>
    <row r="19" spans="1:27" s="142" customFormat="1" ht="49.5" customHeight="1">
      <c r="A19" s="260" t="s">
        <v>47</v>
      </c>
      <c r="B19" s="261"/>
      <c r="C19" s="262"/>
      <c r="D19" s="260" t="s">
        <v>1753</v>
      </c>
      <c r="E19" s="261"/>
      <c r="F19" s="261"/>
      <c r="G19" s="262"/>
      <c r="H19" s="260" t="s">
        <v>1755</v>
      </c>
      <c r="I19" s="261"/>
      <c r="J19" s="261"/>
      <c r="K19" s="262"/>
      <c r="M19" s="143"/>
      <c r="N19" s="143"/>
      <c r="O19" s="143"/>
      <c r="P19" s="143"/>
      <c r="Q19" s="143"/>
      <c r="R19" s="143"/>
      <c r="S19" s="143"/>
      <c r="T19" s="143"/>
      <c r="U19" s="143"/>
      <c r="V19" s="143"/>
      <c r="W19" s="143"/>
      <c r="X19" s="143"/>
      <c r="Y19" s="143"/>
      <c r="Z19" s="143"/>
      <c r="AA19" s="143"/>
    </row>
    <row r="20" spans="1:27" s="142" customFormat="1" ht="54" customHeight="1">
      <c r="A20" s="263" t="s">
        <v>1147</v>
      </c>
      <c r="B20" s="263"/>
      <c r="C20" s="263"/>
      <c r="D20" s="263"/>
      <c r="E20" s="263"/>
      <c r="F20" s="263"/>
      <c r="G20" s="263"/>
      <c r="H20" s="263"/>
      <c r="I20" s="263"/>
      <c r="J20" s="263"/>
      <c r="K20" s="263"/>
      <c r="M20" s="143"/>
      <c r="N20" s="143"/>
      <c r="O20" s="143"/>
      <c r="P20" s="143"/>
      <c r="Q20" s="143"/>
      <c r="R20" s="143"/>
      <c r="S20" s="143"/>
      <c r="T20" s="143"/>
      <c r="U20" s="143"/>
      <c r="V20" s="143"/>
      <c r="W20" s="143"/>
      <c r="X20" s="143"/>
      <c r="Y20" s="143"/>
      <c r="Z20" s="143"/>
      <c r="AA20" s="143"/>
    </row>
    <row r="21" spans="1:27" s="138" customFormat="1" ht="51.95" customHeight="1">
      <c r="A21" s="293" t="str">
        <f>"1-210 -"&amp;L21</f>
        <v>1-210 -7</v>
      </c>
      <c r="B21" s="187" t="s">
        <v>1193</v>
      </c>
      <c r="C21" s="295" t="s">
        <v>1528</v>
      </c>
      <c r="D21" s="115">
        <f>VLOOKUP(L21,'210'!A:T,2,0)</f>
        <v>45526</v>
      </c>
      <c r="E21" s="271" t="str">
        <f>M21&amp;M22</f>
        <v>99 M3</v>
      </c>
      <c r="F21" s="115">
        <f>D21</f>
        <v>45526</v>
      </c>
      <c r="G21" s="264" t="s">
        <v>145</v>
      </c>
      <c r="H21" s="184" t="str">
        <f>N21&amp;M22</f>
        <v>760 M3</v>
      </c>
      <c r="I21" s="264" t="s">
        <v>48</v>
      </c>
      <c r="J21" s="291" t="str">
        <f>IF(R21=0,"上  溢："&amp;S21,IF(Q21=0,"任  泰："&amp;R21&amp;"                 "&amp;"上  溢："&amp;S21,
"水利處："&amp;Q21&amp;"                 "&amp;"任  泰："&amp;R21&amp;"                 "&amp;"上  溢："&amp;S21))</f>
        <v>上  溢：葉展志</v>
      </c>
      <c r="K21" s="264" t="s">
        <v>549</v>
      </c>
      <c r="L21" s="188">
        <f>L17+1</f>
        <v>7</v>
      </c>
      <c r="M21" s="128">
        <f>VLOOKUP(L21,'210'!A:T,5,0)</f>
        <v>99</v>
      </c>
      <c r="N21" s="128">
        <f>N17+M21</f>
        <v>760</v>
      </c>
      <c r="O21" s="128">
        <f>VLOOKUP(L21,'210'!A:T,6,0)</f>
        <v>1</v>
      </c>
      <c r="P21" s="128">
        <f>P17+O21</f>
        <v>9</v>
      </c>
      <c r="Q21" s="128">
        <f>VLOOKUP(L21,'210'!A:T,18,0)</f>
        <v>0</v>
      </c>
      <c r="R21" s="128">
        <f>VLOOKUP(L21,'210'!A:T,19,0)</f>
        <v>0</v>
      </c>
      <c r="S21" s="128" t="str">
        <f>VLOOKUP(L21,'210'!A:T,20,0)</f>
        <v>葉展志</v>
      </c>
      <c r="T21" s="137"/>
      <c r="U21" s="137"/>
      <c r="V21" s="137"/>
      <c r="W21" s="137"/>
      <c r="X21" s="137"/>
      <c r="Y21" s="137"/>
      <c r="Z21" s="137"/>
      <c r="AA21" s="137"/>
    </row>
    <row r="22" spans="1:27" s="138" customFormat="1" ht="51.95" customHeight="1">
      <c r="A22" s="294"/>
      <c r="B22" s="185" t="s">
        <v>71</v>
      </c>
      <c r="C22" s="296"/>
      <c r="D22" s="116" t="str">
        <f>M21&amp;M22</f>
        <v>99 M3</v>
      </c>
      <c r="E22" s="272"/>
      <c r="F22" s="117" t="str">
        <f>E21&amp;CHAR(10)&amp;"("&amp;O21&amp;O22&amp;")"</f>
        <v>99 M3
(1組)</v>
      </c>
      <c r="G22" s="282"/>
      <c r="H22" s="184" t="str">
        <f>H21&amp;CHAR(10)&amp;"("&amp;P21&amp;O22&amp;")"</f>
        <v>760 M3
(9組)</v>
      </c>
      <c r="I22" s="266"/>
      <c r="J22" s="292"/>
      <c r="K22" s="298"/>
      <c r="L22" s="127"/>
      <c r="M22" s="127" t="s">
        <v>201</v>
      </c>
      <c r="N22" s="128"/>
      <c r="O22" s="128" t="s">
        <v>204</v>
      </c>
      <c r="P22" s="128"/>
      <c r="Q22" s="128"/>
      <c r="R22" s="128"/>
      <c r="S22" s="128"/>
      <c r="T22" s="137"/>
      <c r="U22" s="137"/>
      <c r="V22" s="137"/>
      <c r="W22" s="137"/>
      <c r="X22" s="137"/>
      <c r="Y22" s="137"/>
      <c r="Z22" s="137"/>
      <c r="AA22" s="137"/>
    </row>
    <row r="23" spans="1:27" s="138" customFormat="1" ht="51.95" customHeight="1">
      <c r="A23" s="293" t="str">
        <f>"1-210 -"&amp;L23</f>
        <v>1-210 -8</v>
      </c>
      <c r="B23" s="187" t="s">
        <v>1193</v>
      </c>
      <c r="C23" s="295" t="s">
        <v>1528</v>
      </c>
      <c r="D23" s="115">
        <f>VLOOKUP(L23,'210'!A:T,2,0)</f>
        <v>45531</v>
      </c>
      <c r="E23" s="271" t="str">
        <f>M23&amp;M24</f>
        <v>99 M3</v>
      </c>
      <c r="F23" s="115">
        <f>D23</f>
        <v>45531</v>
      </c>
      <c r="G23" s="282"/>
      <c r="H23" s="184" t="str">
        <f>N23&amp;M24</f>
        <v>859 M3</v>
      </c>
      <c r="I23" s="264" t="s">
        <v>48</v>
      </c>
      <c r="J23" s="291" t="str">
        <f>IF(R23=0,"上  溢："&amp;S23,IF(Q23=0,"任  泰："&amp;R23&amp;"                 "&amp;"上  溢："&amp;S23,
"水利處："&amp;Q23&amp;"                 "&amp;"任  泰："&amp;R23&amp;"                 "&amp;"上  溢："&amp;S23))</f>
        <v>上  溢：葉展志</v>
      </c>
      <c r="K23" s="264" t="s">
        <v>550</v>
      </c>
      <c r="L23" s="188">
        <f>L21+1</f>
        <v>8</v>
      </c>
      <c r="M23" s="128">
        <f>VLOOKUP(L23,'210'!A:T,5,0)</f>
        <v>99</v>
      </c>
      <c r="N23" s="128">
        <f>N21+M23</f>
        <v>859</v>
      </c>
      <c r="O23" s="128">
        <f>VLOOKUP(L23,'210'!A:T,6,0)</f>
        <v>1</v>
      </c>
      <c r="P23" s="128">
        <f>P21+O23</f>
        <v>10</v>
      </c>
      <c r="Q23" s="128">
        <f>VLOOKUP(L23,'210'!A:T,18,0)</f>
        <v>0</v>
      </c>
      <c r="R23" s="128">
        <f>VLOOKUP(L23,'210'!A:T,19,0)</f>
        <v>0</v>
      </c>
      <c r="S23" s="128" t="str">
        <f>VLOOKUP(L23,'210'!A:T,20,0)</f>
        <v>葉展志</v>
      </c>
      <c r="T23" s="137"/>
      <c r="U23" s="137"/>
      <c r="V23" s="137"/>
      <c r="W23" s="137"/>
      <c r="X23" s="137"/>
      <c r="Y23" s="137"/>
      <c r="Z23" s="137"/>
      <c r="AA23" s="137"/>
    </row>
    <row r="24" spans="1:27" s="138" customFormat="1" ht="51.95" customHeight="1">
      <c r="A24" s="294"/>
      <c r="B24" s="185" t="s">
        <v>1107</v>
      </c>
      <c r="C24" s="296"/>
      <c r="D24" s="116" t="str">
        <f>M23&amp;M24</f>
        <v>99 M3</v>
      </c>
      <c r="E24" s="272"/>
      <c r="F24" s="117" t="str">
        <f>E23&amp;CHAR(10)&amp;"("&amp;O23&amp;O24&amp;")"</f>
        <v>99 M3
(1組)</v>
      </c>
      <c r="G24" s="282"/>
      <c r="H24" s="184" t="str">
        <f>H23&amp;CHAR(10)&amp;"("&amp;P23&amp;O24&amp;")"</f>
        <v>859 M3
(10組)</v>
      </c>
      <c r="I24" s="266"/>
      <c r="J24" s="292"/>
      <c r="K24" s="298"/>
      <c r="L24" s="127"/>
      <c r="M24" s="127" t="s">
        <v>201</v>
      </c>
      <c r="N24" s="128"/>
      <c r="O24" s="128" t="s">
        <v>204</v>
      </c>
      <c r="P24" s="128"/>
      <c r="Q24" s="128"/>
      <c r="R24" s="128"/>
      <c r="S24" s="128"/>
      <c r="T24" s="137"/>
      <c r="U24" s="137"/>
      <c r="V24" s="137"/>
      <c r="W24" s="137"/>
      <c r="X24" s="137"/>
      <c r="Y24" s="137"/>
      <c r="Z24" s="137"/>
      <c r="AA24" s="137"/>
    </row>
    <row r="25" spans="1:27" s="138" customFormat="1" ht="51.95" customHeight="1">
      <c r="A25" s="293" t="str">
        <f>"1-210 -"&amp;L25</f>
        <v>1-210 -9</v>
      </c>
      <c r="B25" s="187" t="s">
        <v>1193</v>
      </c>
      <c r="C25" s="295" t="s">
        <v>1528</v>
      </c>
      <c r="D25" s="115">
        <f>VLOOKUP(L25,'210'!A:T,2,0)</f>
        <v>45532</v>
      </c>
      <c r="E25" s="271" t="str">
        <f>M25&amp;M26</f>
        <v>95 M3</v>
      </c>
      <c r="F25" s="115">
        <f>D25</f>
        <v>45532</v>
      </c>
      <c r="G25" s="282"/>
      <c r="H25" s="184" t="str">
        <f>N25&amp;M26</f>
        <v>954 M3</v>
      </c>
      <c r="I25" s="264" t="s">
        <v>48</v>
      </c>
      <c r="J25" s="291" t="str">
        <f>IF(R25=0,"上  溢："&amp;S25,IF(Q25=0,"任  泰："&amp;R25&amp;"                 "&amp;"上  溢："&amp;S25,
"水利處："&amp;Q25&amp;"                 "&amp;"任  泰："&amp;R25&amp;"                 "&amp;"上  溢："&amp;S25))</f>
        <v>任  泰：王淑慧                 上  溢：康祐銓</v>
      </c>
      <c r="K25" s="264" t="s">
        <v>551</v>
      </c>
      <c r="L25" s="188">
        <f>L23+1</f>
        <v>9</v>
      </c>
      <c r="M25" s="128">
        <f>VLOOKUP(L25,'210'!A:T,5,0)</f>
        <v>95</v>
      </c>
      <c r="N25" s="128">
        <f>N23+M25</f>
        <v>954</v>
      </c>
      <c r="O25" s="128">
        <f>VLOOKUP(L25,'210'!A:T,6,0)</f>
        <v>1</v>
      </c>
      <c r="P25" s="128">
        <f>P23+O25</f>
        <v>11</v>
      </c>
      <c r="Q25" s="128">
        <f>VLOOKUP(L25,'210'!A:T,18,0)</f>
        <v>0</v>
      </c>
      <c r="R25" s="128" t="str">
        <f>VLOOKUP(L25,'210'!A:T,19,0)</f>
        <v>王淑慧</v>
      </c>
      <c r="S25" s="128" t="str">
        <f>VLOOKUP(L25,'210'!A:T,20,0)</f>
        <v>康祐銓</v>
      </c>
      <c r="T25" s="137"/>
      <c r="U25" s="137"/>
      <c r="V25" s="137"/>
      <c r="W25" s="137"/>
      <c r="X25" s="137"/>
      <c r="Y25" s="137"/>
      <c r="Z25" s="137"/>
      <c r="AA25" s="137"/>
    </row>
    <row r="26" spans="1:27" s="138" customFormat="1" ht="51.95" customHeight="1">
      <c r="A26" s="294"/>
      <c r="B26" s="185" t="s">
        <v>1107</v>
      </c>
      <c r="C26" s="296"/>
      <c r="D26" s="116" t="str">
        <f>M25&amp;M26</f>
        <v>95 M3</v>
      </c>
      <c r="E26" s="272"/>
      <c r="F26" s="117" t="str">
        <f>E25&amp;CHAR(10)&amp;"("&amp;O25&amp;O26&amp;")"</f>
        <v>95 M3
(1組)</v>
      </c>
      <c r="G26" s="282"/>
      <c r="H26" s="184" t="str">
        <f>H25&amp;CHAR(10)&amp;"("&amp;P25&amp;O26&amp;")"</f>
        <v>954 M3
(11組)</v>
      </c>
      <c r="I26" s="266"/>
      <c r="J26" s="292"/>
      <c r="K26" s="298"/>
      <c r="L26" s="127"/>
      <c r="M26" s="127" t="s">
        <v>201</v>
      </c>
      <c r="N26" s="128"/>
      <c r="O26" s="128" t="s">
        <v>204</v>
      </c>
      <c r="P26" s="128"/>
      <c r="Q26" s="128"/>
      <c r="R26" s="128"/>
      <c r="S26" s="128"/>
      <c r="T26" s="137"/>
      <c r="U26" s="137"/>
      <c r="V26" s="137"/>
      <c r="W26" s="137"/>
      <c r="X26" s="137"/>
      <c r="Y26" s="137"/>
      <c r="Z26" s="137"/>
      <c r="AA26" s="137"/>
    </row>
    <row r="27" spans="1:27" s="140" customFormat="1" ht="51.95" customHeight="1">
      <c r="A27" s="293" t="str">
        <f>"1-210 -"&amp;L27</f>
        <v>1-210 -10</v>
      </c>
      <c r="B27" s="187" t="s">
        <v>1193</v>
      </c>
      <c r="C27" s="295" t="s">
        <v>1528</v>
      </c>
      <c r="D27" s="115">
        <f>VLOOKUP(L27,'210'!A:T,2,0)</f>
        <v>45534</v>
      </c>
      <c r="E27" s="271" t="str">
        <f>M27&amp;M28</f>
        <v>99 M3</v>
      </c>
      <c r="F27" s="115">
        <f>D27</f>
        <v>45534</v>
      </c>
      <c r="G27" s="282"/>
      <c r="H27" s="184" t="str">
        <f>N27&amp;M28</f>
        <v>1053 M3</v>
      </c>
      <c r="I27" s="264" t="s">
        <v>48</v>
      </c>
      <c r="J27" s="291" t="str">
        <f>IF(R27=0,"上  溢："&amp;S27,IF(Q27=0,"任  泰："&amp;R27&amp;"                 "&amp;"上  溢："&amp;S27,
"水利處："&amp;Q27&amp;"                 "&amp;"任  泰："&amp;R27&amp;"                 "&amp;"上  溢："&amp;S27))</f>
        <v>上  溢：葉展志</v>
      </c>
      <c r="K27" s="264" t="s">
        <v>552</v>
      </c>
      <c r="L27" s="188">
        <f>L25+1</f>
        <v>10</v>
      </c>
      <c r="M27" s="128">
        <f>VLOOKUP(L27,'210'!A:T,5,0)</f>
        <v>99</v>
      </c>
      <c r="N27" s="128">
        <f>N25+M27</f>
        <v>1053</v>
      </c>
      <c r="O27" s="128">
        <f>VLOOKUP(L27,'210'!A:T,6,0)</f>
        <v>1</v>
      </c>
      <c r="P27" s="128">
        <f>P25+O27</f>
        <v>12</v>
      </c>
      <c r="Q27" s="128">
        <f>VLOOKUP(L27,'210'!A:T,18,0)</f>
        <v>0</v>
      </c>
      <c r="R27" s="128">
        <f>VLOOKUP(L27,'210'!A:T,19,0)</f>
        <v>0</v>
      </c>
      <c r="S27" s="128" t="str">
        <f>VLOOKUP(L27,'210'!A:T,20,0)</f>
        <v>葉展志</v>
      </c>
      <c r="T27" s="139"/>
      <c r="U27" s="139"/>
      <c r="V27" s="139"/>
      <c r="W27" s="139"/>
      <c r="X27" s="139"/>
      <c r="Y27" s="139"/>
      <c r="Z27" s="139"/>
      <c r="AA27" s="139"/>
    </row>
    <row r="28" spans="1:27" s="140" customFormat="1" ht="51.95" customHeight="1">
      <c r="A28" s="294"/>
      <c r="B28" s="185" t="s">
        <v>71</v>
      </c>
      <c r="C28" s="296"/>
      <c r="D28" s="116" t="str">
        <f>M27&amp;M28</f>
        <v>99 M3</v>
      </c>
      <c r="E28" s="272"/>
      <c r="F28" s="117" t="str">
        <f>E27&amp;CHAR(10)&amp;"("&amp;O27&amp;O28&amp;")"</f>
        <v>99 M3
(1組)</v>
      </c>
      <c r="G28" s="282"/>
      <c r="H28" s="184" t="str">
        <f>H27&amp;CHAR(10)&amp;"("&amp;P27&amp;O28&amp;")"</f>
        <v>1053 M3
(12組)</v>
      </c>
      <c r="I28" s="266"/>
      <c r="J28" s="292"/>
      <c r="K28" s="298"/>
      <c r="L28" s="127"/>
      <c r="M28" s="127" t="s">
        <v>201</v>
      </c>
      <c r="N28" s="128"/>
      <c r="O28" s="128" t="s">
        <v>204</v>
      </c>
      <c r="P28" s="128"/>
      <c r="Q28" s="128"/>
      <c r="R28" s="128"/>
      <c r="S28" s="128"/>
      <c r="T28" s="139"/>
      <c r="U28" s="139"/>
      <c r="V28" s="139"/>
      <c r="W28" s="139"/>
      <c r="X28" s="139"/>
      <c r="Y28" s="139"/>
      <c r="Z28" s="139"/>
      <c r="AA28" s="139"/>
    </row>
    <row r="29" spans="1:27" s="138" customFormat="1" ht="51.95" customHeight="1">
      <c r="A29" s="293" t="str">
        <f>"1-210 -"&amp;L29</f>
        <v>1-210 -11</v>
      </c>
      <c r="B29" s="187" t="s">
        <v>1193</v>
      </c>
      <c r="C29" s="295" t="s">
        <v>1528</v>
      </c>
      <c r="D29" s="115">
        <f>VLOOKUP(L29,'210'!A:T,2,0)</f>
        <v>45540</v>
      </c>
      <c r="E29" s="271" t="str">
        <f>M29&amp;M30</f>
        <v>99 M3</v>
      </c>
      <c r="F29" s="115">
        <f>D29</f>
        <v>45540</v>
      </c>
      <c r="G29" s="282"/>
      <c r="H29" s="184" t="str">
        <f>N29&amp;M30</f>
        <v>1152 M3</v>
      </c>
      <c r="I29" s="264" t="s">
        <v>48</v>
      </c>
      <c r="J29" s="291" t="str">
        <f>IF(R29=0,"上  溢："&amp;S29,IF(Q29=0,"任  泰："&amp;R29&amp;"                 "&amp;"上  溢："&amp;S29,
"水利處："&amp;Q29&amp;"                 "&amp;"任  泰："&amp;R29&amp;"                 "&amp;"上  溢："&amp;S29))</f>
        <v>上  溢：葉展志</v>
      </c>
      <c r="K29" s="264" t="s">
        <v>616</v>
      </c>
      <c r="L29" s="188">
        <f>L27+1</f>
        <v>11</v>
      </c>
      <c r="M29" s="128">
        <f>VLOOKUP(L29,'210'!A:T,5,0)</f>
        <v>99</v>
      </c>
      <c r="N29" s="128">
        <f>N27+M29</f>
        <v>1152</v>
      </c>
      <c r="O29" s="128">
        <f>VLOOKUP(L29,'210'!A:T,6,0)</f>
        <v>1</v>
      </c>
      <c r="P29" s="128">
        <f>P27+O29</f>
        <v>13</v>
      </c>
      <c r="Q29" s="128">
        <f>VLOOKUP(L29,'210'!A:T,18,0)</f>
        <v>0</v>
      </c>
      <c r="R29" s="128">
        <f>VLOOKUP(L29,'210'!A:T,19,0)</f>
        <v>0</v>
      </c>
      <c r="S29" s="128" t="str">
        <f>VLOOKUP(L29,'210'!A:T,20,0)</f>
        <v>葉展志</v>
      </c>
      <c r="T29" s="137"/>
      <c r="U29" s="137"/>
      <c r="V29" s="137"/>
      <c r="W29" s="137"/>
      <c r="X29" s="137"/>
      <c r="Y29" s="137"/>
      <c r="Z29" s="137"/>
      <c r="AA29" s="137"/>
    </row>
    <row r="30" spans="1:27" s="138" customFormat="1" ht="51.95" customHeight="1">
      <c r="A30" s="294"/>
      <c r="B30" s="185" t="s">
        <v>1107</v>
      </c>
      <c r="C30" s="296"/>
      <c r="D30" s="116" t="str">
        <f>M29&amp;M30</f>
        <v>99 M3</v>
      </c>
      <c r="E30" s="272"/>
      <c r="F30" s="117" t="str">
        <f>E29&amp;CHAR(10)&amp;"("&amp;O29&amp;O30&amp;")"</f>
        <v>99 M3
(1組)</v>
      </c>
      <c r="G30" s="282"/>
      <c r="H30" s="184" t="str">
        <f>H29&amp;CHAR(10)&amp;"("&amp;P29&amp;O30&amp;")"</f>
        <v>1152 M3
(13組)</v>
      </c>
      <c r="I30" s="266"/>
      <c r="J30" s="292"/>
      <c r="K30" s="298"/>
      <c r="L30" s="127"/>
      <c r="M30" s="127" t="s">
        <v>201</v>
      </c>
      <c r="N30" s="128"/>
      <c r="O30" s="128" t="s">
        <v>204</v>
      </c>
      <c r="P30" s="128"/>
      <c r="Q30" s="128"/>
      <c r="R30" s="128"/>
      <c r="S30" s="128"/>
      <c r="T30" s="137"/>
      <c r="U30" s="137"/>
      <c r="V30" s="137"/>
      <c r="W30" s="137"/>
      <c r="X30" s="137"/>
      <c r="Y30" s="137"/>
      <c r="Z30" s="137"/>
      <c r="AA30" s="137"/>
    </row>
    <row r="31" spans="1:27" s="138" customFormat="1" ht="51.95" customHeight="1">
      <c r="A31" s="293" t="str">
        <f>"1-210 -"&amp;L31</f>
        <v>1-210 -12</v>
      </c>
      <c r="B31" s="187" t="s">
        <v>1193</v>
      </c>
      <c r="C31" s="295" t="s">
        <v>1528</v>
      </c>
      <c r="D31" s="115">
        <f>VLOOKUP(L31,'210'!A:T,2,0)</f>
        <v>45544</v>
      </c>
      <c r="E31" s="271" t="str">
        <f>M31&amp;M32</f>
        <v>99 M3</v>
      </c>
      <c r="F31" s="115">
        <f>D31</f>
        <v>45544</v>
      </c>
      <c r="G31" s="282"/>
      <c r="H31" s="184" t="str">
        <f>N31&amp;M32</f>
        <v>1251 M3</v>
      </c>
      <c r="I31" s="264" t="s">
        <v>48</v>
      </c>
      <c r="J31" s="291" t="str">
        <f>IF(R31=0,"上  溢："&amp;S31,IF(Q31=0,"任  泰："&amp;R31&amp;"                 "&amp;"上  溢："&amp;S31,
"水利處："&amp;Q31&amp;"                 "&amp;"任  泰："&amp;R31&amp;"                 "&amp;"上  溢："&amp;S31))</f>
        <v>上  溢：康祐銓</v>
      </c>
      <c r="K31" s="264" t="s">
        <v>617</v>
      </c>
      <c r="L31" s="188">
        <f>L29+1</f>
        <v>12</v>
      </c>
      <c r="M31" s="128">
        <f>VLOOKUP(L31,'210'!A:T,5,0)</f>
        <v>99</v>
      </c>
      <c r="N31" s="128">
        <f>N29+M31</f>
        <v>1251</v>
      </c>
      <c r="O31" s="128">
        <f>VLOOKUP(L31,'210'!A:T,6,0)</f>
        <v>1</v>
      </c>
      <c r="P31" s="128">
        <f>P29+O31</f>
        <v>14</v>
      </c>
      <c r="Q31" s="128">
        <f>VLOOKUP(L31,'210'!A:T,18,0)</f>
        <v>0</v>
      </c>
      <c r="R31" s="128">
        <f>VLOOKUP(L31,'210'!A:T,19,0)</f>
        <v>0</v>
      </c>
      <c r="S31" s="128" t="str">
        <f>VLOOKUP(L31,'210'!A:T,20,0)</f>
        <v>康祐銓</v>
      </c>
      <c r="T31" s="137"/>
      <c r="U31" s="137"/>
      <c r="V31" s="137"/>
      <c r="W31" s="137"/>
      <c r="X31" s="137"/>
      <c r="Y31" s="137"/>
      <c r="Z31" s="137"/>
      <c r="AA31" s="137"/>
    </row>
    <row r="32" spans="1:27" s="138" customFormat="1" ht="51.95" customHeight="1">
      <c r="A32" s="294"/>
      <c r="B32" s="185" t="s">
        <v>1107</v>
      </c>
      <c r="C32" s="296"/>
      <c r="D32" s="116" t="str">
        <f>M31&amp;M32</f>
        <v>99 M3</v>
      </c>
      <c r="E32" s="272"/>
      <c r="F32" s="117" t="str">
        <f>E31&amp;CHAR(10)&amp;"("&amp;O31&amp;O32&amp;")"</f>
        <v>99 M3
(1組)</v>
      </c>
      <c r="G32" s="265"/>
      <c r="H32" s="184" t="str">
        <f>H31&amp;CHAR(10)&amp;"("&amp;P31&amp;O32&amp;")"</f>
        <v>1251 M3
(14組)</v>
      </c>
      <c r="I32" s="266"/>
      <c r="J32" s="292"/>
      <c r="K32" s="298"/>
      <c r="L32" s="127"/>
      <c r="M32" s="127" t="s">
        <v>201</v>
      </c>
      <c r="N32" s="128"/>
      <c r="O32" s="128" t="s">
        <v>204</v>
      </c>
      <c r="P32" s="128"/>
      <c r="Q32" s="128"/>
      <c r="R32" s="128"/>
      <c r="S32" s="128"/>
      <c r="T32" s="137"/>
      <c r="U32" s="137"/>
      <c r="V32" s="137"/>
      <c r="W32" s="137"/>
      <c r="X32" s="137"/>
      <c r="Y32" s="137"/>
      <c r="Z32" s="137"/>
      <c r="AA32" s="137"/>
    </row>
    <row r="33" spans="1:27" s="142" customFormat="1" ht="49.5" customHeight="1">
      <c r="A33" s="260" t="s">
        <v>47</v>
      </c>
      <c r="B33" s="261"/>
      <c r="C33" s="262"/>
      <c r="D33" s="260" t="s">
        <v>1753</v>
      </c>
      <c r="E33" s="261"/>
      <c r="F33" s="261"/>
      <c r="G33" s="262"/>
      <c r="H33" s="260" t="s">
        <v>1755</v>
      </c>
      <c r="I33" s="261"/>
      <c r="J33" s="261"/>
      <c r="K33" s="262"/>
      <c r="M33" s="143"/>
      <c r="N33" s="143"/>
      <c r="O33" s="143"/>
      <c r="P33" s="143"/>
      <c r="Q33" s="143"/>
      <c r="R33" s="143"/>
      <c r="S33" s="143"/>
      <c r="T33" s="143"/>
      <c r="U33" s="143"/>
      <c r="V33" s="143"/>
      <c r="W33" s="143"/>
      <c r="X33" s="143"/>
      <c r="Y33" s="143"/>
      <c r="Z33" s="143"/>
      <c r="AA33" s="143"/>
    </row>
    <row r="34" spans="1:27" s="142" customFormat="1" ht="54" customHeight="1">
      <c r="A34" s="263" t="s">
        <v>1147</v>
      </c>
      <c r="B34" s="263"/>
      <c r="C34" s="263"/>
      <c r="D34" s="263"/>
      <c r="E34" s="263"/>
      <c r="F34" s="263"/>
      <c r="G34" s="263"/>
      <c r="H34" s="263"/>
      <c r="I34" s="263"/>
      <c r="J34" s="263"/>
      <c r="K34" s="263"/>
      <c r="M34" s="143"/>
      <c r="N34" s="143"/>
      <c r="O34" s="143"/>
      <c r="P34" s="143"/>
      <c r="Q34" s="143"/>
      <c r="R34" s="143"/>
      <c r="S34" s="143"/>
      <c r="T34" s="143"/>
      <c r="U34" s="143"/>
      <c r="V34" s="143"/>
      <c r="W34" s="143"/>
      <c r="X34" s="143"/>
      <c r="Y34" s="143"/>
      <c r="Z34" s="143"/>
      <c r="AA34" s="143"/>
    </row>
    <row r="35" spans="1:27" s="138" customFormat="1" ht="51.95" customHeight="1">
      <c r="A35" s="293" t="str">
        <f>"1-210 -"&amp;L35</f>
        <v>1-210 -13</v>
      </c>
      <c r="B35" s="187" t="s">
        <v>1193</v>
      </c>
      <c r="C35" s="295" t="s">
        <v>1528</v>
      </c>
      <c r="D35" s="115">
        <f>VLOOKUP(L35,'210'!A:T,2,0)</f>
        <v>45545</v>
      </c>
      <c r="E35" s="271" t="str">
        <f>M35&amp;M36</f>
        <v>95 M3</v>
      </c>
      <c r="F35" s="115">
        <f>D35</f>
        <v>45545</v>
      </c>
      <c r="G35" s="264" t="s">
        <v>145</v>
      </c>
      <c r="H35" s="184" t="str">
        <f>N35&amp;M36</f>
        <v>1346 M3</v>
      </c>
      <c r="I35" s="264" t="s">
        <v>48</v>
      </c>
      <c r="J35" s="291" t="str">
        <f>IF(R35=0,"上  溢："&amp;S35,IF(Q35=0,"任  泰："&amp;R35&amp;"                 "&amp;"上  溢："&amp;S35,
"水利處："&amp;Q35&amp;"                 "&amp;"任  泰："&amp;R35&amp;"                 "&amp;"上  溢："&amp;S35))</f>
        <v>上  溢：葉展志</v>
      </c>
      <c r="K35" s="264" t="s">
        <v>628</v>
      </c>
      <c r="L35" s="188">
        <f>L31+1</f>
        <v>13</v>
      </c>
      <c r="M35" s="128">
        <f>VLOOKUP(L35,'210'!A:T,5,0)</f>
        <v>95</v>
      </c>
      <c r="N35" s="128">
        <f>N31+M35</f>
        <v>1346</v>
      </c>
      <c r="O35" s="128">
        <f>VLOOKUP(L35,'210'!A:T,6,0)</f>
        <v>1</v>
      </c>
      <c r="P35" s="128">
        <f>P31+O35</f>
        <v>15</v>
      </c>
      <c r="Q35" s="128">
        <f>VLOOKUP(L35,'210'!A:T,18,0)</f>
        <v>0</v>
      </c>
      <c r="R35" s="128">
        <f>VLOOKUP(L35,'210'!A:T,19,0)</f>
        <v>0</v>
      </c>
      <c r="S35" s="128" t="str">
        <f>VLOOKUP(L35,'210'!A:T,20,0)</f>
        <v>葉展志</v>
      </c>
      <c r="T35" s="137"/>
      <c r="U35" s="137"/>
      <c r="V35" s="137"/>
      <c r="W35" s="137"/>
      <c r="X35" s="137"/>
      <c r="Y35" s="137"/>
      <c r="Z35" s="137"/>
      <c r="AA35" s="137"/>
    </row>
    <row r="36" spans="1:27" s="138" customFormat="1" ht="51.95" customHeight="1">
      <c r="A36" s="294"/>
      <c r="B36" s="185" t="s">
        <v>71</v>
      </c>
      <c r="C36" s="296"/>
      <c r="D36" s="116" t="str">
        <f>M35&amp;M36</f>
        <v>95 M3</v>
      </c>
      <c r="E36" s="272"/>
      <c r="F36" s="117" t="str">
        <f>E35&amp;CHAR(10)&amp;"("&amp;O35&amp;O36&amp;")"</f>
        <v>95 M3
(1組)</v>
      </c>
      <c r="G36" s="282"/>
      <c r="H36" s="184" t="str">
        <f>H35&amp;CHAR(10)&amp;"("&amp;P35&amp;O36&amp;")"</f>
        <v>1346 M3
(15組)</v>
      </c>
      <c r="I36" s="266"/>
      <c r="J36" s="292"/>
      <c r="K36" s="298"/>
      <c r="L36" s="127"/>
      <c r="M36" s="127" t="s">
        <v>201</v>
      </c>
      <c r="N36" s="128"/>
      <c r="O36" s="128" t="s">
        <v>204</v>
      </c>
      <c r="P36" s="128"/>
      <c r="Q36" s="128"/>
      <c r="R36" s="128"/>
      <c r="S36" s="128"/>
      <c r="T36" s="137"/>
      <c r="U36" s="137"/>
      <c r="V36" s="137"/>
      <c r="W36" s="137"/>
      <c r="X36" s="137"/>
      <c r="Y36" s="137"/>
      <c r="Z36" s="137"/>
      <c r="AA36" s="137"/>
    </row>
    <row r="37" spans="1:27" s="140" customFormat="1" ht="51.95" customHeight="1">
      <c r="A37" s="293" t="str">
        <f>"1-210 -"&amp;L37</f>
        <v>1-210 -14</v>
      </c>
      <c r="B37" s="187" t="s">
        <v>1193</v>
      </c>
      <c r="C37" s="295" t="s">
        <v>1528</v>
      </c>
      <c r="D37" s="115">
        <f>VLOOKUP(L37,'210'!A:T,2,0)</f>
        <v>45549</v>
      </c>
      <c r="E37" s="271" t="str">
        <f>M37&amp;M38</f>
        <v>52 M3</v>
      </c>
      <c r="F37" s="115">
        <f>D37</f>
        <v>45549</v>
      </c>
      <c r="G37" s="282"/>
      <c r="H37" s="184" t="str">
        <f>N37&amp;M38</f>
        <v>1398 M3</v>
      </c>
      <c r="I37" s="264" t="s">
        <v>48</v>
      </c>
      <c r="J37" s="291" t="str">
        <f>IF(R37=0,"上  溢："&amp;S37,IF(Q37=0,"任  泰："&amp;R37&amp;"                 "&amp;"上  溢："&amp;S37,
"水利處："&amp;Q37&amp;"                 "&amp;"任  泰："&amp;R37&amp;"                 "&amp;"上  溢："&amp;S37))</f>
        <v>上  溢：葉展志</v>
      </c>
      <c r="K37" s="264" t="s">
        <v>629</v>
      </c>
      <c r="L37" s="188">
        <f>L35+1</f>
        <v>14</v>
      </c>
      <c r="M37" s="128">
        <f>VLOOKUP(L37,'210'!A:T,5,0)</f>
        <v>52</v>
      </c>
      <c r="N37" s="128">
        <f>N35+M37</f>
        <v>1398</v>
      </c>
      <c r="O37" s="128">
        <f>VLOOKUP(L37,'210'!A:T,6,0)</f>
        <v>1</v>
      </c>
      <c r="P37" s="128">
        <f>P35+O37</f>
        <v>16</v>
      </c>
      <c r="Q37" s="128">
        <f>VLOOKUP(L37,'210'!A:T,18,0)</f>
        <v>0</v>
      </c>
      <c r="R37" s="128">
        <f>VLOOKUP(L37,'210'!A:T,19,0)</f>
        <v>0</v>
      </c>
      <c r="S37" s="128" t="str">
        <f>VLOOKUP(L37,'210'!A:T,20,0)</f>
        <v>葉展志</v>
      </c>
      <c r="T37" s="139"/>
      <c r="U37" s="139"/>
      <c r="V37" s="139"/>
      <c r="W37" s="139"/>
      <c r="X37" s="139"/>
      <c r="Y37" s="139"/>
      <c r="Z37" s="139"/>
      <c r="AA37" s="139"/>
    </row>
    <row r="38" spans="1:27" s="140" customFormat="1" ht="51.95" customHeight="1">
      <c r="A38" s="294"/>
      <c r="B38" s="185" t="s">
        <v>1107</v>
      </c>
      <c r="C38" s="296"/>
      <c r="D38" s="116" t="str">
        <f>M37&amp;M38</f>
        <v>52 M3</v>
      </c>
      <c r="E38" s="272"/>
      <c r="F38" s="117" t="str">
        <f>E37&amp;CHAR(10)&amp;"("&amp;O37&amp;O38&amp;")"</f>
        <v>52 M3
(1組)</v>
      </c>
      <c r="G38" s="282"/>
      <c r="H38" s="184" t="str">
        <f>H37&amp;CHAR(10)&amp;"("&amp;P37&amp;O38&amp;")"</f>
        <v>1398 M3
(16組)</v>
      </c>
      <c r="I38" s="266"/>
      <c r="J38" s="292"/>
      <c r="K38" s="298"/>
      <c r="L38" s="127"/>
      <c r="M38" s="127" t="s">
        <v>201</v>
      </c>
      <c r="N38" s="128"/>
      <c r="O38" s="128" t="s">
        <v>204</v>
      </c>
      <c r="P38" s="128"/>
      <c r="Q38" s="128"/>
      <c r="R38" s="128"/>
      <c r="S38" s="128"/>
      <c r="T38" s="139"/>
      <c r="U38" s="139"/>
      <c r="V38" s="139"/>
      <c r="W38" s="139"/>
      <c r="X38" s="139"/>
      <c r="Y38" s="139"/>
      <c r="Z38" s="139"/>
      <c r="AA38" s="139"/>
    </row>
    <row r="39" spans="1:27" s="138" customFormat="1" ht="51.95" customHeight="1">
      <c r="A39" s="293" t="str">
        <f>"1-210 -"&amp;L39</f>
        <v>1-210 -15</v>
      </c>
      <c r="B39" s="187" t="s">
        <v>1193</v>
      </c>
      <c r="C39" s="295" t="s">
        <v>1528</v>
      </c>
      <c r="D39" s="115">
        <f>VLOOKUP(L39,'210'!A:T,2,0)</f>
        <v>45553</v>
      </c>
      <c r="E39" s="271" t="str">
        <f>M39&amp;M40</f>
        <v>95 M3</v>
      </c>
      <c r="F39" s="115">
        <f>D39</f>
        <v>45553</v>
      </c>
      <c r="G39" s="282"/>
      <c r="H39" s="184" t="str">
        <f>N39&amp;M40</f>
        <v>1493 M3</v>
      </c>
      <c r="I39" s="264" t="s">
        <v>48</v>
      </c>
      <c r="J39" s="291" t="str">
        <f>IF(R39=0,"上  溢："&amp;S39,IF(Q39=0,"任  泰："&amp;R39&amp;"                 "&amp;"上  溢："&amp;S39,
"水利處："&amp;Q39&amp;"                 "&amp;"任  泰："&amp;R39&amp;"                 "&amp;"上  溢："&amp;S39))</f>
        <v>上  溢：胡舜豪</v>
      </c>
      <c r="K39" s="264" t="s">
        <v>630</v>
      </c>
      <c r="L39" s="188">
        <f>L37+1</f>
        <v>15</v>
      </c>
      <c r="M39" s="128">
        <f>VLOOKUP(L39,'210'!A:T,5,0)</f>
        <v>95</v>
      </c>
      <c r="N39" s="128">
        <f>N37+M39</f>
        <v>1493</v>
      </c>
      <c r="O39" s="128">
        <f>VLOOKUP(L39,'210'!A:T,6,0)</f>
        <v>1</v>
      </c>
      <c r="P39" s="128">
        <f>P37+O39</f>
        <v>17</v>
      </c>
      <c r="Q39" s="128">
        <f>VLOOKUP(L39,'210'!A:T,18,0)</f>
        <v>0</v>
      </c>
      <c r="R39" s="128">
        <f>VLOOKUP(L39,'210'!A:T,19,0)</f>
        <v>0</v>
      </c>
      <c r="S39" s="128" t="str">
        <f>VLOOKUP(L39,'210'!A:T,20,0)</f>
        <v>胡舜豪</v>
      </c>
      <c r="T39" s="137"/>
      <c r="U39" s="137"/>
      <c r="V39" s="137"/>
      <c r="W39" s="137"/>
      <c r="X39" s="137"/>
      <c r="Y39" s="137"/>
      <c r="Z39" s="137"/>
      <c r="AA39" s="137"/>
    </row>
    <row r="40" spans="1:27" s="138" customFormat="1" ht="51.95" customHeight="1">
      <c r="A40" s="294"/>
      <c r="B40" s="185" t="s">
        <v>1107</v>
      </c>
      <c r="C40" s="296"/>
      <c r="D40" s="116" t="str">
        <f>M39&amp;M40</f>
        <v>95 M3</v>
      </c>
      <c r="E40" s="272"/>
      <c r="F40" s="117" t="str">
        <f>E39&amp;CHAR(10)&amp;"("&amp;O39&amp;O40&amp;")"</f>
        <v>95 M3
(1組)</v>
      </c>
      <c r="G40" s="282"/>
      <c r="H40" s="184" t="str">
        <f>H39&amp;CHAR(10)&amp;"("&amp;P39&amp;O40&amp;")"</f>
        <v>1493 M3
(17組)</v>
      </c>
      <c r="I40" s="266"/>
      <c r="J40" s="292"/>
      <c r="K40" s="298"/>
      <c r="L40" s="127"/>
      <c r="M40" s="127" t="s">
        <v>201</v>
      </c>
      <c r="N40" s="128"/>
      <c r="O40" s="128" t="s">
        <v>204</v>
      </c>
      <c r="P40" s="128"/>
      <c r="Q40" s="128"/>
      <c r="R40" s="128"/>
      <c r="S40" s="128"/>
      <c r="T40" s="137"/>
      <c r="U40" s="137"/>
      <c r="V40" s="137"/>
      <c r="W40" s="137"/>
      <c r="X40" s="137"/>
      <c r="Y40" s="137"/>
      <c r="Z40" s="137"/>
      <c r="AA40" s="137"/>
    </row>
    <row r="41" spans="1:27" s="138" customFormat="1" ht="51.95" customHeight="1">
      <c r="A41" s="293" t="str">
        <f>"1-210 -"&amp;L41</f>
        <v>1-210 -16</v>
      </c>
      <c r="B41" s="187" t="s">
        <v>1193</v>
      </c>
      <c r="C41" s="295" t="s">
        <v>1528</v>
      </c>
      <c r="D41" s="115">
        <f>VLOOKUP(L41,'210'!A:T,2,0)</f>
        <v>45554</v>
      </c>
      <c r="E41" s="271" t="str">
        <f>M41&amp;M42</f>
        <v>95 M3</v>
      </c>
      <c r="F41" s="115">
        <f>D41</f>
        <v>45554</v>
      </c>
      <c r="G41" s="282"/>
      <c r="H41" s="184" t="str">
        <f>N41&amp;M42</f>
        <v>1588 M3</v>
      </c>
      <c r="I41" s="264" t="s">
        <v>48</v>
      </c>
      <c r="J41" s="291" t="str">
        <f>IF(R41=0,"上  溢："&amp;S41,IF(Q41=0,"任  泰："&amp;R41&amp;"                 "&amp;"上  溢："&amp;S41,
"水利處："&amp;Q41&amp;"                 "&amp;"任  泰："&amp;R41&amp;"                 "&amp;"上  溢："&amp;S41))</f>
        <v>水利處：李晏然                 任  泰：陳勇智                 上  溢：胡舜豪</v>
      </c>
      <c r="K41" s="264" t="s">
        <v>631</v>
      </c>
      <c r="L41" s="188">
        <f>L39+1</f>
        <v>16</v>
      </c>
      <c r="M41" s="128">
        <f>VLOOKUP(L41,'210'!A:T,5,0)</f>
        <v>95</v>
      </c>
      <c r="N41" s="128">
        <f>N39+M41</f>
        <v>1588</v>
      </c>
      <c r="O41" s="128">
        <f>VLOOKUP(L41,'210'!A:T,6,0)</f>
        <v>1</v>
      </c>
      <c r="P41" s="128">
        <f>P39+O41</f>
        <v>18</v>
      </c>
      <c r="Q41" s="128" t="str">
        <f>VLOOKUP(L41,'210'!A:T,18,0)</f>
        <v>李晏然</v>
      </c>
      <c r="R41" s="128" t="str">
        <f>VLOOKUP(L41,'210'!A:T,19,0)</f>
        <v>陳勇智</v>
      </c>
      <c r="S41" s="128" t="str">
        <f>VLOOKUP(L41,'210'!A:T,20,0)</f>
        <v>胡舜豪</v>
      </c>
      <c r="T41" s="137"/>
      <c r="U41" s="137"/>
      <c r="V41" s="137"/>
      <c r="W41" s="137"/>
      <c r="X41" s="137"/>
      <c r="Y41" s="137"/>
      <c r="Z41" s="137"/>
      <c r="AA41" s="137"/>
    </row>
    <row r="42" spans="1:27" s="138" customFormat="1" ht="51.95" customHeight="1">
      <c r="A42" s="294"/>
      <c r="B42" s="185" t="s">
        <v>1107</v>
      </c>
      <c r="C42" s="296"/>
      <c r="D42" s="116" t="str">
        <f>M41&amp;M42</f>
        <v>95 M3</v>
      </c>
      <c r="E42" s="272"/>
      <c r="F42" s="117" t="str">
        <f>E41&amp;CHAR(10)&amp;"("&amp;O41&amp;O42&amp;")"</f>
        <v>95 M3
(1組)</v>
      </c>
      <c r="G42" s="282"/>
      <c r="H42" s="184" t="str">
        <f>H41&amp;CHAR(10)&amp;"("&amp;P41&amp;O42&amp;")"</f>
        <v>1588 M3
(18組)</v>
      </c>
      <c r="I42" s="266"/>
      <c r="J42" s="292"/>
      <c r="K42" s="298"/>
      <c r="L42" s="127"/>
      <c r="M42" s="127" t="s">
        <v>201</v>
      </c>
      <c r="N42" s="128"/>
      <c r="O42" s="128" t="s">
        <v>204</v>
      </c>
      <c r="P42" s="128"/>
      <c r="Q42" s="128"/>
      <c r="R42" s="128"/>
      <c r="S42" s="128"/>
      <c r="T42" s="137"/>
      <c r="U42" s="137"/>
      <c r="V42" s="137"/>
      <c r="W42" s="137"/>
      <c r="X42" s="137"/>
      <c r="Y42" s="137"/>
      <c r="Z42" s="137"/>
      <c r="AA42" s="137"/>
    </row>
    <row r="43" spans="1:27" s="138" customFormat="1" ht="51.95" customHeight="1">
      <c r="A43" s="293" t="str">
        <f>"1-210 -"&amp;L43</f>
        <v>1-210 -17</v>
      </c>
      <c r="B43" s="187" t="s">
        <v>1193</v>
      </c>
      <c r="C43" s="295" t="s">
        <v>1528</v>
      </c>
      <c r="D43" s="115">
        <f>VLOOKUP(L43,'210'!A:T,2,0)</f>
        <v>45561</v>
      </c>
      <c r="E43" s="271" t="str">
        <f>M43&amp;M44</f>
        <v>78 M3</v>
      </c>
      <c r="F43" s="115">
        <f>D43</f>
        <v>45561</v>
      </c>
      <c r="G43" s="282"/>
      <c r="H43" s="184" t="str">
        <f>N43&amp;M44</f>
        <v>1666 M3</v>
      </c>
      <c r="I43" s="264" t="s">
        <v>48</v>
      </c>
      <c r="J43" s="291" t="str">
        <f>IF(R43=0,"上  溢："&amp;S43,IF(Q43=0,"任  泰："&amp;R43&amp;"                 "&amp;"上  溢："&amp;S43,
"水利處："&amp;Q43&amp;"                 "&amp;"任  泰："&amp;R43&amp;"                 "&amp;"上  溢："&amp;S43))</f>
        <v>上  溢：胡舜豪</v>
      </c>
      <c r="K43" s="264" t="s">
        <v>632</v>
      </c>
      <c r="L43" s="188">
        <f>L41+1</f>
        <v>17</v>
      </c>
      <c r="M43" s="128">
        <f>VLOOKUP(L43,'210'!A:T,5,0)</f>
        <v>78</v>
      </c>
      <c r="N43" s="128">
        <f>N41+M43</f>
        <v>1666</v>
      </c>
      <c r="O43" s="128">
        <f>VLOOKUP(L43,'210'!A:T,6,0)</f>
        <v>1</v>
      </c>
      <c r="P43" s="128">
        <f>P41+O43</f>
        <v>19</v>
      </c>
      <c r="Q43" s="128">
        <f>VLOOKUP(L43,'210'!A:T,18,0)</f>
        <v>0</v>
      </c>
      <c r="R43" s="128">
        <f>VLOOKUP(L43,'210'!A:T,19,0)</f>
        <v>0</v>
      </c>
      <c r="S43" s="128" t="str">
        <f>VLOOKUP(L43,'210'!A:T,20,0)</f>
        <v>胡舜豪</v>
      </c>
      <c r="T43" s="137"/>
      <c r="U43" s="137"/>
      <c r="V43" s="137"/>
      <c r="W43" s="137"/>
      <c r="X43" s="137"/>
      <c r="Y43" s="137"/>
      <c r="Z43" s="137"/>
      <c r="AA43" s="137"/>
    </row>
    <row r="44" spans="1:27" s="138" customFormat="1" ht="51.95" customHeight="1">
      <c r="A44" s="294"/>
      <c r="B44" s="185" t="s">
        <v>1107</v>
      </c>
      <c r="C44" s="296"/>
      <c r="D44" s="116" t="str">
        <f>M43&amp;M44</f>
        <v>78 M3</v>
      </c>
      <c r="E44" s="272"/>
      <c r="F44" s="117" t="str">
        <f>E43&amp;CHAR(10)&amp;"("&amp;O43&amp;O44&amp;")"</f>
        <v>78 M3
(1組)</v>
      </c>
      <c r="G44" s="282"/>
      <c r="H44" s="184" t="str">
        <f>H43&amp;CHAR(10)&amp;"("&amp;P43&amp;O44&amp;")"</f>
        <v>1666 M3
(19組)</v>
      </c>
      <c r="I44" s="266"/>
      <c r="J44" s="292"/>
      <c r="K44" s="298"/>
      <c r="L44" s="127"/>
      <c r="M44" s="127" t="s">
        <v>201</v>
      </c>
      <c r="N44" s="128"/>
      <c r="O44" s="128" t="s">
        <v>204</v>
      </c>
      <c r="P44" s="128"/>
      <c r="Q44" s="128"/>
      <c r="R44" s="128"/>
      <c r="S44" s="128"/>
      <c r="T44" s="137"/>
      <c r="U44" s="137"/>
      <c r="V44" s="137"/>
      <c r="W44" s="137"/>
      <c r="X44" s="137"/>
      <c r="Y44" s="137"/>
      <c r="Z44" s="137"/>
      <c r="AA44" s="137"/>
    </row>
    <row r="45" spans="1:27" s="140" customFormat="1" ht="51.95" customHeight="1">
      <c r="A45" s="293" t="str">
        <f>"1-210 -"&amp;L45</f>
        <v>1-210 -18</v>
      </c>
      <c r="B45" s="187" t="s">
        <v>1193</v>
      </c>
      <c r="C45" s="295" t="s">
        <v>1528</v>
      </c>
      <c r="D45" s="115">
        <f>VLOOKUP(L45,'210'!A:T,2,0)</f>
        <v>45562</v>
      </c>
      <c r="E45" s="271" t="str">
        <f>M45&amp;M46</f>
        <v>95 M3</v>
      </c>
      <c r="F45" s="115">
        <f>D45</f>
        <v>45562</v>
      </c>
      <c r="G45" s="282"/>
      <c r="H45" s="184" t="str">
        <f>N45&amp;M46</f>
        <v>1761 M3</v>
      </c>
      <c r="I45" s="264" t="s">
        <v>48</v>
      </c>
      <c r="J45" s="291" t="str">
        <f>IF(R45=0,"上  溢："&amp;S45,IF(Q45=0,"任  泰："&amp;R45&amp;"                 "&amp;"上  溢："&amp;S45,
"水利處："&amp;Q45&amp;"                 "&amp;"任  泰："&amp;R45&amp;"                 "&amp;"上  溢："&amp;S45))</f>
        <v>上  溢：李建豪</v>
      </c>
      <c r="K45" s="264" t="s">
        <v>671</v>
      </c>
      <c r="L45" s="188">
        <f>L43+1</f>
        <v>18</v>
      </c>
      <c r="M45" s="128">
        <f>VLOOKUP(L45,'210'!A:T,5,0)</f>
        <v>95</v>
      </c>
      <c r="N45" s="128">
        <f>N43+M45</f>
        <v>1761</v>
      </c>
      <c r="O45" s="128">
        <f>VLOOKUP(L45,'210'!A:T,6,0)</f>
        <v>1</v>
      </c>
      <c r="P45" s="128">
        <f>P43+O45</f>
        <v>20</v>
      </c>
      <c r="Q45" s="128">
        <f>VLOOKUP(L45,'210'!A:T,18,0)</f>
        <v>0</v>
      </c>
      <c r="R45" s="128">
        <f>VLOOKUP(L45,'210'!A:T,19,0)</f>
        <v>0</v>
      </c>
      <c r="S45" s="128" t="str">
        <f>VLOOKUP(L45,'210'!A:T,20,0)</f>
        <v>李建豪</v>
      </c>
      <c r="T45" s="139"/>
      <c r="U45" s="139"/>
      <c r="V45" s="139"/>
      <c r="W45" s="139"/>
      <c r="X45" s="139"/>
      <c r="Y45" s="139"/>
      <c r="Z45" s="139"/>
      <c r="AA45" s="139"/>
    </row>
    <row r="46" spans="1:27" s="140" customFormat="1" ht="51.95" customHeight="1">
      <c r="A46" s="294"/>
      <c r="B46" s="185" t="s">
        <v>1107</v>
      </c>
      <c r="C46" s="296"/>
      <c r="D46" s="116" t="str">
        <f>M45&amp;M46</f>
        <v>95 M3</v>
      </c>
      <c r="E46" s="272"/>
      <c r="F46" s="117" t="str">
        <f>E45&amp;CHAR(10)&amp;"("&amp;O45&amp;O46&amp;")"</f>
        <v>95 M3
(1組)</v>
      </c>
      <c r="G46" s="265"/>
      <c r="H46" s="184" t="str">
        <f>H45&amp;CHAR(10)&amp;"("&amp;P45&amp;O46&amp;")"</f>
        <v>1761 M3
(20組)</v>
      </c>
      <c r="I46" s="266"/>
      <c r="J46" s="292"/>
      <c r="K46" s="298"/>
      <c r="L46" s="127"/>
      <c r="M46" s="127" t="s">
        <v>201</v>
      </c>
      <c r="N46" s="128"/>
      <c r="O46" s="128" t="s">
        <v>204</v>
      </c>
      <c r="P46" s="128"/>
      <c r="Q46" s="128"/>
      <c r="R46" s="128"/>
      <c r="S46" s="128"/>
      <c r="T46" s="139"/>
      <c r="U46" s="139"/>
      <c r="V46" s="139"/>
      <c r="W46" s="139"/>
      <c r="X46" s="139"/>
      <c r="Y46" s="139"/>
      <c r="Z46" s="139"/>
      <c r="AA46" s="139"/>
    </row>
    <row r="47" spans="1:27" s="142" customFormat="1" ht="49.5" customHeight="1">
      <c r="A47" s="260" t="s">
        <v>47</v>
      </c>
      <c r="B47" s="261"/>
      <c r="C47" s="262"/>
      <c r="D47" s="260" t="s">
        <v>1753</v>
      </c>
      <c r="E47" s="261"/>
      <c r="F47" s="261"/>
      <c r="G47" s="262"/>
      <c r="H47" s="260" t="s">
        <v>1755</v>
      </c>
      <c r="I47" s="261"/>
      <c r="J47" s="261"/>
      <c r="K47" s="262"/>
      <c r="M47" s="143"/>
      <c r="N47" s="143"/>
      <c r="O47" s="143"/>
      <c r="P47" s="143"/>
      <c r="Q47" s="143"/>
      <c r="R47" s="143"/>
      <c r="S47" s="143"/>
      <c r="T47" s="143"/>
      <c r="U47" s="143"/>
      <c r="V47" s="143"/>
      <c r="W47" s="143"/>
      <c r="X47" s="143"/>
      <c r="Y47" s="143"/>
      <c r="Z47" s="143"/>
      <c r="AA47" s="143"/>
    </row>
    <row r="48" spans="1:27" s="142" customFormat="1" ht="54" customHeight="1">
      <c r="A48" s="263" t="s">
        <v>1147</v>
      </c>
      <c r="B48" s="263"/>
      <c r="C48" s="263"/>
      <c r="D48" s="263"/>
      <c r="E48" s="263"/>
      <c r="F48" s="263"/>
      <c r="G48" s="263"/>
      <c r="H48" s="263"/>
      <c r="I48" s="263"/>
      <c r="J48" s="263"/>
      <c r="K48" s="263"/>
      <c r="M48" s="143"/>
      <c r="N48" s="143"/>
      <c r="O48" s="143"/>
      <c r="P48" s="143"/>
      <c r="Q48" s="143"/>
      <c r="R48" s="143"/>
      <c r="S48" s="143"/>
      <c r="T48" s="143"/>
      <c r="U48" s="143"/>
      <c r="V48" s="143"/>
      <c r="W48" s="143"/>
      <c r="X48" s="143"/>
      <c r="Y48" s="143"/>
      <c r="Z48" s="143"/>
      <c r="AA48" s="143"/>
    </row>
    <row r="49" spans="1:27" s="138" customFormat="1" ht="51.95" customHeight="1">
      <c r="A49" s="293" t="str">
        <f>"1-210 -"&amp;L49</f>
        <v>1-210 -19</v>
      </c>
      <c r="B49" s="187" t="s">
        <v>1193</v>
      </c>
      <c r="C49" s="295" t="s">
        <v>1528</v>
      </c>
      <c r="D49" s="115">
        <f>VLOOKUP(L49,'210'!A:T,2,0)</f>
        <v>45563</v>
      </c>
      <c r="E49" s="271" t="str">
        <f>M49&amp;M50</f>
        <v>95 M3</v>
      </c>
      <c r="F49" s="115">
        <f>D49</f>
        <v>45563</v>
      </c>
      <c r="G49" s="264" t="s">
        <v>145</v>
      </c>
      <c r="H49" s="184" t="str">
        <f>N49&amp;M50</f>
        <v>1856 M3</v>
      </c>
      <c r="I49" s="264" t="s">
        <v>48</v>
      </c>
      <c r="J49" s="291" t="str">
        <f>IF(R49=0,"上  溢："&amp;S49,IF(Q49=0,"任  泰："&amp;R49&amp;"                 "&amp;"上  溢："&amp;S49,
"水利處："&amp;Q49&amp;"                 "&amp;"任  泰："&amp;R49&amp;"                 "&amp;"上  溢："&amp;S49))</f>
        <v>任  泰：陳勇智                 上  溢：李建豪</v>
      </c>
      <c r="K49" s="264" t="s">
        <v>673</v>
      </c>
      <c r="L49" s="188">
        <f>L45+1</f>
        <v>19</v>
      </c>
      <c r="M49" s="128">
        <f>VLOOKUP(L49,'210'!A:T,5,0)</f>
        <v>95</v>
      </c>
      <c r="N49" s="128">
        <f>N45+M49</f>
        <v>1856</v>
      </c>
      <c r="O49" s="128">
        <f>VLOOKUP(L49,'210'!A:T,6,0)</f>
        <v>1</v>
      </c>
      <c r="P49" s="128">
        <f>P45+O49</f>
        <v>21</v>
      </c>
      <c r="Q49" s="128">
        <f>VLOOKUP(L49,'210'!A:T,18,0)</f>
        <v>0</v>
      </c>
      <c r="R49" s="128" t="str">
        <f>VLOOKUP(L49,'210'!A:T,19,0)</f>
        <v>陳勇智</v>
      </c>
      <c r="S49" s="128" t="str">
        <f>VLOOKUP(L49,'210'!A:T,20,0)</f>
        <v>李建豪</v>
      </c>
      <c r="T49" s="137"/>
      <c r="U49" s="137"/>
      <c r="V49" s="137"/>
      <c r="W49" s="137"/>
      <c r="X49" s="137"/>
      <c r="Y49" s="137"/>
      <c r="Z49" s="137"/>
      <c r="AA49" s="137"/>
    </row>
    <row r="50" spans="1:27" s="138" customFormat="1" ht="51.95" customHeight="1">
      <c r="A50" s="294"/>
      <c r="B50" s="185" t="s">
        <v>1107</v>
      </c>
      <c r="C50" s="296"/>
      <c r="D50" s="116" t="str">
        <f>M49&amp;M50</f>
        <v>95 M3</v>
      </c>
      <c r="E50" s="272"/>
      <c r="F50" s="117" t="str">
        <f>E49&amp;CHAR(10)&amp;"("&amp;O49&amp;O50&amp;")"</f>
        <v>95 M3
(1組)</v>
      </c>
      <c r="G50" s="282"/>
      <c r="H50" s="184" t="str">
        <f>H49&amp;CHAR(10)&amp;"("&amp;P49&amp;O50&amp;")"</f>
        <v>1856 M3
(21組)</v>
      </c>
      <c r="I50" s="266"/>
      <c r="J50" s="292"/>
      <c r="K50" s="298"/>
      <c r="L50" s="127"/>
      <c r="M50" s="127" t="s">
        <v>201</v>
      </c>
      <c r="N50" s="128"/>
      <c r="O50" s="128" t="s">
        <v>204</v>
      </c>
      <c r="P50" s="128"/>
      <c r="Q50" s="128"/>
      <c r="R50" s="128"/>
      <c r="S50" s="128"/>
      <c r="T50" s="137"/>
      <c r="U50" s="137"/>
      <c r="V50" s="137"/>
      <c r="W50" s="137"/>
      <c r="X50" s="137"/>
      <c r="Y50" s="137"/>
      <c r="Z50" s="137"/>
      <c r="AA50" s="137"/>
    </row>
    <row r="51" spans="1:27" s="138" customFormat="1" ht="51.95" customHeight="1">
      <c r="A51" s="293" t="str">
        <f>"1-210 -"&amp;L51</f>
        <v>1-210 -20</v>
      </c>
      <c r="B51" s="187" t="s">
        <v>1193</v>
      </c>
      <c r="C51" s="295" t="s">
        <v>1528</v>
      </c>
      <c r="D51" s="115">
        <f>VLOOKUP(L51,'210'!A:T,2,0)</f>
        <v>45572</v>
      </c>
      <c r="E51" s="271" t="str">
        <f>M51&amp;M52</f>
        <v>22 M3</v>
      </c>
      <c r="F51" s="115">
        <f>D51</f>
        <v>45572</v>
      </c>
      <c r="G51" s="282"/>
      <c r="H51" s="184" t="str">
        <f>N51&amp;M52</f>
        <v>1878 M3</v>
      </c>
      <c r="I51" s="264" t="s">
        <v>48</v>
      </c>
      <c r="J51" s="291" t="str">
        <f>IF(R51=0,"上  溢："&amp;S51,IF(Q51=0,"任  泰："&amp;R51&amp;"                 "&amp;"上  溢："&amp;S51,
"水利處："&amp;Q51&amp;"                 "&amp;"任  泰："&amp;R51&amp;"                 "&amp;"上  溢："&amp;S51))</f>
        <v>上  溢：李建豪</v>
      </c>
      <c r="K51" s="264" t="s">
        <v>674</v>
      </c>
      <c r="L51" s="188">
        <f>L49+1</f>
        <v>20</v>
      </c>
      <c r="M51" s="128">
        <f>VLOOKUP(L51,'210'!A:T,5,0)</f>
        <v>22</v>
      </c>
      <c r="N51" s="128">
        <f>N49+M51</f>
        <v>1878</v>
      </c>
      <c r="O51" s="128">
        <f>VLOOKUP(L51,'210'!A:T,6,0)</f>
        <v>1</v>
      </c>
      <c r="P51" s="128">
        <f>P49+O51</f>
        <v>22</v>
      </c>
      <c r="Q51" s="128">
        <f>VLOOKUP(L51,'210'!A:T,18,0)</f>
        <v>0</v>
      </c>
      <c r="R51" s="128">
        <f>VLOOKUP(L51,'210'!A:T,19,0)</f>
        <v>0</v>
      </c>
      <c r="S51" s="128" t="str">
        <f>VLOOKUP(L51,'210'!A:T,20,0)</f>
        <v>李建豪</v>
      </c>
      <c r="T51" s="137"/>
      <c r="U51" s="137"/>
      <c r="V51" s="137"/>
      <c r="W51" s="137"/>
      <c r="X51" s="137"/>
      <c r="Y51" s="137"/>
      <c r="Z51" s="137"/>
      <c r="AA51" s="137"/>
    </row>
    <row r="52" spans="1:27" s="138" customFormat="1" ht="51.95" customHeight="1">
      <c r="A52" s="294"/>
      <c r="B52" s="185" t="s">
        <v>71</v>
      </c>
      <c r="C52" s="296"/>
      <c r="D52" s="116" t="str">
        <f>M51&amp;M52</f>
        <v>22 M3</v>
      </c>
      <c r="E52" s="272"/>
      <c r="F52" s="117" t="str">
        <f>E51&amp;CHAR(10)&amp;"("&amp;O51&amp;O52&amp;")"</f>
        <v>22 M3
(1組)</v>
      </c>
      <c r="G52" s="282"/>
      <c r="H52" s="184" t="str">
        <f>H51&amp;CHAR(10)&amp;"("&amp;P51&amp;O52&amp;")"</f>
        <v>1878 M3
(22組)</v>
      </c>
      <c r="I52" s="266"/>
      <c r="J52" s="292"/>
      <c r="K52" s="298"/>
      <c r="L52" s="127"/>
      <c r="M52" s="127" t="s">
        <v>201</v>
      </c>
      <c r="N52" s="128"/>
      <c r="O52" s="128" t="s">
        <v>204</v>
      </c>
      <c r="P52" s="128"/>
      <c r="Q52" s="128"/>
      <c r="R52" s="128"/>
      <c r="S52" s="128"/>
      <c r="T52" s="137"/>
      <c r="U52" s="137"/>
      <c r="V52" s="137"/>
      <c r="W52" s="137"/>
      <c r="X52" s="137"/>
      <c r="Y52" s="137"/>
      <c r="Z52" s="137"/>
      <c r="AA52" s="137"/>
    </row>
    <row r="53" spans="1:27" s="138" customFormat="1" ht="51.95" customHeight="1">
      <c r="A53" s="293" t="str">
        <f>"1-210 -"&amp;L53</f>
        <v>1-210 -21</v>
      </c>
      <c r="B53" s="187" t="s">
        <v>1193</v>
      </c>
      <c r="C53" s="295" t="s">
        <v>1528</v>
      </c>
      <c r="D53" s="115">
        <f>VLOOKUP(L53,'210'!A:T,2,0)</f>
        <v>45575</v>
      </c>
      <c r="E53" s="271" t="str">
        <f>M53&amp;M54</f>
        <v>95 M3</v>
      </c>
      <c r="F53" s="115">
        <f>D53</f>
        <v>45575</v>
      </c>
      <c r="G53" s="282"/>
      <c r="H53" s="184" t="str">
        <f>N53&amp;M54</f>
        <v>1973 M3</v>
      </c>
      <c r="I53" s="264" t="s">
        <v>48</v>
      </c>
      <c r="J53" s="291" t="str">
        <f>IF(R53=0,"上  溢："&amp;S53,IF(Q53=0,"任  泰："&amp;R53&amp;"                 "&amp;"上  溢："&amp;S53,
"水利處："&amp;Q53&amp;"                 "&amp;"任  泰："&amp;R53&amp;"                 "&amp;"上  溢："&amp;S53))</f>
        <v>上  溢：胡舜豪</v>
      </c>
      <c r="K53" s="264" t="s">
        <v>695</v>
      </c>
      <c r="L53" s="188">
        <f>L51+1</f>
        <v>21</v>
      </c>
      <c r="M53" s="128">
        <f>VLOOKUP(L53,'210'!A:T,5,0)</f>
        <v>95</v>
      </c>
      <c r="N53" s="128">
        <f>N51+M53</f>
        <v>1973</v>
      </c>
      <c r="O53" s="128">
        <f>VLOOKUP(L53,'210'!A:T,6,0)</f>
        <v>1</v>
      </c>
      <c r="P53" s="128">
        <f>P51+O53</f>
        <v>23</v>
      </c>
      <c r="Q53" s="128">
        <f>VLOOKUP(L53,'210'!A:T,18,0)</f>
        <v>0</v>
      </c>
      <c r="R53" s="128">
        <f>VLOOKUP(L53,'210'!A:T,19,0)</f>
        <v>0</v>
      </c>
      <c r="S53" s="128" t="str">
        <f>VLOOKUP(L53,'210'!A:T,20,0)</f>
        <v>胡舜豪</v>
      </c>
      <c r="T53" s="137"/>
      <c r="U53" s="137"/>
      <c r="V53" s="137"/>
      <c r="W53" s="137"/>
      <c r="X53" s="137"/>
      <c r="Y53" s="137"/>
      <c r="Z53" s="137"/>
      <c r="AA53" s="137"/>
    </row>
    <row r="54" spans="1:27" s="138" customFormat="1" ht="51.95" customHeight="1">
      <c r="A54" s="294"/>
      <c r="B54" s="185" t="s">
        <v>1107</v>
      </c>
      <c r="C54" s="296"/>
      <c r="D54" s="116" t="str">
        <f>M53&amp;M54</f>
        <v>95 M3</v>
      </c>
      <c r="E54" s="272"/>
      <c r="F54" s="117" t="str">
        <f>E53&amp;CHAR(10)&amp;"("&amp;O53&amp;O54&amp;")"</f>
        <v>95 M3
(1組)</v>
      </c>
      <c r="G54" s="282"/>
      <c r="H54" s="184" t="str">
        <f>H53&amp;CHAR(10)&amp;"("&amp;P53&amp;O54&amp;")"</f>
        <v>1973 M3
(23組)</v>
      </c>
      <c r="I54" s="266"/>
      <c r="J54" s="292"/>
      <c r="K54" s="298"/>
      <c r="L54" s="127"/>
      <c r="M54" s="127" t="s">
        <v>201</v>
      </c>
      <c r="N54" s="128"/>
      <c r="O54" s="128" t="s">
        <v>204</v>
      </c>
      <c r="P54" s="128"/>
      <c r="Q54" s="128"/>
      <c r="R54" s="128"/>
      <c r="S54" s="128"/>
      <c r="T54" s="137"/>
      <c r="U54" s="137"/>
      <c r="V54" s="137"/>
      <c r="W54" s="137"/>
      <c r="X54" s="137"/>
      <c r="Y54" s="137"/>
      <c r="Z54" s="137"/>
      <c r="AA54" s="137"/>
    </row>
    <row r="55" spans="1:27" s="140" customFormat="1" ht="51.95" customHeight="1">
      <c r="A55" s="293" t="str">
        <f>"1-210 -"&amp;L55</f>
        <v>1-210 -22</v>
      </c>
      <c r="B55" s="187" t="s">
        <v>1193</v>
      </c>
      <c r="C55" s="295" t="s">
        <v>1528</v>
      </c>
      <c r="D55" s="115">
        <f>VLOOKUP(L55,'210'!A:T,2,0)</f>
        <v>45577</v>
      </c>
      <c r="E55" s="271" t="str">
        <f>M55&amp;M56</f>
        <v>26 M3</v>
      </c>
      <c r="F55" s="115">
        <f>D55</f>
        <v>45577</v>
      </c>
      <c r="G55" s="282"/>
      <c r="H55" s="184" t="str">
        <f>N55&amp;M56</f>
        <v>1999 M3</v>
      </c>
      <c r="I55" s="264" t="s">
        <v>48</v>
      </c>
      <c r="J55" s="291" t="str">
        <f>IF(R55=0,"上  溢："&amp;S55,IF(Q55=0,"任  泰："&amp;R55&amp;"                 "&amp;"上  溢："&amp;S55,
"水利處："&amp;Q55&amp;"                 "&amp;"任  泰："&amp;R55&amp;"                 "&amp;"上  溢："&amp;S55))</f>
        <v>上  溢：胡舜豪</v>
      </c>
      <c r="K55" s="264" t="s">
        <v>694</v>
      </c>
      <c r="L55" s="188">
        <f>L53+1</f>
        <v>22</v>
      </c>
      <c r="M55" s="128">
        <f>VLOOKUP(L55,'210'!A:T,5,0)</f>
        <v>26</v>
      </c>
      <c r="N55" s="128">
        <f>N53+M55</f>
        <v>1999</v>
      </c>
      <c r="O55" s="128">
        <f>VLOOKUP(L55,'210'!A:T,6,0)</f>
        <v>1</v>
      </c>
      <c r="P55" s="128">
        <f>P53+O55</f>
        <v>24</v>
      </c>
      <c r="Q55" s="128">
        <f>VLOOKUP(L55,'210'!A:T,18,0)</f>
        <v>0</v>
      </c>
      <c r="R55" s="128">
        <f>VLOOKUP(L55,'210'!A:T,19,0)</f>
        <v>0</v>
      </c>
      <c r="S55" s="128" t="str">
        <f>VLOOKUP(L55,'210'!A:T,20,0)</f>
        <v>胡舜豪</v>
      </c>
      <c r="T55" s="139"/>
      <c r="U55" s="139"/>
      <c r="V55" s="139"/>
      <c r="W55" s="139"/>
      <c r="X55" s="139"/>
      <c r="Y55" s="139"/>
      <c r="Z55" s="139"/>
      <c r="AA55" s="139"/>
    </row>
    <row r="56" spans="1:27" s="140" customFormat="1" ht="51.95" customHeight="1">
      <c r="A56" s="294"/>
      <c r="B56" s="185" t="s">
        <v>1107</v>
      </c>
      <c r="C56" s="296"/>
      <c r="D56" s="116" t="str">
        <f>M55&amp;M56</f>
        <v>26 M3</v>
      </c>
      <c r="E56" s="272"/>
      <c r="F56" s="117" t="str">
        <f>E55&amp;CHAR(10)&amp;"("&amp;O55&amp;O56&amp;")"</f>
        <v>26 M3
(1組)</v>
      </c>
      <c r="G56" s="282"/>
      <c r="H56" s="184" t="str">
        <f>H55&amp;CHAR(10)&amp;"("&amp;P55&amp;O56&amp;")"</f>
        <v>1999 M3
(24組)</v>
      </c>
      <c r="I56" s="266"/>
      <c r="J56" s="292"/>
      <c r="K56" s="298"/>
      <c r="L56" s="127"/>
      <c r="M56" s="127" t="s">
        <v>201</v>
      </c>
      <c r="N56" s="128"/>
      <c r="O56" s="128" t="s">
        <v>204</v>
      </c>
      <c r="P56" s="128"/>
      <c r="Q56" s="128"/>
      <c r="R56" s="128"/>
      <c r="S56" s="128"/>
      <c r="T56" s="139"/>
      <c r="U56" s="139"/>
      <c r="V56" s="139"/>
      <c r="W56" s="139"/>
      <c r="X56" s="139"/>
      <c r="Y56" s="139"/>
      <c r="Z56" s="139"/>
      <c r="AA56" s="139"/>
    </row>
    <row r="57" spans="1:27" s="138" customFormat="1" ht="51.95" customHeight="1">
      <c r="A57" s="293" t="str">
        <f>"1-210 -"&amp;L57</f>
        <v>1-210 -23</v>
      </c>
      <c r="B57" s="187" t="s">
        <v>1193</v>
      </c>
      <c r="C57" s="295" t="s">
        <v>1528</v>
      </c>
      <c r="D57" s="115">
        <f>VLOOKUP(L57,'210'!A:T,2,0)</f>
        <v>45579</v>
      </c>
      <c r="E57" s="271" t="str">
        <f>M57&amp;M58</f>
        <v>35 M3</v>
      </c>
      <c r="F57" s="115">
        <f>D57</f>
        <v>45579</v>
      </c>
      <c r="G57" s="282"/>
      <c r="H57" s="184" t="str">
        <f>N57&amp;M58</f>
        <v>2034 M3</v>
      </c>
      <c r="I57" s="264" t="s">
        <v>48</v>
      </c>
      <c r="J57" s="291" t="str">
        <f>IF(R57=0,"上  溢："&amp;S57,IF(Q57=0,"任  泰："&amp;R57&amp;"                 "&amp;"上  溢："&amp;S57,
"水利處："&amp;Q57&amp;"                 "&amp;"任  泰："&amp;R57&amp;"                 "&amp;"上  溢："&amp;S57))</f>
        <v>上  溢：胡舜豪</v>
      </c>
      <c r="K57" s="264" t="s">
        <v>675</v>
      </c>
      <c r="L57" s="188">
        <f>L55+1</f>
        <v>23</v>
      </c>
      <c r="M57" s="128">
        <f>VLOOKUP(L57,'210'!A:T,5,0)</f>
        <v>35</v>
      </c>
      <c r="N57" s="128">
        <f>N55+M57</f>
        <v>2034</v>
      </c>
      <c r="O57" s="128">
        <f>VLOOKUP(L57,'210'!A:T,6,0)</f>
        <v>1</v>
      </c>
      <c r="P57" s="128">
        <f>P55+O57</f>
        <v>25</v>
      </c>
      <c r="Q57" s="128">
        <f>VLOOKUP(L57,'210'!A:T,18,0)</f>
        <v>0</v>
      </c>
      <c r="R57" s="128">
        <f>VLOOKUP(L57,'210'!A:T,19,0)</f>
        <v>0</v>
      </c>
      <c r="S57" s="128" t="str">
        <f>VLOOKUP(L57,'210'!A:T,20,0)</f>
        <v>胡舜豪</v>
      </c>
      <c r="T57" s="137"/>
      <c r="U57" s="137"/>
      <c r="V57" s="137"/>
      <c r="W57" s="137"/>
      <c r="X57" s="137"/>
      <c r="Y57" s="137"/>
      <c r="Z57" s="137"/>
      <c r="AA57" s="137"/>
    </row>
    <row r="58" spans="1:27" s="138" customFormat="1" ht="51.95" customHeight="1">
      <c r="A58" s="294"/>
      <c r="B58" s="185" t="s">
        <v>71</v>
      </c>
      <c r="C58" s="296"/>
      <c r="D58" s="116" t="str">
        <f>M57&amp;M58</f>
        <v>35 M3</v>
      </c>
      <c r="E58" s="272"/>
      <c r="F58" s="117" t="str">
        <f>E57&amp;CHAR(10)&amp;"("&amp;O57&amp;O58&amp;")"</f>
        <v>35 M3
(1組)</v>
      </c>
      <c r="G58" s="282"/>
      <c r="H58" s="184" t="str">
        <f>H57&amp;CHAR(10)&amp;"("&amp;P57&amp;O58&amp;")"</f>
        <v>2034 M3
(25組)</v>
      </c>
      <c r="I58" s="266"/>
      <c r="J58" s="292"/>
      <c r="K58" s="298"/>
      <c r="L58" s="127"/>
      <c r="M58" s="127" t="s">
        <v>201</v>
      </c>
      <c r="N58" s="128"/>
      <c r="O58" s="128" t="s">
        <v>204</v>
      </c>
      <c r="P58" s="128"/>
      <c r="Q58" s="128"/>
      <c r="R58" s="128"/>
      <c r="S58" s="128"/>
      <c r="T58" s="137"/>
      <c r="U58" s="137"/>
      <c r="V58" s="137"/>
      <c r="W58" s="137"/>
      <c r="X58" s="137"/>
      <c r="Y58" s="137"/>
      <c r="Z58" s="137"/>
      <c r="AA58" s="137"/>
    </row>
    <row r="59" spans="1:27" s="138" customFormat="1" ht="51.95" customHeight="1">
      <c r="A59" s="293" t="str">
        <f>"1-210 -"&amp;L59</f>
        <v>1-210 -24</v>
      </c>
      <c r="B59" s="187" t="s">
        <v>1193</v>
      </c>
      <c r="C59" s="295" t="s">
        <v>1528</v>
      </c>
      <c r="D59" s="115">
        <f>VLOOKUP(L59,'210'!A:T,2,0)</f>
        <v>45589</v>
      </c>
      <c r="E59" s="271" t="str">
        <f>M59&amp;M60</f>
        <v>135 M3</v>
      </c>
      <c r="F59" s="115">
        <f>D59</f>
        <v>45589</v>
      </c>
      <c r="G59" s="282"/>
      <c r="H59" s="184" t="str">
        <f>N59&amp;M60</f>
        <v>2169 M3</v>
      </c>
      <c r="I59" s="264" t="s">
        <v>48</v>
      </c>
      <c r="J59" s="291" t="str">
        <f>IF(R59=0,"上  溢："&amp;S59,IF(Q59=0,"任  泰："&amp;R59&amp;"                 "&amp;"上  溢："&amp;S59,
"水利處："&amp;Q59&amp;"                 "&amp;"任  泰："&amp;R59&amp;"                 "&amp;"上  溢："&amp;S59))</f>
        <v>上  溢：胡舜豪</v>
      </c>
      <c r="K59" s="264" t="s">
        <v>676</v>
      </c>
      <c r="L59" s="188">
        <f>L57+1</f>
        <v>24</v>
      </c>
      <c r="M59" s="128">
        <f>VLOOKUP(L59,'210'!A:T,5,0)</f>
        <v>135</v>
      </c>
      <c r="N59" s="128">
        <f>N57+M59</f>
        <v>2169</v>
      </c>
      <c r="O59" s="128">
        <f>VLOOKUP(L59,'210'!A:T,6,0)</f>
        <v>2</v>
      </c>
      <c r="P59" s="128">
        <f>P57+O59</f>
        <v>27</v>
      </c>
      <c r="Q59" s="128">
        <f>VLOOKUP(L59,'210'!A:T,18,0)</f>
        <v>0</v>
      </c>
      <c r="R59" s="128">
        <f>VLOOKUP(L59,'210'!A:T,19,0)</f>
        <v>0</v>
      </c>
      <c r="S59" s="128" t="str">
        <f>VLOOKUP(L59,'210'!A:T,20,0)</f>
        <v>胡舜豪</v>
      </c>
      <c r="T59" s="137"/>
      <c r="U59" s="137"/>
      <c r="V59" s="137"/>
      <c r="W59" s="137"/>
      <c r="X59" s="137"/>
      <c r="Y59" s="137"/>
      <c r="Z59" s="137"/>
      <c r="AA59" s="137"/>
    </row>
    <row r="60" spans="1:27" s="138" customFormat="1" ht="51.95" customHeight="1">
      <c r="A60" s="294"/>
      <c r="B60" s="185" t="s">
        <v>1107</v>
      </c>
      <c r="C60" s="296"/>
      <c r="D60" s="116" t="str">
        <f>M59&amp;M60</f>
        <v>135 M3</v>
      </c>
      <c r="E60" s="272"/>
      <c r="F60" s="117" t="str">
        <f>E59&amp;CHAR(10)&amp;"("&amp;O59&amp;O60&amp;")"</f>
        <v>135 M3
(2組)</v>
      </c>
      <c r="G60" s="265"/>
      <c r="H60" s="184" t="str">
        <f>H59&amp;CHAR(10)&amp;"("&amp;P59&amp;O60&amp;")"</f>
        <v>2169 M3
(27組)</v>
      </c>
      <c r="I60" s="266"/>
      <c r="J60" s="292"/>
      <c r="K60" s="298"/>
      <c r="L60" s="127"/>
      <c r="M60" s="127" t="s">
        <v>201</v>
      </c>
      <c r="N60" s="128"/>
      <c r="O60" s="128" t="s">
        <v>204</v>
      </c>
      <c r="P60" s="128"/>
      <c r="Q60" s="128"/>
      <c r="R60" s="128"/>
      <c r="S60" s="128"/>
      <c r="T60" s="137"/>
      <c r="U60" s="137"/>
      <c r="V60" s="137"/>
      <c r="W60" s="137"/>
      <c r="X60" s="137"/>
      <c r="Y60" s="137"/>
      <c r="Z60" s="137"/>
      <c r="AA60" s="137"/>
    </row>
    <row r="61" spans="1:27" s="142" customFormat="1" ht="49.5" customHeight="1">
      <c r="A61" s="260" t="s">
        <v>47</v>
      </c>
      <c r="B61" s="261"/>
      <c r="C61" s="262"/>
      <c r="D61" s="260" t="s">
        <v>1753</v>
      </c>
      <c r="E61" s="261"/>
      <c r="F61" s="261"/>
      <c r="G61" s="262"/>
      <c r="H61" s="260" t="s">
        <v>1755</v>
      </c>
      <c r="I61" s="261"/>
      <c r="J61" s="261"/>
      <c r="K61" s="262"/>
      <c r="M61" s="143"/>
      <c r="N61" s="143"/>
      <c r="O61" s="143"/>
      <c r="P61" s="143"/>
      <c r="Q61" s="143"/>
      <c r="R61" s="143"/>
      <c r="S61" s="143"/>
      <c r="T61" s="143"/>
      <c r="U61" s="143"/>
      <c r="V61" s="143"/>
      <c r="W61" s="143"/>
      <c r="X61" s="143"/>
      <c r="Y61" s="143"/>
      <c r="Z61" s="143"/>
      <c r="AA61" s="143"/>
    </row>
    <row r="62" spans="1:27" s="142" customFormat="1" ht="54" customHeight="1">
      <c r="A62" s="263" t="s">
        <v>1147</v>
      </c>
      <c r="B62" s="263"/>
      <c r="C62" s="263"/>
      <c r="D62" s="263"/>
      <c r="E62" s="263"/>
      <c r="F62" s="263"/>
      <c r="G62" s="263"/>
      <c r="H62" s="263"/>
      <c r="I62" s="263"/>
      <c r="J62" s="263"/>
      <c r="K62" s="263"/>
      <c r="M62" s="143"/>
      <c r="N62" s="143"/>
      <c r="O62" s="143"/>
      <c r="P62" s="143"/>
      <c r="Q62" s="143"/>
      <c r="R62" s="143"/>
      <c r="S62" s="143"/>
      <c r="T62" s="143"/>
      <c r="U62" s="143"/>
      <c r="V62" s="143"/>
      <c r="W62" s="143"/>
      <c r="X62" s="143"/>
      <c r="Y62" s="143"/>
      <c r="Z62" s="143"/>
      <c r="AA62" s="143"/>
    </row>
    <row r="63" spans="1:27" s="138" customFormat="1" ht="51.95" customHeight="1">
      <c r="A63" s="293" t="str">
        <f>"1-210 -"&amp;L63</f>
        <v>1-210 -25</v>
      </c>
      <c r="B63" s="187" t="s">
        <v>1193</v>
      </c>
      <c r="C63" s="295" t="s">
        <v>1528</v>
      </c>
      <c r="D63" s="115">
        <f>VLOOKUP(L63,'210'!A:T,2,0)</f>
        <v>45594</v>
      </c>
      <c r="E63" s="271" t="str">
        <f>M63&amp;M64</f>
        <v>86 M3</v>
      </c>
      <c r="F63" s="115">
        <f>D63</f>
        <v>45594</v>
      </c>
      <c r="G63" s="264" t="s">
        <v>145</v>
      </c>
      <c r="H63" s="184" t="str">
        <f>N63&amp;M64</f>
        <v>2255 M3</v>
      </c>
      <c r="I63" s="264" t="s">
        <v>48</v>
      </c>
      <c r="J63" s="291" t="str">
        <f>IF(R63=0,"上  溢："&amp;S63,IF(Q63=0,"任  泰："&amp;R63&amp;"                 "&amp;"上  溢："&amp;S63,
"水利處："&amp;Q63&amp;"                 "&amp;"任  泰："&amp;R63&amp;"                 "&amp;"上  溢："&amp;S63))</f>
        <v>上  溢：胡舜豪</v>
      </c>
      <c r="K63" s="264" t="s">
        <v>735</v>
      </c>
      <c r="L63" s="188">
        <f>L59+1</f>
        <v>25</v>
      </c>
      <c r="M63" s="128">
        <f>VLOOKUP(L63,'210'!A:T,5,0)</f>
        <v>86</v>
      </c>
      <c r="N63" s="128">
        <f>N59+M63</f>
        <v>2255</v>
      </c>
      <c r="O63" s="128">
        <f>VLOOKUP(L63,'210'!A:T,6,0)</f>
        <v>1</v>
      </c>
      <c r="P63" s="128">
        <f>P59+O63</f>
        <v>28</v>
      </c>
      <c r="Q63" s="128">
        <f>VLOOKUP(L63,'210'!A:T,18,0)</f>
        <v>0</v>
      </c>
      <c r="R63" s="128">
        <f>VLOOKUP(L63,'210'!A:T,19,0)</f>
        <v>0</v>
      </c>
      <c r="S63" s="128" t="str">
        <f>VLOOKUP(L63,'210'!A:T,20,0)</f>
        <v>胡舜豪</v>
      </c>
      <c r="T63" s="137"/>
      <c r="U63" s="137"/>
      <c r="V63" s="137"/>
      <c r="W63" s="137"/>
      <c r="X63" s="137"/>
      <c r="Y63" s="137"/>
      <c r="Z63" s="137"/>
      <c r="AA63" s="137"/>
    </row>
    <row r="64" spans="1:27" s="138" customFormat="1" ht="51.95" customHeight="1">
      <c r="A64" s="294"/>
      <c r="B64" s="185" t="s">
        <v>1107</v>
      </c>
      <c r="C64" s="296"/>
      <c r="D64" s="116" t="str">
        <f>M63&amp;M64</f>
        <v>86 M3</v>
      </c>
      <c r="E64" s="272"/>
      <c r="F64" s="117" t="str">
        <f>E63&amp;CHAR(10)&amp;"("&amp;O63&amp;O64&amp;")"</f>
        <v>86 M3
(1組)</v>
      </c>
      <c r="G64" s="282"/>
      <c r="H64" s="184" t="str">
        <f>H63&amp;CHAR(10)&amp;"("&amp;P63&amp;O64&amp;")"</f>
        <v>2255 M3
(28組)</v>
      </c>
      <c r="I64" s="266"/>
      <c r="J64" s="292"/>
      <c r="K64" s="298"/>
      <c r="L64" s="127"/>
      <c r="M64" s="127" t="s">
        <v>201</v>
      </c>
      <c r="N64" s="128"/>
      <c r="O64" s="128" t="s">
        <v>204</v>
      </c>
      <c r="P64" s="128"/>
      <c r="Q64" s="128"/>
      <c r="R64" s="128"/>
      <c r="S64" s="128"/>
      <c r="T64" s="137"/>
      <c r="U64" s="137"/>
      <c r="V64" s="137"/>
      <c r="W64" s="137"/>
      <c r="X64" s="137"/>
      <c r="Y64" s="137"/>
      <c r="Z64" s="137"/>
      <c r="AA64" s="137"/>
    </row>
    <row r="65" spans="1:27" s="140" customFormat="1" ht="51.95" customHeight="1">
      <c r="A65" s="293" t="str">
        <f>"1-210 -"&amp;L65</f>
        <v>1-210 -26</v>
      </c>
      <c r="B65" s="187" t="s">
        <v>1193</v>
      </c>
      <c r="C65" s="295" t="s">
        <v>1528</v>
      </c>
      <c r="D65" s="115">
        <f>VLOOKUP(L65,'210'!A:T,2,0)</f>
        <v>45595</v>
      </c>
      <c r="E65" s="271" t="str">
        <f>M65&amp;M66</f>
        <v>99 M3</v>
      </c>
      <c r="F65" s="115">
        <f>D65</f>
        <v>45595</v>
      </c>
      <c r="G65" s="282"/>
      <c r="H65" s="184" t="str">
        <f>N65&amp;M66</f>
        <v>2354 M3</v>
      </c>
      <c r="I65" s="264" t="s">
        <v>48</v>
      </c>
      <c r="J65" s="291" t="str">
        <f>IF(R65=0,"上  溢："&amp;S65,IF(Q65=0,"任  泰："&amp;R65&amp;"                 "&amp;"上  溢："&amp;S65,
"水利處："&amp;Q65&amp;"                 "&amp;"任  泰："&amp;R65&amp;"                 "&amp;"上  溢："&amp;S65))</f>
        <v>上  溢：周昱辰</v>
      </c>
      <c r="K65" s="264" t="s">
        <v>734</v>
      </c>
      <c r="L65" s="188">
        <f>L63+1</f>
        <v>26</v>
      </c>
      <c r="M65" s="128">
        <f>VLOOKUP(L65,'210'!A:T,5,0)</f>
        <v>99</v>
      </c>
      <c r="N65" s="128">
        <f>N63+M65</f>
        <v>2354</v>
      </c>
      <c r="O65" s="128">
        <f>VLOOKUP(L65,'210'!A:T,6,0)</f>
        <v>1</v>
      </c>
      <c r="P65" s="128">
        <f>P63+O65</f>
        <v>29</v>
      </c>
      <c r="Q65" s="128">
        <f>VLOOKUP(L65,'210'!A:T,18,0)</f>
        <v>0</v>
      </c>
      <c r="R65" s="128">
        <f>VLOOKUP(L65,'210'!A:T,19,0)</f>
        <v>0</v>
      </c>
      <c r="S65" s="128" t="str">
        <f>VLOOKUP(L65,'210'!A:T,20,0)</f>
        <v>周昱辰</v>
      </c>
      <c r="T65" s="139"/>
      <c r="U65" s="139"/>
      <c r="V65" s="139"/>
      <c r="W65" s="139"/>
      <c r="X65" s="139"/>
      <c r="Y65" s="139"/>
      <c r="Z65" s="139"/>
      <c r="AA65" s="139"/>
    </row>
    <row r="66" spans="1:27" s="140" customFormat="1" ht="51.95" customHeight="1">
      <c r="A66" s="294"/>
      <c r="B66" s="185" t="s">
        <v>71</v>
      </c>
      <c r="C66" s="296"/>
      <c r="D66" s="116" t="str">
        <f>M65&amp;M66</f>
        <v>99 M3</v>
      </c>
      <c r="E66" s="272"/>
      <c r="F66" s="117" t="str">
        <f>E65&amp;CHAR(10)&amp;"("&amp;O65&amp;O66&amp;")"</f>
        <v>99 M3
(1組)</v>
      </c>
      <c r="G66" s="282"/>
      <c r="H66" s="184" t="str">
        <f>H65&amp;CHAR(10)&amp;"("&amp;P65&amp;O66&amp;")"</f>
        <v>2354 M3
(29組)</v>
      </c>
      <c r="I66" s="266"/>
      <c r="J66" s="292"/>
      <c r="K66" s="298"/>
      <c r="L66" s="127"/>
      <c r="M66" s="127" t="s">
        <v>201</v>
      </c>
      <c r="N66" s="128"/>
      <c r="O66" s="128" t="s">
        <v>204</v>
      </c>
      <c r="P66" s="128"/>
      <c r="Q66" s="128"/>
      <c r="R66" s="128"/>
      <c r="S66" s="128"/>
      <c r="T66" s="139"/>
      <c r="U66" s="139"/>
      <c r="V66" s="139"/>
      <c r="W66" s="139"/>
      <c r="X66" s="139"/>
      <c r="Y66" s="139"/>
      <c r="Z66" s="139"/>
      <c r="AA66" s="139"/>
    </row>
    <row r="67" spans="1:27" s="138" customFormat="1" ht="51.95" customHeight="1">
      <c r="A67" s="293" t="str">
        <f>"1-210 -"&amp;L67</f>
        <v>1-210 -27</v>
      </c>
      <c r="B67" s="187" t="s">
        <v>1193</v>
      </c>
      <c r="C67" s="295" t="s">
        <v>1528</v>
      </c>
      <c r="D67" s="115">
        <f>VLOOKUP(L67,'210'!A:T,2,0)</f>
        <v>45603</v>
      </c>
      <c r="E67" s="271" t="str">
        <f>M67&amp;M68</f>
        <v>52 M3</v>
      </c>
      <c r="F67" s="115">
        <f>D67</f>
        <v>45603</v>
      </c>
      <c r="G67" s="282"/>
      <c r="H67" s="184" t="str">
        <f>N67&amp;M68</f>
        <v>2406 M3</v>
      </c>
      <c r="I67" s="264" t="s">
        <v>48</v>
      </c>
      <c r="J67" s="291" t="str">
        <f>IF(R67=0,"上  溢："&amp;S67,IF(Q67=0,"任  泰："&amp;R67&amp;"                 "&amp;"上  溢："&amp;S67,
"水利處："&amp;Q67&amp;"                 "&amp;"任  泰："&amp;R67&amp;"                 "&amp;"上  溢："&amp;S67))</f>
        <v>上  溢：周昱辰</v>
      </c>
      <c r="K67" s="264" t="s">
        <v>904</v>
      </c>
      <c r="L67" s="188">
        <f>L65+1</f>
        <v>27</v>
      </c>
      <c r="M67" s="128">
        <f>VLOOKUP(L67,'210'!A:T,5,0)</f>
        <v>52</v>
      </c>
      <c r="N67" s="128">
        <f>N65+M67</f>
        <v>2406</v>
      </c>
      <c r="O67" s="128">
        <f>VLOOKUP(L67,'210'!A:T,6,0)</f>
        <v>1</v>
      </c>
      <c r="P67" s="128">
        <f>P65+O67</f>
        <v>30</v>
      </c>
      <c r="Q67" s="128">
        <f>VLOOKUP(L67,'210'!A:T,18,0)</f>
        <v>0</v>
      </c>
      <c r="R67" s="128">
        <f>VLOOKUP(L67,'210'!A:T,19,0)</f>
        <v>0</v>
      </c>
      <c r="S67" s="128" t="str">
        <f>VLOOKUP(L67,'210'!A:T,20,0)</f>
        <v>周昱辰</v>
      </c>
      <c r="T67" s="137"/>
      <c r="U67" s="137"/>
      <c r="V67" s="137"/>
      <c r="W67" s="137"/>
      <c r="X67" s="137"/>
      <c r="Y67" s="137"/>
      <c r="Z67" s="137"/>
      <c r="AA67" s="137"/>
    </row>
    <row r="68" spans="1:27" s="138" customFormat="1" ht="51.95" customHeight="1">
      <c r="A68" s="294"/>
      <c r="B68" s="185" t="s">
        <v>1107</v>
      </c>
      <c r="C68" s="296"/>
      <c r="D68" s="116" t="str">
        <f>M67&amp;M68</f>
        <v>52 M3</v>
      </c>
      <c r="E68" s="272"/>
      <c r="F68" s="117" t="str">
        <f>E67&amp;CHAR(10)&amp;"("&amp;O67&amp;O68&amp;")"</f>
        <v>52 M3
(1組)</v>
      </c>
      <c r="G68" s="282"/>
      <c r="H68" s="184" t="str">
        <f>H67&amp;CHAR(10)&amp;"("&amp;P67&amp;O68&amp;")"</f>
        <v>2406 M3
(30組)</v>
      </c>
      <c r="I68" s="266"/>
      <c r="J68" s="292"/>
      <c r="K68" s="298"/>
      <c r="L68" s="127"/>
      <c r="M68" s="127" t="s">
        <v>201</v>
      </c>
      <c r="N68" s="128"/>
      <c r="O68" s="128" t="s">
        <v>204</v>
      </c>
      <c r="P68" s="128"/>
      <c r="Q68" s="128"/>
      <c r="R68" s="128"/>
      <c r="S68" s="128"/>
      <c r="T68" s="137"/>
      <c r="U68" s="137"/>
      <c r="V68" s="137"/>
      <c r="W68" s="137"/>
      <c r="X68" s="137"/>
      <c r="Y68" s="137"/>
      <c r="Z68" s="137"/>
      <c r="AA68" s="137"/>
    </row>
    <row r="69" spans="1:27" s="138" customFormat="1" ht="51.95" customHeight="1">
      <c r="A69" s="293" t="str">
        <f>"1-210 -"&amp;L69</f>
        <v>1-210 -28</v>
      </c>
      <c r="B69" s="187" t="s">
        <v>1193</v>
      </c>
      <c r="C69" s="295" t="s">
        <v>1528</v>
      </c>
      <c r="D69" s="115">
        <f>VLOOKUP(L69,'210'!A:T,2,0)</f>
        <v>45605</v>
      </c>
      <c r="E69" s="271" t="str">
        <f>M69&amp;M70</f>
        <v>110 M3</v>
      </c>
      <c r="F69" s="115">
        <f>D69</f>
        <v>45605</v>
      </c>
      <c r="G69" s="282"/>
      <c r="H69" s="184" t="str">
        <f>N69&amp;M70</f>
        <v>2516 M3</v>
      </c>
      <c r="I69" s="264" t="s">
        <v>48</v>
      </c>
      <c r="J69" s="291" t="str">
        <f>IF(R69=0,"上  溢："&amp;S69,IF(Q69=0,"任  泰："&amp;R69&amp;"                 "&amp;"上  溢："&amp;S69,
"水利處："&amp;Q69&amp;"                 "&amp;"任  泰："&amp;R69&amp;"                 "&amp;"上  溢："&amp;S69))</f>
        <v>上  溢：周昱辰</v>
      </c>
      <c r="K69" s="264" t="s">
        <v>736</v>
      </c>
      <c r="L69" s="188">
        <f>L67+1</f>
        <v>28</v>
      </c>
      <c r="M69" s="128">
        <f>VLOOKUP(L69,'210'!A:T,5,0)</f>
        <v>110</v>
      </c>
      <c r="N69" s="128">
        <f>N67+M69</f>
        <v>2516</v>
      </c>
      <c r="O69" s="128">
        <f>VLOOKUP(L69,'210'!A:T,6,0)</f>
        <v>2</v>
      </c>
      <c r="P69" s="128">
        <f>P67+O69</f>
        <v>32</v>
      </c>
      <c r="Q69" s="128">
        <f>VLOOKUP(L69,'210'!A:T,18,0)</f>
        <v>0</v>
      </c>
      <c r="R69" s="128">
        <f>VLOOKUP(L69,'210'!A:T,19,0)</f>
        <v>0</v>
      </c>
      <c r="S69" s="128" t="str">
        <f>VLOOKUP(L69,'210'!A:T,20,0)</f>
        <v>周昱辰</v>
      </c>
      <c r="T69" s="137"/>
      <c r="U69" s="137"/>
      <c r="V69" s="137"/>
      <c r="W69" s="137"/>
      <c r="X69" s="137"/>
      <c r="Y69" s="137"/>
      <c r="Z69" s="137"/>
      <c r="AA69" s="137"/>
    </row>
    <row r="70" spans="1:27" s="138" customFormat="1" ht="51.95" customHeight="1">
      <c r="A70" s="294"/>
      <c r="B70" s="185" t="s">
        <v>1107</v>
      </c>
      <c r="C70" s="296"/>
      <c r="D70" s="116" t="str">
        <f>M69&amp;M70</f>
        <v>110 M3</v>
      </c>
      <c r="E70" s="272"/>
      <c r="F70" s="117" t="str">
        <f>E69&amp;CHAR(10)&amp;"("&amp;O69&amp;O70&amp;")"</f>
        <v>110 M3
(2組)</v>
      </c>
      <c r="G70" s="282"/>
      <c r="H70" s="184" t="str">
        <f>H69&amp;CHAR(10)&amp;"("&amp;P69&amp;O70&amp;")"</f>
        <v>2516 M3
(32組)</v>
      </c>
      <c r="I70" s="266"/>
      <c r="J70" s="292"/>
      <c r="K70" s="298"/>
      <c r="L70" s="127"/>
      <c r="M70" s="127" t="s">
        <v>201</v>
      </c>
      <c r="N70" s="128"/>
      <c r="O70" s="128" t="s">
        <v>204</v>
      </c>
      <c r="P70" s="128"/>
      <c r="Q70" s="128"/>
      <c r="R70" s="128"/>
      <c r="S70" s="128"/>
      <c r="T70" s="137"/>
      <c r="U70" s="137"/>
      <c r="V70" s="137"/>
      <c r="W70" s="137"/>
      <c r="X70" s="137"/>
      <c r="Y70" s="137"/>
      <c r="Z70" s="137"/>
      <c r="AA70" s="137"/>
    </row>
    <row r="71" spans="1:27" s="138" customFormat="1" ht="51.95" customHeight="1">
      <c r="A71" s="293" t="str">
        <f>"1-210 -"&amp;L71</f>
        <v>1-210 -29</v>
      </c>
      <c r="B71" s="187" t="s">
        <v>1193</v>
      </c>
      <c r="C71" s="295" t="s">
        <v>1528</v>
      </c>
      <c r="D71" s="115">
        <f>VLOOKUP(L71,'210'!A:T,2,0)</f>
        <v>45610</v>
      </c>
      <c r="E71" s="271" t="str">
        <f>M71&amp;M72</f>
        <v>102 M3</v>
      </c>
      <c r="F71" s="115">
        <f>D71</f>
        <v>45610</v>
      </c>
      <c r="G71" s="282"/>
      <c r="H71" s="184" t="str">
        <f>N71&amp;M72</f>
        <v>2618 M3</v>
      </c>
      <c r="I71" s="264" t="s">
        <v>48</v>
      </c>
      <c r="J71" s="291" t="str">
        <f>IF(R71=0,"上  溢："&amp;S71,IF(Q71=0,"任  泰："&amp;R71&amp;"                 "&amp;"上  溢："&amp;S71,
"水利處："&amp;Q71&amp;"                 "&amp;"任  泰："&amp;R71&amp;"                 "&amp;"上  溢："&amp;S71))</f>
        <v>上  溢：張志禕</v>
      </c>
      <c r="K71" s="264" t="s">
        <v>905</v>
      </c>
      <c r="L71" s="188">
        <f>L69+1</f>
        <v>29</v>
      </c>
      <c r="M71" s="128">
        <f>VLOOKUP(L71,'210'!A:T,5,0)</f>
        <v>102</v>
      </c>
      <c r="N71" s="128">
        <f>N69+M71</f>
        <v>2618</v>
      </c>
      <c r="O71" s="128">
        <f>VLOOKUP(L71,'210'!A:T,6,0)</f>
        <v>2</v>
      </c>
      <c r="P71" s="128">
        <f>P69+O71</f>
        <v>34</v>
      </c>
      <c r="Q71" s="128">
        <f>VLOOKUP(L71,'210'!A:T,18,0)</f>
        <v>0</v>
      </c>
      <c r="R71" s="128">
        <f>VLOOKUP(L71,'210'!A:T,19,0)</f>
        <v>0</v>
      </c>
      <c r="S71" s="128" t="str">
        <f>VLOOKUP(L71,'210'!A:T,20,0)</f>
        <v>張志禕</v>
      </c>
      <c r="T71" s="137"/>
      <c r="U71" s="137"/>
      <c r="V71" s="137"/>
      <c r="W71" s="137"/>
      <c r="X71" s="137"/>
      <c r="Y71" s="137"/>
      <c r="Z71" s="137"/>
      <c r="AA71" s="137"/>
    </row>
    <row r="72" spans="1:27" s="138" customFormat="1" ht="51.95" customHeight="1">
      <c r="A72" s="294"/>
      <c r="B72" s="185" t="s">
        <v>71</v>
      </c>
      <c r="C72" s="296"/>
      <c r="D72" s="116" t="str">
        <f>M71&amp;M72</f>
        <v>102 M3</v>
      </c>
      <c r="E72" s="272"/>
      <c r="F72" s="117" t="str">
        <f>E71&amp;CHAR(10)&amp;"("&amp;O71&amp;O72&amp;")"</f>
        <v>102 M3
(2組)</v>
      </c>
      <c r="G72" s="282"/>
      <c r="H72" s="184" t="str">
        <f>H71&amp;CHAR(10)&amp;"("&amp;P71&amp;O72&amp;")"</f>
        <v>2618 M3
(34組)</v>
      </c>
      <c r="I72" s="266"/>
      <c r="J72" s="292"/>
      <c r="K72" s="298"/>
      <c r="L72" s="127"/>
      <c r="M72" s="127" t="s">
        <v>201</v>
      </c>
      <c r="N72" s="128"/>
      <c r="O72" s="128" t="s">
        <v>204</v>
      </c>
      <c r="P72" s="128"/>
      <c r="Q72" s="128"/>
      <c r="R72" s="128"/>
      <c r="S72" s="128"/>
      <c r="T72" s="137"/>
      <c r="U72" s="137"/>
      <c r="V72" s="137"/>
      <c r="W72" s="137"/>
      <c r="X72" s="137"/>
      <c r="Y72" s="137"/>
      <c r="Z72" s="137"/>
      <c r="AA72" s="137"/>
    </row>
    <row r="73" spans="1:27" s="140" customFormat="1" ht="51.95" customHeight="1">
      <c r="A73" s="293" t="str">
        <f>"1-210 -"&amp;L73</f>
        <v>1-210 -30</v>
      </c>
      <c r="B73" s="187" t="s">
        <v>1193</v>
      </c>
      <c r="C73" s="295" t="s">
        <v>1528</v>
      </c>
      <c r="D73" s="115">
        <f>VLOOKUP(L73,'210'!A:T,2,0)</f>
        <v>45615</v>
      </c>
      <c r="E73" s="271" t="str">
        <f>M73&amp;M74</f>
        <v>95 M3</v>
      </c>
      <c r="F73" s="115">
        <f>D73</f>
        <v>45615</v>
      </c>
      <c r="G73" s="282"/>
      <c r="H73" s="184" t="str">
        <f>N73&amp;M74</f>
        <v>2713 M3</v>
      </c>
      <c r="I73" s="264" t="s">
        <v>48</v>
      </c>
      <c r="J73" s="291" t="str">
        <f>IF(R73=0,"上  溢："&amp;S73,IF(Q73=0,"任  泰："&amp;R73&amp;"                 "&amp;"上  溢："&amp;S73,
"水利處："&amp;Q73&amp;"                 "&amp;"任  泰："&amp;R73&amp;"                 "&amp;"上  溢："&amp;S73))</f>
        <v>任  泰：陳勇智                 上  溢：周昱辰</v>
      </c>
      <c r="K73" s="264" t="s">
        <v>906</v>
      </c>
      <c r="L73" s="188">
        <f>L71+1</f>
        <v>30</v>
      </c>
      <c r="M73" s="128">
        <f>VLOOKUP(L73,'210'!A:T,5,0)</f>
        <v>95</v>
      </c>
      <c r="N73" s="128">
        <f>N71+M73</f>
        <v>2713</v>
      </c>
      <c r="O73" s="128">
        <f>VLOOKUP(L73,'210'!A:T,6,0)</f>
        <v>1</v>
      </c>
      <c r="P73" s="128">
        <f>P71+O73</f>
        <v>35</v>
      </c>
      <c r="Q73" s="128">
        <f>VLOOKUP(L73,'210'!A:T,18,0)</f>
        <v>0</v>
      </c>
      <c r="R73" s="128" t="str">
        <f>VLOOKUP(L73,'210'!A:T,19,0)</f>
        <v>陳勇智</v>
      </c>
      <c r="S73" s="128" t="str">
        <f>VLOOKUP(L73,'210'!A:T,20,0)</f>
        <v>周昱辰</v>
      </c>
      <c r="T73" s="139"/>
      <c r="U73" s="139"/>
      <c r="V73" s="139"/>
      <c r="W73" s="139"/>
      <c r="X73" s="139"/>
      <c r="Y73" s="139"/>
      <c r="Z73" s="139"/>
      <c r="AA73" s="139"/>
    </row>
    <row r="74" spans="1:27" s="140" customFormat="1" ht="51.95" customHeight="1">
      <c r="A74" s="294"/>
      <c r="B74" s="185" t="s">
        <v>1107</v>
      </c>
      <c r="C74" s="296"/>
      <c r="D74" s="116" t="str">
        <f>M73&amp;M74</f>
        <v>95 M3</v>
      </c>
      <c r="E74" s="272"/>
      <c r="F74" s="117" t="str">
        <f>E73&amp;CHAR(10)&amp;"("&amp;O73&amp;O74&amp;")"</f>
        <v>95 M3
(1組)</v>
      </c>
      <c r="G74" s="265"/>
      <c r="H74" s="184" t="str">
        <f>H73&amp;CHAR(10)&amp;"("&amp;P73&amp;O74&amp;")"</f>
        <v>2713 M3
(35組)</v>
      </c>
      <c r="I74" s="266"/>
      <c r="J74" s="292"/>
      <c r="K74" s="298"/>
      <c r="L74" s="127"/>
      <c r="M74" s="127" t="s">
        <v>201</v>
      </c>
      <c r="N74" s="128"/>
      <c r="O74" s="128" t="s">
        <v>204</v>
      </c>
      <c r="P74" s="128"/>
      <c r="Q74" s="128"/>
      <c r="R74" s="128"/>
      <c r="S74" s="128"/>
      <c r="T74" s="139"/>
      <c r="U74" s="139"/>
      <c r="V74" s="139"/>
      <c r="W74" s="139"/>
      <c r="X74" s="139"/>
      <c r="Y74" s="139"/>
      <c r="Z74" s="139"/>
      <c r="AA74" s="139"/>
    </row>
    <row r="75" spans="1:27" s="142" customFormat="1" ht="49.5" customHeight="1">
      <c r="A75" s="260" t="s">
        <v>47</v>
      </c>
      <c r="B75" s="261"/>
      <c r="C75" s="262"/>
      <c r="D75" s="260" t="s">
        <v>1753</v>
      </c>
      <c r="E75" s="261"/>
      <c r="F75" s="261"/>
      <c r="G75" s="262"/>
      <c r="H75" s="260" t="s">
        <v>1755</v>
      </c>
      <c r="I75" s="261"/>
      <c r="J75" s="261"/>
      <c r="K75" s="262"/>
      <c r="M75" s="143"/>
      <c r="N75" s="143"/>
      <c r="O75" s="143"/>
      <c r="P75" s="143"/>
      <c r="Q75" s="143"/>
      <c r="R75" s="143"/>
      <c r="S75" s="143"/>
      <c r="T75" s="143"/>
      <c r="U75" s="143"/>
      <c r="V75" s="143"/>
      <c r="W75" s="143"/>
      <c r="X75" s="143"/>
      <c r="Y75" s="143"/>
      <c r="Z75" s="143"/>
      <c r="AA75" s="143"/>
    </row>
    <row r="76" spans="1:27" s="142" customFormat="1" ht="54" customHeight="1">
      <c r="A76" s="263" t="s">
        <v>1147</v>
      </c>
      <c r="B76" s="263"/>
      <c r="C76" s="263"/>
      <c r="D76" s="263"/>
      <c r="E76" s="263"/>
      <c r="F76" s="263"/>
      <c r="G76" s="263"/>
      <c r="H76" s="263"/>
      <c r="I76" s="263"/>
      <c r="J76" s="263"/>
      <c r="K76" s="263"/>
      <c r="M76" s="143"/>
      <c r="N76" s="143"/>
      <c r="O76" s="143"/>
      <c r="P76" s="143"/>
      <c r="Q76" s="143"/>
      <c r="R76" s="143"/>
      <c r="S76" s="143"/>
      <c r="T76" s="143"/>
      <c r="U76" s="143"/>
      <c r="V76" s="143"/>
      <c r="W76" s="143"/>
      <c r="X76" s="143"/>
      <c r="Y76" s="143"/>
      <c r="Z76" s="143"/>
      <c r="AA76" s="143"/>
    </row>
    <row r="77" spans="1:27" s="138" customFormat="1" ht="51.95" customHeight="1">
      <c r="A77" s="293" t="str">
        <f>"1-210 -"&amp;L77</f>
        <v>1-210 -31</v>
      </c>
      <c r="B77" s="187" t="s">
        <v>1193</v>
      </c>
      <c r="C77" s="295" t="s">
        <v>1528</v>
      </c>
      <c r="D77" s="115">
        <f>VLOOKUP(L77,'210'!A:T,2,0)</f>
        <v>45619</v>
      </c>
      <c r="E77" s="271" t="str">
        <f>M77&amp;M78</f>
        <v>95 M3</v>
      </c>
      <c r="F77" s="115">
        <f>D77</f>
        <v>45619</v>
      </c>
      <c r="G77" s="264" t="s">
        <v>145</v>
      </c>
      <c r="H77" s="184" t="str">
        <f>N77&amp;M78</f>
        <v>2808 M3</v>
      </c>
      <c r="I77" s="264" t="s">
        <v>48</v>
      </c>
      <c r="J77" s="291" t="str">
        <f>IF(R77=0,"上  溢："&amp;S77,IF(Q77=0,"任  泰："&amp;R77&amp;"                 "&amp;"上  溢："&amp;S77,
"水利處："&amp;Q77&amp;"                 "&amp;"任  泰："&amp;R77&amp;"                 "&amp;"上  溢："&amp;S77))</f>
        <v>任  泰：王淑慧                 上  溢：周昱辰</v>
      </c>
      <c r="K77" s="264" t="s">
        <v>825</v>
      </c>
      <c r="L77" s="188">
        <f>L73+1</f>
        <v>31</v>
      </c>
      <c r="M77" s="128">
        <f>VLOOKUP(L77,'210'!A:T,5,0)</f>
        <v>95</v>
      </c>
      <c r="N77" s="128">
        <f>N73+M77</f>
        <v>2808</v>
      </c>
      <c r="O77" s="128">
        <f>VLOOKUP(L77,'210'!A:T,6,0)</f>
        <v>1</v>
      </c>
      <c r="P77" s="128">
        <f>P73+O77</f>
        <v>36</v>
      </c>
      <c r="Q77" s="128">
        <f>VLOOKUP(L77,'210'!A:T,18,0)</f>
        <v>0</v>
      </c>
      <c r="R77" s="128" t="str">
        <f>VLOOKUP(L77,'210'!A:T,19,0)</f>
        <v>王淑慧</v>
      </c>
      <c r="S77" s="128" t="str">
        <f>VLOOKUP(L77,'210'!A:T,20,0)</f>
        <v>周昱辰</v>
      </c>
      <c r="T77" s="137"/>
      <c r="U77" s="137"/>
      <c r="V77" s="137"/>
      <c r="W77" s="137"/>
      <c r="X77" s="137"/>
      <c r="Y77" s="137"/>
      <c r="Z77" s="137"/>
      <c r="AA77" s="137"/>
    </row>
    <row r="78" spans="1:27" s="138" customFormat="1" ht="51.95" customHeight="1">
      <c r="A78" s="294"/>
      <c r="B78" s="185" t="s">
        <v>1107</v>
      </c>
      <c r="C78" s="296"/>
      <c r="D78" s="116" t="str">
        <f>M77&amp;M78</f>
        <v>95 M3</v>
      </c>
      <c r="E78" s="272"/>
      <c r="F78" s="117" t="str">
        <f>E77&amp;CHAR(10)&amp;"("&amp;O77&amp;O78&amp;")"</f>
        <v>95 M3
(1組)</v>
      </c>
      <c r="G78" s="282"/>
      <c r="H78" s="184" t="str">
        <f>H77&amp;CHAR(10)&amp;"("&amp;P77&amp;O78&amp;")"</f>
        <v>2808 M3
(36組)</v>
      </c>
      <c r="I78" s="266"/>
      <c r="J78" s="292"/>
      <c r="K78" s="298"/>
      <c r="L78" s="127"/>
      <c r="M78" s="127" t="s">
        <v>201</v>
      </c>
      <c r="N78" s="128"/>
      <c r="O78" s="128" t="s">
        <v>204</v>
      </c>
      <c r="P78" s="128"/>
      <c r="Q78" s="128"/>
      <c r="R78" s="128"/>
      <c r="S78" s="128"/>
      <c r="T78" s="137"/>
      <c r="U78" s="137"/>
      <c r="V78" s="137"/>
      <c r="W78" s="137"/>
      <c r="X78" s="137"/>
      <c r="Y78" s="137"/>
      <c r="Z78" s="137"/>
      <c r="AA78" s="137"/>
    </row>
    <row r="79" spans="1:27" s="138" customFormat="1" ht="51.95" customHeight="1">
      <c r="A79" s="293" t="str">
        <f>"1-210 -"&amp;L79</f>
        <v>1-210 -32</v>
      </c>
      <c r="B79" s="187" t="s">
        <v>1193</v>
      </c>
      <c r="C79" s="295" t="s">
        <v>1528</v>
      </c>
      <c r="D79" s="115">
        <f>VLOOKUP(L79,'210'!A:T,2,0)</f>
        <v>45626</v>
      </c>
      <c r="E79" s="271" t="str">
        <f>M79&amp;M80</f>
        <v>99 M3</v>
      </c>
      <c r="F79" s="115">
        <f>D79</f>
        <v>45626</v>
      </c>
      <c r="G79" s="282"/>
      <c r="H79" s="184" t="str">
        <f>N79&amp;M80</f>
        <v>2907 M3</v>
      </c>
      <c r="I79" s="264" t="s">
        <v>48</v>
      </c>
      <c r="J79" s="291" t="str">
        <f>IF(R79=0,"上  溢："&amp;S79,IF(Q79=0,"任  泰："&amp;R79&amp;"                 "&amp;"上  溢："&amp;S79,
"水利處："&amp;Q79&amp;"                 "&amp;"任  泰："&amp;R79&amp;"                 "&amp;"上  溢："&amp;S79))</f>
        <v>上  溢：周昱辰</v>
      </c>
      <c r="K79" s="264" t="s">
        <v>873</v>
      </c>
      <c r="L79" s="188">
        <f>L77+1</f>
        <v>32</v>
      </c>
      <c r="M79" s="128">
        <f>VLOOKUP(L79,'210'!A:T,5,0)</f>
        <v>99</v>
      </c>
      <c r="N79" s="128">
        <f>N77+M79</f>
        <v>2907</v>
      </c>
      <c r="O79" s="128">
        <f>VLOOKUP(L79,'210'!A:T,6,0)</f>
        <v>1</v>
      </c>
      <c r="P79" s="128">
        <f>P77+O79</f>
        <v>37</v>
      </c>
      <c r="Q79" s="128">
        <f>VLOOKUP(L79,'210'!A:T,18,0)</f>
        <v>0</v>
      </c>
      <c r="R79" s="128">
        <f>VLOOKUP(L79,'210'!A:T,19,0)</f>
        <v>0</v>
      </c>
      <c r="S79" s="128" t="str">
        <f>VLOOKUP(L79,'210'!A:T,20,0)</f>
        <v>周昱辰</v>
      </c>
      <c r="T79" s="137"/>
      <c r="U79" s="137"/>
      <c r="V79" s="137"/>
      <c r="W79" s="137"/>
      <c r="X79" s="137"/>
      <c r="Y79" s="137"/>
      <c r="Z79" s="137"/>
      <c r="AA79" s="137"/>
    </row>
    <row r="80" spans="1:27" s="138" customFormat="1" ht="51.95" customHeight="1">
      <c r="A80" s="294"/>
      <c r="B80" s="185" t="s">
        <v>1107</v>
      </c>
      <c r="C80" s="296"/>
      <c r="D80" s="116" t="str">
        <f>M79&amp;M80</f>
        <v>99 M3</v>
      </c>
      <c r="E80" s="272"/>
      <c r="F80" s="117" t="str">
        <f>E79&amp;CHAR(10)&amp;"("&amp;O79&amp;O80&amp;")"</f>
        <v>99 M3
(1組)</v>
      </c>
      <c r="G80" s="282"/>
      <c r="H80" s="184" t="str">
        <f>H79&amp;CHAR(10)&amp;"("&amp;P79&amp;O80&amp;")"</f>
        <v>2907 M3
(37組)</v>
      </c>
      <c r="I80" s="266"/>
      <c r="J80" s="292"/>
      <c r="K80" s="298"/>
      <c r="L80" s="127"/>
      <c r="M80" s="127" t="s">
        <v>201</v>
      </c>
      <c r="N80" s="128"/>
      <c r="O80" s="128" t="s">
        <v>204</v>
      </c>
      <c r="P80" s="128"/>
      <c r="Q80" s="128"/>
      <c r="R80" s="128"/>
      <c r="S80" s="128"/>
      <c r="T80" s="137"/>
      <c r="U80" s="137"/>
      <c r="V80" s="137"/>
      <c r="W80" s="137"/>
      <c r="X80" s="137"/>
      <c r="Y80" s="137"/>
      <c r="Z80" s="137"/>
      <c r="AA80" s="137"/>
    </row>
    <row r="81" spans="1:27" s="138" customFormat="1" ht="51.95" customHeight="1">
      <c r="A81" s="293" t="str">
        <f>"1-210 -"&amp;L81</f>
        <v>1-210 -33</v>
      </c>
      <c r="B81" s="187" t="s">
        <v>1193</v>
      </c>
      <c r="C81" s="295" t="s">
        <v>1528</v>
      </c>
      <c r="D81" s="115">
        <f>VLOOKUP(L81,'210'!A:T,2,0)</f>
        <v>45632</v>
      </c>
      <c r="E81" s="271" t="str">
        <f>M81&amp;M82</f>
        <v>12 M3</v>
      </c>
      <c r="F81" s="115">
        <f>D81</f>
        <v>45632</v>
      </c>
      <c r="G81" s="282"/>
      <c r="H81" s="184" t="str">
        <f>N81&amp;M82</f>
        <v>2919 M3</v>
      </c>
      <c r="I81" s="278" t="str">
        <f>IF(K81="","","合格")</f>
        <v>合格</v>
      </c>
      <c r="J81" s="291" t="str">
        <f>IF(R81=0,"上  溢："&amp;S81,IF(Q81=0,"任  泰："&amp;R81&amp;"                 "&amp;"上  溢："&amp;S81,
"水利處："&amp;Q81&amp;"                 "&amp;"任  泰："&amp;R81&amp;"                 "&amp;"上  溢："&amp;S81))</f>
        <v>上  溢：周昱辰</v>
      </c>
      <c r="K81" s="124" t="s">
        <v>211</v>
      </c>
      <c r="L81" s="188">
        <f>L79+1</f>
        <v>33</v>
      </c>
      <c r="M81" s="128">
        <f>VLOOKUP(L81,'210'!A:T,5,0)</f>
        <v>12</v>
      </c>
      <c r="N81" s="128">
        <f>N79+M81</f>
        <v>2919</v>
      </c>
      <c r="O81" s="128">
        <f>VLOOKUP(L81,'210'!A:T,6,0)</f>
        <v>0</v>
      </c>
      <c r="P81" s="128">
        <f>P79+O81</f>
        <v>37</v>
      </c>
      <c r="Q81" s="128">
        <f>VLOOKUP(L81,'210'!A:T,18,0)</f>
        <v>0</v>
      </c>
      <c r="R81" s="128">
        <f>VLOOKUP(L81,'210'!A:T,19,0)</f>
        <v>0</v>
      </c>
      <c r="S81" s="128" t="str">
        <f>VLOOKUP(L81,'210'!A:T,20,0)</f>
        <v>周昱辰</v>
      </c>
      <c r="T81" s="137"/>
      <c r="U81" s="137"/>
      <c r="V81" s="137"/>
      <c r="W81" s="137"/>
      <c r="X81" s="137"/>
      <c r="Y81" s="137"/>
      <c r="Z81" s="137"/>
      <c r="AA81" s="137"/>
    </row>
    <row r="82" spans="1:27" s="138" customFormat="1" ht="51.95" customHeight="1">
      <c r="A82" s="294"/>
      <c r="B82" s="185" t="s">
        <v>71</v>
      </c>
      <c r="C82" s="296"/>
      <c r="D82" s="116" t="str">
        <f>M81&amp;M82</f>
        <v>12 M3</v>
      </c>
      <c r="E82" s="272"/>
      <c r="F82" s="117" t="str">
        <f>E81&amp;CHAR(10)&amp;"("&amp;O81&amp;O82&amp;")"</f>
        <v>12 M3
(0組)</v>
      </c>
      <c r="G82" s="282"/>
      <c r="H82" s="184" t="str">
        <f>H81&amp;CHAR(10)&amp;"("&amp;P81&amp;O82&amp;")"</f>
        <v>2919 M3
(37組)</v>
      </c>
      <c r="I82" s="279"/>
      <c r="J82" s="292"/>
      <c r="K82" s="124" t="s">
        <v>653</v>
      </c>
      <c r="L82" s="127"/>
      <c r="M82" s="127" t="s">
        <v>201</v>
      </c>
      <c r="N82" s="128"/>
      <c r="O82" s="128" t="s">
        <v>204</v>
      </c>
      <c r="P82" s="128"/>
      <c r="Q82" s="128"/>
      <c r="R82" s="128"/>
      <c r="S82" s="128"/>
      <c r="T82" s="137"/>
      <c r="U82" s="137"/>
      <c r="V82" s="137"/>
      <c r="W82" s="137"/>
      <c r="X82" s="137"/>
      <c r="Y82" s="137"/>
      <c r="Z82" s="137"/>
      <c r="AA82" s="137"/>
    </row>
    <row r="83" spans="1:27" s="140" customFormat="1" ht="51.95" customHeight="1">
      <c r="A83" s="293" t="str">
        <f>"1-210 -"&amp;L83</f>
        <v>1-210 -34</v>
      </c>
      <c r="B83" s="187" t="s">
        <v>1193</v>
      </c>
      <c r="C83" s="295" t="s">
        <v>1528</v>
      </c>
      <c r="D83" s="115">
        <f>VLOOKUP(L83,'210'!A:T,2,0)</f>
        <v>45639</v>
      </c>
      <c r="E83" s="271" t="str">
        <f>M83&amp;M84</f>
        <v>68 M3</v>
      </c>
      <c r="F83" s="115">
        <f>D83</f>
        <v>45639</v>
      </c>
      <c r="G83" s="282"/>
      <c r="H83" s="184" t="str">
        <f>N83&amp;M84</f>
        <v>2987 M3</v>
      </c>
      <c r="I83" s="264" t="s">
        <v>48</v>
      </c>
      <c r="J83" s="291" t="str">
        <f>IF(R83=0,"上  溢："&amp;S83,IF(Q83=0,"任  泰："&amp;R83&amp;"                 "&amp;"上  溢："&amp;S83,
"水利處："&amp;Q83&amp;"                 "&amp;"任  泰："&amp;R83&amp;"                 "&amp;"上  溢："&amp;S83))</f>
        <v>水利處：李晏然                 任  泰：陳勇智                 上  溢：周昱辰</v>
      </c>
      <c r="K83" s="264" t="s">
        <v>874</v>
      </c>
      <c r="L83" s="188">
        <f>L81+1</f>
        <v>34</v>
      </c>
      <c r="M83" s="128">
        <f>VLOOKUP(L83,'210'!A:T,5,0)</f>
        <v>68</v>
      </c>
      <c r="N83" s="128">
        <f>N81+M83</f>
        <v>2987</v>
      </c>
      <c r="O83" s="128">
        <f>VLOOKUP(L83,'210'!A:T,6,0)</f>
        <v>1</v>
      </c>
      <c r="P83" s="128">
        <f>P81+O83</f>
        <v>38</v>
      </c>
      <c r="Q83" s="128" t="str">
        <f>VLOOKUP(L83,'210'!A:T,18,0)</f>
        <v>李晏然</v>
      </c>
      <c r="R83" s="128" t="str">
        <f>VLOOKUP(L83,'210'!A:T,19,0)</f>
        <v>陳勇智</v>
      </c>
      <c r="S83" s="128" t="str">
        <f>VLOOKUP(L83,'210'!A:T,20,0)</f>
        <v>周昱辰</v>
      </c>
      <c r="T83" s="139"/>
      <c r="U83" s="139"/>
      <c r="V83" s="139"/>
      <c r="W83" s="139"/>
      <c r="X83" s="139"/>
      <c r="Y83" s="139"/>
      <c r="Z83" s="139"/>
      <c r="AA83" s="139"/>
    </row>
    <row r="84" spans="1:27" s="140" customFormat="1" ht="51.95" customHeight="1">
      <c r="A84" s="294"/>
      <c r="B84" s="185" t="s">
        <v>71</v>
      </c>
      <c r="C84" s="296"/>
      <c r="D84" s="116" t="str">
        <f>M83&amp;M84</f>
        <v>68 M3</v>
      </c>
      <c r="E84" s="272"/>
      <c r="F84" s="117" t="str">
        <f>E83&amp;CHAR(10)&amp;"("&amp;O83&amp;O84&amp;")"</f>
        <v>68 M3
(1組)</v>
      </c>
      <c r="G84" s="282"/>
      <c r="H84" s="184" t="str">
        <f>H83&amp;CHAR(10)&amp;"("&amp;P83&amp;O84&amp;")"</f>
        <v>2987 M3
(38組)</v>
      </c>
      <c r="I84" s="266"/>
      <c r="J84" s="292"/>
      <c r="K84" s="298"/>
      <c r="L84" s="127"/>
      <c r="M84" s="127" t="s">
        <v>201</v>
      </c>
      <c r="N84" s="128"/>
      <c r="O84" s="128" t="s">
        <v>204</v>
      </c>
      <c r="P84" s="128"/>
      <c r="Q84" s="128"/>
      <c r="R84" s="128"/>
      <c r="S84" s="128"/>
      <c r="T84" s="139"/>
      <c r="U84" s="139"/>
      <c r="V84" s="139"/>
      <c r="W84" s="139"/>
      <c r="X84" s="139"/>
      <c r="Y84" s="139"/>
      <c r="Z84" s="139"/>
      <c r="AA84" s="139"/>
    </row>
    <row r="85" spans="1:27" s="138" customFormat="1" ht="51.95" customHeight="1">
      <c r="A85" s="293" t="str">
        <f>"1-210 -"&amp;L85</f>
        <v>1-210 -35</v>
      </c>
      <c r="B85" s="187" t="s">
        <v>1193</v>
      </c>
      <c r="C85" s="295" t="s">
        <v>1528</v>
      </c>
      <c r="D85" s="115">
        <f>VLOOKUP(L85,'210'!A:T,2,0)</f>
        <v>45646</v>
      </c>
      <c r="E85" s="271" t="str">
        <f>M85&amp;M86</f>
        <v>118 M3</v>
      </c>
      <c r="F85" s="115">
        <f>D85</f>
        <v>45646</v>
      </c>
      <c r="G85" s="282"/>
      <c r="H85" s="184" t="str">
        <f>N85&amp;M86</f>
        <v>3105 M3</v>
      </c>
      <c r="I85" s="264" t="s">
        <v>48</v>
      </c>
      <c r="J85" s="291" t="str">
        <f>IF(R85=0,"上  溢："&amp;S85,IF(Q85=0,"任  泰："&amp;R85&amp;"                 "&amp;"上  溢："&amp;S85,
"水利處："&amp;Q85&amp;"                 "&amp;"任  泰："&amp;R85&amp;"                 "&amp;"上  溢："&amp;S85))</f>
        <v>水利處：李晏然                 任  泰：陳勇智                 上  溢：周昱辰</v>
      </c>
      <c r="K85" s="264" t="s">
        <v>835</v>
      </c>
      <c r="L85" s="188">
        <f>L83+1</f>
        <v>35</v>
      </c>
      <c r="M85" s="128">
        <f>VLOOKUP(L85,'210'!A:T,5,0)</f>
        <v>118</v>
      </c>
      <c r="N85" s="128">
        <f>N83+M85</f>
        <v>3105</v>
      </c>
      <c r="O85" s="128">
        <f>VLOOKUP(L85,'210'!A:T,6,0)</f>
        <v>2</v>
      </c>
      <c r="P85" s="128">
        <f>P83+O85</f>
        <v>40</v>
      </c>
      <c r="Q85" s="128" t="str">
        <f>VLOOKUP(L85,'210'!A:T,18,0)</f>
        <v>李晏然</v>
      </c>
      <c r="R85" s="128" t="str">
        <f>VLOOKUP(L85,'210'!A:T,19,0)</f>
        <v>陳勇智</v>
      </c>
      <c r="S85" s="128" t="str">
        <f>VLOOKUP(L85,'210'!A:T,20,0)</f>
        <v>周昱辰</v>
      </c>
      <c r="T85" s="137"/>
      <c r="U85" s="137"/>
      <c r="V85" s="137"/>
      <c r="W85" s="137"/>
      <c r="X85" s="137"/>
      <c r="Y85" s="137"/>
      <c r="Z85" s="137"/>
      <c r="AA85" s="137"/>
    </row>
    <row r="86" spans="1:27" s="138" customFormat="1" ht="51.95" customHeight="1">
      <c r="A86" s="294"/>
      <c r="B86" s="185" t="s">
        <v>71</v>
      </c>
      <c r="C86" s="296"/>
      <c r="D86" s="116" t="str">
        <f>M85&amp;M86</f>
        <v>118 M3</v>
      </c>
      <c r="E86" s="272"/>
      <c r="F86" s="117" t="str">
        <f>E85&amp;CHAR(10)&amp;"("&amp;O85&amp;O86&amp;")"</f>
        <v>118 M3
(2組)</v>
      </c>
      <c r="G86" s="282"/>
      <c r="H86" s="184" t="str">
        <f>H85&amp;CHAR(10)&amp;"("&amp;P85&amp;O86&amp;")"</f>
        <v>3105 M3
(40組)</v>
      </c>
      <c r="I86" s="266"/>
      <c r="J86" s="292"/>
      <c r="K86" s="298"/>
      <c r="L86" s="127"/>
      <c r="M86" s="127" t="s">
        <v>201</v>
      </c>
      <c r="N86" s="128"/>
      <c r="O86" s="128" t="s">
        <v>204</v>
      </c>
      <c r="P86" s="128"/>
      <c r="Q86" s="128"/>
      <c r="R86" s="128"/>
      <c r="S86" s="128"/>
      <c r="T86" s="137"/>
      <c r="U86" s="137"/>
      <c r="V86" s="137"/>
      <c r="W86" s="137"/>
      <c r="X86" s="137"/>
      <c r="Y86" s="137"/>
      <c r="Z86" s="137"/>
      <c r="AA86" s="137"/>
    </row>
    <row r="87" spans="1:27" s="138" customFormat="1" ht="51.95" customHeight="1">
      <c r="A87" s="293" t="str">
        <f>"1-210 -"&amp;L87</f>
        <v>1-210 -36</v>
      </c>
      <c r="B87" s="187" t="s">
        <v>1193</v>
      </c>
      <c r="C87" s="295" t="s">
        <v>1528</v>
      </c>
      <c r="D87" s="115">
        <f>VLOOKUP(L87,'210'!A:T,2,0)</f>
        <v>45699</v>
      </c>
      <c r="E87" s="271" t="str">
        <f>M87&amp;M88</f>
        <v>45 M3</v>
      </c>
      <c r="F87" s="115">
        <f>D87</f>
        <v>45699</v>
      </c>
      <c r="G87" s="282"/>
      <c r="H87" s="184" t="str">
        <f>N87&amp;M88</f>
        <v>3150 M3</v>
      </c>
      <c r="I87" s="264" t="s">
        <v>48</v>
      </c>
      <c r="J87" s="291" t="str">
        <f>IF(R87=0,"上  溢："&amp;S87,IF(Q87=0,"任  泰："&amp;R87&amp;"                 "&amp;"上  溢："&amp;S87,
"水利處："&amp;Q87&amp;"                 "&amp;"任  泰："&amp;R87&amp;"                 "&amp;"上  溢："&amp;S87))</f>
        <v>任  泰：陳勇智                 上  溢：康祐銓</v>
      </c>
      <c r="K87" s="264" t="s">
        <v>947</v>
      </c>
      <c r="L87" s="188">
        <f>L85+1</f>
        <v>36</v>
      </c>
      <c r="M87" s="128">
        <f>VLOOKUP(L87,'210'!A:T,5,0)</f>
        <v>45</v>
      </c>
      <c r="N87" s="128">
        <f>N85+M87</f>
        <v>3150</v>
      </c>
      <c r="O87" s="128">
        <f>VLOOKUP(L87,'210'!A:T,6,0)</f>
        <v>1</v>
      </c>
      <c r="P87" s="128">
        <f>P85+O87</f>
        <v>41</v>
      </c>
      <c r="Q87" s="128">
        <f>VLOOKUP(L87,'210'!A:T,18,0)</f>
        <v>0</v>
      </c>
      <c r="R87" s="128" t="str">
        <f>VLOOKUP(L87,'210'!A:T,19,0)</f>
        <v>陳勇智</v>
      </c>
      <c r="S87" s="128" t="str">
        <f>VLOOKUP(L87,'210'!A:T,20,0)</f>
        <v>康祐銓</v>
      </c>
      <c r="T87" s="137"/>
      <c r="U87" s="137"/>
      <c r="V87" s="137"/>
      <c r="W87" s="137"/>
      <c r="X87" s="137"/>
      <c r="Y87" s="137"/>
      <c r="Z87" s="137"/>
      <c r="AA87" s="137"/>
    </row>
    <row r="88" spans="1:27" s="138" customFormat="1" ht="51.95" customHeight="1">
      <c r="A88" s="294"/>
      <c r="B88" s="185" t="s">
        <v>71</v>
      </c>
      <c r="C88" s="296"/>
      <c r="D88" s="116" t="str">
        <f>M87&amp;M88</f>
        <v>45 M3</v>
      </c>
      <c r="E88" s="272"/>
      <c r="F88" s="117" t="str">
        <f>E87&amp;CHAR(10)&amp;"("&amp;O87&amp;O88&amp;")"</f>
        <v>45 M3
(1組)</v>
      </c>
      <c r="G88" s="265"/>
      <c r="H88" s="184" t="str">
        <f>H87&amp;CHAR(10)&amp;"("&amp;P87&amp;O88&amp;")"</f>
        <v>3150 M3
(41組)</v>
      </c>
      <c r="I88" s="266"/>
      <c r="J88" s="292"/>
      <c r="K88" s="298"/>
      <c r="L88" s="127"/>
      <c r="M88" s="127" t="s">
        <v>201</v>
      </c>
      <c r="N88" s="128"/>
      <c r="O88" s="128" t="s">
        <v>204</v>
      </c>
      <c r="P88" s="128"/>
      <c r="Q88" s="128"/>
      <c r="R88" s="128"/>
      <c r="S88" s="128"/>
      <c r="T88" s="137"/>
      <c r="U88" s="137"/>
      <c r="V88" s="137"/>
      <c r="W88" s="137"/>
      <c r="X88" s="137"/>
      <c r="Y88" s="137"/>
      <c r="Z88" s="137"/>
      <c r="AA88" s="137"/>
    </row>
    <row r="89" spans="1:27" s="142" customFormat="1" ht="49.5" customHeight="1">
      <c r="A89" s="260" t="s">
        <v>47</v>
      </c>
      <c r="B89" s="261"/>
      <c r="C89" s="262"/>
      <c r="D89" s="260" t="s">
        <v>1753</v>
      </c>
      <c r="E89" s="261"/>
      <c r="F89" s="261"/>
      <c r="G89" s="262"/>
      <c r="H89" s="260" t="s">
        <v>1755</v>
      </c>
      <c r="I89" s="261"/>
      <c r="J89" s="261"/>
      <c r="K89" s="262"/>
      <c r="M89" s="143"/>
      <c r="N89" s="143"/>
      <c r="O89" s="143"/>
      <c r="P89" s="143"/>
      <c r="Q89" s="143"/>
      <c r="R89" s="143"/>
      <c r="S89" s="143"/>
      <c r="T89" s="143"/>
      <c r="U89" s="143"/>
      <c r="V89" s="143"/>
      <c r="W89" s="143"/>
      <c r="X89" s="143"/>
      <c r="Y89" s="143"/>
      <c r="Z89" s="143"/>
      <c r="AA89" s="143"/>
    </row>
    <row r="90" spans="1:27" s="142" customFormat="1" ht="54" customHeight="1">
      <c r="A90" s="263" t="s">
        <v>1147</v>
      </c>
      <c r="B90" s="263"/>
      <c r="C90" s="263"/>
      <c r="D90" s="263"/>
      <c r="E90" s="263"/>
      <c r="F90" s="263"/>
      <c r="G90" s="263"/>
      <c r="H90" s="263"/>
      <c r="I90" s="263"/>
      <c r="J90" s="263"/>
      <c r="K90" s="263"/>
      <c r="M90" s="143"/>
      <c r="N90" s="143"/>
      <c r="O90" s="143"/>
      <c r="P90" s="143"/>
      <c r="Q90" s="143"/>
      <c r="R90" s="143"/>
      <c r="S90" s="143"/>
      <c r="T90" s="143"/>
      <c r="U90" s="143"/>
      <c r="V90" s="143"/>
      <c r="W90" s="143"/>
      <c r="X90" s="143"/>
      <c r="Y90" s="143"/>
      <c r="Z90" s="143"/>
      <c r="AA90" s="143"/>
    </row>
    <row r="91" spans="1:27" s="138" customFormat="1" ht="51.95" customHeight="1">
      <c r="A91" s="293" t="str">
        <f>"1-210 -"&amp;L91</f>
        <v>1-210 -37</v>
      </c>
      <c r="B91" s="187" t="s">
        <v>1193</v>
      </c>
      <c r="C91" s="295" t="s">
        <v>1528</v>
      </c>
      <c r="D91" s="115">
        <f>VLOOKUP(L91,'210'!A:T,2,0)</f>
        <v>45700</v>
      </c>
      <c r="E91" s="271" t="str">
        <f>M91&amp;M92</f>
        <v>45 M3</v>
      </c>
      <c r="F91" s="115">
        <f>D91</f>
        <v>45700</v>
      </c>
      <c r="G91" s="264" t="s">
        <v>145</v>
      </c>
      <c r="H91" s="184" t="str">
        <f>N91&amp;M92</f>
        <v>3195 M3</v>
      </c>
      <c r="I91" s="264" t="s">
        <v>48</v>
      </c>
      <c r="J91" s="291" t="str">
        <f>IF(R91=0,"上  溢："&amp;S91,IF(Q91=0,"任  泰："&amp;R91&amp;"                 "&amp;"上  溢："&amp;S91,
"水利處："&amp;Q91&amp;"                 "&amp;"任  泰："&amp;R91&amp;"                 "&amp;"上  溢："&amp;S91))</f>
        <v>上  溢：康祐銓</v>
      </c>
      <c r="K91" s="264" t="s">
        <v>948</v>
      </c>
      <c r="L91" s="188">
        <f>L87+1</f>
        <v>37</v>
      </c>
      <c r="M91" s="128">
        <f>VLOOKUP(L91,'210'!A:T,5,0)</f>
        <v>45</v>
      </c>
      <c r="N91" s="128">
        <f>N87+M91</f>
        <v>3195</v>
      </c>
      <c r="O91" s="128">
        <f>VLOOKUP(L91,'210'!A:T,6,0)</f>
        <v>1</v>
      </c>
      <c r="P91" s="128">
        <f>P87+O91</f>
        <v>42</v>
      </c>
      <c r="Q91" s="128">
        <f>VLOOKUP(L91,'210'!A:T,18,0)</f>
        <v>0</v>
      </c>
      <c r="R91" s="128">
        <f>VLOOKUP(L91,'210'!A:T,19,0)</f>
        <v>0</v>
      </c>
      <c r="S91" s="128" t="str">
        <f>VLOOKUP(L91,'210'!A:T,20,0)</f>
        <v>康祐銓</v>
      </c>
      <c r="T91" s="137"/>
      <c r="U91" s="137"/>
      <c r="V91" s="137"/>
      <c r="W91" s="137"/>
      <c r="X91" s="137"/>
      <c r="Y91" s="137"/>
      <c r="Z91" s="137"/>
      <c r="AA91" s="137"/>
    </row>
    <row r="92" spans="1:27" s="138" customFormat="1" ht="51.95" customHeight="1">
      <c r="A92" s="294"/>
      <c r="B92" s="185" t="s">
        <v>71</v>
      </c>
      <c r="C92" s="296"/>
      <c r="D92" s="116" t="str">
        <f>M91&amp;M92</f>
        <v>45 M3</v>
      </c>
      <c r="E92" s="272"/>
      <c r="F92" s="117" t="str">
        <f>E91&amp;CHAR(10)&amp;"("&amp;O91&amp;O92&amp;")"</f>
        <v>45 M3
(1組)</v>
      </c>
      <c r="G92" s="282"/>
      <c r="H92" s="184" t="str">
        <f>H91&amp;CHAR(10)&amp;"("&amp;P91&amp;O92&amp;")"</f>
        <v>3195 M3
(42組)</v>
      </c>
      <c r="I92" s="266"/>
      <c r="J92" s="292"/>
      <c r="K92" s="298"/>
      <c r="L92" s="127"/>
      <c r="M92" s="127" t="s">
        <v>201</v>
      </c>
      <c r="N92" s="128"/>
      <c r="O92" s="128" t="s">
        <v>204</v>
      </c>
      <c r="P92" s="128"/>
      <c r="Q92" s="128"/>
      <c r="R92" s="128"/>
      <c r="S92" s="128"/>
      <c r="T92" s="137"/>
      <c r="U92" s="137"/>
      <c r="V92" s="137"/>
      <c r="W92" s="137"/>
      <c r="X92" s="137"/>
      <c r="Y92" s="137"/>
      <c r="Z92" s="137"/>
      <c r="AA92" s="137"/>
    </row>
    <row r="93" spans="1:27" s="140" customFormat="1" ht="51.95" customHeight="1">
      <c r="A93" s="293" t="str">
        <f>"1-210 -"&amp;L93</f>
        <v>1-210 -38</v>
      </c>
      <c r="B93" s="187" t="s">
        <v>1193</v>
      </c>
      <c r="C93" s="295" t="s">
        <v>1528</v>
      </c>
      <c r="D93" s="115">
        <f>VLOOKUP(L93,'210'!A:T,2,0)</f>
        <v>45703</v>
      </c>
      <c r="E93" s="271" t="str">
        <f>M93&amp;M94</f>
        <v>18 M3</v>
      </c>
      <c r="F93" s="115">
        <f>D93</f>
        <v>45703</v>
      </c>
      <c r="G93" s="282"/>
      <c r="H93" s="184" t="str">
        <f>N93&amp;M94</f>
        <v>3213 M3</v>
      </c>
      <c r="I93" s="278" t="s">
        <v>1201</v>
      </c>
      <c r="J93" s="291" t="str">
        <f>IF(R93=0,"上  溢："&amp;S93,IF(Q93=0,"任  泰："&amp;R93&amp;"                 "&amp;"上  溢："&amp;S93,
"水利處："&amp;Q93&amp;"                 "&amp;"任  泰："&amp;R93&amp;"                 "&amp;"上  溢："&amp;S93))</f>
        <v>上  溢：康祐銓</v>
      </c>
      <c r="K93" s="124" t="s">
        <v>211</v>
      </c>
      <c r="L93" s="188">
        <f>L91+1</f>
        <v>38</v>
      </c>
      <c r="M93" s="128">
        <f>VLOOKUP(L93,'210'!A:T,5,0)</f>
        <v>18</v>
      </c>
      <c r="N93" s="128">
        <f>N91+M93</f>
        <v>3213</v>
      </c>
      <c r="O93" s="128">
        <f>VLOOKUP(L93,'210'!A:T,6,0)</f>
        <v>0</v>
      </c>
      <c r="P93" s="128">
        <f>P91+O93</f>
        <v>42</v>
      </c>
      <c r="Q93" s="128">
        <f>VLOOKUP(L93,'210'!A:T,18,0)</f>
        <v>0</v>
      </c>
      <c r="R93" s="128">
        <f>VLOOKUP(L93,'210'!A:T,19,0)</f>
        <v>0</v>
      </c>
      <c r="S93" s="128" t="str">
        <f>VLOOKUP(L93,'210'!A:T,20,0)</f>
        <v>康祐銓</v>
      </c>
      <c r="T93" s="139"/>
      <c r="U93" s="139"/>
      <c r="V93" s="139"/>
      <c r="W93" s="139"/>
      <c r="X93" s="139"/>
      <c r="Y93" s="139"/>
      <c r="Z93" s="139"/>
      <c r="AA93" s="139"/>
    </row>
    <row r="94" spans="1:27" s="140" customFormat="1" ht="51.95" customHeight="1">
      <c r="A94" s="294"/>
      <c r="B94" s="185" t="s">
        <v>71</v>
      </c>
      <c r="C94" s="296"/>
      <c r="D94" s="116" t="str">
        <f>M93&amp;M94</f>
        <v>18 M3</v>
      </c>
      <c r="E94" s="272"/>
      <c r="F94" s="117" t="str">
        <f>E93&amp;CHAR(10)&amp;"("&amp;O93&amp;O94&amp;")"</f>
        <v>18 M3
(0組)</v>
      </c>
      <c r="G94" s="282"/>
      <c r="H94" s="184" t="str">
        <f>H93&amp;CHAR(10)&amp;"("&amp;P93&amp;O94&amp;")"</f>
        <v>3213 M3
(42組)</v>
      </c>
      <c r="I94" s="279"/>
      <c r="J94" s="292"/>
      <c r="K94" s="124" t="s">
        <v>1203</v>
      </c>
      <c r="L94" s="127"/>
      <c r="M94" s="127" t="s">
        <v>201</v>
      </c>
      <c r="N94" s="128"/>
      <c r="O94" s="128" t="s">
        <v>204</v>
      </c>
      <c r="P94" s="128"/>
      <c r="Q94" s="128"/>
      <c r="R94" s="128"/>
      <c r="S94" s="128"/>
      <c r="T94" s="139"/>
      <c r="U94" s="139"/>
      <c r="V94" s="139"/>
      <c r="W94" s="139"/>
      <c r="X94" s="139"/>
      <c r="Y94" s="139"/>
      <c r="Z94" s="139"/>
      <c r="AA94" s="139"/>
    </row>
    <row r="95" spans="1:27" s="138" customFormat="1" ht="51.95" customHeight="1">
      <c r="A95" s="293" t="str">
        <f>"1-210 -"&amp;L95</f>
        <v>1-210 -39</v>
      </c>
      <c r="B95" s="187" t="s">
        <v>1193</v>
      </c>
      <c r="C95" s="295" t="s">
        <v>1528</v>
      </c>
      <c r="D95" s="115">
        <f>VLOOKUP(L95,'210'!A:T,2,0)</f>
        <v>45706</v>
      </c>
      <c r="E95" s="271" t="str">
        <f>M95&amp;M96</f>
        <v>18 M3</v>
      </c>
      <c r="F95" s="115">
        <f>D95</f>
        <v>45706</v>
      </c>
      <c r="G95" s="282"/>
      <c r="H95" s="184" t="str">
        <f>N95&amp;M96</f>
        <v>3231 M3</v>
      </c>
      <c r="I95" s="278" t="s">
        <v>1201</v>
      </c>
      <c r="J95" s="291" t="str">
        <f>IF(R95=0,"上  溢："&amp;S95,IF(Q95=0,"任  泰："&amp;R95&amp;"                 "&amp;"上  溢："&amp;S95,
"水利處："&amp;Q95&amp;"                 "&amp;"任  泰："&amp;R95&amp;"                 "&amp;"上  溢："&amp;S95))</f>
        <v>上  溢：康祐銓</v>
      </c>
      <c r="K95" s="124" t="s">
        <v>211</v>
      </c>
      <c r="L95" s="188">
        <f>L93+1</f>
        <v>39</v>
      </c>
      <c r="M95" s="128">
        <f>VLOOKUP(L95,'210'!A:T,5,0)</f>
        <v>18</v>
      </c>
      <c r="N95" s="128">
        <f>N93+M95</f>
        <v>3231</v>
      </c>
      <c r="O95" s="128">
        <f>VLOOKUP(L95,'210'!A:T,6,0)</f>
        <v>0</v>
      </c>
      <c r="P95" s="128">
        <f>P93+O95</f>
        <v>42</v>
      </c>
      <c r="Q95" s="128">
        <f>VLOOKUP(L95,'210'!A:T,18,0)</f>
        <v>0</v>
      </c>
      <c r="R95" s="128">
        <f>VLOOKUP(L95,'210'!A:T,19,0)</f>
        <v>0</v>
      </c>
      <c r="S95" s="128" t="str">
        <f>VLOOKUP(L95,'210'!A:T,20,0)</f>
        <v>康祐銓</v>
      </c>
      <c r="T95" s="137"/>
      <c r="U95" s="137"/>
      <c r="V95" s="137"/>
      <c r="W95" s="137"/>
      <c r="X95" s="137"/>
      <c r="Y95" s="137"/>
      <c r="Z95" s="137"/>
      <c r="AA95" s="137"/>
    </row>
    <row r="96" spans="1:27" s="138" customFormat="1" ht="51.95" customHeight="1">
      <c r="A96" s="294"/>
      <c r="B96" s="185" t="s">
        <v>71</v>
      </c>
      <c r="C96" s="296"/>
      <c r="D96" s="116" t="str">
        <f>M95&amp;M96</f>
        <v>18 M3</v>
      </c>
      <c r="E96" s="272"/>
      <c r="F96" s="117" t="str">
        <f>E95&amp;CHAR(10)&amp;"("&amp;O95&amp;O96&amp;")"</f>
        <v>18 M3
(0組)</v>
      </c>
      <c r="G96" s="282"/>
      <c r="H96" s="184" t="str">
        <f>H95&amp;CHAR(10)&amp;"("&amp;P95&amp;O96&amp;")"</f>
        <v>3231 M3
(42組)</v>
      </c>
      <c r="I96" s="279"/>
      <c r="J96" s="292"/>
      <c r="K96" s="124" t="s">
        <v>1204</v>
      </c>
      <c r="L96" s="127"/>
      <c r="M96" s="127" t="s">
        <v>201</v>
      </c>
      <c r="N96" s="128"/>
      <c r="O96" s="128" t="s">
        <v>204</v>
      </c>
      <c r="P96" s="128"/>
      <c r="Q96" s="128"/>
      <c r="R96" s="128"/>
      <c r="S96" s="128"/>
      <c r="T96" s="137"/>
      <c r="U96" s="137"/>
      <c r="V96" s="137"/>
      <c r="W96" s="137"/>
      <c r="X96" s="137"/>
      <c r="Y96" s="137"/>
      <c r="Z96" s="137"/>
      <c r="AA96" s="137"/>
    </row>
    <row r="97" spans="1:27" s="138" customFormat="1" ht="51.95" customHeight="1">
      <c r="A97" s="293" t="str">
        <f>"1-210 -"&amp;L97</f>
        <v>1-210 -40</v>
      </c>
      <c r="B97" s="187" t="s">
        <v>1193</v>
      </c>
      <c r="C97" s="295" t="s">
        <v>1528</v>
      </c>
      <c r="D97" s="115">
        <f>VLOOKUP(L97,'210'!A:T,2,0)</f>
        <v>45707</v>
      </c>
      <c r="E97" s="271" t="str">
        <f>M97&amp;M98</f>
        <v>25 M3</v>
      </c>
      <c r="F97" s="115">
        <f>D97</f>
        <v>45707</v>
      </c>
      <c r="G97" s="282"/>
      <c r="H97" s="184" t="str">
        <f>N97&amp;M98</f>
        <v>3256 M3</v>
      </c>
      <c r="I97" s="264" t="s">
        <v>48</v>
      </c>
      <c r="J97" s="291" t="str">
        <f>IF(R97=0,"上  溢："&amp;S97,IF(Q97=0,"任  泰："&amp;R97&amp;"                 "&amp;"上  溢："&amp;S97,
"水利處："&amp;Q97&amp;"                 "&amp;"任  泰："&amp;R97&amp;"                 "&amp;"上  溢："&amp;S97))</f>
        <v>上  溢：康祐銓</v>
      </c>
      <c r="K97" s="264" t="s">
        <v>967</v>
      </c>
      <c r="L97" s="188">
        <f>L95+1</f>
        <v>40</v>
      </c>
      <c r="M97" s="128">
        <f>VLOOKUP(L97,'210'!A:T,5,0)</f>
        <v>25</v>
      </c>
      <c r="N97" s="128">
        <f>N95+M97</f>
        <v>3256</v>
      </c>
      <c r="O97" s="128">
        <f>VLOOKUP(L97,'210'!A:T,6,0)</f>
        <v>1</v>
      </c>
      <c r="P97" s="128">
        <f>P95+O97</f>
        <v>43</v>
      </c>
      <c r="Q97" s="128">
        <f>VLOOKUP(L97,'210'!A:T,18,0)</f>
        <v>0</v>
      </c>
      <c r="R97" s="128">
        <f>VLOOKUP(L97,'210'!A:T,19,0)</f>
        <v>0</v>
      </c>
      <c r="S97" s="128" t="str">
        <f>VLOOKUP(L97,'210'!A:T,20,0)</f>
        <v>康祐銓</v>
      </c>
      <c r="T97" s="137"/>
      <c r="U97" s="137"/>
      <c r="V97" s="137"/>
      <c r="W97" s="137"/>
      <c r="X97" s="137"/>
      <c r="Y97" s="137"/>
      <c r="Z97" s="137"/>
      <c r="AA97" s="137"/>
    </row>
    <row r="98" spans="1:27" s="138" customFormat="1" ht="51.95" customHeight="1">
      <c r="A98" s="294"/>
      <c r="B98" s="185" t="s">
        <v>71</v>
      </c>
      <c r="C98" s="296"/>
      <c r="D98" s="116" t="str">
        <f>M97&amp;M98</f>
        <v>25 M3</v>
      </c>
      <c r="E98" s="272"/>
      <c r="F98" s="117" t="str">
        <f>E97&amp;CHAR(10)&amp;"("&amp;O97&amp;O98&amp;")"</f>
        <v>25 M3
(1組)</v>
      </c>
      <c r="G98" s="282"/>
      <c r="H98" s="184" t="str">
        <f>H97&amp;CHAR(10)&amp;"("&amp;P97&amp;O98&amp;")"</f>
        <v>3256 M3
(43組)</v>
      </c>
      <c r="I98" s="266"/>
      <c r="J98" s="292"/>
      <c r="K98" s="298"/>
      <c r="L98" s="127"/>
      <c r="M98" s="127" t="s">
        <v>201</v>
      </c>
      <c r="N98" s="128"/>
      <c r="O98" s="128" t="s">
        <v>204</v>
      </c>
      <c r="P98" s="128"/>
      <c r="Q98" s="128"/>
      <c r="R98" s="128"/>
      <c r="S98" s="128"/>
      <c r="T98" s="137"/>
      <c r="U98" s="137"/>
      <c r="V98" s="137"/>
      <c r="W98" s="137"/>
      <c r="X98" s="137"/>
      <c r="Y98" s="137"/>
      <c r="Z98" s="137"/>
      <c r="AA98" s="137"/>
    </row>
    <row r="99" spans="1:27" s="138" customFormat="1" ht="51.95" customHeight="1">
      <c r="A99" s="293" t="str">
        <f>"1-210 -"&amp;L99</f>
        <v>1-210 -41</v>
      </c>
      <c r="B99" s="187" t="s">
        <v>1193</v>
      </c>
      <c r="C99" s="295" t="s">
        <v>1528</v>
      </c>
      <c r="D99" s="115">
        <f>VLOOKUP(L99,'210'!A:T,2,0)</f>
        <v>45709</v>
      </c>
      <c r="E99" s="271" t="str">
        <f>M99&amp;M100</f>
        <v>24 M3</v>
      </c>
      <c r="F99" s="115">
        <f>D99</f>
        <v>45709</v>
      </c>
      <c r="G99" s="282"/>
      <c r="H99" s="184" t="str">
        <f>N99&amp;M100</f>
        <v>3280 M3</v>
      </c>
      <c r="I99" s="264" t="s">
        <v>48</v>
      </c>
      <c r="J99" s="291" t="str">
        <f>IF(R99=0,"上  溢："&amp;S99,IF(Q99=0,"任  泰："&amp;R99&amp;"                 "&amp;"上  溢："&amp;S99,
"水利處："&amp;Q99&amp;"                 "&amp;"任  泰："&amp;R99&amp;"                 "&amp;"上  溢："&amp;S99))</f>
        <v>上  溢：康祐銓</v>
      </c>
      <c r="K99" s="264" t="s">
        <v>968</v>
      </c>
      <c r="L99" s="188">
        <f>L97+1</f>
        <v>41</v>
      </c>
      <c r="M99" s="128">
        <f>VLOOKUP(L99,'210'!A:T,5,0)</f>
        <v>24</v>
      </c>
      <c r="N99" s="128">
        <f>N97+M99</f>
        <v>3280</v>
      </c>
      <c r="O99" s="128">
        <f>VLOOKUP(L99,'210'!A:T,6,0)</f>
        <v>1</v>
      </c>
      <c r="P99" s="128">
        <f>P97+O99</f>
        <v>44</v>
      </c>
      <c r="Q99" s="128">
        <f>VLOOKUP(L99,'210'!A:T,18,0)</f>
        <v>0</v>
      </c>
      <c r="R99" s="128">
        <f>VLOOKUP(L99,'210'!A:T,19,0)</f>
        <v>0</v>
      </c>
      <c r="S99" s="128" t="str">
        <f>VLOOKUP(L99,'210'!A:T,20,0)</f>
        <v>康祐銓</v>
      </c>
      <c r="T99" s="137"/>
      <c r="U99" s="137"/>
      <c r="V99" s="137"/>
      <c r="W99" s="137"/>
      <c r="X99" s="137"/>
      <c r="Y99" s="137"/>
      <c r="Z99" s="137"/>
      <c r="AA99" s="137"/>
    </row>
    <row r="100" spans="1:27" s="138" customFormat="1" ht="51.95" customHeight="1">
      <c r="A100" s="294"/>
      <c r="B100" s="185" t="s">
        <v>71</v>
      </c>
      <c r="C100" s="296"/>
      <c r="D100" s="116" t="str">
        <f>M99&amp;M100</f>
        <v>24 M3</v>
      </c>
      <c r="E100" s="272"/>
      <c r="F100" s="117" t="str">
        <f>E99&amp;CHAR(10)&amp;"("&amp;O99&amp;O100&amp;")"</f>
        <v>24 M3
(1組)</v>
      </c>
      <c r="G100" s="282"/>
      <c r="H100" s="184" t="str">
        <f>H99&amp;CHAR(10)&amp;"("&amp;P99&amp;O100&amp;")"</f>
        <v>3280 M3
(44組)</v>
      </c>
      <c r="I100" s="266"/>
      <c r="J100" s="292"/>
      <c r="K100" s="298"/>
      <c r="L100" s="127"/>
      <c r="M100" s="127" t="s">
        <v>201</v>
      </c>
      <c r="N100" s="128"/>
      <c r="O100" s="128" t="s">
        <v>204</v>
      </c>
      <c r="P100" s="128"/>
      <c r="Q100" s="128"/>
      <c r="R100" s="128"/>
      <c r="S100" s="128"/>
      <c r="T100" s="137"/>
      <c r="U100" s="137"/>
      <c r="V100" s="137"/>
      <c r="W100" s="137"/>
      <c r="X100" s="137"/>
      <c r="Y100" s="137"/>
      <c r="Z100" s="137"/>
      <c r="AA100" s="137"/>
    </row>
    <row r="101" spans="1:27" s="140" customFormat="1" ht="51.95" customHeight="1">
      <c r="A101" s="293" t="str">
        <f>"1-210 -"&amp;L101</f>
        <v>1-210 -42</v>
      </c>
      <c r="B101" s="187" t="s">
        <v>1193</v>
      </c>
      <c r="C101" s="295" t="s">
        <v>1528</v>
      </c>
      <c r="D101" s="115">
        <f>VLOOKUP(L101,'210'!A:T,2,0)</f>
        <v>45710</v>
      </c>
      <c r="E101" s="271" t="str">
        <f>M101&amp;M102</f>
        <v>16 M3</v>
      </c>
      <c r="F101" s="115">
        <f>D101</f>
        <v>45710</v>
      </c>
      <c r="G101" s="282"/>
      <c r="H101" s="184" t="str">
        <f>N101&amp;M102</f>
        <v>3296 M3</v>
      </c>
      <c r="I101" s="278" t="s">
        <v>1201</v>
      </c>
      <c r="J101" s="291" t="str">
        <f>IF(R101=0,"上  溢："&amp;S101,IF(Q101=0,"任  泰："&amp;R101&amp;"                 "&amp;"上  溢："&amp;S101,
"水利處："&amp;Q101&amp;"                 "&amp;"任  泰："&amp;R101&amp;"                 "&amp;"上  溢："&amp;S101))</f>
        <v>上  溢：康祐銓</v>
      </c>
      <c r="K101" s="124" t="s">
        <v>211</v>
      </c>
      <c r="L101" s="188">
        <f>L99+1</f>
        <v>42</v>
      </c>
      <c r="M101" s="128">
        <f>VLOOKUP(L101,'210'!A:T,5,0)</f>
        <v>16</v>
      </c>
      <c r="N101" s="128">
        <f>N99+M101</f>
        <v>3296</v>
      </c>
      <c r="O101" s="128">
        <f>VLOOKUP(L101,'210'!A:T,6,0)</f>
        <v>0</v>
      </c>
      <c r="P101" s="128">
        <f>P99+O101</f>
        <v>44</v>
      </c>
      <c r="Q101" s="128">
        <f>VLOOKUP(L101,'210'!A:T,18,0)</f>
        <v>0</v>
      </c>
      <c r="R101" s="128">
        <f>VLOOKUP(L101,'210'!A:T,19,0)</f>
        <v>0</v>
      </c>
      <c r="S101" s="128" t="str">
        <f>VLOOKUP(L101,'210'!A:T,20,0)</f>
        <v>康祐銓</v>
      </c>
      <c r="T101" s="139"/>
      <c r="U101" s="139"/>
      <c r="V101" s="139"/>
      <c r="W101" s="139"/>
      <c r="X101" s="139"/>
      <c r="Y101" s="139"/>
      <c r="Z101" s="139"/>
      <c r="AA101" s="139"/>
    </row>
    <row r="102" spans="1:27" s="140" customFormat="1" ht="51.95" customHeight="1">
      <c r="A102" s="294"/>
      <c r="B102" s="185" t="s">
        <v>71</v>
      </c>
      <c r="C102" s="296"/>
      <c r="D102" s="116" t="str">
        <f>M101&amp;M102</f>
        <v>16 M3</v>
      </c>
      <c r="E102" s="272"/>
      <c r="F102" s="117" t="str">
        <f>E101&amp;CHAR(10)&amp;"("&amp;O101&amp;O102&amp;")"</f>
        <v>16 M3
(0組)</v>
      </c>
      <c r="G102" s="265"/>
      <c r="H102" s="184" t="str">
        <f>H101&amp;CHAR(10)&amp;"("&amp;P101&amp;O102&amp;")"</f>
        <v>3296 M3
(44組)</v>
      </c>
      <c r="I102" s="279"/>
      <c r="J102" s="292"/>
      <c r="K102" s="124" t="s">
        <v>1205</v>
      </c>
      <c r="L102" s="127"/>
      <c r="M102" s="127" t="s">
        <v>201</v>
      </c>
      <c r="N102" s="128"/>
      <c r="O102" s="128" t="s">
        <v>204</v>
      </c>
      <c r="P102" s="128"/>
      <c r="Q102" s="128"/>
      <c r="R102" s="128"/>
      <c r="S102" s="128"/>
      <c r="T102" s="139"/>
      <c r="U102" s="139"/>
      <c r="V102" s="139"/>
      <c r="W102" s="139"/>
      <c r="X102" s="139"/>
      <c r="Y102" s="139"/>
      <c r="Z102" s="139"/>
      <c r="AA102" s="139"/>
    </row>
    <row r="103" spans="1:27" s="142" customFormat="1" ht="49.5" customHeight="1">
      <c r="A103" s="260" t="s">
        <v>47</v>
      </c>
      <c r="B103" s="261"/>
      <c r="C103" s="262"/>
      <c r="D103" s="260" t="s">
        <v>1753</v>
      </c>
      <c r="E103" s="261"/>
      <c r="F103" s="261"/>
      <c r="G103" s="262"/>
      <c r="H103" s="260" t="s">
        <v>1755</v>
      </c>
      <c r="I103" s="261"/>
      <c r="J103" s="261"/>
      <c r="K103" s="262"/>
      <c r="M103" s="143"/>
      <c r="N103" s="143"/>
      <c r="O103" s="143"/>
      <c r="P103" s="143"/>
      <c r="Q103" s="143"/>
      <c r="R103" s="143"/>
      <c r="S103" s="143"/>
      <c r="T103" s="143"/>
      <c r="U103" s="143"/>
      <c r="V103" s="143"/>
      <c r="W103" s="143"/>
      <c r="X103" s="143"/>
      <c r="Y103" s="143"/>
      <c r="Z103" s="143"/>
      <c r="AA103" s="143"/>
    </row>
    <row r="104" spans="1:27" s="142" customFormat="1" ht="54" customHeight="1">
      <c r="A104" s="263" t="s">
        <v>1147</v>
      </c>
      <c r="B104" s="263"/>
      <c r="C104" s="263"/>
      <c r="D104" s="263"/>
      <c r="E104" s="263"/>
      <c r="F104" s="263"/>
      <c r="G104" s="263"/>
      <c r="H104" s="263"/>
      <c r="I104" s="263"/>
      <c r="J104" s="263"/>
      <c r="K104" s="263"/>
      <c r="M104" s="143"/>
      <c r="N104" s="143"/>
      <c r="O104" s="143"/>
      <c r="P104" s="143"/>
      <c r="Q104" s="143"/>
      <c r="R104" s="143"/>
      <c r="S104" s="143"/>
      <c r="T104" s="143"/>
      <c r="U104" s="143"/>
      <c r="V104" s="143"/>
      <c r="W104" s="143"/>
      <c r="X104" s="143"/>
      <c r="Y104" s="143"/>
      <c r="Z104" s="143"/>
      <c r="AA104" s="143"/>
    </row>
    <row r="105" spans="1:27" s="138" customFormat="1" ht="51.95" customHeight="1">
      <c r="A105" s="293" t="str">
        <f>"1-210 -"&amp;L105</f>
        <v>1-210 -43</v>
      </c>
      <c r="B105" s="187" t="s">
        <v>1193</v>
      </c>
      <c r="C105" s="295" t="s">
        <v>1528</v>
      </c>
      <c r="D105" s="115">
        <f>VLOOKUP(L105,'210'!A:T,2,0)</f>
        <v>45713</v>
      </c>
      <c r="E105" s="271" t="str">
        <f>M105&amp;M106</f>
        <v>36 M3</v>
      </c>
      <c r="F105" s="115">
        <f>D105</f>
        <v>45713</v>
      </c>
      <c r="G105" s="264" t="s">
        <v>145</v>
      </c>
      <c r="H105" s="184" t="str">
        <f>N105&amp;M106</f>
        <v>3332 M3</v>
      </c>
      <c r="I105" s="264" t="s">
        <v>48</v>
      </c>
      <c r="J105" s="291" t="str">
        <f>IF(R105=0,"上  溢："&amp;S105,IF(Q105=0,"任  泰："&amp;R105&amp;"                 "&amp;"上  溢："&amp;S105,
"水利處："&amp;Q105&amp;"                 "&amp;"任  泰："&amp;R105&amp;"                 "&amp;"上  溢："&amp;S105))</f>
        <v>任  泰：陳勇智                 上  溢：李建豪</v>
      </c>
      <c r="K105" s="264" t="s">
        <v>969</v>
      </c>
      <c r="L105" s="188">
        <f>L101+1</f>
        <v>43</v>
      </c>
      <c r="M105" s="128">
        <f>VLOOKUP(L105,'210'!A:T,5,0)</f>
        <v>36</v>
      </c>
      <c r="N105" s="128">
        <f>N101+M105</f>
        <v>3332</v>
      </c>
      <c r="O105" s="128">
        <f>VLOOKUP(L105,'210'!A:T,6,0)</f>
        <v>1</v>
      </c>
      <c r="P105" s="128">
        <f>P101+O105</f>
        <v>45</v>
      </c>
      <c r="Q105" s="128">
        <f>VLOOKUP(L105,'210'!A:T,18,0)</f>
        <v>0</v>
      </c>
      <c r="R105" s="128" t="str">
        <f>VLOOKUP(L105,'210'!A:T,19,0)</f>
        <v>陳勇智</v>
      </c>
      <c r="S105" s="128" t="str">
        <f>VLOOKUP(L105,'210'!A:T,20,0)</f>
        <v>李建豪</v>
      </c>
      <c r="T105" s="137"/>
      <c r="U105" s="137"/>
      <c r="V105" s="137"/>
      <c r="W105" s="137"/>
      <c r="X105" s="137"/>
      <c r="Y105" s="137"/>
      <c r="Z105" s="137"/>
      <c r="AA105" s="137"/>
    </row>
    <row r="106" spans="1:27" s="138" customFormat="1" ht="51.95" customHeight="1">
      <c r="A106" s="294"/>
      <c r="B106" s="185" t="s">
        <v>71</v>
      </c>
      <c r="C106" s="296"/>
      <c r="D106" s="116" t="str">
        <f>M105&amp;M106</f>
        <v>36 M3</v>
      </c>
      <c r="E106" s="272"/>
      <c r="F106" s="117" t="str">
        <f>E105&amp;CHAR(10)&amp;"("&amp;O105&amp;O106&amp;")"</f>
        <v>36 M3
(1組)</v>
      </c>
      <c r="G106" s="282"/>
      <c r="H106" s="184" t="str">
        <f>H105&amp;CHAR(10)&amp;"("&amp;P105&amp;O106&amp;")"</f>
        <v>3332 M3
(45組)</v>
      </c>
      <c r="I106" s="266"/>
      <c r="J106" s="292"/>
      <c r="K106" s="298"/>
      <c r="L106" s="127"/>
      <c r="M106" s="127" t="s">
        <v>201</v>
      </c>
      <c r="N106" s="128"/>
      <c r="O106" s="128" t="s">
        <v>204</v>
      </c>
      <c r="P106" s="128"/>
      <c r="Q106" s="128"/>
      <c r="R106" s="128"/>
      <c r="S106" s="128"/>
      <c r="T106" s="137"/>
      <c r="U106" s="137"/>
      <c r="V106" s="137"/>
      <c r="W106" s="137"/>
      <c r="X106" s="137"/>
      <c r="Y106" s="137"/>
      <c r="Z106" s="137"/>
      <c r="AA106" s="137"/>
    </row>
    <row r="107" spans="1:27" s="138" customFormat="1" ht="51.95" customHeight="1">
      <c r="A107" s="293" t="str">
        <f>"1-210 -"&amp;L107</f>
        <v>1-210 -44</v>
      </c>
      <c r="B107" s="187" t="s">
        <v>1193</v>
      </c>
      <c r="C107" s="295" t="s">
        <v>1528</v>
      </c>
      <c r="D107" s="115">
        <f>VLOOKUP(L107,'210'!A:T,2,0)</f>
        <v>45715</v>
      </c>
      <c r="E107" s="271" t="str">
        <f>M107&amp;M108</f>
        <v>40 M3</v>
      </c>
      <c r="F107" s="115">
        <f>D107</f>
        <v>45715</v>
      </c>
      <c r="G107" s="282"/>
      <c r="H107" s="184" t="str">
        <f>N107&amp;M108</f>
        <v>3372 M3</v>
      </c>
      <c r="I107" s="264" t="s">
        <v>48</v>
      </c>
      <c r="J107" s="291" t="str">
        <f>IF(R107=0,"上  溢："&amp;S107,IF(Q107=0,"任  泰："&amp;R107&amp;"                 "&amp;"上  溢："&amp;S107,
"水利處："&amp;Q107&amp;"                 "&amp;"任  泰："&amp;R107&amp;"                 "&amp;"上  溢："&amp;S107))</f>
        <v>上  溢：康祐銓</v>
      </c>
      <c r="K107" s="264" t="s">
        <v>986</v>
      </c>
      <c r="L107" s="188">
        <f>L105+1</f>
        <v>44</v>
      </c>
      <c r="M107" s="128">
        <f>VLOOKUP(L107,'210'!A:T,5,0)</f>
        <v>40</v>
      </c>
      <c r="N107" s="128">
        <f>N105+M107</f>
        <v>3372</v>
      </c>
      <c r="O107" s="128">
        <f>VLOOKUP(L107,'210'!A:T,6,0)</f>
        <v>1</v>
      </c>
      <c r="P107" s="128">
        <f>P105+O107</f>
        <v>46</v>
      </c>
      <c r="Q107" s="128">
        <f>VLOOKUP(L107,'210'!A:T,18,0)</f>
        <v>0</v>
      </c>
      <c r="R107" s="128">
        <f>VLOOKUP(L107,'210'!A:T,19,0)</f>
        <v>0</v>
      </c>
      <c r="S107" s="128" t="str">
        <f>VLOOKUP(L107,'210'!A:T,20,0)</f>
        <v>康祐銓</v>
      </c>
      <c r="T107" s="137"/>
      <c r="U107" s="137"/>
      <c r="V107" s="137"/>
      <c r="W107" s="137"/>
      <c r="X107" s="137"/>
      <c r="Y107" s="137"/>
      <c r="Z107" s="137"/>
      <c r="AA107" s="137"/>
    </row>
    <row r="108" spans="1:27" s="138" customFormat="1" ht="51.95" customHeight="1">
      <c r="A108" s="294"/>
      <c r="B108" s="185" t="s">
        <v>71</v>
      </c>
      <c r="C108" s="296"/>
      <c r="D108" s="116" t="str">
        <f>M107&amp;M108</f>
        <v>40 M3</v>
      </c>
      <c r="E108" s="272"/>
      <c r="F108" s="117" t="str">
        <f>E107&amp;CHAR(10)&amp;"("&amp;O107&amp;O108&amp;")"</f>
        <v>40 M3
(1組)</v>
      </c>
      <c r="G108" s="282"/>
      <c r="H108" s="184" t="str">
        <f>H107&amp;CHAR(10)&amp;"("&amp;P107&amp;O108&amp;")"</f>
        <v>3372 M3
(46組)</v>
      </c>
      <c r="I108" s="266"/>
      <c r="J108" s="292"/>
      <c r="K108" s="298"/>
      <c r="L108" s="127"/>
      <c r="M108" s="127" t="s">
        <v>201</v>
      </c>
      <c r="N108" s="128"/>
      <c r="O108" s="128" t="s">
        <v>204</v>
      </c>
      <c r="P108" s="128"/>
      <c r="Q108" s="128"/>
      <c r="R108" s="128"/>
      <c r="S108" s="128"/>
      <c r="T108" s="137"/>
      <c r="U108" s="137"/>
      <c r="V108" s="137"/>
      <c r="W108" s="137"/>
      <c r="X108" s="137"/>
      <c r="Y108" s="137"/>
      <c r="Z108" s="137"/>
      <c r="AA108" s="137"/>
    </row>
    <row r="109" spans="1:27" s="138" customFormat="1" ht="51.95" customHeight="1">
      <c r="A109" s="293" t="str">
        <f>"1-210 -"&amp;L109</f>
        <v>1-210 -45</v>
      </c>
      <c r="B109" s="187" t="s">
        <v>1193</v>
      </c>
      <c r="C109" s="295" t="s">
        <v>1528</v>
      </c>
      <c r="D109" s="115">
        <f>VLOOKUP(L109,'210'!A:T,2,0)</f>
        <v>45716</v>
      </c>
      <c r="E109" s="271" t="str">
        <f>M109&amp;M110</f>
        <v>6 M3</v>
      </c>
      <c r="F109" s="115">
        <f>D109</f>
        <v>45716</v>
      </c>
      <c r="G109" s="282"/>
      <c r="H109" s="184" t="str">
        <f>N109&amp;M110</f>
        <v>3378 M3</v>
      </c>
      <c r="I109" s="278" t="s">
        <v>1201</v>
      </c>
      <c r="J109" s="291" t="str">
        <f>IF(R109=0,"上  溢："&amp;S109,IF(Q109=0,"任  泰："&amp;R109&amp;"                 "&amp;"上  溢："&amp;S109,
"水利處："&amp;Q109&amp;"                 "&amp;"任  泰："&amp;R109&amp;"                 "&amp;"上  溢："&amp;S109))</f>
        <v>上  溢：康祐銓</v>
      </c>
      <c r="K109" s="124" t="s">
        <v>211</v>
      </c>
      <c r="L109" s="188">
        <f>L107+1</f>
        <v>45</v>
      </c>
      <c r="M109" s="128">
        <f>VLOOKUP(L109,'210'!A:T,5,0)</f>
        <v>6</v>
      </c>
      <c r="N109" s="128">
        <f>N107+M109</f>
        <v>3378</v>
      </c>
      <c r="O109" s="128">
        <f>VLOOKUP(L109,'210'!A:T,6,0)</f>
        <v>0</v>
      </c>
      <c r="P109" s="128">
        <f>P107+O109</f>
        <v>46</v>
      </c>
      <c r="Q109" s="128">
        <f>VLOOKUP(L109,'210'!A:T,18,0)</f>
        <v>0</v>
      </c>
      <c r="R109" s="128">
        <f>VLOOKUP(L109,'210'!A:T,19,0)</f>
        <v>0</v>
      </c>
      <c r="S109" s="128" t="str">
        <f>VLOOKUP(L109,'210'!A:T,20,0)</f>
        <v>康祐銓</v>
      </c>
      <c r="T109" s="137"/>
      <c r="U109" s="137"/>
      <c r="V109" s="137"/>
      <c r="W109" s="137"/>
      <c r="X109" s="137"/>
      <c r="Y109" s="137"/>
      <c r="Z109" s="137"/>
      <c r="AA109" s="137"/>
    </row>
    <row r="110" spans="1:27" s="138" customFormat="1" ht="51.95" customHeight="1">
      <c r="A110" s="294"/>
      <c r="B110" s="185" t="s">
        <v>71</v>
      </c>
      <c r="C110" s="296"/>
      <c r="D110" s="116" t="str">
        <f>M109&amp;M110</f>
        <v>6 M3</v>
      </c>
      <c r="E110" s="272"/>
      <c r="F110" s="117" t="str">
        <f>E109&amp;CHAR(10)&amp;"("&amp;O109&amp;O110&amp;")"</f>
        <v>6 M3
(0組)</v>
      </c>
      <c r="G110" s="282"/>
      <c r="H110" s="184" t="str">
        <f>H109&amp;CHAR(10)&amp;"("&amp;P109&amp;O110&amp;")"</f>
        <v>3378 M3
(46組)</v>
      </c>
      <c r="I110" s="279"/>
      <c r="J110" s="292"/>
      <c r="K110" s="124" t="s">
        <v>857</v>
      </c>
      <c r="L110" s="127"/>
      <c r="M110" s="127" t="s">
        <v>201</v>
      </c>
      <c r="N110" s="128"/>
      <c r="O110" s="128" t="s">
        <v>204</v>
      </c>
      <c r="P110" s="128"/>
      <c r="Q110" s="128"/>
      <c r="R110" s="128"/>
      <c r="S110" s="128"/>
      <c r="T110" s="137"/>
      <c r="U110" s="137"/>
      <c r="V110" s="137"/>
      <c r="W110" s="137"/>
      <c r="X110" s="137"/>
      <c r="Y110" s="137"/>
      <c r="Z110" s="137"/>
      <c r="AA110" s="137"/>
    </row>
    <row r="111" spans="1:27" s="140" customFormat="1" ht="51.95" customHeight="1">
      <c r="A111" s="293" t="str">
        <f>"1-210 -"&amp;L111</f>
        <v>1-210 -46</v>
      </c>
      <c r="B111" s="187" t="s">
        <v>1193</v>
      </c>
      <c r="C111" s="295" t="s">
        <v>1528</v>
      </c>
      <c r="D111" s="115">
        <f>VLOOKUP(L111,'210'!A:T,2,0)</f>
        <v>45717</v>
      </c>
      <c r="E111" s="271" t="str">
        <f>M111&amp;M112</f>
        <v>12 M3</v>
      </c>
      <c r="F111" s="115">
        <f>D111</f>
        <v>45717</v>
      </c>
      <c r="G111" s="282"/>
      <c r="H111" s="184" t="str">
        <f>N111&amp;M112</f>
        <v>3390 M3</v>
      </c>
      <c r="I111" s="278" t="s">
        <v>1201</v>
      </c>
      <c r="J111" s="291" t="str">
        <f>IF(R111=0,"上  溢："&amp;S111,IF(Q111=0,"任  泰："&amp;R111&amp;"                 "&amp;"上  溢："&amp;S111,
"水利處："&amp;Q111&amp;"                 "&amp;"任  泰："&amp;R111&amp;"                 "&amp;"上  溢："&amp;S111))</f>
        <v>上  溢：康祐銓</v>
      </c>
      <c r="K111" s="124" t="s">
        <v>211</v>
      </c>
      <c r="L111" s="188">
        <f>L109+1</f>
        <v>46</v>
      </c>
      <c r="M111" s="128">
        <f>VLOOKUP(L111,'210'!A:T,5,0)</f>
        <v>12</v>
      </c>
      <c r="N111" s="128">
        <f>N109+M111</f>
        <v>3390</v>
      </c>
      <c r="O111" s="128">
        <f>VLOOKUP(L111,'210'!A:T,6,0)</f>
        <v>0</v>
      </c>
      <c r="P111" s="128">
        <f>P109+O111</f>
        <v>46</v>
      </c>
      <c r="Q111" s="128">
        <f>VLOOKUP(L111,'210'!A:T,18,0)</f>
        <v>0</v>
      </c>
      <c r="R111" s="128">
        <f>VLOOKUP(L111,'210'!A:T,19,0)</f>
        <v>0</v>
      </c>
      <c r="S111" s="128" t="str">
        <f>VLOOKUP(L111,'210'!A:T,20,0)</f>
        <v>康祐銓</v>
      </c>
      <c r="T111" s="139"/>
      <c r="U111" s="139"/>
      <c r="V111" s="139"/>
      <c r="W111" s="139"/>
      <c r="X111" s="139"/>
      <c r="Y111" s="139"/>
      <c r="Z111" s="139"/>
      <c r="AA111" s="139"/>
    </row>
    <row r="112" spans="1:27" s="140" customFormat="1" ht="51.95" customHeight="1">
      <c r="A112" s="294"/>
      <c r="B112" s="185" t="s">
        <v>71</v>
      </c>
      <c r="C112" s="296"/>
      <c r="D112" s="116" t="str">
        <f>M111&amp;M112</f>
        <v>12 M3</v>
      </c>
      <c r="E112" s="272"/>
      <c r="F112" s="117" t="str">
        <f>E111&amp;CHAR(10)&amp;"("&amp;O111&amp;O112&amp;")"</f>
        <v>12 M3
(0組)</v>
      </c>
      <c r="G112" s="282"/>
      <c r="H112" s="184" t="str">
        <f>H111&amp;CHAR(10)&amp;"("&amp;P111&amp;O112&amp;")"</f>
        <v>3390 M3
(46組)</v>
      </c>
      <c r="I112" s="279"/>
      <c r="J112" s="292"/>
      <c r="K112" s="124" t="s">
        <v>1206</v>
      </c>
      <c r="L112" s="127"/>
      <c r="M112" s="127" t="s">
        <v>201</v>
      </c>
      <c r="N112" s="128"/>
      <c r="O112" s="128" t="s">
        <v>204</v>
      </c>
      <c r="P112" s="128"/>
      <c r="Q112" s="128"/>
      <c r="R112" s="128"/>
      <c r="S112" s="128"/>
      <c r="T112" s="139"/>
      <c r="U112" s="139"/>
      <c r="V112" s="139"/>
      <c r="W112" s="139"/>
      <c r="X112" s="139"/>
      <c r="Y112" s="139"/>
      <c r="Z112" s="139"/>
      <c r="AA112" s="139"/>
    </row>
    <row r="113" spans="1:27" s="138" customFormat="1" ht="51.95" customHeight="1">
      <c r="A113" s="293" t="str">
        <f>"1-210 -"&amp;L113</f>
        <v>1-210 -47</v>
      </c>
      <c r="B113" s="187" t="s">
        <v>1193</v>
      </c>
      <c r="C113" s="295" t="s">
        <v>1528</v>
      </c>
      <c r="D113" s="115">
        <f>VLOOKUP(L113,'210'!A:T,2,0)</f>
        <v>45719</v>
      </c>
      <c r="E113" s="271" t="str">
        <f>M113&amp;M114</f>
        <v>16 M3</v>
      </c>
      <c r="F113" s="115">
        <f>D113</f>
        <v>45719</v>
      </c>
      <c r="G113" s="282"/>
      <c r="H113" s="184" t="str">
        <f>N113&amp;M114</f>
        <v>3406 M3</v>
      </c>
      <c r="I113" s="264" t="s">
        <v>48</v>
      </c>
      <c r="J113" s="291" t="str">
        <f>IF(R113=0,"上  溢："&amp;S113,IF(Q113=0,"任  泰："&amp;R113&amp;"                 "&amp;"上  溢："&amp;S113,
"水利處："&amp;Q113&amp;"                 "&amp;"任  泰："&amp;R113&amp;"                 "&amp;"上  溢："&amp;S113))</f>
        <v>上  溢：康祐銓</v>
      </c>
      <c r="K113" s="264" t="s">
        <v>1003</v>
      </c>
      <c r="L113" s="188">
        <f>L111+1</f>
        <v>47</v>
      </c>
      <c r="M113" s="128">
        <f>VLOOKUP(L113,'210'!A:T,5,0)</f>
        <v>16</v>
      </c>
      <c r="N113" s="128">
        <f>N111+M113</f>
        <v>3406</v>
      </c>
      <c r="O113" s="128">
        <f>VLOOKUP(L113,'210'!A:T,6,0)</f>
        <v>0</v>
      </c>
      <c r="P113" s="128">
        <f>P111+O113</f>
        <v>46</v>
      </c>
      <c r="Q113" s="128">
        <f>VLOOKUP(L113,'210'!A:T,18,0)</f>
        <v>0</v>
      </c>
      <c r="R113" s="128">
        <f>VLOOKUP(L113,'210'!A:T,19,0)</f>
        <v>0</v>
      </c>
      <c r="S113" s="128" t="str">
        <f>VLOOKUP(L113,'210'!A:T,20,0)</f>
        <v>康祐銓</v>
      </c>
      <c r="T113" s="137"/>
      <c r="U113" s="137"/>
      <c r="V113" s="137"/>
      <c r="W113" s="137"/>
      <c r="X113" s="137"/>
      <c r="Y113" s="137"/>
      <c r="Z113" s="137"/>
      <c r="AA113" s="137"/>
    </row>
    <row r="114" spans="1:27" s="138" customFormat="1" ht="51.95" customHeight="1">
      <c r="A114" s="294"/>
      <c r="B114" s="185" t="s">
        <v>71</v>
      </c>
      <c r="C114" s="296"/>
      <c r="D114" s="116" t="str">
        <f>M113&amp;M114</f>
        <v>16 M3</v>
      </c>
      <c r="E114" s="272"/>
      <c r="F114" s="117" t="str">
        <f>E113&amp;CHAR(10)&amp;"("&amp;O113&amp;O114&amp;")"</f>
        <v>16 M3
(0組)</v>
      </c>
      <c r="G114" s="282"/>
      <c r="H114" s="184" t="str">
        <f>H113&amp;CHAR(10)&amp;"("&amp;P113&amp;O114&amp;")"</f>
        <v>3406 M3
(46組)</v>
      </c>
      <c r="I114" s="266"/>
      <c r="J114" s="292"/>
      <c r="K114" s="298"/>
      <c r="L114" s="127"/>
      <c r="M114" s="127" t="s">
        <v>201</v>
      </c>
      <c r="N114" s="128"/>
      <c r="O114" s="128" t="s">
        <v>204</v>
      </c>
      <c r="P114" s="128"/>
      <c r="Q114" s="128"/>
      <c r="R114" s="128"/>
      <c r="S114" s="128"/>
      <c r="T114" s="137"/>
      <c r="U114" s="137"/>
      <c r="V114" s="137"/>
      <c r="W114" s="137"/>
      <c r="X114" s="137"/>
      <c r="Y114" s="137"/>
      <c r="Z114" s="137"/>
      <c r="AA114" s="137"/>
    </row>
    <row r="115" spans="1:27" s="138" customFormat="1" ht="51.95" customHeight="1">
      <c r="A115" s="293" t="str">
        <f>"1-210 -"&amp;L115</f>
        <v>1-210 -48</v>
      </c>
      <c r="B115" s="187" t="s">
        <v>1193</v>
      </c>
      <c r="C115" s="295" t="s">
        <v>1528</v>
      </c>
      <c r="D115" s="115">
        <f>VLOOKUP(L115,'210'!A:T,2,0)</f>
        <v>45720</v>
      </c>
      <c r="E115" s="271" t="str">
        <f>M115&amp;M116</f>
        <v>4 M3</v>
      </c>
      <c r="F115" s="115">
        <f>D115</f>
        <v>45720</v>
      </c>
      <c r="G115" s="282"/>
      <c r="H115" s="184" t="str">
        <f>N115&amp;M116</f>
        <v>3410 M3</v>
      </c>
      <c r="I115" s="278" t="s">
        <v>1201</v>
      </c>
      <c r="J115" s="291" t="str">
        <f>IF(R115=0,"上  溢："&amp;S115,IF(Q115=0,"任  泰："&amp;R115&amp;"                 "&amp;"上  溢："&amp;S115,
"水利處："&amp;Q115&amp;"                 "&amp;"任  泰："&amp;R115&amp;"                 "&amp;"上  溢："&amp;S115))</f>
        <v>上  溢：康祐銓</v>
      </c>
      <c r="K115" s="124" t="s">
        <v>211</v>
      </c>
      <c r="L115" s="188">
        <f>L113+1</f>
        <v>48</v>
      </c>
      <c r="M115" s="128">
        <f>VLOOKUP(L115,'210'!A:T,5,0)</f>
        <v>4</v>
      </c>
      <c r="N115" s="128">
        <f>N113+M115</f>
        <v>3410</v>
      </c>
      <c r="O115" s="128">
        <f>VLOOKUP(L115,'210'!A:T,6,0)</f>
        <v>0</v>
      </c>
      <c r="P115" s="128">
        <f>P113+O115</f>
        <v>46</v>
      </c>
      <c r="Q115" s="128">
        <f>VLOOKUP(L115,'210'!A:T,18,0)</f>
        <v>0</v>
      </c>
      <c r="R115" s="128">
        <f>VLOOKUP(L115,'210'!A:T,19,0)</f>
        <v>0</v>
      </c>
      <c r="S115" s="128" t="str">
        <f>VLOOKUP(L115,'210'!A:T,20,0)</f>
        <v>康祐銓</v>
      </c>
      <c r="T115" s="137"/>
      <c r="U115" s="137"/>
      <c r="V115" s="137"/>
      <c r="W115" s="137"/>
      <c r="X115" s="137"/>
      <c r="Y115" s="137"/>
      <c r="Z115" s="137"/>
      <c r="AA115" s="137"/>
    </row>
    <row r="116" spans="1:27" s="138" customFormat="1" ht="51.95" customHeight="1">
      <c r="A116" s="294"/>
      <c r="B116" s="185" t="s">
        <v>71</v>
      </c>
      <c r="C116" s="296"/>
      <c r="D116" s="116" t="str">
        <f>M115&amp;M116</f>
        <v>4 M3</v>
      </c>
      <c r="E116" s="272"/>
      <c r="F116" s="117" t="str">
        <f>E115&amp;CHAR(10)&amp;"("&amp;O115&amp;O116&amp;")"</f>
        <v>4 M3
(0組)</v>
      </c>
      <c r="G116" s="265"/>
      <c r="H116" s="184" t="str">
        <f>H115&amp;CHAR(10)&amp;"("&amp;P115&amp;O116&amp;")"</f>
        <v>3410 M3
(46組)</v>
      </c>
      <c r="I116" s="279"/>
      <c r="J116" s="292"/>
      <c r="K116" s="124" t="s">
        <v>1207</v>
      </c>
      <c r="L116" s="127"/>
      <c r="M116" s="127" t="s">
        <v>201</v>
      </c>
      <c r="N116" s="128"/>
      <c r="O116" s="128" t="s">
        <v>204</v>
      </c>
      <c r="P116" s="128"/>
      <c r="Q116" s="128"/>
      <c r="R116" s="128"/>
      <c r="S116" s="128"/>
      <c r="T116" s="137"/>
      <c r="U116" s="137"/>
      <c r="V116" s="137"/>
      <c r="W116" s="137"/>
      <c r="X116" s="137"/>
      <c r="Y116" s="137"/>
      <c r="Z116" s="137"/>
      <c r="AA116" s="137"/>
    </row>
    <row r="117" spans="1:27" s="142" customFormat="1" ht="49.5" customHeight="1">
      <c r="A117" s="260" t="s">
        <v>47</v>
      </c>
      <c r="B117" s="261"/>
      <c r="C117" s="262"/>
      <c r="D117" s="260" t="s">
        <v>1753</v>
      </c>
      <c r="E117" s="261"/>
      <c r="F117" s="261"/>
      <c r="G117" s="262"/>
      <c r="H117" s="260" t="s">
        <v>1755</v>
      </c>
      <c r="I117" s="261"/>
      <c r="J117" s="261"/>
      <c r="K117" s="262"/>
      <c r="M117" s="143"/>
      <c r="N117" s="143"/>
      <c r="O117" s="143"/>
      <c r="P117" s="143"/>
      <c r="Q117" s="143"/>
      <c r="R117" s="143"/>
      <c r="S117" s="143"/>
      <c r="T117" s="143"/>
      <c r="U117" s="143"/>
      <c r="V117" s="143"/>
      <c r="W117" s="143"/>
      <c r="X117" s="143"/>
      <c r="Y117" s="143"/>
      <c r="Z117" s="143"/>
      <c r="AA117" s="143"/>
    </row>
    <row r="118" spans="1:27" s="142" customFormat="1" ht="54" customHeight="1">
      <c r="A118" s="263" t="s">
        <v>1147</v>
      </c>
      <c r="B118" s="263"/>
      <c r="C118" s="263"/>
      <c r="D118" s="263"/>
      <c r="E118" s="263"/>
      <c r="F118" s="263"/>
      <c r="G118" s="263"/>
      <c r="H118" s="263"/>
      <c r="I118" s="263"/>
      <c r="J118" s="263"/>
      <c r="K118" s="263"/>
      <c r="M118" s="143"/>
      <c r="N118" s="143"/>
      <c r="O118" s="143"/>
      <c r="P118" s="143"/>
      <c r="Q118" s="143"/>
      <c r="R118" s="143"/>
      <c r="S118" s="143"/>
      <c r="T118" s="143"/>
      <c r="U118" s="143"/>
      <c r="V118" s="143"/>
      <c r="W118" s="143"/>
      <c r="X118" s="143"/>
      <c r="Y118" s="143"/>
      <c r="Z118" s="143"/>
      <c r="AA118" s="143"/>
    </row>
    <row r="119" spans="1:27" s="138" customFormat="1" ht="51.95" customHeight="1">
      <c r="A119" s="293" t="str">
        <f>"1-210 -"&amp;L119</f>
        <v>1-210 -49</v>
      </c>
      <c r="B119" s="187" t="s">
        <v>1193</v>
      </c>
      <c r="C119" s="295" t="s">
        <v>1528</v>
      </c>
      <c r="D119" s="115">
        <f>VLOOKUP(L119,'210'!A:T,2,0)</f>
        <v>45727</v>
      </c>
      <c r="E119" s="271" t="str">
        <f>M119&amp;M120</f>
        <v>12 M3</v>
      </c>
      <c r="F119" s="115">
        <f>D119</f>
        <v>45727</v>
      </c>
      <c r="G119" s="264" t="s">
        <v>145</v>
      </c>
      <c r="H119" s="184" t="str">
        <f>N119&amp;M120</f>
        <v>3422 M3</v>
      </c>
      <c r="I119" s="278" t="s">
        <v>1201</v>
      </c>
      <c r="J119" s="291" t="str">
        <f>IF(R119=0,"上  溢："&amp;S119,IF(Q119=0,"任  泰："&amp;R119&amp;"                 "&amp;"上  溢："&amp;S119,
"水利處："&amp;Q119&amp;"                 "&amp;"任  泰："&amp;R119&amp;"                 "&amp;"上  溢："&amp;S119))</f>
        <v>上  溢：康祐銓</v>
      </c>
      <c r="K119" s="124" t="s">
        <v>211</v>
      </c>
      <c r="L119" s="188">
        <f>L115+1</f>
        <v>49</v>
      </c>
      <c r="M119" s="128">
        <f>VLOOKUP(L119,'210'!A:T,5,0)</f>
        <v>12</v>
      </c>
      <c r="N119" s="128">
        <f>N115+M119</f>
        <v>3422</v>
      </c>
      <c r="O119" s="128">
        <f>VLOOKUP(L119,'210'!A:T,6,0)</f>
        <v>0</v>
      </c>
      <c r="P119" s="128">
        <f>P115+O119</f>
        <v>46</v>
      </c>
      <c r="Q119" s="128">
        <f>VLOOKUP(L119,'210'!A:T,18,0)</f>
        <v>0</v>
      </c>
      <c r="R119" s="128">
        <f>VLOOKUP(L119,'210'!A:T,19,0)</f>
        <v>0</v>
      </c>
      <c r="S119" s="128" t="str">
        <f>VLOOKUP(L119,'210'!A:T,20,0)</f>
        <v>康祐銓</v>
      </c>
      <c r="T119" s="137"/>
      <c r="U119" s="137"/>
      <c r="V119" s="137"/>
      <c r="W119" s="137"/>
      <c r="X119" s="137"/>
      <c r="Y119" s="137"/>
      <c r="Z119" s="137"/>
      <c r="AA119" s="137"/>
    </row>
    <row r="120" spans="1:27" s="138" customFormat="1" ht="51.95" customHeight="1">
      <c r="A120" s="294"/>
      <c r="B120" s="185" t="s">
        <v>71</v>
      </c>
      <c r="C120" s="296"/>
      <c r="D120" s="116" t="str">
        <f>M119&amp;M120</f>
        <v>12 M3</v>
      </c>
      <c r="E120" s="272"/>
      <c r="F120" s="117" t="str">
        <f>E119&amp;CHAR(10)&amp;"("&amp;O119&amp;O120&amp;")"</f>
        <v>12 M3
(0組)</v>
      </c>
      <c r="G120" s="282"/>
      <c r="H120" s="184" t="str">
        <f>H119&amp;CHAR(10)&amp;"("&amp;P119&amp;O120&amp;")"</f>
        <v>3422 M3
(46組)</v>
      </c>
      <c r="I120" s="279"/>
      <c r="J120" s="292"/>
      <c r="K120" s="124" t="s">
        <v>931</v>
      </c>
      <c r="L120" s="127"/>
      <c r="M120" s="127" t="s">
        <v>201</v>
      </c>
      <c r="N120" s="128"/>
      <c r="O120" s="128" t="s">
        <v>204</v>
      </c>
      <c r="P120" s="128"/>
      <c r="Q120" s="128"/>
      <c r="R120" s="128"/>
      <c r="S120" s="128"/>
      <c r="T120" s="137"/>
      <c r="U120" s="137"/>
      <c r="V120" s="137"/>
      <c r="W120" s="137"/>
      <c r="X120" s="137"/>
      <c r="Y120" s="137"/>
      <c r="Z120" s="137"/>
      <c r="AA120" s="137"/>
    </row>
    <row r="121" spans="1:27" s="140" customFormat="1" ht="51.95" customHeight="1">
      <c r="A121" s="293" t="str">
        <f>"1-210 -"&amp;L121</f>
        <v>1-210 -50</v>
      </c>
      <c r="B121" s="187" t="s">
        <v>1193</v>
      </c>
      <c r="C121" s="295" t="s">
        <v>1528</v>
      </c>
      <c r="D121" s="115">
        <f>VLOOKUP(L121,'210'!A:T,2,0)</f>
        <v>45735</v>
      </c>
      <c r="E121" s="271" t="str">
        <f>M121&amp;M122</f>
        <v>60 M3</v>
      </c>
      <c r="F121" s="115">
        <f>D121</f>
        <v>45735</v>
      </c>
      <c r="G121" s="282"/>
      <c r="H121" s="184" t="str">
        <f>N121&amp;M122</f>
        <v>3482 M3</v>
      </c>
      <c r="I121" s="264" t="s">
        <v>48</v>
      </c>
      <c r="J121" s="291" t="str">
        <f>IF(R121=0,"上  溢："&amp;S121,IF(Q121=0,"任  泰："&amp;R121&amp;"                 "&amp;"上  溢："&amp;S121,
"水利處："&amp;Q121&amp;"                 "&amp;"任  泰："&amp;R121&amp;"                 "&amp;"上  溢："&amp;S121))</f>
        <v>上  溢：康祐銓</v>
      </c>
      <c r="K121" s="264" t="s">
        <v>1042</v>
      </c>
      <c r="L121" s="188">
        <f>L119+1</f>
        <v>50</v>
      </c>
      <c r="M121" s="128">
        <f>VLOOKUP(L121,'210'!A:T,5,0)</f>
        <v>60</v>
      </c>
      <c r="N121" s="128">
        <f>N119+M121</f>
        <v>3482</v>
      </c>
      <c r="O121" s="128">
        <f>VLOOKUP(L121,'210'!A:T,6,0)</f>
        <v>1</v>
      </c>
      <c r="P121" s="128">
        <f>P119+O121</f>
        <v>47</v>
      </c>
      <c r="Q121" s="128">
        <f>VLOOKUP(L121,'210'!A:T,18,0)</f>
        <v>0</v>
      </c>
      <c r="R121" s="128">
        <f>VLOOKUP(L121,'210'!A:T,19,0)</f>
        <v>0</v>
      </c>
      <c r="S121" s="128" t="str">
        <f>VLOOKUP(L121,'210'!A:T,20,0)</f>
        <v>康祐銓</v>
      </c>
      <c r="T121" s="139"/>
      <c r="U121" s="139"/>
      <c r="V121" s="139"/>
      <c r="W121" s="139"/>
      <c r="X121" s="139"/>
      <c r="Y121" s="139"/>
      <c r="Z121" s="139"/>
      <c r="AA121" s="139"/>
    </row>
    <row r="122" spans="1:27" s="140" customFormat="1" ht="51.95" customHeight="1">
      <c r="A122" s="294"/>
      <c r="B122" s="185" t="s">
        <v>71</v>
      </c>
      <c r="C122" s="296"/>
      <c r="D122" s="116" t="str">
        <f>M121&amp;M122</f>
        <v>60 M3</v>
      </c>
      <c r="E122" s="272"/>
      <c r="F122" s="117" t="str">
        <f>E121&amp;CHAR(10)&amp;"("&amp;O121&amp;O122&amp;")"</f>
        <v>60 M3
(1組)</v>
      </c>
      <c r="G122" s="282"/>
      <c r="H122" s="184" t="str">
        <f>H121&amp;CHAR(10)&amp;"("&amp;P121&amp;O122&amp;")"</f>
        <v>3482 M3
(47組)</v>
      </c>
      <c r="I122" s="266"/>
      <c r="J122" s="292"/>
      <c r="K122" s="298"/>
      <c r="L122" s="127"/>
      <c r="M122" s="127" t="s">
        <v>201</v>
      </c>
      <c r="N122" s="128"/>
      <c r="O122" s="128" t="s">
        <v>204</v>
      </c>
      <c r="P122" s="128"/>
      <c r="Q122" s="128"/>
      <c r="R122" s="128"/>
      <c r="S122" s="128"/>
      <c r="T122" s="139"/>
      <c r="U122" s="139"/>
      <c r="V122" s="139"/>
      <c r="W122" s="139"/>
      <c r="X122" s="139"/>
      <c r="Y122" s="139"/>
      <c r="Z122" s="139"/>
      <c r="AA122" s="139"/>
    </row>
    <row r="123" spans="1:27" s="138" customFormat="1" ht="51.95" customHeight="1">
      <c r="A123" s="293" t="str">
        <f>"1-210 -"&amp;L123</f>
        <v>1-210 -51</v>
      </c>
      <c r="B123" s="187" t="s">
        <v>1193</v>
      </c>
      <c r="C123" s="295" t="s">
        <v>1528</v>
      </c>
      <c r="D123" s="115">
        <f>VLOOKUP(L123,'210'!A:T,2,0)</f>
        <v>45742</v>
      </c>
      <c r="E123" s="271" t="str">
        <f>M123&amp;M124</f>
        <v>16 M3</v>
      </c>
      <c r="F123" s="115">
        <f>D123</f>
        <v>45742</v>
      </c>
      <c r="G123" s="282"/>
      <c r="H123" s="184" t="str">
        <f>N123&amp;M124</f>
        <v>3498 M3</v>
      </c>
      <c r="I123" s="278" t="s">
        <v>1201</v>
      </c>
      <c r="J123" s="291" t="str">
        <f>IF(R123=0,"上  溢："&amp;S123,IF(Q123=0,"任  泰："&amp;R123&amp;"                 "&amp;"上  溢："&amp;S123,
"水利處："&amp;Q123&amp;"                 "&amp;"任  泰："&amp;R123&amp;"                 "&amp;"上  溢："&amp;S123))</f>
        <v>上  溢：康祐銓</v>
      </c>
      <c r="K123" s="124" t="s">
        <v>211</v>
      </c>
      <c r="L123" s="188">
        <f>L121+1</f>
        <v>51</v>
      </c>
      <c r="M123" s="128">
        <f>VLOOKUP(L123,'210'!A:T,5,0)</f>
        <v>16</v>
      </c>
      <c r="N123" s="128">
        <f>N121+M123</f>
        <v>3498</v>
      </c>
      <c r="O123" s="128">
        <f>VLOOKUP(L123,'210'!A:T,6,0)</f>
        <v>0</v>
      </c>
      <c r="P123" s="128">
        <f>P121+O123</f>
        <v>47</v>
      </c>
      <c r="Q123" s="128">
        <f>VLOOKUP(L123,'210'!A:T,18,0)</f>
        <v>0</v>
      </c>
      <c r="R123" s="128">
        <f>VLOOKUP(L123,'210'!A:T,19,0)</f>
        <v>0</v>
      </c>
      <c r="S123" s="128" t="str">
        <f>VLOOKUP(L123,'210'!A:T,20,0)</f>
        <v>康祐銓</v>
      </c>
      <c r="T123" s="137"/>
      <c r="U123" s="137"/>
      <c r="V123" s="137"/>
      <c r="W123" s="137"/>
      <c r="X123" s="137"/>
      <c r="Y123" s="137"/>
      <c r="Z123" s="137"/>
      <c r="AA123" s="137"/>
    </row>
    <row r="124" spans="1:27" s="138" customFormat="1" ht="51.95" customHeight="1">
      <c r="A124" s="294"/>
      <c r="B124" s="185" t="s">
        <v>71</v>
      </c>
      <c r="C124" s="296"/>
      <c r="D124" s="116" t="str">
        <f>M123&amp;M124</f>
        <v>16 M3</v>
      </c>
      <c r="E124" s="272"/>
      <c r="F124" s="117" t="str">
        <f>E123&amp;CHAR(10)&amp;"("&amp;O123&amp;O124&amp;")"</f>
        <v>16 M3
(0組)</v>
      </c>
      <c r="G124" s="282"/>
      <c r="H124" s="184" t="str">
        <f>H123&amp;CHAR(10)&amp;"("&amp;P123&amp;O124&amp;")"</f>
        <v>3498 M3
(47組)</v>
      </c>
      <c r="I124" s="279"/>
      <c r="J124" s="292"/>
      <c r="K124" s="124" t="s">
        <v>1208</v>
      </c>
      <c r="L124" s="127"/>
      <c r="M124" s="127" t="s">
        <v>201</v>
      </c>
      <c r="N124" s="128"/>
      <c r="O124" s="128" t="s">
        <v>204</v>
      </c>
      <c r="P124" s="128"/>
      <c r="Q124" s="128"/>
      <c r="R124" s="128"/>
      <c r="S124" s="128"/>
      <c r="T124" s="137"/>
      <c r="U124" s="137"/>
      <c r="V124" s="137"/>
      <c r="W124" s="137"/>
      <c r="X124" s="137"/>
      <c r="Y124" s="137"/>
      <c r="Z124" s="137"/>
      <c r="AA124" s="137"/>
    </row>
    <row r="125" spans="1:27" s="138" customFormat="1" ht="51.95" customHeight="1">
      <c r="A125" s="293" t="str">
        <f>"1-210 -"&amp;L125</f>
        <v>1-210 -52</v>
      </c>
      <c r="B125" s="187" t="s">
        <v>1193</v>
      </c>
      <c r="C125" s="295" t="s">
        <v>1528</v>
      </c>
      <c r="D125" s="115">
        <f>VLOOKUP(L125,'210'!A:T,2,0)</f>
        <v>45750</v>
      </c>
      <c r="E125" s="271" t="str">
        <f>M125&amp;M126</f>
        <v>18 M3</v>
      </c>
      <c r="F125" s="115">
        <f>D125</f>
        <v>45750</v>
      </c>
      <c r="G125" s="282"/>
      <c r="H125" s="184" t="str">
        <f>N125&amp;M126</f>
        <v>3516 M3</v>
      </c>
      <c r="I125" s="278" t="s">
        <v>1201</v>
      </c>
      <c r="J125" s="291" t="str">
        <f>IF(R125=0,"上  溢："&amp;S125,IF(Q125=0,"任  泰："&amp;R125&amp;"                 "&amp;"上  溢："&amp;S125,
"水利處："&amp;Q125&amp;"                 "&amp;"任  泰："&amp;R125&amp;"                 "&amp;"上  溢："&amp;S125))</f>
        <v>上  溢：康祐銓</v>
      </c>
      <c r="K125" s="124" t="s">
        <v>211</v>
      </c>
      <c r="L125" s="188">
        <f>L123+1</f>
        <v>52</v>
      </c>
      <c r="M125" s="128">
        <f>VLOOKUP(L125,'210'!A:T,5,0)</f>
        <v>18</v>
      </c>
      <c r="N125" s="128">
        <f>N123+M125</f>
        <v>3516</v>
      </c>
      <c r="O125" s="128">
        <f>VLOOKUP(L125,'210'!A:T,6,0)</f>
        <v>0</v>
      </c>
      <c r="P125" s="128">
        <f>P123+O125</f>
        <v>47</v>
      </c>
      <c r="Q125" s="128">
        <f>VLOOKUP(L125,'210'!A:T,18,0)</f>
        <v>0</v>
      </c>
      <c r="R125" s="128">
        <f>VLOOKUP(L125,'210'!A:T,19,0)</f>
        <v>0</v>
      </c>
      <c r="S125" s="128" t="str">
        <f>VLOOKUP(L125,'210'!A:T,20,0)</f>
        <v>康祐銓</v>
      </c>
      <c r="T125" s="137"/>
      <c r="U125" s="137"/>
      <c r="V125" s="137"/>
      <c r="W125" s="137"/>
      <c r="X125" s="137"/>
      <c r="Y125" s="137"/>
      <c r="Z125" s="137"/>
      <c r="AA125" s="137"/>
    </row>
    <row r="126" spans="1:27" s="138" customFormat="1" ht="51.95" customHeight="1">
      <c r="A126" s="294"/>
      <c r="B126" s="185" t="s">
        <v>71</v>
      </c>
      <c r="C126" s="296"/>
      <c r="D126" s="116" t="str">
        <f>M125&amp;M126</f>
        <v>18 M3</v>
      </c>
      <c r="E126" s="272"/>
      <c r="F126" s="117" t="str">
        <f>E125&amp;CHAR(10)&amp;"("&amp;O125&amp;O126&amp;")"</f>
        <v>18 M3
(0組)</v>
      </c>
      <c r="G126" s="282"/>
      <c r="H126" s="184" t="str">
        <f>H125&amp;CHAR(10)&amp;"("&amp;P125&amp;O126&amp;")"</f>
        <v>3516 M3
(47組)</v>
      </c>
      <c r="I126" s="279"/>
      <c r="J126" s="292"/>
      <c r="K126" s="124" t="s">
        <v>1209</v>
      </c>
      <c r="L126" s="127"/>
      <c r="M126" s="127" t="s">
        <v>201</v>
      </c>
      <c r="N126" s="128"/>
      <c r="O126" s="128" t="s">
        <v>204</v>
      </c>
      <c r="P126" s="128"/>
      <c r="Q126" s="128"/>
      <c r="R126" s="128"/>
      <c r="S126" s="128"/>
      <c r="T126" s="137"/>
      <c r="U126" s="137"/>
      <c r="V126" s="137"/>
      <c r="W126" s="137"/>
      <c r="X126" s="137"/>
      <c r="Y126" s="137"/>
      <c r="Z126" s="137"/>
      <c r="AA126" s="137"/>
    </row>
    <row r="127" spans="1:27" s="138" customFormat="1" ht="51.95" customHeight="1">
      <c r="A127" s="293" t="str">
        <f>"1-210 -"&amp;L127</f>
        <v>1-210 -53</v>
      </c>
      <c r="B127" s="187" t="s">
        <v>1193</v>
      </c>
      <c r="C127" s="295" t="s">
        <v>1528</v>
      </c>
      <c r="D127" s="115">
        <f>VLOOKUP(L127,'210'!A:T,2,0)</f>
        <v>45756</v>
      </c>
      <c r="E127" s="271" t="str">
        <f>M127&amp;M128</f>
        <v>18 M3</v>
      </c>
      <c r="F127" s="115">
        <f>D127</f>
        <v>45756</v>
      </c>
      <c r="G127" s="282"/>
      <c r="H127" s="184" t="str">
        <f>N127&amp;M128</f>
        <v>3534 M3</v>
      </c>
      <c r="I127" s="278" t="s">
        <v>1201</v>
      </c>
      <c r="J127" s="291" t="str">
        <f>IF(R127=0,"上  溢："&amp;S127,IF(Q127=0,"任  泰："&amp;R127&amp;"                 "&amp;"上  溢："&amp;S127,
"水利處："&amp;Q127&amp;"                 "&amp;"任  泰："&amp;R127&amp;"                 "&amp;"上  溢："&amp;S127))</f>
        <v>上  溢：康祐銓</v>
      </c>
      <c r="K127" s="124" t="s">
        <v>211</v>
      </c>
      <c r="L127" s="188">
        <f>L125+1</f>
        <v>53</v>
      </c>
      <c r="M127" s="128">
        <f>VLOOKUP(L127,'210'!A:T,5,0)</f>
        <v>18</v>
      </c>
      <c r="N127" s="128">
        <f>N125+M127</f>
        <v>3534</v>
      </c>
      <c r="O127" s="128">
        <f>VLOOKUP(L127,'210'!A:T,6,0)</f>
        <v>0</v>
      </c>
      <c r="P127" s="128">
        <f>P125+O127</f>
        <v>47</v>
      </c>
      <c r="Q127" s="128">
        <f>VLOOKUP(L127,'210'!A:T,18,0)</f>
        <v>0</v>
      </c>
      <c r="R127" s="128">
        <f>VLOOKUP(L127,'210'!A:T,19,0)</f>
        <v>0</v>
      </c>
      <c r="S127" s="128" t="str">
        <f>VLOOKUP(L127,'210'!A:T,20,0)</f>
        <v>康祐銓</v>
      </c>
      <c r="T127" s="137"/>
      <c r="U127" s="137"/>
      <c r="V127" s="137"/>
      <c r="W127" s="137"/>
      <c r="X127" s="137"/>
      <c r="Y127" s="137"/>
      <c r="Z127" s="137"/>
      <c r="AA127" s="137"/>
    </row>
    <row r="128" spans="1:27" s="138" customFormat="1" ht="51.95" customHeight="1">
      <c r="A128" s="294"/>
      <c r="B128" s="185" t="s">
        <v>71</v>
      </c>
      <c r="C128" s="296"/>
      <c r="D128" s="116" t="str">
        <f>M127&amp;M128</f>
        <v>18 M3</v>
      </c>
      <c r="E128" s="272"/>
      <c r="F128" s="117" t="str">
        <f>E127&amp;CHAR(10)&amp;"("&amp;O127&amp;O128&amp;")"</f>
        <v>18 M3
(0組)</v>
      </c>
      <c r="G128" s="282"/>
      <c r="H128" s="184" t="str">
        <f>H127&amp;CHAR(10)&amp;"("&amp;P127&amp;O128&amp;")"</f>
        <v>3534 M3
(47組)</v>
      </c>
      <c r="I128" s="279"/>
      <c r="J128" s="292"/>
      <c r="K128" s="124" t="s">
        <v>1210</v>
      </c>
      <c r="L128" s="127"/>
      <c r="M128" s="127" t="s">
        <v>201</v>
      </c>
      <c r="N128" s="128"/>
      <c r="O128" s="128" t="s">
        <v>204</v>
      </c>
      <c r="P128" s="128"/>
      <c r="Q128" s="128"/>
      <c r="R128" s="128"/>
      <c r="S128" s="128"/>
      <c r="T128" s="137"/>
      <c r="U128" s="137"/>
      <c r="V128" s="137"/>
      <c r="W128" s="137"/>
      <c r="X128" s="137"/>
      <c r="Y128" s="137"/>
      <c r="Z128" s="137"/>
      <c r="AA128" s="137"/>
    </row>
    <row r="129" spans="1:27" s="140" customFormat="1" ht="51.95" customHeight="1">
      <c r="A129" s="293" t="str">
        <f>"1-210 -"&amp;L129</f>
        <v>1-210 -54</v>
      </c>
      <c r="B129" s="187" t="s">
        <v>1193</v>
      </c>
      <c r="C129" s="295" t="s">
        <v>1528</v>
      </c>
      <c r="D129" s="115">
        <f>VLOOKUP(L129,'210'!A:T,2,0)</f>
        <v>45775</v>
      </c>
      <c r="E129" s="271" t="str">
        <f>M129&amp;M130</f>
        <v>56 M3</v>
      </c>
      <c r="F129" s="115">
        <f>D129</f>
        <v>45775</v>
      </c>
      <c r="G129" s="282"/>
      <c r="H129" s="184" t="str">
        <f>N129&amp;M130</f>
        <v>3590 M3</v>
      </c>
      <c r="I129" s="264" t="s">
        <v>48</v>
      </c>
      <c r="J129" s="291" t="str">
        <f>IF(R129=0,"上  溢："&amp;S129,IF(Q129=0,"任  泰："&amp;R129&amp;"                 "&amp;"上  溢："&amp;S129,
"水利處："&amp;Q129&amp;"                 "&amp;"任  泰："&amp;R129&amp;"                 "&amp;"上  溢："&amp;S129))</f>
        <v>任  泰：陳勇智                 上  溢：康祐銓</v>
      </c>
      <c r="K129" s="264" t="s">
        <v>1074</v>
      </c>
      <c r="L129" s="188">
        <f>L127+1</f>
        <v>54</v>
      </c>
      <c r="M129" s="128">
        <f>VLOOKUP(L129,'210'!A:T,5,0)</f>
        <v>56</v>
      </c>
      <c r="N129" s="128">
        <f>N127+M129</f>
        <v>3590</v>
      </c>
      <c r="O129" s="128">
        <f>VLOOKUP(L129,'210'!A:T,6,0)</f>
        <v>1</v>
      </c>
      <c r="P129" s="128">
        <f>P127+O129</f>
        <v>48</v>
      </c>
      <c r="Q129" s="128">
        <f>VLOOKUP(L129,'210'!A:T,18,0)</f>
        <v>0</v>
      </c>
      <c r="R129" s="128" t="str">
        <f>VLOOKUP(L129,'210'!A:T,19,0)</f>
        <v>陳勇智</v>
      </c>
      <c r="S129" s="128" t="str">
        <f>VLOOKUP(L129,'210'!A:T,20,0)</f>
        <v>康祐銓</v>
      </c>
      <c r="T129" s="139"/>
      <c r="U129" s="139"/>
      <c r="V129" s="139"/>
      <c r="W129" s="139"/>
      <c r="X129" s="139"/>
      <c r="Y129" s="139"/>
      <c r="Z129" s="139"/>
      <c r="AA129" s="139"/>
    </row>
    <row r="130" spans="1:27" s="140" customFormat="1" ht="51.95" customHeight="1">
      <c r="A130" s="294"/>
      <c r="B130" s="185" t="s">
        <v>71</v>
      </c>
      <c r="C130" s="296"/>
      <c r="D130" s="116" t="str">
        <f>M129&amp;M130</f>
        <v>56 M3</v>
      </c>
      <c r="E130" s="272"/>
      <c r="F130" s="117" t="str">
        <f>E129&amp;CHAR(10)&amp;"("&amp;O129&amp;O130&amp;")"</f>
        <v>56 M3
(1組)</v>
      </c>
      <c r="G130" s="265"/>
      <c r="H130" s="184" t="str">
        <f>H129&amp;CHAR(10)&amp;"("&amp;P129&amp;O130&amp;")"</f>
        <v>3590 M3
(48組)</v>
      </c>
      <c r="I130" s="266"/>
      <c r="J130" s="292"/>
      <c r="K130" s="298"/>
      <c r="L130" s="127"/>
      <c r="M130" s="127" t="s">
        <v>201</v>
      </c>
      <c r="N130" s="128"/>
      <c r="O130" s="128" t="s">
        <v>204</v>
      </c>
      <c r="P130" s="128"/>
      <c r="Q130" s="128"/>
      <c r="R130" s="128"/>
      <c r="S130" s="128"/>
      <c r="T130" s="139"/>
      <c r="U130" s="139"/>
      <c r="V130" s="139"/>
      <c r="W130" s="139"/>
      <c r="X130" s="139"/>
      <c r="Y130" s="139"/>
      <c r="Z130" s="139"/>
      <c r="AA130" s="139"/>
    </row>
    <row r="131" spans="1:27" s="142" customFormat="1" ht="49.5" customHeight="1">
      <c r="A131" s="260" t="s">
        <v>47</v>
      </c>
      <c r="B131" s="261"/>
      <c r="C131" s="262"/>
      <c r="D131" s="260" t="s">
        <v>1753</v>
      </c>
      <c r="E131" s="261"/>
      <c r="F131" s="261"/>
      <c r="G131" s="262"/>
      <c r="H131" s="260" t="s">
        <v>1755</v>
      </c>
      <c r="I131" s="261"/>
      <c r="J131" s="261"/>
      <c r="K131" s="262"/>
      <c r="M131" s="143"/>
      <c r="N131" s="143"/>
      <c r="O131" s="143"/>
      <c r="P131" s="143"/>
      <c r="Q131" s="143"/>
      <c r="R131" s="143"/>
      <c r="S131" s="143"/>
      <c r="T131" s="143"/>
      <c r="U131" s="143"/>
      <c r="V131" s="143"/>
      <c r="W131" s="143"/>
      <c r="X131" s="143"/>
      <c r="Y131" s="143"/>
      <c r="Z131" s="143"/>
      <c r="AA131" s="143"/>
    </row>
    <row r="132" spans="1:27" s="142" customFormat="1" ht="54" customHeight="1">
      <c r="A132" s="263" t="s">
        <v>1147</v>
      </c>
      <c r="B132" s="263"/>
      <c r="C132" s="263"/>
      <c r="D132" s="263"/>
      <c r="E132" s="263"/>
      <c r="F132" s="263"/>
      <c r="G132" s="263"/>
      <c r="H132" s="263"/>
      <c r="I132" s="263"/>
      <c r="J132" s="263"/>
      <c r="K132" s="263"/>
      <c r="M132" s="143"/>
      <c r="N132" s="143"/>
      <c r="O132" s="143"/>
      <c r="P132" s="143"/>
      <c r="Q132" s="143"/>
      <c r="R132" s="143"/>
      <c r="S132" s="143"/>
      <c r="T132" s="143"/>
      <c r="U132" s="143"/>
      <c r="V132" s="143"/>
      <c r="W132" s="143"/>
      <c r="X132" s="143"/>
      <c r="Y132" s="143"/>
      <c r="Z132" s="143"/>
      <c r="AA132" s="143"/>
    </row>
    <row r="133" spans="1:27" s="138" customFormat="1" ht="51.95" customHeight="1">
      <c r="A133" s="293" t="str">
        <f>"1-210 -"&amp;L133</f>
        <v>1-210 -55</v>
      </c>
      <c r="B133" s="187" t="s">
        <v>1193</v>
      </c>
      <c r="C133" s="295" t="s">
        <v>1528</v>
      </c>
      <c r="D133" s="115">
        <f>VLOOKUP(L133,'210'!A:T,2,0)</f>
        <v>45790</v>
      </c>
      <c r="E133" s="271" t="str">
        <f>M133&amp;M134</f>
        <v>64 M3</v>
      </c>
      <c r="F133" s="115">
        <f>D133</f>
        <v>45790</v>
      </c>
      <c r="G133" s="264" t="s">
        <v>145</v>
      </c>
      <c r="H133" s="184" t="str">
        <f>N133&amp;M134</f>
        <v>3654 M3</v>
      </c>
      <c r="I133" s="264" t="s">
        <v>48</v>
      </c>
      <c r="J133" s="291" t="str">
        <f>IF(R133=0,"上  溢："&amp;S133,IF(Q133=0,"任  泰："&amp;R133&amp;"                 "&amp;"上  溢："&amp;S133,
"水利處："&amp;Q133&amp;"                 "&amp;"任  泰："&amp;R133&amp;"                 "&amp;"上  溢："&amp;S133))</f>
        <v>任  泰：王淑慧                 上  溢：康祐銓</v>
      </c>
      <c r="K133" s="264" t="s">
        <v>1124</v>
      </c>
      <c r="L133" s="188">
        <f>L129+1</f>
        <v>55</v>
      </c>
      <c r="M133" s="128">
        <f>VLOOKUP(L133,'210'!A:T,5,0)</f>
        <v>64</v>
      </c>
      <c r="N133" s="128">
        <f>N129+M133</f>
        <v>3654</v>
      </c>
      <c r="O133" s="128">
        <f>VLOOKUP(L133,'210'!A:T,6,0)</f>
        <v>1</v>
      </c>
      <c r="P133" s="128">
        <f>P129+O133</f>
        <v>49</v>
      </c>
      <c r="Q133" s="128">
        <f>VLOOKUP(L133,'210'!A:T,18,0)</f>
        <v>0</v>
      </c>
      <c r="R133" s="128" t="str">
        <f>VLOOKUP(L133,'210'!A:T,19,0)</f>
        <v>王淑慧</v>
      </c>
      <c r="S133" s="128" t="str">
        <f>VLOOKUP(L133,'210'!A:T,20,0)</f>
        <v>康祐銓</v>
      </c>
      <c r="T133" s="137"/>
      <c r="U133" s="137"/>
      <c r="V133" s="137"/>
      <c r="W133" s="137"/>
      <c r="X133" s="137"/>
      <c r="Y133" s="137"/>
      <c r="Z133" s="137"/>
      <c r="AA133" s="137"/>
    </row>
    <row r="134" spans="1:27" s="138" customFormat="1" ht="51.95" customHeight="1">
      <c r="A134" s="294"/>
      <c r="B134" s="185" t="s">
        <v>71</v>
      </c>
      <c r="C134" s="296"/>
      <c r="D134" s="116" t="str">
        <f>M133&amp;M134</f>
        <v>64 M3</v>
      </c>
      <c r="E134" s="272"/>
      <c r="F134" s="117" t="str">
        <f>E133&amp;CHAR(10)&amp;"("&amp;O133&amp;O134&amp;")"</f>
        <v>64 M3
(1組)</v>
      </c>
      <c r="G134" s="282"/>
      <c r="H134" s="184" t="str">
        <f>H133&amp;CHAR(10)&amp;"("&amp;P133&amp;O134&amp;")"</f>
        <v>3654 M3
(49組)</v>
      </c>
      <c r="I134" s="266"/>
      <c r="J134" s="292"/>
      <c r="K134" s="298"/>
      <c r="L134" s="127"/>
      <c r="M134" s="127" t="s">
        <v>201</v>
      </c>
      <c r="N134" s="128"/>
      <c r="O134" s="128" t="s">
        <v>204</v>
      </c>
      <c r="P134" s="128"/>
      <c r="Q134" s="128"/>
      <c r="R134" s="128"/>
      <c r="S134" s="128"/>
      <c r="T134" s="137"/>
      <c r="U134" s="137"/>
      <c r="V134" s="137"/>
      <c r="W134" s="137"/>
      <c r="X134" s="137"/>
      <c r="Y134" s="137"/>
      <c r="Z134" s="137"/>
      <c r="AA134" s="137"/>
    </row>
    <row r="135" spans="1:27" s="138" customFormat="1" ht="51.95" customHeight="1">
      <c r="A135" s="293" t="str">
        <f>"1-210 -"&amp;L135</f>
        <v>1-210 -56</v>
      </c>
      <c r="B135" s="187" t="s">
        <v>1193</v>
      </c>
      <c r="C135" s="295" t="s">
        <v>1528</v>
      </c>
      <c r="D135" s="115">
        <f>VLOOKUP(L135,'210'!A:T,2,0)</f>
        <v>45792</v>
      </c>
      <c r="E135" s="271" t="str">
        <f>M135&amp;M136</f>
        <v>18 M3</v>
      </c>
      <c r="F135" s="115">
        <f>D135</f>
        <v>45792</v>
      </c>
      <c r="G135" s="282"/>
      <c r="H135" s="184" t="str">
        <f>N135&amp;M136</f>
        <v>3672 M3</v>
      </c>
      <c r="I135" s="278" t="s">
        <v>1201</v>
      </c>
      <c r="J135" s="291" t="str">
        <f>IF(R135=0,"上  溢："&amp;S135,IF(Q135=0,"任  泰："&amp;R135&amp;"                 "&amp;"上  溢："&amp;S135,
"水利處："&amp;Q135&amp;"                 "&amp;"任  泰："&amp;R135&amp;"                 "&amp;"上  溢："&amp;S135))</f>
        <v>上  溢：康祐銓</v>
      </c>
      <c r="K135" s="124" t="s">
        <v>211</v>
      </c>
      <c r="L135" s="188">
        <f>L133+1</f>
        <v>56</v>
      </c>
      <c r="M135" s="128">
        <f>VLOOKUP(L135,'210'!A:T,5,0)</f>
        <v>18</v>
      </c>
      <c r="N135" s="128">
        <f>N133+M135</f>
        <v>3672</v>
      </c>
      <c r="O135" s="128">
        <f>VLOOKUP(L135,'210'!A:T,6,0)</f>
        <v>0</v>
      </c>
      <c r="P135" s="128">
        <f>P133+O135</f>
        <v>49</v>
      </c>
      <c r="Q135" s="128">
        <f>VLOOKUP(L135,'210'!A:T,18,0)</f>
        <v>0</v>
      </c>
      <c r="R135" s="128">
        <f>VLOOKUP(L135,'210'!A:T,19,0)</f>
        <v>0</v>
      </c>
      <c r="S135" s="128" t="str">
        <f>VLOOKUP(L135,'210'!A:T,20,0)</f>
        <v>康祐銓</v>
      </c>
      <c r="T135" s="137"/>
      <c r="U135" s="137"/>
      <c r="V135" s="137"/>
      <c r="W135" s="137"/>
      <c r="X135" s="137"/>
      <c r="Y135" s="137"/>
      <c r="Z135" s="137"/>
      <c r="AA135" s="137"/>
    </row>
    <row r="136" spans="1:27" s="138" customFormat="1" ht="51.95" customHeight="1">
      <c r="A136" s="294"/>
      <c r="B136" s="185" t="s">
        <v>71</v>
      </c>
      <c r="C136" s="296"/>
      <c r="D136" s="116" t="str">
        <f>M135&amp;M136</f>
        <v>18 M3</v>
      </c>
      <c r="E136" s="272"/>
      <c r="F136" s="117" t="str">
        <f>E135&amp;CHAR(10)&amp;"("&amp;O135&amp;O136&amp;")"</f>
        <v>18 M3
(0組)</v>
      </c>
      <c r="G136" s="282"/>
      <c r="H136" s="184" t="str">
        <f>H135&amp;CHAR(10)&amp;"("&amp;P135&amp;O136&amp;")"</f>
        <v>3672 M3
(49組)</v>
      </c>
      <c r="I136" s="279"/>
      <c r="J136" s="292"/>
      <c r="K136" s="124" t="s">
        <v>1211</v>
      </c>
      <c r="L136" s="127"/>
      <c r="M136" s="127" t="s">
        <v>201</v>
      </c>
      <c r="N136" s="128"/>
      <c r="O136" s="128" t="s">
        <v>204</v>
      </c>
      <c r="P136" s="128"/>
      <c r="Q136" s="128"/>
      <c r="R136" s="128"/>
      <c r="S136" s="128"/>
      <c r="T136" s="137"/>
      <c r="U136" s="137"/>
      <c r="V136" s="137"/>
      <c r="W136" s="137"/>
      <c r="X136" s="137"/>
      <c r="Y136" s="137"/>
      <c r="Z136" s="137"/>
      <c r="AA136" s="137"/>
    </row>
    <row r="137" spans="1:27" s="138" customFormat="1" ht="51.95" customHeight="1">
      <c r="A137" s="293" t="str">
        <f>"1-210 -"&amp;L137</f>
        <v>1-210 -57</v>
      </c>
      <c r="B137" s="187" t="s">
        <v>1193</v>
      </c>
      <c r="C137" s="295" t="s">
        <v>1528</v>
      </c>
      <c r="D137" s="115">
        <f>VLOOKUP(L137,'210'!A:T,2,0)</f>
        <v>45796</v>
      </c>
      <c r="E137" s="271" t="str">
        <f>M137&amp;M138</f>
        <v>18 M3</v>
      </c>
      <c r="F137" s="115">
        <f>D137</f>
        <v>45796</v>
      </c>
      <c r="G137" s="282"/>
      <c r="H137" s="184" t="str">
        <f>N137&amp;M138</f>
        <v>3690 M3</v>
      </c>
      <c r="I137" s="278" t="s">
        <v>1201</v>
      </c>
      <c r="J137" s="291" t="str">
        <f>IF(R137=0,"上  溢："&amp;S137,IF(Q137=0,"任  泰："&amp;R137&amp;"                 "&amp;"上  溢："&amp;S137,
"水利處："&amp;Q137&amp;"                 "&amp;"任  泰："&amp;R137&amp;"                 "&amp;"上  溢："&amp;S137))</f>
        <v>上  溢：康祐銓</v>
      </c>
      <c r="K137" s="124" t="s">
        <v>211</v>
      </c>
      <c r="L137" s="188">
        <f>L135+1</f>
        <v>57</v>
      </c>
      <c r="M137" s="128">
        <f>VLOOKUP(L137,'210'!A:T,5,0)</f>
        <v>18</v>
      </c>
      <c r="N137" s="128">
        <f>N135+M137</f>
        <v>3690</v>
      </c>
      <c r="O137" s="128">
        <f>VLOOKUP(L137,'210'!A:T,6,0)</f>
        <v>0</v>
      </c>
      <c r="P137" s="128">
        <f>P135+O137</f>
        <v>49</v>
      </c>
      <c r="Q137" s="128">
        <f>VLOOKUP(L137,'210'!A:T,18,0)</f>
        <v>0</v>
      </c>
      <c r="R137" s="128">
        <f>VLOOKUP(L137,'210'!A:T,19,0)</f>
        <v>0</v>
      </c>
      <c r="S137" s="128" t="str">
        <f>VLOOKUP(L137,'210'!A:T,20,0)</f>
        <v>康祐銓</v>
      </c>
      <c r="T137" s="137"/>
      <c r="U137" s="137"/>
      <c r="V137" s="137"/>
      <c r="W137" s="137"/>
      <c r="X137" s="137"/>
      <c r="Y137" s="137"/>
      <c r="Z137" s="137"/>
      <c r="AA137" s="137"/>
    </row>
    <row r="138" spans="1:27" s="138" customFormat="1" ht="51.95" customHeight="1">
      <c r="A138" s="294"/>
      <c r="B138" s="185" t="s">
        <v>71</v>
      </c>
      <c r="C138" s="296"/>
      <c r="D138" s="116" t="str">
        <f>M137&amp;M138</f>
        <v>18 M3</v>
      </c>
      <c r="E138" s="272"/>
      <c r="F138" s="117" t="str">
        <f>E137&amp;CHAR(10)&amp;"("&amp;O137&amp;O138&amp;")"</f>
        <v>18 M3
(0組)</v>
      </c>
      <c r="G138" s="282"/>
      <c r="H138" s="184" t="str">
        <f>H137&amp;CHAR(10)&amp;"("&amp;P137&amp;O138&amp;")"</f>
        <v>3690 M3
(49組)</v>
      </c>
      <c r="I138" s="279"/>
      <c r="J138" s="292"/>
      <c r="K138" s="124" t="s">
        <v>1210</v>
      </c>
      <c r="L138" s="127"/>
      <c r="M138" s="127" t="s">
        <v>201</v>
      </c>
      <c r="N138" s="128"/>
      <c r="O138" s="128" t="s">
        <v>204</v>
      </c>
      <c r="P138" s="128"/>
      <c r="Q138" s="128"/>
      <c r="R138" s="128"/>
      <c r="S138" s="128"/>
      <c r="T138" s="137"/>
      <c r="U138" s="137"/>
      <c r="V138" s="137"/>
      <c r="W138" s="137"/>
      <c r="X138" s="137"/>
      <c r="Y138" s="137"/>
      <c r="Z138" s="137"/>
      <c r="AA138" s="137"/>
    </row>
    <row r="139" spans="1:27" s="140" customFormat="1" ht="51.95" customHeight="1">
      <c r="A139" s="293" t="str">
        <f>"1-210 -"&amp;L139</f>
        <v>1-210 -58</v>
      </c>
      <c r="B139" s="187" t="s">
        <v>1193</v>
      </c>
      <c r="C139" s="295" t="s">
        <v>1528</v>
      </c>
      <c r="D139" s="115">
        <f>VLOOKUP(L139,'210'!A:T,2,0)</f>
        <v>45797</v>
      </c>
      <c r="E139" s="271" t="str">
        <f>M139&amp;M140</f>
        <v>18 M3</v>
      </c>
      <c r="F139" s="115">
        <f>D139</f>
        <v>45797</v>
      </c>
      <c r="G139" s="282"/>
      <c r="H139" s="184" t="str">
        <f>N139&amp;M140</f>
        <v>3708 M3</v>
      </c>
      <c r="I139" s="278" t="s">
        <v>1201</v>
      </c>
      <c r="J139" s="291" t="str">
        <f t="shared" ref="J139" si="5">IF(R139=0,"上  溢："&amp;S139,IF(Q139=0,"任  泰："&amp;R139&amp;"                 "&amp;"上  溢："&amp;S139,
"水利處："&amp;Q139&amp;"                 "&amp;"任  泰："&amp;R139&amp;"                 "&amp;"上  溢："&amp;S139))</f>
        <v>上  溢：康祐銓</v>
      </c>
      <c r="K139" s="124" t="s">
        <v>211</v>
      </c>
      <c r="L139" s="188">
        <f>L137+1</f>
        <v>58</v>
      </c>
      <c r="M139" s="128">
        <f>VLOOKUP(L139,'210'!A:T,5,0)</f>
        <v>18</v>
      </c>
      <c r="N139" s="128">
        <f>N137+M139</f>
        <v>3708</v>
      </c>
      <c r="O139" s="128">
        <f>VLOOKUP(L139,'210'!A:T,6,0)</f>
        <v>0</v>
      </c>
      <c r="P139" s="128">
        <f>P137+O139</f>
        <v>49</v>
      </c>
      <c r="Q139" s="128">
        <f>VLOOKUP(L139,'210'!A:T,18,0)</f>
        <v>0</v>
      </c>
      <c r="R139" s="128">
        <f>VLOOKUP(L139,'210'!A:T,19,0)</f>
        <v>0</v>
      </c>
      <c r="S139" s="128" t="str">
        <f>VLOOKUP(L139,'210'!A:T,20,0)</f>
        <v>康祐銓</v>
      </c>
      <c r="T139" s="139"/>
      <c r="U139" s="139"/>
      <c r="V139" s="139"/>
      <c r="W139" s="139"/>
      <c r="X139" s="139"/>
      <c r="Y139" s="139"/>
      <c r="Z139" s="139"/>
      <c r="AA139" s="139"/>
    </row>
    <row r="140" spans="1:27" s="140" customFormat="1" ht="51.95" customHeight="1">
      <c r="A140" s="294"/>
      <c r="B140" s="185" t="s">
        <v>71</v>
      </c>
      <c r="C140" s="296"/>
      <c r="D140" s="116" t="str">
        <f>M139&amp;M140</f>
        <v>18 M3</v>
      </c>
      <c r="E140" s="272"/>
      <c r="F140" s="117" t="str">
        <f>E139&amp;CHAR(10)&amp;"("&amp;O139&amp;O140&amp;")"</f>
        <v>18 M3
(0組)</v>
      </c>
      <c r="G140" s="282"/>
      <c r="H140" s="184" t="str">
        <f>H139&amp;CHAR(10)&amp;"("&amp;P139&amp;O140&amp;")"</f>
        <v>3708 M3
(49組)</v>
      </c>
      <c r="I140" s="279"/>
      <c r="J140" s="292"/>
      <c r="K140" s="124" t="s">
        <v>1212</v>
      </c>
      <c r="L140" s="127"/>
      <c r="M140" s="127" t="s">
        <v>201</v>
      </c>
      <c r="N140" s="128"/>
      <c r="O140" s="128" t="s">
        <v>204</v>
      </c>
      <c r="P140" s="128"/>
      <c r="Q140" s="128"/>
      <c r="R140" s="128"/>
      <c r="S140" s="128"/>
      <c r="T140" s="139"/>
      <c r="U140" s="139"/>
      <c r="V140" s="139"/>
      <c r="W140" s="139"/>
      <c r="X140" s="139"/>
      <c r="Y140" s="139"/>
      <c r="Z140" s="139"/>
      <c r="AA140" s="139"/>
    </row>
    <row r="141" spans="1:27" s="138" customFormat="1" ht="51.95" customHeight="1">
      <c r="A141" s="293" t="str">
        <f>"1-210 -"&amp;L141</f>
        <v>1-210 -59</v>
      </c>
      <c r="B141" s="187" t="s">
        <v>1193</v>
      </c>
      <c r="C141" s="295" t="s">
        <v>1528</v>
      </c>
      <c r="D141" s="115">
        <f>VLOOKUP(L141,'210'!A:T,2,0)</f>
        <v>45798</v>
      </c>
      <c r="E141" s="271" t="str">
        <f>M141&amp;M142</f>
        <v>16 M3</v>
      </c>
      <c r="F141" s="115">
        <f>D141</f>
        <v>45798</v>
      </c>
      <c r="G141" s="282"/>
      <c r="H141" s="184" t="str">
        <f>N141&amp;M142</f>
        <v>3724 M3</v>
      </c>
      <c r="I141" s="278" t="s">
        <v>1201</v>
      </c>
      <c r="J141" s="291" t="str">
        <f t="shared" ref="J141" si="6">IF(R141=0,"上  溢："&amp;S141,IF(Q141=0,"任  泰："&amp;R141&amp;"                 "&amp;"上  溢："&amp;S141,
"水利處："&amp;Q141&amp;"                 "&amp;"任  泰："&amp;R141&amp;"                 "&amp;"上  溢："&amp;S141))</f>
        <v>上  溢：康祐銓</v>
      </c>
      <c r="K141" s="124" t="s">
        <v>211</v>
      </c>
      <c r="L141" s="188">
        <f>L139+1</f>
        <v>59</v>
      </c>
      <c r="M141" s="128">
        <f>VLOOKUP(L141,'210'!A:T,5,0)</f>
        <v>16</v>
      </c>
      <c r="N141" s="128">
        <f>N139+M141</f>
        <v>3724</v>
      </c>
      <c r="O141" s="128">
        <f>VLOOKUP(L141,'210'!A:T,6,0)</f>
        <v>0</v>
      </c>
      <c r="P141" s="128">
        <f>P139+O141</f>
        <v>49</v>
      </c>
      <c r="Q141" s="128">
        <f>VLOOKUP(L141,'210'!A:T,18,0)</f>
        <v>0</v>
      </c>
      <c r="R141" s="128">
        <f>VLOOKUP(L141,'210'!A:T,19,0)</f>
        <v>0</v>
      </c>
      <c r="S141" s="128" t="str">
        <f>VLOOKUP(L141,'210'!A:T,20,0)</f>
        <v>康祐銓</v>
      </c>
      <c r="T141" s="137"/>
      <c r="U141" s="137"/>
      <c r="V141" s="137"/>
      <c r="W141" s="137"/>
      <c r="X141" s="137"/>
      <c r="Y141" s="137"/>
      <c r="Z141" s="137"/>
      <c r="AA141" s="137"/>
    </row>
    <row r="142" spans="1:27" s="138" customFormat="1" ht="51.95" customHeight="1">
      <c r="A142" s="294"/>
      <c r="B142" s="185" t="s">
        <v>71</v>
      </c>
      <c r="C142" s="296"/>
      <c r="D142" s="116" t="str">
        <f>M141&amp;M142</f>
        <v>16 M3</v>
      </c>
      <c r="E142" s="272"/>
      <c r="F142" s="117" t="str">
        <f>E141&amp;CHAR(10)&amp;"("&amp;O141&amp;O142&amp;")"</f>
        <v>16 M3
(0組)</v>
      </c>
      <c r="G142" s="282"/>
      <c r="H142" s="184" t="str">
        <f>H141&amp;CHAR(10)&amp;"("&amp;P141&amp;O142&amp;")"</f>
        <v>3724 M3
(49組)</v>
      </c>
      <c r="I142" s="279"/>
      <c r="J142" s="292"/>
      <c r="K142" s="124" t="s">
        <v>1213</v>
      </c>
      <c r="L142" s="127"/>
      <c r="M142" s="127" t="s">
        <v>201</v>
      </c>
      <c r="N142" s="128"/>
      <c r="O142" s="128" t="s">
        <v>204</v>
      </c>
      <c r="P142" s="128"/>
      <c r="Q142" s="128"/>
      <c r="R142" s="128"/>
      <c r="S142" s="128"/>
      <c r="T142" s="137"/>
      <c r="U142" s="137"/>
      <c r="V142" s="137"/>
      <c r="W142" s="137"/>
      <c r="X142" s="137"/>
      <c r="Y142" s="137"/>
      <c r="Z142" s="137"/>
      <c r="AA142" s="137"/>
    </row>
    <row r="143" spans="1:27" s="138" customFormat="1" ht="51.95" customHeight="1">
      <c r="A143" s="293" t="str">
        <f>"1-210 -"&amp;L143</f>
        <v>1-210 -60</v>
      </c>
      <c r="B143" s="187" t="s">
        <v>1193</v>
      </c>
      <c r="C143" s="295" t="s">
        <v>1528</v>
      </c>
      <c r="D143" s="115">
        <f>VLOOKUP(L143,'210'!A:T,2,0)</f>
        <v>45817</v>
      </c>
      <c r="E143" s="271" t="str">
        <f>M143&amp;M144</f>
        <v>16 M3</v>
      </c>
      <c r="F143" s="115">
        <f>D143</f>
        <v>45817</v>
      </c>
      <c r="G143" s="282"/>
      <c r="H143" s="184" t="str">
        <f>N143&amp;M144</f>
        <v>3740 M3</v>
      </c>
      <c r="I143" s="278" t="s">
        <v>1201</v>
      </c>
      <c r="J143" s="291" t="str">
        <f t="shared" ref="J143" si="7">IF(R143=0,"上  溢："&amp;S143,IF(Q143=0,"任  泰："&amp;R143&amp;"                 "&amp;"上  溢："&amp;S143,
"水利處："&amp;Q143&amp;"                 "&amp;"任  泰："&amp;R143&amp;"                 "&amp;"上  溢："&amp;S143))</f>
        <v>上  溢：康祐銓</v>
      </c>
      <c r="K143" s="124" t="s">
        <v>211</v>
      </c>
      <c r="L143" s="188">
        <f>L141+1</f>
        <v>60</v>
      </c>
      <c r="M143" s="128">
        <f>VLOOKUP(L143,'210'!A:T,5,0)</f>
        <v>16</v>
      </c>
      <c r="N143" s="128">
        <f>N141+M143</f>
        <v>3740</v>
      </c>
      <c r="O143" s="128">
        <f>VLOOKUP(L143,'210'!A:T,6,0)</f>
        <v>0</v>
      </c>
      <c r="P143" s="128">
        <f>P141+O143</f>
        <v>49</v>
      </c>
      <c r="Q143" s="128">
        <f>VLOOKUP(L143,'210'!A:T,18,0)</f>
        <v>0</v>
      </c>
      <c r="R143" s="128">
        <f>VLOOKUP(L143,'210'!A:T,19,0)</f>
        <v>0</v>
      </c>
      <c r="S143" s="128" t="str">
        <f>VLOOKUP(L143,'210'!A:T,20,0)</f>
        <v>康祐銓</v>
      </c>
      <c r="T143" s="137"/>
      <c r="U143" s="137"/>
      <c r="V143" s="137"/>
      <c r="W143" s="137"/>
      <c r="X143" s="137"/>
      <c r="Y143" s="137"/>
      <c r="Z143" s="137"/>
      <c r="AA143" s="137"/>
    </row>
    <row r="144" spans="1:27" s="138" customFormat="1" ht="51.95" customHeight="1">
      <c r="A144" s="294"/>
      <c r="B144" s="185" t="s">
        <v>71</v>
      </c>
      <c r="C144" s="296"/>
      <c r="D144" s="116" t="str">
        <f>M143&amp;M144</f>
        <v>16 M3</v>
      </c>
      <c r="E144" s="272"/>
      <c r="F144" s="117" t="str">
        <f>E143&amp;CHAR(10)&amp;"("&amp;O143&amp;O144&amp;")"</f>
        <v>16 M3
(0組)</v>
      </c>
      <c r="G144" s="265"/>
      <c r="H144" s="184" t="str">
        <f>H143&amp;CHAR(10)&amp;"("&amp;P143&amp;O144&amp;")"</f>
        <v>3740 M3
(49組)</v>
      </c>
      <c r="I144" s="279"/>
      <c r="J144" s="292"/>
      <c r="K144" s="124" t="s">
        <v>1210</v>
      </c>
      <c r="L144" s="127"/>
      <c r="M144" s="127" t="s">
        <v>201</v>
      </c>
      <c r="N144" s="128"/>
      <c r="O144" s="128" t="s">
        <v>204</v>
      </c>
      <c r="P144" s="128"/>
      <c r="Q144" s="128"/>
      <c r="R144" s="128"/>
      <c r="S144" s="128"/>
      <c r="T144" s="137"/>
      <c r="U144" s="137"/>
      <c r="V144" s="137"/>
      <c r="W144" s="137"/>
      <c r="X144" s="137"/>
      <c r="Y144" s="137"/>
      <c r="Z144" s="137"/>
      <c r="AA144" s="137"/>
    </row>
    <row r="145" spans="1:27" s="142" customFormat="1" ht="49.5" customHeight="1">
      <c r="A145" s="260" t="s">
        <v>47</v>
      </c>
      <c r="B145" s="261"/>
      <c r="C145" s="262"/>
      <c r="D145" s="260" t="s">
        <v>1753</v>
      </c>
      <c r="E145" s="261"/>
      <c r="F145" s="261"/>
      <c r="G145" s="262"/>
      <c r="H145" s="260" t="s">
        <v>1755</v>
      </c>
      <c r="I145" s="261"/>
      <c r="J145" s="261"/>
      <c r="K145" s="262"/>
      <c r="M145" s="143"/>
      <c r="N145" s="143"/>
      <c r="O145" s="143"/>
      <c r="P145" s="143"/>
      <c r="Q145" s="143"/>
      <c r="R145" s="143"/>
      <c r="S145" s="143"/>
      <c r="T145" s="143"/>
      <c r="U145" s="143"/>
      <c r="V145" s="143"/>
      <c r="W145" s="143"/>
      <c r="X145" s="143"/>
      <c r="Y145" s="143"/>
      <c r="Z145" s="143"/>
      <c r="AA145" s="143"/>
    </row>
    <row r="146" spans="1:27" s="142" customFormat="1" ht="54" customHeight="1">
      <c r="A146" s="263" t="s">
        <v>1147</v>
      </c>
      <c r="B146" s="263"/>
      <c r="C146" s="263"/>
      <c r="D146" s="263"/>
      <c r="E146" s="263"/>
      <c r="F146" s="263"/>
      <c r="G146" s="263"/>
      <c r="H146" s="263"/>
      <c r="I146" s="263"/>
      <c r="J146" s="263"/>
      <c r="K146" s="263"/>
      <c r="M146" s="143"/>
      <c r="N146" s="143"/>
      <c r="O146" s="143"/>
      <c r="P146" s="143"/>
      <c r="Q146" s="143"/>
      <c r="R146" s="143"/>
      <c r="S146" s="143"/>
      <c r="T146" s="143"/>
      <c r="U146" s="143"/>
      <c r="V146" s="143"/>
      <c r="W146" s="143"/>
      <c r="X146" s="143"/>
      <c r="Y146" s="143"/>
      <c r="Z146" s="143"/>
      <c r="AA146" s="143"/>
    </row>
    <row r="147" spans="1:27" s="138" customFormat="1" ht="51.95" customHeight="1">
      <c r="A147" s="300" t="str">
        <f>"1-210 -"&amp;L147</f>
        <v>1-210 -61</v>
      </c>
      <c r="B147" s="187" t="s">
        <v>1193</v>
      </c>
      <c r="C147" s="295" t="s">
        <v>1528</v>
      </c>
      <c r="D147" s="115">
        <f>VLOOKUP(L147,'210'!A:T,2,0)</f>
        <v>45818</v>
      </c>
      <c r="E147" s="271" t="str">
        <f>M147&amp;M148</f>
        <v>16 M3</v>
      </c>
      <c r="F147" s="115">
        <f>D147</f>
        <v>45818</v>
      </c>
      <c r="G147" s="264" t="s">
        <v>145</v>
      </c>
      <c r="H147" s="189" t="str">
        <f>N147&amp;M148</f>
        <v>3756 M3</v>
      </c>
      <c r="I147" s="264" t="s">
        <v>48</v>
      </c>
      <c r="J147" s="302" t="str">
        <f>IF(R147=0,"上  溢："&amp;S147,IF(Q147=0,"任  泰："&amp;R147&amp;"                 "&amp;"上  溢："&amp;S147,
"水利處："&amp;Q147&amp;"                 "&amp;"任  泰："&amp;R147&amp;"                 "&amp;"上  溢："&amp;S147))</f>
        <v>水利處：李晏然                 任  泰：陳勇智                 上  溢：康祐銓</v>
      </c>
      <c r="K147" s="264" t="s">
        <v>1123</v>
      </c>
      <c r="L147" s="188">
        <f>L143+1</f>
        <v>61</v>
      </c>
      <c r="M147" s="128">
        <f>VLOOKUP(L147,'210'!A:T,5,0)</f>
        <v>16</v>
      </c>
      <c r="N147" s="128">
        <f>N143+M147</f>
        <v>3756</v>
      </c>
      <c r="O147" s="128">
        <f>VLOOKUP(L147,'210'!A:T,6,0)</f>
        <v>1</v>
      </c>
      <c r="P147" s="128">
        <f>P143+O147</f>
        <v>50</v>
      </c>
      <c r="Q147" s="128" t="str">
        <f>VLOOKUP(L147,'210'!A:T,18,0)</f>
        <v>李晏然</v>
      </c>
      <c r="R147" s="128" t="str">
        <f>VLOOKUP(L147,'210'!A:T,19,0)</f>
        <v>陳勇智</v>
      </c>
      <c r="S147" s="128" t="str">
        <f>VLOOKUP(L147,'210'!A:T,20,0)</f>
        <v>康祐銓</v>
      </c>
      <c r="T147" s="137"/>
      <c r="U147" s="137"/>
      <c r="V147" s="137"/>
      <c r="W147" s="137"/>
      <c r="X147" s="137"/>
      <c r="Y147" s="137"/>
      <c r="Z147" s="137"/>
      <c r="AA147" s="137"/>
    </row>
    <row r="148" spans="1:27" s="138" customFormat="1" ht="51.95" customHeight="1">
      <c r="A148" s="294"/>
      <c r="B148" s="185" t="s">
        <v>71</v>
      </c>
      <c r="C148" s="296"/>
      <c r="D148" s="116" t="str">
        <f>M147&amp;M148</f>
        <v>16 M3</v>
      </c>
      <c r="E148" s="272"/>
      <c r="F148" s="117" t="str">
        <f>E147&amp;CHAR(10)&amp;"("&amp;O147&amp;O148&amp;")"</f>
        <v>16 M3
(1組)</v>
      </c>
      <c r="G148" s="282"/>
      <c r="H148" s="184" t="str">
        <f>H147&amp;CHAR(10)&amp;"("&amp;P147&amp;O148&amp;")"</f>
        <v>3756 M3
(50組)</v>
      </c>
      <c r="I148" s="266"/>
      <c r="J148" s="292"/>
      <c r="K148" s="298"/>
      <c r="L148" s="127"/>
      <c r="M148" s="127" t="s">
        <v>201</v>
      </c>
      <c r="N148" s="128"/>
      <c r="O148" s="128" t="s">
        <v>204</v>
      </c>
      <c r="P148" s="128"/>
      <c r="Q148" s="128"/>
      <c r="R148" s="128"/>
      <c r="S148" s="128"/>
      <c r="T148" s="137"/>
      <c r="U148" s="137"/>
      <c r="V148" s="137"/>
      <c r="W148" s="137"/>
      <c r="X148" s="137"/>
      <c r="Y148" s="137"/>
      <c r="Z148" s="137"/>
      <c r="AA148" s="137"/>
    </row>
    <row r="149" spans="1:27" s="140" customFormat="1" ht="51.95" customHeight="1">
      <c r="A149" s="293" t="str">
        <f>"1-210 -"&amp;L149</f>
        <v>1-210 -62</v>
      </c>
      <c r="B149" s="187" t="s">
        <v>1193</v>
      </c>
      <c r="C149" s="295" t="s">
        <v>1528</v>
      </c>
      <c r="D149" s="115">
        <f>VLOOKUP(L149,'210'!A:T,2,0)</f>
        <v>45819</v>
      </c>
      <c r="E149" s="271" t="str">
        <f>M149&amp;M150</f>
        <v>16 M3</v>
      </c>
      <c r="F149" s="115">
        <f>D149</f>
        <v>45819</v>
      </c>
      <c r="G149" s="282"/>
      <c r="H149" s="184" t="str">
        <f>N149&amp;M150</f>
        <v>3772 M3</v>
      </c>
      <c r="I149" s="278" t="s">
        <v>1201</v>
      </c>
      <c r="J149" s="291" t="str">
        <f t="shared" ref="J149" si="8">IF(R149=0,"上  溢："&amp;S149,IF(Q149=0,"任  泰："&amp;R149&amp;"                 "&amp;"上  溢："&amp;S149,
"水利處："&amp;Q149&amp;"                 "&amp;"任  泰："&amp;R149&amp;"                 "&amp;"上  溢："&amp;S149))</f>
        <v>上  溢：康祐銓</v>
      </c>
      <c r="K149" s="124" t="s">
        <v>211</v>
      </c>
      <c r="L149" s="188">
        <f>L147+1</f>
        <v>62</v>
      </c>
      <c r="M149" s="128">
        <f>VLOOKUP(L149,'210'!A:T,5,0)</f>
        <v>16</v>
      </c>
      <c r="N149" s="128">
        <f>N147+M149</f>
        <v>3772</v>
      </c>
      <c r="O149" s="128">
        <f>VLOOKUP(L149,'210'!A:T,6,0)</f>
        <v>0</v>
      </c>
      <c r="P149" s="128">
        <f>P147+O149</f>
        <v>50</v>
      </c>
      <c r="Q149" s="128">
        <f>VLOOKUP(L149,'210'!A:T,18,0)</f>
        <v>0</v>
      </c>
      <c r="R149" s="128">
        <f>VLOOKUP(L149,'210'!A:T,19,0)</f>
        <v>0</v>
      </c>
      <c r="S149" s="128" t="str">
        <f>VLOOKUP(L149,'210'!A:T,20,0)</f>
        <v>康祐銓</v>
      </c>
      <c r="T149" s="139"/>
      <c r="U149" s="139"/>
      <c r="V149" s="139"/>
      <c r="W149" s="139"/>
      <c r="X149" s="139"/>
      <c r="Y149" s="139"/>
      <c r="Z149" s="139"/>
      <c r="AA149" s="139"/>
    </row>
    <row r="150" spans="1:27" s="140" customFormat="1" ht="51.95" customHeight="1">
      <c r="A150" s="294"/>
      <c r="B150" s="185" t="s">
        <v>71</v>
      </c>
      <c r="C150" s="296"/>
      <c r="D150" s="116" t="str">
        <f>M149&amp;M150</f>
        <v>16 M3</v>
      </c>
      <c r="E150" s="272"/>
      <c r="F150" s="117" t="str">
        <f>E149&amp;CHAR(10)&amp;"("&amp;O149&amp;O150&amp;")"</f>
        <v>16 M3
(0組)</v>
      </c>
      <c r="G150" s="282"/>
      <c r="H150" s="184" t="str">
        <f>H149&amp;CHAR(10)&amp;"("&amp;P149&amp;O150&amp;")"</f>
        <v>3772 M3
(50組)</v>
      </c>
      <c r="I150" s="279"/>
      <c r="J150" s="292"/>
      <c r="K150" s="124" t="s">
        <v>1214</v>
      </c>
      <c r="L150" s="127"/>
      <c r="M150" s="127" t="s">
        <v>201</v>
      </c>
      <c r="N150" s="128"/>
      <c r="O150" s="128" t="s">
        <v>204</v>
      </c>
      <c r="P150" s="128"/>
      <c r="Q150" s="128"/>
      <c r="R150" s="128"/>
      <c r="S150" s="128"/>
      <c r="T150" s="139"/>
      <c r="U150" s="139"/>
      <c r="V150" s="139"/>
      <c r="W150" s="139"/>
      <c r="X150" s="139"/>
      <c r="Y150" s="139"/>
      <c r="Z150" s="139"/>
      <c r="AA150" s="139"/>
    </row>
    <row r="151" spans="1:27" s="138" customFormat="1" ht="51.95" customHeight="1">
      <c r="A151" s="293" t="str">
        <f>"1-210 -"&amp;L151</f>
        <v>1-210 -63</v>
      </c>
      <c r="B151" s="187" t="s">
        <v>1193</v>
      </c>
      <c r="C151" s="295" t="s">
        <v>1528</v>
      </c>
      <c r="D151" s="115">
        <f>VLOOKUP(L151,'210'!A:T,2,0)</f>
        <v>45825</v>
      </c>
      <c r="E151" s="271" t="str">
        <f>M151&amp;M152</f>
        <v>10 M3</v>
      </c>
      <c r="F151" s="115">
        <f>D151</f>
        <v>45825</v>
      </c>
      <c r="G151" s="282"/>
      <c r="H151" s="184" t="str">
        <f>N151&amp;M152</f>
        <v>3782 M3</v>
      </c>
      <c r="I151" s="278" t="s">
        <v>1201</v>
      </c>
      <c r="J151" s="291" t="str">
        <f t="shared" ref="J151" si="9">IF(R151=0,"上  溢："&amp;S151,IF(Q151=0,"任  泰："&amp;R151&amp;"                 "&amp;"上  溢："&amp;S151,
"水利處："&amp;Q151&amp;"                 "&amp;"任  泰："&amp;R151&amp;"                 "&amp;"上  溢："&amp;S151))</f>
        <v>上  溢：康祐銓</v>
      </c>
      <c r="K151" s="124" t="s">
        <v>211</v>
      </c>
      <c r="L151" s="188">
        <f>L149+1</f>
        <v>63</v>
      </c>
      <c r="M151" s="128">
        <f>VLOOKUP(L151,'210'!A:T,5,0)</f>
        <v>10</v>
      </c>
      <c r="N151" s="128">
        <f>N149+M151</f>
        <v>3782</v>
      </c>
      <c r="O151" s="128">
        <f>VLOOKUP(L151,'210'!A:T,6,0)</f>
        <v>0</v>
      </c>
      <c r="P151" s="128">
        <f>P149+O151</f>
        <v>50</v>
      </c>
      <c r="Q151" s="128">
        <f>VLOOKUP(L151,'210'!A:T,18,0)</f>
        <v>0</v>
      </c>
      <c r="R151" s="128">
        <f>VLOOKUP(L151,'210'!A:T,19,0)</f>
        <v>0</v>
      </c>
      <c r="S151" s="128" t="str">
        <f>VLOOKUP(L151,'210'!A:T,20,0)</f>
        <v>康祐銓</v>
      </c>
      <c r="T151" s="137"/>
      <c r="U151" s="137"/>
      <c r="V151" s="137"/>
      <c r="W151" s="137"/>
      <c r="X151" s="137"/>
      <c r="Y151" s="137"/>
      <c r="Z151" s="137"/>
      <c r="AA151" s="137"/>
    </row>
    <row r="152" spans="1:27" s="138" customFormat="1" ht="51.95" customHeight="1">
      <c r="A152" s="294"/>
      <c r="B152" s="185" t="s">
        <v>71</v>
      </c>
      <c r="C152" s="296"/>
      <c r="D152" s="116" t="str">
        <f>M151&amp;M152</f>
        <v>10 M3</v>
      </c>
      <c r="E152" s="272"/>
      <c r="F152" s="117" t="str">
        <f>E151&amp;CHAR(10)&amp;"("&amp;O151&amp;O152&amp;")"</f>
        <v>10 M3
(0組)</v>
      </c>
      <c r="G152" s="282"/>
      <c r="H152" s="184" t="str">
        <f>H151&amp;CHAR(10)&amp;"("&amp;P151&amp;O152&amp;")"</f>
        <v>3782 M3
(50組)</v>
      </c>
      <c r="I152" s="279"/>
      <c r="J152" s="292"/>
      <c r="K152" s="124" t="s">
        <v>1215</v>
      </c>
      <c r="L152" s="127"/>
      <c r="M152" s="127" t="s">
        <v>201</v>
      </c>
      <c r="N152" s="128"/>
      <c r="O152" s="128" t="s">
        <v>204</v>
      </c>
      <c r="P152" s="128"/>
      <c r="Q152" s="128"/>
      <c r="R152" s="128"/>
      <c r="S152" s="128"/>
      <c r="T152" s="137"/>
      <c r="U152" s="137"/>
      <c r="V152" s="137"/>
      <c r="W152" s="137"/>
      <c r="X152" s="137"/>
      <c r="Y152" s="137"/>
      <c r="Z152" s="137"/>
      <c r="AA152" s="137"/>
    </row>
    <row r="153" spans="1:27" s="138" customFormat="1" ht="51.95" customHeight="1">
      <c r="A153" s="293" t="str">
        <f>"1-210 -"&amp;L153</f>
        <v>1-210 -64</v>
      </c>
      <c r="B153" s="187" t="s">
        <v>1193</v>
      </c>
      <c r="C153" s="295" t="s">
        <v>1528</v>
      </c>
      <c r="D153" s="115">
        <f>VLOOKUP(L153,'210'!A:T,2,0)</f>
        <v>45833</v>
      </c>
      <c r="E153" s="271" t="str">
        <f>M153&amp;M154</f>
        <v>10 M3</v>
      </c>
      <c r="F153" s="115">
        <f>D153</f>
        <v>45833</v>
      </c>
      <c r="G153" s="282"/>
      <c r="H153" s="184" t="str">
        <f>N153&amp;M154</f>
        <v>3792 M3</v>
      </c>
      <c r="I153" s="278" t="s">
        <v>1201</v>
      </c>
      <c r="J153" s="291" t="str">
        <f t="shared" ref="J153" si="10">IF(R153=0,"上  溢："&amp;S153,IF(Q153=0,"任  泰："&amp;R153&amp;"                 "&amp;"上  溢："&amp;S153,
"水利處："&amp;Q153&amp;"                 "&amp;"任  泰："&amp;R153&amp;"                 "&amp;"上  溢："&amp;S153))</f>
        <v>上  溢：康祐銓</v>
      </c>
      <c r="K153" s="124" t="s">
        <v>211</v>
      </c>
      <c r="L153" s="188">
        <f>L151+1</f>
        <v>64</v>
      </c>
      <c r="M153" s="128">
        <f>VLOOKUP(L153,'210'!A:T,5,0)</f>
        <v>10</v>
      </c>
      <c r="N153" s="128">
        <f>N151+M153</f>
        <v>3792</v>
      </c>
      <c r="O153" s="128">
        <f>VLOOKUP(L153,'210'!A:T,6,0)</f>
        <v>0</v>
      </c>
      <c r="P153" s="128">
        <f>P151+O153</f>
        <v>50</v>
      </c>
      <c r="Q153" s="128">
        <f>VLOOKUP(L153,'210'!A:T,18,0)</f>
        <v>0</v>
      </c>
      <c r="R153" s="128">
        <f>VLOOKUP(L153,'210'!A:T,19,0)</f>
        <v>0</v>
      </c>
      <c r="S153" s="128" t="str">
        <f>VLOOKUP(L153,'210'!A:T,20,0)</f>
        <v>康祐銓</v>
      </c>
      <c r="T153" s="137"/>
      <c r="U153" s="137"/>
      <c r="V153" s="137"/>
      <c r="W153" s="137"/>
      <c r="X153" s="137"/>
      <c r="Y153" s="137"/>
      <c r="Z153" s="137"/>
      <c r="AA153" s="137"/>
    </row>
    <row r="154" spans="1:27" s="138" customFormat="1" ht="51.95" customHeight="1">
      <c r="A154" s="294"/>
      <c r="B154" s="185" t="s">
        <v>71</v>
      </c>
      <c r="C154" s="296"/>
      <c r="D154" s="116" t="str">
        <f>M153&amp;M154</f>
        <v>10 M3</v>
      </c>
      <c r="E154" s="272"/>
      <c r="F154" s="117" t="str">
        <f>E153&amp;CHAR(10)&amp;"("&amp;O153&amp;O154&amp;")"</f>
        <v>10 M3
(0組)</v>
      </c>
      <c r="G154" s="282"/>
      <c r="H154" s="184" t="str">
        <f>H153&amp;CHAR(10)&amp;"("&amp;P153&amp;O154&amp;")"</f>
        <v>3792 M3
(50組)</v>
      </c>
      <c r="I154" s="279"/>
      <c r="J154" s="292"/>
      <c r="K154" s="124" t="s">
        <v>1106</v>
      </c>
      <c r="L154" s="127"/>
      <c r="M154" s="127" t="s">
        <v>201</v>
      </c>
      <c r="N154" s="128"/>
      <c r="O154" s="128" t="s">
        <v>204</v>
      </c>
      <c r="P154" s="128"/>
      <c r="Q154" s="128"/>
      <c r="R154" s="128"/>
      <c r="S154" s="128"/>
      <c r="T154" s="137"/>
      <c r="U154" s="137"/>
      <c r="V154" s="137"/>
      <c r="W154" s="137"/>
      <c r="X154" s="137"/>
      <c r="Y154" s="137"/>
      <c r="Z154" s="137"/>
      <c r="AA154" s="137"/>
    </row>
    <row r="155" spans="1:27" s="138" customFormat="1" ht="51.95" customHeight="1">
      <c r="A155" s="293" t="str">
        <f>"1-210 -"&amp;L155</f>
        <v>1-210 -65</v>
      </c>
      <c r="B155" s="187" t="s">
        <v>1193</v>
      </c>
      <c r="C155" s="295" t="s">
        <v>1528</v>
      </c>
      <c r="D155" s="115">
        <f>VLOOKUP(L155,'210'!A:T,2,0)</f>
        <v>45834</v>
      </c>
      <c r="E155" s="271" t="str">
        <f>M155&amp;M156</f>
        <v>40 M3</v>
      </c>
      <c r="F155" s="115">
        <f>D155</f>
        <v>45834</v>
      </c>
      <c r="G155" s="282"/>
      <c r="H155" s="184" t="str">
        <f>N155&amp;M156</f>
        <v>3832 M3</v>
      </c>
      <c r="I155" s="264" t="s">
        <v>48</v>
      </c>
      <c r="J155" s="291" t="str">
        <f>IF(R155=0,"上  溢："&amp;S155,IF(Q155=0,"任  泰："&amp;R155&amp;"                 "&amp;"上  溢："&amp;S155,
"水利處："&amp;Q155&amp;"                 "&amp;"任  泰："&amp;R155&amp;"                 "&amp;"上  溢："&amp;S155))</f>
        <v>任  泰：陳勇智                 上  溢：康祐銓</v>
      </c>
      <c r="K155" s="264" t="s">
        <v>1788</v>
      </c>
      <c r="L155" s="188">
        <f>L153+1</f>
        <v>65</v>
      </c>
      <c r="M155" s="128">
        <f>VLOOKUP(L155,'210'!A:T,5,0)</f>
        <v>40</v>
      </c>
      <c r="N155" s="128">
        <f>N153+M155</f>
        <v>3832</v>
      </c>
      <c r="O155" s="128">
        <f>VLOOKUP(L155,'210'!A:T,6,0)</f>
        <v>1</v>
      </c>
      <c r="P155" s="128">
        <f>P153+O155</f>
        <v>51</v>
      </c>
      <c r="Q155" s="128">
        <f>VLOOKUP(L155,'210'!A:T,18,0)</f>
        <v>0</v>
      </c>
      <c r="R155" s="128" t="str">
        <f>VLOOKUP(L155,'210'!A:T,19,0)</f>
        <v>陳勇智</v>
      </c>
      <c r="S155" s="128" t="str">
        <f>VLOOKUP(L155,'210'!A:T,20,0)</f>
        <v>康祐銓</v>
      </c>
      <c r="T155" s="137"/>
      <c r="U155" s="137"/>
      <c r="V155" s="137"/>
      <c r="W155" s="137"/>
      <c r="X155" s="137"/>
      <c r="Y155" s="137"/>
      <c r="Z155" s="137"/>
      <c r="AA155" s="137"/>
    </row>
    <row r="156" spans="1:27" s="138" customFormat="1" ht="51.95" customHeight="1">
      <c r="A156" s="294"/>
      <c r="B156" s="185" t="s">
        <v>71</v>
      </c>
      <c r="C156" s="296"/>
      <c r="D156" s="116" t="str">
        <f>M155&amp;M156</f>
        <v>40 M3</v>
      </c>
      <c r="E156" s="272"/>
      <c r="F156" s="117" t="str">
        <f>E155&amp;CHAR(10)&amp;"("&amp;O155&amp;O156&amp;")"</f>
        <v>40 M3
(1組)</v>
      </c>
      <c r="G156" s="282"/>
      <c r="H156" s="184" t="str">
        <f>H155&amp;CHAR(10)&amp;"("&amp;P155&amp;O156&amp;")"</f>
        <v>3832 M3
(51組)</v>
      </c>
      <c r="I156" s="266"/>
      <c r="J156" s="292"/>
      <c r="K156" s="265"/>
      <c r="L156" s="127"/>
      <c r="M156" s="127" t="s">
        <v>201</v>
      </c>
      <c r="N156" s="128"/>
      <c r="O156" s="128" t="s">
        <v>204</v>
      </c>
      <c r="P156" s="128"/>
      <c r="Q156" s="128"/>
      <c r="R156" s="128"/>
      <c r="S156" s="128"/>
      <c r="T156" s="137"/>
      <c r="U156" s="137"/>
      <c r="V156" s="137"/>
      <c r="W156" s="137"/>
      <c r="X156" s="137"/>
      <c r="Y156" s="137"/>
      <c r="Z156" s="137"/>
      <c r="AA156" s="137"/>
    </row>
    <row r="157" spans="1:27" s="140" customFormat="1" ht="51.95" customHeight="1">
      <c r="A157" s="293" t="str">
        <f>"1-210 -"&amp;L157</f>
        <v>1-210 -66</v>
      </c>
      <c r="B157" s="187" t="s">
        <v>1193</v>
      </c>
      <c r="C157" s="295" t="s">
        <v>1528</v>
      </c>
      <c r="D157" s="115">
        <f>VLOOKUP(L157,'210'!A:T,2,0)</f>
        <v>45835</v>
      </c>
      <c r="E157" s="271" t="str">
        <f>M157&amp;M158</f>
        <v>10 M3</v>
      </c>
      <c r="F157" s="115">
        <f>D157</f>
        <v>45835</v>
      </c>
      <c r="G157" s="282"/>
      <c r="H157" s="184" t="str">
        <f>N157&amp;M158</f>
        <v>3842 M3</v>
      </c>
      <c r="I157" s="278" t="s">
        <v>1201</v>
      </c>
      <c r="J157" s="291" t="str">
        <f t="shared" ref="J157" si="11">IF(R157=0,"上  溢："&amp;S157,IF(Q157=0,"任  泰："&amp;R157&amp;"                 "&amp;"上  溢："&amp;S157,
"水利處："&amp;Q157&amp;"                 "&amp;"任  泰："&amp;R157&amp;"                 "&amp;"上  溢："&amp;S157))</f>
        <v>上  溢：康祐銓</v>
      </c>
      <c r="K157" s="124" t="s">
        <v>211</v>
      </c>
      <c r="L157" s="188">
        <f>L155+1</f>
        <v>66</v>
      </c>
      <c r="M157" s="128">
        <f>VLOOKUP(L157,'210'!A:T,5,0)</f>
        <v>10</v>
      </c>
      <c r="N157" s="128">
        <f>N155+M157</f>
        <v>3842</v>
      </c>
      <c r="O157" s="128">
        <f>VLOOKUP(L157,'210'!A:T,6,0)</f>
        <v>0</v>
      </c>
      <c r="P157" s="128">
        <f>P155+O157</f>
        <v>51</v>
      </c>
      <c r="Q157" s="128">
        <f>VLOOKUP(L157,'210'!A:T,18,0)</f>
        <v>0</v>
      </c>
      <c r="R157" s="128">
        <f>VLOOKUP(L157,'210'!A:T,19,0)</f>
        <v>0</v>
      </c>
      <c r="S157" s="128" t="str">
        <f>VLOOKUP(L157,'210'!A:T,20,0)</f>
        <v>康祐銓</v>
      </c>
      <c r="T157" s="139"/>
      <c r="U157" s="139"/>
      <c r="V157" s="139"/>
      <c r="W157" s="139"/>
      <c r="X157" s="139"/>
      <c r="Y157" s="139"/>
      <c r="Z157" s="139"/>
      <c r="AA157" s="139"/>
    </row>
    <row r="158" spans="1:27" s="140" customFormat="1" ht="51.95" customHeight="1">
      <c r="A158" s="294"/>
      <c r="B158" s="185" t="s">
        <v>71</v>
      </c>
      <c r="C158" s="296"/>
      <c r="D158" s="116" t="str">
        <f>M157&amp;M158</f>
        <v>10 M3</v>
      </c>
      <c r="E158" s="272"/>
      <c r="F158" s="117" t="str">
        <f>E157&amp;CHAR(10)&amp;"("&amp;O157&amp;O158&amp;")"</f>
        <v>10 M3
(0組)</v>
      </c>
      <c r="G158" s="265"/>
      <c r="H158" s="184" t="str">
        <f>H157&amp;CHAR(10)&amp;"("&amp;P157&amp;O158&amp;")"</f>
        <v>3842 M3
(51組)</v>
      </c>
      <c r="I158" s="279"/>
      <c r="J158" s="292"/>
      <c r="K158" s="124" t="s">
        <v>1216</v>
      </c>
      <c r="L158" s="127"/>
      <c r="M158" s="127" t="s">
        <v>201</v>
      </c>
      <c r="N158" s="128"/>
      <c r="O158" s="128" t="s">
        <v>204</v>
      </c>
      <c r="P158" s="128"/>
      <c r="Q158" s="128"/>
      <c r="R158" s="128"/>
      <c r="S158" s="128"/>
      <c r="T158" s="139"/>
      <c r="U158" s="139"/>
      <c r="V158" s="139"/>
      <c r="W158" s="139"/>
      <c r="X158" s="139"/>
      <c r="Y158" s="139"/>
      <c r="Z158" s="139"/>
      <c r="AA158" s="139"/>
    </row>
    <row r="159" spans="1:27" s="142" customFormat="1" ht="49.5" customHeight="1">
      <c r="A159" s="260" t="s">
        <v>47</v>
      </c>
      <c r="B159" s="261"/>
      <c r="C159" s="262"/>
      <c r="D159" s="260" t="s">
        <v>1753</v>
      </c>
      <c r="E159" s="261"/>
      <c r="F159" s="261"/>
      <c r="G159" s="262"/>
      <c r="H159" s="260" t="s">
        <v>1755</v>
      </c>
      <c r="I159" s="261"/>
      <c r="J159" s="261"/>
      <c r="K159" s="262"/>
      <c r="M159" s="143"/>
      <c r="N159" s="143"/>
      <c r="O159" s="143"/>
      <c r="P159" s="143"/>
      <c r="Q159" s="143"/>
      <c r="R159" s="143"/>
      <c r="S159" s="143"/>
      <c r="T159" s="143"/>
      <c r="U159" s="143"/>
      <c r="V159" s="143"/>
      <c r="W159" s="143"/>
      <c r="X159" s="143"/>
      <c r="Y159" s="143"/>
      <c r="Z159" s="143"/>
      <c r="AA159" s="143"/>
    </row>
    <row r="160" spans="1:27" s="142" customFormat="1" ht="54" customHeight="1">
      <c r="A160" s="263" t="s">
        <v>1147</v>
      </c>
      <c r="B160" s="263"/>
      <c r="C160" s="263"/>
      <c r="D160" s="263"/>
      <c r="E160" s="263"/>
      <c r="F160" s="263"/>
      <c r="G160" s="263"/>
      <c r="H160" s="263"/>
      <c r="I160" s="263"/>
      <c r="J160" s="263"/>
      <c r="K160" s="263"/>
      <c r="M160" s="143"/>
      <c r="N160" s="143"/>
      <c r="O160" s="143"/>
      <c r="P160" s="143"/>
      <c r="Q160" s="143"/>
      <c r="R160" s="143"/>
      <c r="S160" s="143"/>
      <c r="T160" s="143"/>
      <c r="U160" s="143"/>
      <c r="V160" s="143"/>
      <c r="W160" s="143"/>
      <c r="X160" s="143"/>
      <c r="Y160" s="143"/>
      <c r="Z160" s="143"/>
      <c r="AA160" s="143"/>
    </row>
    <row r="161" spans="1:27" s="138" customFormat="1" ht="51.95" customHeight="1">
      <c r="A161" s="293" t="str">
        <f>"1-210 -"&amp;L161</f>
        <v>1-210 -67</v>
      </c>
      <c r="B161" s="187" t="s">
        <v>1193</v>
      </c>
      <c r="C161" s="295" t="s">
        <v>1528</v>
      </c>
      <c r="D161" s="115">
        <f>VLOOKUP(L161,'210'!A:T,2,0)</f>
        <v>45838</v>
      </c>
      <c r="E161" s="271" t="str">
        <f>M161&amp;M162</f>
        <v>12 M3</v>
      </c>
      <c r="F161" s="115">
        <f>D161</f>
        <v>45838</v>
      </c>
      <c r="G161" s="264" t="s">
        <v>145</v>
      </c>
      <c r="H161" s="184" t="str">
        <f>N161&amp;M162</f>
        <v>3854 M3</v>
      </c>
      <c r="I161" s="278" t="s">
        <v>1201</v>
      </c>
      <c r="J161" s="291" t="str">
        <f t="shared" ref="J161" si="12">IF(R161=0,"上  溢："&amp;S161,IF(Q161=0,"任  泰："&amp;R161&amp;"                 "&amp;"上  溢："&amp;S161,
"水利處："&amp;Q161&amp;"                 "&amp;"任  泰："&amp;R161&amp;"                 "&amp;"上  溢："&amp;S161))</f>
        <v>上  溢：康祐銓</v>
      </c>
      <c r="K161" s="124" t="s">
        <v>211</v>
      </c>
      <c r="L161" s="188">
        <f>L157+1</f>
        <v>67</v>
      </c>
      <c r="M161" s="128">
        <f>VLOOKUP(L161,'210'!A:T,5,0)</f>
        <v>12</v>
      </c>
      <c r="N161" s="128">
        <f>N157+M161</f>
        <v>3854</v>
      </c>
      <c r="O161" s="128">
        <f>VLOOKUP(L161,'210'!A:T,6,0)</f>
        <v>0</v>
      </c>
      <c r="P161" s="128">
        <f>P157+O161</f>
        <v>51</v>
      </c>
      <c r="Q161" s="128">
        <f>VLOOKUP(L161,'210'!A:T,18,0)</f>
        <v>0</v>
      </c>
      <c r="R161" s="128">
        <f>VLOOKUP(L161,'210'!A:T,19,0)</f>
        <v>0</v>
      </c>
      <c r="S161" s="128" t="str">
        <f>VLOOKUP(L161,'210'!A:T,20,0)</f>
        <v>康祐銓</v>
      </c>
      <c r="T161" s="137"/>
      <c r="U161" s="137"/>
      <c r="V161" s="137"/>
      <c r="W161" s="137"/>
      <c r="X161" s="137"/>
      <c r="Y161" s="137"/>
      <c r="Z161" s="137"/>
      <c r="AA161" s="137"/>
    </row>
    <row r="162" spans="1:27" s="138" customFormat="1" ht="51.95" customHeight="1">
      <c r="A162" s="294"/>
      <c r="B162" s="185" t="s">
        <v>71</v>
      </c>
      <c r="C162" s="296"/>
      <c r="D162" s="116" t="str">
        <f>M161&amp;M162</f>
        <v>12 M3</v>
      </c>
      <c r="E162" s="272"/>
      <c r="F162" s="117" t="str">
        <f>E161&amp;CHAR(10)&amp;"("&amp;O161&amp;O162&amp;")"</f>
        <v>12 M3
(0組)</v>
      </c>
      <c r="G162" s="282"/>
      <c r="H162" s="184" t="str">
        <f>H161&amp;CHAR(10)&amp;"("&amp;P161&amp;O162&amp;")"</f>
        <v>3854 M3
(51組)</v>
      </c>
      <c r="I162" s="279"/>
      <c r="J162" s="292"/>
      <c r="K162" s="124" t="s">
        <v>1217</v>
      </c>
      <c r="L162" s="127"/>
      <c r="M162" s="127" t="s">
        <v>201</v>
      </c>
      <c r="N162" s="128"/>
      <c r="O162" s="128" t="s">
        <v>204</v>
      </c>
      <c r="P162" s="128"/>
      <c r="Q162" s="128"/>
      <c r="R162" s="128"/>
      <c r="S162" s="128"/>
      <c r="T162" s="137"/>
      <c r="U162" s="137"/>
      <c r="V162" s="137"/>
      <c r="W162" s="137"/>
      <c r="X162" s="137"/>
      <c r="Y162" s="137"/>
      <c r="Z162" s="137"/>
      <c r="AA162" s="137"/>
    </row>
    <row r="163" spans="1:27" s="138" customFormat="1" ht="51.95" customHeight="1">
      <c r="A163" s="293" t="str">
        <f>"1-210 -"&amp;L163</f>
        <v>1-210 -68</v>
      </c>
      <c r="B163" s="187" t="s">
        <v>1193</v>
      </c>
      <c r="C163" s="295" t="s">
        <v>1528</v>
      </c>
      <c r="D163" s="115">
        <f>VLOOKUP(L163,'210'!A:T,2,0)</f>
        <v>45839</v>
      </c>
      <c r="E163" s="271" t="str">
        <f>M163&amp;M164</f>
        <v>9 M3</v>
      </c>
      <c r="F163" s="115">
        <f>D163</f>
        <v>45839</v>
      </c>
      <c r="G163" s="282"/>
      <c r="H163" s="184" t="str">
        <f>N163&amp;M164</f>
        <v>3863 M3</v>
      </c>
      <c r="I163" s="264" t="s">
        <v>48</v>
      </c>
      <c r="J163" s="291" t="str">
        <f t="shared" ref="J163" si="13">IF(R163=0,"上  溢："&amp;S163,IF(Q163=0,"任  泰："&amp;R163&amp;"                 "&amp;"上  溢："&amp;S163,
"水利處："&amp;Q163&amp;"                 "&amp;"任  泰："&amp;R163&amp;"                 "&amp;"上  溢："&amp;S163))</f>
        <v>上  溢：鄭米絜</v>
      </c>
      <c r="K163" s="264" t="s">
        <v>1594</v>
      </c>
      <c r="L163" s="188">
        <f>L161+1</f>
        <v>68</v>
      </c>
      <c r="M163" s="128">
        <f>VLOOKUP(L163,'210'!A:T,5,0)</f>
        <v>9</v>
      </c>
      <c r="N163" s="128">
        <f>N161+M163</f>
        <v>3863</v>
      </c>
      <c r="O163" s="128">
        <f>VLOOKUP(L163,'210'!A:T,6,0)</f>
        <v>1</v>
      </c>
      <c r="P163" s="128">
        <f>P161+O163</f>
        <v>52</v>
      </c>
      <c r="Q163" s="128">
        <f>VLOOKUP(L163,'210'!A:T,18,0)</f>
        <v>0</v>
      </c>
      <c r="R163" s="128">
        <f>VLOOKUP(L163,'210'!A:T,19,0)</f>
        <v>0</v>
      </c>
      <c r="S163" s="128" t="str">
        <f>VLOOKUP(L163,'210'!A:T,20,0)</f>
        <v>鄭米絜</v>
      </c>
      <c r="T163" s="137"/>
      <c r="U163" s="137"/>
      <c r="V163" s="137"/>
      <c r="W163" s="137"/>
      <c r="X163" s="137"/>
      <c r="Y163" s="137"/>
      <c r="Z163" s="137"/>
      <c r="AA163" s="137"/>
    </row>
    <row r="164" spans="1:27" s="138" customFormat="1" ht="51.95" customHeight="1">
      <c r="A164" s="294"/>
      <c r="B164" s="185" t="s">
        <v>71</v>
      </c>
      <c r="C164" s="296"/>
      <c r="D164" s="116" t="str">
        <f>M163&amp;M164</f>
        <v>9 M3</v>
      </c>
      <c r="E164" s="272"/>
      <c r="F164" s="117" t="str">
        <f>E163&amp;CHAR(10)&amp;"("&amp;O163&amp;O164&amp;")"</f>
        <v>9 M3
(1組)</v>
      </c>
      <c r="G164" s="282"/>
      <c r="H164" s="184" t="str">
        <f>H163&amp;CHAR(10)&amp;"("&amp;P163&amp;O164&amp;")"</f>
        <v>3863 M3
(52組)</v>
      </c>
      <c r="I164" s="266"/>
      <c r="J164" s="292"/>
      <c r="K164" s="265"/>
      <c r="L164" s="127"/>
      <c r="M164" s="127" t="s">
        <v>201</v>
      </c>
      <c r="N164" s="128"/>
      <c r="O164" s="128" t="s">
        <v>204</v>
      </c>
      <c r="P164" s="128"/>
      <c r="Q164" s="128"/>
      <c r="R164" s="128"/>
      <c r="S164" s="128"/>
      <c r="T164" s="137"/>
      <c r="U164" s="137"/>
      <c r="V164" s="137"/>
      <c r="W164" s="137"/>
      <c r="X164" s="137"/>
      <c r="Y164" s="137"/>
      <c r="Z164" s="137"/>
      <c r="AA164" s="137"/>
    </row>
    <row r="165" spans="1:27" s="138" customFormat="1" ht="51.95" customHeight="1">
      <c r="A165" s="293" t="str">
        <f>"1-210 -"&amp;L165</f>
        <v>1-210 -69</v>
      </c>
      <c r="B165" s="187" t="s">
        <v>1193</v>
      </c>
      <c r="C165" s="295" t="s">
        <v>1528</v>
      </c>
      <c r="D165" s="115">
        <f>VLOOKUP(L165,'210'!A:T,2,0)</f>
        <v>45839</v>
      </c>
      <c r="E165" s="271" t="str">
        <f>M165&amp;M166</f>
        <v>8 M3</v>
      </c>
      <c r="F165" s="115">
        <f>D165</f>
        <v>45839</v>
      </c>
      <c r="G165" s="282"/>
      <c r="H165" s="184" t="str">
        <f>N165&amp;M166</f>
        <v>3871 M3</v>
      </c>
      <c r="I165" s="264" t="s">
        <v>48</v>
      </c>
      <c r="J165" s="291" t="str">
        <f t="shared" ref="J165" si="14">IF(R165=0,"上  溢："&amp;S165,IF(Q165=0,"任  泰："&amp;R165&amp;"                 "&amp;"上  溢："&amp;S165,
"水利處："&amp;Q165&amp;"                 "&amp;"任  泰："&amp;R165&amp;"                 "&amp;"上  溢："&amp;S165))</f>
        <v>上  溢：康祐銓</v>
      </c>
      <c r="K165" s="264" t="s">
        <v>1607</v>
      </c>
      <c r="L165" s="188">
        <f>L163+1</f>
        <v>69</v>
      </c>
      <c r="M165" s="128">
        <f>VLOOKUP(L165,'210'!A:T,5,0)</f>
        <v>8</v>
      </c>
      <c r="N165" s="128">
        <f>N163+M165</f>
        <v>3871</v>
      </c>
      <c r="O165" s="128">
        <f>VLOOKUP(L165,'210'!A:T,6,0)</f>
        <v>1</v>
      </c>
      <c r="P165" s="128">
        <f>P163+O165</f>
        <v>53</v>
      </c>
      <c r="Q165" s="128">
        <f>VLOOKUP(L165,'210'!A:T,18,0)</f>
        <v>0</v>
      </c>
      <c r="R165" s="128">
        <f>VLOOKUP(L165,'210'!A:T,19,0)</f>
        <v>0</v>
      </c>
      <c r="S165" s="128" t="str">
        <f>VLOOKUP(L165,'210'!A:T,20,0)</f>
        <v>康祐銓</v>
      </c>
      <c r="T165" s="137"/>
      <c r="U165" s="137"/>
      <c r="V165" s="137"/>
      <c r="W165" s="137"/>
      <c r="X165" s="137"/>
      <c r="Y165" s="137"/>
      <c r="Z165" s="137"/>
      <c r="AA165" s="137"/>
    </row>
    <row r="166" spans="1:27" s="138" customFormat="1" ht="51.95" customHeight="1">
      <c r="A166" s="294"/>
      <c r="B166" s="185" t="s">
        <v>71</v>
      </c>
      <c r="C166" s="296"/>
      <c r="D166" s="116" t="str">
        <f>M165&amp;M166</f>
        <v>8 M3</v>
      </c>
      <c r="E166" s="272"/>
      <c r="F166" s="117" t="str">
        <f>E165&amp;CHAR(10)&amp;"("&amp;O165&amp;O166&amp;")"</f>
        <v>8 M3
(1組)</v>
      </c>
      <c r="G166" s="282"/>
      <c r="H166" s="184" t="str">
        <f>H165&amp;CHAR(10)&amp;"("&amp;P165&amp;O166&amp;")"</f>
        <v>3871 M3
(53組)</v>
      </c>
      <c r="I166" s="266"/>
      <c r="J166" s="292"/>
      <c r="K166" s="265"/>
      <c r="L166" s="127"/>
      <c r="M166" s="127" t="s">
        <v>201</v>
      </c>
      <c r="N166" s="128"/>
      <c r="O166" s="128" t="s">
        <v>204</v>
      </c>
      <c r="P166" s="128"/>
      <c r="Q166" s="128"/>
      <c r="R166" s="128"/>
      <c r="S166" s="128"/>
      <c r="T166" s="137"/>
      <c r="U166" s="137"/>
      <c r="V166" s="137"/>
      <c r="W166" s="137"/>
      <c r="X166" s="137"/>
      <c r="Y166" s="137"/>
      <c r="Z166" s="137"/>
      <c r="AA166" s="137"/>
    </row>
    <row r="167" spans="1:27" s="138" customFormat="1" ht="51.95" customHeight="1">
      <c r="A167" s="293" t="str">
        <f>"1-210 -"&amp;L167</f>
        <v>1-210 -70</v>
      </c>
      <c r="B167" s="187" t="s">
        <v>1193</v>
      </c>
      <c r="C167" s="295" t="s">
        <v>1528</v>
      </c>
      <c r="D167" s="115">
        <f>VLOOKUP(L167,'210'!A:T,2,0)</f>
        <v>45841</v>
      </c>
      <c r="E167" s="271" t="str">
        <f>M167&amp;M168</f>
        <v>12 M3</v>
      </c>
      <c r="F167" s="115">
        <f>D167</f>
        <v>45841</v>
      </c>
      <c r="G167" s="282"/>
      <c r="H167" s="184" t="str">
        <f>N167&amp;M168</f>
        <v>3883 M3</v>
      </c>
      <c r="I167" s="278" t="s">
        <v>1201</v>
      </c>
      <c r="J167" s="291" t="str">
        <f t="shared" ref="J167" si="15">IF(R167=0,"上  溢："&amp;S167,IF(Q167=0,"任  泰："&amp;R167&amp;"                 "&amp;"上  溢："&amp;S167,
"水利處："&amp;Q167&amp;"                 "&amp;"任  泰："&amp;R167&amp;"                 "&amp;"上  溢："&amp;S167))</f>
        <v>上  溢：康祐銓</v>
      </c>
      <c r="K167" s="124" t="s">
        <v>211</v>
      </c>
      <c r="L167" s="188">
        <f>L165+1</f>
        <v>70</v>
      </c>
      <c r="M167" s="128">
        <f>VLOOKUP(L167,'210'!A:T,5,0)</f>
        <v>12</v>
      </c>
      <c r="N167" s="128">
        <f>N165+M167</f>
        <v>3883</v>
      </c>
      <c r="O167" s="128">
        <f>VLOOKUP(L167,'210'!A:T,6,0)</f>
        <v>0</v>
      </c>
      <c r="P167" s="128">
        <f>P165+O167</f>
        <v>53</v>
      </c>
      <c r="Q167" s="128">
        <f>VLOOKUP(L167,'210'!A:T,18,0)</f>
        <v>0</v>
      </c>
      <c r="R167" s="128">
        <f>VLOOKUP(L167,'210'!A:T,19,0)</f>
        <v>0</v>
      </c>
      <c r="S167" s="128" t="str">
        <f>VLOOKUP(L167,'210'!A:T,20,0)</f>
        <v>康祐銓</v>
      </c>
      <c r="T167" s="137"/>
      <c r="U167" s="137"/>
      <c r="V167" s="137"/>
      <c r="W167" s="137"/>
      <c r="X167" s="137"/>
      <c r="Y167" s="137"/>
      <c r="Z167" s="137"/>
      <c r="AA167" s="137"/>
    </row>
    <row r="168" spans="1:27" s="138" customFormat="1" ht="51.95" customHeight="1">
      <c r="A168" s="294"/>
      <c r="B168" s="185" t="s">
        <v>71</v>
      </c>
      <c r="C168" s="296"/>
      <c r="D168" s="116" t="str">
        <f>M167&amp;M168</f>
        <v>12 M3</v>
      </c>
      <c r="E168" s="272"/>
      <c r="F168" s="117" t="str">
        <f>E167&amp;CHAR(10)&amp;"("&amp;O167&amp;O168&amp;")"</f>
        <v>12 M3
(0組)</v>
      </c>
      <c r="G168" s="282"/>
      <c r="H168" s="184" t="str">
        <f>H167&amp;CHAR(10)&amp;"("&amp;P167&amp;O168&amp;")"</f>
        <v>3883 M3
(53組)</v>
      </c>
      <c r="I168" s="279"/>
      <c r="J168" s="292"/>
      <c r="K168" s="124" t="s">
        <v>1218</v>
      </c>
      <c r="L168" s="127"/>
      <c r="M168" s="127" t="s">
        <v>201</v>
      </c>
      <c r="N168" s="128"/>
      <c r="O168" s="128" t="s">
        <v>204</v>
      </c>
      <c r="P168" s="128"/>
      <c r="Q168" s="128"/>
      <c r="R168" s="128"/>
      <c r="S168" s="128"/>
      <c r="T168" s="137"/>
      <c r="U168" s="137"/>
      <c r="V168" s="137"/>
      <c r="W168" s="137"/>
      <c r="X168" s="137"/>
      <c r="Y168" s="137"/>
      <c r="Z168" s="137"/>
      <c r="AA168" s="137"/>
    </row>
    <row r="169" spans="1:27" s="138" customFormat="1" ht="51.95" customHeight="1">
      <c r="A169" s="293" t="str">
        <f>"1-210 -"&amp;L169</f>
        <v>1-210 -71</v>
      </c>
      <c r="B169" s="187" t="s">
        <v>1193</v>
      </c>
      <c r="C169" s="295" t="s">
        <v>1528</v>
      </c>
      <c r="D169" s="115">
        <f>VLOOKUP(L169,'210'!A:T,2,0)</f>
        <v>45846</v>
      </c>
      <c r="E169" s="271" t="str">
        <f>M169&amp;M170</f>
        <v>10 M3</v>
      </c>
      <c r="F169" s="115">
        <f>D169</f>
        <v>45846</v>
      </c>
      <c r="G169" s="282"/>
      <c r="H169" s="184" t="str">
        <f>N169&amp;M170</f>
        <v>3893 M3</v>
      </c>
      <c r="I169" s="278" t="s">
        <v>1201</v>
      </c>
      <c r="J169" s="291" t="str">
        <f t="shared" ref="J169" si="16">IF(R169=0,"上  溢："&amp;S169,IF(Q169=0,"任  泰："&amp;R169&amp;"                 "&amp;"上  溢："&amp;S169,
"水利處："&amp;Q169&amp;"                 "&amp;"任  泰："&amp;R169&amp;"                 "&amp;"上  溢："&amp;S169))</f>
        <v>上  溢：康祐銓</v>
      </c>
      <c r="K169" s="124" t="s">
        <v>211</v>
      </c>
      <c r="L169" s="188">
        <f>L167+1</f>
        <v>71</v>
      </c>
      <c r="M169" s="128">
        <f>VLOOKUP(L169,'210'!A:T,5,0)</f>
        <v>10</v>
      </c>
      <c r="N169" s="128">
        <f>N167+M169</f>
        <v>3893</v>
      </c>
      <c r="O169" s="128">
        <f>VLOOKUP(L169,'210'!A:T,6,0)</f>
        <v>0</v>
      </c>
      <c r="P169" s="128">
        <f>P167+O169</f>
        <v>53</v>
      </c>
      <c r="Q169" s="128">
        <f>VLOOKUP(L169,'210'!A:T,18,0)</f>
        <v>0</v>
      </c>
      <c r="R169" s="128">
        <f>VLOOKUP(L169,'210'!A:T,19,0)</f>
        <v>0</v>
      </c>
      <c r="S169" s="128" t="str">
        <f>VLOOKUP(L169,'210'!A:T,20,0)</f>
        <v>康祐銓</v>
      </c>
      <c r="T169" s="137"/>
      <c r="U169" s="137"/>
      <c r="V169" s="137"/>
      <c r="W169" s="137"/>
      <c r="X169" s="137"/>
      <c r="Y169" s="137"/>
      <c r="Z169" s="137"/>
      <c r="AA169" s="137"/>
    </row>
    <row r="170" spans="1:27" s="138" customFormat="1" ht="51.95" customHeight="1">
      <c r="A170" s="294"/>
      <c r="B170" s="185" t="s">
        <v>71</v>
      </c>
      <c r="C170" s="296"/>
      <c r="D170" s="116" t="str">
        <f>M169&amp;M170</f>
        <v>10 M3</v>
      </c>
      <c r="E170" s="272"/>
      <c r="F170" s="117" t="str">
        <f>E169&amp;CHAR(10)&amp;"("&amp;O169&amp;O170&amp;")"</f>
        <v>10 M3
(0組)</v>
      </c>
      <c r="G170" s="282"/>
      <c r="H170" s="184" t="str">
        <f>H169&amp;CHAR(10)&amp;"("&amp;P169&amp;O170&amp;")"</f>
        <v>3893 M3
(53組)</v>
      </c>
      <c r="I170" s="279"/>
      <c r="J170" s="292"/>
      <c r="K170" s="124" t="s">
        <v>1219</v>
      </c>
      <c r="L170" s="127"/>
      <c r="M170" s="127" t="s">
        <v>201</v>
      </c>
      <c r="N170" s="128"/>
      <c r="O170" s="128" t="s">
        <v>204</v>
      </c>
      <c r="P170" s="128"/>
      <c r="Q170" s="128"/>
      <c r="R170" s="128"/>
      <c r="S170" s="128"/>
      <c r="T170" s="137"/>
      <c r="U170" s="137"/>
      <c r="V170" s="137"/>
      <c r="W170" s="137"/>
      <c r="X170" s="137"/>
      <c r="Y170" s="137"/>
      <c r="Z170" s="137"/>
      <c r="AA170" s="137"/>
    </row>
    <row r="171" spans="1:27" s="138" customFormat="1" ht="51.95" customHeight="1">
      <c r="A171" s="293" t="str">
        <f>"1-210 -"&amp;L171</f>
        <v>1-210 -72</v>
      </c>
      <c r="B171" s="187" t="s">
        <v>1193</v>
      </c>
      <c r="C171" s="295" t="s">
        <v>1528</v>
      </c>
      <c r="D171" s="115">
        <f>VLOOKUP(L171,'210'!A:T,2,0)</f>
        <v>45849</v>
      </c>
      <c r="E171" s="271" t="str">
        <f>M171&amp;M172</f>
        <v>18 M3</v>
      </c>
      <c r="F171" s="115">
        <f>D171</f>
        <v>45849</v>
      </c>
      <c r="G171" s="282"/>
      <c r="H171" s="184" t="str">
        <f>N171&amp;M172</f>
        <v>3911 M3</v>
      </c>
      <c r="I171" s="278" t="s">
        <v>1201</v>
      </c>
      <c r="J171" s="291" t="str">
        <f t="shared" ref="J171" si="17">IF(R171=0,"上  溢："&amp;S171,IF(Q171=0,"任  泰："&amp;R171&amp;"                 "&amp;"上  溢："&amp;S171,
"水利處："&amp;Q171&amp;"                 "&amp;"任  泰："&amp;R171&amp;"                 "&amp;"上  溢："&amp;S171))</f>
        <v>上  溢：康祐銓</v>
      </c>
      <c r="K171" s="124" t="s">
        <v>211</v>
      </c>
      <c r="L171" s="188">
        <f>L169+1</f>
        <v>72</v>
      </c>
      <c r="M171" s="128">
        <f>VLOOKUP(L171,'210'!A:T,5,0)</f>
        <v>18</v>
      </c>
      <c r="N171" s="128">
        <f>N169+M171</f>
        <v>3911</v>
      </c>
      <c r="O171" s="128">
        <f>VLOOKUP(L171,'210'!A:T,6,0)</f>
        <v>1</v>
      </c>
      <c r="P171" s="128">
        <f>P169+O171</f>
        <v>54</v>
      </c>
      <c r="Q171" s="128">
        <f>VLOOKUP(L171,'210'!A:T,18,0)</f>
        <v>0</v>
      </c>
      <c r="R171" s="128">
        <f>VLOOKUP(L171,'210'!A:T,19,0)</f>
        <v>0</v>
      </c>
      <c r="S171" s="128" t="str">
        <f>VLOOKUP(L171,'210'!A:T,20,0)</f>
        <v>康祐銓</v>
      </c>
      <c r="T171" s="137"/>
      <c r="U171" s="137"/>
      <c r="V171" s="137"/>
      <c r="W171" s="137"/>
      <c r="X171" s="137"/>
      <c r="Y171" s="137"/>
      <c r="Z171" s="137"/>
      <c r="AA171" s="137"/>
    </row>
    <row r="172" spans="1:27" s="138" customFormat="1" ht="51.95" customHeight="1">
      <c r="A172" s="294"/>
      <c r="B172" s="185" t="s">
        <v>71</v>
      </c>
      <c r="C172" s="296"/>
      <c r="D172" s="116" t="str">
        <f>M171&amp;M172</f>
        <v>18 M3</v>
      </c>
      <c r="E172" s="272"/>
      <c r="F172" s="117" t="str">
        <f>E171&amp;CHAR(10)&amp;"("&amp;O171&amp;O172&amp;")"</f>
        <v>18 M3
(1組)</v>
      </c>
      <c r="G172" s="265"/>
      <c r="H172" s="184" t="str">
        <f>H171&amp;CHAR(10)&amp;"("&amp;P171&amp;O172&amp;")"</f>
        <v>3911 M3
(54組)</v>
      </c>
      <c r="I172" s="279"/>
      <c r="J172" s="292"/>
      <c r="K172" s="124" t="s">
        <v>1220</v>
      </c>
      <c r="L172" s="127"/>
      <c r="M172" s="127" t="s">
        <v>201</v>
      </c>
      <c r="N172" s="128"/>
      <c r="O172" s="128" t="s">
        <v>204</v>
      </c>
      <c r="P172" s="128"/>
      <c r="Q172" s="128"/>
      <c r="R172" s="128"/>
      <c r="S172" s="128"/>
      <c r="T172" s="137"/>
      <c r="U172" s="137"/>
      <c r="V172" s="137"/>
      <c r="W172" s="137"/>
      <c r="X172" s="137"/>
      <c r="Y172" s="137"/>
      <c r="Z172" s="137"/>
      <c r="AA172" s="137"/>
    </row>
    <row r="173" spans="1:27" s="142" customFormat="1" ht="49.5" customHeight="1">
      <c r="A173" s="260" t="s">
        <v>47</v>
      </c>
      <c r="B173" s="261"/>
      <c r="C173" s="262"/>
      <c r="D173" s="260" t="s">
        <v>1753</v>
      </c>
      <c r="E173" s="261"/>
      <c r="F173" s="261"/>
      <c r="G173" s="262"/>
      <c r="H173" s="260" t="s">
        <v>1755</v>
      </c>
      <c r="I173" s="261"/>
      <c r="J173" s="261"/>
      <c r="K173" s="262"/>
      <c r="M173" s="143"/>
      <c r="N173" s="143"/>
      <c r="O173" s="143"/>
      <c r="P173" s="143"/>
      <c r="Q173" s="143"/>
      <c r="R173" s="143"/>
      <c r="S173" s="143"/>
      <c r="T173" s="143"/>
      <c r="U173" s="143"/>
      <c r="V173" s="143"/>
      <c r="W173" s="143"/>
      <c r="X173" s="143"/>
      <c r="Y173" s="143"/>
      <c r="Z173" s="143"/>
      <c r="AA173" s="143"/>
    </row>
    <row r="174" spans="1:27" s="142" customFormat="1" ht="54" customHeight="1">
      <c r="A174" s="263" t="s">
        <v>1147</v>
      </c>
      <c r="B174" s="263"/>
      <c r="C174" s="263"/>
      <c r="D174" s="263"/>
      <c r="E174" s="263"/>
      <c r="F174" s="263"/>
      <c r="G174" s="263"/>
      <c r="H174" s="263"/>
      <c r="I174" s="263"/>
      <c r="J174" s="263"/>
      <c r="K174" s="263"/>
      <c r="M174" s="143"/>
      <c r="N174" s="143"/>
      <c r="O174" s="143"/>
      <c r="P174" s="143"/>
      <c r="Q174" s="143"/>
      <c r="R174" s="143"/>
      <c r="S174" s="143"/>
      <c r="T174" s="143"/>
      <c r="U174" s="143"/>
      <c r="V174" s="143"/>
      <c r="W174" s="143"/>
      <c r="X174" s="143"/>
      <c r="Y174" s="143"/>
      <c r="Z174" s="143"/>
      <c r="AA174" s="143"/>
    </row>
    <row r="175" spans="1:27" s="138" customFormat="1" ht="51.95" customHeight="1">
      <c r="A175" s="293" t="str">
        <f>"1-210 -"&amp;L175</f>
        <v>1-210 -73</v>
      </c>
      <c r="B175" s="187" t="s">
        <v>1193</v>
      </c>
      <c r="C175" s="295" t="s">
        <v>1528</v>
      </c>
      <c r="D175" s="115">
        <f>VLOOKUP(L175,'210'!A:T,2,0)</f>
        <v>45853</v>
      </c>
      <c r="E175" s="271" t="str">
        <f>M175&amp;M176</f>
        <v>8 M3</v>
      </c>
      <c r="F175" s="115">
        <f>D175</f>
        <v>45853</v>
      </c>
      <c r="G175" s="264" t="s">
        <v>145</v>
      </c>
      <c r="H175" s="184" t="str">
        <f>N175&amp;M176</f>
        <v>3919 M3</v>
      </c>
      <c r="I175" s="278" t="s">
        <v>109</v>
      </c>
      <c r="J175" s="291" t="str">
        <f t="shared" ref="J175" si="18">IF(R175=0,"上  溢："&amp;S175,IF(Q175=0,"任  泰："&amp;R175&amp;"                 "&amp;"上  溢："&amp;S175,
"水利處："&amp;Q175&amp;"                 "&amp;"任  泰："&amp;R175&amp;"                 "&amp;"上  溢："&amp;S175))</f>
        <v>上  溢：康祐銓</v>
      </c>
      <c r="K175" s="124" t="s">
        <v>211</v>
      </c>
      <c r="L175" s="188">
        <f>L171+1</f>
        <v>73</v>
      </c>
      <c r="M175" s="128">
        <f>VLOOKUP(L175,'210'!A:T,5,0)</f>
        <v>8</v>
      </c>
      <c r="N175" s="128">
        <f>N171+M175</f>
        <v>3919</v>
      </c>
      <c r="O175" s="128">
        <f>VLOOKUP(L175,'210'!A:T,6,0)</f>
        <v>0</v>
      </c>
      <c r="P175" s="128">
        <f>P171+O175</f>
        <v>54</v>
      </c>
      <c r="Q175" s="128">
        <f>VLOOKUP(L175,'210'!A:T,18,0)</f>
        <v>0</v>
      </c>
      <c r="R175" s="128">
        <f>VLOOKUP(L175,'210'!A:T,19,0)</f>
        <v>0</v>
      </c>
      <c r="S175" s="128" t="str">
        <f>VLOOKUP(L175,'210'!A:T,20,0)</f>
        <v>康祐銓</v>
      </c>
      <c r="T175" s="137"/>
      <c r="U175" s="137"/>
      <c r="V175" s="137"/>
      <c r="W175" s="137"/>
      <c r="X175" s="137"/>
      <c r="Y175" s="137"/>
      <c r="Z175" s="137"/>
      <c r="AA175" s="137"/>
    </row>
    <row r="176" spans="1:27" s="138" customFormat="1" ht="51.95" customHeight="1">
      <c r="A176" s="294"/>
      <c r="B176" s="185" t="s">
        <v>71</v>
      </c>
      <c r="C176" s="296"/>
      <c r="D176" s="116" t="str">
        <f>M175&amp;M176</f>
        <v>8 M3</v>
      </c>
      <c r="E176" s="272"/>
      <c r="F176" s="117" t="str">
        <f>E175&amp;CHAR(10)&amp;"("&amp;O175&amp;O176&amp;")"</f>
        <v>8 M3
(0組)</v>
      </c>
      <c r="G176" s="282"/>
      <c r="H176" s="184" t="str">
        <f>H175&amp;CHAR(10)&amp;"("&amp;P175&amp;O176&amp;")"</f>
        <v>3919 M3
(54組)</v>
      </c>
      <c r="I176" s="279"/>
      <c r="J176" s="292"/>
      <c r="K176" s="124" t="s">
        <v>1221</v>
      </c>
      <c r="L176" s="127"/>
      <c r="M176" s="127" t="s">
        <v>201</v>
      </c>
      <c r="N176" s="128"/>
      <c r="O176" s="128" t="s">
        <v>204</v>
      </c>
      <c r="P176" s="128"/>
      <c r="Q176" s="128"/>
      <c r="R176" s="128"/>
      <c r="S176" s="128"/>
      <c r="T176" s="137"/>
      <c r="U176" s="137"/>
      <c r="V176" s="137"/>
      <c r="W176" s="137"/>
      <c r="X176" s="137"/>
      <c r="Y176" s="137"/>
      <c r="Z176" s="137"/>
      <c r="AA176" s="137"/>
    </row>
    <row r="177" spans="1:27" s="138" customFormat="1" ht="51.95" customHeight="1">
      <c r="A177" s="293" t="str">
        <f>"1-210 -"&amp;L177</f>
        <v>1-210 -74</v>
      </c>
      <c r="B177" s="187" t="s">
        <v>1193</v>
      </c>
      <c r="C177" s="295" t="s">
        <v>1528</v>
      </c>
      <c r="D177" s="115">
        <f>VLOOKUP(L177,'210'!A:T,2,0)</f>
        <v>45855</v>
      </c>
      <c r="E177" s="271" t="str">
        <f>M177&amp;M178</f>
        <v>30 M3</v>
      </c>
      <c r="F177" s="115">
        <f>D177</f>
        <v>45855</v>
      </c>
      <c r="G177" s="282"/>
      <c r="H177" s="184" t="str">
        <f>N177&amp;M178</f>
        <v>3949 M3</v>
      </c>
      <c r="I177" s="278"/>
      <c r="J177" s="291" t="str">
        <f t="shared" ref="J177" si="19">IF(R177=0,"上  溢："&amp;S177,IF(Q177=0,"任  泰："&amp;R177&amp;"                 "&amp;"上  溢："&amp;S177,
"水利處："&amp;Q177&amp;"                 "&amp;"任  泰："&amp;R177&amp;"                 "&amp;"上  溢："&amp;S177))</f>
        <v>上  溢：康祐銓</v>
      </c>
      <c r="K177" s="264" t="s">
        <v>1608</v>
      </c>
      <c r="L177" s="188">
        <f>L175+1</f>
        <v>74</v>
      </c>
      <c r="M177" s="128">
        <f>VLOOKUP(L177,'210'!A:T,5,0)</f>
        <v>30</v>
      </c>
      <c r="N177" s="128">
        <f>N175+M177</f>
        <v>3949</v>
      </c>
      <c r="O177" s="128">
        <f>VLOOKUP(L177,'210'!A:T,6,0)</f>
        <v>1</v>
      </c>
      <c r="P177" s="128">
        <f>P175+O177</f>
        <v>55</v>
      </c>
      <c r="Q177" s="128">
        <f>VLOOKUP(L177,'210'!A:T,18,0)</f>
        <v>0</v>
      </c>
      <c r="R177" s="128">
        <f>VLOOKUP(L177,'210'!A:T,19,0)</f>
        <v>0</v>
      </c>
      <c r="S177" s="128" t="str">
        <f>VLOOKUP(L177,'210'!A:T,20,0)</f>
        <v>康祐銓</v>
      </c>
      <c r="T177" s="137"/>
      <c r="U177" s="137"/>
      <c r="V177" s="137"/>
      <c r="W177" s="137"/>
      <c r="X177" s="137"/>
      <c r="Y177" s="137"/>
      <c r="Z177" s="137"/>
      <c r="AA177" s="137"/>
    </row>
    <row r="178" spans="1:27" s="138" customFormat="1" ht="51.95" customHeight="1">
      <c r="A178" s="294"/>
      <c r="B178" s="185" t="s">
        <v>71</v>
      </c>
      <c r="C178" s="296"/>
      <c r="D178" s="116" t="str">
        <f>M177&amp;M178</f>
        <v>30 M3</v>
      </c>
      <c r="E178" s="272"/>
      <c r="F178" s="117" t="str">
        <f>E177&amp;CHAR(10)&amp;"("&amp;O177&amp;O178&amp;")"</f>
        <v>30 M3
(1組)</v>
      </c>
      <c r="G178" s="282"/>
      <c r="H178" s="184" t="str">
        <f>H177&amp;CHAR(10)&amp;"("&amp;P177&amp;O178&amp;")"</f>
        <v>3949 M3
(55組)</v>
      </c>
      <c r="I178" s="279"/>
      <c r="J178" s="292"/>
      <c r="K178" s="265"/>
      <c r="L178" s="127"/>
      <c r="M178" s="127" t="s">
        <v>201</v>
      </c>
      <c r="N178" s="128"/>
      <c r="O178" s="128" t="s">
        <v>204</v>
      </c>
      <c r="P178" s="128"/>
      <c r="Q178" s="128"/>
      <c r="R178" s="128"/>
      <c r="S178" s="128"/>
      <c r="T178" s="137"/>
      <c r="U178" s="137"/>
      <c r="V178" s="137"/>
      <c r="W178" s="137"/>
      <c r="X178" s="137"/>
      <c r="Y178" s="137"/>
      <c r="Z178" s="137"/>
      <c r="AA178" s="137"/>
    </row>
    <row r="179" spans="1:27" s="138" customFormat="1" ht="51.95" customHeight="1">
      <c r="A179" s="293" t="str">
        <f>"1-210 -"&amp;L179</f>
        <v>1-210 -75</v>
      </c>
      <c r="B179" s="187" t="s">
        <v>1193</v>
      </c>
      <c r="C179" s="295" t="s">
        <v>1528</v>
      </c>
      <c r="D179" s="115">
        <f>VLOOKUP(L179,'210'!A:T,2,0)</f>
        <v>45859</v>
      </c>
      <c r="E179" s="271" t="str">
        <f>M179&amp;M180</f>
        <v>8 M3</v>
      </c>
      <c r="F179" s="115">
        <f>D179</f>
        <v>45859</v>
      </c>
      <c r="G179" s="282"/>
      <c r="H179" s="184" t="str">
        <f>N179&amp;M180</f>
        <v>3957 M3</v>
      </c>
      <c r="I179" s="278" t="s">
        <v>1201</v>
      </c>
      <c r="J179" s="291" t="str">
        <f t="shared" ref="J179" si="20">IF(R179=0,"上  溢："&amp;S179,IF(Q179=0,"任  泰："&amp;R179&amp;"                 "&amp;"上  溢："&amp;S179,
"水利處："&amp;Q179&amp;"                 "&amp;"任  泰："&amp;R179&amp;"                 "&amp;"上  溢："&amp;S179))</f>
        <v>上  溢：康祐銓</v>
      </c>
      <c r="K179" s="124" t="s">
        <v>211</v>
      </c>
      <c r="L179" s="188">
        <f>L177+1</f>
        <v>75</v>
      </c>
      <c r="M179" s="128">
        <f>VLOOKUP(L179,'210'!A:T,5,0)</f>
        <v>8</v>
      </c>
      <c r="N179" s="128">
        <f>N177+M179</f>
        <v>3957</v>
      </c>
      <c r="O179" s="128">
        <f>VLOOKUP(L179,'210'!A:T,6,0)</f>
        <v>0</v>
      </c>
      <c r="P179" s="128">
        <f>P177+O179</f>
        <v>55</v>
      </c>
      <c r="Q179" s="128">
        <f>VLOOKUP(L179,'210'!A:T,18,0)</f>
        <v>0</v>
      </c>
      <c r="R179" s="128">
        <f>VLOOKUP(L179,'210'!A:T,19,0)</f>
        <v>0</v>
      </c>
      <c r="S179" s="128" t="str">
        <f>VLOOKUP(L179,'210'!A:T,20,0)</f>
        <v>康祐銓</v>
      </c>
      <c r="T179" s="137"/>
      <c r="U179" s="137"/>
      <c r="V179" s="137"/>
      <c r="W179" s="137"/>
      <c r="X179" s="137"/>
      <c r="Y179" s="137"/>
      <c r="Z179" s="137"/>
      <c r="AA179" s="137"/>
    </row>
    <row r="180" spans="1:27" s="138" customFormat="1" ht="51.95" customHeight="1">
      <c r="A180" s="294"/>
      <c r="B180" s="185" t="s">
        <v>71</v>
      </c>
      <c r="C180" s="296"/>
      <c r="D180" s="116" t="str">
        <f>M179&amp;M180</f>
        <v>8 M3</v>
      </c>
      <c r="E180" s="272"/>
      <c r="F180" s="117" t="str">
        <f>E179&amp;CHAR(10)&amp;"("&amp;O179&amp;O180&amp;")"</f>
        <v>8 M3
(0組)</v>
      </c>
      <c r="G180" s="282"/>
      <c r="H180" s="184" t="str">
        <f>H179&amp;CHAR(10)&amp;"("&amp;P179&amp;O180&amp;")"</f>
        <v>3957 M3
(55組)</v>
      </c>
      <c r="I180" s="279"/>
      <c r="J180" s="292"/>
      <c r="K180" s="124" t="s">
        <v>1222</v>
      </c>
      <c r="L180" s="127"/>
      <c r="M180" s="127" t="s">
        <v>201</v>
      </c>
      <c r="N180" s="128"/>
      <c r="O180" s="128" t="s">
        <v>204</v>
      </c>
      <c r="P180" s="128"/>
      <c r="Q180" s="128"/>
      <c r="R180" s="128"/>
      <c r="S180" s="128"/>
      <c r="T180" s="137"/>
      <c r="U180" s="137"/>
      <c r="V180" s="137"/>
      <c r="W180" s="137"/>
      <c r="X180" s="137"/>
      <c r="Y180" s="137"/>
      <c r="Z180" s="137"/>
      <c r="AA180" s="137"/>
    </row>
    <row r="181" spans="1:27" s="138" customFormat="1" ht="51.95" customHeight="1">
      <c r="A181" s="293" t="str">
        <f>"1-210 -"&amp;L181</f>
        <v>1-210 -76</v>
      </c>
      <c r="B181" s="187" t="s">
        <v>1193</v>
      </c>
      <c r="C181" s="295" t="s">
        <v>1528</v>
      </c>
      <c r="D181" s="115">
        <f>VLOOKUP(L181,'210'!A:T,2,0)</f>
        <v>45866</v>
      </c>
      <c r="E181" s="271" t="str">
        <f>M181&amp;M182</f>
        <v>9 M3</v>
      </c>
      <c r="F181" s="115">
        <f>D181</f>
        <v>45866</v>
      </c>
      <c r="G181" s="282"/>
      <c r="H181" s="184" t="str">
        <f>N181&amp;M182</f>
        <v>3966 M3</v>
      </c>
      <c r="I181" s="278" t="s">
        <v>1201</v>
      </c>
      <c r="J181" s="291" t="str">
        <f t="shared" ref="J181" si="21">IF(R181=0,"上  溢："&amp;S181,IF(Q181=0,"任  泰："&amp;R181&amp;"                 "&amp;"上  溢："&amp;S181,
"水利處："&amp;Q181&amp;"                 "&amp;"任  泰："&amp;R181&amp;"                 "&amp;"上  溢："&amp;S181))</f>
        <v>上  溢：康祐銓</v>
      </c>
      <c r="K181" s="124" t="s">
        <v>211</v>
      </c>
      <c r="L181" s="188">
        <f>L179+1</f>
        <v>76</v>
      </c>
      <c r="M181" s="128">
        <f>VLOOKUP(L181,'210'!A:T,5,0)</f>
        <v>9</v>
      </c>
      <c r="N181" s="128">
        <f>N179+M181</f>
        <v>3966</v>
      </c>
      <c r="O181" s="128">
        <f>VLOOKUP(L181,'210'!A:T,6,0)</f>
        <v>0</v>
      </c>
      <c r="P181" s="128">
        <f>P179+O181</f>
        <v>55</v>
      </c>
      <c r="Q181" s="128">
        <f>VLOOKUP(L181,'210'!A:T,18,0)</f>
        <v>0</v>
      </c>
      <c r="R181" s="128">
        <f>VLOOKUP(L181,'210'!A:T,19,0)</f>
        <v>0</v>
      </c>
      <c r="S181" s="128" t="str">
        <f>VLOOKUP(L181,'210'!A:T,20,0)</f>
        <v>康祐銓</v>
      </c>
      <c r="T181" s="137"/>
      <c r="U181" s="137"/>
      <c r="V181" s="137"/>
      <c r="W181" s="137"/>
      <c r="X181" s="137"/>
      <c r="Y181" s="137"/>
      <c r="Z181" s="137"/>
      <c r="AA181" s="137"/>
    </row>
    <row r="182" spans="1:27" s="138" customFormat="1" ht="51.95" customHeight="1">
      <c r="A182" s="294"/>
      <c r="B182" s="185" t="s">
        <v>71</v>
      </c>
      <c r="C182" s="296"/>
      <c r="D182" s="116" t="str">
        <f>M181&amp;M182</f>
        <v>9 M3</v>
      </c>
      <c r="E182" s="272"/>
      <c r="F182" s="117" t="str">
        <f>E181&amp;CHAR(10)&amp;"("&amp;O181&amp;O182&amp;")"</f>
        <v>9 M3
(0組)</v>
      </c>
      <c r="G182" s="282"/>
      <c r="H182" s="184" t="str">
        <f>H181&amp;CHAR(10)&amp;"("&amp;P181&amp;O182&amp;")"</f>
        <v>3966 M3
(55組)</v>
      </c>
      <c r="I182" s="279"/>
      <c r="J182" s="292"/>
      <c r="K182" s="124" t="s">
        <v>1223</v>
      </c>
      <c r="L182" s="127"/>
      <c r="M182" s="127" t="s">
        <v>201</v>
      </c>
      <c r="N182" s="128"/>
      <c r="O182" s="128" t="s">
        <v>204</v>
      </c>
      <c r="P182" s="128"/>
      <c r="Q182" s="128"/>
      <c r="R182" s="128"/>
      <c r="S182" s="128"/>
      <c r="T182" s="137"/>
      <c r="U182" s="137"/>
      <c r="V182" s="137"/>
      <c r="W182" s="137"/>
      <c r="X182" s="137"/>
      <c r="Y182" s="137"/>
      <c r="Z182" s="137"/>
      <c r="AA182" s="137"/>
    </row>
    <row r="183" spans="1:27" s="138" customFormat="1" ht="51.95" customHeight="1">
      <c r="A183" s="293" t="str">
        <f>"1-210 -"&amp;L183</f>
        <v>1-210 -77</v>
      </c>
      <c r="B183" s="187" t="s">
        <v>1193</v>
      </c>
      <c r="C183" s="295" t="s">
        <v>1528</v>
      </c>
      <c r="D183" s="115">
        <f>VLOOKUP(L183,'210'!A:T,2,0)</f>
        <v>45871</v>
      </c>
      <c r="E183" s="271" t="str">
        <f>M183&amp;M184</f>
        <v>16 M3</v>
      </c>
      <c r="F183" s="115">
        <f>D183</f>
        <v>45871</v>
      </c>
      <c r="G183" s="282"/>
      <c r="H183" s="184" t="str">
        <f>N183&amp;M184</f>
        <v>3982 M3</v>
      </c>
      <c r="I183" s="278" t="s">
        <v>1201</v>
      </c>
      <c r="J183" s="291" t="str">
        <f t="shared" ref="J183" si="22">IF(R183=0,"上  溢："&amp;S183,IF(Q183=0,"任  泰："&amp;R183&amp;"                 "&amp;"上  溢："&amp;S183,
"水利處："&amp;Q183&amp;"                 "&amp;"任  泰："&amp;R183&amp;"                 "&amp;"上  溢："&amp;S183))</f>
        <v>上  溢：康祐銓</v>
      </c>
      <c r="K183" s="124" t="s">
        <v>211</v>
      </c>
      <c r="L183" s="188">
        <f>L181+1</f>
        <v>77</v>
      </c>
      <c r="M183" s="128">
        <f>VLOOKUP(L183,'210'!A:T,5,0)</f>
        <v>16</v>
      </c>
      <c r="N183" s="128">
        <f>N181+M183</f>
        <v>3982</v>
      </c>
      <c r="O183" s="128">
        <f>VLOOKUP(L183,'210'!A:T,6,0)</f>
        <v>0</v>
      </c>
      <c r="P183" s="128">
        <f>P181+O183</f>
        <v>55</v>
      </c>
      <c r="Q183" s="128">
        <f>VLOOKUP(L183,'210'!A:T,18,0)</f>
        <v>0</v>
      </c>
      <c r="R183" s="128">
        <f>VLOOKUP(L183,'210'!A:T,19,0)</f>
        <v>0</v>
      </c>
      <c r="S183" s="128" t="str">
        <f>VLOOKUP(L183,'210'!A:T,20,0)</f>
        <v>康祐銓</v>
      </c>
      <c r="T183" s="137"/>
      <c r="U183" s="137"/>
      <c r="V183" s="137"/>
      <c r="W183" s="137"/>
      <c r="X183" s="137"/>
      <c r="Y183" s="137"/>
      <c r="Z183" s="137"/>
      <c r="AA183" s="137"/>
    </row>
    <row r="184" spans="1:27" s="138" customFormat="1" ht="51.95" customHeight="1">
      <c r="A184" s="294"/>
      <c r="B184" s="185" t="s">
        <v>71</v>
      </c>
      <c r="C184" s="296"/>
      <c r="D184" s="116" t="str">
        <f>M183&amp;M184</f>
        <v>16 M3</v>
      </c>
      <c r="E184" s="272"/>
      <c r="F184" s="117" t="str">
        <f>E183&amp;CHAR(10)&amp;"("&amp;O183&amp;O184&amp;")"</f>
        <v>16 M3
(0組)</v>
      </c>
      <c r="G184" s="282"/>
      <c r="H184" s="184" t="str">
        <f>H183&amp;CHAR(10)&amp;"("&amp;P183&amp;O184&amp;")"</f>
        <v>3982 M3
(55組)</v>
      </c>
      <c r="I184" s="279"/>
      <c r="J184" s="292"/>
      <c r="K184" s="124" t="s">
        <v>1224</v>
      </c>
      <c r="L184" s="127"/>
      <c r="M184" s="127" t="s">
        <v>201</v>
      </c>
      <c r="N184" s="128"/>
      <c r="O184" s="128" t="s">
        <v>204</v>
      </c>
      <c r="P184" s="128"/>
      <c r="Q184" s="128"/>
      <c r="R184" s="128"/>
      <c r="S184" s="128"/>
      <c r="T184" s="137"/>
      <c r="U184" s="137"/>
      <c r="V184" s="137"/>
      <c r="W184" s="137"/>
      <c r="X184" s="137"/>
      <c r="Y184" s="137"/>
      <c r="Z184" s="137"/>
      <c r="AA184" s="137"/>
    </row>
    <row r="185" spans="1:27" s="138" customFormat="1" ht="51.95" customHeight="1">
      <c r="A185" s="293" t="str">
        <f>"1-210 -"&amp;L185</f>
        <v>1-210 -78</v>
      </c>
      <c r="B185" s="187" t="s">
        <v>1193</v>
      </c>
      <c r="C185" s="295" t="s">
        <v>1528</v>
      </c>
      <c r="D185" s="115">
        <f>VLOOKUP(L185,'210'!A:T,2,0)</f>
        <v>45874</v>
      </c>
      <c r="E185" s="271" t="str">
        <f>M185&amp;M186</f>
        <v>40 M3</v>
      </c>
      <c r="F185" s="115">
        <f>D185</f>
        <v>45874</v>
      </c>
      <c r="G185" s="282"/>
      <c r="H185" s="184" t="str">
        <f>N185&amp;M186</f>
        <v>4022 M3</v>
      </c>
      <c r="I185" s="264" t="s">
        <v>48</v>
      </c>
      <c r="J185" s="291" t="str">
        <f t="shared" ref="J185" si="23">IF(R185=0,"上  溢："&amp;S185,IF(Q185=0,"任  泰："&amp;R185&amp;"                 "&amp;"上  溢："&amp;S185,
"水利處："&amp;Q185&amp;"                 "&amp;"任  泰："&amp;R185&amp;"                 "&amp;"上  溢："&amp;S185))</f>
        <v>上  溢：康祐銓</v>
      </c>
      <c r="K185" s="264" t="s">
        <v>1596</v>
      </c>
      <c r="L185" s="188">
        <f>L183+1</f>
        <v>78</v>
      </c>
      <c r="M185" s="128">
        <f>VLOOKUP(L185,'210'!A:T,5,0)</f>
        <v>40</v>
      </c>
      <c r="N185" s="128">
        <f>N183+M185</f>
        <v>4022</v>
      </c>
      <c r="O185" s="128">
        <f>VLOOKUP(L185,'210'!A:T,6,0)</f>
        <v>1</v>
      </c>
      <c r="P185" s="128">
        <f>P183+O185</f>
        <v>56</v>
      </c>
      <c r="Q185" s="128">
        <f>VLOOKUP(L185,'210'!A:T,18,0)</f>
        <v>0</v>
      </c>
      <c r="R185" s="128">
        <f>VLOOKUP(L185,'210'!A:T,19,0)</f>
        <v>0</v>
      </c>
      <c r="S185" s="128" t="str">
        <f>VLOOKUP(L185,'210'!A:T,20,0)</f>
        <v>康祐銓</v>
      </c>
      <c r="T185" s="137"/>
      <c r="U185" s="137"/>
      <c r="V185" s="137"/>
      <c r="W185" s="137"/>
      <c r="X185" s="137"/>
      <c r="Y185" s="137"/>
      <c r="Z185" s="137"/>
      <c r="AA185" s="137"/>
    </row>
    <row r="186" spans="1:27" s="138" customFormat="1" ht="51.95" customHeight="1">
      <c r="A186" s="294"/>
      <c r="B186" s="185" t="s">
        <v>71</v>
      </c>
      <c r="C186" s="296"/>
      <c r="D186" s="116" t="str">
        <f>M185&amp;M186</f>
        <v>40 M3</v>
      </c>
      <c r="E186" s="272"/>
      <c r="F186" s="117" t="str">
        <f>E185&amp;CHAR(10)&amp;"("&amp;O185&amp;O186&amp;")"</f>
        <v>40 M3
(1組)</v>
      </c>
      <c r="G186" s="265"/>
      <c r="H186" s="184" t="str">
        <f>H185&amp;CHAR(10)&amp;"("&amp;P185&amp;O186&amp;")"</f>
        <v>4022 M3
(56組)</v>
      </c>
      <c r="I186" s="266"/>
      <c r="J186" s="292"/>
      <c r="K186" s="265"/>
      <c r="L186" s="127"/>
      <c r="M186" s="127" t="s">
        <v>201</v>
      </c>
      <c r="N186" s="128"/>
      <c r="O186" s="128" t="s">
        <v>204</v>
      </c>
      <c r="P186" s="128"/>
      <c r="Q186" s="128"/>
      <c r="R186" s="128"/>
      <c r="S186" s="128"/>
      <c r="T186" s="137"/>
      <c r="U186" s="137"/>
      <c r="V186" s="137"/>
      <c r="W186" s="137"/>
      <c r="X186" s="137"/>
      <c r="Y186" s="137"/>
      <c r="Z186" s="137"/>
      <c r="AA186" s="137"/>
    </row>
    <row r="187" spans="1:27" s="142" customFormat="1" ht="49.5" customHeight="1">
      <c r="A187" s="260" t="s">
        <v>47</v>
      </c>
      <c r="B187" s="261"/>
      <c r="C187" s="262"/>
      <c r="D187" s="260" t="s">
        <v>1753</v>
      </c>
      <c r="E187" s="261"/>
      <c r="F187" s="261"/>
      <c r="G187" s="262"/>
      <c r="H187" s="260" t="s">
        <v>1755</v>
      </c>
      <c r="I187" s="261"/>
      <c r="J187" s="261"/>
      <c r="K187" s="262"/>
      <c r="M187" s="143"/>
      <c r="N187" s="143"/>
      <c r="O187" s="143"/>
      <c r="P187" s="143"/>
      <c r="Q187" s="143"/>
      <c r="R187" s="143"/>
      <c r="S187" s="143"/>
      <c r="T187" s="143"/>
      <c r="U187" s="143"/>
      <c r="V187" s="143"/>
      <c r="W187" s="143"/>
      <c r="X187" s="143"/>
      <c r="Y187" s="143"/>
      <c r="Z187" s="143"/>
      <c r="AA187" s="143"/>
    </row>
    <row r="188" spans="1:27" s="142" customFormat="1" ht="54" customHeight="1">
      <c r="A188" s="263" t="s">
        <v>1147</v>
      </c>
      <c r="B188" s="263"/>
      <c r="C188" s="263"/>
      <c r="D188" s="263"/>
      <c r="E188" s="263"/>
      <c r="F188" s="263"/>
      <c r="G188" s="263"/>
      <c r="H188" s="263"/>
      <c r="I188" s="263"/>
      <c r="J188" s="263"/>
      <c r="K188" s="263"/>
      <c r="M188" s="143"/>
      <c r="N188" s="143"/>
      <c r="O188" s="143"/>
      <c r="P188" s="143"/>
      <c r="Q188" s="143"/>
      <c r="R188" s="143"/>
      <c r="S188" s="143"/>
      <c r="T188" s="143"/>
      <c r="U188" s="143"/>
      <c r="V188" s="143"/>
      <c r="W188" s="143"/>
      <c r="X188" s="143"/>
      <c r="Y188" s="143"/>
      <c r="Z188" s="143"/>
      <c r="AA188" s="143"/>
    </row>
    <row r="189" spans="1:27" s="138" customFormat="1" ht="51.95" customHeight="1">
      <c r="A189" s="293" t="str">
        <f>"1-210 -"&amp;L189</f>
        <v>1-210 -79</v>
      </c>
      <c r="B189" s="187" t="s">
        <v>1193</v>
      </c>
      <c r="C189" s="295" t="s">
        <v>1528</v>
      </c>
      <c r="D189" s="115">
        <f>VLOOKUP(L189,'210'!A:T,2,0)</f>
        <v>45875</v>
      </c>
      <c r="E189" s="271" t="str">
        <f>M189&amp;M190</f>
        <v>12 M3</v>
      </c>
      <c r="F189" s="115">
        <f>D189</f>
        <v>45875</v>
      </c>
      <c r="G189" s="278" t="s">
        <v>1194</v>
      </c>
      <c r="H189" s="184" t="str">
        <f>N189&amp;M190</f>
        <v>4034 M3</v>
      </c>
      <c r="I189" s="278" t="s">
        <v>1201</v>
      </c>
      <c r="J189" s="291" t="str">
        <f t="shared" ref="J189" si="24">IF(R189=0,"上  溢："&amp;S189,IF(Q189=0,"任  泰："&amp;R189&amp;"                 "&amp;"上  溢："&amp;S189,
"水利處："&amp;Q189&amp;"                 "&amp;"任  泰："&amp;R189&amp;"                 "&amp;"上  溢："&amp;S189))</f>
        <v>上  溢：康祐銓</v>
      </c>
      <c r="K189" s="124" t="s">
        <v>211</v>
      </c>
      <c r="L189" s="188">
        <f>L185+1</f>
        <v>79</v>
      </c>
      <c r="M189" s="128">
        <f>VLOOKUP(L189,'210'!A:T,5,0)</f>
        <v>12</v>
      </c>
      <c r="N189" s="128">
        <f>N185+M189</f>
        <v>4034</v>
      </c>
      <c r="O189" s="128">
        <f>VLOOKUP(L189,'210'!A:T,6,0)</f>
        <v>0</v>
      </c>
      <c r="P189" s="128">
        <f>P185+O189</f>
        <v>56</v>
      </c>
      <c r="Q189" s="128">
        <f>VLOOKUP(L189,'210'!A:T,18,0)</f>
        <v>0</v>
      </c>
      <c r="R189" s="128">
        <f>VLOOKUP(L189,'210'!A:T,19,0)</f>
        <v>0</v>
      </c>
      <c r="S189" s="128" t="str">
        <f>VLOOKUP(L189,'210'!A:T,20,0)</f>
        <v>康祐銓</v>
      </c>
      <c r="T189" s="137"/>
      <c r="U189" s="137"/>
      <c r="V189" s="137"/>
      <c r="W189" s="137"/>
      <c r="X189" s="137"/>
      <c r="Y189" s="137"/>
      <c r="Z189" s="137"/>
      <c r="AA189" s="137"/>
    </row>
    <row r="190" spans="1:27" s="138" customFormat="1" ht="51.95" customHeight="1">
      <c r="A190" s="294"/>
      <c r="B190" s="185" t="s">
        <v>71</v>
      </c>
      <c r="C190" s="296"/>
      <c r="D190" s="116" t="str">
        <f>M189&amp;M190</f>
        <v>12 M3</v>
      </c>
      <c r="E190" s="272"/>
      <c r="F190" s="117" t="str">
        <f>E189&amp;CHAR(10)&amp;"("&amp;O189&amp;O190&amp;")"</f>
        <v>12 M3
(0組)</v>
      </c>
      <c r="G190" s="299"/>
      <c r="H190" s="184" t="str">
        <f>H189&amp;CHAR(10)&amp;"("&amp;P189&amp;O190&amp;")"</f>
        <v>4034 M3
(56組)</v>
      </c>
      <c r="I190" s="279"/>
      <c r="J190" s="292"/>
      <c r="K190" s="124" t="s">
        <v>1225</v>
      </c>
      <c r="L190" s="127"/>
      <c r="M190" s="127" t="s">
        <v>201</v>
      </c>
      <c r="N190" s="128"/>
      <c r="O190" s="128" t="s">
        <v>204</v>
      </c>
      <c r="P190" s="128"/>
      <c r="Q190" s="128"/>
      <c r="R190" s="128"/>
      <c r="S190" s="128"/>
      <c r="T190" s="137"/>
      <c r="U190" s="137"/>
      <c r="V190" s="137"/>
      <c r="W190" s="137"/>
      <c r="X190" s="137"/>
      <c r="Y190" s="137"/>
      <c r="Z190" s="137"/>
      <c r="AA190" s="137"/>
    </row>
    <row r="191" spans="1:27" s="138" customFormat="1" ht="51.95" customHeight="1">
      <c r="A191" s="293" t="str">
        <f>"1-210 -"&amp;L191</f>
        <v>1-210 -80</v>
      </c>
      <c r="B191" s="187" t="s">
        <v>1193</v>
      </c>
      <c r="C191" s="295" t="s">
        <v>1528</v>
      </c>
      <c r="D191" s="115">
        <f>VLOOKUP(L191,'210'!A:T,2,0)</f>
        <v>45877</v>
      </c>
      <c r="E191" s="271" t="str">
        <f>M191&amp;M192</f>
        <v>16 M3</v>
      </c>
      <c r="F191" s="115">
        <f>D191</f>
        <v>45877</v>
      </c>
      <c r="G191" s="299"/>
      <c r="H191" s="184" t="str">
        <f>N191&amp;M192</f>
        <v>4050 M3</v>
      </c>
      <c r="I191" s="278" t="s">
        <v>1201</v>
      </c>
      <c r="J191" s="291" t="str">
        <f t="shared" ref="J191" si="25">IF(R191=0,"上  溢："&amp;S191,IF(Q191=0,"任  泰："&amp;R191&amp;"                 "&amp;"上  溢："&amp;S191,
"水利處："&amp;Q191&amp;"                 "&amp;"任  泰："&amp;R191&amp;"                 "&amp;"上  溢："&amp;S191))</f>
        <v>上  溢：康祐銓</v>
      </c>
      <c r="K191" s="124" t="s">
        <v>211</v>
      </c>
      <c r="L191" s="188">
        <f>L189+1</f>
        <v>80</v>
      </c>
      <c r="M191" s="128">
        <f>VLOOKUP(L191,'210'!A:T,5,0)</f>
        <v>16</v>
      </c>
      <c r="N191" s="128">
        <f>N189+M191</f>
        <v>4050</v>
      </c>
      <c r="O191" s="128">
        <f>VLOOKUP(L191,'210'!A:T,6,0)</f>
        <v>0</v>
      </c>
      <c r="P191" s="128">
        <f>P189+O191</f>
        <v>56</v>
      </c>
      <c r="Q191" s="128">
        <f>VLOOKUP(L191,'210'!A:T,18,0)</f>
        <v>0</v>
      </c>
      <c r="R191" s="128">
        <f>VLOOKUP(L191,'210'!A:T,19,0)</f>
        <v>0</v>
      </c>
      <c r="S191" s="128" t="str">
        <f>VLOOKUP(L191,'210'!A:T,20,0)</f>
        <v>康祐銓</v>
      </c>
      <c r="T191" s="137"/>
      <c r="U191" s="137"/>
      <c r="V191" s="137"/>
      <c r="W191" s="137"/>
      <c r="X191" s="137"/>
      <c r="Y191" s="137"/>
      <c r="Z191" s="137"/>
      <c r="AA191" s="137"/>
    </row>
    <row r="192" spans="1:27" s="138" customFormat="1" ht="51.95" customHeight="1">
      <c r="A192" s="294"/>
      <c r="B192" s="185" t="s">
        <v>71</v>
      </c>
      <c r="C192" s="296"/>
      <c r="D192" s="116" t="str">
        <f>M191&amp;M192</f>
        <v>16 M3</v>
      </c>
      <c r="E192" s="272"/>
      <c r="F192" s="117" t="str">
        <f>E191&amp;CHAR(10)&amp;"("&amp;O191&amp;O192&amp;")"</f>
        <v>16 M3
(0組)</v>
      </c>
      <c r="G192" s="299"/>
      <c r="H192" s="184" t="str">
        <f>H191&amp;CHAR(10)&amp;"("&amp;P191&amp;O192&amp;")"</f>
        <v>4050 M3
(56組)</v>
      </c>
      <c r="I192" s="279"/>
      <c r="J192" s="292"/>
      <c r="K192" s="124" t="s">
        <v>1759</v>
      </c>
      <c r="L192" s="127"/>
      <c r="M192" s="127" t="s">
        <v>201</v>
      </c>
      <c r="N192" s="128"/>
      <c r="O192" s="128" t="s">
        <v>204</v>
      </c>
      <c r="P192" s="128"/>
      <c r="Q192" s="128"/>
      <c r="R192" s="128"/>
      <c r="S192" s="128"/>
      <c r="T192" s="137"/>
      <c r="U192" s="137"/>
      <c r="V192" s="137"/>
      <c r="W192" s="137"/>
      <c r="X192" s="137"/>
      <c r="Y192" s="137"/>
      <c r="Z192" s="137"/>
      <c r="AA192" s="137"/>
    </row>
    <row r="193" spans="1:27" s="138" customFormat="1" ht="51.95" customHeight="1">
      <c r="A193" s="293" t="str">
        <f>"1-210 -"&amp;L193</f>
        <v>1-210 -81</v>
      </c>
      <c r="B193" s="187" t="s">
        <v>1193</v>
      </c>
      <c r="C193" s="295" t="s">
        <v>1528</v>
      </c>
      <c r="D193" s="115">
        <f>VLOOKUP(L193,'210'!A:T,2,0)</f>
        <v>45880</v>
      </c>
      <c r="E193" s="271" t="str">
        <f>M193&amp;M194</f>
        <v>12 M3</v>
      </c>
      <c r="F193" s="115">
        <f>D193</f>
        <v>45880</v>
      </c>
      <c r="G193" s="299"/>
      <c r="H193" s="184" t="str">
        <f>N193&amp;M194</f>
        <v>4062 M3</v>
      </c>
      <c r="I193" s="278" t="s">
        <v>1201</v>
      </c>
      <c r="J193" s="291" t="str">
        <f t="shared" ref="J193" si="26">IF(R193=0,"上  溢："&amp;S193,IF(Q193=0,"任  泰："&amp;R193&amp;"                 "&amp;"上  溢："&amp;S193,
"水利處："&amp;Q193&amp;"                 "&amp;"任  泰："&amp;R193&amp;"                 "&amp;"上  溢："&amp;S193))</f>
        <v>上  溢：康祐銓</v>
      </c>
      <c r="K193" s="124" t="s">
        <v>211</v>
      </c>
      <c r="L193" s="188">
        <f>L191+1</f>
        <v>81</v>
      </c>
      <c r="M193" s="128">
        <f>VLOOKUP(L193,'210'!A:T,5,0)</f>
        <v>12</v>
      </c>
      <c r="N193" s="128">
        <f>N191+M193</f>
        <v>4062</v>
      </c>
      <c r="O193" s="128">
        <f>VLOOKUP(L193,'210'!A:T,6,0)</f>
        <v>0</v>
      </c>
      <c r="P193" s="128">
        <f>P191+O193</f>
        <v>56</v>
      </c>
      <c r="Q193" s="128">
        <f>VLOOKUP(L193,'210'!A:T,18,0)</f>
        <v>0</v>
      </c>
      <c r="R193" s="128">
        <f>VLOOKUP(L193,'210'!A:T,19,0)</f>
        <v>0</v>
      </c>
      <c r="S193" s="128" t="str">
        <f>VLOOKUP(L193,'210'!A:T,20,0)</f>
        <v>康祐銓</v>
      </c>
      <c r="T193" s="137"/>
      <c r="U193" s="137"/>
      <c r="V193" s="137"/>
      <c r="W193" s="137"/>
      <c r="X193" s="137"/>
      <c r="Y193" s="137"/>
      <c r="Z193" s="137"/>
      <c r="AA193" s="137"/>
    </row>
    <row r="194" spans="1:27" s="138" customFormat="1" ht="51.95" customHeight="1">
      <c r="A194" s="294"/>
      <c r="B194" s="185" t="s">
        <v>71</v>
      </c>
      <c r="C194" s="296"/>
      <c r="D194" s="116" t="str">
        <f>M193&amp;M194</f>
        <v>12 M3</v>
      </c>
      <c r="E194" s="272"/>
      <c r="F194" s="117" t="str">
        <f>E193&amp;CHAR(10)&amp;"("&amp;O193&amp;O194&amp;")"</f>
        <v>12 M3
(0組)</v>
      </c>
      <c r="G194" s="299"/>
      <c r="H194" s="184" t="str">
        <f>H193&amp;CHAR(10)&amp;"("&amp;P193&amp;O194&amp;")"</f>
        <v>4062 M3
(56組)</v>
      </c>
      <c r="I194" s="279"/>
      <c r="J194" s="292"/>
      <c r="K194" s="124" t="s">
        <v>1226</v>
      </c>
      <c r="L194" s="127"/>
      <c r="M194" s="127" t="s">
        <v>201</v>
      </c>
      <c r="N194" s="128"/>
      <c r="O194" s="128" t="s">
        <v>204</v>
      </c>
      <c r="P194" s="128"/>
      <c r="Q194" s="128"/>
      <c r="R194" s="128"/>
      <c r="S194" s="128"/>
      <c r="T194" s="137"/>
      <c r="U194" s="137"/>
      <c r="V194" s="137"/>
      <c r="W194" s="137"/>
      <c r="X194" s="137"/>
      <c r="Y194" s="137"/>
      <c r="Z194" s="137"/>
      <c r="AA194" s="137"/>
    </row>
    <row r="195" spans="1:27" s="138" customFormat="1" ht="51.95" customHeight="1">
      <c r="A195" s="293" t="str">
        <f>"1-210 -"&amp;L195</f>
        <v>1-210 -82</v>
      </c>
      <c r="B195" s="187" t="s">
        <v>1193</v>
      </c>
      <c r="C195" s="295" t="s">
        <v>1528</v>
      </c>
      <c r="D195" s="115">
        <f>VLOOKUP(L195,'210'!A:T,2,0)</f>
        <v>45882</v>
      </c>
      <c r="E195" s="271" t="str">
        <f>M195&amp;M196</f>
        <v>12 M3</v>
      </c>
      <c r="F195" s="115">
        <f>D195</f>
        <v>45882</v>
      </c>
      <c r="G195" s="299"/>
      <c r="H195" s="184" t="str">
        <f>N195&amp;M196</f>
        <v>4074 M3</v>
      </c>
      <c r="I195" s="278" t="s">
        <v>109</v>
      </c>
      <c r="J195" s="291" t="str">
        <f t="shared" ref="J195" si="27">IF(R195=0,"上  溢："&amp;S195,IF(Q195=0,"任  泰："&amp;R195&amp;"                 "&amp;"上  溢："&amp;S195,
"水利處："&amp;Q195&amp;"                 "&amp;"任  泰："&amp;R195&amp;"                 "&amp;"上  溢："&amp;S195))</f>
        <v>上  溢：康祐銓</v>
      </c>
      <c r="K195" s="124" t="s">
        <v>211</v>
      </c>
      <c r="L195" s="188">
        <f>L193+1</f>
        <v>82</v>
      </c>
      <c r="M195" s="128">
        <f>VLOOKUP(L195,'210'!A:T,5,0)</f>
        <v>12</v>
      </c>
      <c r="N195" s="128">
        <f>N193+M195</f>
        <v>4074</v>
      </c>
      <c r="O195" s="128">
        <f>VLOOKUP(L195,'210'!A:T,6,0)</f>
        <v>0</v>
      </c>
      <c r="P195" s="128">
        <f>P193+O195</f>
        <v>56</v>
      </c>
      <c r="Q195" s="128">
        <f>VLOOKUP(L195,'210'!A:T,18,0)</f>
        <v>0</v>
      </c>
      <c r="R195" s="128">
        <f>VLOOKUP(L195,'210'!A:T,19,0)</f>
        <v>0</v>
      </c>
      <c r="S195" s="128" t="str">
        <f>VLOOKUP(L195,'210'!A:T,20,0)</f>
        <v>康祐銓</v>
      </c>
      <c r="T195" s="137"/>
      <c r="U195" s="137"/>
      <c r="V195" s="137"/>
      <c r="W195" s="137"/>
      <c r="X195" s="137"/>
      <c r="Y195" s="137"/>
      <c r="Z195" s="137"/>
      <c r="AA195" s="137"/>
    </row>
    <row r="196" spans="1:27" s="138" customFormat="1" ht="51.95" customHeight="1">
      <c r="A196" s="294"/>
      <c r="B196" s="185" t="s">
        <v>71</v>
      </c>
      <c r="C196" s="296"/>
      <c r="D196" s="116" t="str">
        <f>M195&amp;M196</f>
        <v>12 M3</v>
      </c>
      <c r="E196" s="272"/>
      <c r="F196" s="117" t="str">
        <f>E195&amp;CHAR(10)&amp;"("&amp;O195&amp;O196&amp;")"</f>
        <v>12 M3
(0組)</v>
      </c>
      <c r="G196" s="299"/>
      <c r="H196" s="184" t="str">
        <f>H195&amp;CHAR(10)&amp;"("&amp;P195&amp;O196&amp;")"</f>
        <v>4074 M3
(56組)</v>
      </c>
      <c r="I196" s="279"/>
      <c r="J196" s="292"/>
      <c r="K196" s="124" t="s">
        <v>1388</v>
      </c>
      <c r="L196" s="127"/>
      <c r="M196" s="127" t="s">
        <v>201</v>
      </c>
      <c r="N196" s="128"/>
      <c r="O196" s="128" t="s">
        <v>204</v>
      </c>
      <c r="P196" s="128"/>
      <c r="Q196" s="128"/>
      <c r="R196" s="128"/>
      <c r="S196" s="128"/>
      <c r="T196" s="137"/>
      <c r="U196" s="137"/>
      <c r="V196" s="137"/>
      <c r="W196" s="137"/>
      <c r="X196" s="137"/>
      <c r="Y196" s="137"/>
      <c r="Z196" s="137"/>
      <c r="AA196" s="137"/>
    </row>
    <row r="197" spans="1:27" s="138" customFormat="1" ht="51.95" customHeight="1">
      <c r="A197" s="293" t="str">
        <f>"1-210 -"&amp;L197</f>
        <v>1-210 -83</v>
      </c>
      <c r="B197" s="187" t="s">
        <v>1193</v>
      </c>
      <c r="C197" s="295" t="s">
        <v>1528</v>
      </c>
      <c r="D197" s="115">
        <f>VLOOKUP(L197,'210'!A:T,2,0)</f>
        <v>45883</v>
      </c>
      <c r="E197" s="271" t="str">
        <f>M197&amp;M198</f>
        <v>15 M3</v>
      </c>
      <c r="F197" s="115">
        <f>D197</f>
        <v>45883</v>
      </c>
      <c r="G197" s="299"/>
      <c r="H197" s="184" t="str">
        <f>N197&amp;M198</f>
        <v>4089 M3</v>
      </c>
      <c r="I197" s="278" t="s">
        <v>109</v>
      </c>
      <c r="J197" s="291" t="str">
        <f t="shared" ref="J197" si="28">IF(R197=0,"上  溢："&amp;S197,IF(Q197=0,"任  泰："&amp;R197&amp;"                 "&amp;"上  溢："&amp;S197,
"水利處："&amp;Q197&amp;"                 "&amp;"任  泰："&amp;R197&amp;"                 "&amp;"上  溢："&amp;S197))</f>
        <v>上  溢：康祐銓</v>
      </c>
      <c r="K197" s="124" t="s">
        <v>211</v>
      </c>
      <c r="L197" s="188">
        <f>L195+1</f>
        <v>83</v>
      </c>
      <c r="M197" s="128">
        <f>VLOOKUP(L197,'210'!A:T,5,0)</f>
        <v>15</v>
      </c>
      <c r="N197" s="128">
        <f>N195+M197</f>
        <v>4089</v>
      </c>
      <c r="O197" s="128">
        <f>VLOOKUP(L197,'210'!A:T,6,0)</f>
        <v>0</v>
      </c>
      <c r="P197" s="128">
        <f>P195+O197</f>
        <v>56</v>
      </c>
      <c r="Q197" s="128">
        <f>VLOOKUP(L197,'210'!A:T,18,0)</f>
        <v>0</v>
      </c>
      <c r="R197" s="128">
        <f>VLOOKUP(L197,'210'!A:T,19,0)</f>
        <v>0</v>
      </c>
      <c r="S197" s="128" t="str">
        <f>VLOOKUP(L197,'210'!A:T,20,0)</f>
        <v>康祐銓</v>
      </c>
      <c r="T197" s="137"/>
      <c r="U197" s="137"/>
      <c r="V197" s="137"/>
      <c r="W197" s="137"/>
      <c r="X197" s="137"/>
      <c r="Y197" s="137"/>
      <c r="Z197" s="137"/>
      <c r="AA197" s="137"/>
    </row>
    <row r="198" spans="1:27" s="138" customFormat="1" ht="51.95" customHeight="1">
      <c r="A198" s="294"/>
      <c r="B198" s="185" t="s">
        <v>71</v>
      </c>
      <c r="C198" s="296"/>
      <c r="D198" s="116" t="str">
        <f>M197&amp;M198</f>
        <v>15 M3</v>
      </c>
      <c r="E198" s="272"/>
      <c r="F198" s="117" t="str">
        <f>E197&amp;CHAR(10)&amp;"("&amp;O197&amp;O198&amp;")"</f>
        <v>15 M3
(0組)</v>
      </c>
      <c r="G198" s="299"/>
      <c r="H198" s="184" t="str">
        <f>H197&amp;CHAR(10)&amp;"("&amp;P197&amp;O198&amp;")"</f>
        <v>4089 M3
(56組)</v>
      </c>
      <c r="I198" s="279"/>
      <c r="J198" s="292"/>
      <c r="K198" s="124" t="s">
        <v>1389</v>
      </c>
      <c r="L198" s="127"/>
      <c r="M198" s="127" t="s">
        <v>201</v>
      </c>
      <c r="N198" s="128"/>
      <c r="O198" s="128" t="s">
        <v>204</v>
      </c>
      <c r="P198" s="128"/>
      <c r="Q198" s="128"/>
      <c r="R198" s="128"/>
      <c r="S198" s="128"/>
      <c r="T198" s="137"/>
      <c r="U198" s="137"/>
      <c r="V198" s="137"/>
      <c r="W198" s="137"/>
      <c r="X198" s="137"/>
      <c r="Y198" s="137"/>
      <c r="Z198" s="137"/>
      <c r="AA198" s="137"/>
    </row>
    <row r="199" spans="1:27" s="138" customFormat="1" ht="51.95" customHeight="1">
      <c r="A199" s="293" t="str">
        <f>"1-210 -"&amp;L199</f>
        <v>1-210 -84</v>
      </c>
      <c r="B199" s="187" t="s">
        <v>1193</v>
      </c>
      <c r="C199" s="295" t="s">
        <v>1528</v>
      </c>
      <c r="D199" s="115">
        <f>VLOOKUP(L199,'210'!A:T,2,0)</f>
        <v>45884</v>
      </c>
      <c r="E199" s="271" t="str">
        <f>M199&amp;M200</f>
        <v>12 M3</v>
      </c>
      <c r="F199" s="115">
        <f>D199</f>
        <v>45884</v>
      </c>
      <c r="G199" s="299"/>
      <c r="H199" s="184" t="str">
        <f>N199&amp;M200</f>
        <v>4101 M3</v>
      </c>
      <c r="I199" s="278" t="s">
        <v>109</v>
      </c>
      <c r="J199" s="291" t="str">
        <f t="shared" ref="J199" si="29">IF(R199=0,"上  溢："&amp;S199,IF(Q199=0,"任  泰："&amp;R199&amp;"                 "&amp;"上  溢："&amp;S199,
"水利處："&amp;Q199&amp;"                 "&amp;"任  泰："&amp;R199&amp;"                 "&amp;"上  溢："&amp;S199))</f>
        <v>上  溢：康祐銓</v>
      </c>
      <c r="K199" s="124" t="s">
        <v>211</v>
      </c>
      <c r="L199" s="188">
        <f>L197+1</f>
        <v>84</v>
      </c>
      <c r="M199" s="128">
        <f>VLOOKUP(L199,'210'!A:T,5,0)</f>
        <v>12</v>
      </c>
      <c r="N199" s="128">
        <f>N197+M199</f>
        <v>4101</v>
      </c>
      <c r="O199" s="128">
        <f>VLOOKUP(L199,'210'!A:T,6,0)</f>
        <v>0</v>
      </c>
      <c r="P199" s="128">
        <f>P197+O199</f>
        <v>56</v>
      </c>
      <c r="Q199" s="128">
        <f>VLOOKUP(L199,'210'!A:T,18,0)</f>
        <v>0</v>
      </c>
      <c r="R199" s="128">
        <f>VLOOKUP(L199,'210'!A:T,19,0)</f>
        <v>0</v>
      </c>
      <c r="S199" s="128" t="str">
        <f>VLOOKUP(L199,'210'!A:T,20,0)</f>
        <v>康祐銓</v>
      </c>
      <c r="T199" s="137"/>
      <c r="U199" s="137"/>
      <c r="V199" s="137"/>
      <c r="W199" s="137"/>
      <c r="X199" s="137"/>
      <c r="Y199" s="137"/>
      <c r="Z199" s="137"/>
      <c r="AA199" s="137"/>
    </row>
    <row r="200" spans="1:27" s="138" customFormat="1" ht="51.95" customHeight="1">
      <c r="A200" s="294"/>
      <c r="B200" s="185" t="s">
        <v>71</v>
      </c>
      <c r="C200" s="296"/>
      <c r="D200" s="116" t="str">
        <f>M199&amp;M200</f>
        <v>12 M3</v>
      </c>
      <c r="E200" s="272"/>
      <c r="F200" s="117" t="str">
        <f>E199&amp;CHAR(10)&amp;"("&amp;O199&amp;O200&amp;")"</f>
        <v>12 M3
(0組)</v>
      </c>
      <c r="G200" s="279"/>
      <c r="H200" s="184" t="str">
        <f>H199&amp;CHAR(10)&amp;"("&amp;P199&amp;O200&amp;")"</f>
        <v>4101 M3
(56組)</v>
      </c>
      <c r="I200" s="279"/>
      <c r="J200" s="292"/>
      <c r="K200" s="124" t="s">
        <v>1390</v>
      </c>
      <c r="L200" s="127"/>
      <c r="M200" s="127" t="s">
        <v>201</v>
      </c>
      <c r="N200" s="128"/>
      <c r="O200" s="128" t="s">
        <v>204</v>
      </c>
      <c r="P200" s="128"/>
      <c r="Q200" s="128"/>
      <c r="R200" s="128"/>
      <c r="S200" s="128"/>
      <c r="T200" s="137"/>
      <c r="U200" s="137"/>
      <c r="V200" s="137"/>
      <c r="W200" s="137"/>
      <c r="X200" s="137"/>
      <c r="Y200" s="137"/>
      <c r="Z200" s="137"/>
      <c r="AA200" s="137"/>
    </row>
    <row r="201" spans="1:27" s="142" customFormat="1" ht="49.5" customHeight="1">
      <c r="A201" s="260" t="s">
        <v>47</v>
      </c>
      <c r="B201" s="261"/>
      <c r="C201" s="262"/>
      <c r="D201" s="260" t="s">
        <v>1753</v>
      </c>
      <c r="E201" s="261"/>
      <c r="F201" s="261"/>
      <c r="G201" s="262"/>
      <c r="H201" s="260" t="s">
        <v>1755</v>
      </c>
      <c r="I201" s="261"/>
      <c r="J201" s="261"/>
      <c r="K201" s="262"/>
      <c r="M201" s="143"/>
      <c r="N201" s="143"/>
      <c r="O201" s="143"/>
      <c r="P201" s="143"/>
      <c r="Q201" s="143"/>
      <c r="R201" s="143"/>
      <c r="S201" s="143"/>
      <c r="T201" s="143"/>
      <c r="U201" s="143"/>
      <c r="V201" s="143"/>
      <c r="W201" s="143"/>
      <c r="X201" s="143"/>
      <c r="Y201" s="143"/>
      <c r="Z201" s="143"/>
      <c r="AA201" s="143"/>
    </row>
    <row r="202" spans="1:27" s="142" customFormat="1" ht="54" customHeight="1">
      <c r="A202" s="263" t="s">
        <v>1147</v>
      </c>
      <c r="B202" s="263"/>
      <c r="C202" s="263"/>
      <c r="D202" s="263"/>
      <c r="E202" s="263"/>
      <c r="F202" s="263"/>
      <c r="G202" s="263"/>
      <c r="H202" s="263"/>
      <c r="I202" s="263"/>
      <c r="J202" s="263"/>
      <c r="K202" s="263"/>
      <c r="M202" s="143"/>
      <c r="N202" s="143"/>
      <c r="O202" s="143"/>
      <c r="P202" s="143"/>
      <c r="Q202" s="143"/>
      <c r="R202" s="143"/>
      <c r="S202" s="143"/>
      <c r="T202" s="143"/>
      <c r="U202" s="143"/>
      <c r="V202" s="143"/>
      <c r="W202" s="143"/>
      <c r="X202" s="143"/>
      <c r="Y202" s="143"/>
      <c r="Z202" s="143"/>
      <c r="AA202" s="143"/>
    </row>
    <row r="203" spans="1:27" s="138" customFormat="1" ht="51.95" customHeight="1">
      <c r="A203" s="293" t="str">
        <f>"1-210 -"&amp;L203</f>
        <v>1-210 -85</v>
      </c>
      <c r="B203" s="187" t="s">
        <v>1193</v>
      </c>
      <c r="C203" s="295" t="s">
        <v>1528</v>
      </c>
      <c r="D203" s="115">
        <f>VLOOKUP(L203,'210'!A:T,2,0)</f>
        <v>45885</v>
      </c>
      <c r="E203" s="271" t="str">
        <f>M203&amp;M204</f>
        <v>16 M3</v>
      </c>
      <c r="F203" s="115">
        <f>D203</f>
        <v>45885</v>
      </c>
      <c r="G203" s="297" t="s">
        <v>145</v>
      </c>
      <c r="H203" s="184" t="str">
        <f>N203&amp;M204</f>
        <v>4117 M3</v>
      </c>
      <c r="I203" s="278" t="s">
        <v>109</v>
      </c>
      <c r="J203" s="291" t="str">
        <f t="shared" ref="J203" si="30">IF(R203=0,"上  溢："&amp;S203,IF(Q203=0,"任  泰："&amp;R203&amp;"                 "&amp;"上  溢："&amp;S203,
"水利處："&amp;Q203&amp;"                 "&amp;"任  泰："&amp;R203&amp;"                 "&amp;"上  溢："&amp;S203))</f>
        <v>上  溢：康祐銓</v>
      </c>
      <c r="K203" s="124" t="s">
        <v>211</v>
      </c>
      <c r="L203" s="188">
        <f>L199+1</f>
        <v>85</v>
      </c>
      <c r="M203" s="128">
        <f>VLOOKUP(L203,'210'!A:T,5,0)</f>
        <v>16</v>
      </c>
      <c r="N203" s="128">
        <f>N199+M203</f>
        <v>4117</v>
      </c>
      <c r="O203" s="128">
        <f>VLOOKUP(L203,'210'!A:T,6,0)</f>
        <v>0</v>
      </c>
      <c r="P203" s="128">
        <f>P199+O203</f>
        <v>56</v>
      </c>
      <c r="Q203" s="128">
        <f>VLOOKUP(L203,'210'!A:T,18,0)</f>
        <v>0</v>
      </c>
      <c r="R203" s="128">
        <f>VLOOKUP(L203,'210'!A:T,19,0)</f>
        <v>0</v>
      </c>
      <c r="S203" s="128" t="str">
        <f>VLOOKUP(L203,'210'!A:T,20,0)</f>
        <v>康祐銓</v>
      </c>
      <c r="T203" s="137"/>
      <c r="U203" s="137"/>
      <c r="V203" s="137"/>
      <c r="W203" s="137"/>
      <c r="X203" s="137"/>
      <c r="Y203" s="137"/>
      <c r="Z203" s="137"/>
      <c r="AA203" s="137"/>
    </row>
    <row r="204" spans="1:27" s="138" customFormat="1" ht="51.95" customHeight="1">
      <c r="A204" s="294"/>
      <c r="B204" s="185" t="s">
        <v>71</v>
      </c>
      <c r="C204" s="296"/>
      <c r="D204" s="116" t="str">
        <f>M203&amp;M204</f>
        <v>16 M3</v>
      </c>
      <c r="E204" s="272"/>
      <c r="F204" s="117" t="str">
        <f>E203&amp;CHAR(10)&amp;"("&amp;O203&amp;O204&amp;")"</f>
        <v>16 M3
(0組)</v>
      </c>
      <c r="G204" s="297"/>
      <c r="H204" s="184" t="str">
        <f>H203&amp;CHAR(10)&amp;"("&amp;P203&amp;O204&amp;")"</f>
        <v>4117 M3
(56組)</v>
      </c>
      <c r="I204" s="279"/>
      <c r="J204" s="292"/>
      <c r="K204" s="124" t="s">
        <v>1391</v>
      </c>
      <c r="L204" s="127"/>
      <c r="M204" s="127" t="s">
        <v>201</v>
      </c>
      <c r="N204" s="128"/>
      <c r="O204" s="128" t="s">
        <v>204</v>
      </c>
      <c r="P204" s="128"/>
      <c r="Q204" s="128"/>
      <c r="R204" s="128"/>
      <c r="S204" s="128"/>
      <c r="T204" s="137"/>
      <c r="U204" s="137"/>
      <c r="V204" s="137"/>
      <c r="W204" s="137"/>
      <c r="X204" s="137"/>
      <c r="Y204" s="137"/>
      <c r="Z204" s="137"/>
      <c r="AA204" s="137"/>
    </row>
    <row r="205" spans="1:27" s="138" customFormat="1" ht="51.95" customHeight="1">
      <c r="A205" s="293" t="str">
        <f>"1-210 -"&amp;L205</f>
        <v>1-210 -86</v>
      </c>
      <c r="B205" s="187" t="s">
        <v>1193</v>
      </c>
      <c r="C205" s="295" t="s">
        <v>1528</v>
      </c>
      <c r="D205" s="115">
        <f>VLOOKUP(L205,'210'!A:T,2,0)</f>
        <v>45888</v>
      </c>
      <c r="E205" s="271" t="str">
        <f>M205&amp;M206</f>
        <v>15 M3</v>
      </c>
      <c r="F205" s="115">
        <f>D205</f>
        <v>45888</v>
      </c>
      <c r="G205" s="297"/>
      <c r="H205" s="184" t="str">
        <f>N205&amp;M206</f>
        <v>4132 M3</v>
      </c>
      <c r="I205" s="278" t="s">
        <v>109</v>
      </c>
      <c r="J205" s="291" t="str">
        <f t="shared" ref="J205" si="31">IF(R205=0,"上  溢："&amp;S205,IF(Q205=0,"任  泰："&amp;R205&amp;"                 "&amp;"上  溢："&amp;S205,
"水利處："&amp;Q205&amp;"                 "&amp;"任  泰："&amp;R205&amp;"                 "&amp;"上  溢："&amp;S205))</f>
        <v>上  溢：康祐銓</v>
      </c>
      <c r="K205" s="124" t="s">
        <v>211</v>
      </c>
      <c r="L205" s="188">
        <f>L203+1</f>
        <v>86</v>
      </c>
      <c r="M205" s="128">
        <f>VLOOKUP(L205,'210'!A:T,5,0)</f>
        <v>15</v>
      </c>
      <c r="N205" s="128">
        <f>N203+M205</f>
        <v>4132</v>
      </c>
      <c r="O205" s="128">
        <f>VLOOKUP(L205,'210'!A:T,6,0)</f>
        <v>0</v>
      </c>
      <c r="P205" s="128">
        <f>P203+O205</f>
        <v>56</v>
      </c>
      <c r="Q205" s="128">
        <f>VLOOKUP(L205,'210'!A:T,18,0)</f>
        <v>0</v>
      </c>
      <c r="R205" s="128">
        <f>VLOOKUP(L205,'210'!A:T,19,0)</f>
        <v>0</v>
      </c>
      <c r="S205" s="128" t="str">
        <f>VLOOKUP(L205,'210'!A:T,20,0)</f>
        <v>康祐銓</v>
      </c>
      <c r="T205" s="137"/>
      <c r="U205" s="137"/>
      <c r="V205" s="137"/>
      <c r="W205" s="137"/>
      <c r="X205" s="137"/>
      <c r="Y205" s="137"/>
      <c r="Z205" s="137"/>
      <c r="AA205" s="137"/>
    </row>
    <row r="206" spans="1:27" s="138" customFormat="1" ht="51.95" customHeight="1">
      <c r="A206" s="294"/>
      <c r="B206" s="185" t="s">
        <v>71</v>
      </c>
      <c r="C206" s="296"/>
      <c r="D206" s="116" t="str">
        <f>M205&amp;M206</f>
        <v>15 M3</v>
      </c>
      <c r="E206" s="272"/>
      <c r="F206" s="117" t="str">
        <f>E205&amp;CHAR(10)&amp;"("&amp;O205&amp;O206&amp;")"</f>
        <v>15 M3
(0組)</v>
      </c>
      <c r="G206" s="297"/>
      <c r="H206" s="184" t="str">
        <f>H205&amp;CHAR(10)&amp;"("&amp;P205&amp;O206&amp;")"</f>
        <v>4132 M3
(56組)</v>
      </c>
      <c r="I206" s="279"/>
      <c r="J206" s="292"/>
      <c r="K206" s="124" t="s">
        <v>1407</v>
      </c>
      <c r="L206" s="127"/>
      <c r="M206" s="127" t="s">
        <v>201</v>
      </c>
      <c r="N206" s="128"/>
      <c r="O206" s="128" t="s">
        <v>204</v>
      </c>
      <c r="P206" s="128"/>
      <c r="Q206" s="128"/>
      <c r="R206" s="128"/>
      <c r="S206" s="128"/>
      <c r="T206" s="137"/>
      <c r="U206" s="137"/>
      <c r="V206" s="137"/>
      <c r="W206" s="137"/>
      <c r="X206" s="137"/>
      <c r="Y206" s="137"/>
      <c r="Z206" s="137"/>
      <c r="AA206" s="137"/>
    </row>
    <row r="207" spans="1:27" s="138" customFormat="1" ht="51.95" customHeight="1">
      <c r="A207" s="293" t="str">
        <f>"1-210 -"&amp;L207</f>
        <v>1-210 -87</v>
      </c>
      <c r="B207" s="187" t="s">
        <v>1193</v>
      </c>
      <c r="C207" s="295" t="s">
        <v>1528</v>
      </c>
      <c r="D207" s="115">
        <f>VLOOKUP(L207,'210'!A:T,2,0)</f>
        <v>45890</v>
      </c>
      <c r="E207" s="271" t="str">
        <f>M207&amp;M208</f>
        <v>12 M3</v>
      </c>
      <c r="F207" s="115">
        <f>D207</f>
        <v>45890</v>
      </c>
      <c r="G207" s="297"/>
      <c r="H207" s="184" t="str">
        <f>N207&amp;M208</f>
        <v>4144 M3</v>
      </c>
      <c r="I207" s="278" t="s">
        <v>109</v>
      </c>
      <c r="J207" s="291" t="str">
        <f t="shared" ref="J207" si="32">IF(R207=0,"上  溢："&amp;S207,IF(Q207=0,"任  泰："&amp;R207&amp;"                 "&amp;"上  溢："&amp;S207,
"水利處："&amp;Q207&amp;"                 "&amp;"任  泰："&amp;R207&amp;"                 "&amp;"上  溢："&amp;S207))</f>
        <v>上  溢：康祐銓</v>
      </c>
      <c r="K207" s="124" t="s">
        <v>211</v>
      </c>
      <c r="L207" s="188">
        <f>L205+1</f>
        <v>87</v>
      </c>
      <c r="M207" s="128">
        <f>VLOOKUP(L207,'210'!A:T,5,0)</f>
        <v>12</v>
      </c>
      <c r="N207" s="128">
        <f>N205+M207</f>
        <v>4144</v>
      </c>
      <c r="O207" s="128">
        <f>VLOOKUP(L207,'210'!A:T,6,0)</f>
        <v>0</v>
      </c>
      <c r="P207" s="128">
        <f>P205+O207</f>
        <v>56</v>
      </c>
      <c r="Q207" s="128">
        <f>VLOOKUP(L207,'210'!A:T,18,0)</f>
        <v>0</v>
      </c>
      <c r="R207" s="128">
        <f>VLOOKUP(L207,'210'!A:T,19,0)</f>
        <v>0</v>
      </c>
      <c r="S207" s="128" t="str">
        <f>VLOOKUP(L207,'210'!A:T,20,0)</f>
        <v>康祐銓</v>
      </c>
      <c r="T207" s="137"/>
      <c r="U207" s="137"/>
      <c r="V207" s="137"/>
      <c r="W207" s="137"/>
      <c r="X207" s="137"/>
      <c r="Y207" s="137"/>
      <c r="Z207" s="137"/>
      <c r="AA207" s="137"/>
    </row>
    <row r="208" spans="1:27" s="138" customFormat="1" ht="51.95" customHeight="1">
      <c r="A208" s="294"/>
      <c r="B208" s="185" t="s">
        <v>71</v>
      </c>
      <c r="C208" s="296"/>
      <c r="D208" s="116" t="str">
        <f>M207&amp;M208</f>
        <v>12 M3</v>
      </c>
      <c r="E208" s="272"/>
      <c r="F208" s="117" t="str">
        <f>E207&amp;CHAR(10)&amp;"("&amp;O207&amp;O208&amp;")"</f>
        <v>12 M3
(0組)</v>
      </c>
      <c r="G208" s="297"/>
      <c r="H208" s="184" t="str">
        <f>H207&amp;CHAR(10)&amp;"("&amp;P207&amp;O208&amp;")"</f>
        <v>4144 M3
(56組)</v>
      </c>
      <c r="I208" s="279"/>
      <c r="J208" s="292"/>
      <c r="K208" s="124" t="s">
        <v>1408</v>
      </c>
      <c r="L208" s="127"/>
      <c r="M208" s="127" t="s">
        <v>201</v>
      </c>
      <c r="N208" s="128"/>
      <c r="O208" s="128" t="s">
        <v>204</v>
      </c>
      <c r="P208" s="128"/>
      <c r="Q208" s="128"/>
      <c r="R208" s="128"/>
      <c r="S208" s="128"/>
      <c r="T208" s="137"/>
      <c r="U208" s="137"/>
      <c r="V208" s="137"/>
      <c r="W208" s="137"/>
      <c r="X208" s="137"/>
      <c r="Y208" s="137"/>
      <c r="Z208" s="137"/>
      <c r="AA208" s="137"/>
    </row>
    <row r="209" spans="1:27" s="138" customFormat="1" ht="51.95" customHeight="1">
      <c r="A209" s="293" t="str">
        <f>"1-210 -"&amp;L209</f>
        <v>1-210 -88</v>
      </c>
      <c r="B209" s="187" t="s">
        <v>1193</v>
      </c>
      <c r="C209" s="295" t="s">
        <v>1528</v>
      </c>
      <c r="D209" s="115">
        <f>VLOOKUP(L209,'210'!A:T,2,0)</f>
        <v>45891</v>
      </c>
      <c r="E209" s="271" t="str">
        <f>M209&amp;M210</f>
        <v>16 M3</v>
      </c>
      <c r="F209" s="115">
        <f>D209</f>
        <v>45891</v>
      </c>
      <c r="G209" s="297"/>
      <c r="H209" s="184" t="str">
        <f>N209&amp;M210</f>
        <v>4160 M3</v>
      </c>
      <c r="I209" s="278" t="s">
        <v>109</v>
      </c>
      <c r="J209" s="291" t="str">
        <f t="shared" ref="J209" si="33">IF(R209=0,"上  溢："&amp;S209,IF(Q209=0,"任  泰："&amp;R209&amp;"                 "&amp;"上  溢："&amp;S209,
"水利處："&amp;Q209&amp;"                 "&amp;"任  泰："&amp;R209&amp;"                 "&amp;"上  溢："&amp;S209))</f>
        <v>上  溢：康祐銓</v>
      </c>
      <c r="K209" s="124" t="s">
        <v>211</v>
      </c>
      <c r="L209" s="188">
        <f>L207+1</f>
        <v>88</v>
      </c>
      <c r="M209" s="128">
        <f>VLOOKUP(L209,'210'!A:T,5,0)</f>
        <v>16</v>
      </c>
      <c r="N209" s="128">
        <f>N207+M209</f>
        <v>4160</v>
      </c>
      <c r="O209" s="128">
        <f>VLOOKUP(L209,'210'!A:T,6,0)</f>
        <v>0</v>
      </c>
      <c r="P209" s="128">
        <f>P207+O209</f>
        <v>56</v>
      </c>
      <c r="Q209" s="128">
        <f>VLOOKUP(L209,'210'!A:T,18,0)</f>
        <v>0</v>
      </c>
      <c r="R209" s="128">
        <f>VLOOKUP(L209,'210'!A:T,19,0)</f>
        <v>0</v>
      </c>
      <c r="S209" s="128" t="str">
        <f>VLOOKUP(L209,'210'!A:T,20,0)</f>
        <v>康祐銓</v>
      </c>
      <c r="T209" s="137"/>
      <c r="U209" s="137"/>
      <c r="V209" s="137"/>
      <c r="W209" s="137"/>
      <c r="X209" s="137"/>
      <c r="Y209" s="137"/>
      <c r="Z209" s="137"/>
      <c r="AA209" s="137"/>
    </row>
    <row r="210" spans="1:27" s="138" customFormat="1" ht="51.95" customHeight="1">
      <c r="A210" s="294"/>
      <c r="B210" s="185" t="s">
        <v>71</v>
      </c>
      <c r="C210" s="296"/>
      <c r="D210" s="116" t="str">
        <f>M209&amp;M210</f>
        <v>16 M3</v>
      </c>
      <c r="E210" s="272"/>
      <c r="F210" s="117" t="str">
        <f>E209&amp;CHAR(10)&amp;"("&amp;O209&amp;O210&amp;")"</f>
        <v>16 M3
(0組)</v>
      </c>
      <c r="G210" s="297"/>
      <c r="H210" s="184" t="str">
        <f>H209&amp;CHAR(10)&amp;"("&amp;P209&amp;O210&amp;")"</f>
        <v>4160 M3
(56組)</v>
      </c>
      <c r="I210" s="279"/>
      <c r="J210" s="292"/>
      <c r="K210" s="124" t="s">
        <v>1409</v>
      </c>
      <c r="L210" s="127"/>
      <c r="M210" s="127" t="s">
        <v>201</v>
      </c>
      <c r="N210" s="128"/>
      <c r="O210" s="128" t="s">
        <v>204</v>
      </c>
      <c r="P210" s="128"/>
      <c r="Q210" s="128"/>
      <c r="R210" s="128"/>
      <c r="S210" s="128"/>
      <c r="T210" s="137"/>
      <c r="U210" s="137"/>
      <c r="V210" s="137"/>
      <c r="W210" s="137"/>
      <c r="X210" s="137"/>
      <c r="Y210" s="137"/>
      <c r="Z210" s="137"/>
      <c r="AA210" s="137"/>
    </row>
    <row r="211" spans="1:27" s="138" customFormat="1" ht="51.95" customHeight="1">
      <c r="A211" s="293" t="str">
        <f>"1-210 -"&amp;L211</f>
        <v>1-210 -89</v>
      </c>
      <c r="B211" s="187" t="s">
        <v>1193</v>
      </c>
      <c r="C211" s="295" t="s">
        <v>1528</v>
      </c>
      <c r="D211" s="115">
        <f>VLOOKUP(L211,'210'!A:T,2,0)</f>
        <v>45897</v>
      </c>
      <c r="E211" s="271" t="str">
        <f>M211&amp;M212</f>
        <v>18 M3</v>
      </c>
      <c r="F211" s="115">
        <f>D211</f>
        <v>45897</v>
      </c>
      <c r="G211" s="297"/>
      <c r="H211" s="184" t="str">
        <f>N211&amp;M212</f>
        <v>4178 M3</v>
      </c>
      <c r="I211" s="278" t="s">
        <v>109</v>
      </c>
      <c r="J211" s="291" t="str">
        <f t="shared" ref="J211" si="34">IF(R211=0,"上  溢："&amp;S211,IF(Q211=0,"任  泰："&amp;R211&amp;"                 "&amp;"上  溢："&amp;S211,
"水利處："&amp;Q211&amp;"                 "&amp;"任  泰："&amp;R211&amp;"                 "&amp;"上  溢："&amp;S211))</f>
        <v>上  溢：康祐銓</v>
      </c>
      <c r="K211" s="124" t="s">
        <v>211</v>
      </c>
      <c r="L211" s="188">
        <f>L209+1</f>
        <v>89</v>
      </c>
      <c r="M211" s="128">
        <f>VLOOKUP(L211,'210'!A:T,5,0)</f>
        <v>18</v>
      </c>
      <c r="N211" s="128">
        <f>N209+M211</f>
        <v>4178</v>
      </c>
      <c r="O211" s="128">
        <f>VLOOKUP(L211,'210'!A:T,6,0)</f>
        <v>0</v>
      </c>
      <c r="P211" s="128">
        <f>P209+O211</f>
        <v>56</v>
      </c>
      <c r="Q211" s="128">
        <f>VLOOKUP(L211,'210'!A:T,18,0)</f>
        <v>0</v>
      </c>
      <c r="R211" s="128">
        <f>VLOOKUP(L211,'210'!A:T,19,0)</f>
        <v>0</v>
      </c>
      <c r="S211" s="128" t="str">
        <f>VLOOKUP(L211,'210'!A:T,20,0)</f>
        <v>康祐銓</v>
      </c>
      <c r="T211" s="137"/>
      <c r="U211" s="137"/>
      <c r="V211" s="137"/>
      <c r="W211" s="137"/>
      <c r="X211" s="137"/>
      <c r="Y211" s="137"/>
      <c r="Z211" s="137"/>
      <c r="AA211" s="137"/>
    </row>
    <row r="212" spans="1:27" s="138" customFormat="1" ht="51.95" customHeight="1">
      <c r="A212" s="294"/>
      <c r="B212" s="185" t="s">
        <v>71</v>
      </c>
      <c r="C212" s="296"/>
      <c r="D212" s="116" t="str">
        <f>M211&amp;M212</f>
        <v>18 M3</v>
      </c>
      <c r="E212" s="272"/>
      <c r="F212" s="117" t="str">
        <f>E211&amp;CHAR(10)&amp;"("&amp;O211&amp;O212&amp;")"</f>
        <v>18 M3
(0組)</v>
      </c>
      <c r="G212" s="297"/>
      <c r="H212" s="184" t="str">
        <f>H211&amp;CHAR(10)&amp;"("&amp;P211&amp;O212&amp;")"</f>
        <v>4178 M3
(56組)</v>
      </c>
      <c r="I212" s="279"/>
      <c r="J212" s="292"/>
      <c r="K212" s="124" t="s">
        <v>1410</v>
      </c>
      <c r="L212" s="127"/>
      <c r="M212" s="127" t="s">
        <v>201</v>
      </c>
      <c r="N212" s="128"/>
      <c r="O212" s="128" t="s">
        <v>204</v>
      </c>
      <c r="P212" s="128"/>
      <c r="Q212" s="128"/>
      <c r="R212" s="128"/>
      <c r="S212" s="128"/>
      <c r="T212" s="137"/>
      <c r="U212" s="137"/>
      <c r="V212" s="137"/>
      <c r="W212" s="137"/>
      <c r="X212" s="137"/>
      <c r="Y212" s="137"/>
      <c r="Z212" s="137"/>
      <c r="AA212" s="137"/>
    </row>
    <row r="213" spans="1:27" s="138" customFormat="1" ht="51.95" customHeight="1">
      <c r="A213" s="293" t="str">
        <f>"1-210 -"&amp;L213</f>
        <v>1-210 -90</v>
      </c>
      <c r="B213" s="187" t="s">
        <v>1193</v>
      </c>
      <c r="C213" s="295" t="s">
        <v>1528</v>
      </c>
      <c r="D213" s="115">
        <f>VLOOKUP(L213,'210'!A:T,2,0)</f>
        <v>45898</v>
      </c>
      <c r="E213" s="271" t="str">
        <f>M213&amp;M214</f>
        <v>16 M3</v>
      </c>
      <c r="F213" s="115">
        <f>D213</f>
        <v>45898</v>
      </c>
      <c r="G213" s="297"/>
      <c r="H213" s="184" t="str">
        <f>N213&amp;M214</f>
        <v>4194 M3</v>
      </c>
      <c r="I213" s="278" t="s">
        <v>109</v>
      </c>
      <c r="J213" s="291" t="str">
        <f t="shared" ref="J213" si="35">IF(R213=0,"上  溢："&amp;S213,IF(Q213=0,"任  泰："&amp;R213&amp;"                 "&amp;"上  溢："&amp;S213,
"水利處："&amp;Q213&amp;"                 "&amp;"任  泰："&amp;R213&amp;"                 "&amp;"上  溢："&amp;S213))</f>
        <v>上  溢：康祐銓</v>
      </c>
      <c r="K213" s="124" t="s">
        <v>211</v>
      </c>
      <c r="L213" s="188">
        <f>L211+1</f>
        <v>90</v>
      </c>
      <c r="M213" s="128">
        <f>VLOOKUP(L213,'210'!A:T,5,0)</f>
        <v>16</v>
      </c>
      <c r="N213" s="128">
        <f>N211+M213</f>
        <v>4194</v>
      </c>
      <c r="O213" s="128">
        <f>VLOOKUP(L213,'210'!A:T,6,0)</f>
        <v>0</v>
      </c>
      <c r="P213" s="128">
        <f>P211+O213</f>
        <v>56</v>
      </c>
      <c r="Q213" s="128">
        <f>VLOOKUP(L213,'210'!A:T,18,0)</f>
        <v>0</v>
      </c>
      <c r="R213" s="128">
        <f>VLOOKUP(L213,'210'!A:T,19,0)</f>
        <v>0</v>
      </c>
      <c r="S213" s="128" t="str">
        <f>VLOOKUP(L213,'210'!A:T,20,0)</f>
        <v>康祐銓</v>
      </c>
      <c r="T213" s="137"/>
      <c r="U213" s="137"/>
      <c r="V213" s="137"/>
      <c r="W213" s="137"/>
      <c r="X213" s="137"/>
      <c r="Y213" s="137"/>
      <c r="Z213" s="137"/>
      <c r="AA213" s="137"/>
    </row>
    <row r="214" spans="1:27" s="138" customFormat="1" ht="51.95" customHeight="1">
      <c r="A214" s="294"/>
      <c r="B214" s="185" t="s">
        <v>71</v>
      </c>
      <c r="C214" s="296"/>
      <c r="D214" s="116" t="str">
        <f>M213&amp;M214</f>
        <v>16 M3</v>
      </c>
      <c r="E214" s="272"/>
      <c r="F214" s="117" t="str">
        <f>E213&amp;CHAR(10)&amp;"("&amp;O213&amp;O214&amp;")"</f>
        <v>16 M3
(0組)</v>
      </c>
      <c r="G214" s="297"/>
      <c r="H214" s="184" t="str">
        <f>H213&amp;CHAR(10)&amp;"("&amp;P213&amp;O214&amp;")"</f>
        <v>4194 M3
(56組)</v>
      </c>
      <c r="I214" s="279"/>
      <c r="J214" s="292"/>
      <c r="K214" s="124" t="s">
        <v>1411</v>
      </c>
      <c r="L214" s="127"/>
      <c r="M214" s="127" t="s">
        <v>201</v>
      </c>
      <c r="N214" s="128"/>
      <c r="O214" s="128" t="s">
        <v>204</v>
      </c>
      <c r="P214" s="128"/>
      <c r="Q214" s="128"/>
      <c r="R214" s="128"/>
      <c r="S214" s="128"/>
      <c r="T214" s="137"/>
      <c r="U214" s="137"/>
      <c r="V214" s="137"/>
      <c r="W214" s="137"/>
      <c r="X214" s="137"/>
      <c r="Y214" s="137"/>
      <c r="Z214" s="137"/>
      <c r="AA214" s="137"/>
    </row>
    <row r="215" spans="1:27" s="142" customFormat="1" ht="49.5" customHeight="1">
      <c r="A215" s="260" t="s">
        <v>47</v>
      </c>
      <c r="B215" s="261"/>
      <c r="C215" s="262"/>
      <c r="D215" s="260" t="s">
        <v>1753</v>
      </c>
      <c r="E215" s="261"/>
      <c r="F215" s="261"/>
      <c r="G215" s="262"/>
      <c r="H215" s="260" t="s">
        <v>1755</v>
      </c>
      <c r="I215" s="261"/>
      <c r="J215" s="261"/>
      <c r="K215" s="262"/>
      <c r="M215" s="143"/>
      <c r="N215" s="143"/>
      <c r="O215" s="143"/>
      <c r="P215" s="143"/>
      <c r="Q215" s="143"/>
      <c r="R215" s="143"/>
      <c r="S215" s="143"/>
      <c r="T215" s="143"/>
      <c r="U215" s="143"/>
      <c r="V215" s="143"/>
      <c r="W215" s="143"/>
      <c r="X215" s="143"/>
      <c r="Y215" s="143"/>
      <c r="Z215" s="143"/>
      <c r="AA215" s="143"/>
    </row>
    <row r="216" spans="1:27" s="142" customFormat="1" ht="54" customHeight="1">
      <c r="A216" s="263" t="s">
        <v>1147</v>
      </c>
      <c r="B216" s="263"/>
      <c r="C216" s="263"/>
      <c r="D216" s="263"/>
      <c r="E216" s="263"/>
      <c r="F216" s="263"/>
      <c r="G216" s="263"/>
      <c r="H216" s="263"/>
      <c r="I216" s="263"/>
      <c r="J216" s="263"/>
      <c r="K216" s="263"/>
      <c r="M216" s="143"/>
      <c r="N216" s="143"/>
      <c r="O216" s="143"/>
      <c r="P216" s="143"/>
      <c r="Q216" s="143"/>
      <c r="R216" s="143"/>
      <c r="S216" s="143"/>
      <c r="T216" s="143"/>
      <c r="U216" s="143"/>
      <c r="V216" s="143"/>
      <c r="W216" s="143"/>
      <c r="X216" s="143"/>
      <c r="Y216" s="143"/>
      <c r="Z216" s="143"/>
      <c r="AA216" s="143"/>
    </row>
    <row r="217" spans="1:27" s="138" customFormat="1" ht="51.95" customHeight="1">
      <c r="A217" s="293" t="str">
        <f>"1-210 -"&amp;L217</f>
        <v>1-210 -91</v>
      </c>
      <c r="B217" s="187" t="s">
        <v>1193</v>
      </c>
      <c r="C217" s="295" t="s">
        <v>1528</v>
      </c>
      <c r="D217" s="115">
        <f>VLOOKUP(L217,'210'!A:T,2,0)</f>
        <v>45899</v>
      </c>
      <c r="E217" s="271" t="str">
        <f>M217&amp;M218</f>
        <v>12 M3</v>
      </c>
      <c r="F217" s="115">
        <f>D217</f>
        <v>45899</v>
      </c>
      <c r="G217" s="297" t="s">
        <v>145</v>
      </c>
      <c r="H217" s="184" t="str">
        <f>N217&amp;M218</f>
        <v>4206 M3</v>
      </c>
      <c r="I217" s="278" t="s">
        <v>109</v>
      </c>
      <c r="J217" s="291" t="str">
        <f t="shared" ref="J217" si="36">IF(R217=0,"上  溢："&amp;S217,IF(Q217=0,"任  泰："&amp;R217&amp;"                 "&amp;"上  溢："&amp;S217,
"水利處："&amp;Q217&amp;"                 "&amp;"任  泰："&amp;R217&amp;"                 "&amp;"上  溢："&amp;S217))</f>
        <v>上  溢：康祐銓</v>
      </c>
      <c r="K217" s="124" t="s">
        <v>211</v>
      </c>
      <c r="L217" s="188">
        <f>L213+1</f>
        <v>91</v>
      </c>
      <c r="M217" s="128">
        <f>VLOOKUP(L217,'210'!A:T,5,0)</f>
        <v>12</v>
      </c>
      <c r="N217" s="128">
        <f>N213+M217</f>
        <v>4206</v>
      </c>
      <c r="O217" s="128">
        <f>VLOOKUP(L217,'210'!A:T,6,0)</f>
        <v>0</v>
      </c>
      <c r="P217" s="128">
        <f>P213+O217</f>
        <v>56</v>
      </c>
      <c r="Q217" s="128">
        <f>VLOOKUP(L217,'210'!A:T,18,0)</f>
        <v>0</v>
      </c>
      <c r="R217" s="128">
        <f>VLOOKUP(L217,'210'!A:T,19,0)</f>
        <v>0</v>
      </c>
      <c r="S217" s="128" t="str">
        <f>VLOOKUP(L217,'210'!A:T,20,0)</f>
        <v>康祐銓</v>
      </c>
      <c r="T217" s="137"/>
      <c r="U217" s="137"/>
      <c r="V217" s="137"/>
      <c r="W217" s="137"/>
      <c r="X217" s="137"/>
      <c r="Y217" s="137"/>
      <c r="Z217" s="137"/>
      <c r="AA217" s="137"/>
    </row>
    <row r="218" spans="1:27" s="138" customFormat="1" ht="51.95" customHeight="1">
      <c r="A218" s="294"/>
      <c r="B218" s="185" t="s">
        <v>71</v>
      </c>
      <c r="C218" s="296"/>
      <c r="D218" s="116" t="str">
        <f>M217&amp;M218</f>
        <v>12 M3</v>
      </c>
      <c r="E218" s="272"/>
      <c r="F218" s="117" t="str">
        <f>E217&amp;CHAR(10)&amp;"("&amp;O217&amp;O218&amp;")"</f>
        <v>12 M3
(0組)</v>
      </c>
      <c r="G218" s="297"/>
      <c r="H218" s="184" t="str">
        <f>H217&amp;CHAR(10)&amp;"("&amp;P217&amp;O218&amp;")"</f>
        <v>4206 M3
(56組)</v>
      </c>
      <c r="I218" s="279"/>
      <c r="J218" s="292"/>
      <c r="K218" s="124" t="s">
        <v>1412</v>
      </c>
      <c r="L218" s="127"/>
      <c r="M218" s="127" t="s">
        <v>201</v>
      </c>
      <c r="N218" s="128"/>
      <c r="O218" s="128" t="s">
        <v>204</v>
      </c>
      <c r="P218" s="128"/>
      <c r="Q218" s="128"/>
      <c r="R218" s="128"/>
      <c r="S218" s="128"/>
      <c r="T218" s="137"/>
      <c r="U218" s="137"/>
      <c r="V218" s="137"/>
      <c r="W218" s="137"/>
      <c r="X218" s="137"/>
      <c r="Y218" s="137"/>
      <c r="Z218" s="137"/>
      <c r="AA218" s="137"/>
    </row>
    <row r="219" spans="1:27" s="138" customFormat="1" ht="51.95" customHeight="1">
      <c r="A219" s="293" t="str">
        <f>"1-210 -"&amp;L219</f>
        <v>1-210 -92</v>
      </c>
      <c r="B219" s="187" t="s">
        <v>1193</v>
      </c>
      <c r="C219" s="295" t="s">
        <v>1528</v>
      </c>
      <c r="D219" s="115">
        <f>VLOOKUP(L219,'210'!A:T,2,0)</f>
        <v>45903</v>
      </c>
      <c r="E219" s="271" t="str">
        <f>M219&amp;M220</f>
        <v>8 M3</v>
      </c>
      <c r="F219" s="115">
        <f>D219</f>
        <v>45903</v>
      </c>
      <c r="G219" s="297"/>
      <c r="H219" s="184" t="str">
        <f>N219&amp;M220</f>
        <v>4214 M3</v>
      </c>
      <c r="I219" s="278" t="s">
        <v>109</v>
      </c>
      <c r="J219" s="291" t="str">
        <f t="shared" ref="J219" si="37">IF(R219=0,"上  溢："&amp;S219,IF(Q219=0,"任  泰："&amp;R219&amp;"                 "&amp;"上  溢："&amp;S219,
"水利處："&amp;Q219&amp;"                 "&amp;"任  泰："&amp;R219&amp;"                 "&amp;"上  溢："&amp;S219))</f>
        <v>上  溢：康祐銓</v>
      </c>
      <c r="K219" s="124" t="s">
        <v>211</v>
      </c>
      <c r="L219" s="188">
        <f>L217+1</f>
        <v>92</v>
      </c>
      <c r="M219" s="128">
        <f>VLOOKUP(L219,'210'!A:T,5,0)</f>
        <v>8</v>
      </c>
      <c r="N219" s="128">
        <f>N217+M219</f>
        <v>4214</v>
      </c>
      <c r="O219" s="128">
        <f>VLOOKUP(L219,'210'!A:T,6,0)</f>
        <v>0</v>
      </c>
      <c r="P219" s="128">
        <f>P217+O219</f>
        <v>56</v>
      </c>
      <c r="Q219" s="128">
        <f>VLOOKUP(L219,'210'!A:T,18,0)</f>
        <v>0</v>
      </c>
      <c r="R219" s="128">
        <f>VLOOKUP(L219,'210'!A:T,19,0)</f>
        <v>0</v>
      </c>
      <c r="S219" s="128" t="str">
        <f>VLOOKUP(L219,'210'!A:T,20,0)</f>
        <v>康祐銓</v>
      </c>
      <c r="T219" s="137"/>
      <c r="U219" s="137"/>
      <c r="V219" s="137"/>
      <c r="W219" s="137"/>
      <c r="X219" s="137"/>
      <c r="Y219" s="137"/>
      <c r="Z219" s="137"/>
      <c r="AA219" s="137"/>
    </row>
    <row r="220" spans="1:27" s="138" customFormat="1" ht="51.95" customHeight="1">
      <c r="A220" s="294"/>
      <c r="B220" s="185" t="s">
        <v>71</v>
      </c>
      <c r="C220" s="296"/>
      <c r="D220" s="116" t="str">
        <f>M219&amp;M220</f>
        <v>8 M3</v>
      </c>
      <c r="E220" s="272"/>
      <c r="F220" s="117" t="str">
        <f>E219&amp;CHAR(10)&amp;"("&amp;O219&amp;O220&amp;")"</f>
        <v>8 M3
(0組)</v>
      </c>
      <c r="G220" s="297"/>
      <c r="H220" s="184" t="str">
        <f>H219&amp;CHAR(10)&amp;"("&amp;P219&amp;O220&amp;")"</f>
        <v>4214 M3
(56組)</v>
      </c>
      <c r="I220" s="279"/>
      <c r="J220" s="292"/>
      <c r="K220" s="124" t="s">
        <v>1424</v>
      </c>
      <c r="L220" s="127"/>
      <c r="M220" s="127" t="s">
        <v>201</v>
      </c>
      <c r="N220" s="128"/>
      <c r="O220" s="128" t="s">
        <v>204</v>
      </c>
      <c r="P220" s="128"/>
      <c r="Q220" s="128"/>
      <c r="R220" s="128"/>
      <c r="S220" s="128"/>
      <c r="T220" s="137"/>
      <c r="U220" s="137"/>
      <c r="V220" s="137"/>
      <c r="W220" s="137"/>
      <c r="X220" s="137"/>
      <c r="Y220" s="137"/>
      <c r="Z220" s="137"/>
      <c r="AA220" s="137"/>
    </row>
    <row r="221" spans="1:27" s="138" customFormat="1" ht="51.95" customHeight="1">
      <c r="A221" s="293" t="str">
        <f>"1-210 -"&amp;L221</f>
        <v>1-210 -93</v>
      </c>
      <c r="B221" s="187" t="s">
        <v>1193</v>
      </c>
      <c r="C221" s="295" t="s">
        <v>1528</v>
      </c>
      <c r="D221" s="115">
        <f>VLOOKUP(L221,'210'!A:T,2,0)</f>
        <v>45906</v>
      </c>
      <c r="E221" s="271" t="str">
        <f>M221&amp;M222</f>
        <v>18 M3</v>
      </c>
      <c r="F221" s="115">
        <f>D221</f>
        <v>45906</v>
      </c>
      <c r="G221" s="297"/>
      <c r="H221" s="184" t="str">
        <f>N221&amp;M222</f>
        <v>4232 M3</v>
      </c>
      <c r="I221" s="278" t="s">
        <v>109</v>
      </c>
      <c r="J221" s="291" t="str">
        <f t="shared" ref="J221" si="38">IF(R221=0,"上  溢："&amp;S221,IF(Q221=0,"任  泰："&amp;R221&amp;"                 "&amp;"上  溢："&amp;S221,
"水利處："&amp;Q221&amp;"                 "&amp;"任  泰："&amp;R221&amp;"                 "&amp;"上  溢："&amp;S221))</f>
        <v>上  溢：康祐銓</v>
      </c>
      <c r="K221" s="124" t="s">
        <v>211</v>
      </c>
      <c r="L221" s="188">
        <f>L219+1</f>
        <v>93</v>
      </c>
      <c r="M221" s="128">
        <f>VLOOKUP(L221,'210'!A:T,5,0)</f>
        <v>18</v>
      </c>
      <c r="N221" s="128">
        <f>N219+M221</f>
        <v>4232</v>
      </c>
      <c r="O221" s="128">
        <f>VLOOKUP(L221,'210'!A:T,6,0)</f>
        <v>0</v>
      </c>
      <c r="P221" s="128">
        <f>P219+O221</f>
        <v>56</v>
      </c>
      <c r="Q221" s="128">
        <f>VLOOKUP(L221,'210'!A:T,18,0)</f>
        <v>0</v>
      </c>
      <c r="R221" s="128">
        <f>VLOOKUP(L221,'210'!A:T,19,0)</f>
        <v>0</v>
      </c>
      <c r="S221" s="128" t="str">
        <f>VLOOKUP(L221,'210'!A:T,20,0)</f>
        <v>康祐銓</v>
      </c>
      <c r="T221" s="137"/>
      <c r="U221" s="137"/>
      <c r="V221" s="137"/>
      <c r="W221" s="137"/>
      <c r="X221" s="137"/>
      <c r="Y221" s="137"/>
      <c r="Z221" s="137"/>
      <c r="AA221" s="137"/>
    </row>
    <row r="222" spans="1:27" s="138" customFormat="1" ht="51.95" customHeight="1">
      <c r="A222" s="294"/>
      <c r="B222" s="185" t="s">
        <v>71</v>
      </c>
      <c r="C222" s="296"/>
      <c r="D222" s="116" t="str">
        <f>M221&amp;M222</f>
        <v>18 M3</v>
      </c>
      <c r="E222" s="272"/>
      <c r="F222" s="117" t="str">
        <f>E221&amp;CHAR(10)&amp;"("&amp;O221&amp;O222&amp;")"</f>
        <v>18 M3
(0組)</v>
      </c>
      <c r="G222" s="297"/>
      <c r="H222" s="184" t="str">
        <f>H221&amp;CHAR(10)&amp;"("&amp;P221&amp;O222&amp;")"</f>
        <v>4232 M3
(56組)</v>
      </c>
      <c r="I222" s="279"/>
      <c r="J222" s="292"/>
      <c r="K222" s="124" t="s">
        <v>1425</v>
      </c>
      <c r="L222" s="127"/>
      <c r="M222" s="127" t="s">
        <v>201</v>
      </c>
      <c r="N222" s="128"/>
      <c r="O222" s="128" t="s">
        <v>204</v>
      </c>
      <c r="P222" s="128"/>
      <c r="Q222" s="128"/>
      <c r="R222" s="128"/>
      <c r="S222" s="128"/>
      <c r="T222" s="137"/>
      <c r="U222" s="137"/>
      <c r="V222" s="137"/>
      <c r="W222" s="137"/>
      <c r="X222" s="137"/>
      <c r="Y222" s="137"/>
      <c r="Z222" s="137"/>
      <c r="AA222" s="137"/>
    </row>
    <row r="223" spans="1:27" s="138" customFormat="1" ht="51.95" customHeight="1">
      <c r="A223" s="293" t="str">
        <f>"1-210 -"&amp;L223</f>
        <v>1-210 -94</v>
      </c>
      <c r="B223" s="187" t="s">
        <v>1193</v>
      </c>
      <c r="C223" s="295" t="s">
        <v>1528</v>
      </c>
      <c r="D223" s="115">
        <f>VLOOKUP(L223,'210'!A:T,2,0)</f>
        <v>45916</v>
      </c>
      <c r="E223" s="271" t="str">
        <f>M223&amp;M224</f>
        <v>15 M3</v>
      </c>
      <c r="F223" s="115">
        <f>D223</f>
        <v>45916</v>
      </c>
      <c r="G223" s="297"/>
      <c r="H223" s="184" t="str">
        <f>N223&amp;M224</f>
        <v>4247 M3</v>
      </c>
      <c r="I223" s="278" t="s">
        <v>109</v>
      </c>
      <c r="J223" s="291" t="str">
        <f t="shared" ref="J223" si="39">IF(R223=0,"上  溢："&amp;S223,IF(Q223=0,"任  泰："&amp;R223&amp;"                 "&amp;"上  溢："&amp;S223,
"水利處："&amp;Q223&amp;"                 "&amp;"任  泰："&amp;R223&amp;"                 "&amp;"上  溢："&amp;S223))</f>
        <v>上  溢：康祐銓</v>
      </c>
      <c r="K223" s="124" t="s">
        <v>211</v>
      </c>
      <c r="L223" s="188">
        <f>L221+1</f>
        <v>94</v>
      </c>
      <c r="M223" s="128">
        <f>VLOOKUP(L223,'210'!A:T,5,0)</f>
        <v>15</v>
      </c>
      <c r="N223" s="128">
        <f>N221+M223</f>
        <v>4247</v>
      </c>
      <c r="O223" s="128">
        <f>VLOOKUP(L223,'210'!A:T,6,0)</f>
        <v>0</v>
      </c>
      <c r="P223" s="128">
        <f>P221+O223</f>
        <v>56</v>
      </c>
      <c r="Q223" s="128">
        <f>VLOOKUP(L223,'210'!A:T,18,0)</f>
        <v>0</v>
      </c>
      <c r="R223" s="128">
        <f>VLOOKUP(L223,'210'!A:T,19,0)</f>
        <v>0</v>
      </c>
      <c r="S223" s="128" t="str">
        <f>VLOOKUP(L223,'210'!A:T,20,0)</f>
        <v>康祐銓</v>
      </c>
      <c r="T223" s="137"/>
      <c r="U223" s="137"/>
      <c r="V223" s="137"/>
      <c r="W223" s="137"/>
      <c r="X223" s="137"/>
      <c r="Y223" s="137"/>
      <c r="Z223" s="137"/>
      <c r="AA223" s="137"/>
    </row>
    <row r="224" spans="1:27" s="138" customFormat="1" ht="51.95" customHeight="1">
      <c r="A224" s="294"/>
      <c r="B224" s="185" t="s">
        <v>71</v>
      </c>
      <c r="C224" s="296"/>
      <c r="D224" s="116" t="str">
        <f>M223&amp;M224</f>
        <v>15 M3</v>
      </c>
      <c r="E224" s="272"/>
      <c r="F224" s="117" t="str">
        <f>E223&amp;CHAR(10)&amp;"("&amp;O223&amp;O224&amp;")"</f>
        <v>15 M3
(0組)</v>
      </c>
      <c r="G224" s="297"/>
      <c r="H224" s="184" t="str">
        <f>H223&amp;CHAR(10)&amp;"("&amp;P223&amp;O224&amp;")"</f>
        <v>4247 M3
(56組)</v>
      </c>
      <c r="I224" s="279"/>
      <c r="J224" s="292"/>
      <c r="K224" s="124" t="s">
        <v>1517</v>
      </c>
      <c r="L224" s="127"/>
      <c r="M224" s="127" t="s">
        <v>201</v>
      </c>
      <c r="N224" s="128"/>
      <c r="O224" s="128" t="s">
        <v>204</v>
      </c>
      <c r="P224" s="128"/>
      <c r="Q224" s="128"/>
      <c r="R224" s="128"/>
      <c r="S224" s="128"/>
      <c r="T224" s="137"/>
      <c r="U224" s="137"/>
      <c r="V224" s="137"/>
      <c r="W224" s="137"/>
      <c r="X224" s="137"/>
      <c r="Y224" s="137"/>
      <c r="Z224" s="137"/>
      <c r="AA224" s="137"/>
    </row>
    <row r="225" spans="1:27" s="138" customFormat="1" ht="51.95" customHeight="1">
      <c r="A225" s="293" t="str">
        <f>"1-210 -"&amp;L225</f>
        <v>1-210 -95</v>
      </c>
      <c r="B225" s="187" t="s">
        <v>1193</v>
      </c>
      <c r="C225" s="295" t="s">
        <v>1528</v>
      </c>
      <c r="D225" s="115">
        <f>VLOOKUP(L225,'210'!A:T,2,0)</f>
        <v>45919</v>
      </c>
      <c r="E225" s="271" t="str">
        <f>M225&amp;M226</f>
        <v>8 M3</v>
      </c>
      <c r="F225" s="115">
        <f>D225</f>
        <v>45919</v>
      </c>
      <c r="G225" s="297"/>
      <c r="H225" s="184" t="str">
        <f>N225&amp;M226</f>
        <v>4255 M3</v>
      </c>
      <c r="I225" s="278" t="s">
        <v>109</v>
      </c>
      <c r="J225" s="291" t="str">
        <f t="shared" ref="J225" si="40">IF(R225=0,"上  溢："&amp;S225,IF(Q225=0,"任  泰："&amp;R225&amp;"                 "&amp;"上  溢："&amp;S225,
"水利處："&amp;Q225&amp;"                 "&amp;"任  泰："&amp;R225&amp;"                 "&amp;"上  溢："&amp;S225))</f>
        <v>上  溢：康祐銓</v>
      </c>
      <c r="K225" s="124" t="s">
        <v>211</v>
      </c>
      <c r="L225" s="188">
        <f>L223+1</f>
        <v>95</v>
      </c>
      <c r="M225" s="128">
        <f>VLOOKUP(L225,'210'!A:T,5,0)</f>
        <v>8</v>
      </c>
      <c r="N225" s="128">
        <f>N223+M225</f>
        <v>4255</v>
      </c>
      <c r="O225" s="128">
        <f>VLOOKUP(L225,'210'!A:T,6,0)</f>
        <v>0</v>
      </c>
      <c r="P225" s="128">
        <f>P223+O225</f>
        <v>56</v>
      </c>
      <c r="Q225" s="128">
        <f>VLOOKUP(L225,'210'!A:T,18,0)</f>
        <v>0</v>
      </c>
      <c r="R225" s="128">
        <f>VLOOKUP(L225,'210'!A:T,19,0)</f>
        <v>0</v>
      </c>
      <c r="S225" s="128" t="str">
        <f>VLOOKUP(L225,'210'!A:T,20,0)</f>
        <v>康祐銓</v>
      </c>
      <c r="T225" s="137"/>
      <c r="U225" s="137"/>
      <c r="V225" s="137"/>
      <c r="W225" s="137"/>
      <c r="X225" s="137"/>
      <c r="Y225" s="137"/>
      <c r="Z225" s="137"/>
      <c r="AA225" s="137"/>
    </row>
    <row r="226" spans="1:27" s="138" customFormat="1" ht="51.95" customHeight="1">
      <c r="A226" s="294"/>
      <c r="B226" s="185" t="s">
        <v>71</v>
      </c>
      <c r="C226" s="296"/>
      <c r="D226" s="116" t="str">
        <f>M225&amp;M226</f>
        <v>8 M3</v>
      </c>
      <c r="E226" s="272"/>
      <c r="F226" s="117" t="str">
        <f>E225&amp;CHAR(10)&amp;"("&amp;O225&amp;O226&amp;")"</f>
        <v>8 M3
(0組)</v>
      </c>
      <c r="G226" s="297"/>
      <c r="H226" s="184" t="str">
        <f>H225&amp;CHAR(10)&amp;"("&amp;P225&amp;O226&amp;")"</f>
        <v>4255 M3
(56組)</v>
      </c>
      <c r="I226" s="279"/>
      <c r="J226" s="292"/>
      <c r="K226" s="124" t="s">
        <v>1516</v>
      </c>
      <c r="L226" s="127"/>
      <c r="M226" s="127" t="s">
        <v>201</v>
      </c>
      <c r="N226" s="128"/>
      <c r="O226" s="128" t="s">
        <v>204</v>
      </c>
      <c r="P226" s="128"/>
      <c r="Q226" s="128"/>
      <c r="R226" s="128"/>
      <c r="S226" s="128"/>
      <c r="T226" s="137"/>
      <c r="U226" s="137"/>
      <c r="V226" s="137"/>
      <c r="W226" s="137"/>
      <c r="X226" s="137"/>
      <c r="Y226" s="137"/>
      <c r="Z226" s="137"/>
      <c r="AA226" s="137"/>
    </row>
    <row r="227" spans="1:27" s="138" customFormat="1" ht="51.95" customHeight="1">
      <c r="A227" s="293" t="str">
        <f>"1-210 -"&amp;L227</f>
        <v>1-210 -96</v>
      </c>
      <c r="B227" s="187" t="s">
        <v>1193</v>
      </c>
      <c r="C227" s="295" t="s">
        <v>1528</v>
      </c>
      <c r="D227" s="115">
        <f>VLOOKUP(L227,'210'!A:T,2,0)</f>
        <v>45933</v>
      </c>
      <c r="E227" s="271" t="str">
        <f>M227&amp;M228</f>
        <v>10 M3</v>
      </c>
      <c r="F227" s="115">
        <f>D227</f>
        <v>45933</v>
      </c>
      <c r="G227" s="297"/>
      <c r="H227" s="184" t="str">
        <f>N227&amp;M228</f>
        <v>4265 M3</v>
      </c>
      <c r="I227" s="278" t="s">
        <v>109</v>
      </c>
      <c r="J227" s="291" t="str">
        <f t="shared" ref="J227" si="41">IF(R227=0,"上  溢："&amp;S227,IF(Q227=0,"任  泰："&amp;R227&amp;"                 "&amp;"上  溢："&amp;S227,
"水利處："&amp;Q227&amp;"                 "&amp;"任  泰："&amp;R227&amp;"                 "&amp;"上  溢："&amp;S227))</f>
        <v>上  溢：康祐銓</v>
      </c>
      <c r="K227" s="124" t="s">
        <v>211</v>
      </c>
      <c r="L227" s="188">
        <f>L225+1</f>
        <v>96</v>
      </c>
      <c r="M227" s="128">
        <f>VLOOKUP(L227,'210'!A:T,5,0)</f>
        <v>10</v>
      </c>
      <c r="N227" s="128">
        <f>N225+M227</f>
        <v>4265</v>
      </c>
      <c r="O227" s="128">
        <f>VLOOKUP(L227,'210'!A:T,6,0)</f>
        <v>0</v>
      </c>
      <c r="P227" s="128">
        <f>P225+O227</f>
        <v>56</v>
      </c>
      <c r="Q227" s="128">
        <f>VLOOKUP(L227,'210'!A:T,18,0)</f>
        <v>0</v>
      </c>
      <c r="R227" s="128">
        <f>VLOOKUP(L227,'210'!A:T,19,0)</f>
        <v>0</v>
      </c>
      <c r="S227" s="128" t="str">
        <f>VLOOKUP(L227,'210'!A:T,20,0)</f>
        <v>康祐銓</v>
      </c>
      <c r="T227" s="137"/>
      <c r="U227" s="137"/>
      <c r="V227" s="137"/>
      <c r="W227" s="137"/>
      <c r="X227" s="137"/>
      <c r="Y227" s="137"/>
      <c r="Z227" s="137"/>
      <c r="AA227" s="137"/>
    </row>
    <row r="228" spans="1:27" s="138" customFormat="1" ht="51.95" customHeight="1">
      <c r="A228" s="294"/>
      <c r="B228" s="185" t="s">
        <v>71</v>
      </c>
      <c r="C228" s="296"/>
      <c r="D228" s="116" t="str">
        <f>M227&amp;M228</f>
        <v>10 M3</v>
      </c>
      <c r="E228" s="272"/>
      <c r="F228" s="117" t="str">
        <f>E227&amp;CHAR(10)&amp;"("&amp;O227&amp;O228&amp;")"</f>
        <v>10 M3
(0組)</v>
      </c>
      <c r="G228" s="297"/>
      <c r="H228" s="184" t="str">
        <f>H227&amp;CHAR(10)&amp;"("&amp;P227&amp;O228&amp;")"</f>
        <v>4265 M3
(56組)</v>
      </c>
      <c r="I228" s="279"/>
      <c r="J228" s="292"/>
      <c r="K228" s="124" t="s">
        <v>1518</v>
      </c>
      <c r="L228" s="127"/>
      <c r="M228" s="127" t="s">
        <v>201</v>
      </c>
      <c r="N228" s="128"/>
      <c r="O228" s="128" t="s">
        <v>204</v>
      </c>
      <c r="P228" s="128"/>
      <c r="Q228" s="128"/>
      <c r="R228" s="128"/>
      <c r="S228" s="128"/>
      <c r="T228" s="137"/>
      <c r="U228" s="137"/>
      <c r="V228" s="137"/>
      <c r="W228" s="137"/>
      <c r="X228" s="137"/>
      <c r="Y228" s="137"/>
      <c r="Z228" s="137"/>
      <c r="AA228" s="137"/>
    </row>
    <row r="229" spans="1:27" s="142" customFormat="1" ht="49.5" customHeight="1">
      <c r="A229" s="260" t="s">
        <v>47</v>
      </c>
      <c r="B229" s="261"/>
      <c r="C229" s="262"/>
      <c r="D229" s="260" t="s">
        <v>1753</v>
      </c>
      <c r="E229" s="261"/>
      <c r="F229" s="261"/>
      <c r="G229" s="262"/>
      <c r="H229" s="260" t="s">
        <v>1755</v>
      </c>
      <c r="I229" s="261"/>
      <c r="J229" s="261"/>
      <c r="K229" s="262"/>
      <c r="M229" s="143"/>
      <c r="N229" s="143"/>
      <c r="O229" s="143"/>
      <c r="P229" s="143"/>
      <c r="Q229" s="143"/>
      <c r="R229" s="143"/>
      <c r="S229" s="143"/>
      <c r="T229" s="143"/>
      <c r="U229" s="143"/>
      <c r="V229" s="143"/>
      <c r="W229" s="143"/>
      <c r="X229" s="143"/>
      <c r="Y229" s="143"/>
      <c r="Z229" s="143"/>
      <c r="AA229" s="143"/>
    </row>
    <row r="230" spans="1:27" s="142" customFormat="1" ht="54" customHeight="1">
      <c r="A230" s="263" t="s">
        <v>1147</v>
      </c>
      <c r="B230" s="263"/>
      <c r="C230" s="263"/>
      <c r="D230" s="263"/>
      <c r="E230" s="263"/>
      <c r="F230" s="263"/>
      <c r="G230" s="263"/>
      <c r="H230" s="263"/>
      <c r="I230" s="263"/>
      <c r="J230" s="263"/>
      <c r="K230" s="263"/>
      <c r="M230" s="143"/>
      <c r="N230" s="143"/>
      <c r="O230" s="143"/>
      <c r="P230" s="143"/>
      <c r="Q230" s="143"/>
      <c r="R230" s="143"/>
      <c r="S230" s="143"/>
      <c r="T230" s="143"/>
      <c r="U230" s="143"/>
      <c r="V230" s="143"/>
      <c r="W230" s="143"/>
      <c r="X230" s="143"/>
      <c r="Y230" s="143"/>
      <c r="Z230" s="143"/>
      <c r="AA230" s="143"/>
    </row>
    <row r="231" spans="1:27" s="138" customFormat="1" ht="51.95" customHeight="1">
      <c r="A231" s="293" t="str">
        <f>"1-210 -"&amp;L231</f>
        <v>1-210 -97</v>
      </c>
      <c r="B231" s="187" t="s">
        <v>1193</v>
      </c>
      <c r="C231" s="295" t="s">
        <v>1528</v>
      </c>
      <c r="D231" s="115">
        <f>VLOOKUP(L231,'210'!A:T,2,0)</f>
        <v>45934</v>
      </c>
      <c r="E231" s="271" t="str">
        <f>M231&amp;M232</f>
        <v>4 M3</v>
      </c>
      <c r="F231" s="115">
        <f>D231</f>
        <v>45934</v>
      </c>
      <c r="G231" s="297" t="s">
        <v>145</v>
      </c>
      <c r="H231" s="184" t="str">
        <f>N231&amp;M232</f>
        <v>4269 M3</v>
      </c>
      <c r="I231" s="278" t="s">
        <v>109</v>
      </c>
      <c r="J231" s="291" t="str">
        <f t="shared" ref="J231" si="42">IF(R231=0,"上  溢："&amp;S231,IF(Q231=0,"任  泰："&amp;R231&amp;"                 "&amp;"上  溢："&amp;S231,
"水利處："&amp;Q231&amp;"                 "&amp;"任  泰："&amp;R231&amp;"                 "&amp;"上  溢："&amp;S231))</f>
        <v>上  溢：康祐銓</v>
      </c>
      <c r="K231" s="124" t="s">
        <v>211</v>
      </c>
      <c r="L231" s="188">
        <f>L227+1</f>
        <v>97</v>
      </c>
      <c r="M231" s="128">
        <f>VLOOKUP(L231,'210'!A:T,5,0)</f>
        <v>4</v>
      </c>
      <c r="N231" s="128">
        <f>N227+M231</f>
        <v>4269</v>
      </c>
      <c r="O231" s="128">
        <f>VLOOKUP(L231,'210'!A:T,6,0)</f>
        <v>0</v>
      </c>
      <c r="P231" s="128">
        <f>P227+O231</f>
        <v>56</v>
      </c>
      <c r="Q231" s="128">
        <f>VLOOKUP(L231,'210'!A:T,18,0)</f>
        <v>0</v>
      </c>
      <c r="R231" s="128">
        <f>VLOOKUP(L231,'210'!A:T,19,0)</f>
        <v>0</v>
      </c>
      <c r="S231" s="128" t="str">
        <f>VLOOKUP(L231,'210'!A:T,20,0)</f>
        <v>康祐銓</v>
      </c>
      <c r="T231" s="137"/>
      <c r="U231" s="137"/>
      <c r="V231" s="137"/>
      <c r="W231" s="137"/>
      <c r="X231" s="137"/>
      <c r="Y231" s="137"/>
      <c r="Z231" s="137"/>
      <c r="AA231" s="137"/>
    </row>
    <row r="232" spans="1:27" s="138" customFormat="1" ht="51.95" customHeight="1">
      <c r="A232" s="294"/>
      <c r="B232" s="185" t="s">
        <v>71</v>
      </c>
      <c r="C232" s="296"/>
      <c r="D232" s="116" t="str">
        <f>M231&amp;M232</f>
        <v>4 M3</v>
      </c>
      <c r="E232" s="272"/>
      <c r="F232" s="117" t="str">
        <f>E231&amp;CHAR(10)&amp;"("&amp;O231&amp;O232&amp;")"</f>
        <v>4 M3
(0組)</v>
      </c>
      <c r="G232" s="297"/>
      <c r="H232" s="184" t="str">
        <f>H231&amp;CHAR(10)&amp;"("&amp;P231&amp;O232&amp;")"</f>
        <v>4269 M3
(56組)</v>
      </c>
      <c r="I232" s="279"/>
      <c r="J232" s="292"/>
      <c r="K232" s="124" t="s">
        <v>1519</v>
      </c>
      <c r="L232" s="127"/>
      <c r="M232" s="127" t="s">
        <v>201</v>
      </c>
      <c r="N232" s="128"/>
      <c r="O232" s="128" t="s">
        <v>204</v>
      </c>
      <c r="P232" s="128"/>
      <c r="Q232" s="128"/>
      <c r="R232" s="128"/>
      <c r="S232" s="128"/>
      <c r="T232" s="137"/>
      <c r="U232" s="137"/>
      <c r="V232" s="137"/>
      <c r="W232" s="137"/>
      <c r="X232" s="137"/>
      <c r="Y232" s="137"/>
      <c r="Z232" s="137"/>
      <c r="AA232" s="137"/>
    </row>
    <row r="233" spans="1:27" s="138" customFormat="1" ht="51.95" customHeight="1">
      <c r="A233" s="293" t="str">
        <f>"1-210 -"&amp;L233</f>
        <v>1-210 -98</v>
      </c>
      <c r="B233" s="187" t="s">
        <v>1193</v>
      </c>
      <c r="C233" s="295" t="s">
        <v>1528</v>
      </c>
      <c r="D233" s="115">
        <f>VLOOKUP(L233,'210'!A:T,2,0)</f>
        <v>45937</v>
      </c>
      <c r="E233" s="271" t="str">
        <f>M233&amp;M234</f>
        <v>8 M3</v>
      </c>
      <c r="F233" s="115">
        <f>D233</f>
        <v>45937</v>
      </c>
      <c r="G233" s="297"/>
      <c r="H233" s="184" t="str">
        <f>N233&amp;M234</f>
        <v>4277 M3</v>
      </c>
      <c r="I233" s="278" t="s">
        <v>109</v>
      </c>
      <c r="J233" s="291" t="str">
        <f t="shared" ref="J233" si="43">IF(R233=0,"上  溢："&amp;S233,IF(Q233=0,"任  泰："&amp;R233&amp;"                 "&amp;"上  溢："&amp;S233,
"水利處："&amp;Q233&amp;"                 "&amp;"任  泰："&amp;R233&amp;"                 "&amp;"上  溢："&amp;S233))</f>
        <v>上  溢：康祐銓</v>
      </c>
      <c r="K233" s="124" t="s">
        <v>211</v>
      </c>
      <c r="L233" s="188">
        <f>L231+1</f>
        <v>98</v>
      </c>
      <c r="M233" s="128">
        <f>VLOOKUP(L233,'210'!A:T,5,0)</f>
        <v>8</v>
      </c>
      <c r="N233" s="128">
        <f>N231+M233</f>
        <v>4277</v>
      </c>
      <c r="O233" s="128">
        <f>VLOOKUP(L233,'210'!A:T,6,0)</f>
        <v>0</v>
      </c>
      <c r="P233" s="128">
        <f>P231+O233</f>
        <v>56</v>
      </c>
      <c r="Q233" s="128">
        <f>VLOOKUP(L233,'210'!A:T,18,0)</f>
        <v>0</v>
      </c>
      <c r="R233" s="128">
        <f>VLOOKUP(L233,'210'!A:T,19,0)</f>
        <v>0</v>
      </c>
      <c r="S233" s="128" t="str">
        <f>VLOOKUP(L233,'210'!A:T,20,0)</f>
        <v>康祐銓</v>
      </c>
      <c r="T233" s="137"/>
      <c r="U233" s="137"/>
      <c r="V233" s="137"/>
      <c r="W233" s="137"/>
      <c r="X233" s="137"/>
      <c r="Y233" s="137"/>
      <c r="Z233" s="137"/>
      <c r="AA233" s="137"/>
    </row>
    <row r="234" spans="1:27" s="138" customFormat="1" ht="51.95" customHeight="1">
      <c r="A234" s="294"/>
      <c r="B234" s="185" t="s">
        <v>71</v>
      </c>
      <c r="C234" s="296"/>
      <c r="D234" s="116" t="str">
        <f>M233&amp;M234</f>
        <v>8 M3</v>
      </c>
      <c r="E234" s="272"/>
      <c r="F234" s="117" t="str">
        <f>E233&amp;CHAR(10)&amp;"("&amp;O233&amp;O234&amp;")"</f>
        <v>8 M3
(0組)</v>
      </c>
      <c r="G234" s="297"/>
      <c r="H234" s="184" t="str">
        <f>H233&amp;CHAR(10)&amp;"("&amp;P233&amp;O234&amp;")"</f>
        <v>4277 M3
(56組)</v>
      </c>
      <c r="I234" s="279"/>
      <c r="J234" s="292"/>
      <c r="K234" s="124" t="s">
        <v>1520</v>
      </c>
      <c r="L234" s="127"/>
      <c r="M234" s="127" t="s">
        <v>201</v>
      </c>
      <c r="N234" s="128"/>
      <c r="O234" s="128" t="s">
        <v>204</v>
      </c>
      <c r="P234" s="128"/>
      <c r="Q234" s="128"/>
      <c r="R234" s="128"/>
      <c r="S234" s="128"/>
      <c r="T234" s="137"/>
      <c r="U234" s="137"/>
      <c r="V234" s="137"/>
      <c r="W234" s="137"/>
      <c r="X234" s="137"/>
      <c r="Y234" s="137"/>
      <c r="Z234" s="137"/>
      <c r="AA234" s="137"/>
    </row>
    <row r="235" spans="1:27" s="138" customFormat="1" ht="51.95" customHeight="1">
      <c r="A235" s="293" t="str">
        <f>"1-210 -"&amp;L235</f>
        <v>1-210 -99</v>
      </c>
      <c r="B235" s="187" t="s">
        <v>1193</v>
      </c>
      <c r="C235" s="295" t="s">
        <v>1528</v>
      </c>
      <c r="D235" s="115">
        <f>VLOOKUP(L235,'210'!A:T,2,0)</f>
        <v>45939</v>
      </c>
      <c r="E235" s="271" t="str">
        <f>M235&amp;M236</f>
        <v>36 M3</v>
      </c>
      <c r="F235" s="115">
        <f>D235</f>
        <v>45939</v>
      </c>
      <c r="G235" s="297"/>
      <c r="H235" s="184" t="str">
        <f>N235&amp;M236</f>
        <v>4313 M3</v>
      </c>
      <c r="I235" s="278" t="s">
        <v>109</v>
      </c>
      <c r="J235" s="291" t="str">
        <f t="shared" ref="J235" si="44">IF(R235=0,"上  溢："&amp;S235,IF(Q235=0,"任  泰："&amp;R235&amp;"                 "&amp;"上  溢："&amp;S235,
"水利處："&amp;Q235&amp;"                 "&amp;"任  泰："&amp;R235&amp;"                 "&amp;"上  溢："&amp;S235))</f>
        <v>上  溢：康祐銓</v>
      </c>
      <c r="K235" s="264" t="s">
        <v>1787</v>
      </c>
      <c r="L235" s="188">
        <f>L233+1</f>
        <v>99</v>
      </c>
      <c r="M235" s="128">
        <f>VLOOKUP(L235,'210'!A:T,5,0)</f>
        <v>36</v>
      </c>
      <c r="N235" s="128">
        <f>N233+M235</f>
        <v>4313</v>
      </c>
      <c r="O235" s="128">
        <f>VLOOKUP(L235,'210'!A:T,6,0)</f>
        <v>1</v>
      </c>
      <c r="P235" s="128">
        <f>P233+O235</f>
        <v>57</v>
      </c>
      <c r="Q235" s="128">
        <f>VLOOKUP(L235,'210'!A:T,18,0)</f>
        <v>0</v>
      </c>
      <c r="R235" s="128">
        <f>VLOOKUP(L235,'210'!A:T,19,0)</f>
        <v>0</v>
      </c>
      <c r="S235" s="128" t="str">
        <f>VLOOKUP(L235,'210'!A:T,20,0)</f>
        <v>康祐銓</v>
      </c>
      <c r="T235" s="137"/>
      <c r="U235" s="137"/>
      <c r="V235" s="137"/>
      <c r="W235" s="137"/>
      <c r="X235" s="137"/>
      <c r="Y235" s="137"/>
      <c r="Z235" s="137"/>
      <c r="AA235" s="137"/>
    </row>
    <row r="236" spans="1:27" s="138" customFormat="1" ht="51.95" customHeight="1">
      <c r="A236" s="294"/>
      <c r="B236" s="185" t="s">
        <v>71</v>
      </c>
      <c r="C236" s="296"/>
      <c r="D236" s="116" t="str">
        <f>M235&amp;M236</f>
        <v>36 M3</v>
      </c>
      <c r="E236" s="272"/>
      <c r="F236" s="117" t="str">
        <f>E235&amp;CHAR(10)&amp;"("&amp;O235&amp;O236&amp;")"</f>
        <v>36 M3
(1組)</v>
      </c>
      <c r="G236" s="297"/>
      <c r="H236" s="184" t="str">
        <f>H235&amp;CHAR(10)&amp;"("&amp;P235&amp;O236&amp;")"</f>
        <v>4313 M3
(57組)</v>
      </c>
      <c r="I236" s="279"/>
      <c r="J236" s="292"/>
      <c r="K236" s="265"/>
      <c r="L236" s="127"/>
      <c r="M236" s="127" t="s">
        <v>201</v>
      </c>
      <c r="N236" s="128"/>
      <c r="O236" s="128" t="s">
        <v>204</v>
      </c>
      <c r="P236" s="128"/>
      <c r="Q236" s="128"/>
      <c r="R236" s="128"/>
      <c r="S236" s="128"/>
      <c r="T236" s="137"/>
      <c r="U236" s="137"/>
      <c r="V236" s="137"/>
      <c r="W236" s="137"/>
      <c r="X236" s="137"/>
      <c r="Y236" s="137"/>
      <c r="Z236" s="137"/>
      <c r="AA236" s="137"/>
    </row>
    <row r="237" spans="1:27" s="138" customFormat="1" ht="51.95" customHeight="1">
      <c r="A237" s="293" t="str">
        <f>"1-210 -"&amp;L237</f>
        <v>1-210 -100</v>
      </c>
      <c r="B237" s="187" t="s">
        <v>1193</v>
      </c>
      <c r="C237" s="295" t="s">
        <v>1528</v>
      </c>
      <c r="D237" s="115">
        <f>VLOOKUP(L237,'210'!A:T,2,0)</f>
        <v>45945</v>
      </c>
      <c r="E237" s="271" t="str">
        <f>M237&amp;M238</f>
        <v>6 M3</v>
      </c>
      <c r="F237" s="115">
        <f>D237</f>
        <v>45945</v>
      </c>
      <c r="G237" s="297"/>
      <c r="H237" s="184" t="str">
        <f>N237&amp;M238</f>
        <v>4319 M3</v>
      </c>
      <c r="I237" s="278" t="s">
        <v>109</v>
      </c>
      <c r="J237" s="291" t="str">
        <f t="shared" ref="J237" si="45">IF(R237=0,"上  溢："&amp;S237,IF(Q237=0,"任  泰："&amp;R237&amp;"                 "&amp;"上  溢："&amp;S237,
"水利處："&amp;Q237&amp;"                 "&amp;"任  泰："&amp;R237&amp;"                 "&amp;"上  溢："&amp;S237))</f>
        <v>上  溢：康祐銓</v>
      </c>
      <c r="K237" s="124" t="s">
        <v>211</v>
      </c>
      <c r="L237" s="188">
        <f>L235+1</f>
        <v>100</v>
      </c>
      <c r="M237" s="128">
        <f>VLOOKUP(L237,'210'!A:T,5,0)</f>
        <v>6</v>
      </c>
      <c r="N237" s="128">
        <f>N235+M237</f>
        <v>4319</v>
      </c>
      <c r="O237" s="128">
        <f>VLOOKUP(L237,'210'!A:T,6,0)</f>
        <v>0</v>
      </c>
      <c r="P237" s="128">
        <f>P235+O237</f>
        <v>57</v>
      </c>
      <c r="Q237" s="128">
        <f>VLOOKUP(L237,'210'!A:T,18,0)</f>
        <v>0</v>
      </c>
      <c r="R237" s="128">
        <f>VLOOKUP(L237,'210'!A:T,19,0)</f>
        <v>0</v>
      </c>
      <c r="S237" s="128" t="str">
        <f>VLOOKUP(L237,'210'!A:T,20,0)</f>
        <v>康祐銓</v>
      </c>
      <c r="T237" s="137"/>
      <c r="U237" s="137"/>
      <c r="V237" s="137"/>
      <c r="W237" s="137"/>
      <c r="X237" s="137"/>
      <c r="Y237" s="137"/>
      <c r="Z237" s="137"/>
      <c r="AA237" s="137"/>
    </row>
    <row r="238" spans="1:27" s="138" customFormat="1" ht="51.95" customHeight="1">
      <c r="A238" s="294"/>
      <c r="B238" s="185" t="s">
        <v>71</v>
      </c>
      <c r="C238" s="296"/>
      <c r="D238" s="116" t="str">
        <f>M237&amp;M238</f>
        <v>6 M3</v>
      </c>
      <c r="E238" s="272"/>
      <c r="F238" s="117" t="str">
        <f>E237&amp;CHAR(10)&amp;"("&amp;O237&amp;O238&amp;")"</f>
        <v>6 M3
(0組)</v>
      </c>
      <c r="G238" s="297"/>
      <c r="H238" s="184" t="str">
        <f>H237&amp;CHAR(10)&amp;"("&amp;P237&amp;O238&amp;")"</f>
        <v>4319 M3
(57組)</v>
      </c>
      <c r="I238" s="279"/>
      <c r="J238" s="292"/>
      <c r="K238" s="124" t="s">
        <v>1590</v>
      </c>
      <c r="L238" s="127"/>
      <c r="M238" s="127" t="s">
        <v>201</v>
      </c>
      <c r="N238" s="128"/>
      <c r="O238" s="128" t="s">
        <v>204</v>
      </c>
      <c r="P238" s="128"/>
      <c r="Q238" s="128"/>
      <c r="R238" s="128"/>
      <c r="S238" s="128"/>
      <c r="T238" s="137"/>
      <c r="U238" s="137"/>
      <c r="V238" s="137"/>
      <c r="W238" s="137"/>
      <c r="X238" s="137"/>
      <c r="Y238" s="137"/>
      <c r="Z238" s="137"/>
      <c r="AA238" s="137"/>
    </row>
    <row r="239" spans="1:27" s="138" customFormat="1" ht="51.95" customHeight="1">
      <c r="A239" s="293" t="str">
        <f>"1-210 -"&amp;L239</f>
        <v>1-210 -101</v>
      </c>
      <c r="B239" s="187" t="s">
        <v>1193</v>
      </c>
      <c r="C239" s="295" t="s">
        <v>1528</v>
      </c>
      <c r="D239" s="115">
        <f>VLOOKUP(L239,'210'!A:T,2,0)</f>
        <v>45946</v>
      </c>
      <c r="E239" s="271" t="str">
        <f>M239&amp;M240</f>
        <v>10 M3</v>
      </c>
      <c r="F239" s="115">
        <f>D239</f>
        <v>45946</v>
      </c>
      <c r="G239" s="297"/>
      <c r="H239" s="184" t="str">
        <f>N239&amp;M240</f>
        <v>4329 M3</v>
      </c>
      <c r="I239" s="278" t="s">
        <v>109</v>
      </c>
      <c r="J239" s="291" t="str">
        <f t="shared" ref="J239" si="46">IF(R239=0,"上  溢："&amp;S239,IF(Q239=0,"任  泰："&amp;R239&amp;"                 "&amp;"上  溢："&amp;S239,
"水利處："&amp;Q239&amp;"                 "&amp;"任  泰："&amp;R239&amp;"                 "&amp;"上  溢："&amp;S239))</f>
        <v>上  溢：康祐銓</v>
      </c>
      <c r="K239" s="124" t="s">
        <v>211</v>
      </c>
      <c r="L239" s="188">
        <f>L237+1</f>
        <v>101</v>
      </c>
      <c r="M239" s="128">
        <f>VLOOKUP(L239,'210'!A:T,5,0)</f>
        <v>10</v>
      </c>
      <c r="N239" s="128">
        <f>N237+M239</f>
        <v>4329</v>
      </c>
      <c r="O239" s="128">
        <f>VLOOKUP(L239,'210'!A:T,6,0)</f>
        <v>0</v>
      </c>
      <c r="P239" s="128">
        <f>P237+O239</f>
        <v>57</v>
      </c>
      <c r="Q239" s="128">
        <f>VLOOKUP(L239,'210'!A:T,18,0)</f>
        <v>0</v>
      </c>
      <c r="R239" s="128">
        <f>VLOOKUP(L239,'210'!A:T,19,0)</f>
        <v>0</v>
      </c>
      <c r="S239" s="128" t="str">
        <f>VLOOKUP(L239,'210'!A:T,20,0)</f>
        <v>康祐銓</v>
      </c>
      <c r="T239" s="137"/>
      <c r="U239" s="137"/>
      <c r="V239" s="137"/>
      <c r="W239" s="137"/>
      <c r="X239" s="137"/>
      <c r="Y239" s="137"/>
      <c r="Z239" s="137"/>
      <c r="AA239" s="137"/>
    </row>
    <row r="240" spans="1:27" s="138" customFormat="1" ht="51.95" customHeight="1">
      <c r="A240" s="294"/>
      <c r="B240" s="185" t="s">
        <v>71</v>
      </c>
      <c r="C240" s="296"/>
      <c r="D240" s="116" t="str">
        <f>M239&amp;M240</f>
        <v>10 M3</v>
      </c>
      <c r="E240" s="272"/>
      <c r="F240" s="117" t="str">
        <f>E239&amp;CHAR(10)&amp;"("&amp;O239&amp;O240&amp;")"</f>
        <v>10 M3
(0組)</v>
      </c>
      <c r="G240" s="297"/>
      <c r="H240" s="184" t="str">
        <f>H239&amp;CHAR(10)&amp;"("&amp;P239&amp;O240&amp;")"</f>
        <v>4329 M3
(57組)</v>
      </c>
      <c r="I240" s="279"/>
      <c r="J240" s="292"/>
      <c r="K240" s="124" t="s">
        <v>1591</v>
      </c>
      <c r="L240" s="127"/>
      <c r="M240" s="127" t="s">
        <v>201</v>
      </c>
      <c r="N240" s="128"/>
      <c r="O240" s="128" t="s">
        <v>204</v>
      </c>
      <c r="P240" s="128"/>
      <c r="Q240" s="128"/>
      <c r="R240" s="128"/>
      <c r="S240" s="128"/>
      <c r="T240" s="137"/>
      <c r="U240" s="137"/>
      <c r="V240" s="137"/>
      <c r="W240" s="137"/>
      <c r="X240" s="137"/>
      <c r="Y240" s="137"/>
      <c r="Z240" s="137"/>
      <c r="AA240" s="137"/>
    </row>
    <row r="241" spans="1:27" s="138" customFormat="1" ht="51.95" customHeight="1">
      <c r="A241" s="293" t="str">
        <f>"1-210 -"&amp;L241</f>
        <v>1-210 -102</v>
      </c>
      <c r="B241" s="187" t="s">
        <v>1193</v>
      </c>
      <c r="C241" s="295" t="s">
        <v>1528</v>
      </c>
      <c r="D241" s="115">
        <f>VLOOKUP(L241,'210'!A:T,2,0)</f>
        <v>45950</v>
      </c>
      <c r="E241" s="271" t="str">
        <f>M241&amp;M242</f>
        <v>48 M3</v>
      </c>
      <c r="F241" s="115">
        <f>D241</f>
        <v>45950</v>
      </c>
      <c r="G241" s="297"/>
      <c r="H241" s="184" t="str">
        <f>N241&amp;M242</f>
        <v>4377 M3</v>
      </c>
      <c r="I241" s="278" t="s">
        <v>109</v>
      </c>
      <c r="J241" s="291" t="str">
        <f t="shared" ref="J241" si="47">IF(R241=0,"上  溢："&amp;S241,IF(Q241=0,"任  泰："&amp;R241&amp;"                 "&amp;"上  溢："&amp;S241,
"水利處："&amp;Q241&amp;"                 "&amp;"任  泰："&amp;R241&amp;"                 "&amp;"上  溢："&amp;S241))</f>
        <v>任  泰：陳勇智                 上  溢：康祐銓</v>
      </c>
      <c r="K241" s="264" t="s">
        <v>1789</v>
      </c>
      <c r="L241" s="188">
        <f>L239+1</f>
        <v>102</v>
      </c>
      <c r="M241" s="128">
        <f>VLOOKUP(L241,'210'!A:T,5,0)</f>
        <v>48</v>
      </c>
      <c r="N241" s="128">
        <f>N239+M241</f>
        <v>4377</v>
      </c>
      <c r="O241" s="128">
        <f>VLOOKUP(L241,'210'!A:T,6,0)</f>
        <v>1</v>
      </c>
      <c r="P241" s="128">
        <f>P239+O241</f>
        <v>58</v>
      </c>
      <c r="Q241" s="128">
        <f>VLOOKUP(L241,'210'!A:T,18,0)</f>
        <v>0</v>
      </c>
      <c r="R241" s="128" t="str">
        <f>VLOOKUP(L241,'210'!A:T,19,0)</f>
        <v>陳勇智</v>
      </c>
      <c r="S241" s="128" t="str">
        <f>VLOOKUP(L241,'210'!A:T,20,0)</f>
        <v>康祐銓</v>
      </c>
      <c r="T241" s="137"/>
      <c r="U241" s="137"/>
      <c r="V241" s="137"/>
      <c r="W241" s="137"/>
      <c r="X241" s="137"/>
      <c r="Y241" s="137"/>
      <c r="Z241" s="137"/>
      <c r="AA241" s="137"/>
    </row>
    <row r="242" spans="1:27" s="138" customFormat="1" ht="51.95" customHeight="1">
      <c r="A242" s="294"/>
      <c r="B242" s="185" t="s">
        <v>71</v>
      </c>
      <c r="C242" s="296"/>
      <c r="D242" s="116" t="str">
        <f>M241&amp;M242</f>
        <v>48 M3</v>
      </c>
      <c r="E242" s="272"/>
      <c r="F242" s="117" t="str">
        <f>E241&amp;CHAR(10)&amp;"("&amp;O241&amp;O242&amp;")"</f>
        <v>48 M3
(1組)</v>
      </c>
      <c r="G242" s="297"/>
      <c r="H242" s="184" t="str">
        <f>H241&amp;CHAR(10)&amp;"("&amp;P241&amp;O242&amp;")"</f>
        <v>4377 M3
(58組)</v>
      </c>
      <c r="I242" s="279"/>
      <c r="J242" s="292"/>
      <c r="K242" s="265"/>
      <c r="L242" s="127"/>
      <c r="M242" s="127" t="s">
        <v>201</v>
      </c>
      <c r="N242" s="128"/>
      <c r="O242" s="128" t="s">
        <v>204</v>
      </c>
      <c r="P242" s="128"/>
      <c r="Q242" s="128"/>
      <c r="R242" s="128"/>
      <c r="S242" s="128"/>
      <c r="T242" s="137"/>
      <c r="U242" s="137"/>
      <c r="V242" s="137"/>
      <c r="W242" s="137"/>
      <c r="X242" s="137"/>
      <c r="Y242" s="137"/>
      <c r="Z242" s="137"/>
      <c r="AA242" s="137"/>
    </row>
    <row r="243" spans="1:27" s="142" customFormat="1" ht="49.5" customHeight="1">
      <c r="A243" s="260" t="s">
        <v>47</v>
      </c>
      <c r="B243" s="261"/>
      <c r="C243" s="262"/>
      <c r="D243" s="260" t="s">
        <v>1753</v>
      </c>
      <c r="E243" s="261"/>
      <c r="F243" s="261"/>
      <c r="G243" s="262"/>
      <c r="H243" s="260" t="s">
        <v>1755</v>
      </c>
      <c r="I243" s="261"/>
      <c r="J243" s="261"/>
      <c r="K243" s="262"/>
      <c r="M243" s="143"/>
      <c r="N243" s="143"/>
      <c r="O243" s="143"/>
      <c r="P243" s="143"/>
      <c r="Q243" s="143"/>
      <c r="R243" s="143"/>
      <c r="S243" s="143"/>
      <c r="T243" s="143"/>
      <c r="U243" s="143"/>
      <c r="V243" s="143"/>
      <c r="W243" s="143"/>
      <c r="X243" s="143"/>
      <c r="Y243" s="143"/>
      <c r="Z243" s="143"/>
      <c r="AA243" s="143"/>
    </row>
    <row r="244" spans="1:27" s="142" customFormat="1" ht="54" customHeight="1">
      <c r="A244" s="263" t="s">
        <v>1147</v>
      </c>
      <c r="B244" s="263"/>
      <c r="C244" s="263"/>
      <c r="D244" s="263"/>
      <c r="E244" s="263"/>
      <c r="F244" s="263"/>
      <c r="G244" s="263"/>
      <c r="H244" s="263"/>
      <c r="I244" s="263"/>
      <c r="J244" s="263"/>
      <c r="K244" s="263"/>
      <c r="M244" s="143"/>
      <c r="N244" s="143"/>
      <c r="O244" s="143"/>
      <c r="P244" s="143"/>
      <c r="Q244" s="143"/>
      <c r="R244" s="143"/>
      <c r="S244" s="143"/>
      <c r="T244" s="143"/>
      <c r="U244" s="143"/>
      <c r="V244" s="143"/>
      <c r="W244" s="143"/>
      <c r="X244" s="143"/>
      <c r="Y244" s="143"/>
      <c r="Z244" s="143"/>
      <c r="AA244" s="143"/>
    </row>
    <row r="245" spans="1:27" s="138" customFormat="1" ht="51.95" customHeight="1">
      <c r="A245" s="293" t="str">
        <f>"1-210 -"&amp;L245</f>
        <v>1-210 -103</v>
      </c>
      <c r="B245" s="187" t="s">
        <v>1193</v>
      </c>
      <c r="C245" s="295" t="s">
        <v>1528</v>
      </c>
      <c r="D245" s="115">
        <f>VLOOKUP(L245,'210'!A:T,2,0)</f>
        <v>45954</v>
      </c>
      <c r="E245" s="271" t="str">
        <f>M245&amp;M246</f>
        <v>21 M3</v>
      </c>
      <c r="F245" s="115">
        <f>D245</f>
        <v>45954</v>
      </c>
      <c r="G245" s="297" t="s">
        <v>145</v>
      </c>
      <c r="H245" s="184" t="str">
        <f>N245&amp;M246</f>
        <v>4398 M3</v>
      </c>
      <c r="I245" s="278" t="s">
        <v>109</v>
      </c>
      <c r="J245" s="291" t="str">
        <f t="shared" ref="J245" si="48">IF(R245=0,"上  溢："&amp;S245,IF(Q245=0,"任  泰："&amp;R245&amp;"                 "&amp;"上  溢："&amp;S245,
"水利處："&amp;Q245&amp;"                 "&amp;"任  泰："&amp;R245&amp;"                 "&amp;"上  溢："&amp;S245))</f>
        <v>上  溢：康祐銓</v>
      </c>
      <c r="K245" s="264" t="s">
        <v>1880</v>
      </c>
      <c r="L245" s="188">
        <f>L241+1</f>
        <v>103</v>
      </c>
      <c r="M245" s="128">
        <f>VLOOKUP(L245,'210'!A:T,5,0)</f>
        <v>21</v>
      </c>
      <c r="N245" s="128">
        <f>N241+M245</f>
        <v>4398</v>
      </c>
      <c r="O245" s="128">
        <f>VLOOKUP(L245,'210'!A:T,6,0)</f>
        <v>1</v>
      </c>
      <c r="P245" s="128">
        <f>P241+O245</f>
        <v>59</v>
      </c>
      <c r="Q245" s="128">
        <f>VLOOKUP(L245,'210'!A:T,18,0)</f>
        <v>0</v>
      </c>
      <c r="R245" s="128">
        <f>VLOOKUP(L245,'210'!A:T,19,0)</f>
        <v>0</v>
      </c>
      <c r="S245" s="128" t="str">
        <f>VLOOKUP(L245,'210'!A:T,20,0)</f>
        <v>康祐銓</v>
      </c>
      <c r="T245" s="137"/>
      <c r="U245" s="137"/>
      <c r="V245" s="137"/>
      <c r="W245" s="137"/>
      <c r="X245" s="137"/>
      <c r="Y245" s="137"/>
      <c r="Z245" s="137"/>
      <c r="AA245" s="137"/>
    </row>
    <row r="246" spans="1:27" s="138" customFormat="1" ht="51.95" customHeight="1">
      <c r="A246" s="294"/>
      <c r="B246" s="185" t="s">
        <v>71</v>
      </c>
      <c r="C246" s="296"/>
      <c r="D246" s="116" t="str">
        <f>M245&amp;M246</f>
        <v>21 M3</v>
      </c>
      <c r="E246" s="272"/>
      <c r="F246" s="117" t="str">
        <f>E245&amp;CHAR(10)&amp;"("&amp;O245&amp;O246&amp;")"</f>
        <v>21 M3
(1組)</v>
      </c>
      <c r="G246" s="297"/>
      <c r="H246" s="184" t="str">
        <f>H245&amp;CHAR(10)&amp;"("&amp;P245&amp;O246&amp;")"</f>
        <v>4398 M3
(59組)</v>
      </c>
      <c r="I246" s="279"/>
      <c r="J246" s="292"/>
      <c r="K246" s="265"/>
      <c r="L246" s="127"/>
      <c r="M246" s="127" t="s">
        <v>201</v>
      </c>
      <c r="N246" s="128"/>
      <c r="O246" s="128" t="s">
        <v>204</v>
      </c>
      <c r="P246" s="128"/>
      <c r="Q246" s="128"/>
      <c r="R246" s="128"/>
      <c r="S246" s="128"/>
      <c r="T246" s="137"/>
      <c r="U246" s="137"/>
      <c r="V246" s="137"/>
      <c r="W246" s="137"/>
      <c r="X246" s="137"/>
      <c r="Y246" s="137"/>
      <c r="Z246" s="137"/>
      <c r="AA246" s="137"/>
    </row>
    <row r="247" spans="1:27" s="138" customFormat="1" ht="51.95" customHeight="1">
      <c r="A247" s="293" t="str">
        <f>"1-210 -"&amp;L247</f>
        <v>1-210 -104</v>
      </c>
      <c r="B247" s="187" t="s">
        <v>1193</v>
      </c>
      <c r="C247" s="295" t="s">
        <v>1528</v>
      </c>
      <c r="D247" s="115">
        <f>VLOOKUP(L247,'210'!A:T,2,0)</f>
        <v>45969</v>
      </c>
      <c r="E247" s="271" t="str">
        <f>M247&amp;M248</f>
        <v>36 M3</v>
      </c>
      <c r="F247" s="115">
        <f>D247</f>
        <v>45969</v>
      </c>
      <c r="G247" s="297"/>
      <c r="H247" s="184" t="str">
        <f>N247&amp;M248</f>
        <v>4434 M3</v>
      </c>
      <c r="I247" s="278" t="s">
        <v>109</v>
      </c>
      <c r="J247" s="291" t="str">
        <f t="shared" ref="J247" si="49">IF(R247=0,"上  溢："&amp;S247,IF(Q247=0,"任  泰："&amp;R247&amp;"                 "&amp;"上  溢："&amp;S247,
"水利處："&amp;Q247&amp;"                 "&amp;"任  泰："&amp;R247&amp;"                 "&amp;"上  溢："&amp;S247))</f>
        <v>任  泰：陳勇智                 上  溢：康祐銓</v>
      </c>
      <c r="K247" s="264" t="s">
        <v>1881</v>
      </c>
      <c r="L247" s="188">
        <f>L245+1</f>
        <v>104</v>
      </c>
      <c r="M247" s="128">
        <f>VLOOKUP(L247,'210'!A:T,5,0)</f>
        <v>36</v>
      </c>
      <c r="N247" s="128">
        <f>N245+M247</f>
        <v>4434</v>
      </c>
      <c r="O247" s="128">
        <f>VLOOKUP(L247,'210'!A:T,6,0)</f>
        <v>1</v>
      </c>
      <c r="P247" s="128">
        <f>P245+O247</f>
        <v>60</v>
      </c>
      <c r="Q247" s="128">
        <f>VLOOKUP(L247,'210'!A:T,18,0)</f>
        <v>0</v>
      </c>
      <c r="R247" s="128" t="str">
        <f>VLOOKUP(L247,'210'!A:T,19,0)</f>
        <v>陳勇智</v>
      </c>
      <c r="S247" s="128" t="str">
        <f>VLOOKUP(L247,'210'!A:T,20,0)</f>
        <v>康祐銓</v>
      </c>
      <c r="T247" s="137"/>
      <c r="U247" s="137"/>
      <c r="V247" s="137"/>
      <c r="W247" s="137"/>
      <c r="X247" s="137"/>
      <c r="Y247" s="137"/>
      <c r="Z247" s="137"/>
      <c r="AA247" s="137"/>
    </row>
    <row r="248" spans="1:27" s="138" customFormat="1" ht="51.95" customHeight="1">
      <c r="A248" s="294"/>
      <c r="B248" s="185" t="s">
        <v>71</v>
      </c>
      <c r="C248" s="296"/>
      <c r="D248" s="116" t="str">
        <f>M247&amp;M248</f>
        <v>36 M3</v>
      </c>
      <c r="E248" s="272"/>
      <c r="F248" s="117" t="str">
        <f>E247&amp;CHAR(10)&amp;"("&amp;O247&amp;O248&amp;")"</f>
        <v>36 M3
(1組)</v>
      </c>
      <c r="G248" s="297"/>
      <c r="H248" s="184" t="str">
        <f>H247&amp;CHAR(10)&amp;"("&amp;P247&amp;O248&amp;")"</f>
        <v>4434 M3
(60組)</v>
      </c>
      <c r="I248" s="279"/>
      <c r="J248" s="292"/>
      <c r="K248" s="265"/>
      <c r="L248" s="127"/>
      <c r="M248" s="127" t="s">
        <v>201</v>
      </c>
      <c r="N248" s="128"/>
      <c r="O248" s="128" t="s">
        <v>204</v>
      </c>
      <c r="P248" s="128"/>
      <c r="Q248" s="128"/>
      <c r="R248" s="128"/>
      <c r="S248" s="128"/>
      <c r="T248" s="137"/>
      <c r="U248" s="137"/>
      <c r="V248" s="137"/>
      <c r="W248" s="137"/>
      <c r="X248" s="137"/>
      <c r="Y248" s="137"/>
      <c r="Z248" s="137"/>
      <c r="AA248" s="137"/>
    </row>
    <row r="249" spans="1:27" s="138" customFormat="1" ht="51.95" customHeight="1">
      <c r="A249" s="293" t="str">
        <f>"1-210 -"&amp;L249</f>
        <v>1-210 -105</v>
      </c>
      <c r="B249" s="187" t="s">
        <v>1193</v>
      </c>
      <c r="C249" s="295" t="s">
        <v>1528</v>
      </c>
      <c r="D249" s="115">
        <f>VLOOKUP(L249,'210'!A:T,2,0)</f>
        <v>45982</v>
      </c>
      <c r="E249" s="271" t="str">
        <f>M249&amp;M250</f>
        <v>8 M3</v>
      </c>
      <c r="F249" s="115">
        <f>D249</f>
        <v>45982</v>
      </c>
      <c r="G249" s="297"/>
      <c r="H249" s="184" t="str">
        <f>N249&amp;M250</f>
        <v>4442 M3</v>
      </c>
      <c r="I249" s="278" t="s">
        <v>109</v>
      </c>
      <c r="J249" s="291" t="str">
        <f t="shared" ref="J249" si="50">IF(R249=0,"上  溢："&amp;S249,IF(Q249=0,"任  泰："&amp;R249&amp;"                 "&amp;"上  溢："&amp;S249,
"水利處："&amp;Q249&amp;"                 "&amp;"任  泰："&amp;R249&amp;"                 "&amp;"上  溢："&amp;S249))</f>
        <v>上  溢：康祐銓</v>
      </c>
      <c r="K249" s="124" t="s">
        <v>211</v>
      </c>
      <c r="L249" s="188">
        <f>L247+1</f>
        <v>105</v>
      </c>
      <c r="M249" s="128">
        <f>VLOOKUP(L249,'210'!A:T,5,0)</f>
        <v>8</v>
      </c>
      <c r="N249" s="128">
        <f>N247+M249</f>
        <v>4442</v>
      </c>
      <c r="O249" s="128">
        <f>VLOOKUP(L249,'210'!A:T,6,0)</f>
        <v>0</v>
      </c>
      <c r="P249" s="128">
        <f>P247+O249</f>
        <v>60</v>
      </c>
      <c r="Q249" s="128">
        <f>VLOOKUP(L249,'210'!A:T,18,0)</f>
        <v>0</v>
      </c>
      <c r="R249" s="128">
        <f>VLOOKUP(L249,'210'!A:T,19,0)</f>
        <v>0</v>
      </c>
      <c r="S249" s="128" t="str">
        <f>VLOOKUP(L249,'210'!A:T,20,0)</f>
        <v>康祐銓</v>
      </c>
      <c r="T249" s="137"/>
      <c r="U249" s="137"/>
      <c r="V249" s="137"/>
      <c r="W249" s="137"/>
      <c r="X249" s="137"/>
      <c r="Y249" s="137"/>
      <c r="Z249" s="137"/>
      <c r="AA249" s="137"/>
    </row>
    <row r="250" spans="1:27" s="138" customFormat="1" ht="51.95" customHeight="1">
      <c r="A250" s="294"/>
      <c r="B250" s="185" t="s">
        <v>71</v>
      </c>
      <c r="C250" s="296"/>
      <c r="D250" s="116" t="str">
        <f>M249&amp;M250</f>
        <v>8 M3</v>
      </c>
      <c r="E250" s="272"/>
      <c r="F250" s="117" t="str">
        <f>E249&amp;CHAR(10)&amp;"("&amp;O249&amp;O250&amp;")"</f>
        <v>8 M3
(0組)</v>
      </c>
      <c r="G250" s="297"/>
      <c r="H250" s="184" t="str">
        <f>H249&amp;CHAR(10)&amp;"("&amp;P249&amp;O250&amp;")"</f>
        <v>4442 M3
(60組)</v>
      </c>
      <c r="I250" s="279"/>
      <c r="J250" s="292"/>
      <c r="K250" s="124" t="s">
        <v>1767</v>
      </c>
      <c r="L250" s="127"/>
      <c r="M250" s="127" t="s">
        <v>201</v>
      </c>
      <c r="N250" s="128"/>
      <c r="O250" s="128" t="s">
        <v>204</v>
      </c>
      <c r="P250" s="128"/>
      <c r="Q250" s="128"/>
      <c r="R250" s="128"/>
      <c r="S250" s="128"/>
      <c r="T250" s="137"/>
      <c r="U250" s="137"/>
      <c r="V250" s="137"/>
      <c r="W250" s="137"/>
      <c r="X250" s="137"/>
      <c r="Y250" s="137"/>
      <c r="Z250" s="137"/>
      <c r="AA250" s="137"/>
    </row>
    <row r="251" spans="1:27" s="138" customFormat="1" ht="51.95" customHeight="1">
      <c r="A251" s="293" t="str">
        <f>"1-210 -"&amp;L251</f>
        <v>1-210 -106</v>
      </c>
      <c r="B251" s="187" t="s">
        <v>1193</v>
      </c>
      <c r="C251" s="295" t="s">
        <v>1528</v>
      </c>
      <c r="D251" s="115">
        <f>VLOOKUP(L251,'210'!A:T,2,0)</f>
        <v>45983</v>
      </c>
      <c r="E251" s="271" t="str">
        <f>M251&amp;M252</f>
        <v>4 M3</v>
      </c>
      <c r="F251" s="115">
        <f>D251</f>
        <v>45983</v>
      </c>
      <c r="G251" s="297"/>
      <c r="H251" s="184" t="str">
        <f>N251&amp;M252</f>
        <v>4446 M3</v>
      </c>
      <c r="I251" s="278" t="s">
        <v>109</v>
      </c>
      <c r="J251" s="291" t="str">
        <f t="shared" ref="J251" si="51">IF(R251=0,"上  溢："&amp;S251,IF(Q251=0,"任  泰："&amp;R251&amp;"                 "&amp;"上  溢："&amp;S251,
"水利處："&amp;Q251&amp;"                 "&amp;"任  泰："&amp;R251&amp;"                 "&amp;"上  溢："&amp;S251))</f>
        <v>上  溢：康祐銓</v>
      </c>
      <c r="K251" s="124" t="s">
        <v>211</v>
      </c>
      <c r="L251" s="188">
        <f>L249+1</f>
        <v>106</v>
      </c>
      <c r="M251" s="128">
        <f>VLOOKUP(L251,'210'!A:T,5,0)</f>
        <v>4</v>
      </c>
      <c r="N251" s="128">
        <f>N249+M251</f>
        <v>4446</v>
      </c>
      <c r="O251" s="128">
        <f>VLOOKUP(L251,'210'!A:T,6,0)</f>
        <v>0</v>
      </c>
      <c r="P251" s="128">
        <f>P249+O251</f>
        <v>60</v>
      </c>
      <c r="Q251" s="128">
        <f>VLOOKUP(L251,'210'!A:T,18,0)</f>
        <v>0</v>
      </c>
      <c r="R251" s="128">
        <f>VLOOKUP(L251,'210'!A:T,19,0)</f>
        <v>0</v>
      </c>
      <c r="S251" s="128" t="str">
        <f>VLOOKUP(L251,'210'!A:T,20,0)</f>
        <v>康祐銓</v>
      </c>
      <c r="T251" s="137"/>
      <c r="U251" s="137"/>
      <c r="V251" s="137"/>
      <c r="W251" s="137"/>
      <c r="X251" s="137"/>
      <c r="Y251" s="137"/>
      <c r="Z251" s="137"/>
      <c r="AA251" s="137"/>
    </row>
    <row r="252" spans="1:27" s="138" customFormat="1" ht="51.95" customHeight="1">
      <c r="A252" s="294"/>
      <c r="B252" s="185" t="s">
        <v>71</v>
      </c>
      <c r="C252" s="296"/>
      <c r="D252" s="116" t="str">
        <f>M251&amp;M252</f>
        <v>4 M3</v>
      </c>
      <c r="E252" s="272"/>
      <c r="F252" s="117" t="str">
        <f>E251&amp;CHAR(10)&amp;"("&amp;O251&amp;O252&amp;")"</f>
        <v>4 M3
(0組)</v>
      </c>
      <c r="G252" s="297"/>
      <c r="H252" s="184" t="str">
        <f>H251&amp;CHAR(10)&amp;"("&amp;P251&amp;O252&amp;")"</f>
        <v>4446 M3
(60組)</v>
      </c>
      <c r="I252" s="279"/>
      <c r="J252" s="292"/>
      <c r="K252" s="124" t="s">
        <v>1768</v>
      </c>
      <c r="L252" s="127"/>
      <c r="M252" s="127" t="s">
        <v>201</v>
      </c>
      <c r="N252" s="128"/>
      <c r="O252" s="128" t="s">
        <v>204</v>
      </c>
      <c r="P252" s="128"/>
      <c r="Q252" s="128"/>
      <c r="R252" s="128"/>
      <c r="S252" s="128"/>
      <c r="T252" s="137"/>
      <c r="U252" s="137"/>
      <c r="V252" s="137"/>
      <c r="W252" s="137"/>
      <c r="X252" s="137"/>
      <c r="Y252" s="137"/>
      <c r="Z252" s="137"/>
      <c r="AA252" s="137"/>
    </row>
    <row r="253" spans="1:27" s="138" customFormat="1" ht="51.95" customHeight="1">
      <c r="A253" s="293" t="str">
        <f>"1-210 -"&amp;L253</f>
        <v>1-210 -107</v>
      </c>
      <c r="B253" s="187" t="s">
        <v>1193</v>
      </c>
      <c r="C253" s="295" t="s">
        <v>1528</v>
      </c>
      <c r="D253" s="115">
        <f>VLOOKUP(L253,'210'!A:T,2,0)</f>
        <v>45994</v>
      </c>
      <c r="E253" s="271" t="str">
        <f>M253&amp;M254</f>
        <v>19 M3</v>
      </c>
      <c r="F253" s="115">
        <f>D253</f>
        <v>45994</v>
      </c>
      <c r="G253" s="297"/>
      <c r="H253" s="184" t="str">
        <f>N253&amp;M254</f>
        <v>4465 M3</v>
      </c>
      <c r="I253" s="278" t="s">
        <v>109</v>
      </c>
      <c r="J253" s="291" t="str">
        <f t="shared" ref="J253" si="52">IF(R253=0,"上  溢："&amp;S253,IF(Q253=0,"任  泰："&amp;R253&amp;"                 "&amp;"上  溢："&amp;S253,
"水利處："&amp;Q253&amp;"                 "&amp;"任  泰："&amp;R253&amp;"                 "&amp;"上  溢："&amp;S253))</f>
        <v>上  溢：康祐銓</v>
      </c>
      <c r="K253" s="124" t="s">
        <v>211</v>
      </c>
      <c r="L253" s="188">
        <f>L251+1</f>
        <v>107</v>
      </c>
      <c r="M253" s="128">
        <f>VLOOKUP(L253,'210'!A:T,5,0)</f>
        <v>19</v>
      </c>
      <c r="N253" s="128">
        <f>N251+M253</f>
        <v>4465</v>
      </c>
      <c r="O253" s="128">
        <f>VLOOKUP(L253,'210'!A:T,6,0)</f>
        <v>0</v>
      </c>
      <c r="P253" s="128">
        <f>P251+O253</f>
        <v>60</v>
      </c>
      <c r="Q253" s="128">
        <f>VLOOKUP(L253,'210'!A:T,18,0)</f>
        <v>0</v>
      </c>
      <c r="R253" s="128">
        <f>VLOOKUP(L253,'210'!A:T,19,0)</f>
        <v>0</v>
      </c>
      <c r="S253" s="128" t="str">
        <f>VLOOKUP(L253,'210'!A:T,20,0)</f>
        <v>康祐銓</v>
      </c>
      <c r="T253" s="137"/>
      <c r="U253" s="137"/>
      <c r="V253" s="137"/>
      <c r="W253" s="137"/>
      <c r="X253" s="137"/>
      <c r="Y253" s="137"/>
      <c r="Z253" s="137"/>
      <c r="AA253" s="137"/>
    </row>
    <row r="254" spans="1:27" s="138" customFormat="1" ht="51.95" customHeight="1">
      <c r="A254" s="294"/>
      <c r="B254" s="185" t="s">
        <v>71</v>
      </c>
      <c r="C254" s="296"/>
      <c r="D254" s="116" t="str">
        <f>M253&amp;M254</f>
        <v>19 M3</v>
      </c>
      <c r="E254" s="272"/>
      <c r="F254" s="117" t="str">
        <f>E253&amp;CHAR(10)&amp;"("&amp;O253&amp;O254&amp;")"</f>
        <v>19 M3
(0組)</v>
      </c>
      <c r="G254" s="297"/>
      <c r="H254" s="184" t="str">
        <f>H253&amp;CHAR(10)&amp;"("&amp;P253&amp;O254&amp;")"</f>
        <v>4465 M3
(60組)</v>
      </c>
      <c r="I254" s="279"/>
      <c r="J254" s="292"/>
      <c r="K254" s="124" t="s">
        <v>1769</v>
      </c>
      <c r="L254" s="127"/>
      <c r="M254" s="127" t="s">
        <v>201</v>
      </c>
      <c r="N254" s="128"/>
      <c r="O254" s="128" t="s">
        <v>204</v>
      </c>
      <c r="P254" s="128"/>
      <c r="Q254" s="128"/>
      <c r="R254" s="128"/>
      <c r="S254" s="128"/>
      <c r="T254" s="137"/>
      <c r="U254" s="137"/>
      <c r="V254" s="137"/>
      <c r="W254" s="137"/>
      <c r="X254" s="137"/>
      <c r="Y254" s="137"/>
      <c r="Z254" s="137"/>
      <c r="AA254" s="137"/>
    </row>
    <row r="255" spans="1:27" s="138" customFormat="1" ht="51.95" customHeight="1">
      <c r="A255" s="293" t="str">
        <f>"1-210 -"&amp;L255</f>
        <v>1-210 -108</v>
      </c>
      <c r="B255" s="187" t="s">
        <v>1193</v>
      </c>
      <c r="C255" s="295" t="s">
        <v>1528</v>
      </c>
      <c r="D255" s="115">
        <f>VLOOKUP(L255,'210'!A:T,2,0)</f>
        <v>45997</v>
      </c>
      <c r="E255" s="271" t="str">
        <f>M255&amp;M256</f>
        <v>7 M3</v>
      </c>
      <c r="F255" s="115">
        <f>D255</f>
        <v>45997</v>
      </c>
      <c r="G255" s="297"/>
      <c r="H255" s="184" t="str">
        <f>N255&amp;M256</f>
        <v>4472 M3</v>
      </c>
      <c r="I255" s="278" t="s">
        <v>48</v>
      </c>
      <c r="J255" s="291" t="str">
        <f t="shared" ref="J255" si="53">IF(R255=0,"上  溢："&amp;S255,IF(Q255=0,"任  泰："&amp;R255&amp;"                 "&amp;"上  溢："&amp;S255,
"水利處："&amp;Q255&amp;"                 "&amp;"任  泰："&amp;R255&amp;"                 "&amp;"上  溢："&amp;S255))</f>
        <v>上  溢：康祐銓</v>
      </c>
      <c r="K255" s="264" t="s">
        <v>1886</v>
      </c>
      <c r="L255" s="188">
        <f>L253+1</f>
        <v>108</v>
      </c>
      <c r="M255" s="128">
        <f>VLOOKUP(L255,'210'!A:T,5,0)</f>
        <v>7</v>
      </c>
      <c r="N255" s="128">
        <f>N253+M255</f>
        <v>4472</v>
      </c>
      <c r="O255" s="128">
        <f>VLOOKUP(L255,'210'!A:T,6,0)</f>
        <v>1</v>
      </c>
      <c r="P255" s="128">
        <f>P253+O255</f>
        <v>61</v>
      </c>
      <c r="Q255" s="128">
        <f>VLOOKUP(L255,'210'!A:T,18,0)</f>
        <v>0</v>
      </c>
      <c r="R255" s="128">
        <f>VLOOKUP(L255,'210'!A:T,19,0)</f>
        <v>0</v>
      </c>
      <c r="S255" s="128" t="str">
        <f>VLOOKUP(L255,'210'!A:T,20,0)</f>
        <v>康祐銓</v>
      </c>
      <c r="T255" s="137"/>
      <c r="U255" s="137"/>
      <c r="V255" s="137"/>
      <c r="W255" s="137"/>
      <c r="X255" s="137"/>
      <c r="Y255" s="137"/>
      <c r="Z255" s="137"/>
      <c r="AA255" s="137"/>
    </row>
    <row r="256" spans="1:27" s="138" customFormat="1" ht="51.95" customHeight="1">
      <c r="A256" s="294"/>
      <c r="B256" s="185" t="s">
        <v>71</v>
      </c>
      <c r="C256" s="296"/>
      <c r="D256" s="116" t="str">
        <f>M255&amp;M256</f>
        <v>7 M3</v>
      </c>
      <c r="E256" s="272"/>
      <c r="F256" s="117" t="str">
        <f>E255&amp;CHAR(10)&amp;"("&amp;O255&amp;O256&amp;")"</f>
        <v>7 M3
(1組)</v>
      </c>
      <c r="G256" s="297"/>
      <c r="H256" s="184" t="str">
        <f>H255&amp;CHAR(10)&amp;"("&amp;P255&amp;O256&amp;")"</f>
        <v>4472 M3
(61組)</v>
      </c>
      <c r="I256" s="279"/>
      <c r="J256" s="292"/>
      <c r="K256" s="265"/>
      <c r="L256" s="127"/>
      <c r="M256" s="127" t="s">
        <v>201</v>
      </c>
      <c r="N256" s="128"/>
      <c r="O256" s="128" t="s">
        <v>204</v>
      </c>
      <c r="P256" s="128"/>
      <c r="Q256" s="128"/>
      <c r="R256" s="128"/>
      <c r="S256" s="128"/>
      <c r="T256" s="137"/>
      <c r="U256" s="137"/>
      <c r="V256" s="137"/>
      <c r="W256" s="137"/>
      <c r="X256" s="137"/>
      <c r="Y256" s="137"/>
      <c r="Z256" s="137"/>
      <c r="AA256" s="137"/>
    </row>
    <row r="257" spans="1:27" s="142" customFormat="1" ht="49.5" customHeight="1">
      <c r="A257" s="260" t="s">
        <v>47</v>
      </c>
      <c r="B257" s="261"/>
      <c r="C257" s="262"/>
      <c r="D257" s="260" t="s">
        <v>1753</v>
      </c>
      <c r="E257" s="261"/>
      <c r="F257" s="261"/>
      <c r="G257" s="262"/>
      <c r="H257" s="260" t="s">
        <v>1755</v>
      </c>
      <c r="I257" s="261"/>
      <c r="J257" s="261"/>
      <c r="K257" s="262"/>
      <c r="M257" s="143"/>
      <c r="N257" s="143"/>
      <c r="O257" s="143"/>
      <c r="P257" s="143"/>
      <c r="Q257" s="143"/>
      <c r="R257" s="143"/>
      <c r="S257" s="143"/>
      <c r="T257" s="143"/>
      <c r="U257" s="143"/>
      <c r="V257" s="143"/>
      <c r="W257" s="143"/>
      <c r="X257" s="143"/>
      <c r="Y257" s="143"/>
      <c r="Z257" s="143"/>
      <c r="AA257" s="143"/>
    </row>
    <row r="258" spans="1:27" s="142" customFormat="1" ht="54" customHeight="1">
      <c r="A258" s="263" t="s">
        <v>1147</v>
      </c>
      <c r="B258" s="263"/>
      <c r="C258" s="263"/>
      <c r="D258" s="263"/>
      <c r="E258" s="263"/>
      <c r="F258" s="263"/>
      <c r="G258" s="263"/>
      <c r="H258" s="263"/>
      <c r="I258" s="263"/>
      <c r="J258" s="263"/>
      <c r="K258" s="263"/>
      <c r="M258" s="143"/>
      <c r="N258" s="143"/>
      <c r="O258" s="143"/>
      <c r="P258" s="143"/>
      <c r="Q258" s="143"/>
      <c r="R258" s="143"/>
      <c r="S258" s="143"/>
      <c r="T258" s="143"/>
      <c r="U258" s="143"/>
      <c r="V258" s="143"/>
      <c r="W258" s="143"/>
      <c r="X258" s="143"/>
      <c r="Y258" s="143"/>
      <c r="Z258" s="143"/>
      <c r="AA258" s="143"/>
    </row>
    <row r="259" spans="1:27" s="138" customFormat="1" ht="51.95" customHeight="1">
      <c r="A259" s="293" t="str">
        <f>"1-210 -"&amp;L259</f>
        <v>1-210 -109</v>
      </c>
      <c r="B259" s="187" t="s">
        <v>1193</v>
      </c>
      <c r="C259" s="295" t="s">
        <v>1528</v>
      </c>
      <c r="D259" s="115">
        <f>VLOOKUP(L259,'210'!A:T,2,0)</f>
        <v>46000</v>
      </c>
      <c r="E259" s="271" t="str">
        <f>M259&amp;M260</f>
        <v>33 M3</v>
      </c>
      <c r="F259" s="115">
        <f>D259</f>
        <v>46000</v>
      </c>
      <c r="G259" s="297" t="s">
        <v>145</v>
      </c>
      <c r="H259" s="184" t="str">
        <f>N259&amp;M260</f>
        <v>4505 M3</v>
      </c>
      <c r="I259" s="278" t="s">
        <v>48</v>
      </c>
      <c r="J259" s="291" t="str">
        <f t="shared" ref="J259" si="54">IF(R259=0,"上  溢："&amp;S259,IF(Q259=0,"任  泰："&amp;R259&amp;"                 "&amp;"上  溢："&amp;S259,
"水利處："&amp;Q259&amp;"                 "&amp;"任  泰："&amp;R259&amp;"                 "&amp;"上  溢："&amp;S259))</f>
        <v>任  泰：陳勇智                 上  溢：周昱辰</v>
      </c>
      <c r="K259" s="264" t="s">
        <v>1887</v>
      </c>
      <c r="L259" s="188">
        <f>L255+1</f>
        <v>109</v>
      </c>
      <c r="M259" s="128">
        <f>VLOOKUP(L259,'210'!A:T,5,0)</f>
        <v>33</v>
      </c>
      <c r="N259" s="128">
        <f>N255+M259</f>
        <v>4505</v>
      </c>
      <c r="O259" s="128">
        <f>VLOOKUP(L259,'210'!A:T,6,0)</f>
        <v>1</v>
      </c>
      <c r="P259" s="128">
        <f>P255+O259</f>
        <v>62</v>
      </c>
      <c r="Q259" s="128">
        <f>VLOOKUP(L259,'210'!A:T,18,0)</f>
        <v>0</v>
      </c>
      <c r="R259" s="128" t="str">
        <f>VLOOKUP(L259,'210'!A:T,19,0)</f>
        <v>陳勇智</v>
      </c>
      <c r="S259" s="128" t="str">
        <f>VLOOKUP(L259,'210'!A:T,20,0)</f>
        <v>周昱辰</v>
      </c>
      <c r="T259" s="137"/>
      <c r="U259" s="137"/>
      <c r="V259" s="137"/>
      <c r="W259" s="137"/>
      <c r="X259" s="137"/>
      <c r="Y259" s="137"/>
      <c r="Z259" s="137"/>
      <c r="AA259" s="137"/>
    </row>
    <row r="260" spans="1:27" s="138" customFormat="1" ht="51.95" customHeight="1">
      <c r="A260" s="294"/>
      <c r="B260" s="185" t="s">
        <v>71</v>
      </c>
      <c r="C260" s="296"/>
      <c r="D260" s="116" t="str">
        <f>M259&amp;M260</f>
        <v>33 M3</v>
      </c>
      <c r="E260" s="272"/>
      <c r="F260" s="117" t="str">
        <f>E259&amp;CHAR(10)&amp;"("&amp;O259&amp;O260&amp;")"</f>
        <v>33 M3
(1組)</v>
      </c>
      <c r="G260" s="297"/>
      <c r="H260" s="184" t="str">
        <f>H259&amp;CHAR(10)&amp;"("&amp;P259&amp;O260&amp;")"</f>
        <v>4505 M3
(62組)</v>
      </c>
      <c r="I260" s="279"/>
      <c r="J260" s="292"/>
      <c r="K260" s="265"/>
      <c r="L260" s="127"/>
      <c r="M260" s="127" t="s">
        <v>201</v>
      </c>
      <c r="N260" s="128"/>
      <c r="O260" s="128" t="s">
        <v>204</v>
      </c>
      <c r="P260" s="128"/>
      <c r="Q260" s="128"/>
      <c r="R260" s="128"/>
      <c r="S260" s="128"/>
      <c r="T260" s="137"/>
      <c r="U260" s="137"/>
      <c r="V260" s="137"/>
      <c r="W260" s="137"/>
      <c r="X260" s="137"/>
      <c r="Y260" s="137"/>
      <c r="Z260" s="137"/>
      <c r="AA260" s="137"/>
    </row>
    <row r="261" spans="1:27" s="138" customFormat="1" ht="51.95" customHeight="1">
      <c r="A261" s="293" t="str">
        <f>"1-210 -"&amp;L261</f>
        <v>1-210 -110</v>
      </c>
      <c r="B261" s="187" t="s">
        <v>1193</v>
      </c>
      <c r="C261" s="295" t="s">
        <v>1528</v>
      </c>
      <c r="D261" s="115">
        <f>VLOOKUP(L261,'210'!A:T,2,0)</f>
        <v>46000</v>
      </c>
      <c r="E261" s="271" t="str">
        <f>M261&amp;M262</f>
        <v>12 M3</v>
      </c>
      <c r="F261" s="115">
        <f>D261</f>
        <v>46000</v>
      </c>
      <c r="G261" s="297"/>
      <c r="H261" s="184" t="str">
        <f>N261&amp;M262</f>
        <v>4517 M3</v>
      </c>
      <c r="I261" s="278" t="s">
        <v>109</v>
      </c>
      <c r="J261" s="291" t="str">
        <f t="shared" ref="J261" si="55">IF(R261=0,"上  溢："&amp;S261,IF(Q261=0,"任  泰："&amp;R261&amp;"                 "&amp;"上  溢："&amp;S261,
"水利處："&amp;Q261&amp;"                 "&amp;"任  泰："&amp;R261&amp;"                 "&amp;"上  溢："&amp;S261))</f>
        <v>上  溢：康祐銓</v>
      </c>
      <c r="K261" s="124" t="s">
        <v>211</v>
      </c>
      <c r="L261" s="188">
        <f>L259+1</f>
        <v>110</v>
      </c>
      <c r="M261" s="128">
        <f>VLOOKUP(L261,'210'!A:T,5,0)</f>
        <v>12</v>
      </c>
      <c r="N261" s="128">
        <f>N259+M261</f>
        <v>4517</v>
      </c>
      <c r="O261" s="128">
        <f>VLOOKUP(L261,'210'!A:T,6,0)</f>
        <v>0</v>
      </c>
      <c r="P261" s="128">
        <f>P259+O261</f>
        <v>62</v>
      </c>
      <c r="Q261" s="128">
        <f>VLOOKUP(L261,'210'!A:T,18,0)</f>
        <v>0</v>
      </c>
      <c r="R261" s="128">
        <f>VLOOKUP(L261,'210'!A:T,19,0)</f>
        <v>0</v>
      </c>
      <c r="S261" s="128" t="str">
        <f>VLOOKUP(L261,'210'!A:T,20,0)</f>
        <v>康祐銓</v>
      </c>
      <c r="T261" s="137"/>
      <c r="U261" s="137"/>
      <c r="V261" s="137"/>
      <c r="W261" s="137"/>
      <c r="X261" s="137"/>
      <c r="Y261" s="137"/>
      <c r="Z261" s="137"/>
      <c r="AA261" s="137"/>
    </row>
    <row r="262" spans="1:27" s="138" customFormat="1" ht="51.95" customHeight="1">
      <c r="A262" s="294"/>
      <c r="B262" s="185" t="s">
        <v>71</v>
      </c>
      <c r="C262" s="296"/>
      <c r="D262" s="116" t="str">
        <f>M261&amp;M262</f>
        <v>12 M3</v>
      </c>
      <c r="E262" s="272"/>
      <c r="F262" s="117" t="str">
        <f>E261&amp;CHAR(10)&amp;"("&amp;O261&amp;O262&amp;")"</f>
        <v>12 M3
(0組)</v>
      </c>
      <c r="G262" s="297"/>
      <c r="H262" s="184" t="str">
        <f>H261&amp;CHAR(10)&amp;"("&amp;P261&amp;O262&amp;")"</f>
        <v>4517 M3
(62組)</v>
      </c>
      <c r="I262" s="279"/>
      <c r="J262" s="292"/>
      <c r="K262" s="124" t="s">
        <v>1770</v>
      </c>
      <c r="L262" s="127"/>
      <c r="M262" s="127" t="s">
        <v>201</v>
      </c>
      <c r="N262" s="128"/>
      <c r="O262" s="128" t="s">
        <v>204</v>
      </c>
      <c r="P262" s="128"/>
      <c r="Q262" s="128"/>
      <c r="R262" s="128"/>
      <c r="S262" s="128"/>
      <c r="T262" s="137"/>
      <c r="U262" s="137"/>
      <c r="V262" s="137"/>
      <c r="W262" s="137"/>
      <c r="X262" s="137"/>
      <c r="Y262" s="137"/>
      <c r="Z262" s="137"/>
      <c r="AA262" s="137"/>
    </row>
    <row r="263" spans="1:27" s="138" customFormat="1" ht="51.95" customHeight="1">
      <c r="A263" s="293" t="str">
        <f>"1-210 -"&amp;L263</f>
        <v>1-210 -111</v>
      </c>
      <c r="B263" s="187" t="s">
        <v>1193</v>
      </c>
      <c r="C263" s="295" t="s">
        <v>1528</v>
      </c>
      <c r="D263" s="115">
        <f>VLOOKUP(L263,'210'!A:T,2,0)</f>
        <v>46006</v>
      </c>
      <c r="E263" s="271" t="str">
        <f>M263&amp;M264</f>
        <v>16 M3</v>
      </c>
      <c r="F263" s="115">
        <f>D263</f>
        <v>46006</v>
      </c>
      <c r="G263" s="297"/>
      <c r="H263" s="184" t="str">
        <f>N263&amp;M264</f>
        <v>4533 M3</v>
      </c>
      <c r="I263" s="278" t="s">
        <v>109</v>
      </c>
      <c r="J263" s="291" t="str">
        <f t="shared" ref="J263" si="56">IF(R263=0,"上  溢："&amp;S263,IF(Q263=0,"任  泰："&amp;R263&amp;"                 "&amp;"上  溢："&amp;S263,
"水利處："&amp;Q263&amp;"                 "&amp;"任  泰："&amp;R263&amp;"                 "&amp;"上  溢："&amp;S263))</f>
        <v>上  溢：康祐銓</v>
      </c>
      <c r="K263" s="124" t="s">
        <v>211</v>
      </c>
      <c r="L263" s="188">
        <f>L261+1</f>
        <v>111</v>
      </c>
      <c r="M263" s="128">
        <f>VLOOKUP(L263,'210'!A:T,5,0)</f>
        <v>16</v>
      </c>
      <c r="N263" s="128">
        <f>N261+M263</f>
        <v>4533</v>
      </c>
      <c r="O263" s="128">
        <f>VLOOKUP(L263,'210'!A:T,6,0)</f>
        <v>0</v>
      </c>
      <c r="P263" s="128">
        <f>P261+O263</f>
        <v>62</v>
      </c>
      <c r="Q263" s="128">
        <f>VLOOKUP(L263,'210'!A:T,18,0)</f>
        <v>0</v>
      </c>
      <c r="R263" s="128">
        <f>VLOOKUP(L263,'210'!A:T,19,0)</f>
        <v>0</v>
      </c>
      <c r="S263" s="128" t="str">
        <f>VLOOKUP(L263,'210'!A:T,20,0)</f>
        <v>康祐銓</v>
      </c>
      <c r="T263" s="137"/>
      <c r="U263" s="137"/>
      <c r="V263" s="137"/>
      <c r="W263" s="137"/>
      <c r="X263" s="137"/>
      <c r="Y263" s="137"/>
      <c r="Z263" s="137"/>
      <c r="AA263" s="137"/>
    </row>
    <row r="264" spans="1:27" s="138" customFormat="1" ht="51.95" customHeight="1">
      <c r="A264" s="294"/>
      <c r="B264" s="185" t="s">
        <v>71</v>
      </c>
      <c r="C264" s="296"/>
      <c r="D264" s="116" t="str">
        <f>M263&amp;M264</f>
        <v>16 M3</v>
      </c>
      <c r="E264" s="272"/>
      <c r="F264" s="117" t="str">
        <f>E263&amp;CHAR(10)&amp;"("&amp;O263&amp;O264&amp;")"</f>
        <v>16 M3
(0組)</v>
      </c>
      <c r="G264" s="297"/>
      <c r="H264" s="184" t="str">
        <f>H263&amp;CHAR(10)&amp;"("&amp;P263&amp;O264&amp;")"</f>
        <v>4533 M3
(62組)</v>
      </c>
      <c r="I264" s="279"/>
      <c r="J264" s="292"/>
      <c r="K264" s="124" t="s">
        <v>1796</v>
      </c>
      <c r="L264" s="127"/>
      <c r="M264" s="127" t="s">
        <v>201</v>
      </c>
      <c r="N264" s="128"/>
      <c r="O264" s="128" t="s">
        <v>204</v>
      </c>
      <c r="P264" s="128"/>
      <c r="Q264" s="128"/>
      <c r="R264" s="128"/>
      <c r="S264" s="128"/>
      <c r="T264" s="137"/>
      <c r="U264" s="137"/>
      <c r="V264" s="137"/>
      <c r="W264" s="137"/>
      <c r="X264" s="137"/>
      <c r="Y264" s="137"/>
      <c r="Z264" s="137"/>
      <c r="AA264" s="137"/>
    </row>
    <row r="265" spans="1:27" s="138" customFormat="1" ht="51.95" customHeight="1">
      <c r="A265" s="293" t="str">
        <f>"1-210 -"&amp;L265</f>
        <v>1-210 -112</v>
      </c>
      <c r="B265" s="187" t="s">
        <v>1193</v>
      </c>
      <c r="C265" s="295" t="s">
        <v>1528</v>
      </c>
      <c r="D265" s="115">
        <f>VLOOKUP(L265,'210'!A:T,2,0)</f>
        <v>46013</v>
      </c>
      <c r="E265" s="271" t="str">
        <f>M265&amp;M266</f>
        <v>53 M3</v>
      </c>
      <c r="F265" s="115">
        <f>D265</f>
        <v>46013</v>
      </c>
      <c r="G265" s="297"/>
      <c r="H265" s="184" t="str">
        <f>N265&amp;M266</f>
        <v>4586 M3</v>
      </c>
      <c r="I265" s="278" t="s">
        <v>48</v>
      </c>
      <c r="J265" s="291" t="str">
        <f t="shared" ref="J265" si="57">IF(R265=0,"上  溢："&amp;S265,IF(Q265=0,"任  泰："&amp;R265&amp;"                 "&amp;"上  溢："&amp;S265,
"水利處："&amp;Q265&amp;"                 "&amp;"任  泰："&amp;R265&amp;"                 "&amp;"上  溢："&amp;S265))</f>
        <v>任  泰：陳勇智                 上  溢：康祐銓</v>
      </c>
      <c r="K265" s="264" t="s">
        <v>1888</v>
      </c>
      <c r="L265" s="188">
        <f>L263+1</f>
        <v>112</v>
      </c>
      <c r="M265" s="128">
        <f>VLOOKUP(L265,'210'!A:T,5,0)</f>
        <v>53</v>
      </c>
      <c r="N265" s="128">
        <f>N263+M265</f>
        <v>4586</v>
      </c>
      <c r="O265" s="128">
        <f>VLOOKUP(L265,'210'!A:T,6,0)</f>
        <v>1</v>
      </c>
      <c r="P265" s="128">
        <f>P263+O265</f>
        <v>63</v>
      </c>
      <c r="Q265" s="128">
        <f>VLOOKUP(L265,'210'!A:T,18,0)</f>
        <v>0</v>
      </c>
      <c r="R265" s="128" t="str">
        <f>VLOOKUP(L265,'210'!A:T,19,0)</f>
        <v>陳勇智</v>
      </c>
      <c r="S265" s="128" t="str">
        <f>VLOOKUP(L265,'210'!A:T,20,0)</f>
        <v>康祐銓</v>
      </c>
      <c r="T265" s="137"/>
      <c r="U265" s="137"/>
      <c r="V265" s="137"/>
      <c r="W265" s="137"/>
      <c r="X265" s="137"/>
      <c r="Y265" s="137"/>
      <c r="Z265" s="137"/>
      <c r="AA265" s="137"/>
    </row>
    <row r="266" spans="1:27" s="138" customFormat="1" ht="51.95" customHeight="1">
      <c r="A266" s="294"/>
      <c r="B266" s="185" t="s">
        <v>71</v>
      </c>
      <c r="C266" s="296"/>
      <c r="D266" s="116" t="str">
        <f>M265&amp;M266</f>
        <v>53 M3</v>
      </c>
      <c r="E266" s="272"/>
      <c r="F266" s="117" t="str">
        <f>E265&amp;CHAR(10)&amp;"("&amp;O265&amp;O266&amp;")"</f>
        <v>53 M3
(1組)</v>
      </c>
      <c r="G266" s="297"/>
      <c r="H266" s="184" t="str">
        <f>H265&amp;CHAR(10)&amp;"("&amp;P265&amp;O266&amp;")"</f>
        <v>4586 M3
(63組)</v>
      </c>
      <c r="I266" s="279"/>
      <c r="J266" s="292"/>
      <c r="K266" s="265"/>
      <c r="L266" s="127"/>
      <c r="M266" s="127" t="s">
        <v>201</v>
      </c>
      <c r="N266" s="128"/>
      <c r="O266" s="128" t="s">
        <v>204</v>
      </c>
      <c r="P266" s="128"/>
      <c r="Q266" s="128"/>
      <c r="R266" s="128"/>
      <c r="S266" s="128"/>
      <c r="T266" s="137"/>
      <c r="U266" s="137"/>
      <c r="V266" s="137"/>
      <c r="W266" s="137"/>
      <c r="X266" s="137"/>
      <c r="Y266" s="137"/>
      <c r="Z266" s="137"/>
      <c r="AA266" s="137"/>
    </row>
    <row r="267" spans="1:27" s="138" customFormat="1" ht="51.95" customHeight="1">
      <c r="A267" s="293" t="str">
        <f>"1-210 -"&amp;L267</f>
        <v>1-210 -113</v>
      </c>
      <c r="B267" s="187" t="s">
        <v>1193</v>
      </c>
      <c r="C267" s="295" t="s">
        <v>1528</v>
      </c>
      <c r="D267" s="115">
        <f>VLOOKUP(L267,'210'!A:T,2,0)</f>
        <v>46016</v>
      </c>
      <c r="E267" s="271" t="str">
        <f>M267&amp;M268</f>
        <v>15 M3</v>
      </c>
      <c r="F267" s="115">
        <f>D267</f>
        <v>46016</v>
      </c>
      <c r="G267" s="297"/>
      <c r="H267" s="184" t="str">
        <f>N267&amp;M268</f>
        <v>4601 M3</v>
      </c>
      <c r="I267" s="278" t="s">
        <v>109</v>
      </c>
      <c r="J267" s="291" t="str">
        <f t="shared" ref="J267" si="58">IF(R267=0,"上  溢："&amp;S267,IF(Q267=0,"任  泰："&amp;R267&amp;"                 "&amp;"上  溢："&amp;S267,
"水利處："&amp;Q267&amp;"                 "&amp;"任  泰："&amp;R267&amp;"                 "&amp;"上  溢："&amp;S267))</f>
        <v>上  溢：康祐銓</v>
      </c>
      <c r="K267" s="124" t="s">
        <v>211</v>
      </c>
      <c r="L267" s="188">
        <f>L265+1</f>
        <v>113</v>
      </c>
      <c r="M267" s="128">
        <f>VLOOKUP(L267,'210'!A:T,5,0)</f>
        <v>15</v>
      </c>
      <c r="N267" s="128">
        <f>N265+M267</f>
        <v>4601</v>
      </c>
      <c r="O267" s="128">
        <f>VLOOKUP(L267,'210'!A:T,6,0)</f>
        <v>0</v>
      </c>
      <c r="P267" s="128">
        <f>P265+O267</f>
        <v>63</v>
      </c>
      <c r="Q267" s="128">
        <f>VLOOKUP(L267,'210'!A:T,18,0)</f>
        <v>0</v>
      </c>
      <c r="R267" s="128">
        <f>VLOOKUP(L267,'210'!A:T,19,0)</f>
        <v>0</v>
      </c>
      <c r="S267" s="128" t="str">
        <f>VLOOKUP(L267,'210'!A:T,20,0)</f>
        <v>康祐銓</v>
      </c>
      <c r="T267" s="137"/>
      <c r="U267" s="137"/>
      <c r="V267" s="137"/>
      <c r="W267" s="137"/>
      <c r="X267" s="137"/>
      <c r="Y267" s="137"/>
      <c r="Z267" s="137"/>
      <c r="AA267" s="137"/>
    </row>
    <row r="268" spans="1:27" s="138" customFormat="1" ht="51.95" customHeight="1">
      <c r="A268" s="294"/>
      <c r="B268" s="185" t="s">
        <v>71</v>
      </c>
      <c r="C268" s="296"/>
      <c r="D268" s="116" t="str">
        <f>M267&amp;M268</f>
        <v>15 M3</v>
      </c>
      <c r="E268" s="272"/>
      <c r="F268" s="117" t="str">
        <f>E267&amp;CHAR(10)&amp;"("&amp;O267&amp;O268&amp;")"</f>
        <v>15 M3
(0組)</v>
      </c>
      <c r="G268" s="297"/>
      <c r="H268" s="184" t="str">
        <f>H267&amp;CHAR(10)&amp;"("&amp;P267&amp;O268&amp;")"</f>
        <v>4601 M3
(63組)</v>
      </c>
      <c r="I268" s="279"/>
      <c r="J268" s="292"/>
      <c r="K268" s="124" t="s">
        <v>1807</v>
      </c>
      <c r="L268" s="127"/>
      <c r="M268" s="127" t="s">
        <v>201</v>
      </c>
      <c r="N268" s="128"/>
      <c r="O268" s="128" t="s">
        <v>204</v>
      </c>
      <c r="P268" s="128"/>
      <c r="Q268" s="128"/>
      <c r="R268" s="128"/>
      <c r="S268" s="128"/>
      <c r="T268" s="137"/>
      <c r="U268" s="137"/>
      <c r="V268" s="137"/>
      <c r="W268" s="137"/>
      <c r="X268" s="137"/>
      <c r="Y268" s="137"/>
      <c r="Z268" s="137"/>
      <c r="AA268" s="137"/>
    </row>
    <row r="269" spans="1:27" s="138" customFormat="1" ht="51.95" customHeight="1">
      <c r="A269" s="293" t="str">
        <f>"1-210 -"&amp;L269</f>
        <v>1-210 -114</v>
      </c>
      <c r="B269" s="187" t="s">
        <v>1193</v>
      </c>
      <c r="C269" s="295" t="s">
        <v>1528</v>
      </c>
      <c r="D269" s="115">
        <f>VLOOKUP(L269,'210'!A:T,2,0)</f>
        <v>46020</v>
      </c>
      <c r="E269" s="271" t="str">
        <f>M269&amp;M270</f>
        <v>14 M3</v>
      </c>
      <c r="F269" s="115">
        <f>D269</f>
        <v>46020</v>
      </c>
      <c r="G269" s="297"/>
      <c r="H269" s="184" t="str">
        <f>N269&amp;M270</f>
        <v>4615 M3</v>
      </c>
      <c r="I269" s="278" t="s">
        <v>109</v>
      </c>
      <c r="J269" s="291" t="str">
        <f t="shared" ref="J269" si="59">IF(R269=0,"上  溢："&amp;S269,IF(Q269=0,"任  泰："&amp;R269&amp;"                 "&amp;"上  溢："&amp;S269,
"水利處："&amp;Q269&amp;"                 "&amp;"任  泰："&amp;R269&amp;"                 "&amp;"上  溢："&amp;S269))</f>
        <v>上  溢：康祐銓</v>
      </c>
      <c r="K269" s="124" t="s">
        <v>211</v>
      </c>
      <c r="L269" s="188">
        <f>L267+1</f>
        <v>114</v>
      </c>
      <c r="M269" s="128">
        <f>VLOOKUP(L269,'210'!A:T,5,0)</f>
        <v>14</v>
      </c>
      <c r="N269" s="128">
        <f>N267+M269</f>
        <v>4615</v>
      </c>
      <c r="O269" s="128">
        <f>VLOOKUP(L269,'210'!A:T,6,0)</f>
        <v>0</v>
      </c>
      <c r="P269" s="128">
        <f>P267+O269</f>
        <v>63</v>
      </c>
      <c r="Q269" s="128">
        <f>VLOOKUP(L269,'210'!A:T,18,0)</f>
        <v>0</v>
      </c>
      <c r="R269" s="128">
        <f>VLOOKUP(L269,'210'!A:T,19,0)</f>
        <v>0</v>
      </c>
      <c r="S269" s="128" t="str">
        <f>VLOOKUP(L269,'210'!A:T,20,0)</f>
        <v>康祐銓</v>
      </c>
      <c r="T269" s="137"/>
      <c r="U269" s="137"/>
      <c r="V269" s="137"/>
      <c r="W269" s="137"/>
      <c r="X269" s="137"/>
      <c r="Y269" s="137"/>
      <c r="Z269" s="137"/>
      <c r="AA269" s="137"/>
    </row>
    <row r="270" spans="1:27" s="138" customFormat="1" ht="51.95" customHeight="1">
      <c r="A270" s="294"/>
      <c r="B270" s="185" t="s">
        <v>71</v>
      </c>
      <c r="C270" s="296"/>
      <c r="D270" s="116" t="str">
        <f>M269&amp;M270</f>
        <v>14 M3</v>
      </c>
      <c r="E270" s="272"/>
      <c r="F270" s="117" t="str">
        <f>E269&amp;CHAR(10)&amp;"("&amp;O269&amp;O270&amp;")"</f>
        <v>14 M3
(0組)</v>
      </c>
      <c r="G270" s="297"/>
      <c r="H270" s="184" t="str">
        <f>H269&amp;CHAR(10)&amp;"("&amp;P269&amp;O270&amp;")"</f>
        <v>4615 M3
(63組)</v>
      </c>
      <c r="I270" s="279"/>
      <c r="J270" s="292"/>
      <c r="K270" s="124" t="s">
        <v>1806</v>
      </c>
      <c r="L270" s="127"/>
      <c r="M270" s="127" t="s">
        <v>201</v>
      </c>
      <c r="N270" s="128"/>
      <c r="O270" s="128" t="s">
        <v>204</v>
      </c>
      <c r="P270" s="128"/>
      <c r="Q270" s="128"/>
      <c r="R270" s="128"/>
      <c r="S270" s="128"/>
      <c r="T270" s="137"/>
      <c r="U270" s="137"/>
      <c r="V270" s="137"/>
      <c r="W270" s="137"/>
      <c r="X270" s="137"/>
      <c r="Y270" s="137"/>
      <c r="Z270" s="137"/>
      <c r="AA270" s="137"/>
    </row>
    <row r="271" spans="1:27" s="142" customFormat="1" ht="49.5" customHeight="1">
      <c r="A271" s="260" t="s">
        <v>47</v>
      </c>
      <c r="B271" s="261"/>
      <c r="C271" s="262"/>
      <c r="D271" s="260" t="s">
        <v>1753</v>
      </c>
      <c r="E271" s="261"/>
      <c r="F271" s="261"/>
      <c r="G271" s="262"/>
      <c r="H271" s="260" t="s">
        <v>1755</v>
      </c>
      <c r="I271" s="261"/>
      <c r="J271" s="261"/>
      <c r="K271" s="262"/>
      <c r="M271" s="143"/>
      <c r="N271" s="143"/>
      <c r="O271" s="143"/>
      <c r="P271" s="143"/>
      <c r="Q271" s="143"/>
      <c r="R271" s="143"/>
      <c r="S271" s="143"/>
      <c r="T271" s="143"/>
      <c r="U271" s="143"/>
      <c r="V271" s="143"/>
      <c r="W271" s="143"/>
      <c r="X271" s="143"/>
      <c r="Y271" s="143"/>
      <c r="Z271" s="143"/>
      <c r="AA271" s="143"/>
    </row>
    <row r="272" spans="1:27" s="142" customFormat="1" ht="54" customHeight="1">
      <c r="A272" s="263" t="s">
        <v>1147</v>
      </c>
      <c r="B272" s="263"/>
      <c r="C272" s="263"/>
      <c r="D272" s="263"/>
      <c r="E272" s="263"/>
      <c r="F272" s="263"/>
      <c r="G272" s="263"/>
      <c r="H272" s="263"/>
      <c r="I272" s="263"/>
      <c r="J272" s="263"/>
      <c r="K272" s="263"/>
      <c r="M272" s="143"/>
      <c r="N272" s="143"/>
      <c r="O272" s="143"/>
      <c r="P272" s="143"/>
      <c r="Q272" s="143"/>
      <c r="R272" s="143"/>
      <c r="S272" s="143"/>
      <c r="T272" s="143"/>
      <c r="U272" s="143"/>
      <c r="V272" s="143"/>
      <c r="W272" s="143"/>
      <c r="X272" s="143"/>
      <c r="Y272" s="143"/>
      <c r="Z272" s="143"/>
      <c r="AA272" s="143"/>
    </row>
    <row r="273" spans="1:27" s="138" customFormat="1" ht="51.95" customHeight="1">
      <c r="A273" s="293" t="str">
        <f>"1-210 -"&amp;L273</f>
        <v>1-210 -115</v>
      </c>
      <c r="B273" s="187" t="s">
        <v>1193</v>
      </c>
      <c r="C273" s="295" t="s">
        <v>1528</v>
      </c>
      <c r="D273" s="115">
        <f>VLOOKUP(L273,'210'!A:T,2,0)</f>
        <v>46027</v>
      </c>
      <c r="E273" s="271" t="str">
        <f>M273&amp;M274</f>
        <v>12 M3</v>
      </c>
      <c r="F273" s="115">
        <f>D273</f>
        <v>46027</v>
      </c>
      <c r="G273" s="297" t="s">
        <v>145</v>
      </c>
      <c r="H273" s="184" t="str">
        <f>N273&amp;M274</f>
        <v>4627 M3</v>
      </c>
      <c r="I273" s="278" t="s">
        <v>109</v>
      </c>
      <c r="J273" s="291" t="str">
        <f t="shared" ref="J273" si="60">IF(R273=0,"上  溢："&amp;S273,IF(Q273=0,"任  泰："&amp;R273&amp;"                 "&amp;"上  溢："&amp;S273,
"水利處："&amp;Q273&amp;"                 "&amp;"任  泰："&amp;R273&amp;"                 "&amp;"上  溢："&amp;S273))</f>
        <v>上  溢：康祐銓</v>
      </c>
      <c r="K273" s="124" t="s">
        <v>211</v>
      </c>
      <c r="L273" s="188">
        <f>L269+1</f>
        <v>115</v>
      </c>
      <c r="M273" s="128">
        <f>VLOOKUP(L273,'210'!A:T,5,0)</f>
        <v>12</v>
      </c>
      <c r="N273" s="128">
        <f>N269+M273</f>
        <v>4627</v>
      </c>
      <c r="O273" s="128">
        <f>VLOOKUP(L273,'210'!A:T,6,0)</f>
        <v>0</v>
      </c>
      <c r="P273" s="128">
        <f>P269+O273</f>
        <v>63</v>
      </c>
      <c r="Q273" s="128">
        <f>VLOOKUP(L273,'210'!A:T,18,0)</f>
        <v>0</v>
      </c>
      <c r="R273" s="128">
        <f>VLOOKUP(L273,'210'!A:T,19,0)</f>
        <v>0</v>
      </c>
      <c r="S273" s="128" t="str">
        <f>VLOOKUP(L273,'210'!A:T,20,0)</f>
        <v>康祐銓</v>
      </c>
      <c r="T273" s="137"/>
      <c r="U273" s="137"/>
      <c r="V273" s="137"/>
      <c r="W273" s="137"/>
      <c r="X273" s="137"/>
      <c r="Y273" s="137"/>
      <c r="Z273" s="137"/>
      <c r="AA273" s="137"/>
    </row>
    <row r="274" spans="1:27" s="138" customFormat="1" ht="51.95" customHeight="1">
      <c r="A274" s="294"/>
      <c r="B274" s="185" t="s">
        <v>71</v>
      </c>
      <c r="C274" s="296"/>
      <c r="D274" s="116" t="str">
        <f>M273&amp;M274</f>
        <v>12 M3</v>
      </c>
      <c r="E274" s="272"/>
      <c r="F274" s="117" t="str">
        <f>E273&amp;CHAR(10)&amp;"("&amp;O273&amp;O274&amp;")"</f>
        <v>12 M3
(0組)</v>
      </c>
      <c r="G274" s="297"/>
      <c r="H274" s="184" t="str">
        <f>H273&amp;CHAR(10)&amp;"("&amp;P273&amp;O274&amp;")"</f>
        <v>4627 M3
(63組)</v>
      </c>
      <c r="I274" s="279"/>
      <c r="J274" s="292"/>
      <c r="K274" s="124" t="s">
        <v>1914</v>
      </c>
      <c r="L274" s="127"/>
      <c r="M274" s="127" t="s">
        <v>201</v>
      </c>
      <c r="N274" s="128"/>
      <c r="O274" s="128" t="s">
        <v>204</v>
      </c>
      <c r="P274" s="128"/>
      <c r="Q274" s="128"/>
      <c r="R274" s="128"/>
      <c r="S274" s="128"/>
      <c r="T274" s="137"/>
      <c r="U274" s="137"/>
      <c r="V274" s="137"/>
      <c r="W274" s="137"/>
      <c r="X274" s="137"/>
      <c r="Y274" s="137"/>
      <c r="Z274" s="137"/>
      <c r="AA274" s="137"/>
    </row>
    <row r="275" spans="1:27" s="138" customFormat="1" ht="51.95" customHeight="1">
      <c r="A275" s="293" t="str">
        <f>"1-210 -"&amp;L275</f>
        <v>1-210 -116</v>
      </c>
      <c r="B275" s="187" t="s">
        <v>1193</v>
      </c>
      <c r="C275" s="295" t="s">
        <v>1528</v>
      </c>
      <c r="D275" s="115">
        <f>VLOOKUP(L275,'210'!A:T,2,0)</f>
        <v>46046</v>
      </c>
      <c r="E275" s="271" t="str">
        <f>M275&amp;M276</f>
        <v>50 M3</v>
      </c>
      <c r="F275" s="115">
        <f>D275</f>
        <v>46046</v>
      </c>
      <c r="G275" s="297"/>
      <c r="H275" s="184" t="str">
        <f>N275&amp;M276</f>
        <v>4677 M3</v>
      </c>
      <c r="I275" s="278" t="s">
        <v>48</v>
      </c>
      <c r="J275" s="291" t="str">
        <f t="shared" ref="J275" si="61">IF(R275=0,"上  溢："&amp;S275,IF(Q275=0,"任  泰："&amp;R275&amp;"                 "&amp;"上  溢："&amp;S275,
"水利處："&amp;Q275&amp;"                 "&amp;"任  泰："&amp;R275&amp;"                 "&amp;"上  溢："&amp;S275))</f>
        <v>任  泰：陳勇智                 上  溢：康祐銓</v>
      </c>
      <c r="K275" s="264" t="s">
        <v>1927</v>
      </c>
      <c r="L275" s="188">
        <f>L273+1</f>
        <v>116</v>
      </c>
      <c r="M275" s="128">
        <f>VLOOKUP(L275,'210'!A:T,5,0)</f>
        <v>50</v>
      </c>
      <c r="N275" s="128">
        <f>N273+M275</f>
        <v>4677</v>
      </c>
      <c r="O275" s="128">
        <f>VLOOKUP(L275,'210'!A:T,6,0)</f>
        <v>1</v>
      </c>
      <c r="P275" s="128">
        <f>P273+O275</f>
        <v>64</v>
      </c>
      <c r="Q275" s="128">
        <f>VLOOKUP(L275,'210'!A:T,18,0)</f>
        <v>0</v>
      </c>
      <c r="R275" s="128" t="str">
        <f>VLOOKUP(L275,'210'!A:T,19,0)</f>
        <v>陳勇智</v>
      </c>
      <c r="S275" s="128" t="str">
        <f>VLOOKUP(L275,'210'!A:T,20,0)</f>
        <v>康祐銓</v>
      </c>
      <c r="T275" s="137"/>
      <c r="U275" s="137"/>
      <c r="V275" s="137"/>
      <c r="W275" s="137"/>
      <c r="X275" s="137"/>
      <c r="Y275" s="137"/>
      <c r="Z275" s="137"/>
      <c r="AA275" s="137"/>
    </row>
    <row r="276" spans="1:27" s="138" customFormat="1" ht="51.95" customHeight="1">
      <c r="A276" s="294"/>
      <c r="B276" s="185" t="s">
        <v>71</v>
      </c>
      <c r="C276" s="296"/>
      <c r="D276" s="116" t="str">
        <f>M275&amp;M276</f>
        <v>50 M3</v>
      </c>
      <c r="E276" s="272"/>
      <c r="F276" s="117" t="str">
        <f>E275&amp;CHAR(10)&amp;"("&amp;O275&amp;O276&amp;")"</f>
        <v>50 M3
(1組)</v>
      </c>
      <c r="G276" s="297"/>
      <c r="H276" s="184" t="str">
        <f>H275&amp;CHAR(10)&amp;"("&amp;P275&amp;O276&amp;")"</f>
        <v>4677 M3
(64組)</v>
      </c>
      <c r="I276" s="279"/>
      <c r="J276" s="292"/>
      <c r="K276" s="265"/>
      <c r="L276" s="127"/>
      <c r="M276" s="127" t="s">
        <v>201</v>
      </c>
      <c r="N276" s="128"/>
      <c r="O276" s="128" t="s">
        <v>204</v>
      </c>
      <c r="P276" s="128"/>
      <c r="Q276" s="128"/>
      <c r="R276" s="128"/>
      <c r="S276" s="128"/>
      <c r="T276" s="137"/>
      <c r="U276" s="137"/>
      <c r="V276" s="137"/>
      <c r="W276" s="137"/>
      <c r="X276" s="137"/>
      <c r="Y276" s="137"/>
      <c r="Z276" s="137"/>
      <c r="AA276" s="137"/>
    </row>
    <row r="277" spans="1:27" s="138" customFormat="1" ht="51.95" customHeight="1">
      <c r="A277" s="293"/>
      <c r="B277" s="187"/>
      <c r="C277" s="295"/>
      <c r="D277" s="115"/>
      <c r="E277" s="271"/>
      <c r="F277" s="115"/>
      <c r="G277" s="297"/>
      <c r="H277" s="184"/>
      <c r="I277" s="278"/>
      <c r="J277" s="291"/>
      <c r="K277" s="124"/>
      <c r="L277" s="188">
        <f>L275+1</f>
        <v>117</v>
      </c>
      <c r="M277" s="128" t="e">
        <f>VLOOKUP(L277,'210'!A:T,5,0)</f>
        <v>#N/A</v>
      </c>
      <c r="N277" s="128" t="e">
        <f>N275+M277</f>
        <v>#N/A</v>
      </c>
      <c r="O277" s="128" t="e">
        <f>VLOOKUP(L277,'210'!A:T,6,0)</f>
        <v>#N/A</v>
      </c>
      <c r="P277" s="128" t="e">
        <f>P275+O277</f>
        <v>#N/A</v>
      </c>
      <c r="Q277" s="128" t="e">
        <f>VLOOKUP(L277,'210'!A:T,18,0)</f>
        <v>#N/A</v>
      </c>
      <c r="R277" s="128" t="e">
        <f>VLOOKUP(L277,'210'!A:T,19,0)</f>
        <v>#N/A</v>
      </c>
      <c r="S277" s="128" t="e">
        <f>VLOOKUP(L277,'210'!A:T,20,0)</f>
        <v>#N/A</v>
      </c>
      <c r="T277" s="137"/>
      <c r="U277" s="137"/>
      <c r="V277" s="137"/>
      <c r="W277" s="137"/>
      <c r="X277" s="137"/>
      <c r="Y277" s="137"/>
      <c r="Z277" s="137"/>
      <c r="AA277" s="137"/>
    </row>
    <row r="278" spans="1:27" s="138" customFormat="1" ht="51.95" customHeight="1">
      <c r="A278" s="294"/>
      <c r="B278" s="185"/>
      <c r="C278" s="296"/>
      <c r="D278" s="116"/>
      <c r="E278" s="272"/>
      <c r="F278" s="117"/>
      <c r="G278" s="297"/>
      <c r="H278" s="184"/>
      <c r="I278" s="279"/>
      <c r="J278" s="292"/>
      <c r="K278" s="124"/>
      <c r="L278" s="127"/>
      <c r="M278" s="127" t="s">
        <v>201</v>
      </c>
      <c r="N278" s="128"/>
      <c r="O278" s="128" t="s">
        <v>204</v>
      </c>
      <c r="P278" s="128"/>
      <c r="Q278" s="128"/>
      <c r="R278" s="128"/>
      <c r="S278" s="128"/>
      <c r="T278" s="137"/>
      <c r="U278" s="137"/>
      <c r="V278" s="137"/>
      <c r="W278" s="137"/>
      <c r="X278" s="137"/>
      <c r="Y278" s="137"/>
      <c r="Z278" s="137"/>
      <c r="AA278" s="137"/>
    </row>
    <row r="279" spans="1:27" s="138" customFormat="1" ht="51.95" customHeight="1">
      <c r="A279" s="293"/>
      <c r="B279" s="187"/>
      <c r="C279" s="295"/>
      <c r="D279" s="115"/>
      <c r="E279" s="271"/>
      <c r="F279" s="115"/>
      <c r="G279" s="297"/>
      <c r="H279" s="184"/>
      <c r="I279" s="278"/>
      <c r="J279" s="291"/>
      <c r="K279" s="264"/>
      <c r="L279" s="188">
        <f>L277+1</f>
        <v>118</v>
      </c>
      <c r="M279" s="128" t="e">
        <f>VLOOKUP(L279,'210'!A:T,5,0)</f>
        <v>#N/A</v>
      </c>
      <c r="N279" s="128" t="e">
        <f>N277+M279</f>
        <v>#N/A</v>
      </c>
      <c r="O279" s="128" t="e">
        <f>VLOOKUP(L279,'210'!A:T,6,0)</f>
        <v>#N/A</v>
      </c>
      <c r="P279" s="128" t="e">
        <f>P277+O279</f>
        <v>#N/A</v>
      </c>
      <c r="Q279" s="128" t="e">
        <f>VLOOKUP(L279,'210'!A:T,18,0)</f>
        <v>#N/A</v>
      </c>
      <c r="R279" s="128" t="e">
        <f>VLOOKUP(L279,'210'!A:T,19,0)</f>
        <v>#N/A</v>
      </c>
      <c r="S279" s="128" t="e">
        <f>VLOOKUP(L279,'210'!A:T,20,0)</f>
        <v>#N/A</v>
      </c>
      <c r="T279" s="137"/>
      <c r="U279" s="137"/>
      <c r="V279" s="137"/>
      <c r="W279" s="137"/>
      <c r="X279" s="137"/>
      <c r="Y279" s="137"/>
      <c r="Z279" s="137"/>
      <c r="AA279" s="137"/>
    </row>
    <row r="280" spans="1:27" s="138" customFormat="1" ht="51.95" customHeight="1">
      <c r="A280" s="294"/>
      <c r="B280" s="185"/>
      <c r="C280" s="296"/>
      <c r="D280" s="116"/>
      <c r="E280" s="272"/>
      <c r="F280" s="117"/>
      <c r="G280" s="297"/>
      <c r="H280" s="184"/>
      <c r="I280" s="279"/>
      <c r="J280" s="292"/>
      <c r="K280" s="265"/>
      <c r="L280" s="127"/>
      <c r="M280" s="127" t="s">
        <v>201</v>
      </c>
      <c r="N280" s="128"/>
      <c r="O280" s="128" t="s">
        <v>204</v>
      </c>
      <c r="P280" s="128"/>
      <c r="Q280" s="128"/>
      <c r="R280" s="128"/>
      <c r="S280" s="128"/>
      <c r="T280" s="137"/>
      <c r="U280" s="137"/>
      <c r="V280" s="137"/>
      <c r="W280" s="137"/>
      <c r="X280" s="137"/>
      <c r="Y280" s="137"/>
      <c r="Z280" s="137"/>
      <c r="AA280" s="137"/>
    </row>
    <row r="281" spans="1:27" s="138" customFormat="1" ht="51.95" customHeight="1">
      <c r="A281" s="293"/>
      <c r="B281" s="187"/>
      <c r="C281" s="295"/>
      <c r="D281" s="115"/>
      <c r="E281" s="271"/>
      <c r="F281" s="115"/>
      <c r="G281" s="297"/>
      <c r="H281" s="184"/>
      <c r="I281" s="278"/>
      <c r="J281" s="291"/>
      <c r="K281" s="124"/>
      <c r="L281" s="188">
        <f>L279+1</f>
        <v>119</v>
      </c>
      <c r="M281" s="128" t="e">
        <f>VLOOKUP(L281,'210'!A:T,5,0)</f>
        <v>#N/A</v>
      </c>
      <c r="N281" s="128" t="e">
        <f>N279+M281</f>
        <v>#N/A</v>
      </c>
      <c r="O281" s="128" t="e">
        <f>VLOOKUP(L281,'210'!A:T,6,0)</f>
        <v>#N/A</v>
      </c>
      <c r="P281" s="128" t="e">
        <f>P279+O281</f>
        <v>#N/A</v>
      </c>
      <c r="Q281" s="128" t="e">
        <f>VLOOKUP(L281,'210'!A:T,18,0)</f>
        <v>#N/A</v>
      </c>
      <c r="R281" s="128" t="e">
        <f>VLOOKUP(L281,'210'!A:T,19,0)</f>
        <v>#N/A</v>
      </c>
      <c r="S281" s="128" t="e">
        <f>VLOOKUP(L281,'210'!A:T,20,0)</f>
        <v>#N/A</v>
      </c>
      <c r="T281" s="137"/>
      <c r="U281" s="137"/>
      <c r="V281" s="137"/>
      <c r="W281" s="137"/>
      <c r="X281" s="137"/>
      <c r="Y281" s="137"/>
      <c r="Z281" s="137"/>
      <c r="AA281" s="137"/>
    </row>
    <row r="282" spans="1:27" s="138" customFormat="1" ht="51.95" customHeight="1">
      <c r="A282" s="294"/>
      <c r="B282" s="185"/>
      <c r="C282" s="296"/>
      <c r="D282" s="116"/>
      <c r="E282" s="272"/>
      <c r="F282" s="117"/>
      <c r="G282" s="297"/>
      <c r="H282" s="184"/>
      <c r="I282" s="279"/>
      <c r="J282" s="292"/>
      <c r="K282" s="124"/>
      <c r="L282" s="127"/>
      <c r="M282" s="127" t="s">
        <v>201</v>
      </c>
      <c r="N282" s="128"/>
      <c r="O282" s="128" t="s">
        <v>204</v>
      </c>
      <c r="P282" s="128"/>
      <c r="Q282" s="128"/>
      <c r="R282" s="128"/>
      <c r="S282" s="128"/>
      <c r="T282" s="137"/>
      <c r="U282" s="137"/>
      <c r="V282" s="137"/>
      <c r="W282" s="137"/>
      <c r="X282" s="137"/>
      <c r="Y282" s="137"/>
      <c r="Z282" s="137"/>
      <c r="AA282" s="137"/>
    </row>
    <row r="283" spans="1:27" s="138" customFormat="1" ht="51.95" customHeight="1">
      <c r="A283" s="293"/>
      <c r="B283" s="187"/>
      <c r="C283" s="295"/>
      <c r="D283" s="115"/>
      <c r="E283" s="271"/>
      <c r="F283" s="115"/>
      <c r="G283" s="297"/>
      <c r="H283" s="184"/>
      <c r="I283" s="278"/>
      <c r="J283" s="291"/>
      <c r="K283" s="124"/>
      <c r="L283" s="188">
        <f>L281+1</f>
        <v>120</v>
      </c>
      <c r="M283" s="128" t="e">
        <f>VLOOKUP(L283,'210'!A:T,5,0)</f>
        <v>#N/A</v>
      </c>
      <c r="N283" s="128" t="e">
        <f>N281+M283</f>
        <v>#N/A</v>
      </c>
      <c r="O283" s="128" t="e">
        <f>VLOOKUP(L283,'210'!A:T,6,0)</f>
        <v>#N/A</v>
      </c>
      <c r="P283" s="128" t="e">
        <f>P281+O283</f>
        <v>#N/A</v>
      </c>
      <c r="Q283" s="128" t="e">
        <f>VLOOKUP(L283,'210'!A:T,18,0)</f>
        <v>#N/A</v>
      </c>
      <c r="R283" s="128" t="e">
        <f>VLOOKUP(L283,'210'!A:T,19,0)</f>
        <v>#N/A</v>
      </c>
      <c r="S283" s="128" t="e">
        <f>VLOOKUP(L283,'210'!A:T,20,0)</f>
        <v>#N/A</v>
      </c>
      <c r="T283" s="137"/>
      <c r="U283" s="137"/>
      <c r="V283" s="137"/>
      <c r="W283" s="137"/>
      <c r="X283" s="137"/>
      <c r="Y283" s="137"/>
      <c r="Z283" s="137"/>
      <c r="AA283" s="137"/>
    </row>
    <row r="284" spans="1:27" s="138" customFormat="1" ht="51.95" customHeight="1">
      <c r="A284" s="294"/>
      <c r="B284" s="185"/>
      <c r="C284" s="296"/>
      <c r="D284" s="116"/>
      <c r="E284" s="272"/>
      <c r="F284" s="117"/>
      <c r="G284" s="297"/>
      <c r="H284" s="184"/>
      <c r="I284" s="279"/>
      <c r="J284" s="292"/>
      <c r="K284" s="124"/>
      <c r="L284" s="127"/>
      <c r="M284" s="127" t="s">
        <v>201</v>
      </c>
      <c r="N284" s="128"/>
      <c r="O284" s="128" t="s">
        <v>204</v>
      </c>
      <c r="P284" s="128"/>
      <c r="Q284" s="128"/>
      <c r="R284" s="128"/>
      <c r="S284" s="128"/>
      <c r="T284" s="137"/>
      <c r="U284" s="137"/>
      <c r="V284" s="137"/>
      <c r="W284" s="137"/>
      <c r="X284" s="137"/>
      <c r="Y284" s="137"/>
      <c r="Z284" s="137"/>
      <c r="AA284" s="137"/>
    </row>
    <row r="285" spans="1:27" s="142" customFormat="1" ht="49.5" customHeight="1">
      <c r="A285" s="260" t="s">
        <v>47</v>
      </c>
      <c r="B285" s="261"/>
      <c r="C285" s="262"/>
      <c r="D285" s="260" t="s">
        <v>1753</v>
      </c>
      <c r="E285" s="261"/>
      <c r="F285" s="261"/>
      <c r="G285" s="262"/>
      <c r="H285" s="260" t="s">
        <v>1755</v>
      </c>
      <c r="I285" s="261"/>
      <c r="J285" s="261"/>
      <c r="K285" s="262"/>
      <c r="M285" s="143"/>
      <c r="N285" s="143"/>
      <c r="O285" s="143"/>
      <c r="P285" s="143"/>
      <c r="Q285" s="143"/>
      <c r="R285" s="143"/>
      <c r="S285" s="143"/>
      <c r="T285" s="143"/>
      <c r="U285" s="143"/>
      <c r="V285" s="143"/>
      <c r="W285" s="143"/>
      <c r="X285" s="143"/>
      <c r="Y285" s="143"/>
      <c r="Z285" s="143"/>
      <c r="AA285" s="143"/>
    </row>
    <row r="286" spans="1:27" s="142" customFormat="1" ht="54" customHeight="1">
      <c r="A286" s="263" t="s">
        <v>1147</v>
      </c>
      <c r="B286" s="263"/>
      <c r="C286" s="263"/>
      <c r="D286" s="263"/>
      <c r="E286" s="263"/>
      <c r="F286" s="263"/>
      <c r="G286" s="263"/>
      <c r="H286" s="263"/>
      <c r="I286" s="263"/>
      <c r="J286" s="263"/>
      <c r="K286" s="263"/>
      <c r="M286" s="143"/>
      <c r="N286" s="143"/>
      <c r="O286" s="143"/>
      <c r="P286" s="143"/>
      <c r="Q286" s="143"/>
      <c r="R286" s="143"/>
      <c r="S286" s="143"/>
      <c r="T286" s="143"/>
      <c r="U286" s="143"/>
      <c r="V286" s="143"/>
      <c r="W286" s="143"/>
      <c r="X286" s="143"/>
      <c r="Y286" s="143"/>
      <c r="Z286" s="143"/>
      <c r="AA286" s="143"/>
    </row>
    <row r="287" spans="1:27" ht="18" customHeight="1"/>
  </sheetData>
  <mergeCells count="771">
    <mergeCell ref="A285:C285"/>
    <mergeCell ref="D285:G285"/>
    <mergeCell ref="H285:K285"/>
    <mergeCell ref="A286:K286"/>
    <mergeCell ref="K275:K276"/>
    <mergeCell ref="C281:C282"/>
    <mergeCell ref="E281:E282"/>
    <mergeCell ref="I281:I282"/>
    <mergeCell ref="J281:J282"/>
    <mergeCell ref="A283:A284"/>
    <mergeCell ref="C283:C284"/>
    <mergeCell ref="E283:E284"/>
    <mergeCell ref="I283:I284"/>
    <mergeCell ref="J283:J284"/>
    <mergeCell ref="K279:K280"/>
    <mergeCell ref="A273:A274"/>
    <mergeCell ref="C273:C274"/>
    <mergeCell ref="E273:E274"/>
    <mergeCell ref="G273:G284"/>
    <mergeCell ref="I273:I274"/>
    <mergeCell ref="J273:J274"/>
    <mergeCell ref="A275:A276"/>
    <mergeCell ref="C275:C276"/>
    <mergeCell ref="E275:E276"/>
    <mergeCell ref="I275:I276"/>
    <mergeCell ref="J275:J276"/>
    <mergeCell ref="A277:A278"/>
    <mergeCell ref="C277:C278"/>
    <mergeCell ref="E277:E278"/>
    <mergeCell ref="I277:I278"/>
    <mergeCell ref="J277:J278"/>
    <mergeCell ref="A279:A280"/>
    <mergeCell ref="C279:C280"/>
    <mergeCell ref="E279:E280"/>
    <mergeCell ref="I279:I280"/>
    <mergeCell ref="J279:J280"/>
    <mergeCell ref="A281:A282"/>
    <mergeCell ref="A271:C271"/>
    <mergeCell ref="D271:G271"/>
    <mergeCell ref="H271:K271"/>
    <mergeCell ref="A272:K272"/>
    <mergeCell ref="K265:K266"/>
    <mergeCell ref="A267:A268"/>
    <mergeCell ref="C267:C268"/>
    <mergeCell ref="E267:E268"/>
    <mergeCell ref="I267:I268"/>
    <mergeCell ref="J267:J268"/>
    <mergeCell ref="A269:A270"/>
    <mergeCell ref="C269:C270"/>
    <mergeCell ref="E269:E270"/>
    <mergeCell ref="I269:I270"/>
    <mergeCell ref="J269:J270"/>
    <mergeCell ref="A259:A260"/>
    <mergeCell ref="C259:C260"/>
    <mergeCell ref="E259:E260"/>
    <mergeCell ref="G259:G270"/>
    <mergeCell ref="I259:I260"/>
    <mergeCell ref="J259:J260"/>
    <mergeCell ref="K259:K260"/>
    <mergeCell ref="A261:A262"/>
    <mergeCell ref="C261:C262"/>
    <mergeCell ref="E261:E262"/>
    <mergeCell ref="I261:I262"/>
    <mergeCell ref="J261:J262"/>
    <mergeCell ref="A263:A264"/>
    <mergeCell ref="C263:C264"/>
    <mergeCell ref="E263:E264"/>
    <mergeCell ref="I263:I264"/>
    <mergeCell ref="J263:J264"/>
    <mergeCell ref="A265:A266"/>
    <mergeCell ref="C265:C266"/>
    <mergeCell ref="E265:E266"/>
    <mergeCell ref="I265:I266"/>
    <mergeCell ref="J265:J266"/>
    <mergeCell ref="K235:K236"/>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K163:K164"/>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I163:I164"/>
    <mergeCell ref="J163:J164"/>
    <mergeCell ref="A167:A168"/>
    <mergeCell ref="C167:C168"/>
    <mergeCell ref="I167:I168"/>
    <mergeCell ref="J167:J168"/>
    <mergeCell ref="C161:C162"/>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E41:E42"/>
    <mergeCell ref="I41:I42"/>
    <mergeCell ref="C37:C38"/>
    <mergeCell ref="C43:C44"/>
    <mergeCell ref="C45:C46"/>
    <mergeCell ref="J37:J38"/>
    <mergeCell ref="A39:A40"/>
    <mergeCell ref="E39:E40"/>
    <mergeCell ref="C53:C54"/>
    <mergeCell ref="C79:C80"/>
    <mergeCell ref="E79:E80"/>
    <mergeCell ref="I79:I80"/>
    <mergeCell ref="J79:J80"/>
    <mergeCell ref="A83:A84"/>
    <mergeCell ref="C83:C84"/>
    <mergeCell ref="E83:E84"/>
    <mergeCell ref="I83:I84"/>
    <mergeCell ref="J83:J84"/>
    <mergeCell ref="E71:E72"/>
    <mergeCell ref="I71:I72"/>
    <mergeCell ref="J71:J72"/>
    <mergeCell ref="E63:E64"/>
    <mergeCell ref="I67:I68"/>
    <mergeCell ref="J67:J68"/>
    <mergeCell ref="J53:J54"/>
    <mergeCell ref="A59:A60"/>
    <mergeCell ref="A67:A68"/>
    <mergeCell ref="C55:C56"/>
    <mergeCell ref="C67:C68"/>
    <mergeCell ref="C69:C70"/>
    <mergeCell ref="J69:J70"/>
    <mergeCell ref="J161:J162"/>
    <mergeCell ref="E157:E158"/>
    <mergeCell ref="I115:I116"/>
    <mergeCell ref="J115:J116"/>
    <mergeCell ref="A139:A140"/>
    <mergeCell ref="C139:C140"/>
    <mergeCell ref="E139:E140"/>
    <mergeCell ref="I139:I140"/>
    <mergeCell ref="J139:J140"/>
    <mergeCell ref="I141:I142"/>
    <mergeCell ref="G119:G130"/>
    <mergeCell ref="A132:K132"/>
    <mergeCell ref="E125:E126"/>
    <mergeCell ref="I125:I126"/>
    <mergeCell ref="J125:J126"/>
    <mergeCell ref="A125:A126"/>
    <mergeCell ref="C125:C126"/>
    <mergeCell ref="E127:E128"/>
    <mergeCell ref="I127:I128"/>
    <mergeCell ref="I123:I124"/>
    <mergeCell ref="J123:J124"/>
    <mergeCell ref="A127:A128"/>
    <mergeCell ref="C127:C128"/>
    <mergeCell ref="C133:C134"/>
    <mergeCell ref="A118:K118"/>
    <mergeCell ref="A131:C131"/>
    <mergeCell ref="D131:G131"/>
    <mergeCell ref="H131:K131"/>
    <mergeCell ref="A90:K90"/>
    <mergeCell ref="J107:J108"/>
    <mergeCell ref="A103:C103"/>
    <mergeCell ref="C99:C100"/>
    <mergeCell ref="E99:E100"/>
    <mergeCell ref="I99:I100"/>
    <mergeCell ref="I111:I112"/>
    <mergeCell ref="J111:J112"/>
    <mergeCell ref="A113:A114"/>
    <mergeCell ref="C113:C114"/>
    <mergeCell ref="E113:E114"/>
    <mergeCell ref="J113:J114"/>
    <mergeCell ref="I113:I114"/>
    <mergeCell ref="A115:A116"/>
    <mergeCell ref="C115:C116"/>
    <mergeCell ref="E115:E116"/>
    <mergeCell ref="E87:E88"/>
    <mergeCell ref="I87:I88"/>
    <mergeCell ref="E93:E94"/>
    <mergeCell ref="J87:J88"/>
    <mergeCell ref="J105:J106"/>
    <mergeCell ref="A107:A108"/>
    <mergeCell ref="A87:A88"/>
    <mergeCell ref="C105:C106"/>
    <mergeCell ref="E105:E106"/>
    <mergeCell ref="E107:E108"/>
    <mergeCell ref="I107:I108"/>
    <mergeCell ref="I105:I106"/>
    <mergeCell ref="D103:G103"/>
    <mergeCell ref="H103:K103"/>
    <mergeCell ref="I95:I96"/>
    <mergeCell ref="J95:J96"/>
    <mergeCell ref="C107:C108"/>
    <mergeCell ref="A105:A106"/>
    <mergeCell ref="A75:C75"/>
    <mergeCell ref="D75:G75"/>
    <mergeCell ref="I109:I110"/>
    <mergeCell ref="J109:J110"/>
    <mergeCell ref="A76:K76"/>
    <mergeCell ref="A71:A72"/>
    <mergeCell ref="K63:K64"/>
    <mergeCell ref="K65:K66"/>
    <mergeCell ref="I129:I130"/>
    <mergeCell ref="J129:J130"/>
    <mergeCell ref="A123:A124"/>
    <mergeCell ref="C123:C124"/>
    <mergeCell ref="E123:E124"/>
    <mergeCell ref="A85:A86"/>
    <mergeCell ref="C85:C86"/>
    <mergeCell ref="A101:A102"/>
    <mergeCell ref="E85:E86"/>
    <mergeCell ref="C87:C88"/>
    <mergeCell ref="I85:I86"/>
    <mergeCell ref="J85:J86"/>
    <mergeCell ref="A99:A100"/>
    <mergeCell ref="I93:I94"/>
    <mergeCell ref="J93:J94"/>
    <mergeCell ref="A95:A96"/>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93:A94"/>
    <mergeCell ref="C93:C94"/>
    <mergeCell ref="C95:C96"/>
    <mergeCell ref="G77:G88"/>
    <mergeCell ref="E77:E78"/>
    <mergeCell ref="I77:I78"/>
    <mergeCell ref="J77:J78"/>
    <mergeCell ref="J99:J100"/>
    <mergeCell ref="A89:C89"/>
    <mergeCell ref="D89:G89"/>
    <mergeCell ref="H89:K89"/>
    <mergeCell ref="J55:J56"/>
    <mergeCell ref="J59:J60"/>
    <mergeCell ref="E59:E60"/>
    <mergeCell ref="I59:I60"/>
    <mergeCell ref="C59:C60"/>
    <mergeCell ref="G63:G74"/>
    <mergeCell ref="C71:C72"/>
    <mergeCell ref="E69:E70"/>
    <mergeCell ref="I69:I70"/>
    <mergeCell ref="C73:C74"/>
    <mergeCell ref="E73:E74"/>
    <mergeCell ref="I73:I74"/>
    <mergeCell ref="J73:J74"/>
    <mergeCell ref="I55:I56"/>
    <mergeCell ref="C63:C64"/>
    <mergeCell ref="H61:K61"/>
    <mergeCell ref="J57:J58"/>
    <mergeCell ref="K67:K68"/>
    <mergeCell ref="K69:K70"/>
    <mergeCell ref="I63:I64"/>
    <mergeCell ref="D61:G61"/>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I181:I182"/>
    <mergeCell ref="H173:K173"/>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E155:E156"/>
    <mergeCell ref="J63:J64"/>
    <mergeCell ref="J127:J128"/>
    <mergeCell ref="J181:J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A174:K174"/>
    <mergeCell ref="E175:E176"/>
    <mergeCell ref="G161:G172"/>
    <mergeCell ref="A183:A184"/>
    <mergeCell ref="C183:C184"/>
    <mergeCell ref="I183:I184"/>
    <mergeCell ref="J183:J184"/>
    <mergeCell ref="A185:A186"/>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C189:C190"/>
    <mergeCell ref="E189:E190"/>
    <mergeCell ref="I185:I186"/>
    <mergeCell ref="J185:J186"/>
    <mergeCell ref="I155:I156"/>
    <mergeCell ref="J155:J156"/>
    <mergeCell ref="I143:I144"/>
    <mergeCell ref="J143:J144"/>
    <mergeCell ref="A141:A142"/>
    <mergeCell ref="C141:C142"/>
    <mergeCell ref="E141:E142"/>
    <mergeCell ref="A137:A138"/>
    <mergeCell ref="I151:I152"/>
    <mergeCell ref="J151:J152"/>
    <mergeCell ref="G133:G144"/>
    <mergeCell ref="E133:E134"/>
    <mergeCell ref="I133:I134"/>
    <mergeCell ref="J133:J134"/>
    <mergeCell ref="A133:A134"/>
    <mergeCell ref="A145:C145"/>
    <mergeCell ref="D145:G145"/>
    <mergeCell ref="H145:K145"/>
    <mergeCell ref="C137:C138"/>
    <mergeCell ref="E137:E138"/>
    <mergeCell ref="A146:K146"/>
    <mergeCell ref="J137:J138"/>
    <mergeCell ref="I137:I138"/>
    <mergeCell ref="K155:K156"/>
    <mergeCell ref="K25:K26"/>
    <mergeCell ref="K27:K28"/>
    <mergeCell ref="K29:K30"/>
    <mergeCell ref="K31:K32"/>
    <mergeCell ref="K35:K36"/>
    <mergeCell ref="K37:K38"/>
    <mergeCell ref="K43:K44"/>
    <mergeCell ref="K41:K42"/>
    <mergeCell ref="K39:K40"/>
    <mergeCell ref="H33:K33"/>
    <mergeCell ref="A34:K34"/>
    <mergeCell ref="G35:G46"/>
    <mergeCell ref="A37:A38"/>
    <mergeCell ref="A33:C33"/>
    <mergeCell ref="J35:J36"/>
    <mergeCell ref="D33:G33"/>
    <mergeCell ref="C39:C40"/>
    <mergeCell ref="I35:I36"/>
    <mergeCell ref="E37:E38"/>
    <mergeCell ref="I37:I38"/>
    <mergeCell ref="A41:A42"/>
    <mergeCell ref="I27:I28"/>
    <mergeCell ref="J27:J28"/>
    <mergeCell ref="A29:A30"/>
    <mergeCell ref="E53:E54"/>
    <mergeCell ref="I53:I54"/>
    <mergeCell ref="G49:G60"/>
    <mergeCell ref="K59:K60"/>
    <mergeCell ref="A77:A78"/>
    <mergeCell ref="C77:C78"/>
    <mergeCell ref="K129:K130"/>
    <mergeCell ref="K133:K134"/>
    <mergeCell ref="K121:K122"/>
    <mergeCell ref="K113:K114"/>
    <mergeCell ref="K107:K108"/>
    <mergeCell ref="K105:K106"/>
    <mergeCell ref="K99:K100"/>
    <mergeCell ref="K97:K98"/>
    <mergeCell ref="K87:K88"/>
    <mergeCell ref="A104:K104"/>
    <mergeCell ref="A117:C117"/>
    <mergeCell ref="D117:G117"/>
    <mergeCell ref="H117:K117"/>
    <mergeCell ref="G105:G116"/>
    <mergeCell ref="A109:A110"/>
    <mergeCell ref="C109:C110"/>
    <mergeCell ref="E109:E110"/>
    <mergeCell ref="K57:K58"/>
    <mergeCell ref="K85:K86"/>
    <mergeCell ref="K83:K84"/>
    <mergeCell ref="K91:K92"/>
    <mergeCell ref="I81:I82"/>
    <mergeCell ref="J81:J82"/>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A91:A92"/>
    <mergeCell ref="C91:C92"/>
    <mergeCell ref="E67:E68"/>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H187:K187"/>
    <mergeCell ref="A188:K188"/>
    <mergeCell ref="J193:J194"/>
    <mergeCell ref="A181:A182"/>
    <mergeCell ref="J199:J200"/>
    <mergeCell ref="K165:K166"/>
    <mergeCell ref="K177:K178"/>
    <mergeCell ref="K147:K148"/>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H201:K201"/>
    <mergeCell ref="A202:K202"/>
    <mergeCell ref="J191:J192"/>
    <mergeCell ref="A199:A200"/>
    <mergeCell ref="C199:C200"/>
    <mergeCell ref="E199:E200"/>
    <mergeCell ref="A189:A190"/>
    <mergeCell ref="A201:C201"/>
    <mergeCell ref="D201:G201"/>
    <mergeCell ref="A79:A80"/>
    <mergeCell ref="G91:G102"/>
    <mergeCell ref="E95:E96"/>
    <mergeCell ref="E183:E184"/>
    <mergeCell ref="A155:A156"/>
    <mergeCell ref="E167:E168"/>
    <mergeCell ref="A129:A130"/>
    <mergeCell ref="C129:C130"/>
    <mergeCell ref="E129:E130"/>
    <mergeCell ref="A111:A112"/>
    <mergeCell ref="C111:C112"/>
    <mergeCell ref="E111:E112"/>
    <mergeCell ref="A177:A178"/>
    <mergeCell ref="C177:C178"/>
    <mergeCell ref="E177:E178"/>
    <mergeCell ref="A161:A162"/>
    <mergeCell ref="E153:E154"/>
    <mergeCell ref="A157:A158"/>
    <mergeCell ref="A135:A136"/>
    <mergeCell ref="C135:C136"/>
    <mergeCell ref="C157:C158"/>
    <mergeCell ref="A81:A82"/>
    <mergeCell ref="C81:C82"/>
    <mergeCell ref="A65:A66"/>
    <mergeCell ref="E65:E66"/>
    <mergeCell ref="I65:I66"/>
    <mergeCell ref="J65:J66"/>
    <mergeCell ref="A69:A70"/>
    <mergeCell ref="C65:C66"/>
    <mergeCell ref="A73:A74"/>
    <mergeCell ref="A63:A64"/>
    <mergeCell ref="C7:C8"/>
    <mergeCell ref="C9:C10"/>
    <mergeCell ref="C11:C12"/>
    <mergeCell ref="C13:C14"/>
    <mergeCell ref="C15:C16"/>
    <mergeCell ref="E55:E56"/>
    <mergeCell ref="C41:C42"/>
    <mergeCell ref="A35:A36"/>
    <mergeCell ref="E35:E36"/>
    <mergeCell ref="A47:C47"/>
    <mergeCell ref="D47:G47"/>
    <mergeCell ref="C51:C52"/>
    <mergeCell ref="C49:C50"/>
    <mergeCell ref="A27:A28"/>
    <mergeCell ref="E27:E28"/>
    <mergeCell ref="A62:K62"/>
    <mergeCell ref="H75:K75"/>
    <mergeCell ref="K71:K72"/>
    <mergeCell ref="K73:K74"/>
    <mergeCell ref="J211:J212"/>
    <mergeCell ref="A213:A214"/>
    <mergeCell ref="I217:I218"/>
    <mergeCell ref="J217:J218"/>
    <mergeCell ref="A219:A220"/>
    <mergeCell ref="C219:C220"/>
    <mergeCell ref="E219:E220"/>
    <mergeCell ref="I219:I220"/>
    <mergeCell ref="J219:J220"/>
    <mergeCell ref="I213:I214"/>
    <mergeCell ref="J213:J214"/>
    <mergeCell ref="G203:G214"/>
    <mergeCell ref="A205:A206"/>
    <mergeCell ref="C205:C206"/>
    <mergeCell ref="E205:E206"/>
    <mergeCell ref="I205:I206"/>
    <mergeCell ref="J205:J206"/>
    <mergeCell ref="A207:A208"/>
    <mergeCell ref="C207:C208"/>
    <mergeCell ref="E207:E208"/>
    <mergeCell ref="I207:I208"/>
    <mergeCell ref="J207:J208"/>
    <mergeCell ref="A221:A222"/>
    <mergeCell ref="C221:C222"/>
    <mergeCell ref="E221:E222"/>
    <mergeCell ref="I221:I222"/>
    <mergeCell ref="J221:J222"/>
    <mergeCell ref="A217:A218"/>
    <mergeCell ref="C217:C218"/>
    <mergeCell ref="E217:E218"/>
    <mergeCell ref="G217:G228"/>
    <mergeCell ref="A223:A224"/>
    <mergeCell ref="C223:C224"/>
    <mergeCell ref="E223:E224"/>
    <mergeCell ref="E209:E210"/>
    <mergeCell ref="C213:C214"/>
    <mergeCell ref="E213:E214"/>
    <mergeCell ref="I209:I210"/>
    <mergeCell ref="J209:J210"/>
    <mergeCell ref="A211:A212"/>
    <mergeCell ref="C211:C212"/>
    <mergeCell ref="E211:E212"/>
    <mergeCell ref="I211:I212"/>
    <mergeCell ref="A209:A210"/>
    <mergeCell ref="C209:C210"/>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E233:E234"/>
    <mergeCell ref="I233:I234"/>
    <mergeCell ref="J233:J234"/>
    <mergeCell ref="A235:A236"/>
    <mergeCell ref="A245:A246"/>
    <mergeCell ref="C245:C246"/>
    <mergeCell ref="E245:E246"/>
    <mergeCell ref="G245:G256"/>
    <mergeCell ref="I245:I246"/>
    <mergeCell ref="J245:J246"/>
    <mergeCell ref="A247:A248"/>
    <mergeCell ref="C247:C248"/>
    <mergeCell ref="E247:E248"/>
    <mergeCell ref="I247:I248"/>
    <mergeCell ref="J247:J248"/>
    <mergeCell ref="A249:A250"/>
    <mergeCell ref="C249:C250"/>
    <mergeCell ref="E249:E250"/>
    <mergeCell ref="I249:I250"/>
    <mergeCell ref="J249:J250"/>
    <mergeCell ref="A251:A252"/>
    <mergeCell ref="C251:C252"/>
    <mergeCell ref="E251:E252"/>
    <mergeCell ref="I251:I252"/>
    <mergeCell ref="K241:K242"/>
    <mergeCell ref="K245:K246"/>
    <mergeCell ref="A257:C257"/>
    <mergeCell ref="D257:G257"/>
    <mergeCell ref="H257:K257"/>
    <mergeCell ref="A258:K258"/>
    <mergeCell ref="J251:J252"/>
    <mergeCell ref="A253:A254"/>
    <mergeCell ref="C253:C254"/>
    <mergeCell ref="E253:E254"/>
    <mergeCell ref="I253:I254"/>
    <mergeCell ref="J253:J254"/>
    <mergeCell ref="A255:A256"/>
    <mergeCell ref="C255:C256"/>
    <mergeCell ref="E255:E256"/>
    <mergeCell ref="I255:I256"/>
    <mergeCell ref="J255:J256"/>
    <mergeCell ref="K247:K248"/>
    <mergeCell ref="K255:K25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0.25"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61.5" customHeight="1">
      <c r="A7" s="267" t="str">
        <f>"1-280 -"&amp;L7</f>
        <v>1-280 -1</v>
      </c>
      <c r="B7" s="126" t="s">
        <v>213</v>
      </c>
      <c r="C7" s="269" t="s">
        <v>1530</v>
      </c>
      <c r="D7" s="115">
        <f>VLOOKUP(L7,'280'!A:T,2,0)</f>
        <v>45181</v>
      </c>
      <c r="E7" s="271" t="str">
        <f>M7&amp;M8</f>
        <v>0 M3</v>
      </c>
      <c r="F7" s="115">
        <f>D7</f>
        <v>45181</v>
      </c>
      <c r="G7" s="264" t="s">
        <v>145</v>
      </c>
      <c r="H7" s="117" t="str">
        <f>N7&amp;M8</f>
        <v>0 M3</v>
      </c>
      <c r="I7" s="264" t="s">
        <v>48</v>
      </c>
      <c r="J7" s="274" t="str">
        <f>IF(R7=0,"上  溢："&amp;S7,IF(Q7=0,"任  泰："&amp;R7&amp;"                 "&amp;"上  溢："&amp;S7,
"水利處："&amp;Q7&amp;"                 "&amp;"任  泰："&amp;R7&amp;"                 "&amp;"上  溢："&amp;S7))</f>
        <v>水利處：李晏然                 任  泰：游文圃                 上  溢：康祐銓</v>
      </c>
      <c r="K7" s="264" t="s">
        <v>212</v>
      </c>
      <c r="L7" s="136">
        <v>1</v>
      </c>
      <c r="M7" s="128">
        <f>VLOOKUP(L7,'280'!A:T,5,0)</f>
        <v>0</v>
      </c>
      <c r="N7" s="128">
        <f>M7</f>
        <v>0</v>
      </c>
      <c r="O7" s="128">
        <f>VLOOKUP(L7,'280'!A:T,6,0)</f>
        <v>1</v>
      </c>
      <c r="P7" s="128">
        <f>O7</f>
        <v>1</v>
      </c>
      <c r="Q7" s="128" t="str">
        <f>VLOOKUP(L7,'280'!A:T,18,0)</f>
        <v>李晏然</v>
      </c>
      <c r="R7" s="128" t="str">
        <f>VLOOKUP(L7,'280'!A:T,19,0)</f>
        <v>游文圃</v>
      </c>
      <c r="S7" s="128" t="str">
        <f>VLOOKUP(L7,'280'!A:T,20,0)</f>
        <v>康祐銓</v>
      </c>
      <c r="T7" s="137"/>
      <c r="U7" s="137"/>
      <c r="V7" s="137"/>
      <c r="W7" s="137"/>
      <c r="X7" s="137"/>
      <c r="Y7" s="137"/>
      <c r="Z7" s="137"/>
      <c r="AA7" s="137"/>
    </row>
    <row r="8" spans="1:27" s="138" customFormat="1" ht="61.5" customHeight="1">
      <c r="A8" s="268"/>
      <c r="B8" s="174" t="s">
        <v>214</v>
      </c>
      <c r="C8" s="270"/>
      <c r="D8" s="116" t="str">
        <f>M7&amp;M8</f>
        <v>0 M3</v>
      </c>
      <c r="E8" s="272"/>
      <c r="F8" s="117" t="str">
        <f>E7&amp;CHAR(10)&amp;"("&amp;O7&amp;O8&amp;")"</f>
        <v>0 M3
(1組)</v>
      </c>
      <c r="G8" s="275"/>
      <c r="H8" s="117" t="str">
        <f>H7&amp;CHAR(10)&amp;"("&amp;P7&amp;O8&amp;")"</f>
        <v>0 M3
(1組)</v>
      </c>
      <c r="I8" s="266"/>
      <c r="J8" s="274"/>
      <c r="K8" s="265"/>
      <c r="L8" s="127"/>
      <c r="M8" s="127" t="s">
        <v>201</v>
      </c>
      <c r="N8" s="128"/>
      <c r="O8" s="128" t="s">
        <v>204</v>
      </c>
      <c r="P8" s="128"/>
      <c r="Q8" s="128"/>
      <c r="R8" s="128"/>
      <c r="S8" s="128"/>
      <c r="T8" s="137"/>
      <c r="U8" s="137"/>
      <c r="V8" s="137"/>
      <c r="W8" s="137"/>
      <c r="X8" s="137"/>
      <c r="Y8" s="137"/>
      <c r="Z8" s="137"/>
      <c r="AA8" s="137"/>
    </row>
    <row r="9" spans="1:27" s="140" customFormat="1" ht="61.5" customHeight="1">
      <c r="A9" s="267" t="str">
        <f>"1-280 -"&amp;L9</f>
        <v>1-280 -2</v>
      </c>
      <c r="B9" s="126" t="s">
        <v>213</v>
      </c>
      <c r="C9" s="269" t="s">
        <v>1530</v>
      </c>
      <c r="D9" s="115">
        <f>VLOOKUP(L9,'280'!A:T,2,0)</f>
        <v>45563</v>
      </c>
      <c r="E9" s="271" t="str">
        <f>M9&amp;M10</f>
        <v>72 M3</v>
      </c>
      <c r="F9" s="115">
        <f>D9</f>
        <v>45563</v>
      </c>
      <c r="G9" s="275"/>
      <c r="H9" s="117" t="str">
        <f>N9&amp;M10</f>
        <v>72 M3</v>
      </c>
      <c r="I9" s="264" t="s">
        <v>48</v>
      </c>
      <c r="J9" s="274" t="str">
        <f>IF(R9=0,"上  溢："&amp;S9,IF(Q9=0,"任  泰："&amp;R9&amp;"                 "&amp;"上  溢："&amp;S9,
"水利處："&amp;Q9&amp;"                 "&amp;"任  泰："&amp;R9&amp;"                 "&amp;"上  溢："&amp;S9))</f>
        <v>任  泰：陳勇智                 上  溢：李建豪</v>
      </c>
      <c r="K9" s="264" t="s">
        <v>672</v>
      </c>
      <c r="L9" s="136">
        <f>L7+1</f>
        <v>2</v>
      </c>
      <c r="M9" s="128">
        <f>VLOOKUP(L9,'280'!A:T,5,0)</f>
        <v>72</v>
      </c>
      <c r="N9" s="128">
        <f>N7+M9</f>
        <v>72</v>
      </c>
      <c r="O9" s="128">
        <f>VLOOKUP(L9,'280'!A:T,6,0)</f>
        <v>1</v>
      </c>
      <c r="P9" s="128">
        <f>P7+O9</f>
        <v>2</v>
      </c>
      <c r="Q9" s="128">
        <f>VLOOKUP(L9,'280'!A:T,18,0)</f>
        <v>0</v>
      </c>
      <c r="R9" s="128" t="str">
        <f>VLOOKUP(L9,'280'!A:T,19,0)</f>
        <v>陳勇智</v>
      </c>
      <c r="S9" s="128" t="str">
        <f>VLOOKUP(L9,'280'!A:T,20,0)</f>
        <v>李建豪</v>
      </c>
      <c r="T9" s="139"/>
      <c r="U9" s="139"/>
      <c r="V9" s="139"/>
      <c r="W9" s="139"/>
      <c r="X9" s="139"/>
      <c r="Y9" s="139"/>
      <c r="Z9" s="139"/>
      <c r="AA9" s="139"/>
    </row>
    <row r="10" spans="1:27" s="140" customFormat="1" ht="61.5" customHeight="1">
      <c r="A10" s="268"/>
      <c r="B10" s="174" t="s">
        <v>214</v>
      </c>
      <c r="C10" s="270"/>
      <c r="D10" s="116" t="str">
        <f>M9&amp;M10</f>
        <v>72 M3</v>
      </c>
      <c r="E10" s="272"/>
      <c r="F10" s="117" t="str">
        <f>E9&amp;CHAR(10)&amp;"("&amp;O9&amp;O10&amp;")"</f>
        <v>72 M3
(1組)</v>
      </c>
      <c r="G10" s="275"/>
      <c r="H10" s="117" t="str">
        <f>H9&amp;CHAR(10)&amp;"("&amp;P9&amp;O10&amp;")"</f>
        <v>72 M3
(2組)</v>
      </c>
      <c r="I10" s="266"/>
      <c r="J10" s="274"/>
      <c r="K10" s="265"/>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67" t="str">
        <f>"1-280 -"&amp;L11</f>
        <v>1-280 -3</v>
      </c>
      <c r="B11" s="126" t="s">
        <v>213</v>
      </c>
      <c r="C11" s="269" t="s">
        <v>1530</v>
      </c>
      <c r="D11" s="115">
        <f>VLOOKUP(L11,'280'!A:T,2,0)</f>
        <v>45584</v>
      </c>
      <c r="E11" s="271" t="str">
        <f>M11&amp;M12</f>
        <v>35 M3</v>
      </c>
      <c r="F11" s="115">
        <f>D11</f>
        <v>45584</v>
      </c>
      <c r="G11" s="275"/>
      <c r="H11" s="117" t="str">
        <f>N11&amp;M12</f>
        <v>107 M3</v>
      </c>
      <c r="I11" s="264" t="s">
        <v>48</v>
      </c>
      <c r="J11" s="274" t="str">
        <f>IF(R11=0,"上  溢："&amp;S11,IF(Q11=0,"任  泰："&amp;R11&amp;"                 "&amp;"上  溢："&amp;S11,
"水利處："&amp;Q11&amp;"                 "&amp;"任  泰："&amp;R11&amp;"                 "&amp;"上  溢："&amp;S11))</f>
        <v>任  泰：陳勇智                 上  溢：李建豪</v>
      </c>
      <c r="K11" s="264" t="s">
        <v>677</v>
      </c>
      <c r="L11" s="136">
        <f>L9+1</f>
        <v>3</v>
      </c>
      <c r="M11" s="128">
        <f>VLOOKUP(L11,'280'!A:T,5,0)</f>
        <v>35</v>
      </c>
      <c r="N11" s="128">
        <f>N9+M11</f>
        <v>107</v>
      </c>
      <c r="O11" s="128">
        <f>VLOOKUP(L11,'280'!A:T,6,0)</f>
        <v>1</v>
      </c>
      <c r="P11" s="128">
        <f>P9+O11</f>
        <v>3</v>
      </c>
      <c r="Q11" s="128">
        <f>VLOOKUP(L11,'280'!A:T,18,0)</f>
        <v>0</v>
      </c>
      <c r="R11" s="128" t="str">
        <f>VLOOKUP(L11,'280'!A:T,19,0)</f>
        <v>陳勇智</v>
      </c>
      <c r="S11" s="128" t="str">
        <f>VLOOKUP(L11,'280'!A:T,20,0)</f>
        <v>李建豪</v>
      </c>
      <c r="T11" s="137"/>
      <c r="U11" s="137"/>
      <c r="V11" s="137"/>
      <c r="W11" s="137"/>
      <c r="X11" s="137"/>
      <c r="Y11" s="137"/>
      <c r="Z11" s="137"/>
      <c r="AA11" s="137"/>
    </row>
    <row r="12" spans="1:27" s="138" customFormat="1" ht="61.5" customHeight="1">
      <c r="A12" s="268"/>
      <c r="B12" s="174" t="s">
        <v>214</v>
      </c>
      <c r="C12" s="270"/>
      <c r="D12" s="116" t="str">
        <f>M11&amp;M12</f>
        <v>35 M3</v>
      </c>
      <c r="E12" s="272"/>
      <c r="F12" s="117" t="str">
        <f>E11&amp;CHAR(10)&amp;"("&amp;O11&amp;O12&amp;")"</f>
        <v>35 M3
(1組)</v>
      </c>
      <c r="G12" s="275"/>
      <c r="H12" s="117" t="str">
        <f>H11&amp;CHAR(10)&amp;"("&amp;P11&amp;O12&amp;")"</f>
        <v>107 M3
(3組)</v>
      </c>
      <c r="I12" s="266"/>
      <c r="J12" s="274"/>
      <c r="K12" s="265"/>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67" t="str">
        <f>"1-280 -"&amp;L13</f>
        <v>1-280 -4</v>
      </c>
      <c r="B13" s="126" t="s">
        <v>213</v>
      </c>
      <c r="C13" s="269" t="s">
        <v>1530</v>
      </c>
      <c r="D13" s="115">
        <f>VLOOKUP(L13,'280'!A:T,2,0)</f>
        <v>45649</v>
      </c>
      <c r="E13" s="271" t="str">
        <f>M13&amp;M14</f>
        <v>8 M3</v>
      </c>
      <c r="F13" s="115">
        <f>D13</f>
        <v>45649</v>
      </c>
      <c r="G13" s="282"/>
      <c r="H13" s="117" t="str">
        <f>N13&amp;M14</f>
        <v>115 M3</v>
      </c>
      <c r="I13" s="273" t="s">
        <v>1200</v>
      </c>
      <c r="J13" s="274" t="str">
        <f>IF(R13=0,"上  溢："&amp;S13,IF(Q13=0,"任  泰："&amp;R13&amp;"                 "&amp;"上  溢："&amp;S13,
"水利處："&amp;Q13&amp;"                 "&amp;"任  泰："&amp;R13&amp;"                 "&amp;"上  溢："&amp;S13))</f>
        <v>上  溢：周昱辰</v>
      </c>
      <c r="K13" s="124" t="s">
        <v>211</v>
      </c>
      <c r="L13" s="136">
        <f>L11+1</f>
        <v>4</v>
      </c>
      <c r="M13" s="128">
        <f>VLOOKUP(L13,'280'!A:T,5,0)</f>
        <v>8</v>
      </c>
      <c r="N13" s="128">
        <f>N11+M13</f>
        <v>115</v>
      </c>
      <c r="O13" s="128">
        <f>VLOOKUP(L13,'280'!A:T,6,0)</f>
        <v>0</v>
      </c>
      <c r="P13" s="128">
        <f>P11+O13</f>
        <v>3</v>
      </c>
      <c r="Q13" s="128">
        <f>VLOOKUP(L13,'280'!A:T,18,0)</f>
        <v>0</v>
      </c>
      <c r="R13" s="128">
        <f>VLOOKUP(L13,'280'!A:T,19,0)</f>
        <v>0</v>
      </c>
      <c r="S13" s="128" t="str">
        <f>VLOOKUP(L13,'280'!A:T,20,0)</f>
        <v>周昱辰</v>
      </c>
      <c r="T13" s="137"/>
      <c r="U13" s="137"/>
      <c r="V13" s="137"/>
      <c r="W13" s="137"/>
      <c r="X13" s="137"/>
      <c r="Y13" s="137"/>
      <c r="Z13" s="137"/>
      <c r="AA13" s="137"/>
    </row>
    <row r="14" spans="1:27" s="138" customFormat="1" ht="61.5" customHeight="1">
      <c r="A14" s="268"/>
      <c r="B14" s="174" t="s">
        <v>214</v>
      </c>
      <c r="C14" s="270"/>
      <c r="D14" s="116" t="str">
        <f>M13&amp;M14</f>
        <v>8 M3</v>
      </c>
      <c r="E14" s="272"/>
      <c r="F14" s="117" t="str">
        <f>E13&amp;CHAR(10)&amp;"("&amp;O13&amp;O14&amp;")"</f>
        <v>8 M3
(0組)</v>
      </c>
      <c r="G14" s="282"/>
      <c r="H14" s="117" t="str">
        <f>H13&amp;CHAR(10)&amp;"("&amp;P13&amp;O14&amp;")"</f>
        <v>115 M3
(3組)</v>
      </c>
      <c r="I14" s="273"/>
      <c r="J14" s="274"/>
      <c r="K14" s="124" t="s">
        <v>709</v>
      </c>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126"/>
      <c r="B15" s="174"/>
      <c r="C15" s="175"/>
      <c r="D15" s="115"/>
      <c r="E15" s="271"/>
      <c r="F15" s="115"/>
      <c r="G15" s="282"/>
      <c r="H15" s="117"/>
      <c r="I15" s="124"/>
      <c r="J15" s="123"/>
      <c r="K15" s="124"/>
      <c r="L15" s="127"/>
      <c r="M15" s="127"/>
      <c r="N15" s="128"/>
      <c r="O15" s="128"/>
      <c r="P15" s="128"/>
      <c r="Q15" s="128"/>
      <c r="R15" s="128"/>
      <c r="S15" s="128"/>
      <c r="T15" s="137"/>
      <c r="U15" s="137"/>
      <c r="V15" s="137"/>
      <c r="W15" s="137"/>
      <c r="X15" s="137"/>
      <c r="Y15" s="137"/>
      <c r="Z15" s="137"/>
      <c r="AA15" s="137"/>
    </row>
    <row r="16" spans="1:27" s="138" customFormat="1" ht="61.5" customHeight="1">
      <c r="A16" s="125"/>
      <c r="B16" s="126"/>
      <c r="C16" s="173"/>
      <c r="D16" s="116"/>
      <c r="E16" s="272"/>
      <c r="F16" s="117"/>
      <c r="G16" s="265"/>
      <c r="H16" s="117"/>
      <c r="I16" s="124"/>
      <c r="J16" s="123"/>
      <c r="K16" s="124"/>
      <c r="L16" s="136">
        <f>L13+1</f>
        <v>5</v>
      </c>
      <c r="M16" s="128" t="e">
        <f>VLOOKUP(L16,'280'!A:T,5,0)</f>
        <v>#N/A</v>
      </c>
      <c r="N16" s="128" t="e">
        <f>#REF!+M16</f>
        <v>#REF!</v>
      </c>
      <c r="O16" s="128" t="e">
        <f>VLOOKUP(L16,'280'!A:T,6,0)</f>
        <v>#N/A</v>
      </c>
      <c r="P16" s="128" t="e">
        <f>#REF!+O16</f>
        <v>#REF!</v>
      </c>
      <c r="Q16" s="128" t="e">
        <f>VLOOKUP(L16,'280'!A:T,18,0)</f>
        <v>#N/A</v>
      </c>
      <c r="R16" s="128" t="e">
        <f>VLOOKUP(L16,'280'!A:T,19,0)</f>
        <v>#N/A</v>
      </c>
      <c r="S16" s="128" t="e">
        <f>VLOOKUP(L16,'280'!A:T,20,0)</f>
        <v>#N/A</v>
      </c>
      <c r="T16" s="137"/>
      <c r="U16" s="137"/>
      <c r="V16" s="137"/>
      <c r="W16" s="137"/>
      <c r="X16" s="137"/>
      <c r="Y16" s="137"/>
      <c r="Z16" s="137"/>
      <c r="AA16" s="137"/>
    </row>
    <row r="17" spans="1:27" s="142" customFormat="1" ht="49.5" customHeight="1">
      <c r="A17" s="260" t="s">
        <v>47</v>
      </c>
      <c r="B17" s="261"/>
      <c r="C17" s="262"/>
      <c r="D17" s="260" t="s">
        <v>1753</v>
      </c>
      <c r="E17" s="261"/>
      <c r="F17" s="261"/>
      <c r="G17" s="262"/>
      <c r="H17" s="260" t="s">
        <v>1755</v>
      </c>
      <c r="I17" s="261"/>
      <c r="J17" s="261"/>
      <c r="K17" s="262"/>
      <c r="M17" s="143"/>
      <c r="N17" s="143"/>
      <c r="O17" s="143"/>
      <c r="P17" s="143"/>
      <c r="Q17" s="143"/>
      <c r="R17" s="143"/>
      <c r="S17" s="143"/>
      <c r="T17" s="143"/>
      <c r="U17" s="143"/>
      <c r="V17" s="143"/>
      <c r="W17" s="143"/>
      <c r="X17" s="143"/>
      <c r="Y17" s="143"/>
      <c r="Z17" s="143"/>
      <c r="AA17" s="143"/>
    </row>
    <row r="18" spans="1:27" s="142" customFormat="1" ht="53.25"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26" spans="1:27" ht="409.5">
      <c r="A26" s="130" t="s">
        <v>52</v>
      </c>
    </row>
  </sheetData>
  <mergeCells count="41">
    <mergeCell ref="A18:K18"/>
    <mergeCell ref="A13:A14"/>
    <mergeCell ref="E13:E14"/>
    <mergeCell ref="I13:I14"/>
    <mergeCell ref="J13:J14"/>
    <mergeCell ref="C13:C14"/>
    <mergeCell ref="E15:E16"/>
    <mergeCell ref="A17:C17"/>
    <mergeCell ref="D17:G17"/>
    <mergeCell ref="H17:K17"/>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K1"/>
    <mergeCell ref="A2:K2"/>
    <mergeCell ref="A3:G3"/>
    <mergeCell ref="H3:K3"/>
    <mergeCell ref="A4:G4"/>
    <mergeCell ref="H4:K4"/>
    <mergeCell ref="A7:A8"/>
    <mergeCell ref="E7:E8"/>
    <mergeCell ref="I7:I8"/>
    <mergeCell ref="J9:J10"/>
    <mergeCell ref="A11:A12"/>
    <mergeCell ref="E11:E12"/>
    <mergeCell ref="I11:I12"/>
    <mergeCell ref="J11:J12"/>
    <mergeCell ref="C9:C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4"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61.5" customHeight="1">
      <c r="A7" s="267" t="str">
        <f>"1-420-"&amp;L7</f>
        <v>1-420-1</v>
      </c>
      <c r="B7" s="126" t="s">
        <v>109</v>
      </c>
      <c r="C7" s="269" t="s">
        <v>691</v>
      </c>
      <c r="D7" s="115">
        <f>VLOOKUP(L7,'420'!A:T,2,0)</f>
        <v>45609</v>
      </c>
      <c r="E7" s="271" t="str">
        <f>M7&amp;M8</f>
        <v>2 M3</v>
      </c>
      <c r="F7" s="115">
        <f>D7</f>
        <v>45609</v>
      </c>
      <c r="G7" s="264" t="s">
        <v>690</v>
      </c>
      <c r="H7" s="117" t="str">
        <f>N7&amp;M8</f>
        <v>2 M3</v>
      </c>
      <c r="I7" s="264" t="s">
        <v>48</v>
      </c>
      <c r="J7" s="274" t="str">
        <f>IF(R7=0,"上  溢："&amp;S7,IF(Q7=0,"任  泰："&amp;R7&amp;"                 "&amp;"上  溢："&amp;S7,
"水利處："&amp;Q7&amp;"                 "&amp;"任  泰："&amp;R7&amp;"                 "&amp;"上  溢："&amp;S7))</f>
        <v>水利處：李晏然                 任  泰：王淑慧                 上  溢：張志禕</v>
      </c>
      <c r="K7" s="264" t="s">
        <v>829</v>
      </c>
      <c r="L7" s="136">
        <v>1</v>
      </c>
      <c r="M7" s="128">
        <f>VLOOKUP(L7,'420'!A:T,5,0)</f>
        <v>2</v>
      </c>
      <c r="N7" s="128">
        <f>M7</f>
        <v>2</v>
      </c>
      <c r="O7" s="128">
        <f>VLOOKUP(L7,'420'!A:T,6,0)</f>
        <v>2</v>
      </c>
      <c r="P7" s="128">
        <f>O7</f>
        <v>2</v>
      </c>
      <c r="Q7" s="128" t="str">
        <f>VLOOKUP(L7,'420'!A:T,18,0)</f>
        <v>李晏然</v>
      </c>
      <c r="R7" s="128" t="str">
        <f>VLOOKUP(L7,'420'!A:T,19,0)</f>
        <v>王淑慧</v>
      </c>
      <c r="S7" s="128" t="str">
        <f>VLOOKUP(L7,'420'!A:T,20,0)</f>
        <v>張志禕</v>
      </c>
      <c r="T7" s="137"/>
      <c r="U7" s="137"/>
      <c r="V7" s="137"/>
      <c r="W7" s="137"/>
      <c r="X7" s="137"/>
      <c r="Y7" s="137"/>
      <c r="Z7" s="137"/>
      <c r="AA7" s="137"/>
    </row>
    <row r="8" spans="1:27" s="138" customFormat="1" ht="61.5" customHeight="1">
      <c r="A8" s="268"/>
      <c r="B8" s="174" t="s">
        <v>692</v>
      </c>
      <c r="C8" s="270"/>
      <c r="D8" s="116" t="str">
        <f>M7&amp;M8</f>
        <v>2 M3</v>
      </c>
      <c r="E8" s="272"/>
      <c r="F8" s="117" t="str">
        <f>E7&amp;CHAR(10)&amp;"("&amp;O7&amp;O8&amp;")"</f>
        <v>2 M3
(2組)</v>
      </c>
      <c r="G8" s="275"/>
      <c r="H8" s="117" t="str">
        <f>H7&amp;CHAR(10)&amp;"("&amp;P7&amp;O8&amp;")"</f>
        <v>2 M3
(2組)</v>
      </c>
      <c r="I8" s="266"/>
      <c r="J8" s="274"/>
      <c r="K8" s="265"/>
      <c r="L8" s="127"/>
      <c r="M8" s="127" t="s">
        <v>201</v>
      </c>
      <c r="N8" s="128"/>
      <c r="O8" s="128" t="s">
        <v>204</v>
      </c>
      <c r="P8" s="128"/>
      <c r="Q8" s="128"/>
      <c r="R8" s="128"/>
      <c r="S8" s="128"/>
      <c r="T8" s="137"/>
      <c r="U8" s="137"/>
      <c r="V8" s="137"/>
      <c r="W8" s="137"/>
      <c r="X8" s="137"/>
      <c r="Y8" s="137"/>
      <c r="Z8" s="137"/>
      <c r="AA8" s="137"/>
    </row>
    <row r="9" spans="1:27" s="140" customFormat="1" ht="61.5" customHeight="1">
      <c r="A9" s="267" t="str">
        <f>"1-420-"&amp;L9</f>
        <v>1-420-2</v>
      </c>
      <c r="B9" s="126" t="s">
        <v>109</v>
      </c>
      <c r="C9" s="269" t="s">
        <v>691</v>
      </c>
      <c r="D9" s="115">
        <f>VLOOKUP(L9,'420'!A:T,2,0)</f>
        <v>45609</v>
      </c>
      <c r="E9" s="271" t="str">
        <f>M9&amp;M10</f>
        <v>11 M3</v>
      </c>
      <c r="F9" s="115">
        <f>D9</f>
        <v>45609</v>
      </c>
      <c r="G9" s="275"/>
      <c r="H9" s="117" t="str">
        <f>N9&amp;M10</f>
        <v>13 M3</v>
      </c>
      <c r="I9" s="264" t="s">
        <v>48</v>
      </c>
      <c r="J9" s="274" t="str">
        <f>IF(R9=0,"上  溢："&amp;S9,IF(Q9=0,"任  泰："&amp;R9&amp;"                 "&amp;"上  溢："&amp;S9,
"水利處："&amp;Q9&amp;"                 "&amp;"任  泰："&amp;R9&amp;"                 "&amp;"上  溢："&amp;S9))</f>
        <v>任  泰：王淑慧                 上  溢：張志禕</v>
      </c>
      <c r="K9" s="264" t="s">
        <v>830</v>
      </c>
      <c r="L9" s="136">
        <f>L7+1</f>
        <v>2</v>
      </c>
      <c r="M9" s="128">
        <f>VLOOKUP(L9,'420'!A:T,5,0)</f>
        <v>11</v>
      </c>
      <c r="N9" s="128">
        <f>N7+M9</f>
        <v>13</v>
      </c>
      <c r="O9" s="128">
        <f>VLOOKUP(L9,'420'!A:T,6,0)</f>
        <v>11</v>
      </c>
      <c r="P9" s="128">
        <f>P7+O9</f>
        <v>13</v>
      </c>
      <c r="Q9" s="128">
        <f>VLOOKUP(L9,'420'!A:T,18,0)</f>
        <v>0</v>
      </c>
      <c r="R9" s="128" t="str">
        <f>VLOOKUP(L9,'420'!A:T,19,0)</f>
        <v>王淑慧</v>
      </c>
      <c r="S9" s="128" t="str">
        <f>VLOOKUP(L9,'420'!A:T,20,0)</f>
        <v>張志禕</v>
      </c>
      <c r="T9" s="139"/>
      <c r="U9" s="139"/>
      <c r="V9" s="139"/>
      <c r="W9" s="139"/>
      <c r="X9" s="139"/>
      <c r="Y9" s="139"/>
      <c r="Z9" s="139"/>
      <c r="AA9" s="139"/>
    </row>
    <row r="10" spans="1:27" s="140" customFormat="1" ht="61.5" customHeight="1">
      <c r="A10" s="268"/>
      <c r="B10" s="174" t="s">
        <v>692</v>
      </c>
      <c r="C10" s="270"/>
      <c r="D10" s="116" t="str">
        <f>M9&amp;M10</f>
        <v>11 M3</v>
      </c>
      <c r="E10" s="272"/>
      <c r="F10" s="117" t="str">
        <f>E9&amp;CHAR(10)&amp;"("&amp;O9&amp;O10&amp;")"</f>
        <v>11 M3
(11組)</v>
      </c>
      <c r="G10" s="275"/>
      <c r="H10" s="117" t="str">
        <f>H9&amp;CHAR(10)&amp;"("&amp;P9&amp;O10&amp;")"</f>
        <v>13 M3
(13組)</v>
      </c>
      <c r="I10" s="266"/>
      <c r="J10" s="274"/>
      <c r="K10" s="265"/>
      <c r="L10" s="127"/>
      <c r="M10" s="127" t="s">
        <v>201</v>
      </c>
      <c r="N10" s="128"/>
      <c r="O10" s="128" t="s">
        <v>204</v>
      </c>
      <c r="P10" s="128"/>
      <c r="Q10" s="128"/>
      <c r="R10" s="128"/>
      <c r="S10" s="128"/>
      <c r="T10" s="139"/>
      <c r="U10" s="139"/>
      <c r="V10" s="139"/>
      <c r="W10" s="139"/>
      <c r="X10" s="139"/>
      <c r="Y10" s="139"/>
      <c r="Z10" s="139"/>
      <c r="AA10" s="139"/>
    </row>
    <row r="11" spans="1:27" s="142" customFormat="1" ht="49.5" customHeight="1">
      <c r="A11" s="260" t="s">
        <v>47</v>
      </c>
      <c r="B11" s="261"/>
      <c r="C11" s="262"/>
      <c r="D11" s="260" t="s">
        <v>1753</v>
      </c>
      <c r="E11" s="261"/>
      <c r="F11" s="261"/>
      <c r="G11" s="262"/>
      <c r="H11" s="260" t="s">
        <v>1755</v>
      </c>
      <c r="I11" s="261"/>
      <c r="J11" s="261"/>
      <c r="K11" s="262"/>
      <c r="M11" s="143"/>
      <c r="N11" s="143"/>
      <c r="O11" s="143"/>
      <c r="P11" s="143"/>
      <c r="Q11" s="143"/>
      <c r="R11" s="143"/>
      <c r="S11" s="143"/>
      <c r="T11" s="143"/>
      <c r="U11" s="143"/>
      <c r="V11" s="143"/>
      <c r="W11" s="143"/>
      <c r="X11" s="143"/>
      <c r="Y11" s="143"/>
      <c r="Z11" s="143"/>
      <c r="AA11" s="143"/>
    </row>
    <row r="12" spans="1:27" s="142" customFormat="1" ht="49.5" customHeight="1">
      <c r="A12" s="263" t="s">
        <v>1147</v>
      </c>
      <c r="B12" s="263"/>
      <c r="C12" s="263"/>
      <c r="D12" s="263"/>
      <c r="E12" s="263"/>
      <c r="F12" s="263"/>
      <c r="G12" s="263"/>
      <c r="H12" s="263"/>
      <c r="I12" s="263"/>
      <c r="J12" s="263"/>
      <c r="K12" s="263"/>
      <c r="M12" s="143"/>
      <c r="N12" s="143"/>
      <c r="O12" s="143"/>
      <c r="P12" s="143"/>
      <c r="Q12" s="143"/>
      <c r="R12" s="143"/>
      <c r="S12" s="143"/>
      <c r="T12" s="143"/>
      <c r="U12" s="143"/>
      <c r="V12" s="143"/>
      <c r="W12" s="143"/>
      <c r="X12" s="143"/>
      <c r="Y12" s="143"/>
      <c r="Z12" s="143"/>
      <c r="AA12" s="143"/>
    </row>
    <row r="30" spans="1:1" ht="409.5">
      <c r="A30" s="130" t="s">
        <v>52</v>
      </c>
    </row>
  </sheetData>
  <mergeCells count="29">
    <mergeCell ref="K7:K8"/>
    <mergeCell ref="J5:J6"/>
    <mergeCell ref="A1:K1"/>
    <mergeCell ref="A2:K2"/>
    <mergeCell ref="A3:G3"/>
    <mergeCell ref="H3:K3"/>
    <mergeCell ref="A4:G4"/>
    <mergeCell ref="H4:K4"/>
    <mergeCell ref="A5:A6"/>
    <mergeCell ref="C5:C6"/>
    <mergeCell ref="E5:E6"/>
    <mergeCell ref="G5:G6"/>
    <mergeCell ref="I5:I6"/>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3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0.25"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61.5" customHeight="1">
      <c r="A7" s="267" t="str">
        <f>"1-280W-"&amp;L7</f>
        <v>1-280W-1</v>
      </c>
      <c r="B7" s="126" t="s">
        <v>72</v>
      </c>
      <c r="C7" s="269" t="s">
        <v>589</v>
      </c>
      <c r="D7" s="115">
        <f>VLOOKUP(L7,'280W'!A:T,2,0)</f>
        <v>45181</v>
      </c>
      <c r="E7" s="271" t="str">
        <f>M7&amp;M8</f>
        <v>0 M3</v>
      </c>
      <c r="F7" s="115">
        <f>D7</f>
        <v>45181</v>
      </c>
      <c r="G7" s="278" t="s">
        <v>145</v>
      </c>
      <c r="H7" s="117" t="str">
        <f t="shared" ref="H7" si="0">N7&amp;M8</f>
        <v>0 M3</v>
      </c>
      <c r="I7" s="264" t="s">
        <v>48</v>
      </c>
      <c r="J7" s="274" t="str">
        <f>IF(R7=0,"上  溢："&amp;S7,IF(Q7=0,"任  泰："&amp;R7&amp;"                 "&amp;"上  溢："&amp;S7,
"水利處："&amp;Q7&amp;"                 "&amp;"任  泰："&amp;R7&amp;"                 "&amp;"上  溢："&amp;S7))</f>
        <v>水利處：李晏然                 任  泰：游文圃                 上  溢：康祐銓</v>
      </c>
      <c r="K7" s="264" t="s">
        <v>212</v>
      </c>
      <c r="L7" s="136">
        <v>1</v>
      </c>
      <c r="M7" s="128">
        <f>VLOOKUP(L7,'280W'!A:T,5,0)</f>
        <v>0</v>
      </c>
      <c r="N7" s="128">
        <f>M7</f>
        <v>0</v>
      </c>
      <c r="O7" s="128">
        <f>VLOOKUP(L7,'280W'!A:T,6,0)</f>
        <v>1</v>
      </c>
      <c r="P7" s="128">
        <f>O7</f>
        <v>1</v>
      </c>
      <c r="Q7" s="128" t="str">
        <f>VLOOKUP(L7,'280W'!A:T,18,0)</f>
        <v>李晏然</v>
      </c>
      <c r="R7" s="128" t="str">
        <f>VLOOKUP(L7,'280W'!A:T,19,0)</f>
        <v>游文圃</v>
      </c>
      <c r="S7" s="128" t="str">
        <f>VLOOKUP(L7,'280W'!A:T,20,0)</f>
        <v>康祐銓</v>
      </c>
      <c r="T7" s="137"/>
      <c r="U7" s="137"/>
      <c r="V7" s="137"/>
      <c r="W7" s="137"/>
      <c r="X7" s="137"/>
      <c r="Y7" s="137"/>
      <c r="Z7" s="137"/>
      <c r="AA7" s="137"/>
    </row>
    <row r="8" spans="1:27" s="138" customFormat="1" ht="61.5" customHeight="1">
      <c r="A8" s="268"/>
      <c r="B8" s="174" t="s">
        <v>215</v>
      </c>
      <c r="C8" s="270"/>
      <c r="D8" s="116" t="str">
        <f>M7&amp;M8</f>
        <v>0 M3</v>
      </c>
      <c r="E8" s="272"/>
      <c r="F8" s="117" t="str">
        <f>E7&amp;CHAR(10)&amp;"("&amp;O7&amp;O8&amp;")"</f>
        <v>0 M3
(1組)</v>
      </c>
      <c r="G8" s="299"/>
      <c r="H8" s="117" t="str">
        <f t="shared" ref="H8" si="1">H7&amp;CHAR(10)&amp;"("&amp;P7&amp;O8&amp;")"</f>
        <v>0 M3
(1組)</v>
      </c>
      <c r="I8" s="266"/>
      <c r="J8" s="274"/>
      <c r="K8" s="265"/>
      <c r="L8" s="127"/>
      <c r="M8" s="127" t="s">
        <v>201</v>
      </c>
      <c r="N8" s="128"/>
      <c r="O8" s="128" t="s">
        <v>204</v>
      </c>
      <c r="P8" s="128"/>
      <c r="Q8" s="128"/>
      <c r="R8" s="128"/>
      <c r="S8" s="128"/>
      <c r="T8" s="137"/>
      <c r="U8" s="137"/>
      <c r="V8" s="137"/>
      <c r="W8" s="137"/>
      <c r="X8" s="137"/>
      <c r="Y8" s="137"/>
      <c r="Z8" s="137"/>
      <c r="AA8" s="137"/>
    </row>
    <row r="9" spans="1:27" s="140" customFormat="1" ht="61.5" customHeight="1">
      <c r="A9" s="267" t="str">
        <f>"1-280W-"&amp;L9</f>
        <v>1-280W-2</v>
      </c>
      <c r="B9" s="126" t="s">
        <v>72</v>
      </c>
      <c r="C9" s="269" t="s">
        <v>589</v>
      </c>
      <c r="D9" s="115">
        <f>VLOOKUP(L9,'280W'!A:T,2,0)</f>
        <v>45289</v>
      </c>
      <c r="E9" s="271" t="str">
        <f>M9&amp;M10</f>
        <v>58 M3</v>
      </c>
      <c r="F9" s="115">
        <f>D9</f>
        <v>45289</v>
      </c>
      <c r="G9" s="299"/>
      <c r="H9" s="117" t="str">
        <f t="shared" ref="H9" si="2">N9&amp;M10</f>
        <v>58 M3</v>
      </c>
      <c r="I9" s="264" t="s">
        <v>48</v>
      </c>
      <c r="J9" s="274" t="str">
        <f>IF(R9=0,"上  溢："&amp;S9,IF(Q9=0,"任  泰："&amp;R9&amp;"                 "&amp;"上  溢："&amp;S9,
"水利處："&amp;Q9&amp;"                 "&amp;"任  泰："&amp;R9&amp;"                 "&amp;"上  溢："&amp;S9))</f>
        <v>任  泰：游文圃                 上  溢：康祐銓</v>
      </c>
      <c r="K9" s="264" t="s">
        <v>262</v>
      </c>
      <c r="L9" s="136">
        <f>L7+1</f>
        <v>2</v>
      </c>
      <c r="M9" s="128">
        <f>VLOOKUP(L9,'280W'!A:T,5,0)</f>
        <v>58</v>
      </c>
      <c r="N9" s="128">
        <f>N7+M9</f>
        <v>58</v>
      </c>
      <c r="O9" s="128">
        <f>VLOOKUP(L9,'280W'!A:T,6,0)</f>
        <v>1</v>
      </c>
      <c r="P9" s="128">
        <f>P7+O9</f>
        <v>2</v>
      </c>
      <c r="Q9" s="128">
        <f>VLOOKUP(L9,'280W'!A:T,18,0)</f>
        <v>0</v>
      </c>
      <c r="R9" s="128" t="str">
        <f>VLOOKUP(L9,'280W'!A:T,19,0)</f>
        <v>游文圃</v>
      </c>
      <c r="S9" s="128" t="str">
        <f>VLOOKUP(L9,'280W'!A:T,20,0)</f>
        <v>康祐銓</v>
      </c>
      <c r="T9" s="139"/>
      <c r="U9" s="139"/>
      <c r="V9" s="139"/>
      <c r="W9" s="139"/>
      <c r="X9" s="139"/>
      <c r="Y9" s="139"/>
      <c r="Z9" s="139"/>
      <c r="AA9" s="139"/>
    </row>
    <row r="10" spans="1:27" s="140" customFormat="1" ht="61.5" customHeight="1">
      <c r="A10" s="268"/>
      <c r="B10" s="174" t="s">
        <v>215</v>
      </c>
      <c r="C10" s="270"/>
      <c r="D10" s="116" t="str">
        <f>M9&amp;M10</f>
        <v>58 M3</v>
      </c>
      <c r="E10" s="272"/>
      <c r="F10" s="117" t="str">
        <f>E9&amp;CHAR(10)&amp;"("&amp;O9&amp;O10&amp;")"</f>
        <v>58 M3
(1組)</v>
      </c>
      <c r="G10" s="299"/>
      <c r="H10" s="117" t="str">
        <f t="shared" ref="H10" si="3">H9&amp;CHAR(10)&amp;"("&amp;P9&amp;O10&amp;")"</f>
        <v>58 M3
(2組)</v>
      </c>
      <c r="I10" s="266"/>
      <c r="J10" s="274"/>
      <c r="K10" s="265"/>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67" t="str">
        <f>"1-280W-"&amp;L11</f>
        <v>1-280W-3</v>
      </c>
      <c r="B11" s="126" t="s">
        <v>72</v>
      </c>
      <c r="C11" s="269" t="s">
        <v>589</v>
      </c>
      <c r="D11" s="115">
        <f>VLOOKUP(L11,'280W'!A:T,2,0)</f>
        <v>45296</v>
      </c>
      <c r="E11" s="271" t="str">
        <f>M11&amp;M12</f>
        <v>58 M3</v>
      </c>
      <c r="F11" s="115">
        <f>D11</f>
        <v>45296</v>
      </c>
      <c r="G11" s="299"/>
      <c r="H11" s="117" t="str">
        <f t="shared" ref="H11" si="4">N11&amp;M12</f>
        <v>116 M3</v>
      </c>
      <c r="I11" s="264" t="s">
        <v>48</v>
      </c>
      <c r="J11" s="274" t="str">
        <f>IF(R11=0,"上  溢："&amp;S11,IF(Q11=0,"任  泰："&amp;R11&amp;"                 "&amp;"上  溢："&amp;S11,
"水利處："&amp;Q11&amp;"                 "&amp;"任  泰："&amp;R11&amp;"                 "&amp;"上  溢："&amp;S11))</f>
        <v>任  泰：游文圃                 上  溢：康祐銓</v>
      </c>
      <c r="K11" s="264" t="s">
        <v>263</v>
      </c>
      <c r="L11" s="136">
        <f>L9+1</f>
        <v>3</v>
      </c>
      <c r="M11" s="128">
        <f>VLOOKUP(L11,'280W'!A:T,5,0)</f>
        <v>58</v>
      </c>
      <c r="N11" s="128">
        <f>N9+M11</f>
        <v>116</v>
      </c>
      <c r="O11" s="128">
        <f>VLOOKUP(L11,'280W'!A:T,6,0)</f>
        <v>1</v>
      </c>
      <c r="P11" s="128">
        <f>P9+O11</f>
        <v>3</v>
      </c>
      <c r="Q11" s="128">
        <f>VLOOKUP(L11,'280W'!A:T,18,0)</f>
        <v>0</v>
      </c>
      <c r="R11" s="128" t="str">
        <f>VLOOKUP(L11,'280W'!A:T,19,0)</f>
        <v>游文圃</v>
      </c>
      <c r="S11" s="128" t="str">
        <f>VLOOKUP(L11,'280W'!A:T,20,0)</f>
        <v>康祐銓</v>
      </c>
      <c r="T11" s="137"/>
      <c r="U11" s="137"/>
      <c r="V11" s="137"/>
      <c r="W11" s="137"/>
      <c r="X11" s="137"/>
      <c r="Y11" s="137"/>
      <c r="Z11" s="137"/>
      <c r="AA11" s="137"/>
    </row>
    <row r="12" spans="1:27" s="138" customFormat="1" ht="61.5" customHeight="1">
      <c r="A12" s="268"/>
      <c r="B12" s="174" t="s">
        <v>215</v>
      </c>
      <c r="C12" s="270"/>
      <c r="D12" s="116" t="str">
        <f>M11&amp;M12</f>
        <v>58 M3</v>
      </c>
      <c r="E12" s="272"/>
      <c r="F12" s="117" t="str">
        <f>E11&amp;CHAR(10)&amp;"("&amp;O11&amp;O12&amp;")"</f>
        <v>58 M3
(1組)</v>
      </c>
      <c r="G12" s="299"/>
      <c r="H12" s="117" t="str">
        <f t="shared" ref="H12" si="5">H11&amp;CHAR(10)&amp;"("&amp;P11&amp;O12&amp;")"</f>
        <v>116 M3
(3組)</v>
      </c>
      <c r="I12" s="266"/>
      <c r="J12" s="274"/>
      <c r="K12" s="265"/>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67" t="str">
        <f>"1-280W-"&amp;L13</f>
        <v>1-280W-4</v>
      </c>
      <c r="B13" s="126" t="s">
        <v>72</v>
      </c>
      <c r="C13" s="269" t="s">
        <v>589</v>
      </c>
      <c r="D13" s="115">
        <f>VLOOKUP(L13,'280W'!A:T,2,0)</f>
        <v>45300</v>
      </c>
      <c r="E13" s="271" t="str">
        <f>M13&amp;M14</f>
        <v>58 M3</v>
      </c>
      <c r="F13" s="115">
        <f>D13</f>
        <v>45300</v>
      </c>
      <c r="G13" s="282"/>
      <c r="H13" s="117" t="str">
        <f t="shared" ref="H13" si="6">N13&amp;M14</f>
        <v>174 M3</v>
      </c>
      <c r="I13" s="264" t="s">
        <v>48</v>
      </c>
      <c r="J13" s="274" t="str">
        <f>IF(R13=0,"上  溢："&amp;S13,IF(Q13=0,"任  泰："&amp;R13&amp;"                 "&amp;"上  溢："&amp;S13,
"水利處："&amp;Q13&amp;"                 "&amp;"任  泰："&amp;R13&amp;"                 "&amp;"上  溢："&amp;S13))</f>
        <v>任  泰：游文圃                 上  溢：郭冠廷</v>
      </c>
      <c r="K13" s="264" t="s">
        <v>264</v>
      </c>
      <c r="L13" s="136">
        <f>L11+1</f>
        <v>4</v>
      </c>
      <c r="M13" s="128">
        <f>VLOOKUP(L13,'280W'!A:T,5,0)</f>
        <v>58</v>
      </c>
      <c r="N13" s="128">
        <f>N11+M13</f>
        <v>174</v>
      </c>
      <c r="O13" s="128">
        <f>VLOOKUP(L13,'280W'!A:T,6,0)</f>
        <v>1</v>
      </c>
      <c r="P13" s="128">
        <f>P11+O13</f>
        <v>4</v>
      </c>
      <c r="Q13" s="128">
        <f>VLOOKUP(L13,'280W'!A:T,18,0)</f>
        <v>0</v>
      </c>
      <c r="R13" s="128" t="str">
        <f>VLOOKUP(L13,'280W'!A:T,19,0)</f>
        <v>游文圃</v>
      </c>
      <c r="S13" s="128" t="str">
        <f>VLOOKUP(L13,'280W'!A:T,20,0)</f>
        <v>郭冠廷</v>
      </c>
      <c r="T13" s="137"/>
      <c r="U13" s="137"/>
      <c r="V13" s="137"/>
      <c r="W13" s="137"/>
      <c r="X13" s="137"/>
      <c r="Y13" s="137"/>
      <c r="Z13" s="137"/>
      <c r="AA13" s="137"/>
    </row>
    <row r="14" spans="1:27" s="138" customFormat="1" ht="61.5" customHeight="1">
      <c r="A14" s="268"/>
      <c r="B14" s="174" t="s">
        <v>215</v>
      </c>
      <c r="C14" s="270"/>
      <c r="D14" s="116" t="str">
        <f>M13&amp;M14</f>
        <v>58 M3</v>
      </c>
      <c r="E14" s="272"/>
      <c r="F14" s="117" t="str">
        <f>E13&amp;CHAR(10)&amp;"("&amp;O13&amp;O14&amp;")"</f>
        <v>58 M3
(1組)</v>
      </c>
      <c r="G14" s="282"/>
      <c r="H14" s="117" t="str">
        <f t="shared" ref="H14" si="7">H13&amp;CHAR(10)&amp;"("&amp;P13&amp;O14&amp;")"</f>
        <v>174 M3
(4組)</v>
      </c>
      <c r="I14" s="266"/>
      <c r="J14" s="274"/>
      <c r="K14" s="265"/>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67" t="str">
        <f>"1-280W-"&amp;L15</f>
        <v>1-280W-5</v>
      </c>
      <c r="B15" s="126" t="s">
        <v>72</v>
      </c>
      <c r="C15" s="269" t="s">
        <v>589</v>
      </c>
      <c r="D15" s="115">
        <f>VLOOKUP(L15,'280W'!A:T,2,0)</f>
        <v>45303</v>
      </c>
      <c r="E15" s="271" t="str">
        <f>M15&amp;M16</f>
        <v>58 M3</v>
      </c>
      <c r="F15" s="115">
        <f>D15</f>
        <v>45303</v>
      </c>
      <c r="G15" s="282"/>
      <c r="H15" s="117" t="str">
        <f t="shared" ref="H15" si="8">N15&amp;M16</f>
        <v>232 M3</v>
      </c>
      <c r="I15" s="264" t="s">
        <v>48</v>
      </c>
      <c r="J15" s="274" t="str">
        <f>IF(R15=0,"上  溢："&amp;S15,IF(Q15=0,"任  泰："&amp;R15&amp;"                 "&amp;"上  溢："&amp;S15,
"水利處："&amp;Q15&amp;"                 "&amp;"任  泰："&amp;R15&amp;"                 "&amp;"上  溢："&amp;S15))</f>
        <v>水利處：李晏然                 任  泰：游文圃                 上  溢：郭冠廷</v>
      </c>
      <c r="K15" s="264" t="s">
        <v>268</v>
      </c>
      <c r="L15" s="136">
        <f>L13+1</f>
        <v>5</v>
      </c>
      <c r="M15" s="128">
        <f>VLOOKUP(L15,'280W'!A:T,5,0)</f>
        <v>58</v>
      </c>
      <c r="N15" s="128">
        <f>N13+M15</f>
        <v>232</v>
      </c>
      <c r="O15" s="128">
        <f>VLOOKUP(L15,'280W'!A:T,6,0)</f>
        <v>1</v>
      </c>
      <c r="P15" s="128">
        <f>P13+O15</f>
        <v>5</v>
      </c>
      <c r="Q15" s="128" t="str">
        <f>VLOOKUP(L15,'280W'!A:T,18,0)</f>
        <v>李晏然</v>
      </c>
      <c r="R15" s="128" t="str">
        <f>VLOOKUP(L15,'280W'!A:T,19,0)</f>
        <v>游文圃</v>
      </c>
      <c r="S15" s="128" t="str">
        <f>VLOOKUP(L15,'280W'!A:T,20,0)</f>
        <v>郭冠廷</v>
      </c>
      <c r="T15" s="137"/>
      <c r="U15" s="137"/>
      <c r="V15" s="137"/>
      <c r="W15" s="137"/>
      <c r="X15" s="137"/>
      <c r="Y15" s="137"/>
      <c r="Z15" s="137"/>
      <c r="AA15" s="137"/>
    </row>
    <row r="16" spans="1:27" s="138" customFormat="1" ht="61.5" customHeight="1">
      <c r="A16" s="268"/>
      <c r="B16" s="174" t="s">
        <v>215</v>
      </c>
      <c r="C16" s="270"/>
      <c r="D16" s="116" t="str">
        <f>M15&amp;M16</f>
        <v>58 M3</v>
      </c>
      <c r="E16" s="272"/>
      <c r="F16" s="117" t="str">
        <f>E15&amp;CHAR(10)&amp;"("&amp;O15&amp;O16&amp;")"</f>
        <v>58 M3
(1組)</v>
      </c>
      <c r="G16" s="265"/>
      <c r="H16" s="117" t="str">
        <f t="shared" ref="H16" si="9">H15&amp;CHAR(10)&amp;"("&amp;P15&amp;O16&amp;")"</f>
        <v>232 M3
(5組)</v>
      </c>
      <c r="I16" s="266"/>
      <c r="J16" s="274"/>
      <c r="K16" s="265"/>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60" t="s">
        <v>47</v>
      </c>
      <c r="B17" s="261"/>
      <c r="C17" s="262"/>
      <c r="D17" s="260" t="s">
        <v>1753</v>
      </c>
      <c r="E17" s="261"/>
      <c r="F17" s="261"/>
      <c r="G17" s="262"/>
      <c r="H17" s="260" t="s">
        <v>1755</v>
      </c>
      <c r="I17" s="261"/>
      <c r="J17" s="261"/>
      <c r="K17" s="262"/>
      <c r="M17" s="143"/>
      <c r="N17" s="143"/>
      <c r="O17" s="143"/>
      <c r="P17" s="143"/>
      <c r="Q17" s="143"/>
      <c r="R17" s="143"/>
      <c r="S17" s="143"/>
      <c r="T17" s="143"/>
      <c r="U17" s="143"/>
      <c r="V17" s="143"/>
      <c r="W17" s="143"/>
      <c r="X17" s="143"/>
      <c r="Y17" s="143"/>
      <c r="Z17" s="143"/>
      <c r="AA17" s="143"/>
    </row>
    <row r="18" spans="1:27" s="142" customFormat="1" ht="55.5"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19" spans="1:27" s="140" customFormat="1" ht="61.5" customHeight="1">
      <c r="A19" s="283" t="str">
        <f>"1-280W-"&amp;L19</f>
        <v>1-280W-6</v>
      </c>
      <c r="B19" s="126" t="s">
        <v>72</v>
      </c>
      <c r="C19" s="269" t="s">
        <v>589</v>
      </c>
      <c r="D19" s="115">
        <f>VLOOKUP(L19,'280W'!A:T,2,0)</f>
        <v>45309</v>
      </c>
      <c r="E19" s="271" t="str">
        <f>M19&amp;M20</f>
        <v>58 M3</v>
      </c>
      <c r="F19" s="115">
        <f>D19</f>
        <v>45309</v>
      </c>
      <c r="G19" s="278" t="s">
        <v>145</v>
      </c>
      <c r="H19" s="117" t="str">
        <f t="shared" ref="H19" si="10">N19&amp;M20</f>
        <v>290 M3</v>
      </c>
      <c r="I19" s="264" t="s">
        <v>48</v>
      </c>
      <c r="J19" s="274" t="str">
        <f>IF(R19=0,"上  溢："&amp;S19,IF(Q19=0,"任  泰："&amp;R19&amp;"                 "&amp;"上  溢："&amp;S19,
"水利處："&amp;Q19&amp;"                 "&amp;"任  泰："&amp;R19&amp;"                 "&amp;"上  溢："&amp;S19))</f>
        <v>任  泰：游文圃                 上  溢：郭冠廷</v>
      </c>
      <c r="K19" s="264" t="s">
        <v>269</v>
      </c>
      <c r="L19" s="136">
        <f>L15+1</f>
        <v>6</v>
      </c>
      <c r="M19" s="128">
        <f>VLOOKUP(L19,'280W'!A:T,5,0)</f>
        <v>58</v>
      </c>
      <c r="N19" s="128">
        <f>N15+M19</f>
        <v>290</v>
      </c>
      <c r="O19" s="128">
        <f>VLOOKUP(L19,'280W'!A:T,6,0)</f>
        <v>1</v>
      </c>
      <c r="P19" s="128">
        <f>P15+O19</f>
        <v>6</v>
      </c>
      <c r="Q19" s="128">
        <f>VLOOKUP(L19,'280W'!A:T,18,0)</f>
        <v>0</v>
      </c>
      <c r="R19" s="128" t="str">
        <f>VLOOKUP(L19,'280W'!A:T,19,0)</f>
        <v>游文圃</v>
      </c>
      <c r="S19" s="128" t="str">
        <f>VLOOKUP(L19,'280W'!A:T,20,0)</f>
        <v>郭冠廷</v>
      </c>
      <c r="T19" s="139"/>
      <c r="U19" s="139"/>
      <c r="V19" s="139"/>
      <c r="W19" s="139"/>
      <c r="X19" s="139"/>
      <c r="Y19" s="139"/>
      <c r="Z19" s="139"/>
      <c r="AA19" s="139"/>
    </row>
    <row r="20" spans="1:27" s="140" customFormat="1" ht="61.5" customHeight="1">
      <c r="A20" s="284"/>
      <c r="B20" s="174" t="s">
        <v>215</v>
      </c>
      <c r="C20" s="270"/>
      <c r="D20" s="116" t="str">
        <f>M19&amp;M20</f>
        <v>58 M3</v>
      </c>
      <c r="E20" s="272"/>
      <c r="F20" s="117" t="str">
        <f>E19&amp;CHAR(10)&amp;"("&amp;O19&amp;O20&amp;")"</f>
        <v>58 M3
(1組)</v>
      </c>
      <c r="G20" s="299"/>
      <c r="H20" s="117" t="str">
        <f t="shared" ref="H20" si="11">H19&amp;CHAR(10)&amp;"("&amp;P19&amp;O20&amp;")"</f>
        <v>290 M3
(6組)</v>
      </c>
      <c r="I20" s="266"/>
      <c r="J20" s="274"/>
      <c r="K20" s="265"/>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307" t="str">
        <f>"1-280W-"&amp;L21</f>
        <v>1-280W-7</v>
      </c>
      <c r="B21" s="172" t="s">
        <v>72</v>
      </c>
      <c r="C21" s="295" t="s">
        <v>589</v>
      </c>
      <c r="D21" s="115">
        <f>VLOOKUP(L21,'280W'!A:T,2,0)</f>
        <v>45311</v>
      </c>
      <c r="E21" s="271" t="str">
        <f>M21&amp;M22</f>
        <v>58 M3</v>
      </c>
      <c r="F21" s="115">
        <f>D21</f>
        <v>45311</v>
      </c>
      <c r="G21" s="299"/>
      <c r="H21" s="184" t="str">
        <f t="shared" ref="H21" si="12">N21&amp;M22</f>
        <v>348 M3</v>
      </c>
      <c r="I21" s="264" t="s">
        <v>48</v>
      </c>
      <c r="J21" s="306" t="str">
        <f>IF(R21=0,"上  溢："&amp;S21,IF(Q21=0,"任  泰："&amp;R21&amp;"                 "&amp;"上  溢："&amp;S21,
"水利處："&amp;Q21&amp;"                 "&amp;"任  泰："&amp;R21&amp;"                 "&amp;"上  溢："&amp;S21))</f>
        <v>任  泰：白博文                 上  溢：郭冠廷</v>
      </c>
      <c r="K21" s="278" t="s">
        <v>271</v>
      </c>
      <c r="L21" s="136">
        <f>L19+1</f>
        <v>7</v>
      </c>
      <c r="M21" s="128">
        <f>VLOOKUP(L21,'280W'!A:T,5,0)</f>
        <v>58</v>
      </c>
      <c r="N21" s="128">
        <f>N19+M21</f>
        <v>348</v>
      </c>
      <c r="O21" s="128">
        <f>VLOOKUP(L21,'280W'!A:T,6,0)</f>
        <v>1</v>
      </c>
      <c r="P21" s="128">
        <f>P19+O21</f>
        <v>7</v>
      </c>
      <c r="Q21" s="128">
        <f>VLOOKUP(L21,'280W'!A:T,18,0)</f>
        <v>0</v>
      </c>
      <c r="R21" s="128" t="str">
        <f>VLOOKUP(L21,'280W'!A:T,19,0)</f>
        <v>白博文</v>
      </c>
      <c r="S21" s="128" t="str">
        <f>VLOOKUP(L21,'280W'!A:T,20,0)</f>
        <v>郭冠廷</v>
      </c>
      <c r="T21" s="137"/>
      <c r="U21" s="137"/>
      <c r="V21" s="137"/>
      <c r="W21" s="137"/>
      <c r="X21" s="137"/>
      <c r="Y21" s="137"/>
      <c r="Z21" s="137"/>
      <c r="AA21" s="137"/>
    </row>
    <row r="22" spans="1:27" s="138" customFormat="1" ht="61.5" customHeight="1">
      <c r="A22" s="308"/>
      <c r="B22" s="185" t="s">
        <v>215</v>
      </c>
      <c r="C22" s="296"/>
      <c r="D22" s="116" t="str">
        <f>M21&amp;M22</f>
        <v>58 M3</v>
      </c>
      <c r="E22" s="272"/>
      <c r="F22" s="117" t="str">
        <f>E21&amp;CHAR(10)&amp;"("&amp;O21&amp;O22&amp;")"</f>
        <v>58 M3
(1組)</v>
      </c>
      <c r="G22" s="299"/>
      <c r="H22" s="184" t="str">
        <f t="shared" ref="H22" si="13">H21&amp;CHAR(10)&amp;"("&amp;P21&amp;O22&amp;")"</f>
        <v>348 M3
(7組)</v>
      </c>
      <c r="I22" s="266"/>
      <c r="J22" s="306"/>
      <c r="K22" s="265"/>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307" t="str">
        <f>"1-280W-"&amp;L23</f>
        <v>1-280W-8</v>
      </c>
      <c r="B23" s="172" t="s">
        <v>72</v>
      </c>
      <c r="C23" s="295" t="s">
        <v>589</v>
      </c>
      <c r="D23" s="115">
        <f>VLOOKUP(L23,'280W'!A:T,2,0)</f>
        <v>45314</v>
      </c>
      <c r="E23" s="271" t="str">
        <f>M23&amp;M24</f>
        <v>58 M3</v>
      </c>
      <c r="F23" s="115">
        <f>D23</f>
        <v>45314</v>
      </c>
      <c r="G23" s="299"/>
      <c r="H23" s="184" t="str">
        <f t="shared" ref="H23" si="14">N23&amp;M24</f>
        <v>406 M3</v>
      </c>
      <c r="I23" s="264" t="s">
        <v>48</v>
      </c>
      <c r="J23" s="306" t="str">
        <f>IF(R23=0,"上  溢："&amp;S23,IF(Q23=0,"任  泰："&amp;R23&amp;"                 "&amp;"上  溢："&amp;S23,
"水利處："&amp;Q23&amp;"                 "&amp;"任  泰："&amp;R23&amp;"                 "&amp;"上  溢："&amp;S23))</f>
        <v>任  泰：白博文                 上  溢：郭冠廷</v>
      </c>
      <c r="K23" s="278" t="s">
        <v>272</v>
      </c>
      <c r="L23" s="136">
        <f>L21+1</f>
        <v>8</v>
      </c>
      <c r="M23" s="128">
        <f>VLOOKUP(L23,'280W'!A:T,5,0)</f>
        <v>58</v>
      </c>
      <c r="N23" s="128">
        <f>N21+M23</f>
        <v>406</v>
      </c>
      <c r="O23" s="128">
        <f>VLOOKUP(L23,'280W'!A:T,6,0)</f>
        <v>1</v>
      </c>
      <c r="P23" s="128">
        <f>P21+O23</f>
        <v>8</v>
      </c>
      <c r="Q23" s="128">
        <f>VLOOKUP(L23,'280W'!A:T,18,0)</f>
        <v>0</v>
      </c>
      <c r="R23" s="128" t="str">
        <f>VLOOKUP(L23,'280W'!A:T,19,0)</f>
        <v>白博文</v>
      </c>
      <c r="S23" s="128" t="str">
        <f>VLOOKUP(L23,'280W'!A:T,20,0)</f>
        <v>郭冠廷</v>
      </c>
      <c r="T23" s="137"/>
      <c r="U23" s="137"/>
      <c r="V23" s="137"/>
      <c r="W23" s="137"/>
      <c r="X23" s="137"/>
      <c r="Y23" s="137"/>
      <c r="Z23" s="137"/>
      <c r="AA23" s="137"/>
    </row>
    <row r="24" spans="1:27" s="138" customFormat="1" ht="61.5" customHeight="1">
      <c r="A24" s="308"/>
      <c r="B24" s="185" t="s">
        <v>215</v>
      </c>
      <c r="C24" s="296"/>
      <c r="D24" s="116" t="str">
        <f>M23&amp;M24</f>
        <v>58 M3</v>
      </c>
      <c r="E24" s="272"/>
      <c r="F24" s="117" t="str">
        <f>E23&amp;CHAR(10)&amp;"("&amp;O23&amp;O24&amp;")"</f>
        <v>58 M3
(1組)</v>
      </c>
      <c r="G24" s="299"/>
      <c r="H24" s="184" t="str">
        <f t="shared" ref="H24" si="15">H23&amp;CHAR(10)&amp;"("&amp;P23&amp;O24&amp;")"</f>
        <v>406 M3
(8組)</v>
      </c>
      <c r="I24" s="266"/>
      <c r="J24" s="306"/>
      <c r="K24" s="265"/>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307" t="str">
        <f>"1-280W-"&amp;L25</f>
        <v>1-280W-9</v>
      </c>
      <c r="B25" s="172" t="s">
        <v>72</v>
      </c>
      <c r="C25" s="295" t="s">
        <v>589</v>
      </c>
      <c r="D25" s="115">
        <f>VLOOKUP(L25,'280W'!A:T,2,0)</f>
        <v>45320</v>
      </c>
      <c r="E25" s="271" t="str">
        <f>M25&amp;M26</f>
        <v>58 M3</v>
      </c>
      <c r="F25" s="115">
        <f>D25</f>
        <v>45320</v>
      </c>
      <c r="G25" s="282"/>
      <c r="H25" s="184" t="str">
        <f t="shared" ref="H25" si="16">N25&amp;M26</f>
        <v>464 M3</v>
      </c>
      <c r="I25" s="264" t="s">
        <v>48</v>
      </c>
      <c r="J25" s="306" t="str">
        <f>IF(R25=0,"上  溢："&amp;S25,IF(Q25=0,"任  泰："&amp;R25&amp;"                 "&amp;"上  溢："&amp;S25,
"水利處："&amp;Q25&amp;"                 "&amp;"任  泰："&amp;R25&amp;"                 "&amp;"上  溢："&amp;S25))</f>
        <v>任  泰：白博文                 上  溢：郭冠廷</v>
      </c>
      <c r="K25" s="278" t="s">
        <v>273</v>
      </c>
      <c r="L25" s="136">
        <f>L23+1</f>
        <v>9</v>
      </c>
      <c r="M25" s="128">
        <f>VLOOKUP(L25,'280W'!A:T,5,0)</f>
        <v>58</v>
      </c>
      <c r="N25" s="128">
        <f>N23+M25</f>
        <v>464</v>
      </c>
      <c r="O25" s="128">
        <f>VLOOKUP(L25,'280W'!A:T,6,0)</f>
        <v>1</v>
      </c>
      <c r="P25" s="128">
        <f>P23+O25</f>
        <v>9</v>
      </c>
      <c r="Q25" s="128">
        <f>VLOOKUP(L25,'280W'!A:T,18,0)</f>
        <v>0</v>
      </c>
      <c r="R25" s="128" t="str">
        <f>VLOOKUP(L25,'280W'!A:T,19,0)</f>
        <v>白博文</v>
      </c>
      <c r="S25" s="128" t="str">
        <f>VLOOKUP(L25,'280W'!A:T,20,0)</f>
        <v>郭冠廷</v>
      </c>
      <c r="T25" s="137"/>
      <c r="U25" s="137"/>
      <c r="V25" s="137"/>
      <c r="W25" s="137"/>
      <c r="X25" s="137"/>
      <c r="Y25" s="137"/>
      <c r="Z25" s="137"/>
      <c r="AA25" s="137"/>
    </row>
    <row r="26" spans="1:27" s="138" customFormat="1" ht="61.5" customHeight="1">
      <c r="A26" s="308"/>
      <c r="B26" s="185" t="s">
        <v>215</v>
      </c>
      <c r="C26" s="296"/>
      <c r="D26" s="116" t="str">
        <f>M25&amp;M26</f>
        <v>58 M3</v>
      </c>
      <c r="E26" s="272"/>
      <c r="F26" s="117" t="str">
        <f>E25&amp;CHAR(10)&amp;"("&amp;O25&amp;O26&amp;")"</f>
        <v>58 M3
(1組)</v>
      </c>
      <c r="G26" s="282"/>
      <c r="H26" s="184" t="str">
        <f t="shared" ref="H26" si="17">H25&amp;CHAR(10)&amp;"("&amp;P25&amp;O26&amp;")"</f>
        <v>464 M3
(9組)</v>
      </c>
      <c r="I26" s="266"/>
      <c r="J26" s="306"/>
      <c r="K26" s="265"/>
      <c r="L26" s="127"/>
      <c r="M26" s="127" t="s">
        <v>201</v>
      </c>
      <c r="N26" s="128"/>
      <c r="O26" s="128" t="s">
        <v>204</v>
      </c>
      <c r="P26" s="128"/>
      <c r="Q26" s="128"/>
      <c r="R26" s="128"/>
      <c r="S26" s="128"/>
      <c r="T26" s="137"/>
      <c r="U26" s="137"/>
      <c r="V26" s="137"/>
      <c r="W26" s="137"/>
      <c r="X26" s="137"/>
      <c r="Y26" s="137"/>
      <c r="Z26" s="137"/>
      <c r="AA26" s="137"/>
    </row>
    <row r="27" spans="1:27" s="140" customFormat="1" ht="61.5" customHeight="1">
      <c r="A27" s="304" t="str">
        <f>"1-280W-"&amp;L27</f>
        <v>1-280W-10</v>
      </c>
      <c r="B27" s="186" t="s">
        <v>72</v>
      </c>
      <c r="C27" s="295" t="s">
        <v>589</v>
      </c>
      <c r="D27" s="115">
        <f>VLOOKUP(L27,'280W'!A:T,2,0)</f>
        <v>45321</v>
      </c>
      <c r="E27" s="271" t="str">
        <f>M27&amp;M28</f>
        <v>41 M3</v>
      </c>
      <c r="F27" s="115">
        <f>D27</f>
        <v>45321</v>
      </c>
      <c r="G27" s="282"/>
      <c r="H27" s="184" t="str">
        <f t="shared" ref="H27" si="18">N27&amp;M28</f>
        <v>505 M3</v>
      </c>
      <c r="I27" s="264" t="s">
        <v>48</v>
      </c>
      <c r="J27" s="306" t="str">
        <f>IF(R27=0,"上  溢："&amp;S27,IF(Q27=0,"任  泰："&amp;R27&amp;"                 "&amp;"上  溢："&amp;S27,
"水利處："&amp;Q27&amp;"                 "&amp;"任  泰："&amp;R27&amp;"                 "&amp;"上  溢："&amp;S27))</f>
        <v>任  泰：白博文                 上  溢：郭冠廷</v>
      </c>
      <c r="K27" s="278" t="s">
        <v>274</v>
      </c>
      <c r="L27" s="136">
        <f>L25+1</f>
        <v>10</v>
      </c>
      <c r="M27" s="128">
        <f>VLOOKUP(L27,'280W'!A:T,5,0)</f>
        <v>41</v>
      </c>
      <c r="N27" s="128">
        <f>N25+M27</f>
        <v>505</v>
      </c>
      <c r="O27" s="128">
        <f>VLOOKUP(L27,'280W'!A:T,6,0)</f>
        <v>1</v>
      </c>
      <c r="P27" s="128">
        <f>P25+O27</f>
        <v>10</v>
      </c>
      <c r="Q27" s="128">
        <f>VLOOKUP(L27,'280W'!A:T,18,0)</f>
        <v>0</v>
      </c>
      <c r="R27" s="128" t="str">
        <f>VLOOKUP(L27,'280W'!A:T,19,0)</f>
        <v>白博文</v>
      </c>
      <c r="S27" s="128" t="str">
        <f>VLOOKUP(L27,'280W'!A:T,20,0)</f>
        <v>郭冠廷</v>
      </c>
      <c r="T27" s="139"/>
      <c r="U27" s="139"/>
      <c r="V27" s="139"/>
      <c r="W27" s="139"/>
      <c r="X27" s="139"/>
      <c r="Y27" s="139"/>
      <c r="Z27" s="139"/>
      <c r="AA27" s="139"/>
    </row>
    <row r="28" spans="1:27" s="140" customFormat="1" ht="61.5" customHeight="1">
      <c r="A28" s="305"/>
      <c r="B28" s="185" t="s">
        <v>215</v>
      </c>
      <c r="C28" s="296"/>
      <c r="D28" s="116" t="str">
        <f>M27&amp;M28</f>
        <v>41 M3</v>
      </c>
      <c r="E28" s="272"/>
      <c r="F28" s="117" t="str">
        <f>E27&amp;CHAR(10)&amp;"("&amp;O27&amp;O28&amp;")"</f>
        <v>41 M3
(1組)</v>
      </c>
      <c r="G28" s="265"/>
      <c r="H28" s="184" t="str">
        <f t="shared" ref="H28" si="19">H27&amp;CHAR(10)&amp;"("&amp;P27&amp;O28&amp;")"</f>
        <v>505 M3
(10組)</v>
      </c>
      <c r="I28" s="266"/>
      <c r="J28" s="306"/>
      <c r="K28" s="265"/>
      <c r="L28" s="127"/>
      <c r="M28" s="127" t="s">
        <v>201</v>
      </c>
      <c r="N28" s="128"/>
      <c r="O28" s="128" t="s">
        <v>204</v>
      </c>
      <c r="P28" s="128"/>
      <c r="Q28" s="128"/>
      <c r="R28" s="128"/>
      <c r="S28" s="128"/>
      <c r="T28" s="139"/>
      <c r="U28" s="139"/>
      <c r="V28" s="139"/>
      <c r="W28" s="139"/>
      <c r="X28" s="139"/>
      <c r="Y28" s="139"/>
      <c r="Z28" s="139"/>
      <c r="AA28" s="139"/>
    </row>
    <row r="29" spans="1:27" s="142" customFormat="1" ht="49.5" customHeight="1">
      <c r="A29" s="260" t="s">
        <v>47</v>
      </c>
      <c r="B29" s="261"/>
      <c r="C29" s="262"/>
      <c r="D29" s="260" t="s">
        <v>1753</v>
      </c>
      <c r="E29" s="261"/>
      <c r="F29" s="261"/>
      <c r="G29" s="262"/>
      <c r="H29" s="260" t="s">
        <v>1755</v>
      </c>
      <c r="I29" s="261"/>
      <c r="J29" s="261"/>
      <c r="K29" s="262"/>
      <c r="M29" s="143"/>
      <c r="N29" s="143"/>
      <c r="O29" s="143"/>
      <c r="P29" s="143"/>
      <c r="Q29" s="143"/>
      <c r="R29" s="143"/>
      <c r="S29" s="143"/>
      <c r="T29" s="143"/>
      <c r="U29" s="143"/>
      <c r="V29" s="143"/>
      <c r="W29" s="143"/>
      <c r="X29" s="143"/>
      <c r="Y29" s="143"/>
      <c r="Z29" s="143"/>
      <c r="AA29" s="143"/>
    </row>
    <row r="30" spans="1:27" s="142" customFormat="1" ht="55.5" customHeight="1">
      <c r="A30" s="263" t="s">
        <v>1147</v>
      </c>
      <c r="B30" s="263"/>
      <c r="C30" s="263"/>
      <c r="D30" s="263"/>
      <c r="E30" s="263"/>
      <c r="F30" s="263"/>
      <c r="G30" s="263"/>
      <c r="H30" s="263"/>
      <c r="I30" s="263"/>
      <c r="J30" s="263"/>
      <c r="K30" s="263"/>
      <c r="M30" s="143"/>
      <c r="N30" s="143"/>
      <c r="O30" s="143"/>
      <c r="P30" s="143"/>
      <c r="Q30" s="143"/>
      <c r="R30" s="143"/>
      <c r="S30" s="143"/>
      <c r="T30" s="143"/>
      <c r="U30" s="143"/>
      <c r="V30" s="143"/>
      <c r="W30" s="143"/>
      <c r="X30" s="143"/>
      <c r="Y30" s="143"/>
      <c r="Z30" s="143"/>
      <c r="AA30" s="143"/>
    </row>
    <row r="31" spans="1:27" s="138" customFormat="1" ht="61.5" customHeight="1">
      <c r="A31" s="304" t="str">
        <f>"1-280W-"&amp;L31</f>
        <v>1-280W-11</v>
      </c>
      <c r="B31" s="172" t="s">
        <v>72</v>
      </c>
      <c r="C31" s="295" t="s">
        <v>589</v>
      </c>
      <c r="D31" s="115">
        <f>VLOOKUP(L31,'280W'!A:T,2,0)</f>
        <v>45323</v>
      </c>
      <c r="E31" s="271" t="str">
        <f>M31&amp;M32</f>
        <v>62 M3</v>
      </c>
      <c r="F31" s="115">
        <f>D31</f>
        <v>45323</v>
      </c>
      <c r="G31" s="278" t="s">
        <v>145</v>
      </c>
      <c r="H31" s="184" t="str">
        <f t="shared" ref="H31" si="20">N31&amp;M32</f>
        <v>567 M3</v>
      </c>
      <c r="I31" s="264" t="s">
        <v>48</v>
      </c>
      <c r="J31" s="306" t="str">
        <f>IF(R31=0,"上  溢："&amp;S31,IF(Q31=0,"任  泰："&amp;R31&amp;"                 "&amp;"上  溢："&amp;S31,
"水利處："&amp;Q31&amp;"                 "&amp;"任  泰："&amp;R31&amp;"                 "&amp;"上  溢："&amp;S31))</f>
        <v>任  泰：白博文                 上  溢：郭冠廷</v>
      </c>
      <c r="K31" s="278" t="s">
        <v>278</v>
      </c>
      <c r="L31" s="136">
        <f>L27+1</f>
        <v>11</v>
      </c>
      <c r="M31" s="128">
        <f>VLOOKUP(L31,'280W'!A:T,5,0)</f>
        <v>62</v>
      </c>
      <c r="N31" s="128">
        <f>N27+M31</f>
        <v>567</v>
      </c>
      <c r="O31" s="128">
        <f>VLOOKUP(L31,'280W'!A:T,6,0)</f>
        <v>1</v>
      </c>
      <c r="P31" s="128">
        <f>P27+O31</f>
        <v>11</v>
      </c>
      <c r="Q31" s="128">
        <f>VLOOKUP(L31,'280W'!A:T,18,0)</f>
        <v>0</v>
      </c>
      <c r="R31" s="128" t="str">
        <f>VLOOKUP(L31,'280W'!A:T,19,0)</f>
        <v>白博文</v>
      </c>
      <c r="S31" s="128" t="str">
        <f>VLOOKUP(L31,'280W'!A:T,20,0)</f>
        <v>郭冠廷</v>
      </c>
      <c r="T31" s="137"/>
      <c r="U31" s="137"/>
      <c r="V31" s="137"/>
      <c r="W31" s="137"/>
      <c r="X31" s="137"/>
      <c r="Y31" s="137"/>
      <c r="Z31" s="137"/>
      <c r="AA31" s="137"/>
    </row>
    <row r="32" spans="1:27" s="138" customFormat="1" ht="61.5" customHeight="1">
      <c r="A32" s="305"/>
      <c r="B32" s="185" t="s">
        <v>215</v>
      </c>
      <c r="C32" s="296"/>
      <c r="D32" s="116" t="str">
        <f>M31&amp;M32</f>
        <v>62 M3</v>
      </c>
      <c r="E32" s="272"/>
      <c r="F32" s="117" t="str">
        <f>E31&amp;CHAR(10)&amp;"("&amp;O31&amp;O32&amp;")"</f>
        <v>62 M3
(1組)</v>
      </c>
      <c r="G32" s="299"/>
      <c r="H32" s="184" t="str">
        <f t="shared" ref="H32" si="21">H31&amp;CHAR(10)&amp;"("&amp;P31&amp;O32&amp;")"</f>
        <v>567 M3
(11組)</v>
      </c>
      <c r="I32" s="266"/>
      <c r="J32" s="306"/>
      <c r="K32" s="265"/>
      <c r="L32" s="127"/>
      <c r="M32" s="127" t="s">
        <v>201</v>
      </c>
      <c r="N32" s="128"/>
      <c r="O32" s="128" t="s">
        <v>204</v>
      </c>
      <c r="P32" s="128"/>
      <c r="Q32" s="128"/>
      <c r="R32" s="128"/>
      <c r="S32" s="128"/>
      <c r="T32" s="137"/>
      <c r="U32" s="137"/>
      <c r="V32" s="137"/>
      <c r="W32" s="137"/>
      <c r="X32" s="137"/>
      <c r="Y32" s="137"/>
      <c r="Z32" s="137"/>
      <c r="AA32" s="137"/>
    </row>
    <row r="33" spans="1:27" s="138" customFormat="1" ht="61.5" customHeight="1">
      <c r="A33" s="304" t="str">
        <f>"1-280W-"&amp;L33</f>
        <v>1-280W-12</v>
      </c>
      <c r="B33" s="172" t="s">
        <v>72</v>
      </c>
      <c r="C33" s="295" t="s">
        <v>589</v>
      </c>
      <c r="D33" s="115">
        <f>VLOOKUP(L33,'280W'!A:T,2,0)</f>
        <v>45401</v>
      </c>
      <c r="E33" s="271" t="str">
        <f>M33&amp;M34</f>
        <v>58 M3</v>
      </c>
      <c r="F33" s="115">
        <f>D33</f>
        <v>45401</v>
      </c>
      <c r="G33" s="299"/>
      <c r="H33" s="184" t="str">
        <f t="shared" ref="H33" si="22">N33&amp;M34</f>
        <v>625 M3</v>
      </c>
      <c r="I33" s="264" t="s">
        <v>48</v>
      </c>
      <c r="J33" s="306" t="str">
        <f>IF(R33=0,"上  溢："&amp;S33,IF(Q33=0,"任  泰："&amp;R33&amp;"                 "&amp;"上  溢："&amp;S33,
"水利處："&amp;Q33&amp;"                 "&amp;"任  泰："&amp;R33&amp;"                 "&amp;"上  溢："&amp;S33))</f>
        <v>任  泰：白博文                 上  溢：郭冠廷</v>
      </c>
      <c r="K33" s="278" t="s">
        <v>394</v>
      </c>
      <c r="L33" s="136">
        <f>L31+1</f>
        <v>12</v>
      </c>
      <c r="M33" s="128">
        <f>VLOOKUP(L33,'280W'!A:T,5,0)</f>
        <v>58</v>
      </c>
      <c r="N33" s="128">
        <f>N31+M33</f>
        <v>625</v>
      </c>
      <c r="O33" s="128">
        <f>VLOOKUP(L33,'280W'!A:T,6,0)</f>
        <v>1</v>
      </c>
      <c r="P33" s="128">
        <f>P31+O33</f>
        <v>12</v>
      </c>
      <c r="Q33" s="128">
        <f>VLOOKUP(L33,'280W'!A:T,18,0)</f>
        <v>0</v>
      </c>
      <c r="R33" s="128" t="str">
        <f>VLOOKUP(L33,'280W'!A:T,19,0)</f>
        <v>白博文</v>
      </c>
      <c r="S33" s="128" t="str">
        <f>VLOOKUP(L33,'280W'!A:T,20,0)</f>
        <v>郭冠廷</v>
      </c>
      <c r="T33" s="137"/>
      <c r="U33" s="137"/>
      <c r="V33" s="137"/>
      <c r="W33" s="137"/>
      <c r="X33" s="137"/>
      <c r="Y33" s="137"/>
      <c r="Z33" s="137"/>
      <c r="AA33" s="137"/>
    </row>
    <row r="34" spans="1:27" s="138" customFormat="1" ht="61.5" customHeight="1">
      <c r="A34" s="305"/>
      <c r="B34" s="185" t="s">
        <v>215</v>
      </c>
      <c r="C34" s="296"/>
      <c r="D34" s="116" t="str">
        <f>M33&amp;M34</f>
        <v>58 M3</v>
      </c>
      <c r="E34" s="272"/>
      <c r="F34" s="117" t="str">
        <f>E33&amp;CHAR(10)&amp;"("&amp;O33&amp;O34&amp;")"</f>
        <v>58 M3
(1組)</v>
      </c>
      <c r="G34" s="299"/>
      <c r="H34" s="184" t="str">
        <f t="shared" ref="H34" si="23">H33&amp;CHAR(10)&amp;"("&amp;P33&amp;O34&amp;")"</f>
        <v>625 M3
(12組)</v>
      </c>
      <c r="I34" s="266"/>
      <c r="J34" s="306"/>
      <c r="K34" s="265"/>
      <c r="L34" s="127"/>
      <c r="M34" s="127" t="s">
        <v>201</v>
      </c>
      <c r="N34" s="128"/>
      <c r="O34" s="128" t="s">
        <v>204</v>
      </c>
      <c r="P34" s="128"/>
      <c r="Q34" s="128"/>
      <c r="R34" s="128"/>
      <c r="S34" s="128"/>
      <c r="T34" s="137"/>
      <c r="U34" s="137"/>
      <c r="V34" s="137"/>
      <c r="W34" s="137"/>
      <c r="X34" s="137"/>
      <c r="Y34" s="137"/>
      <c r="Z34" s="137"/>
      <c r="AA34" s="137"/>
    </row>
    <row r="35" spans="1:27" s="138" customFormat="1" ht="61.5" customHeight="1">
      <c r="A35" s="304" t="str">
        <f>"1-280W-"&amp;L35</f>
        <v>1-280W-13</v>
      </c>
      <c r="B35" s="172" t="s">
        <v>72</v>
      </c>
      <c r="C35" s="295" t="s">
        <v>589</v>
      </c>
      <c r="D35" s="115">
        <f>VLOOKUP(L35,'280W'!A:T,2,0)</f>
        <v>45404</v>
      </c>
      <c r="E35" s="271" t="str">
        <f>M35&amp;M36</f>
        <v>58 M3</v>
      </c>
      <c r="F35" s="115">
        <f>D35</f>
        <v>45404</v>
      </c>
      <c r="G35" s="299"/>
      <c r="H35" s="184" t="str">
        <f t="shared" ref="H35" si="24">N35&amp;M36</f>
        <v>683 M3</v>
      </c>
      <c r="I35" s="264" t="s">
        <v>48</v>
      </c>
      <c r="J35" s="306" t="str">
        <f>IF(R35=0,"上  溢："&amp;S35,IF(Q35=0,"任  泰："&amp;R35&amp;"                 "&amp;"上  溢："&amp;S35,
"水利處："&amp;Q35&amp;"                 "&amp;"任  泰："&amp;R35&amp;"                 "&amp;"上  溢："&amp;S35))</f>
        <v>任  泰：白博文                 上  溢：郭冠廷</v>
      </c>
      <c r="K35" s="278" t="s">
        <v>395</v>
      </c>
      <c r="L35" s="136">
        <f>L33+1</f>
        <v>13</v>
      </c>
      <c r="M35" s="128">
        <f>VLOOKUP(L35,'280W'!A:T,5,0)</f>
        <v>58</v>
      </c>
      <c r="N35" s="128">
        <f>N33+M35</f>
        <v>683</v>
      </c>
      <c r="O35" s="128">
        <f>VLOOKUP(L35,'280W'!A:T,6,0)</f>
        <v>1</v>
      </c>
      <c r="P35" s="128">
        <f>P33+O35</f>
        <v>13</v>
      </c>
      <c r="Q35" s="128">
        <f>VLOOKUP(L35,'280W'!A:T,18,0)</f>
        <v>0</v>
      </c>
      <c r="R35" s="128" t="str">
        <f>VLOOKUP(L35,'280W'!A:T,19,0)</f>
        <v>白博文</v>
      </c>
      <c r="S35" s="128" t="str">
        <f>VLOOKUP(L35,'280W'!A:T,20,0)</f>
        <v>郭冠廷</v>
      </c>
      <c r="T35" s="137"/>
      <c r="U35" s="137"/>
      <c r="V35" s="137"/>
      <c r="W35" s="137"/>
      <c r="X35" s="137"/>
      <c r="Y35" s="137"/>
      <c r="Z35" s="137"/>
      <c r="AA35" s="137"/>
    </row>
    <row r="36" spans="1:27" s="138" customFormat="1" ht="61.5" customHeight="1">
      <c r="A36" s="305"/>
      <c r="B36" s="185" t="s">
        <v>215</v>
      </c>
      <c r="C36" s="296"/>
      <c r="D36" s="116" t="str">
        <f>M35&amp;M36</f>
        <v>58 M3</v>
      </c>
      <c r="E36" s="272"/>
      <c r="F36" s="117" t="str">
        <f>E35&amp;CHAR(10)&amp;"("&amp;O35&amp;O36&amp;")"</f>
        <v>58 M3
(1組)</v>
      </c>
      <c r="G36" s="299"/>
      <c r="H36" s="184" t="str">
        <f t="shared" ref="H36" si="25">H35&amp;CHAR(10)&amp;"("&amp;P35&amp;O36&amp;")"</f>
        <v>683 M3
(13組)</v>
      </c>
      <c r="I36" s="266"/>
      <c r="J36" s="306"/>
      <c r="K36" s="265"/>
      <c r="L36" s="127"/>
      <c r="M36" s="127" t="s">
        <v>201</v>
      </c>
      <c r="N36" s="128"/>
      <c r="O36" s="128" t="s">
        <v>204</v>
      </c>
      <c r="P36" s="128"/>
      <c r="Q36" s="128"/>
      <c r="R36" s="128"/>
      <c r="S36" s="128"/>
      <c r="T36" s="137"/>
      <c r="U36" s="137"/>
      <c r="V36" s="137"/>
      <c r="W36" s="137"/>
      <c r="X36" s="137"/>
      <c r="Y36" s="137"/>
      <c r="Z36" s="137"/>
      <c r="AA36" s="137"/>
    </row>
    <row r="37" spans="1:27" s="140" customFormat="1" ht="61.5" customHeight="1">
      <c r="A37" s="304" t="str">
        <f>"1-280W-"&amp;L37</f>
        <v>1-280W-14</v>
      </c>
      <c r="B37" s="172" t="s">
        <v>72</v>
      </c>
      <c r="C37" s="295" t="s">
        <v>589</v>
      </c>
      <c r="D37" s="115">
        <f>VLOOKUP(L37,'280W'!A:T,2,0)</f>
        <v>45407</v>
      </c>
      <c r="E37" s="271" t="str">
        <f>M37&amp;M38</f>
        <v>58 M3</v>
      </c>
      <c r="F37" s="115">
        <f>D37</f>
        <v>45407</v>
      </c>
      <c r="G37" s="282"/>
      <c r="H37" s="184" t="str">
        <f t="shared" ref="H37" si="26">N37&amp;M38</f>
        <v>741 M3</v>
      </c>
      <c r="I37" s="264" t="s">
        <v>48</v>
      </c>
      <c r="J37" s="306" t="str">
        <f>IF(R37=0,"上  溢："&amp;S37,IF(Q37=0,"任  泰："&amp;R37&amp;"                 "&amp;"上  溢："&amp;S37,
"水利處："&amp;Q37&amp;"                 "&amp;"任  泰："&amp;R37&amp;"                 "&amp;"上  溢："&amp;S37))</f>
        <v>任  泰：白博文                 上  溢：郭冠廷</v>
      </c>
      <c r="K37" s="278" t="s">
        <v>427</v>
      </c>
      <c r="L37" s="136">
        <f>L35+1</f>
        <v>14</v>
      </c>
      <c r="M37" s="128">
        <f>VLOOKUP(L37,'280W'!A:T,5,0)</f>
        <v>58</v>
      </c>
      <c r="N37" s="128">
        <f>N35+M37</f>
        <v>741</v>
      </c>
      <c r="O37" s="128">
        <f>VLOOKUP(L37,'280W'!A:T,6,0)</f>
        <v>1</v>
      </c>
      <c r="P37" s="128">
        <f>P35+O37</f>
        <v>14</v>
      </c>
      <c r="Q37" s="128">
        <f>VLOOKUP(L37,'280W'!A:T,18,0)</f>
        <v>0</v>
      </c>
      <c r="R37" s="128" t="str">
        <f>VLOOKUP(L37,'280W'!A:T,19,0)</f>
        <v>白博文</v>
      </c>
      <c r="S37" s="128" t="str">
        <f>VLOOKUP(L37,'280W'!A:T,20,0)</f>
        <v>郭冠廷</v>
      </c>
      <c r="T37" s="139"/>
      <c r="U37" s="139"/>
      <c r="V37" s="139"/>
      <c r="W37" s="139"/>
      <c r="X37" s="139"/>
      <c r="Y37" s="139"/>
      <c r="Z37" s="139"/>
      <c r="AA37" s="139"/>
    </row>
    <row r="38" spans="1:27" s="140" customFormat="1" ht="61.5" customHeight="1">
      <c r="A38" s="305"/>
      <c r="B38" s="185" t="s">
        <v>215</v>
      </c>
      <c r="C38" s="296"/>
      <c r="D38" s="116" t="str">
        <f>M37&amp;M38</f>
        <v>58 M3</v>
      </c>
      <c r="E38" s="272"/>
      <c r="F38" s="117" t="str">
        <f>E37&amp;CHAR(10)&amp;"("&amp;O37&amp;O38&amp;")"</f>
        <v>58 M3
(1組)</v>
      </c>
      <c r="G38" s="282"/>
      <c r="H38" s="184" t="str">
        <f t="shared" ref="H38" si="27">H37&amp;CHAR(10)&amp;"("&amp;P37&amp;O38&amp;")"</f>
        <v>741 M3
(14組)</v>
      </c>
      <c r="I38" s="266"/>
      <c r="J38" s="306"/>
      <c r="K38" s="265"/>
      <c r="L38" s="127"/>
      <c r="M38" s="127" t="s">
        <v>201</v>
      </c>
      <c r="N38" s="128"/>
      <c r="O38" s="128" t="s">
        <v>204</v>
      </c>
      <c r="P38" s="128"/>
      <c r="Q38" s="128"/>
      <c r="R38" s="128"/>
      <c r="S38" s="128"/>
      <c r="T38" s="139"/>
      <c r="U38" s="139"/>
      <c r="V38" s="139"/>
      <c r="W38" s="139"/>
      <c r="X38" s="139"/>
      <c r="Y38" s="139"/>
      <c r="Z38" s="139"/>
      <c r="AA38" s="139"/>
    </row>
    <row r="39" spans="1:27" s="138" customFormat="1" ht="61.5" customHeight="1">
      <c r="A39" s="304" t="str">
        <f>"1-280W-"&amp;L39</f>
        <v>1-280W-15</v>
      </c>
      <c r="B39" s="172" t="s">
        <v>72</v>
      </c>
      <c r="C39" s="295" t="s">
        <v>589</v>
      </c>
      <c r="D39" s="115">
        <f>VLOOKUP(L39,'280W'!A:T,2,0)</f>
        <v>45416</v>
      </c>
      <c r="E39" s="271" t="str">
        <f>M39&amp;M40</f>
        <v>62 M3</v>
      </c>
      <c r="F39" s="115">
        <f>D39</f>
        <v>45416</v>
      </c>
      <c r="G39" s="282"/>
      <c r="H39" s="184" t="str">
        <f t="shared" ref="H39" si="28">N39&amp;M40</f>
        <v>803 M3</v>
      </c>
      <c r="I39" s="264" t="s">
        <v>48</v>
      </c>
      <c r="J39" s="306" t="str">
        <f>IF(R39=0,"上  溢："&amp;S39,IF(Q39=0,"任  泰："&amp;R39&amp;"                 "&amp;"上  溢："&amp;S39,
"水利處："&amp;Q39&amp;"                 "&amp;"任  泰："&amp;R39&amp;"                 "&amp;"上  溢："&amp;S39))</f>
        <v>任  泰：白博文                 上  溢：郭冠廷</v>
      </c>
      <c r="K39" s="278" t="s">
        <v>428</v>
      </c>
      <c r="L39" s="136">
        <f>L37+1</f>
        <v>15</v>
      </c>
      <c r="M39" s="128">
        <f>VLOOKUP(L39,'280W'!A:T,5,0)</f>
        <v>62</v>
      </c>
      <c r="N39" s="128">
        <f>N37+M39</f>
        <v>803</v>
      </c>
      <c r="O39" s="128">
        <f>VLOOKUP(L39,'280W'!A:T,6,0)</f>
        <v>1</v>
      </c>
      <c r="P39" s="128">
        <f>P37+O39</f>
        <v>15</v>
      </c>
      <c r="Q39" s="128">
        <f>VLOOKUP(L39,'280W'!A:T,18,0)</f>
        <v>0</v>
      </c>
      <c r="R39" s="128" t="str">
        <f>VLOOKUP(L39,'280W'!A:T,19,0)</f>
        <v>白博文</v>
      </c>
      <c r="S39" s="128" t="str">
        <f>VLOOKUP(L39,'280W'!A:T,20,0)</f>
        <v>郭冠廷</v>
      </c>
      <c r="T39" s="137"/>
      <c r="U39" s="137"/>
      <c r="V39" s="137"/>
      <c r="W39" s="137"/>
      <c r="X39" s="137"/>
      <c r="Y39" s="137"/>
      <c r="Z39" s="137"/>
      <c r="AA39" s="137"/>
    </row>
    <row r="40" spans="1:27" s="138" customFormat="1" ht="61.5" customHeight="1">
      <c r="A40" s="305"/>
      <c r="B40" s="185" t="s">
        <v>215</v>
      </c>
      <c r="C40" s="296"/>
      <c r="D40" s="116" t="str">
        <f>M39&amp;M40</f>
        <v>62 M3</v>
      </c>
      <c r="E40" s="272"/>
      <c r="F40" s="117" t="str">
        <f>E39&amp;CHAR(10)&amp;"("&amp;O39&amp;O40&amp;")"</f>
        <v>62 M3
(1組)</v>
      </c>
      <c r="G40" s="265"/>
      <c r="H40" s="184" t="str">
        <f t="shared" ref="H40" si="29">H39&amp;CHAR(10)&amp;"("&amp;P39&amp;O40&amp;")"</f>
        <v>803 M3
(15組)</v>
      </c>
      <c r="I40" s="266"/>
      <c r="J40" s="306"/>
      <c r="K40" s="265"/>
      <c r="L40" s="127"/>
      <c r="M40" s="127" t="s">
        <v>201</v>
      </c>
      <c r="N40" s="128"/>
      <c r="O40" s="128" t="s">
        <v>204</v>
      </c>
      <c r="P40" s="128"/>
      <c r="Q40" s="128"/>
      <c r="R40" s="128"/>
      <c r="S40" s="128"/>
      <c r="T40" s="137"/>
      <c r="U40" s="137"/>
      <c r="V40" s="137"/>
      <c r="W40" s="137"/>
      <c r="X40" s="137"/>
      <c r="Y40" s="137"/>
      <c r="Z40" s="137"/>
      <c r="AA40" s="137"/>
    </row>
    <row r="41" spans="1:27" s="142" customFormat="1" ht="49.5" customHeight="1">
      <c r="A41" s="260" t="s">
        <v>47</v>
      </c>
      <c r="B41" s="261"/>
      <c r="C41" s="262"/>
      <c r="D41" s="260" t="s">
        <v>1753</v>
      </c>
      <c r="E41" s="261"/>
      <c r="F41" s="261"/>
      <c r="G41" s="262"/>
      <c r="H41" s="260" t="s">
        <v>1755</v>
      </c>
      <c r="I41" s="261"/>
      <c r="J41" s="261"/>
      <c r="K41" s="262"/>
      <c r="M41" s="143"/>
      <c r="N41" s="143"/>
      <c r="O41" s="143"/>
      <c r="P41" s="143"/>
      <c r="Q41" s="143"/>
      <c r="R41" s="143"/>
      <c r="S41" s="143"/>
      <c r="T41" s="143"/>
      <c r="U41" s="143"/>
      <c r="V41" s="143"/>
      <c r="W41" s="143"/>
      <c r="X41" s="143"/>
      <c r="Y41" s="143"/>
      <c r="Z41" s="143"/>
      <c r="AA41" s="143"/>
    </row>
    <row r="42" spans="1:27" s="142" customFormat="1" ht="55.5" customHeight="1">
      <c r="A42" s="263" t="s">
        <v>1147</v>
      </c>
      <c r="B42" s="263"/>
      <c r="C42" s="263"/>
      <c r="D42" s="263"/>
      <c r="E42" s="263"/>
      <c r="F42" s="263"/>
      <c r="G42" s="263"/>
      <c r="H42" s="263"/>
      <c r="I42" s="263"/>
      <c r="J42" s="263"/>
      <c r="K42" s="263"/>
      <c r="M42" s="143"/>
      <c r="N42" s="143"/>
      <c r="O42" s="143"/>
      <c r="P42" s="143"/>
      <c r="Q42" s="143"/>
      <c r="R42" s="143"/>
      <c r="S42" s="143"/>
      <c r="T42" s="143"/>
      <c r="U42" s="143"/>
      <c r="V42" s="143"/>
      <c r="W42" s="143"/>
      <c r="X42" s="143"/>
      <c r="Y42" s="143"/>
      <c r="Z42" s="143"/>
      <c r="AA42" s="143"/>
    </row>
    <row r="43" spans="1:27" s="138" customFormat="1" ht="61.5" customHeight="1">
      <c r="A43" s="267" t="str">
        <f>"1-280W-"&amp;L43</f>
        <v>1-280W-16</v>
      </c>
      <c r="B43" s="126" t="s">
        <v>72</v>
      </c>
      <c r="C43" s="269" t="s">
        <v>589</v>
      </c>
      <c r="D43" s="115">
        <f>VLOOKUP(L43,'280W'!A:T,2,0)</f>
        <v>45422</v>
      </c>
      <c r="E43" s="271" t="str">
        <f>M43&amp;M44</f>
        <v>62 M3</v>
      </c>
      <c r="F43" s="115">
        <f>D43</f>
        <v>45422</v>
      </c>
      <c r="G43" s="264" t="s">
        <v>1194</v>
      </c>
      <c r="H43" s="117" t="str">
        <f t="shared" ref="H43" si="30">N43&amp;M44</f>
        <v>865 M3</v>
      </c>
      <c r="I43" s="264" t="s">
        <v>48</v>
      </c>
      <c r="J43" s="274" t="str">
        <f>IF(R43=0,"上  溢："&amp;S43,IF(Q43=0,"任  泰："&amp;R43&amp;"                 "&amp;"上  溢："&amp;S43,
"水利處："&amp;Q43&amp;"                 "&amp;"任  泰："&amp;R43&amp;"                 "&amp;"上  溢："&amp;S43))</f>
        <v>任  泰：白博文                 上  溢：郭冠廷</v>
      </c>
      <c r="K43" s="264" t="s">
        <v>429</v>
      </c>
      <c r="L43" s="136">
        <f>L39+1</f>
        <v>16</v>
      </c>
      <c r="M43" s="128">
        <f>VLOOKUP(L43,'280W'!A:T,5,0)</f>
        <v>62</v>
      </c>
      <c r="N43" s="128">
        <f>N39+M43</f>
        <v>865</v>
      </c>
      <c r="O43" s="128">
        <f>VLOOKUP(L43,'280W'!A:T,6,0)</f>
        <v>1</v>
      </c>
      <c r="P43" s="128">
        <f>P39+O43</f>
        <v>16</v>
      </c>
      <c r="Q43" s="128">
        <f>VLOOKUP(L43,'280W'!A:T,18,0)</f>
        <v>0</v>
      </c>
      <c r="R43" s="128" t="str">
        <f>VLOOKUP(L43,'280W'!A:T,19,0)</f>
        <v>白博文</v>
      </c>
      <c r="S43" s="128" t="str">
        <f>VLOOKUP(L43,'280W'!A:T,20,0)</f>
        <v>郭冠廷</v>
      </c>
      <c r="T43" s="137"/>
      <c r="U43" s="137"/>
      <c r="V43" s="137"/>
      <c r="W43" s="137"/>
      <c r="X43" s="137"/>
      <c r="Y43" s="137"/>
      <c r="Z43" s="137"/>
      <c r="AA43" s="137"/>
    </row>
    <row r="44" spans="1:27" s="138" customFormat="1" ht="61.5" customHeight="1">
      <c r="A44" s="268"/>
      <c r="B44" s="174" t="s">
        <v>215</v>
      </c>
      <c r="C44" s="270"/>
      <c r="D44" s="116" t="str">
        <f>M43&amp;M44</f>
        <v>62 M3</v>
      </c>
      <c r="E44" s="272"/>
      <c r="F44" s="117" t="str">
        <f>E43&amp;CHAR(10)&amp;"("&amp;O43&amp;O44&amp;")"</f>
        <v>62 M3
(1組)</v>
      </c>
      <c r="G44" s="282"/>
      <c r="H44" s="117" t="str">
        <f t="shared" ref="H44" si="31">H43&amp;CHAR(10)&amp;"("&amp;P43&amp;O44&amp;")"</f>
        <v>865 M3
(16組)</v>
      </c>
      <c r="I44" s="266"/>
      <c r="J44" s="274"/>
      <c r="K44" s="265"/>
      <c r="L44" s="127"/>
      <c r="M44" s="127" t="s">
        <v>201</v>
      </c>
      <c r="N44" s="128"/>
      <c r="O44" s="128" t="s">
        <v>204</v>
      </c>
      <c r="P44" s="128"/>
      <c r="Q44" s="128"/>
      <c r="R44" s="128"/>
      <c r="S44" s="128"/>
      <c r="T44" s="137"/>
      <c r="U44" s="137"/>
      <c r="V44" s="137"/>
      <c r="W44" s="137"/>
      <c r="X44" s="137"/>
      <c r="Y44" s="137"/>
      <c r="Z44" s="137"/>
      <c r="AA44" s="137"/>
    </row>
    <row r="45" spans="1:27" s="138" customFormat="1" ht="61.5" customHeight="1">
      <c r="A45" s="267" t="str">
        <f>"1-280W-"&amp;L45</f>
        <v>1-280W-17</v>
      </c>
      <c r="B45" s="126" t="s">
        <v>72</v>
      </c>
      <c r="C45" s="269" t="s">
        <v>589</v>
      </c>
      <c r="D45" s="115">
        <f>VLOOKUP(L45,'280W'!A:T,2,0)</f>
        <v>45426</v>
      </c>
      <c r="E45" s="271" t="str">
        <f>M45&amp;M46</f>
        <v>65 M3</v>
      </c>
      <c r="F45" s="115">
        <f>D45</f>
        <v>45426</v>
      </c>
      <c r="G45" s="282"/>
      <c r="H45" s="117" t="str">
        <f>N45&amp;M46</f>
        <v>930 M3</v>
      </c>
      <c r="I45" s="264" t="s">
        <v>48</v>
      </c>
      <c r="J45" s="274" t="str">
        <f>IF(R45=0,"上  溢："&amp;S45,IF(Q45=0,"任  泰："&amp;R45&amp;"                 "&amp;"上  溢："&amp;S45,
"水利處："&amp;Q45&amp;"                 "&amp;"任  泰："&amp;R45&amp;"                 "&amp;"上  溢："&amp;S45))</f>
        <v>任  泰：白博文                 上  溢：郭冠廷</v>
      </c>
      <c r="K45" s="264" t="s">
        <v>430</v>
      </c>
      <c r="L45" s="136">
        <f>L43+1</f>
        <v>17</v>
      </c>
      <c r="M45" s="128">
        <f>VLOOKUP(L45,'280W'!A:T,5,0)</f>
        <v>65</v>
      </c>
      <c r="N45" s="128">
        <f>N43+M45</f>
        <v>930</v>
      </c>
      <c r="O45" s="128">
        <f>VLOOKUP(L45,'280W'!A:T,6,0)</f>
        <v>1</v>
      </c>
      <c r="P45" s="128">
        <f>P43+O45</f>
        <v>17</v>
      </c>
      <c r="Q45" s="128">
        <f>VLOOKUP(L45,'280W'!A:T,18,0)</f>
        <v>0</v>
      </c>
      <c r="R45" s="128" t="str">
        <f>VLOOKUP(L45,'280W'!A:T,19,0)</f>
        <v>白博文</v>
      </c>
      <c r="S45" s="128" t="str">
        <f>VLOOKUP(L45,'280W'!A:T,20,0)</f>
        <v>郭冠廷</v>
      </c>
      <c r="T45" s="137"/>
      <c r="U45" s="137"/>
      <c r="V45" s="137"/>
      <c r="W45" s="137"/>
      <c r="X45" s="137"/>
      <c r="Y45" s="137"/>
      <c r="Z45" s="137"/>
      <c r="AA45" s="137"/>
    </row>
    <row r="46" spans="1:27" s="138" customFormat="1" ht="61.5" customHeight="1">
      <c r="A46" s="268"/>
      <c r="B46" s="174" t="s">
        <v>215</v>
      </c>
      <c r="C46" s="270"/>
      <c r="D46" s="116" t="str">
        <f>M45&amp;M46</f>
        <v>65 M3</v>
      </c>
      <c r="E46" s="272"/>
      <c r="F46" s="117" t="str">
        <f>E45&amp;CHAR(10)&amp;"("&amp;O45&amp;O46&amp;")"</f>
        <v>65 M3
(1組)</v>
      </c>
      <c r="G46" s="282"/>
      <c r="H46" s="117" t="str">
        <f>H45&amp;CHAR(10)&amp;"("&amp;P45&amp;O46&amp;")"</f>
        <v>930 M3
(17組)</v>
      </c>
      <c r="I46" s="266"/>
      <c r="J46" s="274"/>
      <c r="K46" s="265"/>
      <c r="L46" s="127"/>
      <c r="M46" s="127" t="s">
        <v>201</v>
      </c>
      <c r="N46" s="128"/>
      <c r="O46" s="128" t="s">
        <v>204</v>
      </c>
      <c r="P46" s="128"/>
      <c r="Q46" s="128"/>
      <c r="R46" s="128"/>
      <c r="S46" s="128"/>
      <c r="T46" s="137"/>
      <c r="U46" s="137"/>
      <c r="V46" s="137"/>
      <c r="W46" s="137"/>
      <c r="X46" s="137"/>
      <c r="Y46" s="137"/>
      <c r="Z46" s="137"/>
      <c r="AA46" s="137"/>
    </row>
    <row r="47" spans="1:27" s="138" customFormat="1" ht="61.5" customHeight="1">
      <c r="A47" s="267"/>
      <c r="B47" s="126"/>
      <c r="C47" s="269"/>
      <c r="D47" s="116"/>
      <c r="E47" s="309"/>
      <c r="F47" s="116"/>
      <c r="G47" s="282"/>
      <c r="H47" s="117"/>
      <c r="I47" s="285"/>
      <c r="J47" s="274"/>
      <c r="K47" s="124"/>
      <c r="L47" s="136">
        <f>L45+1</f>
        <v>18</v>
      </c>
      <c r="M47" s="128" t="e">
        <f>VLOOKUP(L47,'280W'!A:T,5,0)</f>
        <v>#N/A</v>
      </c>
      <c r="N47" s="128" t="e">
        <f>N45+M47</f>
        <v>#N/A</v>
      </c>
      <c r="O47" s="128" t="e">
        <f>VLOOKUP(L47,'280W'!A:T,6,0)</f>
        <v>#N/A</v>
      </c>
      <c r="P47" s="128" t="e">
        <f>P45+O47</f>
        <v>#N/A</v>
      </c>
      <c r="Q47" s="128" t="e">
        <f>VLOOKUP(L47,'280W'!A:T,18,0)</f>
        <v>#N/A</v>
      </c>
      <c r="R47" s="128" t="e">
        <f>VLOOKUP(L47,'280W'!A:T,19,0)</f>
        <v>#N/A</v>
      </c>
      <c r="S47" s="128" t="e">
        <f>VLOOKUP(L47,'280W'!A:T,20,0)</f>
        <v>#N/A</v>
      </c>
      <c r="T47" s="137"/>
      <c r="U47" s="137"/>
      <c r="V47" s="137"/>
      <c r="W47" s="137"/>
      <c r="X47" s="137"/>
      <c r="Y47" s="137"/>
      <c r="Z47" s="137"/>
      <c r="AA47" s="137"/>
    </row>
    <row r="48" spans="1:27" s="138" customFormat="1" ht="61.5" customHeight="1">
      <c r="A48" s="268"/>
      <c r="B48" s="174"/>
      <c r="C48" s="270"/>
      <c r="D48" s="116"/>
      <c r="E48" s="309"/>
      <c r="F48" s="117"/>
      <c r="G48" s="265"/>
      <c r="H48" s="117"/>
      <c r="I48" s="285"/>
      <c r="J48" s="274"/>
      <c r="K48" s="124"/>
      <c r="L48" s="127"/>
      <c r="M48" s="127" t="s">
        <v>201</v>
      </c>
      <c r="N48" s="128"/>
      <c r="O48" s="128" t="s">
        <v>204</v>
      </c>
      <c r="P48" s="128"/>
      <c r="Q48" s="128"/>
      <c r="R48" s="128"/>
      <c r="S48" s="128"/>
      <c r="T48" s="137"/>
      <c r="U48" s="137"/>
      <c r="V48" s="137"/>
      <c r="W48" s="137"/>
      <c r="X48" s="137"/>
      <c r="Y48" s="137"/>
      <c r="Z48" s="137"/>
      <c r="AA48" s="137"/>
    </row>
    <row r="49" spans="1:27" s="142" customFormat="1" ht="49.5" customHeight="1">
      <c r="A49" s="260" t="s">
        <v>47</v>
      </c>
      <c r="B49" s="261"/>
      <c r="C49" s="262"/>
      <c r="D49" s="260" t="s">
        <v>1753</v>
      </c>
      <c r="E49" s="261"/>
      <c r="F49" s="261"/>
      <c r="G49" s="262"/>
      <c r="H49" s="260" t="s">
        <v>1755</v>
      </c>
      <c r="I49" s="261"/>
      <c r="J49" s="261"/>
      <c r="K49" s="262"/>
      <c r="M49" s="143"/>
      <c r="N49" s="143"/>
      <c r="O49" s="143"/>
      <c r="P49" s="143"/>
      <c r="Q49" s="143"/>
      <c r="R49" s="143"/>
      <c r="S49" s="143"/>
      <c r="T49" s="143"/>
      <c r="U49" s="143"/>
      <c r="V49" s="143"/>
      <c r="W49" s="143"/>
      <c r="X49" s="143"/>
      <c r="Y49" s="143"/>
      <c r="Z49" s="143"/>
      <c r="AA49" s="143"/>
    </row>
    <row r="50" spans="1:27" s="142" customFormat="1" ht="55.5" customHeight="1">
      <c r="A50" s="263" t="s">
        <v>1147</v>
      </c>
      <c r="B50" s="263"/>
      <c r="C50" s="263"/>
      <c r="D50" s="263"/>
      <c r="E50" s="263"/>
      <c r="F50" s="263"/>
      <c r="G50" s="263"/>
      <c r="H50" s="263"/>
      <c r="I50" s="263"/>
      <c r="J50" s="263"/>
      <c r="K50" s="263"/>
      <c r="M50" s="143"/>
      <c r="N50" s="143"/>
      <c r="O50" s="143"/>
      <c r="P50" s="143"/>
      <c r="Q50" s="143"/>
      <c r="R50" s="143"/>
      <c r="S50" s="143"/>
      <c r="T50" s="143"/>
      <c r="U50" s="143"/>
      <c r="V50" s="143"/>
      <c r="W50" s="143"/>
      <c r="X50" s="143"/>
      <c r="Y50" s="143"/>
      <c r="Z50" s="143"/>
      <c r="AA50" s="143"/>
    </row>
  </sheetData>
  <mergeCells count="139">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 ref="H41:K41"/>
    <mergeCell ref="A42:K42"/>
    <mergeCell ref="A49:C49"/>
    <mergeCell ref="D49:G49"/>
    <mergeCell ref="H49:K49"/>
    <mergeCell ref="A47:A48"/>
    <mergeCell ref="C47:C48"/>
    <mergeCell ref="E47:E48"/>
    <mergeCell ref="I47:I48"/>
    <mergeCell ref="J47:J48"/>
    <mergeCell ref="C43:C44"/>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A37:A38"/>
    <mergeCell ref="E37:E38"/>
    <mergeCell ref="I37:I38"/>
    <mergeCell ref="J37:J38"/>
    <mergeCell ref="A39:A40"/>
    <mergeCell ref="E39:E40"/>
    <mergeCell ref="I39:I40"/>
    <mergeCell ref="J39:J40"/>
    <mergeCell ref="C37:C38"/>
    <mergeCell ref="C39:C4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A9:A10"/>
    <mergeCell ref="E9:E10"/>
    <mergeCell ref="I9:I10"/>
    <mergeCell ref="J9:J10"/>
    <mergeCell ref="A11:A12"/>
    <mergeCell ref="E11:E12"/>
    <mergeCell ref="I11:I12"/>
    <mergeCell ref="J11:J12"/>
    <mergeCell ref="C9:C10"/>
    <mergeCell ref="C11:C12"/>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49"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62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5.5">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61.5" customHeight="1">
      <c r="A7" s="267" t="str">
        <f>"1-280Ⅱ-"&amp;L7</f>
        <v>1-280Ⅱ-1</v>
      </c>
      <c r="B7" s="126" t="s">
        <v>486</v>
      </c>
      <c r="C7" s="269" t="s">
        <v>1531</v>
      </c>
      <c r="D7" s="115">
        <f>VLOOKUP(L7,'280Ⅱ'!A:T,2,0)</f>
        <v>45344</v>
      </c>
      <c r="E7" s="271" t="str">
        <f>M7&amp;M8</f>
        <v>98 M3</v>
      </c>
      <c r="F7" s="115">
        <f>D7</f>
        <v>45344</v>
      </c>
      <c r="G7" s="264" t="s">
        <v>145</v>
      </c>
      <c r="H7" s="117" t="str">
        <f>N7&amp;M8</f>
        <v>98 M3</v>
      </c>
      <c r="I7" s="273" t="str">
        <f>IF(K7="","","合格")</f>
        <v>合格</v>
      </c>
      <c r="J7" s="274" t="str">
        <f>IF(R7=0,"上  溢："&amp;S7,IF(Q7=0,"任  泰："&amp;R7&amp;"                 "&amp;"上  溢："&amp;S7,
"水利處："&amp;Q7&amp;"                 "&amp;"任  泰："&amp;R7&amp;"                 "&amp;"上  溢："&amp;S7))</f>
        <v>任  泰：游文圃                 上  溢：郭冠廷</v>
      </c>
      <c r="K7" s="264" t="s">
        <v>279</v>
      </c>
      <c r="L7" s="136">
        <v>1</v>
      </c>
      <c r="M7" s="128">
        <f>VLOOKUP(L7,'280Ⅱ'!A:T,5,0)</f>
        <v>98</v>
      </c>
      <c r="N7" s="128">
        <f>M7</f>
        <v>98</v>
      </c>
      <c r="O7" s="128">
        <f>VLOOKUP(L7,'280Ⅱ'!A:T,6,0)</f>
        <v>1</v>
      </c>
      <c r="P7" s="128">
        <f>O7</f>
        <v>1</v>
      </c>
      <c r="Q7" s="128">
        <f>VLOOKUP(L7,'280Ⅱ'!A:T,18,0)</f>
        <v>0</v>
      </c>
      <c r="R7" s="128" t="str">
        <f>VLOOKUP(L7,'280Ⅱ'!A:T,19,0)</f>
        <v>游文圃</v>
      </c>
      <c r="S7" s="128" t="str">
        <f>VLOOKUP(L7,'280Ⅱ'!A:T,20,0)</f>
        <v>郭冠廷</v>
      </c>
      <c r="T7" s="137"/>
      <c r="U7" s="137"/>
      <c r="V7" s="137"/>
      <c r="W7" s="137"/>
      <c r="X7" s="137"/>
      <c r="Y7" s="137"/>
      <c r="Z7" s="137"/>
      <c r="AA7" s="137"/>
    </row>
    <row r="8" spans="1:27" s="138" customFormat="1" ht="61.5" customHeight="1">
      <c r="A8" s="268"/>
      <c r="B8" s="174" t="s">
        <v>216</v>
      </c>
      <c r="C8" s="270"/>
      <c r="D8" s="116" t="str">
        <f>M7&amp;M8</f>
        <v>98 M3</v>
      </c>
      <c r="E8" s="272"/>
      <c r="F8" s="117" t="str">
        <f>E7&amp;CHAR(10)&amp;"("&amp;O7&amp;O8&amp;")"</f>
        <v>98 M3
(1組)</v>
      </c>
      <c r="G8" s="282"/>
      <c r="H8" s="117" t="str">
        <f>H7&amp;CHAR(10)&amp;"("&amp;P7&amp;O8&amp;")"</f>
        <v>98 M3
(1組)</v>
      </c>
      <c r="I8" s="273"/>
      <c r="J8" s="274"/>
      <c r="K8" s="265"/>
      <c r="L8" s="127"/>
      <c r="M8" s="127" t="s">
        <v>201</v>
      </c>
      <c r="N8" s="128"/>
      <c r="O8" s="128" t="s">
        <v>204</v>
      </c>
      <c r="P8" s="128"/>
      <c r="Q8" s="128"/>
      <c r="R8" s="128"/>
      <c r="S8" s="128"/>
      <c r="T8" s="137"/>
      <c r="U8" s="137"/>
      <c r="V8" s="137"/>
      <c r="W8" s="137"/>
      <c r="X8" s="137"/>
      <c r="Y8" s="137"/>
      <c r="Z8" s="137"/>
      <c r="AA8" s="137"/>
    </row>
    <row r="9" spans="1:27" s="140" customFormat="1" ht="61.5" customHeight="1">
      <c r="A9" s="267" t="str">
        <f>"1-280Ⅱ-"&amp;L9</f>
        <v>1-280Ⅱ-2</v>
      </c>
      <c r="B9" s="126" t="s">
        <v>486</v>
      </c>
      <c r="C9" s="269" t="s">
        <v>1531</v>
      </c>
      <c r="D9" s="115">
        <f>VLOOKUP(L9,'280Ⅱ'!A:T,2,0)</f>
        <v>45358</v>
      </c>
      <c r="E9" s="271" t="str">
        <f>M9&amp;M10</f>
        <v>60 M3</v>
      </c>
      <c r="F9" s="115">
        <f>D9</f>
        <v>45358</v>
      </c>
      <c r="G9" s="282"/>
      <c r="H9" s="117" t="str">
        <f>N9&amp;M10</f>
        <v>158 M3</v>
      </c>
      <c r="I9" s="273" t="str">
        <f t="shared" ref="I9" si="0">IF(K9="","","合格")</f>
        <v>合格</v>
      </c>
      <c r="J9" s="274" t="str">
        <f>IF(R9=0,"上  溢："&amp;S9,IF(Q9=0,"任  泰："&amp;R9&amp;"                 "&amp;"上  溢："&amp;S9,
"水利處："&amp;Q9&amp;"                 "&amp;"任  泰："&amp;R9&amp;"                 "&amp;"上  溢："&amp;S9))</f>
        <v>任  泰：白博文                 上  溢：郭冠廷</v>
      </c>
      <c r="K9" s="264" t="s">
        <v>306</v>
      </c>
      <c r="L9" s="136">
        <f>L7+1</f>
        <v>2</v>
      </c>
      <c r="M9" s="128">
        <f>VLOOKUP(L9,'280Ⅱ'!A:T,5,0)</f>
        <v>60</v>
      </c>
      <c r="N9" s="128">
        <f>N7+M9</f>
        <v>158</v>
      </c>
      <c r="O9" s="128">
        <f>VLOOKUP(L9,'280Ⅱ'!A:T,6,0)</f>
        <v>1</v>
      </c>
      <c r="P9" s="128">
        <f>P7+O9</f>
        <v>2</v>
      </c>
      <c r="Q9" s="128">
        <f>VLOOKUP(L9,'280Ⅱ'!A:T,18,0)</f>
        <v>0</v>
      </c>
      <c r="R9" s="128" t="str">
        <f>VLOOKUP(L9,'280Ⅱ'!A:T,19,0)</f>
        <v>白博文</v>
      </c>
      <c r="S9" s="128" t="str">
        <f>VLOOKUP(L9,'280Ⅱ'!A:T,20,0)</f>
        <v>郭冠廷</v>
      </c>
      <c r="T9" s="139"/>
      <c r="U9" s="139"/>
      <c r="V9" s="139"/>
      <c r="W9" s="139"/>
      <c r="X9" s="139"/>
      <c r="Y9" s="139"/>
      <c r="Z9" s="139"/>
      <c r="AA9" s="139"/>
    </row>
    <row r="10" spans="1:27" s="140" customFormat="1" ht="61.5" customHeight="1">
      <c r="A10" s="268"/>
      <c r="B10" s="174" t="s">
        <v>216</v>
      </c>
      <c r="C10" s="270"/>
      <c r="D10" s="116" t="str">
        <f>M9&amp;M10</f>
        <v>60 M3</v>
      </c>
      <c r="E10" s="272"/>
      <c r="F10" s="117" t="str">
        <f>E9&amp;CHAR(10)&amp;"("&amp;O9&amp;O10&amp;")"</f>
        <v>60 M3
(1組)</v>
      </c>
      <c r="G10" s="282"/>
      <c r="H10" s="117" t="str">
        <f>H9&amp;CHAR(10)&amp;"("&amp;P9&amp;O10&amp;")"</f>
        <v>158 M3
(2組)</v>
      </c>
      <c r="I10" s="273"/>
      <c r="J10" s="274"/>
      <c r="K10" s="265"/>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67" t="str">
        <f>"1-280Ⅱ-"&amp;L11</f>
        <v>1-280Ⅱ-3</v>
      </c>
      <c r="B11" s="126" t="s">
        <v>486</v>
      </c>
      <c r="C11" s="269" t="s">
        <v>1531</v>
      </c>
      <c r="D11" s="115">
        <f>VLOOKUP(L11,'280Ⅱ'!A:T,2,0)</f>
        <v>45364</v>
      </c>
      <c r="E11" s="271" t="str">
        <f>M11&amp;M12</f>
        <v>20 M3</v>
      </c>
      <c r="F11" s="115">
        <f>D11</f>
        <v>45364</v>
      </c>
      <c r="G11" s="282"/>
      <c r="H11" s="117" t="str">
        <f>N11&amp;M12</f>
        <v>178 M3</v>
      </c>
      <c r="I11" s="273" t="str">
        <f t="shared" ref="I11" si="1">IF(K11="","","合格")</f>
        <v>合格</v>
      </c>
      <c r="J11" s="274" t="str">
        <f>IF(R11=0,"上  溢："&amp;S11,IF(Q11=0,"任  泰："&amp;R11&amp;"                 "&amp;"上  溢："&amp;S11,
"水利處："&amp;Q11&amp;"                 "&amp;"任  泰："&amp;R11&amp;"                 "&amp;"上  溢："&amp;S11))</f>
        <v>任  泰：白博文                 上  溢：郭冠廷</v>
      </c>
      <c r="K11" s="264" t="s">
        <v>307</v>
      </c>
      <c r="L11" s="136">
        <f>L9+1</f>
        <v>3</v>
      </c>
      <c r="M11" s="128">
        <f>VLOOKUP(L11,'280Ⅱ'!A:T,5,0)</f>
        <v>20</v>
      </c>
      <c r="N11" s="128">
        <f>N9+M11</f>
        <v>178</v>
      </c>
      <c r="O11" s="128">
        <f>VLOOKUP(L11,'280Ⅱ'!A:T,6,0)</f>
        <v>1</v>
      </c>
      <c r="P11" s="128">
        <f>P9+O11</f>
        <v>3</v>
      </c>
      <c r="Q11" s="128">
        <f>VLOOKUP(L11,'280Ⅱ'!A:T,18,0)</f>
        <v>0</v>
      </c>
      <c r="R11" s="128" t="str">
        <f>VLOOKUP(L11,'280Ⅱ'!A:T,19,0)</f>
        <v>白博文</v>
      </c>
      <c r="S11" s="128" t="str">
        <f>VLOOKUP(L11,'280Ⅱ'!A:T,20,0)</f>
        <v>郭冠廷</v>
      </c>
      <c r="T11" s="137"/>
      <c r="U11" s="137"/>
      <c r="V11" s="137"/>
      <c r="W11" s="137"/>
      <c r="X11" s="137"/>
      <c r="Y11" s="137"/>
      <c r="Z11" s="137"/>
      <c r="AA11" s="137"/>
    </row>
    <row r="12" spans="1:27" s="138" customFormat="1" ht="61.5" customHeight="1">
      <c r="A12" s="268"/>
      <c r="B12" s="174" t="s">
        <v>216</v>
      </c>
      <c r="C12" s="270"/>
      <c r="D12" s="116" t="str">
        <f>M11&amp;M12</f>
        <v>20 M3</v>
      </c>
      <c r="E12" s="272"/>
      <c r="F12" s="117" t="str">
        <f>E11&amp;CHAR(10)&amp;"("&amp;O11&amp;O12&amp;")"</f>
        <v>20 M3
(1組)</v>
      </c>
      <c r="G12" s="282"/>
      <c r="H12" s="117" t="str">
        <f>H11&amp;CHAR(10)&amp;"("&amp;P11&amp;O12&amp;")"</f>
        <v>178 M3
(3組)</v>
      </c>
      <c r="I12" s="273"/>
      <c r="J12" s="274"/>
      <c r="K12" s="265"/>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67" t="str">
        <f>"1-280Ⅱ-"&amp;L13</f>
        <v>1-280Ⅱ-4</v>
      </c>
      <c r="B13" s="126" t="s">
        <v>486</v>
      </c>
      <c r="C13" s="269" t="s">
        <v>1531</v>
      </c>
      <c r="D13" s="115">
        <f>VLOOKUP(L13,'280Ⅱ'!A:T,2,0)</f>
        <v>45378</v>
      </c>
      <c r="E13" s="271" t="str">
        <f>M13&amp;M14</f>
        <v>288 M3</v>
      </c>
      <c r="F13" s="115">
        <f>D13</f>
        <v>45378</v>
      </c>
      <c r="G13" s="282"/>
      <c r="H13" s="117" t="str">
        <f>N13&amp;M14</f>
        <v>466 M3</v>
      </c>
      <c r="I13" s="273" t="str">
        <f t="shared" ref="I13" si="2">IF(K13="","","合格")</f>
        <v>合格</v>
      </c>
      <c r="J13" s="274" t="str">
        <f>IF(R13=0,"上  溢："&amp;S13,IF(Q13=0,"任  泰："&amp;R13&amp;"                 "&amp;"上  溢："&amp;S13,
"水利處："&amp;Q13&amp;"                 "&amp;"任  泰："&amp;R13&amp;"                 "&amp;"上  溢："&amp;S13))</f>
        <v>任  泰：白博文                 上  溢：郭冠廷</v>
      </c>
      <c r="K13" s="264" t="s">
        <v>308</v>
      </c>
      <c r="L13" s="136">
        <f>L11+1</f>
        <v>4</v>
      </c>
      <c r="M13" s="128">
        <f>VLOOKUP(L13,'280Ⅱ'!A:T,5,0)</f>
        <v>288</v>
      </c>
      <c r="N13" s="128">
        <f>N11+M13</f>
        <v>466</v>
      </c>
      <c r="O13" s="128">
        <f>VLOOKUP(L13,'280Ⅱ'!A:T,6,0)</f>
        <v>3</v>
      </c>
      <c r="P13" s="128">
        <f>P11+O13</f>
        <v>6</v>
      </c>
      <c r="Q13" s="128">
        <f>VLOOKUP(L13,'280Ⅱ'!A:T,18,0)</f>
        <v>0</v>
      </c>
      <c r="R13" s="128" t="str">
        <f>VLOOKUP(L13,'280Ⅱ'!A:T,19,0)</f>
        <v>白博文</v>
      </c>
      <c r="S13" s="128" t="str">
        <f>VLOOKUP(L13,'280Ⅱ'!A:T,20,0)</f>
        <v>郭冠廷</v>
      </c>
      <c r="T13" s="137"/>
      <c r="U13" s="137"/>
      <c r="V13" s="137"/>
      <c r="W13" s="137"/>
      <c r="X13" s="137"/>
      <c r="Y13" s="137"/>
      <c r="Z13" s="137"/>
      <c r="AA13" s="137"/>
    </row>
    <row r="14" spans="1:27" s="138" customFormat="1" ht="61.5" customHeight="1">
      <c r="A14" s="268"/>
      <c r="B14" s="174" t="s">
        <v>216</v>
      </c>
      <c r="C14" s="270"/>
      <c r="D14" s="116" t="str">
        <f>M13&amp;M14</f>
        <v>288 M3</v>
      </c>
      <c r="E14" s="272"/>
      <c r="F14" s="117" t="str">
        <f>E13&amp;CHAR(10)&amp;"("&amp;O13&amp;O14&amp;")"</f>
        <v>288 M3
(3組)</v>
      </c>
      <c r="G14" s="282"/>
      <c r="H14" s="117" t="str">
        <f>H13&amp;CHAR(10)&amp;"("&amp;P13&amp;O14&amp;")"</f>
        <v>466 M3
(6組)</v>
      </c>
      <c r="I14" s="273"/>
      <c r="J14" s="274"/>
      <c r="K14" s="265"/>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67" t="str">
        <f>"1-280Ⅱ-"&amp;L15</f>
        <v>1-280Ⅱ-5</v>
      </c>
      <c r="B15" s="126" t="s">
        <v>486</v>
      </c>
      <c r="C15" s="269" t="s">
        <v>1531</v>
      </c>
      <c r="D15" s="115">
        <f>VLOOKUP(L15,'280Ⅱ'!A:T,2,0)</f>
        <v>45385</v>
      </c>
      <c r="E15" s="271" t="str">
        <f>M15&amp;M16</f>
        <v>75 M3</v>
      </c>
      <c r="F15" s="115">
        <f>D15</f>
        <v>45385</v>
      </c>
      <c r="G15" s="282"/>
      <c r="H15" s="117" t="str">
        <f>N15&amp;M16</f>
        <v>541 M3</v>
      </c>
      <c r="I15" s="273" t="str">
        <f t="shared" ref="I15" si="3">IF(K15="","","合格")</f>
        <v>合格</v>
      </c>
      <c r="J15" s="274" t="str">
        <f>IF(R15=0,"上  溢："&amp;S15,IF(Q15=0,"任  泰："&amp;R15&amp;"                 "&amp;"上  溢："&amp;S15,
"水利處："&amp;Q15&amp;"                 "&amp;"任  泰："&amp;R15&amp;"                 "&amp;"上  溢："&amp;S15))</f>
        <v>任  泰：白博文                 上  溢：郭冠廷</v>
      </c>
      <c r="K15" s="264" t="s">
        <v>321</v>
      </c>
      <c r="L15" s="136">
        <f>L13+1</f>
        <v>5</v>
      </c>
      <c r="M15" s="128">
        <f>VLOOKUP(L15,'280Ⅱ'!A:T,5,0)</f>
        <v>75</v>
      </c>
      <c r="N15" s="128">
        <f>M15+N13</f>
        <v>541</v>
      </c>
      <c r="O15" s="128">
        <f>VLOOKUP(L15,'280Ⅱ'!A:T,6,0)</f>
        <v>1</v>
      </c>
      <c r="P15" s="128">
        <f>O15+P13</f>
        <v>7</v>
      </c>
      <c r="Q15" s="128">
        <f>VLOOKUP(L15,'280Ⅱ'!A:T,18,0)</f>
        <v>0</v>
      </c>
      <c r="R15" s="128" t="str">
        <f>VLOOKUP(L15,'280Ⅱ'!A:T,19,0)</f>
        <v>白博文</v>
      </c>
      <c r="S15" s="128" t="str">
        <f>VLOOKUP(L15,'280Ⅱ'!A:T,20,0)</f>
        <v>郭冠廷</v>
      </c>
      <c r="T15" s="137"/>
      <c r="U15" s="137"/>
      <c r="V15" s="137"/>
      <c r="W15" s="137"/>
      <c r="X15" s="137"/>
      <c r="Y15" s="137"/>
      <c r="Z15" s="137"/>
      <c r="AA15" s="137"/>
    </row>
    <row r="16" spans="1:27" s="138" customFormat="1" ht="61.5" customHeight="1">
      <c r="A16" s="268"/>
      <c r="B16" s="174" t="s">
        <v>216</v>
      </c>
      <c r="C16" s="270"/>
      <c r="D16" s="116" t="str">
        <f>M15&amp;M16</f>
        <v>75 M3</v>
      </c>
      <c r="E16" s="272"/>
      <c r="F16" s="117" t="str">
        <f>E15&amp;CHAR(10)&amp;"("&amp;O15&amp;O16&amp;")"</f>
        <v>75 M3
(1組)</v>
      </c>
      <c r="G16" s="265"/>
      <c r="H16" s="117" t="str">
        <f>H15&amp;CHAR(10)&amp;"("&amp;P15&amp;O16&amp;")"</f>
        <v>541 M3
(7組)</v>
      </c>
      <c r="I16" s="273"/>
      <c r="J16" s="274"/>
      <c r="K16" s="265"/>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60" t="s">
        <v>47</v>
      </c>
      <c r="B17" s="261"/>
      <c r="C17" s="262"/>
      <c r="D17" s="260" t="s">
        <v>1753</v>
      </c>
      <c r="E17" s="261"/>
      <c r="F17" s="261"/>
      <c r="G17" s="262"/>
      <c r="H17" s="260" t="s">
        <v>1755</v>
      </c>
      <c r="I17" s="261"/>
      <c r="J17" s="261"/>
      <c r="K17" s="262"/>
      <c r="M17" s="143"/>
      <c r="N17" s="143"/>
      <c r="O17" s="143"/>
      <c r="P17" s="143"/>
      <c r="Q17" s="143"/>
      <c r="R17" s="143"/>
      <c r="S17" s="143"/>
      <c r="T17" s="143"/>
      <c r="U17" s="143"/>
      <c r="V17" s="143"/>
      <c r="W17" s="143"/>
      <c r="X17" s="143"/>
      <c r="Y17" s="143"/>
      <c r="Z17" s="143"/>
      <c r="AA17" s="143"/>
    </row>
    <row r="18" spans="1:27" s="142" customFormat="1" ht="49.5"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19" spans="1:27" s="140" customFormat="1" ht="61.5" customHeight="1">
      <c r="A19" s="283" t="str">
        <f>"1-280Ⅱ-"&amp;L19</f>
        <v>1-280Ⅱ-6</v>
      </c>
      <c r="B19" s="126" t="s">
        <v>486</v>
      </c>
      <c r="C19" s="269" t="s">
        <v>1531</v>
      </c>
      <c r="D19" s="115">
        <f>VLOOKUP(L19,'280Ⅱ'!A:T,2,0)</f>
        <v>45401</v>
      </c>
      <c r="E19" s="271" t="str">
        <f>M19&amp;M20</f>
        <v>52 M3</v>
      </c>
      <c r="F19" s="115">
        <f>D19</f>
        <v>45401</v>
      </c>
      <c r="G19" s="264" t="s">
        <v>145</v>
      </c>
      <c r="H19" s="117" t="str">
        <f>N19&amp;M20</f>
        <v>593 M3</v>
      </c>
      <c r="I19" s="273" t="str">
        <f t="shared" ref="I19:I27" si="4">IF(K19="","","合格")</f>
        <v>合格</v>
      </c>
      <c r="J19" s="274" t="str">
        <f>IF(R19=0,"上  溢："&amp;S19,IF(Q19=0,"任  泰："&amp;R19&amp;"                 "&amp;"上  溢："&amp;S19,
"水利處："&amp;Q19&amp;"                 "&amp;"任  泰："&amp;R19&amp;"                 "&amp;"上  溢："&amp;S19))</f>
        <v>任  泰：白博文                 上  溢：郭冠廷</v>
      </c>
      <c r="K19" s="264" t="s">
        <v>396</v>
      </c>
      <c r="L19" s="136">
        <f>L15+1</f>
        <v>6</v>
      </c>
      <c r="M19" s="128">
        <f>VLOOKUP(L19,'280Ⅱ'!A:T,5,0)</f>
        <v>52</v>
      </c>
      <c r="N19" s="128">
        <f>N15+M19</f>
        <v>593</v>
      </c>
      <c r="O19" s="128">
        <f>VLOOKUP(L19,'280Ⅱ'!A:T,6,0)</f>
        <v>1</v>
      </c>
      <c r="P19" s="128">
        <f>P15+O19</f>
        <v>8</v>
      </c>
      <c r="Q19" s="128">
        <f>VLOOKUP(L19,'280Ⅱ'!A:T,18,0)</f>
        <v>0</v>
      </c>
      <c r="R19" s="128" t="str">
        <f>VLOOKUP(L19,'280Ⅱ'!A:T,19,0)</f>
        <v>白博文</v>
      </c>
      <c r="S19" s="128" t="str">
        <f>VLOOKUP(L19,'280Ⅱ'!A:T,20,0)</f>
        <v>郭冠廷</v>
      </c>
      <c r="T19" s="139"/>
      <c r="U19" s="139"/>
      <c r="V19" s="139"/>
      <c r="W19" s="139"/>
      <c r="X19" s="139"/>
      <c r="Y19" s="139"/>
      <c r="Z19" s="139"/>
      <c r="AA19" s="139"/>
    </row>
    <row r="20" spans="1:27" s="140" customFormat="1" ht="61.5" customHeight="1">
      <c r="A20" s="284"/>
      <c r="B20" s="174" t="s">
        <v>216</v>
      </c>
      <c r="C20" s="270"/>
      <c r="D20" s="116" t="str">
        <f>M19&amp;M20</f>
        <v>52 M3</v>
      </c>
      <c r="E20" s="272"/>
      <c r="F20" s="117" t="str">
        <f>E19&amp;CHAR(10)&amp;"("&amp;O19&amp;O20&amp;")"</f>
        <v>52 M3
(1組)</v>
      </c>
      <c r="G20" s="282"/>
      <c r="H20" s="117" t="str">
        <f>H19&amp;CHAR(10)&amp;"("&amp;P19&amp;O20&amp;")"</f>
        <v>593 M3
(8組)</v>
      </c>
      <c r="I20" s="273"/>
      <c r="J20" s="274"/>
      <c r="K20" s="265"/>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283" t="str">
        <f>"1-280Ⅱ-"&amp;L21</f>
        <v>1-280Ⅱ-7</v>
      </c>
      <c r="B21" s="126" t="s">
        <v>486</v>
      </c>
      <c r="C21" s="269" t="s">
        <v>1531</v>
      </c>
      <c r="D21" s="115">
        <f>VLOOKUP(L21,'280Ⅱ'!A:T,2,0)</f>
        <v>45404</v>
      </c>
      <c r="E21" s="271" t="str">
        <f>M21&amp;M22</f>
        <v>20 M3</v>
      </c>
      <c r="F21" s="115">
        <f>D21</f>
        <v>45404</v>
      </c>
      <c r="G21" s="282"/>
      <c r="H21" s="117" t="str">
        <f>N21&amp;M22</f>
        <v>613 M3</v>
      </c>
      <c r="I21" s="273" t="str">
        <f t="shared" si="4"/>
        <v>合格</v>
      </c>
      <c r="J21" s="274" t="str">
        <f>IF(R21=0,"上  溢："&amp;S21,IF(Q21=0,"任  泰："&amp;R21&amp;"                 "&amp;"上  溢："&amp;S21,
"水利處："&amp;Q21&amp;"                 "&amp;"任  泰："&amp;R21&amp;"                 "&amp;"上  溢："&amp;S21))</f>
        <v>任  泰：白博文                 上  溢：郭冠廷</v>
      </c>
      <c r="K21" s="264" t="s">
        <v>397</v>
      </c>
      <c r="L21" s="136">
        <f>L19+1</f>
        <v>7</v>
      </c>
      <c r="M21" s="128">
        <f>VLOOKUP(L21,'280Ⅱ'!A:T,5,0)</f>
        <v>20</v>
      </c>
      <c r="N21" s="128">
        <f>N19+M21</f>
        <v>613</v>
      </c>
      <c r="O21" s="128">
        <f>VLOOKUP(L21,'280Ⅱ'!A:T,6,0)</f>
        <v>1</v>
      </c>
      <c r="P21" s="128">
        <f>P19+O21</f>
        <v>9</v>
      </c>
      <c r="Q21" s="128">
        <f>VLOOKUP(L21,'280Ⅱ'!A:T,18,0)</f>
        <v>0</v>
      </c>
      <c r="R21" s="128" t="str">
        <f>VLOOKUP(L21,'280Ⅱ'!A:T,19,0)</f>
        <v>白博文</v>
      </c>
      <c r="S21" s="128" t="str">
        <f>VLOOKUP(L21,'280Ⅱ'!A:T,20,0)</f>
        <v>郭冠廷</v>
      </c>
      <c r="T21" s="137"/>
      <c r="U21" s="137"/>
      <c r="V21" s="137"/>
      <c r="W21" s="137"/>
      <c r="X21" s="137"/>
      <c r="Y21" s="137"/>
      <c r="Z21" s="137"/>
      <c r="AA21" s="137"/>
    </row>
    <row r="22" spans="1:27" s="138" customFormat="1" ht="61.5" customHeight="1">
      <c r="A22" s="284"/>
      <c r="B22" s="174" t="s">
        <v>216</v>
      </c>
      <c r="C22" s="270"/>
      <c r="D22" s="116" t="str">
        <f>M21&amp;M22</f>
        <v>20 M3</v>
      </c>
      <c r="E22" s="272"/>
      <c r="F22" s="117" t="str">
        <f>E21&amp;CHAR(10)&amp;"("&amp;O21&amp;O22&amp;")"</f>
        <v>20 M3
(1組)</v>
      </c>
      <c r="G22" s="282"/>
      <c r="H22" s="117" t="str">
        <f>H21&amp;CHAR(10)&amp;"("&amp;P21&amp;O22&amp;")"</f>
        <v>613 M3
(9組)</v>
      </c>
      <c r="I22" s="273"/>
      <c r="J22" s="274"/>
      <c r="K22" s="265"/>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283" t="str">
        <f t="shared" ref="A23" si="5">"1-280Ⅱ-"&amp;L23</f>
        <v>1-280Ⅱ-8</v>
      </c>
      <c r="B23" s="126" t="s">
        <v>486</v>
      </c>
      <c r="C23" s="269" t="s">
        <v>1531</v>
      </c>
      <c r="D23" s="115">
        <f>VLOOKUP(L23,'280Ⅱ'!A:T,2,0)</f>
        <v>45439</v>
      </c>
      <c r="E23" s="271" t="str">
        <f>M23&amp;M24</f>
        <v>94 M3</v>
      </c>
      <c r="F23" s="115">
        <f>D23</f>
        <v>45439</v>
      </c>
      <c r="G23" s="282"/>
      <c r="H23" s="117" t="str">
        <f>N23&amp;M24</f>
        <v>707 M3</v>
      </c>
      <c r="I23" s="273" t="str">
        <f t="shared" si="4"/>
        <v>合格</v>
      </c>
      <c r="J23" s="274" t="str">
        <f>IF(R23=0,"上  溢："&amp;S23,IF(Q23=0,"任  泰："&amp;R23&amp;"                 "&amp;"上  溢："&amp;S23,
"水利處："&amp;Q23&amp;"                 "&amp;"任  泰："&amp;R23&amp;"                 "&amp;"上  溢："&amp;S23))</f>
        <v>任  泰：白博文                 上  溢：葉展志</v>
      </c>
      <c r="K23" s="264" t="s">
        <v>431</v>
      </c>
      <c r="L23" s="136">
        <f>L21+1</f>
        <v>8</v>
      </c>
      <c r="M23" s="128">
        <f>VLOOKUP(L23,'280Ⅱ'!A:T,5,0)</f>
        <v>94</v>
      </c>
      <c r="N23" s="128">
        <f>N21+M23</f>
        <v>707</v>
      </c>
      <c r="O23" s="128">
        <f>VLOOKUP(L23,'280Ⅱ'!A:T,6,0)</f>
        <v>1</v>
      </c>
      <c r="P23" s="128">
        <f>P21+O23</f>
        <v>10</v>
      </c>
      <c r="Q23" s="128">
        <f>VLOOKUP(L23,'280Ⅱ'!A:T,18,0)</f>
        <v>0</v>
      </c>
      <c r="R23" s="128" t="str">
        <f>VLOOKUP(L23,'280Ⅱ'!A:T,19,0)</f>
        <v>白博文</v>
      </c>
      <c r="S23" s="128" t="str">
        <f>VLOOKUP(L23,'280Ⅱ'!A:T,20,0)</f>
        <v>葉展志</v>
      </c>
      <c r="T23" s="137"/>
      <c r="U23" s="137"/>
      <c r="V23" s="137"/>
      <c r="W23" s="137"/>
      <c r="X23" s="137"/>
      <c r="Y23" s="137"/>
      <c r="Z23" s="137"/>
      <c r="AA23" s="137"/>
    </row>
    <row r="24" spans="1:27" s="138" customFormat="1" ht="61.5" customHeight="1">
      <c r="A24" s="284"/>
      <c r="B24" s="174" t="s">
        <v>216</v>
      </c>
      <c r="C24" s="270"/>
      <c r="D24" s="116" t="str">
        <f>M23&amp;M24</f>
        <v>94 M3</v>
      </c>
      <c r="E24" s="272"/>
      <c r="F24" s="117" t="str">
        <f>E23&amp;CHAR(10)&amp;"("&amp;O23&amp;O24&amp;")"</f>
        <v>94 M3
(1組)</v>
      </c>
      <c r="G24" s="282"/>
      <c r="H24" s="117" t="str">
        <f>H23&amp;CHAR(10)&amp;"("&amp;P23&amp;O24&amp;")"</f>
        <v>707 M3
(10組)</v>
      </c>
      <c r="I24" s="273"/>
      <c r="J24" s="274"/>
      <c r="K24" s="265"/>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283" t="str">
        <f t="shared" ref="A25" si="6">"1-280Ⅱ-"&amp;L25</f>
        <v>1-280Ⅱ-9</v>
      </c>
      <c r="B25" s="126" t="s">
        <v>486</v>
      </c>
      <c r="C25" s="269" t="s">
        <v>1531</v>
      </c>
      <c r="D25" s="115">
        <f>VLOOKUP(L25,'280Ⅱ'!A:T,2,0)</f>
        <v>45439</v>
      </c>
      <c r="E25" s="271" t="str">
        <f>M25&amp;M26</f>
        <v>94 M3</v>
      </c>
      <c r="F25" s="115">
        <f>D25</f>
        <v>45439</v>
      </c>
      <c r="G25" s="282"/>
      <c r="H25" s="117" t="str">
        <f>N25&amp;M26</f>
        <v>801 M3</v>
      </c>
      <c r="I25" s="273" t="str">
        <f t="shared" si="4"/>
        <v>合格</v>
      </c>
      <c r="J25" s="274" t="str">
        <f>IF(R25=0,"上  溢："&amp;S25,IF(Q25=0,"任  泰："&amp;R25&amp;"                 "&amp;"上  溢："&amp;S25,
"水利處："&amp;Q25&amp;"                 "&amp;"任  泰："&amp;R25&amp;"                 "&amp;"上  溢："&amp;S25))</f>
        <v>任  泰：白博文                 上  溢：葉展志</v>
      </c>
      <c r="K25" s="264" t="s">
        <v>432</v>
      </c>
      <c r="L25" s="136">
        <f>L23+1</f>
        <v>9</v>
      </c>
      <c r="M25" s="128">
        <f>VLOOKUP(L25,'280Ⅱ'!A:T,5,0)</f>
        <v>94</v>
      </c>
      <c r="N25" s="128">
        <f>N23+M25</f>
        <v>801</v>
      </c>
      <c r="O25" s="128">
        <f>VLOOKUP(L25,'280Ⅱ'!A:T,6,0)</f>
        <v>1</v>
      </c>
      <c r="P25" s="128">
        <f>P23+O25</f>
        <v>11</v>
      </c>
      <c r="Q25" s="128">
        <f>VLOOKUP(L25,'280Ⅱ'!A:T,18,0)</f>
        <v>0</v>
      </c>
      <c r="R25" s="128" t="str">
        <f>VLOOKUP(L25,'280Ⅱ'!A:T,19,0)</f>
        <v>白博文</v>
      </c>
      <c r="S25" s="128" t="str">
        <f>VLOOKUP(L25,'280Ⅱ'!A:T,20,0)</f>
        <v>葉展志</v>
      </c>
      <c r="T25" s="137"/>
      <c r="U25" s="137"/>
      <c r="V25" s="137"/>
      <c r="W25" s="137"/>
      <c r="X25" s="137"/>
      <c r="Y25" s="137"/>
      <c r="Z25" s="137"/>
      <c r="AA25" s="137"/>
    </row>
    <row r="26" spans="1:27" s="138" customFormat="1" ht="61.5" customHeight="1">
      <c r="A26" s="284"/>
      <c r="B26" s="174" t="s">
        <v>216</v>
      </c>
      <c r="C26" s="270"/>
      <c r="D26" s="116" t="str">
        <f>M25&amp;M26</f>
        <v>94 M3</v>
      </c>
      <c r="E26" s="272"/>
      <c r="F26" s="117" t="str">
        <f>E25&amp;CHAR(10)&amp;"("&amp;O25&amp;O26&amp;")"</f>
        <v>94 M3
(1組)</v>
      </c>
      <c r="G26" s="282"/>
      <c r="H26" s="117" t="str">
        <f>H25&amp;CHAR(10)&amp;"("&amp;P25&amp;O26&amp;")"</f>
        <v>801 M3
(11組)</v>
      </c>
      <c r="I26" s="273"/>
      <c r="J26" s="274"/>
      <c r="K26" s="265"/>
      <c r="L26" s="127"/>
      <c r="M26" s="127" t="s">
        <v>201</v>
      </c>
      <c r="N26" s="128"/>
      <c r="O26" s="128" t="s">
        <v>204</v>
      </c>
      <c r="P26" s="128"/>
      <c r="Q26" s="128"/>
      <c r="R26" s="128"/>
      <c r="S26" s="128"/>
      <c r="T26" s="137"/>
      <c r="U26" s="137"/>
      <c r="V26" s="137"/>
      <c r="W26" s="137"/>
      <c r="X26" s="137"/>
      <c r="Y26" s="137"/>
      <c r="Z26" s="137"/>
      <c r="AA26" s="137"/>
    </row>
    <row r="27" spans="1:27" s="138" customFormat="1" ht="61.5" customHeight="1">
      <c r="A27" s="267" t="str">
        <f t="shared" ref="A27" si="7">"1-280Ⅱ-"&amp;L27</f>
        <v>1-280Ⅱ-10</v>
      </c>
      <c r="B27" s="182" t="s">
        <v>486</v>
      </c>
      <c r="C27" s="269" t="s">
        <v>1531</v>
      </c>
      <c r="D27" s="115">
        <f>VLOOKUP(L27,'280Ⅱ'!A:T,2,0)</f>
        <v>45442</v>
      </c>
      <c r="E27" s="271" t="str">
        <f>M27&amp;M28</f>
        <v>68 M3</v>
      </c>
      <c r="F27" s="115">
        <f>D27</f>
        <v>45442</v>
      </c>
      <c r="G27" s="282"/>
      <c r="H27" s="117" t="str">
        <f>N27&amp;M28</f>
        <v>869 M3</v>
      </c>
      <c r="I27" s="273" t="str">
        <f t="shared" si="4"/>
        <v>合格</v>
      </c>
      <c r="J27" s="274" t="str">
        <f>IF(R27=0,"上  溢："&amp;S27,IF(Q27=0,"任  泰："&amp;R27&amp;"                 "&amp;"上  溢："&amp;S27,
"水利處："&amp;Q27&amp;"                 "&amp;"任  泰："&amp;R27&amp;"                 "&amp;"上  溢："&amp;S27))</f>
        <v>任  泰：白博文                 上  溢：葉展志</v>
      </c>
      <c r="K27" s="264" t="s">
        <v>433</v>
      </c>
      <c r="L27" s="136">
        <f>L25+1</f>
        <v>10</v>
      </c>
      <c r="M27" s="128">
        <f>VLOOKUP(L27,'280Ⅱ'!A:T,5,0)</f>
        <v>68</v>
      </c>
      <c r="N27" s="128">
        <f>N25+M27</f>
        <v>869</v>
      </c>
      <c r="O27" s="128">
        <f>VLOOKUP(L27,'280Ⅱ'!A:T,6,0)</f>
        <v>1</v>
      </c>
      <c r="P27" s="128">
        <f>P25+O27</f>
        <v>12</v>
      </c>
      <c r="Q27" s="128">
        <f>VLOOKUP(L27,'280Ⅱ'!A:T,18,0)</f>
        <v>0</v>
      </c>
      <c r="R27" s="128" t="str">
        <f>VLOOKUP(L27,'280Ⅱ'!A:T,19,0)</f>
        <v>白博文</v>
      </c>
      <c r="S27" s="128" t="str">
        <f>VLOOKUP(L27,'280Ⅱ'!A:T,20,0)</f>
        <v>葉展志</v>
      </c>
      <c r="T27" s="137"/>
      <c r="U27" s="137"/>
      <c r="V27" s="137"/>
      <c r="W27" s="137"/>
      <c r="X27" s="137"/>
      <c r="Y27" s="137"/>
      <c r="Z27" s="137"/>
      <c r="AA27" s="137"/>
    </row>
    <row r="28" spans="1:27" s="138" customFormat="1" ht="61.5" customHeight="1">
      <c r="A28" s="268"/>
      <c r="B28" s="174" t="s">
        <v>216</v>
      </c>
      <c r="C28" s="270"/>
      <c r="D28" s="116" t="str">
        <f>M27&amp;M28</f>
        <v>68 M3</v>
      </c>
      <c r="E28" s="272"/>
      <c r="F28" s="117" t="str">
        <f>E27&amp;CHAR(10)&amp;"("&amp;O27&amp;O28&amp;")"</f>
        <v>68 M3
(1組)</v>
      </c>
      <c r="G28" s="265"/>
      <c r="H28" s="117" t="str">
        <f>H27&amp;CHAR(10)&amp;"("&amp;P27&amp;O28&amp;")"</f>
        <v>869 M3
(12組)</v>
      </c>
      <c r="I28" s="273"/>
      <c r="J28" s="274"/>
      <c r="K28" s="265"/>
      <c r="L28" s="127"/>
      <c r="M28" s="127" t="s">
        <v>201</v>
      </c>
      <c r="N28" s="128"/>
      <c r="O28" s="128" t="s">
        <v>204</v>
      </c>
      <c r="P28" s="128"/>
      <c r="Q28" s="128"/>
      <c r="R28" s="128"/>
      <c r="S28" s="128"/>
      <c r="T28" s="137"/>
      <c r="U28" s="137"/>
      <c r="V28" s="137"/>
      <c r="W28" s="137"/>
      <c r="X28" s="137"/>
      <c r="Y28" s="137"/>
      <c r="Z28" s="137"/>
      <c r="AA28" s="137"/>
    </row>
    <row r="29" spans="1:27" s="142" customFormat="1" ht="49.5" customHeight="1">
      <c r="A29" s="260" t="s">
        <v>47</v>
      </c>
      <c r="B29" s="261"/>
      <c r="C29" s="262"/>
      <c r="D29" s="260" t="s">
        <v>1753</v>
      </c>
      <c r="E29" s="261"/>
      <c r="F29" s="261"/>
      <c r="G29" s="262"/>
      <c r="H29" s="260" t="s">
        <v>1755</v>
      </c>
      <c r="I29" s="261"/>
      <c r="J29" s="261"/>
      <c r="K29" s="262"/>
      <c r="M29" s="143"/>
      <c r="N29" s="143"/>
      <c r="O29" s="143"/>
      <c r="P29" s="143"/>
      <c r="Q29" s="143"/>
      <c r="R29" s="143"/>
      <c r="S29" s="143"/>
      <c r="T29" s="143"/>
      <c r="U29" s="143"/>
      <c r="V29" s="143"/>
      <c r="W29" s="143"/>
      <c r="X29" s="143"/>
      <c r="Y29" s="143"/>
      <c r="Z29" s="143"/>
      <c r="AA29" s="143"/>
    </row>
    <row r="30" spans="1:27" s="142" customFormat="1" ht="49.5" customHeight="1">
      <c r="A30" s="263" t="s">
        <v>1147</v>
      </c>
      <c r="B30" s="263"/>
      <c r="C30" s="263"/>
      <c r="D30" s="263"/>
      <c r="E30" s="263"/>
      <c r="F30" s="263"/>
      <c r="G30" s="263"/>
      <c r="H30" s="263"/>
      <c r="I30" s="263"/>
      <c r="J30" s="263"/>
      <c r="K30" s="263"/>
      <c r="M30" s="143"/>
      <c r="N30" s="143"/>
      <c r="O30" s="143"/>
      <c r="P30" s="143"/>
      <c r="Q30" s="143"/>
      <c r="R30" s="143"/>
      <c r="S30" s="143"/>
      <c r="T30" s="143"/>
      <c r="U30" s="143"/>
      <c r="V30" s="143"/>
      <c r="W30" s="143"/>
      <c r="X30" s="143"/>
      <c r="Y30" s="143"/>
      <c r="Z30" s="143"/>
      <c r="AA30" s="143"/>
    </row>
    <row r="31" spans="1:27" s="138" customFormat="1" ht="61.5" customHeight="1">
      <c r="A31" s="267" t="str">
        <f t="shared" ref="A31" si="8">"1-280Ⅱ-"&amp;L31</f>
        <v>1-280Ⅱ-11</v>
      </c>
      <c r="B31" s="126" t="s">
        <v>486</v>
      </c>
      <c r="C31" s="269" t="s">
        <v>1531</v>
      </c>
      <c r="D31" s="116">
        <f>VLOOKUP(L31,'280Ⅱ'!A:T,2,0)</f>
        <v>45444</v>
      </c>
      <c r="E31" s="309" t="str">
        <f>M31&amp;M32</f>
        <v>30 M3</v>
      </c>
      <c r="F31" s="116">
        <f>D31</f>
        <v>45444</v>
      </c>
      <c r="G31" s="264" t="s">
        <v>145</v>
      </c>
      <c r="H31" s="117" t="str">
        <f>N31&amp;M32</f>
        <v>899 M3</v>
      </c>
      <c r="I31" s="273" t="str">
        <f t="shared" ref="I31:I39" si="9">IF(K31="","","合格")</f>
        <v>合格</v>
      </c>
      <c r="J31" s="274" t="str">
        <f>IF(R31=0,"上  溢："&amp;S31,IF(Q31=0,"任  泰："&amp;R31&amp;"                 "&amp;"上  溢："&amp;S31,
"水利處："&amp;Q31&amp;"                 "&amp;"任  泰："&amp;R31&amp;"                 "&amp;"上  溢："&amp;S31))</f>
        <v>任  泰：白博文                 上  溢：葉展志</v>
      </c>
      <c r="K31" s="264" t="s">
        <v>445</v>
      </c>
      <c r="L31" s="136">
        <f>L27+1</f>
        <v>11</v>
      </c>
      <c r="M31" s="128">
        <f>VLOOKUP(L31,'280Ⅱ'!A:T,5,0)</f>
        <v>30</v>
      </c>
      <c r="N31" s="128">
        <f>N27+M31</f>
        <v>899</v>
      </c>
      <c r="O31" s="128">
        <f>VLOOKUP(L31,'280Ⅱ'!A:T,6,0)</f>
        <v>1</v>
      </c>
      <c r="P31" s="128">
        <f>P27+O31</f>
        <v>13</v>
      </c>
      <c r="Q31" s="128">
        <f>VLOOKUP(L31,'280Ⅱ'!A:T,18,0)</f>
        <v>0</v>
      </c>
      <c r="R31" s="128" t="str">
        <f>VLOOKUP(L31,'280Ⅱ'!A:T,19,0)</f>
        <v>白博文</v>
      </c>
      <c r="S31" s="128" t="str">
        <f>VLOOKUP(L31,'280Ⅱ'!A:T,20,0)</f>
        <v>葉展志</v>
      </c>
      <c r="T31" s="137"/>
      <c r="U31" s="137"/>
      <c r="V31" s="137"/>
      <c r="W31" s="137"/>
      <c r="X31" s="137"/>
      <c r="Y31" s="137"/>
      <c r="Z31" s="137"/>
      <c r="AA31" s="137"/>
    </row>
    <row r="32" spans="1:27" s="138" customFormat="1" ht="61.5" customHeight="1">
      <c r="A32" s="268"/>
      <c r="B32" s="174" t="s">
        <v>216</v>
      </c>
      <c r="C32" s="270"/>
      <c r="D32" s="116" t="str">
        <f>M31&amp;M32</f>
        <v>30 M3</v>
      </c>
      <c r="E32" s="309"/>
      <c r="F32" s="117" t="str">
        <f>E31&amp;CHAR(10)&amp;"("&amp;O31&amp;O32&amp;")"</f>
        <v>30 M3
(1組)</v>
      </c>
      <c r="G32" s="282"/>
      <c r="H32" s="117" t="str">
        <f>H31&amp;CHAR(10)&amp;"("&amp;P31&amp;O32&amp;")"</f>
        <v>899 M3
(13組)</v>
      </c>
      <c r="I32" s="273"/>
      <c r="J32" s="274"/>
      <c r="K32" s="265"/>
      <c r="L32" s="127"/>
      <c r="M32" s="127" t="s">
        <v>201</v>
      </c>
      <c r="N32" s="128"/>
      <c r="O32" s="128" t="s">
        <v>204</v>
      </c>
      <c r="P32" s="128"/>
      <c r="Q32" s="128"/>
      <c r="R32" s="128"/>
      <c r="S32" s="128"/>
      <c r="T32" s="137"/>
      <c r="U32" s="137"/>
      <c r="V32" s="137"/>
      <c r="W32" s="137"/>
      <c r="X32" s="137"/>
      <c r="Y32" s="137"/>
      <c r="Z32" s="137"/>
      <c r="AA32" s="137"/>
    </row>
    <row r="33" spans="1:27" s="138" customFormat="1" ht="61.5" customHeight="1">
      <c r="A33" s="267" t="str">
        <f t="shared" ref="A33" si="10">"1-280Ⅱ-"&amp;L33</f>
        <v>1-280Ⅱ-12</v>
      </c>
      <c r="B33" s="126" t="s">
        <v>486</v>
      </c>
      <c r="C33" s="269" t="s">
        <v>1531</v>
      </c>
      <c r="D33" s="115">
        <f>VLOOKUP(L33,'280Ⅱ'!A:T,2,0)</f>
        <v>45447</v>
      </c>
      <c r="E33" s="271" t="str">
        <f>M33&amp;M34</f>
        <v>30 M3</v>
      </c>
      <c r="F33" s="115">
        <f>D33</f>
        <v>45447</v>
      </c>
      <c r="G33" s="282"/>
      <c r="H33" s="117" t="str">
        <f>N33&amp;M34</f>
        <v>929 M3</v>
      </c>
      <c r="I33" s="273" t="str">
        <f t="shared" si="9"/>
        <v>合格</v>
      </c>
      <c r="J33" s="274" t="str">
        <f>IF(R33=0,"上  溢："&amp;S33,IF(Q33=0,"任  泰："&amp;R33&amp;"                 "&amp;"上  溢："&amp;S33,
"水利處："&amp;Q33&amp;"                 "&amp;"任  泰："&amp;R33&amp;"                 "&amp;"上  溢："&amp;S33))</f>
        <v>任  泰：白博文                 上  溢：葉展志</v>
      </c>
      <c r="K33" s="264" t="s">
        <v>444</v>
      </c>
      <c r="L33" s="136">
        <f>L31+1</f>
        <v>12</v>
      </c>
      <c r="M33" s="128">
        <f>VLOOKUP(L33,'280Ⅱ'!A:T,5,0)</f>
        <v>30</v>
      </c>
      <c r="N33" s="128">
        <f>N31+M33</f>
        <v>929</v>
      </c>
      <c r="O33" s="128">
        <f>VLOOKUP(L33,'280Ⅱ'!A:T,6,0)</f>
        <v>1</v>
      </c>
      <c r="P33" s="128">
        <f>P31+O33</f>
        <v>14</v>
      </c>
      <c r="Q33" s="128">
        <f>VLOOKUP(L33,'280Ⅱ'!A:T,18,0)</f>
        <v>0</v>
      </c>
      <c r="R33" s="128" t="str">
        <f>VLOOKUP(L33,'280Ⅱ'!A:T,19,0)</f>
        <v>白博文</v>
      </c>
      <c r="S33" s="128" t="str">
        <f>VLOOKUP(L33,'280Ⅱ'!A:T,20,0)</f>
        <v>葉展志</v>
      </c>
      <c r="T33" s="137"/>
      <c r="U33" s="137"/>
      <c r="V33" s="137"/>
      <c r="W33" s="137"/>
      <c r="X33" s="137"/>
      <c r="Y33" s="137"/>
      <c r="Z33" s="137"/>
      <c r="AA33" s="137"/>
    </row>
    <row r="34" spans="1:27" s="138" customFormat="1" ht="61.5" customHeight="1">
      <c r="A34" s="268"/>
      <c r="B34" s="174" t="s">
        <v>216</v>
      </c>
      <c r="C34" s="270"/>
      <c r="D34" s="116" t="str">
        <f>M33&amp;M34</f>
        <v>30 M3</v>
      </c>
      <c r="E34" s="272"/>
      <c r="F34" s="117" t="str">
        <f>E33&amp;CHAR(10)&amp;"("&amp;O33&amp;O34&amp;")"</f>
        <v>30 M3
(1組)</v>
      </c>
      <c r="G34" s="282"/>
      <c r="H34" s="117" t="str">
        <f>H33&amp;CHAR(10)&amp;"("&amp;P33&amp;O34&amp;")"</f>
        <v>929 M3
(14組)</v>
      </c>
      <c r="I34" s="273"/>
      <c r="J34" s="274"/>
      <c r="K34" s="265"/>
      <c r="L34" s="127"/>
      <c r="M34" s="127" t="s">
        <v>201</v>
      </c>
      <c r="N34" s="128"/>
      <c r="O34" s="128" t="s">
        <v>204</v>
      </c>
      <c r="P34" s="128"/>
      <c r="Q34" s="128"/>
      <c r="R34" s="128"/>
      <c r="S34" s="128"/>
      <c r="T34" s="137"/>
      <c r="U34" s="137"/>
      <c r="V34" s="137"/>
      <c r="W34" s="137"/>
      <c r="X34" s="137"/>
      <c r="Y34" s="137"/>
      <c r="Z34" s="137"/>
      <c r="AA34" s="137"/>
    </row>
    <row r="35" spans="1:27" s="138" customFormat="1" ht="61.5" customHeight="1">
      <c r="A35" s="267" t="str">
        <f t="shared" ref="A35" si="11">"1-280Ⅱ-"&amp;L35</f>
        <v>1-280Ⅱ-13</v>
      </c>
      <c r="B35" s="126" t="s">
        <v>486</v>
      </c>
      <c r="C35" s="269" t="s">
        <v>1531</v>
      </c>
      <c r="D35" s="115">
        <f>VLOOKUP(L35,'280Ⅱ'!A:T,2,0)</f>
        <v>45454</v>
      </c>
      <c r="E35" s="271" t="str">
        <f>M35&amp;M36</f>
        <v>50 M3</v>
      </c>
      <c r="F35" s="115">
        <f>D35</f>
        <v>45454</v>
      </c>
      <c r="G35" s="282"/>
      <c r="H35" s="117" t="str">
        <f>N35&amp;M36</f>
        <v>979 M3</v>
      </c>
      <c r="I35" s="273" t="str">
        <f t="shared" si="9"/>
        <v>合格</v>
      </c>
      <c r="J35" s="274" t="str">
        <f>IF(R35=0,"上  溢："&amp;S35,IF(Q35=0,"任  泰："&amp;R35&amp;"                 "&amp;"上  溢："&amp;S35,
"水利處："&amp;Q35&amp;"                 "&amp;"任  泰："&amp;R35&amp;"                 "&amp;"上  溢："&amp;S35))</f>
        <v>任  泰：白博文                 上  溢：葉展志</v>
      </c>
      <c r="K35" s="264" t="s">
        <v>453</v>
      </c>
      <c r="L35" s="136">
        <f>L33+1</f>
        <v>13</v>
      </c>
      <c r="M35" s="128">
        <f>VLOOKUP(L35,'280Ⅱ'!A:T,5,0)</f>
        <v>50</v>
      </c>
      <c r="N35" s="128">
        <f>N33+M35</f>
        <v>979</v>
      </c>
      <c r="O35" s="128">
        <f>VLOOKUP(L35,'280Ⅱ'!A:T,6,0)</f>
        <v>1</v>
      </c>
      <c r="P35" s="128">
        <f>P33+O35</f>
        <v>15</v>
      </c>
      <c r="Q35" s="128">
        <f>VLOOKUP(L35,'280Ⅱ'!A:T,18,0)</f>
        <v>0</v>
      </c>
      <c r="R35" s="128" t="str">
        <f>VLOOKUP(L35,'280Ⅱ'!A:T,19,0)</f>
        <v>白博文</v>
      </c>
      <c r="S35" s="128" t="str">
        <f>VLOOKUP(L35,'280Ⅱ'!A:T,20,0)</f>
        <v>葉展志</v>
      </c>
      <c r="T35" s="137"/>
      <c r="U35" s="137"/>
      <c r="V35" s="183"/>
      <c r="W35" s="137"/>
      <c r="X35" s="137"/>
      <c r="Y35" s="137"/>
      <c r="Z35" s="137"/>
      <c r="AA35" s="137"/>
    </row>
    <row r="36" spans="1:27" s="138" customFormat="1" ht="61.5" customHeight="1">
      <c r="A36" s="268"/>
      <c r="B36" s="174" t="s">
        <v>216</v>
      </c>
      <c r="C36" s="270"/>
      <c r="D36" s="116" t="str">
        <f>M35&amp;M36</f>
        <v>50 M3</v>
      </c>
      <c r="E36" s="272"/>
      <c r="F36" s="117" t="str">
        <f>E35&amp;CHAR(10)&amp;"("&amp;O35&amp;O36&amp;")"</f>
        <v>50 M3
(1組)</v>
      </c>
      <c r="G36" s="282"/>
      <c r="H36" s="117" t="str">
        <f>H35&amp;CHAR(10)&amp;"("&amp;P35&amp;O36&amp;")"</f>
        <v>979 M3
(15組)</v>
      </c>
      <c r="I36" s="273"/>
      <c r="J36" s="274"/>
      <c r="K36" s="265"/>
      <c r="L36" s="127"/>
      <c r="M36" s="127" t="s">
        <v>201</v>
      </c>
      <c r="N36" s="128"/>
      <c r="O36" s="128" t="s">
        <v>204</v>
      </c>
      <c r="P36" s="128"/>
      <c r="Q36" s="128"/>
      <c r="R36" s="128"/>
      <c r="S36" s="128"/>
      <c r="T36" s="137"/>
      <c r="U36" s="137"/>
      <c r="V36" s="183"/>
      <c r="W36" s="137"/>
      <c r="X36" s="137"/>
      <c r="Y36" s="137"/>
      <c r="Z36" s="137"/>
      <c r="AA36" s="137"/>
    </row>
    <row r="37" spans="1:27" s="138" customFormat="1" ht="61.5" customHeight="1">
      <c r="A37" s="267" t="str">
        <f t="shared" ref="A37" si="12">"1-280Ⅱ-"&amp;L37</f>
        <v>1-280Ⅱ-14</v>
      </c>
      <c r="B37" s="126" t="s">
        <v>486</v>
      </c>
      <c r="C37" s="269" t="s">
        <v>1531</v>
      </c>
      <c r="D37" s="115">
        <f>VLOOKUP(L37,'280Ⅱ'!A:T,2,0)</f>
        <v>45461</v>
      </c>
      <c r="E37" s="271" t="str">
        <f>M37&amp;M38</f>
        <v>93 M3</v>
      </c>
      <c r="F37" s="115">
        <f>D37</f>
        <v>45461</v>
      </c>
      <c r="G37" s="282"/>
      <c r="H37" s="117" t="str">
        <f>N37&amp;M38</f>
        <v>1072 M3</v>
      </c>
      <c r="I37" s="273" t="str">
        <f t="shared" si="9"/>
        <v>合格</v>
      </c>
      <c r="J37" s="274" t="str">
        <f>IF(R37=0,"上  溢："&amp;S37,IF(Q37=0,"任  泰："&amp;R37&amp;"                 "&amp;"上  溢："&amp;S37,
"水利處："&amp;Q37&amp;"                 "&amp;"任  泰："&amp;R37&amp;"                 "&amp;"上  溢："&amp;S37))</f>
        <v>任  泰：白博文                 上  溢：葉展志</v>
      </c>
      <c r="K37" s="264" t="s">
        <v>457</v>
      </c>
      <c r="L37" s="136">
        <f>L35+1</f>
        <v>14</v>
      </c>
      <c r="M37" s="128">
        <f>VLOOKUP(L37,'280Ⅱ'!A:T,5,0)</f>
        <v>93</v>
      </c>
      <c r="N37" s="128">
        <f>N35+M37</f>
        <v>1072</v>
      </c>
      <c r="O37" s="128">
        <f>VLOOKUP(L37,'280Ⅱ'!A:T,6,0)</f>
        <v>1</v>
      </c>
      <c r="P37" s="128">
        <f>P35+O37</f>
        <v>16</v>
      </c>
      <c r="Q37" s="128">
        <f>VLOOKUP(L37,'280Ⅱ'!A:T,18,0)</f>
        <v>0</v>
      </c>
      <c r="R37" s="128" t="str">
        <f>VLOOKUP(L37,'280Ⅱ'!A:T,19,0)</f>
        <v>白博文</v>
      </c>
      <c r="S37" s="128" t="str">
        <f>VLOOKUP(L37,'280Ⅱ'!A:T,20,0)</f>
        <v>葉展志</v>
      </c>
      <c r="T37" s="137"/>
      <c r="U37" s="137"/>
      <c r="V37" s="183"/>
      <c r="W37" s="137"/>
      <c r="X37" s="137"/>
      <c r="Y37" s="137"/>
      <c r="Z37" s="137"/>
      <c r="AA37" s="137"/>
    </row>
    <row r="38" spans="1:27" s="138" customFormat="1" ht="61.5" customHeight="1">
      <c r="A38" s="268"/>
      <c r="B38" s="174" t="s">
        <v>216</v>
      </c>
      <c r="C38" s="270"/>
      <c r="D38" s="116" t="str">
        <f>M37&amp;M38</f>
        <v>93 M3</v>
      </c>
      <c r="E38" s="272"/>
      <c r="F38" s="117" t="str">
        <f>E37&amp;CHAR(10)&amp;"("&amp;O37&amp;O38&amp;")"</f>
        <v>93 M3
(1組)</v>
      </c>
      <c r="G38" s="282"/>
      <c r="H38" s="117" t="str">
        <f>H37&amp;CHAR(10)&amp;"("&amp;P37&amp;O38&amp;")"</f>
        <v>1072 M3
(16組)</v>
      </c>
      <c r="I38" s="273"/>
      <c r="J38" s="274"/>
      <c r="K38" s="265"/>
      <c r="L38" s="127"/>
      <c r="M38" s="127" t="s">
        <v>201</v>
      </c>
      <c r="N38" s="128"/>
      <c r="O38" s="128" t="s">
        <v>204</v>
      </c>
      <c r="P38" s="128"/>
      <c r="Q38" s="128"/>
      <c r="R38" s="128"/>
      <c r="S38" s="128"/>
      <c r="T38" s="137"/>
      <c r="U38" s="137"/>
      <c r="V38" s="183"/>
      <c r="W38" s="137"/>
      <c r="X38" s="137"/>
      <c r="Y38" s="137"/>
      <c r="Z38" s="137"/>
      <c r="AA38" s="137"/>
    </row>
    <row r="39" spans="1:27" s="138" customFormat="1" ht="61.5" customHeight="1">
      <c r="A39" s="267" t="str">
        <f t="shared" ref="A39" si="13">"1-280Ⅱ-"&amp;L39</f>
        <v>1-280Ⅱ-15</v>
      </c>
      <c r="B39" s="126" t="s">
        <v>486</v>
      </c>
      <c r="C39" s="269" t="s">
        <v>1531</v>
      </c>
      <c r="D39" s="115">
        <f>VLOOKUP(L39,'280Ⅱ'!A:T,2,0)</f>
        <v>45464</v>
      </c>
      <c r="E39" s="271" t="str">
        <f>M39&amp;M40</f>
        <v>66 M3</v>
      </c>
      <c r="F39" s="115">
        <f>D39</f>
        <v>45464</v>
      </c>
      <c r="G39" s="282"/>
      <c r="H39" s="117" t="str">
        <f>N39&amp;M40</f>
        <v>1138 M3</v>
      </c>
      <c r="I39" s="273" t="str">
        <f t="shared" si="9"/>
        <v>合格</v>
      </c>
      <c r="J39" s="274" t="str">
        <f>IF(R39=0,"上  溢："&amp;S39,IF(Q39=0,"任  泰："&amp;R39&amp;"                 "&amp;"上  溢："&amp;S39,
"水利處："&amp;Q39&amp;"                 "&amp;"任  泰："&amp;R39&amp;"                 "&amp;"上  溢："&amp;S39))</f>
        <v>任  泰：白博文                 上  溢：葉展志</v>
      </c>
      <c r="K39" s="264" t="s">
        <v>458</v>
      </c>
      <c r="L39" s="136">
        <f>L37+1</f>
        <v>15</v>
      </c>
      <c r="M39" s="128">
        <f>VLOOKUP(L39,'280Ⅱ'!A:T,5,0)</f>
        <v>66</v>
      </c>
      <c r="N39" s="128">
        <f>N37+M39</f>
        <v>1138</v>
      </c>
      <c r="O39" s="128">
        <f>VLOOKUP(L39,'280Ⅱ'!A:T,6,0)</f>
        <v>1</v>
      </c>
      <c r="P39" s="128">
        <f>P37+O39</f>
        <v>17</v>
      </c>
      <c r="Q39" s="128">
        <f>VLOOKUP(L39,'280Ⅱ'!A:T,18,0)</f>
        <v>0</v>
      </c>
      <c r="R39" s="128" t="str">
        <f>VLOOKUP(L39,'280Ⅱ'!A:T,19,0)</f>
        <v>白博文</v>
      </c>
      <c r="S39" s="128" t="str">
        <f>VLOOKUP(L39,'280Ⅱ'!A:T,20,0)</f>
        <v>葉展志</v>
      </c>
      <c r="T39" s="137"/>
      <c r="U39" s="137"/>
      <c r="V39" s="183"/>
      <c r="W39" s="137"/>
      <c r="X39" s="137"/>
      <c r="Y39" s="137"/>
      <c r="Z39" s="137"/>
      <c r="AA39" s="137"/>
    </row>
    <row r="40" spans="1:27" s="138" customFormat="1" ht="61.5" customHeight="1">
      <c r="A40" s="268"/>
      <c r="B40" s="174" t="s">
        <v>216</v>
      </c>
      <c r="C40" s="270"/>
      <c r="D40" s="116" t="str">
        <f>M39&amp;M40</f>
        <v>66 M3</v>
      </c>
      <c r="E40" s="272"/>
      <c r="F40" s="117" t="str">
        <f>E39&amp;CHAR(10)&amp;"("&amp;O39&amp;O40&amp;")"</f>
        <v>66 M3
(1組)</v>
      </c>
      <c r="G40" s="265"/>
      <c r="H40" s="117" t="str">
        <f>H39&amp;CHAR(10)&amp;"("&amp;P39&amp;O40&amp;")"</f>
        <v>1138 M3
(17組)</v>
      </c>
      <c r="I40" s="273"/>
      <c r="J40" s="274"/>
      <c r="K40" s="265"/>
      <c r="L40" s="127"/>
      <c r="M40" s="127" t="s">
        <v>201</v>
      </c>
      <c r="N40" s="128"/>
      <c r="O40" s="128" t="s">
        <v>204</v>
      </c>
      <c r="P40" s="128"/>
      <c r="Q40" s="128"/>
      <c r="R40" s="128"/>
      <c r="S40" s="128"/>
      <c r="T40" s="137"/>
      <c r="U40" s="137"/>
      <c r="V40" s="183"/>
      <c r="W40" s="137"/>
      <c r="X40" s="137"/>
      <c r="Y40" s="137"/>
      <c r="Z40" s="137"/>
      <c r="AA40" s="137"/>
    </row>
    <row r="41" spans="1:27" s="142" customFormat="1" ht="49.5" customHeight="1">
      <c r="A41" s="260" t="s">
        <v>47</v>
      </c>
      <c r="B41" s="261"/>
      <c r="C41" s="262"/>
      <c r="D41" s="260" t="s">
        <v>1753</v>
      </c>
      <c r="E41" s="261"/>
      <c r="F41" s="261"/>
      <c r="G41" s="262"/>
      <c r="H41" s="260" t="s">
        <v>1755</v>
      </c>
      <c r="I41" s="261"/>
      <c r="J41" s="261"/>
      <c r="K41" s="262"/>
      <c r="M41" s="143"/>
      <c r="N41" s="143"/>
      <c r="O41" s="143"/>
      <c r="P41" s="143"/>
      <c r="Q41" s="143"/>
      <c r="R41" s="143"/>
      <c r="S41" s="143"/>
      <c r="T41" s="143"/>
      <c r="U41" s="143"/>
      <c r="V41" s="143"/>
      <c r="W41" s="143"/>
      <c r="X41" s="143"/>
      <c r="Y41" s="143"/>
      <c r="Z41" s="143"/>
      <c r="AA41" s="143"/>
    </row>
    <row r="42" spans="1:27" s="142" customFormat="1" ht="49.5" customHeight="1">
      <c r="A42" s="263" t="s">
        <v>1147</v>
      </c>
      <c r="B42" s="263"/>
      <c r="C42" s="263"/>
      <c r="D42" s="263"/>
      <c r="E42" s="263"/>
      <c r="F42" s="263"/>
      <c r="G42" s="263"/>
      <c r="H42" s="263"/>
      <c r="I42" s="263"/>
      <c r="J42" s="263"/>
      <c r="K42" s="263"/>
      <c r="M42" s="143"/>
      <c r="N42" s="143"/>
      <c r="O42" s="143"/>
      <c r="P42" s="143"/>
      <c r="Q42" s="143"/>
      <c r="R42" s="143"/>
      <c r="S42" s="143"/>
      <c r="T42" s="143"/>
      <c r="U42" s="143"/>
      <c r="V42" s="143"/>
      <c r="W42" s="143"/>
      <c r="X42" s="143"/>
      <c r="Y42" s="143"/>
      <c r="Z42" s="143"/>
      <c r="AA42" s="143"/>
    </row>
    <row r="43" spans="1:27" s="138" customFormat="1" ht="61.5" customHeight="1">
      <c r="A43" s="267" t="str">
        <f t="shared" ref="A43" si="14">"1-280Ⅱ-"&amp;L43</f>
        <v>1-280Ⅱ-16</v>
      </c>
      <c r="B43" s="126" t="s">
        <v>486</v>
      </c>
      <c r="C43" s="269" t="s">
        <v>1531</v>
      </c>
      <c r="D43" s="115">
        <f>VLOOKUP(L43,'280Ⅱ'!A:T,2,0)</f>
        <v>45470</v>
      </c>
      <c r="E43" s="271" t="str">
        <f>M43&amp;M44</f>
        <v>68 M3</v>
      </c>
      <c r="F43" s="115">
        <f>D43</f>
        <v>45470</v>
      </c>
      <c r="G43" s="264" t="s">
        <v>145</v>
      </c>
      <c r="H43" s="117" t="str">
        <f>N43&amp;M44</f>
        <v>1206 M3</v>
      </c>
      <c r="I43" s="273" t="str">
        <f t="shared" ref="I43:I49" si="15">IF(K43="","","合格")</f>
        <v>合格</v>
      </c>
      <c r="J43" s="274" t="str">
        <f>IF(R43=0,"上  溢："&amp;S43,IF(Q43=0,"任  泰："&amp;R43&amp;"                 "&amp;"上  溢："&amp;S43,
"水利處："&amp;Q43&amp;"                 "&amp;"任  泰："&amp;R43&amp;"                 "&amp;"上  溢："&amp;S43))</f>
        <v>任  泰：白博文                 上  溢：葉展志</v>
      </c>
      <c r="K43" s="264" t="s">
        <v>491</v>
      </c>
      <c r="L43" s="136">
        <f>L39+1</f>
        <v>16</v>
      </c>
      <c r="M43" s="128">
        <f>VLOOKUP(L43,'280Ⅱ'!A:T,5,0)</f>
        <v>68</v>
      </c>
      <c r="N43" s="128">
        <f>N39+M43</f>
        <v>1206</v>
      </c>
      <c r="O43" s="128">
        <f>VLOOKUP(L43,'280Ⅱ'!A:T,6,0)</f>
        <v>1</v>
      </c>
      <c r="P43" s="128">
        <f>P39+O43</f>
        <v>18</v>
      </c>
      <c r="Q43" s="128">
        <f>VLOOKUP(L43,'280Ⅱ'!A:T,18,0)</f>
        <v>0</v>
      </c>
      <c r="R43" s="128" t="str">
        <f>VLOOKUP(L43,'280Ⅱ'!A:T,19,0)</f>
        <v>白博文</v>
      </c>
      <c r="S43" s="128" t="str">
        <f>VLOOKUP(L43,'280Ⅱ'!A:T,20,0)</f>
        <v>葉展志</v>
      </c>
      <c r="T43" s="137"/>
      <c r="U43" s="137"/>
      <c r="V43" s="183"/>
      <c r="W43" s="137"/>
      <c r="X43" s="137"/>
      <c r="Y43" s="137"/>
      <c r="Z43" s="137"/>
      <c r="AA43" s="137"/>
    </row>
    <row r="44" spans="1:27" s="138" customFormat="1" ht="61.5" customHeight="1">
      <c r="A44" s="268"/>
      <c r="B44" s="174" t="s">
        <v>216</v>
      </c>
      <c r="C44" s="270"/>
      <c r="D44" s="116" t="str">
        <f>M43&amp;M44</f>
        <v>68 M3</v>
      </c>
      <c r="E44" s="272"/>
      <c r="F44" s="117" t="str">
        <f>E43&amp;CHAR(10)&amp;"("&amp;O43&amp;O44&amp;")"</f>
        <v>68 M3
(1組)</v>
      </c>
      <c r="G44" s="282"/>
      <c r="H44" s="117" t="str">
        <f>H43&amp;CHAR(10)&amp;"("&amp;P43&amp;O44&amp;")"</f>
        <v>1206 M3
(18組)</v>
      </c>
      <c r="I44" s="273"/>
      <c r="J44" s="274"/>
      <c r="K44" s="265"/>
      <c r="L44" s="127"/>
      <c r="M44" s="127" t="s">
        <v>201</v>
      </c>
      <c r="N44" s="128"/>
      <c r="O44" s="128" t="s">
        <v>204</v>
      </c>
      <c r="P44" s="128"/>
      <c r="Q44" s="128"/>
      <c r="R44" s="128"/>
      <c r="S44" s="128"/>
      <c r="T44" s="137"/>
      <c r="U44" s="137"/>
      <c r="V44" s="183"/>
      <c r="W44" s="137"/>
      <c r="X44" s="137"/>
      <c r="Y44" s="137"/>
      <c r="Z44" s="137"/>
      <c r="AA44" s="137"/>
    </row>
    <row r="45" spans="1:27" s="138" customFormat="1" ht="61.5" customHeight="1">
      <c r="A45" s="267" t="str">
        <f t="shared" ref="A45" si="16">"1-280Ⅱ-"&amp;L45</f>
        <v>1-280Ⅱ-17</v>
      </c>
      <c r="B45" s="126" t="s">
        <v>486</v>
      </c>
      <c r="C45" s="269" t="s">
        <v>1531</v>
      </c>
      <c r="D45" s="115">
        <f>VLOOKUP(L45,'280Ⅱ'!A:T,2,0)</f>
        <v>45477</v>
      </c>
      <c r="E45" s="271" t="str">
        <f>M45&amp;M46</f>
        <v>32 M3</v>
      </c>
      <c r="F45" s="115">
        <f>D45</f>
        <v>45477</v>
      </c>
      <c r="G45" s="282"/>
      <c r="H45" s="117" t="str">
        <f>N45&amp;M46</f>
        <v>1238 M3</v>
      </c>
      <c r="I45" s="273" t="str">
        <f t="shared" si="15"/>
        <v>合格</v>
      </c>
      <c r="J45" s="274" t="str">
        <f>IF(R45=0,"上  溢："&amp;S45,IF(Q45=0,"任  泰："&amp;R45&amp;"                 "&amp;"上  溢："&amp;S45,
"水利處："&amp;Q45&amp;"                 "&amp;"任  泰："&amp;R45&amp;"                 "&amp;"上  溢："&amp;S45))</f>
        <v>任  泰：白博文                 上  溢：葉展志</v>
      </c>
      <c r="K45" s="264" t="s">
        <v>484</v>
      </c>
      <c r="L45" s="136">
        <f>L43+1</f>
        <v>17</v>
      </c>
      <c r="M45" s="128">
        <f>VLOOKUP(L45,'280Ⅱ'!A:T,5,0)</f>
        <v>32</v>
      </c>
      <c r="N45" s="128">
        <f>N43+M45</f>
        <v>1238</v>
      </c>
      <c r="O45" s="128">
        <f>VLOOKUP(L45,'280Ⅱ'!A:T,6,0)</f>
        <v>1</v>
      </c>
      <c r="P45" s="128">
        <f>P43+O45</f>
        <v>19</v>
      </c>
      <c r="Q45" s="128">
        <f>VLOOKUP(L45,'280Ⅱ'!A:T,18,0)</f>
        <v>0</v>
      </c>
      <c r="R45" s="128" t="str">
        <f>VLOOKUP(L45,'280Ⅱ'!A:T,19,0)</f>
        <v>白博文</v>
      </c>
      <c r="S45" s="128" t="str">
        <f>VLOOKUP(L45,'280Ⅱ'!A:T,20,0)</f>
        <v>葉展志</v>
      </c>
      <c r="T45" s="137"/>
      <c r="U45" s="137"/>
      <c r="V45" s="137"/>
      <c r="W45" s="137"/>
      <c r="X45" s="137"/>
      <c r="Y45" s="137"/>
      <c r="Z45" s="137"/>
      <c r="AA45" s="137"/>
    </row>
    <row r="46" spans="1:27" s="138" customFormat="1" ht="61.5" customHeight="1">
      <c r="A46" s="268"/>
      <c r="B46" s="174" t="s">
        <v>216</v>
      </c>
      <c r="C46" s="270"/>
      <c r="D46" s="116" t="str">
        <f>M45&amp;M46</f>
        <v>32 M3</v>
      </c>
      <c r="E46" s="272"/>
      <c r="F46" s="117" t="str">
        <f>E45&amp;CHAR(10)&amp;"("&amp;O45&amp;O46&amp;")"</f>
        <v>32 M3
(1組)</v>
      </c>
      <c r="G46" s="282"/>
      <c r="H46" s="117" t="str">
        <f>H45&amp;CHAR(10)&amp;"("&amp;P45&amp;O46&amp;")"</f>
        <v>1238 M3
(19組)</v>
      </c>
      <c r="I46" s="273"/>
      <c r="J46" s="274"/>
      <c r="K46" s="265"/>
      <c r="L46" s="127"/>
      <c r="M46" s="127" t="s">
        <v>201</v>
      </c>
      <c r="N46" s="128"/>
      <c r="O46" s="128" t="s">
        <v>204</v>
      </c>
      <c r="P46" s="128"/>
      <c r="Q46" s="128"/>
      <c r="R46" s="128"/>
      <c r="S46" s="128"/>
      <c r="T46" s="137"/>
      <c r="U46" s="137"/>
      <c r="V46" s="137"/>
      <c r="W46" s="137"/>
      <c r="X46" s="137"/>
      <c r="Y46" s="137"/>
      <c r="Z46" s="137"/>
      <c r="AA46" s="137"/>
    </row>
    <row r="47" spans="1:27" s="138" customFormat="1" ht="61.5" customHeight="1">
      <c r="A47" s="267" t="str">
        <f t="shared" ref="A47" si="17">"1-280Ⅱ-"&amp;L47</f>
        <v>1-280Ⅱ-18</v>
      </c>
      <c r="B47" s="126" t="s">
        <v>486</v>
      </c>
      <c r="C47" s="269" t="s">
        <v>1531</v>
      </c>
      <c r="D47" s="115">
        <f>VLOOKUP(L47,'280Ⅱ'!A:T,2,0)</f>
        <v>45591</v>
      </c>
      <c r="E47" s="271" t="str">
        <f>M47&amp;M48</f>
        <v>58 M3</v>
      </c>
      <c r="F47" s="115">
        <f>D47</f>
        <v>45591</v>
      </c>
      <c r="G47" s="282"/>
      <c r="H47" s="117" t="str">
        <f>N47&amp;M48</f>
        <v>1296 M3</v>
      </c>
      <c r="I47" s="273" t="str">
        <f t="shared" si="15"/>
        <v>合格</v>
      </c>
      <c r="J47" s="274" t="str">
        <f>IF(R47=0,"上  溢："&amp;S47,IF(Q47=0,"任  泰："&amp;R47&amp;"                 "&amp;"上  溢："&amp;S47,
"水利處："&amp;Q47&amp;"                 "&amp;"任  泰："&amp;R47&amp;"                 "&amp;"上  溢："&amp;S47))</f>
        <v>上  溢：胡舜豪</v>
      </c>
      <c r="K47" s="264" t="s">
        <v>975</v>
      </c>
      <c r="L47" s="136">
        <f>L45+1</f>
        <v>18</v>
      </c>
      <c r="M47" s="128">
        <f>VLOOKUP(L47,'280Ⅱ'!A:T,5,0)</f>
        <v>58</v>
      </c>
      <c r="N47" s="128">
        <f>N45+M47</f>
        <v>1296</v>
      </c>
      <c r="O47" s="128">
        <f>VLOOKUP(L47,'280Ⅱ'!A:T,6,0)</f>
        <v>1</v>
      </c>
      <c r="P47" s="128">
        <f>P45+O47</f>
        <v>20</v>
      </c>
      <c r="Q47" s="128">
        <f>VLOOKUP(L47,'280Ⅱ'!A:T,18,0)</f>
        <v>0</v>
      </c>
      <c r="R47" s="128">
        <f>VLOOKUP(L47,'280Ⅱ'!A:T,19,0)</f>
        <v>0</v>
      </c>
      <c r="S47" s="128" t="str">
        <f>VLOOKUP(L47,'280Ⅱ'!A:T,20,0)</f>
        <v>胡舜豪</v>
      </c>
      <c r="T47" s="137"/>
      <c r="U47" s="137"/>
      <c r="V47" s="137"/>
      <c r="W47" s="137"/>
      <c r="X47" s="137"/>
      <c r="Y47" s="137"/>
      <c r="Z47" s="137"/>
      <c r="AA47" s="137"/>
    </row>
    <row r="48" spans="1:27" s="138" customFormat="1" ht="61.5" customHeight="1">
      <c r="A48" s="268"/>
      <c r="B48" s="174" t="s">
        <v>216</v>
      </c>
      <c r="C48" s="270"/>
      <c r="D48" s="116" t="str">
        <f>M47&amp;M48</f>
        <v>58 M3</v>
      </c>
      <c r="E48" s="272"/>
      <c r="F48" s="117" t="str">
        <f>E47&amp;CHAR(10)&amp;"("&amp;O47&amp;O48&amp;")"</f>
        <v>58 M3
(1組)</v>
      </c>
      <c r="G48" s="282"/>
      <c r="H48" s="117" t="str">
        <f>H47&amp;CHAR(10)&amp;"("&amp;P47&amp;O48&amp;")"</f>
        <v>1296 M3
(20組)</v>
      </c>
      <c r="I48" s="273"/>
      <c r="J48" s="274"/>
      <c r="K48" s="265"/>
      <c r="L48" s="127"/>
      <c r="M48" s="127" t="s">
        <v>201</v>
      </c>
      <c r="N48" s="128"/>
      <c r="O48" s="128" t="s">
        <v>204</v>
      </c>
      <c r="P48" s="128"/>
      <c r="Q48" s="128"/>
      <c r="R48" s="128"/>
      <c r="S48" s="128"/>
      <c r="T48" s="137"/>
      <c r="U48" s="137"/>
      <c r="V48" s="137"/>
      <c r="W48" s="137"/>
      <c r="X48" s="137"/>
      <c r="Y48" s="137"/>
      <c r="Z48" s="137"/>
      <c r="AA48" s="137"/>
    </row>
    <row r="49" spans="1:27" s="138" customFormat="1" ht="61.5" customHeight="1">
      <c r="A49" s="267" t="str">
        <f t="shared" ref="A49" si="18">"1-280Ⅱ-"&amp;L49</f>
        <v>1-280Ⅱ-19</v>
      </c>
      <c r="B49" s="126" t="s">
        <v>486</v>
      </c>
      <c r="C49" s="269" t="s">
        <v>1531</v>
      </c>
      <c r="D49" s="115">
        <f>VLOOKUP(L49,'280Ⅱ'!A:T,2,0)</f>
        <v>45595</v>
      </c>
      <c r="E49" s="271" t="str">
        <f>M49&amp;M50</f>
        <v>48 M3</v>
      </c>
      <c r="F49" s="115">
        <f>D49</f>
        <v>45595</v>
      </c>
      <c r="G49" s="282"/>
      <c r="H49" s="117" t="str">
        <f>N49&amp;M50</f>
        <v>1344 M3</v>
      </c>
      <c r="I49" s="273" t="str">
        <f t="shared" si="15"/>
        <v>合格</v>
      </c>
      <c r="J49" s="274" t="str">
        <f>IF(R49=0,"上  溢："&amp;S49,IF(Q49=0,"任  泰："&amp;R49&amp;"                 "&amp;"上  溢："&amp;S49,
"水利處："&amp;Q49&amp;"                 "&amp;"任  泰："&amp;R49&amp;"                 "&amp;"上  溢："&amp;S49))</f>
        <v>上  溢：胡舜豪</v>
      </c>
      <c r="K49" s="264" t="s">
        <v>826</v>
      </c>
      <c r="L49" s="136">
        <f>L47+1</f>
        <v>19</v>
      </c>
      <c r="M49" s="128">
        <f>VLOOKUP(L49,'280Ⅱ'!A:T,5,0)</f>
        <v>48</v>
      </c>
      <c r="N49" s="128">
        <f>N47+M49</f>
        <v>1344</v>
      </c>
      <c r="O49" s="128">
        <f>VLOOKUP(L49,'280Ⅱ'!A:T,6,0)</f>
        <v>1</v>
      </c>
      <c r="P49" s="128">
        <f>P47+O49</f>
        <v>21</v>
      </c>
      <c r="Q49" s="128">
        <f>VLOOKUP(L49,'280Ⅱ'!A:T,18,0)</f>
        <v>0</v>
      </c>
      <c r="R49" s="128">
        <f>VLOOKUP(L49,'280Ⅱ'!A:T,19,0)</f>
        <v>0</v>
      </c>
      <c r="S49" s="128" t="str">
        <f>VLOOKUP(L49,'280Ⅱ'!A:T,20,0)</f>
        <v>胡舜豪</v>
      </c>
      <c r="T49" s="137"/>
      <c r="U49" s="137"/>
      <c r="V49" s="137"/>
      <c r="W49" s="137"/>
      <c r="X49" s="137"/>
      <c r="Y49" s="137"/>
      <c r="Z49" s="137"/>
      <c r="AA49" s="137"/>
    </row>
    <row r="50" spans="1:27" s="138" customFormat="1" ht="61.5" customHeight="1">
      <c r="A50" s="268"/>
      <c r="B50" s="174" t="s">
        <v>216</v>
      </c>
      <c r="C50" s="270"/>
      <c r="D50" s="116" t="str">
        <f>M49&amp;M50</f>
        <v>48 M3</v>
      </c>
      <c r="E50" s="272"/>
      <c r="F50" s="117" t="str">
        <f>E49&amp;CHAR(10)&amp;"("&amp;O49&amp;O50&amp;")"</f>
        <v>48 M3
(1組)</v>
      </c>
      <c r="G50" s="282"/>
      <c r="H50" s="117" t="str">
        <f>H49&amp;CHAR(10)&amp;"("&amp;P49&amp;O50&amp;")"</f>
        <v>1344 M3
(21組)</v>
      </c>
      <c r="I50" s="273"/>
      <c r="J50" s="274"/>
      <c r="K50" s="265"/>
      <c r="L50" s="127"/>
      <c r="M50" s="127" t="s">
        <v>201</v>
      </c>
      <c r="N50" s="128"/>
      <c r="O50" s="128" t="s">
        <v>204</v>
      </c>
      <c r="P50" s="128"/>
      <c r="Q50" s="128"/>
      <c r="R50" s="128"/>
      <c r="S50" s="128"/>
      <c r="T50" s="137"/>
      <c r="U50" s="137"/>
      <c r="V50" s="137"/>
      <c r="W50" s="137"/>
      <c r="X50" s="137"/>
      <c r="Y50" s="137"/>
      <c r="Z50" s="137"/>
      <c r="AA50" s="137"/>
    </row>
    <row r="51" spans="1:27" s="138" customFormat="1" ht="61.5" customHeight="1">
      <c r="A51" s="267" t="str">
        <f t="shared" ref="A51" si="19">"1-280Ⅱ-"&amp;L51</f>
        <v>1-280Ⅱ-20</v>
      </c>
      <c r="B51" s="126" t="s">
        <v>486</v>
      </c>
      <c r="C51" s="269" t="s">
        <v>1531</v>
      </c>
      <c r="D51" s="115">
        <f>VLOOKUP(L51,'280Ⅱ'!A:T,2,0)</f>
        <v>45696</v>
      </c>
      <c r="E51" s="271" t="str">
        <f>M51&amp;M52</f>
        <v>12 M3</v>
      </c>
      <c r="F51" s="115">
        <f>D51</f>
        <v>45696</v>
      </c>
      <c r="G51" s="282"/>
      <c r="H51" s="117" t="str">
        <f>N51&amp;M52</f>
        <v>1356 M3</v>
      </c>
      <c r="I51" s="273" t="s">
        <v>1200</v>
      </c>
      <c r="J51" s="274" t="str">
        <f>IF(R51=0,"上  溢："&amp;S51,IF(Q51=0,"任  泰："&amp;R51&amp;"                 "&amp;"上  溢："&amp;S51,
"水利處："&amp;Q51&amp;"                 "&amp;"任  泰："&amp;R51&amp;"                 "&amp;"上  溢："&amp;S51))</f>
        <v>上  溢：康祐銓</v>
      </c>
      <c r="K51" s="124" t="s">
        <v>211</v>
      </c>
      <c r="L51" s="136">
        <f>L49+1</f>
        <v>20</v>
      </c>
      <c r="M51" s="128">
        <f>VLOOKUP(L51,'280Ⅱ'!A:T,5,0)</f>
        <v>12</v>
      </c>
      <c r="N51" s="128">
        <f>N49+M51</f>
        <v>1356</v>
      </c>
      <c r="O51" s="128">
        <f>VLOOKUP(L51,'280Ⅱ'!A:T,6,0)</f>
        <v>0</v>
      </c>
      <c r="P51" s="128">
        <f>P49+O51</f>
        <v>21</v>
      </c>
      <c r="Q51" s="128">
        <f>VLOOKUP(L51,'280Ⅱ'!A:T,18,0)</f>
        <v>0</v>
      </c>
      <c r="R51" s="128">
        <f>VLOOKUP(L51,'280Ⅱ'!A:T,19,0)</f>
        <v>0</v>
      </c>
      <c r="S51" s="128" t="str">
        <f>VLOOKUP(L51,'280Ⅱ'!A:T,20,0)</f>
        <v>康祐銓</v>
      </c>
      <c r="T51" s="137"/>
      <c r="U51" s="137"/>
      <c r="V51" s="137"/>
      <c r="W51" s="137"/>
      <c r="X51" s="137"/>
      <c r="Y51" s="137"/>
      <c r="Z51" s="137"/>
      <c r="AA51" s="137"/>
    </row>
    <row r="52" spans="1:27" s="138" customFormat="1" ht="61.5" customHeight="1">
      <c r="A52" s="268"/>
      <c r="B52" s="174" t="s">
        <v>216</v>
      </c>
      <c r="C52" s="270"/>
      <c r="D52" s="116" t="str">
        <f>M51&amp;M52</f>
        <v>12 M3</v>
      </c>
      <c r="E52" s="272"/>
      <c r="F52" s="117" t="str">
        <f>E51&amp;CHAR(10)&amp;"("&amp;O51&amp;O52&amp;")"</f>
        <v>12 M3
(0組)</v>
      </c>
      <c r="G52" s="265"/>
      <c r="H52" s="117" t="str">
        <f>H51&amp;CHAR(10)&amp;"("&amp;P51&amp;O52&amp;")"</f>
        <v>1356 M3
(21組)</v>
      </c>
      <c r="I52" s="273"/>
      <c r="J52" s="274"/>
      <c r="K52" s="124" t="s">
        <v>811</v>
      </c>
      <c r="L52" s="127"/>
      <c r="M52" s="127" t="s">
        <v>201</v>
      </c>
      <c r="N52" s="128"/>
      <c r="O52" s="128" t="s">
        <v>204</v>
      </c>
      <c r="P52" s="128"/>
      <c r="Q52" s="128"/>
      <c r="R52" s="128"/>
      <c r="S52" s="128"/>
      <c r="T52" s="137"/>
      <c r="U52" s="137"/>
      <c r="V52" s="137"/>
      <c r="W52" s="137"/>
      <c r="X52" s="137"/>
      <c r="Y52" s="137"/>
      <c r="Z52" s="137"/>
      <c r="AA52" s="137"/>
    </row>
    <row r="53" spans="1:27" s="142" customFormat="1" ht="49.5" customHeight="1">
      <c r="A53" s="260" t="s">
        <v>47</v>
      </c>
      <c r="B53" s="261"/>
      <c r="C53" s="262"/>
      <c r="D53" s="260" t="s">
        <v>1753</v>
      </c>
      <c r="E53" s="261"/>
      <c r="F53" s="261"/>
      <c r="G53" s="262"/>
      <c r="H53" s="260" t="s">
        <v>1755</v>
      </c>
      <c r="I53" s="261"/>
      <c r="J53" s="261"/>
      <c r="K53" s="262"/>
      <c r="M53" s="143"/>
      <c r="N53" s="143"/>
      <c r="O53" s="143"/>
      <c r="P53" s="143"/>
      <c r="Q53" s="143"/>
      <c r="R53" s="143"/>
      <c r="S53" s="143"/>
      <c r="T53" s="143"/>
      <c r="U53" s="143"/>
      <c r="V53" s="143"/>
      <c r="W53" s="143"/>
      <c r="X53" s="143"/>
      <c r="Y53" s="143"/>
      <c r="Z53" s="143"/>
      <c r="AA53" s="143"/>
    </row>
    <row r="54" spans="1:27" s="142" customFormat="1" ht="49.5" customHeight="1">
      <c r="A54" s="263" t="s">
        <v>1147</v>
      </c>
      <c r="B54" s="263"/>
      <c r="C54" s="263"/>
      <c r="D54" s="263"/>
      <c r="E54" s="263"/>
      <c r="F54" s="263"/>
      <c r="G54" s="263"/>
      <c r="H54" s="263"/>
      <c r="I54" s="263"/>
      <c r="J54" s="263"/>
      <c r="K54" s="263"/>
      <c r="M54" s="143"/>
      <c r="N54" s="143"/>
      <c r="O54" s="143"/>
      <c r="P54" s="143"/>
      <c r="Q54" s="143"/>
      <c r="R54" s="143"/>
      <c r="S54" s="143"/>
      <c r="T54" s="143"/>
      <c r="U54" s="143"/>
      <c r="V54" s="143"/>
      <c r="W54" s="143"/>
      <c r="X54" s="143"/>
      <c r="Y54" s="143"/>
      <c r="Z54" s="143"/>
      <c r="AA54" s="143"/>
    </row>
  </sheetData>
  <mergeCells count="151">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25:C26"/>
    <mergeCell ref="C27:C28"/>
    <mergeCell ref="D29:G29"/>
    <mergeCell ref="H29:K29"/>
    <mergeCell ref="A30:K30"/>
    <mergeCell ref="A25:A26"/>
    <mergeCell ref="E25:E26"/>
    <mergeCell ref="I25:I26"/>
    <mergeCell ref="J25:J26"/>
    <mergeCell ref="A27:A28"/>
    <mergeCell ref="E27:E28"/>
    <mergeCell ref="I27:I28"/>
    <mergeCell ref="J27:J28"/>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115" zoomScaleNormal="100" zoomScaleSheetLayoutView="115" zoomScalePageLayoutView="85" workbookViewId="0">
      <pane xSplit="1" ySplit="6" topLeftCell="B22"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0.25"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c r="M6" s="128" t="s">
        <v>199</v>
      </c>
      <c r="N6" s="128" t="s">
        <v>200</v>
      </c>
      <c r="O6" s="128" t="s">
        <v>202</v>
      </c>
      <c r="P6" s="128" t="s">
        <v>203</v>
      </c>
      <c r="Q6" s="128" t="s">
        <v>205</v>
      </c>
      <c r="R6" s="128" t="s">
        <v>206</v>
      </c>
      <c r="S6" s="128" t="s">
        <v>207</v>
      </c>
    </row>
    <row r="7" spans="1:27" s="138" customFormat="1" ht="61.5" customHeight="1">
      <c r="A7" s="267" t="str">
        <f>"1-CLSM-"&amp;L7</f>
        <v>1-CLSM-1</v>
      </c>
      <c r="B7" s="126" t="s">
        <v>121</v>
      </c>
      <c r="C7" s="269" t="s">
        <v>590</v>
      </c>
      <c r="D7" s="115">
        <f>VLOOKUP(L7,CLSM!A:T,2,0)</f>
        <v>45561</v>
      </c>
      <c r="E7" s="271" t="str">
        <f>M7&amp;M8</f>
        <v>95 M3</v>
      </c>
      <c r="F7" s="115">
        <f>D7</f>
        <v>45561</v>
      </c>
      <c r="G7" s="264" t="s">
        <v>1075</v>
      </c>
      <c r="H7" s="117" t="str">
        <f>N7&amp;M8</f>
        <v>95 M3</v>
      </c>
      <c r="I7" s="264" t="s">
        <v>48</v>
      </c>
      <c r="J7" s="274" t="str">
        <f>IF(R7=0,"上  溢："&amp;S7,IF(Q7=0,"任  泰："&amp;R7&amp;"                 "&amp;"上  溢："&amp;S7,
"水利處："&amp;Q7&amp;"                 "&amp;"任  泰："&amp;R7&amp;"                 "&amp;"上  溢："&amp;S7))</f>
        <v>任  泰：王淑慧                 上  溢：胡舜豪</v>
      </c>
      <c r="K7" s="264" t="s">
        <v>670</v>
      </c>
      <c r="L7" s="136">
        <v>1</v>
      </c>
      <c r="M7" s="128">
        <f>VLOOKUP(L7,CLSM!A:T,5,0)</f>
        <v>95</v>
      </c>
      <c r="N7" s="128">
        <f>M7</f>
        <v>95</v>
      </c>
      <c r="O7" s="128">
        <f>VLOOKUP(L7,CLSM!A:T,6,0)</f>
        <v>2</v>
      </c>
      <c r="P7" s="128">
        <f>O7</f>
        <v>2</v>
      </c>
      <c r="Q7" s="128">
        <f>VLOOKUP(L7,CLSM!A:T,18,0)</f>
        <v>0</v>
      </c>
      <c r="R7" s="128" t="str">
        <f>VLOOKUP(L7,CLSM!A:T,19,0)</f>
        <v>王淑慧</v>
      </c>
      <c r="S7" s="128" t="str">
        <f>VLOOKUP(L7,CLSM!A:T,20,0)</f>
        <v>胡舜豪</v>
      </c>
      <c r="T7" s="137"/>
      <c r="U7" s="137"/>
      <c r="V7" s="137"/>
      <c r="W7" s="137"/>
      <c r="X7" s="137"/>
      <c r="Y7" s="137"/>
      <c r="Z7" s="137"/>
      <c r="AA7" s="137"/>
    </row>
    <row r="8" spans="1:27" s="138" customFormat="1" ht="61.5" customHeight="1">
      <c r="A8" s="268"/>
      <c r="B8" s="174" t="s">
        <v>553</v>
      </c>
      <c r="C8" s="270"/>
      <c r="D8" s="116" t="str">
        <f>M7&amp;M8</f>
        <v>95 M3</v>
      </c>
      <c r="E8" s="272"/>
      <c r="F8" s="117" t="str">
        <f>E7&amp;CHAR(10)&amp;"("&amp;O7&amp;O8&amp;")"</f>
        <v>95 M3
(2組)</v>
      </c>
      <c r="G8" s="282"/>
      <c r="H8" s="117" t="str">
        <f>H7&amp;CHAR(10)&amp;"("&amp;P7&amp;O8&amp;")"</f>
        <v>95 M3
(2組)</v>
      </c>
      <c r="I8" s="266"/>
      <c r="J8" s="274"/>
      <c r="K8" s="265"/>
      <c r="L8" s="127"/>
      <c r="M8" s="127" t="s">
        <v>201</v>
      </c>
      <c r="N8" s="128"/>
      <c r="O8" s="128" t="s">
        <v>204</v>
      </c>
      <c r="P8" s="128"/>
      <c r="Q8" s="128"/>
      <c r="R8" s="128"/>
      <c r="S8" s="128"/>
      <c r="T8" s="137"/>
      <c r="U8" s="137"/>
      <c r="V8" s="137"/>
      <c r="W8" s="137"/>
      <c r="X8" s="137"/>
      <c r="Y8" s="137"/>
      <c r="Z8" s="137"/>
      <c r="AA8" s="137"/>
    </row>
    <row r="9" spans="1:27" s="140" customFormat="1" ht="61.5" customHeight="1">
      <c r="A9" s="267" t="str">
        <f>"1-CLSM-"&amp;L9</f>
        <v>1-CLSM-2</v>
      </c>
      <c r="B9" s="126" t="s">
        <v>121</v>
      </c>
      <c r="C9" s="269" t="s">
        <v>590</v>
      </c>
      <c r="D9" s="115">
        <f>VLOOKUP(L9,CLSM!A:T,2,0)</f>
        <v>45581</v>
      </c>
      <c r="E9" s="271" t="str">
        <f>M9&amp;M10</f>
        <v>18 M3</v>
      </c>
      <c r="F9" s="115">
        <f>D9</f>
        <v>45581</v>
      </c>
      <c r="G9" s="282"/>
      <c r="H9" s="117" t="str">
        <f>N9&amp;M10</f>
        <v>113 M3</v>
      </c>
      <c r="I9" s="285" t="s">
        <v>1200</v>
      </c>
      <c r="J9" s="274" t="str">
        <f>IF(R9=0,"上  溢："&amp;S9,IF(Q9=0,"任  泰："&amp;R9&amp;"                 "&amp;"上  溢："&amp;S9,
"水利處："&amp;Q9&amp;"                 "&amp;"任  泰："&amp;R9&amp;"                 "&amp;"上  溢："&amp;S9))</f>
        <v>上  溢：康祐銓</v>
      </c>
      <c r="K9" s="124" t="s">
        <v>211</v>
      </c>
      <c r="L9" s="136">
        <f>L7+1</f>
        <v>2</v>
      </c>
      <c r="M9" s="128">
        <f>VLOOKUP(L9,CLSM!A:T,5,0)</f>
        <v>18</v>
      </c>
      <c r="N9" s="128">
        <f>N7+M9</f>
        <v>113</v>
      </c>
      <c r="O9" s="128">
        <f>VLOOKUP(L9,CLSM!A:T,6,0)</f>
        <v>0</v>
      </c>
      <c r="P9" s="128">
        <f>P7+O9</f>
        <v>2</v>
      </c>
      <c r="Q9" s="128">
        <f>VLOOKUP(L9,CLSM!A:T,18,0)</f>
        <v>0</v>
      </c>
      <c r="R9" s="128">
        <f>VLOOKUP(L9,CLSM!A:T,19,0)</f>
        <v>0</v>
      </c>
      <c r="S9" s="128" t="str">
        <f>VLOOKUP(L9,CLSM!A:T,20,0)</f>
        <v>康祐銓</v>
      </c>
      <c r="T9" s="139"/>
      <c r="U9" s="139"/>
      <c r="V9" s="139"/>
      <c r="W9" s="139"/>
      <c r="X9" s="139"/>
      <c r="Y9" s="139"/>
      <c r="Z9" s="139"/>
      <c r="AA9" s="139"/>
    </row>
    <row r="10" spans="1:27" s="140" customFormat="1" ht="61.5" customHeight="1">
      <c r="A10" s="268"/>
      <c r="B10" s="174" t="s">
        <v>553</v>
      </c>
      <c r="C10" s="270"/>
      <c r="D10" s="116" t="str">
        <f>M9&amp;M10</f>
        <v>18 M3</v>
      </c>
      <c r="E10" s="272"/>
      <c r="F10" s="117" t="str">
        <f>E9&amp;CHAR(10)&amp;"("&amp;O9&amp;O10&amp;")"</f>
        <v>18 M3
(0組)</v>
      </c>
      <c r="G10" s="282"/>
      <c r="H10" s="117" t="str">
        <f>H9&amp;CHAR(10)&amp;"("&amp;P9&amp;O10&amp;")"</f>
        <v>113 M3
(2組)</v>
      </c>
      <c r="I10" s="285"/>
      <c r="J10" s="274"/>
      <c r="K10" s="124" t="s">
        <v>560</v>
      </c>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67" t="str">
        <f>"1-CLSM-"&amp;L11</f>
        <v>1-CLSM-3</v>
      </c>
      <c r="B11" s="126" t="s">
        <v>121</v>
      </c>
      <c r="C11" s="269" t="s">
        <v>590</v>
      </c>
      <c r="D11" s="115">
        <f>VLOOKUP(L11,CLSM!A:T,2,0)</f>
        <v>45582</v>
      </c>
      <c r="E11" s="271" t="str">
        <f>M11&amp;M12</f>
        <v>18 M3</v>
      </c>
      <c r="F11" s="115">
        <f>D11</f>
        <v>45582</v>
      </c>
      <c r="G11" s="282"/>
      <c r="H11" s="117" t="str">
        <f>N11&amp;M12</f>
        <v>131 M3</v>
      </c>
      <c r="I11" s="285" t="s">
        <v>1200</v>
      </c>
      <c r="J11" s="274" t="str">
        <f>IF(R11=0,"上  溢："&amp;S11,IF(Q11=0,"任  泰："&amp;R11&amp;"                 "&amp;"上  溢："&amp;S11,
"水利處："&amp;Q11&amp;"                 "&amp;"任  泰："&amp;R11&amp;"                 "&amp;"上  溢："&amp;S11))</f>
        <v>上  溢：康祐銓</v>
      </c>
      <c r="K11" s="124" t="s">
        <v>211</v>
      </c>
      <c r="L11" s="136">
        <f>L9+1</f>
        <v>3</v>
      </c>
      <c r="M11" s="128">
        <f>VLOOKUP(L11,CLSM!A:T,5,0)</f>
        <v>18</v>
      </c>
      <c r="N11" s="128">
        <f>N9+M11</f>
        <v>131</v>
      </c>
      <c r="O11" s="128">
        <f>VLOOKUP(L11,CLSM!A:T,6,0)</f>
        <v>0</v>
      </c>
      <c r="P11" s="128">
        <f>P9+O11</f>
        <v>2</v>
      </c>
      <c r="Q11" s="128">
        <f>VLOOKUP(L11,CLSM!A:T,18,0)</f>
        <v>0</v>
      </c>
      <c r="R11" s="128">
        <f>VLOOKUP(L11,CLSM!A:T,19,0)</f>
        <v>0</v>
      </c>
      <c r="S11" s="128" t="str">
        <f>VLOOKUP(L11,CLSM!A:T,20,0)</f>
        <v>康祐銓</v>
      </c>
      <c r="T11" s="137"/>
      <c r="U11" s="137"/>
      <c r="V11" s="137"/>
      <c r="W11" s="137"/>
      <c r="X11" s="137"/>
      <c r="Y11" s="137"/>
      <c r="Z11" s="137"/>
      <c r="AA11" s="137"/>
    </row>
    <row r="12" spans="1:27" s="138" customFormat="1" ht="61.5" customHeight="1">
      <c r="A12" s="268"/>
      <c r="B12" s="174" t="s">
        <v>553</v>
      </c>
      <c r="C12" s="270"/>
      <c r="D12" s="116" t="str">
        <f>M11&amp;M12</f>
        <v>18 M3</v>
      </c>
      <c r="E12" s="272"/>
      <c r="F12" s="117" t="str">
        <f>E11&amp;CHAR(10)&amp;"("&amp;O11&amp;O12&amp;")"</f>
        <v>18 M3
(0組)</v>
      </c>
      <c r="G12" s="282"/>
      <c r="H12" s="117" t="str">
        <f>H11&amp;CHAR(10)&amp;"("&amp;P11&amp;O12&amp;")"</f>
        <v>131 M3
(2組)</v>
      </c>
      <c r="I12" s="285"/>
      <c r="J12" s="274"/>
      <c r="K12" s="124" t="s">
        <v>561</v>
      </c>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67" t="str">
        <f>"1-CLSM-"&amp;L13</f>
        <v>1-CLSM-4</v>
      </c>
      <c r="B13" s="126" t="s">
        <v>121</v>
      </c>
      <c r="C13" s="269" t="s">
        <v>590</v>
      </c>
      <c r="D13" s="115">
        <f>VLOOKUP(L13,CLSM!A:T,2,0)</f>
        <v>45593</v>
      </c>
      <c r="E13" s="271" t="str">
        <f>M13&amp;M14</f>
        <v>248 M3</v>
      </c>
      <c r="F13" s="115">
        <f>D13</f>
        <v>45593</v>
      </c>
      <c r="G13" s="282"/>
      <c r="H13" s="117" t="str">
        <f>N13&amp;M14</f>
        <v>379 M3</v>
      </c>
      <c r="I13" s="264" t="s">
        <v>48</v>
      </c>
      <c r="J13" s="274" t="str">
        <f>IF(R13=0,"上  溢："&amp;S13,IF(Q13=0,"任  泰："&amp;R13&amp;"                 "&amp;"上  溢："&amp;S13,
"水利處："&amp;Q13&amp;"                 "&amp;"任  泰："&amp;R13&amp;"                 "&amp;"上  溢："&amp;S13))</f>
        <v>上  溢：胡舜豪</v>
      </c>
      <c r="K13" s="264" t="s">
        <v>731</v>
      </c>
      <c r="L13" s="136">
        <f>L11+1</f>
        <v>4</v>
      </c>
      <c r="M13" s="128">
        <f>VLOOKUP(L13,CLSM!A:T,5,0)</f>
        <v>248</v>
      </c>
      <c r="N13" s="128">
        <f>N11+M13</f>
        <v>379</v>
      </c>
      <c r="O13" s="128">
        <f>VLOOKUP(L13,CLSM!A:T,6,0)</f>
        <v>5</v>
      </c>
      <c r="P13" s="128">
        <f>P11+O13</f>
        <v>7</v>
      </c>
      <c r="Q13" s="128">
        <f>VLOOKUP(L13,CLSM!A:T,18,0)</f>
        <v>0</v>
      </c>
      <c r="R13" s="128">
        <f>VLOOKUP(L13,CLSM!A:T,19,0)</f>
        <v>0</v>
      </c>
      <c r="S13" s="128" t="str">
        <f>VLOOKUP(L13,CLSM!A:T,20,0)</f>
        <v>胡舜豪</v>
      </c>
      <c r="T13" s="137"/>
      <c r="U13" s="137"/>
      <c r="V13" s="137"/>
      <c r="W13" s="137"/>
      <c r="X13" s="137"/>
      <c r="Y13" s="137"/>
      <c r="Z13" s="137"/>
      <c r="AA13" s="137"/>
    </row>
    <row r="14" spans="1:27" s="138" customFormat="1" ht="61.5" customHeight="1">
      <c r="A14" s="268"/>
      <c r="B14" s="174" t="s">
        <v>553</v>
      </c>
      <c r="C14" s="270"/>
      <c r="D14" s="116" t="str">
        <f>M13&amp;M14</f>
        <v>248 M3</v>
      </c>
      <c r="E14" s="272"/>
      <c r="F14" s="117" t="str">
        <f>E13&amp;CHAR(10)&amp;"("&amp;O13&amp;O14&amp;")"</f>
        <v>248 M3
(5組)</v>
      </c>
      <c r="G14" s="282"/>
      <c r="H14" s="117" t="str">
        <f>H13&amp;CHAR(10)&amp;"("&amp;P13&amp;O14&amp;")"</f>
        <v>379 M3
(7組)</v>
      </c>
      <c r="I14" s="266"/>
      <c r="J14" s="274"/>
      <c r="K14" s="265"/>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67" t="str">
        <f>"1-CLSM-"&amp;L15</f>
        <v>1-CLSM-5</v>
      </c>
      <c r="B15" s="126" t="s">
        <v>121</v>
      </c>
      <c r="C15" s="269" t="s">
        <v>590</v>
      </c>
      <c r="D15" s="115">
        <f>VLOOKUP(L15,CLSM!A:T,2,0)</f>
        <v>45594</v>
      </c>
      <c r="E15" s="271" t="str">
        <f>M15&amp;M16</f>
        <v>98 M3</v>
      </c>
      <c r="F15" s="115">
        <f>D15</f>
        <v>45594</v>
      </c>
      <c r="G15" s="282"/>
      <c r="H15" s="117" t="str">
        <f>N15&amp;M16</f>
        <v>477 M3</v>
      </c>
      <c r="I15" s="264" t="s">
        <v>48</v>
      </c>
      <c r="J15" s="274" t="str">
        <f>IF(R15=0,"上  溢："&amp;S15,IF(Q15=0,"任  泰："&amp;R15&amp;"                 "&amp;"上  溢："&amp;S15,
"水利處："&amp;Q15&amp;"                 "&amp;"任  泰："&amp;R15&amp;"                 "&amp;"上  溢："&amp;S15))</f>
        <v>水利處：李晏然                 任  泰：王淑慧                 上  溢：胡舜豪</v>
      </c>
      <c r="K15" s="264" t="s">
        <v>732</v>
      </c>
      <c r="L15" s="136">
        <f>L13+1</f>
        <v>5</v>
      </c>
      <c r="M15" s="128">
        <f>VLOOKUP(L15,CLSM!A:T,5,0)</f>
        <v>98</v>
      </c>
      <c r="N15" s="128">
        <f>M15+N13</f>
        <v>477</v>
      </c>
      <c r="O15" s="128">
        <f>VLOOKUP(L15,CLSM!A:T,6,0)</f>
        <v>2</v>
      </c>
      <c r="P15" s="128">
        <f>O15+P13</f>
        <v>9</v>
      </c>
      <c r="Q15" s="128" t="str">
        <f>VLOOKUP(L15,CLSM!A:T,18,0)</f>
        <v>李晏然</v>
      </c>
      <c r="R15" s="128" t="str">
        <f>VLOOKUP(L15,CLSM!A:T,19,0)</f>
        <v>王淑慧</v>
      </c>
      <c r="S15" s="128" t="str">
        <f>VLOOKUP(L15,CLSM!A:T,20,0)</f>
        <v>胡舜豪</v>
      </c>
      <c r="T15" s="137"/>
      <c r="U15" s="137"/>
      <c r="V15" s="137"/>
      <c r="W15" s="137"/>
      <c r="X15" s="137"/>
      <c r="Y15" s="137"/>
      <c r="Z15" s="137"/>
      <c r="AA15" s="137"/>
    </row>
    <row r="16" spans="1:27" s="138" customFormat="1" ht="61.5" customHeight="1">
      <c r="A16" s="268"/>
      <c r="B16" s="174" t="s">
        <v>553</v>
      </c>
      <c r="C16" s="270"/>
      <c r="D16" s="116" t="str">
        <f>M15&amp;M16</f>
        <v>98 M3</v>
      </c>
      <c r="E16" s="272"/>
      <c r="F16" s="117" t="str">
        <f>E15&amp;CHAR(10)&amp;"("&amp;O15&amp;O16&amp;")"</f>
        <v>98 M3
(2組)</v>
      </c>
      <c r="G16" s="265"/>
      <c r="H16" s="117" t="str">
        <f>H15&amp;CHAR(10)&amp;"("&amp;P15&amp;O16&amp;")"</f>
        <v>477 M3
(9組)</v>
      </c>
      <c r="I16" s="266"/>
      <c r="J16" s="274"/>
      <c r="K16" s="265"/>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60" t="s">
        <v>47</v>
      </c>
      <c r="B17" s="261"/>
      <c r="C17" s="262"/>
      <c r="D17" s="260" t="s">
        <v>1753</v>
      </c>
      <c r="E17" s="261"/>
      <c r="F17" s="261"/>
      <c r="G17" s="262"/>
      <c r="H17" s="260" t="s">
        <v>1755</v>
      </c>
      <c r="I17" s="261"/>
      <c r="J17" s="261"/>
      <c r="K17" s="262"/>
      <c r="M17" s="143"/>
      <c r="N17" s="143"/>
      <c r="O17" s="143"/>
      <c r="P17" s="143"/>
      <c r="Q17" s="143"/>
      <c r="R17" s="143"/>
      <c r="S17" s="143"/>
      <c r="T17" s="143"/>
      <c r="U17" s="143"/>
      <c r="V17" s="143"/>
      <c r="W17" s="143"/>
      <c r="X17" s="143"/>
      <c r="Y17" s="143"/>
      <c r="Z17" s="143"/>
      <c r="AA17" s="143"/>
    </row>
    <row r="18" spans="1:27" s="142" customFormat="1" ht="55.5"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19" spans="1:27" s="140" customFormat="1" ht="61.5" customHeight="1">
      <c r="A19" s="267" t="str">
        <f>"1-CLSM-"&amp;L19</f>
        <v>1-CLSM-6</v>
      </c>
      <c r="B19" s="126" t="s">
        <v>121</v>
      </c>
      <c r="C19" s="269" t="s">
        <v>122</v>
      </c>
      <c r="D19" s="115">
        <f>VLOOKUP(L19,CLSM!A:T,2,0)</f>
        <v>45595</v>
      </c>
      <c r="E19" s="271" t="str">
        <f>M19&amp;M20</f>
        <v>248 M3</v>
      </c>
      <c r="F19" s="115">
        <f>D19</f>
        <v>45595</v>
      </c>
      <c r="G19" s="264" t="s">
        <v>1075</v>
      </c>
      <c r="H19" s="117" t="str">
        <f>N19&amp;M20</f>
        <v>725 M3</v>
      </c>
      <c r="I19" s="264" t="s">
        <v>48</v>
      </c>
      <c r="J19" s="274" t="str">
        <f>IF(R19=0,"上  溢："&amp;S19,IF(Q19=0,"任  泰："&amp;R19&amp;"                 "&amp;"上  溢："&amp;S19,
"水利處："&amp;Q19&amp;"                 "&amp;"任  泰："&amp;R19&amp;"                 "&amp;"上  溢："&amp;S19))</f>
        <v>上  溢：胡舜豪</v>
      </c>
      <c r="K19" s="264" t="s">
        <v>733</v>
      </c>
      <c r="L19" s="136">
        <f>L15+1</f>
        <v>6</v>
      </c>
      <c r="M19" s="128">
        <f>VLOOKUP(L19,CLSM!A:T,5,0)</f>
        <v>248</v>
      </c>
      <c r="N19" s="128">
        <f>N15+M19</f>
        <v>725</v>
      </c>
      <c r="O19" s="128">
        <f>VLOOKUP(L19,CLSM!A:T,6,0)</f>
        <v>5</v>
      </c>
      <c r="P19" s="128">
        <f>P15+O19</f>
        <v>14</v>
      </c>
      <c r="Q19" s="128">
        <f>VLOOKUP(L19,CLSM!A:T,18,0)</f>
        <v>0</v>
      </c>
      <c r="R19" s="128">
        <f>VLOOKUP(L19,CLSM!A:T,19,0)</f>
        <v>0</v>
      </c>
      <c r="S19" s="128" t="str">
        <f>VLOOKUP(L19,CLSM!A:T,20,0)</f>
        <v>胡舜豪</v>
      </c>
      <c r="T19" s="139"/>
      <c r="U19" s="139"/>
      <c r="V19" s="139"/>
      <c r="W19" s="139"/>
      <c r="X19" s="139"/>
      <c r="Y19" s="139"/>
      <c r="Z19" s="139"/>
      <c r="AA19" s="139"/>
    </row>
    <row r="20" spans="1:27" s="140" customFormat="1" ht="61.5" customHeight="1">
      <c r="A20" s="268"/>
      <c r="B20" s="174" t="s">
        <v>553</v>
      </c>
      <c r="C20" s="270"/>
      <c r="D20" s="116" t="str">
        <f>M19&amp;M20</f>
        <v>248 M3</v>
      </c>
      <c r="E20" s="272"/>
      <c r="F20" s="117" t="str">
        <f>E19&amp;CHAR(10)&amp;"("&amp;O19&amp;O20&amp;")"</f>
        <v>248 M3
(5組)</v>
      </c>
      <c r="G20" s="282"/>
      <c r="H20" s="117" t="str">
        <f>H19&amp;CHAR(10)&amp;"("&amp;P19&amp;O20&amp;")"</f>
        <v>725 M3
(14組)</v>
      </c>
      <c r="I20" s="266"/>
      <c r="J20" s="274"/>
      <c r="K20" s="265"/>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267" t="str">
        <f>"1-CLSM-"&amp;L21</f>
        <v>1-CLSM-7</v>
      </c>
      <c r="B21" s="126" t="s">
        <v>121</v>
      </c>
      <c r="C21" s="269" t="s">
        <v>122</v>
      </c>
      <c r="D21" s="115">
        <f>VLOOKUP(L21,CLSM!A:T,2,0)</f>
        <v>45643</v>
      </c>
      <c r="E21" s="271" t="str">
        <f>M21&amp;M22</f>
        <v>48 M3</v>
      </c>
      <c r="F21" s="115">
        <f>D21</f>
        <v>45643</v>
      </c>
      <c r="G21" s="282"/>
      <c r="H21" s="117" t="str">
        <f>N21&amp;M22</f>
        <v>773 M3</v>
      </c>
      <c r="I21" s="264" t="s">
        <v>48</v>
      </c>
      <c r="J21" s="274" t="str">
        <f>IF(R21=0,"上  溢："&amp;S21,IF(Q21=0,"任  泰："&amp;R21&amp;"                 "&amp;"上  溢："&amp;S21,
"水利處："&amp;Q21&amp;"                 "&amp;"任  泰："&amp;R21&amp;"                 "&amp;"上  溢："&amp;S21))</f>
        <v>上  溢：周昱辰</v>
      </c>
      <c r="K21" s="264" t="s">
        <v>837</v>
      </c>
      <c r="L21" s="136">
        <f>L19+1</f>
        <v>7</v>
      </c>
      <c r="M21" s="128">
        <f>VLOOKUP(L21,CLSM!A:T,5,0)</f>
        <v>48</v>
      </c>
      <c r="N21" s="128">
        <f>N19+M21</f>
        <v>773</v>
      </c>
      <c r="O21" s="128">
        <f>VLOOKUP(L21,CLSM!A:T,6,0)</f>
        <v>1</v>
      </c>
      <c r="P21" s="128">
        <f>P19+O21</f>
        <v>15</v>
      </c>
      <c r="Q21" s="128">
        <f>VLOOKUP(L21,CLSM!A:T,18,0)</f>
        <v>0</v>
      </c>
      <c r="R21" s="128">
        <f>VLOOKUP(L21,CLSM!A:T,19,0)</f>
        <v>0</v>
      </c>
      <c r="S21" s="128" t="str">
        <f>VLOOKUP(L21,CLSM!A:T,20,0)</f>
        <v>周昱辰</v>
      </c>
      <c r="T21" s="137"/>
      <c r="U21" s="137"/>
      <c r="V21" s="137"/>
      <c r="W21" s="137"/>
      <c r="X21" s="137"/>
      <c r="Y21" s="137"/>
      <c r="Z21" s="137"/>
      <c r="AA21" s="137"/>
    </row>
    <row r="22" spans="1:27" s="138" customFormat="1" ht="61.5" customHeight="1">
      <c r="A22" s="268"/>
      <c r="B22" s="174" t="s">
        <v>553</v>
      </c>
      <c r="C22" s="270"/>
      <c r="D22" s="116" t="str">
        <f>M21&amp;M22</f>
        <v>48 M3</v>
      </c>
      <c r="E22" s="272"/>
      <c r="F22" s="117" t="str">
        <f>E21&amp;CHAR(10)&amp;"("&amp;O21&amp;O22&amp;")"</f>
        <v>48 M3
(1組)</v>
      </c>
      <c r="G22" s="282"/>
      <c r="H22" s="117" t="str">
        <f>H21&amp;CHAR(10)&amp;"("&amp;P21&amp;O22&amp;")"</f>
        <v>773 M3
(15組)</v>
      </c>
      <c r="I22" s="266"/>
      <c r="J22" s="274"/>
      <c r="K22" s="265"/>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267" t="str">
        <f>"1-CLSM-"&amp;L23</f>
        <v>1-CLSM-8</v>
      </c>
      <c r="B23" s="126" t="s">
        <v>121</v>
      </c>
      <c r="C23" s="269" t="s">
        <v>122</v>
      </c>
      <c r="D23" s="115">
        <f>VLOOKUP(L23,CLSM!A:T,2,0)</f>
        <v>45644</v>
      </c>
      <c r="E23" s="271" t="str">
        <f>M23&amp;M24</f>
        <v>98 M3</v>
      </c>
      <c r="F23" s="115">
        <f>D23</f>
        <v>45644</v>
      </c>
      <c r="G23" s="282"/>
      <c r="H23" s="117" t="str">
        <f>N23&amp;M24</f>
        <v>871 M3</v>
      </c>
      <c r="I23" s="264" t="s">
        <v>48</v>
      </c>
      <c r="J23" s="274" t="str">
        <f>IF(R23=0,"上  溢："&amp;S23,IF(Q23=0,"任  泰："&amp;R23&amp;"                 "&amp;"上  溢："&amp;S23,
"水利處："&amp;Q23&amp;"                 "&amp;"任  泰："&amp;R23&amp;"                 "&amp;"上  溢："&amp;S23))</f>
        <v>水利處：李晏然                 任  泰：王淑慧                 上  溢：周昱辰</v>
      </c>
      <c r="K23" s="264" t="s">
        <v>836</v>
      </c>
      <c r="L23" s="136">
        <f>L21+1</f>
        <v>8</v>
      </c>
      <c r="M23" s="128">
        <f>VLOOKUP(L23,CLSM!A:T,5,0)</f>
        <v>98</v>
      </c>
      <c r="N23" s="128">
        <f>N21+M23</f>
        <v>871</v>
      </c>
      <c r="O23" s="128">
        <f>VLOOKUP(L23,CLSM!A:T,6,0)</f>
        <v>2</v>
      </c>
      <c r="P23" s="128">
        <f>P21+O23</f>
        <v>17</v>
      </c>
      <c r="Q23" s="128" t="str">
        <f>VLOOKUP(L23,CLSM!A:T,18,0)</f>
        <v>李晏然</v>
      </c>
      <c r="R23" s="128" t="str">
        <f>VLOOKUP(L23,CLSM!A:T,19,0)</f>
        <v>王淑慧</v>
      </c>
      <c r="S23" s="128" t="str">
        <f>VLOOKUP(L23,CLSM!A:T,20,0)</f>
        <v>周昱辰</v>
      </c>
      <c r="T23" s="137"/>
      <c r="U23" s="137"/>
      <c r="V23" s="137"/>
      <c r="W23" s="137"/>
      <c r="X23" s="137"/>
      <c r="Y23" s="137"/>
      <c r="Z23" s="137"/>
      <c r="AA23" s="137"/>
    </row>
    <row r="24" spans="1:27" s="138" customFormat="1" ht="61.5" customHeight="1">
      <c r="A24" s="268"/>
      <c r="B24" s="174" t="s">
        <v>553</v>
      </c>
      <c r="C24" s="270"/>
      <c r="D24" s="116" t="str">
        <f>M23&amp;M24</f>
        <v>98 M3</v>
      </c>
      <c r="E24" s="272"/>
      <c r="F24" s="117" t="str">
        <f>E23&amp;CHAR(10)&amp;"("&amp;O23&amp;O24&amp;")"</f>
        <v>98 M3
(2組)</v>
      </c>
      <c r="G24" s="282"/>
      <c r="H24" s="117" t="str">
        <f>H23&amp;CHAR(10)&amp;"("&amp;P23&amp;O24&amp;")"</f>
        <v>871 M3
(17組)</v>
      </c>
      <c r="I24" s="266"/>
      <c r="J24" s="274"/>
      <c r="K24" s="265"/>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267" t="str">
        <f>"1-CLSM-"&amp;L25</f>
        <v>1-CLSM-9</v>
      </c>
      <c r="B25" s="126" t="s">
        <v>121</v>
      </c>
      <c r="C25" s="269" t="s">
        <v>122</v>
      </c>
      <c r="D25" s="115">
        <f>VLOOKUP(L25,CLSM!A:T,2,0)</f>
        <v>45645</v>
      </c>
      <c r="E25" s="271" t="str">
        <f>M25&amp;M26</f>
        <v>18 M3</v>
      </c>
      <c r="F25" s="115">
        <f>D25</f>
        <v>45645</v>
      </c>
      <c r="G25" s="282"/>
      <c r="H25" s="117" t="str">
        <f>N25&amp;M26</f>
        <v>889 M3</v>
      </c>
      <c r="I25" s="285" t="s">
        <v>109</v>
      </c>
      <c r="J25" s="274" t="str">
        <f>IF(R25=0,"上  溢："&amp;S25,IF(Q25=0,"任  泰："&amp;R25&amp;"                 "&amp;"上  溢："&amp;S25,
"水利處："&amp;Q25&amp;"                 "&amp;"任  泰："&amp;R25&amp;"                 "&amp;"上  溢："&amp;S25))</f>
        <v>上  溢：周昱辰</v>
      </c>
      <c r="K25" s="124" t="s">
        <v>211</v>
      </c>
      <c r="L25" s="136">
        <f>L23+1</f>
        <v>9</v>
      </c>
      <c r="M25" s="128">
        <f>VLOOKUP(L25,CLSM!A:T,5,0)</f>
        <v>18</v>
      </c>
      <c r="N25" s="128">
        <f>M25+N23</f>
        <v>889</v>
      </c>
      <c r="O25" s="128">
        <f>VLOOKUP(L25,CLSM!A:T,6,0)</f>
        <v>0</v>
      </c>
      <c r="P25" s="128">
        <f>O25+P23</f>
        <v>17</v>
      </c>
      <c r="Q25" s="128">
        <f>VLOOKUP(L25,CLSM!A:T,18,0)</f>
        <v>0</v>
      </c>
      <c r="R25" s="128">
        <f>VLOOKUP(L25,CLSM!A:T,19,0)</f>
        <v>0</v>
      </c>
      <c r="S25" s="128" t="str">
        <f>VLOOKUP(L25,CLSM!A:T,20,0)</f>
        <v>周昱辰</v>
      </c>
      <c r="T25" s="137"/>
      <c r="U25" s="137"/>
      <c r="V25" s="137"/>
      <c r="W25" s="137"/>
      <c r="X25" s="137"/>
      <c r="Y25" s="137"/>
      <c r="Z25" s="137"/>
      <c r="AA25" s="137"/>
    </row>
    <row r="26" spans="1:27" s="138" customFormat="1" ht="61.5" customHeight="1">
      <c r="A26" s="268"/>
      <c r="B26" s="174" t="s">
        <v>553</v>
      </c>
      <c r="C26" s="270"/>
      <c r="D26" s="116" t="str">
        <f>M25&amp;M26</f>
        <v>18 M3</v>
      </c>
      <c r="E26" s="272"/>
      <c r="F26" s="117" t="str">
        <f>E25&amp;CHAR(10)&amp;"("&amp;O25&amp;O26&amp;")"</f>
        <v>18 M3
(0組)</v>
      </c>
      <c r="G26" s="282"/>
      <c r="H26" s="117" t="str">
        <f>H25&amp;CHAR(10)&amp;"("&amp;P25&amp;O26&amp;")"</f>
        <v>889 M3
(17組)</v>
      </c>
      <c r="I26" s="285"/>
      <c r="J26" s="274"/>
      <c r="K26" s="124" t="s">
        <v>715</v>
      </c>
      <c r="L26" s="127"/>
      <c r="M26" s="127" t="s">
        <v>201</v>
      </c>
      <c r="N26" s="128"/>
      <c r="O26" s="128" t="s">
        <v>204</v>
      </c>
      <c r="P26" s="128"/>
      <c r="Q26" s="128"/>
      <c r="R26" s="128"/>
      <c r="S26" s="128"/>
      <c r="T26" s="137"/>
      <c r="U26" s="137"/>
      <c r="V26" s="137"/>
      <c r="W26" s="137"/>
      <c r="X26" s="137"/>
      <c r="Y26" s="137"/>
      <c r="Z26" s="137"/>
      <c r="AA26" s="137"/>
    </row>
    <row r="27" spans="1:27" s="140" customFormat="1" ht="61.5" customHeight="1">
      <c r="A27" s="267" t="str">
        <f>"1-CLSM-"&amp;L27</f>
        <v>1-CLSM-10</v>
      </c>
      <c r="B27" s="126" t="s">
        <v>121</v>
      </c>
      <c r="C27" s="269" t="s">
        <v>122</v>
      </c>
      <c r="D27" s="115">
        <f>VLOOKUP(L27,CLSM!A:T,2,0)</f>
        <v>45656</v>
      </c>
      <c r="E27" s="271" t="str">
        <f>M27&amp;M28</f>
        <v>48 M3</v>
      </c>
      <c r="F27" s="115">
        <f>D27</f>
        <v>45656</v>
      </c>
      <c r="G27" s="282"/>
      <c r="H27" s="117" t="str">
        <f>N27&amp;M28</f>
        <v>937 M3</v>
      </c>
      <c r="I27" s="264" t="s">
        <v>48</v>
      </c>
      <c r="J27" s="274" t="str">
        <f>IF(R27=0,"上  溢："&amp;S27,IF(Q27=0,"任  泰："&amp;R27&amp;"                 "&amp;"上  溢："&amp;S27,
"水利處："&amp;Q27&amp;"                 "&amp;"任  泰："&amp;R27&amp;"                 "&amp;"上  溢："&amp;S27))</f>
        <v>上  溢：周昱辰</v>
      </c>
      <c r="K27" s="264" t="s">
        <v>946</v>
      </c>
      <c r="L27" s="136">
        <f>L25+1</f>
        <v>10</v>
      </c>
      <c r="M27" s="128">
        <f>VLOOKUP(L27,CLSM!A:T,5,0)</f>
        <v>48</v>
      </c>
      <c r="N27" s="128">
        <f>N25+M27</f>
        <v>937</v>
      </c>
      <c r="O27" s="128">
        <f>VLOOKUP(L27,CLSM!A:T,6,0)</f>
        <v>1</v>
      </c>
      <c r="P27" s="128">
        <f>P25+O27</f>
        <v>18</v>
      </c>
      <c r="Q27" s="128">
        <f>VLOOKUP(L27,CLSM!A:T,18,0)</f>
        <v>0</v>
      </c>
      <c r="R27" s="128">
        <f>VLOOKUP(L27,CLSM!A:T,19,0)</f>
        <v>0</v>
      </c>
      <c r="S27" s="128" t="str">
        <f>VLOOKUP(L27,CLSM!A:T,20,0)</f>
        <v>周昱辰</v>
      </c>
      <c r="T27" s="139"/>
      <c r="U27" s="139"/>
      <c r="V27" s="139"/>
      <c r="W27" s="139"/>
      <c r="X27" s="139"/>
      <c r="Y27" s="139"/>
      <c r="Z27" s="139"/>
      <c r="AA27" s="139"/>
    </row>
    <row r="28" spans="1:27" s="140" customFormat="1" ht="61.5" customHeight="1">
      <c r="A28" s="268"/>
      <c r="B28" s="174" t="s">
        <v>553</v>
      </c>
      <c r="C28" s="270"/>
      <c r="D28" s="116" t="str">
        <f>M27&amp;M28</f>
        <v>48 M3</v>
      </c>
      <c r="E28" s="272"/>
      <c r="F28" s="117" t="str">
        <f>E27&amp;CHAR(10)&amp;"("&amp;O27&amp;O28&amp;")"</f>
        <v>48 M3
(1組)</v>
      </c>
      <c r="G28" s="265"/>
      <c r="H28" s="117" t="str">
        <f>H27&amp;CHAR(10)&amp;"("&amp;P27&amp;O28&amp;")"</f>
        <v>937 M3
(18組)</v>
      </c>
      <c r="I28" s="266"/>
      <c r="J28" s="274"/>
      <c r="K28" s="265"/>
      <c r="L28" s="127"/>
      <c r="M28" s="127" t="s">
        <v>201</v>
      </c>
      <c r="N28" s="128"/>
      <c r="O28" s="128" t="s">
        <v>204</v>
      </c>
      <c r="P28" s="128"/>
      <c r="Q28" s="128"/>
      <c r="R28" s="128"/>
      <c r="S28" s="128"/>
      <c r="T28" s="139"/>
      <c r="U28" s="139"/>
      <c r="V28" s="139"/>
      <c r="W28" s="139"/>
      <c r="X28" s="139"/>
      <c r="Y28" s="139"/>
      <c r="Z28" s="139"/>
      <c r="AA28" s="139"/>
    </row>
    <row r="29" spans="1:27" s="142" customFormat="1" ht="49.5" customHeight="1">
      <c r="A29" s="260" t="s">
        <v>47</v>
      </c>
      <c r="B29" s="261"/>
      <c r="C29" s="262"/>
      <c r="D29" s="260" t="s">
        <v>1753</v>
      </c>
      <c r="E29" s="261"/>
      <c r="F29" s="261"/>
      <c r="G29" s="262"/>
      <c r="H29" s="260" t="s">
        <v>1755</v>
      </c>
      <c r="I29" s="261"/>
      <c r="J29" s="261"/>
      <c r="K29" s="262"/>
      <c r="M29" s="143"/>
      <c r="N29" s="143"/>
      <c r="O29" s="143"/>
      <c r="P29" s="143"/>
      <c r="Q29" s="143"/>
      <c r="R29" s="143"/>
      <c r="S29" s="143"/>
      <c r="T29" s="143"/>
      <c r="U29" s="143"/>
      <c r="V29" s="143"/>
      <c r="W29" s="143"/>
      <c r="X29" s="143"/>
      <c r="Y29" s="143"/>
      <c r="Z29" s="143"/>
      <c r="AA29" s="143"/>
    </row>
    <row r="30" spans="1:27" s="142" customFormat="1" ht="55.5" customHeight="1">
      <c r="A30" s="263" t="s">
        <v>1147</v>
      </c>
      <c r="B30" s="263"/>
      <c r="C30" s="263"/>
      <c r="D30" s="263"/>
      <c r="E30" s="263"/>
      <c r="F30" s="263"/>
      <c r="G30" s="263"/>
      <c r="H30" s="263"/>
      <c r="I30" s="263"/>
      <c r="J30" s="263"/>
      <c r="K30" s="263"/>
      <c r="M30" s="143"/>
      <c r="N30" s="143"/>
      <c r="O30" s="143"/>
      <c r="P30" s="143"/>
      <c r="Q30" s="143"/>
      <c r="R30" s="143"/>
      <c r="S30" s="143"/>
      <c r="T30" s="143"/>
      <c r="U30" s="143"/>
      <c r="V30" s="143"/>
      <c r="W30" s="143"/>
      <c r="X30" s="143"/>
      <c r="Y30" s="143"/>
      <c r="Z30" s="143"/>
      <c r="AA30" s="143"/>
    </row>
  </sheetData>
  <mergeCells count="79">
    <mergeCell ref="J25:J26"/>
    <mergeCell ref="J21:J22"/>
    <mergeCell ref="A21:A22"/>
    <mergeCell ref="E21:E22"/>
    <mergeCell ref="I21:I22"/>
    <mergeCell ref="A23:A24"/>
    <mergeCell ref="E23:E24"/>
    <mergeCell ref="I23:I24"/>
    <mergeCell ref="C23:C24"/>
    <mergeCell ref="A25:A26"/>
    <mergeCell ref="C25:C26"/>
    <mergeCell ref="E25:E26"/>
    <mergeCell ref="I25:I26"/>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I7:I8"/>
    <mergeCell ref="J7:J8"/>
    <mergeCell ref="A9:A10"/>
    <mergeCell ref="E9:E10"/>
    <mergeCell ref="I9:I10"/>
    <mergeCell ref="J9:J10"/>
    <mergeCell ref="A5:A6"/>
    <mergeCell ref="E5:E6"/>
    <mergeCell ref="G5:G6"/>
    <mergeCell ref="I5:I6"/>
    <mergeCell ref="J5:J6"/>
    <mergeCell ref="C5:C6"/>
    <mergeCell ref="A1:K1"/>
    <mergeCell ref="A2:K2"/>
    <mergeCell ref="A3:G3"/>
    <mergeCell ref="H3:K3"/>
    <mergeCell ref="A4:G4"/>
    <mergeCell ref="H4:K4"/>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H12" sqref="H12"/>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75" style="130" customWidth="1"/>
    <col min="8" max="8" width="10.2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1"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row>
    <row r="7" spans="1:27" s="138" customFormat="1" ht="61.5" customHeight="1">
      <c r="A7" s="310" t="s">
        <v>1554</v>
      </c>
      <c r="B7" s="123" t="s">
        <v>1555</v>
      </c>
      <c r="C7" s="280" t="s">
        <v>1651</v>
      </c>
      <c r="D7" s="116">
        <v>45931</v>
      </c>
      <c r="E7" s="309"/>
      <c r="F7" s="116">
        <v>45818</v>
      </c>
      <c r="G7" s="264" t="s">
        <v>82</v>
      </c>
      <c r="H7" s="116" t="s">
        <v>1053</v>
      </c>
      <c r="I7" s="264" t="s">
        <v>48</v>
      </c>
      <c r="J7" s="280" t="s">
        <v>624</v>
      </c>
      <c r="K7" s="264" t="s">
        <v>1131</v>
      </c>
      <c r="L7" s="136"/>
      <c r="M7" s="128"/>
      <c r="N7" s="128"/>
      <c r="O7" s="128"/>
      <c r="P7" s="128"/>
      <c r="Q7" s="128"/>
      <c r="R7" s="128"/>
      <c r="S7" s="128"/>
      <c r="T7" s="137"/>
      <c r="U7" s="137"/>
      <c r="V7" s="137"/>
      <c r="W7" s="137"/>
      <c r="X7" s="137"/>
      <c r="Y7" s="137"/>
      <c r="Z7" s="137"/>
      <c r="AA7" s="137"/>
    </row>
    <row r="8" spans="1:27" s="138" customFormat="1" ht="61.5" customHeight="1">
      <c r="A8" s="268"/>
      <c r="B8" s="104" t="s">
        <v>1558</v>
      </c>
      <c r="C8" s="281"/>
      <c r="D8" s="116" t="s">
        <v>1053</v>
      </c>
      <c r="E8" s="309"/>
      <c r="F8" s="116" t="s">
        <v>1054</v>
      </c>
      <c r="G8" s="275"/>
      <c r="H8" s="116" t="s">
        <v>1054</v>
      </c>
      <c r="I8" s="266"/>
      <c r="J8" s="281"/>
      <c r="K8" s="265"/>
      <c r="L8" s="127"/>
      <c r="M8" s="127"/>
      <c r="N8" s="128"/>
      <c r="O8" s="128"/>
      <c r="P8" s="128"/>
      <c r="Q8" s="128"/>
      <c r="R8" s="128"/>
      <c r="S8" s="128"/>
      <c r="T8" s="137"/>
      <c r="U8" s="137"/>
      <c r="V8" s="137"/>
      <c r="W8" s="137"/>
      <c r="X8" s="137"/>
      <c r="Y8" s="137"/>
      <c r="Z8" s="137"/>
      <c r="AA8" s="137"/>
    </row>
    <row r="9" spans="1:27" s="140" customFormat="1" ht="61.5" customHeight="1">
      <c r="A9" s="310" t="s">
        <v>1647</v>
      </c>
      <c r="B9" s="123" t="s">
        <v>1556</v>
      </c>
      <c r="C9" s="280" t="s">
        <v>1652</v>
      </c>
      <c r="D9" s="116">
        <v>45931</v>
      </c>
      <c r="E9" s="309"/>
      <c r="F9" s="116">
        <v>45818</v>
      </c>
      <c r="G9" s="275"/>
      <c r="H9" s="116" t="s">
        <v>1055</v>
      </c>
      <c r="I9" s="264" t="s">
        <v>48</v>
      </c>
      <c r="J9" s="280" t="s">
        <v>624</v>
      </c>
      <c r="K9" s="264" t="s">
        <v>1132</v>
      </c>
      <c r="L9" s="136"/>
      <c r="M9" s="128"/>
      <c r="N9" s="128"/>
      <c r="O9" s="128"/>
      <c r="P9" s="128"/>
      <c r="Q9" s="128"/>
      <c r="R9" s="128"/>
      <c r="S9" s="128"/>
      <c r="T9" s="139"/>
      <c r="U9" s="139"/>
      <c r="V9" s="139"/>
      <c r="W9" s="139"/>
      <c r="X9" s="139"/>
      <c r="Y9" s="139"/>
      <c r="Z9" s="139"/>
      <c r="AA9" s="139"/>
    </row>
    <row r="10" spans="1:27" s="140" customFormat="1" ht="61.5" customHeight="1">
      <c r="A10" s="268"/>
      <c r="B10" s="104" t="s">
        <v>1559</v>
      </c>
      <c r="C10" s="281"/>
      <c r="D10" s="116" t="s">
        <v>1055</v>
      </c>
      <c r="E10" s="309"/>
      <c r="F10" s="116" t="s">
        <v>1056</v>
      </c>
      <c r="G10" s="275"/>
      <c r="H10" s="116" t="s">
        <v>1056</v>
      </c>
      <c r="I10" s="266"/>
      <c r="J10" s="281"/>
      <c r="K10" s="265"/>
      <c r="L10" s="127"/>
      <c r="M10" s="127"/>
      <c r="N10" s="128"/>
      <c r="O10" s="128"/>
      <c r="P10" s="128"/>
      <c r="Q10" s="128"/>
      <c r="R10" s="128"/>
      <c r="S10" s="128"/>
      <c r="T10" s="139"/>
      <c r="U10" s="139"/>
      <c r="V10" s="139"/>
      <c r="W10" s="139"/>
      <c r="X10" s="139"/>
      <c r="Y10" s="139"/>
      <c r="Z10" s="139"/>
      <c r="AA10" s="139"/>
    </row>
    <row r="11" spans="1:27" s="138" customFormat="1" ht="61.5" customHeight="1">
      <c r="A11" s="310" t="s">
        <v>1648</v>
      </c>
      <c r="B11" s="123" t="s">
        <v>1557</v>
      </c>
      <c r="C11" s="280" t="s">
        <v>1653</v>
      </c>
      <c r="D11" s="116">
        <v>45931</v>
      </c>
      <c r="E11" s="309"/>
      <c r="F11" s="116">
        <v>45818</v>
      </c>
      <c r="G11" s="275"/>
      <c r="H11" s="116" t="s">
        <v>1057</v>
      </c>
      <c r="I11" s="264" t="s">
        <v>48</v>
      </c>
      <c r="J11" s="280" t="s">
        <v>624</v>
      </c>
      <c r="K11" s="264" t="s">
        <v>1133</v>
      </c>
      <c r="L11" s="136"/>
      <c r="M11" s="128"/>
      <c r="N11" s="128"/>
      <c r="O11" s="128"/>
      <c r="P11" s="128"/>
      <c r="Q11" s="128"/>
      <c r="R11" s="128"/>
      <c r="S11" s="128"/>
      <c r="T11" s="137"/>
      <c r="U11" s="137"/>
      <c r="V11" s="137"/>
      <c r="W11" s="137"/>
      <c r="X11" s="137"/>
      <c r="Y11" s="137"/>
      <c r="Z11" s="137"/>
      <c r="AA11" s="137"/>
    </row>
    <row r="12" spans="1:27" s="138" customFormat="1" ht="61.5" customHeight="1">
      <c r="A12" s="268"/>
      <c r="B12" s="104" t="s">
        <v>1560</v>
      </c>
      <c r="C12" s="281"/>
      <c r="D12" s="116" t="s">
        <v>1057</v>
      </c>
      <c r="E12" s="309"/>
      <c r="F12" s="116" t="s">
        <v>1058</v>
      </c>
      <c r="G12" s="275"/>
      <c r="H12" s="116" t="s">
        <v>1058</v>
      </c>
      <c r="I12" s="266"/>
      <c r="J12" s="281"/>
      <c r="K12" s="265"/>
      <c r="L12" s="127"/>
      <c r="M12" s="127"/>
      <c r="N12" s="128"/>
      <c r="O12" s="128"/>
      <c r="P12" s="128"/>
      <c r="Q12" s="128"/>
      <c r="R12" s="128"/>
      <c r="S12" s="128"/>
      <c r="T12" s="137"/>
      <c r="U12" s="137"/>
      <c r="V12" s="137"/>
      <c r="W12" s="137"/>
      <c r="X12" s="137"/>
      <c r="Y12" s="137"/>
      <c r="Z12" s="137"/>
      <c r="AA12" s="137"/>
    </row>
    <row r="13" spans="1:27" s="142" customFormat="1" ht="49.5" customHeight="1">
      <c r="A13" s="260" t="s">
        <v>47</v>
      </c>
      <c r="B13" s="261"/>
      <c r="C13" s="262"/>
      <c r="D13" s="260" t="s">
        <v>1753</v>
      </c>
      <c r="E13" s="261"/>
      <c r="F13" s="261"/>
      <c r="G13" s="262"/>
      <c r="H13" s="260" t="s">
        <v>1755</v>
      </c>
      <c r="I13" s="261"/>
      <c r="J13" s="261"/>
      <c r="K13" s="262"/>
      <c r="M13" s="143"/>
      <c r="N13" s="143"/>
      <c r="O13" s="143"/>
      <c r="P13" s="143"/>
      <c r="Q13" s="143"/>
      <c r="R13" s="143"/>
      <c r="S13" s="143"/>
      <c r="T13" s="143"/>
      <c r="U13" s="143"/>
      <c r="V13" s="143"/>
      <c r="W13" s="143"/>
      <c r="X13" s="143"/>
      <c r="Y13" s="143"/>
      <c r="Z13" s="143"/>
      <c r="AA13" s="143"/>
    </row>
    <row r="14" spans="1:27" s="142" customFormat="1" ht="54" customHeight="1">
      <c r="A14" s="263" t="s">
        <v>1147</v>
      </c>
      <c r="B14" s="263"/>
      <c r="C14" s="263"/>
      <c r="D14" s="263"/>
      <c r="E14" s="263"/>
      <c r="F14" s="263"/>
      <c r="G14" s="263"/>
      <c r="H14" s="263"/>
      <c r="I14" s="263"/>
      <c r="J14" s="263"/>
      <c r="K14" s="263"/>
      <c r="M14" s="143"/>
      <c r="N14" s="143"/>
      <c r="O14" s="143"/>
      <c r="P14" s="143"/>
      <c r="Q14" s="143"/>
      <c r="R14" s="143"/>
      <c r="S14" s="143"/>
      <c r="T14" s="143"/>
      <c r="U14" s="143"/>
      <c r="V14" s="143"/>
      <c r="W14" s="143"/>
      <c r="X14" s="143"/>
      <c r="Y14" s="143"/>
      <c r="Z14" s="143"/>
      <c r="AA14" s="143"/>
    </row>
    <row r="30" spans="1:1" ht="409.5">
      <c r="A30" s="130" t="s">
        <v>52</v>
      </c>
    </row>
  </sheetData>
  <mergeCells count="35">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 ref="A5:A6"/>
    <mergeCell ref="E5:E6"/>
    <mergeCell ref="G5:G6"/>
    <mergeCell ref="A1:K1"/>
    <mergeCell ref="A2:K2"/>
    <mergeCell ref="A3:G3"/>
    <mergeCell ref="H3:K3"/>
    <mergeCell ref="A4:G4"/>
    <mergeCell ref="H4:K4"/>
    <mergeCell ref="I5:I6"/>
    <mergeCell ref="J5:J6"/>
    <mergeCell ref="C5:C6"/>
    <mergeCell ref="D13:G13"/>
    <mergeCell ref="H13:K13"/>
    <mergeCell ref="A7:A8"/>
    <mergeCell ref="E7:E8"/>
    <mergeCell ref="I7:I8"/>
    <mergeCell ref="J7:J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D18" sqref="D1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0.25" customHeight="1">
      <c r="A2" s="301" t="s">
        <v>0</v>
      </c>
      <c r="B2" s="301"/>
      <c r="C2" s="301"/>
      <c r="D2" s="301"/>
      <c r="E2" s="301"/>
      <c r="F2" s="301"/>
      <c r="G2" s="301"/>
      <c r="H2" s="301"/>
      <c r="I2" s="301"/>
      <c r="J2" s="301"/>
      <c r="K2" s="301"/>
    </row>
    <row r="3" spans="1:27" ht="16.5" customHeight="1">
      <c r="A3" s="260" t="str">
        <f>"工程名稱:"&amp;'1.計畫'!A1:I1</f>
        <v>工程名稱:磺港溪再造C段護岸及步道整建工程（延壽橋至三合橋）</v>
      </c>
      <c r="B3" s="287"/>
      <c r="C3" s="287"/>
      <c r="D3" s="287"/>
      <c r="E3" s="287"/>
      <c r="F3" s="287"/>
      <c r="G3" s="288"/>
      <c r="H3" s="260" t="s">
        <v>83</v>
      </c>
      <c r="I3" s="287"/>
      <c r="J3" s="287"/>
      <c r="K3" s="288"/>
    </row>
    <row r="4" spans="1:27" ht="16.5" customHeight="1">
      <c r="A4" s="260" t="s">
        <v>40</v>
      </c>
      <c r="B4" s="287"/>
      <c r="C4" s="287"/>
      <c r="D4" s="287"/>
      <c r="E4" s="287"/>
      <c r="F4" s="287"/>
      <c r="G4" s="288"/>
      <c r="H4" s="260" t="s">
        <v>84</v>
      </c>
      <c r="I4" s="287"/>
      <c r="J4" s="287"/>
      <c r="K4" s="288"/>
    </row>
    <row r="5" spans="1:27" ht="56.25" customHeight="1">
      <c r="A5" s="278" t="s">
        <v>1</v>
      </c>
      <c r="B5" s="131" t="s">
        <v>1152</v>
      </c>
      <c r="C5" s="278" t="s">
        <v>588</v>
      </c>
      <c r="D5" s="131" t="s">
        <v>587</v>
      </c>
      <c r="E5" s="289" t="s">
        <v>49</v>
      </c>
      <c r="F5" s="131" t="s">
        <v>50</v>
      </c>
      <c r="G5" s="278" t="s">
        <v>613</v>
      </c>
      <c r="H5" s="131" t="s">
        <v>1153</v>
      </c>
      <c r="I5" s="278" t="s">
        <v>612</v>
      </c>
      <c r="J5" s="278" t="s">
        <v>611</v>
      </c>
      <c r="K5" s="132" t="s">
        <v>16</v>
      </c>
    </row>
    <row r="6" spans="1:27" ht="56.25" customHeight="1">
      <c r="A6" s="279"/>
      <c r="B6" s="131" t="s">
        <v>614</v>
      </c>
      <c r="C6" s="279"/>
      <c r="D6" s="131" t="s">
        <v>49</v>
      </c>
      <c r="E6" s="290"/>
      <c r="F6" s="131" t="s">
        <v>51</v>
      </c>
      <c r="G6" s="279"/>
      <c r="H6" s="133" t="s">
        <v>1154</v>
      </c>
      <c r="I6" s="279"/>
      <c r="J6" s="279"/>
      <c r="K6" s="134" t="s">
        <v>46</v>
      </c>
    </row>
    <row r="7" spans="1:27" s="138" customFormat="1" ht="57.95" customHeight="1">
      <c r="A7" s="310" t="s">
        <v>217</v>
      </c>
      <c r="B7" s="181" t="s">
        <v>752</v>
      </c>
      <c r="C7" s="311" t="s">
        <v>1529</v>
      </c>
      <c r="D7" s="116" t="s">
        <v>109</v>
      </c>
      <c r="E7" s="309" t="s">
        <v>221</v>
      </c>
      <c r="F7" s="116" t="s">
        <v>109</v>
      </c>
      <c r="G7" s="264" t="s">
        <v>230</v>
      </c>
      <c r="H7" s="116" t="s">
        <v>109</v>
      </c>
      <c r="I7" s="264" t="s">
        <v>109</v>
      </c>
      <c r="J7" s="280" t="s">
        <v>109</v>
      </c>
      <c r="K7" s="264"/>
      <c r="L7" s="136"/>
      <c r="M7" s="128"/>
      <c r="N7" s="128"/>
      <c r="O7" s="128"/>
      <c r="P7" s="128"/>
      <c r="Q7" s="128"/>
      <c r="R7" s="128"/>
      <c r="S7" s="128"/>
      <c r="T7" s="137"/>
      <c r="U7" s="137"/>
      <c r="V7" s="137"/>
      <c r="W7" s="137"/>
      <c r="X7" s="137"/>
      <c r="Y7" s="137"/>
      <c r="Z7" s="137"/>
      <c r="AA7" s="137"/>
    </row>
    <row r="8" spans="1:27" s="138" customFormat="1" ht="39.950000000000003" customHeight="1">
      <c r="A8" s="268"/>
      <c r="B8" s="102" t="s">
        <v>753</v>
      </c>
      <c r="C8" s="312"/>
      <c r="D8" s="116" t="s">
        <v>109</v>
      </c>
      <c r="E8" s="309"/>
      <c r="F8" s="116" t="s">
        <v>109</v>
      </c>
      <c r="G8" s="282"/>
      <c r="H8" s="116" t="s">
        <v>109</v>
      </c>
      <c r="I8" s="266"/>
      <c r="J8" s="281"/>
      <c r="K8" s="265"/>
      <c r="L8" s="127"/>
      <c r="M8" s="127"/>
      <c r="N8" s="128"/>
      <c r="O8" s="128"/>
      <c r="P8" s="128"/>
      <c r="Q8" s="128"/>
      <c r="R8" s="128"/>
      <c r="S8" s="128"/>
      <c r="T8" s="137"/>
      <c r="U8" s="137"/>
      <c r="V8" s="137"/>
      <c r="W8" s="137"/>
      <c r="X8" s="137"/>
      <c r="Y8" s="137"/>
      <c r="Z8" s="137"/>
      <c r="AA8" s="137"/>
    </row>
    <row r="9" spans="1:27" s="140" customFormat="1" ht="57.95" customHeight="1">
      <c r="A9" s="310" t="s">
        <v>219</v>
      </c>
      <c r="B9" s="181" t="s">
        <v>752</v>
      </c>
      <c r="C9" s="311" t="s">
        <v>1529</v>
      </c>
      <c r="D9" s="115">
        <v>45282</v>
      </c>
      <c r="E9" s="271" t="s">
        <v>222</v>
      </c>
      <c r="F9" s="115">
        <v>45287</v>
      </c>
      <c r="G9" s="282"/>
      <c r="H9" s="116" t="s">
        <v>222</v>
      </c>
      <c r="I9" s="285" t="s">
        <v>48</v>
      </c>
      <c r="J9" s="274" t="s">
        <v>258</v>
      </c>
      <c r="K9" s="264" t="s">
        <v>938</v>
      </c>
      <c r="L9" s="136"/>
      <c r="M9" s="128"/>
      <c r="N9" s="128"/>
      <c r="O9" s="128"/>
      <c r="P9" s="128"/>
      <c r="Q9" s="128"/>
      <c r="R9" s="128"/>
      <c r="S9" s="128"/>
      <c r="T9" s="139"/>
      <c r="U9" s="139"/>
      <c r="V9" s="139"/>
      <c r="W9" s="139"/>
      <c r="X9" s="139"/>
      <c r="Y9" s="139"/>
      <c r="Z9" s="139"/>
      <c r="AA9" s="139"/>
    </row>
    <row r="10" spans="1:27" s="140" customFormat="1" ht="50.1" customHeight="1">
      <c r="A10" s="268"/>
      <c r="B10" s="102" t="s">
        <v>753</v>
      </c>
      <c r="C10" s="312"/>
      <c r="D10" s="116" t="s">
        <v>222</v>
      </c>
      <c r="E10" s="272"/>
      <c r="F10" s="117" t="s">
        <v>226</v>
      </c>
      <c r="G10" s="282"/>
      <c r="H10" s="117" t="s">
        <v>226</v>
      </c>
      <c r="I10" s="285"/>
      <c r="J10" s="274"/>
      <c r="K10" s="265"/>
      <c r="L10" s="127"/>
      <c r="M10" s="127"/>
      <c r="N10" s="128"/>
      <c r="O10" s="128"/>
      <c r="P10" s="128"/>
      <c r="Q10" s="128"/>
      <c r="R10" s="128"/>
      <c r="S10" s="128"/>
      <c r="T10" s="139"/>
      <c r="U10" s="139"/>
      <c r="V10" s="139"/>
      <c r="W10" s="139"/>
      <c r="X10" s="139"/>
      <c r="Y10" s="139"/>
      <c r="Z10" s="139"/>
      <c r="AA10" s="139"/>
    </row>
    <row r="11" spans="1:27" s="138" customFormat="1" ht="57.95" customHeight="1">
      <c r="A11" s="315" t="s">
        <v>220</v>
      </c>
      <c r="B11" s="181" t="s">
        <v>752</v>
      </c>
      <c r="C11" s="311" t="s">
        <v>1529</v>
      </c>
      <c r="D11" s="116" t="s">
        <v>109</v>
      </c>
      <c r="E11" s="271" t="s">
        <v>221</v>
      </c>
      <c r="F11" s="116" t="s">
        <v>109</v>
      </c>
      <c r="G11" s="282"/>
      <c r="H11" s="116" t="s">
        <v>222</v>
      </c>
      <c r="I11" s="264" t="s">
        <v>109</v>
      </c>
      <c r="J11" s="280" t="s">
        <v>109</v>
      </c>
      <c r="K11" s="264"/>
      <c r="L11" s="136"/>
      <c r="M11" s="128"/>
      <c r="N11" s="128"/>
      <c r="O11" s="128"/>
      <c r="P11" s="128"/>
      <c r="Q11" s="128"/>
      <c r="R11" s="128"/>
      <c r="S11" s="128"/>
      <c r="T11" s="137"/>
      <c r="U11" s="137"/>
      <c r="V11" s="137"/>
      <c r="W11" s="137"/>
      <c r="X11" s="137"/>
      <c r="Y11" s="137"/>
      <c r="Z11" s="137"/>
      <c r="AA11" s="137"/>
    </row>
    <row r="12" spans="1:27" s="138" customFormat="1" ht="50.1" customHeight="1">
      <c r="A12" s="314"/>
      <c r="B12" s="102" t="s">
        <v>753</v>
      </c>
      <c r="C12" s="312"/>
      <c r="D12" s="116" t="s">
        <v>109</v>
      </c>
      <c r="E12" s="272"/>
      <c r="F12" s="116" t="s">
        <v>109</v>
      </c>
      <c r="G12" s="282"/>
      <c r="H12" s="117" t="s">
        <v>226</v>
      </c>
      <c r="I12" s="266"/>
      <c r="J12" s="281"/>
      <c r="K12" s="265"/>
      <c r="L12" s="127"/>
      <c r="M12" s="127"/>
      <c r="N12" s="128"/>
      <c r="O12" s="128"/>
      <c r="P12" s="128"/>
      <c r="Q12" s="128"/>
      <c r="R12" s="128"/>
      <c r="S12" s="128"/>
      <c r="T12" s="137"/>
      <c r="U12" s="137"/>
      <c r="V12" s="137"/>
      <c r="W12" s="137"/>
      <c r="X12" s="137"/>
      <c r="Y12" s="137"/>
      <c r="Z12" s="137"/>
      <c r="AA12" s="137"/>
    </row>
    <row r="13" spans="1:27" s="138" customFormat="1" ht="57.95" customHeight="1">
      <c r="A13" s="310" t="s">
        <v>294</v>
      </c>
      <c r="B13" s="181" t="s">
        <v>752</v>
      </c>
      <c r="C13" s="311" t="s">
        <v>1529</v>
      </c>
      <c r="D13" s="116" t="s">
        <v>109</v>
      </c>
      <c r="E13" s="309" t="s">
        <v>221</v>
      </c>
      <c r="F13" s="116" t="s">
        <v>109</v>
      </c>
      <c r="G13" s="282"/>
      <c r="H13" s="116" t="s">
        <v>222</v>
      </c>
      <c r="I13" s="264" t="s">
        <v>109</v>
      </c>
      <c r="J13" s="280" t="s">
        <v>109</v>
      </c>
      <c r="K13" s="264"/>
      <c r="L13" s="127"/>
      <c r="M13" s="127"/>
      <c r="N13" s="128"/>
      <c r="O13" s="128"/>
      <c r="P13" s="128"/>
      <c r="Q13" s="128"/>
      <c r="R13" s="128"/>
      <c r="S13" s="128"/>
      <c r="T13" s="137"/>
      <c r="U13" s="137"/>
      <c r="V13" s="137"/>
      <c r="W13" s="137"/>
      <c r="X13" s="137"/>
      <c r="Y13" s="137"/>
      <c r="Z13" s="137"/>
      <c r="AA13" s="137"/>
    </row>
    <row r="14" spans="1:27" s="138" customFormat="1" ht="50.1" customHeight="1">
      <c r="A14" s="268"/>
      <c r="B14" s="102" t="s">
        <v>753</v>
      </c>
      <c r="C14" s="312"/>
      <c r="D14" s="116" t="s">
        <v>109</v>
      </c>
      <c r="E14" s="309"/>
      <c r="F14" s="116" t="s">
        <v>109</v>
      </c>
      <c r="G14" s="282"/>
      <c r="H14" s="117" t="s">
        <v>226</v>
      </c>
      <c r="I14" s="266"/>
      <c r="J14" s="281"/>
      <c r="K14" s="265"/>
      <c r="L14" s="127"/>
      <c r="M14" s="127"/>
      <c r="N14" s="128"/>
      <c r="O14" s="128"/>
      <c r="P14" s="128"/>
      <c r="Q14" s="128"/>
      <c r="R14" s="128"/>
      <c r="S14" s="128"/>
      <c r="T14" s="137"/>
      <c r="U14" s="137"/>
      <c r="V14" s="137"/>
      <c r="W14" s="137"/>
      <c r="X14" s="137"/>
      <c r="Y14" s="137"/>
      <c r="Z14" s="137"/>
      <c r="AA14" s="137"/>
    </row>
    <row r="15" spans="1:27" s="138" customFormat="1" ht="57.95" customHeight="1">
      <c r="A15" s="314" t="s">
        <v>315</v>
      </c>
      <c r="B15" s="181" t="s">
        <v>752</v>
      </c>
      <c r="C15" s="311" t="s">
        <v>1529</v>
      </c>
      <c r="D15" s="116" t="s">
        <v>109</v>
      </c>
      <c r="E15" s="309" t="s">
        <v>221</v>
      </c>
      <c r="F15" s="116" t="s">
        <v>109</v>
      </c>
      <c r="G15" s="282"/>
      <c r="H15" s="116" t="s">
        <v>222</v>
      </c>
      <c r="I15" s="264" t="s">
        <v>109</v>
      </c>
      <c r="J15" s="280" t="s">
        <v>109</v>
      </c>
      <c r="K15" s="264"/>
      <c r="L15" s="127"/>
      <c r="M15" s="127"/>
      <c r="N15" s="128"/>
      <c r="O15" s="128"/>
      <c r="P15" s="128"/>
      <c r="Q15" s="128"/>
      <c r="R15" s="128"/>
      <c r="S15" s="128"/>
      <c r="T15" s="137"/>
      <c r="U15" s="137"/>
      <c r="V15" s="137"/>
      <c r="W15" s="137"/>
      <c r="X15" s="137"/>
      <c r="Y15" s="137"/>
      <c r="Z15" s="137"/>
      <c r="AA15" s="137"/>
    </row>
    <row r="16" spans="1:27" s="138" customFormat="1" ht="50.1" customHeight="1">
      <c r="A16" s="268"/>
      <c r="B16" s="102" t="s">
        <v>753</v>
      </c>
      <c r="C16" s="312"/>
      <c r="D16" s="116" t="s">
        <v>109</v>
      </c>
      <c r="E16" s="309"/>
      <c r="F16" s="116" t="s">
        <v>109</v>
      </c>
      <c r="G16" s="282"/>
      <c r="H16" s="117" t="s">
        <v>226</v>
      </c>
      <c r="I16" s="266"/>
      <c r="J16" s="281"/>
      <c r="K16" s="265"/>
      <c r="L16" s="127"/>
      <c r="M16" s="127"/>
      <c r="N16" s="128"/>
      <c r="O16" s="128"/>
      <c r="P16" s="128"/>
      <c r="Q16" s="128"/>
      <c r="R16" s="128"/>
      <c r="S16" s="128"/>
      <c r="T16" s="137"/>
      <c r="U16" s="137"/>
      <c r="V16" s="137"/>
      <c r="W16" s="137"/>
      <c r="X16" s="137"/>
      <c r="Y16" s="137"/>
      <c r="Z16" s="137"/>
      <c r="AA16" s="137"/>
    </row>
    <row r="17" spans="1:27" s="138" customFormat="1" ht="57.95" customHeight="1">
      <c r="A17" s="313" t="s">
        <v>316</v>
      </c>
      <c r="B17" s="118" t="s">
        <v>752</v>
      </c>
      <c r="C17" s="311" t="s">
        <v>1529</v>
      </c>
      <c r="D17" s="116" t="s">
        <v>109</v>
      </c>
      <c r="E17" s="309" t="s">
        <v>221</v>
      </c>
      <c r="F17" s="116" t="s">
        <v>109</v>
      </c>
      <c r="G17" s="282"/>
      <c r="H17" s="117" t="s">
        <v>790</v>
      </c>
      <c r="I17" s="264" t="s">
        <v>109</v>
      </c>
      <c r="J17" s="280" t="s">
        <v>109</v>
      </c>
      <c r="K17" s="264"/>
      <c r="L17" s="127"/>
      <c r="M17" s="127"/>
      <c r="N17" s="128"/>
      <c r="O17" s="128"/>
      <c r="P17" s="128"/>
      <c r="Q17" s="128"/>
      <c r="R17" s="128"/>
      <c r="S17" s="128"/>
      <c r="T17" s="137"/>
      <c r="U17" s="137"/>
      <c r="V17" s="137"/>
      <c r="W17" s="137"/>
      <c r="X17" s="137"/>
      <c r="Y17" s="137"/>
      <c r="Z17" s="137"/>
      <c r="AA17" s="137"/>
    </row>
    <row r="18" spans="1:27" s="138" customFormat="1" ht="50.1" customHeight="1">
      <c r="A18" s="284"/>
      <c r="B18" s="102" t="s">
        <v>753</v>
      </c>
      <c r="C18" s="312"/>
      <c r="D18" s="116" t="s">
        <v>109</v>
      </c>
      <c r="E18" s="309"/>
      <c r="F18" s="116" t="s">
        <v>109</v>
      </c>
      <c r="G18" s="265"/>
      <c r="H18" s="117" t="s">
        <v>791</v>
      </c>
      <c r="I18" s="266"/>
      <c r="J18" s="281"/>
      <c r="K18" s="265"/>
      <c r="L18" s="127"/>
      <c r="M18" s="127"/>
      <c r="N18" s="128"/>
      <c r="O18" s="128"/>
      <c r="P18" s="128"/>
      <c r="Q18" s="128"/>
      <c r="R18" s="128"/>
      <c r="S18" s="128"/>
      <c r="T18" s="137"/>
      <c r="U18" s="137"/>
      <c r="V18" s="137"/>
      <c r="W18" s="137"/>
      <c r="X18" s="137"/>
      <c r="Y18" s="137"/>
      <c r="Z18" s="137"/>
      <c r="AA18" s="137"/>
    </row>
    <row r="19" spans="1:27" s="142" customFormat="1" ht="42" customHeight="1">
      <c r="A19" s="260" t="s">
        <v>47</v>
      </c>
      <c r="B19" s="261"/>
      <c r="C19" s="262"/>
      <c r="D19" s="260" t="s">
        <v>1753</v>
      </c>
      <c r="E19" s="261"/>
      <c r="F19" s="261"/>
      <c r="G19" s="262"/>
      <c r="H19" s="260" t="s">
        <v>1755</v>
      </c>
      <c r="I19" s="261"/>
      <c r="J19" s="261"/>
      <c r="K19" s="262"/>
      <c r="M19" s="143"/>
      <c r="N19" s="143"/>
      <c r="O19" s="143"/>
      <c r="P19" s="143"/>
      <c r="Q19" s="143"/>
      <c r="R19" s="143"/>
      <c r="S19" s="143"/>
      <c r="T19" s="143"/>
      <c r="U19" s="143"/>
      <c r="V19" s="143"/>
      <c r="W19" s="143"/>
      <c r="X19" s="143"/>
      <c r="Y19" s="143"/>
      <c r="Z19" s="143"/>
      <c r="AA19" s="143"/>
    </row>
    <row r="20" spans="1:27" s="142" customFormat="1" ht="49.5" customHeight="1">
      <c r="A20" s="263" t="s">
        <v>1147</v>
      </c>
      <c r="B20" s="263"/>
      <c r="C20" s="263"/>
      <c r="D20" s="263"/>
      <c r="E20" s="263"/>
      <c r="F20" s="263"/>
      <c r="G20" s="263"/>
      <c r="H20" s="263"/>
      <c r="I20" s="263"/>
      <c r="J20" s="263"/>
      <c r="K20" s="263"/>
      <c r="M20" s="143"/>
      <c r="N20" s="143"/>
      <c r="O20" s="143"/>
      <c r="P20" s="143"/>
      <c r="Q20" s="143"/>
      <c r="R20" s="143"/>
      <c r="S20" s="143"/>
      <c r="T20" s="143"/>
      <c r="U20" s="143"/>
      <c r="V20" s="143"/>
      <c r="W20" s="143"/>
      <c r="X20" s="143"/>
      <c r="Y20" s="143"/>
      <c r="Z20" s="143"/>
      <c r="AA20" s="143"/>
    </row>
    <row r="21" spans="1:27" s="138" customFormat="1" ht="57.95" customHeight="1">
      <c r="A21" s="313" t="s">
        <v>449</v>
      </c>
      <c r="B21" s="181" t="s">
        <v>752</v>
      </c>
      <c r="C21" s="311" t="s">
        <v>1529</v>
      </c>
      <c r="D21" s="115">
        <v>45463</v>
      </c>
      <c r="E21" s="271" t="s">
        <v>450</v>
      </c>
      <c r="F21" s="115">
        <v>45467</v>
      </c>
      <c r="G21" s="275" t="s">
        <v>1232</v>
      </c>
      <c r="H21" s="117" t="s">
        <v>756</v>
      </c>
      <c r="I21" s="285" t="s">
        <v>48</v>
      </c>
      <c r="J21" s="274" t="s">
        <v>328</v>
      </c>
      <c r="K21" s="264" t="s">
        <v>1655</v>
      </c>
      <c r="L21" s="136"/>
      <c r="M21" s="128"/>
      <c r="N21" s="128"/>
      <c r="O21" s="128"/>
      <c r="P21" s="128"/>
      <c r="Q21" s="128"/>
      <c r="R21" s="128"/>
      <c r="S21" s="128"/>
      <c r="T21" s="137"/>
      <c r="U21" s="137"/>
      <c r="V21" s="137"/>
      <c r="W21" s="137"/>
      <c r="X21" s="137"/>
      <c r="Y21" s="137"/>
      <c r="Z21" s="137"/>
      <c r="AA21" s="137"/>
    </row>
    <row r="22" spans="1:27" s="138" customFormat="1" ht="50.1" customHeight="1">
      <c r="A22" s="284"/>
      <c r="B22" s="102" t="s">
        <v>753</v>
      </c>
      <c r="C22" s="312"/>
      <c r="D22" s="116" t="s">
        <v>754</v>
      </c>
      <c r="E22" s="272"/>
      <c r="F22" s="117" t="s">
        <v>755</v>
      </c>
      <c r="G22" s="275"/>
      <c r="H22" s="117" t="s">
        <v>757</v>
      </c>
      <c r="I22" s="285"/>
      <c r="J22" s="274"/>
      <c r="K22" s="265"/>
      <c r="L22" s="127"/>
      <c r="M22" s="127"/>
      <c r="N22" s="128"/>
      <c r="O22" s="128"/>
      <c r="P22" s="128"/>
      <c r="Q22" s="128"/>
      <c r="R22" s="128"/>
      <c r="S22" s="128"/>
      <c r="T22" s="137"/>
      <c r="U22" s="137"/>
      <c r="V22" s="137"/>
      <c r="W22" s="137"/>
      <c r="X22" s="137"/>
      <c r="Y22" s="137"/>
      <c r="Z22" s="137"/>
      <c r="AA22" s="137"/>
    </row>
    <row r="23" spans="1:27" s="138" customFormat="1" ht="57.95" customHeight="1">
      <c r="A23" s="313" t="s">
        <v>501</v>
      </c>
      <c r="B23" s="181" t="s">
        <v>752</v>
      </c>
      <c r="C23" s="311" t="s">
        <v>1529</v>
      </c>
      <c r="D23" s="115">
        <v>45518</v>
      </c>
      <c r="E23" s="271" t="s">
        <v>483</v>
      </c>
      <c r="F23" s="115">
        <v>45526</v>
      </c>
      <c r="G23" s="275"/>
      <c r="H23" s="117" t="s">
        <v>760</v>
      </c>
      <c r="I23" s="285" t="s">
        <v>48</v>
      </c>
      <c r="J23" s="274" t="s">
        <v>512</v>
      </c>
      <c r="K23" s="264" t="s">
        <v>1233</v>
      </c>
      <c r="L23" s="136"/>
      <c r="M23" s="128"/>
      <c r="N23" s="128"/>
      <c r="O23" s="128"/>
      <c r="P23" s="128"/>
      <c r="Q23" s="128"/>
      <c r="R23" s="128"/>
      <c r="S23" s="128"/>
      <c r="T23" s="137"/>
      <c r="U23" s="137"/>
      <c r="V23" s="137"/>
      <c r="W23" s="137"/>
      <c r="X23" s="137"/>
      <c r="Y23" s="137"/>
      <c r="Z23" s="137"/>
      <c r="AA23" s="137"/>
    </row>
    <row r="24" spans="1:27" s="138" customFormat="1" ht="50.1" customHeight="1">
      <c r="A24" s="284"/>
      <c r="B24" s="102" t="s">
        <v>753</v>
      </c>
      <c r="C24" s="312"/>
      <c r="D24" s="116" t="s">
        <v>758</v>
      </c>
      <c r="E24" s="272"/>
      <c r="F24" s="117" t="s">
        <v>759</v>
      </c>
      <c r="G24" s="275"/>
      <c r="H24" s="117" t="s">
        <v>794</v>
      </c>
      <c r="I24" s="285"/>
      <c r="J24" s="274"/>
      <c r="K24" s="265"/>
      <c r="L24" s="127"/>
      <c r="M24" s="127"/>
      <c r="N24" s="128"/>
      <c r="O24" s="128"/>
      <c r="P24" s="128"/>
      <c r="Q24" s="128"/>
      <c r="R24" s="128"/>
      <c r="S24" s="128"/>
      <c r="T24" s="137"/>
      <c r="U24" s="137"/>
      <c r="V24" s="137"/>
      <c r="W24" s="137"/>
      <c r="X24" s="137"/>
      <c r="Y24" s="137"/>
      <c r="Z24" s="137"/>
      <c r="AA24" s="137"/>
    </row>
    <row r="25" spans="1:27" s="138" customFormat="1" ht="57.95" customHeight="1">
      <c r="A25" s="316" t="s">
        <v>503</v>
      </c>
      <c r="B25" s="181" t="s">
        <v>752</v>
      </c>
      <c r="C25" s="311" t="s">
        <v>1529</v>
      </c>
      <c r="D25" s="115">
        <v>45548</v>
      </c>
      <c r="E25" s="271" t="s">
        <v>221</v>
      </c>
      <c r="F25" s="115">
        <v>45554</v>
      </c>
      <c r="G25" s="275"/>
      <c r="H25" s="117" t="s">
        <v>762</v>
      </c>
      <c r="I25" s="285" t="s">
        <v>48</v>
      </c>
      <c r="J25" s="281" t="s">
        <v>506</v>
      </c>
      <c r="K25" s="264" t="s">
        <v>1657</v>
      </c>
      <c r="L25" s="136"/>
      <c r="M25" s="128"/>
      <c r="N25" s="128"/>
      <c r="O25" s="128"/>
      <c r="P25" s="128"/>
      <c r="Q25" s="128"/>
      <c r="R25" s="128"/>
      <c r="S25" s="128"/>
      <c r="T25" s="137"/>
      <c r="U25" s="137"/>
      <c r="V25" s="137"/>
      <c r="W25" s="137"/>
      <c r="X25" s="137"/>
      <c r="Y25" s="137"/>
      <c r="Z25" s="137"/>
      <c r="AA25" s="137"/>
    </row>
    <row r="26" spans="1:27" s="138" customFormat="1" ht="50.1" customHeight="1">
      <c r="A26" s="284"/>
      <c r="B26" s="102" t="s">
        <v>753</v>
      </c>
      <c r="C26" s="312"/>
      <c r="D26" s="116" t="s">
        <v>1230</v>
      </c>
      <c r="E26" s="272"/>
      <c r="F26" s="117" t="s">
        <v>1231</v>
      </c>
      <c r="G26" s="275"/>
      <c r="H26" s="117" t="s">
        <v>761</v>
      </c>
      <c r="I26" s="285"/>
      <c r="J26" s="274"/>
      <c r="K26" s="265"/>
      <c r="L26" s="127"/>
      <c r="M26" s="127"/>
      <c r="N26" s="128"/>
      <c r="O26" s="128"/>
      <c r="P26" s="128"/>
      <c r="Q26" s="128"/>
      <c r="R26" s="128"/>
      <c r="S26" s="128"/>
      <c r="T26" s="137"/>
      <c r="U26" s="137"/>
      <c r="V26" s="137"/>
      <c r="W26" s="137"/>
      <c r="X26" s="137"/>
      <c r="Y26" s="137"/>
      <c r="Z26" s="137"/>
      <c r="AA26" s="137"/>
    </row>
    <row r="27" spans="1:27" s="138" customFormat="1" ht="57.95" customHeight="1">
      <c r="A27" s="316" t="s">
        <v>858</v>
      </c>
      <c r="B27" s="181" t="s">
        <v>752</v>
      </c>
      <c r="C27" s="311" t="s">
        <v>1529</v>
      </c>
      <c r="D27" s="115">
        <v>45705</v>
      </c>
      <c r="E27" s="271" t="s">
        <v>221</v>
      </c>
      <c r="F27" s="115">
        <v>45714</v>
      </c>
      <c r="G27" s="275"/>
      <c r="H27" s="117" t="s">
        <v>864</v>
      </c>
      <c r="I27" s="285" t="s">
        <v>48</v>
      </c>
      <c r="J27" s="274" t="s">
        <v>863</v>
      </c>
      <c r="K27" s="264" t="s">
        <v>981</v>
      </c>
      <c r="L27" s="136"/>
      <c r="M27" s="128"/>
      <c r="N27" s="128"/>
      <c r="O27" s="128"/>
      <c r="P27" s="128"/>
      <c r="Q27" s="128"/>
      <c r="R27" s="128"/>
      <c r="S27" s="128"/>
      <c r="T27" s="137"/>
      <c r="U27" s="137"/>
      <c r="V27" s="137"/>
      <c r="W27" s="137"/>
      <c r="X27" s="137"/>
      <c r="Y27" s="137"/>
      <c r="Z27" s="137"/>
      <c r="AA27" s="137"/>
    </row>
    <row r="28" spans="1:27" s="138" customFormat="1" ht="50.1" customHeight="1">
      <c r="A28" s="284"/>
      <c r="B28" s="102" t="s">
        <v>753</v>
      </c>
      <c r="C28" s="312"/>
      <c r="D28" s="116" t="s">
        <v>859</v>
      </c>
      <c r="E28" s="272"/>
      <c r="F28" s="117" t="s">
        <v>860</v>
      </c>
      <c r="G28" s="275"/>
      <c r="H28" s="117" t="s">
        <v>865</v>
      </c>
      <c r="I28" s="285"/>
      <c r="J28" s="274"/>
      <c r="K28" s="265"/>
      <c r="L28" s="127"/>
      <c r="M28" s="127"/>
      <c r="N28" s="128"/>
      <c r="O28" s="128"/>
      <c r="P28" s="128"/>
      <c r="Q28" s="128"/>
      <c r="R28" s="128"/>
      <c r="S28" s="128"/>
      <c r="T28" s="137"/>
      <c r="U28" s="137"/>
      <c r="V28" s="137"/>
      <c r="W28" s="137"/>
      <c r="X28" s="137"/>
      <c r="Y28" s="137"/>
      <c r="Z28" s="137"/>
      <c r="AA28" s="137"/>
    </row>
    <row r="29" spans="1:27" s="138" customFormat="1" ht="57.95" customHeight="1">
      <c r="A29" s="316" t="s">
        <v>1581</v>
      </c>
      <c r="B29" s="181" t="s">
        <v>752</v>
      </c>
      <c r="C29" s="311" t="s">
        <v>1582</v>
      </c>
      <c r="D29" s="115">
        <v>45946</v>
      </c>
      <c r="E29" s="271" t="s">
        <v>221</v>
      </c>
      <c r="F29" s="115">
        <v>45953</v>
      </c>
      <c r="G29" s="275"/>
      <c r="H29" s="117" t="s">
        <v>1585</v>
      </c>
      <c r="I29" s="285" t="s">
        <v>48</v>
      </c>
      <c r="J29" s="274" t="s">
        <v>888</v>
      </c>
      <c r="K29" s="264" t="s">
        <v>1667</v>
      </c>
      <c r="L29" s="136"/>
      <c r="M29" s="128"/>
      <c r="N29" s="128"/>
      <c r="O29" s="128"/>
      <c r="P29" s="128"/>
      <c r="Q29" s="128"/>
      <c r="R29" s="128"/>
      <c r="S29" s="128"/>
      <c r="T29" s="137"/>
      <c r="U29" s="137"/>
      <c r="V29" s="137"/>
      <c r="W29" s="137"/>
      <c r="X29" s="137"/>
      <c r="Y29" s="137"/>
      <c r="Z29" s="137"/>
      <c r="AA29" s="137"/>
    </row>
    <row r="30" spans="1:27" s="138" customFormat="1" ht="50.1" customHeight="1">
      <c r="A30" s="284"/>
      <c r="B30" s="102" t="s">
        <v>753</v>
      </c>
      <c r="C30" s="312"/>
      <c r="D30" s="116" t="s">
        <v>1583</v>
      </c>
      <c r="E30" s="272"/>
      <c r="F30" s="117" t="s">
        <v>1584</v>
      </c>
      <c r="G30" s="266"/>
      <c r="H30" s="117" t="s">
        <v>1586</v>
      </c>
      <c r="I30" s="285"/>
      <c r="J30" s="274"/>
      <c r="K30" s="265"/>
      <c r="L30" s="127"/>
      <c r="M30" s="127"/>
      <c r="N30" s="128"/>
      <c r="O30" s="128"/>
      <c r="P30" s="128"/>
      <c r="Q30" s="128"/>
      <c r="R30" s="128"/>
      <c r="S30" s="128"/>
      <c r="T30" s="137"/>
      <c r="U30" s="137"/>
      <c r="V30" s="137"/>
      <c r="W30" s="137"/>
      <c r="X30" s="137"/>
      <c r="Y30" s="137"/>
      <c r="Z30" s="137"/>
      <c r="AA30" s="137"/>
    </row>
    <row r="31" spans="1:27" s="142" customFormat="1" ht="42" customHeight="1">
      <c r="A31" s="260" t="s">
        <v>47</v>
      </c>
      <c r="B31" s="261"/>
      <c r="C31" s="262"/>
      <c r="D31" s="260" t="s">
        <v>1753</v>
      </c>
      <c r="E31" s="261"/>
      <c r="F31" s="261"/>
      <c r="G31" s="262"/>
      <c r="H31" s="260" t="s">
        <v>1756</v>
      </c>
      <c r="I31" s="261"/>
      <c r="J31" s="261"/>
      <c r="K31" s="262"/>
      <c r="M31" s="143"/>
      <c r="N31" s="143"/>
      <c r="O31" s="143"/>
      <c r="P31" s="143"/>
      <c r="Q31" s="143"/>
      <c r="R31" s="143"/>
      <c r="S31" s="143"/>
      <c r="T31" s="143"/>
      <c r="U31" s="143"/>
      <c r="V31" s="143"/>
      <c r="W31" s="143"/>
      <c r="X31" s="143"/>
      <c r="Y31" s="143"/>
      <c r="Z31" s="143"/>
      <c r="AA31" s="143"/>
    </row>
    <row r="32" spans="1:27" s="142" customFormat="1" ht="49.5" customHeight="1">
      <c r="A32" s="263" t="s">
        <v>1147</v>
      </c>
      <c r="B32" s="263"/>
      <c r="C32" s="263"/>
      <c r="D32" s="263"/>
      <c r="E32" s="263"/>
      <c r="F32" s="263"/>
      <c r="G32" s="263"/>
      <c r="H32" s="263"/>
      <c r="I32" s="263"/>
      <c r="J32" s="263"/>
      <c r="K32" s="263"/>
      <c r="M32" s="143"/>
      <c r="N32" s="143"/>
      <c r="O32" s="143"/>
      <c r="P32" s="143"/>
      <c r="Q32" s="143"/>
      <c r="R32" s="143"/>
      <c r="S32" s="143"/>
      <c r="T32" s="143"/>
      <c r="U32" s="143"/>
      <c r="V32" s="143"/>
      <c r="W32" s="143"/>
      <c r="X32" s="143"/>
      <c r="Y32" s="143"/>
      <c r="Z32" s="143"/>
      <c r="AA32" s="143"/>
    </row>
  </sheetData>
  <mergeCells count="88">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J5:J6"/>
    <mergeCell ref="C5:C6"/>
    <mergeCell ref="A1:K1"/>
    <mergeCell ref="A2:K2"/>
    <mergeCell ref="A3:G3"/>
    <mergeCell ref="H3:K3"/>
    <mergeCell ref="A4:G4"/>
    <mergeCell ref="H4:K4"/>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s>
  <phoneticPr fontId="13"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2"/>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H26" sqref="H26"/>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0.25"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1157</v>
      </c>
      <c r="C5" s="278" t="s">
        <v>1158</v>
      </c>
      <c r="D5" s="131" t="s">
        <v>1159</v>
      </c>
      <c r="E5" s="289" t="s">
        <v>1160</v>
      </c>
      <c r="F5" s="131" t="s">
        <v>1161</v>
      </c>
      <c r="G5" s="278" t="s">
        <v>1162</v>
      </c>
      <c r="H5" s="131" t="s">
        <v>1163</v>
      </c>
      <c r="I5" s="278" t="s">
        <v>1164</v>
      </c>
      <c r="J5" s="278" t="s">
        <v>1165</v>
      </c>
      <c r="K5" s="132" t="s">
        <v>1166</v>
      </c>
    </row>
    <row r="6" spans="1:27" ht="56.25" customHeight="1">
      <c r="A6" s="279"/>
      <c r="B6" s="131" t="s">
        <v>1167</v>
      </c>
      <c r="C6" s="279"/>
      <c r="D6" s="131" t="s">
        <v>1160</v>
      </c>
      <c r="E6" s="290"/>
      <c r="F6" s="131" t="s">
        <v>1168</v>
      </c>
      <c r="G6" s="279"/>
      <c r="H6" s="133" t="s">
        <v>1169</v>
      </c>
      <c r="I6" s="279"/>
      <c r="J6" s="279"/>
      <c r="K6" s="134" t="s">
        <v>1170</v>
      </c>
    </row>
    <row r="7" spans="1:27" s="138" customFormat="1" ht="57.95" customHeight="1">
      <c r="A7" s="310" t="s">
        <v>217</v>
      </c>
      <c r="B7" s="118" t="s">
        <v>764</v>
      </c>
      <c r="C7" s="311" t="s">
        <v>1526</v>
      </c>
      <c r="D7" s="115">
        <v>45275</v>
      </c>
      <c r="E7" s="271" t="s">
        <v>221</v>
      </c>
      <c r="F7" s="115">
        <v>45282</v>
      </c>
      <c r="G7" s="264" t="s">
        <v>230</v>
      </c>
      <c r="H7" s="117" t="s">
        <v>221</v>
      </c>
      <c r="I7" s="285" t="s">
        <v>48</v>
      </c>
      <c r="J7" s="274" t="s">
        <v>258</v>
      </c>
      <c r="K7" s="264" t="s">
        <v>1658</v>
      </c>
      <c r="L7" s="136"/>
      <c r="M7" s="128"/>
      <c r="N7" s="128"/>
      <c r="O7" s="128"/>
      <c r="P7" s="128"/>
      <c r="Q7" s="128"/>
      <c r="R7" s="128"/>
      <c r="S7" s="128"/>
      <c r="T7" s="137"/>
      <c r="U7" s="137"/>
      <c r="V7" s="137"/>
      <c r="W7" s="137"/>
      <c r="X7" s="137"/>
      <c r="Y7" s="137"/>
      <c r="Z7" s="137"/>
      <c r="AA7" s="137"/>
    </row>
    <row r="8" spans="1:27" s="138" customFormat="1" ht="51" customHeight="1">
      <c r="A8" s="268"/>
      <c r="B8" s="104" t="s">
        <v>793</v>
      </c>
      <c r="C8" s="312"/>
      <c r="D8" s="116" t="s">
        <v>221</v>
      </c>
      <c r="E8" s="272"/>
      <c r="F8" s="117" t="s">
        <v>228</v>
      </c>
      <c r="G8" s="282"/>
      <c r="H8" s="116" t="s">
        <v>228</v>
      </c>
      <c r="I8" s="285"/>
      <c r="J8" s="274"/>
      <c r="K8" s="265"/>
      <c r="L8" s="127"/>
      <c r="M8" s="127"/>
      <c r="N8" s="128"/>
      <c r="O8" s="128"/>
      <c r="P8" s="128"/>
      <c r="Q8" s="128"/>
      <c r="R8" s="128"/>
      <c r="S8" s="128"/>
      <c r="T8" s="137"/>
      <c r="U8" s="137"/>
      <c r="V8" s="137"/>
      <c r="W8" s="137"/>
      <c r="X8" s="137"/>
      <c r="Y8" s="137"/>
      <c r="Z8" s="137"/>
      <c r="AA8" s="137"/>
    </row>
    <row r="9" spans="1:27" s="140" customFormat="1" ht="57.95" customHeight="1">
      <c r="A9" s="310" t="s">
        <v>219</v>
      </c>
      <c r="B9" s="118" t="s">
        <v>763</v>
      </c>
      <c r="C9" s="311" t="s">
        <v>1526</v>
      </c>
      <c r="D9" s="116" t="s">
        <v>109</v>
      </c>
      <c r="E9" s="309"/>
      <c r="F9" s="116" t="s">
        <v>109</v>
      </c>
      <c r="G9" s="282"/>
      <c r="H9" s="117" t="s">
        <v>221</v>
      </c>
      <c r="I9" s="285" t="s">
        <v>109</v>
      </c>
      <c r="J9" s="274" t="s">
        <v>109</v>
      </c>
      <c r="K9" s="264" t="s">
        <v>109</v>
      </c>
      <c r="L9" s="136"/>
      <c r="M9" s="128"/>
      <c r="N9" s="128"/>
      <c r="O9" s="128"/>
      <c r="P9" s="128"/>
      <c r="Q9" s="128"/>
      <c r="R9" s="128"/>
      <c r="S9" s="128"/>
      <c r="T9" s="139"/>
      <c r="U9" s="139"/>
      <c r="V9" s="139"/>
      <c r="W9" s="139"/>
      <c r="X9" s="139"/>
      <c r="Y9" s="139"/>
      <c r="Z9" s="139"/>
      <c r="AA9" s="139"/>
    </row>
    <row r="10" spans="1:27" s="140" customFormat="1" ht="51" customHeight="1">
      <c r="A10" s="268"/>
      <c r="B10" s="104" t="s">
        <v>792</v>
      </c>
      <c r="C10" s="312"/>
      <c r="D10" s="116" t="s">
        <v>109</v>
      </c>
      <c r="E10" s="309"/>
      <c r="F10" s="117" t="s">
        <v>109</v>
      </c>
      <c r="G10" s="282"/>
      <c r="H10" s="116" t="s">
        <v>228</v>
      </c>
      <c r="I10" s="285"/>
      <c r="J10" s="274"/>
      <c r="K10" s="265"/>
      <c r="L10" s="127"/>
      <c r="M10" s="127"/>
      <c r="N10" s="128"/>
      <c r="O10" s="128"/>
      <c r="P10" s="128"/>
      <c r="Q10" s="128"/>
      <c r="R10" s="128"/>
      <c r="S10" s="128"/>
      <c r="T10" s="139"/>
      <c r="U10" s="139"/>
      <c r="V10" s="139"/>
      <c r="W10" s="139"/>
      <c r="X10" s="139"/>
      <c r="Y10" s="139"/>
      <c r="Z10" s="139"/>
      <c r="AA10" s="139"/>
    </row>
    <row r="11" spans="1:27" s="138" customFormat="1" ht="57.95" customHeight="1">
      <c r="A11" s="310" t="s">
        <v>220</v>
      </c>
      <c r="B11" s="118" t="s">
        <v>763</v>
      </c>
      <c r="C11" s="311" t="s">
        <v>1526</v>
      </c>
      <c r="D11" s="115">
        <v>45317</v>
      </c>
      <c r="E11" s="271" t="s">
        <v>223</v>
      </c>
      <c r="F11" s="115">
        <v>45321</v>
      </c>
      <c r="G11" s="282"/>
      <c r="H11" s="117" t="s">
        <v>766</v>
      </c>
      <c r="I11" s="285" t="s">
        <v>48</v>
      </c>
      <c r="J11" s="274" t="s">
        <v>259</v>
      </c>
      <c r="K11" s="264" t="s">
        <v>939</v>
      </c>
      <c r="L11" s="136"/>
      <c r="M11" s="128"/>
      <c r="N11" s="128"/>
      <c r="O11" s="128"/>
      <c r="P11" s="128"/>
      <c r="Q11" s="128"/>
      <c r="R11" s="128"/>
      <c r="S11" s="128"/>
      <c r="T11" s="137"/>
      <c r="U11" s="137"/>
      <c r="V11" s="137"/>
      <c r="W11" s="137"/>
      <c r="X11" s="137"/>
      <c r="Y11" s="137"/>
      <c r="Z11" s="137"/>
      <c r="AA11" s="137"/>
    </row>
    <row r="12" spans="1:27" s="138" customFormat="1" ht="51" customHeight="1">
      <c r="A12" s="268"/>
      <c r="B12" s="104" t="s">
        <v>792</v>
      </c>
      <c r="C12" s="312"/>
      <c r="D12" s="116" t="s">
        <v>223</v>
      </c>
      <c r="E12" s="272"/>
      <c r="F12" s="117" t="s">
        <v>227</v>
      </c>
      <c r="G12" s="282"/>
      <c r="H12" s="117" t="s">
        <v>769</v>
      </c>
      <c r="I12" s="285"/>
      <c r="J12" s="274"/>
      <c r="K12" s="265"/>
      <c r="L12" s="127"/>
      <c r="M12" s="127"/>
      <c r="N12" s="128"/>
      <c r="O12" s="128"/>
      <c r="P12" s="128"/>
      <c r="Q12" s="128"/>
      <c r="R12" s="128"/>
      <c r="S12" s="128"/>
      <c r="T12" s="137"/>
      <c r="U12" s="137"/>
      <c r="V12" s="137"/>
      <c r="W12" s="137"/>
      <c r="X12" s="137"/>
      <c r="Y12" s="137"/>
      <c r="Z12" s="137"/>
      <c r="AA12" s="137"/>
    </row>
    <row r="13" spans="1:27" s="138" customFormat="1" ht="57.95" customHeight="1">
      <c r="A13" s="310" t="s">
        <v>294</v>
      </c>
      <c r="B13" s="118" t="s">
        <v>763</v>
      </c>
      <c r="C13" s="311" t="s">
        <v>1526</v>
      </c>
      <c r="D13" s="115">
        <v>45376</v>
      </c>
      <c r="E13" s="271" t="s">
        <v>295</v>
      </c>
      <c r="F13" s="115">
        <v>45383</v>
      </c>
      <c r="G13" s="282"/>
      <c r="H13" s="117" t="s">
        <v>767</v>
      </c>
      <c r="I13" s="285" t="s">
        <v>48</v>
      </c>
      <c r="J13" s="274" t="s">
        <v>328</v>
      </c>
      <c r="K13" s="264" t="s">
        <v>940</v>
      </c>
      <c r="L13" s="127"/>
      <c r="M13" s="127"/>
      <c r="N13" s="128"/>
      <c r="O13" s="128"/>
      <c r="P13" s="128"/>
      <c r="Q13" s="128"/>
      <c r="R13" s="128"/>
      <c r="S13" s="128"/>
      <c r="T13" s="137"/>
      <c r="U13" s="137"/>
      <c r="V13" s="137"/>
      <c r="W13" s="137"/>
      <c r="X13" s="137"/>
      <c r="Y13" s="137"/>
      <c r="Z13" s="137"/>
      <c r="AA13" s="137"/>
    </row>
    <row r="14" spans="1:27" s="138" customFormat="1" ht="51" customHeight="1">
      <c r="A14" s="268"/>
      <c r="B14" s="104" t="s">
        <v>792</v>
      </c>
      <c r="C14" s="312"/>
      <c r="D14" s="116" t="s">
        <v>295</v>
      </c>
      <c r="E14" s="272"/>
      <c r="F14" s="117" t="s">
        <v>296</v>
      </c>
      <c r="G14" s="282"/>
      <c r="H14" s="117" t="s">
        <v>770</v>
      </c>
      <c r="I14" s="285"/>
      <c r="J14" s="274"/>
      <c r="K14" s="265"/>
      <c r="L14" s="127"/>
      <c r="M14" s="127"/>
      <c r="N14" s="128"/>
      <c r="O14" s="128"/>
      <c r="P14" s="128"/>
      <c r="Q14" s="128"/>
      <c r="R14" s="128"/>
      <c r="S14" s="128"/>
      <c r="T14" s="137"/>
      <c r="U14" s="137"/>
      <c r="V14" s="137"/>
      <c r="W14" s="137"/>
      <c r="X14" s="137"/>
      <c r="Y14" s="137"/>
      <c r="Z14" s="137"/>
      <c r="AA14" s="137"/>
    </row>
    <row r="15" spans="1:27" s="138" customFormat="1" ht="57.95" customHeight="1">
      <c r="A15" s="314" t="s">
        <v>315</v>
      </c>
      <c r="B15" s="118" t="s">
        <v>763</v>
      </c>
      <c r="C15" s="311" t="s">
        <v>1526</v>
      </c>
      <c r="D15" s="115">
        <v>45317</v>
      </c>
      <c r="E15" s="271" t="s">
        <v>223</v>
      </c>
      <c r="F15" s="115">
        <v>45418</v>
      </c>
      <c r="G15" s="282"/>
      <c r="H15" s="117" t="s">
        <v>767</v>
      </c>
      <c r="I15" s="285" t="s">
        <v>48</v>
      </c>
      <c r="J15" s="274" t="s">
        <v>328</v>
      </c>
      <c r="K15" s="264" t="s">
        <v>1771</v>
      </c>
      <c r="L15" s="127"/>
      <c r="M15" s="127"/>
      <c r="N15" s="128"/>
      <c r="O15" s="128"/>
      <c r="P15" s="128"/>
      <c r="Q15" s="128"/>
      <c r="R15" s="128"/>
      <c r="S15" s="128"/>
      <c r="T15" s="137"/>
      <c r="U15" s="137"/>
      <c r="V15" s="137"/>
      <c r="W15" s="137"/>
      <c r="X15" s="137"/>
      <c r="Y15" s="137"/>
      <c r="Z15" s="137"/>
      <c r="AA15" s="137"/>
    </row>
    <row r="16" spans="1:27" s="138" customFormat="1" ht="51" customHeight="1">
      <c r="A16" s="268"/>
      <c r="B16" s="104" t="s">
        <v>792</v>
      </c>
      <c r="C16" s="312"/>
      <c r="D16" s="116" t="s">
        <v>591</v>
      </c>
      <c r="E16" s="272"/>
      <c r="F16" s="117" t="s">
        <v>329</v>
      </c>
      <c r="G16" s="282"/>
      <c r="H16" s="117" t="s">
        <v>768</v>
      </c>
      <c r="I16" s="285"/>
      <c r="J16" s="274"/>
      <c r="K16" s="265"/>
      <c r="L16" s="127"/>
      <c r="M16" s="127"/>
      <c r="N16" s="128"/>
      <c r="O16" s="128"/>
      <c r="P16" s="128"/>
      <c r="Q16" s="128"/>
      <c r="R16" s="128"/>
      <c r="S16" s="128"/>
      <c r="T16" s="137"/>
      <c r="U16" s="137"/>
      <c r="V16" s="137"/>
      <c r="W16" s="137"/>
      <c r="X16" s="137"/>
      <c r="Y16" s="137"/>
      <c r="Z16" s="137"/>
      <c r="AA16" s="137"/>
    </row>
    <row r="17" spans="1:27" s="138" customFormat="1" ht="57.95" customHeight="1">
      <c r="A17" s="313" t="s">
        <v>316</v>
      </c>
      <c r="B17" s="118" t="s">
        <v>763</v>
      </c>
      <c r="C17" s="311" t="s">
        <v>1526</v>
      </c>
      <c r="D17" s="115">
        <v>45435</v>
      </c>
      <c r="E17" s="271" t="s">
        <v>330</v>
      </c>
      <c r="F17" s="115">
        <v>45440</v>
      </c>
      <c r="G17" s="282"/>
      <c r="H17" s="117" t="s">
        <v>772</v>
      </c>
      <c r="I17" s="285" t="s">
        <v>48</v>
      </c>
      <c r="J17" s="274" t="s">
        <v>328</v>
      </c>
      <c r="K17" s="264" t="s">
        <v>1654</v>
      </c>
      <c r="L17" s="127"/>
      <c r="M17" s="127"/>
      <c r="N17" s="128"/>
      <c r="O17" s="128"/>
      <c r="P17" s="128"/>
      <c r="Q17" s="128"/>
      <c r="R17" s="128"/>
      <c r="S17" s="128"/>
      <c r="T17" s="137"/>
      <c r="U17" s="137"/>
      <c r="V17" s="137"/>
      <c r="W17" s="137"/>
      <c r="X17" s="137"/>
      <c r="Y17" s="137"/>
      <c r="Z17" s="137"/>
      <c r="AA17" s="137"/>
    </row>
    <row r="18" spans="1:27" s="138" customFormat="1" ht="51" customHeight="1">
      <c r="A18" s="284"/>
      <c r="B18" s="104" t="s">
        <v>792</v>
      </c>
      <c r="C18" s="312"/>
      <c r="D18" s="116" t="s">
        <v>330</v>
      </c>
      <c r="E18" s="272"/>
      <c r="F18" s="117" t="s">
        <v>331</v>
      </c>
      <c r="G18" s="265"/>
      <c r="H18" s="117" t="s">
        <v>773</v>
      </c>
      <c r="I18" s="285"/>
      <c r="J18" s="274"/>
      <c r="K18" s="265"/>
      <c r="L18" s="127"/>
      <c r="M18" s="127"/>
      <c r="N18" s="128"/>
      <c r="O18" s="128"/>
      <c r="P18" s="128"/>
      <c r="Q18" s="128"/>
      <c r="R18" s="128"/>
      <c r="S18" s="128"/>
      <c r="T18" s="137"/>
      <c r="U18" s="137"/>
      <c r="V18" s="137"/>
      <c r="W18" s="137"/>
      <c r="X18" s="137"/>
      <c r="Y18" s="137"/>
      <c r="Z18" s="137"/>
      <c r="AA18" s="137"/>
    </row>
    <row r="19" spans="1:27" s="142" customFormat="1" ht="39.75" customHeight="1">
      <c r="A19" s="260" t="s">
        <v>47</v>
      </c>
      <c r="B19" s="261"/>
      <c r="C19" s="262"/>
      <c r="D19" s="260" t="s">
        <v>1753</v>
      </c>
      <c r="E19" s="261"/>
      <c r="F19" s="261"/>
      <c r="G19" s="262"/>
      <c r="H19" s="260" t="s">
        <v>1755</v>
      </c>
      <c r="I19" s="261"/>
      <c r="J19" s="261"/>
      <c r="K19" s="262"/>
      <c r="M19" s="143"/>
      <c r="N19" s="143"/>
      <c r="O19" s="143"/>
      <c r="P19" s="143"/>
      <c r="Q19" s="143"/>
      <c r="R19" s="143"/>
      <c r="S19" s="143"/>
      <c r="T19" s="143"/>
      <c r="U19" s="143"/>
      <c r="V19" s="143"/>
      <c r="W19" s="143"/>
      <c r="X19" s="143"/>
      <c r="Y19" s="143"/>
      <c r="Z19" s="143"/>
      <c r="AA19" s="143"/>
    </row>
    <row r="20" spans="1:27" s="142" customFormat="1" ht="48.75" customHeight="1">
      <c r="A20" s="263" t="s">
        <v>1147</v>
      </c>
      <c r="B20" s="263"/>
      <c r="C20" s="263"/>
      <c r="D20" s="263"/>
      <c r="E20" s="263"/>
      <c r="F20" s="263"/>
      <c r="G20" s="263"/>
      <c r="H20" s="263"/>
      <c r="I20" s="263"/>
      <c r="J20" s="263"/>
      <c r="K20" s="263"/>
      <c r="M20" s="143"/>
      <c r="N20" s="143"/>
      <c r="O20" s="143"/>
      <c r="P20" s="143"/>
      <c r="Q20" s="143"/>
      <c r="R20" s="143"/>
      <c r="S20" s="143"/>
      <c r="T20" s="143"/>
      <c r="U20" s="143"/>
      <c r="V20" s="143"/>
      <c r="W20" s="143"/>
      <c r="X20" s="143"/>
      <c r="Y20" s="143"/>
      <c r="Z20" s="143"/>
      <c r="AA20" s="143"/>
    </row>
    <row r="21" spans="1:27" s="138" customFormat="1" ht="57.95" customHeight="1">
      <c r="A21" s="313" t="s">
        <v>449</v>
      </c>
      <c r="B21" s="118" t="s">
        <v>763</v>
      </c>
      <c r="C21" s="311" t="s">
        <v>1526</v>
      </c>
      <c r="D21" s="115">
        <v>45463</v>
      </c>
      <c r="E21" s="271" t="s">
        <v>450</v>
      </c>
      <c r="F21" s="115">
        <v>45467</v>
      </c>
      <c r="G21" s="275" t="s">
        <v>1232</v>
      </c>
      <c r="H21" s="117" t="s">
        <v>774</v>
      </c>
      <c r="I21" s="285" t="s">
        <v>48</v>
      </c>
      <c r="J21" s="274" t="s">
        <v>328</v>
      </c>
      <c r="K21" s="264" t="s">
        <v>1656</v>
      </c>
      <c r="L21" s="136"/>
      <c r="M21" s="128"/>
      <c r="N21" s="128"/>
      <c r="O21" s="128"/>
      <c r="P21" s="128"/>
      <c r="Q21" s="128"/>
      <c r="R21" s="128"/>
      <c r="S21" s="128"/>
      <c r="T21" s="137"/>
      <c r="U21" s="137"/>
      <c r="V21" s="137"/>
      <c r="W21" s="137"/>
      <c r="X21" s="137"/>
      <c r="Y21" s="137"/>
      <c r="Z21" s="137"/>
      <c r="AA21" s="137"/>
    </row>
    <row r="22" spans="1:27" s="138" customFormat="1" ht="51" customHeight="1">
      <c r="A22" s="284"/>
      <c r="B22" s="104" t="s">
        <v>792</v>
      </c>
      <c r="C22" s="312"/>
      <c r="D22" s="116" t="s">
        <v>221</v>
      </c>
      <c r="E22" s="272"/>
      <c r="F22" s="117" t="s">
        <v>228</v>
      </c>
      <c r="G22" s="282"/>
      <c r="H22" s="117" t="s">
        <v>775</v>
      </c>
      <c r="I22" s="285"/>
      <c r="J22" s="274"/>
      <c r="K22" s="265"/>
      <c r="L22" s="127"/>
      <c r="M22" s="127"/>
      <c r="N22" s="128"/>
      <c r="O22" s="128"/>
      <c r="P22" s="128"/>
      <c r="Q22" s="128"/>
      <c r="R22" s="128"/>
      <c r="S22" s="128"/>
      <c r="T22" s="137"/>
      <c r="U22" s="137"/>
      <c r="V22" s="137"/>
      <c r="W22" s="137"/>
      <c r="X22" s="137"/>
      <c r="Y22" s="137"/>
      <c r="Z22" s="137"/>
      <c r="AA22" s="137"/>
    </row>
    <row r="23" spans="1:27" s="138" customFormat="1" ht="57.95" customHeight="1">
      <c r="A23" s="313" t="s">
        <v>501</v>
      </c>
      <c r="B23" s="118" t="s">
        <v>763</v>
      </c>
      <c r="C23" s="311" t="s">
        <v>1526</v>
      </c>
      <c r="D23" s="115">
        <v>45518</v>
      </c>
      <c r="E23" s="271" t="s">
        <v>483</v>
      </c>
      <c r="F23" s="115">
        <v>45526</v>
      </c>
      <c r="G23" s="282"/>
      <c r="H23" s="117" t="s">
        <v>779</v>
      </c>
      <c r="I23" s="285" t="s">
        <v>48</v>
      </c>
      <c r="J23" s="274" t="s">
        <v>512</v>
      </c>
      <c r="K23" s="264" t="s">
        <v>1234</v>
      </c>
      <c r="L23" s="136"/>
      <c r="M23" s="128"/>
      <c r="N23" s="128"/>
      <c r="O23" s="128"/>
      <c r="P23" s="128"/>
      <c r="Q23" s="128"/>
      <c r="R23" s="128"/>
      <c r="S23" s="128"/>
      <c r="T23" s="137"/>
      <c r="U23" s="137"/>
      <c r="V23" s="137"/>
      <c r="W23" s="137"/>
      <c r="X23" s="137"/>
      <c r="Y23" s="137"/>
      <c r="Z23" s="137"/>
      <c r="AA23" s="137"/>
    </row>
    <row r="24" spans="1:27" s="138" customFormat="1" ht="51" customHeight="1">
      <c r="A24" s="284"/>
      <c r="B24" s="104" t="s">
        <v>792</v>
      </c>
      <c r="C24" s="312"/>
      <c r="D24" s="116" t="s">
        <v>776</v>
      </c>
      <c r="E24" s="272"/>
      <c r="F24" s="117" t="s">
        <v>777</v>
      </c>
      <c r="G24" s="282"/>
      <c r="H24" s="117" t="s">
        <v>778</v>
      </c>
      <c r="I24" s="285"/>
      <c r="J24" s="274"/>
      <c r="K24" s="265"/>
      <c r="L24" s="127"/>
      <c r="M24" s="127"/>
      <c r="N24" s="128"/>
      <c r="O24" s="128"/>
      <c r="P24" s="128"/>
      <c r="Q24" s="128"/>
      <c r="R24" s="128"/>
      <c r="S24" s="128"/>
      <c r="T24" s="137"/>
      <c r="U24" s="137"/>
      <c r="V24" s="137"/>
      <c r="W24" s="137"/>
      <c r="X24" s="137"/>
      <c r="Y24" s="137"/>
      <c r="Z24" s="137"/>
      <c r="AA24" s="137"/>
    </row>
    <row r="25" spans="1:27" s="138" customFormat="1" ht="57.95" customHeight="1">
      <c r="A25" s="316" t="s">
        <v>503</v>
      </c>
      <c r="B25" s="178" t="s">
        <v>763</v>
      </c>
      <c r="C25" s="311" t="s">
        <v>1526</v>
      </c>
      <c r="D25" s="115">
        <v>45548</v>
      </c>
      <c r="E25" s="271" t="s">
        <v>483</v>
      </c>
      <c r="F25" s="115">
        <v>45554</v>
      </c>
      <c r="G25" s="282"/>
      <c r="H25" s="179" t="s">
        <v>782</v>
      </c>
      <c r="I25" s="266" t="s">
        <v>48</v>
      </c>
      <c r="J25" s="281" t="s">
        <v>506</v>
      </c>
      <c r="K25" s="264" t="s">
        <v>1235</v>
      </c>
      <c r="L25" s="136"/>
      <c r="M25" s="128"/>
      <c r="N25" s="128"/>
      <c r="O25" s="128"/>
      <c r="P25" s="128"/>
      <c r="Q25" s="128"/>
      <c r="R25" s="128"/>
      <c r="S25" s="128"/>
      <c r="T25" s="137"/>
      <c r="U25" s="137"/>
      <c r="V25" s="137"/>
      <c r="W25" s="137"/>
      <c r="X25" s="137"/>
      <c r="Y25" s="137"/>
      <c r="Z25" s="137"/>
      <c r="AA25" s="137"/>
    </row>
    <row r="26" spans="1:27" s="138" customFormat="1" ht="51" customHeight="1">
      <c r="A26" s="284"/>
      <c r="B26" s="104" t="s">
        <v>792</v>
      </c>
      <c r="C26" s="312"/>
      <c r="D26" s="116" t="s">
        <v>780</v>
      </c>
      <c r="E26" s="272"/>
      <c r="F26" s="117" t="s">
        <v>781</v>
      </c>
      <c r="G26" s="282"/>
      <c r="H26" s="117" t="s">
        <v>783</v>
      </c>
      <c r="I26" s="285"/>
      <c r="J26" s="274"/>
      <c r="K26" s="265"/>
      <c r="L26" s="127"/>
      <c r="M26" s="127"/>
      <c r="N26" s="128"/>
      <c r="O26" s="128"/>
      <c r="P26" s="128"/>
      <c r="Q26" s="128"/>
      <c r="R26" s="128"/>
      <c r="S26" s="128"/>
      <c r="T26" s="137"/>
      <c r="U26" s="137"/>
      <c r="V26" s="137"/>
      <c r="W26" s="137"/>
      <c r="X26" s="137"/>
      <c r="Y26" s="137"/>
      <c r="Z26" s="137"/>
      <c r="AA26" s="137"/>
    </row>
    <row r="27" spans="1:27" s="140" customFormat="1" ht="57.95" customHeight="1">
      <c r="A27" s="310" t="s">
        <v>858</v>
      </c>
      <c r="B27" s="118" t="s">
        <v>763</v>
      </c>
      <c r="C27" s="311" t="s">
        <v>1526</v>
      </c>
      <c r="D27" s="115" t="s">
        <v>109</v>
      </c>
      <c r="E27" s="271"/>
      <c r="F27" s="115" t="s">
        <v>109</v>
      </c>
      <c r="G27" s="282"/>
      <c r="H27" s="179" t="s">
        <v>782</v>
      </c>
      <c r="I27" s="285" t="s">
        <v>109</v>
      </c>
      <c r="J27" s="274" t="s">
        <v>109</v>
      </c>
      <c r="K27" s="124" t="s">
        <v>109</v>
      </c>
      <c r="L27" s="136"/>
      <c r="M27" s="128"/>
      <c r="N27" s="128"/>
      <c r="O27" s="128"/>
      <c r="P27" s="128"/>
      <c r="Q27" s="128"/>
      <c r="R27" s="128"/>
      <c r="S27" s="128"/>
      <c r="T27" s="139"/>
      <c r="U27" s="139"/>
      <c r="V27" s="139"/>
      <c r="W27" s="139"/>
      <c r="X27" s="139"/>
      <c r="Y27" s="139"/>
      <c r="Z27" s="139"/>
      <c r="AA27" s="139"/>
    </row>
    <row r="28" spans="1:27" s="140" customFormat="1" ht="51" customHeight="1">
      <c r="A28" s="268"/>
      <c r="B28" s="104" t="s">
        <v>792</v>
      </c>
      <c r="C28" s="312"/>
      <c r="D28" s="116" t="s">
        <v>109</v>
      </c>
      <c r="E28" s="272"/>
      <c r="F28" s="117" t="s">
        <v>109</v>
      </c>
      <c r="G28" s="265"/>
      <c r="H28" s="117" t="s">
        <v>783</v>
      </c>
      <c r="I28" s="285"/>
      <c r="J28" s="274"/>
      <c r="K28" s="124" t="s">
        <v>109</v>
      </c>
      <c r="L28" s="127"/>
      <c r="M28" s="127"/>
      <c r="N28" s="128"/>
      <c r="O28" s="128"/>
      <c r="P28" s="128"/>
      <c r="Q28" s="128"/>
      <c r="R28" s="128"/>
      <c r="S28" s="128"/>
      <c r="T28" s="139"/>
      <c r="U28" s="139"/>
      <c r="V28" s="139"/>
      <c r="W28" s="139"/>
      <c r="X28" s="139"/>
      <c r="Y28" s="139"/>
      <c r="Z28" s="139"/>
      <c r="AA28" s="139"/>
    </row>
    <row r="29" spans="1:27" s="140" customFormat="1" ht="57.95" customHeight="1">
      <c r="A29" s="310" t="s">
        <v>1581</v>
      </c>
      <c r="B29" s="118" t="s">
        <v>763</v>
      </c>
      <c r="C29" s="311" t="s">
        <v>1526</v>
      </c>
      <c r="D29" s="115" t="s">
        <v>109</v>
      </c>
      <c r="E29" s="271"/>
      <c r="F29" s="115" t="s">
        <v>109</v>
      </c>
      <c r="G29" s="180"/>
      <c r="H29" s="179" t="s">
        <v>782</v>
      </c>
      <c r="I29" s="285" t="s">
        <v>109</v>
      </c>
      <c r="J29" s="274" t="s">
        <v>109</v>
      </c>
      <c r="K29" s="124" t="s">
        <v>109</v>
      </c>
      <c r="L29" s="136"/>
      <c r="M29" s="128"/>
      <c r="N29" s="128"/>
      <c r="O29" s="128"/>
      <c r="P29" s="128"/>
      <c r="Q29" s="128"/>
      <c r="R29" s="128"/>
      <c r="S29" s="128"/>
      <c r="T29" s="139"/>
      <c r="U29" s="139"/>
      <c r="V29" s="139"/>
      <c r="W29" s="139"/>
      <c r="X29" s="139"/>
      <c r="Y29" s="139"/>
      <c r="Z29" s="139"/>
      <c r="AA29" s="139"/>
    </row>
    <row r="30" spans="1:27" s="140" customFormat="1" ht="51" customHeight="1">
      <c r="A30" s="268"/>
      <c r="B30" s="104" t="s">
        <v>792</v>
      </c>
      <c r="C30" s="312"/>
      <c r="D30" s="116" t="s">
        <v>109</v>
      </c>
      <c r="E30" s="272"/>
      <c r="F30" s="117" t="s">
        <v>109</v>
      </c>
      <c r="G30" s="180"/>
      <c r="H30" s="117" t="s">
        <v>783</v>
      </c>
      <c r="I30" s="285"/>
      <c r="J30" s="274"/>
      <c r="K30" s="124" t="s">
        <v>109</v>
      </c>
      <c r="L30" s="127"/>
      <c r="M30" s="127"/>
      <c r="N30" s="128"/>
      <c r="O30" s="128"/>
      <c r="P30" s="128"/>
      <c r="Q30" s="128"/>
      <c r="R30" s="128"/>
      <c r="S30" s="128"/>
      <c r="T30" s="139"/>
      <c r="U30" s="139"/>
      <c r="V30" s="139"/>
      <c r="W30" s="139"/>
      <c r="X30" s="139"/>
      <c r="Y30" s="139"/>
      <c r="Z30" s="139"/>
      <c r="AA30" s="139"/>
    </row>
    <row r="31" spans="1:27" s="142" customFormat="1" ht="39.75" customHeight="1">
      <c r="A31" s="260" t="s">
        <v>47</v>
      </c>
      <c r="B31" s="261"/>
      <c r="C31" s="262"/>
      <c r="D31" s="260" t="s">
        <v>1753</v>
      </c>
      <c r="E31" s="261"/>
      <c r="F31" s="261"/>
      <c r="G31" s="262"/>
      <c r="H31" s="260" t="s">
        <v>1755</v>
      </c>
      <c r="I31" s="261"/>
      <c r="J31" s="261"/>
      <c r="K31" s="262"/>
      <c r="M31" s="143"/>
      <c r="N31" s="143"/>
      <c r="O31" s="143"/>
      <c r="P31" s="143"/>
      <c r="Q31" s="143"/>
      <c r="R31" s="143"/>
      <c r="S31" s="143"/>
      <c r="T31" s="143"/>
      <c r="U31" s="143"/>
      <c r="V31" s="143"/>
      <c r="W31" s="143"/>
      <c r="X31" s="143"/>
      <c r="Y31" s="143"/>
      <c r="Z31" s="143"/>
      <c r="AA31" s="143"/>
    </row>
    <row r="32" spans="1:27" s="142" customFormat="1" ht="48.75" customHeight="1">
      <c r="A32" s="263" t="s">
        <v>1147</v>
      </c>
      <c r="B32" s="263"/>
      <c r="C32" s="263"/>
      <c r="D32" s="263"/>
      <c r="E32" s="263"/>
      <c r="F32" s="263"/>
      <c r="G32" s="263"/>
      <c r="H32" s="263"/>
      <c r="I32" s="263"/>
      <c r="J32" s="263"/>
      <c r="K32" s="263"/>
      <c r="M32" s="143"/>
      <c r="N32" s="143"/>
      <c r="O32" s="143"/>
      <c r="P32" s="143"/>
      <c r="Q32" s="143"/>
      <c r="R32" s="143"/>
      <c r="S32" s="143"/>
      <c r="T32" s="143"/>
      <c r="U32" s="143"/>
      <c r="V32" s="143"/>
      <c r="W32" s="143"/>
      <c r="X32" s="143"/>
      <c r="Y32" s="143"/>
      <c r="Z32" s="143"/>
      <c r="AA32" s="143"/>
    </row>
  </sheetData>
  <mergeCells count="86">
    <mergeCell ref="K7:K8"/>
    <mergeCell ref="K9:K10"/>
    <mergeCell ref="K11:K12"/>
    <mergeCell ref="K13:K14"/>
    <mergeCell ref="K15:K1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J5:J6"/>
    <mergeCell ref="A1:K1"/>
    <mergeCell ref="A2:K2"/>
    <mergeCell ref="A3:G3"/>
    <mergeCell ref="H3:K3"/>
    <mergeCell ref="A4:G4"/>
    <mergeCell ref="H4:K4"/>
    <mergeCell ref="A5:A6"/>
    <mergeCell ref="C5:C6"/>
    <mergeCell ref="E5:E6"/>
    <mergeCell ref="G5:G6"/>
    <mergeCell ref="I5:I6"/>
    <mergeCell ref="A11:A12"/>
    <mergeCell ref="J13:J14"/>
    <mergeCell ref="C11:C12"/>
    <mergeCell ref="E11:E12"/>
    <mergeCell ref="I11:I12"/>
    <mergeCell ref="J11:J12"/>
    <mergeCell ref="E13:E14"/>
    <mergeCell ref="I13:I14"/>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32:K32"/>
    <mergeCell ref="A27:A28"/>
    <mergeCell ref="C27:C28"/>
    <mergeCell ref="E27:E28"/>
    <mergeCell ref="I27:I28"/>
    <mergeCell ref="J27:J28"/>
    <mergeCell ref="A31:C31"/>
    <mergeCell ref="D31:G31"/>
    <mergeCell ref="H31:K31"/>
    <mergeCell ref="A29:A30"/>
    <mergeCell ref="C29:C30"/>
    <mergeCell ref="E29:E30"/>
    <mergeCell ref="I29:I30"/>
    <mergeCell ref="J29:J30"/>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30"/>
  <sheetViews>
    <sheetView view="pageBreakPreview" zoomScale="85" zoomScaleNormal="100" zoomScaleSheetLayoutView="85" zoomScalePageLayoutView="85" workbookViewId="0">
      <pane xSplit="1" ySplit="6" topLeftCell="B25" activePane="bottomRight" state="frozen"/>
      <selection activeCell="U14" sqref="U14"/>
      <selection pane="topRight" activeCell="U14" sqref="U14"/>
      <selection pane="bottomLeft" activeCell="U14" sqref="U14"/>
      <selection pane="bottomRight" activeCell="F7" sqref="F7:F16"/>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6" width="9" style="128"/>
    <col min="17" max="17" width="13.375" style="128" bestFit="1" customWidth="1"/>
    <col min="18"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86" t="s">
        <v>1592</v>
      </c>
      <c r="B1" s="286"/>
      <c r="C1" s="286"/>
      <c r="D1" s="286"/>
      <c r="E1" s="286"/>
      <c r="F1" s="286"/>
      <c r="G1" s="286"/>
      <c r="H1" s="286"/>
      <c r="I1" s="286"/>
      <c r="J1" s="286"/>
    </row>
    <row r="2" spans="1:26" ht="21.75" customHeight="1">
      <c r="A2" s="301" t="s">
        <v>0</v>
      </c>
      <c r="B2" s="301"/>
      <c r="C2" s="301"/>
      <c r="D2" s="301"/>
      <c r="E2" s="301"/>
      <c r="F2" s="301"/>
      <c r="G2" s="301"/>
      <c r="H2" s="301"/>
      <c r="I2" s="301"/>
      <c r="J2" s="301"/>
    </row>
    <row r="3" spans="1:26" s="167" customFormat="1" ht="16.5" customHeight="1">
      <c r="A3" s="260" t="str">
        <f>"工程名稱:"&amp;'1.計畫'!A1:I1</f>
        <v>工程名稱:磺港溪再造C段護岸及步道整建工程（延壽橋至三合橋）</v>
      </c>
      <c r="B3" s="287"/>
      <c r="C3" s="287"/>
      <c r="D3" s="287"/>
      <c r="E3" s="287"/>
      <c r="F3" s="288"/>
      <c r="G3" s="260" t="s">
        <v>83</v>
      </c>
      <c r="H3" s="287"/>
      <c r="I3" s="287"/>
      <c r="J3" s="288"/>
      <c r="K3" s="164"/>
      <c r="L3" s="165"/>
      <c r="M3" s="165"/>
      <c r="N3" s="165"/>
      <c r="O3" s="165"/>
      <c r="P3" s="165"/>
      <c r="Q3" s="165"/>
      <c r="R3" s="165"/>
      <c r="S3" s="166"/>
      <c r="T3" s="166"/>
      <c r="U3" s="166"/>
      <c r="V3" s="166"/>
      <c r="W3" s="166"/>
      <c r="X3" s="166"/>
      <c r="Y3" s="166"/>
      <c r="Z3" s="166"/>
    </row>
    <row r="4" spans="1:26" s="167" customFormat="1" ht="16.5" customHeight="1">
      <c r="A4" s="260" t="s">
        <v>1155</v>
      </c>
      <c r="B4" s="287"/>
      <c r="C4" s="287"/>
      <c r="D4" s="287"/>
      <c r="E4" s="287"/>
      <c r="F4" s="288"/>
      <c r="G4" s="260" t="s">
        <v>1156</v>
      </c>
      <c r="H4" s="287"/>
      <c r="I4" s="287"/>
      <c r="J4" s="288"/>
      <c r="K4" s="164"/>
      <c r="L4" s="165"/>
      <c r="M4" s="165"/>
      <c r="N4" s="165"/>
      <c r="O4" s="165"/>
      <c r="P4" s="165"/>
      <c r="Q4" s="165"/>
      <c r="R4" s="165"/>
      <c r="S4" s="166"/>
      <c r="T4" s="166"/>
      <c r="U4" s="166"/>
      <c r="V4" s="166"/>
      <c r="W4" s="166"/>
      <c r="X4" s="166"/>
      <c r="Y4" s="166"/>
      <c r="Z4" s="166"/>
    </row>
    <row r="5" spans="1:26" s="167" customFormat="1" ht="56.25" customHeight="1">
      <c r="A5" s="278" t="s">
        <v>1</v>
      </c>
      <c r="B5" s="131" t="s">
        <v>1157</v>
      </c>
      <c r="C5" s="278" t="s">
        <v>1158</v>
      </c>
      <c r="D5" s="131" t="s">
        <v>1159</v>
      </c>
      <c r="E5" s="131" t="s">
        <v>1161</v>
      </c>
      <c r="F5" s="278" t="s">
        <v>1162</v>
      </c>
      <c r="G5" s="131" t="s">
        <v>1163</v>
      </c>
      <c r="H5" s="278" t="s">
        <v>1164</v>
      </c>
      <c r="I5" s="278" t="s">
        <v>1165</v>
      </c>
      <c r="J5" s="132" t="s">
        <v>1166</v>
      </c>
      <c r="K5" s="164"/>
      <c r="L5" s="165"/>
      <c r="M5" s="165"/>
      <c r="N5" s="165"/>
      <c r="O5" s="165"/>
      <c r="P5" s="165"/>
      <c r="Q5" s="165">
        <f>360.68*2.3</f>
        <v>829.56399999999996</v>
      </c>
      <c r="R5" s="165"/>
      <c r="S5" s="166"/>
      <c r="T5" s="166"/>
      <c r="U5" s="166"/>
      <c r="V5" s="166"/>
      <c r="W5" s="166"/>
      <c r="X5" s="166"/>
      <c r="Y5" s="166"/>
      <c r="Z5" s="166"/>
    </row>
    <row r="6" spans="1:26" s="167" customFormat="1" ht="56.25" customHeight="1">
      <c r="A6" s="279"/>
      <c r="B6" s="131" t="s">
        <v>1167</v>
      </c>
      <c r="C6" s="279"/>
      <c r="D6" s="131" t="s">
        <v>1160</v>
      </c>
      <c r="E6" s="131" t="s">
        <v>1168</v>
      </c>
      <c r="F6" s="279"/>
      <c r="G6" s="133" t="s">
        <v>1169</v>
      </c>
      <c r="H6" s="279"/>
      <c r="I6" s="279"/>
      <c r="J6" s="134" t="s">
        <v>1170</v>
      </c>
      <c r="K6" s="164"/>
      <c r="L6" s="165"/>
      <c r="M6" s="165">
        <v>2.3780000000000001</v>
      </c>
      <c r="N6" s="165">
        <v>2.2999999999999998</v>
      </c>
      <c r="O6" s="165"/>
      <c r="P6" s="165"/>
      <c r="Q6" s="165"/>
      <c r="R6" s="165"/>
      <c r="S6" s="166"/>
      <c r="T6" s="166"/>
      <c r="U6" s="166"/>
      <c r="V6" s="166"/>
      <c r="W6" s="166"/>
      <c r="X6" s="166"/>
      <c r="Y6" s="166"/>
      <c r="Z6" s="166"/>
    </row>
    <row r="7" spans="1:26" s="167" customFormat="1" ht="51" customHeight="1">
      <c r="A7" s="276" t="s">
        <v>1171</v>
      </c>
      <c r="B7" s="126" t="s">
        <v>1172</v>
      </c>
      <c r="C7" s="280" t="s">
        <v>1801</v>
      </c>
      <c r="D7" s="115">
        <v>45593</v>
      </c>
      <c r="E7" s="115">
        <f>D7</f>
        <v>45593</v>
      </c>
      <c r="F7" s="278" t="s">
        <v>1173</v>
      </c>
      <c r="G7" s="117" t="s">
        <v>718</v>
      </c>
      <c r="H7" s="264" t="s">
        <v>1174</v>
      </c>
      <c r="I7" s="274" t="s">
        <v>594</v>
      </c>
      <c r="J7" s="264" t="s">
        <v>1199</v>
      </c>
      <c r="K7" s="168">
        <f>L7/$M$6</f>
        <v>33.641715727502103</v>
      </c>
      <c r="L7" s="165">
        <v>80</v>
      </c>
      <c r="M7" s="165">
        <f>K7</f>
        <v>33.641715727502103</v>
      </c>
      <c r="N7" s="165">
        <v>80</v>
      </c>
      <c r="O7" s="165"/>
      <c r="P7" s="165"/>
      <c r="Q7" s="165"/>
      <c r="R7" s="165"/>
      <c r="S7" s="166"/>
      <c r="T7" s="166"/>
      <c r="U7" s="166"/>
      <c r="V7" s="166"/>
      <c r="W7" s="166"/>
      <c r="X7" s="166"/>
      <c r="Y7" s="166"/>
      <c r="Z7" s="166"/>
    </row>
    <row r="8" spans="1:26" s="167" customFormat="1" ht="67.5" customHeight="1">
      <c r="A8" s="277"/>
      <c r="B8" s="174" t="s">
        <v>1175</v>
      </c>
      <c r="C8" s="281"/>
      <c r="D8" s="116" t="s">
        <v>718</v>
      </c>
      <c r="E8" s="117" t="s">
        <v>719</v>
      </c>
      <c r="F8" s="299"/>
      <c r="G8" s="117" t="s">
        <v>719</v>
      </c>
      <c r="H8" s="266"/>
      <c r="I8" s="274"/>
      <c r="J8" s="282"/>
      <c r="K8" s="164"/>
      <c r="L8" s="164"/>
      <c r="M8" s="165"/>
      <c r="N8" s="165"/>
      <c r="O8" s="165"/>
      <c r="P8" s="165"/>
      <c r="Q8" s="165"/>
      <c r="R8" s="165"/>
      <c r="S8" s="166"/>
      <c r="T8" s="166"/>
      <c r="U8" s="166"/>
      <c r="V8" s="166"/>
      <c r="W8" s="166"/>
      <c r="X8" s="166"/>
      <c r="Y8" s="166"/>
      <c r="Z8" s="166"/>
    </row>
    <row r="9" spans="1:26" s="167" customFormat="1" ht="51" customHeight="1">
      <c r="A9" s="276" t="s">
        <v>828</v>
      </c>
      <c r="B9" s="126" t="s">
        <v>1176</v>
      </c>
      <c r="C9" s="280" t="s">
        <v>1801</v>
      </c>
      <c r="D9" s="115">
        <v>45620</v>
      </c>
      <c r="E9" s="115">
        <f>D9</f>
        <v>45620</v>
      </c>
      <c r="F9" s="299"/>
      <c r="G9" s="117" t="s">
        <v>1714</v>
      </c>
      <c r="H9" s="264" t="s">
        <v>1593</v>
      </c>
      <c r="I9" s="274" t="s">
        <v>1227</v>
      </c>
      <c r="J9" s="264" t="s">
        <v>1187</v>
      </c>
      <c r="K9" s="168">
        <f>L9/$M$6</f>
        <v>84.104289318755249</v>
      </c>
      <c r="L9" s="165">
        <v>200</v>
      </c>
      <c r="M9" s="165">
        <f>M7+K9</f>
        <v>117.74600504625735</v>
      </c>
      <c r="N9" s="165">
        <f>N7+L9</f>
        <v>280</v>
      </c>
      <c r="O9" s="165"/>
      <c r="P9" s="165"/>
      <c r="Q9" s="165"/>
      <c r="R9" s="165"/>
      <c r="S9" s="166"/>
      <c r="T9" s="166"/>
      <c r="U9" s="166"/>
      <c r="V9" s="166"/>
      <c r="W9" s="166"/>
      <c r="X9" s="166"/>
      <c r="Y9" s="166"/>
      <c r="Z9" s="166"/>
    </row>
    <row r="10" spans="1:26" s="167" customFormat="1" ht="67.5" customHeight="1">
      <c r="A10" s="277"/>
      <c r="B10" s="174" t="s">
        <v>1175</v>
      </c>
      <c r="C10" s="281"/>
      <c r="D10" s="116" t="s">
        <v>720</v>
      </c>
      <c r="E10" s="117" t="s">
        <v>721</v>
      </c>
      <c r="F10" s="299"/>
      <c r="G10" s="117" t="s">
        <v>1715</v>
      </c>
      <c r="H10" s="266"/>
      <c r="I10" s="274"/>
      <c r="J10" s="282"/>
      <c r="K10" s="164"/>
      <c r="L10" s="164"/>
      <c r="M10" s="165"/>
      <c r="N10" s="165"/>
      <c r="O10" s="165"/>
      <c r="P10" s="165"/>
      <c r="Q10" s="165"/>
      <c r="R10" s="165"/>
      <c r="S10" s="166"/>
      <c r="T10" s="166"/>
      <c r="U10" s="166"/>
      <c r="V10" s="166"/>
      <c r="W10" s="166"/>
      <c r="X10" s="166"/>
      <c r="Y10" s="166"/>
      <c r="Z10" s="166"/>
    </row>
    <row r="11" spans="1:26" s="167" customFormat="1" ht="51" customHeight="1">
      <c r="A11" s="310" t="s">
        <v>1177</v>
      </c>
      <c r="B11" s="123" t="s">
        <v>1176</v>
      </c>
      <c r="C11" s="280" t="s">
        <v>1801</v>
      </c>
      <c r="D11" s="115">
        <v>45765</v>
      </c>
      <c r="E11" s="115">
        <f>D11</f>
        <v>45765</v>
      </c>
      <c r="F11" s="299"/>
      <c r="G11" s="116" t="s">
        <v>1716</v>
      </c>
      <c r="H11" s="264" t="s">
        <v>1174</v>
      </c>
      <c r="I11" s="274" t="s">
        <v>594</v>
      </c>
      <c r="J11" s="264" t="s">
        <v>1178</v>
      </c>
      <c r="K11" s="168">
        <f>L11/$M$6</f>
        <v>82.001682085786371</v>
      </c>
      <c r="L11" s="165">
        <v>195</v>
      </c>
      <c r="M11" s="165">
        <f>M9+K11</f>
        <v>199.74768713204372</v>
      </c>
      <c r="N11" s="165">
        <f>N9+L11</f>
        <v>475</v>
      </c>
      <c r="O11" s="165"/>
      <c r="P11" s="165"/>
      <c r="Q11" s="165"/>
      <c r="R11" s="165"/>
      <c r="S11" s="166"/>
      <c r="T11" s="166"/>
      <c r="U11" s="166"/>
      <c r="V11" s="166"/>
      <c r="W11" s="166"/>
      <c r="X11" s="166"/>
      <c r="Y11" s="166"/>
      <c r="Z11" s="166"/>
    </row>
    <row r="12" spans="1:26" s="167" customFormat="1" ht="67.5" customHeight="1">
      <c r="A12" s="268"/>
      <c r="B12" s="102" t="s">
        <v>797</v>
      </c>
      <c r="C12" s="281"/>
      <c r="D12" s="116" t="s">
        <v>976</v>
      </c>
      <c r="E12" s="117" t="s">
        <v>977</v>
      </c>
      <c r="F12" s="299"/>
      <c r="G12" s="116" t="s">
        <v>1717</v>
      </c>
      <c r="H12" s="266"/>
      <c r="I12" s="274"/>
      <c r="J12" s="298"/>
      <c r="K12" s="164"/>
      <c r="L12" s="164"/>
      <c r="M12" s="165"/>
      <c r="N12" s="165"/>
      <c r="O12" s="165"/>
      <c r="P12" s="165"/>
      <c r="Q12" s="165"/>
      <c r="R12" s="165"/>
      <c r="S12" s="166"/>
      <c r="T12" s="166"/>
      <c r="U12" s="166"/>
      <c r="V12" s="166"/>
      <c r="W12" s="166"/>
      <c r="X12" s="166"/>
      <c r="Y12" s="166"/>
      <c r="Z12" s="166"/>
    </row>
    <row r="13" spans="1:26" s="167" customFormat="1" ht="51" customHeight="1">
      <c r="A13" s="310" t="s">
        <v>1179</v>
      </c>
      <c r="B13" s="123" t="s">
        <v>1176</v>
      </c>
      <c r="C13" s="280" t="s">
        <v>1801</v>
      </c>
      <c r="D13" s="115">
        <v>45774</v>
      </c>
      <c r="E13" s="115">
        <v>45774</v>
      </c>
      <c r="F13" s="299"/>
      <c r="G13" s="116" t="s">
        <v>1718</v>
      </c>
      <c r="H13" s="264" t="s">
        <v>1174</v>
      </c>
      <c r="I13" s="274" t="s">
        <v>1228</v>
      </c>
      <c r="J13" s="264" t="s">
        <v>1180</v>
      </c>
      <c r="K13" s="168">
        <f>L13/$M$6</f>
        <v>32.464255677039532</v>
      </c>
      <c r="L13" s="165">
        <v>77.2</v>
      </c>
      <c r="M13" s="165">
        <f>M11+K13</f>
        <v>232.21194280908327</v>
      </c>
      <c r="N13" s="165">
        <f>N11+L13</f>
        <v>552.20000000000005</v>
      </c>
      <c r="O13" s="165"/>
      <c r="P13" s="165"/>
      <c r="Q13" s="165"/>
      <c r="R13" s="165"/>
      <c r="S13" s="166"/>
      <c r="T13" s="166"/>
      <c r="U13" s="166"/>
      <c r="V13" s="166"/>
      <c r="W13" s="166"/>
      <c r="X13" s="166"/>
      <c r="Y13" s="166"/>
      <c r="Z13" s="166"/>
    </row>
    <row r="14" spans="1:26" s="167" customFormat="1" ht="67.5" customHeight="1">
      <c r="A14" s="268"/>
      <c r="B14" s="102" t="s">
        <v>797</v>
      </c>
      <c r="C14" s="281"/>
      <c r="D14" s="116" t="s">
        <v>1000</v>
      </c>
      <c r="E14" s="117" t="s">
        <v>1001</v>
      </c>
      <c r="F14" s="299"/>
      <c r="G14" s="116" t="s">
        <v>1719</v>
      </c>
      <c r="H14" s="266"/>
      <c r="I14" s="274"/>
      <c r="J14" s="298"/>
      <c r="K14" s="164"/>
      <c r="L14" s="164"/>
      <c r="M14" s="165"/>
      <c r="N14" s="165"/>
      <c r="O14" s="165"/>
      <c r="P14" s="165"/>
      <c r="Q14" s="165"/>
      <c r="R14" s="165"/>
      <c r="S14" s="166"/>
      <c r="T14" s="166"/>
      <c r="U14" s="166"/>
      <c r="V14" s="166"/>
      <c r="W14" s="166"/>
      <c r="X14" s="166"/>
      <c r="Y14" s="166"/>
      <c r="Z14" s="166"/>
    </row>
    <row r="15" spans="1:26" s="167" customFormat="1" ht="51" customHeight="1">
      <c r="A15" s="310" t="s">
        <v>1496</v>
      </c>
      <c r="B15" s="123" t="s">
        <v>1172</v>
      </c>
      <c r="C15" s="280" t="s">
        <v>1801</v>
      </c>
      <c r="D15" s="115">
        <v>45920</v>
      </c>
      <c r="E15" s="115">
        <v>45920</v>
      </c>
      <c r="F15" s="299"/>
      <c r="G15" s="116" t="s">
        <v>1720</v>
      </c>
      <c r="H15" s="264" t="s">
        <v>48</v>
      </c>
      <c r="I15" s="274" t="s">
        <v>1497</v>
      </c>
      <c r="J15" s="264" t="s">
        <v>1663</v>
      </c>
      <c r="K15" s="168">
        <f>L15/$N$6</f>
        <v>86.130434782608702</v>
      </c>
      <c r="L15" s="165">
        <v>198.1</v>
      </c>
      <c r="M15" s="165">
        <f>M13+K15</f>
        <v>318.34237759169196</v>
      </c>
      <c r="N15" s="165">
        <f>N13+L15</f>
        <v>750.30000000000007</v>
      </c>
      <c r="O15" s="165"/>
      <c r="P15" s="165"/>
      <c r="Q15" s="165"/>
      <c r="R15" s="165"/>
      <c r="S15" s="166"/>
      <c r="T15" s="166"/>
      <c r="U15" s="166"/>
      <c r="V15" s="166"/>
      <c r="W15" s="166"/>
      <c r="X15" s="166"/>
      <c r="Y15" s="166"/>
      <c r="Z15" s="166"/>
    </row>
    <row r="16" spans="1:26" s="167" customFormat="1" ht="67.5" customHeight="1">
      <c r="A16" s="268"/>
      <c r="B16" s="102" t="s">
        <v>797</v>
      </c>
      <c r="C16" s="281"/>
      <c r="D16" s="116" t="s">
        <v>1632</v>
      </c>
      <c r="E16" s="117" t="s">
        <v>1633</v>
      </c>
      <c r="F16" s="279"/>
      <c r="G16" s="116" t="s">
        <v>1721</v>
      </c>
      <c r="H16" s="266"/>
      <c r="I16" s="274"/>
      <c r="J16" s="282"/>
      <c r="K16" s="164"/>
      <c r="L16" s="164"/>
      <c r="M16" s="165"/>
      <c r="N16" s="165"/>
      <c r="O16" s="165"/>
      <c r="P16" s="165"/>
      <c r="Q16" s="165"/>
      <c r="R16" s="165"/>
      <c r="S16" s="166"/>
      <c r="T16" s="166"/>
      <c r="U16" s="166"/>
      <c r="V16" s="166"/>
      <c r="W16" s="166"/>
      <c r="X16" s="166"/>
      <c r="Y16" s="166"/>
      <c r="Z16" s="166"/>
    </row>
    <row r="17" spans="1:26" s="142" customFormat="1" ht="49.5" customHeight="1">
      <c r="A17" s="260" t="s">
        <v>47</v>
      </c>
      <c r="B17" s="261"/>
      <c r="C17" s="262"/>
      <c r="D17" s="260" t="s">
        <v>1753</v>
      </c>
      <c r="E17" s="261"/>
      <c r="F17" s="262"/>
      <c r="G17" s="260" t="s">
        <v>1755</v>
      </c>
      <c r="H17" s="261"/>
      <c r="I17" s="261"/>
      <c r="J17" s="262"/>
      <c r="L17" s="143"/>
      <c r="M17" s="143"/>
      <c r="N17" s="143"/>
      <c r="O17" s="143"/>
      <c r="P17" s="143"/>
      <c r="Q17" s="143"/>
      <c r="R17" s="143"/>
      <c r="S17" s="143"/>
      <c r="T17" s="143"/>
      <c r="U17" s="143"/>
      <c r="V17" s="143"/>
      <c r="W17" s="143"/>
      <c r="X17" s="143"/>
      <c r="Y17" s="143"/>
      <c r="Z17" s="143"/>
    </row>
    <row r="18" spans="1:26" s="142" customFormat="1" ht="99" customHeight="1">
      <c r="A18" s="263" t="s">
        <v>1147</v>
      </c>
      <c r="B18" s="263"/>
      <c r="C18" s="263"/>
      <c r="D18" s="263"/>
      <c r="E18" s="263"/>
      <c r="F18" s="263"/>
      <c r="G18" s="263"/>
      <c r="H18" s="263"/>
      <c r="I18" s="263"/>
      <c r="J18" s="263"/>
      <c r="L18" s="143"/>
      <c r="M18" s="143"/>
      <c r="N18" s="143"/>
      <c r="O18" s="143"/>
      <c r="P18" s="143"/>
      <c r="Q18" s="143"/>
      <c r="R18" s="143"/>
      <c r="S18" s="143"/>
      <c r="T18" s="143"/>
      <c r="U18" s="143"/>
      <c r="V18" s="143"/>
      <c r="W18" s="143"/>
      <c r="X18" s="143"/>
      <c r="Y18" s="143"/>
      <c r="Z18" s="143"/>
    </row>
    <row r="19" spans="1:26" s="167" customFormat="1" ht="51" customHeight="1">
      <c r="A19" s="310" t="s">
        <v>1500</v>
      </c>
      <c r="B19" s="123" t="s">
        <v>1172</v>
      </c>
      <c r="C19" s="280" t="s">
        <v>1801</v>
      </c>
      <c r="D19" s="115">
        <v>45920</v>
      </c>
      <c r="E19" s="115">
        <v>45920</v>
      </c>
      <c r="F19" s="146"/>
      <c r="G19" s="116" t="s">
        <v>1722</v>
      </c>
      <c r="H19" s="264" t="s">
        <v>48</v>
      </c>
      <c r="I19" s="274" t="s">
        <v>1497</v>
      </c>
      <c r="J19" s="264" t="s">
        <v>1662</v>
      </c>
      <c r="K19" s="176">
        <f>L19/$N$6</f>
        <v>27.000000000000004</v>
      </c>
      <c r="L19" s="165">
        <v>62.1</v>
      </c>
      <c r="M19" s="177">
        <f>M15+K19</f>
        <v>345.34237759169196</v>
      </c>
      <c r="N19" s="165">
        <f>N15+L19</f>
        <v>812.40000000000009</v>
      </c>
      <c r="O19" s="165"/>
      <c r="P19" s="165"/>
      <c r="Q19" s="165"/>
      <c r="R19" s="165"/>
      <c r="S19" s="166"/>
      <c r="T19" s="166"/>
      <c r="U19" s="166"/>
      <c r="V19" s="166"/>
      <c r="W19" s="166"/>
      <c r="X19" s="166"/>
      <c r="Y19" s="166"/>
      <c r="Z19" s="166"/>
    </row>
    <row r="20" spans="1:26" s="167" customFormat="1" ht="67.5" customHeight="1">
      <c r="A20" s="268"/>
      <c r="B20" s="102" t="s">
        <v>797</v>
      </c>
      <c r="C20" s="281"/>
      <c r="D20" s="116" t="s">
        <v>1634</v>
      </c>
      <c r="E20" s="116" t="s">
        <v>1635</v>
      </c>
      <c r="F20" s="146"/>
      <c r="G20" s="116" t="s">
        <v>1723</v>
      </c>
      <c r="H20" s="266"/>
      <c r="I20" s="274"/>
      <c r="J20" s="282"/>
      <c r="K20" s="164"/>
      <c r="L20" s="164"/>
      <c r="M20" s="165"/>
      <c r="N20" s="165"/>
      <c r="O20" s="165"/>
      <c r="P20" s="165"/>
      <c r="Q20" s="165"/>
      <c r="R20" s="165"/>
      <c r="S20" s="166"/>
      <c r="T20" s="166"/>
      <c r="U20" s="166"/>
      <c r="V20" s="166"/>
      <c r="W20" s="166"/>
      <c r="X20" s="166"/>
      <c r="Y20" s="166"/>
      <c r="Z20" s="166"/>
    </row>
    <row r="21" spans="1:26" s="167" customFormat="1" ht="51" customHeight="1">
      <c r="A21" s="319" t="s">
        <v>1501</v>
      </c>
      <c r="B21" s="123" t="s">
        <v>1172</v>
      </c>
      <c r="C21" s="280" t="s">
        <v>1801</v>
      </c>
      <c r="D21" s="115">
        <v>45921</v>
      </c>
      <c r="E21" s="115">
        <v>45921</v>
      </c>
      <c r="F21" s="299" t="s">
        <v>1173</v>
      </c>
      <c r="G21" s="116" t="s">
        <v>1724</v>
      </c>
      <c r="H21" s="264" t="s">
        <v>48</v>
      </c>
      <c r="I21" s="274" t="s">
        <v>1497</v>
      </c>
      <c r="J21" s="264" t="s">
        <v>1661</v>
      </c>
      <c r="K21" s="168">
        <f>L21/$N$6</f>
        <v>43.57826086956522</v>
      </c>
      <c r="L21" s="165">
        <v>100.23</v>
      </c>
      <c r="M21" s="177">
        <f>M19+K21</f>
        <v>388.92063846125717</v>
      </c>
      <c r="N21" s="165">
        <f>N19+L21</f>
        <v>912.63000000000011</v>
      </c>
      <c r="O21" s="165"/>
      <c r="P21" s="165"/>
      <c r="Q21" s="165"/>
      <c r="R21" s="165"/>
      <c r="S21" s="166"/>
      <c r="T21" s="166"/>
      <c r="U21" s="166"/>
      <c r="V21" s="166"/>
      <c r="W21" s="166"/>
      <c r="X21" s="166"/>
      <c r="Y21" s="166"/>
      <c r="Z21" s="166"/>
    </row>
    <row r="22" spans="1:26" s="167" customFormat="1" ht="67.5" customHeight="1">
      <c r="A22" s="320"/>
      <c r="B22" s="102" t="s">
        <v>797</v>
      </c>
      <c r="C22" s="281"/>
      <c r="D22" s="116" t="s">
        <v>1636</v>
      </c>
      <c r="E22" s="116" t="s">
        <v>1637</v>
      </c>
      <c r="F22" s="299"/>
      <c r="G22" s="116" t="s">
        <v>1725</v>
      </c>
      <c r="H22" s="266"/>
      <c r="I22" s="274"/>
      <c r="J22" s="282"/>
      <c r="K22" s="164"/>
      <c r="L22" s="164"/>
      <c r="M22" s="165"/>
      <c r="N22" s="165"/>
      <c r="O22" s="165"/>
      <c r="P22" s="165"/>
      <c r="Q22" s="165"/>
      <c r="R22" s="165"/>
      <c r="S22" s="166"/>
      <c r="T22" s="166"/>
      <c r="U22" s="166"/>
      <c r="V22" s="166"/>
      <c r="W22" s="166"/>
      <c r="X22" s="166"/>
      <c r="Y22" s="166"/>
      <c r="Z22" s="166"/>
    </row>
    <row r="23" spans="1:26" s="167" customFormat="1" ht="51" customHeight="1">
      <c r="A23" s="319" t="s">
        <v>1502</v>
      </c>
      <c r="B23" s="123" t="s">
        <v>1172</v>
      </c>
      <c r="C23" s="280" t="s">
        <v>1801</v>
      </c>
      <c r="D23" s="115">
        <v>45921</v>
      </c>
      <c r="E23" s="115">
        <v>45921</v>
      </c>
      <c r="F23" s="299"/>
      <c r="G23" s="116" t="s">
        <v>1726</v>
      </c>
      <c r="H23" s="264" t="s">
        <v>48</v>
      </c>
      <c r="I23" s="274" t="s">
        <v>1497</v>
      </c>
      <c r="J23" s="264" t="s">
        <v>1660</v>
      </c>
      <c r="K23" s="168">
        <f>L23/$N$6</f>
        <v>52.600000000000009</v>
      </c>
      <c r="L23" s="165">
        <v>120.98</v>
      </c>
      <c r="M23" s="177">
        <f>M21+K23</f>
        <v>441.52063846125719</v>
      </c>
      <c r="N23" s="165">
        <f>N21+L23</f>
        <v>1033.6100000000001</v>
      </c>
      <c r="O23" s="165"/>
      <c r="P23" s="165"/>
      <c r="Q23" s="165"/>
      <c r="R23" s="165"/>
      <c r="S23" s="166"/>
      <c r="T23" s="166"/>
      <c r="U23" s="166"/>
      <c r="V23" s="166"/>
      <c r="W23" s="166"/>
      <c r="X23" s="166"/>
      <c r="Y23" s="166"/>
      <c r="Z23" s="166"/>
    </row>
    <row r="24" spans="1:26" s="167" customFormat="1" ht="67.5" customHeight="1">
      <c r="A24" s="320"/>
      <c r="B24" s="102" t="s">
        <v>797</v>
      </c>
      <c r="C24" s="281"/>
      <c r="D24" s="116" t="s">
        <v>1638</v>
      </c>
      <c r="E24" s="116" t="s">
        <v>1639</v>
      </c>
      <c r="F24" s="299"/>
      <c r="G24" s="116" t="s">
        <v>1727</v>
      </c>
      <c r="H24" s="266"/>
      <c r="I24" s="274"/>
      <c r="J24" s="282"/>
      <c r="K24" s="164"/>
      <c r="L24" s="164"/>
      <c r="M24" s="165"/>
      <c r="N24" s="165"/>
      <c r="O24" s="165"/>
      <c r="P24" s="165"/>
      <c r="Q24" s="165"/>
      <c r="R24" s="165"/>
      <c r="S24" s="166"/>
      <c r="T24" s="166"/>
      <c r="U24" s="166"/>
      <c r="V24" s="166"/>
      <c r="W24" s="166"/>
      <c r="X24" s="166"/>
      <c r="Y24" s="166"/>
      <c r="Z24" s="166"/>
    </row>
    <row r="25" spans="1:26" s="167" customFormat="1" ht="51" customHeight="1">
      <c r="A25" s="310" t="s">
        <v>1631</v>
      </c>
      <c r="B25" s="123" t="s">
        <v>1172</v>
      </c>
      <c r="C25" s="280" t="s">
        <v>1801</v>
      </c>
      <c r="D25" s="192">
        <v>45926</v>
      </c>
      <c r="E25" s="192">
        <v>45926</v>
      </c>
      <c r="F25" s="299"/>
      <c r="G25" s="116" t="s">
        <v>1728</v>
      </c>
      <c r="H25" s="264" t="s">
        <v>48</v>
      </c>
      <c r="I25" s="274" t="s">
        <v>1497</v>
      </c>
      <c r="J25" s="317" t="s">
        <v>1645</v>
      </c>
      <c r="K25" s="168">
        <f>L25/$N$6</f>
        <v>55.869565217391312</v>
      </c>
      <c r="L25" s="165">
        <v>128.5</v>
      </c>
      <c r="M25" s="177">
        <f>M23+K25</f>
        <v>497.3902036786485</v>
      </c>
      <c r="N25" s="165">
        <f>N23+L25</f>
        <v>1162.1100000000001</v>
      </c>
      <c r="O25" s="165"/>
      <c r="P25" s="165"/>
      <c r="Q25" s="165"/>
      <c r="R25" s="165"/>
      <c r="S25" s="166"/>
      <c r="T25" s="166"/>
      <c r="U25" s="166"/>
      <c r="V25" s="166"/>
      <c r="W25" s="166"/>
      <c r="X25" s="166"/>
      <c r="Y25" s="166"/>
      <c r="Z25" s="166"/>
    </row>
    <row r="26" spans="1:26" s="167" customFormat="1" ht="67.5" customHeight="1">
      <c r="A26" s="268"/>
      <c r="B26" s="102" t="s">
        <v>797</v>
      </c>
      <c r="C26" s="281"/>
      <c r="D26" s="116" t="s">
        <v>1750</v>
      </c>
      <c r="E26" s="116" t="s">
        <v>1751</v>
      </c>
      <c r="F26" s="299"/>
      <c r="G26" s="116" t="s">
        <v>1729</v>
      </c>
      <c r="H26" s="266"/>
      <c r="I26" s="274"/>
      <c r="J26" s="318"/>
      <c r="K26" s="164"/>
      <c r="L26" s="164"/>
      <c r="M26" s="165"/>
      <c r="N26" s="165"/>
      <c r="O26" s="165"/>
      <c r="P26" s="165"/>
      <c r="Q26" s="165"/>
      <c r="R26" s="165"/>
      <c r="S26" s="166"/>
      <c r="T26" s="166"/>
      <c r="U26" s="166"/>
      <c r="V26" s="166"/>
      <c r="W26" s="166"/>
      <c r="X26" s="166"/>
      <c r="Y26" s="166"/>
      <c r="Z26" s="166"/>
    </row>
    <row r="27" spans="1:26" s="167" customFormat="1" ht="51" customHeight="1">
      <c r="A27" s="310" t="s">
        <v>1730</v>
      </c>
      <c r="B27" s="123" t="s">
        <v>1172</v>
      </c>
      <c r="C27" s="280" t="s">
        <v>1801</v>
      </c>
      <c r="D27" s="192">
        <v>45927</v>
      </c>
      <c r="E27" s="192">
        <v>45927</v>
      </c>
      <c r="F27" s="299"/>
      <c r="G27" s="116" t="s">
        <v>1733</v>
      </c>
      <c r="H27" s="264" t="s">
        <v>48</v>
      </c>
      <c r="I27" s="274" t="s">
        <v>1497</v>
      </c>
      <c r="J27" s="317" t="s">
        <v>1644</v>
      </c>
      <c r="K27" s="168">
        <f>L27/$N$6</f>
        <v>35.652173913043484</v>
      </c>
      <c r="L27" s="165">
        <v>82</v>
      </c>
      <c r="M27" s="165">
        <f>M25+K27</f>
        <v>533.042377591692</v>
      </c>
      <c r="N27" s="165">
        <f>N25+L27</f>
        <v>1244.1100000000001</v>
      </c>
      <c r="O27" s="165"/>
      <c r="P27" s="165"/>
      <c r="Q27" s="165"/>
      <c r="R27" s="165"/>
      <c r="S27" s="166"/>
      <c r="T27" s="166"/>
      <c r="U27" s="166"/>
      <c r="V27" s="166"/>
      <c r="W27" s="166"/>
      <c r="X27" s="166"/>
      <c r="Y27" s="166"/>
      <c r="Z27" s="166"/>
    </row>
    <row r="28" spans="1:26" s="167" customFormat="1" ht="67.5" customHeight="1">
      <c r="A28" s="268"/>
      <c r="B28" s="102" t="s">
        <v>797</v>
      </c>
      <c r="C28" s="281"/>
      <c r="D28" s="116" t="s">
        <v>1731</v>
      </c>
      <c r="E28" s="116" t="s">
        <v>1732</v>
      </c>
      <c r="F28" s="279"/>
      <c r="G28" s="116" t="s">
        <v>1734</v>
      </c>
      <c r="H28" s="266"/>
      <c r="I28" s="274"/>
      <c r="J28" s="318"/>
      <c r="K28" s="164"/>
      <c r="L28" s="164"/>
      <c r="M28" s="165"/>
      <c r="N28" s="165"/>
      <c r="O28" s="165"/>
      <c r="P28" s="165"/>
      <c r="Q28" s="165"/>
      <c r="R28" s="165"/>
      <c r="S28" s="166"/>
      <c r="T28" s="166"/>
      <c r="U28" s="166"/>
      <c r="V28" s="166"/>
      <c r="W28" s="166"/>
      <c r="X28" s="166"/>
      <c r="Y28" s="166"/>
      <c r="Z28" s="166"/>
    </row>
    <row r="29" spans="1:26" s="142" customFormat="1" ht="49.5" customHeight="1">
      <c r="A29" s="260" t="s">
        <v>47</v>
      </c>
      <c r="B29" s="261"/>
      <c r="C29" s="262"/>
      <c r="D29" s="260" t="s">
        <v>1753</v>
      </c>
      <c r="E29" s="261"/>
      <c r="F29" s="262"/>
      <c r="G29" s="260" t="s">
        <v>1755</v>
      </c>
      <c r="H29" s="261"/>
      <c r="I29" s="261"/>
      <c r="J29" s="262"/>
      <c r="L29" s="143"/>
      <c r="M29" s="143"/>
      <c r="N29" s="143"/>
      <c r="O29" s="143"/>
      <c r="P29" s="143"/>
      <c r="Q29" s="143"/>
      <c r="R29" s="143"/>
      <c r="S29" s="143"/>
      <c r="T29" s="143"/>
      <c r="U29" s="143"/>
      <c r="V29" s="143"/>
      <c r="W29" s="143"/>
      <c r="X29" s="143"/>
      <c r="Y29" s="143"/>
      <c r="Z29" s="143"/>
    </row>
    <row r="30" spans="1:26" s="142" customFormat="1" ht="60.75" customHeight="1">
      <c r="A30" s="263" t="s">
        <v>1147</v>
      </c>
      <c r="B30" s="263"/>
      <c r="C30" s="263"/>
      <c r="D30" s="263"/>
      <c r="E30" s="263"/>
      <c r="F30" s="263"/>
      <c r="G30" s="263"/>
      <c r="H30" s="263"/>
      <c r="I30" s="263"/>
      <c r="J30" s="263"/>
      <c r="L30" s="143"/>
      <c r="M30" s="143"/>
      <c r="N30" s="143"/>
      <c r="O30" s="143"/>
      <c r="P30" s="143"/>
      <c r="Q30" s="143"/>
      <c r="R30" s="143"/>
      <c r="S30" s="143"/>
      <c r="T30" s="143"/>
      <c r="U30" s="143"/>
      <c r="V30" s="143"/>
      <c r="W30" s="143"/>
      <c r="X30" s="143"/>
      <c r="Y30" s="143"/>
      <c r="Z30" s="143"/>
    </row>
  </sheetData>
  <mergeCells count="71">
    <mergeCell ref="C19:C20"/>
    <mergeCell ref="H19:H20"/>
    <mergeCell ref="I19:I20"/>
    <mergeCell ref="J19:J20"/>
    <mergeCell ref="A23:A24"/>
    <mergeCell ref="C23:C24"/>
    <mergeCell ref="H23:H24"/>
    <mergeCell ref="I23:I24"/>
    <mergeCell ref="J23:J24"/>
    <mergeCell ref="J15:J16"/>
    <mergeCell ref="A30:J30"/>
    <mergeCell ref="H13:H14"/>
    <mergeCell ref="A9:A10"/>
    <mergeCell ref="J7:J8"/>
    <mergeCell ref="J9:J10"/>
    <mergeCell ref="A13:A14"/>
    <mergeCell ref="C13:C14"/>
    <mergeCell ref="A7:A8"/>
    <mergeCell ref="H7:H8"/>
    <mergeCell ref="I7:I8"/>
    <mergeCell ref="I13:I14"/>
    <mergeCell ref="C21:C22"/>
    <mergeCell ref="H21:H22"/>
    <mergeCell ref="I21:I22"/>
    <mergeCell ref="A19:A20"/>
    <mergeCell ref="H9:H10"/>
    <mergeCell ref="A1:J1"/>
    <mergeCell ref="A2:J2"/>
    <mergeCell ref="A3:F3"/>
    <mergeCell ref="G3:J3"/>
    <mergeCell ref="A4:F4"/>
    <mergeCell ref="G4:J4"/>
    <mergeCell ref="A5:A6"/>
    <mergeCell ref="F5:F6"/>
    <mergeCell ref="H5:H6"/>
    <mergeCell ref="I5:I6"/>
    <mergeCell ref="C5:C6"/>
    <mergeCell ref="C7:C8"/>
    <mergeCell ref="C9:C10"/>
    <mergeCell ref="A29:C29"/>
    <mergeCell ref="D29:F29"/>
    <mergeCell ref="G29:J29"/>
    <mergeCell ref="J11:J12"/>
    <mergeCell ref="J13:J14"/>
    <mergeCell ref="J21:J22"/>
    <mergeCell ref="H27:H28"/>
    <mergeCell ref="I27:I28"/>
    <mergeCell ref="A27:A28"/>
    <mergeCell ref="C27:C28"/>
    <mergeCell ref="H25:H26"/>
    <mergeCell ref="I25:I26"/>
    <mergeCell ref="A25:A26"/>
    <mergeCell ref="H11:H12"/>
    <mergeCell ref="A21:A22"/>
    <mergeCell ref="A18:J18"/>
    <mergeCell ref="C25:C26"/>
    <mergeCell ref="C11:C12"/>
    <mergeCell ref="I9:I10"/>
    <mergeCell ref="I11:I12"/>
    <mergeCell ref="F7:F16"/>
    <mergeCell ref="A17:C17"/>
    <mergeCell ref="D17:F17"/>
    <mergeCell ref="G17:J17"/>
    <mergeCell ref="A15:A16"/>
    <mergeCell ref="C15:C16"/>
    <mergeCell ref="H15:H16"/>
    <mergeCell ref="I15:I16"/>
    <mergeCell ref="F21:F28"/>
    <mergeCell ref="J25:J26"/>
    <mergeCell ref="J27:J28"/>
    <mergeCell ref="A11:A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22"/>
  <sheetViews>
    <sheetView view="pageBreakPreview" zoomScaleNormal="100" zoomScaleSheetLayoutView="100" zoomScalePageLayoutView="85" workbookViewId="0">
      <pane xSplit="1" ySplit="6" topLeftCell="B16" activePane="bottomRight" state="frozen"/>
      <selection activeCell="U14" sqref="U14"/>
      <selection pane="topRight" activeCell="U14" sqref="U14"/>
      <selection pane="bottomLeft" activeCell="U14" sqref="U14"/>
      <selection pane="bottomRight" activeCell="I7" sqref="I7:I8"/>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86" t="s">
        <v>45</v>
      </c>
      <c r="B1" s="286"/>
      <c r="C1" s="286"/>
      <c r="D1" s="286"/>
      <c r="E1" s="286"/>
      <c r="F1" s="286"/>
      <c r="G1" s="286"/>
      <c r="H1" s="286"/>
      <c r="I1" s="286"/>
      <c r="J1" s="286"/>
    </row>
    <row r="2" spans="1:26" ht="21.75" customHeight="1">
      <c r="A2" s="301" t="s">
        <v>0</v>
      </c>
      <c r="B2" s="301"/>
      <c r="C2" s="301"/>
      <c r="D2" s="301"/>
      <c r="E2" s="301"/>
      <c r="F2" s="301"/>
      <c r="G2" s="301"/>
      <c r="H2" s="301"/>
      <c r="I2" s="301"/>
      <c r="J2" s="301"/>
    </row>
    <row r="3" spans="1:26" s="167" customFormat="1" ht="16.5" customHeight="1">
      <c r="A3" s="260" t="str">
        <f>"工程名稱:"&amp;'1.計畫'!A1:I1</f>
        <v>工程名稱:磺港溪再造C段護岸及步道整建工程（延壽橋至三合橋）</v>
      </c>
      <c r="B3" s="287"/>
      <c r="C3" s="287"/>
      <c r="D3" s="287"/>
      <c r="E3" s="287"/>
      <c r="F3" s="288"/>
      <c r="G3" s="260" t="s">
        <v>83</v>
      </c>
      <c r="H3" s="287"/>
      <c r="I3" s="287"/>
      <c r="J3" s="288"/>
      <c r="K3" s="164"/>
      <c r="L3" s="165"/>
      <c r="M3" s="165"/>
      <c r="N3" s="165"/>
      <c r="O3" s="165"/>
      <c r="P3" s="165"/>
      <c r="Q3" s="165"/>
      <c r="R3" s="165"/>
      <c r="S3" s="166"/>
      <c r="T3" s="166"/>
      <c r="U3" s="166"/>
      <c r="V3" s="166"/>
      <c r="W3" s="166"/>
      <c r="X3" s="166"/>
      <c r="Y3" s="166"/>
      <c r="Z3" s="166"/>
    </row>
    <row r="4" spans="1:26" s="167" customFormat="1" ht="16.5" customHeight="1">
      <c r="A4" s="260" t="s">
        <v>40</v>
      </c>
      <c r="B4" s="287"/>
      <c r="C4" s="287"/>
      <c r="D4" s="287"/>
      <c r="E4" s="287"/>
      <c r="F4" s="288"/>
      <c r="G4" s="260" t="s">
        <v>84</v>
      </c>
      <c r="H4" s="287"/>
      <c r="I4" s="287"/>
      <c r="J4" s="288"/>
      <c r="K4" s="164"/>
      <c r="L4" s="165"/>
      <c r="M4" s="165"/>
      <c r="N4" s="165"/>
      <c r="O4" s="165"/>
      <c r="P4" s="165"/>
      <c r="Q4" s="165"/>
      <c r="R4" s="165"/>
      <c r="S4" s="166"/>
      <c r="T4" s="166"/>
      <c r="U4" s="166"/>
      <c r="V4" s="166"/>
      <c r="W4" s="166"/>
      <c r="X4" s="166"/>
      <c r="Y4" s="166"/>
      <c r="Z4" s="166"/>
    </row>
    <row r="5" spans="1:26" s="167" customFormat="1" ht="56.25" customHeight="1">
      <c r="A5" s="278" t="s">
        <v>1</v>
      </c>
      <c r="B5" s="131" t="s">
        <v>1152</v>
      </c>
      <c r="C5" s="278" t="s">
        <v>588</v>
      </c>
      <c r="D5" s="131" t="s">
        <v>587</v>
      </c>
      <c r="E5" s="131" t="s">
        <v>50</v>
      </c>
      <c r="F5" s="278" t="s">
        <v>613</v>
      </c>
      <c r="G5" s="131" t="s">
        <v>1153</v>
      </c>
      <c r="H5" s="278" t="s">
        <v>612</v>
      </c>
      <c r="I5" s="278" t="s">
        <v>611</v>
      </c>
      <c r="J5" s="132" t="s">
        <v>16</v>
      </c>
      <c r="K5" s="164"/>
      <c r="L5" s="165"/>
      <c r="M5" s="165">
        <f>917.25*2.3</f>
        <v>2109.6749999999997</v>
      </c>
      <c r="N5" s="165"/>
      <c r="O5" s="165"/>
      <c r="P5" s="165"/>
      <c r="Q5" s="165"/>
      <c r="R5" s="165"/>
      <c r="S5" s="166"/>
      <c r="T5" s="166"/>
      <c r="U5" s="166"/>
      <c r="V5" s="166"/>
      <c r="W5" s="166"/>
      <c r="X5" s="166"/>
      <c r="Y5" s="166"/>
      <c r="Z5" s="166"/>
    </row>
    <row r="6" spans="1:26" s="167" customFormat="1" ht="56.25" customHeight="1">
      <c r="A6" s="279"/>
      <c r="B6" s="131" t="s">
        <v>614</v>
      </c>
      <c r="C6" s="279"/>
      <c r="D6" s="131" t="s">
        <v>49</v>
      </c>
      <c r="E6" s="131" t="s">
        <v>51</v>
      </c>
      <c r="F6" s="279"/>
      <c r="G6" s="133" t="s">
        <v>1154</v>
      </c>
      <c r="H6" s="279"/>
      <c r="I6" s="279"/>
      <c r="J6" s="134" t="s">
        <v>46</v>
      </c>
      <c r="K6" s="164"/>
      <c r="L6" s="165"/>
      <c r="M6" s="165">
        <v>2.2999999999999998</v>
      </c>
      <c r="N6" s="165">
        <v>2.2999999999999998</v>
      </c>
      <c r="O6" s="165"/>
      <c r="P6" s="165"/>
      <c r="Q6" s="165"/>
      <c r="R6" s="165"/>
      <c r="S6" s="166"/>
      <c r="T6" s="166"/>
      <c r="U6" s="166"/>
      <c r="V6" s="166"/>
      <c r="W6" s="166"/>
      <c r="X6" s="166"/>
      <c r="Y6" s="166"/>
      <c r="Z6" s="166"/>
    </row>
    <row r="7" spans="1:26" s="167" customFormat="1" ht="38.25" customHeight="1">
      <c r="A7" s="323" t="s">
        <v>1181</v>
      </c>
      <c r="B7" s="171" t="s">
        <v>1182</v>
      </c>
      <c r="C7" s="291" t="s">
        <v>1532</v>
      </c>
      <c r="D7" s="115">
        <v>45593</v>
      </c>
      <c r="E7" s="115">
        <f>D7</f>
        <v>45593</v>
      </c>
      <c r="F7" s="278" t="s">
        <v>1173</v>
      </c>
      <c r="G7" s="116" t="s">
        <v>1735</v>
      </c>
      <c r="H7" s="264" t="s">
        <v>48</v>
      </c>
      <c r="I7" s="280" t="s">
        <v>1227</v>
      </c>
      <c r="J7" s="264" t="s">
        <v>1183</v>
      </c>
      <c r="K7" s="168">
        <f>L7/M6</f>
        <v>26.086956521739133</v>
      </c>
      <c r="L7" s="165">
        <v>60</v>
      </c>
      <c r="M7" s="165">
        <f>K7</f>
        <v>26.086956521739133</v>
      </c>
      <c r="N7" s="165">
        <f>L7</f>
        <v>60</v>
      </c>
      <c r="O7" s="165"/>
      <c r="P7" s="165"/>
      <c r="Q7" s="165"/>
      <c r="R7" s="165"/>
      <c r="S7" s="166"/>
      <c r="T7" s="166"/>
      <c r="U7" s="166"/>
      <c r="V7" s="166"/>
      <c r="W7" s="166"/>
      <c r="X7" s="166"/>
      <c r="Y7" s="166"/>
      <c r="Z7" s="166"/>
    </row>
    <row r="8" spans="1:26" s="167" customFormat="1" ht="78" customHeight="1">
      <c r="A8" s="305"/>
      <c r="B8" s="94" t="s">
        <v>798</v>
      </c>
      <c r="C8" s="292"/>
      <c r="D8" s="116" t="s">
        <v>1736</v>
      </c>
      <c r="E8" s="116" t="s">
        <v>1737</v>
      </c>
      <c r="F8" s="299"/>
      <c r="G8" s="116" t="s">
        <v>1737</v>
      </c>
      <c r="H8" s="266"/>
      <c r="I8" s="281"/>
      <c r="J8" s="298"/>
      <c r="K8" s="164">
        <f>L7/K7</f>
        <v>2.2999999999999998</v>
      </c>
      <c r="L8" s="164"/>
      <c r="M8" s="165"/>
      <c r="N8" s="165"/>
      <c r="O8" s="165"/>
      <c r="P8" s="165"/>
      <c r="Q8" s="165"/>
      <c r="R8" s="165"/>
      <c r="S8" s="166"/>
      <c r="T8" s="166"/>
      <c r="U8" s="166"/>
      <c r="V8" s="166"/>
      <c r="W8" s="166"/>
      <c r="X8" s="166"/>
      <c r="Y8" s="166"/>
      <c r="Z8" s="166"/>
    </row>
    <row r="9" spans="1:26" s="167" customFormat="1" ht="38.25" customHeight="1">
      <c r="A9" s="323" t="s">
        <v>1184</v>
      </c>
      <c r="B9" s="171" t="s">
        <v>1182</v>
      </c>
      <c r="C9" s="291" t="s">
        <v>1532</v>
      </c>
      <c r="D9" s="115">
        <v>45743</v>
      </c>
      <c r="E9" s="115">
        <f>D9</f>
        <v>45743</v>
      </c>
      <c r="F9" s="299"/>
      <c r="G9" s="116" t="s">
        <v>1741</v>
      </c>
      <c r="H9" s="264" t="s">
        <v>48</v>
      </c>
      <c r="I9" s="280" t="s">
        <v>1229</v>
      </c>
      <c r="J9" s="264" t="s">
        <v>1185</v>
      </c>
      <c r="K9" s="168">
        <f>ROUND(L9/K8,2)</f>
        <v>128.26</v>
      </c>
      <c r="L9" s="165">
        <v>295</v>
      </c>
      <c r="M9" s="165">
        <f>M7+K9</f>
        <v>154.34695652173912</v>
      </c>
      <c r="N9" s="165">
        <f>N7+L9</f>
        <v>355</v>
      </c>
      <c r="O9" s="165"/>
      <c r="P9" s="165"/>
      <c r="Q9" s="165"/>
      <c r="R9" s="165"/>
      <c r="S9" s="166"/>
      <c r="T9" s="166"/>
      <c r="U9" s="166"/>
      <c r="V9" s="166"/>
      <c r="W9" s="166"/>
      <c r="X9" s="166"/>
      <c r="Y9" s="166"/>
      <c r="Z9" s="166"/>
    </row>
    <row r="10" spans="1:26" s="167" customFormat="1" ht="78" customHeight="1">
      <c r="A10" s="305"/>
      <c r="B10" s="94" t="s">
        <v>798</v>
      </c>
      <c r="C10" s="292"/>
      <c r="D10" s="116" t="s">
        <v>1738</v>
      </c>
      <c r="E10" s="116" t="s">
        <v>1739</v>
      </c>
      <c r="F10" s="299"/>
      <c r="G10" s="116" t="s">
        <v>1740</v>
      </c>
      <c r="H10" s="266"/>
      <c r="I10" s="281"/>
      <c r="J10" s="298"/>
      <c r="K10" s="164"/>
      <c r="L10" s="164"/>
      <c r="M10" s="165"/>
      <c r="N10" s="165"/>
      <c r="O10" s="165"/>
      <c r="P10" s="165"/>
      <c r="Q10" s="165"/>
      <c r="R10" s="165"/>
      <c r="S10" s="166"/>
      <c r="T10" s="166"/>
      <c r="U10" s="166"/>
      <c r="V10" s="166"/>
      <c r="W10" s="166"/>
      <c r="X10" s="166"/>
      <c r="Y10" s="166"/>
      <c r="Z10" s="166"/>
    </row>
    <row r="11" spans="1:26" s="167" customFormat="1" ht="38.25" customHeight="1">
      <c r="A11" s="323" t="s">
        <v>1186</v>
      </c>
      <c r="B11" s="171" t="s">
        <v>1182</v>
      </c>
      <c r="C11" s="291" t="s">
        <v>1532</v>
      </c>
      <c r="D11" s="115">
        <v>45743</v>
      </c>
      <c r="E11" s="115">
        <f>D11</f>
        <v>45743</v>
      </c>
      <c r="F11" s="299"/>
      <c r="G11" s="116" t="s">
        <v>1743</v>
      </c>
      <c r="H11" s="264" t="s">
        <v>48</v>
      </c>
      <c r="I11" s="274" t="s">
        <v>1229</v>
      </c>
      <c r="J11" s="264" t="s">
        <v>1185</v>
      </c>
      <c r="K11" s="168">
        <f>ROUND(L11/K8,2)</f>
        <v>219.57</v>
      </c>
      <c r="L11" s="165">
        <v>505</v>
      </c>
      <c r="M11" s="165">
        <f>M9+K11</f>
        <v>373.91695652173911</v>
      </c>
      <c r="N11" s="165">
        <f>N9+L11</f>
        <v>860</v>
      </c>
      <c r="O11" s="165"/>
      <c r="P11" s="165"/>
      <c r="Q11" s="165"/>
      <c r="R11" s="165"/>
      <c r="S11" s="166"/>
      <c r="T11" s="166"/>
      <c r="U11" s="166"/>
      <c r="V11" s="166"/>
      <c r="W11" s="166"/>
      <c r="X11" s="166"/>
      <c r="Y11" s="166"/>
      <c r="Z11" s="166"/>
    </row>
    <row r="12" spans="1:26" s="167" customFormat="1" ht="78" customHeight="1">
      <c r="A12" s="305"/>
      <c r="B12" s="94" t="s">
        <v>798</v>
      </c>
      <c r="C12" s="292"/>
      <c r="D12" s="116" t="s">
        <v>949</v>
      </c>
      <c r="E12" s="117" t="s">
        <v>950</v>
      </c>
      <c r="F12" s="299"/>
      <c r="G12" s="116" t="s">
        <v>1742</v>
      </c>
      <c r="H12" s="266"/>
      <c r="I12" s="274"/>
      <c r="J12" s="298"/>
      <c r="K12" s="164"/>
      <c r="L12" s="164"/>
      <c r="M12" s="165"/>
      <c r="N12" s="165"/>
      <c r="O12" s="165"/>
      <c r="P12" s="165"/>
      <c r="Q12" s="165"/>
      <c r="R12" s="165"/>
      <c r="S12" s="166"/>
      <c r="T12" s="166"/>
      <c r="U12" s="166"/>
      <c r="V12" s="166"/>
      <c r="W12" s="166"/>
      <c r="X12" s="166"/>
      <c r="Y12" s="166"/>
      <c r="Z12" s="166"/>
    </row>
    <row r="13" spans="1:26" s="167" customFormat="1" ht="38.25" customHeight="1">
      <c r="A13" s="323" t="s">
        <v>1503</v>
      </c>
      <c r="B13" s="171" t="s">
        <v>1182</v>
      </c>
      <c r="C13" s="291" t="s">
        <v>1532</v>
      </c>
      <c r="D13" s="115">
        <v>45920</v>
      </c>
      <c r="E13" s="115">
        <v>45920</v>
      </c>
      <c r="F13" s="299"/>
      <c r="G13" s="116" t="s">
        <v>1745</v>
      </c>
      <c r="H13" s="264" t="s">
        <v>48</v>
      </c>
      <c r="I13" s="274" t="s">
        <v>1229</v>
      </c>
      <c r="J13" s="264" t="s">
        <v>1664</v>
      </c>
      <c r="K13" s="168">
        <f>ROUND(L13/$N$6,2)</f>
        <v>64.989999999999995</v>
      </c>
      <c r="L13" s="165">
        <v>149.47</v>
      </c>
      <c r="M13" s="165">
        <f>M11+K13</f>
        <v>438.90695652173912</v>
      </c>
      <c r="N13" s="165">
        <f>N11+L13</f>
        <v>1009.47</v>
      </c>
      <c r="O13" s="165"/>
      <c r="P13" s="165"/>
      <c r="Q13" s="165"/>
      <c r="R13" s="165"/>
      <c r="S13" s="166"/>
      <c r="T13" s="166"/>
      <c r="U13" s="166"/>
      <c r="V13" s="166"/>
      <c r="W13" s="166"/>
      <c r="X13" s="166"/>
      <c r="Y13" s="166"/>
      <c r="Z13" s="166"/>
    </row>
    <row r="14" spans="1:26" s="167" customFormat="1" ht="78" customHeight="1">
      <c r="A14" s="305"/>
      <c r="B14" s="94" t="s">
        <v>798</v>
      </c>
      <c r="C14" s="292"/>
      <c r="D14" s="116" t="s">
        <v>1498</v>
      </c>
      <c r="E14" s="117" t="s">
        <v>1499</v>
      </c>
      <c r="F14" s="299"/>
      <c r="G14" s="116" t="s">
        <v>1744</v>
      </c>
      <c r="H14" s="266"/>
      <c r="I14" s="274"/>
      <c r="J14" s="298"/>
      <c r="K14" s="164"/>
      <c r="L14" s="164"/>
      <c r="M14" s="165"/>
      <c r="N14" s="165"/>
      <c r="O14" s="165"/>
      <c r="P14" s="165"/>
      <c r="Q14" s="165"/>
      <c r="R14" s="165"/>
      <c r="S14" s="166"/>
      <c r="T14" s="166"/>
      <c r="U14" s="166"/>
      <c r="V14" s="166"/>
      <c r="W14" s="166"/>
      <c r="X14" s="166"/>
      <c r="Y14" s="166"/>
      <c r="Z14" s="166"/>
    </row>
    <row r="15" spans="1:26" s="167" customFormat="1" ht="38.25" customHeight="1">
      <c r="A15" s="321" t="s">
        <v>1504</v>
      </c>
      <c r="B15" s="171" t="s">
        <v>1182</v>
      </c>
      <c r="C15" s="291" t="s">
        <v>1532</v>
      </c>
      <c r="D15" s="115">
        <v>45921</v>
      </c>
      <c r="E15" s="115">
        <v>45921</v>
      </c>
      <c r="F15" s="299"/>
      <c r="G15" s="116" t="s">
        <v>1747</v>
      </c>
      <c r="H15" s="264" t="s">
        <v>48</v>
      </c>
      <c r="I15" s="274" t="s">
        <v>1229</v>
      </c>
      <c r="J15" s="264" t="s">
        <v>1665</v>
      </c>
      <c r="K15" s="168">
        <f>ROUND(L15/$N$6,2)</f>
        <v>107.23</v>
      </c>
      <c r="L15" s="165">
        <v>246.64</v>
      </c>
      <c r="M15" s="165">
        <f>M13+K15</f>
        <v>546.13695652173908</v>
      </c>
      <c r="N15" s="165">
        <f>N13+L15</f>
        <v>1256.1100000000001</v>
      </c>
      <c r="O15" s="165"/>
      <c r="P15" s="165"/>
      <c r="Q15" s="165"/>
      <c r="R15" s="165"/>
      <c r="S15" s="166"/>
      <c r="T15" s="166"/>
      <c r="U15" s="166"/>
      <c r="V15" s="166"/>
      <c r="W15" s="166"/>
      <c r="X15" s="166"/>
      <c r="Y15" s="166"/>
      <c r="Z15" s="166"/>
    </row>
    <row r="16" spans="1:26" s="167" customFormat="1" ht="78" customHeight="1">
      <c r="A16" s="322"/>
      <c r="B16" s="94" t="s">
        <v>798</v>
      </c>
      <c r="C16" s="292"/>
      <c r="D16" s="116" t="s">
        <v>1640</v>
      </c>
      <c r="E16" s="116" t="s">
        <v>1641</v>
      </c>
      <c r="F16" s="279"/>
      <c r="G16" s="116" t="s">
        <v>1746</v>
      </c>
      <c r="H16" s="266"/>
      <c r="I16" s="274"/>
      <c r="J16" s="298"/>
      <c r="K16" s="164"/>
      <c r="L16" s="164"/>
      <c r="M16" s="165"/>
      <c r="N16" s="165"/>
      <c r="O16" s="165"/>
      <c r="P16" s="165"/>
      <c r="Q16" s="165"/>
      <c r="R16" s="165"/>
      <c r="S16" s="166"/>
      <c r="T16" s="166"/>
      <c r="U16" s="166"/>
      <c r="V16" s="166"/>
      <c r="W16" s="166"/>
      <c r="X16" s="166"/>
      <c r="Y16" s="166"/>
      <c r="Z16" s="166"/>
    </row>
    <row r="17" spans="1:26" s="142" customFormat="1" ht="49.5" customHeight="1">
      <c r="A17" s="260" t="s">
        <v>47</v>
      </c>
      <c r="B17" s="261"/>
      <c r="C17" s="262"/>
      <c r="D17" s="260" t="s">
        <v>1753</v>
      </c>
      <c r="E17" s="261"/>
      <c r="F17" s="262"/>
      <c r="G17" s="260" t="s">
        <v>1755</v>
      </c>
      <c r="H17" s="261"/>
      <c r="I17" s="261"/>
      <c r="J17" s="262"/>
      <c r="L17" s="143"/>
      <c r="M17" s="143"/>
      <c r="N17" s="143"/>
      <c r="O17" s="143"/>
      <c r="P17" s="143"/>
      <c r="Q17" s="143"/>
      <c r="R17" s="143"/>
      <c r="S17" s="143"/>
      <c r="T17" s="143"/>
      <c r="U17" s="143"/>
      <c r="V17" s="143"/>
      <c r="W17" s="143"/>
      <c r="X17" s="143"/>
      <c r="Y17" s="143"/>
      <c r="Z17" s="143"/>
    </row>
    <row r="18" spans="1:26" s="142" customFormat="1" ht="54" customHeight="1">
      <c r="A18" s="263" t="s">
        <v>1147</v>
      </c>
      <c r="B18" s="263"/>
      <c r="C18" s="263"/>
      <c r="D18" s="263"/>
      <c r="E18" s="263"/>
      <c r="F18" s="263"/>
      <c r="G18" s="263"/>
      <c r="H18" s="263"/>
      <c r="I18" s="263"/>
      <c r="J18" s="263"/>
      <c r="L18" s="143"/>
      <c r="M18" s="143"/>
      <c r="N18" s="143"/>
      <c r="O18" s="143"/>
      <c r="P18" s="143"/>
      <c r="Q18" s="143"/>
      <c r="R18" s="143"/>
      <c r="S18" s="143"/>
      <c r="T18" s="143"/>
      <c r="U18" s="143"/>
      <c r="V18" s="143"/>
      <c r="W18" s="143"/>
      <c r="X18" s="143"/>
      <c r="Y18" s="143"/>
      <c r="Z18" s="143"/>
    </row>
    <row r="19" spans="1:26" s="167" customFormat="1" ht="49.5" customHeight="1">
      <c r="A19" s="321" t="s">
        <v>1752</v>
      </c>
      <c r="B19" s="171" t="s">
        <v>1182</v>
      </c>
      <c r="C19" s="291" t="s">
        <v>1532</v>
      </c>
      <c r="D19" s="115">
        <v>45921</v>
      </c>
      <c r="E19" s="115">
        <v>45921</v>
      </c>
      <c r="F19" s="299" t="s">
        <v>1173</v>
      </c>
      <c r="G19" s="116" t="s">
        <v>1749</v>
      </c>
      <c r="H19" s="264" t="s">
        <v>48</v>
      </c>
      <c r="I19" s="274" t="s">
        <v>1229</v>
      </c>
      <c r="J19" s="264" t="s">
        <v>1666</v>
      </c>
      <c r="K19" s="168">
        <f>ROUND(L19/$N$6,2)</f>
        <v>150.94</v>
      </c>
      <c r="L19" s="165">
        <v>347.16</v>
      </c>
      <c r="M19" s="165">
        <f>M15+K19</f>
        <v>697.07695652173902</v>
      </c>
      <c r="N19" s="165">
        <f>N15+L19</f>
        <v>1603.2700000000002</v>
      </c>
      <c r="O19" s="165"/>
      <c r="P19" s="165"/>
      <c r="Q19" s="165"/>
      <c r="R19" s="165"/>
      <c r="S19" s="166"/>
      <c r="T19" s="166"/>
      <c r="U19" s="166"/>
      <c r="V19" s="166"/>
      <c r="W19" s="166"/>
      <c r="X19" s="166"/>
      <c r="Y19" s="166"/>
      <c r="Z19" s="166"/>
    </row>
    <row r="20" spans="1:26" s="167" customFormat="1" ht="78" customHeight="1">
      <c r="A20" s="322"/>
      <c r="B20" s="94" t="s">
        <v>798</v>
      </c>
      <c r="C20" s="292"/>
      <c r="D20" s="116" t="s">
        <v>1642</v>
      </c>
      <c r="E20" s="116" t="s">
        <v>1643</v>
      </c>
      <c r="F20" s="279"/>
      <c r="G20" s="116" t="s">
        <v>1748</v>
      </c>
      <c r="H20" s="266"/>
      <c r="I20" s="274"/>
      <c r="J20" s="298"/>
      <c r="K20" s="164"/>
      <c r="L20" s="164"/>
      <c r="M20" s="165"/>
      <c r="N20" s="165"/>
      <c r="O20" s="165"/>
      <c r="P20" s="165"/>
      <c r="Q20" s="165"/>
      <c r="R20" s="165"/>
      <c r="S20" s="166"/>
      <c r="T20" s="166"/>
      <c r="U20" s="166"/>
      <c r="V20" s="166"/>
      <c r="W20" s="166"/>
      <c r="X20" s="166"/>
      <c r="Y20" s="166"/>
      <c r="Z20" s="166"/>
    </row>
    <row r="21" spans="1:26" s="142" customFormat="1" ht="49.5" customHeight="1">
      <c r="A21" s="260" t="s">
        <v>47</v>
      </c>
      <c r="B21" s="261"/>
      <c r="C21" s="262"/>
      <c r="D21" s="260" t="s">
        <v>1753</v>
      </c>
      <c r="E21" s="261"/>
      <c r="F21" s="262"/>
      <c r="G21" s="260" t="s">
        <v>1755</v>
      </c>
      <c r="H21" s="261"/>
      <c r="I21" s="261"/>
      <c r="J21" s="262"/>
      <c r="L21" s="143"/>
      <c r="M21" s="143"/>
      <c r="N21" s="143"/>
      <c r="O21" s="143"/>
      <c r="P21" s="143"/>
      <c r="Q21" s="143"/>
      <c r="R21" s="143"/>
      <c r="S21" s="143"/>
      <c r="T21" s="143"/>
      <c r="U21" s="143"/>
      <c r="V21" s="143"/>
      <c r="W21" s="143"/>
      <c r="X21" s="143"/>
      <c r="Y21" s="143"/>
      <c r="Z21" s="143"/>
    </row>
    <row r="22" spans="1:26" s="142" customFormat="1" ht="54" customHeight="1">
      <c r="A22" s="263" t="s">
        <v>1147</v>
      </c>
      <c r="B22" s="263"/>
      <c r="C22" s="263"/>
      <c r="D22" s="263"/>
      <c r="E22" s="263"/>
      <c r="F22" s="263"/>
      <c r="G22" s="263"/>
      <c r="H22" s="263"/>
      <c r="I22" s="263"/>
      <c r="J22" s="263"/>
      <c r="L22" s="143"/>
      <c r="M22" s="143"/>
      <c r="N22" s="143"/>
      <c r="O22" s="143"/>
      <c r="P22" s="143"/>
      <c r="Q22" s="143"/>
      <c r="R22" s="143"/>
      <c r="S22" s="143"/>
      <c r="T22" s="143"/>
      <c r="U22" s="143"/>
      <c r="V22" s="143"/>
      <c r="W22" s="143"/>
      <c r="X22" s="143"/>
      <c r="Y22" s="143"/>
      <c r="Z22" s="143"/>
    </row>
  </sheetData>
  <mergeCells count="51">
    <mergeCell ref="A17:C17"/>
    <mergeCell ref="D17:F17"/>
    <mergeCell ref="G17:J17"/>
    <mergeCell ref="A18:J18"/>
    <mergeCell ref="F19:F20"/>
    <mergeCell ref="A19:A20"/>
    <mergeCell ref="C19:C20"/>
    <mergeCell ref="H19:H20"/>
    <mergeCell ref="I19:I20"/>
    <mergeCell ref="J19:J20"/>
    <mergeCell ref="A1:J1"/>
    <mergeCell ref="A2:J2"/>
    <mergeCell ref="A3:F3"/>
    <mergeCell ref="G3:J3"/>
    <mergeCell ref="A4:F4"/>
    <mergeCell ref="G4:J4"/>
    <mergeCell ref="A5:A6"/>
    <mergeCell ref="C5:C6"/>
    <mergeCell ref="F5:F6"/>
    <mergeCell ref="H5:H6"/>
    <mergeCell ref="I5:I6"/>
    <mergeCell ref="J11:J12"/>
    <mergeCell ref="A13:A14"/>
    <mergeCell ref="C13:C14"/>
    <mergeCell ref="H13:H14"/>
    <mergeCell ref="I13:I14"/>
    <mergeCell ref="J13:J14"/>
    <mergeCell ref="A7:A8"/>
    <mergeCell ref="C7:C8"/>
    <mergeCell ref="H7:H8"/>
    <mergeCell ref="I7:I8"/>
    <mergeCell ref="A11:A12"/>
    <mergeCell ref="C11:C12"/>
    <mergeCell ref="H11:H12"/>
    <mergeCell ref="I11:I12"/>
    <mergeCell ref="A21:C21"/>
    <mergeCell ref="D21:F21"/>
    <mergeCell ref="G21:J21"/>
    <mergeCell ref="A22:J22"/>
    <mergeCell ref="A15:A16"/>
    <mergeCell ref="C15:C16"/>
    <mergeCell ref="H15:H16"/>
    <mergeCell ref="I15:I16"/>
    <mergeCell ref="J15:J16"/>
    <mergeCell ref="F7:F16"/>
    <mergeCell ref="J7:J8"/>
    <mergeCell ref="A9:A10"/>
    <mergeCell ref="C9:C10"/>
    <mergeCell ref="H9:H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Z44"/>
  <sheetViews>
    <sheetView view="pageBreakPreview" zoomScale="85" zoomScaleNormal="100" zoomScaleSheetLayoutView="85" zoomScalePageLayoutView="85" workbookViewId="0">
      <pane xSplit="1" ySplit="6" topLeftCell="B37" activePane="bottomRight" state="frozen"/>
      <selection activeCell="U14" sqref="U14"/>
      <selection pane="topRight" activeCell="U14" sqref="U14"/>
      <selection pane="bottomLeft" activeCell="U14" sqref="U14"/>
      <selection pane="bottomRight" activeCell="C37" sqref="C37:C38"/>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10" style="149" customWidth="1"/>
    <col min="8" max="8" width="4.75" style="130" customWidth="1"/>
    <col min="9" max="9" width="9.75" style="130" customWidth="1"/>
    <col min="10" max="10" width="15.25" style="130" customWidth="1"/>
    <col min="11" max="11" width="12.75" style="127" bestFit="1" customWidth="1"/>
    <col min="12" max="12" width="15" style="128" bestFit="1" customWidth="1"/>
    <col min="13" max="13" width="13.375" style="128" bestFit="1" customWidth="1"/>
    <col min="14" max="14" width="9.125" style="128" bestFit="1" customWidth="1"/>
    <col min="15" max="15" width="9" style="128"/>
    <col min="16" max="16" width="11" style="128" bestFit="1" customWidth="1"/>
    <col min="17"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86" t="s">
        <v>45</v>
      </c>
      <c r="B1" s="286"/>
      <c r="C1" s="286"/>
      <c r="D1" s="286"/>
      <c r="E1" s="286"/>
      <c r="F1" s="286"/>
      <c r="G1" s="286"/>
      <c r="H1" s="286"/>
      <c r="I1" s="286"/>
      <c r="J1" s="286"/>
    </row>
    <row r="2" spans="1:26" ht="16.5" customHeight="1">
      <c r="A2" s="301" t="s">
        <v>0</v>
      </c>
      <c r="B2" s="301"/>
      <c r="C2" s="301"/>
      <c r="D2" s="301"/>
      <c r="E2" s="301"/>
      <c r="F2" s="301"/>
      <c r="G2" s="301"/>
      <c r="H2" s="301"/>
      <c r="I2" s="301"/>
      <c r="J2" s="301"/>
    </row>
    <row r="3" spans="1:26" s="167" customFormat="1" ht="16.5" customHeight="1">
      <c r="A3" s="260" t="str">
        <f>"工程名稱:"&amp;'1.計畫'!A1:I1</f>
        <v>工程名稱:磺港溪再造C段護岸及步道整建工程（延壽橋至三合橋）</v>
      </c>
      <c r="B3" s="287"/>
      <c r="C3" s="287"/>
      <c r="D3" s="287"/>
      <c r="E3" s="287"/>
      <c r="F3" s="288"/>
      <c r="G3" s="260" t="s">
        <v>83</v>
      </c>
      <c r="H3" s="287"/>
      <c r="I3" s="287"/>
      <c r="J3" s="288"/>
      <c r="K3" s="164"/>
      <c r="L3" s="165"/>
      <c r="M3" s="165"/>
      <c r="N3" s="165"/>
      <c r="O3" s="165"/>
      <c r="P3" s="165"/>
      <c r="Q3" s="165"/>
      <c r="R3" s="165"/>
      <c r="S3" s="166"/>
      <c r="T3" s="166"/>
      <c r="U3" s="166"/>
      <c r="V3" s="166"/>
      <c r="W3" s="166"/>
      <c r="X3" s="166"/>
      <c r="Y3" s="166"/>
      <c r="Z3" s="166"/>
    </row>
    <row r="4" spans="1:26" s="167" customFormat="1" ht="16.5" customHeight="1">
      <c r="A4" s="260" t="s">
        <v>40</v>
      </c>
      <c r="B4" s="287"/>
      <c r="C4" s="287"/>
      <c r="D4" s="287"/>
      <c r="E4" s="287"/>
      <c r="F4" s="288"/>
      <c r="G4" s="260" t="s">
        <v>84</v>
      </c>
      <c r="H4" s="287"/>
      <c r="I4" s="287"/>
      <c r="J4" s="288"/>
      <c r="K4" s="164"/>
      <c r="L4" s="165"/>
      <c r="M4" s="165"/>
      <c r="N4" s="165"/>
      <c r="O4" s="165"/>
      <c r="P4" s="165"/>
      <c r="Q4" s="165"/>
      <c r="R4" s="165"/>
      <c r="S4" s="166"/>
      <c r="T4" s="166"/>
      <c r="U4" s="166"/>
      <c r="V4" s="166"/>
      <c r="W4" s="166"/>
      <c r="X4" s="166"/>
      <c r="Y4" s="166"/>
      <c r="Z4" s="166"/>
    </row>
    <row r="5" spans="1:26" s="167" customFormat="1" ht="56.25" customHeight="1">
      <c r="A5" s="278" t="s">
        <v>1</v>
      </c>
      <c r="B5" s="131" t="s">
        <v>1152</v>
      </c>
      <c r="C5" s="278" t="s">
        <v>588</v>
      </c>
      <c r="D5" s="131" t="s">
        <v>587</v>
      </c>
      <c r="E5" s="131" t="s">
        <v>50</v>
      </c>
      <c r="F5" s="278" t="s">
        <v>613</v>
      </c>
      <c r="G5" s="131" t="s">
        <v>1153</v>
      </c>
      <c r="H5" s="278" t="s">
        <v>612</v>
      </c>
      <c r="I5" s="278" t="s">
        <v>611</v>
      </c>
      <c r="J5" s="132" t="s">
        <v>16</v>
      </c>
      <c r="K5" s="164"/>
      <c r="L5" s="165"/>
      <c r="M5" s="165"/>
      <c r="N5" s="165"/>
      <c r="O5" s="165"/>
      <c r="P5" s="165"/>
      <c r="Q5" s="165"/>
      <c r="R5" s="165"/>
      <c r="S5" s="166"/>
      <c r="T5" s="166"/>
      <c r="U5" s="166"/>
      <c r="V5" s="166"/>
      <c r="W5" s="166"/>
      <c r="X5" s="166"/>
      <c r="Y5" s="166"/>
      <c r="Z5" s="166"/>
    </row>
    <row r="6" spans="1:26" s="167" customFormat="1" ht="56.25" customHeight="1">
      <c r="A6" s="279"/>
      <c r="B6" s="131" t="s">
        <v>614</v>
      </c>
      <c r="C6" s="279"/>
      <c r="D6" s="131" t="s">
        <v>49</v>
      </c>
      <c r="E6" s="131" t="s">
        <v>51</v>
      </c>
      <c r="F6" s="279"/>
      <c r="G6" s="133" t="s">
        <v>1154</v>
      </c>
      <c r="H6" s="279"/>
      <c r="I6" s="279"/>
      <c r="J6" s="134" t="s">
        <v>46</v>
      </c>
      <c r="K6" s="164"/>
      <c r="L6" s="165"/>
      <c r="M6" s="165">
        <v>2.3780000000000001</v>
      </c>
      <c r="N6" s="165"/>
      <c r="O6" s="165"/>
      <c r="P6" s="165"/>
      <c r="Q6" s="165"/>
      <c r="R6" s="165"/>
      <c r="S6" s="166"/>
      <c r="T6" s="166"/>
      <c r="U6" s="166"/>
      <c r="V6" s="166"/>
      <c r="W6" s="166"/>
      <c r="X6" s="166"/>
      <c r="Y6" s="166"/>
      <c r="Z6" s="166"/>
    </row>
    <row r="7" spans="1:26" s="170" customFormat="1" ht="81" customHeight="1">
      <c r="A7" s="310" t="s">
        <v>1915</v>
      </c>
      <c r="B7" s="123" t="s">
        <v>231</v>
      </c>
      <c r="C7" s="280" t="s">
        <v>1772</v>
      </c>
      <c r="D7" s="116">
        <v>45927</v>
      </c>
      <c r="E7" s="116">
        <v>46000</v>
      </c>
      <c r="F7" s="264" t="s">
        <v>232</v>
      </c>
      <c r="G7" s="116" t="str">
        <f>M7&amp;"M3"&amp;"
("&amp;N7&amp;""&amp;"
M2)"</f>
        <v>504.36M3
(2521.79
M2)</v>
      </c>
      <c r="H7" s="285" t="s">
        <v>48</v>
      </c>
      <c r="I7" s="274" t="s">
        <v>594</v>
      </c>
      <c r="J7" s="264" t="s">
        <v>1900</v>
      </c>
      <c r="K7" s="168">
        <v>504.36</v>
      </c>
      <c r="L7" s="164">
        <v>2521.79</v>
      </c>
      <c r="M7" s="165">
        <f>K7</f>
        <v>504.36</v>
      </c>
      <c r="N7" s="165">
        <f>L7</f>
        <v>2521.79</v>
      </c>
      <c r="O7" s="165">
        <v>3</v>
      </c>
      <c r="P7" s="165">
        <f>O7</f>
        <v>3</v>
      </c>
      <c r="Q7" s="165"/>
      <c r="R7" s="165"/>
      <c r="S7" s="169"/>
      <c r="T7" s="169"/>
      <c r="U7" s="169"/>
      <c r="V7" s="169"/>
      <c r="W7" s="169"/>
      <c r="X7" s="169"/>
      <c r="Y7" s="169"/>
      <c r="Z7" s="169"/>
    </row>
    <row r="8" spans="1:26" s="170" customFormat="1" ht="81" customHeight="1">
      <c r="A8" s="268"/>
      <c r="B8" s="102" t="s">
        <v>66</v>
      </c>
      <c r="C8" s="281"/>
      <c r="D8" s="116" t="s">
        <v>1773</v>
      </c>
      <c r="E8" s="116" t="s">
        <v>1774</v>
      </c>
      <c r="F8" s="275"/>
      <c r="G8" s="116" t="str">
        <f>M7&amp;"M3"&amp;"
("&amp;N7&amp;"
M2)"&amp;"
("&amp;P7&amp;"組)"</f>
        <v>504.36M3
(2521.79
M2)
(3組)</v>
      </c>
      <c r="H8" s="285"/>
      <c r="I8" s="274"/>
      <c r="J8" s="298"/>
      <c r="L8" s="164"/>
      <c r="M8" s="165"/>
      <c r="N8" s="165"/>
      <c r="O8" s="165"/>
      <c r="P8" s="165"/>
      <c r="Q8" s="165"/>
      <c r="R8" s="165"/>
      <c r="S8" s="169"/>
      <c r="T8" s="169"/>
      <c r="U8" s="169"/>
      <c r="V8" s="169"/>
      <c r="W8" s="169"/>
      <c r="X8" s="169"/>
      <c r="Y8" s="169"/>
      <c r="Z8" s="169"/>
    </row>
    <row r="9" spans="1:26" s="170" customFormat="1" ht="81" customHeight="1">
      <c r="A9" s="310" t="s">
        <v>1916</v>
      </c>
      <c r="B9" s="123" t="s">
        <v>231</v>
      </c>
      <c r="C9" s="280" t="s">
        <v>1772</v>
      </c>
      <c r="D9" s="116">
        <v>45927</v>
      </c>
      <c r="E9" s="116">
        <v>46000</v>
      </c>
      <c r="F9" s="275"/>
      <c r="G9" s="116" t="str">
        <f>M9&amp;"M3"&amp;"
("&amp;N9&amp;""&amp;"
M2)"</f>
        <v>723.75M3
(3984.41
M2)</v>
      </c>
      <c r="H9" s="285" t="s">
        <v>48</v>
      </c>
      <c r="I9" s="274" t="s">
        <v>594</v>
      </c>
      <c r="J9" s="264" t="s">
        <v>1900</v>
      </c>
      <c r="K9" s="168">
        <v>219.39</v>
      </c>
      <c r="L9" s="165">
        <v>1462.62</v>
      </c>
      <c r="M9" s="165">
        <f>K9+M7</f>
        <v>723.75</v>
      </c>
      <c r="N9" s="165">
        <f>L9+N7</f>
        <v>3984.41</v>
      </c>
      <c r="O9" s="165">
        <v>2</v>
      </c>
      <c r="P9" s="165">
        <f>P7+O9</f>
        <v>5</v>
      </c>
      <c r="Q9" s="165"/>
      <c r="R9" s="165"/>
      <c r="S9" s="169"/>
      <c r="T9" s="169"/>
      <c r="U9" s="169"/>
      <c r="V9" s="169"/>
      <c r="W9" s="169"/>
      <c r="X9" s="169"/>
      <c r="Y9" s="169"/>
      <c r="Z9" s="169"/>
    </row>
    <row r="10" spans="1:26" s="170" customFormat="1" ht="81" customHeight="1">
      <c r="A10" s="268"/>
      <c r="B10" s="102" t="s">
        <v>66</v>
      </c>
      <c r="C10" s="281"/>
      <c r="D10" s="116" t="s">
        <v>1775</v>
      </c>
      <c r="E10" s="116" t="s">
        <v>1776</v>
      </c>
      <c r="F10" s="275"/>
      <c r="G10" s="116" t="str">
        <f>M9&amp;"M3"&amp;"
("&amp;N9&amp;"
M2)"&amp;"
("&amp;P9&amp;"組)"</f>
        <v>723.75M3
(3984.41
M2)
(5組)</v>
      </c>
      <c r="H10" s="285"/>
      <c r="I10" s="274"/>
      <c r="J10" s="298"/>
      <c r="K10" s="164"/>
      <c r="L10" s="164"/>
      <c r="M10" s="165"/>
      <c r="N10" s="165"/>
      <c r="O10" s="165"/>
      <c r="P10" s="165"/>
      <c r="Q10" s="165"/>
      <c r="R10" s="165"/>
      <c r="S10" s="169"/>
      <c r="T10" s="169"/>
      <c r="U10" s="169"/>
      <c r="V10" s="169"/>
      <c r="W10" s="169"/>
      <c r="X10" s="169"/>
      <c r="Y10" s="169"/>
      <c r="Z10" s="169"/>
    </row>
    <row r="11" spans="1:26" s="170" customFormat="1" ht="81" customHeight="1">
      <c r="A11" s="310" t="s">
        <v>1917</v>
      </c>
      <c r="B11" s="123" t="s">
        <v>231</v>
      </c>
      <c r="C11" s="280" t="s">
        <v>1772</v>
      </c>
      <c r="D11" s="116">
        <v>45927</v>
      </c>
      <c r="E11" s="116">
        <v>46000</v>
      </c>
      <c r="F11" s="275"/>
      <c r="G11" s="116" t="str">
        <f>M11&amp;"M3"&amp;"
("&amp;N11&amp;""&amp;"
M2)"</f>
        <v>741.75M3
(4104.41
M2)</v>
      </c>
      <c r="H11" s="285" t="s">
        <v>48</v>
      </c>
      <c r="I11" s="274" t="s">
        <v>594</v>
      </c>
      <c r="J11" s="264" t="s">
        <v>1900</v>
      </c>
      <c r="K11" s="168">
        <v>18</v>
      </c>
      <c r="L11" s="165">
        <v>120</v>
      </c>
      <c r="M11" s="165">
        <f>K11+M9</f>
        <v>741.75</v>
      </c>
      <c r="N11" s="165">
        <f>L11+N9</f>
        <v>4104.41</v>
      </c>
      <c r="O11" s="165">
        <v>1</v>
      </c>
      <c r="P11" s="165">
        <f>P9+O11</f>
        <v>6</v>
      </c>
      <c r="Q11" s="165"/>
      <c r="R11" s="165"/>
      <c r="S11" s="169"/>
      <c r="T11" s="169"/>
      <c r="U11" s="169"/>
      <c r="V11" s="169"/>
      <c r="W11" s="169"/>
      <c r="X11" s="169"/>
      <c r="Y11" s="169"/>
      <c r="Z11" s="169"/>
    </row>
    <row r="12" spans="1:26" s="170" customFormat="1" ht="81" customHeight="1">
      <c r="A12" s="268"/>
      <c r="B12" s="102" t="s">
        <v>66</v>
      </c>
      <c r="C12" s="281"/>
      <c r="D12" s="116" t="s">
        <v>1777</v>
      </c>
      <c r="E12" s="116" t="s">
        <v>1778</v>
      </c>
      <c r="F12" s="275"/>
      <c r="G12" s="116" t="str">
        <f>M11&amp;"M3"&amp;"
("&amp;N11&amp;"
M2)"&amp;"
("&amp;P11&amp;"組)"</f>
        <v>741.75M3
(4104.41
M2)
(6組)</v>
      </c>
      <c r="H12" s="285"/>
      <c r="I12" s="274"/>
      <c r="J12" s="298"/>
      <c r="K12" s="164"/>
      <c r="L12" s="164"/>
      <c r="M12" s="165"/>
      <c r="N12" s="165"/>
      <c r="O12" s="165"/>
      <c r="P12" s="165"/>
      <c r="Q12" s="165"/>
      <c r="R12" s="165"/>
      <c r="S12" s="169"/>
      <c r="T12" s="169"/>
      <c r="U12" s="169"/>
      <c r="V12" s="169"/>
      <c r="W12" s="169"/>
      <c r="X12" s="169"/>
      <c r="Y12" s="169"/>
      <c r="Z12" s="169"/>
    </row>
    <row r="13" spans="1:26" s="170" customFormat="1" ht="81" customHeight="1">
      <c r="A13" s="310" t="s">
        <v>1918</v>
      </c>
      <c r="B13" s="123" t="s">
        <v>231</v>
      </c>
      <c r="C13" s="280" t="s">
        <v>1772</v>
      </c>
      <c r="D13" s="116">
        <v>45927</v>
      </c>
      <c r="E13" s="116">
        <v>46000</v>
      </c>
      <c r="F13" s="275"/>
      <c r="G13" s="116" t="str">
        <f>M13&amp;"M3"&amp;"
("&amp;N13&amp;""&amp;"
M2)"</f>
        <v>804.4M3
(4730.94
M2)</v>
      </c>
      <c r="H13" s="285" t="s">
        <v>48</v>
      </c>
      <c r="I13" s="274" t="s">
        <v>594</v>
      </c>
      <c r="J13" s="264" t="s">
        <v>1900</v>
      </c>
      <c r="K13" s="168">
        <v>62.65</v>
      </c>
      <c r="L13" s="165">
        <v>626.53</v>
      </c>
      <c r="M13" s="165">
        <f>K13+M11</f>
        <v>804.4</v>
      </c>
      <c r="N13" s="165">
        <f>L13+N11</f>
        <v>4730.9399999999996</v>
      </c>
      <c r="O13" s="165">
        <v>1</v>
      </c>
      <c r="P13" s="165">
        <f>P11+O13</f>
        <v>7</v>
      </c>
      <c r="Q13" s="165"/>
      <c r="R13" s="165"/>
      <c r="S13" s="169"/>
      <c r="T13" s="169"/>
      <c r="U13" s="169"/>
      <c r="V13" s="169"/>
      <c r="W13" s="169"/>
      <c r="X13" s="169"/>
      <c r="Y13" s="169"/>
      <c r="Z13" s="169"/>
    </row>
    <row r="14" spans="1:26" s="170" customFormat="1" ht="81" customHeight="1">
      <c r="A14" s="268"/>
      <c r="B14" s="102" t="s">
        <v>66</v>
      </c>
      <c r="C14" s="281"/>
      <c r="D14" s="116" t="s">
        <v>1779</v>
      </c>
      <c r="E14" s="116" t="s">
        <v>1780</v>
      </c>
      <c r="F14" s="266"/>
      <c r="G14" s="116" t="str">
        <f>M13&amp;"M3"&amp;"
("&amp;N13&amp;"
M2)"&amp;"
("&amp;P13&amp;"組)"</f>
        <v>804.4M3
(4730.94
M2)
(7組)</v>
      </c>
      <c r="H14" s="285"/>
      <c r="I14" s="274"/>
      <c r="J14" s="298"/>
      <c r="K14" s="164"/>
      <c r="L14" s="164"/>
      <c r="M14" s="165"/>
      <c r="N14" s="165"/>
      <c r="O14" s="165"/>
      <c r="P14" s="165"/>
      <c r="Q14" s="165"/>
      <c r="R14" s="165"/>
      <c r="S14" s="169"/>
      <c r="T14" s="169"/>
      <c r="U14" s="169"/>
      <c r="V14" s="169"/>
      <c r="W14" s="169"/>
      <c r="X14" s="169"/>
      <c r="Y14" s="169"/>
      <c r="Z14" s="169"/>
    </row>
    <row r="15" spans="1:26" s="142" customFormat="1" ht="49.5" customHeight="1">
      <c r="A15" s="260" t="s">
        <v>47</v>
      </c>
      <c r="B15" s="261"/>
      <c r="C15" s="262"/>
      <c r="D15" s="260" t="s">
        <v>1753</v>
      </c>
      <c r="E15" s="261"/>
      <c r="F15" s="262"/>
      <c r="G15" s="260" t="s">
        <v>1755</v>
      </c>
      <c r="H15" s="261"/>
      <c r="I15" s="261"/>
      <c r="J15" s="262"/>
      <c r="L15" s="143"/>
      <c r="M15" s="143"/>
      <c r="N15" s="143"/>
      <c r="O15" s="143"/>
      <c r="P15" s="143"/>
      <c r="Q15" s="143"/>
      <c r="R15" s="143"/>
      <c r="S15" s="143"/>
      <c r="T15" s="143"/>
      <c r="U15" s="143"/>
      <c r="V15" s="143"/>
      <c r="W15" s="143"/>
      <c r="X15" s="143"/>
      <c r="Y15" s="143"/>
      <c r="Z15" s="143"/>
    </row>
    <row r="16" spans="1:26" s="142" customFormat="1" ht="48.75" customHeight="1">
      <c r="A16" s="263" t="s">
        <v>1147</v>
      </c>
      <c r="B16" s="263"/>
      <c r="C16" s="263"/>
      <c r="D16" s="263"/>
      <c r="E16" s="263"/>
      <c r="F16" s="263"/>
      <c r="G16" s="263"/>
      <c r="H16" s="263"/>
      <c r="I16" s="263"/>
      <c r="J16" s="263"/>
      <c r="L16" s="143"/>
      <c r="M16" s="143"/>
      <c r="N16" s="143"/>
      <c r="O16" s="143"/>
      <c r="P16" s="143"/>
      <c r="Q16" s="143"/>
      <c r="R16" s="143"/>
      <c r="S16" s="143"/>
      <c r="T16" s="143"/>
      <c r="U16" s="143"/>
      <c r="V16" s="143"/>
      <c r="W16" s="143"/>
      <c r="X16" s="143"/>
      <c r="Y16" s="143"/>
      <c r="Z16" s="143"/>
    </row>
    <row r="17" spans="1:26" s="170" customFormat="1" ht="81" customHeight="1">
      <c r="A17" s="310" t="s">
        <v>1919</v>
      </c>
      <c r="B17" s="123" t="s">
        <v>231</v>
      </c>
      <c r="C17" s="280" t="s">
        <v>1851</v>
      </c>
      <c r="D17" s="116">
        <v>45927</v>
      </c>
      <c r="E17" s="116">
        <v>46000</v>
      </c>
      <c r="F17" s="264" t="s">
        <v>232</v>
      </c>
      <c r="G17" s="116" t="str">
        <f>M17&amp;"M3"&amp;"
("&amp;N17&amp;""&amp;"
M2)"</f>
        <v>871.61M3
(5403.06
M2)</v>
      </c>
      <c r="H17" s="285" t="s">
        <v>48</v>
      </c>
      <c r="I17" s="274" t="s">
        <v>594</v>
      </c>
      <c r="J17" s="264" t="s">
        <v>1900</v>
      </c>
      <c r="K17" s="168">
        <v>67.209999999999994</v>
      </c>
      <c r="L17" s="165">
        <v>672.12</v>
      </c>
      <c r="M17" s="165">
        <f>K17+M13</f>
        <v>871.61</v>
      </c>
      <c r="N17" s="165">
        <f>L17+N13</f>
        <v>5403.0599999999995</v>
      </c>
      <c r="O17" s="165">
        <v>1</v>
      </c>
      <c r="P17" s="165">
        <f>P13+O17</f>
        <v>8</v>
      </c>
      <c r="Q17" s="165"/>
      <c r="R17" s="165"/>
      <c r="S17" s="169"/>
      <c r="T17" s="169"/>
      <c r="U17" s="169"/>
      <c r="V17" s="169"/>
      <c r="W17" s="169"/>
      <c r="X17" s="169"/>
      <c r="Y17" s="169"/>
      <c r="Z17" s="169"/>
    </row>
    <row r="18" spans="1:26" s="170" customFormat="1" ht="81" customHeight="1">
      <c r="A18" s="268"/>
      <c r="B18" s="102" t="s">
        <v>66</v>
      </c>
      <c r="C18" s="281"/>
      <c r="D18" s="116" t="s">
        <v>1781</v>
      </c>
      <c r="E18" s="116" t="s">
        <v>1782</v>
      </c>
      <c r="F18" s="275"/>
      <c r="G18" s="116" t="str">
        <f>M17&amp;"M3"&amp;"
("&amp;N17&amp;"
M2)"&amp;"
("&amp;P17&amp;"組)"</f>
        <v>871.61M3
(5403.06
M2)
(8組)</v>
      </c>
      <c r="H18" s="285"/>
      <c r="I18" s="274"/>
      <c r="J18" s="298"/>
      <c r="K18" s="164"/>
      <c r="L18" s="164"/>
      <c r="M18" s="165"/>
      <c r="N18" s="165"/>
      <c r="O18" s="165"/>
      <c r="P18" s="165"/>
      <c r="Q18" s="165"/>
      <c r="R18" s="165"/>
      <c r="S18" s="169"/>
      <c r="T18" s="169"/>
      <c r="U18" s="169"/>
      <c r="V18" s="169"/>
      <c r="W18" s="169"/>
      <c r="X18" s="169"/>
      <c r="Y18" s="169"/>
      <c r="Z18" s="169"/>
    </row>
    <row r="19" spans="1:26" s="170" customFormat="1" ht="81" customHeight="1">
      <c r="A19" s="310" t="s">
        <v>1920</v>
      </c>
      <c r="B19" s="123" t="s">
        <v>231</v>
      </c>
      <c r="C19" s="280" t="s">
        <v>1851</v>
      </c>
      <c r="D19" s="116">
        <v>45927</v>
      </c>
      <c r="E19" s="116">
        <v>46000</v>
      </c>
      <c r="F19" s="275"/>
      <c r="G19" s="116" t="str">
        <f>M19&amp;"M3"&amp;"
("&amp;N19&amp;""&amp;"
M2)"</f>
        <v>885.21M3
(5675.11
M2)</v>
      </c>
      <c r="H19" s="285" t="s">
        <v>48</v>
      </c>
      <c r="I19" s="274" t="s">
        <v>594</v>
      </c>
      <c r="J19" s="264" t="s">
        <v>1900</v>
      </c>
      <c r="K19" s="168">
        <v>13.6</v>
      </c>
      <c r="L19" s="165">
        <v>272.05</v>
      </c>
      <c r="M19" s="165">
        <f>K19+M17</f>
        <v>885.21</v>
      </c>
      <c r="N19" s="165">
        <f>L19+N17</f>
        <v>5675.11</v>
      </c>
      <c r="O19" s="165">
        <v>1</v>
      </c>
      <c r="P19" s="165">
        <f>P17+O19</f>
        <v>9</v>
      </c>
      <c r="Q19" s="165"/>
      <c r="R19" s="165"/>
      <c r="S19" s="169"/>
      <c r="T19" s="169"/>
      <c r="U19" s="169"/>
      <c r="V19" s="169"/>
      <c r="W19" s="169"/>
      <c r="X19" s="169"/>
      <c r="Y19" s="169"/>
      <c r="Z19" s="169"/>
    </row>
    <row r="20" spans="1:26" s="170" customFormat="1" ht="81" customHeight="1">
      <c r="A20" s="268"/>
      <c r="B20" s="102" t="s">
        <v>66</v>
      </c>
      <c r="C20" s="281"/>
      <c r="D20" s="116" t="s">
        <v>1783</v>
      </c>
      <c r="E20" s="116" t="s">
        <v>1784</v>
      </c>
      <c r="F20" s="275"/>
      <c r="G20" s="116" t="str">
        <f>M19&amp;"M3"&amp;"
("&amp;N19&amp;"
M2)"&amp;"
("&amp;P19&amp;"組)"</f>
        <v>885.21M3
(5675.11
M2)
(9組)</v>
      </c>
      <c r="H20" s="285"/>
      <c r="I20" s="274"/>
      <c r="J20" s="298"/>
      <c r="K20" s="164"/>
      <c r="L20" s="164"/>
      <c r="M20" s="165"/>
      <c r="N20" s="165"/>
      <c r="O20" s="165"/>
      <c r="P20" s="165"/>
      <c r="Q20" s="165"/>
      <c r="R20" s="165"/>
      <c r="S20" s="169"/>
      <c r="T20" s="169"/>
      <c r="U20" s="169"/>
      <c r="V20" s="169"/>
      <c r="W20" s="169"/>
      <c r="X20" s="169"/>
      <c r="Y20" s="169"/>
      <c r="Z20" s="169"/>
    </row>
    <row r="21" spans="1:26" s="170" customFormat="1" ht="81" customHeight="1">
      <c r="A21" s="310"/>
      <c r="B21" s="123"/>
      <c r="C21" s="280"/>
      <c r="D21" s="116"/>
      <c r="E21" s="116"/>
      <c r="F21" s="194"/>
      <c r="G21" s="117"/>
      <c r="H21" s="285"/>
      <c r="I21" s="274"/>
      <c r="J21" s="124"/>
      <c r="K21" s="168"/>
      <c r="L21" s="165"/>
      <c r="M21" s="165"/>
      <c r="N21" s="165"/>
      <c r="O21" s="165"/>
      <c r="P21" s="165"/>
      <c r="Q21" s="165"/>
      <c r="R21" s="165"/>
      <c r="S21" s="169"/>
      <c r="T21" s="169"/>
      <c r="U21" s="169"/>
      <c r="V21" s="169"/>
      <c r="W21" s="169"/>
      <c r="X21" s="169"/>
      <c r="Y21" s="169"/>
      <c r="Z21" s="169"/>
    </row>
    <row r="22" spans="1:26" s="170" customFormat="1" ht="81" customHeight="1">
      <c r="A22" s="268"/>
      <c r="B22" s="102"/>
      <c r="C22" s="281"/>
      <c r="D22" s="116"/>
      <c r="E22" s="117"/>
      <c r="F22" s="194"/>
      <c r="G22" s="117"/>
      <c r="H22" s="285"/>
      <c r="I22" s="274"/>
      <c r="J22" s="124"/>
      <c r="K22" s="164"/>
      <c r="L22" s="164"/>
      <c r="M22" s="165"/>
      <c r="N22" s="165"/>
      <c r="O22" s="165"/>
      <c r="P22" s="165"/>
      <c r="Q22" s="165"/>
      <c r="R22" s="165"/>
      <c r="S22" s="169"/>
      <c r="T22" s="169"/>
      <c r="U22" s="169"/>
      <c r="V22" s="169"/>
      <c r="W22" s="169"/>
      <c r="X22" s="169"/>
      <c r="Y22" s="169"/>
      <c r="Z22" s="169"/>
    </row>
    <row r="23" spans="1:26" s="170" customFormat="1" ht="81" customHeight="1">
      <c r="A23" s="310"/>
      <c r="B23" s="123"/>
      <c r="C23" s="280"/>
      <c r="D23" s="116"/>
      <c r="E23" s="116"/>
      <c r="F23" s="194"/>
      <c r="G23" s="117"/>
      <c r="H23" s="285"/>
      <c r="I23" s="274"/>
      <c r="J23" s="124"/>
      <c r="K23" s="168"/>
      <c r="L23" s="165"/>
      <c r="M23" s="165"/>
      <c r="N23" s="165"/>
      <c r="O23" s="165"/>
      <c r="P23" s="165"/>
      <c r="Q23" s="165"/>
      <c r="R23" s="165"/>
      <c r="S23" s="169"/>
      <c r="T23" s="169"/>
      <c r="U23" s="169"/>
      <c r="V23" s="169"/>
      <c r="W23" s="169"/>
      <c r="X23" s="169"/>
      <c r="Y23" s="169"/>
      <c r="Z23" s="169"/>
    </row>
    <row r="24" spans="1:26" s="170" customFormat="1" ht="81" customHeight="1">
      <c r="A24" s="268"/>
      <c r="B24" s="102"/>
      <c r="C24" s="281"/>
      <c r="D24" s="116"/>
      <c r="E24" s="117"/>
      <c r="F24" s="195"/>
      <c r="G24" s="117"/>
      <c r="H24" s="285"/>
      <c r="I24" s="274"/>
      <c r="J24" s="124"/>
      <c r="K24" s="164"/>
      <c r="L24" s="164"/>
      <c r="M24" s="165"/>
      <c r="N24" s="165"/>
      <c r="O24" s="165"/>
      <c r="P24" s="165"/>
      <c r="Q24" s="165"/>
      <c r="R24" s="165"/>
      <c r="S24" s="169"/>
      <c r="T24" s="169"/>
      <c r="U24" s="169"/>
      <c r="V24" s="169"/>
      <c r="W24" s="169"/>
      <c r="X24" s="169"/>
      <c r="Y24" s="169"/>
      <c r="Z24" s="169"/>
    </row>
    <row r="25" spans="1:26" s="142" customFormat="1" ht="49.5" customHeight="1">
      <c r="A25" s="260" t="s">
        <v>47</v>
      </c>
      <c r="B25" s="261"/>
      <c r="C25" s="262"/>
      <c r="D25" s="260" t="s">
        <v>1753</v>
      </c>
      <c r="E25" s="261"/>
      <c r="F25" s="262"/>
      <c r="G25" s="260" t="s">
        <v>1755</v>
      </c>
      <c r="H25" s="261"/>
      <c r="I25" s="261"/>
      <c r="J25" s="262"/>
      <c r="L25" s="143"/>
      <c r="M25" s="143"/>
      <c r="N25" s="143"/>
      <c r="O25" s="143"/>
      <c r="P25" s="143"/>
      <c r="Q25" s="143"/>
      <c r="R25" s="143"/>
      <c r="S25" s="143"/>
      <c r="T25" s="143"/>
      <c r="U25" s="143"/>
      <c r="V25" s="143"/>
      <c r="W25" s="143"/>
      <c r="X25" s="143"/>
      <c r="Y25" s="143"/>
      <c r="Z25" s="143"/>
    </row>
    <row r="26" spans="1:26" s="142" customFormat="1" ht="48.75" customHeight="1">
      <c r="A26" s="263" t="s">
        <v>1147</v>
      </c>
      <c r="B26" s="263"/>
      <c r="C26" s="263"/>
      <c r="D26" s="263"/>
      <c r="E26" s="263"/>
      <c r="F26" s="263"/>
      <c r="G26" s="263"/>
      <c r="H26" s="263"/>
      <c r="I26" s="263"/>
      <c r="J26" s="263"/>
      <c r="L26" s="143"/>
      <c r="M26" s="143"/>
      <c r="N26" s="143"/>
      <c r="O26" s="143"/>
      <c r="P26" s="143"/>
      <c r="Q26" s="143"/>
      <c r="R26" s="143"/>
      <c r="S26" s="143"/>
      <c r="T26" s="143"/>
      <c r="U26" s="143"/>
      <c r="V26" s="143"/>
      <c r="W26" s="143"/>
      <c r="X26" s="143"/>
      <c r="Y26" s="143"/>
      <c r="Z26" s="143"/>
    </row>
    <row r="27" spans="1:26" s="167" customFormat="1" ht="76.5" customHeight="1">
      <c r="A27" s="310" t="s">
        <v>1921</v>
      </c>
      <c r="B27" s="123" t="s">
        <v>231</v>
      </c>
      <c r="C27" s="280" t="s">
        <v>1852</v>
      </c>
      <c r="D27" s="116">
        <v>45927</v>
      </c>
      <c r="E27" s="116">
        <v>46027</v>
      </c>
      <c r="F27" s="264" t="s">
        <v>233</v>
      </c>
      <c r="G27" s="117" t="s">
        <v>1853</v>
      </c>
      <c r="H27" s="285"/>
      <c r="I27" s="274" t="s">
        <v>594</v>
      </c>
      <c r="J27" s="124"/>
      <c r="K27" s="168"/>
      <c r="L27" s="165"/>
      <c r="M27" s="165"/>
      <c r="N27" s="165"/>
      <c r="O27" s="165"/>
      <c r="P27" s="165"/>
      <c r="Q27" s="165"/>
      <c r="R27" s="165"/>
      <c r="S27" s="166"/>
      <c r="T27" s="166"/>
      <c r="U27" s="166"/>
      <c r="V27" s="166"/>
      <c r="W27" s="166"/>
      <c r="X27" s="166"/>
      <c r="Y27" s="166"/>
      <c r="Z27" s="166"/>
    </row>
    <row r="28" spans="1:26" s="167" customFormat="1" ht="76.5" customHeight="1">
      <c r="A28" s="268"/>
      <c r="B28" s="102" t="s">
        <v>66</v>
      </c>
      <c r="C28" s="281"/>
      <c r="D28" s="117" t="s">
        <v>1853</v>
      </c>
      <c r="E28" s="117" t="s">
        <v>1860</v>
      </c>
      <c r="F28" s="275"/>
      <c r="G28" s="117" t="s">
        <v>1860</v>
      </c>
      <c r="H28" s="285"/>
      <c r="I28" s="274"/>
      <c r="J28" s="124"/>
      <c r="K28" s="164"/>
      <c r="L28" s="117">
        <v>2089.15</v>
      </c>
      <c r="M28" s="165"/>
      <c r="N28" s="165"/>
      <c r="O28" s="165"/>
      <c r="P28" s="165"/>
      <c r="Q28" s="165"/>
      <c r="R28" s="165"/>
      <c r="S28" s="166"/>
      <c r="T28" s="166"/>
      <c r="U28" s="166"/>
      <c r="V28" s="166"/>
      <c r="W28" s="166"/>
      <c r="X28" s="166"/>
      <c r="Y28" s="166"/>
      <c r="Z28" s="166"/>
    </row>
    <row r="29" spans="1:26" s="167" customFormat="1" ht="76.5" customHeight="1">
      <c r="A29" s="310" t="s">
        <v>1922</v>
      </c>
      <c r="B29" s="123" t="s">
        <v>231</v>
      </c>
      <c r="C29" s="280" t="s">
        <v>1852</v>
      </c>
      <c r="D29" s="116">
        <v>45927</v>
      </c>
      <c r="E29" s="116">
        <v>46027</v>
      </c>
      <c r="F29" s="275"/>
      <c r="G29" s="117" t="s">
        <v>1861</v>
      </c>
      <c r="H29" s="285"/>
      <c r="I29" s="274" t="s">
        <v>594</v>
      </c>
      <c r="J29" s="124"/>
      <c r="K29" s="168"/>
      <c r="M29" s="165"/>
      <c r="N29" s="165"/>
      <c r="O29" s="165"/>
      <c r="P29" s="165"/>
      <c r="Q29" s="165"/>
      <c r="R29" s="165"/>
      <c r="S29" s="166"/>
      <c r="T29" s="166"/>
      <c r="U29" s="166"/>
      <c r="V29" s="166"/>
      <c r="W29" s="166"/>
      <c r="X29" s="166"/>
      <c r="Y29" s="166"/>
      <c r="Z29" s="166"/>
    </row>
    <row r="30" spans="1:26" s="167" customFormat="1" ht="76.5" customHeight="1">
      <c r="A30" s="268"/>
      <c r="B30" s="102" t="s">
        <v>66</v>
      </c>
      <c r="C30" s="281"/>
      <c r="D30" s="117" t="s">
        <v>1854</v>
      </c>
      <c r="E30" s="117" t="s">
        <v>1857</v>
      </c>
      <c r="F30" s="275"/>
      <c r="G30" s="117" t="s">
        <v>1862</v>
      </c>
      <c r="H30" s="285"/>
      <c r="I30" s="274"/>
      <c r="J30" s="124"/>
      <c r="K30" s="164"/>
      <c r="L30" s="117">
        <v>2209.77</v>
      </c>
      <c r="M30" s="198">
        <f>L28+L30</f>
        <v>4298.92</v>
      </c>
      <c r="N30" s="165"/>
      <c r="O30" s="165"/>
      <c r="P30" s="165"/>
      <c r="Q30" s="165"/>
      <c r="R30" s="165"/>
      <c r="S30" s="166"/>
      <c r="T30" s="166"/>
      <c r="U30" s="166"/>
      <c r="V30" s="166"/>
      <c r="W30" s="166"/>
      <c r="X30" s="166"/>
      <c r="Y30" s="166"/>
      <c r="Z30" s="166"/>
    </row>
    <row r="31" spans="1:26" s="167" customFormat="1" ht="76.5" customHeight="1">
      <c r="A31" s="310" t="s">
        <v>1923</v>
      </c>
      <c r="B31" s="123" t="s">
        <v>231</v>
      </c>
      <c r="C31" s="280" t="s">
        <v>1852</v>
      </c>
      <c r="D31" s="116">
        <v>45927</v>
      </c>
      <c r="E31" s="116">
        <v>46027</v>
      </c>
      <c r="F31" s="275"/>
      <c r="G31" s="117" t="s">
        <v>1863</v>
      </c>
      <c r="H31" s="285"/>
      <c r="I31" s="274" t="s">
        <v>594</v>
      </c>
      <c r="J31" s="124"/>
      <c r="K31" s="168"/>
      <c r="M31" s="165"/>
      <c r="N31" s="165"/>
      <c r="O31" s="165"/>
      <c r="P31" s="165"/>
      <c r="Q31" s="165"/>
      <c r="R31" s="165"/>
      <c r="S31" s="166"/>
      <c r="T31" s="166"/>
      <c r="U31" s="166"/>
      <c r="V31" s="166"/>
      <c r="W31" s="166"/>
      <c r="X31" s="166"/>
      <c r="Y31" s="166"/>
      <c r="Z31" s="166"/>
    </row>
    <row r="32" spans="1:26" s="167" customFormat="1" ht="76.5" customHeight="1">
      <c r="A32" s="268"/>
      <c r="B32" s="102" t="s">
        <v>66</v>
      </c>
      <c r="C32" s="281"/>
      <c r="D32" s="117" t="s">
        <v>1855</v>
      </c>
      <c r="E32" s="117" t="s">
        <v>1858</v>
      </c>
      <c r="F32" s="275"/>
      <c r="G32" s="117" t="s">
        <v>1864</v>
      </c>
      <c r="H32" s="285"/>
      <c r="I32" s="274"/>
      <c r="J32" s="124"/>
      <c r="K32" s="164"/>
      <c r="L32" s="117">
        <v>632.33000000000004</v>
      </c>
      <c r="M32" s="198">
        <f>M30+L32</f>
        <v>4931.25</v>
      </c>
      <c r="N32" s="165"/>
      <c r="O32" s="165"/>
      <c r="P32" s="165"/>
      <c r="Q32" s="165"/>
      <c r="R32" s="165"/>
      <c r="S32" s="166"/>
      <c r="T32" s="166"/>
      <c r="U32" s="166"/>
      <c r="V32" s="166"/>
      <c r="W32" s="166"/>
      <c r="X32" s="166"/>
      <c r="Y32" s="166"/>
      <c r="Z32" s="166"/>
    </row>
    <row r="33" spans="1:26" s="167" customFormat="1" ht="76.5" customHeight="1">
      <c r="A33" s="310" t="s">
        <v>1924</v>
      </c>
      <c r="B33" s="123" t="s">
        <v>231</v>
      </c>
      <c r="C33" s="280" t="s">
        <v>1852</v>
      </c>
      <c r="D33" s="116">
        <v>45927</v>
      </c>
      <c r="E33" s="116">
        <v>46027</v>
      </c>
      <c r="F33" s="275"/>
      <c r="G33" s="117" t="s">
        <v>1865</v>
      </c>
      <c r="H33" s="285"/>
      <c r="I33" s="274" t="s">
        <v>594</v>
      </c>
      <c r="J33" s="124"/>
      <c r="K33" s="168"/>
      <c r="M33" s="165"/>
      <c r="N33" s="165"/>
      <c r="O33" s="165"/>
      <c r="P33" s="165"/>
      <c r="Q33" s="165"/>
      <c r="R33" s="165"/>
      <c r="S33" s="166"/>
      <c r="T33" s="166"/>
      <c r="U33" s="166"/>
      <c r="V33" s="166"/>
      <c r="W33" s="166"/>
      <c r="X33" s="166"/>
      <c r="Y33" s="166"/>
      <c r="Z33" s="166"/>
    </row>
    <row r="34" spans="1:26" s="167" customFormat="1" ht="76.5" customHeight="1">
      <c r="A34" s="268"/>
      <c r="B34" s="102" t="s">
        <v>66</v>
      </c>
      <c r="C34" s="281"/>
      <c r="D34" s="116" t="s">
        <v>1856</v>
      </c>
      <c r="E34" s="116" t="s">
        <v>1859</v>
      </c>
      <c r="F34" s="266"/>
      <c r="G34" s="117" t="s">
        <v>1866</v>
      </c>
      <c r="H34" s="285"/>
      <c r="I34" s="274"/>
      <c r="J34" s="124"/>
      <c r="K34" s="164"/>
      <c r="L34" s="117">
        <v>743.85</v>
      </c>
      <c r="M34" s="198">
        <f>M32+L34</f>
        <v>5675.1</v>
      </c>
      <c r="N34" s="165"/>
      <c r="O34" s="165"/>
      <c r="P34" s="165"/>
      <c r="Q34" s="165"/>
      <c r="R34" s="165"/>
      <c r="S34" s="166"/>
      <c r="T34" s="166"/>
      <c r="U34" s="166"/>
      <c r="V34" s="166"/>
      <c r="W34" s="166"/>
      <c r="X34" s="166"/>
      <c r="Y34" s="166"/>
      <c r="Z34" s="166"/>
    </row>
    <row r="35" spans="1:26" s="142" customFormat="1" ht="49.5" customHeight="1">
      <c r="A35" s="260" t="s">
        <v>47</v>
      </c>
      <c r="B35" s="261"/>
      <c r="C35" s="262"/>
      <c r="D35" s="260" t="s">
        <v>1753</v>
      </c>
      <c r="E35" s="261"/>
      <c r="F35" s="262"/>
      <c r="G35" s="260" t="s">
        <v>1755</v>
      </c>
      <c r="H35" s="261"/>
      <c r="I35" s="261"/>
      <c r="J35" s="262"/>
      <c r="L35" s="143"/>
      <c r="M35" s="143"/>
      <c r="N35" s="143"/>
      <c r="O35" s="143"/>
      <c r="P35" s="143"/>
      <c r="Q35" s="143"/>
      <c r="R35" s="143"/>
      <c r="S35" s="143"/>
      <c r="T35" s="143"/>
      <c r="U35" s="143"/>
      <c r="V35" s="143"/>
      <c r="W35" s="143"/>
      <c r="X35" s="143"/>
      <c r="Y35" s="143"/>
      <c r="Z35" s="143"/>
    </row>
    <row r="36" spans="1:26" s="142" customFormat="1" ht="37.5" customHeight="1">
      <c r="A36" s="324" t="s">
        <v>1147</v>
      </c>
      <c r="B36" s="324"/>
      <c r="C36" s="324"/>
      <c r="D36" s="324"/>
      <c r="E36" s="324"/>
      <c r="F36" s="324"/>
      <c r="G36" s="324"/>
      <c r="H36" s="324"/>
      <c r="I36" s="324"/>
      <c r="J36" s="324"/>
      <c r="L36" s="143"/>
      <c r="M36" s="143"/>
      <c r="N36" s="143"/>
      <c r="O36" s="143"/>
      <c r="P36" s="143"/>
      <c r="Q36" s="143"/>
      <c r="R36" s="143"/>
      <c r="S36" s="143"/>
      <c r="T36" s="143"/>
      <c r="U36" s="143"/>
      <c r="V36" s="143"/>
      <c r="W36" s="143"/>
      <c r="X36" s="143"/>
      <c r="Y36" s="143"/>
      <c r="Z36" s="143"/>
    </row>
    <row r="37" spans="1:26" s="167" customFormat="1" ht="83.25" customHeight="1">
      <c r="A37" s="310" t="s">
        <v>978</v>
      </c>
      <c r="B37" s="123" t="s">
        <v>1080</v>
      </c>
      <c r="C37" s="280" t="s">
        <v>1533</v>
      </c>
      <c r="D37" s="115">
        <v>45765</v>
      </c>
      <c r="E37" s="115">
        <f>D37</f>
        <v>45765</v>
      </c>
      <c r="F37" s="264" t="s">
        <v>980</v>
      </c>
      <c r="G37" s="116" t="s">
        <v>1081</v>
      </c>
      <c r="H37" s="264" t="s">
        <v>48</v>
      </c>
      <c r="I37" s="274" t="s">
        <v>594</v>
      </c>
      <c r="J37" s="264" t="s">
        <v>1083</v>
      </c>
      <c r="K37" s="168"/>
      <c r="L37" s="165">
        <f>15921.14/4.8</f>
        <v>3316.9041666666667</v>
      </c>
      <c r="M37" s="165">
        <f>19027.2*4.8/15921.14</f>
        <v>5.7364334463486912</v>
      </c>
      <c r="N37" s="165"/>
      <c r="O37" s="165"/>
      <c r="P37" s="165"/>
      <c r="Q37" s="165"/>
      <c r="R37" s="165"/>
      <c r="S37" s="166"/>
      <c r="T37" s="166"/>
      <c r="U37" s="166"/>
      <c r="V37" s="166"/>
      <c r="W37" s="166"/>
      <c r="X37" s="166"/>
      <c r="Y37" s="166"/>
      <c r="Z37" s="166"/>
    </row>
    <row r="38" spans="1:26" s="167" customFormat="1" ht="83.25" customHeight="1">
      <c r="A38" s="268"/>
      <c r="B38" s="102" t="s">
        <v>979</v>
      </c>
      <c r="C38" s="281"/>
      <c r="D38" s="116" t="s">
        <v>1081</v>
      </c>
      <c r="E38" s="193" t="s">
        <v>1079</v>
      </c>
      <c r="F38" s="275"/>
      <c r="G38" s="116" t="s">
        <v>1082</v>
      </c>
      <c r="H38" s="266"/>
      <c r="I38" s="274"/>
      <c r="J38" s="298"/>
      <c r="K38" s="164"/>
      <c r="L38" s="164">
        <f>1698*3</f>
        <v>5094</v>
      </c>
      <c r="M38" s="165">
        <f>5.5*3</f>
        <v>16.5</v>
      </c>
      <c r="N38" s="165"/>
      <c r="O38" s="165"/>
      <c r="P38" s="165"/>
      <c r="Q38" s="165"/>
      <c r="R38" s="165"/>
      <c r="S38" s="166"/>
      <c r="T38" s="166"/>
      <c r="U38" s="166"/>
      <c r="V38" s="166"/>
      <c r="W38" s="166"/>
      <c r="X38" s="166"/>
      <c r="Y38" s="166"/>
      <c r="Z38" s="166"/>
    </row>
    <row r="39" spans="1:26" s="167" customFormat="1" ht="83.25" customHeight="1">
      <c r="A39" s="310" t="s">
        <v>1505</v>
      </c>
      <c r="B39" s="123" t="s">
        <v>1172</v>
      </c>
      <c r="C39" s="280" t="s">
        <v>1801</v>
      </c>
      <c r="D39" s="115">
        <v>45921</v>
      </c>
      <c r="E39" s="115">
        <v>45921</v>
      </c>
      <c r="F39" s="264" t="s">
        <v>1507</v>
      </c>
      <c r="G39" s="116" t="s">
        <v>1498</v>
      </c>
      <c r="H39" s="264"/>
      <c r="I39" s="274" t="s">
        <v>1229</v>
      </c>
      <c r="J39" s="264" t="s">
        <v>1790</v>
      </c>
      <c r="K39" s="168"/>
      <c r="L39" s="165"/>
      <c r="M39" s="165"/>
      <c r="N39" s="165"/>
      <c r="O39" s="165"/>
      <c r="P39" s="165"/>
      <c r="Q39" s="165"/>
      <c r="R39" s="165"/>
      <c r="S39" s="166"/>
      <c r="T39" s="166"/>
      <c r="U39" s="166"/>
      <c r="V39" s="166"/>
      <c r="W39" s="166"/>
      <c r="X39" s="166"/>
      <c r="Y39" s="166"/>
      <c r="Z39" s="166"/>
    </row>
    <row r="40" spans="1:26" s="167" customFormat="1" ht="83.25" customHeight="1">
      <c r="A40" s="268"/>
      <c r="B40" s="102" t="s">
        <v>797</v>
      </c>
      <c r="C40" s="281"/>
      <c r="D40" s="116" t="s">
        <v>1498</v>
      </c>
      <c r="E40" s="116" t="s">
        <v>1499</v>
      </c>
      <c r="F40" s="275"/>
      <c r="G40" s="116" t="s">
        <v>1499</v>
      </c>
      <c r="H40" s="266"/>
      <c r="I40" s="274"/>
      <c r="J40" s="298"/>
      <c r="K40" s="164"/>
      <c r="L40" s="164">
        <f>1698*3</f>
        <v>5094</v>
      </c>
      <c r="M40" s="165">
        <f>5.5*3</f>
        <v>16.5</v>
      </c>
      <c r="N40" s="165"/>
      <c r="O40" s="165"/>
      <c r="P40" s="165"/>
      <c r="Q40" s="165"/>
      <c r="R40" s="165"/>
      <c r="S40" s="166"/>
      <c r="T40" s="166"/>
      <c r="U40" s="166"/>
      <c r="V40" s="166"/>
      <c r="W40" s="166"/>
      <c r="X40" s="166"/>
      <c r="Y40" s="166"/>
      <c r="Z40" s="166"/>
    </row>
    <row r="41" spans="1:26" s="167" customFormat="1" ht="83.25" customHeight="1">
      <c r="A41" s="310" t="s">
        <v>1506</v>
      </c>
      <c r="B41" s="171" t="s">
        <v>1182</v>
      </c>
      <c r="C41" s="291" t="s">
        <v>1532</v>
      </c>
      <c r="D41" s="115">
        <v>45921</v>
      </c>
      <c r="E41" s="115">
        <v>45921</v>
      </c>
      <c r="F41" s="264" t="s">
        <v>1507</v>
      </c>
      <c r="G41" s="116" t="s">
        <v>1498</v>
      </c>
      <c r="H41" s="264"/>
      <c r="I41" s="274" t="s">
        <v>1229</v>
      </c>
      <c r="J41" s="264" t="s">
        <v>1790</v>
      </c>
      <c r="K41" s="168"/>
      <c r="L41" s="165"/>
      <c r="M41" s="165"/>
      <c r="N41" s="165"/>
      <c r="O41" s="165"/>
      <c r="P41" s="165"/>
      <c r="Q41" s="165"/>
      <c r="R41" s="165"/>
      <c r="S41" s="166"/>
      <c r="T41" s="166"/>
      <c r="U41" s="166"/>
      <c r="V41" s="166"/>
      <c r="W41" s="166"/>
      <c r="X41" s="166"/>
      <c r="Y41" s="166"/>
      <c r="Z41" s="166"/>
    </row>
    <row r="42" spans="1:26" s="167" customFormat="1" ht="83.25" customHeight="1">
      <c r="A42" s="268"/>
      <c r="B42" s="94" t="s">
        <v>798</v>
      </c>
      <c r="C42" s="292"/>
      <c r="D42" s="116" t="s">
        <v>1498</v>
      </c>
      <c r="E42" s="116" t="s">
        <v>1499</v>
      </c>
      <c r="F42" s="275"/>
      <c r="G42" s="116" t="s">
        <v>1499</v>
      </c>
      <c r="H42" s="266"/>
      <c r="I42" s="274"/>
      <c r="J42" s="298"/>
      <c r="K42" s="164"/>
      <c r="L42" s="164">
        <f>1698*3</f>
        <v>5094</v>
      </c>
      <c r="M42" s="165">
        <f>5.5*3</f>
        <v>16.5</v>
      </c>
      <c r="N42" s="165"/>
      <c r="O42" s="165"/>
      <c r="P42" s="165"/>
      <c r="Q42" s="165"/>
      <c r="R42" s="165"/>
      <c r="S42" s="166"/>
      <c r="T42" s="166"/>
      <c r="U42" s="166"/>
      <c r="V42" s="166"/>
      <c r="W42" s="166"/>
      <c r="X42" s="166"/>
      <c r="Y42" s="166"/>
      <c r="Z42" s="166"/>
    </row>
    <row r="43" spans="1:26" s="142" customFormat="1" ht="49.5" customHeight="1">
      <c r="A43" s="260" t="s">
        <v>47</v>
      </c>
      <c r="B43" s="261"/>
      <c r="C43" s="262"/>
      <c r="D43" s="260" t="s">
        <v>1753</v>
      </c>
      <c r="E43" s="261"/>
      <c r="F43" s="262"/>
      <c r="G43" s="260" t="s">
        <v>1755</v>
      </c>
      <c r="H43" s="261"/>
      <c r="I43" s="261"/>
      <c r="J43" s="262"/>
      <c r="L43" s="143"/>
      <c r="M43" s="143"/>
      <c r="N43" s="143"/>
      <c r="O43" s="143"/>
      <c r="P43" s="143"/>
      <c r="Q43" s="143"/>
      <c r="R43" s="143"/>
      <c r="S43" s="143"/>
      <c r="T43" s="143"/>
      <c r="U43" s="143"/>
      <c r="V43" s="143"/>
      <c r="W43" s="143"/>
      <c r="X43" s="143"/>
      <c r="Y43" s="143"/>
      <c r="Z43" s="143"/>
    </row>
    <row r="44" spans="1:26" s="142" customFormat="1" ht="52.5" customHeight="1">
      <c r="A44" s="263" t="s">
        <v>1147</v>
      </c>
      <c r="B44" s="263"/>
      <c r="C44" s="263"/>
      <c r="D44" s="263"/>
      <c r="E44" s="263"/>
      <c r="F44" s="263"/>
      <c r="G44" s="263"/>
      <c r="H44" s="263"/>
      <c r="I44" s="263"/>
      <c r="J44" s="263"/>
      <c r="L44" s="143"/>
      <c r="M44" s="143"/>
      <c r="N44" s="143"/>
      <c r="O44" s="143"/>
      <c r="P44" s="143"/>
      <c r="Q44" s="143"/>
      <c r="R44" s="143"/>
      <c r="S44" s="143"/>
      <c r="T44" s="143"/>
      <c r="U44" s="143"/>
      <c r="V44" s="143"/>
      <c r="W44" s="143"/>
      <c r="X44" s="143"/>
      <c r="Y44" s="143"/>
      <c r="Z44" s="143"/>
    </row>
  </sheetData>
  <mergeCells count="102">
    <mergeCell ref="I5:I6"/>
    <mergeCell ref="A1:J1"/>
    <mergeCell ref="A2:J2"/>
    <mergeCell ref="A3:F3"/>
    <mergeCell ref="G3:J3"/>
    <mergeCell ref="A4:F4"/>
    <mergeCell ref="G4:J4"/>
    <mergeCell ref="A5:A6"/>
    <mergeCell ref="C5:C6"/>
    <mergeCell ref="F5:F6"/>
    <mergeCell ref="H5:H6"/>
    <mergeCell ref="A35:C35"/>
    <mergeCell ref="D35:F35"/>
    <mergeCell ref="G35:J35"/>
    <mergeCell ref="I9:I10"/>
    <mergeCell ref="H13:H14"/>
    <mergeCell ref="A16:J16"/>
    <mergeCell ref="G15:J15"/>
    <mergeCell ref="C29:C30"/>
    <mergeCell ref="H29:H30"/>
    <mergeCell ref="I29:I30"/>
    <mergeCell ref="F7:F14"/>
    <mergeCell ref="I7:I8"/>
    <mergeCell ref="A27:A28"/>
    <mergeCell ref="C27:C28"/>
    <mergeCell ref="A7:A8"/>
    <mergeCell ref="H27:H28"/>
    <mergeCell ref="I27:I28"/>
    <mergeCell ref="A33:A34"/>
    <mergeCell ref="C33:C34"/>
    <mergeCell ref="H33:H34"/>
    <mergeCell ref="I33:I34"/>
    <mergeCell ref="F27:F34"/>
    <mergeCell ref="I13:I14"/>
    <mergeCell ref="A29:A30"/>
    <mergeCell ref="A44:J44"/>
    <mergeCell ref="A36:J36"/>
    <mergeCell ref="I39:I40"/>
    <mergeCell ref="H39:H40"/>
    <mergeCell ref="A37:A38"/>
    <mergeCell ref="C37:C38"/>
    <mergeCell ref="H37:H38"/>
    <mergeCell ref="I37:I38"/>
    <mergeCell ref="J37:J38"/>
    <mergeCell ref="A43:C43"/>
    <mergeCell ref="D43:F43"/>
    <mergeCell ref="G43:J43"/>
    <mergeCell ref="F37:F38"/>
    <mergeCell ref="A9:A10"/>
    <mergeCell ref="C9:C10"/>
    <mergeCell ref="H9:H10"/>
    <mergeCell ref="A15:C15"/>
    <mergeCell ref="D15:F15"/>
    <mergeCell ref="A13:A14"/>
    <mergeCell ref="C21:C22"/>
    <mergeCell ref="H21:H22"/>
    <mergeCell ref="I21:I22"/>
    <mergeCell ref="C7:C8"/>
    <mergeCell ref="H7:H8"/>
    <mergeCell ref="C39:C40"/>
    <mergeCell ref="I41:I42"/>
    <mergeCell ref="J41:J42"/>
    <mergeCell ref="A41:A42"/>
    <mergeCell ref="C41:C42"/>
    <mergeCell ref="F41:F42"/>
    <mergeCell ref="H41:H42"/>
    <mergeCell ref="F39:F40"/>
    <mergeCell ref="J39:J40"/>
    <mergeCell ref="A39:A40"/>
    <mergeCell ref="C11:C12"/>
    <mergeCell ref="H11:H12"/>
    <mergeCell ref="I11:I12"/>
    <mergeCell ref="H17:H18"/>
    <mergeCell ref="I17:I18"/>
    <mergeCell ref="A17:A18"/>
    <mergeCell ref="C17:C18"/>
    <mergeCell ref="F17:F20"/>
    <mergeCell ref="A19:A20"/>
    <mergeCell ref="J19:J20"/>
    <mergeCell ref="J7:J8"/>
    <mergeCell ref="J9:J10"/>
    <mergeCell ref="J11:J12"/>
    <mergeCell ref="J13:J14"/>
    <mergeCell ref="J17:J18"/>
    <mergeCell ref="A31:A32"/>
    <mergeCell ref="C31:C32"/>
    <mergeCell ref="H31:H32"/>
    <mergeCell ref="I31:I32"/>
    <mergeCell ref="C19:C20"/>
    <mergeCell ref="H19:H20"/>
    <mergeCell ref="I19:I20"/>
    <mergeCell ref="A23:A24"/>
    <mergeCell ref="C23:C24"/>
    <mergeCell ref="A26:J26"/>
    <mergeCell ref="A21:A22"/>
    <mergeCell ref="H23:H24"/>
    <mergeCell ref="I23:I24"/>
    <mergeCell ref="A25:C25"/>
    <mergeCell ref="D25:F25"/>
    <mergeCell ref="G25:J25"/>
    <mergeCell ref="C13:C14"/>
    <mergeCell ref="A11:A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26" max="16383" man="1"/>
    <brk id="3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U14" sqref="U14"/>
      <selection pane="topRight" activeCell="U14" sqref="U14"/>
      <selection pane="bottomLeft" activeCell="U14" sqref="U14"/>
      <selection pane="bottomRight" activeCell="E10" sqref="E1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86" t="s">
        <v>45</v>
      </c>
      <c r="B1" s="286"/>
      <c r="C1" s="286"/>
      <c r="D1" s="286"/>
      <c r="E1" s="286"/>
      <c r="F1" s="286"/>
      <c r="G1" s="286"/>
      <c r="H1" s="286"/>
      <c r="I1" s="286"/>
      <c r="J1" s="286"/>
    </row>
    <row r="2" spans="1:24" ht="26.25" customHeight="1">
      <c r="A2" s="301" t="s">
        <v>0</v>
      </c>
      <c r="B2" s="301"/>
      <c r="C2" s="301"/>
      <c r="D2" s="301"/>
      <c r="E2" s="301"/>
      <c r="F2" s="301"/>
      <c r="G2" s="301"/>
      <c r="H2" s="301"/>
      <c r="I2" s="301"/>
      <c r="J2" s="301"/>
    </row>
    <row r="3" spans="1:24" ht="16.5" customHeight="1">
      <c r="A3" s="260" t="str">
        <f>"工程名稱:"&amp;'1.計畫'!A1:I1</f>
        <v>工程名稱:磺港溪再造C段護岸及步道整建工程（延壽橋至三合橋）</v>
      </c>
      <c r="B3" s="287"/>
      <c r="C3" s="287"/>
      <c r="D3" s="287"/>
      <c r="E3" s="287"/>
      <c r="F3" s="288"/>
      <c r="G3" s="260" t="s">
        <v>83</v>
      </c>
      <c r="H3" s="287"/>
      <c r="I3" s="287"/>
      <c r="J3" s="288"/>
    </row>
    <row r="4" spans="1:24" ht="16.5" customHeight="1">
      <c r="A4" s="260" t="s">
        <v>1155</v>
      </c>
      <c r="B4" s="287"/>
      <c r="C4" s="287"/>
      <c r="D4" s="287"/>
      <c r="E4" s="287"/>
      <c r="F4" s="288"/>
      <c r="G4" s="260" t="s">
        <v>1156</v>
      </c>
      <c r="H4" s="287"/>
      <c r="I4" s="287"/>
      <c r="J4" s="288"/>
    </row>
    <row r="5" spans="1:24" ht="56.25" customHeight="1">
      <c r="A5" s="278" t="s">
        <v>1</v>
      </c>
      <c r="B5" s="131" t="s">
        <v>1157</v>
      </c>
      <c r="C5" s="278" t="s">
        <v>1158</v>
      </c>
      <c r="D5" s="131" t="s">
        <v>1159</v>
      </c>
      <c r="E5" s="131" t="s">
        <v>1161</v>
      </c>
      <c r="F5" s="278" t="s">
        <v>1162</v>
      </c>
      <c r="G5" s="131" t="s">
        <v>1163</v>
      </c>
      <c r="H5" s="278" t="s">
        <v>1164</v>
      </c>
      <c r="I5" s="278" t="s">
        <v>1165</v>
      </c>
      <c r="J5" s="132" t="s">
        <v>1166</v>
      </c>
    </row>
    <row r="6" spans="1:24" ht="56.25" customHeight="1">
      <c r="A6" s="279"/>
      <c r="B6" s="131" t="s">
        <v>1167</v>
      </c>
      <c r="C6" s="279"/>
      <c r="D6" s="131" t="s">
        <v>1160</v>
      </c>
      <c r="E6" s="131" t="s">
        <v>1168</v>
      </c>
      <c r="F6" s="279"/>
      <c r="G6" s="133" t="s">
        <v>1169</v>
      </c>
      <c r="H6" s="279"/>
      <c r="I6" s="279"/>
      <c r="J6" s="134" t="s">
        <v>1170</v>
      </c>
    </row>
    <row r="7" spans="1:24" s="138" customFormat="1" ht="60" customHeight="1">
      <c r="A7" s="310" t="s">
        <v>1043</v>
      </c>
      <c r="B7" s="123" t="s">
        <v>1701</v>
      </c>
      <c r="C7" s="280" t="s">
        <v>1459</v>
      </c>
      <c r="D7" s="115">
        <v>45664</v>
      </c>
      <c r="E7" s="115">
        <v>45664</v>
      </c>
      <c r="F7" s="264" t="s">
        <v>73</v>
      </c>
      <c r="G7" s="116" t="s">
        <v>1046</v>
      </c>
      <c r="H7" s="264" t="s">
        <v>48</v>
      </c>
      <c r="I7" s="274" t="s">
        <v>688</v>
      </c>
      <c r="J7" s="264" t="s">
        <v>1045</v>
      </c>
      <c r="K7" s="128"/>
      <c r="L7" s="128"/>
      <c r="M7" s="128"/>
      <c r="N7" s="128"/>
      <c r="O7" s="128"/>
      <c r="P7" s="128"/>
      <c r="Q7" s="137"/>
      <c r="R7" s="137"/>
      <c r="S7" s="137"/>
      <c r="T7" s="137"/>
      <c r="U7" s="137"/>
      <c r="V7" s="137"/>
      <c r="W7" s="137"/>
      <c r="X7" s="137"/>
    </row>
    <row r="8" spans="1:24" s="138" customFormat="1" ht="50.1" customHeight="1">
      <c r="A8" s="268"/>
      <c r="B8" s="102" t="s">
        <v>1395</v>
      </c>
      <c r="C8" s="326"/>
      <c r="D8" s="116" t="s">
        <v>1046</v>
      </c>
      <c r="E8" s="116" t="s">
        <v>1047</v>
      </c>
      <c r="F8" s="275"/>
      <c r="G8" s="116" t="s">
        <v>1047</v>
      </c>
      <c r="H8" s="266"/>
      <c r="I8" s="274"/>
      <c r="J8" s="298"/>
      <c r="K8" s="128"/>
      <c r="L8" s="128"/>
      <c r="M8" s="128"/>
      <c r="N8" s="128"/>
      <c r="O8" s="128"/>
      <c r="P8" s="128"/>
      <c r="Q8" s="137"/>
      <c r="R8" s="137"/>
      <c r="S8" s="137"/>
      <c r="T8" s="137"/>
      <c r="U8" s="137"/>
      <c r="V8" s="137"/>
      <c r="W8" s="137"/>
      <c r="X8" s="137"/>
    </row>
    <row r="9" spans="1:24" s="138" customFormat="1" ht="60" customHeight="1">
      <c r="A9" s="315" t="s">
        <v>1044</v>
      </c>
      <c r="B9" s="123" t="s">
        <v>1431</v>
      </c>
      <c r="C9" s="325"/>
      <c r="D9" s="115" t="s">
        <v>1456</v>
      </c>
      <c r="E9" s="115" t="s">
        <v>1457</v>
      </c>
      <c r="F9" s="325"/>
      <c r="G9" s="116" t="s">
        <v>1461</v>
      </c>
      <c r="H9" s="264" t="s">
        <v>48</v>
      </c>
      <c r="I9" s="274" t="s">
        <v>888</v>
      </c>
      <c r="J9" s="264" t="s">
        <v>1609</v>
      </c>
      <c r="K9" s="128"/>
      <c r="L9" s="128"/>
      <c r="M9" s="128"/>
      <c r="N9" s="128"/>
      <c r="O9" s="128"/>
      <c r="P9" s="128"/>
      <c r="Q9" s="137"/>
      <c r="R9" s="137"/>
      <c r="S9" s="137"/>
      <c r="T9" s="137"/>
      <c r="U9" s="137"/>
      <c r="V9" s="137"/>
      <c r="W9" s="137"/>
      <c r="X9" s="137"/>
    </row>
    <row r="10" spans="1:24" s="138" customFormat="1" ht="50.1" customHeight="1">
      <c r="A10" s="314"/>
      <c r="B10" s="102" t="s">
        <v>1395</v>
      </c>
      <c r="C10" s="298"/>
      <c r="D10" s="116" t="s">
        <v>1458</v>
      </c>
      <c r="E10" s="116" t="s">
        <v>1460</v>
      </c>
      <c r="F10" s="298"/>
      <c r="G10" s="116" t="s">
        <v>1462</v>
      </c>
      <c r="H10" s="266"/>
      <c r="I10" s="274"/>
      <c r="J10" s="298"/>
      <c r="K10" s="128"/>
      <c r="L10" s="128"/>
      <c r="M10" s="128"/>
      <c r="N10" s="128"/>
      <c r="O10" s="128"/>
      <c r="P10" s="128"/>
      <c r="Q10" s="137"/>
      <c r="R10" s="137"/>
      <c r="S10" s="137"/>
      <c r="T10" s="137"/>
      <c r="U10" s="137"/>
      <c r="V10" s="137"/>
      <c r="W10" s="137"/>
      <c r="X10" s="137"/>
    </row>
    <row r="11" spans="1:24" s="142" customFormat="1" ht="49.5" customHeight="1">
      <c r="A11" s="260" t="s">
        <v>47</v>
      </c>
      <c r="B11" s="261"/>
      <c r="C11" s="262"/>
      <c r="D11" s="144" t="s">
        <v>1753</v>
      </c>
      <c r="E11" s="145"/>
      <c r="F11" s="145"/>
      <c r="G11" s="260" t="s">
        <v>1755</v>
      </c>
      <c r="H11" s="261"/>
      <c r="I11" s="261"/>
      <c r="J11" s="262"/>
      <c r="K11" s="143"/>
      <c r="L11" s="143"/>
      <c r="M11" s="143"/>
      <c r="N11" s="143"/>
      <c r="O11" s="143"/>
      <c r="P11" s="143"/>
      <c r="Q11" s="143"/>
      <c r="R11" s="143"/>
      <c r="S11" s="143"/>
      <c r="T11" s="143"/>
      <c r="U11" s="143"/>
      <c r="V11" s="143"/>
      <c r="W11" s="143"/>
      <c r="X11" s="143"/>
    </row>
    <row r="12" spans="1:24" s="142" customFormat="1" ht="67.5" customHeight="1">
      <c r="A12" s="263" t="s">
        <v>1147</v>
      </c>
      <c r="B12" s="263"/>
      <c r="C12" s="263"/>
      <c r="D12" s="263"/>
      <c r="E12" s="263"/>
      <c r="F12" s="263"/>
      <c r="G12" s="263"/>
      <c r="H12" s="263"/>
      <c r="I12" s="263"/>
      <c r="J12" s="263"/>
      <c r="K12" s="143"/>
      <c r="L12" s="143"/>
      <c r="M12" s="143"/>
      <c r="N12" s="143"/>
      <c r="O12" s="143"/>
      <c r="P12" s="143"/>
      <c r="Q12" s="143"/>
      <c r="R12" s="143"/>
      <c r="S12" s="143"/>
      <c r="T12" s="143"/>
      <c r="U12" s="143"/>
      <c r="V12" s="143"/>
      <c r="W12" s="143"/>
      <c r="X12" s="143"/>
    </row>
  </sheetData>
  <mergeCells count="24">
    <mergeCell ref="I5:I6"/>
    <mergeCell ref="A1:J1"/>
    <mergeCell ref="A2:J2"/>
    <mergeCell ref="A3:F3"/>
    <mergeCell ref="G3:J3"/>
    <mergeCell ref="A4:F4"/>
    <mergeCell ref="G4:J4"/>
    <mergeCell ref="A5:A6"/>
    <mergeCell ref="C5:C6"/>
    <mergeCell ref="F5:F6"/>
    <mergeCell ref="H5:H6"/>
    <mergeCell ref="A11:C11"/>
    <mergeCell ref="G11:J11"/>
    <mergeCell ref="A12:J12"/>
    <mergeCell ref="J7:J8"/>
    <mergeCell ref="A7:A8"/>
    <mergeCell ref="H7:H8"/>
    <mergeCell ref="I7:I8"/>
    <mergeCell ref="A9:A10"/>
    <mergeCell ref="H9:H10"/>
    <mergeCell ref="F7:F10"/>
    <mergeCell ref="C7:C10"/>
    <mergeCell ref="J9:J10"/>
    <mergeCell ref="I9:I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50"/>
  <sheetViews>
    <sheetView view="pageBreakPreview" zoomScale="70" zoomScaleNormal="100" zoomScaleSheetLayoutView="70" zoomScalePageLayoutView="85" workbookViewId="0">
      <pane xSplit="1" ySplit="6" topLeftCell="B33" activePane="bottomRight" state="frozen"/>
      <selection activeCell="U14" sqref="U14"/>
      <selection pane="topRight" activeCell="U14" sqref="U14"/>
      <selection pane="bottomLeft" activeCell="U14" sqref="U14"/>
      <selection pane="bottomRight" activeCell="E27" sqref="E27"/>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86" t="s">
        <v>45</v>
      </c>
      <c r="B1" s="286"/>
      <c r="C1" s="286"/>
      <c r="D1" s="286"/>
      <c r="E1" s="286"/>
      <c r="F1" s="286"/>
      <c r="G1" s="286"/>
      <c r="H1" s="286"/>
      <c r="I1" s="286"/>
      <c r="J1" s="286"/>
    </row>
    <row r="2" spans="1:24" ht="26.25" customHeight="1">
      <c r="A2" s="301" t="s">
        <v>0</v>
      </c>
      <c r="B2" s="301"/>
      <c r="C2" s="301"/>
      <c r="D2" s="301"/>
      <c r="E2" s="301"/>
      <c r="F2" s="301"/>
      <c r="G2" s="301"/>
      <c r="H2" s="301"/>
      <c r="I2" s="301"/>
      <c r="J2" s="301"/>
    </row>
    <row r="3" spans="1:24" ht="16.5" customHeight="1">
      <c r="A3" s="260" t="str">
        <f>"工程名稱:"&amp;'1.計畫'!A1:I1</f>
        <v>工程名稱:磺港溪再造C段護岸及步道整建工程（延壽橋至三合橋）</v>
      </c>
      <c r="B3" s="287"/>
      <c r="C3" s="287"/>
      <c r="D3" s="287"/>
      <c r="E3" s="287"/>
      <c r="F3" s="288"/>
      <c r="G3" s="260" t="s">
        <v>83</v>
      </c>
      <c r="H3" s="287"/>
      <c r="I3" s="287"/>
      <c r="J3" s="288"/>
    </row>
    <row r="4" spans="1:24" ht="16.5" customHeight="1">
      <c r="A4" s="260" t="s">
        <v>40</v>
      </c>
      <c r="B4" s="287"/>
      <c r="C4" s="287"/>
      <c r="D4" s="287"/>
      <c r="E4" s="287"/>
      <c r="F4" s="288"/>
      <c r="G4" s="260" t="s">
        <v>84</v>
      </c>
      <c r="H4" s="287"/>
      <c r="I4" s="287"/>
      <c r="J4" s="288"/>
    </row>
    <row r="5" spans="1:24" ht="56.25" customHeight="1">
      <c r="A5" s="278" t="s">
        <v>1</v>
      </c>
      <c r="B5" s="131" t="s">
        <v>1152</v>
      </c>
      <c r="C5" s="278" t="s">
        <v>588</v>
      </c>
      <c r="D5" s="131" t="s">
        <v>587</v>
      </c>
      <c r="E5" s="131" t="s">
        <v>50</v>
      </c>
      <c r="F5" s="278" t="s">
        <v>613</v>
      </c>
      <c r="G5" s="131" t="s">
        <v>1153</v>
      </c>
      <c r="H5" s="278" t="s">
        <v>612</v>
      </c>
      <c r="I5" s="278" t="s">
        <v>611</v>
      </c>
      <c r="J5" s="132" t="s">
        <v>16</v>
      </c>
    </row>
    <row r="6" spans="1:24" ht="56.25" customHeight="1">
      <c r="A6" s="279"/>
      <c r="B6" s="131" t="s">
        <v>614</v>
      </c>
      <c r="C6" s="279"/>
      <c r="D6" s="131" t="s">
        <v>49</v>
      </c>
      <c r="E6" s="131" t="s">
        <v>51</v>
      </c>
      <c r="F6" s="279"/>
      <c r="G6" s="133" t="s">
        <v>1154</v>
      </c>
      <c r="H6" s="279"/>
      <c r="I6" s="279"/>
      <c r="J6" s="134" t="s">
        <v>46</v>
      </c>
    </row>
    <row r="7" spans="1:24" s="140" customFormat="1" ht="148.5" customHeight="1">
      <c r="A7" s="310" t="s">
        <v>1392</v>
      </c>
      <c r="B7" s="163" t="s">
        <v>1464</v>
      </c>
      <c r="C7" s="280" t="s">
        <v>1466</v>
      </c>
      <c r="D7" s="115">
        <v>45447</v>
      </c>
      <c r="E7" s="115">
        <v>45447</v>
      </c>
      <c r="F7" s="264" t="s">
        <v>1698</v>
      </c>
      <c r="G7" s="116" t="s">
        <v>436</v>
      </c>
      <c r="H7" s="264" t="s">
        <v>48</v>
      </c>
      <c r="I7" s="274" t="s">
        <v>434</v>
      </c>
      <c r="J7" s="264" t="s">
        <v>447</v>
      </c>
      <c r="K7" s="128"/>
      <c r="L7" s="128"/>
      <c r="M7" s="128"/>
      <c r="N7" s="128"/>
      <c r="O7" s="128"/>
      <c r="P7" s="128"/>
      <c r="Q7" s="139"/>
      <c r="R7" s="139"/>
      <c r="S7" s="139"/>
      <c r="T7" s="139"/>
      <c r="U7" s="139"/>
      <c r="V7" s="139"/>
      <c r="W7" s="139"/>
      <c r="X7" s="139"/>
    </row>
    <row r="8" spans="1:24" s="140" customFormat="1" ht="148.5" customHeight="1">
      <c r="A8" s="268"/>
      <c r="B8" s="102" t="s">
        <v>1394</v>
      </c>
      <c r="C8" s="326"/>
      <c r="D8" s="116" t="s">
        <v>1465</v>
      </c>
      <c r="E8" s="116" t="s">
        <v>1480</v>
      </c>
      <c r="F8" s="275"/>
      <c r="G8" s="116" t="s">
        <v>437</v>
      </c>
      <c r="H8" s="266"/>
      <c r="I8" s="274"/>
      <c r="J8" s="298"/>
      <c r="K8" s="128"/>
      <c r="L8" s="128"/>
      <c r="M8" s="128"/>
      <c r="N8" s="128"/>
      <c r="O8" s="128"/>
      <c r="P8" s="128"/>
      <c r="Q8" s="139"/>
      <c r="R8" s="139"/>
      <c r="S8" s="139"/>
      <c r="T8" s="139"/>
      <c r="U8" s="139"/>
      <c r="V8" s="139"/>
      <c r="W8" s="139"/>
      <c r="X8" s="139"/>
    </row>
    <row r="9" spans="1:24" s="140" customFormat="1" ht="148.5" customHeight="1">
      <c r="A9" s="310" t="s">
        <v>1393</v>
      </c>
      <c r="B9" s="163" t="s">
        <v>1464</v>
      </c>
      <c r="C9" s="280" t="s">
        <v>1466</v>
      </c>
      <c r="D9" s="115">
        <v>45447</v>
      </c>
      <c r="E9" s="115" t="s">
        <v>1482</v>
      </c>
      <c r="F9" s="264" t="s">
        <v>1698</v>
      </c>
      <c r="G9" s="116" t="s">
        <v>436</v>
      </c>
      <c r="H9" s="264"/>
      <c r="I9" s="274" t="s">
        <v>888</v>
      </c>
      <c r="J9" s="264" t="s">
        <v>1646</v>
      </c>
      <c r="K9" s="128"/>
      <c r="L9" s="128"/>
      <c r="M9" s="128"/>
      <c r="N9" s="128"/>
      <c r="O9" s="128"/>
      <c r="P9" s="128"/>
      <c r="Q9" s="139"/>
      <c r="R9" s="139"/>
      <c r="S9" s="139"/>
      <c r="T9" s="139"/>
      <c r="U9" s="139"/>
      <c r="V9" s="139"/>
      <c r="W9" s="139"/>
      <c r="X9" s="139"/>
    </row>
    <row r="10" spans="1:24" s="140" customFormat="1" ht="148.5" customHeight="1">
      <c r="A10" s="268"/>
      <c r="B10" s="102" t="s">
        <v>1394</v>
      </c>
      <c r="C10" s="326"/>
      <c r="D10" s="116" t="s">
        <v>1465</v>
      </c>
      <c r="E10" s="116" t="s">
        <v>1481</v>
      </c>
      <c r="F10" s="275"/>
      <c r="G10" s="116" t="s">
        <v>437</v>
      </c>
      <c r="H10" s="266"/>
      <c r="I10" s="274"/>
      <c r="J10" s="298"/>
      <c r="K10" s="128"/>
      <c r="L10" s="128"/>
      <c r="M10" s="128"/>
      <c r="N10" s="128"/>
      <c r="O10" s="128"/>
      <c r="P10" s="128"/>
      <c r="Q10" s="139"/>
      <c r="R10" s="139"/>
      <c r="S10" s="139"/>
      <c r="T10" s="139"/>
      <c r="U10" s="139"/>
      <c r="V10" s="139"/>
      <c r="W10" s="139"/>
      <c r="X10" s="139"/>
    </row>
    <row r="11" spans="1:24" s="142" customFormat="1" ht="49.5" customHeight="1">
      <c r="A11" s="260" t="s">
        <v>47</v>
      </c>
      <c r="B11" s="261"/>
      <c r="C11" s="262"/>
      <c r="D11" s="144" t="s">
        <v>1753</v>
      </c>
      <c r="E11" s="145"/>
      <c r="F11" s="145"/>
      <c r="G11" s="260" t="s">
        <v>1755</v>
      </c>
      <c r="H11" s="261"/>
      <c r="I11" s="261"/>
      <c r="J11" s="262"/>
      <c r="K11" s="143"/>
      <c r="L11" s="143"/>
      <c r="M11" s="143"/>
      <c r="N11" s="143"/>
      <c r="O11" s="143"/>
      <c r="P11" s="143"/>
      <c r="Q11" s="143"/>
      <c r="R11" s="143"/>
      <c r="S11" s="143"/>
      <c r="T11" s="143"/>
      <c r="U11" s="143"/>
      <c r="V11" s="143"/>
      <c r="W11" s="143"/>
      <c r="X11" s="143"/>
    </row>
    <row r="12" spans="1:24" s="142" customFormat="1" ht="56.25" customHeight="1">
      <c r="A12" s="263" t="s">
        <v>1147</v>
      </c>
      <c r="B12" s="263"/>
      <c r="C12" s="263"/>
      <c r="D12" s="263"/>
      <c r="E12" s="263"/>
      <c r="F12" s="263"/>
      <c r="G12" s="263"/>
      <c r="H12" s="263"/>
      <c r="I12" s="263"/>
      <c r="J12" s="263"/>
      <c r="K12" s="143"/>
      <c r="L12" s="143"/>
      <c r="M12" s="143"/>
      <c r="N12" s="143"/>
      <c r="O12" s="143"/>
      <c r="P12" s="143"/>
      <c r="Q12" s="143"/>
      <c r="R12" s="143"/>
      <c r="S12" s="143"/>
      <c r="T12" s="143"/>
      <c r="U12" s="143"/>
      <c r="V12" s="143"/>
      <c r="W12" s="143"/>
      <c r="X12" s="143"/>
    </row>
    <row r="13" spans="1:24" s="140" customFormat="1" ht="109.5" customHeight="1">
      <c r="A13" s="310" t="s">
        <v>1471</v>
      </c>
      <c r="B13" s="123" t="s">
        <v>1475</v>
      </c>
      <c r="C13" s="280" t="s">
        <v>1474</v>
      </c>
      <c r="D13" s="115">
        <v>45447</v>
      </c>
      <c r="E13" s="115" t="s">
        <v>1482</v>
      </c>
      <c r="F13" s="264" t="s">
        <v>1699</v>
      </c>
      <c r="G13" s="116" t="s">
        <v>1483</v>
      </c>
      <c r="H13" s="264" t="s">
        <v>48</v>
      </c>
      <c r="I13" s="274" t="s">
        <v>888</v>
      </c>
      <c r="J13" s="264" t="s">
        <v>1702</v>
      </c>
      <c r="K13" s="128"/>
      <c r="L13" s="128"/>
      <c r="M13" s="128"/>
      <c r="N13" s="128"/>
      <c r="O13" s="128"/>
      <c r="P13" s="128"/>
      <c r="Q13" s="139"/>
      <c r="R13" s="139"/>
      <c r="S13" s="139"/>
      <c r="T13" s="139"/>
      <c r="U13" s="139"/>
      <c r="V13" s="139"/>
      <c r="W13" s="139"/>
      <c r="X13" s="139"/>
    </row>
    <row r="14" spans="1:24" s="140" customFormat="1" ht="109.5" customHeight="1">
      <c r="A14" s="268"/>
      <c r="B14" s="102" t="s">
        <v>1470</v>
      </c>
      <c r="C14" s="326"/>
      <c r="D14" s="116" t="s">
        <v>1483</v>
      </c>
      <c r="E14" s="116" t="s">
        <v>1484</v>
      </c>
      <c r="F14" s="275"/>
      <c r="G14" s="116" t="s">
        <v>1484</v>
      </c>
      <c r="H14" s="266"/>
      <c r="I14" s="274"/>
      <c r="J14" s="298"/>
      <c r="K14" s="128"/>
      <c r="L14" s="128"/>
      <c r="M14" s="128"/>
      <c r="N14" s="128"/>
      <c r="O14" s="128"/>
      <c r="P14" s="128"/>
      <c r="Q14" s="139"/>
      <c r="R14" s="139"/>
      <c r="S14" s="139"/>
      <c r="T14" s="139"/>
      <c r="U14" s="139"/>
      <c r="V14" s="139"/>
      <c r="W14" s="139"/>
      <c r="X14" s="139"/>
    </row>
    <row r="15" spans="1:24" s="140" customFormat="1" ht="109.5" customHeight="1">
      <c r="A15" s="310" t="s">
        <v>1472</v>
      </c>
      <c r="B15" s="123" t="s">
        <v>1476</v>
      </c>
      <c r="C15" s="280" t="s">
        <v>1478</v>
      </c>
      <c r="D15" s="115">
        <v>45447</v>
      </c>
      <c r="E15" s="115" t="s">
        <v>1482</v>
      </c>
      <c r="F15" s="264" t="s">
        <v>1699</v>
      </c>
      <c r="G15" s="116" t="s">
        <v>1487</v>
      </c>
      <c r="H15" s="264" t="s">
        <v>48</v>
      </c>
      <c r="I15" s="274" t="s">
        <v>888</v>
      </c>
      <c r="J15" s="264" t="s">
        <v>1702</v>
      </c>
      <c r="K15" s="128"/>
      <c r="L15" s="128"/>
      <c r="M15" s="128"/>
      <c r="N15" s="128"/>
      <c r="O15" s="128"/>
      <c r="P15" s="128"/>
      <c r="Q15" s="139"/>
      <c r="R15" s="139"/>
      <c r="S15" s="139"/>
      <c r="T15" s="139"/>
      <c r="U15" s="139"/>
      <c r="V15" s="139"/>
      <c r="W15" s="139"/>
      <c r="X15" s="139"/>
    </row>
    <row r="16" spans="1:24" s="140" customFormat="1" ht="109.5" customHeight="1">
      <c r="A16" s="268"/>
      <c r="B16" s="102" t="s">
        <v>1485</v>
      </c>
      <c r="C16" s="326"/>
      <c r="D16" s="116" t="s">
        <v>1487</v>
      </c>
      <c r="E16" s="116" t="s">
        <v>1489</v>
      </c>
      <c r="F16" s="275"/>
      <c r="G16" s="116" t="s">
        <v>1489</v>
      </c>
      <c r="H16" s="266"/>
      <c r="I16" s="274"/>
      <c r="J16" s="298"/>
      <c r="K16" s="128"/>
      <c r="L16" s="128"/>
      <c r="M16" s="128"/>
      <c r="N16" s="128"/>
      <c r="O16" s="128"/>
      <c r="P16" s="128"/>
      <c r="Q16" s="139"/>
      <c r="R16" s="139"/>
      <c r="S16" s="139"/>
      <c r="T16" s="139"/>
      <c r="U16" s="139"/>
      <c r="V16" s="139"/>
      <c r="W16" s="139"/>
      <c r="X16" s="139"/>
    </row>
    <row r="17" spans="1:26" s="140" customFormat="1" ht="109.5" customHeight="1">
      <c r="A17" s="310" t="s">
        <v>1473</v>
      </c>
      <c r="B17" s="123" t="s">
        <v>1477</v>
      </c>
      <c r="C17" s="280" t="s">
        <v>1479</v>
      </c>
      <c r="D17" s="115">
        <v>45447</v>
      </c>
      <c r="E17" s="115" t="s">
        <v>1482</v>
      </c>
      <c r="F17" s="264" t="s">
        <v>1699</v>
      </c>
      <c r="G17" s="116" t="s">
        <v>1488</v>
      </c>
      <c r="H17" s="264" t="s">
        <v>48</v>
      </c>
      <c r="I17" s="274" t="s">
        <v>888</v>
      </c>
      <c r="J17" s="264" t="s">
        <v>1702</v>
      </c>
      <c r="K17" s="128"/>
      <c r="L17" s="128"/>
      <c r="M17" s="128"/>
      <c r="N17" s="128"/>
      <c r="O17" s="128"/>
      <c r="P17" s="128"/>
      <c r="Q17" s="139"/>
      <c r="R17" s="139"/>
      <c r="S17" s="139"/>
      <c r="T17" s="139"/>
      <c r="U17" s="139"/>
      <c r="V17" s="139"/>
      <c r="W17" s="139"/>
      <c r="X17" s="139"/>
    </row>
    <row r="18" spans="1:26" s="140" customFormat="1" ht="109.5" customHeight="1">
      <c r="A18" s="268"/>
      <c r="B18" s="102" t="s">
        <v>1486</v>
      </c>
      <c r="C18" s="326"/>
      <c r="D18" s="116" t="s">
        <v>1488</v>
      </c>
      <c r="E18" s="116" t="s">
        <v>1490</v>
      </c>
      <c r="F18" s="275"/>
      <c r="G18" s="116" t="s">
        <v>1490</v>
      </c>
      <c r="H18" s="266"/>
      <c r="I18" s="274"/>
      <c r="J18" s="298"/>
      <c r="K18" s="128"/>
      <c r="L18" s="128"/>
      <c r="M18" s="128"/>
      <c r="N18" s="128"/>
      <c r="O18" s="128"/>
      <c r="P18" s="128"/>
      <c r="Q18" s="139"/>
      <c r="R18" s="139"/>
      <c r="S18" s="139"/>
      <c r="T18" s="139"/>
      <c r="U18" s="139"/>
      <c r="V18" s="139"/>
      <c r="W18" s="139"/>
      <c r="X18" s="139"/>
    </row>
    <row r="19" spans="1:26" s="142" customFormat="1" ht="49.5" customHeight="1">
      <c r="A19" s="260" t="s">
        <v>47</v>
      </c>
      <c r="B19" s="261"/>
      <c r="C19" s="262"/>
      <c r="D19" s="144" t="s">
        <v>1753</v>
      </c>
      <c r="E19" s="145"/>
      <c r="F19" s="145"/>
      <c r="G19" s="260" t="s">
        <v>1755</v>
      </c>
      <c r="H19" s="261"/>
      <c r="I19" s="261"/>
      <c r="J19" s="262"/>
      <c r="K19" s="143"/>
      <c r="L19" s="143"/>
      <c r="M19" s="143"/>
      <c r="N19" s="143"/>
      <c r="O19" s="143"/>
      <c r="P19" s="143"/>
      <c r="Q19" s="143"/>
      <c r="R19" s="143"/>
      <c r="S19" s="143"/>
      <c r="T19" s="143"/>
      <c r="U19" s="143"/>
      <c r="V19" s="143"/>
      <c r="W19" s="143"/>
      <c r="X19" s="143"/>
    </row>
    <row r="20" spans="1:26" s="142" customFormat="1" ht="56.25" customHeight="1">
      <c r="A20" s="263" t="s">
        <v>1147</v>
      </c>
      <c r="B20" s="263"/>
      <c r="C20" s="263"/>
      <c r="D20" s="263"/>
      <c r="E20" s="263"/>
      <c r="F20" s="263"/>
      <c r="G20" s="263"/>
      <c r="H20" s="263"/>
      <c r="I20" s="263"/>
      <c r="J20" s="263"/>
      <c r="K20" s="143"/>
      <c r="L20" s="143"/>
      <c r="M20" s="143"/>
      <c r="N20" s="143"/>
      <c r="O20" s="143"/>
      <c r="P20" s="143"/>
      <c r="Q20" s="143"/>
      <c r="R20" s="143"/>
      <c r="S20" s="143"/>
      <c r="T20" s="143"/>
      <c r="U20" s="143"/>
      <c r="V20" s="143"/>
      <c r="W20" s="143"/>
      <c r="X20" s="143"/>
    </row>
    <row r="21" spans="1:26" s="138" customFormat="1" ht="76.5" customHeight="1">
      <c r="A21" s="310" t="s">
        <v>1692</v>
      </c>
      <c r="B21" s="163" t="s">
        <v>1691</v>
      </c>
      <c r="C21" s="280" t="s">
        <v>1797</v>
      </c>
      <c r="D21" s="116" t="s">
        <v>1463</v>
      </c>
      <c r="E21" s="116" t="s">
        <v>1821</v>
      </c>
      <c r="F21" s="285" t="s">
        <v>1694</v>
      </c>
      <c r="G21" s="116" t="s">
        <v>684</v>
      </c>
      <c r="H21" s="285" t="s">
        <v>48</v>
      </c>
      <c r="I21" s="274" t="s">
        <v>688</v>
      </c>
      <c r="J21" s="264" t="s">
        <v>983</v>
      </c>
      <c r="K21" s="136"/>
      <c r="L21" s="128"/>
      <c r="M21" s="128"/>
      <c r="N21" s="128"/>
      <c r="O21" s="128"/>
      <c r="P21" s="128"/>
      <c r="Q21" s="128"/>
      <c r="R21" s="128"/>
      <c r="S21" s="137"/>
      <c r="T21" s="137"/>
      <c r="U21" s="137"/>
      <c r="V21" s="137"/>
      <c r="W21" s="137"/>
      <c r="X21" s="137"/>
      <c r="Y21" s="137"/>
      <c r="Z21" s="137"/>
    </row>
    <row r="22" spans="1:26" s="138" customFormat="1" ht="76.5" customHeight="1">
      <c r="A22" s="268"/>
      <c r="B22" s="102" t="s">
        <v>74</v>
      </c>
      <c r="C22" s="326"/>
      <c r="D22" s="116" t="s">
        <v>684</v>
      </c>
      <c r="E22" s="116" t="s">
        <v>687</v>
      </c>
      <c r="F22" s="285"/>
      <c r="G22" s="116" t="s">
        <v>687</v>
      </c>
      <c r="H22" s="285"/>
      <c r="I22" s="274"/>
      <c r="J22" s="298"/>
      <c r="K22" s="127"/>
      <c r="L22" s="128"/>
      <c r="M22" s="128"/>
      <c r="N22" s="128"/>
      <c r="O22" s="128"/>
      <c r="P22" s="128"/>
      <c r="Q22" s="128"/>
      <c r="R22" s="128"/>
      <c r="S22" s="137"/>
      <c r="T22" s="137"/>
      <c r="U22" s="137"/>
      <c r="V22" s="137"/>
      <c r="W22" s="137"/>
      <c r="X22" s="137"/>
      <c r="Y22" s="137"/>
      <c r="Z22" s="137"/>
    </row>
    <row r="23" spans="1:26" s="138" customFormat="1" ht="76.5" customHeight="1">
      <c r="A23" s="310" t="s">
        <v>1693</v>
      </c>
      <c r="B23" s="163" t="s">
        <v>1691</v>
      </c>
      <c r="C23" s="280" t="s">
        <v>1797</v>
      </c>
      <c r="D23" s="116" t="s">
        <v>1820</v>
      </c>
      <c r="E23" s="116" t="s">
        <v>1925</v>
      </c>
      <c r="F23" s="285" t="s">
        <v>1694</v>
      </c>
      <c r="G23" s="197" t="s">
        <v>1829</v>
      </c>
      <c r="H23" s="285"/>
      <c r="I23" s="274" t="s">
        <v>888</v>
      </c>
      <c r="J23" s="264"/>
      <c r="K23" s="136"/>
      <c r="L23" s="128"/>
      <c r="M23" s="128"/>
      <c r="N23" s="128"/>
      <c r="O23" s="128"/>
      <c r="P23" s="128"/>
      <c r="Q23" s="128"/>
      <c r="R23" s="128"/>
      <c r="S23" s="137"/>
      <c r="T23" s="137"/>
      <c r="U23" s="137"/>
      <c r="V23" s="137"/>
      <c r="W23" s="137"/>
      <c r="X23" s="137"/>
      <c r="Y23" s="137"/>
      <c r="Z23" s="137"/>
    </row>
    <row r="24" spans="1:26" s="138" customFormat="1" ht="76.5" customHeight="1">
      <c r="A24" s="268"/>
      <c r="B24" s="102" t="s">
        <v>74</v>
      </c>
      <c r="C24" s="326"/>
      <c r="D24" s="116" t="s">
        <v>1827</v>
      </c>
      <c r="E24" s="116" t="s">
        <v>1828</v>
      </c>
      <c r="F24" s="285"/>
      <c r="G24" s="197" t="s">
        <v>1830</v>
      </c>
      <c r="H24" s="285"/>
      <c r="I24" s="274"/>
      <c r="J24" s="298"/>
      <c r="K24" s="127"/>
      <c r="L24" s="128"/>
      <c r="M24" s="128"/>
      <c r="N24" s="128"/>
      <c r="O24" s="128"/>
      <c r="P24" s="128"/>
      <c r="Q24" s="128"/>
      <c r="R24" s="128"/>
      <c r="S24" s="137"/>
      <c r="T24" s="137"/>
      <c r="U24" s="137"/>
      <c r="V24" s="137"/>
      <c r="W24" s="137"/>
      <c r="X24" s="137"/>
      <c r="Y24" s="137"/>
      <c r="Z24" s="137"/>
    </row>
    <row r="25" spans="1:26" s="138" customFormat="1" ht="76.5" customHeight="1">
      <c r="A25" s="310" t="s">
        <v>1825</v>
      </c>
      <c r="B25" s="163" t="s">
        <v>1691</v>
      </c>
      <c r="C25" s="280" t="s">
        <v>1797</v>
      </c>
      <c r="D25" s="116" t="s">
        <v>1820</v>
      </c>
      <c r="E25" s="116" t="s">
        <v>1925</v>
      </c>
      <c r="F25" s="285" t="s">
        <v>1845</v>
      </c>
      <c r="G25" s="197" t="s">
        <v>1833</v>
      </c>
      <c r="H25" s="285"/>
      <c r="I25" s="274" t="s">
        <v>888</v>
      </c>
      <c r="J25" s="264"/>
      <c r="K25" s="136"/>
      <c r="L25" s="128">
        <f>175603+9990</f>
        <v>185593</v>
      </c>
      <c r="M25" s="128"/>
      <c r="N25" s="128"/>
      <c r="O25" s="128"/>
      <c r="P25" s="128"/>
      <c r="Q25" s="128"/>
      <c r="R25" s="128"/>
      <c r="S25" s="137"/>
      <c r="T25" s="137"/>
      <c r="U25" s="137"/>
      <c r="V25" s="137"/>
      <c r="W25" s="137"/>
      <c r="X25" s="137"/>
      <c r="Y25" s="137"/>
      <c r="Z25" s="137"/>
    </row>
    <row r="26" spans="1:26" s="138" customFormat="1" ht="76.5" customHeight="1">
      <c r="A26" s="268"/>
      <c r="B26" s="102" t="s">
        <v>74</v>
      </c>
      <c r="C26" s="326"/>
      <c r="D26" s="116" t="s">
        <v>1831</v>
      </c>
      <c r="E26" s="116" t="s">
        <v>1832</v>
      </c>
      <c r="F26" s="285"/>
      <c r="G26" s="197" t="s">
        <v>1834</v>
      </c>
      <c r="H26" s="285"/>
      <c r="I26" s="274"/>
      <c r="J26" s="298"/>
      <c r="K26" s="127"/>
      <c r="L26" s="128"/>
      <c r="M26" s="128"/>
      <c r="N26" s="128"/>
      <c r="O26" s="128"/>
      <c r="P26" s="128"/>
      <c r="Q26" s="128"/>
      <c r="R26" s="128"/>
      <c r="S26" s="137"/>
      <c r="T26" s="137"/>
      <c r="U26" s="137"/>
      <c r="V26" s="137"/>
      <c r="W26" s="137"/>
      <c r="X26" s="137"/>
      <c r="Y26" s="137"/>
      <c r="Z26" s="137"/>
    </row>
    <row r="27" spans="1:26" s="138" customFormat="1" ht="76.5" customHeight="1">
      <c r="A27" s="310" t="s">
        <v>1826</v>
      </c>
      <c r="B27" s="163" t="s">
        <v>1691</v>
      </c>
      <c r="C27" s="280" t="s">
        <v>1797</v>
      </c>
      <c r="D27" s="116" t="s">
        <v>1820</v>
      </c>
      <c r="E27" s="116" t="s">
        <v>1925</v>
      </c>
      <c r="F27" s="285" t="s">
        <v>1694</v>
      </c>
      <c r="G27" s="197" t="s">
        <v>1823</v>
      </c>
      <c r="H27" s="285"/>
      <c r="I27" s="274" t="s">
        <v>888</v>
      </c>
      <c r="J27" s="264"/>
      <c r="K27" s="136"/>
      <c r="L27" s="128"/>
      <c r="M27" s="128"/>
      <c r="N27" s="128"/>
      <c r="O27" s="128"/>
      <c r="P27" s="128"/>
      <c r="Q27" s="128"/>
      <c r="R27" s="128"/>
      <c r="S27" s="137"/>
      <c r="T27" s="137"/>
      <c r="U27" s="137"/>
      <c r="V27" s="137"/>
      <c r="W27" s="137"/>
      <c r="X27" s="137"/>
      <c r="Y27" s="137"/>
      <c r="Z27" s="137"/>
    </row>
    <row r="28" spans="1:26" s="138" customFormat="1" ht="76.5" customHeight="1">
      <c r="A28" s="268"/>
      <c r="B28" s="102" t="s">
        <v>74</v>
      </c>
      <c r="C28" s="326"/>
      <c r="D28" s="116" t="s">
        <v>1835</v>
      </c>
      <c r="E28" s="116" t="s">
        <v>1836</v>
      </c>
      <c r="F28" s="285"/>
      <c r="G28" s="197" t="s">
        <v>1824</v>
      </c>
      <c r="H28" s="285"/>
      <c r="I28" s="274"/>
      <c r="J28" s="298"/>
      <c r="K28" s="127"/>
      <c r="L28" s="128">
        <v>21600</v>
      </c>
      <c r="M28" s="128">
        <f>L25+L28</f>
        <v>207193</v>
      </c>
      <c r="N28" s="128"/>
      <c r="O28" s="128"/>
      <c r="P28" s="128"/>
      <c r="Q28" s="128"/>
      <c r="R28" s="128"/>
      <c r="S28" s="137"/>
      <c r="T28" s="137"/>
      <c r="U28" s="137"/>
      <c r="V28" s="137"/>
      <c r="W28" s="137"/>
      <c r="X28" s="137"/>
      <c r="Y28" s="137"/>
      <c r="Z28" s="137"/>
    </row>
    <row r="29" spans="1:26" s="142" customFormat="1" ht="49.5" customHeight="1">
      <c r="A29" s="260" t="s">
        <v>47</v>
      </c>
      <c r="B29" s="261"/>
      <c r="C29" s="262"/>
      <c r="D29" s="144" t="s">
        <v>1753</v>
      </c>
      <c r="E29" s="145"/>
      <c r="F29" s="145"/>
      <c r="G29" s="260" t="s">
        <v>1755</v>
      </c>
      <c r="H29" s="261"/>
      <c r="I29" s="261"/>
      <c r="J29" s="262"/>
      <c r="K29" s="143"/>
      <c r="L29" s="143"/>
      <c r="M29" s="143"/>
      <c r="N29" s="143"/>
      <c r="O29" s="143"/>
      <c r="P29" s="143"/>
      <c r="Q29" s="143"/>
      <c r="R29" s="143"/>
      <c r="S29" s="143"/>
      <c r="T29" s="143"/>
      <c r="U29" s="143"/>
      <c r="V29" s="143"/>
      <c r="W29" s="143"/>
      <c r="X29" s="143"/>
    </row>
    <row r="30" spans="1:26" s="142" customFormat="1" ht="67.5" customHeight="1">
      <c r="A30" s="263" t="s">
        <v>1147</v>
      </c>
      <c r="B30" s="263"/>
      <c r="C30" s="263"/>
      <c r="D30" s="263"/>
      <c r="E30" s="263"/>
      <c r="F30" s="263"/>
      <c r="G30" s="263"/>
      <c r="H30" s="263"/>
      <c r="I30" s="263"/>
      <c r="J30" s="263"/>
      <c r="K30" s="143"/>
      <c r="L30" s="143"/>
      <c r="M30" s="143"/>
      <c r="N30" s="143"/>
      <c r="O30" s="143"/>
      <c r="P30" s="143"/>
      <c r="Q30" s="143"/>
      <c r="R30" s="143"/>
      <c r="S30" s="143"/>
      <c r="T30" s="143"/>
      <c r="U30" s="143"/>
      <c r="V30" s="143"/>
      <c r="W30" s="143"/>
      <c r="X30" s="143"/>
    </row>
    <row r="31" spans="1:26" s="138" customFormat="1" ht="73.5" customHeight="1">
      <c r="A31" s="310" t="s">
        <v>868</v>
      </c>
      <c r="B31" s="163" t="s">
        <v>1691</v>
      </c>
      <c r="C31" s="280" t="s">
        <v>1797</v>
      </c>
      <c r="D31" s="115">
        <v>45447</v>
      </c>
      <c r="E31" s="115">
        <v>45447</v>
      </c>
      <c r="F31" s="327" t="s">
        <v>1700</v>
      </c>
      <c r="G31" s="117" t="s">
        <v>1841</v>
      </c>
      <c r="H31" s="264" t="s">
        <v>48</v>
      </c>
      <c r="I31" s="274" t="s">
        <v>434</v>
      </c>
      <c r="J31" s="264" t="s">
        <v>446</v>
      </c>
      <c r="K31" s="128"/>
      <c r="L31" s="138">
        <v>212540</v>
      </c>
      <c r="M31" s="128">
        <v>212549</v>
      </c>
      <c r="N31" s="128"/>
      <c r="O31" s="128"/>
      <c r="P31" s="128"/>
      <c r="Q31" s="137"/>
      <c r="R31" s="137"/>
      <c r="S31" s="137"/>
      <c r="T31" s="137"/>
      <c r="U31" s="137"/>
      <c r="V31" s="137"/>
      <c r="W31" s="137"/>
      <c r="X31" s="137"/>
    </row>
    <row r="32" spans="1:26" s="138" customFormat="1" ht="73.5" customHeight="1">
      <c r="A32" s="268"/>
      <c r="B32" s="102" t="s">
        <v>74</v>
      </c>
      <c r="C32" s="326"/>
      <c r="D32" s="116" t="s">
        <v>1838</v>
      </c>
      <c r="E32" s="117" t="s">
        <v>1837</v>
      </c>
      <c r="F32" s="327"/>
      <c r="G32" s="117" t="s">
        <v>435</v>
      </c>
      <c r="H32" s="266"/>
      <c r="I32" s="274"/>
      <c r="J32" s="298"/>
      <c r="K32" s="128"/>
      <c r="L32" s="128"/>
      <c r="M32" s="128"/>
      <c r="N32" s="128"/>
      <c r="O32" s="128"/>
      <c r="P32" s="128"/>
      <c r="Q32" s="137"/>
      <c r="R32" s="137"/>
      <c r="S32" s="137"/>
      <c r="T32" s="137"/>
      <c r="U32" s="137"/>
      <c r="V32" s="137"/>
      <c r="W32" s="137"/>
      <c r="X32" s="137"/>
    </row>
    <row r="33" spans="1:24" s="138" customFormat="1" ht="73.5" customHeight="1">
      <c r="A33" s="310" t="s">
        <v>868</v>
      </c>
      <c r="B33" s="163" t="s">
        <v>1691</v>
      </c>
      <c r="C33" s="280" t="s">
        <v>1797</v>
      </c>
      <c r="D33" s="116" t="s">
        <v>1820</v>
      </c>
      <c r="E33" s="116" t="s">
        <v>1822</v>
      </c>
      <c r="F33" s="327" t="s">
        <v>1846</v>
      </c>
      <c r="G33" s="117" t="s">
        <v>1842</v>
      </c>
      <c r="H33" s="264"/>
      <c r="I33" s="274" t="s">
        <v>888</v>
      </c>
      <c r="J33" s="264"/>
      <c r="K33" s="128"/>
      <c r="L33" s="128"/>
      <c r="M33" s="128"/>
      <c r="N33" s="128"/>
      <c r="O33" s="128"/>
      <c r="P33" s="128"/>
      <c r="Q33" s="137"/>
      <c r="R33" s="137"/>
      <c r="S33" s="137"/>
      <c r="T33" s="137"/>
      <c r="U33" s="137"/>
      <c r="V33" s="137"/>
      <c r="W33" s="137"/>
      <c r="X33" s="137"/>
    </row>
    <row r="34" spans="1:24" s="138" customFormat="1" ht="73.5" customHeight="1">
      <c r="A34" s="268"/>
      <c r="B34" s="102" t="s">
        <v>74</v>
      </c>
      <c r="C34" s="326"/>
      <c r="D34" s="116" t="s">
        <v>1827</v>
      </c>
      <c r="E34" s="116" t="s">
        <v>1828</v>
      </c>
      <c r="F34" s="327"/>
      <c r="G34" s="117" t="s">
        <v>1839</v>
      </c>
      <c r="H34" s="266"/>
      <c r="I34" s="274"/>
      <c r="J34" s="298"/>
      <c r="K34" s="128"/>
      <c r="L34" s="128">
        <v>5750</v>
      </c>
      <c r="M34" s="128">
        <f>M31+L34</f>
        <v>218299</v>
      </c>
      <c r="N34" s="128"/>
      <c r="O34" s="128"/>
      <c r="P34" s="128"/>
      <c r="Q34" s="137"/>
      <c r="R34" s="137"/>
      <c r="S34" s="137"/>
      <c r="T34" s="137"/>
      <c r="U34" s="137"/>
      <c r="V34" s="137"/>
      <c r="W34" s="137"/>
      <c r="X34" s="137"/>
    </row>
    <row r="35" spans="1:24" s="138" customFormat="1" ht="73.5" customHeight="1">
      <c r="A35" s="310" t="s">
        <v>868</v>
      </c>
      <c r="B35" s="163" t="s">
        <v>1691</v>
      </c>
      <c r="C35" s="280" t="s">
        <v>1797</v>
      </c>
      <c r="D35" s="116" t="s">
        <v>1820</v>
      </c>
      <c r="E35" s="116" t="s">
        <v>1822</v>
      </c>
      <c r="F35" s="327" t="s">
        <v>1700</v>
      </c>
      <c r="G35" s="117" t="s">
        <v>1840</v>
      </c>
      <c r="H35" s="264"/>
      <c r="I35" s="274" t="s">
        <v>888</v>
      </c>
      <c r="J35" s="264"/>
      <c r="K35" s="128"/>
      <c r="L35" s="128"/>
      <c r="M35" s="128"/>
      <c r="N35" s="128"/>
      <c r="O35" s="128"/>
      <c r="P35" s="128"/>
      <c r="Q35" s="137"/>
      <c r="R35" s="137"/>
      <c r="S35" s="137"/>
      <c r="T35" s="137"/>
      <c r="U35" s="137"/>
      <c r="V35" s="137"/>
      <c r="W35" s="137"/>
      <c r="X35" s="137"/>
    </row>
    <row r="36" spans="1:24" s="138" customFormat="1" ht="73.5" customHeight="1">
      <c r="A36" s="268"/>
      <c r="B36" s="102" t="s">
        <v>74</v>
      </c>
      <c r="C36" s="326"/>
      <c r="D36" s="116" t="s">
        <v>1831</v>
      </c>
      <c r="E36" s="116" t="s">
        <v>1832</v>
      </c>
      <c r="F36" s="327"/>
      <c r="G36" s="117" t="s">
        <v>1840</v>
      </c>
      <c r="H36" s="266"/>
      <c r="I36" s="274"/>
      <c r="J36" s="298"/>
      <c r="K36" s="128"/>
      <c r="L36" s="128">
        <v>9990</v>
      </c>
      <c r="M36" s="128">
        <f>M34+L36</f>
        <v>228289</v>
      </c>
      <c r="N36" s="128"/>
      <c r="O36" s="128"/>
      <c r="P36" s="128"/>
      <c r="Q36" s="137"/>
      <c r="R36" s="137"/>
      <c r="S36" s="137"/>
      <c r="T36" s="137"/>
      <c r="U36" s="137"/>
      <c r="V36" s="137"/>
      <c r="W36" s="137"/>
      <c r="X36" s="137"/>
    </row>
    <row r="37" spans="1:24" s="138" customFormat="1" ht="73.5" customHeight="1">
      <c r="A37" s="310" t="s">
        <v>868</v>
      </c>
      <c r="B37" s="163" t="s">
        <v>1691</v>
      </c>
      <c r="C37" s="280" t="s">
        <v>1797</v>
      </c>
      <c r="D37" s="116" t="s">
        <v>1820</v>
      </c>
      <c r="E37" s="116" t="s">
        <v>1822</v>
      </c>
      <c r="F37" s="327" t="s">
        <v>1846</v>
      </c>
      <c r="G37" s="117" t="s">
        <v>1844</v>
      </c>
      <c r="H37" s="264"/>
      <c r="I37" s="274" t="s">
        <v>888</v>
      </c>
      <c r="J37" s="264"/>
      <c r="K37" s="128"/>
      <c r="L37" s="128"/>
      <c r="M37" s="128"/>
      <c r="N37" s="128"/>
      <c r="O37" s="128"/>
      <c r="P37" s="128"/>
      <c r="Q37" s="137"/>
      <c r="R37" s="137"/>
      <c r="S37" s="137"/>
      <c r="T37" s="137"/>
      <c r="U37" s="137"/>
      <c r="V37" s="137"/>
      <c r="W37" s="137"/>
      <c r="X37" s="137"/>
    </row>
    <row r="38" spans="1:24" s="138" customFormat="1" ht="73.5" customHeight="1">
      <c r="A38" s="268"/>
      <c r="B38" s="102" t="s">
        <v>74</v>
      </c>
      <c r="C38" s="326"/>
      <c r="D38" s="116" t="s">
        <v>1835</v>
      </c>
      <c r="E38" s="116" t="s">
        <v>1836</v>
      </c>
      <c r="F38" s="327"/>
      <c r="G38" s="117" t="s">
        <v>1843</v>
      </c>
      <c r="H38" s="266"/>
      <c r="I38" s="274"/>
      <c r="J38" s="298"/>
      <c r="K38" s="128"/>
      <c r="L38" s="128">
        <v>21600</v>
      </c>
      <c r="M38" s="128">
        <f>M36+L38</f>
        <v>249889</v>
      </c>
      <c r="N38" s="128"/>
      <c r="O38" s="128"/>
      <c r="P38" s="128"/>
      <c r="Q38" s="137"/>
      <c r="R38" s="137"/>
      <c r="S38" s="137"/>
      <c r="T38" s="137"/>
      <c r="U38" s="137"/>
      <c r="V38" s="137"/>
      <c r="W38" s="137"/>
      <c r="X38" s="137"/>
    </row>
    <row r="39" spans="1:24" s="142" customFormat="1" ht="49.5" customHeight="1">
      <c r="A39" s="260" t="s">
        <v>47</v>
      </c>
      <c r="B39" s="261"/>
      <c r="C39" s="262"/>
      <c r="D39" s="144" t="s">
        <v>1753</v>
      </c>
      <c r="E39" s="145"/>
      <c r="F39" s="145"/>
      <c r="G39" s="260" t="s">
        <v>1755</v>
      </c>
      <c r="H39" s="261"/>
      <c r="I39" s="261"/>
      <c r="J39" s="262"/>
      <c r="K39" s="143"/>
      <c r="L39" s="143"/>
      <c r="M39" s="143"/>
      <c r="N39" s="143"/>
      <c r="O39" s="143"/>
      <c r="P39" s="143"/>
      <c r="Q39" s="143"/>
      <c r="R39" s="143"/>
      <c r="S39" s="143"/>
      <c r="T39" s="143"/>
      <c r="U39" s="143"/>
      <c r="V39" s="143"/>
      <c r="W39" s="143"/>
      <c r="X39" s="143"/>
    </row>
    <row r="40" spans="1:24" s="142" customFormat="1" ht="67.5" customHeight="1">
      <c r="A40" s="263" t="s">
        <v>1147</v>
      </c>
      <c r="B40" s="263"/>
      <c r="C40" s="263"/>
      <c r="D40" s="263"/>
      <c r="E40" s="263"/>
      <c r="F40" s="263"/>
      <c r="G40" s="263"/>
      <c r="H40" s="263"/>
      <c r="I40" s="263"/>
      <c r="J40" s="263"/>
      <c r="K40" s="143"/>
      <c r="L40" s="143"/>
      <c r="M40" s="143"/>
      <c r="N40" s="143"/>
      <c r="O40" s="143"/>
      <c r="P40" s="143"/>
      <c r="Q40" s="143"/>
      <c r="R40" s="143"/>
      <c r="S40" s="143"/>
      <c r="T40" s="143"/>
      <c r="U40" s="143"/>
      <c r="V40" s="143"/>
      <c r="W40" s="143"/>
      <c r="X40" s="143"/>
    </row>
    <row r="41" spans="1:24" s="138" customFormat="1" ht="69" customHeight="1">
      <c r="A41" s="267" t="s">
        <v>869</v>
      </c>
      <c r="B41" s="123" t="s">
        <v>234</v>
      </c>
      <c r="C41" s="280" t="s">
        <v>595</v>
      </c>
      <c r="D41" s="115">
        <v>45475</v>
      </c>
      <c r="E41" s="115" t="s">
        <v>1432</v>
      </c>
      <c r="F41" s="328" t="s">
        <v>1398</v>
      </c>
      <c r="G41" s="116" t="s">
        <v>619</v>
      </c>
      <c r="H41" s="264" t="s">
        <v>48</v>
      </c>
      <c r="I41" s="274" t="s">
        <v>442</v>
      </c>
      <c r="J41" s="264" t="s">
        <v>485</v>
      </c>
      <c r="K41" s="128"/>
      <c r="L41" s="128"/>
      <c r="M41" s="128"/>
      <c r="N41" s="128"/>
      <c r="O41" s="128"/>
      <c r="P41" s="128"/>
      <c r="Q41" s="137"/>
      <c r="R41" s="137"/>
      <c r="S41" s="137"/>
      <c r="T41" s="137"/>
      <c r="U41" s="137"/>
      <c r="V41" s="137"/>
      <c r="W41" s="137"/>
      <c r="X41" s="137"/>
    </row>
    <row r="42" spans="1:24" s="138" customFormat="1" ht="69" customHeight="1">
      <c r="A42" s="268"/>
      <c r="B42" s="102" t="s">
        <v>1397</v>
      </c>
      <c r="C42" s="282"/>
      <c r="D42" s="116" t="s">
        <v>619</v>
      </c>
      <c r="E42" s="116" t="s">
        <v>618</v>
      </c>
      <c r="F42" s="330"/>
      <c r="G42" s="116" t="s">
        <v>618</v>
      </c>
      <c r="H42" s="266"/>
      <c r="I42" s="274"/>
      <c r="J42" s="298"/>
      <c r="K42" s="128"/>
      <c r="L42" s="128"/>
      <c r="M42" s="128"/>
      <c r="N42" s="128"/>
      <c r="O42" s="128"/>
      <c r="P42" s="128"/>
      <c r="Q42" s="137"/>
      <c r="R42" s="137"/>
      <c r="S42" s="137"/>
      <c r="T42" s="137"/>
      <c r="U42" s="137"/>
      <c r="V42" s="137"/>
      <c r="W42" s="137"/>
      <c r="X42" s="137"/>
    </row>
    <row r="43" spans="1:24" s="138" customFormat="1" ht="69" customHeight="1">
      <c r="A43" s="267" t="s">
        <v>1467</v>
      </c>
      <c r="B43" s="123" t="s">
        <v>234</v>
      </c>
      <c r="C43" s="282"/>
      <c r="D43" s="115">
        <v>45582</v>
      </c>
      <c r="E43" s="115">
        <v>45587</v>
      </c>
      <c r="F43" s="330"/>
      <c r="G43" s="116" t="s">
        <v>620</v>
      </c>
      <c r="H43" s="264" t="s">
        <v>48</v>
      </c>
      <c r="I43" s="274" t="s">
        <v>624</v>
      </c>
      <c r="J43" s="264" t="s">
        <v>1620</v>
      </c>
      <c r="K43" s="128"/>
      <c r="L43" s="128"/>
      <c r="M43" s="128"/>
      <c r="N43" s="128"/>
      <c r="O43" s="128"/>
      <c r="P43" s="128"/>
      <c r="Q43" s="137"/>
      <c r="R43" s="137"/>
      <c r="S43" s="137"/>
      <c r="T43" s="137"/>
      <c r="U43" s="137"/>
      <c r="V43" s="137"/>
      <c r="W43" s="137"/>
      <c r="X43" s="137"/>
    </row>
    <row r="44" spans="1:24" s="138" customFormat="1" ht="69" customHeight="1">
      <c r="A44" s="268"/>
      <c r="B44" s="102" t="s">
        <v>1397</v>
      </c>
      <c r="C44" s="282"/>
      <c r="D44" s="116" t="s">
        <v>622</v>
      </c>
      <c r="E44" s="116" t="s">
        <v>623</v>
      </c>
      <c r="F44" s="330"/>
      <c r="G44" s="116" t="s">
        <v>621</v>
      </c>
      <c r="H44" s="266"/>
      <c r="I44" s="274"/>
      <c r="J44" s="298"/>
      <c r="K44" s="128"/>
      <c r="L44" s="128"/>
      <c r="M44" s="128"/>
      <c r="N44" s="128"/>
      <c r="O44" s="128"/>
      <c r="P44" s="128"/>
      <c r="Q44" s="137"/>
      <c r="R44" s="137"/>
      <c r="S44" s="137"/>
      <c r="T44" s="137"/>
      <c r="U44" s="137"/>
      <c r="V44" s="137"/>
      <c r="W44" s="137"/>
      <c r="X44" s="137"/>
    </row>
    <row r="45" spans="1:24" s="138" customFormat="1" ht="69" customHeight="1">
      <c r="A45" s="267" t="s">
        <v>1468</v>
      </c>
      <c r="B45" s="123" t="s">
        <v>234</v>
      </c>
      <c r="C45" s="282"/>
      <c r="D45" s="115">
        <v>45582</v>
      </c>
      <c r="E45" s="115">
        <v>45621</v>
      </c>
      <c r="F45" s="330"/>
      <c r="G45" s="116" t="s">
        <v>620</v>
      </c>
      <c r="H45" s="264" t="s">
        <v>48</v>
      </c>
      <c r="I45" s="274" t="s">
        <v>872</v>
      </c>
      <c r="J45" s="264" t="s">
        <v>680</v>
      </c>
      <c r="K45" s="128"/>
      <c r="L45" s="128"/>
      <c r="M45" s="128"/>
      <c r="N45" s="128"/>
      <c r="O45" s="128"/>
      <c r="P45" s="128"/>
      <c r="Q45" s="137"/>
      <c r="R45" s="137"/>
      <c r="S45" s="137"/>
      <c r="T45" s="137"/>
      <c r="U45" s="137"/>
      <c r="V45" s="137"/>
      <c r="W45" s="137"/>
      <c r="X45" s="137"/>
    </row>
    <row r="46" spans="1:24" s="138" customFormat="1" ht="69" customHeight="1">
      <c r="A46" s="268"/>
      <c r="B46" s="102" t="s">
        <v>1397</v>
      </c>
      <c r="C46" s="265"/>
      <c r="D46" s="116" t="s">
        <v>748</v>
      </c>
      <c r="E46" s="116" t="s">
        <v>678</v>
      </c>
      <c r="F46" s="329"/>
      <c r="G46" s="116" t="s">
        <v>679</v>
      </c>
      <c r="H46" s="266"/>
      <c r="I46" s="274"/>
      <c r="J46" s="298"/>
      <c r="K46" s="128"/>
      <c r="L46" s="128"/>
      <c r="M46" s="128"/>
      <c r="N46" s="128"/>
      <c r="O46" s="128"/>
      <c r="P46" s="128"/>
      <c r="Q46" s="137"/>
      <c r="R46" s="137"/>
      <c r="S46" s="137"/>
      <c r="T46" s="137"/>
      <c r="U46" s="137"/>
      <c r="V46" s="137"/>
      <c r="W46" s="137"/>
      <c r="X46" s="137"/>
    </row>
    <row r="47" spans="1:24" s="138" customFormat="1" ht="105.75" customHeight="1">
      <c r="A47" s="276" t="s">
        <v>1469</v>
      </c>
      <c r="B47" s="123" t="s">
        <v>1624</v>
      </c>
      <c r="C47" s="280" t="s">
        <v>595</v>
      </c>
      <c r="D47" s="115">
        <v>45582</v>
      </c>
      <c r="E47" s="115">
        <v>45721</v>
      </c>
      <c r="F47" s="328" t="s">
        <v>1399</v>
      </c>
      <c r="G47" s="116" t="s">
        <v>870</v>
      </c>
      <c r="H47" s="264" t="s">
        <v>48</v>
      </c>
      <c r="I47" s="280" t="s">
        <v>872</v>
      </c>
      <c r="J47" s="264" t="s">
        <v>1086</v>
      </c>
      <c r="K47" s="128"/>
      <c r="L47" s="128"/>
      <c r="M47" s="128"/>
      <c r="N47" s="128"/>
      <c r="O47" s="128"/>
      <c r="P47" s="128"/>
      <c r="Q47" s="137"/>
      <c r="R47" s="137"/>
      <c r="S47" s="137"/>
      <c r="T47" s="137"/>
      <c r="U47" s="137"/>
      <c r="V47" s="137"/>
      <c r="W47" s="137"/>
      <c r="X47" s="137"/>
    </row>
    <row r="48" spans="1:24" s="138" customFormat="1" ht="105.75" customHeight="1">
      <c r="A48" s="265"/>
      <c r="B48" s="102" t="s">
        <v>1397</v>
      </c>
      <c r="C48" s="265"/>
      <c r="D48" s="116" t="s">
        <v>870</v>
      </c>
      <c r="E48" s="116" t="s">
        <v>871</v>
      </c>
      <c r="F48" s="329"/>
      <c r="G48" s="116" t="s">
        <v>871</v>
      </c>
      <c r="H48" s="265"/>
      <c r="I48" s="265"/>
      <c r="J48" s="265"/>
      <c r="K48" s="128"/>
      <c r="L48" s="128"/>
      <c r="M48" s="128"/>
      <c r="N48" s="128"/>
      <c r="O48" s="128"/>
      <c r="P48" s="128"/>
      <c r="Q48" s="137"/>
      <c r="R48" s="137"/>
      <c r="S48" s="137"/>
      <c r="T48" s="137"/>
      <c r="U48" s="137"/>
      <c r="V48" s="137"/>
      <c r="W48" s="137"/>
      <c r="X48" s="137"/>
    </row>
    <row r="49" spans="1:24" s="142" customFormat="1" ht="49.5" customHeight="1">
      <c r="A49" s="260" t="s">
        <v>47</v>
      </c>
      <c r="B49" s="261"/>
      <c r="C49" s="262"/>
      <c r="D49" s="144" t="s">
        <v>1753</v>
      </c>
      <c r="E49" s="145"/>
      <c r="F49" s="145"/>
      <c r="G49" s="260" t="s">
        <v>1755</v>
      </c>
      <c r="H49" s="261"/>
      <c r="I49" s="261"/>
      <c r="J49" s="262"/>
      <c r="K49" s="143"/>
      <c r="L49" s="143"/>
      <c r="M49" s="143"/>
      <c r="N49" s="143"/>
      <c r="O49" s="143"/>
      <c r="P49" s="143"/>
      <c r="Q49" s="143"/>
      <c r="R49" s="143"/>
      <c r="S49" s="143"/>
      <c r="T49" s="143"/>
      <c r="U49" s="143"/>
      <c r="V49" s="143"/>
      <c r="W49" s="143"/>
      <c r="X49" s="143"/>
    </row>
    <row r="50" spans="1:24" s="142" customFormat="1" ht="67.5" customHeight="1">
      <c r="A50" s="263" t="s">
        <v>1147</v>
      </c>
      <c r="B50" s="263"/>
      <c r="C50" s="263"/>
      <c r="D50" s="263"/>
      <c r="E50" s="263"/>
      <c r="F50" s="263"/>
      <c r="G50" s="263"/>
      <c r="H50" s="263"/>
      <c r="I50" s="263"/>
      <c r="J50" s="263"/>
      <c r="K50" s="143"/>
      <c r="L50" s="143"/>
      <c r="M50" s="143"/>
      <c r="N50" s="143"/>
      <c r="O50" s="143"/>
      <c r="P50" s="143"/>
      <c r="Q50" s="143"/>
      <c r="R50" s="143"/>
      <c r="S50" s="143"/>
      <c r="T50" s="143"/>
      <c r="U50" s="143"/>
      <c r="V50" s="143"/>
      <c r="W50" s="143"/>
      <c r="X50" s="143"/>
    </row>
  </sheetData>
  <mergeCells count="124">
    <mergeCell ref="A1:J1"/>
    <mergeCell ref="A2:J2"/>
    <mergeCell ref="A3:F3"/>
    <mergeCell ref="G3:J3"/>
    <mergeCell ref="A4:F4"/>
    <mergeCell ref="G4:J4"/>
    <mergeCell ref="J7:J8"/>
    <mergeCell ref="A5:A6"/>
    <mergeCell ref="C5:C6"/>
    <mergeCell ref="F5:F6"/>
    <mergeCell ref="H5:H6"/>
    <mergeCell ref="I5:I6"/>
    <mergeCell ref="A7:A8"/>
    <mergeCell ref="C7:C8"/>
    <mergeCell ref="F7:F8"/>
    <mergeCell ref="H7:H8"/>
    <mergeCell ref="I7:I8"/>
    <mergeCell ref="J13:J14"/>
    <mergeCell ref="A9:A10"/>
    <mergeCell ref="C9:C10"/>
    <mergeCell ref="F9:F10"/>
    <mergeCell ref="H9:H10"/>
    <mergeCell ref="I9:I10"/>
    <mergeCell ref="J9:J10"/>
    <mergeCell ref="A13:A14"/>
    <mergeCell ref="C13:C14"/>
    <mergeCell ref="F13:F14"/>
    <mergeCell ref="H13:H14"/>
    <mergeCell ref="I13:I14"/>
    <mergeCell ref="A11:C11"/>
    <mergeCell ref="G11:J11"/>
    <mergeCell ref="A12:J12"/>
    <mergeCell ref="J17:J18"/>
    <mergeCell ref="A15:A16"/>
    <mergeCell ref="C15:C16"/>
    <mergeCell ref="F15:F16"/>
    <mergeCell ref="H15:H16"/>
    <mergeCell ref="I15:I16"/>
    <mergeCell ref="J15:J16"/>
    <mergeCell ref="A17:A18"/>
    <mergeCell ref="C17:C18"/>
    <mergeCell ref="F17:F18"/>
    <mergeCell ref="H17:H18"/>
    <mergeCell ref="I17:I18"/>
    <mergeCell ref="A19:C19"/>
    <mergeCell ref="G19:J19"/>
    <mergeCell ref="A20:J20"/>
    <mergeCell ref="A31:A32"/>
    <mergeCell ref="C31:C32"/>
    <mergeCell ref="F31:F32"/>
    <mergeCell ref="H31:H32"/>
    <mergeCell ref="I31:I32"/>
    <mergeCell ref="J31:J32"/>
    <mergeCell ref="A21:A22"/>
    <mergeCell ref="C21:C22"/>
    <mergeCell ref="F21:F22"/>
    <mergeCell ref="H21:H22"/>
    <mergeCell ref="I21:I22"/>
    <mergeCell ref="J21:J22"/>
    <mergeCell ref="J23:J24"/>
    <mergeCell ref="A23:A24"/>
    <mergeCell ref="C23:C24"/>
    <mergeCell ref="F23:F24"/>
    <mergeCell ref="H23:H24"/>
    <mergeCell ref="I23:I24"/>
    <mergeCell ref="J25:J26"/>
    <mergeCell ref="A27:A28"/>
    <mergeCell ref="C27:C28"/>
    <mergeCell ref="A50:J50"/>
    <mergeCell ref="A45:A46"/>
    <mergeCell ref="H45:H46"/>
    <mergeCell ref="I45:I46"/>
    <mergeCell ref="J45:J46"/>
    <mergeCell ref="A47:A48"/>
    <mergeCell ref="C47:C48"/>
    <mergeCell ref="F47:F48"/>
    <mergeCell ref="H47:H48"/>
    <mergeCell ref="I47:I48"/>
    <mergeCell ref="J47:J48"/>
    <mergeCell ref="C41:C46"/>
    <mergeCell ref="F41:F46"/>
    <mergeCell ref="H41:H42"/>
    <mergeCell ref="I41:I42"/>
    <mergeCell ref="A40:J40"/>
    <mergeCell ref="A39:C39"/>
    <mergeCell ref="G39:J39"/>
    <mergeCell ref="A49:C49"/>
    <mergeCell ref="G49:J49"/>
    <mergeCell ref="J41:J42"/>
    <mergeCell ref="A43:A44"/>
    <mergeCell ref="H43:H44"/>
    <mergeCell ref="I43:I44"/>
    <mergeCell ref="J43:J44"/>
    <mergeCell ref="A41:A42"/>
    <mergeCell ref="F27:F28"/>
    <mergeCell ref="H27:H28"/>
    <mergeCell ref="I27:I28"/>
    <mergeCell ref="J27:J28"/>
    <mergeCell ref="A25:A26"/>
    <mergeCell ref="C25:C26"/>
    <mergeCell ref="F25:F26"/>
    <mergeCell ref="H25:H26"/>
    <mergeCell ref="I25:I26"/>
    <mergeCell ref="A29:C29"/>
    <mergeCell ref="G29:J29"/>
    <mergeCell ref="A30:J30"/>
    <mergeCell ref="A33:A34"/>
    <mergeCell ref="C33:C34"/>
    <mergeCell ref="F33:F34"/>
    <mergeCell ref="H33:H34"/>
    <mergeCell ref="I33:I34"/>
    <mergeCell ref="J33:J34"/>
    <mergeCell ref="J35:J36"/>
    <mergeCell ref="A37:A38"/>
    <mergeCell ref="C37:C38"/>
    <mergeCell ref="F37:F38"/>
    <mergeCell ref="H37:H38"/>
    <mergeCell ref="I37:I38"/>
    <mergeCell ref="J37:J38"/>
    <mergeCell ref="A35:A36"/>
    <mergeCell ref="C35:C36"/>
    <mergeCell ref="F35:F36"/>
    <mergeCell ref="H35:H36"/>
    <mergeCell ref="I35:I3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4"/>
  <sheetViews>
    <sheetView view="pageBreakPreview" zoomScale="70" zoomScaleNormal="100" zoomScaleSheetLayoutView="70" zoomScalePageLayoutView="85" workbookViewId="0">
      <pane xSplit="1" ySplit="6" topLeftCell="B7" activePane="bottomRight" state="frozen"/>
      <selection activeCell="U14" sqref="U14"/>
      <selection pane="topRight" activeCell="U14" sqref="U14"/>
      <selection pane="bottomLeft" activeCell="U14" sqref="U14"/>
      <selection pane="bottomRight" activeCell="B14" sqref="B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4" customHeight="1">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131" t="s">
        <v>50</v>
      </c>
      <c r="F5" s="131" t="s">
        <v>50</v>
      </c>
      <c r="G5" s="278" t="s">
        <v>613</v>
      </c>
      <c r="H5" s="131" t="s">
        <v>1153</v>
      </c>
      <c r="I5" s="278" t="s">
        <v>612</v>
      </c>
      <c r="J5" s="278" t="s">
        <v>611</v>
      </c>
      <c r="K5" s="132" t="s">
        <v>16</v>
      </c>
    </row>
    <row r="6" spans="1:27" ht="56.25" customHeight="1">
      <c r="A6" s="279"/>
      <c r="B6" s="131" t="s">
        <v>614</v>
      </c>
      <c r="C6" s="279"/>
      <c r="D6" s="131" t="s">
        <v>49</v>
      </c>
      <c r="E6" s="131" t="s">
        <v>51</v>
      </c>
      <c r="F6" s="131" t="s">
        <v>51</v>
      </c>
      <c r="G6" s="279"/>
      <c r="H6" s="133" t="s">
        <v>1154</v>
      </c>
      <c r="I6" s="279"/>
      <c r="J6" s="279"/>
      <c r="K6" s="134" t="s">
        <v>46</v>
      </c>
    </row>
    <row r="7" spans="1:27" s="138" customFormat="1" ht="150.75" customHeight="1">
      <c r="A7" s="314" t="s">
        <v>1111</v>
      </c>
      <c r="B7" s="150" t="s">
        <v>68</v>
      </c>
      <c r="C7" s="326" t="s">
        <v>1575</v>
      </c>
      <c r="D7" s="115">
        <v>45774</v>
      </c>
      <c r="E7" s="115"/>
      <c r="F7" s="115">
        <v>45847</v>
      </c>
      <c r="G7" s="334" t="s">
        <v>1198</v>
      </c>
      <c r="H7" s="116" t="s">
        <v>1494</v>
      </c>
      <c r="I7" s="266" t="s">
        <v>48</v>
      </c>
      <c r="J7" s="274" t="s">
        <v>1112</v>
      </c>
      <c r="K7" s="264" t="s">
        <v>1615</v>
      </c>
      <c r="L7" s="136">
        <v>395.04</v>
      </c>
      <c r="M7" s="128"/>
      <c r="N7" s="128"/>
      <c r="O7" s="128"/>
      <c r="P7" s="128"/>
      <c r="Q7" s="128"/>
      <c r="R7" s="128"/>
      <c r="S7" s="128"/>
      <c r="T7" s="137"/>
      <c r="U7" s="137"/>
      <c r="V7" s="137"/>
      <c r="W7" s="137"/>
      <c r="X7" s="137"/>
      <c r="Y7" s="137"/>
      <c r="Z7" s="137"/>
      <c r="AA7" s="137"/>
    </row>
    <row r="8" spans="1:27" s="138" customFormat="1" ht="150.75" customHeight="1">
      <c r="A8" s="268"/>
      <c r="B8" s="102" t="s">
        <v>1396</v>
      </c>
      <c r="C8" s="281"/>
      <c r="D8" s="115" t="s">
        <v>1113</v>
      </c>
      <c r="E8" s="115"/>
      <c r="F8" s="115" t="s">
        <v>1610</v>
      </c>
      <c r="G8" s="335"/>
      <c r="H8" s="116" t="s">
        <v>1611</v>
      </c>
      <c r="I8" s="285"/>
      <c r="J8" s="274"/>
      <c r="K8" s="298"/>
      <c r="L8" s="127"/>
      <c r="M8" s="127"/>
      <c r="N8" s="128"/>
      <c r="O8" s="128"/>
      <c r="P8" s="128"/>
      <c r="Q8" s="128"/>
      <c r="R8" s="128"/>
      <c r="S8" s="128"/>
      <c r="T8" s="137"/>
      <c r="U8" s="137"/>
      <c r="V8" s="137"/>
      <c r="W8" s="137"/>
      <c r="X8" s="137"/>
      <c r="Y8" s="137"/>
      <c r="Z8" s="137"/>
      <c r="AA8" s="137"/>
    </row>
    <row r="9" spans="1:27" s="140" customFormat="1" ht="150.75" customHeight="1">
      <c r="A9" s="314" t="s">
        <v>1491</v>
      </c>
      <c r="B9" s="150" t="s">
        <v>68</v>
      </c>
      <c r="C9" s="326" t="s">
        <v>1575</v>
      </c>
      <c r="D9" s="115">
        <v>45921</v>
      </c>
      <c r="E9" s="115"/>
      <c r="F9" s="115">
        <v>45947</v>
      </c>
      <c r="G9" s="335"/>
      <c r="H9" s="117" t="s">
        <v>1493</v>
      </c>
      <c r="I9" s="266" t="s">
        <v>48</v>
      </c>
      <c r="J9" s="274" t="s">
        <v>872</v>
      </c>
      <c r="K9" s="264" t="s">
        <v>1800</v>
      </c>
      <c r="L9" s="136">
        <v>377.96</v>
      </c>
      <c r="M9" s="128"/>
      <c r="N9" s="128"/>
      <c r="O9" s="128"/>
      <c r="P9" s="128"/>
      <c r="Q9" s="128"/>
      <c r="R9" s="128"/>
      <c r="S9" s="128"/>
      <c r="T9" s="139"/>
      <c r="U9" s="139"/>
      <c r="V9" s="139"/>
      <c r="W9" s="139"/>
      <c r="X9" s="139"/>
      <c r="Y9" s="139"/>
      <c r="Z9" s="139"/>
      <c r="AA9" s="139"/>
    </row>
    <row r="10" spans="1:27" s="140" customFormat="1" ht="150.75" customHeight="1">
      <c r="A10" s="268"/>
      <c r="B10" s="103" t="s">
        <v>1396</v>
      </c>
      <c r="C10" s="281"/>
      <c r="D10" s="115" t="s">
        <v>1492</v>
      </c>
      <c r="E10" s="115"/>
      <c r="F10" s="115" t="s">
        <v>1604</v>
      </c>
      <c r="G10" s="335"/>
      <c r="H10" s="116" t="s">
        <v>1612</v>
      </c>
      <c r="I10" s="285"/>
      <c r="J10" s="274"/>
      <c r="K10" s="298"/>
      <c r="L10" s="127"/>
      <c r="M10" s="127"/>
      <c r="N10" s="128"/>
      <c r="O10" s="128"/>
      <c r="P10" s="128"/>
      <c r="Q10" s="128"/>
      <c r="R10" s="128"/>
      <c r="S10" s="128"/>
      <c r="T10" s="139"/>
      <c r="U10" s="139"/>
      <c r="V10" s="139"/>
      <c r="W10" s="139"/>
      <c r="X10" s="139"/>
      <c r="Y10" s="139"/>
      <c r="Z10" s="139"/>
      <c r="AA10" s="139"/>
    </row>
    <row r="11" spans="1:27" s="142" customFormat="1" ht="49.5" customHeight="1">
      <c r="A11" s="260" t="s">
        <v>47</v>
      </c>
      <c r="B11" s="261"/>
      <c r="C11" s="262"/>
      <c r="D11" s="260" t="s">
        <v>1753</v>
      </c>
      <c r="E11" s="261"/>
      <c r="F11" s="261"/>
      <c r="G11" s="262"/>
      <c r="H11" s="332" t="s">
        <v>1755</v>
      </c>
      <c r="I11" s="332"/>
      <c r="J11" s="332"/>
      <c r="K11" s="333"/>
      <c r="M11" s="143"/>
      <c r="N11" s="143"/>
      <c r="O11" s="143"/>
      <c r="P11" s="143"/>
      <c r="Q11" s="143"/>
      <c r="R11" s="143"/>
      <c r="S11" s="143"/>
      <c r="T11" s="143"/>
      <c r="U11" s="143"/>
      <c r="V11" s="143"/>
      <c r="W11" s="143"/>
      <c r="X11" s="143"/>
      <c r="Y11" s="143"/>
      <c r="Z11" s="143"/>
      <c r="AA11" s="143"/>
    </row>
    <row r="12" spans="1:27" s="142" customFormat="1" ht="54" customHeight="1">
      <c r="A12" s="263" t="s">
        <v>1147</v>
      </c>
      <c r="B12" s="263"/>
      <c r="C12" s="263"/>
      <c r="D12" s="263"/>
      <c r="E12" s="263"/>
      <c r="F12" s="263"/>
      <c r="G12" s="263"/>
      <c r="H12" s="263"/>
      <c r="I12" s="263"/>
      <c r="J12" s="263"/>
      <c r="K12" s="263"/>
      <c r="M12" s="143"/>
      <c r="N12" s="143"/>
      <c r="O12" s="143"/>
      <c r="P12" s="143"/>
      <c r="Q12" s="143"/>
      <c r="R12" s="143"/>
      <c r="S12" s="143"/>
      <c r="T12" s="143"/>
      <c r="U12" s="143"/>
      <c r="V12" s="143"/>
      <c r="W12" s="143"/>
      <c r="X12" s="143"/>
      <c r="Y12" s="143"/>
      <c r="Z12" s="143"/>
      <c r="AA12" s="143"/>
    </row>
    <row r="13" spans="1:27" s="138" customFormat="1" ht="157.5" customHeight="1">
      <c r="A13" s="314" t="s">
        <v>1240</v>
      </c>
      <c r="B13" s="150" t="s">
        <v>68</v>
      </c>
      <c r="C13" s="326" t="s">
        <v>596</v>
      </c>
      <c r="D13" s="115">
        <v>45847</v>
      </c>
      <c r="E13" s="115"/>
      <c r="F13" s="115">
        <v>45847</v>
      </c>
      <c r="G13" s="331" t="s">
        <v>1614</v>
      </c>
      <c r="H13" s="116" t="s">
        <v>1114</v>
      </c>
      <c r="I13" s="266"/>
      <c r="J13" s="274" t="s">
        <v>1112</v>
      </c>
      <c r="K13" s="264" t="s">
        <v>1613</v>
      </c>
      <c r="L13" s="136"/>
      <c r="M13" s="128"/>
      <c r="N13" s="128"/>
      <c r="O13" s="128"/>
      <c r="P13" s="128"/>
      <c r="Q13" s="128"/>
      <c r="R13" s="128"/>
      <c r="S13" s="128"/>
      <c r="T13" s="137"/>
      <c r="U13" s="137"/>
      <c r="V13" s="137"/>
      <c r="W13" s="137"/>
      <c r="X13" s="137"/>
      <c r="Y13" s="137"/>
      <c r="Z13" s="137"/>
      <c r="AA13" s="137"/>
    </row>
    <row r="14" spans="1:27" s="138" customFormat="1" ht="157.5" customHeight="1">
      <c r="A14" s="268"/>
      <c r="B14" s="103" t="s">
        <v>235</v>
      </c>
      <c r="C14" s="281"/>
      <c r="D14" s="115" t="s">
        <v>1114</v>
      </c>
      <c r="E14" s="115"/>
      <c r="F14" s="115" t="s">
        <v>1115</v>
      </c>
      <c r="G14" s="331"/>
      <c r="H14" s="116" t="s">
        <v>1115</v>
      </c>
      <c r="I14" s="285"/>
      <c r="J14" s="274"/>
      <c r="K14" s="298"/>
      <c r="L14" s="127"/>
      <c r="M14" s="127"/>
      <c r="N14" s="128"/>
      <c r="O14" s="128"/>
      <c r="P14" s="128"/>
      <c r="Q14" s="128"/>
      <c r="R14" s="128"/>
      <c r="S14" s="128"/>
      <c r="T14" s="137"/>
      <c r="U14" s="137"/>
      <c r="V14" s="137"/>
      <c r="W14" s="137"/>
      <c r="X14" s="137"/>
      <c r="Y14" s="137"/>
      <c r="Z14" s="137"/>
      <c r="AA14" s="137"/>
    </row>
    <row r="15" spans="1:27" s="142" customFormat="1" ht="49.5" customHeight="1">
      <c r="A15" s="260" t="s">
        <v>47</v>
      </c>
      <c r="B15" s="261"/>
      <c r="C15" s="262"/>
      <c r="D15" s="260" t="s">
        <v>1753</v>
      </c>
      <c r="E15" s="261"/>
      <c r="F15" s="261"/>
      <c r="G15" s="262"/>
      <c r="H15" s="332" t="s">
        <v>1755</v>
      </c>
      <c r="I15" s="332"/>
      <c r="J15" s="332"/>
      <c r="K15" s="333"/>
      <c r="M15" s="143"/>
      <c r="N15" s="143"/>
      <c r="O15" s="143"/>
      <c r="P15" s="143"/>
      <c r="Q15" s="143"/>
      <c r="R15" s="143"/>
      <c r="S15" s="143"/>
      <c r="T15" s="143"/>
      <c r="U15" s="143"/>
      <c r="V15" s="143"/>
      <c r="W15" s="143"/>
      <c r="X15" s="143"/>
      <c r="Y15" s="143"/>
      <c r="Z15" s="143"/>
      <c r="AA15" s="143"/>
    </row>
    <row r="16" spans="1:27" s="142" customFormat="1" ht="54" customHeight="1">
      <c r="A16" s="263" t="s">
        <v>1147</v>
      </c>
      <c r="B16" s="263"/>
      <c r="C16" s="263"/>
      <c r="D16" s="263"/>
      <c r="E16" s="263"/>
      <c r="F16" s="263"/>
      <c r="G16" s="263"/>
      <c r="H16" s="263"/>
      <c r="I16" s="263"/>
      <c r="J16" s="263"/>
      <c r="K16" s="263"/>
      <c r="M16" s="143"/>
      <c r="N16" s="143"/>
      <c r="O16" s="143"/>
      <c r="P16" s="143"/>
      <c r="Q16" s="143"/>
      <c r="R16" s="143"/>
      <c r="S16" s="143"/>
      <c r="T16" s="143"/>
      <c r="U16" s="143"/>
      <c r="V16" s="143"/>
      <c r="W16" s="143"/>
      <c r="X16" s="143"/>
      <c r="Y16" s="143"/>
      <c r="Z16" s="143"/>
      <c r="AA16" s="143"/>
    </row>
    <row r="24" spans="1:1" ht="409.5">
      <c r="A24" s="130" t="s">
        <v>52</v>
      </c>
    </row>
  </sheetData>
  <mergeCells count="36">
    <mergeCell ref="J5:J6"/>
    <mergeCell ref="A1:K1"/>
    <mergeCell ref="A2:K2"/>
    <mergeCell ref="A3:G3"/>
    <mergeCell ref="H3:K3"/>
    <mergeCell ref="A4:G4"/>
    <mergeCell ref="H4:K4"/>
    <mergeCell ref="A5:A6"/>
    <mergeCell ref="C5:C6"/>
    <mergeCell ref="G5:G6"/>
    <mergeCell ref="I5:I6"/>
    <mergeCell ref="A16:K16"/>
    <mergeCell ref="A9:A10"/>
    <mergeCell ref="C9:C10"/>
    <mergeCell ref="I9:I10"/>
    <mergeCell ref="J9:J10"/>
    <mergeCell ref="A13:A14"/>
    <mergeCell ref="C13:C14"/>
    <mergeCell ref="I13:I14"/>
    <mergeCell ref="J13:J14"/>
    <mergeCell ref="G7:G10"/>
    <mergeCell ref="I7:I8"/>
    <mergeCell ref="K7:K8"/>
    <mergeCell ref="K13:K14"/>
    <mergeCell ref="A15:C15"/>
    <mergeCell ref="D15:G15"/>
    <mergeCell ref="H15:K15"/>
    <mergeCell ref="G13:G14"/>
    <mergeCell ref="J7:J8"/>
    <mergeCell ref="A7:A8"/>
    <mergeCell ref="C7:C8"/>
    <mergeCell ref="K9:K10"/>
    <mergeCell ref="A11:C11"/>
    <mergeCell ref="D11:G11"/>
    <mergeCell ref="H11:K11"/>
    <mergeCell ref="A12: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59"/>
  <sheetViews>
    <sheetView tabSelected="1" view="pageBreakPreview" zoomScaleNormal="100" zoomScaleSheetLayoutView="100" zoomScalePageLayoutView="85" workbookViewId="0">
      <pane xSplit="1" ySplit="6" topLeftCell="B18" activePane="bottomRight" state="frozen"/>
      <selection activeCell="U14" sqref="U14"/>
      <selection pane="topRight" activeCell="U14" sqref="U14"/>
      <selection pane="bottomLeft" activeCell="U14" sqref="U14"/>
      <selection pane="bottomRight" activeCell="J21" sqref="J21:J22"/>
    </sheetView>
  </sheetViews>
  <sheetFormatPr defaultRowHeight="14.25"/>
  <cols>
    <col min="1" max="1" width="5.75" style="130" customWidth="1"/>
    <col min="2" max="2" width="13.375" style="130" customWidth="1"/>
    <col min="3" max="3" width="8.875" style="130" customWidth="1"/>
    <col min="4" max="5" width="14.25" style="147" customWidth="1"/>
    <col min="6" max="6" width="15.125" style="130" customWidth="1"/>
    <col min="7" max="7" width="8.5" style="149" customWidth="1"/>
    <col min="8" max="8" width="4.75" style="130" customWidth="1"/>
    <col min="9" max="9" width="9.75" style="130" customWidth="1"/>
    <col min="10" max="10" width="15.25" style="130" customWidth="1"/>
    <col min="11" max="11" width="9" style="127"/>
    <col min="12"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86" t="s">
        <v>45</v>
      </c>
      <c r="B1" s="286"/>
      <c r="C1" s="286"/>
      <c r="D1" s="286"/>
      <c r="E1" s="286"/>
      <c r="F1" s="286"/>
      <c r="G1" s="286"/>
      <c r="H1" s="286"/>
      <c r="I1" s="286"/>
      <c r="J1" s="286"/>
    </row>
    <row r="2" spans="1:26" ht="23.25" customHeight="1">
      <c r="A2" s="286" t="s">
        <v>0</v>
      </c>
      <c r="B2" s="286"/>
      <c r="C2" s="286"/>
      <c r="D2" s="286"/>
      <c r="E2" s="286"/>
      <c r="F2" s="286"/>
      <c r="G2" s="286"/>
      <c r="H2" s="286"/>
      <c r="I2" s="286"/>
      <c r="J2" s="286"/>
    </row>
    <row r="3" spans="1:26" ht="16.5" customHeight="1">
      <c r="A3" s="303" t="str">
        <f>"工程名稱:"&amp;'1.計畫'!A1:I1</f>
        <v>工程名稱:磺港溪再造C段護岸及步道整建工程（延壽橋至三合橋）</v>
      </c>
      <c r="B3" s="303"/>
      <c r="C3" s="303"/>
      <c r="D3" s="303"/>
      <c r="E3" s="303"/>
      <c r="F3" s="303"/>
      <c r="G3" s="303" t="s">
        <v>83</v>
      </c>
      <c r="H3" s="303"/>
      <c r="I3" s="303"/>
      <c r="J3" s="303"/>
    </row>
    <row r="4" spans="1:26" ht="16.5" customHeight="1">
      <c r="A4" s="303" t="s">
        <v>40</v>
      </c>
      <c r="B4" s="303"/>
      <c r="C4" s="303"/>
      <c r="D4" s="303"/>
      <c r="E4" s="303"/>
      <c r="F4" s="303"/>
      <c r="G4" s="303" t="s">
        <v>84</v>
      </c>
      <c r="H4" s="303"/>
      <c r="I4" s="303"/>
      <c r="J4" s="303"/>
    </row>
    <row r="5" spans="1:26" ht="56.25" customHeight="1">
      <c r="A5" s="278" t="s">
        <v>1</v>
      </c>
      <c r="B5" s="131" t="s">
        <v>1157</v>
      </c>
      <c r="C5" s="278" t="s">
        <v>1158</v>
      </c>
      <c r="D5" s="131" t="s">
        <v>1159</v>
      </c>
      <c r="E5" s="131" t="s">
        <v>50</v>
      </c>
      <c r="F5" s="278" t="s">
        <v>1162</v>
      </c>
      <c r="G5" s="131" t="s">
        <v>1163</v>
      </c>
      <c r="H5" s="278" t="s">
        <v>1164</v>
      </c>
      <c r="I5" s="278" t="s">
        <v>1165</v>
      </c>
      <c r="J5" s="132" t="s">
        <v>1166</v>
      </c>
    </row>
    <row r="6" spans="1:26" ht="56.25" customHeight="1">
      <c r="A6" s="279"/>
      <c r="B6" s="131" t="s">
        <v>1167</v>
      </c>
      <c r="C6" s="279"/>
      <c r="D6" s="131" t="s">
        <v>1160</v>
      </c>
      <c r="E6" s="131" t="s">
        <v>51</v>
      </c>
      <c r="F6" s="279"/>
      <c r="G6" s="133" t="s">
        <v>1169</v>
      </c>
      <c r="H6" s="279"/>
      <c r="I6" s="279"/>
      <c r="J6" s="134" t="s">
        <v>1170</v>
      </c>
    </row>
    <row r="7" spans="1:26" s="138" customFormat="1" ht="147" customHeight="1">
      <c r="A7" s="283" t="s">
        <v>633</v>
      </c>
      <c r="B7" s="158" t="s">
        <v>1438</v>
      </c>
      <c r="C7" s="280" t="s">
        <v>1576</v>
      </c>
      <c r="D7" s="115">
        <v>45380</v>
      </c>
      <c r="E7" s="115">
        <v>45383</v>
      </c>
      <c r="F7" s="264" t="s">
        <v>237</v>
      </c>
      <c r="G7" s="117" t="s">
        <v>302</v>
      </c>
      <c r="H7" s="285" t="s">
        <v>48</v>
      </c>
      <c r="I7" s="274" t="s">
        <v>1621</v>
      </c>
      <c r="J7" s="264" t="s">
        <v>1622</v>
      </c>
      <c r="K7" s="136"/>
      <c r="L7" s="128"/>
      <c r="M7" s="128"/>
      <c r="N7" s="128"/>
      <c r="O7" s="128"/>
      <c r="P7" s="128"/>
      <c r="Q7" s="128"/>
      <c r="R7" s="128"/>
      <c r="S7" s="137"/>
      <c r="T7" s="137"/>
      <c r="U7" s="137"/>
      <c r="V7" s="137"/>
      <c r="W7" s="137"/>
      <c r="X7" s="137"/>
      <c r="Y7" s="137"/>
      <c r="Z7" s="137"/>
    </row>
    <row r="8" spans="1:26" s="138" customFormat="1" ht="61.5" customHeight="1">
      <c r="A8" s="284"/>
      <c r="B8" s="102" t="s">
        <v>236</v>
      </c>
      <c r="C8" s="326"/>
      <c r="D8" s="115" t="s">
        <v>1189</v>
      </c>
      <c r="E8" s="115" t="s">
        <v>303</v>
      </c>
      <c r="F8" s="275"/>
      <c r="G8" s="117" t="s">
        <v>303</v>
      </c>
      <c r="H8" s="285"/>
      <c r="I8" s="274"/>
      <c r="J8" s="298"/>
      <c r="K8" s="127"/>
      <c r="L8" s="127"/>
      <c r="M8" s="128"/>
      <c r="N8" s="128">
        <f>6849.64-909.17</f>
        <v>5940.47</v>
      </c>
      <c r="O8" s="128"/>
      <c r="P8" s="128"/>
      <c r="Q8" s="128"/>
      <c r="R8" s="128"/>
      <c r="S8" s="137"/>
      <c r="T8" s="137"/>
      <c r="U8" s="137"/>
      <c r="V8" s="137"/>
      <c r="W8" s="137"/>
      <c r="X8" s="137"/>
      <c r="Y8" s="137"/>
      <c r="Z8" s="137"/>
    </row>
    <row r="9" spans="1:26" s="138" customFormat="1" ht="147" customHeight="1">
      <c r="A9" s="283" t="s">
        <v>634</v>
      </c>
      <c r="B9" s="158" t="s">
        <v>1438</v>
      </c>
      <c r="C9" s="325"/>
      <c r="D9" s="115">
        <v>45547</v>
      </c>
      <c r="E9" s="115">
        <v>45553</v>
      </c>
      <c r="F9" s="325"/>
      <c r="G9" s="117" t="s">
        <v>636</v>
      </c>
      <c r="H9" s="285" t="s">
        <v>48</v>
      </c>
      <c r="I9" s="274" t="s">
        <v>494</v>
      </c>
      <c r="J9" s="264" t="s">
        <v>1623</v>
      </c>
      <c r="K9" s="136"/>
      <c r="L9" s="128"/>
      <c r="M9" s="128"/>
      <c r="N9" s="128"/>
      <c r="O9" s="128"/>
      <c r="P9" s="128"/>
      <c r="Q9" s="128"/>
      <c r="R9" s="128"/>
      <c r="S9" s="137"/>
      <c r="T9" s="137"/>
      <c r="U9" s="137"/>
      <c r="V9" s="137"/>
      <c r="W9" s="137"/>
      <c r="X9" s="137"/>
      <c r="Y9" s="137"/>
      <c r="Z9" s="137"/>
    </row>
    <row r="10" spans="1:26" s="138" customFormat="1" ht="61.5" customHeight="1">
      <c r="A10" s="284"/>
      <c r="B10" s="102" t="s">
        <v>236</v>
      </c>
      <c r="C10" s="325"/>
      <c r="D10" s="115" t="s">
        <v>635</v>
      </c>
      <c r="E10" s="115" t="s">
        <v>637</v>
      </c>
      <c r="F10" s="325"/>
      <c r="G10" s="117" t="s">
        <v>923</v>
      </c>
      <c r="H10" s="285"/>
      <c r="I10" s="274"/>
      <c r="J10" s="298"/>
      <c r="K10" s="127"/>
      <c r="L10" s="127"/>
      <c r="M10" s="128"/>
      <c r="N10" s="128"/>
      <c r="O10" s="128"/>
      <c r="P10" s="128"/>
      <c r="Q10" s="128"/>
      <c r="R10" s="128"/>
      <c r="S10" s="137"/>
      <c r="T10" s="137"/>
      <c r="U10" s="137"/>
      <c r="V10" s="137"/>
      <c r="W10" s="137"/>
      <c r="X10" s="137"/>
      <c r="Y10" s="137"/>
      <c r="Z10" s="137"/>
    </row>
    <row r="11" spans="1:26" s="138" customFormat="1" ht="147" customHeight="1">
      <c r="A11" s="283" t="s">
        <v>1110</v>
      </c>
      <c r="B11" s="158" t="s">
        <v>1438</v>
      </c>
      <c r="C11" s="325"/>
      <c r="D11" s="115">
        <v>45728</v>
      </c>
      <c r="E11" s="115">
        <v>45734</v>
      </c>
      <c r="F11" s="325"/>
      <c r="G11" s="117" t="s">
        <v>889</v>
      </c>
      <c r="H11" s="285" t="s">
        <v>48</v>
      </c>
      <c r="I11" s="274" t="s">
        <v>888</v>
      </c>
      <c r="J11" s="264" t="s">
        <v>984</v>
      </c>
      <c r="K11" s="136"/>
      <c r="L11" s="128"/>
      <c r="M11" s="128"/>
      <c r="N11" s="128"/>
      <c r="O11" s="128"/>
      <c r="P11" s="128"/>
      <c r="Q11" s="128"/>
      <c r="R11" s="128"/>
      <c r="S11" s="137"/>
      <c r="T11" s="137"/>
      <c r="U11" s="137"/>
      <c r="V11" s="137"/>
      <c r="W11" s="137"/>
      <c r="X11" s="137"/>
      <c r="Y11" s="137"/>
      <c r="Z11" s="137"/>
    </row>
    <row r="12" spans="1:26" s="138" customFormat="1" ht="61.5" customHeight="1">
      <c r="A12" s="284"/>
      <c r="B12" s="102" t="s">
        <v>236</v>
      </c>
      <c r="C12" s="298"/>
      <c r="D12" s="115" t="s">
        <v>886</v>
      </c>
      <c r="E12" s="115" t="s">
        <v>887</v>
      </c>
      <c r="F12" s="298"/>
      <c r="G12" s="117" t="s">
        <v>951</v>
      </c>
      <c r="H12" s="285"/>
      <c r="I12" s="274"/>
      <c r="J12" s="298"/>
      <c r="K12" s="127"/>
      <c r="L12" s="127"/>
      <c r="M12" s="128"/>
      <c r="N12" s="128"/>
      <c r="O12" s="128"/>
      <c r="P12" s="128"/>
      <c r="Q12" s="128"/>
      <c r="R12" s="128"/>
      <c r="S12" s="137"/>
      <c r="T12" s="137"/>
      <c r="U12" s="137"/>
      <c r="V12" s="137"/>
      <c r="W12" s="137"/>
      <c r="X12" s="137"/>
      <c r="Y12" s="137"/>
      <c r="Z12" s="137"/>
    </row>
    <row r="13" spans="1:26" s="142" customFormat="1" ht="49.5" customHeight="1">
      <c r="A13" s="260" t="s">
        <v>47</v>
      </c>
      <c r="B13" s="261"/>
      <c r="C13" s="262"/>
      <c r="D13" s="260" t="s">
        <v>1753</v>
      </c>
      <c r="E13" s="261"/>
      <c r="F13" s="262"/>
      <c r="G13" s="332" t="s">
        <v>1755</v>
      </c>
      <c r="H13" s="332"/>
      <c r="I13" s="332"/>
      <c r="J13" s="333"/>
      <c r="L13" s="143"/>
      <c r="M13" s="143"/>
      <c r="N13" s="143"/>
      <c r="O13" s="143"/>
      <c r="P13" s="143"/>
      <c r="Q13" s="143"/>
      <c r="R13" s="143"/>
      <c r="S13" s="143"/>
      <c r="T13" s="143"/>
      <c r="U13" s="143"/>
      <c r="V13" s="143"/>
      <c r="W13" s="143"/>
      <c r="X13" s="143"/>
      <c r="Y13" s="143"/>
      <c r="Z13" s="143"/>
    </row>
    <row r="14" spans="1:26" s="161" customFormat="1" ht="59.25" customHeight="1">
      <c r="A14" s="263" t="s">
        <v>1188</v>
      </c>
      <c r="B14" s="263"/>
      <c r="C14" s="263"/>
      <c r="D14" s="263"/>
      <c r="E14" s="263"/>
      <c r="F14" s="263"/>
      <c r="G14" s="263"/>
      <c r="H14" s="263"/>
      <c r="I14" s="263"/>
      <c r="J14" s="263"/>
      <c r="L14" s="162"/>
      <c r="M14" s="162"/>
      <c r="N14" s="162"/>
      <c r="O14" s="162"/>
      <c r="P14" s="162"/>
      <c r="Q14" s="162"/>
      <c r="R14" s="162"/>
      <c r="S14" s="162"/>
      <c r="T14" s="162"/>
      <c r="U14" s="162"/>
      <c r="V14" s="162"/>
      <c r="W14" s="162"/>
      <c r="X14" s="162"/>
      <c r="Y14" s="162"/>
      <c r="Z14" s="162"/>
    </row>
    <row r="15" spans="1:26" s="138" customFormat="1" ht="147" customHeight="1">
      <c r="A15" s="313" t="s">
        <v>890</v>
      </c>
      <c r="B15" s="158" t="s">
        <v>1439</v>
      </c>
      <c r="C15" s="280" t="s">
        <v>597</v>
      </c>
      <c r="D15" s="115">
        <v>45651</v>
      </c>
      <c r="E15" s="115">
        <v>45665</v>
      </c>
      <c r="F15" s="285" t="s">
        <v>239</v>
      </c>
      <c r="G15" s="116" t="s">
        <v>682</v>
      </c>
      <c r="H15" s="285" t="s">
        <v>48</v>
      </c>
      <c r="I15" s="274" t="s">
        <v>688</v>
      </c>
      <c r="J15" s="264" t="s">
        <v>1237</v>
      </c>
      <c r="K15" s="136"/>
      <c r="L15" s="128"/>
      <c r="M15" s="128"/>
      <c r="N15" s="128"/>
      <c r="O15" s="128"/>
      <c r="P15" s="128"/>
      <c r="Q15" s="128"/>
      <c r="R15" s="128"/>
      <c r="S15" s="137"/>
      <c r="T15" s="137"/>
      <c r="U15" s="137"/>
      <c r="V15" s="137"/>
      <c r="W15" s="137"/>
      <c r="X15" s="137"/>
      <c r="Y15" s="137"/>
      <c r="Z15" s="137"/>
    </row>
    <row r="16" spans="1:26" s="138" customFormat="1" ht="39.950000000000003" customHeight="1">
      <c r="A16" s="284"/>
      <c r="B16" s="102" t="s">
        <v>238</v>
      </c>
      <c r="C16" s="281"/>
      <c r="D16" s="115" t="s">
        <v>682</v>
      </c>
      <c r="E16" s="115" t="s">
        <v>683</v>
      </c>
      <c r="F16" s="285"/>
      <c r="G16" s="116" t="s">
        <v>683</v>
      </c>
      <c r="H16" s="285"/>
      <c r="I16" s="274"/>
      <c r="J16" s="265"/>
      <c r="K16" s="127"/>
      <c r="L16" s="127"/>
      <c r="M16" s="128"/>
      <c r="N16" s="128"/>
      <c r="O16" s="128"/>
      <c r="P16" s="128"/>
      <c r="Q16" s="128"/>
      <c r="R16" s="128"/>
      <c r="S16" s="137"/>
      <c r="T16" s="137"/>
      <c r="U16" s="137"/>
      <c r="V16" s="137"/>
      <c r="W16" s="137"/>
      <c r="X16" s="137"/>
      <c r="Y16" s="137"/>
      <c r="Z16" s="137"/>
    </row>
    <row r="17" spans="1:26" s="138" customFormat="1" ht="148.5" customHeight="1">
      <c r="A17" s="313" t="s">
        <v>891</v>
      </c>
      <c r="B17" s="158" t="s">
        <v>1439</v>
      </c>
      <c r="C17" s="280" t="s">
        <v>597</v>
      </c>
      <c r="D17" s="115">
        <v>45733</v>
      </c>
      <c r="E17" s="115">
        <v>45734</v>
      </c>
      <c r="F17" s="285" t="s">
        <v>239</v>
      </c>
      <c r="G17" s="116" t="s">
        <v>895</v>
      </c>
      <c r="H17" s="285" t="s">
        <v>48</v>
      </c>
      <c r="I17" s="274" t="s">
        <v>888</v>
      </c>
      <c r="J17" s="264" t="s">
        <v>1088</v>
      </c>
      <c r="K17" s="136"/>
      <c r="L17" s="128"/>
      <c r="M17" s="128"/>
      <c r="N17" s="128"/>
      <c r="O17" s="128"/>
      <c r="P17" s="128"/>
      <c r="Q17" s="128"/>
      <c r="R17" s="128"/>
      <c r="S17" s="137"/>
      <c r="T17" s="137"/>
      <c r="U17" s="137"/>
      <c r="V17" s="137"/>
      <c r="W17" s="137"/>
      <c r="X17" s="137"/>
      <c r="Y17" s="137"/>
      <c r="Z17" s="137"/>
    </row>
    <row r="18" spans="1:26" s="138" customFormat="1" ht="39.950000000000003" customHeight="1">
      <c r="A18" s="284"/>
      <c r="B18" s="102" t="s">
        <v>238</v>
      </c>
      <c r="C18" s="281"/>
      <c r="D18" s="115" t="s">
        <v>892</v>
      </c>
      <c r="E18" s="115" t="s">
        <v>893</v>
      </c>
      <c r="F18" s="285"/>
      <c r="G18" s="116" t="s">
        <v>894</v>
      </c>
      <c r="H18" s="285"/>
      <c r="I18" s="274"/>
      <c r="J18" s="265"/>
      <c r="K18" s="127"/>
      <c r="L18" s="127"/>
      <c r="M18" s="128"/>
      <c r="N18" s="128"/>
      <c r="O18" s="128"/>
      <c r="P18" s="128"/>
      <c r="Q18" s="128"/>
      <c r="R18" s="128"/>
      <c r="S18" s="137"/>
      <c r="T18" s="137"/>
      <c r="U18" s="137"/>
      <c r="V18" s="137"/>
      <c r="W18" s="137"/>
      <c r="X18" s="137"/>
      <c r="Y18" s="137"/>
      <c r="Z18" s="137"/>
    </row>
    <row r="19" spans="1:26" s="140" customFormat="1" ht="102.75" customHeight="1">
      <c r="A19" s="310" t="s">
        <v>1684</v>
      </c>
      <c r="B19" s="123" t="s">
        <v>1686</v>
      </c>
      <c r="C19" s="280" t="s">
        <v>1687</v>
      </c>
      <c r="D19" s="116" t="s">
        <v>1679</v>
      </c>
      <c r="E19" s="116" t="s">
        <v>1688</v>
      </c>
      <c r="F19" s="285" t="s">
        <v>241</v>
      </c>
      <c r="G19" s="116" t="s">
        <v>1682</v>
      </c>
      <c r="H19" s="285" t="s">
        <v>48</v>
      </c>
      <c r="I19" s="274" t="s">
        <v>888</v>
      </c>
      <c r="J19" s="264" t="s">
        <v>1802</v>
      </c>
      <c r="K19" s="136"/>
      <c r="L19" s="128"/>
      <c r="M19" s="128"/>
      <c r="N19" s="128"/>
      <c r="O19" s="128"/>
      <c r="P19" s="128"/>
      <c r="Q19" s="128"/>
      <c r="R19" s="128"/>
      <c r="S19" s="139"/>
      <c r="T19" s="139"/>
      <c r="U19" s="139"/>
      <c r="V19" s="139"/>
      <c r="W19" s="139"/>
      <c r="X19" s="139"/>
      <c r="Y19" s="139"/>
      <c r="Z19" s="139"/>
    </row>
    <row r="20" spans="1:26" s="140" customFormat="1" ht="33.75" customHeight="1">
      <c r="A20" s="268"/>
      <c r="B20" s="102" t="s">
        <v>240</v>
      </c>
      <c r="C20" s="281"/>
      <c r="D20" s="116" t="s">
        <v>1682</v>
      </c>
      <c r="E20" s="116" t="s">
        <v>1683</v>
      </c>
      <c r="F20" s="285"/>
      <c r="G20" s="116" t="s">
        <v>1683</v>
      </c>
      <c r="H20" s="285"/>
      <c r="I20" s="274"/>
      <c r="J20" s="265"/>
      <c r="K20" s="127"/>
      <c r="L20" s="127"/>
      <c r="M20" s="128"/>
      <c r="N20" s="128"/>
      <c r="O20" s="128"/>
      <c r="P20" s="128"/>
      <c r="Q20" s="128"/>
      <c r="R20" s="128"/>
      <c r="S20" s="139"/>
      <c r="T20" s="139"/>
      <c r="U20" s="139"/>
      <c r="V20" s="139"/>
      <c r="W20" s="139"/>
      <c r="X20" s="139"/>
      <c r="Y20" s="139"/>
      <c r="Z20" s="139"/>
    </row>
    <row r="21" spans="1:26" s="140" customFormat="1" ht="102.75" customHeight="1">
      <c r="A21" s="310" t="s">
        <v>1685</v>
      </c>
      <c r="B21" s="123" t="s">
        <v>1686</v>
      </c>
      <c r="C21" s="280" t="s">
        <v>1687</v>
      </c>
      <c r="D21" s="116">
        <v>46042</v>
      </c>
      <c r="E21" s="116">
        <v>46050</v>
      </c>
      <c r="F21" s="285" t="s">
        <v>241</v>
      </c>
      <c r="G21" s="116" t="s">
        <v>1870</v>
      </c>
      <c r="H21" s="285" t="s">
        <v>48</v>
      </c>
      <c r="I21" s="274" t="s">
        <v>888</v>
      </c>
      <c r="J21" s="264" t="s">
        <v>1928</v>
      </c>
      <c r="K21" s="136"/>
      <c r="L21" s="128"/>
      <c r="M21" s="128"/>
      <c r="N21" s="128"/>
      <c r="O21" s="128"/>
      <c r="P21" s="128"/>
      <c r="Q21" s="128"/>
      <c r="R21" s="128"/>
      <c r="S21" s="139"/>
      <c r="T21" s="139"/>
      <c r="U21" s="139"/>
      <c r="V21" s="139"/>
      <c r="W21" s="139"/>
      <c r="X21" s="139"/>
      <c r="Y21" s="139"/>
      <c r="Z21" s="139"/>
    </row>
    <row r="22" spans="1:26" s="140" customFormat="1" ht="33.75" customHeight="1">
      <c r="A22" s="268"/>
      <c r="B22" s="103" t="s">
        <v>240</v>
      </c>
      <c r="C22" s="281"/>
      <c r="D22" s="116" t="s">
        <v>1868</v>
      </c>
      <c r="E22" s="116" t="s">
        <v>1869</v>
      </c>
      <c r="F22" s="285"/>
      <c r="G22" s="116" t="s">
        <v>1871</v>
      </c>
      <c r="H22" s="285"/>
      <c r="I22" s="274"/>
      <c r="J22" s="265"/>
      <c r="K22" s="127"/>
      <c r="L22" s="127"/>
      <c r="M22" s="128"/>
      <c r="N22" s="128"/>
      <c r="O22" s="128"/>
      <c r="P22" s="128"/>
      <c r="Q22" s="128"/>
      <c r="R22" s="128"/>
      <c r="S22" s="139"/>
      <c r="T22" s="139"/>
      <c r="U22" s="139"/>
      <c r="V22" s="139"/>
      <c r="W22" s="139"/>
      <c r="X22" s="139"/>
      <c r="Y22" s="139"/>
      <c r="Z22" s="139"/>
    </row>
    <row r="23" spans="1:26" s="142" customFormat="1" ht="49.5" customHeight="1">
      <c r="A23" s="260" t="s">
        <v>47</v>
      </c>
      <c r="B23" s="261"/>
      <c r="C23" s="262"/>
      <c r="D23" s="260" t="s">
        <v>1753</v>
      </c>
      <c r="E23" s="261"/>
      <c r="F23" s="262"/>
      <c r="G23" s="332" t="s">
        <v>1755</v>
      </c>
      <c r="H23" s="332"/>
      <c r="I23" s="332"/>
      <c r="J23" s="333"/>
      <c r="L23" s="143"/>
      <c r="M23" s="143"/>
      <c r="N23" s="143"/>
      <c r="O23" s="143"/>
      <c r="P23" s="143"/>
      <c r="Q23" s="143"/>
      <c r="R23" s="143"/>
      <c r="S23" s="143"/>
      <c r="T23" s="143"/>
      <c r="U23" s="143"/>
      <c r="V23" s="143"/>
      <c r="W23" s="143"/>
      <c r="X23" s="143"/>
      <c r="Y23" s="143"/>
      <c r="Z23" s="143"/>
    </row>
    <row r="24" spans="1:26" s="161" customFormat="1" ht="59.25" customHeight="1">
      <c r="A24" s="263" t="s">
        <v>1188</v>
      </c>
      <c r="B24" s="263"/>
      <c r="C24" s="263"/>
      <c r="D24" s="263"/>
      <c r="E24" s="263"/>
      <c r="F24" s="263"/>
      <c r="G24" s="263"/>
      <c r="H24" s="263"/>
      <c r="I24" s="263"/>
      <c r="J24" s="263"/>
      <c r="L24" s="162"/>
      <c r="M24" s="162"/>
      <c r="N24" s="162"/>
      <c r="O24" s="162"/>
      <c r="P24" s="162"/>
      <c r="Q24" s="162"/>
      <c r="R24" s="162"/>
      <c r="S24" s="162"/>
      <c r="T24" s="162"/>
      <c r="U24" s="162"/>
      <c r="V24" s="162"/>
      <c r="W24" s="162"/>
      <c r="X24" s="162"/>
      <c r="Y24" s="162"/>
      <c r="Z24" s="162"/>
    </row>
    <row r="25" spans="1:26" s="138" customFormat="1" ht="63" customHeight="1">
      <c r="A25" s="310" t="s">
        <v>244</v>
      </c>
      <c r="B25" s="123" t="s">
        <v>751</v>
      </c>
      <c r="C25" s="280" t="s">
        <v>750</v>
      </c>
      <c r="D25" s="115">
        <v>45889</v>
      </c>
      <c r="E25" s="115">
        <v>45894</v>
      </c>
      <c r="F25" s="285" t="s">
        <v>242</v>
      </c>
      <c r="G25" s="115" t="s">
        <v>1564</v>
      </c>
      <c r="H25" s="285" t="s">
        <v>48</v>
      </c>
      <c r="I25" s="274" t="s">
        <v>888</v>
      </c>
      <c r="J25" s="264" t="s">
        <v>1595</v>
      </c>
      <c r="K25" s="136"/>
      <c r="L25" s="128"/>
      <c r="M25" s="128"/>
      <c r="N25" s="128"/>
      <c r="O25" s="128"/>
      <c r="P25" s="128"/>
      <c r="Q25" s="128"/>
      <c r="R25" s="128"/>
      <c r="S25" s="137"/>
      <c r="T25" s="137"/>
      <c r="U25" s="137"/>
      <c r="V25" s="137"/>
      <c r="W25" s="137"/>
      <c r="X25" s="137"/>
      <c r="Y25" s="137"/>
      <c r="Z25" s="137"/>
    </row>
    <row r="26" spans="1:26" s="138" customFormat="1" ht="63" customHeight="1">
      <c r="A26" s="268"/>
      <c r="B26" s="103" t="s">
        <v>749</v>
      </c>
      <c r="C26" s="281"/>
      <c r="D26" s="115" t="s">
        <v>1564</v>
      </c>
      <c r="E26" s="115" t="s">
        <v>1565</v>
      </c>
      <c r="F26" s="285"/>
      <c r="G26" s="115" t="s">
        <v>1565</v>
      </c>
      <c r="H26" s="285"/>
      <c r="I26" s="274"/>
      <c r="J26" s="298"/>
      <c r="K26" s="127"/>
      <c r="L26" s="127"/>
      <c r="M26" s="128"/>
      <c r="N26" s="128"/>
      <c r="O26" s="128"/>
      <c r="P26" s="128"/>
      <c r="Q26" s="128"/>
      <c r="R26" s="128"/>
      <c r="S26" s="137"/>
      <c r="T26" s="137"/>
      <c r="U26" s="137"/>
      <c r="V26" s="137"/>
      <c r="W26" s="137"/>
      <c r="X26" s="137"/>
      <c r="Y26" s="137"/>
      <c r="Z26" s="137"/>
    </row>
    <row r="27" spans="1:26" s="138" customFormat="1" ht="63" customHeight="1">
      <c r="A27" s="267" t="s">
        <v>1809</v>
      </c>
      <c r="B27" s="135" t="s">
        <v>1808</v>
      </c>
      <c r="C27" s="336" t="s">
        <v>1690</v>
      </c>
      <c r="D27" s="116">
        <v>45447</v>
      </c>
      <c r="E27" s="116">
        <v>45447</v>
      </c>
      <c r="F27" s="264" t="s">
        <v>1495</v>
      </c>
      <c r="G27" s="117" t="s">
        <v>685</v>
      </c>
      <c r="H27" s="285" t="s">
        <v>48</v>
      </c>
      <c r="I27" s="274" t="s">
        <v>434</v>
      </c>
      <c r="J27" s="264" t="s">
        <v>1191</v>
      </c>
      <c r="K27" s="136"/>
      <c r="L27" s="128">
        <v>6116.79</v>
      </c>
      <c r="M27" s="128"/>
      <c r="N27" s="128"/>
      <c r="O27" s="128"/>
      <c r="P27" s="128"/>
      <c r="Q27" s="128"/>
      <c r="R27" s="128"/>
      <c r="S27" s="137"/>
      <c r="T27" s="137"/>
      <c r="U27" s="137"/>
      <c r="V27" s="137"/>
      <c r="W27" s="137"/>
      <c r="X27" s="137"/>
      <c r="Y27" s="137"/>
      <c r="Z27" s="137"/>
    </row>
    <row r="28" spans="1:26" s="138" customFormat="1" ht="63" customHeight="1">
      <c r="A28" s="268"/>
      <c r="B28" s="103" t="s">
        <v>243</v>
      </c>
      <c r="C28" s="337"/>
      <c r="D28" s="116" t="s">
        <v>685</v>
      </c>
      <c r="E28" s="117" t="s">
        <v>686</v>
      </c>
      <c r="F28" s="266"/>
      <c r="G28" s="117" t="s">
        <v>686</v>
      </c>
      <c r="H28" s="285"/>
      <c r="I28" s="274"/>
      <c r="J28" s="298"/>
      <c r="K28" s="127"/>
      <c r="L28" s="127"/>
      <c r="M28" s="128"/>
      <c r="N28" s="128"/>
      <c r="O28" s="128"/>
      <c r="P28" s="128"/>
      <c r="Q28" s="128"/>
      <c r="R28" s="128"/>
      <c r="S28" s="137"/>
      <c r="T28" s="137"/>
      <c r="U28" s="137"/>
      <c r="V28" s="137"/>
      <c r="W28" s="137"/>
      <c r="X28" s="137"/>
      <c r="Y28" s="137"/>
      <c r="Z28" s="137"/>
    </row>
    <row r="29" spans="1:26" s="138" customFormat="1" ht="63" customHeight="1">
      <c r="A29" s="267" t="s">
        <v>1810</v>
      </c>
      <c r="B29" s="135" t="s">
        <v>1808</v>
      </c>
      <c r="C29" s="336" t="s">
        <v>1690</v>
      </c>
      <c r="D29" s="116">
        <v>45972</v>
      </c>
      <c r="E29" s="116">
        <v>45655</v>
      </c>
      <c r="F29" s="264" t="s">
        <v>1495</v>
      </c>
      <c r="G29" s="117" t="s">
        <v>1816</v>
      </c>
      <c r="H29" s="285" t="s">
        <v>48</v>
      </c>
      <c r="I29" s="274" t="s">
        <v>888</v>
      </c>
      <c r="J29" s="264" t="s">
        <v>1884</v>
      </c>
      <c r="K29" s="136"/>
      <c r="L29" s="128"/>
      <c r="M29" s="128"/>
      <c r="N29" s="128"/>
      <c r="O29" s="128"/>
      <c r="P29" s="128"/>
      <c r="Q29" s="128"/>
      <c r="R29" s="128"/>
      <c r="S29" s="137"/>
      <c r="T29" s="137"/>
      <c r="U29" s="137"/>
      <c r="V29" s="137"/>
      <c r="W29" s="137"/>
      <c r="X29" s="137"/>
      <c r="Y29" s="137"/>
      <c r="Z29" s="137"/>
    </row>
    <row r="30" spans="1:26" s="138" customFormat="1" ht="63" customHeight="1">
      <c r="A30" s="268"/>
      <c r="B30" s="103" t="s">
        <v>243</v>
      </c>
      <c r="C30" s="337"/>
      <c r="D30" s="196" t="s">
        <v>1812</v>
      </c>
      <c r="E30" s="196" t="s">
        <v>1814</v>
      </c>
      <c r="F30" s="266"/>
      <c r="G30" s="117" t="s">
        <v>1817</v>
      </c>
      <c r="H30" s="285"/>
      <c r="I30" s="274"/>
      <c r="J30" s="265"/>
      <c r="K30" s="127"/>
      <c r="L30" s="127"/>
      <c r="M30" s="128"/>
      <c r="N30" s="128"/>
      <c r="O30" s="128"/>
      <c r="P30" s="128"/>
      <c r="Q30" s="128"/>
      <c r="R30" s="128"/>
      <c r="S30" s="137"/>
      <c r="T30" s="137"/>
      <c r="U30" s="137"/>
      <c r="V30" s="137"/>
      <c r="W30" s="137"/>
      <c r="X30" s="137"/>
      <c r="Y30" s="137"/>
      <c r="Z30" s="137"/>
    </row>
    <row r="31" spans="1:26" s="138" customFormat="1" ht="63" customHeight="1">
      <c r="A31" s="267" t="s">
        <v>1811</v>
      </c>
      <c r="B31" s="135" t="s">
        <v>1808</v>
      </c>
      <c r="C31" s="336" t="s">
        <v>1690</v>
      </c>
      <c r="D31" s="116">
        <v>45641</v>
      </c>
      <c r="E31" s="116">
        <v>45655</v>
      </c>
      <c r="F31" s="264" t="s">
        <v>1495</v>
      </c>
      <c r="G31" s="117" t="s">
        <v>1818</v>
      </c>
      <c r="H31" s="285" t="s">
        <v>48</v>
      </c>
      <c r="I31" s="274" t="s">
        <v>888</v>
      </c>
      <c r="J31" s="264" t="s">
        <v>1884</v>
      </c>
      <c r="K31" s="136"/>
      <c r="L31" s="128"/>
      <c r="M31" s="128"/>
      <c r="N31" s="128"/>
      <c r="O31" s="128"/>
      <c r="P31" s="128"/>
      <c r="Q31" s="128"/>
      <c r="R31" s="128"/>
      <c r="S31" s="137"/>
      <c r="T31" s="137"/>
      <c r="U31" s="137"/>
      <c r="V31" s="137"/>
      <c r="W31" s="137"/>
      <c r="X31" s="137"/>
      <c r="Y31" s="137"/>
      <c r="Z31" s="137"/>
    </row>
    <row r="32" spans="1:26" s="138" customFormat="1" ht="63" customHeight="1">
      <c r="A32" s="268"/>
      <c r="B32" s="103" t="s">
        <v>243</v>
      </c>
      <c r="C32" s="337"/>
      <c r="D32" s="116" t="s">
        <v>1813</v>
      </c>
      <c r="E32" s="116" t="s">
        <v>1815</v>
      </c>
      <c r="F32" s="266"/>
      <c r="G32" s="117" t="s">
        <v>1819</v>
      </c>
      <c r="H32" s="285"/>
      <c r="I32" s="274"/>
      <c r="J32" s="265"/>
      <c r="K32" s="127"/>
      <c r="L32" s="127"/>
      <c r="M32" s="128"/>
      <c r="N32" s="128"/>
      <c r="O32" s="128"/>
      <c r="P32" s="128"/>
      <c r="Q32" s="128"/>
      <c r="R32" s="128"/>
      <c r="S32" s="137"/>
      <c r="T32" s="137"/>
      <c r="U32" s="137"/>
      <c r="V32" s="137"/>
      <c r="W32" s="137"/>
      <c r="X32" s="137"/>
      <c r="Y32" s="137"/>
      <c r="Z32" s="137"/>
    </row>
    <row r="33" spans="1:26" s="140" customFormat="1" ht="63" customHeight="1">
      <c r="A33" s="310" t="s">
        <v>1707</v>
      </c>
      <c r="B33" s="135" t="s">
        <v>1711</v>
      </c>
      <c r="C33" s="336" t="s">
        <v>1076</v>
      </c>
      <c r="D33" s="115">
        <v>45678</v>
      </c>
      <c r="E33" s="115">
        <v>45827</v>
      </c>
      <c r="F33" s="285" t="s">
        <v>75</v>
      </c>
      <c r="G33" s="116" t="s">
        <v>1076</v>
      </c>
      <c r="H33" s="285" t="s">
        <v>48</v>
      </c>
      <c r="I33" s="274" t="s">
        <v>624</v>
      </c>
      <c r="J33" s="264" t="s">
        <v>1238</v>
      </c>
      <c r="K33" s="136"/>
      <c r="L33" s="128"/>
      <c r="M33" s="128"/>
      <c r="N33" s="128"/>
      <c r="O33" s="128"/>
      <c r="P33" s="128"/>
      <c r="Q33" s="128"/>
      <c r="R33" s="128"/>
      <c r="S33" s="139"/>
      <c r="T33" s="139"/>
      <c r="U33" s="139"/>
      <c r="V33" s="139"/>
      <c r="W33" s="139"/>
      <c r="X33" s="139"/>
      <c r="Y33" s="139"/>
      <c r="Z33" s="139"/>
    </row>
    <row r="34" spans="1:26" s="140" customFormat="1" ht="63" customHeight="1">
      <c r="A34" s="268"/>
      <c r="B34" s="103" t="s">
        <v>1710</v>
      </c>
      <c r="C34" s="337"/>
      <c r="D34" s="115" t="s">
        <v>1076</v>
      </c>
      <c r="E34" s="115" t="s">
        <v>1077</v>
      </c>
      <c r="F34" s="285"/>
      <c r="G34" s="116" t="s">
        <v>1077</v>
      </c>
      <c r="H34" s="285"/>
      <c r="I34" s="274"/>
      <c r="J34" s="265"/>
      <c r="K34" s="127"/>
      <c r="L34" s="128"/>
      <c r="M34" s="128"/>
      <c r="N34" s="128"/>
      <c r="O34" s="128"/>
      <c r="P34" s="128"/>
      <c r="Q34" s="128"/>
      <c r="R34" s="128"/>
      <c r="S34" s="139"/>
      <c r="T34" s="139"/>
      <c r="U34" s="139"/>
      <c r="V34" s="139"/>
      <c r="W34" s="139"/>
      <c r="X34" s="139"/>
      <c r="Y34" s="139"/>
      <c r="Z34" s="139"/>
    </row>
    <row r="35" spans="1:26" s="142" customFormat="1" ht="49.5" customHeight="1">
      <c r="A35" s="260" t="s">
        <v>47</v>
      </c>
      <c r="B35" s="261"/>
      <c r="C35" s="262"/>
      <c r="D35" s="260" t="s">
        <v>1753</v>
      </c>
      <c r="E35" s="261"/>
      <c r="F35" s="262"/>
      <c r="G35" s="332" t="s">
        <v>1755</v>
      </c>
      <c r="H35" s="332"/>
      <c r="I35" s="332"/>
      <c r="J35" s="333"/>
      <c r="L35" s="143"/>
      <c r="M35" s="143"/>
      <c r="N35" s="143"/>
      <c r="O35" s="143"/>
      <c r="P35" s="143"/>
      <c r="Q35" s="143"/>
      <c r="R35" s="143"/>
      <c r="S35" s="143"/>
      <c r="T35" s="143"/>
      <c r="U35" s="143"/>
      <c r="V35" s="143"/>
      <c r="W35" s="143"/>
      <c r="X35" s="143"/>
      <c r="Y35" s="143"/>
      <c r="Z35" s="143"/>
    </row>
    <row r="36" spans="1:26" s="161" customFormat="1" ht="59.25" customHeight="1">
      <c r="A36" s="263" t="s">
        <v>1147</v>
      </c>
      <c r="B36" s="263"/>
      <c r="C36" s="263"/>
      <c r="D36" s="263"/>
      <c r="E36" s="263"/>
      <c r="F36" s="263"/>
      <c r="G36" s="263"/>
      <c r="H36" s="263"/>
      <c r="I36" s="263"/>
      <c r="J36" s="263"/>
      <c r="L36" s="162"/>
      <c r="M36" s="162"/>
      <c r="N36" s="162"/>
      <c r="O36" s="162"/>
      <c r="P36" s="162"/>
      <c r="Q36" s="162"/>
      <c r="R36" s="162"/>
      <c r="S36" s="162"/>
      <c r="T36" s="162"/>
      <c r="U36" s="162"/>
      <c r="V36" s="162"/>
      <c r="W36" s="162"/>
      <c r="X36" s="162"/>
      <c r="Y36" s="162"/>
      <c r="Z36" s="162"/>
    </row>
    <row r="37" spans="1:26" s="140" customFormat="1" ht="62.25" customHeight="1">
      <c r="A37" s="310" t="s">
        <v>1889</v>
      </c>
      <c r="B37" s="135" t="s">
        <v>1712</v>
      </c>
      <c r="C37" s="336" t="s">
        <v>1891</v>
      </c>
      <c r="D37" s="115" t="s">
        <v>1688</v>
      </c>
      <c r="E37" s="115" t="s">
        <v>1688</v>
      </c>
      <c r="F37" s="285" t="s">
        <v>75</v>
      </c>
      <c r="G37" s="115" t="s">
        <v>1708</v>
      </c>
      <c r="H37" s="264" t="s">
        <v>48</v>
      </c>
      <c r="I37" s="274" t="s">
        <v>888</v>
      </c>
      <c r="J37" s="264" t="s">
        <v>1785</v>
      </c>
      <c r="K37" s="136"/>
      <c r="L37" s="128"/>
      <c r="M37" s="128"/>
      <c r="N37" s="128"/>
      <c r="O37" s="128"/>
      <c r="P37" s="128"/>
      <c r="Q37" s="128"/>
      <c r="R37" s="128"/>
      <c r="S37" s="139"/>
      <c r="T37" s="139"/>
      <c r="U37" s="139"/>
      <c r="V37" s="139"/>
      <c r="W37" s="139"/>
      <c r="X37" s="139"/>
      <c r="Y37" s="139"/>
      <c r="Z37" s="139"/>
    </row>
    <row r="38" spans="1:26" s="140" customFormat="1" ht="62.25" customHeight="1">
      <c r="A38" s="268"/>
      <c r="B38" s="103" t="s">
        <v>1697</v>
      </c>
      <c r="C38" s="337"/>
      <c r="D38" s="115" t="s">
        <v>1708</v>
      </c>
      <c r="E38" s="115" t="s">
        <v>1709</v>
      </c>
      <c r="F38" s="285"/>
      <c r="G38" s="115" t="s">
        <v>1709</v>
      </c>
      <c r="H38" s="266"/>
      <c r="I38" s="274"/>
      <c r="J38" s="298"/>
      <c r="K38" s="127"/>
      <c r="L38" s="128"/>
      <c r="M38" s="128"/>
      <c r="N38" s="128"/>
      <c r="O38" s="128"/>
      <c r="P38" s="128"/>
      <c r="Q38" s="128"/>
      <c r="R38" s="128"/>
      <c r="S38" s="139"/>
      <c r="T38" s="139"/>
      <c r="U38" s="139"/>
      <c r="V38" s="139"/>
      <c r="W38" s="139"/>
      <c r="X38" s="139"/>
      <c r="Y38" s="139"/>
      <c r="Z38" s="139"/>
    </row>
    <row r="39" spans="1:26" s="140" customFormat="1" ht="62.25" customHeight="1">
      <c r="A39" s="310" t="s">
        <v>1890</v>
      </c>
      <c r="B39" s="135" t="s">
        <v>1712</v>
      </c>
      <c r="C39" s="336" t="s">
        <v>1891</v>
      </c>
      <c r="D39" s="115" t="s">
        <v>1688</v>
      </c>
      <c r="E39" s="115" t="s">
        <v>1926</v>
      </c>
      <c r="F39" s="285" t="s">
        <v>75</v>
      </c>
      <c r="G39" s="115" t="s">
        <v>1894</v>
      </c>
      <c r="H39" s="264" t="s">
        <v>48</v>
      </c>
      <c r="I39" s="274" t="s">
        <v>888</v>
      </c>
      <c r="J39" s="264"/>
      <c r="K39" s="136"/>
      <c r="L39" s="128"/>
      <c r="M39" s="128"/>
      <c r="N39" s="128"/>
      <c r="O39" s="128"/>
      <c r="P39" s="128"/>
      <c r="Q39" s="128"/>
      <c r="R39" s="128"/>
      <c r="S39" s="139"/>
      <c r="T39" s="139"/>
      <c r="U39" s="139"/>
      <c r="V39" s="139"/>
      <c r="W39" s="139"/>
      <c r="X39" s="139"/>
      <c r="Y39" s="139"/>
      <c r="Z39" s="139"/>
    </row>
    <row r="40" spans="1:26" s="140" customFormat="1" ht="62.25" customHeight="1">
      <c r="A40" s="268"/>
      <c r="B40" s="103" t="s">
        <v>1697</v>
      </c>
      <c r="C40" s="337"/>
      <c r="D40" s="115" t="s">
        <v>1892</v>
      </c>
      <c r="E40" s="115" t="s">
        <v>1893</v>
      </c>
      <c r="F40" s="285"/>
      <c r="G40" s="115" t="s">
        <v>1895</v>
      </c>
      <c r="H40" s="266"/>
      <c r="I40" s="274"/>
      <c r="J40" s="298"/>
      <c r="K40" s="127"/>
      <c r="L40" s="128"/>
      <c r="M40" s="128"/>
      <c r="N40" s="128"/>
      <c r="O40" s="128"/>
      <c r="P40" s="128"/>
      <c r="Q40" s="128"/>
      <c r="R40" s="128"/>
      <c r="S40" s="139"/>
      <c r="T40" s="139"/>
      <c r="U40" s="139"/>
      <c r="V40" s="139"/>
      <c r="W40" s="139"/>
      <c r="X40" s="139"/>
      <c r="Y40" s="139"/>
      <c r="Z40" s="139"/>
    </row>
    <row r="41" spans="1:26" s="138" customFormat="1" ht="62.25" customHeight="1">
      <c r="A41" s="310" t="s">
        <v>1190</v>
      </c>
      <c r="B41" s="123" t="s">
        <v>598</v>
      </c>
      <c r="C41" s="280" t="s">
        <v>599</v>
      </c>
      <c r="D41" s="115">
        <v>45565</v>
      </c>
      <c r="E41" s="115">
        <v>45569</v>
      </c>
      <c r="F41" s="285" t="s">
        <v>247</v>
      </c>
      <c r="G41" s="117" t="s">
        <v>492</v>
      </c>
      <c r="H41" s="285" t="s">
        <v>48</v>
      </c>
      <c r="I41" s="274" t="s">
        <v>494</v>
      </c>
      <c r="J41" s="264" t="s">
        <v>681</v>
      </c>
      <c r="K41" s="136"/>
      <c r="L41" s="128"/>
      <c r="M41" s="128"/>
      <c r="N41" s="128"/>
      <c r="O41" s="128"/>
      <c r="P41" s="128"/>
      <c r="Q41" s="128"/>
      <c r="R41" s="128"/>
      <c r="S41" s="137"/>
      <c r="T41" s="137"/>
      <c r="U41" s="137"/>
      <c r="V41" s="137"/>
      <c r="W41" s="137"/>
      <c r="X41" s="137"/>
      <c r="Y41" s="137"/>
      <c r="Z41" s="137"/>
    </row>
    <row r="42" spans="1:26" s="138" customFormat="1" ht="62.25" customHeight="1">
      <c r="A42" s="268"/>
      <c r="B42" s="103" t="s">
        <v>246</v>
      </c>
      <c r="C42" s="281"/>
      <c r="D42" s="115" t="s">
        <v>1236</v>
      </c>
      <c r="E42" s="115" t="s">
        <v>493</v>
      </c>
      <c r="F42" s="285"/>
      <c r="G42" s="117" t="s">
        <v>493</v>
      </c>
      <c r="H42" s="285"/>
      <c r="I42" s="274"/>
      <c r="J42" s="298"/>
      <c r="K42" s="127"/>
      <c r="L42" s="128"/>
      <c r="M42" s="128"/>
      <c r="N42" s="128"/>
      <c r="O42" s="128"/>
      <c r="P42" s="128"/>
      <c r="Q42" s="128"/>
      <c r="R42" s="128"/>
      <c r="S42" s="137"/>
      <c r="T42" s="137"/>
      <c r="U42" s="137"/>
      <c r="V42" s="137"/>
      <c r="W42" s="137"/>
      <c r="X42" s="137"/>
      <c r="Y42" s="137"/>
      <c r="Z42" s="137"/>
    </row>
    <row r="43" spans="1:26" s="138" customFormat="1" ht="62.25" customHeight="1">
      <c r="A43" s="267" t="s">
        <v>245</v>
      </c>
      <c r="B43" s="135" t="s">
        <v>248</v>
      </c>
      <c r="C43" s="336" t="s">
        <v>88</v>
      </c>
      <c r="D43" s="115">
        <v>45653</v>
      </c>
      <c r="E43" s="115">
        <v>45664</v>
      </c>
      <c r="F43" s="264" t="s">
        <v>249</v>
      </c>
      <c r="G43" s="116" t="s">
        <v>1629</v>
      </c>
      <c r="H43" s="285" t="s">
        <v>48</v>
      </c>
      <c r="I43" s="274" t="s">
        <v>688</v>
      </c>
      <c r="J43" s="264" t="s">
        <v>982</v>
      </c>
      <c r="K43" s="136"/>
      <c r="L43" s="128"/>
      <c r="M43" s="128"/>
      <c r="N43" s="128"/>
      <c r="O43" s="128"/>
      <c r="P43" s="128"/>
      <c r="Q43" s="128"/>
      <c r="R43" s="128"/>
      <c r="S43" s="137"/>
      <c r="T43" s="137"/>
      <c r="U43" s="137"/>
      <c r="V43" s="137"/>
      <c r="W43" s="137"/>
      <c r="X43" s="137"/>
      <c r="Y43" s="137"/>
      <c r="Z43" s="137"/>
    </row>
    <row r="44" spans="1:26" s="138" customFormat="1" ht="62.25" customHeight="1">
      <c r="A44" s="268"/>
      <c r="B44" s="103" t="s">
        <v>1400</v>
      </c>
      <c r="C44" s="337"/>
      <c r="D44" s="115" t="s">
        <v>1629</v>
      </c>
      <c r="E44" s="115" t="s">
        <v>1659</v>
      </c>
      <c r="F44" s="266"/>
      <c r="G44" s="116" t="s">
        <v>1659</v>
      </c>
      <c r="H44" s="285"/>
      <c r="I44" s="274"/>
      <c r="J44" s="298"/>
      <c r="K44" s="127"/>
      <c r="L44" s="128"/>
      <c r="M44" s="128"/>
      <c r="N44" s="128"/>
      <c r="O44" s="128"/>
      <c r="P44" s="128"/>
      <c r="Q44" s="128"/>
      <c r="R44" s="128"/>
      <c r="S44" s="137"/>
      <c r="T44" s="137"/>
      <c r="U44" s="137"/>
      <c r="V44" s="137"/>
      <c r="W44" s="137"/>
      <c r="X44" s="137"/>
      <c r="Y44" s="137"/>
      <c r="Z44" s="137"/>
    </row>
    <row r="45" spans="1:26" s="138" customFormat="1" ht="56.25" customHeight="1">
      <c r="A45" s="310" t="s">
        <v>250</v>
      </c>
      <c r="B45" s="123" t="s">
        <v>109</v>
      </c>
      <c r="C45" s="280" t="s">
        <v>113</v>
      </c>
      <c r="D45" s="115">
        <v>45706</v>
      </c>
      <c r="E45" s="115">
        <v>45706</v>
      </c>
      <c r="F45" s="285" t="s">
        <v>76</v>
      </c>
      <c r="G45" s="116" t="s">
        <v>910</v>
      </c>
      <c r="H45" s="285" t="s">
        <v>109</v>
      </c>
      <c r="I45" s="274" t="s">
        <v>901</v>
      </c>
      <c r="J45" s="124" t="s">
        <v>899</v>
      </c>
      <c r="K45" s="136"/>
      <c r="L45" s="128"/>
      <c r="M45" s="128"/>
      <c r="N45" s="128"/>
      <c r="O45" s="128"/>
      <c r="P45" s="128"/>
      <c r="Q45" s="128"/>
      <c r="R45" s="128"/>
      <c r="S45" s="137"/>
      <c r="T45" s="137"/>
      <c r="U45" s="137"/>
      <c r="V45" s="137"/>
      <c r="W45" s="137"/>
      <c r="X45" s="137"/>
      <c r="Y45" s="137"/>
      <c r="Z45" s="137"/>
    </row>
    <row r="46" spans="1:26" s="138" customFormat="1" ht="77.25" customHeight="1">
      <c r="A46" s="268"/>
      <c r="B46" s="123" t="s">
        <v>902</v>
      </c>
      <c r="C46" s="281"/>
      <c r="D46" s="115" t="s">
        <v>910</v>
      </c>
      <c r="E46" s="115" t="s">
        <v>911</v>
      </c>
      <c r="F46" s="285"/>
      <c r="G46" s="116" t="s">
        <v>911</v>
      </c>
      <c r="H46" s="285"/>
      <c r="I46" s="274"/>
      <c r="J46" s="124" t="s">
        <v>900</v>
      </c>
      <c r="K46" s="127"/>
      <c r="L46" s="127"/>
      <c r="M46" s="128"/>
      <c r="N46" s="128"/>
      <c r="O46" s="128"/>
      <c r="P46" s="128"/>
      <c r="Q46" s="128"/>
      <c r="R46" s="128"/>
      <c r="S46" s="137"/>
      <c r="T46" s="137"/>
      <c r="U46" s="137"/>
      <c r="V46" s="137"/>
      <c r="W46" s="137"/>
      <c r="X46" s="137"/>
      <c r="Y46" s="137"/>
      <c r="Z46" s="137"/>
    </row>
    <row r="47" spans="1:26" s="142" customFormat="1" ht="49.5" customHeight="1">
      <c r="A47" s="260" t="s">
        <v>47</v>
      </c>
      <c r="B47" s="261"/>
      <c r="C47" s="262"/>
      <c r="D47" s="260" t="s">
        <v>1753</v>
      </c>
      <c r="E47" s="261"/>
      <c r="F47" s="262"/>
      <c r="G47" s="332" t="s">
        <v>1755</v>
      </c>
      <c r="H47" s="332"/>
      <c r="I47" s="332"/>
      <c r="J47" s="333"/>
      <c r="L47" s="143"/>
      <c r="M47" s="143"/>
      <c r="N47" s="143"/>
      <c r="O47" s="143"/>
      <c r="P47" s="143"/>
      <c r="Q47" s="143"/>
      <c r="R47" s="143"/>
      <c r="S47" s="143"/>
      <c r="T47" s="143"/>
      <c r="U47" s="143"/>
      <c r="V47" s="143"/>
      <c r="W47" s="143"/>
      <c r="X47" s="143"/>
      <c r="Y47" s="143"/>
      <c r="Z47" s="143"/>
    </row>
    <row r="48" spans="1:26" s="161" customFormat="1" ht="59.25" customHeight="1">
      <c r="A48" s="263" t="s">
        <v>1147</v>
      </c>
      <c r="B48" s="263"/>
      <c r="C48" s="263"/>
      <c r="D48" s="263"/>
      <c r="E48" s="263"/>
      <c r="F48" s="263"/>
      <c r="G48" s="263"/>
      <c r="H48" s="263"/>
      <c r="I48" s="263"/>
      <c r="J48" s="263"/>
      <c r="L48" s="162"/>
      <c r="M48" s="162"/>
      <c r="N48" s="162"/>
      <c r="O48" s="162"/>
      <c r="P48" s="162"/>
      <c r="Q48" s="162"/>
      <c r="R48" s="162"/>
      <c r="S48" s="162"/>
      <c r="T48" s="162"/>
      <c r="U48" s="162"/>
      <c r="V48" s="162"/>
      <c r="W48" s="162"/>
      <c r="X48" s="162"/>
      <c r="Y48" s="162"/>
      <c r="Z48" s="162"/>
    </row>
    <row r="49" spans="1:26" s="138" customFormat="1" ht="71.099999999999994" customHeight="1">
      <c r="A49" s="310" t="s">
        <v>1899</v>
      </c>
      <c r="B49" s="123" t="s">
        <v>109</v>
      </c>
      <c r="C49" s="280" t="s">
        <v>1896</v>
      </c>
      <c r="D49" s="115">
        <v>46054</v>
      </c>
      <c r="E49" s="115">
        <v>46055</v>
      </c>
      <c r="F49" s="285" t="s">
        <v>1450</v>
      </c>
      <c r="G49" s="116" t="s">
        <v>1897</v>
      </c>
      <c r="H49" s="285" t="s">
        <v>48</v>
      </c>
      <c r="I49" s="274" t="s">
        <v>888</v>
      </c>
      <c r="J49" s="264"/>
      <c r="K49" s="136" t="s">
        <v>1248</v>
      </c>
      <c r="L49" s="128"/>
      <c r="M49" s="128"/>
      <c r="N49" s="128"/>
      <c r="O49" s="128"/>
      <c r="P49" s="128"/>
      <c r="Q49" s="128"/>
      <c r="R49" s="128"/>
      <c r="S49" s="137"/>
      <c r="T49" s="137"/>
      <c r="U49" s="137"/>
      <c r="V49" s="137"/>
      <c r="W49" s="137"/>
      <c r="X49" s="137"/>
      <c r="Y49" s="137"/>
      <c r="Z49" s="137"/>
    </row>
    <row r="50" spans="1:26" s="138" customFormat="1" ht="39.950000000000003" customHeight="1">
      <c r="A50" s="268"/>
      <c r="B50" s="123" t="s">
        <v>879</v>
      </c>
      <c r="C50" s="281"/>
      <c r="D50" s="115" t="s">
        <v>1897</v>
      </c>
      <c r="E50" s="115" t="s">
        <v>1898</v>
      </c>
      <c r="F50" s="285"/>
      <c r="G50" s="116" t="s">
        <v>1898</v>
      </c>
      <c r="H50" s="285"/>
      <c r="I50" s="274"/>
      <c r="J50" s="298"/>
      <c r="K50" s="127"/>
      <c r="L50" s="127"/>
      <c r="M50" s="128"/>
      <c r="N50" s="128"/>
      <c r="O50" s="128"/>
      <c r="P50" s="128"/>
      <c r="Q50" s="128"/>
      <c r="R50" s="128"/>
      <c r="S50" s="137"/>
      <c r="T50" s="137"/>
      <c r="U50" s="137"/>
      <c r="V50" s="137"/>
      <c r="W50" s="137"/>
      <c r="X50" s="137"/>
      <c r="Y50" s="137"/>
      <c r="Z50" s="137"/>
    </row>
    <row r="51" spans="1:26" s="142" customFormat="1" ht="49.5" customHeight="1">
      <c r="A51" s="260" t="s">
        <v>47</v>
      </c>
      <c r="B51" s="261"/>
      <c r="C51" s="262"/>
      <c r="D51" s="260" t="s">
        <v>1753</v>
      </c>
      <c r="E51" s="261"/>
      <c r="F51" s="262"/>
      <c r="G51" s="332" t="s">
        <v>1755</v>
      </c>
      <c r="H51" s="332"/>
      <c r="I51" s="332"/>
      <c r="J51" s="333"/>
      <c r="L51" s="143"/>
      <c r="M51" s="143"/>
      <c r="N51" s="143"/>
      <c r="O51" s="143"/>
      <c r="P51" s="143"/>
      <c r="Q51" s="143"/>
      <c r="R51" s="143"/>
      <c r="S51" s="143"/>
      <c r="T51" s="143"/>
      <c r="U51" s="143"/>
      <c r="V51" s="143"/>
      <c r="W51" s="143"/>
      <c r="X51" s="143"/>
      <c r="Y51" s="143"/>
      <c r="Z51" s="143"/>
    </row>
    <row r="52" spans="1:26" s="161" customFormat="1" ht="59.25" customHeight="1">
      <c r="A52" s="263" t="s">
        <v>1188</v>
      </c>
      <c r="B52" s="263"/>
      <c r="C52" s="263"/>
      <c r="D52" s="263"/>
      <c r="E52" s="263"/>
      <c r="F52" s="263"/>
      <c r="G52" s="263"/>
      <c r="H52" s="263"/>
      <c r="I52" s="263"/>
      <c r="J52" s="263"/>
      <c r="L52" s="162"/>
      <c r="M52" s="162"/>
      <c r="N52" s="162"/>
      <c r="O52" s="162"/>
      <c r="P52" s="162"/>
      <c r="Q52" s="162"/>
      <c r="R52" s="162"/>
      <c r="S52" s="162"/>
      <c r="T52" s="162"/>
      <c r="U52" s="162"/>
      <c r="V52" s="162"/>
      <c r="W52" s="162"/>
      <c r="X52" s="162"/>
      <c r="Y52" s="162"/>
      <c r="Z52" s="162"/>
    </row>
    <row r="58" spans="1:26" ht="15.75">
      <c r="V58" s="115"/>
      <c r="W58" s="115"/>
      <c r="X58" s="115"/>
    </row>
    <row r="59" spans="1:26" ht="15.75">
      <c r="V59" s="115"/>
      <c r="W59" s="115"/>
      <c r="X59" s="115"/>
    </row>
  </sheetData>
  <mergeCells count="134">
    <mergeCell ref="A47:C47"/>
    <mergeCell ref="D47:F47"/>
    <mergeCell ref="G47:J47"/>
    <mergeCell ref="C41:C42"/>
    <mergeCell ref="F41:F42"/>
    <mergeCell ref="H41:H42"/>
    <mergeCell ref="A45:A46"/>
    <mergeCell ref="C45:C46"/>
    <mergeCell ref="F45:F46"/>
    <mergeCell ref="H45:H46"/>
    <mergeCell ref="I45:I46"/>
    <mergeCell ref="A43:A44"/>
    <mergeCell ref="C43:C44"/>
    <mergeCell ref="F43:F44"/>
    <mergeCell ref="H43:H44"/>
    <mergeCell ref="I43:I44"/>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A14:J14"/>
    <mergeCell ref="A15:A16"/>
    <mergeCell ref="C15:C16"/>
    <mergeCell ref="F15:F16"/>
    <mergeCell ref="H15:H16"/>
    <mergeCell ref="I15:I16"/>
    <mergeCell ref="A17:A18"/>
    <mergeCell ref="C17:C18"/>
    <mergeCell ref="F17:F18"/>
    <mergeCell ref="H17:H18"/>
    <mergeCell ref="I17:I18"/>
    <mergeCell ref="J17:J18"/>
    <mergeCell ref="A19:A20"/>
    <mergeCell ref="C19:C20"/>
    <mergeCell ref="F19:F20"/>
    <mergeCell ref="H19:H20"/>
    <mergeCell ref="I19:I20"/>
    <mergeCell ref="I49:I50"/>
    <mergeCell ref="A24:J24"/>
    <mergeCell ref="J19:J20"/>
    <mergeCell ref="A23:C23"/>
    <mergeCell ref="D23:F23"/>
    <mergeCell ref="G23:J23"/>
    <mergeCell ref="A25:A26"/>
    <mergeCell ref="C25:C26"/>
    <mergeCell ref="F25:F26"/>
    <mergeCell ref="H25:H26"/>
    <mergeCell ref="I25:I26"/>
    <mergeCell ref="J25:J26"/>
    <mergeCell ref="A21:A22"/>
    <mergeCell ref="C21:C22"/>
    <mergeCell ref="F21:F22"/>
    <mergeCell ref="H21:H22"/>
    <mergeCell ref="I21:I22"/>
    <mergeCell ref="J21:J22"/>
    <mergeCell ref="A39:A40"/>
    <mergeCell ref="C39:C40"/>
    <mergeCell ref="F39:F40"/>
    <mergeCell ref="H39:H40"/>
    <mergeCell ref="I39:I40"/>
    <mergeCell ref="J39:J40"/>
    <mergeCell ref="C49:C50"/>
    <mergeCell ref="A52:J52"/>
    <mergeCell ref="A41:A42"/>
    <mergeCell ref="A29:A30"/>
    <mergeCell ref="C29:C30"/>
    <mergeCell ref="F29:F30"/>
    <mergeCell ref="F27:F28"/>
    <mergeCell ref="H27:H28"/>
    <mergeCell ref="I27:I28"/>
    <mergeCell ref="J27:J28"/>
    <mergeCell ref="A27:A28"/>
    <mergeCell ref="C27:C28"/>
    <mergeCell ref="A35:C35"/>
    <mergeCell ref="D35:F35"/>
    <mergeCell ref="G35:J35"/>
    <mergeCell ref="A31:A32"/>
    <mergeCell ref="C31:C32"/>
    <mergeCell ref="F31:F32"/>
    <mergeCell ref="H31:H32"/>
    <mergeCell ref="I31:I32"/>
    <mergeCell ref="J31:J32"/>
    <mergeCell ref="H29:H30"/>
    <mergeCell ref="F49:F50"/>
    <mergeCell ref="H49:H50"/>
    <mergeCell ref="I33:I34"/>
    <mergeCell ref="A48:J48"/>
    <mergeCell ref="I29:I30"/>
    <mergeCell ref="J29:J30"/>
    <mergeCell ref="J49:J50"/>
    <mergeCell ref="A51:C51"/>
    <mergeCell ref="D51:F51"/>
    <mergeCell ref="G51:J51"/>
    <mergeCell ref="J41:J42"/>
    <mergeCell ref="J33:J34"/>
    <mergeCell ref="J43:J44"/>
    <mergeCell ref="I41:I42"/>
    <mergeCell ref="A33:A34"/>
    <mergeCell ref="C33:C34"/>
    <mergeCell ref="A37:A38"/>
    <mergeCell ref="C37:C38"/>
    <mergeCell ref="F37:F38"/>
    <mergeCell ref="H37:H38"/>
    <mergeCell ref="I37:I38"/>
    <mergeCell ref="J37:J38"/>
    <mergeCell ref="A36:J36"/>
    <mergeCell ref="F33:F34"/>
    <mergeCell ref="H33:H34"/>
    <mergeCell ref="A49:A5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H11" sqref="H11:K11"/>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5.5">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27" ht="56.25" customHeight="1">
      <c r="A6" s="279"/>
      <c r="B6" s="131" t="s">
        <v>1167</v>
      </c>
      <c r="C6" s="279"/>
      <c r="D6" s="131" t="s">
        <v>1160</v>
      </c>
      <c r="E6" s="131" t="s">
        <v>1168</v>
      </c>
      <c r="F6" s="131" t="s">
        <v>51</v>
      </c>
      <c r="G6" s="279"/>
      <c r="H6" s="133" t="s">
        <v>1169</v>
      </c>
      <c r="I6" s="279"/>
      <c r="J6" s="279"/>
      <c r="K6" s="134" t="s">
        <v>1170</v>
      </c>
    </row>
    <row r="7" spans="1:27" s="140" customFormat="1" ht="69" customHeight="1">
      <c r="A7" s="310" t="s">
        <v>1539</v>
      </c>
      <c r="B7" s="123" t="s">
        <v>1535</v>
      </c>
      <c r="C7" s="280" t="s">
        <v>1536</v>
      </c>
      <c r="D7" s="115">
        <v>45643</v>
      </c>
      <c r="E7" s="115" t="s">
        <v>495</v>
      </c>
      <c r="F7" s="115">
        <v>45646</v>
      </c>
      <c r="G7" s="264" t="s">
        <v>77</v>
      </c>
      <c r="H7" s="117" t="s">
        <v>817</v>
      </c>
      <c r="I7" s="285" t="s">
        <v>48</v>
      </c>
      <c r="J7" s="274" t="s">
        <v>815</v>
      </c>
      <c r="K7" s="264" t="s">
        <v>1129</v>
      </c>
      <c r="L7" s="136"/>
      <c r="M7" s="128"/>
      <c r="N7" s="128"/>
      <c r="O7" s="128"/>
      <c r="P7" s="128"/>
      <c r="Q7" s="128"/>
      <c r="R7" s="128"/>
      <c r="S7" s="128"/>
      <c r="T7" s="139"/>
      <c r="U7" s="139"/>
      <c r="V7" s="139"/>
      <c r="W7" s="139"/>
      <c r="X7" s="139"/>
      <c r="Y7" s="139"/>
      <c r="Z7" s="139"/>
      <c r="AA7" s="139"/>
    </row>
    <row r="8" spans="1:27" s="140" customFormat="1" ht="63.95" customHeight="1">
      <c r="A8" s="268"/>
      <c r="B8" s="123" t="s">
        <v>1534</v>
      </c>
      <c r="C8" s="326"/>
      <c r="D8" s="115" t="s">
        <v>817</v>
      </c>
      <c r="E8" s="115"/>
      <c r="F8" s="115" t="s">
        <v>818</v>
      </c>
      <c r="G8" s="275"/>
      <c r="H8" s="116" t="s">
        <v>818</v>
      </c>
      <c r="I8" s="285"/>
      <c r="J8" s="274"/>
      <c r="K8" s="298"/>
      <c r="L8" s="127"/>
      <c r="M8" s="127"/>
      <c r="N8" s="128"/>
      <c r="O8" s="128"/>
      <c r="P8" s="128"/>
      <c r="Q8" s="128"/>
      <c r="R8" s="128"/>
      <c r="S8" s="128"/>
      <c r="T8" s="139"/>
      <c r="U8" s="139"/>
      <c r="V8" s="139"/>
      <c r="W8" s="139"/>
      <c r="X8" s="139"/>
      <c r="Y8" s="139"/>
      <c r="Z8" s="139"/>
      <c r="AA8" s="139"/>
    </row>
    <row r="9" spans="1:27" s="140" customFormat="1" ht="69" customHeight="1">
      <c r="A9" s="315" t="s">
        <v>1541</v>
      </c>
      <c r="B9" s="123" t="s">
        <v>1535</v>
      </c>
      <c r="C9" s="326"/>
      <c r="D9" s="115">
        <v>45733</v>
      </c>
      <c r="E9" s="115" t="s">
        <v>495</v>
      </c>
      <c r="F9" s="115">
        <v>45735</v>
      </c>
      <c r="G9" s="275"/>
      <c r="H9" s="117" t="s">
        <v>1626</v>
      </c>
      <c r="I9" s="264" t="s">
        <v>48</v>
      </c>
      <c r="J9" s="280" t="s">
        <v>917</v>
      </c>
      <c r="K9" s="264" t="s">
        <v>1002</v>
      </c>
      <c r="L9" s="136"/>
      <c r="M9" s="128"/>
      <c r="N9" s="128"/>
      <c r="O9" s="128"/>
      <c r="P9" s="128"/>
      <c r="Q9" s="128"/>
      <c r="R9" s="128"/>
      <c r="S9" s="128"/>
      <c r="T9" s="139"/>
      <c r="U9" s="139"/>
      <c r="V9" s="139"/>
      <c r="W9" s="139"/>
      <c r="X9" s="139"/>
      <c r="Y9" s="139"/>
      <c r="Z9" s="139"/>
      <c r="AA9" s="139"/>
    </row>
    <row r="10" spans="1:27" s="140" customFormat="1" ht="63.95" customHeight="1">
      <c r="A10" s="314"/>
      <c r="B10" s="123" t="s">
        <v>1534</v>
      </c>
      <c r="C10" s="281"/>
      <c r="D10" s="115" t="s">
        <v>812</v>
      </c>
      <c r="E10" s="115"/>
      <c r="F10" s="115" t="s">
        <v>813</v>
      </c>
      <c r="G10" s="266"/>
      <c r="H10" s="116" t="s">
        <v>1625</v>
      </c>
      <c r="I10" s="266"/>
      <c r="J10" s="281"/>
      <c r="K10" s="266"/>
      <c r="L10" s="127"/>
      <c r="M10" s="127"/>
      <c r="N10" s="128"/>
      <c r="O10" s="128"/>
      <c r="P10" s="128"/>
      <c r="Q10" s="128"/>
      <c r="R10" s="128"/>
      <c r="S10" s="128"/>
      <c r="T10" s="139"/>
      <c r="U10" s="139"/>
      <c r="V10" s="139"/>
      <c r="W10" s="139"/>
      <c r="X10" s="139"/>
      <c r="Y10" s="139"/>
      <c r="Z10" s="139"/>
      <c r="AA10" s="139"/>
    </row>
    <row r="11" spans="1:27" s="142" customFormat="1" ht="45" customHeight="1">
      <c r="A11" s="260" t="s">
        <v>47</v>
      </c>
      <c r="B11" s="261"/>
      <c r="C11" s="262"/>
      <c r="D11" s="260" t="s">
        <v>1753</v>
      </c>
      <c r="E11" s="261"/>
      <c r="F11" s="261"/>
      <c r="G11" s="262"/>
      <c r="H11" s="332" t="s">
        <v>1755</v>
      </c>
      <c r="I11" s="332"/>
      <c r="J11" s="332"/>
      <c r="K11" s="333"/>
      <c r="M11" s="143"/>
      <c r="N11" s="143"/>
      <c r="O11" s="143"/>
      <c r="P11" s="143"/>
      <c r="Q11" s="143"/>
      <c r="R11" s="143"/>
      <c r="S11" s="143"/>
      <c r="T11" s="143"/>
      <c r="U11" s="143"/>
      <c r="V11" s="143"/>
      <c r="W11" s="143"/>
      <c r="X11" s="143"/>
      <c r="Y11" s="143"/>
      <c r="Z11" s="143"/>
      <c r="AA11" s="143"/>
    </row>
    <row r="12" spans="1:27" s="142" customFormat="1" ht="45.75" customHeight="1">
      <c r="A12" s="263" t="s">
        <v>1188</v>
      </c>
      <c r="B12" s="263"/>
      <c r="C12" s="263"/>
      <c r="D12" s="263"/>
      <c r="E12" s="263"/>
      <c r="F12" s="263"/>
      <c r="G12" s="263"/>
      <c r="H12" s="263"/>
      <c r="I12" s="263"/>
      <c r="J12" s="263"/>
      <c r="K12" s="263"/>
      <c r="M12" s="143"/>
      <c r="N12" s="143"/>
      <c r="O12" s="143"/>
      <c r="P12" s="143"/>
      <c r="Q12" s="143"/>
      <c r="R12" s="143"/>
      <c r="S12" s="143"/>
      <c r="T12" s="143"/>
      <c r="U12" s="143"/>
      <c r="V12" s="143"/>
      <c r="W12" s="143"/>
      <c r="X12" s="143"/>
      <c r="Y12" s="143"/>
      <c r="Z12" s="143"/>
      <c r="AA12" s="143"/>
    </row>
    <row r="20" spans="1:1" ht="409.5">
      <c r="A20" s="130" t="s">
        <v>52</v>
      </c>
    </row>
  </sheetData>
  <mergeCells count="25">
    <mergeCell ref="A9:A10"/>
    <mergeCell ref="I9:I10"/>
    <mergeCell ref="C7:C10"/>
    <mergeCell ref="A1:K1"/>
    <mergeCell ref="A2:K2"/>
    <mergeCell ref="A3:G3"/>
    <mergeCell ref="H3:K3"/>
    <mergeCell ref="A4:G4"/>
    <mergeCell ref="H4:K4"/>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5.5">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131" t="s">
        <v>50</v>
      </c>
      <c r="F5" s="131" t="s">
        <v>50</v>
      </c>
      <c r="G5" s="278" t="s">
        <v>613</v>
      </c>
      <c r="H5" s="131" t="s">
        <v>1153</v>
      </c>
      <c r="I5" s="278" t="s">
        <v>612</v>
      </c>
      <c r="J5" s="278" t="s">
        <v>611</v>
      </c>
      <c r="K5" s="132" t="s">
        <v>16</v>
      </c>
    </row>
    <row r="6" spans="1:27" ht="56.25" customHeight="1">
      <c r="A6" s="279"/>
      <c r="B6" s="131" t="s">
        <v>614</v>
      </c>
      <c r="C6" s="279"/>
      <c r="D6" s="131" t="s">
        <v>49</v>
      </c>
      <c r="E6" s="131" t="s">
        <v>51</v>
      </c>
      <c r="F6" s="131" t="s">
        <v>51</v>
      </c>
      <c r="G6" s="279"/>
      <c r="H6" s="133" t="s">
        <v>1154</v>
      </c>
      <c r="I6" s="279"/>
      <c r="J6" s="279"/>
      <c r="K6" s="134" t="s">
        <v>46</v>
      </c>
    </row>
    <row r="7" spans="1:27" s="140" customFormat="1" ht="69" customHeight="1">
      <c r="A7" s="310" t="s">
        <v>1540</v>
      </c>
      <c r="B7" s="123" t="s">
        <v>1538</v>
      </c>
      <c r="C7" s="280" t="s">
        <v>1543</v>
      </c>
      <c r="D7" s="115">
        <v>45570</v>
      </c>
      <c r="E7" s="115" t="s">
        <v>495</v>
      </c>
      <c r="F7" s="115">
        <v>45574</v>
      </c>
      <c r="G7" s="264" t="s">
        <v>77</v>
      </c>
      <c r="H7" s="117" t="s">
        <v>495</v>
      </c>
      <c r="I7" s="285" t="s">
        <v>48</v>
      </c>
      <c r="J7" s="274" t="s">
        <v>499</v>
      </c>
      <c r="K7" s="264" t="s">
        <v>918</v>
      </c>
      <c r="L7" s="136"/>
      <c r="M7" s="128">
        <f>450+160</f>
        <v>610</v>
      </c>
      <c r="N7" s="128"/>
      <c r="O7" s="128"/>
      <c r="P7" s="128"/>
      <c r="Q7" s="128"/>
      <c r="R7" s="128"/>
      <c r="S7" s="128"/>
      <c r="T7" s="139"/>
      <c r="U7" s="139"/>
      <c r="V7" s="139"/>
      <c r="W7" s="139"/>
      <c r="X7" s="139"/>
      <c r="Y7" s="139"/>
      <c r="Z7" s="139"/>
      <c r="AA7" s="139"/>
    </row>
    <row r="8" spans="1:27" s="140" customFormat="1" ht="63.95" customHeight="1">
      <c r="A8" s="268"/>
      <c r="B8" s="123" t="s">
        <v>1537</v>
      </c>
      <c r="C8" s="326"/>
      <c r="D8" s="115" t="s">
        <v>495</v>
      </c>
      <c r="E8" s="115"/>
      <c r="F8" s="115" t="s">
        <v>500</v>
      </c>
      <c r="G8" s="275"/>
      <c r="H8" s="116" t="s">
        <v>500</v>
      </c>
      <c r="I8" s="285"/>
      <c r="J8" s="274"/>
      <c r="K8" s="298"/>
      <c r="L8" s="127"/>
      <c r="M8" s="127"/>
      <c r="N8" s="128"/>
      <c r="O8" s="128"/>
      <c r="P8" s="128"/>
      <c r="Q8" s="128"/>
      <c r="R8" s="128"/>
      <c r="S8" s="128"/>
      <c r="T8" s="139"/>
      <c r="U8" s="139"/>
      <c r="V8" s="139"/>
      <c r="W8" s="139"/>
      <c r="X8" s="139"/>
      <c r="Y8" s="139"/>
      <c r="Z8" s="139"/>
      <c r="AA8" s="139"/>
    </row>
    <row r="9" spans="1:27" s="140" customFormat="1" ht="69" customHeight="1">
      <c r="A9" s="310" t="s">
        <v>1542</v>
      </c>
      <c r="B9" s="123" t="s">
        <v>1538</v>
      </c>
      <c r="C9" s="326"/>
      <c r="D9" s="115">
        <v>45645</v>
      </c>
      <c r="E9" s="115" t="s">
        <v>495</v>
      </c>
      <c r="F9" s="115">
        <v>45646</v>
      </c>
      <c r="G9" s="275"/>
      <c r="H9" s="117" t="s">
        <v>1544</v>
      </c>
      <c r="I9" s="285" t="s">
        <v>48</v>
      </c>
      <c r="J9" s="274" t="s">
        <v>815</v>
      </c>
      <c r="K9" s="264" t="s">
        <v>1130</v>
      </c>
      <c r="L9" s="136"/>
      <c r="M9" s="128"/>
      <c r="N9" s="128"/>
      <c r="O9" s="128"/>
      <c r="P9" s="128"/>
      <c r="Q9" s="128"/>
      <c r="R9" s="128"/>
      <c r="S9" s="128"/>
      <c r="T9" s="139"/>
      <c r="U9" s="139"/>
      <c r="V9" s="139"/>
      <c r="W9" s="139"/>
      <c r="X9" s="139"/>
      <c r="Y9" s="139"/>
      <c r="Z9" s="139"/>
      <c r="AA9" s="139"/>
    </row>
    <row r="10" spans="1:27" s="140" customFormat="1" ht="63.95" customHeight="1">
      <c r="A10" s="268"/>
      <c r="B10" s="123" t="s">
        <v>1537</v>
      </c>
      <c r="C10" s="281"/>
      <c r="D10" s="115" t="s">
        <v>816</v>
      </c>
      <c r="E10" s="115"/>
      <c r="F10" s="115" t="s">
        <v>916</v>
      </c>
      <c r="G10" s="266"/>
      <c r="H10" s="116" t="s">
        <v>1545</v>
      </c>
      <c r="I10" s="285"/>
      <c r="J10" s="274"/>
      <c r="K10" s="298"/>
      <c r="L10" s="127"/>
      <c r="M10" s="127"/>
      <c r="N10" s="128"/>
      <c r="O10" s="128"/>
      <c r="P10" s="128"/>
      <c r="Q10" s="128"/>
      <c r="R10" s="128"/>
      <c r="S10" s="128"/>
      <c r="T10" s="139"/>
      <c r="U10" s="139"/>
      <c r="V10" s="139"/>
      <c r="W10" s="139"/>
      <c r="X10" s="139"/>
      <c r="Y10" s="139"/>
      <c r="Z10" s="139"/>
      <c r="AA10" s="139"/>
    </row>
    <row r="11" spans="1:27" s="142" customFormat="1" ht="45" customHeight="1">
      <c r="A11" s="260" t="s">
        <v>47</v>
      </c>
      <c r="B11" s="261"/>
      <c r="C11" s="262"/>
      <c r="D11" s="260" t="s">
        <v>1753</v>
      </c>
      <c r="E11" s="261"/>
      <c r="F11" s="261"/>
      <c r="G11" s="262"/>
      <c r="H11" s="332" t="s">
        <v>1755</v>
      </c>
      <c r="I11" s="332"/>
      <c r="J11" s="332"/>
      <c r="K11" s="333"/>
      <c r="M11" s="143"/>
      <c r="N11" s="143"/>
      <c r="O11" s="143"/>
      <c r="P11" s="143"/>
      <c r="Q11" s="143"/>
      <c r="R11" s="143"/>
      <c r="S11" s="143"/>
      <c r="T11" s="143"/>
      <c r="U11" s="143"/>
      <c r="V11" s="143"/>
      <c r="W11" s="143"/>
      <c r="X11" s="143"/>
      <c r="Y11" s="143"/>
      <c r="Z11" s="143"/>
      <c r="AA11" s="143"/>
    </row>
    <row r="12" spans="1:27" s="142" customFormat="1" ht="45.75" customHeight="1">
      <c r="A12" s="263" t="s">
        <v>1147</v>
      </c>
      <c r="B12" s="263"/>
      <c r="C12" s="263"/>
      <c r="D12" s="263"/>
      <c r="E12" s="263"/>
      <c r="F12" s="263"/>
      <c r="G12" s="263"/>
      <c r="H12" s="263"/>
      <c r="I12" s="263"/>
      <c r="J12" s="263"/>
      <c r="K12" s="263"/>
      <c r="M12" s="143"/>
      <c r="N12" s="143"/>
      <c r="O12" s="143"/>
      <c r="P12" s="143"/>
      <c r="Q12" s="143"/>
      <c r="R12" s="143"/>
      <c r="S12" s="143"/>
      <c r="T12" s="143"/>
      <c r="U12" s="143"/>
      <c r="V12" s="143"/>
      <c r="W12" s="143"/>
      <c r="X12" s="143"/>
      <c r="Y12" s="143"/>
      <c r="Z12" s="143"/>
      <c r="AA12" s="143"/>
    </row>
    <row r="20" spans="1:1" ht="409.5">
      <c r="A20" s="130" t="s">
        <v>52</v>
      </c>
    </row>
  </sheetData>
  <mergeCells count="25">
    <mergeCell ref="A1:K1"/>
    <mergeCell ref="A2:K2"/>
    <mergeCell ref="A3:G3"/>
    <mergeCell ref="H3:K3"/>
    <mergeCell ref="A4:G4"/>
    <mergeCell ref="H4:K4"/>
    <mergeCell ref="A5:A6"/>
    <mergeCell ref="C5:C6"/>
    <mergeCell ref="G5:G6"/>
    <mergeCell ref="I5:I6"/>
    <mergeCell ref="J5:J6"/>
    <mergeCell ref="A11:C11"/>
    <mergeCell ref="D11:G11"/>
    <mergeCell ref="H11:K11"/>
    <mergeCell ref="A12:K12"/>
    <mergeCell ref="C7:C10"/>
    <mergeCell ref="G7:G10"/>
    <mergeCell ref="A9:A10"/>
    <mergeCell ref="I9:I10"/>
    <mergeCell ref="J9:J10"/>
    <mergeCell ref="K9:K10"/>
    <mergeCell ref="K7:K8"/>
    <mergeCell ref="A7:A8"/>
    <mergeCell ref="I7:I8"/>
    <mergeCell ref="J7:J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D9" sqref="D9:G9"/>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5.5">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131" t="s">
        <v>50</v>
      </c>
      <c r="F5" s="131" t="s">
        <v>50</v>
      </c>
      <c r="G5" s="278" t="s">
        <v>613</v>
      </c>
      <c r="H5" s="131" t="s">
        <v>1153</v>
      </c>
      <c r="I5" s="278" t="s">
        <v>612</v>
      </c>
      <c r="J5" s="278" t="s">
        <v>611</v>
      </c>
      <c r="K5" s="132" t="s">
        <v>16</v>
      </c>
    </row>
    <row r="6" spans="1:27" ht="56.25" customHeight="1">
      <c r="A6" s="279"/>
      <c r="B6" s="131" t="s">
        <v>614</v>
      </c>
      <c r="C6" s="279"/>
      <c r="D6" s="131" t="s">
        <v>49</v>
      </c>
      <c r="E6" s="131" t="s">
        <v>51</v>
      </c>
      <c r="F6" s="131" t="s">
        <v>51</v>
      </c>
      <c r="G6" s="279"/>
      <c r="H6" s="133" t="s">
        <v>1154</v>
      </c>
      <c r="I6" s="279"/>
      <c r="J6" s="279"/>
      <c r="K6" s="134" t="s">
        <v>46</v>
      </c>
    </row>
    <row r="7" spans="1:27" s="140" customFormat="1" ht="69" customHeight="1">
      <c r="A7" s="310" t="s">
        <v>1549</v>
      </c>
      <c r="B7" s="123" t="s">
        <v>1548</v>
      </c>
      <c r="C7" s="280" t="s">
        <v>1546</v>
      </c>
      <c r="D7" s="115">
        <v>45582</v>
      </c>
      <c r="E7" s="115" t="s">
        <v>495</v>
      </c>
      <c r="F7" s="115">
        <v>45586</v>
      </c>
      <c r="G7" s="264" t="s">
        <v>77</v>
      </c>
      <c r="H7" s="117" t="s">
        <v>812</v>
      </c>
      <c r="I7" s="285" t="s">
        <v>48</v>
      </c>
      <c r="J7" s="274" t="s">
        <v>814</v>
      </c>
      <c r="K7" s="264" t="s">
        <v>919</v>
      </c>
      <c r="L7" s="136"/>
      <c r="M7" s="128"/>
      <c r="N7" s="128"/>
      <c r="O7" s="128"/>
      <c r="P7" s="128"/>
      <c r="Q7" s="128"/>
      <c r="R7" s="128"/>
      <c r="S7" s="128"/>
      <c r="T7" s="139"/>
      <c r="U7" s="139"/>
      <c r="V7" s="139"/>
      <c r="W7" s="139"/>
      <c r="X7" s="139"/>
      <c r="Y7" s="139"/>
      <c r="Z7" s="139"/>
      <c r="AA7" s="139"/>
    </row>
    <row r="8" spans="1:27" s="140" customFormat="1" ht="63.95" customHeight="1">
      <c r="A8" s="268"/>
      <c r="B8" s="123" t="s">
        <v>1547</v>
      </c>
      <c r="C8" s="281"/>
      <c r="D8" s="115" t="s">
        <v>812</v>
      </c>
      <c r="E8" s="115"/>
      <c r="F8" s="115" t="s">
        <v>813</v>
      </c>
      <c r="G8" s="266"/>
      <c r="H8" s="116" t="s">
        <v>813</v>
      </c>
      <c r="I8" s="285"/>
      <c r="J8" s="274"/>
      <c r="K8" s="298"/>
      <c r="L8" s="127"/>
      <c r="M8" s="127"/>
      <c r="N8" s="128"/>
      <c r="O8" s="128"/>
      <c r="P8" s="128"/>
      <c r="Q8" s="128"/>
      <c r="R8" s="128"/>
      <c r="S8" s="128"/>
      <c r="T8" s="139"/>
      <c r="U8" s="139"/>
      <c r="V8" s="139"/>
      <c r="W8" s="139"/>
      <c r="X8" s="139"/>
      <c r="Y8" s="139"/>
      <c r="Z8" s="139"/>
      <c r="AA8" s="139"/>
    </row>
    <row r="9" spans="1:27" s="142" customFormat="1" ht="45" customHeight="1">
      <c r="A9" s="260" t="s">
        <v>47</v>
      </c>
      <c r="B9" s="261"/>
      <c r="C9" s="262"/>
      <c r="D9" s="260" t="s">
        <v>1753</v>
      </c>
      <c r="E9" s="261"/>
      <c r="F9" s="261"/>
      <c r="G9" s="262"/>
      <c r="H9" s="332" t="s">
        <v>1755</v>
      </c>
      <c r="I9" s="332"/>
      <c r="J9" s="332"/>
      <c r="K9" s="333"/>
      <c r="M9" s="143"/>
      <c r="N9" s="143"/>
      <c r="O9" s="143"/>
      <c r="P9" s="143"/>
      <c r="Q9" s="143"/>
      <c r="R9" s="143"/>
      <c r="S9" s="143"/>
      <c r="T9" s="143"/>
      <c r="U9" s="143"/>
      <c r="V9" s="143"/>
      <c r="W9" s="143"/>
      <c r="X9" s="143"/>
      <c r="Y9" s="143"/>
      <c r="Z9" s="143"/>
      <c r="AA9" s="143"/>
    </row>
    <row r="10" spans="1:27" s="142" customFormat="1" ht="45.75" customHeight="1">
      <c r="A10" s="263" t="s">
        <v>1147</v>
      </c>
      <c r="B10" s="263"/>
      <c r="C10" s="263"/>
      <c r="D10" s="263"/>
      <c r="E10" s="263"/>
      <c r="F10" s="263"/>
      <c r="G10" s="263"/>
      <c r="H10" s="263"/>
      <c r="I10" s="263"/>
      <c r="J10" s="263"/>
      <c r="K10" s="263"/>
      <c r="M10" s="143"/>
      <c r="N10" s="143"/>
      <c r="O10" s="143"/>
      <c r="P10" s="143"/>
      <c r="Q10" s="143"/>
      <c r="R10" s="143"/>
      <c r="S10" s="143"/>
      <c r="T10" s="143"/>
      <c r="U10" s="143"/>
      <c r="V10" s="143"/>
      <c r="W10" s="143"/>
      <c r="X10" s="143"/>
      <c r="Y10" s="143"/>
      <c r="Z10" s="143"/>
      <c r="AA10" s="143"/>
    </row>
    <row r="18" spans="1:1" ht="409.5">
      <c r="A18" s="130" t="s">
        <v>52</v>
      </c>
    </row>
  </sheetData>
  <mergeCells count="21">
    <mergeCell ref="A1:K1"/>
    <mergeCell ref="A2:K2"/>
    <mergeCell ref="A3:G3"/>
    <mergeCell ref="H3:K3"/>
    <mergeCell ref="A4:G4"/>
    <mergeCell ref="H4:K4"/>
    <mergeCell ref="A5:A6"/>
    <mergeCell ref="C5:C6"/>
    <mergeCell ref="G5:G6"/>
    <mergeCell ref="I5:I6"/>
    <mergeCell ref="J5:J6"/>
    <mergeCell ref="G7:G8"/>
    <mergeCell ref="A9:C9"/>
    <mergeCell ref="D9:G9"/>
    <mergeCell ref="H9:K9"/>
    <mergeCell ref="A10:K10"/>
    <mergeCell ref="A7:A8"/>
    <mergeCell ref="I7:I8"/>
    <mergeCell ref="J7:J8"/>
    <mergeCell ref="K7:K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4"/>
  <sheetViews>
    <sheetView view="pageBreakPreview" zoomScale="70" zoomScaleNormal="100" zoomScaleSheetLayoutView="70" zoomScalePageLayoutView="85" workbookViewId="0">
      <pane xSplit="1" ySplit="6" topLeftCell="B7" activePane="bottomRight" state="frozen"/>
      <selection activeCell="U14" sqref="U14"/>
      <selection pane="topRight" activeCell="U14" sqref="U14"/>
      <selection pane="bottomLeft" activeCell="U14" sqref="U14"/>
      <selection pane="bottomRight" activeCell="B22" sqref="B22"/>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86" t="s">
        <v>45</v>
      </c>
      <c r="B1" s="286"/>
      <c r="C1" s="286"/>
      <c r="D1" s="286"/>
      <c r="E1" s="286"/>
      <c r="F1" s="286"/>
      <c r="G1" s="286"/>
      <c r="H1" s="286"/>
      <c r="I1" s="286"/>
      <c r="J1" s="286"/>
      <c r="K1" s="286"/>
      <c r="L1" s="154"/>
      <c r="M1" s="155"/>
      <c r="N1" s="155"/>
      <c r="O1" s="155"/>
      <c r="P1" s="155"/>
      <c r="Q1" s="155"/>
      <c r="R1" s="155"/>
      <c r="S1" s="155"/>
      <c r="T1" s="156"/>
      <c r="U1" s="156"/>
      <c r="V1" s="156"/>
      <c r="W1" s="156"/>
      <c r="X1" s="156"/>
      <c r="Y1" s="156"/>
      <c r="Z1" s="156"/>
      <c r="AA1" s="156"/>
    </row>
    <row r="2" spans="1:27" s="157" customFormat="1" ht="23.25" customHeight="1">
      <c r="A2" s="286" t="s">
        <v>0</v>
      </c>
      <c r="B2" s="286"/>
      <c r="C2" s="286"/>
      <c r="D2" s="286"/>
      <c r="E2" s="286"/>
      <c r="F2" s="286"/>
      <c r="G2" s="286"/>
      <c r="H2" s="286"/>
      <c r="I2" s="286"/>
      <c r="J2" s="286"/>
      <c r="K2" s="286"/>
      <c r="L2" s="154"/>
      <c r="M2" s="155"/>
      <c r="N2" s="155"/>
      <c r="O2" s="155"/>
      <c r="P2" s="155"/>
      <c r="Q2" s="155"/>
      <c r="R2" s="155"/>
      <c r="S2" s="155"/>
      <c r="T2" s="156"/>
      <c r="U2" s="156"/>
      <c r="V2" s="156"/>
      <c r="W2" s="156"/>
      <c r="X2" s="156"/>
      <c r="Y2" s="156"/>
      <c r="Z2" s="156"/>
      <c r="AA2" s="15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27" ht="56.25" customHeight="1">
      <c r="A6" s="279"/>
      <c r="B6" s="131" t="s">
        <v>1167</v>
      </c>
      <c r="C6" s="279"/>
      <c r="D6" s="131" t="s">
        <v>1160</v>
      </c>
      <c r="E6" s="131" t="s">
        <v>1168</v>
      </c>
      <c r="F6" s="131" t="s">
        <v>51</v>
      </c>
      <c r="G6" s="279"/>
      <c r="H6" s="133" t="s">
        <v>1169</v>
      </c>
      <c r="I6" s="279"/>
      <c r="J6" s="279"/>
      <c r="K6" s="134" t="s">
        <v>1170</v>
      </c>
    </row>
    <row r="7" spans="1:27" s="138" customFormat="1" ht="69.95" customHeight="1">
      <c r="A7" s="310" t="s">
        <v>909</v>
      </c>
      <c r="B7" s="159" t="s">
        <v>251</v>
      </c>
      <c r="C7" s="280" t="s">
        <v>114</v>
      </c>
      <c r="D7" s="115">
        <v>45463</v>
      </c>
      <c r="E7" s="115" t="s">
        <v>438</v>
      </c>
      <c r="F7" s="115">
        <v>45467</v>
      </c>
      <c r="G7" s="285" t="s">
        <v>79</v>
      </c>
      <c r="H7" s="116" t="s">
        <v>438</v>
      </c>
      <c r="I7" s="285" t="s">
        <v>48</v>
      </c>
      <c r="J7" s="274" t="s">
        <v>434</v>
      </c>
      <c r="K7" s="264" t="s">
        <v>448</v>
      </c>
      <c r="L7" s="136"/>
      <c r="M7" s="128"/>
      <c r="N7" s="128"/>
      <c r="O7" s="128"/>
      <c r="P7" s="128"/>
      <c r="Q7" s="128"/>
      <c r="R7" s="128"/>
      <c r="S7" s="128"/>
      <c r="T7" s="137"/>
      <c r="U7" s="137"/>
      <c r="V7" s="137"/>
      <c r="W7" s="137"/>
      <c r="X7" s="137"/>
      <c r="Y7" s="137"/>
      <c r="Z7" s="137"/>
      <c r="AA7" s="137"/>
    </row>
    <row r="8" spans="1:27" s="138" customFormat="1" ht="54.95" customHeight="1">
      <c r="A8" s="268"/>
      <c r="B8" s="103" t="s">
        <v>78</v>
      </c>
      <c r="C8" s="281"/>
      <c r="D8" s="115" t="s">
        <v>438</v>
      </c>
      <c r="E8" s="115"/>
      <c r="F8" s="115" t="s">
        <v>439</v>
      </c>
      <c r="G8" s="285"/>
      <c r="H8" s="116" t="s">
        <v>439</v>
      </c>
      <c r="I8" s="285"/>
      <c r="J8" s="274"/>
      <c r="K8" s="298"/>
      <c r="L8" s="127"/>
      <c r="M8" s="127"/>
      <c r="N8" s="128"/>
      <c r="O8" s="128"/>
      <c r="P8" s="128"/>
      <c r="Q8" s="128"/>
      <c r="R8" s="128"/>
      <c r="S8" s="128"/>
      <c r="T8" s="137"/>
      <c r="U8" s="137"/>
      <c r="V8" s="137"/>
      <c r="W8" s="137"/>
      <c r="X8" s="137"/>
      <c r="Y8" s="137"/>
      <c r="Z8" s="137"/>
      <c r="AA8" s="137"/>
    </row>
    <row r="9" spans="1:27" s="138" customFormat="1" ht="80.099999999999994" customHeight="1">
      <c r="A9" s="267" t="s">
        <v>912</v>
      </c>
      <c r="B9" s="123" t="s">
        <v>1550</v>
      </c>
      <c r="C9" s="336" t="s">
        <v>607</v>
      </c>
      <c r="D9" s="115">
        <v>45715</v>
      </c>
      <c r="E9" s="115"/>
      <c r="F9" s="115">
        <v>45734</v>
      </c>
      <c r="G9" s="264" t="s">
        <v>82</v>
      </c>
      <c r="H9" s="117" t="s">
        <v>896</v>
      </c>
      <c r="I9" s="285" t="s">
        <v>48</v>
      </c>
      <c r="J9" s="274" t="s">
        <v>888</v>
      </c>
      <c r="K9" s="264" t="s">
        <v>1085</v>
      </c>
      <c r="L9" s="136"/>
      <c r="M9" s="128"/>
      <c r="N9" s="128"/>
      <c r="O9" s="128"/>
      <c r="P9" s="128"/>
      <c r="Q9" s="128"/>
      <c r="R9" s="128"/>
      <c r="S9" s="128"/>
      <c r="T9" s="137"/>
      <c r="U9" s="137"/>
      <c r="V9" s="137"/>
      <c r="W9" s="137"/>
      <c r="X9" s="137"/>
      <c r="Y9" s="137"/>
      <c r="Z9" s="137"/>
      <c r="AA9" s="137"/>
    </row>
    <row r="10" spans="1:27" s="138" customFormat="1" ht="45" customHeight="1">
      <c r="A10" s="268"/>
      <c r="B10" s="102" t="s">
        <v>883</v>
      </c>
      <c r="C10" s="340"/>
      <c r="D10" s="115" t="s">
        <v>897</v>
      </c>
      <c r="E10" s="115"/>
      <c r="F10" s="115" t="s">
        <v>898</v>
      </c>
      <c r="G10" s="275"/>
      <c r="H10" s="116" t="s">
        <v>898</v>
      </c>
      <c r="I10" s="285"/>
      <c r="J10" s="274"/>
      <c r="K10" s="298"/>
      <c r="L10" s="127"/>
      <c r="M10" s="127"/>
      <c r="N10" s="128"/>
      <c r="O10" s="128"/>
      <c r="P10" s="128"/>
      <c r="Q10" s="128"/>
      <c r="R10" s="128"/>
      <c r="S10" s="128"/>
      <c r="T10" s="137"/>
      <c r="U10" s="137"/>
      <c r="V10" s="137"/>
      <c r="W10" s="137"/>
      <c r="X10" s="137"/>
      <c r="Y10" s="137"/>
      <c r="Z10" s="137"/>
      <c r="AA10" s="137"/>
    </row>
    <row r="11" spans="1:27" s="138" customFormat="1" ht="60" customHeight="1">
      <c r="A11" s="267" t="s">
        <v>913</v>
      </c>
      <c r="B11" s="123" t="s">
        <v>1550</v>
      </c>
      <c r="C11" s="325"/>
      <c r="D11" s="115">
        <v>45715</v>
      </c>
      <c r="E11" s="115"/>
      <c r="F11" s="115">
        <v>45747</v>
      </c>
      <c r="G11" s="325"/>
      <c r="H11" s="117" t="s">
        <v>896</v>
      </c>
      <c r="I11" s="285" t="s">
        <v>48</v>
      </c>
      <c r="J11" s="274" t="s">
        <v>888</v>
      </c>
      <c r="K11" s="264" t="s">
        <v>985</v>
      </c>
      <c r="L11" s="136"/>
      <c r="M11" s="128"/>
      <c r="N11" s="128"/>
      <c r="O11" s="128"/>
      <c r="P11" s="128"/>
      <c r="Q11" s="128"/>
      <c r="R11" s="128"/>
      <c r="S11" s="128"/>
      <c r="T11" s="137"/>
      <c r="U11" s="137"/>
      <c r="V11" s="137"/>
      <c r="W11" s="137"/>
      <c r="X11" s="137"/>
      <c r="Y11" s="137"/>
      <c r="Z11" s="137"/>
      <c r="AA11" s="137"/>
    </row>
    <row r="12" spans="1:27" s="138" customFormat="1" ht="45" customHeight="1">
      <c r="A12" s="268"/>
      <c r="B12" s="102" t="s">
        <v>883</v>
      </c>
      <c r="C12" s="298"/>
      <c r="D12" s="115" t="s">
        <v>964</v>
      </c>
      <c r="E12" s="115"/>
      <c r="F12" s="115" t="s">
        <v>966</v>
      </c>
      <c r="G12" s="298"/>
      <c r="H12" s="116" t="s">
        <v>965</v>
      </c>
      <c r="I12" s="285"/>
      <c r="J12" s="274"/>
      <c r="K12" s="298"/>
      <c r="L12" s="127"/>
      <c r="M12" s="127"/>
      <c r="N12" s="128"/>
      <c r="O12" s="128"/>
      <c r="P12" s="128"/>
      <c r="Q12" s="128"/>
      <c r="R12" s="128"/>
      <c r="S12" s="128"/>
      <c r="T12" s="137"/>
      <c r="U12" s="137"/>
      <c r="V12" s="137"/>
      <c r="W12" s="137"/>
      <c r="X12" s="137"/>
      <c r="Y12" s="137"/>
      <c r="Z12" s="137"/>
      <c r="AA12" s="137"/>
    </row>
    <row r="13" spans="1:27" s="138" customFormat="1" ht="77.25" customHeight="1">
      <c r="A13" s="267" t="s">
        <v>914</v>
      </c>
      <c r="B13" s="123" t="s">
        <v>1550</v>
      </c>
      <c r="C13" s="336" t="s">
        <v>115</v>
      </c>
      <c r="D13" s="115">
        <v>45715</v>
      </c>
      <c r="E13" s="115"/>
      <c r="F13" s="115">
        <v>45797</v>
      </c>
      <c r="G13" s="285" t="s">
        <v>82</v>
      </c>
      <c r="H13" s="117" t="s">
        <v>896</v>
      </c>
      <c r="I13" s="264" t="s">
        <v>48</v>
      </c>
      <c r="J13" s="274" t="s">
        <v>888</v>
      </c>
      <c r="K13" s="264" t="s">
        <v>1084</v>
      </c>
      <c r="L13" s="136"/>
      <c r="M13" s="128"/>
      <c r="N13" s="128"/>
      <c r="O13" s="128"/>
      <c r="P13" s="128"/>
      <c r="Q13" s="128"/>
      <c r="R13" s="128"/>
      <c r="S13" s="128"/>
      <c r="T13" s="137"/>
      <c r="U13" s="137"/>
      <c r="V13" s="137"/>
      <c r="W13" s="137"/>
      <c r="X13" s="137"/>
      <c r="Y13" s="137"/>
      <c r="Z13" s="137"/>
      <c r="AA13" s="137"/>
    </row>
    <row r="14" spans="1:27" s="138" customFormat="1" ht="77.25" customHeight="1">
      <c r="A14" s="268"/>
      <c r="B14" s="102" t="s">
        <v>883</v>
      </c>
      <c r="C14" s="337"/>
      <c r="D14" s="115" t="s">
        <v>964</v>
      </c>
      <c r="E14" s="115"/>
      <c r="F14" s="115" t="s">
        <v>1448</v>
      </c>
      <c r="G14" s="285"/>
      <c r="H14" s="116" t="s">
        <v>965</v>
      </c>
      <c r="I14" s="266"/>
      <c r="J14" s="274"/>
      <c r="K14" s="298"/>
      <c r="L14" s="127"/>
      <c r="M14" s="127"/>
      <c r="N14" s="128"/>
      <c r="O14" s="128"/>
      <c r="P14" s="128"/>
      <c r="Q14" s="128"/>
      <c r="R14" s="128"/>
      <c r="S14" s="128"/>
      <c r="T14" s="137"/>
      <c r="U14" s="137"/>
      <c r="V14" s="137"/>
      <c r="W14" s="137"/>
      <c r="X14" s="137"/>
      <c r="Y14" s="137"/>
      <c r="Z14" s="137"/>
      <c r="AA14" s="137"/>
    </row>
    <row r="15" spans="1:27" s="138" customFormat="1" ht="77.25" customHeight="1">
      <c r="A15" s="267" t="s">
        <v>915</v>
      </c>
      <c r="B15" s="135" t="s">
        <v>609</v>
      </c>
      <c r="C15" s="336" t="s">
        <v>608</v>
      </c>
      <c r="D15" s="115" t="s">
        <v>255</v>
      </c>
      <c r="E15" s="115"/>
      <c r="F15" s="115" t="s">
        <v>108</v>
      </c>
      <c r="G15" s="264" t="s">
        <v>254</v>
      </c>
      <c r="H15" s="117" t="s">
        <v>257</v>
      </c>
      <c r="I15" s="264" t="s">
        <v>48</v>
      </c>
      <c r="J15" s="274" t="s">
        <v>260</v>
      </c>
      <c r="K15" s="264" t="s">
        <v>261</v>
      </c>
      <c r="L15" s="136"/>
      <c r="N15" s="128"/>
      <c r="O15" s="128"/>
      <c r="P15" s="128"/>
      <c r="Q15" s="128"/>
      <c r="R15" s="128"/>
      <c r="S15" s="128"/>
      <c r="T15" s="137"/>
      <c r="U15" s="137"/>
      <c r="V15" s="137"/>
      <c r="W15" s="137"/>
      <c r="X15" s="137"/>
      <c r="Y15" s="137"/>
      <c r="Z15" s="137"/>
      <c r="AA15" s="137"/>
    </row>
    <row r="16" spans="1:27" s="138" customFormat="1" ht="77.25" customHeight="1">
      <c r="A16" s="268"/>
      <c r="B16" s="103" t="s">
        <v>253</v>
      </c>
      <c r="C16" s="337"/>
      <c r="D16" s="115" t="s">
        <v>255</v>
      </c>
      <c r="E16" s="115"/>
      <c r="F16" s="115" t="s">
        <v>256</v>
      </c>
      <c r="G16" s="266"/>
      <c r="H16" s="117" t="s">
        <v>256</v>
      </c>
      <c r="I16" s="266"/>
      <c r="J16" s="274"/>
      <c r="K16" s="298"/>
      <c r="L16" s="127"/>
      <c r="N16" s="128"/>
      <c r="O16" s="128"/>
      <c r="P16" s="128"/>
      <c r="Q16" s="128"/>
      <c r="R16" s="128"/>
      <c r="S16" s="128"/>
      <c r="T16" s="137"/>
      <c r="U16" s="137"/>
      <c r="V16" s="137"/>
      <c r="W16" s="137"/>
      <c r="X16" s="137"/>
      <c r="Y16" s="137"/>
      <c r="Z16" s="137"/>
      <c r="AA16" s="137"/>
    </row>
    <row r="17" spans="1:27" s="142" customFormat="1" ht="49.5" customHeight="1">
      <c r="A17" s="260" t="s">
        <v>47</v>
      </c>
      <c r="B17" s="261"/>
      <c r="C17" s="262"/>
      <c r="D17" s="260" t="s">
        <v>1753</v>
      </c>
      <c r="E17" s="261"/>
      <c r="F17" s="261"/>
      <c r="G17" s="262"/>
      <c r="H17" s="332" t="s">
        <v>1755</v>
      </c>
      <c r="I17" s="332"/>
      <c r="J17" s="332"/>
      <c r="K17" s="333"/>
      <c r="M17" s="143"/>
      <c r="N17" s="143"/>
      <c r="O17" s="143"/>
      <c r="P17" s="143"/>
      <c r="Q17" s="143"/>
      <c r="R17" s="143"/>
      <c r="S17" s="143"/>
      <c r="T17" s="143"/>
      <c r="U17" s="143"/>
      <c r="V17" s="143"/>
      <c r="W17" s="143"/>
      <c r="X17" s="143"/>
      <c r="Y17" s="143"/>
      <c r="Z17" s="143"/>
      <c r="AA17" s="143"/>
    </row>
    <row r="18" spans="1:27" s="142" customFormat="1" ht="53.25" customHeight="1">
      <c r="A18" s="263" t="s">
        <v>1147</v>
      </c>
      <c r="B18" s="263"/>
      <c r="C18" s="263"/>
      <c r="D18" s="263"/>
      <c r="E18" s="263"/>
      <c r="F18" s="263"/>
      <c r="G18" s="263"/>
      <c r="H18" s="263"/>
      <c r="I18" s="263"/>
      <c r="J18" s="263"/>
      <c r="K18" s="263"/>
      <c r="M18" s="143"/>
      <c r="N18" s="143"/>
      <c r="O18" s="143"/>
      <c r="P18" s="143"/>
      <c r="Q18" s="143"/>
      <c r="R18" s="143"/>
      <c r="S18" s="143"/>
      <c r="T18" s="143"/>
      <c r="U18" s="143"/>
      <c r="V18" s="143"/>
      <c r="W18" s="143"/>
      <c r="X18" s="143"/>
      <c r="Y18" s="143"/>
      <c r="Z18" s="143"/>
      <c r="AA18" s="143"/>
    </row>
    <row r="19" spans="1:27" s="138" customFormat="1" ht="129.75" customHeight="1">
      <c r="A19" s="283">
        <v>22</v>
      </c>
      <c r="B19" s="123" t="s">
        <v>80</v>
      </c>
      <c r="C19" s="336" t="s">
        <v>610</v>
      </c>
      <c r="D19" s="115" t="s">
        <v>419</v>
      </c>
      <c r="E19" s="115" t="s">
        <v>420</v>
      </c>
      <c r="F19" s="115" t="s">
        <v>255</v>
      </c>
      <c r="G19" s="285" t="s">
        <v>422</v>
      </c>
      <c r="H19" s="116" t="s">
        <v>420</v>
      </c>
      <c r="I19" s="285" t="s">
        <v>48</v>
      </c>
      <c r="J19" s="274" t="s">
        <v>423</v>
      </c>
      <c r="K19" s="264" t="s">
        <v>424</v>
      </c>
      <c r="L19" s="136"/>
      <c r="N19" s="128"/>
      <c r="O19" s="128"/>
      <c r="P19" s="128"/>
      <c r="Q19" s="128"/>
      <c r="R19" s="128"/>
      <c r="S19" s="128"/>
      <c r="T19" s="137"/>
      <c r="U19" s="137"/>
      <c r="V19" s="137"/>
      <c r="W19" s="137"/>
      <c r="X19" s="137"/>
      <c r="Y19" s="137"/>
      <c r="Z19" s="137"/>
      <c r="AA19" s="137"/>
    </row>
    <row r="20" spans="1:27" s="138" customFormat="1" ht="51.75" customHeight="1">
      <c r="A20" s="284"/>
      <c r="B20" s="123" t="s">
        <v>69</v>
      </c>
      <c r="C20" s="337"/>
      <c r="D20" s="115" t="s">
        <v>420</v>
      </c>
      <c r="E20" s="115"/>
      <c r="F20" s="115" t="s">
        <v>421</v>
      </c>
      <c r="G20" s="285"/>
      <c r="H20" s="116" t="s">
        <v>421</v>
      </c>
      <c r="I20" s="285"/>
      <c r="J20" s="274"/>
      <c r="K20" s="298"/>
      <c r="L20" s="127"/>
      <c r="N20" s="128"/>
      <c r="O20" s="128"/>
      <c r="P20" s="128"/>
      <c r="Q20" s="128"/>
      <c r="R20" s="128"/>
      <c r="S20" s="128"/>
      <c r="T20" s="137"/>
      <c r="U20" s="137"/>
      <c r="V20" s="137"/>
      <c r="W20" s="137"/>
      <c r="X20" s="137"/>
      <c r="Y20" s="137"/>
      <c r="Z20" s="137"/>
      <c r="AA20" s="137"/>
    </row>
    <row r="21" spans="1:27" s="138" customFormat="1" ht="85.5" customHeight="1">
      <c r="A21" s="276" t="s">
        <v>1449</v>
      </c>
      <c r="B21" s="160" t="s">
        <v>1444</v>
      </c>
      <c r="C21" s="338" t="s">
        <v>1443</v>
      </c>
      <c r="D21" s="115">
        <v>45484</v>
      </c>
      <c r="E21" s="115" t="s">
        <v>440</v>
      </c>
      <c r="F21" s="115">
        <v>45485</v>
      </c>
      <c r="G21" s="285" t="s">
        <v>443</v>
      </c>
      <c r="H21" s="116" t="s">
        <v>440</v>
      </c>
      <c r="I21" s="285" t="s">
        <v>48</v>
      </c>
      <c r="J21" s="274" t="s">
        <v>442</v>
      </c>
      <c r="K21" s="264" t="s">
        <v>1627</v>
      </c>
      <c r="L21" s="136"/>
      <c r="N21" s="128"/>
      <c r="O21" s="128"/>
      <c r="P21" s="128"/>
      <c r="Q21" s="128"/>
      <c r="R21" s="128"/>
      <c r="S21" s="128"/>
      <c r="T21" s="137"/>
      <c r="U21" s="137"/>
      <c r="V21" s="137"/>
      <c r="W21" s="137"/>
      <c r="X21" s="137"/>
      <c r="Y21" s="137"/>
      <c r="Z21" s="137"/>
      <c r="AA21" s="137"/>
    </row>
    <row r="22" spans="1:27" s="138" customFormat="1" ht="45" customHeight="1">
      <c r="A22" s="277"/>
      <c r="B22" s="158" t="s">
        <v>1442</v>
      </c>
      <c r="C22" s="339"/>
      <c r="D22" s="115" t="s">
        <v>1239</v>
      </c>
      <c r="E22" s="115"/>
      <c r="F22" s="115" t="s">
        <v>441</v>
      </c>
      <c r="G22" s="285"/>
      <c r="H22" s="116" t="s">
        <v>441</v>
      </c>
      <c r="I22" s="285"/>
      <c r="J22" s="274"/>
      <c r="K22" s="298"/>
      <c r="L22" s="127"/>
      <c r="N22" s="128"/>
      <c r="O22" s="128"/>
      <c r="P22" s="128"/>
      <c r="Q22" s="128"/>
      <c r="R22" s="128"/>
      <c r="S22" s="128"/>
      <c r="T22" s="137"/>
      <c r="U22" s="137"/>
      <c r="V22" s="137"/>
      <c r="W22" s="137"/>
      <c r="X22" s="137"/>
      <c r="Y22" s="137"/>
      <c r="Z22" s="137"/>
      <c r="AA22" s="137"/>
    </row>
    <row r="23" spans="1:27" s="142" customFormat="1" ht="49.5" customHeight="1">
      <c r="A23" s="260" t="s">
        <v>47</v>
      </c>
      <c r="B23" s="261"/>
      <c r="C23" s="262"/>
      <c r="D23" s="260" t="s">
        <v>1753</v>
      </c>
      <c r="E23" s="261"/>
      <c r="F23" s="261"/>
      <c r="G23" s="262"/>
      <c r="H23" s="332" t="s">
        <v>1755</v>
      </c>
      <c r="I23" s="332"/>
      <c r="J23" s="332"/>
      <c r="K23" s="333"/>
      <c r="M23" s="143"/>
      <c r="N23" s="143"/>
      <c r="O23" s="143"/>
      <c r="P23" s="143"/>
      <c r="Q23" s="143"/>
      <c r="R23" s="143"/>
      <c r="S23" s="143"/>
      <c r="T23" s="143"/>
      <c r="U23" s="143"/>
      <c r="V23" s="143"/>
      <c r="W23" s="143"/>
      <c r="X23" s="143"/>
      <c r="Y23" s="143"/>
      <c r="Z23" s="143"/>
      <c r="AA23" s="143"/>
    </row>
    <row r="24" spans="1:27" s="142" customFormat="1" ht="53.25" customHeight="1">
      <c r="A24" s="263" t="s">
        <v>1188</v>
      </c>
      <c r="B24" s="263"/>
      <c r="C24" s="263"/>
      <c r="D24" s="263"/>
      <c r="E24" s="263"/>
      <c r="F24" s="263"/>
      <c r="G24" s="263"/>
      <c r="H24" s="263"/>
      <c r="I24" s="263"/>
      <c r="J24" s="263"/>
      <c r="K24" s="263"/>
      <c r="M24" s="143"/>
      <c r="N24" s="143"/>
      <c r="O24" s="143"/>
      <c r="P24" s="143"/>
      <c r="Q24" s="143"/>
      <c r="R24" s="143"/>
      <c r="S24" s="143"/>
      <c r="T24" s="143"/>
      <c r="U24" s="143"/>
      <c r="V24" s="143"/>
      <c r="W24" s="143"/>
      <c r="X24" s="143"/>
      <c r="Y24" s="143"/>
      <c r="Z24" s="143"/>
      <c r="AA24" s="143"/>
    </row>
  </sheetData>
  <mergeCells count="59">
    <mergeCell ref="A24:K24"/>
    <mergeCell ref="J5:J6"/>
    <mergeCell ref="A1:K1"/>
    <mergeCell ref="A2:K2"/>
    <mergeCell ref="A3:G3"/>
    <mergeCell ref="H3:K3"/>
    <mergeCell ref="A4:G4"/>
    <mergeCell ref="H4:K4"/>
    <mergeCell ref="A5:A6"/>
    <mergeCell ref="C5:C6"/>
    <mergeCell ref="G5:G6"/>
    <mergeCell ref="I5:I6"/>
    <mergeCell ref="K7:K8"/>
    <mergeCell ref="A23:C23"/>
    <mergeCell ref="D23:G23"/>
    <mergeCell ref="H23:K23"/>
    <mergeCell ref="J7:J8"/>
    <mergeCell ref="A7:A8"/>
    <mergeCell ref="C7:C8"/>
    <mergeCell ref="G7:G8"/>
    <mergeCell ref="I7:I8"/>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K15:K16"/>
    <mergeCell ref="A15:A16"/>
    <mergeCell ref="G15:G16"/>
    <mergeCell ref="I15:I16"/>
    <mergeCell ref="J15:J16"/>
    <mergeCell ref="C15:C16"/>
    <mergeCell ref="A17:C17"/>
    <mergeCell ref="D17:G17"/>
    <mergeCell ref="H17:K17"/>
    <mergeCell ref="A18:K18"/>
    <mergeCell ref="K21:K22"/>
    <mergeCell ref="A21:A22"/>
    <mergeCell ref="J21:J22"/>
    <mergeCell ref="G21:G22"/>
    <mergeCell ref="I21:I22"/>
    <mergeCell ref="C21:C22"/>
    <mergeCell ref="K19:K20"/>
    <mergeCell ref="J19:J20"/>
    <mergeCell ref="A19:A20"/>
    <mergeCell ref="C19:C20"/>
    <mergeCell ref="G19:G20"/>
    <mergeCell ref="I19:I2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H10" sqref="H1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86" t="s">
        <v>45</v>
      </c>
      <c r="B1" s="286"/>
      <c r="C1" s="286"/>
      <c r="D1" s="286"/>
      <c r="E1" s="286"/>
      <c r="F1" s="286"/>
      <c r="G1" s="286"/>
      <c r="H1" s="286"/>
      <c r="I1" s="286"/>
      <c r="J1" s="286"/>
      <c r="K1" s="286"/>
      <c r="L1" s="154"/>
      <c r="M1" s="155"/>
      <c r="N1" s="155"/>
      <c r="O1" s="155"/>
      <c r="P1" s="155"/>
      <c r="Q1" s="155"/>
      <c r="R1" s="155"/>
      <c r="S1" s="155"/>
      <c r="T1" s="156"/>
      <c r="U1" s="156"/>
      <c r="V1" s="156"/>
      <c r="W1" s="156"/>
      <c r="X1" s="156"/>
      <c r="Y1" s="156"/>
      <c r="Z1" s="156"/>
      <c r="AA1" s="156"/>
    </row>
    <row r="2" spans="1:27" s="157" customFormat="1" ht="23.25" customHeight="1">
      <c r="A2" s="286" t="s">
        <v>0</v>
      </c>
      <c r="B2" s="286"/>
      <c r="C2" s="286"/>
      <c r="D2" s="286"/>
      <c r="E2" s="286"/>
      <c r="F2" s="286"/>
      <c r="G2" s="286"/>
      <c r="H2" s="286"/>
      <c r="I2" s="286"/>
      <c r="J2" s="286"/>
      <c r="K2" s="286"/>
      <c r="L2" s="154"/>
      <c r="M2" s="155"/>
      <c r="N2" s="155"/>
      <c r="O2" s="155"/>
      <c r="P2" s="155"/>
      <c r="Q2" s="155"/>
      <c r="R2" s="155"/>
      <c r="S2" s="155"/>
      <c r="T2" s="156"/>
      <c r="U2" s="156"/>
      <c r="V2" s="156"/>
      <c r="W2" s="156"/>
      <c r="X2" s="156"/>
      <c r="Y2" s="156"/>
      <c r="Z2" s="156"/>
      <c r="AA2" s="15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1152</v>
      </c>
      <c r="C5" s="278" t="s">
        <v>588</v>
      </c>
      <c r="D5" s="131" t="s">
        <v>587</v>
      </c>
      <c r="E5" s="131" t="s">
        <v>50</v>
      </c>
      <c r="F5" s="131" t="s">
        <v>50</v>
      </c>
      <c r="G5" s="278" t="s">
        <v>613</v>
      </c>
      <c r="H5" s="131" t="s">
        <v>1153</v>
      </c>
      <c r="I5" s="278" t="s">
        <v>612</v>
      </c>
      <c r="J5" s="278" t="s">
        <v>611</v>
      </c>
      <c r="K5" s="132" t="s">
        <v>16</v>
      </c>
    </row>
    <row r="6" spans="1:27" ht="56.25" customHeight="1">
      <c r="A6" s="279"/>
      <c r="B6" s="131" t="s">
        <v>614</v>
      </c>
      <c r="C6" s="279"/>
      <c r="D6" s="131" t="s">
        <v>49</v>
      </c>
      <c r="E6" s="131" t="s">
        <v>51</v>
      </c>
      <c r="F6" s="131" t="s">
        <v>51</v>
      </c>
      <c r="G6" s="279"/>
      <c r="H6" s="133" t="s">
        <v>1154</v>
      </c>
      <c r="I6" s="279"/>
      <c r="J6" s="279"/>
      <c r="K6" s="134" t="s">
        <v>46</v>
      </c>
    </row>
    <row r="7" spans="1:27" s="138" customFormat="1" ht="69.95" customHeight="1">
      <c r="A7" s="267" t="s">
        <v>1451</v>
      </c>
      <c r="B7" s="135" t="s">
        <v>603</v>
      </c>
      <c r="C7" s="336" t="s">
        <v>908</v>
      </c>
      <c r="D7" s="115">
        <v>45594</v>
      </c>
      <c r="E7" s="115"/>
      <c r="F7" s="115">
        <v>45608</v>
      </c>
      <c r="G7" s="264" t="s">
        <v>1551</v>
      </c>
      <c r="H7" s="116" t="s">
        <v>625</v>
      </c>
      <c r="I7" s="285" t="s">
        <v>48</v>
      </c>
      <c r="J7" s="274" t="s">
        <v>627</v>
      </c>
      <c r="K7" s="264" t="s">
        <v>693</v>
      </c>
      <c r="L7" s="136">
        <v>7519</v>
      </c>
      <c r="N7" s="128"/>
      <c r="O7" s="128"/>
      <c r="P7" s="128"/>
      <c r="Q7" s="128"/>
      <c r="R7" s="128"/>
      <c r="S7" s="128"/>
      <c r="T7" s="137"/>
      <c r="U7" s="137"/>
      <c r="V7" s="137"/>
      <c r="W7" s="137"/>
      <c r="X7" s="137"/>
      <c r="Y7" s="137"/>
      <c r="Z7" s="137"/>
      <c r="AA7" s="137"/>
    </row>
    <row r="8" spans="1:27" s="138" customFormat="1" ht="54.95" customHeight="1">
      <c r="A8" s="268"/>
      <c r="B8" s="102" t="s">
        <v>604</v>
      </c>
      <c r="C8" s="337"/>
      <c r="D8" s="115" t="s">
        <v>625</v>
      </c>
      <c r="E8" s="115"/>
      <c r="F8" s="115" t="s">
        <v>626</v>
      </c>
      <c r="G8" s="266"/>
      <c r="H8" s="116" t="s">
        <v>626</v>
      </c>
      <c r="I8" s="285"/>
      <c r="J8" s="274"/>
      <c r="K8" s="298"/>
      <c r="L8" s="127"/>
      <c r="N8" s="128"/>
      <c r="O8" s="128"/>
      <c r="P8" s="128"/>
      <c r="Q8" s="128"/>
      <c r="R8" s="128"/>
      <c r="S8" s="128"/>
      <c r="T8" s="137"/>
      <c r="U8" s="137"/>
      <c r="V8" s="137"/>
      <c r="W8" s="137"/>
      <c r="X8" s="137"/>
      <c r="Y8" s="137"/>
      <c r="Z8" s="137"/>
      <c r="AA8" s="137"/>
    </row>
    <row r="9" spans="1:27" s="138" customFormat="1" ht="96.75" customHeight="1">
      <c r="A9" s="267" t="s">
        <v>1452</v>
      </c>
      <c r="B9" s="158" t="s">
        <v>1439</v>
      </c>
      <c r="C9" s="280" t="s">
        <v>597</v>
      </c>
      <c r="D9" s="115">
        <v>45667</v>
      </c>
      <c r="E9" s="115"/>
      <c r="F9" s="115">
        <v>45667</v>
      </c>
      <c r="G9" s="264" t="s">
        <v>1552</v>
      </c>
      <c r="H9" s="116" t="s">
        <v>907</v>
      </c>
      <c r="I9" s="285" t="s">
        <v>48</v>
      </c>
      <c r="J9" s="274" t="s">
        <v>730</v>
      </c>
      <c r="K9" s="264" t="s">
        <v>838</v>
      </c>
      <c r="L9" s="136">
        <v>2350</v>
      </c>
      <c r="M9" s="138">
        <f>L7+L9</f>
        <v>9869</v>
      </c>
      <c r="N9" s="128"/>
      <c r="O9" s="128"/>
      <c r="P9" s="128"/>
      <c r="Q9" s="128"/>
      <c r="R9" s="128"/>
      <c r="S9" s="128"/>
      <c r="T9" s="137"/>
      <c r="U9" s="137"/>
      <c r="V9" s="137"/>
      <c r="W9" s="137"/>
      <c r="X9" s="137"/>
      <c r="Y9" s="137"/>
      <c r="Z9" s="137"/>
      <c r="AA9" s="137"/>
    </row>
    <row r="10" spans="1:27" s="138" customFormat="1" ht="54.95" customHeight="1">
      <c r="A10" s="268"/>
      <c r="B10" s="102" t="s">
        <v>238</v>
      </c>
      <c r="C10" s="281"/>
      <c r="D10" s="115" t="s">
        <v>728</v>
      </c>
      <c r="E10" s="115"/>
      <c r="F10" s="115" t="s">
        <v>729</v>
      </c>
      <c r="G10" s="266"/>
      <c r="H10" s="116" t="s">
        <v>729</v>
      </c>
      <c r="I10" s="285"/>
      <c r="J10" s="274"/>
      <c r="K10" s="298"/>
      <c r="L10" s="127"/>
      <c r="N10" s="128"/>
      <c r="O10" s="128"/>
      <c r="P10" s="128"/>
      <c r="Q10" s="128"/>
      <c r="R10" s="128"/>
      <c r="S10" s="128"/>
      <c r="T10" s="137"/>
      <c r="U10" s="137"/>
      <c r="V10" s="137"/>
      <c r="W10" s="137"/>
      <c r="X10" s="137"/>
      <c r="Y10" s="137"/>
      <c r="Z10" s="137"/>
      <c r="AA10" s="137"/>
    </row>
    <row r="11" spans="1:27" s="142" customFormat="1" ht="49.5" customHeight="1">
      <c r="A11" s="260" t="s">
        <v>47</v>
      </c>
      <c r="B11" s="261"/>
      <c r="C11" s="262"/>
      <c r="D11" s="260" t="s">
        <v>1753</v>
      </c>
      <c r="E11" s="261"/>
      <c r="F11" s="261"/>
      <c r="G11" s="262"/>
      <c r="H11" s="332" t="s">
        <v>1755</v>
      </c>
      <c r="I11" s="332"/>
      <c r="J11" s="332"/>
      <c r="K11" s="333"/>
      <c r="M11" s="143"/>
      <c r="N11" s="143"/>
      <c r="O11" s="143"/>
      <c r="P11" s="143"/>
      <c r="Q11" s="143"/>
      <c r="R11" s="143"/>
      <c r="S11" s="143"/>
      <c r="T11" s="143"/>
      <c r="U11" s="143"/>
      <c r="V11" s="143"/>
      <c r="W11" s="143"/>
      <c r="X11" s="143"/>
      <c r="Y11" s="143"/>
      <c r="Z11" s="143"/>
      <c r="AA11" s="143"/>
    </row>
    <row r="12" spans="1:27" s="142" customFormat="1" ht="53.25" customHeight="1">
      <c r="A12" s="263" t="s">
        <v>1147</v>
      </c>
      <c r="B12" s="263"/>
      <c r="C12" s="263"/>
      <c r="D12" s="263"/>
      <c r="E12" s="263"/>
      <c r="F12" s="263"/>
      <c r="G12" s="263"/>
      <c r="H12" s="263"/>
      <c r="I12" s="263"/>
      <c r="J12" s="263"/>
      <c r="K12" s="263"/>
      <c r="M12" s="143"/>
      <c r="N12" s="143"/>
      <c r="O12" s="143"/>
      <c r="P12" s="143"/>
      <c r="Q12" s="143"/>
      <c r="R12" s="143"/>
      <c r="S12" s="143"/>
      <c r="T12" s="143"/>
      <c r="U12" s="143"/>
      <c r="V12" s="143"/>
      <c r="W12" s="143"/>
      <c r="X12" s="143"/>
      <c r="Y12" s="143"/>
      <c r="Z12" s="143"/>
      <c r="AA12" s="143"/>
    </row>
  </sheetData>
  <mergeCells count="27">
    <mergeCell ref="A1:K1"/>
    <mergeCell ref="A2:K2"/>
    <mergeCell ref="A3:G3"/>
    <mergeCell ref="H3:K3"/>
    <mergeCell ref="A4:G4"/>
    <mergeCell ref="H4:K4"/>
    <mergeCell ref="K7:K8"/>
    <mergeCell ref="A5:A6"/>
    <mergeCell ref="C5:C6"/>
    <mergeCell ref="G5:G6"/>
    <mergeCell ref="I5:I6"/>
    <mergeCell ref="J5:J6"/>
    <mergeCell ref="A7:A8"/>
    <mergeCell ref="C7:C8"/>
    <mergeCell ref="G7:G8"/>
    <mergeCell ref="I7:I8"/>
    <mergeCell ref="J7:J8"/>
    <mergeCell ref="A11:C11"/>
    <mergeCell ref="D11:G11"/>
    <mergeCell ref="H11:K11"/>
    <mergeCell ref="A12:K12"/>
    <mergeCell ref="A9:A10"/>
    <mergeCell ref="C9:C10"/>
    <mergeCell ref="G9:G10"/>
    <mergeCell ref="I9:I10"/>
    <mergeCell ref="J9:J10"/>
    <mergeCell ref="K9:K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8"/>
  <sheetViews>
    <sheetView view="pageBreakPreview" zoomScale="85" zoomScaleNormal="100" zoomScaleSheetLayoutView="85" zoomScalePageLayoutView="85" workbookViewId="0">
      <pane xSplit="1" ySplit="6" topLeftCell="B40" activePane="bottomRight" state="frozen"/>
      <selection activeCell="U14" sqref="U14"/>
      <selection pane="topRight" activeCell="U14" sqref="U14"/>
      <selection pane="bottomLeft" activeCell="U14" sqref="U14"/>
      <selection pane="bottomRight" activeCell="B36" sqref="B36"/>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375" style="130" customWidth="1"/>
    <col min="8" max="8" width="10.875" style="149" customWidth="1"/>
    <col min="9" max="9" width="4.7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86" t="s">
        <v>45</v>
      </c>
      <c r="B1" s="286"/>
      <c r="C1" s="286"/>
      <c r="D1" s="286"/>
      <c r="E1" s="286"/>
      <c r="F1" s="286"/>
      <c r="G1" s="286"/>
      <c r="H1" s="286"/>
      <c r="I1" s="286"/>
      <c r="J1" s="286"/>
      <c r="K1" s="286"/>
    </row>
    <row r="2" spans="1:21" ht="25.5" customHeight="1">
      <c r="A2" s="286" t="s">
        <v>0</v>
      </c>
      <c r="B2" s="286"/>
      <c r="C2" s="286"/>
      <c r="D2" s="286"/>
      <c r="E2" s="286"/>
      <c r="F2" s="286"/>
      <c r="G2" s="286"/>
      <c r="H2" s="286"/>
      <c r="I2" s="286"/>
      <c r="J2" s="286"/>
      <c r="K2" s="286"/>
    </row>
    <row r="3" spans="1:21"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1" ht="16.5" customHeight="1">
      <c r="A4" s="303" t="s">
        <v>40</v>
      </c>
      <c r="B4" s="303"/>
      <c r="C4" s="303"/>
      <c r="D4" s="303"/>
      <c r="E4" s="303"/>
      <c r="F4" s="303"/>
      <c r="G4" s="303"/>
      <c r="H4" s="303" t="s">
        <v>84</v>
      </c>
      <c r="I4" s="303"/>
      <c r="J4" s="303"/>
      <c r="K4" s="303"/>
    </row>
    <row r="5" spans="1:21"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21" ht="56.25" customHeight="1">
      <c r="A6" s="279"/>
      <c r="B6" s="131" t="s">
        <v>1167</v>
      </c>
      <c r="C6" s="279"/>
      <c r="D6" s="131" t="s">
        <v>1160</v>
      </c>
      <c r="E6" s="131" t="s">
        <v>1168</v>
      </c>
      <c r="F6" s="131" t="s">
        <v>51</v>
      </c>
      <c r="G6" s="279"/>
      <c r="H6" s="133" t="s">
        <v>1169</v>
      </c>
      <c r="I6" s="279"/>
      <c r="J6" s="279"/>
      <c r="K6" s="134" t="s">
        <v>1170</v>
      </c>
    </row>
    <row r="7" spans="1:21" s="138" customFormat="1" ht="65.099999999999994" customHeight="1">
      <c r="A7" s="267" t="str">
        <f>"25-1-"&amp;L7</f>
        <v>25-1-1</v>
      </c>
      <c r="B7" s="123" t="s">
        <v>603</v>
      </c>
      <c r="C7" s="280" t="s">
        <v>1875</v>
      </c>
      <c r="D7" s="115">
        <f>VLOOKUP(L7,'回填(利用填方)-1'!A:T,2,0)</f>
        <v>45592</v>
      </c>
      <c r="E7" s="115" t="e">
        <f>#REF!&amp;#REF!</f>
        <v>#REF!</v>
      </c>
      <c r="F7" s="115">
        <f>VLOOKUP(L7,'回填(利用填方)-1'!A:N,3,0)</f>
        <v>45611</v>
      </c>
      <c r="G7" s="264" t="s">
        <v>747</v>
      </c>
      <c r="H7" s="117" t="str">
        <f>VLOOKUP(L7,'回填(利用填方)-1'!A:N,8,0)&amp;CHAR(10)&amp;"M2"</f>
        <v>621.6
M2</v>
      </c>
      <c r="I7" s="285" t="s">
        <v>48</v>
      </c>
      <c r="J7" s="274" t="str">
        <f>IF(N7=0,"上  溢："&amp;O7,IF(M7=0,"任  泰："&amp;N7&amp;"                 "&amp;"上  溢："&amp;O7,
"水利處："&amp;M7&amp;"                 "&amp;"任  泰："&amp;N7&amp;"                 "&amp;"上  溢："&amp;O7))</f>
        <v>上  溢：周昱辰</v>
      </c>
      <c r="K7" s="264" t="s">
        <v>827</v>
      </c>
      <c r="L7" s="136">
        <v>1</v>
      </c>
      <c r="M7" s="128">
        <f>VLOOKUP(L7,'回填(利用填方)-1'!A:N,13,0)</f>
        <v>0</v>
      </c>
      <c r="N7" s="128">
        <f>VLOOKUP(L7,'回填(利用填方)-1'!A:N,14,0)</f>
        <v>0</v>
      </c>
      <c r="O7" s="128" t="str">
        <f>VLOOKUP(L7,'回填(利用填方)-1'!A:Z,15,0)</f>
        <v>周昱辰</v>
      </c>
      <c r="P7" s="137"/>
      <c r="Q7" s="137"/>
      <c r="R7" s="137"/>
      <c r="S7" s="137"/>
      <c r="T7" s="137"/>
      <c r="U7" s="137"/>
    </row>
    <row r="8" spans="1:21" s="138" customFormat="1" ht="45" customHeight="1">
      <c r="A8" s="268"/>
      <c r="B8" s="123" t="s">
        <v>604</v>
      </c>
      <c r="C8" s="326"/>
      <c r="D8" s="115" t="str">
        <f>VLOOKUP(L7,'回填(利用填方)-1'!A:N,7,0)&amp;CHAR(10)&amp;"M2"</f>
        <v>621.6
M2</v>
      </c>
      <c r="E8" s="115"/>
      <c r="F8" s="115" t="str">
        <f>VLOOKUP(L7,'回填(利用填方)-1'!A:N,7,0)&amp;CHAR(10)&amp;"M2"&amp;CHAR(10)&amp;"("&amp;VLOOKUP(L7,'回填(利用填方)-1'!A:N,5,0)&amp;"次)"</f>
        <v>621.6
M2
(1次)</v>
      </c>
      <c r="G8" s="275"/>
      <c r="H8" s="117" t="str">
        <f>VLOOKUP(L7,'回填(利用填方)-1'!A:N,8,0)&amp;CHAR(10)&amp;"M2"&amp;CHAR(10)&amp;"("&amp;VLOOKUP(L7,'回填(利用填方)-1'!A:N,6,0)&amp;"次)"</f>
        <v>621.6
M2
(1次)</v>
      </c>
      <c r="I8" s="285"/>
      <c r="J8" s="274"/>
      <c r="K8" s="298"/>
      <c r="L8" s="127"/>
      <c r="M8" s="128"/>
      <c r="N8" s="137"/>
      <c r="O8" s="137"/>
      <c r="P8" s="137"/>
      <c r="Q8" s="137"/>
      <c r="R8" s="137"/>
      <c r="S8" s="137"/>
      <c r="T8" s="137"/>
      <c r="U8" s="137"/>
    </row>
    <row r="9" spans="1:21" s="140" customFormat="1" ht="63.75" customHeight="1">
      <c r="A9" s="267" t="str">
        <f>"25-1-"&amp;L9</f>
        <v>25-1-2</v>
      </c>
      <c r="B9" s="123" t="s">
        <v>603</v>
      </c>
      <c r="C9" s="282"/>
      <c r="D9" s="115">
        <f>VLOOKUP(L9,'回填(利用填方)-1'!A:T,2,0)</f>
        <v>45611</v>
      </c>
      <c r="E9" s="115" t="e">
        <f>#REF!&amp;#REF!</f>
        <v>#REF!</v>
      </c>
      <c r="F9" s="115">
        <f>VLOOKUP(L9,'回填(利用填方)-1'!A:N,3,0)</f>
        <v>45612</v>
      </c>
      <c r="G9" s="275"/>
      <c r="H9" s="117" t="str">
        <f>VLOOKUP(L9,'回填(利用填方)-1'!A:N,8,0)&amp;CHAR(10)&amp;"M2"</f>
        <v>1243.2
M2</v>
      </c>
      <c r="I9" s="285" t="s">
        <v>48</v>
      </c>
      <c r="J9" s="274" t="str">
        <f>IF(N9=0,"上  溢："&amp;O9,IF(M9=0,"任  泰："&amp;N9&amp;"                 "&amp;"上  溢："&amp;O9,
"水利處："&amp;M9&amp;"                 "&amp;"任  泰："&amp;N9&amp;"                 "&amp;"上  溢："&amp;O9))</f>
        <v>上  溢：周昱辰</v>
      </c>
      <c r="K9" s="264" t="s">
        <v>827</v>
      </c>
      <c r="L9" s="136">
        <f>L7+1</f>
        <v>2</v>
      </c>
      <c r="M9" s="128">
        <f>VLOOKUP(L9,'回填(利用填方)-1'!A:N,13,0)</f>
        <v>0</v>
      </c>
      <c r="N9" s="128">
        <f>VLOOKUP(L9,'回填(利用填方)-1'!A:N,14,0)</f>
        <v>0</v>
      </c>
      <c r="O9" s="128" t="str">
        <f>VLOOKUP(L9,'回填(利用填方)-1'!A:Z,15,0)</f>
        <v>周昱辰</v>
      </c>
      <c r="P9" s="139"/>
      <c r="Q9" s="139"/>
      <c r="R9" s="139"/>
      <c r="S9" s="139"/>
      <c r="T9" s="139"/>
      <c r="U9" s="139"/>
    </row>
    <row r="10" spans="1:21" s="140" customFormat="1" ht="45" customHeight="1">
      <c r="A10" s="268"/>
      <c r="B10" s="123" t="s">
        <v>604</v>
      </c>
      <c r="C10" s="282"/>
      <c r="D10" s="115" t="str">
        <f>VLOOKUP(L9,'回填(利用填方)-1'!A:N,7,0)&amp;CHAR(10)&amp;"M2"</f>
        <v>621.6
M2</v>
      </c>
      <c r="E10" s="115"/>
      <c r="F10" s="115" t="str">
        <f>VLOOKUP(L9,'回填(利用填方)-1'!A:N,7,0)&amp;CHAR(10)&amp;"M2"&amp;CHAR(10)&amp;"("&amp;VLOOKUP(L9,'回填(利用填方)-1'!A:N,5,0)&amp;"次)"</f>
        <v>621.6
M2
(1次)</v>
      </c>
      <c r="G10" s="275"/>
      <c r="H10" s="117" t="str">
        <f>VLOOKUP(L9,'回填(利用填方)-1'!A:N,8,0)&amp;CHAR(10)&amp;"M2"&amp;CHAR(10)&amp;"("&amp;VLOOKUP(L9,'回填(利用填方)-1'!A:N,6,0)&amp;"次)"</f>
        <v>1243.2
M2
(2次)</v>
      </c>
      <c r="I10" s="285"/>
      <c r="J10" s="274"/>
      <c r="K10" s="298"/>
      <c r="L10" s="127"/>
      <c r="M10" s="128"/>
      <c r="N10" s="139"/>
      <c r="O10" s="139"/>
      <c r="P10" s="139"/>
      <c r="Q10" s="139"/>
      <c r="R10" s="139"/>
      <c r="S10" s="139"/>
      <c r="T10" s="139"/>
      <c r="U10" s="139"/>
    </row>
    <row r="11" spans="1:21" s="138" customFormat="1" ht="63.75" customHeight="1">
      <c r="A11" s="267" t="str">
        <f>"25-1-"&amp;L11</f>
        <v>25-1-3</v>
      </c>
      <c r="B11" s="123" t="s">
        <v>603</v>
      </c>
      <c r="C11" s="282"/>
      <c r="D11" s="115">
        <f>VLOOKUP(L11,'回填(利用填方)-1'!A:T,2,0)</f>
        <v>45613</v>
      </c>
      <c r="E11" s="115" t="e">
        <f>#REF!&amp;#REF!</f>
        <v>#REF!</v>
      </c>
      <c r="F11" s="115">
        <f>VLOOKUP(L11,'回填(利用填方)-1'!A:N,3,0)</f>
        <v>45621</v>
      </c>
      <c r="G11" s="275"/>
      <c r="H11" s="117" t="str">
        <f>VLOOKUP(L11,'回填(利用填方)-1'!A:N,8,0)&amp;CHAR(10)&amp;"M2"</f>
        <v>1864.8
M2</v>
      </c>
      <c r="I11" s="285" t="s">
        <v>48</v>
      </c>
      <c r="J11" s="274" t="str">
        <f>IF(N11=0,"上  溢："&amp;O11,IF(M11=0,"任  泰："&amp;N11&amp;"                 "&amp;"上  溢："&amp;O11,
"水利處："&amp;M11&amp;"                 "&amp;"任  泰："&amp;N11&amp;"                 "&amp;"上  溢："&amp;O11))</f>
        <v>上  溢：周昱辰</v>
      </c>
      <c r="K11" s="264" t="s">
        <v>827</v>
      </c>
      <c r="L11" s="136">
        <f>L9+1</f>
        <v>3</v>
      </c>
      <c r="M11" s="128">
        <f>VLOOKUP(L11,'回填(利用填方)-1'!A:N,13,0)</f>
        <v>0</v>
      </c>
      <c r="N11" s="128">
        <f>VLOOKUP(L11,'回填(利用填方)-1'!A:N,14,0)</f>
        <v>0</v>
      </c>
      <c r="O11" s="128" t="str">
        <f>VLOOKUP(L11,'回填(利用填方)-1'!A:Z,15,0)</f>
        <v>周昱辰</v>
      </c>
      <c r="P11" s="137"/>
      <c r="Q11" s="137"/>
      <c r="R11" s="137"/>
      <c r="S11" s="137"/>
      <c r="T11" s="137"/>
      <c r="U11" s="137"/>
    </row>
    <row r="12" spans="1:21" s="138" customFormat="1" ht="45" customHeight="1">
      <c r="A12" s="268"/>
      <c r="B12" s="123" t="s">
        <v>604</v>
      </c>
      <c r="C12" s="282"/>
      <c r="D12" s="115" t="str">
        <f>VLOOKUP(L11,'回填(利用填方)-1'!A:N,7,0)&amp;CHAR(10)&amp;"M2"</f>
        <v>621.6
M2</v>
      </c>
      <c r="E12" s="115"/>
      <c r="F12" s="115" t="str">
        <f>VLOOKUP(L11,'回填(利用填方)-1'!A:N,7,0)&amp;CHAR(10)&amp;"M2"&amp;CHAR(10)&amp;"("&amp;VLOOKUP(L11,'回填(利用填方)-1'!A:N,5,0)&amp;"次)"</f>
        <v>621.6
M2
(1次)</v>
      </c>
      <c r="G12" s="275"/>
      <c r="H12" s="117" t="str">
        <f>VLOOKUP(L11,'回填(利用填方)-1'!A:N,8,0)&amp;CHAR(10)&amp;"M2"&amp;CHAR(10)&amp;"("&amp;VLOOKUP(L11,'回填(利用填方)-1'!A:N,6,0)&amp;"次)"</f>
        <v>1864.8
M2
(3次)</v>
      </c>
      <c r="I12" s="285"/>
      <c r="J12" s="274"/>
      <c r="K12" s="298"/>
      <c r="L12" s="127"/>
      <c r="M12" s="128"/>
      <c r="N12" s="137"/>
      <c r="O12" s="137"/>
      <c r="P12" s="137"/>
      <c r="Q12" s="137"/>
      <c r="R12" s="137"/>
      <c r="S12" s="137"/>
      <c r="T12" s="137"/>
      <c r="U12" s="137"/>
    </row>
    <row r="13" spans="1:21" s="138" customFormat="1" ht="63.75" customHeight="1">
      <c r="A13" s="267" t="str">
        <f>"25-1-"&amp;L13</f>
        <v>25-1-4</v>
      </c>
      <c r="B13" s="123" t="s">
        <v>603</v>
      </c>
      <c r="C13" s="282"/>
      <c r="D13" s="115">
        <f>VLOOKUP(L13,'回填(利用填方)-1'!A:T,2,0)</f>
        <v>45621</v>
      </c>
      <c r="E13" s="115" t="e">
        <f>#REF!&amp;#REF!</f>
        <v>#REF!</v>
      </c>
      <c r="F13" s="115">
        <f>VLOOKUP(L13,'回填(利用填方)-1'!A:N,3,0)</f>
        <v>45623</v>
      </c>
      <c r="G13" s="275"/>
      <c r="H13" s="117" t="str">
        <f>VLOOKUP(L13,'回填(利用填方)-1'!A:N,8,0)&amp;CHAR(10)&amp;"M2"</f>
        <v>2486.4
M2</v>
      </c>
      <c r="I13" s="285" t="s">
        <v>48</v>
      </c>
      <c r="J13" s="274" t="str">
        <f>IF(N13=0,"上  溢："&amp;O13,IF(M13=0,"任  泰："&amp;N13&amp;"                 "&amp;"上  溢："&amp;O13,
"水利處："&amp;M13&amp;"                 "&amp;"任  泰："&amp;N13&amp;"                 "&amp;"上  溢："&amp;O13))</f>
        <v>上  溢：周昱辰</v>
      </c>
      <c r="K13" s="264" t="s">
        <v>827</v>
      </c>
      <c r="L13" s="136">
        <f>L11+1</f>
        <v>4</v>
      </c>
      <c r="M13" s="128">
        <f>VLOOKUP(L13,'回填(利用填方)-1'!A:N,13,0)</f>
        <v>0</v>
      </c>
      <c r="N13" s="128">
        <f>VLOOKUP(L13,'回填(利用填方)-1'!A:N,14,0)</f>
        <v>0</v>
      </c>
      <c r="O13" s="128" t="str">
        <f>VLOOKUP(L13,'回填(利用填方)-1'!A:Z,15,0)</f>
        <v>周昱辰</v>
      </c>
      <c r="P13" s="137"/>
      <c r="Q13" s="137"/>
      <c r="R13" s="137"/>
      <c r="S13" s="137"/>
      <c r="T13" s="137"/>
      <c r="U13" s="137"/>
    </row>
    <row r="14" spans="1:21" s="138" customFormat="1" ht="45" customHeight="1">
      <c r="A14" s="268"/>
      <c r="B14" s="123" t="s">
        <v>604</v>
      </c>
      <c r="C14" s="282"/>
      <c r="D14" s="115" t="str">
        <f>VLOOKUP(L13,'回填(利用填方)-1'!A:N,7,0)&amp;CHAR(10)&amp;"M2"</f>
        <v>621.6
M2</v>
      </c>
      <c r="E14" s="115"/>
      <c r="F14" s="115" t="str">
        <f>VLOOKUP(L13,'回填(利用填方)-1'!A:N,7,0)&amp;CHAR(10)&amp;"M2"&amp;CHAR(10)&amp;"("&amp;VLOOKUP(L13,'回填(利用填方)-1'!A:N,5,0)&amp;"次)"</f>
        <v>621.6
M2
(1次)</v>
      </c>
      <c r="G14" s="275"/>
      <c r="H14" s="117" t="str">
        <f>VLOOKUP(L13,'回填(利用填方)-1'!A:N,8,0)&amp;CHAR(10)&amp;"M2"&amp;CHAR(10)&amp;"("&amp;VLOOKUP(L13,'回填(利用填方)-1'!A:N,6,0)&amp;"次)"</f>
        <v>2486.4
M2
(4次)</v>
      </c>
      <c r="I14" s="285"/>
      <c r="J14" s="274"/>
      <c r="K14" s="298"/>
      <c r="L14" s="127"/>
      <c r="M14" s="128"/>
      <c r="N14" s="137"/>
      <c r="O14" s="137"/>
      <c r="P14" s="137"/>
      <c r="Q14" s="137"/>
      <c r="R14" s="137"/>
      <c r="S14" s="137"/>
      <c r="T14" s="137"/>
      <c r="U14" s="137"/>
    </row>
    <row r="15" spans="1:21" s="138" customFormat="1" ht="63.75" customHeight="1">
      <c r="A15" s="267" t="str">
        <f>"25-1-"&amp;L15</f>
        <v>25-1-5</v>
      </c>
      <c r="B15" s="123" t="s">
        <v>603</v>
      </c>
      <c r="C15" s="282"/>
      <c r="D15" s="115">
        <f>VLOOKUP(L15,'回填(利用填方)-1'!A:T,2,0)</f>
        <v>45623</v>
      </c>
      <c r="E15" s="115" t="e">
        <f>#REF!&amp;#REF!</f>
        <v>#REF!</v>
      </c>
      <c r="F15" s="115">
        <f>VLOOKUP(L15,'回填(利用填方)-1'!A:N,3,0)</f>
        <v>45624</v>
      </c>
      <c r="G15" s="275"/>
      <c r="H15" s="117" t="str">
        <f>VLOOKUP(L15,'回填(利用填方)-1'!A:N,8,0)&amp;CHAR(10)&amp;"M2"</f>
        <v>3108
M2</v>
      </c>
      <c r="I15" s="285" t="s">
        <v>48</v>
      </c>
      <c r="J15" s="274" t="str">
        <f>IF(N15=0,"上  溢："&amp;O15,IF(M15=0,"任  泰："&amp;N15&amp;"                 "&amp;"上  溢："&amp;O15,
"水利處："&amp;M15&amp;"                 "&amp;"任  泰："&amp;N15&amp;"                 "&amp;"上  溢："&amp;O15))</f>
        <v>水利處：李晏然                 任  泰：王淑慧                 上  溢：李建豪</v>
      </c>
      <c r="K15" s="264" t="s">
        <v>827</v>
      </c>
      <c r="L15" s="136">
        <f>L13+1</f>
        <v>5</v>
      </c>
      <c r="M15" s="128" t="str">
        <f>VLOOKUP(L15,'回填(利用填方)-1'!A:N,13,0)</f>
        <v>李晏然</v>
      </c>
      <c r="N15" s="128" t="str">
        <f>VLOOKUP(L15,'回填(利用填方)-1'!A:N,14,0)</f>
        <v>王淑慧</v>
      </c>
      <c r="O15" s="128" t="str">
        <f>VLOOKUP(L15,'回填(利用填方)-1'!A:Z,15,0)</f>
        <v>李建豪</v>
      </c>
      <c r="P15" s="137"/>
      <c r="Q15" s="137"/>
      <c r="R15" s="137"/>
      <c r="S15" s="137"/>
      <c r="T15" s="137"/>
      <c r="U15" s="137"/>
    </row>
    <row r="16" spans="1:21" s="138" customFormat="1" ht="45" customHeight="1">
      <c r="A16" s="268"/>
      <c r="B16" s="123" t="s">
        <v>604</v>
      </c>
      <c r="C16" s="282"/>
      <c r="D16" s="115" t="str">
        <f>VLOOKUP(L15,'回填(利用填方)-1'!A:N,7,0)&amp;CHAR(10)&amp;"M2"</f>
        <v>621.6
M2</v>
      </c>
      <c r="E16" s="115"/>
      <c r="F16" s="115" t="str">
        <f>VLOOKUP(L15,'回填(利用填方)-1'!A:N,7,0)&amp;CHAR(10)&amp;"M2"&amp;CHAR(10)&amp;"("&amp;VLOOKUP(L15,'回填(利用填方)-1'!A:N,5,0)&amp;"次)"</f>
        <v>621.6
M2
(1次)</v>
      </c>
      <c r="G16" s="275"/>
      <c r="H16" s="117" t="str">
        <f>VLOOKUP(L15,'回填(利用填方)-1'!A:N,8,0)&amp;CHAR(10)&amp;"M2"&amp;CHAR(10)&amp;"("&amp;VLOOKUP(L15,'回填(利用填方)-1'!A:N,6,0)&amp;"次)"</f>
        <v>3108
M2
(5次)</v>
      </c>
      <c r="I16" s="285"/>
      <c r="J16" s="274"/>
      <c r="K16" s="298"/>
      <c r="L16" s="127"/>
      <c r="M16" s="128"/>
      <c r="N16" s="137"/>
      <c r="O16" s="137"/>
      <c r="P16" s="137"/>
      <c r="Q16" s="137"/>
      <c r="R16" s="137"/>
      <c r="S16" s="137"/>
      <c r="T16" s="137"/>
      <c r="U16" s="137"/>
    </row>
    <row r="17" spans="1:21" s="140" customFormat="1" ht="63.75" customHeight="1">
      <c r="A17" s="267" t="str">
        <f>"25-1-"&amp;L17</f>
        <v>25-1-6</v>
      </c>
      <c r="B17" s="123" t="s">
        <v>603</v>
      </c>
      <c r="C17" s="282"/>
      <c r="D17" s="115">
        <f>VLOOKUP(L17,'回填(利用填方)-1'!A:T,2,0)</f>
        <v>45625</v>
      </c>
      <c r="E17" s="115" t="e">
        <f>#REF!&amp;#REF!</f>
        <v>#REF!</v>
      </c>
      <c r="F17" s="115">
        <f>VLOOKUP(L17,'回填(利用填方)-1'!A:N,3,0)</f>
        <v>45629</v>
      </c>
      <c r="G17" s="275"/>
      <c r="H17" s="117" t="str">
        <f>VLOOKUP(L17,'回填(利用填方)-1'!A:N,8,0)&amp;CHAR(10)&amp;"M2"</f>
        <v>3729.6
M2</v>
      </c>
      <c r="I17" s="285" t="s">
        <v>48</v>
      </c>
      <c r="J17" s="280" t="str">
        <f>IF(N17=0,"上  溢："&amp;O17,IF(M17=0,"任  泰："&amp;N17&amp;"                 "&amp;"上  溢："&amp;O17,
"水利處："&amp;M17&amp;"                 "&amp;"任  泰："&amp;N17&amp;"                 "&amp;"上  溢："&amp;O17))</f>
        <v>上  溢：胡舜豪</v>
      </c>
      <c r="K17" s="264" t="s">
        <v>827</v>
      </c>
      <c r="L17" s="136">
        <f>L15+1</f>
        <v>6</v>
      </c>
      <c r="M17" s="128">
        <f>VLOOKUP(L17,'回填(利用填方)-1'!A:N,13,0)</f>
        <v>0</v>
      </c>
      <c r="N17" s="128">
        <f>VLOOKUP(L17,'回填(利用填方)-1'!A:N,14,0)</f>
        <v>0</v>
      </c>
      <c r="O17" s="128" t="str">
        <f>VLOOKUP(L17,'回填(利用填方)-1'!A:Z,15,0)</f>
        <v>胡舜豪</v>
      </c>
      <c r="P17" s="139"/>
      <c r="Q17" s="139"/>
      <c r="R17" s="139"/>
      <c r="S17" s="139"/>
      <c r="T17" s="139"/>
      <c r="U17" s="139"/>
    </row>
    <row r="18" spans="1:21" s="140" customFormat="1" ht="45" customHeight="1">
      <c r="A18" s="268"/>
      <c r="B18" s="123" t="s">
        <v>604</v>
      </c>
      <c r="C18" s="265"/>
      <c r="D18" s="115" t="str">
        <f>VLOOKUP(L17,'回填(利用填方)-1'!A:N,7,0)&amp;CHAR(10)&amp;"M2"</f>
        <v>621.6
M2</v>
      </c>
      <c r="E18" s="115"/>
      <c r="F18" s="115" t="str">
        <f>VLOOKUP(L17,'回填(利用填方)-1'!A:N,7,0)&amp;CHAR(10)&amp;"M2"&amp;CHAR(10)&amp;"("&amp;VLOOKUP(L17,'回填(利用填方)-1'!A:N,5,0)&amp;"次)"</f>
        <v>621.6
M2
(1次)</v>
      </c>
      <c r="G18" s="266"/>
      <c r="H18" s="117" t="str">
        <f>VLOOKUP(L17,'回填(利用填方)-1'!A:N,8,0)&amp;CHAR(10)&amp;"M2"&amp;CHAR(10)&amp;"("&amp;VLOOKUP(L17,'回填(利用填方)-1'!A:N,6,0)&amp;"次)"</f>
        <v>3729.6
M2
(6次)</v>
      </c>
      <c r="I18" s="285"/>
      <c r="J18" s="281"/>
      <c r="K18" s="298"/>
      <c r="L18" s="127"/>
      <c r="M18" s="128"/>
      <c r="N18" s="139"/>
      <c r="O18" s="139"/>
      <c r="P18" s="139"/>
      <c r="Q18" s="139"/>
      <c r="R18" s="139"/>
      <c r="S18" s="139"/>
      <c r="T18" s="139"/>
      <c r="U18" s="139"/>
    </row>
    <row r="19" spans="1:21" s="142" customFormat="1" ht="49.5" customHeight="1">
      <c r="A19" s="260" t="s">
        <v>47</v>
      </c>
      <c r="B19" s="261"/>
      <c r="C19" s="262"/>
      <c r="D19" s="260" t="s">
        <v>1753</v>
      </c>
      <c r="E19" s="261"/>
      <c r="F19" s="261"/>
      <c r="G19" s="262"/>
      <c r="H19" s="332" t="s">
        <v>1755</v>
      </c>
      <c r="I19" s="332"/>
      <c r="J19" s="332"/>
      <c r="K19" s="333"/>
      <c r="M19" s="143"/>
      <c r="N19" s="143"/>
      <c r="O19" s="143"/>
      <c r="P19" s="143"/>
      <c r="Q19" s="143"/>
      <c r="R19" s="143"/>
      <c r="S19" s="143"/>
      <c r="T19" s="143"/>
      <c r="U19" s="143"/>
    </row>
    <row r="20" spans="1:21" s="142" customFormat="1" ht="42.75" customHeight="1">
      <c r="A20" s="324" t="s">
        <v>1188</v>
      </c>
      <c r="B20" s="324"/>
      <c r="C20" s="324"/>
      <c r="D20" s="324"/>
      <c r="E20" s="324"/>
      <c r="F20" s="324"/>
      <c r="G20" s="324"/>
      <c r="H20" s="324"/>
      <c r="I20" s="324"/>
      <c r="J20" s="324"/>
      <c r="K20" s="324"/>
      <c r="M20" s="143"/>
      <c r="N20" s="143"/>
      <c r="O20" s="143"/>
      <c r="P20" s="143"/>
      <c r="Q20" s="143"/>
      <c r="R20" s="143"/>
      <c r="S20" s="143"/>
      <c r="T20" s="143"/>
      <c r="U20" s="143"/>
    </row>
    <row r="21" spans="1:21" s="138" customFormat="1" ht="63.75" customHeight="1">
      <c r="A21" s="267" t="str">
        <f>"25-1-"&amp;L21</f>
        <v>25-1-7</v>
      </c>
      <c r="B21" s="123" t="s">
        <v>603</v>
      </c>
      <c r="C21" s="280" t="s">
        <v>1875</v>
      </c>
      <c r="D21" s="115">
        <f>VLOOKUP(L21,'回填(利用填方)-1'!A:T,2,0)</f>
        <v>45647</v>
      </c>
      <c r="E21" s="115" t="e">
        <f>#REF!&amp;#REF!</f>
        <v>#REF!</v>
      </c>
      <c r="F21" s="115">
        <f>VLOOKUP(L21,'回填(利用填方)-1'!A:N,3,0)</f>
        <v>45652</v>
      </c>
      <c r="G21" s="264" t="s">
        <v>747</v>
      </c>
      <c r="H21" s="117" t="str">
        <f>VLOOKUP(L21,'回填(利用填方)-1'!A:N,8,0)&amp;CHAR(10)&amp;"M2"</f>
        <v>3954
M2</v>
      </c>
      <c r="I21" s="285" t="s">
        <v>48</v>
      </c>
      <c r="J21" s="280" t="str">
        <f t="shared" ref="J21" si="0">IF(N21=0,"上  溢："&amp;O21,IF(M21=0,"任  泰："&amp;N21&amp;"                 "&amp;"上  溢："&amp;O21,
"水利處："&amp;M21&amp;"                 "&amp;"任  泰："&amp;N21&amp;"                 "&amp;"上  溢："&amp;O21))</f>
        <v>上  溢：周昱辰</v>
      </c>
      <c r="K21" s="264" t="s">
        <v>970</v>
      </c>
      <c r="L21" s="136">
        <f>L17+1</f>
        <v>7</v>
      </c>
      <c r="M21" s="128">
        <f>VLOOKUP(L21,'回填(利用填方)-1'!A:N,13,0)</f>
        <v>0</v>
      </c>
      <c r="N21" s="128">
        <f>VLOOKUP(L21,'回填(利用填方)-1'!A:N,14,0)</f>
        <v>0</v>
      </c>
      <c r="O21" s="128" t="str">
        <f>VLOOKUP(L21,'回填(利用填方)-1'!A:Z,15,0)</f>
        <v>周昱辰</v>
      </c>
      <c r="P21" s="137"/>
      <c r="Q21" s="137"/>
      <c r="R21" s="137"/>
      <c r="S21" s="137"/>
      <c r="T21" s="137"/>
      <c r="U21" s="137"/>
    </row>
    <row r="22" spans="1:21" s="138" customFormat="1" ht="45" customHeight="1">
      <c r="A22" s="268"/>
      <c r="B22" s="123" t="s">
        <v>604</v>
      </c>
      <c r="C22" s="326"/>
      <c r="D22" s="115" t="str">
        <f>VLOOKUP(L21,'回填(利用填方)-1'!A:N,7,0)&amp;CHAR(10)&amp;"M2"</f>
        <v>224.4
M2</v>
      </c>
      <c r="E22" s="115"/>
      <c r="F22" s="115" t="str">
        <f>VLOOKUP(L21,'回填(利用填方)-1'!A:N,7,0)&amp;CHAR(10)&amp;"M2"&amp;CHAR(10)&amp;"("&amp;VLOOKUP(L21,'回填(利用填方)-1'!A:N,5,0)&amp;"次)"</f>
        <v>224.4
M2
(1次)</v>
      </c>
      <c r="G22" s="282"/>
      <c r="H22" s="117" t="str">
        <f>VLOOKUP(L21,'回填(利用填方)-1'!A:N,8,0)&amp;CHAR(10)&amp;"M2"&amp;CHAR(10)&amp;"("&amp;VLOOKUP(L21,'回填(利用填方)-1'!A:N,6,0)&amp;"次)"</f>
        <v>3954
M2
(7次)</v>
      </c>
      <c r="I22" s="285"/>
      <c r="J22" s="281"/>
      <c r="K22" s="298"/>
      <c r="L22" s="127"/>
      <c r="M22" s="128"/>
      <c r="N22" s="137"/>
      <c r="O22" s="137"/>
      <c r="P22" s="137"/>
      <c r="Q22" s="137"/>
      <c r="R22" s="137"/>
      <c r="S22" s="137"/>
      <c r="T22" s="137"/>
      <c r="U22" s="137"/>
    </row>
    <row r="23" spans="1:21" s="138" customFormat="1" ht="63.75" customHeight="1">
      <c r="A23" s="267" t="str">
        <f>"25-1-"&amp;L23</f>
        <v>25-1-8</v>
      </c>
      <c r="B23" s="123" t="s">
        <v>603</v>
      </c>
      <c r="C23" s="282"/>
      <c r="D23" s="115">
        <f>VLOOKUP(L23,'回填(利用填方)-1'!A:T,2,0)</f>
        <v>45652</v>
      </c>
      <c r="E23" s="115" t="e">
        <f>#REF!&amp;#REF!</f>
        <v>#REF!</v>
      </c>
      <c r="F23" s="115">
        <f>VLOOKUP(L23,'回填(利用填方)-1'!A:N,3,0)</f>
        <v>45653</v>
      </c>
      <c r="G23" s="282"/>
      <c r="H23" s="117" t="str">
        <f>VLOOKUP(L23,'回填(利用填方)-1'!A:N,8,0)&amp;CHAR(10)&amp;"M2"</f>
        <v>4178.4
M2</v>
      </c>
      <c r="I23" s="285" t="s">
        <v>48</v>
      </c>
      <c r="J23" s="280" t="str">
        <f t="shared" ref="J23" si="1">IF(N23=0,"上  溢："&amp;O23,IF(M23=0,"任  泰："&amp;N23&amp;"                 "&amp;"上  溢："&amp;O23,
"水利處："&amp;M23&amp;"                 "&amp;"任  泰："&amp;N23&amp;"                 "&amp;"上  溢："&amp;O23))</f>
        <v>上  溢：李健豪</v>
      </c>
      <c r="K23" s="264" t="s">
        <v>970</v>
      </c>
      <c r="L23" s="136">
        <f>L21+1</f>
        <v>8</v>
      </c>
      <c r="M23" s="128">
        <f>VLOOKUP(L23,'回填(利用填方)-1'!A:N,13,0)</f>
        <v>0</v>
      </c>
      <c r="N23" s="128">
        <f>VLOOKUP(L23,'回填(利用填方)-1'!A:N,14,0)</f>
        <v>0</v>
      </c>
      <c r="O23" s="128" t="str">
        <f>VLOOKUP(L23,'回填(利用填方)-1'!A:Z,15,0)</f>
        <v>李健豪</v>
      </c>
      <c r="P23" s="137"/>
      <c r="Q23" s="137"/>
      <c r="R23" s="137"/>
      <c r="S23" s="137"/>
      <c r="T23" s="137"/>
      <c r="U23" s="137"/>
    </row>
    <row r="24" spans="1:21" s="138" customFormat="1" ht="45" customHeight="1">
      <c r="A24" s="268"/>
      <c r="B24" s="123" t="s">
        <v>604</v>
      </c>
      <c r="C24" s="282"/>
      <c r="D24" s="115" t="str">
        <f>VLOOKUP(L23,'回填(利用填方)-1'!A:N,7,0)&amp;CHAR(10)&amp;"M2"</f>
        <v>224.4
M2</v>
      </c>
      <c r="E24" s="115"/>
      <c r="F24" s="115" t="str">
        <f>VLOOKUP(L23,'回填(利用填方)-1'!A:N,7,0)&amp;CHAR(10)&amp;"M2"&amp;CHAR(10)&amp;"("&amp;VLOOKUP(L23,'回填(利用填方)-1'!A:N,5,0)&amp;"次)"</f>
        <v>224.4
M2
(1次)</v>
      </c>
      <c r="G24" s="282"/>
      <c r="H24" s="117" t="str">
        <f>VLOOKUP(L23,'回填(利用填方)-1'!A:N,8,0)&amp;CHAR(10)&amp;"M2"&amp;CHAR(10)&amp;"("&amp;VLOOKUP(L23,'回填(利用填方)-1'!A:N,6,0)&amp;"次)"</f>
        <v>4178.4
M2
(8次)</v>
      </c>
      <c r="I24" s="285"/>
      <c r="J24" s="281"/>
      <c r="K24" s="298"/>
      <c r="L24" s="127"/>
      <c r="M24" s="128"/>
      <c r="N24" s="137"/>
      <c r="O24" s="137"/>
      <c r="P24" s="137"/>
      <c r="Q24" s="137"/>
      <c r="R24" s="137"/>
      <c r="S24" s="137"/>
      <c r="T24" s="137"/>
      <c r="U24" s="137"/>
    </row>
    <row r="25" spans="1:21" s="138" customFormat="1" ht="63.75" customHeight="1">
      <c r="A25" s="267" t="str">
        <f>"25-1-"&amp;L25</f>
        <v>25-1-9</v>
      </c>
      <c r="B25" s="123" t="s">
        <v>603</v>
      </c>
      <c r="C25" s="282"/>
      <c r="D25" s="115">
        <f>VLOOKUP(L25,'回填(利用填方)-1'!A:T,2,0)</f>
        <v>45653</v>
      </c>
      <c r="E25" s="115" t="e">
        <f>#REF!&amp;#REF!</f>
        <v>#REF!</v>
      </c>
      <c r="F25" s="115">
        <f>VLOOKUP(L25,'回填(利用填方)-1'!A:N,3,0)</f>
        <v>45653</v>
      </c>
      <c r="G25" s="282"/>
      <c r="H25" s="117" t="str">
        <f>VLOOKUP(L25,'回填(利用填方)-1'!A:N,8,0)&amp;CHAR(10)&amp;"M2"</f>
        <v>4402.8
M2</v>
      </c>
      <c r="I25" s="285" t="s">
        <v>48</v>
      </c>
      <c r="J25" s="274" t="str">
        <f>IF(N25=0,"上  溢："&amp;O25,IF(M25=0,"任  泰："&amp;N25&amp;"                 "&amp;"上  溢："&amp;O25,
"水利處："&amp;M25&amp;"                 "&amp;"任  泰："&amp;N25&amp;"                 "&amp;"上  溢："&amp;O25))</f>
        <v>上  溢：李健豪</v>
      </c>
      <c r="K25" s="264" t="s">
        <v>970</v>
      </c>
      <c r="L25" s="136">
        <f>L23+1</f>
        <v>9</v>
      </c>
      <c r="M25" s="128">
        <f>VLOOKUP(L25,'回填(利用填方)-1'!A:N,13,0)</f>
        <v>0</v>
      </c>
      <c r="N25" s="128">
        <f>VLOOKUP(L25,'回填(利用填方)-1'!A:N,14,0)</f>
        <v>0</v>
      </c>
      <c r="O25" s="128" t="str">
        <f>VLOOKUP(L25,'回填(利用填方)-1'!A:Z,15,0)</f>
        <v>李健豪</v>
      </c>
      <c r="P25" s="137"/>
      <c r="Q25" s="137"/>
      <c r="R25" s="137"/>
      <c r="S25" s="137"/>
      <c r="T25" s="137"/>
      <c r="U25" s="137"/>
    </row>
    <row r="26" spans="1:21" s="138" customFormat="1" ht="45" customHeight="1">
      <c r="A26" s="268"/>
      <c r="B26" s="123" t="s">
        <v>604</v>
      </c>
      <c r="C26" s="282"/>
      <c r="D26" s="115" t="str">
        <f>VLOOKUP(L25,'回填(利用填方)-1'!A:N,7,0)&amp;CHAR(10)&amp;"M2"</f>
        <v>224.4
M2</v>
      </c>
      <c r="E26" s="115"/>
      <c r="F26" s="115" t="str">
        <f>VLOOKUP(L25,'回填(利用填方)-1'!A:N,7,0)&amp;CHAR(10)&amp;"M2"&amp;CHAR(10)&amp;"("&amp;VLOOKUP(L25,'回填(利用填方)-1'!A:N,5,0)&amp;"次)"</f>
        <v>224.4
M2
(1次)</v>
      </c>
      <c r="G26" s="282"/>
      <c r="H26" s="117" t="str">
        <f>VLOOKUP(L25,'回填(利用填方)-1'!A:N,8,0)&amp;CHAR(10)&amp;"M2"&amp;CHAR(10)&amp;"("&amp;VLOOKUP(L25,'回填(利用填方)-1'!A:N,6,0)&amp;"次)"</f>
        <v>4402.8
M2
(9次)</v>
      </c>
      <c r="I26" s="285"/>
      <c r="J26" s="274"/>
      <c r="K26" s="298"/>
      <c r="L26" s="127"/>
      <c r="M26" s="128"/>
      <c r="N26" s="137"/>
      <c r="O26" s="137"/>
      <c r="P26" s="137"/>
      <c r="Q26" s="137"/>
      <c r="R26" s="137"/>
      <c r="S26" s="137"/>
      <c r="T26" s="137"/>
      <c r="U26" s="137"/>
    </row>
    <row r="27" spans="1:21" s="140" customFormat="1" ht="63.75" customHeight="1">
      <c r="A27" s="267" t="str">
        <f>"25-1-"&amp;L27</f>
        <v>25-1-10</v>
      </c>
      <c r="B27" s="123" t="s">
        <v>603</v>
      </c>
      <c r="C27" s="282"/>
      <c r="D27" s="115">
        <f>VLOOKUP(L27,'回填(利用填方)-1'!A:T,2,0)</f>
        <v>45654</v>
      </c>
      <c r="E27" s="115" t="e">
        <f>#REF!&amp;#REF!</f>
        <v>#REF!</v>
      </c>
      <c r="F27" s="115">
        <f>VLOOKUP(L27,'回填(利用填方)-1'!A:N,3,0)</f>
        <v>45657</v>
      </c>
      <c r="G27" s="282"/>
      <c r="H27" s="117" t="str">
        <f>VLOOKUP(L27,'回填(利用填方)-1'!A:N,8,0)&amp;CHAR(10)&amp;"M2"</f>
        <v>4627.2
M2</v>
      </c>
      <c r="I27" s="285" t="s">
        <v>48</v>
      </c>
      <c r="J27" s="280" t="str">
        <f>IF(N27=0,"上  溢："&amp;O27,IF(M27=0,"任  泰："&amp;N27&amp;"                 "&amp;"上  溢："&amp;O27,
"水利處："&amp;M27&amp;"                 "&amp;"任  泰："&amp;N27&amp;"                 "&amp;"上  溢："&amp;O27))</f>
        <v>任  泰：王淑慧                 上  溢：周昱辰</v>
      </c>
      <c r="K27" s="264" t="s">
        <v>970</v>
      </c>
      <c r="L27" s="136">
        <f>L25+1</f>
        <v>10</v>
      </c>
      <c r="M27" s="128">
        <f>VLOOKUP(L27,'回填(利用填方)-1'!A:N,13,0)</f>
        <v>0</v>
      </c>
      <c r="N27" s="128" t="str">
        <f>VLOOKUP(L27,'回填(利用填方)-1'!A:N,14,0)</f>
        <v>王淑慧</v>
      </c>
      <c r="O27" s="128" t="str">
        <f>VLOOKUP(L27,'回填(利用填方)-1'!A:Z,15,0)</f>
        <v>周昱辰</v>
      </c>
      <c r="P27" s="139"/>
      <c r="Q27" s="139"/>
      <c r="R27" s="139"/>
      <c r="S27" s="139"/>
      <c r="T27" s="139"/>
      <c r="U27" s="139"/>
    </row>
    <row r="28" spans="1:21" s="140" customFormat="1" ht="45" customHeight="1">
      <c r="A28" s="268"/>
      <c r="B28" s="123" t="s">
        <v>604</v>
      </c>
      <c r="C28" s="282"/>
      <c r="D28" s="115" t="str">
        <f>VLOOKUP(L27,'回填(利用填方)-1'!A:N,7,0)&amp;CHAR(10)&amp;"M2"</f>
        <v>224.4
M2</v>
      </c>
      <c r="E28" s="115"/>
      <c r="F28" s="115" t="str">
        <f>VLOOKUP(L27,'回填(利用填方)-1'!A:N,7,0)&amp;CHAR(10)&amp;"M2"&amp;CHAR(10)&amp;"("&amp;VLOOKUP(L27,'回填(利用填方)-1'!A:N,5,0)&amp;"次)"</f>
        <v>224.4
M2
(1次)</v>
      </c>
      <c r="G28" s="282"/>
      <c r="H28" s="117" t="str">
        <f>VLOOKUP(L27,'回填(利用填方)-1'!A:N,8,0)&amp;CHAR(10)&amp;"M2"&amp;CHAR(10)&amp;"("&amp;VLOOKUP(L27,'回填(利用填方)-1'!A:N,6,0)&amp;"次)"</f>
        <v>4627.2
M2
(10次)</v>
      </c>
      <c r="I28" s="285"/>
      <c r="J28" s="281"/>
      <c r="K28" s="298"/>
      <c r="L28" s="127"/>
      <c r="M28" s="128"/>
      <c r="N28" s="139"/>
      <c r="O28" s="139"/>
      <c r="P28" s="139"/>
      <c r="Q28" s="139"/>
      <c r="R28" s="139"/>
      <c r="S28" s="139"/>
      <c r="T28" s="139"/>
      <c r="U28" s="139"/>
    </row>
    <row r="29" spans="1:21" s="138" customFormat="1" ht="63.75" customHeight="1">
      <c r="A29" s="267" t="str">
        <f>"25-1-"&amp;L29</f>
        <v>25-1-11</v>
      </c>
      <c r="B29" s="123" t="s">
        <v>603</v>
      </c>
      <c r="C29" s="282"/>
      <c r="D29" s="115">
        <f>VLOOKUP(L29,'回填(利用填方)-1'!A:T,2,0)</f>
        <v>45657</v>
      </c>
      <c r="E29" s="115" t="e">
        <f>#REF!&amp;#REF!</f>
        <v>#REF!</v>
      </c>
      <c r="F29" s="115">
        <f>VLOOKUP(L29,'回填(利用填方)-1'!A:N,3,0)</f>
        <v>45657</v>
      </c>
      <c r="G29" s="282"/>
      <c r="H29" s="117" t="str">
        <f>VLOOKUP(L29,'回填(利用填方)-1'!A:N,8,0)&amp;CHAR(10)&amp;"M2"</f>
        <v>4851.6
M2</v>
      </c>
      <c r="I29" s="285" t="s">
        <v>48</v>
      </c>
      <c r="J29" s="280" t="str">
        <f t="shared" ref="J29" si="2">IF(N29=0,"上  溢："&amp;O29,IF(M29=0,"任  泰："&amp;N29&amp;"                 "&amp;"上  溢："&amp;O29,
"水利處："&amp;M29&amp;"                 "&amp;"任  泰："&amp;N29&amp;"                 "&amp;"上  溢："&amp;O29))</f>
        <v>上  溢：周昱辰</v>
      </c>
      <c r="K29" s="264" t="s">
        <v>970</v>
      </c>
      <c r="L29" s="136">
        <f>L27+1</f>
        <v>11</v>
      </c>
      <c r="M29" s="128">
        <f>VLOOKUP(L29,'回填(利用填方)-1'!A:N,13,0)</f>
        <v>0</v>
      </c>
      <c r="N29" s="128">
        <f>VLOOKUP(L29,'回填(利用填方)-1'!A:N,14,0)</f>
        <v>0</v>
      </c>
      <c r="O29" s="128" t="str">
        <f>VLOOKUP(L29,'回填(利用填方)-1'!A:Z,15,0)</f>
        <v>周昱辰</v>
      </c>
      <c r="P29" s="137"/>
      <c r="Q29" s="137"/>
      <c r="R29" s="137"/>
      <c r="S29" s="137"/>
      <c r="T29" s="137"/>
      <c r="U29" s="137"/>
    </row>
    <row r="30" spans="1:21" s="138" customFormat="1" ht="45" customHeight="1">
      <c r="A30" s="268"/>
      <c r="B30" s="123" t="s">
        <v>604</v>
      </c>
      <c r="C30" s="282"/>
      <c r="D30" s="115" t="str">
        <f>VLOOKUP(L29,'回填(利用填方)-1'!A:N,7,0)&amp;CHAR(10)&amp;"M2"</f>
        <v>224.4
M2</v>
      </c>
      <c r="E30" s="115"/>
      <c r="F30" s="115" t="str">
        <f>VLOOKUP(L29,'回填(利用填方)-1'!A:N,7,0)&amp;CHAR(10)&amp;"M2"&amp;CHAR(10)&amp;"("&amp;VLOOKUP(L29,'回填(利用填方)-1'!A:N,5,0)&amp;"次)"</f>
        <v>224.4
M2
(1次)</v>
      </c>
      <c r="G30" s="282"/>
      <c r="H30" s="117" t="str">
        <f>VLOOKUP(L29,'回填(利用填方)-1'!A:N,8,0)&amp;CHAR(10)&amp;"M2"&amp;CHAR(10)&amp;"("&amp;VLOOKUP(L29,'回填(利用填方)-1'!A:N,6,0)&amp;"次)"</f>
        <v>4851.6
M2
(11次)</v>
      </c>
      <c r="I30" s="285"/>
      <c r="J30" s="281"/>
      <c r="K30" s="298"/>
      <c r="L30" s="127"/>
      <c r="M30" s="128"/>
      <c r="N30" s="137"/>
      <c r="O30" s="137"/>
      <c r="P30" s="137"/>
      <c r="Q30" s="137"/>
      <c r="R30" s="137"/>
      <c r="S30" s="137"/>
      <c r="T30" s="137"/>
      <c r="U30" s="137"/>
    </row>
    <row r="31" spans="1:21" s="138" customFormat="1" ht="63.75" customHeight="1">
      <c r="A31" s="267" t="str">
        <f>"25-1-"&amp;L31</f>
        <v>25-1-12</v>
      </c>
      <c r="B31" s="123" t="s">
        <v>603</v>
      </c>
      <c r="C31" s="282"/>
      <c r="D31" s="115">
        <f>VLOOKUP(L31,'回填(利用填方)-1'!A:T,2,0)</f>
        <v>45658</v>
      </c>
      <c r="E31" s="115" t="e">
        <f>#REF!&amp;#REF!</f>
        <v>#REF!</v>
      </c>
      <c r="F31" s="115">
        <f>VLOOKUP(L31,'回填(利用填方)-1'!A:N,3,0)</f>
        <v>45665</v>
      </c>
      <c r="G31" s="282"/>
      <c r="H31" s="117" t="str">
        <f>VLOOKUP(L31,'回填(利用填方)-1'!A:N,8,0)&amp;CHAR(10)&amp;"M2"</f>
        <v>1393.4
M2</v>
      </c>
      <c r="I31" s="285" t="s">
        <v>48</v>
      </c>
      <c r="J31" s="280" t="str">
        <f t="shared" ref="J31" si="3">IF(N31=0,"上  溢："&amp;O31,IF(M31=0,"任  泰："&amp;N31&amp;"                 "&amp;"上  溢："&amp;O31,
"水利處："&amp;M31&amp;"                 "&amp;"任  泰："&amp;N31&amp;"                 "&amp;"上  溢："&amp;O31))</f>
        <v>水利處：李晏然                 任  泰：王淑慧                 上  溢：周昱辰</v>
      </c>
      <c r="K31" s="264" t="s">
        <v>1091</v>
      </c>
      <c r="L31" s="136">
        <f>L29+1</f>
        <v>12</v>
      </c>
      <c r="M31" s="128" t="str">
        <f>VLOOKUP(L31,'回填(利用填方)-1'!A:N,13,0)</f>
        <v>李晏然</v>
      </c>
      <c r="N31" s="128" t="str">
        <f>VLOOKUP(L31,'回填(利用填方)-1'!A:N,14,0)</f>
        <v>王淑慧</v>
      </c>
      <c r="O31" s="128" t="str">
        <f>VLOOKUP(L31,'回填(利用填方)-1'!A:Z,15,0)</f>
        <v>周昱辰</v>
      </c>
      <c r="P31" s="137"/>
      <c r="Q31" s="137"/>
      <c r="R31" s="137"/>
      <c r="S31" s="137"/>
      <c r="T31" s="137"/>
      <c r="U31" s="137"/>
    </row>
    <row r="32" spans="1:21" s="138" customFormat="1" ht="45" customHeight="1">
      <c r="A32" s="268"/>
      <c r="B32" s="123" t="s">
        <v>604</v>
      </c>
      <c r="C32" s="265"/>
      <c r="D32" s="115" t="str">
        <f>VLOOKUP(L31,'回填(利用填方)-1'!A:N,7,0)&amp;CHAR(10)&amp;"M2"</f>
        <v>304.4
M2</v>
      </c>
      <c r="E32" s="115"/>
      <c r="F32" s="115" t="str">
        <f>VLOOKUP(L31,'回填(利用填方)-1'!A:N,7,0)&amp;CHAR(10)&amp;"M2"&amp;CHAR(10)&amp;"("&amp;VLOOKUP(L31,'回填(利用填方)-1'!A:N,5,0)&amp;"次)"</f>
        <v>304.4
M2
(1次)</v>
      </c>
      <c r="G32" s="265"/>
      <c r="H32" s="117" t="str">
        <f>VLOOKUP(L31,'回填(利用填方)-1'!A:N,8,0)&amp;CHAR(10)&amp;"M2"&amp;CHAR(10)&amp;"("&amp;VLOOKUP(L31,'回填(利用填方)-1'!A:N,6,0)&amp;"次)"</f>
        <v>1393.4
M2
(12次)</v>
      </c>
      <c r="I32" s="285"/>
      <c r="J32" s="281"/>
      <c r="K32" s="298"/>
      <c r="L32" s="127"/>
      <c r="M32" s="128"/>
      <c r="N32" s="137"/>
      <c r="O32" s="137"/>
      <c r="P32" s="137"/>
      <c r="Q32" s="137"/>
      <c r="R32" s="137"/>
      <c r="S32" s="137"/>
      <c r="T32" s="137"/>
      <c r="U32" s="137"/>
    </row>
    <row r="33" spans="1:21" s="142" customFormat="1" ht="49.5" customHeight="1">
      <c r="A33" s="260" t="s">
        <v>47</v>
      </c>
      <c r="B33" s="261"/>
      <c r="C33" s="262"/>
      <c r="D33" s="260" t="s">
        <v>1753</v>
      </c>
      <c r="E33" s="261"/>
      <c r="F33" s="261"/>
      <c r="G33" s="262"/>
      <c r="H33" s="332" t="s">
        <v>1755</v>
      </c>
      <c r="I33" s="332"/>
      <c r="J33" s="332"/>
      <c r="K33" s="333"/>
      <c r="M33" s="143"/>
      <c r="N33" s="143"/>
      <c r="O33" s="143"/>
      <c r="P33" s="143"/>
      <c r="Q33" s="143"/>
      <c r="R33" s="143"/>
      <c r="S33" s="143"/>
      <c r="T33" s="143"/>
      <c r="U33" s="143"/>
    </row>
    <row r="34" spans="1:21" s="142" customFormat="1" ht="42.75" customHeight="1">
      <c r="A34" s="324" t="s">
        <v>1188</v>
      </c>
      <c r="B34" s="324"/>
      <c r="C34" s="324"/>
      <c r="D34" s="324"/>
      <c r="E34" s="324"/>
      <c r="F34" s="324"/>
      <c r="G34" s="324"/>
      <c r="H34" s="324"/>
      <c r="I34" s="324"/>
      <c r="J34" s="324"/>
      <c r="K34" s="324"/>
      <c r="M34" s="143"/>
      <c r="N34" s="143"/>
      <c r="O34" s="143"/>
      <c r="P34" s="143"/>
      <c r="Q34" s="143"/>
      <c r="R34" s="143"/>
      <c r="S34" s="143"/>
      <c r="T34" s="143"/>
      <c r="U34" s="143"/>
    </row>
    <row r="35" spans="1:21" s="138" customFormat="1" ht="63.75" customHeight="1">
      <c r="A35" s="267" t="str">
        <f>"25-1-"&amp;L35</f>
        <v>25-1-13</v>
      </c>
      <c r="B35" s="123" t="s">
        <v>603</v>
      </c>
      <c r="C35" s="280" t="s">
        <v>1875</v>
      </c>
      <c r="D35" s="115">
        <f>VLOOKUP(L35,'回填(利用填方)-1'!A:T,2,0)</f>
        <v>45665</v>
      </c>
      <c r="E35" s="115" t="e">
        <f>#REF!&amp;#REF!</f>
        <v>#REF!</v>
      </c>
      <c r="F35" s="115">
        <f>VLOOKUP(L35,'回填(利用填方)-1'!A:N,3,0)</f>
        <v>45665</v>
      </c>
      <c r="G35" s="264" t="s">
        <v>747</v>
      </c>
      <c r="H35" s="117" t="str">
        <f>VLOOKUP(L35,'回填(利用填方)-1'!A:N,8,0)&amp;CHAR(10)&amp;"M2"</f>
        <v>2373.4
M2</v>
      </c>
      <c r="I35" s="285" t="s">
        <v>48</v>
      </c>
      <c r="J35" s="274" t="str">
        <f>IF(N35=0,"上  溢："&amp;O35,IF(M35=0,"任  泰："&amp;N35&amp;"                 "&amp;"上  溢："&amp;O35,
"水利處："&amp;M35&amp;"                 "&amp;"任  泰："&amp;N35&amp;"                 "&amp;"上  溢："&amp;O35))</f>
        <v>水利處：李晏然                 任  泰：王淑慧                 上  溢：周昱辰</v>
      </c>
      <c r="K35" s="264" t="s">
        <v>1092</v>
      </c>
      <c r="L35" s="136">
        <f>L31+1</f>
        <v>13</v>
      </c>
      <c r="M35" s="128" t="str">
        <f>VLOOKUP(L35,'回填(利用填方)-1'!A:N,13,0)</f>
        <v>李晏然</v>
      </c>
      <c r="N35" s="128" t="str">
        <f>VLOOKUP(L35,'回填(利用填方)-1'!A:N,14,0)</f>
        <v>王淑慧</v>
      </c>
      <c r="O35" s="128" t="str">
        <f>VLOOKUP(L35,'回填(利用填方)-1'!A:Z,15,0)</f>
        <v>周昱辰</v>
      </c>
      <c r="P35" s="137"/>
      <c r="Q35" s="137"/>
      <c r="R35" s="137"/>
      <c r="S35" s="137"/>
      <c r="T35" s="137"/>
      <c r="U35" s="137"/>
    </row>
    <row r="36" spans="1:21" s="138" customFormat="1" ht="45" customHeight="1">
      <c r="A36" s="268"/>
      <c r="B36" s="123" t="s">
        <v>604</v>
      </c>
      <c r="C36" s="326"/>
      <c r="D36" s="115" t="str">
        <f>VLOOKUP(L35,'回填(利用填方)-1'!A:N,7,0)&amp;CHAR(10)&amp;"M2"</f>
        <v>980
M2</v>
      </c>
      <c r="E36" s="115"/>
      <c r="F36" s="115" t="str">
        <f>VLOOKUP(L35,'回填(利用填方)-1'!A:N,7,0)&amp;CHAR(10)&amp;"M2"&amp;CHAR(10)&amp;"("&amp;VLOOKUP(L35,'回填(利用填方)-1'!A:N,5,0)&amp;"次)"</f>
        <v>980
M2
(1次)</v>
      </c>
      <c r="G36" s="282"/>
      <c r="H36" s="117" t="str">
        <f>VLOOKUP(L35,'回填(利用填方)-1'!A:N,8,0)&amp;CHAR(10)&amp;"M2"&amp;CHAR(10)&amp;"("&amp;VLOOKUP(L35,'回填(利用填方)-1'!A:N,6,0)&amp;"次)"</f>
        <v>2373.4
M2
(13次)</v>
      </c>
      <c r="I36" s="285"/>
      <c r="J36" s="274"/>
      <c r="K36" s="298"/>
      <c r="L36" s="127"/>
      <c r="M36" s="128"/>
      <c r="N36" s="137"/>
      <c r="O36" s="137"/>
      <c r="P36" s="137"/>
      <c r="Q36" s="137"/>
      <c r="R36" s="137"/>
      <c r="S36" s="137"/>
      <c r="T36" s="137"/>
      <c r="U36" s="137"/>
    </row>
    <row r="37" spans="1:21" s="140" customFormat="1" ht="63.75" customHeight="1">
      <c r="A37" s="267" t="str">
        <f>"25-1-"&amp;L37</f>
        <v>25-1-14</v>
      </c>
      <c r="B37" s="123" t="s">
        <v>603</v>
      </c>
      <c r="C37" s="282"/>
      <c r="D37" s="115">
        <f>VLOOKUP(L37,'回填(利用填方)-1'!A:T,2,0)</f>
        <v>45666</v>
      </c>
      <c r="E37" s="115" t="e">
        <f>#REF!&amp;#REF!</f>
        <v>#REF!</v>
      </c>
      <c r="F37" s="115">
        <f>VLOOKUP(L37,'回填(利用填方)-1'!A:N,3,0)</f>
        <v>45667</v>
      </c>
      <c r="G37" s="282"/>
      <c r="H37" s="117" t="str">
        <f>VLOOKUP(L37,'回填(利用填方)-1'!A:N,8,0)&amp;CHAR(10)&amp;"M2"</f>
        <v>3354.2
M2</v>
      </c>
      <c r="I37" s="285" t="s">
        <v>48</v>
      </c>
      <c r="J37" s="280" t="str">
        <f>IF(N37=0,"上  溢："&amp;O37,IF(M37=0,"任  泰："&amp;N37&amp;"                 "&amp;"上  溢："&amp;O37,
"水利處："&amp;M37&amp;"                 "&amp;"任  泰："&amp;N37&amp;"                 "&amp;"上  溢："&amp;O37))</f>
        <v>上  溢：周昱辰</v>
      </c>
      <c r="K37" s="264" t="s">
        <v>1094</v>
      </c>
      <c r="L37" s="136">
        <f>L35+1</f>
        <v>14</v>
      </c>
      <c r="M37" s="128">
        <f>VLOOKUP(L37,'回填(利用填方)-1'!A:N,13,0)</f>
        <v>0</v>
      </c>
      <c r="N37" s="128">
        <f>VLOOKUP(L37,'回填(利用填方)-1'!A:N,14,0)</f>
        <v>0</v>
      </c>
      <c r="O37" s="128" t="str">
        <f>VLOOKUP(L37,'回填(利用填方)-1'!A:Z,15,0)</f>
        <v>周昱辰</v>
      </c>
      <c r="P37" s="139"/>
      <c r="Q37" s="139"/>
      <c r="R37" s="139"/>
      <c r="S37" s="139"/>
      <c r="T37" s="139"/>
      <c r="U37" s="139"/>
    </row>
    <row r="38" spans="1:21" s="140" customFormat="1" ht="45" customHeight="1">
      <c r="A38" s="268"/>
      <c r="B38" s="123" t="s">
        <v>604</v>
      </c>
      <c r="C38" s="282"/>
      <c r="D38" s="115" t="str">
        <f>VLOOKUP(L37,'回填(利用填方)-1'!A:N,7,0)&amp;CHAR(10)&amp;"M2"</f>
        <v>980.8
M2</v>
      </c>
      <c r="E38" s="115"/>
      <c r="F38" s="115" t="str">
        <f>VLOOKUP(L37,'回填(利用填方)-1'!A:N,7,0)&amp;CHAR(10)&amp;"M2"&amp;CHAR(10)&amp;"("&amp;VLOOKUP(L37,'回填(利用填方)-1'!A:N,5,0)&amp;"次)"</f>
        <v>980.8
M2
(1次)</v>
      </c>
      <c r="G38" s="282"/>
      <c r="H38" s="117" t="str">
        <f>VLOOKUP(L37,'回填(利用填方)-1'!A:N,8,0)&amp;CHAR(10)&amp;"M2"&amp;CHAR(10)&amp;"("&amp;VLOOKUP(L37,'回填(利用填方)-1'!A:N,6,0)&amp;"次)"</f>
        <v>3354.2
M2
(14次)</v>
      </c>
      <c r="I38" s="285"/>
      <c r="J38" s="281"/>
      <c r="K38" s="298"/>
      <c r="L38" s="127"/>
      <c r="M38" s="128"/>
      <c r="N38" s="139"/>
      <c r="O38" s="139"/>
      <c r="P38" s="139"/>
      <c r="Q38" s="139"/>
      <c r="R38" s="139"/>
      <c r="S38" s="139"/>
      <c r="T38" s="139"/>
      <c r="U38" s="139"/>
    </row>
    <row r="39" spans="1:21" s="138" customFormat="1" ht="63.75" customHeight="1">
      <c r="A39" s="267" t="str">
        <f>"25-1-"&amp;L39</f>
        <v>25-1-15</v>
      </c>
      <c r="B39" s="123" t="s">
        <v>603</v>
      </c>
      <c r="C39" s="282"/>
      <c r="D39" s="115">
        <f>VLOOKUP(L39,'回填(利用填方)-1'!A:T,2,0)</f>
        <v>45667</v>
      </c>
      <c r="E39" s="115" t="e">
        <f>#REF!&amp;#REF!</f>
        <v>#REF!</v>
      </c>
      <c r="F39" s="115">
        <f>VLOOKUP(L39,'回填(利用填方)-1'!A:N,3,0)</f>
        <v>45668</v>
      </c>
      <c r="G39" s="282"/>
      <c r="H39" s="117" t="str">
        <f>VLOOKUP(L39,'回填(利用填方)-1'!A:N,8,0)&amp;CHAR(10)&amp;"M2"</f>
        <v>4495
M2</v>
      </c>
      <c r="I39" s="285" t="s">
        <v>48</v>
      </c>
      <c r="J39" s="280" t="str">
        <f t="shared" ref="J39" si="4">IF(N39=0,"上  溢："&amp;O39,IF(M39=0,"任  泰："&amp;N39&amp;"                 "&amp;"上  溢："&amp;O39,
"水利處："&amp;M39&amp;"                 "&amp;"任  泰："&amp;N39&amp;"                 "&amp;"上  溢："&amp;O39))</f>
        <v>上  溢：周昱辰</v>
      </c>
      <c r="K39" s="264" t="s">
        <v>1095</v>
      </c>
      <c r="L39" s="136">
        <f>L37+1</f>
        <v>15</v>
      </c>
      <c r="M39" s="128">
        <f>VLOOKUP(L39,'回填(利用填方)-1'!A:N,13,0)</f>
        <v>0</v>
      </c>
      <c r="N39" s="128">
        <f>VLOOKUP(L39,'回填(利用填方)-1'!A:N,14,0)</f>
        <v>0</v>
      </c>
      <c r="O39" s="128" t="str">
        <f>VLOOKUP(L39,'回填(利用填方)-1'!A:Z,15,0)</f>
        <v>周昱辰</v>
      </c>
      <c r="P39" s="137"/>
      <c r="Q39" s="137"/>
      <c r="R39" s="137"/>
      <c r="S39" s="137"/>
      <c r="T39" s="137"/>
      <c r="U39" s="137"/>
    </row>
    <row r="40" spans="1:21" s="138" customFormat="1" ht="45" customHeight="1">
      <c r="A40" s="268"/>
      <c r="B40" s="123" t="s">
        <v>604</v>
      </c>
      <c r="C40" s="282"/>
      <c r="D40" s="115" t="str">
        <f>VLOOKUP(L39,'回填(利用填方)-1'!A:N,7,0)&amp;CHAR(10)&amp;"M2"</f>
        <v>1140.8
M2</v>
      </c>
      <c r="E40" s="115"/>
      <c r="F40" s="115" t="str">
        <f>VLOOKUP(L39,'回填(利用填方)-1'!A:N,7,0)&amp;CHAR(10)&amp;"M2"&amp;CHAR(10)&amp;"("&amp;VLOOKUP(L39,'回填(利用填方)-1'!A:N,5,0)&amp;"次)"</f>
        <v>1140.8
M2
(2次)</v>
      </c>
      <c r="G40" s="282"/>
      <c r="H40" s="117" t="str">
        <f>VLOOKUP(L39,'回填(利用填方)-1'!A:N,8,0)&amp;CHAR(10)&amp;"M2"&amp;CHAR(10)&amp;"("&amp;VLOOKUP(L39,'回填(利用填方)-1'!A:N,6,0)&amp;"次)"</f>
        <v>4495
M2
(16次)</v>
      </c>
      <c r="I40" s="285"/>
      <c r="J40" s="281"/>
      <c r="K40" s="298"/>
      <c r="L40" s="127"/>
      <c r="M40" s="128"/>
      <c r="N40" s="137"/>
      <c r="O40" s="137"/>
      <c r="P40" s="137"/>
      <c r="Q40" s="137"/>
      <c r="R40" s="137"/>
      <c r="S40" s="137"/>
      <c r="T40" s="137"/>
      <c r="U40" s="137"/>
    </row>
    <row r="41" spans="1:21" s="138" customFormat="1" ht="63.75" customHeight="1">
      <c r="A41" s="267" t="str">
        <f>"25-1-"&amp;L41</f>
        <v>25-1-16</v>
      </c>
      <c r="B41" s="123" t="s">
        <v>603</v>
      </c>
      <c r="C41" s="282"/>
      <c r="D41" s="115">
        <f>VLOOKUP(L41,'回填(利用填方)-1'!A:T,2,0)</f>
        <v>45669</v>
      </c>
      <c r="E41" s="115" t="e">
        <f>#REF!&amp;#REF!</f>
        <v>#REF!</v>
      </c>
      <c r="F41" s="115">
        <f>VLOOKUP(L41,'回填(利用填方)-1'!A:N,3,0)</f>
        <v>45671</v>
      </c>
      <c r="G41" s="282"/>
      <c r="H41" s="117" t="str">
        <f>VLOOKUP(L41,'回填(利用填方)-1'!A:N,8,0)&amp;CHAR(10)&amp;"M2"</f>
        <v>5555.8
M2</v>
      </c>
      <c r="I41" s="285" t="s">
        <v>48</v>
      </c>
      <c r="J41" s="280" t="str">
        <f t="shared" ref="J41" si="5">IF(N41=0,"上  溢："&amp;O41,IF(M41=0,"任  泰："&amp;N41&amp;"                 "&amp;"上  溢："&amp;O41,
"水利處："&amp;M41&amp;"                 "&amp;"任  泰："&amp;N41&amp;"                 "&amp;"上  溢："&amp;O41))</f>
        <v>水利處：李晏然                 任  泰：王淑慧                 上  溢：周昱辰</v>
      </c>
      <c r="K41" s="264" t="s">
        <v>1096</v>
      </c>
      <c r="L41" s="136">
        <f>L39+1</f>
        <v>16</v>
      </c>
      <c r="M41" s="128" t="str">
        <f>VLOOKUP(L41,'回填(利用填方)-1'!A:N,13,0)</f>
        <v>李晏然</v>
      </c>
      <c r="N41" s="128" t="str">
        <f>VLOOKUP(L41,'回填(利用填方)-1'!A:N,14,0)</f>
        <v>王淑慧</v>
      </c>
      <c r="O41" s="128" t="str">
        <f>VLOOKUP(L41,'回填(利用填方)-1'!A:Z,15,0)</f>
        <v>周昱辰</v>
      </c>
      <c r="P41" s="137"/>
      <c r="Q41" s="137"/>
      <c r="R41" s="137"/>
      <c r="S41" s="137"/>
      <c r="T41" s="137"/>
      <c r="U41" s="137"/>
    </row>
    <row r="42" spans="1:21" s="138" customFormat="1" ht="45" customHeight="1">
      <c r="A42" s="268"/>
      <c r="B42" s="123" t="s">
        <v>604</v>
      </c>
      <c r="C42" s="282"/>
      <c r="D42" s="115" t="str">
        <f>VLOOKUP(L41,'回填(利用填方)-1'!A:N,7,0)&amp;CHAR(10)&amp;"M2"</f>
        <v>1060.8
M2</v>
      </c>
      <c r="E42" s="115"/>
      <c r="F42" s="115" t="str">
        <f>VLOOKUP(L41,'回填(利用填方)-1'!A:N,7,0)&amp;CHAR(10)&amp;"M2"&amp;CHAR(10)&amp;"("&amp;VLOOKUP(L41,'回填(利用填方)-1'!A:N,5,0)&amp;"次)"</f>
        <v>1060.8
M2
(2次)</v>
      </c>
      <c r="G42" s="282"/>
      <c r="H42" s="117" t="str">
        <f>VLOOKUP(L41,'回填(利用填方)-1'!A:N,8,0)&amp;CHAR(10)&amp;"M2"&amp;CHAR(10)&amp;"("&amp;VLOOKUP(L41,'回填(利用填方)-1'!A:N,6,0)&amp;"次)"</f>
        <v>5555.8
M2
(18次)</v>
      </c>
      <c r="I42" s="285"/>
      <c r="J42" s="281"/>
      <c r="K42" s="298"/>
      <c r="L42" s="127"/>
      <c r="M42" s="128"/>
      <c r="N42" s="137"/>
      <c r="O42" s="137"/>
      <c r="P42" s="137"/>
      <c r="Q42" s="137"/>
      <c r="R42" s="137"/>
      <c r="S42" s="137"/>
      <c r="T42" s="137"/>
      <c r="U42" s="137"/>
    </row>
    <row r="43" spans="1:21" s="138" customFormat="1" ht="63.75" customHeight="1">
      <c r="A43" s="267" t="str">
        <f>"25-1-"&amp;L43</f>
        <v>25-1-17</v>
      </c>
      <c r="B43" s="123" t="s">
        <v>603</v>
      </c>
      <c r="C43" s="282"/>
      <c r="D43" s="115">
        <f>VLOOKUP(L43,'回填(利用填方)-1'!A:T,2,0)</f>
        <v>45734</v>
      </c>
      <c r="E43" s="115" t="e">
        <f>#REF!&amp;#REF!</f>
        <v>#REF!</v>
      </c>
      <c r="F43" s="115">
        <f>VLOOKUP(L43,'回填(利用填方)-1'!A:N,3,0)</f>
        <v>45734</v>
      </c>
      <c r="G43" s="282"/>
      <c r="H43" s="117" t="str">
        <f>VLOOKUP(L43,'回填(利用填方)-1'!A:N,8,0)&amp;CHAR(10)&amp;"M2"</f>
        <v>6385.8
M2</v>
      </c>
      <c r="I43" s="285" t="s">
        <v>48</v>
      </c>
      <c r="J43" s="274" t="str">
        <f>IF(N43=0,"上  溢："&amp;O43,IF(M43=0,"任  泰："&amp;N43&amp;"                 "&amp;"上  溢："&amp;O43,
"水利處："&amp;M43&amp;"                 "&amp;"任  泰："&amp;N43&amp;"                 "&amp;"上  溢："&amp;O43))</f>
        <v>上  溢：康祐銓</v>
      </c>
      <c r="K43" s="264" t="s">
        <v>1090</v>
      </c>
      <c r="L43" s="136">
        <f>L41+1</f>
        <v>17</v>
      </c>
      <c r="M43" s="128">
        <f>VLOOKUP(L43,'回填(利用填方)-1'!A:N,13,0)</f>
        <v>0</v>
      </c>
      <c r="N43" s="128">
        <f>VLOOKUP(L43,'回填(利用填方)-1'!A:N,14,0)</f>
        <v>0</v>
      </c>
      <c r="O43" s="128" t="str">
        <f>VLOOKUP(L43,'回填(利用填方)-1'!A:Z,15,0)</f>
        <v>康祐銓</v>
      </c>
      <c r="P43" s="137"/>
      <c r="Q43" s="137"/>
      <c r="R43" s="137"/>
      <c r="S43" s="137"/>
      <c r="T43" s="137"/>
      <c r="U43" s="137"/>
    </row>
    <row r="44" spans="1:21" s="138" customFormat="1" ht="45" customHeight="1">
      <c r="A44" s="268"/>
      <c r="B44" s="123" t="s">
        <v>604</v>
      </c>
      <c r="C44" s="282"/>
      <c r="D44" s="115" t="str">
        <f>VLOOKUP(L43,'回填(利用填方)-1'!A:N,7,0)&amp;CHAR(10)&amp;"M2"</f>
        <v>830
M2</v>
      </c>
      <c r="E44" s="115"/>
      <c r="F44" s="115" t="str">
        <f>VLOOKUP(L43,'回填(利用填方)-1'!A:N,7,0)&amp;CHAR(10)&amp;"M2"&amp;CHAR(10)&amp;"("&amp;VLOOKUP(L43,'回填(利用填方)-1'!A:N,5,0)&amp;"次)"</f>
        <v>830
M2
(1次)</v>
      </c>
      <c r="G44" s="282"/>
      <c r="H44" s="117" t="str">
        <f>VLOOKUP(L43,'回填(利用填方)-1'!A:N,8,0)&amp;CHAR(10)&amp;"M2"&amp;CHAR(10)&amp;"("&amp;VLOOKUP(L43,'回填(利用填方)-1'!A:N,6,0)&amp;"次)"</f>
        <v>6385.8
M2
(19次)</v>
      </c>
      <c r="I44" s="285"/>
      <c r="J44" s="274"/>
      <c r="K44" s="298"/>
      <c r="L44" s="127"/>
      <c r="M44" s="128"/>
      <c r="N44" s="137"/>
      <c r="O44" s="137"/>
      <c r="P44" s="137"/>
      <c r="Q44" s="137"/>
      <c r="R44" s="137"/>
      <c r="S44" s="137"/>
      <c r="T44" s="137"/>
      <c r="U44" s="137"/>
    </row>
    <row r="45" spans="1:21" s="140" customFormat="1" ht="63.75" customHeight="1">
      <c r="A45" s="267" t="str">
        <f>"25-1-"&amp;L45</f>
        <v>25-1-18</v>
      </c>
      <c r="B45" s="123" t="s">
        <v>603</v>
      </c>
      <c r="C45" s="282"/>
      <c r="D45" s="115">
        <f>VLOOKUP(L45,'回填(利用填方)-1'!A:T,2,0)</f>
        <v>45736</v>
      </c>
      <c r="E45" s="115" t="e">
        <f>#REF!&amp;#REF!</f>
        <v>#REF!</v>
      </c>
      <c r="F45" s="115">
        <f>VLOOKUP(L45,'回填(利用填方)-1'!A:N,3,0)</f>
        <v>45738</v>
      </c>
      <c r="G45" s="282"/>
      <c r="H45" s="117" t="str">
        <f>VLOOKUP(L45,'回填(利用填方)-1'!A:N,8,0)&amp;CHAR(10)&amp;"M2"</f>
        <v>7215.8
M2</v>
      </c>
      <c r="I45" s="285" t="s">
        <v>48</v>
      </c>
      <c r="J45" s="280" t="str">
        <f>IF(N45=0,"上  溢："&amp;O45,IF(M45=0,"任  泰："&amp;N45&amp;"                 "&amp;"上  溢："&amp;O45,
"水利處："&amp;M45&amp;"                 "&amp;"任  泰："&amp;N45&amp;"                 "&amp;"上  溢："&amp;O45))</f>
        <v>上  溢：康祐銓</v>
      </c>
      <c r="K45" s="264" t="s">
        <v>1087</v>
      </c>
      <c r="L45" s="136">
        <f>L43+1</f>
        <v>18</v>
      </c>
      <c r="M45" s="128">
        <f>VLOOKUP(L45,'回填(利用填方)-1'!A:N,13,0)</f>
        <v>0</v>
      </c>
      <c r="N45" s="128">
        <f>VLOOKUP(L45,'回填(利用填方)-1'!A:N,14,0)</f>
        <v>0</v>
      </c>
      <c r="O45" s="128" t="str">
        <f>VLOOKUP(L45,'回填(利用填方)-1'!A:Z,15,0)</f>
        <v>康祐銓</v>
      </c>
      <c r="P45" s="139"/>
      <c r="Q45" s="139"/>
      <c r="R45" s="139"/>
      <c r="S45" s="139"/>
      <c r="T45" s="139"/>
      <c r="U45" s="139"/>
    </row>
    <row r="46" spans="1:21" s="140" customFormat="1" ht="45" customHeight="1">
      <c r="A46" s="268"/>
      <c r="B46" s="123" t="s">
        <v>604</v>
      </c>
      <c r="C46" s="265"/>
      <c r="D46" s="115" t="str">
        <f>VLOOKUP(L45,'回填(利用填方)-1'!A:N,7,0)&amp;CHAR(10)&amp;"M2"</f>
        <v>830
M2</v>
      </c>
      <c r="E46" s="115"/>
      <c r="F46" s="115" t="str">
        <f>VLOOKUP(L45,'回填(利用填方)-1'!A:N,7,0)&amp;CHAR(10)&amp;"M2"&amp;CHAR(10)&amp;"("&amp;VLOOKUP(L45,'回填(利用填方)-1'!A:N,5,0)&amp;"次)"</f>
        <v>830
M2
(1次)</v>
      </c>
      <c r="G46" s="265"/>
      <c r="H46" s="117" t="str">
        <f>VLOOKUP(L45,'回填(利用填方)-1'!A:N,8,0)&amp;CHAR(10)&amp;"M2"&amp;CHAR(10)&amp;"("&amp;VLOOKUP(L45,'回填(利用填方)-1'!A:N,6,0)&amp;"次)"</f>
        <v>7215.8
M2
(20次)</v>
      </c>
      <c r="I46" s="285"/>
      <c r="J46" s="281"/>
      <c r="K46" s="298"/>
      <c r="L46" s="127"/>
      <c r="M46" s="128"/>
      <c r="N46" s="139"/>
      <c r="O46" s="139"/>
      <c r="P46" s="139"/>
      <c r="Q46" s="139"/>
      <c r="R46" s="139"/>
      <c r="S46" s="139"/>
      <c r="T46" s="139"/>
      <c r="U46" s="139"/>
    </row>
    <row r="47" spans="1:21" s="142" customFormat="1" ht="49.5" customHeight="1">
      <c r="A47" s="260" t="s">
        <v>47</v>
      </c>
      <c r="B47" s="261"/>
      <c r="C47" s="262"/>
      <c r="D47" s="260" t="s">
        <v>1753</v>
      </c>
      <c r="E47" s="261"/>
      <c r="F47" s="261"/>
      <c r="G47" s="262"/>
      <c r="H47" s="332" t="s">
        <v>1755</v>
      </c>
      <c r="I47" s="332"/>
      <c r="J47" s="332"/>
      <c r="K47" s="333"/>
      <c r="M47" s="143"/>
      <c r="N47" s="143"/>
      <c r="O47" s="143"/>
      <c r="P47" s="143"/>
      <c r="Q47" s="143"/>
      <c r="R47" s="143"/>
      <c r="S47" s="143"/>
      <c r="T47" s="143"/>
      <c r="U47" s="143"/>
    </row>
    <row r="48" spans="1:21" s="142" customFormat="1" ht="42.75" customHeight="1">
      <c r="A48" s="324" t="s">
        <v>1188</v>
      </c>
      <c r="B48" s="324"/>
      <c r="C48" s="324"/>
      <c r="D48" s="324"/>
      <c r="E48" s="324"/>
      <c r="F48" s="324"/>
      <c r="G48" s="324"/>
      <c r="H48" s="324"/>
      <c r="I48" s="324"/>
      <c r="J48" s="324"/>
      <c r="K48" s="324"/>
      <c r="M48" s="143"/>
      <c r="N48" s="143"/>
      <c r="O48" s="143"/>
      <c r="P48" s="143"/>
      <c r="Q48" s="143"/>
      <c r="R48" s="143"/>
      <c r="S48" s="143"/>
      <c r="T48" s="143"/>
      <c r="U48" s="143"/>
    </row>
    <row r="49" spans="1:21" s="138" customFormat="1" ht="78" customHeight="1">
      <c r="A49" s="267" t="str">
        <f>"25-1-"&amp;L49</f>
        <v>25-1-19</v>
      </c>
      <c r="B49" s="123" t="s">
        <v>603</v>
      </c>
      <c r="C49" s="280" t="s">
        <v>1876</v>
      </c>
      <c r="D49" s="115">
        <f>VLOOKUP(L49,'回填(利用填方)-1'!A:T,2,0)</f>
        <v>45819</v>
      </c>
      <c r="E49" s="115" t="e">
        <f>#REF!&amp;#REF!</f>
        <v>#REF!</v>
      </c>
      <c r="F49" s="115">
        <f>VLOOKUP(L49,'回填(利用填方)-1'!A:N,3,0)</f>
        <v>45819</v>
      </c>
      <c r="G49" s="275" t="s">
        <v>1192</v>
      </c>
      <c r="H49" s="117" t="str">
        <f>VLOOKUP(L49,'回填(利用填方)-1'!A:N,8,0)&amp;CHAR(10)&amp;"M2"</f>
        <v>7401.8
M2</v>
      </c>
      <c r="I49" s="285" t="s">
        <v>48</v>
      </c>
      <c r="J49" s="280" t="str">
        <f>IF(N49=0,"上  溢："&amp;O49,IF(M49=0,"任  泰："&amp;N49&amp;"                 "&amp;"上  溢："&amp;O49,
"水利處："&amp;M49&amp;"                 "&amp;"任  泰："&amp;N49&amp;"                 "&amp;"上  溢："&amp;O49))</f>
        <v>任  泰：陳勇智                 上  溢：康祐銓</v>
      </c>
      <c r="K49" s="264" t="s">
        <v>1128</v>
      </c>
      <c r="L49" s="136">
        <f>L45+1</f>
        <v>19</v>
      </c>
      <c r="M49" s="128">
        <f>VLOOKUP(L49,'回填(利用填方)-1'!A:N,13,0)</f>
        <v>0</v>
      </c>
      <c r="N49" s="128" t="str">
        <f>VLOOKUP(L49,'回填(利用填方)-1'!A:N,14,0)</f>
        <v>陳勇智</v>
      </c>
      <c r="O49" s="128" t="str">
        <f>VLOOKUP(L49,'回填(利用填方)-1'!A:Z,15,0)</f>
        <v>康祐銓</v>
      </c>
      <c r="P49" s="137"/>
      <c r="Q49" s="137"/>
      <c r="R49" s="137"/>
      <c r="S49" s="137"/>
      <c r="T49" s="137"/>
      <c r="U49" s="137"/>
    </row>
    <row r="50" spans="1:21" s="138" customFormat="1" ht="78" customHeight="1">
      <c r="A50" s="268"/>
      <c r="B50" s="123" t="s">
        <v>604</v>
      </c>
      <c r="C50" s="326"/>
      <c r="D50" s="115" t="str">
        <f>VLOOKUP(L49,'回填(利用填方)-1'!A:N,7,0)&amp;CHAR(10)&amp;"M2"</f>
        <v>186
M2</v>
      </c>
      <c r="E50" s="115"/>
      <c r="F50" s="115" t="str">
        <f>VLOOKUP(L49,'回填(利用填方)-1'!A:N,7,0)&amp;CHAR(10)&amp;"M2"&amp;CHAR(10)&amp;"("&amp;VLOOKUP(L49,'回填(利用填方)-1'!A:N,5,0)&amp;"次)"</f>
        <v>186
M2
(1次)</v>
      </c>
      <c r="G50" s="275"/>
      <c r="H50" s="117" t="str">
        <f>VLOOKUP(L49,'回填(利用填方)-1'!A:N,8,0)&amp;CHAR(10)&amp;"M2"&amp;CHAR(10)&amp;"("&amp;VLOOKUP(L49,'回填(利用填方)-1'!A:N,6,0)&amp;"次)"</f>
        <v>7401.8
M2
(21次)</v>
      </c>
      <c r="I50" s="285"/>
      <c r="J50" s="281"/>
      <c r="K50" s="298"/>
      <c r="L50" s="127"/>
      <c r="M50" s="128"/>
      <c r="N50" s="137"/>
      <c r="O50" s="137"/>
      <c r="P50" s="137"/>
      <c r="Q50" s="137"/>
      <c r="R50" s="137"/>
      <c r="S50" s="137"/>
      <c r="T50" s="137"/>
      <c r="U50" s="137"/>
    </row>
    <row r="51" spans="1:21" s="138" customFormat="1" ht="78" customHeight="1">
      <c r="A51" s="267" t="str">
        <f>"25-1-"&amp;L51</f>
        <v>25-1-20</v>
      </c>
      <c r="B51" s="123" t="s">
        <v>603</v>
      </c>
      <c r="C51" s="326"/>
      <c r="D51" s="115">
        <f>VLOOKUP(L51,'回填(利用填方)-1'!A:T,2,0)</f>
        <v>45848</v>
      </c>
      <c r="E51" s="115" t="e">
        <f>#REF!&amp;#REF!</f>
        <v>#REF!</v>
      </c>
      <c r="F51" s="115">
        <f>VLOOKUP(L51,'回填(利用填方)-1'!A:N,3,0)</f>
        <v>45853</v>
      </c>
      <c r="G51" s="275"/>
      <c r="H51" s="117" t="str">
        <f>VLOOKUP(L51,'回填(利用填方)-1'!A:N,8,0)&amp;CHAR(10)&amp;"M2"</f>
        <v>1753.44
M2</v>
      </c>
      <c r="I51" s="285" t="s">
        <v>48</v>
      </c>
      <c r="J51" s="280" t="str">
        <f>IF(N51=0,"上  溢："&amp;O51,IF(M51=0,"任  泰："&amp;N51&amp;"                 "&amp;"上  溢："&amp;O51,
"水利處："&amp;M51&amp;"                 "&amp;"任  泰："&amp;N51&amp;"                 "&amp;"上  溢："&amp;O51))</f>
        <v>上  溢：康祐銓</v>
      </c>
      <c r="K51" s="264" t="s">
        <v>1134</v>
      </c>
      <c r="L51" s="136">
        <f>L49+1</f>
        <v>20</v>
      </c>
      <c r="M51" s="128">
        <f>VLOOKUP(L51,'回填(利用填方)-1'!A:N,13,0)</f>
        <v>0</v>
      </c>
      <c r="N51" s="128">
        <f>VLOOKUP(L51,'回填(利用填方)-1'!A:N,14,0)</f>
        <v>0</v>
      </c>
      <c r="O51" s="128" t="str">
        <f>VLOOKUP(L51,'回填(利用填方)-1'!A:Z,15,0)</f>
        <v>康祐銓</v>
      </c>
      <c r="P51" s="137"/>
      <c r="Q51" s="137"/>
      <c r="R51" s="137"/>
      <c r="S51" s="137"/>
      <c r="T51" s="137"/>
      <c r="U51" s="137"/>
    </row>
    <row r="52" spans="1:21" s="138" customFormat="1" ht="78" customHeight="1">
      <c r="A52" s="268"/>
      <c r="B52" s="123" t="s">
        <v>604</v>
      </c>
      <c r="C52" s="326"/>
      <c r="D52" s="115" t="str">
        <f>VLOOKUP(L51,'回填(利用填方)-1'!A:N,7,0)&amp;CHAR(10)&amp;"M2"</f>
        <v>1753.44
M2</v>
      </c>
      <c r="E52" s="115"/>
      <c r="F52" s="115" t="str">
        <f>VLOOKUP(L51,'回填(利用填方)-1'!A:N,7,0)&amp;CHAR(10)&amp;"M2"&amp;CHAR(10)&amp;"("&amp;VLOOKUP(L51,'回填(利用填方)-1'!A:N,5,0)&amp;"次)"</f>
        <v>1753.44
M2
(2次)</v>
      </c>
      <c r="G52" s="275"/>
      <c r="H52" s="117" t="str">
        <f>VLOOKUP(L51,'回填(利用填方)-1'!A:N,8,0)&amp;CHAR(10)&amp;"M2"&amp;CHAR(10)&amp;"("&amp;VLOOKUP(L51,'回填(利用填方)-1'!A:N,6,0)&amp;"次)"</f>
        <v>1753.44
M2
(23次)</v>
      </c>
      <c r="I52" s="285"/>
      <c r="J52" s="281"/>
      <c r="K52" s="298"/>
      <c r="L52" s="127"/>
      <c r="M52" s="128"/>
      <c r="N52" s="137"/>
      <c r="O52" s="137"/>
      <c r="P52" s="137"/>
      <c r="Q52" s="137"/>
      <c r="R52" s="137"/>
      <c r="S52" s="137"/>
      <c r="T52" s="137"/>
      <c r="U52" s="137"/>
    </row>
    <row r="53" spans="1:21" s="138" customFormat="1" ht="78" customHeight="1">
      <c r="A53" s="267" t="str">
        <f>"25-1-"&amp;L53</f>
        <v>25-1-21</v>
      </c>
      <c r="B53" s="123" t="s">
        <v>603</v>
      </c>
      <c r="C53" s="326"/>
      <c r="D53" s="115">
        <f>VLOOKUP(L53,'回填(利用填方)-1'!A:T,2,0)</f>
        <v>45967</v>
      </c>
      <c r="E53" s="115" t="e">
        <f>#REF!&amp;#REF!</f>
        <v>#REF!</v>
      </c>
      <c r="F53" s="115">
        <f>VLOOKUP(L53,'回填(利用填方)-1'!A:N,3,0)</f>
        <v>45968</v>
      </c>
      <c r="G53" s="275"/>
      <c r="H53" s="117" t="str">
        <f>VLOOKUP(L53,'回填(利用填方)-1'!A:N,8,0)&amp;CHAR(10)&amp;"M2"</f>
        <v>15539.84
M2</v>
      </c>
      <c r="I53" s="285" t="s">
        <v>48</v>
      </c>
      <c r="J53" s="280" t="str">
        <f>IF(N53=0,"上  溢："&amp;O53,IF(M53=0,"任  泰："&amp;N53&amp;"                 "&amp;"上  溢："&amp;O53,
"水利處："&amp;M53&amp;"                 "&amp;"任  泰："&amp;N53&amp;"                 "&amp;"上  溢："&amp;O53))</f>
        <v>水利處：李晏然                 任  泰：王淑慧                 上  溢：康祐銓</v>
      </c>
      <c r="K53" s="264" t="s">
        <v>1792</v>
      </c>
      <c r="L53" s="136">
        <f>L51+1</f>
        <v>21</v>
      </c>
      <c r="M53" s="128" t="str">
        <f>VLOOKUP(L53,'回填(利用填方)-1'!A:N,13,0)</f>
        <v>李晏然</v>
      </c>
      <c r="N53" s="128" t="str">
        <f>VLOOKUP(L53,'回填(利用填方)-1'!A:N,14,0)</f>
        <v>王淑慧</v>
      </c>
      <c r="O53" s="128" t="str">
        <f>VLOOKUP(L53,'回填(利用填方)-1'!A:Z,15,0)</f>
        <v>康祐銓</v>
      </c>
      <c r="P53" s="137"/>
      <c r="Q53" s="137"/>
      <c r="R53" s="137"/>
      <c r="S53" s="137"/>
      <c r="T53" s="137"/>
      <c r="U53" s="137"/>
    </row>
    <row r="54" spans="1:21" s="138" customFormat="1" ht="78" customHeight="1">
      <c r="A54" s="268"/>
      <c r="B54" s="123" t="s">
        <v>604</v>
      </c>
      <c r="C54" s="326"/>
      <c r="D54" s="115" t="str">
        <f>VLOOKUP(L53,'回填(利用填方)-1'!A:N,7,0)&amp;CHAR(10)&amp;"M2"</f>
        <v>2622
M2</v>
      </c>
      <c r="E54" s="115"/>
      <c r="F54" s="115" t="str">
        <f>VLOOKUP(L53,'回填(利用填方)-1'!A:N,7,0)&amp;CHAR(10)&amp;"M2"&amp;CHAR(10)&amp;"("&amp;VLOOKUP(L53,'回填(利用填方)-1'!A:N,5,0)&amp;"次)"</f>
        <v>2622
M2
(3次)</v>
      </c>
      <c r="G54" s="275"/>
      <c r="H54" s="117" t="str">
        <f>VLOOKUP(L53,'回填(利用填方)-1'!A:N,8,0)&amp;CHAR(10)&amp;"M2"&amp;CHAR(10)&amp;"("&amp;VLOOKUP(L53,'回填(利用填方)-1'!A:N,6,0)&amp;"次)"</f>
        <v>15539.84
M2
(26次)</v>
      </c>
      <c r="I54" s="285"/>
      <c r="J54" s="281"/>
      <c r="K54" s="298"/>
      <c r="L54" s="127"/>
      <c r="M54" s="128"/>
      <c r="N54" s="137"/>
      <c r="O54" s="137"/>
      <c r="P54" s="137"/>
      <c r="Q54" s="137"/>
      <c r="R54" s="137"/>
      <c r="S54" s="137"/>
      <c r="T54" s="137"/>
      <c r="U54" s="137"/>
    </row>
    <row r="55" spans="1:21" s="138" customFormat="1" ht="78" customHeight="1">
      <c r="A55" s="267" t="str">
        <f>"25-1-"&amp;L55</f>
        <v>25-1-22</v>
      </c>
      <c r="B55" s="123" t="s">
        <v>603</v>
      </c>
      <c r="C55" s="326"/>
      <c r="D55" s="115">
        <f>VLOOKUP(L55,'回填(利用填方)-1'!A:T,2,0)</f>
        <v>46039</v>
      </c>
      <c r="E55" s="115" t="e">
        <f>#REF!&amp;#REF!</f>
        <v>#REF!</v>
      </c>
      <c r="F55" s="115">
        <f>VLOOKUP(L55,'回填(利用填方)-1'!A:N,3,0)</f>
        <v>46045</v>
      </c>
      <c r="G55" s="275"/>
      <c r="H55" s="117" t="str">
        <f>VLOOKUP(L55,'回填(利用填方)-1'!A:N,8,0)&amp;CHAR(10)&amp;"M2"</f>
        <v>18159.84
M2</v>
      </c>
      <c r="I55" s="285" t="s">
        <v>48</v>
      </c>
      <c r="J55" s="280" t="str">
        <f>IF(N55=0,"上  溢："&amp;O55,IF(M55=0,"任  泰："&amp;N55&amp;"                 "&amp;"上  溢："&amp;O55,
"水利處："&amp;M55&amp;"                 "&amp;"任  泰："&amp;N55&amp;"                 "&amp;"上  溢："&amp;O55))</f>
        <v>任  泰：王淑慧                 上  溢：康祐銓</v>
      </c>
      <c r="K55" s="264"/>
      <c r="L55" s="136">
        <f>L53+1</f>
        <v>22</v>
      </c>
      <c r="M55" s="128">
        <f>VLOOKUP(L55,'回填(利用填方)-1'!A:N,13,0)</f>
        <v>0</v>
      </c>
      <c r="N55" s="128" t="str">
        <f>VLOOKUP(L55,'回填(利用填方)-1'!A:N,14,0)</f>
        <v>王淑慧</v>
      </c>
      <c r="O55" s="128" t="str">
        <f>VLOOKUP(L55,'回填(利用填方)-1'!A:Z,15,0)</f>
        <v>康祐銓</v>
      </c>
      <c r="P55" s="137"/>
      <c r="Q55" s="137"/>
      <c r="R55" s="137"/>
      <c r="S55" s="137"/>
      <c r="T55" s="137"/>
      <c r="U55" s="137"/>
    </row>
    <row r="56" spans="1:21" s="138" customFormat="1" ht="78" customHeight="1">
      <c r="A56" s="268"/>
      <c r="B56" s="123" t="s">
        <v>604</v>
      </c>
      <c r="C56" s="281"/>
      <c r="D56" s="115" t="str">
        <f>VLOOKUP(L55,'回填(利用填方)-1'!A:N,7,0)&amp;CHAR(10)&amp;"M2"</f>
        <v>2620
M2</v>
      </c>
      <c r="E56" s="115"/>
      <c r="F56" s="115" t="str">
        <f>VLOOKUP(L55,'回填(利用填方)-1'!A:N,7,0)&amp;CHAR(10)&amp;"M2"&amp;CHAR(10)&amp;"("&amp;VLOOKUP(L55,'回填(利用填方)-1'!A:N,5,0)&amp;"次)"</f>
        <v>2620
M2
(3次)</v>
      </c>
      <c r="G56" s="266"/>
      <c r="H56" s="117" t="str">
        <f>VLOOKUP(L55,'回填(利用填方)-1'!A:N,8,0)&amp;CHAR(10)&amp;"M2"&amp;CHAR(10)&amp;"("&amp;VLOOKUP(L55,'回填(利用填方)-1'!A:N,6,0)&amp;"次)"</f>
        <v>18159.84
M2
(29次)</v>
      </c>
      <c r="I56" s="285"/>
      <c r="J56" s="281"/>
      <c r="K56" s="298"/>
      <c r="L56" s="127"/>
      <c r="M56" s="128"/>
      <c r="N56" s="137"/>
      <c r="O56" s="137"/>
      <c r="P56" s="137"/>
      <c r="Q56" s="137"/>
      <c r="R56" s="137"/>
      <c r="S56" s="137"/>
      <c r="T56" s="137"/>
      <c r="U56" s="137"/>
    </row>
    <row r="57" spans="1:21" s="142" customFormat="1" ht="49.5" customHeight="1">
      <c r="A57" s="260" t="s">
        <v>47</v>
      </c>
      <c r="B57" s="261"/>
      <c r="C57" s="262"/>
      <c r="D57" s="260" t="s">
        <v>1753</v>
      </c>
      <c r="E57" s="261"/>
      <c r="F57" s="261"/>
      <c r="G57" s="262"/>
      <c r="H57" s="332" t="s">
        <v>1755</v>
      </c>
      <c r="I57" s="332"/>
      <c r="J57" s="332"/>
      <c r="K57" s="333"/>
      <c r="M57" s="143"/>
      <c r="N57" s="143"/>
      <c r="O57" s="143"/>
      <c r="P57" s="143"/>
      <c r="Q57" s="143"/>
      <c r="R57" s="143"/>
      <c r="S57" s="143"/>
      <c r="T57" s="143"/>
      <c r="U57" s="143"/>
    </row>
    <row r="58" spans="1:21" s="142" customFormat="1" ht="42.75" customHeight="1">
      <c r="A58" s="324" t="s">
        <v>1188</v>
      </c>
      <c r="B58" s="324"/>
      <c r="C58" s="324"/>
      <c r="D58" s="324"/>
      <c r="E58" s="324"/>
      <c r="F58" s="324"/>
      <c r="G58" s="324"/>
      <c r="H58" s="324"/>
      <c r="I58" s="324"/>
      <c r="J58" s="324"/>
      <c r="K58" s="324"/>
      <c r="M58" s="143"/>
      <c r="N58" s="143"/>
      <c r="O58" s="143"/>
      <c r="P58" s="143"/>
      <c r="Q58" s="143"/>
      <c r="R58" s="143"/>
      <c r="S58" s="143"/>
      <c r="T58" s="143"/>
      <c r="U58" s="143"/>
    </row>
  </sheetData>
  <mergeCells count="123">
    <mergeCell ref="A55:A56"/>
    <mergeCell ref="I55:I56"/>
    <mergeCell ref="J55:J56"/>
    <mergeCell ref="K55:K56"/>
    <mergeCell ref="C49:C56"/>
    <mergeCell ref="G49:G56"/>
    <mergeCell ref="A53:A54"/>
    <mergeCell ref="I53:I54"/>
    <mergeCell ref="J53:J54"/>
    <mergeCell ref="K53:K54"/>
    <mergeCell ref="A37:A38"/>
    <mergeCell ref="K49:K50"/>
    <mergeCell ref="K51:K52"/>
    <mergeCell ref="A47:C47"/>
    <mergeCell ref="D47:G47"/>
    <mergeCell ref="I37:I38"/>
    <mergeCell ref="A39:A40"/>
    <mergeCell ref="I39:I40"/>
    <mergeCell ref="J39:J40"/>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A33:C33"/>
    <mergeCell ref="D33:G33"/>
    <mergeCell ref="H47:K47"/>
    <mergeCell ref="A48:K48"/>
    <mergeCell ref="J41:J42"/>
    <mergeCell ref="A41:A42"/>
    <mergeCell ref="I41:I42"/>
    <mergeCell ref="J37:J38"/>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K13:K14"/>
    <mergeCell ref="K15:K16"/>
    <mergeCell ref="K17:K18"/>
    <mergeCell ref="K21:K22"/>
    <mergeCell ref="K23:K24"/>
    <mergeCell ref="K25:K26"/>
    <mergeCell ref="A57:C57"/>
    <mergeCell ref="D57:G57"/>
    <mergeCell ref="H57:K57"/>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I13:I14"/>
    <mergeCell ref="A58:K58"/>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6" activePane="bottomRight" state="frozen"/>
      <selection activeCell="U14" sqref="U14"/>
      <selection pane="topRight" activeCell="U14" sqref="U14"/>
      <selection pane="bottomLeft" activeCell="U14" sqref="U14"/>
      <selection pane="bottomRight" activeCell="B18" sqref="B18"/>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86" t="s">
        <v>45</v>
      </c>
      <c r="B1" s="286"/>
      <c r="C1" s="286"/>
      <c r="D1" s="286"/>
      <c r="E1" s="286"/>
      <c r="F1" s="286"/>
      <c r="G1" s="286"/>
      <c r="H1" s="286"/>
      <c r="I1" s="286"/>
      <c r="J1" s="286"/>
      <c r="K1" s="286"/>
    </row>
    <row r="2" spans="1:15" ht="25.5">
      <c r="A2" s="286" t="s">
        <v>0</v>
      </c>
      <c r="B2" s="286"/>
      <c r="C2" s="286"/>
      <c r="D2" s="286"/>
      <c r="E2" s="286"/>
      <c r="F2" s="286"/>
      <c r="G2" s="286"/>
      <c r="H2" s="286"/>
      <c r="I2" s="286"/>
      <c r="J2" s="286"/>
      <c r="K2" s="286"/>
    </row>
    <row r="3" spans="1:15"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15" ht="16.5" customHeight="1">
      <c r="A4" s="303" t="s">
        <v>40</v>
      </c>
      <c r="B4" s="303"/>
      <c r="C4" s="303"/>
      <c r="D4" s="303"/>
      <c r="E4" s="303"/>
      <c r="F4" s="303"/>
      <c r="G4" s="303"/>
      <c r="H4" s="303" t="s">
        <v>84</v>
      </c>
      <c r="I4" s="303"/>
      <c r="J4" s="303"/>
      <c r="K4" s="303"/>
    </row>
    <row r="5" spans="1:15"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15" ht="56.25" customHeight="1">
      <c r="A6" s="279"/>
      <c r="B6" s="131" t="s">
        <v>1167</v>
      </c>
      <c r="C6" s="279"/>
      <c r="D6" s="131" t="s">
        <v>1160</v>
      </c>
      <c r="E6" s="131" t="s">
        <v>1168</v>
      </c>
      <c r="F6" s="131" t="s">
        <v>51</v>
      </c>
      <c r="G6" s="279"/>
      <c r="H6" s="133" t="s">
        <v>1169</v>
      </c>
      <c r="I6" s="279"/>
      <c r="J6" s="279"/>
      <c r="K6" s="134" t="s">
        <v>1170</v>
      </c>
    </row>
    <row r="7" spans="1:15" s="137" customFormat="1" ht="65.099999999999994" customHeight="1">
      <c r="A7" s="267" t="str">
        <f>"25-2-"&amp;L7</f>
        <v>25-2-1</v>
      </c>
      <c r="B7" s="123" t="s">
        <v>1413</v>
      </c>
      <c r="C7" s="280" t="s">
        <v>1878</v>
      </c>
      <c r="D7" s="115">
        <f>VLOOKUP(L7,'回填(構造物回填)-2'!A:T,2,0)</f>
        <v>45720</v>
      </c>
      <c r="E7" s="115" t="e">
        <f>#REF!&amp;#REF!</f>
        <v>#REF!</v>
      </c>
      <c r="F7" s="115">
        <f>VLOOKUP(L7,'回填(構造物回填)-2'!A:N,3,0)</f>
        <v>45726</v>
      </c>
      <c r="G7" s="264" t="s">
        <v>747</v>
      </c>
      <c r="H7" s="117" t="str">
        <f>VLOOKUP(L7,'回填(構造物回填)-2'!A:N,8,0)&amp;CHAR(10)&amp;"M2"</f>
        <v>428.4
M2</v>
      </c>
      <c r="I7" s="285" t="s">
        <v>48</v>
      </c>
      <c r="J7" s="274" t="str">
        <f>IF(N7=0,"上  溢："&amp;O7,IF(M7=0,"任  泰："&amp;N7&amp;"                 "&amp;"上  溢："&amp;O7,
"水利處："&amp;M7&amp;"                 "&amp;"任  泰："&amp;N7&amp;"                 "&amp;"上  溢："&amp;O7))</f>
        <v>水利處：李晏然                 任  泰：王淑慧                 上  溢：康祐銓</v>
      </c>
      <c r="K7" s="264" t="s">
        <v>1010</v>
      </c>
      <c r="L7" s="151">
        <v>1</v>
      </c>
      <c r="M7" s="128" t="str">
        <f>VLOOKUP(L7,'回填(構造物回填)-2'!A:N,13,0)</f>
        <v>李晏然</v>
      </c>
      <c r="N7" s="128" t="str">
        <f>VLOOKUP(L7,'回填(構造物回填)-2'!A:N,14,0)</f>
        <v>王淑慧</v>
      </c>
      <c r="O7" s="128" t="str">
        <f>VLOOKUP(L7,'回填(構造物回填)-2'!A:Z,15,0)</f>
        <v>康祐銓</v>
      </c>
    </row>
    <row r="8" spans="1:15" s="137" customFormat="1" ht="45" customHeight="1">
      <c r="A8" s="268"/>
      <c r="B8" s="123" t="s">
        <v>1109</v>
      </c>
      <c r="C8" s="326"/>
      <c r="D8" s="115" t="str">
        <f>VLOOKUP(L7,'回填(構造物回填)-2'!A:N,7,0)&amp;CHAR(10)&amp;"M2"</f>
        <v>428.4
M2</v>
      </c>
      <c r="E8" s="115"/>
      <c r="F8" s="115" t="str">
        <f>VLOOKUP(L7,'回填(構造物回填)-2'!A:N,7,0)&amp;CHAR(10)&amp;"M2"&amp;CHAR(10)&amp;"("&amp;VLOOKUP(L7,'回填(構造物回填)-2'!A:N,5,0)&amp;"次)"</f>
        <v>428.4
M2
(2次)</v>
      </c>
      <c r="G8" s="282"/>
      <c r="H8" s="117" t="str">
        <f>VLOOKUP(L7,'回填(構造物回填)-2'!A:N,8,0)&amp;CHAR(10)&amp;"M2"&amp;CHAR(10)&amp;"("&amp;VLOOKUP(L7,'回填(構造物回填)-2'!A:N,6,0)&amp;"次)"</f>
        <v>428.4
M2
(2次)</v>
      </c>
      <c r="I8" s="285"/>
      <c r="J8" s="274"/>
      <c r="K8" s="266"/>
      <c r="L8" s="128"/>
      <c r="M8" s="128"/>
    </row>
    <row r="9" spans="1:15" s="139" customFormat="1" ht="65.099999999999994" customHeight="1">
      <c r="A9" s="267" t="str">
        <f>"25-2-"&amp;L9</f>
        <v>25-2-2</v>
      </c>
      <c r="B9" s="123" t="s">
        <v>1413</v>
      </c>
      <c r="C9" s="282"/>
      <c r="D9" s="115">
        <f>VLOOKUP(L9,'回填(構造物回填)-2'!A:T,2,0)</f>
        <v>45869</v>
      </c>
      <c r="E9" s="115" t="e">
        <f>#REF!&amp;#REF!</f>
        <v>#REF!</v>
      </c>
      <c r="F9" s="115">
        <f>VLOOKUP(L9,'回填(構造物回填)-2'!A:N,3,0)</f>
        <v>45873</v>
      </c>
      <c r="G9" s="282"/>
      <c r="H9" s="117" t="str">
        <f>VLOOKUP(L9,'回填(構造物回填)-2'!A:N,8,0)&amp;CHAR(10)&amp;"M2"</f>
        <v>1253.4
M2</v>
      </c>
      <c r="I9" s="285" t="s">
        <v>48</v>
      </c>
      <c r="J9" s="274" t="str">
        <f>IF(N9=0,"上  溢："&amp;O9,IF(M9=0,"任  泰："&amp;N9&amp;"                 "&amp;"上  溢："&amp;O9,
"水利處："&amp;M9&amp;"                 "&amp;"任  泰："&amp;N9&amp;"                 "&amp;"上  溢："&amp;O9))</f>
        <v>上  溢：康祐銓</v>
      </c>
      <c r="K9" s="264" t="s">
        <v>1606</v>
      </c>
      <c r="L9" s="151">
        <f>L7+1</f>
        <v>2</v>
      </c>
      <c r="M9" s="128">
        <f>VLOOKUP(L9,'回填(構造物回填)-2'!A:N,13,0)</f>
        <v>0</v>
      </c>
      <c r="N9" s="128">
        <f>VLOOKUP(L9,'回填(構造物回填)-2'!A:N,14,0)</f>
        <v>0</v>
      </c>
      <c r="O9" s="128" t="str">
        <f>VLOOKUP(L9,'回填(構造物回填)-2'!A:Z,15,0)</f>
        <v>康祐銓</v>
      </c>
    </row>
    <row r="10" spans="1:15" s="139" customFormat="1" ht="45" customHeight="1">
      <c r="A10" s="268"/>
      <c r="B10" s="123" t="s">
        <v>1109</v>
      </c>
      <c r="C10" s="282"/>
      <c r="D10" s="115" t="str">
        <f>VLOOKUP(L9,'回填(構造物回填)-2'!A:N,7,0)&amp;CHAR(10)&amp;"M2"</f>
        <v>825
M2</v>
      </c>
      <c r="E10" s="115"/>
      <c r="F10" s="115" t="str">
        <f>VLOOKUP(L9,'回填(構造物回填)-2'!A:N,7,0)&amp;CHAR(10)&amp;"M2"&amp;CHAR(10)&amp;"("&amp;VLOOKUP(L9,'回填(構造物回填)-2'!A:N,5,0)&amp;"次)"</f>
        <v>825
M2
(1次)</v>
      </c>
      <c r="G10" s="282"/>
      <c r="H10" s="117" t="str">
        <f>VLOOKUP(L9,'回填(構造物回填)-2'!A:N,8,0)&amp;CHAR(10)&amp;"M2"&amp;CHAR(10)&amp;"("&amp;VLOOKUP(L9,'回填(構造物回填)-2'!A:N,6,0)&amp;"次)"</f>
        <v>1253.4
M2
(3次)</v>
      </c>
      <c r="I10" s="285"/>
      <c r="J10" s="274"/>
      <c r="K10" s="266"/>
      <c r="L10" s="128"/>
      <c r="M10" s="128"/>
    </row>
    <row r="11" spans="1:15" s="137" customFormat="1" ht="65.099999999999994" customHeight="1">
      <c r="A11" s="267" t="str">
        <f>"25-2-"&amp;L11</f>
        <v>25-2-3</v>
      </c>
      <c r="B11" s="123" t="s">
        <v>1413</v>
      </c>
      <c r="C11" s="282"/>
      <c r="D11" s="115">
        <f>VLOOKUP(L11,'回填(構造物回填)-2'!A:T,2,0)</f>
        <v>45897</v>
      </c>
      <c r="E11" s="115" t="e">
        <f>#REF!&amp;#REF!</f>
        <v>#REF!</v>
      </c>
      <c r="F11" s="115">
        <f>VLOOKUP(L11,'回填(構造物回填)-2'!A:N,3,0)</f>
        <v>45898</v>
      </c>
      <c r="G11" s="282"/>
      <c r="H11" s="117" t="str">
        <f>VLOOKUP(L11,'回填(構造物回填)-2'!A:N,8,0)&amp;CHAR(10)&amp;"M2"</f>
        <v>1582.2
M2</v>
      </c>
      <c r="I11" s="285" t="s">
        <v>48</v>
      </c>
      <c r="J11" s="274" t="str">
        <f>IF(N11=0,"上  溢："&amp;O11,IF(M11=0,"任  泰："&amp;N11&amp;"                 "&amp;"上  溢："&amp;O11,
"水利處："&amp;M11&amp;"                 "&amp;"任  泰："&amp;N11&amp;"                 "&amp;"上  溢："&amp;O11))</f>
        <v>任  泰：王淑慧                 上  溢：康祐銓</v>
      </c>
      <c r="K11" s="264" t="s">
        <v>1598</v>
      </c>
      <c r="L11" s="151">
        <f>L9+1</f>
        <v>3</v>
      </c>
      <c r="M11" s="128">
        <f>VLOOKUP(L11,'回填(構造物回填)-2'!A:N,13,0)</f>
        <v>0</v>
      </c>
      <c r="N11" s="128" t="str">
        <f>VLOOKUP(L11,'回填(構造物回填)-2'!A:N,14,0)</f>
        <v>王淑慧</v>
      </c>
      <c r="O11" s="128" t="str">
        <f>VLOOKUP(L11,'回填(構造物回填)-2'!A:Z,15,0)</f>
        <v>康祐銓</v>
      </c>
    </row>
    <row r="12" spans="1:15" s="137" customFormat="1" ht="45" customHeight="1">
      <c r="A12" s="268"/>
      <c r="B12" s="123" t="s">
        <v>1109</v>
      </c>
      <c r="C12" s="282"/>
      <c r="D12" s="115" t="str">
        <f>VLOOKUP(L11,'回填(構造物回填)-2'!A:N,7,0)&amp;CHAR(10)&amp;"M2"</f>
        <v>328.8
M2</v>
      </c>
      <c r="E12" s="115"/>
      <c r="F12" s="115" t="str">
        <f>VLOOKUP(L11,'回填(構造物回填)-2'!A:N,7,0)&amp;CHAR(10)&amp;"M2"&amp;CHAR(10)&amp;"("&amp;VLOOKUP(L11,'回填(構造物回填)-2'!A:N,5,0)&amp;"次)"</f>
        <v>328.8
M2
(1次)</v>
      </c>
      <c r="G12" s="282"/>
      <c r="H12" s="117" t="str">
        <f>VLOOKUP(L11,'回填(構造物回填)-2'!A:N,8,0)&amp;CHAR(10)&amp;"M2"&amp;CHAR(10)&amp;"("&amp;VLOOKUP(L11,'回填(構造物回填)-2'!A:N,6,0)&amp;"次)"</f>
        <v>1582.2
M2
(4次)</v>
      </c>
      <c r="I12" s="285"/>
      <c r="J12" s="274"/>
      <c r="K12" s="266"/>
      <c r="L12" s="128"/>
      <c r="M12" s="128"/>
    </row>
    <row r="13" spans="1:15" s="137" customFormat="1" ht="65.099999999999994" customHeight="1">
      <c r="A13" s="267" t="str">
        <f>"25-2-"&amp;L13</f>
        <v>25-2-4</v>
      </c>
      <c r="B13" s="123" t="s">
        <v>1413</v>
      </c>
      <c r="C13" s="282"/>
      <c r="D13" s="115">
        <f>VLOOKUP(L13,'回填(構造物回填)-2'!A:T,2,0)</f>
        <v>45940</v>
      </c>
      <c r="E13" s="115" t="e">
        <f>#REF!&amp;#REF!</f>
        <v>#REF!</v>
      </c>
      <c r="F13" s="115">
        <f>VLOOKUP(L13,'回填(構造物回填)-2'!A:N,3,0)</f>
        <v>45947</v>
      </c>
      <c r="G13" s="282"/>
      <c r="H13" s="117" t="str">
        <f>VLOOKUP(L13,'回填(構造物回填)-2'!A:N,8,0)&amp;CHAR(10)&amp;"M2"</f>
        <v>3242.2
M2</v>
      </c>
      <c r="I13" s="285" t="s">
        <v>48</v>
      </c>
      <c r="J13" s="274" t="str">
        <f>IF(N13=0,"上  溢："&amp;O13,IF(M13=0,"任  泰："&amp;N13&amp;"                 "&amp;"上  溢："&amp;O13,
"水利處："&amp;M13&amp;"                 "&amp;"任  泰："&amp;N13&amp;"                 "&amp;"上  溢："&amp;O13))</f>
        <v>水利處：李晏然                 任  泰：王淑慧                 上  溢：康祐銓</v>
      </c>
      <c r="K13" s="264" t="s">
        <v>1791</v>
      </c>
      <c r="L13" s="151">
        <f>L11+1</f>
        <v>4</v>
      </c>
      <c r="M13" s="128" t="str">
        <f>VLOOKUP(L13,'回填(構造物回填)-2'!A:N,13,0)</f>
        <v>李晏然</v>
      </c>
      <c r="N13" s="128" t="str">
        <f>VLOOKUP(L13,'回填(構造物回填)-2'!A:N,14,0)</f>
        <v>王淑慧</v>
      </c>
      <c r="O13" s="128" t="str">
        <f>VLOOKUP(L13,'回填(構造物回填)-2'!A:Z,15,0)</f>
        <v>康祐銓</v>
      </c>
    </row>
    <row r="14" spans="1:15" s="137" customFormat="1" ht="45" customHeight="1">
      <c r="A14" s="268"/>
      <c r="B14" s="123" t="s">
        <v>1109</v>
      </c>
      <c r="C14" s="282"/>
      <c r="D14" s="115" t="str">
        <f>VLOOKUP(L13,'回填(構造物回填)-2'!A:N,7,0)&amp;CHAR(10)&amp;"M2"</f>
        <v>1660
M2</v>
      </c>
      <c r="E14" s="115"/>
      <c r="F14" s="115" t="str">
        <f>VLOOKUP(L13,'回填(構造物回填)-2'!A:N,7,0)&amp;CHAR(10)&amp;"M2"&amp;CHAR(10)&amp;"("&amp;VLOOKUP(L13,'回填(構造物回填)-2'!A:N,5,0)&amp;"次)"</f>
        <v>1660
M2
(2次)</v>
      </c>
      <c r="G14" s="282"/>
      <c r="H14" s="117" t="str">
        <f>VLOOKUP(L13,'回填(構造物回填)-2'!A:N,8,0)&amp;CHAR(10)&amp;"M2"&amp;CHAR(10)&amp;"("&amp;VLOOKUP(L13,'回填(構造物回填)-2'!A:N,6,0)&amp;"次)"</f>
        <v>3242.2
M2
(6次)</v>
      </c>
      <c r="I14" s="285"/>
      <c r="J14" s="274"/>
      <c r="K14" s="266"/>
      <c r="L14" s="128"/>
      <c r="M14" s="128"/>
    </row>
    <row r="15" spans="1:15" s="137" customFormat="1" ht="65.099999999999994" customHeight="1">
      <c r="A15" s="267" t="str">
        <f>"25-2-"&amp;L15</f>
        <v>25-2-5</v>
      </c>
      <c r="B15" s="123" t="s">
        <v>1413</v>
      </c>
      <c r="C15" s="282"/>
      <c r="D15" s="115">
        <f>VLOOKUP(L15,'回填(構造物回填)-2'!A:T,2,0)</f>
        <v>45967</v>
      </c>
      <c r="E15" s="115" t="e">
        <f>#REF!&amp;#REF!</f>
        <v>#REF!</v>
      </c>
      <c r="F15" s="115">
        <f>VLOOKUP(L15,'回填(構造物回填)-2'!A:N,3,0)</f>
        <v>45968</v>
      </c>
      <c r="G15" s="282"/>
      <c r="H15" s="117" t="str">
        <f>VLOOKUP(L15,'回填(構造物回填)-2'!A:N,8,0)&amp;CHAR(10)&amp;"M2"</f>
        <v>5022.2
M2</v>
      </c>
      <c r="I15" s="285" t="s">
        <v>48</v>
      </c>
      <c r="J15" s="274" t="str">
        <f>IF(N15=0,"上  溢："&amp;O15,IF(M15=0,"任  泰："&amp;N15&amp;"                 "&amp;"上  溢："&amp;O15,
"水利處："&amp;M15&amp;"                 "&amp;"任  泰："&amp;N15&amp;"                 "&amp;"上  溢："&amp;O15))</f>
        <v>水利處：李晏然                 任  泰：王淑慧                 上  溢：康祐銓</v>
      </c>
      <c r="K15" s="264" t="s">
        <v>1793</v>
      </c>
      <c r="L15" s="151">
        <f>L13+1</f>
        <v>5</v>
      </c>
      <c r="M15" s="128" t="str">
        <f>VLOOKUP(L15,'回填(構造物回填)-2'!A:N,13,0)</f>
        <v>李晏然</v>
      </c>
      <c r="N15" s="128" t="str">
        <f>VLOOKUP(L15,'回填(構造物回填)-2'!A:N,14,0)</f>
        <v>王淑慧</v>
      </c>
      <c r="O15" s="128" t="str">
        <f>VLOOKUP(L15,'回填(構造物回填)-2'!A:Z,15,0)</f>
        <v>康祐銓</v>
      </c>
    </row>
    <row r="16" spans="1:15" s="137" customFormat="1" ht="50.1" customHeight="1">
      <c r="A16" s="268"/>
      <c r="B16" s="123" t="s">
        <v>1109</v>
      </c>
      <c r="C16" s="282"/>
      <c r="D16" s="115" t="str">
        <f>VLOOKUP(L15,'回填(構造物回填)-2'!A:N,7,0)&amp;CHAR(10)&amp;"M2"</f>
        <v>1780
M2</v>
      </c>
      <c r="E16" s="115"/>
      <c r="F16" s="115" t="str">
        <f>VLOOKUP(L15,'回填(構造物回填)-2'!A:N,7,0)&amp;CHAR(10)&amp;"M2"&amp;CHAR(10)&amp;"("&amp;VLOOKUP(L15,'回填(構造物回填)-2'!A:N,5,0)&amp;"次)"</f>
        <v>1780
M2
(2次)</v>
      </c>
      <c r="G16" s="282"/>
      <c r="H16" s="117" t="str">
        <f>VLOOKUP(L15,'回填(構造物回填)-2'!A:N,8,0)&amp;CHAR(10)&amp;"M2"&amp;CHAR(10)&amp;"("&amp;VLOOKUP(L15,'回填(構造物回填)-2'!A:N,6,0)&amp;"次)"</f>
        <v>5022.2
M2
(8次)</v>
      </c>
      <c r="I16" s="285"/>
      <c r="J16" s="274"/>
      <c r="K16" s="266"/>
      <c r="L16" s="128"/>
      <c r="M16" s="128"/>
    </row>
    <row r="17" spans="1:15" s="137" customFormat="1" ht="65.099999999999994" customHeight="1">
      <c r="A17" s="267" t="str">
        <f>"25-2-"&amp;L17</f>
        <v>25-2-6</v>
      </c>
      <c r="B17" s="123" t="s">
        <v>1413</v>
      </c>
      <c r="C17" s="282"/>
      <c r="D17" s="115">
        <f>VLOOKUP(L17,'回填(構造物回填)-2'!A:T,2,0)</f>
        <v>46040</v>
      </c>
      <c r="E17" s="115" t="e">
        <f>#REF!&amp;#REF!</f>
        <v>#REF!</v>
      </c>
      <c r="F17" s="115">
        <f>VLOOKUP(L17,'回填(構造物回填)-2'!A:N,3,0)</f>
        <v>46045</v>
      </c>
      <c r="G17" s="282"/>
      <c r="H17" s="117" t="str">
        <f>VLOOKUP(L17,'回填(構造物回填)-2'!A:N,8,0)&amp;CHAR(10)&amp;"M2"</f>
        <v>5942.2
M2</v>
      </c>
      <c r="I17" s="285" t="s">
        <v>48</v>
      </c>
      <c r="J17" s="274" t="str">
        <f>IF(N17=0,"上  溢："&amp;O17,IF(M17=0,"任  泰："&amp;N17&amp;"                 "&amp;"上  溢："&amp;O17,
"水利處："&amp;M17&amp;"                 "&amp;"任  泰："&amp;N17&amp;"                 "&amp;"上  溢："&amp;O17))</f>
        <v>任  泰：王淑慧                 上  溢：康祐銓</v>
      </c>
      <c r="K17" s="264" t="s">
        <v>1901</v>
      </c>
      <c r="L17" s="151">
        <f>L15+1</f>
        <v>6</v>
      </c>
      <c r="M17" s="128">
        <f>VLOOKUP(L17,'回填(構造物回填)-2'!A:N,13,0)</f>
        <v>0</v>
      </c>
      <c r="N17" s="128" t="str">
        <f>VLOOKUP(L17,'回填(構造物回填)-2'!A:N,14,0)</f>
        <v>王淑慧</v>
      </c>
      <c r="O17" s="128" t="str">
        <f>VLOOKUP(L17,'回填(構造物回填)-2'!A:Z,15,0)</f>
        <v>康祐銓</v>
      </c>
    </row>
    <row r="18" spans="1:15" s="137" customFormat="1" ht="50.1" customHeight="1">
      <c r="A18" s="268"/>
      <c r="B18" s="123" t="s">
        <v>1109</v>
      </c>
      <c r="C18" s="265"/>
      <c r="D18" s="115" t="str">
        <f>VLOOKUP(L17,'回填(構造物回填)-2'!A:N,7,0)&amp;CHAR(10)&amp;"M2"</f>
        <v>920
M2</v>
      </c>
      <c r="E18" s="115"/>
      <c r="F18" s="115" t="str">
        <f>VLOOKUP(L17,'回填(構造物回填)-2'!A:N,7,0)&amp;CHAR(10)&amp;"M2"&amp;CHAR(10)&amp;"("&amp;VLOOKUP(L17,'回填(構造物回填)-2'!A:N,5,0)&amp;"次)"</f>
        <v>920
M2
(1次)</v>
      </c>
      <c r="G18" s="265"/>
      <c r="H18" s="117" t="str">
        <f>VLOOKUP(L17,'回填(構造物回填)-2'!A:N,8,0)&amp;CHAR(10)&amp;"M2"&amp;CHAR(10)&amp;"("&amp;VLOOKUP(L17,'回填(構造物回填)-2'!A:N,6,0)&amp;"次)"</f>
        <v>5942.2
M2
(9次)</v>
      </c>
      <c r="I18" s="285"/>
      <c r="J18" s="274"/>
      <c r="K18" s="298"/>
      <c r="L18" s="128"/>
      <c r="M18" s="128"/>
    </row>
    <row r="19" spans="1:15" s="143" customFormat="1" ht="49.5" customHeight="1">
      <c r="A19" s="260" t="s">
        <v>47</v>
      </c>
      <c r="B19" s="261"/>
      <c r="C19" s="262"/>
      <c r="D19" s="260" t="s">
        <v>1753</v>
      </c>
      <c r="E19" s="261"/>
      <c r="F19" s="261"/>
      <c r="G19" s="262"/>
      <c r="H19" s="332" t="s">
        <v>1755</v>
      </c>
      <c r="I19" s="332"/>
      <c r="J19" s="332"/>
      <c r="K19" s="333"/>
    </row>
    <row r="20" spans="1:15" s="143" customFormat="1" ht="37.5" customHeight="1">
      <c r="A20" s="324" t="s">
        <v>1188</v>
      </c>
      <c r="B20" s="324"/>
      <c r="C20" s="324"/>
      <c r="D20" s="324"/>
      <c r="E20" s="324"/>
      <c r="F20" s="324"/>
      <c r="G20" s="324"/>
      <c r="H20" s="324"/>
      <c r="I20" s="324"/>
      <c r="J20" s="324"/>
      <c r="K20" s="324"/>
    </row>
    <row r="24" spans="1:15" ht="409.5">
      <c r="A24" s="129" t="s">
        <v>52</v>
      </c>
    </row>
  </sheetData>
  <mergeCells count="41">
    <mergeCell ref="K7:K8"/>
    <mergeCell ref="K9:K10"/>
    <mergeCell ref="K11:K12"/>
    <mergeCell ref="K13:K14"/>
    <mergeCell ref="K15:K16"/>
    <mergeCell ref="J15:J16"/>
    <mergeCell ref="A17:A18"/>
    <mergeCell ref="I17:I18"/>
    <mergeCell ref="J17:J18"/>
    <mergeCell ref="A20:K20"/>
    <mergeCell ref="A19:C19"/>
    <mergeCell ref="D19:G19"/>
    <mergeCell ref="H19:K19"/>
    <mergeCell ref="K17:K18"/>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5:J6"/>
    <mergeCell ref="A1:K1"/>
    <mergeCell ref="A2:K2"/>
    <mergeCell ref="A3:G3"/>
    <mergeCell ref="H3:K3"/>
    <mergeCell ref="A4:G4"/>
    <mergeCell ref="H4:K4"/>
    <mergeCell ref="A5:A6"/>
    <mergeCell ref="C5:C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30"/>
  <sheetViews>
    <sheetView view="pageBreakPreview" zoomScale="70" zoomScaleNormal="100" zoomScaleSheetLayoutView="70" zoomScalePageLayoutView="85" workbookViewId="0">
      <pane xSplit="1" ySplit="6" topLeftCell="B21" activePane="bottomRight" state="frozen"/>
      <selection activeCell="U14" sqref="U14"/>
      <selection pane="topRight" activeCell="U14" sqref="U14"/>
      <selection pane="bottomLeft" activeCell="U14" sqref="U14"/>
      <selection pane="bottomRight" activeCell="B22" sqref="B22"/>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86" t="s">
        <v>45</v>
      </c>
      <c r="B1" s="286"/>
      <c r="C1" s="286"/>
      <c r="D1" s="286"/>
      <c r="E1" s="286"/>
      <c r="F1" s="286"/>
      <c r="G1" s="286"/>
      <c r="H1" s="286"/>
      <c r="I1" s="286"/>
      <c r="J1" s="286"/>
      <c r="K1" s="286"/>
    </row>
    <row r="2" spans="1:15" ht="25.5">
      <c r="A2" s="286" t="s">
        <v>0</v>
      </c>
      <c r="B2" s="286"/>
      <c r="C2" s="286"/>
      <c r="D2" s="286"/>
      <c r="E2" s="286"/>
      <c r="F2" s="286"/>
      <c r="G2" s="286"/>
      <c r="H2" s="286"/>
      <c r="I2" s="286"/>
      <c r="J2" s="286"/>
      <c r="K2" s="286"/>
    </row>
    <row r="3" spans="1:15"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15" ht="16.5" customHeight="1">
      <c r="A4" s="303" t="s">
        <v>40</v>
      </c>
      <c r="B4" s="303"/>
      <c r="C4" s="303"/>
      <c r="D4" s="303"/>
      <c r="E4" s="303"/>
      <c r="F4" s="303"/>
      <c r="G4" s="303"/>
      <c r="H4" s="303" t="s">
        <v>84</v>
      </c>
      <c r="I4" s="303"/>
      <c r="J4" s="303"/>
      <c r="K4" s="303"/>
    </row>
    <row r="5" spans="1:15" ht="56.25" customHeight="1">
      <c r="A5" s="278" t="s">
        <v>1</v>
      </c>
      <c r="B5" s="131" t="s">
        <v>1152</v>
      </c>
      <c r="C5" s="278" t="s">
        <v>588</v>
      </c>
      <c r="D5" s="131" t="s">
        <v>587</v>
      </c>
      <c r="E5" s="131" t="s">
        <v>50</v>
      </c>
      <c r="F5" s="131" t="s">
        <v>50</v>
      </c>
      <c r="G5" s="278" t="s">
        <v>613</v>
      </c>
      <c r="H5" s="131" t="s">
        <v>1153</v>
      </c>
      <c r="I5" s="278" t="s">
        <v>612</v>
      </c>
      <c r="J5" s="278" t="s">
        <v>611</v>
      </c>
      <c r="K5" s="132" t="s">
        <v>16</v>
      </c>
    </row>
    <row r="6" spans="1:15" ht="56.25" customHeight="1">
      <c r="A6" s="279"/>
      <c r="B6" s="131" t="s">
        <v>614</v>
      </c>
      <c r="C6" s="279"/>
      <c r="D6" s="131" t="s">
        <v>49</v>
      </c>
      <c r="E6" s="131" t="s">
        <v>51</v>
      </c>
      <c r="F6" s="131" t="s">
        <v>51</v>
      </c>
      <c r="G6" s="279"/>
      <c r="H6" s="133" t="s">
        <v>1154</v>
      </c>
      <c r="I6" s="279"/>
      <c r="J6" s="279"/>
      <c r="K6" s="134" t="s">
        <v>46</v>
      </c>
    </row>
    <row r="7" spans="1:15" s="137" customFormat="1" ht="65.099999999999994" customHeight="1">
      <c r="A7" s="267" t="str">
        <f>"25-3-"&amp;L7</f>
        <v>25-3-1</v>
      </c>
      <c r="B7" s="123" t="s">
        <v>1417</v>
      </c>
      <c r="C7" s="280" t="s">
        <v>1879</v>
      </c>
      <c r="D7" s="115">
        <f>VLOOKUP(L7,'回填(透水磚紙模地坪)-3'!A:T,2,0)</f>
        <v>45681</v>
      </c>
      <c r="E7" s="115" t="e">
        <f>#REF!&amp;#REF!</f>
        <v>#REF!</v>
      </c>
      <c r="F7" s="115">
        <f>VLOOKUP(L7,'回填(透水磚紙模地坪)-3'!A:N,3,0)</f>
        <v>45694</v>
      </c>
      <c r="G7" s="264" t="s">
        <v>747</v>
      </c>
      <c r="H7" s="117" t="str">
        <f>VLOOKUP(L7,'回填(透水磚紙模地坪)-3'!A:N,8,0)&amp;CHAR(10)&amp;"M2"</f>
        <v>1071
M2</v>
      </c>
      <c r="I7" s="285" t="s">
        <v>48</v>
      </c>
      <c r="J7" s="274" t="str">
        <f>IF(N7=0,"上  溢："&amp;O7,IF(M7=0,"任  泰："&amp;N7&amp;"                 "&amp;"上  溢："&amp;O7,
"水利處："&amp;M7&amp;"                 "&amp;"任  泰："&amp;N7&amp;"                 "&amp;"上  溢："&amp;O7))</f>
        <v>水利處：李晏然                 任  泰：王淑慧                 上  溢：康祐銓</v>
      </c>
      <c r="K7" s="341" t="s">
        <v>1008</v>
      </c>
      <c r="L7" s="151">
        <v>1</v>
      </c>
      <c r="M7" s="128" t="str">
        <f>VLOOKUP(L7,'回填(透水磚紙模地坪)-3'!A:N,13,0)</f>
        <v>李晏然</v>
      </c>
      <c r="N7" s="128" t="str">
        <f>VLOOKUP(L7,'回填(透水磚紙模地坪)-3'!A:N,14,0)</f>
        <v>王淑慧</v>
      </c>
      <c r="O7" s="128" t="str">
        <f>VLOOKUP(L7,'回填(透水磚紙模地坪)-3'!A:Z,15,0)</f>
        <v>康祐銓</v>
      </c>
    </row>
    <row r="8" spans="1:15" s="137" customFormat="1" ht="45" customHeight="1">
      <c r="A8" s="268"/>
      <c r="B8" s="123" t="s">
        <v>1416</v>
      </c>
      <c r="C8" s="326"/>
      <c r="D8" s="115" t="str">
        <f>VLOOKUP(L7,'回填(透水磚紙模地坪)-3'!A:N,7,0)&amp;CHAR(10)&amp;"M2"</f>
        <v>1071
M2</v>
      </c>
      <c r="E8" s="115"/>
      <c r="F8" s="115" t="str">
        <f>VLOOKUP(L7,'回填(透水磚紙模地坪)-3'!A:N,7,0)&amp;CHAR(10)&amp;"M2"&amp;CHAR(10)&amp;"("&amp;VLOOKUP(L7,'回填(透水磚紙模地坪)-3'!A:N,5,0)&amp;"次)"</f>
        <v>1071
M2
(2次)</v>
      </c>
      <c r="G8" s="282"/>
      <c r="H8" s="117" t="str">
        <f>VLOOKUP(L7,'回填(透水磚紙模地坪)-3'!A:N,8,0)&amp;CHAR(10)&amp;"M2"&amp;CHAR(10)&amp;"("&amp;VLOOKUP(L7,'回填(透水磚紙模地坪)-3'!A:N,6,0)&amp;"次)"</f>
        <v>1071
M2
(2次)</v>
      </c>
      <c r="I8" s="285"/>
      <c r="J8" s="274"/>
      <c r="K8" s="265"/>
      <c r="L8" s="128"/>
      <c r="M8" s="128"/>
    </row>
    <row r="9" spans="1:15" s="139" customFormat="1" ht="65.099999999999994" customHeight="1">
      <c r="A9" s="267" t="str">
        <f>"25-3-"&amp;L9</f>
        <v>25-3-2</v>
      </c>
      <c r="B9" s="123" t="s">
        <v>1417</v>
      </c>
      <c r="C9" s="282"/>
      <c r="D9" s="115">
        <f>VLOOKUP(L9,'回填(透水磚紙模地坪)-3'!A:T,2,0)</f>
        <v>45782</v>
      </c>
      <c r="E9" s="115" t="e">
        <f>#REF!&amp;#REF!</f>
        <v>#REF!</v>
      </c>
      <c r="F9" s="115">
        <f>VLOOKUP(L9,'回填(透水磚紙模地坪)-3'!A:N,3,0)</f>
        <v>45786</v>
      </c>
      <c r="G9" s="282"/>
      <c r="H9" s="117" t="str">
        <f>VLOOKUP(L9,'回填(透水磚紙模地坪)-3'!A:N,8,0)&amp;CHAR(10)&amp;"M2"</f>
        <v>1551
M2</v>
      </c>
      <c r="I9" s="285" t="s">
        <v>48</v>
      </c>
      <c r="J9" s="274" t="str">
        <f>IF(N9=0,"上  溢："&amp;O9,IF(M9=0,"任  泰："&amp;N9&amp;"                 "&amp;"上  溢："&amp;O9,
"水利處："&amp;M9&amp;"                 "&amp;"任  泰："&amp;N9&amp;"                 "&amp;"上  溢："&amp;O9))</f>
        <v>水利處：李晏然                 任  泰：王淑慧                 上  溢：康祐銓</v>
      </c>
      <c r="K9" s="341" t="s">
        <v>1089</v>
      </c>
      <c r="L9" s="151">
        <f>L7+1</f>
        <v>2</v>
      </c>
      <c r="M9" s="128" t="str">
        <f>VLOOKUP(L9,'回填(透水磚紙模地坪)-3'!A:N,13,0)</f>
        <v>李晏然</v>
      </c>
      <c r="N9" s="128" t="str">
        <f>VLOOKUP(L9,'回填(透水磚紙模地坪)-3'!A:N,14,0)</f>
        <v>王淑慧</v>
      </c>
      <c r="O9" s="128" t="str">
        <f>VLOOKUP(L9,'回填(透水磚紙模地坪)-3'!A:Z,15,0)</f>
        <v>康祐銓</v>
      </c>
    </row>
    <row r="10" spans="1:15" s="139" customFormat="1" ht="45" customHeight="1">
      <c r="A10" s="268"/>
      <c r="B10" s="123" t="s">
        <v>1416</v>
      </c>
      <c r="C10" s="282"/>
      <c r="D10" s="115" t="str">
        <f>VLOOKUP(L9,'回填(透水磚紙模地坪)-3'!A:N,7,0)&amp;CHAR(10)&amp;"M2"</f>
        <v>480
M2</v>
      </c>
      <c r="E10" s="115"/>
      <c r="F10" s="115" t="str">
        <f>VLOOKUP(L9,'回填(透水磚紙模地坪)-3'!A:N,7,0)&amp;CHAR(10)&amp;"M2"&amp;CHAR(10)&amp;"("&amp;VLOOKUP(L9,'回填(透水磚紙模地坪)-3'!A:N,5,0)&amp;"次)"</f>
        <v>480
M2
(1次)</v>
      </c>
      <c r="G10" s="282"/>
      <c r="H10" s="117" t="str">
        <f>VLOOKUP(L9,'回填(透水磚紙模地坪)-3'!A:N,8,0)&amp;CHAR(10)&amp;"M2"&amp;CHAR(10)&amp;"("&amp;VLOOKUP(L9,'回填(透水磚紙模地坪)-3'!A:N,6,0)&amp;"次)"</f>
        <v>1551
M2
(3次)</v>
      </c>
      <c r="I10" s="285"/>
      <c r="J10" s="274"/>
      <c r="K10" s="265"/>
      <c r="L10" s="128"/>
      <c r="M10" s="128"/>
    </row>
    <row r="11" spans="1:15" s="137" customFormat="1" ht="65.099999999999994" customHeight="1">
      <c r="A11" s="267" t="str">
        <f>"25-3-"&amp;L11</f>
        <v>25-3-3</v>
      </c>
      <c r="B11" s="123" t="s">
        <v>1417</v>
      </c>
      <c r="C11" s="282"/>
      <c r="D11" s="115">
        <f>VLOOKUP(L11,'回填(透水磚紙模地坪)-3'!A:T,2,0)</f>
        <v>45843</v>
      </c>
      <c r="E11" s="115" t="e">
        <f>#REF!&amp;#REF!</f>
        <v>#REF!</v>
      </c>
      <c r="F11" s="115">
        <f>VLOOKUP(L11,'回填(透水磚紙模地坪)-3'!A:N,3,0)</f>
        <v>45854</v>
      </c>
      <c r="G11" s="282"/>
      <c r="H11" s="117" t="str">
        <f>VLOOKUP(L11,'回填(透水磚紙模地坪)-3'!A:N,8,0)&amp;CHAR(10)&amp;"M2"</f>
        <v>1752.4
M2</v>
      </c>
      <c r="I11" s="285" t="s">
        <v>48</v>
      </c>
      <c r="J11" s="274" t="str">
        <f>IF(N11=0,"上  溢："&amp;O11,IF(M11=0,"任  泰："&amp;N11&amp;"                 "&amp;"上  溢："&amp;O11,
"水利處："&amp;M11&amp;"                 "&amp;"任  泰："&amp;N11&amp;"                 "&amp;"上  溢："&amp;O11))</f>
        <v>上  溢：康祐銓</v>
      </c>
      <c r="K11" s="341" t="s">
        <v>1426</v>
      </c>
      <c r="L11" s="151">
        <f>L9+1</f>
        <v>3</v>
      </c>
      <c r="M11" s="128">
        <f>VLOOKUP(L11,'回填(透水磚紙模地坪)-3'!A:N,13,0)</f>
        <v>0</v>
      </c>
      <c r="N11" s="128">
        <f>VLOOKUP(L11,'回填(透水磚紙模地坪)-3'!A:N,14,0)</f>
        <v>0</v>
      </c>
      <c r="O11" s="128" t="str">
        <f>VLOOKUP(L11,'回填(透水磚紙模地坪)-3'!A:Z,15,0)</f>
        <v>康祐銓</v>
      </c>
    </row>
    <row r="12" spans="1:15" s="137" customFormat="1" ht="45" customHeight="1">
      <c r="A12" s="268"/>
      <c r="B12" s="123" t="s">
        <v>1416</v>
      </c>
      <c r="C12" s="282"/>
      <c r="D12" s="115" t="str">
        <f>VLOOKUP(L11,'回填(透水磚紙模地坪)-3'!A:N,7,0)&amp;CHAR(10)&amp;"M2"</f>
        <v>201.4
M2</v>
      </c>
      <c r="E12" s="115"/>
      <c r="F12" s="115" t="str">
        <f>VLOOKUP(L11,'回填(透水磚紙模地坪)-3'!A:N,7,0)&amp;CHAR(10)&amp;"M2"&amp;CHAR(10)&amp;"("&amp;VLOOKUP(L11,'回填(透水磚紙模地坪)-3'!A:N,5,0)&amp;"次)"</f>
        <v>201.4
M2
(1次)</v>
      </c>
      <c r="G12" s="282"/>
      <c r="H12" s="117" t="str">
        <f>VLOOKUP(L11,'回填(透水磚紙模地坪)-3'!A:N,8,0)&amp;CHAR(10)&amp;"M2"&amp;CHAR(10)&amp;"("&amp;VLOOKUP(L11,'回填(透水磚紙模地坪)-3'!A:N,6,0)&amp;"次)"</f>
        <v>1752.4
M2
(4次)</v>
      </c>
      <c r="I12" s="285"/>
      <c r="J12" s="274"/>
      <c r="K12" s="265"/>
      <c r="L12" s="128"/>
      <c r="M12" s="128"/>
    </row>
    <row r="13" spans="1:15" s="137" customFormat="1" ht="65.099999999999994" customHeight="1">
      <c r="A13" s="267" t="str">
        <f>"25-3-"&amp;L13</f>
        <v>25-3-4</v>
      </c>
      <c r="B13" s="123" t="s">
        <v>1417</v>
      </c>
      <c r="C13" s="282"/>
      <c r="D13" s="115">
        <f>VLOOKUP(L13,'回填(透水磚紙模地坪)-3'!A:T,2,0)</f>
        <v>45870</v>
      </c>
      <c r="E13" s="115" t="e">
        <f>#REF!&amp;#REF!</f>
        <v>#REF!</v>
      </c>
      <c r="F13" s="115">
        <f>VLOOKUP(L13,'回填(透水磚紙模地坪)-3'!A:N,3,0)</f>
        <v>45873</v>
      </c>
      <c r="G13" s="282"/>
      <c r="H13" s="117" t="str">
        <f>VLOOKUP(L13,'回填(透水磚紙模地坪)-3'!A:N,8,0)&amp;CHAR(10)&amp;"M2"</f>
        <v>2594.9
M2</v>
      </c>
      <c r="I13" s="285" t="s">
        <v>48</v>
      </c>
      <c r="J13" s="274" t="str">
        <f>IF(N13=0,"上  溢："&amp;O13,IF(M13=0,"任  泰："&amp;N13&amp;"                 "&amp;"上  溢："&amp;O13,
"水利處："&amp;M13&amp;"                 "&amp;"任  泰："&amp;N13&amp;"                 "&amp;"上  溢："&amp;O13))</f>
        <v>上  溢：康祐銓</v>
      </c>
      <c r="K13" s="341" t="s">
        <v>1599</v>
      </c>
      <c r="L13" s="151">
        <f>L11+1</f>
        <v>4</v>
      </c>
      <c r="M13" s="128">
        <f>VLOOKUP(L13,'回填(透水磚紙模地坪)-3'!A:N,13,0)</f>
        <v>0</v>
      </c>
      <c r="N13" s="128">
        <f>VLOOKUP(L13,'回填(透水磚紙模地坪)-3'!A:N,14,0)</f>
        <v>0</v>
      </c>
      <c r="O13" s="128" t="str">
        <f>VLOOKUP(L13,'回填(透水磚紙模地坪)-3'!A:Z,15,0)</f>
        <v>康祐銓</v>
      </c>
    </row>
    <row r="14" spans="1:15" s="137" customFormat="1" ht="45" customHeight="1">
      <c r="A14" s="268"/>
      <c r="B14" s="123" t="s">
        <v>1416</v>
      </c>
      <c r="C14" s="282"/>
      <c r="D14" s="115" t="str">
        <f>VLOOKUP(L13,'回填(透水磚紙模地坪)-3'!A:N,7,0)&amp;CHAR(10)&amp;"M2"</f>
        <v>842.5
M2</v>
      </c>
      <c r="E14" s="115"/>
      <c r="F14" s="115" t="str">
        <f>VLOOKUP(L13,'回填(透水磚紙模地坪)-3'!A:N,7,0)&amp;CHAR(10)&amp;"M2"&amp;CHAR(10)&amp;"("&amp;VLOOKUP(L13,'回填(透水磚紙模地坪)-3'!A:N,5,0)&amp;"次)"</f>
        <v>842.5
M2
(1次)</v>
      </c>
      <c r="G14" s="282"/>
      <c r="H14" s="117" t="str">
        <f>VLOOKUP(L13,'回填(透水磚紙模地坪)-3'!A:N,8,0)&amp;CHAR(10)&amp;"M2"&amp;CHAR(10)&amp;"("&amp;VLOOKUP(L13,'回填(透水磚紙模地坪)-3'!A:N,6,0)&amp;"次)"</f>
        <v>2594.9
M2
(5次)</v>
      </c>
      <c r="I14" s="285"/>
      <c r="J14" s="274"/>
      <c r="K14" s="265"/>
      <c r="L14" s="128"/>
      <c r="M14" s="128"/>
    </row>
    <row r="15" spans="1:15" s="137" customFormat="1" ht="65.099999999999994" customHeight="1">
      <c r="A15" s="267" t="str">
        <f>"25-3-"&amp;L15</f>
        <v>25-3-5</v>
      </c>
      <c r="B15" s="123" t="s">
        <v>1417</v>
      </c>
      <c r="C15" s="282"/>
      <c r="D15" s="115">
        <f>VLOOKUP(L15,'回填(透水磚紙模地坪)-3'!A:T,2,0)</f>
        <v>45884</v>
      </c>
      <c r="E15" s="115" t="e">
        <f>#REF!&amp;#REF!</f>
        <v>#REF!</v>
      </c>
      <c r="F15" s="115">
        <f>VLOOKUP(L15,'回填(透水磚紙模地坪)-3'!A:N,3,0)</f>
        <v>45884</v>
      </c>
      <c r="G15" s="282"/>
      <c r="H15" s="117" t="str">
        <f>VLOOKUP(L15,'回填(透水磚紙模地坪)-3'!A:N,8,0)&amp;CHAR(10)&amp;"M2"</f>
        <v>2744.9
M2</v>
      </c>
      <c r="I15" s="285" t="s">
        <v>48</v>
      </c>
      <c r="J15" s="274" t="str">
        <f>IF(N15=0,"上  溢："&amp;O15,IF(M15=0,"任  泰："&amp;N15&amp;"                 "&amp;"上  溢："&amp;O15,
"水利處："&amp;M15&amp;"                 "&amp;"任  泰："&amp;N15&amp;"                 "&amp;"上  溢："&amp;O15))</f>
        <v>上  溢：康祐銓</v>
      </c>
      <c r="K15" s="341" t="s">
        <v>1427</v>
      </c>
      <c r="L15" s="151">
        <f>L13+1</f>
        <v>5</v>
      </c>
      <c r="M15" s="128">
        <f>VLOOKUP(L15,'回填(透水磚紙模地坪)-3'!A:N,13,0)</f>
        <v>0</v>
      </c>
      <c r="N15" s="128">
        <f>VLOOKUP(L15,'回填(透水磚紙模地坪)-3'!A:N,14,0)</f>
        <v>0</v>
      </c>
      <c r="O15" s="128" t="str">
        <f>VLOOKUP(L15,'回填(透水磚紙模地坪)-3'!A:Z,15,0)</f>
        <v>康祐銓</v>
      </c>
    </row>
    <row r="16" spans="1:15" s="137" customFormat="1" ht="50.1" customHeight="1">
      <c r="A16" s="268"/>
      <c r="B16" s="123" t="s">
        <v>1416</v>
      </c>
      <c r="C16" s="282"/>
      <c r="D16" s="115" t="str">
        <f>VLOOKUP(L15,'回填(透水磚紙模地坪)-3'!A:N,7,0)&amp;CHAR(10)&amp;"M2"</f>
        <v>150
M2</v>
      </c>
      <c r="E16" s="115"/>
      <c r="F16" s="115" t="str">
        <f>VLOOKUP(L15,'回填(透水磚紙模地坪)-3'!A:N,7,0)&amp;CHAR(10)&amp;"M2"&amp;CHAR(10)&amp;"("&amp;VLOOKUP(L15,'回填(透水磚紙模地坪)-3'!A:N,5,0)&amp;"次)"</f>
        <v>150
M2
(1次)</v>
      </c>
      <c r="G16" s="282"/>
      <c r="H16" s="117" t="str">
        <f>VLOOKUP(L15,'回填(透水磚紙模地坪)-3'!A:N,8,0)&amp;CHAR(10)&amp;"M2"&amp;CHAR(10)&amp;"("&amp;VLOOKUP(L15,'回填(透水磚紙模地坪)-3'!A:N,6,0)&amp;"次)"</f>
        <v>2744.9
M2
(6次)</v>
      </c>
      <c r="I16" s="285"/>
      <c r="J16" s="274"/>
      <c r="K16" s="265"/>
      <c r="L16" s="128"/>
      <c r="M16" s="128"/>
    </row>
    <row r="17" spans="1:15" s="137" customFormat="1" ht="65.099999999999994" customHeight="1">
      <c r="A17" s="267" t="str">
        <f>"25-3-"&amp;L17</f>
        <v>25-3-6</v>
      </c>
      <c r="B17" s="123" t="s">
        <v>1417</v>
      </c>
      <c r="C17" s="282"/>
      <c r="D17" s="115">
        <f>VLOOKUP(L17,'回填(透水磚紙模地坪)-3'!A:T,2,0)</f>
        <v>45897</v>
      </c>
      <c r="E17" s="115" t="e">
        <f>#REF!&amp;#REF!</f>
        <v>#REF!</v>
      </c>
      <c r="F17" s="115">
        <f>VLOOKUP(L17,'回填(透水磚紙模地坪)-3'!A:N,3,0)</f>
        <v>45898</v>
      </c>
      <c r="G17" s="282"/>
      <c r="H17" s="117" t="str">
        <f>VLOOKUP(L17,'回填(透水磚紙模地坪)-3'!A:N,8,0)&amp;CHAR(10)&amp;"M2"</f>
        <v>3509.6
M2</v>
      </c>
      <c r="I17" s="285" t="s">
        <v>48</v>
      </c>
      <c r="J17" s="274" t="str">
        <f>IF(N17=0,"上  溢："&amp;O17,IF(M17=0,"任  泰："&amp;N17&amp;"                 "&amp;"上  溢："&amp;O17,
"水利處："&amp;M17&amp;"                 "&amp;"任  泰："&amp;N17&amp;"                 "&amp;"上  溢："&amp;O17))</f>
        <v>任  泰：王淑慧                 上  溢：康祐銓</v>
      </c>
      <c r="K17" s="264" t="s">
        <v>1598</v>
      </c>
      <c r="L17" s="151">
        <f>L15+1</f>
        <v>6</v>
      </c>
      <c r="M17" s="128">
        <f>VLOOKUP(L17,'回填(透水磚紙模地坪)-3'!A:N,13,0)</f>
        <v>0</v>
      </c>
      <c r="N17" s="128" t="str">
        <f>VLOOKUP(L17,'回填(透水磚紙模地坪)-3'!A:N,14,0)</f>
        <v>王淑慧</v>
      </c>
      <c r="O17" s="128" t="str">
        <f>VLOOKUP(L17,'回填(透水磚紙模地坪)-3'!A:Z,15,0)</f>
        <v>康祐銓</v>
      </c>
    </row>
    <row r="18" spans="1:15" s="137" customFormat="1" ht="50.1" customHeight="1">
      <c r="A18" s="268"/>
      <c r="B18" s="123" t="s">
        <v>1416</v>
      </c>
      <c r="C18" s="265"/>
      <c r="D18" s="115" t="str">
        <f>VLOOKUP(L17,'回填(透水磚紙模地坪)-3'!A:N,7,0)&amp;CHAR(10)&amp;"M2"</f>
        <v>764.7
M2</v>
      </c>
      <c r="E18" s="115"/>
      <c r="F18" s="115" t="str">
        <f>VLOOKUP(L17,'回填(透水磚紙模地坪)-3'!A:N,7,0)&amp;CHAR(10)&amp;"M2"&amp;CHAR(10)&amp;"("&amp;VLOOKUP(L17,'回填(透水磚紙模地坪)-3'!A:N,5,0)&amp;"次)"</f>
        <v>764.7
M2
(1次)</v>
      </c>
      <c r="G18" s="265"/>
      <c r="H18" s="117" t="str">
        <f>VLOOKUP(L17,'回填(透水磚紙模地坪)-3'!A:N,8,0)&amp;CHAR(10)&amp;"M2"&amp;CHAR(10)&amp;"("&amp;VLOOKUP(L17,'回填(透水磚紙模地坪)-3'!A:N,6,0)&amp;"次)"</f>
        <v>3509.6
M2
(7次)</v>
      </c>
      <c r="I18" s="285"/>
      <c r="J18" s="274"/>
      <c r="K18" s="265"/>
      <c r="L18" s="128"/>
      <c r="M18" s="128"/>
    </row>
    <row r="19" spans="1:15" s="143" customFormat="1" ht="49.5" customHeight="1">
      <c r="A19" s="260" t="s">
        <v>47</v>
      </c>
      <c r="B19" s="261"/>
      <c r="C19" s="262"/>
      <c r="D19" s="260" t="s">
        <v>1753</v>
      </c>
      <c r="E19" s="261"/>
      <c r="F19" s="261"/>
      <c r="G19" s="262"/>
      <c r="H19" s="332" t="s">
        <v>1755</v>
      </c>
      <c r="I19" s="332"/>
      <c r="J19" s="332"/>
      <c r="K19" s="333"/>
    </row>
    <row r="20" spans="1:15" s="143" customFormat="1" ht="37.5" customHeight="1">
      <c r="A20" s="324" t="s">
        <v>1147</v>
      </c>
      <c r="B20" s="324"/>
      <c r="C20" s="324"/>
      <c r="D20" s="324"/>
      <c r="E20" s="324"/>
      <c r="F20" s="324"/>
      <c r="G20" s="324"/>
      <c r="H20" s="324"/>
      <c r="I20" s="324"/>
      <c r="J20" s="324"/>
      <c r="K20" s="324"/>
    </row>
    <row r="21" spans="1:15" s="137" customFormat="1" ht="138.75" customHeight="1">
      <c r="A21" s="267" t="str">
        <f>"25-3-"&amp;L21</f>
        <v>25-3-7</v>
      </c>
      <c r="B21" s="123" t="s">
        <v>1417</v>
      </c>
      <c r="C21" s="297" t="s">
        <v>1867</v>
      </c>
      <c r="D21" s="115">
        <f>VLOOKUP(L21,'回填(透水磚紙模地坪)-3'!A:T,2,0)</f>
        <v>45968</v>
      </c>
      <c r="E21" s="115" t="e">
        <f>#REF!&amp;#REF!</f>
        <v>#REF!</v>
      </c>
      <c r="F21" s="115">
        <f>VLOOKUP(L21,'回填(透水磚紙模地坪)-3'!A:N,3,0)</f>
        <v>45968</v>
      </c>
      <c r="G21" s="297" t="s">
        <v>747</v>
      </c>
      <c r="H21" s="117" t="str">
        <f>VLOOKUP(L21,'回填(透水磚紙模地坪)-3'!A:N,8,0)&amp;CHAR(10)&amp;"M2"</f>
        <v>3694.9
M2</v>
      </c>
      <c r="I21" s="285" t="s">
        <v>48</v>
      </c>
      <c r="J21" s="274" t="str">
        <f>IF(N21=0,"上  溢："&amp;O21,IF(M21=0,"任  泰："&amp;N21&amp;"                 "&amp;"上  溢："&amp;O21,
"水利處："&amp;M21&amp;"                 "&amp;"任  泰："&amp;N21&amp;"                 "&amp;"上  溢："&amp;O21))</f>
        <v>水利處：李晏然                 任  泰：王淑慧                 上  溢：康祐銓</v>
      </c>
      <c r="K21" s="264" t="s">
        <v>1794</v>
      </c>
      <c r="L21" s="151">
        <f>L17+1</f>
        <v>7</v>
      </c>
      <c r="M21" s="128" t="str">
        <f>VLOOKUP(L21,'回填(透水磚紙模地坪)-3'!A:N,13,0)</f>
        <v>李晏然</v>
      </c>
      <c r="N21" s="128" t="str">
        <f>VLOOKUP(L21,'回填(透水磚紙模地坪)-3'!A:N,14,0)</f>
        <v>王淑慧</v>
      </c>
      <c r="O21" s="128" t="str">
        <f>VLOOKUP(L21,'回填(透水磚紙模地坪)-3'!A:Z,15,0)</f>
        <v>康祐銓</v>
      </c>
    </row>
    <row r="22" spans="1:15" s="137" customFormat="1" ht="138.75" customHeight="1">
      <c r="A22" s="268"/>
      <c r="B22" s="123" t="s">
        <v>1416</v>
      </c>
      <c r="C22" s="297"/>
      <c r="D22" s="115" t="str">
        <f>VLOOKUP(L21,'回填(透水磚紙模地坪)-3'!A:N,7,0)&amp;CHAR(10)&amp;"M2"</f>
        <v>950
M2</v>
      </c>
      <c r="E22" s="115"/>
      <c r="F22" s="115" t="str">
        <f>VLOOKUP(L21,'回填(透水磚紙模地坪)-3'!A:N,7,0)&amp;CHAR(10)&amp;"M2"&amp;CHAR(10)&amp;"("&amp;VLOOKUP(L21,'回填(透水磚紙模地坪)-3'!A:N,5,0)&amp;"次)"</f>
        <v>950
M2
(1次)</v>
      </c>
      <c r="G22" s="297"/>
      <c r="H22" s="117" t="str">
        <f>VLOOKUP(L21,'回填(透水磚紙模地坪)-3'!A:N,8,0)&amp;CHAR(10)&amp;"M2"&amp;CHAR(10)&amp;"("&amp;VLOOKUP(L21,'回填(透水磚紙模地坪)-3'!A:N,6,0)&amp;"次)"</f>
        <v>3694.9
M2
(8次)</v>
      </c>
      <c r="I22" s="285"/>
      <c r="J22" s="274"/>
      <c r="K22" s="265"/>
      <c r="L22" s="128"/>
      <c r="M22" s="128"/>
    </row>
    <row r="23" spans="1:15" s="137" customFormat="1" ht="138.75" customHeight="1">
      <c r="A23" s="267" t="str">
        <f>"25-3-"&amp;L23</f>
        <v>25-3-8</v>
      </c>
      <c r="B23" s="123" t="s">
        <v>1417</v>
      </c>
      <c r="C23" s="297"/>
      <c r="D23" s="115">
        <f>VLOOKUP(L23,'回填(透水磚紙模地坪)-3'!A:T,2,0)</f>
        <v>46045</v>
      </c>
      <c r="E23" s="115" t="e">
        <f>#REF!&amp;#REF!</f>
        <v>#REF!</v>
      </c>
      <c r="F23" s="115">
        <f>VLOOKUP(L23,'回填(透水磚紙模地坪)-3'!A:N,3,0)</f>
        <v>46046</v>
      </c>
      <c r="G23" s="297"/>
      <c r="H23" s="117" t="str">
        <f>VLOOKUP(L23,'回填(透水磚紙模地坪)-3'!A:N,8,0)&amp;CHAR(10)&amp;"M2"</f>
        <v>4279.6
M2</v>
      </c>
      <c r="I23" s="285" t="s">
        <v>48</v>
      </c>
      <c r="J23" s="274" t="str">
        <f>IF(N23=0,"上  溢："&amp;O23,IF(M23=0,"任  泰："&amp;N23&amp;"                 "&amp;"上  溢："&amp;O23,
"水利處："&amp;M23&amp;"                 "&amp;"任  泰："&amp;N23&amp;"                 "&amp;"上  溢："&amp;O23))</f>
        <v>任  泰：王淑慧                 上  溢：康祐銓</v>
      </c>
      <c r="K23" s="264"/>
      <c r="L23" s="151">
        <f>L21+1</f>
        <v>8</v>
      </c>
      <c r="M23" s="128">
        <f>VLOOKUP(L23,'回填(透水磚紙模地坪)-3'!A:N,13,0)</f>
        <v>0</v>
      </c>
      <c r="N23" s="128" t="str">
        <f>VLOOKUP(L23,'回填(透水磚紙模地坪)-3'!A:N,14,0)</f>
        <v>王淑慧</v>
      </c>
      <c r="O23" s="128" t="str">
        <f>VLOOKUP(L23,'回填(透水磚紙模地坪)-3'!A:Z,15,0)</f>
        <v>康祐銓</v>
      </c>
    </row>
    <row r="24" spans="1:15" s="137" customFormat="1" ht="138.75" customHeight="1">
      <c r="A24" s="268"/>
      <c r="B24" s="123" t="s">
        <v>1416</v>
      </c>
      <c r="C24" s="342"/>
      <c r="D24" s="115" t="str">
        <f>VLOOKUP(L23,'回填(透水磚紙模地坪)-3'!A:N,7,0)&amp;CHAR(10)&amp;"M2"</f>
        <v>920
M2</v>
      </c>
      <c r="E24" s="115"/>
      <c r="F24" s="115" t="str">
        <f>VLOOKUP(L23,'回填(透水磚紙模地坪)-3'!A:N,7,0)&amp;CHAR(10)&amp;"M2"&amp;CHAR(10)&amp;"("&amp;VLOOKUP(L23,'回填(透水磚紙模地坪)-3'!A:N,5,0)&amp;"次)"</f>
        <v>920
M2
(1次)</v>
      </c>
      <c r="G24" s="342"/>
      <c r="H24" s="117" t="str">
        <f>VLOOKUP(L23,'回填(透水磚紙模地坪)-3'!A:N,8,0)&amp;CHAR(10)&amp;"M2"&amp;CHAR(10)&amp;"("&amp;VLOOKUP(L23,'回填(透水磚紙模地坪)-3'!A:N,6,0)&amp;"次)"</f>
        <v>4279.6
M2
(7次)</v>
      </c>
      <c r="I24" s="285"/>
      <c r="J24" s="274"/>
      <c r="K24" s="298"/>
      <c r="L24" s="128"/>
      <c r="M24" s="128"/>
    </row>
    <row r="25" spans="1:15" s="143" customFormat="1" ht="49.5" customHeight="1">
      <c r="A25" s="260" t="s">
        <v>47</v>
      </c>
      <c r="B25" s="261"/>
      <c r="C25" s="262"/>
      <c r="D25" s="260" t="s">
        <v>1753</v>
      </c>
      <c r="E25" s="261"/>
      <c r="F25" s="261"/>
      <c r="G25" s="262"/>
      <c r="H25" s="332" t="s">
        <v>1755</v>
      </c>
      <c r="I25" s="332"/>
      <c r="J25" s="332"/>
      <c r="K25" s="333"/>
    </row>
    <row r="26" spans="1:15" s="143" customFormat="1" ht="37.5" customHeight="1">
      <c r="A26" s="324" t="s">
        <v>1147</v>
      </c>
      <c r="B26" s="324"/>
      <c r="C26" s="324"/>
      <c r="D26" s="324"/>
      <c r="E26" s="324"/>
      <c r="F26" s="324"/>
      <c r="G26" s="324"/>
      <c r="H26" s="324"/>
      <c r="I26" s="324"/>
      <c r="J26" s="324"/>
      <c r="K26" s="324"/>
    </row>
    <row r="30" spans="1:15" ht="409.5">
      <c r="A30" s="129" t="s">
        <v>52</v>
      </c>
    </row>
  </sheetData>
  <mergeCells count="55">
    <mergeCell ref="A23:A24"/>
    <mergeCell ref="C21:C24"/>
    <mergeCell ref="I23:I24"/>
    <mergeCell ref="J23:J24"/>
    <mergeCell ref="K23:K24"/>
    <mergeCell ref="G21:G24"/>
    <mergeCell ref="A19:C19"/>
    <mergeCell ref="D19:G19"/>
    <mergeCell ref="H19:K19"/>
    <mergeCell ref="A20:K20"/>
    <mergeCell ref="A9:A10"/>
    <mergeCell ref="K9:K10"/>
    <mergeCell ref="A1:K1"/>
    <mergeCell ref="A2:K2"/>
    <mergeCell ref="A3:G3"/>
    <mergeCell ref="H3:K3"/>
    <mergeCell ref="A4:G4"/>
    <mergeCell ref="H4:K4"/>
    <mergeCell ref="A5:A6"/>
    <mergeCell ref="C5:C6"/>
    <mergeCell ref="G5:G6"/>
    <mergeCell ref="I5:I6"/>
    <mergeCell ref="J5:J6"/>
    <mergeCell ref="K7:K8"/>
    <mergeCell ref="A13:A14"/>
    <mergeCell ref="I13:I14"/>
    <mergeCell ref="J13:J14"/>
    <mergeCell ref="K13:K14"/>
    <mergeCell ref="A11:A12"/>
    <mergeCell ref="I11:I12"/>
    <mergeCell ref="J11:J12"/>
    <mergeCell ref="K11:K12"/>
    <mergeCell ref="A7:A8"/>
    <mergeCell ref="C7:C18"/>
    <mergeCell ref="G7:G18"/>
    <mergeCell ref="I7:I8"/>
    <mergeCell ref="J7:J8"/>
    <mergeCell ref="I9:I10"/>
    <mergeCell ref="J9:J10"/>
    <mergeCell ref="A25:C25"/>
    <mergeCell ref="D25:G25"/>
    <mergeCell ref="H25:K25"/>
    <mergeCell ref="A26:K26"/>
    <mergeCell ref="A15:A16"/>
    <mergeCell ref="I15:I16"/>
    <mergeCell ref="J15:J16"/>
    <mergeCell ref="K15:K16"/>
    <mergeCell ref="A17:A18"/>
    <mergeCell ref="I17:I18"/>
    <mergeCell ref="J17:J18"/>
    <mergeCell ref="K17:K18"/>
    <mergeCell ref="A21:A22"/>
    <mergeCell ref="I21:I22"/>
    <mergeCell ref="J21:J22"/>
    <mergeCell ref="K21:K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B10" sqref="B1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12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86" t="s">
        <v>45</v>
      </c>
      <c r="B1" s="286"/>
      <c r="C1" s="286"/>
      <c r="D1" s="286"/>
      <c r="E1" s="286"/>
      <c r="F1" s="286"/>
      <c r="G1" s="286"/>
      <c r="H1" s="286"/>
      <c r="I1" s="286"/>
      <c r="J1" s="286"/>
      <c r="K1" s="286"/>
    </row>
    <row r="2" spans="1:21" ht="20.25" customHeight="1">
      <c r="A2" s="286" t="s">
        <v>0</v>
      </c>
      <c r="B2" s="286"/>
      <c r="C2" s="286"/>
      <c r="D2" s="286"/>
      <c r="E2" s="286"/>
      <c r="F2" s="286"/>
      <c r="G2" s="286"/>
      <c r="H2" s="286"/>
      <c r="I2" s="286"/>
      <c r="J2" s="286"/>
      <c r="K2" s="286"/>
    </row>
    <row r="3" spans="1:21"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1" ht="16.5" customHeight="1">
      <c r="A4" s="303" t="s">
        <v>40</v>
      </c>
      <c r="B4" s="303"/>
      <c r="C4" s="303"/>
      <c r="D4" s="303"/>
      <c r="E4" s="303"/>
      <c r="F4" s="303"/>
      <c r="G4" s="303"/>
      <c r="H4" s="303" t="s">
        <v>84</v>
      </c>
      <c r="I4" s="303"/>
      <c r="J4" s="303"/>
      <c r="K4" s="303"/>
    </row>
    <row r="5" spans="1:21"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21" ht="56.25" customHeight="1">
      <c r="A6" s="279"/>
      <c r="B6" s="131" t="s">
        <v>1167</v>
      </c>
      <c r="C6" s="279"/>
      <c r="D6" s="131" t="s">
        <v>1160</v>
      </c>
      <c r="E6" s="131" t="s">
        <v>1168</v>
      </c>
      <c r="F6" s="131" t="s">
        <v>51</v>
      </c>
      <c r="G6" s="279"/>
      <c r="H6" s="133" t="s">
        <v>1169</v>
      </c>
      <c r="I6" s="279"/>
      <c r="J6" s="279"/>
      <c r="K6" s="134" t="s">
        <v>1170</v>
      </c>
    </row>
    <row r="7" spans="1:21" s="138" customFormat="1" ht="81.75" customHeight="1">
      <c r="A7" s="267" t="str">
        <f>"25-4-"&amp;L7</f>
        <v>25-4-1</v>
      </c>
      <c r="B7" s="123" t="s">
        <v>80</v>
      </c>
      <c r="C7" s="280" t="s">
        <v>882</v>
      </c>
      <c r="D7" s="115">
        <f>VLOOKUP(L7,'回填(路基整理)-4'!A:T,2,0)</f>
        <v>45661</v>
      </c>
      <c r="E7" s="115" t="e">
        <f>#REF!&amp;#REF!</f>
        <v>#REF!</v>
      </c>
      <c r="F7" s="115">
        <f>VLOOKUP(L7,'回填(路基整理)-4'!A:N,3,0)</f>
        <v>45665</v>
      </c>
      <c r="G7" s="343" t="s">
        <v>747</v>
      </c>
      <c r="H7" s="117" t="str">
        <f>VLOOKUP(L7,'回填(路基整理)-4'!A:N,8,0)&amp;CHAR(10)&amp;"M2"</f>
        <v>1089
M2</v>
      </c>
      <c r="I7" s="273" t="str">
        <f>IF(K7="","","合格")</f>
        <v>合格</v>
      </c>
      <c r="J7" s="274" t="str">
        <f>IF(N7=0,"上  溢："&amp;O7,IF(M7=0,"任  泰："&amp;N7&amp;"                 "&amp;"上  溢："&amp;O7,
"水利處："&amp;M7&amp;"                 "&amp;"任  泰："&amp;N7&amp;"                 "&amp;"上  溢："&amp;O7))</f>
        <v>水利處：李晏然                 任  泰：王淑慧                 上  溢：周昱辰</v>
      </c>
      <c r="K7" s="264" t="s">
        <v>1093</v>
      </c>
      <c r="L7" s="136">
        <v>1</v>
      </c>
      <c r="M7" s="128" t="str">
        <f>VLOOKUP(L7,'回填(路基整理)-4'!A:N,13,0)</f>
        <v>李晏然</v>
      </c>
      <c r="N7" s="128" t="str">
        <f>VLOOKUP(L7,'回填(路基整理)-4'!A:N,14,0)</f>
        <v>王淑慧</v>
      </c>
      <c r="O7" s="128" t="str">
        <f>VLOOKUP(L7,'回填(路基整理)-4'!A:Z,15,0)</f>
        <v>周昱辰</v>
      </c>
      <c r="P7" s="137"/>
      <c r="Q7" s="137"/>
      <c r="R7" s="137"/>
      <c r="S7" s="137"/>
      <c r="T7" s="137"/>
      <c r="U7" s="137"/>
    </row>
    <row r="8" spans="1:21" s="138" customFormat="1" ht="45" customHeight="1">
      <c r="A8" s="268"/>
      <c r="B8" s="123" t="s">
        <v>881</v>
      </c>
      <c r="C8" s="326"/>
      <c r="D8" s="115" t="str">
        <f>VLOOKUP(L7,'回填(路基整理)-4'!A:N,7,0)&amp;CHAR(10)&amp;"M2"</f>
        <v>1089
M2</v>
      </c>
      <c r="E8" s="115"/>
      <c r="F8" s="115" t="str">
        <f>VLOOKUP(L7,'回填(路基整理)-4'!A:N,7,0)&amp;CHAR(10)&amp;"M2"&amp;CHAR(10)&amp;"("&amp;VLOOKUP(L7,'回填(路基整理)-4'!A:N,5,0)&amp;"次)"</f>
        <v>1089
M2
(2次)</v>
      </c>
      <c r="G8" s="344"/>
      <c r="H8" s="117" t="str">
        <f>VLOOKUP(L7,'回填(路基整理)-4'!A:N,8,0)&amp;CHAR(10)&amp;"M2"&amp;CHAR(10)&amp;"("&amp;VLOOKUP(L7,'回填(路基整理)-4'!A:N,6,0)&amp;"次)"</f>
        <v>1089
M2
(2次)</v>
      </c>
      <c r="I8" s="273"/>
      <c r="J8" s="274"/>
      <c r="K8" s="265"/>
      <c r="L8" s="127"/>
      <c r="M8" s="128"/>
      <c r="N8" s="137"/>
      <c r="O8" s="137"/>
      <c r="P8" s="137"/>
      <c r="Q8" s="137"/>
      <c r="R8" s="137"/>
      <c r="S8" s="137"/>
      <c r="T8" s="137"/>
      <c r="U8" s="137"/>
    </row>
    <row r="9" spans="1:21" s="140" customFormat="1" ht="81.75" customHeight="1">
      <c r="A9" s="267" t="str">
        <f>"25-4-"&amp;L9</f>
        <v>25-4-2</v>
      </c>
      <c r="B9" s="123" t="s">
        <v>80</v>
      </c>
      <c r="C9" s="326"/>
      <c r="D9" s="115">
        <f>VLOOKUP(L9,'回填(路基整理)-4'!A:T,2,0)</f>
        <v>45703</v>
      </c>
      <c r="E9" s="115" t="e">
        <f>#REF!&amp;#REF!</f>
        <v>#REF!</v>
      </c>
      <c r="F9" s="115">
        <f>VLOOKUP(L9,'回填(路基整理)-4'!A:N,3,0)</f>
        <v>45706</v>
      </c>
      <c r="G9" s="344"/>
      <c r="H9" s="117" t="str">
        <f>VLOOKUP(L9,'回填(路基整理)-4'!A:N,8,0)&amp;CHAR(10)&amp;"M2"</f>
        <v>3117
M2</v>
      </c>
      <c r="I9" s="273" t="str">
        <f>IF(K9="","","合格")</f>
        <v>合格</v>
      </c>
      <c r="J9" s="274" t="str">
        <f>IF(N9=0,"上  溢："&amp;O9,IF(M9=0,"任  泰："&amp;N9&amp;"                 "&amp;"上  溢："&amp;O9,
"水利處："&amp;M9&amp;"                 "&amp;"任  泰："&amp;N9&amp;"                 "&amp;"上  溢："&amp;O9))</f>
        <v>水利處：李晏然                 任  泰：王淑慧                 上  溢：康祐銓</v>
      </c>
      <c r="K9" s="264" t="s">
        <v>1009</v>
      </c>
      <c r="L9" s="136">
        <f>L7+1</f>
        <v>2</v>
      </c>
      <c r="M9" s="128" t="str">
        <f>VLOOKUP(L9,'回填(路基整理)-4'!A:N,13,0)</f>
        <v>李晏然</v>
      </c>
      <c r="N9" s="128" t="str">
        <f>VLOOKUP(L9,'回填(路基整理)-4'!A:N,14,0)</f>
        <v>王淑慧</v>
      </c>
      <c r="O9" s="128" t="str">
        <f>VLOOKUP(L9,'回填(路基整理)-4'!A:Z,15,0)</f>
        <v>康祐銓</v>
      </c>
      <c r="P9" s="139"/>
      <c r="Q9" s="139"/>
      <c r="R9" s="139"/>
      <c r="S9" s="139"/>
      <c r="T9" s="139"/>
      <c r="U9" s="139"/>
    </row>
    <row r="10" spans="1:21" s="140" customFormat="1" ht="45" customHeight="1">
      <c r="A10" s="268"/>
      <c r="B10" s="123" t="s">
        <v>881</v>
      </c>
      <c r="C10" s="326"/>
      <c r="D10" s="115" t="str">
        <f>VLOOKUP(L9,'回填(路基整理)-4'!A:N,7,0)&amp;CHAR(10)&amp;"M2"</f>
        <v>2028
M2</v>
      </c>
      <c r="E10" s="115"/>
      <c r="F10" s="115" t="str">
        <f>VLOOKUP(L9,'回填(路基整理)-4'!A:N,7,0)&amp;CHAR(10)&amp;"M2"&amp;CHAR(10)&amp;"("&amp;VLOOKUP(L9,'回填(路基整理)-4'!A:N,5,0)&amp;"次)"</f>
        <v>2028
M2
(3次)</v>
      </c>
      <c r="G10" s="344"/>
      <c r="H10" s="117" t="str">
        <f>VLOOKUP(L9,'回填(路基整理)-4'!A:N,8,0)&amp;CHAR(10)&amp;"M2"&amp;CHAR(10)&amp;"("&amp;VLOOKUP(L9,'回填(路基整理)-4'!A:N,6,0)&amp;"次)"</f>
        <v>3117
M2
(5次)</v>
      </c>
      <c r="I10" s="273"/>
      <c r="J10" s="274"/>
      <c r="K10" s="265"/>
      <c r="L10" s="127"/>
      <c r="M10" s="128"/>
      <c r="N10" s="139"/>
      <c r="O10" s="139"/>
      <c r="P10" s="139"/>
      <c r="Q10" s="139"/>
      <c r="R10" s="139"/>
      <c r="S10" s="139"/>
      <c r="T10" s="139"/>
      <c r="U10" s="139"/>
    </row>
    <row r="11" spans="1:21" s="140" customFormat="1" ht="81.75" customHeight="1">
      <c r="A11" s="267" t="str">
        <f>"25-4-"&amp;L11</f>
        <v>25-4-3</v>
      </c>
      <c r="B11" s="123" t="s">
        <v>80</v>
      </c>
      <c r="C11" s="326"/>
      <c r="D11" s="115">
        <f>VLOOKUP(L11,'回填(路基整理)-4'!A:T,2,0)</f>
        <v>45885</v>
      </c>
      <c r="E11" s="115" t="e">
        <f>#REF!&amp;#REF!</f>
        <v>#REF!</v>
      </c>
      <c r="F11" s="115">
        <f>VLOOKUP(L11,'回填(路基整理)-4'!A:N,3,0)</f>
        <v>45898</v>
      </c>
      <c r="G11" s="344"/>
      <c r="H11" s="117" t="str">
        <f>VLOOKUP(L11,'回填(路基整理)-4'!A:N,8,0)&amp;CHAR(10)&amp;"M2"</f>
        <v>3901.8
M2</v>
      </c>
      <c r="I11" s="273" t="str">
        <f>IF(K11="","","合格")</f>
        <v>合格</v>
      </c>
      <c r="J11" s="274" t="str">
        <f>IF(N11=0,"上  溢："&amp;O11,IF(M11=0,"任  泰："&amp;N11&amp;"                 "&amp;"上  溢："&amp;O11,
"水利處："&amp;M11&amp;"                 "&amp;"任  泰："&amp;N11&amp;"                 "&amp;"上  溢："&amp;O11))</f>
        <v>任  泰：王淑慧                 上  溢：康祐銓</v>
      </c>
      <c r="K11" s="264" t="s">
        <v>1597</v>
      </c>
      <c r="L11" s="136">
        <f>L9+1</f>
        <v>3</v>
      </c>
      <c r="M11" s="128">
        <f>VLOOKUP(L11,'回填(路基整理)-4'!A:N,13,0)</f>
        <v>0</v>
      </c>
      <c r="N11" s="128" t="str">
        <f>VLOOKUP(L11,'回填(路基整理)-4'!A:N,14,0)</f>
        <v>王淑慧</v>
      </c>
      <c r="O11" s="128" t="str">
        <f>VLOOKUP(L11,'回填(路基整理)-4'!A:Z,15,0)</f>
        <v>康祐銓</v>
      </c>
      <c r="P11" s="139"/>
      <c r="Q11" s="139"/>
      <c r="R11" s="139"/>
      <c r="S11" s="139"/>
      <c r="T11" s="139"/>
      <c r="U11" s="139"/>
    </row>
    <row r="12" spans="1:21" s="140" customFormat="1" ht="45" customHeight="1">
      <c r="A12" s="268"/>
      <c r="B12" s="123" t="s">
        <v>881</v>
      </c>
      <c r="C12" s="281"/>
      <c r="D12" s="115" t="str">
        <f>VLOOKUP(L11,'回填(路基整理)-4'!A:N,7,0)&amp;CHAR(10)&amp;"M2"</f>
        <v>784.8
M2</v>
      </c>
      <c r="E12" s="115"/>
      <c r="F12" s="115" t="str">
        <f>VLOOKUP(L11,'回填(路基整理)-4'!A:N,7,0)&amp;CHAR(10)&amp;"M2"&amp;CHAR(10)&amp;"("&amp;VLOOKUP(L11,'回填(路基整理)-4'!A:N,5,0)&amp;"次)"</f>
        <v>784.8
M2
(1次)</v>
      </c>
      <c r="G12" s="344"/>
      <c r="H12" s="117" t="str">
        <f>VLOOKUP(L11,'回填(路基整理)-4'!A:N,8,0)&amp;CHAR(10)&amp;"M2"&amp;CHAR(10)&amp;"("&amp;VLOOKUP(L11,'回填(路基整理)-4'!A:N,6,0)&amp;"次)"</f>
        <v>3901.8
M2
(6次)</v>
      </c>
      <c r="I12" s="273"/>
      <c r="J12" s="274"/>
      <c r="K12" s="265"/>
      <c r="L12" s="127"/>
      <c r="M12" s="128"/>
      <c r="N12" s="139"/>
      <c r="O12" s="139"/>
      <c r="P12" s="139"/>
      <c r="Q12" s="139"/>
      <c r="R12" s="139"/>
      <c r="S12" s="139"/>
      <c r="T12" s="139"/>
      <c r="U12" s="139"/>
    </row>
    <row r="13" spans="1:21" s="142" customFormat="1" ht="49.5" customHeight="1">
      <c r="A13" s="260" t="s">
        <v>47</v>
      </c>
      <c r="B13" s="261"/>
      <c r="C13" s="262"/>
      <c r="D13" s="260" t="s">
        <v>1753</v>
      </c>
      <c r="E13" s="261"/>
      <c r="F13" s="261"/>
      <c r="G13" s="262"/>
      <c r="H13" s="332" t="s">
        <v>1755</v>
      </c>
      <c r="I13" s="332"/>
      <c r="J13" s="332"/>
      <c r="K13" s="333"/>
      <c r="M13" s="143"/>
      <c r="N13" s="143"/>
      <c r="O13" s="143"/>
      <c r="P13" s="143"/>
      <c r="Q13" s="143"/>
      <c r="R13" s="143"/>
      <c r="S13" s="143"/>
      <c r="T13" s="143"/>
      <c r="U13" s="143"/>
    </row>
    <row r="14" spans="1:21" s="142" customFormat="1" ht="37.5" customHeight="1">
      <c r="A14" s="324" t="s">
        <v>1188</v>
      </c>
      <c r="B14" s="324"/>
      <c r="C14" s="324"/>
      <c r="D14" s="324"/>
      <c r="E14" s="324"/>
      <c r="F14" s="324"/>
      <c r="G14" s="324"/>
      <c r="H14" s="324"/>
      <c r="I14" s="324"/>
      <c r="J14" s="324"/>
      <c r="K14" s="324"/>
      <c r="M14" s="143"/>
      <c r="N14" s="143"/>
      <c r="O14" s="143"/>
      <c r="P14" s="143"/>
      <c r="Q14" s="143"/>
      <c r="R14" s="143"/>
      <c r="S14" s="143"/>
      <c r="T14" s="143"/>
      <c r="U14" s="143"/>
    </row>
  </sheetData>
  <mergeCells count="29">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 ref="K7:K8"/>
    <mergeCell ref="K9:K10"/>
    <mergeCell ref="A1:K1"/>
    <mergeCell ref="A2:K2"/>
    <mergeCell ref="A3:G3"/>
    <mergeCell ref="H3:K3"/>
    <mergeCell ref="A4:G4"/>
    <mergeCell ref="H4:K4"/>
    <mergeCell ref="G7:G12"/>
    <mergeCell ref="A11:A12"/>
    <mergeCell ref="I11:I12"/>
    <mergeCell ref="J11:J12"/>
    <mergeCell ref="K11: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G13" sqref="G13:G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86" t="s">
        <v>45</v>
      </c>
      <c r="B1" s="286"/>
      <c r="C1" s="286"/>
      <c r="D1" s="286"/>
      <c r="E1" s="286"/>
      <c r="F1" s="286"/>
      <c r="G1" s="286"/>
      <c r="H1" s="286"/>
      <c r="I1" s="286"/>
      <c r="J1" s="286"/>
      <c r="K1" s="286"/>
    </row>
    <row r="2" spans="1:27" ht="25.5">
      <c r="A2" s="286" t="s">
        <v>0</v>
      </c>
      <c r="B2" s="286"/>
      <c r="C2" s="286"/>
      <c r="D2" s="286"/>
      <c r="E2" s="286"/>
      <c r="F2" s="286"/>
      <c r="G2" s="286"/>
      <c r="H2" s="286"/>
      <c r="I2" s="286"/>
      <c r="J2" s="286"/>
      <c r="K2" s="28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78" t="s">
        <v>1</v>
      </c>
      <c r="B5" s="131" t="s">
        <v>1157</v>
      </c>
      <c r="C5" s="278" t="s">
        <v>1158</v>
      </c>
      <c r="D5" s="131" t="s">
        <v>1159</v>
      </c>
      <c r="E5" s="131" t="s">
        <v>1161</v>
      </c>
      <c r="F5" s="131" t="s">
        <v>50</v>
      </c>
      <c r="G5" s="278" t="s">
        <v>1162</v>
      </c>
      <c r="H5" s="131" t="s">
        <v>1163</v>
      </c>
      <c r="I5" s="278" t="s">
        <v>1164</v>
      </c>
      <c r="J5" s="278" t="s">
        <v>1165</v>
      </c>
      <c r="K5" s="132" t="s">
        <v>1166</v>
      </c>
    </row>
    <row r="6" spans="1:27" ht="56.25" customHeight="1">
      <c r="A6" s="279"/>
      <c r="B6" s="131" t="s">
        <v>1167</v>
      </c>
      <c r="C6" s="279"/>
      <c r="D6" s="131" t="s">
        <v>1160</v>
      </c>
      <c r="E6" s="131" t="s">
        <v>1168</v>
      </c>
      <c r="F6" s="131" t="s">
        <v>51</v>
      </c>
      <c r="G6" s="279"/>
      <c r="H6" s="133" t="s">
        <v>1169</v>
      </c>
      <c r="I6" s="279"/>
      <c r="J6" s="279"/>
      <c r="K6" s="134" t="s">
        <v>1170</v>
      </c>
    </row>
    <row r="7" spans="1:27" s="138" customFormat="1" ht="80.099999999999994" customHeight="1">
      <c r="A7" s="310" t="s">
        <v>1453</v>
      </c>
      <c r="B7" s="135" t="s">
        <v>600</v>
      </c>
      <c r="C7" s="336" t="s">
        <v>602</v>
      </c>
      <c r="D7" s="115">
        <v>45754</v>
      </c>
      <c r="E7" s="115"/>
      <c r="F7" s="115">
        <v>45754</v>
      </c>
      <c r="G7" s="285" t="s">
        <v>605</v>
      </c>
      <c r="H7" s="116" t="s">
        <v>961</v>
      </c>
      <c r="I7" s="285" t="s">
        <v>48</v>
      </c>
      <c r="J7" s="274" t="s">
        <v>963</v>
      </c>
      <c r="K7" s="264" t="s">
        <v>1628</v>
      </c>
      <c r="L7" s="136"/>
      <c r="M7" s="128"/>
      <c r="N7" s="128"/>
      <c r="O7" s="128"/>
      <c r="P7" s="128"/>
      <c r="Q7" s="128"/>
      <c r="R7" s="128"/>
      <c r="S7" s="128"/>
      <c r="T7" s="137"/>
      <c r="U7" s="137"/>
      <c r="V7" s="137"/>
      <c r="W7" s="137"/>
      <c r="X7" s="137"/>
      <c r="Y7" s="137"/>
      <c r="Z7" s="137"/>
      <c r="AA7" s="137"/>
    </row>
    <row r="8" spans="1:27" s="138" customFormat="1" ht="45" customHeight="1">
      <c r="A8" s="268"/>
      <c r="B8" s="123" t="s">
        <v>601</v>
      </c>
      <c r="C8" s="337"/>
      <c r="D8" s="115" t="s">
        <v>961</v>
      </c>
      <c r="E8" s="115"/>
      <c r="F8" s="115" t="s">
        <v>962</v>
      </c>
      <c r="G8" s="285"/>
      <c r="H8" s="116" t="s">
        <v>962</v>
      </c>
      <c r="I8" s="285"/>
      <c r="J8" s="274"/>
      <c r="K8" s="298"/>
      <c r="L8" s="127"/>
      <c r="M8" s="127"/>
      <c r="N8" s="128"/>
      <c r="O8" s="128"/>
      <c r="P8" s="128"/>
      <c r="Q8" s="128"/>
      <c r="R8" s="128"/>
      <c r="S8" s="128"/>
      <c r="T8" s="137"/>
      <c r="U8" s="137"/>
      <c r="V8" s="137"/>
      <c r="W8" s="137"/>
      <c r="X8" s="137"/>
      <c r="Y8" s="137"/>
      <c r="Z8" s="137"/>
      <c r="AA8" s="137"/>
    </row>
    <row r="9" spans="1:27" s="140" customFormat="1" ht="80.099999999999994" customHeight="1">
      <c r="A9" s="315" t="s">
        <v>1454</v>
      </c>
      <c r="B9" s="135" t="s">
        <v>72</v>
      </c>
      <c r="C9" s="336" t="s">
        <v>606</v>
      </c>
      <c r="D9" s="115" t="s">
        <v>109</v>
      </c>
      <c r="E9" s="115" t="s">
        <v>299</v>
      </c>
      <c r="F9" s="115">
        <v>45337</v>
      </c>
      <c r="G9" s="264" t="s">
        <v>252</v>
      </c>
      <c r="H9" s="117" t="s">
        <v>299</v>
      </c>
      <c r="I9" s="285" t="s">
        <v>48</v>
      </c>
      <c r="J9" s="274" t="s">
        <v>298</v>
      </c>
      <c r="K9" s="264" t="s">
        <v>280</v>
      </c>
      <c r="L9" s="136"/>
      <c r="M9" s="128"/>
      <c r="N9" s="128"/>
      <c r="O9" s="128"/>
      <c r="P9" s="128"/>
      <c r="Q9" s="128"/>
      <c r="R9" s="128"/>
      <c r="S9" s="128"/>
      <c r="T9" s="139"/>
      <c r="U9" s="139"/>
      <c r="V9" s="139"/>
      <c r="W9" s="139"/>
      <c r="X9" s="139"/>
      <c r="Y9" s="139"/>
      <c r="Z9" s="139"/>
      <c r="AA9" s="139"/>
    </row>
    <row r="10" spans="1:27" s="140" customFormat="1" ht="50.1" customHeight="1">
      <c r="A10" s="314"/>
      <c r="B10" s="123" t="s">
        <v>81</v>
      </c>
      <c r="C10" s="337"/>
      <c r="D10" s="115" t="s">
        <v>109</v>
      </c>
      <c r="E10" s="115"/>
      <c r="F10" s="115" t="s">
        <v>300</v>
      </c>
      <c r="G10" s="275"/>
      <c r="H10" s="117" t="s">
        <v>300</v>
      </c>
      <c r="I10" s="285"/>
      <c r="J10" s="274"/>
      <c r="K10" s="298"/>
      <c r="L10" s="127"/>
      <c r="M10" s="127"/>
      <c r="N10" s="128"/>
      <c r="O10" s="128"/>
      <c r="P10" s="128"/>
      <c r="Q10" s="128"/>
      <c r="R10" s="128"/>
      <c r="S10" s="128"/>
      <c r="T10" s="139"/>
      <c r="U10" s="139"/>
      <c r="V10" s="139"/>
      <c r="W10" s="139"/>
      <c r="X10" s="139"/>
      <c r="Y10" s="139"/>
      <c r="Z10" s="139"/>
      <c r="AA10" s="139"/>
    </row>
    <row r="11" spans="1:27" s="138" customFormat="1" ht="80.099999999999994" customHeight="1">
      <c r="A11" s="310" t="s">
        <v>1455</v>
      </c>
      <c r="B11" s="135" t="s">
        <v>72</v>
      </c>
      <c r="C11" s="336" t="s">
        <v>606</v>
      </c>
      <c r="D11" s="115" t="s">
        <v>109</v>
      </c>
      <c r="E11" s="115" t="s">
        <v>490</v>
      </c>
      <c r="F11" s="115">
        <v>45441</v>
      </c>
      <c r="G11" s="275"/>
      <c r="H11" s="116" t="s">
        <v>959</v>
      </c>
      <c r="I11" s="285" t="s">
        <v>48</v>
      </c>
      <c r="J11" s="274" t="s">
        <v>409</v>
      </c>
      <c r="K11" s="264" t="s">
        <v>408</v>
      </c>
      <c r="L11" s="136"/>
      <c r="N11" s="128"/>
      <c r="O11" s="128"/>
      <c r="P11" s="128"/>
      <c r="Q11" s="128"/>
      <c r="R11" s="128"/>
      <c r="S11" s="128"/>
      <c r="T11" s="137"/>
      <c r="U11" s="137"/>
      <c r="V11" s="137"/>
      <c r="W11" s="137"/>
      <c r="X11" s="137"/>
      <c r="Y11" s="137"/>
      <c r="Z11" s="137"/>
      <c r="AA11" s="137"/>
    </row>
    <row r="12" spans="1:27" s="138" customFormat="1" ht="50.1" customHeight="1">
      <c r="A12" s="268"/>
      <c r="B12" s="123" t="s">
        <v>81</v>
      </c>
      <c r="C12" s="337"/>
      <c r="D12" s="115" t="s">
        <v>109</v>
      </c>
      <c r="E12" s="115"/>
      <c r="F12" s="115" t="s">
        <v>958</v>
      </c>
      <c r="G12" s="266"/>
      <c r="H12" s="116" t="s">
        <v>959</v>
      </c>
      <c r="I12" s="285"/>
      <c r="J12" s="274"/>
      <c r="K12" s="298"/>
      <c r="L12" s="127"/>
      <c r="N12" s="128"/>
      <c r="O12" s="128"/>
      <c r="P12" s="128"/>
      <c r="Q12" s="128"/>
      <c r="R12" s="128"/>
      <c r="S12" s="128"/>
      <c r="T12" s="137"/>
      <c r="U12" s="137"/>
      <c r="V12" s="137"/>
      <c r="W12" s="137"/>
      <c r="X12" s="137"/>
      <c r="Y12" s="137"/>
      <c r="Z12" s="137"/>
      <c r="AA12" s="137"/>
    </row>
    <row r="13" spans="1:27" s="142" customFormat="1" ht="60" customHeight="1">
      <c r="A13" s="283">
        <v>28</v>
      </c>
      <c r="B13" s="141" t="s">
        <v>109</v>
      </c>
      <c r="C13" s="336" t="s">
        <v>109</v>
      </c>
      <c r="D13" s="115" t="s">
        <v>109</v>
      </c>
      <c r="E13" s="115" t="s">
        <v>109</v>
      </c>
      <c r="F13" s="115" t="s">
        <v>266</v>
      </c>
      <c r="G13" s="264" t="s">
        <v>301</v>
      </c>
      <c r="H13" s="117" t="s">
        <v>109</v>
      </c>
      <c r="I13" s="264" t="s">
        <v>48</v>
      </c>
      <c r="J13" s="274" t="s">
        <v>258</v>
      </c>
      <c r="K13" s="264" t="s">
        <v>267</v>
      </c>
      <c r="M13" s="143"/>
      <c r="N13" s="143"/>
      <c r="O13" s="143"/>
      <c r="P13" s="143"/>
      <c r="Q13" s="143"/>
      <c r="R13" s="143"/>
      <c r="S13" s="143"/>
      <c r="T13" s="143"/>
      <c r="U13" s="143"/>
      <c r="V13" s="143"/>
      <c r="W13" s="143"/>
      <c r="X13" s="143"/>
      <c r="Y13" s="143"/>
      <c r="Z13" s="143"/>
      <c r="AA13" s="143"/>
    </row>
    <row r="14" spans="1:27" s="142" customFormat="1" ht="45" customHeight="1">
      <c r="A14" s="284"/>
      <c r="B14" s="102" t="s">
        <v>265</v>
      </c>
      <c r="C14" s="337"/>
      <c r="D14" s="115" t="s">
        <v>109</v>
      </c>
      <c r="E14" s="115"/>
      <c r="F14" s="115" t="s">
        <v>109</v>
      </c>
      <c r="G14" s="266"/>
      <c r="H14" s="117" t="s">
        <v>109</v>
      </c>
      <c r="I14" s="266"/>
      <c r="J14" s="274"/>
      <c r="K14" s="298"/>
      <c r="M14" s="143"/>
      <c r="N14" s="143"/>
      <c r="O14" s="143"/>
      <c r="P14" s="143"/>
      <c r="Q14" s="143"/>
      <c r="R14" s="143"/>
      <c r="S14" s="143"/>
      <c r="T14" s="143"/>
      <c r="U14" s="143"/>
      <c r="V14" s="143"/>
      <c r="W14" s="143"/>
      <c r="X14" s="143"/>
      <c r="Y14" s="143"/>
      <c r="Z14" s="143"/>
      <c r="AA14" s="143"/>
    </row>
    <row r="15" spans="1:27" s="142" customFormat="1" ht="49.5" customHeight="1">
      <c r="A15" s="260" t="s">
        <v>47</v>
      </c>
      <c r="B15" s="261"/>
      <c r="C15" s="262"/>
      <c r="D15" s="260" t="s">
        <v>1753</v>
      </c>
      <c r="E15" s="261"/>
      <c r="F15" s="261"/>
      <c r="G15" s="262"/>
      <c r="H15" s="332" t="s">
        <v>1755</v>
      </c>
      <c r="I15" s="332"/>
      <c r="J15" s="332"/>
      <c r="K15" s="333"/>
      <c r="M15" s="143"/>
      <c r="N15" s="143"/>
      <c r="O15" s="143"/>
      <c r="P15" s="143"/>
      <c r="Q15" s="143"/>
      <c r="R15" s="143"/>
      <c r="S15" s="143"/>
      <c r="T15" s="143"/>
      <c r="U15" s="143"/>
      <c r="V15" s="143"/>
      <c r="W15" s="143"/>
      <c r="X15" s="143"/>
      <c r="Y15" s="143"/>
      <c r="Z15" s="143"/>
      <c r="AA15" s="143"/>
    </row>
    <row r="16" spans="1:27" s="142" customFormat="1" ht="51" customHeight="1">
      <c r="A16" s="263" t="s">
        <v>1188</v>
      </c>
      <c r="B16" s="263"/>
      <c r="C16" s="263"/>
      <c r="D16" s="263"/>
      <c r="E16" s="263"/>
      <c r="F16" s="263"/>
      <c r="G16" s="263"/>
      <c r="H16" s="263"/>
      <c r="I16" s="263"/>
      <c r="J16" s="263"/>
      <c r="K16" s="263"/>
      <c r="M16" s="143"/>
      <c r="N16" s="143"/>
      <c r="O16" s="143"/>
      <c r="P16" s="143"/>
      <c r="Q16" s="143"/>
      <c r="R16" s="143"/>
      <c r="S16" s="143"/>
      <c r="T16" s="143"/>
      <c r="U16" s="143"/>
      <c r="V16" s="143"/>
      <c r="W16" s="143"/>
      <c r="X16" s="143"/>
      <c r="Y16" s="143"/>
      <c r="Z16" s="143"/>
      <c r="AA16" s="143"/>
    </row>
  </sheetData>
  <mergeCells count="38">
    <mergeCell ref="J11:J12"/>
    <mergeCell ref="C13:C14"/>
    <mergeCell ref="A13:A14"/>
    <mergeCell ref="G13:G14"/>
    <mergeCell ref="I13:I14"/>
    <mergeCell ref="J13:J14"/>
    <mergeCell ref="G9:G12"/>
    <mergeCell ref="C9:C10"/>
    <mergeCell ref="C11:C12"/>
    <mergeCell ref="A11:A12"/>
    <mergeCell ref="I11:I12"/>
    <mergeCell ref="A5:A6"/>
    <mergeCell ref="G5:G6"/>
    <mergeCell ref="I5:I6"/>
    <mergeCell ref="J5:J6"/>
    <mergeCell ref="C5:C6"/>
    <mergeCell ref="A1:K1"/>
    <mergeCell ref="A2:K2"/>
    <mergeCell ref="A3:G3"/>
    <mergeCell ref="H3:K3"/>
    <mergeCell ref="A4:G4"/>
    <mergeCell ref="H4:K4"/>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42"/>
  <sheetViews>
    <sheetView workbookViewId="0">
      <selection activeCell="F48" sqref="F48"/>
    </sheetView>
  </sheetViews>
  <sheetFormatPr defaultRowHeight="16.5"/>
  <cols>
    <col min="2" max="2" width="10.5" style="67" bestFit="1" customWidth="1"/>
    <col min="8" max="8" width="23.875" customWidth="1"/>
    <col min="9" max="9" width="9.625" bestFit="1" customWidth="1"/>
    <col min="11" max="11" width="10.75" bestFit="1" customWidth="1"/>
  </cols>
  <sheetData>
    <row r="1" spans="1:20">
      <c r="A1" t="s">
        <v>146</v>
      </c>
      <c r="B1" s="67"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f>ROW()-1</f>
        <v>1</v>
      </c>
      <c r="B2" s="67">
        <v>45181</v>
      </c>
      <c r="C2" t="s">
        <v>164</v>
      </c>
      <c r="D2">
        <v>140</v>
      </c>
      <c r="E2">
        <v>0</v>
      </c>
      <c r="F2">
        <v>1</v>
      </c>
      <c r="G2" t="s">
        <v>165</v>
      </c>
      <c r="H2" t="s">
        <v>166</v>
      </c>
      <c r="I2" s="67">
        <v>45188</v>
      </c>
      <c r="J2" t="s">
        <v>164</v>
      </c>
      <c r="K2" s="67">
        <v>45211</v>
      </c>
      <c r="L2" t="s">
        <v>167</v>
      </c>
      <c r="M2" t="s">
        <v>168</v>
      </c>
      <c r="N2" t="s">
        <v>169</v>
      </c>
      <c r="O2" t="s">
        <v>170</v>
      </c>
      <c r="P2" t="s">
        <v>170</v>
      </c>
      <c r="Q2" t="s">
        <v>170</v>
      </c>
      <c r="R2" t="s">
        <v>171</v>
      </c>
      <c r="S2" t="s">
        <v>172</v>
      </c>
      <c r="T2" t="s">
        <v>173</v>
      </c>
    </row>
    <row r="3" spans="1:20">
      <c r="A3">
        <f t="shared" ref="A3:A42" si="0">ROW()-1</f>
        <v>2</v>
      </c>
      <c r="B3" s="67">
        <v>45339</v>
      </c>
      <c r="C3" t="s">
        <v>186</v>
      </c>
      <c r="D3">
        <v>140</v>
      </c>
      <c r="E3">
        <v>8</v>
      </c>
      <c r="F3">
        <v>1</v>
      </c>
      <c r="G3" t="s">
        <v>194</v>
      </c>
      <c r="H3" t="s">
        <v>209</v>
      </c>
      <c r="I3" s="67">
        <v>45346</v>
      </c>
      <c r="J3" t="s">
        <v>186</v>
      </c>
      <c r="K3" s="67">
        <v>45367</v>
      </c>
      <c r="L3" t="s">
        <v>186</v>
      </c>
      <c r="M3" t="s">
        <v>177</v>
      </c>
      <c r="N3" t="s">
        <v>178</v>
      </c>
      <c r="S3" t="s">
        <v>210</v>
      </c>
      <c r="T3" t="s">
        <v>208</v>
      </c>
    </row>
    <row r="4" spans="1:20">
      <c r="A4">
        <f t="shared" si="0"/>
        <v>3</v>
      </c>
      <c r="B4" s="67">
        <v>45356</v>
      </c>
      <c r="C4" t="s">
        <v>164</v>
      </c>
      <c r="D4">
        <v>140</v>
      </c>
      <c r="E4">
        <v>18</v>
      </c>
      <c r="F4">
        <v>0</v>
      </c>
      <c r="G4" t="s">
        <v>197</v>
      </c>
      <c r="H4" t="s">
        <v>209</v>
      </c>
      <c r="I4" s="67">
        <v>45363</v>
      </c>
      <c r="J4" t="s">
        <v>164</v>
      </c>
      <c r="K4" s="67">
        <v>45384</v>
      </c>
      <c r="L4" t="s">
        <v>164</v>
      </c>
      <c r="M4" t="s">
        <v>177</v>
      </c>
      <c r="N4" t="s">
        <v>178</v>
      </c>
      <c r="S4" t="s">
        <v>210</v>
      </c>
      <c r="T4" t="s">
        <v>208</v>
      </c>
    </row>
    <row r="5" spans="1:20">
      <c r="A5">
        <f t="shared" si="0"/>
        <v>4</v>
      </c>
      <c r="B5" s="67">
        <v>45376</v>
      </c>
      <c r="C5" s="65" t="s">
        <v>310</v>
      </c>
      <c r="D5">
        <v>140</v>
      </c>
      <c r="E5">
        <v>20</v>
      </c>
      <c r="F5">
        <v>1</v>
      </c>
      <c r="G5" s="65" t="s">
        <v>309</v>
      </c>
      <c r="H5" t="s">
        <v>209</v>
      </c>
      <c r="I5" s="67">
        <v>45383</v>
      </c>
      <c r="J5" s="65" t="s">
        <v>310</v>
      </c>
      <c r="K5" s="67">
        <v>45404</v>
      </c>
      <c r="L5" s="65" t="s">
        <v>310</v>
      </c>
      <c r="M5" t="s">
        <v>177</v>
      </c>
      <c r="N5" t="s">
        <v>178</v>
      </c>
      <c r="O5" t="s">
        <v>170</v>
      </c>
      <c r="P5" t="s">
        <v>170</v>
      </c>
      <c r="Q5" t="s">
        <v>170</v>
      </c>
      <c r="R5" t="s">
        <v>171</v>
      </c>
      <c r="S5" t="s">
        <v>210</v>
      </c>
      <c r="T5" t="s">
        <v>208</v>
      </c>
    </row>
    <row r="6" spans="1:20">
      <c r="A6">
        <f t="shared" si="0"/>
        <v>5</v>
      </c>
      <c r="B6" s="67">
        <v>45391</v>
      </c>
      <c r="C6" t="s">
        <v>164</v>
      </c>
      <c r="D6">
        <v>140</v>
      </c>
      <c r="E6">
        <v>10</v>
      </c>
      <c r="F6">
        <v>1</v>
      </c>
      <c r="G6" s="65" t="s">
        <v>322</v>
      </c>
      <c r="H6" t="s">
        <v>209</v>
      </c>
      <c r="I6" s="67">
        <v>45398</v>
      </c>
      <c r="J6" t="s">
        <v>164</v>
      </c>
      <c r="K6" s="67">
        <v>45419</v>
      </c>
      <c r="L6" t="s">
        <v>164</v>
      </c>
      <c r="M6" t="s">
        <v>177</v>
      </c>
      <c r="N6" s="65" t="s">
        <v>323</v>
      </c>
      <c r="O6" t="s">
        <v>170</v>
      </c>
      <c r="P6" t="s">
        <v>170</v>
      </c>
      <c r="R6" t="s">
        <v>171</v>
      </c>
      <c r="S6" t="s">
        <v>210</v>
      </c>
      <c r="T6" t="s">
        <v>208</v>
      </c>
    </row>
    <row r="7" spans="1:20">
      <c r="A7">
        <f t="shared" si="0"/>
        <v>6</v>
      </c>
      <c r="B7" s="67">
        <v>45436</v>
      </c>
      <c r="C7" t="s">
        <v>174</v>
      </c>
      <c r="D7">
        <v>140</v>
      </c>
      <c r="E7">
        <v>30</v>
      </c>
      <c r="F7">
        <v>1</v>
      </c>
      <c r="G7" t="s">
        <v>325</v>
      </c>
      <c r="H7" t="s">
        <v>209</v>
      </c>
      <c r="I7">
        <v>45443</v>
      </c>
      <c r="J7" t="s">
        <v>174</v>
      </c>
      <c r="K7">
        <v>45464</v>
      </c>
      <c r="L7" t="s">
        <v>174</v>
      </c>
      <c r="M7" t="s">
        <v>177</v>
      </c>
      <c r="N7" t="s">
        <v>284</v>
      </c>
      <c r="O7" t="s">
        <v>170</v>
      </c>
      <c r="P7" t="s">
        <v>170</v>
      </c>
      <c r="Q7" t="s">
        <v>170</v>
      </c>
      <c r="S7" t="s">
        <v>210</v>
      </c>
      <c r="T7" t="s">
        <v>208</v>
      </c>
    </row>
    <row r="8" spans="1:20">
      <c r="A8">
        <f t="shared" si="0"/>
        <v>7</v>
      </c>
      <c r="B8" s="67">
        <v>45544</v>
      </c>
      <c r="C8" t="s">
        <v>189</v>
      </c>
      <c r="D8">
        <v>140</v>
      </c>
      <c r="E8">
        <v>10</v>
      </c>
      <c r="F8">
        <v>0</v>
      </c>
      <c r="G8" t="s">
        <v>513</v>
      </c>
      <c r="H8" t="s">
        <v>471</v>
      </c>
      <c r="I8">
        <v>45551</v>
      </c>
      <c r="J8" t="s">
        <v>189</v>
      </c>
      <c r="K8">
        <v>45572</v>
      </c>
      <c r="L8" t="s">
        <v>189</v>
      </c>
      <c r="M8" t="s">
        <v>191</v>
      </c>
      <c r="T8" t="s">
        <v>471</v>
      </c>
    </row>
    <row r="9" spans="1:20">
      <c r="A9">
        <f t="shared" si="0"/>
        <v>8</v>
      </c>
      <c r="B9" s="67">
        <v>45666</v>
      </c>
      <c r="C9" t="s">
        <v>167</v>
      </c>
      <c r="D9">
        <v>140</v>
      </c>
      <c r="E9">
        <v>5</v>
      </c>
      <c r="F9">
        <v>0</v>
      </c>
      <c r="G9" t="s">
        <v>698</v>
      </c>
      <c r="H9" t="s">
        <v>639</v>
      </c>
      <c r="I9">
        <v>45673</v>
      </c>
      <c r="J9" t="s">
        <v>167</v>
      </c>
      <c r="K9">
        <v>45694</v>
      </c>
      <c r="L9" t="s">
        <v>167</v>
      </c>
      <c r="M9" t="s">
        <v>177</v>
      </c>
      <c r="N9" t="s">
        <v>699</v>
      </c>
      <c r="T9" t="s">
        <v>639</v>
      </c>
    </row>
    <row r="10" spans="1:20">
      <c r="A10">
        <f t="shared" si="0"/>
        <v>9</v>
      </c>
      <c r="B10" s="67">
        <v>45671</v>
      </c>
      <c r="C10" t="s">
        <v>164</v>
      </c>
      <c r="D10">
        <v>140</v>
      </c>
      <c r="E10">
        <v>5</v>
      </c>
      <c r="F10">
        <v>0</v>
      </c>
      <c r="G10" t="s">
        <v>698</v>
      </c>
      <c r="H10" t="s">
        <v>639</v>
      </c>
      <c r="I10">
        <v>45678</v>
      </c>
      <c r="J10" t="s">
        <v>164</v>
      </c>
      <c r="K10">
        <v>45699</v>
      </c>
      <c r="L10" t="s">
        <v>164</v>
      </c>
      <c r="M10" t="s">
        <v>177</v>
      </c>
      <c r="N10" t="s">
        <v>699</v>
      </c>
      <c r="T10" t="s">
        <v>639</v>
      </c>
    </row>
    <row r="11" spans="1:20">
      <c r="A11">
        <f t="shared" si="0"/>
        <v>10</v>
      </c>
      <c r="B11" s="67">
        <v>45674</v>
      </c>
      <c r="C11" t="s">
        <v>174</v>
      </c>
      <c r="D11">
        <v>140</v>
      </c>
      <c r="E11">
        <v>5</v>
      </c>
      <c r="F11">
        <v>0</v>
      </c>
      <c r="G11" t="s">
        <v>799</v>
      </c>
      <c r="H11" t="s">
        <v>173</v>
      </c>
      <c r="I11">
        <v>45681</v>
      </c>
      <c r="J11" t="s">
        <v>174</v>
      </c>
      <c r="K11">
        <v>45702</v>
      </c>
      <c r="L11" t="s">
        <v>174</v>
      </c>
      <c r="M11" t="s">
        <v>168</v>
      </c>
      <c r="N11" t="s">
        <v>699</v>
      </c>
      <c r="O11" t="s">
        <v>475</v>
      </c>
      <c r="T11" t="s">
        <v>173</v>
      </c>
    </row>
    <row r="12" spans="1:20">
      <c r="A12">
        <f t="shared" si="0"/>
        <v>11</v>
      </c>
      <c r="B12" s="67">
        <v>45678</v>
      </c>
      <c r="C12" t="s">
        <v>164</v>
      </c>
      <c r="D12">
        <v>140</v>
      </c>
      <c r="E12">
        <v>4</v>
      </c>
      <c r="F12">
        <v>0</v>
      </c>
      <c r="G12" t="s">
        <v>800</v>
      </c>
      <c r="H12" t="s">
        <v>173</v>
      </c>
      <c r="I12">
        <v>45685</v>
      </c>
      <c r="J12" t="s">
        <v>164</v>
      </c>
      <c r="K12">
        <v>45706</v>
      </c>
      <c r="L12" t="s">
        <v>164</v>
      </c>
      <c r="M12" t="s">
        <v>168</v>
      </c>
      <c r="N12" t="s">
        <v>699</v>
      </c>
      <c r="O12" t="s">
        <v>475</v>
      </c>
      <c r="T12" t="s">
        <v>173</v>
      </c>
    </row>
    <row r="13" spans="1:20">
      <c r="A13">
        <f t="shared" si="0"/>
        <v>12</v>
      </c>
      <c r="B13" s="67">
        <v>45680</v>
      </c>
      <c r="C13" t="s">
        <v>167</v>
      </c>
      <c r="D13">
        <v>140</v>
      </c>
      <c r="E13">
        <v>4.5</v>
      </c>
      <c r="F13">
        <v>0</v>
      </c>
      <c r="G13" t="s">
        <v>801</v>
      </c>
      <c r="H13" t="s">
        <v>173</v>
      </c>
      <c r="I13">
        <v>45687</v>
      </c>
      <c r="J13" t="s">
        <v>167</v>
      </c>
      <c r="K13">
        <v>45708</v>
      </c>
      <c r="L13" t="s">
        <v>167</v>
      </c>
      <c r="M13" t="s">
        <v>177</v>
      </c>
      <c r="N13" t="s">
        <v>699</v>
      </c>
      <c r="T13" t="s">
        <v>173</v>
      </c>
    </row>
    <row r="14" spans="1:20">
      <c r="A14">
        <f t="shared" si="0"/>
        <v>13</v>
      </c>
      <c r="B14" s="67">
        <v>45692</v>
      </c>
      <c r="C14" t="s">
        <v>164</v>
      </c>
      <c r="D14">
        <v>140</v>
      </c>
      <c r="E14">
        <v>6</v>
      </c>
      <c r="F14">
        <v>0</v>
      </c>
      <c r="G14" t="s">
        <v>802</v>
      </c>
      <c r="H14" t="s">
        <v>173</v>
      </c>
      <c r="I14">
        <v>45699</v>
      </c>
      <c r="J14" t="s">
        <v>164</v>
      </c>
      <c r="K14">
        <v>45720</v>
      </c>
      <c r="L14" t="s">
        <v>164</v>
      </c>
      <c r="M14" t="s">
        <v>177</v>
      </c>
      <c r="N14" t="s">
        <v>699</v>
      </c>
      <c r="T14" t="s">
        <v>173</v>
      </c>
    </row>
    <row r="15" spans="1:20">
      <c r="A15">
        <f t="shared" si="0"/>
        <v>14</v>
      </c>
      <c r="B15" s="67">
        <v>45695</v>
      </c>
      <c r="C15" t="s">
        <v>174</v>
      </c>
      <c r="D15">
        <v>140</v>
      </c>
      <c r="E15">
        <v>20</v>
      </c>
      <c r="F15">
        <v>1</v>
      </c>
      <c r="G15" t="s">
        <v>803</v>
      </c>
      <c r="H15" t="s">
        <v>532</v>
      </c>
      <c r="I15">
        <v>45702</v>
      </c>
      <c r="J15" t="s">
        <v>174</v>
      </c>
      <c r="K15">
        <v>45723</v>
      </c>
      <c r="L15" t="s">
        <v>174</v>
      </c>
      <c r="M15" t="s">
        <v>177</v>
      </c>
      <c r="N15" t="s">
        <v>284</v>
      </c>
      <c r="T15" t="s">
        <v>532</v>
      </c>
    </row>
    <row r="16" spans="1:20">
      <c r="A16">
        <f t="shared" si="0"/>
        <v>15</v>
      </c>
      <c r="B16" s="67">
        <v>45698</v>
      </c>
      <c r="C16" t="s">
        <v>189</v>
      </c>
      <c r="D16">
        <v>140</v>
      </c>
      <c r="E16">
        <v>10</v>
      </c>
      <c r="F16">
        <v>0</v>
      </c>
      <c r="G16" t="s">
        <v>804</v>
      </c>
      <c r="H16" t="s">
        <v>173</v>
      </c>
      <c r="I16">
        <v>45705</v>
      </c>
      <c r="J16" t="s">
        <v>189</v>
      </c>
      <c r="K16">
        <v>45726</v>
      </c>
      <c r="L16" t="s">
        <v>189</v>
      </c>
      <c r="M16" t="s">
        <v>177</v>
      </c>
      <c r="N16" t="s">
        <v>699</v>
      </c>
      <c r="T16" t="s">
        <v>173</v>
      </c>
    </row>
    <row r="17" spans="1:20">
      <c r="A17">
        <f t="shared" si="0"/>
        <v>16</v>
      </c>
      <c r="B17" s="67">
        <v>45708</v>
      </c>
      <c r="C17" t="s">
        <v>167</v>
      </c>
      <c r="D17">
        <v>140</v>
      </c>
      <c r="E17">
        <v>20</v>
      </c>
      <c r="F17">
        <v>1</v>
      </c>
      <c r="G17" t="s">
        <v>839</v>
      </c>
      <c r="H17" t="s">
        <v>173</v>
      </c>
      <c r="I17">
        <v>45715</v>
      </c>
      <c r="J17" t="s">
        <v>167</v>
      </c>
      <c r="K17">
        <v>45736</v>
      </c>
      <c r="L17" t="s">
        <v>167</v>
      </c>
      <c r="M17" t="s">
        <v>191</v>
      </c>
      <c r="N17" t="s">
        <v>699</v>
      </c>
      <c r="T17" t="s">
        <v>173</v>
      </c>
    </row>
    <row r="18" spans="1:20">
      <c r="A18">
        <f t="shared" si="0"/>
        <v>17</v>
      </c>
      <c r="B18" s="67">
        <v>45714</v>
      </c>
      <c r="C18" t="s">
        <v>288</v>
      </c>
      <c r="D18">
        <v>140</v>
      </c>
      <c r="E18">
        <v>6</v>
      </c>
      <c r="F18">
        <v>0</v>
      </c>
      <c r="G18" t="s">
        <v>840</v>
      </c>
      <c r="H18" t="s">
        <v>173</v>
      </c>
      <c r="I18">
        <v>45721</v>
      </c>
      <c r="J18" t="s">
        <v>288</v>
      </c>
      <c r="K18">
        <v>45742</v>
      </c>
      <c r="L18" t="s">
        <v>288</v>
      </c>
      <c r="M18" t="s">
        <v>191</v>
      </c>
      <c r="N18" t="s">
        <v>699</v>
      </c>
      <c r="T18" t="s">
        <v>173</v>
      </c>
    </row>
    <row r="19" spans="1:20">
      <c r="A19">
        <f t="shared" si="0"/>
        <v>18</v>
      </c>
      <c r="B19" s="67">
        <v>45726</v>
      </c>
      <c r="C19" t="s">
        <v>189</v>
      </c>
      <c r="D19">
        <v>140</v>
      </c>
      <c r="E19">
        <v>10</v>
      </c>
      <c r="F19">
        <v>0</v>
      </c>
      <c r="G19" t="s">
        <v>927</v>
      </c>
      <c r="H19" t="s">
        <v>173</v>
      </c>
      <c r="I19">
        <v>45733</v>
      </c>
      <c r="J19" t="s">
        <v>189</v>
      </c>
      <c r="K19">
        <v>45754</v>
      </c>
      <c r="L19" t="s">
        <v>189</v>
      </c>
      <c r="M19" t="s">
        <v>177</v>
      </c>
      <c r="N19" t="s">
        <v>699</v>
      </c>
      <c r="T19" t="s">
        <v>173</v>
      </c>
    </row>
    <row r="20" spans="1:20">
      <c r="A20">
        <f t="shared" si="0"/>
        <v>19</v>
      </c>
      <c r="B20" s="67">
        <v>45729</v>
      </c>
      <c r="C20" t="s">
        <v>167</v>
      </c>
      <c r="D20">
        <v>140</v>
      </c>
      <c r="E20">
        <v>3</v>
      </c>
      <c r="F20">
        <v>0</v>
      </c>
      <c r="G20" t="s">
        <v>926</v>
      </c>
      <c r="H20" t="s">
        <v>173</v>
      </c>
      <c r="I20">
        <v>45736</v>
      </c>
      <c r="J20" t="s">
        <v>167</v>
      </c>
      <c r="K20">
        <v>45757</v>
      </c>
      <c r="L20" t="s">
        <v>167</v>
      </c>
      <c r="M20" t="s">
        <v>177</v>
      </c>
      <c r="N20" t="s">
        <v>699</v>
      </c>
      <c r="T20" t="s">
        <v>173</v>
      </c>
    </row>
    <row r="21" spans="1:20">
      <c r="A21">
        <f t="shared" si="0"/>
        <v>20</v>
      </c>
      <c r="B21" s="67">
        <v>45755</v>
      </c>
      <c r="C21" t="s">
        <v>164</v>
      </c>
      <c r="D21">
        <v>140</v>
      </c>
      <c r="E21">
        <v>18</v>
      </c>
      <c r="F21">
        <v>0</v>
      </c>
      <c r="G21" t="s">
        <v>971</v>
      </c>
      <c r="H21" t="s">
        <v>173</v>
      </c>
      <c r="I21">
        <v>45762</v>
      </c>
      <c r="J21" t="s">
        <v>164</v>
      </c>
      <c r="K21">
        <v>45783</v>
      </c>
      <c r="L21" t="s">
        <v>164</v>
      </c>
      <c r="M21" t="s">
        <v>177</v>
      </c>
      <c r="N21" t="s">
        <v>699</v>
      </c>
      <c r="T21" t="s">
        <v>173</v>
      </c>
    </row>
    <row r="22" spans="1:20">
      <c r="A22">
        <f t="shared" si="0"/>
        <v>21</v>
      </c>
      <c r="B22" s="67">
        <v>45777</v>
      </c>
      <c r="C22" t="s">
        <v>288</v>
      </c>
      <c r="D22">
        <v>140</v>
      </c>
      <c r="E22">
        <v>20</v>
      </c>
      <c r="F22">
        <v>1</v>
      </c>
      <c r="G22" t="s">
        <v>1006</v>
      </c>
      <c r="H22" t="s">
        <v>520</v>
      </c>
      <c r="I22">
        <v>45784</v>
      </c>
      <c r="J22" t="s">
        <v>288</v>
      </c>
      <c r="K22">
        <v>45805</v>
      </c>
      <c r="L22" t="s">
        <v>288</v>
      </c>
      <c r="M22" t="s">
        <v>168</v>
      </c>
      <c r="N22" t="s">
        <v>284</v>
      </c>
      <c r="S22" t="s">
        <v>521</v>
      </c>
      <c r="T22" t="s">
        <v>173</v>
      </c>
    </row>
    <row r="23" spans="1:20">
      <c r="A23">
        <f t="shared" si="0"/>
        <v>22</v>
      </c>
      <c r="B23" s="67">
        <v>45789</v>
      </c>
      <c r="C23" t="s">
        <v>189</v>
      </c>
      <c r="D23">
        <v>140</v>
      </c>
      <c r="E23">
        <v>20</v>
      </c>
      <c r="F23">
        <v>1</v>
      </c>
      <c r="G23" t="s">
        <v>1022</v>
      </c>
      <c r="H23" t="s">
        <v>520</v>
      </c>
      <c r="I23">
        <v>45796</v>
      </c>
      <c r="J23" t="s">
        <v>189</v>
      </c>
      <c r="K23">
        <v>45817</v>
      </c>
      <c r="L23" t="s">
        <v>189</v>
      </c>
      <c r="M23" t="s">
        <v>177</v>
      </c>
      <c r="N23" t="s">
        <v>284</v>
      </c>
      <c r="S23" t="s">
        <v>521</v>
      </c>
      <c r="T23" t="s">
        <v>173</v>
      </c>
    </row>
    <row r="24" spans="1:20">
      <c r="A24">
        <f t="shared" si="0"/>
        <v>23</v>
      </c>
      <c r="B24" s="67">
        <v>45791</v>
      </c>
      <c r="C24" t="s">
        <v>288</v>
      </c>
      <c r="D24">
        <v>140</v>
      </c>
      <c r="E24">
        <v>6</v>
      </c>
      <c r="F24">
        <v>0</v>
      </c>
      <c r="G24" t="s">
        <v>1023</v>
      </c>
      <c r="H24" t="s">
        <v>173</v>
      </c>
      <c r="I24">
        <v>45798</v>
      </c>
      <c r="J24" t="s">
        <v>288</v>
      </c>
      <c r="K24">
        <v>45819</v>
      </c>
      <c r="L24" t="s">
        <v>288</v>
      </c>
      <c r="M24" t="s">
        <v>177</v>
      </c>
      <c r="T24" t="s">
        <v>173</v>
      </c>
    </row>
    <row r="25" spans="1:20">
      <c r="A25">
        <f t="shared" si="0"/>
        <v>24</v>
      </c>
      <c r="B25" s="67">
        <v>45794</v>
      </c>
      <c r="C25" t="s">
        <v>186</v>
      </c>
      <c r="D25">
        <v>140</v>
      </c>
      <c r="E25">
        <v>6</v>
      </c>
      <c r="F25">
        <v>0</v>
      </c>
      <c r="G25" t="s">
        <v>1028</v>
      </c>
      <c r="H25" t="s">
        <v>173</v>
      </c>
      <c r="I25">
        <v>45801</v>
      </c>
      <c r="J25" t="s">
        <v>186</v>
      </c>
      <c r="K25">
        <v>45822</v>
      </c>
      <c r="L25" t="s">
        <v>186</v>
      </c>
      <c r="M25" t="s">
        <v>177</v>
      </c>
      <c r="T25" t="s">
        <v>173</v>
      </c>
    </row>
    <row r="26" spans="1:20">
      <c r="A26">
        <f t="shared" si="0"/>
        <v>25</v>
      </c>
      <c r="B26" s="67">
        <v>45805</v>
      </c>
      <c r="C26" t="s">
        <v>288</v>
      </c>
      <c r="D26">
        <v>140</v>
      </c>
      <c r="E26">
        <v>6</v>
      </c>
      <c r="F26">
        <v>0</v>
      </c>
      <c r="G26" t="s">
        <v>1059</v>
      </c>
      <c r="H26" t="s">
        <v>173</v>
      </c>
      <c r="I26">
        <v>45812</v>
      </c>
      <c r="J26" t="s">
        <v>288</v>
      </c>
      <c r="K26">
        <v>45833</v>
      </c>
      <c r="L26" t="s">
        <v>288</v>
      </c>
      <c r="M26" t="s">
        <v>168</v>
      </c>
      <c r="T26" t="s">
        <v>173</v>
      </c>
    </row>
    <row r="27" spans="1:20">
      <c r="A27">
        <f t="shared" si="0"/>
        <v>26</v>
      </c>
      <c r="B27" s="67">
        <v>45815</v>
      </c>
      <c r="C27" t="s">
        <v>186</v>
      </c>
      <c r="D27">
        <v>140</v>
      </c>
      <c r="E27">
        <v>8</v>
      </c>
      <c r="F27">
        <v>0</v>
      </c>
      <c r="G27" t="s">
        <v>1060</v>
      </c>
      <c r="H27" t="s">
        <v>173</v>
      </c>
      <c r="I27">
        <v>45822</v>
      </c>
      <c r="J27" t="s">
        <v>186</v>
      </c>
      <c r="K27">
        <v>45843</v>
      </c>
      <c r="L27" t="s">
        <v>186</v>
      </c>
      <c r="M27" t="s">
        <v>191</v>
      </c>
      <c r="T27" t="s">
        <v>173</v>
      </c>
    </row>
    <row r="28" spans="1:20">
      <c r="A28">
        <f t="shared" si="0"/>
        <v>27</v>
      </c>
      <c r="B28" s="67">
        <v>45818</v>
      </c>
      <c r="C28" t="s">
        <v>164</v>
      </c>
      <c r="D28">
        <v>140</v>
      </c>
      <c r="E28">
        <v>8</v>
      </c>
      <c r="F28">
        <v>0</v>
      </c>
      <c r="G28" t="s">
        <v>1061</v>
      </c>
      <c r="H28" t="s">
        <v>173</v>
      </c>
      <c r="I28">
        <v>45825</v>
      </c>
      <c r="J28" t="s">
        <v>164</v>
      </c>
      <c r="K28">
        <v>45846</v>
      </c>
      <c r="L28" t="s">
        <v>164</v>
      </c>
      <c r="M28" t="s">
        <v>168</v>
      </c>
      <c r="T28" t="s">
        <v>173</v>
      </c>
    </row>
    <row r="29" spans="1:20">
      <c r="A29">
        <f t="shared" si="0"/>
        <v>28</v>
      </c>
      <c r="B29" s="67">
        <v>45820</v>
      </c>
      <c r="C29" t="s">
        <v>167</v>
      </c>
      <c r="D29">
        <v>140</v>
      </c>
      <c r="E29">
        <v>10</v>
      </c>
      <c r="F29">
        <v>0</v>
      </c>
      <c r="G29" t="s">
        <v>1069</v>
      </c>
      <c r="H29" t="s">
        <v>173</v>
      </c>
      <c r="I29">
        <v>45827</v>
      </c>
      <c r="J29" t="s">
        <v>167</v>
      </c>
      <c r="K29">
        <v>45848</v>
      </c>
      <c r="L29" t="s">
        <v>167</v>
      </c>
      <c r="M29" t="s">
        <v>191</v>
      </c>
      <c r="T29" t="s">
        <v>173</v>
      </c>
    </row>
    <row r="30" spans="1:20">
      <c r="A30">
        <f t="shared" si="0"/>
        <v>29</v>
      </c>
      <c r="B30" s="67">
        <v>45824</v>
      </c>
      <c r="C30" t="s">
        <v>189</v>
      </c>
      <c r="D30">
        <v>140</v>
      </c>
      <c r="E30">
        <v>8</v>
      </c>
      <c r="F30">
        <v>0</v>
      </c>
      <c r="G30" t="s">
        <v>1070</v>
      </c>
      <c r="H30" t="s">
        <v>173</v>
      </c>
      <c r="I30">
        <v>45831</v>
      </c>
      <c r="J30" t="s">
        <v>189</v>
      </c>
      <c r="K30">
        <v>45852</v>
      </c>
      <c r="L30" t="s">
        <v>189</v>
      </c>
      <c r="T30" t="s">
        <v>173</v>
      </c>
    </row>
    <row r="31" spans="1:20">
      <c r="A31">
        <f t="shared" si="0"/>
        <v>30</v>
      </c>
      <c r="B31" s="67">
        <v>45836</v>
      </c>
      <c r="C31" t="s">
        <v>186</v>
      </c>
      <c r="D31">
        <v>140</v>
      </c>
      <c r="E31">
        <v>8</v>
      </c>
      <c r="F31">
        <v>0</v>
      </c>
      <c r="G31" t="s">
        <v>1097</v>
      </c>
      <c r="H31" t="s">
        <v>173</v>
      </c>
      <c r="I31">
        <v>45843</v>
      </c>
      <c r="J31" t="s">
        <v>186</v>
      </c>
      <c r="K31">
        <v>45864</v>
      </c>
      <c r="L31" t="s">
        <v>186</v>
      </c>
      <c r="M31" t="s">
        <v>177</v>
      </c>
      <c r="T31" t="s">
        <v>173</v>
      </c>
    </row>
    <row r="32" spans="1:20">
      <c r="A32">
        <f t="shared" si="0"/>
        <v>31</v>
      </c>
      <c r="B32" s="67">
        <v>45850</v>
      </c>
      <c r="C32" t="s">
        <v>186</v>
      </c>
      <c r="D32">
        <v>140</v>
      </c>
      <c r="E32">
        <v>10</v>
      </c>
      <c r="F32">
        <v>0</v>
      </c>
      <c r="G32" t="s">
        <v>1117</v>
      </c>
      <c r="H32" t="s">
        <v>173</v>
      </c>
      <c r="I32">
        <v>45857</v>
      </c>
      <c r="J32" t="s">
        <v>186</v>
      </c>
      <c r="K32">
        <v>45878</v>
      </c>
      <c r="L32" t="s">
        <v>186</v>
      </c>
      <c r="M32" t="s">
        <v>168</v>
      </c>
      <c r="T32" t="s">
        <v>173</v>
      </c>
    </row>
    <row r="33" spans="1:20">
      <c r="A33">
        <f t="shared" si="0"/>
        <v>32</v>
      </c>
      <c r="B33" s="67">
        <v>45873</v>
      </c>
      <c r="C33" t="s">
        <v>189</v>
      </c>
      <c r="D33">
        <v>140</v>
      </c>
      <c r="E33">
        <v>12</v>
      </c>
      <c r="F33">
        <v>0</v>
      </c>
      <c r="G33" t="s">
        <v>1135</v>
      </c>
      <c r="H33" t="s">
        <v>173</v>
      </c>
      <c r="I33">
        <v>45880</v>
      </c>
      <c r="J33" t="s">
        <v>189</v>
      </c>
      <c r="K33">
        <v>45901</v>
      </c>
      <c r="L33" t="s">
        <v>189</v>
      </c>
      <c r="M33" t="s">
        <v>168</v>
      </c>
      <c r="T33" t="s">
        <v>173</v>
      </c>
    </row>
    <row r="34" spans="1:20">
      <c r="A34">
        <f t="shared" si="0"/>
        <v>33</v>
      </c>
      <c r="B34" s="67">
        <v>45875</v>
      </c>
      <c r="C34" t="s">
        <v>288</v>
      </c>
      <c r="D34">
        <v>210</v>
      </c>
      <c r="E34">
        <v>12</v>
      </c>
      <c r="F34">
        <v>0</v>
      </c>
      <c r="G34" t="s">
        <v>1136</v>
      </c>
      <c r="H34" t="s">
        <v>173</v>
      </c>
      <c r="I34">
        <v>45882</v>
      </c>
      <c r="J34" t="s">
        <v>288</v>
      </c>
      <c r="K34">
        <v>45903</v>
      </c>
      <c r="L34" t="s">
        <v>288</v>
      </c>
      <c r="M34" t="s">
        <v>168</v>
      </c>
      <c r="T34" t="s">
        <v>173</v>
      </c>
    </row>
    <row r="35" spans="1:20">
      <c r="A35">
        <f t="shared" si="0"/>
        <v>34</v>
      </c>
      <c r="B35" s="67">
        <v>45881</v>
      </c>
      <c r="C35" t="s">
        <v>164</v>
      </c>
      <c r="D35">
        <v>140</v>
      </c>
      <c r="E35">
        <v>8</v>
      </c>
      <c r="F35">
        <v>0</v>
      </c>
      <c r="G35" t="s">
        <v>1148</v>
      </c>
      <c r="H35" t="s">
        <v>173</v>
      </c>
      <c r="I35">
        <v>45888</v>
      </c>
      <c r="J35" t="s">
        <v>164</v>
      </c>
      <c r="K35">
        <v>45909</v>
      </c>
      <c r="L35" t="s">
        <v>164</v>
      </c>
      <c r="M35" t="s">
        <v>168</v>
      </c>
      <c r="T35" t="s">
        <v>173</v>
      </c>
    </row>
    <row r="36" spans="1:20">
      <c r="A36">
        <f t="shared" si="0"/>
        <v>35</v>
      </c>
      <c r="B36" s="67">
        <v>45903</v>
      </c>
      <c r="C36" t="s">
        <v>288</v>
      </c>
      <c r="D36">
        <v>140</v>
      </c>
      <c r="E36">
        <v>8</v>
      </c>
      <c r="F36">
        <v>1</v>
      </c>
      <c r="G36" t="s">
        <v>1422</v>
      </c>
      <c r="H36" t="s">
        <v>173</v>
      </c>
      <c r="I36">
        <v>45910</v>
      </c>
      <c r="J36" t="s">
        <v>288</v>
      </c>
      <c r="K36">
        <v>45931</v>
      </c>
      <c r="L36" t="s">
        <v>288</v>
      </c>
      <c r="M36" t="s">
        <v>168</v>
      </c>
      <c r="T36" t="s">
        <v>173</v>
      </c>
    </row>
    <row r="37" spans="1:20">
      <c r="A37">
        <f t="shared" si="0"/>
        <v>36</v>
      </c>
      <c r="B37" s="67">
        <v>45932</v>
      </c>
      <c r="C37" t="s">
        <v>167</v>
      </c>
      <c r="D37">
        <v>140</v>
      </c>
      <c r="E37">
        <v>10</v>
      </c>
      <c r="F37">
        <v>0</v>
      </c>
      <c r="G37" t="s">
        <v>1508</v>
      </c>
      <c r="H37" t="s">
        <v>173</v>
      </c>
      <c r="I37">
        <v>45939</v>
      </c>
      <c r="J37" t="s">
        <v>167</v>
      </c>
      <c r="K37">
        <v>45960</v>
      </c>
      <c r="L37" t="s">
        <v>167</v>
      </c>
      <c r="M37" t="s">
        <v>177</v>
      </c>
      <c r="T37" t="s">
        <v>173</v>
      </c>
    </row>
    <row r="38" spans="1:20">
      <c r="A38">
        <f t="shared" si="0"/>
        <v>37</v>
      </c>
      <c r="B38" s="67">
        <v>45948</v>
      </c>
      <c r="C38" s="65" t="s">
        <v>1757</v>
      </c>
      <c r="D38">
        <v>140</v>
      </c>
      <c r="E38">
        <v>23</v>
      </c>
      <c r="F38">
        <v>1</v>
      </c>
      <c r="G38" t="s">
        <v>1587</v>
      </c>
      <c r="H38" t="s">
        <v>173</v>
      </c>
      <c r="I38">
        <v>45954</v>
      </c>
      <c r="J38" t="s">
        <v>174</v>
      </c>
      <c r="K38">
        <v>45975</v>
      </c>
      <c r="L38" t="s">
        <v>174</v>
      </c>
      <c r="M38" t="s">
        <v>177</v>
      </c>
      <c r="T38" t="s">
        <v>173</v>
      </c>
    </row>
    <row r="39" spans="1:20">
      <c r="A39">
        <f t="shared" si="0"/>
        <v>38</v>
      </c>
      <c r="B39" s="67">
        <v>45968</v>
      </c>
      <c r="C39" t="s">
        <v>174</v>
      </c>
      <c r="D39">
        <v>140</v>
      </c>
      <c r="E39">
        <v>25</v>
      </c>
      <c r="F39">
        <v>1</v>
      </c>
      <c r="G39" t="s">
        <v>1674</v>
      </c>
      <c r="H39" t="s">
        <v>520</v>
      </c>
      <c r="I39">
        <v>45975</v>
      </c>
      <c r="J39" t="s">
        <v>174</v>
      </c>
      <c r="K39">
        <v>45996</v>
      </c>
      <c r="L39" t="s">
        <v>174</v>
      </c>
      <c r="M39" t="s">
        <v>177</v>
      </c>
      <c r="S39" t="s">
        <v>521</v>
      </c>
      <c r="T39" t="s">
        <v>173</v>
      </c>
    </row>
    <row r="40" spans="1:20">
      <c r="A40">
        <f t="shared" si="0"/>
        <v>39</v>
      </c>
      <c r="B40" s="67">
        <v>45997</v>
      </c>
      <c r="C40" t="s">
        <v>186</v>
      </c>
      <c r="D40">
        <v>140</v>
      </c>
      <c r="E40">
        <v>18.5</v>
      </c>
      <c r="F40">
        <v>1</v>
      </c>
      <c r="G40" t="s">
        <v>1763</v>
      </c>
      <c r="H40" t="s">
        <v>645</v>
      </c>
      <c r="I40">
        <v>46004</v>
      </c>
      <c r="J40" t="s">
        <v>186</v>
      </c>
      <c r="K40">
        <v>46025</v>
      </c>
      <c r="L40" t="s">
        <v>186</v>
      </c>
      <c r="M40" t="s">
        <v>177</v>
      </c>
      <c r="S40" t="s">
        <v>535</v>
      </c>
      <c r="T40" t="s">
        <v>639</v>
      </c>
    </row>
    <row r="41" spans="1:20">
      <c r="A41">
        <f t="shared" si="0"/>
        <v>40</v>
      </c>
      <c r="B41" s="67">
        <v>46009</v>
      </c>
      <c r="C41" t="s">
        <v>167</v>
      </c>
      <c r="D41">
        <v>140</v>
      </c>
      <c r="E41">
        <v>6</v>
      </c>
      <c r="F41">
        <v>0</v>
      </c>
      <c r="G41" t="s">
        <v>1798</v>
      </c>
      <c r="H41" t="s">
        <v>173</v>
      </c>
      <c r="I41">
        <v>46016</v>
      </c>
      <c r="J41" t="s">
        <v>167</v>
      </c>
      <c r="K41">
        <v>46037</v>
      </c>
      <c r="L41" t="s">
        <v>167</v>
      </c>
      <c r="M41" t="s">
        <v>177</v>
      </c>
      <c r="T41" t="s">
        <v>173</v>
      </c>
    </row>
    <row r="42" spans="1:20">
      <c r="A42">
        <f t="shared" si="0"/>
        <v>41</v>
      </c>
      <c r="B42" s="67">
        <v>46024</v>
      </c>
      <c r="C42" t="s">
        <v>174</v>
      </c>
      <c r="D42">
        <v>140</v>
      </c>
      <c r="E42">
        <v>10</v>
      </c>
      <c r="F42">
        <v>1</v>
      </c>
      <c r="G42" t="s">
        <v>1847</v>
      </c>
      <c r="H42" t="s">
        <v>520</v>
      </c>
      <c r="I42">
        <v>46031</v>
      </c>
      <c r="J42" t="s">
        <v>174</v>
      </c>
      <c r="K42">
        <v>46052</v>
      </c>
      <c r="L42" t="s">
        <v>174</v>
      </c>
      <c r="M42" t="s">
        <v>177</v>
      </c>
      <c r="S42" t="s">
        <v>521</v>
      </c>
      <c r="T42" t="s">
        <v>173</v>
      </c>
    </row>
  </sheetData>
  <autoFilter ref="A1:T42" xr:uid="{00000000-0009-0000-0000-00001A000000}"/>
  <phoneticPr fontId="1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dimension ref="A1:T117"/>
  <sheetViews>
    <sheetView zoomScale="85" zoomScaleNormal="85" workbookViewId="0">
      <selection activeCell="F127" sqref="A1:XFD1048576"/>
    </sheetView>
  </sheetViews>
  <sheetFormatPr defaultRowHeight="16.5"/>
  <cols>
    <col min="2" max="2" width="9.75" style="66" bestFit="1" customWidth="1"/>
    <col min="7" max="7" width="36.75" customWidth="1"/>
    <col min="8" max="8" width="23.875" customWidth="1"/>
  </cols>
  <sheetData>
    <row r="1" spans="1:20">
      <c r="A1" t="s">
        <v>146</v>
      </c>
      <c r="B1" s="66"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f>ROW()-1</f>
        <v>1</v>
      </c>
      <c r="B2" s="66">
        <v>45181</v>
      </c>
      <c r="C2" t="s">
        <v>164</v>
      </c>
      <c r="D2">
        <v>210</v>
      </c>
      <c r="E2">
        <v>0</v>
      </c>
      <c r="F2">
        <v>1</v>
      </c>
      <c r="G2" t="s">
        <v>165</v>
      </c>
      <c r="H2" t="s">
        <v>166</v>
      </c>
      <c r="I2">
        <v>45188</v>
      </c>
      <c r="J2" t="s">
        <v>164</v>
      </c>
      <c r="K2">
        <v>45211</v>
      </c>
      <c r="L2" t="s">
        <v>167</v>
      </c>
      <c r="M2" t="s">
        <v>168</v>
      </c>
      <c r="N2" t="s">
        <v>169</v>
      </c>
      <c r="O2" t="s">
        <v>475</v>
      </c>
      <c r="P2" t="s">
        <v>475</v>
      </c>
      <c r="Q2" t="s">
        <v>475</v>
      </c>
      <c r="R2" t="s">
        <v>171</v>
      </c>
      <c r="S2" t="s">
        <v>172</v>
      </c>
      <c r="T2" t="s">
        <v>173</v>
      </c>
    </row>
    <row r="3" spans="1:20">
      <c r="A3">
        <f t="shared" ref="A3:A66" si="0">ROW()-1</f>
        <v>2</v>
      </c>
      <c r="B3" s="66">
        <v>45484</v>
      </c>
      <c r="C3" s="65" t="s">
        <v>167</v>
      </c>
      <c r="D3">
        <v>210</v>
      </c>
      <c r="E3">
        <v>95</v>
      </c>
      <c r="F3">
        <v>1</v>
      </c>
      <c r="G3" s="65" t="s">
        <v>514</v>
      </c>
      <c r="H3" t="s">
        <v>470</v>
      </c>
      <c r="I3" s="68">
        <v>45491</v>
      </c>
      <c r="J3" s="65" t="s">
        <v>167</v>
      </c>
      <c r="K3">
        <v>45512</v>
      </c>
      <c r="L3" s="65" t="s">
        <v>167</v>
      </c>
      <c r="M3" t="s">
        <v>177</v>
      </c>
      <c r="N3" t="s">
        <v>284</v>
      </c>
      <c r="O3" t="s">
        <v>475</v>
      </c>
      <c r="P3" t="s">
        <v>475</v>
      </c>
      <c r="Q3" t="s">
        <v>475</v>
      </c>
      <c r="S3" t="s">
        <v>210</v>
      </c>
      <c r="T3" s="65" t="s">
        <v>471</v>
      </c>
    </row>
    <row r="4" spans="1:20">
      <c r="A4">
        <f t="shared" si="0"/>
        <v>3</v>
      </c>
      <c r="B4" s="66">
        <v>45488</v>
      </c>
      <c r="C4" t="s">
        <v>189</v>
      </c>
      <c r="D4">
        <v>210</v>
      </c>
      <c r="E4">
        <v>198</v>
      </c>
      <c r="F4">
        <v>2</v>
      </c>
      <c r="G4" t="s">
        <v>469</v>
      </c>
      <c r="H4" t="s">
        <v>470</v>
      </c>
      <c r="I4">
        <v>45495</v>
      </c>
      <c r="J4" t="s">
        <v>189</v>
      </c>
      <c r="K4">
        <v>45516</v>
      </c>
      <c r="L4" t="s">
        <v>189</v>
      </c>
      <c r="M4" t="s">
        <v>191</v>
      </c>
      <c r="N4" t="s">
        <v>284</v>
      </c>
      <c r="O4" t="s">
        <v>475</v>
      </c>
      <c r="P4" t="s">
        <v>475</v>
      </c>
      <c r="Q4" t="s">
        <v>475</v>
      </c>
      <c r="S4" t="s">
        <v>210</v>
      </c>
      <c r="T4" t="s">
        <v>471</v>
      </c>
    </row>
    <row r="5" spans="1:20">
      <c r="A5">
        <f t="shared" si="0"/>
        <v>4</v>
      </c>
      <c r="B5" s="66">
        <v>45492</v>
      </c>
      <c r="C5" t="s">
        <v>174</v>
      </c>
      <c r="D5">
        <v>210</v>
      </c>
      <c r="E5">
        <v>81</v>
      </c>
      <c r="F5">
        <v>1</v>
      </c>
      <c r="G5" t="s">
        <v>472</v>
      </c>
      <c r="H5" t="s">
        <v>470</v>
      </c>
      <c r="I5">
        <v>45499</v>
      </c>
      <c r="J5" t="s">
        <v>174</v>
      </c>
      <c r="K5">
        <v>45520</v>
      </c>
      <c r="L5" t="s">
        <v>174</v>
      </c>
      <c r="M5" t="s">
        <v>191</v>
      </c>
      <c r="N5" t="s">
        <v>284</v>
      </c>
      <c r="O5" t="s">
        <v>475</v>
      </c>
      <c r="P5" t="s">
        <v>475</v>
      </c>
      <c r="Q5" t="s">
        <v>475</v>
      </c>
      <c r="S5" t="s">
        <v>210</v>
      </c>
      <c r="T5" t="s">
        <v>471</v>
      </c>
    </row>
    <row r="6" spans="1:20">
      <c r="A6">
        <f t="shared" si="0"/>
        <v>5</v>
      </c>
      <c r="B6" s="66">
        <v>45496</v>
      </c>
      <c r="C6" t="s">
        <v>164</v>
      </c>
      <c r="D6">
        <v>210</v>
      </c>
      <c r="E6">
        <v>188</v>
      </c>
      <c r="F6">
        <v>2</v>
      </c>
      <c r="G6" t="s">
        <v>473</v>
      </c>
      <c r="H6" t="s">
        <v>470</v>
      </c>
      <c r="I6">
        <v>45503</v>
      </c>
      <c r="J6" t="s">
        <v>164</v>
      </c>
      <c r="K6">
        <v>45524</v>
      </c>
      <c r="L6" t="s">
        <v>164</v>
      </c>
      <c r="M6" t="s">
        <v>191</v>
      </c>
      <c r="N6" t="s">
        <v>284</v>
      </c>
      <c r="O6" t="s">
        <v>475</v>
      </c>
      <c r="P6" t="s">
        <v>475</v>
      </c>
      <c r="Q6" t="s">
        <v>475</v>
      </c>
      <c r="S6" t="s">
        <v>210</v>
      </c>
      <c r="T6" t="s">
        <v>471</v>
      </c>
    </row>
    <row r="7" spans="1:20">
      <c r="A7">
        <f t="shared" si="0"/>
        <v>6</v>
      </c>
      <c r="B7" s="66">
        <v>45523</v>
      </c>
      <c r="C7" t="s">
        <v>189</v>
      </c>
      <c r="D7">
        <v>210</v>
      </c>
      <c r="E7">
        <v>99</v>
      </c>
      <c r="F7">
        <v>1</v>
      </c>
      <c r="G7" t="s">
        <v>515</v>
      </c>
      <c r="H7" t="s">
        <v>471</v>
      </c>
      <c r="I7">
        <v>45530</v>
      </c>
      <c r="J7" t="s">
        <v>189</v>
      </c>
      <c r="K7">
        <v>45551</v>
      </c>
      <c r="L7" t="s">
        <v>189</v>
      </c>
      <c r="M7" t="s">
        <v>191</v>
      </c>
      <c r="N7" t="s">
        <v>516</v>
      </c>
      <c r="O7" t="s">
        <v>475</v>
      </c>
      <c r="P7" t="s">
        <v>475</v>
      </c>
      <c r="Q7" t="s">
        <v>475</v>
      </c>
      <c r="S7" t="s">
        <v>210</v>
      </c>
      <c r="T7" t="s">
        <v>471</v>
      </c>
    </row>
    <row r="8" spans="1:20">
      <c r="A8">
        <f t="shared" si="0"/>
        <v>7</v>
      </c>
      <c r="B8" s="66">
        <v>45526</v>
      </c>
      <c r="C8" t="s">
        <v>167</v>
      </c>
      <c r="D8">
        <v>210</v>
      </c>
      <c r="E8">
        <v>99</v>
      </c>
      <c r="F8">
        <v>1</v>
      </c>
      <c r="G8" t="s">
        <v>517</v>
      </c>
      <c r="H8" t="s">
        <v>471</v>
      </c>
      <c r="I8">
        <v>45533</v>
      </c>
      <c r="J8" t="s">
        <v>167</v>
      </c>
      <c r="K8">
        <v>45554</v>
      </c>
      <c r="L8" t="s">
        <v>167</v>
      </c>
      <c r="M8" t="s">
        <v>191</v>
      </c>
      <c r="N8" t="s">
        <v>516</v>
      </c>
      <c r="O8" t="s">
        <v>475</v>
      </c>
      <c r="P8" t="s">
        <v>475</v>
      </c>
      <c r="Q8" t="s">
        <v>475</v>
      </c>
      <c r="T8" t="s">
        <v>471</v>
      </c>
    </row>
    <row r="9" spans="1:20">
      <c r="A9">
        <f t="shared" si="0"/>
        <v>8</v>
      </c>
      <c r="B9" s="66">
        <v>45531</v>
      </c>
      <c r="C9" t="s">
        <v>164</v>
      </c>
      <c r="D9">
        <v>210</v>
      </c>
      <c r="E9">
        <v>99</v>
      </c>
      <c r="F9">
        <v>1</v>
      </c>
      <c r="G9" t="s">
        <v>518</v>
      </c>
      <c r="H9" t="s">
        <v>471</v>
      </c>
      <c r="I9">
        <v>45538</v>
      </c>
      <c r="J9" t="s">
        <v>164</v>
      </c>
      <c r="K9">
        <v>45559</v>
      </c>
      <c r="L9" t="s">
        <v>164</v>
      </c>
      <c r="M9" t="s">
        <v>191</v>
      </c>
      <c r="N9" t="s">
        <v>516</v>
      </c>
      <c r="O9" t="s">
        <v>475</v>
      </c>
      <c r="P9" t="s">
        <v>475</v>
      </c>
      <c r="Q9" t="s">
        <v>475</v>
      </c>
      <c r="T9" t="s">
        <v>471</v>
      </c>
    </row>
    <row r="10" spans="1:20">
      <c r="A10">
        <f t="shared" si="0"/>
        <v>9</v>
      </c>
      <c r="B10" s="66">
        <v>45532</v>
      </c>
      <c r="C10" t="s">
        <v>288</v>
      </c>
      <c r="D10">
        <v>210</v>
      </c>
      <c r="E10">
        <v>95</v>
      </c>
      <c r="F10">
        <v>1</v>
      </c>
      <c r="G10" t="s">
        <v>519</v>
      </c>
      <c r="H10" t="s">
        <v>520</v>
      </c>
      <c r="I10">
        <v>45539</v>
      </c>
      <c r="J10" t="s">
        <v>288</v>
      </c>
      <c r="K10">
        <v>45560</v>
      </c>
      <c r="L10" t="s">
        <v>288</v>
      </c>
      <c r="M10" t="s">
        <v>191</v>
      </c>
      <c r="N10" t="s">
        <v>516</v>
      </c>
      <c r="O10" t="s">
        <v>475</v>
      </c>
      <c r="P10" t="s">
        <v>475</v>
      </c>
      <c r="Q10" t="s">
        <v>475</v>
      </c>
      <c r="S10" s="65" t="s">
        <v>521</v>
      </c>
      <c r="T10" t="s">
        <v>173</v>
      </c>
    </row>
    <row r="11" spans="1:20">
      <c r="A11">
        <f t="shared" si="0"/>
        <v>10</v>
      </c>
      <c r="B11" s="66">
        <v>45534</v>
      </c>
      <c r="C11" t="s">
        <v>174</v>
      </c>
      <c r="D11">
        <v>210</v>
      </c>
      <c r="E11">
        <v>99</v>
      </c>
      <c r="F11">
        <v>1</v>
      </c>
      <c r="G11" t="s">
        <v>474</v>
      </c>
      <c r="H11" t="s">
        <v>471</v>
      </c>
      <c r="I11">
        <v>45541</v>
      </c>
      <c r="J11" t="s">
        <v>174</v>
      </c>
      <c r="K11">
        <v>45562</v>
      </c>
      <c r="L11" t="s">
        <v>174</v>
      </c>
      <c r="M11" t="s">
        <v>191</v>
      </c>
      <c r="N11" t="s">
        <v>516</v>
      </c>
      <c r="O11" t="s">
        <v>475</v>
      </c>
      <c r="P11" t="s">
        <v>475</v>
      </c>
      <c r="Q11" t="s">
        <v>475</v>
      </c>
      <c r="T11" t="s">
        <v>471</v>
      </c>
    </row>
    <row r="12" spans="1:20">
      <c r="A12">
        <f t="shared" si="0"/>
        <v>11</v>
      </c>
      <c r="B12" s="66">
        <v>45540</v>
      </c>
      <c r="C12" t="s">
        <v>167</v>
      </c>
      <c r="D12">
        <v>210</v>
      </c>
      <c r="E12">
        <v>99</v>
      </c>
      <c r="F12">
        <v>1</v>
      </c>
      <c r="G12" t="s">
        <v>522</v>
      </c>
      <c r="H12" t="s">
        <v>471</v>
      </c>
      <c r="I12">
        <v>45547</v>
      </c>
      <c r="J12" t="s">
        <v>167</v>
      </c>
      <c r="K12">
        <v>45568</v>
      </c>
      <c r="L12" t="s">
        <v>167</v>
      </c>
      <c r="M12" t="s">
        <v>191</v>
      </c>
      <c r="N12" t="s">
        <v>516</v>
      </c>
      <c r="O12" t="s">
        <v>475</v>
      </c>
      <c r="P12" t="s">
        <v>475</v>
      </c>
      <c r="Q12" t="s">
        <v>475</v>
      </c>
      <c r="T12" t="s">
        <v>471</v>
      </c>
    </row>
    <row r="13" spans="1:20">
      <c r="A13">
        <f t="shared" si="0"/>
        <v>12</v>
      </c>
      <c r="B13" s="66">
        <v>45544</v>
      </c>
      <c r="C13" t="s">
        <v>189</v>
      </c>
      <c r="D13">
        <v>210</v>
      </c>
      <c r="E13">
        <v>99</v>
      </c>
      <c r="F13">
        <v>1</v>
      </c>
      <c r="G13" t="s">
        <v>523</v>
      </c>
      <c r="H13" t="s">
        <v>471</v>
      </c>
      <c r="I13">
        <v>45551</v>
      </c>
      <c r="J13" t="s">
        <v>189</v>
      </c>
      <c r="K13">
        <v>45572</v>
      </c>
      <c r="L13" t="s">
        <v>189</v>
      </c>
      <c r="M13" t="s">
        <v>191</v>
      </c>
      <c r="N13" t="s">
        <v>516</v>
      </c>
      <c r="O13" t="s">
        <v>475</v>
      </c>
      <c r="P13" t="s">
        <v>475</v>
      </c>
      <c r="Q13" t="s">
        <v>475</v>
      </c>
      <c r="T13" t="s">
        <v>173</v>
      </c>
    </row>
    <row r="14" spans="1:20">
      <c r="A14">
        <f t="shared" si="0"/>
        <v>13</v>
      </c>
      <c r="B14" s="66">
        <v>45545</v>
      </c>
      <c r="C14" t="s">
        <v>164</v>
      </c>
      <c r="D14">
        <v>210</v>
      </c>
      <c r="E14">
        <v>95</v>
      </c>
      <c r="F14">
        <v>1</v>
      </c>
      <c r="G14" t="s">
        <v>524</v>
      </c>
      <c r="H14" t="s">
        <v>471</v>
      </c>
      <c r="I14">
        <v>45552</v>
      </c>
      <c r="J14" t="s">
        <v>164</v>
      </c>
      <c r="K14">
        <v>45573</v>
      </c>
      <c r="L14" t="s">
        <v>164</v>
      </c>
      <c r="M14" t="s">
        <v>177</v>
      </c>
      <c r="N14" t="s">
        <v>284</v>
      </c>
      <c r="O14" t="s">
        <v>475</v>
      </c>
      <c r="P14" t="s">
        <v>475</v>
      </c>
      <c r="Q14" t="s">
        <v>475</v>
      </c>
      <c r="T14" t="s">
        <v>471</v>
      </c>
    </row>
    <row r="15" spans="1:20">
      <c r="A15">
        <f t="shared" si="0"/>
        <v>14</v>
      </c>
      <c r="B15" s="66">
        <v>45549</v>
      </c>
      <c r="C15" t="s">
        <v>186</v>
      </c>
      <c r="D15">
        <v>210</v>
      </c>
      <c r="E15">
        <v>52</v>
      </c>
      <c r="F15">
        <v>1</v>
      </c>
      <c r="G15" t="s">
        <v>525</v>
      </c>
      <c r="H15" t="s">
        <v>471</v>
      </c>
      <c r="I15">
        <v>45556</v>
      </c>
      <c r="J15" t="s">
        <v>186</v>
      </c>
      <c r="K15">
        <v>45577</v>
      </c>
      <c r="L15" t="s">
        <v>186</v>
      </c>
      <c r="M15" t="s">
        <v>191</v>
      </c>
      <c r="N15" t="s">
        <v>516</v>
      </c>
      <c r="O15" t="s">
        <v>475</v>
      </c>
      <c r="P15" t="s">
        <v>475</v>
      </c>
      <c r="Q15" t="s">
        <v>475</v>
      </c>
      <c r="T15" t="s">
        <v>471</v>
      </c>
    </row>
    <row r="16" spans="1:20">
      <c r="A16">
        <f t="shared" si="0"/>
        <v>15</v>
      </c>
      <c r="B16" s="66">
        <v>45553</v>
      </c>
      <c r="C16" t="s">
        <v>288</v>
      </c>
      <c r="D16">
        <v>210</v>
      </c>
      <c r="E16">
        <v>95</v>
      </c>
      <c r="F16">
        <v>1</v>
      </c>
      <c r="G16" t="s">
        <v>526</v>
      </c>
      <c r="H16" t="s">
        <v>527</v>
      </c>
      <c r="I16">
        <v>45560</v>
      </c>
      <c r="J16" t="s">
        <v>288</v>
      </c>
      <c r="K16">
        <v>45581</v>
      </c>
      <c r="L16" t="s">
        <v>288</v>
      </c>
      <c r="M16" t="s">
        <v>177</v>
      </c>
      <c r="N16" t="s">
        <v>516</v>
      </c>
      <c r="O16" t="s">
        <v>475</v>
      </c>
      <c r="P16" t="s">
        <v>475</v>
      </c>
      <c r="Q16" t="s">
        <v>475</v>
      </c>
      <c r="T16" t="s">
        <v>527</v>
      </c>
    </row>
    <row r="17" spans="1:20">
      <c r="A17">
        <f t="shared" si="0"/>
        <v>16</v>
      </c>
      <c r="B17" s="66">
        <v>45554</v>
      </c>
      <c r="C17" t="s">
        <v>167</v>
      </c>
      <c r="D17">
        <v>210</v>
      </c>
      <c r="E17">
        <v>95</v>
      </c>
      <c r="F17">
        <v>1</v>
      </c>
      <c r="G17" t="s">
        <v>528</v>
      </c>
      <c r="H17" t="s">
        <v>702</v>
      </c>
      <c r="I17">
        <v>45561</v>
      </c>
      <c r="J17" t="s">
        <v>167</v>
      </c>
      <c r="K17">
        <v>45582</v>
      </c>
      <c r="L17" t="s">
        <v>167</v>
      </c>
      <c r="M17" t="s">
        <v>191</v>
      </c>
      <c r="N17" t="s">
        <v>529</v>
      </c>
      <c r="O17" t="s">
        <v>475</v>
      </c>
      <c r="P17" t="s">
        <v>475</v>
      </c>
      <c r="Q17" t="s">
        <v>475</v>
      </c>
      <c r="R17" t="s">
        <v>171</v>
      </c>
      <c r="S17" t="s">
        <v>535</v>
      </c>
      <c r="T17" t="s">
        <v>527</v>
      </c>
    </row>
    <row r="18" spans="1:20">
      <c r="A18">
        <f t="shared" si="0"/>
        <v>17</v>
      </c>
      <c r="B18" s="66">
        <v>45561</v>
      </c>
      <c r="C18" t="s">
        <v>167</v>
      </c>
      <c r="D18">
        <v>210</v>
      </c>
      <c r="E18">
        <v>78</v>
      </c>
      <c r="F18">
        <v>1</v>
      </c>
      <c r="G18" t="s">
        <v>530</v>
      </c>
      <c r="H18" t="s">
        <v>527</v>
      </c>
      <c r="I18">
        <v>45568</v>
      </c>
      <c r="J18" t="s">
        <v>167</v>
      </c>
      <c r="K18">
        <v>45589</v>
      </c>
      <c r="L18" t="s">
        <v>167</v>
      </c>
      <c r="M18" t="s">
        <v>191</v>
      </c>
      <c r="N18" t="s">
        <v>284</v>
      </c>
      <c r="O18" t="s">
        <v>475</v>
      </c>
      <c r="P18" t="s">
        <v>475</v>
      </c>
      <c r="Q18" t="s">
        <v>475</v>
      </c>
      <c r="T18" t="s">
        <v>527</v>
      </c>
    </row>
    <row r="19" spans="1:20">
      <c r="A19">
        <f t="shared" si="0"/>
        <v>18</v>
      </c>
      <c r="B19" s="66">
        <v>45562</v>
      </c>
      <c r="C19" t="s">
        <v>174</v>
      </c>
      <c r="D19">
        <v>210</v>
      </c>
      <c r="E19">
        <v>95</v>
      </c>
      <c r="F19">
        <v>1</v>
      </c>
      <c r="G19" t="s">
        <v>531</v>
      </c>
      <c r="H19" t="s">
        <v>532</v>
      </c>
      <c r="I19">
        <v>45569</v>
      </c>
      <c r="J19" t="s">
        <v>174</v>
      </c>
      <c r="K19">
        <v>45590</v>
      </c>
      <c r="L19" t="s">
        <v>174</v>
      </c>
      <c r="M19" t="s">
        <v>191</v>
      </c>
      <c r="N19" t="s">
        <v>284</v>
      </c>
      <c r="O19" t="s">
        <v>475</v>
      </c>
      <c r="P19" t="s">
        <v>475</v>
      </c>
      <c r="Q19" t="s">
        <v>475</v>
      </c>
      <c r="T19" t="s">
        <v>532</v>
      </c>
    </row>
    <row r="20" spans="1:20">
      <c r="A20">
        <f t="shared" si="0"/>
        <v>19</v>
      </c>
      <c r="B20" s="66">
        <v>45563</v>
      </c>
      <c r="C20" t="s">
        <v>186</v>
      </c>
      <c r="D20">
        <v>210</v>
      </c>
      <c r="E20">
        <v>95</v>
      </c>
      <c r="F20">
        <v>1</v>
      </c>
      <c r="G20" t="s">
        <v>533</v>
      </c>
      <c r="H20" t="s">
        <v>534</v>
      </c>
      <c r="I20">
        <v>45570</v>
      </c>
      <c r="J20" t="s">
        <v>186</v>
      </c>
      <c r="K20">
        <v>45591</v>
      </c>
      <c r="L20" t="s">
        <v>186</v>
      </c>
      <c r="M20" t="s">
        <v>191</v>
      </c>
      <c r="N20" t="s">
        <v>284</v>
      </c>
      <c r="O20" t="s">
        <v>475</v>
      </c>
      <c r="P20" t="s">
        <v>475</v>
      </c>
      <c r="Q20" t="s">
        <v>475</v>
      </c>
      <c r="S20" t="s">
        <v>535</v>
      </c>
      <c r="T20" t="s">
        <v>532</v>
      </c>
    </row>
    <row r="21" spans="1:20">
      <c r="A21">
        <f t="shared" si="0"/>
        <v>20</v>
      </c>
      <c r="B21" s="66">
        <v>45572</v>
      </c>
      <c r="C21" t="s">
        <v>189</v>
      </c>
      <c r="D21">
        <v>210</v>
      </c>
      <c r="E21">
        <v>22</v>
      </c>
      <c r="F21">
        <v>1</v>
      </c>
      <c r="G21" t="s">
        <v>536</v>
      </c>
      <c r="H21" t="s">
        <v>532</v>
      </c>
      <c r="I21">
        <v>45579</v>
      </c>
      <c r="J21" t="s">
        <v>189</v>
      </c>
      <c r="K21">
        <v>45600</v>
      </c>
      <c r="L21" t="s">
        <v>189</v>
      </c>
      <c r="M21" t="s">
        <v>177</v>
      </c>
      <c r="N21" t="s">
        <v>284</v>
      </c>
      <c r="O21" t="s">
        <v>475</v>
      </c>
      <c r="P21" t="s">
        <v>475</v>
      </c>
      <c r="Q21" t="s">
        <v>475</v>
      </c>
      <c r="T21" t="s">
        <v>532</v>
      </c>
    </row>
    <row r="22" spans="1:20">
      <c r="A22">
        <f t="shared" si="0"/>
        <v>21</v>
      </c>
      <c r="B22" s="66">
        <v>45575</v>
      </c>
      <c r="C22" t="s">
        <v>167</v>
      </c>
      <c r="D22">
        <v>210</v>
      </c>
      <c r="E22">
        <v>95</v>
      </c>
      <c r="F22">
        <v>1</v>
      </c>
      <c r="G22" t="s">
        <v>537</v>
      </c>
      <c r="H22" t="s">
        <v>527</v>
      </c>
      <c r="I22">
        <v>45582</v>
      </c>
      <c r="J22" t="s">
        <v>167</v>
      </c>
      <c r="K22">
        <v>45603</v>
      </c>
      <c r="L22" t="s">
        <v>167</v>
      </c>
      <c r="M22" t="s">
        <v>191</v>
      </c>
      <c r="N22" t="s">
        <v>284</v>
      </c>
      <c r="O22" t="s">
        <v>475</v>
      </c>
      <c r="P22" t="s">
        <v>475</v>
      </c>
      <c r="Q22" t="s">
        <v>475</v>
      </c>
      <c r="T22" t="s">
        <v>527</v>
      </c>
    </row>
    <row r="23" spans="1:20">
      <c r="A23">
        <f t="shared" si="0"/>
        <v>22</v>
      </c>
      <c r="B23" s="66">
        <v>45577</v>
      </c>
      <c r="C23" t="s">
        <v>186</v>
      </c>
      <c r="D23">
        <v>210</v>
      </c>
      <c r="E23">
        <v>26</v>
      </c>
      <c r="F23">
        <v>1</v>
      </c>
      <c r="G23" t="s">
        <v>538</v>
      </c>
      <c r="H23" t="s">
        <v>527</v>
      </c>
      <c r="I23">
        <v>45584</v>
      </c>
      <c r="J23" t="s">
        <v>186</v>
      </c>
      <c r="K23">
        <v>45605</v>
      </c>
      <c r="L23" t="s">
        <v>186</v>
      </c>
      <c r="M23" t="s">
        <v>191</v>
      </c>
      <c r="N23" t="s">
        <v>284</v>
      </c>
      <c r="O23" t="s">
        <v>475</v>
      </c>
      <c r="P23" t="s">
        <v>475</v>
      </c>
      <c r="Q23" t="s">
        <v>475</v>
      </c>
      <c r="T23" t="s">
        <v>527</v>
      </c>
    </row>
    <row r="24" spans="1:20">
      <c r="A24">
        <f t="shared" si="0"/>
        <v>23</v>
      </c>
      <c r="B24" s="66">
        <v>45579</v>
      </c>
      <c r="C24" t="s">
        <v>189</v>
      </c>
      <c r="D24">
        <v>210</v>
      </c>
      <c r="E24">
        <v>35</v>
      </c>
      <c r="F24">
        <v>1</v>
      </c>
      <c r="G24" t="s">
        <v>539</v>
      </c>
      <c r="H24" t="s">
        <v>527</v>
      </c>
      <c r="I24">
        <v>45586</v>
      </c>
      <c r="J24" t="s">
        <v>189</v>
      </c>
      <c r="K24">
        <v>45607</v>
      </c>
      <c r="L24" t="s">
        <v>189</v>
      </c>
      <c r="M24" t="s">
        <v>191</v>
      </c>
      <c r="N24" t="s">
        <v>284</v>
      </c>
      <c r="O24" t="s">
        <v>475</v>
      </c>
      <c r="P24" t="s">
        <v>475</v>
      </c>
      <c r="Q24" t="s">
        <v>475</v>
      </c>
      <c r="T24" t="s">
        <v>527</v>
      </c>
    </row>
    <row r="25" spans="1:20">
      <c r="A25">
        <f t="shared" si="0"/>
        <v>24</v>
      </c>
      <c r="B25" s="66">
        <v>45589</v>
      </c>
      <c r="C25" t="s">
        <v>167</v>
      </c>
      <c r="D25">
        <v>210</v>
      </c>
      <c r="E25">
        <v>135</v>
      </c>
      <c r="F25">
        <v>2</v>
      </c>
      <c r="G25" t="s">
        <v>540</v>
      </c>
      <c r="H25" t="s">
        <v>527</v>
      </c>
      <c r="I25">
        <v>45596</v>
      </c>
      <c r="J25" t="s">
        <v>167</v>
      </c>
      <c r="K25">
        <v>45617</v>
      </c>
      <c r="L25" t="s">
        <v>167</v>
      </c>
      <c r="M25" t="s">
        <v>191</v>
      </c>
      <c r="N25" t="s">
        <v>284</v>
      </c>
      <c r="O25" t="s">
        <v>475</v>
      </c>
      <c r="P25" t="s">
        <v>475</v>
      </c>
      <c r="Q25" t="s">
        <v>475</v>
      </c>
      <c r="T25" t="s">
        <v>527</v>
      </c>
    </row>
    <row r="26" spans="1:20">
      <c r="A26">
        <f t="shared" si="0"/>
        <v>25</v>
      </c>
      <c r="B26" s="66">
        <v>45594</v>
      </c>
      <c r="C26" t="s">
        <v>164</v>
      </c>
      <c r="D26">
        <v>210</v>
      </c>
      <c r="E26">
        <v>86</v>
      </c>
      <c r="F26">
        <v>1</v>
      </c>
      <c r="G26" t="s">
        <v>541</v>
      </c>
      <c r="H26" t="s">
        <v>527</v>
      </c>
      <c r="I26">
        <v>45601</v>
      </c>
      <c r="J26" t="s">
        <v>164</v>
      </c>
      <c r="K26">
        <v>45622</v>
      </c>
      <c r="L26" t="s">
        <v>164</v>
      </c>
      <c r="M26" t="s">
        <v>191</v>
      </c>
      <c r="N26" t="s">
        <v>284</v>
      </c>
      <c r="O26" t="s">
        <v>475</v>
      </c>
      <c r="T26" t="s">
        <v>527</v>
      </c>
    </row>
    <row r="27" spans="1:20">
      <c r="A27">
        <f t="shared" si="0"/>
        <v>26</v>
      </c>
      <c r="B27" s="66">
        <v>45595</v>
      </c>
      <c r="C27" t="s">
        <v>288</v>
      </c>
      <c r="D27">
        <v>210</v>
      </c>
      <c r="E27">
        <v>99</v>
      </c>
      <c r="F27">
        <v>1</v>
      </c>
      <c r="G27" t="s">
        <v>638</v>
      </c>
      <c r="H27" t="s">
        <v>639</v>
      </c>
      <c r="I27">
        <v>45602</v>
      </c>
      <c r="J27" t="s">
        <v>288</v>
      </c>
      <c r="K27">
        <v>45623</v>
      </c>
      <c r="L27" t="s">
        <v>288</v>
      </c>
      <c r="M27" t="s">
        <v>191</v>
      </c>
      <c r="N27" t="s">
        <v>284</v>
      </c>
      <c r="O27" t="s">
        <v>475</v>
      </c>
      <c r="P27" t="s">
        <v>475</v>
      </c>
      <c r="Q27" t="s">
        <v>475</v>
      </c>
      <c r="T27" t="s">
        <v>639</v>
      </c>
    </row>
    <row r="28" spans="1:20">
      <c r="A28">
        <f t="shared" si="0"/>
        <v>27</v>
      </c>
      <c r="B28" s="66">
        <v>45603</v>
      </c>
      <c r="C28" t="s">
        <v>167</v>
      </c>
      <c r="D28">
        <v>210</v>
      </c>
      <c r="E28">
        <v>52</v>
      </c>
      <c r="F28">
        <v>1</v>
      </c>
      <c r="G28" t="s">
        <v>640</v>
      </c>
      <c r="H28" t="s">
        <v>639</v>
      </c>
      <c r="I28">
        <v>45610</v>
      </c>
      <c r="J28" t="s">
        <v>167</v>
      </c>
      <c r="K28">
        <v>45631</v>
      </c>
      <c r="L28" t="s">
        <v>167</v>
      </c>
      <c r="M28" t="s">
        <v>191</v>
      </c>
      <c r="N28" t="s">
        <v>284</v>
      </c>
      <c r="O28" t="s">
        <v>475</v>
      </c>
      <c r="T28" t="s">
        <v>639</v>
      </c>
    </row>
    <row r="29" spans="1:20">
      <c r="A29">
        <f t="shared" si="0"/>
        <v>28</v>
      </c>
      <c r="B29" s="66">
        <v>45605</v>
      </c>
      <c r="C29" t="s">
        <v>186</v>
      </c>
      <c r="D29">
        <v>210</v>
      </c>
      <c r="E29">
        <v>110</v>
      </c>
      <c r="F29">
        <v>2</v>
      </c>
      <c r="G29" t="s">
        <v>641</v>
      </c>
      <c r="H29" t="s">
        <v>527</v>
      </c>
      <c r="I29">
        <v>45612</v>
      </c>
      <c r="J29" t="s">
        <v>186</v>
      </c>
      <c r="K29">
        <v>45633</v>
      </c>
      <c r="L29" t="s">
        <v>186</v>
      </c>
      <c r="M29" t="s">
        <v>191</v>
      </c>
      <c r="N29" t="s">
        <v>284</v>
      </c>
      <c r="O29" t="s">
        <v>475</v>
      </c>
      <c r="T29" t="s">
        <v>639</v>
      </c>
    </row>
    <row r="30" spans="1:20">
      <c r="A30">
        <f t="shared" si="0"/>
        <v>29</v>
      </c>
      <c r="B30" s="66">
        <v>45610</v>
      </c>
      <c r="C30" t="s">
        <v>167</v>
      </c>
      <c r="D30">
        <v>210</v>
      </c>
      <c r="E30">
        <v>102</v>
      </c>
      <c r="F30">
        <v>2</v>
      </c>
      <c r="G30" t="s">
        <v>642</v>
      </c>
      <c r="H30" t="s">
        <v>643</v>
      </c>
      <c r="I30">
        <v>45617</v>
      </c>
      <c r="J30" t="s">
        <v>167</v>
      </c>
      <c r="K30">
        <v>45638</v>
      </c>
      <c r="L30" t="s">
        <v>167</v>
      </c>
      <c r="M30" t="s">
        <v>191</v>
      </c>
      <c r="N30" t="s">
        <v>284</v>
      </c>
      <c r="T30" t="s">
        <v>643</v>
      </c>
    </row>
    <row r="31" spans="1:20">
      <c r="A31">
        <f t="shared" si="0"/>
        <v>30</v>
      </c>
      <c r="B31" s="66">
        <v>45615</v>
      </c>
      <c r="C31" t="s">
        <v>164</v>
      </c>
      <c r="D31">
        <v>210</v>
      </c>
      <c r="E31">
        <v>95</v>
      </c>
      <c r="F31">
        <v>1</v>
      </c>
      <c r="G31" t="s">
        <v>644</v>
      </c>
      <c r="H31" t="s">
        <v>645</v>
      </c>
      <c r="I31">
        <v>45622</v>
      </c>
      <c r="J31" t="s">
        <v>164</v>
      </c>
      <c r="K31">
        <v>45643</v>
      </c>
      <c r="L31" t="s">
        <v>164</v>
      </c>
      <c r="M31" t="s">
        <v>177</v>
      </c>
      <c r="N31" t="s">
        <v>284</v>
      </c>
      <c r="S31" t="s">
        <v>535</v>
      </c>
      <c r="T31" t="s">
        <v>639</v>
      </c>
    </row>
    <row r="32" spans="1:20">
      <c r="A32">
        <f t="shared" si="0"/>
        <v>31</v>
      </c>
      <c r="B32" s="66">
        <v>45619</v>
      </c>
      <c r="C32" t="s">
        <v>186</v>
      </c>
      <c r="D32">
        <v>210</v>
      </c>
      <c r="E32">
        <v>95</v>
      </c>
      <c r="F32">
        <v>1</v>
      </c>
      <c r="G32" t="s">
        <v>646</v>
      </c>
      <c r="H32" t="s">
        <v>647</v>
      </c>
      <c r="I32">
        <v>45626</v>
      </c>
      <c r="J32" t="s">
        <v>186</v>
      </c>
      <c r="K32">
        <v>45647</v>
      </c>
      <c r="L32" t="s">
        <v>186</v>
      </c>
      <c r="M32" t="s">
        <v>191</v>
      </c>
      <c r="N32" t="s">
        <v>284</v>
      </c>
      <c r="S32" t="s">
        <v>521</v>
      </c>
      <c r="T32" t="s">
        <v>639</v>
      </c>
    </row>
    <row r="33" spans="1:20">
      <c r="A33">
        <f t="shared" si="0"/>
        <v>32</v>
      </c>
      <c r="B33" s="66">
        <v>45626</v>
      </c>
      <c r="C33" t="s">
        <v>186</v>
      </c>
      <c r="D33">
        <v>210</v>
      </c>
      <c r="E33">
        <v>99</v>
      </c>
      <c r="F33">
        <v>1</v>
      </c>
      <c r="G33" t="s">
        <v>648</v>
      </c>
      <c r="H33" t="s">
        <v>639</v>
      </c>
      <c r="I33">
        <v>45633</v>
      </c>
      <c r="J33" t="s">
        <v>186</v>
      </c>
      <c r="K33">
        <v>45654</v>
      </c>
      <c r="L33" t="s">
        <v>186</v>
      </c>
      <c r="M33" t="s">
        <v>191</v>
      </c>
      <c r="N33" t="s">
        <v>284</v>
      </c>
      <c r="T33" t="s">
        <v>639</v>
      </c>
    </row>
    <row r="34" spans="1:20">
      <c r="A34">
        <f t="shared" si="0"/>
        <v>33</v>
      </c>
      <c r="B34" s="66">
        <v>45632</v>
      </c>
      <c r="C34" t="s">
        <v>174</v>
      </c>
      <c r="D34">
        <v>210</v>
      </c>
      <c r="E34">
        <v>12</v>
      </c>
      <c r="F34">
        <v>0</v>
      </c>
      <c r="G34" t="s">
        <v>649</v>
      </c>
      <c r="H34" t="s">
        <v>639</v>
      </c>
      <c r="I34">
        <v>45639</v>
      </c>
      <c r="J34" t="s">
        <v>174</v>
      </c>
      <c r="K34">
        <v>45660</v>
      </c>
      <c r="L34" t="s">
        <v>174</v>
      </c>
      <c r="M34" t="s">
        <v>191</v>
      </c>
      <c r="N34" t="s">
        <v>284</v>
      </c>
      <c r="T34" t="s">
        <v>639</v>
      </c>
    </row>
    <row r="35" spans="1:20">
      <c r="A35">
        <f t="shared" si="0"/>
        <v>34</v>
      </c>
      <c r="B35" s="66">
        <v>45639</v>
      </c>
      <c r="C35" t="s">
        <v>174</v>
      </c>
      <c r="D35">
        <v>210</v>
      </c>
      <c r="E35">
        <v>68</v>
      </c>
      <c r="F35">
        <v>1</v>
      </c>
      <c r="G35" t="s">
        <v>703</v>
      </c>
      <c r="H35" t="s">
        <v>704</v>
      </c>
      <c r="I35">
        <v>45646</v>
      </c>
      <c r="J35" t="s">
        <v>174</v>
      </c>
      <c r="K35">
        <v>45667</v>
      </c>
      <c r="L35" t="s">
        <v>174</v>
      </c>
      <c r="M35" t="s">
        <v>191</v>
      </c>
      <c r="N35" t="s">
        <v>529</v>
      </c>
      <c r="R35" t="s">
        <v>171</v>
      </c>
      <c r="S35" t="s">
        <v>535</v>
      </c>
      <c r="T35" t="s">
        <v>639</v>
      </c>
    </row>
    <row r="36" spans="1:20">
      <c r="A36">
        <f t="shared" si="0"/>
        <v>35</v>
      </c>
      <c r="B36" s="66">
        <v>45646</v>
      </c>
      <c r="C36" t="s">
        <v>174</v>
      </c>
      <c r="D36">
        <v>210</v>
      </c>
      <c r="E36">
        <v>118</v>
      </c>
      <c r="F36">
        <v>2</v>
      </c>
      <c r="G36" t="s">
        <v>705</v>
      </c>
      <c r="H36" t="s">
        <v>704</v>
      </c>
      <c r="I36">
        <v>45653</v>
      </c>
      <c r="J36" t="s">
        <v>174</v>
      </c>
      <c r="K36">
        <v>45674</v>
      </c>
      <c r="L36" t="s">
        <v>174</v>
      </c>
      <c r="M36" t="s">
        <v>191</v>
      </c>
      <c r="N36" t="s">
        <v>529</v>
      </c>
      <c r="R36" t="s">
        <v>171</v>
      </c>
      <c r="S36" t="s">
        <v>535</v>
      </c>
      <c r="T36" t="s">
        <v>639</v>
      </c>
    </row>
    <row r="37" spans="1:20">
      <c r="A37">
        <f t="shared" si="0"/>
        <v>36</v>
      </c>
      <c r="B37" s="66">
        <v>45699</v>
      </c>
      <c r="C37" t="s">
        <v>164</v>
      </c>
      <c r="D37">
        <v>210</v>
      </c>
      <c r="E37">
        <v>45</v>
      </c>
      <c r="F37">
        <v>1</v>
      </c>
      <c r="G37" t="s">
        <v>842</v>
      </c>
      <c r="H37" t="s">
        <v>855</v>
      </c>
      <c r="I37">
        <v>45706</v>
      </c>
      <c r="J37" t="s">
        <v>164</v>
      </c>
      <c r="K37">
        <v>45727</v>
      </c>
      <c r="L37" t="s">
        <v>164</v>
      </c>
      <c r="M37" t="s">
        <v>191</v>
      </c>
      <c r="N37" t="s">
        <v>699</v>
      </c>
      <c r="S37" t="s">
        <v>535</v>
      </c>
      <c r="T37" t="s">
        <v>173</v>
      </c>
    </row>
    <row r="38" spans="1:20">
      <c r="A38">
        <f t="shared" si="0"/>
        <v>37</v>
      </c>
      <c r="B38" s="66">
        <v>45700</v>
      </c>
      <c r="C38" t="s">
        <v>288</v>
      </c>
      <c r="D38">
        <v>210</v>
      </c>
      <c r="E38">
        <v>45</v>
      </c>
      <c r="F38">
        <v>1</v>
      </c>
      <c r="G38" t="s">
        <v>843</v>
      </c>
      <c r="H38" t="s">
        <v>173</v>
      </c>
      <c r="I38">
        <v>45707</v>
      </c>
      <c r="J38" t="s">
        <v>288</v>
      </c>
      <c r="K38">
        <v>45728</v>
      </c>
      <c r="L38" t="s">
        <v>288</v>
      </c>
      <c r="M38" t="s">
        <v>191</v>
      </c>
      <c r="N38" t="s">
        <v>699</v>
      </c>
      <c r="T38" t="s">
        <v>173</v>
      </c>
    </row>
    <row r="39" spans="1:20">
      <c r="A39">
        <f t="shared" si="0"/>
        <v>38</v>
      </c>
      <c r="B39" s="66">
        <v>45703</v>
      </c>
      <c r="C39" t="s">
        <v>186</v>
      </c>
      <c r="D39">
        <v>210</v>
      </c>
      <c r="E39">
        <v>18</v>
      </c>
      <c r="F39">
        <v>0</v>
      </c>
      <c r="G39" t="s">
        <v>844</v>
      </c>
      <c r="H39" t="s">
        <v>173</v>
      </c>
      <c r="I39">
        <v>45710</v>
      </c>
      <c r="J39" t="s">
        <v>186</v>
      </c>
      <c r="K39">
        <v>45731</v>
      </c>
      <c r="L39" t="s">
        <v>186</v>
      </c>
      <c r="M39" t="s">
        <v>191</v>
      </c>
      <c r="N39" t="s">
        <v>699</v>
      </c>
      <c r="T39" t="s">
        <v>173</v>
      </c>
    </row>
    <row r="40" spans="1:20">
      <c r="A40">
        <f t="shared" si="0"/>
        <v>39</v>
      </c>
      <c r="B40" s="66">
        <v>45706</v>
      </c>
      <c r="C40" t="s">
        <v>164</v>
      </c>
      <c r="D40">
        <v>210</v>
      </c>
      <c r="E40">
        <v>18</v>
      </c>
      <c r="F40">
        <v>0</v>
      </c>
      <c r="G40" t="s">
        <v>845</v>
      </c>
      <c r="H40" t="s">
        <v>173</v>
      </c>
      <c r="I40">
        <v>45713</v>
      </c>
      <c r="J40" t="s">
        <v>164</v>
      </c>
      <c r="K40">
        <v>45734</v>
      </c>
      <c r="L40" t="s">
        <v>164</v>
      </c>
      <c r="M40" t="s">
        <v>191</v>
      </c>
      <c r="N40" t="s">
        <v>699</v>
      </c>
      <c r="T40" t="s">
        <v>173</v>
      </c>
    </row>
    <row r="41" spans="1:20">
      <c r="A41">
        <f t="shared" si="0"/>
        <v>40</v>
      </c>
      <c r="B41" s="66">
        <v>45707</v>
      </c>
      <c r="C41" t="s">
        <v>288</v>
      </c>
      <c r="D41">
        <v>210</v>
      </c>
      <c r="E41">
        <v>25</v>
      </c>
      <c r="F41">
        <v>1</v>
      </c>
      <c r="G41" t="s">
        <v>846</v>
      </c>
      <c r="H41" t="s">
        <v>173</v>
      </c>
      <c r="I41">
        <v>45714</v>
      </c>
      <c r="J41" t="s">
        <v>288</v>
      </c>
      <c r="K41">
        <v>45735</v>
      </c>
      <c r="L41" t="s">
        <v>288</v>
      </c>
      <c r="M41" t="s">
        <v>177</v>
      </c>
      <c r="N41" t="s">
        <v>699</v>
      </c>
      <c r="T41" t="s">
        <v>173</v>
      </c>
    </row>
    <row r="42" spans="1:20">
      <c r="A42">
        <f t="shared" si="0"/>
        <v>41</v>
      </c>
      <c r="B42" s="66">
        <v>45709</v>
      </c>
      <c r="C42" t="s">
        <v>174</v>
      </c>
      <c r="D42">
        <v>210</v>
      </c>
      <c r="E42">
        <v>24</v>
      </c>
      <c r="F42">
        <v>1</v>
      </c>
      <c r="G42" t="s">
        <v>847</v>
      </c>
      <c r="H42" t="s">
        <v>173</v>
      </c>
      <c r="I42">
        <v>45716</v>
      </c>
      <c r="J42" t="s">
        <v>174</v>
      </c>
      <c r="K42">
        <v>45737</v>
      </c>
      <c r="L42" t="s">
        <v>174</v>
      </c>
      <c r="M42" t="s">
        <v>177</v>
      </c>
      <c r="N42" t="s">
        <v>284</v>
      </c>
      <c r="T42" t="s">
        <v>173</v>
      </c>
    </row>
    <row r="43" spans="1:20">
      <c r="A43">
        <f t="shared" si="0"/>
        <v>42</v>
      </c>
      <c r="B43" s="66">
        <v>45710</v>
      </c>
      <c r="C43" t="s">
        <v>186</v>
      </c>
      <c r="D43">
        <v>210</v>
      </c>
      <c r="E43">
        <v>16</v>
      </c>
      <c r="F43">
        <v>0</v>
      </c>
      <c r="G43" t="s">
        <v>848</v>
      </c>
      <c r="H43" t="s">
        <v>173</v>
      </c>
      <c r="I43">
        <v>45717</v>
      </c>
      <c r="J43" t="s">
        <v>186</v>
      </c>
      <c r="K43">
        <v>45738</v>
      </c>
      <c r="L43" t="s">
        <v>186</v>
      </c>
      <c r="M43" t="s">
        <v>191</v>
      </c>
      <c r="N43" t="s">
        <v>699</v>
      </c>
      <c r="T43" t="s">
        <v>173</v>
      </c>
    </row>
    <row r="44" spans="1:20">
      <c r="A44">
        <f t="shared" si="0"/>
        <v>43</v>
      </c>
      <c r="B44" s="66">
        <v>45713</v>
      </c>
      <c r="C44" t="s">
        <v>164</v>
      </c>
      <c r="D44">
        <v>210</v>
      </c>
      <c r="E44">
        <v>36</v>
      </c>
      <c r="F44">
        <v>1</v>
      </c>
      <c r="G44" t="s">
        <v>849</v>
      </c>
      <c r="H44" t="s">
        <v>856</v>
      </c>
      <c r="I44">
        <v>45720</v>
      </c>
      <c r="J44" t="s">
        <v>164</v>
      </c>
      <c r="K44">
        <v>45741</v>
      </c>
      <c r="L44" t="s">
        <v>164</v>
      </c>
      <c r="M44" t="s">
        <v>177</v>
      </c>
      <c r="N44" t="s">
        <v>284</v>
      </c>
      <c r="S44" t="s">
        <v>535</v>
      </c>
      <c r="T44" t="s">
        <v>532</v>
      </c>
    </row>
    <row r="45" spans="1:20">
      <c r="A45">
        <f t="shared" si="0"/>
        <v>44</v>
      </c>
      <c r="B45" s="66">
        <v>45715</v>
      </c>
      <c r="C45" t="s">
        <v>167</v>
      </c>
      <c r="D45">
        <v>210</v>
      </c>
      <c r="E45">
        <v>40</v>
      </c>
      <c r="F45">
        <v>1</v>
      </c>
      <c r="G45" t="s">
        <v>850</v>
      </c>
      <c r="H45" t="s">
        <v>173</v>
      </c>
      <c r="I45">
        <v>45722</v>
      </c>
      <c r="J45" t="s">
        <v>167</v>
      </c>
      <c r="K45">
        <v>45743</v>
      </c>
      <c r="L45" t="s">
        <v>167</v>
      </c>
      <c r="M45" t="s">
        <v>191</v>
      </c>
      <c r="N45" t="s">
        <v>284</v>
      </c>
      <c r="T45" t="s">
        <v>173</v>
      </c>
    </row>
    <row r="46" spans="1:20">
      <c r="A46">
        <f t="shared" si="0"/>
        <v>45</v>
      </c>
      <c r="B46" s="66">
        <v>45716</v>
      </c>
      <c r="C46" t="s">
        <v>174</v>
      </c>
      <c r="D46">
        <v>210</v>
      </c>
      <c r="E46">
        <v>6</v>
      </c>
      <c r="F46">
        <v>0</v>
      </c>
      <c r="G46" t="s">
        <v>851</v>
      </c>
      <c r="H46" t="s">
        <v>173</v>
      </c>
      <c r="I46">
        <v>45723</v>
      </c>
      <c r="J46" t="s">
        <v>174</v>
      </c>
      <c r="K46">
        <v>45744</v>
      </c>
      <c r="L46" t="s">
        <v>174</v>
      </c>
      <c r="M46" t="s">
        <v>177</v>
      </c>
      <c r="N46" t="s">
        <v>699</v>
      </c>
      <c r="T46" t="s">
        <v>173</v>
      </c>
    </row>
    <row r="47" spans="1:20">
      <c r="A47">
        <f t="shared" si="0"/>
        <v>46</v>
      </c>
      <c r="B47" s="66">
        <v>45717</v>
      </c>
      <c r="C47" t="s">
        <v>186</v>
      </c>
      <c r="D47">
        <v>210</v>
      </c>
      <c r="E47">
        <v>12</v>
      </c>
      <c r="F47">
        <v>0</v>
      </c>
      <c r="G47" t="s">
        <v>852</v>
      </c>
      <c r="H47" t="s">
        <v>173</v>
      </c>
      <c r="I47">
        <v>45724</v>
      </c>
      <c r="J47" t="s">
        <v>186</v>
      </c>
      <c r="K47">
        <v>45745</v>
      </c>
      <c r="L47" t="s">
        <v>186</v>
      </c>
      <c r="M47" t="s">
        <v>177</v>
      </c>
      <c r="N47" t="s">
        <v>699</v>
      </c>
      <c r="T47" t="s">
        <v>173</v>
      </c>
    </row>
    <row r="48" spans="1:20">
      <c r="A48">
        <f t="shared" si="0"/>
        <v>47</v>
      </c>
      <c r="B48" s="66">
        <v>45719</v>
      </c>
      <c r="C48" t="s">
        <v>189</v>
      </c>
      <c r="D48">
        <v>210</v>
      </c>
      <c r="E48">
        <v>16</v>
      </c>
      <c r="F48">
        <v>0</v>
      </c>
      <c r="G48" t="s">
        <v>853</v>
      </c>
      <c r="H48" t="s">
        <v>173</v>
      </c>
      <c r="I48">
        <v>45726</v>
      </c>
      <c r="J48" t="s">
        <v>189</v>
      </c>
      <c r="K48">
        <v>45747</v>
      </c>
      <c r="L48" t="s">
        <v>189</v>
      </c>
      <c r="M48" t="s">
        <v>191</v>
      </c>
      <c r="N48" t="s">
        <v>699</v>
      </c>
      <c r="T48" t="s">
        <v>173</v>
      </c>
    </row>
    <row r="49" spans="1:20">
      <c r="A49">
        <f t="shared" si="0"/>
        <v>48</v>
      </c>
      <c r="B49" s="66">
        <v>45720</v>
      </c>
      <c r="C49" t="s">
        <v>164</v>
      </c>
      <c r="D49">
        <v>210</v>
      </c>
      <c r="E49">
        <v>4</v>
      </c>
      <c r="F49">
        <v>0</v>
      </c>
      <c r="G49" t="s">
        <v>854</v>
      </c>
      <c r="H49" t="s">
        <v>173</v>
      </c>
      <c r="I49">
        <v>45727</v>
      </c>
      <c r="J49" t="s">
        <v>164</v>
      </c>
      <c r="K49">
        <v>45748</v>
      </c>
      <c r="L49" t="s">
        <v>164</v>
      </c>
      <c r="M49" t="s">
        <v>177</v>
      </c>
      <c r="N49" t="s">
        <v>699</v>
      </c>
      <c r="T49" t="s">
        <v>173</v>
      </c>
    </row>
    <row r="50" spans="1:20">
      <c r="A50">
        <f t="shared" si="0"/>
        <v>49</v>
      </c>
      <c r="B50" s="66">
        <v>45727</v>
      </c>
      <c r="C50" t="s">
        <v>164</v>
      </c>
      <c r="D50">
        <v>210</v>
      </c>
      <c r="E50">
        <v>12</v>
      </c>
      <c r="F50">
        <v>0</v>
      </c>
      <c r="G50" t="s">
        <v>928</v>
      </c>
      <c r="H50" t="s">
        <v>173</v>
      </c>
      <c r="I50">
        <v>45734</v>
      </c>
      <c r="J50" t="s">
        <v>164</v>
      </c>
      <c r="K50">
        <v>45755</v>
      </c>
      <c r="L50" t="s">
        <v>164</v>
      </c>
      <c r="M50" t="s">
        <v>177</v>
      </c>
      <c r="N50" t="s">
        <v>699</v>
      </c>
      <c r="T50" t="s">
        <v>173</v>
      </c>
    </row>
    <row r="51" spans="1:20">
      <c r="A51">
        <f t="shared" si="0"/>
        <v>50</v>
      </c>
      <c r="B51" s="66">
        <v>45735</v>
      </c>
      <c r="C51" t="s">
        <v>288</v>
      </c>
      <c r="D51">
        <v>210</v>
      </c>
      <c r="E51">
        <v>60</v>
      </c>
      <c r="F51">
        <v>1</v>
      </c>
      <c r="G51" t="s">
        <v>929</v>
      </c>
      <c r="H51" t="s">
        <v>173</v>
      </c>
      <c r="I51">
        <v>45742</v>
      </c>
      <c r="J51" t="s">
        <v>288</v>
      </c>
      <c r="K51">
        <v>45763</v>
      </c>
      <c r="L51" t="s">
        <v>288</v>
      </c>
      <c r="M51" t="s">
        <v>191</v>
      </c>
      <c r="N51" t="s">
        <v>699</v>
      </c>
      <c r="T51" t="s">
        <v>173</v>
      </c>
    </row>
    <row r="52" spans="1:20">
      <c r="A52">
        <f t="shared" si="0"/>
        <v>51</v>
      </c>
      <c r="B52" s="66">
        <v>45742</v>
      </c>
      <c r="C52" t="s">
        <v>288</v>
      </c>
      <c r="D52">
        <v>210</v>
      </c>
      <c r="E52">
        <v>16</v>
      </c>
      <c r="F52">
        <v>0</v>
      </c>
      <c r="G52" t="s">
        <v>930</v>
      </c>
      <c r="H52" t="s">
        <v>173</v>
      </c>
      <c r="I52">
        <v>45749</v>
      </c>
      <c r="J52" t="s">
        <v>288</v>
      </c>
      <c r="K52">
        <v>45770</v>
      </c>
      <c r="L52" t="s">
        <v>288</v>
      </c>
      <c r="M52" t="s">
        <v>191</v>
      </c>
      <c r="N52" t="s">
        <v>699</v>
      </c>
      <c r="T52" t="s">
        <v>173</v>
      </c>
    </row>
    <row r="53" spans="1:20">
      <c r="A53">
        <f t="shared" si="0"/>
        <v>52</v>
      </c>
      <c r="B53" s="66">
        <v>45750</v>
      </c>
      <c r="C53" t="s">
        <v>167</v>
      </c>
      <c r="D53">
        <v>210</v>
      </c>
      <c r="E53">
        <v>18</v>
      </c>
      <c r="F53">
        <v>0</v>
      </c>
      <c r="G53" t="s">
        <v>972</v>
      </c>
      <c r="H53" t="s">
        <v>173</v>
      </c>
      <c r="I53">
        <v>45757</v>
      </c>
      <c r="J53" t="s">
        <v>167</v>
      </c>
      <c r="K53">
        <v>45778</v>
      </c>
      <c r="L53" t="s">
        <v>167</v>
      </c>
      <c r="M53" t="s">
        <v>177</v>
      </c>
      <c r="N53" t="s">
        <v>699</v>
      </c>
      <c r="T53" t="s">
        <v>173</v>
      </c>
    </row>
    <row r="54" spans="1:20">
      <c r="A54">
        <f t="shared" si="0"/>
        <v>53</v>
      </c>
      <c r="B54" s="66">
        <v>45756</v>
      </c>
      <c r="C54" t="s">
        <v>288</v>
      </c>
      <c r="D54">
        <v>210</v>
      </c>
      <c r="E54">
        <v>18</v>
      </c>
      <c r="F54">
        <v>0</v>
      </c>
      <c r="G54" t="s">
        <v>973</v>
      </c>
      <c r="H54" t="s">
        <v>173</v>
      </c>
      <c r="I54">
        <v>45763</v>
      </c>
      <c r="J54" t="s">
        <v>288</v>
      </c>
      <c r="K54">
        <v>45784</v>
      </c>
      <c r="L54" t="s">
        <v>288</v>
      </c>
      <c r="M54" t="s">
        <v>177</v>
      </c>
      <c r="N54" t="s">
        <v>699</v>
      </c>
      <c r="T54" t="s">
        <v>173</v>
      </c>
    </row>
    <row r="55" spans="1:20">
      <c r="A55">
        <f t="shared" si="0"/>
        <v>54</v>
      </c>
      <c r="B55" s="66">
        <v>45775</v>
      </c>
      <c r="C55" t="s">
        <v>189</v>
      </c>
      <c r="D55">
        <v>210</v>
      </c>
      <c r="E55">
        <v>56</v>
      </c>
      <c r="F55">
        <v>1</v>
      </c>
      <c r="G55" t="s">
        <v>1004</v>
      </c>
      <c r="H55" t="s">
        <v>1005</v>
      </c>
      <c r="I55">
        <v>45782</v>
      </c>
      <c r="J55" t="s">
        <v>189</v>
      </c>
      <c r="K55">
        <v>45803</v>
      </c>
      <c r="L55" t="s">
        <v>189</v>
      </c>
      <c r="M55" t="s">
        <v>191</v>
      </c>
      <c r="N55" t="s">
        <v>284</v>
      </c>
      <c r="S55" t="s">
        <v>535</v>
      </c>
      <c r="T55" t="s">
        <v>173</v>
      </c>
    </row>
    <row r="56" spans="1:20">
      <c r="A56">
        <f t="shared" si="0"/>
        <v>55</v>
      </c>
      <c r="B56" s="66">
        <v>45790</v>
      </c>
      <c r="C56" t="s">
        <v>164</v>
      </c>
      <c r="D56">
        <v>210</v>
      </c>
      <c r="E56">
        <v>64</v>
      </c>
      <c r="F56">
        <v>1</v>
      </c>
      <c r="G56" t="s">
        <v>1025</v>
      </c>
      <c r="H56" t="s">
        <v>520</v>
      </c>
      <c r="I56">
        <v>45797</v>
      </c>
      <c r="J56" t="s">
        <v>164</v>
      </c>
      <c r="K56">
        <v>45818</v>
      </c>
      <c r="L56" t="s">
        <v>164</v>
      </c>
      <c r="M56" t="s">
        <v>177</v>
      </c>
      <c r="N56" t="s">
        <v>284</v>
      </c>
      <c r="S56" t="s">
        <v>521</v>
      </c>
      <c r="T56" t="s">
        <v>173</v>
      </c>
    </row>
    <row r="57" spans="1:20">
      <c r="A57">
        <f t="shared" si="0"/>
        <v>56</v>
      </c>
      <c r="B57" s="66">
        <v>45792</v>
      </c>
      <c r="C57" t="s">
        <v>167</v>
      </c>
      <c r="D57">
        <v>210</v>
      </c>
      <c r="E57">
        <v>18</v>
      </c>
      <c r="F57">
        <v>0</v>
      </c>
      <c r="G57" t="s">
        <v>1027</v>
      </c>
      <c r="H57" t="s">
        <v>173</v>
      </c>
      <c r="I57">
        <v>45799</v>
      </c>
      <c r="J57" t="s">
        <v>167</v>
      </c>
      <c r="K57">
        <v>45820</v>
      </c>
      <c r="L57" t="s">
        <v>167</v>
      </c>
      <c r="M57" t="s">
        <v>191</v>
      </c>
      <c r="T57" t="s">
        <v>173</v>
      </c>
    </row>
    <row r="58" spans="1:20">
      <c r="A58">
        <f t="shared" si="0"/>
        <v>57</v>
      </c>
      <c r="B58" s="66">
        <v>45796</v>
      </c>
      <c r="C58" t="s">
        <v>189</v>
      </c>
      <c r="D58">
        <v>210</v>
      </c>
      <c r="E58">
        <v>18</v>
      </c>
      <c r="F58">
        <v>0</v>
      </c>
      <c r="G58" t="s">
        <v>1029</v>
      </c>
      <c r="H58" t="s">
        <v>173</v>
      </c>
      <c r="I58">
        <v>45803</v>
      </c>
      <c r="J58" t="s">
        <v>189</v>
      </c>
      <c r="K58">
        <v>45824</v>
      </c>
      <c r="L58" t="s">
        <v>189</v>
      </c>
      <c r="M58" t="s">
        <v>177</v>
      </c>
      <c r="T58" t="s">
        <v>173</v>
      </c>
    </row>
    <row r="59" spans="1:20">
      <c r="A59">
        <f t="shared" si="0"/>
        <v>58</v>
      </c>
      <c r="B59" s="66">
        <v>45797</v>
      </c>
      <c r="C59" t="s">
        <v>164</v>
      </c>
      <c r="D59">
        <v>210</v>
      </c>
      <c r="E59">
        <v>18</v>
      </c>
      <c r="F59">
        <v>0</v>
      </c>
      <c r="G59" t="s">
        <v>1040</v>
      </c>
      <c r="H59" t="s">
        <v>173</v>
      </c>
      <c r="I59">
        <v>45804</v>
      </c>
      <c r="J59" t="s">
        <v>164</v>
      </c>
      <c r="K59">
        <v>45825</v>
      </c>
      <c r="L59" t="s">
        <v>164</v>
      </c>
      <c r="M59" t="s">
        <v>177</v>
      </c>
      <c r="T59" t="s">
        <v>173</v>
      </c>
    </row>
    <row r="60" spans="1:20">
      <c r="A60">
        <f t="shared" si="0"/>
        <v>59</v>
      </c>
      <c r="B60" s="66">
        <v>45798</v>
      </c>
      <c r="C60" t="s">
        <v>288</v>
      </c>
      <c r="D60">
        <v>210</v>
      </c>
      <c r="E60">
        <v>16</v>
      </c>
      <c r="F60">
        <v>0</v>
      </c>
      <c r="G60" t="s">
        <v>1040</v>
      </c>
      <c r="H60" t="s">
        <v>173</v>
      </c>
      <c r="I60">
        <v>45805</v>
      </c>
      <c r="J60" t="s">
        <v>288</v>
      </c>
      <c r="K60">
        <v>45826</v>
      </c>
      <c r="L60" t="s">
        <v>288</v>
      </c>
      <c r="M60" t="s">
        <v>177</v>
      </c>
      <c r="T60" t="s">
        <v>173</v>
      </c>
    </row>
    <row r="61" spans="1:20">
      <c r="A61">
        <f t="shared" si="0"/>
        <v>60</v>
      </c>
      <c r="B61" s="66">
        <v>45817</v>
      </c>
      <c r="C61" t="s">
        <v>189</v>
      </c>
      <c r="D61">
        <v>210</v>
      </c>
      <c r="E61">
        <v>16</v>
      </c>
      <c r="F61">
        <v>0</v>
      </c>
      <c r="G61" t="s">
        <v>1062</v>
      </c>
      <c r="H61" t="s">
        <v>173</v>
      </c>
      <c r="I61">
        <v>45824</v>
      </c>
      <c r="J61" t="s">
        <v>189</v>
      </c>
      <c r="K61">
        <v>45845</v>
      </c>
      <c r="L61" t="s">
        <v>189</v>
      </c>
      <c r="T61" t="s">
        <v>173</v>
      </c>
    </row>
    <row r="62" spans="1:20">
      <c r="A62">
        <f t="shared" si="0"/>
        <v>61</v>
      </c>
      <c r="B62" s="66">
        <v>45818</v>
      </c>
      <c r="C62" t="s">
        <v>164</v>
      </c>
      <c r="D62">
        <v>210</v>
      </c>
      <c r="E62">
        <v>16</v>
      </c>
      <c r="F62">
        <v>1</v>
      </c>
      <c r="G62" t="s">
        <v>1063</v>
      </c>
      <c r="H62" t="s">
        <v>1064</v>
      </c>
      <c r="I62">
        <v>45825</v>
      </c>
      <c r="J62" t="s">
        <v>164</v>
      </c>
      <c r="K62">
        <v>45846</v>
      </c>
      <c r="L62" t="s">
        <v>164</v>
      </c>
      <c r="M62" t="s">
        <v>168</v>
      </c>
      <c r="R62" t="s">
        <v>171</v>
      </c>
      <c r="S62" t="s">
        <v>535</v>
      </c>
      <c r="T62" t="s">
        <v>173</v>
      </c>
    </row>
    <row r="63" spans="1:20">
      <c r="A63">
        <f t="shared" si="0"/>
        <v>62</v>
      </c>
      <c r="B63" s="66">
        <v>45819</v>
      </c>
      <c r="C63" t="s">
        <v>288</v>
      </c>
      <c r="D63">
        <v>210</v>
      </c>
      <c r="E63">
        <v>16</v>
      </c>
      <c r="F63">
        <v>0</v>
      </c>
      <c r="G63" t="s">
        <v>1071</v>
      </c>
      <c r="H63" t="s">
        <v>173</v>
      </c>
      <c r="I63">
        <v>45826</v>
      </c>
      <c r="J63" t="s">
        <v>288</v>
      </c>
      <c r="K63">
        <v>45847</v>
      </c>
      <c r="L63" t="s">
        <v>288</v>
      </c>
      <c r="M63" t="s">
        <v>191</v>
      </c>
      <c r="T63" t="s">
        <v>173</v>
      </c>
    </row>
    <row r="64" spans="1:20">
      <c r="A64">
        <f t="shared" si="0"/>
        <v>63</v>
      </c>
      <c r="B64" s="66">
        <v>45825</v>
      </c>
      <c r="C64" t="s">
        <v>164</v>
      </c>
      <c r="D64">
        <v>210</v>
      </c>
      <c r="E64">
        <v>10</v>
      </c>
      <c r="F64">
        <v>0</v>
      </c>
      <c r="G64" t="s">
        <v>1078</v>
      </c>
      <c r="H64" t="s">
        <v>173</v>
      </c>
      <c r="I64">
        <v>45832</v>
      </c>
      <c r="J64" t="s">
        <v>164</v>
      </c>
      <c r="K64">
        <v>45853</v>
      </c>
      <c r="L64" t="s">
        <v>164</v>
      </c>
      <c r="M64" t="s">
        <v>168</v>
      </c>
      <c r="T64" t="s">
        <v>173</v>
      </c>
    </row>
    <row r="65" spans="1:20">
      <c r="A65">
        <f t="shared" si="0"/>
        <v>64</v>
      </c>
      <c r="B65" s="66">
        <v>45833</v>
      </c>
      <c r="C65" t="s">
        <v>288</v>
      </c>
      <c r="D65">
        <v>210</v>
      </c>
      <c r="E65">
        <v>10</v>
      </c>
      <c r="F65">
        <v>0</v>
      </c>
      <c r="G65" t="s">
        <v>1098</v>
      </c>
      <c r="H65" t="s">
        <v>173</v>
      </c>
      <c r="I65">
        <v>45840</v>
      </c>
      <c r="J65" t="s">
        <v>288</v>
      </c>
      <c r="K65">
        <v>45861</v>
      </c>
      <c r="L65" t="s">
        <v>288</v>
      </c>
      <c r="M65" t="s">
        <v>191</v>
      </c>
      <c r="T65" t="s">
        <v>173</v>
      </c>
    </row>
    <row r="66" spans="1:20">
      <c r="A66">
        <f t="shared" si="0"/>
        <v>65</v>
      </c>
      <c r="B66" s="66">
        <v>45834</v>
      </c>
      <c r="C66" t="s">
        <v>167</v>
      </c>
      <c r="D66">
        <v>210</v>
      </c>
      <c r="E66">
        <v>40</v>
      </c>
      <c r="F66">
        <v>1</v>
      </c>
      <c r="G66" t="s">
        <v>1099</v>
      </c>
      <c r="H66" t="s">
        <v>1005</v>
      </c>
      <c r="I66">
        <v>45841</v>
      </c>
      <c r="J66" t="s">
        <v>167</v>
      </c>
      <c r="K66">
        <v>45862</v>
      </c>
      <c r="L66" t="s">
        <v>167</v>
      </c>
      <c r="M66" t="s">
        <v>191</v>
      </c>
      <c r="S66" t="s">
        <v>535</v>
      </c>
      <c r="T66" t="s">
        <v>173</v>
      </c>
    </row>
    <row r="67" spans="1:20">
      <c r="A67">
        <f t="shared" ref="A67:A117" si="1">ROW()-1</f>
        <v>66</v>
      </c>
      <c r="B67" s="66">
        <v>45835</v>
      </c>
      <c r="C67" t="s">
        <v>174</v>
      </c>
      <c r="D67">
        <v>210</v>
      </c>
      <c r="E67">
        <v>10</v>
      </c>
      <c r="F67">
        <v>0</v>
      </c>
      <c r="G67" t="s">
        <v>1100</v>
      </c>
      <c r="H67" t="s">
        <v>173</v>
      </c>
      <c r="I67">
        <v>45842</v>
      </c>
      <c r="J67" t="s">
        <v>174</v>
      </c>
      <c r="K67">
        <v>45863</v>
      </c>
      <c r="L67" t="s">
        <v>174</v>
      </c>
      <c r="M67" t="s">
        <v>177</v>
      </c>
      <c r="T67" t="s">
        <v>173</v>
      </c>
    </row>
    <row r="68" spans="1:20">
      <c r="A68">
        <f t="shared" si="1"/>
        <v>67</v>
      </c>
      <c r="B68" s="66">
        <v>45838</v>
      </c>
      <c r="C68" t="s">
        <v>189</v>
      </c>
      <c r="D68">
        <v>210</v>
      </c>
      <c r="E68">
        <v>12</v>
      </c>
      <c r="F68">
        <v>0</v>
      </c>
      <c r="G68" t="s">
        <v>1101</v>
      </c>
      <c r="H68" t="s">
        <v>173</v>
      </c>
      <c r="I68">
        <v>45845</v>
      </c>
      <c r="J68" t="s">
        <v>189</v>
      </c>
      <c r="K68">
        <v>45866</v>
      </c>
      <c r="L68" t="s">
        <v>189</v>
      </c>
      <c r="M68" t="s">
        <v>168</v>
      </c>
      <c r="T68" t="s">
        <v>173</v>
      </c>
    </row>
    <row r="69" spans="1:20">
      <c r="A69">
        <f t="shared" si="1"/>
        <v>68</v>
      </c>
      <c r="B69" s="66">
        <v>45839</v>
      </c>
      <c r="C69" t="s">
        <v>164</v>
      </c>
      <c r="D69">
        <v>210</v>
      </c>
      <c r="E69">
        <v>9</v>
      </c>
      <c r="F69">
        <v>1</v>
      </c>
      <c r="G69" t="s">
        <v>1102</v>
      </c>
      <c r="H69" t="s">
        <v>1103</v>
      </c>
      <c r="I69">
        <v>45846</v>
      </c>
      <c r="J69" t="s">
        <v>164</v>
      </c>
      <c r="K69">
        <v>45867</v>
      </c>
      <c r="L69" t="s">
        <v>164</v>
      </c>
      <c r="M69" t="s">
        <v>168</v>
      </c>
      <c r="T69" t="s">
        <v>1103</v>
      </c>
    </row>
    <row r="70" spans="1:20">
      <c r="A70">
        <f t="shared" si="1"/>
        <v>69</v>
      </c>
      <c r="B70" s="66">
        <v>45839</v>
      </c>
      <c r="C70" t="s">
        <v>164</v>
      </c>
      <c r="D70">
        <v>210</v>
      </c>
      <c r="E70">
        <v>8</v>
      </c>
      <c r="F70">
        <v>1</v>
      </c>
      <c r="G70" t="s">
        <v>1104</v>
      </c>
      <c r="H70" t="s">
        <v>173</v>
      </c>
      <c r="I70">
        <v>45846</v>
      </c>
      <c r="J70" t="s">
        <v>164</v>
      </c>
      <c r="K70">
        <v>45867</v>
      </c>
      <c r="L70" t="s">
        <v>164</v>
      </c>
      <c r="M70" t="s">
        <v>177</v>
      </c>
      <c r="T70" t="s">
        <v>173</v>
      </c>
    </row>
    <row r="71" spans="1:20">
      <c r="A71">
        <f t="shared" si="1"/>
        <v>70</v>
      </c>
      <c r="B71" s="66">
        <v>45841</v>
      </c>
      <c r="C71" t="s">
        <v>167</v>
      </c>
      <c r="D71">
        <v>210</v>
      </c>
      <c r="E71">
        <v>12</v>
      </c>
      <c r="F71">
        <v>0</v>
      </c>
      <c r="G71" t="s">
        <v>1108</v>
      </c>
      <c r="H71" t="s">
        <v>173</v>
      </c>
      <c r="I71">
        <v>45848</v>
      </c>
      <c r="J71" t="s">
        <v>167</v>
      </c>
      <c r="K71">
        <v>45869</v>
      </c>
      <c r="L71" t="s">
        <v>167</v>
      </c>
      <c r="M71" t="s">
        <v>177</v>
      </c>
      <c r="T71" t="s">
        <v>173</v>
      </c>
    </row>
    <row r="72" spans="1:20">
      <c r="A72">
        <f t="shared" si="1"/>
        <v>71</v>
      </c>
      <c r="B72" s="66">
        <v>45846</v>
      </c>
      <c r="C72" t="s">
        <v>164</v>
      </c>
      <c r="D72">
        <v>210</v>
      </c>
      <c r="E72">
        <v>10</v>
      </c>
      <c r="F72">
        <v>0</v>
      </c>
      <c r="G72" t="s">
        <v>1118</v>
      </c>
      <c r="H72" t="s">
        <v>173</v>
      </c>
      <c r="I72">
        <v>45853</v>
      </c>
      <c r="J72" t="s">
        <v>164</v>
      </c>
      <c r="K72">
        <v>45874</v>
      </c>
      <c r="L72" t="s">
        <v>164</v>
      </c>
      <c r="M72" t="s">
        <v>168</v>
      </c>
      <c r="T72" t="s">
        <v>173</v>
      </c>
    </row>
    <row r="73" spans="1:20">
      <c r="A73">
        <f>ROW()-1</f>
        <v>72</v>
      </c>
      <c r="B73" s="66">
        <v>45849</v>
      </c>
      <c r="C73" t="s">
        <v>174</v>
      </c>
      <c r="D73">
        <v>210</v>
      </c>
      <c r="E73">
        <v>18</v>
      </c>
      <c r="F73">
        <v>1</v>
      </c>
      <c r="G73" t="s">
        <v>1119</v>
      </c>
      <c r="H73" t="s">
        <v>173</v>
      </c>
      <c r="I73">
        <v>45856</v>
      </c>
      <c r="J73" t="s">
        <v>174</v>
      </c>
      <c r="K73">
        <v>45877</v>
      </c>
      <c r="L73" t="s">
        <v>174</v>
      </c>
      <c r="M73" t="s">
        <v>168</v>
      </c>
      <c r="T73" t="s">
        <v>173</v>
      </c>
    </row>
    <row r="74" spans="1:20">
      <c r="A74">
        <f t="shared" si="1"/>
        <v>73</v>
      </c>
      <c r="B74" s="66">
        <v>45853</v>
      </c>
      <c r="C74" t="s">
        <v>164</v>
      </c>
      <c r="D74">
        <v>210</v>
      </c>
      <c r="E74">
        <v>8</v>
      </c>
      <c r="F74">
        <v>0</v>
      </c>
      <c r="G74" t="s">
        <v>1121</v>
      </c>
      <c r="H74" t="s">
        <v>173</v>
      </c>
      <c r="I74">
        <v>45860</v>
      </c>
      <c r="J74" t="s">
        <v>164</v>
      </c>
      <c r="K74">
        <v>45881</v>
      </c>
      <c r="L74" t="s">
        <v>164</v>
      </c>
      <c r="M74" t="s">
        <v>168</v>
      </c>
      <c r="T74" t="s">
        <v>173</v>
      </c>
    </row>
    <row r="75" spans="1:20">
      <c r="A75">
        <f t="shared" si="1"/>
        <v>74</v>
      </c>
      <c r="B75" s="66">
        <v>45855</v>
      </c>
      <c r="C75" t="s">
        <v>167</v>
      </c>
      <c r="D75">
        <v>210</v>
      </c>
      <c r="E75">
        <v>30</v>
      </c>
      <c r="F75">
        <v>1</v>
      </c>
      <c r="G75" t="s">
        <v>1122</v>
      </c>
      <c r="H75" t="s">
        <v>173</v>
      </c>
      <c r="I75">
        <v>45862</v>
      </c>
      <c r="J75" t="s">
        <v>167</v>
      </c>
      <c r="K75">
        <v>45883</v>
      </c>
      <c r="L75" t="s">
        <v>167</v>
      </c>
      <c r="M75" t="s">
        <v>168</v>
      </c>
      <c r="T75" t="s">
        <v>173</v>
      </c>
    </row>
    <row r="76" spans="1:20">
      <c r="A76">
        <f t="shared" si="1"/>
        <v>75</v>
      </c>
      <c r="B76" s="66">
        <v>45859</v>
      </c>
      <c r="C76" t="s">
        <v>189</v>
      </c>
      <c r="D76">
        <v>210</v>
      </c>
      <c r="E76">
        <v>8</v>
      </c>
      <c r="F76">
        <v>0</v>
      </c>
      <c r="G76" t="s">
        <v>1139</v>
      </c>
      <c r="H76" t="s">
        <v>173</v>
      </c>
      <c r="I76">
        <v>45866</v>
      </c>
      <c r="J76" t="s">
        <v>189</v>
      </c>
      <c r="K76">
        <v>45887</v>
      </c>
      <c r="L76" t="s">
        <v>189</v>
      </c>
      <c r="M76" t="s">
        <v>168</v>
      </c>
      <c r="T76" t="s">
        <v>173</v>
      </c>
    </row>
    <row r="77" spans="1:20">
      <c r="A77">
        <f t="shared" si="1"/>
        <v>76</v>
      </c>
      <c r="B77" s="66">
        <v>45866</v>
      </c>
      <c r="C77" t="s">
        <v>189</v>
      </c>
      <c r="D77">
        <v>210</v>
      </c>
      <c r="E77">
        <v>9</v>
      </c>
      <c r="F77">
        <v>0</v>
      </c>
      <c r="G77" t="s">
        <v>1140</v>
      </c>
      <c r="H77" t="s">
        <v>173</v>
      </c>
      <c r="I77">
        <v>45873</v>
      </c>
      <c r="J77" t="s">
        <v>189</v>
      </c>
      <c r="K77">
        <v>45894</v>
      </c>
      <c r="L77" t="s">
        <v>189</v>
      </c>
      <c r="M77" t="s">
        <v>168</v>
      </c>
      <c r="T77" t="s">
        <v>173</v>
      </c>
    </row>
    <row r="78" spans="1:20">
      <c r="A78">
        <f t="shared" si="1"/>
        <v>77</v>
      </c>
      <c r="B78" s="66">
        <v>45871</v>
      </c>
      <c r="C78" t="s">
        <v>186</v>
      </c>
      <c r="D78">
        <v>210</v>
      </c>
      <c r="E78">
        <v>16</v>
      </c>
      <c r="F78">
        <v>0</v>
      </c>
      <c r="G78" t="s">
        <v>1141</v>
      </c>
      <c r="H78" t="s">
        <v>173</v>
      </c>
      <c r="I78">
        <v>45878</v>
      </c>
      <c r="J78" t="s">
        <v>186</v>
      </c>
      <c r="K78">
        <v>45899</v>
      </c>
      <c r="L78" t="s">
        <v>186</v>
      </c>
      <c r="M78" t="s">
        <v>168</v>
      </c>
      <c r="T78" t="s">
        <v>173</v>
      </c>
    </row>
    <row r="79" spans="1:20">
      <c r="A79">
        <f t="shared" si="1"/>
        <v>78</v>
      </c>
      <c r="B79" s="66">
        <v>45874</v>
      </c>
      <c r="C79" t="s">
        <v>164</v>
      </c>
      <c r="D79">
        <v>210</v>
      </c>
      <c r="E79">
        <v>40</v>
      </c>
      <c r="F79">
        <v>1</v>
      </c>
      <c r="G79" t="s">
        <v>1142</v>
      </c>
      <c r="H79" t="s">
        <v>173</v>
      </c>
      <c r="I79">
        <v>45881</v>
      </c>
      <c r="J79" t="s">
        <v>164</v>
      </c>
      <c r="K79">
        <v>45902</v>
      </c>
      <c r="L79" t="s">
        <v>164</v>
      </c>
      <c r="M79" t="s">
        <v>191</v>
      </c>
      <c r="T79" t="s">
        <v>173</v>
      </c>
    </row>
    <row r="80" spans="1:20">
      <c r="A80">
        <f t="shared" si="1"/>
        <v>79</v>
      </c>
      <c r="B80" s="66">
        <v>45875</v>
      </c>
      <c r="C80" t="s">
        <v>288</v>
      </c>
      <c r="D80">
        <v>210</v>
      </c>
      <c r="E80">
        <v>12</v>
      </c>
      <c r="F80">
        <v>0</v>
      </c>
      <c r="G80" t="s">
        <v>1136</v>
      </c>
      <c r="H80" t="s">
        <v>173</v>
      </c>
      <c r="I80">
        <v>45882</v>
      </c>
      <c r="J80" t="s">
        <v>288</v>
      </c>
      <c r="K80">
        <v>45903</v>
      </c>
      <c r="L80" t="s">
        <v>288</v>
      </c>
      <c r="M80" t="s">
        <v>168</v>
      </c>
      <c r="T80" t="s">
        <v>173</v>
      </c>
    </row>
    <row r="81" spans="1:20">
      <c r="A81">
        <f t="shared" si="1"/>
        <v>80</v>
      </c>
      <c r="B81" s="66">
        <v>45877</v>
      </c>
      <c r="C81" t="s">
        <v>174</v>
      </c>
      <c r="D81">
        <v>210</v>
      </c>
      <c r="E81">
        <v>16</v>
      </c>
      <c r="F81">
        <v>0</v>
      </c>
      <c r="G81" t="s">
        <v>1149</v>
      </c>
      <c r="H81" t="s">
        <v>173</v>
      </c>
      <c r="I81">
        <v>45884</v>
      </c>
      <c r="J81" t="s">
        <v>174</v>
      </c>
      <c r="K81">
        <v>45905</v>
      </c>
      <c r="L81" t="s">
        <v>174</v>
      </c>
      <c r="M81" t="s">
        <v>168</v>
      </c>
      <c r="T81" t="s">
        <v>173</v>
      </c>
    </row>
    <row r="82" spans="1:20">
      <c r="A82">
        <f t="shared" si="1"/>
        <v>81</v>
      </c>
      <c r="B82" s="66">
        <v>45880</v>
      </c>
      <c r="C82" t="s">
        <v>189</v>
      </c>
      <c r="D82">
        <v>210</v>
      </c>
      <c r="E82">
        <v>12</v>
      </c>
      <c r="F82">
        <v>0</v>
      </c>
      <c r="G82" t="s">
        <v>1150</v>
      </c>
      <c r="H82" t="s">
        <v>173</v>
      </c>
      <c r="I82">
        <v>45887</v>
      </c>
      <c r="J82" t="s">
        <v>189</v>
      </c>
      <c r="K82">
        <v>45908</v>
      </c>
      <c r="L82" t="s">
        <v>189</v>
      </c>
      <c r="M82" t="s">
        <v>168</v>
      </c>
      <c r="T82" t="s">
        <v>173</v>
      </c>
    </row>
    <row r="83" spans="1:20">
      <c r="A83">
        <f t="shared" si="1"/>
        <v>82</v>
      </c>
      <c r="B83" s="66">
        <v>45882</v>
      </c>
      <c r="C83" t="s">
        <v>288</v>
      </c>
      <c r="D83">
        <v>210</v>
      </c>
      <c r="E83">
        <v>12</v>
      </c>
      <c r="F83">
        <v>0</v>
      </c>
      <c r="G83" t="s">
        <v>1383</v>
      </c>
      <c r="H83" t="s">
        <v>173</v>
      </c>
      <c r="I83">
        <v>45889</v>
      </c>
      <c r="J83" t="s">
        <v>288</v>
      </c>
      <c r="K83">
        <v>45910</v>
      </c>
      <c r="L83" t="s">
        <v>288</v>
      </c>
      <c r="M83" t="s">
        <v>191</v>
      </c>
      <c r="T83" t="s">
        <v>173</v>
      </c>
    </row>
    <row r="84" spans="1:20">
      <c r="A84">
        <f t="shared" si="1"/>
        <v>83</v>
      </c>
      <c r="B84" s="66">
        <v>45883</v>
      </c>
      <c r="C84" t="s">
        <v>167</v>
      </c>
      <c r="D84">
        <v>210</v>
      </c>
      <c r="E84">
        <v>15</v>
      </c>
      <c r="F84">
        <v>0</v>
      </c>
      <c r="G84" t="s">
        <v>1384</v>
      </c>
      <c r="H84" t="s">
        <v>173</v>
      </c>
      <c r="I84">
        <v>45890</v>
      </c>
      <c r="J84" t="s">
        <v>167</v>
      </c>
      <c r="K84">
        <v>45911</v>
      </c>
      <c r="L84" t="s">
        <v>167</v>
      </c>
      <c r="M84" t="s">
        <v>168</v>
      </c>
      <c r="T84" t="s">
        <v>173</v>
      </c>
    </row>
    <row r="85" spans="1:20">
      <c r="A85">
        <f t="shared" si="1"/>
        <v>84</v>
      </c>
      <c r="B85" s="66">
        <v>45884</v>
      </c>
      <c r="C85" t="s">
        <v>174</v>
      </c>
      <c r="D85">
        <v>210</v>
      </c>
      <c r="E85">
        <v>12</v>
      </c>
      <c r="F85">
        <v>0</v>
      </c>
      <c r="G85" t="s">
        <v>1385</v>
      </c>
      <c r="H85" t="s">
        <v>173</v>
      </c>
      <c r="I85">
        <v>45891</v>
      </c>
      <c r="J85" t="s">
        <v>174</v>
      </c>
      <c r="K85">
        <v>45912</v>
      </c>
      <c r="L85" t="s">
        <v>174</v>
      </c>
      <c r="M85" t="s">
        <v>168</v>
      </c>
      <c r="T85" t="s">
        <v>173</v>
      </c>
    </row>
    <row r="86" spans="1:20">
      <c r="A86">
        <f t="shared" si="1"/>
        <v>85</v>
      </c>
      <c r="B86" s="66">
        <v>45885</v>
      </c>
      <c r="C86" t="s">
        <v>186</v>
      </c>
      <c r="D86">
        <v>210</v>
      </c>
      <c r="E86">
        <v>16</v>
      </c>
      <c r="F86">
        <v>0</v>
      </c>
      <c r="G86" t="s">
        <v>1386</v>
      </c>
      <c r="H86" t="s">
        <v>173</v>
      </c>
      <c r="I86">
        <v>45892</v>
      </c>
      <c r="J86" t="s">
        <v>186</v>
      </c>
      <c r="K86">
        <v>45913</v>
      </c>
      <c r="L86" t="s">
        <v>186</v>
      </c>
      <c r="M86" t="s">
        <v>168</v>
      </c>
      <c r="T86" t="s">
        <v>173</v>
      </c>
    </row>
    <row r="87" spans="1:20">
      <c r="A87">
        <f t="shared" si="1"/>
        <v>86</v>
      </c>
      <c r="B87" s="66">
        <v>45888</v>
      </c>
      <c r="C87" t="s">
        <v>164</v>
      </c>
      <c r="D87">
        <v>210</v>
      </c>
      <c r="E87">
        <v>15</v>
      </c>
      <c r="F87">
        <v>0</v>
      </c>
      <c r="G87" t="s">
        <v>1401</v>
      </c>
      <c r="H87" t="s">
        <v>173</v>
      </c>
      <c r="I87">
        <v>45895</v>
      </c>
      <c r="J87" t="s">
        <v>164</v>
      </c>
      <c r="K87">
        <v>45916</v>
      </c>
      <c r="L87" t="s">
        <v>164</v>
      </c>
      <c r="M87" t="s">
        <v>168</v>
      </c>
      <c r="T87" t="s">
        <v>173</v>
      </c>
    </row>
    <row r="88" spans="1:20">
      <c r="A88">
        <f t="shared" si="1"/>
        <v>87</v>
      </c>
      <c r="B88" s="66">
        <v>45890</v>
      </c>
      <c r="C88" t="s">
        <v>167</v>
      </c>
      <c r="D88">
        <v>210</v>
      </c>
      <c r="E88">
        <v>12</v>
      </c>
      <c r="F88">
        <v>0</v>
      </c>
      <c r="G88" t="s">
        <v>1402</v>
      </c>
      <c r="H88" t="s">
        <v>173</v>
      </c>
      <c r="I88">
        <v>45897</v>
      </c>
      <c r="J88" t="s">
        <v>167</v>
      </c>
      <c r="K88">
        <v>45918</v>
      </c>
      <c r="L88" t="s">
        <v>167</v>
      </c>
      <c r="M88" t="s">
        <v>168</v>
      </c>
      <c r="T88" t="s">
        <v>173</v>
      </c>
    </row>
    <row r="89" spans="1:20">
      <c r="A89">
        <f t="shared" si="1"/>
        <v>88</v>
      </c>
      <c r="B89" s="66">
        <v>45891</v>
      </c>
      <c r="C89" t="s">
        <v>174</v>
      </c>
      <c r="D89">
        <v>210</v>
      </c>
      <c r="E89">
        <v>16</v>
      </c>
      <c r="F89">
        <v>0</v>
      </c>
      <c r="G89" t="s">
        <v>1403</v>
      </c>
      <c r="H89" t="s">
        <v>173</v>
      </c>
      <c r="I89">
        <v>45898</v>
      </c>
      <c r="J89" t="s">
        <v>174</v>
      </c>
      <c r="K89">
        <v>45919</v>
      </c>
      <c r="L89" t="s">
        <v>174</v>
      </c>
      <c r="M89" t="s">
        <v>168</v>
      </c>
      <c r="T89" t="s">
        <v>173</v>
      </c>
    </row>
    <row r="90" spans="1:20">
      <c r="A90">
        <f t="shared" si="1"/>
        <v>89</v>
      </c>
      <c r="B90" s="66">
        <v>45897</v>
      </c>
      <c r="C90" t="s">
        <v>167</v>
      </c>
      <c r="D90">
        <v>210</v>
      </c>
      <c r="E90">
        <v>18</v>
      </c>
      <c r="F90">
        <v>0</v>
      </c>
      <c r="G90" t="s">
        <v>1404</v>
      </c>
      <c r="H90" t="s">
        <v>173</v>
      </c>
      <c r="I90">
        <v>45904</v>
      </c>
      <c r="J90" t="s">
        <v>167</v>
      </c>
      <c r="K90">
        <v>45925</v>
      </c>
      <c r="L90" t="s">
        <v>167</v>
      </c>
      <c r="M90" t="s">
        <v>168</v>
      </c>
      <c r="T90" t="s">
        <v>173</v>
      </c>
    </row>
    <row r="91" spans="1:20">
      <c r="A91">
        <f t="shared" si="1"/>
        <v>90</v>
      </c>
      <c r="B91" s="66">
        <v>45898</v>
      </c>
      <c r="C91" t="s">
        <v>174</v>
      </c>
      <c r="D91">
        <v>210</v>
      </c>
      <c r="E91">
        <v>16</v>
      </c>
      <c r="F91">
        <v>0</v>
      </c>
      <c r="G91" t="s">
        <v>1405</v>
      </c>
      <c r="H91" t="s">
        <v>173</v>
      </c>
      <c r="I91">
        <v>45905</v>
      </c>
      <c r="J91" t="s">
        <v>174</v>
      </c>
      <c r="K91">
        <v>45926</v>
      </c>
      <c r="L91" t="s">
        <v>174</v>
      </c>
      <c r="M91" t="s">
        <v>168</v>
      </c>
      <c r="T91" t="s">
        <v>173</v>
      </c>
    </row>
    <row r="92" spans="1:20">
      <c r="A92">
        <f t="shared" si="1"/>
        <v>91</v>
      </c>
      <c r="B92" s="66">
        <v>45899</v>
      </c>
      <c r="C92" t="s">
        <v>186</v>
      </c>
      <c r="D92">
        <v>210</v>
      </c>
      <c r="E92">
        <v>12</v>
      </c>
      <c r="F92">
        <v>0</v>
      </c>
      <c r="G92" t="s">
        <v>1406</v>
      </c>
      <c r="H92" t="s">
        <v>173</v>
      </c>
      <c r="I92">
        <v>45906</v>
      </c>
      <c r="J92" t="s">
        <v>186</v>
      </c>
      <c r="K92">
        <v>45927</v>
      </c>
      <c r="L92" t="s">
        <v>186</v>
      </c>
      <c r="M92" t="s">
        <v>168</v>
      </c>
      <c r="T92" t="s">
        <v>173</v>
      </c>
    </row>
    <row r="93" spans="1:20">
      <c r="A93">
        <f t="shared" si="1"/>
        <v>92</v>
      </c>
      <c r="B93" s="66">
        <v>45903</v>
      </c>
      <c r="C93" t="s">
        <v>288</v>
      </c>
      <c r="D93">
        <v>140</v>
      </c>
      <c r="E93">
        <v>8</v>
      </c>
      <c r="F93">
        <v>0</v>
      </c>
      <c r="G93" t="s">
        <v>1422</v>
      </c>
      <c r="H93" t="s">
        <v>173</v>
      </c>
      <c r="I93">
        <v>45910</v>
      </c>
      <c r="J93" t="s">
        <v>288</v>
      </c>
      <c r="K93">
        <v>45931</v>
      </c>
      <c r="L93" t="s">
        <v>288</v>
      </c>
      <c r="M93" t="s">
        <v>168</v>
      </c>
      <c r="T93" t="s">
        <v>173</v>
      </c>
    </row>
    <row r="94" spans="1:20">
      <c r="A94">
        <f t="shared" si="1"/>
        <v>93</v>
      </c>
      <c r="B94" s="66">
        <v>45906</v>
      </c>
      <c r="C94" t="s">
        <v>186</v>
      </c>
      <c r="D94">
        <v>210</v>
      </c>
      <c r="E94">
        <v>18</v>
      </c>
      <c r="F94">
        <v>0</v>
      </c>
      <c r="G94" t="s">
        <v>1423</v>
      </c>
      <c r="H94" t="s">
        <v>173</v>
      </c>
      <c r="I94">
        <v>45913</v>
      </c>
      <c r="J94" t="s">
        <v>186</v>
      </c>
      <c r="K94">
        <v>45934</v>
      </c>
      <c r="L94" t="s">
        <v>186</v>
      </c>
      <c r="M94" t="s">
        <v>168</v>
      </c>
      <c r="T94" t="s">
        <v>173</v>
      </c>
    </row>
    <row r="95" spans="1:20">
      <c r="A95">
        <f t="shared" si="1"/>
        <v>94</v>
      </c>
      <c r="B95" s="66">
        <v>45916</v>
      </c>
      <c r="C95" t="s">
        <v>164</v>
      </c>
      <c r="D95">
        <v>210</v>
      </c>
      <c r="E95">
        <v>15</v>
      </c>
      <c r="F95">
        <v>0</v>
      </c>
      <c r="G95" t="s">
        <v>1510</v>
      </c>
      <c r="H95" t="s">
        <v>173</v>
      </c>
      <c r="I95">
        <v>45923</v>
      </c>
      <c r="J95" t="s">
        <v>164</v>
      </c>
      <c r="K95">
        <v>45944</v>
      </c>
      <c r="L95" t="s">
        <v>164</v>
      </c>
      <c r="M95" t="s">
        <v>168</v>
      </c>
      <c r="T95" t="s">
        <v>173</v>
      </c>
    </row>
    <row r="96" spans="1:20">
      <c r="A96">
        <f t="shared" si="1"/>
        <v>95</v>
      </c>
      <c r="B96" s="66">
        <v>45919</v>
      </c>
      <c r="C96" t="s">
        <v>174</v>
      </c>
      <c r="D96">
        <v>210</v>
      </c>
      <c r="E96">
        <v>8</v>
      </c>
      <c r="F96">
        <v>0</v>
      </c>
      <c r="G96" t="s">
        <v>1511</v>
      </c>
      <c r="H96" t="s">
        <v>173</v>
      </c>
      <c r="I96">
        <v>45926</v>
      </c>
      <c r="J96" t="s">
        <v>174</v>
      </c>
      <c r="K96">
        <v>45947</v>
      </c>
      <c r="L96" t="s">
        <v>174</v>
      </c>
      <c r="M96" t="s">
        <v>168</v>
      </c>
      <c r="T96" t="s">
        <v>173</v>
      </c>
    </row>
    <row r="97" spans="1:20">
      <c r="A97">
        <f t="shared" si="1"/>
        <v>96</v>
      </c>
      <c r="B97" s="66">
        <v>45933</v>
      </c>
      <c r="C97" t="s">
        <v>174</v>
      </c>
      <c r="D97">
        <v>210</v>
      </c>
      <c r="E97">
        <v>10</v>
      </c>
      <c r="F97">
        <v>0</v>
      </c>
      <c r="G97" t="s">
        <v>1512</v>
      </c>
      <c r="H97" t="s">
        <v>173</v>
      </c>
      <c r="I97">
        <v>45940</v>
      </c>
      <c r="J97" t="s">
        <v>174</v>
      </c>
      <c r="K97">
        <v>45961</v>
      </c>
      <c r="L97" t="s">
        <v>174</v>
      </c>
      <c r="T97" t="s">
        <v>173</v>
      </c>
    </row>
    <row r="98" spans="1:20">
      <c r="A98">
        <f t="shared" si="1"/>
        <v>97</v>
      </c>
      <c r="B98" s="66">
        <v>45934</v>
      </c>
      <c r="C98" t="s">
        <v>186</v>
      </c>
      <c r="D98">
        <v>210</v>
      </c>
      <c r="E98">
        <v>4</v>
      </c>
      <c r="F98">
        <v>0</v>
      </c>
      <c r="G98" t="s">
        <v>1513</v>
      </c>
      <c r="H98" t="s">
        <v>173</v>
      </c>
      <c r="I98">
        <v>45941</v>
      </c>
      <c r="J98" t="s">
        <v>186</v>
      </c>
      <c r="K98">
        <v>45962</v>
      </c>
      <c r="L98" t="s">
        <v>186</v>
      </c>
      <c r="M98" t="s">
        <v>168</v>
      </c>
      <c r="T98" t="s">
        <v>173</v>
      </c>
    </row>
    <row r="99" spans="1:20">
      <c r="A99">
        <f t="shared" si="1"/>
        <v>98</v>
      </c>
      <c r="B99" s="66">
        <v>45937</v>
      </c>
      <c r="C99" t="s">
        <v>164</v>
      </c>
      <c r="D99">
        <v>210</v>
      </c>
      <c r="E99">
        <v>8</v>
      </c>
      <c r="F99">
        <v>0</v>
      </c>
      <c r="G99" t="s">
        <v>1514</v>
      </c>
      <c r="H99" t="s">
        <v>173</v>
      </c>
      <c r="I99">
        <v>45944</v>
      </c>
      <c r="J99" t="s">
        <v>164</v>
      </c>
      <c r="K99">
        <v>45965</v>
      </c>
      <c r="L99" t="s">
        <v>164</v>
      </c>
      <c r="M99" t="s">
        <v>177</v>
      </c>
      <c r="T99" t="s">
        <v>173</v>
      </c>
    </row>
    <row r="100" spans="1:20">
      <c r="A100">
        <f t="shared" si="1"/>
        <v>99</v>
      </c>
      <c r="B100" s="66">
        <v>45939</v>
      </c>
      <c r="C100" t="s">
        <v>167</v>
      </c>
      <c r="D100">
        <v>210</v>
      </c>
      <c r="E100">
        <v>36</v>
      </c>
      <c r="F100">
        <v>1</v>
      </c>
      <c r="G100" t="s">
        <v>1515</v>
      </c>
      <c r="H100" t="s">
        <v>173</v>
      </c>
      <c r="I100">
        <v>45946</v>
      </c>
      <c r="J100" t="s">
        <v>167</v>
      </c>
      <c r="K100">
        <v>45967</v>
      </c>
      <c r="L100" t="s">
        <v>167</v>
      </c>
      <c r="M100" t="s">
        <v>177</v>
      </c>
      <c r="T100" t="s">
        <v>173</v>
      </c>
    </row>
    <row r="101" spans="1:20">
      <c r="A101">
        <f t="shared" si="1"/>
        <v>100</v>
      </c>
      <c r="B101" s="66">
        <v>45945</v>
      </c>
      <c r="C101" t="s">
        <v>288</v>
      </c>
      <c r="D101">
        <v>210</v>
      </c>
      <c r="E101">
        <v>6</v>
      </c>
      <c r="F101">
        <v>0</v>
      </c>
      <c r="G101" t="s">
        <v>1588</v>
      </c>
      <c r="H101" t="s">
        <v>173</v>
      </c>
      <c r="I101">
        <v>45952</v>
      </c>
      <c r="J101" t="s">
        <v>288</v>
      </c>
      <c r="K101">
        <v>45973</v>
      </c>
      <c r="L101" t="s">
        <v>288</v>
      </c>
      <c r="M101" t="s">
        <v>177</v>
      </c>
      <c r="T101" t="s">
        <v>173</v>
      </c>
    </row>
    <row r="102" spans="1:20">
      <c r="A102">
        <f t="shared" si="1"/>
        <v>101</v>
      </c>
      <c r="B102" s="66">
        <v>45946</v>
      </c>
      <c r="C102" t="s">
        <v>167</v>
      </c>
      <c r="D102">
        <v>210</v>
      </c>
      <c r="E102">
        <v>10</v>
      </c>
      <c r="F102">
        <v>0</v>
      </c>
      <c r="G102" t="s">
        <v>1589</v>
      </c>
      <c r="H102" t="s">
        <v>173</v>
      </c>
      <c r="I102">
        <v>45953</v>
      </c>
      <c r="J102" t="s">
        <v>167</v>
      </c>
      <c r="K102">
        <v>45974</v>
      </c>
      <c r="L102" t="s">
        <v>167</v>
      </c>
      <c r="M102" t="s">
        <v>177</v>
      </c>
      <c r="T102" t="s">
        <v>173</v>
      </c>
    </row>
    <row r="103" spans="1:20">
      <c r="A103">
        <f t="shared" si="1"/>
        <v>102</v>
      </c>
      <c r="B103" s="66">
        <v>45950</v>
      </c>
      <c r="C103" t="s">
        <v>189</v>
      </c>
      <c r="D103">
        <v>210</v>
      </c>
      <c r="E103">
        <v>48</v>
      </c>
      <c r="F103">
        <v>1</v>
      </c>
      <c r="G103" t="s">
        <v>1602</v>
      </c>
      <c r="H103" t="s">
        <v>173</v>
      </c>
      <c r="I103">
        <v>45957</v>
      </c>
      <c r="J103" t="s">
        <v>189</v>
      </c>
      <c r="K103">
        <v>45978</v>
      </c>
      <c r="L103" t="s">
        <v>189</v>
      </c>
      <c r="M103" t="s">
        <v>177</v>
      </c>
      <c r="S103" t="s">
        <v>535</v>
      </c>
      <c r="T103" t="s">
        <v>173</v>
      </c>
    </row>
    <row r="104" spans="1:20">
      <c r="A104">
        <f t="shared" si="1"/>
        <v>103</v>
      </c>
      <c r="B104" s="66">
        <v>45954</v>
      </c>
      <c r="C104" t="s">
        <v>174</v>
      </c>
      <c r="D104">
        <v>210</v>
      </c>
      <c r="E104">
        <v>21</v>
      </c>
      <c r="F104">
        <v>1</v>
      </c>
      <c r="G104" t="s">
        <v>1603</v>
      </c>
      <c r="H104" t="s">
        <v>173</v>
      </c>
      <c r="I104">
        <v>45961</v>
      </c>
      <c r="J104" t="s">
        <v>174</v>
      </c>
      <c r="K104">
        <v>45982</v>
      </c>
      <c r="L104" t="s">
        <v>174</v>
      </c>
      <c r="M104" t="s">
        <v>177</v>
      </c>
      <c r="T104" t="s">
        <v>173</v>
      </c>
    </row>
    <row r="105" spans="1:20">
      <c r="A105">
        <f t="shared" si="1"/>
        <v>104</v>
      </c>
      <c r="B105" s="66">
        <v>45969</v>
      </c>
      <c r="C105" t="s">
        <v>186</v>
      </c>
      <c r="D105">
        <v>210</v>
      </c>
      <c r="E105">
        <v>36</v>
      </c>
      <c r="F105">
        <v>1</v>
      </c>
      <c r="G105" t="s">
        <v>1675</v>
      </c>
      <c r="H105" t="s">
        <v>1005</v>
      </c>
      <c r="I105">
        <v>45976</v>
      </c>
      <c r="J105" t="s">
        <v>186</v>
      </c>
      <c r="K105">
        <v>45997</v>
      </c>
      <c r="L105" t="s">
        <v>186</v>
      </c>
      <c r="M105" t="s">
        <v>177</v>
      </c>
      <c r="S105" t="s">
        <v>535</v>
      </c>
      <c r="T105" t="s">
        <v>173</v>
      </c>
    </row>
    <row r="106" spans="1:20">
      <c r="A106">
        <f t="shared" si="1"/>
        <v>105</v>
      </c>
      <c r="B106" s="66">
        <v>45982</v>
      </c>
      <c r="C106" t="s">
        <v>174</v>
      </c>
      <c r="D106">
        <v>210</v>
      </c>
      <c r="E106">
        <v>8</v>
      </c>
      <c r="F106">
        <v>0</v>
      </c>
      <c r="G106" t="s">
        <v>1760</v>
      </c>
      <c r="H106" t="s">
        <v>173</v>
      </c>
      <c r="I106">
        <v>45989</v>
      </c>
      <c r="J106" t="s">
        <v>174</v>
      </c>
      <c r="K106">
        <v>46010</v>
      </c>
      <c r="L106" t="s">
        <v>174</v>
      </c>
      <c r="M106" t="s">
        <v>177</v>
      </c>
      <c r="T106" t="s">
        <v>173</v>
      </c>
    </row>
    <row r="107" spans="1:20">
      <c r="A107">
        <f t="shared" si="1"/>
        <v>106</v>
      </c>
      <c r="B107" s="66">
        <v>45983</v>
      </c>
      <c r="C107" t="s">
        <v>186</v>
      </c>
      <c r="D107">
        <v>210</v>
      </c>
      <c r="E107">
        <v>4</v>
      </c>
      <c r="F107">
        <v>0</v>
      </c>
      <c r="G107" t="s">
        <v>1761</v>
      </c>
      <c r="H107" t="s">
        <v>173</v>
      </c>
      <c r="I107">
        <v>45990</v>
      </c>
      <c r="J107" t="s">
        <v>186</v>
      </c>
      <c r="K107">
        <v>46011</v>
      </c>
      <c r="L107" t="s">
        <v>186</v>
      </c>
      <c r="M107" t="s">
        <v>177</v>
      </c>
      <c r="T107" t="s">
        <v>173</v>
      </c>
    </row>
    <row r="108" spans="1:20">
      <c r="A108">
        <f t="shared" si="1"/>
        <v>107</v>
      </c>
      <c r="B108" s="66">
        <v>45994</v>
      </c>
      <c r="C108" t="s">
        <v>288</v>
      </c>
      <c r="D108">
        <v>210</v>
      </c>
      <c r="E108">
        <v>19</v>
      </c>
      <c r="F108">
        <v>0</v>
      </c>
      <c r="G108" t="s">
        <v>1762</v>
      </c>
      <c r="H108" t="s">
        <v>173</v>
      </c>
      <c r="I108">
        <v>46001</v>
      </c>
      <c r="J108" t="s">
        <v>288</v>
      </c>
      <c r="K108">
        <v>46022</v>
      </c>
      <c r="L108" t="s">
        <v>288</v>
      </c>
      <c r="M108" t="s">
        <v>177</v>
      </c>
      <c r="T108" t="s">
        <v>173</v>
      </c>
    </row>
    <row r="109" spans="1:20">
      <c r="A109">
        <f t="shared" si="1"/>
        <v>108</v>
      </c>
      <c r="B109" s="66">
        <v>45997</v>
      </c>
      <c r="C109" t="s">
        <v>186</v>
      </c>
      <c r="D109">
        <v>210</v>
      </c>
      <c r="E109">
        <v>7</v>
      </c>
      <c r="F109">
        <v>1</v>
      </c>
      <c r="G109" t="s">
        <v>1764</v>
      </c>
      <c r="H109" t="s">
        <v>173</v>
      </c>
      <c r="I109">
        <v>46004</v>
      </c>
      <c r="J109" t="s">
        <v>186</v>
      </c>
      <c r="K109">
        <v>46025</v>
      </c>
      <c r="L109" t="s">
        <v>186</v>
      </c>
      <c r="M109" t="s">
        <v>177</v>
      </c>
      <c r="T109" t="s">
        <v>173</v>
      </c>
    </row>
    <row r="110" spans="1:20">
      <c r="A110">
        <f t="shared" si="1"/>
        <v>109</v>
      </c>
      <c r="B110" s="66">
        <v>46000</v>
      </c>
      <c r="C110" t="s">
        <v>164</v>
      </c>
      <c r="D110">
        <v>210</v>
      </c>
      <c r="E110">
        <v>33</v>
      </c>
      <c r="F110">
        <v>1</v>
      </c>
      <c r="G110" t="s">
        <v>1765</v>
      </c>
      <c r="H110" t="s">
        <v>645</v>
      </c>
      <c r="I110">
        <v>46007</v>
      </c>
      <c r="J110" t="s">
        <v>164</v>
      </c>
      <c r="K110">
        <v>46028</v>
      </c>
      <c r="L110" t="s">
        <v>164</v>
      </c>
      <c r="M110" t="s">
        <v>177</v>
      </c>
      <c r="S110" t="s">
        <v>535</v>
      </c>
      <c r="T110" t="s">
        <v>639</v>
      </c>
    </row>
    <row r="111" spans="1:20">
      <c r="A111">
        <f t="shared" si="1"/>
        <v>110</v>
      </c>
      <c r="B111" s="66">
        <v>46000</v>
      </c>
      <c r="C111" t="s">
        <v>164</v>
      </c>
      <c r="D111">
        <v>210</v>
      </c>
      <c r="E111">
        <v>12</v>
      </c>
      <c r="F111">
        <v>0</v>
      </c>
      <c r="G111" t="s">
        <v>1766</v>
      </c>
      <c r="H111" t="s">
        <v>173</v>
      </c>
      <c r="I111">
        <v>46007</v>
      </c>
      <c r="J111" t="s">
        <v>164</v>
      </c>
      <c r="K111">
        <v>46028</v>
      </c>
      <c r="L111" t="s">
        <v>164</v>
      </c>
      <c r="M111" t="s">
        <v>177</v>
      </c>
      <c r="T111" t="s">
        <v>173</v>
      </c>
    </row>
    <row r="112" spans="1:20">
      <c r="A112">
        <f t="shared" si="1"/>
        <v>111</v>
      </c>
      <c r="B112" s="66">
        <v>46006</v>
      </c>
      <c r="C112" t="s">
        <v>189</v>
      </c>
      <c r="D112">
        <v>210</v>
      </c>
      <c r="E112">
        <v>16</v>
      </c>
      <c r="F112">
        <v>0</v>
      </c>
      <c r="G112" t="s">
        <v>1795</v>
      </c>
      <c r="H112" t="s">
        <v>173</v>
      </c>
      <c r="I112">
        <v>46013</v>
      </c>
      <c r="J112" t="s">
        <v>189</v>
      </c>
      <c r="K112">
        <v>46034</v>
      </c>
      <c r="L112" t="s">
        <v>189</v>
      </c>
      <c r="M112" t="s">
        <v>177</v>
      </c>
      <c r="T112" t="s">
        <v>173</v>
      </c>
    </row>
    <row r="113" spans="1:20">
      <c r="A113">
        <f t="shared" si="1"/>
        <v>112</v>
      </c>
      <c r="B113" s="66">
        <v>46013</v>
      </c>
      <c r="C113" t="s">
        <v>189</v>
      </c>
      <c r="D113">
        <v>210</v>
      </c>
      <c r="E113">
        <v>53</v>
      </c>
      <c r="F113">
        <v>1</v>
      </c>
      <c r="G113" t="s">
        <v>1803</v>
      </c>
      <c r="H113" t="s">
        <v>1005</v>
      </c>
      <c r="I113">
        <v>46020</v>
      </c>
      <c r="J113" t="s">
        <v>189</v>
      </c>
      <c r="K113">
        <v>46041</v>
      </c>
      <c r="L113" t="s">
        <v>189</v>
      </c>
      <c r="M113" t="s">
        <v>177</v>
      </c>
      <c r="S113" t="s">
        <v>535</v>
      </c>
      <c r="T113" t="s">
        <v>173</v>
      </c>
    </row>
    <row r="114" spans="1:20">
      <c r="A114">
        <f t="shared" si="1"/>
        <v>113</v>
      </c>
      <c r="B114" s="66">
        <v>46016</v>
      </c>
      <c r="C114" t="s">
        <v>167</v>
      </c>
      <c r="D114">
        <v>210</v>
      </c>
      <c r="E114">
        <v>15</v>
      </c>
      <c r="F114">
        <v>0</v>
      </c>
      <c r="G114" t="s">
        <v>1804</v>
      </c>
      <c r="H114" t="s">
        <v>173</v>
      </c>
      <c r="I114">
        <v>46023</v>
      </c>
      <c r="J114" t="s">
        <v>167</v>
      </c>
      <c r="K114">
        <v>46044</v>
      </c>
      <c r="L114" t="s">
        <v>167</v>
      </c>
      <c r="M114" t="s">
        <v>177</v>
      </c>
      <c r="T114" t="s">
        <v>173</v>
      </c>
    </row>
    <row r="115" spans="1:20">
      <c r="A115">
        <f t="shared" si="1"/>
        <v>114</v>
      </c>
      <c r="B115" s="66">
        <v>46020</v>
      </c>
      <c r="C115" t="s">
        <v>189</v>
      </c>
      <c r="D115">
        <v>210</v>
      </c>
      <c r="E115">
        <v>14</v>
      </c>
      <c r="F115">
        <v>0</v>
      </c>
      <c r="G115" t="s">
        <v>1805</v>
      </c>
      <c r="H115" t="s">
        <v>173</v>
      </c>
      <c r="I115">
        <v>46027</v>
      </c>
      <c r="J115" t="s">
        <v>189</v>
      </c>
      <c r="K115">
        <v>46048</v>
      </c>
      <c r="L115" t="s">
        <v>189</v>
      </c>
      <c r="M115" t="s">
        <v>177</v>
      </c>
      <c r="T115" t="s">
        <v>173</v>
      </c>
    </row>
    <row r="116" spans="1:20">
      <c r="A116">
        <f t="shared" si="1"/>
        <v>115</v>
      </c>
      <c r="B116" s="66">
        <v>46027</v>
      </c>
      <c r="C116" t="s">
        <v>189</v>
      </c>
      <c r="D116">
        <v>210</v>
      </c>
      <c r="E116">
        <v>12</v>
      </c>
      <c r="F116">
        <v>0</v>
      </c>
      <c r="G116" t="s">
        <v>1912</v>
      </c>
      <c r="H116" t="s">
        <v>173</v>
      </c>
      <c r="I116">
        <v>46034</v>
      </c>
      <c r="J116" t="s">
        <v>189</v>
      </c>
      <c r="K116">
        <v>46055</v>
      </c>
      <c r="L116" t="s">
        <v>189</v>
      </c>
      <c r="M116" t="s">
        <v>177</v>
      </c>
      <c r="T116" t="s">
        <v>173</v>
      </c>
    </row>
    <row r="117" spans="1:20">
      <c r="A117">
        <f t="shared" si="1"/>
        <v>116</v>
      </c>
      <c r="B117" s="66">
        <v>46046</v>
      </c>
      <c r="C117" t="s">
        <v>186</v>
      </c>
      <c r="D117">
        <v>210</v>
      </c>
      <c r="E117">
        <v>50</v>
      </c>
      <c r="F117">
        <v>1</v>
      </c>
      <c r="G117" t="s">
        <v>1913</v>
      </c>
      <c r="H117" t="s">
        <v>1005</v>
      </c>
      <c r="I117">
        <v>46053</v>
      </c>
      <c r="J117" t="s">
        <v>186</v>
      </c>
      <c r="K117">
        <v>46074</v>
      </c>
      <c r="L117" t="s">
        <v>186</v>
      </c>
      <c r="M117" t="s">
        <v>177</v>
      </c>
      <c r="S117" t="s">
        <v>535</v>
      </c>
      <c r="T117" t="s">
        <v>173</v>
      </c>
    </row>
  </sheetData>
  <autoFilter ref="A1:T117" xr:uid="{00000000-0001-0000-1B00-000000000000}"/>
  <phoneticPr fontId="1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P21" sqref="P21"/>
    </sheetView>
  </sheetViews>
  <sheetFormatPr defaultRowHeight="16.5"/>
  <cols>
    <col min="2" max="2" width="10.5" bestFit="1" customWidth="1"/>
    <col min="8" max="8" width="23.875"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6">
        <v>45181</v>
      </c>
      <c r="C2" t="s">
        <v>164</v>
      </c>
      <c r="D2">
        <v>280</v>
      </c>
      <c r="E2">
        <v>0</v>
      </c>
      <c r="F2">
        <v>1</v>
      </c>
      <c r="G2" t="s">
        <v>165</v>
      </c>
      <c r="H2" t="s">
        <v>166</v>
      </c>
      <c r="I2">
        <v>45188</v>
      </c>
      <c r="J2" t="s">
        <v>164</v>
      </c>
      <c r="K2">
        <v>45211</v>
      </c>
      <c r="L2" t="s">
        <v>167</v>
      </c>
      <c r="M2" t="s">
        <v>168</v>
      </c>
      <c r="N2" t="s">
        <v>169</v>
      </c>
      <c r="O2" t="s">
        <v>170</v>
      </c>
      <c r="P2" t="s">
        <v>170</v>
      </c>
      <c r="Q2" t="s">
        <v>170</v>
      </c>
      <c r="R2" t="s">
        <v>171</v>
      </c>
      <c r="S2" t="s">
        <v>172</v>
      </c>
      <c r="T2" t="s">
        <v>173</v>
      </c>
    </row>
    <row r="3" spans="1:20">
      <c r="A3">
        <v>2</v>
      </c>
      <c r="B3" s="66">
        <v>45563</v>
      </c>
      <c r="C3" s="65" t="s">
        <v>186</v>
      </c>
      <c r="D3">
        <v>280</v>
      </c>
      <c r="E3">
        <v>72</v>
      </c>
      <c r="F3">
        <v>1</v>
      </c>
      <c r="G3" t="s">
        <v>542</v>
      </c>
      <c r="H3" s="65" t="s">
        <v>534</v>
      </c>
      <c r="I3" s="68">
        <v>45570</v>
      </c>
      <c r="J3" s="65" t="s">
        <v>186</v>
      </c>
      <c r="K3" s="68">
        <v>45591</v>
      </c>
      <c r="L3" s="65" t="s">
        <v>186</v>
      </c>
      <c r="M3" t="s">
        <v>177</v>
      </c>
      <c r="N3" t="s">
        <v>284</v>
      </c>
      <c r="S3" t="s">
        <v>535</v>
      </c>
      <c r="T3" s="65" t="s">
        <v>532</v>
      </c>
    </row>
    <row r="4" spans="1:20">
      <c r="A4">
        <v>3</v>
      </c>
      <c r="B4" s="66">
        <v>45584</v>
      </c>
      <c r="C4" t="s">
        <v>186</v>
      </c>
      <c r="D4">
        <v>280</v>
      </c>
      <c r="E4">
        <v>35</v>
      </c>
      <c r="F4">
        <v>1</v>
      </c>
      <c r="G4" t="s">
        <v>543</v>
      </c>
      <c r="H4" t="s">
        <v>534</v>
      </c>
      <c r="I4">
        <v>45591</v>
      </c>
      <c r="J4" t="s">
        <v>186</v>
      </c>
      <c r="K4">
        <v>45612</v>
      </c>
      <c r="L4" t="s">
        <v>186</v>
      </c>
      <c r="M4" t="s">
        <v>191</v>
      </c>
      <c r="N4" t="s">
        <v>284</v>
      </c>
      <c r="S4" t="s">
        <v>535</v>
      </c>
      <c r="T4" t="s">
        <v>532</v>
      </c>
    </row>
    <row r="5" spans="1:20">
      <c r="A5">
        <v>4</v>
      </c>
      <c r="B5" s="66">
        <v>45649</v>
      </c>
      <c r="C5" t="s">
        <v>189</v>
      </c>
      <c r="D5">
        <v>280</v>
      </c>
      <c r="E5">
        <v>8</v>
      </c>
      <c r="F5">
        <v>0</v>
      </c>
      <c r="G5" t="s">
        <v>708</v>
      </c>
      <c r="H5" t="s">
        <v>639</v>
      </c>
      <c r="I5">
        <v>45656</v>
      </c>
      <c r="J5" t="s">
        <v>189</v>
      </c>
      <c r="K5">
        <v>45677</v>
      </c>
      <c r="L5" t="s">
        <v>189</v>
      </c>
      <c r="M5" t="s">
        <v>168</v>
      </c>
      <c r="N5" t="s">
        <v>699</v>
      </c>
      <c r="T5" t="s">
        <v>639</v>
      </c>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sheetData>
  <autoFilter ref="A1:T1" xr:uid="{00000000-0009-0000-0000-00001C000000}"/>
  <phoneticPr fontId="1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E4" sqref="E4"/>
    </sheetView>
  </sheetViews>
  <sheetFormatPr defaultRowHeight="16.5"/>
  <cols>
    <col min="2" max="2" width="9.75" bestFit="1" customWidth="1"/>
    <col min="8" max="8" width="23.875" customWidth="1"/>
    <col min="9" max="9" width="9.625" bestFit="1" customWidth="1"/>
    <col min="11" max="11" width="10.75" bestFit="1"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7">
        <v>45609</v>
      </c>
      <c r="C2" t="s">
        <v>288</v>
      </c>
      <c r="D2">
        <v>420</v>
      </c>
      <c r="E2">
        <v>2</v>
      </c>
      <c r="F2">
        <v>2</v>
      </c>
      <c r="G2" t="s">
        <v>652</v>
      </c>
      <c r="H2" t="s">
        <v>716</v>
      </c>
      <c r="I2" s="67">
        <v>45616</v>
      </c>
      <c r="J2" t="s">
        <v>288</v>
      </c>
      <c r="K2" s="67">
        <v>45637</v>
      </c>
      <c r="L2" t="s">
        <v>288</v>
      </c>
      <c r="M2" t="s">
        <v>177</v>
      </c>
      <c r="N2" t="s">
        <v>284</v>
      </c>
      <c r="O2" t="s">
        <v>475</v>
      </c>
      <c r="R2" t="s">
        <v>171</v>
      </c>
      <c r="S2" t="s">
        <v>521</v>
      </c>
      <c r="T2" t="s">
        <v>643</v>
      </c>
    </row>
    <row r="3" spans="1:20">
      <c r="A3">
        <v>2</v>
      </c>
      <c r="B3" s="67">
        <v>45609</v>
      </c>
      <c r="C3" t="s">
        <v>288</v>
      </c>
      <c r="D3">
        <v>420</v>
      </c>
      <c r="E3">
        <v>11</v>
      </c>
      <c r="F3">
        <v>11</v>
      </c>
      <c r="G3" t="s">
        <v>652</v>
      </c>
      <c r="H3" t="s">
        <v>717</v>
      </c>
      <c r="I3" s="67">
        <v>45616</v>
      </c>
      <c r="J3" t="s">
        <v>288</v>
      </c>
      <c r="K3" s="67">
        <v>45637</v>
      </c>
      <c r="L3" t="s">
        <v>288</v>
      </c>
      <c r="M3" t="s">
        <v>177</v>
      </c>
      <c r="N3" t="s">
        <v>284</v>
      </c>
      <c r="O3" t="s">
        <v>475</v>
      </c>
      <c r="S3" t="s">
        <v>521</v>
      </c>
      <c r="T3" t="s">
        <v>643</v>
      </c>
    </row>
    <row r="4" spans="1:20">
      <c r="B4" s="67"/>
      <c r="I4" s="67"/>
      <c r="K4" s="67"/>
    </row>
    <row r="5" spans="1:20">
      <c r="B5" s="66"/>
      <c r="C5" s="65"/>
      <c r="G5" s="65"/>
      <c r="I5" s="67"/>
      <c r="J5" s="65"/>
      <c r="K5" s="67"/>
      <c r="L5" s="65"/>
    </row>
    <row r="6" spans="1:20">
      <c r="B6" s="66"/>
      <c r="G6" s="65"/>
      <c r="I6" s="67"/>
      <c r="K6" s="67"/>
      <c r="N6" s="65"/>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20000000}"/>
  <phoneticPr fontId="1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2" sqref="F2"/>
    </sheetView>
  </sheetViews>
  <sheetFormatPr defaultRowHeight="16.5"/>
  <cols>
    <col min="2" max="2" width="9.625" bestFit="1" customWidth="1"/>
    <col min="7" max="7" width="30.25" customWidth="1"/>
    <col min="8" max="8" width="23.875"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v>45181</v>
      </c>
      <c r="C2" t="s">
        <v>164</v>
      </c>
      <c r="D2" t="s">
        <v>282</v>
      </c>
      <c r="E2">
        <v>0</v>
      </c>
      <c r="F2">
        <v>1</v>
      </c>
      <c r="G2" t="s">
        <v>165</v>
      </c>
      <c r="H2" t="s">
        <v>166</v>
      </c>
      <c r="I2">
        <v>45188</v>
      </c>
      <c r="J2" t="s">
        <v>164</v>
      </c>
      <c r="K2">
        <v>45211</v>
      </c>
      <c r="L2" t="s">
        <v>167</v>
      </c>
      <c r="M2" t="s">
        <v>168</v>
      </c>
      <c r="N2" t="s">
        <v>169</v>
      </c>
      <c r="O2" t="s">
        <v>170</v>
      </c>
      <c r="P2" t="s">
        <v>170</v>
      </c>
      <c r="Q2" t="s">
        <v>170</v>
      </c>
      <c r="R2" t="s">
        <v>171</v>
      </c>
      <c r="S2" t="s">
        <v>172</v>
      </c>
      <c r="T2" t="s">
        <v>173</v>
      </c>
    </row>
    <row r="3" spans="1:20">
      <c r="A3">
        <v>2</v>
      </c>
      <c r="B3">
        <v>45289</v>
      </c>
      <c r="C3" t="s">
        <v>174</v>
      </c>
      <c r="D3" t="s">
        <v>282</v>
      </c>
      <c r="E3">
        <v>58</v>
      </c>
      <c r="F3">
        <v>1</v>
      </c>
      <c r="G3" t="s">
        <v>175</v>
      </c>
      <c r="H3" t="s">
        <v>180</v>
      </c>
      <c r="I3">
        <v>45296</v>
      </c>
      <c r="J3" t="s">
        <v>174</v>
      </c>
      <c r="K3">
        <v>45317</v>
      </c>
      <c r="L3" t="s">
        <v>174</v>
      </c>
      <c r="M3" t="s">
        <v>177</v>
      </c>
      <c r="N3" t="s">
        <v>178</v>
      </c>
      <c r="O3" t="s">
        <v>170</v>
      </c>
      <c r="P3" t="s">
        <v>170</v>
      </c>
      <c r="Q3" t="s">
        <v>170</v>
      </c>
      <c r="S3" t="s">
        <v>172</v>
      </c>
      <c r="T3" t="s">
        <v>173</v>
      </c>
    </row>
    <row r="4" spans="1:20">
      <c r="A4">
        <v>3</v>
      </c>
      <c r="B4">
        <v>45296</v>
      </c>
      <c r="C4" t="s">
        <v>174</v>
      </c>
      <c r="D4" t="s">
        <v>282</v>
      </c>
      <c r="E4">
        <v>58</v>
      </c>
      <c r="F4">
        <v>1</v>
      </c>
      <c r="G4" t="s">
        <v>179</v>
      </c>
      <c r="H4" t="s">
        <v>180</v>
      </c>
      <c r="I4">
        <v>45303</v>
      </c>
      <c r="J4" t="s">
        <v>174</v>
      </c>
      <c r="K4">
        <v>45324</v>
      </c>
      <c r="L4" t="s">
        <v>174</v>
      </c>
      <c r="M4" t="s">
        <v>177</v>
      </c>
      <c r="N4" t="s">
        <v>178</v>
      </c>
      <c r="O4" t="s">
        <v>170</v>
      </c>
      <c r="P4" t="s">
        <v>170</v>
      </c>
      <c r="Q4" t="s">
        <v>170</v>
      </c>
      <c r="S4" t="s">
        <v>172</v>
      </c>
      <c r="T4" t="s">
        <v>173</v>
      </c>
    </row>
    <row r="5" spans="1:20">
      <c r="A5">
        <v>4</v>
      </c>
      <c r="B5">
        <v>45300</v>
      </c>
      <c r="C5" t="s">
        <v>164</v>
      </c>
      <c r="D5" t="s">
        <v>282</v>
      </c>
      <c r="E5">
        <v>58</v>
      </c>
      <c r="F5">
        <v>1</v>
      </c>
      <c r="G5" t="s">
        <v>181</v>
      </c>
      <c r="H5" t="s">
        <v>176</v>
      </c>
      <c r="I5">
        <v>45307</v>
      </c>
      <c r="J5" t="s">
        <v>164</v>
      </c>
      <c r="K5">
        <v>45328</v>
      </c>
      <c r="L5" t="s">
        <v>164</v>
      </c>
      <c r="M5" t="s">
        <v>177</v>
      </c>
      <c r="N5" t="s">
        <v>178</v>
      </c>
      <c r="O5" t="s">
        <v>170</v>
      </c>
      <c r="P5" t="s">
        <v>170</v>
      </c>
      <c r="Q5" t="s">
        <v>170</v>
      </c>
      <c r="S5" t="s">
        <v>172</v>
      </c>
      <c r="T5" t="s">
        <v>208</v>
      </c>
    </row>
    <row r="6" spans="1:20">
      <c r="A6">
        <v>5</v>
      </c>
      <c r="B6">
        <v>45303</v>
      </c>
      <c r="C6" t="s">
        <v>174</v>
      </c>
      <c r="D6" t="s">
        <v>282</v>
      </c>
      <c r="E6">
        <v>58</v>
      </c>
      <c r="F6">
        <v>1</v>
      </c>
      <c r="G6" t="s">
        <v>182</v>
      </c>
      <c r="H6" t="s">
        <v>183</v>
      </c>
      <c r="I6">
        <v>45310</v>
      </c>
      <c r="J6" t="s">
        <v>174</v>
      </c>
      <c r="K6">
        <v>45331</v>
      </c>
      <c r="L6" t="s">
        <v>174</v>
      </c>
      <c r="M6" t="s">
        <v>177</v>
      </c>
      <c r="N6" t="s">
        <v>184</v>
      </c>
      <c r="O6" t="s">
        <v>170</v>
      </c>
      <c r="P6" t="s">
        <v>170</v>
      </c>
      <c r="Q6" t="s">
        <v>170</v>
      </c>
      <c r="R6" t="s">
        <v>171</v>
      </c>
      <c r="S6" t="s">
        <v>172</v>
      </c>
      <c r="T6" t="s">
        <v>208</v>
      </c>
    </row>
    <row r="7" spans="1:20">
      <c r="A7">
        <v>6</v>
      </c>
      <c r="B7">
        <v>45309</v>
      </c>
      <c r="C7" t="s">
        <v>167</v>
      </c>
      <c r="D7" t="s">
        <v>282</v>
      </c>
      <c r="E7">
        <v>58</v>
      </c>
      <c r="F7">
        <v>1</v>
      </c>
      <c r="G7" t="s">
        <v>185</v>
      </c>
      <c r="H7" t="s">
        <v>176</v>
      </c>
      <c r="I7">
        <v>45316</v>
      </c>
      <c r="J7" t="s">
        <v>167</v>
      </c>
      <c r="K7">
        <v>45337</v>
      </c>
      <c r="L7" t="s">
        <v>167</v>
      </c>
      <c r="M7" t="s">
        <v>177</v>
      </c>
      <c r="N7" t="s">
        <v>178</v>
      </c>
      <c r="O7" t="s">
        <v>170</v>
      </c>
      <c r="P7" t="s">
        <v>170</v>
      </c>
      <c r="Q7" t="s">
        <v>170</v>
      </c>
      <c r="S7" t="s">
        <v>172</v>
      </c>
      <c r="T7" t="s">
        <v>208</v>
      </c>
    </row>
    <row r="8" spans="1:20">
      <c r="A8">
        <v>7</v>
      </c>
      <c r="B8">
        <v>45311</v>
      </c>
      <c r="C8" t="s">
        <v>186</v>
      </c>
      <c r="D8" t="s">
        <v>282</v>
      </c>
      <c r="E8">
        <v>58</v>
      </c>
      <c r="F8">
        <v>1</v>
      </c>
      <c r="G8" t="s">
        <v>187</v>
      </c>
      <c r="H8" t="s">
        <v>209</v>
      </c>
      <c r="I8">
        <v>45318</v>
      </c>
      <c r="J8" t="s">
        <v>186</v>
      </c>
      <c r="K8">
        <v>45339</v>
      </c>
      <c r="L8" t="s">
        <v>186</v>
      </c>
      <c r="M8" t="s">
        <v>177</v>
      </c>
      <c r="N8" t="s">
        <v>178</v>
      </c>
      <c r="O8" t="s">
        <v>170</v>
      </c>
      <c r="P8" t="s">
        <v>170</v>
      </c>
      <c r="Q8" t="s">
        <v>170</v>
      </c>
      <c r="S8" t="s">
        <v>210</v>
      </c>
      <c r="T8" t="s">
        <v>208</v>
      </c>
    </row>
    <row r="9" spans="1:20">
      <c r="A9">
        <v>8</v>
      </c>
      <c r="B9">
        <v>45314</v>
      </c>
      <c r="C9" t="s">
        <v>164</v>
      </c>
      <c r="D9" t="s">
        <v>282</v>
      </c>
      <c r="E9">
        <v>58</v>
      </c>
      <c r="F9">
        <v>1</v>
      </c>
      <c r="G9" t="s">
        <v>188</v>
      </c>
      <c r="H9" t="s">
        <v>209</v>
      </c>
      <c r="I9">
        <v>45321</v>
      </c>
      <c r="J9" t="s">
        <v>164</v>
      </c>
      <c r="K9">
        <v>45342</v>
      </c>
      <c r="L9" t="s">
        <v>164</v>
      </c>
      <c r="M9" t="s">
        <v>177</v>
      </c>
      <c r="N9" t="s">
        <v>178</v>
      </c>
      <c r="O9" t="s">
        <v>170</v>
      </c>
      <c r="P9" t="s">
        <v>170</v>
      </c>
      <c r="Q9" t="s">
        <v>170</v>
      </c>
      <c r="S9" t="s">
        <v>210</v>
      </c>
      <c r="T9" t="s">
        <v>208</v>
      </c>
    </row>
    <row r="10" spans="1:20">
      <c r="A10">
        <v>9</v>
      </c>
      <c r="B10">
        <v>45320</v>
      </c>
      <c r="C10" t="s">
        <v>189</v>
      </c>
      <c r="D10" t="s">
        <v>282</v>
      </c>
      <c r="E10">
        <v>58</v>
      </c>
      <c r="F10">
        <v>1</v>
      </c>
      <c r="G10" t="s">
        <v>190</v>
      </c>
      <c r="H10" t="s">
        <v>209</v>
      </c>
      <c r="I10">
        <v>45327</v>
      </c>
      <c r="J10" t="s">
        <v>189</v>
      </c>
      <c r="K10">
        <v>45348</v>
      </c>
      <c r="L10" t="s">
        <v>189</v>
      </c>
      <c r="M10" t="s">
        <v>191</v>
      </c>
      <c r="N10" t="s">
        <v>178</v>
      </c>
      <c r="O10" t="s">
        <v>170</v>
      </c>
      <c r="P10" t="s">
        <v>170</v>
      </c>
      <c r="Q10" t="s">
        <v>170</v>
      </c>
      <c r="S10" t="s">
        <v>210</v>
      </c>
      <c r="T10" t="s">
        <v>208</v>
      </c>
    </row>
    <row r="11" spans="1:20">
      <c r="A11">
        <v>10</v>
      </c>
      <c r="B11">
        <v>45321</v>
      </c>
      <c r="C11" t="s">
        <v>164</v>
      </c>
      <c r="D11" t="s">
        <v>282</v>
      </c>
      <c r="E11">
        <v>41</v>
      </c>
      <c r="F11">
        <v>1</v>
      </c>
      <c r="G11" t="s">
        <v>192</v>
      </c>
      <c r="H11" t="s">
        <v>209</v>
      </c>
      <c r="I11">
        <v>45328</v>
      </c>
      <c r="J11" t="s">
        <v>164</v>
      </c>
      <c r="K11">
        <v>45349</v>
      </c>
      <c r="L11" t="s">
        <v>164</v>
      </c>
      <c r="M11" t="s">
        <v>177</v>
      </c>
      <c r="N11" t="s">
        <v>178</v>
      </c>
      <c r="O11" t="s">
        <v>170</v>
      </c>
      <c r="P11" t="s">
        <v>170</v>
      </c>
      <c r="Q11" t="s">
        <v>170</v>
      </c>
      <c r="S11" t="s">
        <v>210</v>
      </c>
      <c r="T11" t="s">
        <v>208</v>
      </c>
    </row>
    <row r="12" spans="1:20">
      <c r="A12">
        <v>11</v>
      </c>
      <c r="B12">
        <v>45323</v>
      </c>
      <c r="C12" t="s">
        <v>167</v>
      </c>
      <c r="D12" t="s">
        <v>282</v>
      </c>
      <c r="E12">
        <v>62</v>
      </c>
      <c r="F12">
        <v>1</v>
      </c>
      <c r="G12" t="s">
        <v>193</v>
      </c>
      <c r="H12" t="s">
        <v>209</v>
      </c>
      <c r="I12">
        <v>45330</v>
      </c>
      <c r="J12" t="s">
        <v>167</v>
      </c>
      <c r="K12">
        <v>45351</v>
      </c>
      <c r="L12" t="s">
        <v>167</v>
      </c>
      <c r="M12" t="s">
        <v>191</v>
      </c>
      <c r="N12" t="s">
        <v>178</v>
      </c>
      <c r="O12" t="s">
        <v>170</v>
      </c>
      <c r="P12" t="s">
        <v>170</v>
      </c>
      <c r="Q12" t="s">
        <v>170</v>
      </c>
      <c r="S12" t="s">
        <v>210</v>
      </c>
      <c r="T12" t="s">
        <v>208</v>
      </c>
    </row>
    <row r="13" spans="1:20">
      <c r="A13">
        <v>12</v>
      </c>
      <c r="B13">
        <v>45401</v>
      </c>
      <c r="C13" t="s">
        <v>174</v>
      </c>
      <c r="D13" t="s">
        <v>282</v>
      </c>
      <c r="E13">
        <v>58</v>
      </c>
      <c r="F13">
        <v>1</v>
      </c>
      <c r="G13" t="s">
        <v>283</v>
      </c>
      <c r="H13" t="s">
        <v>209</v>
      </c>
      <c r="I13">
        <v>45408</v>
      </c>
      <c r="J13" t="s">
        <v>174</v>
      </c>
      <c r="K13">
        <v>45429</v>
      </c>
      <c r="L13" t="s">
        <v>174</v>
      </c>
      <c r="M13" t="s">
        <v>177</v>
      </c>
      <c r="N13" t="s">
        <v>284</v>
      </c>
      <c r="O13" t="s">
        <v>170</v>
      </c>
      <c r="P13" t="s">
        <v>170</v>
      </c>
      <c r="S13" t="s">
        <v>210</v>
      </c>
      <c r="T13" t="s">
        <v>208</v>
      </c>
    </row>
    <row r="14" spans="1:20">
      <c r="A14">
        <v>13</v>
      </c>
      <c r="B14">
        <v>45404</v>
      </c>
      <c r="C14" t="s">
        <v>189</v>
      </c>
      <c r="D14" t="s">
        <v>282</v>
      </c>
      <c r="E14">
        <v>58</v>
      </c>
      <c r="F14">
        <v>1</v>
      </c>
      <c r="G14" t="s">
        <v>285</v>
      </c>
      <c r="H14" t="s">
        <v>209</v>
      </c>
      <c r="I14">
        <v>45411</v>
      </c>
      <c r="J14" t="s">
        <v>189</v>
      </c>
      <c r="K14">
        <v>45432</v>
      </c>
      <c r="L14" t="s">
        <v>189</v>
      </c>
      <c r="M14" t="s">
        <v>177</v>
      </c>
      <c r="N14" t="s">
        <v>284</v>
      </c>
      <c r="O14" t="s">
        <v>170</v>
      </c>
      <c r="P14" t="s">
        <v>170</v>
      </c>
      <c r="S14" t="s">
        <v>210</v>
      </c>
      <c r="T14" t="s">
        <v>208</v>
      </c>
    </row>
    <row r="15" spans="1:20">
      <c r="A15">
        <v>14</v>
      </c>
      <c r="B15">
        <v>45407</v>
      </c>
      <c r="C15" t="s">
        <v>167</v>
      </c>
      <c r="D15" t="s">
        <v>282</v>
      </c>
      <c r="E15">
        <v>58</v>
      </c>
      <c r="F15">
        <v>1</v>
      </c>
      <c r="G15" t="s">
        <v>286</v>
      </c>
      <c r="H15" t="s">
        <v>209</v>
      </c>
      <c r="I15">
        <v>45414</v>
      </c>
      <c r="J15" t="s">
        <v>167</v>
      </c>
      <c r="K15">
        <v>45435</v>
      </c>
      <c r="L15" t="s">
        <v>167</v>
      </c>
      <c r="M15" t="s">
        <v>191</v>
      </c>
      <c r="N15" t="s">
        <v>284</v>
      </c>
      <c r="S15" t="s">
        <v>210</v>
      </c>
      <c r="T15" t="s">
        <v>208</v>
      </c>
    </row>
    <row r="16" spans="1:20">
      <c r="A16">
        <v>15</v>
      </c>
      <c r="B16">
        <v>45416</v>
      </c>
      <c r="C16" t="s">
        <v>186</v>
      </c>
      <c r="D16" t="s">
        <v>282</v>
      </c>
      <c r="E16">
        <v>62</v>
      </c>
      <c r="F16">
        <v>1</v>
      </c>
      <c r="G16" t="s">
        <v>287</v>
      </c>
      <c r="H16" t="s">
        <v>209</v>
      </c>
      <c r="I16">
        <v>45423</v>
      </c>
      <c r="J16" t="s">
        <v>186</v>
      </c>
      <c r="K16">
        <v>45444</v>
      </c>
      <c r="L16" t="s">
        <v>186</v>
      </c>
      <c r="M16" t="s">
        <v>177</v>
      </c>
      <c r="N16" t="s">
        <v>284</v>
      </c>
      <c r="S16" t="s">
        <v>210</v>
      </c>
      <c r="T16" t="s">
        <v>208</v>
      </c>
    </row>
    <row r="17" spans="1:20">
      <c r="A17">
        <v>16</v>
      </c>
      <c r="B17">
        <v>45422</v>
      </c>
      <c r="C17" t="s">
        <v>174</v>
      </c>
      <c r="D17" t="s">
        <v>282</v>
      </c>
      <c r="E17">
        <v>62</v>
      </c>
      <c r="F17">
        <v>1</v>
      </c>
      <c r="G17" t="s">
        <v>326</v>
      </c>
      <c r="H17" t="s">
        <v>209</v>
      </c>
      <c r="I17">
        <v>45429</v>
      </c>
      <c r="J17" t="s">
        <v>174</v>
      </c>
      <c r="K17">
        <v>45450</v>
      </c>
      <c r="L17" t="s">
        <v>174</v>
      </c>
      <c r="M17" t="s">
        <v>177</v>
      </c>
      <c r="N17" t="s">
        <v>284</v>
      </c>
      <c r="S17" t="s">
        <v>210</v>
      </c>
      <c r="T17" t="s">
        <v>208</v>
      </c>
    </row>
    <row r="18" spans="1:20">
      <c r="A18">
        <v>17</v>
      </c>
      <c r="B18">
        <v>45426</v>
      </c>
      <c r="C18" t="s">
        <v>164</v>
      </c>
      <c r="D18" t="s">
        <v>282</v>
      </c>
      <c r="E18">
        <v>65</v>
      </c>
      <c r="F18">
        <v>1</v>
      </c>
      <c r="G18" t="s">
        <v>327</v>
      </c>
      <c r="H18" t="s">
        <v>209</v>
      </c>
      <c r="I18">
        <v>45433</v>
      </c>
      <c r="J18" t="s">
        <v>164</v>
      </c>
      <c r="K18">
        <v>45454</v>
      </c>
      <c r="L18" t="s">
        <v>164</v>
      </c>
      <c r="M18" t="s">
        <v>177</v>
      </c>
      <c r="N18" t="s">
        <v>284</v>
      </c>
      <c r="S18" t="s">
        <v>210</v>
      </c>
      <c r="T18" t="s">
        <v>208</v>
      </c>
    </row>
  </sheetData>
  <autoFilter ref="A1:T1" xr:uid="{00000000-0009-0000-0000-00001D000000}"/>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zoomScale="85" zoomScaleNormal="85" workbookViewId="0">
      <selection activeCell="F21" sqref="F2:F21"/>
    </sheetView>
  </sheetViews>
  <sheetFormatPr defaultRowHeight="16.5"/>
  <cols>
    <col min="2" max="2" width="10.75" style="73" bestFit="1" customWidth="1"/>
    <col min="7" max="7" width="41.875" customWidth="1"/>
    <col min="8" max="8" width="23.875" customWidth="1"/>
  </cols>
  <sheetData>
    <row r="1" spans="1:20">
      <c r="A1" s="72" t="s">
        <v>146</v>
      </c>
      <c r="B1" s="73" t="s">
        <v>147</v>
      </c>
      <c r="C1" s="72" t="s">
        <v>148</v>
      </c>
      <c r="D1" s="72" t="s">
        <v>149</v>
      </c>
      <c r="E1" s="72" t="s">
        <v>150</v>
      </c>
      <c r="F1" s="72" t="s">
        <v>151</v>
      </c>
      <c r="G1" s="72" t="s">
        <v>152</v>
      </c>
      <c r="H1" s="72" t="s">
        <v>153</v>
      </c>
      <c r="I1" s="72" t="s">
        <v>154</v>
      </c>
      <c r="J1" s="72" t="s">
        <v>148</v>
      </c>
      <c r="K1" s="72" t="s">
        <v>155</v>
      </c>
      <c r="L1" s="72" t="s">
        <v>148</v>
      </c>
      <c r="M1" s="72" t="s">
        <v>156</v>
      </c>
      <c r="N1" s="72" t="s">
        <v>157</v>
      </c>
      <c r="O1" s="72" t="s">
        <v>158</v>
      </c>
      <c r="P1" s="72" t="s">
        <v>159</v>
      </c>
      <c r="Q1" s="72" t="s">
        <v>160</v>
      </c>
      <c r="R1" s="72" t="s">
        <v>161</v>
      </c>
      <c r="S1" s="72" t="s">
        <v>162</v>
      </c>
      <c r="T1" s="72" t="s">
        <v>163</v>
      </c>
    </row>
    <row r="2" spans="1:20">
      <c r="A2" s="72">
        <v>1</v>
      </c>
      <c r="B2" s="73">
        <v>45344</v>
      </c>
      <c r="C2" s="72" t="s">
        <v>167</v>
      </c>
      <c r="D2" s="72" t="s">
        <v>195</v>
      </c>
      <c r="E2" s="72">
        <v>98</v>
      </c>
      <c r="F2" s="72">
        <v>1</v>
      </c>
      <c r="G2" s="72" t="s">
        <v>196</v>
      </c>
      <c r="H2" s="72" t="s">
        <v>176</v>
      </c>
      <c r="I2" s="72">
        <v>45351</v>
      </c>
      <c r="J2" s="72" t="s">
        <v>167</v>
      </c>
      <c r="K2" s="72">
        <v>45372</v>
      </c>
      <c r="L2" s="72" t="s">
        <v>167</v>
      </c>
      <c r="M2" s="72" t="s">
        <v>177</v>
      </c>
      <c r="N2" s="72" t="s">
        <v>178</v>
      </c>
      <c r="O2" s="72" t="s">
        <v>475</v>
      </c>
      <c r="P2" s="72" t="s">
        <v>475</v>
      </c>
      <c r="Q2" s="72" t="s">
        <v>475</v>
      </c>
      <c r="R2" s="72"/>
      <c r="S2" s="72" t="s">
        <v>172</v>
      </c>
      <c r="T2" s="72" t="s">
        <v>208</v>
      </c>
    </row>
    <row r="3" spans="1:20">
      <c r="A3" s="72">
        <v>2</v>
      </c>
      <c r="B3" s="73">
        <v>45358</v>
      </c>
      <c r="C3" s="72" t="s">
        <v>167</v>
      </c>
      <c r="D3" s="72" t="s">
        <v>195</v>
      </c>
      <c r="E3" s="72">
        <v>60</v>
      </c>
      <c r="F3" s="72">
        <v>1</v>
      </c>
      <c r="G3" s="72" t="s">
        <v>198</v>
      </c>
      <c r="H3" s="72" t="s">
        <v>209</v>
      </c>
      <c r="I3" s="72">
        <v>45365</v>
      </c>
      <c r="J3" s="72" t="s">
        <v>167</v>
      </c>
      <c r="K3" s="72">
        <v>45386</v>
      </c>
      <c r="L3" s="72" t="s">
        <v>167</v>
      </c>
      <c r="M3" s="72" t="s">
        <v>177</v>
      </c>
      <c r="N3" s="72" t="s">
        <v>178</v>
      </c>
      <c r="O3" s="72" t="s">
        <v>475</v>
      </c>
      <c r="P3" s="72" t="s">
        <v>475</v>
      </c>
      <c r="Q3" s="72" t="s">
        <v>475</v>
      </c>
      <c r="R3" s="72"/>
      <c r="S3" s="72" t="s">
        <v>210</v>
      </c>
      <c r="T3" s="72" t="s">
        <v>208</v>
      </c>
    </row>
    <row r="4" spans="1:20">
      <c r="A4" s="72">
        <v>3</v>
      </c>
      <c r="B4" s="73">
        <v>45364</v>
      </c>
      <c r="C4" s="72" t="s">
        <v>288</v>
      </c>
      <c r="D4" s="72" t="s">
        <v>195</v>
      </c>
      <c r="E4" s="72">
        <v>20</v>
      </c>
      <c r="F4" s="72">
        <v>1</v>
      </c>
      <c r="G4" s="72" t="s">
        <v>289</v>
      </c>
      <c r="H4" s="72" t="s">
        <v>209</v>
      </c>
      <c r="I4" s="72">
        <v>45371</v>
      </c>
      <c r="J4" s="72" t="s">
        <v>288</v>
      </c>
      <c r="K4" s="72">
        <v>45392</v>
      </c>
      <c r="L4" s="72" t="s">
        <v>288</v>
      </c>
      <c r="M4" s="72" t="s">
        <v>177</v>
      </c>
      <c r="N4" s="72" t="s">
        <v>178</v>
      </c>
      <c r="O4" s="72" t="s">
        <v>475</v>
      </c>
      <c r="P4" s="72" t="s">
        <v>475</v>
      </c>
      <c r="Q4" s="72" t="s">
        <v>475</v>
      </c>
      <c r="R4" s="72"/>
      <c r="S4" s="72" t="s">
        <v>210</v>
      </c>
      <c r="T4" s="72" t="s">
        <v>208</v>
      </c>
    </row>
    <row r="5" spans="1:20">
      <c r="A5" s="72">
        <v>4</v>
      </c>
      <c r="B5" s="73">
        <v>45378</v>
      </c>
      <c r="C5" s="72" t="s">
        <v>288</v>
      </c>
      <c r="D5" s="72" t="s">
        <v>195</v>
      </c>
      <c r="E5" s="72">
        <v>288</v>
      </c>
      <c r="F5" s="72">
        <v>3</v>
      </c>
      <c r="G5" s="72" t="s">
        <v>290</v>
      </c>
      <c r="H5" s="72" t="s">
        <v>209</v>
      </c>
      <c r="I5" s="72">
        <v>45385</v>
      </c>
      <c r="J5" s="72" t="s">
        <v>288</v>
      </c>
      <c r="K5" s="72">
        <v>45406</v>
      </c>
      <c r="L5" s="72" t="s">
        <v>288</v>
      </c>
      <c r="M5" s="72" t="s">
        <v>177</v>
      </c>
      <c r="N5" s="72" t="s">
        <v>284</v>
      </c>
      <c r="O5" s="72" t="s">
        <v>475</v>
      </c>
      <c r="P5" s="72" t="s">
        <v>475</v>
      </c>
      <c r="Q5" s="72" t="s">
        <v>475</v>
      </c>
      <c r="R5" s="72"/>
      <c r="S5" s="72" t="s">
        <v>210</v>
      </c>
      <c r="T5" s="72" t="s">
        <v>208</v>
      </c>
    </row>
    <row r="6" spans="1:20">
      <c r="A6" s="72">
        <v>5</v>
      </c>
      <c r="B6" s="73">
        <v>45385</v>
      </c>
      <c r="C6" s="72" t="s">
        <v>288</v>
      </c>
      <c r="D6" s="72" t="s">
        <v>195</v>
      </c>
      <c r="E6" s="72">
        <v>75</v>
      </c>
      <c r="F6" s="72">
        <v>1</v>
      </c>
      <c r="G6" s="72" t="s">
        <v>291</v>
      </c>
      <c r="H6" s="72" t="s">
        <v>209</v>
      </c>
      <c r="I6" s="72">
        <v>45392</v>
      </c>
      <c r="J6" s="72" t="s">
        <v>288</v>
      </c>
      <c r="K6" s="72">
        <v>45413</v>
      </c>
      <c r="L6" s="72" t="s">
        <v>288</v>
      </c>
      <c r="M6" s="72" t="s">
        <v>177</v>
      </c>
      <c r="N6" s="72" t="s">
        <v>284</v>
      </c>
      <c r="O6" s="72" t="s">
        <v>475</v>
      </c>
      <c r="P6" s="72" t="s">
        <v>475</v>
      </c>
      <c r="Q6" s="72" t="s">
        <v>475</v>
      </c>
      <c r="R6" s="72"/>
      <c r="S6" s="72" t="s">
        <v>210</v>
      </c>
      <c r="T6" s="72" t="s">
        <v>208</v>
      </c>
    </row>
    <row r="7" spans="1:20">
      <c r="A7" s="72">
        <v>6</v>
      </c>
      <c r="B7" s="73">
        <v>45401</v>
      </c>
      <c r="C7" s="72" t="s">
        <v>174</v>
      </c>
      <c r="D7" s="72" t="s">
        <v>195</v>
      </c>
      <c r="E7" s="72">
        <v>52</v>
      </c>
      <c r="F7" s="72">
        <v>1</v>
      </c>
      <c r="G7" s="72" t="s">
        <v>292</v>
      </c>
      <c r="H7" s="72" t="s">
        <v>209</v>
      </c>
      <c r="I7" s="72">
        <v>45408</v>
      </c>
      <c r="J7" s="72" t="s">
        <v>174</v>
      </c>
      <c r="K7" s="72">
        <v>45429</v>
      </c>
      <c r="L7" s="72" t="s">
        <v>174</v>
      </c>
      <c r="M7" s="72" t="s">
        <v>177</v>
      </c>
      <c r="N7" s="72" t="s">
        <v>284</v>
      </c>
      <c r="O7" s="72" t="s">
        <v>475</v>
      </c>
      <c r="P7" s="72" t="s">
        <v>475</v>
      </c>
      <c r="Q7" s="72" t="s">
        <v>475</v>
      </c>
      <c r="R7" s="72"/>
      <c r="S7" s="72" t="s">
        <v>210</v>
      </c>
      <c r="T7" s="72" t="s">
        <v>208</v>
      </c>
    </row>
    <row r="8" spans="1:20">
      <c r="A8" s="72">
        <v>7</v>
      </c>
      <c r="B8" s="73">
        <v>45404</v>
      </c>
      <c r="C8" s="72" t="s">
        <v>189</v>
      </c>
      <c r="D8" s="72" t="s">
        <v>195</v>
      </c>
      <c r="E8" s="72">
        <v>20</v>
      </c>
      <c r="F8" s="72">
        <v>1</v>
      </c>
      <c r="G8" s="72" t="s">
        <v>293</v>
      </c>
      <c r="H8" s="72" t="s">
        <v>209</v>
      </c>
      <c r="I8" s="74">
        <v>45411</v>
      </c>
      <c r="J8" s="72" t="s">
        <v>189</v>
      </c>
      <c r="K8" s="72">
        <v>45432</v>
      </c>
      <c r="L8" s="72" t="s">
        <v>189</v>
      </c>
      <c r="M8" s="72" t="s">
        <v>177</v>
      </c>
      <c r="N8" s="72" t="s">
        <v>284</v>
      </c>
      <c r="O8" s="72" t="s">
        <v>475</v>
      </c>
      <c r="P8" s="72" t="s">
        <v>475</v>
      </c>
      <c r="Q8" s="72" t="s">
        <v>475</v>
      </c>
      <c r="R8" s="72"/>
      <c r="S8" s="72" t="s">
        <v>210</v>
      </c>
      <c r="T8" s="72" t="s">
        <v>208</v>
      </c>
    </row>
    <row r="9" spans="1:20">
      <c r="A9" s="72">
        <v>8</v>
      </c>
      <c r="B9" s="73">
        <v>45439</v>
      </c>
      <c r="C9" s="72" t="s">
        <v>189</v>
      </c>
      <c r="D9" s="72" t="s">
        <v>195</v>
      </c>
      <c r="E9" s="72">
        <v>94</v>
      </c>
      <c r="F9" s="72">
        <v>1</v>
      </c>
      <c r="G9" s="75" t="s">
        <v>325</v>
      </c>
      <c r="H9" s="72" t="s">
        <v>209</v>
      </c>
      <c r="I9" s="76">
        <v>45446</v>
      </c>
      <c r="J9" s="72" t="s">
        <v>189</v>
      </c>
      <c r="K9" s="76">
        <v>45467</v>
      </c>
      <c r="L9" s="72" t="s">
        <v>189</v>
      </c>
      <c r="M9" s="72" t="s">
        <v>177</v>
      </c>
      <c r="N9" s="72" t="s">
        <v>284</v>
      </c>
      <c r="O9" s="72" t="s">
        <v>475</v>
      </c>
      <c r="P9" s="72" t="s">
        <v>475</v>
      </c>
      <c r="Q9" s="72" t="s">
        <v>475</v>
      </c>
      <c r="R9" s="72"/>
      <c r="S9" s="72" t="s">
        <v>210</v>
      </c>
      <c r="T9" s="72" t="s">
        <v>471</v>
      </c>
    </row>
    <row r="10" spans="1:20">
      <c r="A10" s="72">
        <v>9</v>
      </c>
      <c r="B10" s="73">
        <v>45439</v>
      </c>
      <c r="C10" s="72" t="s">
        <v>189</v>
      </c>
      <c r="D10" s="72" t="s">
        <v>195</v>
      </c>
      <c r="E10" s="72">
        <v>94</v>
      </c>
      <c r="F10" s="72">
        <v>1</v>
      </c>
      <c r="G10" s="75" t="s">
        <v>325</v>
      </c>
      <c r="H10" s="72" t="s">
        <v>209</v>
      </c>
      <c r="I10" s="76">
        <v>45446</v>
      </c>
      <c r="J10" s="72" t="s">
        <v>189</v>
      </c>
      <c r="K10" s="76">
        <v>45467</v>
      </c>
      <c r="L10" s="72" t="s">
        <v>189</v>
      </c>
      <c r="M10" s="72" t="s">
        <v>177</v>
      </c>
      <c r="N10" s="72" t="s">
        <v>284</v>
      </c>
      <c r="O10" s="72" t="s">
        <v>475</v>
      </c>
      <c r="P10" s="72" t="s">
        <v>475</v>
      </c>
      <c r="Q10" s="72" t="s">
        <v>475</v>
      </c>
      <c r="R10" s="72"/>
      <c r="S10" s="72" t="s">
        <v>210</v>
      </c>
      <c r="T10" s="72" t="s">
        <v>471</v>
      </c>
    </row>
    <row r="11" spans="1:20">
      <c r="A11" s="72">
        <v>10</v>
      </c>
      <c r="B11" s="73">
        <v>45442</v>
      </c>
      <c r="C11" s="72" t="s">
        <v>167</v>
      </c>
      <c r="D11" s="72" t="s">
        <v>195</v>
      </c>
      <c r="E11" s="72">
        <v>68</v>
      </c>
      <c r="F11" s="72">
        <v>1</v>
      </c>
      <c r="G11" s="75" t="s">
        <v>476</v>
      </c>
      <c r="H11" s="72" t="s">
        <v>470</v>
      </c>
      <c r="I11" s="76">
        <v>45449</v>
      </c>
      <c r="J11" s="72" t="s">
        <v>167</v>
      </c>
      <c r="K11" s="76">
        <v>45470</v>
      </c>
      <c r="L11" s="72" t="s">
        <v>167</v>
      </c>
      <c r="M11" s="72" t="s">
        <v>177</v>
      </c>
      <c r="N11" s="72" t="s">
        <v>284</v>
      </c>
      <c r="O11" s="72" t="s">
        <v>475</v>
      </c>
      <c r="P11" s="72" t="s">
        <v>475</v>
      </c>
      <c r="Q11" s="72" t="s">
        <v>475</v>
      </c>
      <c r="R11" s="72"/>
      <c r="S11" s="72" t="s">
        <v>210</v>
      </c>
      <c r="T11" s="72" t="s">
        <v>471</v>
      </c>
    </row>
    <row r="12" spans="1:20">
      <c r="A12" s="72">
        <v>11</v>
      </c>
      <c r="B12" s="73">
        <v>45444</v>
      </c>
      <c r="C12" s="72" t="s">
        <v>186</v>
      </c>
      <c r="D12" s="72" t="s">
        <v>195</v>
      </c>
      <c r="E12" s="72">
        <v>30</v>
      </c>
      <c r="F12" s="72">
        <v>1</v>
      </c>
      <c r="G12" s="75" t="s">
        <v>477</v>
      </c>
      <c r="H12" s="72" t="s">
        <v>470</v>
      </c>
      <c r="I12" s="76">
        <v>45451</v>
      </c>
      <c r="J12" s="72" t="s">
        <v>186</v>
      </c>
      <c r="K12" s="76">
        <v>45472</v>
      </c>
      <c r="L12" s="72" t="s">
        <v>186</v>
      </c>
      <c r="M12" s="72" t="s">
        <v>177</v>
      </c>
      <c r="N12" s="72" t="s">
        <v>284</v>
      </c>
      <c r="O12" s="72" t="s">
        <v>475</v>
      </c>
      <c r="P12" s="72" t="s">
        <v>475</v>
      </c>
      <c r="Q12" s="72" t="s">
        <v>475</v>
      </c>
      <c r="R12" s="72"/>
      <c r="S12" s="72" t="s">
        <v>210</v>
      </c>
      <c r="T12" s="72" t="s">
        <v>471</v>
      </c>
    </row>
    <row r="13" spans="1:20">
      <c r="A13" s="72">
        <v>12</v>
      </c>
      <c r="B13" s="73">
        <v>45447</v>
      </c>
      <c r="C13" s="75" t="s">
        <v>164</v>
      </c>
      <c r="D13" s="72" t="s">
        <v>195</v>
      </c>
      <c r="E13" s="72">
        <v>30</v>
      </c>
      <c r="F13" s="72">
        <v>1</v>
      </c>
      <c r="G13" s="75" t="s">
        <v>478</v>
      </c>
      <c r="H13" s="75" t="s">
        <v>470</v>
      </c>
      <c r="I13" s="76">
        <v>45454</v>
      </c>
      <c r="J13" s="75" t="s">
        <v>164</v>
      </c>
      <c r="K13" s="76">
        <v>45475</v>
      </c>
      <c r="L13" s="75" t="s">
        <v>164</v>
      </c>
      <c r="M13" s="72" t="s">
        <v>177</v>
      </c>
      <c r="N13" s="72" t="s">
        <v>284</v>
      </c>
      <c r="O13" s="72" t="s">
        <v>475</v>
      </c>
      <c r="P13" s="72" t="s">
        <v>475</v>
      </c>
      <c r="Q13" s="72" t="s">
        <v>475</v>
      </c>
      <c r="R13" s="72"/>
      <c r="S13" s="72" t="s">
        <v>210</v>
      </c>
      <c r="T13" s="75" t="s">
        <v>471</v>
      </c>
    </row>
    <row r="14" spans="1:20">
      <c r="A14" s="72">
        <v>13</v>
      </c>
      <c r="B14" s="73">
        <v>45454</v>
      </c>
      <c r="C14" s="75" t="s">
        <v>164</v>
      </c>
      <c r="D14" s="72" t="s">
        <v>195</v>
      </c>
      <c r="E14" s="72">
        <v>50</v>
      </c>
      <c r="F14" s="72">
        <v>1</v>
      </c>
      <c r="G14" s="75" t="s">
        <v>479</v>
      </c>
      <c r="H14" s="75" t="s">
        <v>470</v>
      </c>
      <c r="I14" s="76">
        <v>45461</v>
      </c>
      <c r="J14" s="75" t="s">
        <v>164</v>
      </c>
      <c r="K14" s="76">
        <v>45482</v>
      </c>
      <c r="L14" s="75" t="s">
        <v>164</v>
      </c>
      <c r="M14" s="72" t="s">
        <v>177</v>
      </c>
      <c r="N14" s="72" t="s">
        <v>284</v>
      </c>
      <c r="O14" s="72" t="s">
        <v>475</v>
      </c>
      <c r="P14" s="72" t="s">
        <v>475</v>
      </c>
      <c r="Q14" s="72" t="s">
        <v>475</v>
      </c>
      <c r="R14" s="72"/>
      <c r="S14" s="72" t="s">
        <v>210</v>
      </c>
      <c r="T14" s="75" t="s">
        <v>471</v>
      </c>
    </row>
    <row r="15" spans="1:20">
      <c r="A15" s="72">
        <v>14</v>
      </c>
      <c r="B15" s="73">
        <v>45461</v>
      </c>
      <c r="C15" s="75" t="s">
        <v>164</v>
      </c>
      <c r="D15" s="72" t="s">
        <v>195</v>
      </c>
      <c r="E15" s="72">
        <v>93</v>
      </c>
      <c r="F15" s="72">
        <v>1</v>
      </c>
      <c r="G15" s="75" t="s">
        <v>456</v>
      </c>
      <c r="H15" s="75" t="s">
        <v>470</v>
      </c>
      <c r="I15" s="73">
        <v>45468</v>
      </c>
      <c r="J15" s="75" t="s">
        <v>164</v>
      </c>
      <c r="K15" s="73">
        <v>45489</v>
      </c>
      <c r="L15" s="75" t="s">
        <v>164</v>
      </c>
      <c r="M15" s="72" t="s">
        <v>177</v>
      </c>
      <c r="N15" s="72" t="s">
        <v>284</v>
      </c>
      <c r="O15" s="72" t="s">
        <v>475</v>
      </c>
      <c r="P15" s="72" t="s">
        <v>475</v>
      </c>
      <c r="Q15" s="72" t="s">
        <v>475</v>
      </c>
      <c r="R15" s="72"/>
      <c r="S15" s="72" t="s">
        <v>210</v>
      </c>
      <c r="T15" s="75" t="s">
        <v>471</v>
      </c>
    </row>
    <row r="16" spans="1:20">
      <c r="A16" s="72">
        <v>15</v>
      </c>
      <c r="B16" s="73">
        <v>45464</v>
      </c>
      <c r="C16" s="75" t="s">
        <v>174</v>
      </c>
      <c r="D16" s="72" t="s">
        <v>195</v>
      </c>
      <c r="E16" s="72">
        <v>66</v>
      </c>
      <c r="F16" s="72">
        <v>1</v>
      </c>
      <c r="G16" s="72" t="s">
        <v>455</v>
      </c>
      <c r="H16" s="75" t="s">
        <v>470</v>
      </c>
      <c r="I16" s="73">
        <v>45471</v>
      </c>
      <c r="J16" s="75" t="s">
        <v>174</v>
      </c>
      <c r="K16" s="73">
        <v>45492</v>
      </c>
      <c r="L16" s="75" t="s">
        <v>174</v>
      </c>
      <c r="M16" s="72" t="s">
        <v>177</v>
      </c>
      <c r="N16" s="72" t="s">
        <v>284</v>
      </c>
      <c r="O16" s="72" t="s">
        <v>475</v>
      </c>
      <c r="P16" s="72" t="s">
        <v>475</v>
      </c>
      <c r="Q16" s="72" t="s">
        <v>475</v>
      </c>
      <c r="R16" s="72"/>
      <c r="S16" s="72" t="s">
        <v>210</v>
      </c>
      <c r="T16" s="75" t="s">
        <v>471</v>
      </c>
    </row>
    <row r="17" spans="1:20">
      <c r="A17" s="72">
        <v>16</v>
      </c>
      <c r="B17" s="73">
        <v>45470</v>
      </c>
      <c r="C17" s="75" t="s">
        <v>167</v>
      </c>
      <c r="D17" s="72" t="s">
        <v>195</v>
      </c>
      <c r="E17" s="72">
        <v>68</v>
      </c>
      <c r="F17" s="72">
        <v>1</v>
      </c>
      <c r="G17" s="72" t="s">
        <v>454</v>
      </c>
      <c r="H17" s="75" t="s">
        <v>470</v>
      </c>
      <c r="I17" s="73">
        <v>45477</v>
      </c>
      <c r="J17" s="75" t="s">
        <v>167</v>
      </c>
      <c r="K17" s="73">
        <v>45498</v>
      </c>
      <c r="L17" s="75" t="s">
        <v>167</v>
      </c>
      <c r="M17" s="72" t="s">
        <v>177</v>
      </c>
      <c r="N17" s="72" t="s">
        <v>284</v>
      </c>
      <c r="O17" s="72" t="s">
        <v>475</v>
      </c>
      <c r="P17" s="72" t="s">
        <v>475</v>
      </c>
      <c r="Q17" s="72" t="s">
        <v>475</v>
      </c>
      <c r="R17" s="72"/>
      <c r="S17" s="72" t="s">
        <v>210</v>
      </c>
      <c r="T17" s="75" t="s">
        <v>471</v>
      </c>
    </row>
    <row r="18" spans="1:20">
      <c r="A18" s="72">
        <v>17</v>
      </c>
      <c r="B18" s="73">
        <v>45477</v>
      </c>
      <c r="C18" s="75" t="s">
        <v>167</v>
      </c>
      <c r="D18" s="72" t="s">
        <v>195</v>
      </c>
      <c r="E18" s="72">
        <v>32</v>
      </c>
      <c r="F18" s="72">
        <v>1</v>
      </c>
      <c r="G18" s="72" t="s">
        <v>459</v>
      </c>
      <c r="H18" s="75" t="s">
        <v>470</v>
      </c>
      <c r="I18" s="73">
        <v>45484</v>
      </c>
      <c r="J18" s="75" t="s">
        <v>167</v>
      </c>
      <c r="K18" s="73">
        <v>45505</v>
      </c>
      <c r="L18" s="75" t="s">
        <v>167</v>
      </c>
      <c r="M18" s="72" t="s">
        <v>177</v>
      </c>
      <c r="N18" s="72" t="s">
        <v>284</v>
      </c>
      <c r="O18" s="72" t="s">
        <v>475</v>
      </c>
      <c r="P18" s="72" t="s">
        <v>475</v>
      </c>
      <c r="Q18" s="72"/>
      <c r="R18" s="72"/>
      <c r="S18" s="72" t="s">
        <v>210</v>
      </c>
      <c r="T18" s="75" t="s">
        <v>471</v>
      </c>
    </row>
    <row r="19" spans="1:20">
      <c r="A19" s="72">
        <v>18</v>
      </c>
      <c r="B19" s="73">
        <v>45591</v>
      </c>
      <c r="C19" s="72" t="s">
        <v>186</v>
      </c>
      <c r="D19" s="72" t="s">
        <v>195</v>
      </c>
      <c r="E19" s="72">
        <v>58</v>
      </c>
      <c r="F19" s="72">
        <v>1</v>
      </c>
      <c r="G19" s="72" t="s">
        <v>544</v>
      </c>
      <c r="H19" s="72" t="s">
        <v>527</v>
      </c>
      <c r="I19" s="72">
        <v>45598</v>
      </c>
      <c r="J19" s="72" t="s">
        <v>186</v>
      </c>
      <c r="K19" s="72">
        <v>45619</v>
      </c>
      <c r="L19" s="72" t="s">
        <v>186</v>
      </c>
      <c r="M19" s="72" t="s">
        <v>191</v>
      </c>
      <c r="N19" s="72" t="s">
        <v>284</v>
      </c>
      <c r="O19" s="72"/>
      <c r="P19" s="72"/>
      <c r="Q19" s="72"/>
      <c r="R19" s="72"/>
      <c r="S19" s="72"/>
      <c r="T19" s="72" t="s">
        <v>527</v>
      </c>
    </row>
    <row r="20" spans="1:20">
      <c r="A20" s="72">
        <v>19</v>
      </c>
      <c r="B20" s="73">
        <v>45595</v>
      </c>
      <c r="C20" s="72" t="s">
        <v>288</v>
      </c>
      <c r="D20" s="72" t="s">
        <v>195</v>
      </c>
      <c r="E20" s="72">
        <v>48</v>
      </c>
      <c r="F20" s="72">
        <v>1</v>
      </c>
      <c r="G20" s="72" t="s">
        <v>650</v>
      </c>
      <c r="H20" s="72" t="s">
        <v>527</v>
      </c>
      <c r="I20" s="72">
        <v>45602</v>
      </c>
      <c r="J20" s="72" t="s">
        <v>288</v>
      </c>
      <c r="K20" s="72">
        <v>45623</v>
      </c>
      <c r="L20" s="72" t="s">
        <v>288</v>
      </c>
      <c r="M20" s="72" t="s">
        <v>191</v>
      </c>
      <c r="N20" s="72" t="s">
        <v>284</v>
      </c>
      <c r="O20" s="72" t="s">
        <v>475</v>
      </c>
      <c r="P20" s="72"/>
      <c r="Q20" s="72"/>
      <c r="R20" s="72"/>
      <c r="S20" s="72"/>
      <c r="T20" s="72" t="s">
        <v>527</v>
      </c>
    </row>
    <row r="21" spans="1:20" s="72" customFormat="1">
      <c r="A21" s="72">
        <v>20</v>
      </c>
      <c r="B21" s="73">
        <v>45696</v>
      </c>
      <c r="C21" s="72" t="s">
        <v>186</v>
      </c>
      <c r="D21" s="72" t="s">
        <v>195</v>
      </c>
      <c r="E21" s="72">
        <v>12</v>
      </c>
      <c r="F21" s="72">
        <v>0</v>
      </c>
      <c r="G21" s="72" t="s">
        <v>810</v>
      </c>
      <c r="H21" s="72" t="s">
        <v>173</v>
      </c>
      <c r="I21" s="72">
        <v>45703</v>
      </c>
      <c r="J21" s="72" t="s">
        <v>186</v>
      </c>
      <c r="K21" s="72">
        <v>45724</v>
      </c>
      <c r="L21" s="72" t="s">
        <v>186</v>
      </c>
      <c r="M21" s="72" t="s">
        <v>191</v>
      </c>
      <c r="N21" s="72" t="s">
        <v>699</v>
      </c>
      <c r="T21" s="72" t="s">
        <v>173</v>
      </c>
    </row>
  </sheetData>
  <autoFilter ref="A1:T1" xr:uid="{00000000-0009-0000-0000-00001E000000}"/>
  <phoneticPr fontId="1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M25" sqref="A1:XFD1048576"/>
    </sheetView>
  </sheetViews>
  <sheetFormatPr defaultRowHeight="16.5"/>
  <cols>
    <col min="2" max="2" width="9.75" bestFit="1" customWidth="1"/>
    <col min="8" max="8" width="35.5" customWidth="1"/>
    <col min="9" max="9" width="9.625" bestFit="1" customWidth="1"/>
    <col min="11" max="11" width="10.75" bestFit="1"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7">
        <v>45561</v>
      </c>
      <c r="C2" t="s">
        <v>167</v>
      </c>
      <c r="D2" t="s">
        <v>554</v>
      </c>
      <c r="E2">
        <v>95</v>
      </c>
      <c r="F2">
        <v>2</v>
      </c>
      <c r="G2" t="s">
        <v>555</v>
      </c>
      <c r="H2" t="s">
        <v>556</v>
      </c>
      <c r="I2" s="67">
        <v>45568</v>
      </c>
      <c r="J2" t="s">
        <v>167</v>
      </c>
      <c r="K2" s="67">
        <v>45589</v>
      </c>
      <c r="L2" t="s">
        <v>167</v>
      </c>
      <c r="M2" t="s">
        <v>557</v>
      </c>
      <c r="N2" t="s">
        <v>516</v>
      </c>
      <c r="O2" t="s">
        <v>475</v>
      </c>
      <c r="P2" t="s">
        <v>475</v>
      </c>
      <c r="Q2" t="s">
        <v>475</v>
      </c>
      <c r="S2" t="s">
        <v>521</v>
      </c>
      <c r="T2" t="s">
        <v>527</v>
      </c>
    </row>
    <row r="3" spans="1:20">
      <c r="A3">
        <v>2</v>
      </c>
      <c r="B3" s="67">
        <v>45581</v>
      </c>
      <c r="C3" t="s">
        <v>288</v>
      </c>
      <c r="D3" t="s">
        <v>554</v>
      </c>
      <c r="E3">
        <v>18</v>
      </c>
      <c r="F3">
        <v>0</v>
      </c>
      <c r="G3" t="s">
        <v>558</v>
      </c>
      <c r="H3" t="s">
        <v>173</v>
      </c>
      <c r="I3" s="67">
        <v>45588</v>
      </c>
      <c r="J3" t="s">
        <v>288</v>
      </c>
      <c r="K3" s="67">
        <v>45609</v>
      </c>
      <c r="L3" t="s">
        <v>288</v>
      </c>
      <c r="M3" t="s">
        <v>557</v>
      </c>
      <c r="O3" t="s">
        <v>475</v>
      </c>
      <c r="P3" t="s">
        <v>475</v>
      </c>
      <c r="Q3" t="s">
        <v>475</v>
      </c>
      <c r="T3" t="s">
        <v>173</v>
      </c>
    </row>
    <row r="4" spans="1:20">
      <c r="A4">
        <v>3</v>
      </c>
      <c r="B4" s="67">
        <v>45582</v>
      </c>
      <c r="C4" t="s">
        <v>167</v>
      </c>
      <c r="D4" t="s">
        <v>554</v>
      </c>
      <c r="E4">
        <v>18</v>
      </c>
      <c r="F4">
        <v>0</v>
      </c>
      <c r="G4" t="s">
        <v>559</v>
      </c>
      <c r="H4" t="s">
        <v>173</v>
      </c>
      <c r="I4" s="67">
        <v>45589</v>
      </c>
      <c r="J4" t="s">
        <v>167</v>
      </c>
      <c r="K4" s="67">
        <v>45610</v>
      </c>
      <c r="L4" t="s">
        <v>167</v>
      </c>
      <c r="M4" t="s">
        <v>557</v>
      </c>
      <c r="O4" t="s">
        <v>475</v>
      </c>
      <c r="P4" t="s">
        <v>475</v>
      </c>
      <c r="Q4" t="s">
        <v>475</v>
      </c>
      <c r="T4" t="s">
        <v>173</v>
      </c>
    </row>
    <row r="5" spans="1:20">
      <c r="A5">
        <v>4</v>
      </c>
      <c r="B5" s="66">
        <v>45593</v>
      </c>
      <c r="C5" s="65" t="s">
        <v>189</v>
      </c>
      <c r="D5" t="s">
        <v>554</v>
      </c>
      <c r="E5">
        <v>248</v>
      </c>
      <c r="F5">
        <v>5</v>
      </c>
      <c r="G5" s="65" t="s">
        <v>1703</v>
      </c>
      <c r="H5" t="s">
        <v>527</v>
      </c>
      <c r="I5" s="67">
        <v>45600</v>
      </c>
      <c r="J5" s="65" t="s">
        <v>189</v>
      </c>
      <c r="K5" s="67">
        <v>45621</v>
      </c>
      <c r="L5" s="65" t="s">
        <v>189</v>
      </c>
      <c r="M5" t="s">
        <v>557</v>
      </c>
      <c r="N5" t="s">
        <v>516</v>
      </c>
      <c r="O5" t="s">
        <v>475</v>
      </c>
      <c r="P5" t="s">
        <v>475</v>
      </c>
      <c r="Q5" t="s">
        <v>475</v>
      </c>
      <c r="T5" t="s">
        <v>527</v>
      </c>
    </row>
    <row r="6" spans="1:20">
      <c r="A6">
        <v>5</v>
      </c>
      <c r="B6" s="66">
        <v>45594</v>
      </c>
      <c r="C6" t="s">
        <v>164</v>
      </c>
      <c r="D6" t="s">
        <v>554</v>
      </c>
      <c r="E6">
        <v>98</v>
      </c>
      <c r="F6">
        <v>2</v>
      </c>
      <c r="G6" s="65" t="s">
        <v>1704</v>
      </c>
      <c r="H6" t="s">
        <v>1705</v>
      </c>
      <c r="I6" s="67">
        <v>45601</v>
      </c>
      <c r="J6" t="s">
        <v>164</v>
      </c>
      <c r="K6" s="67">
        <v>45622</v>
      </c>
      <c r="L6" t="s">
        <v>164</v>
      </c>
      <c r="M6" t="s">
        <v>557</v>
      </c>
      <c r="N6" t="s">
        <v>516</v>
      </c>
      <c r="O6" t="s">
        <v>475</v>
      </c>
      <c r="P6" t="s">
        <v>475</v>
      </c>
      <c r="Q6" t="s">
        <v>475</v>
      </c>
      <c r="R6" t="s">
        <v>171</v>
      </c>
      <c r="S6" t="s">
        <v>521</v>
      </c>
      <c r="T6" t="s">
        <v>527</v>
      </c>
    </row>
    <row r="7" spans="1:20">
      <c r="A7">
        <v>6</v>
      </c>
      <c r="B7" s="66">
        <v>45595</v>
      </c>
      <c r="C7" t="s">
        <v>288</v>
      </c>
      <c r="D7" t="s">
        <v>554</v>
      </c>
      <c r="E7">
        <v>248</v>
      </c>
      <c r="F7">
        <v>5</v>
      </c>
      <c r="G7" t="s">
        <v>651</v>
      </c>
      <c r="H7" t="s">
        <v>527</v>
      </c>
      <c r="I7">
        <v>45602</v>
      </c>
      <c r="J7" t="s">
        <v>288</v>
      </c>
      <c r="K7">
        <v>45623</v>
      </c>
      <c r="L7" t="s">
        <v>288</v>
      </c>
      <c r="M7" t="s">
        <v>557</v>
      </c>
      <c r="N7" t="s">
        <v>516</v>
      </c>
      <c r="O7" t="s">
        <v>475</v>
      </c>
      <c r="P7" t="s">
        <v>475</v>
      </c>
      <c r="Q7" t="s">
        <v>475</v>
      </c>
      <c r="T7" t="s">
        <v>527</v>
      </c>
    </row>
    <row r="8" spans="1:20">
      <c r="A8">
        <v>7</v>
      </c>
      <c r="B8" s="66">
        <v>45643</v>
      </c>
      <c r="C8" t="s">
        <v>164</v>
      </c>
      <c r="D8" t="s">
        <v>554</v>
      </c>
      <c r="E8">
        <v>48</v>
      </c>
      <c r="F8">
        <v>1</v>
      </c>
      <c r="G8" t="s">
        <v>710</v>
      </c>
      <c r="H8" t="s">
        <v>639</v>
      </c>
      <c r="I8">
        <v>45650</v>
      </c>
      <c r="J8" t="s">
        <v>164</v>
      </c>
      <c r="K8">
        <v>45671</v>
      </c>
      <c r="L8" t="s">
        <v>164</v>
      </c>
      <c r="M8" t="s">
        <v>557</v>
      </c>
      <c r="N8" t="s">
        <v>516</v>
      </c>
      <c r="T8" t="s">
        <v>639</v>
      </c>
    </row>
    <row r="9" spans="1:20">
      <c r="A9">
        <v>8</v>
      </c>
      <c r="B9" s="66">
        <v>45644</v>
      </c>
      <c r="C9" t="s">
        <v>288</v>
      </c>
      <c r="D9" t="s">
        <v>554</v>
      </c>
      <c r="E9">
        <v>98</v>
      </c>
      <c r="F9">
        <v>2</v>
      </c>
      <c r="G9" t="s">
        <v>711</v>
      </c>
      <c r="H9" t="s">
        <v>712</v>
      </c>
      <c r="I9">
        <v>45651</v>
      </c>
      <c r="J9" t="s">
        <v>288</v>
      </c>
      <c r="K9">
        <v>45672</v>
      </c>
      <c r="L9" t="s">
        <v>288</v>
      </c>
      <c r="M9" t="s">
        <v>557</v>
      </c>
      <c r="N9" t="s">
        <v>516</v>
      </c>
      <c r="R9" t="s">
        <v>171</v>
      </c>
      <c r="S9" t="s">
        <v>521</v>
      </c>
      <c r="T9" t="s">
        <v>639</v>
      </c>
    </row>
    <row r="10" spans="1:20">
      <c r="A10">
        <v>9</v>
      </c>
      <c r="B10" s="66">
        <v>45645</v>
      </c>
      <c r="C10" t="s">
        <v>167</v>
      </c>
      <c r="D10" t="s">
        <v>554</v>
      </c>
      <c r="E10">
        <v>18</v>
      </c>
      <c r="F10">
        <v>0</v>
      </c>
      <c r="G10" t="s">
        <v>713</v>
      </c>
      <c r="H10" t="s">
        <v>639</v>
      </c>
      <c r="I10">
        <v>45652</v>
      </c>
      <c r="J10" t="s">
        <v>167</v>
      </c>
      <c r="K10">
        <v>45673</v>
      </c>
      <c r="L10" t="s">
        <v>167</v>
      </c>
      <c r="M10" t="s">
        <v>557</v>
      </c>
      <c r="N10" t="s">
        <v>516</v>
      </c>
      <c r="T10" t="s">
        <v>639</v>
      </c>
    </row>
    <row r="11" spans="1:20">
      <c r="A11">
        <v>10</v>
      </c>
      <c r="B11" s="66">
        <v>45656</v>
      </c>
      <c r="C11" t="s">
        <v>189</v>
      </c>
      <c r="D11" t="s">
        <v>554</v>
      </c>
      <c r="E11">
        <v>48</v>
      </c>
      <c r="F11">
        <v>1</v>
      </c>
      <c r="G11" t="s">
        <v>714</v>
      </c>
      <c r="H11" t="s">
        <v>532</v>
      </c>
      <c r="I11">
        <v>45663</v>
      </c>
      <c r="J11" t="s">
        <v>189</v>
      </c>
      <c r="K11">
        <v>45684</v>
      </c>
      <c r="L11" t="s">
        <v>189</v>
      </c>
      <c r="M11" t="s">
        <v>557</v>
      </c>
      <c r="N11" t="s">
        <v>1706</v>
      </c>
      <c r="T11" t="s">
        <v>639</v>
      </c>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4" xr:uid="{00000000-0001-0000-1F00-000000000000}"/>
  <phoneticPr fontId="1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R23"/>
  <sheetViews>
    <sheetView workbookViewId="0">
      <selection activeCell="K22" sqref="K22"/>
    </sheetView>
  </sheetViews>
  <sheetFormatPr defaultColWidth="9" defaultRowHeight="16.5"/>
  <cols>
    <col min="1" max="1" width="9.125" style="89" bestFit="1" customWidth="1"/>
    <col min="2" max="3" width="11.625" style="90" bestFit="1" customWidth="1"/>
    <col min="4" max="4" width="40.75" style="89" customWidth="1"/>
    <col min="5" max="7" width="9.125" style="89" bestFit="1" customWidth="1"/>
    <col min="8" max="8" width="23.875" style="89" customWidth="1"/>
    <col min="9" max="9" width="9.625" style="89" bestFit="1" customWidth="1"/>
    <col min="10" max="10" width="9" style="89"/>
    <col min="11" max="11" width="10.75" style="89" bestFit="1" customWidth="1"/>
    <col min="12" max="16384" width="9" style="89"/>
  </cols>
  <sheetData>
    <row r="1" spans="1:15">
      <c r="A1" s="89" t="s">
        <v>146</v>
      </c>
      <c r="B1" s="90" t="s">
        <v>661</v>
      </c>
      <c r="C1" s="90" t="s">
        <v>662</v>
      </c>
      <c r="D1" s="89" t="s">
        <v>152</v>
      </c>
      <c r="E1" s="89" t="s">
        <v>663</v>
      </c>
      <c r="F1" s="89" t="s">
        <v>665</v>
      </c>
      <c r="G1" s="89" t="s">
        <v>150</v>
      </c>
      <c r="H1" s="89" t="s">
        <v>664</v>
      </c>
      <c r="I1" s="91" t="s">
        <v>157</v>
      </c>
      <c r="J1" s="89" t="s">
        <v>158</v>
      </c>
      <c r="K1" s="91" t="s">
        <v>159</v>
      </c>
      <c r="L1" s="89" t="s">
        <v>160</v>
      </c>
    </row>
    <row r="2" spans="1:15">
      <c r="A2" s="89">
        <v>1</v>
      </c>
      <c r="B2" s="90">
        <v>45592</v>
      </c>
      <c r="C2" s="90">
        <v>45611</v>
      </c>
      <c r="D2" s="89" t="s">
        <v>654</v>
      </c>
      <c r="E2" s="89">
        <v>1</v>
      </c>
      <c r="F2" s="89">
        <v>1</v>
      </c>
      <c r="G2" s="89">
        <v>621.6</v>
      </c>
      <c r="H2" s="89">
        <v>621.6</v>
      </c>
      <c r="I2" s="91" t="s">
        <v>655</v>
      </c>
      <c r="J2" s="89" t="s">
        <v>475</v>
      </c>
      <c r="K2" s="91" t="s">
        <v>475</v>
      </c>
      <c r="L2" s="89" t="s">
        <v>475</v>
      </c>
      <c r="O2" s="89" t="s">
        <v>639</v>
      </c>
    </row>
    <row r="3" spans="1:15">
      <c r="A3" s="89">
        <v>2</v>
      </c>
      <c r="B3" s="90">
        <v>45611</v>
      </c>
      <c r="C3" s="90">
        <v>45612</v>
      </c>
      <c r="D3" s="89" t="s">
        <v>656</v>
      </c>
      <c r="E3" s="89">
        <v>1</v>
      </c>
      <c r="F3" s="89">
        <v>2</v>
      </c>
      <c r="G3" s="89">
        <v>621.6</v>
      </c>
      <c r="H3" s="89">
        <v>1243.2</v>
      </c>
      <c r="I3" s="91" t="s">
        <v>655</v>
      </c>
      <c r="J3" s="89" t="s">
        <v>475</v>
      </c>
      <c r="K3" s="91" t="s">
        <v>475</v>
      </c>
      <c r="L3" s="89" t="s">
        <v>475</v>
      </c>
      <c r="O3" s="89" t="s">
        <v>639</v>
      </c>
    </row>
    <row r="4" spans="1:15">
      <c r="A4" s="89">
        <v>3</v>
      </c>
      <c r="B4" s="90">
        <v>45613</v>
      </c>
      <c r="C4" s="90">
        <v>45621</v>
      </c>
      <c r="D4" s="89" t="s">
        <v>657</v>
      </c>
      <c r="E4" s="89">
        <v>1</v>
      </c>
      <c r="F4" s="89">
        <v>3</v>
      </c>
      <c r="G4" s="89">
        <v>621.6</v>
      </c>
      <c r="H4" s="89">
        <v>1864.8000000000002</v>
      </c>
      <c r="I4" s="91" t="s">
        <v>655</v>
      </c>
      <c r="J4" s="89" t="s">
        <v>475</v>
      </c>
      <c r="K4" s="91" t="s">
        <v>475</v>
      </c>
      <c r="L4" s="89" t="s">
        <v>475</v>
      </c>
      <c r="O4" s="89" t="s">
        <v>639</v>
      </c>
    </row>
    <row r="5" spans="1:15">
      <c r="A5" s="89">
        <v>4</v>
      </c>
      <c r="B5" s="90">
        <v>45621</v>
      </c>
      <c r="C5" s="90">
        <v>45623</v>
      </c>
      <c r="D5" s="89" t="s">
        <v>658</v>
      </c>
      <c r="E5" s="89">
        <v>1</v>
      </c>
      <c r="F5" s="89">
        <v>4</v>
      </c>
      <c r="G5" s="89">
        <v>621.6</v>
      </c>
      <c r="H5" s="89">
        <v>2486.4</v>
      </c>
      <c r="I5" s="91" t="s">
        <v>655</v>
      </c>
      <c r="J5" s="89" t="s">
        <v>475</v>
      </c>
      <c r="K5" s="91" t="s">
        <v>475</v>
      </c>
      <c r="L5" s="89" t="s">
        <v>475</v>
      </c>
      <c r="O5" s="89" t="s">
        <v>639</v>
      </c>
    </row>
    <row r="6" spans="1:15">
      <c r="A6" s="89">
        <v>5</v>
      </c>
      <c r="B6" s="90">
        <v>45623</v>
      </c>
      <c r="C6" s="90">
        <v>45624</v>
      </c>
      <c r="D6" s="89" t="s">
        <v>659</v>
      </c>
      <c r="E6" s="89">
        <v>1</v>
      </c>
      <c r="F6" s="89">
        <v>5</v>
      </c>
      <c r="G6" s="89">
        <v>621.6</v>
      </c>
      <c r="H6" s="89">
        <v>3108</v>
      </c>
      <c r="I6" s="89" t="s">
        <v>655</v>
      </c>
      <c r="J6" s="89" t="s">
        <v>475</v>
      </c>
      <c r="K6" s="89" t="s">
        <v>475</v>
      </c>
      <c r="L6" s="89" t="s">
        <v>475</v>
      </c>
      <c r="M6" s="89" t="s">
        <v>171</v>
      </c>
      <c r="N6" s="89" t="s">
        <v>521</v>
      </c>
      <c r="O6" s="89" t="s">
        <v>532</v>
      </c>
    </row>
    <row r="7" spans="1:15">
      <c r="A7" s="89">
        <v>6</v>
      </c>
      <c r="B7" s="90">
        <v>45625</v>
      </c>
      <c r="C7" s="90">
        <v>45629</v>
      </c>
      <c r="D7" s="89" t="s">
        <v>660</v>
      </c>
      <c r="E7" s="89">
        <v>1</v>
      </c>
      <c r="F7" s="89">
        <v>6</v>
      </c>
      <c r="G7" s="89">
        <v>621.6</v>
      </c>
      <c r="H7" s="89">
        <v>3729.6</v>
      </c>
      <c r="I7" s="89" t="s">
        <v>655</v>
      </c>
      <c r="J7" s="89" t="s">
        <v>475</v>
      </c>
      <c r="K7" s="89" t="s">
        <v>475</v>
      </c>
      <c r="L7" s="89" t="s">
        <v>475</v>
      </c>
      <c r="O7" s="89" t="s">
        <v>527</v>
      </c>
    </row>
    <row r="8" spans="1:15">
      <c r="A8" s="89">
        <v>7</v>
      </c>
      <c r="B8" s="90">
        <v>45647</v>
      </c>
      <c r="C8" s="90">
        <v>45652</v>
      </c>
      <c r="D8" s="89" t="s">
        <v>952</v>
      </c>
      <c r="E8" s="89">
        <v>1</v>
      </c>
      <c r="F8" s="89">
        <v>7</v>
      </c>
      <c r="G8" s="89">
        <v>224.4</v>
      </c>
      <c r="H8" s="89">
        <v>3954</v>
      </c>
      <c r="I8" s="89" t="s">
        <v>655</v>
      </c>
      <c r="J8" s="89" t="s">
        <v>475</v>
      </c>
      <c r="K8" s="89" t="s">
        <v>475</v>
      </c>
      <c r="L8" s="89" t="s">
        <v>475</v>
      </c>
      <c r="O8" s="89" t="s">
        <v>639</v>
      </c>
    </row>
    <row r="9" spans="1:15">
      <c r="A9" s="89">
        <v>8</v>
      </c>
      <c r="B9" s="90">
        <v>45652</v>
      </c>
      <c r="C9" s="90">
        <v>45653</v>
      </c>
      <c r="D9" s="89" t="s">
        <v>953</v>
      </c>
      <c r="E9" s="89">
        <v>1</v>
      </c>
      <c r="F9" s="89">
        <v>8</v>
      </c>
      <c r="G9" s="89">
        <v>224.4</v>
      </c>
      <c r="H9" s="89">
        <v>4178.3999999999996</v>
      </c>
      <c r="I9" s="89" t="s">
        <v>655</v>
      </c>
      <c r="J9" s="89" t="s">
        <v>475</v>
      </c>
      <c r="K9" s="89" t="s">
        <v>475</v>
      </c>
      <c r="L9" s="89" t="s">
        <v>475</v>
      </c>
      <c r="O9" s="89" t="s">
        <v>954</v>
      </c>
    </row>
    <row r="10" spans="1:15">
      <c r="A10" s="89">
        <v>9</v>
      </c>
      <c r="B10" s="90">
        <v>45653</v>
      </c>
      <c r="C10" s="90">
        <v>45653</v>
      </c>
      <c r="D10" s="89" t="s">
        <v>955</v>
      </c>
      <c r="E10" s="89">
        <v>1</v>
      </c>
      <c r="F10" s="89">
        <v>9</v>
      </c>
      <c r="G10" s="89">
        <v>224.4</v>
      </c>
      <c r="H10" s="89">
        <v>4402.7999999999993</v>
      </c>
      <c r="I10" s="89" t="s">
        <v>655</v>
      </c>
      <c r="J10" s="89" t="s">
        <v>475</v>
      </c>
      <c r="K10" s="89" t="s">
        <v>475</v>
      </c>
      <c r="L10" s="89" t="s">
        <v>475</v>
      </c>
      <c r="O10" s="89" t="s">
        <v>954</v>
      </c>
    </row>
    <row r="11" spans="1:15">
      <c r="A11" s="89">
        <v>10</v>
      </c>
      <c r="B11" s="90">
        <v>45654</v>
      </c>
      <c r="C11" s="90">
        <v>45657</v>
      </c>
      <c r="D11" s="89" t="s">
        <v>722</v>
      </c>
      <c r="E11" s="89">
        <v>1</v>
      </c>
      <c r="F11" s="89">
        <v>10</v>
      </c>
      <c r="G11" s="89">
        <v>224.4</v>
      </c>
      <c r="H11" s="89">
        <v>4627.1999999999989</v>
      </c>
      <c r="I11" s="89" t="s">
        <v>655</v>
      </c>
      <c r="J11" s="89" t="s">
        <v>475</v>
      </c>
      <c r="K11" s="89" t="s">
        <v>475</v>
      </c>
      <c r="L11" s="89" t="s">
        <v>475</v>
      </c>
      <c r="N11" s="89" t="s">
        <v>521</v>
      </c>
      <c r="O11" s="89" t="s">
        <v>639</v>
      </c>
    </row>
    <row r="12" spans="1:15">
      <c r="A12" s="89">
        <v>11</v>
      </c>
      <c r="B12" s="90">
        <v>45657</v>
      </c>
      <c r="C12" s="90">
        <v>45657</v>
      </c>
      <c r="D12" s="89" t="s">
        <v>723</v>
      </c>
      <c r="E12" s="89">
        <v>1</v>
      </c>
      <c r="F12" s="89">
        <v>11</v>
      </c>
      <c r="G12" s="89">
        <v>224.4</v>
      </c>
      <c r="H12" s="89">
        <v>4851.5999999999985</v>
      </c>
      <c r="I12" s="89" t="s">
        <v>655</v>
      </c>
      <c r="J12" s="89" t="s">
        <v>475</v>
      </c>
      <c r="K12" s="89" t="s">
        <v>475</v>
      </c>
      <c r="L12" s="89" t="s">
        <v>475</v>
      </c>
      <c r="O12" s="89" t="s">
        <v>639</v>
      </c>
    </row>
    <row r="13" spans="1:15">
      <c r="A13" s="89">
        <v>12</v>
      </c>
      <c r="B13" s="90">
        <v>45658</v>
      </c>
      <c r="C13" s="90">
        <v>45665</v>
      </c>
      <c r="D13" s="89" t="s">
        <v>956</v>
      </c>
      <c r="E13" s="89">
        <v>1</v>
      </c>
      <c r="F13" s="89">
        <v>12</v>
      </c>
      <c r="G13" s="89">
        <v>304.39999999999998</v>
      </c>
      <c r="H13" s="89">
        <v>1393.4</v>
      </c>
      <c r="I13" s="89" t="s">
        <v>655</v>
      </c>
      <c r="J13" s="89" t="s">
        <v>475</v>
      </c>
      <c r="M13" s="89" t="s">
        <v>171</v>
      </c>
      <c r="N13" s="89" t="s">
        <v>521</v>
      </c>
      <c r="O13" s="89" t="s">
        <v>639</v>
      </c>
    </row>
    <row r="14" spans="1:15">
      <c r="A14" s="89">
        <v>13</v>
      </c>
      <c r="B14" s="90">
        <v>45665</v>
      </c>
      <c r="C14" s="90">
        <v>45665</v>
      </c>
      <c r="D14" s="89" t="s">
        <v>957</v>
      </c>
      <c r="E14" s="89">
        <v>1</v>
      </c>
      <c r="F14" s="89">
        <v>13</v>
      </c>
      <c r="G14" s="89">
        <v>980</v>
      </c>
      <c r="H14" s="89">
        <v>2373.4</v>
      </c>
      <c r="I14" s="89" t="s">
        <v>655</v>
      </c>
      <c r="J14" s="89" t="s">
        <v>475</v>
      </c>
      <c r="M14" s="89" t="s">
        <v>171</v>
      </c>
      <c r="N14" s="89" t="s">
        <v>521</v>
      </c>
      <c r="O14" s="89" t="s">
        <v>639</v>
      </c>
    </row>
    <row r="15" spans="1:15">
      <c r="A15" s="89">
        <v>14</v>
      </c>
      <c r="B15" s="90">
        <v>45666</v>
      </c>
      <c r="C15" s="90">
        <v>45667</v>
      </c>
      <c r="D15" s="89" t="s">
        <v>725</v>
      </c>
      <c r="E15" s="89">
        <v>1</v>
      </c>
      <c r="F15" s="89">
        <v>14</v>
      </c>
      <c r="G15" s="89">
        <v>980.8</v>
      </c>
      <c r="H15" s="89">
        <v>3354.2</v>
      </c>
      <c r="I15" s="89" t="s">
        <v>655</v>
      </c>
      <c r="J15" s="89" t="s">
        <v>475</v>
      </c>
      <c r="O15" s="89" t="s">
        <v>639</v>
      </c>
    </row>
    <row r="16" spans="1:15">
      <c r="A16" s="89">
        <v>15</v>
      </c>
      <c r="B16" s="90">
        <v>45667</v>
      </c>
      <c r="C16" s="90">
        <v>45668</v>
      </c>
      <c r="D16" s="89" t="s">
        <v>726</v>
      </c>
      <c r="E16" s="89">
        <v>2</v>
      </c>
      <c r="F16" s="89">
        <v>16</v>
      </c>
      <c r="G16" s="89">
        <v>1140.8</v>
      </c>
      <c r="H16" s="89">
        <v>4495</v>
      </c>
      <c r="I16" s="89" t="s">
        <v>655</v>
      </c>
      <c r="J16" s="89" t="s">
        <v>475</v>
      </c>
      <c r="O16" s="89" t="s">
        <v>639</v>
      </c>
    </row>
    <row r="17" spans="1:18">
      <c r="A17" s="89">
        <v>16</v>
      </c>
      <c r="B17" s="90">
        <v>45669</v>
      </c>
      <c r="C17" s="90">
        <v>45671</v>
      </c>
      <c r="D17" s="89" t="s">
        <v>727</v>
      </c>
      <c r="E17" s="89">
        <v>2</v>
      </c>
      <c r="F17" s="89">
        <v>18</v>
      </c>
      <c r="G17" s="89">
        <v>1060.8</v>
      </c>
      <c r="H17" s="89">
        <v>5555.8</v>
      </c>
      <c r="I17" s="89" t="s">
        <v>655</v>
      </c>
      <c r="J17" s="89" t="s">
        <v>475</v>
      </c>
      <c r="M17" s="78" t="s">
        <v>171</v>
      </c>
      <c r="N17" s="79" t="s">
        <v>521</v>
      </c>
      <c r="O17" s="78" t="s">
        <v>639</v>
      </c>
    </row>
    <row r="18" spans="1:18">
      <c r="A18" s="89">
        <v>17</v>
      </c>
      <c r="B18" s="90">
        <v>45734</v>
      </c>
      <c r="C18" s="90">
        <v>45734</v>
      </c>
      <c r="D18" s="89" t="s">
        <v>934</v>
      </c>
      <c r="E18" s="89">
        <v>1</v>
      </c>
      <c r="F18" s="89">
        <v>19</v>
      </c>
      <c r="G18" s="89">
        <v>830</v>
      </c>
      <c r="H18" s="89">
        <v>6385.8</v>
      </c>
      <c r="I18" s="89" t="s">
        <v>655</v>
      </c>
      <c r="J18" s="89" t="s">
        <v>475</v>
      </c>
      <c r="O18" s="89" t="s">
        <v>173</v>
      </c>
    </row>
    <row r="19" spans="1:18">
      <c r="A19" s="89">
        <v>18</v>
      </c>
      <c r="B19" s="90">
        <v>45736</v>
      </c>
      <c r="C19" s="90">
        <v>45738</v>
      </c>
      <c r="D19" s="89" t="s">
        <v>935</v>
      </c>
      <c r="E19" s="89">
        <v>1</v>
      </c>
      <c r="F19" s="89">
        <v>20</v>
      </c>
      <c r="G19" s="89">
        <v>830</v>
      </c>
      <c r="H19" s="89">
        <v>7215.8</v>
      </c>
      <c r="I19" s="89" t="s">
        <v>655</v>
      </c>
      <c r="J19" s="89" t="s">
        <v>475</v>
      </c>
      <c r="O19" s="89" t="s">
        <v>173</v>
      </c>
    </row>
    <row r="20" spans="1:18">
      <c r="A20" s="89">
        <v>19</v>
      </c>
      <c r="B20" s="90">
        <v>45819</v>
      </c>
      <c r="C20" s="90">
        <v>45819</v>
      </c>
      <c r="D20" s="89" t="s">
        <v>1065</v>
      </c>
      <c r="E20" s="89">
        <v>1</v>
      </c>
      <c r="F20" s="89">
        <v>21</v>
      </c>
      <c r="G20" s="89">
        <v>186</v>
      </c>
      <c r="H20" s="89">
        <v>7401.8</v>
      </c>
      <c r="I20" s="89" t="s">
        <v>655</v>
      </c>
      <c r="N20" s="89" t="s">
        <v>535</v>
      </c>
      <c r="O20" s="89" t="s">
        <v>173</v>
      </c>
    </row>
    <row r="21" spans="1:18">
      <c r="A21" s="89">
        <v>20</v>
      </c>
      <c r="B21" s="90">
        <v>45848</v>
      </c>
      <c r="C21" s="90">
        <v>45853</v>
      </c>
      <c r="D21" s="89" t="s">
        <v>1116</v>
      </c>
      <c r="E21" s="89">
        <v>2</v>
      </c>
      <c r="F21" s="89">
        <v>23</v>
      </c>
      <c r="G21" s="89">
        <v>1753.44</v>
      </c>
      <c r="H21" s="89">
        <v>1753.44</v>
      </c>
      <c r="I21" s="89" t="s">
        <v>655</v>
      </c>
      <c r="O21" s="89" t="s">
        <v>173</v>
      </c>
    </row>
    <row r="22" spans="1:18">
      <c r="A22" s="89">
        <v>21</v>
      </c>
      <c r="B22" s="90">
        <v>45967</v>
      </c>
      <c r="C22" s="90">
        <v>45968</v>
      </c>
      <c r="D22" s="89" t="s">
        <v>1676</v>
      </c>
      <c r="E22" s="89">
        <v>3</v>
      </c>
      <c r="F22" s="89">
        <v>26</v>
      </c>
      <c r="G22" s="89">
        <v>2622</v>
      </c>
      <c r="H22" s="89">
        <v>15539.839999999998</v>
      </c>
      <c r="I22" s="89" t="s">
        <v>655</v>
      </c>
      <c r="M22" s="89" t="s">
        <v>171</v>
      </c>
      <c r="N22" s="89" t="s">
        <v>521</v>
      </c>
      <c r="O22" s="89" t="s">
        <v>173</v>
      </c>
      <c r="P22" s="89" t="s">
        <v>1415</v>
      </c>
      <c r="Q22" s="89">
        <v>393.3</v>
      </c>
      <c r="R22" s="89">
        <v>4661.9519999999993</v>
      </c>
    </row>
    <row r="23" spans="1:18">
      <c r="A23" s="89">
        <v>22</v>
      </c>
      <c r="B23" s="90">
        <v>46039</v>
      </c>
      <c r="C23" s="90">
        <v>46045</v>
      </c>
      <c r="D23" s="89" t="s">
        <v>1874</v>
      </c>
      <c r="E23" s="89">
        <v>3</v>
      </c>
      <c r="F23" s="89">
        <v>29</v>
      </c>
      <c r="G23" s="89">
        <v>2620</v>
      </c>
      <c r="H23" s="89">
        <v>18159.839999999997</v>
      </c>
      <c r="I23" s="89" t="s">
        <v>655</v>
      </c>
      <c r="N23" s="89" t="s">
        <v>521</v>
      </c>
      <c r="O23" s="89" t="s">
        <v>173</v>
      </c>
      <c r="P23" s="89" t="s">
        <v>1415</v>
      </c>
      <c r="Q23" s="89">
        <v>393</v>
      </c>
      <c r="R23" s="89">
        <v>5447.9519999999984</v>
      </c>
    </row>
  </sheetData>
  <autoFilter ref="A1:T23" xr:uid="{00000000-0009-0000-0000-000021000000}"/>
  <phoneticPr fontId="1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S18"/>
  <sheetViews>
    <sheetView workbookViewId="0">
      <selection activeCell="O9" sqref="O2:O9"/>
    </sheetView>
  </sheetViews>
  <sheetFormatPr defaultRowHeight="16.5"/>
  <cols>
    <col min="2" max="2" width="9.75" bestFit="1" customWidth="1"/>
    <col min="3" max="3" width="11.5" style="67" bestFit="1" customWidth="1"/>
    <col min="4" max="4" width="26.625" customWidth="1"/>
    <col min="8" max="8" width="23.875" customWidth="1"/>
    <col min="9" max="9" width="9.625" bestFit="1" customWidth="1"/>
    <col min="11" max="11" width="10.75" bestFit="1" customWidth="1"/>
  </cols>
  <sheetData>
    <row r="1" spans="1:19">
      <c r="A1" t="s">
        <v>146</v>
      </c>
      <c r="B1" s="67" t="s">
        <v>661</v>
      </c>
      <c r="C1" s="67" t="s">
        <v>662</v>
      </c>
      <c r="D1" t="s">
        <v>152</v>
      </c>
      <c r="E1" t="s">
        <v>663</v>
      </c>
      <c r="F1" t="s">
        <v>665</v>
      </c>
      <c r="G1" t="s">
        <v>150</v>
      </c>
      <c r="H1" t="s">
        <v>664</v>
      </c>
      <c r="I1" s="67" t="s">
        <v>157</v>
      </c>
      <c r="J1" t="s">
        <v>158</v>
      </c>
      <c r="K1" s="67" t="s">
        <v>159</v>
      </c>
      <c r="L1" t="s">
        <v>160</v>
      </c>
    </row>
    <row r="2" spans="1:19">
      <c r="A2">
        <v>1</v>
      </c>
      <c r="B2" s="66">
        <v>45720</v>
      </c>
      <c r="C2" s="67">
        <v>45726</v>
      </c>
      <c r="D2" t="s">
        <v>1619</v>
      </c>
      <c r="E2">
        <v>2</v>
      </c>
      <c r="F2">
        <v>2</v>
      </c>
      <c r="G2" s="65">
        <v>428.4</v>
      </c>
      <c r="H2">
        <v>428.4</v>
      </c>
      <c r="I2" s="67" t="s">
        <v>655</v>
      </c>
      <c r="J2" s="65"/>
      <c r="K2" s="67"/>
      <c r="L2" s="65"/>
      <c r="M2" t="s">
        <v>171</v>
      </c>
      <c r="N2" t="s">
        <v>521</v>
      </c>
      <c r="O2" t="s">
        <v>173</v>
      </c>
      <c r="P2" t="s">
        <v>867</v>
      </c>
      <c r="Q2">
        <v>128.52000000000001</v>
      </c>
      <c r="R2">
        <v>128.52000000000001</v>
      </c>
      <c r="S2" t="s">
        <v>1616</v>
      </c>
    </row>
    <row r="3" spans="1:19">
      <c r="A3">
        <v>2</v>
      </c>
      <c r="B3" s="66">
        <v>45869</v>
      </c>
      <c r="C3" s="67">
        <v>45873</v>
      </c>
      <c r="D3" t="s">
        <v>1143</v>
      </c>
      <c r="E3">
        <v>1</v>
      </c>
      <c r="F3">
        <v>3</v>
      </c>
      <c r="G3" s="65">
        <v>825</v>
      </c>
      <c r="H3">
        <v>1253.4000000000001</v>
      </c>
      <c r="I3" s="67" t="s">
        <v>655</v>
      </c>
      <c r="K3" s="67"/>
      <c r="N3" s="65"/>
      <c r="O3" t="s">
        <v>173</v>
      </c>
      <c r="P3" t="s">
        <v>1415</v>
      </c>
      <c r="Q3">
        <v>247.5</v>
      </c>
      <c r="R3">
        <v>376.02</v>
      </c>
      <c r="S3" t="s">
        <v>1605</v>
      </c>
    </row>
    <row r="4" spans="1:19">
      <c r="A4">
        <v>3</v>
      </c>
      <c r="B4" s="66">
        <v>45897</v>
      </c>
      <c r="C4" s="67">
        <v>45898</v>
      </c>
      <c r="D4" t="s">
        <v>1414</v>
      </c>
      <c r="E4">
        <v>1</v>
      </c>
      <c r="F4">
        <v>4</v>
      </c>
      <c r="G4">
        <v>328.8</v>
      </c>
      <c r="H4">
        <v>1582.2</v>
      </c>
      <c r="I4" t="s">
        <v>655</v>
      </c>
      <c r="N4" t="s">
        <v>521</v>
      </c>
      <c r="O4" t="s">
        <v>173</v>
      </c>
      <c r="P4" t="s">
        <v>1415</v>
      </c>
      <c r="Q4">
        <v>98.64</v>
      </c>
      <c r="R4">
        <v>474.66</v>
      </c>
      <c r="S4" t="s">
        <v>1617</v>
      </c>
    </row>
    <row r="5" spans="1:19">
      <c r="A5">
        <v>4</v>
      </c>
      <c r="B5" s="66">
        <v>45940</v>
      </c>
      <c r="C5" s="67">
        <v>45947</v>
      </c>
      <c r="D5" t="s">
        <v>1600</v>
      </c>
      <c r="E5">
        <v>2</v>
      </c>
      <c r="F5">
        <v>6</v>
      </c>
      <c r="G5">
        <v>1660</v>
      </c>
      <c r="H5">
        <v>3242.2</v>
      </c>
      <c r="I5" t="s">
        <v>655</v>
      </c>
      <c r="M5" t="s">
        <v>171</v>
      </c>
      <c r="N5" t="s">
        <v>521</v>
      </c>
      <c r="O5" t="s">
        <v>173</v>
      </c>
      <c r="P5" t="s">
        <v>1415</v>
      </c>
      <c r="Q5">
        <v>498</v>
      </c>
      <c r="R5">
        <v>972.66</v>
      </c>
      <c r="S5" t="s">
        <v>1618</v>
      </c>
    </row>
    <row r="6" spans="1:19">
      <c r="A6">
        <v>5</v>
      </c>
      <c r="B6" s="66">
        <v>45967</v>
      </c>
      <c r="C6" s="67">
        <v>45968</v>
      </c>
      <c r="D6" t="s">
        <v>1677</v>
      </c>
      <c r="E6">
        <v>2</v>
      </c>
      <c r="F6">
        <v>8</v>
      </c>
      <c r="G6">
        <v>1780</v>
      </c>
      <c r="H6">
        <v>5022.2</v>
      </c>
      <c r="I6" t="s">
        <v>655</v>
      </c>
      <c r="M6" t="s">
        <v>171</v>
      </c>
      <c r="N6" t="s">
        <v>521</v>
      </c>
      <c r="O6" t="s">
        <v>173</v>
      </c>
      <c r="P6" t="s">
        <v>1415</v>
      </c>
      <c r="Q6">
        <v>534</v>
      </c>
      <c r="R6">
        <v>1506.66</v>
      </c>
    </row>
    <row r="7" spans="1:19">
      <c r="A7">
        <v>6</v>
      </c>
      <c r="B7" s="66">
        <v>46040</v>
      </c>
      <c r="C7" s="67">
        <v>46045</v>
      </c>
      <c r="D7" t="s">
        <v>1877</v>
      </c>
      <c r="E7">
        <v>1</v>
      </c>
      <c r="F7">
        <v>9</v>
      </c>
      <c r="G7">
        <v>920</v>
      </c>
      <c r="H7">
        <v>5942.2</v>
      </c>
      <c r="I7" t="s">
        <v>655</v>
      </c>
      <c r="N7" t="s">
        <v>521</v>
      </c>
      <c r="O7" t="s">
        <v>173</v>
      </c>
      <c r="P7" t="s">
        <v>1415</v>
      </c>
      <c r="Q7">
        <v>276</v>
      </c>
      <c r="R7">
        <v>1782.66</v>
      </c>
    </row>
    <row r="8" spans="1:19">
      <c r="B8" s="66"/>
    </row>
    <row r="9" spans="1:19">
      <c r="B9" s="66"/>
    </row>
    <row r="10" spans="1:19">
      <c r="B10" s="66"/>
    </row>
    <row r="11" spans="1:19">
      <c r="B11" s="66"/>
    </row>
    <row r="12" spans="1:19">
      <c r="B12" s="66"/>
    </row>
    <row r="13" spans="1:19">
      <c r="B13" s="66"/>
    </row>
    <row r="14" spans="1:19">
      <c r="B14" s="66"/>
    </row>
    <row r="15" spans="1:19">
      <c r="B15" s="66"/>
    </row>
    <row r="16" spans="1:19">
      <c r="B16" s="66"/>
    </row>
    <row r="17" spans="2:15">
      <c r="B17" s="66"/>
    </row>
    <row r="18" spans="2:15">
      <c r="B18" s="66"/>
      <c r="M18" s="78"/>
      <c r="N18" s="79"/>
      <c r="O18" s="78"/>
    </row>
  </sheetData>
  <autoFilter ref="A1:T20" xr:uid="{00000000-0009-0000-0000-000022000000}"/>
  <phoneticPr fontId="1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O12" sqref="O2:O12"/>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8">
      <c r="A1" t="s">
        <v>146</v>
      </c>
      <c r="B1" s="67" t="s">
        <v>661</v>
      </c>
      <c r="C1" s="67" t="s">
        <v>662</v>
      </c>
      <c r="D1" t="s">
        <v>152</v>
      </c>
      <c r="E1" t="s">
        <v>663</v>
      </c>
      <c r="F1" t="s">
        <v>665</v>
      </c>
      <c r="G1" t="s">
        <v>150</v>
      </c>
      <c r="H1" t="s">
        <v>664</v>
      </c>
      <c r="I1" s="67" t="s">
        <v>157</v>
      </c>
      <c r="J1" t="s">
        <v>158</v>
      </c>
      <c r="K1" s="67" t="s">
        <v>159</v>
      </c>
      <c r="L1" t="s">
        <v>160</v>
      </c>
    </row>
    <row r="2" spans="1:18">
      <c r="A2">
        <v>1</v>
      </c>
      <c r="B2" s="66">
        <v>45681</v>
      </c>
      <c r="C2" s="66">
        <v>45694</v>
      </c>
      <c r="D2" t="s">
        <v>1630</v>
      </c>
      <c r="E2">
        <v>2</v>
      </c>
      <c r="F2">
        <v>2</v>
      </c>
      <c r="G2">
        <v>1071</v>
      </c>
      <c r="H2">
        <v>1071</v>
      </c>
      <c r="I2" t="s">
        <v>655</v>
      </c>
      <c r="M2" t="s">
        <v>171</v>
      </c>
      <c r="N2" t="s">
        <v>521</v>
      </c>
      <c r="O2" t="s">
        <v>173</v>
      </c>
      <c r="P2" t="s">
        <v>867</v>
      </c>
      <c r="Q2">
        <v>160.65</v>
      </c>
      <c r="R2">
        <v>160.65</v>
      </c>
    </row>
    <row r="3" spans="1:18">
      <c r="A3">
        <v>2</v>
      </c>
      <c r="B3" s="67">
        <v>45782</v>
      </c>
      <c r="C3" s="67">
        <v>45786</v>
      </c>
      <c r="D3" t="s">
        <v>1011</v>
      </c>
      <c r="E3">
        <v>1</v>
      </c>
      <c r="F3">
        <v>3</v>
      </c>
      <c r="G3">
        <v>480</v>
      </c>
      <c r="H3">
        <v>1551</v>
      </c>
      <c r="I3" s="67" t="s">
        <v>655</v>
      </c>
      <c r="K3" s="67"/>
      <c r="M3" t="s">
        <v>171</v>
      </c>
      <c r="N3" t="s">
        <v>521</v>
      </c>
      <c r="O3" t="s">
        <v>173</v>
      </c>
      <c r="P3" t="s">
        <v>867</v>
      </c>
      <c r="Q3">
        <v>72</v>
      </c>
      <c r="R3">
        <v>232.65</v>
      </c>
    </row>
    <row r="4" spans="1:18">
      <c r="A4">
        <v>3</v>
      </c>
      <c r="B4" s="66">
        <v>45843</v>
      </c>
      <c r="C4" s="66">
        <v>45854</v>
      </c>
      <c r="D4" t="s">
        <v>1420</v>
      </c>
      <c r="E4">
        <v>1</v>
      </c>
      <c r="F4">
        <v>4</v>
      </c>
      <c r="G4">
        <v>201.4</v>
      </c>
      <c r="H4">
        <v>1752.4</v>
      </c>
      <c r="I4" t="s">
        <v>655</v>
      </c>
      <c r="O4" t="s">
        <v>173</v>
      </c>
      <c r="P4" t="s">
        <v>867</v>
      </c>
      <c r="Q4">
        <v>30.21</v>
      </c>
      <c r="R4">
        <v>262.86</v>
      </c>
    </row>
    <row r="5" spans="1:18">
      <c r="A5">
        <v>4</v>
      </c>
      <c r="B5" s="66">
        <v>45870</v>
      </c>
      <c r="C5" s="67">
        <v>45873</v>
      </c>
      <c r="D5" t="s">
        <v>1143</v>
      </c>
      <c r="E5">
        <v>1</v>
      </c>
      <c r="F5">
        <v>5</v>
      </c>
      <c r="G5" s="65">
        <v>842.5</v>
      </c>
      <c r="H5">
        <v>2594.9</v>
      </c>
      <c r="I5" s="67" t="s">
        <v>655</v>
      </c>
      <c r="K5" s="67"/>
      <c r="N5" s="65"/>
      <c r="O5" t="s">
        <v>173</v>
      </c>
      <c r="P5" t="s">
        <v>867</v>
      </c>
      <c r="Q5">
        <v>126.38</v>
      </c>
      <c r="R5">
        <v>389.24</v>
      </c>
    </row>
    <row r="6" spans="1:18">
      <c r="A6">
        <v>5</v>
      </c>
      <c r="B6" s="66">
        <v>45884</v>
      </c>
      <c r="C6" s="67">
        <v>45884</v>
      </c>
      <c r="D6" t="s">
        <v>1387</v>
      </c>
      <c r="E6">
        <v>1</v>
      </c>
      <c r="F6">
        <v>6</v>
      </c>
      <c r="G6">
        <v>150</v>
      </c>
      <c r="H6">
        <v>2744.9</v>
      </c>
      <c r="I6" t="s">
        <v>655</v>
      </c>
      <c r="O6" t="s">
        <v>173</v>
      </c>
      <c r="P6" t="s">
        <v>867</v>
      </c>
      <c r="Q6">
        <v>22.5</v>
      </c>
      <c r="R6">
        <v>411.74</v>
      </c>
    </row>
    <row r="7" spans="1:18">
      <c r="A7">
        <v>6</v>
      </c>
      <c r="B7" s="66">
        <v>45897</v>
      </c>
      <c r="C7" s="67">
        <v>45898</v>
      </c>
      <c r="D7" t="s">
        <v>1421</v>
      </c>
      <c r="E7">
        <v>1</v>
      </c>
      <c r="F7">
        <v>7</v>
      </c>
      <c r="G7">
        <v>764.7</v>
      </c>
      <c r="H7">
        <v>3509.6000000000004</v>
      </c>
      <c r="I7" t="s">
        <v>655</v>
      </c>
      <c r="N7" t="s">
        <v>521</v>
      </c>
      <c r="O7" t="s">
        <v>173</v>
      </c>
      <c r="P7" t="s">
        <v>867</v>
      </c>
      <c r="Q7">
        <v>114.71</v>
      </c>
      <c r="R7">
        <v>526.44000000000005</v>
      </c>
    </row>
    <row r="8" spans="1:18">
      <c r="A8">
        <v>7</v>
      </c>
      <c r="B8" s="66">
        <v>45968</v>
      </c>
      <c r="C8" s="67">
        <v>45968</v>
      </c>
      <c r="D8" t="s">
        <v>1678</v>
      </c>
      <c r="E8">
        <v>1</v>
      </c>
      <c r="F8">
        <v>8</v>
      </c>
      <c r="G8">
        <v>950</v>
      </c>
      <c r="H8">
        <v>3694.9</v>
      </c>
      <c r="I8" t="s">
        <v>655</v>
      </c>
      <c r="M8" t="s">
        <v>171</v>
      </c>
      <c r="N8" t="s">
        <v>521</v>
      </c>
      <c r="O8" t="s">
        <v>173</v>
      </c>
      <c r="P8" t="s">
        <v>867</v>
      </c>
      <c r="Q8">
        <v>142.5</v>
      </c>
      <c r="R8">
        <v>554.24</v>
      </c>
    </row>
    <row r="9" spans="1:18">
      <c r="A9">
        <v>8</v>
      </c>
      <c r="B9" s="66">
        <v>46045</v>
      </c>
      <c r="C9" s="67">
        <v>46046</v>
      </c>
      <c r="D9" t="s">
        <v>1877</v>
      </c>
      <c r="E9">
        <v>1</v>
      </c>
      <c r="F9">
        <v>7</v>
      </c>
      <c r="G9">
        <v>920</v>
      </c>
      <c r="H9">
        <v>4279.6000000000004</v>
      </c>
      <c r="I9" t="s">
        <v>655</v>
      </c>
      <c r="N9" t="s">
        <v>521</v>
      </c>
      <c r="O9" t="s">
        <v>173</v>
      </c>
      <c r="P9" t="s">
        <v>867</v>
      </c>
      <c r="Q9">
        <v>138</v>
      </c>
      <c r="R9">
        <v>641.94000000000005</v>
      </c>
    </row>
    <row r="10" spans="1:18">
      <c r="B10" s="66"/>
    </row>
    <row r="11" spans="1:18">
      <c r="B11" s="66"/>
    </row>
    <row r="12" spans="1:18">
      <c r="B12" s="66"/>
    </row>
    <row r="13" spans="1:18">
      <c r="B13" s="66"/>
    </row>
    <row r="14" spans="1:18">
      <c r="B14" s="66"/>
    </row>
    <row r="15" spans="1:18">
      <c r="B15" s="66"/>
    </row>
    <row r="16" spans="1:18">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E2" sqref="E2:E5"/>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7">
      <c r="A1" t="s">
        <v>146</v>
      </c>
      <c r="B1" s="67" t="s">
        <v>661</v>
      </c>
      <c r="C1" s="67" t="s">
        <v>662</v>
      </c>
      <c r="D1" t="s">
        <v>152</v>
      </c>
      <c r="E1" t="s">
        <v>663</v>
      </c>
      <c r="F1" t="s">
        <v>665</v>
      </c>
      <c r="G1" t="s">
        <v>150</v>
      </c>
      <c r="H1" t="s">
        <v>664</v>
      </c>
      <c r="I1" s="67" t="s">
        <v>157</v>
      </c>
      <c r="J1" t="s">
        <v>158</v>
      </c>
      <c r="K1" s="67" t="s">
        <v>159</v>
      </c>
      <c r="L1" t="s">
        <v>160</v>
      </c>
    </row>
    <row r="2" spans="1:17">
      <c r="A2">
        <v>1</v>
      </c>
      <c r="B2" s="66">
        <v>45661</v>
      </c>
      <c r="C2" s="66">
        <v>45665</v>
      </c>
      <c r="D2" t="s">
        <v>724</v>
      </c>
      <c r="E2">
        <v>2</v>
      </c>
      <c r="F2">
        <v>2</v>
      </c>
      <c r="G2">
        <v>1089</v>
      </c>
      <c r="H2">
        <v>1089</v>
      </c>
      <c r="I2" t="s">
        <v>655</v>
      </c>
      <c r="J2" t="s">
        <v>475</v>
      </c>
      <c r="M2" t="s">
        <v>171</v>
      </c>
      <c r="N2" t="s">
        <v>521</v>
      </c>
      <c r="O2" t="s">
        <v>639</v>
      </c>
      <c r="P2" t="s">
        <v>867</v>
      </c>
      <c r="Q2">
        <v>304.2</v>
      </c>
    </row>
    <row r="3" spans="1:17">
      <c r="A3">
        <v>2</v>
      </c>
      <c r="B3" s="67">
        <v>45703</v>
      </c>
      <c r="C3" s="67">
        <v>45706</v>
      </c>
      <c r="D3" t="s">
        <v>866</v>
      </c>
      <c r="E3">
        <v>3</v>
      </c>
      <c r="F3">
        <v>5</v>
      </c>
      <c r="G3">
        <v>2028</v>
      </c>
      <c r="H3">
        <v>3117</v>
      </c>
      <c r="I3" s="67" t="s">
        <v>655</v>
      </c>
      <c r="K3" s="67"/>
      <c r="M3" t="s">
        <v>171</v>
      </c>
      <c r="N3" t="s">
        <v>521</v>
      </c>
      <c r="O3" t="s">
        <v>173</v>
      </c>
      <c r="P3" t="s">
        <v>867</v>
      </c>
      <c r="Q3">
        <v>304.2</v>
      </c>
    </row>
    <row r="4" spans="1:17">
      <c r="A4">
        <v>3</v>
      </c>
      <c r="B4" s="66">
        <v>45885</v>
      </c>
      <c r="C4" s="66">
        <v>45898</v>
      </c>
      <c r="D4" t="s">
        <v>1418</v>
      </c>
      <c r="E4">
        <v>1</v>
      </c>
      <c r="F4">
        <v>6</v>
      </c>
      <c r="G4">
        <v>784.8</v>
      </c>
      <c r="H4">
        <v>3901.8</v>
      </c>
      <c r="I4" t="s">
        <v>655</v>
      </c>
      <c r="N4" t="s">
        <v>521</v>
      </c>
      <c r="O4" t="s">
        <v>173</v>
      </c>
      <c r="P4" t="s">
        <v>1419</v>
      </c>
      <c r="Q4">
        <v>117.72</v>
      </c>
    </row>
    <row r="5" spans="1:17">
      <c r="B5" s="66"/>
      <c r="G5" s="65"/>
      <c r="I5" s="67"/>
      <c r="K5" s="67"/>
      <c r="N5" s="65"/>
    </row>
    <row r="6" spans="1:17">
      <c r="B6" s="66"/>
    </row>
    <row r="7" spans="1:17">
      <c r="B7" s="66"/>
    </row>
    <row r="8" spans="1:17">
      <c r="B8" s="66"/>
    </row>
    <row r="9" spans="1:17">
      <c r="B9" s="66"/>
    </row>
    <row r="10" spans="1:17">
      <c r="B10" s="66"/>
    </row>
    <row r="11" spans="1:17">
      <c r="B11" s="66"/>
    </row>
    <row r="12" spans="1:17">
      <c r="B12" s="66"/>
    </row>
    <row r="13" spans="1:17">
      <c r="B13" s="66"/>
    </row>
    <row r="14" spans="1:17">
      <c r="B14" s="66"/>
    </row>
    <row r="15" spans="1:17">
      <c r="B15" s="66"/>
    </row>
    <row r="16" spans="1:17">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420</vt:lpstr>
      <vt:lpstr>280W</vt:lpstr>
      <vt:lpstr>280Ⅱ</vt:lpstr>
      <vt:lpstr>CLSM</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HAO ZHE TSENG</cp:lastModifiedBy>
  <cp:lastPrinted>2026-02-25T05:48:55Z</cp:lastPrinted>
  <dcterms:created xsi:type="dcterms:W3CDTF">2022-03-16T07:54:00Z</dcterms:created>
  <dcterms:modified xsi:type="dcterms:W3CDTF">2026-03-04T09:18:09Z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