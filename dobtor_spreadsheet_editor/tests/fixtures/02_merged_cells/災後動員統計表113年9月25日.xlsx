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9040" windowHeight="15720" tabRatio="777" activeTab="3"/>
  </bookViews>
  <sheets>
    <sheet name="113年9月23日" sheetId="31" r:id="rId1"/>
    <sheet name="113年9月24日" sheetId="62" r:id="rId2"/>
    <sheet name="113年9月25日" sheetId="63" r:id="rId3"/>
    <sheet name="113年9月26日" sheetId="64" r:id="rId4"/>
    <sheet name="工程基本資料" sheetId="13" r:id="rId5"/>
  </sheets>
  <definedNames>
    <definedName name="_xlnm._FilterDatabase" localSheetId="0" hidden="1">'113年9月23日'!$N$2:$O$57</definedName>
    <definedName name="_xlnm._FilterDatabase" localSheetId="1" hidden="1">'113年9月24日'!$N$2:$O$57</definedName>
    <definedName name="_xlnm._FilterDatabase" localSheetId="2" hidden="1">'113年9月25日'!$P$2:$Q$57</definedName>
    <definedName name="_xlnm._FilterDatabase" localSheetId="3" hidden="1">'113年9月26日'!$P$2:$Q$57</definedName>
    <definedName name="_xlnm._FilterDatabase" localSheetId="4" hidden="1">工程基本資料!$A$2:$L$18</definedName>
    <definedName name="_xlnm.Print_Area" localSheetId="0">'113年9月23日'!$B$2:$M$124</definedName>
    <definedName name="_xlnm.Print_Area" localSheetId="1">'113年9月24日'!$B$2:$M$124</definedName>
    <definedName name="_xlnm.Print_Area" localSheetId="2">'113年9月25日'!$B$2:$O$124</definedName>
    <definedName name="_xlnm.Print_Area" localSheetId="3">'113年9月26日'!$B$2:$O$124</definedName>
    <definedName name="_xlnm.Print_Area" localSheetId="4">工程基本資料!$A$1:$M$19</definedName>
    <definedName name="_xlnm.Print_Titles" localSheetId="4">工程基本資料!$1:$1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4" i="64" l="1"/>
  <c r="D123" i="64"/>
  <c r="P123" i="64" s="1"/>
  <c r="D122" i="64"/>
  <c r="D121" i="64"/>
  <c r="P121" i="64" s="1"/>
  <c r="D120" i="64"/>
  <c r="P120" i="64" s="1"/>
  <c r="D119" i="64"/>
  <c r="P119" i="64" s="1"/>
  <c r="D118" i="64"/>
  <c r="P118" i="64" s="1"/>
  <c r="D117" i="64"/>
  <c r="P117" i="64" s="1"/>
  <c r="D116" i="64"/>
  <c r="P116" i="64" s="1"/>
  <c r="O105" i="64"/>
  <c r="N105" i="64"/>
  <c r="Q102" i="64" s="1"/>
  <c r="Q103" i="64" s="1"/>
  <c r="Q104" i="64" s="1"/>
  <c r="Q105" i="64" s="1"/>
  <c r="Q106" i="64" s="1"/>
  <c r="Q107" i="64" s="1"/>
  <c r="Q108" i="64" s="1"/>
  <c r="Q109" i="64" s="1"/>
  <c r="Q110" i="64" s="1"/>
  <c r="Q111" i="64" s="1"/>
  <c r="Q112" i="64" s="1"/>
  <c r="B104" i="64"/>
  <c r="B103" i="64"/>
  <c r="O102" i="64"/>
  <c r="P102" i="64" s="1"/>
  <c r="P103" i="64" s="1"/>
  <c r="P104" i="64" s="1"/>
  <c r="P105" i="64" s="1"/>
  <c r="P106" i="64" s="1"/>
  <c r="P107" i="64" s="1"/>
  <c r="P108" i="64" s="1"/>
  <c r="P109" i="64" s="1"/>
  <c r="P110" i="64" s="1"/>
  <c r="G102" i="64"/>
  <c r="O94" i="64"/>
  <c r="N94" i="64"/>
  <c r="Q91" i="64" s="1"/>
  <c r="Q92" i="64" s="1"/>
  <c r="Q93" i="64" s="1"/>
  <c r="Q94" i="64" s="1"/>
  <c r="Q95" i="64" s="1"/>
  <c r="Q96" i="64" s="1"/>
  <c r="Q97" i="64" s="1"/>
  <c r="Q98" i="64" s="1"/>
  <c r="Q99" i="64" s="1"/>
  <c r="Q100" i="64" s="1"/>
  <c r="Q101" i="64" s="1"/>
  <c r="B93" i="64"/>
  <c r="B92" i="64"/>
  <c r="O91" i="64"/>
  <c r="P91" i="64" s="1"/>
  <c r="P92" i="64" s="1"/>
  <c r="P93" i="64" s="1"/>
  <c r="P94" i="64" s="1"/>
  <c r="P95" i="64" s="1"/>
  <c r="P96" i="64" s="1"/>
  <c r="P97" i="64" s="1"/>
  <c r="P98" i="64" s="1"/>
  <c r="P99" i="64" s="1"/>
  <c r="G91" i="64"/>
  <c r="O83" i="64"/>
  <c r="N83" i="64"/>
  <c r="Q80" i="64" s="1"/>
  <c r="Q81" i="64" s="1"/>
  <c r="Q82" i="64" s="1"/>
  <c r="Q83" i="64" s="1"/>
  <c r="Q84" i="64" s="1"/>
  <c r="Q85" i="64" s="1"/>
  <c r="Q86" i="64" s="1"/>
  <c r="Q87" i="64" s="1"/>
  <c r="Q88" i="64" s="1"/>
  <c r="Q89" i="64" s="1"/>
  <c r="Q90" i="64" s="1"/>
  <c r="B82" i="64"/>
  <c r="B81" i="64"/>
  <c r="O80" i="64"/>
  <c r="P80" i="64" s="1"/>
  <c r="P81" i="64" s="1"/>
  <c r="P82" i="64" s="1"/>
  <c r="P83" i="64" s="1"/>
  <c r="P84" i="64" s="1"/>
  <c r="P85" i="64" s="1"/>
  <c r="P86" i="64" s="1"/>
  <c r="P87" i="64" s="1"/>
  <c r="P88" i="64" s="1"/>
  <c r="G80" i="64"/>
  <c r="O72" i="64"/>
  <c r="N72" i="64"/>
  <c r="Q69" i="64" s="1"/>
  <c r="Q70" i="64" s="1"/>
  <c r="Q71" i="64" s="1"/>
  <c r="Q72" i="64" s="1"/>
  <c r="Q73" i="64" s="1"/>
  <c r="Q74" i="64" s="1"/>
  <c r="Q75" i="64" s="1"/>
  <c r="Q76" i="64" s="1"/>
  <c r="Q77" i="64" s="1"/>
  <c r="Q78" i="64" s="1"/>
  <c r="Q79" i="64" s="1"/>
  <c r="B71" i="64"/>
  <c r="B70" i="64"/>
  <c r="O69" i="64"/>
  <c r="P69" i="64" s="1"/>
  <c r="P70" i="64" s="1"/>
  <c r="P71" i="64" s="1"/>
  <c r="P72" i="64" s="1"/>
  <c r="P73" i="64" s="1"/>
  <c r="P74" i="64" s="1"/>
  <c r="P75" i="64" s="1"/>
  <c r="P76" i="64" s="1"/>
  <c r="P77" i="64" s="1"/>
  <c r="G69" i="64"/>
  <c r="O61" i="64"/>
  <c r="N61" i="64"/>
  <c r="Q58" i="64" s="1"/>
  <c r="Q59" i="64" s="1"/>
  <c r="Q60" i="64" s="1"/>
  <c r="Q61" i="64" s="1"/>
  <c r="Q62" i="64" s="1"/>
  <c r="Q63" i="64" s="1"/>
  <c r="Q64" i="64" s="1"/>
  <c r="Q65" i="64" s="1"/>
  <c r="Q66" i="64" s="1"/>
  <c r="Q67" i="64" s="1"/>
  <c r="Q68" i="64" s="1"/>
  <c r="B60" i="64"/>
  <c r="B59" i="64"/>
  <c r="O58" i="64"/>
  <c r="P58" i="64" s="1"/>
  <c r="P59" i="64" s="1"/>
  <c r="P60" i="64" s="1"/>
  <c r="P61" i="64" s="1"/>
  <c r="P62" i="64" s="1"/>
  <c r="P63" i="64" s="1"/>
  <c r="P64" i="64" s="1"/>
  <c r="P65" i="64" s="1"/>
  <c r="P66" i="64" s="1"/>
  <c r="G58" i="64"/>
  <c r="O50" i="64"/>
  <c r="N50" i="64"/>
  <c r="B49" i="64"/>
  <c r="B48" i="64"/>
  <c r="Q47" i="64"/>
  <c r="Q48" i="64" s="1"/>
  <c r="Q49" i="64" s="1"/>
  <c r="Q50" i="64" s="1"/>
  <c r="Q51" i="64" s="1"/>
  <c r="Q52" i="64" s="1"/>
  <c r="Q53" i="64" s="1"/>
  <c r="Q54" i="64" s="1"/>
  <c r="Q55" i="64" s="1"/>
  <c r="Q56" i="64" s="1"/>
  <c r="Q57" i="64" s="1"/>
  <c r="O47" i="64"/>
  <c r="P47" i="64" s="1"/>
  <c r="P48" i="64" s="1"/>
  <c r="P49" i="64" s="1"/>
  <c r="P50" i="64" s="1"/>
  <c r="P51" i="64" s="1"/>
  <c r="P52" i="64" s="1"/>
  <c r="P53" i="64" s="1"/>
  <c r="P54" i="64" s="1"/>
  <c r="P55" i="64" s="1"/>
  <c r="G47" i="64"/>
  <c r="O39" i="64"/>
  <c r="N39" i="64"/>
  <c r="B38" i="64"/>
  <c r="B37" i="64"/>
  <c r="Q36" i="64"/>
  <c r="Q37" i="64" s="1"/>
  <c r="Q38" i="64" s="1"/>
  <c r="Q39" i="64" s="1"/>
  <c r="Q40" i="64" s="1"/>
  <c r="Q41" i="64" s="1"/>
  <c r="Q42" i="64" s="1"/>
  <c r="Q43" i="64" s="1"/>
  <c r="Q44" i="64" s="1"/>
  <c r="Q45" i="64" s="1"/>
  <c r="Q46" i="64" s="1"/>
  <c r="O36" i="64"/>
  <c r="P36" i="64" s="1"/>
  <c r="P37" i="64" s="1"/>
  <c r="P38" i="64" s="1"/>
  <c r="P39" i="64" s="1"/>
  <c r="P40" i="64" s="1"/>
  <c r="P41" i="64" s="1"/>
  <c r="P42" i="64" s="1"/>
  <c r="P43" i="64" s="1"/>
  <c r="P44" i="64" s="1"/>
  <c r="P45" i="64" s="1"/>
  <c r="P46" i="64" s="1"/>
  <c r="G36" i="64"/>
  <c r="O28" i="64"/>
  <c r="N28" i="64"/>
  <c r="B27" i="64"/>
  <c r="B26" i="64"/>
  <c r="Q25" i="64"/>
  <c r="Q26" i="64" s="1"/>
  <c r="Q27" i="64" s="1"/>
  <c r="Q28" i="64" s="1"/>
  <c r="Q29" i="64" s="1"/>
  <c r="Q30" i="64" s="1"/>
  <c r="Q31" i="64" s="1"/>
  <c r="Q32" i="64" s="1"/>
  <c r="Q33" i="64" s="1"/>
  <c r="Q34" i="64" s="1"/>
  <c r="Q35" i="64" s="1"/>
  <c r="O25" i="64"/>
  <c r="P25" i="64" s="1"/>
  <c r="P26" i="64" s="1"/>
  <c r="P27" i="64" s="1"/>
  <c r="P28" i="64" s="1"/>
  <c r="P29" i="64" s="1"/>
  <c r="P30" i="64" s="1"/>
  <c r="P31" i="64" s="1"/>
  <c r="P32" i="64" s="1"/>
  <c r="P33" i="64" s="1"/>
  <c r="P34" i="64" s="1"/>
  <c r="P35" i="64" s="1"/>
  <c r="G25" i="64"/>
  <c r="O17" i="64"/>
  <c r="N17" i="64"/>
  <c r="Q14" i="64" s="1"/>
  <c r="Q15" i="64" s="1"/>
  <c r="Q16" i="64" s="1"/>
  <c r="Q17" i="64" s="1"/>
  <c r="Q18" i="64" s="1"/>
  <c r="Q19" i="64" s="1"/>
  <c r="Q20" i="64" s="1"/>
  <c r="Q21" i="64" s="1"/>
  <c r="Q22" i="64" s="1"/>
  <c r="Q23" i="64" s="1"/>
  <c r="Q24" i="64" s="1"/>
  <c r="B16" i="64"/>
  <c r="B15" i="64"/>
  <c r="O14" i="64"/>
  <c r="P14" i="64" s="1"/>
  <c r="P15" i="64" s="1"/>
  <c r="P16" i="64" s="1"/>
  <c r="P17" i="64" s="1"/>
  <c r="P18" i="64" s="1"/>
  <c r="P19" i="64" s="1"/>
  <c r="P20" i="64" s="1"/>
  <c r="P21" i="64" s="1"/>
  <c r="P22" i="64" s="1"/>
  <c r="G14" i="64"/>
  <c r="O6" i="64"/>
  <c r="N6" i="64"/>
  <c r="Q3" i="64" s="1"/>
  <c r="Q4" i="64" s="1"/>
  <c r="Q5" i="64" s="1"/>
  <c r="Q6" i="64" s="1"/>
  <c r="Q7" i="64" s="1"/>
  <c r="Q8" i="64" s="1"/>
  <c r="Q9" i="64" s="1"/>
  <c r="Q10" i="64" s="1"/>
  <c r="Q11" i="64" s="1"/>
  <c r="Q12" i="64" s="1"/>
  <c r="Q13" i="64" s="1"/>
  <c r="B5" i="64"/>
  <c r="B4" i="64"/>
  <c r="O3" i="64"/>
  <c r="P3" i="64" s="1"/>
  <c r="P4" i="64" s="1"/>
  <c r="P5" i="64" s="1"/>
  <c r="P6" i="64" s="1"/>
  <c r="P7" i="64" s="1"/>
  <c r="P8" i="64" s="1"/>
  <c r="P9" i="64" s="1"/>
  <c r="P10" i="64" s="1"/>
  <c r="P11" i="64" s="1"/>
  <c r="P12" i="64" s="1"/>
  <c r="P13" i="64" s="1"/>
  <c r="P122" i="64" l="1"/>
  <c r="P124" i="64"/>
  <c r="P111" i="64"/>
  <c r="P112" i="64"/>
  <c r="P23" i="64"/>
  <c r="P24" i="64"/>
  <c r="P79" i="64"/>
  <c r="P78" i="64"/>
  <c r="P101" i="64"/>
  <c r="P100" i="64"/>
  <c r="P89" i="64"/>
  <c r="P90" i="64"/>
  <c r="P67" i="64"/>
  <c r="P68" i="64"/>
  <c r="P57" i="64"/>
  <c r="P56" i="64"/>
  <c r="D124" i="63"/>
  <c r="P124" i="63" s="1"/>
  <c r="D123" i="63"/>
  <c r="P123" i="63" s="1"/>
  <c r="D122" i="63"/>
  <c r="P122" i="63" s="1"/>
  <c r="D121" i="63"/>
  <c r="P121" i="63" s="1"/>
  <c r="D120" i="63"/>
  <c r="P120" i="63" s="1"/>
  <c r="D119" i="63"/>
  <c r="P119" i="63" s="1"/>
  <c r="D118" i="63"/>
  <c r="P118" i="63" s="1"/>
  <c r="D117" i="63"/>
  <c r="D116" i="63"/>
  <c r="P116" i="63" s="1"/>
  <c r="O105" i="63"/>
  <c r="N105" i="63"/>
  <c r="Q102" i="63" s="1"/>
  <c r="Q103" i="63" s="1"/>
  <c r="Q104" i="63" s="1"/>
  <c r="Q105" i="63" s="1"/>
  <c r="Q106" i="63" s="1"/>
  <c r="Q107" i="63" s="1"/>
  <c r="Q108" i="63" s="1"/>
  <c r="Q109" i="63" s="1"/>
  <c r="Q110" i="63" s="1"/>
  <c r="Q111" i="63" s="1"/>
  <c r="Q112" i="63" s="1"/>
  <c r="B104" i="63"/>
  <c r="B103" i="63"/>
  <c r="O102" i="63"/>
  <c r="P102" i="63" s="1"/>
  <c r="P103" i="63" s="1"/>
  <c r="P104" i="63" s="1"/>
  <c r="P105" i="63" s="1"/>
  <c r="P106" i="63" s="1"/>
  <c r="P107" i="63" s="1"/>
  <c r="P108" i="63" s="1"/>
  <c r="P109" i="63" s="1"/>
  <c r="P110" i="63" s="1"/>
  <c r="G102" i="63"/>
  <c r="O94" i="63"/>
  <c r="N94" i="63"/>
  <c r="Q91" i="63" s="1"/>
  <c r="Q92" i="63" s="1"/>
  <c r="Q93" i="63" s="1"/>
  <c r="Q94" i="63" s="1"/>
  <c r="Q95" i="63" s="1"/>
  <c r="Q96" i="63" s="1"/>
  <c r="Q97" i="63" s="1"/>
  <c r="Q98" i="63" s="1"/>
  <c r="Q99" i="63" s="1"/>
  <c r="Q100" i="63" s="1"/>
  <c r="Q101" i="63" s="1"/>
  <c r="B93" i="63"/>
  <c r="B92" i="63"/>
  <c r="O91" i="63"/>
  <c r="P91" i="63" s="1"/>
  <c r="P92" i="63" s="1"/>
  <c r="P93" i="63" s="1"/>
  <c r="P94" i="63" s="1"/>
  <c r="P95" i="63" s="1"/>
  <c r="P96" i="63" s="1"/>
  <c r="P97" i="63" s="1"/>
  <c r="P98" i="63" s="1"/>
  <c r="P99" i="63" s="1"/>
  <c r="G91" i="63"/>
  <c r="O83" i="63"/>
  <c r="N83" i="63"/>
  <c r="Q80" i="63" s="1"/>
  <c r="Q81" i="63" s="1"/>
  <c r="Q82" i="63" s="1"/>
  <c r="Q83" i="63" s="1"/>
  <c r="Q84" i="63" s="1"/>
  <c r="Q85" i="63" s="1"/>
  <c r="Q86" i="63" s="1"/>
  <c r="Q87" i="63" s="1"/>
  <c r="Q88" i="63" s="1"/>
  <c r="Q89" i="63" s="1"/>
  <c r="Q90" i="63" s="1"/>
  <c r="B82" i="63"/>
  <c r="B81" i="63"/>
  <c r="O80" i="63"/>
  <c r="P80" i="63" s="1"/>
  <c r="P81" i="63" s="1"/>
  <c r="P82" i="63" s="1"/>
  <c r="P83" i="63" s="1"/>
  <c r="P84" i="63" s="1"/>
  <c r="P85" i="63" s="1"/>
  <c r="P86" i="63" s="1"/>
  <c r="P87" i="63" s="1"/>
  <c r="P88" i="63" s="1"/>
  <c r="G80" i="63"/>
  <c r="O72" i="63"/>
  <c r="N72" i="63"/>
  <c r="Q69" i="63" s="1"/>
  <c r="Q70" i="63" s="1"/>
  <c r="Q71" i="63" s="1"/>
  <c r="Q72" i="63" s="1"/>
  <c r="Q73" i="63" s="1"/>
  <c r="Q74" i="63" s="1"/>
  <c r="Q75" i="63" s="1"/>
  <c r="Q76" i="63" s="1"/>
  <c r="Q77" i="63" s="1"/>
  <c r="Q78" i="63" s="1"/>
  <c r="Q79" i="63" s="1"/>
  <c r="B71" i="63"/>
  <c r="B70" i="63"/>
  <c r="O69" i="63"/>
  <c r="P69" i="63" s="1"/>
  <c r="P70" i="63" s="1"/>
  <c r="P71" i="63" s="1"/>
  <c r="P72" i="63" s="1"/>
  <c r="P73" i="63" s="1"/>
  <c r="P74" i="63" s="1"/>
  <c r="P75" i="63" s="1"/>
  <c r="P76" i="63" s="1"/>
  <c r="P77" i="63" s="1"/>
  <c r="G69" i="63"/>
  <c r="O61" i="63"/>
  <c r="N61" i="63"/>
  <c r="Q58" i="63" s="1"/>
  <c r="Q59" i="63" s="1"/>
  <c r="Q60" i="63" s="1"/>
  <c r="Q61" i="63" s="1"/>
  <c r="Q62" i="63" s="1"/>
  <c r="Q63" i="63" s="1"/>
  <c r="Q64" i="63" s="1"/>
  <c r="Q65" i="63" s="1"/>
  <c r="Q66" i="63" s="1"/>
  <c r="Q67" i="63" s="1"/>
  <c r="Q68" i="63" s="1"/>
  <c r="B60" i="63"/>
  <c r="B59" i="63"/>
  <c r="O58" i="63"/>
  <c r="P58" i="63" s="1"/>
  <c r="P59" i="63" s="1"/>
  <c r="P60" i="63" s="1"/>
  <c r="P61" i="63" s="1"/>
  <c r="P62" i="63" s="1"/>
  <c r="P63" i="63" s="1"/>
  <c r="P64" i="63" s="1"/>
  <c r="P65" i="63" s="1"/>
  <c r="P66" i="63" s="1"/>
  <c r="G58" i="63"/>
  <c r="O50" i="63"/>
  <c r="N50" i="63"/>
  <c r="Q47" i="63" s="1"/>
  <c r="Q48" i="63" s="1"/>
  <c r="Q49" i="63" s="1"/>
  <c r="Q50" i="63" s="1"/>
  <c r="Q51" i="63" s="1"/>
  <c r="Q52" i="63" s="1"/>
  <c r="Q53" i="63" s="1"/>
  <c r="Q54" i="63" s="1"/>
  <c r="Q55" i="63" s="1"/>
  <c r="Q56" i="63" s="1"/>
  <c r="Q57" i="63" s="1"/>
  <c r="B49" i="63"/>
  <c r="B48" i="63"/>
  <c r="O47" i="63"/>
  <c r="P47" i="63" s="1"/>
  <c r="P48" i="63" s="1"/>
  <c r="P49" i="63" s="1"/>
  <c r="P50" i="63" s="1"/>
  <c r="P51" i="63" s="1"/>
  <c r="P52" i="63" s="1"/>
  <c r="P53" i="63" s="1"/>
  <c r="P54" i="63" s="1"/>
  <c r="P55" i="63" s="1"/>
  <c r="G47" i="63"/>
  <c r="O39" i="63"/>
  <c r="N39" i="63"/>
  <c r="B38" i="63"/>
  <c r="B37" i="63"/>
  <c r="Q36" i="63"/>
  <c r="Q37" i="63" s="1"/>
  <c r="Q38" i="63" s="1"/>
  <c r="Q39" i="63" s="1"/>
  <c r="Q40" i="63" s="1"/>
  <c r="Q41" i="63" s="1"/>
  <c r="Q42" i="63" s="1"/>
  <c r="Q43" i="63" s="1"/>
  <c r="Q44" i="63" s="1"/>
  <c r="Q45" i="63" s="1"/>
  <c r="Q46" i="63" s="1"/>
  <c r="O36" i="63"/>
  <c r="P36" i="63" s="1"/>
  <c r="P37" i="63" s="1"/>
  <c r="P38" i="63" s="1"/>
  <c r="P39" i="63" s="1"/>
  <c r="P40" i="63" s="1"/>
  <c r="P41" i="63" s="1"/>
  <c r="P42" i="63" s="1"/>
  <c r="P43" i="63" s="1"/>
  <c r="P44" i="63" s="1"/>
  <c r="P45" i="63" s="1"/>
  <c r="P46" i="63" s="1"/>
  <c r="G36" i="63"/>
  <c r="O28" i="63"/>
  <c r="N28" i="63"/>
  <c r="Q25" i="63" s="1"/>
  <c r="Q26" i="63" s="1"/>
  <c r="Q27" i="63" s="1"/>
  <c r="Q28" i="63" s="1"/>
  <c r="Q29" i="63" s="1"/>
  <c r="Q30" i="63" s="1"/>
  <c r="Q31" i="63" s="1"/>
  <c r="Q32" i="63" s="1"/>
  <c r="Q33" i="63" s="1"/>
  <c r="Q34" i="63" s="1"/>
  <c r="Q35" i="63" s="1"/>
  <c r="B27" i="63"/>
  <c r="B26" i="63"/>
  <c r="O25" i="63"/>
  <c r="P25" i="63" s="1"/>
  <c r="P26" i="63" s="1"/>
  <c r="P27" i="63" s="1"/>
  <c r="P28" i="63" s="1"/>
  <c r="P29" i="63" s="1"/>
  <c r="P30" i="63" s="1"/>
  <c r="P31" i="63" s="1"/>
  <c r="P32" i="63" s="1"/>
  <c r="P33" i="63" s="1"/>
  <c r="P34" i="63" s="1"/>
  <c r="P35" i="63" s="1"/>
  <c r="G25" i="63"/>
  <c r="O17" i="63"/>
  <c r="N17" i="63"/>
  <c r="Q14" i="63" s="1"/>
  <c r="Q15" i="63" s="1"/>
  <c r="Q16" i="63" s="1"/>
  <c r="Q17" i="63" s="1"/>
  <c r="Q18" i="63" s="1"/>
  <c r="Q19" i="63" s="1"/>
  <c r="Q20" i="63" s="1"/>
  <c r="Q21" i="63" s="1"/>
  <c r="Q22" i="63" s="1"/>
  <c r="Q23" i="63" s="1"/>
  <c r="Q24" i="63" s="1"/>
  <c r="B16" i="63"/>
  <c r="B15" i="63"/>
  <c r="O14" i="63"/>
  <c r="P14" i="63" s="1"/>
  <c r="P15" i="63" s="1"/>
  <c r="P16" i="63" s="1"/>
  <c r="P17" i="63" s="1"/>
  <c r="P18" i="63" s="1"/>
  <c r="P19" i="63" s="1"/>
  <c r="P20" i="63" s="1"/>
  <c r="P21" i="63" s="1"/>
  <c r="P22" i="63" s="1"/>
  <c r="G14" i="63"/>
  <c r="O6" i="63"/>
  <c r="N6" i="63"/>
  <c r="Q3" i="63" s="1"/>
  <c r="Q4" i="63" s="1"/>
  <c r="Q5" i="63" s="1"/>
  <c r="Q6" i="63" s="1"/>
  <c r="Q7" i="63" s="1"/>
  <c r="Q8" i="63" s="1"/>
  <c r="Q9" i="63" s="1"/>
  <c r="Q10" i="63" s="1"/>
  <c r="Q11" i="63" s="1"/>
  <c r="Q12" i="63" s="1"/>
  <c r="Q13" i="63" s="1"/>
  <c r="B5" i="63"/>
  <c r="B4" i="63"/>
  <c r="O3" i="63"/>
  <c r="P3" i="63" s="1"/>
  <c r="P4" i="63" s="1"/>
  <c r="P5" i="63" s="1"/>
  <c r="P6" i="63" s="1"/>
  <c r="P7" i="63" s="1"/>
  <c r="P8" i="63" s="1"/>
  <c r="P9" i="63" s="1"/>
  <c r="P10" i="63" s="1"/>
  <c r="P11" i="63" s="1"/>
  <c r="P12" i="63" s="1"/>
  <c r="P13" i="63" s="1"/>
  <c r="P117" i="63" l="1"/>
  <c r="P24" i="63"/>
  <c r="P23" i="63"/>
  <c r="P57" i="63"/>
  <c r="P56" i="63"/>
  <c r="P101" i="63"/>
  <c r="P100" i="63"/>
  <c r="P79" i="63"/>
  <c r="P78" i="63"/>
  <c r="P68" i="63"/>
  <c r="P67" i="63"/>
  <c r="P90" i="63"/>
  <c r="P89" i="63"/>
  <c r="P112" i="63"/>
  <c r="P111" i="63"/>
  <c r="D124" i="62"/>
  <c r="N124" i="62" s="1"/>
  <c r="D123" i="62"/>
  <c r="N123" i="62" s="1"/>
  <c r="D122" i="62"/>
  <c r="N122" i="62" s="1"/>
  <c r="D121" i="62"/>
  <c r="N121" i="62" s="1"/>
  <c r="D120" i="62"/>
  <c r="N120" i="62" s="1"/>
  <c r="D119" i="62"/>
  <c r="D118" i="62"/>
  <c r="D117" i="62"/>
  <c r="N117" i="62" s="1"/>
  <c r="D116" i="62"/>
  <c r="N116" i="62" s="1"/>
  <c r="M105" i="62"/>
  <c r="L105" i="62"/>
  <c r="O102" i="62" s="1"/>
  <c r="O103" i="62" s="1"/>
  <c r="O104" i="62" s="1"/>
  <c r="O105" i="62" s="1"/>
  <c r="O106" i="62" s="1"/>
  <c r="O107" i="62" s="1"/>
  <c r="O108" i="62" s="1"/>
  <c r="O109" i="62" s="1"/>
  <c r="O110" i="62" s="1"/>
  <c r="O111" i="62" s="1"/>
  <c r="O112" i="62" s="1"/>
  <c r="B104" i="62"/>
  <c r="B103" i="62"/>
  <c r="M102" i="62"/>
  <c r="N102" i="62" s="1"/>
  <c r="N103" i="62" s="1"/>
  <c r="N104" i="62" s="1"/>
  <c r="N105" i="62" s="1"/>
  <c r="N106" i="62" s="1"/>
  <c r="N107" i="62" s="1"/>
  <c r="N108" i="62" s="1"/>
  <c r="N109" i="62" s="1"/>
  <c r="N110" i="62" s="1"/>
  <c r="G102" i="62"/>
  <c r="M94" i="62"/>
  <c r="L94" i="62"/>
  <c r="O91" i="62" s="1"/>
  <c r="O92" i="62" s="1"/>
  <c r="O93" i="62" s="1"/>
  <c r="O94" i="62" s="1"/>
  <c r="O95" i="62" s="1"/>
  <c r="O96" i="62" s="1"/>
  <c r="O97" i="62" s="1"/>
  <c r="O98" i="62" s="1"/>
  <c r="O99" i="62" s="1"/>
  <c r="O100" i="62" s="1"/>
  <c r="O101" i="62" s="1"/>
  <c r="B93" i="62"/>
  <c r="B92" i="62"/>
  <c r="M91" i="62"/>
  <c r="N91" i="62" s="1"/>
  <c r="N92" i="62" s="1"/>
  <c r="N93" i="62" s="1"/>
  <c r="N94" i="62" s="1"/>
  <c r="N95" i="62" s="1"/>
  <c r="N96" i="62" s="1"/>
  <c r="N97" i="62" s="1"/>
  <c r="N98" i="62" s="1"/>
  <c r="N99" i="62" s="1"/>
  <c r="G91" i="62"/>
  <c r="M83" i="62"/>
  <c r="L83" i="62"/>
  <c r="O80" i="62" s="1"/>
  <c r="O81" i="62" s="1"/>
  <c r="O82" i="62" s="1"/>
  <c r="O83" i="62" s="1"/>
  <c r="O84" i="62" s="1"/>
  <c r="O85" i="62" s="1"/>
  <c r="O86" i="62" s="1"/>
  <c r="O87" i="62" s="1"/>
  <c r="O88" i="62" s="1"/>
  <c r="O89" i="62" s="1"/>
  <c r="O90" i="62" s="1"/>
  <c r="B82" i="62"/>
  <c r="B81" i="62"/>
  <c r="M80" i="62"/>
  <c r="N80" i="62" s="1"/>
  <c r="N81" i="62" s="1"/>
  <c r="N82" i="62" s="1"/>
  <c r="N83" i="62" s="1"/>
  <c r="N84" i="62" s="1"/>
  <c r="N85" i="62" s="1"/>
  <c r="N86" i="62" s="1"/>
  <c r="N87" i="62" s="1"/>
  <c r="N88" i="62" s="1"/>
  <c r="G80" i="62"/>
  <c r="M72" i="62"/>
  <c r="L72" i="62"/>
  <c r="B71" i="62"/>
  <c r="B70" i="62"/>
  <c r="O69" i="62"/>
  <c r="O70" i="62" s="1"/>
  <c r="O71" i="62" s="1"/>
  <c r="O72" i="62" s="1"/>
  <c r="O73" i="62" s="1"/>
  <c r="O74" i="62" s="1"/>
  <c r="O75" i="62" s="1"/>
  <c r="O76" i="62" s="1"/>
  <c r="O77" i="62" s="1"/>
  <c r="O78" i="62" s="1"/>
  <c r="O79" i="62" s="1"/>
  <c r="M69" i="62"/>
  <c r="N69" i="62" s="1"/>
  <c r="N70" i="62" s="1"/>
  <c r="N71" i="62" s="1"/>
  <c r="N72" i="62" s="1"/>
  <c r="N73" i="62" s="1"/>
  <c r="N74" i="62" s="1"/>
  <c r="N75" i="62" s="1"/>
  <c r="N76" i="62" s="1"/>
  <c r="N77" i="62" s="1"/>
  <c r="G69" i="62"/>
  <c r="M61" i="62"/>
  <c r="L61" i="62"/>
  <c r="O58" i="62" s="1"/>
  <c r="O59" i="62" s="1"/>
  <c r="O60" i="62" s="1"/>
  <c r="O61" i="62" s="1"/>
  <c r="O62" i="62" s="1"/>
  <c r="O63" i="62" s="1"/>
  <c r="O64" i="62" s="1"/>
  <c r="O65" i="62" s="1"/>
  <c r="O66" i="62" s="1"/>
  <c r="O67" i="62" s="1"/>
  <c r="O68" i="62" s="1"/>
  <c r="B60" i="62"/>
  <c r="B59" i="62"/>
  <c r="M58" i="62"/>
  <c r="N58" i="62" s="1"/>
  <c r="N59" i="62" s="1"/>
  <c r="N60" i="62" s="1"/>
  <c r="N61" i="62" s="1"/>
  <c r="N62" i="62" s="1"/>
  <c r="N63" i="62" s="1"/>
  <c r="N64" i="62" s="1"/>
  <c r="N65" i="62" s="1"/>
  <c r="N66" i="62" s="1"/>
  <c r="G58" i="62"/>
  <c r="M50" i="62"/>
  <c r="L50" i="62"/>
  <c r="O47" i="62" s="1"/>
  <c r="O48" i="62" s="1"/>
  <c r="O49" i="62" s="1"/>
  <c r="O50" i="62" s="1"/>
  <c r="O51" i="62" s="1"/>
  <c r="O52" i="62" s="1"/>
  <c r="O53" i="62" s="1"/>
  <c r="O54" i="62" s="1"/>
  <c r="O55" i="62" s="1"/>
  <c r="O56" i="62" s="1"/>
  <c r="O57" i="62" s="1"/>
  <c r="B49" i="62"/>
  <c r="B48" i="62"/>
  <c r="M47" i="62"/>
  <c r="N47" i="62" s="1"/>
  <c r="N48" i="62" s="1"/>
  <c r="N49" i="62" s="1"/>
  <c r="N50" i="62" s="1"/>
  <c r="N51" i="62" s="1"/>
  <c r="N52" i="62" s="1"/>
  <c r="N53" i="62" s="1"/>
  <c r="N54" i="62" s="1"/>
  <c r="N55" i="62" s="1"/>
  <c r="G47" i="62"/>
  <c r="M39" i="62"/>
  <c r="L39" i="62"/>
  <c r="B38" i="62"/>
  <c r="B37" i="62"/>
  <c r="O36" i="62"/>
  <c r="O37" i="62" s="1"/>
  <c r="O38" i="62" s="1"/>
  <c r="O39" i="62" s="1"/>
  <c r="O40" i="62" s="1"/>
  <c r="O41" i="62" s="1"/>
  <c r="O42" i="62" s="1"/>
  <c r="O43" i="62" s="1"/>
  <c r="O44" i="62" s="1"/>
  <c r="O45" i="62" s="1"/>
  <c r="O46" i="62" s="1"/>
  <c r="M36" i="62"/>
  <c r="N36" i="62" s="1"/>
  <c r="N37" i="62" s="1"/>
  <c r="N38" i="62" s="1"/>
  <c r="N39" i="62" s="1"/>
  <c r="N40" i="62" s="1"/>
  <c r="N41" i="62" s="1"/>
  <c r="N42" i="62" s="1"/>
  <c r="N43" i="62" s="1"/>
  <c r="N44" i="62" s="1"/>
  <c r="N45" i="62" s="1"/>
  <c r="N46" i="62" s="1"/>
  <c r="G36" i="62"/>
  <c r="M28" i="62"/>
  <c r="L28" i="62"/>
  <c r="B27" i="62"/>
  <c r="B26" i="62"/>
  <c r="O25" i="62"/>
  <c r="O26" i="62" s="1"/>
  <c r="O27" i="62" s="1"/>
  <c r="O28" i="62" s="1"/>
  <c r="O29" i="62" s="1"/>
  <c r="O30" i="62" s="1"/>
  <c r="O31" i="62" s="1"/>
  <c r="O32" i="62" s="1"/>
  <c r="O33" i="62" s="1"/>
  <c r="O34" i="62" s="1"/>
  <c r="O35" i="62" s="1"/>
  <c r="N25" i="62"/>
  <c r="N26" i="62" s="1"/>
  <c r="N27" i="62" s="1"/>
  <c r="N28" i="62" s="1"/>
  <c r="N29" i="62" s="1"/>
  <c r="N30" i="62" s="1"/>
  <c r="N31" i="62" s="1"/>
  <c r="N32" i="62" s="1"/>
  <c r="N33" i="62" s="1"/>
  <c r="N34" i="62" s="1"/>
  <c r="N35" i="62" s="1"/>
  <c r="M25" i="62"/>
  <c r="G25" i="62"/>
  <c r="M17" i="62"/>
  <c r="L17" i="62"/>
  <c r="O14" i="62" s="1"/>
  <c r="O15" i="62" s="1"/>
  <c r="O16" i="62" s="1"/>
  <c r="O17" i="62" s="1"/>
  <c r="O18" i="62" s="1"/>
  <c r="O19" i="62" s="1"/>
  <c r="O20" i="62" s="1"/>
  <c r="O21" i="62" s="1"/>
  <c r="O22" i="62" s="1"/>
  <c r="O23" i="62" s="1"/>
  <c r="O24" i="62" s="1"/>
  <c r="B16" i="62"/>
  <c r="B15" i="62"/>
  <c r="M14" i="62"/>
  <c r="N14" i="62" s="1"/>
  <c r="N15" i="62" s="1"/>
  <c r="N16" i="62" s="1"/>
  <c r="N17" i="62" s="1"/>
  <c r="N18" i="62" s="1"/>
  <c r="N19" i="62" s="1"/>
  <c r="N20" i="62" s="1"/>
  <c r="N21" i="62" s="1"/>
  <c r="N22" i="62" s="1"/>
  <c r="G14" i="62"/>
  <c r="M6" i="62"/>
  <c r="L6" i="62"/>
  <c r="O3" i="62" s="1"/>
  <c r="O4" i="62" s="1"/>
  <c r="O5" i="62" s="1"/>
  <c r="O6" i="62" s="1"/>
  <c r="O7" i="62" s="1"/>
  <c r="O8" i="62" s="1"/>
  <c r="O9" i="62" s="1"/>
  <c r="O10" i="62" s="1"/>
  <c r="O11" i="62" s="1"/>
  <c r="O12" i="62" s="1"/>
  <c r="O13" i="62" s="1"/>
  <c r="B5" i="62"/>
  <c r="B4" i="62"/>
  <c r="M3" i="62"/>
  <c r="N3" i="62" s="1"/>
  <c r="N4" i="62" s="1"/>
  <c r="N5" i="62" s="1"/>
  <c r="N6" i="62" s="1"/>
  <c r="N7" i="62" s="1"/>
  <c r="N8" i="62" s="1"/>
  <c r="N9" i="62" s="1"/>
  <c r="N10" i="62" s="1"/>
  <c r="N11" i="62" s="1"/>
  <c r="N12" i="62" s="1"/>
  <c r="N13" i="62" s="1"/>
  <c r="N118" i="62" l="1"/>
  <c r="N119" i="62"/>
  <c r="N24" i="62"/>
  <c r="N23" i="62"/>
  <c r="N90" i="62"/>
  <c r="N89" i="62"/>
  <c r="N68" i="62"/>
  <c r="N67" i="62"/>
  <c r="N101" i="62"/>
  <c r="N100" i="62"/>
  <c r="N112" i="62"/>
  <c r="N111" i="62"/>
  <c r="N57" i="62"/>
  <c r="N56" i="62"/>
  <c r="N79" i="62"/>
  <c r="N78" i="62"/>
  <c r="D124" i="31" l="1"/>
  <c r="H124" i="31" s="1"/>
  <c r="H124" i="62" s="1"/>
  <c r="H124" i="63" s="1"/>
  <c r="H124" i="64" s="1"/>
  <c r="D123" i="31"/>
  <c r="H123" i="31" s="1"/>
  <c r="H123" i="62" s="1"/>
  <c r="H123" i="63" s="1"/>
  <c r="H123" i="64" s="1"/>
  <c r="D122" i="31"/>
  <c r="H122" i="31" s="1"/>
  <c r="H122" i="62" s="1"/>
  <c r="H122" i="63" s="1"/>
  <c r="H122" i="64" s="1"/>
  <c r="D121" i="31"/>
  <c r="H121" i="31" s="1"/>
  <c r="H121" i="62" s="1"/>
  <c r="H121" i="63" s="1"/>
  <c r="H121" i="64" s="1"/>
  <c r="D120" i="31"/>
  <c r="H120" i="31" s="1"/>
  <c r="H120" i="62" s="1"/>
  <c r="H120" i="63" s="1"/>
  <c r="H120" i="64" s="1"/>
  <c r="D119" i="31"/>
  <c r="H119" i="31" s="1"/>
  <c r="H119" i="62" s="1"/>
  <c r="H119" i="63" s="1"/>
  <c r="H119" i="64" s="1"/>
  <c r="D118" i="31"/>
  <c r="H118" i="31" s="1"/>
  <c r="H118" i="62" s="1"/>
  <c r="H118" i="63" s="1"/>
  <c r="H118" i="64" s="1"/>
  <c r="D117" i="31"/>
  <c r="H117" i="31" s="1"/>
  <c r="H117" i="62" s="1"/>
  <c r="H117" i="63" s="1"/>
  <c r="H117" i="64" s="1"/>
  <c r="D116" i="31"/>
  <c r="H116" i="31" s="1"/>
  <c r="H116" i="62" s="1"/>
  <c r="H116" i="63" s="1"/>
  <c r="H116" i="64" s="1"/>
  <c r="G102" i="31"/>
  <c r="G91" i="31"/>
  <c r="G80" i="31"/>
  <c r="G69" i="31"/>
  <c r="G58" i="31"/>
  <c r="G47" i="31"/>
  <c r="G36" i="31"/>
  <c r="G25" i="31"/>
  <c r="B104" i="31"/>
  <c r="B103" i="31"/>
  <c r="L105" i="31"/>
  <c r="M105" i="31"/>
  <c r="M102" i="31"/>
  <c r="B93" i="31"/>
  <c r="B92" i="31"/>
  <c r="M94" i="31"/>
  <c r="L94" i="31"/>
  <c r="M91" i="31"/>
  <c r="B82" i="31"/>
  <c r="B81" i="31"/>
  <c r="M83" i="31"/>
  <c r="L83" i="31"/>
  <c r="M80" i="31"/>
  <c r="L72" i="31"/>
  <c r="B71" i="31"/>
  <c r="B70" i="31"/>
  <c r="M72" i="31"/>
  <c r="M69" i="31"/>
  <c r="L61" i="31"/>
  <c r="M61" i="31"/>
  <c r="M58" i="31"/>
  <c r="B60" i="31"/>
  <c r="B59" i="31"/>
  <c r="B49" i="31"/>
  <c r="B48" i="31"/>
  <c r="L28" i="31"/>
  <c r="L39" i="31"/>
  <c r="L50" i="31"/>
  <c r="M50" i="31"/>
  <c r="M47" i="31"/>
  <c r="M39" i="31"/>
  <c r="M36" i="31"/>
  <c r="M28" i="31"/>
  <c r="M25" i="31"/>
  <c r="B38" i="31"/>
  <c r="B37" i="31"/>
  <c r="G14" i="31"/>
  <c r="B27" i="31"/>
  <c r="B26" i="31"/>
  <c r="L17" i="31"/>
  <c r="M17" i="31"/>
  <c r="M14" i="31"/>
  <c r="B16" i="31"/>
  <c r="B15" i="31"/>
  <c r="M6" i="31"/>
  <c r="M3" i="31"/>
  <c r="B4" i="31" l="1"/>
  <c r="O102" i="31"/>
  <c r="O103" i="31" s="1"/>
  <c r="O104" i="31" s="1"/>
  <c r="O105" i="31" s="1"/>
  <c r="O106" i="31" s="1"/>
  <c r="O107" i="31" s="1"/>
  <c r="O108" i="31" s="1"/>
  <c r="O109" i="31" s="1"/>
  <c r="O110" i="31" s="1"/>
  <c r="O111" i="31" s="1"/>
  <c r="O112" i="31" s="1"/>
  <c r="O91" i="31"/>
  <c r="O92" i="31" s="1"/>
  <c r="O93" i="31" s="1"/>
  <c r="O94" i="31" s="1"/>
  <c r="O95" i="31" s="1"/>
  <c r="O96" i="31" s="1"/>
  <c r="O97" i="31" s="1"/>
  <c r="O98" i="31" s="1"/>
  <c r="O99" i="31" s="1"/>
  <c r="O100" i="31" s="1"/>
  <c r="O101" i="31" s="1"/>
  <c r="O80" i="31"/>
  <c r="O81" i="31" s="1"/>
  <c r="O82" i="31" s="1"/>
  <c r="O83" i="31" s="1"/>
  <c r="O84" i="31" s="1"/>
  <c r="O85" i="31" s="1"/>
  <c r="O86" i="31" s="1"/>
  <c r="O87" i="31" s="1"/>
  <c r="O88" i="31" s="1"/>
  <c r="O89" i="31" s="1"/>
  <c r="O90" i="31" s="1"/>
  <c r="O69" i="31"/>
  <c r="O70" i="31" s="1"/>
  <c r="O71" i="31" s="1"/>
  <c r="O72" i="31" s="1"/>
  <c r="O73" i="31" s="1"/>
  <c r="O74" i="31" s="1"/>
  <c r="O75" i="31" s="1"/>
  <c r="O76" i="31" s="1"/>
  <c r="O77" i="31" s="1"/>
  <c r="O78" i="31" s="1"/>
  <c r="O79" i="31" s="1"/>
  <c r="O58" i="31"/>
  <c r="O59" i="31" s="1"/>
  <c r="O60" i="31" s="1"/>
  <c r="O61" i="31" s="1"/>
  <c r="O62" i="31" s="1"/>
  <c r="O63" i="31" s="1"/>
  <c r="O64" i="31" s="1"/>
  <c r="O65" i="31" s="1"/>
  <c r="O66" i="31" s="1"/>
  <c r="O67" i="31" s="1"/>
  <c r="O68" i="31" s="1"/>
  <c r="L6" i="31"/>
  <c r="N102" i="31"/>
  <c r="N103" i="31" s="1"/>
  <c r="N104" i="31" s="1"/>
  <c r="N105" i="31" s="1"/>
  <c r="N106" i="31" s="1"/>
  <c r="N107" i="31" s="1"/>
  <c r="N108" i="31" s="1"/>
  <c r="N109" i="31" s="1"/>
  <c r="N110" i="31" s="1"/>
  <c r="N91" i="31"/>
  <c r="N92" i="31" s="1"/>
  <c r="N93" i="31" s="1"/>
  <c r="N94" i="31" s="1"/>
  <c r="N95" i="31" s="1"/>
  <c r="N96" i="31" s="1"/>
  <c r="N97" i="31" s="1"/>
  <c r="N98" i="31" s="1"/>
  <c r="N99" i="31" s="1"/>
  <c r="N80" i="31"/>
  <c r="N81" i="31" s="1"/>
  <c r="N82" i="31" s="1"/>
  <c r="N83" i="31" s="1"/>
  <c r="N84" i="31" s="1"/>
  <c r="N85" i="31" s="1"/>
  <c r="N86" i="31" s="1"/>
  <c r="N87" i="31" s="1"/>
  <c r="N88" i="31" s="1"/>
  <c r="N69" i="31"/>
  <c r="N70" i="31" s="1"/>
  <c r="N71" i="31" s="1"/>
  <c r="N72" i="31" s="1"/>
  <c r="N73" i="31" s="1"/>
  <c r="N74" i="31" s="1"/>
  <c r="N75" i="31" s="1"/>
  <c r="N76" i="31" s="1"/>
  <c r="N77" i="31" s="1"/>
  <c r="N58" i="31"/>
  <c r="N59" i="31" s="1"/>
  <c r="N60" i="31" s="1"/>
  <c r="N61" i="31" s="1"/>
  <c r="N62" i="31" s="1"/>
  <c r="N63" i="31" s="1"/>
  <c r="N64" i="31" s="1"/>
  <c r="N65" i="31" s="1"/>
  <c r="N66" i="31" s="1"/>
  <c r="B5" i="31"/>
  <c r="N112" i="31" l="1"/>
  <c r="N111" i="31"/>
  <c r="N101" i="31"/>
  <c r="N100" i="31"/>
  <c r="N90" i="31"/>
  <c r="N89" i="31"/>
  <c r="N79" i="31"/>
  <c r="N78" i="31"/>
  <c r="N68" i="31"/>
  <c r="N67" i="31"/>
  <c r="O47" i="31" l="1"/>
  <c r="O48" i="31" s="1"/>
  <c r="O49" i="31" s="1"/>
  <c r="O50" i="31" s="1"/>
  <c r="O51" i="31" s="1"/>
  <c r="O52" i="31" s="1"/>
  <c r="O53" i="31" s="1"/>
  <c r="O54" i="31" s="1"/>
  <c r="O55" i="31" s="1"/>
  <c r="O56" i="31" s="1"/>
  <c r="O57" i="31" s="1"/>
  <c r="N47" i="31"/>
  <c r="N48" i="31" s="1"/>
  <c r="N49" i="31" s="1"/>
  <c r="N50" i="31" s="1"/>
  <c r="N51" i="31" s="1"/>
  <c r="N52" i="31" s="1"/>
  <c r="N53" i="31" s="1"/>
  <c r="N54" i="31" s="1"/>
  <c r="N55" i="31" s="1"/>
  <c r="O36" i="31"/>
  <c r="O37" i="31" s="1"/>
  <c r="O38" i="31" s="1"/>
  <c r="O39" i="31" s="1"/>
  <c r="O40" i="31" s="1"/>
  <c r="O41" i="31" s="1"/>
  <c r="O42" i="31" s="1"/>
  <c r="O43" i="31" s="1"/>
  <c r="O44" i="31" s="1"/>
  <c r="O45" i="31" s="1"/>
  <c r="O46" i="31" s="1"/>
  <c r="N36" i="31"/>
  <c r="N37" i="31" s="1"/>
  <c r="N38" i="31" s="1"/>
  <c r="N39" i="31" s="1"/>
  <c r="N40" i="31" s="1"/>
  <c r="N41" i="31" s="1"/>
  <c r="N42" i="31" s="1"/>
  <c r="N43" i="31" s="1"/>
  <c r="N44" i="31" s="1"/>
  <c r="N45" i="31" s="1"/>
  <c r="N46" i="31" s="1"/>
  <c r="O25" i="31"/>
  <c r="O26" i="31" s="1"/>
  <c r="O27" i="31" s="1"/>
  <c r="O28" i="31" s="1"/>
  <c r="O29" i="31" s="1"/>
  <c r="O30" i="31" s="1"/>
  <c r="O31" i="31" s="1"/>
  <c r="O32" i="31" s="1"/>
  <c r="O33" i="31" s="1"/>
  <c r="O34" i="31" s="1"/>
  <c r="O35" i="31" s="1"/>
  <c r="N25" i="31"/>
  <c r="N26" i="31" s="1"/>
  <c r="N27" i="31" s="1"/>
  <c r="N28" i="31" s="1"/>
  <c r="N29" i="31" s="1"/>
  <c r="N30" i="31" s="1"/>
  <c r="N31" i="31" s="1"/>
  <c r="N32" i="31" s="1"/>
  <c r="N33" i="31" s="1"/>
  <c r="N34" i="31" s="1"/>
  <c r="N35" i="31" s="1"/>
  <c r="O14" i="31"/>
  <c r="O15" i="31" s="1"/>
  <c r="O16" i="31" s="1"/>
  <c r="O17" i="31" s="1"/>
  <c r="O18" i="31" s="1"/>
  <c r="O19" i="31" s="1"/>
  <c r="O20" i="31" s="1"/>
  <c r="O21" i="31" s="1"/>
  <c r="O22" i="31" s="1"/>
  <c r="O23" i="31" s="1"/>
  <c r="O24" i="31" s="1"/>
  <c r="N14" i="31"/>
  <c r="N15" i="31" s="1"/>
  <c r="N16" i="31" s="1"/>
  <c r="N17" i="31" s="1"/>
  <c r="N18" i="31" s="1"/>
  <c r="N19" i="31" s="1"/>
  <c r="N20" i="31" s="1"/>
  <c r="N21" i="31" s="1"/>
  <c r="N22" i="31" s="1"/>
  <c r="O3" i="31"/>
  <c r="O4" i="31" s="1"/>
  <c r="O5" i="31" s="1"/>
  <c r="O6" i="31" s="1"/>
  <c r="O7" i="31" s="1"/>
  <c r="O8" i="31" s="1"/>
  <c r="O9" i="31" s="1"/>
  <c r="O10" i="31" s="1"/>
  <c r="O11" i="31" s="1"/>
  <c r="O12" i="31" s="1"/>
  <c r="O13" i="31" s="1"/>
  <c r="N3" i="31"/>
  <c r="N4" i="31" s="1"/>
  <c r="N5" i="31" s="1"/>
  <c r="N6" i="31" s="1"/>
  <c r="N7" i="31" s="1"/>
  <c r="N8" i="31" s="1"/>
  <c r="N9" i="31" s="1"/>
  <c r="N10" i="31" s="1"/>
  <c r="N11" i="31" s="1"/>
  <c r="N12" i="31" s="1"/>
  <c r="N13" i="31" s="1"/>
  <c r="N120" i="31" l="1"/>
  <c r="N124" i="31"/>
  <c r="N117" i="31"/>
  <c r="N122" i="31"/>
  <c r="N119" i="31"/>
  <c r="N118" i="31"/>
  <c r="N123" i="31"/>
  <c r="N24" i="31"/>
  <c r="N23" i="31"/>
  <c r="N57" i="31"/>
  <c r="N56" i="31"/>
  <c r="N121" i="31"/>
  <c r="N116" i="31" l="1"/>
  <c r="U5" i="13" l="1"/>
  <c r="U4" i="13"/>
  <c r="U3" i="13"/>
</calcChain>
</file>

<file path=xl/sharedStrings.xml><?xml version="1.0" encoding="utf-8"?>
<sst xmlns="http://schemas.openxmlformats.org/spreadsheetml/2006/main" count="2002" uniqueCount="199">
  <si>
    <t>預定完成日期</t>
    <phoneticPr fontId="1" type="noConversion"/>
  </si>
  <si>
    <t>承辦
工務所</t>
    <phoneticPr fontId="1" type="noConversion"/>
  </si>
  <si>
    <t>項目</t>
    <phoneticPr fontId="1" type="noConversion"/>
  </si>
  <si>
    <t>日期</t>
    <phoneticPr fontId="1" type="noConversion"/>
  </si>
  <si>
    <t>數量</t>
    <phoneticPr fontId="1" type="noConversion"/>
  </si>
  <si>
    <t>機車便道</t>
    <phoneticPr fontId="1" type="noConversion"/>
  </si>
  <si>
    <t>人(含司機)</t>
    <phoneticPr fontId="1" type="noConversion"/>
  </si>
  <si>
    <t>人</t>
    <phoneticPr fontId="1" type="noConversion"/>
  </si>
  <si>
    <t>自行車道</t>
    <phoneticPr fontId="1" type="noConversion"/>
  </si>
  <si>
    <t>怪手</t>
    <phoneticPr fontId="1" type="noConversion"/>
  </si>
  <si>
    <t>輛</t>
    <phoneticPr fontId="1" type="noConversion"/>
  </si>
  <si>
    <t>推土機</t>
    <phoneticPr fontId="1" type="noConversion"/>
  </si>
  <si>
    <t>全面完成</t>
    <phoneticPr fontId="1" type="noConversion"/>
  </si>
  <si>
    <t>卡車</t>
    <phoneticPr fontId="1" type="noConversion"/>
  </si>
  <si>
    <t>水車</t>
    <phoneticPr fontId="1" type="noConversion"/>
  </si>
  <si>
    <t>小山貓</t>
    <phoneticPr fontId="1" type="noConversion"/>
  </si>
  <si>
    <t>停車場</t>
    <phoneticPr fontId="1" type="noConversion"/>
  </si>
  <si>
    <t>吊車</t>
    <phoneticPr fontId="1" type="noConversion"/>
  </si>
  <si>
    <t>夾子車</t>
    <phoneticPr fontId="1" type="noConversion"/>
  </si>
  <si>
    <t>鏈鋸</t>
    <phoneticPr fontId="1" type="noConversion"/>
  </si>
  <si>
    <t>台</t>
    <phoneticPr fontId="1" type="noConversion"/>
  </si>
  <si>
    <t>工程名稱</t>
  </si>
  <si>
    <t>契約編號</t>
  </si>
  <si>
    <t>主要
行政區別</t>
  </si>
  <si>
    <t>規劃設計
單位</t>
  </si>
  <si>
    <t>原契約上限金額</t>
  </si>
  <si>
    <t>廠商名稱</t>
  </si>
  <si>
    <t>廠商地址</t>
  </si>
  <si>
    <t>廠商負責人</t>
  </si>
  <si>
    <t>第1檢查
應為0</t>
    <phoneticPr fontId="1" type="noConversion"/>
  </si>
  <si>
    <t>監造人員</t>
  </si>
  <si>
    <t>無</t>
    <phoneticPr fontId="1" type="noConversion"/>
  </si>
  <si>
    <t>無</t>
    <phoneticPr fontId="1" type="noConversion"/>
  </si>
  <si>
    <t>卡車</t>
    <phoneticPr fontId="1" type="noConversion"/>
  </si>
  <si>
    <t>項次</t>
  </si>
  <si>
    <t>自有救災能量</t>
  </si>
  <si>
    <t>民間廠商支</t>
  </si>
  <si>
    <t>總計</t>
  </si>
  <si>
    <t>援救災能量</t>
  </si>
  <si>
    <t>動員救災人力(人)</t>
  </si>
  <si>
    <t>19(新工處) +121(公園處) +9(大地處)</t>
  </si>
  <si>
    <t>197(水利處)+4(建管處)</t>
  </si>
  <si>
    <t>大型工程車(輛)</t>
  </si>
  <si>
    <t>1(新工處)</t>
  </si>
  <si>
    <t>22(水利處)+2(建管處)</t>
  </si>
  <si>
    <t>小型工程車(輛)</t>
  </si>
  <si>
    <t>5(新工處) +26(公園處) +4(大地處)</t>
  </si>
  <si>
    <t>19(水利處)+2(建管處)</t>
  </si>
  <si>
    <t>發電機(臺)</t>
  </si>
  <si>
    <t>-</t>
  </si>
  <si>
    <t>13(水利處)</t>
  </si>
  <si>
    <t>抽水機(臺)</t>
  </si>
  <si>
    <t>143(水利處)</t>
  </si>
  <si>
    <t>其他機具(臺)</t>
  </si>
  <si>
    <t>3(新工處) +52(公園處) +1(大地處)</t>
  </si>
  <si>
    <t>43(水利處)</t>
  </si>
  <si>
    <t>太空包(包)</t>
  </si>
  <si>
    <t>砂包(包)</t>
  </si>
  <si>
    <t>鏈鋸(臺)</t>
  </si>
  <si>
    <t>今日施作內容</t>
    <phoneticPr fontId="1" type="noConversion"/>
  </si>
  <si>
    <t>明日預定施作內容</t>
    <phoneticPr fontId="1" type="noConversion"/>
  </si>
  <si>
    <t>實際完成日期</t>
    <phoneticPr fontId="1" type="noConversion"/>
  </si>
  <si>
    <t xml:space="preserve">     年    月     日</t>
    <phoneticPr fontId="1" type="noConversion"/>
  </si>
  <si>
    <t xml:space="preserve">     年    月     日</t>
    <phoneticPr fontId="1" type="noConversion"/>
  </si>
  <si>
    <t>工程名稱</t>
    <phoneticPr fontId="1" type="noConversion"/>
  </si>
  <si>
    <t>項次</t>
    <phoneticPr fontId="1" type="noConversion"/>
  </si>
  <si>
    <t>全面完成</t>
  </si>
  <si>
    <t>逸峰營造有限公司</t>
  </si>
  <si>
    <t>松瑩營造有限公司</t>
  </si>
  <si>
    <t>鋐城營造有限公司</t>
  </si>
  <si>
    <t>冠錏營造有限公司</t>
  </si>
  <si>
    <t>久勝營造有限公司</t>
  </si>
  <si>
    <t>工務所</t>
    <phoneticPr fontId="1" type="noConversion"/>
  </si>
  <si>
    <t>南區工務所</t>
    <phoneticPr fontId="1" type="noConversion"/>
  </si>
  <si>
    <t>北區工務所</t>
    <phoneticPr fontId="1" type="noConversion"/>
  </si>
  <si>
    <t>北投工務所</t>
    <phoneticPr fontId="1" type="noConversion"/>
  </si>
  <si>
    <t>113年度南區河濱公園路面暨災後復原預約維護工程</t>
  </si>
  <si>
    <t>H-113-03-113019</t>
    <phoneticPr fontId="1" type="noConversion"/>
  </si>
  <si>
    <t>任益芳</t>
  </si>
  <si>
    <t>113年度南區水利建造物檢修改善及災後復原(新店溪永福橋至萬板大橋段)預約維護工程</t>
  </si>
  <si>
    <t>H-113-03-113022</t>
    <phoneticPr fontId="1" type="noConversion"/>
  </si>
  <si>
    <t>南區工務所</t>
  </si>
  <si>
    <t>113年度南區河濱公園土木（含颱風豪雨設施撤離）暨災後復原預約維護工程</t>
  </si>
  <si>
    <t>H-113-03-113047</t>
    <phoneticPr fontId="1" type="noConversion"/>
  </si>
  <si>
    <t>王伯豪</t>
  </si>
  <si>
    <t>泇溢營造有限公司</t>
  </si>
  <si>
    <t>113年度西區水利建造物檢修改善及災後復原(基隆河左岸高速公路內湖橋至洲美大橋段)預約維護工程</t>
  </si>
  <si>
    <t>H-113-03-113021</t>
    <phoneticPr fontId="1" type="noConversion"/>
  </si>
  <si>
    <t>詹智為、張思漢</t>
  </si>
  <si>
    <t>北區工務所</t>
  </si>
  <si>
    <t>113年度北區河濱公園土木暨災後復原預約維護工程</t>
  </si>
  <si>
    <t>H-113-03-113025</t>
    <phoneticPr fontId="1" type="noConversion"/>
  </si>
  <si>
    <t>周根杉</t>
  </si>
  <si>
    <t>113年度東區水利建造物檢修改善及災後復原(基隆河左岸高速公路內湖橋上游段，含四分溪及大坑溪)預約維護工程</t>
  </si>
  <si>
    <t>H-113-03-113020</t>
    <phoneticPr fontId="1" type="noConversion"/>
  </si>
  <si>
    <t>陳政誠</t>
  </si>
  <si>
    <t>南內工務所</t>
  </si>
  <si>
    <t>南內工務所</t>
    <phoneticPr fontId="1" type="noConversion"/>
  </si>
  <si>
    <t>淞源營造有限公司</t>
  </si>
  <si>
    <t>113年度東區河濱公園路面暨災後復原預約維護工程</t>
  </si>
  <si>
    <t>H-113-03-113018</t>
    <phoneticPr fontId="1" type="noConversion"/>
  </si>
  <si>
    <t>113年度東區河濱公園土木暨災後復原預約維護工程</t>
  </si>
  <si>
    <t>H-113-03-113045</t>
    <phoneticPr fontId="1" type="noConversion"/>
  </si>
  <si>
    <t>江志偉</t>
  </si>
  <si>
    <t>和遠營造有限公司</t>
  </si>
  <si>
    <t>113年度北區水利建造物檢修改善及災後復原(雙溪右岸至關渡水岸公園段)預約維護工程</t>
  </si>
  <si>
    <t>H-113-03-113023</t>
    <phoneticPr fontId="1" type="noConversion"/>
  </si>
  <si>
    <t>沈明勳</t>
  </si>
  <si>
    <t>113年度北區河濱公園路面暨災後復原預約維護工程</t>
  </si>
  <si>
    <t>H-113-03-113017</t>
    <phoneticPr fontId="1" type="noConversion"/>
  </si>
  <si>
    <t>余成偉</t>
  </si>
  <si>
    <t>113年9月23日當日動員機具</t>
    <phoneticPr fontId="1" type="noConversion"/>
  </si>
  <si>
    <t>今日動員數量</t>
    <phoneticPr fontId="1" type="noConversion"/>
  </si>
  <si>
    <t>累計動員數量</t>
    <phoneticPr fontId="1" type="noConversion"/>
  </si>
  <si>
    <t>113年09月24日</t>
  </si>
  <si>
    <t>113年09月25日</t>
  </si>
  <si>
    <t>113年09月26日</t>
  </si>
  <si>
    <t>1.雙溪段自行車道路面清洗
2.雙溪越堤道路面清洗
3.雜草雜木移除集中堆置</t>
    <phoneticPr fontId="1" type="noConversion"/>
  </si>
  <si>
    <t xml:space="preserve">景美溪(北新橋至道南橋)自行車道清理
</t>
    <phoneticPr fontId="1" type="noConversion"/>
  </si>
  <si>
    <t>113年09月27日</t>
    <phoneticPr fontId="1" type="noConversion"/>
  </si>
  <si>
    <t>社子島漂流物清除</t>
    <phoneticPr fontId="1" type="noConversion"/>
  </si>
  <si>
    <t>113年9月23日</t>
  </si>
  <si>
    <t xml:space="preserve"> 113年9月25日</t>
  </si>
  <si>
    <t xml:space="preserve"> 113年9月30日</t>
  </si>
  <si>
    <t xml:space="preserve"> 113年10月7日</t>
  </si>
  <si>
    <t>機車便道淤泥清理</t>
  </si>
  <si>
    <t>停車場淤泥清理</t>
  </si>
  <si>
    <t xml:space="preserve">  113年 9月 24日</t>
    <phoneticPr fontId="1" type="noConversion"/>
  </si>
  <si>
    <t xml:space="preserve"> 113年9月23日</t>
    <phoneticPr fontId="1" type="noConversion"/>
  </si>
  <si>
    <t xml:space="preserve">   113年9月23日</t>
    <phoneticPr fontId="1" type="noConversion"/>
  </si>
  <si>
    <t xml:space="preserve">    113年9月23日</t>
    <phoneticPr fontId="1" type="noConversion"/>
  </si>
  <si>
    <t>113年9月23日</t>
    <phoneticPr fontId="1" type="noConversion"/>
  </si>
  <si>
    <t>113年9月24日當日動員機具</t>
    <phoneticPr fontId="1" type="noConversion"/>
  </si>
  <si>
    <t>廣場鋪面</t>
    <phoneticPr fontId="1" type="noConversion"/>
  </si>
  <si>
    <t>人行步道</t>
    <phoneticPr fontId="1" type="noConversion"/>
  </si>
  <si>
    <t>體育場</t>
    <phoneticPr fontId="1" type="noConversion"/>
  </si>
  <si>
    <t>低水護岸</t>
    <phoneticPr fontId="1" type="noConversion"/>
  </si>
  <si>
    <t>美堤低水護岸</t>
    <phoneticPr fontId="1" type="noConversion"/>
  </si>
  <si>
    <t xml:space="preserve">    113年9月25日</t>
    <phoneticPr fontId="1" type="noConversion"/>
  </si>
  <si>
    <t xml:space="preserve">    113年9月30日</t>
    <phoneticPr fontId="1" type="noConversion"/>
  </si>
  <si>
    <t>1.雙溪文昌橋～福林橋自行車道枯枝清除、自行車道清洗
2.美堤河濱公園右岸(大直抽水站-大直2抽水站)自行車道枯枝清除、自行車道清洗
3.美堤河濱公園廣場鋪面及人行步道 體育場枯枝清除、自行車道清洗
3.沿線低水護岸區枯枝清除、垃圾清除</t>
  </si>
  <si>
    <t>河濱路面</t>
    <phoneticPr fontId="1" type="noConversion"/>
  </si>
  <si>
    <t xml:space="preserve">   113年9月30日</t>
    <phoneticPr fontId="1" type="noConversion"/>
  </si>
  <si>
    <t>1.南湖橋下至13號水門自行車道枯枝清除、自行車道清洗、淤泥清淤
2.民權橋下至彩虹橋下自行車道淤泥清除，路面清洗，枯枝移除</t>
  </si>
  <si>
    <t>低水護岸</t>
  </si>
  <si>
    <t>球場</t>
  </si>
  <si>
    <t>自行車道</t>
  </si>
  <si>
    <t>廣場鋪面</t>
  </si>
  <si>
    <t xml:space="preserve">    113年9月30日</t>
  </si>
  <si>
    <t xml:space="preserve">    113年9月25日</t>
  </si>
  <si>
    <t xml:space="preserve">    113年9月23日</t>
  </si>
  <si>
    <t xml:space="preserve">     年    月     日</t>
  </si>
  <si>
    <t xml:space="preserve"> 113年9月23日</t>
  </si>
  <si>
    <t>1.基隆河左岸高速公路內湖橋上游段至經貿疏散門自行車道清洗
2.基六疏散門低水護岸枯枝清除、垃圾清除
3.錫口碼頭低水護岸枯枝清除、垃圾清除
4.彩虹橋下低水護岸枯枝清除、垃圾清除</t>
  </si>
  <si>
    <t xml:space="preserve">    年   月  日</t>
  </si>
  <si>
    <t>大直橋下低水護岸步道沖洗社子橋下籃球場沖洗</t>
    <phoneticPr fontId="19" type="noConversion"/>
  </si>
  <si>
    <t>大直橋下低水護岸步道沖洗</t>
    <phoneticPr fontId="19" type="noConversion"/>
  </si>
  <si>
    <t>1.雙溪段自行車道路面清洗
2.雙溪越堤道路面清洗
3.雜草雜木載運出場</t>
    <phoneticPr fontId="1" type="noConversion"/>
  </si>
  <si>
    <t>自行車道清洗及垃圾清除</t>
    <phoneticPr fontId="1" type="noConversion"/>
  </si>
  <si>
    <t xml:space="preserve"> 113年9月24日</t>
  </si>
  <si>
    <t>1.基隆河左岸高速公路內湖橋上游段至經貿疏散門自行車道清洗
2.基六疏散門低水護岸枯枝清除、垃圾清除
3.錫口碼頭低水護岸枯枝清除、垃圾清除
4.彩虹橋下低水護岸枯枝清除、垃圾清除</t>
    <phoneticPr fontId="1" type="noConversion"/>
  </si>
  <si>
    <t>麥帥一橋至民權大橋垃圾清除、淤泥移除</t>
    <phoneticPr fontId="1" type="noConversion"/>
  </si>
  <si>
    <t>南湖河濱草坪枯枝及垃圾清除</t>
    <phoneticPr fontId="1" type="noConversion"/>
  </si>
  <si>
    <t>1.雙溪河濱（復興橋到文昌橋 ）自行車道枯枝清除、自行車道清洗
2.美堤右岸河濱公園(中山橋下)至圓山河濱公園 自行車道枯枝清除、自行車道清洗
3.美堤河濱公園廣場鋪面及人行步道 體育場枯枝清除、自行車道清洗
4.沿線低水護岸區枯枝清除、垃圾清除</t>
    <phoneticPr fontId="1" type="noConversion"/>
  </si>
  <si>
    <t>俟清運連單核准後再行清理低水護岸</t>
    <phoneticPr fontId="1" type="noConversion"/>
  </si>
  <si>
    <t xml:space="preserve">1.圓山溜冰場清理
2.三腳渡籃球場清理
3.俟清運連單核准後再行清理枯枝及廢棄物
</t>
    <phoneticPr fontId="1" type="noConversion"/>
  </si>
  <si>
    <t>113年9月24日</t>
  </si>
  <si>
    <t>113年 9月 24日</t>
  </si>
  <si>
    <t xml:space="preserve">     113年 9月 29日</t>
  </si>
  <si>
    <t xml:space="preserve">  113年9月 24日</t>
  </si>
  <si>
    <t>景美溪（一壽橋至恆光橋自行車道清理）</t>
    <phoneticPr fontId="1" type="noConversion"/>
  </si>
  <si>
    <t>景美溪沿岸石墩、路燈、欄杆等設施物上雜草清除</t>
    <phoneticPr fontId="1" type="noConversion"/>
  </si>
  <si>
    <t>113年9月25日當日動員機具</t>
    <phoneticPr fontId="1" type="noConversion"/>
  </si>
  <si>
    <t xml:space="preserve">
1.雜草雜木移除集中堆置
2.樹木扶正</t>
    <phoneticPr fontId="1" type="noConversion"/>
  </si>
  <si>
    <t>113年09月25日</t>
    <phoneticPr fontId="1" type="noConversion"/>
  </si>
  <si>
    <t>113年09月26日</t>
    <phoneticPr fontId="1" type="noConversion"/>
  </si>
  <si>
    <t>113年9月24日</t>
    <phoneticPr fontId="1" type="noConversion"/>
  </si>
  <si>
    <t>球場</t>
    <phoneticPr fontId="1" type="noConversion"/>
  </si>
  <si>
    <t xml:space="preserve"> 113年9月24日</t>
    <phoneticPr fontId="1" type="noConversion"/>
  </si>
  <si>
    <t xml:space="preserve">     113年10月15日</t>
    <phoneticPr fontId="1" type="noConversion"/>
  </si>
  <si>
    <t>枯枝及垃圾清除</t>
    <phoneticPr fontId="1" type="noConversion"/>
  </si>
  <si>
    <t xml:space="preserve">   113年9月25日</t>
    <phoneticPr fontId="1" type="noConversion"/>
  </si>
  <si>
    <t xml:space="preserve">   113年9月26日</t>
    <phoneticPr fontId="1" type="noConversion"/>
  </si>
  <si>
    <t xml:space="preserve">    113年10月15日</t>
    <phoneticPr fontId="1" type="noConversion"/>
  </si>
  <si>
    <t>1.南湖河濱草坪枯枝及垃圾清除
2.金瑞治水園區斜坡淤泥清除、地面清洗</t>
    <phoneticPr fontId="1" type="noConversion"/>
  </si>
  <si>
    <t>113年10月15日</t>
    <phoneticPr fontId="1" type="noConversion"/>
  </si>
  <si>
    <t>1.雙溪河濱至三腳渡(含溜冰場、體健區、籃球場)沿線自行車道及人行步道淤土、枯枝、垃圾清理。</t>
    <phoneticPr fontId="1" type="noConversion"/>
  </si>
  <si>
    <t>113年9月26日當日動員機具</t>
    <phoneticPr fontId="1" type="noConversion"/>
  </si>
  <si>
    <t>已完成項目</t>
  </si>
  <si>
    <t>已完成項目</t>
    <phoneticPr fontId="1" type="noConversion"/>
  </si>
  <si>
    <t>未完成項目</t>
  </si>
  <si>
    <t>未完成項目</t>
    <phoneticPr fontId="1" type="noConversion"/>
  </si>
  <si>
    <t>自行車道清洗及垃圾清除</t>
    <phoneticPr fontId="1" type="noConversion"/>
  </si>
  <si>
    <t>自行車道清洗及垃圾清除</t>
    <phoneticPr fontId="1" type="noConversion"/>
  </si>
  <si>
    <t>尚無完成項目</t>
    <phoneticPr fontId="1" type="noConversion"/>
  </si>
  <si>
    <t>113年09月26日</t>
    <phoneticPr fontId="1" type="noConversion"/>
  </si>
  <si>
    <t xml:space="preserve">
1.雜草雜木移除集中堆置
2.樹木扶正</t>
    <phoneticPr fontId="1" type="noConversion"/>
  </si>
  <si>
    <t xml:space="preserve">1.雙溪段自行車道路面清洗
2.雙溪越堤道路面清洗
3.雜草雜木移除集中堆置
</t>
    <phoneticPr fontId="1" type="noConversion"/>
  </si>
  <si>
    <t>1.雜草雜木移除集中堆置
2.樹木扶正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</si>
</sst>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76" formatCode="#,##0_ "/>
  </numFmts>
  <fonts count="2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indexed="8"/>
      <name val="Arial"/>
      <family val="2"/>
    </font>
    <font>
      <sz val="12"/>
      <name val="新細明體"/>
      <family val="1"/>
      <charset val="136"/>
    </font>
    <font>
      <sz val="10"/>
      <color indexed="8"/>
      <name val="Arial"/>
      <family val="2"/>
    </font>
    <font>
      <sz val="10"/>
      <color indexed="8"/>
      <name val="細明體"/>
      <family val="3"/>
      <charset val="136"/>
    </font>
    <font>
      <sz val="9"/>
      <name val="Arial"/>
      <family val="2"/>
    </font>
    <font>
      <sz val="9"/>
      <color indexed="8"/>
      <name val="Arial"/>
      <family val="2"/>
    </font>
    <font>
      <sz val="9"/>
      <name val="細明體"/>
      <family val="3"/>
      <charset val="136"/>
    </font>
    <font>
      <sz val="11"/>
      <color indexed="8"/>
      <name val="細明體"/>
      <family val="3"/>
      <charset val="136"/>
    </font>
    <font>
      <sz val="12"/>
      <name val="新細明體"/>
      <family val="1"/>
      <charset val="136"/>
      <scheme val="major"/>
    </font>
    <font>
      <sz val="15"/>
      <color theme="1"/>
      <name val="標楷體"/>
      <family val="4"/>
      <charset val="136"/>
    </font>
    <font>
      <sz val="15"/>
      <color rgb="FF000000"/>
      <name val="標楷體"/>
      <family val="4"/>
      <charset val="136"/>
    </font>
    <font>
      <sz val="15"/>
      <color rgb="FFFF0000"/>
      <name val="標楷體"/>
      <family val="4"/>
      <charset val="136"/>
    </font>
    <font>
      <sz val="12"/>
      <name val="微軟正黑體"/>
      <family val="3"/>
      <charset val="136"/>
    </font>
    <font>
      <sz val="12"/>
      <color rgb="FFFF0000"/>
      <name val="新細明體"/>
      <family val="1"/>
      <charset val="136"/>
      <scheme val="major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2"/>
      <color rgb="FFFF0000"/>
      <name val="標楷體"/>
      <family val="4"/>
      <charset val="136"/>
    </font>
    <font>
      <sz val="9"/>
      <name val="新細明體"/>
      <family val="1"/>
      <charset val="136"/>
      <scheme val="minor"/>
    </font>
    <font>
      <sz val="10"/>
      <name val="標楷體"/>
      <family val="4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182">
    <xf numFmtId="0" fontId="0" fillId="0" borderId="0" xfId="0">
      <alignment vertical="center"/>
    </xf>
    <xf numFmtId="0" fontId="4" fillId="3" borderId="5" xfId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 wrapText="1"/>
    </xf>
    <xf numFmtId="0" fontId="2" fillId="0" borderId="0" xfId="1"/>
    <xf numFmtId="0" fontId="7" fillId="3" borderId="0" xfId="1" applyFont="1" applyFill="1" applyAlignment="1">
      <alignment horizontal="center" vertical="center" wrapText="1"/>
    </xf>
    <xf numFmtId="0" fontId="6" fillId="4" borderId="5" xfId="1" applyFont="1" applyFill="1" applyBorder="1" applyAlignment="1">
      <alignment horizontal="left" vertical="center" wrapText="1"/>
    </xf>
    <xf numFmtId="3" fontId="6" fillId="4" borderId="5" xfId="1" applyNumberFormat="1" applyFont="1" applyFill="1" applyBorder="1" applyAlignment="1">
      <alignment horizontal="right" vertical="center" wrapText="1"/>
    </xf>
    <xf numFmtId="0" fontId="2" fillId="0" borderId="5" xfId="1" applyBorder="1" applyAlignment="1">
      <alignment horizontal="center" vertical="center"/>
    </xf>
    <xf numFmtId="0" fontId="2" fillId="0" borderId="5" xfId="1" applyBorder="1"/>
    <xf numFmtId="0" fontId="0" fillId="0" borderId="0" xfId="0" applyAlignment="1">
      <alignment vertical="center" wrapText="1"/>
    </xf>
    <xf numFmtId="0" fontId="8" fillId="4" borderId="5" xfId="1" applyFont="1" applyFill="1" applyBorder="1" applyAlignment="1">
      <alignment horizontal="left" vertical="center" wrapText="1"/>
    </xf>
    <xf numFmtId="0" fontId="6" fillId="4" borderId="5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horizontal="left" vertical="center" wrapText="1"/>
    </xf>
    <xf numFmtId="0" fontId="6" fillId="4" borderId="6" xfId="1" applyFont="1" applyFill="1" applyBorder="1" applyAlignment="1">
      <alignment horizontal="left" vertical="center" wrapText="1"/>
    </xf>
    <xf numFmtId="0" fontId="9" fillId="0" borderId="0" xfId="1" applyFont="1"/>
    <xf numFmtId="0" fontId="10" fillId="2" borderId="26" xfId="0" applyFont="1" applyFill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9" fillId="0" borderId="0" xfId="1" applyFont="1" applyAlignment="1">
      <alignment horizontal="center"/>
    </xf>
    <xf numFmtId="0" fontId="9" fillId="0" borderId="0" xfId="1" applyFont="1" applyAlignment="1">
      <alignment vertical="center"/>
    </xf>
    <xf numFmtId="0" fontId="12" fillId="0" borderId="30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6" fillId="0" borderId="0" xfId="0" applyFont="1">
      <alignment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5" xfId="0" applyFont="1" applyBorder="1">
      <alignment vertical="center"/>
    </xf>
    <xf numFmtId="0" fontId="16" fillId="0" borderId="5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0" xfId="0" applyFont="1" applyBorder="1">
      <alignment vertical="center"/>
    </xf>
    <xf numFmtId="0" fontId="16" fillId="0" borderId="15" xfId="0" applyFont="1" applyBorder="1">
      <alignment vertical="center"/>
    </xf>
    <xf numFmtId="0" fontId="16" fillId="0" borderId="14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4" xfId="0" applyFont="1" applyBorder="1">
      <alignment vertical="center"/>
    </xf>
    <xf numFmtId="176" fontId="16" fillId="0" borderId="5" xfId="0" applyNumberFormat="1" applyFont="1" applyBorder="1">
      <alignment vertical="center"/>
    </xf>
    <xf numFmtId="0" fontId="16" fillId="0" borderId="8" xfId="0" applyFont="1" applyBorder="1">
      <alignment vertical="center"/>
    </xf>
    <xf numFmtId="176" fontId="16" fillId="0" borderId="28" xfId="0" applyNumberFormat="1" applyFont="1" applyBorder="1">
      <alignment vertical="center"/>
    </xf>
    <xf numFmtId="0" fontId="16" fillId="0" borderId="9" xfId="0" applyFont="1" applyBorder="1">
      <alignment vertical="center"/>
    </xf>
    <xf numFmtId="0" fontId="16" fillId="0" borderId="21" xfId="0" applyFont="1" applyBorder="1">
      <alignment vertical="center"/>
    </xf>
    <xf numFmtId="0" fontId="16" fillId="0" borderId="18" xfId="0" applyFont="1" applyBorder="1">
      <alignment vertical="center"/>
    </xf>
    <xf numFmtId="0" fontId="16" fillId="0" borderId="16" xfId="0" applyFont="1" applyBorder="1">
      <alignment vertical="center"/>
    </xf>
    <xf numFmtId="0" fontId="16" fillId="0" borderId="7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0" fontId="16" fillId="0" borderId="0" xfId="0" applyFont="1" applyFill="1">
      <alignment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5" xfId="0" applyFont="1" applyFill="1" applyBorder="1">
      <alignment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16" fillId="0" borderId="10" xfId="0" applyFont="1" applyFill="1" applyBorder="1">
      <alignment vertical="center"/>
    </xf>
    <xf numFmtId="0" fontId="16" fillId="0" borderId="15" xfId="0" applyFont="1" applyFill="1" applyBorder="1">
      <alignment vertical="center"/>
    </xf>
    <xf numFmtId="0" fontId="16" fillId="0" borderId="14" xfId="0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0" fontId="16" fillId="0" borderId="4" xfId="0" applyFont="1" applyFill="1" applyBorder="1">
      <alignment vertical="center"/>
    </xf>
    <xf numFmtId="176" fontId="16" fillId="0" borderId="5" xfId="0" applyNumberFormat="1" applyFont="1" applyFill="1" applyBorder="1">
      <alignment vertical="center"/>
    </xf>
    <xf numFmtId="0" fontId="16" fillId="0" borderId="8" xfId="0" applyFont="1" applyFill="1" applyBorder="1">
      <alignment vertical="center"/>
    </xf>
    <xf numFmtId="176" fontId="16" fillId="0" borderId="28" xfId="0" applyNumberFormat="1" applyFont="1" applyFill="1" applyBorder="1">
      <alignment vertical="center"/>
    </xf>
    <xf numFmtId="0" fontId="16" fillId="0" borderId="9" xfId="0" applyFont="1" applyFill="1" applyBorder="1">
      <alignment vertical="center"/>
    </xf>
    <xf numFmtId="0" fontId="16" fillId="0" borderId="21" xfId="0" applyFont="1" applyFill="1" applyBorder="1">
      <alignment vertical="center"/>
    </xf>
    <xf numFmtId="0" fontId="16" fillId="0" borderId="18" xfId="0" applyFont="1" applyFill="1" applyBorder="1">
      <alignment vertical="center"/>
    </xf>
    <xf numFmtId="0" fontId="16" fillId="0" borderId="16" xfId="0" applyFont="1" applyFill="1" applyBorder="1">
      <alignment vertical="center"/>
    </xf>
    <xf numFmtId="0" fontId="16" fillId="0" borderId="34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34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>
      <alignment vertical="center"/>
    </xf>
    <xf numFmtId="0" fontId="16" fillId="0" borderId="5" xfId="0" applyFont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 textRotation="255" wrapText="1"/>
    </xf>
    <xf numFmtId="0" fontId="16" fillId="0" borderId="20" xfId="0" applyFont="1" applyBorder="1" applyAlignment="1">
      <alignment horizontal="center" vertical="center" textRotation="255" wrapText="1"/>
    </xf>
    <xf numFmtId="0" fontId="16" fillId="0" borderId="25" xfId="0" applyFont="1" applyBorder="1" applyAlignment="1">
      <alignment horizontal="center" vertical="center" textRotation="255" wrapText="1"/>
    </xf>
    <xf numFmtId="0" fontId="16" fillId="0" borderId="10" xfId="0" applyFont="1" applyBorder="1" applyAlignment="1">
      <alignment horizontal="center" vertical="center" textRotation="255"/>
    </xf>
    <xf numFmtId="0" fontId="16" fillId="0" borderId="12" xfId="0" applyFont="1" applyBorder="1" applyAlignment="1">
      <alignment horizontal="center" vertical="center" textRotation="255"/>
    </xf>
    <xf numFmtId="0" fontId="16" fillId="0" borderId="14" xfId="0" applyFont="1" applyBorder="1" applyAlignment="1">
      <alignment horizontal="center" vertical="center" textRotation="255"/>
    </xf>
    <xf numFmtId="0" fontId="16" fillId="0" borderId="10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33" xfId="0" applyFont="1" applyBorder="1">
      <alignment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6" fillId="0" borderId="33" xfId="0" applyFont="1" applyFill="1" applyBorder="1">
      <alignment vertical="center"/>
    </xf>
    <xf numFmtId="0" fontId="16" fillId="0" borderId="9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left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/>
    </xf>
    <xf numFmtId="0" fontId="16" fillId="0" borderId="19" xfId="0" applyFont="1" applyFill="1" applyBorder="1" applyAlignment="1">
      <alignment horizontal="center" vertical="center" wrapText="1"/>
    </xf>
    <xf numFmtId="0" fontId="16" fillId="0" borderId="20" xfId="0" applyFont="1" applyFill="1" applyBorder="1" applyAlignment="1">
      <alignment horizontal="center" vertical="center" wrapText="1"/>
    </xf>
    <xf numFmtId="0" fontId="16" fillId="0" borderId="17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textRotation="255"/>
    </xf>
    <xf numFmtId="0" fontId="16" fillId="0" borderId="12" xfId="0" applyFont="1" applyFill="1" applyBorder="1" applyAlignment="1">
      <alignment horizontal="center" vertical="center" textRotation="255"/>
    </xf>
    <xf numFmtId="0" fontId="16" fillId="0" borderId="14" xfId="0" applyFont="1" applyFill="1" applyBorder="1" applyAlignment="1">
      <alignment horizontal="center" vertical="center" textRotation="255"/>
    </xf>
    <xf numFmtId="0" fontId="16" fillId="0" borderId="21" xfId="0" applyFont="1" applyFill="1" applyBorder="1" applyAlignment="1">
      <alignment horizontal="center" vertical="center" textRotation="255" wrapText="1"/>
    </xf>
    <xf numFmtId="0" fontId="16" fillId="0" borderId="20" xfId="0" applyFont="1" applyFill="1" applyBorder="1" applyAlignment="1">
      <alignment horizontal="center" vertical="center" textRotation="255" wrapText="1"/>
    </xf>
    <xf numFmtId="0" fontId="16" fillId="0" borderId="25" xfId="0" applyFont="1" applyFill="1" applyBorder="1" applyAlignment="1">
      <alignment horizontal="center" vertical="center" textRotation="255" wrapText="1"/>
    </xf>
    <xf numFmtId="0" fontId="16" fillId="0" borderId="15" xfId="0" applyFont="1" applyFill="1" applyBorder="1" applyAlignment="1">
      <alignment horizontal="center" vertical="center"/>
    </xf>
    <xf numFmtId="0" fontId="16" fillId="0" borderId="34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 wrapText="1"/>
    </xf>
    <xf numFmtId="0" fontId="16" fillId="0" borderId="12" xfId="0" applyFont="1" applyFill="1" applyBorder="1" applyAlignment="1">
      <alignment horizontal="center"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16" fillId="0" borderId="22" xfId="0" applyFont="1" applyFill="1" applyBorder="1" applyAlignment="1">
      <alignment horizontal="center" vertical="center"/>
    </xf>
    <xf numFmtId="0" fontId="16" fillId="0" borderId="23" xfId="0" applyFont="1" applyFill="1" applyBorder="1" applyAlignment="1">
      <alignment horizontal="center" vertical="center"/>
    </xf>
    <xf numFmtId="0" fontId="16" fillId="0" borderId="24" xfId="0" applyFont="1" applyFill="1" applyBorder="1" applyAlignment="1">
      <alignment horizontal="center" vertical="center"/>
    </xf>
    <xf numFmtId="0" fontId="16" fillId="0" borderId="27" xfId="0" applyFont="1" applyFill="1" applyBorder="1" applyAlignment="1">
      <alignment horizontal="center" vertical="center" wrapText="1"/>
    </xf>
    <xf numFmtId="0" fontId="16" fillId="0" borderId="28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 wrapText="1"/>
    </xf>
    <xf numFmtId="0" fontId="16" fillId="5" borderId="14" xfId="0" applyFont="1" applyFill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</cellXfs>
  <cellStyles count="5">
    <cellStyle name="一般" xfId="0" builtinId="0"/>
    <cellStyle name="一般 2" xfId="1"/>
    <cellStyle name="一般 2 2" xfId="4"/>
    <cellStyle name="一般 3" xfId="2"/>
    <cellStyle name="千分位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600075</xdr:colOff>
      <xdr:row>43</xdr:row>
      <xdr:rowOff>95250</xdr:rowOff>
    </xdr:from>
    <xdr:ext cx="309880" cy="273685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xmlns="" id="{0E52A466-EF27-4412-A5FD-848ABC116300}"/>
            </a:ext>
          </a:extLst>
        </xdr:cNvPr>
        <xdr:cNvSpPr txBox="1"/>
      </xdr:nvSpPr>
      <xdr:spPr>
        <a:xfrm>
          <a:off x="11296650" y="982980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zh-TW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600075</xdr:colOff>
      <xdr:row>43</xdr:row>
      <xdr:rowOff>95250</xdr:rowOff>
    </xdr:from>
    <xdr:ext cx="309880" cy="273685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xmlns="" id="{8BC4FAF6-931D-48D3-A1F7-49389E101CEC}"/>
            </a:ext>
          </a:extLst>
        </xdr:cNvPr>
        <xdr:cNvSpPr txBox="1"/>
      </xdr:nvSpPr>
      <xdr:spPr>
        <a:xfrm>
          <a:off x="11296650" y="480060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zh-TW" altLang="en-US" sz="1100"/>
        </a:p>
      </xdr:txBody>
    </xdr:sp>
    <xdr:clientData/>
  </xdr:oneCellAnchor>
  <xdr:oneCellAnchor>
    <xdr:from>
      <xdr:col>11</xdr:col>
      <xdr:colOff>600075</xdr:colOff>
      <xdr:row>43</xdr:row>
      <xdr:rowOff>95250</xdr:rowOff>
    </xdr:from>
    <xdr:ext cx="309880" cy="273685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xmlns="" id="{24A870BF-A14A-41A2-BD20-1C24C0E02BB0}"/>
            </a:ext>
          </a:extLst>
        </xdr:cNvPr>
        <xdr:cNvSpPr txBox="1"/>
      </xdr:nvSpPr>
      <xdr:spPr>
        <a:xfrm>
          <a:off x="11296650" y="480060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zh-TW" altLang="en-US" sz="1100"/>
        </a:p>
      </xdr:txBody>
    </xdr:sp>
    <xdr:clientData/>
  </xdr:oneCellAnchor>
  <xdr:oneCellAnchor>
    <xdr:from>
      <xdr:col>11</xdr:col>
      <xdr:colOff>600075</xdr:colOff>
      <xdr:row>43</xdr:row>
      <xdr:rowOff>95250</xdr:rowOff>
    </xdr:from>
    <xdr:ext cx="309880" cy="273685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xmlns="" id="{DF49F2FE-7540-4A35-B658-CE054237100B}"/>
            </a:ext>
          </a:extLst>
        </xdr:cNvPr>
        <xdr:cNvSpPr txBox="1"/>
      </xdr:nvSpPr>
      <xdr:spPr>
        <a:xfrm>
          <a:off x="11296650" y="480060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zh-TW" altLang="en-US" sz="1100"/>
        </a:p>
      </xdr:txBody>
    </xdr:sp>
    <xdr:clientData/>
  </xdr:oneCellAnchor>
  <xdr:oneCellAnchor>
    <xdr:from>
      <xdr:col>9</xdr:col>
      <xdr:colOff>600075</xdr:colOff>
      <xdr:row>43</xdr:row>
      <xdr:rowOff>95250</xdr:rowOff>
    </xdr:from>
    <xdr:ext cx="309880" cy="273685"/>
    <xdr:sp macro="" textlink="">
      <xdr:nvSpPr>
        <xdr:cNvPr id="10" name="文字方塊 9">
          <a:extLst>
            <a:ext uri="{FF2B5EF4-FFF2-40B4-BE49-F238E27FC236}">
              <a16:creationId xmlns:a16="http://schemas.microsoft.com/office/drawing/2014/main" xmlns="" id="{EE682B49-D15B-4AE9-AE94-9B009B083FB6}"/>
            </a:ext>
          </a:extLst>
        </xdr:cNvPr>
        <xdr:cNvSpPr txBox="1"/>
      </xdr:nvSpPr>
      <xdr:spPr>
        <a:xfrm>
          <a:off x="10467975" y="982980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zh-TW" altLang="en-US" sz="1100"/>
        </a:p>
      </xdr:txBody>
    </xdr:sp>
    <xdr:clientData/>
  </xdr:oneCellAnchor>
  <xdr:oneCellAnchor>
    <xdr:from>
      <xdr:col>9</xdr:col>
      <xdr:colOff>600075</xdr:colOff>
      <xdr:row>43</xdr:row>
      <xdr:rowOff>95250</xdr:rowOff>
    </xdr:from>
    <xdr:ext cx="309880" cy="273685"/>
    <xdr:sp macro="" textlink="">
      <xdr:nvSpPr>
        <xdr:cNvPr id="11" name="文字方塊 10">
          <a:extLst>
            <a:ext uri="{FF2B5EF4-FFF2-40B4-BE49-F238E27FC236}">
              <a16:creationId xmlns:a16="http://schemas.microsoft.com/office/drawing/2014/main" xmlns="" id="{820FB543-B074-49F2-9B11-F2C635D757D6}"/>
            </a:ext>
          </a:extLst>
        </xdr:cNvPr>
        <xdr:cNvSpPr txBox="1"/>
      </xdr:nvSpPr>
      <xdr:spPr>
        <a:xfrm>
          <a:off x="10467975" y="982980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zh-TW" altLang="en-US" sz="1100"/>
        </a:p>
      </xdr:txBody>
    </xdr:sp>
    <xdr:clientData/>
  </xdr:oneCellAnchor>
  <xdr:oneCellAnchor>
    <xdr:from>
      <xdr:col>9</xdr:col>
      <xdr:colOff>600075</xdr:colOff>
      <xdr:row>43</xdr:row>
      <xdr:rowOff>95250</xdr:rowOff>
    </xdr:from>
    <xdr:ext cx="309880" cy="273685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xmlns="" id="{A1BA98B0-06DC-498D-AC2A-FEC7ACD88058}"/>
            </a:ext>
          </a:extLst>
        </xdr:cNvPr>
        <xdr:cNvSpPr txBox="1"/>
      </xdr:nvSpPr>
      <xdr:spPr>
        <a:xfrm>
          <a:off x="10467975" y="982980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zh-TW" alt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600075</xdr:colOff>
      <xdr:row>43</xdr:row>
      <xdr:rowOff>95250</xdr:rowOff>
    </xdr:from>
    <xdr:ext cx="309880" cy="273685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xmlns="" id="{CE5BC5E3-6ACA-4599-A30B-E63280229692}"/>
            </a:ext>
          </a:extLst>
        </xdr:cNvPr>
        <xdr:cNvSpPr txBox="1"/>
      </xdr:nvSpPr>
      <xdr:spPr>
        <a:xfrm>
          <a:off x="11296650" y="480060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zh-TW" altLang="en-US" sz="1100"/>
        </a:p>
      </xdr:txBody>
    </xdr:sp>
    <xdr:clientData/>
  </xdr:oneCellAnchor>
  <xdr:oneCellAnchor>
    <xdr:from>
      <xdr:col>11</xdr:col>
      <xdr:colOff>600075</xdr:colOff>
      <xdr:row>43</xdr:row>
      <xdr:rowOff>95250</xdr:rowOff>
    </xdr:from>
    <xdr:ext cx="309880" cy="273685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xmlns="" id="{BF4B9BAB-C75C-4021-84D9-54D894271394}"/>
            </a:ext>
          </a:extLst>
        </xdr:cNvPr>
        <xdr:cNvSpPr txBox="1"/>
      </xdr:nvSpPr>
      <xdr:spPr>
        <a:xfrm>
          <a:off x="11296650" y="480060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zh-TW" altLang="en-US" sz="1100"/>
        </a:p>
      </xdr:txBody>
    </xdr:sp>
    <xdr:clientData/>
  </xdr:oneCellAnchor>
  <xdr:oneCellAnchor>
    <xdr:from>
      <xdr:col>11</xdr:col>
      <xdr:colOff>600075</xdr:colOff>
      <xdr:row>43</xdr:row>
      <xdr:rowOff>95250</xdr:rowOff>
    </xdr:from>
    <xdr:ext cx="309880" cy="273685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xmlns="" id="{4C6F8A1B-2DFA-415C-A635-217240D0F4A4}"/>
            </a:ext>
          </a:extLst>
        </xdr:cNvPr>
        <xdr:cNvSpPr txBox="1"/>
      </xdr:nvSpPr>
      <xdr:spPr>
        <a:xfrm>
          <a:off x="11296650" y="480060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zh-TW" altLang="en-US" sz="1100"/>
        </a:p>
      </xdr:txBody>
    </xdr:sp>
    <xdr:clientData/>
  </xdr:oneCellAnchor>
  <xdr:oneCellAnchor>
    <xdr:from>
      <xdr:col>9</xdr:col>
      <xdr:colOff>600075</xdr:colOff>
      <xdr:row>43</xdr:row>
      <xdr:rowOff>95250</xdr:rowOff>
    </xdr:from>
    <xdr:ext cx="309880" cy="273685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xmlns="" id="{6D07B403-B0AD-49B6-966C-43D50732DB63}"/>
            </a:ext>
          </a:extLst>
        </xdr:cNvPr>
        <xdr:cNvSpPr txBox="1"/>
      </xdr:nvSpPr>
      <xdr:spPr>
        <a:xfrm>
          <a:off x="11153775" y="982980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zh-TW" altLang="en-US" sz="1100"/>
        </a:p>
      </xdr:txBody>
    </xdr:sp>
    <xdr:clientData/>
  </xdr:oneCellAnchor>
  <xdr:oneCellAnchor>
    <xdr:from>
      <xdr:col>9</xdr:col>
      <xdr:colOff>600075</xdr:colOff>
      <xdr:row>43</xdr:row>
      <xdr:rowOff>95250</xdr:rowOff>
    </xdr:from>
    <xdr:ext cx="309880" cy="273685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xmlns="" id="{423661A6-0D0E-4E9A-ACD1-ED528F1EA265}"/>
            </a:ext>
          </a:extLst>
        </xdr:cNvPr>
        <xdr:cNvSpPr txBox="1"/>
      </xdr:nvSpPr>
      <xdr:spPr>
        <a:xfrm>
          <a:off x="11153775" y="982980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zh-TW" altLang="en-US" sz="1100"/>
        </a:p>
      </xdr:txBody>
    </xdr:sp>
    <xdr:clientData/>
  </xdr:oneCellAnchor>
  <xdr:oneCellAnchor>
    <xdr:from>
      <xdr:col>9</xdr:col>
      <xdr:colOff>600075</xdr:colOff>
      <xdr:row>43</xdr:row>
      <xdr:rowOff>95250</xdr:rowOff>
    </xdr:from>
    <xdr:ext cx="309880" cy="273685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xmlns="" id="{01CBE5AE-B57A-4105-97D6-A582B2273211}"/>
            </a:ext>
          </a:extLst>
        </xdr:cNvPr>
        <xdr:cNvSpPr txBox="1"/>
      </xdr:nvSpPr>
      <xdr:spPr>
        <a:xfrm>
          <a:off x="11153775" y="982980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zh-TW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O124"/>
  <sheetViews>
    <sheetView view="pageBreakPreview" topLeftCell="B1" zoomScaleSheetLayoutView="100" workbookViewId="0">
      <selection activeCell="G42" sqref="G42"/>
    </sheetView>
  </sheetViews>
  <sheetFormatPr defaultColWidth="8.75" defaultRowHeight="16.5"/>
  <cols>
    <col min="1" max="1" width="0" style="26" hidden="1" customWidth="1"/>
    <col min="2" max="2" width="42.125" style="26" customWidth="1"/>
    <col min="3" max="3" width="16.5" style="26" customWidth="1"/>
    <col min="4" max="4" width="13.5" style="26" customWidth="1"/>
    <col min="5" max="5" width="6.75" style="26" customWidth="1"/>
    <col min="6" max="9" width="15.375" style="26" customWidth="1"/>
    <col min="10" max="10" width="17.5" style="26" customWidth="1"/>
    <col min="11" max="11" width="18.625" style="26" customWidth="1"/>
    <col min="12" max="12" width="7.5" style="26" customWidth="1"/>
    <col min="13" max="13" width="9.75" style="26" customWidth="1"/>
    <col min="14" max="14" width="16.75" style="26" customWidth="1"/>
    <col min="15" max="16384" width="8.75" style="26"/>
  </cols>
  <sheetData>
    <row r="1" spans="1:15">
      <c r="A1" s="26" t="s">
        <v>65</v>
      </c>
    </row>
    <row r="2" spans="1:15" ht="12.6" customHeight="1" thickBot="1"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</row>
    <row r="3" spans="1:15" ht="18" hidden="1" customHeight="1">
      <c r="B3" s="27" t="s">
        <v>64</v>
      </c>
      <c r="C3" s="128" t="s">
        <v>0</v>
      </c>
      <c r="D3" s="128"/>
      <c r="E3" s="128"/>
      <c r="F3" s="28" t="s">
        <v>61</v>
      </c>
      <c r="G3" s="128" t="s">
        <v>111</v>
      </c>
      <c r="H3" s="128"/>
      <c r="I3" s="128"/>
      <c r="J3" s="28"/>
      <c r="K3" s="28"/>
      <c r="L3" s="124" t="s">
        <v>1</v>
      </c>
      <c r="M3" s="125" t="str">
        <f>工程基本資料!D3</f>
        <v>任益芳</v>
      </c>
      <c r="N3" s="26" t="str">
        <f>M3</f>
        <v>任益芳</v>
      </c>
      <c r="O3" s="26" t="str">
        <f>L6</f>
        <v>南區工務所</v>
      </c>
    </row>
    <row r="4" spans="1:15" ht="18" hidden="1" customHeight="1">
      <c r="B4" s="29" t="str">
        <f>工程基本資料!C3</f>
        <v>H-113-03-113019</v>
      </c>
      <c r="C4" s="32" t="s">
        <v>2</v>
      </c>
      <c r="D4" s="117" t="s">
        <v>3</v>
      </c>
      <c r="E4" s="118"/>
      <c r="F4" s="30"/>
      <c r="G4" s="31" t="s">
        <v>2</v>
      </c>
      <c r="H4" s="101" t="s">
        <v>4</v>
      </c>
      <c r="I4" s="101"/>
      <c r="J4" s="30" t="s">
        <v>59</v>
      </c>
      <c r="K4" s="30" t="s">
        <v>60</v>
      </c>
      <c r="L4" s="101"/>
      <c r="M4" s="126"/>
      <c r="N4" s="26" t="str">
        <f>N3</f>
        <v>任益芳</v>
      </c>
      <c r="O4" s="26" t="str">
        <f>O3</f>
        <v>南區工務所</v>
      </c>
    </row>
    <row r="5" spans="1:15" ht="18" hidden="1" customHeight="1">
      <c r="A5" s="120">
        <v>1</v>
      </c>
      <c r="B5" s="121" t="str">
        <f>工程基本資料!B3</f>
        <v>113年度南區河濱公園路面暨災後復原預約維護工程</v>
      </c>
      <c r="C5" s="32" t="s">
        <v>5</v>
      </c>
      <c r="D5" s="117" t="s">
        <v>62</v>
      </c>
      <c r="E5" s="118"/>
      <c r="F5" s="30" t="s">
        <v>63</v>
      </c>
      <c r="G5" s="31" t="s">
        <v>6</v>
      </c>
      <c r="H5" s="31">
        <v>0</v>
      </c>
      <c r="I5" s="31" t="s">
        <v>7</v>
      </c>
      <c r="J5" s="111"/>
      <c r="K5" s="111"/>
      <c r="L5" s="101"/>
      <c r="M5" s="127"/>
      <c r="N5" s="26" t="str">
        <f t="shared" ref="N5:O13" si="0">N4</f>
        <v>任益芳</v>
      </c>
      <c r="O5" s="26" t="str">
        <f t="shared" si="0"/>
        <v>南區工務所</v>
      </c>
    </row>
    <row r="6" spans="1:15" ht="18" hidden="1" customHeight="1">
      <c r="A6" s="120"/>
      <c r="B6" s="122"/>
      <c r="C6" s="32" t="s">
        <v>16</v>
      </c>
      <c r="D6" s="117" t="s">
        <v>62</v>
      </c>
      <c r="E6" s="118"/>
      <c r="F6" s="30" t="s">
        <v>63</v>
      </c>
      <c r="G6" s="31" t="s">
        <v>9</v>
      </c>
      <c r="H6" s="31">
        <v>0</v>
      </c>
      <c r="I6" s="31" t="s">
        <v>10</v>
      </c>
      <c r="J6" s="112"/>
      <c r="K6" s="112"/>
      <c r="L6" s="105" t="str">
        <f>工程基本資料!E3</f>
        <v>南區工務所</v>
      </c>
      <c r="M6" s="102" t="str">
        <f>工程基本資料!I3</f>
        <v>松瑩營造有限公司</v>
      </c>
      <c r="N6" s="26" t="str">
        <f t="shared" si="0"/>
        <v>任益芳</v>
      </c>
      <c r="O6" s="26" t="str">
        <f t="shared" si="0"/>
        <v>南區工務所</v>
      </c>
    </row>
    <row r="7" spans="1:15" ht="18" hidden="1" customHeight="1">
      <c r="A7" s="120"/>
      <c r="B7" s="122"/>
      <c r="C7" s="32" t="s">
        <v>8</v>
      </c>
      <c r="D7" s="117" t="s">
        <v>62</v>
      </c>
      <c r="E7" s="118"/>
      <c r="F7" s="30" t="s">
        <v>63</v>
      </c>
      <c r="G7" s="31" t="s">
        <v>17</v>
      </c>
      <c r="H7" s="31">
        <v>0</v>
      </c>
      <c r="I7" s="31" t="s">
        <v>10</v>
      </c>
      <c r="J7" s="112"/>
      <c r="K7" s="112"/>
      <c r="L7" s="106"/>
      <c r="M7" s="103"/>
      <c r="N7" s="26" t="str">
        <f t="shared" si="0"/>
        <v>任益芳</v>
      </c>
      <c r="O7" s="26" t="str">
        <f t="shared" si="0"/>
        <v>南區工務所</v>
      </c>
    </row>
    <row r="8" spans="1:15" ht="18" hidden="1" customHeight="1">
      <c r="A8" s="120"/>
      <c r="B8" s="122"/>
      <c r="C8" s="32" t="s">
        <v>12</v>
      </c>
      <c r="D8" s="117" t="s">
        <v>62</v>
      </c>
      <c r="E8" s="118"/>
      <c r="F8" s="30" t="s">
        <v>63</v>
      </c>
      <c r="G8" s="31" t="s">
        <v>11</v>
      </c>
      <c r="H8" s="31">
        <v>0</v>
      </c>
      <c r="I8" s="31" t="s">
        <v>10</v>
      </c>
      <c r="J8" s="112"/>
      <c r="K8" s="112"/>
      <c r="L8" s="106"/>
      <c r="M8" s="103"/>
      <c r="N8" s="26" t="str">
        <f t="shared" si="0"/>
        <v>任益芳</v>
      </c>
      <c r="O8" s="26" t="str">
        <f t="shared" si="0"/>
        <v>南區工務所</v>
      </c>
    </row>
    <row r="9" spans="1:15" ht="18" hidden="1" customHeight="1">
      <c r="A9" s="120"/>
      <c r="B9" s="122"/>
      <c r="G9" s="31" t="s">
        <v>13</v>
      </c>
      <c r="H9" s="31">
        <v>0</v>
      </c>
      <c r="I9" s="31" t="s">
        <v>10</v>
      </c>
      <c r="J9" s="112"/>
      <c r="K9" s="112"/>
      <c r="L9" s="106"/>
      <c r="M9" s="103"/>
      <c r="N9" s="26" t="str">
        <f t="shared" si="0"/>
        <v>任益芳</v>
      </c>
      <c r="O9" s="26" t="str">
        <f t="shared" si="0"/>
        <v>南區工務所</v>
      </c>
    </row>
    <row r="10" spans="1:15" ht="18" hidden="1" customHeight="1">
      <c r="A10" s="120"/>
      <c r="B10" s="122"/>
      <c r="C10" s="31"/>
      <c r="D10" s="101"/>
      <c r="E10" s="101"/>
      <c r="F10" s="33"/>
      <c r="G10" s="31" t="s">
        <v>14</v>
      </c>
      <c r="H10" s="31">
        <v>0</v>
      </c>
      <c r="I10" s="31" t="s">
        <v>10</v>
      </c>
      <c r="J10" s="112"/>
      <c r="K10" s="112"/>
      <c r="L10" s="106"/>
      <c r="M10" s="103"/>
      <c r="N10" s="26" t="str">
        <f t="shared" si="0"/>
        <v>任益芳</v>
      </c>
      <c r="O10" s="26" t="str">
        <f t="shared" si="0"/>
        <v>南區工務所</v>
      </c>
    </row>
    <row r="11" spans="1:15" ht="18" hidden="1" customHeight="1">
      <c r="A11" s="120"/>
      <c r="B11" s="122"/>
      <c r="C11" s="34"/>
      <c r="D11" s="101"/>
      <c r="E11" s="101"/>
      <c r="F11" s="33"/>
      <c r="G11" s="34" t="s">
        <v>18</v>
      </c>
      <c r="H11" s="34">
        <v>0</v>
      </c>
      <c r="I11" s="34" t="s">
        <v>10</v>
      </c>
      <c r="J11" s="112"/>
      <c r="K11" s="112"/>
      <c r="L11" s="106"/>
      <c r="M11" s="103"/>
      <c r="N11" s="26" t="str">
        <f t="shared" si="0"/>
        <v>任益芳</v>
      </c>
      <c r="O11" s="26" t="str">
        <f t="shared" si="0"/>
        <v>南區工務所</v>
      </c>
    </row>
    <row r="12" spans="1:15" ht="18" hidden="1" customHeight="1">
      <c r="A12" s="120"/>
      <c r="B12" s="122"/>
      <c r="C12" s="34"/>
      <c r="D12" s="101"/>
      <c r="E12" s="101"/>
      <c r="F12" s="33"/>
      <c r="G12" s="34" t="s">
        <v>19</v>
      </c>
      <c r="H12" s="34">
        <v>0</v>
      </c>
      <c r="I12" s="34" t="s">
        <v>20</v>
      </c>
      <c r="J12" s="112"/>
      <c r="K12" s="112"/>
      <c r="L12" s="106"/>
      <c r="M12" s="103"/>
      <c r="N12" s="26" t="str">
        <f t="shared" si="0"/>
        <v>任益芳</v>
      </c>
      <c r="O12" s="26" t="str">
        <f t="shared" si="0"/>
        <v>南區工務所</v>
      </c>
    </row>
    <row r="13" spans="1:15" ht="18" hidden="1" customHeight="1" thickBot="1">
      <c r="A13" s="120"/>
      <c r="B13" s="123"/>
      <c r="C13" s="35"/>
      <c r="D13" s="119"/>
      <c r="E13" s="119"/>
      <c r="F13" s="36"/>
      <c r="G13" s="35" t="s">
        <v>15</v>
      </c>
      <c r="H13" s="35">
        <v>0</v>
      </c>
      <c r="I13" s="35" t="s">
        <v>10</v>
      </c>
      <c r="J13" s="113"/>
      <c r="K13" s="113"/>
      <c r="L13" s="107"/>
      <c r="M13" s="104"/>
      <c r="N13" s="26" t="str">
        <f t="shared" si="0"/>
        <v>任益芳</v>
      </c>
      <c r="O13" s="26" t="str">
        <f t="shared" si="0"/>
        <v>南區工務所</v>
      </c>
    </row>
    <row r="14" spans="1:15" ht="18" hidden="1" customHeight="1">
      <c r="B14" s="27" t="s">
        <v>64</v>
      </c>
      <c r="C14" s="128" t="s">
        <v>0</v>
      </c>
      <c r="D14" s="128"/>
      <c r="E14" s="128"/>
      <c r="F14" s="28" t="s">
        <v>61</v>
      </c>
      <c r="G14" s="128" t="str">
        <f>$G$3</f>
        <v>113年9月23日當日動員機具</v>
      </c>
      <c r="H14" s="128"/>
      <c r="I14" s="128"/>
      <c r="J14" s="28"/>
      <c r="K14" s="28"/>
      <c r="L14" s="124" t="s">
        <v>1</v>
      </c>
      <c r="M14" s="125" t="str">
        <f>工程基本資料!D4</f>
        <v>任益芳</v>
      </c>
      <c r="N14" s="26" t="str">
        <f>M14</f>
        <v>任益芳</v>
      </c>
      <c r="O14" s="26" t="str">
        <f>L17</f>
        <v>南區工務所</v>
      </c>
    </row>
    <row r="15" spans="1:15" ht="18" hidden="1" customHeight="1">
      <c r="B15" s="29" t="str">
        <f>工程基本資料!C4</f>
        <v>H-113-03-113022</v>
      </c>
      <c r="C15" s="32" t="s">
        <v>2</v>
      </c>
      <c r="D15" s="117" t="s">
        <v>3</v>
      </c>
      <c r="E15" s="118"/>
      <c r="F15" s="30"/>
      <c r="G15" s="31" t="s">
        <v>2</v>
      </c>
      <c r="H15" s="101" t="s">
        <v>4</v>
      </c>
      <c r="I15" s="101"/>
      <c r="J15" s="30" t="s">
        <v>59</v>
      </c>
      <c r="K15" s="30" t="s">
        <v>60</v>
      </c>
      <c r="L15" s="101"/>
      <c r="M15" s="126"/>
      <c r="N15" s="26" t="str">
        <f t="shared" ref="N15:O24" si="1">N14</f>
        <v>任益芳</v>
      </c>
      <c r="O15" s="26" t="str">
        <f>O14</f>
        <v>南區工務所</v>
      </c>
    </row>
    <row r="16" spans="1:15" ht="18" hidden="1" customHeight="1">
      <c r="A16" s="120">
        <v>2</v>
      </c>
      <c r="B16" s="121" t="str">
        <f>工程基本資料!B4</f>
        <v>113年度南區水利建造物檢修改善及災後復原(新店溪永福橋至萬板大橋段)預約維護工程</v>
      </c>
      <c r="C16" s="32" t="s">
        <v>5</v>
      </c>
      <c r="D16" s="117" t="s">
        <v>62</v>
      </c>
      <c r="E16" s="118"/>
      <c r="F16" s="30" t="s">
        <v>62</v>
      </c>
      <c r="G16" s="31" t="s">
        <v>6</v>
      </c>
      <c r="H16" s="31">
        <v>0</v>
      </c>
      <c r="I16" s="31" t="s">
        <v>7</v>
      </c>
      <c r="J16" s="111"/>
      <c r="K16" s="111"/>
      <c r="L16" s="101"/>
      <c r="M16" s="127"/>
      <c r="N16" s="26" t="str">
        <f t="shared" si="1"/>
        <v>任益芳</v>
      </c>
      <c r="O16" s="26" t="str">
        <f t="shared" si="1"/>
        <v>南區工務所</v>
      </c>
    </row>
    <row r="17" spans="1:15" ht="18" hidden="1" customHeight="1">
      <c r="A17" s="120"/>
      <c r="B17" s="122"/>
      <c r="C17" s="32" t="s">
        <v>16</v>
      </c>
      <c r="D17" s="117" t="s">
        <v>62</v>
      </c>
      <c r="E17" s="118"/>
      <c r="F17" s="30" t="s">
        <v>62</v>
      </c>
      <c r="G17" s="31" t="s">
        <v>9</v>
      </c>
      <c r="H17" s="31">
        <v>0</v>
      </c>
      <c r="I17" s="31" t="s">
        <v>10</v>
      </c>
      <c r="J17" s="112"/>
      <c r="K17" s="112"/>
      <c r="L17" s="105" t="str">
        <f>工程基本資料!E4</f>
        <v>南區工務所</v>
      </c>
      <c r="M17" s="102" t="str">
        <f>工程基本資料!I4</f>
        <v>鋐城營造有限公司</v>
      </c>
      <c r="N17" s="26" t="str">
        <f t="shared" si="1"/>
        <v>任益芳</v>
      </c>
      <c r="O17" s="26" t="str">
        <f t="shared" si="1"/>
        <v>南區工務所</v>
      </c>
    </row>
    <row r="18" spans="1:15" ht="18" hidden="1" customHeight="1">
      <c r="A18" s="120"/>
      <c r="B18" s="122"/>
      <c r="C18" s="32" t="s">
        <v>8</v>
      </c>
      <c r="D18" s="117" t="s">
        <v>62</v>
      </c>
      <c r="E18" s="118"/>
      <c r="F18" s="30" t="s">
        <v>62</v>
      </c>
      <c r="G18" s="31" t="s">
        <v>17</v>
      </c>
      <c r="H18" s="31">
        <v>0</v>
      </c>
      <c r="I18" s="31" t="s">
        <v>10</v>
      </c>
      <c r="J18" s="112"/>
      <c r="K18" s="112"/>
      <c r="L18" s="106"/>
      <c r="M18" s="103"/>
      <c r="N18" s="26" t="str">
        <f t="shared" si="1"/>
        <v>任益芳</v>
      </c>
      <c r="O18" s="26" t="str">
        <f t="shared" si="1"/>
        <v>南區工務所</v>
      </c>
    </row>
    <row r="19" spans="1:15" ht="18" hidden="1" customHeight="1">
      <c r="A19" s="120"/>
      <c r="B19" s="122"/>
      <c r="C19" s="32" t="s">
        <v>12</v>
      </c>
      <c r="D19" s="117" t="s">
        <v>62</v>
      </c>
      <c r="E19" s="118"/>
      <c r="F19" s="30" t="s">
        <v>62</v>
      </c>
      <c r="G19" s="31" t="s">
        <v>11</v>
      </c>
      <c r="H19" s="31">
        <v>0</v>
      </c>
      <c r="I19" s="31" t="s">
        <v>10</v>
      </c>
      <c r="J19" s="112"/>
      <c r="K19" s="112"/>
      <c r="L19" s="106"/>
      <c r="M19" s="103"/>
      <c r="N19" s="26" t="str">
        <f t="shared" si="1"/>
        <v>任益芳</v>
      </c>
      <c r="O19" s="26" t="str">
        <f t="shared" si="1"/>
        <v>南區工務所</v>
      </c>
    </row>
    <row r="20" spans="1:15" ht="18" hidden="1" customHeight="1">
      <c r="A20" s="120"/>
      <c r="B20" s="122"/>
      <c r="G20" s="31" t="s">
        <v>13</v>
      </c>
      <c r="H20" s="31">
        <v>0</v>
      </c>
      <c r="I20" s="31" t="s">
        <v>10</v>
      </c>
      <c r="J20" s="112"/>
      <c r="K20" s="112"/>
      <c r="L20" s="106"/>
      <c r="M20" s="103"/>
      <c r="N20" s="26" t="str">
        <f t="shared" si="1"/>
        <v>任益芳</v>
      </c>
      <c r="O20" s="26" t="str">
        <f t="shared" si="1"/>
        <v>南區工務所</v>
      </c>
    </row>
    <row r="21" spans="1:15" ht="18" hidden="1" customHeight="1">
      <c r="A21" s="120"/>
      <c r="B21" s="122"/>
      <c r="C21" s="31"/>
      <c r="D21" s="101"/>
      <c r="E21" s="101"/>
      <c r="F21" s="33"/>
      <c r="G21" s="31" t="s">
        <v>14</v>
      </c>
      <c r="H21" s="31">
        <v>0</v>
      </c>
      <c r="I21" s="31" t="s">
        <v>10</v>
      </c>
      <c r="J21" s="112"/>
      <c r="K21" s="112"/>
      <c r="L21" s="106"/>
      <c r="M21" s="103"/>
      <c r="N21" s="26" t="str">
        <f t="shared" si="1"/>
        <v>任益芳</v>
      </c>
      <c r="O21" s="26" t="str">
        <f t="shared" si="1"/>
        <v>南區工務所</v>
      </c>
    </row>
    <row r="22" spans="1:15" ht="18" hidden="1" customHeight="1">
      <c r="A22" s="120"/>
      <c r="B22" s="122"/>
      <c r="C22" s="34"/>
      <c r="D22" s="101"/>
      <c r="E22" s="101"/>
      <c r="F22" s="33"/>
      <c r="G22" s="34" t="s">
        <v>18</v>
      </c>
      <c r="H22" s="34">
        <v>0</v>
      </c>
      <c r="I22" s="34" t="s">
        <v>10</v>
      </c>
      <c r="J22" s="112"/>
      <c r="K22" s="112"/>
      <c r="L22" s="106"/>
      <c r="M22" s="103"/>
      <c r="N22" s="26" t="str">
        <f t="shared" si="1"/>
        <v>任益芳</v>
      </c>
      <c r="O22" s="26" t="str">
        <f t="shared" si="1"/>
        <v>南區工務所</v>
      </c>
    </row>
    <row r="23" spans="1:15" ht="18" hidden="1" customHeight="1">
      <c r="A23" s="120"/>
      <c r="B23" s="122"/>
      <c r="C23" s="34"/>
      <c r="D23" s="101"/>
      <c r="E23" s="101"/>
      <c r="F23" s="33"/>
      <c r="G23" s="34" t="s">
        <v>19</v>
      </c>
      <c r="H23" s="34">
        <v>0</v>
      </c>
      <c r="I23" s="34" t="s">
        <v>20</v>
      </c>
      <c r="J23" s="112"/>
      <c r="K23" s="112"/>
      <c r="L23" s="106"/>
      <c r="M23" s="103"/>
      <c r="N23" s="26" t="str">
        <f t="shared" si="1"/>
        <v>任益芳</v>
      </c>
      <c r="O23" s="26" t="str">
        <f t="shared" si="1"/>
        <v>南區工務所</v>
      </c>
    </row>
    <row r="24" spans="1:15" ht="18" hidden="1" customHeight="1" thickBot="1">
      <c r="A24" s="120"/>
      <c r="B24" s="123"/>
      <c r="C24" s="35"/>
      <c r="D24" s="119"/>
      <c r="E24" s="119"/>
      <c r="F24" s="36"/>
      <c r="G24" s="35" t="s">
        <v>15</v>
      </c>
      <c r="H24" s="35">
        <v>0</v>
      </c>
      <c r="I24" s="35" t="s">
        <v>10</v>
      </c>
      <c r="J24" s="113"/>
      <c r="K24" s="113"/>
      <c r="L24" s="107"/>
      <c r="M24" s="104"/>
      <c r="N24" s="26" t="str">
        <f>N22</f>
        <v>任益芳</v>
      </c>
      <c r="O24" s="26" t="str">
        <f t="shared" si="1"/>
        <v>南區工務所</v>
      </c>
    </row>
    <row r="25" spans="1:15" ht="18" customHeight="1">
      <c r="B25" s="27" t="s">
        <v>64</v>
      </c>
      <c r="C25" s="128" t="s">
        <v>0</v>
      </c>
      <c r="D25" s="128"/>
      <c r="E25" s="128"/>
      <c r="F25" s="28" t="s">
        <v>61</v>
      </c>
      <c r="G25" s="128" t="str">
        <f>$G$3</f>
        <v>113年9月23日當日動員機具</v>
      </c>
      <c r="H25" s="128"/>
      <c r="I25" s="128"/>
      <c r="J25" s="28"/>
      <c r="K25" s="28"/>
      <c r="L25" s="124" t="s">
        <v>1</v>
      </c>
      <c r="M25" s="125" t="str">
        <f>工程基本資料!D5</f>
        <v>王伯豪</v>
      </c>
      <c r="N25" s="26" t="str">
        <f>M25</f>
        <v>王伯豪</v>
      </c>
      <c r="O25" s="26" t="str">
        <f>L28</f>
        <v>南區工務所</v>
      </c>
    </row>
    <row r="26" spans="1:15" ht="18" customHeight="1">
      <c r="B26" s="29" t="str">
        <f>工程基本資料!C5</f>
        <v>H-113-03-113047</v>
      </c>
      <c r="C26" s="32" t="s">
        <v>2</v>
      </c>
      <c r="D26" s="117" t="s">
        <v>3</v>
      </c>
      <c r="E26" s="118"/>
      <c r="F26" s="30"/>
      <c r="G26" s="31" t="s">
        <v>2</v>
      </c>
      <c r="H26" s="101" t="s">
        <v>4</v>
      </c>
      <c r="I26" s="101"/>
      <c r="J26" s="30" t="s">
        <v>59</v>
      </c>
      <c r="K26" s="30" t="s">
        <v>60</v>
      </c>
      <c r="L26" s="101"/>
      <c r="M26" s="126"/>
      <c r="N26" s="26" t="str">
        <f t="shared" ref="N26:O35" si="2">N25</f>
        <v>王伯豪</v>
      </c>
      <c r="O26" s="26" t="str">
        <f>O25</f>
        <v>南區工務所</v>
      </c>
    </row>
    <row r="27" spans="1:15" ht="18" customHeight="1">
      <c r="A27" s="120">
        <v>3</v>
      </c>
      <c r="B27" s="121" t="str">
        <f>工程基本資料!B5</f>
        <v>113年度南區河濱公園土木（含颱風豪雨設施撤離）暨災後復原預約維護工程</v>
      </c>
      <c r="C27" s="32" t="s">
        <v>5</v>
      </c>
      <c r="D27" s="117" t="s">
        <v>62</v>
      </c>
      <c r="E27" s="118"/>
      <c r="F27" s="30" t="s">
        <v>62</v>
      </c>
      <c r="G27" s="31" t="s">
        <v>6</v>
      </c>
      <c r="H27" s="31">
        <v>12</v>
      </c>
      <c r="I27" s="31" t="s">
        <v>7</v>
      </c>
      <c r="J27" s="108" t="s">
        <v>118</v>
      </c>
      <c r="K27" s="108" t="s">
        <v>118</v>
      </c>
      <c r="L27" s="101"/>
      <c r="M27" s="127"/>
      <c r="N27" s="26" t="str">
        <f t="shared" si="2"/>
        <v>王伯豪</v>
      </c>
      <c r="O27" s="26" t="str">
        <f t="shared" si="2"/>
        <v>南區工務所</v>
      </c>
    </row>
    <row r="28" spans="1:15" ht="18" customHeight="1">
      <c r="A28" s="120"/>
      <c r="B28" s="122"/>
      <c r="C28" s="32" t="s">
        <v>16</v>
      </c>
      <c r="D28" s="117" t="s">
        <v>62</v>
      </c>
      <c r="E28" s="118"/>
      <c r="F28" s="30" t="s">
        <v>62</v>
      </c>
      <c r="G28" s="31" t="s">
        <v>9</v>
      </c>
      <c r="H28" s="31">
        <v>1</v>
      </c>
      <c r="I28" s="31" t="s">
        <v>10</v>
      </c>
      <c r="J28" s="112"/>
      <c r="K28" s="112"/>
      <c r="L28" s="105" t="str">
        <f>工程基本資料!E5</f>
        <v>南區工務所</v>
      </c>
      <c r="M28" s="102" t="str">
        <f>工程基本資料!I5</f>
        <v>泇溢營造有限公司</v>
      </c>
      <c r="N28" s="26" t="str">
        <f t="shared" si="2"/>
        <v>王伯豪</v>
      </c>
      <c r="O28" s="26" t="str">
        <f t="shared" si="2"/>
        <v>南區工務所</v>
      </c>
    </row>
    <row r="29" spans="1:15" ht="18" customHeight="1">
      <c r="A29" s="120"/>
      <c r="B29" s="122"/>
      <c r="C29" s="32" t="s">
        <v>8</v>
      </c>
      <c r="D29" s="117" t="s">
        <v>127</v>
      </c>
      <c r="E29" s="118"/>
      <c r="F29" s="30" t="s">
        <v>62</v>
      </c>
      <c r="G29" s="31" t="s">
        <v>17</v>
      </c>
      <c r="H29" s="31">
        <v>0</v>
      </c>
      <c r="I29" s="31" t="s">
        <v>10</v>
      </c>
      <c r="J29" s="112"/>
      <c r="K29" s="112"/>
      <c r="L29" s="106"/>
      <c r="M29" s="103"/>
      <c r="N29" s="26" t="str">
        <f t="shared" si="2"/>
        <v>王伯豪</v>
      </c>
      <c r="O29" s="26" t="str">
        <f t="shared" si="2"/>
        <v>南區工務所</v>
      </c>
    </row>
    <row r="30" spans="1:15" ht="18" customHeight="1">
      <c r="A30" s="120"/>
      <c r="B30" s="122"/>
      <c r="C30" s="32" t="s">
        <v>12</v>
      </c>
      <c r="D30" s="117" t="s">
        <v>62</v>
      </c>
      <c r="E30" s="118"/>
      <c r="F30" s="30" t="s">
        <v>62</v>
      </c>
      <c r="G30" s="31" t="s">
        <v>11</v>
      </c>
      <c r="H30" s="31">
        <v>1</v>
      </c>
      <c r="I30" s="31" t="s">
        <v>10</v>
      </c>
      <c r="J30" s="112"/>
      <c r="K30" s="112"/>
      <c r="L30" s="106"/>
      <c r="M30" s="103"/>
      <c r="N30" s="26" t="str">
        <f t="shared" si="2"/>
        <v>王伯豪</v>
      </c>
      <c r="O30" s="26" t="str">
        <f t="shared" si="2"/>
        <v>南區工務所</v>
      </c>
    </row>
    <row r="31" spans="1:15" ht="18" customHeight="1">
      <c r="A31" s="120"/>
      <c r="B31" s="122"/>
      <c r="D31" s="101"/>
      <c r="E31" s="101"/>
      <c r="G31" s="31" t="s">
        <v>13</v>
      </c>
      <c r="H31" s="31">
        <v>3</v>
      </c>
      <c r="I31" s="31" t="s">
        <v>10</v>
      </c>
      <c r="J31" s="112"/>
      <c r="K31" s="112"/>
      <c r="L31" s="106"/>
      <c r="M31" s="103"/>
      <c r="N31" s="26" t="str">
        <f t="shared" si="2"/>
        <v>王伯豪</v>
      </c>
      <c r="O31" s="26" t="str">
        <f t="shared" si="2"/>
        <v>南區工務所</v>
      </c>
    </row>
    <row r="32" spans="1:15" ht="18" customHeight="1">
      <c r="A32" s="120"/>
      <c r="B32" s="122"/>
      <c r="C32" s="31"/>
      <c r="D32" s="101"/>
      <c r="E32" s="101"/>
      <c r="F32" s="33"/>
      <c r="G32" s="31" t="s">
        <v>14</v>
      </c>
      <c r="H32" s="31">
        <v>1</v>
      </c>
      <c r="I32" s="31" t="s">
        <v>10</v>
      </c>
      <c r="J32" s="112"/>
      <c r="K32" s="112"/>
      <c r="L32" s="106"/>
      <c r="M32" s="103"/>
      <c r="N32" s="26" t="str">
        <f t="shared" si="2"/>
        <v>王伯豪</v>
      </c>
      <c r="O32" s="26" t="str">
        <f t="shared" si="2"/>
        <v>南區工務所</v>
      </c>
    </row>
    <row r="33" spans="1:15" ht="18" customHeight="1">
      <c r="A33" s="120"/>
      <c r="B33" s="37"/>
      <c r="C33" s="34"/>
      <c r="D33" s="101"/>
      <c r="E33" s="101"/>
      <c r="F33" s="33"/>
      <c r="G33" s="34" t="s">
        <v>18</v>
      </c>
      <c r="H33" s="34">
        <v>0</v>
      </c>
      <c r="I33" s="34" t="s">
        <v>10</v>
      </c>
      <c r="J33" s="112"/>
      <c r="K33" s="112"/>
      <c r="L33" s="106"/>
      <c r="M33" s="103"/>
      <c r="N33" s="26" t="str">
        <f t="shared" si="2"/>
        <v>王伯豪</v>
      </c>
      <c r="O33" s="26" t="str">
        <f t="shared" si="2"/>
        <v>南區工務所</v>
      </c>
    </row>
    <row r="34" spans="1:15" ht="18" customHeight="1">
      <c r="A34" s="120"/>
      <c r="B34" s="37"/>
      <c r="C34" s="34"/>
      <c r="D34" s="101"/>
      <c r="E34" s="101"/>
      <c r="F34" s="33"/>
      <c r="G34" s="34" t="s">
        <v>19</v>
      </c>
      <c r="H34" s="34">
        <v>0</v>
      </c>
      <c r="I34" s="34" t="s">
        <v>20</v>
      </c>
      <c r="J34" s="112"/>
      <c r="K34" s="112"/>
      <c r="L34" s="106"/>
      <c r="M34" s="103"/>
      <c r="N34" s="26" t="str">
        <f t="shared" si="2"/>
        <v>王伯豪</v>
      </c>
      <c r="O34" s="26" t="str">
        <f t="shared" si="2"/>
        <v>南區工務所</v>
      </c>
    </row>
    <row r="35" spans="1:15" ht="18" customHeight="1" thickBot="1">
      <c r="A35" s="120"/>
      <c r="B35" s="38"/>
      <c r="C35" s="35"/>
      <c r="D35" s="119"/>
      <c r="E35" s="119"/>
      <c r="F35" s="36"/>
      <c r="G35" s="35" t="s">
        <v>15</v>
      </c>
      <c r="H35" s="35">
        <v>1</v>
      </c>
      <c r="I35" s="35" t="s">
        <v>10</v>
      </c>
      <c r="J35" s="113"/>
      <c r="K35" s="113"/>
      <c r="L35" s="107"/>
      <c r="M35" s="104"/>
      <c r="N35" s="26" t="str">
        <f t="shared" si="2"/>
        <v>王伯豪</v>
      </c>
      <c r="O35" s="26" t="str">
        <f t="shared" si="2"/>
        <v>南區工務所</v>
      </c>
    </row>
    <row r="36" spans="1:15" ht="18" customHeight="1">
      <c r="B36" s="27" t="s">
        <v>64</v>
      </c>
      <c r="C36" s="128" t="s">
        <v>0</v>
      </c>
      <c r="D36" s="128"/>
      <c r="E36" s="128"/>
      <c r="F36" s="28" t="s">
        <v>61</v>
      </c>
      <c r="G36" s="128" t="str">
        <f>$G$3</f>
        <v>113年9月23日當日動員機具</v>
      </c>
      <c r="H36" s="128"/>
      <c r="I36" s="128"/>
      <c r="J36" s="28"/>
      <c r="K36" s="28"/>
      <c r="L36" s="124" t="s">
        <v>1</v>
      </c>
      <c r="M36" s="125" t="str">
        <f>工程基本資料!D6</f>
        <v>詹智為、張思漢</v>
      </c>
      <c r="N36" s="26" t="str">
        <f>M36</f>
        <v>詹智為、張思漢</v>
      </c>
      <c r="O36" s="26" t="str">
        <f>L39</f>
        <v>北區工務所</v>
      </c>
    </row>
    <row r="37" spans="1:15" ht="18" customHeight="1">
      <c r="B37" s="29" t="str">
        <f>工程基本資料!C6</f>
        <v>H-113-03-113021</v>
      </c>
      <c r="C37" s="32" t="s">
        <v>2</v>
      </c>
      <c r="D37" s="117" t="s">
        <v>3</v>
      </c>
      <c r="E37" s="118"/>
      <c r="F37" s="30"/>
      <c r="G37" s="31" t="s">
        <v>2</v>
      </c>
      <c r="H37" s="101" t="s">
        <v>4</v>
      </c>
      <c r="I37" s="101"/>
      <c r="J37" s="30" t="s">
        <v>59</v>
      </c>
      <c r="K37" s="30" t="s">
        <v>60</v>
      </c>
      <c r="L37" s="101"/>
      <c r="M37" s="126"/>
      <c r="N37" s="26" t="str">
        <f t="shared" ref="N37:O46" si="3">N36</f>
        <v>詹智為、張思漢</v>
      </c>
      <c r="O37" s="26" t="str">
        <f>O36</f>
        <v>北區工務所</v>
      </c>
    </row>
    <row r="38" spans="1:15" ht="18" customHeight="1">
      <c r="A38" s="120">
        <v>4</v>
      </c>
      <c r="B38" s="121" t="str">
        <f>工程基本資料!B6</f>
        <v>113年度西區水利建造物檢修改善及災後復原(基隆河左岸高速公路內湖橋至洲美大橋段)預約維護工程</v>
      </c>
      <c r="C38" s="32" t="s">
        <v>5</v>
      </c>
      <c r="D38" s="117" t="s">
        <v>121</v>
      </c>
      <c r="E38" s="118"/>
      <c r="F38" s="30" t="s">
        <v>62</v>
      </c>
      <c r="G38" s="31" t="s">
        <v>6</v>
      </c>
      <c r="H38" s="31">
        <v>9</v>
      </c>
      <c r="I38" s="31" t="s">
        <v>7</v>
      </c>
      <c r="J38" s="111" t="s">
        <v>125</v>
      </c>
      <c r="K38" s="111" t="s">
        <v>126</v>
      </c>
      <c r="L38" s="101"/>
      <c r="M38" s="127"/>
      <c r="N38" s="26" t="str">
        <f t="shared" si="3"/>
        <v>詹智為、張思漢</v>
      </c>
      <c r="O38" s="26" t="str">
        <f t="shared" si="3"/>
        <v>北區工務所</v>
      </c>
    </row>
    <row r="39" spans="1:15" ht="18" customHeight="1">
      <c r="A39" s="120"/>
      <c r="B39" s="122"/>
      <c r="C39" s="32" t="s">
        <v>16</v>
      </c>
      <c r="D39" s="117" t="s">
        <v>122</v>
      </c>
      <c r="E39" s="118"/>
      <c r="F39" s="30" t="s">
        <v>62</v>
      </c>
      <c r="G39" s="31" t="s">
        <v>9</v>
      </c>
      <c r="H39" s="31">
        <v>0</v>
      </c>
      <c r="I39" s="31" t="s">
        <v>10</v>
      </c>
      <c r="J39" s="112"/>
      <c r="K39" s="112"/>
      <c r="L39" s="105" t="str">
        <f>工程基本資料!E6</f>
        <v>北區工務所</v>
      </c>
      <c r="M39" s="102" t="str">
        <f>工程基本資料!I6</f>
        <v>逸峰營造有限公司</v>
      </c>
      <c r="N39" s="26" t="str">
        <f t="shared" si="3"/>
        <v>詹智為、張思漢</v>
      </c>
      <c r="O39" s="26" t="str">
        <f t="shared" si="3"/>
        <v>北區工務所</v>
      </c>
    </row>
    <row r="40" spans="1:15" ht="18" customHeight="1">
      <c r="A40" s="120"/>
      <c r="B40" s="122"/>
      <c r="C40" s="32" t="s">
        <v>8</v>
      </c>
      <c r="D40" s="117" t="s">
        <v>123</v>
      </c>
      <c r="E40" s="118"/>
      <c r="F40" s="30" t="s">
        <v>62</v>
      </c>
      <c r="G40" s="31" t="s">
        <v>17</v>
      </c>
      <c r="H40" s="31">
        <v>1</v>
      </c>
      <c r="I40" s="31" t="s">
        <v>10</v>
      </c>
      <c r="J40" s="112"/>
      <c r="K40" s="112"/>
      <c r="L40" s="106"/>
      <c r="M40" s="103"/>
      <c r="N40" s="26" t="str">
        <f t="shared" si="3"/>
        <v>詹智為、張思漢</v>
      </c>
      <c r="O40" s="26" t="str">
        <f t="shared" si="3"/>
        <v>北區工務所</v>
      </c>
    </row>
    <row r="41" spans="1:15" ht="18" customHeight="1">
      <c r="A41" s="120"/>
      <c r="B41" s="122"/>
      <c r="C41" s="32" t="s">
        <v>12</v>
      </c>
      <c r="D41" s="117" t="s">
        <v>124</v>
      </c>
      <c r="E41" s="118"/>
      <c r="F41" s="30" t="s">
        <v>62</v>
      </c>
      <c r="G41" s="31" t="s">
        <v>11</v>
      </c>
      <c r="H41" s="31">
        <v>1</v>
      </c>
      <c r="I41" s="31" t="s">
        <v>10</v>
      </c>
      <c r="J41" s="112"/>
      <c r="K41" s="112"/>
      <c r="L41" s="106"/>
      <c r="M41" s="103"/>
      <c r="N41" s="26" t="str">
        <f t="shared" si="3"/>
        <v>詹智為、張思漢</v>
      </c>
      <c r="O41" s="26" t="str">
        <f t="shared" si="3"/>
        <v>北區工務所</v>
      </c>
    </row>
    <row r="42" spans="1:15" ht="18" customHeight="1">
      <c r="A42" s="120"/>
      <c r="B42" s="122"/>
      <c r="D42" s="117"/>
      <c r="E42" s="118"/>
      <c r="G42" s="31" t="s">
        <v>13</v>
      </c>
      <c r="H42" s="31">
        <v>1</v>
      </c>
      <c r="I42" s="31" t="s">
        <v>10</v>
      </c>
      <c r="J42" s="112"/>
      <c r="K42" s="112"/>
      <c r="L42" s="106"/>
      <c r="M42" s="103"/>
      <c r="N42" s="26" t="str">
        <f t="shared" si="3"/>
        <v>詹智為、張思漢</v>
      </c>
      <c r="O42" s="26" t="str">
        <f t="shared" si="3"/>
        <v>北區工務所</v>
      </c>
    </row>
    <row r="43" spans="1:15" ht="18" customHeight="1">
      <c r="A43" s="120"/>
      <c r="B43" s="37"/>
      <c r="C43" s="31"/>
      <c r="D43" s="101"/>
      <c r="E43" s="101"/>
      <c r="F43" s="33"/>
      <c r="G43" s="31" t="s">
        <v>14</v>
      </c>
      <c r="H43" s="31">
        <v>2</v>
      </c>
      <c r="I43" s="31" t="s">
        <v>10</v>
      </c>
      <c r="J43" s="112"/>
      <c r="K43" s="112"/>
      <c r="L43" s="106"/>
      <c r="M43" s="103"/>
      <c r="N43" s="26" t="str">
        <f t="shared" si="3"/>
        <v>詹智為、張思漢</v>
      </c>
      <c r="O43" s="26" t="str">
        <f t="shared" si="3"/>
        <v>北區工務所</v>
      </c>
    </row>
    <row r="44" spans="1:15" ht="18" customHeight="1">
      <c r="A44" s="120"/>
      <c r="B44" s="122"/>
      <c r="C44" s="34"/>
      <c r="D44" s="101"/>
      <c r="E44" s="101"/>
      <c r="F44" s="33"/>
      <c r="G44" s="34" t="s">
        <v>18</v>
      </c>
      <c r="H44" s="34">
        <v>0</v>
      </c>
      <c r="I44" s="34" t="s">
        <v>10</v>
      </c>
      <c r="J44" s="112"/>
      <c r="K44" s="112"/>
      <c r="L44" s="106"/>
      <c r="M44" s="103"/>
      <c r="N44" s="26" t="str">
        <f t="shared" si="3"/>
        <v>詹智為、張思漢</v>
      </c>
      <c r="O44" s="26" t="str">
        <f t="shared" si="3"/>
        <v>北區工務所</v>
      </c>
    </row>
    <row r="45" spans="1:15" ht="18" customHeight="1">
      <c r="A45" s="120"/>
      <c r="B45" s="122"/>
      <c r="C45" s="34"/>
      <c r="D45" s="101"/>
      <c r="E45" s="101"/>
      <c r="F45" s="33"/>
      <c r="G45" s="34" t="s">
        <v>19</v>
      </c>
      <c r="H45" s="34">
        <v>0</v>
      </c>
      <c r="I45" s="34" t="s">
        <v>20</v>
      </c>
      <c r="J45" s="112"/>
      <c r="K45" s="112"/>
      <c r="L45" s="106"/>
      <c r="M45" s="103"/>
      <c r="N45" s="26" t="str">
        <f t="shared" si="3"/>
        <v>詹智為、張思漢</v>
      </c>
      <c r="O45" s="26" t="str">
        <f t="shared" si="3"/>
        <v>北區工務所</v>
      </c>
    </row>
    <row r="46" spans="1:15" ht="18" customHeight="1" thickBot="1">
      <c r="A46" s="120"/>
      <c r="B46" s="123"/>
      <c r="C46" s="35"/>
      <c r="D46" s="119"/>
      <c r="E46" s="119"/>
      <c r="F46" s="36"/>
      <c r="G46" s="35" t="s">
        <v>15</v>
      </c>
      <c r="H46" s="35">
        <v>0</v>
      </c>
      <c r="I46" s="35" t="s">
        <v>10</v>
      </c>
      <c r="J46" s="113"/>
      <c r="K46" s="113"/>
      <c r="L46" s="107"/>
      <c r="M46" s="104"/>
      <c r="N46" s="26" t="str">
        <f t="shared" si="3"/>
        <v>詹智為、張思漢</v>
      </c>
      <c r="O46" s="26" t="str">
        <f t="shared" si="3"/>
        <v>北區工務所</v>
      </c>
    </row>
    <row r="47" spans="1:15" ht="18" hidden="1" customHeight="1">
      <c r="B47" s="27" t="s">
        <v>64</v>
      </c>
      <c r="C47" s="128" t="s">
        <v>0</v>
      </c>
      <c r="D47" s="128"/>
      <c r="E47" s="128"/>
      <c r="F47" s="28" t="s">
        <v>61</v>
      </c>
      <c r="G47" s="128" t="str">
        <f>$G$3</f>
        <v>113年9月23日當日動員機具</v>
      </c>
      <c r="H47" s="128"/>
      <c r="I47" s="128"/>
      <c r="J47" s="28"/>
      <c r="K47" s="28"/>
      <c r="L47" s="124" t="s">
        <v>1</v>
      </c>
      <c r="M47" s="125" t="str">
        <f>工程基本資料!D7</f>
        <v>周根杉</v>
      </c>
      <c r="N47" s="26" t="str">
        <f>M47</f>
        <v>周根杉</v>
      </c>
      <c r="O47" s="26" t="str">
        <f>L50</f>
        <v>北區工務所</v>
      </c>
    </row>
    <row r="48" spans="1:15" ht="18" hidden="1" customHeight="1">
      <c r="B48" s="29" t="str">
        <f>工程基本資料!C7</f>
        <v>H-113-03-113025</v>
      </c>
      <c r="C48" s="32" t="s">
        <v>2</v>
      </c>
      <c r="D48" s="117" t="s">
        <v>3</v>
      </c>
      <c r="E48" s="118"/>
      <c r="F48" s="30"/>
      <c r="G48" s="31" t="s">
        <v>2</v>
      </c>
      <c r="H48" s="101" t="s">
        <v>4</v>
      </c>
      <c r="I48" s="101"/>
      <c r="J48" s="30" t="s">
        <v>59</v>
      </c>
      <c r="K48" s="30" t="s">
        <v>60</v>
      </c>
      <c r="L48" s="101"/>
      <c r="M48" s="126"/>
      <c r="N48" s="26" t="str">
        <f t="shared" ref="N48:O57" si="4">N47</f>
        <v>周根杉</v>
      </c>
      <c r="O48" s="26" t="str">
        <f>O47</f>
        <v>北區工務所</v>
      </c>
    </row>
    <row r="49" spans="1:15" ht="18" hidden="1" customHeight="1">
      <c r="A49" s="120">
        <v>5</v>
      </c>
      <c r="B49" s="121" t="str">
        <f>工程基本資料!B7</f>
        <v>113年度北區河濱公園土木暨災後復原預約維護工程</v>
      </c>
      <c r="C49" s="32" t="s">
        <v>5</v>
      </c>
      <c r="D49" s="117" t="s">
        <v>62</v>
      </c>
      <c r="E49" s="118"/>
      <c r="F49" s="30" t="s">
        <v>62</v>
      </c>
      <c r="G49" s="31" t="s">
        <v>6</v>
      </c>
      <c r="H49" s="31"/>
      <c r="I49" s="31" t="s">
        <v>7</v>
      </c>
      <c r="J49" s="108"/>
      <c r="K49" s="111"/>
      <c r="L49" s="101"/>
      <c r="M49" s="127"/>
      <c r="N49" s="26" t="str">
        <f t="shared" si="4"/>
        <v>周根杉</v>
      </c>
      <c r="O49" s="26" t="str">
        <f t="shared" si="4"/>
        <v>北區工務所</v>
      </c>
    </row>
    <row r="50" spans="1:15" ht="18" hidden="1" customHeight="1">
      <c r="A50" s="120"/>
      <c r="B50" s="122"/>
      <c r="C50" s="32" t="s">
        <v>16</v>
      </c>
      <c r="D50" s="117" t="s">
        <v>62</v>
      </c>
      <c r="E50" s="118"/>
      <c r="F50" s="30" t="s">
        <v>62</v>
      </c>
      <c r="G50" s="31" t="s">
        <v>9</v>
      </c>
      <c r="H50" s="31"/>
      <c r="I50" s="31" t="s">
        <v>10</v>
      </c>
      <c r="J50" s="109"/>
      <c r="K50" s="112"/>
      <c r="L50" s="105" t="str">
        <f>工程基本資料!E7</f>
        <v>北區工務所</v>
      </c>
      <c r="M50" s="102" t="str">
        <f>工程基本資料!I7</f>
        <v>冠錏營造有限公司</v>
      </c>
      <c r="N50" s="26" t="str">
        <f t="shared" si="4"/>
        <v>周根杉</v>
      </c>
      <c r="O50" s="26" t="str">
        <f t="shared" si="4"/>
        <v>北區工務所</v>
      </c>
    </row>
    <row r="51" spans="1:15" ht="18" hidden="1" customHeight="1">
      <c r="A51" s="120"/>
      <c r="B51" s="122"/>
      <c r="C51" s="32" t="s">
        <v>8</v>
      </c>
      <c r="D51" s="117" t="s">
        <v>62</v>
      </c>
      <c r="E51" s="118"/>
      <c r="F51" s="30" t="s">
        <v>62</v>
      </c>
      <c r="G51" s="31" t="s">
        <v>17</v>
      </c>
      <c r="H51" s="31"/>
      <c r="I51" s="31" t="s">
        <v>10</v>
      </c>
      <c r="J51" s="109"/>
      <c r="K51" s="112"/>
      <c r="L51" s="106"/>
      <c r="M51" s="103"/>
      <c r="N51" s="26" t="str">
        <f t="shared" si="4"/>
        <v>周根杉</v>
      </c>
      <c r="O51" s="26" t="str">
        <f t="shared" si="4"/>
        <v>北區工務所</v>
      </c>
    </row>
    <row r="52" spans="1:15" ht="18" hidden="1" customHeight="1">
      <c r="A52" s="120"/>
      <c r="B52" s="122"/>
      <c r="C52" s="32" t="s">
        <v>66</v>
      </c>
      <c r="D52" s="117" t="s">
        <v>62</v>
      </c>
      <c r="E52" s="118"/>
      <c r="F52" s="30" t="s">
        <v>62</v>
      </c>
      <c r="G52" s="31" t="s">
        <v>11</v>
      </c>
      <c r="H52" s="31"/>
      <c r="I52" s="31" t="s">
        <v>10</v>
      </c>
      <c r="J52" s="109"/>
      <c r="K52" s="112"/>
      <c r="L52" s="106"/>
      <c r="M52" s="103"/>
      <c r="N52" s="26" t="str">
        <f t="shared" si="4"/>
        <v>周根杉</v>
      </c>
      <c r="O52" s="26" t="str">
        <f t="shared" si="4"/>
        <v>北區工務所</v>
      </c>
    </row>
    <row r="53" spans="1:15" ht="18" hidden="1" customHeight="1">
      <c r="A53" s="120"/>
      <c r="B53" s="122"/>
      <c r="C53" s="32"/>
      <c r="D53" s="101"/>
      <c r="E53" s="101"/>
      <c r="G53" s="31" t="s">
        <v>13</v>
      </c>
      <c r="H53" s="31"/>
      <c r="I53" s="31" t="s">
        <v>10</v>
      </c>
      <c r="J53" s="109"/>
      <c r="K53" s="112"/>
      <c r="L53" s="106"/>
      <c r="M53" s="103"/>
      <c r="N53" s="26" t="str">
        <f t="shared" si="4"/>
        <v>周根杉</v>
      </c>
      <c r="O53" s="26" t="str">
        <f t="shared" si="4"/>
        <v>北區工務所</v>
      </c>
    </row>
    <row r="54" spans="1:15" ht="18" hidden="1" customHeight="1">
      <c r="A54" s="120"/>
      <c r="B54" s="122"/>
      <c r="C54" s="31"/>
      <c r="D54" s="101"/>
      <c r="E54" s="101"/>
      <c r="F54" s="33"/>
      <c r="G54" s="31" t="s">
        <v>14</v>
      </c>
      <c r="H54" s="31"/>
      <c r="I54" s="31" t="s">
        <v>10</v>
      </c>
      <c r="J54" s="109"/>
      <c r="K54" s="112"/>
      <c r="L54" s="106"/>
      <c r="M54" s="103"/>
      <c r="N54" s="26" t="str">
        <f t="shared" si="4"/>
        <v>周根杉</v>
      </c>
      <c r="O54" s="26" t="str">
        <f t="shared" si="4"/>
        <v>北區工務所</v>
      </c>
    </row>
    <row r="55" spans="1:15" ht="18" hidden="1" customHeight="1">
      <c r="A55" s="120"/>
      <c r="B55" s="37"/>
      <c r="C55" s="34"/>
      <c r="D55" s="101"/>
      <c r="E55" s="101"/>
      <c r="F55" s="33"/>
      <c r="G55" s="34" t="s">
        <v>18</v>
      </c>
      <c r="H55" s="34"/>
      <c r="I55" s="34" t="s">
        <v>10</v>
      </c>
      <c r="J55" s="109"/>
      <c r="K55" s="112"/>
      <c r="L55" s="106"/>
      <c r="M55" s="103"/>
      <c r="N55" s="26" t="str">
        <f t="shared" si="4"/>
        <v>周根杉</v>
      </c>
      <c r="O55" s="26" t="str">
        <f t="shared" si="4"/>
        <v>北區工務所</v>
      </c>
    </row>
    <row r="56" spans="1:15" ht="18" hidden="1" customHeight="1">
      <c r="A56" s="120"/>
      <c r="B56" s="37"/>
      <c r="C56" s="34"/>
      <c r="D56" s="101"/>
      <c r="E56" s="101"/>
      <c r="F56" s="33"/>
      <c r="G56" s="34" t="s">
        <v>19</v>
      </c>
      <c r="H56" s="34"/>
      <c r="I56" s="34" t="s">
        <v>20</v>
      </c>
      <c r="J56" s="109"/>
      <c r="K56" s="112"/>
      <c r="L56" s="106"/>
      <c r="M56" s="103"/>
      <c r="N56" s="26" t="str">
        <f t="shared" si="4"/>
        <v>周根杉</v>
      </c>
      <c r="O56" s="26" t="str">
        <f t="shared" si="4"/>
        <v>北區工務所</v>
      </c>
    </row>
    <row r="57" spans="1:15" ht="18" hidden="1" customHeight="1" thickBot="1">
      <c r="A57" s="120"/>
      <c r="B57" s="38"/>
      <c r="C57" s="35"/>
      <c r="D57" s="119"/>
      <c r="E57" s="119"/>
      <c r="F57" s="36"/>
      <c r="G57" s="35" t="s">
        <v>15</v>
      </c>
      <c r="H57" s="35"/>
      <c r="I57" s="35" t="s">
        <v>10</v>
      </c>
      <c r="J57" s="110"/>
      <c r="K57" s="113"/>
      <c r="L57" s="107"/>
      <c r="M57" s="104"/>
      <c r="N57" s="26" t="str">
        <f>N55</f>
        <v>周根杉</v>
      </c>
      <c r="O57" s="26" t="str">
        <f t="shared" si="4"/>
        <v>北區工務所</v>
      </c>
    </row>
    <row r="58" spans="1:15" ht="18" customHeight="1">
      <c r="B58" s="27" t="s">
        <v>64</v>
      </c>
      <c r="C58" s="128" t="s">
        <v>0</v>
      </c>
      <c r="D58" s="128"/>
      <c r="E58" s="128"/>
      <c r="F58" s="28" t="s">
        <v>61</v>
      </c>
      <c r="G58" s="128" t="str">
        <f>$G$3</f>
        <v>113年9月23日當日動員機具</v>
      </c>
      <c r="H58" s="128"/>
      <c r="I58" s="128"/>
      <c r="J58" s="28"/>
      <c r="K58" s="28"/>
      <c r="L58" s="124" t="s">
        <v>1</v>
      </c>
      <c r="M58" s="125" t="str">
        <f>工程基本資料!D8</f>
        <v>陳政誠</v>
      </c>
      <c r="N58" s="26" t="str">
        <f>M58</f>
        <v>陳政誠</v>
      </c>
      <c r="O58" s="26" t="str">
        <f>L61</f>
        <v>南內工務所</v>
      </c>
    </row>
    <row r="59" spans="1:15" ht="18" customHeight="1">
      <c r="B59" s="29" t="str">
        <f>工程基本資料!C8</f>
        <v>H-113-03-113020</v>
      </c>
      <c r="C59" s="32" t="s">
        <v>2</v>
      </c>
      <c r="D59" s="117" t="s">
        <v>3</v>
      </c>
      <c r="E59" s="118"/>
      <c r="F59" s="30"/>
      <c r="G59" s="31" t="s">
        <v>2</v>
      </c>
      <c r="H59" s="101" t="s">
        <v>4</v>
      </c>
      <c r="I59" s="101"/>
      <c r="J59" s="30" t="s">
        <v>59</v>
      </c>
      <c r="K59" s="30" t="s">
        <v>60</v>
      </c>
      <c r="L59" s="101"/>
      <c r="M59" s="126"/>
      <c r="N59" s="26" t="str">
        <f t="shared" ref="N59" si="5">N58</f>
        <v>陳政誠</v>
      </c>
      <c r="O59" s="26" t="str">
        <f>O58</f>
        <v>南內工務所</v>
      </c>
    </row>
    <row r="60" spans="1:15" ht="27.95" customHeight="1">
      <c r="A60" s="120">
        <v>6</v>
      </c>
      <c r="B60" s="121" t="str">
        <f>工程基本資料!B8</f>
        <v>113年度東區水利建造物檢修改善及災後復原(基隆河左岸高速公路內湖橋上游段，含四分溪及大坑溪)預約維護工程</v>
      </c>
      <c r="C60" s="32" t="s">
        <v>144</v>
      </c>
      <c r="D60" s="117" t="s">
        <v>148</v>
      </c>
      <c r="E60" s="118"/>
      <c r="F60" s="30" t="s">
        <v>151</v>
      </c>
      <c r="G60" s="31" t="s">
        <v>6</v>
      </c>
      <c r="H60" s="31">
        <v>18</v>
      </c>
      <c r="I60" s="31" t="s">
        <v>7</v>
      </c>
      <c r="J60" s="108" t="s">
        <v>153</v>
      </c>
      <c r="K60" s="111"/>
      <c r="L60" s="101"/>
      <c r="M60" s="127"/>
      <c r="N60" s="26" t="str">
        <f t="shared" ref="N60:O60" si="6">N59</f>
        <v>陳政誠</v>
      </c>
      <c r="O60" s="26" t="str">
        <f t="shared" si="6"/>
        <v>南內工務所</v>
      </c>
    </row>
    <row r="61" spans="1:15" ht="27.95" customHeight="1">
      <c r="A61" s="120"/>
      <c r="B61" s="122"/>
      <c r="C61" s="32" t="s">
        <v>145</v>
      </c>
      <c r="D61" s="117" t="s">
        <v>149</v>
      </c>
      <c r="E61" s="118"/>
      <c r="F61" s="30" t="s">
        <v>151</v>
      </c>
      <c r="G61" s="31" t="s">
        <v>9</v>
      </c>
      <c r="H61" s="31">
        <v>0</v>
      </c>
      <c r="I61" s="31" t="s">
        <v>10</v>
      </c>
      <c r="J61" s="112"/>
      <c r="K61" s="112"/>
      <c r="L61" s="105" t="str">
        <f>工程基本資料!E8</f>
        <v>南內工務所</v>
      </c>
      <c r="M61" s="102" t="str">
        <f>工程基本資料!I8</f>
        <v>淞源營造有限公司</v>
      </c>
      <c r="N61" s="26" t="str">
        <f t="shared" ref="N61:O61" si="7">N60</f>
        <v>陳政誠</v>
      </c>
      <c r="O61" s="26" t="str">
        <f t="shared" si="7"/>
        <v>南內工務所</v>
      </c>
    </row>
    <row r="62" spans="1:15" ht="27.95" customHeight="1">
      <c r="A62" s="120"/>
      <c r="B62" s="122"/>
      <c r="C62" s="32" t="s">
        <v>146</v>
      </c>
      <c r="D62" s="117" t="s">
        <v>150</v>
      </c>
      <c r="E62" s="118"/>
      <c r="F62" s="52" t="s">
        <v>152</v>
      </c>
      <c r="G62" s="31" t="s">
        <v>17</v>
      </c>
      <c r="H62" s="31">
        <v>0</v>
      </c>
      <c r="I62" s="31" t="s">
        <v>10</v>
      </c>
      <c r="J62" s="112"/>
      <c r="K62" s="112"/>
      <c r="L62" s="106"/>
      <c r="M62" s="103"/>
      <c r="N62" s="26" t="str">
        <f t="shared" ref="N62:O62" si="8">N61</f>
        <v>陳政誠</v>
      </c>
      <c r="O62" s="26" t="str">
        <f t="shared" si="8"/>
        <v>南內工務所</v>
      </c>
    </row>
    <row r="63" spans="1:15" ht="27.95" customHeight="1">
      <c r="A63" s="120"/>
      <c r="B63" s="122"/>
      <c r="C63" s="32" t="s">
        <v>147</v>
      </c>
      <c r="D63" s="117" t="s">
        <v>149</v>
      </c>
      <c r="E63" s="118"/>
      <c r="F63" s="30"/>
      <c r="G63" s="31" t="s">
        <v>11</v>
      </c>
      <c r="H63" s="31">
        <v>0</v>
      </c>
      <c r="I63" s="31" t="s">
        <v>10</v>
      </c>
      <c r="J63" s="112"/>
      <c r="K63" s="112"/>
      <c r="L63" s="106"/>
      <c r="M63" s="103"/>
      <c r="N63" s="26" t="str">
        <f t="shared" ref="N63:O63" si="9">N62</f>
        <v>陳政誠</v>
      </c>
      <c r="O63" s="26" t="str">
        <f t="shared" si="9"/>
        <v>南內工務所</v>
      </c>
    </row>
    <row r="64" spans="1:15" ht="27.95" customHeight="1">
      <c r="A64" s="120"/>
      <c r="B64" s="122"/>
      <c r="D64" s="101"/>
      <c r="E64" s="101"/>
      <c r="G64" s="31" t="s">
        <v>13</v>
      </c>
      <c r="H64" s="31">
        <v>3</v>
      </c>
      <c r="I64" s="31" t="s">
        <v>10</v>
      </c>
      <c r="J64" s="112"/>
      <c r="K64" s="112"/>
      <c r="L64" s="106"/>
      <c r="M64" s="103"/>
      <c r="N64" s="26" t="str">
        <f t="shared" ref="N64:O64" si="10">N63</f>
        <v>陳政誠</v>
      </c>
      <c r="O64" s="26" t="str">
        <f t="shared" si="10"/>
        <v>南內工務所</v>
      </c>
    </row>
    <row r="65" spans="1:15" ht="27.95" customHeight="1">
      <c r="A65" s="120"/>
      <c r="B65" s="122"/>
      <c r="C65" s="31"/>
      <c r="D65" s="101"/>
      <c r="E65" s="101"/>
      <c r="F65" s="33"/>
      <c r="G65" s="31" t="s">
        <v>14</v>
      </c>
      <c r="H65" s="31">
        <v>4</v>
      </c>
      <c r="I65" s="31" t="s">
        <v>10</v>
      </c>
      <c r="J65" s="112"/>
      <c r="K65" s="112"/>
      <c r="L65" s="106"/>
      <c r="M65" s="103"/>
      <c r="N65" s="26" t="str">
        <f t="shared" ref="N65:O65" si="11">N64</f>
        <v>陳政誠</v>
      </c>
      <c r="O65" s="26" t="str">
        <f t="shared" si="11"/>
        <v>南內工務所</v>
      </c>
    </row>
    <row r="66" spans="1:15" ht="27.95" customHeight="1">
      <c r="B66" s="37"/>
      <c r="C66" s="34"/>
      <c r="D66" s="101"/>
      <c r="E66" s="101"/>
      <c r="F66" s="33"/>
      <c r="G66" s="34" t="s">
        <v>18</v>
      </c>
      <c r="H66" s="34">
        <v>0</v>
      </c>
      <c r="I66" s="34" t="s">
        <v>10</v>
      </c>
      <c r="J66" s="112"/>
      <c r="K66" s="112"/>
      <c r="L66" s="106"/>
      <c r="M66" s="103"/>
      <c r="N66" s="26" t="str">
        <f t="shared" ref="N66:O66" si="12">N65</f>
        <v>陳政誠</v>
      </c>
      <c r="O66" s="26" t="str">
        <f t="shared" si="12"/>
        <v>南內工務所</v>
      </c>
    </row>
    <row r="67" spans="1:15" ht="27.95" customHeight="1">
      <c r="B67" s="37"/>
      <c r="C67" s="34"/>
      <c r="D67" s="101"/>
      <c r="E67" s="101"/>
      <c r="F67" s="33"/>
      <c r="G67" s="34" t="s">
        <v>19</v>
      </c>
      <c r="H67" s="34">
        <v>0</v>
      </c>
      <c r="I67" s="34" t="s">
        <v>20</v>
      </c>
      <c r="J67" s="112"/>
      <c r="K67" s="112"/>
      <c r="L67" s="106"/>
      <c r="M67" s="103"/>
      <c r="N67" s="26" t="str">
        <f t="shared" ref="N67:O67" si="13">N66</f>
        <v>陳政誠</v>
      </c>
      <c r="O67" s="26" t="str">
        <f t="shared" si="13"/>
        <v>南內工務所</v>
      </c>
    </row>
    <row r="68" spans="1:15" ht="27.95" customHeight="1" thickBot="1">
      <c r="B68" s="38"/>
      <c r="C68" s="35"/>
      <c r="D68" s="119"/>
      <c r="E68" s="119"/>
      <c r="F68" s="36"/>
      <c r="G68" s="35" t="s">
        <v>15</v>
      </c>
      <c r="H68" s="35">
        <v>0</v>
      </c>
      <c r="I68" s="35" t="s">
        <v>10</v>
      </c>
      <c r="J68" s="113"/>
      <c r="K68" s="113"/>
      <c r="L68" s="107"/>
      <c r="M68" s="104"/>
      <c r="N68" s="26" t="str">
        <f>N66</f>
        <v>陳政誠</v>
      </c>
      <c r="O68" s="26" t="str">
        <f t="shared" ref="O68" si="14">O67</f>
        <v>南內工務所</v>
      </c>
    </row>
    <row r="69" spans="1:15" ht="18" customHeight="1">
      <c r="B69" s="27" t="s">
        <v>64</v>
      </c>
      <c r="C69" s="128" t="s">
        <v>0</v>
      </c>
      <c r="D69" s="128"/>
      <c r="E69" s="128"/>
      <c r="F69" s="28" t="s">
        <v>61</v>
      </c>
      <c r="G69" s="128" t="str">
        <f>$G$3</f>
        <v>113年9月23日當日動員機具</v>
      </c>
      <c r="H69" s="128"/>
      <c r="I69" s="128"/>
      <c r="J69" s="28"/>
      <c r="K69" s="28"/>
      <c r="L69" s="124" t="s">
        <v>1</v>
      </c>
      <c r="M69" s="125" t="str">
        <f>工程基本資料!D9</f>
        <v>陳政誠</v>
      </c>
      <c r="N69" s="26" t="str">
        <f>M69</f>
        <v>陳政誠</v>
      </c>
      <c r="O69" s="26" t="str">
        <f>L72</f>
        <v>南內工務所</v>
      </c>
    </row>
    <row r="70" spans="1:15" ht="18" customHeight="1">
      <c r="B70" s="29" t="str">
        <f>工程基本資料!C9</f>
        <v>H-113-03-113018</v>
      </c>
      <c r="C70" s="32" t="s">
        <v>2</v>
      </c>
      <c r="D70" s="117" t="s">
        <v>3</v>
      </c>
      <c r="E70" s="118"/>
      <c r="F70" s="30"/>
      <c r="G70" s="31" t="s">
        <v>2</v>
      </c>
      <c r="H70" s="101" t="s">
        <v>4</v>
      </c>
      <c r="I70" s="101"/>
      <c r="J70" s="30" t="s">
        <v>59</v>
      </c>
      <c r="K70" s="30" t="s">
        <v>60</v>
      </c>
      <c r="L70" s="101"/>
      <c r="M70" s="126"/>
      <c r="N70" s="26" t="str">
        <f t="shared" ref="N70" si="15">N69</f>
        <v>陳政誠</v>
      </c>
      <c r="O70" s="26" t="str">
        <f>O69</f>
        <v>南內工務所</v>
      </c>
    </row>
    <row r="71" spans="1:15" ht="18" customHeight="1">
      <c r="A71" s="120">
        <v>7</v>
      </c>
      <c r="B71" s="121" t="str">
        <f>工程基本資料!B9</f>
        <v>113年度東區河濱公園路面暨災後復原預約維護工程</v>
      </c>
      <c r="C71" s="49" t="s">
        <v>8</v>
      </c>
      <c r="D71" s="117" t="s">
        <v>129</v>
      </c>
      <c r="E71" s="118"/>
      <c r="F71" s="53" t="s">
        <v>128</v>
      </c>
      <c r="G71" s="31" t="s">
        <v>6</v>
      </c>
      <c r="H71" s="31">
        <v>6</v>
      </c>
      <c r="I71" s="31" t="s">
        <v>7</v>
      </c>
      <c r="J71" s="108" t="s">
        <v>143</v>
      </c>
      <c r="K71" s="111"/>
      <c r="L71" s="101"/>
      <c r="M71" s="127"/>
      <c r="N71" s="26" t="str">
        <f t="shared" ref="N71:O71" si="16">N70</f>
        <v>陳政誠</v>
      </c>
      <c r="O71" s="26" t="str">
        <f t="shared" si="16"/>
        <v>南內工務所</v>
      </c>
    </row>
    <row r="72" spans="1:15" ht="18" customHeight="1">
      <c r="A72" s="120"/>
      <c r="B72" s="122"/>
      <c r="C72" s="49" t="s">
        <v>141</v>
      </c>
      <c r="D72" s="117" t="s">
        <v>129</v>
      </c>
      <c r="E72" s="118"/>
      <c r="F72" s="53" t="s">
        <v>128</v>
      </c>
      <c r="G72" s="31" t="s">
        <v>9</v>
      </c>
      <c r="H72" s="31">
        <v>0</v>
      </c>
      <c r="I72" s="31" t="s">
        <v>10</v>
      </c>
      <c r="J72" s="109"/>
      <c r="K72" s="112"/>
      <c r="L72" s="105" t="str">
        <f>工程基本資料!E9</f>
        <v>南內工務所</v>
      </c>
      <c r="M72" s="102" t="str">
        <f>工程基本資料!I9</f>
        <v>松瑩營造有限公司</v>
      </c>
      <c r="N72" s="26" t="str">
        <f t="shared" ref="N72:O72" si="17">N71</f>
        <v>陳政誠</v>
      </c>
      <c r="O72" s="26" t="str">
        <f t="shared" si="17"/>
        <v>南內工務所</v>
      </c>
    </row>
    <row r="73" spans="1:15" ht="18" customHeight="1">
      <c r="A73" s="120"/>
      <c r="B73" s="122"/>
      <c r="C73" s="49" t="s">
        <v>136</v>
      </c>
      <c r="D73" s="117" t="s">
        <v>142</v>
      </c>
      <c r="E73" s="118"/>
      <c r="F73" s="53"/>
      <c r="G73" s="31" t="s">
        <v>17</v>
      </c>
      <c r="H73" s="31">
        <v>0</v>
      </c>
      <c r="I73" s="31" t="s">
        <v>10</v>
      </c>
      <c r="J73" s="109"/>
      <c r="K73" s="112"/>
      <c r="L73" s="106"/>
      <c r="M73" s="103"/>
      <c r="N73" s="26" t="str">
        <f t="shared" ref="N73:O73" si="18">N72</f>
        <v>陳政誠</v>
      </c>
      <c r="O73" s="26" t="str">
        <f t="shared" si="18"/>
        <v>南內工務所</v>
      </c>
    </row>
    <row r="74" spans="1:15" ht="18" customHeight="1">
      <c r="A74" s="120"/>
      <c r="B74" s="122"/>
      <c r="C74" s="32" t="s">
        <v>12</v>
      </c>
      <c r="D74" s="117" t="s">
        <v>62</v>
      </c>
      <c r="E74" s="118"/>
      <c r="F74" s="30" t="s">
        <v>62</v>
      </c>
      <c r="G74" s="31" t="s">
        <v>11</v>
      </c>
      <c r="H74" s="31">
        <v>0</v>
      </c>
      <c r="I74" s="31" t="s">
        <v>10</v>
      </c>
      <c r="J74" s="109"/>
      <c r="K74" s="112"/>
      <c r="L74" s="106"/>
      <c r="M74" s="103"/>
      <c r="N74" s="26" t="str">
        <f t="shared" ref="N74:O74" si="19">N73</f>
        <v>陳政誠</v>
      </c>
      <c r="O74" s="26" t="str">
        <f t="shared" si="19"/>
        <v>南內工務所</v>
      </c>
    </row>
    <row r="75" spans="1:15" ht="18" customHeight="1">
      <c r="A75" s="120"/>
      <c r="B75" s="122"/>
      <c r="D75" s="101"/>
      <c r="E75" s="101"/>
      <c r="G75" s="31" t="s">
        <v>13</v>
      </c>
      <c r="H75" s="31">
        <v>2</v>
      </c>
      <c r="I75" s="31" t="s">
        <v>10</v>
      </c>
      <c r="J75" s="109"/>
      <c r="K75" s="112"/>
      <c r="L75" s="106"/>
      <c r="M75" s="103"/>
      <c r="N75" s="26" t="str">
        <f t="shared" ref="N75:O75" si="20">N74</f>
        <v>陳政誠</v>
      </c>
      <c r="O75" s="26" t="str">
        <f t="shared" si="20"/>
        <v>南內工務所</v>
      </c>
    </row>
    <row r="76" spans="1:15" ht="18" customHeight="1">
      <c r="A76" s="120"/>
      <c r="B76" s="122"/>
      <c r="C76" s="31"/>
      <c r="D76" s="101"/>
      <c r="E76" s="101"/>
      <c r="F76" s="33"/>
      <c r="G76" s="31" t="s">
        <v>14</v>
      </c>
      <c r="H76" s="31">
        <v>2</v>
      </c>
      <c r="I76" s="31" t="s">
        <v>10</v>
      </c>
      <c r="J76" s="109"/>
      <c r="K76" s="112"/>
      <c r="L76" s="106"/>
      <c r="M76" s="103"/>
      <c r="N76" s="26" t="str">
        <f t="shared" ref="N76:O76" si="21">N75</f>
        <v>陳政誠</v>
      </c>
      <c r="O76" s="26" t="str">
        <f t="shared" si="21"/>
        <v>南內工務所</v>
      </c>
    </row>
    <row r="77" spans="1:15" ht="18" customHeight="1">
      <c r="B77" s="37"/>
      <c r="C77" s="34"/>
      <c r="D77" s="101"/>
      <c r="E77" s="101"/>
      <c r="F77" s="33"/>
      <c r="G77" s="34" t="s">
        <v>18</v>
      </c>
      <c r="H77" s="34">
        <v>0</v>
      </c>
      <c r="I77" s="34" t="s">
        <v>10</v>
      </c>
      <c r="J77" s="109"/>
      <c r="K77" s="112"/>
      <c r="L77" s="106"/>
      <c r="M77" s="103"/>
      <c r="N77" s="26" t="str">
        <f t="shared" ref="N77:O77" si="22">N76</f>
        <v>陳政誠</v>
      </c>
      <c r="O77" s="26" t="str">
        <f t="shared" si="22"/>
        <v>南內工務所</v>
      </c>
    </row>
    <row r="78" spans="1:15" ht="18" customHeight="1">
      <c r="B78" s="37"/>
      <c r="C78" s="34"/>
      <c r="D78" s="101"/>
      <c r="E78" s="101"/>
      <c r="F78" s="33"/>
      <c r="G78" s="34" t="s">
        <v>19</v>
      </c>
      <c r="H78" s="34">
        <v>0</v>
      </c>
      <c r="I78" s="34" t="s">
        <v>20</v>
      </c>
      <c r="J78" s="109"/>
      <c r="K78" s="112"/>
      <c r="L78" s="106"/>
      <c r="M78" s="103"/>
      <c r="N78" s="26" t="str">
        <f t="shared" ref="N78:O78" si="23">N77</f>
        <v>陳政誠</v>
      </c>
      <c r="O78" s="26" t="str">
        <f t="shared" si="23"/>
        <v>南內工務所</v>
      </c>
    </row>
    <row r="79" spans="1:15" ht="18" customHeight="1" thickBot="1">
      <c r="B79" s="38"/>
      <c r="C79" s="35"/>
      <c r="D79" s="119"/>
      <c r="E79" s="119"/>
      <c r="F79" s="36"/>
      <c r="G79" s="35" t="s">
        <v>15</v>
      </c>
      <c r="H79" s="35">
        <v>0</v>
      </c>
      <c r="I79" s="35" t="s">
        <v>10</v>
      </c>
      <c r="J79" s="110"/>
      <c r="K79" s="113"/>
      <c r="L79" s="107"/>
      <c r="M79" s="104"/>
      <c r="N79" s="26" t="str">
        <f>N77</f>
        <v>陳政誠</v>
      </c>
      <c r="O79" s="26" t="str">
        <f t="shared" ref="O79" si="24">O78</f>
        <v>南內工務所</v>
      </c>
    </row>
    <row r="80" spans="1:15" ht="18" customHeight="1">
      <c r="B80" s="27" t="s">
        <v>64</v>
      </c>
      <c r="C80" s="128" t="s">
        <v>0</v>
      </c>
      <c r="D80" s="128"/>
      <c r="E80" s="128"/>
      <c r="F80" s="28" t="s">
        <v>61</v>
      </c>
      <c r="G80" s="128" t="str">
        <f>$G$3</f>
        <v>113年9月23日當日動員機具</v>
      </c>
      <c r="H80" s="128"/>
      <c r="I80" s="128"/>
      <c r="J80" s="28"/>
      <c r="K80" s="28"/>
      <c r="L80" s="124" t="s">
        <v>1</v>
      </c>
      <c r="M80" s="125" t="str">
        <f>工程基本資料!D10</f>
        <v>江志偉</v>
      </c>
      <c r="N80" s="26" t="str">
        <f>M80</f>
        <v>江志偉</v>
      </c>
      <c r="O80" s="26" t="str">
        <f>L83</f>
        <v>南內工務所</v>
      </c>
    </row>
    <row r="81" spans="1:15" ht="18" customHeight="1">
      <c r="B81" s="29" t="str">
        <f>工程基本資料!C10</f>
        <v>H-113-03-113045</v>
      </c>
      <c r="C81" s="32" t="s">
        <v>2</v>
      </c>
      <c r="D81" s="117" t="s">
        <v>3</v>
      </c>
      <c r="E81" s="118"/>
      <c r="F81" s="30"/>
      <c r="G81" s="31" t="s">
        <v>2</v>
      </c>
      <c r="H81" s="101" t="s">
        <v>4</v>
      </c>
      <c r="I81" s="101"/>
      <c r="J81" s="30" t="s">
        <v>59</v>
      </c>
      <c r="K81" s="30" t="s">
        <v>60</v>
      </c>
      <c r="L81" s="101"/>
      <c r="M81" s="126"/>
      <c r="N81" s="26" t="str">
        <f t="shared" ref="N81" si="25">N80</f>
        <v>江志偉</v>
      </c>
      <c r="O81" s="26" t="str">
        <f>O80</f>
        <v>南內工務所</v>
      </c>
    </row>
    <row r="82" spans="1:15" ht="30" customHeight="1">
      <c r="A82" s="120">
        <v>8</v>
      </c>
      <c r="B82" s="121" t="str">
        <f>工程基本資料!B10</f>
        <v>113年度東區河濱公園土木暨災後復原預約維護工程</v>
      </c>
      <c r="C82" s="49" t="s">
        <v>8</v>
      </c>
      <c r="D82" s="117" t="s">
        <v>130</v>
      </c>
      <c r="E82" s="118"/>
      <c r="F82" s="48" t="s">
        <v>131</v>
      </c>
      <c r="G82" s="31" t="s">
        <v>6</v>
      </c>
      <c r="H82" s="31">
        <v>14</v>
      </c>
      <c r="I82" s="31" t="s">
        <v>7</v>
      </c>
      <c r="J82" s="114" t="s">
        <v>140</v>
      </c>
      <c r="K82" s="111"/>
      <c r="L82" s="101"/>
      <c r="M82" s="127"/>
      <c r="N82" s="26" t="str">
        <f t="shared" ref="N82:O82" si="26">N81</f>
        <v>江志偉</v>
      </c>
      <c r="O82" s="26" t="str">
        <f t="shared" si="26"/>
        <v>南內工務所</v>
      </c>
    </row>
    <row r="83" spans="1:15" ht="30" customHeight="1">
      <c r="A83" s="120"/>
      <c r="B83" s="122"/>
      <c r="C83" s="49" t="s">
        <v>133</v>
      </c>
      <c r="D83" s="117" t="s">
        <v>138</v>
      </c>
      <c r="E83" s="118"/>
      <c r="F83" s="48" t="s">
        <v>62</v>
      </c>
      <c r="G83" s="31" t="s">
        <v>9</v>
      </c>
      <c r="H83" s="31">
        <v>1</v>
      </c>
      <c r="I83" s="31" t="s">
        <v>10</v>
      </c>
      <c r="J83" s="115"/>
      <c r="K83" s="112"/>
      <c r="L83" s="105" t="str">
        <f>工程基本資料!E10</f>
        <v>南內工務所</v>
      </c>
      <c r="M83" s="102" t="str">
        <f>工程基本資料!I10</f>
        <v>和遠營造有限公司</v>
      </c>
      <c r="N83" s="26" t="str">
        <f t="shared" ref="N83:O83" si="27">N82</f>
        <v>江志偉</v>
      </c>
      <c r="O83" s="26" t="str">
        <f t="shared" si="27"/>
        <v>南內工務所</v>
      </c>
    </row>
    <row r="84" spans="1:15" ht="30" customHeight="1">
      <c r="A84" s="120"/>
      <c r="B84" s="122"/>
      <c r="C84" s="39" t="s">
        <v>134</v>
      </c>
      <c r="D84" s="117" t="s">
        <v>130</v>
      </c>
      <c r="E84" s="118"/>
      <c r="F84" s="48" t="s">
        <v>128</v>
      </c>
      <c r="G84" s="31" t="s">
        <v>17</v>
      </c>
      <c r="H84" s="31">
        <v>0</v>
      </c>
      <c r="I84" s="31" t="s">
        <v>10</v>
      </c>
      <c r="J84" s="115"/>
      <c r="K84" s="112"/>
      <c r="L84" s="106"/>
      <c r="M84" s="103"/>
      <c r="N84" s="26" t="str">
        <f t="shared" ref="N84:O84" si="28">N83</f>
        <v>江志偉</v>
      </c>
      <c r="O84" s="26" t="str">
        <f t="shared" si="28"/>
        <v>南內工務所</v>
      </c>
    </row>
    <row r="85" spans="1:15" ht="30" customHeight="1">
      <c r="A85" s="120"/>
      <c r="B85" s="122"/>
      <c r="C85" s="49" t="s">
        <v>135</v>
      </c>
      <c r="D85" s="117" t="s">
        <v>138</v>
      </c>
      <c r="E85" s="118"/>
      <c r="F85" s="48" t="s">
        <v>62</v>
      </c>
      <c r="G85" s="31" t="s">
        <v>11</v>
      </c>
      <c r="H85" s="31">
        <v>0</v>
      </c>
      <c r="I85" s="31" t="s">
        <v>10</v>
      </c>
      <c r="J85" s="115"/>
      <c r="K85" s="112"/>
      <c r="L85" s="106"/>
      <c r="M85" s="103"/>
      <c r="N85" s="26" t="str">
        <f t="shared" ref="N85:O85" si="29">N84</f>
        <v>江志偉</v>
      </c>
      <c r="O85" s="26" t="str">
        <f t="shared" si="29"/>
        <v>南內工務所</v>
      </c>
    </row>
    <row r="86" spans="1:15" ht="30" customHeight="1">
      <c r="A86" s="120"/>
      <c r="B86" s="122"/>
      <c r="C86" s="50" t="s">
        <v>136</v>
      </c>
      <c r="D86" s="117" t="s">
        <v>139</v>
      </c>
      <c r="E86" s="118"/>
      <c r="F86" s="48" t="s">
        <v>62</v>
      </c>
      <c r="G86" s="31" t="s">
        <v>13</v>
      </c>
      <c r="H86" s="31">
        <v>4</v>
      </c>
      <c r="I86" s="31" t="s">
        <v>10</v>
      </c>
      <c r="J86" s="115"/>
      <c r="K86" s="112"/>
      <c r="L86" s="106"/>
      <c r="M86" s="103"/>
      <c r="N86" s="26" t="str">
        <f t="shared" ref="N86:O86" si="30">N85</f>
        <v>江志偉</v>
      </c>
      <c r="O86" s="26" t="str">
        <f t="shared" si="30"/>
        <v>南內工務所</v>
      </c>
    </row>
    <row r="87" spans="1:15" ht="30" customHeight="1">
      <c r="A87" s="120"/>
      <c r="B87" s="122"/>
      <c r="C87" s="49" t="s">
        <v>16</v>
      </c>
      <c r="D87" s="117" t="s">
        <v>138</v>
      </c>
      <c r="E87" s="118"/>
      <c r="F87" s="48" t="s">
        <v>62</v>
      </c>
      <c r="G87" s="31" t="s">
        <v>14</v>
      </c>
      <c r="H87" s="31">
        <v>4</v>
      </c>
      <c r="I87" s="31" t="s">
        <v>10</v>
      </c>
      <c r="J87" s="115"/>
      <c r="K87" s="112"/>
      <c r="L87" s="106"/>
      <c r="M87" s="103"/>
      <c r="N87" s="26" t="str">
        <f t="shared" ref="N87:O87" si="31">N86</f>
        <v>江志偉</v>
      </c>
      <c r="O87" s="26" t="str">
        <f t="shared" si="31"/>
        <v>南內工務所</v>
      </c>
    </row>
    <row r="88" spans="1:15" ht="30" customHeight="1">
      <c r="B88" s="37"/>
      <c r="C88" s="50" t="s">
        <v>137</v>
      </c>
      <c r="D88" s="117" t="s">
        <v>138</v>
      </c>
      <c r="E88" s="118"/>
      <c r="F88" s="51"/>
      <c r="G88" s="34" t="s">
        <v>18</v>
      </c>
      <c r="H88" s="34">
        <v>0</v>
      </c>
      <c r="I88" s="34" t="s">
        <v>10</v>
      </c>
      <c r="J88" s="115"/>
      <c r="K88" s="112"/>
      <c r="L88" s="106"/>
      <c r="M88" s="103"/>
      <c r="N88" s="26" t="str">
        <f t="shared" ref="N88:O88" si="32">N87</f>
        <v>江志偉</v>
      </c>
      <c r="O88" s="26" t="str">
        <f t="shared" si="32"/>
        <v>南內工務所</v>
      </c>
    </row>
    <row r="89" spans="1:15" ht="30" customHeight="1">
      <c r="B89" s="37"/>
      <c r="C89" s="34"/>
      <c r="D89" s="101"/>
      <c r="E89" s="101"/>
      <c r="F89" s="33"/>
      <c r="G89" s="34" t="s">
        <v>19</v>
      </c>
      <c r="H89" s="34">
        <v>0</v>
      </c>
      <c r="I89" s="34" t="s">
        <v>20</v>
      </c>
      <c r="J89" s="115"/>
      <c r="K89" s="112"/>
      <c r="L89" s="106"/>
      <c r="M89" s="103"/>
      <c r="N89" s="26" t="str">
        <f t="shared" ref="N89:O89" si="33">N88</f>
        <v>江志偉</v>
      </c>
      <c r="O89" s="26" t="str">
        <f t="shared" si="33"/>
        <v>南內工務所</v>
      </c>
    </row>
    <row r="90" spans="1:15" ht="30" customHeight="1" thickBot="1">
      <c r="B90" s="38"/>
      <c r="C90" s="35"/>
      <c r="D90" s="119"/>
      <c r="E90" s="119"/>
      <c r="F90" s="36"/>
      <c r="G90" s="35" t="s">
        <v>15</v>
      </c>
      <c r="H90" s="35">
        <v>1</v>
      </c>
      <c r="I90" s="35" t="s">
        <v>10</v>
      </c>
      <c r="J90" s="116"/>
      <c r="K90" s="113"/>
      <c r="L90" s="107"/>
      <c r="M90" s="104"/>
      <c r="N90" s="26" t="str">
        <f>N88</f>
        <v>江志偉</v>
      </c>
      <c r="O90" s="26" t="str">
        <f t="shared" ref="O90" si="34">O89</f>
        <v>南內工務所</v>
      </c>
    </row>
    <row r="91" spans="1:15" ht="18" customHeight="1">
      <c r="B91" s="27" t="s">
        <v>64</v>
      </c>
      <c r="C91" s="128" t="s">
        <v>0</v>
      </c>
      <c r="D91" s="128"/>
      <c r="E91" s="128"/>
      <c r="F91" s="28" t="s">
        <v>61</v>
      </c>
      <c r="G91" s="128" t="str">
        <f>$G$3</f>
        <v>113年9月23日當日動員機具</v>
      </c>
      <c r="H91" s="128"/>
      <c r="I91" s="128"/>
      <c r="J91" s="28"/>
      <c r="K91" s="28"/>
      <c r="L91" s="124" t="s">
        <v>1</v>
      </c>
      <c r="M91" s="125" t="str">
        <f>工程基本資料!D11</f>
        <v>沈明勳</v>
      </c>
      <c r="N91" s="26" t="str">
        <f>M91</f>
        <v>沈明勳</v>
      </c>
      <c r="O91" s="26" t="str">
        <f>L94</f>
        <v>北投工務所</v>
      </c>
    </row>
    <row r="92" spans="1:15" ht="18" customHeight="1">
      <c r="B92" s="29" t="str">
        <f>工程基本資料!C11</f>
        <v>H-113-03-113023</v>
      </c>
      <c r="C92" s="32" t="s">
        <v>2</v>
      </c>
      <c r="D92" s="117" t="s">
        <v>3</v>
      </c>
      <c r="E92" s="118"/>
      <c r="F92" s="30"/>
      <c r="G92" s="31" t="s">
        <v>2</v>
      </c>
      <c r="H92" s="101" t="s">
        <v>4</v>
      </c>
      <c r="I92" s="101"/>
      <c r="J92" s="30" t="s">
        <v>59</v>
      </c>
      <c r="K92" s="30" t="s">
        <v>60</v>
      </c>
      <c r="L92" s="101"/>
      <c r="M92" s="126"/>
      <c r="N92" s="26" t="str">
        <f t="shared" ref="N92" si="35">N91</f>
        <v>沈明勳</v>
      </c>
      <c r="O92" s="26" t="str">
        <f>O91</f>
        <v>北投工務所</v>
      </c>
    </row>
    <row r="93" spans="1:15" ht="18" customHeight="1">
      <c r="A93" s="120">
        <v>9</v>
      </c>
      <c r="B93" s="121" t="str">
        <f>工程基本資料!B11</f>
        <v>113年度北區水利建造物檢修改善及災後復原(雙溪右岸至關渡水岸公園段)預約維護工程</v>
      </c>
      <c r="C93" s="32" t="s">
        <v>5</v>
      </c>
      <c r="D93" s="117" t="s">
        <v>114</v>
      </c>
      <c r="E93" s="118"/>
      <c r="F93" s="30" t="s">
        <v>62</v>
      </c>
      <c r="G93" s="31" t="s">
        <v>6</v>
      </c>
      <c r="H93" s="31">
        <v>8</v>
      </c>
      <c r="I93" s="31" t="s">
        <v>7</v>
      </c>
      <c r="J93" s="108" t="s">
        <v>117</v>
      </c>
      <c r="K93" s="111"/>
      <c r="L93" s="101"/>
      <c r="M93" s="127"/>
      <c r="N93" s="26" t="str">
        <f t="shared" ref="N93:O93" si="36">N92</f>
        <v>沈明勳</v>
      </c>
      <c r="O93" s="26" t="str">
        <f t="shared" si="36"/>
        <v>北投工務所</v>
      </c>
    </row>
    <row r="94" spans="1:15" ht="18" customHeight="1">
      <c r="A94" s="120"/>
      <c r="B94" s="122"/>
      <c r="C94" s="32" t="s">
        <v>16</v>
      </c>
      <c r="D94" s="117" t="s">
        <v>115</v>
      </c>
      <c r="E94" s="118"/>
      <c r="F94" s="30" t="s">
        <v>62</v>
      </c>
      <c r="G94" s="31" t="s">
        <v>9</v>
      </c>
      <c r="H94" s="31"/>
      <c r="I94" s="31" t="s">
        <v>10</v>
      </c>
      <c r="J94" s="109"/>
      <c r="K94" s="112"/>
      <c r="L94" s="105" t="str">
        <f>工程基本資料!E11</f>
        <v>北投工務所</v>
      </c>
      <c r="M94" s="102" t="str">
        <f>工程基本資料!I11</f>
        <v>久勝營造有限公司</v>
      </c>
      <c r="N94" s="26" t="str">
        <f t="shared" ref="N94:O94" si="37">N93</f>
        <v>沈明勳</v>
      </c>
      <c r="O94" s="26" t="str">
        <f t="shared" si="37"/>
        <v>北投工務所</v>
      </c>
    </row>
    <row r="95" spans="1:15" ht="18" customHeight="1">
      <c r="A95" s="120"/>
      <c r="B95" s="122"/>
      <c r="C95" s="32" t="s">
        <v>8</v>
      </c>
      <c r="D95" s="117" t="s">
        <v>114</v>
      </c>
      <c r="E95" s="118"/>
      <c r="F95" s="30" t="s">
        <v>62</v>
      </c>
      <c r="G95" s="31" t="s">
        <v>17</v>
      </c>
      <c r="H95" s="31">
        <v>1</v>
      </c>
      <c r="I95" s="31" t="s">
        <v>10</v>
      </c>
      <c r="J95" s="109"/>
      <c r="K95" s="112"/>
      <c r="L95" s="106"/>
      <c r="M95" s="103"/>
      <c r="N95" s="26" t="str">
        <f t="shared" ref="N95:O95" si="38">N94</f>
        <v>沈明勳</v>
      </c>
      <c r="O95" s="26" t="str">
        <f t="shared" si="38"/>
        <v>北投工務所</v>
      </c>
    </row>
    <row r="96" spans="1:15" ht="18" customHeight="1">
      <c r="A96" s="120"/>
      <c r="B96" s="122"/>
      <c r="C96" s="32" t="s">
        <v>12</v>
      </c>
      <c r="D96" s="117" t="s">
        <v>116</v>
      </c>
      <c r="E96" s="118"/>
      <c r="F96" s="30" t="s">
        <v>62</v>
      </c>
      <c r="G96" s="31" t="s">
        <v>11</v>
      </c>
      <c r="H96" s="31"/>
      <c r="I96" s="31" t="s">
        <v>10</v>
      </c>
      <c r="J96" s="109"/>
      <c r="K96" s="112"/>
      <c r="L96" s="106"/>
      <c r="M96" s="103"/>
      <c r="N96" s="26" t="str">
        <f t="shared" ref="N96:O96" si="39">N95</f>
        <v>沈明勳</v>
      </c>
      <c r="O96" s="26" t="str">
        <f t="shared" si="39"/>
        <v>北投工務所</v>
      </c>
    </row>
    <row r="97" spans="1:15" ht="18" customHeight="1">
      <c r="A97" s="120"/>
      <c r="B97" s="122"/>
      <c r="D97" s="101"/>
      <c r="E97" s="101"/>
      <c r="G97" s="31" t="s">
        <v>13</v>
      </c>
      <c r="H97" s="31"/>
      <c r="I97" s="31" t="s">
        <v>10</v>
      </c>
      <c r="J97" s="109"/>
      <c r="K97" s="112"/>
      <c r="L97" s="106"/>
      <c r="M97" s="103"/>
      <c r="N97" s="26" t="str">
        <f t="shared" ref="N97:O97" si="40">N96</f>
        <v>沈明勳</v>
      </c>
      <c r="O97" s="26" t="str">
        <f t="shared" si="40"/>
        <v>北投工務所</v>
      </c>
    </row>
    <row r="98" spans="1:15" ht="18" customHeight="1">
      <c r="A98" s="120"/>
      <c r="B98" s="122"/>
      <c r="C98" s="31"/>
      <c r="D98" s="101"/>
      <c r="E98" s="101"/>
      <c r="F98" s="33"/>
      <c r="G98" s="31" t="s">
        <v>14</v>
      </c>
      <c r="H98" s="31">
        <v>2</v>
      </c>
      <c r="I98" s="31" t="s">
        <v>10</v>
      </c>
      <c r="J98" s="109"/>
      <c r="K98" s="112"/>
      <c r="L98" s="106"/>
      <c r="M98" s="103"/>
      <c r="N98" s="26" t="str">
        <f t="shared" ref="N98:O98" si="41">N97</f>
        <v>沈明勳</v>
      </c>
      <c r="O98" s="26" t="str">
        <f t="shared" si="41"/>
        <v>北投工務所</v>
      </c>
    </row>
    <row r="99" spans="1:15" ht="18" customHeight="1">
      <c r="B99" s="37"/>
      <c r="C99" s="34"/>
      <c r="D99" s="101"/>
      <c r="E99" s="101"/>
      <c r="F99" s="33"/>
      <c r="G99" s="34" t="s">
        <v>18</v>
      </c>
      <c r="H99" s="34"/>
      <c r="I99" s="34" t="s">
        <v>10</v>
      </c>
      <c r="J99" s="109"/>
      <c r="K99" s="112"/>
      <c r="L99" s="106"/>
      <c r="M99" s="103"/>
      <c r="N99" s="26" t="str">
        <f t="shared" ref="N99:O99" si="42">N98</f>
        <v>沈明勳</v>
      </c>
      <c r="O99" s="26" t="str">
        <f t="shared" si="42"/>
        <v>北投工務所</v>
      </c>
    </row>
    <row r="100" spans="1:15" ht="18" customHeight="1">
      <c r="B100" s="37"/>
      <c r="C100" s="34"/>
      <c r="D100" s="101"/>
      <c r="E100" s="101"/>
      <c r="F100" s="33"/>
      <c r="G100" s="34" t="s">
        <v>19</v>
      </c>
      <c r="H100" s="34">
        <v>2</v>
      </c>
      <c r="I100" s="34" t="s">
        <v>20</v>
      </c>
      <c r="J100" s="109"/>
      <c r="K100" s="112"/>
      <c r="L100" s="106"/>
      <c r="M100" s="103"/>
      <c r="N100" s="26" t="str">
        <f t="shared" ref="N100:O100" si="43">N99</f>
        <v>沈明勳</v>
      </c>
      <c r="O100" s="26" t="str">
        <f t="shared" si="43"/>
        <v>北投工務所</v>
      </c>
    </row>
    <row r="101" spans="1:15" ht="18" customHeight="1" thickBot="1">
      <c r="B101" s="38"/>
      <c r="C101" s="35"/>
      <c r="D101" s="119"/>
      <c r="E101" s="119"/>
      <c r="F101" s="36"/>
      <c r="G101" s="35" t="s">
        <v>15</v>
      </c>
      <c r="H101" s="35"/>
      <c r="I101" s="35" t="s">
        <v>10</v>
      </c>
      <c r="J101" s="110"/>
      <c r="K101" s="113"/>
      <c r="L101" s="107"/>
      <c r="M101" s="104"/>
      <c r="N101" s="26" t="str">
        <f>N99</f>
        <v>沈明勳</v>
      </c>
      <c r="O101" s="26" t="str">
        <f t="shared" ref="O101" si="44">O100</f>
        <v>北投工務所</v>
      </c>
    </row>
    <row r="102" spans="1:15" ht="18" customHeight="1">
      <c r="B102" s="27" t="s">
        <v>64</v>
      </c>
      <c r="C102" s="128" t="s">
        <v>0</v>
      </c>
      <c r="D102" s="128"/>
      <c r="E102" s="128"/>
      <c r="F102" s="28" t="s">
        <v>61</v>
      </c>
      <c r="G102" s="128" t="str">
        <f>$G$3</f>
        <v>113年9月23日當日動員機具</v>
      </c>
      <c r="H102" s="128"/>
      <c r="I102" s="128"/>
      <c r="J102" s="28"/>
      <c r="K102" s="28"/>
      <c r="L102" s="124" t="s">
        <v>1</v>
      </c>
      <c r="M102" s="125" t="str">
        <f>工程基本資料!D12</f>
        <v>余成偉</v>
      </c>
      <c r="N102" s="26" t="str">
        <f>M102</f>
        <v>余成偉</v>
      </c>
      <c r="O102" s="26" t="str">
        <f>L105</f>
        <v>北投工務所</v>
      </c>
    </row>
    <row r="103" spans="1:15" ht="18" customHeight="1">
      <c r="B103" s="29" t="str">
        <f>工程基本資料!C12</f>
        <v>H-113-03-113017</v>
      </c>
      <c r="C103" s="32" t="s">
        <v>2</v>
      </c>
      <c r="D103" s="117" t="s">
        <v>3</v>
      </c>
      <c r="E103" s="118"/>
      <c r="F103" s="30"/>
      <c r="G103" s="31" t="s">
        <v>2</v>
      </c>
      <c r="H103" s="101" t="s">
        <v>4</v>
      </c>
      <c r="I103" s="101"/>
      <c r="J103" s="30" t="s">
        <v>59</v>
      </c>
      <c r="K103" s="30" t="s">
        <v>60</v>
      </c>
      <c r="L103" s="101"/>
      <c r="M103" s="126"/>
      <c r="N103" s="26" t="str">
        <f t="shared" ref="N103" si="45">N102</f>
        <v>余成偉</v>
      </c>
      <c r="O103" s="26" t="str">
        <f>O102</f>
        <v>北投工務所</v>
      </c>
    </row>
    <row r="104" spans="1:15" ht="18" customHeight="1">
      <c r="A104" s="120">
        <v>10</v>
      </c>
      <c r="B104" s="121" t="str">
        <f>工程基本資料!B12</f>
        <v>113年度北區河濱公園路面暨災後復原預約維護工程</v>
      </c>
      <c r="C104" s="32" t="s">
        <v>5</v>
      </c>
      <c r="D104" s="117" t="s">
        <v>62</v>
      </c>
      <c r="E104" s="118"/>
      <c r="F104" s="30" t="s">
        <v>62</v>
      </c>
      <c r="G104" s="31" t="s">
        <v>6</v>
      </c>
      <c r="H104" s="31">
        <v>5</v>
      </c>
      <c r="I104" s="31" t="s">
        <v>7</v>
      </c>
      <c r="J104" s="111" t="s">
        <v>120</v>
      </c>
      <c r="K104" s="111"/>
      <c r="L104" s="101"/>
      <c r="M104" s="127"/>
      <c r="N104" s="26" t="str">
        <f t="shared" ref="N104:O104" si="46">N103</f>
        <v>余成偉</v>
      </c>
      <c r="O104" s="26" t="str">
        <f t="shared" si="46"/>
        <v>北投工務所</v>
      </c>
    </row>
    <row r="105" spans="1:15" ht="18" customHeight="1">
      <c r="A105" s="120"/>
      <c r="B105" s="122"/>
      <c r="C105" s="32" t="s">
        <v>16</v>
      </c>
      <c r="D105" s="117" t="s">
        <v>62</v>
      </c>
      <c r="E105" s="118"/>
      <c r="F105" s="30" t="s">
        <v>62</v>
      </c>
      <c r="G105" s="31" t="s">
        <v>9</v>
      </c>
      <c r="H105" s="31">
        <v>0</v>
      </c>
      <c r="I105" s="31" t="s">
        <v>10</v>
      </c>
      <c r="J105" s="112"/>
      <c r="K105" s="112"/>
      <c r="L105" s="105" t="str">
        <f>工程基本資料!E12</f>
        <v>北投工務所</v>
      </c>
      <c r="M105" s="102" t="str">
        <f>工程基本資料!I12</f>
        <v>冠錏營造有限公司</v>
      </c>
      <c r="N105" s="26" t="str">
        <f t="shared" ref="N105:O105" si="47">N104</f>
        <v>余成偉</v>
      </c>
      <c r="O105" s="26" t="str">
        <f t="shared" si="47"/>
        <v>北投工務所</v>
      </c>
    </row>
    <row r="106" spans="1:15" ht="18" customHeight="1">
      <c r="A106" s="120"/>
      <c r="B106" s="122"/>
      <c r="C106" s="32" t="s">
        <v>8</v>
      </c>
      <c r="D106" s="117" t="s">
        <v>62</v>
      </c>
      <c r="E106" s="118"/>
      <c r="F106" s="30" t="s">
        <v>62</v>
      </c>
      <c r="G106" s="31" t="s">
        <v>17</v>
      </c>
      <c r="H106" s="31">
        <v>0</v>
      </c>
      <c r="I106" s="31" t="s">
        <v>10</v>
      </c>
      <c r="J106" s="112"/>
      <c r="K106" s="112"/>
      <c r="L106" s="106"/>
      <c r="M106" s="103"/>
      <c r="N106" s="26" t="str">
        <f t="shared" ref="N106:O106" si="48">N105</f>
        <v>余成偉</v>
      </c>
      <c r="O106" s="26" t="str">
        <f t="shared" si="48"/>
        <v>北投工務所</v>
      </c>
    </row>
    <row r="107" spans="1:15" ht="18" customHeight="1">
      <c r="A107" s="120"/>
      <c r="B107" s="122"/>
      <c r="C107" s="32" t="s">
        <v>12</v>
      </c>
      <c r="D107" s="117" t="s">
        <v>119</v>
      </c>
      <c r="E107" s="118"/>
      <c r="F107" s="30" t="s">
        <v>62</v>
      </c>
      <c r="G107" s="31" t="s">
        <v>11</v>
      </c>
      <c r="H107" s="31">
        <v>0</v>
      </c>
      <c r="I107" s="31" t="s">
        <v>10</v>
      </c>
      <c r="J107" s="112"/>
      <c r="K107" s="112"/>
      <c r="L107" s="106"/>
      <c r="M107" s="103"/>
      <c r="N107" s="26" t="str">
        <f t="shared" ref="N107:O107" si="49">N106</f>
        <v>余成偉</v>
      </c>
      <c r="O107" s="26" t="str">
        <f t="shared" si="49"/>
        <v>北投工務所</v>
      </c>
    </row>
    <row r="108" spans="1:15" ht="18" customHeight="1">
      <c r="A108" s="120"/>
      <c r="B108" s="122"/>
      <c r="D108" s="101"/>
      <c r="E108" s="101"/>
      <c r="G108" s="31" t="s">
        <v>13</v>
      </c>
      <c r="H108" s="31">
        <v>1</v>
      </c>
      <c r="I108" s="31" t="s">
        <v>10</v>
      </c>
      <c r="J108" s="112"/>
      <c r="K108" s="112"/>
      <c r="L108" s="106"/>
      <c r="M108" s="103"/>
      <c r="N108" s="26" t="str">
        <f t="shared" ref="N108:O108" si="50">N107</f>
        <v>余成偉</v>
      </c>
      <c r="O108" s="26" t="str">
        <f t="shared" si="50"/>
        <v>北投工務所</v>
      </c>
    </row>
    <row r="109" spans="1:15" ht="18" customHeight="1">
      <c r="A109" s="120"/>
      <c r="B109" s="122"/>
      <c r="C109" s="31"/>
      <c r="D109" s="101"/>
      <c r="E109" s="101"/>
      <c r="F109" s="33"/>
      <c r="G109" s="31" t="s">
        <v>14</v>
      </c>
      <c r="H109" s="31">
        <v>0</v>
      </c>
      <c r="I109" s="31" t="s">
        <v>10</v>
      </c>
      <c r="J109" s="112"/>
      <c r="K109" s="112"/>
      <c r="L109" s="106"/>
      <c r="M109" s="103"/>
      <c r="N109" s="26" t="str">
        <f t="shared" ref="N109:O109" si="51">N108</f>
        <v>余成偉</v>
      </c>
      <c r="O109" s="26" t="str">
        <f t="shared" si="51"/>
        <v>北投工務所</v>
      </c>
    </row>
    <row r="110" spans="1:15" ht="18" customHeight="1">
      <c r="B110" s="37"/>
      <c r="C110" s="34"/>
      <c r="D110" s="101"/>
      <c r="E110" s="101"/>
      <c r="F110" s="33"/>
      <c r="G110" s="34" t="s">
        <v>18</v>
      </c>
      <c r="H110" s="34">
        <v>0</v>
      </c>
      <c r="I110" s="34" t="s">
        <v>10</v>
      </c>
      <c r="J110" s="112"/>
      <c r="K110" s="112"/>
      <c r="L110" s="106"/>
      <c r="M110" s="103"/>
      <c r="N110" s="26" t="str">
        <f t="shared" ref="N110:O110" si="52">N109</f>
        <v>余成偉</v>
      </c>
      <c r="O110" s="26" t="str">
        <f t="shared" si="52"/>
        <v>北投工務所</v>
      </c>
    </row>
    <row r="111" spans="1:15" ht="18" customHeight="1">
      <c r="B111" s="37"/>
      <c r="C111" s="34"/>
      <c r="D111" s="101"/>
      <c r="E111" s="101"/>
      <c r="F111" s="33"/>
      <c r="G111" s="34" t="s">
        <v>19</v>
      </c>
      <c r="H111" s="34">
        <v>0</v>
      </c>
      <c r="I111" s="34" t="s">
        <v>20</v>
      </c>
      <c r="J111" s="112"/>
      <c r="K111" s="112"/>
      <c r="L111" s="106"/>
      <c r="M111" s="103"/>
      <c r="N111" s="26" t="str">
        <f t="shared" ref="N111:O111" si="53">N110</f>
        <v>余成偉</v>
      </c>
      <c r="O111" s="26" t="str">
        <f t="shared" si="53"/>
        <v>北投工務所</v>
      </c>
    </row>
    <row r="112" spans="1:15" ht="18" customHeight="1" thickBot="1">
      <c r="B112" s="38"/>
      <c r="C112" s="35"/>
      <c r="D112" s="119"/>
      <c r="E112" s="119"/>
      <c r="F112" s="36"/>
      <c r="G112" s="35" t="s">
        <v>15</v>
      </c>
      <c r="H112" s="35">
        <v>1</v>
      </c>
      <c r="I112" s="35" t="s">
        <v>10</v>
      </c>
      <c r="J112" s="113"/>
      <c r="K112" s="113"/>
      <c r="L112" s="107"/>
      <c r="M112" s="104"/>
      <c r="N112" s="26" t="str">
        <f>N110</f>
        <v>余成偉</v>
      </c>
      <c r="O112" s="26" t="str">
        <f t="shared" ref="O112" si="54">O111</f>
        <v>北投工務所</v>
      </c>
    </row>
    <row r="113" spans="3:14" ht="17.25" thickBot="1"/>
    <row r="114" spans="3:14" ht="16.149999999999999" customHeight="1">
      <c r="C114" s="131" t="s">
        <v>112</v>
      </c>
      <c r="D114" s="132"/>
      <c r="E114" s="133"/>
      <c r="F114" s="39"/>
      <c r="G114" s="131" t="s">
        <v>113</v>
      </c>
      <c r="H114" s="132"/>
      <c r="I114" s="133"/>
      <c r="J114" s="39"/>
      <c r="K114" s="39"/>
      <c r="N114" s="129" t="s">
        <v>29</v>
      </c>
    </row>
    <row r="115" spans="3:14">
      <c r="C115" s="40" t="s">
        <v>2</v>
      </c>
      <c r="D115" s="101" t="s">
        <v>4</v>
      </c>
      <c r="E115" s="134"/>
      <c r="F115" s="39"/>
      <c r="G115" s="40" t="s">
        <v>2</v>
      </c>
      <c r="H115" s="101" t="s">
        <v>4</v>
      </c>
      <c r="I115" s="134"/>
      <c r="J115" s="39"/>
      <c r="K115" s="39"/>
      <c r="N115" s="130"/>
    </row>
    <row r="116" spans="3:14">
      <c r="C116" s="40" t="s">
        <v>6</v>
      </c>
      <c r="D116" s="41">
        <f t="shared" ref="D116:D124" si="55">H5+H16+H27+H38+H49+H60+H71+H82+H93+H104</f>
        <v>72</v>
      </c>
      <c r="E116" s="42" t="s">
        <v>7</v>
      </c>
      <c r="G116" s="40" t="s">
        <v>6</v>
      </c>
      <c r="H116" s="41">
        <f>D116</f>
        <v>72</v>
      </c>
      <c r="I116" s="42" t="s">
        <v>7</v>
      </c>
      <c r="N116" s="43" t="e">
        <f>D116-#REF!</f>
        <v>#REF!</v>
      </c>
    </row>
    <row r="117" spans="3:14">
      <c r="C117" s="40" t="s">
        <v>9</v>
      </c>
      <c r="D117" s="41">
        <f t="shared" si="55"/>
        <v>2</v>
      </c>
      <c r="E117" s="42" t="s">
        <v>10</v>
      </c>
      <c r="G117" s="40" t="s">
        <v>9</v>
      </c>
      <c r="H117" s="41">
        <f t="shared" ref="H117:H124" si="56">D117</f>
        <v>2</v>
      </c>
      <c r="I117" s="42" t="s">
        <v>10</v>
      </c>
      <c r="N117" s="43" t="e">
        <f>D117-#REF!</f>
        <v>#REF!</v>
      </c>
    </row>
    <row r="118" spans="3:14">
      <c r="C118" s="40" t="s">
        <v>17</v>
      </c>
      <c r="D118" s="41">
        <f t="shared" si="55"/>
        <v>2</v>
      </c>
      <c r="E118" s="42" t="s">
        <v>10</v>
      </c>
      <c r="G118" s="40" t="s">
        <v>17</v>
      </c>
      <c r="H118" s="41">
        <f t="shared" si="56"/>
        <v>2</v>
      </c>
      <c r="I118" s="42" t="s">
        <v>10</v>
      </c>
      <c r="N118" s="43" t="e">
        <f>D118-#REF!</f>
        <v>#REF!</v>
      </c>
    </row>
    <row r="119" spans="3:14">
      <c r="C119" s="40" t="s">
        <v>11</v>
      </c>
      <c r="D119" s="41">
        <f t="shared" si="55"/>
        <v>2</v>
      </c>
      <c r="E119" s="42" t="s">
        <v>10</v>
      </c>
      <c r="G119" s="40" t="s">
        <v>11</v>
      </c>
      <c r="H119" s="41">
        <f t="shared" si="56"/>
        <v>2</v>
      </c>
      <c r="I119" s="42" t="s">
        <v>10</v>
      </c>
      <c r="N119" s="43" t="e">
        <f>D119-#REF!</f>
        <v>#REF!</v>
      </c>
    </row>
    <row r="120" spans="3:14">
      <c r="C120" s="40" t="s">
        <v>13</v>
      </c>
      <c r="D120" s="41">
        <f t="shared" si="55"/>
        <v>14</v>
      </c>
      <c r="E120" s="42" t="s">
        <v>10</v>
      </c>
      <c r="G120" s="40" t="s">
        <v>13</v>
      </c>
      <c r="H120" s="41">
        <f t="shared" si="56"/>
        <v>14</v>
      </c>
      <c r="I120" s="42" t="s">
        <v>10</v>
      </c>
      <c r="N120" s="43" t="e">
        <f>D120-#REF!</f>
        <v>#REF!</v>
      </c>
    </row>
    <row r="121" spans="3:14">
      <c r="C121" s="40" t="s">
        <v>14</v>
      </c>
      <c r="D121" s="41">
        <f t="shared" si="55"/>
        <v>15</v>
      </c>
      <c r="E121" s="42" t="s">
        <v>10</v>
      </c>
      <c r="G121" s="40" t="s">
        <v>14</v>
      </c>
      <c r="H121" s="41">
        <f t="shared" si="56"/>
        <v>15</v>
      </c>
      <c r="I121" s="42" t="s">
        <v>10</v>
      </c>
      <c r="N121" s="43" t="e">
        <f>D121-#REF!</f>
        <v>#REF!</v>
      </c>
    </row>
    <row r="122" spans="3:14">
      <c r="C122" s="44" t="s">
        <v>18</v>
      </c>
      <c r="D122" s="41">
        <f t="shared" si="55"/>
        <v>0</v>
      </c>
      <c r="E122" s="42" t="s">
        <v>10</v>
      </c>
      <c r="G122" s="44" t="s">
        <v>18</v>
      </c>
      <c r="H122" s="41">
        <f t="shared" si="56"/>
        <v>0</v>
      </c>
      <c r="I122" s="42" t="s">
        <v>10</v>
      </c>
      <c r="N122" s="43" t="e">
        <f>D122-#REF!</f>
        <v>#REF!</v>
      </c>
    </row>
    <row r="123" spans="3:14">
      <c r="C123" s="44" t="s">
        <v>19</v>
      </c>
      <c r="D123" s="41">
        <f t="shared" si="55"/>
        <v>2</v>
      </c>
      <c r="E123" s="45" t="s">
        <v>20</v>
      </c>
      <c r="G123" s="44" t="s">
        <v>19</v>
      </c>
      <c r="H123" s="41">
        <f t="shared" si="56"/>
        <v>2</v>
      </c>
      <c r="I123" s="45" t="s">
        <v>20</v>
      </c>
      <c r="N123" s="43" t="e">
        <f>D123-#REF!</f>
        <v>#REF!</v>
      </c>
    </row>
    <row r="124" spans="3:14" ht="17.25" thickBot="1">
      <c r="C124" s="46" t="s">
        <v>15</v>
      </c>
      <c r="D124" s="41">
        <f t="shared" si="55"/>
        <v>3</v>
      </c>
      <c r="E124" s="47" t="s">
        <v>10</v>
      </c>
      <c r="G124" s="46" t="s">
        <v>15</v>
      </c>
      <c r="H124" s="41">
        <f t="shared" si="56"/>
        <v>3</v>
      </c>
      <c r="I124" s="47" t="s">
        <v>10</v>
      </c>
      <c r="N124" s="43" t="e">
        <f>D124-#REF!</f>
        <v>#REF!</v>
      </c>
    </row>
  </sheetData>
  <autoFilter ref="N2:O57"/>
  <mergeCells count="215">
    <mergeCell ref="G102:I102"/>
    <mergeCell ref="L102:L104"/>
    <mergeCell ref="D92:E92"/>
    <mergeCell ref="L39:L46"/>
    <mergeCell ref="M39:M46"/>
    <mergeCell ref="B38:B42"/>
    <mergeCell ref="B44:B46"/>
    <mergeCell ref="L36:L38"/>
    <mergeCell ref="D38:E38"/>
    <mergeCell ref="D39:E39"/>
    <mergeCell ref="D40:E40"/>
    <mergeCell ref="J38:J46"/>
    <mergeCell ref="K38:K46"/>
    <mergeCell ref="D41:E41"/>
    <mergeCell ref="D37:E37"/>
    <mergeCell ref="M36:M38"/>
    <mergeCell ref="G36:I36"/>
    <mergeCell ref="H37:I37"/>
    <mergeCell ref="D43:E43"/>
    <mergeCell ref="D44:E44"/>
    <mergeCell ref="D100:E100"/>
    <mergeCell ref="D101:E101"/>
    <mergeCell ref="H92:I92"/>
    <mergeCell ref="J93:J101"/>
    <mergeCell ref="M25:M27"/>
    <mergeCell ref="D26:E26"/>
    <mergeCell ref="D115:E115"/>
    <mergeCell ref="D52:E52"/>
    <mergeCell ref="D54:E54"/>
    <mergeCell ref="D55:E55"/>
    <mergeCell ref="M50:M57"/>
    <mergeCell ref="D51:E51"/>
    <mergeCell ref="D56:E56"/>
    <mergeCell ref="D57:E57"/>
    <mergeCell ref="D81:E81"/>
    <mergeCell ref="H81:I81"/>
    <mergeCell ref="C91:E91"/>
    <mergeCell ref="G91:I91"/>
    <mergeCell ref="D32:E32"/>
    <mergeCell ref="D33:E33"/>
    <mergeCell ref="D34:E34"/>
    <mergeCell ref="J27:J35"/>
    <mergeCell ref="K27:K35"/>
    <mergeCell ref="D28:E28"/>
    <mergeCell ref="D27:E27"/>
    <mergeCell ref="D46:E46"/>
    <mergeCell ref="C36:E36"/>
    <mergeCell ref="D42:E42"/>
    <mergeCell ref="C25:E25"/>
    <mergeCell ref="D15:E15"/>
    <mergeCell ref="L25:L27"/>
    <mergeCell ref="D16:E16"/>
    <mergeCell ref="D17:E17"/>
    <mergeCell ref="L17:L24"/>
    <mergeCell ref="L28:L35"/>
    <mergeCell ref="D45:E45"/>
    <mergeCell ref="G25:I25"/>
    <mergeCell ref="H26:I26"/>
    <mergeCell ref="M17:M24"/>
    <mergeCell ref="C14:E14"/>
    <mergeCell ref="L14:L16"/>
    <mergeCell ref="M14:M16"/>
    <mergeCell ref="D21:E21"/>
    <mergeCell ref="D22:E22"/>
    <mergeCell ref="D23:E23"/>
    <mergeCell ref="D24:E24"/>
    <mergeCell ref="D18:E18"/>
    <mergeCell ref="D19:E19"/>
    <mergeCell ref="J16:J24"/>
    <mergeCell ref="K16:K24"/>
    <mergeCell ref="G14:I14"/>
    <mergeCell ref="H15:I15"/>
    <mergeCell ref="D4:E4"/>
    <mergeCell ref="D5:E5"/>
    <mergeCell ref="B2:M2"/>
    <mergeCell ref="C3:E3"/>
    <mergeCell ref="L3:L5"/>
    <mergeCell ref="M3:M5"/>
    <mergeCell ref="D6:E6"/>
    <mergeCell ref="L6:L13"/>
    <mergeCell ref="M6:M13"/>
    <mergeCell ref="G3:I3"/>
    <mergeCell ref="H4:I4"/>
    <mergeCell ref="J5:J13"/>
    <mergeCell ref="K5:K13"/>
    <mergeCell ref="D7:E7"/>
    <mergeCell ref="D8:E8"/>
    <mergeCell ref="D10:E10"/>
    <mergeCell ref="D11:E11"/>
    <mergeCell ref="D12:E12"/>
    <mergeCell ref="D13:E13"/>
    <mergeCell ref="B5:B13"/>
    <mergeCell ref="G114:I114"/>
    <mergeCell ref="H115:I115"/>
    <mergeCell ref="C58:E58"/>
    <mergeCell ref="G58:I58"/>
    <mergeCell ref="L58:L60"/>
    <mergeCell ref="M58:M60"/>
    <mergeCell ref="D59:E59"/>
    <mergeCell ref="H59:I59"/>
    <mergeCell ref="C69:E69"/>
    <mergeCell ref="G69:I69"/>
    <mergeCell ref="L69:L71"/>
    <mergeCell ref="M69:M71"/>
    <mergeCell ref="D70:E70"/>
    <mergeCell ref="H70:I70"/>
    <mergeCell ref="C80:E80"/>
    <mergeCell ref="G80:I80"/>
    <mergeCell ref="L80:L82"/>
    <mergeCell ref="M80:M82"/>
    <mergeCell ref="C114:E114"/>
    <mergeCell ref="D83:E83"/>
    <mergeCell ref="D84:E84"/>
    <mergeCell ref="L94:L101"/>
    <mergeCell ref="M94:M101"/>
    <mergeCell ref="D95:E95"/>
    <mergeCell ref="N114:N115"/>
    <mergeCell ref="D63:E63"/>
    <mergeCell ref="D65:E65"/>
    <mergeCell ref="D66:E66"/>
    <mergeCell ref="D67:E67"/>
    <mergeCell ref="D68:E68"/>
    <mergeCell ref="G47:I47"/>
    <mergeCell ref="H48:I48"/>
    <mergeCell ref="D60:E60"/>
    <mergeCell ref="D61:E61"/>
    <mergeCell ref="D62:E62"/>
    <mergeCell ref="D48:E48"/>
    <mergeCell ref="D49:E49"/>
    <mergeCell ref="D50:E50"/>
    <mergeCell ref="L50:L57"/>
    <mergeCell ref="C47:E47"/>
    <mergeCell ref="L47:L49"/>
    <mergeCell ref="M47:M49"/>
    <mergeCell ref="D85:E85"/>
    <mergeCell ref="D87:E87"/>
    <mergeCell ref="D88:E88"/>
    <mergeCell ref="D89:E89"/>
    <mergeCell ref="D90:E90"/>
    <mergeCell ref="D82:E82"/>
    <mergeCell ref="K93:K101"/>
    <mergeCell ref="D93:E93"/>
    <mergeCell ref="D94:E94"/>
    <mergeCell ref="B71:B76"/>
    <mergeCell ref="D71:E71"/>
    <mergeCell ref="D72:E72"/>
    <mergeCell ref="D73:E73"/>
    <mergeCell ref="D74:E74"/>
    <mergeCell ref="D76:E76"/>
    <mergeCell ref="D77:E77"/>
    <mergeCell ref="D78:E78"/>
    <mergeCell ref="D79:E79"/>
    <mergeCell ref="D97:E97"/>
    <mergeCell ref="D86:E86"/>
    <mergeCell ref="D75:E75"/>
    <mergeCell ref="L91:L93"/>
    <mergeCell ref="M91:M93"/>
    <mergeCell ref="A104:A109"/>
    <mergeCell ref="M102:M104"/>
    <mergeCell ref="D103:E103"/>
    <mergeCell ref="H103:I103"/>
    <mergeCell ref="B104:B109"/>
    <mergeCell ref="D104:E104"/>
    <mergeCell ref="D105:E105"/>
    <mergeCell ref="L105:L112"/>
    <mergeCell ref="M105:M112"/>
    <mergeCell ref="D106:E106"/>
    <mergeCell ref="D107:E107"/>
    <mergeCell ref="D109:E109"/>
    <mergeCell ref="D110:E110"/>
    <mergeCell ref="D111:E111"/>
    <mergeCell ref="D112:E112"/>
    <mergeCell ref="J104:J112"/>
    <mergeCell ref="K104:K112"/>
    <mergeCell ref="D108:E108"/>
    <mergeCell ref="C102:E102"/>
    <mergeCell ref="D96:E96"/>
    <mergeCell ref="D98:E98"/>
    <mergeCell ref="D99:E99"/>
    <mergeCell ref="A5:A13"/>
    <mergeCell ref="A27:A35"/>
    <mergeCell ref="A38:A46"/>
    <mergeCell ref="A49:A57"/>
    <mergeCell ref="A60:A65"/>
    <mergeCell ref="A71:A76"/>
    <mergeCell ref="A82:A87"/>
    <mergeCell ref="A93:A98"/>
    <mergeCell ref="B93:B98"/>
    <mergeCell ref="B82:B87"/>
    <mergeCell ref="B60:B65"/>
    <mergeCell ref="B27:B32"/>
    <mergeCell ref="A16:A24"/>
    <mergeCell ref="B49:B54"/>
    <mergeCell ref="B16:B24"/>
    <mergeCell ref="D64:E64"/>
    <mergeCell ref="D53:E53"/>
    <mergeCell ref="D31:E31"/>
    <mergeCell ref="M83:M90"/>
    <mergeCell ref="L61:L68"/>
    <mergeCell ref="M61:M68"/>
    <mergeCell ref="J49:J57"/>
    <mergeCell ref="K49:K57"/>
    <mergeCell ref="J60:J68"/>
    <mergeCell ref="K60:K68"/>
    <mergeCell ref="J71:J79"/>
    <mergeCell ref="K71:K79"/>
    <mergeCell ref="J82:J90"/>
    <mergeCell ref="K82:K90"/>
    <mergeCell ref="L83:L90"/>
    <mergeCell ref="L72:L79"/>
    <mergeCell ref="M72:M79"/>
    <mergeCell ref="M28:M35"/>
    <mergeCell ref="D29:E29"/>
    <mergeCell ref="D30:E30"/>
    <mergeCell ref="D35:E35"/>
  </mergeCells>
  <phoneticPr fontId="1" type="noConversion"/>
  <pageMargins left="0.39370078740157483" right="0.23622047244094491" top="0.74803149606299213" bottom="0.74803149606299213" header="0.31496062992125984" footer="0.31496062992125984"/>
  <pageSetup paperSize="9" scale="61" orientation="landscape" r:id="rId1"/>
  <headerFooter>
    <oddHeader>&amp;C&amp;"華康魏碑體,標準"&amp;20尼莎颱風河濱公園災後一覽表</oddHeader>
    <oddFooter>&amp;R&amp;"王漢宗中仿宋繁,標準"第&amp;P頁，共&amp;N頁</oddFooter>
  </headerFooter>
  <rowBreaks count="3" manualBreakCount="3">
    <brk id="24" min="1" max="12" man="1"/>
    <brk id="46" min="1" max="12" man="1"/>
    <brk id="90" min="1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O124"/>
  <sheetViews>
    <sheetView topLeftCell="B88" zoomScaleNormal="100" zoomScaleSheetLayoutView="100" workbookViewId="0">
      <selection activeCell="J93" sqref="J93:J101"/>
    </sheetView>
  </sheetViews>
  <sheetFormatPr defaultColWidth="8.75" defaultRowHeight="16.5"/>
  <cols>
    <col min="1" max="1" width="0" style="54" hidden="1" customWidth="1"/>
    <col min="2" max="2" width="42.125" style="54" customWidth="1"/>
    <col min="3" max="3" width="16.5" style="54" customWidth="1"/>
    <col min="4" max="4" width="13.5" style="54" customWidth="1"/>
    <col min="5" max="5" width="6.75" style="54" customWidth="1"/>
    <col min="6" max="9" width="15.375" style="54" customWidth="1"/>
    <col min="10" max="10" width="17.5" style="54" customWidth="1"/>
    <col min="11" max="11" width="18.625" style="54" customWidth="1"/>
    <col min="12" max="12" width="7.5" style="54" customWidth="1"/>
    <col min="13" max="13" width="9.75" style="54" customWidth="1"/>
    <col min="14" max="14" width="16.75" style="54" customWidth="1"/>
    <col min="15" max="16384" width="8.75" style="54"/>
  </cols>
  <sheetData>
    <row r="1" spans="1:15">
      <c r="A1" s="54" t="s">
        <v>65</v>
      </c>
    </row>
    <row r="2" spans="1:15" ht="12.6" customHeight="1" thickBot="1"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</row>
    <row r="3" spans="1:15" ht="18" hidden="1" customHeight="1">
      <c r="B3" s="55" t="s">
        <v>64</v>
      </c>
      <c r="C3" s="146" t="s">
        <v>0</v>
      </c>
      <c r="D3" s="146"/>
      <c r="E3" s="146"/>
      <c r="F3" s="56" t="s">
        <v>61</v>
      </c>
      <c r="G3" s="146" t="s">
        <v>132</v>
      </c>
      <c r="H3" s="146"/>
      <c r="I3" s="146"/>
      <c r="J3" s="56"/>
      <c r="K3" s="56"/>
      <c r="L3" s="147" t="s">
        <v>1</v>
      </c>
      <c r="M3" s="149" t="str">
        <f>工程基本資料!D3</f>
        <v>任益芳</v>
      </c>
      <c r="N3" s="54" t="str">
        <f>M3</f>
        <v>任益芳</v>
      </c>
      <c r="O3" s="54" t="str">
        <f>L6</f>
        <v>南區工務所</v>
      </c>
    </row>
    <row r="4" spans="1:15" ht="18" hidden="1" customHeight="1">
      <c r="B4" s="57" t="str">
        <f>工程基本資料!C3</f>
        <v>H-113-03-113019</v>
      </c>
      <c r="C4" s="58" t="s">
        <v>2</v>
      </c>
      <c r="D4" s="140" t="s">
        <v>3</v>
      </c>
      <c r="E4" s="141"/>
      <c r="F4" s="59"/>
      <c r="G4" s="60" t="s">
        <v>2</v>
      </c>
      <c r="H4" s="148" t="s">
        <v>4</v>
      </c>
      <c r="I4" s="148"/>
      <c r="J4" s="59" t="s">
        <v>59</v>
      </c>
      <c r="K4" s="59" t="s">
        <v>60</v>
      </c>
      <c r="L4" s="148"/>
      <c r="M4" s="150"/>
      <c r="N4" s="54" t="str">
        <f>N3</f>
        <v>任益芳</v>
      </c>
      <c r="O4" s="54" t="str">
        <f>O3</f>
        <v>南區工務所</v>
      </c>
    </row>
    <row r="5" spans="1:15" ht="18" hidden="1" customHeight="1">
      <c r="A5" s="136">
        <v>1</v>
      </c>
      <c r="B5" s="137" t="str">
        <f>工程基本資料!B3</f>
        <v>113年度南區河濱公園路面暨災後復原預約維護工程</v>
      </c>
      <c r="C5" s="58" t="s">
        <v>5</v>
      </c>
      <c r="D5" s="140" t="s">
        <v>62</v>
      </c>
      <c r="E5" s="141"/>
      <c r="F5" s="59" t="s">
        <v>62</v>
      </c>
      <c r="G5" s="60" t="s">
        <v>6</v>
      </c>
      <c r="H5" s="60">
        <v>0</v>
      </c>
      <c r="I5" s="60" t="s">
        <v>7</v>
      </c>
      <c r="J5" s="142"/>
      <c r="K5" s="142"/>
      <c r="L5" s="148"/>
      <c r="M5" s="151"/>
      <c r="N5" s="54" t="str">
        <f t="shared" ref="N5:O13" si="0">N4</f>
        <v>任益芳</v>
      </c>
      <c r="O5" s="54" t="str">
        <f t="shared" si="0"/>
        <v>南區工務所</v>
      </c>
    </row>
    <row r="6" spans="1:15" ht="18" hidden="1" customHeight="1">
      <c r="A6" s="136"/>
      <c r="B6" s="138"/>
      <c r="C6" s="58" t="s">
        <v>16</v>
      </c>
      <c r="D6" s="140" t="s">
        <v>62</v>
      </c>
      <c r="E6" s="141"/>
      <c r="F6" s="59" t="s">
        <v>62</v>
      </c>
      <c r="G6" s="60" t="s">
        <v>9</v>
      </c>
      <c r="H6" s="60">
        <v>0</v>
      </c>
      <c r="I6" s="60" t="s">
        <v>10</v>
      </c>
      <c r="J6" s="143"/>
      <c r="K6" s="143"/>
      <c r="L6" s="152" t="str">
        <f>工程基本資料!E3</f>
        <v>南區工務所</v>
      </c>
      <c r="M6" s="155" t="str">
        <f>工程基本資料!I3</f>
        <v>松瑩營造有限公司</v>
      </c>
      <c r="N6" s="54" t="str">
        <f t="shared" si="0"/>
        <v>任益芳</v>
      </c>
      <c r="O6" s="54" t="str">
        <f t="shared" si="0"/>
        <v>南區工務所</v>
      </c>
    </row>
    <row r="7" spans="1:15" ht="18" hidden="1" customHeight="1">
      <c r="A7" s="136"/>
      <c r="B7" s="138"/>
      <c r="C7" s="58" t="s">
        <v>8</v>
      </c>
      <c r="D7" s="140" t="s">
        <v>62</v>
      </c>
      <c r="E7" s="141"/>
      <c r="F7" s="59" t="s">
        <v>62</v>
      </c>
      <c r="G7" s="60" t="s">
        <v>17</v>
      </c>
      <c r="H7" s="60">
        <v>0</v>
      </c>
      <c r="I7" s="60" t="s">
        <v>10</v>
      </c>
      <c r="J7" s="143"/>
      <c r="K7" s="143"/>
      <c r="L7" s="153"/>
      <c r="M7" s="156"/>
      <c r="N7" s="54" t="str">
        <f t="shared" si="0"/>
        <v>任益芳</v>
      </c>
      <c r="O7" s="54" t="str">
        <f t="shared" si="0"/>
        <v>南區工務所</v>
      </c>
    </row>
    <row r="8" spans="1:15" ht="18" hidden="1" customHeight="1">
      <c r="A8" s="136"/>
      <c r="B8" s="138"/>
      <c r="C8" s="58" t="s">
        <v>12</v>
      </c>
      <c r="D8" s="140" t="s">
        <v>62</v>
      </c>
      <c r="E8" s="141"/>
      <c r="F8" s="59" t="s">
        <v>62</v>
      </c>
      <c r="G8" s="60" t="s">
        <v>11</v>
      </c>
      <c r="H8" s="60">
        <v>0</v>
      </c>
      <c r="I8" s="60" t="s">
        <v>10</v>
      </c>
      <c r="J8" s="143"/>
      <c r="K8" s="143"/>
      <c r="L8" s="153"/>
      <c r="M8" s="156"/>
      <c r="N8" s="54" t="str">
        <f t="shared" si="0"/>
        <v>任益芳</v>
      </c>
      <c r="O8" s="54" t="str">
        <f t="shared" si="0"/>
        <v>南區工務所</v>
      </c>
    </row>
    <row r="9" spans="1:15" ht="18" hidden="1" customHeight="1">
      <c r="A9" s="136"/>
      <c r="B9" s="138"/>
      <c r="G9" s="60" t="s">
        <v>13</v>
      </c>
      <c r="H9" s="60">
        <v>0</v>
      </c>
      <c r="I9" s="60" t="s">
        <v>10</v>
      </c>
      <c r="J9" s="143"/>
      <c r="K9" s="143"/>
      <c r="L9" s="153"/>
      <c r="M9" s="156"/>
      <c r="N9" s="54" t="str">
        <f t="shared" si="0"/>
        <v>任益芳</v>
      </c>
      <c r="O9" s="54" t="str">
        <f t="shared" si="0"/>
        <v>南區工務所</v>
      </c>
    </row>
    <row r="10" spans="1:15" ht="18" hidden="1" customHeight="1">
      <c r="A10" s="136"/>
      <c r="B10" s="138"/>
      <c r="C10" s="60"/>
      <c r="D10" s="148"/>
      <c r="E10" s="148"/>
      <c r="F10" s="62"/>
      <c r="G10" s="60" t="s">
        <v>14</v>
      </c>
      <c r="H10" s="60">
        <v>0</v>
      </c>
      <c r="I10" s="60" t="s">
        <v>10</v>
      </c>
      <c r="J10" s="143"/>
      <c r="K10" s="143"/>
      <c r="L10" s="153"/>
      <c r="M10" s="156"/>
      <c r="N10" s="54" t="str">
        <f t="shared" si="0"/>
        <v>任益芳</v>
      </c>
      <c r="O10" s="54" t="str">
        <f t="shared" si="0"/>
        <v>南區工務所</v>
      </c>
    </row>
    <row r="11" spans="1:15" ht="18" hidden="1" customHeight="1">
      <c r="A11" s="136"/>
      <c r="B11" s="138"/>
      <c r="C11" s="63"/>
      <c r="D11" s="148"/>
      <c r="E11" s="148"/>
      <c r="F11" s="62"/>
      <c r="G11" s="63" t="s">
        <v>18</v>
      </c>
      <c r="H11" s="63">
        <v>0</v>
      </c>
      <c r="I11" s="63" t="s">
        <v>10</v>
      </c>
      <c r="J11" s="143"/>
      <c r="K11" s="143"/>
      <c r="L11" s="153"/>
      <c r="M11" s="156"/>
      <c r="N11" s="54" t="str">
        <f t="shared" si="0"/>
        <v>任益芳</v>
      </c>
      <c r="O11" s="54" t="str">
        <f t="shared" si="0"/>
        <v>南區工務所</v>
      </c>
    </row>
    <row r="12" spans="1:15" ht="18" hidden="1" customHeight="1">
      <c r="A12" s="136"/>
      <c r="B12" s="138"/>
      <c r="C12" s="63"/>
      <c r="D12" s="148"/>
      <c r="E12" s="148"/>
      <c r="F12" s="62"/>
      <c r="G12" s="63" t="s">
        <v>19</v>
      </c>
      <c r="H12" s="63">
        <v>0</v>
      </c>
      <c r="I12" s="63" t="s">
        <v>20</v>
      </c>
      <c r="J12" s="143"/>
      <c r="K12" s="143"/>
      <c r="L12" s="153"/>
      <c r="M12" s="156"/>
      <c r="N12" s="54" t="str">
        <f t="shared" si="0"/>
        <v>任益芳</v>
      </c>
      <c r="O12" s="54" t="str">
        <f t="shared" si="0"/>
        <v>南區工務所</v>
      </c>
    </row>
    <row r="13" spans="1:15" ht="18" hidden="1" customHeight="1" thickBot="1">
      <c r="A13" s="136"/>
      <c r="B13" s="139"/>
      <c r="C13" s="64"/>
      <c r="D13" s="158"/>
      <c r="E13" s="158"/>
      <c r="F13" s="65"/>
      <c r="G13" s="64" t="s">
        <v>15</v>
      </c>
      <c r="H13" s="64">
        <v>0</v>
      </c>
      <c r="I13" s="64" t="s">
        <v>10</v>
      </c>
      <c r="J13" s="144"/>
      <c r="K13" s="144"/>
      <c r="L13" s="154"/>
      <c r="M13" s="157"/>
      <c r="N13" s="54" t="str">
        <f t="shared" si="0"/>
        <v>任益芳</v>
      </c>
      <c r="O13" s="54" t="str">
        <f t="shared" si="0"/>
        <v>南區工務所</v>
      </c>
    </row>
    <row r="14" spans="1:15" ht="18" hidden="1" customHeight="1">
      <c r="B14" s="55" t="s">
        <v>64</v>
      </c>
      <c r="C14" s="146" t="s">
        <v>0</v>
      </c>
      <c r="D14" s="146"/>
      <c r="E14" s="146"/>
      <c r="F14" s="56" t="s">
        <v>61</v>
      </c>
      <c r="G14" s="146" t="str">
        <f>$G$3</f>
        <v>113年9月24日當日動員機具</v>
      </c>
      <c r="H14" s="146"/>
      <c r="I14" s="146"/>
      <c r="J14" s="56"/>
      <c r="K14" s="56"/>
      <c r="L14" s="147" t="s">
        <v>1</v>
      </c>
      <c r="M14" s="149" t="str">
        <f>工程基本資料!D4</f>
        <v>任益芳</v>
      </c>
      <c r="N14" s="54" t="str">
        <f>M14</f>
        <v>任益芳</v>
      </c>
      <c r="O14" s="54" t="str">
        <f>L17</f>
        <v>南區工務所</v>
      </c>
    </row>
    <row r="15" spans="1:15" ht="18" hidden="1" customHeight="1">
      <c r="B15" s="57" t="str">
        <f>工程基本資料!C4</f>
        <v>H-113-03-113022</v>
      </c>
      <c r="C15" s="58" t="s">
        <v>2</v>
      </c>
      <c r="D15" s="140" t="s">
        <v>3</v>
      </c>
      <c r="E15" s="141"/>
      <c r="F15" s="59"/>
      <c r="G15" s="60" t="s">
        <v>2</v>
      </c>
      <c r="H15" s="148" t="s">
        <v>4</v>
      </c>
      <c r="I15" s="148"/>
      <c r="J15" s="59" t="s">
        <v>59</v>
      </c>
      <c r="K15" s="59" t="s">
        <v>60</v>
      </c>
      <c r="L15" s="148"/>
      <c r="M15" s="150"/>
      <c r="N15" s="54" t="str">
        <f t="shared" ref="N15:O24" si="1">N14</f>
        <v>任益芳</v>
      </c>
      <c r="O15" s="54" t="str">
        <f>O14</f>
        <v>南區工務所</v>
      </c>
    </row>
    <row r="16" spans="1:15" ht="18" hidden="1" customHeight="1">
      <c r="A16" s="136">
        <v>2</v>
      </c>
      <c r="B16" s="137" t="str">
        <f>工程基本資料!B4</f>
        <v>113年度南區水利建造物檢修改善及災後復原(新店溪永福橋至萬板大橋段)預約維護工程</v>
      </c>
      <c r="C16" s="58" t="s">
        <v>5</v>
      </c>
      <c r="D16" s="140" t="s">
        <v>62</v>
      </c>
      <c r="E16" s="141"/>
      <c r="F16" s="59" t="s">
        <v>62</v>
      </c>
      <c r="G16" s="60" t="s">
        <v>6</v>
      </c>
      <c r="H16" s="60">
        <v>0</v>
      </c>
      <c r="I16" s="60" t="s">
        <v>7</v>
      </c>
      <c r="J16" s="142"/>
      <c r="K16" s="142"/>
      <c r="L16" s="148"/>
      <c r="M16" s="151"/>
      <c r="N16" s="54" t="str">
        <f t="shared" si="1"/>
        <v>任益芳</v>
      </c>
      <c r="O16" s="54" t="str">
        <f t="shared" si="1"/>
        <v>南區工務所</v>
      </c>
    </row>
    <row r="17" spans="1:15" ht="18" hidden="1" customHeight="1">
      <c r="A17" s="136"/>
      <c r="B17" s="138"/>
      <c r="C17" s="58" t="s">
        <v>16</v>
      </c>
      <c r="D17" s="140" t="s">
        <v>62</v>
      </c>
      <c r="E17" s="141"/>
      <c r="F17" s="59" t="s">
        <v>62</v>
      </c>
      <c r="G17" s="60" t="s">
        <v>9</v>
      </c>
      <c r="H17" s="60">
        <v>0</v>
      </c>
      <c r="I17" s="60" t="s">
        <v>10</v>
      </c>
      <c r="J17" s="143"/>
      <c r="K17" s="143"/>
      <c r="L17" s="152" t="str">
        <f>工程基本資料!E4</f>
        <v>南區工務所</v>
      </c>
      <c r="M17" s="155" t="str">
        <f>工程基本資料!I4</f>
        <v>鋐城營造有限公司</v>
      </c>
      <c r="N17" s="54" t="str">
        <f t="shared" si="1"/>
        <v>任益芳</v>
      </c>
      <c r="O17" s="54" t="str">
        <f t="shared" si="1"/>
        <v>南區工務所</v>
      </c>
    </row>
    <row r="18" spans="1:15" ht="18" hidden="1" customHeight="1">
      <c r="A18" s="136"/>
      <c r="B18" s="138"/>
      <c r="C18" s="58" t="s">
        <v>8</v>
      </c>
      <c r="D18" s="140" t="s">
        <v>62</v>
      </c>
      <c r="E18" s="141"/>
      <c r="F18" s="59" t="s">
        <v>62</v>
      </c>
      <c r="G18" s="60" t="s">
        <v>17</v>
      </c>
      <c r="H18" s="60">
        <v>0</v>
      </c>
      <c r="I18" s="60" t="s">
        <v>10</v>
      </c>
      <c r="J18" s="143"/>
      <c r="K18" s="143"/>
      <c r="L18" s="153"/>
      <c r="M18" s="156"/>
      <c r="N18" s="54" t="str">
        <f t="shared" si="1"/>
        <v>任益芳</v>
      </c>
      <c r="O18" s="54" t="str">
        <f t="shared" si="1"/>
        <v>南區工務所</v>
      </c>
    </row>
    <row r="19" spans="1:15" ht="18" hidden="1" customHeight="1">
      <c r="A19" s="136"/>
      <c r="B19" s="138"/>
      <c r="C19" s="58" t="s">
        <v>12</v>
      </c>
      <c r="D19" s="140" t="s">
        <v>62</v>
      </c>
      <c r="E19" s="141"/>
      <c r="F19" s="59" t="s">
        <v>62</v>
      </c>
      <c r="G19" s="60" t="s">
        <v>11</v>
      </c>
      <c r="H19" s="60">
        <v>0</v>
      </c>
      <c r="I19" s="60" t="s">
        <v>10</v>
      </c>
      <c r="J19" s="143"/>
      <c r="K19" s="143"/>
      <c r="L19" s="153"/>
      <c r="M19" s="156"/>
      <c r="N19" s="54" t="str">
        <f t="shared" si="1"/>
        <v>任益芳</v>
      </c>
      <c r="O19" s="54" t="str">
        <f t="shared" si="1"/>
        <v>南區工務所</v>
      </c>
    </row>
    <row r="20" spans="1:15" ht="18" hidden="1" customHeight="1">
      <c r="A20" s="136"/>
      <c r="B20" s="138"/>
      <c r="G20" s="60" t="s">
        <v>13</v>
      </c>
      <c r="H20" s="60">
        <v>0</v>
      </c>
      <c r="I20" s="60" t="s">
        <v>10</v>
      </c>
      <c r="J20" s="143"/>
      <c r="K20" s="143"/>
      <c r="L20" s="153"/>
      <c r="M20" s="156"/>
      <c r="N20" s="54" t="str">
        <f t="shared" si="1"/>
        <v>任益芳</v>
      </c>
      <c r="O20" s="54" t="str">
        <f t="shared" si="1"/>
        <v>南區工務所</v>
      </c>
    </row>
    <row r="21" spans="1:15" ht="18" hidden="1" customHeight="1">
      <c r="A21" s="136"/>
      <c r="B21" s="138"/>
      <c r="C21" s="60"/>
      <c r="D21" s="148"/>
      <c r="E21" s="148"/>
      <c r="F21" s="62"/>
      <c r="G21" s="60" t="s">
        <v>14</v>
      </c>
      <c r="H21" s="60">
        <v>0</v>
      </c>
      <c r="I21" s="60" t="s">
        <v>10</v>
      </c>
      <c r="J21" s="143"/>
      <c r="K21" s="143"/>
      <c r="L21" s="153"/>
      <c r="M21" s="156"/>
      <c r="N21" s="54" t="str">
        <f t="shared" si="1"/>
        <v>任益芳</v>
      </c>
      <c r="O21" s="54" t="str">
        <f t="shared" si="1"/>
        <v>南區工務所</v>
      </c>
    </row>
    <row r="22" spans="1:15" ht="18" hidden="1" customHeight="1">
      <c r="A22" s="136"/>
      <c r="B22" s="138"/>
      <c r="C22" s="63"/>
      <c r="D22" s="148"/>
      <c r="E22" s="148"/>
      <c r="F22" s="62"/>
      <c r="G22" s="63" t="s">
        <v>18</v>
      </c>
      <c r="H22" s="63">
        <v>0</v>
      </c>
      <c r="I22" s="63" t="s">
        <v>10</v>
      </c>
      <c r="J22" s="143"/>
      <c r="K22" s="143"/>
      <c r="L22" s="153"/>
      <c r="M22" s="156"/>
      <c r="N22" s="54" t="str">
        <f t="shared" si="1"/>
        <v>任益芳</v>
      </c>
      <c r="O22" s="54" t="str">
        <f t="shared" si="1"/>
        <v>南區工務所</v>
      </c>
    </row>
    <row r="23" spans="1:15" ht="18" hidden="1" customHeight="1">
      <c r="A23" s="136"/>
      <c r="B23" s="138"/>
      <c r="C23" s="63"/>
      <c r="D23" s="148"/>
      <c r="E23" s="148"/>
      <c r="F23" s="62"/>
      <c r="G23" s="63" t="s">
        <v>19</v>
      </c>
      <c r="H23" s="63">
        <v>0</v>
      </c>
      <c r="I23" s="63" t="s">
        <v>20</v>
      </c>
      <c r="J23" s="143"/>
      <c r="K23" s="143"/>
      <c r="L23" s="153"/>
      <c r="M23" s="156"/>
      <c r="N23" s="54" t="str">
        <f t="shared" si="1"/>
        <v>任益芳</v>
      </c>
      <c r="O23" s="54" t="str">
        <f t="shared" si="1"/>
        <v>南區工務所</v>
      </c>
    </row>
    <row r="24" spans="1:15" ht="18" hidden="1" customHeight="1" thickBot="1">
      <c r="A24" s="136"/>
      <c r="B24" s="139"/>
      <c r="C24" s="64"/>
      <c r="D24" s="158"/>
      <c r="E24" s="158"/>
      <c r="F24" s="65"/>
      <c r="G24" s="64" t="s">
        <v>15</v>
      </c>
      <c r="H24" s="64">
        <v>0</v>
      </c>
      <c r="I24" s="64" t="s">
        <v>10</v>
      </c>
      <c r="J24" s="144"/>
      <c r="K24" s="144"/>
      <c r="L24" s="154"/>
      <c r="M24" s="157"/>
      <c r="N24" s="54" t="str">
        <f>N22</f>
        <v>任益芳</v>
      </c>
      <c r="O24" s="54" t="str">
        <f t="shared" si="1"/>
        <v>南區工務所</v>
      </c>
    </row>
    <row r="25" spans="1:15" ht="18" customHeight="1">
      <c r="B25" s="55" t="s">
        <v>64</v>
      </c>
      <c r="C25" s="146" t="s">
        <v>0</v>
      </c>
      <c r="D25" s="146"/>
      <c r="E25" s="146"/>
      <c r="F25" s="56" t="s">
        <v>61</v>
      </c>
      <c r="G25" s="146" t="str">
        <f>$G$3</f>
        <v>113年9月24日當日動員機具</v>
      </c>
      <c r="H25" s="146"/>
      <c r="I25" s="146"/>
      <c r="J25" s="56"/>
      <c r="K25" s="56"/>
      <c r="L25" s="147" t="s">
        <v>1</v>
      </c>
      <c r="M25" s="149" t="str">
        <f>工程基本資料!D5</f>
        <v>王伯豪</v>
      </c>
      <c r="N25" s="54" t="str">
        <f>M25</f>
        <v>王伯豪</v>
      </c>
      <c r="O25" s="54" t="str">
        <f>L28</f>
        <v>南區工務所</v>
      </c>
    </row>
    <row r="26" spans="1:15" ht="18" customHeight="1">
      <c r="B26" s="57" t="str">
        <f>工程基本資料!C5</f>
        <v>H-113-03-113047</v>
      </c>
      <c r="C26" s="58" t="s">
        <v>2</v>
      </c>
      <c r="D26" s="140" t="s">
        <v>3</v>
      </c>
      <c r="E26" s="141"/>
      <c r="F26" s="59"/>
      <c r="G26" s="60" t="s">
        <v>2</v>
      </c>
      <c r="H26" s="148" t="s">
        <v>4</v>
      </c>
      <c r="I26" s="148"/>
      <c r="J26" s="59" t="s">
        <v>59</v>
      </c>
      <c r="K26" s="59" t="s">
        <v>60</v>
      </c>
      <c r="L26" s="148"/>
      <c r="M26" s="150"/>
      <c r="N26" s="54" t="str">
        <f t="shared" ref="N26:O35" si="2">N25</f>
        <v>王伯豪</v>
      </c>
      <c r="O26" s="54" t="str">
        <f>O25</f>
        <v>南區工務所</v>
      </c>
    </row>
    <row r="27" spans="1:15" ht="18" customHeight="1">
      <c r="A27" s="136">
        <v>3</v>
      </c>
      <c r="B27" s="137" t="str">
        <f>工程基本資料!B5</f>
        <v>113年度南區河濱公園土木（含颱風豪雨設施撤離）暨災後復原預約維護工程</v>
      </c>
      <c r="C27" s="58" t="s">
        <v>5</v>
      </c>
      <c r="D27" s="148" t="s">
        <v>151</v>
      </c>
      <c r="E27" s="148"/>
      <c r="F27" s="58" t="s">
        <v>151</v>
      </c>
      <c r="G27" s="60" t="s">
        <v>6</v>
      </c>
      <c r="H27" s="60">
        <v>8</v>
      </c>
      <c r="I27" s="60" t="s">
        <v>7</v>
      </c>
      <c r="J27" s="108" t="s">
        <v>170</v>
      </c>
      <c r="K27" s="108" t="s">
        <v>171</v>
      </c>
      <c r="L27" s="148"/>
      <c r="M27" s="151"/>
      <c r="N27" s="54" t="str">
        <f t="shared" si="2"/>
        <v>王伯豪</v>
      </c>
      <c r="O27" s="54" t="str">
        <f t="shared" si="2"/>
        <v>南區工務所</v>
      </c>
    </row>
    <row r="28" spans="1:15" ht="18" customHeight="1">
      <c r="A28" s="136"/>
      <c r="B28" s="138"/>
      <c r="C28" s="58" t="s">
        <v>16</v>
      </c>
      <c r="D28" s="148" t="s">
        <v>151</v>
      </c>
      <c r="E28" s="148"/>
      <c r="F28" s="58" t="s">
        <v>151</v>
      </c>
      <c r="G28" s="60" t="s">
        <v>9</v>
      </c>
      <c r="H28" s="60">
        <v>1</v>
      </c>
      <c r="I28" s="60" t="s">
        <v>10</v>
      </c>
      <c r="J28" s="109"/>
      <c r="K28" s="109"/>
      <c r="L28" s="152" t="str">
        <f>工程基本資料!E5</f>
        <v>南區工務所</v>
      </c>
      <c r="M28" s="155" t="str">
        <f>工程基本資料!I5</f>
        <v>泇溢營造有限公司</v>
      </c>
      <c r="N28" s="54" t="str">
        <f t="shared" si="2"/>
        <v>王伯豪</v>
      </c>
      <c r="O28" s="54" t="str">
        <f t="shared" si="2"/>
        <v>南區工務所</v>
      </c>
    </row>
    <row r="29" spans="1:15" ht="18" customHeight="1">
      <c r="A29" s="136"/>
      <c r="B29" s="138"/>
      <c r="C29" s="58" t="s">
        <v>8</v>
      </c>
      <c r="D29" s="148" t="s">
        <v>167</v>
      </c>
      <c r="E29" s="148"/>
      <c r="F29" s="58" t="s">
        <v>169</v>
      </c>
      <c r="G29" s="60" t="s">
        <v>17</v>
      </c>
      <c r="H29" s="60">
        <v>1</v>
      </c>
      <c r="I29" s="60" t="s">
        <v>10</v>
      </c>
      <c r="J29" s="109"/>
      <c r="K29" s="109"/>
      <c r="L29" s="153"/>
      <c r="M29" s="156"/>
      <c r="N29" s="54" t="str">
        <f t="shared" si="2"/>
        <v>王伯豪</v>
      </c>
      <c r="O29" s="54" t="str">
        <f t="shared" si="2"/>
        <v>南區工務所</v>
      </c>
    </row>
    <row r="30" spans="1:15" ht="18" customHeight="1">
      <c r="A30" s="136"/>
      <c r="B30" s="138"/>
      <c r="C30" s="58" t="s">
        <v>12</v>
      </c>
      <c r="D30" s="148" t="s">
        <v>168</v>
      </c>
      <c r="E30" s="148"/>
      <c r="F30" s="58" t="s">
        <v>151</v>
      </c>
      <c r="G30" s="60" t="s">
        <v>11</v>
      </c>
      <c r="H30" s="60">
        <v>1</v>
      </c>
      <c r="I30" s="60" t="s">
        <v>10</v>
      </c>
      <c r="J30" s="109"/>
      <c r="K30" s="109"/>
      <c r="L30" s="153"/>
      <c r="M30" s="156"/>
      <c r="N30" s="54" t="str">
        <f t="shared" si="2"/>
        <v>王伯豪</v>
      </c>
      <c r="O30" s="54" t="str">
        <f t="shared" si="2"/>
        <v>南區工務所</v>
      </c>
    </row>
    <row r="31" spans="1:15" ht="18" customHeight="1">
      <c r="A31" s="136"/>
      <c r="B31" s="138"/>
      <c r="D31" s="148"/>
      <c r="E31" s="148"/>
      <c r="F31" s="60"/>
      <c r="G31" s="60" t="s">
        <v>13</v>
      </c>
      <c r="H31" s="60">
        <v>3</v>
      </c>
      <c r="I31" s="60" t="s">
        <v>10</v>
      </c>
      <c r="J31" s="109"/>
      <c r="K31" s="109"/>
      <c r="L31" s="153"/>
      <c r="M31" s="156"/>
      <c r="N31" s="54" t="str">
        <f t="shared" si="2"/>
        <v>王伯豪</v>
      </c>
      <c r="O31" s="54" t="str">
        <f t="shared" si="2"/>
        <v>南區工務所</v>
      </c>
    </row>
    <row r="32" spans="1:15" ht="18" customHeight="1">
      <c r="A32" s="136"/>
      <c r="B32" s="138"/>
      <c r="C32" s="60"/>
      <c r="D32" s="148"/>
      <c r="E32" s="148"/>
      <c r="F32" s="58"/>
      <c r="G32" s="60" t="s">
        <v>14</v>
      </c>
      <c r="H32" s="60">
        <v>1</v>
      </c>
      <c r="I32" s="60" t="s">
        <v>10</v>
      </c>
      <c r="J32" s="109"/>
      <c r="K32" s="109"/>
      <c r="L32" s="153"/>
      <c r="M32" s="156"/>
      <c r="N32" s="54" t="str">
        <f t="shared" si="2"/>
        <v>王伯豪</v>
      </c>
      <c r="O32" s="54" t="str">
        <f t="shared" si="2"/>
        <v>南區工務所</v>
      </c>
    </row>
    <row r="33" spans="1:15" ht="18" customHeight="1">
      <c r="A33" s="136"/>
      <c r="B33" s="67"/>
      <c r="C33" s="63"/>
      <c r="D33" s="148"/>
      <c r="E33" s="148"/>
      <c r="F33" s="58"/>
      <c r="G33" s="63" t="s">
        <v>18</v>
      </c>
      <c r="H33" s="63">
        <v>0</v>
      </c>
      <c r="I33" s="63" t="s">
        <v>10</v>
      </c>
      <c r="J33" s="109"/>
      <c r="K33" s="109"/>
      <c r="L33" s="153"/>
      <c r="M33" s="156"/>
      <c r="N33" s="54" t="str">
        <f t="shared" si="2"/>
        <v>王伯豪</v>
      </c>
      <c r="O33" s="54" t="str">
        <f t="shared" si="2"/>
        <v>南區工務所</v>
      </c>
    </row>
    <row r="34" spans="1:15" ht="18" customHeight="1">
      <c r="A34" s="136"/>
      <c r="B34" s="67"/>
      <c r="C34" s="63"/>
      <c r="D34" s="148"/>
      <c r="E34" s="148"/>
      <c r="F34" s="58"/>
      <c r="G34" s="63" t="s">
        <v>19</v>
      </c>
      <c r="H34" s="63">
        <v>0</v>
      </c>
      <c r="I34" s="63" t="s">
        <v>20</v>
      </c>
      <c r="J34" s="109"/>
      <c r="K34" s="109"/>
      <c r="L34" s="153"/>
      <c r="M34" s="156"/>
      <c r="N34" s="54" t="str">
        <f t="shared" si="2"/>
        <v>王伯豪</v>
      </c>
      <c r="O34" s="54" t="str">
        <f t="shared" si="2"/>
        <v>南區工務所</v>
      </c>
    </row>
    <row r="35" spans="1:15" ht="18" customHeight="1" thickBot="1">
      <c r="A35" s="136"/>
      <c r="B35" s="68"/>
      <c r="C35" s="64"/>
      <c r="D35" s="148"/>
      <c r="E35" s="148"/>
      <c r="F35" s="58"/>
      <c r="G35" s="64" t="s">
        <v>15</v>
      </c>
      <c r="H35" s="64">
        <v>1</v>
      </c>
      <c r="I35" s="64" t="s">
        <v>10</v>
      </c>
      <c r="J35" s="110"/>
      <c r="K35" s="110"/>
      <c r="L35" s="154"/>
      <c r="M35" s="157"/>
      <c r="N35" s="54" t="str">
        <f t="shared" si="2"/>
        <v>王伯豪</v>
      </c>
      <c r="O35" s="54" t="str">
        <f t="shared" si="2"/>
        <v>南區工務所</v>
      </c>
    </row>
    <row r="36" spans="1:15" ht="18" customHeight="1">
      <c r="B36" s="55" t="s">
        <v>64</v>
      </c>
      <c r="C36" s="146" t="s">
        <v>0</v>
      </c>
      <c r="D36" s="159"/>
      <c r="E36" s="159"/>
      <c r="F36" s="78" t="s">
        <v>61</v>
      </c>
      <c r="G36" s="146" t="str">
        <f>$G$3</f>
        <v>113年9月24日當日動員機具</v>
      </c>
      <c r="H36" s="146"/>
      <c r="I36" s="146"/>
      <c r="J36" s="56"/>
      <c r="K36" s="56"/>
      <c r="L36" s="147" t="s">
        <v>1</v>
      </c>
      <c r="M36" s="149" t="str">
        <f>工程基本資料!D6</f>
        <v>詹智為、張思漢</v>
      </c>
      <c r="N36" s="54" t="str">
        <f>M36</f>
        <v>詹智為、張思漢</v>
      </c>
      <c r="O36" s="54" t="str">
        <f>L39</f>
        <v>北區工務所</v>
      </c>
    </row>
    <row r="37" spans="1:15" ht="18" customHeight="1">
      <c r="B37" s="57" t="str">
        <f>工程基本資料!C6</f>
        <v>H-113-03-113021</v>
      </c>
      <c r="C37" s="58" t="s">
        <v>2</v>
      </c>
      <c r="D37" s="140" t="s">
        <v>3</v>
      </c>
      <c r="E37" s="141"/>
      <c r="F37" s="59"/>
      <c r="G37" s="60" t="s">
        <v>2</v>
      </c>
      <c r="H37" s="148" t="s">
        <v>4</v>
      </c>
      <c r="I37" s="148"/>
      <c r="J37" s="59" t="s">
        <v>59</v>
      </c>
      <c r="K37" s="59" t="s">
        <v>60</v>
      </c>
      <c r="L37" s="148"/>
      <c r="M37" s="150"/>
      <c r="N37" s="54" t="str">
        <f t="shared" ref="N37:O46" si="3">N36</f>
        <v>詹智為、張思漢</v>
      </c>
      <c r="O37" s="54" t="str">
        <f>O36</f>
        <v>北區工務所</v>
      </c>
    </row>
    <row r="38" spans="1:15" ht="18" customHeight="1">
      <c r="A38" s="136">
        <v>4</v>
      </c>
      <c r="B38" s="137" t="str">
        <f>工程基本資料!B6</f>
        <v>113年度西區水利建造物檢修改善及災後復原(基隆河左岸高速公路內湖橋至洲美大橋段)預約維護工程</v>
      </c>
      <c r="C38" s="58" t="s">
        <v>5</v>
      </c>
      <c r="D38" s="148" t="s">
        <v>121</v>
      </c>
      <c r="E38" s="148"/>
      <c r="F38" s="58" t="s">
        <v>121</v>
      </c>
      <c r="G38" s="60" t="s">
        <v>6</v>
      </c>
      <c r="H38" s="60">
        <v>9</v>
      </c>
      <c r="I38" s="60" t="s">
        <v>7</v>
      </c>
      <c r="J38" s="114" t="s">
        <v>155</v>
      </c>
      <c r="K38" s="114" t="s">
        <v>156</v>
      </c>
      <c r="L38" s="148"/>
      <c r="M38" s="151"/>
      <c r="N38" s="54" t="str">
        <f t="shared" si="3"/>
        <v>詹智為、張思漢</v>
      </c>
      <c r="O38" s="54" t="str">
        <f t="shared" si="3"/>
        <v>北區工務所</v>
      </c>
    </row>
    <row r="39" spans="1:15" ht="18" customHeight="1">
      <c r="A39" s="136"/>
      <c r="B39" s="138"/>
      <c r="C39" s="58" t="s">
        <v>16</v>
      </c>
      <c r="D39" s="148" t="s">
        <v>122</v>
      </c>
      <c r="E39" s="148"/>
      <c r="F39" s="58" t="s">
        <v>121</v>
      </c>
      <c r="G39" s="60" t="s">
        <v>9</v>
      </c>
      <c r="H39" s="60">
        <v>0</v>
      </c>
      <c r="I39" s="60" t="s">
        <v>10</v>
      </c>
      <c r="J39" s="115"/>
      <c r="K39" s="115"/>
      <c r="L39" s="152" t="str">
        <f>工程基本資料!E6</f>
        <v>北區工務所</v>
      </c>
      <c r="M39" s="155" t="str">
        <f>工程基本資料!I6</f>
        <v>逸峰營造有限公司</v>
      </c>
      <c r="N39" s="54" t="str">
        <f t="shared" si="3"/>
        <v>詹智為、張思漢</v>
      </c>
      <c r="O39" s="54" t="str">
        <f t="shared" si="3"/>
        <v>北區工務所</v>
      </c>
    </row>
    <row r="40" spans="1:15" ht="18" customHeight="1">
      <c r="A40" s="136"/>
      <c r="B40" s="138"/>
      <c r="C40" s="58" t="s">
        <v>8</v>
      </c>
      <c r="D40" s="148" t="s">
        <v>123</v>
      </c>
      <c r="E40" s="148"/>
      <c r="F40" s="58" t="s">
        <v>154</v>
      </c>
      <c r="G40" s="60" t="s">
        <v>17</v>
      </c>
      <c r="H40" s="60">
        <v>0</v>
      </c>
      <c r="I40" s="60" t="s">
        <v>10</v>
      </c>
      <c r="J40" s="115"/>
      <c r="K40" s="115"/>
      <c r="L40" s="153"/>
      <c r="M40" s="156"/>
      <c r="N40" s="54" t="str">
        <f t="shared" si="3"/>
        <v>詹智為、張思漢</v>
      </c>
      <c r="O40" s="54" t="str">
        <f t="shared" si="3"/>
        <v>北區工務所</v>
      </c>
    </row>
    <row r="41" spans="1:15" ht="18" customHeight="1">
      <c r="A41" s="136"/>
      <c r="B41" s="138"/>
      <c r="C41" s="58" t="s">
        <v>12</v>
      </c>
      <c r="D41" s="148" t="s">
        <v>124</v>
      </c>
      <c r="E41" s="148"/>
      <c r="F41" s="58" t="s">
        <v>154</v>
      </c>
      <c r="G41" s="60" t="s">
        <v>11</v>
      </c>
      <c r="H41" s="60">
        <v>2</v>
      </c>
      <c r="I41" s="60" t="s">
        <v>10</v>
      </c>
      <c r="J41" s="115"/>
      <c r="K41" s="115"/>
      <c r="L41" s="153"/>
      <c r="M41" s="156"/>
      <c r="N41" s="54" t="str">
        <f t="shared" si="3"/>
        <v>詹智為、張思漢</v>
      </c>
      <c r="O41" s="54" t="str">
        <f t="shared" si="3"/>
        <v>北區工務所</v>
      </c>
    </row>
    <row r="42" spans="1:15" ht="18" customHeight="1">
      <c r="A42" s="136"/>
      <c r="B42" s="138"/>
      <c r="D42" s="148"/>
      <c r="E42" s="148"/>
      <c r="F42" s="60"/>
      <c r="G42" s="60" t="s">
        <v>13</v>
      </c>
      <c r="H42" s="60">
        <v>3</v>
      </c>
      <c r="I42" s="60" t="s">
        <v>10</v>
      </c>
      <c r="J42" s="115"/>
      <c r="K42" s="115"/>
      <c r="L42" s="153"/>
      <c r="M42" s="156"/>
      <c r="N42" s="54" t="str">
        <f t="shared" si="3"/>
        <v>詹智為、張思漢</v>
      </c>
      <c r="O42" s="54" t="str">
        <f t="shared" si="3"/>
        <v>北區工務所</v>
      </c>
    </row>
    <row r="43" spans="1:15" ht="18" customHeight="1">
      <c r="A43" s="136"/>
      <c r="B43" s="67"/>
      <c r="C43" s="60"/>
      <c r="D43" s="148"/>
      <c r="E43" s="148"/>
      <c r="F43" s="58"/>
      <c r="G43" s="60" t="s">
        <v>14</v>
      </c>
      <c r="H43" s="60">
        <v>3</v>
      </c>
      <c r="I43" s="60" t="s">
        <v>10</v>
      </c>
      <c r="J43" s="115"/>
      <c r="K43" s="115"/>
      <c r="L43" s="153"/>
      <c r="M43" s="156"/>
      <c r="N43" s="54" t="str">
        <f t="shared" si="3"/>
        <v>詹智為、張思漢</v>
      </c>
      <c r="O43" s="54" t="str">
        <f t="shared" si="3"/>
        <v>北區工務所</v>
      </c>
    </row>
    <row r="44" spans="1:15" ht="18" customHeight="1">
      <c r="A44" s="136"/>
      <c r="B44" s="138"/>
      <c r="C44" s="63"/>
      <c r="D44" s="148"/>
      <c r="E44" s="148"/>
      <c r="F44" s="58"/>
      <c r="G44" s="63" t="s">
        <v>18</v>
      </c>
      <c r="H44" s="63">
        <v>0</v>
      </c>
      <c r="I44" s="63" t="s">
        <v>10</v>
      </c>
      <c r="J44" s="115"/>
      <c r="K44" s="115"/>
      <c r="L44" s="153"/>
      <c r="M44" s="156"/>
      <c r="N44" s="54" t="str">
        <f t="shared" si="3"/>
        <v>詹智為、張思漢</v>
      </c>
      <c r="O44" s="54" t="str">
        <f t="shared" si="3"/>
        <v>北區工務所</v>
      </c>
    </row>
    <row r="45" spans="1:15" ht="18" customHeight="1">
      <c r="A45" s="136"/>
      <c r="B45" s="138"/>
      <c r="C45" s="63"/>
      <c r="D45" s="148"/>
      <c r="E45" s="148"/>
      <c r="F45" s="58"/>
      <c r="G45" s="63" t="s">
        <v>19</v>
      </c>
      <c r="H45" s="63">
        <v>0</v>
      </c>
      <c r="I45" s="63" t="s">
        <v>20</v>
      </c>
      <c r="J45" s="115"/>
      <c r="K45" s="115"/>
      <c r="L45" s="153"/>
      <c r="M45" s="156"/>
      <c r="N45" s="54" t="str">
        <f t="shared" si="3"/>
        <v>詹智為、張思漢</v>
      </c>
      <c r="O45" s="54" t="str">
        <f t="shared" si="3"/>
        <v>北區工務所</v>
      </c>
    </row>
    <row r="46" spans="1:15" ht="18" customHeight="1" thickBot="1">
      <c r="A46" s="136"/>
      <c r="B46" s="139"/>
      <c r="C46" s="64"/>
      <c r="D46" s="148"/>
      <c r="E46" s="148"/>
      <c r="F46" s="58"/>
      <c r="G46" s="64" t="s">
        <v>15</v>
      </c>
      <c r="H46" s="64">
        <v>0</v>
      </c>
      <c r="I46" s="64" t="s">
        <v>10</v>
      </c>
      <c r="J46" s="116"/>
      <c r="K46" s="116"/>
      <c r="L46" s="154"/>
      <c r="M46" s="157"/>
      <c r="N46" s="54" t="str">
        <f t="shared" si="3"/>
        <v>詹智為、張思漢</v>
      </c>
      <c r="O46" s="54" t="str">
        <f t="shared" si="3"/>
        <v>北區工務所</v>
      </c>
    </row>
    <row r="47" spans="1:15" ht="18" hidden="1" customHeight="1">
      <c r="B47" s="55" t="s">
        <v>64</v>
      </c>
      <c r="C47" s="146" t="s">
        <v>0</v>
      </c>
      <c r="D47" s="159"/>
      <c r="E47" s="159"/>
      <c r="F47" s="78" t="s">
        <v>61</v>
      </c>
      <c r="G47" s="146" t="str">
        <f>$G$3</f>
        <v>113年9月24日當日動員機具</v>
      </c>
      <c r="H47" s="146"/>
      <c r="I47" s="146"/>
      <c r="J47" s="56"/>
      <c r="K47" s="56"/>
      <c r="L47" s="147" t="s">
        <v>1</v>
      </c>
      <c r="M47" s="149" t="str">
        <f>工程基本資料!D7</f>
        <v>周根杉</v>
      </c>
      <c r="N47" s="54" t="str">
        <f>M47</f>
        <v>周根杉</v>
      </c>
      <c r="O47" s="54" t="str">
        <f>L50</f>
        <v>北區工務所</v>
      </c>
    </row>
    <row r="48" spans="1:15" ht="18" hidden="1" customHeight="1">
      <c r="B48" s="57" t="str">
        <f>工程基本資料!C7</f>
        <v>H-113-03-113025</v>
      </c>
      <c r="C48" s="58" t="s">
        <v>2</v>
      </c>
      <c r="D48" s="140" t="s">
        <v>3</v>
      </c>
      <c r="E48" s="141"/>
      <c r="F48" s="59"/>
      <c r="G48" s="60" t="s">
        <v>2</v>
      </c>
      <c r="H48" s="148" t="s">
        <v>4</v>
      </c>
      <c r="I48" s="148"/>
      <c r="J48" s="59" t="s">
        <v>59</v>
      </c>
      <c r="K48" s="59" t="s">
        <v>60</v>
      </c>
      <c r="L48" s="148"/>
      <c r="M48" s="150"/>
      <c r="N48" s="54" t="str">
        <f t="shared" ref="N48:O57" si="4">N47</f>
        <v>周根杉</v>
      </c>
      <c r="O48" s="54" t="str">
        <f>O47</f>
        <v>北區工務所</v>
      </c>
    </row>
    <row r="49" spans="1:15" ht="18" hidden="1" customHeight="1">
      <c r="A49" s="136">
        <v>5</v>
      </c>
      <c r="B49" s="137" t="str">
        <f>工程基本資料!B7</f>
        <v>113年度北區河濱公園土木暨災後復原預約維護工程</v>
      </c>
      <c r="C49" s="58" t="s">
        <v>5</v>
      </c>
      <c r="D49" s="140" t="s">
        <v>62</v>
      </c>
      <c r="E49" s="141"/>
      <c r="F49" s="59" t="s">
        <v>62</v>
      </c>
      <c r="G49" s="60" t="s">
        <v>6</v>
      </c>
      <c r="H49" s="60"/>
      <c r="I49" s="60" t="s">
        <v>7</v>
      </c>
      <c r="J49" s="160"/>
      <c r="K49" s="142"/>
      <c r="L49" s="148"/>
      <c r="M49" s="151"/>
      <c r="N49" s="54" t="str">
        <f t="shared" si="4"/>
        <v>周根杉</v>
      </c>
      <c r="O49" s="54" t="str">
        <f t="shared" si="4"/>
        <v>北區工務所</v>
      </c>
    </row>
    <row r="50" spans="1:15" ht="18" hidden="1" customHeight="1">
      <c r="A50" s="136"/>
      <c r="B50" s="138"/>
      <c r="C50" s="58" t="s">
        <v>16</v>
      </c>
      <c r="D50" s="140" t="s">
        <v>62</v>
      </c>
      <c r="E50" s="141"/>
      <c r="F50" s="59" t="s">
        <v>62</v>
      </c>
      <c r="G50" s="60" t="s">
        <v>9</v>
      </c>
      <c r="H50" s="60"/>
      <c r="I50" s="60" t="s">
        <v>10</v>
      </c>
      <c r="J50" s="161"/>
      <c r="K50" s="143"/>
      <c r="L50" s="152" t="str">
        <f>工程基本資料!E7</f>
        <v>北區工務所</v>
      </c>
      <c r="M50" s="155" t="str">
        <f>工程基本資料!I7</f>
        <v>冠錏營造有限公司</v>
      </c>
      <c r="N50" s="54" t="str">
        <f t="shared" si="4"/>
        <v>周根杉</v>
      </c>
      <c r="O50" s="54" t="str">
        <f t="shared" si="4"/>
        <v>北區工務所</v>
      </c>
    </row>
    <row r="51" spans="1:15" ht="18" hidden="1" customHeight="1">
      <c r="A51" s="136"/>
      <c r="B51" s="138"/>
      <c r="C51" s="58" t="s">
        <v>8</v>
      </c>
      <c r="D51" s="140" t="s">
        <v>62</v>
      </c>
      <c r="E51" s="141"/>
      <c r="F51" s="59" t="s">
        <v>62</v>
      </c>
      <c r="G51" s="60" t="s">
        <v>17</v>
      </c>
      <c r="H51" s="60"/>
      <c r="I51" s="60" t="s">
        <v>10</v>
      </c>
      <c r="J51" s="161"/>
      <c r="K51" s="143"/>
      <c r="L51" s="153"/>
      <c r="M51" s="156"/>
      <c r="N51" s="54" t="str">
        <f t="shared" si="4"/>
        <v>周根杉</v>
      </c>
      <c r="O51" s="54" t="str">
        <f t="shared" si="4"/>
        <v>北區工務所</v>
      </c>
    </row>
    <row r="52" spans="1:15" ht="18" hidden="1" customHeight="1">
      <c r="A52" s="136"/>
      <c r="B52" s="138"/>
      <c r="C52" s="58" t="s">
        <v>66</v>
      </c>
      <c r="D52" s="140" t="s">
        <v>62</v>
      </c>
      <c r="E52" s="141"/>
      <c r="F52" s="59" t="s">
        <v>62</v>
      </c>
      <c r="G52" s="60" t="s">
        <v>11</v>
      </c>
      <c r="H52" s="60"/>
      <c r="I52" s="60" t="s">
        <v>10</v>
      </c>
      <c r="J52" s="161"/>
      <c r="K52" s="143"/>
      <c r="L52" s="153"/>
      <c r="M52" s="156"/>
      <c r="N52" s="54" t="str">
        <f t="shared" si="4"/>
        <v>周根杉</v>
      </c>
      <c r="O52" s="54" t="str">
        <f t="shared" si="4"/>
        <v>北區工務所</v>
      </c>
    </row>
    <row r="53" spans="1:15" ht="18" hidden="1" customHeight="1">
      <c r="A53" s="136"/>
      <c r="B53" s="138"/>
      <c r="C53" s="58"/>
      <c r="D53" s="148"/>
      <c r="E53" s="148"/>
      <c r="G53" s="60" t="s">
        <v>13</v>
      </c>
      <c r="H53" s="60"/>
      <c r="I53" s="60" t="s">
        <v>10</v>
      </c>
      <c r="J53" s="161"/>
      <c r="K53" s="143"/>
      <c r="L53" s="153"/>
      <c r="M53" s="156"/>
      <c r="N53" s="54" t="str">
        <f t="shared" si="4"/>
        <v>周根杉</v>
      </c>
      <c r="O53" s="54" t="str">
        <f t="shared" si="4"/>
        <v>北區工務所</v>
      </c>
    </row>
    <row r="54" spans="1:15" ht="18" hidden="1" customHeight="1">
      <c r="A54" s="136"/>
      <c r="B54" s="138"/>
      <c r="C54" s="60"/>
      <c r="D54" s="148"/>
      <c r="E54" s="148"/>
      <c r="F54" s="62"/>
      <c r="G54" s="60" t="s">
        <v>14</v>
      </c>
      <c r="H54" s="60"/>
      <c r="I54" s="60" t="s">
        <v>10</v>
      </c>
      <c r="J54" s="161"/>
      <c r="K54" s="143"/>
      <c r="L54" s="153"/>
      <c r="M54" s="156"/>
      <c r="N54" s="54" t="str">
        <f t="shared" si="4"/>
        <v>周根杉</v>
      </c>
      <c r="O54" s="54" t="str">
        <f t="shared" si="4"/>
        <v>北區工務所</v>
      </c>
    </row>
    <row r="55" spans="1:15" ht="18" hidden="1" customHeight="1">
      <c r="A55" s="136"/>
      <c r="B55" s="67"/>
      <c r="C55" s="63"/>
      <c r="D55" s="148"/>
      <c r="E55" s="148"/>
      <c r="F55" s="62"/>
      <c r="G55" s="63" t="s">
        <v>18</v>
      </c>
      <c r="H55" s="63"/>
      <c r="I55" s="63" t="s">
        <v>10</v>
      </c>
      <c r="J55" s="161"/>
      <c r="K55" s="143"/>
      <c r="L55" s="153"/>
      <c r="M55" s="156"/>
      <c r="N55" s="54" t="str">
        <f t="shared" si="4"/>
        <v>周根杉</v>
      </c>
      <c r="O55" s="54" t="str">
        <f t="shared" si="4"/>
        <v>北區工務所</v>
      </c>
    </row>
    <row r="56" spans="1:15" ht="18" hidden="1" customHeight="1">
      <c r="A56" s="136"/>
      <c r="B56" s="67"/>
      <c r="C56" s="63"/>
      <c r="D56" s="148"/>
      <c r="E56" s="148"/>
      <c r="F56" s="62"/>
      <c r="G56" s="63" t="s">
        <v>19</v>
      </c>
      <c r="H56" s="63"/>
      <c r="I56" s="63" t="s">
        <v>20</v>
      </c>
      <c r="J56" s="161"/>
      <c r="K56" s="143"/>
      <c r="L56" s="153"/>
      <c r="M56" s="156"/>
      <c r="N56" s="54" t="str">
        <f t="shared" si="4"/>
        <v>周根杉</v>
      </c>
      <c r="O56" s="54" t="str">
        <f t="shared" si="4"/>
        <v>北區工務所</v>
      </c>
    </row>
    <row r="57" spans="1:15" ht="18" hidden="1" customHeight="1" thickBot="1">
      <c r="A57" s="136"/>
      <c r="B57" s="68"/>
      <c r="C57" s="64"/>
      <c r="D57" s="158"/>
      <c r="E57" s="158"/>
      <c r="F57" s="65"/>
      <c r="G57" s="64" t="s">
        <v>15</v>
      </c>
      <c r="H57" s="64"/>
      <c r="I57" s="64" t="s">
        <v>10</v>
      </c>
      <c r="J57" s="162"/>
      <c r="K57" s="144"/>
      <c r="L57" s="154"/>
      <c r="M57" s="157"/>
      <c r="N57" s="54" t="str">
        <f>N55</f>
        <v>周根杉</v>
      </c>
      <c r="O57" s="54" t="str">
        <f t="shared" si="4"/>
        <v>北區工務所</v>
      </c>
    </row>
    <row r="58" spans="1:15" ht="18" customHeight="1">
      <c r="B58" s="55" t="s">
        <v>64</v>
      </c>
      <c r="C58" s="146" t="s">
        <v>0</v>
      </c>
      <c r="D58" s="146"/>
      <c r="E58" s="146"/>
      <c r="F58" s="56" t="s">
        <v>61</v>
      </c>
      <c r="G58" s="146" t="str">
        <f>$G$3</f>
        <v>113年9月24日當日動員機具</v>
      </c>
      <c r="H58" s="146"/>
      <c r="I58" s="146"/>
      <c r="J58" s="56"/>
      <c r="K58" s="56"/>
      <c r="L58" s="147" t="s">
        <v>1</v>
      </c>
      <c r="M58" s="149" t="str">
        <f>工程基本資料!D8</f>
        <v>陳政誠</v>
      </c>
      <c r="N58" s="54" t="str">
        <f>M58</f>
        <v>陳政誠</v>
      </c>
      <c r="O58" s="54" t="str">
        <f>L61</f>
        <v>南內工務所</v>
      </c>
    </row>
    <row r="59" spans="1:15" ht="18" customHeight="1">
      <c r="B59" s="57" t="str">
        <f>工程基本資料!C8</f>
        <v>H-113-03-113020</v>
      </c>
      <c r="C59" s="58" t="s">
        <v>2</v>
      </c>
      <c r="D59" s="140" t="s">
        <v>3</v>
      </c>
      <c r="E59" s="141"/>
      <c r="F59" s="59"/>
      <c r="G59" s="60" t="s">
        <v>2</v>
      </c>
      <c r="H59" s="148" t="s">
        <v>4</v>
      </c>
      <c r="I59" s="148"/>
      <c r="J59" s="59" t="s">
        <v>59</v>
      </c>
      <c r="K59" s="59" t="s">
        <v>60</v>
      </c>
      <c r="L59" s="148"/>
      <c r="M59" s="150"/>
      <c r="N59" s="54" t="str">
        <f t="shared" ref="N59:O68" si="5">N58</f>
        <v>陳政誠</v>
      </c>
      <c r="O59" s="54" t="str">
        <f>O58</f>
        <v>南內工務所</v>
      </c>
    </row>
    <row r="60" spans="1:15" ht="27.95" customHeight="1">
      <c r="A60" s="136">
        <v>6</v>
      </c>
      <c r="B60" s="137" t="str">
        <f>工程基本資料!B8</f>
        <v>113年度東區水利建造物檢修改善及災後復原(基隆河左岸高速公路內湖橋上游段，含四分溪及大坑溪)預約維護工程</v>
      </c>
      <c r="C60" s="58" t="s">
        <v>144</v>
      </c>
      <c r="D60" s="140" t="s">
        <v>148</v>
      </c>
      <c r="E60" s="141"/>
      <c r="F60" s="59" t="s">
        <v>151</v>
      </c>
      <c r="G60" s="60" t="s">
        <v>6</v>
      </c>
      <c r="H60" s="60">
        <v>18</v>
      </c>
      <c r="I60" s="60" t="s">
        <v>7</v>
      </c>
      <c r="J60" s="163" t="s">
        <v>160</v>
      </c>
      <c r="K60" s="166" t="s">
        <v>164</v>
      </c>
      <c r="L60" s="148"/>
      <c r="M60" s="151"/>
      <c r="N60" s="54" t="str">
        <f t="shared" si="5"/>
        <v>陳政誠</v>
      </c>
      <c r="O60" s="54" t="str">
        <f t="shared" si="5"/>
        <v>南內工務所</v>
      </c>
    </row>
    <row r="61" spans="1:15" ht="27.95" customHeight="1">
      <c r="A61" s="136"/>
      <c r="B61" s="138"/>
      <c r="C61" s="58" t="s">
        <v>145</v>
      </c>
      <c r="D61" s="140" t="s">
        <v>149</v>
      </c>
      <c r="E61" s="141"/>
      <c r="F61" s="59" t="s">
        <v>159</v>
      </c>
      <c r="G61" s="60" t="s">
        <v>9</v>
      </c>
      <c r="H61" s="60">
        <v>0</v>
      </c>
      <c r="I61" s="60" t="s">
        <v>10</v>
      </c>
      <c r="J61" s="164"/>
      <c r="K61" s="167"/>
      <c r="L61" s="152" t="str">
        <f>工程基本資料!E8</f>
        <v>南內工務所</v>
      </c>
      <c r="M61" s="155" t="str">
        <f>工程基本資料!I8</f>
        <v>淞源營造有限公司</v>
      </c>
      <c r="N61" s="54" t="str">
        <f t="shared" si="5"/>
        <v>陳政誠</v>
      </c>
      <c r="O61" s="54" t="str">
        <f t="shared" si="5"/>
        <v>南內工務所</v>
      </c>
    </row>
    <row r="62" spans="1:15" ht="27.95" customHeight="1">
      <c r="A62" s="136"/>
      <c r="B62" s="138"/>
      <c r="C62" s="58" t="s">
        <v>146</v>
      </c>
      <c r="D62" s="140" t="s">
        <v>150</v>
      </c>
      <c r="E62" s="141"/>
      <c r="F62" s="59" t="s">
        <v>152</v>
      </c>
      <c r="G62" s="60" t="s">
        <v>17</v>
      </c>
      <c r="H62" s="60">
        <v>0</v>
      </c>
      <c r="I62" s="60" t="s">
        <v>10</v>
      </c>
      <c r="J62" s="164"/>
      <c r="K62" s="167"/>
      <c r="L62" s="153"/>
      <c r="M62" s="156"/>
      <c r="N62" s="54" t="str">
        <f t="shared" si="5"/>
        <v>陳政誠</v>
      </c>
      <c r="O62" s="54" t="str">
        <f t="shared" si="5"/>
        <v>南內工務所</v>
      </c>
    </row>
    <row r="63" spans="1:15" ht="27.95" customHeight="1">
      <c r="A63" s="136"/>
      <c r="B63" s="138"/>
      <c r="C63" s="58" t="s">
        <v>147</v>
      </c>
      <c r="D63" s="148" t="s">
        <v>149</v>
      </c>
      <c r="E63" s="148"/>
      <c r="F63" s="58" t="s">
        <v>159</v>
      </c>
      <c r="G63" s="60" t="s">
        <v>11</v>
      </c>
      <c r="H63" s="60">
        <v>0</v>
      </c>
      <c r="I63" s="60" t="s">
        <v>10</v>
      </c>
      <c r="J63" s="164"/>
      <c r="K63" s="167"/>
      <c r="L63" s="153"/>
      <c r="M63" s="156"/>
      <c r="N63" s="54" t="str">
        <f t="shared" si="5"/>
        <v>陳政誠</v>
      </c>
      <c r="O63" s="54" t="str">
        <f t="shared" si="5"/>
        <v>南內工務所</v>
      </c>
    </row>
    <row r="64" spans="1:15" ht="27.95" customHeight="1">
      <c r="A64" s="136"/>
      <c r="B64" s="138"/>
      <c r="D64" s="148"/>
      <c r="E64" s="148"/>
      <c r="F64" s="60"/>
      <c r="G64" s="60" t="s">
        <v>13</v>
      </c>
      <c r="H64" s="60">
        <v>3</v>
      </c>
      <c r="I64" s="60" t="s">
        <v>10</v>
      </c>
      <c r="J64" s="164"/>
      <c r="K64" s="167"/>
      <c r="L64" s="153"/>
      <c r="M64" s="156"/>
      <c r="N64" s="54" t="str">
        <f t="shared" si="5"/>
        <v>陳政誠</v>
      </c>
      <c r="O64" s="54" t="str">
        <f t="shared" si="5"/>
        <v>南內工務所</v>
      </c>
    </row>
    <row r="65" spans="1:15" ht="27.95" customHeight="1">
      <c r="A65" s="136"/>
      <c r="B65" s="138"/>
      <c r="C65" s="60"/>
      <c r="D65" s="148"/>
      <c r="E65" s="148"/>
      <c r="F65" s="58"/>
      <c r="G65" s="60" t="s">
        <v>14</v>
      </c>
      <c r="H65" s="60">
        <v>5</v>
      </c>
      <c r="I65" s="60" t="s">
        <v>10</v>
      </c>
      <c r="J65" s="164"/>
      <c r="K65" s="167"/>
      <c r="L65" s="153"/>
      <c r="M65" s="156"/>
      <c r="N65" s="54" t="str">
        <f t="shared" si="5"/>
        <v>陳政誠</v>
      </c>
      <c r="O65" s="54" t="str">
        <f t="shared" si="5"/>
        <v>南內工務所</v>
      </c>
    </row>
    <row r="66" spans="1:15" ht="27.95" customHeight="1">
      <c r="B66" s="67"/>
      <c r="C66" s="63"/>
      <c r="D66" s="148"/>
      <c r="E66" s="148"/>
      <c r="F66" s="58"/>
      <c r="G66" s="63" t="s">
        <v>18</v>
      </c>
      <c r="H66" s="63">
        <v>0</v>
      </c>
      <c r="I66" s="63" t="s">
        <v>10</v>
      </c>
      <c r="J66" s="164"/>
      <c r="K66" s="167"/>
      <c r="L66" s="153"/>
      <c r="M66" s="156"/>
      <c r="N66" s="54" t="str">
        <f t="shared" si="5"/>
        <v>陳政誠</v>
      </c>
      <c r="O66" s="54" t="str">
        <f t="shared" si="5"/>
        <v>南內工務所</v>
      </c>
    </row>
    <row r="67" spans="1:15" ht="27.95" customHeight="1">
      <c r="B67" s="67"/>
      <c r="C67" s="63"/>
      <c r="D67" s="148"/>
      <c r="E67" s="148"/>
      <c r="F67" s="58"/>
      <c r="G67" s="63" t="s">
        <v>19</v>
      </c>
      <c r="H67" s="63">
        <v>0</v>
      </c>
      <c r="I67" s="63" t="s">
        <v>20</v>
      </c>
      <c r="J67" s="164"/>
      <c r="K67" s="167"/>
      <c r="L67" s="153"/>
      <c r="M67" s="156"/>
      <c r="N67" s="54" t="str">
        <f t="shared" si="5"/>
        <v>陳政誠</v>
      </c>
      <c r="O67" s="54" t="str">
        <f t="shared" si="5"/>
        <v>南內工務所</v>
      </c>
    </row>
    <row r="68" spans="1:15" ht="27.95" customHeight="1" thickBot="1">
      <c r="B68" s="68"/>
      <c r="C68" s="64"/>
      <c r="D68" s="148"/>
      <c r="E68" s="148"/>
      <c r="F68" s="58"/>
      <c r="G68" s="64" t="s">
        <v>15</v>
      </c>
      <c r="H68" s="64">
        <v>0</v>
      </c>
      <c r="I68" s="64" t="s">
        <v>10</v>
      </c>
      <c r="J68" s="165"/>
      <c r="K68" s="168"/>
      <c r="L68" s="154"/>
      <c r="M68" s="157"/>
      <c r="N68" s="54" t="str">
        <f>N66</f>
        <v>陳政誠</v>
      </c>
      <c r="O68" s="54" t="str">
        <f t="shared" si="5"/>
        <v>南內工務所</v>
      </c>
    </row>
    <row r="69" spans="1:15" ht="18" customHeight="1">
      <c r="B69" s="55" t="s">
        <v>64</v>
      </c>
      <c r="C69" s="146" t="s">
        <v>0</v>
      </c>
      <c r="D69" s="159"/>
      <c r="E69" s="159"/>
      <c r="F69" s="78" t="s">
        <v>61</v>
      </c>
      <c r="G69" s="146" t="str">
        <f>$G$3</f>
        <v>113年9月24日當日動員機具</v>
      </c>
      <c r="H69" s="146"/>
      <c r="I69" s="146"/>
      <c r="J69" s="56"/>
      <c r="K69" s="56"/>
      <c r="L69" s="147" t="s">
        <v>1</v>
      </c>
      <c r="M69" s="149" t="str">
        <f>工程基本資料!D9</f>
        <v>陳政誠</v>
      </c>
      <c r="N69" s="54" t="str">
        <f>M69</f>
        <v>陳政誠</v>
      </c>
      <c r="O69" s="54" t="str">
        <f>L72</f>
        <v>南內工務所</v>
      </c>
    </row>
    <row r="70" spans="1:15" ht="18" customHeight="1">
      <c r="B70" s="57" t="str">
        <f>工程基本資料!C9</f>
        <v>H-113-03-113018</v>
      </c>
      <c r="C70" s="58" t="s">
        <v>2</v>
      </c>
      <c r="D70" s="140" t="s">
        <v>3</v>
      </c>
      <c r="E70" s="141"/>
      <c r="F70" s="59"/>
      <c r="G70" s="60" t="s">
        <v>2</v>
      </c>
      <c r="H70" s="148" t="s">
        <v>4</v>
      </c>
      <c r="I70" s="148"/>
      <c r="J70" s="59" t="s">
        <v>59</v>
      </c>
      <c r="K70" s="59" t="s">
        <v>60</v>
      </c>
      <c r="L70" s="148"/>
      <c r="M70" s="150"/>
      <c r="N70" s="54" t="str">
        <f t="shared" ref="N70:O79" si="6">N69</f>
        <v>陳政誠</v>
      </c>
      <c r="O70" s="54" t="str">
        <f>O69</f>
        <v>南內工務所</v>
      </c>
    </row>
    <row r="71" spans="1:15" ht="18" customHeight="1">
      <c r="A71" s="136">
        <v>7</v>
      </c>
      <c r="B71" s="137" t="str">
        <f>工程基本資料!B9</f>
        <v>113年度東區河濱公園路面暨災後復原預約維護工程</v>
      </c>
      <c r="C71" s="58" t="s">
        <v>8</v>
      </c>
      <c r="D71" s="148" t="s">
        <v>129</v>
      </c>
      <c r="E71" s="148"/>
      <c r="F71" s="79" t="s">
        <v>128</v>
      </c>
      <c r="G71" s="60" t="s">
        <v>6</v>
      </c>
      <c r="H71" s="60">
        <v>8</v>
      </c>
      <c r="I71" s="60" t="s">
        <v>7</v>
      </c>
      <c r="J71" s="108" t="s">
        <v>161</v>
      </c>
      <c r="K71" s="108" t="s">
        <v>162</v>
      </c>
      <c r="L71" s="148"/>
      <c r="M71" s="151"/>
      <c r="N71" s="54" t="str">
        <f t="shared" si="6"/>
        <v>陳政誠</v>
      </c>
      <c r="O71" s="54" t="str">
        <f t="shared" si="6"/>
        <v>南內工務所</v>
      </c>
    </row>
    <row r="72" spans="1:15" ht="18" customHeight="1">
      <c r="A72" s="136"/>
      <c r="B72" s="138"/>
      <c r="C72" s="58" t="s">
        <v>141</v>
      </c>
      <c r="D72" s="148" t="s">
        <v>129</v>
      </c>
      <c r="E72" s="148"/>
      <c r="F72" s="79" t="s">
        <v>128</v>
      </c>
      <c r="G72" s="60" t="s">
        <v>9</v>
      </c>
      <c r="H72" s="60">
        <v>0</v>
      </c>
      <c r="I72" s="60" t="s">
        <v>10</v>
      </c>
      <c r="J72" s="109"/>
      <c r="K72" s="109"/>
      <c r="L72" s="152" t="str">
        <f>工程基本資料!E9</f>
        <v>南內工務所</v>
      </c>
      <c r="M72" s="155" t="str">
        <f>工程基本資料!I9</f>
        <v>松瑩營造有限公司</v>
      </c>
      <c r="N72" s="54" t="str">
        <f t="shared" si="6"/>
        <v>陳政誠</v>
      </c>
      <c r="O72" s="54" t="str">
        <f t="shared" si="6"/>
        <v>南內工務所</v>
      </c>
    </row>
    <row r="73" spans="1:15" ht="18" customHeight="1">
      <c r="A73" s="136"/>
      <c r="B73" s="138"/>
      <c r="C73" s="58" t="s">
        <v>136</v>
      </c>
      <c r="D73" s="148" t="s">
        <v>142</v>
      </c>
      <c r="E73" s="148"/>
      <c r="F73" s="79"/>
      <c r="G73" s="60" t="s">
        <v>17</v>
      </c>
      <c r="H73" s="60">
        <v>0</v>
      </c>
      <c r="I73" s="60" t="s">
        <v>10</v>
      </c>
      <c r="J73" s="109"/>
      <c r="K73" s="109"/>
      <c r="L73" s="153"/>
      <c r="M73" s="156"/>
      <c r="N73" s="54" t="str">
        <f t="shared" si="6"/>
        <v>陳政誠</v>
      </c>
      <c r="O73" s="54" t="str">
        <f t="shared" si="6"/>
        <v>南內工務所</v>
      </c>
    </row>
    <row r="74" spans="1:15" ht="18" customHeight="1">
      <c r="A74" s="136"/>
      <c r="B74" s="138"/>
      <c r="C74" s="58" t="s">
        <v>12</v>
      </c>
      <c r="D74" s="148" t="s">
        <v>62</v>
      </c>
      <c r="E74" s="148"/>
      <c r="F74" s="58" t="s">
        <v>62</v>
      </c>
      <c r="G74" s="60" t="s">
        <v>11</v>
      </c>
      <c r="H74" s="60">
        <v>0</v>
      </c>
      <c r="I74" s="60" t="s">
        <v>10</v>
      </c>
      <c r="J74" s="109"/>
      <c r="K74" s="109"/>
      <c r="L74" s="153"/>
      <c r="M74" s="156"/>
      <c r="N74" s="54" t="str">
        <f t="shared" si="6"/>
        <v>陳政誠</v>
      </c>
      <c r="O74" s="54" t="str">
        <f t="shared" si="6"/>
        <v>南內工務所</v>
      </c>
    </row>
    <row r="75" spans="1:15" ht="18" customHeight="1">
      <c r="A75" s="136"/>
      <c r="B75" s="138"/>
      <c r="D75" s="148"/>
      <c r="E75" s="148"/>
      <c r="F75" s="60"/>
      <c r="G75" s="60" t="s">
        <v>13</v>
      </c>
      <c r="H75" s="60">
        <v>1</v>
      </c>
      <c r="I75" s="60" t="s">
        <v>10</v>
      </c>
      <c r="J75" s="109"/>
      <c r="K75" s="109"/>
      <c r="L75" s="153"/>
      <c r="M75" s="156"/>
      <c r="N75" s="54" t="str">
        <f t="shared" si="6"/>
        <v>陳政誠</v>
      </c>
      <c r="O75" s="54" t="str">
        <f t="shared" si="6"/>
        <v>南內工務所</v>
      </c>
    </row>
    <row r="76" spans="1:15" ht="18" customHeight="1">
      <c r="A76" s="136"/>
      <c r="B76" s="138"/>
      <c r="C76" s="60"/>
      <c r="D76" s="148"/>
      <c r="E76" s="148"/>
      <c r="F76" s="58"/>
      <c r="G76" s="60" t="s">
        <v>14</v>
      </c>
      <c r="H76" s="60">
        <v>1</v>
      </c>
      <c r="I76" s="60" t="s">
        <v>10</v>
      </c>
      <c r="J76" s="109"/>
      <c r="K76" s="109"/>
      <c r="L76" s="153"/>
      <c r="M76" s="156"/>
      <c r="N76" s="54" t="str">
        <f t="shared" si="6"/>
        <v>陳政誠</v>
      </c>
      <c r="O76" s="54" t="str">
        <f t="shared" si="6"/>
        <v>南內工務所</v>
      </c>
    </row>
    <row r="77" spans="1:15" ht="18" customHeight="1">
      <c r="B77" s="67"/>
      <c r="C77" s="63"/>
      <c r="D77" s="148"/>
      <c r="E77" s="148"/>
      <c r="F77" s="58"/>
      <c r="G77" s="63" t="s">
        <v>18</v>
      </c>
      <c r="H77" s="63">
        <v>0</v>
      </c>
      <c r="I77" s="63" t="s">
        <v>10</v>
      </c>
      <c r="J77" s="109"/>
      <c r="K77" s="109"/>
      <c r="L77" s="153"/>
      <c r="M77" s="156"/>
      <c r="N77" s="54" t="str">
        <f t="shared" si="6"/>
        <v>陳政誠</v>
      </c>
      <c r="O77" s="54" t="str">
        <f t="shared" si="6"/>
        <v>南內工務所</v>
      </c>
    </row>
    <row r="78" spans="1:15" ht="18" customHeight="1">
      <c r="B78" s="67"/>
      <c r="C78" s="63"/>
      <c r="D78" s="148"/>
      <c r="E78" s="148"/>
      <c r="F78" s="58"/>
      <c r="G78" s="63" t="s">
        <v>19</v>
      </c>
      <c r="H78" s="63">
        <v>0</v>
      </c>
      <c r="I78" s="63" t="s">
        <v>20</v>
      </c>
      <c r="J78" s="109"/>
      <c r="K78" s="109"/>
      <c r="L78" s="153"/>
      <c r="M78" s="156"/>
      <c r="N78" s="54" t="str">
        <f t="shared" si="6"/>
        <v>陳政誠</v>
      </c>
      <c r="O78" s="54" t="str">
        <f t="shared" si="6"/>
        <v>南內工務所</v>
      </c>
    </row>
    <row r="79" spans="1:15" ht="18" customHeight="1" thickBot="1">
      <c r="B79" s="68"/>
      <c r="C79" s="64"/>
      <c r="D79" s="148"/>
      <c r="E79" s="148"/>
      <c r="F79" s="58"/>
      <c r="G79" s="64" t="s">
        <v>15</v>
      </c>
      <c r="H79" s="64">
        <v>1</v>
      </c>
      <c r="I79" s="64" t="s">
        <v>10</v>
      </c>
      <c r="J79" s="110"/>
      <c r="K79" s="110"/>
      <c r="L79" s="154"/>
      <c r="M79" s="157"/>
      <c r="N79" s="54" t="str">
        <f>N77</f>
        <v>陳政誠</v>
      </c>
      <c r="O79" s="54" t="str">
        <f t="shared" si="6"/>
        <v>南內工務所</v>
      </c>
    </row>
    <row r="80" spans="1:15" ht="18" customHeight="1">
      <c r="B80" s="55" t="s">
        <v>64</v>
      </c>
      <c r="C80" s="146" t="s">
        <v>0</v>
      </c>
      <c r="D80" s="159"/>
      <c r="E80" s="159"/>
      <c r="F80" s="78" t="s">
        <v>61</v>
      </c>
      <c r="G80" s="146" t="str">
        <f>$G$3</f>
        <v>113年9月24日當日動員機具</v>
      </c>
      <c r="H80" s="146"/>
      <c r="I80" s="146"/>
      <c r="J80" s="56"/>
      <c r="K80" s="56"/>
      <c r="L80" s="147" t="s">
        <v>1</v>
      </c>
      <c r="M80" s="149" t="str">
        <f>工程基本資料!D10</f>
        <v>江志偉</v>
      </c>
      <c r="N80" s="54" t="str">
        <f>M80</f>
        <v>江志偉</v>
      </c>
      <c r="O80" s="54" t="str">
        <f>L83</f>
        <v>南內工務所</v>
      </c>
    </row>
    <row r="81" spans="1:15" ht="18" customHeight="1">
      <c r="B81" s="57" t="str">
        <f>工程基本資料!C10</f>
        <v>H-113-03-113045</v>
      </c>
      <c r="C81" s="58" t="s">
        <v>2</v>
      </c>
      <c r="D81" s="140" t="s">
        <v>3</v>
      </c>
      <c r="E81" s="141"/>
      <c r="F81" s="59"/>
      <c r="G81" s="60" t="s">
        <v>2</v>
      </c>
      <c r="H81" s="148" t="s">
        <v>4</v>
      </c>
      <c r="I81" s="148"/>
      <c r="J81" s="59" t="s">
        <v>59</v>
      </c>
      <c r="K81" s="59" t="s">
        <v>60</v>
      </c>
      <c r="L81" s="148"/>
      <c r="M81" s="150"/>
      <c r="N81" s="54" t="str">
        <f t="shared" ref="N81:O90" si="7">N80</f>
        <v>江志偉</v>
      </c>
      <c r="O81" s="54" t="str">
        <f>O80</f>
        <v>南內工務所</v>
      </c>
    </row>
    <row r="82" spans="1:15" ht="30" customHeight="1">
      <c r="A82" s="136">
        <v>8</v>
      </c>
      <c r="B82" s="137" t="str">
        <f>工程基本資料!B10</f>
        <v>113年度東區河濱公園土木暨災後復原預約維護工程</v>
      </c>
      <c r="C82" s="58" t="s">
        <v>8</v>
      </c>
      <c r="D82" s="148" t="s">
        <v>130</v>
      </c>
      <c r="E82" s="148"/>
      <c r="F82" s="58" t="s">
        <v>121</v>
      </c>
      <c r="G82" s="60" t="s">
        <v>6</v>
      </c>
      <c r="H82" s="60">
        <v>23</v>
      </c>
      <c r="I82" s="60" t="s">
        <v>7</v>
      </c>
      <c r="J82" s="163" t="s">
        <v>163</v>
      </c>
      <c r="K82" s="163" t="s">
        <v>165</v>
      </c>
      <c r="L82" s="148"/>
      <c r="M82" s="151"/>
      <c r="N82" s="54" t="str">
        <f t="shared" si="7"/>
        <v>江志偉</v>
      </c>
      <c r="O82" s="54" t="str">
        <f t="shared" si="7"/>
        <v>南內工務所</v>
      </c>
    </row>
    <row r="83" spans="1:15" ht="30" customHeight="1">
      <c r="A83" s="136"/>
      <c r="B83" s="138"/>
      <c r="C83" s="58" t="s">
        <v>133</v>
      </c>
      <c r="D83" s="148" t="s">
        <v>138</v>
      </c>
      <c r="E83" s="148"/>
      <c r="F83" s="58" t="s">
        <v>166</v>
      </c>
      <c r="G83" s="60" t="s">
        <v>9</v>
      </c>
      <c r="H83" s="60">
        <v>3</v>
      </c>
      <c r="I83" s="60" t="s">
        <v>10</v>
      </c>
      <c r="J83" s="164"/>
      <c r="K83" s="164"/>
      <c r="L83" s="152" t="str">
        <f>工程基本資料!E10</f>
        <v>南內工務所</v>
      </c>
      <c r="M83" s="155" t="str">
        <f>工程基本資料!I10</f>
        <v>和遠營造有限公司</v>
      </c>
      <c r="N83" s="54" t="str">
        <f t="shared" si="7"/>
        <v>江志偉</v>
      </c>
      <c r="O83" s="54" t="str">
        <f t="shared" si="7"/>
        <v>南內工務所</v>
      </c>
    </row>
    <row r="84" spans="1:15" ht="30" customHeight="1">
      <c r="A84" s="136"/>
      <c r="B84" s="138"/>
      <c r="C84" s="58" t="s">
        <v>134</v>
      </c>
      <c r="D84" s="148" t="s">
        <v>130</v>
      </c>
      <c r="E84" s="148"/>
      <c r="F84" s="58" t="s">
        <v>152</v>
      </c>
      <c r="G84" s="60" t="s">
        <v>17</v>
      </c>
      <c r="H84" s="60">
        <v>0</v>
      </c>
      <c r="I84" s="60" t="s">
        <v>10</v>
      </c>
      <c r="J84" s="164"/>
      <c r="K84" s="164"/>
      <c r="L84" s="153"/>
      <c r="M84" s="156"/>
      <c r="N84" s="54" t="str">
        <f t="shared" si="7"/>
        <v>江志偉</v>
      </c>
      <c r="O84" s="54" t="str">
        <f t="shared" si="7"/>
        <v>南內工務所</v>
      </c>
    </row>
    <row r="85" spans="1:15" ht="30" customHeight="1">
      <c r="A85" s="136"/>
      <c r="B85" s="138"/>
      <c r="C85" s="58" t="s">
        <v>135</v>
      </c>
      <c r="D85" s="148" t="s">
        <v>138</v>
      </c>
      <c r="E85" s="148"/>
      <c r="F85" s="58" t="s">
        <v>151</v>
      </c>
      <c r="G85" s="60" t="s">
        <v>11</v>
      </c>
      <c r="H85" s="60">
        <v>0</v>
      </c>
      <c r="I85" s="60" t="s">
        <v>10</v>
      </c>
      <c r="J85" s="164"/>
      <c r="K85" s="164"/>
      <c r="L85" s="153"/>
      <c r="M85" s="156"/>
      <c r="N85" s="54" t="str">
        <f t="shared" si="7"/>
        <v>江志偉</v>
      </c>
      <c r="O85" s="54" t="str">
        <f t="shared" si="7"/>
        <v>南內工務所</v>
      </c>
    </row>
    <row r="86" spans="1:15" ht="30" customHeight="1">
      <c r="A86" s="136"/>
      <c r="B86" s="138"/>
      <c r="C86" s="58" t="s">
        <v>136</v>
      </c>
      <c r="D86" s="148" t="s">
        <v>139</v>
      </c>
      <c r="E86" s="148"/>
      <c r="F86" s="58" t="s">
        <v>151</v>
      </c>
      <c r="G86" s="60" t="s">
        <v>13</v>
      </c>
      <c r="H86" s="60">
        <v>7</v>
      </c>
      <c r="I86" s="60" t="s">
        <v>10</v>
      </c>
      <c r="J86" s="164"/>
      <c r="K86" s="164"/>
      <c r="L86" s="153"/>
      <c r="M86" s="156"/>
      <c r="N86" s="54" t="str">
        <f t="shared" si="7"/>
        <v>江志偉</v>
      </c>
      <c r="O86" s="54" t="str">
        <f t="shared" si="7"/>
        <v>南內工務所</v>
      </c>
    </row>
    <row r="87" spans="1:15" ht="30" customHeight="1">
      <c r="A87" s="136"/>
      <c r="B87" s="138"/>
      <c r="C87" s="58" t="s">
        <v>16</v>
      </c>
      <c r="D87" s="148" t="s">
        <v>138</v>
      </c>
      <c r="E87" s="148"/>
      <c r="F87" s="58" t="s">
        <v>121</v>
      </c>
      <c r="G87" s="60" t="s">
        <v>14</v>
      </c>
      <c r="H87" s="60">
        <v>8</v>
      </c>
      <c r="I87" s="60" t="s">
        <v>10</v>
      </c>
      <c r="J87" s="164"/>
      <c r="K87" s="164"/>
      <c r="L87" s="153"/>
      <c r="M87" s="156"/>
      <c r="N87" s="54" t="str">
        <f t="shared" si="7"/>
        <v>江志偉</v>
      </c>
      <c r="O87" s="54" t="str">
        <f t="shared" si="7"/>
        <v>南內工務所</v>
      </c>
    </row>
    <row r="88" spans="1:15" ht="30" customHeight="1">
      <c r="B88" s="67"/>
      <c r="C88" s="58" t="s">
        <v>137</v>
      </c>
      <c r="D88" s="148" t="s">
        <v>138</v>
      </c>
      <c r="E88" s="148"/>
      <c r="F88" s="58" t="s">
        <v>166</v>
      </c>
      <c r="G88" s="63" t="s">
        <v>18</v>
      </c>
      <c r="H88" s="63">
        <v>0</v>
      </c>
      <c r="I88" s="63" t="s">
        <v>10</v>
      </c>
      <c r="J88" s="164"/>
      <c r="K88" s="164"/>
      <c r="L88" s="153"/>
      <c r="M88" s="156"/>
      <c r="N88" s="54" t="str">
        <f t="shared" si="7"/>
        <v>江志偉</v>
      </c>
      <c r="O88" s="54" t="str">
        <f t="shared" si="7"/>
        <v>南內工務所</v>
      </c>
    </row>
    <row r="89" spans="1:15" ht="30" customHeight="1">
      <c r="B89" s="67"/>
      <c r="C89" s="60"/>
      <c r="D89" s="148"/>
      <c r="E89" s="148"/>
      <c r="F89" s="58"/>
      <c r="G89" s="63" t="s">
        <v>19</v>
      </c>
      <c r="H89" s="63">
        <v>0</v>
      </c>
      <c r="I89" s="63" t="s">
        <v>20</v>
      </c>
      <c r="J89" s="164"/>
      <c r="K89" s="164"/>
      <c r="L89" s="153"/>
      <c r="M89" s="156"/>
      <c r="N89" s="54" t="str">
        <f t="shared" si="7"/>
        <v>江志偉</v>
      </c>
      <c r="O89" s="54" t="str">
        <f t="shared" si="7"/>
        <v>南內工務所</v>
      </c>
    </row>
    <row r="90" spans="1:15" ht="30" customHeight="1" thickBot="1">
      <c r="B90" s="68"/>
      <c r="C90" s="60"/>
      <c r="D90" s="148"/>
      <c r="E90" s="148"/>
      <c r="F90" s="58"/>
      <c r="G90" s="64" t="s">
        <v>15</v>
      </c>
      <c r="H90" s="64">
        <v>3</v>
      </c>
      <c r="I90" s="64" t="s">
        <v>10</v>
      </c>
      <c r="J90" s="165"/>
      <c r="K90" s="165"/>
      <c r="L90" s="154"/>
      <c r="M90" s="157"/>
      <c r="N90" s="54" t="str">
        <f>N88</f>
        <v>江志偉</v>
      </c>
      <c r="O90" s="54" t="str">
        <f t="shared" si="7"/>
        <v>南內工務所</v>
      </c>
    </row>
    <row r="91" spans="1:15" ht="18" customHeight="1">
      <c r="B91" s="55" t="s">
        <v>64</v>
      </c>
      <c r="C91" s="159" t="s">
        <v>0</v>
      </c>
      <c r="D91" s="159"/>
      <c r="E91" s="159"/>
      <c r="F91" s="78" t="s">
        <v>61</v>
      </c>
      <c r="G91" s="146" t="str">
        <f>$G$3</f>
        <v>113年9月24日當日動員機具</v>
      </c>
      <c r="H91" s="146"/>
      <c r="I91" s="146"/>
      <c r="J91" s="56"/>
      <c r="K91" s="56"/>
      <c r="L91" s="147" t="s">
        <v>1</v>
      </c>
      <c r="M91" s="149" t="str">
        <f>工程基本資料!D11</f>
        <v>沈明勳</v>
      </c>
      <c r="N91" s="54" t="str">
        <f>M91</f>
        <v>沈明勳</v>
      </c>
      <c r="O91" s="54" t="str">
        <f>L94</f>
        <v>北投工務所</v>
      </c>
    </row>
    <row r="92" spans="1:15" ht="18" customHeight="1">
      <c r="B92" s="57" t="str">
        <f>工程基本資料!C11</f>
        <v>H-113-03-113023</v>
      </c>
      <c r="C92" s="58" t="s">
        <v>2</v>
      </c>
      <c r="D92" s="140" t="s">
        <v>3</v>
      </c>
      <c r="E92" s="141"/>
      <c r="F92" s="59"/>
      <c r="G92" s="60" t="s">
        <v>2</v>
      </c>
      <c r="H92" s="148" t="s">
        <v>4</v>
      </c>
      <c r="I92" s="148"/>
      <c r="J92" s="59" t="s">
        <v>59</v>
      </c>
      <c r="K92" s="59" t="s">
        <v>60</v>
      </c>
      <c r="L92" s="148"/>
      <c r="M92" s="150"/>
      <c r="N92" s="54" t="str">
        <f t="shared" ref="N92:O101" si="8">N91</f>
        <v>沈明勳</v>
      </c>
      <c r="O92" s="54" t="str">
        <f>O91</f>
        <v>北投工務所</v>
      </c>
    </row>
    <row r="93" spans="1:15" ht="18" customHeight="1">
      <c r="A93" s="136">
        <v>9</v>
      </c>
      <c r="B93" s="137" t="str">
        <f>工程基本資料!B11</f>
        <v>113年度北區水利建造物檢修改善及災後復原(雙溪右岸至關渡水岸公園段)預約維護工程</v>
      </c>
      <c r="C93" s="58" t="s">
        <v>5</v>
      </c>
      <c r="D93" s="148" t="s">
        <v>114</v>
      </c>
      <c r="E93" s="148"/>
      <c r="F93" s="58" t="s">
        <v>62</v>
      </c>
      <c r="G93" s="60" t="s">
        <v>6</v>
      </c>
      <c r="H93" s="60">
        <v>7</v>
      </c>
      <c r="I93" s="60" t="s">
        <v>7</v>
      </c>
      <c r="J93" s="108" t="s">
        <v>117</v>
      </c>
      <c r="K93" s="108" t="s">
        <v>157</v>
      </c>
      <c r="L93" s="148"/>
      <c r="M93" s="151"/>
      <c r="N93" s="54" t="str">
        <f t="shared" si="8"/>
        <v>沈明勳</v>
      </c>
      <c r="O93" s="54" t="str">
        <f t="shared" si="8"/>
        <v>北投工務所</v>
      </c>
    </row>
    <row r="94" spans="1:15" ht="18" customHeight="1">
      <c r="A94" s="136"/>
      <c r="B94" s="138"/>
      <c r="C94" s="58" t="s">
        <v>16</v>
      </c>
      <c r="D94" s="148" t="s">
        <v>115</v>
      </c>
      <c r="E94" s="148"/>
      <c r="F94" s="58" t="s">
        <v>62</v>
      </c>
      <c r="G94" s="60" t="s">
        <v>9</v>
      </c>
      <c r="H94" s="60">
        <v>0</v>
      </c>
      <c r="I94" s="60" t="s">
        <v>10</v>
      </c>
      <c r="J94" s="109"/>
      <c r="K94" s="109"/>
      <c r="L94" s="152" t="str">
        <f>工程基本資料!E11</f>
        <v>北投工務所</v>
      </c>
      <c r="M94" s="155" t="str">
        <f>工程基本資料!I11</f>
        <v>久勝營造有限公司</v>
      </c>
      <c r="N94" s="54" t="str">
        <f t="shared" si="8"/>
        <v>沈明勳</v>
      </c>
      <c r="O94" s="54" t="str">
        <f t="shared" si="8"/>
        <v>北投工務所</v>
      </c>
    </row>
    <row r="95" spans="1:15" ht="18" customHeight="1">
      <c r="A95" s="136"/>
      <c r="B95" s="138"/>
      <c r="C95" s="58" t="s">
        <v>8</v>
      </c>
      <c r="D95" s="148" t="s">
        <v>114</v>
      </c>
      <c r="E95" s="148"/>
      <c r="F95" s="58" t="s">
        <v>62</v>
      </c>
      <c r="G95" s="60" t="s">
        <v>17</v>
      </c>
      <c r="H95" s="60">
        <v>0</v>
      </c>
      <c r="I95" s="60" t="s">
        <v>10</v>
      </c>
      <c r="J95" s="109"/>
      <c r="K95" s="109"/>
      <c r="L95" s="153"/>
      <c r="M95" s="156"/>
      <c r="N95" s="54" t="str">
        <f t="shared" si="8"/>
        <v>沈明勳</v>
      </c>
      <c r="O95" s="54" t="str">
        <f t="shared" si="8"/>
        <v>北投工務所</v>
      </c>
    </row>
    <row r="96" spans="1:15" ht="18" customHeight="1">
      <c r="A96" s="136"/>
      <c r="B96" s="138"/>
      <c r="C96" s="58" t="s">
        <v>12</v>
      </c>
      <c r="D96" s="148" t="s">
        <v>116</v>
      </c>
      <c r="E96" s="148"/>
      <c r="F96" s="58" t="s">
        <v>62</v>
      </c>
      <c r="G96" s="60" t="s">
        <v>11</v>
      </c>
      <c r="H96" s="60">
        <v>1</v>
      </c>
      <c r="I96" s="60" t="s">
        <v>10</v>
      </c>
      <c r="J96" s="109"/>
      <c r="K96" s="109"/>
      <c r="L96" s="153"/>
      <c r="M96" s="156"/>
      <c r="N96" s="54" t="str">
        <f t="shared" si="8"/>
        <v>沈明勳</v>
      </c>
      <c r="O96" s="54" t="str">
        <f t="shared" si="8"/>
        <v>北投工務所</v>
      </c>
    </row>
    <row r="97" spans="1:15" ht="18" customHeight="1">
      <c r="A97" s="136"/>
      <c r="B97" s="138"/>
      <c r="C97" s="60"/>
      <c r="D97" s="148"/>
      <c r="E97" s="148"/>
      <c r="F97" s="60"/>
      <c r="G97" s="60" t="s">
        <v>13</v>
      </c>
      <c r="H97" s="60">
        <v>1</v>
      </c>
      <c r="I97" s="60" t="s">
        <v>10</v>
      </c>
      <c r="J97" s="109"/>
      <c r="K97" s="109"/>
      <c r="L97" s="153"/>
      <c r="M97" s="156"/>
      <c r="N97" s="54" t="str">
        <f t="shared" si="8"/>
        <v>沈明勳</v>
      </c>
      <c r="O97" s="54" t="str">
        <f t="shared" si="8"/>
        <v>北投工務所</v>
      </c>
    </row>
    <row r="98" spans="1:15" ht="18" customHeight="1">
      <c r="A98" s="136"/>
      <c r="B98" s="138"/>
      <c r="C98" s="60"/>
      <c r="D98" s="148"/>
      <c r="E98" s="148"/>
      <c r="F98" s="58"/>
      <c r="G98" s="60" t="s">
        <v>14</v>
      </c>
      <c r="H98" s="60">
        <v>2</v>
      </c>
      <c r="I98" s="60" t="s">
        <v>10</v>
      </c>
      <c r="J98" s="109"/>
      <c r="K98" s="109"/>
      <c r="L98" s="153"/>
      <c r="M98" s="156"/>
      <c r="N98" s="54" t="str">
        <f t="shared" si="8"/>
        <v>沈明勳</v>
      </c>
      <c r="O98" s="54" t="str">
        <f t="shared" si="8"/>
        <v>北投工務所</v>
      </c>
    </row>
    <row r="99" spans="1:15" ht="18" customHeight="1">
      <c r="B99" s="67"/>
      <c r="C99" s="60"/>
      <c r="D99" s="148"/>
      <c r="E99" s="148"/>
      <c r="F99" s="58"/>
      <c r="G99" s="63" t="s">
        <v>18</v>
      </c>
      <c r="H99" s="63">
        <v>0</v>
      </c>
      <c r="I99" s="63" t="s">
        <v>10</v>
      </c>
      <c r="J99" s="109"/>
      <c r="K99" s="109"/>
      <c r="L99" s="153"/>
      <c r="M99" s="156"/>
      <c r="N99" s="54" t="str">
        <f t="shared" si="8"/>
        <v>沈明勳</v>
      </c>
      <c r="O99" s="54" t="str">
        <f t="shared" si="8"/>
        <v>北投工務所</v>
      </c>
    </row>
    <row r="100" spans="1:15" ht="18" customHeight="1">
      <c r="B100" s="67"/>
      <c r="C100" s="60"/>
      <c r="D100" s="148"/>
      <c r="E100" s="148"/>
      <c r="F100" s="58"/>
      <c r="G100" s="63" t="s">
        <v>19</v>
      </c>
      <c r="H100" s="63">
        <v>0</v>
      </c>
      <c r="I100" s="63" t="s">
        <v>20</v>
      </c>
      <c r="J100" s="109"/>
      <c r="K100" s="109"/>
      <c r="L100" s="153"/>
      <c r="M100" s="156"/>
      <c r="N100" s="54" t="str">
        <f t="shared" si="8"/>
        <v>沈明勳</v>
      </c>
      <c r="O100" s="54" t="str">
        <f t="shared" si="8"/>
        <v>北投工務所</v>
      </c>
    </row>
    <row r="101" spans="1:15" ht="18" customHeight="1" thickBot="1">
      <c r="B101" s="68"/>
      <c r="C101" s="60"/>
      <c r="D101" s="148"/>
      <c r="E101" s="148"/>
      <c r="F101" s="58"/>
      <c r="G101" s="64" t="s">
        <v>15</v>
      </c>
      <c r="H101" s="64">
        <v>1</v>
      </c>
      <c r="I101" s="64" t="s">
        <v>10</v>
      </c>
      <c r="J101" s="110"/>
      <c r="K101" s="110"/>
      <c r="L101" s="154"/>
      <c r="M101" s="157"/>
      <c r="N101" s="54" t="str">
        <f>N99</f>
        <v>沈明勳</v>
      </c>
      <c r="O101" s="54" t="str">
        <f t="shared" si="8"/>
        <v>北投工務所</v>
      </c>
    </row>
    <row r="102" spans="1:15" ht="18" customHeight="1">
      <c r="B102" s="55" t="s">
        <v>64</v>
      </c>
      <c r="C102" s="159" t="s">
        <v>0</v>
      </c>
      <c r="D102" s="159"/>
      <c r="E102" s="159"/>
      <c r="F102" s="78" t="s">
        <v>61</v>
      </c>
      <c r="G102" s="146" t="str">
        <f>$G$3</f>
        <v>113年9月24日當日動員機具</v>
      </c>
      <c r="H102" s="146"/>
      <c r="I102" s="146"/>
      <c r="J102" s="56"/>
      <c r="K102" s="56"/>
      <c r="L102" s="147" t="s">
        <v>1</v>
      </c>
      <c r="M102" s="149" t="str">
        <f>工程基本資料!D12</f>
        <v>余成偉</v>
      </c>
      <c r="N102" s="54" t="str">
        <f>M102</f>
        <v>余成偉</v>
      </c>
      <c r="O102" s="54" t="str">
        <f>L105</f>
        <v>北投工務所</v>
      </c>
    </row>
    <row r="103" spans="1:15" ht="18" customHeight="1">
      <c r="B103" s="57" t="str">
        <f>工程基本資料!C12</f>
        <v>H-113-03-113017</v>
      </c>
      <c r="C103" s="58" t="s">
        <v>2</v>
      </c>
      <c r="D103" s="140" t="s">
        <v>3</v>
      </c>
      <c r="E103" s="141"/>
      <c r="F103" s="59"/>
      <c r="G103" s="60" t="s">
        <v>2</v>
      </c>
      <c r="H103" s="148" t="s">
        <v>4</v>
      </c>
      <c r="I103" s="148"/>
      <c r="J103" s="59" t="s">
        <v>59</v>
      </c>
      <c r="K103" s="59" t="s">
        <v>60</v>
      </c>
      <c r="L103" s="148"/>
      <c r="M103" s="150"/>
      <c r="N103" s="54" t="str">
        <f t="shared" ref="N103:O112" si="9">N102</f>
        <v>余成偉</v>
      </c>
      <c r="O103" s="54" t="str">
        <f>O102</f>
        <v>北投工務所</v>
      </c>
    </row>
    <row r="104" spans="1:15" ht="18" customHeight="1">
      <c r="A104" s="136">
        <v>10</v>
      </c>
      <c r="B104" s="137" t="str">
        <f>工程基本資料!B12</f>
        <v>113年度北區河濱公園路面暨災後復原預約維護工程</v>
      </c>
      <c r="C104" s="58" t="s">
        <v>5</v>
      </c>
      <c r="D104" s="148" t="s">
        <v>62</v>
      </c>
      <c r="E104" s="148"/>
      <c r="F104" s="58" t="s">
        <v>62</v>
      </c>
      <c r="G104" s="60" t="s">
        <v>6</v>
      </c>
      <c r="H104" s="60">
        <v>8</v>
      </c>
      <c r="I104" s="60" t="s">
        <v>7</v>
      </c>
      <c r="J104" s="108" t="s">
        <v>158</v>
      </c>
      <c r="K104" s="108" t="s">
        <v>158</v>
      </c>
      <c r="L104" s="148"/>
      <c r="M104" s="151"/>
      <c r="N104" s="54" t="str">
        <f t="shared" si="9"/>
        <v>余成偉</v>
      </c>
      <c r="O104" s="54" t="str">
        <f t="shared" si="9"/>
        <v>北投工務所</v>
      </c>
    </row>
    <row r="105" spans="1:15" ht="18" customHeight="1">
      <c r="A105" s="136"/>
      <c r="B105" s="138"/>
      <c r="C105" s="58" t="s">
        <v>16</v>
      </c>
      <c r="D105" s="148" t="s">
        <v>62</v>
      </c>
      <c r="E105" s="148"/>
      <c r="F105" s="58" t="s">
        <v>62</v>
      </c>
      <c r="G105" s="60" t="s">
        <v>9</v>
      </c>
      <c r="H105" s="60">
        <v>0</v>
      </c>
      <c r="I105" s="60" t="s">
        <v>10</v>
      </c>
      <c r="J105" s="109"/>
      <c r="K105" s="109"/>
      <c r="L105" s="152" t="str">
        <f>工程基本資料!E12</f>
        <v>北投工務所</v>
      </c>
      <c r="M105" s="155" t="str">
        <f>工程基本資料!I12</f>
        <v>冠錏營造有限公司</v>
      </c>
      <c r="N105" s="54" t="str">
        <f t="shared" si="9"/>
        <v>余成偉</v>
      </c>
      <c r="O105" s="54" t="str">
        <f t="shared" si="9"/>
        <v>北投工務所</v>
      </c>
    </row>
    <row r="106" spans="1:15" ht="18" customHeight="1">
      <c r="A106" s="136"/>
      <c r="B106" s="138"/>
      <c r="C106" s="58" t="s">
        <v>8</v>
      </c>
      <c r="D106" s="148" t="s">
        <v>62</v>
      </c>
      <c r="E106" s="148"/>
      <c r="F106" s="58" t="s">
        <v>62</v>
      </c>
      <c r="G106" s="60" t="s">
        <v>17</v>
      </c>
      <c r="H106" s="60">
        <v>0</v>
      </c>
      <c r="I106" s="60" t="s">
        <v>10</v>
      </c>
      <c r="J106" s="109"/>
      <c r="K106" s="109"/>
      <c r="L106" s="153"/>
      <c r="M106" s="156"/>
      <c r="N106" s="54" t="str">
        <f t="shared" si="9"/>
        <v>余成偉</v>
      </c>
      <c r="O106" s="54" t="str">
        <f t="shared" si="9"/>
        <v>北投工務所</v>
      </c>
    </row>
    <row r="107" spans="1:15" ht="18" customHeight="1">
      <c r="A107" s="136"/>
      <c r="B107" s="138"/>
      <c r="C107" s="58" t="s">
        <v>12</v>
      </c>
      <c r="D107" s="148" t="s">
        <v>119</v>
      </c>
      <c r="E107" s="148"/>
      <c r="F107" s="58" t="s">
        <v>62</v>
      </c>
      <c r="G107" s="60" t="s">
        <v>11</v>
      </c>
      <c r="H107" s="60">
        <v>0</v>
      </c>
      <c r="I107" s="60" t="s">
        <v>10</v>
      </c>
      <c r="J107" s="109"/>
      <c r="K107" s="109"/>
      <c r="L107" s="153"/>
      <c r="M107" s="156"/>
      <c r="N107" s="54" t="str">
        <f t="shared" si="9"/>
        <v>余成偉</v>
      </c>
      <c r="O107" s="54" t="str">
        <f t="shared" si="9"/>
        <v>北投工務所</v>
      </c>
    </row>
    <row r="108" spans="1:15" ht="18" customHeight="1">
      <c r="A108" s="136"/>
      <c r="B108" s="138"/>
      <c r="C108" s="60"/>
      <c r="D108" s="148"/>
      <c r="E108" s="148"/>
      <c r="F108" s="60"/>
      <c r="G108" s="60" t="s">
        <v>13</v>
      </c>
      <c r="H108" s="60">
        <v>1</v>
      </c>
      <c r="I108" s="60" t="s">
        <v>10</v>
      </c>
      <c r="J108" s="109"/>
      <c r="K108" s="109"/>
      <c r="L108" s="153"/>
      <c r="M108" s="156"/>
      <c r="N108" s="54" t="str">
        <f t="shared" si="9"/>
        <v>余成偉</v>
      </c>
      <c r="O108" s="54" t="str">
        <f t="shared" si="9"/>
        <v>北投工務所</v>
      </c>
    </row>
    <row r="109" spans="1:15" ht="18" customHeight="1">
      <c r="A109" s="136"/>
      <c r="B109" s="138"/>
      <c r="C109" s="60"/>
      <c r="D109" s="148"/>
      <c r="E109" s="148"/>
      <c r="F109" s="58"/>
      <c r="G109" s="60" t="s">
        <v>14</v>
      </c>
      <c r="H109" s="60">
        <v>1</v>
      </c>
      <c r="I109" s="60" t="s">
        <v>10</v>
      </c>
      <c r="J109" s="109"/>
      <c r="K109" s="109"/>
      <c r="L109" s="153"/>
      <c r="M109" s="156"/>
      <c r="N109" s="54" t="str">
        <f t="shared" si="9"/>
        <v>余成偉</v>
      </c>
      <c r="O109" s="54" t="str">
        <f t="shared" si="9"/>
        <v>北投工務所</v>
      </c>
    </row>
    <row r="110" spans="1:15" ht="18" customHeight="1">
      <c r="B110" s="67"/>
      <c r="C110" s="60"/>
      <c r="D110" s="148"/>
      <c r="E110" s="148"/>
      <c r="F110" s="58"/>
      <c r="G110" s="63" t="s">
        <v>18</v>
      </c>
      <c r="H110" s="63">
        <v>0</v>
      </c>
      <c r="I110" s="63" t="s">
        <v>10</v>
      </c>
      <c r="J110" s="109"/>
      <c r="K110" s="109"/>
      <c r="L110" s="153"/>
      <c r="M110" s="156"/>
      <c r="N110" s="54" t="str">
        <f t="shared" si="9"/>
        <v>余成偉</v>
      </c>
      <c r="O110" s="54" t="str">
        <f t="shared" si="9"/>
        <v>北投工務所</v>
      </c>
    </row>
    <row r="111" spans="1:15" ht="18" customHeight="1">
      <c r="B111" s="67"/>
      <c r="C111" s="60"/>
      <c r="D111" s="148"/>
      <c r="E111" s="148"/>
      <c r="F111" s="58"/>
      <c r="G111" s="63" t="s">
        <v>19</v>
      </c>
      <c r="H111" s="63">
        <v>0</v>
      </c>
      <c r="I111" s="63" t="s">
        <v>20</v>
      </c>
      <c r="J111" s="109"/>
      <c r="K111" s="109"/>
      <c r="L111" s="153"/>
      <c r="M111" s="156"/>
      <c r="N111" s="54" t="str">
        <f t="shared" si="9"/>
        <v>余成偉</v>
      </c>
      <c r="O111" s="54" t="str">
        <f t="shared" si="9"/>
        <v>北投工務所</v>
      </c>
    </row>
    <row r="112" spans="1:15" ht="18" customHeight="1" thickBot="1">
      <c r="B112" s="68"/>
      <c r="C112" s="60"/>
      <c r="D112" s="148"/>
      <c r="E112" s="148"/>
      <c r="F112" s="58"/>
      <c r="G112" s="64" t="s">
        <v>15</v>
      </c>
      <c r="H112" s="64">
        <v>1</v>
      </c>
      <c r="I112" s="64" t="s">
        <v>10</v>
      </c>
      <c r="J112" s="110"/>
      <c r="K112" s="110"/>
      <c r="L112" s="154"/>
      <c r="M112" s="157"/>
      <c r="N112" s="54" t="str">
        <f>N110</f>
        <v>余成偉</v>
      </c>
      <c r="O112" s="54" t="str">
        <f t="shared" si="9"/>
        <v>北投工務所</v>
      </c>
    </row>
    <row r="113" spans="3:14" ht="17.25" thickBot="1"/>
    <row r="114" spans="3:14" ht="16.149999999999999" customHeight="1">
      <c r="C114" s="169" t="s">
        <v>112</v>
      </c>
      <c r="D114" s="170"/>
      <c r="E114" s="171"/>
      <c r="F114" s="69"/>
      <c r="G114" s="169" t="s">
        <v>113</v>
      </c>
      <c r="H114" s="170"/>
      <c r="I114" s="171"/>
      <c r="J114" s="69"/>
      <c r="K114" s="69"/>
      <c r="N114" s="172" t="s">
        <v>29</v>
      </c>
    </row>
    <row r="115" spans="3:14">
      <c r="C115" s="70" t="s">
        <v>2</v>
      </c>
      <c r="D115" s="148" t="s">
        <v>4</v>
      </c>
      <c r="E115" s="174"/>
      <c r="F115" s="69"/>
      <c r="G115" s="70" t="s">
        <v>2</v>
      </c>
      <c r="H115" s="148" t="s">
        <v>4</v>
      </c>
      <c r="I115" s="174"/>
      <c r="J115" s="69"/>
      <c r="K115" s="69"/>
      <c r="N115" s="173"/>
    </row>
    <row r="116" spans="3:14">
      <c r="C116" s="70" t="s">
        <v>6</v>
      </c>
      <c r="D116" s="71">
        <f t="shared" ref="D116:D124" si="10">H5+H16+H27+H38+H49+H60+H71+H82+H93+H104</f>
        <v>81</v>
      </c>
      <c r="E116" s="72" t="s">
        <v>7</v>
      </c>
      <c r="G116" s="70" t="s">
        <v>6</v>
      </c>
      <c r="H116" s="71">
        <f>D116+'113年9月23日'!H116</f>
        <v>153</v>
      </c>
      <c r="I116" s="72" t="s">
        <v>7</v>
      </c>
      <c r="N116" s="73" t="e">
        <f>D116-#REF!</f>
        <v>#REF!</v>
      </c>
    </row>
    <row r="117" spans="3:14">
      <c r="C117" s="70" t="s">
        <v>9</v>
      </c>
      <c r="D117" s="71">
        <f t="shared" si="10"/>
        <v>4</v>
      </c>
      <c r="E117" s="72" t="s">
        <v>10</v>
      </c>
      <c r="G117" s="70" t="s">
        <v>9</v>
      </c>
      <c r="H117" s="71">
        <f>D117+'113年9月23日'!H117</f>
        <v>6</v>
      </c>
      <c r="I117" s="72" t="s">
        <v>10</v>
      </c>
      <c r="N117" s="73" t="e">
        <f>D117-#REF!</f>
        <v>#REF!</v>
      </c>
    </row>
    <row r="118" spans="3:14">
      <c r="C118" s="70" t="s">
        <v>17</v>
      </c>
      <c r="D118" s="71">
        <f t="shared" si="10"/>
        <v>1</v>
      </c>
      <c r="E118" s="72" t="s">
        <v>10</v>
      </c>
      <c r="G118" s="70" t="s">
        <v>17</v>
      </c>
      <c r="H118" s="71">
        <f>D118+'113年9月23日'!H118</f>
        <v>3</v>
      </c>
      <c r="I118" s="72" t="s">
        <v>10</v>
      </c>
      <c r="N118" s="73" t="e">
        <f>D118-#REF!</f>
        <v>#REF!</v>
      </c>
    </row>
    <row r="119" spans="3:14">
      <c r="C119" s="70" t="s">
        <v>11</v>
      </c>
      <c r="D119" s="71">
        <f t="shared" si="10"/>
        <v>4</v>
      </c>
      <c r="E119" s="72" t="s">
        <v>10</v>
      </c>
      <c r="G119" s="70" t="s">
        <v>11</v>
      </c>
      <c r="H119" s="71">
        <f>D119+'113年9月23日'!H119</f>
        <v>6</v>
      </c>
      <c r="I119" s="72" t="s">
        <v>10</v>
      </c>
      <c r="N119" s="73" t="e">
        <f>D119-#REF!</f>
        <v>#REF!</v>
      </c>
    </row>
    <row r="120" spans="3:14">
      <c r="C120" s="70" t="s">
        <v>13</v>
      </c>
      <c r="D120" s="71">
        <f t="shared" si="10"/>
        <v>19</v>
      </c>
      <c r="E120" s="72" t="s">
        <v>10</v>
      </c>
      <c r="G120" s="70" t="s">
        <v>13</v>
      </c>
      <c r="H120" s="71">
        <f>D120+'113年9月23日'!H120</f>
        <v>33</v>
      </c>
      <c r="I120" s="72" t="s">
        <v>10</v>
      </c>
      <c r="N120" s="73" t="e">
        <f>D120-#REF!</f>
        <v>#REF!</v>
      </c>
    </row>
    <row r="121" spans="3:14">
      <c r="C121" s="70" t="s">
        <v>14</v>
      </c>
      <c r="D121" s="71">
        <f t="shared" si="10"/>
        <v>21</v>
      </c>
      <c r="E121" s="72" t="s">
        <v>10</v>
      </c>
      <c r="G121" s="70" t="s">
        <v>14</v>
      </c>
      <c r="H121" s="71">
        <f>D121+'113年9月23日'!H121</f>
        <v>36</v>
      </c>
      <c r="I121" s="72" t="s">
        <v>10</v>
      </c>
      <c r="N121" s="73" t="e">
        <f>D121-#REF!</f>
        <v>#REF!</v>
      </c>
    </row>
    <row r="122" spans="3:14">
      <c r="C122" s="74" t="s">
        <v>18</v>
      </c>
      <c r="D122" s="71">
        <f t="shared" si="10"/>
        <v>0</v>
      </c>
      <c r="E122" s="72" t="s">
        <v>10</v>
      </c>
      <c r="G122" s="74" t="s">
        <v>18</v>
      </c>
      <c r="H122" s="71">
        <f>D122+'113年9月23日'!H122</f>
        <v>0</v>
      </c>
      <c r="I122" s="72" t="s">
        <v>10</v>
      </c>
      <c r="N122" s="73" t="e">
        <f>D122-#REF!</f>
        <v>#REF!</v>
      </c>
    </row>
    <row r="123" spans="3:14">
      <c r="C123" s="74" t="s">
        <v>19</v>
      </c>
      <c r="D123" s="71">
        <f t="shared" si="10"/>
        <v>0</v>
      </c>
      <c r="E123" s="75" t="s">
        <v>20</v>
      </c>
      <c r="G123" s="74" t="s">
        <v>19</v>
      </c>
      <c r="H123" s="71">
        <f>D123+'113年9月23日'!H123</f>
        <v>2</v>
      </c>
      <c r="I123" s="75" t="s">
        <v>20</v>
      </c>
      <c r="N123" s="73" t="e">
        <f>D123-#REF!</f>
        <v>#REF!</v>
      </c>
    </row>
    <row r="124" spans="3:14" ht="17.25" thickBot="1">
      <c r="C124" s="76" t="s">
        <v>15</v>
      </c>
      <c r="D124" s="71">
        <f t="shared" si="10"/>
        <v>7</v>
      </c>
      <c r="E124" s="77" t="s">
        <v>10</v>
      </c>
      <c r="G124" s="76" t="s">
        <v>15</v>
      </c>
      <c r="H124" s="71">
        <f>D124+'113年9月23日'!H124</f>
        <v>10</v>
      </c>
      <c r="I124" s="77" t="s">
        <v>10</v>
      </c>
      <c r="N124" s="73" t="e">
        <f>D124-#REF!</f>
        <v>#REF!</v>
      </c>
    </row>
  </sheetData>
  <autoFilter ref="N2:O57"/>
  <mergeCells count="215">
    <mergeCell ref="C114:E114"/>
    <mergeCell ref="G114:I114"/>
    <mergeCell ref="N114:N115"/>
    <mergeCell ref="D115:E115"/>
    <mergeCell ref="H115:I115"/>
    <mergeCell ref="L105:L112"/>
    <mergeCell ref="M105:M112"/>
    <mergeCell ref="D106:E106"/>
    <mergeCell ref="D107:E107"/>
    <mergeCell ref="D108:E108"/>
    <mergeCell ref="D109:E109"/>
    <mergeCell ref="D110:E110"/>
    <mergeCell ref="D111:E111"/>
    <mergeCell ref="D112:E112"/>
    <mergeCell ref="A104:A109"/>
    <mergeCell ref="B104:B109"/>
    <mergeCell ref="D104:E104"/>
    <mergeCell ref="J104:J112"/>
    <mergeCell ref="K104:K112"/>
    <mergeCell ref="D105:E105"/>
    <mergeCell ref="C102:E102"/>
    <mergeCell ref="G102:I102"/>
    <mergeCell ref="L102:L104"/>
    <mergeCell ref="M102:M104"/>
    <mergeCell ref="D103:E103"/>
    <mergeCell ref="H103:I103"/>
    <mergeCell ref="L94:L101"/>
    <mergeCell ref="M94:M101"/>
    <mergeCell ref="D95:E95"/>
    <mergeCell ref="D96:E96"/>
    <mergeCell ref="D97:E97"/>
    <mergeCell ref="D98:E98"/>
    <mergeCell ref="D99:E99"/>
    <mergeCell ref="D100:E100"/>
    <mergeCell ref="D101:E101"/>
    <mergeCell ref="A93:A98"/>
    <mergeCell ref="B93:B98"/>
    <mergeCell ref="D93:E93"/>
    <mergeCell ref="J93:J101"/>
    <mergeCell ref="K93:K101"/>
    <mergeCell ref="D94:E94"/>
    <mergeCell ref="C91:E91"/>
    <mergeCell ref="G91:I91"/>
    <mergeCell ref="L91:L93"/>
    <mergeCell ref="M91:M93"/>
    <mergeCell ref="D92:E92"/>
    <mergeCell ref="H92:I92"/>
    <mergeCell ref="L83:L90"/>
    <mergeCell ref="M83:M90"/>
    <mergeCell ref="D84:E84"/>
    <mergeCell ref="D85:E85"/>
    <mergeCell ref="D86:E86"/>
    <mergeCell ref="D87:E87"/>
    <mergeCell ref="D88:E88"/>
    <mergeCell ref="D89:E89"/>
    <mergeCell ref="D90:E90"/>
    <mergeCell ref="A82:A87"/>
    <mergeCell ref="B82:B87"/>
    <mergeCell ref="D82:E82"/>
    <mergeCell ref="J82:J90"/>
    <mergeCell ref="K82:K90"/>
    <mergeCell ref="D83:E83"/>
    <mergeCell ref="C80:E80"/>
    <mergeCell ref="G80:I80"/>
    <mergeCell ref="L80:L82"/>
    <mergeCell ref="M80:M82"/>
    <mergeCell ref="D81:E81"/>
    <mergeCell ref="H81:I81"/>
    <mergeCell ref="L72:L79"/>
    <mergeCell ref="M72:M79"/>
    <mergeCell ref="D73:E73"/>
    <mergeCell ref="D74:E74"/>
    <mergeCell ref="D75:E75"/>
    <mergeCell ref="D76:E76"/>
    <mergeCell ref="D77:E77"/>
    <mergeCell ref="D78:E78"/>
    <mergeCell ref="D79:E79"/>
    <mergeCell ref="A71:A76"/>
    <mergeCell ref="B71:B76"/>
    <mergeCell ref="D71:E71"/>
    <mergeCell ref="J71:J79"/>
    <mergeCell ref="K71:K79"/>
    <mergeCell ref="D72:E72"/>
    <mergeCell ref="C69:E69"/>
    <mergeCell ref="G69:I69"/>
    <mergeCell ref="L69:L71"/>
    <mergeCell ref="M69:M71"/>
    <mergeCell ref="D70:E70"/>
    <mergeCell ref="H70:I70"/>
    <mergeCell ref="L61:L68"/>
    <mergeCell ref="M61:M68"/>
    <mergeCell ref="D62:E62"/>
    <mergeCell ref="D63:E63"/>
    <mergeCell ref="D64:E64"/>
    <mergeCell ref="D65:E65"/>
    <mergeCell ref="D66:E66"/>
    <mergeCell ref="D67:E67"/>
    <mergeCell ref="D68:E68"/>
    <mergeCell ref="A60:A65"/>
    <mergeCell ref="B60:B65"/>
    <mergeCell ref="D60:E60"/>
    <mergeCell ref="J60:J68"/>
    <mergeCell ref="K60:K68"/>
    <mergeCell ref="D61:E61"/>
    <mergeCell ref="C58:E58"/>
    <mergeCell ref="G58:I58"/>
    <mergeCell ref="L58:L60"/>
    <mergeCell ref="M58:M60"/>
    <mergeCell ref="D59:E59"/>
    <mergeCell ref="H59:I59"/>
    <mergeCell ref="L50:L57"/>
    <mergeCell ref="M50:M57"/>
    <mergeCell ref="D51:E51"/>
    <mergeCell ref="D52:E52"/>
    <mergeCell ref="D53:E53"/>
    <mergeCell ref="D54:E54"/>
    <mergeCell ref="D55:E55"/>
    <mergeCell ref="D56:E56"/>
    <mergeCell ref="D57:E57"/>
    <mergeCell ref="A49:A57"/>
    <mergeCell ref="B49:B54"/>
    <mergeCell ref="D49:E49"/>
    <mergeCell ref="J49:J57"/>
    <mergeCell ref="K49:K57"/>
    <mergeCell ref="D50:E50"/>
    <mergeCell ref="C47:E47"/>
    <mergeCell ref="G47:I47"/>
    <mergeCell ref="L47:L49"/>
    <mergeCell ref="M47:M49"/>
    <mergeCell ref="D48:E48"/>
    <mergeCell ref="H48:I48"/>
    <mergeCell ref="L39:L46"/>
    <mergeCell ref="M39:M46"/>
    <mergeCell ref="D40:E40"/>
    <mergeCell ref="D41:E41"/>
    <mergeCell ref="D42:E42"/>
    <mergeCell ref="D43:E43"/>
    <mergeCell ref="D44:E44"/>
    <mergeCell ref="D45:E45"/>
    <mergeCell ref="D46:E46"/>
    <mergeCell ref="A38:A46"/>
    <mergeCell ref="B38:B42"/>
    <mergeCell ref="D38:E38"/>
    <mergeCell ref="J38:J46"/>
    <mergeCell ref="K38:K46"/>
    <mergeCell ref="D39:E39"/>
    <mergeCell ref="B44:B46"/>
    <mergeCell ref="C36:E36"/>
    <mergeCell ref="G36:I36"/>
    <mergeCell ref="L36:L38"/>
    <mergeCell ref="M36:M38"/>
    <mergeCell ref="D37:E37"/>
    <mergeCell ref="H37:I37"/>
    <mergeCell ref="L28:L35"/>
    <mergeCell ref="M28:M35"/>
    <mergeCell ref="D29:E29"/>
    <mergeCell ref="D30:E30"/>
    <mergeCell ref="D31:E31"/>
    <mergeCell ref="D32:E32"/>
    <mergeCell ref="D33:E33"/>
    <mergeCell ref="D34:E34"/>
    <mergeCell ref="D35:E35"/>
    <mergeCell ref="A27:A35"/>
    <mergeCell ref="B27:B32"/>
    <mergeCell ref="D27:E27"/>
    <mergeCell ref="J27:J35"/>
    <mergeCell ref="K27:K35"/>
    <mergeCell ref="D28:E28"/>
    <mergeCell ref="C25:E25"/>
    <mergeCell ref="G25:I25"/>
    <mergeCell ref="L25:L27"/>
    <mergeCell ref="M25:M27"/>
    <mergeCell ref="D26:E26"/>
    <mergeCell ref="H26:I26"/>
    <mergeCell ref="L17:L24"/>
    <mergeCell ref="M17:M24"/>
    <mergeCell ref="D18:E18"/>
    <mergeCell ref="D19:E19"/>
    <mergeCell ref="D21:E21"/>
    <mergeCell ref="D22:E22"/>
    <mergeCell ref="D23:E23"/>
    <mergeCell ref="D24:E24"/>
    <mergeCell ref="A16:A24"/>
    <mergeCell ref="B16:B24"/>
    <mergeCell ref="D16:E16"/>
    <mergeCell ref="J16:J24"/>
    <mergeCell ref="K16:K24"/>
    <mergeCell ref="D17:E17"/>
    <mergeCell ref="C14:E14"/>
    <mergeCell ref="G14:I14"/>
    <mergeCell ref="L14:L16"/>
    <mergeCell ref="M14:M16"/>
    <mergeCell ref="D15:E15"/>
    <mergeCell ref="H15:I15"/>
    <mergeCell ref="L6:L13"/>
    <mergeCell ref="M6:M13"/>
    <mergeCell ref="D7:E7"/>
    <mergeCell ref="D8:E8"/>
    <mergeCell ref="D10:E10"/>
    <mergeCell ref="D11:E11"/>
    <mergeCell ref="D12:E12"/>
    <mergeCell ref="D13:E13"/>
    <mergeCell ref="A5:A13"/>
    <mergeCell ref="B5:B13"/>
    <mergeCell ref="D5:E5"/>
    <mergeCell ref="J5:J13"/>
    <mergeCell ref="K5:K13"/>
    <mergeCell ref="D6:E6"/>
    <mergeCell ref="B2:M2"/>
    <mergeCell ref="C3:E3"/>
    <mergeCell ref="G3:I3"/>
    <mergeCell ref="L3:L5"/>
    <mergeCell ref="M3:M5"/>
    <mergeCell ref="D4:E4"/>
    <mergeCell ref="H4:I4"/>
  </mergeCells>
  <phoneticPr fontId="1" type="noConversion"/>
  <pageMargins left="0.39370078740157483" right="0.23622047244094491" top="0.74803149606299213" bottom="0.74803149606299213" header="0.31496062992125984" footer="0.31496062992125984"/>
  <pageSetup paperSize="9" scale="61" orientation="landscape" r:id="rId1"/>
  <headerFooter>
    <oddHeader>&amp;C&amp;"華康魏碑體,標準"&amp;20河濱公園災後一覽表</oddHeader>
    <oddFooter>&amp;R&amp;"王漢宗中仿宋繁,標準"第&amp;P頁，共&amp;N頁</oddFooter>
  </headerFooter>
  <rowBreaks count="3" manualBreakCount="3">
    <brk id="24" min="1" max="12" man="1"/>
    <brk id="46" min="1" max="12" man="1"/>
    <brk id="90" min="1" max="1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124"/>
  <sheetViews>
    <sheetView topLeftCell="B88" zoomScaleNormal="100" zoomScaleSheetLayoutView="100" workbookViewId="0">
      <selection activeCell="C92" sqref="C92:I101"/>
    </sheetView>
  </sheetViews>
  <sheetFormatPr defaultColWidth="8.75" defaultRowHeight="16.5"/>
  <cols>
    <col min="1" max="1" width="0" style="54" hidden="1" customWidth="1"/>
    <col min="2" max="2" width="42.125" style="54" customWidth="1"/>
    <col min="3" max="3" width="16.5" style="54" customWidth="1"/>
    <col min="4" max="4" width="13.5" style="54" customWidth="1"/>
    <col min="5" max="5" width="6.75" style="54" customWidth="1"/>
    <col min="6" max="11" width="15.375" style="54" customWidth="1"/>
    <col min="12" max="12" width="17.5" style="54" customWidth="1"/>
    <col min="13" max="13" width="18.625" style="54" customWidth="1"/>
    <col min="14" max="14" width="7.5" style="54" customWidth="1"/>
    <col min="15" max="15" width="9.75" style="54" customWidth="1"/>
    <col min="16" max="16" width="16.75" style="54" customWidth="1"/>
    <col min="17" max="16384" width="8.75" style="54"/>
  </cols>
  <sheetData>
    <row r="1" spans="1:17">
      <c r="A1" s="54" t="s">
        <v>65</v>
      </c>
    </row>
    <row r="2" spans="1:17" ht="12.6" customHeight="1" thickBot="1"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</row>
    <row r="3" spans="1:17" ht="18" hidden="1" customHeight="1">
      <c r="B3" s="55" t="s">
        <v>64</v>
      </c>
      <c r="C3" s="146" t="s">
        <v>0</v>
      </c>
      <c r="D3" s="146"/>
      <c r="E3" s="146"/>
      <c r="F3" s="56" t="s">
        <v>61</v>
      </c>
      <c r="G3" s="146" t="s">
        <v>172</v>
      </c>
      <c r="H3" s="146"/>
      <c r="I3" s="146"/>
      <c r="J3" s="92"/>
      <c r="K3" s="92"/>
      <c r="L3" s="56"/>
      <c r="M3" s="56"/>
      <c r="N3" s="147" t="s">
        <v>1</v>
      </c>
      <c r="O3" s="149" t="str">
        <f>工程基本資料!D3</f>
        <v>任益芳</v>
      </c>
      <c r="P3" s="54" t="str">
        <f>O3</f>
        <v>任益芳</v>
      </c>
      <c r="Q3" s="54" t="str">
        <f>N6</f>
        <v>南區工務所</v>
      </c>
    </row>
    <row r="4" spans="1:17" ht="18" hidden="1" customHeight="1">
      <c r="B4" s="57" t="str">
        <f>工程基本資料!C3</f>
        <v>H-113-03-113019</v>
      </c>
      <c r="C4" s="61" t="s">
        <v>2</v>
      </c>
      <c r="D4" s="140" t="s">
        <v>3</v>
      </c>
      <c r="E4" s="141"/>
      <c r="F4" s="59"/>
      <c r="G4" s="60" t="s">
        <v>2</v>
      </c>
      <c r="H4" s="148" t="s">
        <v>4</v>
      </c>
      <c r="I4" s="148"/>
      <c r="J4" s="93" t="s">
        <v>189</v>
      </c>
      <c r="K4" s="93" t="s">
        <v>191</v>
      </c>
      <c r="L4" s="59" t="s">
        <v>59</v>
      </c>
      <c r="M4" s="59" t="s">
        <v>60</v>
      </c>
      <c r="N4" s="148"/>
      <c r="O4" s="150"/>
      <c r="P4" s="54" t="str">
        <f>P3</f>
        <v>任益芳</v>
      </c>
      <c r="Q4" s="54" t="str">
        <f>Q3</f>
        <v>南區工務所</v>
      </c>
    </row>
    <row r="5" spans="1:17" ht="18" hidden="1" customHeight="1">
      <c r="A5" s="136">
        <v>1</v>
      </c>
      <c r="B5" s="137" t="str">
        <f>工程基本資料!B3</f>
        <v>113年度南區河濱公園路面暨災後復原預約維護工程</v>
      </c>
      <c r="C5" s="61" t="s">
        <v>5</v>
      </c>
      <c r="D5" s="140" t="s">
        <v>62</v>
      </c>
      <c r="E5" s="141"/>
      <c r="F5" s="59" t="s">
        <v>62</v>
      </c>
      <c r="G5" s="60" t="s">
        <v>6</v>
      </c>
      <c r="H5" s="60">
        <v>0</v>
      </c>
      <c r="I5" s="60" t="s">
        <v>7</v>
      </c>
      <c r="J5" s="142"/>
      <c r="K5" s="142"/>
      <c r="L5" s="142"/>
      <c r="M5" s="142"/>
      <c r="N5" s="148"/>
      <c r="O5" s="151"/>
      <c r="P5" s="54" t="str">
        <f t="shared" ref="P5:Q13" si="0">P4</f>
        <v>任益芳</v>
      </c>
      <c r="Q5" s="54" t="str">
        <f t="shared" si="0"/>
        <v>南區工務所</v>
      </c>
    </row>
    <row r="6" spans="1:17" ht="18" hidden="1" customHeight="1">
      <c r="A6" s="136"/>
      <c r="B6" s="138"/>
      <c r="C6" s="61" t="s">
        <v>16</v>
      </c>
      <c r="D6" s="140" t="s">
        <v>62</v>
      </c>
      <c r="E6" s="141"/>
      <c r="F6" s="59" t="s">
        <v>62</v>
      </c>
      <c r="G6" s="60" t="s">
        <v>9</v>
      </c>
      <c r="H6" s="60">
        <v>0</v>
      </c>
      <c r="I6" s="60" t="s">
        <v>10</v>
      </c>
      <c r="J6" s="143"/>
      <c r="K6" s="143"/>
      <c r="L6" s="143"/>
      <c r="M6" s="143"/>
      <c r="N6" s="152" t="str">
        <f>工程基本資料!E3</f>
        <v>南區工務所</v>
      </c>
      <c r="O6" s="155" t="str">
        <f>工程基本資料!I3</f>
        <v>松瑩營造有限公司</v>
      </c>
      <c r="P6" s="54" t="str">
        <f t="shared" si="0"/>
        <v>任益芳</v>
      </c>
      <c r="Q6" s="54" t="str">
        <f t="shared" si="0"/>
        <v>南區工務所</v>
      </c>
    </row>
    <row r="7" spans="1:17" ht="18" hidden="1" customHeight="1">
      <c r="A7" s="136"/>
      <c r="B7" s="138"/>
      <c r="C7" s="61" t="s">
        <v>8</v>
      </c>
      <c r="D7" s="140" t="s">
        <v>62</v>
      </c>
      <c r="E7" s="141"/>
      <c r="F7" s="59" t="s">
        <v>62</v>
      </c>
      <c r="G7" s="60" t="s">
        <v>17</v>
      </c>
      <c r="H7" s="60">
        <v>0</v>
      </c>
      <c r="I7" s="60" t="s">
        <v>10</v>
      </c>
      <c r="J7" s="143"/>
      <c r="K7" s="143"/>
      <c r="L7" s="143"/>
      <c r="M7" s="143"/>
      <c r="N7" s="153"/>
      <c r="O7" s="156"/>
      <c r="P7" s="54" t="str">
        <f t="shared" si="0"/>
        <v>任益芳</v>
      </c>
      <c r="Q7" s="54" t="str">
        <f t="shared" si="0"/>
        <v>南區工務所</v>
      </c>
    </row>
    <row r="8" spans="1:17" ht="18" hidden="1" customHeight="1">
      <c r="A8" s="136"/>
      <c r="B8" s="138"/>
      <c r="C8" s="61" t="s">
        <v>12</v>
      </c>
      <c r="D8" s="140" t="s">
        <v>62</v>
      </c>
      <c r="E8" s="141"/>
      <c r="F8" s="59" t="s">
        <v>62</v>
      </c>
      <c r="G8" s="60" t="s">
        <v>11</v>
      </c>
      <c r="H8" s="60">
        <v>0</v>
      </c>
      <c r="I8" s="60" t="s">
        <v>10</v>
      </c>
      <c r="J8" s="143"/>
      <c r="K8" s="143"/>
      <c r="L8" s="143"/>
      <c r="M8" s="143"/>
      <c r="N8" s="153"/>
      <c r="O8" s="156"/>
      <c r="P8" s="54" t="str">
        <f t="shared" si="0"/>
        <v>任益芳</v>
      </c>
      <c r="Q8" s="54" t="str">
        <f t="shared" si="0"/>
        <v>南區工務所</v>
      </c>
    </row>
    <row r="9" spans="1:17" ht="18" hidden="1" customHeight="1">
      <c r="A9" s="136"/>
      <c r="B9" s="138"/>
      <c r="G9" s="60" t="s">
        <v>13</v>
      </c>
      <c r="H9" s="60">
        <v>0</v>
      </c>
      <c r="I9" s="60" t="s">
        <v>10</v>
      </c>
      <c r="J9" s="143"/>
      <c r="K9" s="143"/>
      <c r="L9" s="143"/>
      <c r="M9" s="143"/>
      <c r="N9" s="153"/>
      <c r="O9" s="156"/>
      <c r="P9" s="54" t="str">
        <f t="shared" si="0"/>
        <v>任益芳</v>
      </c>
      <c r="Q9" s="54" t="str">
        <f t="shared" si="0"/>
        <v>南區工務所</v>
      </c>
    </row>
    <row r="10" spans="1:17" ht="18" hidden="1" customHeight="1">
      <c r="A10" s="136"/>
      <c r="B10" s="138"/>
      <c r="C10" s="60"/>
      <c r="D10" s="148"/>
      <c r="E10" s="148"/>
      <c r="F10" s="62"/>
      <c r="G10" s="60" t="s">
        <v>14</v>
      </c>
      <c r="H10" s="60">
        <v>0</v>
      </c>
      <c r="I10" s="60" t="s">
        <v>10</v>
      </c>
      <c r="J10" s="143"/>
      <c r="K10" s="143"/>
      <c r="L10" s="143"/>
      <c r="M10" s="143"/>
      <c r="N10" s="153"/>
      <c r="O10" s="156"/>
      <c r="P10" s="54" t="str">
        <f t="shared" si="0"/>
        <v>任益芳</v>
      </c>
      <c r="Q10" s="54" t="str">
        <f t="shared" si="0"/>
        <v>南區工務所</v>
      </c>
    </row>
    <row r="11" spans="1:17" ht="18" hidden="1" customHeight="1">
      <c r="A11" s="136"/>
      <c r="B11" s="138"/>
      <c r="C11" s="63"/>
      <c r="D11" s="148"/>
      <c r="E11" s="148"/>
      <c r="F11" s="62"/>
      <c r="G11" s="63" t="s">
        <v>18</v>
      </c>
      <c r="H11" s="63">
        <v>0</v>
      </c>
      <c r="I11" s="63" t="s">
        <v>10</v>
      </c>
      <c r="J11" s="143"/>
      <c r="K11" s="143"/>
      <c r="L11" s="143"/>
      <c r="M11" s="143"/>
      <c r="N11" s="153"/>
      <c r="O11" s="156"/>
      <c r="P11" s="54" t="str">
        <f t="shared" si="0"/>
        <v>任益芳</v>
      </c>
      <c r="Q11" s="54" t="str">
        <f t="shared" si="0"/>
        <v>南區工務所</v>
      </c>
    </row>
    <row r="12" spans="1:17" ht="18" hidden="1" customHeight="1">
      <c r="A12" s="136"/>
      <c r="B12" s="138"/>
      <c r="C12" s="63"/>
      <c r="D12" s="148"/>
      <c r="E12" s="148"/>
      <c r="F12" s="62"/>
      <c r="G12" s="63" t="s">
        <v>19</v>
      </c>
      <c r="H12" s="63">
        <v>0</v>
      </c>
      <c r="I12" s="63" t="s">
        <v>20</v>
      </c>
      <c r="J12" s="143"/>
      <c r="K12" s="143"/>
      <c r="L12" s="143"/>
      <c r="M12" s="143"/>
      <c r="N12" s="153"/>
      <c r="O12" s="156"/>
      <c r="P12" s="54" t="str">
        <f t="shared" si="0"/>
        <v>任益芳</v>
      </c>
      <c r="Q12" s="54" t="str">
        <f t="shared" si="0"/>
        <v>南區工務所</v>
      </c>
    </row>
    <row r="13" spans="1:17" ht="18" hidden="1" customHeight="1" thickBot="1">
      <c r="A13" s="136"/>
      <c r="B13" s="139"/>
      <c r="C13" s="64"/>
      <c r="D13" s="158"/>
      <c r="E13" s="158"/>
      <c r="F13" s="66"/>
      <c r="G13" s="64" t="s">
        <v>15</v>
      </c>
      <c r="H13" s="64">
        <v>0</v>
      </c>
      <c r="I13" s="64" t="s">
        <v>10</v>
      </c>
      <c r="J13" s="144"/>
      <c r="K13" s="144"/>
      <c r="L13" s="144"/>
      <c r="M13" s="144"/>
      <c r="N13" s="154"/>
      <c r="O13" s="157"/>
      <c r="P13" s="54" t="str">
        <f t="shared" si="0"/>
        <v>任益芳</v>
      </c>
      <c r="Q13" s="54" t="str">
        <f t="shared" si="0"/>
        <v>南區工務所</v>
      </c>
    </row>
    <row r="14" spans="1:17" ht="18" hidden="1" customHeight="1">
      <c r="B14" s="55" t="s">
        <v>64</v>
      </c>
      <c r="C14" s="146" t="s">
        <v>0</v>
      </c>
      <c r="D14" s="146"/>
      <c r="E14" s="146"/>
      <c r="F14" s="56" t="s">
        <v>61</v>
      </c>
      <c r="G14" s="146" t="str">
        <f>$G$3</f>
        <v>113年9月25日當日動員機具</v>
      </c>
      <c r="H14" s="146"/>
      <c r="I14" s="146"/>
      <c r="J14" s="92"/>
      <c r="K14" s="92"/>
      <c r="L14" s="56"/>
      <c r="M14" s="56"/>
      <c r="N14" s="147" t="s">
        <v>1</v>
      </c>
      <c r="O14" s="149" t="str">
        <f>工程基本資料!D4</f>
        <v>任益芳</v>
      </c>
      <c r="P14" s="54" t="str">
        <f>O14</f>
        <v>任益芳</v>
      </c>
      <c r="Q14" s="54" t="str">
        <f>N17</f>
        <v>南區工務所</v>
      </c>
    </row>
    <row r="15" spans="1:17" ht="18" hidden="1" customHeight="1">
      <c r="B15" s="57" t="str">
        <f>工程基本資料!C4</f>
        <v>H-113-03-113022</v>
      </c>
      <c r="C15" s="61" t="s">
        <v>2</v>
      </c>
      <c r="D15" s="140" t="s">
        <v>3</v>
      </c>
      <c r="E15" s="141"/>
      <c r="F15" s="59"/>
      <c r="G15" s="60" t="s">
        <v>2</v>
      </c>
      <c r="H15" s="148" t="s">
        <v>4</v>
      </c>
      <c r="I15" s="148"/>
      <c r="J15" s="93" t="s">
        <v>188</v>
      </c>
      <c r="K15" s="93" t="s">
        <v>190</v>
      </c>
      <c r="L15" s="59" t="s">
        <v>59</v>
      </c>
      <c r="M15" s="59" t="s">
        <v>60</v>
      </c>
      <c r="N15" s="148"/>
      <c r="O15" s="150"/>
      <c r="P15" s="54" t="str">
        <f t="shared" ref="P15:Q24" si="1">P14</f>
        <v>任益芳</v>
      </c>
      <c r="Q15" s="54" t="str">
        <f>Q14</f>
        <v>南區工務所</v>
      </c>
    </row>
    <row r="16" spans="1:17" ht="18" hidden="1" customHeight="1">
      <c r="A16" s="136">
        <v>2</v>
      </c>
      <c r="B16" s="137" t="str">
        <f>工程基本資料!B4</f>
        <v>113年度南區水利建造物檢修改善及災後復原(新店溪永福橋至萬板大橋段)預約維護工程</v>
      </c>
      <c r="C16" s="61" t="s">
        <v>5</v>
      </c>
      <c r="D16" s="140" t="s">
        <v>62</v>
      </c>
      <c r="E16" s="141"/>
      <c r="F16" s="59" t="s">
        <v>62</v>
      </c>
      <c r="G16" s="60" t="s">
        <v>6</v>
      </c>
      <c r="H16" s="60">
        <v>0</v>
      </c>
      <c r="I16" s="60" t="s">
        <v>7</v>
      </c>
      <c r="J16" s="142"/>
      <c r="K16" s="142"/>
      <c r="L16" s="142"/>
      <c r="M16" s="142"/>
      <c r="N16" s="148"/>
      <c r="O16" s="151"/>
      <c r="P16" s="54" t="str">
        <f t="shared" si="1"/>
        <v>任益芳</v>
      </c>
      <c r="Q16" s="54" t="str">
        <f t="shared" si="1"/>
        <v>南區工務所</v>
      </c>
    </row>
    <row r="17" spans="1:17" ht="18" hidden="1" customHeight="1">
      <c r="A17" s="136"/>
      <c r="B17" s="138"/>
      <c r="C17" s="61" t="s">
        <v>16</v>
      </c>
      <c r="D17" s="140" t="s">
        <v>62</v>
      </c>
      <c r="E17" s="141"/>
      <c r="F17" s="59" t="s">
        <v>62</v>
      </c>
      <c r="G17" s="60" t="s">
        <v>9</v>
      </c>
      <c r="H17" s="60">
        <v>0</v>
      </c>
      <c r="I17" s="60" t="s">
        <v>10</v>
      </c>
      <c r="J17" s="143"/>
      <c r="K17" s="143"/>
      <c r="L17" s="143"/>
      <c r="M17" s="143"/>
      <c r="N17" s="152" t="str">
        <f>工程基本資料!E4</f>
        <v>南區工務所</v>
      </c>
      <c r="O17" s="155" t="str">
        <f>工程基本資料!I4</f>
        <v>鋐城營造有限公司</v>
      </c>
      <c r="P17" s="54" t="str">
        <f t="shared" si="1"/>
        <v>任益芳</v>
      </c>
      <c r="Q17" s="54" t="str">
        <f t="shared" si="1"/>
        <v>南區工務所</v>
      </c>
    </row>
    <row r="18" spans="1:17" ht="18" hidden="1" customHeight="1">
      <c r="A18" s="136"/>
      <c r="B18" s="138"/>
      <c r="C18" s="61" t="s">
        <v>8</v>
      </c>
      <c r="D18" s="140" t="s">
        <v>62</v>
      </c>
      <c r="E18" s="141"/>
      <c r="F18" s="59" t="s">
        <v>62</v>
      </c>
      <c r="G18" s="60" t="s">
        <v>17</v>
      </c>
      <c r="H18" s="60">
        <v>0</v>
      </c>
      <c r="I18" s="60" t="s">
        <v>10</v>
      </c>
      <c r="J18" s="143"/>
      <c r="K18" s="143"/>
      <c r="L18" s="143"/>
      <c r="M18" s="143"/>
      <c r="N18" s="153"/>
      <c r="O18" s="156"/>
      <c r="P18" s="54" t="str">
        <f t="shared" si="1"/>
        <v>任益芳</v>
      </c>
      <c r="Q18" s="54" t="str">
        <f t="shared" si="1"/>
        <v>南區工務所</v>
      </c>
    </row>
    <row r="19" spans="1:17" ht="18" hidden="1" customHeight="1">
      <c r="A19" s="136"/>
      <c r="B19" s="138"/>
      <c r="C19" s="61" t="s">
        <v>12</v>
      </c>
      <c r="D19" s="140" t="s">
        <v>62</v>
      </c>
      <c r="E19" s="141"/>
      <c r="F19" s="59" t="s">
        <v>62</v>
      </c>
      <c r="G19" s="60" t="s">
        <v>11</v>
      </c>
      <c r="H19" s="60">
        <v>0</v>
      </c>
      <c r="I19" s="60" t="s">
        <v>10</v>
      </c>
      <c r="J19" s="143"/>
      <c r="K19" s="143"/>
      <c r="L19" s="143"/>
      <c r="M19" s="143"/>
      <c r="N19" s="153"/>
      <c r="O19" s="156"/>
      <c r="P19" s="54" t="str">
        <f t="shared" si="1"/>
        <v>任益芳</v>
      </c>
      <c r="Q19" s="54" t="str">
        <f t="shared" si="1"/>
        <v>南區工務所</v>
      </c>
    </row>
    <row r="20" spans="1:17" ht="18" hidden="1" customHeight="1">
      <c r="A20" s="136"/>
      <c r="B20" s="138"/>
      <c r="G20" s="60" t="s">
        <v>13</v>
      </c>
      <c r="H20" s="60">
        <v>0</v>
      </c>
      <c r="I20" s="60" t="s">
        <v>10</v>
      </c>
      <c r="J20" s="143"/>
      <c r="K20" s="143"/>
      <c r="L20" s="143"/>
      <c r="M20" s="143"/>
      <c r="N20" s="153"/>
      <c r="O20" s="156"/>
      <c r="P20" s="54" t="str">
        <f t="shared" si="1"/>
        <v>任益芳</v>
      </c>
      <c r="Q20" s="54" t="str">
        <f t="shared" si="1"/>
        <v>南區工務所</v>
      </c>
    </row>
    <row r="21" spans="1:17" ht="18" hidden="1" customHeight="1">
      <c r="A21" s="136"/>
      <c r="B21" s="138"/>
      <c r="C21" s="60"/>
      <c r="D21" s="148"/>
      <c r="E21" s="148"/>
      <c r="F21" s="62"/>
      <c r="G21" s="60" t="s">
        <v>14</v>
      </c>
      <c r="H21" s="60">
        <v>0</v>
      </c>
      <c r="I21" s="60" t="s">
        <v>10</v>
      </c>
      <c r="J21" s="143"/>
      <c r="K21" s="143"/>
      <c r="L21" s="143"/>
      <c r="M21" s="143"/>
      <c r="N21" s="153"/>
      <c r="O21" s="156"/>
      <c r="P21" s="54" t="str">
        <f t="shared" si="1"/>
        <v>任益芳</v>
      </c>
      <c r="Q21" s="54" t="str">
        <f t="shared" si="1"/>
        <v>南區工務所</v>
      </c>
    </row>
    <row r="22" spans="1:17" ht="18" hidden="1" customHeight="1">
      <c r="A22" s="136"/>
      <c r="B22" s="138"/>
      <c r="C22" s="63"/>
      <c r="D22" s="148"/>
      <c r="E22" s="148"/>
      <c r="F22" s="62"/>
      <c r="G22" s="63" t="s">
        <v>18</v>
      </c>
      <c r="H22" s="63">
        <v>0</v>
      </c>
      <c r="I22" s="63" t="s">
        <v>10</v>
      </c>
      <c r="J22" s="143"/>
      <c r="K22" s="143"/>
      <c r="L22" s="143"/>
      <c r="M22" s="143"/>
      <c r="N22" s="153"/>
      <c r="O22" s="156"/>
      <c r="P22" s="54" t="str">
        <f t="shared" si="1"/>
        <v>任益芳</v>
      </c>
      <c r="Q22" s="54" t="str">
        <f t="shared" si="1"/>
        <v>南區工務所</v>
      </c>
    </row>
    <row r="23" spans="1:17" ht="18" hidden="1" customHeight="1">
      <c r="A23" s="136"/>
      <c r="B23" s="138"/>
      <c r="C23" s="63"/>
      <c r="D23" s="148"/>
      <c r="E23" s="148"/>
      <c r="F23" s="62"/>
      <c r="G23" s="63" t="s">
        <v>19</v>
      </c>
      <c r="H23" s="63">
        <v>0</v>
      </c>
      <c r="I23" s="63" t="s">
        <v>20</v>
      </c>
      <c r="J23" s="143"/>
      <c r="K23" s="143"/>
      <c r="L23" s="143"/>
      <c r="M23" s="143"/>
      <c r="N23" s="153"/>
      <c r="O23" s="156"/>
      <c r="P23" s="54" t="str">
        <f t="shared" si="1"/>
        <v>任益芳</v>
      </c>
      <c r="Q23" s="54" t="str">
        <f t="shared" si="1"/>
        <v>南區工務所</v>
      </c>
    </row>
    <row r="24" spans="1:17" ht="18" hidden="1" customHeight="1" thickBot="1">
      <c r="A24" s="136"/>
      <c r="B24" s="139"/>
      <c r="C24" s="64"/>
      <c r="D24" s="158"/>
      <c r="E24" s="158"/>
      <c r="F24" s="66"/>
      <c r="G24" s="64" t="s">
        <v>15</v>
      </c>
      <c r="H24" s="64">
        <v>0</v>
      </c>
      <c r="I24" s="64" t="s">
        <v>10</v>
      </c>
      <c r="J24" s="144"/>
      <c r="K24" s="144"/>
      <c r="L24" s="144"/>
      <c r="M24" s="144"/>
      <c r="N24" s="154"/>
      <c r="O24" s="157"/>
      <c r="P24" s="54" t="str">
        <f>P22</f>
        <v>任益芳</v>
      </c>
      <c r="Q24" s="54" t="str">
        <f t="shared" si="1"/>
        <v>南區工務所</v>
      </c>
    </row>
    <row r="25" spans="1:17" ht="18" customHeight="1">
      <c r="B25" s="55" t="s">
        <v>64</v>
      </c>
      <c r="C25" s="146" t="s">
        <v>0</v>
      </c>
      <c r="D25" s="146"/>
      <c r="E25" s="146"/>
      <c r="F25" s="56" t="s">
        <v>61</v>
      </c>
      <c r="G25" s="146" t="str">
        <f>$G$3</f>
        <v>113年9月25日當日動員機具</v>
      </c>
      <c r="H25" s="146"/>
      <c r="I25" s="146"/>
      <c r="J25" s="92"/>
      <c r="K25" s="92"/>
      <c r="L25" s="56"/>
      <c r="M25" s="56"/>
      <c r="N25" s="147" t="s">
        <v>1</v>
      </c>
      <c r="O25" s="149" t="str">
        <f>工程基本資料!D5</f>
        <v>王伯豪</v>
      </c>
      <c r="P25" s="54" t="str">
        <f>O25</f>
        <v>王伯豪</v>
      </c>
      <c r="Q25" s="54" t="str">
        <f>N28</f>
        <v>南區工務所</v>
      </c>
    </row>
    <row r="26" spans="1:17" ht="18" customHeight="1">
      <c r="B26" s="57" t="str">
        <f>工程基本資料!C5</f>
        <v>H-113-03-113047</v>
      </c>
      <c r="C26" s="61" t="s">
        <v>2</v>
      </c>
      <c r="D26" s="140" t="s">
        <v>3</v>
      </c>
      <c r="E26" s="141"/>
      <c r="F26" s="59"/>
      <c r="G26" s="60" t="s">
        <v>2</v>
      </c>
      <c r="H26" s="148" t="s">
        <v>4</v>
      </c>
      <c r="I26" s="148"/>
      <c r="J26" s="93" t="s">
        <v>188</v>
      </c>
      <c r="K26" s="93" t="s">
        <v>190</v>
      </c>
      <c r="L26" s="59" t="s">
        <v>59</v>
      </c>
      <c r="M26" s="59" t="s">
        <v>60</v>
      </c>
      <c r="N26" s="148"/>
      <c r="O26" s="150"/>
      <c r="P26" s="54" t="str">
        <f t="shared" ref="P26:Q35" si="2">P25</f>
        <v>王伯豪</v>
      </c>
      <c r="Q26" s="54" t="str">
        <f>Q25</f>
        <v>南區工務所</v>
      </c>
    </row>
    <row r="27" spans="1:17" ht="18" customHeight="1">
      <c r="A27" s="136">
        <v>3</v>
      </c>
      <c r="B27" s="137" t="str">
        <f>工程基本資料!B5</f>
        <v>113年度南區河濱公園土木（含颱風豪雨設施撤離）暨災後復原預約維護工程</v>
      </c>
      <c r="C27" s="90" t="s">
        <v>5</v>
      </c>
      <c r="D27" s="148" t="s">
        <v>151</v>
      </c>
      <c r="E27" s="148"/>
      <c r="F27" s="90" t="s">
        <v>151</v>
      </c>
      <c r="G27" s="60" t="s">
        <v>6</v>
      </c>
      <c r="H27" s="60">
        <v>10</v>
      </c>
      <c r="I27" s="60" t="s">
        <v>7</v>
      </c>
      <c r="J27" s="108"/>
      <c r="K27" s="108"/>
      <c r="L27" s="108" t="s">
        <v>171</v>
      </c>
      <c r="M27" s="108" t="s">
        <v>171</v>
      </c>
      <c r="N27" s="148"/>
      <c r="O27" s="151"/>
      <c r="P27" s="54" t="str">
        <f t="shared" si="2"/>
        <v>王伯豪</v>
      </c>
      <c r="Q27" s="54" t="str">
        <f t="shared" si="2"/>
        <v>南區工務所</v>
      </c>
    </row>
    <row r="28" spans="1:17" ht="18" customHeight="1">
      <c r="A28" s="136"/>
      <c r="B28" s="138"/>
      <c r="C28" s="90" t="s">
        <v>16</v>
      </c>
      <c r="D28" s="148" t="s">
        <v>151</v>
      </c>
      <c r="E28" s="148"/>
      <c r="F28" s="90" t="s">
        <v>151</v>
      </c>
      <c r="G28" s="60" t="s">
        <v>9</v>
      </c>
      <c r="H28" s="60">
        <v>1</v>
      </c>
      <c r="I28" s="60" t="s">
        <v>10</v>
      </c>
      <c r="J28" s="109"/>
      <c r="K28" s="109"/>
      <c r="L28" s="109"/>
      <c r="M28" s="109"/>
      <c r="N28" s="152" t="str">
        <f>工程基本資料!E5</f>
        <v>南區工務所</v>
      </c>
      <c r="O28" s="155" t="str">
        <f>工程基本資料!I5</f>
        <v>泇溢營造有限公司</v>
      </c>
      <c r="P28" s="54" t="str">
        <f t="shared" si="2"/>
        <v>王伯豪</v>
      </c>
      <c r="Q28" s="54" t="str">
        <f t="shared" si="2"/>
        <v>南區工務所</v>
      </c>
    </row>
    <row r="29" spans="1:17" ht="18" customHeight="1">
      <c r="A29" s="136"/>
      <c r="B29" s="138"/>
      <c r="C29" s="90" t="s">
        <v>8</v>
      </c>
      <c r="D29" s="148" t="s">
        <v>167</v>
      </c>
      <c r="E29" s="148"/>
      <c r="F29" s="90" t="s">
        <v>169</v>
      </c>
      <c r="G29" s="60" t="s">
        <v>17</v>
      </c>
      <c r="H29" s="60">
        <v>1</v>
      </c>
      <c r="I29" s="60" t="s">
        <v>10</v>
      </c>
      <c r="J29" s="109"/>
      <c r="K29" s="109"/>
      <c r="L29" s="109"/>
      <c r="M29" s="109"/>
      <c r="N29" s="153"/>
      <c r="O29" s="156"/>
      <c r="P29" s="54" t="str">
        <f t="shared" si="2"/>
        <v>王伯豪</v>
      </c>
      <c r="Q29" s="54" t="str">
        <f t="shared" si="2"/>
        <v>南區工務所</v>
      </c>
    </row>
    <row r="30" spans="1:17" ht="18" customHeight="1">
      <c r="A30" s="136"/>
      <c r="B30" s="138"/>
      <c r="C30" s="90" t="s">
        <v>12</v>
      </c>
      <c r="D30" s="148" t="s">
        <v>168</v>
      </c>
      <c r="E30" s="148"/>
      <c r="F30" s="90" t="s">
        <v>151</v>
      </c>
      <c r="G30" s="60" t="s">
        <v>11</v>
      </c>
      <c r="H30" s="60">
        <v>1</v>
      </c>
      <c r="I30" s="60" t="s">
        <v>10</v>
      </c>
      <c r="J30" s="109"/>
      <c r="K30" s="109"/>
      <c r="L30" s="109"/>
      <c r="M30" s="109"/>
      <c r="N30" s="153"/>
      <c r="O30" s="156"/>
      <c r="P30" s="54" t="str">
        <f t="shared" si="2"/>
        <v>王伯豪</v>
      </c>
      <c r="Q30" s="54" t="str">
        <f t="shared" si="2"/>
        <v>南區工務所</v>
      </c>
    </row>
    <row r="31" spans="1:17" ht="18" customHeight="1">
      <c r="A31" s="136"/>
      <c r="B31" s="138"/>
      <c r="D31" s="148"/>
      <c r="E31" s="148"/>
      <c r="F31" s="60"/>
      <c r="G31" s="60" t="s">
        <v>13</v>
      </c>
      <c r="H31" s="60">
        <v>3</v>
      </c>
      <c r="I31" s="60" t="s">
        <v>10</v>
      </c>
      <c r="J31" s="109"/>
      <c r="K31" s="109"/>
      <c r="L31" s="109"/>
      <c r="M31" s="109"/>
      <c r="N31" s="153"/>
      <c r="O31" s="156"/>
      <c r="P31" s="54" t="str">
        <f t="shared" si="2"/>
        <v>王伯豪</v>
      </c>
      <c r="Q31" s="54" t="str">
        <f t="shared" si="2"/>
        <v>南區工務所</v>
      </c>
    </row>
    <row r="32" spans="1:17" ht="18" customHeight="1">
      <c r="A32" s="136"/>
      <c r="B32" s="138"/>
      <c r="C32" s="60"/>
      <c r="D32" s="148"/>
      <c r="E32" s="148"/>
      <c r="F32" s="90"/>
      <c r="G32" s="60" t="s">
        <v>14</v>
      </c>
      <c r="H32" s="60">
        <v>1</v>
      </c>
      <c r="I32" s="60" t="s">
        <v>10</v>
      </c>
      <c r="J32" s="109"/>
      <c r="K32" s="109"/>
      <c r="L32" s="109"/>
      <c r="M32" s="109"/>
      <c r="N32" s="153"/>
      <c r="O32" s="156"/>
      <c r="P32" s="54" t="str">
        <f t="shared" si="2"/>
        <v>王伯豪</v>
      </c>
      <c r="Q32" s="54" t="str">
        <f t="shared" si="2"/>
        <v>南區工務所</v>
      </c>
    </row>
    <row r="33" spans="1:17" ht="18" customHeight="1">
      <c r="A33" s="136"/>
      <c r="B33" s="67"/>
      <c r="C33" s="63"/>
      <c r="D33" s="148"/>
      <c r="E33" s="148"/>
      <c r="F33" s="90"/>
      <c r="G33" s="63" t="s">
        <v>18</v>
      </c>
      <c r="H33" s="63">
        <v>0</v>
      </c>
      <c r="I33" s="63" t="s">
        <v>10</v>
      </c>
      <c r="J33" s="109"/>
      <c r="K33" s="109"/>
      <c r="L33" s="109"/>
      <c r="M33" s="109"/>
      <c r="N33" s="153"/>
      <c r="O33" s="156"/>
      <c r="P33" s="54" t="str">
        <f t="shared" si="2"/>
        <v>王伯豪</v>
      </c>
      <c r="Q33" s="54" t="str">
        <f t="shared" si="2"/>
        <v>南區工務所</v>
      </c>
    </row>
    <row r="34" spans="1:17" ht="18" customHeight="1">
      <c r="A34" s="136"/>
      <c r="B34" s="67"/>
      <c r="C34" s="63"/>
      <c r="D34" s="148"/>
      <c r="E34" s="148"/>
      <c r="F34" s="90"/>
      <c r="G34" s="63" t="s">
        <v>19</v>
      </c>
      <c r="H34" s="63">
        <v>0</v>
      </c>
      <c r="I34" s="63" t="s">
        <v>20</v>
      </c>
      <c r="J34" s="109"/>
      <c r="K34" s="109"/>
      <c r="L34" s="109"/>
      <c r="M34" s="109"/>
      <c r="N34" s="153"/>
      <c r="O34" s="156"/>
      <c r="P34" s="54" t="str">
        <f t="shared" si="2"/>
        <v>王伯豪</v>
      </c>
      <c r="Q34" s="54" t="str">
        <f t="shared" si="2"/>
        <v>南區工務所</v>
      </c>
    </row>
    <row r="35" spans="1:17" ht="18" customHeight="1" thickBot="1">
      <c r="A35" s="136"/>
      <c r="B35" s="68"/>
      <c r="C35" s="64"/>
      <c r="D35" s="148"/>
      <c r="E35" s="148"/>
      <c r="F35" s="90"/>
      <c r="G35" s="64" t="s">
        <v>15</v>
      </c>
      <c r="H35" s="64">
        <v>0</v>
      </c>
      <c r="I35" s="64" t="s">
        <v>10</v>
      </c>
      <c r="J35" s="110"/>
      <c r="K35" s="110"/>
      <c r="L35" s="110"/>
      <c r="M35" s="110"/>
      <c r="N35" s="154"/>
      <c r="O35" s="157"/>
      <c r="P35" s="54" t="str">
        <f t="shared" si="2"/>
        <v>王伯豪</v>
      </c>
      <c r="Q35" s="54" t="str">
        <f t="shared" si="2"/>
        <v>南區工務所</v>
      </c>
    </row>
    <row r="36" spans="1:17" ht="18" customHeight="1">
      <c r="B36" s="55" t="s">
        <v>64</v>
      </c>
      <c r="C36" s="146" t="s">
        <v>0</v>
      </c>
      <c r="D36" s="159"/>
      <c r="E36" s="159"/>
      <c r="F36" s="91" t="s">
        <v>61</v>
      </c>
      <c r="G36" s="146" t="str">
        <f>$G$3</f>
        <v>113年9月25日當日動員機具</v>
      </c>
      <c r="H36" s="146"/>
      <c r="I36" s="146"/>
      <c r="J36" s="92"/>
      <c r="K36" s="92"/>
      <c r="L36" s="56"/>
      <c r="M36" s="56"/>
      <c r="N36" s="147" t="s">
        <v>1</v>
      </c>
      <c r="O36" s="149" t="str">
        <f>工程基本資料!D6</f>
        <v>詹智為、張思漢</v>
      </c>
      <c r="P36" s="54" t="str">
        <f>O36</f>
        <v>詹智為、張思漢</v>
      </c>
      <c r="Q36" s="54" t="str">
        <f>N39</f>
        <v>北區工務所</v>
      </c>
    </row>
    <row r="37" spans="1:17" ht="18" customHeight="1">
      <c r="B37" s="57" t="str">
        <f>工程基本資料!C6</f>
        <v>H-113-03-113021</v>
      </c>
      <c r="C37" s="90" t="s">
        <v>2</v>
      </c>
      <c r="D37" s="140" t="s">
        <v>3</v>
      </c>
      <c r="E37" s="141"/>
      <c r="F37" s="86"/>
      <c r="G37" s="60" t="s">
        <v>2</v>
      </c>
      <c r="H37" s="148" t="s">
        <v>4</v>
      </c>
      <c r="I37" s="148"/>
      <c r="J37" s="93" t="s">
        <v>188</v>
      </c>
      <c r="K37" s="93" t="s">
        <v>190</v>
      </c>
      <c r="L37" s="59" t="s">
        <v>59</v>
      </c>
      <c r="M37" s="59" t="s">
        <v>60</v>
      </c>
      <c r="N37" s="148"/>
      <c r="O37" s="150"/>
      <c r="P37" s="54" t="str">
        <f t="shared" ref="P37:Q46" si="3">P36</f>
        <v>詹智為、張思漢</v>
      </c>
      <c r="Q37" s="54" t="str">
        <f>Q36</f>
        <v>北區工務所</v>
      </c>
    </row>
    <row r="38" spans="1:17" ht="18" customHeight="1">
      <c r="A38" s="136">
        <v>4</v>
      </c>
      <c r="B38" s="137" t="str">
        <f>工程基本資料!B6</f>
        <v>113年度西區水利建造物檢修改善及災後復原(基隆河左岸高速公路內湖橋至洲美大橋段)預約維護工程</v>
      </c>
      <c r="C38" s="90" t="s">
        <v>5</v>
      </c>
      <c r="D38" s="148" t="s">
        <v>121</v>
      </c>
      <c r="E38" s="148"/>
      <c r="F38" s="90" t="s">
        <v>121</v>
      </c>
      <c r="G38" s="60" t="s">
        <v>6</v>
      </c>
      <c r="H38" s="60">
        <v>7</v>
      </c>
      <c r="I38" s="60" t="s">
        <v>7</v>
      </c>
      <c r="J38" s="114"/>
      <c r="K38" s="114"/>
      <c r="L38" s="114" t="s">
        <v>156</v>
      </c>
      <c r="M38" s="114" t="s">
        <v>156</v>
      </c>
      <c r="N38" s="148"/>
      <c r="O38" s="151"/>
      <c r="P38" s="54" t="str">
        <f t="shared" si="3"/>
        <v>詹智為、張思漢</v>
      </c>
      <c r="Q38" s="54" t="str">
        <f t="shared" si="3"/>
        <v>北區工務所</v>
      </c>
    </row>
    <row r="39" spans="1:17" ht="18" customHeight="1">
      <c r="A39" s="136"/>
      <c r="B39" s="138"/>
      <c r="C39" s="90" t="s">
        <v>16</v>
      </c>
      <c r="D39" s="148" t="s">
        <v>122</v>
      </c>
      <c r="E39" s="148"/>
      <c r="F39" s="90" t="s">
        <v>121</v>
      </c>
      <c r="G39" s="60" t="s">
        <v>9</v>
      </c>
      <c r="H39" s="60">
        <v>0</v>
      </c>
      <c r="I39" s="60" t="s">
        <v>10</v>
      </c>
      <c r="J39" s="115"/>
      <c r="K39" s="115"/>
      <c r="L39" s="115"/>
      <c r="M39" s="115"/>
      <c r="N39" s="152" t="str">
        <f>工程基本資料!E6</f>
        <v>北區工務所</v>
      </c>
      <c r="O39" s="155" t="str">
        <f>工程基本資料!I6</f>
        <v>逸峰營造有限公司</v>
      </c>
      <c r="P39" s="54" t="str">
        <f t="shared" si="3"/>
        <v>詹智為、張思漢</v>
      </c>
      <c r="Q39" s="54" t="str">
        <f t="shared" si="3"/>
        <v>北區工務所</v>
      </c>
    </row>
    <row r="40" spans="1:17" ht="18" customHeight="1">
      <c r="A40" s="136"/>
      <c r="B40" s="138"/>
      <c r="C40" s="90" t="s">
        <v>8</v>
      </c>
      <c r="D40" s="148" t="s">
        <v>123</v>
      </c>
      <c r="E40" s="148"/>
      <c r="F40" s="90" t="s">
        <v>176</v>
      </c>
      <c r="G40" s="60" t="s">
        <v>17</v>
      </c>
      <c r="H40" s="60">
        <v>0</v>
      </c>
      <c r="I40" s="60" t="s">
        <v>10</v>
      </c>
      <c r="J40" s="115"/>
      <c r="K40" s="115"/>
      <c r="L40" s="115"/>
      <c r="M40" s="115"/>
      <c r="N40" s="153"/>
      <c r="O40" s="156"/>
      <c r="P40" s="54" t="str">
        <f t="shared" si="3"/>
        <v>詹智為、張思漢</v>
      </c>
      <c r="Q40" s="54" t="str">
        <f t="shared" si="3"/>
        <v>北區工務所</v>
      </c>
    </row>
    <row r="41" spans="1:17" ht="18" customHeight="1">
      <c r="A41" s="136"/>
      <c r="B41" s="138"/>
      <c r="C41" s="90" t="s">
        <v>12</v>
      </c>
      <c r="D41" s="148" t="s">
        <v>124</v>
      </c>
      <c r="E41" s="148"/>
      <c r="F41" s="90" t="s">
        <v>154</v>
      </c>
      <c r="G41" s="60" t="s">
        <v>11</v>
      </c>
      <c r="H41" s="60">
        <v>0</v>
      </c>
      <c r="I41" s="60" t="s">
        <v>10</v>
      </c>
      <c r="J41" s="115"/>
      <c r="K41" s="115"/>
      <c r="L41" s="115"/>
      <c r="M41" s="115"/>
      <c r="N41" s="153"/>
      <c r="O41" s="156"/>
      <c r="P41" s="54" t="str">
        <f t="shared" si="3"/>
        <v>詹智為、張思漢</v>
      </c>
      <c r="Q41" s="54" t="str">
        <f t="shared" si="3"/>
        <v>北區工務所</v>
      </c>
    </row>
    <row r="42" spans="1:17" ht="18" customHeight="1">
      <c r="A42" s="136"/>
      <c r="B42" s="138"/>
      <c r="D42" s="148"/>
      <c r="E42" s="148"/>
      <c r="F42" s="60"/>
      <c r="G42" s="60" t="s">
        <v>13</v>
      </c>
      <c r="H42" s="60">
        <v>1</v>
      </c>
      <c r="I42" s="60" t="s">
        <v>10</v>
      </c>
      <c r="J42" s="115"/>
      <c r="K42" s="115"/>
      <c r="L42" s="115"/>
      <c r="M42" s="115"/>
      <c r="N42" s="153"/>
      <c r="O42" s="156"/>
      <c r="P42" s="54" t="str">
        <f t="shared" si="3"/>
        <v>詹智為、張思漢</v>
      </c>
      <c r="Q42" s="54" t="str">
        <f t="shared" si="3"/>
        <v>北區工務所</v>
      </c>
    </row>
    <row r="43" spans="1:17" ht="18" customHeight="1">
      <c r="A43" s="136"/>
      <c r="B43" s="67"/>
      <c r="C43" s="60"/>
      <c r="D43" s="148"/>
      <c r="E43" s="148"/>
      <c r="F43" s="90"/>
      <c r="G43" s="60" t="s">
        <v>14</v>
      </c>
      <c r="H43" s="60">
        <v>3</v>
      </c>
      <c r="I43" s="60" t="s">
        <v>10</v>
      </c>
      <c r="J43" s="115"/>
      <c r="K43" s="115"/>
      <c r="L43" s="115"/>
      <c r="M43" s="115"/>
      <c r="N43" s="153"/>
      <c r="O43" s="156"/>
      <c r="P43" s="54" t="str">
        <f t="shared" si="3"/>
        <v>詹智為、張思漢</v>
      </c>
      <c r="Q43" s="54" t="str">
        <f t="shared" si="3"/>
        <v>北區工務所</v>
      </c>
    </row>
    <row r="44" spans="1:17" ht="18" customHeight="1">
      <c r="A44" s="136"/>
      <c r="B44" s="138"/>
      <c r="C44" s="63"/>
      <c r="D44" s="148"/>
      <c r="E44" s="148"/>
      <c r="F44" s="90"/>
      <c r="G44" s="63" t="s">
        <v>18</v>
      </c>
      <c r="H44" s="63">
        <v>0</v>
      </c>
      <c r="I44" s="63" t="s">
        <v>10</v>
      </c>
      <c r="J44" s="115"/>
      <c r="K44" s="115"/>
      <c r="L44" s="115"/>
      <c r="M44" s="115"/>
      <c r="N44" s="153"/>
      <c r="O44" s="156"/>
      <c r="P44" s="54" t="str">
        <f t="shared" si="3"/>
        <v>詹智為、張思漢</v>
      </c>
      <c r="Q44" s="54" t="str">
        <f t="shared" si="3"/>
        <v>北區工務所</v>
      </c>
    </row>
    <row r="45" spans="1:17" ht="18" customHeight="1">
      <c r="A45" s="136"/>
      <c r="B45" s="138"/>
      <c r="C45" s="63"/>
      <c r="D45" s="148"/>
      <c r="E45" s="148"/>
      <c r="F45" s="90"/>
      <c r="G45" s="63" t="s">
        <v>19</v>
      </c>
      <c r="H45" s="63">
        <v>0</v>
      </c>
      <c r="I45" s="63" t="s">
        <v>20</v>
      </c>
      <c r="J45" s="115"/>
      <c r="K45" s="115"/>
      <c r="L45" s="115"/>
      <c r="M45" s="115"/>
      <c r="N45" s="153"/>
      <c r="O45" s="156"/>
      <c r="P45" s="54" t="str">
        <f t="shared" si="3"/>
        <v>詹智為、張思漢</v>
      </c>
      <c r="Q45" s="54" t="str">
        <f t="shared" si="3"/>
        <v>北區工務所</v>
      </c>
    </row>
    <row r="46" spans="1:17" ht="18" customHeight="1" thickBot="1">
      <c r="A46" s="136"/>
      <c r="B46" s="139"/>
      <c r="C46" s="64"/>
      <c r="D46" s="148"/>
      <c r="E46" s="148"/>
      <c r="F46" s="90"/>
      <c r="G46" s="64" t="s">
        <v>15</v>
      </c>
      <c r="H46" s="64">
        <v>1</v>
      </c>
      <c r="I46" s="64" t="s">
        <v>10</v>
      </c>
      <c r="J46" s="116"/>
      <c r="K46" s="116"/>
      <c r="L46" s="116"/>
      <c r="M46" s="116"/>
      <c r="N46" s="154"/>
      <c r="O46" s="157"/>
      <c r="P46" s="54" t="str">
        <f t="shared" si="3"/>
        <v>詹智為、張思漢</v>
      </c>
      <c r="Q46" s="54" t="str">
        <f t="shared" si="3"/>
        <v>北區工務所</v>
      </c>
    </row>
    <row r="47" spans="1:17" ht="18" hidden="1" customHeight="1">
      <c r="B47" s="55" t="s">
        <v>64</v>
      </c>
      <c r="C47" s="146" t="s">
        <v>0</v>
      </c>
      <c r="D47" s="159"/>
      <c r="E47" s="159"/>
      <c r="F47" s="78" t="s">
        <v>61</v>
      </c>
      <c r="G47" s="146" t="str">
        <f>$G$3</f>
        <v>113年9月25日當日動員機具</v>
      </c>
      <c r="H47" s="146"/>
      <c r="I47" s="146"/>
      <c r="J47" s="92"/>
      <c r="K47" s="92"/>
      <c r="L47" s="56"/>
      <c r="M47" s="56"/>
      <c r="N47" s="147" t="s">
        <v>1</v>
      </c>
      <c r="O47" s="149" t="str">
        <f>工程基本資料!D7</f>
        <v>周根杉</v>
      </c>
      <c r="P47" s="54" t="str">
        <f>O47</f>
        <v>周根杉</v>
      </c>
      <c r="Q47" s="54" t="str">
        <f>N50</f>
        <v>北區工務所</v>
      </c>
    </row>
    <row r="48" spans="1:17" ht="18" hidden="1" customHeight="1">
      <c r="B48" s="57" t="str">
        <f>工程基本資料!C7</f>
        <v>H-113-03-113025</v>
      </c>
      <c r="C48" s="61" t="s">
        <v>2</v>
      </c>
      <c r="D48" s="140" t="s">
        <v>3</v>
      </c>
      <c r="E48" s="141"/>
      <c r="F48" s="59"/>
      <c r="G48" s="60" t="s">
        <v>2</v>
      </c>
      <c r="H48" s="148" t="s">
        <v>4</v>
      </c>
      <c r="I48" s="148"/>
      <c r="J48" s="93" t="s">
        <v>188</v>
      </c>
      <c r="K48" s="93" t="s">
        <v>190</v>
      </c>
      <c r="L48" s="59" t="s">
        <v>59</v>
      </c>
      <c r="M48" s="59" t="s">
        <v>60</v>
      </c>
      <c r="N48" s="148"/>
      <c r="O48" s="150"/>
      <c r="P48" s="54" t="str">
        <f t="shared" ref="P48:Q57" si="4">P47</f>
        <v>周根杉</v>
      </c>
      <c r="Q48" s="54" t="str">
        <f>Q47</f>
        <v>北區工務所</v>
      </c>
    </row>
    <row r="49" spans="1:17" ht="18" hidden="1" customHeight="1">
      <c r="A49" s="136">
        <v>5</v>
      </c>
      <c r="B49" s="137" t="str">
        <f>工程基本資料!B7</f>
        <v>113年度北區河濱公園土木暨災後復原預約維護工程</v>
      </c>
      <c r="C49" s="61" t="s">
        <v>5</v>
      </c>
      <c r="D49" s="140" t="s">
        <v>62</v>
      </c>
      <c r="E49" s="141"/>
      <c r="F49" s="59" t="s">
        <v>62</v>
      </c>
      <c r="G49" s="60" t="s">
        <v>6</v>
      </c>
      <c r="H49" s="60"/>
      <c r="I49" s="60" t="s">
        <v>7</v>
      </c>
      <c r="J49" s="160"/>
      <c r="K49" s="142"/>
      <c r="L49" s="160"/>
      <c r="M49" s="142"/>
      <c r="N49" s="148"/>
      <c r="O49" s="151"/>
      <c r="P49" s="54" t="str">
        <f t="shared" si="4"/>
        <v>周根杉</v>
      </c>
      <c r="Q49" s="54" t="str">
        <f t="shared" si="4"/>
        <v>北區工務所</v>
      </c>
    </row>
    <row r="50" spans="1:17" ht="18" hidden="1" customHeight="1">
      <c r="A50" s="136"/>
      <c r="B50" s="138"/>
      <c r="C50" s="61" t="s">
        <v>16</v>
      </c>
      <c r="D50" s="140" t="s">
        <v>62</v>
      </c>
      <c r="E50" s="141"/>
      <c r="F50" s="59" t="s">
        <v>62</v>
      </c>
      <c r="G50" s="60" t="s">
        <v>9</v>
      </c>
      <c r="H50" s="60"/>
      <c r="I50" s="60" t="s">
        <v>10</v>
      </c>
      <c r="J50" s="161"/>
      <c r="K50" s="143"/>
      <c r="L50" s="161"/>
      <c r="M50" s="143"/>
      <c r="N50" s="152" t="str">
        <f>工程基本資料!E7</f>
        <v>北區工務所</v>
      </c>
      <c r="O50" s="155" t="str">
        <f>工程基本資料!I7</f>
        <v>冠錏營造有限公司</v>
      </c>
      <c r="P50" s="54" t="str">
        <f t="shared" si="4"/>
        <v>周根杉</v>
      </c>
      <c r="Q50" s="54" t="str">
        <f t="shared" si="4"/>
        <v>北區工務所</v>
      </c>
    </row>
    <row r="51" spans="1:17" ht="18" hidden="1" customHeight="1">
      <c r="A51" s="136"/>
      <c r="B51" s="138"/>
      <c r="C51" s="61" t="s">
        <v>8</v>
      </c>
      <c r="D51" s="140" t="s">
        <v>62</v>
      </c>
      <c r="E51" s="141"/>
      <c r="F51" s="59" t="s">
        <v>62</v>
      </c>
      <c r="G51" s="60" t="s">
        <v>17</v>
      </c>
      <c r="H51" s="60"/>
      <c r="I51" s="60" t="s">
        <v>10</v>
      </c>
      <c r="J51" s="161"/>
      <c r="K51" s="143"/>
      <c r="L51" s="161"/>
      <c r="M51" s="143"/>
      <c r="N51" s="153"/>
      <c r="O51" s="156"/>
      <c r="P51" s="54" t="str">
        <f t="shared" si="4"/>
        <v>周根杉</v>
      </c>
      <c r="Q51" s="54" t="str">
        <f t="shared" si="4"/>
        <v>北區工務所</v>
      </c>
    </row>
    <row r="52" spans="1:17" ht="18" hidden="1" customHeight="1">
      <c r="A52" s="136"/>
      <c r="B52" s="138"/>
      <c r="C52" s="61" t="s">
        <v>66</v>
      </c>
      <c r="D52" s="140" t="s">
        <v>62</v>
      </c>
      <c r="E52" s="141"/>
      <c r="F52" s="59" t="s">
        <v>62</v>
      </c>
      <c r="G52" s="60" t="s">
        <v>11</v>
      </c>
      <c r="H52" s="60"/>
      <c r="I52" s="60" t="s">
        <v>10</v>
      </c>
      <c r="J52" s="161"/>
      <c r="K52" s="143"/>
      <c r="L52" s="161"/>
      <c r="M52" s="143"/>
      <c r="N52" s="153"/>
      <c r="O52" s="156"/>
      <c r="P52" s="54" t="str">
        <f t="shared" si="4"/>
        <v>周根杉</v>
      </c>
      <c r="Q52" s="54" t="str">
        <f t="shared" si="4"/>
        <v>北區工務所</v>
      </c>
    </row>
    <row r="53" spans="1:17" ht="18" hidden="1" customHeight="1">
      <c r="A53" s="136"/>
      <c r="B53" s="138"/>
      <c r="C53" s="61"/>
      <c r="D53" s="148"/>
      <c r="E53" s="148"/>
      <c r="G53" s="60" t="s">
        <v>13</v>
      </c>
      <c r="H53" s="60"/>
      <c r="I53" s="60" t="s">
        <v>10</v>
      </c>
      <c r="J53" s="161"/>
      <c r="K53" s="143"/>
      <c r="L53" s="161"/>
      <c r="M53" s="143"/>
      <c r="N53" s="153"/>
      <c r="O53" s="156"/>
      <c r="P53" s="54" t="str">
        <f t="shared" si="4"/>
        <v>周根杉</v>
      </c>
      <c r="Q53" s="54" t="str">
        <f t="shared" si="4"/>
        <v>北區工務所</v>
      </c>
    </row>
    <row r="54" spans="1:17" ht="18" hidden="1" customHeight="1">
      <c r="A54" s="136"/>
      <c r="B54" s="138"/>
      <c r="C54" s="60"/>
      <c r="D54" s="148"/>
      <c r="E54" s="148"/>
      <c r="F54" s="62"/>
      <c r="G54" s="60" t="s">
        <v>14</v>
      </c>
      <c r="H54" s="60"/>
      <c r="I54" s="60" t="s">
        <v>10</v>
      </c>
      <c r="J54" s="161"/>
      <c r="K54" s="143"/>
      <c r="L54" s="161"/>
      <c r="M54" s="143"/>
      <c r="N54" s="153"/>
      <c r="O54" s="156"/>
      <c r="P54" s="54" t="str">
        <f t="shared" si="4"/>
        <v>周根杉</v>
      </c>
      <c r="Q54" s="54" t="str">
        <f t="shared" si="4"/>
        <v>北區工務所</v>
      </c>
    </row>
    <row r="55" spans="1:17" ht="18" hidden="1" customHeight="1">
      <c r="A55" s="136"/>
      <c r="B55" s="67"/>
      <c r="C55" s="63"/>
      <c r="D55" s="148"/>
      <c r="E55" s="148"/>
      <c r="F55" s="62"/>
      <c r="G55" s="63" t="s">
        <v>18</v>
      </c>
      <c r="H55" s="63"/>
      <c r="I55" s="63" t="s">
        <v>10</v>
      </c>
      <c r="J55" s="161"/>
      <c r="K55" s="143"/>
      <c r="L55" s="161"/>
      <c r="M55" s="143"/>
      <c r="N55" s="153"/>
      <c r="O55" s="156"/>
      <c r="P55" s="54" t="str">
        <f t="shared" si="4"/>
        <v>周根杉</v>
      </c>
      <c r="Q55" s="54" t="str">
        <f t="shared" si="4"/>
        <v>北區工務所</v>
      </c>
    </row>
    <row r="56" spans="1:17" ht="18" hidden="1" customHeight="1">
      <c r="A56" s="136"/>
      <c r="B56" s="67"/>
      <c r="C56" s="63"/>
      <c r="D56" s="148"/>
      <c r="E56" s="148"/>
      <c r="F56" s="62"/>
      <c r="G56" s="63" t="s">
        <v>19</v>
      </c>
      <c r="H56" s="63"/>
      <c r="I56" s="63" t="s">
        <v>20</v>
      </c>
      <c r="J56" s="161"/>
      <c r="K56" s="143"/>
      <c r="L56" s="161"/>
      <c r="M56" s="143"/>
      <c r="N56" s="153"/>
      <c r="O56" s="156"/>
      <c r="P56" s="54" t="str">
        <f t="shared" si="4"/>
        <v>周根杉</v>
      </c>
      <c r="Q56" s="54" t="str">
        <f t="shared" si="4"/>
        <v>北區工務所</v>
      </c>
    </row>
    <row r="57" spans="1:17" ht="18" hidden="1" customHeight="1" thickBot="1">
      <c r="A57" s="136"/>
      <c r="B57" s="68"/>
      <c r="C57" s="64"/>
      <c r="D57" s="158"/>
      <c r="E57" s="158"/>
      <c r="F57" s="66"/>
      <c r="G57" s="64" t="s">
        <v>15</v>
      </c>
      <c r="H57" s="64"/>
      <c r="I57" s="64" t="s">
        <v>10</v>
      </c>
      <c r="J57" s="162"/>
      <c r="K57" s="144"/>
      <c r="L57" s="162"/>
      <c r="M57" s="144"/>
      <c r="N57" s="154"/>
      <c r="O57" s="157"/>
      <c r="P57" s="54" t="str">
        <f>P55</f>
        <v>周根杉</v>
      </c>
      <c r="Q57" s="54" t="str">
        <f t="shared" si="4"/>
        <v>北區工務所</v>
      </c>
    </row>
    <row r="58" spans="1:17" ht="18" customHeight="1">
      <c r="B58" s="55" t="s">
        <v>64</v>
      </c>
      <c r="C58" s="146" t="s">
        <v>0</v>
      </c>
      <c r="D58" s="146"/>
      <c r="E58" s="146"/>
      <c r="F58" s="56" t="s">
        <v>61</v>
      </c>
      <c r="G58" s="146" t="str">
        <f>$G$3</f>
        <v>113年9月25日當日動員機具</v>
      </c>
      <c r="H58" s="146"/>
      <c r="I58" s="146"/>
      <c r="J58" s="92"/>
      <c r="K58" s="92"/>
      <c r="L58" s="56"/>
      <c r="M58" s="56"/>
      <c r="N58" s="147" t="s">
        <v>1</v>
      </c>
      <c r="O58" s="149" t="str">
        <f>工程基本資料!D8</f>
        <v>陳政誠</v>
      </c>
      <c r="P58" s="54" t="str">
        <f>O58</f>
        <v>陳政誠</v>
      </c>
      <c r="Q58" s="54" t="str">
        <f>N61</f>
        <v>南內工務所</v>
      </c>
    </row>
    <row r="59" spans="1:17" ht="18" customHeight="1">
      <c r="B59" s="57" t="str">
        <f>工程基本資料!C8</f>
        <v>H-113-03-113020</v>
      </c>
      <c r="C59" s="61" t="s">
        <v>2</v>
      </c>
      <c r="D59" s="140" t="s">
        <v>3</v>
      </c>
      <c r="E59" s="141"/>
      <c r="F59" s="59"/>
      <c r="G59" s="60" t="s">
        <v>2</v>
      </c>
      <c r="H59" s="148" t="s">
        <v>4</v>
      </c>
      <c r="I59" s="148"/>
      <c r="J59" s="93" t="s">
        <v>188</v>
      </c>
      <c r="K59" s="93" t="s">
        <v>190</v>
      </c>
      <c r="L59" s="59" t="s">
        <v>59</v>
      </c>
      <c r="M59" s="59" t="s">
        <v>60</v>
      </c>
      <c r="N59" s="148"/>
      <c r="O59" s="150"/>
      <c r="P59" s="54" t="str">
        <f t="shared" ref="P59:Q68" si="5">P58</f>
        <v>陳政誠</v>
      </c>
      <c r="Q59" s="54" t="str">
        <f>Q58</f>
        <v>南內工務所</v>
      </c>
    </row>
    <row r="60" spans="1:17" ht="24.95" customHeight="1">
      <c r="A60" s="136">
        <v>6</v>
      </c>
      <c r="B60" s="137" t="str">
        <f>工程基本資料!B8</f>
        <v>113年度東區水利建造物檢修改善及災後復原(基隆河左岸高速公路內湖橋上游段，含四分溪及大坑溪)預約維護工程</v>
      </c>
      <c r="C60" s="82" t="s">
        <v>136</v>
      </c>
      <c r="D60" s="117" t="s">
        <v>139</v>
      </c>
      <c r="E60" s="118"/>
      <c r="F60" s="83" t="s">
        <v>62</v>
      </c>
      <c r="G60" s="60" t="s">
        <v>6</v>
      </c>
      <c r="H60" s="60">
        <v>3</v>
      </c>
      <c r="I60" s="60" t="s">
        <v>7</v>
      </c>
      <c r="J60" s="163"/>
      <c r="K60" s="166"/>
      <c r="L60" s="163" t="s">
        <v>160</v>
      </c>
      <c r="M60" s="166" t="s">
        <v>164</v>
      </c>
      <c r="N60" s="148"/>
      <c r="O60" s="151"/>
      <c r="P60" s="54" t="str">
        <f t="shared" si="5"/>
        <v>陳政誠</v>
      </c>
      <c r="Q60" s="54" t="str">
        <f t="shared" si="5"/>
        <v>南內工務所</v>
      </c>
    </row>
    <row r="61" spans="1:17" ht="24.95" customHeight="1">
      <c r="A61" s="136"/>
      <c r="B61" s="138"/>
      <c r="C61" s="81" t="s">
        <v>177</v>
      </c>
      <c r="D61" s="117" t="s">
        <v>138</v>
      </c>
      <c r="E61" s="118"/>
      <c r="F61" s="83" t="s">
        <v>178</v>
      </c>
      <c r="G61" s="60" t="s">
        <v>9</v>
      </c>
      <c r="H61" s="60">
        <v>0</v>
      </c>
      <c r="I61" s="60" t="s">
        <v>10</v>
      </c>
      <c r="J61" s="164"/>
      <c r="K61" s="167"/>
      <c r="L61" s="164"/>
      <c r="M61" s="167"/>
      <c r="N61" s="152" t="str">
        <f>工程基本資料!E8</f>
        <v>南內工務所</v>
      </c>
      <c r="O61" s="155" t="str">
        <f>工程基本資料!I8</f>
        <v>淞源營造有限公司</v>
      </c>
      <c r="P61" s="54" t="str">
        <f t="shared" si="5"/>
        <v>陳政誠</v>
      </c>
      <c r="Q61" s="54" t="str">
        <f t="shared" si="5"/>
        <v>南內工務所</v>
      </c>
    </row>
    <row r="62" spans="1:17" ht="24.95" customHeight="1">
      <c r="A62" s="136"/>
      <c r="B62" s="138"/>
      <c r="C62" s="81" t="s">
        <v>8</v>
      </c>
      <c r="D62" s="117" t="s">
        <v>130</v>
      </c>
      <c r="E62" s="118"/>
      <c r="F62" s="83" t="s">
        <v>128</v>
      </c>
      <c r="G62" s="60" t="s">
        <v>17</v>
      </c>
      <c r="H62" s="60">
        <v>0</v>
      </c>
      <c r="I62" s="60" t="s">
        <v>10</v>
      </c>
      <c r="J62" s="164"/>
      <c r="K62" s="167"/>
      <c r="L62" s="164"/>
      <c r="M62" s="167"/>
      <c r="N62" s="153"/>
      <c r="O62" s="156"/>
      <c r="P62" s="54" t="str">
        <f t="shared" si="5"/>
        <v>陳政誠</v>
      </c>
      <c r="Q62" s="54" t="str">
        <f t="shared" si="5"/>
        <v>南內工務所</v>
      </c>
    </row>
    <row r="63" spans="1:17" ht="24.95" customHeight="1">
      <c r="A63" s="136"/>
      <c r="B63" s="138"/>
      <c r="C63" s="81" t="s">
        <v>133</v>
      </c>
      <c r="D63" s="117" t="s">
        <v>138</v>
      </c>
      <c r="E63" s="118"/>
      <c r="F63" s="83" t="s">
        <v>178</v>
      </c>
      <c r="G63" s="60" t="s">
        <v>11</v>
      </c>
      <c r="H63" s="60">
        <v>0</v>
      </c>
      <c r="I63" s="60" t="s">
        <v>10</v>
      </c>
      <c r="J63" s="164"/>
      <c r="K63" s="167"/>
      <c r="L63" s="164"/>
      <c r="M63" s="167"/>
      <c r="N63" s="153"/>
      <c r="O63" s="156"/>
      <c r="P63" s="54" t="str">
        <f t="shared" si="5"/>
        <v>陳政誠</v>
      </c>
      <c r="Q63" s="54" t="str">
        <f t="shared" si="5"/>
        <v>南內工務所</v>
      </c>
    </row>
    <row r="64" spans="1:17" ht="24.95" customHeight="1">
      <c r="A64" s="136"/>
      <c r="B64" s="138"/>
      <c r="C64" s="81" t="s">
        <v>66</v>
      </c>
      <c r="D64" s="117" t="s">
        <v>179</v>
      </c>
      <c r="E64" s="118"/>
      <c r="F64" s="83"/>
      <c r="G64" s="60" t="s">
        <v>13</v>
      </c>
      <c r="H64" s="60">
        <v>1</v>
      </c>
      <c r="I64" s="60" t="s">
        <v>10</v>
      </c>
      <c r="J64" s="164"/>
      <c r="K64" s="167"/>
      <c r="L64" s="164"/>
      <c r="M64" s="167"/>
      <c r="N64" s="153"/>
      <c r="O64" s="156"/>
      <c r="P64" s="54" t="str">
        <f t="shared" si="5"/>
        <v>陳政誠</v>
      </c>
      <c r="Q64" s="54" t="str">
        <f t="shared" si="5"/>
        <v>南內工務所</v>
      </c>
    </row>
    <row r="65" spans="1:17" ht="24.95" customHeight="1">
      <c r="A65" s="136"/>
      <c r="B65" s="138"/>
      <c r="C65" s="60"/>
      <c r="D65" s="148"/>
      <c r="E65" s="148"/>
      <c r="F65" s="61"/>
      <c r="G65" s="60" t="s">
        <v>14</v>
      </c>
      <c r="H65" s="60">
        <v>0</v>
      </c>
      <c r="I65" s="60" t="s">
        <v>10</v>
      </c>
      <c r="J65" s="164"/>
      <c r="K65" s="167"/>
      <c r="L65" s="164"/>
      <c r="M65" s="167"/>
      <c r="N65" s="153"/>
      <c r="O65" s="156"/>
      <c r="P65" s="54" t="str">
        <f t="shared" si="5"/>
        <v>陳政誠</v>
      </c>
      <c r="Q65" s="54" t="str">
        <f t="shared" si="5"/>
        <v>南內工務所</v>
      </c>
    </row>
    <row r="66" spans="1:17" ht="24.95" customHeight="1">
      <c r="B66" s="67"/>
      <c r="C66" s="63"/>
      <c r="D66" s="148"/>
      <c r="E66" s="148"/>
      <c r="F66" s="61"/>
      <c r="G66" s="63" t="s">
        <v>18</v>
      </c>
      <c r="H66" s="63">
        <v>0</v>
      </c>
      <c r="I66" s="63" t="s">
        <v>10</v>
      </c>
      <c r="J66" s="164"/>
      <c r="K66" s="167"/>
      <c r="L66" s="164"/>
      <c r="M66" s="167"/>
      <c r="N66" s="153"/>
      <c r="O66" s="156"/>
      <c r="P66" s="54" t="str">
        <f t="shared" si="5"/>
        <v>陳政誠</v>
      </c>
      <c r="Q66" s="54" t="str">
        <f t="shared" si="5"/>
        <v>南內工務所</v>
      </c>
    </row>
    <row r="67" spans="1:17" ht="24.95" customHeight="1">
      <c r="B67" s="67"/>
      <c r="C67" s="63"/>
      <c r="D67" s="148"/>
      <c r="E67" s="148"/>
      <c r="F67" s="61"/>
      <c r="G67" s="63" t="s">
        <v>19</v>
      </c>
      <c r="H67" s="63">
        <v>0</v>
      </c>
      <c r="I67" s="63" t="s">
        <v>20</v>
      </c>
      <c r="J67" s="164"/>
      <c r="K67" s="167"/>
      <c r="L67" s="164"/>
      <c r="M67" s="167"/>
      <c r="N67" s="153"/>
      <c r="O67" s="156"/>
      <c r="P67" s="54" t="str">
        <f t="shared" si="5"/>
        <v>陳政誠</v>
      </c>
      <c r="Q67" s="54" t="str">
        <f t="shared" si="5"/>
        <v>南內工務所</v>
      </c>
    </row>
    <row r="68" spans="1:17" ht="24.95" customHeight="1" thickBot="1">
      <c r="B68" s="68"/>
      <c r="C68" s="64"/>
      <c r="D68" s="148"/>
      <c r="E68" s="148"/>
      <c r="F68" s="61"/>
      <c r="G68" s="64" t="s">
        <v>15</v>
      </c>
      <c r="H68" s="64">
        <v>0</v>
      </c>
      <c r="I68" s="64" t="s">
        <v>10</v>
      </c>
      <c r="J68" s="165"/>
      <c r="K68" s="168"/>
      <c r="L68" s="165"/>
      <c r="M68" s="168"/>
      <c r="N68" s="154"/>
      <c r="O68" s="157"/>
      <c r="P68" s="54" t="str">
        <f>P66</f>
        <v>陳政誠</v>
      </c>
      <c r="Q68" s="54" t="str">
        <f t="shared" si="5"/>
        <v>南內工務所</v>
      </c>
    </row>
    <row r="69" spans="1:17" ht="18" customHeight="1">
      <c r="B69" s="55" t="s">
        <v>64</v>
      </c>
      <c r="C69" s="146" t="s">
        <v>0</v>
      </c>
      <c r="D69" s="159"/>
      <c r="E69" s="159"/>
      <c r="F69" s="78" t="s">
        <v>61</v>
      </c>
      <c r="G69" s="146" t="str">
        <f>$G$3</f>
        <v>113年9月25日當日動員機具</v>
      </c>
      <c r="H69" s="146"/>
      <c r="I69" s="146"/>
      <c r="J69" s="92"/>
      <c r="K69" s="92"/>
      <c r="L69" s="56"/>
      <c r="M69" s="56"/>
      <c r="N69" s="147" t="s">
        <v>1</v>
      </c>
      <c r="O69" s="149" t="str">
        <f>工程基本資料!D9</f>
        <v>陳政誠</v>
      </c>
      <c r="P69" s="54" t="str">
        <f>O69</f>
        <v>陳政誠</v>
      </c>
      <c r="Q69" s="54" t="str">
        <f>N72</f>
        <v>南內工務所</v>
      </c>
    </row>
    <row r="70" spans="1:17" ht="18" customHeight="1">
      <c r="B70" s="57" t="str">
        <f>工程基本資料!C9</f>
        <v>H-113-03-113018</v>
      </c>
      <c r="C70" s="61" t="s">
        <v>2</v>
      </c>
      <c r="D70" s="140" t="s">
        <v>3</v>
      </c>
      <c r="E70" s="141"/>
      <c r="F70" s="59"/>
      <c r="G70" s="60" t="s">
        <v>2</v>
      </c>
      <c r="H70" s="148" t="s">
        <v>4</v>
      </c>
      <c r="I70" s="148"/>
      <c r="J70" s="93" t="s">
        <v>188</v>
      </c>
      <c r="K70" s="93" t="s">
        <v>190</v>
      </c>
      <c r="L70" s="59" t="s">
        <v>59</v>
      </c>
      <c r="M70" s="59" t="s">
        <v>60</v>
      </c>
      <c r="N70" s="148"/>
      <c r="O70" s="150"/>
      <c r="P70" s="54" t="str">
        <f t="shared" ref="P70:Q79" si="6">P69</f>
        <v>陳政誠</v>
      </c>
      <c r="Q70" s="54" t="str">
        <f>Q69</f>
        <v>南內工務所</v>
      </c>
    </row>
    <row r="71" spans="1:17" ht="18" customHeight="1">
      <c r="A71" s="136">
        <v>7</v>
      </c>
      <c r="B71" s="137" t="str">
        <f>工程基本資料!B9</f>
        <v>113年度東區河濱公園路面暨災後復原預約維護工程</v>
      </c>
      <c r="C71" s="81" t="s">
        <v>8</v>
      </c>
      <c r="D71" s="117" t="s">
        <v>129</v>
      </c>
      <c r="E71" s="118"/>
      <c r="F71" s="53" t="s">
        <v>128</v>
      </c>
      <c r="G71" s="60" t="s">
        <v>6</v>
      </c>
      <c r="H71" s="31">
        <v>6</v>
      </c>
      <c r="I71" s="60" t="s">
        <v>7</v>
      </c>
      <c r="J71" s="108"/>
      <c r="K71" s="114"/>
      <c r="L71" s="108" t="s">
        <v>162</v>
      </c>
      <c r="M71" s="114" t="s">
        <v>184</v>
      </c>
      <c r="N71" s="148"/>
      <c r="O71" s="151"/>
      <c r="P71" s="54" t="str">
        <f t="shared" si="6"/>
        <v>陳政誠</v>
      </c>
      <c r="Q71" s="54" t="str">
        <f t="shared" si="6"/>
        <v>南內工務所</v>
      </c>
    </row>
    <row r="72" spans="1:17" ht="18" customHeight="1">
      <c r="A72" s="136"/>
      <c r="B72" s="138"/>
      <c r="C72" s="81" t="s">
        <v>141</v>
      </c>
      <c r="D72" s="117" t="s">
        <v>129</v>
      </c>
      <c r="E72" s="118"/>
      <c r="F72" s="53" t="s">
        <v>128</v>
      </c>
      <c r="G72" s="60" t="s">
        <v>9</v>
      </c>
      <c r="H72" s="31">
        <v>0</v>
      </c>
      <c r="I72" s="60" t="s">
        <v>10</v>
      </c>
      <c r="J72" s="109"/>
      <c r="K72" s="115"/>
      <c r="L72" s="109"/>
      <c r="M72" s="115"/>
      <c r="N72" s="152" t="str">
        <f>工程基本資料!E9</f>
        <v>南內工務所</v>
      </c>
      <c r="O72" s="155" t="str">
        <f>工程基本資料!I9</f>
        <v>松瑩營造有限公司</v>
      </c>
      <c r="P72" s="54" t="str">
        <f t="shared" si="6"/>
        <v>陳政誠</v>
      </c>
      <c r="Q72" s="54" t="str">
        <f t="shared" si="6"/>
        <v>南內工務所</v>
      </c>
    </row>
    <row r="73" spans="1:17" ht="18" customHeight="1">
      <c r="A73" s="136"/>
      <c r="B73" s="138"/>
      <c r="C73" s="81" t="s">
        <v>136</v>
      </c>
      <c r="D73" s="117" t="s">
        <v>142</v>
      </c>
      <c r="E73" s="118"/>
      <c r="F73" s="83" t="s">
        <v>62</v>
      </c>
      <c r="G73" s="60" t="s">
        <v>17</v>
      </c>
      <c r="H73" s="31">
        <v>0</v>
      </c>
      <c r="I73" s="60" t="s">
        <v>10</v>
      </c>
      <c r="J73" s="109"/>
      <c r="K73" s="115"/>
      <c r="L73" s="109"/>
      <c r="M73" s="115"/>
      <c r="N73" s="153"/>
      <c r="O73" s="156"/>
      <c r="P73" s="54" t="str">
        <f t="shared" si="6"/>
        <v>陳政誠</v>
      </c>
      <c r="Q73" s="54" t="str">
        <f t="shared" si="6"/>
        <v>南內工務所</v>
      </c>
    </row>
    <row r="74" spans="1:17" ht="18" customHeight="1">
      <c r="A74" s="136"/>
      <c r="B74" s="138"/>
      <c r="C74" s="81" t="s">
        <v>180</v>
      </c>
      <c r="D74" s="117" t="s">
        <v>181</v>
      </c>
      <c r="E74" s="118"/>
      <c r="F74" s="83" t="s">
        <v>182</v>
      </c>
      <c r="G74" s="60" t="s">
        <v>11</v>
      </c>
      <c r="H74" s="31">
        <v>0</v>
      </c>
      <c r="I74" s="60" t="s">
        <v>10</v>
      </c>
      <c r="J74" s="109"/>
      <c r="K74" s="115"/>
      <c r="L74" s="109"/>
      <c r="M74" s="115"/>
      <c r="N74" s="153"/>
      <c r="O74" s="156"/>
      <c r="P74" s="54" t="str">
        <f t="shared" si="6"/>
        <v>陳政誠</v>
      </c>
      <c r="Q74" s="54" t="str">
        <f t="shared" si="6"/>
        <v>南內工務所</v>
      </c>
    </row>
    <row r="75" spans="1:17" ht="18" customHeight="1">
      <c r="A75" s="136"/>
      <c r="B75" s="138"/>
      <c r="C75" s="81" t="s">
        <v>66</v>
      </c>
      <c r="D75" s="117" t="s">
        <v>183</v>
      </c>
      <c r="E75" s="118"/>
      <c r="F75" s="83"/>
      <c r="G75" s="60" t="s">
        <v>13</v>
      </c>
      <c r="H75" s="31">
        <v>1</v>
      </c>
      <c r="I75" s="60" t="s">
        <v>10</v>
      </c>
      <c r="J75" s="109"/>
      <c r="K75" s="115"/>
      <c r="L75" s="109"/>
      <c r="M75" s="115"/>
      <c r="N75" s="153"/>
      <c r="O75" s="156"/>
      <c r="P75" s="54" t="str">
        <f t="shared" si="6"/>
        <v>陳政誠</v>
      </c>
      <c r="Q75" s="54" t="str">
        <f t="shared" si="6"/>
        <v>南內工務所</v>
      </c>
    </row>
    <row r="76" spans="1:17" ht="18" customHeight="1">
      <c r="A76" s="136"/>
      <c r="B76" s="138"/>
      <c r="C76" s="60"/>
      <c r="D76" s="148"/>
      <c r="E76" s="148"/>
      <c r="F76" s="61"/>
      <c r="G76" s="60" t="s">
        <v>14</v>
      </c>
      <c r="H76" s="31">
        <v>0</v>
      </c>
      <c r="I76" s="60" t="s">
        <v>10</v>
      </c>
      <c r="J76" s="109"/>
      <c r="K76" s="115"/>
      <c r="L76" s="109"/>
      <c r="M76" s="115"/>
      <c r="N76" s="153"/>
      <c r="O76" s="156"/>
      <c r="P76" s="54" t="str">
        <f t="shared" si="6"/>
        <v>陳政誠</v>
      </c>
      <c r="Q76" s="54" t="str">
        <f t="shared" si="6"/>
        <v>南內工務所</v>
      </c>
    </row>
    <row r="77" spans="1:17" ht="18" customHeight="1">
      <c r="B77" s="67"/>
      <c r="C77" s="63"/>
      <c r="D77" s="148"/>
      <c r="E77" s="148"/>
      <c r="F77" s="61"/>
      <c r="G77" s="63" t="s">
        <v>18</v>
      </c>
      <c r="H77" s="34">
        <v>0</v>
      </c>
      <c r="I77" s="63" t="s">
        <v>10</v>
      </c>
      <c r="J77" s="109"/>
      <c r="K77" s="115"/>
      <c r="L77" s="109"/>
      <c r="M77" s="115"/>
      <c r="N77" s="153"/>
      <c r="O77" s="156"/>
      <c r="P77" s="54" t="str">
        <f t="shared" si="6"/>
        <v>陳政誠</v>
      </c>
      <c r="Q77" s="54" t="str">
        <f t="shared" si="6"/>
        <v>南內工務所</v>
      </c>
    </row>
    <row r="78" spans="1:17" ht="18" customHeight="1">
      <c r="B78" s="67"/>
      <c r="C78" s="63"/>
      <c r="D78" s="148"/>
      <c r="E78" s="148"/>
      <c r="F78" s="61"/>
      <c r="G78" s="63" t="s">
        <v>19</v>
      </c>
      <c r="H78" s="34">
        <v>0</v>
      </c>
      <c r="I78" s="63" t="s">
        <v>20</v>
      </c>
      <c r="J78" s="109"/>
      <c r="K78" s="115"/>
      <c r="L78" s="109"/>
      <c r="M78" s="115"/>
      <c r="N78" s="153"/>
      <c r="O78" s="156"/>
      <c r="P78" s="54" t="str">
        <f t="shared" si="6"/>
        <v>陳政誠</v>
      </c>
      <c r="Q78" s="54" t="str">
        <f t="shared" si="6"/>
        <v>南內工務所</v>
      </c>
    </row>
    <row r="79" spans="1:17" ht="18" customHeight="1" thickBot="1">
      <c r="B79" s="68"/>
      <c r="C79" s="64"/>
      <c r="D79" s="148"/>
      <c r="E79" s="148"/>
      <c r="F79" s="61"/>
      <c r="G79" s="64" t="s">
        <v>15</v>
      </c>
      <c r="H79" s="35">
        <v>0</v>
      </c>
      <c r="I79" s="64" t="s">
        <v>10</v>
      </c>
      <c r="J79" s="110"/>
      <c r="K79" s="116"/>
      <c r="L79" s="110"/>
      <c r="M79" s="116"/>
      <c r="N79" s="154"/>
      <c r="O79" s="157"/>
      <c r="P79" s="54" t="str">
        <f>P77</f>
        <v>陳政誠</v>
      </c>
      <c r="Q79" s="54" t="str">
        <f t="shared" si="6"/>
        <v>南內工務所</v>
      </c>
    </row>
    <row r="80" spans="1:17" ht="18" customHeight="1">
      <c r="B80" s="55" t="s">
        <v>64</v>
      </c>
      <c r="C80" s="146" t="s">
        <v>0</v>
      </c>
      <c r="D80" s="159"/>
      <c r="E80" s="159"/>
      <c r="F80" s="78" t="s">
        <v>61</v>
      </c>
      <c r="G80" s="146" t="str">
        <f>$G$3</f>
        <v>113年9月25日當日動員機具</v>
      </c>
      <c r="H80" s="146"/>
      <c r="I80" s="146"/>
      <c r="J80" s="92"/>
      <c r="K80" s="92"/>
      <c r="L80" s="56"/>
      <c r="M80" s="56"/>
      <c r="N80" s="147" t="s">
        <v>1</v>
      </c>
      <c r="O80" s="149" t="str">
        <f>工程基本資料!D10</f>
        <v>江志偉</v>
      </c>
      <c r="P80" s="54" t="str">
        <f>O80</f>
        <v>江志偉</v>
      </c>
      <c r="Q80" s="54" t="str">
        <f>N83</f>
        <v>南內工務所</v>
      </c>
    </row>
    <row r="81" spans="1:17" ht="18" customHeight="1">
      <c r="B81" s="57" t="str">
        <f>工程基本資料!C10</f>
        <v>H-113-03-113045</v>
      </c>
      <c r="C81" s="61" t="s">
        <v>2</v>
      </c>
      <c r="D81" s="140" t="s">
        <v>3</v>
      </c>
      <c r="E81" s="141"/>
      <c r="F81" s="59"/>
      <c r="G81" s="60" t="s">
        <v>2</v>
      </c>
      <c r="H81" s="148" t="s">
        <v>4</v>
      </c>
      <c r="I81" s="148"/>
      <c r="J81" s="93" t="s">
        <v>188</v>
      </c>
      <c r="K81" s="93" t="s">
        <v>190</v>
      </c>
      <c r="L81" s="59" t="s">
        <v>59</v>
      </c>
      <c r="M81" s="59" t="s">
        <v>60</v>
      </c>
      <c r="N81" s="148"/>
      <c r="O81" s="150"/>
      <c r="P81" s="54" t="str">
        <f t="shared" ref="P81:Q90" si="7">P80</f>
        <v>江志偉</v>
      </c>
      <c r="Q81" s="54" t="str">
        <f>Q80</f>
        <v>南內工務所</v>
      </c>
    </row>
    <row r="82" spans="1:17" ht="24.95" customHeight="1">
      <c r="A82" s="136">
        <v>8</v>
      </c>
      <c r="B82" s="137" t="str">
        <f>工程基本資料!B10</f>
        <v>113年度東區河濱公園土木暨災後復原預約維護工程</v>
      </c>
      <c r="C82" s="81" t="s">
        <v>8</v>
      </c>
      <c r="D82" s="117" t="s">
        <v>130</v>
      </c>
      <c r="E82" s="118"/>
      <c r="F82" s="83" t="s">
        <v>131</v>
      </c>
      <c r="G82" s="60" t="s">
        <v>6</v>
      </c>
      <c r="H82" s="60">
        <v>17</v>
      </c>
      <c r="I82" s="60" t="s">
        <v>7</v>
      </c>
      <c r="J82" s="163"/>
      <c r="K82" s="163"/>
      <c r="L82" s="163" t="s">
        <v>186</v>
      </c>
      <c r="M82" s="163" t="s">
        <v>165</v>
      </c>
      <c r="N82" s="148"/>
      <c r="O82" s="151"/>
      <c r="P82" s="54" t="str">
        <f t="shared" si="7"/>
        <v>江志偉</v>
      </c>
      <c r="Q82" s="54" t="str">
        <f t="shared" si="7"/>
        <v>南內工務所</v>
      </c>
    </row>
    <row r="83" spans="1:17" ht="24.95" customHeight="1">
      <c r="A83" s="136"/>
      <c r="B83" s="138"/>
      <c r="C83" s="81" t="s">
        <v>133</v>
      </c>
      <c r="D83" s="117" t="s">
        <v>138</v>
      </c>
      <c r="E83" s="118"/>
      <c r="F83" s="83" t="s">
        <v>176</v>
      </c>
      <c r="G83" s="60" t="s">
        <v>9</v>
      </c>
      <c r="H83" s="60">
        <v>2</v>
      </c>
      <c r="I83" s="60" t="s">
        <v>10</v>
      </c>
      <c r="J83" s="164"/>
      <c r="K83" s="164"/>
      <c r="L83" s="164"/>
      <c r="M83" s="164"/>
      <c r="N83" s="152" t="str">
        <f>工程基本資料!E10</f>
        <v>南內工務所</v>
      </c>
      <c r="O83" s="155" t="str">
        <f>工程基本資料!I10</f>
        <v>和遠營造有限公司</v>
      </c>
      <c r="P83" s="54" t="str">
        <f t="shared" si="7"/>
        <v>江志偉</v>
      </c>
      <c r="Q83" s="54" t="str">
        <f t="shared" si="7"/>
        <v>南內工務所</v>
      </c>
    </row>
    <row r="84" spans="1:17" ht="24.95" customHeight="1">
      <c r="A84" s="136"/>
      <c r="B84" s="138"/>
      <c r="C84" s="39" t="s">
        <v>134</v>
      </c>
      <c r="D84" s="117" t="s">
        <v>130</v>
      </c>
      <c r="E84" s="118"/>
      <c r="F84" s="83" t="s">
        <v>128</v>
      </c>
      <c r="G84" s="60" t="s">
        <v>17</v>
      </c>
      <c r="H84" s="60">
        <v>0</v>
      </c>
      <c r="I84" s="60" t="s">
        <v>10</v>
      </c>
      <c r="J84" s="164"/>
      <c r="K84" s="164"/>
      <c r="L84" s="164"/>
      <c r="M84" s="164"/>
      <c r="N84" s="153"/>
      <c r="O84" s="156"/>
      <c r="P84" s="54" t="str">
        <f t="shared" si="7"/>
        <v>江志偉</v>
      </c>
      <c r="Q84" s="54" t="str">
        <f t="shared" si="7"/>
        <v>南內工務所</v>
      </c>
    </row>
    <row r="85" spans="1:17" ht="24.95" customHeight="1">
      <c r="A85" s="136"/>
      <c r="B85" s="138"/>
      <c r="C85" s="81" t="s">
        <v>135</v>
      </c>
      <c r="D85" s="117" t="s">
        <v>138</v>
      </c>
      <c r="E85" s="118"/>
      <c r="F85" s="83" t="s">
        <v>62</v>
      </c>
      <c r="G85" s="60" t="s">
        <v>11</v>
      </c>
      <c r="H85" s="60">
        <v>0</v>
      </c>
      <c r="I85" s="60" t="s">
        <v>10</v>
      </c>
      <c r="J85" s="164"/>
      <c r="K85" s="164"/>
      <c r="L85" s="164"/>
      <c r="M85" s="164"/>
      <c r="N85" s="153"/>
      <c r="O85" s="156"/>
      <c r="P85" s="54" t="str">
        <f t="shared" si="7"/>
        <v>江志偉</v>
      </c>
      <c r="Q85" s="54" t="str">
        <f t="shared" si="7"/>
        <v>南內工務所</v>
      </c>
    </row>
    <row r="86" spans="1:17" ht="24.95" customHeight="1">
      <c r="A86" s="136"/>
      <c r="B86" s="138"/>
      <c r="C86" s="82" t="s">
        <v>136</v>
      </c>
      <c r="D86" s="117" t="s">
        <v>139</v>
      </c>
      <c r="E86" s="118"/>
      <c r="F86" s="83" t="s">
        <v>62</v>
      </c>
      <c r="G86" s="60" t="s">
        <v>13</v>
      </c>
      <c r="H86" s="60">
        <v>5</v>
      </c>
      <c r="I86" s="60" t="s">
        <v>10</v>
      </c>
      <c r="J86" s="164"/>
      <c r="K86" s="164"/>
      <c r="L86" s="164"/>
      <c r="M86" s="164"/>
      <c r="N86" s="153"/>
      <c r="O86" s="156"/>
      <c r="P86" s="54" t="str">
        <f t="shared" si="7"/>
        <v>江志偉</v>
      </c>
      <c r="Q86" s="54" t="str">
        <f t="shared" si="7"/>
        <v>南內工務所</v>
      </c>
    </row>
    <row r="87" spans="1:17" ht="24.95" customHeight="1">
      <c r="A87" s="136"/>
      <c r="B87" s="138"/>
      <c r="C87" s="81" t="s">
        <v>16</v>
      </c>
      <c r="D87" s="117" t="s">
        <v>138</v>
      </c>
      <c r="E87" s="118"/>
      <c r="F87" s="83" t="s">
        <v>131</v>
      </c>
      <c r="G87" s="60" t="s">
        <v>14</v>
      </c>
      <c r="H87" s="60">
        <v>3</v>
      </c>
      <c r="I87" s="60" t="s">
        <v>10</v>
      </c>
      <c r="J87" s="164"/>
      <c r="K87" s="164"/>
      <c r="L87" s="164"/>
      <c r="M87" s="164"/>
      <c r="N87" s="153"/>
      <c r="O87" s="156"/>
      <c r="P87" s="54" t="str">
        <f t="shared" si="7"/>
        <v>江志偉</v>
      </c>
      <c r="Q87" s="54" t="str">
        <f t="shared" si="7"/>
        <v>南內工務所</v>
      </c>
    </row>
    <row r="88" spans="1:17" ht="24.95" customHeight="1">
      <c r="B88" s="67"/>
      <c r="C88" s="82" t="s">
        <v>137</v>
      </c>
      <c r="D88" s="117" t="s">
        <v>138</v>
      </c>
      <c r="E88" s="118"/>
      <c r="F88" s="83" t="s">
        <v>176</v>
      </c>
      <c r="G88" s="63" t="s">
        <v>18</v>
      </c>
      <c r="H88" s="63">
        <v>0</v>
      </c>
      <c r="I88" s="63" t="s">
        <v>10</v>
      </c>
      <c r="J88" s="164"/>
      <c r="K88" s="164"/>
      <c r="L88" s="164"/>
      <c r="M88" s="164"/>
      <c r="N88" s="153"/>
      <c r="O88" s="156"/>
      <c r="P88" s="54" t="str">
        <f t="shared" si="7"/>
        <v>江志偉</v>
      </c>
      <c r="Q88" s="54" t="str">
        <f t="shared" si="7"/>
        <v>南內工務所</v>
      </c>
    </row>
    <row r="89" spans="1:17" ht="24.95" customHeight="1">
      <c r="B89" s="67"/>
      <c r="C89" s="81" t="s">
        <v>66</v>
      </c>
      <c r="D89" s="117" t="s">
        <v>185</v>
      </c>
      <c r="E89" s="118"/>
      <c r="F89" s="83"/>
      <c r="G89" s="63" t="s">
        <v>19</v>
      </c>
      <c r="H89" s="63">
        <v>0</v>
      </c>
      <c r="I89" s="63" t="s">
        <v>20</v>
      </c>
      <c r="J89" s="164"/>
      <c r="K89" s="164"/>
      <c r="L89" s="164"/>
      <c r="M89" s="164"/>
      <c r="N89" s="153"/>
      <c r="O89" s="156"/>
      <c r="P89" s="54" t="str">
        <f t="shared" si="7"/>
        <v>江志偉</v>
      </c>
      <c r="Q89" s="54" t="str">
        <f t="shared" si="7"/>
        <v>南內工務所</v>
      </c>
    </row>
    <row r="90" spans="1:17" ht="24.95" customHeight="1" thickBot="1">
      <c r="B90" s="68"/>
      <c r="C90" s="60"/>
      <c r="D90" s="148"/>
      <c r="E90" s="148"/>
      <c r="F90" s="61"/>
      <c r="G90" s="64" t="s">
        <v>15</v>
      </c>
      <c r="H90" s="64">
        <v>2</v>
      </c>
      <c r="I90" s="64" t="s">
        <v>10</v>
      </c>
      <c r="J90" s="165"/>
      <c r="K90" s="165"/>
      <c r="L90" s="165"/>
      <c r="M90" s="165"/>
      <c r="N90" s="154"/>
      <c r="O90" s="157"/>
      <c r="P90" s="54" t="str">
        <f>P88</f>
        <v>江志偉</v>
      </c>
      <c r="Q90" s="54" t="str">
        <f t="shared" si="7"/>
        <v>南內工務所</v>
      </c>
    </row>
    <row r="91" spans="1:17" ht="18" customHeight="1">
      <c r="B91" s="55" t="s">
        <v>64</v>
      </c>
      <c r="C91" s="159" t="s">
        <v>0</v>
      </c>
      <c r="D91" s="159"/>
      <c r="E91" s="159"/>
      <c r="F91" s="78" t="s">
        <v>61</v>
      </c>
      <c r="G91" s="146" t="str">
        <f>$G$3</f>
        <v>113年9月25日當日動員機具</v>
      </c>
      <c r="H91" s="146"/>
      <c r="I91" s="146"/>
      <c r="J91" s="92"/>
      <c r="K91" s="92"/>
      <c r="L91" s="56"/>
      <c r="M91" s="56"/>
      <c r="N91" s="147" t="s">
        <v>1</v>
      </c>
      <c r="O91" s="149" t="str">
        <f>工程基本資料!D11</f>
        <v>沈明勳</v>
      </c>
      <c r="P91" s="54" t="str">
        <f>O91</f>
        <v>沈明勳</v>
      </c>
      <c r="Q91" s="54" t="str">
        <f>N94</f>
        <v>北投工務所</v>
      </c>
    </row>
    <row r="92" spans="1:17" ht="18" customHeight="1">
      <c r="B92" s="57" t="str">
        <f>工程基本資料!C11</f>
        <v>H-113-03-113023</v>
      </c>
      <c r="C92" s="61" t="s">
        <v>2</v>
      </c>
      <c r="D92" s="140" t="s">
        <v>3</v>
      </c>
      <c r="E92" s="141"/>
      <c r="F92" s="59"/>
      <c r="G92" s="60" t="s">
        <v>2</v>
      </c>
      <c r="H92" s="148" t="s">
        <v>4</v>
      </c>
      <c r="I92" s="148"/>
      <c r="J92" s="99" t="s">
        <v>188</v>
      </c>
      <c r="K92" s="99" t="s">
        <v>190</v>
      </c>
      <c r="L92" s="59" t="s">
        <v>59</v>
      </c>
      <c r="M92" s="59" t="s">
        <v>60</v>
      </c>
      <c r="N92" s="148"/>
      <c r="O92" s="150"/>
      <c r="P92" s="54" t="str">
        <f t="shared" ref="P92:Q101" si="8">P91</f>
        <v>沈明勳</v>
      </c>
      <c r="Q92" s="54" t="str">
        <f>Q91</f>
        <v>北投工務所</v>
      </c>
    </row>
    <row r="93" spans="1:17" ht="18" customHeight="1">
      <c r="A93" s="136">
        <v>9</v>
      </c>
      <c r="B93" s="137" t="str">
        <f>工程基本資料!B11</f>
        <v>113年度北區水利建造物檢修改善及災後復原(雙溪右岸至關渡水岸公園段)預約維護工程</v>
      </c>
      <c r="C93" s="80" t="s">
        <v>8</v>
      </c>
      <c r="D93" s="117" t="s">
        <v>174</v>
      </c>
      <c r="E93" s="118"/>
      <c r="F93" s="61" t="s">
        <v>62</v>
      </c>
      <c r="G93" s="60" t="s">
        <v>6</v>
      </c>
      <c r="H93" s="60">
        <v>8</v>
      </c>
      <c r="I93" s="60" t="s">
        <v>7</v>
      </c>
      <c r="J93" s="175" t="s">
        <v>197</v>
      </c>
      <c r="K93" s="175" t="s">
        <v>198</v>
      </c>
      <c r="L93" s="108" t="s">
        <v>196</v>
      </c>
      <c r="M93" s="108" t="s">
        <v>173</v>
      </c>
      <c r="N93" s="148"/>
      <c r="O93" s="151"/>
      <c r="P93" s="54" t="str">
        <f t="shared" si="8"/>
        <v>沈明勳</v>
      </c>
      <c r="Q93" s="54" t="str">
        <f t="shared" si="8"/>
        <v>北投工務所</v>
      </c>
    </row>
    <row r="94" spans="1:17" ht="18" customHeight="1">
      <c r="A94" s="136"/>
      <c r="B94" s="138"/>
      <c r="C94" s="80" t="s">
        <v>12</v>
      </c>
      <c r="D94" s="117" t="s">
        <v>175</v>
      </c>
      <c r="E94" s="118"/>
      <c r="F94" s="61" t="s">
        <v>62</v>
      </c>
      <c r="G94" s="60" t="s">
        <v>9</v>
      </c>
      <c r="H94" s="60"/>
      <c r="I94" s="60" t="s">
        <v>10</v>
      </c>
      <c r="J94" s="176"/>
      <c r="K94" s="176"/>
      <c r="L94" s="109"/>
      <c r="M94" s="109"/>
      <c r="N94" s="152" t="str">
        <f>工程基本資料!E11</f>
        <v>北投工務所</v>
      </c>
      <c r="O94" s="155" t="str">
        <f>工程基本資料!I11</f>
        <v>久勝營造有限公司</v>
      </c>
      <c r="P94" s="54" t="str">
        <f t="shared" si="8"/>
        <v>沈明勳</v>
      </c>
      <c r="Q94" s="54" t="str">
        <f t="shared" si="8"/>
        <v>北投工務所</v>
      </c>
    </row>
    <row r="95" spans="1:17" ht="18" customHeight="1">
      <c r="A95" s="136"/>
      <c r="B95" s="138"/>
      <c r="C95" s="61"/>
      <c r="D95" s="148"/>
      <c r="E95" s="148"/>
      <c r="F95" s="61" t="s">
        <v>62</v>
      </c>
      <c r="G95" s="60" t="s">
        <v>17</v>
      </c>
      <c r="H95" s="60">
        <v>1</v>
      </c>
      <c r="I95" s="60" t="s">
        <v>10</v>
      </c>
      <c r="J95" s="176"/>
      <c r="K95" s="176"/>
      <c r="L95" s="109"/>
      <c r="M95" s="109"/>
      <c r="N95" s="153"/>
      <c r="O95" s="156"/>
      <c r="P95" s="54" t="str">
        <f t="shared" si="8"/>
        <v>沈明勳</v>
      </c>
      <c r="Q95" s="54" t="str">
        <f t="shared" si="8"/>
        <v>北投工務所</v>
      </c>
    </row>
    <row r="96" spans="1:17" ht="18" customHeight="1">
      <c r="A96" s="136"/>
      <c r="B96" s="138"/>
      <c r="C96" s="61"/>
      <c r="D96" s="148"/>
      <c r="E96" s="148"/>
      <c r="F96" s="61" t="s">
        <v>62</v>
      </c>
      <c r="G96" s="60" t="s">
        <v>11</v>
      </c>
      <c r="H96" s="60"/>
      <c r="I96" s="60" t="s">
        <v>10</v>
      </c>
      <c r="J96" s="176"/>
      <c r="K96" s="176"/>
      <c r="L96" s="109"/>
      <c r="M96" s="109"/>
      <c r="N96" s="153"/>
      <c r="O96" s="156"/>
      <c r="P96" s="54" t="str">
        <f t="shared" si="8"/>
        <v>沈明勳</v>
      </c>
      <c r="Q96" s="54" t="str">
        <f t="shared" si="8"/>
        <v>北投工務所</v>
      </c>
    </row>
    <row r="97" spans="1:17" ht="18" customHeight="1">
      <c r="A97" s="136"/>
      <c r="B97" s="138"/>
      <c r="C97" s="60"/>
      <c r="D97" s="148"/>
      <c r="E97" s="148"/>
      <c r="F97" s="60"/>
      <c r="G97" s="60" t="s">
        <v>13</v>
      </c>
      <c r="H97" s="60">
        <v>1</v>
      </c>
      <c r="I97" s="60" t="s">
        <v>10</v>
      </c>
      <c r="J97" s="176"/>
      <c r="K97" s="176"/>
      <c r="L97" s="109"/>
      <c r="M97" s="109"/>
      <c r="N97" s="153"/>
      <c r="O97" s="156"/>
      <c r="P97" s="54" t="str">
        <f t="shared" si="8"/>
        <v>沈明勳</v>
      </c>
      <c r="Q97" s="54" t="str">
        <f t="shared" si="8"/>
        <v>北投工務所</v>
      </c>
    </row>
    <row r="98" spans="1:17" ht="18" customHeight="1">
      <c r="A98" s="136"/>
      <c r="B98" s="138"/>
      <c r="C98" s="60"/>
      <c r="D98" s="148"/>
      <c r="E98" s="148"/>
      <c r="F98" s="61"/>
      <c r="G98" s="60" t="s">
        <v>14</v>
      </c>
      <c r="H98" s="60"/>
      <c r="I98" s="60" t="s">
        <v>10</v>
      </c>
      <c r="J98" s="176"/>
      <c r="K98" s="176"/>
      <c r="L98" s="109"/>
      <c r="M98" s="109"/>
      <c r="N98" s="153"/>
      <c r="O98" s="156"/>
      <c r="P98" s="54" t="str">
        <f t="shared" si="8"/>
        <v>沈明勳</v>
      </c>
      <c r="Q98" s="54" t="str">
        <f t="shared" si="8"/>
        <v>北投工務所</v>
      </c>
    </row>
    <row r="99" spans="1:17" ht="18" customHeight="1">
      <c r="B99" s="67"/>
      <c r="C99" s="60"/>
      <c r="D99" s="148"/>
      <c r="E99" s="148"/>
      <c r="F99" s="61"/>
      <c r="G99" s="63" t="s">
        <v>18</v>
      </c>
      <c r="H99" s="63"/>
      <c r="I99" s="63" t="s">
        <v>10</v>
      </c>
      <c r="J99" s="176"/>
      <c r="K99" s="176"/>
      <c r="L99" s="109"/>
      <c r="M99" s="109"/>
      <c r="N99" s="153"/>
      <c r="O99" s="156"/>
      <c r="P99" s="54" t="str">
        <f t="shared" si="8"/>
        <v>沈明勳</v>
      </c>
      <c r="Q99" s="54" t="str">
        <f t="shared" si="8"/>
        <v>北投工務所</v>
      </c>
    </row>
    <row r="100" spans="1:17" ht="18" customHeight="1">
      <c r="B100" s="67"/>
      <c r="C100" s="60"/>
      <c r="D100" s="148"/>
      <c r="E100" s="148"/>
      <c r="F100" s="61"/>
      <c r="G100" s="63" t="s">
        <v>19</v>
      </c>
      <c r="H100" s="63">
        <v>2</v>
      </c>
      <c r="I100" s="63" t="s">
        <v>20</v>
      </c>
      <c r="J100" s="176"/>
      <c r="K100" s="176"/>
      <c r="L100" s="109"/>
      <c r="M100" s="109"/>
      <c r="N100" s="153"/>
      <c r="O100" s="156"/>
      <c r="P100" s="54" t="str">
        <f t="shared" si="8"/>
        <v>沈明勳</v>
      </c>
      <c r="Q100" s="54" t="str">
        <f t="shared" si="8"/>
        <v>北投工務所</v>
      </c>
    </row>
    <row r="101" spans="1:17" ht="18" customHeight="1" thickBot="1">
      <c r="B101" s="68"/>
      <c r="C101" s="60"/>
      <c r="D101" s="148"/>
      <c r="E101" s="148"/>
      <c r="F101" s="61"/>
      <c r="G101" s="64" t="s">
        <v>15</v>
      </c>
      <c r="H101" s="64"/>
      <c r="I101" s="64" t="s">
        <v>10</v>
      </c>
      <c r="J101" s="177"/>
      <c r="K101" s="177"/>
      <c r="L101" s="110"/>
      <c r="M101" s="110"/>
      <c r="N101" s="154"/>
      <c r="O101" s="157"/>
      <c r="P101" s="54" t="str">
        <f>P99</f>
        <v>沈明勳</v>
      </c>
      <c r="Q101" s="54" t="str">
        <f t="shared" si="8"/>
        <v>北投工務所</v>
      </c>
    </row>
    <row r="102" spans="1:17" ht="18" customHeight="1">
      <c r="B102" s="55" t="s">
        <v>64</v>
      </c>
      <c r="C102" s="159" t="s">
        <v>0</v>
      </c>
      <c r="D102" s="159"/>
      <c r="E102" s="159"/>
      <c r="F102" s="78" t="s">
        <v>61</v>
      </c>
      <c r="G102" s="146" t="str">
        <f>$G$3</f>
        <v>113年9月25日當日動員機具</v>
      </c>
      <c r="H102" s="146"/>
      <c r="I102" s="146"/>
      <c r="J102" s="100"/>
      <c r="K102" s="100"/>
      <c r="L102" s="56"/>
      <c r="M102" s="56"/>
      <c r="N102" s="147" t="s">
        <v>1</v>
      </c>
      <c r="O102" s="149" t="str">
        <f>工程基本資料!D12</f>
        <v>余成偉</v>
      </c>
      <c r="P102" s="54" t="str">
        <f>O102</f>
        <v>余成偉</v>
      </c>
      <c r="Q102" s="54" t="str">
        <f>N105</f>
        <v>北投工務所</v>
      </c>
    </row>
    <row r="103" spans="1:17" ht="18" customHeight="1">
      <c r="B103" s="57" t="str">
        <f>工程基本資料!C12</f>
        <v>H-113-03-113017</v>
      </c>
      <c r="C103" s="61" t="s">
        <v>2</v>
      </c>
      <c r="D103" s="140" t="s">
        <v>3</v>
      </c>
      <c r="E103" s="141"/>
      <c r="F103" s="59"/>
      <c r="G103" s="60" t="s">
        <v>2</v>
      </c>
      <c r="H103" s="148" t="s">
        <v>4</v>
      </c>
      <c r="I103" s="148"/>
      <c r="J103" s="99" t="s">
        <v>188</v>
      </c>
      <c r="K103" s="99" t="s">
        <v>190</v>
      </c>
      <c r="L103" s="59" t="s">
        <v>59</v>
      </c>
      <c r="M103" s="59" t="s">
        <v>60</v>
      </c>
      <c r="N103" s="148"/>
      <c r="O103" s="150"/>
      <c r="P103" s="54" t="str">
        <f t="shared" ref="P103:Q112" si="9">P102</f>
        <v>余成偉</v>
      </c>
      <c r="Q103" s="54" t="str">
        <f>Q102</f>
        <v>北投工務所</v>
      </c>
    </row>
    <row r="104" spans="1:17" ht="18" customHeight="1">
      <c r="A104" s="136">
        <v>10</v>
      </c>
      <c r="B104" s="137" t="str">
        <f>工程基本資料!B12</f>
        <v>113年度北區河濱公園路面暨災後復原預約維護工程</v>
      </c>
      <c r="C104" s="61" t="s">
        <v>5</v>
      </c>
      <c r="D104" s="148" t="s">
        <v>62</v>
      </c>
      <c r="E104" s="148"/>
      <c r="F104" s="61" t="s">
        <v>62</v>
      </c>
      <c r="G104" s="60" t="s">
        <v>6</v>
      </c>
      <c r="H104" s="60">
        <v>8</v>
      </c>
      <c r="I104" s="60" t="s">
        <v>7</v>
      </c>
      <c r="J104" s="175" t="s">
        <v>194</v>
      </c>
      <c r="K104" s="175" t="s">
        <v>193</v>
      </c>
      <c r="L104" s="108" t="s">
        <v>158</v>
      </c>
      <c r="M104" s="108" t="s">
        <v>192</v>
      </c>
      <c r="N104" s="148"/>
      <c r="O104" s="151"/>
      <c r="P104" s="54" t="str">
        <f t="shared" si="9"/>
        <v>余成偉</v>
      </c>
      <c r="Q104" s="54" t="str">
        <f t="shared" si="9"/>
        <v>北投工務所</v>
      </c>
    </row>
    <row r="105" spans="1:17" ht="18" customHeight="1">
      <c r="A105" s="136"/>
      <c r="B105" s="138"/>
      <c r="C105" s="61" t="s">
        <v>16</v>
      </c>
      <c r="D105" s="148" t="s">
        <v>62</v>
      </c>
      <c r="E105" s="148"/>
      <c r="F105" s="61" t="s">
        <v>62</v>
      </c>
      <c r="G105" s="60" t="s">
        <v>9</v>
      </c>
      <c r="H105" s="60">
        <v>0</v>
      </c>
      <c r="I105" s="60" t="s">
        <v>10</v>
      </c>
      <c r="J105" s="176"/>
      <c r="K105" s="176"/>
      <c r="L105" s="109"/>
      <c r="M105" s="109"/>
      <c r="N105" s="152" t="str">
        <f>工程基本資料!E12</f>
        <v>北投工務所</v>
      </c>
      <c r="O105" s="155" t="str">
        <f>工程基本資料!I12</f>
        <v>冠錏營造有限公司</v>
      </c>
      <c r="P105" s="54" t="str">
        <f t="shared" si="9"/>
        <v>余成偉</v>
      </c>
      <c r="Q105" s="54" t="str">
        <f t="shared" si="9"/>
        <v>北投工務所</v>
      </c>
    </row>
    <row r="106" spans="1:17" ht="18" customHeight="1">
      <c r="A106" s="136"/>
      <c r="B106" s="138"/>
      <c r="C106" s="61" t="s">
        <v>8</v>
      </c>
      <c r="D106" s="117" t="s">
        <v>174</v>
      </c>
      <c r="E106" s="118"/>
      <c r="F106" s="61" t="s">
        <v>62</v>
      </c>
      <c r="G106" s="60" t="s">
        <v>17</v>
      </c>
      <c r="H106" s="60">
        <v>0</v>
      </c>
      <c r="I106" s="60" t="s">
        <v>10</v>
      </c>
      <c r="J106" s="176"/>
      <c r="K106" s="176"/>
      <c r="L106" s="109"/>
      <c r="M106" s="109"/>
      <c r="N106" s="153"/>
      <c r="O106" s="156"/>
      <c r="P106" s="54" t="str">
        <f t="shared" si="9"/>
        <v>余成偉</v>
      </c>
      <c r="Q106" s="54" t="str">
        <f t="shared" si="9"/>
        <v>北投工務所</v>
      </c>
    </row>
    <row r="107" spans="1:17" ht="18" customHeight="1">
      <c r="A107" s="136"/>
      <c r="B107" s="138"/>
      <c r="C107" s="61" t="s">
        <v>12</v>
      </c>
      <c r="D107" s="148" t="s">
        <v>119</v>
      </c>
      <c r="E107" s="148"/>
      <c r="F107" s="61" t="s">
        <v>62</v>
      </c>
      <c r="G107" s="60" t="s">
        <v>11</v>
      </c>
      <c r="H107" s="60">
        <v>0</v>
      </c>
      <c r="I107" s="60" t="s">
        <v>10</v>
      </c>
      <c r="J107" s="176"/>
      <c r="K107" s="176"/>
      <c r="L107" s="109"/>
      <c r="M107" s="109"/>
      <c r="N107" s="153"/>
      <c r="O107" s="156"/>
      <c r="P107" s="54" t="str">
        <f t="shared" si="9"/>
        <v>余成偉</v>
      </c>
      <c r="Q107" s="54" t="str">
        <f t="shared" si="9"/>
        <v>北投工務所</v>
      </c>
    </row>
    <row r="108" spans="1:17" ht="18" customHeight="1">
      <c r="A108" s="136"/>
      <c r="B108" s="138"/>
      <c r="C108" s="60"/>
      <c r="D108" s="148"/>
      <c r="E108" s="148"/>
      <c r="F108" s="60"/>
      <c r="G108" s="60" t="s">
        <v>13</v>
      </c>
      <c r="H108" s="60">
        <v>1</v>
      </c>
      <c r="I108" s="60" t="s">
        <v>10</v>
      </c>
      <c r="J108" s="176"/>
      <c r="K108" s="176"/>
      <c r="L108" s="109"/>
      <c r="M108" s="109"/>
      <c r="N108" s="153"/>
      <c r="O108" s="156"/>
      <c r="P108" s="54" t="str">
        <f t="shared" si="9"/>
        <v>余成偉</v>
      </c>
      <c r="Q108" s="54" t="str">
        <f t="shared" si="9"/>
        <v>北投工務所</v>
      </c>
    </row>
    <row r="109" spans="1:17" ht="18" customHeight="1">
      <c r="A109" s="136"/>
      <c r="B109" s="138"/>
      <c r="C109" s="60"/>
      <c r="D109" s="148"/>
      <c r="E109" s="148"/>
      <c r="F109" s="61"/>
      <c r="G109" s="60" t="s">
        <v>14</v>
      </c>
      <c r="H109" s="60">
        <v>1</v>
      </c>
      <c r="I109" s="60" t="s">
        <v>10</v>
      </c>
      <c r="J109" s="176"/>
      <c r="K109" s="176"/>
      <c r="L109" s="109"/>
      <c r="M109" s="109"/>
      <c r="N109" s="153"/>
      <c r="O109" s="156"/>
      <c r="P109" s="54" t="str">
        <f t="shared" si="9"/>
        <v>余成偉</v>
      </c>
      <c r="Q109" s="54" t="str">
        <f t="shared" si="9"/>
        <v>北投工務所</v>
      </c>
    </row>
    <row r="110" spans="1:17" ht="18" customHeight="1">
      <c r="B110" s="67"/>
      <c r="C110" s="60"/>
      <c r="D110" s="148"/>
      <c r="E110" s="148"/>
      <c r="F110" s="61"/>
      <c r="G110" s="63" t="s">
        <v>18</v>
      </c>
      <c r="H110" s="63">
        <v>0</v>
      </c>
      <c r="I110" s="63" t="s">
        <v>10</v>
      </c>
      <c r="J110" s="176"/>
      <c r="K110" s="176"/>
      <c r="L110" s="109"/>
      <c r="M110" s="109"/>
      <c r="N110" s="153"/>
      <c r="O110" s="156"/>
      <c r="P110" s="54" t="str">
        <f t="shared" si="9"/>
        <v>余成偉</v>
      </c>
      <c r="Q110" s="54" t="str">
        <f t="shared" si="9"/>
        <v>北投工務所</v>
      </c>
    </row>
    <row r="111" spans="1:17" ht="18" customHeight="1">
      <c r="B111" s="67"/>
      <c r="C111" s="60"/>
      <c r="D111" s="148"/>
      <c r="E111" s="148"/>
      <c r="F111" s="61"/>
      <c r="G111" s="63" t="s">
        <v>19</v>
      </c>
      <c r="H111" s="63">
        <v>0</v>
      </c>
      <c r="I111" s="63" t="s">
        <v>20</v>
      </c>
      <c r="J111" s="176"/>
      <c r="K111" s="176"/>
      <c r="L111" s="109"/>
      <c r="M111" s="109"/>
      <c r="N111" s="153"/>
      <c r="O111" s="156"/>
      <c r="P111" s="54" t="str">
        <f t="shared" si="9"/>
        <v>余成偉</v>
      </c>
      <c r="Q111" s="54" t="str">
        <f t="shared" si="9"/>
        <v>北投工務所</v>
      </c>
    </row>
    <row r="112" spans="1:17" ht="18" customHeight="1" thickBot="1">
      <c r="B112" s="68"/>
      <c r="C112" s="60"/>
      <c r="D112" s="148"/>
      <c r="E112" s="148"/>
      <c r="F112" s="61"/>
      <c r="G112" s="64" t="s">
        <v>15</v>
      </c>
      <c r="H112" s="64">
        <v>1</v>
      </c>
      <c r="I112" s="64" t="s">
        <v>10</v>
      </c>
      <c r="J112" s="177"/>
      <c r="K112" s="177"/>
      <c r="L112" s="110"/>
      <c r="M112" s="110"/>
      <c r="N112" s="154"/>
      <c r="O112" s="157"/>
      <c r="P112" s="54" t="str">
        <f>P110</f>
        <v>余成偉</v>
      </c>
      <c r="Q112" s="54" t="str">
        <f t="shared" si="9"/>
        <v>北投工務所</v>
      </c>
    </row>
    <row r="113" spans="3:16" ht="17.25" thickBot="1"/>
    <row r="114" spans="3:16" ht="16.149999999999999" customHeight="1">
      <c r="C114" s="169" t="s">
        <v>112</v>
      </c>
      <c r="D114" s="170"/>
      <c r="E114" s="171"/>
      <c r="F114" s="69"/>
      <c r="G114" s="169" t="s">
        <v>113</v>
      </c>
      <c r="H114" s="170"/>
      <c r="I114" s="171"/>
      <c r="J114" s="94"/>
      <c r="K114" s="94"/>
      <c r="L114" s="69"/>
      <c r="M114" s="69"/>
      <c r="P114" s="172" t="s">
        <v>29</v>
      </c>
    </row>
    <row r="115" spans="3:16">
      <c r="C115" s="70" t="s">
        <v>2</v>
      </c>
      <c r="D115" s="148" t="s">
        <v>4</v>
      </c>
      <c r="E115" s="174"/>
      <c r="F115" s="69"/>
      <c r="G115" s="70" t="s">
        <v>2</v>
      </c>
      <c r="H115" s="148" t="s">
        <v>4</v>
      </c>
      <c r="I115" s="174"/>
      <c r="J115" s="94"/>
      <c r="K115" s="94"/>
      <c r="L115" s="69"/>
      <c r="M115" s="69"/>
      <c r="P115" s="173"/>
    </row>
    <row r="116" spans="3:16">
      <c r="C116" s="70" t="s">
        <v>6</v>
      </c>
      <c r="D116" s="71">
        <f t="shared" ref="D116:D124" si="10">H5+H16+H27+H38+H49+H60+H71+H82+H93+H104</f>
        <v>59</v>
      </c>
      <c r="E116" s="72" t="s">
        <v>7</v>
      </c>
      <c r="G116" s="70" t="s">
        <v>6</v>
      </c>
      <c r="H116" s="71">
        <f>D116+'113年9月24日'!H116</f>
        <v>212</v>
      </c>
      <c r="I116" s="72" t="s">
        <v>7</v>
      </c>
      <c r="J116" s="95"/>
      <c r="K116" s="95"/>
      <c r="P116" s="73" t="e">
        <f>D116-#REF!</f>
        <v>#REF!</v>
      </c>
    </row>
    <row r="117" spans="3:16">
      <c r="C117" s="70" t="s">
        <v>9</v>
      </c>
      <c r="D117" s="71">
        <f t="shared" si="10"/>
        <v>3</v>
      </c>
      <c r="E117" s="72" t="s">
        <v>10</v>
      </c>
      <c r="G117" s="70" t="s">
        <v>9</v>
      </c>
      <c r="H117" s="71">
        <f>D117+'113年9月24日'!H117</f>
        <v>9</v>
      </c>
      <c r="I117" s="72" t="s">
        <v>10</v>
      </c>
      <c r="J117" s="95"/>
      <c r="K117" s="95"/>
      <c r="P117" s="73" t="e">
        <f>D117-#REF!</f>
        <v>#REF!</v>
      </c>
    </row>
    <row r="118" spans="3:16">
      <c r="C118" s="70" t="s">
        <v>17</v>
      </c>
      <c r="D118" s="71">
        <f t="shared" si="10"/>
        <v>2</v>
      </c>
      <c r="E118" s="72" t="s">
        <v>10</v>
      </c>
      <c r="G118" s="70" t="s">
        <v>17</v>
      </c>
      <c r="H118" s="71">
        <f>D118+'113年9月24日'!H118</f>
        <v>5</v>
      </c>
      <c r="I118" s="72" t="s">
        <v>10</v>
      </c>
      <c r="J118" s="95"/>
      <c r="K118" s="95"/>
      <c r="P118" s="73" t="e">
        <f>D118-#REF!</f>
        <v>#REF!</v>
      </c>
    </row>
    <row r="119" spans="3:16">
      <c r="C119" s="70" t="s">
        <v>11</v>
      </c>
      <c r="D119" s="71">
        <f t="shared" si="10"/>
        <v>1</v>
      </c>
      <c r="E119" s="72" t="s">
        <v>10</v>
      </c>
      <c r="G119" s="70" t="s">
        <v>11</v>
      </c>
      <c r="H119" s="71">
        <f>D119+'113年9月24日'!H119</f>
        <v>7</v>
      </c>
      <c r="I119" s="72" t="s">
        <v>10</v>
      </c>
      <c r="J119" s="95"/>
      <c r="K119" s="95"/>
      <c r="P119" s="73" t="e">
        <f>D119-#REF!</f>
        <v>#REF!</v>
      </c>
    </row>
    <row r="120" spans="3:16">
      <c r="C120" s="70" t="s">
        <v>13</v>
      </c>
      <c r="D120" s="71">
        <f t="shared" si="10"/>
        <v>13</v>
      </c>
      <c r="E120" s="72" t="s">
        <v>10</v>
      </c>
      <c r="G120" s="70" t="s">
        <v>13</v>
      </c>
      <c r="H120" s="71">
        <f>D120+'113年9月24日'!H120</f>
        <v>46</v>
      </c>
      <c r="I120" s="72" t="s">
        <v>10</v>
      </c>
      <c r="J120" s="95"/>
      <c r="K120" s="95"/>
      <c r="P120" s="73" t="e">
        <f>D120-#REF!</f>
        <v>#REF!</v>
      </c>
    </row>
    <row r="121" spans="3:16">
      <c r="C121" s="70" t="s">
        <v>14</v>
      </c>
      <c r="D121" s="71">
        <f t="shared" si="10"/>
        <v>8</v>
      </c>
      <c r="E121" s="72" t="s">
        <v>10</v>
      </c>
      <c r="G121" s="70" t="s">
        <v>14</v>
      </c>
      <c r="H121" s="71">
        <f>D121+'113年9月24日'!H121</f>
        <v>44</v>
      </c>
      <c r="I121" s="72" t="s">
        <v>10</v>
      </c>
      <c r="J121" s="95"/>
      <c r="K121" s="95"/>
      <c r="P121" s="73" t="e">
        <f>D121-#REF!</f>
        <v>#REF!</v>
      </c>
    </row>
    <row r="122" spans="3:16">
      <c r="C122" s="74" t="s">
        <v>18</v>
      </c>
      <c r="D122" s="71">
        <f t="shared" si="10"/>
        <v>0</v>
      </c>
      <c r="E122" s="72" t="s">
        <v>10</v>
      </c>
      <c r="G122" s="74" t="s">
        <v>18</v>
      </c>
      <c r="H122" s="71">
        <f>D122+'113年9月24日'!H122</f>
        <v>0</v>
      </c>
      <c r="I122" s="72" t="s">
        <v>10</v>
      </c>
      <c r="J122" s="95"/>
      <c r="K122" s="95"/>
      <c r="P122" s="73" t="e">
        <f>D122-#REF!</f>
        <v>#REF!</v>
      </c>
    </row>
    <row r="123" spans="3:16">
      <c r="C123" s="74" t="s">
        <v>19</v>
      </c>
      <c r="D123" s="71">
        <f t="shared" si="10"/>
        <v>2</v>
      </c>
      <c r="E123" s="75" t="s">
        <v>20</v>
      </c>
      <c r="G123" s="74" t="s">
        <v>19</v>
      </c>
      <c r="H123" s="71">
        <f>D123+'113年9月24日'!H123</f>
        <v>4</v>
      </c>
      <c r="I123" s="75" t="s">
        <v>20</v>
      </c>
      <c r="J123" s="95"/>
      <c r="K123" s="95"/>
      <c r="P123" s="73" t="e">
        <f>D123-#REF!</f>
        <v>#REF!</v>
      </c>
    </row>
    <row r="124" spans="3:16" ht="17.25" thickBot="1">
      <c r="C124" s="76" t="s">
        <v>15</v>
      </c>
      <c r="D124" s="71">
        <f t="shared" si="10"/>
        <v>4</v>
      </c>
      <c r="E124" s="77" t="s">
        <v>10</v>
      </c>
      <c r="G124" s="76" t="s">
        <v>15</v>
      </c>
      <c r="H124" s="71">
        <f>D124+'113年9月24日'!H124</f>
        <v>14</v>
      </c>
      <c r="I124" s="77" t="s">
        <v>10</v>
      </c>
      <c r="J124" s="95"/>
      <c r="K124" s="95"/>
      <c r="P124" s="73" t="e">
        <f>D124-#REF!</f>
        <v>#REF!</v>
      </c>
    </row>
  </sheetData>
  <autoFilter ref="P2:Q57"/>
  <mergeCells count="235">
    <mergeCell ref="A5:A13"/>
    <mergeCell ref="B5:B13"/>
    <mergeCell ref="D5:E5"/>
    <mergeCell ref="L5:L13"/>
    <mergeCell ref="M5:M13"/>
    <mergeCell ref="D6:E6"/>
    <mergeCell ref="B2:O2"/>
    <mergeCell ref="C3:E3"/>
    <mergeCell ref="G3:I3"/>
    <mergeCell ref="N3:N5"/>
    <mergeCell ref="O3:O5"/>
    <mergeCell ref="D4:E4"/>
    <mergeCell ref="H4:I4"/>
    <mergeCell ref="J5:J13"/>
    <mergeCell ref="K5:K13"/>
    <mergeCell ref="O14:O16"/>
    <mergeCell ref="D15:E15"/>
    <mergeCell ref="H15:I15"/>
    <mergeCell ref="N6:N13"/>
    <mergeCell ref="O6:O13"/>
    <mergeCell ref="D7:E7"/>
    <mergeCell ref="D8:E8"/>
    <mergeCell ref="D10:E10"/>
    <mergeCell ref="D11:E11"/>
    <mergeCell ref="D12:E12"/>
    <mergeCell ref="D13:E13"/>
    <mergeCell ref="J16:J24"/>
    <mergeCell ref="K16:K24"/>
    <mergeCell ref="A16:A24"/>
    <mergeCell ref="B16:B24"/>
    <mergeCell ref="D16:E16"/>
    <mergeCell ref="L16:L24"/>
    <mergeCell ref="M16:M24"/>
    <mergeCell ref="D17:E17"/>
    <mergeCell ref="C14:E14"/>
    <mergeCell ref="G14:I14"/>
    <mergeCell ref="N14:N16"/>
    <mergeCell ref="O25:O27"/>
    <mergeCell ref="D26:E26"/>
    <mergeCell ref="H26:I26"/>
    <mergeCell ref="N17:N24"/>
    <mergeCell ref="O17:O24"/>
    <mergeCell ref="D18:E18"/>
    <mergeCell ref="D19:E19"/>
    <mergeCell ref="D21:E21"/>
    <mergeCell ref="D22:E22"/>
    <mergeCell ref="D23:E23"/>
    <mergeCell ref="D24:E24"/>
    <mergeCell ref="J27:J35"/>
    <mergeCell ref="K27:K35"/>
    <mergeCell ref="A27:A35"/>
    <mergeCell ref="B27:B32"/>
    <mergeCell ref="D27:E27"/>
    <mergeCell ref="L27:L35"/>
    <mergeCell ref="M27:M35"/>
    <mergeCell ref="D28:E28"/>
    <mergeCell ref="C25:E25"/>
    <mergeCell ref="G25:I25"/>
    <mergeCell ref="N25:N27"/>
    <mergeCell ref="N36:N38"/>
    <mergeCell ref="O36:O38"/>
    <mergeCell ref="D37:E37"/>
    <mergeCell ref="H37:I37"/>
    <mergeCell ref="N28:N35"/>
    <mergeCell ref="O28:O35"/>
    <mergeCell ref="D29:E29"/>
    <mergeCell ref="D30:E30"/>
    <mergeCell ref="D31:E31"/>
    <mergeCell ref="D32:E32"/>
    <mergeCell ref="D33:E33"/>
    <mergeCell ref="D34:E34"/>
    <mergeCell ref="D35:E35"/>
    <mergeCell ref="J38:J46"/>
    <mergeCell ref="K38:K46"/>
    <mergeCell ref="A38:A46"/>
    <mergeCell ref="B38:B42"/>
    <mergeCell ref="D38:E38"/>
    <mergeCell ref="L38:L46"/>
    <mergeCell ref="M38:M46"/>
    <mergeCell ref="D39:E39"/>
    <mergeCell ref="B44:B46"/>
    <mergeCell ref="C36:E36"/>
    <mergeCell ref="G36:I36"/>
    <mergeCell ref="O47:O49"/>
    <mergeCell ref="D48:E48"/>
    <mergeCell ref="H48:I48"/>
    <mergeCell ref="N39:N46"/>
    <mergeCell ref="O39:O46"/>
    <mergeCell ref="D40:E40"/>
    <mergeCell ref="D41:E41"/>
    <mergeCell ref="D42:E42"/>
    <mergeCell ref="D43:E43"/>
    <mergeCell ref="D44:E44"/>
    <mergeCell ref="D45:E45"/>
    <mergeCell ref="D46:E46"/>
    <mergeCell ref="J49:J57"/>
    <mergeCell ref="K49:K57"/>
    <mergeCell ref="A49:A57"/>
    <mergeCell ref="B49:B54"/>
    <mergeCell ref="D49:E49"/>
    <mergeCell ref="L49:L57"/>
    <mergeCell ref="M49:M57"/>
    <mergeCell ref="D50:E50"/>
    <mergeCell ref="C47:E47"/>
    <mergeCell ref="G47:I47"/>
    <mergeCell ref="N47:N49"/>
    <mergeCell ref="O58:O60"/>
    <mergeCell ref="D59:E59"/>
    <mergeCell ref="H59:I59"/>
    <mergeCell ref="N50:N57"/>
    <mergeCell ref="O50:O57"/>
    <mergeCell ref="D51:E51"/>
    <mergeCell ref="D52:E52"/>
    <mergeCell ref="D53:E53"/>
    <mergeCell ref="D54:E54"/>
    <mergeCell ref="D55:E55"/>
    <mergeCell ref="D56:E56"/>
    <mergeCell ref="D57:E57"/>
    <mergeCell ref="J60:J68"/>
    <mergeCell ref="K60:K68"/>
    <mergeCell ref="A60:A65"/>
    <mergeCell ref="B60:B65"/>
    <mergeCell ref="D60:E60"/>
    <mergeCell ref="L60:L68"/>
    <mergeCell ref="M60:M68"/>
    <mergeCell ref="D61:E61"/>
    <mergeCell ref="C58:E58"/>
    <mergeCell ref="G58:I58"/>
    <mergeCell ref="N58:N60"/>
    <mergeCell ref="O69:O71"/>
    <mergeCell ref="D70:E70"/>
    <mergeCell ref="H70:I70"/>
    <mergeCell ref="N61:N68"/>
    <mergeCell ref="O61:O68"/>
    <mergeCell ref="D62:E62"/>
    <mergeCell ref="D63:E63"/>
    <mergeCell ref="D64:E64"/>
    <mergeCell ref="D65:E65"/>
    <mergeCell ref="D66:E66"/>
    <mergeCell ref="D67:E67"/>
    <mergeCell ref="D68:E68"/>
    <mergeCell ref="J71:J79"/>
    <mergeCell ref="K71:K79"/>
    <mergeCell ref="A71:A76"/>
    <mergeCell ref="B71:B76"/>
    <mergeCell ref="D71:E71"/>
    <mergeCell ref="L71:L79"/>
    <mergeCell ref="M71:M79"/>
    <mergeCell ref="D72:E72"/>
    <mergeCell ref="C69:E69"/>
    <mergeCell ref="G69:I69"/>
    <mergeCell ref="N69:N71"/>
    <mergeCell ref="O80:O82"/>
    <mergeCell ref="D81:E81"/>
    <mergeCell ref="H81:I81"/>
    <mergeCell ref="N72:N79"/>
    <mergeCell ref="O72:O79"/>
    <mergeCell ref="D73:E73"/>
    <mergeCell ref="D74:E74"/>
    <mergeCell ref="D75:E75"/>
    <mergeCell ref="D76:E76"/>
    <mergeCell ref="D77:E77"/>
    <mergeCell ref="D78:E78"/>
    <mergeCell ref="D79:E79"/>
    <mergeCell ref="J82:J90"/>
    <mergeCell ref="K82:K90"/>
    <mergeCell ref="A82:A87"/>
    <mergeCell ref="B82:B87"/>
    <mergeCell ref="D82:E82"/>
    <mergeCell ref="L82:L90"/>
    <mergeCell ref="M82:M90"/>
    <mergeCell ref="D83:E83"/>
    <mergeCell ref="C80:E80"/>
    <mergeCell ref="G80:I80"/>
    <mergeCell ref="N80:N82"/>
    <mergeCell ref="O91:O93"/>
    <mergeCell ref="D92:E92"/>
    <mergeCell ref="H92:I92"/>
    <mergeCell ref="N83:N90"/>
    <mergeCell ref="O83:O90"/>
    <mergeCell ref="D84:E84"/>
    <mergeCell ref="D85:E85"/>
    <mergeCell ref="D86:E86"/>
    <mergeCell ref="D87:E87"/>
    <mergeCell ref="D88:E88"/>
    <mergeCell ref="D89:E89"/>
    <mergeCell ref="D90:E90"/>
    <mergeCell ref="J93:J101"/>
    <mergeCell ref="K93:K101"/>
    <mergeCell ref="A93:A98"/>
    <mergeCell ref="B93:B98"/>
    <mergeCell ref="D93:E93"/>
    <mergeCell ref="L93:L101"/>
    <mergeCell ref="M93:M101"/>
    <mergeCell ref="D94:E94"/>
    <mergeCell ref="C91:E91"/>
    <mergeCell ref="G91:I91"/>
    <mergeCell ref="N91:N93"/>
    <mergeCell ref="O102:O104"/>
    <mergeCell ref="D103:E103"/>
    <mergeCell ref="H103:I103"/>
    <mergeCell ref="N94:N101"/>
    <mergeCell ref="O94:O101"/>
    <mergeCell ref="D95:E95"/>
    <mergeCell ref="D96:E96"/>
    <mergeCell ref="D97:E97"/>
    <mergeCell ref="D98:E98"/>
    <mergeCell ref="D99:E99"/>
    <mergeCell ref="D100:E100"/>
    <mergeCell ref="D101:E101"/>
    <mergeCell ref="J104:J112"/>
    <mergeCell ref="K104:K112"/>
    <mergeCell ref="A104:A109"/>
    <mergeCell ref="B104:B109"/>
    <mergeCell ref="D104:E104"/>
    <mergeCell ref="L104:L112"/>
    <mergeCell ref="M104:M112"/>
    <mergeCell ref="D105:E105"/>
    <mergeCell ref="C102:E102"/>
    <mergeCell ref="G102:I102"/>
    <mergeCell ref="N102:N104"/>
    <mergeCell ref="C114:E114"/>
    <mergeCell ref="G114:I114"/>
    <mergeCell ref="P114:P115"/>
    <mergeCell ref="D115:E115"/>
    <mergeCell ref="H115:I115"/>
    <mergeCell ref="N105:N112"/>
    <mergeCell ref="O105:O112"/>
    <mergeCell ref="D106:E106"/>
    <mergeCell ref="D107:E107"/>
    <mergeCell ref="D108:E108"/>
    <mergeCell ref="D109:E109"/>
    <mergeCell ref="D110:E110"/>
    <mergeCell ref="D111:E111"/>
    <mergeCell ref="D112:E112"/>
  </mergeCells>
  <phoneticPr fontId="1" type="noConversion"/>
  <pageMargins left="0.39370078740157483" right="0.23622047244094491" top="0.74803149606299213" bottom="0.74803149606299213" header="0.31496062992125984" footer="0.31496062992125984"/>
  <pageSetup paperSize="9" scale="61" orientation="landscape" r:id="rId1"/>
  <headerFooter>
    <oddHeader>&amp;C&amp;"華康魏碑體,標準"&amp;20河濱公園災後一覽表</oddHeader>
    <oddFooter>&amp;R&amp;"王漢宗中仿宋繁,標準"第&amp;P頁，共&amp;N頁</oddFooter>
  </headerFooter>
  <rowBreaks count="3" manualBreakCount="3">
    <brk id="24" min="1" max="12" man="1"/>
    <brk id="46" min="1" max="12" man="1"/>
    <brk id="90" min="1" max="12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124"/>
  <sheetViews>
    <sheetView tabSelected="1" topLeftCell="B88" zoomScaleNormal="100" zoomScaleSheetLayoutView="100" workbookViewId="0">
      <selection activeCell="M93" sqref="M93:M101"/>
    </sheetView>
  </sheetViews>
  <sheetFormatPr defaultColWidth="8.75" defaultRowHeight="16.5"/>
  <cols>
    <col min="1" max="1" width="0" style="54" hidden="1" customWidth="1"/>
    <col min="2" max="2" width="42.125" style="54" customWidth="1"/>
    <col min="3" max="3" width="16.5" style="54" customWidth="1"/>
    <col min="4" max="4" width="13.5" style="54" customWidth="1"/>
    <col min="5" max="5" width="6.75" style="54" customWidth="1"/>
    <col min="6" max="8" width="15.375" style="54" customWidth="1"/>
    <col min="9" max="9" width="4.5" style="54" customWidth="1"/>
    <col min="10" max="11" width="17.625" style="54" customWidth="1"/>
    <col min="12" max="12" width="17.5" style="54" customWidth="1"/>
    <col min="13" max="13" width="18.625" style="54" customWidth="1"/>
    <col min="14" max="14" width="7.5" style="54" customWidth="1"/>
    <col min="15" max="15" width="9.75" style="54" customWidth="1"/>
    <col min="16" max="16" width="16.75" style="54" customWidth="1"/>
    <col min="17" max="16384" width="8.75" style="54"/>
  </cols>
  <sheetData>
    <row r="1" spans="1:17">
      <c r="A1" s="54" t="s">
        <v>65</v>
      </c>
    </row>
    <row r="2" spans="1:17" ht="12.6" customHeight="1" thickBot="1"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</row>
    <row r="3" spans="1:17" ht="18" hidden="1" customHeight="1">
      <c r="B3" s="55" t="s">
        <v>64</v>
      </c>
      <c r="C3" s="146" t="s">
        <v>0</v>
      </c>
      <c r="D3" s="146"/>
      <c r="E3" s="146"/>
      <c r="F3" s="89" t="s">
        <v>61</v>
      </c>
      <c r="G3" s="146" t="s">
        <v>187</v>
      </c>
      <c r="H3" s="146"/>
      <c r="I3" s="146"/>
      <c r="J3" s="92"/>
      <c r="K3" s="92"/>
      <c r="L3" s="89"/>
      <c r="M3" s="89"/>
      <c r="N3" s="147" t="s">
        <v>1</v>
      </c>
      <c r="O3" s="149" t="str">
        <f>工程基本資料!D3</f>
        <v>任益芳</v>
      </c>
      <c r="P3" s="54" t="str">
        <f>O3</f>
        <v>任益芳</v>
      </c>
      <c r="Q3" s="54" t="str">
        <f>N6</f>
        <v>南區工務所</v>
      </c>
    </row>
    <row r="4" spans="1:17" ht="18" hidden="1" customHeight="1">
      <c r="B4" s="57" t="str">
        <f>工程基本資料!C3</f>
        <v>H-113-03-113019</v>
      </c>
      <c r="C4" s="90" t="s">
        <v>2</v>
      </c>
      <c r="D4" s="140" t="s">
        <v>3</v>
      </c>
      <c r="E4" s="141"/>
      <c r="F4" s="86"/>
      <c r="G4" s="60" t="s">
        <v>2</v>
      </c>
      <c r="H4" s="148" t="s">
        <v>4</v>
      </c>
      <c r="I4" s="148"/>
      <c r="J4" s="93" t="s">
        <v>189</v>
      </c>
      <c r="K4" s="93" t="s">
        <v>191</v>
      </c>
      <c r="L4" s="86" t="s">
        <v>59</v>
      </c>
      <c r="M4" s="86" t="s">
        <v>60</v>
      </c>
      <c r="N4" s="148"/>
      <c r="O4" s="150"/>
      <c r="P4" s="54" t="str">
        <f>P3</f>
        <v>任益芳</v>
      </c>
      <c r="Q4" s="54" t="str">
        <f>Q3</f>
        <v>南區工務所</v>
      </c>
    </row>
    <row r="5" spans="1:17" ht="18" hidden="1" customHeight="1">
      <c r="A5" s="136">
        <v>1</v>
      </c>
      <c r="B5" s="137" t="str">
        <f>工程基本資料!B3</f>
        <v>113年度南區河濱公園路面暨災後復原預約維護工程</v>
      </c>
      <c r="C5" s="90" t="s">
        <v>5</v>
      </c>
      <c r="D5" s="140" t="s">
        <v>62</v>
      </c>
      <c r="E5" s="141"/>
      <c r="F5" s="86" t="s">
        <v>62</v>
      </c>
      <c r="G5" s="60" t="s">
        <v>6</v>
      </c>
      <c r="H5" s="60">
        <v>0</v>
      </c>
      <c r="I5" s="60" t="s">
        <v>7</v>
      </c>
      <c r="J5" s="142"/>
      <c r="K5" s="142"/>
      <c r="L5" s="142"/>
      <c r="M5" s="142"/>
      <c r="N5" s="148"/>
      <c r="O5" s="151"/>
      <c r="P5" s="54" t="str">
        <f t="shared" ref="P5:Q13" si="0">P4</f>
        <v>任益芳</v>
      </c>
      <c r="Q5" s="54" t="str">
        <f t="shared" si="0"/>
        <v>南區工務所</v>
      </c>
    </row>
    <row r="6" spans="1:17" ht="18" hidden="1" customHeight="1">
      <c r="A6" s="136"/>
      <c r="B6" s="138"/>
      <c r="C6" s="90" t="s">
        <v>16</v>
      </c>
      <c r="D6" s="140" t="s">
        <v>62</v>
      </c>
      <c r="E6" s="141"/>
      <c r="F6" s="86" t="s">
        <v>62</v>
      </c>
      <c r="G6" s="60" t="s">
        <v>9</v>
      </c>
      <c r="H6" s="60">
        <v>0</v>
      </c>
      <c r="I6" s="60" t="s">
        <v>10</v>
      </c>
      <c r="J6" s="143"/>
      <c r="K6" s="143"/>
      <c r="L6" s="143"/>
      <c r="M6" s="143"/>
      <c r="N6" s="152" t="str">
        <f>工程基本資料!E3</f>
        <v>南區工務所</v>
      </c>
      <c r="O6" s="155" t="str">
        <f>工程基本資料!I3</f>
        <v>松瑩營造有限公司</v>
      </c>
      <c r="P6" s="54" t="str">
        <f t="shared" si="0"/>
        <v>任益芳</v>
      </c>
      <c r="Q6" s="54" t="str">
        <f t="shared" si="0"/>
        <v>南區工務所</v>
      </c>
    </row>
    <row r="7" spans="1:17" ht="18" hidden="1" customHeight="1">
      <c r="A7" s="136"/>
      <c r="B7" s="138"/>
      <c r="C7" s="90" t="s">
        <v>8</v>
      </c>
      <c r="D7" s="140" t="s">
        <v>62</v>
      </c>
      <c r="E7" s="141"/>
      <c r="F7" s="86" t="s">
        <v>62</v>
      </c>
      <c r="G7" s="60" t="s">
        <v>17</v>
      </c>
      <c r="H7" s="60">
        <v>0</v>
      </c>
      <c r="I7" s="60" t="s">
        <v>10</v>
      </c>
      <c r="J7" s="143"/>
      <c r="K7" s="143"/>
      <c r="L7" s="143"/>
      <c r="M7" s="143"/>
      <c r="N7" s="153"/>
      <c r="O7" s="156"/>
      <c r="P7" s="54" t="str">
        <f t="shared" si="0"/>
        <v>任益芳</v>
      </c>
      <c r="Q7" s="54" t="str">
        <f t="shared" si="0"/>
        <v>南區工務所</v>
      </c>
    </row>
    <row r="8" spans="1:17" ht="18" hidden="1" customHeight="1">
      <c r="A8" s="136"/>
      <c r="B8" s="138"/>
      <c r="C8" s="90" t="s">
        <v>12</v>
      </c>
      <c r="D8" s="140" t="s">
        <v>62</v>
      </c>
      <c r="E8" s="141"/>
      <c r="F8" s="86" t="s">
        <v>62</v>
      </c>
      <c r="G8" s="60" t="s">
        <v>11</v>
      </c>
      <c r="H8" s="60">
        <v>0</v>
      </c>
      <c r="I8" s="60" t="s">
        <v>10</v>
      </c>
      <c r="J8" s="143"/>
      <c r="K8" s="143"/>
      <c r="L8" s="143"/>
      <c r="M8" s="143"/>
      <c r="N8" s="153"/>
      <c r="O8" s="156"/>
      <c r="P8" s="54" t="str">
        <f t="shared" si="0"/>
        <v>任益芳</v>
      </c>
      <c r="Q8" s="54" t="str">
        <f t="shared" si="0"/>
        <v>南區工務所</v>
      </c>
    </row>
    <row r="9" spans="1:17" ht="18" hidden="1" customHeight="1">
      <c r="A9" s="136"/>
      <c r="B9" s="138"/>
      <c r="G9" s="60" t="s">
        <v>13</v>
      </c>
      <c r="H9" s="60">
        <v>0</v>
      </c>
      <c r="I9" s="60" t="s">
        <v>10</v>
      </c>
      <c r="J9" s="143"/>
      <c r="K9" s="143"/>
      <c r="L9" s="143"/>
      <c r="M9" s="143"/>
      <c r="N9" s="153"/>
      <c r="O9" s="156"/>
      <c r="P9" s="54" t="str">
        <f t="shared" si="0"/>
        <v>任益芳</v>
      </c>
      <c r="Q9" s="54" t="str">
        <f t="shared" si="0"/>
        <v>南區工務所</v>
      </c>
    </row>
    <row r="10" spans="1:17" ht="18" hidden="1" customHeight="1">
      <c r="A10" s="136"/>
      <c r="B10" s="138"/>
      <c r="C10" s="60"/>
      <c r="D10" s="148"/>
      <c r="E10" s="148"/>
      <c r="F10" s="87"/>
      <c r="G10" s="60" t="s">
        <v>14</v>
      </c>
      <c r="H10" s="60">
        <v>0</v>
      </c>
      <c r="I10" s="60" t="s">
        <v>10</v>
      </c>
      <c r="J10" s="143"/>
      <c r="K10" s="143"/>
      <c r="L10" s="143"/>
      <c r="M10" s="143"/>
      <c r="N10" s="153"/>
      <c r="O10" s="156"/>
      <c r="P10" s="54" t="str">
        <f t="shared" si="0"/>
        <v>任益芳</v>
      </c>
      <c r="Q10" s="54" t="str">
        <f t="shared" si="0"/>
        <v>南區工務所</v>
      </c>
    </row>
    <row r="11" spans="1:17" ht="18" hidden="1" customHeight="1">
      <c r="A11" s="136"/>
      <c r="B11" s="138"/>
      <c r="C11" s="63"/>
      <c r="D11" s="148"/>
      <c r="E11" s="148"/>
      <c r="F11" s="87"/>
      <c r="G11" s="63" t="s">
        <v>18</v>
      </c>
      <c r="H11" s="63">
        <v>0</v>
      </c>
      <c r="I11" s="63" t="s">
        <v>10</v>
      </c>
      <c r="J11" s="143"/>
      <c r="K11" s="143"/>
      <c r="L11" s="143"/>
      <c r="M11" s="143"/>
      <c r="N11" s="153"/>
      <c r="O11" s="156"/>
      <c r="P11" s="54" t="str">
        <f t="shared" si="0"/>
        <v>任益芳</v>
      </c>
      <c r="Q11" s="54" t="str">
        <f t="shared" si="0"/>
        <v>南區工務所</v>
      </c>
    </row>
    <row r="12" spans="1:17" ht="18" hidden="1" customHeight="1">
      <c r="A12" s="136"/>
      <c r="B12" s="138"/>
      <c r="C12" s="63"/>
      <c r="D12" s="148"/>
      <c r="E12" s="148"/>
      <c r="F12" s="87"/>
      <c r="G12" s="63" t="s">
        <v>19</v>
      </c>
      <c r="H12" s="63">
        <v>0</v>
      </c>
      <c r="I12" s="63" t="s">
        <v>20</v>
      </c>
      <c r="J12" s="143"/>
      <c r="K12" s="143"/>
      <c r="L12" s="143"/>
      <c r="M12" s="143"/>
      <c r="N12" s="153"/>
      <c r="O12" s="156"/>
      <c r="P12" s="54" t="str">
        <f t="shared" si="0"/>
        <v>任益芳</v>
      </c>
      <c r="Q12" s="54" t="str">
        <f t="shared" si="0"/>
        <v>南區工務所</v>
      </c>
    </row>
    <row r="13" spans="1:17" ht="18" hidden="1" customHeight="1" thickBot="1">
      <c r="A13" s="136"/>
      <c r="B13" s="139"/>
      <c r="C13" s="64"/>
      <c r="D13" s="158"/>
      <c r="E13" s="158"/>
      <c r="F13" s="88"/>
      <c r="G13" s="64" t="s">
        <v>15</v>
      </c>
      <c r="H13" s="64">
        <v>0</v>
      </c>
      <c r="I13" s="64" t="s">
        <v>10</v>
      </c>
      <c r="J13" s="144"/>
      <c r="K13" s="144"/>
      <c r="L13" s="144"/>
      <c r="M13" s="144"/>
      <c r="N13" s="154"/>
      <c r="O13" s="157"/>
      <c r="P13" s="54" t="str">
        <f t="shared" si="0"/>
        <v>任益芳</v>
      </c>
      <c r="Q13" s="54" t="str">
        <f t="shared" si="0"/>
        <v>南區工務所</v>
      </c>
    </row>
    <row r="14" spans="1:17" ht="18" hidden="1" customHeight="1">
      <c r="B14" s="55" t="s">
        <v>64</v>
      </c>
      <c r="C14" s="146" t="s">
        <v>0</v>
      </c>
      <c r="D14" s="146"/>
      <c r="E14" s="146"/>
      <c r="F14" s="89" t="s">
        <v>61</v>
      </c>
      <c r="G14" s="146" t="str">
        <f>$G$3</f>
        <v>113年9月26日當日動員機具</v>
      </c>
      <c r="H14" s="146"/>
      <c r="I14" s="146"/>
      <c r="J14" s="92"/>
      <c r="K14" s="92"/>
      <c r="L14" s="89"/>
      <c r="M14" s="89"/>
      <c r="N14" s="147" t="s">
        <v>1</v>
      </c>
      <c r="O14" s="149" t="str">
        <f>工程基本資料!D4</f>
        <v>任益芳</v>
      </c>
      <c r="P14" s="54" t="str">
        <f>O14</f>
        <v>任益芳</v>
      </c>
      <c r="Q14" s="54" t="str">
        <f>N17</f>
        <v>南區工務所</v>
      </c>
    </row>
    <row r="15" spans="1:17" ht="18" hidden="1" customHeight="1">
      <c r="B15" s="57" t="str">
        <f>工程基本資料!C4</f>
        <v>H-113-03-113022</v>
      </c>
      <c r="C15" s="90" t="s">
        <v>2</v>
      </c>
      <c r="D15" s="140" t="s">
        <v>3</v>
      </c>
      <c r="E15" s="141"/>
      <c r="F15" s="86"/>
      <c r="G15" s="60" t="s">
        <v>2</v>
      </c>
      <c r="H15" s="148" t="s">
        <v>4</v>
      </c>
      <c r="I15" s="148"/>
      <c r="J15" s="93" t="s">
        <v>188</v>
      </c>
      <c r="K15" s="93" t="s">
        <v>190</v>
      </c>
      <c r="L15" s="86" t="s">
        <v>59</v>
      </c>
      <c r="M15" s="86" t="s">
        <v>60</v>
      </c>
      <c r="N15" s="148"/>
      <c r="O15" s="150"/>
      <c r="P15" s="54" t="str">
        <f t="shared" ref="P15:Q24" si="1">P14</f>
        <v>任益芳</v>
      </c>
      <c r="Q15" s="54" t="str">
        <f>Q14</f>
        <v>南區工務所</v>
      </c>
    </row>
    <row r="16" spans="1:17" ht="18" hidden="1" customHeight="1">
      <c r="A16" s="136">
        <v>2</v>
      </c>
      <c r="B16" s="137" t="str">
        <f>工程基本資料!B4</f>
        <v>113年度南區水利建造物檢修改善及災後復原(新店溪永福橋至萬板大橋段)預約維護工程</v>
      </c>
      <c r="C16" s="90" t="s">
        <v>5</v>
      </c>
      <c r="D16" s="140" t="s">
        <v>62</v>
      </c>
      <c r="E16" s="141"/>
      <c r="F16" s="86" t="s">
        <v>62</v>
      </c>
      <c r="G16" s="60" t="s">
        <v>6</v>
      </c>
      <c r="H16" s="60">
        <v>0</v>
      </c>
      <c r="I16" s="60" t="s">
        <v>7</v>
      </c>
      <c r="J16" s="142"/>
      <c r="K16" s="142"/>
      <c r="L16" s="142"/>
      <c r="M16" s="142"/>
      <c r="N16" s="148"/>
      <c r="O16" s="151"/>
      <c r="P16" s="54" t="str">
        <f t="shared" si="1"/>
        <v>任益芳</v>
      </c>
      <c r="Q16" s="54" t="str">
        <f t="shared" si="1"/>
        <v>南區工務所</v>
      </c>
    </row>
    <row r="17" spans="1:17" ht="18" hidden="1" customHeight="1">
      <c r="A17" s="136"/>
      <c r="B17" s="138"/>
      <c r="C17" s="90" t="s">
        <v>16</v>
      </c>
      <c r="D17" s="140" t="s">
        <v>62</v>
      </c>
      <c r="E17" s="141"/>
      <c r="F17" s="86" t="s">
        <v>62</v>
      </c>
      <c r="G17" s="60" t="s">
        <v>9</v>
      </c>
      <c r="H17" s="60">
        <v>0</v>
      </c>
      <c r="I17" s="60" t="s">
        <v>10</v>
      </c>
      <c r="J17" s="143"/>
      <c r="K17" s="143"/>
      <c r="L17" s="143"/>
      <c r="M17" s="143"/>
      <c r="N17" s="152" t="str">
        <f>工程基本資料!E4</f>
        <v>南區工務所</v>
      </c>
      <c r="O17" s="155" t="str">
        <f>工程基本資料!I4</f>
        <v>鋐城營造有限公司</v>
      </c>
      <c r="P17" s="54" t="str">
        <f t="shared" si="1"/>
        <v>任益芳</v>
      </c>
      <c r="Q17" s="54" t="str">
        <f t="shared" si="1"/>
        <v>南區工務所</v>
      </c>
    </row>
    <row r="18" spans="1:17" ht="18" hidden="1" customHeight="1">
      <c r="A18" s="136"/>
      <c r="B18" s="138"/>
      <c r="C18" s="90" t="s">
        <v>8</v>
      </c>
      <c r="D18" s="140" t="s">
        <v>62</v>
      </c>
      <c r="E18" s="141"/>
      <c r="F18" s="86" t="s">
        <v>62</v>
      </c>
      <c r="G18" s="60" t="s">
        <v>17</v>
      </c>
      <c r="H18" s="60">
        <v>0</v>
      </c>
      <c r="I18" s="60" t="s">
        <v>10</v>
      </c>
      <c r="J18" s="143"/>
      <c r="K18" s="143"/>
      <c r="L18" s="143"/>
      <c r="M18" s="143"/>
      <c r="N18" s="153"/>
      <c r="O18" s="156"/>
      <c r="P18" s="54" t="str">
        <f t="shared" si="1"/>
        <v>任益芳</v>
      </c>
      <c r="Q18" s="54" t="str">
        <f t="shared" si="1"/>
        <v>南區工務所</v>
      </c>
    </row>
    <row r="19" spans="1:17" ht="18" hidden="1" customHeight="1">
      <c r="A19" s="136"/>
      <c r="B19" s="138"/>
      <c r="C19" s="90" t="s">
        <v>12</v>
      </c>
      <c r="D19" s="140" t="s">
        <v>62</v>
      </c>
      <c r="E19" s="141"/>
      <c r="F19" s="86" t="s">
        <v>62</v>
      </c>
      <c r="G19" s="60" t="s">
        <v>11</v>
      </c>
      <c r="H19" s="60">
        <v>0</v>
      </c>
      <c r="I19" s="60" t="s">
        <v>10</v>
      </c>
      <c r="J19" s="143"/>
      <c r="K19" s="143"/>
      <c r="L19" s="143"/>
      <c r="M19" s="143"/>
      <c r="N19" s="153"/>
      <c r="O19" s="156"/>
      <c r="P19" s="54" t="str">
        <f t="shared" si="1"/>
        <v>任益芳</v>
      </c>
      <c r="Q19" s="54" t="str">
        <f t="shared" si="1"/>
        <v>南區工務所</v>
      </c>
    </row>
    <row r="20" spans="1:17" ht="18" hidden="1" customHeight="1">
      <c r="A20" s="136"/>
      <c r="B20" s="138"/>
      <c r="G20" s="60" t="s">
        <v>13</v>
      </c>
      <c r="H20" s="60">
        <v>0</v>
      </c>
      <c r="I20" s="60" t="s">
        <v>10</v>
      </c>
      <c r="J20" s="143"/>
      <c r="K20" s="143"/>
      <c r="L20" s="143"/>
      <c r="M20" s="143"/>
      <c r="N20" s="153"/>
      <c r="O20" s="156"/>
      <c r="P20" s="54" t="str">
        <f t="shared" si="1"/>
        <v>任益芳</v>
      </c>
      <c r="Q20" s="54" t="str">
        <f t="shared" si="1"/>
        <v>南區工務所</v>
      </c>
    </row>
    <row r="21" spans="1:17" ht="18" hidden="1" customHeight="1">
      <c r="A21" s="136"/>
      <c r="B21" s="138"/>
      <c r="C21" s="60"/>
      <c r="D21" s="148"/>
      <c r="E21" s="148"/>
      <c r="F21" s="87"/>
      <c r="G21" s="60" t="s">
        <v>14</v>
      </c>
      <c r="H21" s="60">
        <v>0</v>
      </c>
      <c r="I21" s="60" t="s">
        <v>10</v>
      </c>
      <c r="J21" s="143"/>
      <c r="K21" s="143"/>
      <c r="L21" s="143"/>
      <c r="M21" s="143"/>
      <c r="N21" s="153"/>
      <c r="O21" s="156"/>
      <c r="P21" s="54" t="str">
        <f t="shared" si="1"/>
        <v>任益芳</v>
      </c>
      <c r="Q21" s="54" t="str">
        <f t="shared" si="1"/>
        <v>南區工務所</v>
      </c>
    </row>
    <row r="22" spans="1:17" ht="18" hidden="1" customHeight="1">
      <c r="A22" s="136"/>
      <c r="B22" s="138"/>
      <c r="C22" s="63"/>
      <c r="D22" s="148"/>
      <c r="E22" s="148"/>
      <c r="F22" s="87"/>
      <c r="G22" s="63" t="s">
        <v>18</v>
      </c>
      <c r="H22" s="63">
        <v>0</v>
      </c>
      <c r="I22" s="63" t="s">
        <v>10</v>
      </c>
      <c r="J22" s="143"/>
      <c r="K22" s="143"/>
      <c r="L22" s="143"/>
      <c r="M22" s="143"/>
      <c r="N22" s="153"/>
      <c r="O22" s="156"/>
      <c r="P22" s="54" t="str">
        <f t="shared" si="1"/>
        <v>任益芳</v>
      </c>
      <c r="Q22" s="54" t="str">
        <f t="shared" si="1"/>
        <v>南區工務所</v>
      </c>
    </row>
    <row r="23" spans="1:17" ht="18" hidden="1" customHeight="1">
      <c r="A23" s="136"/>
      <c r="B23" s="138"/>
      <c r="C23" s="63"/>
      <c r="D23" s="148"/>
      <c r="E23" s="148"/>
      <c r="F23" s="87"/>
      <c r="G23" s="63" t="s">
        <v>19</v>
      </c>
      <c r="H23" s="63">
        <v>0</v>
      </c>
      <c r="I23" s="63" t="s">
        <v>20</v>
      </c>
      <c r="J23" s="143"/>
      <c r="K23" s="143"/>
      <c r="L23" s="143"/>
      <c r="M23" s="143"/>
      <c r="N23" s="153"/>
      <c r="O23" s="156"/>
      <c r="P23" s="54" t="str">
        <f t="shared" si="1"/>
        <v>任益芳</v>
      </c>
      <c r="Q23" s="54" t="str">
        <f t="shared" si="1"/>
        <v>南區工務所</v>
      </c>
    </row>
    <row r="24" spans="1:17" ht="18" hidden="1" customHeight="1" thickBot="1">
      <c r="A24" s="136"/>
      <c r="B24" s="139"/>
      <c r="C24" s="64"/>
      <c r="D24" s="158"/>
      <c r="E24" s="158"/>
      <c r="F24" s="88"/>
      <c r="G24" s="64" t="s">
        <v>15</v>
      </c>
      <c r="H24" s="64">
        <v>0</v>
      </c>
      <c r="I24" s="64" t="s">
        <v>10</v>
      </c>
      <c r="J24" s="144"/>
      <c r="K24" s="144"/>
      <c r="L24" s="144"/>
      <c r="M24" s="144"/>
      <c r="N24" s="154"/>
      <c r="O24" s="157"/>
      <c r="P24" s="54" t="str">
        <f>P22</f>
        <v>任益芳</v>
      </c>
      <c r="Q24" s="54" t="str">
        <f t="shared" si="1"/>
        <v>南區工務所</v>
      </c>
    </row>
    <row r="25" spans="1:17" ht="18" customHeight="1">
      <c r="B25" s="55" t="s">
        <v>64</v>
      </c>
      <c r="C25" s="146" t="s">
        <v>0</v>
      </c>
      <c r="D25" s="146"/>
      <c r="E25" s="146"/>
      <c r="F25" s="89" t="s">
        <v>61</v>
      </c>
      <c r="G25" s="146" t="str">
        <f>$G$3</f>
        <v>113年9月26日當日動員機具</v>
      </c>
      <c r="H25" s="146"/>
      <c r="I25" s="146"/>
      <c r="J25" s="92"/>
      <c r="K25" s="92"/>
      <c r="L25" s="89"/>
      <c r="M25" s="89"/>
      <c r="N25" s="147" t="s">
        <v>1</v>
      </c>
      <c r="O25" s="149" t="str">
        <f>工程基本資料!D5</f>
        <v>王伯豪</v>
      </c>
      <c r="P25" s="54" t="str">
        <f>O25</f>
        <v>王伯豪</v>
      </c>
      <c r="Q25" s="54" t="str">
        <f>N28</f>
        <v>南區工務所</v>
      </c>
    </row>
    <row r="26" spans="1:17" ht="18" customHeight="1">
      <c r="B26" s="57" t="str">
        <f>工程基本資料!C5</f>
        <v>H-113-03-113047</v>
      </c>
      <c r="C26" s="90" t="s">
        <v>2</v>
      </c>
      <c r="D26" s="140" t="s">
        <v>3</v>
      </c>
      <c r="E26" s="141"/>
      <c r="F26" s="86"/>
      <c r="G26" s="60" t="s">
        <v>2</v>
      </c>
      <c r="H26" s="148" t="s">
        <v>4</v>
      </c>
      <c r="I26" s="148"/>
      <c r="J26" s="93" t="s">
        <v>188</v>
      </c>
      <c r="K26" s="93" t="s">
        <v>190</v>
      </c>
      <c r="L26" s="86" t="s">
        <v>59</v>
      </c>
      <c r="M26" s="86" t="s">
        <v>60</v>
      </c>
      <c r="N26" s="148"/>
      <c r="O26" s="150"/>
      <c r="P26" s="54" t="str">
        <f t="shared" ref="P26:Q35" si="2">P25</f>
        <v>王伯豪</v>
      </c>
      <c r="Q26" s="54" t="str">
        <f>Q25</f>
        <v>南區工務所</v>
      </c>
    </row>
    <row r="27" spans="1:17" ht="18" customHeight="1">
      <c r="A27" s="136">
        <v>3</v>
      </c>
      <c r="B27" s="137" t="str">
        <f>工程基本資料!B5</f>
        <v>113年度南區河濱公園土木（含颱風豪雨設施撤離）暨災後復原預約維護工程</v>
      </c>
      <c r="C27" s="90" t="s">
        <v>5</v>
      </c>
      <c r="D27" s="148" t="s">
        <v>151</v>
      </c>
      <c r="E27" s="148"/>
      <c r="F27" s="90" t="s">
        <v>151</v>
      </c>
      <c r="G27" s="60" t="s">
        <v>6</v>
      </c>
      <c r="H27" s="60"/>
      <c r="I27" s="60" t="s">
        <v>7</v>
      </c>
      <c r="J27" s="108"/>
      <c r="K27" s="108"/>
      <c r="L27" s="108"/>
      <c r="M27" s="108"/>
      <c r="N27" s="148"/>
      <c r="O27" s="151"/>
      <c r="P27" s="54" t="str">
        <f t="shared" si="2"/>
        <v>王伯豪</v>
      </c>
      <c r="Q27" s="54" t="str">
        <f t="shared" si="2"/>
        <v>南區工務所</v>
      </c>
    </row>
    <row r="28" spans="1:17" ht="18" customHeight="1">
      <c r="A28" s="136"/>
      <c r="B28" s="138"/>
      <c r="C28" s="90" t="s">
        <v>16</v>
      </c>
      <c r="D28" s="148" t="s">
        <v>151</v>
      </c>
      <c r="E28" s="148"/>
      <c r="F28" s="90" t="s">
        <v>151</v>
      </c>
      <c r="G28" s="60" t="s">
        <v>9</v>
      </c>
      <c r="H28" s="60"/>
      <c r="I28" s="60" t="s">
        <v>10</v>
      </c>
      <c r="J28" s="109"/>
      <c r="K28" s="109"/>
      <c r="L28" s="109"/>
      <c r="M28" s="109"/>
      <c r="N28" s="152" t="str">
        <f>工程基本資料!E5</f>
        <v>南區工務所</v>
      </c>
      <c r="O28" s="155" t="str">
        <f>工程基本資料!I5</f>
        <v>泇溢營造有限公司</v>
      </c>
      <c r="P28" s="54" t="str">
        <f t="shared" si="2"/>
        <v>王伯豪</v>
      </c>
      <c r="Q28" s="54" t="str">
        <f t="shared" si="2"/>
        <v>南區工務所</v>
      </c>
    </row>
    <row r="29" spans="1:17" ht="18" customHeight="1">
      <c r="A29" s="136"/>
      <c r="B29" s="138"/>
      <c r="C29" s="90" t="s">
        <v>8</v>
      </c>
      <c r="D29" s="148" t="s">
        <v>167</v>
      </c>
      <c r="E29" s="148"/>
      <c r="F29" s="90" t="s">
        <v>169</v>
      </c>
      <c r="G29" s="60" t="s">
        <v>17</v>
      </c>
      <c r="H29" s="60"/>
      <c r="I29" s="60" t="s">
        <v>10</v>
      </c>
      <c r="J29" s="109"/>
      <c r="K29" s="109"/>
      <c r="L29" s="109"/>
      <c r="M29" s="109"/>
      <c r="N29" s="153"/>
      <c r="O29" s="156"/>
      <c r="P29" s="54" t="str">
        <f t="shared" si="2"/>
        <v>王伯豪</v>
      </c>
      <c r="Q29" s="54" t="str">
        <f t="shared" si="2"/>
        <v>南區工務所</v>
      </c>
    </row>
    <row r="30" spans="1:17" ht="18" customHeight="1">
      <c r="A30" s="136"/>
      <c r="B30" s="138"/>
      <c r="C30" s="90" t="s">
        <v>12</v>
      </c>
      <c r="D30" s="148" t="s">
        <v>168</v>
      </c>
      <c r="E30" s="148"/>
      <c r="F30" s="90" t="s">
        <v>151</v>
      </c>
      <c r="G30" s="60" t="s">
        <v>11</v>
      </c>
      <c r="H30" s="60"/>
      <c r="I30" s="60" t="s">
        <v>10</v>
      </c>
      <c r="J30" s="109"/>
      <c r="K30" s="109"/>
      <c r="L30" s="109"/>
      <c r="M30" s="109"/>
      <c r="N30" s="153"/>
      <c r="O30" s="156"/>
      <c r="P30" s="54" t="str">
        <f t="shared" si="2"/>
        <v>王伯豪</v>
      </c>
      <c r="Q30" s="54" t="str">
        <f t="shared" si="2"/>
        <v>南區工務所</v>
      </c>
    </row>
    <row r="31" spans="1:17" ht="18" customHeight="1">
      <c r="A31" s="136"/>
      <c r="B31" s="138"/>
      <c r="D31" s="148"/>
      <c r="E31" s="148"/>
      <c r="F31" s="60"/>
      <c r="G31" s="60" t="s">
        <v>13</v>
      </c>
      <c r="H31" s="60"/>
      <c r="I31" s="60" t="s">
        <v>10</v>
      </c>
      <c r="J31" s="109"/>
      <c r="K31" s="109"/>
      <c r="L31" s="109"/>
      <c r="M31" s="109"/>
      <c r="N31" s="153"/>
      <c r="O31" s="156"/>
      <c r="P31" s="54" t="str">
        <f t="shared" si="2"/>
        <v>王伯豪</v>
      </c>
      <c r="Q31" s="54" t="str">
        <f t="shared" si="2"/>
        <v>南區工務所</v>
      </c>
    </row>
    <row r="32" spans="1:17" ht="18" customHeight="1">
      <c r="A32" s="136"/>
      <c r="B32" s="138"/>
      <c r="C32" s="60"/>
      <c r="D32" s="148"/>
      <c r="E32" s="148"/>
      <c r="F32" s="90"/>
      <c r="G32" s="60" t="s">
        <v>14</v>
      </c>
      <c r="H32" s="60"/>
      <c r="I32" s="60" t="s">
        <v>10</v>
      </c>
      <c r="J32" s="109"/>
      <c r="K32" s="109"/>
      <c r="L32" s="109"/>
      <c r="M32" s="109"/>
      <c r="N32" s="153"/>
      <c r="O32" s="156"/>
      <c r="P32" s="54" t="str">
        <f t="shared" si="2"/>
        <v>王伯豪</v>
      </c>
      <c r="Q32" s="54" t="str">
        <f t="shared" si="2"/>
        <v>南區工務所</v>
      </c>
    </row>
    <row r="33" spans="1:17" ht="18" customHeight="1">
      <c r="A33" s="136"/>
      <c r="B33" s="84"/>
      <c r="C33" s="63"/>
      <c r="D33" s="148"/>
      <c r="E33" s="148"/>
      <c r="F33" s="90"/>
      <c r="G33" s="63" t="s">
        <v>18</v>
      </c>
      <c r="H33" s="63"/>
      <c r="I33" s="63" t="s">
        <v>10</v>
      </c>
      <c r="J33" s="109"/>
      <c r="K33" s="109"/>
      <c r="L33" s="109"/>
      <c r="M33" s="109"/>
      <c r="N33" s="153"/>
      <c r="O33" s="156"/>
      <c r="P33" s="54" t="str">
        <f t="shared" si="2"/>
        <v>王伯豪</v>
      </c>
      <c r="Q33" s="54" t="str">
        <f t="shared" si="2"/>
        <v>南區工務所</v>
      </c>
    </row>
    <row r="34" spans="1:17" ht="18" customHeight="1">
      <c r="A34" s="136"/>
      <c r="B34" s="84"/>
      <c r="C34" s="63"/>
      <c r="D34" s="148"/>
      <c r="E34" s="148"/>
      <c r="F34" s="90"/>
      <c r="G34" s="63" t="s">
        <v>19</v>
      </c>
      <c r="H34" s="63"/>
      <c r="I34" s="63" t="s">
        <v>20</v>
      </c>
      <c r="J34" s="109"/>
      <c r="K34" s="109"/>
      <c r="L34" s="109"/>
      <c r="M34" s="109"/>
      <c r="N34" s="153"/>
      <c r="O34" s="156"/>
      <c r="P34" s="54" t="str">
        <f t="shared" si="2"/>
        <v>王伯豪</v>
      </c>
      <c r="Q34" s="54" t="str">
        <f t="shared" si="2"/>
        <v>南區工務所</v>
      </c>
    </row>
    <row r="35" spans="1:17" ht="18" customHeight="1" thickBot="1">
      <c r="A35" s="136"/>
      <c r="B35" s="85"/>
      <c r="C35" s="64"/>
      <c r="D35" s="148"/>
      <c r="E35" s="148"/>
      <c r="F35" s="90"/>
      <c r="G35" s="64" t="s">
        <v>15</v>
      </c>
      <c r="H35" s="64"/>
      <c r="I35" s="64" t="s">
        <v>10</v>
      </c>
      <c r="J35" s="110"/>
      <c r="K35" s="110"/>
      <c r="L35" s="110"/>
      <c r="M35" s="110"/>
      <c r="N35" s="154"/>
      <c r="O35" s="157"/>
      <c r="P35" s="54" t="str">
        <f t="shared" si="2"/>
        <v>王伯豪</v>
      </c>
      <c r="Q35" s="54" t="str">
        <f t="shared" si="2"/>
        <v>南區工務所</v>
      </c>
    </row>
    <row r="36" spans="1:17" ht="18" customHeight="1">
      <c r="B36" s="55" t="s">
        <v>64</v>
      </c>
      <c r="C36" s="146" t="s">
        <v>0</v>
      </c>
      <c r="D36" s="159"/>
      <c r="E36" s="159"/>
      <c r="F36" s="91" t="s">
        <v>61</v>
      </c>
      <c r="G36" s="146" t="str">
        <f>$G$3</f>
        <v>113年9月26日當日動員機具</v>
      </c>
      <c r="H36" s="146"/>
      <c r="I36" s="146"/>
      <c r="J36" s="92"/>
      <c r="K36" s="92"/>
      <c r="L36" s="89"/>
      <c r="M36" s="89"/>
      <c r="N36" s="147" t="s">
        <v>1</v>
      </c>
      <c r="O36" s="149" t="str">
        <f>工程基本資料!D6</f>
        <v>詹智為、張思漢</v>
      </c>
      <c r="P36" s="54" t="str">
        <f>O36</f>
        <v>詹智為、張思漢</v>
      </c>
      <c r="Q36" s="54" t="str">
        <f>N39</f>
        <v>北區工務所</v>
      </c>
    </row>
    <row r="37" spans="1:17" ht="18" customHeight="1">
      <c r="B37" s="57" t="str">
        <f>工程基本資料!C6</f>
        <v>H-113-03-113021</v>
      </c>
      <c r="C37" s="90" t="s">
        <v>2</v>
      </c>
      <c r="D37" s="140" t="s">
        <v>3</v>
      </c>
      <c r="E37" s="141"/>
      <c r="F37" s="86"/>
      <c r="G37" s="60" t="s">
        <v>2</v>
      </c>
      <c r="H37" s="148" t="s">
        <v>4</v>
      </c>
      <c r="I37" s="148"/>
      <c r="J37" s="93" t="s">
        <v>188</v>
      </c>
      <c r="K37" s="93" t="s">
        <v>190</v>
      </c>
      <c r="L37" s="86" t="s">
        <v>59</v>
      </c>
      <c r="M37" s="86" t="s">
        <v>60</v>
      </c>
      <c r="N37" s="148"/>
      <c r="O37" s="150"/>
      <c r="P37" s="54" t="str">
        <f t="shared" ref="P37:Q46" si="3">P36</f>
        <v>詹智為、張思漢</v>
      </c>
      <c r="Q37" s="54" t="str">
        <f>Q36</f>
        <v>北區工務所</v>
      </c>
    </row>
    <row r="38" spans="1:17" ht="18" customHeight="1">
      <c r="A38" s="136">
        <v>4</v>
      </c>
      <c r="B38" s="137" t="str">
        <f>工程基本資料!B6</f>
        <v>113年度西區水利建造物檢修改善及災後復原(基隆河左岸高速公路內湖橋至洲美大橋段)預約維護工程</v>
      </c>
      <c r="C38" s="90" t="s">
        <v>5</v>
      </c>
      <c r="D38" s="148" t="s">
        <v>121</v>
      </c>
      <c r="E38" s="148"/>
      <c r="F38" s="90" t="s">
        <v>121</v>
      </c>
      <c r="G38" s="60" t="s">
        <v>6</v>
      </c>
      <c r="H38" s="60"/>
      <c r="I38" s="60" t="s">
        <v>7</v>
      </c>
      <c r="J38" s="114"/>
      <c r="K38" s="114"/>
      <c r="L38" s="114"/>
      <c r="M38" s="114"/>
      <c r="N38" s="148"/>
      <c r="O38" s="151"/>
      <c r="P38" s="54" t="str">
        <f t="shared" si="3"/>
        <v>詹智為、張思漢</v>
      </c>
      <c r="Q38" s="54" t="str">
        <f t="shared" si="3"/>
        <v>北區工務所</v>
      </c>
    </row>
    <row r="39" spans="1:17" ht="18" customHeight="1">
      <c r="A39" s="136"/>
      <c r="B39" s="138"/>
      <c r="C39" s="90" t="s">
        <v>16</v>
      </c>
      <c r="D39" s="148" t="s">
        <v>122</v>
      </c>
      <c r="E39" s="148"/>
      <c r="F39" s="90" t="s">
        <v>121</v>
      </c>
      <c r="G39" s="60" t="s">
        <v>9</v>
      </c>
      <c r="H39" s="60"/>
      <c r="I39" s="60" t="s">
        <v>10</v>
      </c>
      <c r="J39" s="115"/>
      <c r="K39" s="115"/>
      <c r="L39" s="115"/>
      <c r="M39" s="115"/>
      <c r="N39" s="152" t="str">
        <f>工程基本資料!E6</f>
        <v>北區工務所</v>
      </c>
      <c r="O39" s="155" t="str">
        <f>工程基本資料!I6</f>
        <v>逸峰營造有限公司</v>
      </c>
      <c r="P39" s="54" t="str">
        <f t="shared" si="3"/>
        <v>詹智為、張思漢</v>
      </c>
      <c r="Q39" s="54" t="str">
        <f t="shared" si="3"/>
        <v>北區工務所</v>
      </c>
    </row>
    <row r="40" spans="1:17" ht="18" customHeight="1">
      <c r="A40" s="136"/>
      <c r="B40" s="138"/>
      <c r="C40" s="90" t="s">
        <v>8</v>
      </c>
      <c r="D40" s="148" t="s">
        <v>123</v>
      </c>
      <c r="E40" s="148"/>
      <c r="F40" s="90" t="s">
        <v>176</v>
      </c>
      <c r="G40" s="60" t="s">
        <v>17</v>
      </c>
      <c r="H40" s="60"/>
      <c r="I40" s="60" t="s">
        <v>10</v>
      </c>
      <c r="J40" s="115"/>
      <c r="K40" s="115"/>
      <c r="L40" s="115"/>
      <c r="M40" s="115"/>
      <c r="N40" s="153"/>
      <c r="O40" s="156"/>
      <c r="P40" s="54" t="str">
        <f t="shared" si="3"/>
        <v>詹智為、張思漢</v>
      </c>
      <c r="Q40" s="54" t="str">
        <f t="shared" si="3"/>
        <v>北區工務所</v>
      </c>
    </row>
    <row r="41" spans="1:17" ht="18" customHeight="1">
      <c r="A41" s="136"/>
      <c r="B41" s="138"/>
      <c r="C41" s="90" t="s">
        <v>12</v>
      </c>
      <c r="D41" s="148" t="s">
        <v>124</v>
      </c>
      <c r="E41" s="148"/>
      <c r="F41" s="90" t="s">
        <v>154</v>
      </c>
      <c r="G41" s="60" t="s">
        <v>11</v>
      </c>
      <c r="H41" s="60"/>
      <c r="I41" s="60" t="s">
        <v>10</v>
      </c>
      <c r="J41" s="115"/>
      <c r="K41" s="115"/>
      <c r="L41" s="115"/>
      <c r="M41" s="115"/>
      <c r="N41" s="153"/>
      <c r="O41" s="156"/>
      <c r="P41" s="54" t="str">
        <f t="shared" si="3"/>
        <v>詹智為、張思漢</v>
      </c>
      <c r="Q41" s="54" t="str">
        <f t="shared" si="3"/>
        <v>北區工務所</v>
      </c>
    </row>
    <row r="42" spans="1:17" ht="18" customHeight="1">
      <c r="A42" s="136"/>
      <c r="B42" s="138"/>
      <c r="D42" s="148"/>
      <c r="E42" s="148"/>
      <c r="F42" s="60"/>
      <c r="G42" s="60" t="s">
        <v>13</v>
      </c>
      <c r="H42" s="60"/>
      <c r="I42" s="60" t="s">
        <v>10</v>
      </c>
      <c r="J42" s="115"/>
      <c r="K42" s="115"/>
      <c r="L42" s="115"/>
      <c r="M42" s="115"/>
      <c r="N42" s="153"/>
      <c r="O42" s="156"/>
      <c r="P42" s="54" t="str">
        <f t="shared" si="3"/>
        <v>詹智為、張思漢</v>
      </c>
      <c r="Q42" s="54" t="str">
        <f t="shared" si="3"/>
        <v>北區工務所</v>
      </c>
    </row>
    <row r="43" spans="1:17" ht="18" customHeight="1">
      <c r="A43" s="136"/>
      <c r="B43" s="84"/>
      <c r="C43" s="60"/>
      <c r="D43" s="148"/>
      <c r="E43" s="148"/>
      <c r="F43" s="90"/>
      <c r="G43" s="60" t="s">
        <v>14</v>
      </c>
      <c r="H43" s="60"/>
      <c r="I43" s="60" t="s">
        <v>10</v>
      </c>
      <c r="J43" s="115"/>
      <c r="K43" s="115"/>
      <c r="L43" s="115"/>
      <c r="M43" s="115"/>
      <c r="N43" s="153"/>
      <c r="O43" s="156"/>
      <c r="P43" s="54" t="str">
        <f t="shared" si="3"/>
        <v>詹智為、張思漢</v>
      </c>
      <c r="Q43" s="54" t="str">
        <f t="shared" si="3"/>
        <v>北區工務所</v>
      </c>
    </row>
    <row r="44" spans="1:17" ht="18" customHeight="1">
      <c r="A44" s="136"/>
      <c r="B44" s="138"/>
      <c r="C44" s="63"/>
      <c r="D44" s="148"/>
      <c r="E44" s="148"/>
      <c r="F44" s="90"/>
      <c r="G44" s="63" t="s">
        <v>18</v>
      </c>
      <c r="H44" s="63"/>
      <c r="I44" s="63" t="s">
        <v>10</v>
      </c>
      <c r="J44" s="115"/>
      <c r="K44" s="115"/>
      <c r="L44" s="115"/>
      <c r="M44" s="115"/>
      <c r="N44" s="153"/>
      <c r="O44" s="156"/>
      <c r="P44" s="54" t="str">
        <f t="shared" si="3"/>
        <v>詹智為、張思漢</v>
      </c>
      <c r="Q44" s="54" t="str">
        <f t="shared" si="3"/>
        <v>北區工務所</v>
      </c>
    </row>
    <row r="45" spans="1:17" ht="18" customHeight="1">
      <c r="A45" s="136"/>
      <c r="B45" s="138"/>
      <c r="C45" s="63"/>
      <c r="D45" s="148"/>
      <c r="E45" s="148"/>
      <c r="F45" s="90"/>
      <c r="G45" s="63" t="s">
        <v>19</v>
      </c>
      <c r="H45" s="63"/>
      <c r="I45" s="63" t="s">
        <v>20</v>
      </c>
      <c r="J45" s="115"/>
      <c r="K45" s="115"/>
      <c r="L45" s="115"/>
      <c r="M45" s="115"/>
      <c r="N45" s="153"/>
      <c r="O45" s="156"/>
      <c r="P45" s="54" t="str">
        <f t="shared" si="3"/>
        <v>詹智為、張思漢</v>
      </c>
      <c r="Q45" s="54" t="str">
        <f t="shared" si="3"/>
        <v>北區工務所</v>
      </c>
    </row>
    <row r="46" spans="1:17" ht="18" customHeight="1" thickBot="1">
      <c r="A46" s="136"/>
      <c r="B46" s="139"/>
      <c r="C46" s="64"/>
      <c r="D46" s="148"/>
      <c r="E46" s="148"/>
      <c r="F46" s="90"/>
      <c r="G46" s="64" t="s">
        <v>15</v>
      </c>
      <c r="H46" s="64"/>
      <c r="I46" s="64" t="s">
        <v>10</v>
      </c>
      <c r="J46" s="116"/>
      <c r="K46" s="116"/>
      <c r="L46" s="116"/>
      <c r="M46" s="116"/>
      <c r="N46" s="154"/>
      <c r="O46" s="157"/>
      <c r="P46" s="54" t="str">
        <f t="shared" si="3"/>
        <v>詹智為、張思漢</v>
      </c>
      <c r="Q46" s="54" t="str">
        <f t="shared" si="3"/>
        <v>北區工務所</v>
      </c>
    </row>
    <row r="47" spans="1:17" ht="18" hidden="1" customHeight="1">
      <c r="B47" s="55" t="s">
        <v>64</v>
      </c>
      <c r="C47" s="146" t="s">
        <v>0</v>
      </c>
      <c r="D47" s="159"/>
      <c r="E47" s="159"/>
      <c r="F47" s="91" t="s">
        <v>61</v>
      </c>
      <c r="G47" s="146" t="str">
        <f>$G$3</f>
        <v>113年9月26日當日動員機具</v>
      </c>
      <c r="H47" s="146"/>
      <c r="I47" s="146"/>
      <c r="J47" s="92"/>
      <c r="K47" s="92"/>
      <c r="L47" s="89"/>
      <c r="M47" s="89"/>
      <c r="N47" s="147" t="s">
        <v>1</v>
      </c>
      <c r="O47" s="149" t="str">
        <f>工程基本資料!D7</f>
        <v>周根杉</v>
      </c>
      <c r="P47" s="54" t="str">
        <f>O47</f>
        <v>周根杉</v>
      </c>
      <c r="Q47" s="54" t="str">
        <f>N50</f>
        <v>北區工務所</v>
      </c>
    </row>
    <row r="48" spans="1:17" ht="18" hidden="1" customHeight="1">
      <c r="B48" s="57" t="str">
        <f>工程基本資料!C7</f>
        <v>H-113-03-113025</v>
      </c>
      <c r="C48" s="90" t="s">
        <v>2</v>
      </c>
      <c r="D48" s="140" t="s">
        <v>3</v>
      </c>
      <c r="E48" s="141"/>
      <c r="F48" s="86"/>
      <c r="G48" s="60" t="s">
        <v>2</v>
      </c>
      <c r="H48" s="148" t="s">
        <v>4</v>
      </c>
      <c r="I48" s="148"/>
      <c r="J48" s="93" t="s">
        <v>188</v>
      </c>
      <c r="K48" s="93" t="s">
        <v>190</v>
      </c>
      <c r="L48" s="86" t="s">
        <v>59</v>
      </c>
      <c r="M48" s="86" t="s">
        <v>60</v>
      </c>
      <c r="N48" s="148"/>
      <c r="O48" s="150"/>
      <c r="P48" s="54" t="str">
        <f t="shared" ref="P48:Q57" si="4">P47</f>
        <v>周根杉</v>
      </c>
      <c r="Q48" s="54" t="str">
        <f>Q47</f>
        <v>北區工務所</v>
      </c>
    </row>
    <row r="49" spans="1:17" ht="18" hidden="1" customHeight="1">
      <c r="A49" s="136">
        <v>5</v>
      </c>
      <c r="B49" s="137" t="str">
        <f>工程基本資料!B7</f>
        <v>113年度北區河濱公園土木暨災後復原預約維護工程</v>
      </c>
      <c r="C49" s="90" t="s">
        <v>5</v>
      </c>
      <c r="D49" s="140" t="s">
        <v>62</v>
      </c>
      <c r="E49" s="141"/>
      <c r="F49" s="86" t="s">
        <v>62</v>
      </c>
      <c r="G49" s="60" t="s">
        <v>6</v>
      </c>
      <c r="H49" s="60"/>
      <c r="I49" s="60" t="s">
        <v>7</v>
      </c>
      <c r="J49" s="160"/>
      <c r="K49" s="142"/>
      <c r="L49" s="160"/>
      <c r="M49" s="142"/>
      <c r="N49" s="148"/>
      <c r="O49" s="151"/>
      <c r="P49" s="54" t="str">
        <f t="shared" si="4"/>
        <v>周根杉</v>
      </c>
      <c r="Q49" s="54" t="str">
        <f t="shared" si="4"/>
        <v>北區工務所</v>
      </c>
    </row>
    <row r="50" spans="1:17" ht="18" hidden="1" customHeight="1">
      <c r="A50" s="136"/>
      <c r="B50" s="138"/>
      <c r="C50" s="90" t="s">
        <v>16</v>
      </c>
      <c r="D50" s="140" t="s">
        <v>62</v>
      </c>
      <c r="E50" s="141"/>
      <c r="F50" s="86" t="s">
        <v>62</v>
      </c>
      <c r="G50" s="60" t="s">
        <v>9</v>
      </c>
      <c r="H50" s="60"/>
      <c r="I50" s="60" t="s">
        <v>10</v>
      </c>
      <c r="J50" s="161"/>
      <c r="K50" s="143"/>
      <c r="L50" s="161"/>
      <c r="M50" s="143"/>
      <c r="N50" s="152" t="str">
        <f>工程基本資料!E7</f>
        <v>北區工務所</v>
      </c>
      <c r="O50" s="155" t="str">
        <f>工程基本資料!I7</f>
        <v>冠錏營造有限公司</v>
      </c>
      <c r="P50" s="54" t="str">
        <f t="shared" si="4"/>
        <v>周根杉</v>
      </c>
      <c r="Q50" s="54" t="str">
        <f t="shared" si="4"/>
        <v>北區工務所</v>
      </c>
    </row>
    <row r="51" spans="1:17" ht="18" hidden="1" customHeight="1">
      <c r="A51" s="136"/>
      <c r="B51" s="138"/>
      <c r="C51" s="90" t="s">
        <v>8</v>
      </c>
      <c r="D51" s="140" t="s">
        <v>62</v>
      </c>
      <c r="E51" s="141"/>
      <c r="F51" s="86" t="s">
        <v>62</v>
      </c>
      <c r="G51" s="60" t="s">
        <v>17</v>
      </c>
      <c r="H51" s="60"/>
      <c r="I51" s="60" t="s">
        <v>10</v>
      </c>
      <c r="J51" s="161"/>
      <c r="K51" s="143"/>
      <c r="L51" s="161"/>
      <c r="M51" s="143"/>
      <c r="N51" s="153"/>
      <c r="O51" s="156"/>
      <c r="P51" s="54" t="str">
        <f t="shared" si="4"/>
        <v>周根杉</v>
      </c>
      <c r="Q51" s="54" t="str">
        <f t="shared" si="4"/>
        <v>北區工務所</v>
      </c>
    </row>
    <row r="52" spans="1:17" ht="18" hidden="1" customHeight="1">
      <c r="A52" s="136"/>
      <c r="B52" s="138"/>
      <c r="C52" s="90" t="s">
        <v>66</v>
      </c>
      <c r="D52" s="140" t="s">
        <v>62</v>
      </c>
      <c r="E52" s="141"/>
      <c r="F52" s="86" t="s">
        <v>62</v>
      </c>
      <c r="G52" s="60" t="s">
        <v>11</v>
      </c>
      <c r="H52" s="60"/>
      <c r="I52" s="60" t="s">
        <v>10</v>
      </c>
      <c r="J52" s="161"/>
      <c r="K52" s="143"/>
      <c r="L52" s="161"/>
      <c r="M52" s="143"/>
      <c r="N52" s="153"/>
      <c r="O52" s="156"/>
      <c r="P52" s="54" t="str">
        <f t="shared" si="4"/>
        <v>周根杉</v>
      </c>
      <c r="Q52" s="54" t="str">
        <f t="shared" si="4"/>
        <v>北區工務所</v>
      </c>
    </row>
    <row r="53" spans="1:17" ht="18" hidden="1" customHeight="1">
      <c r="A53" s="136"/>
      <c r="B53" s="138"/>
      <c r="C53" s="90"/>
      <c r="D53" s="148"/>
      <c r="E53" s="148"/>
      <c r="G53" s="60" t="s">
        <v>13</v>
      </c>
      <c r="H53" s="60"/>
      <c r="I53" s="60" t="s">
        <v>10</v>
      </c>
      <c r="J53" s="161"/>
      <c r="K53" s="143"/>
      <c r="L53" s="161"/>
      <c r="M53" s="143"/>
      <c r="N53" s="153"/>
      <c r="O53" s="156"/>
      <c r="P53" s="54" t="str">
        <f t="shared" si="4"/>
        <v>周根杉</v>
      </c>
      <c r="Q53" s="54" t="str">
        <f t="shared" si="4"/>
        <v>北區工務所</v>
      </c>
    </row>
    <row r="54" spans="1:17" ht="18" hidden="1" customHeight="1">
      <c r="A54" s="136"/>
      <c r="B54" s="138"/>
      <c r="C54" s="60"/>
      <c r="D54" s="148"/>
      <c r="E54" s="148"/>
      <c r="F54" s="87"/>
      <c r="G54" s="60" t="s">
        <v>14</v>
      </c>
      <c r="H54" s="60"/>
      <c r="I54" s="60" t="s">
        <v>10</v>
      </c>
      <c r="J54" s="161"/>
      <c r="K54" s="143"/>
      <c r="L54" s="161"/>
      <c r="M54" s="143"/>
      <c r="N54" s="153"/>
      <c r="O54" s="156"/>
      <c r="P54" s="54" t="str">
        <f t="shared" si="4"/>
        <v>周根杉</v>
      </c>
      <c r="Q54" s="54" t="str">
        <f t="shared" si="4"/>
        <v>北區工務所</v>
      </c>
    </row>
    <row r="55" spans="1:17" ht="18" hidden="1" customHeight="1">
      <c r="A55" s="136"/>
      <c r="B55" s="84"/>
      <c r="C55" s="63"/>
      <c r="D55" s="148"/>
      <c r="E55" s="148"/>
      <c r="F55" s="87"/>
      <c r="G55" s="63" t="s">
        <v>18</v>
      </c>
      <c r="H55" s="63"/>
      <c r="I55" s="63" t="s">
        <v>10</v>
      </c>
      <c r="J55" s="161"/>
      <c r="K55" s="143"/>
      <c r="L55" s="161"/>
      <c r="M55" s="143"/>
      <c r="N55" s="153"/>
      <c r="O55" s="156"/>
      <c r="P55" s="54" t="str">
        <f t="shared" si="4"/>
        <v>周根杉</v>
      </c>
      <c r="Q55" s="54" t="str">
        <f t="shared" si="4"/>
        <v>北區工務所</v>
      </c>
    </row>
    <row r="56" spans="1:17" ht="18" hidden="1" customHeight="1">
      <c r="A56" s="136"/>
      <c r="B56" s="84"/>
      <c r="C56" s="63"/>
      <c r="D56" s="148"/>
      <c r="E56" s="148"/>
      <c r="F56" s="87"/>
      <c r="G56" s="63" t="s">
        <v>19</v>
      </c>
      <c r="H56" s="63"/>
      <c r="I56" s="63" t="s">
        <v>20</v>
      </c>
      <c r="J56" s="161"/>
      <c r="K56" s="143"/>
      <c r="L56" s="161"/>
      <c r="M56" s="143"/>
      <c r="N56" s="153"/>
      <c r="O56" s="156"/>
      <c r="P56" s="54" t="str">
        <f t="shared" si="4"/>
        <v>周根杉</v>
      </c>
      <c r="Q56" s="54" t="str">
        <f t="shared" si="4"/>
        <v>北區工務所</v>
      </c>
    </row>
    <row r="57" spans="1:17" ht="18" hidden="1" customHeight="1" thickBot="1">
      <c r="A57" s="136"/>
      <c r="B57" s="85"/>
      <c r="C57" s="64"/>
      <c r="D57" s="158"/>
      <c r="E57" s="158"/>
      <c r="F57" s="88"/>
      <c r="G57" s="64" t="s">
        <v>15</v>
      </c>
      <c r="H57" s="64"/>
      <c r="I57" s="64" t="s">
        <v>10</v>
      </c>
      <c r="J57" s="162"/>
      <c r="K57" s="144"/>
      <c r="L57" s="162"/>
      <c r="M57" s="144"/>
      <c r="N57" s="154"/>
      <c r="O57" s="157"/>
      <c r="P57" s="54" t="str">
        <f>P55</f>
        <v>周根杉</v>
      </c>
      <c r="Q57" s="54" t="str">
        <f t="shared" si="4"/>
        <v>北區工務所</v>
      </c>
    </row>
    <row r="58" spans="1:17" ht="18" customHeight="1">
      <c r="B58" s="55" t="s">
        <v>64</v>
      </c>
      <c r="C58" s="146" t="s">
        <v>0</v>
      </c>
      <c r="D58" s="146"/>
      <c r="E58" s="146"/>
      <c r="F58" s="89" t="s">
        <v>61</v>
      </c>
      <c r="G58" s="146" t="str">
        <f>$G$3</f>
        <v>113年9月26日當日動員機具</v>
      </c>
      <c r="H58" s="146"/>
      <c r="I58" s="146"/>
      <c r="J58" s="92"/>
      <c r="K58" s="92"/>
      <c r="L58" s="89"/>
      <c r="M58" s="89"/>
      <c r="N58" s="147" t="s">
        <v>1</v>
      </c>
      <c r="O58" s="149" t="str">
        <f>工程基本資料!D8</f>
        <v>陳政誠</v>
      </c>
      <c r="P58" s="54" t="str">
        <f>O58</f>
        <v>陳政誠</v>
      </c>
      <c r="Q58" s="54" t="str">
        <f>N61</f>
        <v>南內工務所</v>
      </c>
    </row>
    <row r="59" spans="1:17" ht="18" customHeight="1">
      <c r="B59" s="57" t="str">
        <f>工程基本資料!C8</f>
        <v>H-113-03-113020</v>
      </c>
      <c r="C59" s="90" t="s">
        <v>2</v>
      </c>
      <c r="D59" s="140" t="s">
        <v>3</v>
      </c>
      <c r="E59" s="141"/>
      <c r="F59" s="86"/>
      <c r="G59" s="60" t="s">
        <v>2</v>
      </c>
      <c r="H59" s="148" t="s">
        <v>4</v>
      </c>
      <c r="I59" s="148"/>
      <c r="J59" s="93" t="s">
        <v>188</v>
      </c>
      <c r="K59" s="93" t="s">
        <v>190</v>
      </c>
      <c r="L59" s="86" t="s">
        <v>59</v>
      </c>
      <c r="M59" s="86" t="s">
        <v>60</v>
      </c>
      <c r="N59" s="148"/>
      <c r="O59" s="150"/>
      <c r="P59" s="54" t="str">
        <f t="shared" ref="P59:Q68" si="5">P58</f>
        <v>陳政誠</v>
      </c>
      <c r="Q59" s="54" t="str">
        <f>Q58</f>
        <v>南內工務所</v>
      </c>
    </row>
    <row r="60" spans="1:17" ht="27.95" customHeight="1">
      <c r="A60" s="136">
        <v>6</v>
      </c>
      <c r="B60" s="137" t="str">
        <f>工程基本資料!B8</f>
        <v>113年度東區水利建造物檢修改善及災後復原(基隆河左岸高速公路內湖橋上游段，含四分溪及大坑溪)預約維護工程</v>
      </c>
      <c r="C60" s="82" t="s">
        <v>136</v>
      </c>
      <c r="D60" s="117" t="s">
        <v>139</v>
      </c>
      <c r="E60" s="118"/>
      <c r="F60" s="83" t="s">
        <v>62</v>
      </c>
      <c r="G60" s="60" t="s">
        <v>6</v>
      </c>
      <c r="H60" s="60"/>
      <c r="I60" s="60" t="s">
        <v>7</v>
      </c>
      <c r="J60" s="163"/>
      <c r="K60" s="166"/>
      <c r="L60" s="163"/>
      <c r="M60" s="166"/>
      <c r="N60" s="148"/>
      <c r="O60" s="151"/>
      <c r="P60" s="54" t="str">
        <f t="shared" si="5"/>
        <v>陳政誠</v>
      </c>
      <c r="Q60" s="54" t="str">
        <f t="shared" si="5"/>
        <v>南內工務所</v>
      </c>
    </row>
    <row r="61" spans="1:17" ht="27.95" customHeight="1">
      <c r="A61" s="136"/>
      <c r="B61" s="138"/>
      <c r="C61" s="81" t="s">
        <v>177</v>
      </c>
      <c r="D61" s="117" t="s">
        <v>138</v>
      </c>
      <c r="E61" s="118"/>
      <c r="F61" s="83" t="s">
        <v>178</v>
      </c>
      <c r="G61" s="60" t="s">
        <v>9</v>
      </c>
      <c r="H61" s="60"/>
      <c r="I61" s="60" t="s">
        <v>10</v>
      </c>
      <c r="J61" s="164"/>
      <c r="K61" s="167"/>
      <c r="L61" s="164"/>
      <c r="M61" s="167"/>
      <c r="N61" s="152" t="str">
        <f>工程基本資料!E8</f>
        <v>南內工務所</v>
      </c>
      <c r="O61" s="155" t="str">
        <f>工程基本資料!I8</f>
        <v>淞源營造有限公司</v>
      </c>
      <c r="P61" s="54" t="str">
        <f t="shared" si="5"/>
        <v>陳政誠</v>
      </c>
      <c r="Q61" s="54" t="str">
        <f t="shared" si="5"/>
        <v>南內工務所</v>
      </c>
    </row>
    <row r="62" spans="1:17" ht="27.95" customHeight="1">
      <c r="A62" s="136"/>
      <c r="B62" s="138"/>
      <c r="C62" s="81" t="s">
        <v>8</v>
      </c>
      <c r="D62" s="117" t="s">
        <v>130</v>
      </c>
      <c r="E62" s="118"/>
      <c r="F62" s="83" t="s">
        <v>128</v>
      </c>
      <c r="G62" s="60" t="s">
        <v>17</v>
      </c>
      <c r="H62" s="60"/>
      <c r="I62" s="60" t="s">
        <v>10</v>
      </c>
      <c r="J62" s="164"/>
      <c r="K62" s="167"/>
      <c r="L62" s="164"/>
      <c r="M62" s="167"/>
      <c r="N62" s="153"/>
      <c r="O62" s="156"/>
      <c r="P62" s="54" t="str">
        <f t="shared" si="5"/>
        <v>陳政誠</v>
      </c>
      <c r="Q62" s="54" t="str">
        <f t="shared" si="5"/>
        <v>南內工務所</v>
      </c>
    </row>
    <row r="63" spans="1:17" ht="27.95" customHeight="1">
      <c r="A63" s="136"/>
      <c r="B63" s="138"/>
      <c r="C63" s="81" t="s">
        <v>133</v>
      </c>
      <c r="D63" s="117" t="s">
        <v>138</v>
      </c>
      <c r="E63" s="118"/>
      <c r="F63" s="83" t="s">
        <v>178</v>
      </c>
      <c r="G63" s="60" t="s">
        <v>11</v>
      </c>
      <c r="H63" s="60"/>
      <c r="I63" s="60" t="s">
        <v>10</v>
      </c>
      <c r="J63" s="164"/>
      <c r="K63" s="167"/>
      <c r="L63" s="164"/>
      <c r="M63" s="167"/>
      <c r="N63" s="153"/>
      <c r="O63" s="156"/>
      <c r="P63" s="54" t="str">
        <f t="shared" si="5"/>
        <v>陳政誠</v>
      </c>
      <c r="Q63" s="54" t="str">
        <f t="shared" si="5"/>
        <v>南內工務所</v>
      </c>
    </row>
    <row r="64" spans="1:17" ht="27.95" customHeight="1">
      <c r="A64" s="136"/>
      <c r="B64" s="138"/>
      <c r="C64" s="81" t="s">
        <v>66</v>
      </c>
      <c r="D64" s="117" t="s">
        <v>179</v>
      </c>
      <c r="E64" s="118"/>
      <c r="F64" s="83"/>
      <c r="G64" s="60" t="s">
        <v>13</v>
      </c>
      <c r="H64" s="60"/>
      <c r="I64" s="60" t="s">
        <v>10</v>
      </c>
      <c r="J64" s="164"/>
      <c r="K64" s="167"/>
      <c r="L64" s="164"/>
      <c r="M64" s="167"/>
      <c r="N64" s="153"/>
      <c r="O64" s="156"/>
      <c r="P64" s="54" t="str">
        <f t="shared" si="5"/>
        <v>陳政誠</v>
      </c>
      <c r="Q64" s="54" t="str">
        <f t="shared" si="5"/>
        <v>南內工務所</v>
      </c>
    </row>
    <row r="65" spans="1:17" ht="27.95" customHeight="1">
      <c r="A65" s="136"/>
      <c r="B65" s="138"/>
      <c r="C65" s="60"/>
      <c r="D65" s="148"/>
      <c r="E65" s="148"/>
      <c r="F65" s="90"/>
      <c r="G65" s="60" t="s">
        <v>14</v>
      </c>
      <c r="H65" s="60"/>
      <c r="I65" s="60" t="s">
        <v>10</v>
      </c>
      <c r="J65" s="164"/>
      <c r="K65" s="167"/>
      <c r="L65" s="164"/>
      <c r="M65" s="167"/>
      <c r="N65" s="153"/>
      <c r="O65" s="156"/>
      <c r="P65" s="54" t="str">
        <f t="shared" si="5"/>
        <v>陳政誠</v>
      </c>
      <c r="Q65" s="54" t="str">
        <f t="shared" si="5"/>
        <v>南內工務所</v>
      </c>
    </row>
    <row r="66" spans="1:17" ht="27.95" customHeight="1">
      <c r="B66" s="84"/>
      <c r="C66" s="63"/>
      <c r="D66" s="148"/>
      <c r="E66" s="148"/>
      <c r="F66" s="90"/>
      <c r="G66" s="63" t="s">
        <v>18</v>
      </c>
      <c r="H66" s="63"/>
      <c r="I66" s="63" t="s">
        <v>10</v>
      </c>
      <c r="J66" s="164"/>
      <c r="K66" s="167"/>
      <c r="L66" s="164"/>
      <c r="M66" s="167"/>
      <c r="N66" s="153"/>
      <c r="O66" s="156"/>
      <c r="P66" s="54" t="str">
        <f t="shared" si="5"/>
        <v>陳政誠</v>
      </c>
      <c r="Q66" s="54" t="str">
        <f t="shared" si="5"/>
        <v>南內工務所</v>
      </c>
    </row>
    <row r="67" spans="1:17" ht="27.95" customHeight="1">
      <c r="B67" s="84"/>
      <c r="C67" s="63"/>
      <c r="D67" s="148"/>
      <c r="E67" s="148"/>
      <c r="F67" s="90"/>
      <c r="G67" s="63" t="s">
        <v>19</v>
      </c>
      <c r="H67" s="63"/>
      <c r="I67" s="63" t="s">
        <v>20</v>
      </c>
      <c r="J67" s="164"/>
      <c r="K67" s="167"/>
      <c r="L67" s="164"/>
      <c r="M67" s="167"/>
      <c r="N67" s="153"/>
      <c r="O67" s="156"/>
      <c r="P67" s="54" t="str">
        <f t="shared" si="5"/>
        <v>陳政誠</v>
      </c>
      <c r="Q67" s="54" t="str">
        <f t="shared" si="5"/>
        <v>南內工務所</v>
      </c>
    </row>
    <row r="68" spans="1:17" ht="27.95" customHeight="1" thickBot="1">
      <c r="B68" s="85"/>
      <c r="C68" s="64"/>
      <c r="D68" s="148"/>
      <c r="E68" s="148"/>
      <c r="F68" s="90"/>
      <c r="G68" s="64" t="s">
        <v>15</v>
      </c>
      <c r="H68" s="64"/>
      <c r="I68" s="64" t="s">
        <v>10</v>
      </c>
      <c r="J68" s="165"/>
      <c r="K68" s="168"/>
      <c r="L68" s="165"/>
      <c r="M68" s="168"/>
      <c r="N68" s="154"/>
      <c r="O68" s="157"/>
      <c r="P68" s="54" t="str">
        <f>P66</f>
        <v>陳政誠</v>
      </c>
      <c r="Q68" s="54" t="str">
        <f t="shared" si="5"/>
        <v>南內工務所</v>
      </c>
    </row>
    <row r="69" spans="1:17" ht="18" customHeight="1">
      <c r="B69" s="55" t="s">
        <v>64</v>
      </c>
      <c r="C69" s="146" t="s">
        <v>0</v>
      </c>
      <c r="D69" s="159"/>
      <c r="E69" s="159"/>
      <c r="F69" s="91" t="s">
        <v>61</v>
      </c>
      <c r="G69" s="146" t="str">
        <f>$G$3</f>
        <v>113年9月26日當日動員機具</v>
      </c>
      <c r="H69" s="146"/>
      <c r="I69" s="146"/>
      <c r="J69" s="92"/>
      <c r="K69" s="92"/>
      <c r="L69" s="89"/>
      <c r="M69" s="89"/>
      <c r="N69" s="147" t="s">
        <v>1</v>
      </c>
      <c r="O69" s="149" t="str">
        <f>工程基本資料!D9</f>
        <v>陳政誠</v>
      </c>
      <c r="P69" s="54" t="str">
        <f>O69</f>
        <v>陳政誠</v>
      </c>
      <c r="Q69" s="54" t="str">
        <f>N72</f>
        <v>南內工務所</v>
      </c>
    </row>
    <row r="70" spans="1:17" ht="18" customHeight="1">
      <c r="B70" s="57" t="str">
        <f>工程基本資料!C9</f>
        <v>H-113-03-113018</v>
      </c>
      <c r="C70" s="90" t="s">
        <v>2</v>
      </c>
      <c r="D70" s="140" t="s">
        <v>3</v>
      </c>
      <c r="E70" s="141"/>
      <c r="F70" s="86"/>
      <c r="G70" s="60" t="s">
        <v>2</v>
      </c>
      <c r="H70" s="148" t="s">
        <v>4</v>
      </c>
      <c r="I70" s="148"/>
      <c r="J70" s="93" t="s">
        <v>188</v>
      </c>
      <c r="K70" s="93" t="s">
        <v>190</v>
      </c>
      <c r="L70" s="86" t="s">
        <v>59</v>
      </c>
      <c r="M70" s="86" t="s">
        <v>60</v>
      </c>
      <c r="N70" s="148"/>
      <c r="O70" s="150"/>
      <c r="P70" s="54" t="str">
        <f t="shared" ref="P70:Q79" si="6">P69</f>
        <v>陳政誠</v>
      </c>
      <c r="Q70" s="54" t="str">
        <f>Q69</f>
        <v>南內工務所</v>
      </c>
    </row>
    <row r="71" spans="1:17" ht="18" customHeight="1">
      <c r="A71" s="136">
        <v>7</v>
      </c>
      <c r="B71" s="137" t="str">
        <f>工程基本資料!B9</f>
        <v>113年度東區河濱公園路面暨災後復原預約維護工程</v>
      </c>
      <c r="C71" s="81" t="s">
        <v>8</v>
      </c>
      <c r="D71" s="117" t="s">
        <v>129</v>
      </c>
      <c r="E71" s="118"/>
      <c r="F71" s="53" t="s">
        <v>128</v>
      </c>
      <c r="G71" s="60" t="s">
        <v>6</v>
      </c>
      <c r="H71" s="31"/>
      <c r="I71" s="60" t="s">
        <v>7</v>
      </c>
      <c r="J71" s="108"/>
      <c r="K71" s="114"/>
      <c r="L71" s="108"/>
      <c r="M71" s="114"/>
      <c r="N71" s="148"/>
      <c r="O71" s="151"/>
      <c r="P71" s="54" t="str">
        <f t="shared" si="6"/>
        <v>陳政誠</v>
      </c>
      <c r="Q71" s="54" t="str">
        <f t="shared" si="6"/>
        <v>南內工務所</v>
      </c>
    </row>
    <row r="72" spans="1:17" ht="18" customHeight="1">
      <c r="A72" s="136"/>
      <c r="B72" s="138"/>
      <c r="C72" s="81" t="s">
        <v>141</v>
      </c>
      <c r="D72" s="117" t="s">
        <v>129</v>
      </c>
      <c r="E72" s="118"/>
      <c r="F72" s="53" t="s">
        <v>128</v>
      </c>
      <c r="G72" s="60" t="s">
        <v>9</v>
      </c>
      <c r="H72" s="31"/>
      <c r="I72" s="60" t="s">
        <v>10</v>
      </c>
      <c r="J72" s="109"/>
      <c r="K72" s="115"/>
      <c r="L72" s="109"/>
      <c r="M72" s="115"/>
      <c r="N72" s="152" t="str">
        <f>工程基本資料!E9</f>
        <v>南內工務所</v>
      </c>
      <c r="O72" s="155" t="str">
        <f>工程基本資料!I9</f>
        <v>松瑩營造有限公司</v>
      </c>
      <c r="P72" s="54" t="str">
        <f t="shared" si="6"/>
        <v>陳政誠</v>
      </c>
      <c r="Q72" s="54" t="str">
        <f t="shared" si="6"/>
        <v>南內工務所</v>
      </c>
    </row>
    <row r="73" spans="1:17" ht="18" customHeight="1">
      <c r="A73" s="136"/>
      <c r="B73" s="138"/>
      <c r="C73" s="81" t="s">
        <v>136</v>
      </c>
      <c r="D73" s="117" t="s">
        <v>142</v>
      </c>
      <c r="E73" s="118"/>
      <c r="F73" s="83" t="s">
        <v>62</v>
      </c>
      <c r="G73" s="60" t="s">
        <v>17</v>
      </c>
      <c r="H73" s="31"/>
      <c r="I73" s="60" t="s">
        <v>10</v>
      </c>
      <c r="J73" s="109"/>
      <c r="K73" s="115"/>
      <c r="L73" s="109"/>
      <c r="M73" s="115"/>
      <c r="N73" s="153"/>
      <c r="O73" s="156"/>
      <c r="P73" s="54" t="str">
        <f t="shared" si="6"/>
        <v>陳政誠</v>
      </c>
      <c r="Q73" s="54" t="str">
        <f t="shared" si="6"/>
        <v>南內工務所</v>
      </c>
    </row>
    <row r="74" spans="1:17" ht="18" customHeight="1">
      <c r="A74" s="136"/>
      <c r="B74" s="138"/>
      <c r="C74" s="81" t="s">
        <v>180</v>
      </c>
      <c r="D74" s="117" t="s">
        <v>181</v>
      </c>
      <c r="E74" s="118"/>
      <c r="F74" s="83" t="s">
        <v>182</v>
      </c>
      <c r="G74" s="60" t="s">
        <v>11</v>
      </c>
      <c r="H74" s="31"/>
      <c r="I74" s="60" t="s">
        <v>10</v>
      </c>
      <c r="J74" s="109"/>
      <c r="K74" s="115"/>
      <c r="L74" s="109"/>
      <c r="M74" s="115"/>
      <c r="N74" s="153"/>
      <c r="O74" s="156"/>
      <c r="P74" s="54" t="str">
        <f t="shared" si="6"/>
        <v>陳政誠</v>
      </c>
      <c r="Q74" s="54" t="str">
        <f t="shared" si="6"/>
        <v>南內工務所</v>
      </c>
    </row>
    <row r="75" spans="1:17" ht="18" customHeight="1">
      <c r="A75" s="136"/>
      <c r="B75" s="138"/>
      <c r="C75" s="81" t="s">
        <v>66</v>
      </c>
      <c r="D75" s="117" t="s">
        <v>183</v>
      </c>
      <c r="E75" s="118"/>
      <c r="F75" s="83"/>
      <c r="G75" s="60" t="s">
        <v>13</v>
      </c>
      <c r="H75" s="31"/>
      <c r="I75" s="60" t="s">
        <v>10</v>
      </c>
      <c r="J75" s="109"/>
      <c r="K75" s="115"/>
      <c r="L75" s="109"/>
      <c r="M75" s="115"/>
      <c r="N75" s="153"/>
      <c r="O75" s="156"/>
      <c r="P75" s="54" t="str">
        <f t="shared" si="6"/>
        <v>陳政誠</v>
      </c>
      <c r="Q75" s="54" t="str">
        <f t="shared" si="6"/>
        <v>南內工務所</v>
      </c>
    </row>
    <row r="76" spans="1:17" ht="18" customHeight="1">
      <c r="A76" s="136"/>
      <c r="B76" s="138"/>
      <c r="C76" s="60"/>
      <c r="D76" s="148"/>
      <c r="E76" s="148"/>
      <c r="F76" s="90"/>
      <c r="G76" s="60" t="s">
        <v>14</v>
      </c>
      <c r="H76" s="31"/>
      <c r="I76" s="60" t="s">
        <v>10</v>
      </c>
      <c r="J76" s="109"/>
      <c r="K76" s="115"/>
      <c r="L76" s="109"/>
      <c r="M76" s="115"/>
      <c r="N76" s="153"/>
      <c r="O76" s="156"/>
      <c r="P76" s="54" t="str">
        <f t="shared" si="6"/>
        <v>陳政誠</v>
      </c>
      <c r="Q76" s="54" t="str">
        <f t="shared" si="6"/>
        <v>南內工務所</v>
      </c>
    </row>
    <row r="77" spans="1:17" ht="18" customHeight="1">
      <c r="B77" s="84"/>
      <c r="C77" s="63"/>
      <c r="D77" s="148"/>
      <c r="E77" s="148"/>
      <c r="F77" s="90"/>
      <c r="G77" s="63" t="s">
        <v>18</v>
      </c>
      <c r="H77" s="34"/>
      <c r="I77" s="63" t="s">
        <v>10</v>
      </c>
      <c r="J77" s="109"/>
      <c r="K77" s="115"/>
      <c r="L77" s="109"/>
      <c r="M77" s="115"/>
      <c r="N77" s="153"/>
      <c r="O77" s="156"/>
      <c r="P77" s="54" t="str">
        <f t="shared" si="6"/>
        <v>陳政誠</v>
      </c>
      <c r="Q77" s="54" t="str">
        <f t="shared" si="6"/>
        <v>南內工務所</v>
      </c>
    </row>
    <row r="78" spans="1:17" ht="18" customHeight="1">
      <c r="B78" s="84"/>
      <c r="C78" s="63"/>
      <c r="D78" s="148"/>
      <c r="E78" s="148"/>
      <c r="F78" s="90"/>
      <c r="G78" s="63" t="s">
        <v>19</v>
      </c>
      <c r="H78" s="34"/>
      <c r="I78" s="63" t="s">
        <v>20</v>
      </c>
      <c r="J78" s="109"/>
      <c r="K78" s="115"/>
      <c r="L78" s="109"/>
      <c r="M78" s="115"/>
      <c r="N78" s="153"/>
      <c r="O78" s="156"/>
      <c r="P78" s="54" t="str">
        <f t="shared" si="6"/>
        <v>陳政誠</v>
      </c>
      <c r="Q78" s="54" t="str">
        <f t="shared" si="6"/>
        <v>南內工務所</v>
      </c>
    </row>
    <row r="79" spans="1:17" ht="18" customHeight="1" thickBot="1">
      <c r="B79" s="85"/>
      <c r="C79" s="64"/>
      <c r="D79" s="148"/>
      <c r="E79" s="148"/>
      <c r="F79" s="90"/>
      <c r="G79" s="64" t="s">
        <v>15</v>
      </c>
      <c r="H79" s="35"/>
      <c r="I79" s="64" t="s">
        <v>10</v>
      </c>
      <c r="J79" s="110"/>
      <c r="K79" s="116"/>
      <c r="L79" s="110"/>
      <c r="M79" s="116"/>
      <c r="N79" s="154"/>
      <c r="O79" s="157"/>
      <c r="P79" s="54" t="str">
        <f>P77</f>
        <v>陳政誠</v>
      </c>
      <c r="Q79" s="54" t="str">
        <f t="shared" si="6"/>
        <v>南內工務所</v>
      </c>
    </row>
    <row r="80" spans="1:17" ht="18" customHeight="1">
      <c r="B80" s="55" t="s">
        <v>64</v>
      </c>
      <c r="C80" s="146" t="s">
        <v>0</v>
      </c>
      <c r="D80" s="159"/>
      <c r="E80" s="159"/>
      <c r="F80" s="91" t="s">
        <v>61</v>
      </c>
      <c r="G80" s="146" t="str">
        <f>$G$3</f>
        <v>113年9月26日當日動員機具</v>
      </c>
      <c r="H80" s="146"/>
      <c r="I80" s="146"/>
      <c r="J80" s="92"/>
      <c r="K80" s="92"/>
      <c r="L80" s="89"/>
      <c r="M80" s="89"/>
      <c r="N80" s="147" t="s">
        <v>1</v>
      </c>
      <c r="O80" s="149" t="str">
        <f>工程基本資料!D10</f>
        <v>江志偉</v>
      </c>
      <c r="P80" s="54" t="str">
        <f>O80</f>
        <v>江志偉</v>
      </c>
      <c r="Q80" s="54" t="str">
        <f>N83</f>
        <v>南內工務所</v>
      </c>
    </row>
    <row r="81" spans="1:17" ht="18" customHeight="1">
      <c r="B81" s="57" t="str">
        <f>工程基本資料!C10</f>
        <v>H-113-03-113045</v>
      </c>
      <c r="C81" s="90" t="s">
        <v>2</v>
      </c>
      <c r="D81" s="140" t="s">
        <v>3</v>
      </c>
      <c r="E81" s="141"/>
      <c r="F81" s="86"/>
      <c r="G81" s="60" t="s">
        <v>2</v>
      </c>
      <c r="H81" s="148" t="s">
        <v>4</v>
      </c>
      <c r="I81" s="148"/>
      <c r="J81" s="93" t="s">
        <v>188</v>
      </c>
      <c r="K81" s="93" t="s">
        <v>190</v>
      </c>
      <c r="L81" s="86" t="s">
        <v>59</v>
      </c>
      <c r="M81" s="86" t="s">
        <v>60</v>
      </c>
      <c r="N81" s="148"/>
      <c r="O81" s="150"/>
      <c r="P81" s="54" t="str">
        <f t="shared" ref="P81:Q90" si="7">P80</f>
        <v>江志偉</v>
      </c>
      <c r="Q81" s="54" t="str">
        <f>Q80</f>
        <v>南內工務所</v>
      </c>
    </row>
    <row r="82" spans="1:17" ht="30" customHeight="1">
      <c r="A82" s="136">
        <v>8</v>
      </c>
      <c r="B82" s="137" t="str">
        <f>工程基本資料!B10</f>
        <v>113年度東區河濱公園土木暨災後復原預約維護工程</v>
      </c>
      <c r="C82" s="81" t="s">
        <v>8</v>
      </c>
      <c r="D82" s="117" t="s">
        <v>130</v>
      </c>
      <c r="E82" s="118"/>
      <c r="F82" s="83" t="s">
        <v>131</v>
      </c>
      <c r="G82" s="60" t="s">
        <v>6</v>
      </c>
      <c r="H82" s="60"/>
      <c r="I82" s="60" t="s">
        <v>7</v>
      </c>
      <c r="J82" s="163"/>
      <c r="K82" s="163"/>
      <c r="L82" s="163"/>
      <c r="M82" s="163"/>
      <c r="N82" s="148"/>
      <c r="O82" s="151"/>
      <c r="P82" s="54" t="str">
        <f t="shared" si="7"/>
        <v>江志偉</v>
      </c>
      <c r="Q82" s="54" t="str">
        <f t="shared" si="7"/>
        <v>南內工務所</v>
      </c>
    </row>
    <row r="83" spans="1:17" ht="30" customHeight="1">
      <c r="A83" s="136"/>
      <c r="B83" s="138"/>
      <c r="C83" s="81" t="s">
        <v>133</v>
      </c>
      <c r="D83" s="117" t="s">
        <v>138</v>
      </c>
      <c r="E83" s="118"/>
      <c r="F83" s="83" t="s">
        <v>176</v>
      </c>
      <c r="G83" s="60" t="s">
        <v>9</v>
      </c>
      <c r="H83" s="60"/>
      <c r="I83" s="60" t="s">
        <v>10</v>
      </c>
      <c r="J83" s="164"/>
      <c r="K83" s="164"/>
      <c r="L83" s="164"/>
      <c r="M83" s="164"/>
      <c r="N83" s="152" t="str">
        <f>工程基本資料!E10</f>
        <v>南內工務所</v>
      </c>
      <c r="O83" s="155" t="str">
        <f>工程基本資料!I10</f>
        <v>和遠營造有限公司</v>
      </c>
      <c r="P83" s="54" t="str">
        <f t="shared" si="7"/>
        <v>江志偉</v>
      </c>
      <c r="Q83" s="54" t="str">
        <f t="shared" si="7"/>
        <v>南內工務所</v>
      </c>
    </row>
    <row r="84" spans="1:17" ht="30" customHeight="1">
      <c r="A84" s="136"/>
      <c r="B84" s="138"/>
      <c r="C84" s="39" t="s">
        <v>134</v>
      </c>
      <c r="D84" s="117" t="s">
        <v>130</v>
      </c>
      <c r="E84" s="118"/>
      <c r="F84" s="83" t="s">
        <v>128</v>
      </c>
      <c r="G84" s="60" t="s">
        <v>17</v>
      </c>
      <c r="H84" s="60"/>
      <c r="I84" s="60" t="s">
        <v>10</v>
      </c>
      <c r="J84" s="164"/>
      <c r="K84" s="164"/>
      <c r="L84" s="164"/>
      <c r="M84" s="164"/>
      <c r="N84" s="153"/>
      <c r="O84" s="156"/>
      <c r="P84" s="54" t="str">
        <f t="shared" si="7"/>
        <v>江志偉</v>
      </c>
      <c r="Q84" s="54" t="str">
        <f t="shared" si="7"/>
        <v>南內工務所</v>
      </c>
    </row>
    <row r="85" spans="1:17" ht="30" customHeight="1">
      <c r="A85" s="136"/>
      <c r="B85" s="138"/>
      <c r="C85" s="81" t="s">
        <v>135</v>
      </c>
      <c r="D85" s="117" t="s">
        <v>138</v>
      </c>
      <c r="E85" s="118"/>
      <c r="F85" s="83" t="s">
        <v>62</v>
      </c>
      <c r="G85" s="60" t="s">
        <v>11</v>
      </c>
      <c r="H85" s="60"/>
      <c r="I85" s="60" t="s">
        <v>10</v>
      </c>
      <c r="J85" s="164"/>
      <c r="K85" s="164"/>
      <c r="L85" s="164"/>
      <c r="M85" s="164"/>
      <c r="N85" s="153"/>
      <c r="O85" s="156"/>
      <c r="P85" s="54" t="str">
        <f t="shared" si="7"/>
        <v>江志偉</v>
      </c>
      <c r="Q85" s="54" t="str">
        <f t="shared" si="7"/>
        <v>南內工務所</v>
      </c>
    </row>
    <row r="86" spans="1:17" ht="30" customHeight="1">
      <c r="A86" s="136"/>
      <c r="B86" s="138"/>
      <c r="C86" s="82" t="s">
        <v>136</v>
      </c>
      <c r="D86" s="117" t="s">
        <v>139</v>
      </c>
      <c r="E86" s="118"/>
      <c r="F86" s="83" t="s">
        <v>62</v>
      </c>
      <c r="G86" s="60" t="s">
        <v>13</v>
      </c>
      <c r="H86" s="60"/>
      <c r="I86" s="60" t="s">
        <v>10</v>
      </c>
      <c r="J86" s="164"/>
      <c r="K86" s="164"/>
      <c r="L86" s="164"/>
      <c r="M86" s="164"/>
      <c r="N86" s="153"/>
      <c r="O86" s="156"/>
      <c r="P86" s="54" t="str">
        <f t="shared" si="7"/>
        <v>江志偉</v>
      </c>
      <c r="Q86" s="54" t="str">
        <f t="shared" si="7"/>
        <v>南內工務所</v>
      </c>
    </row>
    <row r="87" spans="1:17" ht="30" customHeight="1">
      <c r="A87" s="136"/>
      <c r="B87" s="138"/>
      <c r="C87" s="81" t="s">
        <v>16</v>
      </c>
      <c r="D87" s="117" t="s">
        <v>138</v>
      </c>
      <c r="E87" s="118"/>
      <c r="F87" s="83" t="s">
        <v>131</v>
      </c>
      <c r="G87" s="60" t="s">
        <v>14</v>
      </c>
      <c r="H87" s="60"/>
      <c r="I87" s="60" t="s">
        <v>10</v>
      </c>
      <c r="J87" s="164"/>
      <c r="K87" s="164"/>
      <c r="L87" s="164"/>
      <c r="M87" s="164"/>
      <c r="N87" s="153"/>
      <c r="O87" s="156"/>
      <c r="P87" s="54" t="str">
        <f t="shared" si="7"/>
        <v>江志偉</v>
      </c>
      <c r="Q87" s="54" t="str">
        <f t="shared" si="7"/>
        <v>南內工務所</v>
      </c>
    </row>
    <row r="88" spans="1:17" ht="30" customHeight="1">
      <c r="B88" s="84"/>
      <c r="C88" s="82" t="s">
        <v>137</v>
      </c>
      <c r="D88" s="117" t="s">
        <v>138</v>
      </c>
      <c r="E88" s="118"/>
      <c r="F88" s="83" t="s">
        <v>176</v>
      </c>
      <c r="G88" s="63" t="s">
        <v>18</v>
      </c>
      <c r="H88" s="63"/>
      <c r="I88" s="63" t="s">
        <v>10</v>
      </c>
      <c r="J88" s="164"/>
      <c r="K88" s="164"/>
      <c r="L88" s="164"/>
      <c r="M88" s="164"/>
      <c r="N88" s="153"/>
      <c r="O88" s="156"/>
      <c r="P88" s="54" t="str">
        <f t="shared" si="7"/>
        <v>江志偉</v>
      </c>
      <c r="Q88" s="54" t="str">
        <f t="shared" si="7"/>
        <v>南內工務所</v>
      </c>
    </row>
    <row r="89" spans="1:17" ht="30" customHeight="1">
      <c r="B89" s="84"/>
      <c r="C89" s="81" t="s">
        <v>66</v>
      </c>
      <c r="D89" s="117" t="s">
        <v>185</v>
      </c>
      <c r="E89" s="118"/>
      <c r="F89" s="83"/>
      <c r="G89" s="63" t="s">
        <v>19</v>
      </c>
      <c r="H89" s="63"/>
      <c r="I89" s="63" t="s">
        <v>20</v>
      </c>
      <c r="J89" s="164"/>
      <c r="K89" s="164"/>
      <c r="L89" s="164"/>
      <c r="M89" s="164"/>
      <c r="N89" s="153"/>
      <c r="O89" s="156"/>
      <c r="P89" s="54" t="str">
        <f t="shared" si="7"/>
        <v>江志偉</v>
      </c>
      <c r="Q89" s="54" t="str">
        <f t="shared" si="7"/>
        <v>南內工務所</v>
      </c>
    </row>
    <row r="90" spans="1:17" ht="30" customHeight="1" thickBot="1">
      <c r="B90" s="85"/>
      <c r="C90" s="60"/>
      <c r="D90" s="148"/>
      <c r="E90" s="148"/>
      <c r="F90" s="90"/>
      <c r="G90" s="64" t="s">
        <v>15</v>
      </c>
      <c r="H90" s="64"/>
      <c r="I90" s="64" t="s">
        <v>10</v>
      </c>
      <c r="J90" s="165"/>
      <c r="K90" s="165"/>
      <c r="L90" s="165"/>
      <c r="M90" s="165"/>
      <c r="N90" s="154"/>
      <c r="O90" s="157"/>
      <c r="P90" s="54" t="str">
        <f>P88</f>
        <v>江志偉</v>
      </c>
      <c r="Q90" s="54" t="str">
        <f t="shared" si="7"/>
        <v>南內工務所</v>
      </c>
    </row>
    <row r="91" spans="1:17" ht="18" customHeight="1">
      <c r="B91" s="55" t="s">
        <v>64</v>
      </c>
      <c r="C91" s="159" t="s">
        <v>0</v>
      </c>
      <c r="D91" s="159"/>
      <c r="E91" s="159"/>
      <c r="F91" s="91" t="s">
        <v>61</v>
      </c>
      <c r="G91" s="146" t="str">
        <f>$G$3</f>
        <v>113年9月26日當日動員機具</v>
      </c>
      <c r="H91" s="146"/>
      <c r="I91" s="146"/>
      <c r="J91" s="92"/>
      <c r="K91" s="92"/>
      <c r="L91" s="89"/>
      <c r="M91" s="89"/>
      <c r="N91" s="147" t="s">
        <v>1</v>
      </c>
      <c r="O91" s="149" t="str">
        <f>工程基本資料!D11</f>
        <v>沈明勳</v>
      </c>
      <c r="P91" s="54" t="str">
        <f>O91</f>
        <v>沈明勳</v>
      </c>
      <c r="Q91" s="54" t="str">
        <f>N94</f>
        <v>北投工務所</v>
      </c>
    </row>
    <row r="92" spans="1:17" ht="18" customHeight="1">
      <c r="B92" s="57" t="str">
        <f>工程基本資料!C11</f>
        <v>H-113-03-113023</v>
      </c>
      <c r="C92" s="97" t="s">
        <v>2</v>
      </c>
      <c r="D92" s="140" t="s">
        <v>3</v>
      </c>
      <c r="E92" s="141"/>
      <c r="F92" s="98"/>
      <c r="G92" s="60" t="s">
        <v>2</v>
      </c>
      <c r="H92" s="148" t="s">
        <v>4</v>
      </c>
      <c r="I92" s="148"/>
      <c r="J92" s="93" t="s">
        <v>188</v>
      </c>
      <c r="K92" s="93" t="s">
        <v>190</v>
      </c>
      <c r="L92" s="86" t="s">
        <v>59</v>
      </c>
      <c r="M92" s="86" t="s">
        <v>60</v>
      </c>
      <c r="N92" s="148"/>
      <c r="O92" s="150"/>
      <c r="P92" s="54" t="str">
        <f t="shared" ref="P92:Q101" si="8">P91</f>
        <v>沈明勳</v>
      </c>
      <c r="Q92" s="54" t="str">
        <f>Q91</f>
        <v>北投工務所</v>
      </c>
    </row>
    <row r="93" spans="1:17" ht="18" customHeight="1">
      <c r="A93" s="136">
        <v>9</v>
      </c>
      <c r="B93" s="137" t="str">
        <f>工程基本資料!B11</f>
        <v>113年度北區水利建造物檢修改善及災後復原(雙溪右岸至關渡水岸公園段)預約維護工程</v>
      </c>
      <c r="C93" s="96" t="s">
        <v>8</v>
      </c>
      <c r="D93" s="117" t="s">
        <v>195</v>
      </c>
      <c r="E93" s="118"/>
      <c r="F93" s="97" t="s">
        <v>62</v>
      </c>
      <c r="G93" s="60" t="s">
        <v>6</v>
      </c>
      <c r="H93" s="60">
        <v>8</v>
      </c>
      <c r="I93" s="60" t="s">
        <v>7</v>
      </c>
      <c r="J93" s="175" t="s">
        <v>197</v>
      </c>
      <c r="K93" s="175" t="s">
        <v>198</v>
      </c>
      <c r="L93" s="108" t="s">
        <v>196</v>
      </c>
      <c r="M93" s="108"/>
      <c r="N93" s="148"/>
      <c r="O93" s="151"/>
      <c r="P93" s="54" t="str">
        <f t="shared" si="8"/>
        <v>沈明勳</v>
      </c>
      <c r="Q93" s="54" t="str">
        <f t="shared" si="8"/>
        <v>北投工務所</v>
      </c>
    </row>
    <row r="94" spans="1:17" ht="18" customHeight="1">
      <c r="A94" s="136"/>
      <c r="B94" s="138"/>
      <c r="C94" s="96" t="s">
        <v>12</v>
      </c>
      <c r="D94" s="117" t="s">
        <v>175</v>
      </c>
      <c r="E94" s="118"/>
      <c r="F94" s="97" t="s">
        <v>62</v>
      </c>
      <c r="G94" s="60" t="s">
        <v>9</v>
      </c>
      <c r="H94" s="60"/>
      <c r="I94" s="60" t="s">
        <v>10</v>
      </c>
      <c r="J94" s="176"/>
      <c r="K94" s="176"/>
      <c r="L94" s="109"/>
      <c r="M94" s="109"/>
      <c r="N94" s="152" t="str">
        <f>工程基本資料!E11</f>
        <v>北投工務所</v>
      </c>
      <c r="O94" s="155" t="str">
        <f>工程基本資料!I11</f>
        <v>久勝營造有限公司</v>
      </c>
      <c r="P94" s="54" t="str">
        <f t="shared" si="8"/>
        <v>沈明勳</v>
      </c>
      <c r="Q94" s="54" t="str">
        <f t="shared" si="8"/>
        <v>北投工務所</v>
      </c>
    </row>
    <row r="95" spans="1:17" ht="18" customHeight="1">
      <c r="A95" s="136"/>
      <c r="B95" s="138"/>
      <c r="C95" s="97"/>
      <c r="D95" s="148"/>
      <c r="E95" s="148"/>
      <c r="F95" s="97" t="s">
        <v>62</v>
      </c>
      <c r="G95" s="60" t="s">
        <v>17</v>
      </c>
      <c r="H95" s="60">
        <v>1</v>
      </c>
      <c r="I95" s="60" t="s">
        <v>10</v>
      </c>
      <c r="J95" s="176"/>
      <c r="K95" s="176"/>
      <c r="L95" s="109"/>
      <c r="M95" s="109"/>
      <c r="N95" s="153"/>
      <c r="O95" s="156"/>
      <c r="P95" s="54" t="str">
        <f t="shared" si="8"/>
        <v>沈明勳</v>
      </c>
      <c r="Q95" s="54" t="str">
        <f t="shared" si="8"/>
        <v>北投工務所</v>
      </c>
    </row>
    <row r="96" spans="1:17" ht="18" customHeight="1">
      <c r="A96" s="136"/>
      <c r="B96" s="138"/>
      <c r="C96" s="97"/>
      <c r="D96" s="148"/>
      <c r="E96" s="148"/>
      <c r="F96" s="97" t="s">
        <v>62</v>
      </c>
      <c r="G96" s="60" t="s">
        <v>11</v>
      </c>
      <c r="H96" s="60"/>
      <c r="I96" s="60" t="s">
        <v>10</v>
      </c>
      <c r="J96" s="176"/>
      <c r="K96" s="176"/>
      <c r="L96" s="109"/>
      <c r="M96" s="109"/>
      <c r="N96" s="153"/>
      <c r="O96" s="156"/>
      <c r="P96" s="54" t="str">
        <f t="shared" si="8"/>
        <v>沈明勳</v>
      </c>
      <c r="Q96" s="54" t="str">
        <f t="shared" si="8"/>
        <v>北投工務所</v>
      </c>
    </row>
    <row r="97" spans="1:17" ht="18" customHeight="1">
      <c r="A97" s="136"/>
      <c r="B97" s="138"/>
      <c r="C97" s="60"/>
      <c r="D97" s="148"/>
      <c r="E97" s="148"/>
      <c r="F97" s="60"/>
      <c r="G97" s="60" t="s">
        <v>13</v>
      </c>
      <c r="H97" s="60">
        <v>1</v>
      </c>
      <c r="I97" s="60" t="s">
        <v>10</v>
      </c>
      <c r="J97" s="176"/>
      <c r="K97" s="176"/>
      <c r="L97" s="109"/>
      <c r="M97" s="109"/>
      <c r="N97" s="153"/>
      <c r="O97" s="156"/>
      <c r="P97" s="54" t="str">
        <f t="shared" si="8"/>
        <v>沈明勳</v>
      </c>
      <c r="Q97" s="54" t="str">
        <f t="shared" si="8"/>
        <v>北投工務所</v>
      </c>
    </row>
    <row r="98" spans="1:17" ht="18" customHeight="1">
      <c r="A98" s="136"/>
      <c r="B98" s="138"/>
      <c r="C98" s="60"/>
      <c r="D98" s="148"/>
      <c r="E98" s="148"/>
      <c r="F98" s="97"/>
      <c r="G98" s="60" t="s">
        <v>14</v>
      </c>
      <c r="H98" s="60"/>
      <c r="I98" s="60" t="s">
        <v>10</v>
      </c>
      <c r="J98" s="176"/>
      <c r="K98" s="176"/>
      <c r="L98" s="109"/>
      <c r="M98" s="109"/>
      <c r="N98" s="153"/>
      <c r="O98" s="156"/>
      <c r="P98" s="54" t="str">
        <f t="shared" si="8"/>
        <v>沈明勳</v>
      </c>
      <c r="Q98" s="54" t="str">
        <f t="shared" si="8"/>
        <v>北投工務所</v>
      </c>
    </row>
    <row r="99" spans="1:17" ht="18" customHeight="1">
      <c r="B99" s="84"/>
      <c r="C99" s="60"/>
      <c r="D99" s="148"/>
      <c r="E99" s="148"/>
      <c r="F99" s="97"/>
      <c r="G99" s="63" t="s">
        <v>18</v>
      </c>
      <c r="H99" s="63"/>
      <c r="I99" s="63" t="s">
        <v>10</v>
      </c>
      <c r="J99" s="176"/>
      <c r="K99" s="176"/>
      <c r="L99" s="109"/>
      <c r="M99" s="109"/>
      <c r="N99" s="153"/>
      <c r="O99" s="156"/>
      <c r="P99" s="54" t="str">
        <f t="shared" si="8"/>
        <v>沈明勳</v>
      </c>
      <c r="Q99" s="54" t="str">
        <f t="shared" si="8"/>
        <v>北投工務所</v>
      </c>
    </row>
    <row r="100" spans="1:17" ht="18" customHeight="1">
      <c r="B100" s="84"/>
      <c r="C100" s="60"/>
      <c r="D100" s="148"/>
      <c r="E100" s="148"/>
      <c r="F100" s="97"/>
      <c r="G100" s="63" t="s">
        <v>19</v>
      </c>
      <c r="H100" s="63">
        <v>2</v>
      </c>
      <c r="I100" s="63" t="s">
        <v>20</v>
      </c>
      <c r="J100" s="176"/>
      <c r="K100" s="176"/>
      <c r="L100" s="109"/>
      <c r="M100" s="109"/>
      <c r="N100" s="153"/>
      <c r="O100" s="156"/>
      <c r="P100" s="54" t="str">
        <f t="shared" si="8"/>
        <v>沈明勳</v>
      </c>
      <c r="Q100" s="54" t="str">
        <f t="shared" si="8"/>
        <v>北投工務所</v>
      </c>
    </row>
    <row r="101" spans="1:17" ht="18" customHeight="1" thickBot="1">
      <c r="B101" s="85"/>
      <c r="C101" s="60"/>
      <c r="D101" s="148"/>
      <c r="E101" s="148"/>
      <c r="F101" s="97"/>
      <c r="G101" s="64" t="s">
        <v>15</v>
      </c>
      <c r="H101" s="64"/>
      <c r="I101" s="64" t="s">
        <v>10</v>
      </c>
      <c r="J101" s="177"/>
      <c r="K101" s="177"/>
      <c r="L101" s="110"/>
      <c r="M101" s="110"/>
      <c r="N101" s="154"/>
      <c r="O101" s="157"/>
      <c r="P101" s="54" t="str">
        <f>P99</f>
        <v>沈明勳</v>
      </c>
      <c r="Q101" s="54" t="str">
        <f t="shared" si="8"/>
        <v>北投工務所</v>
      </c>
    </row>
    <row r="102" spans="1:17" ht="18" customHeight="1">
      <c r="B102" s="55" t="s">
        <v>64</v>
      </c>
      <c r="C102" s="159" t="s">
        <v>0</v>
      </c>
      <c r="D102" s="159"/>
      <c r="E102" s="159"/>
      <c r="F102" s="91" t="s">
        <v>61</v>
      </c>
      <c r="G102" s="146" t="str">
        <f>$G$3</f>
        <v>113年9月26日當日動員機具</v>
      </c>
      <c r="H102" s="146"/>
      <c r="I102" s="146"/>
      <c r="J102" s="92"/>
      <c r="K102" s="92"/>
      <c r="L102" s="89"/>
      <c r="M102" s="89"/>
      <c r="N102" s="147" t="s">
        <v>1</v>
      </c>
      <c r="O102" s="149" t="str">
        <f>工程基本資料!D12</f>
        <v>余成偉</v>
      </c>
      <c r="P102" s="54" t="str">
        <f>O102</f>
        <v>余成偉</v>
      </c>
      <c r="Q102" s="54" t="str">
        <f>N105</f>
        <v>北投工務所</v>
      </c>
    </row>
    <row r="103" spans="1:17" ht="18" customHeight="1">
      <c r="B103" s="57" t="str">
        <f>工程基本資料!C12</f>
        <v>H-113-03-113017</v>
      </c>
      <c r="C103" s="90" t="s">
        <v>2</v>
      </c>
      <c r="D103" s="140" t="s">
        <v>3</v>
      </c>
      <c r="E103" s="141"/>
      <c r="F103" s="86"/>
      <c r="G103" s="60" t="s">
        <v>2</v>
      </c>
      <c r="H103" s="148" t="s">
        <v>4</v>
      </c>
      <c r="I103" s="148"/>
      <c r="J103" s="93" t="s">
        <v>188</v>
      </c>
      <c r="K103" s="93" t="s">
        <v>190</v>
      </c>
      <c r="L103" s="86" t="s">
        <v>59</v>
      </c>
      <c r="M103" s="86" t="s">
        <v>60</v>
      </c>
      <c r="N103" s="148"/>
      <c r="O103" s="150"/>
      <c r="P103" s="54" t="str">
        <f t="shared" ref="P103:Q112" si="9">P102</f>
        <v>余成偉</v>
      </c>
      <c r="Q103" s="54" t="str">
        <f>Q102</f>
        <v>北投工務所</v>
      </c>
    </row>
    <row r="104" spans="1:17" ht="18" customHeight="1">
      <c r="A104" s="136">
        <v>10</v>
      </c>
      <c r="B104" s="137" t="str">
        <f>工程基本資料!B12</f>
        <v>113年度北區河濱公園路面暨災後復原預約維護工程</v>
      </c>
      <c r="C104" s="97" t="s">
        <v>5</v>
      </c>
      <c r="D104" s="148" t="s">
        <v>62</v>
      </c>
      <c r="E104" s="148"/>
      <c r="F104" s="97" t="s">
        <v>62</v>
      </c>
      <c r="G104" s="60" t="s">
        <v>6</v>
      </c>
      <c r="H104" s="60">
        <v>8</v>
      </c>
      <c r="I104" s="60" t="s">
        <v>7</v>
      </c>
      <c r="J104" s="175" t="s">
        <v>194</v>
      </c>
      <c r="K104" s="175" t="s">
        <v>193</v>
      </c>
      <c r="L104" s="108" t="s">
        <v>158</v>
      </c>
      <c r="M104" s="108" t="s">
        <v>192</v>
      </c>
      <c r="N104" s="148"/>
      <c r="O104" s="151"/>
      <c r="P104" s="54" t="str">
        <f t="shared" si="9"/>
        <v>余成偉</v>
      </c>
      <c r="Q104" s="54" t="str">
        <f t="shared" si="9"/>
        <v>北投工務所</v>
      </c>
    </row>
    <row r="105" spans="1:17" ht="18" customHeight="1">
      <c r="A105" s="136"/>
      <c r="B105" s="138"/>
      <c r="C105" s="97" t="s">
        <v>16</v>
      </c>
      <c r="D105" s="148" t="s">
        <v>62</v>
      </c>
      <c r="E105" s="148"/>
      <c r="F105" s="97" t="s">
        <v>62</v>
      </c>
      <c r="G105" s="60" t="s">
        <v>9</v>
      </c>
      <c r="H105" s="60">
        <v>0</v>
      </c>
      <c r="I105" s="60" t="s">
        <v>10</v>
      </c>
      <c r="J105" s="176"/>
      <c r="K105" s="176"/>
      <c r="L105" s="109"/>
      <c r="M105" s="109"/>
      <c r="N105" s="152" t="str">
        <f>工程基本資料!E12</f>
        <v>北投工務所</v>
      </c>
      <c r="O105" s="155" t="str">
        <f>工程基本資料!I12</f>
        <v>冠錏營造有限公司</v>
      </c>
      <c r="P105" s="54" t="str">
        <f t="shared" si="9"/>
        <v>余成偉</v>
      </c>
      <c r="Q105" s="54" t="str">
        <f t="shared" si="9"/>
        <v>北投工務所</v>
      </c>
    </row>
    <row r="106" spans="1:17" ht="18" customHeight="1">
      <c r="A106" s="136"/>
      <c r="B106" s="138"/>
      <c r="C106" s="97" t="s">
        <v>8</v>
      </c>
      <c r="D106" s="117" t="s">
        <v>195</v>
      </c>
      <c r="E106" s="118"/>
      <c r="F106" s="97" t="s">
        <v>62</v>
      </c>
      <c r="G106" s="60" t="s">
        <v>17</v>
      </c>
      <c r="H106" s="60">
        <v>0</v>
      </c>
      <c r="I106" s="60" t="s">
        <v>10</v>
      </c>
      <c r="J106" s="176"/>
      <c r="K106" s="176"/>
      <c r="L106" s="109"/>
      <c r="M106" s="109"/>
      <c r="N106" s="153"/>
      <c r="O106" s="156"/>
      <c r="P106" s="54" t="str">
        <f t="shared" si="9"/>
        <v>余成偉</v>
      </c>
      <c r="Q106" s="54" t="str">
        <f t="shared" si="9"/>
        <v>北投工務所</v>
      </c>
    </row>
    <row r="107" spans="1:17" ht="18" customHeight="1">
      <c r="A107" s="136"/>
      <c r="B107" s="138"/>
      <c r="C107" s="97" t="s">
        <v>12</v>
      </c>
      <c r="D107" s="148" t="s">
        <v>119</v>
      </c>
      <c r="E107" s="148"/>
      <c r="F107" s="97" t="s">
        <v>62</v>
      </c>
      <c r="G107" s="60" t="s">
        <v>11</v>
      </c>
      <c r="H107" s="60">
        <v>0</v>
      </c>
      <c r="I107" s="60" t="s">
        <v>10</v>
      </c>
      <c r="J107" s="176"/>
      <c r="K107" s="176"/>
      <c r="L107" s="109"/>
      <c r="M107" s="109"/>
      <c r="N107" s="153"/>
      <c r="O107" s="156"/>
      <c r="P107" s="54" t="str">
        <f t="shared" si="9"/>
        <v>余成偉</v>
      </c>
      <c r="Q107" s="54" t="str">
        <f t="shared" si="9"/>
        <v>北投工務所</v>
      </c>
    </row>
    <row r="108" spans="1:17" ht="18" customHeight="1">
      <c r="A108" s="136"/>
      <c r="B108" s="138"/>
      <c r="C108" s="60"/>
      <c r="D108" s="148"/>
      <c r="E108" s="148"/>
      <c r="F108" s="60"/>
      <c r="G108" s="60" t="s">
        <v>13</v>
      </c>
      <c r="H108" s="60">
        <v>1</v>
      </c>
      <c r="I108" s="60" t="s">
        <v>10</v>
      </c>
      <c r="J108" s="176"/>
      <c r="K108" s="176"/>
      <c r="L108" s="109"/>
      <c r="M108" s="109"/>
      <c r="N108" s="153"/>
      <c r="O108" s="156"/>
      <c r="P108" s="54" t="str">
        <f t="shared" si="9"/>
        <v>余成偉</v>
      </c>
      <c r="Q108" s="54" t="str">
        <f t="shared" si="9"/>
        <v>北投工務所</v>
      </c>
    </row>
    <row r="109" spans="1:17" ht="18" customHeight="1">
      <c r="A109" s="136"/>
      <c r="B109" s="138"/>
      <c r="C109" s="60"/>
      <c r="D109" s="148"/>
      <c r="E109" s="148"/>
      <c r="F109" s="97"/>
      <c r="G109" s="60" t="s">
        <v>14</v>
      </c>
      <c r="H109" s="60">
        <v>1</v>
      </c>
      <c r="I109" s="60" t="s">
        <v>10</v>
      </c>
      <c r="J109" s="176"/>
      <c r="K109" s="176"/>
      <c r="L109" s="109"/>
      <c r="M109" s="109"/>
      <c r="N109" s="153"/>
      <c r="O109" s="156"/>
      <c r="P109" s="54" t="str">
        <f t="shared" si="9"/>
        <v>余成偉</v>
      </c>
      <c r="Q109" s="54" t="str">
        <f t="shared" si="9"/>
        <v>北投工務所</v>
      </c>
    </row>
    <row r="110" spans="1:17" ht="18" customHeight="1">
      <c r="B110" s="84"/>
      <c r="C110" s="60"/>
      <c r="D110" s="148"/>
      <c r="E110" s="148"/>
      <c r="F110" s="97"/>
      <c r="G110" s="63" t="s">
        <v>18</v>
      </c>
      <c r="H110" s="63">
        <v>0</v>
      </c>
      <c r="I110" s="63" t="s">
        <v>10</v>
      </c>
      <c r="J110" s="176"/>
      <c r="K110" s="176"/>
      <c r="L110" s="109"/>
      <c r="M110" s="109"/>
      <c r="N110" s="153"/>
      <c r="O110" s="156"/>
      <c r="P110" s="54" t="str">
        <f t="shared" si="9"/>
        <v>余成偉</v>
      </c>
      <c r="Q110" s="54" t="str">
        <f t="shared" si="9"/>
        <v>北投工務所</v>
      </c>
    </row>
    <row r="111" spans="1:17" ht="18" customHeight="1">
      <c r="B111" s="84"/>
      <c r="C111" s="60"/>
      <c r="D111" s="148"/>
      <c r="E111" s="148"/>
      <c r="F111" s="97"/>
      <c r="G111" s="63" t="s">
        <v>19</v>
      </c>
      <c r="H111" s="63">
        <v>0</v>
      </c>
      <c r="I111" s="63" t="s">
        <v>20</v>
      </c>
      <c r="J111" s="176"/>
      <c r="K111" s="176"/>
      <c r="L111" s="109"/>
      <c r="M111" s="109"/>
      <c r="N111" s="153"/>
      <c r="O111" s="156"/>
      <c r="P111" s="54" t="str">
        <f t="shared" si="9"/>
        <v>余成偉</v>
      </c>
      <c r="Q111" s="54" t="str">
        <f t="shared" si="9"/>
        <v>北投工務所</v>
      </c>
    </row>
    <row r="112" spans="1:17" ht="18" customHeight="1" thickBot="1">
      <c r="B112" s="85"/>
      <c r="C112" s="60"/>
      <c r="D112" s="148"/>
      <c r="E112" s="148"/>
      <c r="F112" s="97"/>
      <c r="G112" s="64" t="s">
        <v>15</v>
      </c>
      <c r="H112" s="64">
        <v>1</v>
      </c>
      <c r="I112" s="64" t="s">
        <v>10</v>
      </c>
      <c r="J112" s="177"/>
      <c r="K112" s="177"/>
      <c r="L112" s="110"/>
      <c r="M112" s="110"/>
      <c r="N112" s="154"/>
      <c r="O112" s="157"/>
      <c r="P112" s="54" t="str">
        <f>P110</f>
        <v>余成偉</v>
      </c>
      <c r="Q112" s="54" t="str">
        <f t="shared" si="9"/>
        <v>北投工務所</v>
      </c>
    </row>
    <row r="113" spans="3:16" ht="17.25" thickBot="1"/>
    <row r="114" spans="3:16" ht="16.149999999999999" customHeight="1">
      <c r="C114" s="169" t="s">
        <v>112</v>
      </c>
      <c r="D114" s="170"/>
      <c r="E114" s="171"/>
      <c r="F114" s="69"/>
      <c r="G114" s="169" t="s">
        <v>113</v>
      </c>
      <c r="H114" s="170"/>
      <c r="I114" s="171"/>
      <c r="J114" s="94"/>
      <c r="K114" s="94"/>
      <c r="L114" s="69"/>
      <c r="M114" s="69"/>
      <c r="P114" s="172" t="s">
        <v>29</v>
      </c>
    </row>
    <row r="115" spans="3:16">
      <c r="C115" s="70" t="s">
        <v>2</v>
      </c>
      <c r="D115" s="148" t="s">
        <v>4</v>
      </c>
      <c r="E115" s="174"/>
      <c r="F115" s="69"/>
      <c r="G115" s="70" t="s">
        <v>2</v>
      </c>
      <c r="H115" s="148" t="s">
        <v>4</v>
      </c>
      <c r="I115" s="174"/>
      <c r="J115" s="94"/>
      <c r="K115" s="94"/>
      <c r="L115" s="69"/>
      <c r="M115" s="69"/>
      <c r="P115" s="173"/>
    </row>
    <row r="116" spans="3:16">
      <c r="C116" s="70" t="s">
        <v>6</v>
      </c>
      <c r="D116" s="71">
        <f t="shared" ref="D116:D124" si="10">H5+H16+H27+H38+H49+H60+H71+H82+H93+H104</f>
        <v>16</v>
      </c>
      <c r="E116" s="72" t="s">
        <v>7</v>
      </c>
      <c r="G116" s="70" t="s">
        <v>6</v>
      </c>
      <c r="H116" s="71">
        <f>D116+'113年9月25日'!H116</f>
        <v>228</v>
      </c>
      <c r="I116" s="72" t="s">
        <v>7</v>
      </c>
      <c r="J116" s="95"/>
      <c r="K116" s="95"/>
      <c r="P116" s="73" t="e">
        <f>D116-#REF!</f>
        <v>#REF!</v>
      </c>
    </row>
    <row r="117" spans="3:16">
      <c r="C117" s="70" t="s">
        <v>9</v>
      </c>
      <c r="D117" s="71">
        <f t="shared" si="10"/>
        <v>0</v>
      </c>
      <c r="E117" s="72" t="s">
        <v>10</v>
      </c>
      <c r="G117" s="70" t="s">
        <v>9</v>
      </c>
      <c r="H117" s="71">
        <f>D117+'113年9月25日'!H117</f>
        <v>9</v>
      </c>
      <c r="I117" s="72" t="s">
        <v>10</v>
      </c>
      <c r="J117" s="95"/>
      <c r="K117" s="95"/>
      <c r="P117" s="73" t="e">
        <f>D117-#REF!</f>
        <v>#REF!</v>
      </c>
    </row>
    <row r="118" spans="3:16">
      <c r="C118" s="70" t="s">
        <v>17</v>
      </c>
      <c r="D118" s="71">
        <f t="shared" si="10"/>
        <v>1</v>
      </c>
      <c r="E118" s="72" t="s">
        <v>10</v>
      </c>
      <c r="G118" s="70" t="s">
        <v>17</v>
      </c>
      <c r="H118" s="71">
        <f>D118+'113年9月25日'!H118</f>
        <v>6</v>
      </c>
      <c r="I118" s="72" t="s">
        <v>10</v>
      </c>
      <c r="J118" s="95"/>
      <c r="K118" s="95"/>
      <c r="P118" s="73" t="e">
        <f>D118-#REF!</f>
        <v>#REF!</v>
      </c>
    </row>
    <row r="119" spans="3:16">
      <c r="C119" s="70" t="s">
        <v>11</v>
      </c>
      <c r="D119" s="71">
        <f t="shared" si="10"/>
        <v>0</v>
      </c>
      <c r="E119" s="72" t="s">
        <v>10</v>
      </c>
      <c r="G119" s="70" t="s">
        <v>11</v>
      </c>
      <c r="H119" s="71">
        <f>D119+'113年9月25日'!H119</f>
        <v>7</v>
      </c>
      <c r="I119" s="72" t="s">
        <v>10</v>
      </c>
      <c r="J119" s="95"/>
      <c r="K119" s="95"/>
      <c r="P119" s="73" t="e">
        <f>D119-#REF!</f>
        <v>#REF!</v>
      </c>
    </row>
    <row r="120" spans="3:16">
      <c r="C120" s="70" t="s">
        <v>13</v>
      </c>
      <c r="D120" s="71">
        <f t="shared" si="10"/>
        <v>2</v>
      </c>
      <c r="E120" s="72" t="s">
        <v>10</v>
      </c>
      <c r="G120" s="70" t="s">
        <v>13</v>
      </c>
      <c r="H120" s="71">
        <f>D120+'113年9月25日'!H120</f>
        <v>48</v>
      </c>
      <c r="I120" s="72" t="s">
        <v>10</v>
      </c>
      <c r="J120" s="95"/>
      <c r="K120" s="95"/>
      <c r="P120" s="73" t="e">
        <f>D120-#REF!</f>
        <v>#REF!</v>
      </c>
    </row>
    <row r="121" spans="3:16">
      <c r="C121" s="70" t="s">
        <v>14</v>
      </c>
      <c r="D121" s="71">
        <f t="shared" si="10"/>
        <v>1</v>
      </c>
      <c r="E121" s="72" t="s">
        <v>10</v>
      </c>
      <c r="G121" s="70" t="s">
        <v>14</v>
      </c>
      <c r="H121" s="71">
        <f>D121+'113年9月25日'!H121</f>
        <v>45</v>
      </c>
      <c r="I121" s="72" t="s">
        <v>10</v>
      </c>
      <c r="J121" s="95"/>
      <c r="K121" s="95"/>
      <c r="P121" s="73" t="e">
        <f>D121-#REF!</f>
        <v>#REF!</v>
      </c>
    </row>
    <row r="122" spans="3:16">
      <c r="C122" s="74" t="s">
        <v>18</v>
      </c>
      <c r="D122" s="71">
        <f t="shared" si="10"/>
        <v>0</v>
      </c>
      <c r="E122" s="72" t="s">
        <v>10</v>
      </c>
      <c r="G122" s="74" t="s">
        <v>18</v>
      </c>
      <c r="H122" s="71">
        <f>D122+'113年9月25日'!H122</f>
        <v>0</v>
      </c>
      <c r="I122" s="72" t="s">
        <v>10</v>
      </c>
      <c r="J122" s="95"/>
      <c r="K122" s="95"/>
      <c r="P122" s="73" t="e">
        <f>D122-#REF!</f>
        <v>#REF!</v>
      </c>
    </row>
    <row r="123" spans="3:16">
      <c r="C123" s="74" t="s">
        <v>19</v>
      </c>
      <c r="D123" s="71">
        <f t="shared" si="10"/>
        <v>2</v>
      </c>
      <c r="E123" s="75" t="s">
        <v>20</v>
      </c>
      <c r="G123" s="74" t="s">
        <v>19</v>
      </c>
      <c r="H123" s="71">
        <f>D123+'113年9月25日'!H123</f>
        <v>6</v>
      </c>
      <c r="I123" s="75" t="s">
        <v>20</v>
      </c>
      <c r="J123" s="95"/>
      <c r="K123" s="95"/>
      <c r="P123" s="73" t="e">
        <f>D123-#REF!</f>
        <v>#REF!</v>
      </c>
    </row>
    <row r="124" spans="3:16" ht="17.25" thickBot="1">
      <c r="C124" s="76" t="s">
        <v>15</v>
      </c>
      <c r="D124" s="71">
        <f t="shared" si="10"/>
        <v>1</v>
      </c>
      <c r="E124" s="77" t="s">
        <v>10</v>
      </c>
      <c r="G124" s="76" t="s">
        <v>15</v>
      </c>
      <c r="H124" s="71">
        <f>D124+'113年9月25日'!H124</f>
        <v>15</v>
      </c>
      <c r="I124" s="77" t="s">
        <v>10</v>
      </c>
      <c r="J124" s="95"/>
      <c r="K124" s="95"/>
      <c r="P124" s="73" t="e">
        <f>D124-#REF!</f>
        <v>#REF!</v>
      </c>
    </row>
  </sheetData>
  <autoFilter ref="P2:Q57"/>
  <mergeCells count="235">
    <mergeCell ref="A5:A13"/>
    <mergeCell ref="B5:B13"/>
    <mergeCell ref="D5:E5"/>
    <mergeCell ref="L5:L13"/>
    <mergeCell ref="M5:M13"/>
    <mergeCell ref="D6:E6"/>
    <mergeCell ref="B2:O2"/>
    <mergeCell ref="C3:E3"/>
    <mergeCell ref="G3:I3"/>
    <mergeCell ref="N3:N5"/>
    <mergeCell ref="O3:O5"/>
    <mergeCell ref="D4:E4"/>
    <mergeCell ref="H4:I4"/>
    <mergeCell ref="J5:J13"/>
    <mergeCell ref="K5:K13"/>
    <mergeCell ref="O14:O16"/>
    <mergeCell ref="D15:E15"/>
    <mergeCell ref="H15:I15"/>
    <mergeCell ref="N6:N13"/>
    <mergeCell ref="O6:O13"/>
    <mergeCell ref="D7:E7"/>
    <mergeCell ref="D8:E8"/>
    <mergeCell ref="D10:E10"/>
    <mergeCell ref="D11:E11"/>
    <mergeCell ref="D12:E12"/>
    <mergeCell ref="D13:E13"/>
    <mergeCell ref="J16:J24"/>
    <mergeCell ref="K16:K24"/>
    <mergeCell ref="A16:A24"/>
    <mergeCell ref="B16:B24"/>
    <mergeCell ref="D16:E16"/>
    <mergeCell ref="L16:L24"/>
    <mergeCell ref="M16:M24"/>
    <mergeCell ref="D17:E17"/>
    <mergeCell ref="C14:E14"/>
    <mergeCell ref="G14:I14"/>
    <mergeCell ref="N14:N16"/>
    <mergeCell ref="O25:O27"/>
    <mergeCell ref="D26:E26"/>
    <mergeCell ref="H26:I26"/>
    <mergeCell ref="N17:N24"/>
    <mergeCell ref="O17:O24"/>
    <mergeCell ref="D18:E18"/>
    <mergeCell ref="D19:E19"/>
    <mergeCell ref="D21:E21"/>
    <mergeCell ref="D22:E22"/>
    <mergeCell ref="D23:E23"/>
    <mergeCell ref="D24:E24"/>
    <mergeCell ref="J27:J35"/>
    <mergeCell ref="K27:K35"/>
    <mergeCell ref="A27:A35"/>
    <mergeCell ref="B27:B32"/>
    <mergeCell ref="D27:E27"/>
    <mergeCell ref="L27:L35"/>
    <mergeCell ref="M27:M35"/>
    <mergeCell ref="D28:E28"/>
    <mergeCell ref="C25:E25"/>
    <mergeCell ref="G25:I25"/>
    <mergeCell ref="N25:N27"/>
    <mergeCell ref="N36:N38"/>
    <mergeCell ref="O36:O38"/>
    <mergeCell ref="D37:E37"/>
    <mergeCell ref="H37:I37"/>
    <mergeCell ref="N28:N35"/>
    <mergeCell ref="O28:O35"/>
    <mergeCell ref="D29:E29"/>
    <mergeCell ref="D30:E30"/>
    <mergeCell ref="D31:E31"/>
    <mergeCell ref="D32:E32"/>
    <mergeCell ref="D33:E33"/>
    <mergeCell ref="D34:E34"/>
    <mergeCell ref="D35:E35"/>
    <mergeCell ref="J38:J46"/>
    <mergeCell ref="K38:K46"/>
    <mergeCell ref="A38:A46"/>
    <mergeCell ref="B38:B42"/>
    <mergeCell ref="D38:E38"/>
    <mergeCell ref="L38:L46"/>
    <mergeCell ref="M38:M46"/>
    <mergeCell ref="D39:E39"/>
    <mergeCell ref="B44:B46"/>
    <mergeCell ref="C36:E36"/>
    <mergeCell ref="G36:I36"/>
    <mergeCell ref="O47:O49"/>
    <mergeCell ref="D48:E48"/>
    <mergeCell ref="H48:I48"/>
    <mergeCell ref="N39:N46"/>
    <mergeCell ref="O39:O46"/>
    <mergeCell ref="D40:E40"/>
    <mergeCell ref="D41:E41"/>
    <mergeCell ref="D42:E42"/>
    <mergeCell ref="D43:E43"/>
    <mergeCell ref="D44:E44"/>
    <mergeCell ref="D45:E45"/>
    <mergeCell ref="D46:E46"/>
    <mergeCell ref="J49:J57"/>
    <mergeCell ref="K49:K57"/>
    <mergeCell ref="A49:A57"/>
    <mergeCell ref="B49:B54"/>
    <mergeCell ref="D49:E49"/>
    <mergeCell ref="L49:L57"/>
    <mergeCell ref="M49:M57"/>
    <mergeCell ref="D50:E50"/>
    <mergeCell ref="C47:E47"/>
    <mergeCell ref="G47:I47"/>
    <mergeCell ref="N47:N49"/>
    <mergeCell ref="O58:O60"/>
    <mergeCell ref="D59:E59"/>
    <mergeCell ref="H59:I59"/>
    <mergeCell ref="N50:N57"/>
    <mergeCell ref="O50:O57"/>
    <mergeCell ref="D51:E51"/>
    <mergeCell ref="D52:E52"/>
    <mergeCell ref="D53:E53"/>
    <mergeCell ref="D54:E54"/>
    <mergeCell ref="D55:E55"/>
    <mergeCell ref="D56:E56"/>
    <mergeCell ref="D57:E57"/>
    <mergeCell ref="J60:J68"/>
    <mergeCell ref="K60:K68"/>
    <mergeCell ref="A60:A65"/>
    <mergeCell ref="B60:B65"/>
    <mergeCell ref="D60:E60"/>
    <mergeCell ref="L60:L68"/>
    <mergeCell ref="M60:M68"/>
    <mergeCell ref="D61:E61"/>
    <mergeCell ref="C58:E58"/>
    <mergeCell ref="G58:I58"/>
    <mergeCell ref="N58:N60"/>
    <mergeCell ref="O69:O71"/>
    <mergeCell ref="D70:E70"/>
    <mergeCell ref="H70:I70"/>
    <mergeCell ref="N61:N68"/>
    <mergeCell ref="O61:O68"/>
    <mergeCell ref="D62:E62"/>
    <mergeCell ref="D63:E63"/>
    <mergeCell ref="D64:E64"/>
    <mergeCell ref="D65:E65"/>
    <mergeCell ref="D66:E66"/>
    <mergeCell ref="D67:E67"/>
    <mergeCell ref="D68:E68"/>
    <mergeCell ref="J71:J79"/>
    <mergeCell ref="K71:K79"/>
    <mergeCell ref="A71:A76"/>
    <mergeCell ref="B71:B76"/>
    <mergeCell ref="D71:E71"/>
    <mergeCell ref="L71:L79"/>
    <mergeCell ref="M71:M79"/>
    <mergeCell ref="D72:E72"/>
    <mergeCell ref="C69:E69"/>
    <mergeCell ref="G69:I69"/>
    <mergeCell ref="N69:N71"/>
    <mergeCell ref="O80:O82"/>
    <mergeCell ref="D81:E81"/>
    <mergeCell ref="H81:I81"/>
    <mergeCell ref="N72:N79"/>
    <mergeCell ref="O72:O79"/>
    <mergeCell ref="D73:E73"/>
    <mergeCell ref="D74:E74"/>
    <mergeCell ref="D75:E75"/>
    <mergeCell ref="D76:E76"/>
    <mergeCell ref="D77:E77"/>
    <mergeCell ref="D78:E78"/>
    <mergeCell ref="D79:E79"/>
    <mergeCell ref="J82:J90"/>
    <mergeCell ref="K82:K90"/>
    <mergeCell ref="A82:A87"/>
    <mergeCell ref="B82:B87"/>
    <mergeCell ref="D82:E82"/>
    <mergeCell ref="L82:L90"/>
    <mergeCell ref="M82:M90"/>
    <mergeCell ref="D83:E83"/>
    <mergeCell ref="C80:E80"/>
    <mergeCell ref="G80:I80"/>
    <mergeCell ref="N80:N82"/>
    <mergeCell ref="O91:O93"/>
    <mergeCell ref="D92:E92"/>
    <mergeCell ref="H92:I92"/>
    <mergeCell ref="N83:N90"/>
    <mergeCell ref="O83:O90"/>
    <mergeCell ref="D84:E84"/>
    <mergeCell ref="D85:E85"/>
    <mergeCell ref="D86:E86"/>
    <mergeCell ref="D87:E87"/>
    <mergeCell ref="D88:E88"/>
    <mergeCell ref="D89:E89"/>
    <mergeCell ref="D90:E90"/>
    <mergeCell ref="J93:J101"/>
    <mergeCell ref="K93:K101"/>
    <mergeCell ref="A93:A98"/>
    <mergeCell ref="B93:B98"/>
    <mergeCell ref="D93:E93"/>
    <mergeCell ref="L93:L101"/>
    <mergeCell ref="M93:M101"/>
    <mergeCell ref="D94:E94"/>
    <mergeCell ref="C91:E91"/>
    <mergeCell ref="G91:I91"/>
    <mergeCell ref="N91:N93"/>
    <mergeCell ref="O102:O104"/>
    <mergeCell ref="D103:E103"/>
    <mergeCell ref="H103:I103"/>
    <mergeCell ref="N94:N101"/>
    <mergeCell ref="O94:O101"/>
    <mergeCell ref="D95:E95"/>
    <mergeCell ref="D96:E96"/>
    <mergeCell ref="D97:E97"/>
    <mergeCell ref="D98:E98"/>
    <mergeCell ref="D99:E99"/>
    <mergeCell ref="D100:E100"/>
    <mergeCell ref="D101:E101"/>
    <mergeCell ref="J104:J112"/>
    <mergeCell ref="K104:K112"/>
    <mergeCell ref="A104:A109"/>
    <mergeCell ref="B104:B109"/>
    <mergeCell ref="D104:E104"/>
    <mergeCell ref="L104:L112"/>
    <mergeCell ref="M104:M112"/>
    <mergeCell ref="D105:E105"/>
    <mergeCell ref="C102:E102"/>
    <mergeCell ref="G102:I102"/>
    <mergeCell ref="N102:N104"/>
    <mergeCell ref="C114:E114"/>
    <mergeCell ref="G114:I114"/>
    <mergeCell ref="P114:P115"/>
    <mergeCell ref="D115:E115"/>
    <mergeCell ref="H115:I115"/>
    <mergeCell ref="N105:N112"/>
    <mergeCell ref="O105:O112"/>
    <mergeCell ref="D106:E106"/>
    <mergeCell ref="D107:E107"/>
    <mergeCell ref="D108:E108"/>
    <mergeCell ref="D109:E109"/>
    <mergeCell ref="D110:E110"/>
    <mergeCell ref="D111:E111"/>
    <mergeCell ref="D112:E112"/>
  </mergeCells>
  <phoneticPr fontId="1" type="noConversion"/>
  <pageMargins left="0.39370078740157483" right="0.23622047244094491" top="0.74803149606299213" bottom="0.74803149606299213" header="0.31496062992125984" footer="0.31496062992125984"/>
  <pageSetup paperSize="9" scale="61" orientation="landscape" r:id="rId1"/>
  <headerFooter>
    <oddHeader>&amp;C&amp;"華康魏碑體,標準"&amp;20河濱公園災後一覽表</oddHeader>
    <oddFooter>&amp;R&amp;"王漢宗中仿宋繁,標準"第&amp;P頁，共&amp;N頁</oddFooter>
  </headerFooter>
  <rowBreaks count="3" manualBreakCount="3">
    <brk id="24" min="1" max="12" man="1"/>
    <brk id="46" min="1" max="12" man="1"/>
    <brk id="90" min="1" max="12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19"/>
  <sheetViews>
    <sheetView view="pageBreakPreview" zoomScaleSheetLayoutView="100" workbookViewId="0">
      <pane xSplit="2" ySplit="1" topLeftCell="C2" activePane="bottomRight" state="frozen"/>
      <selection activeCell="E10" sqref="E10"/>
      <selection pane="topRight" activeCell="E10" sqref="E10"/>
      <selection pane="bottomLeft" activeCell="E10" sqref="E10"/>
      <selection pane="bottomRight" activeCell="I16" sqref="I16"/>
    </sheetView>
  </sheetViews>
  <sheetFormatPr defaultColWidth="18" defaultRowHeight="15.6" customHeight="1"/>
  <cols>
    <col min="1" max="1" width="8.625" style="3" customWidth="1"/>
    <col min="2" max="2" width="41.25" style="3" customWidth="1"/>
    <col min="3" max="3" width="19.375" style="3" customWidth="1"/>
    <col min="4" max="4" width="13.875" style="3" customWidth="1"/>
    <col min="5" max="5" width="14.125" style="3" customWidth="1"/>
    <col min="6" max="6" width="11" style="3" hidden="1" customWidth="1"/>
    <col min="7" max="8" width="11.125" style="3" hidden="1" customWidth="1"/>
    <col min="9" max="9" width="16.125" style="3" customWidth="1"/>
    <col min="10" max="10" width="13.875" style="3" hidden="1" customWidth="1"/>
    <col min="11" max="11" width="11.125" style="3" customWidth="1"/>
    <col min="12" max="16384" width="18" style="3"/>
  </cols>
  <sheetData>
    <row r="1" spans="1:21" ht="31.15" customHeight="1">
      <c r="A1" s="8"/>
      <c r="B1" s="1" t="s">
        <v>21</v>
      </c>
      <c r="C1" s="1" t="s">
        <v>22</v>
      </c>
      <c r="D1" s="2" t="s">
        <v>30</v>
      </c>
      <c r="E1" s="2" t="s">
        <v>72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4" t="s">
        <v>28</v>
      </c>
      <c r="N1" s="14" t="s">
        <v>33</v>
      </c>
      <c r="P1" s="178" t="s">
        <v>34</v>
      </c>
      <c r="Q1" s="180" t="s">
        <v>35</v>
      </c>
      <c r="R1" s="19" t="s">
        <v>36</v>
      </c>
      <c r="S1" s="180" t="s">
        <v>37</v>
      </c>
      <c r="T1"/>
      <c r="U1"/>
    </row>
    <row r="2" spans="1:21" ht="31.15" customHeight="1" thickBot="1">
      <c r="D2" s="4"/>
      <c r="E2" s="4"/>
      <c r="F2" s="4"/>
      <c r="G2" s="4"/>
      <c r="H2" s="4"/>
      <c r="P2" s="179"/>
      <c r="Q2" s="181"/>
      <c r="R2" s="20" t="s">
        <v>38</v>
      </c>
      <c r="S2" s="181"/>
      <c r="T2"/>
      <c r="U2"/>
    </row>
    <row r="3" spans="1:21" ht="72.75" customHeight="1" thickBot="1">
      <c r="A3" s="7">
        <v>1</v>
      </c>
      <c r="B3" s="9" t="s">
        <v>76</v>
      </c>
      <c r="C3" t="s">
        <v>77</v>
      </c>
      <c r="D3" s="15" t="s">
        <v>78</v>
      </c>
      <c r="E3" t="s">
        <v>73</v>
      </c>
      <c r="F3" s="5"/>
      <c r="G3" s="5"/>
      <c r="H3" s="6"/>
      <c r="I3" t="s">
        <v>68</v>
      </c>
      <c r="J3" s="4"/>
      <c r="K3" s="12"/>
      <c r="L3" s="14"/>
      <c r="P3" s="21" t="s">
        <v>39</v>
      </c>
      <c r="Q3" s="22" t="s">
        <v>40</v>
      </c>
      <c r="R3" s="22" t="s">
        <v>41</v>
      </c>
      <c r="S3" s="22">
        <v>350</v>
      </c>
      <c r="T3"/>
      <c r="U3">
        <f>6+6+5+15+10</f>
        <v>42</v>
      </c>
    </row>
    <row r="4" spans="1:21" ht="66" customHeight="1" thickBot="1">
      <c r="A4" s="7">
        <v>2</v>
      </c>
      <c r="B4" s="9" t="s">
        <v>79</v>
      </c>
      <c r="C4" t="s">
        <v>80</v>
      </c>
      <c r="D4" s="24" t="s">
        <v>78</v>
      </c>
      <c r="E4" t="s">
        <v>81</v>
      </c>
      <c r="F4" s="5"/>
      <c r="G4" s="5"/>
      <c r="H4" s="6"/>
      <c r="I4" t="s">
        <v>69</v>
      </c>
      <c r="J4" s="5"/>
      <c r="K4" s="11"/>
      <c r="L4" s="14"/>
      <c r="P4" s="21" t="s">
        <v>42</v>
      </c>
      <c r="Q4" s="22" t="s">
        <v>43</v>
      </c>
      <c r="R4" s="22" t="s">
        <v>44</v>
      </c>
      <c r="S4" s="22">
        <v>25</v>
      </c>
      <c r="T4"/>
      <c r="U4">
        <f>2+2+1+4+1</f>
        <v>10</v>
      </c>
    </row>
    <row r="5" spans="1:21" ht="74.25" customHeight="1" thickBot="1">
      <c r="A5" s="7">
        <v>3</v>
      </c>
      <c r="B5" s="9" t="s">
        <v>82</v>
      </c>
      <c r="C5" t="s">
        <v>83</v>
      </c>
      <c r="D5" s="24" t="s">
        <v>84</v>
      </c>
      <c r="E5" t="s">
        <v>73</v>
      </c>
      <c r="F5" s="5"/>
      <c r="G5" s="5"/>
      <c r="H5" s="6"/>
      <c r="I5" t="s">
        <v>85</v>
      </c>
      <c r="J5" s="5"/>
      <c r="K5" s="11"/>
      <c r="L5" s="14"/>
      <c r="P5" s="21" t="s">
        <v>45</v>
      </c>
      <c r="Q5" s="22" t="s">
        <v>46</v>
      </c>
      <c r="R5" s="22" t="s">
        <v>47</v>
      </c>
      <c r="S5" s="22">
        <v>56</v>
      </c>
      <c r="T5"/>
      <c r="U5">
        <f>2+2+1+2+1+2</f>
        <v>10</v>
      </c>
    </row>
    <row r="6" spans="1:21" ht="66" customHeight="1" thickBot="1">
      <c r="A6" s="7">
        <v>4</v>
      </c>
      <c r="B6" s="9" t="s">
        <v>86</v>
      </c>
      <c r="C6" t="s">
        <v>87</v>
      </c>
      <c r="D6" s="16" t="s">
        <v>88</v>
      </c>
      <c r="E6" t="s">
        <v>89</v>
      </c>
      <c r="F6" s="5"/>
      <c r="G6" s="5"/>
      <c r="H6" s="6"/>
      <c r="I6" t="s">
        <v>67</v>
      </c>
      <c r="J6" s="5"/>
      <c r="K6" s="11"/>
      <c r="P6" s="21" t="s">
        <v>48</v>
      </c>
      <c r="Q6" s="22" t="s">
        <v>49</v>
      </c>
      <c r="R6" s="22" t="s">
        <v>50</v>
      </c>
      <c r="S6" s="22">
        <v>13</v>
      </c>
      <c r="T6"/>
      <c r="U6"/>
    </row>
    <row r="7" spans="1:21" ht="69" customHeight="1" thickBot="1">
      <c r="A7" s="7">
        <v>5</v>
      </c>
      <c r="B7" s="9" t="s">
        <v>90</v>
      </c>
      <c r="C7" t="s">
        <v>91</v>
      </c>
      <c r="D7" s="15" t="s">
        <v>92</v>
      </c>
      <c r="E7" t="s">
        <v>74</v>
      </c>
      <c r="F7" s="5"/>
      <c r="G7" s="5"/>
      <c r="H7" s="6"/>
      <c r="I7" t="s">
        <v>70</v>
      </c>
      <c r="J7" s="5"/>
      <c r="K7" s="11"/>
      <c r="L7" s="14"/>
      <c r="P7" s="21" t="s">
        <v>51</v>
      </c>
      <c r="Q7" s="22" t="s">
        <v>49</v>
      </c>
      <c r="R7" s="22" t="s">
        <v>52</v>
      </c>
      <c r="S7" s="22">
        <v>143</v>
      </c>
      <c r="T7"/>
      <c r="U7"/>
    </row>
    <row r="8" spans="1:21" ht="68.25" customHeight="1" thickBot="1">
      <c r="A8" s="7">
        <v>6</v>
      </c>
      <c r="B8" s="9" t="s">
        <v>93</v>
      </c>
      <c r="C8" t="s">
        <v>94</v>
      </c>
      <c r="D8" s="16" t="s">
        <v>95</v>
      </c>
      <c r="E8" t="s">
        <v>97</v>
      </c>
      <c r="F8" s="5"/>
      <c r="G8" s="5"/>
      <c r="H8" s="6"/>
      <c r="I8" t="s">
        <v>98</v>
      </c>
      <c r="J8" s="5"/>
      <c r="K8" s="11"/>
      <c r="L8" s="17"/>
      <c r="P8" s="21" t="s">
        <v>53</v>
      </c>
      <c r="Q8" s="22" t="s">
        <v>54</v>
      </c>
      <c r="R8" s="22" t="s">
        <v>55</v>
      </c>
      <c r="S8" s="22">
        <v>99</v>
      </c>
      <c r="T8"/>
      <c r="U8"/>
    </row>
    <row r="9" spans="1:21" ht="64.5" customHeight="1" thickBot="1">
      <c r="A9" s="7">
        <v>7</v>
      </c>
      <c r="B9" s="9" t="s">
        <v>99</v>
      </c>
      <c r="C9" t="s">
        <v>100</v>
      </c>
      <c r="D9" s="25" t="s">
        <v>95</v>
      </c>
      <c r="E9" t="s">
        <v>96</v>
      </c>
      <c r="F9" s="5"/>
      <c r="G9" s="5"/>
      <c r="H9" s="6"/>
      <c r="I9" t="s">
        <v>68</v>
      </c>
      <c r="J9" s="5"/>
      <c r="K9" s="11"/>
      <c r="P9" s="21" t="s">
        <v>56</v>
      </c>
      <c r="Q9" s="23" t="s">
        <v>49</v>
      </c>
      <c r="R9" s="23" t="s">
        <v>49</v>
      </c>
      <c r="S9" s="23" t="s">
        <v>49</v>
      </c>
      <c r="T9"/>
      <c r="U9"/>
    </row>
    <row r="10" spans="1:21" ht="80.25" customHeight="1" thickBot="1">
      <c r="A10" s="7">
        <v>8</v>
      </c>
      <c r="B10" s="9" t="s">
        <v>101</v>
      </c>
      <c r="C10" t="s">
        <v>102</v>
      </c>
      <c r="D10" s="16" t="s">
        <v>103</v>
      </c>
      <c r="E10" t="s">
        <v>96</v>
      </c>
      <c r="F10" s="5"/>
      <c r="G10" s="5"/>
      <c r="H10" s="6"/>
      <c r="I10" t="s">
        <v>104</v>
      </c>
      <c r="J10" s="5"/>
      <c r="K10" s="11"/>
      <c r="L10" s="18"/>
      <c r="P10" s="21" t="s">
        <v>57</v>
      </c>
      <c r="Q10" s="23" t="s">
        <v>49</v>
      </c>
      <c r="R10" s="23" t="s">
        <v>49</v>
      </c>
      <c r="S10" s="23" t="s">
        <v>49</v>
      </c>
      <c r="T10"/>
      <c r="U10"/>
    </row>
    <row r="11" spans="1:21" ht="57.75" customHeight="1" thickBot="1">
      <c r="A11" s="7">
        <v>9</v>
      </c>
      <c r="B11" s="9" t="s">
        <v>105</v>
      </c>
      <c r="C11" t="s">
        <v>106</v>
      </c>
      <c r="D11" s="25" t="s">
        <v>107</v>
      </c>
      <c r="E11" t="s">
        <v>75</v>
      </c>
      <c r="F11" s="5"/>
      <c r="G11" s="5"/>
      <c r="H11" s="6"/>
      <c r="I11" t="s">
        <v>71</v>
      </c>
      <c r="J11" s="5"/>
      <c r="K11" s="11"/>
      <c r="L11" s="18"/>
      <c r="P11" s="21" t="s">
        <v>58</v>
      </c>
      <c r="Q11" s="23" t="s">
        <v>49</v>
      </c>
      <c r="R11" s="23" t="s">
        <v>49</v>
      </c>
      <c r="S11" s="23" t="s">
        <v>49</v>
      </c>
      <c r="T11"/>
      <c r="U11">
        <v>2</v>
      </c>
    </row>
    <row r="12" spans="1:21" ht="66" customHeight="1">
      <c r="A12" s="7">
        <v>10</v>
      </c>
      <c r="B12" s="9" t="s">
        <v>108</v>
      </c>
      <c r="C12" t="s">
        <v>109</v>
      </c>
      <c r="D12" s="16" t="s">
        <v>110</v>
      </c>
      <c r="E12" t="s">
        <v>75</v>
      </c>
      <c r="F12" s="5"/>
      <c r="G12" s="5"/>
      <c r="H12" s="6"/>
      <c r="I12" t="s">
        <v>70</v>
      </c>
      <c r="J12" s="5"/>
      <c r="K12" s="11"/>
    </row>
    <row r="13" spans="1:21" ht="16.5">
      <c r="A13" s="7">
        <v>11</v>
      </c>
      <c r="B13" s="5"/>
      <c r="C13" s="13"/>
      <c r="D13" s="16"/>
      <c r="E13" s="16"/>
      <c r="F13" s="5"/>
      <c r="G13" s="5"/>
      <c r="H13" s="6"/>
      <c r="I13" s="5"/>
      <c r="J13" s="5"/>
      <c r="K13" s="11"/>
    </row>
    <row r="14" spans="1:21" ht="16.5">
      <c r="A14" s="7">
        <v>12</v>
      </c>
      <c r="B14" s="5"/>
      <c r="C14" s="13"/>
      <c r="D14" s="16"/>
      <c r="E14" s="16"/>
      <c r="F14" s="5"/>
      <c r="G14" s="5"/>
      <c r="H14" s="6"/>
      <c r="I14" s="5"/>
      <c r="J14" s="5"/>
      <c r="K14" s="11"/>
    </row>
    <row r="15" spans="1:21" ht="43.15" customHeight="1">
      <c r="A15" s="7">
        <v>13</v>
      </c>
      <c r="B15" s="5"/>
      <c r="C15" s="13"/>
      <c r="D15" s="16"/>
      <c r="E15" s="16"/>
      <c r="F15" s="5"/>
      <c r="G15" s="5"/>
      <c r="H15" s="6"/>
      <c r="I15" s="5"/>
      <c r="J15" s="5"/>
      <c r="K15" s="11"/>
    </row>
    <row r="16" spans="1:21" ht="49.15" customHeight="1">
      <c r="A16" s="7">
        <v>14</v>
      </c>
      <c r="B16" s="5"/>
      <c r="C16" s="13"/>
      <c r="D16" s="16"/>
      <c r="E16" s="16"/>
      <c r="F16" s="5"/>
      <c r="G16" s="5"/>
      <c r="H16" s="6"/>
      <c r="I16" s="5"/>
      <c r="J16" s="5"/>
      <c r="K16" s="11"/>
    </row>
    <row r="17" spans="1:12" ht="40.15" customHeight="1">
      <c r="A17" s="7">
        <v>15</v>
      </c>
      <c r="B17" s="5"/>
      <c r="C17" s="13"/>
      <c r="D17" s="15"/>
      <c r="E17" s="15"/>
      <c r="F17" s="5"/>
      <c r="G17" s="5"/>
      <c r="H17" s="6"/>
      <c r="I17" s="10"/>
      <c r="J17" s="5"/>
      <c r="K17" s="11"/>
      <c r="L17" s="14" t="s">
        <v>32</v>
      </c>
    </row>
    <row r="18" spans="1:12" ht="34.15" customHeight="1">
      <c r="A18" s="7">
        <v>16</v>
      </c>
      <c r="B18" s="5"/>
      <c r="C18" s="13"/>
      <c r="D18" s="16"/>
      <c r="E18" s="16"/>
      <c r="F18" s="5"/>
      <c r="G18" s="5"/>
      <c r="H18" s="6"/>
      <c r="I18" s="10"/>
      <c r="J18" s="5"/>
      <c r="K18" s="11"/>
      <c r="L18" s="14" t="s">
        <v>31</v>
      </c>
    </row>
    <row r="19" spans="1:12" ht="15.6" customHeight="1">
      <c r="B19" s="5"/>
      <c r="C19" s="5"/>
    </row>
  </sheetData>
  <autoFilter ref="A2:L18"/>
  <mergeCells count="3">
    <mergeCell ref="P1:P2"/>
    <mergeCell ref="Q1:Q2"/>
    <mergeCell ref="S1:S2"/>
  </mergeCells>
  <phoneticPr fontId="1" type="noConversion"/>
  <pageMargins left="0.78740157480314965" right="0.39370078740157483" top="0.39370078740157483" bottom="0.39370078740157483" header="0.51181102362204722" footer="0.31496062992125984"/>
  <pageSetup paperSize="9" scale="98" fitToWidth="0" fitToHeight="0" orientation="landscape" r:id="rId1"/>
  <headerFooter alignWithMargins="0">
    <oddFooter>&amp;R&amp;"新細明體,標準"&amp;12第&amp;P頁，共&amp;N頁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6</vt:i4>
      </vt:variant>
    </vt:vector>
  </HeadingPairs>
  <TitlesOfParts>
    <vt:vector size="11" baseType="lpstr">
      <vt:lpstr>113年9月23日</vt:lpstr>
      <vt:lpstr>113年9月24日</vt:lpstr>
      <vt:lpstr>113年9月25日</vt:lpstr>
      <vt:lpstr>113年9月26日</vt:lpstr>
      <vt:lpstr>工程基本資料</vt:lpstr>
      <vt:lpstr>'113年9月23日'!Print_Area</vt:lpstr>
      <vt:lpstr>'113年9月24日'!Print_Area</vt:lpstr>
      <vt:lpstr>'113年9月25日'!Print_Area</vt:lpstr>
      <vt:lpstr>'113年9月26日'!Print_Area</vt:lpstr>
      <vt:lpstr>工程基本資料!Print_Area</vt:lpstr>
      <vt:lpstr>工程基本資料!Print_Titles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林正忠</dc:creator>
  <cp:lastModifiedBy>User</cp:lastModifiedBy>
  <cp:lastPrinted>2024-09-25T03:40:53Z</cp:lastPrinted>
  <dcterms:created xsi:type="dcterms:W3CDTF">2015-09-08T07:47:50Z</dcterms:created>
  <dcterms:modified xsi:type="dcterms:W3CDTF">2024-09-25T06:07:35Z</dcterms:modified>
</cp:coreProperties>
</file>