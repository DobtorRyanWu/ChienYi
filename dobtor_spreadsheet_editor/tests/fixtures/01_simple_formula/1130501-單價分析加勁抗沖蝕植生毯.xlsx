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52D926-F278-4FC6-BBD6-A978AEA1A13B}" xr6:coauthVersionLast="45" xr6:coauthVersionMax="47" xr10:uidLastSave="{00000000-0000-0000-0000-000000000000}"/>
  <bookViews>
    <workbookView xWindow="-120" yWindow="-120" windowWidth="29040" windowHeight="15720" activeTab="1" xr2:uid="{7B6CCD6F-71FA-4229-A349-41D583D0A981}"/>
  </bookViews>
  <sheets>
    <sheet name="工作表1" sheetId="1" r:id="rId1"/>
    <sheet name="工作表2" sheetId="2" r:id="rId2"/>
  </sheets>
  <definedNames>
    <definedName name="_xlnm.Print_Area" localSheetId="1">工作表2!$A$1:$G$14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I11" i="2" l="1"/>
  <c r="F13" i="2"/>
  <c r="F14" i="2" s="1"/>
  <c r="E7" i="2" s="1"/>
  <c r="F4" i="1"/>
  <c r="F5" i="1"/>
  <c r="F6" i="1"/>
  <c r="F3" i="1"/>
  <c r="F8" i="1" l="1"/>
  <c r="F9" i="1" s="1"/>
  <c r="E2" i="1" s="1"/>
</calcChain>
</file>

<file path=xl/sharedStrings.xml><?xml version="1.0" encoding="utf-8"?>
<sst xmlns="http://schemas.openxmlformats.org/spreadsheetml/2006/main" count="52" uniqueCount="29">
  <si>
    <t>M2</t>
  </si>
  <si>
    <t>零星工料</t>
  </si>
  <si>
    <t>式</t>
  </si>
  <si>
    <t xml:space="preserve">  ** 小計 **</t>
  </si>
  <si>
    <t xml:space="preserve">  ** 單價計 **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</si>
  <si>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</si>
  <si>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</si>
  <si>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</si>
  <si>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</si>
  <si>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</si>
  <si>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</si>
  <si>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</si>
  <si>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>分析表</t>
    <phoneticPr fontId="2" type="noConversion"/>
  </si>
  <si>
    <t>抗沖蝕毯</t>
    <phoneticPr fontId="3" type="noConversion"/>
  </si>
  <si>
    <t>抗沖蝕毯材料</t>
    <phoneticPr fontId="3" type="noConversion"/>
  </si>
  <si>
    <t>裁剪及鋪設固定</t>
    <phoneticPr fontId="2" type="noConversion"/>
  </si>
  <si>
    <t>小工</t>
    <phoneticPr fontId="2" type="noConversion"/>
  </si>
  <si>
    <t>時</t>
    <phoneticPr fontId="2" type="noConversion"/>
  </si>
  <si>
    <t>含小搬運、鋪設固定、搭接處理等</t>
    <phoneticPr fontId="2" type="noConversion"/>
  </si>
  <si>
    <t>臺北市政府工務局水利工程處</t>
  </si>
  <si>
    <t>單 價 分 析 表</t>
  </si>
  <si>
    <t>工程名稱：磺港溪再造C段護岸及步道整建工程(三合橋至奇岩抽水站)</t>
  </si>
  <si>
    <t>施工地點：北投磺港溪</t>
  </si>
  <si>
    <t>加勁抗沖蝕植生毯</t>
    <phoneticPr fontId="3" type="noConversion"/>
  </si>
  <si>
    <t>產品，加勁抗沖蝕植生毯</t>
    <phoneticPr fontId="3" type="noConversion"/>
  </si>
  <si>
    <t>含小搬運、鋪設固定、錨釘等</t>
    <phoneticPr fontId="2" type="noConversion"/>
  </si>
  <si>
    <t>式</t>
    <phoneticPr fontId="2" type="noConversion"/>
  </si>
  <si>
    <t>L000006100001
契約單價</t>
    <phoneticPr fontId="2" type="noConversion"/>
  </si>
  <si>
    <t xml:space="preserve">W0127110004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</si>
</sst>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0" x14ac:knownFonts="1">
    <font>
      <sz val="12"/>
      <color theme="1"/>
      <name val="新細明體"/>
      <family val="2"/>
      <charset val="136"/>
      <scheme val="minor"/>
    </font>
    <font>
      <sz val="10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indexed="8"/>
      <name val="Arial"/>
      <family val="2"/>
    </font>
    <font>
      <sz val="12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0"/>
      <color indexed="8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76" fontId="4" fillId="0" borderId="1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9" fillId="0" borderId="2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DAC6-ABD9-4AE2-839C-9B34253135C0}">
  <dimension ref="A1:G9"/>
  <sheetViews>
    <sheetView workbookViewId="0">
      <selection activeCell="I20" sqref="I20"/>
    </sheetView>
  </sheetViews>
  <sheetFormatPr defaultRowHeight="16.5" x14ac:dyDescent="0.25"/>
  <cols>
    <col min="2" max="2" width="21.75" customWidth="1"/>
    <col min="7" max="7" width="16.375" customWidth="1"/>
  </cols>
  <sheetData>
    <row r="1" spans="1:7" x14ac:dyDescent="0.25">
      <c r="A1" s="4" t="s">
        <v>5</v>
      </c>
      <c r="B1" s="5" t="s">
        <v>6</v>
      </c>
      <c r="C1" s="5" t="s">
        <v>7</v>
      </c>
      <c r="D1" s="5" t="s">
        <v>8</v>
      </c>
      <c r="E1" s="6" t="s">
        <v>9</v>
      </c>
      <c r="F1" s="6" t="s">
        <v>10</v>
      </c>
      <c r="G1" s="5" t="s">
        <v>11</v>
      </c>
    </row>
    <row r="2" spans="1:7" x14ac:dyDescent="0.25">
      <c r="A2" s="1" t="s">
        <v>12</v>
      </c>
      <c r="B2" s="1" t="s">
        <v>13</v>
      </c>
      <c r="C2" s="2" t="s">
        <v>0</v>
      </c>
      <c r="D2" s="3">
        <v>1</v>
      </c>
      <c r="E2" s="3">
        <f>F9</f>
        <v>800.00400000000002</v>
      </c>
      <c r="F2" s="3"/>
      <c r="G2" s="1"/>
    </row>
    <row r="3" spans="1:7" x14ac:dyDescent="0.25">
      <c r="A3" s="1">
        <v>1</v>
      </c>
      <c r="B3" s="1" t="s">
        <v>14</v>
      </c>
      <c r="C3" s="2" t="s">
        <v>0</v>
      </c>
      <c r="D3" s="3">
        <v>1</v>
      </c>
      <c r="E3" s="3">
        <v>350</v>
      </c>
      <c r="F3" s="3">
        <f>D3*E3</f>
        <v>350</v>
      </c>
      <c r="G3" s="1"/>
    </row>
    <row r="4" spans="1:7" ht="28.5" x14ac:dyDescent="0.25">
      <c r="A4" s="1">
        <v>2</v>
      </c>
      <c r="B4" s="1" t="s">
        <v>15</v>
      </c>
      <c r="C4" s="2" t="s">
        <v>0</v>
      </c>
      <c r="D4" s="3">
        <v>1</v>
      </c>
      <c r="E4" s="3">
        <v>147</v>
      </c>
      <c r="F4" s="3">
        <f t="shared" ref="F4:F6" si="0">D4*E4</f>
        <v>147</v>
      </c>
      <c r="G4" s="1" t="s">
        <v>18</v>
      </c>
    </row>
    <row r="5" spans="1:7" x14ac:dyDescent="0.25">
      <c r="A5" s="1">
        <v>3</v>
      </c>
      <c r="B5" s="1" t="s">
        <v>16</v>
      </c>
      <c r="C5" s="2" t="s">
        <v>17</v>
      </c>
      <c r="D5" s="3">
        <v>0.8</v>
      </c>
      <c r="E5" s="3">
        <v>279.98</v>
      </c>
      <c r="F5" s="3">
        <f t="shared" si="0"/>
        <v>223.98400000000004</v>
      </c>
      <c r="G5" s="1"/>
    </row>
    <row r="6" spans="1:7" x14ac:dyDescent="0.25">
      <c r="A6" s="1">
        <v>4</v>
      </c>
      <c r="B6" s="1" t="s">
        <v>1</v>
      </c>
      <c r="C6" s="2" t="s">
        <v>2</v>
      </c>
      <c r="D6" s="3">
        <v>1</v>
      </c>
      <c r="E6" s="3">
        <v>79.02</v>
      </c>
      <c r="F6" s="3">
        <f t="shared" si="0"/>
        <v>79.02</v>
      </c>
      <c r="G6" s="1"/>
    </row>
    <row r="7" spans="1:7" x14ac:dyDescent="0.25">
      <c r="A7" s="1"/>
      <c r="B7" s="7"/>
      <c r="C7" s="2"/>
      <c r="D7" s="3"/>
      <c r="E7" s="3"/>
      <c r="F7" s="3"/>
      <c r="G7" s="1"/>
    </row>
    <row r="8" spans="1:7" x14ac:dyDescent="0.25">
      <c r="A8" s="1"/>
      <c r="B8" s="1" t="s">
        <v>3</v>
      </c>
      <c r="C8" s="2" t="s">
        <v>0</v>
      </c>
      <c r="D8" s="3">
        <v>1</v>
      </c>
      <c r="E8" s="3"/>
      <c r="F8" s="3">
        <f>SUM(F3:F6)</f>
        <v>800.00400000000002</v>
      </c>
      <c r="G8" s="1"/>
    </row>
    <row r="9" spans="1:7" x14ac:dyDescent="0.25">
      <c r="A9" s="1"/>
      <c r="B9" s="1" t="s">
        <v>4</v>
      </c>
      <c r="C9" s="2" t="s">
        <v>0</v>
      </c>
      <c r="D9" s="3"/>
      <c r="E9" s="3"/>
      <c r="F9" s="3">
        <f>F8</f>
        <v>800.00400000000002</v>
      </c>
      <c r="G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376B-3808-4A78-8D17-A896C181B377}">
  <dimension ref="A1:I14"/>
  <sheetViews>
    <sheetView tabSelected="1" workbookViewId="0">
      <selection activeCell="J15" sqref="J15"/>
    </sheetView>
  </sheetViews>
  <sheetFormatPr defaultRowHeight="16.5" x14ac:dyDescent="0.25"/>
  <cols>
    <col min="2" max="2" width="24.125" customWidth="1"/>
    <col min="7" max="7" width="17.375" customWidth="1"/>
  </cols>
  <sheetData>
    <row r="1" spans="1:9" ht="21" x14ac:dyDescent="0.25">
      <c r="A1" s="8" t="s">
        <v>19</v>
      </c>
      <c r="B1" s="8"/>
      <c r="C1" s="8"/>
      <c r="D1" s="8"/>
      <c r="E1" s="8"/>
      <c r="F1" s="8"/>
      <c r="G1" s="8"/>
    </row>
    <row r="2" spans="1:9" ht="21" x14ac:dyDescent="0.25">
      <c r="A2" s="8" t="s">
        <v>20</v>
      </c>
      <c r="B2" s="8"/>
      <c r="C2" s="8"/>
      <c r="D2" s="8"/>
      <c r="E2" s="8"/>
      <c r="F2" s="8"/>
      <c r="G2" s="8"/>
    </row>
    <row r="3" spans="1:9" ht="19.5" x14ac:dyDescent="0.25">
      <c r="A3" s="9"/>
      <c r="B3" s="9"/>
      <c r="C3" s="9"/>
      <c r="D3" s="9"/>
      <c r="E3" s="9"/>
      <c r="F3" s="9"/>
      <c r="G3" s="9"/>
    </row>
    <row r="4" spans="1:9" x14ac:dyDescent="0.25">
      <c r="A4" s="10" t="s">
        <v>21</v>
      </c>
      <c r="B4" s="10"/>
      <c r="C4" s="10"/>
      <c r="D4" s="10"/>
      <c r="E4" s="10"/>
      <c r="F4" s="10"/>
      <c r="G4" s="10"/>
    </row>
    <row r="5" spans="1:9" x14ac:dyDescent="0.25">
      <c r="A5" s="10" t="s">
        <v>22</v>
      </c>
      <c r="B5" s="10"/>
      <c r="C5" s="10"/>
      <c r="D5" s="10"/>
      <c r="E5" s="10"/>
      <c r="F5" s="10"/>
      <c r="G5" s="10"/>
    </row>
    <row r="6" spans="1:9" x14ac:dyDescent="0.25">
      <c r="A6" s="4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6" t="s">
        <v>10</v>
      </c>
      <c r="G6" s="5" t="s">
        <v>11</v>
      </c>
    </row>
    <row r="7" spans="1:9" ht="30" customHeight="1" x14ac:dyDescent="0.25">
      <c r="A7" s="1" t="s">
        <v>12</v>
      </c>
      <c r="B7" s="1" t="s">
        <v>23</v>
      </c>
      <c r="C7" s="12" t="s">
        <v>0</v>
      </c>
      <c r="D7" s="3">
        <v>10</v>
      </c>
      <c r="E7" s="3">
        <f>F14</f>
        <v>656.52040000000011</v>
      </c>
      <c r="F7" s="3"/>
      <c r="G7" s="11"/>
    </row>
    <row r="8" spans="1:9" ht="30" customHeight="1" x14ac:dyDescent="0.25">
      <c r="A8" s="1">
        <v>1</v>
      </c>
      <c r="B8" s="1" t="s">
        <v>24</v>
      </c>
      <c r="C8" s="12" t="s">
        <v>0</v>
      </c>
      <c r="D8" s="3">
        <v>11.2</v>
      </c>
      <c r="E8" s="3">
        <v>375</v>
      </c>
      <c r="F8" s="3">
        <f>D8*E8</f>
        <v>4200</v>
      </c>
      <c r="G8" s="11"/>
    </row>
    <row r="9" spans="1:9" ht="30" customHeight="1" x14ac:dyDescent="0.25">
      <c r="A9" s="1">
        <v>2</v>
      </c>
      <c r="B9" s="1" t="s">
        <v>15</v>
      </c>
      <c r="C9" s="12" t="s">
        <v>0</v>
      </c>
      <c r="D9" s="3">
        <v>10</v>
      </c>
      <c r="E9" s="3">
        <v>195</v>
      </c>
      <c r="F9" s="3">
        <f t="shared" ref="F9:F11" si="0">D9*E9</f>
        <v>1950</v>
      </c>
      <c r="G9" s="11" t="s">
        <v>25</v>
      </c>
    </row>
    <row r="10" spans="1:9" ht="30" customHeight="1" x14ac:dyDescent="0.25">
      <c r="A10" s="1">
        <v>3</v>
      </c>
      <c r="B10" s="1" t="s">
        <v>16</v>
      </c>
      <c r="C10" s="12" t="s">
        <v>17</v>
      </c>
      <c r="D10" s="3">
        <v>0.8</v>
      </c>
      <c r="E10" s="3">
        <v>279.98</v>
      </c>
      <c r="F10" s="3">
        <f t="shared" si="0"/>
        <v>223.98400000000004</v>
      </c>
      <c r="G10" s="13" t="s">
        <v>27</v>
      </c>
    </row>
    <row r="11" spans="1:9" ht="30" customHeight="1" x14ac:dyDescent="0.25">
      <c r="A11" s="1">
        <v>4</v>
      </c>
      <c r="B11" s="1" t="s">
        <v>1</v>
      </c>
      <c r="C11" s="12" t="s">
        <v>26</v>
      </c>
      <c r="D11" s="3">
        <v>1</v>
      </c>
      <c r="E11" s="3">
        <v>191.22</v>
      </c>
      <c r="F11" s="3">
        <f t="shared" si="0"/>
        <v>191.22</v>
      </c>
      <c r="G11" s="13" t="s">
        <v>28</v>
      </c>
      <c r="I11">
        <f>SUM(F8:F10)*0.03</f>
        <v>191.21952000000002</v>
      </c>
    </row>
    <row r="12" spans="1:9" ht="30" customHeight="1" x14ac:dyDescent="0.25">
      <c r="A12" s="1"/>
      <c r="B12" s="7"/>
      <c r="C12" s="12"/>
      <c r="D12" s="3"/>
      <c r="E12" s="3"/>
      <c r="F12" s="3"/>
      <c r="G12" s="11"/>
    </row>
    <row r="13" spans="1:9" ht="30" customHeight="1" x14ac:dyDescent="0.25">
      <c r="A13" s="1"/>
      <c r="B13" s="1" t="s">
        <v>3</v>
      </c>
      <c r="C13" s="12" t="s">
        <v>0</v>
      </c>
      <c r="D13" s="3">
        <v>1</v>
      </c>
      <c r="E13" s="3"/>
      <c r="F13" s="3">
        <f>SUM(F8:F11)</f>
        <v>6565.2040000000006</v>
      </c>
      <c r="G13" s="11"/>
    </row>
    <row r="14" spans="1:9" ht="30" customHeight="1" x14ac:dyDescent="0.25">
      <c r="A14" s="1"/>
      <c r="B14" s="1" t="s">
        <v>4</v>
      </c>
      <c r="C14" s="12" t="s">
        <v>0</v>
      </c>
      <c r="D14" s="3"/>
      <c r="E14" s="3"/>
      <c r="F14" s="3">
        <f>F13/10</f>
        <v>656.52040000000011</v>
      </c>
      <c r="G14" s="1"/>
    </row>
  </sheetData>
  <mergeCells count="5">
    <mergeCell ref="A1:G1"/>
    <mergeCell ref="A2:G2"/>
    <mergeCell ref="A3:G3"/>
    <mergeCell ref="A4:G4"/>
    <mergeCell ref="A5:G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工作表1</vt:lpstr>
      <vt:lpstr>工作表2</vt:lpstr>
      <vt:lpstr>工作表2!Print_Area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Wei</dc:creator>
  <cp:lastModifiedBy>User</cp:lastModifiedBy>
  <cp:lastPrinted>2024-04-30T09:25:48Z</cp:lastPrinted>
  <dcterms:created xsi:type="dcterms:W3CDTF">2024-04-30T06:53:53Z</dcterms:created>
  <dcterms:modified xsi:type="dcterms:W3CDTF">2024-05-02T02:20:20Z</dcterms:modified>
</cp:coreProperties>
</file>