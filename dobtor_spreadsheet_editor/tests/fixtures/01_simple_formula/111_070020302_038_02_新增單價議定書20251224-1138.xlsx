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8CF549D-05FC-4689-B090-4A352D8688B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明細表" sheetId="1" r:id="rId1"/>
    <sheet name="空白表" sheetId="2" r:id="rId2"/>
  </sheets>
  <definedNames>
    <definedName name="_xlnm.Print_Area" localSheetId="0">明細表!$A$1:$E$32</definedName>
    <definedName name="_xlnm.Print_Titles" localSheetId="0">明細表!$1:$6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1" l="1"/>
  <c r="G34" i="1"/>
  <c r="G35" i="1"/>
</calcChain>
</file>

<file path=xl/sharedStrings.xml><?xml version="1.0" encoding="utf-8"?>
<sst xmlns="http://schemas.openxmlformats.org/spreadsheetml/2006/main" count="124" uniqueCount="79">
  <si>
    <t>新增單價議定書</t>
  </si>
  <si>
    <t>磺港溪再造C段護岸及步道整建工程(三合橋至奇岩抽水站)</t>
  </si>
  <si>
    <t>H-111-03-112077</t>
  </si>
  <si>
    <t>議價日期：</t>
  </si>
  <si>
    <t>項次</t>
  </si>
  <si>
    <t>議 定 項 目 及 說 明</t>
  </si>
  <si>
    <t>單位</t>
  </si>
  <si>
    <t>議定單價</t>
  </si>
  <si>
    <t>褐根病防治處理(植物保護，一般藥劑燻蒸處理)</t>
  </si>
  <si>
    <t>M2</t>
  </si>
  <si>
    <t xml:space="preserve">
</t>
  </si>
  <si>
    <t>烏心石，400≦樹高&lt;450cm，160cm≦樹幅&lt;180cm，8≦米高直徑&lt;10cm</t>
  </si>
  <si>
    <t>株</t>
  </si>
  <si>
    <t>光臘樹，450≦樹高&lt;500cm，220cm≦樹幅&lt;240cm，10≦米高直徑&lt;12cm</t>
  </si>
  <si>
    <t>戶外專用電腦噴繪輸出及彩色膠膜</t>
  </si>
  <si>
    <t>既有木作修復更新</t>
  </si>
  <si>
    <t>處</t>
  </si>
  <si>
    <t>園區內木作欄杆修整，含護木漆塗布</t>
  </si>
  <si>
    <t>工程效益宣導</t>
  </si>
  <si>
    <t>式</t>
  </si>
  <si>
    <t>紙莎草，30≦枝長&lt;40cm，寬度&lt;10cm</t>
  </si>
  <si>
    <t>磺港溪沖孔飾板，含加工、安裝</t>
  </si>
  <si>
    <t>座</t>
  </si>
  <si>
    <t>仿清水混凝土塗裝</t>
  </si>
  <si>
    <t>地工織物，抗沖蝕網，疊接施工</t>
  </si>
  <si>
    <t>鋼筋，植筋，D13mm，鑽孔(含空氣槍清孔)及化學藥劑</t>
  </si>
  <si>
    <t>孔</t>
  </si>
  <si>
    <t>鋼筋，植筋，D16mm，鑽孔(含空氣槍清孔)及化學藥劑</t>
  </si>
  <si>
    <t>汙水管線附屬工作，人孔蓋及蓋座，標稱直徑750mm，球狀石墨鑄鐵</t>
  </si>
  <si>
    <t>組</t>
  </si>
  <si>
    <t>12"排水鋼管，含埋設</t>
  </si>
  <si>
    <t>M</t>
  </si>
  <si>
    <t>白鶴芋，25≦高度&lt;30cm，20≦寬度&lt;25cm</t>
  </si>
  <si>
    <t>既有木棧橋鋪面更新，含護木漆塗布</t>
  </si>
  <si>
    <t>九重葛，120≦高度(枝長)&lt;150cm</t>
  </si>
  <si>
    <t>森氏紅淡比，250≦樹高&lt;300cm，160cm≦樹幅&lt;180cm，8≦米高直徑&lt;10cm</t>
  </si>
  <si>
    <t>番茉莉，50≦高度&lt;60cm，25≦寬度&lt;30cm</t>
  </si>
  <si>
    <t>標線，路線漆</t>
  </si>
  <si>
    <t>道路交通標誌牌面</t>
  </si>
  <si>
    <t>水位尺，含安裝</t>
  </si>
  <si>
    <t>彈性地墊、收邊更新，含既有地墊拆除、運棄</t>
  </si>
  <si>
    <t>既有棧道更新，含基礎鋼料更新</t>
  </si>
  <si>
    <t>水位計遷移費</t>
  </si>
  <si>
    <t xml:space="preserve">  臺 北 政 府 工 務 局 新 建 工 程 處</t>
  </si>
  <si>
    <t xml:space="preserve">   變更設計新增項目單價底價表</t>
  </si>
  <si>
    <t>工程名稱:</t>
  </si>
  <si>
    <t>項          目</t>
  </si>
  <si>
    <t>數  量</t>
  </si>
  <si>
    <t>預算單價</t>
  </si>
  <si>
    <t>核定底價</t>
  </si>
  <si>
    <t>備註</t>
  </si>
  <si>
    <t>臺北市政府工務局水利工程處</t>
    <phoneticPr fontId="3" type="noConversion"/>
  </si>
  <si>
    <t>1</t>
    <phoneticPr fontId="3" type="noConversion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</si>
  <si>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</si>
  <si>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</si>
  <si>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</si>
  <si>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</si>
  <si>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</si>
  <si>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</si>
  <si>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</si>
  <si>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</si>
  <si>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</si>
  <si>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</si>
  <si>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</si>
  <si>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</si>
  <si>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</si>
  <si>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</si>
  <si>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</si>
  <si>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</si>
  <si>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</si>
  <si>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</si>
  <si>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</si>
  <si>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</si>
  <si>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</si>
  <si>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</si>
  <si>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</si>
  <si>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</si>
  <si>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</si>
  <si>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舊的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</si>
</sst>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76" formatCode="#,##0.00_ "/>
    <numFmt numFmtId="177" formatCode="0_ "/>
    <numFmt numFmtId="178" formatCode="&quot;第&quot;General&quot;次修正契約&quot;"/>
    <numFmt numFmtId="179" formatCode="&quot;工程名稱：&quot;@"/>
    <numFmt numFmtId="180" formatCode="&quot;契約編號：&quot;@"/>
    <numFmt numFmtId="181" formatCode="[$-404]e&quot;年&quot;m&quot;月&quot;d&quot;日&quot;;@"/>
  </numFmts>
  <fonts count="9" x14ac:knownFonts="1">
    <font>
      <sz val="12"/>
      <name val="新細明體"/>
      <family val="1"/>
    </font>
    <font>
      <sz val="12"/>
      <name val="新細明體"/>
      <family val="1"/>
    </font>
    <font>
      <sz val="12"/>
      <name val="標楷體"/>
      <family val="4"/>
    </font>
    <font>
      <sz val="20"/>
      <name val="標楷體"/>
      <family val="4"/>
    </font>
    <font>
      <sz val="10"/>
      <name val="標楷體"/>
      <family val="4"/>
    </font>
    <font>
      <sz val="12"/>
      <name val="新細明體"/>
      <family val="1"/>
    </font>
    <font>
      <sz val="14"/>
      <name val="標楷體"/>
      <family val="4"/>
    </font>
    <font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43" fontId="1" fillId="0" borderId="0" applyFont="0" applyFill="0" applyBorder="0" applyAlignment="0" applyProtection="0">
      <alignment vertical="center"/>
    </xf>
  </cellStyleXfs>
  <cellXfs count="38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left" vertical="center" shrinkToFit="1"/>
    </xf>
    <xf numFmtId="177" fontId="8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vertical="center" wrapText="1"/>
    </xf>
    <xf numFmtId="0" fontId="4" fillId="0" borderId="1" xfId="0" applyNumberFormat="1" applyFont="1" applyFill="1" applyBorder="1" applyAlignment="1" applyProtection="1">
      <alignment horizontal="center" vertical="center" shrinkToFit="1"/>
    </xf>
    <xf numFmtId="176" fontId="8" fillId="0" borderId="1" xfId="0" applyNumberFormat="1" applyFont="1" applyFill="1" applyBorder="1" applyAlignment="1" applyProtection="1">
      <alignment horizontal="right" vertical="center" shrinkToFit="1"/>
    </xf>
    <xf numFmtId="0" fontId="2" fillId="0" borderId="1" xfId="0" applyNumberFormat="1" applyFont="1" applyFill="1" applyBorder="1" applyAlignment="1" applyProtection="1">
      <alignment horizontal="left" vertical="center" wrapText="1"/>
    </xf>
    <xf numFmtId="0" fontId="0" fillId="0" borderId="0" xfId="0" applyNumberFormat="1" applyFont="1" applyFill="1" applyBorder="1" applyAlignment="1" applyProtection="1">
      <alignment vertical="center" wrapText="1"/>
    </xf>
    <xf numFmtId="0" fontId="2" fillId="0" borderId="2" xfId="0" applyNumberFormat="1" applyFont="1" applyFill="1" applyBorder="1" applyAlignment="1" applyProtection="1">
      <alignment horizontal="left" vertical="center" shrinkToFit="1"/>
    </xf>
    <xf numFmtId="181" fontId="2" fillId="0" borderId="2" xfId="0" applyNumberFormat="1" applyFont="1" applyFill="1" applyBorder="1" applyAlignment="1" applyProtection="1">
      <alignment horizontal="left" vertical="center" shrinkToFit="1"/>
    </xf>
    <xf numFmtId="176" fontId="7" fillId="0" borderId="1" xfId="0" applyNumberFormat="1" applyFont="1" applyFill="1" applyBorder="1" applyAlignment="1" applyProtection="1">
      <alignment horizontal="right" vertical="center" shrinkToFit="1"/>
    </xf>
    <xf numFmtId="0" fontId="2" fillId="0" borderId="1" xfId="0" applyNumberFormat="1" applyFont="1" applyFill="1" applyBorder="1" applyAlignment="1" applyProtection="1">
      <alignment horizontal="center" vertical="center" shrinkToFit="1"/>
    </xf>
    <xf numFmtId="0" fontId="0" fillId="0" borderId="0" xfId="0" applyNumberFormat="1" applyFont="1" applyFill="1" applyBorder="1" applyAlignment="1" applyProtection="1">
      <alignment horizontal="left" vertical="center" shrinkToFit="1"/>
    </xf>
    <xf numFmtId="176" fontId="2" fillId="0" borderId="1" xfId="0" applyNumberFormat="1" applyFont="1" applyFill="1" applyBorder="1" applyAlignment="1" applyProtection="1">
      <alignment horizontal="center" vertical="center" shrinkToFit="1"/>
    </xf>
    <xf numFmtId="176" fontId="0" fillId="0" borderId="0" xfId="0" applyNumberFormat="1" applyFont="1" applyFill="1" applyBorder="1" applyAlignment="1" applyProtection="1">
      <alignment vertical="center"/>
    </xf>
    <xf numFmtId="43" fontId="0" fillId="0" borderId="0" xfId="2" applyFont="1" applyFill="1" applyBorder="1" applyAlignment="1" applyProtection="1">
      <alignment vertical="center"/>
    </xf>
    <xf numFmtId="176" fontId="7" fillId="0" borderId="1" xfId="0" applyNumberFormat="1" applyFont="1" applyBorder="1" applyAlignment="1">
      <alignment horizontal="right" vertical="center" shrinkToFit="1"/>
    </xf>
    <xf numFmtId="177" fontId="7" fillId="0" borderId="1" xfId="0" quotePrefix="1" applyNumberFormat="1" applyFont="1" applyFill="1" applyBorder="1" applyAlignment="1" applyProtection="1">
      <alignment horizontal="center" vertical="center" wrapText="1"/>
    </xf>
    <xf numFmtId="0" fontId="6" fillId="0" borderId="0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center" vertical="center" shrinkToFit="1"/>
    </xf>
    <xf numFmtId="0" fontId="0" fillId="0" borderId="0" xfId="0" applyNumberFormat="1" applyFont="1" applyFill="1" applyBorder="1" applyAlignment="1" applyProtection="1">
      <alignment horizontal="center" vertical="center" shrinkToFit="1"/>
    </xf>
    <xf numFmtId="179" fontId="2" fillId="0" borderId="0" xfId="0" applyNumberFormat="1" applyFont="1" applyFill="1" applyBorder="1" applyAlignment="1" applyProtection="1">
      <alignment horizontal="left" vertical="center" wrapText="1"/>
    </xf>
    <xf numFmtId="179" fontId="0" fillId="0" borderId="0" xfId="0" applyNumberFormat="1" applyFont="1" applyFill="1" applyBorder="1" applyAlignment="1" applyProtection="1">
      <alignment horizontal="left" vertical="center" wrapText="1"/>
    </xf>
    <xf numFmtId="180" fontId="2" fillId="0" borderId="2" xfId="0" applyNumberFormat="1" applyFont="1" applyFill="1" applyBorder="1" applyAlignment="1" applyProtection="1">
      <alignment horizontal="left" vertical="center" shrinkToFit="1"/>
    </xf>
    <xf numFmtId="180" fontId="0" fillId="0" borderId="2" xfId="0" applyNumberFormat="1" applyFont="1" applyFill="1" applyBorder="1" applyAlignment="1" applyProtection="1">
      <alignment horizontal="left" vertical="center" shrinkToFit="1"/>
    </xf>
    <xf numFmtId="178" fontId="2" fillId="0" borderId="0" xfId="1" applyNumberFormat="1" applyFont="1" applyFill="1" applyBorder="1" applyAlignment="1" applyProtection="1">
      <alignment horizontal="left" vertical="center" shrinkToFit="1"/>
    </xf>
    <xf numFmtId="0" fontId="0" fillId="0" borderId="0" xfId="0" applyNumberFormat="1" applyFont="1" applyFill="1" applyBorder="1" applyAlignment="1" applyProtection="1">
      <alignment horizontal="left" vertical="center" shrinkToFit="1"/>
    </xf>
    <xf numFmtId="0" fontId="2" fillId="0" borderId="0" xfId="0" applyNumberFormat="1" applyFont="1" applyFill="1" applyBorder="1" applyAlignment="1" applyProtection="1">
      <alignment horizontal="right" vertical="center" wrapText="1"/>
    </xf>
    <xf numFmtId="0" fontId="5" fillId="0" borderId="0" xfId="0" applyNumberFormat="1" applyFont="1" applyFill="1" applyBorder="1" applyAlignment="1" applyProtection="1">
      <alignment horizontal="right" vertical="center" wrapText="1"/>
    </xf>
    <xf numFmtId="0" fontId="5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left" vertical="center" shrinkToFit="1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vertical="center" wrapText="1"/>
    </xf>
    <xf numFmtId="0" fontId="0" fillId="0" borderId="0" xfId="0" applyNumberFormat="1" applyFont="1" applyFill="1" applyBorder="1" applyAlignment="1" applyProtection="1">
      <alignment vertical="center"/>
    </xf>
  </cellXfs>
  <cellStyles count="3">
    <cellStyle name="一般" xfId="0" builtinId="0"/>
    <cellStyle name="一般_流程管制表_復北機場穿越" xfId="1" xr:uid="{00000000-0005-0000-0000-000001000000}"/>
    <cellStyle name="千分位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"/>
  <sheetViews>
    <sheetView tabSelected="1" view="pageBreakPreview" topLeftCell="A15" zoomScaleNormal="100" zoomScaleSheetLayoutView="100" workbookViewId="0">
      <selection activeCell="G31" sqref="G31"/>
    </sheetView>
  </sheetViews>
  <sheetFormatPr defaultRowHeight="16.5" x14ac:dyDescent="0.25"/>
  <cols>
    <col min="1" max="1" width="4.375" style="1" customWidth="1"/>
    <col min="2" max="2" width="60.375" style="1" customWidth="1"/>
    <col min="3" max="3" width="8.375" style="1" customWidth="1"/>
    <col min="4" max="4" width="10.5" style="1" customWidth="1"/>
    <col min="5" max="5" width="0.625" style="1" customWidth="1"/>
    <col min="7" max="7" width="13.625" bestFit="1" customWidth="1"/>
  </cols>
  <sheetData>
    <row r="1" spans="1:7" ht="26.25" customHeight="1" x14ac:dyDescent="0.25">
      <c r="A1" s="23" t="s">
        <v>51</v>
      </c>
      <c r="B1" s="23"/>
      <c r="C1" s="23"/>
      <c r="D1" s="24"/>
    </row>
    <row r="2" spans="1:7" ht="21.75" customHeight="1" x14ac:dyDescent="0.25">
      <c r="A2" s="21" t="s">
        <v>0</v>
      </c>
      <c r="B2" s="22"/>
      <c r="C2" s="22"/>
      <c r="D2" s="22"/>
    </row>
    <row r="3" spans="1:7" ht="16.5" customHeight="1" x14ac:dyDescent="0.25">
      <c r="A3" s="25" t="s">
        <v>1</v>
      </c>
      <c r="B3" s="26"/>
      <c r="C3" s="26"/>
      <c r="D3" s="29">
        <v>5</v>
      </c>
      <c r="E3" s="15"/>
    </row>
    <row r="4" spans="1:7" ht="13.5" customHeight="1" x14ac:dyDescent="0.25">
      <c r="A4" s="26"/>
      <c r="B4" s="26"/>
      <c r="C4" s="26"/>
      <c r="D4" s="30"/>
      <c r="E4" s="15"/>
    </row>
    <row r="5" spans="1:7" ht="22.5" customHeight="1" x14ac:dyDescent="0.25">
      <c r="A5" s="27" t="s">
        <v>2</v>
      </c>
      <c r="B5" s="28"/>
      <c r="C5" s="11" t="s">
        <v>3</v>
      </c>
      <c r="D5" s="12">
        <v>46001</v>
      </c>
    </row>
    <row r="6" spans="1:7" ht="22.5" customHeight="1" x14ac:dyDescent="0.25">
      <c r="A6" s="2" t="s">
        <v>4</v>
      </c>
      <c r="B6" s="2" t="s">
        <v>5</v>
      </c>
      <c r="C6" s="3" t="s">
        <v>6</v>
      </c>
      <c r="D6" s="14" t="s">
        <v>7</v>
      </c>
      <c r="F6" t="s">
        <v>78</v>
      </c>
    </row>
    <row r="7" spans="1:7" ht="26.25" customHeight="1" x14ac:dyDescent="0.25">
      <c r="A7" s="20" t="s">
        <v>52</v>
      </c>
      <c r="B7" s="9" t="s">
        <v>8</v>
      </c>
      <c r="C7" s="16" t="s">
        <v>9</v>
      </c>
      <c r="D7" s="13">
        <v>1440.2</v>
      </c>
      <c r="E7" s="10" t="s">
        <v>10</v>
      </c>
      <c r="F7" s="19">
        <v>1440.2</v>
      </c>
      <c r="G7" s="17"/>
    </row>
    <row r="8" spans="1:7" ht="26.25" customHeight="1" x14ac:dyDescent="0.25">
      <c r="A8" s="20" t="s">
        <v>53</v>
      </c>
      <c r="B8" s="9" t="s">
        <v>11</v>
      </c>
      <c r="C8" s="16" t="s">
        <v>12</v>
      </c>
      <c r="D8" s="13">
        <v>7004.32</v>
      </c>
      <c r="E8" s="10" t="s">
        <v>10</v>
      </c>
      <c r="F8" s="19">
        <v>7004.32</v>
      </c>
      <c r="G8" s="17"/>
    </row>
    <row r="9" spans="1:7" ht="26.25" customHeight="1" x14ac:dyDescent="0.25">
      <c r="A9" s="20" t="s">
        <v>54</v>
      </c>
      <c r="B9" s="9" t="s">
        <v>13</v>
      </c>
      <c r="C9" s="16" t="s">
        <v>12</v>
      </c>
      <c r="D9" s="13">
        <v>12439.58</v>
      </c>
      <c r="E9" s="10" t="s">
        <v>10</v>
      </c>
      <c r="F9" s="19">
        <v>699610.18</v>
      </c>
      <c r="G9" s="17"/>
    </row>
    <row r="10" spans="1:7" ht="26.25" customHeight="1" x14ac:dyDescent="0.25">
      <c r="A10" s="20" t="s">
        <v>55</v>
      </c>
      <c r="B10" s="9" t="s">
        <v>14</v>
      </c>
      <c r="C10" s="16" t="s">
        <v>9</v>
      </c>
      <c r="D10" s="13">
        <v>4197.71</v>
      </c>
      <c r="E10" s="10" t="s">
        <v>10</v>
      </c>
      <c r="F10" s="19">
        <v>12439.58</v>
      </c>
      <c r="G10" s="17"/>
    </row>
    <row r="11" spans="1:7" ht="26.25" customHeight="1" x14ac:dyDescent="0.25">
      <c r="A11" s="20" t="s">
        <v>56</v>
      </c>
      <c r="B11" s="9" t="s">
        <v>15</v>
      </c>
      <c r="C11" s="16" t="s">
        <v>16</v>
      </c>
      <c r="D11" s="13">
        <v>5538.71</v>
      </c>
      <c r="E11" s="10" t="s">
        <v>10</v>
      </c>
      <c r="F11" s="19">
        <v>140.87</v>
      </c>
      <c r="G11" s="17"/>
    </row>
    <row r="12" spans="1:7" ht="26.25" customHeight="1" x14ac:dyDescent="0.25">
      <c r="A12" s="20" t="s">
        <v>57</v>
      </c>
      <c r="B12" s="9" t="s">
        <v>17</v>
      </c>
      <c r="C12" s="16" t="s">
        <v>9</v>
      </c>
      <c r="D12" s="13">
        <v>531.67999999999995</v>
      </c>
      <c r="E12" s="10" t="s">
        <v>10</v>
      </c>
      <c r="F12" s="19">
        <v>351780.87</v>
      </c>
      <c r="G12" s="17"/>
    </row>
    <row r="13" spans="1:7" ht="26.25" customHeight="1" x14ac:dyDescent="0.25">
      <c r="A13" s="20" t="s">
        <v>58</v>
      </c>
      <c r="B13" s="9" t="s">
        <v>18</v>
      </c>
      <c r="C13" s="16" t="s">
        <v>19</v>
      </c>
      <c r="D13" s="13">
        <v>699610.18</v>
      </c>
      <c r="E13" s="10" t="s">
        <v>10</v>
      </c>
      <c r="F13" s="19">
        <v>4197.71</v>
      </c>
      <c r="G13" s="17"/>
    </row>
    <row r="14" spans="1:7" ht="26.25" customHeight="1" x14ac:dyDescent="0.25">
      <c r="A14" s="20" t="s">
        <v>59</v>
      </c>
      <c r="B14" s="9" t="s">
        <v>20</v>
      </c>
      <c r="C14" s="16" t="s">
        <v>12</v>
      </c>
      <c r="D14" s="13">
        <v>140.87</v>
      </c>
      <c r="E14" s="10" t="s">
        <v>10</v>
      </c>
      <c r="F14" s="19">
        <v>5538.71</v>
      </c>
      <c r="G14" s="17"/>
    </row>
    <row r="15" spans="1:7" ht="26.25" customHeight="1" x14ac:dyDescent="0.25">
      <c r="A15" s="20" t="s">
        <v>60</v>
      </c>
      <c r="B15" s="9" t="s">
        <v>21</v>
      </c>
      <c r="C15" s="16" t="s">
        <v>22</v>
      </c>
      <c r="D15" s="13">
        <v>351780.87</v>
      </c>
      <c r="E15" s="10" t="s">
        <v>10</v>
      </c>
      <c r="F15" s="19">
        <v>111.36</v>
      </c>
      <c r="G15" s="17"/>
    </row>
    <row r="16" spans="1:7" ht="26.25" customHeight="1" x14ac:dyDescent="0.25">
      <c r="A16" s="20" t="s">
        <v>61</v>
      </c>
      <c r="B16" s="9" t="s">
        <v>23</v>
      </c>
      <c r="C16" s="16" t="s">
        <v>9</v>
      </c>
      <c r="D16" s="13">
        <v>3425.12</v>
      </c>
      <c r="E16" s="10" t="s">
        <v>10</v>
      </c>
      <c r="F16" s="19">
        <v>531.67999999999995</v>
      </c>
      <c r="G16" s="17"/>
    </row>
    <row r="17" spans="1:7" ht="26.25" customHeight="1" x14ac:dyDescent="0.25">
      <c r="A17" s="20" t="s">
        <v>62</v>
      </c>
      <c r="B17" s="9" t="s">
        <v>24</v>
      </c>
      <c r="C17" s="16" t="s">
        <v>9</v>
      </c>
      <c r="D17" s="13">
        <v>613.54</v>
      </c>
      <c r="E17" s="10" t="s">
        <v>10</v>
      </c>
      <c r="F17" s="19">
        <v>5901.08</v>
      </c>
      <c r="G17" s="17"/>
    </row>
    <row r="18" spans="1:7" ht="26.25" customHeight="1" x14ac:dyDescent="0.25">
      <c r="A18" s="20" t="s">
        <v>63</v>
      </c>
      <c r="B18" s="9" t="s">
        <v>25</v>
      </c>
      <c r="C18" s="16" t="s">
        <v>26</v>
      </c>
      <c r="D18" s="13">
        <v>51.97</v>
      </c>
      <c r="E18" s="10" t="s">
        <v>10</v>
      </c>
      <c r="F18" s="19">
        <v>129.9</v>
      </c>
      <c r="G18" s="17"/>
    </row>
    <row r="19" spans="1:7" ht="26.25" customHeight="1" x14ac:dyDescent="0.25">
      <c r="A19" s="20" t="s">
        <v>64</v>
      </c>
      <c r="B19" s="9" t="s">
        <v>27</v>
      </c>
      <c r="C19" s="16" t="s">
        <v>26</v>
      </c>
      <c r="D19" s="13">
        <v>94.95</v>
      </c>
      <c r="E19" s="10" t="s">
        <v>10</v>
      </c>
      <c r="F19" s="19">
        <v>415.6</v>
      </c>
      <c r="G19" s="17"/>
    </row>
    <row r="20" spans="1:7" ht="26.25" customHeight="1" x14ac:dyDescent="0.25">
      <c r="A20" s="20" t="s">
        <v>65</v>
      </c>
      <c r="B20" s="9" t="s">
        <v>28</v>
      </c>
      <c r="C20" s="16" t="s">
        <v>29</v>
      </c>
      <c r="D20" s="13">
        <v>29623.84</v>
      </c>
      <c r="E20" s="10" t="s">
        <v>10</v>
      </c>
      <c r="F20" s="19">
        <v>3425.12</v>
      </c>
      <c r="G20" s="17"/>
    </row>
    <row r="21" spans="1:7" ht="26.25" customHeight="1" x14ac:dyDescent="0.25">
      <c r="A21" s="20" t="s">
        <v>66</v>
      </c>
      <c r="B21" s="9" t="s">
        <v>30</v>
      </c>
      <c r="C21" s="16" t="s">
        <v>31</v>
      </c>
      <c r="D21" s="13">
        <v>3847.9</v>
      </c>
      <c r="E21" s="10" t="s">
        <v>10</v>
      </c>
      <c r="F21" s="19">
        <v>613.54</v>
      </c>
      <c r="G21" s="17"/>
    </row>
    <row r="22" spans="1:7" ht="26.25" customHeight="1" x14ac:dyDescent="0.25">
      <c r="A22" s="20" t="s">
        <v>67</v>
      </c>
      <c r="B22" s="9" t="s">
        <v>32</v>
      </c>
      <c r="C22" s="16" t="s">
        <v>12</v>
      </c>
      <c r="D22" s="13">
        <v>111.36</v>
      </c>
      <c r="E22" s="10" t="s">
        <v>10</v>
      </c>
      <c r="F22" s="19">
        <v>51.97</v>
      </c>
      <c r="G22" s="17"/>
    </row>
    <row r="23" spans="1:7" ht="26.25" customHeight="1" x14ac:dyDescent="0.25">
      <c r="A23" s="20" t="s">
        <v>68</v>
      </c>
      <c r="B23" s="9" t="s">
        <v>33</v>
      </c>
      <c r="C23" s="16" t="s">
        <v>9</v>
      </c>
      <c r="D23" s="13">
        <v>11572.12</v>
      </c>
      <c r="E23" s="10" t="s">
        <v>10</v>
      </c>
      <c r="F23" s="19">
        <v>94.95</v>
      </c>
      <c r="G23" s="17"/>
    </row>
    <row r="24" spans="1:7" ht="26.25" customHeight="1" x14ac:dyDescent="0.25">
      <c r="A24" s="20" t="s">
        <v>69</v>
      </c>
      <c r="B24" s="9" t="s">
        <v>34</v>
      </c>
      <c r="C24" s="16" t="s">
        <v>12</v>
      </c>
      <c r="D24" s="13">
        <v>415.6</v>
      </c>
      <c r="E24" s="10" t="s">
        <v>10</v>
      </c>
      <c r="F24" s="19">
        <v>29623.84</v>
      </c>
      <c r="G24" s="17"/>
    </row>
    <row r="25" spans="1:7" ht="26.25" customHeight="1" x14ac:dyDescent="0.25">
      <c r="A25" s="20" t="s">
        <v>70</v>
      </c>
      <c r="B25" s="9" t="s">
        <v>35</v>
      </c>
      <c r="C25" s="16" t="s">
        <v>12</v>
      </c>
      <c r="D25" s="13">
        <v>5901.08</v>
      </c>
      <c r="E25" s="10" t="s">
        <v>10</v>
      </c>
      <c r="F25" s="19">
        <v>3847.9</v>
      </c>
      <c r="G25" s="17"/>
    </row>
    <row r="26" spans="1:7" ht="26.25" customHeight="1" x14ac:dyDescent="0.25">
      <c r="A26" s="20" t="s">
        <v>71</v>
      </c>
      <c r="B26" s="9" t="s">
        <v>36</v>
      </c>
      <c r="C26" s="16" t="s">
        <v>12</v>
      </c>
      <c r="D26" s="13">
        <v>129.9</v>
      </c>
      <c r="E26" s="10" t="s">
        <v>10</v>
      </c>
      <c r="F26" s="19">
        <v>299</v>
      </c>
      <c r="G26" s="17"/>
    </row>
    <row r="27" spans="1:7" ht="26.25" customHeight="1" x14ac:dyDescent="0.25">
      <c r="A27" s="20" t="s">
        <v>72</v>
      </c>
      <c r="B27" s="9" t="s">
        <v>37</v>
      </c>
      <c r="C27" s="16" t="s">
        <v>9</v>
      </c>
      <c r="D27" s="13">
        <v>299.83999999999997</v>
      </c>
      <c r="E27" s="10" t="s">
        <v>10</v>
      </c>
      <c r="F27" s="19">
        <v>3989.39</v>
      </c>
      <c r="G27" s="17"/>
    </row>
    <row r="28" spans="1:7" ht="26.25" customHeight="1" x14ac:dyDescent="0.25">
      <c r="A28" s="20" t="s">
        <v>73</v>
      </c>
      <c r="B28" s="9" t="s">
        <v>38</v>
      </c>
      <c r="C28" s="16" t="s">
        <v>29</v>
      </c>
      <c r="D28" s="13">
        <v>3989.39</v>
      </c>
      <c r="E28" s="10" t="s">
        <v>10</v>
      </c>
      <c r="F28" s="19">
        <v>42939.67</v>
      </c>
      <c r="G28" s="17"/>
    </row>
    <row r="29" spans="1:7" ht="26.25" customHeight="1" x14ac:dyDescent="0.25">
      <c r="A29" s="20" t="s">
        <v>74</v>
      </c>
      <c r="B29" s="9" t="s">
        <v>39</v>
      </c>
      <c r="C29" s="16" t="s">
        <v>22</v>
      </c>
      <c r="D29" s="13">
        <v>42939.67</v>
      </c>
      <c r="E29" s="10" t="s">
        <v>10</v>
      </c>
      <c r="F29" s="19">
        <v>230664.64</v>
      </c>
      <c r="G29" s="17"/>
    </row>
    <row r="30" spans="1:7" ht="26.25" customHeight="1" x14ac:dyDescent="0.25">
      <c r="A30" s="20" t="s">
        <v>75</v>
      </c>
      <c r="B30" s="9" t="s">
        <v>40</v>
      </c>
      <c r="C30" s="16" t="s">
        <v>22</v>
      </c>
      <c r="D30" s="13">
        <v>230664.64</v>
      </c>
      <c r="E30" s="10" t="s">
        <v>10</v>
      </c>
      <c r="F30" s="19">
        <v>15626.63</v>
      </c>
      <c r="G30" s="17"/>
    </row>
    <row r="31" spans="1:7" ht="26.25" customHeight="1" x14ac:dyDescent="0.25">
      <c r="A31" s="20" t="s">
        <v>76</v>
      </c>
      <c r="B31" s="9" t="s">
        <v>41</v>
      </c>
      <c r="C31" s="16" t="s">
        <v>9</v>
      </c>
      <c r="D31" s="13">
        <v>15626.63</v>
      </c>
      <c r="E31" s="10" t="s">
        <v>10</v>
      </c>
      <c r="F31" s="19">
        <v>86472.83</v>
      </c>
      <c r="G31" s="17"/>
    </row>
    <row r="32" spans="1:7" ht="26.25" customHeight="1" x14ac:dyDescent="0.25">
      <c r="A32" s="20" t="s">
        <v>77</v>
      </c>
      <c r="B32" s="9" t="s">
        <v>42</v>
      </c>
      <c r="C32" s="16" t="s">
        <v>19</v>
      </c>
      <c r="D32" s="13">
        <v>86472.83</v>
      </c>
      <c r="E32" s="10" t="s">
        <v>10</v>
      </c>
      <c r="F32" s="19">
        <v>11572.12</v>
      </c>
    </row>
    <row r="33" spans="7:7" ht="21.75" customHeight="1" x14ac:dyDescent="0.25">
      <c r="G33" s="17">
        <f>SUM(F6:F32)</f>
        <v>1518463.6600000001</v>
      </c>
    </row>
    <row r="34" spans="7:7" ht="16.5" customHeight="1" x14ac:dyDescent="0.25">
      <c r="G34" s="17">
        <f>SUM(D7:D32)</f>
        <v>1518464.5000000005</v>
      </c>
    </row>
    <row r="35" spans="7:7" ht="13.5" customHeight="1" x14ac:dyDescent="0.25">
      <c r="G35" s="18">
        <f>G34-G33</f>
        <v>0.84000000031664968</v>
      </c>
    </row>
    <row r="36" spans="7:7" ht="22.5" customHeight="1" x14ac:dyDescent="0.25"/>
    <row r="37" spans="7:7" ht="22.5" customHeight="1" x14ac:dyDescent="0.25"/>
    <row r="38" spans="7:7" ht="24" customHeight="1" x14ac:dyDescent="0.25"/>
    <row r="39" spans="7:7" ht="24" customHeight="1" x14ac:dyDescent="0.25"/>
    <row r="40" spans="7:7" ht="26.25" customHeight="1" x14ac:dyDescent="0.25"/>
    <row r="41" spans="7:7" ht="26.25" customHeight="1" x14ac:dyDescent="0.25"/>
    <row r="42" spans="7:7" ht="26.25" customHeight="1" x14ac:dyDescent="0.25"/>
    <row r="43" spans="7:7" ht="26.25" customHeight="1" x14ac:dyDescent="0.25"/>
    <row r="44" spans="7:7" ht="26.25" customHeight="1" x14ac:dyDescent="0.25"/>
    <row r="45" spans="7:7" ht="26.25" customHeight="1" x14ac:dyDescent="0.25"/>
    <row r="46" spans="7:7" ht="26.25" customHeight="1" x14ac:dyDescent="0.25"/>
    <row r="47" spans="7:7" ht="26.25" customHeight="1" x14ac:dyDescent="0.25"/>
    <row r="48" spans="7:7" ht="26.25" customHeight="1" x14ac:dyDescent="0.25"/>
    <row r="49" ht="26.25" customHeight="1" x14ac:dyDescent="0.25"/>
    <row r="50" ht="26.25" customHeight="1" x14ac:dyDescent="0.25"/>
    <row r="51" ht="26.25" customHeight="1" x14ac:dyDescent="0.25"/>
    <row r="52" ht="26.25" customHeight="1" x14ac:dyDescent="0.25"/>
    <row r="53" ht="26.25" customHeight="1" x14ac:dyDescent="0.25"/>
    <row r="54" ht="26.25" customHeight="1" x14ac:dyDescent="0.25"/>
    <row r="55" ht="26.25" customHeight="1" x14ac:dyDescent="0.25"/>
    <row r="56" ht="26.25" customHeight="1" x14ac:dyDescent="0.25"/>
    <row r="57" ht="26.25" customHeight="1" x14ac:dyDescent="0.25"/>
    <row r="58" ht="26.25" customHeight="1" x14ac:dyDescent="0.25"/>
    <row r="59" ht="26.25" customHeight="1" x14ac:dyDescent="0.25"/>
    <row r="60" ht="26.25" customHeight="1" x14ac:dyDescent="0.25"/>
    <row r="61" ht="26.25" customHeight="1" x14ac:dyDescent="0.25"/>
    <row r="62" ht="26.25" customHeight="1" x14ac:dyDescent="0.25"/>
    <row r="63" ht="26.25" customHeight="1" x14ac:dyDescent="0.25"/>
    <row r="64" ht="26.25" customHeight="1" x14ac:dyDescent="0.25"/>
    <row r="65" ht="26.25" customHeight="1" x14ac:dyDescent="0.25"/>
    <row r="66" ht="26.25" customHeight="1" x14ac:dyDescent="0.25"/>
    <row r="67" ht="26.25" customHeight="1" x14ac:dyDescent="0.25"/>
  </sheetData>
  <sheetProtection formatCells="0" formatColumns="0" formatRows="0" insertRows="0" deleteRows="0" sort="0" autoFilter="0"/>
  <mergeCells count="5">
    <mergeCell ref="A2:D2"/>
    <mergeCell ref="A1:D1"/>
    <mergeCell ref="A3:C4"/>
    <mergeCell ref="A5:B5"/>
    <mergeCell ref="D3:D4"/>
  </mergeCells>
  <phoneticPr fontId="3" type="noConversion"/>
  <printOptions horizontalCentered="1"/>
  <pageMargins left="0.82677165354330717" right="0.74803149606299213" top="0.59055118110236227" bottom="3.7007874015748032" header="0.51181102362204722" footer="0.51181102362204722"/>
  <pageSetup paperSize="9" orientation="portrait" r:id="rId1"/>
  <headerFooter scaleWithDoc="0">
    <oddHeader>&amp;C&amp;G&amp;R&amp;"標楷體,標準"&amp;10第 &amp;P 頁，共 &amp;N 頁</oddHeader>
    <oddFooter xml:space="preserve">&amp;L&amp;"標楷體,標準"&amp;16      
&amp;12　機關名稱:臺北市政府工務局水利工程處
&amp;16
&amp;12
　廠商名稱:瑞健營造有限公司
　地  址:新北市板橋區重慶路276之5號3樓
　負責人:孫瑞均
&amp;C&amp;G&amp;R
&amp;"標楷體,標準"廠商印章　　負責人印章&amp;"新細明體,標準" 
 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>
      <selection activeCell="D6" sqref="D6:F6"/>
    </sheetView>
  </sheetViews>
  <sheetFormatPr defaultRowHeight="16.5" x14ac:dyDescent="0.25"/>
  <cols>
    <col min="1" max="1" width="5.375" style="1" customWidth="1"/>
    <col min="2" max="2" width="34.75" style="1" customWidth="1"/>
    <col min="3" max="3" width="6" style="1" customWidth="1"/>
    <col min="4" max="6" width="9.625" style="1" customWidth="1"/>
    <col min="7" max="7" width="13.25" style="1" customWidth="1"/>
    <col min="8" max="8" width="0.5" style="1" customWidth="1"/>
  </cols>
  <sheetData>
    <row r="1" spans="1:7" ht="33.75" customHeight="1" x14ac:dyDescent="0.25">
      <c r="A1" s="35" t="s">
        <v>43</v>
      </c>
      <c r="B1" s="35"/>
      <c r="C1" s="35"/>
      <c r="D1" s="35"/>
      <c r="E1" s="35"/>
      <c r="F1" s="35"/>
      <c r="G1" s="36"/>
    </row>
    <row r="2" spans="1:7" ht="31.5" customHeight="1" x14ac:dyDescent="0.25">
      <c r="A2" s="21" t="s">
        <v>44</v>
      </c>
      <c r="B2" s="21"/>
      <c r="C2" s="21"/>
      <c r="D2" s="21"/>
      <c r="E2" s="21"/>
      <c r="F2" s="21"/>
      <c r="G2" s="37"/>
    </row>
    <row r="3" spans="1:7" ht="21" customHeight="1" x14ac:dyDescent="0.25">
      <c r="A3" s="34" t="s">
        <v>45</v>
      </c>
      <c r="B3" s="30"/>
      <c r="C3" s="30"/>
      <c r="D3" s="30"/>
      <c r="E3" s="30"/>
      <c r="F3" s="30"/>
      <c r="G3" s="30"/>
    </row>
    <row r="4" spans="1:7" ht="22.5" customHeight="1" x14ac:dyDescent="0.25">
      <c r="A4" s="4"/>
      <c r="B4" s="4"/>
      <c r="C4" s="33"/>
      <c r="D4" s="33"/>
      <c r="E4" s="33"/>
      <c r="F4" s="31"/>
      <c r="G4" s="32"/>
    </row>
    <row r="5" spans="1:7" x14ac:dyDescent="0.25">
      <c r="A5" s="2" t="s">
        <v>4</v>
      </c>
      <c r="B5" s="2" t="s">
        <v>46</v>
      </c>
      <c r="C5" s="3" t="s">
        <v>6</v>
      </c>
      <c r="D5" s="3" t="s">
        <v>47</v>
      </c>
      <c r="E5" s="3" t="s">
        <v>48</v>
      </c>
      <c r="F5" s="2" t="s">
        <v>49</v>
      </c>
      <c r="G5" s="3" t="s">
        <v>50</v>
      </c>
    </row>
    <row r="6" spans="1:7" ht="33" customHeight="1" x14ac:dyDescent="0.25">
      <c r="A6" s="5"/>
      <c r="B6" s="6"/>
      <c r="C6" s="7"/>
      <c r="D6" s="8"/>
      <c r="E6" s="8"/>
      <c r="F6" s="8"/>
      <c r="G6" s="6"/>
    </row>
    <row r="7" spans="1:7" ht="33" customHeight="1" x14ac:dyDescent="0.25">
      <c r="A7" s="5"/>
      <c r="B7" s="6"/>
      <c r="C7" s="7"/>
      <c r="D7" s="8"/>
      <c r="E7" s="8"/>
      <c r="F7" s="8"/>
      <c r="G7" s="6"/>
    </row>
  </sheetData>
  <sheetProtection password="9BD4" sheet="1" formatCells="0" formatColumns="0" formatRows="0" insertRows="0" deleteRows="0" sort="0" autoFilter="0"/>
  <mergeCells count="5">
    <mergeCell ref="F4:G4"/>
    <mergeCell ref="C4:E4"/>
    <mergeCell ref="A3:G3"/>
    <mergeCell ref="A1:G1"/>
    <mergeCell ref="A2:G2"/>
  </mergeCells>
  <phoneticPr fontId="3" type="noConversion"/>
  <printOptions horizontalCentered="1"/>
  <pageMargins left="0.59055118110236227" right="0.59055118110236227" top="0.59055118110236227" bottom="0.59055118110236227" header="0.51181102362204722" footer="0.51181102362204722"/>
  <pageSetup paperSize="9" orientation="portrait"/>
  <headerFooter alignWithMargins="0"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明細表</vt:lpstr>
      <vt:lpstr>空白表</vt:lpstr>
      <vt:lpstr>明細表!Print_Area</vt:lpstr>
      <vt:lpstr>明細表!Print_Titles</vt:lpstr>
    </vt:vector>
  </TitlesOfParts>
  <Company>KDTC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User</cp:lastModifiedBy>
  <cp:lastPrinted>2025-12-24T03:56:41Z</cp:lastPrinted>
  <dcterms:created xsi:type="dcterms:W3CDTF">2006-04-05T16:06:48Z</dcterms:created>
  <dcterms:modified xsi:type="dcterms:W3CDTF">2025-12-24T04:20:47Z</dcterms:modified>
</cp:coreProperties>
</file>