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iyu\Documents\工作\8月\0815\磺港溪南標測量_114.08.06\成果\B標\"/>
    </mc:Choice>
  </mc:AlternateContent>
  <xr:revisionPtr revIDLastSave="0" documentId="13_ncr:1_{BA70BE4F-81EF-424F-A767-0348CE7DD2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幹線匯入範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U2" i="1" s="1"/>
  <c r="T2" i="1"/>
  <c r="V2" i="1" s="1"/>
  <c r="Z2" i="1" l="1"/>
  <c r="Y2" i="1"/>
  <c r="R2" i="1"/>
  <c r="O2" i="1"/>
</calcChain>
</file>

<file path=xl/sharedStrings.xml><?xml version="1.0" encoding="utf-8"?>
<sst xmlns="http://schemas.openxmlformats.org/spreadsheetml/2006/main" count="52" uniqueCount="44">
  <si>
    <t>上游人孔編號</t>
  </si>
  <si>
    <t>下游人孔編號</t>
  </si>
  <si>
    <t>主集水區編號</t>
  </si>
  <si>
    <t>雨水下水道型式</t>
  </si>
  <si>
    <t>雨水下水道種類</t>
  </si>
  <si>
    <t>管線類別</t>
  </si>
  <si>
    <t>雨水下水道材質</t>
  </si>
  <si>
    <t>箱涵種類代碼</t>
  </si>
  <si>
    <t>使用狀態代碼</t>
  </si>
  <si>
    <t>資料狀態代碼</t>
  </si>
  <si>
    <t>雨水下水道寬度(m)</t>
  </si>
  <si>
    <t>雨水下水道高度(m)</t>
  </si>
  <si>
    <t>雨水下水道長度(m)</t>
  </si>
  <si>
    <t>雨水下水道坡度</t>
  </si>
  <si>
    <t>上游覆土深度(m)</t>
  </si>
  <si>
    <t>下游覆土深度(m)</t>
  </si>
  <si>
    <t>覆土深度(m)</t>
  </si>
  <si>
    <t>上游管頂高程(m)</t>
  </si>
  <si>
    <t>下游管頂高程(m)</t>
  </si>
  <si>
    <t>上游管底高程(m)</t>
  </si>
  <si>
    <t>下游管底高程(m)</t>
  </si>
  <si>
    <t>設計流量(立方米/秒)</t>
  </si>
  <si>
    <t>設計流速(m/秒)</t>
  </si>
  <si>
    <t>管線頂寬度(m)</t>
  </si>
  <si>
    <t>管線底寬度(m)</t>
  </si>
  <si>
    <t>涵管條數</t>
  </si>
  <si>
    <t>管壁厚度</t>
  </si>
  <si>
    <t>備註</t>
  </si>
  <si>
    <t>測量廠商:契約編號</t>
  </si>
  <si>
    <t>測量廠商:下水道測量案名稱</t>
  </si>
  <si>
    <t>測量廠商:承包廠商</t>
  </si>
  <si>
    <t>測量廠商:測量日期</t>
  </si>
  <si>
    <t>施工廠商:委託單位</t>
  </si>
  <si>
    <t>施工廠商:工程編號</t>
  </si>
  <si>
    <t>施工廠商:工程名稱</t>
  </si>
  <si>
    <t>施工廠商:承包廠商</t>
  </si>
  <si>
    <t>施工廠商:設置日期</t>
  </si>
  <si>
    <t>施工廠商:竣工日期</t>
  </si>
  <si>
    <t>x</t>
  </si>
  <si>
    <t>傳襲科技工業股份有限公司</t>
  </si>
  <si>
    <t>空間資料</t>
  </si>
  <si>
    <t>LINESTRING(300765.094 2779928.752,300764.85 2779910.345,300763.754 2779903.055,300761.707 2779895.796,300757.593 2779881.719,300754.239 2779866.95,300749.899 2779851.788,300745.233 2779837.899,300740.378 2779826.361,300733.879 2779813.797,300727.62 2779800.915,300722.56 2779788.991,300717.633 2779770.333,300715.345 2779753.381,300715.439 2779740.102,300715.727 2779732.386,300716.335 2779717.144,300716.712 2779704.606,300717.982 2779691.423,300718.159 2779674.923,300718.912 2779657.03,300717.673 2779646.805,300716.17 2779643.623,300710.803 2779633.855,300710.052 2779621.236)</t>
  </si>
  <si>
    <t>瑞健營造有限公司</t>
  </si>
  <si>
    <t>磺港溪再造C段護岸及步道整建工程(三合橋至奇岩抽水站)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</si>
</sst>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_ "/>
  </numFmts>
  <fonts count="3" x14ac:knownFonts="1">
    <font>
      <sz val="12"/>
      <color rgb="FF000000"/>
      <name val="新細明體"/>
    </font>
    <font>
      <sz val="12"/>
      <color rgb="FF000000"/>
      <name val="標楷體"/>
      <family val="4"/>
      <charset val="136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"/>
  <sheetViews>
    <sheetView tabSelected="1" zoomScaleNormal="100" workbookViewId="0"/>
  </sheetViews>
  <sheetFormatPr defaultColWidth="8.88671875" defaultRowHeight="16.2" x14ac:dyDescent="0.3"/>
  <cols>
    <col min="1" max="2" width="15.6640625" bestFit="1" customWidth="1"/>
    <col min="3" max="3" width="14.44140625" customWidth="1"/>
    <col min="4" max="4" width="15.6640625" bestFit="1" customWidth="1"/>
    <col min="5" max="6" width="18.21875" bestFit="1" customWidth="1"/>
    <col min="7" max="7" width="10.6640625" bestFit="1" customWidth="1"/>
    <col min="8" max="8" width="18.21875" bestFit="1" customWidth="1"/>
    <col min="9" max="11" width="15.6640625" bestFit="1" customWidth="1"/>
    <col min="12" max="14" width="22" bestFit="1" customWidth="1"/>
    <col min="15" max="15" width="18.21875" bestFit="1" customWidth="1"/>
    <col min="16" max="17" width="19.44140625" bestFit="1" customWidth="1"/>
    <col min="18" max="18" width="14.44140625" bestFit="1" customWidth="1"/>
    <col min="19" max="22" width="19.44140625" bestFit="1" customWidth="1"/>
    <col min="23" max="23" width="24.44140625" bestFit="1" customWidth="1"/>
    <col min="24" max="24" width="18.21875" bestFit="1" customWidth="1"/>
    <col min="25" max="26" width="16.88671875" bestFit="1" customWidth="1"/>
    <col min="27" max="28" width="10.6640625" bestFit="1" customWidth="1"/>
    <col min="29" max="29" width="6" bestFit="1" customWidth="1"/>
    <col min="30" max="30" width="22" bestFit="1" customWidth="1"/>
    <col min="31" max="31" width="31.88671875" bestFit="1" customWidth="1"/>
    <col min="32" max="32" width="30.6640625" bestFit="1" customWidth="1"/>
    <col min="33" max="33" width="21.44140625" bestFit="1" customWidth="1"/>
    <col min="34" max="35" width="22" bestFit="1" customWidth="1"/>
    <col min="36" max="36" width="62.88671875" bestFit="1" customWidth="1"/>
    <col min="37" max="37" width="21.44140625" bestFit="1" customWidth="1"/>
    <col min="38" max="39" width="22" bestFit="1" customWidth="1"/>
  </cols>
  <sheetData>
    <row r="1" spans="1:39" s="1" customFormat="1" x14ac:dyDescent="0.3">
      <c r="A1" s="4" t="s">
        <v>0</v>
      </c>
      <c r="B1" s="4" t="s">
        <v>1</v>
      </c>
      <c r="C1" s="2" t="s">
        <v>40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3" t="s">
        <v>28</v>
      </c>
      <c r="AE1" s="3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10" t="s">
        <v>35</v>
      </c>
      <c r="AL1" s="2" t="s">
        <v>36</v>
      </c>
      <c r="AM1" s="2" t="s">
        <v>37</v>
      </c>
    </row>
    <row r="2" spans="1:39" x14ac:dyDescent="0.3">
      <c r="A2" s="4"/>
      <c r="B2" s="4"/>
      <c r="C2" s="5" t="s">
        <v>41</v>
      </c>
      <c r="D2" s="2">
        <v>25</v>
      </c>
      <c r="E2" s="2">
        <v>2</v>
      </c>
      <c r="F2" s="2">
        <v>1</v>
      </c>
      <c r="G2" s="2">
        <v>1</v>
      </c>
      <c r="H2" s="2">
        <v>1</v>
      </c>
      <c r="I2" s="2" t="s">
        <v>38</v>
      </c>
      <c r="J2" s="2">
        <v>0</v>
      </c>
      <c r="K2" s="2">
        <v>0</v>
      </c>
      <c r="L2" s="2">
        <v>3</v>
      </c>
      <c r="M2" s="2">
        <v>2</v>
      </c>
      <c r="N2" s="6">
        <v>317.97758403512199</v>
      </c>
      <c r="O2" s="2">
        <f>((S2-T2)/N2*100)</f>
        <v>-0.43210593104205575</v>
      </c>
      <c r="P2" s="2">
        <v>2.6</v>
      </c>
      <c r="Q2" s="7">
        <v>3</v>
      </c>
      <c r="R2" s="2">
        <f>AVERAGE(P2,Q2)</f>
        <v>2.8</v>
      </c>
      <c r="S2" s="2">
        <f>5.363-P2</f>
        <v>2.7630000000000003</v>
      </c>
      <c r="T2" s="8">
        <f>7.137-Q2</f>
        <v>4.1369999999999996</v>
      </c>
      <c r="U2" s="2">
        <f>S2-M2</f>
        <v>0.76300000000000034</v>
      </c>
      <c r="V2" s="8">
        <f>T2-M2</f>
        <v>2.1369999999999996</v>
      </c>
      <c r="W2" s="2" t="s">
        <v>38</v>
      </c>
      <c r="X2" s="2" t="s">
        <v>38</v>
      </c>
      <c r="Y2" s="2">
        <f>L2</f>
        <v>3</v>
      </c>
      <c r="Z2" s="2">
        <f>L2</f>
        <v>3</v>
      </c>
      <c r="AA2" s="2">
        <v>1</v>
      </c>
      <c r="AB2" s="2" t="s">
        <v>38</v>
      </c>
      <c r="AC2" s="2" t="s">
        <v>38</v>
      </c>
      <c r="AD2" s="3"/>
      <c r="AE2" s="3"/>
      <c r="AF2" s="2" t="s">
        <v>39</v>
      </c>
      <c r="AG2" s="9">
        <v>45875</v>
      </c>
      <c r="AH2" s="2" t="s">
        <v>38</v>
      </c>
      <c r="AI2" s="2" t="s">
        <v>38</v>
      </c>
      <c r="AJ2" s="2" t="s">
        <v>43</v>
      </c>
      <c r="AK2" s="10" t="s">
        <v>42</v>
      </c>
      <c r="AL2" s="2" t="s">
        <v>38</v>
      </c>
      <c r="AM2" s="2" t="s">
        <v>38</v>
      </c>
    </row>
    <row r="3" spans="1:39" s="1" customFormat="1" x14ac:dyDescent="0.3"/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幹線匯入範例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DJ-TP</dc:creator>
  <cp:keywords/>
  <dc:description/>
  <cp:lastModifiedBy>yu</cp:lastModifiedBy>
  <dcterms:created xsi:type="dcterms:W3CDTF">2022-04-15T09:11:27Z</dcterms:created>
  <dcterms:modified xsi:type="dcterms:W3CDTF">2025-10-27T09:34:36Z</dcterms:modified>
  <cp:category/>
</cp:coreProperties>
</file>