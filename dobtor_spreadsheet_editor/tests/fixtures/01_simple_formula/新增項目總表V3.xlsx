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任泰北投\P11103-磺港溪再造C、D段護岸及步道整建工程（延壽橋至朝籟橋）等3項工程委託監造工作\11-磺港溪再造C段護岸及步道整建工程(延壽橋至三合橋)\14-變更設計\第二次變更設計\第二次變更設計(議價前V3)\"/>
    </mc:Choice>
  </mc:AlternateContent>
  <xr:revisionPtr revIDLastSave="0" documentId="13_ncr:1_{ABF0092B-741B-405B-B234-29270E9B25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明細表" sheetId="3" r:id="rId1"/>
    <sheet name="空白表" sheetId="2" r:id="rId2"/>
  </sheets>
  <definedNames>
    <definedName name="_xlnm.Print_Area" localSheetId="1">空白表!$A$1:$H$24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6" i="2" l="1"/>
  <c r="F7" i="2"/>
  <c r="F8" i="2"/>
  <c r="F9" i="2"/>
  <c r="F10" i="2"/>
  <c r="F11" i="2"/>
  <c r="F12" i="2"/>
  <c r="F13" i="2"/>
  <c r="F14" i="2"/>
  <c r="F15" i="2"/>
  <c r="F17" i="2"/>
  <c r="F18" i="2"/>
  <c r="F19" i="2"/>
  <c r="F20" i="2"/>
  <c r="F21" i="2"/>
</calcChain>
</file>

<file path=xl/sharedStrings.xml><?xml version="1.0" encoding="utf-8"?>
<sst xmlns="http://schemas.openxmlformats.org/spreadsheetml/2006/main" count="136" uniqueCount="79">
  <si>
    <t>臺北市政府工務局水利工程處</t>
  </si>
  <si>
    <t>工程名稱：磺港溪再造C段護岸及步道整建工程(延壽橋至三合橋)</t>
  </si>
  <si>
    <t>項次</t>
  </si>
  <si>
    <t>項          目</t>
  </si>
  <si>
    <t>單位</t>
  </si>
  <si>
    <t>數  量</t>
  </si>
  <si>
    <t>備註</t>
  </si>
  <si>
    <t>餘土分類處理</t>
  </si>
  <si>
    <t>日</t>
  </si>
  <si>
    <t>'02323M00AC</t>
  </si>
  <si>
    <t>路線漆標線，12公尺以下道路及零星路段繪設</t>
  </si>
  <si>
    <t>M2</t>
  </si>
  <si>
    <t>'02898120E2</t>
  </si>
  <si>
    <t>餘方近運1km小搬運</t>
  </si>
  <si>
    <t>B.M3</t>
  </si>
  <si>
    <t>'02323M00AA</t>
  </si>
  <si>
    <t>細整地</t>
  </si>
  <si>
    <t>'0223160P02</t>
  </si>
  <si>
    <t>鋼構吊裝</t>
  </si>
  <si>
    <t>kg</t>
  </si>
  <si>
    <t>'055000A009</t>
  </si>
  <si>
    <t>金屬製品，防震拉條</t>
  </si>
  <si>
    <t>組</t>
  </si>
  <si>
    <t>'05842A0018</t>
  </si>
  <si>
    <t>金屬製品，防落裝置</t>
  </si>
  <si>
    <t>'05852A0018</t>
  </si>
  <si>
    <t>砌排石工，混凝土砌石(卵石均厚70cm)</t>
  </si>
  <si>
    <t>'0238632202b</t>
  </si>
  <si>
    <t>預力混凝土基樁，D=600mm，(打樁，含樁，空打及PC版樁隱蔽障礙物清除處理)</t>
  </si>
  <si>
    <t>M</t>
  </si>
  <si>
    <t>'0245760011a</t>
  </si>
  <si>
    <t>結構用混凝土，預拌，280kgf/cm2(第二型水泥)</t>
  </si>
  <si>
    <t>M3</t>
  </si>
  <si>
    <t>'0331027203</t>
  </si>
  <si>
    <t>混凝土植草磚</t>
  </si>
  <si>
    <t>'0422200002</t>
  </si>
  <si>
    <t>(免拆模板，鋼質)，厚6mm鋼模</t>
  </si>
  <si>
    <t>'03110700k2</t>
  </si>
  <si>
    <t>(免拆模板，鋼質)，厚3mm鋼模</t>
  </si>
  <si>
    <t>'03110700h2</t>
  </si>
  <si>
    <t>產品，空氣盆</t>
  </si>
  <si>
    <t>'M02900S6008</t>
  </si>
  <si>
    <t>臨時構台便橋</t>
  </si>
  <si>
    <t>'13801A0002m</t>
  </si>
  <si>
    <t>臨時直立式號誌</t>
  </si>
  <si>
    <t>'0289311038</t>
  </si>
  <si>
    <t>品質管理，預力混凝土基樁試驗</t>
  </si>
  <si>
    <t>'01450D18x8a</t>
  </si>
  <si>
    <t>品質管理，材料設備檢驗費，盤式支承(固定型、單向活動型)垂直載重試驗(含支承墊回復)</t>
  </si>
  <si>
    <t>'01450D1F48</t>
  </si>
  <si>
    <t>品質管理，材料設備檢驗費，盤式支承(單向活動型)滑動摩擦係數試驗</t>
  </si>
  <si>
    <t>'01450D1F28</t>
  </si>
  <si>
    <t>品質管理，材料設備檢驗費，盤式支承尺度及表面粗糙度試驗</t>
  </si>
  <si>
    <t>'01450D1F38</t>
  </si>
  <si>
    <t xml:space="preserve">   變更設計新增項目明細表</t>
  </si>
  <si>
    <t>工程名稱:</t>
  </si>
  <si>
    <t>磺港溪再造C段護岸及步道整建工程(延壽橋至三合橋)</t>
  </si>
  <si>
    <t>預算單價</t>
  </si>
  <si>
    <t>預算複價</t>
  </si>
  <si>
    <t>可議價金額</t>
  </si>
  <si>
    <t>不需議價金額</t>
  </si>
  <si>
    <t>編碼(備考)</t>
  </si>
  <si>
    <t>合計</t>
  </si>
  <si>
    <t>新增項目總表</t>
    <phoneticPr fontId="3" type="noConversion"/>
  </si>
  <si>
    <t>項目</t>
    <phoneticPr fontId="3" type="noConversion"/>
  </si>
  <si>
    <t>單價</t>
    <phoneticPr fontId="3" type="noConversion"/>
  </si>
  <si>
    <t>複價</t>
    <phoneticPr fontId="3" type="noConversion"/>
  </si>
  <si>
    <t>臺北市政府工務局水利工程處</t>
    <phoneticPr fontId="3" type="noConversion"/>
  </si>
  <si>
    <t>新增項目</t>
    <phoneticPr fontId="3" type="noConversion"/>
  </si>
  <si>
    <t>新增項目
分析表2</t>
    <phoneticPr fontId="3" type="noConversion"/>
  </si>
  <si>
    <t>砌排石工，混凝土砌石(卵石均厚70cm)</t>
    <phoneticPr fontId="3" type="noConversion"/>
  </si>
  <si>
    <t>新增項目
分析表5</t>
    <phoneticPr fontId="3" type="noConversion"/>
  </si>
  <si>
    <t>新增項目
分析表6</t>
    <phoneticPr fontId="3" type="noConversion"/>
  </si>
  <si>
    <t>新增項目
分析表7</t>
    <phoneticPr fontId="3" type="noConversion"/>
  </si>
  <si>
    <t>新增項目
分析表8</t>
    <phoneticPr fontId="3" type="noConversion"/>
  </si>
  <si>
    <t>新增項目
分析表9</t>
    <phoneticPr fontId="3" type="noConversion"/>
  </si>
  <si>
    <t>新增項目
分析表10</t>
    <phoneticPr fontId="3" type="noConversion"/>
  </si>
  <si>
    <t>校核:</t>
    <phoneticPr fontId="3" type="noConversion"/>
  </si>
  <si>
    <t>編制: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</si>
</sst>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0_ "/>
    <numFmt numFmtId="178" formatCode="#,##0_ "/>
  </numFmts>
  <fonts count="13" x14ac:knownFonts="1">
    <font>
      <sz val="12"/>
      <name val="新細明體"/>
      <family val="1"/>
    </font>
    <font>
      <sz val="12"/>
      <name val="新細明體"/>
      <family val="1"/>
    </font>
    <font>
      <sz val="12"/>
      <name val="標楷體"/>
      <family val="4"/>
    </font>
    <font>
      <sz val="20"/>
      <name val="標楷體"/>
      <family val="4"/>
    </font>
    <font>
      <sz val="10"/>
      <name val="標楷體"/>
      <family val="4"/>
    </font>
    <font>
      <sz val="12"/>
      <name val="新細明體"/>
      <family val="1"/>
    </font>
    <font>
      <sz val="14"/>
      <name val="標楷體"/>
      <family val="4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color theme="0"/>
      <name val="標楷體"/>
      <family val="4"/>
      <charset val="136"/>
    </font>
    <font>
      <sz val="12"/>
      <color theme="0"/>
      <name val="新細明體"/>
      <family val="1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177" fontId="7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horizontal="center" vertical="center" shrinkToFit="1"/>
    </xf>
    <xf numFmtId="176" fontId="7" fillId="0" borderId="1" xfId="0" applyNumberFormat="1" applyFont="1" applyFill="1" applyBorder="1" applyAlignment="1" applyProtection="1">
      <alignment horizontal="right" vertical="center" shrinkToFit="1"/>
    </xf>
    <xf numFmtId="0" fontId="8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/>
    <xf numFmtId="178" fontId="9" fillId="0" borderId="0" xfId="0" applyNumberFormat="1" applyFont="1" applyFill="1" applyBorder="1" applyAlignment="1" applyProtection="1">
      <alignment horizontal="left" vertical="center" shrinkToFit="1"/>
    </xf>
    <xf numFmtId="178" fontId="9" fillId="0" borderId="0" xfId="0" applyNumberFormat="1" applyFont="1" applyFill="1" applyBorder="1" applyAlignment="1" applyProtection="1">
      <alignment horizontal="right" vertical="center" shrinkToFi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177" fontId="9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76" fontId="9" fillId="0" borderId="1" xfId="0" applyNumberFormat="1" applyFont="1" applyFill="1" applyBorder="1" applyAlignment="1" applyProtection="1">
      <alignment horizontal="right" vertical="center" shrinkToFit="1"/>
    </xf>
    <xf numFmtId="0" fontId="10" fillId="0" borderId="0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Alignment="1" applyProtection="1">
      <alignment vertical="center"/>
    </xf>
    <xf numFmtId="177" fontId="7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176" fontId="7" fillId="0" borderId="0" xfId="0" applyNumberFormat="1" applyFont="1" applyFill="1" applyBorder="1" applyAlignment="1" applyProtection="1">
      <alignment horizontal="right" vertical="center" shrinkToFi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1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 shrinkToFit="1"/>
    </xf>
    <xf numFmtId="0" fontId="0" fillId="0" borderId="0" xfId="0" applyNumberFormat="1" applyFont="1" applyFill="1" applyBorder="1" applyAlignment="1" applyProtection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view="pageBreakPreview" zoomScale="60" zoomScaleNormal="100" workbookViewId="0">
      <selection activeCell="F5" sqref="F5"/>
    </sheetView>
  </sheetViews>
  <sheetFormatPr defaultRowHeight="16.5" x14ac:dyDescent="0.25"/>
  <cols>
    <col min="1" max="1" width="9.875" style="1" customWidth="1"/>
    <col min="2" max="2" width="31" style="1" customWidth="1"/>
    <col min="3" max="3" width="6" style="1" customWidth="1"/>
    <col min="4" max="4" width="10.625" style="1" customWidth="1"/>
    <col min="5" max="5" width="11.625" style="1" customWidth="1"/>
    <col min="6" max="6" width="11.875" style="1" customWidth="1"/>
    <col min="7" max="7" width="11.625" style="1" bestFit="1" customWidth="1"/>
    <col min="8" max="8" width="13.875" style="1" bestFit="1" customWidth="1"/>
    <col min="9" max="9" width="17.25" style="1" customWidth="1"/>
    <col min="10" max="10" width="9.25" style="1" customWidth="1"/>
  </cols>
  <sheetData>
    <row r="1" spans="1:9" ht="33.75" customHeight="1" x14ac:dyDescent="0.25">
      <c r="A1" s="27" t="s">
        <v>0</v>
      </c>
      <c r="B1" s="27"/>
      <c r="C1" s="27"/>
      <c r="D1" s="27"/>
      <c r="E1" s="27"/>
      <c r="F1" s="27"/>
      <c r="G1" s="28"/>
      <c r="H1" s="28"/>
      <c r="I1" s="9"/>
    </row>
    <row r="2" spans="1:9" ht="31.5" customHeight="1" x14ac:dyDescent="0.25">
      <c r="A2" s="29" t="s">
        <v>54</v>
      </c>
      <c r="B2" s="29"/>
      <c r="C2" s="29"/>
      <c r="D2" s="29"/>
      <c r="E2" s="29"/>
      <c r="F2" s="29"/>
      <c r="G2" s="28"/>
      <c r="H2" s="28"/>
      <c r="I2" s="10"/>
    </row>
    <row r="3" spans="1:9" ht="21" customHeight="1" x14ac:dyDescent="0.25">
      <c r="A3" s="4" t="s">
        <v>55</v>
      </c>
      <c r="B3" s="30" t="s">
        <v>56</v>
      </c>
      <c r="C3" s="31"/>
      <c r="D3" s="31"/>
      <c r="E3" s="31"/>
      <c r="F3" s="31"/>
      <c r="G3" s="31"/>
      <c r="H3" s="31"/>
      <c r="I3" s="31"/>
    </row>
    <row r="4" spans="1:9" ht="22.5" customHeight="1" x14ac:dyDescent="0.25">
      <c r="A4" s="4"/>
      <c r="B4" s="11"/>
      <c r="C4" s="32"/>
      <c r="D4" s="32"/>
      <c r="E4" s="32"/>
      <c r="F4" s="30"/>
      <c r="G4" s="30"/>
      <c r="H4" s="12"/>
      <c r="I4" s="13"/>
    </row>
    <row r="5" spans="1:9" x14ac:dyDescent="0.25">
      <c r="A5" s="2" t="s">
        <v>2</v>
      </c>
      <c r="B5" s="2" t="s">
        <v>3</v>
      </c>
      <c r="C5" s="3" t="s">
        <v>4</v>
      </c>
      <c r="D5" s="3" t="s">
        <v>5</v>
      </c>
      <c r="E5" s="3" t="s">
        <v>57</v>
      </c>
      <c r="F5" s="2" t="s">
        <v>58</v>
      </c>
      <c r="G5" s="2" t="s">
        <v>59</v>
      </c>
      <c r="H5" s="2" t="s">
        <v>60</v>
      </c>
      <c r="I5" s="3" t="s">
        <v>61</v>
      </c>
    </row>
    <row r="6" spans="1:9" ht="33.75" customHeight="1" x14ac:dyDescent="0.25">
      <c r="A6" s="14">
        <v>1</v>
      </c>
      <c r="B6" s="15" t="s">
        <v>7</v>
      </c>
      <c r="C6" s="16" t="s">
        <v>8</v>
      </c>
      <c r="D6" s="17">
        <v>150</v>
      </c>
      <c r="E6" s="17">
        <v>20000</v>
      </c>
      <c r="F6" s="17">
        <v>3000000</v>
      </c>
      <c r="G6" s="17">
        <v>520</v>
      </c>
      <c r="H6" s="17">
        <v>19480</v>
      </c>
      <c r="I6" s="15" t="s">
        <v>9</v>
      </c>
    </row>
    <row r="7" spans="1:9" ht="33.75" customHeight="1" x14ac:dyDescent="0.25">
      <c r="A7" s="14">
        <v>2</v>
      </c>
      <c r="B7" s="15" t="s">
        <v>10</v>
      </c>
      <c r="C7" s="16" t="s">
        <v>11</v>
      </c>
      <c r="D7" s="17">
        <v>138.05000000000001</v>
      </c>
      <c r="E7" s="17">
        <v>165.22</v>
      </c>
      <c r="F7" s="17">
        <v>22808.62</v>
      </c>
      <c r="G7" s="17">
        <v>33.97</v>
      </c>
      <c r="H7" s="17">
        <v>131.25</v>
      </c>
      <c r="I7" s="15" t="s">
        <v>12</v>
      </c>
    </row>
    <row r="8" spans="1:9" ht="33.75" customHeight="1" x14ac:dyDescent="0.25">
      <c r="A8" s="14">
        <v>3</v>
      </c>
      <c r="B8" s="15" t="s">
        <v>13</v>
      </c>
      <c r="C8" s="16" t="s">
        <v>14</v>
      </c>
      <c r="D8" s="17">
        <v>2000</v>
      </c>
      <c r="E8" s="17">
        <v>100</v>
      </c>
      <c r="F8" s="17">
        <v>200000</v>
      </c>
      <c r="G8" s="17">
        <v>100</v>
      </c>
      <c r="H8" s="17">
        <v>0</v>
      </c>
      <c r="I8" s="15" t="s">
        <v>15</v>
      </c>
    </row>
    <row r="9" spans="1:9" ht="33.75" customHeight="1" x14ac:dyDescent="0.25">
      <c r="A9" s="14">
        <v>4</v>
      </c>
      <c r="B9" s="15" t="s">
        <v>16</v>
      </c>
      <c r="C9" s="16" t="s">
        <v>11</v>
      </c>
      <c r="D9" s="17">
        <v>3324.02</v>
      </c>
      <c r="E9" s="17">
        <v>33.35</v>
      </c>
      <c r="F9" s="17">
        <v>110856.07</v>
      </c>
      <c r="G9" s="17">
        <v>33.35</v>
      </c>
      <c r="H9" s="17">
        <v>0</v>
      </c>
      <c r="I9" s="15" t="s">
        <v>17</v>
      </c>
    </row>
    <row r="10" spans="1:9" ht="33.75" customHeight="1" x14ac:dyDescent="0.25">
      <c r="A10" s="14">
        <v>5</v>
      </c>
      <c r="B10" s="15" t="s">
        <v>18</v>
      </c>
      <c r="C10" s="16" t="s">
        <v>19</v>
      </c>
      <c r="D10" s="17">
        <v>150400</v>
      </c>
      <c r="E10" s="17">
        <v>16.21</v>
      </c>
      <c r="F10" s="17">
        <v>2437984</v>
      </c>
      <c r="G10" s="17">
        <v>0.47</v>
      </c>
      <c r="H10" s="17">
        <v>15.74</v>
      </c>
      <c r="I10" s="15" t="s">
        <v>20</v>
      </c>
    </row>
    <row r="11" spans="1:9" ht="33.75" customHeight="1" x14ac:dyDescent="0.25">
      <c r="A11" s="14">
        <v>6</v>
      </c>
      <c r="B11" s="15" t="s">
        <v>21</v>
      </c>
      <c r="C11" s="16" t="s">
        <v>22</v>
      </c>
      <c r="D11" s="17">
        <v>18</v>
      </c>
      <c r="E11" s="17">
        <v>79594</v>
      </c>
      <c r="F11" s="17">
        <v>1432692</v>
      </c>
      <c r="G11" s="17">
        <v>79594</v>
      </c>
      <c r="H11" s="17">
        <v>0</v>
      </c>
      <c r="I11" s="15" t="s">
        <v>23</v>
      </c>
    </row>
    <row r="12" spans="1:9" ht="33.75" customHeight="1" x14ac:dyDescent="0.25">
      <c r="A12" s="14">
        <v>7</v>
      </c>
      <c r="B12" s="15" t="s">
        <v>24</v>
      </c>
      <c r="C12" s="16" t="s">
        <v>22</v>
      </c>
      <c r="D12" s="17">
        <v>2</v>
      </c>
      <c r="E12" s="17">
        <v>120500</v>
      </c>
      <c r="F12" s="17">
        <v>241000</v>
      </c>
      <c r="G12" s="17">
        <v>120500</v>
      </c>
      <c r="H12" s="17">
        <v>0</v>
      </c>
      <c r="I12" s="15" t="s">
        <v>25</v>
      </c>
    </row>
    <row r="13" spans="1:9" ht="33.75" customHeight="1" x14ac:dyDescent="0.25">
      <c r="A13" s="14">
        <v>8</v>
      </c>
      <c r="B13" s="15" t="s">
        <v>26</v>
      </c>
      <c r="C13" s="16" t="s">
        <v>11</v>
      </c>
      <c r="D13" s="17">
        <v>548.70000000000005</v>
      </c>
      <c r="E13" s="17">
        <v>3121.01</v>
      </c>
      <c r="F13" s="17">
        <v>1712498.19</v>
      </c>
      <c r="G13" s="17">
        <v>1700.9</v>
      </c>
      <c r="H13" s="17">
        <v>1420.11</v>
      </c>
      <c r="I13" s="15" t="s">
        <v>27</v>
      </c>
    </row>
    <row r="14" spans="1:9" ht="33.75" customHeight="1" x14ac:dyDescent="0.25">
      <c r="A14" s="14">
        <v>9</v>
      </c>
      <c r="B14" s="15" t="s">
        <v>28</v>
      </c>
      <c r="C14" s="16" t="s">
        <v>29</v>
      </c>
      <c r="D14" s="17">
        <v>410</v>
      </c>
      <c r="E14" s="17">
        <v>5734.05</v>
      </c>
      <c r="F14" s="17">
        <v>2350960.5</v>
      </c>
      <c r="G14" s="17">
        <v>5008.59</v>
      </c>
      <c r="H14" s="17">
        <v>725.46</v>
      </c>
      <c r="I14" s="15" t="s">
        <v>30</v>
      </c>
    </row>
    <row r="15" spans="1:9" ht="33.75" customHeight="1" x14ac:dyDescent="0.25">
      <c r="A15" s="14">
        <v>10</v>
      </c>
      <c r="B15" s="15" t="s">
        <v>31</v>
      </c>
      <c r="C15" s="16" t="s">
        <v>32</v>
      </c>
      <c r="D15" s="17">
        <v>690</v>
      </c>
      <c r="E15" s="17">
        <v>3833.25</v>
      </c>
      <c r="F15" s="17">
        <v>2644942.5</v>
      </c>
      <c r="G15" s="17">
        <v>3461.65</v>
      </c>
      <c r="H15" s="17">
        <v>371.6</v>
      </c>
      <c r="I15" s="15" t="s">
        <v>33</v>
      </c>
    </row>
    <row r="16" spans="1:9" ht="33.75" customHeight="1" x14ac:dyDescent="0.25">
      <c r="A16" s="14">
        <v>11</v>
      </c>
      <c r="B16" s="15" t="s">
        <v>34</v>
      </c>
      <c r="C16" s="16" t="s">
        <v>11</v>
      </c>
      <c r="D16" s="17">
        <v>48</v>
      </c>
      <c r="E16" s="17">
        <v>695.3</v>
      </c>
      <c r="F16" s="17">
        <v>33374.400000000001</v>
      </c>
      <c r="G16" s="17">
        <v>460.25</v>
      </c>
      <c r="H16" s="17">
        <v>235.05</v>
      </c>
      <c r="I16" s="15" t="s">
        <v>35</v>
      </c>
    </row>
    <row r="17" spans="1:9" ht="33.75" customHeight="1" x14ac:dyDescent="0.25">
      <c r="A17" s="14">
        <v>12</v>
      </c>
      <c r="B17" s="15" t="s">
        <v>36</v>
      </c>
      <c r="C17" s="16" t="s">
        <v>11</v>
      </c>
      <c r="D17" s="17">
        <v>502.06</v>
      </c>
      <c r="E17" s="17">
        <v>1861.42</v>
      </c>
      <c r="F17" s="17">
        <v>934544.53</v>
      </c>
      <c r="G17" s="17">
        <v>1861.42</v>
      </c>
      <c r="H17" s="17">
        <v>0</v>
      </c>
      <c r="I17" s="15" t="s">
        <v>37</v>
      </c>
    </row>
    <row r="18" spans="1:9" ht="33.75" customHeight="1" x14ac:dyDescent="0.25">
      <c r="A18" s="14">
        <v>13</v>
      </c>
      <c r="B18" s="15" t="s">
        <v>38</v>
      </c>
      <c r="C18" s="16" t="s">
        <v>11</v>
      </c>
      <c r="D18" s="17">
        <v>518.22</v>
      </c>
      <c r="E18" s="17">
        <v>868.91</v>
      </c>
      <c r="F18" s="17">
        <v>450286.54</v>
      </c>
      <c r="G18" s="17">
        <v>868.91</v>
      </c>
      <c r="H18" s="17">
        <v>0</v>
      </c>
      <c r="I18" s="15" t="s">
        <v>39</v>
      </c>
    </row>
    <row r="19" spans="1:9" ht="33.75" customHeight="1" x14ac:dyDescent="0.25">
      <c r="A19" s="14">
        <v>14</v>
      </c>
      <c r="B19" s="15" t="s">
        <v>40</v>
      </c>
      <c r="C19" s="16" t="s">
        <v>29</v>
      </c>
      <c r="D19" s="17">
        <v>73.48</v>
      </c>
      <c r="E19" s="17">
        <v>840</v>
      </c>
      <c r="F19" s="17">
        <v>61723.199999999997</v>
      </c>
      <c r="G19" s="17">
        <v>840</v>
      </c>
      <c r="H19" s="17">
        <v>0</v>
      </c>
      <c r="I19" s="15" t="s">
        <v>41</v>
      </c>
    </row>
    <row r="20" spans="1:9" ht="33.75" customHeight="1" x14ac:dyDescent="0.25">
      <c r="A20" s="14">
        <v>15</v>
      </c>
      <c r="B20" s="15" t="s">
        <v>42</v>
      </c>
      <c r="C20" s="16" t="s">
        <v>11</v>
      </c>
      <c r="D20" s="17">
        <v>320</v>
      </c>
      <c r="E20" s="17">
        <v>10870.03</v>
      </c>
      <c r="F20" s="17">
        <v>3478409.6</v>
      </c>
      <c r="G20" s="17">
        <v>8368.36</v>
      </c>
      <c r="H20" s="17">
        <v>2501.67</v>
      </c>
      <c r="I20" s="15" t="s">
        <v>43</v>
      </c>
    </row>
    <row r="21" spans="1:9" ht="33.75" customHeight="1" x14ac:dyDescent="0.25">
      <c r="A21" s="14">
        <v>16</v>
      </c>
      <c r="B21" s="15" t="s">
        <v>44</v>
      </c>
      <c r="C21" s="16" t="s">
        <v>22</v>
      </c>
      <c r="D21" s="17">
        <v>2</v>
      </c>
      <c r="E21" s="17">
        <v>61000</v>
      </c>
      <c r="F21" s="17">
        <v>122000</v>
      </c>
      <c r="G21" s="17">
        <v>61000</v>
      </c>
      <c r="H21" s="17">
        <v>0</v>
      </c>
      <c r="I21" s="15" t="s">
        <v>45</v>
      </c>
    </row>
    <row r="22" spans="1:9" ht="33.75" customHeight="1" x14ac:dyDescent="0.25">
      <c r="A22" s="14">
        <v>17</v>
      </c>
      <c r="B22" s="15" t="s">
        <v>46</v>
      </c>
      <c r="C22" s="16" t="s">
        <v>22</v>
      </c>
      <c r="D22" s="17">
        <v>1</v>
      </c>
      <c r="E22" s="17">
        <v>75000</v>
      </c>
      <c r="F22" s="17">
        <v>75000</v>
      </c>
      <c r="G22" s="17">
        <v>75000</v>
      </c>
      <c r="H22" s="17">
        <v>0</v>
      </c>
      <c r="I22" s="15" t="s">
        <v>47</v>
      </c>
    </row>
    <row r="23" spans="1:9" ht="33.75" customHeight="1" x14ac:dyDescent="0.25">
      <c r="A23" s="14">
        <v>18</v>
      </c>
      <c r="B23" s="15" t="s">
        <v>48</v>
      </c>
      <c r="C23" s="16" t="s">
        <v>22</v>
      </c>
      <c r="D23" s="17">
        <v>2</v>
      </c>
      <c r="E23" s="17">
        <v>83500</v>
      </c>
      <c r="F23" s="17">
        <v>167000</v>
      </c>
      <c r="G23" s="17">
        <v>83500</v>
      </c>
      <c r="H23" s="17">
        <v>0</v>
      </c>
      <c r="I23" s="15" t="s">
        <v>49</v>
      </c>
    </row>
    <row r="24" spans="1:9" ht="33.75" customHeight="1" x14ac:dyDescent="0.25">
      <c r="A24" s="14">
        <v>19</v>
      </c>
      <c r="B24" s="15" t="s">
        <v>50</v>
      </c>
      <c r="C24" s="16" t="s">
        <v>22</v>
      </c>
      <c r="D24" s="17">
        <v>2</v>
      </c>
      <c r="E24" s="17">
        <v>76200</v>
      </c>
      <c r="F24" s="17">
        <v>152400</v>
      </c>
      <c r="G24" s="17">
        <v>76200</v>
      </c>
      <c r="H24" s="17">
        <v>0</v>
      </c>
      <c r="I24" s="15" t="s">
        <v>51</v>
      </c>
    </row>
    <row r="25" spans="1:9" ht="33.75" customHeight="1" x14ac:dyDescent="0.25">
      <c r="A25" s="14">
        <v>20</v>
      </c>
      <c r="B25" s="15" t="s">
        <v>52</v>
      </c>
      <c r="C25" s="16" t="s">
        <v>22</v>
      </c>
      <c r="D25" s="17">
        <v>2</v>
      </c>
      <c r="E25" s="17">
        <v>18000</v>
      </c>
      <c r="F25" s="17">
        <v>36000</v>
      </c>
      <c r="G25" s="17">
        <v>18000</v>
      </c>
      <c r="H25" s="17">
        <v>0</v>
      </c>
      <c r="I25" s="15" t="s">
        <v>53</v>
      </c>
    </row>
    <row r="26" spans="1:9" ht="33.75" customHeight="1" x14ac:dyDescent="0.25">
      <c r="A26" s="14"/>
      <c r="B26" s="15" t="s">
        <v>62</v>
      </c>
      <c r="C26" s="16"/>
      <c r="D26" s="17"/>
      <c r="E26" s="17">
        <v>561932.75</v>
      </c>
      <c r="F26" s="17">
        <v>19664480.149999999</v>
      </c>
      <c r="G26" s="17">
        <v>537051.87</v>
      </c>
      <c r="H26" s="17">
        <v>24880.879999999997</v>
      </c>
      <c r="I26" s="15"/>
    </row>
    <row r="27" spans="1:9" ht="31.5" customHeight="1" x14ac:dyDescent="0.25"/>
    <row r="28" spans="1:9" ht="21" customHeight="1" x14ac:dyDescent="0.25"/>
    <row r="29" spans="1:9" ht="22.5" customHeight="1" x14ac:dyDescent="0.25"/>
    <row r="30" spans="1:9" ht="15" customHeight="1" x14ac:dyDescent="0.25"/>
    <row r="31" spans="1:9" ht="33" customHeight="1" x14ac:dyDescent="0.25"/>
    <row r="32" spans="1:9" ht="33.75" customHeight="1" x14ac:dyDescent="0.25"/>
    <row r="33" ht="33.75" customHeight="1" x14ac:dyDescent="0.25"/>
    <row r="34" ht="33.75" customHeight="1" x14ac:dyDescent="0.25"/>
    <row r="35" ht="33.75" customHeight="1" x14ac:dyDescent="0.25"/>
    <row r="36" ht="33.75" customHeight="1" x14ac:dyDescent="0.25"/>
    <row r="37" ht="33.75" customHeight="1" x14ac:dyDescent="0.25"/>
    <row r="38" ht="33.75" customHeight="1" x14ac:dyDescent="0.25"/>
    <row r="39" ht="33.75" customHeight="1" x14ac:dyDescent="0.25"/>
    <row r="40" ht="33.75" customHeight="1" x14ac:dyDescent="0.25"/>
    <row r="41" ht="33.75" customHeight="1" x14ac:dyDescent="0.25"/>
    <row r="42" ht="33.75" customHeight="1" x14ac:dyDescent="0.25"/>
    <row r="43" ht="33.75" customHeight="1" x14ac:dyDescent="0.25"/>
    <row r="44" ht="33.75" customHeight="1" x14ac:dyDescent="0.25"/>
    <row r="45" ht="33.75" customHeight="1" x14ac:dyDescent="0.25"/>
    <row r="46" ht="33.75" customHeight="1" x14ac:dyDescent="0.25"/>
    <row r="47" ht="33.75" customHeight="1" x14ac:dyDescent="0.25"/>
    <row r="48" ht="33.75" customHeight="1" x14ac:dyDescent="0.25"/>
    <row r="49" ht="33.75" customHeight="1" x14ac:dyDescent="0.25"/>
    <row r="50" ht="33.75" customHeight="1" x14ac:dyDescent="0.25"/>
    <row r="51" ht="33.75" customHeight="1" x14ac:dyDescent="0.25"/>
    <row r="52" ht="33.75" customHeight="1" x14ac:dyDescent="0.25"/>
  </sheetData>
  <sheetProtection password="9BD4" sheet="1" formatCells="0" formatColumns="0" formatRows="0" insertRows="0" deleteRows="0" sort="0" autoFilter="0"/>
  <mergeCells count="5">
    <mergeCell ref="A1:H1"/>
    <mergeCell ref="A2:H2"/>
    <mergeCell ref="B3:I3"/>
    <mergeCell ref="C4:E4"/>
    <mergeCell ref="F4:G4"/>
  </mergeCells>
  <phoneticPr fontId="3" type="noConversion"/>
  <pageMargins left="0.74803149606299213" right="0.55118110236220474" top="0.59055118110236227" bottom="0.59055118110236227" header="0.51181102362204722" footer="0.51181102362204722"/>
  <pageSetup paperSize="9" orientation="landscape" r:id="rId1"/>
  <headerFooter alignWithMargins="0"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view="pageBreakPreview" zoomScale="70" zoomScaleNormal="100" zoomScaleSheetLayoutView="70" zoomScalePageLayoutView="70" workbookViewId="0">
      <selection activeCell="J21" sqref="J21"/>
    </sheetView>
  </sheetViews>
  <sheetFormatPr defaultRowHeight="16.5" x14ac:dyDescent="0.25"/>
  <cols>
    <col min="1" max="1" width="5.375" style="1" customWidth="1"/>
    <col min="2" max="2" width="33" style="1" customWidth="1"/>
    <col min="3" max="3" width="6" style="1" customWidth="1"/>
    <col min="4" max="6" width="9.625" style="1" customWidth="1"/>
    <col min="7" max="7" width="14.375" style="1" customWidth="1"/>
    <col min="8" max="8" width="0.5" style="1" customWidth="1"/>
  </cols>
  <sheetData>
    <row r="1" spans="1:8" ht="33.75" customHeight="1" x14ac:dyDescent="0.25">
      <c r="A1" s="27" t="s">
        <v>67</v>
      </c>
      <c r="B1" s="27"/>
      <c r="C1" s="27"/>
      <c r="D1" s="27"/>
      <c r="E1" s="27"/>
      <c r="F1" s="27"/>
      <c r="G1" s="37"/>
    </row>
    <row r="2" spans="1:8" ht="31.5" customHeight="1" x14ac:dyDescent="0.25">
      <c r="A2" s="29" t="s">
        <v>63</v>
      </c>
      <c r="B2" s="29"/>
      <c r="C2" s="29"/>
      <c r="D2" s="29"/>
      <c r="E2" s="29"/>
      <c r="F2" s="29"/>
      <c r="G2" s="28"/>
      <c r="H2" s="28"/>
    </row>
    <row r="3" spans="1:8" ht="21" customHeight="1" x14ac:dyDescent="0.25">
      <c r="A3" s="30" t="s">
        <v>1</v>
      </c>
      <c r="B3" s="36"/>
      <c r="C3" s="36"/>
      <c r="D3" s="36"/>
      <c r="E3" s="36"/>
      <c r="F3" s="36"/>
      <c r="G3" s="36"/>
    </row>
    <row r="4" spans="1:8" ht="22.5" customHeight="1" x14ac:dyDescent="0.25">
      <c r="A4" s="4"/>
      <c r="B4" s="4"/>
      <c r="C4" s="35"/>
      <c r="D4" s="35"/>
      <c r="E4" s="35"/>
      <c r="F4" s="33"/>
      <c r="G4" s="34"/>
    </row>
    <row r="5" spans="1:8" ht="26.25" customHeight="1" x14ac:dyDescent="0.25">
      <c r="A5" s="2" t="s">
        <v>2</v>
      </c>
      <c r="B5" s="2" t="s">
        <v>64</v>
      </c>
      <c r="C5" s="3" t="s">
        <v>4</v>
      </c>
      <c r="D5" s="3" t="s">
        <v>5</v>
      </c>
      <c r="E5" s="3" t="s">
        <v>65</v>
      </c>
      <c r="F5" s="3" t="s">
        <v>66</v>
      </c>
      <c r="G5" s="3" t="s">
        <v>6</v>
      </c>
    </row>
    <row r="6" spans="1:8" ht="33.75" customHeight="1" x14ac:dyDescent="0.25">
      <c r="A6" s="5">
        <v>1</v>
      </c>
      <c r="B6" s="6" t="s">
        <v>10</v>
      </c>
      <c r="C6" s="7" t="s">
        <v>11</v>
      </c>
      <c r="D6" s="8">
        <v>138.05000000000001</v>
      </c>
      <c r="E6" s="8">
        <v>165.22</v>
      </c>
      <c r="F6" s="8">
        <f t="shared" ref="F6:F13" si="0">D6*E6</f>
        <v>22808.621000000003</v>
      </c>
      <c r="G6" s="16" t="s">
        <v>69</v>
      </c>
    </row>
    <row r="7" spans="1:8" ht="33.75" customHeight="1" x14ac:dyDescent="0.25">
      <c r="A7" s="5">
        <v>2</v>
      </c>
      <c r="B7" s="6" t="s">
        <v>16</v>
      </c>
      <c r="C7" s="7" t="s">
        <v>11</v>
      </c>
      <c r="D7" s="8">
        <v>3324.02</v>
      </c>
      <c r="E7" s="8">
        <v>33.35</v>
      </c>
      <c r="F7" s="8">
        <f t="shared" si="0"/>
        <v>110856.06700000001</v>
      </c>
      <c r="G7" s="16" t="s">
        <v>68</v>
      </c>
    </row>
    <row r="8" spans="1:8" ht="33.75" customHeight="1" x14ac:dyDescent="0.25">
      <c r="A8" s="5">
        <v>3</v>
      </c>
      <c r="B8" s="6" t="s">
        <v>21</v>
      </c>
      <c r="C8" s="7" t="s">
        <v>22</v>
      </c>
      <c r="D8" s="8">
        <v>18</v>
      </c>
      <c r="E8" s="8">
        <v>79594</v>
      </c>
      <c r="F8" s="8">
        <f t="shared" si="0"/>
        <v>1432692</v>
      </c>
      <c r="G8" s="16" t="s">
        <v>68</v>
      </c>
    </row>
    <row r="9" spans="1:8" ht="33.75" customHeight="1" x14ac:dyDescent="0.25">
      <c r="A9" s="5">
        <v>4</v>
      </c>
      <c r="B9" s="6" t="s">
        <v>24</v>
      </c>
      <c r="C9" s="7" t="s">
        <v>22</v>
      </c>
      <c r="D9" s="8">
        <v>2</v>
      </c>
      <c r="E9" s="8">
        <v>120500</v>
      </c>
      <c r="F9" s="8">
        <f t="shared" si="0"/>
        <v>241000</v>
      </c>
      <c r="G9" s="16" t="s">
        <v>68</v>
      </c>
    </row>
    <row r="10" spans="1:8" ht="33.75" customHeight="1" x14ac:dyDescent="0.25">
      <c r="A10" s="5">
        <v>5</v>
      </c>
      <c r="B10" s="6" t="s">
        <v>70</v>
      </c>
      <c r="C10" s="7" t="s">
        <v>11</v>
      </c>
      <c r="D10" s="8">
        <v>548.70000000000005</v>
      </c>
      <c r="E10" s="8">
        <v>3121.01</v>
      </c>
      <c r="F10" s="8">
        <f t="shared" si="0"/>
        <v>1712498.1870000002</v>
      </c>
      <c r="G10" s="16" t="s">
        <v>71</v>
      </c>
    </row>
    <row r="11" spans="1:8" ht="33.75" customHeight="1" x14ac:dyDescent="0.25">
      <c r="A11" s="5">
        <v>6</v>
      </c>
      <c r="B11" s="6" t="s">
        <v>28</v>
      </c>
      <c r="C11" s="7" t="s">
        <v>29</v>
      </c>
      <c r="D11" s="8">
        <v>410</v>
      </c>
      <c r="E11" s="8">
        <v>5734.05</v>
      </c>
      <c r="F11" s="8">
        <f t="shared" si="0"/>
        <v>2350960.5</v>
      </c>
      <c r="G11" s="16" t="s">
        <v>72</v>
      </c>
    </row>
    <row r="12" spans="1:8" ht="33.75" customHeight="1" x14ac:dyDescent="0.25">
      <c r="A12" s="5">
        <v>7</v>
      </c>
      <c r="B12" s="6" t="s">
        <v>31</v>
      </c>
      <c r="C12" s="7" t="s">
        <v>32</v>
      </c>
      <c r="D12" s="8">
        <v>690</v>
      </c>
      <c r="E12" s="8">
        <v>3833.25</v>
      </c>
      <c r="F12" s="8">
        <f t="shared" si="0"/>
        <v>2644942.5</v>
      </c>
      <c r="G12" s="16" t="s">
        <v>73</v>
      </c>
    </row>
    <row r="13" spans="1:8" ht="33.75" customHeight="1" x14ac:dyDescent="0.25">
      <c r="A13" s="5">
        <v>8</v>
      </c>
      <c r="B13" s="6" t="s">
        <v>34</v>
      </c>
      <c r="C13" s="7" t="s">
        <v>11</v>
      </c>
      <c r="D13" s="8">
        <v>48</v>
      </c>
      <c r="E13" s="8">
        <v>695.3</v>
      </c>
      <c r="F13" s="8">
        <f t="shared" si="0"/>
        <v>33374.399999999994</v>
      </c>
      <c r="G13" s="16" t="s">
        <v>74</v>
      </c>
    </row>
    <row r="14" spans="1:8" s="1" customFormat="1" ht="33.75" customHeight="1" x14ac:dyDescent="0.25">
      <c r="A14" s="5">
        <v>9</v>
      </c>
      <c r="B14" s="6" t="s">
        <v>38</v>
      </c>
      <c r="C14" s="7" t="s">
        <v>11</v>
      </c>
      <c r="D14" s="8">
        <v>518.22</v>
      </c>
      <c r="E14" s="8">
        <v>868.91</v>
      </c>
      <c r="F14" s="8">
        <f t="shared" ref="F14:F21" si="1">D14*E14</f>
        <v>450286.54019999999</v>
      </c>
      <c r="G14" s="16" t="s">
        <v>75</v>
      </c>
    </row>
    <row r="15" spans="1:8" s="1" customFormat="1" ht="33.75" customHeight="1" x14ac:dyDescent="0.25">
      <c r="A15" s="5">
        <v>10</v>
      </c>
      <c r="B15" s="6" t="s">
        <v>40</v>
      </c>
      <c r="C15" s="7" t="s">
        <v>29</v>
      </c>
      <c r="D15" s="8">
        <v>73.48</v>
      </c>
      <c r="E15" s="8">
        <v>840</v>
      </c>
      <c r="F15" s="8">
        <f t="shared" si="1"/>
        <v>61723.200000000004</v>
      </c>
      <c r="G15" s="16" t="s">
        <v>68</v>
      </c>
    </row>
    <row r="16" spans="1:8" s="1" customFormat="1" ht="33.75" customHeight="1" x14ac:dyDescent="0.25">
      <c r="A16" s="5">
        <v>11</v>
      </c>
      <c r="B16" s="6" t="s">
        <v>42</v>
      </c>
      <c r="C16" s="7" t="s">
        <v>11</v>
      </c>
      <c r="D16" s="8">
        <v>320</v>
      </c>
      <c r="E16" s="8">
        <v>10870.03</v>
      </c>
      <c r="F16" s="8">
        <f t="shared" si="1"/>
        <v>3478409.6</v>
      </c>
      <c r="G16" s="16" t="s">
        <v>76</v>
      </c>
    </row>
    <row r="17" spans="1:7" ht="33.75" customHeight="1" x14ac:dyDescent="0.25">
      <c r="A17" s="5">
        <v>12</v>
      </c>
      <c r="B17" s="6" t="s">
        <v>44</v>
      </c>
      <c r="C17" s="7" t="s">
        <v>22</v>
      </c>
      <c r="D17" s="8">
        <v>2</v>
      </c>
      <c r="E17" s="8">
        <v>61000</v>
      </c>
      <c r="F17" s="8">
        <f t="shared" si="1"/>
        <v>122000</v>
      </c>
      <c r="G17" s="16" t="s">
        <v>68</v>
      </c>
    </row>
    <row r="18" spans="1:7" ht="33.75" customHeight="1" x14ac:dyDescent="0.25">
      <c r="A18" s="5">
        <v>13</v>
      </c>
      <c r="B18" s="6" t="s">
        <v>46</v>
      </c>
      <c r="C18" s="7" t="s">
        <v>22</v>
      </c>
      <c r="D18" s="8">
        <v>1</v>
      </c>
      <c r="E18" s="8">
        <v>75000</v>
      </c>
      <c r="F18" s="8">
        <f t="shared" si="1"/>
        <v>75000</v>
      </c>
      <c r="G18" s="16" t="s">
        <v>68</v>
      </c>
    </row>
    <row r="19" spans="1:7" s="1" customFormat="1" ht="54" customHeight="1" x14ac:dyDescent="0.25">
      <c r="A19" s="5">
        <v>14</v>
      </c>
      <c r="B19" s="6" t="s">
        <v>48</v>
      </c>
      <c r="C19" s="7" t="s">
        <v>22</v>
      </c>
      <c r="D19" s="8">
        <v>2</v>
      </c>
      <c r="E19" s="8">
        <v>83500</v>
      </c>
      <c r="F19" s="8">
        <f t="shared" si="1"/>
        <v>167000</v>
      </c>
      <c r="G19" s="16" t="s">
        <v>68</v>
      </c>
    </row>
    <row r="20" spans="1:7" ht="54" customHeight="1" x14ac:dyDescent="0.25">
      <c r="A20" s="5">
        <v>15</v>
      </c>
      <c r="B20" s="6" t="s">
        <v>50</v>
      </c>
      <c r="C20" s="7" t="s">
        <v>22</v>
      </c>
      <c r="D20" s="8">
        <v>2</v>
      </c>
      <c r="E20" s="8">
        <v>76200</v>
      </c>
      <c r="F20" s="8">
        <f t="shared" si="1"/>
        <v>152400</v>
      </c>
      <c r="G20" s="16" t="s">
        <v>68</v>
      </c>
    </row>
    <row r="21" spans="1:7" ht="54" customHeight="1" x14ac:dyDescent="0.25">
      <c r="A21" s="5">
        <v>16</v>
      </c>
      <c r="B21" s="6" t="s">
        <v>52</v>
      </c>
      <c r="C21" s="7" t="s">
        <v>22</v>
      </c>
      <c r="D21" s="8">
        <v>2</v>
      </c>
      <c r="E21" s="8">
        <v>18000</v>
      </c>
      <c r="F21" s="8">
        <f t="shared" si="1"/>
        <v>36000</v>
      </c>
      <c r="G21" s="16" t="s">
        <v>68</v>
      </c>
    </row>
    <row r="22" spans="1:7" s="1" customFormat="1" x14ac:dyDescent="0.25">
      <c r="A22" s="20"/>
      <c r="B22" s="21"/>
      <c r="C22" s="22"/>
      <c r="D22" s="23"/>
      <c r="E22" s="23"/>
      <c r="F22" s="23"/>
      <c r="G22" s="24"/>
    </row>
    <row r="23" spans="1:7" s="1" customFormat="1" x14ac:dyDescent="0.25">
      <c r="A23" s="20"/>
      <c r="B23" s="25" t="s">
        <v>78</v>
      </c>
      <c r="C23" s="22"/>
      <c r="D23" s="23"/>
      <c r="E23" s="26" t="s">
        <v>77</v>
      </c>
      <c r="F23" s="23"/>
      <c r="G23" s="24"/>
    </row>
    <row r="24" spans="1:7" s="1" customFormat="1" x14ac:dyDescent="0.25">
      <c r="B24" s="18" t="s">
        <v>78</v>
      </c>
      <c r="C24" s="19"/>
      <c r="D24" s="19"/>
      <c r="E24" s="18" t="s">
        <v>77</v>
      </c>
    </row>
    <row r="25" spans="1:7" ht="33.75" customHeight="1" x14ac:dyDescent="0.25"/>
  </sheetData>
  <sheetProtection formatCells="0" formatColumns="0" formatRows="0" insertRows="0" deleteRows="0" sort="0" autoFilter="0"/>
  <mergeCells count="5">
    <mergeCell ref="F4:G4"/>
    <mergeCell ref="C4:E4"/>
    <mergeCell ref="A3:G3"/>
    <mergeCell ref="A1:G1"/>
    <mergeCell ref="A2:H2"/>
  </mergeCells>
  <phoneticPr fontId="3" type="noConversion"/>
  <printOptions horizontalCentered="1"/>
  <pageMargins left="0.59055118110236227" right="0.59055118110236227" top="0.59055118110236227" bottom="0.59055118110236227" header="0.51181102362204722" footer="0.51181102362204722"/>
  <pageSetup paperSize="9" scale="95" orientation="portrait" r:id="rId1"/>
  <headerFooter alignWithMargins="0"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明細表</vt:lpstr>
      <vt:lpstr>空白表</vt:lpstr>
      <vt:lpstr>空白表!Print_Area</vt:lpstr>
    </vt:vector>
  </TitlesOfParts>
  <Company>KDTC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</dc:creator>
  <cp:lastModifiedBy>User</cp:lastModifiedBy>
  <cp:lastPrinted>2024-06-26T07:33:26Z</cp:lastPrinted>
  <dcterms:created xsi:type="dcterms:W3CDTF">2006-04-05T16:06:48Z</dcterms:created>
  <dcterms:modified xsi:type="dcterms:W3CDTF">2024-07-26T03:31:20Z</dcterms:modified>
</cp:coreProperties>
</file>