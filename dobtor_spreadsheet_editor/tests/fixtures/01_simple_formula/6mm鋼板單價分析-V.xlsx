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6mm鋼板單分" sheetId="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F7" i="2" l="1"/>
  <c r="F4" i="2" l="1"/>
  <c r="F3" i="2"/>
  <c r="J9" i="2" l="1"/>
  <c r="E8" i="2" s="1"/>
  <c r="F5" i="2"/>
  <c r="F8" i="2" l="1"/>
  <c r="F9" i="2" s="1"/>
  <c r="F10" i="2" s="1"/>
  <c r="E2" i="2" s="1"/>
  <c r="F2" i="2" s="1"/>
</calcChain>
</file>

<file path=xl/sharedStrings.xml><?xml version="1.0" encoding="utf-8"?>
<sst xmlns="http://schemas.openxmlformats.org/spreadsheetml/2006/main" count="32" uniqueCount="28">
  <si>
    <t>M2</t>
  </si>
  <si>
    <t xml:space="preserve">03110700h2
</t>
  </si>
  <si>
    <t>式</t>
  </si>
  <si>
    <t>產品，鋼板及其他鋼料</t>
  </si>
  <si>
    <t>KG</t>
  </si>
  <si>
    <t xml:space="preserve">M05500F0009
</t>
  </si>
  <si>
    <t>零星工料</t>
  </si>
  <si>
    <t xml:space="preserve">W0127110004
</t>
  </si>
  <si>
    <t xml:space="preserve">  ** 小計 **</t>
  </si>
  <si>
    <t xml:space="preserve">  ** 單價計 **</t>
  </si>
  <si>
    <t>項次</t>
  </si>
  <si>
    <t>項  目  及  說  明</t>
  </si>
  <si>
    <t>單位</t>
  </si>
  <si>
    <t>數量</t>
  </si>
  <si>
    <t>單  價</t>
  </si>
  <si>
    <t>複  價</t>
  </si>
  <si>
    <t>(免拆模板，鋼質)，厚6mm鋼模</t>
    <phoneticPr fontId="2" type="noConversion"/>
  </si>
  <si>
    <t xml:space="preserve">M03110PWD0A24
</t>
  </si>
  <si>
    <t>產品，鐵釘，鍍鋅</t>
  </si>
  <si>
    <t xml:space="preserve">M0609011009
</t>
  </si>
  <si>
    <t>備註</t>
    <phoneticPr fontId="2" type="noConversion"/>
  </si>
  <si>
    <t>時</t>
    <phoneticPr fontId="2" type="noConversion"/>
  </si>
  <si>
    <t>產品，模板用支撐材料，模板用</t>
    <phoneticPr fontId="2" type="noConversion"/>
  </si>
  <si>
    <t>M2</t>
    <phoneticPr fontId="2" type="noConversion"/>
  </si>
  <si>
    <r>
      <t>1M2=6mm*1000mm*1000mm*0.00785*0.001*6%</t>
    </r>
    <r>
      <rPr>
        <sz val="9"/>
        <color rgb="FF000000"/>
        <rFont val="細明體"/>
        <family val="2"/>
        <charset val="136"/>
      </rPr>
      <t>損耗</t>
    </r>
    <r>
      <rPr>
        <sz val="9"/>
        <color indexed="8"/>
        <rFont val="Arial"/>
        <family val="2"/>
      </rPr>
      <t>=49.926KG</t>
    </r>
    <phoneticPr fontId="2" type="noConversion"/>
  </si>
  <si>
    <t>裁切加工電焊(含安裝)</t>
    <phoneticPr fontId="2" type="noConversion"/>
  </si>
  <si>
    <t>模板技術工</t>
    <phoneticPr fontId="2" type="noConversion"/>
  </si>
  <si>
    <t xml:space="preserve">L000005P00001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</si>
</sst>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7" x14ac:knownFonts="1">
    <font>
      <sz val="12"/>
      <color theme="1"/>
      <name val="新細明體"/>
      <family val="2"/>
      <charset val="136"/>
      <scheme val="minor"/>
    </font>
    <font>
      <sz val="10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color indexed="8"/>
      <name val="Arial"/>
      <family val="2"/>
    </font>
    <font>
      <sz val="12"/>
      <color indexed="8"/>
      <name val="標楷體"/>
      <family val="4"/>
      <charset val="136"/>
    </font>
    <font>
      <sz val="9"/>
      <color rgb="FF000000"/>
      <name val="細明體"/>
      <family val="2"/>
      <charset val="136"/>
    </font>
    <font>
      <sz val="10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 shrinkToFit="1"/>
    </xf>
    <xf numFmtId="176" fontId="3" fillId="0" borderId="5" xfId="0" applyNumberFormat="1" applyFont="1" applyBorder="1" applyAlignment="1">
      <alignment horizontal="right" vertical="center" shrinkToFit="1"/>
    </xf>
    <xf numFmtId="0" fontId="0" fillId="0" borderId="6" xfId="0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 shrinkToFit="1"/>
    </xf>
    <xf numFmtId="176" fontId="3" fillId="0" borderId="8" xfId="0" applyNumberFormat="1" applyFont="1" applyBorder="1" applyAlignment="1">
      <alignment horizontal="right" vertical="center" shrinkToFit="1"/>
    </xf>
    <xf numFmtId="0" fontId="0" fillId="0" borderId="9" xfId="0" applyBorder="1">
      <alignment vertical="center"/>
    </xf>
    <xf numFmtId="176" fontId="3" fillId="0" borderId="6" xfId="0" applyNumberFormat="1" applyFont="1" applyBorder="1" applyAlignment="1">
      <alignment horizontal="left" vertical="center" wrapText="1" shrinkToFit="1"/>
    </xf>
    <xf numFmtId="0" fontId="6" fillId="0" borderId="5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423305</xdr:colOff>
      <xdr:row>0</xdr:row>
      <xdr:rowOff>149087</xdr:rowOff>
    </xdr:from>
    <xdr:to>
      <xdr:col>16</xdr:col>
      <xdr:colOff>341815</xdr:colOff>
      <xdr:row>14</xdr:row>
      <xdr:rowOff>117349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xmlns="" id="{7E8859A7-32C2-E5C2-A05C-034D9DD3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0957" y="149087"/>
          <a:ext cx="4043249" cy="4059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115957</xdr:colOff>
      <xdr:row>11</xdr:row>
      <xdr:rowOff>182218</xdr:rowOff>
    </xdr:from>
    <xdr:to>
      <xdr:col>7</xdr:col>
      <xdr:colOff>299590</xdr:colOff>
      <xdr:row>26</xdr:row>
      <xdr:rowOff>80714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8F526ED8-32D8-417D-8CA7-00F8E88F8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57" y="3652631"/>
          <a:ext cx="6304481" cy="3004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115" zoomScaleNormal="115" workbookViewId="0">
      <selection activeCell="H16" sqref="H16"/>
    </sheetView>
  </sheetViews>
  <sheetFormatPr defaultRowHeight="16.5" x14ac:dyDescent="0.25"/>
  <cols>
    <col min="1" max="1" width="7.875" customWidth="1"/>
    <col min="2" max="2" width="24.375" customWidth="1"/>
    <col min="3" max="3" width="5.5" customWidth="1"/>
    <col min="4" max="4" width="8.875" customWidth="1"/>
    <col min="5" max="5" width="9.875" customWidth="1"/>
    <col min="6" max="6" width="9.125" customWidth="1"/>
    <col min="7" max="7" width="14.625" customWidth="1"/>
    <col min="8" max="8" width="13.75" customWidth="1"/>
    <col min="9" max="9" width="4" customWidth="1"/>
  </cols>
  <sheetData>
    <row r="1" spans="1:10" x14ac:dyDescent="0.25">
      <c r="A1" s="1" t="s">
        <v>10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2"/>
      <c r="H1" s="4" t="s">
        <v>20</v>
      </c>
    </row>
    <row r="2" spans="1:10" ht="28.5" x14ac:dyDescent="0.25">
      <c r="A2" s="5"/>
      <c r="B2" s="17" t="s">
        <v>16</v>
      </c>
      <c r="C2" s="7" t="s">
        <v>23</v>
      </c>
      <c r="D2" s="8">
        <v>1</v>
      </c>
      <c r="E2" s="8">
        <f>F10</f>
        <v>2671.8769600000005</v>
      </c>
      <c r="F2" s="8">
        <f>D2*E2</f>
        <v>2671.8769600000005</v>
      </c>
      <c r="G2" s="6" t="s">
        <v>1</v>
      </c>
      <c r="H2" s="9"/>
    </row>
    <row r="3" spans="1:10" ht="48" x14ac:dyDescent="0.25">
      <c r="A3" s="5">
        <v>1</v>
      </c>
      <c r="B3" s="6" t="s">
        <v>3</v>
      </c>
      <c r="C3" s="7" t="s">
        <v>4</v>
      </c>
      <c r="D3" s="8">
        <f>49.926</f>
        <v>49.926000000000002</v>
      </c>
      <c r="E3" s="8">
        <v>32</v>
      </c>
      <c r="F3" s="8">
        <f t="shared" ref="F3:F5" si="0">D3*E3</f>
        <v>1597.6320000000001</v>
      </c>
      <c r="G3" s="6" t="s">
        <v>5</v>
      </c>
      <c r="H3" s="16" t="s">
        <v>24</v>
      </c>
    </row>
    <row r="4" spans="1:10" x14ac:dyDescent="0.25">
      <c r="A4" s="5">
        <v>2</v>
      </c>
      <c r="B4" s="6" t="s">
        <v>25</v>
      </c>
      <c r="C4" s="7" t="s">
        <v>2</v>
      </c>
      <c r="D4" s="8">
        <v>1</v>
      </c>
      <c r="E4" s="8">
        <v>280</v>
      </c>
      <c r="F4" s="8">
        <f t="shared" si="0"/>
        <v>280</v>
      </c>
      <c r="G4" s="6"/>
      <c r="H4" s="9"/>
    </row>
    <row r="5" spans="1:10" ht="28.5" x14ac:dyDescent="0.25">
      <c r="A5" s="5">
        <v>3</v>
      </c>
      <c r="B5" s="6" t="s">
        <v>18</v>
      </c>
      <c r="C5" s="7" t="s">
        <v>4</v>
      </c>
      <c r="D5" s="8">
        <v>0.2</v>
      </c>
      <c r="E5" s="8">
        <v>36</v>
      </c>
      <c r="F5" s="8">
        <f t="shared" si="0"/>
        <v>7.2</v>
      </c>
      <c r="G5" s="6" t="s">
        <v>19</v>
      </c>
      <c r="H5" s="9"/>
    </row>
    <row r="6" spans="1:10" ht="28.5" x14ac:dyDescent="0.25">
      <c r="A6" s="5">
        <v>4</v>
      </c>
      <c r="B6" s="6" t="s">
        <v>22</v>
      </c>
      <c r="C6" s="7" t="s">
        <v>2</v>
      </c>
      <c r="D6" s="8">
        <v>1</v>
      </c>
      <c r="E6" s="8">
        <v>550</v>
      </c>
      <c r="F6" s="8">
        <v>550</v>
      </c>
      <c r="G6" s="6" t="s">
        <v>17</v>
      </c>
      <c r="H6" s="16"/>
    </row>
    <row r="7" spans="1:10" ht="28.5" x14ac:dyDescent="0.25">
      <c r="A7" s="5">
        <v>5</v>
      </c>
      <c r="B7" s="6" t="s">
        <v>26</v>
      </c>
      <c r="C7" s="7" t="s">
        <v>21</v>
      </c>
      <c r="D7" s="8">
        <v>0.4</v>
      </c>
      <c r="E7" s="8">
        <v>410</v>
      </c>
      <c r="F7" s="8">
        <f t="shared" ref="F7" si="1">D7*E7</f>
        <v>164</v>
      </c>
      <c r="G7" s="6" t="s">
        <v>27</v>
      </c>
      <c r="H7" s="16"/>
    </row>
    <row r="8" spans="1:10" ht="28.5" x14ac:dyDescent="0.25">
      <c r="A8" s="5">
        <v>6</v>
      </c>
      <c r="B8" s="6" t="s">
        <v>6</v>
      </c>
      <c r="C8" s="7" t="s">
        <v>2</v>
      </c>
      <c r="D8" s="8">
        <v>1</v>
      </c>
      <c r="E8" s="8">
        <f>J9</f>
        <v>73.044960000000003</v>
      </c>
      <c r="F8" s="8">
        <f t="shared" ref="F8" si="2">D8*E8</f>
        <v>73.044960000000003</v>
      </c>
      <c r="G8" s="6" t="s">
        <v>7</v>
      </c>
      <c r="H8" s="16"/>
    </row>
    <row r="9" spans="1:10" x14ac:dyDescent="0.25">
      <c r="A9" s="10"/>
      <c r="B9" s="6" t="s">
        <v>8</v>
      </c>
      <c r="C9" s="7" t="s">
        <v>0</v>
      </c>
      <c r="D9" s="8">
        <v>1</v>
      </c>
      <c r="E9" s="8"/>
      <c r="F9" s="8">
        <f>SUM(F3:F8)</f>
        <v>2671.8769600000005</v>
      </c>
      <c r="G9" s="6"/>
      <c r="H9" s="9"/>
      <c r="J9">
        <f>(F3+F4+F5+F6)*0.03</f>
        <v>73.044960000000003</v>
      </c>
    </row>
    <row r="10" spans="1:10" x14ac:dyDescent="0.25">
      <c r="A10" s="11"/>
      <c r="B10" s="12" t="s">
        <v>9</v>
      </c>
      <c r="C10" s="13" t="s">
        <v>0</v>
      </c>
      <c r="D10" s="14"/>
      <c r="E10" s="14"/>
      <c r="F10" s="14">
        <f>F9/D9</f>
        <v>2671.8769600000005</v>
      </c>
      <c r="G10" s="12"/>
      <c r="H10" s="1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6mm鋼板單分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士科-4</cp:lastModifiedBy>
  <dcterms:created xsi:type="dcterms:W3CDTF">2023-10-12T05:00:26Z</dcterms:created>
  <dcterms:modified xsi:type="dcterms:W3CDTF">2023-10-12T13:07:35Z</dcterms:modified>
</cp:coreProperties>
</file>