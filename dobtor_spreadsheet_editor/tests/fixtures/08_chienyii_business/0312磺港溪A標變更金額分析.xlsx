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A.上溢\1.磺港溪再造C段護岸及步道整建工程（延壽橋至三合橋）\5.變更設計\第二次變更設計\"/>
    </mc:Choice>
  </mc:AlternateContent>
  <xr:revisionPtr revIDLastSave="0" documentId="13_ncr:1_{27BAF51C-728B-4F0C-A8EF-2EE98A3240A2}" xr6:coauthVersionLast="47" xr6:coauthVersionMax="47" xr10:uidLastSave="{00000000-0000-0000-0000-000000000000}"/>
  <bookViews>
    <workbookView xWindow="-120" yWindow="-120" windowWidth="29040" windowHeight="15720" activeTab="5" xr2:uid="{94AA7193-5545-49D8-8D66-CC8A8350E4CD}"/>
  </bookViews>
  <sheets>
    <sheet name="共月橋施工構台" sheetId="8" r:id="rId1"/>
    <sheet name="三合橋車行便橋租金" sheetId="9" r:id="rId2"/>
    <sheet name="鋼構吊裝單價分析" sheetId="7" r:id="rId3"/>
    <sheet name="篩分單價分析" sheetId="6" r:id="rId4"/>
    <sheet name="鋼模單價分析" sheetId="4" r:id="rId5"/>
    <sheet name="第二次變更金額 (0312修正)" sheetId="5" r:id="rId6"/>
  </sheets>
  <definedNames>
    <definedName name="_xlnm.Print_Titles" localSheetId="5">'第二次變更金額 (0312修正)'!$1:$2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5" l="1"/>
  <c r="F52" i="5"/>
  <c r="E52" i="5"/>
  <c r="F5" i="9"/>
  <c r="F4" i="9"/>
  <c r="F3" i="9"/>
  <c r="F6" i="9" s="1"/>
  <c r="F53" i="5"/>
  <c r="I53" i="5" s="1"/>
  <c r="E46" i="5"/>
  <c r="E47" i="5"/>
  <c r="F7" i="9" l="1"/>
  <c r="E2" i="9"/>
  <c r="F47" i="5"/>
  <c r="I47" i="5" s="1"/>
  <c r="E48" i="5"/>
  <c r="F48" i="5" s="1"/>
  <c r="I48" i="5" s="1"/>
  <c r="E21" i="5"/>
  <c r="E55" i="5"/>
  <c r="F55" i="5" s="1"/>
  <c r="I55" i="5" s="1"/>
  <c r="F56" i="5"/>
  <c r="I56" i="5" s="1"/>
  <c r="E54" i="5"/>
  <c r="F8" i="7"/>
  <c r="H12" i="5" s="1"/>
  <c r="F7" i="7"/>
  <c r="F5" i="7"/>
  <c r="F4" i="7"/>
  <c r="F3" i="7"/>
  <c r="F6" i="7"/>
  <c r="E17" i="5"/>
  <c r="H25" i="5"/>
  <c r="E30" i="5"/>
  <c r="E58" i="5"/>
  <c r="F58" i="5" s="1"/>
  <c r="I58" i="5" s="1"/>
  <c r="F59" i="5"/>
  <c r="I59" i="5" s="1"/>
  <c r="F6" i="6"/>
  <c r="F5" i="6"/>
  <c r="F4" i="6"/>
  <c r="F3" i="6"/>
  <c r="D2" i="6"/>
  <c r="F22" i="5"/>
  <c r="I22" i="5" s="1"/>
  <c r="E26" i="5"/>
  <c r="E27" i="5"/>
  <c r="E13" i="5"/>
  <c r="F13" i="5" s="1"/>
  <c r="I13" i="5" s="1"/>
  <c r="E2" i="7" l="1"/>
  <c r="F7" i="6"/>
  <c r="E2" i="6" s="1"/>
  <c r="E10" i="5"/>
  <c r="E24" i="5" l="1"/>
  <c r="F24" i="5" s="1"/>
  <c r="I24" i="5" s="1"/>
  <c r="F17" i="5" l="1"/>
  <c r="I17" i="5" s="1"/>
  <c r="H20" i="5"/>
  <c r="F23" i="5"/>
  <c r="I23" i="5" s="1"/>
  <c r="F57" i="5"/>
  <c r="I57" i="5" s="1"/>
  <c r="F54" i="5"/>
  <c r="I54" i="5" s="1"/>
  <c r="F46" i="5"/>
  <c r="I46" i="5" s="1"/>
  <c r="E45" i="5"/>
  <c r="E44" i="5"/>
  <c r="F44" i="5" s="1"/>
  <c r="I44" i="5" s="1"/>
  <c r="E43" i="5"/>
  <c r="E42" i="5"/>
  <c r="E41" i="5"/>
  <c r="E40" i="5"/>
  <c r="F40" i="5" s="1"/>
  <c r="J40" i="5" s="1"/>
  <c r="E39" i="5"/>
  <c r="F39" i="5" s="1"/>
  <c r="I39" i="5" s="1"/>
  <c r="E38" i="5"/>
  <c r="F38" i="5" s="1"/>
  <c r="J38" i="5" s="1"/>
  <c r="E37" i="5"/>
  <c r="E36" i="5"/>
  <c r="F36" i="5" s="1"/>
  <c r="J36" i="5" s="1"/>
  <c r="E35" i="5"/>
  <c r="F35" i="5" s="1"/>
  <c r="J35" i="5" s="1"/>
  <c r="F34" i="5"/>
  <c r="I34" i="5" s="1"/>
  <c r="F33" i="5"/>
  <c r="I33" i="5" s="1"/>
  <c r="F31" i="5"/>
  <c r="I31" i="5" s="1"/>
  <c r="F29" i="5"/>
  <c r="I29" i="5" s="1"/>
  <c r="F28" i="5"/>
  <c r="I28" i="5" s="1"/>
  <c r="F21" i="5"/>
  <c r="I21" i="5" s="1"/>
  <c r="F20" i="5"/>
  <c r="E19" i="5"/>
  <c r="F19" i="5" s="1"/>
  <c r="I19" i="5" s="1"/>
  <c r="F18" i="5"/>
  <c r="I18" i="5" s="1"/>
  <c r="F9" i="5"/>
  <c r="J9" i="5" s="1"/>
  <c r="F7" i="5"/>
  <c r="I7" i="5" s="1"/>
  <c r="H16" i="5"/>
  <c r="H8" i="5" s="1"/>
  <c r="F16" i="5"/>
  <c r="F15" i="5"/>
  <c r="J15" i="5" s="1"/>
  <c r="E14" i="5"/>
  <c r="F14" i="5" s="1"/>
  <c r="I14" i="5" s="1"/>
  <c r="E8" i="5"/>
  <c r="F8" i="5" s="1"/>
  <c r="E12" i="5"/>
  <c r="F12" i="5" s="1"/>
  <c r="I12" i="5" s="1"/>
  <c r="F11" i="5"/>
  <c r="I11" i="5" s="1"/>
  <c r="F10" i="5"/>
  <c r="I10" i="5" s="1"/>
  <c r="F6" i="5"/>
  <c r="I6" i="5" s="1"/>
  <c r="E5" i="5"/>
  <c r="F5" i="5" s="1"/>
  <c r="I5" i="5" s="1"/>
  <c r="F4" i="5"/>
  <c r="I4" i="5" s="1"/>
  <c r="F3" i="5"/>
  <c r="F27" i="5" l="1"/>
  <c r="I27" i="5" s="1"/>
  <c r="F25" i="5"/>
  <c r="I25" i="5" s="1"/>
  <c r="I20" i="5"/>
  <c r="F41" i="5"/>
  <c r="I41" i="5" s="1"/>
  <c r="I8" i="5"/>
  <c r="F45" i="5"/>
  <c r="I45" i="5" s="1"/>
  <c r="I16" i="5"/>
  <c r="F30" i="5"/>
  <c r="I30" i="5" s="1"/>
  <c r="F42" i="5"/>
  <c r="I42" i="5" s="1"/>
  <c r="F37" i="5"/>
  <c r="J37" i="5" s="1"/>
  <c r="J61" i="5" s="1"/>
  <c r="F43" i="5"/>
  <c r="I43" i="5" s="1"/>
  <c r="F26" i="5" l="1"/>
  <c r="I26" i="5" s="1"/>
  <c r="F6" i="4" l="1"/>
  <c r="F5" i="4"/>
  <c r="F4" i="4"/>
  <c r="F3" i="4"/>
  <c r="F7" i="4" l="1"/>
  <c r="F8" i="4" s="1"/>
  <c r="E2" i="4" s="1"/>
  <c r="H3" i="5" l="1"/>
  <c r="I3" i="5" s="1"/>
  <c r="I61" i="5" s="1"/>
  <c r="I62" i="5" s="1"/>
</calcChain>
</file>

<file path=xl/sharedStrings.xml><?xml version="1.0" encoding="utf-8"?>
<sst xmlns="http://schemas.openxmlformats.org/spreadsheetml/2006/main" count="348" uniqueCount="233">
  <si>
    <t>項次</t>
    <phoneticPr fontId="1" type="noConversion"/>
  </si>
  <si>
    <t>工項</t>
    <phoneticPr fontId="1" type="noConversion"/>
  </si>
  <si>
    <t>單位</t>
    <phoneticPr fontId="1" type="noConversion"/>
  </si>
  <si>
    <t>備註</t>
    <phoneticPr fontId="1" type="noConversion"/>
  </si>
  <si>
    <t>m</t>
    <phoneticPr fontId="3" type="noConversion"/>
  </si>
  <si>
    <t>m3</t>
    <phoneticPr fontId="3" type="noConversion"/>
  </si>
  <si>
    <t>m2</t>
    <phoneticPr fontId="3" type="noConversion"/>
  </si>
  <si>
    <t>M3</t>
    <phoneticPr fontId="3" type="noConversion"/>
  </si>
  <si>
    <t>m2</t>
    <phoneticPr fontId="1" type="noConversion"/>
  </si>
  <si>
    <t>時</t>
  </si>
  <si>
    <t>臨時通道用鋼板，厚15mm</t>
  </si>
  <si>
    <t>土方運送(百齡抽水站)</t>
    <phoneticPr fontId="3" type="noConversion"/>
  </si>
  <si>
    <t>預力混凝土基樁，D=600mm，(打樁，含樁，空打及PC版樁隱蔽障礙物清除處理)</t>
    <phoneticPr fontId="3" type="noConversion"/>
  </si>
  <si>
    <t>圍水，砂包堆置</t>
    <phoneticPr fontId="3" type="noConversion"/>
  </si>
  <si>
    <t>m3</t>
    <phoneticPr fontId="1" type="noConversion"/>
  </si>
  <si>
    <t>原定數量</t>
    <phoneticPr fontId="1" type="noConversion"/>
  </si>
  <si>
    <t>變更後數量</t>
    <phoneticPr fontId="1" type="noConversion"/>
  </si>
  <si>
    <t>增減數量</t>
    <phoneticPr fontId="1" type="noConversion"/>
  </si>
  <si>
    <t>契約單價</t>
    <phoneticPr fontId="1" type="noConversion"/>
  </si>
  <si>
    <t>追減金額</t>
    <phoneticPr fontId="1" type="noConversion"/>
  </si>
  <si>
    <t>計算式</t>
    <phoneticPr fontId="1" type="noConversion"/>
  </si>
  <si>
    <t>m3</t>
    <phoneticPr fontId="1" type="noConversion"/>
  </si>
  <si>
    <t>追加金額</t>
    <phoneticPr fontId="1" type="noConversion"/>
  </si>
  <si>
    <t>新增單價</t>
    <phoneticPr fontId="1" type="noConversion"/>
  </si>
  <si>
    <t>依據</t>
    <phoneticPr fontId="1" type="noConversion"/>
  </si>
  <si>
    <t>原約數量</t>
    <phoneticPr fontId="1" type="noConversion"/>
  </si>
  <si>
    <t>河岸堤牆及護岸使用Ⅱ型水泥</t>
    <phoneticPr fontId="1" type="noConversion"/>
  </si>
  <si>
    <t>蜂巢格網客土袋</t>
    <phoneticPr fontId="3" type="noConversion"/>
  </si>
  <si>
    <t>結構用混凝土，預拌，280kgf/cm2 (I型水泥)</t>
    <phoneticPr fontId="3" type="noConversion"/>
  </si>
  <si>
    <t>結構用混凝土，預拌，280kgf/cm2 (Ⅱ型水泥)</t>
    <phoneticPr fontId="3" type="noConversion"/>
  </si>
  <si>
    <r>
      <rPr>
        <sz val="12"/>
        <color rgb="FF000000"/>
        <rFont val="微軟正黑體"/>
        <family val="2"/>
        <charset val="136"/>
      </rPr>
      <t>間距1.2</t>
    </r>
    <r>
      <rPr>
        <sz val="12"/>
        <color indexed="8"/>
        <rFont val="微軟正黑體"/>
        <family val="2"/>
        <charset val="136"/>
      </rPr>
      <t>m</t>
    </r>
    <phoneticPr fontId="3" type="noConversion"/>
  </si>
  <si>
    <t>原約數量</t>
    <phoneticPr fontId="3" type="noConversion"/>
  </si>
  <si>
    <t>磺港溪再造工程第二次變更設計預估追加金額(A標)</t>
    <phoneticPr fontId="1" type="noConversion"/>
  </si>
  <si>
    <t>磺港溪再造工程第二次變更設計預估追加金額(百齡暫置場)</t>
    <phoneticPr fontId="1" type="noConversion"/>
  </si>
  <si>
    <t>處</t>
    <phoneticPr fontId="3" type="noConversion"/>
  </si>
  <si>
    <t>交通號誌</t>
    <phoneticPr fontId="3" type="noConversion"/>
  </si>
  <si>
    <t>組</t>
    <phoneticPr fontId="3" type="noConversion"/>
  </si>
  <si>
    <t>6mm鋼模免拆模</t>
    <phoneticPr fontId="3" type="noConversion"/>
  </si>
  <si>
    <t>植草磚</t>
    <phoneticPr fontId="3" type="noConversion"/>
  </si>
  <si>
    <t>3mm鋼模免拆模</t>
    <phoneticPr fontId="3" type="noConversion"/>
  </si>
  <si>
    <t>泥漿處理</t>
    <phoneticPr fontId="3" type="noConversion"/>
  </si>
  <si>
    <t>放樣</t>
    <phoneticPr fontId="3" type="noConversion"/>
  </si>
  <si>
    <t>PC樁樁內澆置使用280kgf混凝土</t>
    <phoneticPr fontId="1" type="noConversion"/>
  </si>
  <si>
    <t>0.3*0.3*3.14*410</t>
    <phoneticPr fontId="3" type="noConversion"/>
  </si>
  <si>
    <t>基地面積32675-原約數量272m2</t>
    <phoneticPr fontId="3" type="noConversion"/>
  </si>
  <si>
    <t>單孔箱涵長度：41.5+12.9+17.4+41.1+128+23.2+26.1+12.7+60.7+22.6
寬度1.3m</t>
    <phoneticPr fontId="3" type="noConversion"/>
  </si>
  <si>
    <t>選擇性回填材料，級配粒料，碎石級配，用於構造物回填</t>
    <phoneticPr fontId="1" type="noConversion"/>
  </si>
  <si>
    <t>道路面積5103*30cm</t>
    <phoneticPr fontId="3" type="noConversion"/>
  </si>
  <si>
    <t>道路鋪面下舖設30cm碎石級配
新增單價，比照磺港溪C小標</t>
    <phoneticPr fontId="1" type="noConversion"/>
  </si>
  <si>
    <t>新設側溝長度：
6.5+64.1+10.9+43+11.1+9.4+10+42+1.2+20.1+28.3+6.5+36.5+6.0+25.6+3.4+13.9+12.4+15.1+3.6+4.2+13.9+4.0+13.6+4.7+43.5+16.2+71+3.7+9.5+7.2+60.3+5.3+3.3+9.7+44.4+30.1+4.4+14.4+45.7+3.9+39.7+41.4
寬度0.6m</t>
    <phoneticPr fontId="3" type="noConversion"/>
  </si>
  <si>
    <t>增列全區放樣費用</t>
    <phoneticPr fontId="1" type="noConversion"/>
  </si>
  <si>
    <t>m2</t>
    <phoneticPr fontId="1" type="noConversion"/>
  </si>
  <si>
    <t>人行道側溝採3mm免拆鋼模
比照112年處內單價</t>
    <phoneticPr fontId="1" type="noConversion"/>
  </si>
  <si>
    <t>分析表87</t>
  </si>
  <si>
    <t>M2</t>
  </si>
  <si>
    <t xml:space="preserve">03110700h2
</t>
  </si>
  <si>
    <t>產品，金屬材料，鋼料，加強支撐鋼材</t>
  </si>
  <si>
    <t>式</t>
  </si>
  <si>
    <t xml:space="preserve">M05060CC004
</t>
  </si>
  <si>
    <t>產品，鋼板及其他鋼料</t>
  </si>
  <si>
    <t>KG</t>
  </si>
  <si>
    <t xml:space="preserve">M05500F0009
</t>
  </si>
  <si>
    <t>裁切加工電焊(含安裝)</t>
  </si>
  <si>
    <t xml:space="preserve">05060#A004
</t>
  </si>
  <si>
    <t>零星工料</t>
  </si>
  <si>
    <t xml:space="preserve">W0127110004
</t>
  </si>
  <si>
    <t xml:space="preserve">  ** 小計 **</t>
  </si>
  <si>
    <t xml:space="preserve">  ** 單價計 **</t>
  </si>
  <si>
    <t>(免拆模板，鋼質)，厚6mm鋼模</t>
    <phoneticPr fontId="1" type="noConversion"/>
  </si>
  <si>
    <t>kg</t>
    <phoneticPr fontId="1" type="noConversion"/>
  </si>
  <si>
    <t>150400+12205+2300.86</t>
    <phoneticPr fontId="1" type="noConversion"/>
  </si>
  <si>
    <t>新增pc樁泥漿處理
比照單價分析表270</t>
    <phoneticPr fontId="1" type="noConversion"/>
  </si>
  <si>
    <t>新設植草磚
比照112年處內單價</t>
    <phoneticPr fontId="1" type="noConversion"/>
  </si>
  <si>
    <t>長度20m*高度2.4m</t>
    <phoneticPr fontId="3" type="noConversion"/>
  </si>
  <si>
    <t>預力混凝土基樁，D=400mm</t>
    <phoneticPr fontId="3" type="noConversion"/>
  </si>
  <si>
    <t>m2</t>
    <phoneticPr fontId="1" type="noConversion"/>
  </si>
  <si>
    <t>趟</t>
    <phoneticPr fontId="1" type="noConversion"/>
  </si>
  <si>
    <t>混凝土咬碎1032.5/12</t>
    <phoneticPr fontId="1" type="noConversion"/>
  </si>
  <si>
    <t>混凝土咬碎後場內搬運，回填河床</t>
    <phoneticPr fontId="1" type="noConversion"/>
  </si>
  <si>
    <t>m</t>
    <phoneticPr fontId="1" type="noConversion"/>
  </si>
  <si>
    <t>株</t>
    <phoneticPr fontId="1" type="noConversion"/>
  </si>
  <si>
    <t>現場垃圾及紅磚塊篩分處理</t>
    <phoneticPr fontId="1" type="noConversion"/>
  </si>
  <si>
    <t>組</t>
    <phoneticPr fontId="1" type="noConversion"/>
  </si>
  <si>
    <t>施作1組試驗
單價比照貴子坑溪</t>
    <phoneticPr fontId="1" type="noConversion"/>
  </si>
  <si>
    <t>品質管制，預力混凝土基樁抗彎強度試驗</t>
    <phoneticPr fontId="1" type="noConversion"/>
  </si>
  <si>
    <t>標線漆，一底二度</t>
    <phoneticPr fontId="1" type="noConversion"/>
  </si>
  <si>
    <t>塗銷磺港路既有停車格
單價比照貴子坑溪</t>
    <phoneticPr fontId="1" type="noConversion"/>
  </si>
  <si>
    <t>112年11月施工凝義回覆</t>
    <phoneticPr fontId="1" type="noConversion"/>
  </si>
  <si>
    <t>日/台</t>
    <phoneticPr fontId="1" type="noConversion"/>
  </si>
  <si>
    <t>處</t>
    <phoneticPr fontId="1" type="noConversion"/>
  </si>
  <si>
    <t>施工照相及攝(錄)影，(4G行動門號，即時攝影無線傳輸)，施工動態即時影像傳輸費</t>
    <phoneticPr fontId="1" type="noConversion"/>
  </si>
  <si>
    <t>臨時設施，臨時監控系統</t>
    <phoneticPr fontId="1" type="noConversion"/>
  </si>
  <si>
    <t>鋼筋SD420W</t>
    <phoneticPr fontId="1" type="noConversion"/>
  </si>
  <si>
    <t>KG</t>
    <phoneticPr fontId="1" type="noConversion"/>
  </si>
  <si>
    <t>個</t>
    <phoneticPr fontId="1" type="noConversion"/>
  </si>
  <si>
    <t>共月橋盤式支承
原單價分析表單價</t>
    <phoneticPr fontId="1" type="noConversion"/>
  </si>
  <si>
    <t>共月橋施工構台</t>
    <phoneticPr fontId="1" type="noConversion"/>
  </si>
  <si>
    <t>新河道寬度16m*構台寬度20m</t>
    <phoneticPr fontId="1" type="noConversion"/>
  </si>
  <si>
    <t>盤式支承 固定型,200tf,H=50tf，抗拉拔力100tf</t>
    <phoneticPr fontId="1" type="noConversion"/>
  </si>
  <si>
    <t>盤式支承 單向活動型,50tf,H=12tf</t>
    <phoneticPr fontId="1" type="noConversion"/>
  </si>
  <si>
    <t>樹木清冊</t>
    <phoneticPr fontId="1" type="noConversion"/>
  </si>
  <si>
    <t>型鋼護欄，含警示燈</t>
    <phoneticPr fontId="1" type="noConversion"/>
  </si>
  <si>
    <t>m</t>
    <phoneticPr fontId="1" type="noConversion"/>
  </si>
  <si>
    <t>出入口30m*2</t>
    <phoneticPr fontId="1" type="noConversion"/>
  </si>
  <si>
    <t>配合拆除標二次遷移</t>
    <phoneticPr fontId="1" type="noConversion"/>
  </si>
  <si>
    <t>小計</t>
    <phoneticPr fontId="1" type="noConversion"/>
  </si>
  <si>
    <t>合計</t>
    <phoneticPr fontId="1" type="noConversion"/>
  </si>
  <si>
    <t>更改為60cmPC樁</t>
    <phoneticPr fontId="1" type="noConversion"/>
  </si>
  <si>
    <t>依112年8月30日-文號北市工水工字第1126049522號函:開工前協商會議紀綠辦理</t>
    <phoneticPr fontId="1" type="noConversion"/>
  </si>
  <si>
    <t>依113年1月15日-文號北市工水工字第1136012511號函:施工疑義現場會勘</t>
    <phoneticPr fontId="1" type="noConversion"/>
  </si>
  <si>
    <t>依112年12月12日-文號北市工水工字第1126067256號函:新建護岸型式及衛工管影響版樁打設等疑義現場會勘紀錄</t>
    <phoneticPr fontId="1" type="noConversion"/>
  </si>
  <si>
    <t>施工疑義現場會勘紀錄增加200包</t>
    <phoneticPr fontId="3" type="noConversion"/>
  </si>
  <si>
    <t>依112年12月27日-文號北市工水工字第1126052174號函:三合橋臨時車行便橋調整會勘</t>
    <phoneticPr fontId="1" type="noConversion"/>
  </si>
  <si>
    <t>依112年11月15日-文號北市工水工字第1126063128號會勘:第2次施工疑義會記錄</t>
    <phoneticPr fontId="1" type="noConversion"/>
  </si>
  <si>
    <t>施工疑義現場會勘紀綠增設20組
單價比照民權大橋跨河段上部結構改建統包工程-第二階段工程</t>
    <phoneticPr fontId="3" type="noConversion"/>
  </si>
  <si>
    <t>金屬製品，防落裝置</t>
    <phoneticPr fontId="3" type="noConversion"/>
  </si>
  <si>
    <t>依交工處會勘記錄增設2座交通號誌
單價比照新工處中正橋</t>
    <phoneticPr fontId="3" type="noConversion"/>
  </si>
  <si>
    <t>雙孔箱涵配筋調整，重量待設計計算</t>
    <phoneticPr fontId="1" type="noConversion"/>
  </si>
  <si>
    <t>依112年7月18日-北市工水工字第1126041642號:施工前現場會勘紀錄會勘記錄</t>
    <phoneticPr fontId="1" type="noConversion"/>
  </si>
  <si>
    <t>112年12月施工凝義</t>
    <phoneticPr fontId="1" type="noConversion"/>
  </si>
  <si>
    <t>配合拆除標歸還原暫置場，移至鄰近地區</t>
    <phoneticPr fontId="1" type="noConversion"/>
  </si>
  <si>
    <t>依113年1月22日-北市工水工字第11236010926號:「百齡抽水站用地設施拆除及圍籬圍設工程」與「磺港溪再造工程」現場圍籬架設疑義會勘</t>
    <phoneticPr fontId="1" type="noConversion"/>
  </si>
  <si>
    <t>移植，喬木類移植，5≦米高直徑&lt;10cm</t>
    <phoneticPr fontId="1" type="noConversion"/>
  </si>
  <si>
    <t>移植，喬木類移植，10cm≦米高直徑＜15cm</t>
    <phoneticPr fontId="1" type="noConversion"/>
  </si>
  <si>
    <t>移植，喬木類移植，15cm≦米高直徑＜20cm</t>
    <phoneticPr fontId="1" type="noConversion"/>
  </si>
  <si>
    <t>移植，喬木類移植，20cm≦米高直徑＜25cm</t>
    <phoneticPr fontId="1" type="noConversion"/>
  </si>
  <si>
    <t>移植，喬木類移植，25cm≦米高直徑＜30cm</t>
    <phoneticPr fontId="1" type="noConversion"/>
  </si>
  <si>
    <t>移植，喬木類移植，30cm≦米高直徑＜35cm</t>
    <phoneticPr fontId="1" type="noConversion"/>
  </si>
  <si>
    <t>移植，喬木類移植，40cm≦米高直徑＜45cm</t>
    <phoneticPr fontId="1" type="noConversion"/>
  </si>
  <si>
    <t>移植，喬木類移植，45cm≦米高直徑＜50cm</t>
    <phoneticPr fontId="1" type="noConversion"/>
  </si>
  <si>
    <t>移植，喬木類移植，60cm≦米高直徑＜65cm</t>
    <phoneticPr fontId="1" type="noConversion"/>
  </si>
  <si>
    <t>移植，喬木類移植，65cm≦米高直徑＜70cm</t>
    <phoneticPr fontId="1" type="noConversion"/>
  </si>
  <si>
    <t>移植，喬木類移植，70cm≦米高直徑＜75cm</t>
    <phoneticPr fontId="1" type="noConversion"/>
  </si>
  <si>
    <t>新增單價，比照磺港溪B標</t>
    <phoneticPr fontId="3" type="noConversion"/>
  </si>
  <si>
    <t>垃圾及廢棄物(以體積計)清運</t>
    <phoneticPr fontId="1" type="noConversion"/>
  </si>
  <si>
    <t>道管攝影機*1+cctv*4+百齡暫置場*2=7座</t>
    <phoneticPr fontId="1" type="noConversion"/>
  </si>
  <si>
    <t>(道管攝影機*1+cctv*4)*730天+百齡暫置場*2*360天</t>
    <phoneticPr fontId="1" type="noConversion"/>
  </si>
  <si>
    <t>鋼構運輸及吊裝費</t>
    <phoneticPr fontId="3" type="noConversion"/>
  </si>
  <si>
    <t>施工架</t>
    <phoneticPr fontId="1" type="noConversion"/>
  </si>
  <si>
    <t>m2</t>
    <phoneticPr fontId="1" type="noConversion"/>
  </si>
  <si>
    <t>河道長度350m*1.8*2層=1260</t>
    <phoneticPr fontId="1" type="noConversion"/>
  </si>
  <si>
    <t>植栽槽外側抿石子</t>
    <phoneticPr fontId="1" type="noConversion"/>
  </si>
  <si>
    <t>概估數量</t>
    <phoneticPr fontId="1" type="noConversion"/>
  </si>
  <si>
    <t>垃圾及樹枝清運</t>
    <phoneticPr fontId="1" type="noConversion"/>
  </si>
  <si>
    <t>台北港數量</t>
    <phoneticPr fontId="1" type="noConversion"/>
  </si>
  <si>
    <t>砌排石工，混凝土砌石</t>
    <phoneticPr fontId="3" type="noConversion"/>
  </si>
  <si>
    <t>底層均厚70cm</t>
    <phoneticPr fontId="1" type="noConversion"/>
  </si>
  <si>
    <t>砌排石工，混凝土砌石((卵石均厚70cm)</t>
    <phoneticPr fontId="3" type="noConversion"/>
  </si>
  <si>
    <t>產品，空氣盆</t>
    <phoneticPr fontId="1" type="noConversion"/>
  </si>
  <si>
    <t>餘土及塊石分類處理</t>
    <phoneticPr fontId="1" type="noConversion"/>
  </si>
  <si>
    <t>項次</t>
    <phoneticPr fontId="1" type="noConversion"/>
  </si>
  <si>
    <t>項目及說明</t>
    <phoneticPr fontId="1" type="noConversion"/>
  </si>
  <si>
    <t>單位</t>
    <phoneticPr fontId="1" type="noConversion"/>
  </si>
  <si>
    <t>數量</t>
    <phoneticPr fontId="1" type="noConversion"/>
  </si>
  <si>
    <t>單價</t>
    <phoneticPr fontId="1" type="noConversion"/>
  </si>
  <si>
    <t>複價</t>
    <phoneticPr fontId="1" type="noConversion"/>
  </si>
  <si>
    <t>備註</t>
    <phoneticPr fontId="1" type="noConversion"/>
  </si>
  <si>
    <t>分析表</t>
    <phoneticPr fontId="1" type="noConversion"/>
  </si>
  <si>
    <t>餘土及塊石分類處理</t>
    <phoneticPr fontId="1" type="noConversion"/>
  </si>
  <si>
    <t>m3</t>
    <phoneticPr fontId="1" type="noConversion"/>
  </si>
  <si>
    <t>開挖機，70~79KW，(作為破碎機用)</t>
  </si>
  <si>
    <t xml:space="preserve">E000004400711
</t>
  </si>
  <si>
    <t>機具操作技術工</t>
  </si>
  <si>
    <t>L000005100001
原名稱：操作手，重機械</t>
  </si>
  <si>
    <t>普通工</t>
  </si>
  <si>
    <t>L000006100001
原名稱：小工</t>
  </si>
  <si>
    <t>M3</t>
  </si>
  <si>
    <t>(道管攝影機*1+cctv*4)*730天</t>
    <phoneticPr fontId="1" type="noConversion"/>
  </si>
  <si>
    <t>道管攝影機*1+cctv*4</t>
    <phoneticPr fontId="1" type="noConversion"/>
  </si>
  <si>
    <t>土石方篩分數量*20%+地上物既有垃圾清除1268.9-道路及箱涵回填3217=1231</t>
    <phoneticPr fontId="1" type="noConversion"/>
  </si>
  <si>
    <t>(土石方篩分數量+機械拆除RC7089+道路及箱涵回填3217)/12=1068</t>
    <phoneticPr fontId="1" type="noConversion"/>
  </si>
  <si>
    <t>施工疑義現場會勘紀綠，修正1m2面積使用10包客土包</t>
    <phoneticPr fontId="3" type="noConversion"/>
  </si>
  <si>
    <t>增加9包數量原約1936*9</t>
    <phoneticPr fontId="1" type="noConversion"/>
  </si>
  <si>
    <t>鋼構吊運、組裝</t>
    <phoneticPr fontId="1" type="noConversion"/>
  </si>
  <si>
    <t xml:space="preserve">  ** 單價計 **</t>
    <phoneticPr fontId="1" type="noConversion"/>
  </si>
  <si>
    <t>吊車，20T以上</t>
    <phoneticPr fontId="1" type="noConversion"/>
  </si>
  <si>
    <t>操作手，吊收機具</t>
    <phoneticPr fontId="1" type="noConversion"/>
  </si>
  <si>
    <t>小工</t>
    <phoneticPr fontId="1" type="noConversion"/>
  </si>
  <si>
    <t>E3814ZFB201
B標單價</t>
    <phoneticPr fontId="1" type="noConversion"/>
  </si>
  <si>
    <t>L0000051000P1
B標單價</t>
    <phoneticPr fontId="1" type="noConversion"/>
  </si>
  <si>
    <t>L000006100001
B標單價</t>
    <phoneticPr fontId="1" type="noConversion"/>
  </si>
  <si>
    <t>長度60m*寬度10m</t>
    <phoneticPr fontId="1" type="noConversion"/>
  </si>
  <si>
    <t>環境保護費用，灑水車</t>
    <phoneticPr fontId="1" type="noConversion"/>
  </si>
  <si>
    <t>車</t>
    <phoneticPr fontId="1" type="noConversion"/>
  </si>
  <si>
    <t>112年8月25日百齡抽水站暫置會勘</t>
    <phoneticPr fontId="1" type="noConversion"/>
  </si>
  <si>
    <t>B標單價</t>
    <phoneticPr fontId="1" type="noConversion"/>
  </si>
  <si>
    <t>細整地</t>
    <phoneticPr fontId="1" type="noConversion"/>
  </si>
  <si>
    <t>m2</t>
    <phoneticPr fontId="1" type="noConversion"/>
  </si>
  <si>
    <t>舊土尾1200m2加新土尾長度60m*寬度30m</t>
    <phoneticPr fontId="1" type="noConversion"/>
  </si>
  <si>
    <t>原約數量砌石規格</t>
    <phoneticPr fontId="1" type="noConversion"/>
  </si>
  <si>
    <t>構造物回填，回填及夯實(實際)</t>
    <phoneticPr fontId="1" type="noConversion"/>
  </si>
  <si>
    <t>C.M3</t>
    <phoneticPr fontId="1" type="noConversion"/>
  </si>
  <si>
    <t>舊河道14m*長度30*3.5/2</t>
    <phoneticPr fontId="1" type="noConversion"/>
  </si>
  <si>
    <t>三合橋車行便橋租金</t>
    <phoneticPr fontId="1" type="noConversion"/>
  </si>
  <si>
    <t>m2-月</t>
    <phoneticPr fontId="1" type="noConversion"/>
  </si>
  <si>
    <t>臨時設施，覆蓋板之架設、供應</t>
  </si>
  <si>
    <t xml:space="preserve">0151000002-24
</t>
  </si>
  <si>
    <t>鋼料租金</t>
  </si>
  <si>
    <t>T-月</t>
  </si>
  <si>
    <t xml:space="preserve">MBS172UA210
</t>
  </si>
  <si>
    <t>鋼料運輸</t>
  </si>
  <si>
    <t>T</t>
  </si>
  <si>
    <t>SBM02600205
#</t>
  </si>
  <si>
    <t>施工便橋打設費(含吊車撐腳)</t>
  </si>
  <si>
    <t xml:space="preserve">02256A06B2
</t>
  </si>
  <si>
    <t>安全欄杆</t>
  </si>
  <si>
    <t>M</t>
  </si>
  <si>
    <t xml:space="preserve">022553X613
</t>
  </si>
  <si>
    <t>施工警告燈號，小紅燈泡及電線組</t>
  </si>
  <si>
    <t>0155684001
已扣殘值</t>
  </si>
  <si>
    <t>臨時設施，其他(含整地與引道填築等必要措施)</t>
  </si>
  <si>
    <t>0151000004-08
#</t>
  </si>
  <si>
    <t>鋼料租金</t>
    <phoneticPr fontId="1" type="noConversion"/>
  </si>
  <si>
    <t>三合橋車行便橋租金</t>
    <phoneticPr fontId="1" type="noConversion"/>
  </si>
  <si>
    <t>M2-月</t>
    <phoneticPr fontId="1" type="noConversion"/>
  </si>
  <si>
    <t>租金3個月*面積380m2</t>
    <phoneticPr fontId="1" type="noConversion"/>
  </si>
  <si>
    <t>0151000002-13
#</t>
  </si>
  <si>
    <t>餘方近運1km小搬運</t>
    <phoneticPr fontId="1" type="noConversion"/>
  </si>
  <si>
    <t>B.M3</t>
    <phoneticPr fontId="1" type="noConversion"/>
  </si>
  <si>
    <t>參考貴子坑單價Z011400007</t>
    <phoneticPr fontId="1" type="noConversion"/>
  </si>
  <si>
    <t>原舊暫置場約2000M3</t>
    <phoneticPr fontId="1" type="noConversion"/>
  </si>
  <si>
    <t>單孔箱涵採6mm免拆鋼模</t>
    <phoneticPr fontId="1" type="noConversion"/>
  </si>
  <si>
    <t>新增鋼構組製及吊運費用 
結構用鋼材及耐候鋼
同B標單價</t>
    <phoneticPr fontId="1" type="noConversion"/>
  </si>
  <si>
    <t>113.03.05會勘結論</t>
    <phoneticPr fontId="1" type="noConversion"/>
  </si>
  <si>
    <t>場地復原</t>
    <phoneticPr fontId="1" type="noConversion"/>
  </si>
  <si>
    <t>MBS172UA210</t>
  </si>
  <si>
    <t>01510000B4-08,#</t>
  </si>
  <si>
    <t>W0127114004</t>
  </si>
  <si>
    <t>修整及維護費用</t>
    <phoneticPr fontId="1" type="noConversion"/>
  </si>
  <si>
    <t>零星工料，約以上項目之2.0%</t>
    <phoneticPr fontId="1" type="noConversion"/>
  </si>
  <si>
    <t>配合挖土上車</t>
    <phoneticPr fontId="1" type="noConversion"/>
  </si>
  <si>
    <t>共月橋鋼樑、箱涵施作、鋼板樁圍堰拔除，參考B標單價</t>
    <phoneticPr fontId="1" type="noConversion"/>
  </si>
  <si>
    <t>基地及路幅開挖，未含運費，(機械挖，0.7～0.79m3開挖機)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</si>
</sst>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#,##0.00_ "/>
    <numFmt numFmtId="177" formatCode="#,##0.00_);[Red]\(#,##0.00\)"/>
    <numFmt numFmtId="178" formatCode="#,##0_);[Red]\(#,##0\)"/>
    <numFmt numFmtId="179" formatCode="_-* #,##0.00_-;\-* #,##0.00_-;_-* &quot;-&quot;_-;_-@_-"/>
  </numFmts>
  <fonts count="2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9"/>
      <color indexed="8"/>
      <name val="微軟正黑體"/>
      <family val="2"/>
      <charset val="136"/>
    </font>
    <font>
      <sz val="12"/>
      <color indexed="8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0"/>
      <color indexed="8"/>
      <name val="Arial"/>
      <family val="2"/>
    </font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3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2"/>
      <color theme="1"/>
      <name val="細明體"/>
      <family val="3"/>
      <charset val="136"/>
    </font>
    <font>
      <sz val="12"/>
      <color indexed="8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/>
      <diagonal/>
    </border>
    <border>
      <left style="hair">
        <color indexed="64"/>
      </left>
      <right style="medium">
        <color auto="1"/>
      </right>
      <top/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9">
    <xf numFmtId="0" fontId="0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7" fillId="0" borderId="0"/>
    <xf numFmtId="0" fontId="7" fillId="0" borderId="0"/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</cellStyleXfs>
  <cellXfs count="18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0" borderId="0" xfId="8" applyFont="1">
      <alignment vertical="center"/>
    </xf>
    <xf numFmtId="9" fontId="2" fillId="0" borderId="2" xfId="8" applyFont="1" applyBorder="1">
      <alignment vertical="center"/>
    </xf>
    <xf numFmtId="0" fontId="2" fillId="0" borderId="0" xfId="0" applyFont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/>
    </xf>
    <xf numFmtId="177" fontId="2" fillId="0" borderId="5" xfId="0" applyNumberFormat="1" applyFont="1" applyFill="1" applyBorder="1">
      <alignment vertical="center"/>
    </xf>
    <xf numFmtId="176" fontId="15" fillId="0" borderId="5" xfId="0" applyNumberFormat="1" applyFont="1" applyFill="1" applyBorder="1" applyAlignment="1">
      <alignment vertical="center" wrapText="1" shrinkToFit="1"/>
    </xf>
    <xf numFmtId="0" fontId="14" fillId="0" borderId="5" xfId="0" applyFont="1" applyFill="1" applyBorder="1" applyAlignment="1">
      <alignment horizontal="left" vertical="center" wrapText="1"/>
    </xf>
    <xf numFmtId="177" fontId="13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 shrinkToFit="1"/>
    </xf>
    <xf numFmtId="0" fontId="2" fillId="0" borderId="5" xfId="0" applyFont="1" applyFill="1" applyBorder="1">
      <alignment vertical="center"/>
    </xf>
    <xf numFmtId="177" fontId="2" fillId="0" borderId="5" xfId="8" applyNumberFormat="1" applyFont="1" applyFill="1" applyBorder="1">
      <alignment vertical="center"/>
    </xf>
    <xf numFmtId="0" fontId="11" fillId="0" borderId="5" xfId="0" applyFont="1" applyFill="1" applyBorder="1" applyAlignment="1">
      <alignment horizontal="left" vertical="center" wrapText="1"/>
    </xf>
    <xf numFmtId="178" fontId="2" fillId="0" borderId="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left" vertical="center" wrapText="1"/>
    </xf>
    <xf numFmtId="176" fontId="5" fillId="0" borderId="5" xfId="0" applyNumberFormat="1" applyFont="1" applyFill="1" applyBorder="1" applyAlignment="1">
      <alignment horizontal="right" vertical="center" shrinkToFit="1"/>
    </xf>
    <xf numFmtId="0" fontId="2" fillId="0" borderId="4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>
      <alignment vertical="center"/>
    </xf>
    <xf numFmtId="0" fontId="17" fillId="0" borderId="2" xfId="0" applyFont="1" applyBorder="1" applyAlignment="1">
      <alignment horizontal="center" vertical="center"/>
    </xf>
    <xf numFmtId="9" fontId="17" fillId="0" borderId="2" xfId="8" applyFont="1" applyBorder="1">
      <alignment vertical="center"/>
    </xf>
    <xf numFmtId="0" fontId="17" fillId="0" borderId="3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center" vertical="center" wrapText="1" shrinkToFit="1"/>
    </xf>
    <xf numFmtId="177" fontId="2" fillId="0" borderId="8" xfId="0" applyNumberFormat="1" applyFont="1" applyFill="1" applyBorder="1">
      <alignment vertical="center"/>
    </xf>
    <xf numFmtId="177" fontId="2" fillId="0" borderId="8" xfId="0" applyNumberFormat="1" applyFont="1" applyFill="1" applyBorder="1" applyAlignment="1">
      <alignment horizontal="center" vertical="center"/>
    </xf>
    <xf numFmtId="0" fontId="2" fillId="0" borderId="8" xfId="0" applyFont="1" applyBorder="1">
      <alignment vertical="center"/>
    </xf>
    <xf numFmtId="176" fontId="15" fillId="0" borderId="8" xfId="0" applyNumberFormat="1" applyFont="1" applyFill="1" applyBorder="1" applyAlignment="1">
      <alignment vertical="center" wrapText="1" shrinkToFit="1"/>
    </xf>
    <xf numFmtId="0" fontId="14" fillId="0" borderId="8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77" fontId="2" fillId="3" borderId="5" xfId="0" applyNumberFormat="1" applyFont="1" applyFill="1" applyBorder="1">
      <alignment vertical="center"/>
    </xf>
    <xf numFmtId="177" fontId="2" fillId="3" borderId="5" xfId="0" applyNumberFormat="1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left" vertical="center" wrapText="1"/>
    </xf>
    <xf numFmtId="177" fontId="16" fillId="0" borderId="5" xfId="0" applyNumberFormat="1" applyFont="1" applyFill="1" applyBorder="1">
      <alignment vertical="center"/>
    </xf>
    <xf numFmtId="177" fontId="16" fillId="0" borderId="5" xfId="0" applyNumberFormat="1" applyFont="1" applyFill="1" applyBorder="1" applyAlignment="1">
      <alignment horizontal="center" vertical="center"/>
    </xf>
    <xf numFmtId="176" fontId="16" fillId="0" borderId="5" xfId="0" applyNumberFormat="1" applyFont="1" applyFill="1" applyBorder="1" applyAlignment="1">
      <alignment vertical="center" wrapText="1" shrinkToFit="1"/>
    </xf>
    <xf numFmtId="2" fontId="2" fillId="0" borderId="5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right" vertical="center" shrinkToFit="1"/>
    </xf>
    <xf numFmtId="176" fontId="2" fillId="0" borderId="5" xfId="0" applyNumberFormat="1" applyFont="1" applyFill="1" applyBorder="1" applyAlignment="1">
      <alignment vertical="center" wrapText="1" shrinkToFit="1"/>
    </xf>
    <xf numFmtId="0" fontId="2" fillId="0" borderId="5" xfId="0" applyFont="1" applyFill="1" applyBorder="1" applyAlignment="1">
      <alignment horizontal="left" vertical="center" wrapText="1"/>
    </xf>
    <xf numFmtId="177" fontId="2" fillId="0" borderId="5" xfId="0" applyNumberFormat="1" applyFont="1" applyFill="1" applyBorder="1" applyAlignment="1">
      <alignment horizontal="right" vertical="center"/>
    </xf>
    <xf numFmtId="177" fontId="16" fillId="0" borderId="5" xfId="0" applyNumberFormat="1" applyFont="1" applyFill="1" applyBorder="1" applyAlignment="1">
      <alignment horizontal="right" vertical="center"/>
    </xf>
    <xf numFmtId="177" fontId="2" fillId="0" borderId="8" xfId="0" applyNumberFormat="1" applyFont="1" applyFill="1" applyBorder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77" fontId="2" fillId="0" borderId="2" xfId="0" applyNumberFormat="1" applyFont="1" applyBorder="1" applyAlignment="1">
      <alignment horizontal="center" vertical="center"/>
    </xf>
    <xf numFmtId="177" fontId="17" fillId="0" borderId="2" xfId="0" applyNumberFormat="1" applyFont="1" applyBorder="1" applyAlignment="1">
      <alignment horizontal="center" vertical="center"/>
    </xf>
    <xf numFmtId="0" fontId="18" fillId="0" borderId="5" xfId="0" applyFont="1" applyFill="1" applyBorder="1" applyAlignment="1">
      <alignment horizontal="left" vertical="center" wrapText="1"/>
    </xf>
    <xf numFmtId="178" fontId="2" fillId="3" borderId="5" xfId="0" applyNumberFormat="1" applyFont="1" applyFill="1" applyBorder="1" applyAlignment="1">
      <alignment horizontal="center" vertical="center"/>
    </xf>
    <xf numFmtId="176" fontId="13" fillId="0" borderId="5" xfId="0" applyNumberFormat="1" applyFont="1" applyFill="1" applyBorder="1" applyAlignment="1">
      <alignment vertical="center" wrapText="1" shrinkToFit="1"/>
    </xf>
    <xf numFmtId="176" fontId="2" fillId="0" borderId="5" xfId="0" applyNumberFormat="1" applyFont="1" applyFill="1" applyBorder="1" applyAlignment="1">
      <alignment horizontal="center" vertical="center"/>
    </xf>
    <xf numFmtId="177" fontId="2" fillId="0" borderId="10" xfId="0" applyNumberFormat="1" applyFont="1" applyFill="1" applyBorder="1">
      <alignment vertical="center"/>
    </xf>
    <xf numFmtId="177" fontId="2" fillId="0" borderId="11" xfId="0" applyNumberFormat="1" applyFont="1" applyFill="1" applyBorder="1">
      <alignment vertical="center"/>
    </xf>
    <xf numFmtId="177" fontId="2" fillId="0" borderId="13" xfId="0" applyNumberFormat="1" applyFont="1" applyFill="1" applyBorder="1">
      <alignment vertical="center"/>
    </xf>
    <xf numFmtId="0" fontId="2" fillId="0" borderId="14" xfId="0" applyFont="1" applyBorder="1">
      <alignment vertical="center"/>
    </xf>
    <xf numFmtId="0" fontId="11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 wrapText="1" shrinkToFit="1"/>
    </xf>
    <xf numFmtId="177" fontId="2" fillId="4" borderId="5" xfId="0" applyNumberFormat="1" applyFont="1" applyFill="1" applyBorder="1" applyAlignment="1">
      <alignment horizontal="right" vertical="center"/>
    </xf>
    <xf numFmtId="177" fontId="2" fillId="4" borderId="5" xfId="0" applyNumberFormat="1" applyFont="1" applyFill="1" applyBorder="1" applyAlignment="1">
      <alignment horizontal="center" vertical="center"/>
    </xf>
    <xf numFmtId="177" fontId="2" fillId="4" borderId="5" xfId="0" applyNumberFormat="1" applyFont="1" applyFill="1" applyBorder="1">
      <alignment vertical="center"/>
    </xf>
    <xf numFmtId="176" fontId="15" fillId="4" borderId="5" xfId="0" applyNumberFormat="1" applyFont="1" applyFill="1" applyBorder="1" applyAlignment="1">
      <alignment vertical="center" wrapText="1" shrinkToFit="1"/>
    </xf>
    <xf numFmtId="0" fontId="14" fillId="4" borderId="5" xfId="0" applyFont="1" applyFill="1" applyBorder="1" applyAlignment="1">
      <alignment horizontal="left" vertical="center" wrapText="1"/>
    </xf>
    <xf numFmtId="0" fontId="19" fillId="0" borderId="15" xfId="0" applyFont="1" applyBorder="1">
      <alignment vertical="center"/>
    </xf>
    <xf numFmtId="0" fontId="19" fillId="0" borderId="16" xfId="0" applyFont="1" applyBorder="1">
      <alignment vertical="center"/>
    </xf>
    <xf numFmtId="0" fontId="19" fillId="0" borderId="17" xfId="0" applyFont="1" applyBorder="1">
      <alignment vertical="center"/>
    </xf>
    <xf numFmtId="0" fontId="20" fillId="0" borderId="18" xfId="0" applyFont="1" applyBorder="1" applyAlignment="1">
      <alignment vertical="center" wrapText="1"/>
    </xf>
    <xf numFmtId="0" fontId="20" fillId="0" borderId="19" xfId="0" applyFont="1" applyBorder="1" applyAlignment="1">
      <alignment vertical="center" wrapText="1"/>
    </xf>
    <xf numFmtId="0" fontId="5" fillId="0" borderId="19" xfId="0" applyFont="1" applyBorder="1" applyAlignment="1">
      <alignment horizontal="center" vertical="center" wrapText="1" shrinkToFit="1"/>
    </xf>
    <xf numFmtId="176" fontId="5" fillId="0" borderId="19" xfId="0" applyNumberFormat="1" applyFont="1" applyBorder="1" applyAlignment="1">
      <alignment horizontal="right" vertical="center" shrinkToFit="1"/>
    </xf>
    <xf numFmtId="0" fontId="20" fillId="0" borderId="20" xfId="0" applyFont="1" applyBorder="1" applyAlignment="1">
      <alignment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21" xfId="0" applyFont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0" fontId="5" fillId="0" borderId="22" xfId="0" applyFont="1" applyBorder="1" applyAlignment="1">
      <alignment horizontal="center" vertical="center" wrapText="1" shrinkToFit="1"/>
    </xf>
    <xf numFmtId="176" fontId="5" fillId="0" borderId="22" xfId="0" applyNumberFormat="1" applyFont="1" applyBorder="1" applyAlignment="1">
      <alignment horizontal="right" vertical="center" shrinkToFit="1"/>
    </xf>
    <xf numFmtId="0" fontId="20" fillId="0" borderId="23" xfId="0" applyFont="1" applyBorder="1" applyAlignment="1">
      <alignment vertical="center" wrapText="1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5" fillId="0" borderId="18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2" fillId="0" borderId="24" xfId="0" applyFont="1" applyFill="1" applyBorder="1" applyAlignment="1">
      <alignment horizontal="center" vertical="center"/>
    </xf>
    <xf numFmtId="0" fontId="11" fillId="0" borderId="25" xfId="0" applyFont="1" applyFill="1" applyBorder="1" applyAlignment="1">
      <alignment horizontal="left" vertical="center" wrapText="1"/>
    </xf>
    <xf numFmtId="0" fontId="5" fillId="0" borderId="25" xfId="0" applyFont="1" applyFill="1" applyBorder="1" applyAlignment="1">
      <alignment horizontal="center" vertical="center" wrapText="1" shrinkToFit="1"/>
    </xf>
    <xf numFmtId="177" fontId="2" fillId="0" borderId="25" xfId="0" applyNumberFormat="1" applyFont="1" applyFill="1" applyBorder="1" applyAlignment="1">
      <alignment horizontal="right" vertical="center"/>
    </xf>
    <xf numFmtId="177" fontId="2" fillId="0" borderId="25" xfId="0" applyNumberFormat="1" applyFont="1" applyFill="1" applyBorder="1" applyAlignment="1">
      <alignment horizontal="center" vertical="center"/>
    </xf>
    <xf numFmtId="177" fontId="2" fillId="0" borderId="25" xfId="0" applyNumberFormat="1" applyFont="1" applyFill="1" applyBorder="1">
      <alignment vertical="center"/>
    </xf>
    <xf numFmtId="0" fontId="2" fillId="0" borderId="25" xfId="0" applyFont="1" applyBorder="1">
      <alignment vertical="center"/>
    </xf>
    <xf numFmtId="176" fontId="13" fillId="0" borderId="25" xfId="0" applyNumberFormat="1" applyFont="1" applyFill="1" applyBorder="1" applyAlignment="1">
      <alignment vertical="center" wrapText="1" shrinkToFit="1"/>
    </xf>
    <xf numFmtId="0" fontId="14" fillId="0" borderId="25" xfId="0" applyFont="1" applyFill="1" applyBorder="1" applyAlignment="1">
      <alignment horizontal="left" vertical="center" wrapText="1"/>
    </xf>
    <xf numFmtId="0" fontId="21" fillId="0" borderId="27" xfId="0" applyFont="1" applyBorder="1" applyAlignment="1">
      <alignment vertical="center" wrapText="1"/>
    </xf>
    <xf numFmtId="0" fontId="21" fillId="0" borderId="27" xfId="0" applyFont="1" applyBorder="1" applyAlignment="1">
      <alignment horizontal="center" vertical="center" wrapText="1" shrinkToFit="1"/>
    </xf>
    <xf numFmtId="176" fontId="4" fillId="0" borderId="27" xfId="0" applyNumberFormat="1" applyFont="1" applyBorder="1" applyAlignment="1">
      <alignment horizontal="right" vertical="center" shrinkToFit="1"/>
    </xf>
    <xf numFmtId="0" fontId="21" fillId="0" borderId="28" xfId="0" applyFont="1" applyBorder="1" applyAlignment="1">
      <alignment vertical="center" wrapText="1"/>
    </xf>
    <xf numFmtId="0" fontId="5" fillId="0" borderId="25" xfId="0" applyFont="1" applyFill="1" applyBorder="1" applyAlignment="1">
      <alignment horizontal="center" vertical="center" shrinkToFit="1"/>
    </xf>
    <xf numFmtId="0" fontId="0" fillId="0" borderId="0" xfId="0" applyFont="1">
      <alignment vertical="center"/>
    </xf>
    <xf numFmtId="0" fontId="21" fillId="0" borderId="26" xfId="0" applyFont="1" applyBorder="1" applyAlignment="1">
      <alignment vertical="center" wrapText="1"/>
    </xf>
    <xf numFmtId="176" fontId="21" fillId="0" borderId="27" xfId="0" applyNumberFormat="1" applyFont="1" applyBorder="1" applyAlignment="1">
      <alignment horizontal="right" vertical="center" shrinkToFit="1"/>
    </xf>
    <xf numFmtId="0" fontId="18" fillId="0" borderId="27" xfId="0" applyFont="1" applyBorder="1" applyAlignment="1">
      <alignment horizontal="center" vertical="center"/>
    </xf>
    <xf numFmtId="4" fontId="18" fillId="0" borderId="27" xfId="0" applyNumberFormat="1" applyFont="1" applyBorder="1" applyAlignment="1">
      <alignment horizontal="right" vertical="center" shrinkToFit="1"/>
    </xf>
    <xf numFmtId="179" fontId="18" fillId="0" borderId="27" xfId="0" applyNumberFormat="1" applyFont="1" applyBorder="1" applyAlignment="1">
      <alignment horizontal="right" vertical="center" shrinkToFit="1"/>
    </xf>
    <xf numFmtId="49" fontId="18" fillId="0" borderId="28" xfId="0" applyNumberFormat="1" applyFont="1" applyBorder="1" applyAlignment="1">
      <alignment horizontal="left" vertical="center"/>
    </xf>
    <xf numFmtId="0" fontId="21" fillId="0" borderId="29" xfId="0" applyFont="1" applyBorder="1" applyAlignment="1">
      <alignment vertical="center" wrapText="1"/>
    </xf>
    <xf numFmtId="0" fontId="21" fillId="0" borderId="30" xfId="0" applyFont="1" applyBorder="1" applyAlignment="1">
      <alignment vertical="center" wrapText="1"/>
    </xf>
    <xf numFmtId="0" fontId="21" fillId="0" borderId="30" xfId="0" applyFont="1" applyBorder="1" applyAlignment="1">
      <alignment horizontal="center" vertical="center" wrapText="1" shrinkToFit="1"/>
    </xf>
    <xf numFmtId="176" fontId="21" fillId="0" borderId="30" xfId="0" applyNumberFormat="1" applyFont="1" applyBorder="1" applyAlignment="1">
      <alignment horizontal="right" vertical="center" shrinkToFit="1"/>
    </xf>
    <xf numFmtId="0" fontId="21" fillId="0" borderId="31" xfId="0" applyFont="1" applyBorder="1" applyAlignment="1">
      <alignment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176" fontId="4" fillId="0" borderId="30" xfId="0" applyNumberFormat="1" applyFont="1" applyBorder="1" applyAlignment="1">
      <alignment horizontal="right" vertical="center" shrinkToFit="1"/>
    </xf>
    <xf numFmtId="0" fontId="21" fillId="0" borderId="15" xfId="0" applyFont="1" applyBorder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0" fontId="21" fillId="0" borderId="16" xfId="0" applyFont="1" applyBorder="1" applyAlignment="1">
      <alignment horizontal="center" vertical="center" wrapText="1" shrinkToFit="1"/>
    </xf>
    <xf numFmtId="176" fontId="4" fillId="0" borderId="16" xfId="0" applyNumberFormat="1" applyFont="1" applyBorder="1" applyAlignment="1">
      <alignment horizontal="right" vertical="center" shrinkToFit="1"/>
    </xf>
    <xf numFmtId="0" fontId="21" fillId="0" borderId="17" xfId="0" applyFont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4" fillId="0" borderId="6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2" xfId="0" applyFont="1" applyFill="1" applyBorder="1" applyAlignment="1">
      <alignment horizontal="left" vertical="center" wrapText="1"/>
    </xf>
    <xf numFmtId="0" fontId="2" fillId="0" borderId="33" xfId="0" applyFont="1" applyFill="1" applyBorder="1" applyAlignment="1">
      <alignment horizontal="left" vertical="center" wrapText="1"/>
    </xf>
    <xf numFmtId="0" fontId="2" fillId="0" borderId="34" xfId="0" applyFont="1" applyFill="1" applyBorder="1" applyAlignment="1">
      <alignment horizontal="left" vertical="center" wrapText="1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left" vertical="center"/>
    </xf>
    <xf numFmtId="0" fontId="2" fillId="0" borderId="36" xfId="0" applyFont="1" applyBorder="1" applyAlignment="1">
      <alignment horizontal="center" vertical="center"/>
    </xf>
    <xf numFmtId="176" fontId="22" fillId="0" borderId="36" xfId="0" applyNumberFormat="1" applyFont="1" applyBorder="1" applyAlignment="1">
      <alignment horizontal="right" vertical="center" shrinkToFit="1"/>
    </xf>
    <xf numFmtId="176" fontId="2" fillId="0" borderId="36" xfId="0" applyNumberFormat="1" applyFont="1" applyBorder="1">
      <alignment vertical="center"/>
    </xf>
    <xf numFmtId="177" fontId="2" fillId="0" borderId="36" xfId="0" applyNumberFormat="1" applyFont="1" applyBorder="1" applyAlignment="1">
      <alignment horizontal="center" vertical="center"/>
    </xf>
    <xf numFmtId="0" fontId="2" fillId="0" borderId="36" xfId="0" applyFont="1" applyBorder="1">
      <alignment vertical="center"/>
    </xf>
    <xf numFmtId="177" fontId="2" fillId="0" borderId="36" xfId="8" applyNumberFormat="1" applyFont="1" applyBorder="1">
      <alignment vertical="center"/>
    </xf>
    <xf numFmtId="0" fontId="14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center" vertical="center"/>
    </xf>
    <xf numFmtId="177" fontId="2" fillId="0" borderId="36" xfId="0" applyNumberFormat="1" applyFont="1" applyBorder="1" applyAlignment="1">
      <alignment horizontal="right" vertical="center"/>
    </xf>
    <xf numFmtId="0" fontId="4" fillId="0" borderId="36" xfId="0" applyFont="1" applyBorder="1" applyAlignment="1">
      <alignment vertical="center" wrapText="1"/>
    </xf>
    <xf numFmtId="0" fontId="14" fillId="0" borderId="37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center" vertical="center" wrapText="1" shrinkToFit="1"/>
    </xf>
    <xf numFmtId="176" fontId="5" fillId="0" borderId="36" xfId="0" applyNumberFormat="1" applyFont="1" applyBorder="1" applyAlignment="1">
      <alignment horizontal="center" vertical="center" shrinkToFit="1"/>
    </xf>
    <xf numFmtId="177" fontId="2" fillId="0" borderId="36" xfId="0" applyNumberFormat="1" applyFont="1" applyFill="1" applyBorder="1">
      <alignment vertical="center"/>
    </xf>
    <xf numFmtId="177" fontId="2" fillId="0" borderId="36" xfId="0" applyNumberFormat="1" applyFont="1" applyBorder="1">
      <alignment vertical="center"/>
    </xf>
    <xf numFmtId="177" fontId="2" fillId="0" borderId="36" xfId="0" applyNumberFormat="1" applyFont="1" applyFill="1" applyBorder="1" applyAlignment="1">
      <alignment horizontal="center" vertical="center"/>
    </xf>
    <xf numFmtId="176" fontId="15" fillId="0" borderId="36" xfId="0" applyNumberFormat="1" applyFont="1" applyFill="1" applyBorder="1" applyAlignment="1">
      <alignment vertical="center" wrapText="1" shrinkToFit="1"/>
    </xf>
    <xf numFmtId="0" fontId="14" fillId="0" borderId="36" xfId="0" applyFont="1" applyFill="1" applyBorder="1" applyAlignment="1">
      <alignment horizontal="left" vertical="center" wrapText="1"/>
    </xf>
    <xf numFmtId="0" fontId="14" fillId="0" borderId="37" xfId="0" applyFont="1" applyBorder="1" applyAlignment="1">
      <alignment vertical="center" wrapText="1"/>
    </xf>
    <xf numFmtId="0" fontId="2" fillId="0" borderId="35" xfId="0" applyFont="1" applyFill="1" applyBorder="1" applyAlignment="1">
      <alignment horizontal="center" vertical="center" wrapText="1"/>
    </xf>
    <xf numFmtId="0" fontId="11" fillId="0" borderId="36" xfId="0" applyFont="1" applyFill="1" applyBorder="1" applyAlignment="1">
      <alignment horizontal="left" vertical="center" wrapText="1"/>
    </xf>
    <xf numFmtId="0" fontId="5" fillId="0" borderId="36" xfId="0" applyFont="1" applyFill="1" applyBorder="1" applyAlignment="1">
      <alignment horizontal="center" vertical="center" wrapText="1" shrinkToFit="1"/>
    </xf>
    <xf numFmtId="177" fontId="2" fillId="0" borderId="36" xfId="0" applyNumberFormat="1" applyFont="1" applyFill="1" applyBorder="1" applyAlignment="1">
      <alignment horizontal="right" vertical="center"/>
    </xf>
    <xf numFmtId="0" fontId="14" fillId="0" borderId="37" xfId="0" applyFont="1" applyFill="1" applyBorder="1" applyAlignment="1">
      <alignment horizontal="left" vertical="center" wrapText="1"/>
    </xf>
    <xf numFmtId="0" fontId="0" fillId="0" borderId="38" xfId="0" applyBorder="1" applyAlignment="1">
      <alignment horizontal="center" vertical="center" wrapText="1"/>
    </xf>
    <xf numFmtId="0" fontId="11" fillId="0" borderId="39" xfId="0" applyFont="1" applyFill="1" applyBorder="1" applyAlignment="1">
      <alignment horizontal="left" vertical="center" wrapText="1"/>
    </xf>
    <xf numFmtId="0" fontId="5" fillId="0" borderId="39" xfId="0" applyFont="1" applyFill="1" applyBorder="1" applyAlignment="1">
      <alignment horizontal="center" vertical="center" wrapText="1" shrinkToFit="1"/>
    </xf>
    <xf numFmtId="177" fontId="2" fillId="0" borderId="39" xfId="0" applyNumberFormat="1" applyFont="1" applyFill="1" applyBorder="1" applyAlignment="1">
      <alignment horizontal="right" vertical="center"/>
    </xf>
    <xf numFmtId="177" fontId="2" fillId="0" borderId="39" xfId="0" applyNumberFormat="1" applyFont="1" applyFill="1" applyBorder="1" applyAlignment="1">
      <alignment horizontal="center" vertical="center"/>
    </xf>
    <xf numFmtId="177" fontId="2" fillId="0" borderId="39" xfId="0" applyNumberFormat="1" applyFont="1" applyFill="1" applyBorder="1">
      <alignment vertical="center"/>
    </xf>
    <xf numFmtId="176" fontId="15" fillId="0" borderId="39" xfId="0" applyNumberFormat="1" applyFont="1" applyFill="1" applyBorder="1" applyAlignment="1">
      <alignment vertical="center" wrapText="1" shrinkToFit="1"/>
    </xf>
    <xf numFmtId="0" fontId="14" fillId="0" borderId="39" xfId="0" applyFont="1" applyFill="1" applyBorder="1" applyAlignment="1">
      <alignment horizontal="left" vertical="center" wrapText="1"/>
    </xf>
    <xf numFmtId="0" fontId="14" fillId="0" borderId="40" xfId="0" applyFont="1" applyFill="1" applyBorder="1" applyAlignment="1">
      <alignment horizontal="left" vertical="center" wrapText="1"/>
    </xf>
  </cellXfs>
  <cellStyles count="9">
    <cellStyle name="一般" xfId="0" builtinId="0"/>
    <cellStyle name="一般 2" xfId="2" xr:uid="{0C27F757-3FDF-463F-853F-C583A5D15231}"/>
    <cellStyle name="一般 2 2" xfId="3" xr:uid="{2C681FE5-3158-4052-8932-A0038CA8E3B6}"/>
    <cellStyle name="一般 3" xfId="4" xr:uid="{69E8A751-203F-432E-96CE-9F8F65DD162D}"/>
    <cellStyle name="一般 4" xfId="1" xr:uid="{0D263E10-0A5B-4E7C-8FEB-6FE6C5A1CAFF}"/>
    <cellStyle name="千分位 2" xfId="6" xr:uid="{0F92DE50-7B91-41B8-BCEC-C60AEB45E172}"/>
    <cellStyle name="千分位 3" xfId="5" xr:uid="{65FB6DB9-1031-42AF-BD33-12A4DD495D82}"/>
    <cellStyle name="百分比" xfId="8" builtinId="5"/>
    <cellStyle name="百分比 2" xfId="7" xr:uid="{1F986195-E77C-4AD0-9A56-251CF89F13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92FE-1191-4B80-8D2E-973D2AAA6E32}">
  <dimension ref="A1:G11"/>
  <sheetViews>
    <sheetView zoomScale="130" zoomScaleNormal="130" workbookViewId="0">
      <selection activeCell="E22" sqref="E22"/>
    </sheetView>
  </sheetViews>
  <sheetFormatPr defaultRowHeight="16.5"/>
  <cols>
    <col min="2" max="2" width="18.5" customWidth="1"/>
    <col min="7" max="7" width="18" customWidth="1"/>
  </cols>
  <sheetData>
    <row r="1" spans="1:7" ht="27">
      <c r="A1" s="125" t="s">
        <v>157</v>
      </c>
      <c r="B1" s="126" t="s">
        <v>96</v>
      </c>
      <c r="C1" s="127" t="s">
        <v>54</v>
      </c>
      <c r="D1" s="128">
        <v>100</v>
      </c>
      <c r="E1" s="128">
        <v>16850.810000000001</v>
      </c>
      <c r="F1" s="128"/>
      <c r="G1" s="129" t="s">
        <v>216</v>
      </c>
    </row>
    <row r="2" spans="1:7" ht="27">
      <c r="A2" s="111">
        <v>1</v>
      </c>
      <c r="B2" s="105" t="s">
        <v>195</v>
      </c>
      <c r="C2" s="106" t="s">
        <v>54</v>
      </c>
      <c r="D2" s="107">
        <v>100</v>
      </c>
      <c r="E2" s="107">
        <v>1130</v>
      </c>
      <c r="F2" s="107">
        <v>113000</v>
      </c>
      <c r="G2" s="108" t="s">
        <v>196</v>
      </c>
    </row>
    <row r="3" spans="1:7" ht="27">
      <c r="A3" s="111">
        <v>2</v>
      </c>
      <c r="B3" s="105" t="s">
        <v>197</v>
      </c>
      <c r="C3" s="106" t="s">
        <v>198</v>
      </c>
      <c r="D3" s="107">
        <v>1023.24</v>
      </c>
      <c r="E3" s="107">
        <v>1100</v>
      </c>
      <c r="F3" s="107">
        <v>1125564</v>
      </c>
      <c r="G3" s="108" t="s">
        <v>199</v>
      </c>
    </row>
    <row r="4" spans="1:7" ht="27">
      <c r="A4" s="111">
        <v>3</v>
      </c>
      <c r="B4" s="105" t="s">
        <v>200</v>
      </c>
      <c r="C4" s="106" t="s">
        <v>201</v>
      </c>
      <c r="D4" s="107">
        <v>85.27</v>
      </c>
      <c r="E4" s="107">
        <v>1200</v>
      </c>
      <c r="F4" s="107">
        <v>102324</v>
      </c>
      <c r="G4" s="108" t="s">
        <v>202</v>
      </c>
    </row>
    <row r="5" spans="1:7" ht="27">
      <c r="A5" s="111">
        <v>4</v>
      </c>
      <c r="B5" s="105" t="s">
        <v>203</v>
      </c>
      <c r="C5" s="106" t="s">
        <v>201</v>
      </c>
      <c r="D5" s="107">
        <v>85.27</v>
      </c>
      <c r="E5" s="107">
        <v>3360</v>
      </c>
      <c r="F5" s="107">
        <v>286507.2</v>
      </c>
      <c r="G5" s="108" t="s">
        <v>204</v>
      </c>
    </row>
    <row r="6" spans="1:7" ht="27">
      <c r="A6" s="111">
        <v>5</v>
      </c>
      <c r="B6" s="105" t="s">
        <v>205</v>
      </c>
      <c r="C6" s="106" t="s">
        <v>206</v>
      </c>
      <c r="D6" s="107">
        <v>27</v>
      </c>
      <c r="E6" s="107">
        <v>510</v>
      </c>
      <c r="F6" s="107">
        <v>13770</v>
      </c>
      <c r="G6" s="108" t="s">
        <v>207</v>
      </c>
    </row>
    <row r="7" spans="1:7" ht="27">
      <c r="A7" s="111">
        <v>6</v>
      </c>
      <c r="B7" s="105" t="s">
        <v>208</v>
      </c>
      <c r="C7" s="106" t="s">
        <v>206</v>
      </c>
      <c r="D7" s="107">
        <v>27</v>
      </c>
      <c r="E7" s="107">
        <v>25</v>
      </c>
      <c r="F7" s="107">
        <v>675</v>
      </c>
      <c r="G7" s="108" t="s">
        <v>209</v>
      </c>
    </row>
    <row r="8" spans="1:7" ht="27">
      <c r="A8" s="111">
        <v>7</v>
      </c>
      <c r="B8" s="105" t="s">
        <v>210</v>
      </c>
      <c r="C8" s="106" t="s">
        <v>57</v>
      </c>
      <c r="D8" s="107">
        <v>1</v>
      </c>
      <c r="E8" s="107">
        <v>10200</v>
      </c>
      <c r="F8" s="107">
        <v>10200</v>
      </c>
      <c r="G8" s="108" t="s">
        <v>211</v>
      </c>
    </row>
    <row r="9" spans="1:7" ht="27">
      <c r="A9" s="111">
        <v>8</v>
      </c>
      <c r="B9" s="105" t="s">
        <v>64</v>
      </c>
      <c r="C9" s="106" t="s">
        <v>57</v>
      </c>
      <c r="D9" s="107">
        <v>1</v>
      </c>
      <c r="E9" s="107">
        <v>33040.800000000003</v>
      </c>
      <c r="F9" s="107">
        <v>33040.800000000003</v>
      </c>
      <c r="G9" s="108" t="s">
        <v>65</v>
      </c>
    </row>
    <row r="10" spans="1:7">
      <c r="A10" s="111"/>
      <c r="B10" s="105" t="s">
        <v>66</v>
      </c>
      <c r="C10" s="106" t="s">
        <v>54</v>
      </c>
      <c r="D10" s="107">
        <v>100</v>
      </c>
      <c r="E10" s="107"/>
      <c r="F10" s="107">
        <v>1685081</v>
      </c>
      <c r="G10" s="108"/>
    </row>
    <row r="11" spans="1:7">
      <c r="A11" s="117"/>
      <c r="B11" s="118" t="s">
        <v>67</v>
      </c>
      <c r="C11" s="119" t="s">
        <v>54</v>
      </c>
      <c r="D11" s="124"/>
      <c r="E11" s="124"/>
      <c r="F11" s="124">
        <v>16850.810000000001</v>
      </c>
      <c r="G11" s="12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CDBFF-A7FB-47F2-A6EE-F4139AA47F23}">
  <dimension ref="A1:G8"/>
  <sheetViews>
    <sheetView zoomScale="130" zoomScaleNormal="130" workbookViewId="0">
      <selection activeCell="E22" sqref="E22"/>
    </sheetView>
  </sheetViews>
  <sheetFormatPr defaultRowHeight="16.5"/>
  <cols>
    <col min="2" max="2" width="18.5" customWidth="1"/>
    <col min="7" max="7" width="18" customWidth="1"/>
  </cols>
  <sheetData>
    <row r="1" spans="1:7" ht="27" customHeight="1">
      <c r="A1" s="86" t="s">
        <v>0</v>
      </c>
      <c r="B1" s="87" t="s">
        <v>151</v>
      </c>
      <c r="C1" s="87" t="s">
        <v>2</v>
      </c>
      <c r="D1" s="87" t="s">
        <v>153</v>
      </c>
      <c r="E1" s="87" t="s">
        <v>154</v>
      </c>
      <c r="F1" s="87" t="s">
        <v>155</v>
      </c>
      <c r="G1" s="88" t="s">
        <v>3</v>
      </c>
    </row>
    <row r="2" spans="1:7" ht="27" customHeight="1">
      <c r="A2" s="111" t="s">
        <v>157</v>
      </c>
      <c r="B2" s="105" t="s">
        <v>213</v>
      </c>
      <c r="C2" s="106" t="s">
        <v>214</v>
      </c>
      <c r="D2" s="112">
        <v>100</v>
      </c>
      <c r="E2" s="112">
        <f>F6</f>
        <v>168598.84</v>
      </c>
      <c r="F2" s="112"/>
      <c r="G2" s="108"/>
    </row>
    <row r="3" spans="1:7" ht="27" customHeight="1">
      <c r="A3" s="111">
        <v>1</v>
      </c>
      <c r="B3" s="105" t="s">
        <v>212</v>
      </c>
      <c r="C3" s="113" t="s">
        <v>198</v>
      </c>
      <c r="D3" s="114">
        <v>98.1</v>
      </c>
      <c r="E3" s="114">
        <v>1100</v>
      </c>
      <c r="F3" s="115">
        <f>D3*E3</f>
        <v>107910</v>
      </c>
      <c r="G3" s="116" t="s">
        <v>225</v>
      </c>
    </row>
    <row r="4" spans="1:7" ht="27" customHeight="1">
      <c r="A4" s="111">
        <v>2</v>
      </c>
      <c r="B4" s="105" t="s">
        <v>228</v>
      </c>
      <c r="C4" s="113" t="s">
        <v>54</v>
      </c>
      <c r="D4" s="114">
        <v>100</v>
      </c>
      <c r="E4" s="114">
        <v>450</v>
      </c>
      <c r="F4" s="115">
        <f t="shared" ref="F4:F5" si="0">D4*E4</f>
        <v>45000</v>
      </c>
      <c r="G4" s="116" t="s">
        <v>226</v>
      </c>
    </row>
    <row r="5" spans="1:7" ht="27" customHeight="1">
      <c r="A5" s="111">
        <v>3</v>
      </c>
      <c r="B5" s="105" t="s">
        <v>229</v>
      </c>
      <c r="C5" s="113" t="s">
        <v>57</v>
      </c>
      <c r="D5" s="114">
        <v>1</v>
      </c>
      <c r="E5" s="114">
        <v>15688.84</v>
      </c>
      <c r="F5" s="115">
        <f t="shared" si="0"/>
        <v>15688.84</v>
      </c>
      <c r="G5" s="116" t="s">
        <v>227</v>
      </c>
    </row>
    <row r="6" spans="1:7" ht="27" customHeight="1">
      <c r="A6" s="111"/>
      <c r="B6" s="105" t="s">
        <v>66</v>
      </c>
      <c r="C6" s="113" t="s">
        <v>54</v>
      </c>
      <c r="D6" s="114">
        <v>100</v>
      </c>
      <c r="E6" s="114"/>
      <c r="F6" s="115">
        <f>F3+F4+F5</f>
        <v>168598.84</v>
      </c>
      <c r="G6" s="116"/>
    </row>
    <row r="7" spans="1:7" ht="27" customHeight="1">
      <c r="A7" s="117"/>
      <c r="B7" s="118" t="s">
        <v>67</v>
      </c>
      <c r="C7" s="119" t="s">
        <v>54</v>
      </c>
      <c r="D7" s="120"/>
      <c r="E7" s="120"/>
      <c r="F7" s="120">
        <f>ROUND(F6/100,0)</f>
        <v>1686</v>
      </c>
      <c r="G7" s="121"/>
    </row>
    <row r="8" spans="1:7">
      <c r="A8" s="110"/>
      <c r="B8" s="110"/>
      <c r="C8" s="110"/>
      <c r="D8" s="110"/>
      <c r="E8" s="110"/>
      <c r="F8" s="110"/>
      <c r="G8" s="1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9BFB-CDE4-47D2-8D40-A25DE002269C}">
  <dimension ref="A1:G9"/>
  <sheetViews>
    <sheetView zoomScale="130" zoomScaleNormal="130" workbookViewId="0">
      <selection activeCell="E22" sqref="E22"/>
    </sheetView>
  </sheetViews>
  <sheetFormatPr defaultRowHeight="16.5"/>
  <cols>
    <col min="2" max="2" width="18.5" customWidth="1"/>
    <col min="7" max="7" width="18" customWidth="1"/>
  </cols>
  <sheetData>
    <row r="1" spans="1:7">
      <c r="A1" s="86" t="s">
        <v>0</v>
      </c>
      <c r="B1" s="87" t="s">
        <v>151</v>
      </c>
      <c r="C1" s="87" t="s">
        <v>2</v>
      </c>
      <c r="D1" s="87" t="s">
        <v>153</v>
      </c>
      <c r="E1" s="87" t="s">
        <v>154</v>
      </c>
      <c r="F1" s="87" t="s">
        <v>155</v>
      </c>
      <c r="G1" s="88" t="s">
        <v>3</v>
      </c>
    </row>
    <row r="2" spans="1:7">
      <c r="A2" s="89" t="s">
        <v>157</v>
      </c>
      <c r="B2" s="90" t="s">
        <v>173</v>
      </c>
      <c r="C2" s="77" t="s">
        <v>93</v>
      </c>
      <c r="D2" s="78">
        <v>10000</v>
      </c>
      <c r="E2" s="78">
        <f>F9</f>
        <v>0</v>
      </c>
      <c r="F2" s="78"/>
      <c r="G2" s="91"/>
    </row>
    <row r="3" spans="1:7" ht="31.5">
      <c r="A3" s="92">
        <v>1</v>
      </c>
      <c r="B3" s="90" t="s">
        <v>175</v>
      </c>
      <c r="C3" s="77" t="s">
        <v>9</v>
      </c>
      <c r="D3" s="78">
        <v>48</v>
      </c>
      <c r="E3" s="78">
        <v>2999.84</v>
      </c>
      <c r="F3" s="78">
        <f t="shared" ref="F3:F6" si="0">D3*E3</f>
        <v>143992.32000000001</v>
      </c>
      <c r="G3" s="91" t="s">
        <v>178</v>
      </c>
    </row>
    <row r="4" spans="1:7" ht="46.5" customHeight="1">
      <c r="A4" s="92">
        <v>2</v>
      </c>
      <c r="B4" s="90" t="s">
        <v>176</v>
      </c>
      <c r="C4" s="77" t="s">
        <v>9</v>
      </c>
      <c r="D4" s="78">
        <v>48</v>
      </c>
      <c r="E4" s="78">
        <v>374.98</v>
      </c>
      <c r="F4" s="78">
        <f t="shared" si="0"/>
        <v>17999.04</v>
      </c>
      <c r="G4" s="91" t="s">
        <v>179</v>
      </c>
    </row>
    <row r="5" spans="1:7" ht="35.25" customHeight="1">
      <c r="A5" s="92">
        <v>3</v>
      </c>
      <c r="B5" s="90" t="s">
        <v>177</v>
      </c>
      <c r="C5" s="77" t="s">
        <v>9</v>
      </c>
      <c r="D5" s="78">
        <v>96</v>
      </c>
      <c r="E5" s="78">
        <v>279.98</v>
      </c>
      <c r="F5" s="78">
        <f t="shared" si="0"/>
        <v>26878.080000000002</v>
      </c>
      <c r="G5" s="91" t="s">
        <v>180</v>
      </c>
    </row>
    <row r="6" spans="1:7" ht="32.25" customHeight="1">
      <c r="A6" s="92">
        <v>4</v>
      </c>
      <c r="B6" s="90" t="s">
        <v>64</v>
      </c>
      <c r="C6" s="77" t="s">
        <v>57</v>
      </c>
      <c r="D6" s="78">
        <v>1</v>
      </c>
      <c r="E6" s="78">
        <v>5666.08</v>
      </c>
      <c r="F6" s="78">
        <f t="shared" si="0"/>
        <v>5666.08</v>
      </c>
      <c r="G6" s="91" t="s">
        <v>65</v>
      </c>
    </row>
    <row r="7" spans="1:7" ht="32.25" customHeight="1">
      <c r="A7" s="92"/>
      <c r="B7" s="90" t="s">
        <v>66</v>
      </c>
      <c r="C7" s="77" t="s">
        <v>93</v>
      </c>
      <c r="D7" s="78">
        <v>10000</v>
      </c>
      <c r="E7" s="78"/>
      <c r="F7" s="78">
        <f>SUM(F1:F6)</f>
        <v>194535.52</v>
      </c>
      <c r="G7" s="91"/>
    </row>
    <row r="8" spans="1:7" ht="32.25" customHeight="1">
      <c r="A8" s="92"/>
      <c r="B8" s="90" t="s">
        <v>174</v>
      </c>
      <c r="C8" s="77" t="s">
        <v>93</v>
      </c>
      <c r="D8" s="78"/>
      <c r="E8" s="78"/>
      <c r="F8" s="78">
        <f>ROUND(F7/D7,2)</f>
        <v>19.45</v>
      </c>
      <c r="G8" s="91"/>
    </row>
    <row r="9" spans="1:7" ht="33.75" customHeight="1">
      <c r="A9" s="93"/>
      <c r="B9" s="94"/>
      <c r="C9" s="83"/>
      <c r="D9" s="84"/>
      <c r="E9" s="84"/>
      <c r="F9" s="84"/>
      <c r="G9" s="9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E1FB7-0F3C-4C12-A803-E3172560016D}">
  <dimension ref="A1:G7"/>
  <sheetViews>
    <sheetView zoomScale="145" zoomScaleNormal="145" workbookViewId="0">
      <selection activeCell="E22" sqref="E22"/>
    </sheetView>
  </sheetViews>
  <sheetFormatPr defaultRowHeight="16.5"/>
  <cols>
    <col min="2" max="2" width="18.5" customWidth="1"/>
    <col min="7" max="7" width="18" customWidth="1"/>
  </cols>
  <sheetData>
    <row r="1" spans="1:7">
      <c r="A1" s="72" t="s">
        <v>150</v>
      </c>
      <c r="B1" s="73" t="s">
        <v>151</v>
      </c>
      <c r="C1" s="73" t="s">
        <v>152</v>
      </c>
      <c r="D1" s="73" t="s">
        <v>153</v>
      </c>
      <c r="E1" s="73" t="s">
        <v>154</v>
      </c>
      <c r="F1" s="73" t="s">
        <v>155</v>
      </c>
      <c r="G1" s="74" t="s">
        <v>156</v>
      </c>
    </row>
    <row r="2" spans="1:7" ht="33">
      <c r="A2" s="75" t="s">
        <v>157</v>
      </c>
      <c r="B2" s="76" t="s">
        <v>158</v>
      </c>
      <c r="C2" s="77" t="s">
        <v>159</v>
      </c>
      <c r="D2" s="78">
        <f>D7</f>
        <v>10</v>
      </c>
      <c r="E2" s="78">
        <f>F7</f>
        <v>4207</v>
      </c>
      <c r="F2" s="78"/>
      <c r="G2" s="79"/>
    </row>
    <row r="3" spans="1:7" ht="33">
      <c r="A3" s="80">
        <v>1</v>
      </c>
      <c r="B3" s="76" t="s">
        <v>160</v>
      </c>
      <c r="C3" s="77" t="s">
        <v>9</v>
      </c>
      <c r="D3" s="78">
        <v>2</v>
      </c>
      <c r="E3" s="78">
        <v>1500</v>
      </c>
      <c r="F3" s="78">
        <f>D3*E3</f>
        <v>3000</v>
      </c>
      <c r="G3" s="79" t="s">
        <v>161</v>
      </c>
    </row>
    <row r="4" spans="1:7" ht="46.5" customHeight="1">
      <c r="A4" s="80">
        <v>2</v>
      </c>
      <c r="B4" s="76" t="s">
        <v>162</v>
      </c>
      <c r="C4" s="77" t="s">
        <v>9</v>
      </c>
      <c r="D4" s="78">
        <v>2</v>
      </c>
      <c r="E4" s="78">
        <v>375</v>
      </c>
      <c r="F4" s="78">
        <f t="shared" ref="F4:F6" si="0">D4*E4</f>
        <v>750</v>
      </c>
      <c r="G4" s="79" t="s">
        <v>163</v>
      </c>
    </row>
    <row r="5" spans="1:7" ht="35.25" customHeight="1">
      <c r="A5" s="80">
        <v>3</v>
      </c>
      <c r="B5" s="76" t="s">
        <v>164</v>
      </c>
      <c r="C5" s="77" t="s">
        <v>9</v>
      </c>
      <c r="D5" s="78">
        <v>1</v>
      </c>
      <c r="E5" s="78">
        <v>280</v>
      </c>
      <c r="F5" s="78">
        <f t="shared" si="0"/>
        <v>280</v>
      </c>
      <c r="G5" s="79" t="s">
        <v>165</v>
      </c>
    </row>
    <row r="6" spans="1:7" ht="32.25" customHeight="1">
      <c r="A6" s="80">
        <v>4</v>
      </c>
      <c r="B6" s="76" t="s">
        <v>64</v>
      </c>
      <c r="C6" s="77" t="s">
        <v>57</v>
      </c>
      <c r="D6" s="78">
        <v>1</v>
      </c>
      <c r="E6" s="78">
        <v>177</v>
      </c>
      <c r="F6" s="78">
        <f t="shared" si="0"/>
        <v>177</v>
      </c>
      <c r="G6" s="79" t="s">
        <v>65</v>
      </c>
    </row>
    <row r="7" spans="1:7" ht="33.75" customHeight="1">
      <c r="A7" s="81"/>
      <c r="B7" s="82" t="s">
        <v>66</v>
      </c>
      <c r="C7" s="83" t="s">
        <v>166</v>
      </c>
      <c r="D7" s="84">
        <v>10</v>
      </c>
      <c r="E7" s="84"/>
      <c r="F7" s="84">
        <f>SUM(F3:F6)</f>
        <v>4207</v>
      </c>
      <c r="G7" s="8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736B-3624-47AD-B837-257EB98DF029}">
  <dimension ref="A1:G8"/>
  <sheetViews>
    <sheetView zoomScale="115" zoomScaleNormal="115" workbookViewId="0">
      <selection activeCell="E22" sqref="E22"/>
    </sheetView>
  </sheetViews>
  <sheetFormatPr defaultRowHeight="16.5"/>
  <cols>
    <col min="2" max="2" width="18.5" customWidth="1"/>
    <col min="7" max="7" width="18" customWidth="1"/>
  </cols>
  <sheetData>
    <row r="1" spans="1:7" ht="27" customHeight="1">
      <c r="A1" s="72" t="s">
        <v>0</v>
      </c>
      <c r="B1" s="73" t="s">
        <v>151</v>
      </c>
      <c r="C1" s="73" t="s">
        <v>2</v>
      </c>
      <c r="D1" s="73" t="s">
        <v>153</v>
      </c>
      <c r="E1" s="73" t="s">
        <v>154</v>
      </c>
      <c r="F1" s="73" t="s">
        <v>155</v>
      </c>
      <c r="G1" s="74" t="s">
        <v>3</v>
      </c>
    </row>
    <row r="2" spans="1:7" ht="27" customHeight="1">
      <c r="A2" s="122" t="s">
        <v>53</v>
      </c>
      <c r="B2" s="105" t="s">
        <v>68</v>
      </c>
      <c r="C2" s="106" t="s">
        <v>54</v>
      </c>
      <c r="D2" s="107">
        <v>1</v>
      </c>
      <c r="E2" s="107">
        <f>F8</f>
        <v>1947.2</v>
      </c>
      <c r="F2" s="107"/>
      <c r="G2" s="108" t="s">
        <v>55</v>
      </c>
    </row>
    <row r="3" spans="1:7" ht="27" customHeight="1">
      <c r="A3" s="122">
        <v>1</v>
      </c>
      <c r="B3" s="105" t="s">
        <v>56</v>
      </c>
      <c r="C3" s="106" t="s">
        <v>57</v>
      </c>
      <c r="D3" s="107">
        <v>1</v>
      </c>
      <c r="E3" s="107">
        <v>60</v>
      </c>
      <c r="F3" s="107">
        <f>D3*E3</f>
        <v>60</v>
      </c>
      <c r="G3" s="108" t="s">
        <v>58</v>
      </c>
    </row>
    <row r="4" spans="1:7" ht="27" customHeight="1">
      <c r="A4" s="122">
        <v>2</v>
      </c>
      <c r="B4" s="105" t="s">
        <v>59</v>
      </c>
      <c r="C4" s="106" t="s">
        <v>60</v>
      </c>
      <c r="D4" s="107">
        <v>23.55</v>
      </c>
      <c r="E4" s="107">
        <v>64</v>
      </c>
      <c r="F4" s="107">
        <f t="shared" ref="F4:F6" si="0">D4*E4</f>
        <v>1507.2</v>
      </c>
      <c r="G4" s="108" t="s">
        <v>61</v>
      </c>
    </row>
    <row r="5" spans="1:7" ht="27" customHeight="1">
      <c r="A5" s="122">
        <v>3</v>
      </c>
      <c r="B5" s="105" t="s">
        <v>62</v>
      </c>
      <c r="C5" s="106" t="s">
        <v>57</v>
      </c>
      <c r="D5" s="107">
        <v>1</v>
      </c>
      <c r="E5" s="107">
        <v>280</v>
      </c>
      <c r="F5" s="107">
        <f t="shared" si="0"/>
        <v>280</v>
      </c>
      <c r="G5" s="108" t="s">
        <v>63</v>
      </c>
    </row>
    <row r="6" spans="1:7" ht="27" customHeight="1">
      <c r="A6" s="122">
        <v>4</v>
      </c>
      <c r="B6" s="105" t="s">
        <v>64</v>
      </c>
      <c r="C6" s="106" t="s">
        <v>57</v>
      </c>
      <c r="D6" s="107">
        <v>1</v>
      </c>
      <c r="E6" s="107">
        <v>100</v>
      </c>
      <c r="F6" s="107">
        <f t="shared" si="0"/>
        <v>100</v>
      </c>
      <c r="G6" s="108" t="s">
        <v>65</v>
      </c>
    </row>
    <row r="7" spans="1:7" ht="27" customHeight="1">
      <c r="A7" s="122"/>
      <c r="B7" s="105" t="s">
        <v>66</v>
      </c>
      <c r="C7" s="106" t="s">
        <v>54</v>
      </c>
      <c r="D7" s="107">
        <v>1</v>
      </c>
      <c r="E7" s="107"/>
      <c r="F7" s="107">
        <f>SUM(F3:F6)</f>
        <v>1947.2</v>
      </c>
      <c r="G7" s="108"/>
    </row>
    <row r="8" spans="1:7" ht="27" customHeight="1">
      <c r="A8" s="123"/>
      <c r="B8" s="118" t="s">
        <v>67</v>
      </c>
      <c r="C8" s="119" t="s">
        <v>54</v>
      </c>
      <c r="D8" s="124"/>
      <c r="E8" s="124"/>
      <c r="F8" s="124">
        <f>F7</f>
        <v>1947.2</v>
      </c>
      <c r="G8" s="12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F42EF-D57A-4E88-9A8B-8FF6C5A99C63}">
  <sheetPr>
    <pageSetUpPr fitToPage="1"/>
  </sheetPr>
  <dimension ref="A1:M62"/>
  <sheetViews>
    <sheetView tabSelected="1" zoomScaleNormal="100" workbookViewId="0">
      <pane xSplit="1" ySplit="2" topLeftCell="B52" activePane="bottomRight" state="frozen"/>
      <selection pane="topRight" activeCell="B1" sqref="B1"/>
      <selection pane="bottomLeft" activeCell="A3" sqref="A3"/>
      <selection pane="bottomRight" activeCell="G71" sqref="G71"/>
    </sheetView>
  </sheetViews>
  <sheetFormatPr defaultRowHeight="16.5"/>
  <cols>
    <col min="1" max="1" width="9" style="1"/>
    <col min="2" max="2" width="39.25" style="40" customWidth="1"/>
    <col min="3" max="3" width="6.5" style="8" customWidth="1"/>
    <col min="4" max="4" width="13.25" style="54" customWidth="1"/>
    <col min="5" max="5" width="11.25" style="1" customWidth="1"/>
    <col min="6" max="6" width="11.375" style="1" customWidth="1"/>
    <col min="7" max="7" width="12" style="1" customWidth="1"/>
    <col min="8" max="8" width="12.5" style="1" customWidth="1"/>
    <col min="9" max="9" width="15.5" style="6" customWidth="1"/>
    <col min="10" max="10" width="15.5" style="1" customWidth="1"/>
    <col min="11" max="11" width="21.375" style="1" customWidth="1"/>
    <col min="12" max="13" width="22.25" style="1" customWidth="1"/>
  </cols>
  <sheetData>
    <row r="1" spans="1:13" ht="21.75" thickBot="1">
      <c r="A1" s="138" t="s">
        <v>32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</row>
    <row r="2" spans="1:13" ht="28.5" customHeight="1">
      <c r="A2" s="23" t="s">
        <v>0</v>
      </c>
      <c r="B2" s="36" t="s">
        <v>1</v>
      </c>
      <c r="C2" s="25" t="s">
        <v>2</v>
      </c>
      <c r="D2" s="56" t="s">
        <v>15</v>
      </c>
      <c r="E2" s="25" t="s">
        <v>16</v>
      </c>
      <c r="F2" s="25" t="s">
        <v>17</v>
      </c>
      <c r="G2" s="24" t="s">
        <v>18</v>
      </c>
      <c r="H2" s="24" t="s">
        <v>23</v>
      </c>
      <c r="I2" s="26" t="s">
        <v>22</v>
      </c>
      <c r="J2" s="24" t="s">
        <v>19</v>
      </c>
      <c r="K2" s="24" t="s">
        <v>20</v>
      </c>
      <c r="L2" s="25" t="s">
        <v>3</v>
      </c>
      <c r="M2" s="27" t="s">
        <v>24</v>
      </c>
    </row>
    <row r="3" spans="1:13" ht="48">
      <c r="A3" s="135">
        <v>1</v>
      </c>
      <c r="B3" s="37" t="s">
        <v>37</v>
      </c>
      <c r="C3" s="19" t="s">
        <v>6</v>
      </c>
      <c r="D3" s="51">
        <v>0</v>
      </c>
      <c r="E3" s="19">
        <v>502.06</v>
      </c>
      <c r="F3" s="9">
        <f t="shared" ref="F3:F14" si="0">E3-D3</f>
        <v>502.06</v>
      </c>
      <c r="G3" s="15"/>
      <c r="H3" s="10">
        <f>鋼模單價分析!F8</f>
        <v>1947.2</v>
      </c>
      <c r="I3" s="10">
        <f>H3*F3</f>
        <v>977611.23200000008</v>
      </c>
      <c r="J3" s="15"/>
      <c r="K3" s="11" t="s">
        <v>45</v>
      </c>
      <c r="L3" s="12" t="s">
        <v>221</v>
      </c>
      <c r="M3" s="132" t="s">
        <v>108</v>
      </c>
    </row>
    <row r="4" spans="1:13" ht="31.5">
      <c r="A4" s="135"/>
      <c r="B4" s="38" t="s">
        <v>46</v>
      </c>
      <c r="C4" s="19" t="s">
        <v>5</v>
      </c>
      <c r="D4" s="51">
        <v>0</v>
      </c>
      <c r="E4" s="18">
        <v>1530.9</v>
      </c>
      <c r="F4" s="9">
        <f t="shared" si="0"/>
        <v>1530.9</v>
      </c>
      <c r="G4" s="15"/>
      <c r="H4" s="21">
        <v>1465.18</v>
      </c>
      <c r="I4" s="10">
        <f>F4*H4</f>
        <v>2243044.0620000004</v>
      </c>
      <c r="J4" s="15"/>
      <c r="K4" s="11" t="s">
        <v>47</v>
      </c>
      <c r="L4" s="12" t="s">
        <v>48</v>
      </c>
      <c r="M4" s="132"/>
    </row>
    <row r="5" spans="1:13" ht="24">
      <c r="A5" s="135"/>
      <c r="B5" s="37" t="s">
        <v>38</v>
      </c>
      <c r="C5" s="19" t="s">
        <v>51</v>
      </c>
      <c r="D5" s="51"/>
      <c r="E5" s="19">
        <f>20*2.4</f>
        <v>48</v>
      </c>
      <c r="F5" s="9">
        <f t="shared" si="0"/>
        <v>48</v>
      </c>
      <c r="G5" s="15"/>
      <c r="H5" s="15">
        <v>695.3</v>
      </c>
      <c r="I5" s="10">
        <f>F5*H5</f>
        <v>33374.399999999994</v>
      </c>
      <c r="J5" s="15"/>
      <c r="K5" s="11" t="s">
        <v>73</v>
      </c>
      <c r="L5" s="12" t="s">
        <v>72</v>
      </c>
      <c r="M5" s="132"/>
    </row>
    <row r="6" spans="1:13" ht="154.5" customHeight="1">
      <c r="A6" s="135"/>
      <c r="B6" s="37" t="s">
        <v>39</v>
      </c>
      <c r="C6" s="19" t="s">
        <v>51</v>
      </c>
      <c r="D6" s="51"/>
      <c r="E6" s="19">
        <v>518.22</v>
      </c>
      <c r="F6" s="9">
        <f t="shared" si="0"/>
        <v>518.22</v>
      </c>
      <c r="G6" s="15"/>
      <c r="H6" s="15">
        <v>868.91</v>
      </c>
      <c r="I6" s="10">
        <f>F6*H6</f>
        <v>450286.54019999999</v>
      </c>
      <c r="J6" s="15"/>
      <c r="K6" s="11" t="s">
        <v>49</v>
      </c>
      <c r="L6" s="12" t="s">
        <v>52</v>
      </c>
      <c r="M6" s="132"/>
    </row>
    <row r="7" spans="1:13" ht="38.1" customHeight="1">
      <c r="A7" s="135"/>
      <c r="B7" s="38" t="s">
        <v>12</v>
      </c>
      <c r="C7" s="14" t="s">
        <v>4</v>
      </c>
      <c r="D7" s="51">
        <v>0</v>
      </c>
      <c r="E7" s="9">
        <v>410</v>
      </c>
      <c r="F7" s="9">
        <f>E7-D7</f>
        <v>410</v>
      </c>
      <c r="G7" s="10"/>
      <c r="H7" s="10">
        <v>571.08000000000004</v>
      </c>
      <c r="I7" s="10">
        <f>H7*F7</f>
        <v>234142.80000000002</v>
      </c>
      <c r="J7" s="10"/>
      <c r="K7" s="11" t="s">
        <v>30</v>
      </c>
      <c r="L7" s="12" t="s">
        <v>133</v>
      </c>
      <c r="M7" s="132"/>
    </row>
    <row r="8" spans="1:13" ht="31.5">
      <c r="A8" s="135"/>
      <c r="B8" s="38" t="s">
        <v>29</v>
      </c>
      <c r="C8" s="14" t="s">
        <v>14</v>
      </c>
      <c r="D8" s="51">
        <v>0</v>
      </c>
      <c r="E8" s="9">
        <f>0.3*0.3*3.14*410</f>
        <v>115.86600000000001</v>
      </c>
      <c r="F8" s="9">
        <f>E8-D8</f>
        <v>115.86600000000001</v>
      </c>
      <c r="G8" s="10"/>
      <c r="H8" s="10">
        <f>H16</f>
        <v>3943.73</v>
      </c>
      <c r="I8" s="10">
        <f>H8*F8</f>
        <v>456944.22018000006</v>
      </c>
      <c r="J8" s="10"/>
      <c r="K8" s="11" t="s">
        <v>43</v>
      </c>
      <c r="L8" s="12" t="s">
        <v>42</v>
      </c>
      <c r="M8" s="132"/>
    </row>
    <row r="9" spans="1:13" ht="24" customHeight="1">
      <c r="A9" s="135"/>
      <c r="B9" s="38" t="s">
        <v>74</v>
      </c>
      <c r="C9" s="14" t="s">
        <v>4</v>
      </c>
      <c r="D9" s="51">
        <v>429</v>
      </c>
      <c r="E9" s="9">
        <v>0</v>
      </c>
      <c r="F9" s="9">
        <f>E9-D9</f>
        <v>-429</v>
      </c>
      <c r="G9" s="10">
        <v>1707.13</v>
      </c>
      <c r="H9" s="10"/>
      <c r="I9" s="10"/>
      <c r="J9" s="10">
        <f>G9*F9</f>
        <v>-732358.77</v>
      </c>
      <c r="K9" s="11" t="s">
        <v>31</v>
      </c>
      <c r="L9" s="12" t="s">
        <v>107</v>
      </c>
      <c r="M9" s="132"/>
    </row>
    <row r="10" spans="1:13" ht="24">
      <c r="A10" s="135"/>
      <c r="B10" s="37" t="s">
        <v>40</v>
      </c>
      <c r="C10" s="19" t="s">
        <v>5</v>
      </c>
      <c r="D10" s="51">
        <v>0</v>
      </c>
      <c r="E10" s="19">
        <f>0.3*0.3*3.14*E7</f>
        <v>115.86600000000001</v>
      </c>
      <c r="F10" s="9">
        <f t="shared" si="0"/>
        <v>115.86600000000001</v>
      </c>
      <c r="G10" s="15">
        <v>1481.91</v>
      </c>
      <c r="H10" s="15"/>
      <c r="I10" s="10">
        <f>F10*G10</f>
        <v>171702.98406000002</v>
      </c>
      <c r="J10" s="15"/>
      <c r="K10" s="11" t="s">
        <v>43</v>
      </c>
      <c r="L10" s="12" t="s">
        <v>71</v>
      </c>
      <c r="M10" s="132"/>
    </row>
    <row r="11" spans="1:13">
      <c r="A11" s="135"/>
      <c r="B11" s="37" t="s">
        <v>41</v>
      </c>
      <c r="C11" s="19" t="s">
        <v>51</v>
      </c>
      <c r="D11" s="51">
        <v>272</v>
      </c>
      <c r="E11" s="19">
        <v>32675</v>
      </c>
      <c r="F11" s="9">
        <f t="shared" si="0"/>
        <v>32403</v>
      </c>
      <c r="G11" s="15">
        <v>28</v>
      </c>
      <c r="H11" s="15"/>
      <c r="I11" s="10">
        <f>F11*G11</f>
        <v>907284</v>
      </c>
      <c r="J11" s="15"/>
      <c r="K11" s="11" t="s">
        <v>44</v>
      </c>
      <c r="L11" s="12" t="s">
        <v>50</v>
      </c>
      <c r="M11" s="132"/>
    </row>
    <row r="12" spans="1:13" ht="36">
      <c r="A12" s="135"/>
      <c r="B12" s="37" t="s">
        <v>137</v>
      </c>
      <c r="C12" s="19" t="s">
        <v>69</v>
      </c>
      <c r="D12" s="51">
        <v>0</v>
      </c>
      <c r="E12" s="18">
        <f>150400+12205+2300.86</f>
        <v>164905.85999999999</v>
      </c>
      <c r="F12" s="13">
        <f t="shared" si="0"/>
        <v>164905.85999999999</v>
      </c>
      <c r="G12" s="15"/>
      <c r="H12" s="15">
        <f>鋼構吊裝單價分析!F8</f>
        <v>19.45</v>
      </c>
      <c r="I12" s="10">
        <f>F12*H12</f>
        <v>3207418.9769999995</v>
      </c>
      <c r="J12" s="15"/>
      <c r="K12" s="11" t="s">
        <v>70</v>
      </c>
      <c r="L12" s="12" t="s">
        <v>222</v>
      </c>
      <c r="M12" s="132"/>
    </row>
    <row r="13" spans="1:13">
      <c r="A13" s="135"/>
      <c r="B13" s="37" t="s">
        <v>138</v>
      </c>
      <c r="C13" s="19" t="s">
        <v>139</v>
      </c>
      <c r="D13" s="51">
        <v>1140.1600000000001</v>
      </c>
      <c r="E13" s="60">
        <f>350*1.8*2+1140.16</f>
        <v>2400.16</v>
      </c>
      <c r="F13" s="9">
        <f t="shared" si="0"/>
        <v>1259.9999999999998</v>
      </c>
      <c r="G13" s="15">
        <v>692.16</v>
      </c>
      <c r="H13" s="15"/>
      <c r="I13" s="10">
        <f>F13*G13</f>
        <v>872121.59999999986</v>
      </c>
      <c r="J13" s="15"/>
      <c r="K13" s="11" t="s">
        <v>140</v>
      </c>
      <c r="L13" s="12" t="s">
        <v>141</v>
      </c>
      <c r="M13" s="132"/>
    </row>
    <row r="14" spans="1:13">
      <c r="A14" s="135"/>
      <c r="B14" s="38" t="s">
        <v>11</v>
      </c>
      <c r="C14" s="14" t="s">
        <v>76</v>
      </c>
      <c r="D14" s="51">
        <v>1278</v>
      </c>
      <c r="E14" s="18">
        <f>D14+1032.5/12</f>
        <v>1364.0416666666667</v>
      </c>
      <c r="F14" s="9">
        <f t="shared" si="0"/>
        <v>86.041666666666742</v>
      </c>
      <c r="G14" s="10">
        <v>3082.28</v>
      </c>
      <c r="H14" s="10"/>
      <c r="I14" s="10">
        <f>F14*G14</f>
        <v>265204.50833333359</v>
      </c>
      <c r="J14" s="10"/>
      <c r="K14" s="11" t="s">
        <v>77</v>
      </c>
      <c r="L14" s="12" t="s">
        <v>78</v>
      </c>
      <c r="M14" s="132"/>
    </row>
    <row r="15" spans="1:13" ht="33.950000000000003" customHeight="1">
      <c r="A15" s="135">
        <v>2</v>
      </c>
      <c r="B15" s="38" t="s">
        <v>28</v>
      </c>
      <c r="C15" s="14" t="s">
        <v>14</v>
      </c>
      <c r="D15" s="51">
        <v>690</v>
      </c>
      <c r="E15" s="9">
        <v>0</v>
      </c>
      <c r="F15" s="9">
        <f>E15-D15</f>
        <v>-690</v>
      </c>
      <c r="G15" s="10">
        <v>3643.73</v>
      </c>
      <c r="H15" s="10"/>
      <c r="I15" s="16"/>
      <c r="J15" s="10">
        <f>G15*F15</f>
        <v>-2514173.7000000002</v>
      </c>
      <c r="K15" s="15" t="s">
        <v>25</v>
      </c>
      <c r="L15" s="12" t="s">
        <v>26</v>
      </c>
      <c r="M15" s="132" t="s">
        <v>110</v>
      </c>
    </row>
    <row r="16" spans="1:13" ht="33.950000000000003" customHeight="1">
      <c r="A16" s="135"/>
      <c r="B16" s="38" t="s">
        <v>29</v>
      </c>
      <c r="C16" s="14" t="s">
        <v>14</v>
      </c>
      <c r="D16" s="51">
        <v>0</v>
      </c>
      <c r="E16" s="9">
        <v>690</v>
      </c>
      <c r="F16" s="9">
        <f t="shared" ref="F16:F48" si="1">E16-D16</f>
        <v>690</v>
      </c>
      <c r="G16" s="10"/>
      <c r="H16" s="10">
        <f>G15+300</f>
        <v>3943.73</v>
      </c>
      <c r="I16" s="10">
        <f>H16*F16</f>
        <v>2721173.7</v>
      </c>
      <c r="J16" s="10"/>
      <c r="K16" s="15" t="s">
        <v>25</v>
      </c>
      <c r="L16" s="12" t="s">
        <v>26</v>
      </c>
      <c r="M16" s="132"/>
    </row>
    <row r="17" spans="1:13" ht="42.75" customHeight="1">
      <c r="A17" s="135">
        <v>3</v>
      </c>
      <c r="B17" s="38" t="s">
        <v>27</v>
      </c>
      <c r="C17" s="14" t="s">
        <v>6</v>
      </c>
      <c r="D17" s="51">
        <v>0</v>
      </c>
      <c r="E17" s="9">
        <f>1984*9</f>
        <v>17856</v>
      </c>
      <c r="F17" s="9">
        <f>E17-D17</f>
        <v>17856</v>
      </c>
      <c r="G17" s="10"/>
      <c r="H17" s="10">
        <v>150</v>
      </c>
      <c r="I17" s="10">
        <f>H17*F17</f>
        <v>2678400</v>
      </c>
      <c r="J17" s="10"/>
      <c r="K17" s="11" t="s">
        <v>172</v>
      </c>
      <c r="L17" s="12" t="s">
        <v>171</v>
      </c>
      <c r="M17" s="132" t="s">
        <v>109</v>
      </c>
    </row>
    <row r="18" spans="1:13" ht="63" customHeight="1">
      <c r="A18" s="135"/>
      <c r="B18" s="17" t="s">
        <v>13</v>
      </c>
      <c r="C18" s="14" t="s">
        <v>7</v>
      </c>
      <c r="D18" s="51">
        <v>91</v>
      </c>
      <c r="E18" s="9">
        <v>291</v>
      </c>
      <c r="F18" s="9">
        <f t="shared" si="1"/>
        <v>200</v>
      </c>
      <c r="G18" s="10">
        <v>3386.57</v>
      </c>
      <c r="H18" s="10"/>
      <c r="I18" s="10">
        <f>F18*G18</f>
        <v>677314</v>
      </c>
      <c r="J18" s="10"/>
      <c r="K18" s="11"/>
      <c r="L18" s="12" t="s">
        <v>111</v>
      </c>
      <c r="M18" s="132"/>
    </row>
    <row r="19" spans="1:13" ht="46.5" customHeight="1">
      <c r="A19" s="135"/>
      <c r="B19" s="17" t="s">
        <v>115</v>
      </c>
      <c r="C19" s="14" t="s">
        <v>36</v>
      </c>
      <c r="D19" s="51">
        <v>0</v>
      </c>
      <c r="E19" s="9">
        <f>20</f>
        <v>20</v>
      </c>
      <c r="F19" s="9">
        <f>E19-D19</f>
        <v>20</v>
      </c>
      <c r="G19" s="10">
        <v>0</v>
      </c>
      <c r="H19" s="10">
        <v>50000</v>
      </c>
      <c r="I19" s="10">
        <f>H19*F19</f>
        <v>1000000</v>
      </c>
      <c r="J19" s="10"/>
      <c r="K19" s="11"/>
      <c r="L19" s="12" t="s">
        <v>114</v>
      </c>
      <c r="M19" s="132"/>
    </row>
    <row r="20" spans="1:13" ht="38.1" customHeight="1">
      <c r="A20" s="22">
        <v>4</v>
      </c>
      <c r="B20" s="17" t="s">
        <v>35</v>
      </c>
      <c r="C20" s="14" t="s">
        <v>34</v>
      </c>
      <c r="D20" s="51">
        <v>0</v>
      </c>
      <c r="E20" s="9">
        <v>2</v>
      </c>
      <c r="F20" s="9">
        <f t="shared" si="1"/>
        <v>2</v>
      </c>
      <c r="G20" s="10">
        <v>0</v>
      </c>
      <c r="H20" s="10">
        <f>63000*1.2</f>
        <v>75600</v>
      </c>
      <c r="I20" s="10">
        <f>H20*F20</f>
        <v>151200</v>
      </c>
      <c r="J20" s="10"/>
      <c r="K20" s="11"/>
      <c r="L20" s="12" t="s">
        <v>116</v>
      </c>
      <c r="M20" s="20" t="s">
        <v>112</v>
      </c>
    </row>
    <row r="21" spans="1:13" ht="24" customHeight="1">
      <c r="A21" s="135">
        <v>5</v>
      </c>
      <c r="B21" s="65" t="s">
        <v>145</v>
      </c>
      <c r="C21" s="66" t="s">
        <v>51</v>
      </c>
      <c r="D21" s="67">
        <v>699</v>
      </c>
      <c r="E21" s="68">
        <f>699+1106</f>
        <v>1805</v>
      </c>
      <c r="F21" s="68">
        <f t="shared" si="1"/>
        <v>1106</v>
      </c>
      <c r="G21" s="69">
        <v>2510.79</v>
      </c>
      <c r="H21" s="69"/>
      <c r="I21" s="69">
        <f>F21*G21</f>
        <v>2776933.7399999998</v>
      </c>
      <c r="J21" s="69"/>
      <c r="K21" s="70"/>
      <c r="L21" s="71" t="s">
        <v>189</v>
      </c>
      <c r="M21" s="132" t="s">
        <v>113</v>
      </c>
    </row>
    <row r="22" spans="1:13" ht="24" customHeight="1">
      <c r="A22" s="135"/>
      <c r="B22" s="65" t="s">
        <v>147</v>
      </c>
      <c r="C22" s="66" t="s">
        <v>8</v>
      </c>
      <c r="D22" s="67">
        <v>0</v>
      </c>
      <c r="E22" s="68">
        <v>405</v>
      </c>
      <c r="F22" s="68">
        <f t="shared" si="1"/>
        <v>405</v>
      </c>
      <c r="G22" s="69"/>
      <c r="H22" s="69">
        <v>3430.79</v>
      </c>
      <c r="I22" s="69">
        <f>H22*F22</f>
        <v>1389469.95</v>
      </c>
      <c r="J22" s="69"/>
      <c r="K22" s="70"/>
      <c r="L22" s="71" t="s">
        <v>146</v>
      </c>
      <c r="M22" s="132"/>
    </row>
    <row r="23" spans="1:13" ht="38.1" customHeight="1">
      <c r="A23" s="135"/>
      <c r="B23" s="65" t="s">
        <v>148</v>
      </c>
      <c r="C23" s="66" t="s">
        <v>79</v>
      </c>
      <c r="D23" s="67">
        <v>0</v>
      </c>
      <c r="E23" s="68">
        <v>73.48</v>
      </c>
      <c r="F23" s="68">
        <f t="shared" si="1"/>
        <v>73.48</v>
      </c>
      <c r="G23" s="69">
        <v>0</v>
      </c>
      <c r="H23" s="69">
        <v>840</v>
      </c>
      <c r="I23" s="69">
        <f>H23*F23</f>
        <v>61723.200000000004</v>
      </c>
      <c r="J23" s="69"/>
      <c r="K23" s="71"/>
      <c r="L23" s="71"/>
      <c r="M23" s="132"/>
    </row>
    <row r="24" spans="1:13" ht="38.1" customHeight="1">
      <c r="A24" s="135"/>
      <c r="B24" s="38" t="s">
        <v>11</v>
      </c>
      <c r="C24" s="14" t="s">
        <v>76</v>
      </c>
      <c r="D24" s="51">
        <v>1278</v>
      </c>
      <c r="E24" s="58">
        <f>(17855.4+7089+3217)/12</f>
        <v>2346.7833333333333</v>
      </c>
      <c r="F24" s="9">
        <f t="shared" si="1"/>
        <v>1068.7833333333333</v>
      </c>
      <c r="G24" s="10">
        <v>3082.28</v>
      </c>
      <c r="H24" s="10"/>
      <c r="I24" s="10">
        <f>F24*G24</f>
        <v>3294289.4926666669</v>
      </c>
      <c r="J24" s="12"/>
      <c r="K24" s="12" t="s">
        <v>170</v>
      </c>
      <c r="L24" s="12"/>
      <c r="M24" s="132"/>
    </row>
    <row r="25" spans="1:13" ht="24" customHeight="1">
      <c r="A25" s="135"/>
      <c r="B25" s="65" t="s">
        <v>149</v>
      </c>
      <c r="C25" s="66" t="s">
        <v>21</v>
      </c>
      <c r="D25" s="67">
        <v>0</v>
      </c>
      <c r="E25" s="68">
        <v>22240</v>
      </c>
      <c r="F25" s="68">
        <f t="shared" si="1"/>
        <v>22240</v>
      </c>
      <c r="G25" s="69">
        <v>0</v>
      </c>
      <c r="H25" s="41">
        <f>篩分單價分析!F7/10</f>
        <v>420.7</v>
      </c>
      <c r="I25" s="69">
        <f>H25*F25</f>
        <v>9356368</v>
      </c>
      <c r="J25" s="69"/>
      <c r="K25" s="70" t="s">
        <v>144</v>
      </c>
      <c r="L25" s="71" t="s">
        <v>81</v>
      </c>
      <c r="M25" s="132"/>
    </row>
    <row r="26" spans="1:13" ht="47.25" customHeight="1">
      <c r="A26" s="135"/>
      <c r="B26" s="17" t="s">
        <v>134</v>
      </c>
      <c r="C26" s="14" t="s">
        <v>14</v>
      </c>
      <c r="D26" s="51">
        <v>1268.9000000000001</v>
      </c>
      <c r="E26" s="42">
        <f>E25*0.2+D26-3217</f>
        <v>2499.8999999999996</v>
      </c>
      <c r="F26" s="9">
        <f t="shared" si="1"/>
        <v>1230.9999999999995</v>
      </c>
      <c r="G26" s="10">
        <v>2492.81</v>
      </c>
      <c r="H26" s="10"/>
      <c r="I26" s="10">
        <f>F26*G26</f>
        <v>3068649.1099999989</v>
      </c>
      <c r="J26" s="10"/>
      <c r="K26" s="12" t="s">
        <v>169</v>
      </c>
      <c r="L26" s="12" t="s">
        <v>142</v>
      </c>
      <c r="M26" s="132"/>
    </row>
    <row r="27" spans="1:13" ht="47.25" customHeight="1">
      <c r="A27" s="135"/>
      <c r="B27" s="65" t="s">
        <v>134</v>
      </c>
      <c r="C27" s="66" t="s">
        <v>14</v>
      </c>
      <c r="D27" s="67">
        <v>1268.9000000000001</v>
      </c>
      <c r="E27" s="68">
        <f>D27+205.19</f>
        <v>1474.0900000000001</v>
      </c>
      <c r="F27" s="68">
        <f t="shared" ref="F27" si="2">E27-D27</f>
        <v>205.19000000000005</v>
      </c>
      <c r="G27" s="69">
        <v>2492.81</v>
      </c>
      <c r="H27" s="69"/>
      <c r="I27" s="69">
        <f>F27*G27</f>
        <v>511499.68390000012</v>
      </c>
      <c r="J27" s="69"/>
      <c r="K27" s="71"/>
      <c r="L27" s="71" t="s">
        <v>143</v>
      </c>
      <c r="M27" s="132"/>
    </row>
    <row r="28" spans="1:13" ht="24" customHeight="1">
      <c r="A28" s="135"/>
      <c r="B28" s="65" t="s">
        <v>84</v>
      </c>
      <c r="C28" s="66" t="s">
        <v>82</v>
      </c>
      <c r="D28" s="67">
        <v>0</v>
      </c>
      <c r="E28" s="68">
        <v>1</v>
      </c>
      <c r="F28" s="68">
        <f t="shared" si="1"/>
        <v>1</v>
      </c>
      <c r="G28" s="69"/>
      <c r="H28" s="69">
        <v>75000</v>
      </c>
      <c r="I28" s="69">
        <f>H28*F28</f>
        <v>75000</v>
      </c>
      <c r="J28" s="69"/>
      <c r="K28" s="70"/>
      <c r="L28" s="71" t="s">
        <v>83</v>
      </c>
      <c r="M28" s="132"/>
    </row>
    <row r="29" spans="1:13" ht="41.25" customHeight="1">
      <c r="A29" s="22">
        <v>6</v>
      </c>
      <c r="B29" s="17" t="s">
        <v>85</v>
      </c>
      <c r="C29" s="14" t="s">
        <v>51</v>
      </c>
      <c r="D29" s="51">
        <v>0</v>
      </c>
      <c r="E29" s="9">
        <v>138.05000000000001</v>
      </c>
      <c r="F29" s="9">
        <f t="shared" si="1"/>
        <v>138.05000000000001</v>
      </c>
      <c r="G29" s="10"/>
      <c r="H29" s="10">
        <v>192.06</v>
      </c>
      <c r="I29" s="10">
        <f>H29*F29</f>
        <v>26513.883000000002</v>
      </c>
      <c r="J29" s="10"/>
      <c r="K29" s="11"/>
      <c r="L29" s="12" t="s">
        <v>86</v>
      </c>
      <c r="M29" s="20" t="s">
        <v>118</v>
      </c>
    </row>
    <row r="30" spans="1:13" ht="40.5" customHeight="1">
      <c r="A30" s="130">
        <v>7</v>
      </c>
      <c r="B30" s="17" t="s">
        <v>90</v>
      </c>
      <c r="C30" s="14" t="s">
        <v>88</v>
      </c>
      <c r="D30" s="51">
        <v>910</v>
      </c>
      <c r="E30" s="9">
        <f>5*730</f>
        <v>3650</v>
      </c>
      <c r="F30" s="9">
        <f t="shared" si="1"/>
        <v>2740</v>
      </c>
      <c r="G30" s="10">
        <v>806</v>
      </c>
      <c r="H30" s="10"/>
      <c r="I30" s="10">
        <f>F30*G30</f>
        <v>2208440</v>
      </c>
      <c r="J30" s="10"/>
      <c r="K30" s="11"/>
      <c r="L30" s="12" t="s">
        <v>167</v>
      </c>
      <c r="M30" s="132" t="s">
        <v>87</v>
      </c>
    </row>
    <row r="31" spans="1:13" ht="24" customHeight="1">
      <c r="A31" s="131"/>
      <c r="B31" s="17" t="s">
        <v>91</v>
      </c>
      <c r="C31" s="14" t="s">
        <v>89</v>
      </c>
      <c r="D31" s="51">
        <v>4</v>
      </c>
      <c r="E31" s="9">
        <v>5</v>
      </c>
      <c r="F31" s="9">
        <f t="shared" si="1"/>
        <v>1</v>
      </c>
      <c r="G31" s="10">
        <v>50000</v>
      </c>
      <c r="H31" s="10"/>
      <c r="I31" s="10">
        <f>F31*G31</f>
        <v>50000</v>
      </c>
      <c r="J31" s="10"/>
      <c r="K31" s="11"/>
      <c r="L31" s="12" t="s">
        <v>168</v>
      </c>
      <c r="M31" s="132"/>
    </row>
    <row r="32" spans="1:13" ht="24" customHeight="1">
      <c r="A32" s="135">
        <v>8</v>
      </c>
      <c r="B32" s="17" t="s">
        <v>92</v>
      </c>
      <c r="C32" s="14" t="s">
        <v>93</v>
      </c>
      <c r="D32" s="52"/>
      <c r="E32" s="42"/>
      <c r="F32" s="45"/>
      <c r="G32" s="10">
        <v>38.71</v>
      </c>
      <c r="H32" s="44"/>
      <c r="I32" s="44"/>
      <c r="J32" s="44"/>
      <c r="K32" s="46"/>
      <c r="L32" s="43" t="s">
        <v>117</v>
      </c>
      <c r="M32" s="136" t="s">
        <v>119</v>
      </c>
    </row>
    <row r="33" spans="1:13" ht="35.25" customHeight="1">
      <c r="A33" s="135"/>
      <c r="B33" s="17" t="s">
        <v>98</v>
      </c>
      <c r="C33" s="14" t="s">
        <v>94</v>
      </c>
      <c r="D33" s="51">
        <v>5</v>
      </c>
      <c r="E33" s="9">
        <v>6</v>
      </c>
      <c r="F33" s="9">
        <f t="shared" si="1"/>
        <v>1</v>
      </c>
      <c r="G33" s="10"/>
      <c r="H33" s="10">
        <v>40891</v>
      </c>
      <c r="I33" s="10">
        <f t="shared" ref="I33:I34" si="3">H33*F33</f>
        <v>40891</v>
      </c>
      <c r="J33" s="10"/>
      <c r="K33" s="11"/>
      <c r="L33" s="12" t="s">
        <v>95</v>
      </c>
      <c r="M33" s="136"/>
    </row>
    <row r="34" spans="1:13" ht="24" customHeight="1">
      <c r="A34" s="135"/>
      <c r="B34" s="17" t="s">
        <v>99</v>
      </c>
      <c r="C34" s="14" t="s">
        <v>94</v>
      </c>
      <c r="D34" s="51">
        <v>1</v>
      </c>
      <c r="E34" s="9">
        <v>2</v>
      </c>
      <c r="F34" s="9">
        <f t="shared" si="1"/>
        <v>1</v>
      </c>
      <c r="G34" s="10"/>
      <c r="H34" s="10">
        <v>31415</v>
      </c>
      <c r="I34" s="10">
        <f t="shared" si="3"/>
        <v>31415</v>
      </c>
      <c r="J34" s="10"/>
      <c r="K34" s="11"/>
      <c r="L34" s="12" t="s">
        <v>95</v>
      </c>
      <c r="M34" s="136"/>
    </row>
    <row r="35" spans="1:13" ht="24" customHeight="1">
      <c r="A35" s="135">
        <v>9</v>
      </c>
      <c r="B35" s="57" t="s">
        <v>122</v>
      </c>
      <c r="C35" s="14" t="s">
        <v>80</v>
      </c>
      <c r="D35" s="48">
        <v>12</v>
      </c>
      <c r="E35" s="47">
        <f>COUNTIFS(G:G,A35)</f>
        <v>0</v>
      </c>
      <c r="F35" s="9">
        <f t="shared" si="1"/>
        <v>-12</v>
      </c>
      <c r="G35" s="48">
        <v>3569.95</v>
      </c>
      <c r="H35" s="48"/>
      <c r="I35" s="10"/>
      <c r="J35" s="10">
        <f>F35*G35</f>
        <v>-42839.399999999994</v>
      </c>
      <c r="K35" s="49"/>
      <c r="L35" s="50"/>
      <c r="M35" s="137" t="s">
        <v>100</v>
      </c>
    </row>
    <row r="36" spans="1:13" ht="24" customHeight="1">
      <c r="A36" s="135"/>
      <c r="B36" s="57" t="s">
        <v>123</v>
      </c>
      <c r="C36" s="14" t="s">
        <v>80</v>
      </c>
      <c r="D36" s="48">
        <v>18</v>
      </c>
      <c r="E36" s="47">
        <f>COUNTIFS(G:G,A36)</f>
        <v>6</v>
      </c>
      <c r="F36" s="9">
        <f t="shared" si="1"/>
        <v>-12</v>
      </c>
      <c r="G36" s="48">
        <v>4083.1</v>
      </c>
      <c r="H36" s="48"/>
      <c r="I36" s="10"/>
      <c r="J36" s="10">
        <f>F36*G36</f>
        <v>-48997.2</v>
      </c>
      <c r="K36" s="49"/>
      <c r="L36" s="50"/>
      <c r="M36" s="137"/>
    </row>
    <row r="37" spans="1:13" ht="24" customHeight="1">
      <c r="A37" s="135"/>
      <c r="B37" s="57" t="s">
        <v>124</v>
      </c>
      <c r="C37" s="14" t="s">
        <v>80</v>
      </c>
      <c r="D37" s="48">
        <v>5</v>
      </c>
      <c r="E37" s="47">
        <f>COUNTIFS(G:G,A37)</f>
        <v>6</v>
      </c>
      <c r="F37" s="9">
        <f t="shared" si="1"/>
        <v>1</v>
      </c>
      <c r="G37" s="48">
        <v>7408.5</v>
      </c>
      <c r="H37" s="48"/>
      <c r="I37" s="10"/>
      <c r="J37" s="10">
        <f>F37*G37</f>
        <v>7408.5</v>
      </c>
      <c r="K37" s="49"/>
      <c r="L37" s="50"/>
      <c r="M37" s="137"/>
    </row>
    <row r="38" spans="1:13" ht="24" customHeight="1">
      <c r="A38" s="135"/>
      <c r="B38" s="57" t="s">
        <v>125</v>
      </c>
      <c r="C38" s="14" t="s">
        <v>80</v>
      </c>
      <c r="D38" s="48">
        <v>5</v>
      </c>
      <c r="E38" s="47">
        <f>COUNTIFS(G:G,A38)</f>
        <v>6</v>
      </c>
      <c r="F38" s="9">
        <f t="shared" si="1"/>
        <v>1</v>
      </c>
      <c r="G38" s="48">
        <v>10319.280000000001</v>
      </c>
      <c r="H38" s="48"/>
      <c r="I38" s="10"/>
      <c r="J38" s="10">
        <f>F38*G38</f>
        <v>10319.280000000001</v>
      </c>
      <c r="K38" s="49"/>
      <c r="L38" s="50"/>
      <c r="M38" s="137"/>
    </row>
    <row r="39" spans="1:13" ht="24" customHeight="1">
      <c r="A39" s="135"/>
      <c r="B39" s="57" t="s">
        <v>126</v>
      </c>
      <c r="C39" s="14" t="s">
        <v>80</v>
      </c>
      <c r="D39" s="48">
        <v>2</v>
      </c>
      <c r="E39" s="47">
        <f>COUNTIFS(G:G,A39)</f>
        <v>6</v>
      </c>
      <c r="F39" s="9">
        <f t="shared" si="1"/>
        <v>4</v>
      </c>
      <c r="G39" s="48">
        <v>15164.14</v>
      </c>
      <c r="H39" s="48"/>
      <c r="I39" s="10">
        <f>F39*G39</f>
        <v>60656.56</v>
      </c>
      <c r="J39" s="10"/>
      <c r="K39" s="49"/>
      <c r="L39" s="50"/>
      <c r="M39" s="137"/>
    </row>
    <row r="40" spans="1:13" ht="24" customHeight="1">
      <c r="A40" s="135"/>
      <c r="B40" s="57" t="s">
        <v>127</v>
      </c>
      <c r="C40" s="14" t="s">
        <v>80</v>
      </c>
      <c r="D40" s="48">
        <v>6</v>
      </c>
      <c r="E40" s="47">
        <f>COUNTIFS(G:G,A40)</f>
        <v>6</v>
      </c>
      <c r="F40" s="9">
        <f t="shared" si="1"/>
        <v>0</v>
      </c>
      <c r="G40" s="48">
        <v>21803.06</v>
      </c>
      <c r="H40" s="48"/>
      <c r="I40" s="10"/>
      <c r="J40" s="10">
        <f>F40*G40</f>
        <v>0</v>
      </c>
      <c r="K40" s="49"/>
      <c r="L40" s="50"/>
      <c r="M40" s="137"/>
    </row>
    <row r="41" spans="1:13" ht="24" customHeight="1">
      <c r="A41" s="135"/>
      <c r="B41" s="57" t="s">
        <v>128</v>
      </c>
      <c r="C41" s="14" t="s">
        <v>80</v>
      </c>
      <c r="D41" s="48">
        <v>3</v>
      </c>
      <c r="E41" s="47">
        <f>COUNTIFS(G:G,A41)</f>
        <v>6</v>
      </c>
      <c r="F41" s="9">
        <f t="shared" si="1"/>
        <v>3</v>
      </c>
      <c r="G41" s="48">
        <v>26196.51</v>
      </c>
      <c r="H41" s="48"/>
      <c r="I41" s="10">
        <f t="shared" ref="I41:I45" si="4">F41*G41</f>
        <v>78589.53</v>
      </c>
      <c r="J41" s="10"/>
      <c r="K41" s="49"/>
      <c r="L41" s="50"/>
      <c r="M41" s="137"/>
    </row>
    <row r="42" spans="1:13" ht="24" customHeight="1">
      <c r="A42" s="135"/>
      <c r="B42" s="57" t="s">
        <v>129</v>
      </c>
      <c r="C42" s="14" t="s">
        <v>80</v>
      </c>
      <c r="D42" s="48">
        <v>2</v>
      </c>
      <c r="E42" s="47">
        <f>COUNTIFS(G:G,A42)</f>
        <v>6</v>
      </c>
      <c r="F42" s="9">
        <f t="shared" si="1"/>
        <v>4</v>
      </c>
      <c r="G42" s="48">
        <v>29984.85</v>
      </c>
      <c r="H42" s="48"/>
      <c r="I42" s="10">
        <f t="shared" si="4"/>
        <v>119939.4</v>
      </c>
      <c r="J42" s="10"/>
      <c r="K42" s="49"/>
      <c r="L42" s="50"/>
      <c r="M42" s="137"/>
    </row>
    <row r="43" spans="1:13" ht="24" customHeight="1">
      <c r="A43" s="135"/>
      <c r="B43" s="57" t="s">
        <v>130</v>
      </c>
      <c r="C43" s="14" t="s">
        <v>80</v>
      </c>
      <c r="D43" s="48">
        <v>3</v>
      </c>
      <c r="E43" s="47">
        <f>COUNTIFS(G:G,A43)</f>
        <v>6</v>
      </c>
      <c r="F43" s="9">
        <f t="shared" si="1"/>
        <v>3</v>
      </c>
      <c r="G43" s="48">
        <v>38914.949999999997</v>
      </c>
      <c r="H43" s="48"/>
      <c r="I43" s="10">
        <f t="shared" si="4"/>
        <v>116744.84999999999</v>
      </c>
      <c r="J43" s="10"/>
      <c r="K43" s="49"/>
      <c r="L43" s="50"/>
      <c r="M43" s="137"/>
    </row>
    <row r="44" spans="1:13" ht="24" customHeight="1">
      <c r="A44" s="135"/>
      <c r="B44" s="57" t="s">
        <v>131</v>
      </c>
      <c r="C44" s="14" t="s">
        <v>80</v>
      </c>
      <c r="D44" s="48">
        <v>3</v>
      </c>
      <c r="E44" s="47">
        <f>COUNTIFS(G:G,A44)</f>
        <v>6</v>
      </c>
      <c r="F44" s="9">
        <f t="shared" si="1"/>
        <v>3</v>
      </c>
      <c r="G44" s="48">
        <v>43624.88</v>
      </c>
      <c r="H44" s="48"/>
      <c r="I44" s="10">
        <f t="shared" si="4"/>
        <v>130874.63999999998</v>
      </c>
      <c r="J44" s="10"/>
      <c r="K44" s="49"/>
      <c r="L44" s="50"/>
      <c r="M44" s="137"/>
    </row>
    <row r="45" spans="1:13" ht="24" customHeight="1">
      <c r="A45" s="135"/>
      <c r="B45" s="57" t="s">
        <v>132</v>
      </c>
      <c r="C45" s="14" t="s">
        <v>80</v>
      </c>
      <c r="D45" s="48">
        <v>1</v>
      </c>
      <c r="E45" s="47">
        <f>COUNTIFS(G:G,A45)</f>
        <v>6</v>
      </c>
      <c r="F45" s="9">
        <f t="shared" si="1"/>
        <v>5</v>
      </c>
      <c r="G45" s="48">
        <v>73088.800000000003</v>
      </c>
      <c r="H45" s="48"/>
      <c r="I45" s="10">
        <f t="shared" si="4"/>
        <v>365444</v>
      </c>
      <c r="J45" s="10"/>
      <c r="K45" s="49"/>
      <c r="L45" s="50"/>
      <c r="M45" s="137"/>
    </row>
    <row r="46" spans="1:13" ht="24" customHeight="1">
      <c r="A46" s="22">
        <v>10</v>
      </c>
      <c r="B46" s="17" t="s">
        <v>96</v>
      </c>
      <c r="C46" s="14" t="s">
        <v>51</v>
      </c>
      <c r="D46" s="51">
        <v>0</v>
      </c>
      <c r="E46" s="9">
        <f>16*20</f>
        <v>320</v>
      </c>
      <c r="F46" s="9">
        <f t="shared" si="1"/>
        <v>320</v>
      </c>
      <c r="G46" s="10"/>
      <c r="H46" s="10">
        <v>15697</v>
      </c>
      <c r="I46" s="10">
        <f t="shared" ref="I46:I47" si="5">H46*F46</f>
        <v>5023040</v>
      </c>
      <c r="J46" s="10"/>
      <c r="K46" s="59" t="s">
        <v>97</v>
      </c>
      <c r="L46" s="12" t="s">
        <v>231</v>
      </c>
      <c r="M46" s="141" t="s">
        <v>223</v>
      </c>
    </row>
    <row r="47" spans="1:13" ht="24" customHeight="1">
      <c r="A47" s="96">
        <v>11</v>
      </c>
      <c r="B47" s="97" t="s">
        <v>193</v>
      </c>
      <c r="C47" s="109" t="s">
        <v>194</v>
      </c>
      <c r="D47" s="99">
        <v>0</v>
      </c>
      <c r="E47" s="100">
        <f>380*3</f>
        <v>1140</v>
      </c>
      <c r="F47" s="9">
        <f t="shared" si="1"/>
        <v>1140</v>
      </c>
      <c r="G47" s="101"/>
      <c r="H47" s="10">
        <v>1686</v>
      </c>
      <c r="I47" s="10">
        <f t="shared" si="5"/>
        <v>1922040</v>
      </c>
      <c r="J47" s="101"/>
      <c r="K47" s="103" t="s">
        <v>215</v>
      </c>
      <c r="L47" s="104"/>
      <c r="M47" s="142"/>
    </row>
    <row r="48" spans="1:13" ht="24" customHeight="1" thickBot="1">
      <c r="A48" s="96">
        <v>12</v>
      </c>
      <c r="B48" s="97" t="s">
        <v>190</v>
      </c>
      <c r="C48" s="98" t="s">
        <v>191</v>
      </c>
      <c r="D48" s="99">
        <v>274.45</v>
      </c>
      <c r="E48" s="100">
        <f>D48+14*30*3.5/2</f>
        <v>1009.45</v>
      </c>
      <c r="F48" s="9">
        <f t="shared" si="1"/>
        <v>735</v>
      </c>
      <c r="G48" s="101">
        <v>320.74</v>
      </c>
      <c r="H48" s="102"/>
      <c r="I48" s="101">
        <f>F48*G48</f>
        <v>235743.9</v>
      </c>
      <c r="J48" s="101"/>
      <c r="K48" s="103" t="s">
        <v>192</v>
      </c>
      <c r="L48" s="104"/>
      <c r="M48" s="143"/>
    </row>
    <row r="49" spans="1:13" ht="24" customHeight="1">
      <c r="A49" s="28"/>
      <c r="B49" s="29"/>
      <c r="C49" s="30"/>
      <c r="D49" s="53"/>
      <c r="E49" s="32"/>
      <c r="F49" s="32"/>
      <c r="G49" s="31"/>
      <c r="H49" s="33"/>
      <c r="I49" s="31"/>
      <c r="J49" s="31"/>
      <c r="K49" s="34"/>
      <c r="L49" s="35"/>
      <c r="M49" s="35"/>
    </row>
    <row r="50" spans="1:13" ht="34.5" customHeight="1" thickBot="1">
      <c r="A50" s="138" t="s">
        <v>33</v>
      </c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</row>
    <row r="51" spans="1:13">
      <c r="A51" s="5" t="s">
        <v>0</v>
      </c>
      <c r="B51" s="39" t="s">
        <v>1</v>
      </c>
      <c r="C51" s="2" t="s">
        <v>2</v>
      </c>
      <c r="D51" s="55" t="s">
        <v>15</v>
      </c>
      <c r="E51" s="2" t="s">
        <v>16</v>
      </c>
      <c r="F51" s="2" t="s">
        <v>17</v>
      </c>
      <c r="G51" s="3" t="s">
        <v>18</v>
      </c>
      <c r="H51" s="3" t="s">
        <v>23</v>
      </c>
      <c r="I51" s="7" t="s">
        <v>22</v>
      </c>
      <c r="J51" s="3" t="s">
        <v>19</v>
      </c>
      <c r="K51" s="3" t="s">
        <v>20</v>
      </c>
      <c r="L51" s="2" t="s">
        <v>3</v>
      </c>
      <c r="M51" s="4" t="s">
        <v>24</v>
      </c>
    </row>
    <row r="52" spans="1:13" ht="24">
      <c r="A52" s="144">
        <v>1</v>
      </c>
      <c r="B52" s="145" t="s">
        <v>232</v>
      </c>
      <c r="C52" s="146" t="s">
        <v>218</v>
      </c>
      <c r="D52" s="147">
        <v>29759</v>
      </c>
      <c r="E52" s="148">
        <f>D52+2000</f>
        <v>31759</v>
      </c>
      <c r="F52" s="149">
        <f t="shared" ref="F52:F59" si="6">E52-D52</f>
        <v>2000</v>
      </c>
      <c r="G52" s="147">
        <v>48.28</v>
      </c>
      <c r="H52" s="150"/>
      <c r="I52" s="151">
        <f>F52*G52</f>
        <v>96560</v>
      </c>
      <c r="J52" s="150"/>
      <c r="K52" s="150" t="s">
        <v>230</v>
      </c>
      <c r="L52" s="152" t="s">
        <v>120</v>
      </c>
      <c r="M52" s="153"/>
    </row>
    <row r="53" spans="1:13">
      <c r="A53" s="144">
        <v>2</v>
      </c>
      <c r="B53" s="145" t="s">
        <v>217</v>
      </c>
      <c r="C53" s="146" t="s">
        <v>218</v>
      </c>
      <c r="D53" s="149">
        <v>0</v>
      </c>
      <c r="E53" s="146">
        <v>2000</v>
      </c>
      <c r="F53" s="149">
        <f t="shared" si="6"/>
        <v>2000</v>
      </c>
      <c r="G53" s="150">
        <v>0</v>
      </c>
      <c r="H53" s="154">
        <v>100</v>
      </c>
      <c r="I53" s="151">
        <f>H53*F53</f>
        <v>200000</v>
      </c>
      <c r="J53" s="150"/>
      <c r="K53" s="155" t="s">
        <v>220</v>
      </c>
      <c r="L53" s="152" t="s">
        <v>219</v>
      </c>
      <c r="M53" s="156" t="s">
        <v>121</v>
      </c>
    </row>
    <row r="54" spans="1:13" ht="48" customHeight="1">
      <c r="A54" s="144">
        <v>3</v>
      </c>
      <c r="B54" s="157" t="s">
        <v>10</v>
      </c>
      <c r="C54" s="158" t="s">
        <v>75</v>
      </c>
      <c r="D54" s="154">
        <v>0</v>
      </c>
      <c r="E54" s="159">
        <f>60*10</f>
        <v>600</v>
      </c>
      <c r="F54" s="149">
        <f t="shared" si="6"/>
        <v>600</v>
      </c>
      <c r="G54" s="160">
        <v>252.35</v>
      </c>
      <c r="H54" s="161"/>
      <c r="I54" s="151">
        <f>F54*G54</f>
        <v>151410</v>
      </c>
      <c r="J54" s="161"/>
      <c r="K54" s="155" t="s">
        <v>181</v>
      </c>
      <c r="L54" s="152" t="s">
        <v>120</v>
      </c>
      <c r="M54" s="156"/>
    </row>
    <row r="55" spans="1:13" ht="25.5">
      <c r="A55" s="144">
        <v>4</v>
      </c>
      <c r="B55" s="145" t="s">
        <v>186</v>
      </c>
      <c r="C55" s="146" t="s">
        <v>187</v>
      </c>
      <c r="D55" s="149">
        <v>324.02</v>
      </c>
      <c r="E55" s="146">
        <f>1200+60*30+D55</f>
        <v>3324.02</v>
      </c>
      <c r="F55" s="149">
        <f>E55-D55</f>
        <v>3000</v>
      </c>
      <c r="G55" s="150">
        <v>33.35</v>
      </c>
      <c r="H55" s="150"/>
      <c r="I55" s="151">
        <f>F55*G55</f>
        <v>100050</v>
      </c>
      <c r="J55" s="150"/>
      <c r="K55" s="155" t="s">
        <v>188</v>
      </c>
      <c r="L55" s="152" t="s">
        <v>224</v>
      </c>
      <c r="M55" s="156" t="s">
        <v>184</v>
      </c>
    </row>
    <row r="56" spans="1:13" ht="48" customHeight="1">
      <c r="A56" s="144">
        <v>5</v>
      </c>
      <c r="B56" s="157" t="s">
        <v>182</v>
      </c>
      <c r="C56" s="158" t="s">
        <v>183</v>
      </c>
      <c r="D56" s="154">
        <v>0</v>
      </c>
      <c r="E56" s="159">
        <v>1570</v>
      </c>
      <c r="F56" s="149">
        <f t="shared" si="6"/>
        <v>1570</v>
      </c>
      <c r="G56" s="160">
        <v>0</v>
      </c>
      <c r="H56" s="154">
        <v>1149.42</v>
      </c>
      <c r="I56" s="151">
        <f>H56*F56</f>
        <v>1804589.4000000001</v>
      </c>
      <c r="J56" s="161"/>
      <c r="K56" s="155"/>
      <c r="L56" s="152" t="s">
        <v>185</v>
      </c>
      <c r="M56" s="156"/>
    </row>
    <row r="57" spans="1:13">
      <c r="A57" s="144">
        <v>6</v>
      </c>
      <c r="B57" s="157" t="s">
        <v>101</v>
      </c>
      <c r="C57" s="158" t="s">
        <v>102</v>
      </c>
      <c r="D57" s="154">
        <v>0</v>
      </c>
      <c r="E57" s="149">
        <v>60</v>
      </c>
      <c r="F57" s="162">
        <f t="shared" si="6"/>
        <v>60</v>
      </c>
      <c r="G57" s="160">
        <v>293.74</v>
      </c>
      <c r="H57" s="160"/>
      <c r="I57" s="160">
        <f>F57*G57</f>
        <v>17624.400000000001</v>
      </c>
      <c r="J57" s="160"/>
      <c r="K57" s="163" t="s">
        <v>103</v>
      </c>
      <c r="L57" s="164" t="s">
        <v>104</v>
      </c>
      <c r="M57" s="165"/>
    </row>
    <row r="58" spans="1:13" ht="40.5" customHeight="1">
      <c r="A58" s="166">
        <v>7</v>
      </c>
      <c r="B58" s="167" t="s">
        <v>90</v>
      </c>
      <c r="C58" s="168" t="s">
        <v>88</v>
      </c>
      <c r="D58" s="169">
        <v>910</v>
      </c>
      <c r="E58" s="162">
        <f>910+2*360</f>
        <v>1630</v>
      </c>
      <c r="F58" s="162">
        <f t="shared" si="6"/>
        <v>720</v>
      </c>
      <c r="G58" s="160">
        <v>806</v>
      </c>
      <c r="H58" s="160"/>
      <c r="I58" s="160">
        <f>F58*G58</f>
        <v>580320</v>
      </c>
      <c r="J58" s="160"/>
      <c r="K58" s="163"/>
      <c r="L58" s="164" t="s">
        <v>136</v>
      </c>
      <c r="M58" s="170" t="s">
        <v>87</v>
      </c>
    </row>
    <row r="59" spans="1:13" ht="24" customHeight="1" thickBot="1">
      <c r="A59" s="171"/>
      <c r="B59" s="172" t="s">
        <v>91</v>
      </c>
      <c r="C59" s="173" t="s">
        <v>89</v>
      </c>
      <c r="D59" s="174">
        <v>4</v>
      </c>
      <c r="E59" s="175">
        <v>6</v>
      </c>
      <c r="F59" s="175">
        <f t="shared" si="6"/>
        <v>2</v>
      </c>
      <c r="G59" s="176">
        <v>50000</v>
      </c>
      <c r="H59" s="176"/>
      <c r="I59" s="176">
        <f>F59*G59</f>
        <v>100000</v>
      </c>
      <c r="J59" s="176"/>
      <c r="K59" s="177"/>
      <c r="L59" s="178" t="s">
        <v>135</v>
      </c>
      <c r="M59" s="179"/>
    </row>
    <row r="61" spans="1:13">
      <c r="A61" s="139" t="s">
        <v>105</v>
      </c>
      <c r="B61" s="140"/>
      <c r="C61" s="140"/>
      <c r="D61" s="140"/>
      <c r="E61" s="140"/>
      <c r="F61" s="140"/>
      <c r="G61" s="140"/>
      <c r="H61" s="140"/>
      <c r="I61" s="61">
        <f>SUM(I3:I46)+SUM(I54:I59)</f>
        <v>48587698.86333999</v>
      </c>
      <c r="J61" s="62">
        <f>SUM(J3:J46)+SUM(J54:J59)</f>
        <v>-3320641.2900000005</v>
      </c>
    </row>
    <row r="62" spans="1:13">
      <c r="A62" s="133" t="s">
        <v>106</v>
      </c>
      <c r="B62" s="134"/>
      <c r="C62" s="134"/>
      <c r="D62" s="134"/>
      <c r="E62" s="134"/>
      <c r="F62" s="134"/>
      <c r="G62" s="134"/>
      <c r="H62" s="134"/>
      <c r="I62" s="63">
        <f>I61+J61</f>
        <v>45267057.573339991</v>
      </c>
      <c r="J62" s="64"/>
    </row>
  </sheetData>
  <mergeCells count="23">
    <mergeCell ref="M3:M14"/>
    <mergeCell ref="A21:A28"/>
    <mergeCell ref="A1:M1"/>
    <mergeCell ref="A3:A14"/>
    <mergeCell ref="A15:A16"/>
    <mergeCell ref="M15:M16"/>
    <mergeCell ref="A17:A19"/>
    <mergeCell ref="M17:M19"/>
    <mergeCell ref="M21:M28"/>
    <mergeCell ref="A30:A31"/>
    <mergeCell ref="M30:M31"/>
    <mergeCell ref="A62:H62"/>
    <mergeCell ref="A32:A34"/>
    <mergeCell ref="M32:M34"/>
    <mergeCell ref="A35:A45"/>
    <mergeCell ref="M35:M45"/>
    <mergeCell ref="A50:M50"/>
    <mergeCell ref="A61:H61"/>
    <mergeCell ref="A58:A59"/>
    <mergeCell ref="M58:M59"/>
    <mergeCell ref="M55:M56"/>
    <mergeCell ref="M53:M54"/>
    <mergeCell ref="M46:M4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9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1</vt:i4>
      </vt:variant>
    </vt:vector>
  </HeadingPairs>
  <TitlesOfParts>
    <vt:vector size="7" baseType="lpstr">
      <vt:lpstr>共月橋施工構台</vt:lpstr>
      <vt:lpstr>三合橋車行便橋租金</vt:lpstr>
      <vt:lpstr>鋼構吊裝單價分析</vt:lpstr>
      <vt:lpstr>篩分單價分析</vt:lpstr>
      <vt:lpstr>鋼模單價分析</vt:lpstr>
      <vt:lpstr>第二次變更金額 (0312修正)</vt:lpstr>
      <vt:lpstr>'第二次變更金額 (0312修正)'!Print_Titles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2024-03-08T08:31:30Z</cp:lastPrinted>
  <dcterms:created xsi:type="dcterms:W3CDTF">2023-09-20T00:28:34Z</dcterms:created>
  <dcterms:modified xsi:type="dcterms:W3CDTF">2024-03-12T08:12:39Z</dcterms:modified>
</cp:coreProperties>
</file>