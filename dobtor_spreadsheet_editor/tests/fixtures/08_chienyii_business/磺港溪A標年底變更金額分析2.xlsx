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A.上溢\磺港溪再造C段護岸及步道整建工程（延壽橋至三合橋）\5.變更設計\"/>
    </mc:Choice>
  </mc:AlternateContent>
  <xr:revisionPtr revIDLastSave="0" documentId="13_ncr:1_{7FDB4B9C-384D-40A7-AD97-2F4C5430875B}" xr6:coauthVersionLast="47" xr6:coauthVersionMax="47" xr10:uidLastSave="{00000000-0000-0000-0000-000000000000}"/>
  <bookViews>
    <workbookView xWindow="-120" yWindow="-120" windowWidth="29040" windowHeight="15720" activeTab="1" xr2:uid="{94AA7193-5545-49D8-8D66-CC8A8350E4CD}"/>
  </bookViews>
  <sheets>
    <sheet name="年底可追加金額" sheetId="2" r:id="rId1"/>
    <sheet name="第一次變更設計金額概抓 (刪減)" sheetId="3" r:id="rId2"/>
    <sheet name="第一次變更設計金額概抓" sheetId="1" r:id="rId3"/>
  </sheets>
  <definedNames>
    <definedName name="_xlnm.Print_Titles" localSheetId="2">第一次變更設計金額概抓!$1:$1</definedName>
    <definedName name="_xlnm.Print_Titles" localSheetId="1">'第一次變更設計金額概抓 (刪減)'!$1:$1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G29" i="3"/>
  <c r="G28" i="3"/>
  <c r="F27" i="3"/>
  <c r="G27" i="3" s="1"/>
  <c r="G26" i="3"/>
  <c r="G25" i="3"/>
  <c r="G24" i="3"/>
  <c r="F23" i="3"/>
  <c r="G23" i="3" s="1"/>
  <c r="G31" i="3" s="1"/>
  <c r="G19" i="3"/>
  <c r="F18" i="3"/>
  <c r="G18" i="3" s="1"/>
  <c r="F17" i="3"/>
  <c r="G17" i="3" s="1"/>
  <c r="E16" i="3"/>
  <c r="G16" i="3" s="1"/>
  <c r="E15" i="3"/>
  <c r="G15" i="3" s="1"/>
  <c r="G14" i="3"/>
  <c r="F13" i="3"/>
  <c r="E13" i="3"/>
  <c r="F12" i="3"/>
  <c r="G12" i="3" s="1"/>
  <c r="F11" i="3"/>
  <c r="G11" i="3" s="1"/>
  <c r="F10" i="3"/>
  <c r="G10" i="3" s="1"/>
  <c r="G9" i="3"/>
  <c r="G8" i="3"/>
  <c r="E7" i="3"/>
  <c r="G7" i="3" s="1"/>
  <c r="E6" i="3"/>
  <c r="G6" i="3" s="1"/>
  <c r="F5" i="3"/>
  <c r="G5" i="3" s="1"/>
  <c r="F4" i="3"/>
  <c r="G4" i="3" s="1"/>
  <c r="F3" i="3"/>
  <c r="E3" i="3"/>
  <c r="E6" i="1"/>
  <c r="G6" i="1" s="1"/>
  <c r="E7" i="1"/>
  <c r="G7" i="1" s="1"/>
  <c r="G19" i="1"/>
  <c r="G14" i="1"/>
  <c r="E15" i="1"/>
  <c r="G15" i="1" s="1"/>
  <c r="F13" i="1"/>
  <c r="E13" i="1"/>
  <c r="G13" i="1" s="1"/>
  <c r="E16" i="1"/>
  <c r="G16" i="1" s="1"/>
  <c r="F12" i="1"/>
  <c r="G12" i="1" s="1"/>
  <c r="F18" i="1"/>
  <c r="G18" i="1" s="1"/>
  <c r="F11" i="1"/>
  <c r="G11" i="1" s="1"/>
  <c r="F10" i="1"/>
  <c r="G10" i="1" s="1"/>
  <c r="F5" i="1"/>
  <c r="G5" i="1" s="1"/>
  <c r="F3" i="1"/>
  <c r="G26" i="2"/>
  <c r="G25" i="2"/>
  <c r="G24" i="2"/>
  <c r="G23" i="2"/>
  <c r="G22" i="2"/>
  <c r="F21" i="2"/>
  <c r="G21" i="2" s="1"/>
  <c r="G20" i="2"/>
  <c r="G19" i="2"/>
  <c r="F18" i="2"/>
  <c r="G18" i="2" s="1"/>
  <c r="G17" i="2"/>
  <c r="F16" i="2"/>
  <c r="G16" i="2" s="1"/>
  <c r="G28" i="2" s="1"/>
  <c r="F11" i="2"/>
  <c r="G11" i="2" s="1"/>
  <c r="G10" i="2"/>
  <c r="F9" i="2"/>
  <c r="G9" i="2" s="1"/>
  <c r="F8" i="2"/>
  <c r="G8" i="2" s="1"/>
  <c r="G7" i="2"/>
  <c r="G6" i="2"/>
  <c r="G5" i="2"/>
  <c r="F4" i="2"/>
  <c r="G4" i="2" s="1"/>
  <c r="F3" i="2"/>
  <c r="E3" i="2"/>
  <c r="G3" i="2" s="1"/>
  <c r="G8" i="1"/>
  <c r="F28" i="1"/>
  <c r="G28" i="1" s="1"/>
  <c r="F25" i="1"/>
  <c r="G25" i="1" s="1"/>
  <c r="F23" i="1"/>
  <c r="G23" i="1" s="1"/>
  <c r="G33" i="1"/>
  <c r="G32" i="1"/>
  <c r="G31" i="1"/>
  <c r="G30" i="1"/>
  <c r="G29" i="1"/>
  <c r="G27" i="1"/>
  <c r="G26" i="1"/>
  <c r="G24" i="1"/>
  <c r="F17" i="1"/>
  <c r="G17" i="1" s="1"/>
  <c r="G9" i="1"/>
  <c r="F4" i="1"/>
  <c r="G4" i="1" s="1"/>
  <c r="E3" i="1"/>
  <c r="G3" i="3" l="1"/>
  <c r="G20" i="3" s="1"/>
  <c r="G32" i="3" s="1"/>
  <c r="G13" i="3"/>
  <c r="G13" i="2"/>
  <c r="G29" i="2" s="1"/>
  <c r="G35" i="1"/>
  <c r="G3" i="1"/>
  <c r="G20" i="1" s="1"/>
  <c r="G36" i="1" l="1"/>
</calcChain>
</file>

<file path=xl/sharedStrings.xml><?xml version="1.0" encoding="utf-8"?>
<sst xmlns="http://schemas.openxmlformats.org/spreadsheetml/2006/main" count="341" uniqueCount="124">
  <si>
    <t>項次</t>
    <phoneticPr fontId="1" type="noConversion"/>
  </si>
  <si>
    <t>工項</t>
    <phoneticPr fontId="1" type="noConversion"/>
  </si>
  <si>
    <t>單位</t>
    <phoneticPr fontId="1" type="noConversion"/>
  </si>
  <si>
    <t>計算式</t>
    <phoneticPr fontId="1" type="noConversion"/>
  </si>
  <si>
    <t>單價</t>
    <phoneticPr fontId="1" type="noConversion"/>
  </si>
  <si>
    <t>加帳數量</t>
    <phoneticPr fontId="1" type="noConversion"/>
  </si>
  <si>
    <t>加帳金額</t>
    <phoneticPr fontId="1" type="noConversion"/>
  </si>
  <si>
    <t>備註</t>
    <phoneticPr fontId="1" type="noConversion"/>
  </si>
  <si>
    <t>60cm PC樁</t>
    <phoneticPr fontId="3" type="noConversion"/>
  </si>
  <si>
    <t>m</t>
    <phoneticPr fontId="3" type="noConversion"/>
  </si>
  <si>
    <r>
      <rPr>
        <sz val="9"/>
        <color rgb="FF000000"/>
        <rFont val="微軟正黑體"/>
        <family val="2"/>
        <charset val="136"/>
      </rPr>
      <t>間距1.2</t>
    </r>
    <r>
      <rPr>
        <sz val="9"/>
        <color indexed="8"/>
        <rFont val="微軟正黑體"/>
        <family val="2"/>
        <charset val="136"/>
      </rPr>
      <t>m*0.6</t>
    </r>
    <phoneticPr fontId="3" type="noConversion"/>
  </si>
  <si>
    <t>結構用混凝土280kgf/cm2</t>
    <phoneticPr fontId="3" type="noConversion"/>
  </si>
  <si>
    <t>m3</t>
    <phoneticPr fontId="3" type="noConversion"/>
  </si>
  <si>
    <t>蜂巢格網</t>
    <phoneticPr fontId="3" type="noConversion"/>
  </si>
  <si>
    <t>m2</t>
    <phoneticPr fontId="3" type="noConversion"/>
  </si>
  <si>
    <t>原每m2 1包，更正為每m2 4包</t>
    <phoneticPr fontId="3" type="noConversion"/>
  </si>
  <si>
    <t>臨時擋土樁設施，鋼板樁，L=9m，(單邊水平長度，未含擋土支撐系統)</t>
  </si>
  <si>
    <t>共月橋圍水26m</t>
    <phoneticPr fontId="3" type="noConversion"/>
  </si>
  <si>
    <t>地質鑽探、透地雷達</t>
    <phoneticPr fontId="3" type="noConversion"/>
  </si>
  <si>
    <t>式</t>
    <phoneticPr fontId="3" type="noConversion"/>
  </si>
  <si>
    <t>混凝土破碎加工</t>
  </si>
  <si>
    <t>至共月橋長度200m，寬度7m，厚度暫以30cm計算</t>
    <phoneticPr fontId="3" type="noConversion"/>
  </si>
  <si>
    <t>臨時設施，抽水設備</t>
    <phoneticPr fontId="3" type="noConversion"/>
  </si>
  <si>
    <t>時</t>
    <phoneticPr fontId="3" type="noConversion"/>
  </si>
  <si>
    <t>2台抽水機 暫估1個月，8H配合河道開挖及滯洪池抽水</t>
    <phoneticPr fontId="3" type="noConversion"/>
  </si>
  <si>
    <t>太空包圍水</t>
    <phoneticPr fontId="3" type="noConversion"/>
  </si>
  <si>
    <t>M3</t>
    <phoneticPr fontId="3" type="noConversion"/>
  </si>
  <si>
    <t>汛期時200包備用</t>
    <phoneticPr fontId="3" type="noConversion"/>
  </si>
  <si>
    <t>鋼便橋施作</t>
    <phoneticPr fontId="1" type="noConversion"/>
  </si>
  <si>
    <t>m2</t>
    <phoneticPr fontId="1" type="noConversion"/>
  </si>
  <si>
    <t>小計</t>
    <phoneticPr fontId="1" type="noConversion"/>
  </si>
  <si>
    <t>合計加帳</t>
    <phoneticPr fontId="1" type="noConversion"/>
  </si>
  <si>
    <t>車行構台37*10
三合橋施工構台37*12
共月橋施工構台5*20
-原合約數量360</t>
    <phoneticPr fontId="1" type="noConversion"/>
  </si>
  <si>
    <t>項次</t>
  </si>
  <si>
    <t>項  目  及  說  明</t>
  </si>
  <si>
    <t>單位</t>
  </si>
  <si>
    <t>單  價</t>
  </si>
  <si>
    <t>小工</t>
    <phoneticPr fontId="1" type="noConversion"/>
  </si>
  <si>
    <t>時</t>
    <phoneticPr fontId="1" type="noConversion"/>
  </si>
  <si>
    <t>3個月1人，8h</t>
    <phoneticPr fontId="1" type="noConversion"/>
  </si>
  <si>
    <t>表土清除，堆置，及回填費，t=30cm</t>
    <phoneticPr fontId="1" type="noConversion"/>
  </si>
  <si>
    <t>面積2405 m2</t>
    <phoneticPr fontId="1" type="noConversion"/>
  </si>
  <si>
    <t>1.1.23</t>
  </si>
  <si>
    <t>交通維持，道路管制人員，日間(06-22時)，義交</t>
  </si>
  <si>
    <t>時</t>
  </si>
  <si>
    <t>2人*30天*8H</t>
    <phoneticPr fontId="1" type="noConversion"/>
  </si>
  <si>
    <t>1.7.14</t>
    <phoneticPr fontId="1" type="noConversion"/>
  </si>
  <si>
    <t>植栽維護，喬木類，枯木移除(喬木類)，30cm≦米高直徑&lt;40cm</t>
    <phoneticPr fontId="1" type="noConversion"/>
  </si>
  <si>
    <t>株</t>
    <phoneticPr fontId="1" type="noConversion"/>
  </si>
  <si>
    <t>1.9.5</t>
  </si>
  <si>
    <t>臨時設施，排水設備，引擎抽水機，D=10cm，租金</t>
  </si>
  <si>
    <t>預估10天下雨抽水</t>
    <phoneticPr fontId="1" type="noConversion"/>
  </si>
  <si>
    <t>臨時通道用鋼板，厚15mm</t>
  </si>
  <si>
    <t>T字路口(65+60)*5+進出路面長(49+58)*寬5</t>
    <phoneticPr fontId="1" type="noConversion"/>
  </si>
  <si>
    <t>2.4</t>
  </si>
  <si>
    <t>施工照相及攝(錄)影，(4G行動門號，即時攝影無線傳輸)，施工動態即時影像傳輸費</t>
  </si>
  <si>
    <t>日/台</t>
  </si>
  <si>
    <t>3個月 2台</t>
    <phoneticPr fontId="1" type="noConversion"/>
  </si>
  <si>
    <t>4.1</t>
  </si>
  <si>
    <t>環境保護，逕流污染防治，洗車沖洗費</t>
  </si>
  <si>
    <t>處/月</t>
  </si>
  <si>
    <t>3個月</t>
    <phoneticPr fontId="1" type="noConversion"/>
  </si>
  <si>
    <t>4.2</t>
  </si>
  <si>
    <t>環境保護，工地清潔費</t>
  </si>
  <si>
    <t>M2/月</t>
  </si>
  <si>
    <t>5.1</t>
  </si>
  <si>
    <t>施工圍籬，組合式固定，2.4m ≦高度</t>
  </si>
  <si>
    <t>M</t>
  </si>
  <si>
    <t>周長212m</t>
    <phoneticPr fontId="1" type="noConversion"/>
  </si>
  <si>
    <t>5.13</t>
  </si>
  <si>
    <t>施工圍籬，大門(含拆裝1次)</t>
  </si>
  <si>
    <t>樘</t>
  </si>
  <si>
    <t>百齡暫置場</t>
    <phoneticPr fontId="1" type="noConversion"/>
  </si>
  <si>
    <t>客土包數量修正，新增單價</t>
    <phoneticPr fontId="3" type="noConversion"/>
  </si>
  <si>
    <t>材料預付款60%，新增單價</t>
    <phoneticPr fontId="3" type="noConversion"/>
  </si>
  <si>
    <t>新增單價</t>
    <phoneticPr fontId="1" type="noConversion"/>
  </si>
  <si>
    <t>原單價分析內</t>
    <phoneticPr fontId="1" type="noConversion"/>
  </si>
  <si>
    <t>小計</t>
    <phoneticPr fontId="1" type="noConversion"/>
  </si>
  <si>
    <t>磺港溪再造工程預計年底可追加金額</t>
    <phoneticPr fontId="1" type="noConversion"/>
  </si>
  <si>
    <t>透地雷達</t>
    <phoneticPr fontId="3" type="noConversion"/>
  </si>
  <si>
    <t>式</t>
    <phoneticPr fontId="1" type="noConversion"/>
  </si>
  <si>
    <t>新增單價(現場試驗及取樣、標準貫入試驗、土壤力學試驗、三軸試驗、技師簽證報告)</t>
    <phoneticPr fontId="1" type="noConversion"/>
  </si>
  <si>
    <t>原每m2 1包，更正為每m2 4包，1984m2*3包</t>
    <phoneticPr fontId="3" type="noConversion"/>
  </si>
  <si>
    <t>磺港溪再造工程第一次變更設計預估追加金額</t>
    <phoneticPr fontId="1" type="noConversion"/>
  </si>
  <si>
    <t>429*0.3*0.3*3.14</t>
    <phoneticPr fontId="3" type="noConversion"/>
  </si>
  <si>
    <t>總長350m，寬度7m，厚度暫以30cm計算</t>
    <phoneticPr fontId="3" type="noConversion"/>
  </si>
  <si>
    <t>趟</t>
    <phoneticPr fontId="3" type="noConversion"/>
  </si>
  <si>
    <t>735/12</t>
    <phoneticPr fontId="3" type="noConversion"/>
  </si>
  <si>
    <t>鋼構吊運、組裝</t>
    <phoneticPr fontId="1" type="noConversion"/>
  </si>
  <si>
    <t>kg</t>
    <phoneticPr fontId="1" type="noConversion"/>
  </si>
  <si>
    <t>預估單價</t>
    <phoneticPr fontId="1" type="noConversion"/>
  </si>
  <si>
    <t>新增單價，比照貴子坑溪</t>
    <phoneticPr fontId="1" type="noConversion"/>
  </si>
  <si>
    <t>客土包數量修正，新增單價(原單價分析內金額)</t>
    <phoneticPr fontId="1" type="noConversion"/>
  </si>
  <si>
    <t>依據原因</t>
    <phoneticPr fontId="1" type="noConversion"/>
  </si>
  <si>
    <t>PC樁樁內澆置280kgf/cm2混凝土</t>
    <phoneticPr fontId="1" type="noConversion"/>
  </si>
  <si>
    <t>修正蜂巢格網客土袋數量</t>
    <phoneticPr fontId="1" type="noConversion"/>
  </si>
  <si>
    <t>鋼軌樁擋水工法變更為鋼板樁擋水</t>
    <phoneticPr fontId="1" type="noConversion"/>
  </si>
  <si>
    <t>混凝土破碎加工場內搬運</t>
    <phoneticPr fontId="1" type="noConversion"/>
  </si>
  <si>
    <t>2台抽水機 暫估5個月，8H配合河道開挖及滯洪池抽水</t>
    <phoneticPr fontId="3" type="noConversion"/>
  </si>
  <si>
    <t>共月橋圍水30包
護岸型式一：288包
護岸型式二：228包m
護岸型式三：444包m
三合橋圍水：60包</t>
    <phoneticPr fontId="3" type="noConversion"/>
  </si>
  <si>
    <t>依破堤數量提報</t>
    <phoneticPr fontId="1" type="noConversion"/>
  </si>
  <si>
    <t>m2</t>
    <phoneticPr fontId="1" type="noConversion"/>
  </si>
  <si>
    <t>參考新工處單價</t>
    <phoneticPr fontId="1" type="noConversion"/>
  </si>
  <si>
    <t>依工程釋疑回覆，新設側溝採3mm免拆鋼模</t>
    <phoneticPr fontId="1" type="noConversion"/>
  </si>
  <si>
    <t>擋土牆鷹架數量修正</t>
    <phoneticPr fontId="1" type="noConversion"/>
  </si>
  <si>
    <t>單孔箱涵長度：41.5+12.9+17.4+41.1+128+23.2+26.1+12.7+60.7+22.6
寬度1.3m</t>
    <phoneticPr fontId="1" type="noConversion"/>
  </si>
  <si>
    <t>新設側溝長度：
6.5+64.1+10.9+43+11.1+9.4+10+42+1.2+20.1+28.3+6.5+36.5+6.0+25.6+3.4+13.9+12.4+15.1+3.6+4.2+13.9+4.0+13.6+4.7+43.5+16.2+71+3.7+9.5+7.2+60.3+5.3+3.3+9.7+44.4+30.1+4.4+14.4+45.7+3.9+39.7+41.4
寬度0.6m</t>
    <phoneticPr fontId="1" type="noConversion"/>
  </si>
  <si>
    <t>依工程釋疑回覆，新設側溝採6mm免拆鋼模</t>
    <phoneticPr fontId="1" type="noConversion"/>
  </si>
  <si>
    <t>依工程釋疑回覆增加地質鑽探一組</t>
    <phoneticPr fontId="1" type="noConversion"/>
  </si>
  <si>
    <t>依工程釋疑回覆增加透地雷達探管</t>
    <phoneticPr fontId="1" type="noConversion"/>
  </si>
  <si>
    <t>混凝土破碎加工</t>
    <phoneticPr fontId="3" type="noConversion"/>
  </si>
  <si>
    <t>土方運送(百齡抽水站)</t>
    <phoneticPr fontId="3" type="noConversion"/>
  </si>
  <si>
    <t>箱函式側溝溝蓋免拆鋼模，6mm</t>
    <phoneticPr fontId="3" type="noConversion"/>
  </si>
  <si>
    <t>施工架，鋼管，含安全護網</t>
    <phoneticPr fontId="3" type="noConversion"/>
  </si>
  <si>
    <t>箱函式側溝溝蓋免拆鋼模，3mm</t>
    <phoneticPr fontId="3" type="noConversion"/>
  </si>
  <si>
    <t>原40cmPC間距1.0m樁
變更60cmPC樁 間距1.2m</t>
    <phoneticPr fontId="1" type="noConversion"/>
  </si>
  <si>
    <t>環境保護費用</t>
    <phoneticPr fontId="1" type="noConversion"/>
  </si>
  <si>
    <t>元/日</t>
    <phoneticPr fontId="1" type="noConversion"/>
  </si>
  <si>
    <t>預力混凝土基樁，D=600mm，(打樁，含樁，空打及PC版樁隱蔽障礙物清除處理)</t>
    <phoneticPr fontId="3" type="noConversion"/>
  </si>
  <si>
    <t>圍水，砂包堆置</t>
    <phoneticPr fontId="3" type="noConversion"/>
  </si>
  <si>
    <t>臨時擋土樁設施，鋼板樁，L=13m，(單邊水平長度，未含擋土支撐系統)</t>
    <phoneticPr fontId="1" type="noConversion"/>
  </si>
  <si>
    <t>共月橋圍水26m
三合橋圍水：64m</t>
    <phoneticPr fontId="3" type="noConversion"/>
  </si>
  <si>
    <t>護岸型式一：52m
護岸型式二：38m
護岸型式三：37m</t>
    <phoneticPr fontId="3" type="noConversion"/>
  </si>
  <si>
    <t>新增單價(含現場試驗及取樣、標準貫入試驗、土壤力學試驗、三軸試驗、專業技師執業簽證)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</si>
</sst>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.00_ "/>
    <numFmt numFmtId="177" formatCode="#,##0_ "/>
  </numFmts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9"/>
      <color indexed="8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1" fillId="0" borderId="0"/>
    <xf numFmtId="0" fontId="11" fillId="0" borderId="0"/>
    <xf numFmtId="43" fontId="1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176" fontId="4" fillId="0" borderId="5" xfId="0" applyNumberFormat="1" applyFont="1" applyBorder="1" applyAlignment="1">
      <alignment vertical="center" shrinkToFit="1"/>
    </xf>
    <xf numFmtId="176" fontId="4" fillId="0" borderId="5" xfId="0" applyNumberFormat="1" applyFont="1" applyBorder="1" applyAlignment="1">
      <alignment horizontal="right" vertical="center" shrinkToFit="1"/>
    </xf>
    <xf numFmtId="176" fontId="6" fillId="0" borderId="5" xfId="0" applyNumberFormat="1" applyFont="1" applyBorder="1">
      <alignment vertical="center"/>
    </xf>
    <xf numFmtId="176" fontId="5" fillId="0" borderId="5" xfId="0" applyNumberFormat="1" applyFont="1" applyBorder="1" applyAlignment="1">
      <alignment vertical="center" shrinkToFit="1"/>
    </xf>
    <xf numFmtId="176" fontId="5" fillId="0" borderId="5" xfId="0" applyNumberFormat="1" applyFont="1" applyBorder="1" applyAlignment="1">
      <alignment vertical="center" wrapText="1" shrinkToFit="1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 shrinkToFit="1"/>
    </xf>
    <xf numFmtId="0" fontId="7" fillId="0" borderId="6" xfId="0" applyFont="1" applyBorder="1">
      <alignment vertical="center"/>
    </xf>
    <xf numFmtId="49" fontId="7" fillId="0" borderId="5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 shrinkToFit="1"/>
    </xf>
    <xf numFmtId="0" fontId="6" fillId="0" borderId="5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9" xfId="0" applyFont="1" applyBorder="1">
      <alignment vertical="center"/>
    </xf>
    <xf numFmtId="177" fontId="2" fillId="2" borderId="8" xfId="0" applyNumberFormat="1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shrinkToFit="1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shrinkToFit="1"/>
    </xf>
    <xf numFmtId="0" fontId="6" fillId="0" borderId="4" xfId="0" applyFont="1" applyBorder="1">
      <alignment vertical="center"/>
    </xf>
    <xf numFmtId="177" fontId="6" fillId="0" borderId="5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7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vertical="center" wrapText="1" shrinkToFit="1"/>
    </xf>
    <xf numFmtId="176" fontId="4" fillId="0" borderId="8" xfId="0" applyNumberFormat="1" applyFont="1" applyBorder="1" applyAlignment="1">
      <alignment horizontal="right" vertical="center" shrinkToFit="1"/>
    </xf>
    <xf numFmtId="176" fontId="6" fillId="0" borderId="8" xfId="0" applyNumberFormat="1" applyFont="1" applyBorder="1">
      <alignment vertical="center"/>
    </xf>
    <xf numFmtId="177" fontId="6" fillId="0" borderId="8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6" fillId="0" borderId="2" xfId="0" applyFont="1" applyFill="1" applyBorder="1">
      <alignment vertical="center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 shrinkToFit="1"/>
    </xf>
    <xf numFmtId="0" fontId="4" fillId="0" borderId="14" xfId="0" applyFont="1" applyBorder="1" applyAlignment="1">
      <alignment vertical="center" wrapText="1" shrinkToFit="1"/>
    </xf>
    <xf numFmtId="176" fontId="4" fillId="0" borderId="14" xfId="0" applyNumberFormat="1" applyFont="1" applyBorder="1" applyAlignment="1">
      <alignment horizontal="right" vertical="center" shrinkToFit="1"/>
    </xf>
    <xf numFmtId="176" fontId="6" fillId="0" borderId="14" xfId="0" applyNumberFormat="1" applyFont="1" applyBorder="1">
      <alignment vertical="center"/>
    </xf>
    <xf numFmtId="0" fontId="8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shrinkToFit="1"/>
    </xf>
    <xf numFmtId="0" fontId="9" fillId="3" borderId="12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>
      <alignment vertical="center"/>
    </xf>
    <xf numFmtId="0" fontId="2" fillId="0" borderId="8" xfId="0" applyFont="1" applyBorder="1">
      <alignment vertical="center"/>
    </xf>
  </cellXfs>
  <cellStyles count="8">
    <cellStyle name="一般" xfId="0" builtinId="0"/>
    <cellStyle name="一般 2" xfId="2" xr:uid="{0C27F757-3FDF-463F-853F-C583A5D15231}"/>
    <cellStyle name="一般 2 2" xfId="3" xr:uid="{2C681FE5-3158-4052-8932-A0038CA8E3B6}"/>
    <cellStyle name="一般 3" xfId="4" xr:uid="{69E8A751-203F-432E-96CE-9F8F65DD162D}"/>
    <cellStyle name="一般 4" xfId="1" xr:uid="{0D263E10-0A5B-4E7C-8FEB-6FE6C5A1CAFF}"/>
    <cellStyle name="千分位 2" xfId="6" xr:uid="{0F92DE50-7B91-41B8-BCEC-C60AEB45E172}"/>
    <cellStyle name="千分位 3" xfId="5" xr:uid="{65FB6DB9-1031-42AF-BD33-12A4DD495D82}"/>
    <cellStyle name="百分比 2" xfId="7" xr:uid="{1F986195-E77C-4AD0-9A56-251CF89F1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C530-E4A9-49EB-81C4-76560BA920BE}">
  <sheetPr>
    <pageSetUpPr fitToPage="1"/>
  </sheetPr>
  <dimension ref="A1:H29"/>
  <sheetViews>
    <sheetView topLeftCell="A6" zoomScale="130" zoomScaleNormal="130" workbookViewId="0">
      <selection activeCell="B11" sqref="B11"/>
    </sheetView>
  </sheetViews>
  <sheetFormatPr defaultRowHeight="16.5"/>
  <cols>
    <col min="1" max="1" width="9" style="31"/>
    <col min="2" max="2" width="39.25" style="31" customWidth="1"/>
    <col min="3" max="3" width="6.5" style="31" customWidth="1"/>
    <col min="4" max="4" width="29.25" style="31" customWidth="1"/>
    <col min="5" max="5" width="10.5" style="31" customWidth="1"/>
    <col min="6" max="6" width="9.25" style="31" customWidth="1"/>
    <col min="7" max="7" width="15.5" style="31" customWidth="1"/>
    <col min="8" max="8" width="22.25" style="31" customWidth="1"/>
  </cols>
  <sheetData>
    <row r="1" spans="1:8" ht="19.5" thickBot="1">
      <c r="A1" s="50" t="s">
        <v>78</v>
      </c>
      <c r="B1" s="50"/>
      <c r="C1" s="50"/>
      <c r="D1" s="50"/>
      <c r="E1" s="50"/>
      <c r="F1" s="50"/>
      <c r="G1" s="50"/>
      <c r="H1" s="50"/>
    </row>
    <row r="2" spans="1:8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9" t="s">
        <v>6</v>
      </c>
      <c r="H2" s="11" t="s">
        <v>7</v>
      </c>
    </row>
    <row r="3" spans="1:8">
      <c r="A3" s="12">
        <v>1</v>
      </c>
      <c r="B3" s="13" t="s">
        <v>8</v>
      </c>
      <c r="C3" s="14" t="s">
        <v>9</v>
      </c>
      <c r="D3" s="1" t="s">
        <v>10</v>
      </c>
      <c r="E3" s="2">
        <f>4559.61*10/15*0.6</f>
        <v>1823.8439999999998</v>
      </c>
      <c r="F3" s="3">
        <f>429*10/12</f>
        <v>357.5</v>
      </c>
      <c r="G3" s="3">
        <f>E3*F3</f>
        <v>652024.23</v>
      </c>
      <c r="H3" s="15" t="s">
        <v>74</v>
      </c>
    </row>
    <row r="4" spans="1:8">
      <c r="A4" s="12">
        <v>2</v>
      </c>
      <c r="B4" s="13" t="s">
        <v>13</v>
      </c>
      <c r="C4" s="14" t="s">
        <v>14</v>
      </c>
      <c r="D4" s="4" t="s">
        <v>15</v>
      </c>
      <c r="E4" s="2">
        <v>150</v>
      </c>
      <c r="F4" s="3">
        <f>992*3</f>
        <v>2976</v>
      </c>
      <c r="G4" s="3">
        <f t="shared" ref="G4:G10" si="0">E4*F4</f>
        <v>446400</v>
      </c>
      <c r="H4" s="15" t="s">
        <v>73</v>
      </c>
    </row>
    <row r="5" spans="1:8" ht="25.5">
      <c r="A5" s="12">
        <v>3</v>
      </c>
      <c r="B5" s="16" t="s">
        <v>16</v>
      </c>
      <c r="C5" s="14" t="s">
        <v>9</v>
      </c>
      <c r="D5" s="4" t="s">
        <v>17</v>
      </c>
      <c r="E5" s="2">
        <v>26</v>
      </c>
      <c r="F5" s="3">
        <v>3883.1</v>
      </c>
      <c r="G5" s="3">
        <f t="shared" si="0"/>
        <v>100960.59999999999</v>
      </c>
      <c r="H5" s="15" t="s">
        <v>75</v>
      </c>
    </row>
    <row r="6" spans="1:8">
      <c r="A6" s="12">
        <v>4</v>
      </c>
      <c r="B6" s="13" t="s">
        <v>79</v>
      </c>
      <c r="C6" s="14" t="s">
        <v>80</v>
      </c>
      <c r="D6" s="4"/>
      <c r="E6" s="2">
        <v>60000</v>
      </c>
      <c r="F6" s="3">
        <v>1</v>
      </c>
      <c r="G6" s="3">
        <f t="shared" si="0"/>
        <v>60000</v>
      </c>
      <c r="H6" s="15"/>
    </row>
    <row r="7" spans="1:8" ht="38.25">
      <c r="A7" s="12">
        <v>5</v>
      </c>
      <c r="B7" s="13" t="s">
        <v>18</v>
      </c>
      <c r="C7" s="14" t="s">
        <v>19</v>
      </c>
      <c r="D7" s="5"/>
      <c r="E7" s="2">
        <v>385000</v>
      </c>
      <c r="F7" s="3">
        <v>1</v>
      </c>
      <c r="G7" s="3">
        <f t="shared" si="0"/>
        <v>385000</v>
      </c>
      <c r="H7" s="32" t="s">
        <v>81</v>
      </c>
    </row>
    <row r="8" spans="1:8" ht="25.5">
      <c r="A8" s="12">
        <v>6</v>
      </c>
      <c r="B8" s="16" t="s">
        <v>20</v>
      </c>
      <c r="C8" s="14" t="s">
        <v>12</v>
      </c>
      <c r="D8" s="5" t="s">
        <v>21</v>
      </c>
      <c r="E8" s="2">
        <v>428.86</v>
      </c>
      <c r="F8" s="3">
        <f>200*7*0.3</f>
        <v>420</v>
      </c>
      <c r="G8" s="3">
        <f t="shared" si="0"/>
        <v>180121.2</v>
      </c>
      <c r="H8" s="32"/>
    </row>
    <row r="9" spans="1:8" ht="25.5">
      <c r="A9" s="12">
        <v>7</v>
      </c>
      <c r="B9" s="17" t="s">
        <v>22</v>
      </c>
      <c r="C9" s="14" t="s">
        <v>23</v>
      </c>
      <c r="D9" s="5" t="s">
        <v>24</v>
      </c>
      <c r="E9" s="2">
        <v>931.12</v>
      </c>
      <c r="F9" s="3">
        <f>2*8*30</f>
        <v>480</v>
      </c>
      <c r="G9" s="3">
        <f t="shared" si="0"/>
        <v>446937.59999999998</v>
      </c>
      <c r="H9" s="15"/>
    </row>
    <row r="10" spans="1:8">
      <c r="A10" s="12">
        <v>8</v>
      </c>
      <c r="B10" s="17" t="s">
        <v>25</v>
      </c>
      <c r="C10" s="14" t="s">
        <v>26</v>
      </c>
      <c r="D10" s="4" t="s">
        <v>27</v>
      </c>
      <c r="E10" s="2">
        <v>200</v>
      </c>
      <c r="F10" s="3">
        <v>3386.57</v>
      </c>
      <c r="G10" s="3">
        <f t="shared" si="0"/>
        <v>677314</v>
      </c>
      <c r="H10" s="15"/>
    </row>
    <row r="11" spans="1:8" ht="51">
      <c r="A11" s="12">
        <v>9</v>
      </c>
      <c r="B11" s="13" t="s">
        <v>28</v>
      </c>
      <c r="C11" s="14" t="s">
        <v>29</v>
      </c>
      <c r="D11" s="18" t="s">
        <v>32</v>
      </c>
      <c r="E11" s="2">
        <v>22500</v>
      </c>
      <c r="F11" s="3">
        <f>37*10+37*12+5*20-360</f>
        <v>554</v>
      </c>
      <c r="G11" s="3">
        <f>E11*F11</f>
        <v>12465000</v>
      </c>
      <c r="H11" s="15"/>
    </row>
    <row r="12" spans="1:8">
      <c r="A12" s="12"/>
      <c r="B12" s="13"/>
      <c r="C12" s="14"/>
      <c r="D12" s="18"/>
      <c r="E12" s="2"/>
      <c r="F12" s="3"/>
      <c r="G12" s="3"/>
      <c r="H12" s="15"/>
    </row>
    <row r="13" spans="1:8">
      <c r="A13" s="12" t="s">
        <v>77</v>
      </c>
      <c r="B13" s="13"/>
      <c r="C13" s="14"/>
      <c r="D13" s="18"/>
      <c r="E13" s="2"/>
      <c r="F13" s="3"/>
      <c r="G13" s="30">
        <f>SUM(G1:G11)</f>
        <v>15413757.629999999</v>
      </c>
      <c r="H13" s="15"/>
    </row>
    <row r="14" spans="1:8">
      <c r="A14" s="51" t="s">
        <v>72</v>
      </c>
      <c r="B14" s="52"/>
      <c r="C14" s="52"/>
      <c r="D14" s="52"/>
      <c r="E14" s="52"/>
      <c r="F14" s="52"/>
      <c r="G14" s="52"/>
      <c r="H14" s="53"/>
    </row>
    <row r="15" spans="1:8">
      <c r="A15" s="23" t="s">
        <v>33</v>
      </c>
      <c r="B15" s="24" t="s">
        <v>34</v>
      </c>
      <c r="C15" s="24" t="s">
        <v>35</v>
      </c>
      <c r="D15" s="24" t="s">
        <v>3</v>
      </c>
      <c r="E15" s="25" t="s">
        <v>36</v>
      </c>
      <c r="F15" s="19" t="s">
        <v>5</v>
      </c>
      <c r="G15" s="6" t="s">
        <v>6</v>
      </c>
      <c r="H15" s="15"/>
    </row>
    <row r="16" spans="1:8">
      <c r="A16" s="23"/>
      <c r="B16" s="13" t="s">
        <v>37</v>
      </c>
      <c r="C16" s="24" t="s">
        <v>38</v>
      </c>
      <c r="D16" s="13" t="s">
        <v>39</v>
      </c>
      <c r="E16" s="2">
        <v>280</v>
      </c>
      <c r="F16" s="2">
        <f>90*8</f>
        <v>720</v>
      </c>
      <c r="G16" s="2">
        <f>E16*F16</f>
        <v>201600</v>
      </c>
      <c r="H16" s="15" t="s">
        <v>76</v>
      </c>
    </row>
    <row r="17" spans="1:8">
      <c r="A17" s="23"/>
      <c r="B17" s="13" t="s">
        <v>40</v>
      </c>
      <c r="C17" s="24" t="s">
        <v>29</v>
      </c>
      <c r="D17" s="13" t="s">
        <v>41</v>
      </c>
      <c r="E17" s="2">
        <v>67.06</v>
      </c>
      <c r="F17" s="2">
        <v>2405</v>
      </c>
      <c r="G17" s="2">
        <f>E17*F17</f>
        <v>161279.30000000002</v>
      </c>
      <c r="H17" s="15" t="s">
        <v>75</v>
      </c>
    </row>
    <row r="18" spans="1:8">
      <c r="A18" s="26" t="s">
        <v>42</v>
      </c>
      <c r="B18" s="13" t="s">
        <v>43</v>
      </c>
      <c r="C18" s="14" t="s">
        <v>44</v>
      </c>
      <c r="D18" s="13" t="s">
        <v>45</v>
      </c>
      <c r="E18" s="2">
        <v>280</v>
      </c>
      <c r="F18" s="2">
        <f>2*30*8</f>
        <v>480</v>
      </c>
      <c r="G18" s="2">
        <f t="shared" ref="G18:G26" si="1">E18*F18</f>
        <v>134400</v>
      </c>
      <c r="H18" s="15"/>
    </row>
    <row r="19" spans="1:8" ht="25.5">
      <c r="A19" s="26" t="s">
        <v>46</v>
      </c>
      <c r="B19" s="27" t="s">
        <v>47</v>
      </c>
      <c r="C19" s="14" t="s">
        <v>48</v>
      </c>
      <c r="D19" s="13"/>
      <c r="E19" s="2">
        <v>2999.02</v>
      </c>
      <c r="F19" s="2">
        <v>10</v>
      </c>
      <c r="G19" s="2">
        <f t="shared" si="1"/>
        <v>29990.2</v>
      </c>
      <c r="H19" s="15"/>
    </row>
    <row r="20" spans="1:8">
      <c r="A20" s="26" t="s">
        <v>49</v>
      </c>
      <c r="B20" s="13" t="s">
        <v>50</v>
      </c>
      <c r="C20" s="14" t="s">
        <v>44</v>
      </c>
      <c r="D20" s="13" t="s">
        <v>51</v>
      </c>
      <c r="E20" s="2">
        <v>931.12</v>
      </c>
      <c r="F20" s="2">
        <v>10</v>
      </c>
      <c r="G20" s="2">
        <f t="shared" si="1"/>
        <v>9311.2000000000007</v>
      </c>
      <c r="H20" s="15"/>
    </row>
    <row r="21" spans="1:8" ht="26.25" customHeight="1">
      <c r="A21" s="26"/>
      <c r="B21" s="13" t="s">
        <v>52</v>
      </c>
      <c r="C21" s="14" t="s">
        <v>29</v>
      </c>
      <c r="D21" s="13" t="s">
        <v>53</v>
      </c>
      <c r="E21" s="2">
        <v>252.35</v>
      </c>
      <c r="F21" s="2">
        <f>(49+58)*5+2405</f>
        <v>2940</v>
      </c>
      <c r="G21" s="2">
        <f t="shared" si="1"/>
        <v>741909</v>
      </c>
      <c r="H21" s="15"/>
    </row>
    <row r="22" spans="1:8" ht="25.5">
      <c r="A22" s="26" t="s">
        <v>54</v>
      </c>
      <c r="B22" s="13" t="s">
        <v>55</v>
      </c>
      <c r="C22" s="14" t="s">
        <v>56</v>
      </c>
      <c r="D22" s="13" t="s">
        <v>57</v>
      </c>
      <c r="E22" s="2">
        <v>806</v>
      </c>
      <c r="F22" s="2">
        <v>180</v>
      </c>
      <c r="G22" s="2">
        <f t="shared" si="1"/>
        <v>145080</v>
      </c>
      <c r="H22" s="15"/>
    </row>
    <row r="23" spans="1:8">
      <c r="A23" s="26" t="s">
        <v>58</v>
      </c>
      <c r="B23" s="13" t="s">
        <v>59</v>
      </c>
      <c r="C23" s="14" t="s">
        <v>60</v>
      </c>
      <c r="D23" s="13" t="s">
        <v>61</v>
      </c>
      <c r="E23" s="2">
        <v>13068.13</v>
      </c>
      <c r="F23" s="2">
        <v>3</v>
      </c>
      <c r="G23" s="2">
        <f t="shared" si="1"/>
        <v>39204.39</v>
      </c>
      <c r="H23" s="15"/>
    </row>
    <row r="24" spans="1:8">
      <c r="A24" s="26" t="s">
        <v>62</v>
      </c>
      <c r="B24" s="13" t="s">
        <v>63</v>
      </c>
      <c r="C24" s="14" t="s">
        <v>64</v>
      </c>
      <c r="D24" s="13" t="s">
        <v>41</v>
      </c>
      <c r="E24" s="2">
        <v>54.57</v>
      </c>
      <c r="F24" s="2">
        <v>2405</v>
      </c>
      <c r="G24" s="2">
        <f t="shared" si="1"/>
        <v>131240.85</v>
      </c>
      <c r="H24" s="15"/>
    </row>
    <row r="25" spans="1:8">
      <c r="A25" s="26" t="s">
        <v>65</v>
      </c>
      <c r="B25" s="13" t="s">
        <v>66</v>
      </c>
      <c r="C25" s="14" t="s">
        <v>67</v>
      </c>
      <c r="D25" s="28" t="s">
        <v>68</v>
      </c>
      <c r="E25" s="2">
        <v>3662.23</v>
      </c>
      <c r="F25" s="2">
        <v>212</v>
      </c>
      <c r="G25" s="2">
        <f t="shared" si="1"/>
        <v>776392.76</v>
      </c>
      <c r="H25" s="15"/>
    </row>
    <row r="26" spans="1:8">
      <c r="A26" s="26" t="s">
        <v>69</v>
      </c>
      <c r="B26" s="13" t="s">
        <v>70</v>
      </c>
      <c r="C26" s="14" t="s">
        <v>71</v>
      </c>
      <c r="D26" s="6"/>
      <c r="E26" s="2">
        <v>10000</v>
      </c>
      <c r="F26" s="2">
        <v>1</v>
      </c>
      <c r="G26" s="2">
        <f t="shared" si="1"/>
        <v>10000</v>
      </c>
      <c r="H26" s="15"/>
    </row>
    <row r="27" spans="1:8">
      <c r="A27" s="29"/>
      <c r="B27" s="6"/>
      <c r="C27" s="6"/>
      <c r="D27" s="6"/>
      <c r="E27" s="6"/>
      <c r="F27" s="6"/>
      <c r="G27" s="6"/>
      <c r="H27" s="15"/>
    </row>
    <row r="28" spans="1:8">
      <c r="A28" s="26" t="s">
        <v>30</v>
      </c>
      <c r="B28" s="6"/>
      <c r="C28" s="6"/>
      <c r="D28" s="6"/>
      <c r="E28" s="6"/>
      <c r="F28" s="6"/>
      <c r="G28" s="30">
        <f>SUM(G16:G26)</f>
        <v>2380407.7000000002</v>
      </c>
      <c r="H28" s="15"/>
    </row>
    <row r="29" spans="1:8" ht="17.25" thickBot="1">
      <c r="A29" s="20"/>
      <c r="B29" s="54" t="s">
        <v>31</v>
      </c>
      <c r="C29" s="54"/>
      <c r="D29" s="54"/>
      <c r="E29" s="54"/>
      <c r="F29" s="7"/>
      <c r="G29" s="22">
        <f>G13+G28</f>
        <v>17794165.329999998</v>
      </c>
      <c r="H29" s="21"/>
    </row>
  </sheetData>
  <mergeCells count="3">
    <mergeCell ref="A1:H1"/>
    <mergeCell ref="A14:H14"/>
    <mergeCell ref="B29:E2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4139-20E2-46EB-97DB-B27B93491BB7}">
  <sheetPr>
    <pageSetUpPr fitToPage="1"/>
  </sheetPr>
  <dimension ref="A1:I32"/>
  <sheetViews>
    <sheetView tabSelected="1" topLeftCell="A17" zoomScale="115" zoomScaleNormal="115" workbookViewId="0">
      <selection activeCell="D34" sqref="D34"/>
    </sheetView>
  </sheetViews>
  <sheetFormatPr defaultRowHeight="16.5"/>
  <cols>
    <col min="1" max="1" width="9" style="31"/>
    <col min="2" max="2" width="39.25" style="31" customWidth="1"/>
    <col min="3" max="3" width="6.5" style="31" customWidth="1"/>
    <col min="4" max="4" width="29.25" style="31" customWidth="1"/>
    <col min="5" max="5" width="10.5" style="31" customWidth="1"/>
    <col min="6" max="6" width="9.25" style="31" customWidth="1"/>
    <col min="7" max="7" width="15.5" style="31" customWidth="1"/>
    <col min="8" max="8" width="33.625" style="31" customWidth="1"/>
    <col min="9" max="9" width="22.25" style="31" customWidth="1"/>
  </cols>
  <sheetData>
    <row r="1" spans="1:9" ht="19.5" thickBot="1">
      <c r="A1" s="55" t="s">
        <v>83</v>
      </c>
      <c r="B1" s="55"/>
      <c r="C1" s="55"/>
      <c r="D1" s="55"/>
      <c r="E1" s="55"/>
      <c r="F1" s="55"/>
      <c r="G1" s="55"/>
      <c r="H1" s="55"/>
      <c r="I1" s="55"/>
    </row>
    <row r="2" spans="1:9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9" t="s">
        <v>6</v>
      </c>
      <c r="H2" s="43" t="s">
        <v>93</v>
      </c>
      <c r="I2" s="11" t="s">
        <v>7</v>
      </c>
    </row>
    <row r="3" spans="1:9" ht="31.5">
      <c r="A3" s="12">
        <v>1</v>
      </c>
      <c r="B3" s="13" t="s">
        <v>118</v>
      </c>
      <c r="C3" s="14" t="s">
        <v>9</v>
      </c>
      <c r="D3" s="1" t="s">
        <v>10</v>
      </c>
      <c r="E3" s="2">
        <f>4559.61*10/15*0.6</f>
        <v>1823.8439999999998</v>
      </c>
      <c r="F3" s="3">
        <f>429</f>
        <v>429</v>
      </c>
      <c r="G3" s="3">
        <f>E3*F3</f>
        <v>782429.07599999988</v>
      </c>
      <c r="H3" s="58" t="s">
        <v>115</v>
      </c>
      <c r="I3" s="15" t="s">
        <v>91</v>
      </c>
    </row>
    <row r="4" spans="1:9">
      <c r="A4" s="12">
        <v>2</v>
      </c>
      <c r="B4" s="13" t="s">
        <v>11</v>
      </c>
      <c r="C4" s="14" t="s">
        <v>12</v>
      </c>
      <c r="D4" s="1" t="s">
        <v>84</v>
      </c>
      <c r="E4" s="2">
        <v>3643.73</v>
      </c>
      <c r="F4" s="3">
        <f>357.5*0.3*0.3*3.14</f>
        <v>101.0295</v>
      </c>
      <c r="G4" s="3">
        <f t="shared" ref="G4:G16" si="0">E4*F4</f>
        <v>368124.22003500001</v>
      </c>
      <c r="H4" s="58" t="s">
        <v>94</v>
      </c>
      <c r="I4" s="15"/>
    </row>
    <row r="5" spans="1:9" ht="25.5">
      <c r="A5" s="12">
        <v>3</v>
      </c>
      <c r="B5" s="13" t="s">
        <v>13</v>
      </c>
      <c r="C5" s="14" t="s">
        <v>14</v>
      </c>
      <c r="D5" s="5" t="s">
        <v>82</v>
      </c>
      <c r="E5" s="2">
        <v>150</v>
      </c>
      <c r="F5" s="3">
        <f>1984*3</f>
        <v>5952</v>
      </c>
      <c r="G5" s="3">
        <f t="shared" si="0"/>
        <v>892800</v>
      </c>
      <c r="H5" s="58" t="s">
        <v>95</v>
      </c>
      <c r="I5" s="32" t="s">
        <v>92</v>
      </c>
    </row>
    <row r="6" spans="1:9" ht="70.5" customHeight="1">
      <c r="A6" s="12">
        <v>4</v>
      </c>
      <c r="B6" s="16" t="s">
        <v>16</v>
      </c>
      <c r="C6" s="14" t="s">
        <v>9</v>
      </c>
      <c r="D6" s="5" t="s">
        <v>122</v>
      </c>
      <c r="E6" s="2">
        <f>52+38+37</f>
        <v>127</v>
      </c>
      <c r="F6" s="3">
        <v>3883.1</v>
      </c>
      <c r="G6" s="3">
        <f t="shared" si="0"/>
        <v>493153.7</v>
      </c>
      <c r="H6" s="58" t="s">
        <v>96</v>
      </c>
      <c r="I6" s="15" t="s">
        <v>91</v>
      </c>
    </row>
    <row r="7" spans="1:9" ht="70.5" customHeight="1">
      <c r="A7" s="12">
        <v>5</v>
      </c>
      <c r="B7" s="16" t="s">
        <v>120</v>
      </c>
      <c r="C7" s="14" t="s">
        <v>9</v>
      </c>
      <c r="D7" s="5" t="s">
        <v>121</v>
      </c>
      <c r="E7" s="2">
        <f>26+64</f>
        <v>90</v>
      </c>
      <c r="F7" s="3">
        <v>5626.38</v>
      </c>
      <c r="G7" s="3">
        <f t="shared" si="0"/>
        <v>506374.2</v>
      </c>
      <c r="H7" s="58" t="s">
        <v>96</v>
      </c>
      <c r="I7" s="15" t="s">
        <v>91</v>
      </c>
    </row>
    <row r="8" spans="1:9">
      <c r="A8" s="12">
        <v>6</v>
      </c>
      <c r="B8" s="13" t="s">
        <v>79</v>
      </c>
      <c r="C8" s="14" t="s">
        <v>80</v>
      </c>
      <c r="D8" s="4"/>
      <c r="E8" s="2">
        <v>60000</v>
      </c>
      <c r="F8" s="3">
        <v>1</v>
      </c>
      <c r="G8" s="3">
        <f t="shared" si="0"/>
        <v>60000</v>
      </c>
      <c r="H8" s="58" t="s">
        <v>109</v>
      </c>
      <c r="I8" s="15"/>
    </row>
    <row r="9" spans="1:9" ht="38.25">
      <c r="A9" s="12">
        <v>7</v>
      </c>
      <c r="B9" s="13" t="s">
        <v>18</v>
      </c>
      <c r="C9" s="14" t="s">
        <v>19</v>
      </c>
      <c r="D9" s="5"/>
      <c r="E9" s="2">
        <v>385000</v>
      </c>
      <c r="F9" s="3">
        <v>1</v>
      </c>
      <c r="G9" s="3">
        <f t="shared" si="0"/>
        <v>385000</v>
      </c>
      <c r="H9" s="58" t="s">
        <v>108</v>
      </c>
      <c r="I9" s="32" t="s">
        <v>123</v>
      </c>
    </row>
    <row r="10" spans="1:9" ht="33.75" customHeight="1">
      <c r="A10" s="12">
        <v>8</v>
      </c>
      <c r="B10" s="13" t="s">
        <v>110</v>
      </c>
      <c r="C10" s="14" t="s">
        <v>12</v>
      </c>
      <c r="D10" s="5" t="s">
        <v>85</v>
      </c>
      <c r="E10" s="2">
        <v>600</v>
      </c>
      <c r="F10" s="3">
        <f>350*7*0.3</f>
        <v>735</v>
      </c>
      <c r="G10" s="3">
        <f>E10*F10</f>
        <v>441000</v>
      </c>
      <c r="H10" s="58"/>
      <c r="I10" s="15" t="s">
        <v>90</v>
      </c>
    </row>
    <row r="11" spans="1:9" ht="24" customHeight="1">
      <c r="A11" s="12">
        <v>9</v>
      </c>
      <c r="B11" s="13" t="s">
        <v>111</v>
      </c>
      <c r="C11" s="14" t="s">
        <v>86</v>
      </c>
      <c r="D11" s="5" t="s">
        <v>87</v>
      </c>
      <c r="E11" s="2">
        <v>3082.28</v>
      </c>
      <c r="F11" s="3">
        <f>735/12</f>
        <v>61.25</v>
      </c>
      <c r="G11" s="3">
        <f t="shared" si="0"/>
        <v>188789.65000000002</v>
      </c>
      <c r="H11" s="58" t="s">
        <v>97</v>
      </c>
      <c r="I11" s="32"/>
    </row>
    <row r="12" spans="1:9" ht="25.5">
      <c r="A12" s="12">
        <v>10</v>
      </c>
      <c r="B12" s="13" t="s">
        <v>22</v>
      </c>
      <c r="C12" s="14" t="s">
        <v>23</v>
      </c>
      <c r="D12" s="5" t="s">
        <v>98</v>
      </c>
      <c r="E12" s="2">
        <v>931.12</v>
      </c>
      <c r="F12" s="3">
        <f>2*5*8*30</f>
        <v>2400</v>
      </c>
      <c r="G12" s="3">
        <f t="shared" si="0"/>
        <v>2234688</v>
      </c>
      <c r="H12" s="58"/>
      <c r="I12" s="15"/>
    </row>
    <row r="13" spans="1:9" ht="51">
      <c r="A13" s="12">
        <v>11</v>
      </c>
      <c r="B13" s="13" t="s">
        <v>112</v>
      </c>
      <c r="C13" s="14"/>
      <c r="D13" s="5" t="s">
        <v>105</v>
      </c>
      <c r="E13" s="2">
        <f>(41.5+12.9+17.4+41.1+128+23.2+26.1+12.7+60.7+22.6)*1.3</f>
        <v>502.06000000000006</v>
      </c>
      <c r="F13" s="3">
        <f>F14*2</f>
        <v>2280.3200000000002</v>
      </c>
      <c r="G13" s="3">
        <f t="shared" si="0"/>
        <v>1144857.4592000002</v>
      </c>
      <c r="H13" s="58" t="s">
        <v>107</v>
      </c>
      <c r="I13" s="15" t="s">
        <v>90</v>
      </c>
    </row>
    <row r="14" spans="1:9">
      <c r="A14" s="12">
        <v>12</v>
      </c>
      <c r="B14" s="13" t="s">
        <v>113</v>
      </c>
      <c r="C14" s="14" t="s">
        <v>29</v>
      </c>
      <c r="D14" s="5"/>
      <c r="E14" s="2">
        <v>1140.1600000000001</v>
      </c>
      <c r="F14" s="2">
        <v>1140.1600000000001</v>
      </c>
      <c r="G14" s="3">
        <f t="shared" si="0"/>
        <v>1299964.8256000001</v>
      </c>
      <c r="H14" s="58" t="s">
        <v>104</v>
      </c>
      <c r="I14" s="15"/>
    </row>
    <row r="15" spans="1:9" ht="102">
      <c r="A15" s="12">
        <v>13</v>
      </c>
      <c r="B15" s="13" t="s">
        <v>114</v>
      </c>
      <c r="C15" s="14" t="s">
        <v>29</v>
      </c>
      <c r="D15" s="5" t="s">
        <v>106</v>
      </c>
      <c r="E15" s="2">
        <f>(6.5+64.1+10.9+43+11.1+9.4+10+42+1.2+20.1+28.3+6.5+36.5+6+25.6+3.4+13.9+12.4+15.1+3.6+4.2+13.9+4+13.6+4.7+43.5+16.2+71+3.7+9.5+7.2+60.3+5.3+3.3+9.7+44.4+30.1+4.4+14.4+45.7+3.9+39.7+41.4)*0.6</f>
        <v>518.22</v>
      </c>
      <c r="F15" s="3">
        <v>1031.6199999999999</v>
      </c>
      <c r="G15" s="3">
        <f t="shared" si="0"/>
        <v>534606.11639999994</v>
      </c>
      <c r="H15" s="58" t="s">
        <v>103</v>
      </c>
      <c r="I15" s="15" t="s">
        <v>102</v>
      </c>
    </row>
    <row r="16" spans="1:9" ht="63.75">
      <c r="A16" s="12">
        <v>14</v>
      </c>
      <c r="B16" s="17" t="s">
        <v>119</v>
      </c>
      <c r="C16" s="14" t="s">
        <v>26</v>
      </c>
      <c r="D16" s="5" t="s">
        <v>99</v>
      </c>
      <c r="E16" s="2">
        <f>30+288+228+444+60</f>
        <v>1050</v>
      </c>
      <c r="F16" s="3">
        <v>3386.57</v>
      </c>
      <c r="G16" s="3">
        <f t="shared" si="0"/>
        <v>3555898.5</v>
      </c>
      <c r="H16" s="59"/>
      <c r="I16" s="15" t="s">
        <v>100</v>
      </c>
    </row>
    <row r="17" spans="1:9" ht="51">
      <c r="A17" s="12">
        <v>15</v>
      </c>
      <c r="B17" s="13" t="s">
        <v>28</v>
      </c>
      <c r="C17" s="14" t="s">
        <v>29</v>
      </c>
      <c r="D17" s="18" t="s">
        <v>32</v>
      </c>
      <c r="E17" s="2">
        <v>22500</v>
      </c>
      <c r="F17" s="3">
        <f>37*10+37*12+5*20-360</f>
        <v>554</v>
      </c>
      <c r="G17" s="3">
        <f>E17*F17</f>
        <v>12465000</v>
      </c>
      <c r="H17" s="59"/>
      <c r="I17" s="15"/>
    </row>
    <row r="18" spans="1:9">
      <c r="A18" s="12">
        <v>16</v>
      </c>
      <c r="B18" s="13" t="s">
        <v>88</v>
      </c>
      <c r="C18" s="14" t="s">
        <v>89</v>
      </c>
      <c r="D18" s="18"/>
      <c r="E18" s="2">
        <v>35</v>
      </c>
      <c r="F18" s="3">
        <f>4781.56+2300.86+150400</f>
        <v>157482.42000000001</v>
      </c>
      <c r="G18" s="3">
        <f>E18*F18</f>
        <v>5511884.7000000002</v>
      </c>
      <c r="H18" s="59"/>
      <c r="I18" s="15" t="s">
        <v>90</v>
      </c>
    </row>
    <row r="19" spans="1:9">
      <c r="A19" s="44">
        <v>17</v>
      </c>
      <c r="B19" s="45" t="s">
        <v>116</v>
      </c>
      <c r="C19" s="46" t="s">
        <v>117</v>
      </c>
      <c r="D19" s="47"/>
      <c r="E19" s="48">
        <v>2500</v>
      </c>
      <c r="F19" s="49">
        <v>730</v>
      </c>
      <c r="G19" s="3">
        <f>E19*F19</f>
        <v>1825000</v>
      </c>
      <c r="H19" s="58"/>
      <c r="I19" s="15" t="s">
        <v>90</v>
      </c>
    </row>
    <row r="20" spans="1:9" ht="37.5" customHeight="1" thickBot="1">
      <c r="A20" s="33" t="s">
        <v>30</v>
      </c>
      <c r="B20" s="34"/>
      <c r="C20" s="35"/>
      <c r="D20" s="36"/>
      <c r="E20" s="37"/>
      <c r="F20" s="38"/>
      <c r="G20" s="39">
        <f>SUM(G1:G19)</f>
        <v>32689570.447234999</v>
      </c>
      <c r="H20" s="60"/>
      <c r="I20" s="21"/>
    </row>
    <row r="21" spans="1:9" ht="32.25" customHeight="1" thickBot="1">
      <c r="A21" s="56" t="s">
        <v>72</v>
      </c>
      <c r="B21" s="57"/>
      <c r="C21" s="57"/>
      <c r="D21" s="57"/>
      <c r="E21" s="57"/>
      <c r="F21" s="57"/>
      <c r="G21" s="57"/>
      <c r="H21" s="57"/>
      <c r="I21" s="57"/>
    </row>
    <row r="22" spans="1:9">
      <c r="A22" s="40" t="s">
        <v>33</v>
      </c>
      <c r="B22" s="41" t="s">
        <v>34</v>
      </c>
      <c r="C22" s="41" t="s">
        <v>35</v>
      </c>
      <c r="D22" s="41" t="s">
        <v>3</v>
      </c>
      <c r="E22" s="42" t="s">
        <v>36</v>
      </c>
      <c r="F22" s="10" t="s">
        <v>5</v>
      </c>
      <c r="G22" s="9" t="s">
        <v>6</v>
      </c>
      <c r="H22" s="43" t="s">
        <v>93</v>
      </c>
      <c r="I22" s="11" t="s">
        <v>7</v>
      </c>
    </row>
    <row r="23" spans="1:9">
      <c r="A23" s="23"/>
      <c r="B23" s="13" t="s">
        <v>37</v>
      </c>
      <c r="C23" s="24" t="s">
        <v>38</v>
      </c>
      <c r="D23" s="13" t="s">
        <v>39</v>
      </c>
      <c r="E23" s="2">
        <v>280</v>
      </c>
      <c r="F23" s="2">
        <f>90*8</f>
        <v>720</v>
      </c>
      <c r="G23" s="2">
        <f>E23*F23</f>
        <v>201600</v>
      </c>
      <c r="H23" s="59"/>
      <c r="I23" s="15" t="s">
        <v>76</v>
      </c>
    </row>
    <row r="24" spans="1:9">
      <c r="A24" s="23"/>
      <c r="B24" s="13" t="s">
        <v>40</v>
      </c>
      <c r="C24" s="24" t="s">
        <v>29</v>
      </c>
      <c r="D24" s="13" t="s">
        <v>41</v>
      </c>
      <c r="E24" s="2">
        <v>67.06</v>
      </c>
      <c r="F24" s="2">
        <v>2405</v>
      </c>
      <c r="G24" s="2">
        <f>E24*F24</f>
        <v>161279.30000000002</v>
      </c>
      <c r="H24" s="59"/>
      <c r="I24" s="15" t="s">
        <v>75</v>
      </c>
    </row>
    <row r="25" spans="1:9" ht="25.5">
      <c r="A25" s="26" t="s">
        <v>46</v>
      </c>
      <c r="B25" s="27" t="s">
        <v>47</v>
      </c>
      <c r="C25" s="14" t="s">
        <v>48</v>
      </c>
      <c r="D25" s="13"/>
      <c r="E25" s="2">
        <v>2999.02</v>
      </c>
      <c r="F25" s="2">
        <v>10</v>
      </c>
      <c r="G25" s="2">
        <f t="shared" ref="G25:G30" si="1">E25*F25</f>
        <v>29990.2</v>
      </c>
      <c r="H25" s="59"/>
      <c r="I25" s="15"/>
    </row>
    <row r="26" spans="1:9">
      <c r="A26" s="26" t="s">
        <v>49</v>
      </c>
      <c r="B26" s="13" t="s">
        <v>50</v>
      </c>
      <c r="C26" s="14" t="s">
        <v>44</v>
      </c>
      <c r="D26" s="13" t="s">
        <v>51</v>
      </c>
      <c r="E26" s="2">
        <v>931.12</v>
      </c>
      <c r="F26" s="2">
        <v>10</v>
      </c>
      <c r="G26" s="2">
        <f t="shared" si="1"/>
        <v>9311.2000000000007</v>
      </c>
      <c r="H26" s="59"/>
      <c r="I26" s="15"/>
    </row>
    <row r="27" spans="1:9" ht="26.25" customHeight="1">
      <c r="A27" s="26"/>
      <c r="B27" s="13" t="s">
        <v>52</v>
      </c>
      <c r="C27" s="14" t="s">
        <v>29</v>
      </c>
      <c r="D27" s="13" t="s">
        <v>53</v>
      </c>
      <c r="E27" s="2">
        <v>252.35</v>
      </c>
      <c r="F27" s="2">
        <f>(49+58)*5+2405</f>
        <v>2940</v>
      </c>
      <c r="G27" s="2">
        <f t="shared" si="1"/>
        <v>741909</v>
      </c>
      <c r="H27" s="59"/>
      <c r="I27" s="15"/>
    </row>
    <row r="28" spans="1:9" ht="25.5">
      <c r="A28" s="26" t="s">
        <v>54</v>
      </c>
      <c r="B28" s="13" t="s">
        <v>55</v>
      </c>
      <c r="C28" s="14" t="s">
        <v>56</v>
      </c>
      <c r="D28" s="13" t="s">
        <v>57</v>
      </c>
      <c r="E28" s="2">
        <v>806</v>
      </c>
      <c r="F28" s="2">
        <v>180</v>
      </c>
      <c r="G28" s="2">
        <f t="shared" si="1"/>
        <v>145080</v>
      </c>
      <c r="H28" s="59"/>
      <c r="I28" s="15"/>
    </row>
    <row r="29" spans="1:9">
      <c r="A29" s="26" t="s">
        <v>58</v>
      </c>
      <c r="B29" s="13" t="s">
        <v>59</v>
      </c>
      <c r="C29" s="14" t="s">
        <v>60</v>
      </c>
      <c r="D29" s="13" t="s">
        <v>61</v>
      </c>
      <c r="E29" s="2">
        <v>13068.13</v>
      </c>
      <c r="F29" s="2">
        <v>3</v>
      </c>
      <c r="G29" s="2">
        <f t="shared" si="1"/>
        <v>39204.39</v>
      </c>
      <c r="H29" s="59"/>
      <c r="I29" s="15"/>
    </row>
    <row r="30" spans="1:9">
      <c r="A30" s="26" t="s">
        <v>62</v>
      </c>
      <c r="B30" s="13" t="s">
        <v>63</v>
      </c>
      <c r="C30" s="14" t="s">
        <v>64</v>
      </c>
      <c r="D30" s="13" t="s">
        <v>41</v>
      </c>
      <c r="E30" s="2">
        <v>54.57</v>
      </c>
      <c r="F30" s="2">
        <v>2405</v>
      </c>
      <c r="G30" s="2">
        <f t="shared" si="1"/>
        <v>131240.85</v>
      </c>
      <c r="H30" s="59"/>
      <c r="I30" s="15"/>
    </row>
    <row r="31" spans="1:9">
      <c r="A31" s="26" t="s">
        <v>30</v>
      </c>
      <c r="B31" s="6"/>
      <c r="C31" s="6"/>
      <c r="D31" s="6"/>
      <c r="E31" s="6"/>
      <c r="F31" s="6"/>
      <c r="G31" s="30">
        <f>SUM(G23:G30)</f>
        <v>1459614.9400000002</v>
      </c>
      <c r="H31" s="59"/>
      <c r="I31" s="15"/>
    </row>
    <row r="32" spans="1:9" ht="17.25" thickBot="1">
      <c r="A32" s="20"/>
      <c r="B32" s="54" t="s">
        <v>31</v>
      </c>
      <c r="C32" s="54"/>
      <c r="D32" s="54"/>
      <c r="E32" s="54"/>
      <c r="F32" s="7"/>
      <c r="G32" s="22">
        <f>G20+G31</f>
        <v>34149185.387235001</v>
      </c>
      <c r="H32" s="60"/>
      <c r="I32" s="21"/>
    </row>
  </sheetData>
  <mergeCells count="3">
    <mergeCell ref="A1:I1"/>
    <mergeCell ref="A21:I21"/>
    <mergeCell ref="B32:E3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4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353E-DC78-43DA-9B27-FBF7D71159AA}">
  <sheetPr>
    <pageSetUpPr fitToPage="1"/>
  </sheetPr>
  <dimension ref="A1:I36"/>
  <sheetViews>
    <sheetView topLeftCell="A16" zoomScale="115" zoomScaleNormal="115" workbookViewId="0">
      <selection activeCell="F9" sqref="F9"/>
    </sheetView>
  </sheetViews>
  <sheetFormatPr defaultRowHeight="16.5"/>
  <cols>
    <col min="1" max="1" width="9" style="31"/>
    <col min="2" max="2" width="39.25" style="31" customWidth="1"/>
    <col min="3" max="3" width="6.5" style="31" customWidth="1"/>
    <col min="4" max="4" width="29.25" style="31" customWidth="1"/>
    <col min="5" max="5" width="10.5" style="31" customWidth="1"/>
    <col min="6" max="6" width="9.25" style="31" customWidth="1"/>
    <col min="7" max="7" width="15.5" style="31" customWidth="1"/>
    <col min="8" max="8" width="33.625" style="31" customWidth="1"/>
    <col min="9" max="9" width="22.25" style="31" customWidth="1"/>
  </cols>
  <sheetData>
    <row r="1" spans="1:9" ht="19.5" thickBot="1">
      <c r="A1" s="55" t="s">
        <v>83</v>
      </c>
      <c r="B1" s="55"/>
      <c r="C1" s="55"/>
      <c r="D1" s="55"/>
      <c r="E1" s="55"/>
      <c r="F1" s="55"/>
      <c r="G1" s="55"/>
      <c r="H1" s="55"/>
      <c r="I1" s="55"/>
    </row>
    <row r="2" spans="1:9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9" t="s">
        <v>6</v>
      </c>
      <c r="H2" s="43" t="s">
        <v>93</v>
      </c>
      <c r="I2" s="11" t="s">
        <v>7</v>
      </c>
    </row>
    <row r="3" spans="1:9" ht="31.5">
      <c r="A3" s="12">
        <v>1</v>
      </c>
      <c r="B3" s="13" t="s">
        <v>118</v>
      </c>
      <c r="C3" s="14" t="s">
        <v>9</v>
      </c>
      <c r="D3" s="1" t="s">
        <v>10</v>
      </c>
      <c r="E3" s="2">
        <f>4559.61*10/15*0.6</f>
        <v>1823.8439999999998</v>
      </c>
      <c r="F3" s="3">
        <f>429</f>
        <v>429</v>
      </c>
      <c r="G3" s="3">
        <f>E3*F3</f>
        <v>782429.07599999988</v>
      </c>
      <c r="H3" s="58" t="s">
        <v>115</v>
      </c>
      <c r="I3" s="15" t="s">
        <v>91</v>
      </c>
    </row>
    <row r="4" spans="1:9">
      <c r="A4" s="12">
        <v>2</v>
      </c>
      <c r="B4" s="13" t="s">
        <v>11</v>
      </c>
      <c r="C4" s="14" t="s">
        <v>12</v>
      </c>
      <c r="D4" s="1" t="s">
        <v>84</v>
      </c>
      <c r="E4" s="2">
        <v>3643.73</v>
      </c>
      <c r="F4" s="3">
        <f>357.5*0.3*0.3*3.14</f>
        <v>101.0295</v>
      </c>
      <c r="G4" s="3">
        <f t="shared" ref="G4:G16" si="0">E4*F4</f>
        <v>368124.22003500001</v>
      </c>
      <c r="H4" s="58" t="s">
        <v>94</v>
      </c>
      <c r="I4" s="15"/>
    </row>
    <row r="5" spans="1:9" ht="25.5">
      <c r="A5" s="12">
        <v>3</v>
      </c>
      <c r="B5" s="13" t="s">
        <v>13</v>
      </c>
      <c r="C5" s="14" t="s">
        <v>14</v>
      </c>
      <c r="D5" s="5" t="s">
        <v>82</v>
      </c>
      <c r="E5" s="2">
        <v>150</v>
      </c>
      <c r="F5" s="3">
        <f>1984*3</f>
        <v>5952</v>
      </c>
      <c r="G5" s="3">
        <f t="shared" si="0"/>
        <v>892800</v>
      </c>
      <c r="H5" s="58" t="s">
        <v>95</v>
      </c>
      <c r="I5" s="32" t="s">
        <v>92</v>
      </c>
    </row>
    <row r="6" spans="1:9" ht="70.5" customHeight="1">
      <c r="A6" s="12">
        <v>4</v>
      </c>
      <c r="B6" s="16" t="s">
        <v>16</v>
      </c>
      <c r="C6" s="14" t="s">
        <v>9</v>
      </c>
      <c r="D6" s="5" t="s">
        <v>122</v>
      </c>
      <c r="E6" s="2">
        <f>52+38+37</f>
        <v>127</v>
      </c>
      <c r="F6" s="3">
        <v>3883.1</v>
      </c>
      <c r="G6" s="3">
        <f t="shared" si="0"/>
        <v>493153.7</v>
      </c>
      <c r="H6" s="58" t="s">
        <v>96</v>
      </c>
      <c r="I6" s="15" t="s">
        <v>91</v>
      </c>
    </row>
    <row r="7" spans="1:9" ht="70.5" customHeight="1">
      <c r="A7" s="12"/>
      <c r="B7" s="16" t="s">
        <v>120</v>
      </c>
      <c r="C7" s="14" t="s">
        <v>9</v>
      </c>
      <c r="D7" s="5" t="s">
        <v>121</v>
      </c>
      <c r="E7" s="2">
        <f>26+64</f>
        <v>90</v>
      </c>
      <c r="F7" s="3">
        <v>5626.38</v>
      </c>
      <c r="G7" s="3">
        <f t="shared" ref="G7" si="1">E7*F7</f>
        <v>506374.2</v>
      </c>
      <c r="H7" s="58" t="s">
        <v>96</v>
      </c>
      <c r="I7" s="15" t="s">
        <v>91</v>
      </c>
    </row>
    <row r="8" spans="1:9">
      <c r="A8" s="12">
        <v>5</v>
      </c>
      <c r="B8" s="13" t="s">
        <v>79</v>
      </c>
      <c r="C8" s="14" t="s">
        <v>80</v>
      </c>
      <c r="D8" s="4"/>
      <c r="E8" s="2">
        <v>60000</v>
      </c>
      <c r="F8" s="3">
        <v>1</v>
      </c>
      <c r="G8" s="3">
        <f t="shared" si="0"/>
        <v>60000</v>
      </c>
      <c r="H8" s="58" t="s">
        <v>109</v>
      </c>
      <c r="I8" s="15"/>
    </row>
    <row r="9" spans="1:9" ht="38.25">
      <c r="A9" s="12">
        <v>6</v>
      </c>
      <c r="B9" s="13" t="s">
        <v>18</v>
      </c>
      <c r="C9" s="14" t="s">
        <v>19</v>
      </c>
      <c r="D9" s="5"/>
      <c r="E9" s="2">
        <v>385000</v>
      </c>
      <c r="F9" s="3">
        <v>1</v>
      </c>
      <c r="G9" s="3">
        <f t="shared" si="0"/>
        <v>385000</v>
      </c>
      <c r="H9" s="58" t="s">
        <v>108</v>
      </c>
      <c r="I9" s="32" t="s">
        <v>123</v>
      </c>
    </row>
    <row r="10" spans="1:9" ht="33.75" customHeight="1">
      <c r="A10" s="12">
        <v>7</v>
      </c>
      <c r="B10" s="13" t="s">
        <v>110</v>
      </c>
      <c r="C10" s="14" t="s">
        <v>12</v>
      </c>
      <c r="D10" s="5" t="s">
        <v>85</v>
      </c>
      <c r="E10" s="2">
        <v>600</v>
      </c>
      <c r="F10" s="3">
        <f>350*7*0.3</f>
        <v>735</v>
      </c>
      <c r="G10" s="3">
        <f>E10*F10</f>
        <v>441000</v>
      </c>
      <c r="H10" s="58"/>
      <c r="I10" s="15" t="s">
        <v>90</v>
      </c>
    </row>
    <row r="11" spans="1:9" ht="24" customHeight="1">
      <c r="A11" s="12">
        <v>8</v>
      </c>
      <c r="B11" s="13" t="s">
        <v>111</v>
      </c>
      <c r="C11" s="14" t="s">
        <v>86</v>
      </c>
      <c r="D11" s="5" t="s">
        <v>87</v>
      </c>
      <c r="E11" s="2">
        <v>3082.28</v>
      </c>
      <c r="F11" s="3">
        <f>735/12</f>
        <v>61.25</v>
      </c>
      <c r="G11" s="3">
        <f t="shared" si="0"/>
        <v>188789.65000000002</v>
      </c>
      <c r="H11" s="58" t="s">
        <v>97</v>
      </c>
      <c r="I11" s="32"/>
    </row>
    <row r="12" spans="1:9" ht="25.5">
      <c r="A12" s="12">
        <v>9</v>
      </c>
      <c r="B12" s="13" t="s">
        <v>22</v>
      </c>
      <c r="C12" s="14" t="s">
        <v>23</v>
      </c>
      <c r="D12" s="5" t="s">
        <v>98</v>
      </c>
      <c r="E12" s="2">
        <v>931.12</v>
      </c>
      <c r="F12" s="3">
        <f>2*5*8*30</f>
        <v>2400</v>
      </c>
      <c r="G12" s="3">
        <f t="shared" si="0"/>
        <v>2234688</v>
      </c>
      <c r="H12" s="58"/>
      <c r="I12" s="15"/>
    </row>
    <row r="13" spans="1:9" ht="51">
      <c r="A13" s="12">
        <v>10</v>
      </c>
      <c r="B13" s="13" t="s">
        <v>112</v>
      </c>
      <c r="C13" s="14"/>
      <c r="D13" s="5" t="s">
        <v>105</v>
      </c>
      <c r="E13" s="2">
        <f>(41.5+12.9+17.4+41.1+128+23.2+26.1+12.7+60.7+22.6)*1.3</f>
        <v>502.06000000000006</v>
      </c>
      <c r="F13" s="3">
        <f>F14*2</f>
        <v>2280.3200000000002</v>
      </c>
      <c r="G13" s="3">
        <f t="shared" si="0"/>
        <v>1144857.4592000002</v>
      </c>
      <c r="H13" s="58" t="s">
        <v>107</v>
      </c>
      <c r="I13" s="15" t="s">
        <v>90</v>
      </c>
    </row>
    <row r="14" spans="1:9">
      <c r="A14" s="12">
        <v>11</v>
      </c>
      <c r="B14" s="13" t="s">
        <v>113</v>
      </c>
      <c r="C14" s="14" t="s">
        <v>101</v>
      </c>
      <c r="D14" s="5"/>
      <c r="E14" s="2">
        <v>1140.1600000000001</v>
      </c>
      <c r="F14" s="2">
        <v>1140.1600000000001</v>
      </c>
      <c r="G14" s="3">
        <f t="shared" si="0"/>
        <v>1299964.8256000001</v>
      </c>
      <c r="H14" s="58" t="s">
        <v>104</v>
      </c>
      <c r="I14" s="15"/>
    </row>
    <row r="15" spans="1:9" ht="102">
      <c r="A15" s="12">
        <v>12</v>
      </c>
      <c r="B15" s="13" t="s">
        <v>114</v>
      </c>
      <c r="C15" s="14" t="s">
        <v>101</v>
      </c>
      <c r="D15" s="5" t="s">
        <v>106</v>
      </c>
      <c r="E15" s="2">
        <f>(6.5+64.1+10.9+43+11.1+9.4+10+42+1.2+20.1+28.3+6.5+36.5+6+25.6+3.4+13.9+12.4+15.1+3.6+4.2+13.9+4+13.6+4.7+43.5+16.2+71+3.7+9.5+7.2+60.3+5.3+3.3+9.7+44.4+30.1+4.4+14.4+45.7+3.9+39.7+41.4)*0.6</f>
        <v>518.22</v>
      </c>
      <c r="F15" s="3">
        <v>1031.6199999999999</v>
      </c>
      <c r="G15" s="3">
        <f t="shared" si="0"/>
        <v>534606.11639999994</v>
      </c>
      <c r="H15" s="58" t="s">
        <v>103</v>
      </c>
      <c r="I15" s="15" t="s">
        <v>102</v>
      </c>
    </row>
    <row r="16" spans="1:9" ht="63.75">
      <c r="A16" s="12">
        <v>13</v>
      </c>
      <c r="B16" s="17" t="s">
        <v>119</v>
      </c>
      <c r="C16" s="14" t="s">
        <v>26</v>
      </c>
      <c r="D16" s="5" t="s">
        <v>99</v>
      </c>
      <c r="E16" s="2">
        <f>30+288+228+444+60</f>
        <v>1050</v>
      </c>
      <c r="F16" s="3">
        <v>3386.57</v>
      </c>
      <c r="G16" s="3">
        <f t="shared" si="0"/>
        <v>3555898.5</v>
      </c>
      <c r="H16" s="59"/>
      <c r="I16" s="15" t="s">
        <v>100</v>
      </c>
    </row>
    <row r="17" spans="1:9" ht="51">
      <c r="A17" s="12">
        <v>14</v>
      </c>
      <c r="B17" s="13" t="s">
        <v>28</v>
      </c>
      <c r="C17" s="14" t="s">
        <v>29</v>
      </c>
      <c r="D17" s="18" t="s">
        <v>32</v>
      </c>
      <c r="E17" s="2">
        <v>22500</v>
      </c>
      <c r="F17" s="3">
        <f>37*10+37*12+5*20-360</f>
        <v>554</v>
      </c>
      <c r="G17" s="3">
        <f>E17*F17</f>
        <v>12465000</v>
      </c>
      <c r="H17" s="59"/>
      <c r="I17" s="15"/>
    </row>
    <row r="18" spans="1:9">
      <c r="A18" s="12">
        <v>15</v>
      </c>
      <c r="B18" s="13" t="s">
        <v>88</v>
      </c>
      <c r="C18" s="14" t="s">
        <v>89</v>
      </c>
      <c r="D18" s="18"/>
      <c r="E18" s="2">
        <v>35</v>
      </c>
      <c r="F18" s="3">
        <f>4781.56+2300.86+150400</f>
        <v>157482.42000000001</v>
      </c>
      <c r="G18" s="3">
        <f>E18*F18</f>
        <v>5511884.7000000002</v>
      </c>
      <c r="H18" s="59"/>
      <c r="I18" s="15" t="s">
        <v>90</v>
      </c>
    </row>
    <row r="19" spans="1:9">
      <c r="A19" s="44">
        <v>16</v>
      </c>
      <c r="B19" s="45" t="s">
        <v>116</v>
      </c>
      <c r="C19" s="46" t="s">
        <v>117</v>
      </c>
      <c r="D19" s="47"/>
      <c r="E19" s="48">
        <v>2500</v>
      </c>
      <c r="F19" s="49">
        <v>730</v>
      </c>
      <c r="G19" s="3">
        <f>E19*F19</f>
        <v>1825000</v>
      </c>
      <c r="H19" s="58"/>
      <c r="I19" s="15" t="s">
        <v>90</v>
      </c>
    </row>
    <row r="20" spans="1:9" ht="37.5" customHeight="1" thickBot="1">
      <c r="A20" s="33" t="s">
        <v>77</v>
      </c>
      <c r="B20" s="34"/>
      <c r="C20" s="35"/>
      <c r="D20" s="36"/>
      <c r="E20" s="37"/>
      <c r="F20" s="38"/>
      <c r="G20" s="39">
        <f>SUM(G1:G19)</f>
        <v>32689570.447234999</v>
      </c>
      <c r="H20" s="60"/>
      <c r="I20" s="21"/>
    </row>
    <row r="21" spans="1:9" ht="32.25" customHeight="1" thickBot="1">
      <c r="A21" s="56" t="s">
        <v>72</v>
      </c>
      <c r="B21" s="57"/>
      <c r="C21" s="57"/>
      <c r="D21" s="57"/>
      <c r="E21" s="57"/>
      <c r="F21" s="57"/>
      <c r="G21" s="57"/>
      <c r="H21" s="57"/>
      <c r="I21" s="57"/>
    </row>
    <row r="22" spans="1:9">
      <c r="A22" s="40" t="s">
        <v>33</v>
      </c>
      <c r="B22" s="41" t="s">
        <v>34</v>
      </c>
      <c r="C22" s="41" t="s">
        <v>35</v>
      </c>
      <c r="D22" s="41" t="s">
        <v>3</v>
      </c>
      <c r="E22" s="42" t="s">
        <v>36</v>
      </c>
      <c r="F22" s="10" t="s">
        <v>5</v>
      </c>
      <c r="G22" s="9" t="s">
        <v>6</v>
      </c>
      <c r="H22" s="43" t="s">
        <v>93</v>
      </c>
      <c r="I22" s="11" t="s">
        <v>7</v>
      </c>
    </row>
    <row r="23" spans="1:9">
      <c r="A23" s="23"/>
      <c r="B23" s="13" t="s">
        <v>37</v>
      </c>
      <c r="C23" s="24" t="s">
        <v>38</v>
      </c>
      <c r="D23" s="13" t="s">
        <v>39</v>
      </c>
      <c r="E23" s="2">
        <v>280</v>
      </c>
      <c r="F23" s="2">
        <f>90*8</f>
        <v>720</v>
      </c>
      <c r="G23" s="2">
        <f>E23*F23</f>
        <v>201600</v>
      </c>
      <c r="H23" s="59"/>
      <c r="I23" s="15" t="s">
        <v>76</v>
      </c>
    </row>
    <row r="24" spans="1:9">
      <c r="A24" s="23"/>
      <c r="B24" s="13" t="s">
        <v>40</v>
      </c>
      <c r="C24" s="24" t="s">
        <v>29</v>
      </c>
      <c r="D24" s="13" t="s">
        <v>41</v>
      </c>
      <c r="E24" s="2">
        <v>67.06</v>
      </c>
      <c r="F24" s="2">
        <v>2405</v>
      </c>
      <c r="G24" s="2">
        <f>E24*F24</f>
        <v>161279.30000000002</v>
      </c>
      <c r="H24" s="59"/>
      <c r="I24" s="15" t="s">
        <v>75</v>
      </c>
    </row>
    <row r="25" spans="1:9">
      <c r="A25" s="26" t="s">
        <v>42</v>
      </c>
      <c r="B25" s="13" t="s">
        <v>43</v>
      </c>
      <c r="C25" s="14" t="s">
        <v>44</v>
      </c>
      <c r="D25" s="13" t="s">
        <v>45</v>
      </c>
      <c r="E25" s="2">
        <v>280</v>
      </c>
      <c r="F25" s="2">
        <f>2*30*8</f>
        <v>480</v>
      </c>
      <c r="G25" s="2">
        <f t="shared" ref="G25:G33" si="2">E25*F25</f>
        <v>134400</v>
      </c>
      <c r="H25" s="59"/>
      <c r="I25" s="15"/>
    </row>
    <row r="26" spans="1:9" ht="25.5">
      <c r="A26" s="26" t="s">
        <v>46</v>
      </c>
      <c r="B26" s="27" t="s">
        <v>47</v>
      </c>
      <c r="C26" s="14" t="s">
        <v>48</v>
      </c>
      <c r="D26" s="13"/>
      <c r="E26" s="2">
        <v>2999.02</v>
      </c>
      <c r="F26" s="2">
        <v>10</v>
      </c>
      <c r="G26" s="2">
        <f t="shared" si="2"/>
        <v>29990.2</v>
      </c>
      <c r="H26" s="59"/>
      <c r="I26" s="15"/>
    </row>
    <row r="27" spans="1:9">
      <c r="A27" s="26" t="s">
        <v>49</v>
      </c>
      <c r="B27" s="13" t="s">
        <v>50</v>
      </c>
      <c r="C27" s="14" t="s">
        <v>44</v>
      </c>
      <c r="D27" s="13" t="s">
        <v>51</v>
      </c>
      <c r="E27" s="2">
        <v>931.12</v>
      </c>
      <c r="F27" s="2">
        <v>10</v>
      </c>
      <c r="G27" s="2">
        <f t="shared" si="2"/>
        <v>9311.2000000000007</v>
      </c>
      <c r="H27" s="59"/>
      <c r="I27" s="15"/>
    </row>
    <row r="28" spans="1:9" ht="26.25" customHeight="1">
      <c r="A28" s="26"/>
      <c r="B28" s="13" t="s">
        <v>52</v>
      </c>
      <c r="C28" s="14" t="s">
        <v>29</v>
      </c>
      <c r="D28" s="13" t="s">
        <v>53</v>
      </c>
      <c r="E28" s="2">
        <v>252.35</v>
      </c>
      <c r="F28" s="2">
        <f>(49+58)*5+2405</f>
        <v>2940</v>
      </c>
      <c r="G28" s="2">
        <f t="shared" si="2"/>
        <v>741909</v>
      </c>
      <c r="H28" s="59"/>
      <c r="I28" s="15"/>
    </row>
    <row r="29" spans="1:9" ht="25.5">
      <c r="A29" s="26" t="s">
        <v>54</v>
      </c>
      <c r="B29" s="13" t="s">
        <v>55</v>
      </c>
      <c r="C29" s="14" t="s">
        <v>56</v>
      </c>
      <c r="D29" s="13" t="s">
        <v>57</v>
      </c>
      <c r="E29" s="2">
        <v>806</v>
      </c>
      <c r="F29" s="2">
        <v>180</v>
      </c>
      <c r="G29" s="2">
        <f t="shared" si="2"/>
        <v>145080</v>
      </c>
      <c r="H29" s="59"/>
      <c r="I29" s="15"/>
    </row>
    <row r="30" spans="1:9">
      <c r="A30" s="26" t="s">
        <v>58</v>
      </c>
      <c r="B30" s="13" t="s">
        <v>59</v>
      </c>
      <c r="C30" s="14" t="s">
        <v>60</v>
      </c>
      <c r="D30" s="13" t="s">
        <v>61</v>
      </c>
      <c r="E30" s="2">
        <v>13068.13</v>
      </c>
      <c r="F30" s="2">
        <v>3</v>
      </c>
      <c r="G30" s="2">
        <f t="shared" si="2"/>
        <v>39204.39</v>
      </c>
      <c r="H30" s="59"/>
      <c r="I30" s="15"/>
    </row>
    <row r="31" spans="1:9">
      <c r="A31" s="26" t="s">
        <v>62</v>
      </c>
      <c r="B31" s="13" t="s">
        <v>63</v>
      </c>
      <c r="C31" s="14" t="s">
        <v>64</v>
      </c>
      <c r="D31" s="13" t="s">
        <v>41</v>
      </c>
      <c r="E31" s="2">
        <v>54.57</v>
      </c>
      <c r="F31" s="2">
        <v>2405</v>
      </c>
      <c r="G31" s="2">
        <f t="shared" si="2"/>
        <v>131240.85</v>
      </c>
      <c r="H31" s="59"/>
      <c r="I31" s="15"/>
    </row>
    <row r="32" spans="1:9">
      <c r="A32" s="26" t="s">
        <v>65</v>
      </c>
      <c r="B32" s="13" t="s">
        <v>66</v>
      </c>
      <c r="C32" s="14" t="s">
        <v>67</v>
      </c>
      <c r="D32" s="28" t="s">
        <v>68</v>
      </c>
      <c r="E32" s="2">
        <v>3662.23</v>
      </c>
      <c r="F32" s="2">
        <v>212</v>
      </c>
      <c r="G32" s="2">
        <f t="shared" si="2"/>
        <v>776392.76</v>
      </c>
      <c r="H32" s="59"/>
      <c r="I32" s="15"/>
    </row>
    <row r="33" spans="1:9">
      <c r="A33" s="26" t="s">
        <v>69</v>
      </c>
      <c r="B33" s="13" t="s">
        <v>70</v>
      </c>
      <c r="C33" s="14" t="s">
        <v>71</v>
      </c>
      <c r="D33" s="6"/>
      <c r="E33" s="2">
        <v>10000</v>
      </c>
      <c r="F33" s="2">
        <v>1</v>
      </c>
      <c r="G33" s="2">
        <f t="shared" si="2"/>
        <v>10000</v>
      </c>
      <c r="H33" s="59"/>
      <c r="I33" s="15"/>
    </row>
    <row r="34" spans="1:9">
      <c r="A34" s="29"/>
      <c r="B34" s="6"/>
      <c r="C34" s="6"/>
      <c r="D34" s="6"/>
      <c r="E34" s="6"/>
      <c r="F34" s="6"/>
      <c r="G34" s="6"/>
      <c r="H34" s="59"/>
      <c r="I34" s="15"/>
    </row>
    <row r="35" spans="1:9">
      <c r="A35" s="26" t="s">
        <v>30</v>
      </c>
      <c r="B35" s="6"/>
      <c r="C35" s="6"/>
      <c r="D35" s="6"/>
      <c r="E35" s="6"/>
      <c r="F35" s="6"/>
      <c r="G35" s="30">
        <f>SUM(G23:G33)</f>
        <v>2380407.7000000002</v>
      </c>
      <c r="H35" s="59"/>
      <c r="I35" s="15"/>
    </row>
    <row r="36" spans="1:9" ht="17.25" thickBot="1">
      <c r="A36" s="20"/>
      <c r="B36" s="54" t="s">
        <v>31</v>
      </c>
      <c r="C36" s="54"/>
      <c r="D36" s="54"/>
      <c r="E36" s="54"/>
      <c r="F36" s="7"/>
      <c r="G36" s="22">
        <f>G20+G35</f>
        <v>35069978.147234999</v>
      </c>
      <c r="H36" s="60"/>
      <c r="I36" s="21"/>
    </row>
  </sheetData>
  <mergeCells count="3">
    <mergeCell ref="B36:E36"/>
    <mergeCell ref="A1:I1"/>
    <mergeCell ref="A21:I2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年底可追加金額</vt:lpstr>
      <vt:lpstr>第一次變更設計金額概抓 (刪減)</vt:lpstr>
      <vt:lpstr>第一次變更設計金額概抓</vt:lpstr>
      <vt:lpstr>第一次變更設計金額概抓!Print_Titles</vt:lpstr>
      <vt:lpstr>'第一次變更設計金額概抓 (刪減)'!Print_Titles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2023-09-20T06:06:57Z</cp:lastPrinted>
  <dcterms:created xsi:type="dcterms:W3CDTF">2023-09-20T00:28:34Z</dcterms:created>
  <dcterms:modified xsi:type="dcterms:W3CDTF">2023-09-20T06:07:04Z</dcterms:modified>
</cp:coreProperties>
</file>