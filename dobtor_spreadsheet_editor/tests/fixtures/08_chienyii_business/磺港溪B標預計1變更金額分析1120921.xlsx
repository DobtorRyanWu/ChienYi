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9369\Desktop\任泰\"/>
    </mc:Choice>
  </mc:AlternateContent>
  <xr:revisionPtr revIDLastSave="0" documentId="8_{2BD75335-DC75-4928-A022-8E16DC0AFE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3" i="1"/>
  <c r="F4" i="1" l="1"/>
  <c r="G4" i="1" s="1"/>
  <c r="I4" i="1" s="1"/>
  <c r="F7" i="1"/>
  <c r="G7" i="1" s="1"/>
  <c r="F10" i="1"/>
  <c r="G10" i="1" s="1"/>
  <c r="G9" i="1"/>
  <c r="F11" i="1"/>
  <c r="G11" i="1" s="1"/>
  <c r="G8" i="1"/>
  <c r="F5" i="1"/>
  <c r="G5" i="1" s="1"/>
  <c r="I5" i="1" s="1"/>
  <c r="F6" i="1"/>
  <c r="G6" i="1" s="1"/>
  <c r="G12" i="1"/>
  <c r="E3" i="1"/>
  <c r="G3" i="1" l="1"/>
  <c r="G13" i="1" l="1"/>
  <c r="I14" i="1"/>
</calcChain>
</file>

<file path=xl/sharedStrings.xml><?xml version="1.0" encoding="utf-8"?>
<sst xmlns="http://schemas.openxmlformats.org/spreadsheetml/2006/main" count="58" uniqueCount="49">
  <si>
    <t>項次</t>
    <phoneticPr fontId="1" type="noConversion"/>
  </si>
  <si>
    <t>單位</t>
    <phoneticPr fontId="1" type="noConversion"/>
  </si>
  <si>
    <t>計算式</t>
    <phoneticPr fontId="1" type="noConversion"/>
  </si>
  <si>
    <t>單價</t>
    <phoneticPr fontId="1" type="noConversion"/>
  </si>
  <si>
    <t>備註</t>
    <phoneticPr fontId="1" type="noConversion"/>
  </si>
  <si>
    <t>m</t>
    <phoneticPr fontId="3" type="noConversion"/>
  </si>
  <si>
    <t>m3</t>
    <phoneticPr fontId="3" type="noConversion"/>
  </si>
  <si>
    <t>合計加帳</t>
    <phoneticPr fontId="1" type="noConversion"/>
  </si>
  <si>
    <t>工項</t>
    <phoneticPr fontId="1" type="noConversion"/>
  </si>
  <si>
    <t>磺港溪再造C段護岸及步道整建工程(三合橋至奇岩抽水站)預計追加減工項及數量</t>
    <phoneticPr fontId="1" type="noConversion"/>
  </si>
  <si>
    <t>預力混凝土基樁，D=600mm，(打樁，含樁，空打及PC版樁隱蔽障礙物清除處理)</t>
    <phoneticPr fontId="3" type="noConversion"/>
  </si>
  <si>
    <t>預估單價(參考他標)</t>
    <phoneticPr fontId="1" type="noConversion"/>
  </si>
  <si>
    <t>孔</t>
    <phoneticPr fontId="3" type="noConversion"/>
  </si>
  <si>
    <t>結構用混凝土280kgf/cm2</t>
    <phoneticPr fontId="3" type="noConversion"/>
  </si>
  <si>
    <t>臨時擋土樁設施，鋼板樁，L=9m，(單邊水平長度，未含擋土支撐系統)</t>
    <phoneticPr fontId="3" type="noConversion"/>
  </si>
  <si>
    <t>臨時擋土樁設施，鋼板樁，L=13m，(單邊水平長度，未含擋土支撐系統)</t>
    <phoneticPr fontId="3" type="noConversion"/>
  </si>
  <si>
    <t>處內單價</t>
    <phoneticPr fontId="3" type="noConversion"/>
  </si>
  <si>
    <t>590*0.3*0.3*3.14</t>
    <phoneticPr fontId="3" type="noConversion"/>
  </si>
  <si>
    <t>圍水+開挖擋土
30+136+220(右堤+雙孔+橋台鄰路側)</t>
    <phoneticPr fontId="3" type="noConversion"/>
  </si>
  <si>
    <t>地質鑽探含土層變化處施作
(1) 土壤一般物理性質試驗
(2) 土壤力學試驗
a. 直接剪力強度試驗
b. 無圍壓縮強度試驗
c. 三軸壓縮強度試驗
及專業技師執業簽証</t>
    <phoneticPr fontId="3" type="noConversion"/>
  </si>
  <si>
    <t>1.4.3</t>
    <phoneticPr fontId="3" type="noConversion"/>
  </si>
  <si>
    <t>1.7.12</t>
  </si>
  <si>
    <t>植栽維護，喬木類，樹木修剪，E級</t>
  </si>
  <si>
    <t>株</t>
  </si>
  <si>
    <t>樹保計畫</t>
    <phoneticPr fontId="3" type="noConversion"/>
  </si>
  <si>
    <t>1.7.23</t>
  </si>
  <si>
    <t>圍水，砂包堆置</t>
  </si>
  <si>
    <t>m3</t>
  </si>
  <si>
    <t>樹保計畫
3.2*4</t>
    <phoneticPr fontId="3" type="noConversion"/>
  </si>
  <si>
    <t>1.7.19</t>
  </si>
  <si>
    <t>產品，植栽，包覆材料，草繩及保護墊片，三支組</t>
  </si>
  <si>
    <t>1.7.20</t>
  </si>
  <si>
    <t>產品，植栽，包覆材料，麻布袋，L=90~120cm，W=60~90cm</t>
  </si>
  <si>
    <t>組</t>
  </si>
  <si>
    <t>個</t>
  </si>
  <si>
    <t>1.3.19</t>
  </si>
  <si>
    <t>放樣</t>
  </si>
  <si>
    <t>M2</t>
  </si>
  <si>
    <t>350*60+3690+5150+2735+1885</t>
    <phoneticPr fontId="3" type="noConversion"/>
  </si>
  <si>
    <t>原契約</t>
    <phoneticPr fontId="3" type="noConversion"/>
  </si>
  <si>
    <t>圍水+開挖擋土
35+60+72+56(右堤+雙孔+橋台鄰路側+抽水井)</t>
    <phoneticPr fontId="3" type="noConversion"/>
  </si>
  <si>
    <t>數量</t>
    <phoneticPr fontId="1" type="noConversion"/>
  </si>
  <si>
    <t>金額</t>
    <phoneticPr fontId="1" type="noConversion"/>
  </si>
  <si>
    <t>地質鑽探</t>
    <phoneticPr fontId="3" type="noConversion"/>
  </si>
  <si>
    <t>估驗付款</t>
    <phoneticPr fontId="3" type="noConversion"/>
  </si>
  <si>
    <t>9-12月施作金額</t>
    <phoneticPr fontId="3" type="noConversion"/>
  </si>
  <si>
    <t>9-12月施作%</t>
    <phoneticPr fontId="3" type="noConversion"/>
  </si>
  <si>
    <r>
      <t>L=10M</t>
    </r>
    <r>
      <rPr>
        <sz val="11"/>
        <color rgb="FF000000"/>
        <rFont val="標楷體"/>
        <family val="4"/>
        <charset val="136"/>
      </rPr>
      <t>，</t>
    </r>
    <r>
      <rPr>
        <sz val="11"/>
        <color rgb="FF000000"/>
        <rFont val="微軟正黑體"/>
        <family val="2"/>
        <charset val="136"/>
      </rPr>
      <t>間距1.2M</t>
    </r>
    <phoneticPr fontId="3" type="noConversion"/>
  </si>
  <si>
    <r>
      <t>受保護樹木</t>
    </r>
    <r>
      <rPr>
        <sz val="11"/>
        <color rgb="FF000000"/>
        <rFont val="新細明體"/>
        <family val="1"/>
        <charset val="136"/>
      </rPr>
      <t>、</t>
    </r>
    <r>
      <rPr>
        <sz val="11"/>
        <color rgb="FF000000"/>
        <rFont val="微軟正黑體"/>
        <family val="2"/>
        <charset val="136"/>
      </rPr>
      <t>保留樹及移植樹木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</si>
</sst>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#,##0_ "/>
  </numFmts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6"/>
      <color theme="1"/>
      <name val="新細明體"/>
      <family val="1"/>
      <charset val="136"/>
      <scheme val="minor"/>
    </font>
    <font>
      <sz val="12"/>
      <color indexed="8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1"/>
      <color rgb="FF000000"/>
      <name val="標楷體"/>
      <family val="4"/>
      <charset val="136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6" fillId="0" borderId="4" xfId="0" applyFont="1" applyBorder="1" applyAlignment="1">
      <alignment horizontal="center" vertical="center" shrinkToFi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 shrinkToFit="1"/>
    </xf>
    <xf numFmtId="176" fontId="6" fillId="0" borderId="5" xfId="0" applyNumberFormat="1" applyFont="1" applyBorder="1" applyAlignment="1">
      <alignment horizontal="right" vertical="center" shrinkToFit="1"/>
    </xf>
    <xf numFmtId="0" fontId="6" fillId="0" borderId="4" xfId="0" applyFont="1" applyBorder="1" applyAlignment="1">
      <alignment horizontal="right" vertical="center" shrinkToFit="1"/>
    </xf>
    <xf numFmtId="0" fontId="2" fillId="0" borderId="5" xfId="0" applyFont="1" applyBorder="1">
      <alignment vertical="center"/>
    </xf>
    <xf numFmtId="177" fontId="2" fillId="0" borderId="5" xfId="0" applyNumberFormat="1" applyFont="1" applyBorder="1">
      <alignment vertical="center"/>
    </xf>
    <xf numFmtId="0" fontId="2" fillId="0" borderId="8" xfId="0" applyFont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176" fontId="7" fillId="0" borderId="5" xfId="0" applyNumberFormat="1" applyFont="1" applyBorder="1" applyAlignment="1">
      <alignment vertical="center" wrapText="1" shrinkToFit="1"/>
    </xf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right" vertical="center" wrapText="1"/>
    </xf>
    <xf numFmtId="177" fontId="2" fillId="0" borderId="11" xfId="0" applyNumberFormat="1" applyFont="1" applyBorder="1">
      <alignment vertical="center"/>
    </xf>
    <xf numFmtId="177" fontId="2" fillId="0" borderId="12" xfId="0" applyNumberFormat="1" applyFont="1" applyFill="1" applyBorder="1">
      <alignment vertical="center"/>
    </xf>
    <xf numFmtId="0" fontId="6" fillId="0" borderId="8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9" fontId="2" fillId="0" borderId="14" xfId="1" applyFont="1" applyBorder="1">
      <alignment vertical="center"/>
    </xf>
    <xf numFmtId="177" fontId="2" fillId="0" borderId="14" xfId="0" applyNumberFormat="1" applyFont="1" applyBorder="1">
      <alignment vertical="center"/>
    </xf>
    <xf numFmtId="177" fontId="2" fillId="0" borderId="15" xfId="0" applyNumberFormat="1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177" fontId="2" fillId="0" borderId="6" xfId="0" applyNumberFormat="1" applyFont="1" applyBorder="1">
      <alignment vertical="center"/>
    </xf>
    <xf numFmtId="177" fontId="2" fillId="0" borderId="9" xfId="0" applyNumberFormat="1" applyFont="1" applyFill="1" applyBorder="1">
      <alignment vertical="center"/>
    </xf>
    <xf numFmtId="176" fontId="10" fillId="0" borderId="5" xfId="0" applyNumberFormat="1" applyFont="1" applyBorder="1" applyAlignment="1">
      <alignment vertical="center" wrapText="1" shrinkToFit="1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O6" sqref="O6"/>
    </sheetView>
  </sheetViews>
  <sheetFormatPr defaultRowHeight="16.5" x14ac:dyDescent="0.25"/>
  <cols>
    <col min="1" max="1" width="7.75" customWidth="1"/>
    <col min="2" max="2" width="28.375" customWidth="1"/>
    <col min="3" max="3" width="6.5" customWidth="1"/>
    <col min="4" max="4" width="23.25" customWidth="1"/>
    <col min="5" max="5" width="10.5" customWidth="1"/>
    <col min="6" max="6" width="9.75" customWidth="1"/>
    <col min="7" max="7" width="14.625" customWidth="1"/>
    <col min="8" max="8" width="12.625" customWidth="1"/>
    <col min="9" max="9" width="15.75" customWidth="1"/>
    <col min="10" max="10" width="10.375" style="16" customWidth="1"/>
  </cols>
  <sheetData>
    <row r="1" spans="1:10" ht="21.75" thickBot="1" x14ac:dyDescent="0.3">
      <c r="A1" s="18" t="s">
        <v>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25">
      <c r="A2" s="1" t="s">
        <v>0</v>
      </c>
      <c r="B2" s="2" t="s">
        <v>8</v>
      </c>
      <c r="C2" s="2" t="s">
        <v>1</v>
      </c>
      <c r="D2" s="2" t="s">
        <v>2</v>
      </c>
      <c r="E2" s="3" t="s">
        <v>3</v>
      </c>
      <c r="F2" s="3" t="s">
        <v>41</v>
      </c>
      <c r="G2" s="28" t="s">
        <v>42</v>
      </c>
      <c r="H2" s="24" t="s">
        <v>46</v>
      </c>
      <c r="I2" s="23" t="s">
        <v>45</v>
      </c>
      <c r="J2" s="13" t="s">
        <v>4</v>
      </c>
    </row>
    <row r="3" spans="1:10" ht="47.25" x14ac:dyDescent="0.25">
      <c r="A3" s="5"/>
      <c r="B3" s="6" t="s">
        <v>10</v>
      </c>
      <c r="C3" s="7" t="s">
        <v>5</v>
      </c>
      <c r="D3" s="31" t="s">
        <v>47</v>
      </c>
      <c r="E3" s="8">
        <f>4559.61*10/15+1800</f>
        <v>4839.74</v>
      </c>
      <c r="F3" s="11">
        <v>590</v>
      </c>
      <c r="G3" s="29">
        <f>E3*F3</f>
        <v>2855446.6</v>
      </c>
      <c r="H3" s="25">
        <v>0.65</v>
      </c>
      <c r="I3" s="20">
        <f>G3*H3</f>
        <v>1856040.29</v>
      </c>
      <c r="J3" s="14" t="s">
        <v>11</v>
      </c>
    </row>
    <row r="4" spans="1:10" ht="47.25" x14ac:dyDescent="0.25">
      <c r="A4" s="5"/>
      <c r="B4" s="6" t="s">
        <v>14</v>
      </c>
      <c r="C4" s="7" t="s">
        <v>5</v>
      </c>
      <c r="D4" s="31" t="s">
        <v>40</v>
      </c>
      <c r="E4" s="8">
        <v>3914</v>
      </c>
      <c r="F4" s="11">
        <f>35+60+72+56</f>
        <v>223</v>
      </c>
      <c r="G4" s="29">
        <f t="shared" ref="G4:G12" si="0">E4*F4</f>
        <v>872822</v>
      </c>
      <c r="H4" s="25">
        <v>0.3</v>
      </c>
      <c r="I4" s="20">
        <f t="shared" ref="I4:I12" si="1">G4*H4</f>
        <v>261846.59999999998</v>
      </c>
      <c r="J4" s="14" t="s">
        <v>16</v>
      </c>
    </row>
    <row r="5" spans="1:10" ht="47.25" x14ac:dyDescent="0.25">
      <c r="A5" s="5"/>
      <c r="B5" s="6" t="s">
        <v>15</v>
      </c>
      <c r="C5" s="7" t="s">
        <v>5</v>
      </c>
      <c r="D5" s="31" t="s">
        <v>18</v>
      </c>
      <c r="E5" s="8">
        <v>5724.23</v>
      </c>
      <c r="F5" s="11">
        <f>30+136+220</f>
        <v>386</v>
      </c>
      <c r="G5" s="29">
        <f t="shared" ref="G5" si="2">E5*F5</f>
        <v>2209552.7799999998</v>
      </c>
      <c r="H5" s="25">
        <v>0.4</v>
      </c>
      <c r="I5" s="20">
        <f t="shared" si="1"/>
        <v>883821.11199999996</v>
      </c>
      <c r="J5" s="14" t="s">
        <v>16</v>
      </c>
    </row>
    <row r="6" spans="1:10" x14ac:dyDescent="0.25">
      <c r="A6" s="5" t="s">
        <v>20</v>
      </c>
      <c r="B6" s="6" t="s">
        <v>13</v>
      </c>
      <c r="C6" s="7" t="s">
        <v>6</v>
      </c>
      <c r="D6" s="31" t="s">
        <v>17</v>
      </c>
      <c r="E6" s="8">
        <v>3643.73</v>
      </c>
      <c r="F6" s="11">
        <f>590*0.3*0.3*3.14</f>
        <v>166.73400000000001</v>
      </c>
      <c r="G6" s="29">
        <f t="shared" si="0"/>
        <v>607533.67781999998</v>
      </c>
      <c r="H6" s="25">
        <v>0.65</v>
      </c>
      <c r="I6" s="20">
        <f t="shared" si="1"/>
        <v>394896.89058300003</v>
      </c>
      <c r="J6" s="14" t="s">
        <v>39</v>
      </c>
    </row>
    <row r="7" spans="1:10" ht="30" x14ac:dyDescent="0.25">
      <c r="A7" s="5" t="s">
        <v>35</v>
      </c>
      <c r="B7" s="6" t="s">
        <v>36</v>
      </c>
      <c r="C7" s="7" t="s">
        <v>37</v>
      </c>
      <c r="D7" s="31" t="s">
        <v>38</v>
      </c>
      <c r="E7" s="8">
        <v>28</v>
      </c>
      <c r="F7" s="11">
        <f>350*60+3690+5150+2735+1885</f>
        <v>34460</v>
      </c>
      <c r="G7" s="29">
        <f t="shared" ref="G7:G10" si="3">E7*F7</f>
        <v>964880</v>
      </c>
      <c r="H7" s="25">
        <v>0.55000000000000004</v>
      </c>
      <c r="I7" s="20">
        <f t="shared" si="1"/>
        <v>530684</v>
      </c>
      <c r="J7" s="14" t="s">
        <v>39</v>
      </c>
    </row>
    <row r="8" spans="1:10" ht="31.5" x14ac:dyDescent="0.25">
      <c r="A8" s="5" t="s">
        <v>21</v>
      </c>
      <c r="B8" s="6" t="s">
        <v>22</v>
      </c>
      <c r="C8" s="7" t="s">
        <v>23</v>
      </c>
      <c r="D8" s="31" t="s">
        <v>24</v>
      </c>
      <c r="E8" s="8">
        <v>22813.26</v>
      </c>
      <c r="F8" s="11">
        <v>3</v>
      </c>
      <c r="G8" s="29">
        <f t="shared" si="3"/>
        <v>68439.78</v>
      </c>
      <c r="H8" s="25">
        <v>0.5</v>
      </c>
      <c r="I8" s="20">
        <f t="shared" si="1"/>
        <v>34219.89</v>
      </c>
      <c r="J8" s="14" t="s">
        <v>39</v>
      </c>
    </row>
    <row r="9" spans="1:10" ht="31.5" x14ac:dyDescent="0.25">
      <c r="A9" s="5" t="s">
        <v>29</v>
      </c>
      <c r="B9" s="6" t="s">
        <v>30</v>
      </c>
      <c r="C9" s="7" t="s">
        <v>33</v>
      </c>
      <c r="D9" s="31" t="s">
        <v>48</v>
      </c>
      <c r="E9" s="8">
        <v>40</v>
      </c>
      <c r="F9" s="11">
        <v>455</v>
      </c>
      <c r="G9" s="29">
        <f t="shared" ref="G9" si="4">E9*F9</f>
        <v>18200</v>
      </c>
      <c r="H9" s="25">
        <v>1</v>
      </c>
      <c r="I9" s="20">
        <f t="shared" si="1"/>
        <v>18200</v>
      </c>
      <c r="J9" s="14" t="s">
        <v>39</v>
      </c>
    </row>
    <row r="10" spans="1:10" ht="47.25" x14ac:dyDescent="0.25">
      <c r="A10" s="5" t="s">
        <v>31</v>
      </c>
      <c r="B10" s="6" t="s">
        <v>32</v>
      </c>
      <c r="C10" s="7" t="s">
        <v>34</v>
      </c>
      <c r="D10" s="31" t="s">
        <v>48</v>
      </c>
      <c r="E10" s="8">
        <v>35</v>
      </c>
      <c r="F10" s="11">
        <f>451*2+30*4</f>
        <v>1022</v>
      </c>
      <c r="G10" s="29">
        <f t="shared" si="3"/>
        <v>35770</v>
      </c>
      <c r="H10" s="25">
        <v>1</v>
      </c>
      <c r="I10" s="20">
        <f t="shared" si="1"/>
        <v>35770</v>
      </c>
      <c r="J10" s="14" t="s">
        <v>39</v>
      </c>
    </row>
    <row r="11" spans="1:10" ht="30" x14ac:dyDescent="0.25">
      <c r="A11" s="5" t="s">
        <v>25</v>
      </c>
      <c r="B11" s="6" t="s">
        <v>26</v>
      </c>
      <c r="C11" s="7" t="s">
        <v>27</v>
      </c>
      <c r="D11" s="31" t="s">
        <v>28</v>
      </c>
      <c r="E11" s="8">
        <v>3386.34</v>
      </c>
      <c r="F11" s="11">
        <f>3.2*4</f>
        <v>12.8</v>
      </c>
      <c r="G11" s="29">
        <f t="shared" si="0"/>
        <v>43345.152000000002</v>
      </c>
      <c r="H11" s="25">
        <v>1</v>
      </c>
      <c r="I11" s="20">
        <f t="shared" si="1"/>
        <v>43345.152000000002</v>
      </c>
      <c r="J11" s="14" t="s">
        <v>39</v>
      </c>
    </row>
    <row r="12" spans="1:10" ht="94.5" x14ac:dyDescent="0.25">
      <c r="A12" s="5"/>
      <c r="B12" s="6" t="s">
        <v>43</v>
      </c>
      <c r="C12" s="7" t="s">
        <v>12</v>
      </c>
      <c r="D12" s="17" t="s">
        <v>19</v>
      </c>
      <c r="E12" s="8">
        <v>385000</v>
      </c>
      <c r="F12" s="11">
        <v>2</v>
      </c>
      <c r="G12" s="29">
        <f t="shared" si="0"/>
        <v>770000</v>
      </c>
      <c r="H12" s="25">
        <v>1</v>
      </c>
      <c r="I12" s="20">
        <f t="shared" si="1"/>
        <v>770000</v>
      </c>
      <c r="J12" s="14"/>
    </row>
    <row r="13" spans="1:10" x14ac:dyDescent="0.25">
      <c r="A13" s="9"/>
      <c r="B13" s="19" t="s">
        <v>7</v>
      </c>
      <c r="C13" s="19"/>
      <c r="D13" s="19"/>
      <c r="E13" s="19"/>
      <c r="F13" s="10"/>
      <c r="G13" s="29">
        <f>SUM(G3:G12)</f>
        <v>8445989.9898199998</v>
      </c>
      <c r="H13" s="26"/>
      <c r="I13" s="20"/>
      <c r="J13" s="14"/>
    </row>
    <row r="14" spans="1:10" ht="17.25" thickBot="1" x14ac:dyDescent="0.3">
      <c r="A14" s="4"/>
      <c r="B14" s="22" t="s">
        <v>44</v>
      </c>
      <c r="C14" s="22"/>
      <c r="D14" s="22"/>
      <c r="E14" s="22"/>
      <c r="F14" s="12"/>
      <c r="G14" s="30"/>
      <c r="H14" s="27"/>
      <c r="I14" s="21">
        <f>SUM(I3:I12)*0.95</f>
        <v>4587382.7378538502</v>
      </c>
      <c r="J14" s="15"/>
    </row>
  </sheetData>
  <mergeCells count="3">
    <mergeCell ref="A1:J1"/>
    <mergeCell ref="B13:E13"/>
    <mergeCell ref="B14:E14"/>
  </mergeCells>
  <phoneticPr fontId="3" type="noConversion"/>
  <pageMargins left="0.31496062992125984" right="0.31496062992125984" top="0.55118110236220474" bottom="0.55118110236220474" header="0.31496062992125984" footer="0.31496062992125984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2023-09-21T02:16:36Z</cp:lastPrinted>
  <dcterms:created xsi:type="dcterms:W3CDTF">2023-09-20T00:28:34Z</dcterms:created>
  <dcterms:modified xsi:type="dcterms:W3CDTF">2023-09-21T03:10:27Z</dcterms:modified>
</cp:coreProperties>
</file>