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A.上溢\磺港溪再造C段護岸及步道整建工程（延壽橋至三合橋）\5.變更設計\"/>
    </mc:Choice>
  </mc:AlternateContent>
  <xr:revisionPtr revIDLastSave="0" documentId="8_{97C2C032-E37C-4BBB-9C51-E086560F095C}" xr6:coauthVersionLast="47" xr6:coauthVersionMax="47" xr10:uidLastSave="{00000000-0000-0000-0000-000000000000}"/>
  <bookViews>
    <workbookView xWindow="-120" yWindow="-120" windowWidth="29040" windowHeight="15720" xr2:uid="{94AA7193-5545-49D8-8D66-CC8A8350E4C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2" i="1" s="1"/>
  <c r="F11" i="1"/>
  <c r="G11" i="1" s="1"/>
  <c r="G10" i="1"/>
  <c r="F9" i="1"/>
  <c r="G9" i="1" s="1"/>
  <c r="F8" i="1"/>
  <c r="G8" i="1" s="1"/>
  <c r="E7" i="1"/>
  <c r="G7" i="1" s="1"/>
  <c r="G6" i="1"/>
  <c r="F5" i="1"/>
  <c r="G5" i="1" s="1"/>
  <c r="F4" i="1"/>
  <c r="G4" i="1" s="1"/>
  <c r="F3" i="1"/>
  <c r="E3" i="1"/>
  <c r="G3" i="1" s="1"/>
  <c r="G12" i="1" s="1"/>
  <c r="G13" i="1" s="1"/>
</calcChain>
</file>

<file path=xl/sharedStrings.xml><?xml version="1.0" encoding="utf-8"?>
<sst xmlns="http://schemas.openxmlformats.org/spreadsheetml/2006/main" count="42" uniqueCount="40">
  <si>
    <t>磺港溪再造工程預計追加減數量</t>
    <phoneticPr fontId="2" type="noConversion"/>
  </si>
  <si>
    <t>項次</t>
    <phoneticPr fontId="2" type="noConversion"/>
  </si>
  <si>
    <t>工項</t>
    <phoneticPr fontId="2" type="noConversion"/>
  </si>
  <si>
    <t>單位</t>
    <phoneticPr fontId="2" type="noConversion"/>
  </si>
  <si>
    <t>計算式</t>
    <phoneticPr fontId="2" type="noConversion"/>
  </si>
  <si>
    <t>單價</t>
    <phoneticPr fontId="2" type="noConversion"/>
  </si>
  <si>
    <t>加帳數量</t>
    <phoneticPr fontId="2" type="noConversion"/>
  </si>
  <si>
    <t>加帳金額</t>
    <phoneticPr fontId="2" type="noConversion"/>
  </si>
  <si>
    <t>減帳數量</t>
    <phoneticPr fontId="2" type="noConversion"/>
  </si>
  <si>
    <t>減帳金額</t>
    <phoneticPr fontId="2" type="noConversion"/>
  </si>
  <si>
    <t>備註</t>
    <phoneticPr fontId="2" type="noConversion"/>
  </si>
  <si>
    <t>60cm PC樁</t>
    <phoneticPr fontId="5" type="noConversion"/>
  </si>
  <si>
    <t>m</t>
    <phoneticPr fontId="5" type="noConversion"/>
  </si>
  <si>
    <r>
      <rPr>
        <sz val="9"/>
        <color rgb="FF000000"/>
        <rFont val="微軟正黑體"/>
        <family val="2"/>
        <charset val="136"/>
      </rPr>
      <t>間距1.2</t>
    </r>
    <r>
      <rPr>
        <sz val="9"/>
        <color indexed="8"/>
        <rFont val="微軟正黑體"/>
        <family val="2"/>
        <charset val="136"/>
      </rPr>
      <t>m*0.6</t>
    </r>
    <phoneticPr fontId="5" type="noConversion"/>
  </si>
  <si>
    <t>材料預付款60%</t>
    <phoneticPr fontId="5" type="noConversion"/>
  </si>
  <si>
    <t>結構用混凝土280kgf/cm2</t>
    <phoneticPr fontId="5" type="noConversion"/>
  </si>
  <si>
    <t>m3</t>
    <phoneticPr fontId="5" type="noConversion"/>
  </si>
  <si>
    <t>357.5*0.3*0.3*3.14</t>
    <phoneticPr fontId="5" type="noConversion"/>
  </si>
  <si>
    <t>蜂巢格網</t>
    <phoneticPr fontId="5" type="noConversion"/>
  </si>
  <si>
    <t>m2</t>
    <phoneticPr fontId="5" type="noConversion"/>
  </si>
  <si>
    <t>原每m2 1包，更正為每m2 4包</t>
    <phoneticPr fontId="5" type="noConversion"/>
  </si>
  <si>
    <t>客土包數量修正</t>
    <phoneticPr fontId="5" type="noConversion"/>
  </si>
  <si>
    <t>臨時擋土樁設施，鋼板樁，L=9m，(單邊水平長度，未含擋土支撐系統)</t>
  </si>
  <si>
    <t>共月橋圍水26m</t>
    <phoneticPr fontId="5" type="noConversion"/>
  </si>
  <si>
    <t>地質鑽探、透地雷達</t>
    <phoneticPr fontId="5" type="noConversion"/>
  </si>
  <si>
    <t>式</t>
    <phoneticPr fontId="5" type="noConversion"/>
  </si>
  <si>
    <t>透地雷達60000
地質鑽探250000</t>
    <phoneticPr fontId="5" type="noConversion"/>
  </si>
  <si>
    <t>混凝土破碎加工</t>
  </si>
  <si>
    <t>至共月橋長度200m，寬度7m，厚度暫以30cm計算</t>
    <phoneticPr fontId="5" type="noConversion"/>
  </si>
  <si>
    <t>臨時設施，抽水設備</t>
    <phoneticPr fontId="5" type="noConversion"/>
  </si>
  <si>
    <t>時</t>
    <phoneticPr fontId="5" type="noConversion"/>
  </si>
  <si>
    <t>2台抽水機 暫估1個月，8H配合河道開挖及滯洪池抽水</t>
    <phoneticPr fontId="5" type="noConversion"/>
  </si>
  <si>
    <t>太空包圍水</t>
    <phoneticPr fontId="5" type="noConversion"/>
  </si>
  <si>
    <t>M3</t>
    <phoneticPr fontId="5" type="noConversion"/>
  </si>
  <si>
    <t>汛期時200包備用</t>
    <phoneticPr fontId="5" type="noConversion"/>
  </si>
  <si>
    <t>鋼便橋施作</t>
    <phoneticPr fontId="2" type="noConversion"/>
  </si>
  <si>
    <t>m2</t>
    <phoneticPr fontId="2" type="noConversion"/>
  </si>
  <si>
    <t>車行構台37*10
三合橋施工構台12*16
共月橋施工構台5*20
-原合約數量360</t>
    <phoneticPr fontId="2" type="noConversion"/>
  </si>
  <si>
    <t>小計</t>
    <phoneticPr fontId="2" type="noConversion"/>
  </si>
  <si>
    <t>合計加帳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</si>
</sst>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 "/>
    <numFmt numFmtId="177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indexed="8"/>
      <name val="微軟正黑體"/>
      <family val="2"/>
      <charset val="136"/>
    </font>
    <font>
      <sz val="9"/>
      <name val="新細明體"/>
      <family val="1"/>
      <charset val="136"/>
    </font>
    <font>
      <sz val="10"/>
      <color indexed="8"/>
      <name val="微軟正黑體"/>
      <family val="2"/>
      <charset val="136"/>
    </font>
    <font>
      <sz val="9"/>
      <color indexed="8"/>
      <name val="微軟正黑體"/>
      <family val="2"/>
      <charset val="136"/>
    </font>
    <font>
      <sz val="9"/>
      <color rgb="FF000000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shrinkToFit="1"/>
    </xf>
    <xf numFmtId="0" fontId="4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 shrinkToFit="1"/>
    </xf>
    <xf numFmtId="176" fontId="7" fillId="0" borderId="5" xfId="0" applyNumberFormat="1" applyFont="1" applyBorder="1" applyAlignment="1">
      <alignment vertical="center" shrinkToFit="1"/>
    </xf>
    <xf numFmtId="176" fontId="7" fillId="0" borderId="5" xfId="0" applyNumberFormat="1" applyFont="1" applyBorder="1" applyAlignment="1">
      <alignment horizontal="right" vertical="center" shrinkToFit="1"/>
    </xf>
    <xf numFmtId="176" fontId="9" fillId="0" borderId="5" xfId="0" applyNumberFormat="1" applyFont="1" applyBorder="1">
      <alignment vertical="center"/>
    </xf>
    <xf numFmtId="0" fontId="10" fillId="0" borderId="6" xfId="0" applyFont="1" applyBorder="1">
      <alignment vertical="center"/>
    </xf>
    <xf numFmtId="176" fontId="8" fillId="0" borderId="5" xfId="0" applyNumberFormat="1" applyFont="1" applyBorder="1" applyAlignment="1">
      <alignment vertical="center" shrinkToFit="1"/>
    </xf>
    <xf numFmtId="49" fontId="11" fillId="0" borderId="5" xfId="0" applyNumberFormat="1" applyFont="1" applyBorder="1" applyAlignment="1">
      <alignment horizontal="left" vertical="center" wrapText="1"/>
    </xf>
    <xf numFmtId="176" fontId="8" fillId="0" borderId="5" xfId="0" applyNumberFormat="1" applyFont="1" applyBorder="1" applyAlignment="1">
      <alignment vertical="center" wrapText="1" shrinkToFit="1"/>
    </xf>
    <xf numFmtId="0" fontId="10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 shrinkToFit="1"/>
    </xf>
    <xf numFmtId="0" fontId="4" fillId="0" borderId="4" xfId="0" applyFont="1" applyBorder="1" applyAlignment="1">
      <alignment horizontal="right" vertical="center" shrinkToFit="1"/>
    </xf>
    <xf numFmtId="0" fontId="4" fillId="0" borderId="5" xfId="0" applyFont="1" applyBorder="1" applyAlignment="1">
      <alignment horizontal="left" vertical="center" wrapText="1"/>
    </xf>
    <xf numFmtId="0" fontId="9" fillId="0" borderId="5" xfId="0" applyFont="1" applyBorder="1">
      <alignment vertical="center"/>
    </xf>
    <xf numFmtId="177" fontId="9" fillId="0" borderId="5" xfId="0" applyNumberFormat="1" applyFont="1" applyBorder="1">
      <alignment vertical="center"/>
    </xf>
    <xf numFmtId="0" fontId="10" fillId="0" borderId="7" xfId="0" applyFont="1" applyBorder="1">
      <alignment vertical="center"/>
    </xf>
    <xf numFmtId="0" fontId="4" fillId="0" borderId="8" xfId="0" applyFont="1" applyBorder="1" applyAlignment="1">
      <alignment horizontal="left" vertical="center" wrapText="1"/>
    </xf>
    <xf numFmtId="0" fontId="9" fillId="0" borderId="8" xfId="0" applyFont="1" applyBorder="1">
      <alignment vertical="center"/>
    </xf>
    <xf numFmtId="177" fontId="9" fillId="2" borderId="8" xfId="0" applyNumberFormat="1" applyFont="1" applyFill="1" applyBorder="1">
      <alignment vertical="center"/>
    </xf>
    <xf numFmtId="0" fontId="10" fillId="0" borderId="9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E353E-DC78-43DA-9B27-FBF7D71159AA}">
  <dimension ref="A1:J13"/>
  <sheetViews>
    <sheetView tabSelected="1" workbookViewId="0">
      <selection activeCell="F22" sqref="F22"/>
    </sheetView>
  </sheetViews>
  <sheetFormatPr defaultRowHeight="16.5" x14ac:dyDescent="0.25"/>
  <cols>
    <col min="2" max="2" width="39.25" customWidth="1"/>
    <col min="3" max="3" width="6.5" customWidth="1"/>
    <col min="4" max="4" width="29.25" customWidth="1"/>
    <col min="5" max="5" width="10.5" customWidth="1"/>
    <col min="6" max="6" width="9.25" customWidth="1"/>
    <col min="7" max="7" width="15.5" customWidth="1"/>
    <col min="8" max="8" width="9.25" customWidth="1"/>
    <col min="9" max="9" width="14.25" customWidth="1"/>
    <col min="10" max="10" width="17.625" customWidth="1"/>
  </cols>
  <sheetData>
    <row r="1" spans="1:10" ht="26.25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3" t="s">
        <v>7</v>
      </c>
      <c r="H2" s="3" t="s">
        <v>8</v>
      </c>
      <c r="I2" s="3" t="s">
        <v>9</v>
      </c>
      <c r="J2" s="5" t="s">
        <v>10</v>
      </c>
    </row>
    <row r="3" spans="1:10" x14ac:dyDescent="0.25">
      <c r="A3" s="6">
        <v>1</v>
      </c>
      <c r="B3" s="7" t="s">
        <v>11</v>
      </c>
      <c r="C3" s="8" t="s">
        <v>12</v>
      </c>
      <c r="D3" s="9" t="s">
        <v>13</v>
      </c>
      <c r="E3" s="10">
        <f>4559.61*10/15*0.6</f>
        <v>1823.8439999999998</v>
      </c>
      <c r="F3" s="11">
        <f>429*10/12</f>
        <v>357.5</v>
      </c>
      <c r="G3" s="11">
        <f>E3*F3</f>
        <v>652024.23</v>
      </c>
      <c r="H3" s="11"/>
      <c r="I3" s="11"/>
      <c r="J3" s="12" t="s">
        <v>14</v>
      </c>
    </row>
    <row r="4" spans="1:10" x14ac:dyDescent="0.25">
      <c r="A4" s="6">
        <v>2</v>
      </c>
      <c r="B4" s="7" t="s">
        <v>15</v>
      </c>
      <c r="C4" s="8" t="s">
        <v>16</v>
      </c>
      <c r="D4" s="9" t="s">
        <v>17</v>
      </c>
      <c r="E4" s="10">
        <v>3643.73</v>
      </c>
      <c r="F4" s="11">
        <f>357.5*0.3*0.3*3.14</f>
        <v>101.0295</v>
      </c>
      <c r="G4" s="11">
        <f t="shared" ref="G4:G10" si="0">E4*F4</f>
        <v>368124.22003500001</v>
      </c>
      <c r="H4" s="11"/>
      <c r="I4" s="11"/>
      <c r="J4" s="12"/>
    </row>
    <row r="5" spans="1:10" x14ac:dyDescent="0.25">
      <c r="A5" s="6">
        <v>3</v>
      </c>
      <c r="B5" s="7" t="s">
        <v>18</v>
      </c>
      <c r="C5" s="8" t="s">
        <v>19</v>
      </c>
      <c r="D5" s="13" t="s">
        <v>20</v>
      </c>
      <c r="E5" s="10">
        <v>150</v>
      </c>
      <c r="F5" s="11">
        <f>992*3</f>
        <v>2976</v>
      </c>
      <c r="G5" s="11">
        <f t="shared" si="0"/>
        <v>446400</v>
      </c>
      <c r="H5" s="11"/>
      <c r="I5" s="11"/>
      <c r="J5" s="12" t="s">
        <v>21</v>
      </c>
    </row>
    <row r="6" spans="1:10" ht="27" x14ac:dyDescent="0.25">
      <c r="A6" s="6">
        <v>4</v>
      </c>
      <c r="B6" s="14" t="s">
        <v>22</v>
      </c>
      <c r="C6" s="8" t="s">
        <v>12</v>
      </c>
      <c r="D6" s="13" t="s">
        <v>23</v>
      </c>
      <c r="E6" s="10">
        <v>26</v>
      </c>
      <c r="F6" s="11">
        <v>3883.1</v>
      </c>
      <c r="G6" s="11">
        <f t="shared" si="0"/>
        <v>100960.59999999999</v>
      </c>
      <c r="H6" s="11"/>
      <c r="I6" s="11"/>
      <c r="J6" s="12"/>
    </row>
    <row r="7" spans="1:10" ht="25.5" x14ac:dyDescent="0.25">
      <c r="A7" s="6">
        <v>5</v>
      </c>
      <c r="B7" s="7" t="s">
        <v>24</v>
      </c>
      <c r="C7" s="8" t="s">
        <v>25</v>
      </c>
      <c r="D7" s="15" t="s">
        <v>26</v>
      </c>
      <c r="E7" s="10">
        <f>60000+250000</f>
        <v>310000</v>
      </c>
      <c r="F7" s="11">
        <v>1</v>
      </c>
      <c r="G7" s="11">
        <f t="shared" si="0"/>
        <v>310000</v>
      </c>
      <c r="H7" s="11"/>
      <c r="I7" s="11"/>
      <c r="J7" s="12"/>
    </row>
    <row r="8" spans="1:10" ht="25.5" x14ac:dyDescent="0.25">
      <c r="A8" s="6">
        <v>6</v>
      </c>
      <c r="B8" s="14" t="s">
        <v>27</v>
      </c>
      <c r="C8" s="8" t="s">
        <v>16</v>
      </c>
      <c r="D8" s="15" t="s">
        <v>28</v>
      </c>
      <c r="E8" s="10">
        <v>428.86</v>
      </c>
      <c r="F8" s="11">
        <f>200*7*0.3</f>
        <v>420</v>
      </c>
      <c r="G8" s="11">
        <f t="shared" si="0"/>
        <v>180121.2</v>
      </c>
      <c r="H8" s="11"/>
      <c r="I8" s="11"/>
      <c r="J8" s="12"/>
    </row>
    <row r="9" spans="1:10" ht="25.5" x14ac:dyDescent="0.25">
      <c r="A9" s="6">
        <v>7</v>
      </c>
      <c r="B9" s="16" t="s">
        <v>29</v>
      </c>
      <c r="C9" s="8" t="s">
        <v>30</v>
      </c>
      <c r="D9" s="15" t="s">
        <v>31</v>
      </c>
      <c r="E9" s="10">
        <v>931.12</v>
      </c>
      <c r="F9" s="11">
        <f>2*8*30</f>
        <v>480</v>
      </c>
      <c r="G9" s="11">
        <f t="shared" si="0"/>
        <v>446937.59999999998</v>
      </c>
      <c r="H9" s="11"/>
      <c r="I9" s="11"/>
      <c r="J9" s="12"/>
    </row>
    <row r="10" spans="1:10" x14ac:dyDescent="0.25">
      <c r="A10" s="6">
        <v>8</v>
      </c>
      <c r="B10" s="16" t="s">
        <v>32</v>
      </c>
      <c r="C10" s="8" t="s">
        <v>33</v>
      </c>
      <c r="D10" s="13" t="s">
        <v>34</v>
      </c>
      <c r="E10" s="10">
        <v>200</v>
      </c>
      <c r="F10" s="11">
        <v>3386.57</v>
      </c>
      <c r="G10" s="11">
        <f t="shared" si="0"/>
        <v>677314</v>
      </c>
      <c r="H10" s="11"/>
      <c r="I10" s="11"/>
      <c r="J10" s="12"/>
    </row>
    <row r="11" spans="1:10" ht="54" x14ac:dyDescent="0.25">
      <c r="A11" s="6">
        <v>9</v>
      </c>
      <c r="B11" s="7" t="s">
        <v>35</v>
      </c>
      <c r="C11" s="8" t="s">
        <v>36</v>
      </c>
      <c r="D11" s="17" t="s">
        <v>37</v>
      </c>
      <c r="E11" s="10">
        <v>22500</v>
      </c>
      <c r="F11" s="11">
        <f>37*10+12*16+5*20-360</f>
        <v>302</v>
      </c>
      <c r="G11" s="11">
        <f>E11*F11</f>
        <v>6795000</v>
      </c>
      <c r="H11" s="11"/>
      <c r="I11" s="11">
        <f>E11*H11</f>
        <v>0</v>
      </c>
      <c r="J11" s="12"/>
    </row>
    <row r="12" spans="1:10" x14ac:dyDescent="0.25">
      <c r="A12" s="18"/>
      <c r="B12" s="19" t="s">
        <v>38</v>
      </c>
      <c r="C12" s="19"/>
      <c r="D12" s="19"/>
      <c r="E12" s="19"/>
      <c r="F12" s="20"/>
      <c r="G12" s="21">
        <f>SUM(G3:G11)</f>
        <v>9976881.8500350006</v>
      </c>
      <c r="H12" s="20"/>
      <c r="I12" s="21">
        <f>SUM(I3:I11)</f>
        <v>0</v>
      </c>
      <c r="J12" s="12"/>
    </row>
    <row r="13" spans="1:10" ht="17.25" thickBot="1" x14ac:dyDescent="0.3">
      <c r="A13" s="22"/>
      <c r="B13" s="23" t="s">
        <v>39</v>
      </c>
      <c r="C13" s="23"/>
      <c r="D13" s="23"/>
      <c r="E13" s="23"/>
      <c r="F13" s="24"/>
      <c r="G13" s="25">
        <f>G12-I12</f>
        <v>9976881.8500350006</v>
      </c>
      <c r="H13" s="24"/>
      <c r="I13" s="24"/>
      <c r="J13" s="26"/>
    </row>
  </sheetData>
  <mergeCells count="3">
    <mergeCell ref="A1:J1"/>
    <mergeCell ref="B12:E12"/>
    <mergeCell ref="B13:E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2023-09-20T00:28:34Z</dcterms:created>
  <dcterms:modified xsi:type="dcterms:W3CDTF">2023-09-20T00:29:15Z</dcterms:modified>
</cp:coreProperties>
</file>