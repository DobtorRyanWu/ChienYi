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A.上溢\1.磺港溪再造C段護岸及步道整建工程（延壽橋至三合橋）\8.估驗計價\數量計算式\"/>
    </mc:Choice>
  </mc:AlternateContent>
  <xr:revisionPtr revIDLastSave="0" documentId="13_ncr:1_{FFF4C8C9-3C3E-45D3-BE9D-6E816477B46A}" xr6:coauthVersionLast="47" xr6:coauthVersionMax="47" xr10:uidLastSave="{00000000-0000-0000-0000-000000000000}"/>
  <bookViews>
    <workbookView xWindow="-120" yWindow="-120" windowWidth="29040" windowHeight="15720" activeTab="4" xr2:uid="{836E30BE-976B-4413-9C67-162A4C21CA5A}"/>
  </bookViews>
  <sheets>
    <sheet name="單價分析表 (3)" sheetId="7" r:id="rId1"/>
    <sheet name="變更對照項目詳細表" sheetId="6" r:id="rId2"/>
    <sheet name="整備工程(1)" sheetId="9" r:id="rId3"/>
    <sheet name="土建景觀工程(2)" sheetId="10" r:id="rId4"/>
    <sheet name="橋梁工程 (3)" sheetId="11" r:id="rId5"/>
    <sheet name="河川工程 (4)" sheetId="12" r:id="rId6"/>
    <sheet name="下水道工程 (5)" sheetId="13" r:id="rId7"/>
    <sheet name="道路附屬工程 (6)" sheetId="14" r:id="rId8"/>
    <sheet name="植栽工程 (8)" sheetId="15" r:id="rId9"/>
    <sheet name="臨時動員及圍排水設施費 9)" sheetId="16" r:id="rId10"/>
    <sheet name="蜂巢隔網計算" sheetId="17" r:id="rId11"/>
    <sheet name="整備工程-表土清除" sheetId="18" r:id="rId12"/>
  </sheets>
  <definedNames>
    <definedName name="_xlnm._FilterDatabase" localSheetId="1" hidden="1">變更對照項目詳細表!$A$1:$V$514</definedName>
    <definedName name="_xlnm.Print_Area" localSheetId="3">'土建景觀工程(2)'!$A$1:$J$621</definedName>
    <definedName name="_xlnm.Print_Area" localSheetId="5">'河川工程 (4)'!$A$1:$J$141</definedName>
    <definedName name="_xlnm.Print_Area" localSheetId="0">'單價分析表 (3)'!$A$1:$G$124</definedName>
    <definedName name="_xlnm.Print_Area" localSheetId="2">'整備工程(1)'!$A$1:$J$226</definedName>
    <definedName name="_xlnm.Print_Area" localSheetId="4">'橋梁工程 (3)'!$A$1:$J$228</definedName>
    <definedName name="_xlnm.Print_Area" localSheetId="1">變更對照項目詳細表!$A$1:$T$512</definedName>
    <definedName name="_xlnm.Print_Titles" localSheetId="1">變更對照項目詳細表!$1:$8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8" i="6" l="1"/>
  <c r="F187" i="6"/>
  <c r="F186" i="6"/>
  <c r="F185" i="6"/>
  <c r="E188" i="6"/>
  <c r="E187" i="6"/>
  <c r="E186" i="6"/>
  <c r="E185" i="6"/>
  <c r="E184" i="6"/>
  <c r="E183" i="6"/>
  <c r="E182" i="6"/>
  <c r="E181" i="6"/>
  <c r="E180" i="6"/>
  <c r="J203" i="11"/>
  <c r="J201" i="11"/>
  <c r="J199" i="11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J167" i="11"/>
  <c r="J165" i="11"/>
  <c r="E163" i="6"/>
  <c r="E162" i="6"/>
  <c r="E161" i="6"/>
  <c r="E159" i="6"/>
  <c r="E158" i="6"/>
  <c r="E157" i="6"/>
  <c r="J141" i="11"/>
  <c r="E155" i="6"/>
  <c r="E154" i="6"/>
  <c r="E153" i="6"/>
  <c r="E152" i="6"/>
  <c r="E151" i="6"/>
  <c r="E156" i="6"/>
  <c r="E150" i="6"/>
  <c r="E149" i="6"/>
  <c r="F138" i="6"/>
  <c r="F137" i="6"/>
  <c r="F136" i="6"/>
  <c r="F135" i="6"/>
  <c r="E138" i="6"/>
  <c r="J610" i="10"/>
  <c r="J608" i="10"/>
  <c r="E137" i="6" s="1"/>
  <c r="J606" i="10"/>
  <c r="E136" i="6" s="1"/>
  <c r="J604" i="10"/>
  <c r="E135" i="6"/>
  <c r="E134" i="6"/>
  <c r="E133" i="6"/>
  <c r="E132" i="6"/>
  <c r="E131" i="6"/>
  <c r="E130" i="6"/>
  <c r="E129" i="6"/>
  <c r="E128" i="6"/>
  <c r="E127" i="6"/>
  <c r="E126" i="6"/>
  <c r="E125" i="6"/>
  <c r="E124" i="6"/>
  <c r="J601" i="10"/>
  <c r="J599" i="10"/>
  <c r="J597" i="10"/>
  <c r="J595" i="10"/>
  <c r="J593" i="10"/>
  <c r="J591" i="10"/>
  <c r="J589" i="10"/>
  <c r="J587" i="10"/>
  <c r="J585" i="10"/>
  <c r="J583" i="10"/>
  <c r="J581" i="10"/>
  <c r="H599" i="10"/>
  <c r="H597" i="10"/>
  <c r="H595" i="10"/>
  <c r="H593" i="10"/>
  <c r="H591" i="10"/>
  <c r="H589" i="10"/>
  <c r="H587" i="10"/>
  <c r="H585" i="10"/>
  <c r="H583" i="10"/>
  <c r="H581" i="10"/>
  <c r="H457" i="10" l="1"/>
  <c r="H456" i="10"/>
  <c r="J456" i="10" s="1"/>
  <c r="H232" i="10" s="1"/>
  <c r="H507" i="10"/>
  <c r="H494" i="10"/>
  <c r="H559" i="10"/>
  <c r="H558" i="10"/>
  <c r="H557" i="10"/>
  <c r="H556" i="10"/>
  <c r="H555" i="10"/>
  <c r="H554" i="10"/>
  <c r="H551" i="10"/>
  <c r="H550" i="10"/>
  <c r="H549" i="10"/>
  <c r="H544" i="10"/>
  <c r="H548" i="10"/>
  <c r="H547" i="10"/>
  <c r="H546" i="10"/>
  <c r="H542" i="10"/>
  <c r="H543" i="10"/>
  <c r="H545" i="10"/>
  <c r="H160" i="10" l="1"/>
  <c r="H303" i="10"/>
  <c r="J569" i="10" l="1"/>
  <c r="E118" i="6" s="1"/>
  <c r="J579" i="10"/>
  <c r="E123" i="6" s="1"/>
  <c r="J577" i="10"/>
  <c r="E122" i="6" s="1"/>
  <c r="J575" i="10"/>
  <c r="E121" i="6" s="1"/>
  <c r="J573" i="10"/>
  <c r="E120" i="6" s="1"/>
  <c r="J571" i="10"/>
  <c r="E119" i="6" s="1"/>
  <c r="J567" i="10"/>
  <c r="E117" i="6" s="1"/>
  <c r="J565" i="10"/>
  <c r="E116" i="6" s="1"/>
  <c r="J563" i="10"/>
  <c r="E115" i="6" s="1"/>
  <c r="J561" i="10"/>
  <c r="E114" i="6" s="1"/>
  <c r="J539" i="10"/>
  <c r="E112" i="6" s="1"/>
  <c r="J537" i="10"/>
  <c r="E111" i="6" s="1"/>
  <c r="J535" i="10"/>
  <c r="E110" i="6" s="1"/>
  <c r="J533" i="10"/>
  <c r="E109" i="6" s="1"/>
  <c r="J531" i="10"/>
  <c r="E108" i="6" s="1"/>
  <c r="J529" i="10"/>
  <c r="E107" i="6" s="1"/>
  <c r="J527" i="10"/>
  <c r="E106" i="6" s="1"/>
  <c r="J525" i="10"/>
  <c r="E105" i="6" s="1"/>
  <c r="J523" i="10"/>
  <c r="E104" i="6" s="1"/>
  <c r="J521" i="10"/>
  <c r="E103" i="6" s="1"/>
  <c r="J519" i="10"/>
  <c r="E102" i="6" s="1"/>
  <c r="J517" i="10"/>
  <c r="E101" i="6" s="1"/>
  <c r="J515" i="10"/>
  <c r="E100" i="6" s="1"/>
  <c r="J513" i="10"/>
  <c r="E99" i="6" s="1"/>
  <c r="J511" i="10"/>
  <c r="E98" i="6" s="1"/>
  <c r="J509" i="10"/>
  <c r="E97" i="6" s="1"/>
  <c r="J493" i="10"/>
  <c r="J507" i="10"/>
  <c r="E96" i="6" s="1"/>
  <c r="H462" i="10"/>
  <c r="H505" i="10"/>
  <c r="J505" i="10" s="1"/>
  <c r="E95" i="6" s="1"/>
  <c r="H503" i="10"/>
  <c r="J503" i="10" s="1"/>
  <c r="J491" i="10"/>
  <c r="E91" i="6" s="1"/>
  <c r="J489" i="10"/>
  <c r="E90" i="6" s="1"/>
  <c r="J487" i="10"/>
  <c r="E89" i="6" s="1"/>
  <c r="J485" i="10"/>
  <c r="E88" i="6" s="1"/>
  <c r="J483" i="10"/>
  <c r="E87" i="6" s="1"/>
  <c r="J481" i="10"/>
  <c r="E86" i="6" s="1"/>
  <c r="J479" i="10"/>
  <c r="E85" i="6" s="1"/>
  <c r="H499" i="10"/>
  <c r="H498" i="10"/>
  <c r="H497" i="10"/>
  <c r="H496" i="10"/>
  <c r="H431" i="10"/>
  <c r="H430" i="10"/>
  <c r="H361" i="10" l="1"/>
  <c r="H356" i="10"/>
  <c r="H359" i="10"/>
  <c r="H354" i="10"/>
  <c r="J496" i="10"/>
  <c r="E94" i="6"/>
  <c r="E93" i="6"/>
  <c r="J430" i="10"/>
  <c r="E71" i="6" s="1"/>
  <c r="H360" i="10" l="1"/>
  <c r="H355" i="10"/>
  <c r="J93" i="13"/>
  <c r="H41" i="16"/>
  <c r="H38" i="16"/>
  <c r="H39" i="16"/>
  <c r="H35" i="16"/>
  <c r="H36" i="16"/>
  <c r="H40" i="16"/>
  <c r="H37" i="16"/>
  <c r="H58" i="12"/>
  <c r="H30" i="14"/>
  <c r="J35" i="16" l="1"/>
  <c r="H94" i="10"/>
  <c r="H91" i="10"/>
  <c r="J452" i="10"/>
  <c r="E80" i="6" s="1"/>
  <c r="J450" i="10"/>
  <c r="H448" i="10"/>
  <c r="J448" i="10" s="1"/>
  <c r="J446" i="10"/>
  <c r="H442" i="10"/>
  <c r="J442" i="10" s="1"/>
  <c r="J444" i="10"/>
  <c r="H440" i="10"/>
  <c r="J440" i="10" s="1"/>
  <c r="H438" i="10"/>
  <c r="J438" i="10" s="1"/>
  <c r="H436" i="10"/>
  <c r="J436" i="10" s="1"/>
  <c r="E72" i="6" s="1"/>
  <c r="J433" i="10"/>
  <c r="J454" i="10"/>
  <c r="E81" i="6" s="1"/>
  <c r="H428" i="10"/>
  <c r="J428" i="10" s="1"/>
  <c r="E70" i="6" s="1"/>
  <c r="H426" i="10"/>
  <c r="J426" i="10" s="1"/>
  <c r="E69" i="6" s="1"/>
  <c r="H407" i="10"/>
  <c r="J407" i="10" s="1"/>
  <c r="E63" i="6" s="1"/>
  <c r="H403" i="10"/>
  <c r="H397" i="10"/>
  <c r="H405" i="10"/>
  <c r="H404" i="10"/>
  <c r="H402" i="10"/>
  <c r="H401" i="10"/>
  <c r="H400" i="10"/>
  <c r="H399" i="10"/>
  <c r="H398" i="10"/>
  <c r="H394" i="10"/>
  <c r="H393" i="10"/>
  <c r="J391" i="10"/>
  <c r="E60" i="6" s="1"/>
  <c r="J389" i="10"/>
  <c r="E59" i="6" s="1"/>
  <c r="J387" i="10"/>
  <c r="E58" i="6" s="1"/>
  <c r="J385" i="10"/>
  <c r="E57" i="6" s="1"/>
  <c r="J381" i="10"/>
  <c r="E55" i="6" s="1"/>
  <c r="H383" i="10"/>
  <c r="J383" i="10" s="1"/>
  <c r="E56" i="6" s="1"/>
  <c r="J378" i="10"/>
  <c r="E54" i="6" s="1"/>
  <c r="H376" i="10"/>
  <c r="J376" i="10" s="1"/>
  <c r="E53" i="6" s="1"/>
  <c r="H374" i="10"/>
  <c r="J374" i="10" s="1"/>
  <c r="E52" i="6" s="1"/>
  <c r="H460" i="10"/>
  <c r="J460" i="10" s="1"/>
  <c r="H464" i="10"/>
  <c r="J464" i="10" s="1"/>
  <c r="H34" i="10"/>
  <c r="H161" i="10"/>
  <c r="H233" i="10"/>
  <c r="H304" i="10"/>
  <c r="E82" i="6"/>
  <c r="H422" i="10"/>
  <c r="J422" i="10" s="1"/>
  <c r="E68" i="6" s="1"/>
  <c r="H418" i="10"/>
  <c r="J418" i="10" s="1"/>
  <c r="E67" i="6" s="1"/>
  <c r="H366" i="10"/>
  <c r="H365" i="10"/>
  <c r="H364" i="10"/>
  <c r="H363" i="10"/>
  <c r="H339" i="10"/>
  <c r="H337" i="10"/>
  <c r="H336" i="10"/>
  <c r="H338" i="10"/>
  <c r="H335" i="10"/>
  <c r="H326" i="10"/>
  <c r="H325" i="10"/>
  <c r="H327" i="10"/>
  <c r="H328" i="10"/>
  <c r="H330" i="10"/>
  <c r="H331" i="10"/>
  <c r="H329" i="10"/>
  <c r="H324" i="10"/>
  <c r="H322" i="10"/>
  <c r="N321" i="10"/>
  <c r="H334" i="10"/>
  <c r="H333" i="10"/>
  <c r="H323" i="10"/>
  <c r="H321" i="10"/>
  <c r="H266" i="10"/>
  <c r="H265" i="10"/>
  <c r="H264" i="10"/>
  <c r="H263" i="10"/>
  <c r="H261" i="10"/>
  <c r="H259" i="10"/>
  <c r="H258" i="10"/>
  <c r="H267" i="10"/>
  <c r="H262" i="10"/>
  <c r="H260" i="10"/>
  <c r="H257" i="10"/>
  <c r="H256" i="10"/>
  <c r="H255" i="10"/>
  <c r="H254" i="10"/>
  <c r="H253" i="10"/>
  <c r="H252" i="10"/>
  <c r="H251" i="10"/>
  <c r="H250" i="10"/>
  <c r="H249" i="10"/>
  <c r="H130" i="10"/>
  <c r="H277" i="10" s="1"/>
  <c r="H193" i="10"/>
  <c r="H192" i="10"/>
  <c r="H191" i="10"/>
  <c r="H190" i="10"/>
  <c r="H186" i="10"/>
  <c r="H187" i="10"/>
  <c r="H188" i="10"/>
  <c r="H189" i="10"/>
  <c r="H184" i="10"/>
  <c r="H183" i="10"/>
  <c r="H181" i="10"/>
  <c r="H180" i="10"/>
  <c r="H179" i="10"/>
  <c r="H177" i="10"/>
  <c r="H182" i="10"/>
  <c r="H178" i="10"/>
  <c r="H176" i="10"/>
  <c r="H127" i="10"/>
  <c r="H126" i="10"/>
  <c r="H125" i="10"/>
  <c r="H124" i="10"/>
  <c r="H118" i="10"/>
  <c r="H123" i="10"/>
  <c r="H121" i="10"/>
  <c r="H120" i="10"/>
  <c r="H119" i="10"/>
  <c r="H117" i="10"/>
  <c r="H116" i="10"/>
  <c r="H115" i="10"/>
  <c r="H114" i="10"/>
  <c r="H113" i="10"/>
  <c r="H112" i="10"/>
  <c r="H111" i="10"/>
  <c r="H122" i="10"/>
  <c r="H110" i="10"/>
  <c r="H248" i="10"/>
  <c r="H320" i="10"/>
  <c r="H319" i="10"/>
  <c r="H247" i="10"/>
  <c r="H175" i="10"/>
  <c r="H109" i="10"/>
  <c r="H201" i="10"/>
  <c r="H371" i="10" s="1"/>
  <c r="H275" i="10"/>
  <c r="H141" i="10"/>
  <c r="H416" i="10" s="1"/>
  <c r="H289" i="10"/>
  <c r="H140" i="10"/>
  <c r="H415" i="10" s="1"/>
  <c r="E148" i="6"/>
  <c r="E147" i="6"/>
  <c r="E146" i="6"/>
  <c r="E144" i="6"/>
  <c r="E143" i="6"/>
  <c r="E142" i="6"/>
  <c r="J222" i="11"/>
  <c r="J220" i="11"/>
  <c r="J218" i="11"/>
  <c r="J216" i="11"/>
  <c r="J214" i="11"/>
  <c r="J212" i="11"/>
  <c r="J209" i="11"/>
  <c r="J197" i="11"/>
  <c r="J195" i="11"/>
  <c r="J193" i="11"/>
  <c r="J191" i="11"/>
  <c r="J189" i="11"/>
  <c r="J187" i="11"/>
  <c r="J185" i="11"/>
  <c r="H185" i="11"/>
  <c r="H179" i="11"/>
  <c r="H76" i="10" l="1"/>
  <c r="H146" i="10"/>
  <c r="H218" i="10"/>
  <c r="H80" i="10"/>
  <c r="H298" i="10"/>
  <c r="H85" i="10"/>
  <c r="E76" i="6"/>
  <c r="H83" i="10"/>
  <c r="E74" i="6"/>
  <c r="H84" i="10"/>
  <c r="E75" i="6"/>
  <c r="H95" i="10"/>
  <c r="E83" i="6"/>
  <c r="H88" i="10"/>
  <c r="E79" i="6"/>
  <c r="H86" i="10"/>
  <c r="E77" i="6"/>
  <c r="H81" i="10"/>
  <c r="E73" i="6"/>
  <c r="H96" i="10"/>
  <c r="E84" i="6"/>
  <c r="H87" i="10"/>
  <c r="E78" i="6"/>
  <c r="H82" i="10"/>
  <c r="H79" i="10"/>
  <c r="H78" i="10"/>
  <c r="J397" i="10"/>
  <c r="J393" i="10"/>
  <c r="E61" i="6" s="1"/>
  <c r="J363" i="10"/>
  <c r="E50" i="6" s="1"/>
  <c r="H203" i="10"/>
  <c r="J179" i="11"/>
  <c r="J183" i="11"/>
  <c r="J181" i="11"/>
  <c r="H175" i="11"/>
  <c r="H172" i="11"/>
  <c r="G171" i="11"/>
  <c r="H171" i="11" s="1"/>
  <c r="J171" i="11" s="1"/>
  <c r="J177" i="11"/>
  <c r="J174" i="11"/>
  <c r="J169" i="11"/>
  <c r="H84" i="11"/>
  <c r="J23" i="11"/>
  <c r="H80" i="11"/>
  <c r="J156" i="11"/>
  <c r="E160" i="6" s="1"/>
  <c r="J161" i="11"/>
  <c r="J127" i="11"/>
  <c r="J109" i="11"/>
  <c r="J125" i="11" s="1"/>
  <c r="E62" i="6" l="1"/>
  <c r="H77" i="10"/>
  <c r="H103" i="11"/>
  <c r="J101" i="11" s="1"/>
  <c r="H18" i="11"/>
  <c r="H300" i="10" l="1"/>
  <c r="H299" i="10"/>
  <c r="H305" i="10"/>
  <c r="H234" i="10"/>
  <c r="H162" i="10"/>
  <c r="H229" i="10"/>
  <c r="H344" i="10"/>
  <c r="H343" i="10"/>
  <c r="H351" i="10"/>
  <c r="H350" i="10"/>
  <c r="H349" i="10"/>
  <c r="H348" i="10"/>
  <c r="H347" i="10"/>
  <c r="H346" i="10"/>
  <c r="H345" i="10"/>
  <c r="H278" i="10"/>
  <c r="H292" i="10"/>
  <c r="H291" i="10"/>
  <c r="H290" i="10"/>
  <c r="H288" i="10"/>
  <c r="H287" i="10"/>
  <c r="H286" i="10"/>
  <c r="H285" i="10"/>
  <c r="H283" i="10"/>
  <c r="H282" i="10"/>
  <c r="H281" i="10"/>
  <c r="H280" i="10"/>
  <c r="H279" i="10"/>
  <c r="H212" i="10"/>
  <c r="H207" i="10"/>
  <c r="H211" i="10"/>
  <c r="H208" i="10"/>
  <c r="H206" i="10"/>
  <c r="H205" i="10"/>
  <c r="H276" i="10"/>
  <c r="H200" i="10"/>
  <c r="H611" i="10" s="1"/>
  <c r="H274" i="10"/>
  <c r="H272" i="10"/>
  <c r="H271" i="10"/>
  <c r="H270" i="10"/>
  <c r="H273" i="10"/>
  <c r="H204" i="10"/>
  <c r="H209" i="10"/>
  <c r="H196" i="10" l="1"/>
  <c r="H368" i="10" s="1"/>
  <c r="H198" i="10"/>
  <c r="H370" i="10" s="1"/>
  <c r="H199" i="10"/>
  <c r="H610" i="10" s="1"/>
  <c r="H197" i="10"/>
  <c r="H369" i="10" s="1"/>
  <c r="H202" i="10"/>
  <c r="H372" i="10" s="1"/>
  <c r="H142" i="10"/>
  <c r="H139" i="10"/>
  <c r="H414" i="10" s="1"/>
  <c r="J413" i="10" s="1"/>
  <c r="E66" i="6" s="1"/>
  <c r="H138" i="10"/>
  <c r="H411" i="10" s="1"/>
  <c r="J411" i="10" s="1"/>
  <c r="E65" i="6" s="1"/>
  <c r="H137" i="10"/>
  <c r="H409" i="10" s="1"/>
  <c r="J409" i="10" s="1"/>
  <c r="E64" i="6" s="1"/>
  <c r="H136" i="10"/>
  <c r="H135" i="10"/>
  <c r="H134" i="10"/>
  <c r="H133" i="10"/>
  <c r="H131" i="10"/>
  <c r="H228" i="10"/>
  <c r="H227" i="10"/>
  <c r="H226" i="10"/>
  <c r="H225" i="10"/>
  <c r="H224" i="10"/>
  <c r="H223" i="10"/>
  <c r="H222" i="10"/>
  <c r="H221" i="10"/>
  <c r="H220" i="10"/>
  <c r="H213" i="10"/>
  <c r="H219" i="10"/>
  <c r="J368" i="10" l="1"/>
  <c r="H77" i="12"/>
  <c r="H78" i="12"/>
  <c r="H155" i="10"/>
  <c r="H157" i="10"/>
  <c r="H33" i="10"/>
  <c r="H154" i="10"/>
  <c r="H153" i="10"/>
  <c r="H152" i="10"/>
  <c r="H150" i="10"/>
  <c r="H151" i="10"/>
  <c r="H148" i="10"/>
  <c r="H149" i="10"/>
  <c r="H147" i="10"/>
  <c r="H143" i="10"/>
  <c r="E51" i="6" l="1"/>
  <c r="H64" i="14"/>
  <c r="I102" i="9"/>
  <c r="I87" i="9"/>
  <c r="I78" i="9"/>
  <c r="I64" i="9"/>
  <c r="I55" i="9"/>
  <c r="I34" i="9"/>
  <c r="I26" i="9"/>
  <c r="I11" i="9"/>
  <c r="J342" i="10"/>
  <c r="E47" i="6" s="1"/>
  <c r="J34" i="9" l="1"/>
  <c r="H39" i="9"/>
  <c r="E34" i="6"/>
  <c r="E33" i="6"/>
  <c r="E28" i="6"/>
  <c r="E19" i="6"/>
  <c r="J100" i="9"/>
  <c r="H65" i="9"/>
  <c r="H64" i="9"/>
  <c r="H51" i="9" l="1"/>
  <c r="J51" i="9" s="1"/>
  <c r="E20" i="6" s="1"/>
  <c r="H62" i="9"/>
  <c r="H61" i="9"/>
  <c r="H60" i="9"/>
  <c r="H59" i="9"/>
  <c r="H58" i="9"/>
  <c r="H57" i="9"/>
  <c r="H55" i="9"/>
  <c r="H23" i="9" l="1"/>
  <c r="F22" i="17" l="1"/>
  <c r="E22" i="17"/>
  <c r="F21" i="17"/>
  <c r="E21" i="17"/>
  <c r="F20" i="17"/>
  <c r="E20" i="17"/>
  <c r="D20" i="17"/>
  <c r="C20" i="17"/>
  <c r="F19" i="17"/>
  <c r="E19" i="17"/>
  <c r="D19" i="17"/>
  <c r="C19" i="17"/>
  <c r="F18" i="17"/>
  <c r="E18" i="17"/>
  <c r="D18" i="17"/>
  <c r="C18" i="17"/>
  <c r="F17" i="17"/>
  <c r="E17" i="17"/>
  <c r="D17" i="17"/>
  <c r="C17" i="17"/>
  <c r="F16" i="17"/>
  <c r="E16" i="17"/>
  <c r="D16" i="17"/>
  <c r="C16" i="17"/>
  <c r="F15" i="17"/>
  <c r="E15" i="17"/>
  <c r="D15" i="17"/>
  <c r="C15" i="17"/>
  <c r="F14" i="17"/>
  <c r="E14" i="17"/>
  <c r="D14" i="17"/>
  <c r="C14" i="17"/>
  <c r="F13" i="17"/>
  <c r="E13" i="17"/>
  <c r="D13" i="17"/>
  <c r="C13" i="17"/>
  <c r="F12" i="17"/>
  <c r="E12" i="17"/>
  <c r="D12" i="17"/>
  <c r="C12" i="17"/>
  <c r="F11" i="17"/>
  <c r="E11" i="17"/>
  <c r="D11" i="17"/>
  <c r="C11" i="17"/>
  <c r="F10" i="17"/>
  <c r="E10" i="17"/>
  <c r="D10" i="17"/>
  <c r="C10" i="17"/>
  <c r="F9" i="17"/>
  <c r="E9" i="17"/>
  <c r="D9" i="17"/>
  <c r="C9" i="17"/>
  <c r="F8" i="17"/>
  <c r="E8" i="17"/>
  <c r="D8" i="17"/>
  <c r="C8" i="17"/>
  <c r="F7" i="17"/>
  <c r="E7" i="17"/>
  <c r="D7" i="17"/>
  <c r="C7" i="17"/>
  <c r="F6" i="17"/>
  <c r="E6" i="17"/>
  <c r="D6" i="17"/>
  <c r="C6" i="17"/>
  <c r="F4" i="17"/>
  <c r="F24" i="17" s="1"/>
  <c r="E4" i="17"/>
  <c r="E24" i="17" s="1"/>
  <c r="D4" i="17"/>
  <c r="D24" i="17" s="1"/>
  <c r="C4" i="17"/>
  <c r="C24" i="17" s="1"/>
  <c r="H92" i="16"/>
  <c r="I89" i="16"/>
  <c r="H87" i="16"/>
  <c r="H44" i="16"/>
  <c r="J44" i="16" s="1"/>
  <c r="I35" i="16"/>
  <c r="L35" i="16" s="1"/>
  <c r="H32" i="16"/>
  <c r="H31" i="16"/>
  <c r="H30" i="16"/>
  <c r="H29" i="16"/>
  <c r="L27" i="16"/>
  <c r="H25" i="16"/>
  <c r="H23" i="16"/>
  <c r="J22" i="16" s="1"/>
  <c r="H22" i="16"/>
  <c r="H19" i="16"/>
  <c r="H18" i="16"/>
  <c r="H17" i="16"/>
  <c r="H16" i="16"/>
  <c r="H15" i="16"/>
  <c r="J15" i="16" s="1"/>
  <c r="H12" i="16"/>
  <c r="H11" i="16"/>
  <c r="H10" i="16"/>
  <c r="H9" i="16"/>
  <c r="H8" i="16"/>
  <c r="H125" i="15"/>
  <c r="H124" i="15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I73" i="15"/>
  <c r="J72" i="15"/>
  <c r="J71" i="15"/>
  <c r="J70" i="15"/>
  <c r="J69" i="15"/>
  <c r="J68" i="15"/>
  <c r="J67" i="15"/>
  <c r="J66" i="15"/>
  <c r="I62" i="15"/>
  <c r="L62" i="15" s="1"/>
  <c r="H62" i="15"/>
  <c r="H60" i="15"/>
  <c r="I60" i="15" s="1"/>
  <c r="L60" i="15" s="1"/>
  <c r="I56" i="15"/>
  <c r="L56" i="15" s="1"/>
  <c r="H56" i="15"/>
  <c r="H54" i="15"/>
  <c r="I54" i="15" s="1"/>
  <c r="L54" i="15" s="1"/>
  <c r="H51" i="15"/>
  <c r="I51" i="15" s="1"/>
  <c r="L51" i="15" s="1"/>
  <c r="H49" i="15"/>
  <c r="I49" i="15" s="1"/>
  <c r="L49" i="15" s="1"/>
  <c r="H47" i="15"/>
  <c r="I47" i="15" s="1"/>
  <c r="L47" i="15" s="1"/>
  <c r="H45" i="15"/>
  <c r="I45" i="15" s="1"/>
  <c r="L45" i="15" s="1"/>
  <c r="I42" i="15"/>
  <c r="L42" i="15" s="1"/>
  <c r="H40" i="15"/>
  <c r="I40" i="15" s="1"/>
  <c r="L40" i="15" s="1"/>
  <c r="I38" i="15"/>
  <c r="L38" i="15" s="1"/>
  <c r="H38" i="15"/>
  <c r="I36" i="15"/>
  <c r="L36" i="15" s="1"/>
  <c r="H36" i="15"/>
  <c r="H34" i="15"/>
  <c r="I34" i="15" s="1"/>
  <c r="L34" i="15" s="1"/>
  <c r="I32" i="15"/>
  <c r="L32" i="15" s="1"/>
  <c r="H32" i="15"/>
  <c r="H30" i="15"/>
  <c r="I30" i="15" s="1"/>
  <c r="L30" i="15" s="1"/>
  <c r="I28" i="15"/>
  <c r="L28" i="15" s="1"/>
  <c r="H28" i="15"/>
  <c r="I26" i="15"/>
  <c r="L26" i="15" s="1"/>
  <c r="H26" i="15"/>
  <c r="H24" i="15"/>
  <c r="I24" i="15" s="1"/>
  <c r="L24" i="15" s="1"/>
  <c r="I22" i="15"/>
  <c r="L22" i="15" s="1"/>
  <c r="H22" i="15"/>
  <c r="H20" i="15"/>
  <c r="I20" i="15" s="1"/>
  <c r="L20" i="15" s="1"/>
  <c r="H18" i="15"/>
  <c r="I18" i="15" s="1"/>
  <c r="L18" i="15" s="1"/>
  <c r="H16" i="15"/>
  <c r="I16" i="15" s="1"/>
  <c r="L16" i="15" s="1"/>
  <c r="H14" i="15"/>
  <c r="I14" i="15" s="1"/>
  <c r="L14" i="15" s="1"/>
  <c r="H12" i="15"/>
  <c r="I12" i="15" s="1"/>
  <c r="L12" i="15" s="1"/>
  <c r="H8" i="15"/>
  <c r="H7" i="15"/>
  <c r="H63" i="14"/>
  <c r="H62" i="14"/>
  <c r="H61" i="14"/>
  <c r="J61" i="14" s="1"/>
  <c r="H58" i="14"/>
  <c r="J56" i="14"/>
  <c r="H56" i="14"/>
  <c r="H54" i="14"/>
  <c r="H50" i="14"/>
  <c r="H49" i="14"/>
  <c r="J49" i="14" s="1"/>
  <c r="H47" i="14"/>
  <c r="H46" i="14"/>
  <c r="J45" i="14"/>
  <c r="H45" i="14"/>
  <c r="I45" i="14" s="1"/>
  <c r="H43" i="14"/>
  <c r="H42" i="14"/>
  <c r="J41" i="14"/>
  <c r="I41" i="14"/>
  <c r="H37" i="14"/>
  <c r="H36" i="14"/>
  <c r="H35" i="14"/>
  <c r="I35" i="14" s="1"/>
  <c r="H39" i="14" s="1"/>
  <c r="I39" i="14" s="1"/>
  <c r="H33" i="14"/>
  <c r="J33" i="14" s="1"/>
  <c r="H31" i="14"/>
  <c r="H29" i="14"/>
  <c r="H28" i="14"/>
  <c r="I28" i="14" s="1"/>
  <c r="H26" i="14"/>
  <c r="H25" i="14"/>
  <c r="H24" i="14"/>
  <c r="H23" i="14"/>
  <c r="I24" i="14" s="1"/>
  <c r="H18" i="14"/>
  <c r="H16" i="14"/>
  <c r="H15" i="14"/>
  <c r="J13" i="14" s="1"/>
  <c r="H14" i="14"/>
  <c r="H11" i="14"/>
  <c r="H10" i="14"/>
  <c r="H9" i="14"/>
  <c r="I8" i="14"/>
  <c r="H8" i="14"/>
  <c r="J7" i="14" s="1"/>
  <c r="I7" i="14"/>
  <c r="H7" i="14"/>
  <c r="H109" i="13"/>
  <c r="I109" i="13" s="1"/>
  <c r="I108" i="13"/>
  <c r="H105" i="13"/>
  <c r="I105" i="13" s="1"/>
  <c r="J104" i="13"/>
  <c r="I104" i="13"/>
  <c r="H102" i="13"/>
  <c r="H101" i="13"/>
  <c r="H100" i="13"/>
  <c r="J99" i="13" s="1"/>
  <c r="I99" i="13"/>
  <c r="I93" i="13"/>
  <c r="H84" i="13"/>
  <c r="H83" i="13"/>
  <c r="H77" i="13"/>
  <c r="H76" i="13"/>
  <c r="J75" i="13" s="1"/>
  <c r="H72" i="13"/>
  <c r="H71" i="13"/>
  <c r="H70" i="13"/>
  <c r="H69" i="13"/>
  <c r="H68" i="13"/>
  <c r="H67" i="13"/>
  <c r="H66" i="13"/>
  <c r="I65" i="13"/>
  <c r="H65" i="13"/>
  <c r="H64" i="13"/>
  <c r="H61" i="13"/>
  <c r="H60" i="13"/>
  <c r="I60" i="13" s="1"/>
  <c r="J59" i="13"/>
  <c r="H59" i="13"/>
  <c r="H57" i="13"/>
  <c r="H56" i="13"/>
  <c r="H55" i="13"/>
  <c r="H54" i="13"/>
  <c r="H53" i="13"/>
  <c r="H52" i="13"/>
  <c r="H51" i="13"/>
  <c r="H50" i="13"/>
  <c r="I50" i="13" s="1"/>
  <c r="H48" i="13"/>
  <c r="H47" i="13"/>
  <c r="H46" i="13"/>
  <c r="H45" i="13"/>
  <c r="H44" i="13"/>
  <c r="H43" i="13"/>
  <c r="H42" i="13"/>
  <c r="H41" i="13"/>
  <c r="H40" i="13"/>
  <c r="I38" i="13" s="1"/>
  <c r="H39" i="13"/>
  <c r="H38" i="13"/>
  <c r="J38" i="13" s="1"/>
  <c r="I36" i="13"/>
  <c r="H33" i="13"/>
  <c r="H32" i="13"/>
  <c r="H29" i="13"/>
  <c r="H28" i="13"/>
  <c r="J27" i="13" s="1"/>
  <c r="H23" i="13"/>
  <c r="H22" i="13"/>
  <c r="H21" i="13"/>
  <c r="H20" i="13"/>
  <c r="H19" i="13"/>
  <c r="H18" i="13"/>
  <c r="H16" i="13"/>
  <c r="H15" i="13"/>
  <c r="H14" i="13"/>
  <c r="H13" i="13"/>
  <c r="H8" i="13"/>
  <c r="H7" i="13"/>
  <c r="J7" i="13" s="1"/>
  <c r="H140" i="12"/>
  <c r="J140" i="12" s="1"/>
  <c r="H138" i="12"/>
  <c r="H137" i="12"/>
  <c r="H136" i="12"/>
  <c r="H135" i="12"/>
  <c r="I135" i="12" s="1"/>
  <c r="J132" i="12"/>
  <c r="I132" i="12"/>
  <c r="H130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I115" i="12" s="1"/>
  <c r="H113" i="12"/>
  <c r="I113" i="12" s="1"/>
  <c r="J113" i="12" s="1"/>
  <c r="H110" i="12"/>
  <c r="J110" i="12" s="1"/>
  <c r="H108" i="12"/>
  <c r="I108" i="12" s="1"/>
  <c r="J108" i="12" s="1"/>
  <c r="H106" i="12"/>
  <c r="H105" i="12"/>
  <c r="I105" i="12" s="1"/>
  <c r="H101" i="12"/>
  <c r="H100" i="12"/>
  <c r="H99" i="12"/>
  <c r="H98" i="12"/>
  <c r="H97" i="12"/>
  <c r="J97" i="12" s="1"/>
  <c r="H95" i="12"/>
  <c r="H94" i="12"/>
  <c r="I94" i="12" s="1"/>
  <c r="J93" i="12"/>
  <c r="H91" i="12"/>
  <c r="H90" i="12"/>
  <c r="H89" i="12"/>
  <c r="I89" i="12" s="1"/>
  <c r="H85" i="12"/>
  <c r="I85" i="12" s="1"/>
  <c r="H82" i="12"/>
  <c r="I82" i="12" s="1"/>
  <c r="H79" i="12"/>
  <c r="I79" i="12" s="1"/>
  <c r="J77" i="12"/>
  <c r="J68" i="12"/>
  <c r="I68" i="12"/>
  <c r="H65" i="12"/>
  <c r="J65" i="12" s="1"/>
  <c r="H62" i="12"/>
  <c r="J62" i="12" s="1"/>
  <c r="H57" i="12"/>
  <c r="H56" i="12"/>
  <c r="H55" i="12"/>
  <c r="I56" i="12" s="1"/>
  <c r="H53" i="12"/>
  <c r="H52" i="12"/>
  <c r="H50" i="12"/>
  <c r="H49" i="12"/>
  <c r="H48" i="12"/>
  <c r="H47" i="12"/>
  <c r="H46" i="12"/>
  <c r="H45" i="12"/>
  <c r="H44" i="12"/>
  <c r="J44" i="12" s="1"/>
  <c r="H42" i="12"/>
  <c r="H41" i="12"/>
  <c r="H40" i="12"/>
  <c r="H39" i="12"/>
  <c r="H38" i="12"/>
  <c r="H37" i="12"/>
  <c r="H36" i="12"/>
  <c r="I34" i="12" s="1"/>
  <c r="H35" i="12"/>
  <c r="H34" i="12"/>
  <c r="H32" i="12"/>
  <c r="H31" i="12"/>
  <c r="H30" i="12"/>
  <c r="H29" i="12"/>
  <c r="H28" i="12"/>
  <c r="H27" i="12"/>
  <c r="H26" i="12"/>
  <c r="J26" i="12" s="1"/>
  <c r="H19" i="12"/>
  <c r="H18" i="12"/>
  <c r="H17" i="12"/>
  <c r="H16" i="12"/>
  <c r="H15" i="12"/>
  <c r="H14" i="12"/>
  <c r="I14" i="12" s="1"/>
  <c r="H9" i="12"/>
  <c r="H8" i="12"/>
  <c r="H7" i="12"/>
  <c r="J7" i="12" s="1"/>
  <c r="H220" i="11"/>
  <c r="I220" i="11" s="1"/>
  <c r="H218" i="11"/>
  <c r="I218" i="11" s="1"/>
  <c r="H216" i="11"/>
  <c r="I216" i="11" s="1"/>
  <c r="H214" i="11"/>
  <c r="I214" i="11" s="1"/>
  <c r="I209" i="11"/>
  <c r="H206" i="11"/>
  <c r="H205" i="11"/>
  <c r="I205" i="11" s="1"/>
  <c r="I203" i="11"/>
  <c r="I201" i="11"/>
  <c r="I199" i="11"/>
  <c r="I197" i="11"/>
  <c r="H159" i="11"/>
  <c r="H158" i="11"/>
  <c r="J158" i="11" s="1"/>
  <c r="I156" i="11"/>
  <c r="H152" i="11"/>
  <c r="H151" i="11"/>
  <c r="H148" i="11"/>
  <c r="H147" i="11"/>
  <c r="H144" i="11"/>
  <c r="J143" i="11" s="1"/>
  <c r="H143" i="11"/>
  <c r="I143" i="11" s="1"/>
  <c r="H99" i="11"/>
  <c r="H98" i="11"/>
  <c r="H97" i="11"/>
  <c r="I94" i="11"/>
  <c r="H92" i="11"/>
  <c r="H91" i="11"/>
  <c r="H90" i="11"/>
  <c r="H89" i="11"/>
  <c r="H88" i="11"/>
  <c r="H87" i="11"/>
  <c r="H86" i="11"/>
  <c r="H83" i="11"/>
  <c r="H82" i="11"/>
  <c r="H81" i="11"/>
  <c r="H76" i="11"/>
  <c r="H75" i="11"/>
  <c r="H74" i="11"/>
  <c r="H73" i="11"/>
  <c r="H72" i="11"/>
  <c r="H71" i="11"/>
  <c r="H70" i="11"/>
  <c r="H69" i="11"/>
  <c r="I51" i="11"/>
  <c r="H47" i="11"/>
  <c r="H46" i="11"/>
  <c r="H45" i="11"/>
  <c r="H41" i="11"/>
  <c r="H40" i="11"/>
  <c r="H39" i="11"/>
  <c r="H37" i="11"/>
  <c r="H36" i="11"/>
  <c r="H35" i="11"/>
  <c r="H34" i="11"/>
  <c r="H33" i="11"/>
  <c r="H32" i="11"/>
  <c r="H31" i="11"/>
  <c r="H30" i="11"/>
  <c r="H21" i="11"/>
  <c r="H17" i="11"/>
  <c r="H16" i="11"/>
  <c r="H15" i="11"/>
  <c r="H13" i="11"/>
  <c r="H12" i="11"/>
  <c r="H11" i="11"/>
  <c r="H9" i="11"/>
  <c r="H8" i="11"/>
  <c r="H608" i="10"/>
  <c r="H606" i="10"/>
  <c r="I606" i="10" s="1"/>
  <c r="H604" i="10"/>
  <c r="H541" i="10"/>
  <c r="J541" i="10" s="1"/>
  <c r="E113" i="6" s="1"/>
  <c r="E92" i="6"/>
  <c r="H297" i="10"/>
  <c r="H296" i="10"/>
  <c r="H295" i="10"/>
  <c r="H294" i="10"/>
  <c r="H293" i="10"/>
  <c r="H217" i="10"/>
  <c r="H216" i="10"/>
  <c r="H215" i="10"/>
  <c r="H214" i="10"/>
  <c r="H145" i="10"/>
  <c r="H144" i="10"/>
  <c r="H75" i="10"/>
  <c r="H74" i="10"/>
  <c r="H73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2" i="10"/>
  <c r="H31" i="10"/>
  <c r="H30" i="10"/>
  <c r="H29" i="10"/>
  <c r="H28" i="10"/>
  <c r="H27" i="10"/>
  <c r="H26" i="10"/>
  <c r="H25" i="10"/>
  <c r="H24" i="10"/>
  <c r="H23" i="10"/>
  <c r="H22" i="10"/>
  <c r="H19" i="10"/>
  <c r="H18" i="10"/>
  <c r="H17" i="10"/>
  <c r="H16" i="10"/>
  <c r="H15" i="10"/>
  <c r="H14" i="10"/>
  <c r="H13" i="10"/>
  <c r="H12" i="10"/>
  <c r="H11" i="10"/>
  <c r="H10" i="10"/>
  <c r="H8" i="10"/>
  <c r="H7" i="10"/>
  <c r="H131" i="9"/>
  <c r="I131" i="9" s="1"/>
  <c r="J131" i="9" s="1"/>
  <c r="E39" i="6" s="1"/>
  <c r="H128" i="9"/>
  <c r="I128" i="9" s="1"/>
  <c r="J128" i="9" s="1"/>
  <c r="E38" i="6" s="1"/>
  <c r="H126" i="9"/>
  <c r="H125" i="9"/>
  <c r="H124" i="9"/>
  <c r="H123" i="9"/>
  <c r="H122" i="9"/>
  <c r="I120" i="9"/>
  <c r="J120" i="9" s="1"/>
  <c r="E36" i="6" s="1"/>
  <c r="H118" i="9"/>
  <c r="I118" i="9" s="1"/>
  <c r="J118" i="9" s="1"/>
  <c r="E35" i="6" s="1"/>
  <c r="H115" i="9"/>
  <c r="H114" i="9"/>
  <c r="H113" i="9"/>
  <c r="H107" i="9"/>
  <c r="H103" i="9"/>
  <c r="I98" i="9"/>
  <c r="J98" i="9" s="1"/>
  <c r="E32" i="6" s="1"/>
  <c r="I96" i="9"/>
  <c r="J96" i="9" s="1"/>
  <c r="E31" i="6" s="1"/>
  <c r="I94" i="9"/>
  <c r="J94" i="9" s="1"/>
  <c r="E30" i="6" s="1"/>
  <c r="I92" i="9"/>
  <c r="J92" i="9" s="1"/>
  <c r="E29" i="6" s="1"/>
  <c r="I90" i="9"/>
  <c r="I89" i="9"/>
  <c r="H87" i="9"/>
  <c r="J87" i="9" s="1"/>
  <c r="E27" i="6" s="1"/>
  <c r="J82" i="9"/>
  <c r="E26" i="6" s="1"/>
  <c r="I82" i="9"/>
  <c r="H80" i="9"/>
  <c r="H79" i="9"/>
  <c r="H78" i="9"/>
  <c r="J76" i="9"/>
  <c r="I76" i="9"/>
  <c r="J69" i="9"/>
  <c r="E23" i="6" s="1"/>
  <c r="I69" i="9"/>
  <c r="J64" i="9"/>
  <c r="E22" i="6" s="1"/>
  <c r="H56" i="9"/>
  <c r="J55" i="9" s="1"/>
  <c r="E21" i="6" s="1"/>
  <c r="H49" i="9"/>
  <c r="I49" i="9" s="1"/>
  <c r="H43" i="9"/>
  <c r="H42" i="9"/>
  <c r="I42" i="9" s="1"/>
  <c r="H38" i="9"/>
  <c r="H37" i="9"/>
  <c r="H36" i="9"/>
  <c r="H35" i="9"/>
  <c r="H34" i="9"/>
  <c r="H31" i="9"/>
  <c r="I31" i="9" s="1"/>
  <c r="J31" i="9" s="1"/>
  <c r="E15" i="6" s="1"/>
  <c r="H28" i="9"/>
  <c r="H27" i="9"/>
  <c r="H26" i="9"/>
  <c r="H24" i="9"/>
  <c r="H22" i="9"/>
  <c r="H21" i="9"/>
  <c r="H20" i="9"/>
  <c r="H19" i="9"/>
  <c r="H18" i="9"/>
  <c r="H17" i="9"/>
  <c r="H16" i="9"/>
  <c r="H15" i="9"/>
  <c r="H14" i="9"/>
  <c r="H13" i="9"/>
  <c r="H12" i="9"/>
  <c r="H11" i="9"/>
  <c r="H9" i="9"/>
  <c r="H8" i="9"/>
  <c r="J358" i="10" l="1"/>
  <c r="E49" i="6" s="1"/>
  <c r="I13" i="13"/>
  <c r="H35" i="13" s="1"/>
  <c r="I35" i="13" s="1"/>
  <c r="I59" i="13"/>
  <c r="J64" i="13"/>
  <c r="I64" i="13"/>
  <c r="J50" i="13"/>
  <c r="J13" i="13"/>
  <c r="J108" i="13"/>
  <c r="I44" i="16"/>
  <c r="L44" i="16" s="1"/>
  <c r="I30" i="16"/>
  <c r="I86" i="16"/>
  <c r="I45" i="16"/>
  <c r="J8" i="16"/>
  <c r="J353" i="10"/>
  <c r="E48" i="6" s="1"/>
  <c r="J147" i="11"/>
  <c r="I78" i="11"/>
  <c r="J78" i="11"/>
  <c r="I44" i="11"/>
  <c r="I15" i="11"/>
  <c r="J94" i="11"/>
  <c r="I152" i="11"/>
  <c r="J44" i="11"/>
  <c r="J51" i="11"/>
  <c r="J30" i="11"/>
  <c r="E145" i="6" s="1"/>
  <c r="I86" i="11"/>
  <c r="J7" i="11"/>
  <c r="I45" i="11"/>
  <c r="J129" i="10"/>
  <c r="E44" i="6" s="1"/>
  <c r="J69" i="10"/>
  <c r="E43" i="6" s="1"/>
  <c r="I97" i="12"/>
  <c r="J135" i="12"/>
  <c r="J105" i="12"/>
  <c r="I7" i="12"/>
  <c r="H23" i="12" s="1"/>
  <c r="I23" i="12" s="1"/>
  <c r="J88" i="12"/>
  <c r="J13" i="12"/>
  <c r="I98" i="12"/>
  <c r="I35" i="12"/>
  <c r="I8" i="12"/>
  <c r="I69" i="10"/>
  <c r="J269" i="10"/>
  <c r="E46" i="6" s="1"/>
  <c r="I129" i="10"/>
  <c r="J195" i="10"/>
  <c r="E45" i="6" s="1"/>
  <c r="I195" i="10"/>
  <c r="J22" i="10"/>
  <c r="E42" i="6" s="1"/>
  <c r="J7" i="10"/>
  <c r="E41" i="6" s="1"/>
  <c r="E25" i="6"/>
  <c r="E24" i="6"/>
  <c r="J78" i="9"/>
  <c r="J8" i="9"/>
  <c r="E12" i="6" s="1"/>
  <c r="E16" i="6"/>
  <c r="J122" i="9"/>
  <c r="E37" i="6" s="1"/>
  <c r="J41" i="9"/>
  <c r="E17" i="6" s="1"/>
  <c r="I122" i="9"/>
  <c r="H46" i="9"/>
  <c r="I46" i="9" s="1"/>
  <c r="J46" i="9" s="1"/>
  <c r="E18" i="6" s="1"/>
  <c r="J11" i="9"/>
  <c r="E13" i="6" s="1"/>
  <c r="J26" i="9"/>
  <c r="E14" i="6" s="1"/>
  <c r="H129" i="12"/>
  <c r="J115" i="12" s="1"/>
  <c r="J23" i="12" s="1"/>
  <c r="J35" i="13"/>
  <c r="I8" i="9"/>
  <c r="I26" i="12"/>
  <c r="I30" i="11"/>
  <c r="J205" i="11"/>
  <c r="I55" i="12"/>
  <c r="I110" i="12"/>
  <c r="I13" i="14"/>
  <c r="I29" i="16"/>
  <c r="L29" i="16" s="1"/>
  <c r="I151" i="11"/>
  <c r="I27" i="12"/>
  <c r="J55" i="12"/>
  <c r="I140" i="12"/>
  <c r="I31" i="15"/>
  <c r="I15" i="16"/>
  <c r="L15" i="16" s="1"/>
  <c r="J29" i="16"/>
  <c r="J151" i="11"/>
  <c r="J81" i="12"/>
  <c r="I8" i="11"/>
  <c r="I147" i="11"/>
  <c r="J28" i="14"/>
  <c r="I62" i="12"/>
  <c r="I23" i="14"/>
  <c r="I158" i="11"/>
  <c r="I45" i="12"/>
  <c r="J35" i="14"/>
  <c r="J39" i="14" s="1"/>
  <c r="J23" i="14"/>
  <c r="J86" i="11"/>
  <c r="J34" i="12"/>
  <c r="I116" i="12"/>
  <c r="I24" i="12" s="1"/>
  <c r="I8" i="16"/>
  <c r="L8" i="16" s="1"/>
  <c r="I22" i="16"/>
  <c r="L22" i="16" s="1"/>
  <c r="I100" i="13"/>
  <c r="I44" i="12"/>
  <c r="J15" i="11"/>
  <c r="I65" i="12"/>
  <c r="D390" i="6" l="1"/>
  <c r="D389" i="6"/>
  <c r="D387" i="6"/>
  <c r="D386" i="6"/>
  <c r="D273" i="6"/>
  <c r="D271" i="6"/>
  <c r="D268" i="6"/>
  <c r="D267" i="6"/>
  <c r="D242" i="6"/>
  <c r="D193" i="6"/>
  <c r="D150" i="6"/>
  <c r="D18" i="6"/>
  <c r="D512" i="6" s="1"/>
  <c r="E389" i="6" l="1"/>
  <c r="F197" i="6"/>
  <c r="J197" i="6"/>
  <c r="K197" i="6"/>
  <c r="E193" i="6"/>
  <c r="L197" i="6" l="1"/>
  <c r="E390" i="6"/>
  <c r="E271" i="6" l="1"/>
  <c r="E273" i="6"/>
  <c r="E268" i="6"/>
  <c r="E267" i="6"/>
  <c r="E387" i="6"/>
  <c r="F159" i="6" l="1"/>
  <c r="K145" i="6"/>
  <c r="K159" i="6"/>
  <c r="E386" i="6" l="1"/>
  <c r="F213" i="6" l="1"/>
  <c r="M507" i="6" l="1"/>
  <c r="M422" i="6"/>
  <c r="M392" i="6"/>
  <c r="G510" i="6"/>
  <c r="F486" i="6"/>
  <c r="K486" i="6"/>
  <c r="J486" i="6"/>
  <c r="E242" i="6"/>
  <c r="K213" i="6"/>
  <c r="L486" i="6" l="1"/>
  <c r="F233" i="6" l="1"/>
  <c r="K514" i="6" l="1"/>
  <c r="K509" i="6"/>
  <c r="K508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5" i="6"/>
  <c r="K464" i="6"/>
  <c r="K463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03" i="6"/>
  <c r="K402" i="6"/>
  <c r="K401" i="6"/>
  <c r="K400" i="6"/>
  <c r="K399" i="6"/>
  <c r="K398" i="6"/>
  <c r="K397" i="6"/>
  <c r="K396" i="6"/>
  <c r="K395" i="6"/>
  <c r="K394" i="6"/>
  <c r="K393" i="6"/>
  <c r="K391" i="6"/>
  <c r="K390" i="6"/>
  <c r="K389" i="6"/>
  <c r="K388" i="6"/>
  <c r="K387" i="6"/>
  <c r="K386" i="6"/>
  <c r="K385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0" i="6"/>
  <c r="K249" i="6"/>
  <c r="K248" i="6"/>
  <c r="K247" i="6"/>
  <c r="K246" i="6"/>
  <c r="K245" i="6"/>
  <c r="K244" i="6"/>
  <c r="K243" i="6"/>
  <c r="K242" i="6"/>
  <c r="K241" i="6"/>
  <c r="K240" i="6"/>
  <c r="K238" i="6"/>
  <c r="K237" i="6"/>
  <c r="K236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2" i="6"/>
  <c r="K211" i="6"/>
  <c r="K210" i="6"/>
  <c r="K209" i="6"/>
  <c r="K208" i="6"/>
  <c r="K207" i="6"/>
  <c r="K206" i="6"/>
  <c r="K205" i="6"/>
  <c r="K204" i="6"/>
  <c r="K203" i="6"/>
  <c r="K202" i="6"/>
  <c r="K200" i="6"/>
  <c r="K199" i="6"/>
  <c r="K198" i="6"/>
  <c r="K196" i="6"/>
  <c r="K195" i="6"/>
  <c r="K194" i="6"/>
  <c r="K193" i="6"/>
  <c r="K192" i="6"/>
  <c r="K191" i="6"/>
  <c r="K190" i="6"/>
  <c r="K188" i="6"/>
  <c r="L188" i="6" s="1"/>
  <c r="K187" i="6"/>
  <c r="L187" i="6" s="1"/>
  <c r="K186" i="6"/>
  <c r="L186" i="6" s="1"/>
  <c r="K185" i="6"/>
  <c r="L185" i="6" s="1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8" i="6"/>
  <c r="K157" i="6"/>
  <c r="K156" i="6"/>
  <c r="K155" i="6"/>
  <c r="K154" i="6"/>
  <c r="K153" i="6"/>
  <c r="K152" i="6"/>
  <c r="K151" i="6"/>
  <c r="K149" i="6"/>
  <c r="K148" i="6"/>
  <c r="K147" i="6"/>
  <c r="K146" i="6"/>
  <c r="K144" i="6"/>
  <c r="K143" i="6"/>
  <c r="K142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7" i="6"/>
  <c r="K16" i="6"/>
  <c r="K15" i="6"/>
  <c r="K14" i="6"/>
  <c r="K13" i="6"/>
  <c r="K12" i="6"/>
  <c r="J514" i="6"/>
  <c r="J513" i="6" s="1"/>
  <c r="J512" i="6"/>
  <c r="J511" i="6" s="1"/>
  <c r="J509" i="6"/>
  <c r="J508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5" i="6"/>
  <c r="J464" i="6"/>
  <c r="J463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1" i="6"/>
  <c r="J400" i="6"/>
  <c r="J399" i="6"/>
  <c r="J398" i="6"/>
  <c r="J397" i="6"/>
  <c r="J396" i="6"/>
  <c r="J395" i="6"/>
  <c r="J394" i="6"/>
  <c r="J393" i="6"/>
  <c r="J391" i="6"/>
  <c r="J390" i="6"/>
  <c r="J389" i="6"/>
  <c r="J388" i="6"/>
  <c r="J387" i="6"/>
  <c r="J386" i="6"/>
  <c r="J385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1" i="6"/>
  <c r="J340" i="6"/>
  <c r="J339" i="6"/>
  <c r="L339" i="6" s="1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6" i="6"/>
  <c r="J195" i="6"/>
  <c r="J194" i="6"/>
  <c r="J193" i="6"/>
  <c r="J192" i="6"/>
  <c r="J191" i="6"/>
  <c r="J190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M159" i="6" s="1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M145" i="6" s="1"/>
  <c r="J144" i="6"/>
  <c r="J143" i="6"/>
  <c r="J142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7" i="6"/>
  <c r="J18" i="6"/>
  <c r="J16" i="6"/>
  <c r="J15" i="6"/>
  <c r="J14" i="6"/>
  <c r="J13" i="6"/>
  <c r="J12" i="6"/>
  <c r="M487" i="6"/>
  <c r="M466" i="6"/>
  <c r="M462" i="6"/>
  <c r="M342" i="6"/>
  <c r="M40" i="6"/>
  <c r="J507" i="6" l="1"/>
  <c r="G507" i="6" s="1"/>
  <c r="M219" i="6"/>
  <c r="M261" i="6"/>
  <c r="K507" i="6"/>
  <c r="M262" i="6"/>
  <c r="M225" i="6"/>
  <c r="L292" i="6"/>
  <c r="L340" i="6"/>
  <c r="L96" i="6"/>
  <c r="M191" i="6"/>
  <c r="L494" i="6"/>
  <c r="L324" i="6"/>
  <c r="J384" i="6"/>
  <c r="L157" i="6"/>
  <c r="M265" i="6"/>
  <c r="K384" i="6"/>
  <c r="J422" i="6"/>
  <c r="G422" i="6" s="1"/>
  <c r="J141" i="6"/>
  <c r="G141" i="6" s="1"/>
  <c r="M264" i="6"/>
  <c r="J189" i="6"/>
  <c r="G189" i="6" s="1"/>
  <c r="K422" i="6"/>
  <c r="L73" i="6"/>
  <c r="L194" i="6"/>
  <c r="M250" i="6"/>
  <c r="M234" i="6" s="1"/>
  <c r="M269" i="6"/>
  <c r="L485" i="6"/>
  <c r="L293" i="6"/>
  <c r="L443" i="6"/>
  <c r="L459" i="6"/>
  <c r="L495" i="6"/>
  <c r="M255" i="6"/>
  <c r="L87" i="6"/>
  <c r="L114" i="6"/>
  <c r="L278" i="6"/>
  <c r="L294" i="6"/>
  <c r="L326" i="6"/>
  <c r="L375" i="6"/>
  <c r="L428" i="6"/>
  <c r="L444" i="6"/>
  <c r="L478" i="6"/>
  <c r="M256" i="6"/>
  <c r="M272" i="6"/>
  <c r="L115" i="6"/>
  <c r="M257" i="6"/>
  <c r="M273" i="6"/>
  <c r="J234" i="6"/>
  <c r="G234" i="6" s="1"/>
  <c r="L97" i="6"/>
  <c r="M258" i="6"/>
  <c r="L374" i="6"/>
  <c r="M259" i="6"/>
  <c r="L427" i="6"/>
  <c r="M260" i="6"/>
  <c r="L460" i="6"/>
  <c r="L173" i="6"/>
  <c r="M216" i="6"/>
  <c r="L263" i="6"/>
  <c r="L279" i="6"/>
  <c r="L295" i="6"/>
  <c r="L311" i="6"/>
  <c r="L327" i="6"/>
  <c r="L344" i="6"/>
  <c r="L360" i="6"/>
  <c r="L376" i="6"/>
  <c r="L429" i="6"/>
  <c r="L445" i="6"/>
  <c r="L461" i="6"/>
  <c r="L479" i="6"/>
  <c r="L156" i="6"/>
  <c r="M202" i="6"/>
  <c r="L25" i="6"/>
  <c r="L42" i="6"/>
  <c r="L58" i="6"/>
  <c r="L74" i="6"/>
  <c r="L218" i="6"/>
  <c r="L506" i="6"/>
  <c r="L84" i="6"/>
  <c r="L100" i="6"/>
  <c r="L190" i="6"/>
  <c r="L207" i="6"/>
  <c r="L226" i="6"/>
  <c r="L280" i="6"/>
  <c r="L328" i="6"/>
  <c r="K462" i="6"/>
  <c r="L95" i="6"/>
  <c r="L111" i="6"/>
  <c r="L291" i="6"/>
  <c r="L509" i="6"/>
  <c r="L57" i="6"/>
  <c r="L68" i="6"/>
  <c r="L217" i="6"/>
  <c r="L351" i="6"/>
  <c r="L367" i="6"/>
  <c r="L383" i="6"/>
  <c r="L401" i="6"/>
  <c r="L112" i="6"/>
  <c r="L471" i="6"/>
  <c r="L505" i="6"/>
  <c r="L70" i="6"/>
  <c r="L164" i="6"/>
  <c r="L180" i="6"/>
  <c r="L117" i="6"/>
  <c r="L133" i="6"/>
  <c r="L118" i="6"/>
  <c r="L134" i="6"/>
  <c r="L86" i="6"/>
  <c r="L102" i="6"/>
  <c r="L148" i="6"/>
  <c r="M17" i="6"/>
  <c r="L33" i="6"/>
  <c r="L50" i="6"/>
  <c r="L66" i="6"/>
  <c r="L232" i="6"/>
  <c r="K487" i="6"/>
  <c r="L19" i="6"/>
  <c r="L35" i="6"/>
  <c r="L52" i="6"/>
  <c r="L165" i="6"/>
  <c r="L336" i="6"/>
  <c r="L20" i="6"/>
  <c r="L36" i="6"/>
  <c r="L53" i="6"/>
  <c r="L69" i="6"/>
  <c r="J462" i="6"/>
  <c r="G462" i="6" s="1"/>
  <c r="L37" i="6"/>
  <c r="L179" i="6"/>
  <c r="L493" i="6"/>
  <c r="L54" i="6"/>
  <c r="L163" i="6"/>
  <c r="L153" i="6"/>
  <c r="L426" i="6"/>
  <c r="L62" i="6"/>
  <c r="L149" i="6"/>
  <c r="L181" i="6"/>
  <c r="L24" i="6"/>
  <c r="L41" i="6"/>
  <c r="L463" i="6"/>
  <c r="L29" i="6"/>
  <c r="L46" i="6"/>
  <c r="L21" i="6"/>
  <c r="L22" i="6"/>
  <c r="L38" i="6"/>
  <c r="L55" i="6"/>
  <c r="L71" i="6"/>
  <c r="L195" i="6"/>
  <c r="L211" i="6"/>
  <c r="L230" i="6"/>
  <c r="L249" i="6"/>
  <c r="L467" i="6"/>
  <c r="L483" i="6"/>
  <c r="L23" i="6"/>
  <c r="L39" i="6"/>
  <c r="L56" i="6"/>
  <c r="L72" i="6"/>
  <c r="L88" i="6"/>
  <c r="L196" i="6"/>
  <c r="L212" i="6"/>
  <c r="L231" i="6"/>
  <c r="L349" i="6"/>
  <c r="L365" i="6"/>
  <c r="L381" i="6"/>
  <c r="L484" i="6"/>
  <c r="L34" i="6"/>
  <c r="L51" i="6"/>
  <c r="L67" i="6"/>
  <c r="L89" i="6"/>
  <c r="L350" i="6"/>
  <c r="L366" i="6"/>
  <c r="L382" i="6"/>
  <c r="M147" i="6"/>
  <c r="L353" i="6"/>
  <c r="L369" i="6"/>
  <c r="L386" i="6"/>
  <c r="L438" i="6"/>
  <c r="L454" i="6"/>
  <c r="L472" i="6"/>
  <c r="L504" i="6"/>
  <c r="L288" i="6"/>
  <c r="L304" i="6"/>
  <c r="L320" i="6"/>
  <c r="L26" i="6"/>
  <c r="L43" i="6"/>
  <c r="L59" i="6"/>
  <c r="L75" i="6"/>
  <c r="L238" i="6"/>
  <c r="L423" i="6"/>
  <c r="L439" i="6"/>
  <c r="L455" i="6"/>
  <c r="L473" i="6"/>
  <c r="L491" i="6"/>
  <c r="L508" i="6"/>
  <c r="L13" i="6"/>
  <c r="L129" i="6"/>
  <c r="L169" i="6"/>
  <c r="L203" i="6"/>
  <c r="L222" i="6"/>
  <c r="L276" i="6"/>
  <c r="L308" i="6"/>
  <c r="L390" i="6"/>
  <c r="L442" i="6"/>
  <c r="L458" i="6"/>
  <c r="L476" i="6"/>
  <c r="L514" i="6"/>
  <c r="L27" i="6"/>
  <c r="L220" i="6"/>
  <c r="L290" i="6"/>
  <c r="L322" i="6"/>
  <c r="L355" i="6"/>
  <c r="L388" i="6"/>
  <c r="L28" i="6"/>
  <c r="L152" i="6"/>
  <c r="L241" i="6"/>
  <c r="L307" i="6"/>
  <c r="L356" i="6"/>
  <c r="L389" i="6"/>
  <c r="L425" i="6"/>
  <c r="L441" i="6"/>
  <c r="L296" i="6"/>
  <c r="L312" i="6"/>
  <c r="L480" i="6"/>
  <c r="L14" i="6"/>
  <c r="L30" i="6"/>
  <c r="L47" i="6"/>
  <c r="L63" i="6"/>
  <c r="L81" i="6"/>
  <c r="L130" i="6"/>
  <c r="L154" i="6"/>
  <c r="L170" i="6"/>
  <c r="L204" i="6"/>
  <c r="L223" i="6"/>
  <c r="L243" i="6"/>
  <c r="L277" i="6"/>
  <c r="L309" i="6"/>
  <c r="L325" i="6"/>
  <c r="L341" i="6"/>
  <c r="L358" i="6"/>
  <c r="L391" i="6"/>
  <c r="L44" i="6"/>
  <c r="L240" i="6"/>
  <c r="L306" i="6"/>
  <c r="L371" i="6"/>
  <c r="L45" i="6"/>
  <c r="L184" i="6"/>
  <c r="L275" i="6"/>
  <c r="L323" i="6"/>
  <c r="L372" i="6"/>
  <c r="L457" i="6"/>
  <c r="L193" i="6"/>
  <c r="L209" i="6"/>
  <c r="L228" i="6"/>
  <c r="L247" i="6"/>
  <c r="L481" i="6"/>
  <c r="L15" i="6"/>
  <c r="L31" i="6"/>
  <c r="L48" i="6"/>
  <c r="L64" i="6"/>
  <c r="L82" i="6"/>
  <c r="L131" i="6"/>
  <c r="L155" i="6"/>
  <c r="L171" i="6"/>
  <c r="L244" i="6"/>
  <c r="L310" i="6"/>
  <c r="L343" i="6"/>
  <c r="L359" i="6"/>
  <c r="L393" i="6"/>
  <c r="L60" i="6"/>
  <c r="L274" i="6"/>
  <c r="L338" i="6"/>
  <c r="L61" i="6"/>
  <c r="L168" i="6"/>
  <c r="L475" i="6"/>
  <c r="L210" i="6"/>
  <c r="L229" i="6"/>
  <c r="L248" i="6"/>
  <c r="L465" i="6"/>
  <c r="L482" i="6"/>
  <c r="L16" i="6"/>
  <c r="L32" i="6"/>
  <c r="L49" i="6"/>
  <c r="L65" i="6"/>
  <c r="L83" i="6"/>
  <c r="L99" i="6"/>
  <c r="L116" i="6"/>
  <c r="L132" i="6"/>
  <c r="L172" i="6"/>
  <c r="L206" i="6"/>
  <c r="L436" i="6"/>
  <c r="L452" i="6"/>
  <c r="L470" i="6"/>
  <c r="L488" i="6"/>
  <c r="L98" i="6"/>
  <c r="L221" i="6"/>
  <c r="L289" i="6"/>
  <c r="L305" i="6"/>
  <c r="L321" i="6"/>
  <c r="L337" i="6"/>
  <c r="L354" i="6"/>
  <c r="L370" i="6"/>
  <c r="L387" i="6"/>
  <c r="L437" i="6"/>
  <c r="L453" i="6"/>
  <c r="L489" i="6"/>
  <c r="L490" i="6"/>
  <c r="L464" i="6"/>
  <c r="L85" i="6"/>
  <c r="L101" i="6"/>
  <c r="L205" i="6"/>
  <c r="L224" i="6"/>
  <c r="L242" i="6"/>
  <c r="L357" i="6"/>
  <c r="L373" i="6"/>
  <c r="L424" i="6"/>
  <c r="L440" i="6"/>
  <c r="L456" i="6"/>
  <c r="L474" i="6"/>
  <c r="L492" i="6"/>
  <c r="L103" i="6"/>
  <c r="L119" i="6"/>
  <c r="L142" i="6"/>
  <c r="L158" i="6"/>
  <c r="L174" i="6"/>
  <c r="L104" i="6"/>
  <c r="L120" i="6"/>
  <c r="L143" i="6"/>
  <c r="L175" i="6"/>
  <c r="L192" i="6"/>
  <c r="L208" i="6"/>
  <c r="L227" i="6"/>
  <c r="L245" i="6"/>
  <c r="L394" i="6"/>
  <c r="L477" i="6"/>
  <c r="K513" i="6"/>
  <c r="J487" i="6"/>
  <c r="G487" i="6" s="1"/>
  <c r="L105" i="6"/>
  <c r="L121" i="6"/>
  <c r="L144" i="6"/>
  <c r="L160" i="6"/>
  <c r="L176" i="6"/>
  <c r="L246" i="6"/>
  <c r="L345" i="6"/>
  <c r="L361" i="6"/>
  <c r="L377" i="6"/>
  <c r="L395" i="6"/>
  <c r="L496" i="6"/>
  <c r="L90" i="6"/>
  <c r="L106" i="6"/>
  <c r="L122" i="6"/>
  <c r="L161" i="6"/>
  <c r="L177" i="6"/>
  <c r="L281" i="6"/>
  <c r="L297" i="6"/>
  <c r="L313" i="6"/>
  <c r="L329" i="6"/>
  <c r="L346" i="6"/>
  <c r="L362" i="6"/>
  <c r="L378" i="6"/>
  <c r="L396" i="6"/>
  <c r="L497" i="6"/>
  <c r="L91" i="6"/>
  <c r="L107" i="6"/>
  <c r="L123" i="6"/>
  <c r="L146" i="6"/>
  <c r="L162" i="6"/>
  <c r="L178" i="6"/>
  <c r="L266" i="6"/>
  <c r="L282" i="6"/>
  <c r="L298" i="6"/>
  <c r="L314" i="6"/>
  <c r="L330" i="6"/>
  <c r="L347" i="6"/>
  <c r="L363" i="6"/>
  <c r="L379" i="6"/>
  <c r="L397" i="6"/>
  <c r="L430" i="6"/>
  <c r="L446" i="6"/>
  <c r="L498" i="6"/>
  <c r="L76" i="6"/>
  <c r="L92" i="6"/>
  <c r="L108" i="6"/>
  <c r="L124" i="6"/>
  <c r="L267" i="6"/>
  <c r="L283" i="6"/>
  <c r="L299" i="6"/>
  <c r="L315" i="6"/>
  <c r="L331" i="6"/>
  <c r="L348" i="6"/>
  <c r="L364" i="6"/>
  <c r="L380" i="6"/>
  <c r="L398" i="6"/>
  <c r="L431" i="6"/>
  <c r="L447" i="6"/>
  <c r="L499" i="6"/>
  <c r="L77" i="6"/>
  <c r="L93" i="6"/>
  <c r="L109" i="6"/>
  <c r="L125" i="6"/>
  <c r="L268" i="6"/>
  <c r="L284" i="6"/>
  <c r="L300" i="6"/>
  <c r="L316" i="6"/>
  <c r="L332" i="6"/>
  <c r="L399" i="6"/>
  <c r="L432" i="6"/>
  <c r="L448" i="6"/>
  <c r="L500" i="6"/>
  <c r="L78" i="6"/>
  <c r="L94" i="6"/>
  <c r="L110" i="6"/>
  <c r="L126" i="6"/>
  <c r="L198" i="6"/>
  <c r="L253" i="6"/>
  <c r="L285" i="6"/>
  <c r="L301" i="6"/>
  <c r="L317" i="6"/>
  <c r="L333" i="6"/>
  <c r="L400" i="6"/>
  <c r="L433" i="6"/>
  <c r="L449" i="6"/>
  <c r="L501" i="6"/>
  <c r="L12" i="6"/>
  <c r="L79" i="6"/>
  <c r="L127" i="6"/>
  <c r="L166" i="6"/>
  <c r="L182" i="6"/>
  <c r="L199" i="6"/>
  <c r="L236" i="6"/>
  <c r="L254" i="6"/>
  <c r="L270" i="6"/>
  <c r="L286" i="6"/>
  <c r="L302" i="6"/>
  <c r="L318" i="6"/>
  <c r="L334" i="6"/>
  <c r="L434" i="6"/>
  <c r="L450" i="6"/>
  <c r="L468" i="6"/>
  <c r="L502" i="6"/>
  <c r="L80" i="6"/>
  <c r="L128" i="6"/>
  <c r="L151" i="6"/>
  <c r="L167" i="6"/>
  <c r="L183" i="6"/>
  <c r="L200" i="6"/>
  <c r="L237" i="6"/>
  <c r="L271" i="6"/>
  <c r="L287" i="6"/>
  <c r="L303" i="6"/>
  <c r="L319" i="6"/>
  <c r="L335" i="6"/>
  <c r="K342" i="6"/>
  <c r="L368" i="6"/>
  <c r="L385" i="6"/>
  <c r="L435" i="6"/>
  <c r="L451" i="6"/>
  <c r="L469" i="6"/>
  <c r="L503" i="6"/>
  <c r="L352" i="6"/>
  <c r="J342" i="6"/>
  <c r="G342" i="6" s="1"/>
  <c r="J11" i="6"/>
  <c r="G11" i="6" s="1"/>
  <c r="J40" i="6"/>
  <c r="G40" i="6" s="1"/>
  <c r="E420" i="6"/>
  <c r="E419" i="6"/>
  <c r="E418" i="6"/>
  <c r="E417" i="6"/>
  <c r="E416" i="6"/>
  <c r="E415" i="6"/>
  <c r="E414" i="6"/>
  <c r="K414" i="6" s="1"/>
  <c r="L414" i="6" s="1"/>
  <c r="E413" i="6"/>
  <c r="K413" i="6" s="1"/>
  <c r="L413" i="6" s="1"/>
  <c r="E412" i="6"/>
  <c r="E411" i="6"/>
  <c r="E410" i="6"/>
  <c r="E409" i="6"/>
  <c r="E408" i="6"/>
  <c r="E407" i="6"/>
  <c r="E406" i="6"/>
  <c r="E405" i="6"/>
  <c r="E404" i="6"/>
  <c r="J403" i="6"/>
  <c r="L403" i="6" s="1"/>
  <c r="F403" i="6"/>
  <c r="M215" i="6" l="1"/>
  <c r="L507" i="6"/>
  <c r="L422" i="6"/>
  <c r="M141" i="6"/>
  <c r="G384" i="6"/>
  <c r="M252" i="6"/>
  <c r="L462" i="6"/>
  <c r="L487" i="6"/>
  <c r="L215" i="6"/>
  <c r="L342" i="6"/>
  <c r="F411" i="6"/>
  <c r="K411" i="6"/>
  <c r="L411" i="6" s="1"/>
  <c r="F410" i="6"/>
  <c r="K410" i="6"/>
  <c r="L410" i="6" s="1"/>
  <c r="F409" i="6"/>
  <c r="K409" i="6"/>
  <c r="L409" i="6" s="1"/>
  <c r="F404" i="6"/>
  <c r="K404" i="6"/>
  <c r="L404" i="6" s="1"/>
  <c r="F415" i="6"/>
  <c r="K415" i="6"/>
  <c r="L415" i="6" s="1"/>
  <c r="F412" i="6"/>
  <c r="K412" i="6"/>
  <c r="L412" i="6" s="1"/>
  <c r="F417" i="6"/>
  <c r="K417" i="6"/>
  <c r="L417" i="6" s="1"/>
  <c r="F418" i="6"/>
  <c r="K418" i="6"/>
  <c r="L418" i="6" s="1"/>
  <c r="F413" i="6"/>
  <c r="F414" i="6"/>
  <c r="F416" i="6"/>
  <c r="K416" i="6"/>
  <c r="L416" i="6" s="1"/>
  <c r="F419" i="6"/>
  <c r="K419" i="6"/>
  <c r="L419" i="6" s="1"/>
  <c r="F420" i="6"/>
  <c r="K420" i="6"/>
  <c r="F405" i="6"/>
  <c r="K405" i="6"/>
  <c r="L405" i="6" s="1"/>
  <c r="F406" i="6"/>
  <c r="K406" i="6"/>
  <c r="L406" i="6" s="1"/>
  <c r="F407" i="6"/>
  <c r="K407" i="6"/>
  <c r="L407" i="6" s="1"/>
  <c r="F408" i="6"/>
  <c r="K408" i="6"/>
  <c r="L408" i="6" s="1"/>
  <c r="L420" i="6" l="1"/>
  <c r="K392" i="6"/>
  <c r="F509" i="6" l="1"/>
  <c r="F508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5" i="6"/>
  <c r="F464" i="6"/>
  <c r="F463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02" i="6"/>
  <c r="F401" i="6"/>
  <c r="F400" i="6"/>
  <c r="F399" i="6"/>
  <c r="F398" i="6"/>
  <c r="F397" i="6"/>
  <c r="F396" i="6"/>
  <c r="F395" i="6"/>
  <c r="F394" i="6"/>
  <c r="F393" i="6"/>
  <c r="F391" i="6"/>
  <c r="F390" i="6"/>
  <c r="F389" i="6"/>
  <c r="F387" i="6"/>
  <c r="F386" i="6"/>
  <c r="F385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0" i="6"/>
  <c r="F249" i="6"/>
  <c r="F248" i="6"/>
  <c r="F247" i="6"/>
  <c r="F246" i="6"/>
  <c r="F245" i="6"/>
  <c r="F244" i="6"/>
  <c r="F243" i="6"/>
  <c r="F242" i="6"/>
  <c r="F241" i="6"/>
  <c r="F240" i="6"/>
  <c r="F238" i="6"/>
  <c r="F237" i="6"/>
  <c r="F236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2" i="6"/>
  <c r="F211" i="6"/>
  <c r="F210" i="6"/>
  <c r="F209" i="6"/>
  <c r="F208" i="6"/>
  <c r="F207" i="6"/>
  <c r="F206" i="6"/>
  <c r="F205" i="6"/>
  <c r="F204" i="6"/>
  <c r="F203" i="6"/>
  <c r="F202" i="6"/>
  <c r="F200" i="6"/>
  <c r="F199" i="6"/>
  <c r="F198" i="6"/>
  <c r="F196" i="6"/>
  <c r="F195" i="6"/>
  <c r="F194" i="6"/>
  <c r="F193" i="6"/>
  <c r="F192" i="6"/>
  <c r="F191" i="6"/>
  <c r="F190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8" i="6"/>
  <c r="F157" i="6"/>
  <c r="F156" i="6"/>
  <c r="F155" i="6"/>
  <c r="F154" i="6"/>
  <c r="F153" i="6"/>
  <c r="F152" i="6"/>
  <c r="F151" i="6"/>
  <c r="F149" i="6"/>
  <c r="F148" i="6"/>
  <c r="F147" i="6"/>
  <c r="F146" i="6"/>
  <c r="F145" i="6"/>
  <c r="F144" i="6"/>
  <c r="F143" i="6"/>
  <c r="F142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7" i="6"/>
  <c r="F16" i="6"/>
  <c r="F15" i="6"/>
  <c r="F14" i="6"/>
  <c r="F13" i="6"/>
  <c r="F12" i="6"/>
  <c r="K18" i="6" l="1"/>
  <c r="E512" i="6"/>
  <c r="F18" i="6"/>
  <c r="F512" i="6" l="1"/>
  <c r="K512" i="6"/>
  <c r="L18" i="6"/>
  <c r="K11" i="6"/>
  <c r="K511" i="6"/>
  <c r="L512" i="6"/>
  <c r="F201" i="6"/>
  <c r="K201" i="6"/>
  <c r="F235" i="6"/>
  <c r="K235" i="6"/>
  <c r="F113" i="6"/>
  <c r="K113" i="6"/>
  <c r="F239" i="6"/>
  <c r="K239" i="6"/>
  <c r="L239" i="6" s="1"/>
  <c r="F150" i="6"/>
  <c r="K150" i="6"/>
  <c r="K141" i="6" s="1"/>
  <c r="L150" i="6" l="1"/>
  <c r="L141" i="6" s="1"/>
  <c r="L201" i="6"/>
  <c r="L189" i="6" s="1"/>
  <c r="K189" i="6"/>
  <c r="L235" i="6"/>
  <c r="L234" i="6" s="1"/>
  <c r="K234" i="6"/>
  <c r="L113" i="6"/>
  <c r="L40" i="6" s="1"/>
  <c r="K40" i="6"/>
  <c r="F121" i="7"/>
  <c r="F120" i="7"/>
  <c r="F119" i="7"/>
  <c r="F118" i="7"/>
  <c r="I110" i="7"/>
  <c r="I107" i="7"/>
  <c r="J402" i="6"/>
  <c r="F111" i="7"/>
  <c r="F110" i="7"/>
  <c r="F109" i="7"/>
  <c r="F108" i="7"/>
  <c r="F107" i="7"/>
  <c r="D106" i="7"/>
  <c r="F106" i="7" s="1"/>
  <c r="L402" i="6" l="1"/>
  <c r="L392" i="6" s="1"/>
  <c r="J392" i="6"/>
  <c r="E122" i="7"/>
  <c r="F122" i="7" s="1"/>
  <c r="F123" i="7" s="1"/>
  <c r="F124" i="7" s="1"/>
  <c r="E117" i="7" s="1"/>
  <c r="I112" i="7"/>
  <c r="E112" i="7" s="1"/>
  <c r="F112" i="7" s="1"/>
  <c r="F113" i="7" s="1"/>
  <c r="F114" i="7" s="1"/>
  <c r="E105" i="7" s="1"/>
  <c r="M11" i="6" l="1"/>
  <c r="F98" i="7" l="1"/>
  <c r="F97" i="7"/>
  <c r="F96" i="7"/>
  <c r="F89" i="7"/>
  <c r="F88" i="7"/>
  <c r="F87" i="7"/>
  <c r="F80" i="7"/>
  <c r="F79" i="7"/>
  <c r="F78" i="7"/>
  <c r="F77" i="7"/>
  <c r="F69" i="7"/>
  <c r="F68" i="7"/>
  <c r="F67" i="7"/>
  <c r="F66" i="7"/>
  <c r="F65" i="7"/>
  <c r="F64" i="7"/>
  <c r="F57" i="7"/>
  <c r="F56" i="7"/>
  <c r="F55" i="7"/>
  <c r="F54" i="7"/>
  <c r="F53" i="7"/>
  <c r="F52" i="7"/>
  <c r="F51" i="7"/>
  <c r="F50" i="7"/>
  <c r="F49" i="7"/>
  <c r="F48" i="7"/>
  <c r="F47" i="7"/>
  <c r="F46" i="7"/>
  <c r="F38" i="7"/>
  <c r="F37" i="7"/>
  <c r="F36" i="7"/>
  <c r="F35" i="7"/>
  <c r="F34" i="7"/>
  <c r="F33" i="7"/>
  <c r="F32" i="7"/>
  <c r="F25" i="7"/>
  <c r="F24" i="7"/>
  <c r="F23" i="7"/>
  <c r="F16" i="7"/>
  <c r="F15" i="7"/>
  <c r="F8" i="7"/>
  <c r="F7" i="7"/>
  <c r="F6" i="7"/>
  <c r="K466" i="6"/>
  <c r="J466" i="6"/>
  <c r="G466" i="6" s="1"/>
  <c r="M384" i="6"/>
  <c r="K215" i="6"/>
  <c r="J252" i="6"/>
  <c r="G252" i="6" s="1"/>
  <c r="M192" i="6"/>
  <c r="M189" i="6" s="1"/>
  <c r="M10" i="6" l="1"/>
  <c r="K252" i="6"/>
  <c r="K10" i="6" s="1"/>
  <c r="J215" i="6"/>
  <c r="E9" i="7"/>
  <c r="L11" i="6"/>
  <c r="E70" i="7"/>
  <c r="F70" i="7" s="1"/>
  <c r="F71" i="7" s="1"/>
  <c r="F72" i="7" s="1"/>
  <c r="E63" i="7" s="1"/>
  <c r="E58" i="7"/>
  <c r="F58" i="7" s="1"/>
  <c r="F59" i="7" s="1"/>
  <c r="F60" i="7" s="1"/>
  <c r="E45" i="7" s="1"/>
  <c r="L466" i="6"/>
  <c r="E39" i="7"/>
  <c r="F39" i="7" s="1"/>
  <c r="F40" i="7" s="1"/>
  <c r="F41" i="7" s="1"/>
  <c r="E31" i="7" s="1"/>
  <c r="E17" i="7"/>
  <c r="F17" i="7" s="1"/>
  <c r="F18" i="7" s="1"/>
  <c r="F19" i="7" s="1"/>
  <c r="E14" i="7" s="1"/>
  <c r="E99" i="7"/>
  <c r="F99" i="7" s="1"/>
  <c r="F100" i="7" s="1"/>
  <c r="F101" i="7" s="1"/>
  <c r="E95" i="7" s="1"/>
  <c r="E26" i="7"/>
  <c r="F26" i="7" s="1"/>
  <c r="F27" i="7" s="1"/>
  <c r="F28" i="7" s="1"/>
  <c r="E22" i="7" s="1"/>
  <c r="F9" i="7"/>
  <c r="F10" i="7" s="1"/>
  <c r="F11" i="7" s="1"/>
  <c r="E5" i="7" s="1"/>
  <c r="E90" i="7"/>
  <c r="F90" i="7" s="1"/>
  <c r="F91" i="7" s="1"/>
  <c r="F92" i="7" s="1"/>
  <c r="E86" i="7" s="1"/>
  <c r="E81" i="7"/>
  <c r="F81" i="7" s="1"/>
  <c r="F82" i="7" s="1"/>
  <c r="F83" i="7" s="1"/>
  <c r="E76" i="7" s="1"/>
  <c r="K510" i="6" l="1"/>
  <c r="L510" i="6" s="1"/>
  <c r="M5" i="6"/>
  <c r="G215" i="6"/>
  <c r="J10" i="6"/>
  <c r="L252" i="6"/>
  <c r="L384" i="6"/>
  <c r="L10" i="6" l="1"/>
  <c r="K9" i="6"/>
  <c r="L9" i="6" s="1"/>
  <c r="M6" i="6" l="1"/>
  <c r="P6" i="6" s="1"/>
</calcChain>
</file>

<file path=xl/sharedStrings.xml><?xml version="1.0" encoding="utf-8"?>
<sst xmlns="http://schemas.openxmlformats.org/spreadsheetml/2006/main" count="5730" uniqueCount="2387">
  <si>
    <t>臺北市政府工務局水利工程處</t>
  </si>
  <si>
    <t/>
  </si>
  <si>
    <t>工程名稱：磺港溪再造C段護岸及步道整建工程(延壽橋至三合橋)</t>
  </si>
  <si>
    <t>日期：</t>
  </si>
  <si>
    <t>原契約分為  10  部分     本次變更  0  部分原有    424    項</t>
  </si>
  <si>
    <t xml:space="preserve"> 訂約總價  </t>
  </si>
  <si>
    <t>前經  1  次變更設計，計新增  10  項，減少  0  項，變更  10  項，變更後合計  434  項</t>
  </si>
  <si>
    <t>本次變更設計，計新增  0  項，減少  0  項，變更  0  項，變更後合計  434  項</t>
  </si>
  <si>
    <t xml:space="preserve"> 本次變更後總價</t>
  </si>
  <si>
    <t>項次</t>
  </si>
  <si>
    <t>項目名稱</t>
  </si>
  <si>
    <t>單位</t>
  </si>
  <si>
    <t>變更後
數 量</t>
  </si>
  <si>
    <t>增 減
數 量</t>
  </si>
  <si>
    <t>契 約
單 價</t>
  </si>
  <si>
    <t>新 增
單 價</t>
  </si>
  <si>
    <t>原 訂
合 價</t>
  </si>
  <si>
    <t>變更後
合價</t>
  </si>
  <si>
    <t>追加</t>
  </si>
  <si>
    <t>追減</t>
  </si>
  <si>
    <t>備註</t>
  </si>
  <si>
    <t>壹</t>
  </si>
  <si>
    <t>發包工程費</t>
  </si>
  <si>
    <t>式</t>
  </si>
  <si>
    <t xml:space="preserve">
</t>
  </si>
  <si>
    <t>一</t>
  </si>
  <si>
    <t>工程費</t>
  </si>
  <si>
    <t>(一)</t>
  </si>
  <si>
    <t>整備工程</t>
  </si>
  <si>
    <t>1</t>
  </si>
  <si>
    <t>機械拆除，瀝青混凝土，未含運費</t>
  </si>
  <si>
    <t>M3</t>
  </si>
  <si>
    <t>2</t>
  </si>
  <si>
    <t>機械拆除，鋼筋混凝土，未含運費</t>
  </si>
  <si>
    <t>3</t>
  </si>
  <si>
    <t>盤踞切割</t>
  </si>
  <si>
    <t>M</t>
  </si>
  <si>
    <t>#磺港路橋2993.02m、共月橋505.61m、三合橋1117.33</t>
  </si>
  <si>
    <t>4</t>
  </si>
  <si>
    <t>基地及路幅開挖，未含運費，(機械挖，0.7～0.79m3開挖機)</t>
  </si>
  <si>
    <t>B.M3</t>
  </si>
  <si>
    <t>5</t>
  </si>
  <si>
    <t>瀝青混凝土面層刨除，刨除料運費</t>
  </si>
  <si>
    <t>6</t>
  </si>
  <si>
    <t>利用填方，含夯實</t>
  </si>
  <si>
    <t>7</t>
  </si>
  <si>
    <t>餘方遠運處理(台北港)</t>
  </si>
  <si>
    <t>僅含運費(運距約&lt;20K)(土方管理費檢據核銷)</t>
  </si>
  <si>
    <t>8</t>
  </si>
  <si>
    <t>餘方自行處理(房屋廢方，含水土保持)</t>
  </si>
  <si>
    <t>9</t>
  </si>
  <si>
    <t>瀝青混凝土面層刨除，厚5cm，刨除機1.2m寬，含瀝青鋪面打毛(未含運費)</t>
  </si>
  <si>
    <t>M2</t>
  </si>
  <si>
    <t>#含瀝青鋪面打毛</t>
  </si>
  <si>
    <t>10</t>
  </si>
  <si>
    <t>瀝青混凝土面層刨除，厚10cm，刨除機2.2m寬，未含運費</t>
  </si>
  <si>
    <t>11</t>
  </si>
  <si>
    <t>切割瀝青混凝土或無筋混凝土，5cm≦切割深度＜10cm</t>
  </si>
  <si>
    <t>12</t>
  </si>
  <si>
    <t>清除及掘除，雜草雜木，含垃圾撿除，人工割</t>
  </si>
  <si>
    <t>13</t>
  </si>
  <si>
    <t>垃圾及廢棄物(以體積計)清運</t>
  </si>
  <si>
    <t>#</t>
  </si>
  <si>
    <t>14</t>
  </si>
  <si>
    <t>節塊吊放</t>
  </si>
  <si>
    <t>次</t>
  </si>
  <si>
    <t>#磺港路橋、共月橋、三合橋</t>
  </si>
  <si>
    <t>15</t>
  </si>
  <si>
    <t>機械拆除，工地雜項拆除清理，欄杆，含運費</t>
  </si>
  <si>
    <t>16</t>
  </si>
  <si>
    <t>既有路燈拆除繳回</t>
  </si>
  <si>
    <t>盞</t>
  </si>
  <si>
    <t>#料繳回，含運費。</t>
  </si>
  <si>
    <t>17</t>
  </si>
  <si>
    <t>土方運送(百齡抽水站)</t>
  </si>
  <si>
    <t>趟</t>
  </si>
  <si>
    <t>18</t>
  </si>
  <si>
    <t>座椅拆除繳回</t>
  </si>
  <si>
    <t>座</t>
  </si>
  <si>
    <t>19</t>
  </si>
  <si>
    <t>解說牌拆除</t>
  </si>
  <si>
    <t>20</t>
  </si>
  <si>
    <t>自行車架拆除</t>
  </si>
  <si>
    <t>21</t>
  </si>
  <si>
    <t>交通牌誌拆除</t>
  </si>
  <si>
    <t>22</t>
  </si>
  <si>
    <t>既有水利設施拆除及運送</t>
  </si>
  <si>
    <t>抽水設施、水閘門</t>
  </si>
  <si>
    <t>23</t>
  </si>
  <si>
    <t>交通維持，道路管制人員，日間(06-22時)，義交</t>
  </si>
  <si>
    <t>時</t>
  </si>
  <si>
    <t>[人力工項不打折]日間7時-18時</t>
  </si>
  <si>
    <t>24</t>
  </si>
  <si>
    <t>表土清除，堆置，及回填費，t=30cm</t>
  </si>
  <si>
    <t>百齡暫置場整地需求</t>
  </si>
  <si>
    <t>(二)</t>
  </si>
  <si>
    <t>土建景觀工程</t>
  </si>
  <si>
    <t>構造物回填，回填及夯實(實際)</t>
  </si>
  <si>
    <t>C.M3</t>
  </si>
  <si>
    <t>構造物回填，回填及夯實，人工夯實</t>
  </si>
  <si>
    <t>鋼筋，SD280W</t>
  </si>
  <si>
    <t>KG</t>
  </si>
  <si>
    <t>本項納入(鋼筋)物價指數調整</t>
  </si>
  <si>
    <t>結構用混凝土，預拌，140kgf/cm2</t>
  </si>
  <si>
    <t>結構用混凝土，預拌，210kgf/cm2</t>
  </si>
  <si>
    <t>普通模板，丙種</t>
  </si>
  <si>
    <t>U型構，集水井，排水箱涵等。本項納入(普通模板)物價指數調整</t>
  </si>
  <si>
    <t>清水模板，鋼模</t>
  </si>
  <si>
    <t>本項納入「金屬製品類」物價指數調整</t>
  </si>
  <si>
    <t>鍍鋅鋼料</t>
  </si>
  <si>
    <t>#本項納入「金屬製品類」物價指數調整</t>
  </si>
  <si>
    <t>金屬材料，鋼料，裁切加工銲製(工廠加工)</t>
  </si>
  <si>
    <t>結構用鋼材，銲接結構用軋鋼料，SM400B鋼構工程及製作、組立工程(含加勁板、續接板、螺絲、螺栓、螺帽等)</t>
  </si>
  <si>
    <t>透水磚紙模地坪</t>
  </si>
  <si>
    <t>梯形磚鋪面，149.5x(30,20)x8cmTH</t>
  </si>
  <si>
    <t>石材鋪面</t>
  </si>
  <si>
    <t>露骨材地坪</t>
  </si>
  <si>
    <t>PC地坪</t>
  </si>
  <si>
    <t>瀝青混凝土鋪面</t>
  </si>
  <si>
    <t>格柵鋪面A</t>
  </si>
  <si>
    <t>木棧道A</t>
  </si>
  <si>
    <t>木棧道B</t>
  </si>
  <si>
    <t>混凝土板地坪</t>
  </si>
  <si>
    <t>個</t>
  </si>
  <si>
    <t>細石子鋪面</t>
  </si>
  <si>
    <t>鋼板收邊A型</t>
  </si>
  <si>
    <t>鋼板收邊B型</t>
  </si>
  <si>
    <t>界石收邊</t>
  </si>
  <si>
    <t>25</t>
  </si>
  <si>
    <t>緣石收邊</t>
  </si>
  <si>
    <t>26</t>
  </si>
  <si>
    <t>道路緣石收邊</t>
  </si>
  <si>
    <t>27</t>
  </si>
  <si>
    <t>道路緣石斜坡式</t>
  </si>
  <si>
    <t>28</t>
  </si>
  <si>
    <t>場鑄道路緣石</t>
  </si>
  <si>
    <t>29</t>
  </si>
  <si>
    <t>伸縮縫</t>
  </si>
  <si>
    <t>30</t>
  </si>
  <si>
    <t>警示帶定位磚</t>
  </si>
  <si>
    <t>31</t>
  </si>
  <si>
    <t>座台A</t>
  </si>
  <si>
    <t>32</t>
  </si>
  <si>
    <t>座台B</t>
  </si>
  <si>
    <t>33</t>
  </si>
  <si>
    <t>座台C</t>
  </si>
  <si>
    <t>34</t>
  </si>
  <si>
    <t>座台D</t>
  </si>
  <si>
    <t>35</t>
  </si>
  <si>
    <t>座台E</t>
  </si>
  <si>
    <t>36</t>
  </si>
  <si>
    <t>座台F</t>
  </si>
  <si>
    <t>37</t>
  </si>
  <si>
    <t>座椅A</t>
  </si>
  <si>
    <t>38</t>
  </si>
  <si>
    <t>座椅B</t>
  </si>
  <si>
    <t>39</t>
  </si>
  <si>
    <t>座椅C</t>
  </si>
  <si>
    <t>40</t>
  </si>
  <si>
    <t>座椅D</t>
  </si>
  <si>
    <t>41</t>
  </si>
  <si>
    <t>草地座階</t>
  </si>
  <si>
    <t>42</t>
  </si>
  <si>
    <t>擋牆a’型</t>
  </si>
  <si>
    <t>43</t>
  </si>
  <si>
    <t>擋牆b’型</t>
  </si>
  <si>
    <t>44</t>
  </si>
  <si>
    <t>擋牆c’型</t>
  </si>
  <si>
    <t>45</t>
  </si>
  <si>
    <t>樓梯A</t>
  </si>
  <si>
    <t>46</t>
  </si>
  <si>
    <t>樓梯B</t>
  </si>
  <si>
    <t>47</t>
  </si>
  <si>
    <t>樓梯C</t>
  </si>
  <si>
    <t>48</t>
  </si>
  <si>
    <t>樓梯D</t>
  </si>
  <si>
    <t>49</t>
  </si>
  <si>
    <t>樓梯F</t>
  </si>
  <si>
    <t>50</t>
  </si>
  <si>
    <t>樓梯I</t>
  </si>
  <si>
    <t>51</t>
  </si>
  <si>
    <t>樓梯L</t>
  </si>
  <si>
    <t>52</t>
  </si>
  <si>
    <t>欄杆A</t>
  </si>
  <si>
    <t>53</t>
  </si>
  <si>
    <t>欄杆B</t>
  </si>
  <si>
    <t>54</t>
  </si>
  <si>
    <t>欄杆D</t>
  </si>
  <si>
    <t>55</t>
  </si>
  <si>
    <t>護欄a</t>
  </si>
  <si>
    <t>56</t>
  </si>
  <si>
    <t>護欄b</t>
  </si>
  <si>
    <t>57</t>
  </si>
  <si>
    <t>地圖牌</t>
  </si>
  <si>
    <t>58</t>
  </si>
  <si>
    <t>全區導覽牌</t>
  </si>
  <si>
    <t>59</t>
  </si>
  <si>
    <t>公園自治條例</t>
  </si>
  <si>
    <t>60</t>
  </si>
  <si>
    <t>方向指示牌</t>
  </si>
  <si>
    <t>61</t>
  </si>
  <si>
    <t>水位警示設施</t>
  </si>
  <si>
    <t>62</t>
  </si>
  <si>
    <t>警示設施說明牌A</t>
  </si>
  <si>
    <t>63</t>
  </si>
  <si>
    <t>警示設施說明牌B</t>
  </si>
  <si>
    <t>64</t>
  </si>
  <si>
    <t>警示設施說明牌D</t>
  </si>
  <si>
    <t>65</t>
  </si>
  <si>
    <t>警示設施說明牌E</t>
  </si>
  <si>
    <t>66</t>
  </si>
  <si>
    <t>解說牌A</t>
  </si>
  <si>
    <t>67</t>
  </si>
  <si>
    <t>解說牌B</t>
  </si>
  <si>
    <t>68</t>
  </si>
  <si>
    <t>解說牌C</t>
  </si>
  <si>
    <t>69</t>
  </si>
  <si>
    <t>解說牌D</t>
  </si>
  <si>
    <t>70</t>
  </si>
  <si>
    <t>高程控制牌</t>
  </si>
  <si>
    <t>71</t>
  </si>
  <si>
    <t>高程控制樁A</t>
  </si>
  <si>
    <t>72</t>
  </si>
  <si>
    <t>高程控制樁B</t>
  </si>
  <si>
    <t>73</t>
  </si>
  <si>
    <t>標線，熱處理聚酯，反光，厚2mm，黏層劑(底漆)，第Ⅱ型</t>
  </si>
  <si>
    <t>74</t>
  </si>
  <si>
    <t>垃圾筒</t>
  </si>
  <si>
    <t>組</t>
  </si>
  <si>
    <t>75</t>
  </si>
  <si>
    <t>斜坡道</t>
  </si>
  <si>
    <t>76</t>
  </si>
  <si>
    <t>巢箱</t>
  </si>
  <si>
    <t>#含安裝</t>
  </si>
  <si>
    <t>77</t>
  </si>
  <si>
    <t>洗手(腳)池</t>
  </si>
  <si>
    <t>#含水龍頭</t>
  </si>
  <si>
    <t>78</t>
  </si>
  <si>
    <t>自然景石</t>
  </si>
  <si>
    <t>T</t>
  </si>
  <si>
    <t>#含結構、吊運</t>
  </si>
  <si>
    <t>79</t>
  </si>
  <si>
    <t>陰井</t>
  </si>
  <si>
    <t>80</t>
  </si>
  <si>
    <t>PP陰井</t>
  </si>
  <si>
    <t>81</t>
  </si>
  <si>
    <t>截水溝A型</t>
  </si>
  <si>
    <t>82</t>
  </si>
  <si>
    <t>截水溝B型</t>
  </si>
  <si>
    <t>83</t>
  </si>
  <si>
    <t>截水溝C型</t>
  </si>
  <si>
    <t>84</t>
  </si>
  <si>
    <t>草溝+∮4" HDPE透水管</t>
  </si>
  <si>
    <t>85</t>
  </si>
  <si>
    <t>草溝+∮6" HDPE透水管</t>
  </si>
  <si>
    <t>86</t>
  </si>
  <si>
    <t>∮3"HDPE透水管</t>
  </si>
  <si>
    <t>87</t>
  </si>
  <si>
    <t>∮4"HDPE透水管</t>
  </si>
  <si>
    <t>88</t>
  </si>
  <si>
    <t>∮2"PVC排水管埋設</t>
  </si>
  <si>
    <t>89</t>
  </si>
  <si>
    <t>∮4"PVC排水管埋設</t>
  </si>
  <si>
    <t>90</t>
  </si>
  <si>
    <t>∮4B(厚管)"PVC排水管埋設</t>
  </si>
  <si>
    <t>91</t>
  </si>
  <si>
    <t>∮6"PVC排水管埋設</t>
  </si>
  <si>
    <t>92</t>
  </si>
  <si>
    <t>∮8"PVC排水管埋設</t>
  </si>
  <si>
    <t>93</t>
  </si>
  <si>
    <t>淺溝</t>
  </si>
  <si>
    <t>94</t>
  </si>
  <si>
    <t>雨水回收槽</t>
  </si>
  <si>
    <t>(三)</t>
  </si>
  <si>
    <t>橋梁工程</t>
  </si>
  <si>
    <t>結構用混凝土，預拌，280kgf/cm2</t>
  </si>
  <si>
    <t>鋼筋，SD420W</t>
  </si>
  <si>
    <t>清水模板，甲種</t>
  </si>
  <si>
    <t>橋面。本項納入(清水木模)物價指數調整</t>
  </si>
  <si>
    <t>清水模板，乙種</t>
  </si>
  <si>
    <t>場鑄結構混凝土用模板，(乙種，擋土牆，橋台，車行箱涵等)。本項納入(清水木模)物價指數調整</t>
  </si>
  <si>
    <t>普通模板，乙種</t>
  </si>
  <si>
    <t>擋土牆，橋台，車行箱涵等。本項納入(普通模板)物價指數調整</t>
  </si>
  <si>
    <t>耐候鋼，A242</t>
  </si>
  <si>
    <t>kg</t>
  </si>
  <si>
    <t>不銹鋼料，SUS304，含加工安裝等</t>
  </si>
  <si>
    <t>金屬製品，氟碳烤漆(一底二度，厚度50μM以上)</t>
  </si>
  <si>
    <t>施工輔助設施，施工架，鋼管，框式</t>
  </si>
  <si>
    <t>需符合中華民國國家標準4750</t>
  </si>
  <si>
    <t>餘方自行處理(含水土保持)，總重15t傾卸貨車</t>
  </si>
  <si>
    <t>放樣</t>
  </si>
  <si>
    <t>全套管式鑽掘混凝土基樁，D=1200mm</t>
  </si>
  <si>
    <t>水泥混凝土鋪面，表面拉毛處理</t>
  </si>
  <si>
    <t>混凝土表面處理，晶化地坪，含分割縫</t>
  </si>
  <si>
    <t>共月橋無障礙警示帶</t>
  </si>
  <si>
    <t>共月橋欄杆A，新設，L=130cm</t>
  </si>
  <si>
    <t>共月橋欄杆B，新設，H=110cm</t>
  </si>
  <si>
    <t>共月橋欄杆C，新設，H=110cm</t>
  </si>
  <si>
    <t>共月橋耐候鋼板雷切焊接吊運組裝(t=6mm)</t>
  </si>
  <si>
    <t>共月橋耐候鋼包板6MM，260*100，橋內側，公園引道雙側</t>
  </si>
  <si>
    <t>共月橋園內引道</t>
  </si>
  <si>
    <t>共月橋人行道引道</t>
  </si>
  <si>
    <t>共月橋樓梯A扶手</t>
  </si>
  <si>
    <t>共月橋樓梯B扶手type A</t>
  </si>
  <si>
    <t>共月橋樓梯B扶手type B</t>
  </si>
  <si>
    <t>共月橋樓梯A耐候鋼板雷切焊接吊運組裝(t=8mm)</t>
  </si>
  <si>
    <t>P1、P2橋墩造型混凝土牆</t>
  </si>
  <si>
    <t>共月橋</t>
  </si>
  <si>
    <t>三合橋</t>
  </si>
  <si>
    <t>透地雷達</t>
  </si>
  <si>
    <t>管線探測，鑽孔</t>
  </si>
  <si>
    <t>衛工幹管探測</t>
  </si>
  <si>
    <t>地質鑽探</t>
  </si>
  <si>
    <t>孔</t>
  </si>
  <si>
    <t>(四)</t>
  </si>
  <si>
    <t>河川工程</t>
  </si>
  <si>
    <t>結構用混凝土，泵送及澆注費</t>
  </si>
  <si>
    <t>砌排石工，混凝土砌石</t>
  </si>
  <si>
    <t>#卵石，厚30cm，含勾縫</t>
  </si>
  <si>
    <t>低水護岸，拋石，塊石，硬石</t>
  </si>
  <si>
    <t>固床工，砌排石工，乾砌塊石</t>
  </si>
  <si>
    <t>抿石子</t>
  </si>
  <si>
    <t>鋼筋，植筋，D25mm，鑽孔(含空氣槍清孔)及化學藥劑</t>
  </si>
  <si>
    <t>蜂巢格網</t>
  </si>
  <si>
    <t>施工縫</t>
  </si>
  <si>
    <t>預力混凝土基樁，D=400mm</t>
  </si>
  <si>
    <t>河道整理</t>
  </si>
  <si>
    <t>混凝土軋碎加工，含人工撿拾</t>
  </si>
  <si>
    <t>回收混凝土碎料作為河床封底材料相關費用</t>
  </si>
  <si>
    <t>(五)</t>
  </si>
  <si>
    <t>下水道工程</t>
  </si>
  <si>
    <t>控制性低強度回填材料及澆置</t>
  </si>
  <si>
    <t>鋼筋混凝土管(B型)，D=500mm，三級管，未含開挖回填</t>
  </si>
  <si>
    <t>預鑄鋼筋混凝土基座(埋管用)，D=1000mm管用</t>
  </si>
  <si>
    <t>擠壓式彈性填縫帶，(寬55mm，厚20mm)，600～1000mm鋼筋混凝土管排水用</t>
  </si>
  <si>
    <t>排水人孔，人孔蓋及蓋座，球狀石墨鑄鐵蓋，預鑄</t>
  </si>
  <si>
    <t>塑膠包覆不銹鋼踏步，直徑=19mm</t>
  </si>
  <si>
    <t>支</t>
  </si>
  <si>
    <t>(六)</t>
  </si>
  <si>
    <t>道路及附屬工程</t>
  </si>
  <si>
    <t>瀝青混凝土舖面，粗粒料9.5mm，黏度AC(1)-20</t>
  </si>
  <si>
    <t>瀝青混凝土舖面，粗粒料19.0mm，黏度AC(1)-20</t>
  </si>
  <si>
    <t>路基整理</t>
  </si>
  <si>
    <t>瀝青透層，中凝油溶瀝青，MC-70</t>
  </si>
  <si>
    <t>瀝青黏層，快凝油溶瀝青，RC-70</t>
  </si>
  <si>
    <t>清水模板，丙種</t>
  </si>
  <si>
    <t>本項納入(清水木模)物價指數調整</t>
  </si>
  <si>
    <t>鋼筋，植筋，D10mm，鑽孔(含空氣槍清孔)及化學藥劑</t>
  </si>
  <si>
    <t>鍍鋅格柵蓋板，(框53.6cm，蓋45cm)，細目型</t>
  </si>
  <si>
    <t>鍍鋅格柵板及框座，止滑花紋加工，含搬運安裝</t>
  </si>
  <si>
    <t>(七)</t>
  </si>
  <si>
    <t>植栽工程</t>
  </si>
  <si>
    <t>植栽，客土，砂質壤土</t>
  </si>
  <si>
    <t>穴孔：D=20CM， H=20CM</t>
  </si>
  <si>
    <t>植栽，透氣管，HDPE</t>
  </si>
  <si>
    <t>#保護樹、移植喬木</t>
  </si>
  <si>
    <t>移植，喬木類移植，5≦米高直徑&lt;10cm</t>
  </si>
  <si>
    <t>株</t>
  </si>
  <si>
    <t>#保活一年</t>
  </si>
  <si>
    <t>移植，喬木類移植，10cm≦米高直徑＜15cm</t>
  </si>
  <si>
    <t>保活一年</t>
  </si>
  <si>
    <t>移植，喬木類移植，15cm≦米高直徑＜20cm</t>
  </si>
  <si>
    <t>移植，喬木類移植，20cm≦米高直徑＜25cm</t>
  </si>
  <si>
    <t>移植，喬木類移植，25cm≦米高直徑＜30cm</t>
  </si>
  <si>
    <t>移植，喬木類移植，30cm≦米高直徑＜35cm</t>
  </si>
  <si>
    <t>移植，喬木類移植，40cm≦米高直徑＜45cm</t>
  </si>
  <si>
    <t>移植，喬木類移植，45cm≦米高直徑＜50cm</t>
  </si>
  <si>
    <t>移植，喬木類移植，60cm≦米高直徑＜65cm</t>
  </si>
  <si>
    <t>移植，喬木類移植，65cm≦米高直徑＜70cm</t>
  </si>
  <si>
    <t>移植，喬木類移植，70cm≦米高直徑＜75cm</t>
  </si>
  <si>
    <t>植栽維護，喬木類，樹木修剪，E級</t>
  </si>
  <si>
    <t>受保護樹木6株，工程期間修剪2次，含枝葉運棄</t>
  </si>
  <si>
    <t>植栽維護，喬木類，枯木移除(喬木類)，10cm≦米高直徑＜20cm</t>
  </si>
  <si>
    <t>植栽維護，喬木類，枯木移除(喬木類)，20cm≦米高直徑＜30cm</t>
  </si>
  <si>
    <t>植栽維護，喬木類，枯木移除(喬木類)，30cm≦米高直徑＜40cm</t>
  </si>
  <si>
    <t>植栽維護，喬木類，枯木移除(喬木類)，40cm≦米高直徑＜50cm</t>
  </si>
  <si>
    <t>植栽維護，喬木類，枯木移除(喬木類)，50cm≦米高直徑＜60cm</t>
  </si>
  <si>
    <t>植栽維護，喬木類，枯木移除，70cm＜米高直徑≦80cm</t>
  </si>
  <si>
    <t>植栽維護，喬木類，枯木移除，90㎝＜米高直徑</t>
  </si>
  <si>
    <t>施工圍籬，組合式活動，1.8m ≦高度＜ 2.1m</t>
  </si>
  <si>
    <t>保護樹菱形格網護樹圍籬</t>
  </si>
  <si>
    <t>產品，植栽，包覆材料，草繩及保護墊片，三支組</t>
  </si>
  <si>
    <t>#受保護樹木及移植樹木</t>
  </si>
  <si>
    <t>產品，植栽，包覆材料，麻布袋，L=90~120cm，W=60~90cm</t>
  </si>
  <si>
    <t>#含受保護樹木及移植樹木</t>
  </si>
  <si>
    <t>產品，平面式塑膠警示帶，聚氯乙烯(PVC)，寬度=200mm</t>
  </si>
  <si>
    <t>產品，防水毯</t>
  </si>
  <si>
    <t>受保護樹木</t>
  </si>
  <si>
    <t>圍水，砂包堆置</t>
  </si>
  <si>
    <t>樹木生長監控</t>
  </si>
  <si>
    <t>#受保護樹木生長監控</t>
  </si>
  <si>
    <t>植栽，鬆土(空氣挖掘機)</t>
  </si>
  <si>
    <t>烏心石，450 ≦ 樹高 &lt; 500㎝，220≦樹幅＜240cm，14 ≦ 米高直徑 &lt; 16㎝</t>
  </si>
  <si>
    <t>水茄苳，300 ≦ 樹高 &lt; 350㎝，200≦樹幅＜250cm，8 ≦ 米高直徑 &lt; 10㎝</t>
  </si>
  <si>
    <t>光蠟樹，450 ≦ 樹高 &lt; 500㎝，220≦樹幅＜240cm，14 ≦ 米高直徑 &lt; 16㎝</t>
  </si>
  <si>
    <t>青楓，400 ≦ 樹高 &lt; 450㎝，200≦樹幅＜220cm，8≦ 米高直徑 &lt; 10㎝</t>
  </si>
  <si>
    <t>大葉欖仁，300 ≦ 樹高 &lt; 350㎝，140≦樹幅＜160cm，8 ≦ 米高直徑 &lt; 9㎝</t>
  </si>
  <si>
    <t>台灣石楠，350 ≦ 樹高 &lt; 400㎝，160≦樹幅＜180cm，9 ≦ 米高直徑 &lt; 10㎝</t>
  </si>
  <si>
    <t>苦楝，450 ≦ 樹高 &lt; 500㎝，220≦樹幅＜240cm，14 ≦ 米高直徑 &lt; 16㎝</t>
  </si>
  <si>
    <t>九芎，300 ≦ 樹高 &lt; 350㎝，120≦樹幅＜140cm，8 ≦ 米高直徑 &lt; 10㎝</t>
  </si>
  <si>
    <t>水柳，400 ≦ 樹高 &lt; 450㎝，200≦樹幅＜220cm，12≦ 米高直徑 &lt; 14㎝</t>
  </si>
  <si>
    <t>烏桕，300 ≦ 樹高 &lt; 350㎝，140≦樹幅＜180cm，8 ≦ 米高直徑 &lt; 9㎝</t>
  </si>
  <si>
    <t>楓香，450 ≦ 樹高 &lt; 500㎝，220≦樹幅＜240cm，14 ≦ 米高直徑 &lt; 16㎝</t>
  </si>
  <si>
    <t>樟樹，450 ≦ 樹高 &lt; 500㎝，220≦樹幅＜240cm，14 ≦ 米高直徑 &lt; 16㎝</t>
  </si>
  <si>
    <t>大葉楠，450 ≦ 樹高 &lt; 500㎝，220≦樹幅＜240cm，14 ≦ 米高直徑 &lt; 16㎝</t>
  </si>
  <si>
    <t>風箱，160 ≦ 樹高 &lt; 180㎝，80≦樹幅＜90cm，2 ≦ 米高直徑 &lt; 5㎝</t>
  </si>
  <si>
    <t>羽裂蔓綠絨，70≦高度＜80㎝，40≦寬度＜50cm</t>
  </si>
  <si>
    <t>八角金盤，50≦高度＜60㎝，30≦寬度＜40cm</t>
  </si>
  <si>
    <t>南天竹，70≦高度＜80㎝，50≦寬度＜60cm</t>
  </si>
  <si>
    <t>杜虹花，40≦ 高度＜50㎝，35≦寬度＜40cm</t>
  </si>
  <si>
    <t>含笑花，40≦ 高度＜50㎝，35≦寬度＜40cm</t>
  </si>
  <si>
    <t>金絲桃，35≦ 高度＜40㎝，30≦寬度＜35cm</t>
  </si>
  <si>
    <t>日本衛矛，50≦ 高度＜60㎝，40≦寬度＜45cm</t>
  </si>
  <si>
    <t>蘭嶼樹杞，60≦ 高度＜70㎝，45≦寬度＜50cm</t>
  </si>
  <si>
    <t>金露花，40≦高度＜50cm，30≦寬度＜40cm</t>
  </si>
  <si>
    <t>冇骨消，40≦ 高度＜50㎝，35≦寬度＜40cm</t>
  </si>
  <si>
    <t>山黃槴，40≦ 高度＜50㎝，35≦寬度＜40cm</t>
  </si>
  <si>
    <t>山月桃，30≦高度＜34cm，20≦寬度＜30cm</t>
  </si>
  <si>
    <t>銀紋沿階草，15≦高度＜20cm，10≦寬度＜15cm</t>
  </si>
  <si>
    <t>蔓花生，10≦高度≦20cm，15≦寬度≦20cm</t>
  </si>
  <si>
    <t>銀后粗肋草，25≦高度&lt;30cm，20≦寬度&lt;25cm</t>
  </si>
  <si>
    <t>射干，20≦高度＜30cm，13≦寬度＜16cm</t>
  </si>
  <si>
    <t>千屈菜，15≦高度＜20cm，10cm≦寬度&lt;15cm</t>
  </si>
  <si>
    <t>紫嬌花，20≦高度＜25cm，15cm≦寬度＜20cm</t>
  </si>
  <si>
    <t>百子蓮，25≦高度＜30cm，15cm≦寬度＜20cmm</t>
  </si>
  <si>
    <t>腎蕨，20≦高度＜25cm，15≦寬度＜20cm</t>
  </si>
  <si>
    <t>檸檬天竺葵，25≦高度＜30cm，20≦寬度＜25cm</t>
  </si>
  <si>
    <t>蜂香薄荷，25≦高度＜30cm，20≦寬度＜25cm</t>
  </si>
  <si>
    <t>芳香萬壽菊，25≦高度＜30cm，20≦寬度＜25cm</t>
  </si>
  <si>
    <t>大安水蓑衣，30≦高度&lt;40cm，20≦寬度&lt;25cm</t>
  </si>
  <si>
    <t>過長沙，20≦高度&lt;30cm，10≦寬度&lt;20cm</t>
  </si>
  <si>
    <t>黃扇鳶尾，25≦高度＜30cm，15cm≦寬度＜20cm</t>
  </si>
  <si>
    <t>鴨舌草，10≦高度&lt;15cm，10≦寬度&lt;15cm</t>
  </si>
  <si>
    <t>紙莎草，50≦高度&lt;60cm，30≦寬度&lt;40cm</t>
  </si>
  <si>
    <t>野慈姑，25≦高度&lt;30cm，15≦寬度&lt;20cm</t>
  </si>
  <si>
    <t>野薑花，50≦高度&lt;60cm，30≦寬度&lt;40cm</t>
  </si>
  <si>
    <t>螢藺，15≦高度&lt;20cm，10≦寬度&lt;15cm</t>
  </si>
  <si>
    <t>香蒲，30≦高度&lt;35cm，15≦寬度&lt;20cm</t>
  </si>
  <si>
    <t>田蔥，30≦高度&lt;35cm，15≦寬度&lt;20cm</t>
  </si>
  <si>
    <t>小葉馬纓丹，40 ≦高度(枝長)＜50cm</t>
  </si>
  <si>
    <t>鷗蔓，30≦高度(枝長)＜40cm</t>
  </si>
  <si>
    <t>忍冬，40≦高度(枝長)＜50cm</t>
  </si>
  <si>
    <t>白茅，50≦高度＜60cm，30≦寬度&lt;40cm</t>
  </si>
  <si>
    <t>鹽地鼠尾栗，30≦高度＜40cm，25≦寬度&lt;30cm</t>
  </si>
  <si>
    <t>艷紅百合，50≦高度＜60cm，30≦寬度&lt;40cm</t>
  </si>
  <si>
    <t>噴泉狼尾草，50≦高度＜60cm，30≦寬度&lt;40cm</t>
  </si>
  <si>
    <t>蘆葦，50≦高度&lt;60，30≦寬度&lt;40</t>
  </si>
  <si>
    <t>植草，草種噴植，混合草種，養護</t>
  </si>
  <si>
    <t>一般地被類，玉龍草，穴盤苗</t>
  </si>
  <si>
    <t>叢</t>
  </si>
  <si>
    <t>植草，密舖</t>
  </si>
  <si>
    <t>#假儉草</t>
  </si>
  <si>
    <t>(八)</t>
  </si>
  <si>
    <t>電氣設備工程</t>
  </si>
  <si>
    <t>低壓配電盤，錶箱 "KWH" PANEL</t>
  </si>
  <si>
    <t>低壓配電盤，"MP" PANEL</t>
  </si>
  <si>
    <t>低壓配電盤，"SP1~3" PANEL</t>
  </si>
  <si>
    <t>低壓配電盤，"MLS" PANEL</t>
  </si>
  <si>
    <t>低壓配電盤，"PPS" PANEL</t>
  </si>
  <si>
    <t>道路照明，路燈，單臂，LED90W 燈桿8M 含基礎座預埋桿件</t>
  </si>
  <si>
    <t># H:8M，含基礎座預埋桿件</t>
  </si>
  <si>
    <t>道路照明，路燈，子母， LED90W &amp; 30W 燈桿8M 含基礎座預埋桿件</t>
  </si>
  <si>
    <t>道路照明，燈具，景觀高燈，LED45W 燈桿4M 含基礎座預埋桿件</t>
  </si>
  <si>
    <t>道路照明，燈具，矮柱燈， LED20W 含基礎座桿</t>
  </si>
  <si>
    <t>線燈 LED1W 300mm</t>
  </si>
  <si>
    <t>線燈 LED4W 1000mm</t>
  </si>
  <si>
    <t>軟帶燈 LED11W</t>
  </si>
  <si>
    <t>防水型崁燈 LED 30W</t>
  </si>
  <si>
    <t>投射燈 LED 35W</t>
  </si>
  <si>
    <t>水波紋高燈</t>
  </si>
  <si>
    <t>#(含基礎鎖固螺桿五金)</t>
  </si>
  <si>
    <t>液位警報系統</t>
  </si>
  <si>
    <t>含白鐵雙層防水控制箱*2、簡易防水面板*7</t>
  </si>
  <si>
    <t>警示面板顯示器</t>
  </si>
  <si>
    <t>水位計</t>
  </si>
  <si>
    <t>交通號誌</t>
  </si>
  <si>
    <t>交通號誌控制箱</t>
  </si>
  <si>
    <t>戶外型照度感應器(含桿座)</t>
  </si>
  <si>
    <t>只</t>
  </si>
  <si>
    <t>電源供應器60W</t>
  </si>
  <si>
    <t>#水波紋高燈</t>
  </si>
  <si>
    <t>電源供應器 8W 含IP68防水外箱</t>
  </si>
  <si>
    <t>台</t>
  </si>
  <si>
    <t>電源供應器 100W 含IP68防水外箱</t>
  </si>
  <si>
    <t>600V聚氯乙烯絕緣電線(PVC)，絞線，5.5mm2</t>
  </si>
  <si>
    <t>電線及電纜，600V聚氯乙烯絕緣電線，3/C，50mm2</t>
  </si>
  <si>
    <t>電線及電纜，600V聚氯乙烯絕緣電線，3/C，30mm2</t>
  </si>
  <si>
    <t>電線及電纜，600V聚氯乙烯絕緣電線，3/C，22mm2</t>
  </si>
  <si>
    <t>電線及電纜，600V聚氯乙烯絕緣電線，3/C，8.0mm2</t>
  </si>
  <si>
    <t>電線及電纜，600V聚氯乙烯絕緣電線，3/C，5.5mm2</t>
  </si>
  <si>
    <t>電線及電纜，600V聚氯乙烯絕緣電線，7/C，3.5mm2</t>
  </si>
  <si>
    <t>600V PVC電纜，配線安全接頭</t>
  </si>
  <si>
    <t>XLPE電力電纜，600V交連聚乙烯絕緣聚氯乙烯被覆電力電纜(XLPE)，1/C，14mm2</t>
  </si>
  <si>
    <t>XLPE電力電纜，配線安全接頭</t>
  </si>
  <si>
    <t>導線管，硬質聚氯乙烯塑膠管，E管，標稱28mm</t>
  </si>
  <si>
    <t>導線管，硬質聚氯乙烯塑膠管，E管，標稱41mm</t>
  </si>
  <si>
    <t>導線管，硬質聚氯乙烯塑膠管，E管，標稱52mm</t>
  </si>
  <si>
    <t>導線管，硬質聚氯乙烯塑膠管，E管，標稱80mm</t>
  </si>
  <si>
    <t>PVC導線管，配管另件</t>
  </si>
  <si>
    <t>鍍鋅鋼管(GIP)，⌀82x4.2mmt</t>
  </si>
  <si>
    <t>GIP鍍鋅鋼管，配管另件</t>
  </si>
  <si>
    <t>(九)</t>
  </si>
  <si>
    <t>臨時動員及圍排水設施費</t>
  </si>
  <si>
    <t>臨時擋土樁設施，鋼軌樁 50kg/m</t>
  </si>
  <si>
    <t>租用(三合橋)</t>
  </si>
  <si>
    <t>臨時擋土樁設施，鋼軌樁 50kg/m(含運費)，打拔</t>
  </si>
  <si>
    <t>臨時通道用鋼板，厚15mm</t>
  </si>
  <si>
    <t>M2/月</t>
  </si>
  <si>
    <t>施工期間動復員費(含颱風、暴雨或機關指定之動員及設施設備費用)</t>
  </si>
  <si>
    <t>#(含所有設施撤離)</t>
  </si>
  <si>
    <t>臨時設施，排水設備，引擎抽水機，D=10cm，租金</t>
  </si>
  <si>
    <t>(含油料及運費)</t>
  </si>
  <si>
    <t>臨時河道圍水設施，鋼板樁，L=13cm，(單邊水平長度，未含擋土支撐系統)</t>
  </si>
  <si>
    <t>二</t>
  </si>
  <si>
    <t>雜項工程費</t>
  </si>
  <si>
    <t>新舊工程銜接復舊</t>
  </si>
  <si>
    <t>新舊結構物介面處理</t>
  </si>
  <si>
    <t>處</t>
  </si>
  <si>
    <t>三合橋臨時便橋</t>
  </si>
  <si>
    <t>施工照相及攝(錄)影，(4G行動門號，即時攝影無線傳輸)，施工動態即時影像傳輸費</t>
  </si>
  <si>
    <t>日/台</t>
  </si>
  <si>
    <t>含路證申請、回報及配合道路挖掘之相關作業費用</t>
  </si>
  <si>
    <t>臨時設施，臨時監控系統</t>
  </si>
  <si>
    <t>臨時設施，臨時電使用費及臨時水使用費</t>
  </si>
  <si>
    <t>月</t>
  </si>
  <si>
    <t>工地攝影記錄及影片製作</t>
  </si>
  <si>
    <t>臨時工棚(含相關設施)</t>
  </si>
  <si>
    <t>生態檢核</t>
  </si>
  <si>
    <t>三</t>
  </si>
  <si>
    <t>材料試驗費</t>
  </si>
  <si>
    <t>品質管理，品質管理費，土木工程及建築類檢驗，A3045混凝土圓柱試體抗壓強度之檢驗法</t>
  </si>
  <si>
    <t>品質管理，材料設備檢驗費，土木工程及建築類檢驗，混凝土氯離子試驗</t>
  </si>
  <si>
    <t>品質管理，材料設備檢驗費，混凝土坍度試驗法</t>
  </si>
  <si>
    <t>品質管理，材料設備檢驗費，土木工程及建築類檢驗，混凝土鑽心試體試驗</t>
  </si>
  <si>
    <t>顆</t>
  </si>
  <si>
    <t>品質管理，材料設備檢驗費，土木工程及建築類檢驗，A2006鋼筋混凝土用鋼筋物性試驗</t>
  </si>
  <si>
    <t>每組3支</t>
  </si>
  <si>
    <t>品質管理，材料設備檢驗費，土木工程及建築類檢驗，A2006鋼筋混凝土用鋼筋化性試驗</t>
  </si>
  <si>
    <t>品質管理，材料設備檢驗費，土木工程及建築類檢驗，瀝青混合料含油量穩定值及級配分析</t>
  </si>
  <si>
    <t>品質管理，材料設備檢驗費，土木工程及建築類檢驗，瀝青混凝土壓實度試驗及厚度檢驗</t>
  </si>
  <si>
    <t>品質管理，材料設備檢驗費，土木工程及建築類檢驗，瀝青混凝土平整度試驗</t>
  </si>
  <si>
    <t>品質管理，材料設備檢驗費，土木工程及建築類檢驗，瀝青混凝土黏滯度試驗</t>
  </si>
  <si>
    <t>品質管理，材料設備檢驗費，土木工程及建築類檢驗，地工織物試驗法【含拉力強度(伸長率、撕裂強度)、透水係數、耐紫外線性、起始模數、有效開孔性】</t>
  </si>
  <si>
    <t>品質管理，材料設備檢驗費，土木工程及建築類檢驗，鋼鐵件檢驗【含降伏、拉伸、彎曲、化性】</t>
  </si>
  <si>
    <t>品質管制，工廠內鋼熔接縫超音波探傷試驗</t>
  </si>
  <si>
    <t>品質管制，現場鋼熔接縫超音波探傷試驗</t>
  </si>
  <si>
    <t>品質管理，材料設備檢驗費，土木工程及建築類檢驗，標線抗滑試驗(現地試驗，1天，6個試驗點)</t>
  </si>
  <si>
    <t>品質管理，材料設備檢驗費，反光標線鑽心試體玻璃珠含量</t>
  </si>
  <si>
    <t>品質管理，材料設備檢驗費，土木工程及建築類檢驗，銲接鋼線網檢驗(含拉伸、彎曲、抗剪、外觀)</t>
  </si>
  <si>
    <t>品質管理，材料設備檢驗費，土木工程及建築類檢驗，碎石級配粒料篩分析試驗</t>
  </si>
  <si>
    <t>品質管理，材料設備檢驗費，木業類檢驗，原木檢驗(含樹種鑑定、含水率及ACQ吸收量檢測)</t>
  </si>
  <si>
    <t>品質管理，材料設備檢驗費，土木工程及建築類檢驗，石材檢驗</t>
  </si>
  <si>
    <t>品質管理，材料設備檢驗費，土木工程及建築類檢驗，不鏽鋼料檢驗</t>
  </si>
  <si>
    <t>品質管理，材料設備檢驗費，土木工程及建築類檢驗，熱浸鍍鋅試驗</t>
  </si>
  <si>
    <t>品質管理，材料設備檢驗費，土木工程及建築類檢驗，氟碳烤漆試驗</t>
  </si>
  <si>
    <t>品質管理，材料設備檢驗費，土木工程及建築類檢驗，鍍鋅格柵蓋板試驗</t>
  </si>
  <si>
    <t>品質管理，材料設備檢驗費，土木工程及建築類檢驗，HDPE鋼板加勁螺旋管檢驗【含抗拉強度、伸長率】</t>
  </si>
  <si>
    <t>品質管理，材料設備檢驗費，土木工程及建築類檢驗，A3003混凝土管檢驗法</t>
  </si>
  <si>
    <t>品質管理，材料設備檢驗費，土木工程及建築類檢驗，化學螺栓拉拔力測試</t>
  </si>
  <si>
    <t>隻</t>
  </si>
  <si>
    <t>品質管理，材料設備檢驗費，植筋拉拔試驗</t>
  </si>
  <si>
    <t>品質管制，蜂巢格網試驗費</t>
  </si>
  <si>
    <t>品質管理，材料設備檢驗費，土木工程及建築類檢驗，土壤相對密度試驗</t>
  </si>
  <si>
    <t>品質管理，材料設備檢驗費，土木工程及建築類檢驗，工地密度試驗</t>
  </si>
  <si>
    <t>品質管理，材料設備檢驗費，土木工程及建築類檢驗，土壤分類試驗</t>
  </si>
  <si>
    <t>品質管理，材料設備檢驗費，基樁完整性試驗</t>
  </si>
  <si>
    <t>品質管理，材料設備檢驗費，土木工程及建築類檢驗，透水磚，透水試驗</t>
  </si>
  <si>
    <t>塊</t>
  </si>
  <si>
    <t>39項重金屬檢測</t>
  </si>
  <si>
    <t>四</t>
  </si>
  <si>
    <t>工地環境保護費</t>
  </si>
  <si>
    <t>環境保護，逕流污染防治，洗車沖洗費</t>
  </si>
  <si>
    <t>處/月</t>
  </si>
  <si>
    <t>環境保護，工地清潔費</t>
  </si>
  <si>
    <t>280m2/月，共24個月</t>
  </si>
  <si>
    <t>環境保護費用，灑水車</t>
  </si>
  <si>
    <t>車</t>
  </si>
  <si>
    <t>五</t>
  </si>
  <si>
    <t>安全設施與交通維持費</t>
  </si>
  <si>
    <t>施工圍籬，組合式固定，2.4m ≦高度</t>
  </si>
  <si>
    <t>高度2.4m</t>
  </si>
  <si>
    <t>施工圍籬，圍籬美化，掛防水帆布(含輸出、包繩及打洞)</t>
  </si>
  <si>
    <t>需經審查後設置</t>
  </si>
  <si>
    <t>交通錐，高70cm，其他適當材料，PVC。2.5kg重</t>
  </si>
  <si>
    <t>交通錐，連桿</t>
  </si>
  <si>
    <t>指示標誌</t>
  </si>
  <si>
    <t>活動型拒馬，長1.2m</t>
  </si>
  <si>
    <t>施工警告燈號</t>
  </si>
  <si>
    <t>工程告示牌及工地標誌，工程告示牌，鋁質，長500x寬320cm</t>
  </si>
  <si>
    <t>工程告示牌及工地標誌，柔性告示牌</t>
  </si>
  <si>
    <t>面</t>
  </si>
  <si>
    <t>創意柔性告示牌之圖案須依機關提供之電子檔依比例放大製作</t>
  </si>
  <si>
    <t>牌面承座</t>
  </si>
  <si>
    <t>軟質彈性分隔桿，含安裝</t>
  </si>
  <si>
    <t>D=8cm ±5%，H=75cm ±5%</t>
  </si>
  <si>
    <t>型鋼護欄，含警示燈</t>
  </si>
  <si>
    <t>使用10次，以新製品或完整無缺(重新油漆或清理過後)之堪用品</t>
  </si>
  <si>
    <t>施工圍籬，大門(含拆裝1次)</t>
  </si>
  <si>
    <t>樘</t>
  </si>
  <si>
    <t>輕型欄杆(連工帶料)</t>
  </si>
  <si>
    <t>含警示燈</t>
  </si>
  <si>
    <t>施工圍籬二次拆裝</t>
  </si>
  <si>
    <t>輕型欄杆二次拆裝</t>
  </si>
  <si>
    <t>安全設施維護管理費</t>
  </si>
  <si>
    <t>臨時工(百齡抽水站暫置區用)</t>
  </si>
  <si>
    <t>施工圍籬，組合式活動，1.8m≦高度&lt;2.1m</t>
  </si>
  <si>
    <t>百齡暫置區及奇岩一號公園使用</t>
  </si>
  <si>
    <t>六</t>
  </si>
  <si>
    <t>職業安全衛生費</t>
  </si>
  <si>
    <t>職業安全衛生，一般器材，安全告示牌，1.5mm厚P.V.C</t>
  </si>
  <si>
    <t>職業安全衛生，保護器材，頭部，安全帽(加反光條)</t>
  </si>
  <si>
    <t>頂</t>
  </si>
  <si>
    <t>職業安全衛生，保護器材，臉部，安全面罩</t>
  </si>
  <si>
    <t>具</t>
  </si>
  <si>
    <t>職業安全衛生，保護器材，眼睛，護目鏡，遮光護目鏡</t>
  </si>
  <si>
    <t>職業安全衛生，保護器材，手部，特殊手套，防酸鹼用</t>
  </si>
  <si>
    <t>雙</t>
  </si>
  <si>
    <t>職業安全衛生，保護器材，足部，安全鞋</t>
  </si>
  <si>
    <t>職業安全衛生，保護器材，身體，勞工衛生用防護衣</t>
  </si>
  <si>
    <t>套</t>
  </si>
  <si>
    <t>職業安全衛生，保護器材，身體，反光背心(印有「水利工程處施工廠商人員」字樣)</t>
  </si>
  <si>
    <t>職業安全衛生，保護器材，高處作業(含掛鉤等配件)</t>
  </si>
  <si>
    <t>職業安全衛生，保護器材，意外傷害救護設備，急救箱</t>
  </si>
  <si>
    <t>職業安全衛生，保護器材，臨水作業救生設備（含救生船及救生圈）</t>
  </si>
  <si>
    <t>職業安全衛生，保護器材，臨水作業救生設備，救生衣</t>
  </si>
  <si>
    <t>職業安全衛生，保護器材，臨水作業救生設備，救生圈(含救生索)</t>
  </si>
  <si>
    <t>職業安全衛生，保護器材，安全扶梯(2M高度以上，45cm寬)</t>
  </si>
  <si>
    <t>臨時設施，照明設備，夜間(500W含伸縮腳架)</t>
  </si>
  <si>
    <t>職業安全衛生，飲水及休息設備</t>
  </si>
  <si>
    <t>產品，平面式塑膠警示帶</t>
  </si>
  <si>
    <t>職安人員費用</t>
  </si>
  <si>
    <t>人月</t>
  </si>
  <si>
    <t>[人力工項不打折]設置2人</t>
  </si>
  <si>
    <t>職業安全衛生，安衛管理及其他安全衛生措施</t>
  </si>
  <si>
    <t>含教育訓練及防災演練</t>
  </si>
  <si>
    <t>七</t>
  </si>
  <si>
    <t>自主品管費</t>
  </si>
  <si>
    <t>品管人員費用</t>
  </si>
  <si>
    <t>行政管理費</t>
  </si>
  <si>
    <t>含廠製圖及送審文件製作</t>
  </si>
  <si>
    <t>八</t>
  </si>
  <si>
    <t>稅什費（含保險費）</t>
  </si>
  <si>
    <t>(一~七)*_x000D_
[約10.95000004%]</t>
  </si>
  <si>
    <t>九</t>
  </si>
  <si>
    <t>台北港土方管理費</t>
  </si>
  <si>
    <t>本項單價為固定值(150元/M3)，訂約時不隨折數調整，依實際進場土方計價(費用不另計稅什費)</t>
  </si>
  <si>
    <t>一０</t>
  </si>
  <si>
    <t>鄰房現況鑑定（含稅）</t>
  </si>
  <si>
    <t>本項單價為固定值(56元/M2)，訂約時不隨折數調整，依實際鑑定戶數計架並檢據核銷(費用不另計稅什費)</t>
  </si>
  <si>
    <t>鄰房現況鑑定(含稅)</t>
  </si>
  <si>
    <t>數量</t>
  </si>
  <si>
    <t>複  價</t>
  </si>
  <si>
    <t>項目及說明</t>
  </si>
  <si>
    <t>單  價</t>
  </si>
  <si>
    <t>備  註</t>
  </si>
  <si>
    <t>砌排石工，混凝土砌石(卵石均厚70cm)</t>
  </si>
  <si>
    <t>0331023003
分析表20</t>
  </si>
  <si>
    <t>L.M3</t>
  </si>
  <si>
    <t xml:space="preserve">M023860140A1
</t>
  </si>
  <si>
    <t>技術工，砌石</t>
  </si>
  <si>
    <t xml:space="preserve">L000005000011
</t>
  </si>
  <si>
    <t>小工</t>
  </si>
  <si>
    <t xml:space="preserve">L000006100001
</t>
  </si>
  <si>
    <t>砌排石工，水泥砂漿表面勾縫，1：3</t>
  </si>
  <si>
    <t>02386PWDA1302
分析表282</t>
  </si>
  <si>
    <t>產品，硬質聚氯乙烯塑膠管(A管薄管)，洩水孔用</t>
  </si>
  <si>
    <t xml:space="preserve">M1510710000B4
</t>
  </si>
  <si>
    <t>塊石搬運</t>
  </si>
  <si>
    <t xml:space="preserve">00006701000
</t>
  </si>
  <si>
    <t>零星工料</t>
  </si>
  <si>
    <t xml:space="preserve">W0127110004
</t>
  </si>
  <si>
    <t xml:space="preserve">  ** 小計 **</t>
  </si>
  <si>
    <t xml:space="preserve">  ** 單價計 **</t>
  </si>
  <si>
    <t>產品，砌排石工，(卵石，均厚70cm，未含勾縫)</t>
  </si>
  <si>
    <t>1.4.22</t>
    <phoneticPr fontId="3" type="noConversion"/>
  </si>
  <si>
    <t>型式一 L294.17*A1.12=329.47
型式二 L18.25*A1.12=20.44
型式三 L42.9*A1.28=54.91
round(329.47+20.44+54.91,0)=405</t>
    <phoneticPr fontId="3" type="noConversion"/>
  </si>
  <si>
    <t>砌排石工，混凝土砌石(卵石均厚70cm)</t>
    <phoneticPr fontId="3" type="noConversion"/>
  </si>
  <si>
    <t>組</t>
    <phoneticPr fontId="3" type="noConversion"/>
  </si>
  <si>
    <t>產品，空氣盆</t>
    <phoneticPr fontId="3" type="noConversion"/>
  </si>
  <si>
    <t>1.1.25</t>
    <phoneticPr fontId="3" type="noConversion"/>
  </si>
  <si>
    <t>02323F00AA</t>
    <phoneticPr fontId="3" type="noConversion"/>
  </si>
  <si>
    <t>開挖機，70~79KW，(作為破碎機用)</t>
    <phoneticPr fontId="3" type="noConversion"/>
  </si>
  <si>
    <t>時</t>
    <phoneticPr fontId="3" type="noConversion"/>
  </si>
  <si>
    <t>E000004400711</t>
    <phoneticPr fontId="3" type="noConversion"/>
  </si>
  <si>
    <t xml:space="preserve">L000005100001
</t>
    <phoneticPr fontId="3" type="noConversion"/>
  </si>
  <si>
    <t>品質管理，預力混凝土基樁試驗</t>
    <phoneticPr fontId="3" type="noConversion"/>
  </si>
  <si>
    <t>新增工項
01450D18x8a
#一組2支樁</t>
    <phoneticPr fontId="3" type="noConversion"/>
  </si>
  <si>
    <t>M</t>
    <phoneticPr fontId="3" type="noConversion"/>
  </si>
  <si>
    <t>變更依據</t>
    <phoneticPr fontId="3" type="noConversion"/>
  </si>
  <si>
    <t>#</t>
    <phoneticPr fontId="3" type="noConversion"/>
  </si>
  <si>
    <t>變更項目對照詳細表</t>
    <phoneticPr fontId="3" type="noConversion"/>
  </si>
  <si>
    <t>新增工項單價分析表</t>
    <phoneticPr fontId="3" type="noConversion"/>
  </si>
  <si>
    <t>新增工項
0238632202b
#卵石，厚70cm</t>
    <phoneticPr fontId="3" type="noConversion"/>
  </si>
  <si>
    <t>0238632202b
#卵石，厚70cm</t>
    <phoneticPr fontId="3" type="noConversion"/>
  </si>
  <si>
    <t>預力混凝土基樁，D=600mm，(打樁，含樁，空打及PC版樁隱蔽障礙物清除處理)</t>
    <phoneticPr fontId="3" type="noConversion"/>
  </si>
  <si>
    <r>
      <t>數量計算</t>
    </r>
    <r>
      <rPr>
        <sz val="10"/>
        <color theme="1"/>
        <rFont val="Microsoft JhengHei UI"/>
        <family val="1"/>
        <charset val="136"/>
      </rPr>
      <t>式</t>
    </r>
    <phoneticPr fontId="3" type="noConversion"/>
  </si>
  <si>
    <t>(免拆模板，鋼質)，厚6mm鋼模</t>
    <phoneticPr fontId="3" type="noConversion"/>
  </si>
  <si>
    <t>新增工項
03110700h2</t>
    <phoneticPr fontId="3" type="noConversion"/>
  </si>
  <si>
    <t>混凝土植草磚</t>
    <phoneticPr fontId="3" type="noConversion"/>
  </si>
  <si>
    <t>M2</t>
    <phoneticPr fontId="3" type="noConversion"/>
  </si>
  <si>
    <t>新增工項
0422200002</t>
    <phoneticPr fontId="3" type="noConversion"/>
  </si>
  <si>
    <t>(免拆模板，鋼質)，厚3mm鋼模</t>
    <phoneticPr fontId="3" type="noConversion"/>
  </si>
  <si>
    <t>新增工項
0245760011a</t>
    <phoneticPr fontId="3" type="noConversion"/>
  </si>
  <si>
    <t>KG</t>
    <phoneticPr fontId="3" type="noConversion"/>
  </si>
  <si>
    <t>結構用混凝土，預拌，280kgf/cm2(第二型水泥)</t>
    <phoneticPr fontId="3" type="noConversion"/>
  </si>
  <si>
    <t>新增工項
0331027203</t>
    <phoneticPr fontId="3" type="noConversion"/>
  </si>
  <si>
    <t>產品，植草，植生袋，客土</t>
    <phoneticPr fontId="3" type="noConversion"/>
  </si>
  <si>
    <t>1.5.18</t>
    <phoneticPr fontId="3" type="noConversion"/>
  </si>
  <si>
    <t>03110700k2</t>
    <phoneticPr fontId="3" type="noConversion"/>
  </si>
  <si>
    <t>產品，金屬材料，鋼料，加強支撐鋼材</t>
    <phoneticPr fontId="3" type="noConversion"/>
  </si>
  <si>
    <t>式</t>
    <phoneticPr fontId="3" type="noConversion"/>
  </si>
  <si>
    <t>M05060CC004</t>
    <phoneticPr fontId="3" type="noConversion"/>
  </si>
  <si>
    <t>產品，鋼板及其他鋼料</t>
    <phoneticPr fontId="3" type="noConversion"/>
  </si>
  <si>
    <t xml:space="preserve">M05500F009
</t>
    <phoneticPr fontId="3" type="noConversion"/>
  </si>
  <si>
    <t>裁切加工電銲(含安裝)</t>
    <phoneticPr fontId="3" type="noConversion"/>
  </si>
  <si>
    <t xml:space="preserve">05060#A004
</t>
    <phoneticPr fontId="3" type="noConversion"/>
  </si>
  <si>
    <t>領班</t>
    <phoneticPr fontId="3" type="noConversion"/>
  </si>
  <si>
    <t>普通工</t>
    <phoneticPr fontId="3" type="noConversion"/>
  </si>
  <si>
    <t>L000006100001</t>
    <phoneticPr fontId="3" type="noConversion"/>
  </si>
  <si>
    <t>混凝土植草磚</t>
  </si>
  <si>
    <t>產品，混凝土植草磚</t>
    <phoneticPr fontId="3" type="noConversion"/>
  </si>
  <si>
    <t>M0422200002</t>
    <phoneticPr fontId="3" type="noConversion"/>
  </si>
  <si>
    <t>水泥砂漿，1:3</t>
  </si>
  <si>
    <t xml:space="preserve">0406130003
</t>
    <phoneticPr fontId="3" type="noConversion"/>
  </si>
  <si>
    <t xml:space="preserve">0292012C02
</t>
  </si>
  <si>
    <t>種植費，客土施放</t>
  </si>
  <si>
    <t>1.6.16</t>
    <phoneticPr fontId="3" type="noConversion"/>
  </si>
  <si>
    <t>03110700h2</t>
    <phoneticPr fontId="3" type="noConversion"/>
  </si>
  <si>
    <t>41支*10M</t>
    <phoneticPr fontId="3" type="noConversion"/>
  </si>
  <si>
    <r>
      <rPr>
        <sz val="10"/>
        <color rgb="FF0000FF"/>
        <rFont val="標楷體"/>
        <family val="4"/>
        <charset val="136"/>
      </rPr>
      <t>新增工項</t>
    </r>
    <r>
      <rPr>
        <sz val="10"/>
        <color indexed="8"/>
        <rFont val="標楷體"/>
        <family val="4"/>
        <charset val="136"/>
      </rPr>
      <t xml:space="preserve">
</t>
    </r>
    <r>
      <rPr>
        <sz val="10"/>
        <color rgb="FFFF0000"/>
        <rFont val="標楷體"/>
        <family val="4"/>
        <charset val="136"/>
      </rPr>
      <t>0245760011a</t>
    </r>
    <phoneticPr fontId="3" type="noConversion"/>
  </si>
  <si>
    <t>產品，預力混凝土基樁，D=600mm，B種</t>
    <phoneticPr fontId="3" type="noConversion"/>
  </si>
  <si>
    <t>M0245762001</t>
    <phoneticPr fontId="3" type="noConversion"/>
  </si>
  <si>
    <t>新增工項</t>
    <phoneticPr fontId="3" type="noConversion"/>
  </si>
  <si>
    <t>基樁吊運費用</t>
    <phoneticPr fontId="3" type="noConversion"/>
  </si>
  <si>
    <t>E093106230001</t>
    <phoneticPr fontId="3" type="noConversion"/>
  </si>
  <si>
    <t>鑽掘機</t>
    <phoneticPr fontId="3" type="noConversion"/>
  </si>
  <si>
    <t>E3571X0BAA1</t>
    <phoneticPr fontId="3" type="noConversion"/>
  </si>
  <si>
    <t>操作手，迴轉鑽井機</t>
    <phoneticPr fontId="3" type="noConversion"/>
  </si>
  <si>
    <t>L0000051000R1</t>
    <phoneticPr fontId="3" type="noConversion"/>
  </si>
  <si>
    <t>原契約工項</t>
    <phoneticPr fontId="3" type="noConversion"/>
  </si>
  <si>
    <t>打樁機械，(2.0~2.9t)</t>
    <phoneticPr fontId="3" type="noConversion"/>
  </si>
  <si>
    <t>E00000PWD10H1001</t>
    <phoneticPr fontId="3" type="noConversion"/>
  </si>
  <si>
    <t>移動式起重機，10~19t</t>
    <phoneticPr fontId="3" type="noConversion"/>
  </si>
  <si>
    <t>E000008b10001</t>
    <phoneticPr fontId="3" type="noConversion"/>
  </si>
  <si>
    <t>L000004000001n</t>
    <phoneticPr fontId="3" type="noConversion"/>
  </si>
  <si>
    <t>操作手，打樁設備</t>
    <phoneticPr fontId="3" type="noConversion"/>
  </si>
  <si>
    <t>L0000051000C1</t>
    <phoneticPr fontId="3" type="noConversion"/>
  </si>
  <si>
    <t>操作手，移動式起重機</t>
    <phoneticPr fontId="3" type="noConversion"/>
  </si>
  <si>
    <t>L000005100041</t>
    <phoneticPr fontId="3" type="noConversion"/>
  </si>
  <si>
    <t>金屬建材架構工，鋼索絞結工</t>
    <phoneticPr fontId="3" type="noConversion"/>
  </si>
  <si>
    <t>L000005c00011</t>
    <phoneticPr fontId="3" type="noConversion"/>
  </si>
  <si>
    <t>預力混凝土基樁，D=600mm，樁頭處理(含無收縮混凝土、鋼筋、吊模及與基礎之接樁處理)</t>
    <phoneticPr fontId="3" type="noConversion"/>
  </si>
  <si>
    <t xml:space="preserve">0245760044
</t>
    <phoneticPr fontId="3" type="noConversion"/>
  </si>
  <si>
    <t>零星工料</t>
    <phoneticPr fontId="3" type="noConversion"/>
  </si>
  <si>
    <t>W0127110004</t>
    <phoneticPr fontId="3" type="noConversion"/>
  </si>
  <si>
    <t>1.4.23</t>
    <phoneticPr fontId="3" type="noConversion"/>
  </si>
  <si>
    <t>1.4.24</t>
    <phoneticPr fontId="3" type="noConversion"/>
  </si>
  <si>
    <t>1.3.41</t>
    <phoneticPr fontId="3" type="noConversion"/>
  </si>
  <si>
    <t>吊車，20T以上</t>
  </si>
  <si>
    <t>操作手，吊收機具</t>
  </si>
  <si>
    <t>袋</t>
    <phoneticPr fontId="3" type="noConversion"/>
  </si>
  <si>
    <t>蜂巢格網土包袋
M029200720D</t>
    <phoneticPr fontId="3" type="noConversion"/>
  </si>
  <si>
    <t>金屬製品，防落裝置</t>
    <phoneticPr fontId="3" type="noConversion"/>
  </si>
  <si>
    <t>金屬製品，防震拉條</t>
    <phoneticPr fontId="3" type="noConversion"/>
  </si>
  <si>
    <t>新增工項
05842A0018</t>
    <phoneticPr fontId="3" type="noConversion"/>
  </si>
  <si>
    <t>新增工項
05852A0018</t>
    <phoneticPr fontId="3" type="noConversion"/>
  </si>
  <si>
    <t>臨時直立式號誌</t>
    <phoneticPr fontId="3" type="noConversion"/>
  </si>
  <si>
    <t>新增工項
0289311038</t>
    <phoneticPr fontId="3" type="noConversion"/>
  </si>
  <si>
    <t>依實驗室報價</t>
    <phoneticPr fontId="3" type="noConversion"/>
  </si>
  <si>
    <t>路線漆標線，12公尺以下道路及零星路段繪設</t>
  </si>
  <si>
    <t>路線漆標線，12公尺以下道路及零星路段繪設</t>
    <phoneticPr fontId="3" type="noConversion"/>
  </si>
  <si>
    <t>新增工項02898120E2</t>
    <phoneticPr fontId="3" type="noConversion"/>
  </si>
  <si>
    <t>產品，標線路線漆</t>
  </si>
  <si>
    <t>L</t>
  </si>
  <si>
    <t>標線，技術工</t>
  </si>
  <si>
    <t xml:space="preserve">02898120E2
</t>
  </si>
  <si>
    <t xml:space="preserve">L028985000001
</t>
  </si>
  <si>
    <t>1.1.27</t>
    <phoneticPr fontId="3" type="noConversion"/>
  </si>
  <si>
    <t xml:space="preserve">M02898A000A
</t>
    <phoneticPr fontId="3" type="noConversion"/>
  </si>
  <si>
    <t>m2</t>
  </si>
  <si>
    <t>餘方近運1km小搬運</t>
  </si>
  <si>
    <t>細整地</t>
    <phoneticPr fontId="3" type="noConversion"/>
  </si>
  <si>
    <t>混凝土作業工，澆置</t>
  </si>
  <si>
    <t xml:space="preserve">L000006900021
</t>
  </si>
  <si>
    <t>混凝土振動器</t>
  </si>
  <si>
    <t xml:space="preserve">E000003100004
</t>
  </si>
  <si>
    <t>混凝土養護</t>
  </si>
  <si>
    <t xml:space="preserve">0339000004
</t>
  </si>
  <si>
    <t>混凝土輸送設備</t>
  </si>
  <si>
    <t xml:space="preserve">E3532PWDX60104
</t>
  </si>
  <si>
    <t>產品，預拌混凝土材料費，280kgf/cm2，第2型水泥</t>
    <phoneticPr fontId="3" type="noConversion"/>
  </si>
  <si>
    <t xml:space="preserve">M0305046203
</t>
    <phoneticPr fontId="3" type="noConversion"/>
  </si>
  <si>
    <t xml:space="preserve">0331027203
</t>
    <phoneticPr fontId="3" type="noConversion"/>
  </si>
  <si>
    <t>操作手，開挖機</t>
    <phoneticPr fontId="3" type="noConversion"/>
  </si>
  <si>
    <t>河岸堤牆及護岸使用Ⅱ型水泥；
塊石背填:(1.5*1.5*0.45*0.45)^(1/2)*(233.11+13.25+67.43+18.25+42.9)m*0.15mTH=37.96</t>
    <phoneticPr fontId="3" type="noConversion"/>
  </si>
  <si>
    <t>餘土分類處理</t>
    <phoneticPr fontId="3" type="noConversion"/>
  </si>
  <si>
    <t>日</t>
    <phoneticPr fontId="3" type="noConversion"/>
  </si>
  <si>
    <t>02323M00AC</t>
  </si>
  <si>
    <t>E000004407001</t>
    <phoneticPr fontId="3" type="noConversion"/>
  </si>
  <si>
    <t>新增工項
02323M00AC</t>
    <phoneticPr fontId="3" type="noConversion"/>
  </si>
  <si>
    <t>鋼構吊裝</t>
    <phoneticPr fontId="3" type="noConversion"/>
  </si>
  <si>
    <t>kg</t>
    <phoneticPr fontId="3" type="noConversion"/>
  </si>
  <si>
    <t>055000A009</t>
    <phoneticPr fontId="3" type="noConversion"/>
  </si>
  <si>
    <t>新增工項055000A009</t>
    <phoneticPr fontId="3" type="noConversion"/>
  </si>
  <si>
    <t>一變：增加百齡暫置區3個月*2台(730→910)
二變：A標增加2台：730*2=1460
(道管*1+CCTV*4)</t>
    <phoneticPr fontId="3" type="noConversion"/>
  </si>
  <si>
    <t>新增工項
0223160P02</t>
    <phoneticPr fontId="3" type="noConversion"/>
  </si>
  <si>
    <t>新增工項02323M00AA</t>
    <phoneticPr fontId="3" type="noConversion"/>
  </si>
  <si>
    <t>臨時擋土支撐工法，中間支撐</t>
  </si>
  <si>
    <t>處內單價</t>
    <phoneticPr fontId="3" type="noConversion"/>
  </si>
  <si>
    <t>M月</t>
    <phoneticPr fontId="3" type="noConversion"/>
  </si>
  <si>
    <t>支撐工法，H型鋼，裝拆(含螺栓配件)</t>
    <phoneticPr fontId="3" type="noConversion"/>
  </si>
  <si>
    <t>覆工版，裝拆</t>
    <phoneticPr fontId="3" type="noConversion"/>
  </si>
  <si>
    <t>M2月</t>
    <phoneticPr fontId="3" type="noConversion"/>
  </si>
  <si>
    <t>吊放吊物，吊車(20t以上)</t>
  </si>
  <si>
    <t>處內單價</t>
  </si>
  <si>
    <t>臨時構台便橋</t>
    <phoneticPr fontId="3" type="noConversion"/>
  </si>
  <si>
    <t>2.10</t>
    <phoneticPr fontId="3" type="noConversion"/>
  </si>
  <si>
    <t>13801A0002m</t>
    <phoneticPr fontId="3" type="noConversion"/>
  </si>
  <si>
    <t>產品，支撐工法，H型鋼</t>
    <phoneticPr fontId="3" type="noConversion"/>
  </si>
  <si>
    <t>覆工版租金</t>
    <phoneticPr fontId="3" type="noConversion"/>
  </si>
  <si>
    <t>(偉寯125000+振華116000)/2=120500</t>
    <phoneticPr fontId="3" type="noConversion"/>
  </si>
  <si>
    <t>(沅璟78700+偉寯81580+振華78500)/3=79594</t>
    <phoneticPr fontId="3" type="noConversion"/>
  </si>
  <si>
    <t xml:space="preserve">01556H1001
</t>
  </si>
  <si>
    <t>結構鋼，熱軋型鋼，H型鋼，(H250xB250mm，t1=9mm，t2=14mm)</t>
  </si>
  <si>
    <t xml:space="preserve">0512018181
</t>
  </si>
  <si>
    <t>鋼管（∮113.9mm）</t>
  </si>
  <si>
    <t xml:space="preserve">05500PWD50C03
</t>
  </si>
  <si>
    <t>結構鋼，熱軋型鋼，輕量型鋼</t>
  </si>
  <si>
    <t xml:space="preserve">051201A001
</t>
  </si>
  <si>
    <t>加工組立（含焊接螺栓）、油漆及吊運組裝費</t>
  </si>
  <si>
    <t xml:space="preserve">05500PWD00004
</t>
  </si>
  <si>
    <t>變更原因</t>
    <phoneticPr fontId="3" type="noConversion"/>
  </si>
  <si>
    <t>品質管理，材料設備檢驗費，盤式支承(固定型、單向活動型)垂直載重試驗(含支承墊回復)</t>
  </si>
  <si>
    <t>品質管理，材料設備檢驗費，盤式支承(單向活動型)滑動摩擦係數試驗</t>
  </si>
  <si>
    <t>品質管理，材料設備檢驗費，盤式支承尺度及表面粗糙度試驗</t>
  </si>
  <si>
    <t>1.4.25</t>
    <phoneticPr fontId="3" type="noConversion"/>
  </si>
  <si>
    <t>詳計算式</t>
    <phoneticPr fontId="3" type="noConversion"/>
  </si>
  <si>
    <t>詳挖填方數量表</t>
    <phoneticPr fontId="3" type="noConversion"/>
  </si>
  <si>
    <t>詳計算式</t>
    <phoneticPr fontId="3" type="noConversion"/>
  </si>
  <si>
    <t>導線管2" 厚4mm，埋設</t>
    <phoneticPr fontId="3" type="noConversion"/>
  </si>
  <si>
    <t>導線管3" 厚5.5mm，埋設</t>
    <phoneticPr fontId="3" type="noConversion"/>
  </si>
  <si>
    <t>導線管4" 厚7mm，埋設</t>
    <phoneticPr fontId="3" type="noConversion"/>
  </si>
  <si>
    <t>導線管6" 厚9mm，埋設</t>
    <phoneticPr fontId="3" type="noConversion"/>
  </si>
  <si>
    <t>傾卸貨車，總重15-15.9t(災後)</t>
  </si>
  <si>
    <t>傾卸貨車，總重8-8.9t(災後)</t>
  </si>
  <si>
    <t>開挖機，履帶式抓斗，0.30~0.39m3(或小鏟裝車)(災後)</t>
  </si>
  <si>
    <t>開挖機，0.70~0.79m3(災後)</t>
  </si>
  <si>
    <t>吊卡車，15米-噸(災後)</t>
  </si>
  <si>
    <t>吊車，20t以上(災後)</t>
  </si>
  <si>
    <t>吊車，20t以下(災後)</t>
  </si>
  <si>
    <t>灑水車，8.0~8.9m3(災後)</t>
  </si>
  <si>
    <t>技術工(技術工、駕駛、操作手)(災後)</t>
  </si>
  <si>
    <t>普通工(災後)</t>
  </si>
  <si>
    <t>技術工(技術工、駕駛、操作手)，夜間(災後)</t>
  </si>
  <si>
    <t>普通工，夜間(災後)</t>
  </si>
  <si>
    <t>傾卸貨車，工程車3.5~6t(災後)</t>
  </si>
  <si>
    <t>拖車，總重35-35.9t(災後)</t>
  </si>
  <si>
    <t>鏈鋸機(含耗材工料)(災後)</t>
  </si>
  <si>
    <t>臨時設施，雜項工程，工地處理，施工動復員，大型機具(災後)</t>
  </si>
  <si>
    <t>臨時設施，雜項工程，工地處理，施工動復員，小型機具(災後)</t>
  </si>
  <si>
    <t>噴花地坪</t>
    <phoneticPr fontId="3" type="noConversion"/>
  </si>
  <si>
    <t>m2</t>
    <phoneticPr fontId="3" type="noConversion"/>
  </si>
  <si>
    <t>鋼筋混凝土管(B型)，D=300mm，三級管，未含開挖回填</t>
    <phoneticPr fontId="71" type="noConversion"/>
  </si>
  <si>
    <t>三合橋橋面欄杆</t>
    <phoneticPr fontId="3" type="noConversion"/>
  </si>
  <si>
    <t>預留管4支</t>
    <phoneticPr fontId="71" type="noConversion"/>
  </si>
  <si>
    <t>台智光2支</t>
    <phoneticPr fontId="71" type="noConversion"/>
  </si>
  <si>
    <t>中華電信8支</t>
    <phoneticPr fontId="71" type="noConversion"/>
  </si>
  <si>
    <t>台電8支</t>
    <phoneticPr fontId="71" type="noConversion"/>
  </si>
  <si>
    <t>銲接鋼線網，D=6.00mm，15x15cm</t>
  </si>
  <si>
    <t>M2</t>
    <phoneticPr fontId="3" type="noConversion"/>
  </si>
  <si>
    <t>鋼筋，植筋，D16mm，鑽孔(含空氣槍清孔)及化學藥劑</t>
    <phoneticPr fontId="71" type="noConversion"/>
  </si>
  <si>
    <t>鋼筋，植筋，D13mm，鑽孔(含空氣槍清孔)及化學藥劑</t>
    <phoneticPr fontId="71" type="noConversion"/>
  </si>
  <si>
    <t>支</t>
    <phoneticPr fontId="3" type="noConversion"/>
  </si>
  <si>
    <t>140kgf/cm2+210kgf/cm2</t>
    <phoneticPr fontId="3" type="noConversion"/>
  </si>
  <si>
    <t>碎石級配</t>
    <phoneticPr fontId="3" type="noConversion"/>
  </si>
  <si>
    <t>m3</t>
    <phoneticPr fontId="3" type="noConversion"/>
  </si>
  <si>
    <t>安全設施及安全保護器材(災後)</t>
    <phoneticPr fontId="3" type="noConversion"/>
  </si>
  <si>
    <t>式</t>
    <phoneticPr fontId="3" type="noConversion"/>
  </si>
  <si>
    <t>欄杆ABD重量、三合橋欄杆</t>
    <phoneticPr fontId="3" type="noConversion"/>
  </si>
  <si>
    <t>m2</t>
    <phoneticPr fontId="71" type="noConversion"/>
  </si>
  <si>
    <t>人工打石</t>
    <phoneticPr fontId="71" type="noConversion"/>
  </si>
  <si>
    <t>詳計算式</t>
    <phoneticPr fontId="3" type="noConversion"/>
  </si>
  <si>
    <t>118*規格表單位重(16+27.9)=5180.2</t>
    <phoneticPr fontId="3" type="noConversion"/>
  </si>
  <si>
    <t>詳數量計算</t>
    <phoneticPr fontId="3" type="noConversion"/>
  </si>
  <si>
    <t>河道整理</t>
    <phoneticPr fontId="3" type="noConversion"/>
  </si>
  <si>
    <t xml:space="preserve">  </t>
    <phoneticPr fontId="3" type="noConversion"/>
  </si>
  <si>
    <t xml:space="preserve"> </t>
    <phoneticPr fontId="3" type="noConversion"/>
  </si>
  <si>
    <t>原契約280m2/月*24個月，工區範圍30571.2m2，約1273.8m2/月*24個月</t>
    <phoneticPr fontId="3" type="noConversion"/>
  </si>
  <si>
    <t>餘方自行處理(含水土保持)，總重15t傾卸貨車</t>
    <phoneticPr fontId="3" type="noConversion"/>
  </si>
  <si>
    <t>140+210+280二型+clsm</t>
    <phoneticPr fontId="3" type="noConversion"/>
  </si>
  <si>
    <t>140+210+clsm</t>
    <phoneticPr fontId="3" type="noConversion"/>
  </si>
  <si>
    <t>詳計算式</t>
  </si>
  <si>
    <t>分類</t>
    <phoneticPr fontId="3" type="noConversion"/>
  </si>
  <si>
    <t>1.機關需求
2.機關需求(算臨時標線？)</t>
    <phoneticPr fontId="3" type="noConversion"/>
  </si>
  <si>
    <t>有沒有找到紀錄</t>
    <phoneticPr fontId="3" type="noConversion"/>
  </si>
  <si>
    <t>現場需求</t>
    <phoneticPr fontId="3" type="noConversion"/>
  </si>
  <si>
    <r>
      <t>P5-1座、</t>
    </r>
    <r>
      <rPr>
        <sz val="9"/>
        <color rgb="FFFF0000"/>
        <rFont val="新細明體"/>
        <family val="1"/>
        <charset val="136"/>
        <scheme val="minor"/>
      </rPr>
      <t>P1-2座</t>
    </r>
    <phoneticPr fontId="3" type="noConversion"/>
  </si>
  <si>
    <t>沒紀錄</t>
    <phoneticPr fontId="3" type="noConversion"/>
  </si>
  <si>
    <t>112年9月8日北市工水工字第1126049522號 第19點</t>
    <phoneticPr fontId="3" type="noConversion"/>
  </si>
  <si>
    <t>有-B標在二變已給(分成屬後續擴充2500萬工項-公園植栽面積；屬後續擴充5000萬工項-原契約編列為河道工程清潔所需，增加為後續整建工程清潔河道旁道路需求)</t>
    <phoneticPr fontId="3" type="noConversion"/>
  </si>
  <si>
    <t>固床工，砌排石工，乾砌塊石</t>
    <phoneticPr fontId="3" type="noConversion"/>
  </si>
  <si>
    <t>排水人孔，人孔蓋及蓋座，球狀石墨鑄鐵蓋，預鑄</t>
    <phoneticPr fontId="3" type="noConversion"/>
  </si>
  <si>
    <t>後續擴充(納入下次再變更)</t>
    <phoneticPr fontId="3" type="noConversion"/>
  </si>
  <si>
    <t>配合台北港調整</t>
    <phoneticPr fontId="3" type="noConversion"/>
  </si>
  <si>
    <t>植栽維護，喬木類，枯木移除(喬木類)，10cm≦米高直徑＜20cm</t>
    <phoneticPr fontId="3" type="noConversion"/>
  </si>
  <si>
    <t>第4次變更後總價(綜簽)</t>
    <phoneticPr fontId="3" type="noConversion"/>
  </si>
  <si>
    <t>四 變
數 量</t>
    <phoneticPr fontId="3" type="noConversion"/>
  </si>
  <si>
    <t>數量計算式</t>
    <phoneticPr fontId="71" type="noConversion"/>
  </si>
  <si>
    <t>工程名稱：磺港溪再造C段護岸及步道整建工程(延壽橋至三合橋)</t>
    <phoneticPr fontId="79" type="noConversion"/>
  </si>
  <si>
    <t>施工地點：北投磺港溪</t>
  </si>
  <si>
    <t>工程編號：111 070020302 038 02</t>
  </si>
  <si>
    <t>項  目  及  說  明</t>
  </si>
  <si>
    <t>原契約數量</t>
    <phoneticPr fontId="71" type="noConversion"/>
  </si>
  <si>
    <t>變更後數量</t>
    <phoneticPr fontId="71" type="noConversion"/>
  </si>
  <si>
    <t>項目</t>
    <phoneticPr fontId="71" type="noConversion"/>
  </si>
  <si>
    <t>小計</t>
    <phoneticPr fontId="71" type="noConversion"/>
  </si>
  <si>
    <t>數量</t>
    <phoneticPr fontId="71" type="noConversion"/>
  </si>
  <si>
    <t>數量計算累計</t>
    <phoneticPr fontId="71" type="noConversion"/>
  </si>
  <si>
    <t>　一</t>
  </si>
  <si>
    <t>　　(一)</t>
  </si>
  <si>
    <t>1.1.1</t>
  </si>
  <si>
    <t>現況整備圖:
自行車道打除(131+146.5+160.4+149.8+24.6+311.1)*0.1</t>
    <phoneticPr fontId="71" type="noConversion"/>
  </si>
  <si>
    <t>(131+146.5+160.4+149.8+24.6+311.1)*0.1</t>
    <phoneticPr fontId="71" type="noConversion"/>
  </si>
  <si>
    <r>
      <t>現況整備圖:
東側磺港路</t>
    </r>
    <r>
      <rPr>
        <sz val="12"/>
        <color indexed="8"/>
        <rFont val="標楷體"/>
        <family val="4"/>
        <charset val="136"/>
      </rPr>
      <t>AC</t>
    </r>
    <r>
      <rPr>
        <sz val="12"/>
        <color rgb="FF000000"/>
        <rFont val="標楷體"/>
        <family val="4"/>
        <charset val="136"/>
      </rPr>
      <t>打除(339.4+542.2+512+774.5)</t>
    </r>
    <r>
      <rPr>
        <sz val="12"/>
        <color indexed="8"/>
        <rFont val="標楷體"/>
        <family val="4"/>
        <charset val="136"/>
      </rPr>
      <t>*0.2</t>
    </r>
    <phoneticPr fontId="71" type="noConversion"/>
  </si>
  <si>
    <t>(339.4+542.2+512+774.5)*0.2</t>
    <phoneticPr fontId="71" type="noConversion"/>
  </si>
  <si>
    <t>1.1.2</t>
  </si>
  <si>
    <t>鋪面打除</t>
    <phoneticPr fontId="71" type="noConversion"/>
  </si>
  <si>
    <t>(825.8+623.9+1160.3+964.3+522.6+839.7)*0.3</t>
    <phoneticPr fontId="71" type="noConversion"/>
  </si>
  <si>
    <t>堤防拆除</t>
    <phoneticPr fontId="71" type="noConversion"/>
  </si>
  <si>
    <t>(69.3+116+83.4+87+0+34.5)*2.6</t>
    <phoneticPr fontId="71" type="noConversion"/>
  </si>
  <si>
    <t>結構物、管涵打除</t>
    <phoneticPr fontId="71" type="noConversion"/>
  </si>
  <si>
    <t>(52.8+101.5+85+42.9+18.9+17.9)*1</t>
    <phoneticPr fontId="71" type="noConversion"/>
  </si>
  <si>
    <t>階梯打除</t>
    <phoneticPr fontId="71" type="noConversion"/>
  </si>
  <si>
    <t>(16.7+14.8+0+0+0+5.1)*2.2</t>
    <phoneticPr fontId="71" type="noConversion"/>
  </si>
  <si>
    <t>排水溝打除</t>
    <phoneticPr fontId="71" type="noConversion"/>
  </si>
  <si>
    <t>(209.5+221.3+250.5+260.6+0+218.8)*0.44</t>
    <phoneticPr fontId="71" type="noConversion"/>
  </si>
  <si>
    <t>緣石打除</t>
    <phoneticPr fontId="71" type="noConversion"/>
  </si>
  <si>
    <t>(144+162+145.7+151.7+0+100.9)*0.033</t>
    <phoneticPr fontId="71" type="noConversion"/>
  </si>
  <si>
    <t>擋牆部分打除</t>
    <phoneticPr fontId="71" type="noConversion"/>
  </si>
  <si>
    <t>(0+0+0+0+0+3.3)*0.4</t>
    <phoneticPr fontId="71" type="noConversion"/>
  </si>
  <si>
    <t>磺港路橋</t>
    <phoneticPr fontId="71" type="noConversion"/>
  </si>
  <si>
    <t xml:space="preserve">(9.32-6.28)*54.61/2*7.2 + 2.5*52.14*8.7 + (9.28-8.01)*22.33/2*7.2 </t>
    <phoneticPr fontId="71" type="noConversion"/>
  </si>
  <si>
    <t>人行橋(共月處)</t>
    <phoneticPr fontId="71" type="noConversion"/>
  </si>
  <si>
    <t>6.2*19.95*1.5+6.2*19.95*1.5+3*1.5*2.2/2*2+1.95*1.05*1.8/2*2</t>
    <phoneticPr fontId="71" type="noConversion"/>
  </si>
  <si>
    <t>三合橋</t>
    <phoneticPr fontId="71" type="noConversion"/>
  </si>
  <si>
    <t>11.78*13.55*2+11.78*13.55*2</t>
    <phoneticPr fontId="71" type="noConversion"/>
  </si>
  <si>
    <t>既有雙孔箱涵部分拆除</t>
    <phoneticPr fontId="71" type="noConversion"/>
  </si>
  <si>
    <t>20.98*3*0.5*2.5+三合橋下版面236.2*0.5+鄰近人行道20*2.5*0.3</t>
    <phoneticPr fontId="71" type="noConversion"/>
  </si>
  <si>
    <t>延壽橋既有河底打除(PC樁)</t>
    <phoneticPr fontId="71" type="noConversion"/>
  </si>
  <si>
    <t>0.6深*長80*河道寬3</t>
    <phoneticPr fontId="71" type="noConversion"/>
  </si>
  <si>
    <t>既有排水設施(單孔箱涵，W*H=1.6m*1.4m)部分拆除</t>
    <phoneticPr fontId="71" type="noConversion"/>
  </si>
  <si>
    <t>11.77*5.46</t>
    <phoneticPr fontId="71" type="noConversion"/>
  </si>
  <si>
    <t>1.1.3</t>
  </si>
  <si>
    <t>1.1.4</t>
  </si>
  <si>
    <t>詳挖方計算式</t>
    <phoneticPr fontId="71" type="noConversion"/>
  </si>
  <si>
    <t>1.1.5</t>
  </si>
  <si>
    <t>舊磺港陸橋</t>
    <phoneticPr fontId="71" type="noConversion"/>
  </si>
  <si>
    <t>892.19*0.1</t>
    <phoneticPr fontId="71" type="noConversion"/>
  </si>
  <si>
    <t>西側磺港路(由南至北)</t>
    <phoneticPr fontId="71" type="noConversion"/>
  </si>
  <si>
    <t>(613.36+615.86+589.71+964.58)*0.1</t>
    <phoneticPr fontId="71" type="noConversion"/>
  </si>
  <si>
    <t>三合街一段</t>
    <phoneticPr fontId="71" type="noConversion"/>
  </si>
  <si>
    <t>346.6*0.2</t>
    <phoneticPr fontId="71" type="noConversion"/>
  </si>
  <si>
    <t>三合街二段</t>
    <phoneticPr fontId="71" type="noConversion"/>
  </si>
  <si>
    <t>605.24*0.2</t>
    <phoneticPr fontId="71" type="noConversion"/>
  </si>
  <si>
    <t>三合橋施工便橋AC刨除</t>
    <phoneticPr fontId="71" type="noConversion"/>
  </si>
  <si>
    <t>69.6*10*0.1</t>
    <phoneticPr fontId="71" type="noConversion"/>
  </si>
  <si>
    <t>1.1.6</t>
  </si>
  <si>
    <t>0K+440~620雙孔箱涵與既有堤牆側回填</t>
    <phoneticPr fontId="71" type="noConversion"/>
  </si>
  <si>
    <t>0K+280~440雙孔箱涵與既有堤牆側回填</t>
    <phoneticPr fontId="71" type="noConversion"/>
  </si>
  <si>
    <t>公園景觀回填</t>
    <phoneticPr fontId="71" type="noConversion"/>
  </si>
  <si>
    <t>1.1.7</t>
  </si>
  <si>
    <t>路幅開挖-利用填方-構造物回填</t>
    <phoneticPr fontId="71" type="noConversion"/>
  </si>
  <si>
    <t>1.1.8</t>
  </si>
  <si>
    <t>詳聯單</t>
    <phoneticPr fontId="71" type="noConversion"/>
  </si>
  <si>
    <t>1.1.9</t>
  </si>
  <si>
    <t>1.1.10</t>
  </si>
  <si>
    <t>1.1.11</t>
  </si>
  <si>
    <t>西側磺港路施工便道</t>
    <phoneticPr fontId="71" type="noConversion"/>
  </si>
  <si>
    <t>1.1.12</t>
    <phoneticPr fontId="71" type="noConversion"/>
  </si>
  <si>
    <t>詳整備圖環境整清</t>
    <phoneticPr fontId="71" type="noConversion"/>
  </si>
  <si>
    <t>三合橋下衛工砌石舖面</t>
    <phoneticPr fontId="71" type="noConversion"/>
  </si>
  <si>
    <t>1.1.13</t>
    <phoneticPr fontId="71" type="noConversion"/>
  </si>
  <si>
    <t>1.1.14</t>
    <phoneticPr fontId="71" type="noConversion"/>
  </si>
  <si>
    <t>磺港陸橋</t>
    <phoneticPr fontId="71" type="noConversion"/>
  </si>
  <si>
    <t>55*2+53*6+23*2</t>
  </si>
  <si>
    <t>人行橋</t>
    <phoneticPr fontId="71" type="noConversion"/>
  </si>
  <si>
    <t>20*4+2*3+1</t>
  </si>
  <si>
    <t>12*(3+2)+7*(3+2)</t>
    <phoneticPr fontId="71" type="noConversion"/>
  </si>
  <si>
    <t>1.1.15</t>
    <phoneticPr fontId="71" type="noConversion"/>
  </si>
  <si>
    <t>詳整備圖欄杆拆除</t>
    <phoneticPr fontId="71" type="noConversion"/>
  </si>
  <si>
    <t>1.1.16</t>
    <phoneticPr fontId="71" type="noConversion"/>
  </si>
  <si>
    <t>既有路燈</t>
    <phoneticPr fontId="71" type="noConversion"/>
  </si>
  <si>
    <t>13+14+19+16+10+8</t>
    <phoneticPr fontId="71" type="noConversion"/>
  </si>
  <si>
    <t>1.1.17</t>
    <phoneticPr fontId="71" type="noConversion"/>
  </si>
  <si>
    <t>詳內運單</t>
    <phoneticPr fontId="71" type="noConversion"/>
  </si>
  <si>
    <t>1.1.18</t>
  </si>
  <si>
    <t>1.1.19</t>
  </si>
  <si>
    <t>1.1.20</t>
  </si>
  <si>
    <t>1.1.21</t>
  </si>
  <si>
    <t>1.1.22</t>
  </si>
  <si>
    <t>1.1.23</t>
  </si>
  <si>
    <t>第1期計價</t>
    <phoneticPr fontId="71" type="noConversion"/>
  </si>
  <si>
    <t>第2期計價</t>
    <phoneticPr fontId="71" type="noConversion"/>
  </si>
  <si>
    <t>4人*30天*8</t>
    <phoneticPr fontId="71" type="noConversion"/>
  </si>
  <si>
    <t>第3期計價</t>
  </si>
  <si>
    <t>8H*10</t>
    <phoneticPr fontId="71" type="noConversion"/>
  </si>
  <si>
    <t>第4期計價</t>
  </si>
  <si>
    <t>4*15*8</t>
    <phoneticPr fontId="71" type="noConversion"/>
  </si>
  <si>
    <t>第5期計價</t>
  </si>
  <si>
    <t>未計價</t>
    <phoneticPr fontId="71" type="noConversion"/>
  </si>
  <si>
    <t>第6期計價</t>
  </si>
  <si>
    <t>960+第5期960</t>
    <phoneticPr fontId="71" type="noConversion"/>
  </si>
  <si>
    <t>第7期計價</t>
  </si>
  <si>
    <t>30*4*9H</t>
    <phoneticPr fontId="71" type="noConversion"/>
  </si>
  <si>
    <t>第8期計價</t>
  </si>
  <si>
    <t>第9期計價</t>
  </si>
  <si>
    <t>第10期計價</t>
  </si>
  <si>
    <t>第11期計價</t>
  </si>
  <si>
    <t>第12期計價</t>
  </si>
  <si>
    <t>30*4*9+第11期30*4*9</t>
    <phoneticPr fontId="71" type="noConversion"/>
  </si>
  <si>
    <t>第13期計價</t>
    <phoneticPr fontId="71" type="noConversion"/>
  </si>
  <si>
    <t>30*3*8</t>
    <phoneticPr fontId="71" type="noConversion"/>
  </si>
  <si>
    <t>第14期計價</t>
    <phoneticPr fontId="71" type="noConversion"/>
  </si>
  <si>
    <t>1.1.24</t>
    <phoneticPr fontId="3" type="noConversion"/>
  </si>
  <si>
    <t>29.7*50+27*18.3/2+13.46*50</t>
    <phoneticPr fontId="71" type="noConversion"/>
  </si>
  <si>
    <t>餘土分類處理</t>
  </si>
  <si>
    <t>日</t>
  </si>
  <si>
    <t>詳日報表</t>
    <phoneticPr fontId="71" type="noConversion"/>
  </si>
  <si>
    <t>1.1.26</t>
    <phoneticPr fontId="3" type="noConversion"/>
  </si>
  <si>
    <t>磺港路東側汽車格塗銷</t>
    <phoneticPr fontId="3" type="noConversion"/>
  </si>
  <si>
    <t>137.28*0.1+1.83*25*0.1+65.76*0.1+1.83*12*0.1</t>
    <phoneticPr fontId="7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</si>
  <si>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71" type="noConversion"/>
  </si>
  <si>
    <t>磺港路西側機車格塗銷</t>
    <phoneticPr fontId="3" type="noConversion"/>
  </si>
  <si>
    <t>(3.41+10.3+5.6+4.85)*0.1+1.65*(5+14+8+8)*0.1</t>
    <phoneticPr fontId="71" type="noConversion"/>
  </si>
  <si>
    <t>磺港路西側殘障車格塗銷</t>
    <phoneticPr fontId="3" type="noConversion"/>
  </si>
  <si>
    <t>5.43*0.1+2.04*2*0.1</t>
    <phoneticPr fontId="71" type="noConversion"/>
  </si>
  <si>
    <t>磺港路東側禁停紅線繪製</t>
    <phoneticPr fontId="3" type="noConversion"/>
  </si>
  <si>
    <t>137.28*2*0.1</t>
    <phoneticPr fontId="71" type="noConversion"/>
  </si>
  <si>
    <t>磺港路西側禁停紅線繪製</t>
    <phoneticPr fontId="3" type="noConversion"/>
  </si>
  <si>
    <t>371.9*2*0.1</t>
    <phoneticPr fontId="71" type="noConversion"/>
  </si>
  <si>
    <t>M3</t>
    <phoneticPr fontId="71" type="noConversion"/>
  </si>
  <si>
    <t>配合拆除標施作，場內土方搬運</t>
    <phoneticPr fontId="3" type="noConversion"/>
  </si>
  <si>
    <t>高1.8*長50*寬22.3</t>
    <phoneticPr fontId="71" type="noConversion"/>
  </si>
  <si>
    <t>1.1.28</t>
    <phoneticPr fontId="71" type="noConversion"/>
  </si>
  <si>
    <t>細整地</t>
  </si>
  <si>
    <t>M2</t>
    <phoneticPr fontId="71" type="noConversion"/>
  </si>
  <si>
    <t>2405+29.7*31</t>
    <phoneticPr fontId="71" type="noConversion"/>
  </si>
  <si>
    <t>東西側磺港路禁停紅線137.28*2*0.1+371.9*2*0.1+延壽橋雙紅線72*2*0.1+雙黃線72*2*0.1+三合橋車行便道71*0.1*4+指向線8*7+行穿線3*0.4*9+停車線0.4*4*5+車道線30*0.1*2</t>
    <phoneticPr fontId="71" type="noConversion"/>
  </si>
  <si>
    <t>　　(二)</t>
    <phoneticPr fontId="71" type="noConversion"/>
  </si>
  <si>
    <t>土建景觀工程</t>
    <phoneticPr fontId="71" type="noConversion"/>
  </si>
  <si>
    <t>1.2.1</t>
    <phoneticPr fontId="71" type="noConversion"/>
  </si>
  <si>
    <t>透水磚紙模地坪</t>
    <phoneticPr fontId="71" type="noConversion"/>
  </si>
  <si>
    <t>1*1*0.39*5207.01</t>
    <phoneticPr fontId="71" type="noConversion"/>
  </si>
  <si>
    <t>石材鋪面</t>
    <phoneticPr fontId="71" type="noConversion"/>
  </si>
  <si>
    <t>1*1*0.23*375.23</t>
    <phoneticPr fontId="71" type="noConversion"/>
  </si>
  <si>
    <t>卵石鋪面</t>
    <phoneticPr fontId="71" type="noConversion"/>
  </si>
  <si>
    <t>1*1*0.28</t>
    <phoneticPr fontId="71" type="noConversion"/>
  </si>
  <si>
    <t>露骨材地坪</t>
    <phoneticPr fontId="71" type="noConversion"/>
  </si>
  <si>
    <t>1*1*0.2*34.8</t>
    <phoneticPr fontId="71" type="noConversion"/>
  </si>
  <si>
    <t>PC地坪</t>
    <phoneticPr fontId="71" type="noConversion"/>
  </si>
  <si>
    <t>1*1*0.2*11.98</t>
    <phoneticPr fontId="71" type="noConversion"/>
  </si>
  <si>
    <t>格柵鋪面A</t>
    <phoneticPr fontId="71" type="noConversion"/>
  </si>
  <si>
    <t>2.425*0.6*0.45*8</t>
    <phoneticPr fontId="71" type="noConversion"/>
  </si>
  <si>
    <t>混凝土板地坪</t>
    <phoneticPr fontId="71" type="noConversion"/>
  </si>
  <si>
    <t>1.1*0.9*0.33*19</t>
    <phoneticPr fontId="71" type="noConversion"/>
  </si>
  <si>
    <t>界石收邊</t>
    <phoneticPr fontId="71" type="noConversion"/>
  </si>
  <si>
    <t>1*0.1*0.29*360.35</t>
    <phoneticPr fontId="71" type="noConversion"/>
  </si>
  <si>
    <t>緣石收邊</t>
    <phoneticPr fontId="71" type="noConversion"/>
  </si>
  <si>
    <t>1*0.23*0.33*691.14</t>
    <phoneticPr fontId="71" type="noConversion"/>
  </si>
  <si>
    <t>道路緣石收邊</t>
    <phoneticPr fontId="71" type="noConversion"/>
  </si>
  <si>
    <t>1*0.15*0.3*890.62</t>
    <phoneticPr fontId="71" type="noConversion"/>
  </si>
  <si>
    <t>道路緣石斜坡式</t>
    <phoneticPr fontId="71" type="noConversion"/>
  </si>
  <si>
    <t>1*0.15*0.27*85.77</t>
    <phoneticPr fontId="71" type="noConversion"/>
  </si>
  <si>
    <t>場鑄道路緣石</t>
    <phoneticPr fontId="71" type="noConversion"/>
  </si>
  <si>
    <t>1*0.15*0.15*187.82</t>
    <phoneticPr fontId="7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</si>
  <si>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71" type="noConversion"/>
  </si>
  <si>
    <t>警示帶定位磚</t>
    <phoneticPr fontId="71" type="noConversion"/>
  </si>
  <si>
    <t>1*1*0.3*20.48</t>
    <phoneticPr fontId="71" type="noConversion"/>
  </si>
  <si>
    <t>雨水積磚</t>
    <phoneticPr fontId="71" type="noConversion"/>
  </si>
  <si>
    <t>1.2.2</t>
    <phoneticPr fontId="71" type="noConversion"/>
  </si>
  <si>
    <t>座台A</t>
    <phoneticPr fontId="71" type="noConversion"/>
  </si>
  <si>
    <t>1*0.2*0.29*354.7</t>
    <phoneticPr fontId="71" type="noConversion"/>
  </si>
  <si>
    <t>座台B</t>
    <phoneticPr fontId="71" type="noConversion"/>
  </si>
  <si>
    <t>1*0.3*0.29*44.7</t>
    <phoneticPr fontId="71" type="noConversion"/>
  </si>
  <si>
    <t>座台C</t>
    <phoneticPr fontId="71" type="noConversion"/>
  </si>
  <si>
    <t>1*0.8*0.45*31</t>
    <phoneticPr fontId="71" type="noConversion"/>
  </si>
  <si>
    <t>座台D</t>
    <phoneticPr fontId="71" type="noConversion"/>
  </si>
  <si>
    <t>1*0.3*0.7*18.1</t>
    <phoneticPr fontId="71" type="noConversion"/>
  </si>
  <si>
    <t>座台E</t>
    <phoneticPr fontId="71" type="noConversion"/>
  </si>
  <si>
    <t>1*0.4*0.29*180.4</t>
    <phoneticPr fontId="71" type="noConversion"/>
  </si>
  <si>
    <t>座台F</t>
    <phoneticPr fontId="71" type="noConversion"/>
  </si>
  <si>
    <t>1*0.3*0.29*25.6</t>
    <phoneticPr fontId="71" type="noConversion"/>
  </si>
  <si>
    <t>座椅A</t>
    <phoneticPr fontId="71" type="noConversion"/>
  </si>
  <si>
    <t>(1.5*0.647*0.29)+(1*0.225*0.29)*7</t>
    <phoneticPr fontId="71" type="noConversion"/>
  </si>
  <si>
    <t>座椅B</t>
    <phoneticPr fontId="71" type="noConversion"/>
  </si>
  <si>
    <t>1*0.5*0.29*7.8</t>
    <phoneticPr fontId="71" type="noConversion"/>
  </si>
  <si>
    <t>座椅C</t>
    <phoneticPr fontId="71" type="noConversion"/>
  </si>
  <si>
    <t>0.3*0.2*0.367*2</t>
    <phoneticPr fontId="71" type="noConversion"/>
  </si>
  <si>
    <t>座椅D-1</t>
    <phoneticPr fontId="71" type="noConversion"/>
  </si>
  <si>
    <t>0.56*0.56*0.192*3</t>
    <phoneticPr fontId="71" type="noConversion"/>
  </si>
  <si>
    <t>草地座階</t>
    <phoneticPr fontId="71" type="noConversion"/>
  </si>
  <si>
    <t>1*0.8*0.4*18</t>
    <phoneticPr fontId="71" type="noConversion"/>
  </si>
  <si>
    <t>擋牆a'</t>
    <phoneticPr fontId="71" type="noConversion"/>
  </si>
  <si>
    <t>1*1.2*1.1*17.1</t>
    <phoneticPr fontId="71" type="noConversion"/>
  </si>
  <si>
    <t>擋牆b'</t>
    <phoneticPr fontId="71" type="noConversion"/>
  </si>
  <si>
    <t>擋牆c'</t>
    <phoneticPr fontId="71" type="noConversion"/>
  </si>
  <si>
    <t>1*0.3*1.48*32.5</t>
    <phoneticPr fontId="71" type="noConversion"/>
  </si>
  <si>
    <t>樓梯A</t>
    <phoneticPr fontId="71" type="noConversion"/>
  </si>
  <si>
    <t>13.89*2*0.55</t>
    <phoneticPr fontId="71" type="noConversion"/>
  </si>
  <si>
    <t>樓梯B</t>
    <phoneticPr fontId="71" type="noConversion"/>
  </si>
  <si>
    <t>0.66*1.2*0.3</t>
    <phoneticPr fontId="71" type="noConversion"/>
  </si>
  <si>
    <t>樓梯C</t>
    <phoneticPr fontId="71" type="noConversion"/>
  </si>
  <si>
    <t>1.32*1.2*0.4</t>
    <phoneticPr fontId="71" type="noConversion"/>
  </si>
  <si>
    <t>樓梯I</t>
    <phoneticPr fontId="71" type="noConversion"/>
  </si>
  <si>
    <t>1.98*1.2*0.47</t>
    <phoneticPr fontId="71" type="noConversion"/>
  </si>
  <si>
    <t>樓梯L</t>
    <phoneticPr fontId="71" type="noConversion"/>
  </si>
  <si>
    <t>0.3*6.63*0.35</t>
    <phoneticPr fontId="71" type="noConversion"/>
  </si>
  <si>
    <t>地圖牌</t>
    <phoneticPr fontId="71" type="noConversion"/>
  </si>
  <si>
    <t>1.6*0.7*0.76</t>
    <phoneticPr fontId="71" type="noConversion"/>
  </si>
  <si>
    <t>全區導覽牌</t>
    <phoneticPr fontId="71" type="noConversion"/>
  </si>
  <si>
    <t>1.1*0.55*1*2</t>
    <phoneticPr fontId="71" type="noConversion"/>
  </si>
  <si>
    <t>公園自治條例牌</t>
    <phoneticPr fontId="71" type="noConversion"/>
  </si>
  <si>
    <t>1.1*0.55*0.75</t>
    <phoneticPr fontId="71" type="noConversion"/>
  </si>
  <si>
    <t>方向指示牌</t>
    <phoneticPr fontId="71" type="noConversion"/>
  </si>
  <si>
    <t>0.7*0.7*0.66*3</t>
    <phoneticPr fontId="71" type="noConversion"/>
  </si>
  <si>
    <t>水位警示設施</t>
    <phoneticPr fontId="71" type="noConversion"/>
  </si>
  <si>
    <t>3.1*0.6*0.25*4</t>
    <phoneticPr fontId="71" type="noConversion"/>
  </si>
  <si>
    <t>警示設施說明牌D</t>
    <phoneticPr fontId="71" type="noConversion"/>
  </si>
  <si>
    <t>0.9*0.5*0.43*5</t>
    <phoneticPr fontId="71" type="noConversion"/>
  </si>
  <si>
    <t>警示設施說明牌E</t>
    <phoneticPr fontId="71" type="noConversion"/>
  </si>
  <si>
    <t>0.9*0.5*0.43</t>
    <phoneticPr fontId="71" type="noConversion"/>
  </si>
  <si>
    <t>解說牌A</t>
    <phoneticPr fontId="71" type="noConversion"/>
  </si>
  <si>
    <t>0.9*0.5*0.43*6</t>
    <phoneticPr fontId="71" type="noConversion"/>
  </si>
  <si>
    <t>解說牌B</t>
    <phoneticPr fontId="71" type="noConversion"/>
  </si>
  <si>
    <t>0.9*0.5*0.43*2</t>
    <phoneticPr fontId="71" type="noConversion"/>
  </si>
  <si>
    <t>高程控制樁A</t>
    <phoneticPr fontId="71" type="noConversion"/>
  </si>
  <si>
    <t>0.4*0.4*0.41*2</t>
    <phoneticPr fontId="71" type="noConversion"/>
  </si>
  <si>
    <t>高程控制樁B</t>
    <phoneticPr fontId="71" type="noConversion"/>
  </si>
  <si>
    <t>0.4*0.4*0.41*4</t>
    <phoneticPr fontId="71" type="noConversion"/>
  </si>
  <si>
    <t>斜坡道</t>
    <phoneticPr fontId="71" type="noConversion"/>
  </si>
  <si>
    <t>(6.187*1.5*0.45)+(10.694*3.565*0.45)</t>
    <phoneticPr fontId="71" type="noConversion"/>
  </si>
  <si>
    <t>洗手(腳)池</t>
    <phoneticPr fontId="71" type="noConversion"/>
  </si>
  <si>
    <t>(0.6*0.25*0.48)*1</t>
    <phoneticPr fontId="71" type="noConversion"/>
  </si>
  <si>
    <t>陰井</t>
    <phoneticPr fontId="71" type="noConversion"/>
  </si>
  <si>
    <t>0.8*0.8*0.95*62</t>
    <phoneticPr fontId="71" type="noConversion"/>
  </si>
  <si>
    <t>截水溝A</t>
    <phoneticPr fontId="71" type="noConversion"/>
  </si>
  <si>
    <t>0.6*0.65*0.5*13</t>
    <phoneticPr fontId="71" type="noConversion"/>
  </si>
  <si>
    <t>截水溝B</t>
    <phoneticPr fontId="71" type="noConversion"/>
  </si>
  <si>
    <t>0.6*0.65*0.5*41.7</t>
    <phoneticPr fontId="71" type="noConversion"/>
  </si>
  <si>
    <t>截水溝C</t>
    <phoneticPr fontId="71" type="noConversion"/>
  </si>
  <si>
    <t>0.32*0.405*0.5*1.3</t>
    <phoneticPr fontId="71" type="noConversion"/>
  </si>
  <si>
    <t>草溝+HDPE管4"</t>
    <phoneticPr fontId="71" type="noConversion"/>
  </si>
  <si>
    <t>1*0.4*0.6*122.3</t>
    <phoneticPr fontId="71" type="noConversion"/>
  </si>
  <si>
    <t>草溝+HDPE管6"</t>
    <phoneticPr fontId="71" type="noConversion"/>
  </si>
  <si>
    <t>1*0.4*0.6*101.1</t>
    <phoneticPr fontId="71" type="noConversion"/>
  </si>
  <si>
    <t>HDPE透水管，3"</t>
    <phoneticPr fontId="71" type="noConversion"/>
  </si>
  <si>
    <t>1*0.95*0.5*489</t>
    <phoneticPr fontId="71" type="noConversion"/>
  </si>
  <si>
    <t>1*0.95*0.5*216</t>
    <phoneticPr fontId="71" type="noConversion"/>
  </si>
  <si>
    <t>PVC管，2"</t>
    <phoneticPr fontId="71" type="noConversion"/>
  </si>
  <si>
    <t>1*0.95*0.5*45.16</t>
    <phoneticPr fontId="71" type="noConversion"/>
  </si>
  <si>
    <t>PVC管，4"</t>
    <phoneticPr fontId="71" type="noConversion"/>
  </si>
  <si>
    <t>1*0.95*0.5*116.8</t>
    <phoneticPr fontId="71" type="noConversion"/>
  </si>
  <si>
    <t>PVC管，4A"(厚管)</t>
    <phoneticPr fontId="71" type="noConversion"/>
  </si>
  <si>
    <t>1*0.95*0.5*25.8</t>
    <phoneticPr fontId="71" type="noConversion"/>
  </si>
  <si>
    <t>PVC管，6"</t>
    <phoneticPr fontId="71" type="noConversion"/>
  </si>
  <si>
    <t>1*0.95*0.5*53.89</t>
    <phoneticPr fontId="71" type="noConversion"/>
  </si>
  <si>
    <t>PVC管，8"</t>
    <phoneticPr fontId="71" type="noConversion"/>
  </si>
  <si>
    <t>1*0.95*0.5*21</t>
    <phoneticPr fontId="71" type="noConversion"/>
  </si>
  <si>
    <t>淺溝</t>
    <phoneticPr fontId="71" type="noConversion"/>
  </si>
  <si>
    <t>1*0.311*0.21*275.6</t>
    <phoneticPr fontId="71" type="noConversion"/>
  </si>
  <si>
    <t>1.2.3</t>
  </si>
  <si>
    <t>(牆主筋(1.4+0.5+1.4+0.2)*10/0.15+牆副筋8*2*10+版副筋6*10+版主筋10/0.15*0.8)*0.994</t>
    <phoneticPr fontId="71" type="noConversion"/>
  </si>
  <si>
    <t>三合橋護欄</t>
    <phoneticPr fontId="71" type="noConversion"/>
  </si>
  <si>
    <t>詳鋼筋數量表1108.24</t>
    <phoneticPr fontId="71" type="noConversion"/>
  </si>
  <si>
    <t>河側植栽槽0k+280~625</t>
    <phoneticPr fontId="71" type="noConversion"/>
  </si>
  <si>
    <t>((625-280-15)*(0.994)+(625-280-15)/0.5*0.40)*1.1</t>
    <phoneticPr fontId="71" type="noConversion"/>
  </si>
  <si>
    <t>1.2.4</t>
  </si>
  <si>
    <t>0k+280~290擋土矮牆(A-2)</t>
    <phoneticPr fontId="71" type="noConversion"/>
  </si>
  <si>
    <t>10*0.05(0.5+0.2+0.2)</t>
    <phoneticPr fontId="71" type="noConversion"/>
  </si>
  <si>
    <t>(11.9+4.1)*0.45*0.05</t>
    <phoneticPr fontId="71" type="noConversion"/>
  </si>
  <si>
    <t>1.2.5</t>
  </si>
  <si>
    <t>三合橋人行道施工便道(E0K+037~E0K+050、E0K+080~082.1)</t>
    <phoneticPr fontId="71" type="noConversion"/>
  </si>
  <si>
    <t>12*3*0.1+2.1*2.9*0.1</t>
    <phoneticPr fontId="71" type="noConversion"/>
  </si>
  <si>
    <t>橋上人行道</t>
    <phoneticPr fontId="71" type="noConversion"/>
  </si>
  <si>
    <t>0.22*2.6*(17.76+22.18)</t>
    <phoneticPr fontId="71" type="noConversion"/>
  </si>
  <si>
    <t>橋上人行道護欄</t>
    <phoneticPr fontId="71" type="noConversion"/>
  </si>
  <si>
    <t>(0.83+0.22)*(17.76+22.18)*0.4</t>
    <phoneticPr fontId="71" type="noConversion"/>
  </si>
  <si>
    <t>(625-280-15)*(0.25)*0.15</t>
    <phoneticPr fontId="71" type="noConversion"/>
  </si>
  <si>
    <t>1.2.6</t>
  </si>
  <si>
    <t>10*1.5*2+0.8*0.2*2+1.3*0.2*2</t>
    <phoneticPr fontId="71" type="noConversion"/>
  </si>
  <si>
    <t>12*2+2.1*2*0.1</t>
    <phoneticPr fontId="71" type="noConversion"/>
  </si>
  <si>
    <t>橋上人行道鋪面</t>
    <phoneticPr fontId="71" type="noConversion"/>
  </si>
  <si>
    <t>0.22*2*(17.76+22.18)</t>
    <phoneticPr fontId="71" type="noConversion"/>
  </si>
  <si>
    <t>(0.83+0.22)*2*(17.76+22.18)</t>
    <phoneticPr fontId="71" type="noConversion"/>
  </si>
  <si>
    <t>(625-280-15)*(0.25)*2</t>
    <phoneticPr fontId="71" type="noConversion"/>
  </si>
  <si>
    <t>1.2.7</t>
  </si>
  <si>
    <t>1.2.8</t>
  </si>
  <si>
    <t>三合橋橋面欄杆</t>
    <phoneticPr fontId="71" type="noConversion"/>
  </si>
  <si>
    <t>13.9*24.1</t>
    <phoneticPr fontId="71" type="noConversion"/>
  </si>
  <si>
    <t>94.15*45.1</t>
    <phoneticPr fontId="71" type="noConversion"/>
  </si>
  <si>
    <t>13.5*43.2</t>
    <phoneticPr fontId="71" type="noConversion"/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</si>
  <si>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</si>
  <si>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</si>
  <si>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</si>
  <si>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</si>
  <si>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</si>
  <si>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</si>
  <si>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</si>
  <si>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</si>
  <si>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</si>
  <si>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</si>
  <si>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</si>
  <si>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</si>
  <si>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</si>
  <si>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</si>
  <si>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1.2.23</t>
  </si>
  <si>
    <t>1.2.24</t>
  </si>
  <si>
    <t>界石收邊 10*10cm</t>
    <phoneticPr fontId="71" type="noConversion"/>
  </si>
  <si>
    <t>1.2.25</t>
  </si>
  <si>
    <t>緣石收邊 10*20cm</t>
    <phoneticPr fontId="71" type="noConversion"/>
  </si>
  <si>
    <t>1.2.26</t>
  </si>
  <si>
    <t>1.2.27</t>
  </si>
  <si>
    <t>1.2.28</t>
  </si>
  <si>
    <t>1.2.29</t>
  </si>
  <si>
    <t>1.2.30</t>
  </si>
  <si>
    <t>1.2.31</t>
  </si>
  <si>
    <t>1.2.32</t>
  </si>
  <si>
    <t>1.2.33</t>
  </si>
  <si>
    <t>1.2.34</t>
  </si>
  <si>
    <t>1.2.35</t>
  </si>
  <si>
    <t>1.2.36</t>
  </si>
  <si>
    <t>1.2.37</t>
  </si>
  <si>
    <t>1.2.38</t>
  </si>
  <si>
    <t>1.2.39</t>
  </si>
  <si>
    <t>1.2.40</t>
  </si>
  <si>
    <t>1.2.41</t>
  </si>
  <si>
    <t>1.2.42</t>
  </si>
  <si>
    <t>1.2.43</t>
  </si>
  <si>
    <t>1.2.44</t>
  </si>
  <si>
    <t>1.2.45</t>
  </si>
  <si>
    <t>1.2.46</t>
  </si>
  <si>
    <t>1.2.47</t>
  </si>
  <si>
    <t>1.2.48</t>
  </si>
  <si>
    <t>1.2.49</t>
  </si>
  <si>
    <t>1.2.50</t>
  </si>
  <si>
    <t>1.2.51</t>
  </si>
  <si>
    <t>1.2.52</t>
  </si>
  <si>
    <t>1.2.53</t>
  </si>
  <si>
    <t>1.2.54</t>
  </si>
  <si>
    <t>1.2.55</t>
  </si>
  <si>
    <t>1.2.56</t>
  </si>
  <si>
    <t>1.2.57</t>
  </si>
  <si>
    <t>1.2.58</t>
  </si>
  <si>
    <t>1.2.59</t>
  </si>
  <si>
    <t>1.2.60</t>
  </si>
  <si>
    <t>1.2.61</t>
  </si>
  <si>
    <t>1.2.62</t>
  </si>
  <si>
    <t>1.2.63</t>
  </si>
  <si>
    <t>1.2.64</t>
  </si>
  <si>
    <t>1.2.65</t>
  </si>
  <si>
    <t>1.2.66</t>
  </si>
  <si>
    <t>1.2.67</t>
  </si>
  <si>
    <t>1.2.68</t>
  </si>
  <si>
    <t>1.2.69</t>
  </si>
  <si>
    <t>1.2.70</t>
  </si>
  <si>
    <t>1.2.71</t>
  </si>
  <si>
    <t>1.2.72</t>
  </si>
  <si>
    <t>1.2.73</t>
  </si>
  <si>
    <t>137.28*2*0.1+371.9*2*0.1+72*2*0.1+72*2*0.1+71*0.1*4+8*7+3*0.4*9+0.4*4*5+30*0.1*2</t>
    <phoneticPr fontId="71" type="noConversion"/>
  </si>
  <si>
    <t>1.2.74</t>
  </si>
  <si>
    <t>1.2.75</t>
  </si>
  <si>
    <t>1.2.76</t>
  </si>
  <si>
    <t>1.2.77</t>
  </si>
  <si>
    <t>1.2.78</t>
  </si>
  <si>
    <t>1.2.79</t>
  </si>
  <si>
    <t>1.2.80</t>
  </si>
  <si>
    <t>1.2.81</t>
  </si>
  <si>
    <t>1.2.82</t>
  </si>
  <si>
    <t>1.2.83</t>
  </si>
  <si>
    <t>1.2.84</t>
  </si>
  <si>
    <t>1.2.85</t>
  </si>
  <si>
    <t>1.2.86</t>
  </si>
  <si>
    <t>1.2.87</t>
  </si>
  <si>
    <t>1.2.88</t>
  </si>
  <si>
    <t>1.2.89</t>
  </si>
  <si>
    <t>1.2.90</t>
  </si>
  <si>
    <t>1.2.91</t>
  </si>
  <si>
    <t>1.2.92</t>
  </si>
  <si>
    <t>1.2.93</t>
  </si>
  <si>
    <t>1.2.94</t>
  </si>
  <si>
    <t>噴花地坪</t>
    <phoneticPr fontId="71" type="noConversion"/>
  </si>
  <si>
    <t>2.6*(17.76+22.18)</t>
    <phoneticPr fontId="71" type="noConversion"/>
  </si>
  <si>
    <t>植栽槽植筋</t>
    <phoneticPr fontId="71" type="noConversion"/>
  </si>
  <si>
    <t>((625-280-15))/0.5</t>
    <phoneticPr fontId="71" type="noConversion"/>
  </si>
  <si>
    <t>既有堤牆人工打石</t>
    <phoneticPr fontId="71" type="noConversion"/>
  </si>
  <si>
    <t>(625-280-15)*(0.6+0.25)</t>
    <phoneticPr fontId="71" type="noConversion"/>
  </si>
  <si>
    <t>1.3.1</t>
    <phoneticPr fontId="71" type="noConversion"/>
  </si>
  <si>
    <t>三合橋路基回填</t>
    <phoneticPr fontId="71" type="noConversion"/>
  </si>
  <si>
    <t>(1.5*1.25+0.5*1.5+0.5*0.42)*(15.6+15)</t>
    <phoneticPr fontId="71" type="noConversion"/>
  </si>
  <si>
    <t>共月橋</t>
    <phoneticPr fontId="71" type="noConversion"/>
  </si>
  <si>
    <t>5*6*1.1*2+8.42+5*2*1.1</t>
    <phoneticPr fontId="71" type="noConversion"/>
  </si>
  <si>
    <t>共月橋無障礙警示帶(斬石子)</t>
    <phoneticPr fontId="71" type="noConversion"/>
  </si>
  <si>
    <t>共月橋園內引道</t>
    <phoneticPr fontId="71" type="noConversion"/>
  </si>
  <si>
    <t>共月橋人行道引道</t>
    <phoneticPr fontId="71" type="noConversion"/>
  </si>
  <si>
    <t>P1、P2橋墩造型混凝土牆</t>
    <phoneticPr fontId="71" type="noConversion"/>
  </si>
  <si>
    <t>1.3.2</t>
    <phoneticPr fontId="71" type="noConversion"/>
  </si>
  <si>
    <t>三合橋A1</t>
    <phoneticPr fontId="71" type="noConversion"/>
  </si>
  <si>
    <t>長16.5*寬1.92*0.1</t>
  </si>
  <si>
    <t>三合橋A2</t>
    <phoneticPr fontId="71" type="noConversion"/>
  </si>
  <si>
    <t>長16.5*寬(1+1.5+0.42)*0.1</t>
    <phoneticPr fontId="71" type="noConversion"/>
  </si>
  <si>
    <t>三合橋進橋板</t>
    <phoneticPr fontId="71" type="noConversion"/>
  </si>
  <si>
    <t>9*5*2*0.1</t>
    <phoneticPr fontId="71" type="noConversion"/>
  </si>
  <si>
    <t>混凝土表面處理，晶化地坪，含分割縫</t>
    <phoneticPr fontId="71" type="noConversion"/>
  </si>
  <si>
    <t>1.3.3</t>
    <phoneticPr fontId="71" type="noConversion"/>
  </si>
  <si>
    <t>1.3.4</t>
    <phoneticPr fontId="71" type="noConversion"/>
  </si>
  <si>
    <t>共月橋P1P2橋墩結構(含帽梁)</t>
    <phoneticPr fontId="71" type="noConversion"/>
  </si>
  <si>
    <t>6*8*1.2+1.1*0.9*1.2*2+0.4*0.4*0.25*2+0.4*0.4*3.14*(5-3.2)*2</t>
    <phoneticPr fontId="71" type="noConversion"/>
  </si>
  <si>
    <t>共月橋P3P4橋墩結構(含帽梁)</t>
    <phoneticPr fontId="71" type="noConversion"/>
  </si>
  <si>
    <t>6*5*1+2*(5-3.2)*0.4*0.4*3.14+(1.86+1.3)/2*1.18*1.2+0.2*0.3*2*1.2+0.4*0.4*0.25*2</t>
    <phoneticPr fontId="71" type="noConversion"/>
  </si>
  <si>
    <t>共月橋P5橋墩結構(含帽梁)</t>
    <phoneticPr fontId="71" type="noConversion"/>
  </si>
  <si>
    <t>(1.2+0.8)/2*1.8*1.29*1.71+(5-3.2)*0.4*0.4*3.14+5*2*1+1.2*0.3*0.27*2+0.4*0.4*0.25*2</t>
    <phoneticPr fontId="71" type="noConversion"/>
  </si>
  <si>
    <t>共月橋A2橋墩結構(含帽梁)</t>
    <phoneticPr fontId="71" type="noConversion"/>
  </si>
  <si>
    <t>1.5*1.15*1.836+(0.5+0.42)*1.836*(1.15+0.5+1.05)+0.4*0.4*0.25*2+0.3*0.5*2++0.5*0.35*1.836</t>
    <phoneticPr fontId="71" type="noConversion"/>
  </si>
  <si>
    <t>三合橋A1橋台</t>
    <phoneticPr fontId="71" type="noConversion"/>
  </si>
  <si>
    <t>詳數量計算表</t>
    <phoneticPr fontId="71" type="noConversion"/>
  </si>
  <si>
    <t>三合橋A2橋台</t>
    <phoneticPr fontId="71" type="noConversion"/>
  </si>
  <si>
    <t>便橋護墩及銜接道路</t>
    <phoneticPr fontId="71" type="noConversion"/>
  </si>
  <si>
    <t>16.5*1.2*1.5*2+0.3*23.5*12.5</t>
    <phoneticPr fontId="71" type="noConversion"/>
  </si>
  <si>
    <t>12*0.3*5+12*0.3*5</t>
    <phoneticPr fontId="71" type="noConversion"/>
  </si>
  <si>
    <t>共月橋進橋板</t>
    <phoneticPr fontId="71" type="noConversion"/>
  </si>
  <si>
    <t>三合橋橋面板</t>
    <phoneticPr fontId="71" type="noConversion"/>
  </si>
  <si>
    <t>((17.81+22.3)*0.5*15*1.06)*0.2275</t>
    <phoneticPr fontId="71" type="noConversion"/>
  </si>
  <si>
    <t>三合橋A1橋台與既有堤牆側回填(箱涵側)</t>
    <phoneticPr fontId="71" type="noConversion"/>
  </si>
  <si>
    <t>4.76*20</t>
    <phoneticPr fontId="71" type="noConversion"/>
  </si>
  <si>
    <t>三合橋A2橋台與既有堤牆側回填(箱涵側)</t>
    <phoneticPr fontId="71" type="noConversion"/>
  </si>
  <si>
    <t>3.576*20</t>
    <phoneticPr fontId="71" type="noConversion"/>
  </si>
  <si>
    <t>1.3.5</t>
    <phoneticPr fontId="71" type="noConversion"/>
  </si>
  <si>
    <t>P1P2造型牆面</t>
    <phoneticPr fontId="71" type="noConversion"/>
  </si>
  <si>
    <t>三合橋A1溫度鋼筋</t>
    <phoneticPr fontId="71" type="noConversion"/>
  </si>
  <si>
    <t>0.994*18.1*(1.5/0.3)*1.06</t>
    <phoneticPr fontId="71" type="noConversion"/>
  </si>
  <si>
    <t>三合橋A2溫度鋼筋</t>
    <phoneticPr fontId="71" type="noConversion"/>
  </si>
  <si>
    <t>0.994*16.5*(1.5/0.3)*1.06</t>
    <phoneticPr fontId="71" type="noConversion"/>
  </si>
  <si>
    <t>1.3.6</t>
    <phoneticPr fontId="71" type="noConversion"/>
  </si>
  <si>
    <t>共月橋P1P2基礎</t>
    <phoneticPr fontId="71" type="noConversion"/>
  </si>
  <si>
    <t>共月橋P1P2橋墩</t>
    <phoneticPr fontId="71" type="noConversion"/>
  </si>
  <si>
    <t>共月橋P1P2帽梁</t>
    <phoneticPr fontId="71" type="noConversion"/>
  </si>
  <si>
    <t>共月橋P3P4基礎版</t>
    <phoneticPr fontId="71" type="noConversion"/>
  </si>
  <si>
    <t>共月橋P3P4橋墩</t>
    <phoneticPr fontId="71" type="noConversion"/>
  </si>
  <si>
    <t>共月橋P3P4帽梁</t>
    <phoneticPr fontId="71" type="noConversion"/>
  </si>
  <si>
    <t>共月橋P5基礎</t>
    <phoneticPr fontId="71" type="noConversion"/>
  </si>
  <si>
    <t>共月橋P5帽梁</t>
    <phoneticPr fontId="71" type="noConversion"/>
  </si>
  <si>
    <t>共月橋P5橋墩</t>
    <phoneticPr fontId="71" type="noConversion"/>
  </si>
  <si>
    <t>共月橋A2</t>
    <phoneticPr fontId="71" type="noConversion"/>
  </si>
  <si>
    <t>共月橋盤支</t>
    <phoneticPr fontId="71" type="noConversion"/>
  </si>
  <si>
    <t>共月橋防震拉桿</t>
    <phoneticPr fontId="71" type="noConversion"/>
  </si>
  <si>
    <t>詳鋼筋數量表10995.74</t>
    <phoneticPr fontId="71" type="noConversion"/>
  </si>
  <si>
    <t>詳鋼筋數量表10824.81</t>
    <phoneticPr fontId="71" type="noConversion"/>
  </si>
  <si>
    <t>三合橋盤支</t>
    <phoneticPr fontId="71" type="noConversion"/>
  </si>
  <si>
    <t>詳鋼筋數量表 870</t>
    <phoneticPr fontId="71" type="noConversion"/>
  </si>
  <si>
    <t>三合橋防震拉桿</t>
    <phoneticPr fontId="71" type="noConversion"/>
  </si>
  <si>
    <t>詳鋼筋數量表 3734.2</t>
    <phoneticPr fontId="71" type="noConversion"/>
  </si>
  <si>
    <t>詳鋼筋數量表 19172.54</t>
    <phoneticPr fontId="71" type="noConversion"/>
  </si>
  <si>
    <t>詳鋼筋數量表 5512.7</t>
    <phoneticPr fontId="71" type="noConversion"/>
  </si>
  <si>
    <t>雙孔箱涵BK+280~300</t>
    <phoneticPr fontId="71" type="noConversion"/>
  </si>
  <si>
    <t>(300-280)*雙孔箱涵數量計算723.47</t>
    <phoneticPr fontId="71" type="noConversion"/>
  </si>
  <si>
    <t>雙孔箱涵BK+300~320</t>
    <phoneticPr fontId="71" type="noConversion"/>
  </si>
  <si>
    <t>(320-300)*雙孔箱涵數量計算723.47</t>
    <phoneticPr fontId="71" type="noConversion"/>
  </si>
  <si>
    <t>雙孔箱涵BK+320~340</t>
    <phoneticPr fontId="71" type="noConversion"/>
  </si>
  <si>
    <t>(340-320)*雙孔箱涵數量計算723.47</t>
    <phoneticPr fontId="71" type="noConversion"/>
  </si>
  <si>
    <t>變形雙孔箱涵BK+340~380</t>
    <phoneticPr fontId="71" type="noConversion"/>
  </si>
  <si>
    <t>(380-340)*雙孔箱涵數量計算804.7</t>
    <phoneticPr fontId="71" type="noConversion"/>
  </si>
  <si>
    <t>變形雙孔箱涵BK+380~420</t>
    <phoneticPr fontId="71" type="noConversion"/>
  </si>
  <si>
    <t>(420-380)*雙孔箱涵數量計算804.7</t>
    <phoneticPr fontId="71" type="noConversion"/>
  </si>
  <si>
    <t>單孔箱涵BK+300~320</t>
    <phoneticPr fontId="71" type="noConversion"/>
  </si>
  <si>
    <t>(320-300)**單孔箱涵數量計算172.33</t>
    <phoneticPr fontId="71" type="noConversion"/>
  </si>
  <si>
    <t>三合橋右岸堤牆復原(臨河側)0K+277~0K+308</t>
    <phoneticPr fontId="71" type="noConversion"/>
  </si>
  <si>
    <t>長29.8*鋼筋表434.81</t>
    <phoneticPr fontId="71" type="noConversion"/>
  </si>
  <si>
    <t>三合橋左岸堤牆復原(臨河側)</t>
    <phoneticPr fontId="71" type="noConversion"/>
  </si>
  <si>
    <t>(4+5+8)*鋼筋表434.81</t>
    <phoneticPr fontId="71" type="noConversion"/>
  </si>
  <si>
    <t>1.3.7</t>
    <phoneticPr fontId="71" type="noConversion"/>
  </si>
  <si>
    <t>1.3.8</t>
    <phoneticPr fontId="71" type="noConversion"/>
  </si>
  <si>
    <t>(17.3*21.78)+(17.3+21.78)*0.2-鋼梁0.4*8*平均長(19.54)</t>
    <phoneticPr fontId="71" type="noConversion"/>
  </si>
  <si>
    <t>共月橋A2橋台</t>
    <phoneticPr fontId="71" type="noConversion"/>
  </si>
  <si>
    <t>1.3.9</t>
    <phoneticPr fontId="71" type="noConversion"/>
  </si>
  <si>
    <t>P1P2基礎</t>
    <phoneticPr fontId="71" type="noConversion"/>
  </si>
  <si>
    <t>P3P4基礎</t>
    <phoneticPr fontId="71" type="noConversion"/>
  </si>
  <si>
    <t>P5基礎</t>
    <phoneticPr fontId="71" type="noConversion"/>
  </si>
  <si>
    <t>三合橋台電處clsm回填</t>
    <phoneticPr fontId="71" type="noConversion"/>
  </si>
  <si>
    <t>(9+5)*2*0.6*2</t>
    <phoneticPr fontId="71" type="noConversion"/>
  </si>
  <si>
    <t>三合橋進橋板側模</t>
    <phoneticPr fontId="71" type="noConversion"/>
  </si>
  <si>
    <t>(9+5)*2*0.3*2</t>
    <phoneticPr fontId="71" type="noConversion"/>
  </si>
  <si>
    <t>伸縮縫側模組立</t>
    <phoneticPr fontId="71" type="noConversion"/>
  </si>
  <si>
    <t>15*2*2*0.3</t>
    <phoneticPr fontId="71" type="noConversion"/>
  </si>
  <si>
    <t>1.3.10</t>
    <phoneticPr fontId="71" type="noConversion"/>
  </si>
  <si>
    <t>部位1</t>
    <phoneticPr fontId="71" type="noConversion"/>
  </si>
  <si>
    <t>部位2</t>
    <phoneticPr fontId="71" type="noConversion"/>
  </si>
  <si>
    <t>部位3</t>
    <phoneticPr fontId="71" type="noConversion"/>
  </si>
  <si>
    <t>部位4</t>
    <phoneticPr fontId="71" type="noConversion"/>
  </si>
  <si>
    <t>1.3.11</t>
    <phoneticPr fontId="71" type="noConversion"/>
  </si>
  <si>
    <t>1.3.12</t>
    <phoneticPr fontId="71" type="noConversion"/>
  </si>
  <si>
    <t>1.3.13</t>
    <phoneticPr fontId="71" type="noConversion"/>
  </si>
  <si>
    <t>1.3.14</t>
    <phoneticPr fontId="71" type="noConversion"/>
  </si>
  <si>
    <t>1.3.15</t>
    <phoneticPr fontId="71" type="noConversion"/>
  </si>
  <si>
    <t>G1(5553)+G2(5680)+G3(6056)+G4(6002)+G5(6167)+G6(6331)+G7(6483)+G8(6647)+水平斜撐(6335.67)+D1(3339)+D2(2786)+D2-1(2196)+接頭(4513+813+794)=69695.6</t>
    <phoneticPr fontId="71" type="noConversion"/>
  </si>
  <si>
    <t>G1(13227.06)+G2(12277.18)+G3(14316.92)+G4(14316.92)+G5(15655.29)+G6(7986.33)+G7(6243.61)</t>
    <phoneticPr fontId="71" type="noConversion"/>
  </si>
  <si>
    <t>共月橋抗拉拔螺栓</t>
    <phoneticPr fontId="71" type="noConversion"/>
  </si>
  <si>
    <t>1.3.16</t>
    <phoneticPr fontId="71" type="noConversion"/>
  </si>
  <si>
    <t>A1鷹架(17.5*2面*1.8*3層)+A2鷹架(16.5*1.8*3層)*2=367.2+三合橋橋面面積299.58</t>
    <phoneticPr fontId="71" type="noConversion"/>
  </si>
  <si>
    <t>弧長49.5*(外側0.6+鋼梁下0.6+內側0.6)*(1.8*3)</t>
    <phoneticPr fontId="71" type="noConversion"/>
  </si>
  <si>
    <t>1.3.17</t>
    <phoneticPr fontId="71" type="noConversion"/>
  </si>
  <si>
    <t>(5+1.6)*(6+1.6)*(1.1+1)*2+(3.5+1.6)*(1.15+1.65)*(1.5+1.6)+(5+1.6)*(2+1.6)*(1.1+1)</t>
    <phoneticPr fontId="71" type="noConversion"/>
  </si>
  <si>
    <t>4.5*1.5*(16+17)</t>
    <phoneticPr fontId="71" type="noConversion"/>
  </si>
  <si>
    <t>8*45+2*30+2*15+12*1(空打)</t>
    <phoneticPr fontId="71" type="noConversion"/>
  </si>
  <si>
    <t>3*45+3*48+3*1</t>
    <phoneticPr fontId="71" type="noConversion"/>
  </si>
  <si>
    <t>三合橋衛工幹管探測</t>
    <phoneticPr fontId="71" type="noConversion"/>
  </si>
  <si>
    <t>深度6M探4孔</t>
    <phoneticPr fontId="71" type="noConversion"/>
  </si>
  <si>
    <t>鋼構吊裝</t>
  </si>
  <si>
    <t>G1(5553)+G2(5680)+G3(6056)+G4(6002)+G5(6167)+G6(6331)+G7(6483)+G8(6647)+水平斜撐(6335.67)+D1(3339)+D2(2786)+D2-1(2196)+接頭(4513+813+794)=69695.67</t>
    <phoneticPr fontId="71" type="noConversion"/>
  </si>
  <si>
    <t>金屬製品，防震拉條</t>
  </si>
  <si>
    <t>A1-8+A2-8</t>
    <phoneticPr fontId="71" type="noConversion"/>
  </si>
  <si>
    <t>共月橋2</t>
    <phoneticPr fontId="71" type="noConversion"/>
  </si>
  <si>
    <t>金屬製品，防落裝置</t>
  </si>
  <si>
    <t>2+1</t>
    <phoneticPr fontId="71" type="noConversion"/>
  </si>
  <si>
    <t>4*((18.71+21.45)/2+10+10)</t>
    <phoneticPr fontId="71" type="noConversion"/>
  </si>
  <si>
    <t>2*((18.71+21.45)/2+10+10)</t>
    <phoneticPr fontId="71" type="noConversion"/>
  </si>
  <si>
    <t>8*((18.71+21.45)/2+10+10)</t>
    <phoneticPr fontId="71" type="noConversion"/>
  </si>
  <si>
    <t>施作數量</t>
    <phoneticPr fontId="71" type="noConversion"/>
  </si>
  <si>
    <t>(四)</t>
    <phoneticPr fontId="71" type="noConversion"/>
  </si>
  <si>
    <t>河川工程</t>
    <phoneticPr fontId="71" type="noConversion"/>
  </si>
  <si>
    <t>1.4.1</t>
  </si>
  <si>
    <t>低水護岸三合橋上游0K+307~618.1</t>
    <phoneticPr fontId="71" type="noConversion"/>
  </si>
  <si>
    <t>(618.1-307)*(0.75*0.05)</t>
    <phoneticPr fontId="71" type="noConversion"/>
  </si>
  <si>
    <t>低水護岸三合下游280~287.7</t>
    <phoneticPr fontId="71" type="noConversion"/>
  </si>
  <si>
    <t>16.8*(0.75*0.05)</t>
    <phoneticPr fontId="71" type="noConversion"/>
  </si>
  <si>
    <r>
      <rPr>
        <sz val="12"/>
        <rFont val="細明體"/>
        <family val="2"/>
        <charset val="136"/>
      </rPr>
      <t>護岸型式</t>
    </r>
    <r>
      <rPr>
        <sz val="12"/>
        <rFont val="Arial"/>
        <family val="2"/>
      </rPr>
      <t>TYPE</t>
    </r>
    <r>
      <rPr>
        <sz val="12"/>
        <rFont val="細明體"/>
        <family val="2"/>
        <charset val="136"/>
      </rPr>
      <t>Ⅲ</t>
    </r>
    <r>
      <rPr>
        <sz val="12"/>
        <rFont val="標楷體"/>
        <family val="2"/>
        <charset val="136"/>
      </rPr>
      <t xml:space="preserve"> 0K+563.95~0K+606.85</t>
    </r>
    <phoneticPr fontId="71" type="noConversion"/>
  </si>
  <si>
    <t>42.9*1.7*0.1</t>
    <phoneticPr fontId="71" type="noConversion"/>
  </si>
  <si>
    <t>三合橋右岸堤牆復原0K+277~0K+308</t>
    <phoneticPr fontId="71" type="noConversion"/>
  </si>
  <si>
    <t>長29.8*2.5*0.1</t>
    <phoneticPr fontId="71" type="noConversion"/>
  </si>
  <si>
    <t>移至下水道工程</t>
    <phoneticPr fontId="71" type="noConversion"/>
  </si>
  <si>
    <t>三合橋左岸堤牆復原</t>
    <phoneticPr fontId="71" type="noConversion"/>
  </si>
  <si>
    <t>(4+5+8)*2.5*0.1</t>
    <phoneticPr fontId="71" type="noConversion"/>
  </si>
  <si>
    <t>1.4.2</t>
  </si>
  <si>
    <t>PC樁樁內灌漿</t>
    <phoneticPr fontId="71" type="noConversion"/>
  </si>
  <si>
    <t>41*0.3*0.3*3.14*10</t>
    <phoneticPr fontId="71" type="noConversion"/>
  </si>
  <si>
    <t>RC護坡0K+280~290</t>
    <phoneticPr fontId="71" type="noConversion"/>
  </si>
  <si>
    <t>10*0.2*5.4</t>
    <phoneticPr fontId="71" type="noConversion"/>
  </si>
  <si>
    <t>RC護坡0K+580~591.5</t>
    <phoneticPr fontId="71" type="noConversion"/>
  </si>
  <si>
    <t>(591.5-580)*0.2*5.4</t>
    <phoneticPr fontId="71" type="noConversion"/>
  </si>
  <si>
    <t>側流井</t>
    <phoneticPr fontId="71" type="noConversion"/>
  </si>
  <si>
    <t>底版(10.4+0.25+0.25)*(4.6+8.2+1.2+1.2)/2*0.45+牆身(10.4+0.25+0.25+4.6+8.2)*0.25*2+頂版(10.4+0.25+0.25)*(4.6+8.2)/2*0.45-2.6*3.6*0.45+立柱5*0.25*0.25*2+溢流牆11.5*0.35*0.1</t>
    <phoneticPr fontId="71" type="noConversion"/>
  </si>
  <si>
    <t>雙孔箱涵BK+560~570</t>
    <phoneticPr fontId="71" type="noConversion"/>
  </si>
  <si>
    <t>(570-560)*雙孔箱涵數量計算7.525</t>
    <phoneticPr fontId="71" type="noConversion"/>
  </si>
  <si>
    <t>(300-280)*雙孔箱涵數量計算1.8</t>
    <phoneticPr fontId="71" type="noConversion"/>
  </si>
  <si>
    <t>1.4.3</t>
  </si>
  <si>
    <t>改二型水泥</t>
    <phoneticPr fontId="71" type="noConversion"/>
  </si>
  <si>
    <t>1.4.4</t>
  </si>
  <si>
    <t>140kgf+210kgf+二型280kgf/cm2</t>
    <phoneticPr fontId="71" type="noConversion"/>
  </si>
  <si>
    <t>1.4.5</t>
  </si>
  <si>
    <t>低水護岸三合下游280~296.8</t>
    <phoneticPr fontId="71" type="noConversion"/>
  </si>
  <si>
    <t>16.8*(1.5*2)</t>
    <phoneticPr fontId="71" type="noConversion"/>
  </si>
  <si>
    <t>低水護岸三合橋上游0K+307~620</t>
    <phoneticPr fontId="71" type="noConversion"/>
  </si>
  <si>
    <t>(618.1-307)*(1.5*2)+(620-307)/20*1.5*0.75</t>
    <phoneticPr fontId="71" type="noConversion"/>
  </si>
  <si>
    <t>護岸型式TYPEⅢ 臨河側0K+563.95~0K+606.85</t>
    <phoneticPr fontId="71" type="noConversion"/>
  </si>
  <si>
    <t>42.9*(3.4)</t>
    <phoneticPr fontId="71" type="noConversion"/>
  </si>
  <si>
    <t>護岸型式TYPE 2 臨河側0K+606.85~0K+625.1</t>
    <phoneticPr fontId="71" type="noConversion"/>
  </si>
  <si>
    <t>(625.1-606.85)*3.4</t>
    <phoneticPr fontId="71" type="noConversion"/>
  </si>
  <si>
    <t>長29.8*(2.5)</t>
    <phoneticPr fontId="71" type="noConversion"/>
  </si>
  <si>
    <t>(4+5+8)*(2.5)</t>
    <phoneticPr fontId="71" type="noConversion"/>
  </si>
  <si>
    <t>新設擋土牆護欄(0k+523.95~0k+625.1)</t>
    <phoneticPr fontId="71" type="noConversion"/>
  </si>
  <si>
    <t>(625.1-523.95)*0.55*2</t>
    <phoneticPr fontId="71" type="noConversion"/>
  </si>
  <si>
    <t>1.4.6</t>
  </si>
  <si>
    <r>
      <rPr>
        <sz val="12"/>
        <rFont val="細明體"/>
        <family val="2"/>
        <charset val="136"/>
      </rPr>
      <t>護岸型式</t>
    </r>
    <r>
      <rPr>
        <sz val="12"/>
        <rFont val="Arial"/>
        <family val="2"/>
      </rPr>
      <t>TYPE</t>
    </r>
    <r>
      <rPr>
        <sz val="12"/>
        <rFont val="細明體"/>
        <family val="2"/>
        <charset val="136"/>
      </rPr>
      <t>Ⅲ</t>
    </r>
    <r>
      <rPr>
        <sz val="12"/>
        <rFont val="標楷體"/>
        <family val="2"/>
        <charset val="136"/>
      </rPr>
      <t xml:space="preserve"> 臨路側0K+563.95~0K+606.85</t>
    </r>
    <phoneticPr fontId="71" type="noConversion"/>
  </si>
  <si>
    <t>42.9*(0.6*2)+42.9*(3.4)</t>
    <phoneticPr fontId="71" type="noConversion"/>
  </si>
  <si>
    <t>護岸型式TYPE 2 臨路側 0K+606.85~0K+625.1</t>
    <phoneticPr fontId="71" type="noConversion"/>
  </si>
  <si>
    <t>(625.1-606.85)*(3.4+0.45*2)</t>
    <phoneticPr fontId="71" type="noConversion"/>
  </si>
  <si>
    <t>三合橋右岸堤牆復原(臨路側)0K+277~0K+308</t>
    <phoneticPr fontId="71" type="noConversion"/>
  </si>
  <si>
    <t>長29.8*(2.5+(0.5+1)*2)</t>
    <phoneticPr fontId="71" type="noConversion"/>
  </si>
  <si>
    <t>三合橋左岸堤牆復原(臨路側)</t>
    <phoneticPr fontId="71" type="noConversion"/>
  </si>
  <si>
    <t>(4+5+8)*(2.5+(0.5+1)*2)</t>
    <phoneticPr fontId="71" type="noConversion"/>
  </si>
  <si>
    <t>右岸砌石護岸底層
0K+278.1~599.6</t>
    <phoneticPr fontId="71" type="noConversion"/>
  </si>
  <si>
    <t>0.25*(599.6-278.1)+(599.6-278.1)/20*1.4*0.25</t>
    <phoneticPr fontId="71" type="noConversion"/>
  </si>
  <si>
    <t>衛工人孔底板</t>
    <phoneticPr fontId="71" type="noConversion"/>
  </si>
  <si>
    <t>(6+1.5)*厚0.25*寬2</t>
    <phoneticPr fontId="71" type="noConversion"/>
  </si>
  <si>
    <t>衛工人孔頂板</t>
    <phoneticPr fontId="71" type="noConversion"/>
  </si>
  <si>
    <t>((6+1.5)*寬1.5-1*1)+(6+1.5)*2*0.25</t>
    <phoneticPr fontId="71" type="noConversion"/>
  </si>
  <si>
    <t>A2(1.55-0.35)*2*8*0.42+A1(0.42*(1.15+0.4)*2*8)</t>
    <phoneticPr fontId="71" type="noConversion"/>
  </si>
  <si>
    <t>三合橋上游地梁調整(0K+308~338)</t>
    <phoneticPr fontId="71" type="noConversion"/>
  </si>
  <si>
    <t>30*0.5*2</t>
    <phoneticPr fontId="71" type="noConversion"/>
  </si>
  <si>
    <t>1.4.7</t>
  </si>
  <si>
    <t>低水護岸三合下游</t>
    <phoneticPr fontId="71" type="noConversion"/>
  </si>
  <si>
    <t>16.8*鋼筋表21.53</t>
    <phoneticPr fontId="71" type="noConversion"/>
  </si>
  <si>
    <t>(618.1-307)*鋼筋表21.53</t>
    <phoneticPr fontId="71" type="noConversion"/>
  </si>
  <si>
    <t>42.9*鋼筋表49.43</t>
    <phoneticPr fontId="71" type="noConversion"/>
  </si>
  <si>
    <t>(625.1-606.85)*鋼筋表89.56</t>
    <phoneticPr fontId="71" type="noConversion"/>
  </si>
  <si>
    <t>長29.8*鋼筋表102.68</t>
    <phoneticPr fontId="71" type="noConversion"/>
  </si>
  <si>
    <t>(4+5+8)*鋼筋表102.68</t>
    <phoneticPr fontId="71" type="noConversion"/>
  </si>
  <si>
    <t>衛工人孔牆</t>
    <phoneticPr fontId="71" type="noConversion"/>
  </si>
  <si>
    <t>詳鋼筋表1573.78</t>
    <phoneticPr fontId="71" type="noConversion"/>
  </si>
  <si>
    <t>(625.1-523.95)*0.994*(0.5+0.2)/0.15+(625.1-523.95)*0.994*2</t>
    <phoneticPr fontId="71" type="noConversion"/>
  </si>
  <si>
    <t>(30/0.3*(0.4+1.2)*2*0.994)+(8*0.994*30)*1.2</t>
    <phoneticPr fontId="71" type="noConversion"/>
  </si>
  <si>
    <t>1.4.8</t>
  </si>
  <si>
    <t>16.8*鋼筋表58.11</t>
    <phoneticPr fontId="71" type="noConversion"/>
  </si>
  <si>
    <t>(618.1-307)*鋼筋表58.11</t>
    <phoneticPr fontId="71" type="noConversion"/>
  </si>
  <si>
    <t>42.9*鋼筋表121.62</t>
    <phoneticPr fontId="71" type="noConversion"/>
  </si>
  <si>
    <t>(625.1-606.85)*鋼筋表674.27</t>
    <phoneticPr fontId="71" type="noConversion"/>
  </si>
  <si>
    <t>移至橋梁工程</t>
    <phoneticPr fontId="71" type="noConversion"/>
  </si>
  <si>
    <t>1.4.9</t>
  </si>
  <si>
    <t>詳砌石數量統計表</t>
    <phoneticPr fontId="71" type="noConversion"/>
  </si>
  <si>
    <t>1.4.10</t>
  </si>
  <si>
    <t>1.4.11</t>
  </si>
  <si>
    <t>固床工-魚鱗式 CA01</t>
    <phoneticPr fontId="71" type="noConversion"/>
  </si>
  <si>
    <t>詳砌排石統計表</t>
    <phoneticPr fontId="71" type="noConversion"/>
  </si>
  <si>
    <t>固床工CB01</t>
    <phoneticPr fontId="71" type="noConversion"/>
  </si>
  <si>
    <t>分散形固床工CC01</t>
    <phoneticPr fontId="71" type="noConversion"/>
  </si>
  <si>
    <t>固床工CB02</t>
    <phoneticPr fontId="71" type="noConversion"/>
  </si>
  <si>
    <t>固床工CB03</t>
    <phoneticPr fontId="71" type="noConversion"/>
  </si>
  <si>
    <t>固床工CB04</t>
    <phoneticPr fontId="71" type="noConversion"/>
  </si>
  <si>
    <t>三合橋下游(魚鱗式固床工)</t>
    <phoneticPr fontId="71" type="noConversion"/>
  </si>
  <si>
    <t>河床點綴+游導流固床工</t>
    <phoneticPr fontId="71" type="noConversion"/>
  </si>
  <si>
    <t>1.4.12</t>
  </si>
  <si>
    <t>(22.3+17.8)*(0.83+0.83+0.22+0.4)</t>
    <phoneticPr fontId="71" type="noConversion"/>
  </si>
  <si>
    <t>1.4.13</t>
  </si>
  <si>
    <t>(625.1-606.85)*(2.4/0.15)</t>
    <phoneticPr fontId="71" type="noConversion"/>
  </si>
  <si>
    <t>1.4.14</t>
  </si>
  <si>
    <t>1.4.15</t>
  </si>
  <si>
    <t>低水護岸</t>
    <phoneticPr fontId="71" type="noConversion"/>
  </si>
  <si>
    <t>1.5*((620-307+19.8)/20)</t>
    <phoneticPr fontId="71" type="noConversion"/>
  </si>
  <si>
    <r>
      <rPr>
        <sz val="12"/>
        <rFont val="新細明體"/>
        <family val="2"/>
        <charset val="136"/>
      </rPr>
      <t>護岸型式</t>
    </r>
    <r>
      <rPr>
        <sz val="12"/>
        <rFont val="Arial"/>
        <family val="2"/>
      </rPr>
      <t>TYPE 3</t>
    </r>
    <phoneticPr fontId="71" type="noConversion"/>
  </si>
  <si>
    <t>(4.6+1.7)*(42.9)/20</t>
    <phoneticPr fontId="71" type="noConversion"/>
  </si>
  <si>
    <r>
      <rPr>
        <sz val="12"/>
        <rFont val="新細明體"/>
        <family val="2"/>
        <charset val="136"/>
      </rPr>
      <t>護岸型式</t>
    </r>
    <r>
      <rPr>
        <sz val="12"/>
        <rFont val="Arial"/>
        <family val="2"/>
      </rPr>
      <t xml:space="preserve">TYPE 2 </t>
    </r>
    <phoneticPr fontId="71" type="noConversion"/>
  </si>
  <si>
    <t>(3.3+0.5+0.95+3.2)*(18.25)/20</t>
    <phoneticPr fontId="71" type="noConversion"/>
  </si>
  <si>
    <t>1.4.16</t>
  </si>
  <si>
    <t>1.4.17</t>
  </si>
  <si>
    <t>長29.8*1.8*2*1</t>
    <phoneticPr fontId="71" type="noConversion"/>
  </si>
  <si>
    <t>(4+5+8)*1.8*2*1</t>
    <phoneticPr fontId="71" type="noConversion"/>
  </si>
  <si>
    <t>42.9*2*3*1.8</t>
    <phoneticPr fontId="71" type="noConversion"/>
  </si>
  <si>
    <t>護岸型式TYPE 2</t>
    <phoneticPr fontId="71" type="noConversion"/>
  </si>
  <si>
    <t>18.25*(3+3)*1.8</t>
    <phoneticPr fontId="71" type="noConversion"/>
  </si>
  <si>
    <t>堤牆側抿石子</t>
    <phoneticPr fontId="71" type="noConversion"/>
  </si>
  <si>
    <t>1.4.18</t>
  </si>
  <si>
    <t>1.4.19</t>
  </si>
  <si>
    <t>0k+280~620</t>
    <phoneticPr fontId="71" type="noConversion"/>
  </si>
  <si>
    <t>(620-280)*9*0.5</t>
    <phoneticPr fontId="71" type="noConversion"/>
  </si>
  <si>
    <t>至延壽橋下</t>
    <phoneticPr fontId="71" type="noConversion"/>
  </si>
  <si>
    <t>(670.4-620)*10.5</t>
    <phoneticPr fontId="71" type="noConversion"/>
  </si>
  <si>
    <t>1.4.20</t>
  </si>
  <si>
    <t>(620-280)*8*0.5</t>
    <phoneticPr fontId="71" type="noConversion"/>
  </si>
  <si>
    <t>1.4.21</t>
  </si>
  <si>
    <t>1.4.22</t>
  </si>
  <si>
    <t>預力混凝土基樁，D=600mm，(打樁，含樁，空打及PC版樁隱蔽障礙物清除處理)</t>
  </si>
  <si>
    <t>長度10M*41支</t>
    <phoneticPr fontId="71" type="noConversion"/>
  </si>
  <si>
    <t>41*10</t>
    <phoneticPr fontId="71" type="noConversion"/>
  </si>
  <si>
    <t>1.4.23</t>
  </si>
  <si>
    <t>結構用混凝土，預拌，280kgf/cm2(第二型水泥)</t>
  </si>
  <si>
    <t>(618.1-307)*(0.75*1.5)</t>
    <phoneticPr fontId="71" type="noConversion"/>
  </si>
  <si>
    <t>16.8*(0.75*1.5)</t>
    <phoneticPr fontId="71" type="noConversion"/>
  </si>
  <si>
    <t>42.9*(1.7*0.6+(0.5+1.7)/2*3.5)</t>
    <phoneticPr fontId="71" type="noConversion"/>
  </si>
  <si>
    <t>護岸型式TYPE 2 0K+606.85~0K+625.1</t>
    <phoneticPr fontId="71" type="noConversion"/>
  </si>
  <si>
    <t>(625.1-606.85)*(2.5*0.45+0.4*3.5)</t>
    <phoneticPr fontId="71" type="noConversion"/>
  </si>
  <si>
    <t>長29.8*(2.5*1+0.75*(2.5-1.5))</t>
    <phoneticPr fontId="71" type="noConversion"/>
  </si>
  <si>
    <t>(4+5+8)*(2.5*1+0.75*(2.5-1.5))</t>
    <phoneticPr fontId="71" type="noConversion"/>
  </si>
  <si>
    <t>三合橋下破碎混凝土塊淋漿</t>
    <phoneticPr fontId="71" type="noConversion"/>
  </si>
  <si>
    <t>0.15*15*(22.8+17)/2</t>
    <phoneticPr fontId="71" type="noConversion"/>
  </si>
  <si>
    <t>0.25*寬1.4*(599.6-278.1)</t>
    <phoneticPr fontId="71" type="noConversion"/>
  </si>
  <si>
    <t>(6+1.5)*寬1.5*厚0.25</t>
    <phoneticPr fontId="71" type="noConversion"/>
  </si>
  <si>
    <t>((6+1.5)*寬1.5-1*1)*厚0.25</t>
    <phoneticPr fontId="71" type="noConversion"/>
  </si>
  <si>
    <t>(6+1.5+2)*0.25*(2)*2</t>
    <phoneticPr fontId="71" type="noConversion"/>
  </si>
  <si>
    <t>左岸低水護岸塊石填築(0k+280~296.7、307~620)</t>
    <phoneticPr fontId="71" type="noConversion"/>
  </si>
  <si>
    <t>(0.75+0.8+0.8)*0.2*(296.7-280+620-307)</t>
    <phoneticPr fontId="71" type="noConversion"/>
  </si>
  <si>
    <t>固床工塊石填築</t>
    <phoneticPr fontId="71" type="noConversion"/>
  </si>
  <si>
    <t>375.58*0.2</t>
    <phoneticPr fontId="71" type="noConversion"/>
  </si>
  <si>
    <t>11.5*0.2*5.4</t>
    <phoneticPr fontId="71" type="noConversion"/>
  </si>
  <si>
    <t>砌石護岸背填</t>
    <phoneticPr fontId="71" type="noConversion"/>
  </si>
  <si>
    <t>砌排石工面積*背填0.2</t>
    <phoneticPr fontId="71" type="noConversion"/>
  </si>
  <si>
    <t>30*厚0.5*寬1.5</t>
    <phoneticPr fontId="71" type="noConversion"/>
  </si>
  <si>
    <t>1.4.24</t>
  </si>
  <si>
    <t>鍍鋅鋼線網</t>
    <phoneticPr fontId="71" type="noConversion"/>
  </si>
  <si>
    <t>右岸砌石護岸底層澆置</t>
    <phoneticPr fontId="71" type="noConversion"/>
  </si>
  <si>
    <t>(278.1-599.6)*1.4</t>
    <phoneticPr fontId="71" type="noConversion"/>
  </si>
  <si>
    <t>三合橋下河床硬舖面</t>
    <phoneticPr fontId="71" type="noConversion"/>
  </si>
  <si>
    <t>15*20</t>
    <phoneticPr fontId="71" type="noConversion"/>
  </si>
  <si>
    <r>
      <t>RC</t>
    </r>
    <r>
      <rPr>
        <sz val="12"/>
        <color rgb="FF000000"/>
        <rFont val="標楷體"/>
        <family val="4"/>
        <charset val="136"/>
      </rPr>
      <t>護坡</t>
    </r>
    <r>
      <rPr>
        <sz val="12"/>
        <color theme="1"/>
        <rFont val="標楷體"/>
        <family val="4"/>
        <charset val="136"/>
      </rPr>
      <t>0K+287~308</t>
    </r>
    <phoneticPr fontId="71" type="noConversion"/>
  </si>
  <si>
    <t>19.8*5.4</t>
    <phoneticPr fontId="71" type="noConversion"/>
  </si>
  <si>
    <r>
      <t>RC</t>
    </r>
    <r>
      <rPr>
        <sz val="12"/>
        <color rgb="FF000000"/>
        <rFont val="標楷體"/>
        <family val="4"/>
        <charset val="136"/>
      </rPr>
      <t>護坡</t>
    </r>
    <r>
      <rPr>
        <sz val="12"/>
        <color theme="1"/>
        <rFont val="標楷體"/>
        <family val="4"/>
        <charset val="136"/>
      </rPr>
      <t>0K+580~591.5</t>
    </r>
    <phoneticPr fontId="71" type="noConversion"/>
  </si>
  <si>
    <t>11.5*5.4</t>
    <phoneticPr fontId="71" type="noConversion"/>
  </si>
  <si>
    <t>三合橋既有U溝植筋</t>
    <phoneticPr fontId="71" type="noConversion"/>
  </si>
  <si>
    <t>長度16.8m/0.15*2層*2側</t>
    <phoneticPr fontId="71" type="noConversion"/>
  </si>
  <si>
    <t>(五)</t>
    <phoneticPr fontId="71" type="noConversion"/>
  </si>
  <si>
    <t>下水道工程</t>
    <phoneticPr fontId="71" type="noConversion"/>
  </si>
  <si>
    <t>1.5.1</t>
    <phoneticPr fontId="71" type="noConversion"/>
  </si>
  <si>
    <t>1.5.2</t>
  </si>
  <si>
    <t>單孔箱涵BK+280~300</t>
    <phoneticPr fontId="71" type="noConversion"/>
  </si>
  <si>
    <t>(300-280)**單孔箱涵數量計算1.8</t>
    <phoneticPr fontId="71" type="noConversion"/>
  </si>
  <si>
    <t>(320-300)**單孔箱涵數量計算1.8</t>
    <phoneticPr fontId="71" type="noConversion"/>
  </si>
  <si>
    <t>單孔箱涵BK+320~580</t>
    <phoneticPr fontId="71" type="noConversion"/>
  </si>
  <si>
    <t>(580-320)*單孔箱涵數量計算1.8</t>
    <phoneticPr fontId="71" type="noConversion"/>
  </si>
  <si>
    <t>單孔箱涵BK+580~608</t>
    <phoneticPr fontId="71" type="noConversion"/>
  </si>
  <si>
    <t>(608-580)*單孔箱涵數量計算1.8</t>
    <phoneticPr fontId="71" type="noConversion"/>
  </si>
  <si>
    <t>移至河川工程</t>
    <phoneticPr fontId="71" type="noConversion"/>
  </si>
  <si>
    <t>(320-300)*雙孔箱涵數量計算7.525</t>
    <phoneticPr fontId="71" type="noConversion"/>
  </si>
  <si>
    <t>(340-320)*雙孔箱涵數量計算7.525</t>
    <phoneticPr fontId="71" type="noConversion"/>
  </si>
  <si>
    <t>變形雙孔箱涵BK+340~360</t>
    <phoneticPr fontId="71" type="noConversion"/>
  </si>
  <si>
    <t>(360-340)*雙孔箱涵數量計算8.11</t>
    <phoneticPr fontId="71" type="noConversion"/>
  </si>
  <si>
    <t>變形雙孔箱涵BK+360~420</t>
    <phoneticPr fontId="71" type="noConversion"/>
  </si>
  <si>
    <t>(420-360)*雙孔箱涵數量計算8.11</t>
    <phoneticPr fontId="71" type="noConversion"/>
  </si>
  <si>
    <t>雙孔箱涵BK+420~440</t>
    <phoneticPr fontId="71" type="noConversion"/>
  </si>
  <si>
    <t>(440-420)*雙孔箱涵數量計算7.525</t>
    <phoneticPr fontId="71" type="noConversion"/>
  </si>
  <si>
    <t>雙孔箱涵BK+440~560</t>
    <phoneticPr fontId="71" type="noConversion"/>
  </si>
  <si>
    <t>(560-440)*雙孔箱涵數量計算7.525</t>
    <phoneticPr fontId="71" type="noConversion"/>
  </si>
  <si>
    <t>1.5.3</t>
  </si>
  <si>
    <t>三合橋A1橋台0k+280~360 (雙孔箱涵及橋台空隙)</t>
    <phoneticPr fontId="71" type="noConversion"/>
  </si>
  <si>
    <t>詳道路回填計算396.2+橋台空隙(15*(3.52*1.29+1.29*11.83/2))</t>
    <phoneticPr fontId="71" type="noConversion"/>
  </si>
  <si>
    <t>三合橋A2台電clsm回填</t>
    <phoneticPr fontId="71" type="noConversion"/>
  </si>
  <si>
    <t>9*5*0.4*1</t>
    <phoneticPr fontId="71" type="noConversion"/>
  </si>
  <si>
    <t>0k+440~620 CLSM回填</t>
    <phoneticPr fontId="71" type="noConversion"/>
  </si>
  <si>
    <t>0k+360~440 CLSM回填</t>
    <phoneticPr fontId="71" type="noConversion"/>
  </si>
  <si>
    <t>600RCP澆置clsm</t>
    <phoneticPr fontId="71" type="noConversion"/>
  </si>
  <si>
    <t>49.1*(0.3*0.88*2+1.2*0.4)</t>
    <phoneticPr fontId="71" type="noConversion"/>
  </si>
  <si>
    <t>300RCP澆置clsm</t>
    <phoneticPr fontId="71" type="noConversion"/>
  </si>
  <si>
    <t>1.5.4</t>
  </si>
  <si>
    <t>140kgf+210kgf+clsm</t>
    <phoneticPr fontId="71" type="noConversion"/>
  </si>
  <si>
    <t>1.5.5</t>
  </si>
  <si>
    <t>(300-280)**單孔箱涵數量計算3.6</t>
    <phoneticPr fontId="71" type="noConversion"/>
  </si>
  <si>
    <t>(320-300)**單孔箱涵數量計算3.6</t>
    <phoneticPr fontId="71" type="noConversion"/>
  </si>
  <si>
    <t>單孔箱涵BK+320~608</t>
    <phoneticPr fontId="71" type="noConversion"/>
  </si>
  <si>
    <t>(608-320)*單孔箱涵數量計算3.6</t>
    <phoneticPr fontId="71" type="noConversion"/>
  </si>
  <si>
    <t>(320-300)*雙孔箱涵數量計算13.8</t>
    <phoneticPr fontId="71" type="noConversion"/>
  </si>
  <si>
    <t>(340-320)*雙孔箱涵數量計算13.8</t>
    <phoneticPr fontId="71" type="noConversion"/>
  </si>
  <si>
    <t>(360-340)*雙孔箱涵數量計算14.5</t>
    <phoneticPr fontId="71" type="noConversion"/>
  </si>
  <si>
    <t>(420-360)*雙孔箱涵數量計算14.5</t>
    <phoneticPr fontId="71" type="noConversion"/>
  </si>
  <si>
    <t>(440-420)*雙孔箱涵數量計算13.8</t>
    <phoneticPr fontId="71" type="noConversion"/>
  </si>
  <si>
    <t>雙孔箱涵BK+440~570</t>
    <phoneticPr fontId="71" type="noConversion"/>
  </si>
  <si>
    <t>側流井內模</t>
    <phoneticPr fontId="71" type="noConversion"/>
  </si>
  <si>
    <t>1.5.6</t>
  </si>
  <si>
    <t>(300-280)*雙孔箱涵數量計算6.228</t>
    <phoneticPr fontId="71" type="noConversion"/>
  </si>
  <si>
    <t>(320-300)*雙孔箱涵數量計算6.228</t>
    <phoneticPr fontId="71" type="noConversion"/>
  </si>
  <si>
    <t>(340-320)*雙孔箱涵數量計算6.228</t>
    <phoneticPr fontId="71" type="noConversion"/>
  </si>
  <si>
    <t>(360-340)*雙孔箱涵數量計算5.318</t>
    <phoneticPr fontId="71" type="noConversion"/>
  </si>
  <si>
    <t>(420-360)*雙孔箱涵數量計算5.318</t>
    <phoneticPr fontId="71" type="noConversion"/>
  </si>
  <si>
    <t>(440-570)*雙孔箱涵數量計算6.228</t>
    <phoneticPr fontId="71" type="noConversion"/>
  </si>
  <si>
    <t>側流井外模</t>
    <phoneticPr fontId="71" type="noConversion"/>
  </si>
  <si>
    <t>底版0.35*(6.5+10.3+11.7+11.1)*0.35+牆(6.5+10.3+11.1)*2+頂版側模(6.5+10.3+11.7+11.1)*0.35+清掃孔外模(3+2)*2*0.35</t>
    <phoneticPr fontId="71" type="noConversion"/>
  </si>
  <si>
    <t>1.5.7</t>
  </si>
  <si>
    <t>(300-280)**單孔箱涵數量計算3.69</t>
    <phoneticPr fontId="71" type="noConversion"/>
  </si>
  <si>
    <t>(320-300)**單孔箱涵數量計算3.69</t>
    <phoneticPr fontId="71" type="noConversion"/>
  </si>
  <si>
    <t>(608-320)*單孔箱涵數量計算3.69</t>
    <phoneticPr fontId="71" type="noConversion"/>
  </si>
  <si>
    <t>1.5.8</t>
  </si>
  <si>
    <t>(300-280)**單孔箱涵數量計算114.81</t>
    <phoneticPr fontId="71" type="noConversion"/>
  </si>
  <si>
    <t>(320-300)**單孔箱涵數量計算114.81</t>
    <phoneticPr fontId="71" type="noConversion"/>
  </si>
  <si>
    <t>(608-320)*單孔箱涵數量計算114.81</t>
    <phoneticPr fontId="71" type="noConversion"/>
  </si>
  <si>
    <t>(300-280)*雙孔箱涵數量計算390.99</t>
    <phoneticPr fontId="71" type="noConversion"/>
  </si>
  <si>
    <t>(320-300)*雙孔箱涵數量計算390.99</t>
    <phoneticPr fontId="71" type="noConversion"/>
  </si>
  <si>
    <t>(340-320)*雙孔箱涵數量計算390.99</t>
    <phoneticPr fontId="71" type="noConversion"/>
  </si>
  <si>
    <t>變形雙孔箱涵BK+340~420</t>
    <phoneticPr fontId="71" type="noConversion"/>
  </si>
  <si>
    <t>(420-340)*雙孔箱涵數量計算418.8</t>
    <phoneticPr fontId="71" type="noConversion"/>
  </si>
  <si>
    <t>(440-420)*雙孔箱涵數量計算390.99</t>
    <phoneticPr fontId="71" type="noConversion"/>
  </si>
  <si>
    <t>(440-570)*雙孔箱涵數量計算390.99</t>
    <phoneticPr fontId="71" type="noConversion"/>
  </si>
  <si>
    <t>詳計算表669.88</t>
    <phoneticPr fontId="71" type="noConversion"/>
  </si>
  <si>
    <t>1.5.9</t>
  </si>
  <si>
    <t>(300-280)**單孔箱涵數量計算172.33</t>
    <phoneticPr fontId="71" type="noConversion"/>
  </si>
  <si>
    <t>(608-320)*單孔箱涵數量計算172.33</t>
    <phoneticPr fontId="71" type="noConversion"/>
  </si>
  <si>
    <t>(440-420)*雙孔箱涵數量計算723.47</t>
    <phoneticPr fontId="71" type="noConversion"/>
  </si>
  <si>
    <t>(440-570)*雙孔箱涵數量計算723.47</t>
    <phoneticPr fontId="71" type="noConversion"/>
  </si>
  <si>
    <t>詳鋼筋表23628.46</t>
    <phoneticPr fontId="71" type="noConversion"/>
  </si>
  <si>
    <t>1.5.10</t>
  </si>
  <si>
    <t>1.5.11</t>
  </si>
  <si>
    <t>1.5.12</t>
  </si>
  <si>
    <t>1.5.13</t>
  </si>
  <si>
    <t>三合橋衛工人孔</t>
    <phoneticPr fontId="71" type="noConversion"/>
  </si>
  <si>
    <t>MH1~MH4人孔</t>
    <phoneticPr fontId="71" type="noConversion"/>
  </si>
  <si>
    <t>BL12矩形孔</t>
    <phoneticPr fontId="71" type="noConversion"/>
  </si>
  <si>
    <t>衛工人孔氣密式</t>
    <phoneticPr fontId="71" type="noConversion"/>
  </si>
  <si>
    <t>1.5.14</t>
  </si>
  <si>
    <t>雙孔箱涵</t>
    <phoneticPr fontId="71" type="noConversion"/>
  </si>
  <si>
    <t>(570-280-80)/20*((3+3+0.35+0.35+0.35)*2+(2+0.35+0.35)*3)</t>
    <phoneticPr fontId="71" type="noConversion"/>
  </si>
  <si>
    <t>單孔箱涵</t>
    <phoneticPr fontId="71" type="noConversion"/>
  </si>
  <si>
    <t>(608-280)/20*(1.2+0.3+0.3)*4</t>
    <phoneticPr fontId="71" type="noConversion"/>
  </si>
  <si>
    <t>變形雙孔箱涵</t>
    <phoneticPr fontId="71" type="noConversion"/>
  </si>
  <si>
    <t>(80)/20*((1.7-0.35-0.35+0.5+0.5)*4+(3-0.35-0.35)*2+1.5+(7.05+2.4+2.4+1.5))</t>
    <phoneticPr fontId="71" type="noConversion"/>
  </si>
  <si>
    <t>1.5.15</t>
  </si>
  <si>
    <t>雙孔箱涵(570-280-80)*3+80*3</t>
    <phoneticPr fontId="71" type="noConversion"/>
  </si>
  <si>
    <t>((570-280-80)*3+80*3)*2</t>
    <phoneticPr fontId="71" type="noConversion"/>
  </si>
  <si>
    <t>1.5.16</t>
  </si>
  <si>
    <t>箱涵高2.7*280</t>
    <phoneticPr fontId="71" type="noConversion"/>
  </si>
  <si>
    <t>1.5.17</t>
    <phoneticPr fontId="71" type="noConversion"/>
  </si>
  <si>
    <t>鋼筋混凝土管(B型)，D=600mm，三級管，未含開挖回填</t>
    <phoneticPr fontId="71" type="noConversion"/>
  </si>
  <si>
    <t>113/8累計計價數量</t>
    <phoneticPr fontId="79" type="noConversion"/>
  </si>
  <si>
    <t>尚未計價</t>
    <phoneticPr fontId="79" type="noConversion"/>
  </si>
  <si>
    <t>(六)</t>
    <phoneticPr fontId="71" type="noConversion"/>
  </si>
  <si>
    <t>道路附屬工程</t>
    <phoneticPr fontId="71" type="noConversion"/>
  </si>
  <si>
    <t>1.6.1</t>
    <phoneticPr fontId="71" type="noConversion"/>
  </si>
  <si>
    <t>瀝青混凝土舖面，粗粒料9.5mm，黏度AC(1)-20</t>
    <phoneticPr fontId="71" type="noConversion"/>
  </si>
  <si>
    <t>三合橋便橋</t>
    <phoneticPr fontId="71" type="noConversion"/>
  </si>
  <si>
    <t>工區舖設道路面積(N0K+420~N0K+835.6-分隔島內-三合橋面板及進橋板</t>
    <phoneticPr fontId="71" type="noConversion"/>
  </si>
  <si>
    <t>(6170.45-426.27)*0.05-5.5</t>
    <phoneticPr fontId="71" type="noConversion"/>
  </si>
  <si>
    <t>三合橋第一次舖設</t>
    <phoneticPr fontId="71" type="noConversion"/>
  </si>
  <si>
    <t>(A2-11*7.3+橋面板及進橋板10.5*9+A1-7*9)*0.05</t>
    <phoneticPr fontId="71" type="noConversion"/>
  </si>
  <si>
    <t>三合橋路口第二次舖設(0k+020~045、0k+070~090)</t>
    <phoneticPr fontId="71" type="noConversion"/>
  </si>
  <si>
    <t>0.05*(11.5*7.4+(20.9-(8.5+5.9)/2)*9.0+(8.5+5.9)/2*19.6)</t>
    <phoneticPr fontId="71" type="noConversion"/>
  </si>
  <si>
    <t>磺港路西側道路通行、面層二次舖設(後擴項目)</t>
    <phoneticPr fontId="71" type="noConversion"/>
  </si>
  <si>
    <t>300*4*0.1</t>
    <phoneticPr fontId="71" type="noConversion"/>
  </si>
  <si>
    <t>1.6.2</t>
    <phoneticPr fontId="71" type="noConversion"/>
  </si>
  <si>
    <t>(6170.45-426.27-((18.71+21.45)/2+進橋板9*5*2)*0.05)*0.15</t>
    <phoneticPr fontId="71" type="noConversion"/>
  </si>
  <si>
    <t>(11*7.3+7*9)*0.15</t>
    <phoneticPr fontId="71" type="noConversion"/>
  </si>
  <si>
    <t>三合橋第二次舖設(0k+020~045、0k+070~090)</t>
    <phoneticPr fontId="71" type="noConversion"/>
  </si>
  <si>
    <t>0.10*(11.5*7.4+(20.9-(8.5+5.9)/2)*9.0+(8.5+5.9)/2*19.6)</t>
    <phoneticPr fontId="71" type="noConversion"/>
  </si>
  <si>
    <t>1.6.3</t>
  </si>
  <si>
    <t>道路AC舖設面積</t>
    <phoneticPr fontId="71" type="noConversion"/>
  </si>
  <si>
    <t>工區道路6067-分隔島539-橋面板及進橋板20.22/0.05</t>
    <phoneticPr fontId="71" type="noConversion"/>
  </si>
  <si>
    <t>1.6.4</t>
  </si>
  <si>
    <t>69.6*10</t>
    <phoneticPr fontId="71" type="noConversion"/>
  </si>
  <si>
    <t>三合橋橋面板及進橋板</t>
    <phoneticPr fontId="71" type="noConversion"/>
  </si>
  <si>
    <t>(A2-11*7.3+橋面板及進橋板29*9++A1-7*9)*1</t>
    <phoneticPr fontId="71" type="noConversion"/>
  </si>
  <si>
    <t>(6170.45-426.27)-110.08</t>
    <phoneticPr fontId="71" type="noConversion"/>
  </si>
  <si>
    <t>300*4*0.05</t>
    <phoneticPr fontId="71" type="noConversion"/>
  </si>
  <si>
    <t>1.6.5</t>
  </si>
  <si>
    <t>(11*7.3+7*9)*3</t>
    <phoneticPr fontId="71" type="noConversion"/>
  </si>
  <si>
    <t>(6170.45-426.27-110.08)*3</t>
    <phoneticPr fontId="71" type="noConversion"/>
  </si>
  <si>
    <t>69.6*10*1</t>
    <phoneticPr fontId="71" type="noConversion"/>
  </si>
  <si>
    <t>(45-20+90-70)*(9-0.8-0.8)*3</t>
    <phoneticPr fontId="71" type="noConversion"/>
  </si>
  <si>
    <t>1.6.6</t>
  </si>
  <si>
    <t>道路側溝</t>
    <phoneticPr fontId="71" type="noConversion"/>
  </si>
  <si>
    <t>總長556.6*0.8*0.05</t>
    <phoneticPr fontId="71" type="noConversion"/>
  </si>
  <si>
    <t>1.6.7</t>
  </si>
  <si>
    <t>三合橋既有U溝更新</t>
    <phoneticPr fontId="71" type="noConversion"/>
  </si>
  <si>
    <t>17*0.8*1.0-0.4*0.4*1.0*3</t>
    <phoneticPr fontId="71" type="noConversion"/>
  </si>
  <si>
    <t>總長556.6*單位面積0.53</t>
    <phoneticPr fontId="71" type="noConversion"/>
  </si>
  <si>
    <t>29顆*1.04</t>
    <phoneticPr fontId="71" type="noConversion"/>
  </si>
  <si>
    <t>1.6.8</t>
  </si>
  <si>
    <t>1.6.9</t>
  </si>
  <si>
    <t>總長556.6*單位面積1.608</t>
    <phoneticPr fontId="71" type="noConversion"/>
  </si>
  <si>
    <t>29顆*2.64</t>
    <phoneticPr fontId="71" type="noConversion"/>
  </si>
  <si>
    <t>1.6.10</t>
  </si>
  <si>
    <t>17*2*1.0</t>
    <phoneticPr fontId="71" type="noConversion"/>
  </si>
  <si>
    <t>總長556.6*單位面積1.9095</t>
    <phoneticPr fontId="71" type="noConversion"/>
  </si>
  <si>
    <t>29顆*4.56</t>
    <phoneticPr fontId="71" type="noConversion"/>
  </si>
  <si>
    <t>1.6.11</t>
  </si>
  <si>
    <t>總長556.6*單位重89.8</t>
    <phoneticPr fontId="71" type="noConversion"/>
  </si>
  <si>
    <t>29顆*94.86</t>
    <phoneticPr fontId="71" type="noConversion"/>
  </si>
  <si>
    <t>1.6.12</t>
  </si>
  <si>
    <t>1.6.13</t>
  </si>
  <si>
    <t>1.6.14</t>
  </si>
  <si>
    <t>118座</t>
    <phoneticPr fontId="71" type="noConversion"/>
  </si>
  <si>
    <t>118*規格表(16+27.9)</t>
    <phoneticPr fontId="71" type="noConversion"/>
  </si>
  <si>
    <t>1.6.15</t>
  </si>
  <si>
    <t>(0.6*2+0.8)*(556.6/10)</t>
    <phoneticPr fontId="71" type="noConversion"/>
  </si>
  <si>
    <t>1.6.16</t>
  </si>
  <si>
    <t>(免拆模板，鋼質)，厚3mm鋼模</t>
  </si>
  <si>
    <t>總長552.6*0.5</t>
    <phoneticPr fontId="71" type="noConversion"/>
  </si>
  <si>
    <t>三合橋側溝</t>
    <phoneticPr fontId="71" type="noConversion"/>
  </si>
  <si>
    <t>42.6*0.6*2</t>
    <phoneticPr fontId="71" type="noConversion"/>
  </si>
  <si>
    <t>碎石級配</t>
    <phoneticPr fontId="71" type="noConversion"/>
  </si>
  <si>
    <t>(瀝青混凝土舖面，粗粒料9.5mm-三合橋及進橋板)*0.3</t>
    <phoneticPr fontId="71" type="noConversion"/>
  </si>
  <si>
    <t>((6170.45-426.27)-((18.71+21.45)/2+9*5*2))*0.3</t>
    <phoneticPr fontId="71" type="noConversion"/>
  </si>
  <si>
    <t>(七)</t>
    <phoneticPr fontId="71" type="noConversion"/>
  </si>
  <si>
    <t>1.7.1</t>
    <phoneticPr fontId="71" type="noConversion"/>
  </si>
  <si>
    <t>灌木</t>
    <phoneticPr fontId="71" type="noConversion"/>
  </si>
  <si>
    <t>(606.5+39.6+83.2+130.9+84.3)*0.5</t>
    <phoneticPr fontId="71" type="noConversion"/>
  </si>
  <si>
    <t>草皮</t>
    <phoneticPr fontId="71" type="noConversion"/>
  </si>
  <si>
    <t>(1488.5+138.3+7062.4)*0.3</t>
    <phoneticPr fontId="71" type="noConversion"/>
  </si>
  <si>
    <t>1.7.2</t>
    <phoneticPr fontId="71" type="noConversion"/>
  </si>
  <si>
    <t>喬木126</t>
    <phoneticPr fontId="71" type="noConversion"/>
  </si>
  <si>
    <t>1.7.3</t>
  </si>
  <si>
    <t>詳樹木清冊</t>
    <phoneticPr fontId="71" type="noConversion"/>
  </si>
  <si>
    <t>1.7.4</t>
  </si>
  <si>
    <t>1.7.5</t>
  </si>
  <si>
    <t>1.7.6</t>
  </si>
  <si>
    <t>1.7.7</t>
  </si>
  <si>
    <t>1.7.8</t>
  </si>
  <si>
    <t>1.7.9</t>
  </si>
  <si>
    <t>1.7.10</t>
  </si>
  <si>
    <t>1.7.11</t>
  </si>
  <si>
    <t>1.7.12</t>
  </si>
  <si>
    <t>1.7.13</t>
  </si>
  <si>
    <t>1.7.14</t>
  </si>
  <si>
    <t>1.7.15</t>
  </si>
  <si>
    <t>1.7.16</t>
  </si>
  <si>
    <t>1.7.17</t>
  </si>
  <si>
    <t>1.7.18</t>
  </si>
  <si>
    <t>1.7.19</t>
  </si>
  <si>
    <t>1.7.20</t>
  </si>
  <si>
    <t>1.7.21</t>
  </si>
  <si>
    <t>1.7.22</t>
  </si>
  <si>
    <t>1.7.23</t>
  </si>
  <si>
    <t>1.7.24</t>
  </si>
  <si>
    <t>1.7.25</t>
  </si>
  <si>
    <t>1.7.26</t>
  </si>
  <si>
    <t>1.7.27</t>
  </si>
  <si>
    <t>1.7.28</t>
  </si>
  <si>
    <t>1.7.29</t>
  </si>
  <si>
    <t>1.7.30</t>
  </si>
  <si>
    <t>1.7.31</t>
  </si>
  <si>
    <t>1.7.32</t>
  </si>
  <si>
    <t>1.7.33</t>
  </si>
  <si>
    <t>1.7.34</t>
  </si>
  <si>
    <t>1.7.35</t>
  </si>
  <si>
    <t>1.7.36</t>
  </si>
  <si>
    <t>1.7.37</t>
  </si>
  <si>
    <t>1.7.38</t>
  </si>
  <si>
    <t>1.7.39</t>
  </si>
  <si>
    <t>1.7.40</t>
  </si>
  <si>
    <t>1.7.41</t>
  </si>
  <si>
    <t>1.7.42</t>
  </si>
  <si>
    <t>1.7.43</t>
  </si>
  <si>
    <t>1.7.44</t>
  </si>
  <si>
    <t>1.7.45</t>
  </si>
  <si>
    <t>1.7.46</t>
  </si>
  <si>
    <t>1.7.47</t>
  </si>
  <si>
    <t>1.7.48</t>
  </si>
  <si>
    <t>1.7.49</t>
  </si>
  <si>
    <t>1.7.50</t>
  </si>
  <si>
    <t>1.7.51</t>
  </si>
  <si>
    <t>1.7.52</t>
  </si>
  <si>
    <t>1.7.53</t>
  </si>
  <si>
    <t>1.7.54</t>
  </si>
  <si>
    <t>1.7.55</t>
  </si>
  <si>
    <t>1.7.56</t>
  </si>
  <si>
    <t>1.7.57</t>
  </si>
  <si>
    <t>1.7.58</t>
  </si>
  <si>
    <t>1.7.59</t>
  </si>
  <si>
    <t>1.7.60</t>
  </si>
  <si>
    <t>1.7.61</t>
  </si>
  <si>
    <t>1.7.62</t>
  </si>
  <si>
    <t>1.7.63</t>
  </si>
  <si>
    <t>1.7.64</t>
  </si>
  <si>
    <t>1.7.65</t>
  </si>
  <si>
    <t>1.7.66</t>
  </si>
  <si>
    <t>1.7.67</t>
  </si>
  <si>
    <t>1.7.68</t>
  </si>
  <si>
    <t>1.7.69</t>
  </si>
  <si>
    <t>1.7.70</t>
  </si>
  <si>
    <t>1.7.71</t>
  </si>
  <si>
    <t>1.7.72</t>
  </si>
  <si>
    <t>1.7.73</t>
  </si>
  <si>
    <t>1.7.74</t>
  </si>
  <si>
    <t>1.7.75</t>
  </si>
  <si>
    <t>1.7.76</t>
  </si>
  <si>
    <t>1.7.77</t>
  </si>
  <si>
    <t>1.7.78</t>
  </si>
  <si>
    <t>1.7.79</t>
  </si>
  <si>
    <t>1.7.80</t>
  </si>
  <si>
    <t>1.7.81</t>
  </si>
  <si>
    <t>1.7.82</t>
  </si>
  <si>
    <t>1.7.83</t>
  </si>
  <si>
    <t>1.7.84</t>
  </si>
  <si>
    <t>1.7.85</t>
  </si>
  <si>
    <t>1.7.86</t>
  </si>
  <si>
    <t>1.7.87</t>
  </si>
  <si>
    <t>1.7.88</t>
  </si>
  <si>
    <t>產品，空氣盆</t>
  </si>
  <si>
    <t>1.7.89</t>
  </si>
  <si>
    <t>產品，植草，植生袋，客土</t>
  </si>
  <si>
    <t>袋</t>
  </si>
  <si>
    <t>蜂巢隔網數量7844+備用2156</t>
    <phoneticPr fontId="71" type="noConversion"/>
  </si>
  <si>
    <t>(九)</t>
    <phoneticPr fontId="71" type="noConversion"/>
  </si>
  <si>
    <t>臨時動員及圍排水設施費</t>
    <phoneticPr fontId="71" type="noConversion"/>
  </si>
  <si>
    <t>共月橋樹木保護鋼軌樁：長6M*20支</t>
    <phoneticPr fontId="71" type="noConversion"/>
  </si>
  <si>
    <t>1*6*20</t>
    <phoneticPr fontId="71" type="noConversion"/>
  </si>
  <si>
    <t>三合橋下地梁長6m*42支</t>
    <phoneticPr fontId="71" type="noConversion"/>
  </si>
  <si>
    <t>1*6*42</t>
    <phoneticPr fontId="71" type="noConversion"/>
  </si>
  <si>
    <t>低水護岸坡趾基礎擋土樁設施</t>
    <phoneticPr fontId="71" type="noConversion"/>
  </si>
  <si>
    <t>1*6*276</t>
    <phoneticPr fontId="71" type="noConversion"/>
  </si>
  <si>
    <t>三合橋衛工幹管明挖保護</t>
    <phoneticPr fontId="71" type="noConversion"/>
  </si>
  <si>
    <t>1*9*13</t>
    <phoneticPr fontId="71" type="noConversion"/>
  </si>
  <si>
    <t>RCP過路管埋設</t>
    <phoneticPr fontId="71" type="noConversion"/>
  </si>
  <si>
    <t>(49.1+25.7)*2*5</t>
    <phoneticPr fontId="71" type="noConversion"/>
  </si>
  <si>
    <t>臨時通道用鋼板，厚15mm</t>
    <phoneticPr fontId="71" type="noConversion"/>
  </si>
  <si>
    <t>工區通道</t>
    <phoneticPr fontId="71" type="noConversion"/>
  </si>
  <si>
    <t>L(649.2-300)*W2.5*3(左右岸及河道)*3個月</t>
    <phoneticPr fontId="71" type="noConversion"/>
  </si>
  <si>
    <t>(49.1+25.7)*2.5*2</t>
    <phoneticPr fontId="71" type="noConversion"/>
  </si>
  <si>
    <t>暫置區鐵板</t>
    <phoneticPr fontId="71" type="noConversion"/>
  </si>
  <si>
    <t>285*2.5</t>
    <phoneticPr fontId="71" type="noConversion"/>
  </si>
  <si>
    <t>9/23 大雨抽水</t>
    <phoneticPr fontId="71" type="noConversion"/>
  </si>
  <si>
    <t>40*8</t>
    <phoneticPr fontId="71" type="noConversion"/>
  </si>
  <si>
    <t>山陀兒颱風抽水</t>
    <phoneticPr fontId="71" type="noConversion"/>
  </si>
  <si>
    <t>4*8*8</t>
    <phoneticPr fontId="71" type="noConversion"/>
  </si>
  <si>
    <t>康芮颱風抽水</t>
    <phoneticPr fontId="71" type="noConversion"/>
  </si>
  <si>
    <t>豪大雨抽水</t>
    <phoneticPr fontId="71" type="noConversion"/>
  </si>
  <si>
    <t>三合橋鋼板樁(12m)+共月橋鋼板樁(25m)+延壽橋鋼板樁擋水(25m)*2雙邊</t>
    <phoneticPr fontId="71" type="noConversion"/>
  </si>
  <si>
    <t>(12+25+25)*2</t>
    <phoneticPr fontId="71" type="noConversion"/>
  </si>
  <si>
    <t>共月橋P5(6M)+三合橋(8M*2)</t>
    <phoneticPr fontId="71" type="noConversion"/>
  </si>
  <si>
    <t>(3.5+1.92)*2*1.15+3.5*1.7*2+1*0.5*4+0.5*0.3*2</t>
    <phoneticPr fontId="71" type="noConversion"/>
  </si>
  <si>
    <t>磺港路土方石計算</t>
    <phoneticPr fontId="3" type="noConversion"/>
  </si>
  <si>
    <t>里程</t>
    <phoneticPr fontId="3" type="noConversion"/>
  </si>
  <si>
    <t xml:space="preserve">蜂巢隔網長度 </t>
    <phoneticPr fontId="3" type="noConversion"/>
  </si>
  <si>
    <t xml:space="preserve">蜂巢隔網面積(m2) </t>
    <phoneticPr fontId="3" type="noConversion"/>
  </si>
  <si>
    <r>
      <t xml:space="preserve">客土包數量
</t>
    </r>
    <r>
      <rPr>
        <sz val="12"/>
        <color theme="1"/>
        <rFont val="微軟正黑體"/>
        <family val="2"/>
        <charset val="136"/>
      </rPr>
      <t>(每1m2 10包客土包)</t>
    </r>
    <phoneticPr fontId="71" type="noConversion"/>
  </si>
  <si>
    <t>低水護岸底層客土包
2包</t>
    <phoneticPr fontId="71" type="noConversion"/>
  </si>
  <si>
    <t>Q5頂層客土包
2包</t>
    <phoneticPr fontId="71" type="noConversion"/>
  </si>
  <si>
    <t>備註</t>
    <phoneticPr fontId="3" type="noConversion"/>
  </si>
  <si>
    <t>砌石邊坡</t>
    <phoneticPr fontId="71" type="noConversion"/>
  </si>
  <si>
    <t>蜂巢隔網小計</t>
    <phoneticPr fontId="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</si>
  <si>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71" type="noConversion"/>
  </si>
  <si>
    <t>磺港路上既有堤牆打除</t>
    <phoneticPr fontId="71" type="noConversion"/>
  </si>
  <si>
    <t>長度300*既有版厚0.3*人行道寬2+堤牆厚0.3*高度1.5*長度300+既有陰井5座*厚度0.3*長度1.2*4邊</t>
    <phoneticPr fontId="3" type="noConversion"/>
  </si>
  <si>
    <t>橋面板長度-19.95*6.2*4+樓梯寬1.5*高2.2/2*3*左右兩邊2+樓梯平台1.05*1.8/2</t>
    <phoneticPr fontId="71" type="noConversion"/>
  </si>
  <si>
    <t>橋面版長度橫切54.61+縱切54.61*平均寬度(9.32-6.28)/間距1M 2*2 + 梁長52.14*8.7*6刀 + 護欄長橫切22.33+護欄縱切22.33*(9.28-8.01)/2*2</t>
    <phoneticPr fontId="71" type="noConversion"/>
  </si>
  <si>
    <t>橋面板長度橫切13.55+縱切13.55*14刀*厚度0.8+護欄11.78*高度0.8*8*2邊+11.78*1*13.55*2+13.55*(21.3-1.5)/2*2+11.78*(13.55/0.6)*0.8</t>
    <phoneticPr fontId="71" type="noConversion"/>
  </si>
  <si>
    <t>瓦斯站至延壽橋(N0K+740~830)</t>
    <phoneticPr fontId="71" type="noConversion"/>
  </si>
  <si>
    <t>N 0K+660~740</t>
    <phoneticPr fontId="71" type="noConversion"/>
  </si>
  <si>
    <t>N 0K+570~660</t>
    <phoneticPr fontId="71" type="noConversion"/>
  </si>
  <si>
    <t>N 0K+480~570</t>
    <phoneticPr fontId="71" type="noConversion"/>
  </si>
  <si>
    <t>N 0K+320~480</t>
    <phoneticPr fontId="71" type="noConversion"/>
  </si>
  <si>
    <t>346.6*2</t>
    <phoneticPr fontId="71" type="noConversion"/>
  </si>
  <si>
    <t>964.6*2</t>
    <phoneticPr fontId="71" type="noConversion"/>
  </si>
  <si>
    <t>589.71*2</t>
    <phoneticPr fontId="71" type="noConversion"/>
  </si>
  <si>
    <t>615.86*2</t>
    <phoneticPr fontId="71" type="noConversion"/>
  </si>
  <si>
    <t>613.36*2</t>
    <phoneticPr fontId="71" type="noConversion"/>
  </si>
  <si>
    <t>605.24*2</t>
    <phoneticPr fontId="71" type="noConversion"/>
  </si>
  <si>
    <t>東側磺港路第一次舖設完後
，面層重鋪改道N0k+440~800</t>
    <phoneticPr fontId="71" type="noConversion"/>
  </si>
  <si>
    <t>(800-440)*路寬(4+2)</t>
    <phoneticPr fontId="71" type="noConversion"/>
  </si>
  <si>
    <t>側溝</t>
    <phoneticPr fontId="71" type="noConversion"/>
  </si>
  <si>
    <t>(U14(64)+U13(43.5)+U12(63.7)+U8(27)+U7(38.3)+U6(25.8)+U2(61.35)+U1(67.8)+U5(45.7)+U5-1(14.4)+U4(30.1)+U3(44.4))*2邊</t>
    <phoneticPr fontId="71" type="noConversion"/>
  </si>
  <si>
    <t>RCP</t>
    <phoneticPr fontId="71" type="noConversion"/>
  </si>
  <si>
    <t>2*(BL16-1(5)+BL15(6.6)+BL14(4.8)+BL12(4.6)+BL09(3.8)+BL(6.8)+BL05(5.7)+BL07(5.1)+BL06(3.8)+BL02(3.4)+BL04(4.5)+BL03-1(9.6)+BL01(16.1))</t>
    <phoneticPr fontId="71" type="noConversion"/>
  </si>
  <si>
    <t>配合拆除標施作(詳暫置場整備面圖面)</t>
    <phoneticPr fontId="71" type="noConversion"/>
  </si>
  <si>
    <t>(800-440)*路寬(4+2)*0.05</t>
    <phoneticPr fontId="71" type="noConversion"/>
  </si>
  <si>
    <t>座台A-1 (0K+405~440)</t>
    <phoneticPr fontId="71" type="noConversion"/>
  </si>
  <si>
    <t>0k+280~290擋土矮牆LT(A-2)(L=10M)</t>
    <phoneticPr fontId="71" type="noConversion"/>
  </si>
  <si>
    <t>三合橋A2人行道擋土矮牆-長照中心(L=11.9+4.1M)</t>
    <phoneticPr fontId="71" type="noConversion"/>
  </si>
  <si>
    <t>2月估價數量</t>
    <phoneticPr fontId="71" type="noConversion"/>
  </si>
  <si>
    <t>共月橋園內引道牆身L=10.52</t>
    <phoneticPr fontId="71" type="noConversion"/>
  </si>
  <si>
    <t>鋼板收邊A</t>
    <phoneticPr fontId="71" type="noConversion"/>
  </si>
  <si>
    <t>鋼板收邊B</t>
    <phoneticPr fontId="71" type="noConversion"/>
  </si>
  <si>
    <t>砌石擋牆A</t>
    <phoneticPr fontId="71" type="noConversion"/>
  </si>
  <si>
    <t>砌石擋牆B</t>
    <phoneticPr fontId="71" type="noConversion"/>
  </si>
  <si>
    <t>樓梯D</t>
    <phoneticPr fontId="71" type="noConversion"/>
  </si>
  <si>
    <t>樓梯E</t>
    <phoneticPr fontId="71" type="noConversion"/>
  </si>
  <si>
    <t>樓梯F</t>
    <phoneticPr fontId="71" type="noConversion"/>
  </si>
  <si>
    <t>樓梯G</t>
    <phoneticPr fontId="71" type="noConversion"/>
  </si>
  <si>
    <t>樓梯H</t>
    <phoneticPr fontId="71" type="noConversion"/>
  </si>
  <si>
    <t>樓梯J</t>
    <phoneticPr fontId="71" type="noConversion"/>
  </si>
  <si>
    <t>樓梯K</t>
    <phoneticPr fontId="71" type="noConversion"/>
  </si>
  <si>
    <t>護欄a</t>
    <phoneticPr fontId="71" type="noConversion"/>
  </si>
  <si>
    <t>高程控制牌</t>
    <phoneticPr fontId="71" type="noConversion"/>
  </si>
  <si>
    <t>三合祠入口意象</t>
    <phoneticPr fontId="71" type="noConversion"/>
  </si>
  <si>
    <t>詳數量表 總長354.7*每徑行米0.03</t>
    <phoneticPr fontId="71" type="noConversion"/>
  </si>
  <si>
    <t>詳數量表 總長44.7*每徑行米0.03</t>
    <phoneticPr fontId="71" type="noConversion"/>
  </si>
  <si>
    <t>詳數量表 總長31*每徑行米0.04</t>
    <phoneticPr fontId="71" type="noConversion"/>
  </si>
  <si>
    <t>詳數量表 總長18.1*每徑行米0.08</t>
    <phoneticPr fontId="71" type="noConversion"/>
  </si>
  <si>
    <t>詳數量表 總長180.4*每徑行米0.08</t>
    <phoneticPr fontId="71" type="noConversion"/>
  </si>
  <si>
    <t>詳數量表 總長25.6*每徑行米0.05</t>
    <phoneticPr fontId="71" type="noConversion"/>
  </si>
  <si>
    <t>詳數量表 7座*每徑行米0.08</t>
    <phoneticPr fontId="71" type="noConversion"/>
  </si>
  <si>
    <t>詳數量表 7.8M*每徑行米0.08</t>
    <phoneticPr fontId="71" type="noConversion"/>
  </si>
  <si>
    <t>詳數量表 2座*每徑行米0.02</t>
    <phoneticPr fontId="71" type="noConversion"/>
  </si>
  <si>
    <t>詳數量表 總長18*每徑行米0.04</t>
    <phoneticPr fontId="71" type="noConversion"/>
  </si>
  <si>
    <t>詳數量表 3座*每徑行米0.23</t>
    <phoneticPr fontId="71" type="noConversion"/>
  </si>
  <si>
    <t>詳數量表 總長18*每徑行米0.36</t>
    <phoneticPr fontId="71" type="noConversion"/>
  </si>
  <si>
    <t>詳數量表 3座*每徑行米0</t>
    <phoneticPr fontId="71" type="noConversion"/>
  </si>
  <si>
    <t>(625-280-三合橋15)*(1.8*2)</t>
    <phoneticPr fontId="71" type="noConversion"/>
  </si>
  <si>
    <t>河側植栽槽0k+280~625(外側)</t>
    <phoneticPr fontId="71" type="noConversion"/>
  </si>
  <si>
    <t>(625-280-三合橋下15)*(0.6+0.25+0.05)</t>
    <phoneticPr fontId="71" type="noConversion"/>
  </si>
  <si>
    <t>(625-280-三合橋下15)*(0.5+0.25+0.2)</t>
    <phoneticPr fontId="71" type="noConversion"/>
  </si>
  <si>
    <t>詳數量表 總長354.7*每徑行米0.27</t>
    <phoneticPr fontId="71" type="noConversion"/>
  </si>
  <si>
    <t>1*0.15*0.1*場鑄道路緣石長187.82</t>
    <phoneticPr fontId="71" type="noConversion"/>
  </si>
  <si>
    <t>詳數量表 總長44.7*每徑行米0.38</t>
    <phoneticPr fontId="71" type="noConversion"/>
  </si>
  <si>
    <t>詳數量表 總長31*每徑行米0.41</t>
    <phoneticPr fontId="71" type="noConversion"/>
  </si>
  <si>
    <t>詳數量表 總長18.1*每徑行米0.68</t>
    <phoneticPr fontId="71" type="noConversion"/>
  </si>
  <si>
    <t>詳數量表 總長180.4*每徑行米0.37</t>
    <phoneticPr fontId="71" type="noConversion"/>
  </si>
  <si>
    <t>詳數量表 總長25.6*每徑行米0.38</t>
    <phoneticPr fontId="71" type="noConversion"/>
  </si>
  <si>
    <t>詳數量表 7座*每徑行米0.97</t>
    <phoneticPr fontId="71" type="noConversion"/>
  </si>
  <si>
    <t>詳數量表 7.8M*每徑行米0.76</t>
    <phoneticPr fontId="71" type="noConversion"/>
  </si>
  <si>
    <t>詳數量表 2座*每徑行米0.05</t>
    <phoneticPr fontId="71" type="noConversion"/>
  </si>
  <si>
    <t>梯形磚鋪面</t>
    <phoneticPr fontId="71" type="noConversion"/>
  </si>
  <si>
    <t>1*1*0.05*369</t>
    <phoneticPr fontId="71" type="noConversion"/>
  </si>
  <si>
    <t>石材鋪面(15*30*4cm)</t>
    <phoneticPr fontId="71" type="noConversion"/>
  </si>
  <si>
    <t>1*1*0.05*露骨材面積(16.85+14.38+3.18+0.39)</t>
    <phoneticPr fontId="71" type="noConversion"/>
  </si>
  <si>
    <t>1*1*0.05*11.98(共月橋引道)</t>
    <phoneticPr fontId="71" type="noConversion"/>
  </si>
  <si>
    <t>(平均長2.17+2.68)/2*寬度0.6*0.05*8條</t>
    <phoneticPr fontId="71" type="noConversion"/>
  </si>
  <si>
    <t>寬1.1*長0.9*0.05*19塊</t>
    <phoneticPr fontId="71" type="noConversion"/>
  </si>
  <si>
    <t>確認</t>
    <phoneticPr fontId="71" type="noConversion"/>
  </si>
  <si>
    <t>1*0.1*0.05*總長(延壽橋33.36+延壽橋33.40+延壽橋33.35+木棧道27.26+木棧道13.62+木棧道59.52+木棧道26.99+三合街北向33.97+三合街北向98.88)</t>
    <phoneticPr fontId="71" type="noConversion"/>
  </si>
  <si>
    <t>1*0.23*0.18*(西側磺港路-由北至南(49.90+12.82+23.67+16.52+47.33+12.49+19.64+18.63+66.13)+東側磺港路-共月橋以北(77.82+102.79)+東側磺港-共月橋以南(118.36+117.41+1.45+6.18))</t>
    <phoneticPr fontId="71" type="noConversion"/>
  </si>
  <si>
    <t>道路緣石A型收邊</t>
    <phoneticPr fontId="71" type="noConversion"/>
  </si>
  <si>
    <t>道路緣石B型收邊</t>
    <phoneticPr fontId="71" type="noConversion"/>
  </si>
  <si>
    <t>1*0.15*0.05*(延壽橋以北(10.37)+公園側-由北至南(11.78+1+21.62+2.4+9.35+8.2+5.26)+東側磺港路-由北至南(110.14+12.96+65.85+138.74+4.11)+分隔島(130.81))</t>
    <phoneticPr fontId="71" type="noConversion"/>
  </si>
  <si>
    <t>1*0.15*0.05*(西側磺港路-由北至南(3.64+2+45.87+6.19+3.10+0.93+3.75+18.76+16.01+4.08+4.58+42.73+9.03+3.61+12.88+11.92+40.93)+三合街(21.80+32.35+7.64+24.1+4.49))</t>
    <phoneticPr fontId="71" type="noConversion"/>
  </si>
  <si>
    <t>1*0.15*0.05*(12.51+3.74+3.6+3.61+16.32+7.19+10.67+10.6+3.64+13.89)</t>
    <phoneticPr fontId="71" type="noConversion"/>
  </si>
  <si>
    <t>1*0.15*0.15*場鑄道路緣石長(23.42+3+29.92+9.18+3+29.43+9.08+28.73+8.86+12.46+1.50+12.53+16.71)</t>
    <phoneticPr fontId="71" type="noConversion"/>
  </si>
  <si>
    <t>透水紙模地坪A 20*20</t>
    <phoneticPr fontId="71" type="noConversion"/>
  </si>
  <si>
    <t>透水紙模地坪A 40*40</t>
    <phoneticPr fontId="71" type="noConversion"/>
  </si>
  <si>
    <t>透水紙模地坪A 30*30</t>
    <phoneticPr fontId="71" type="noConversion"/>
  </si>
  <si>
    <t>透水紙模地坪B 30*30</t>
    <phoneticPr fontId="71" type="noConversion"/>
  </si>
  <si>
    <t>1*1*0.15*(公園側(91.35+77.25+234.92+111.88))</t>
    <phoneticPr fontId="71" type="noConversion"/>
  </si>
  <si>
    <t>1*1*0.15*0.5*(公園側(219.38+76.49+68.57+38.49+71.2+214.61+269.72+53.53)+長照中心改A型(159.41+42))</t>
    <phoneticPr fontId="71" type="noConversion"/>
  </si>
  <si>
    <t>公園側木棧道1*1*0.15*0.5*(112.06+96.12)</t>
    <phoneticPr fontId="71" type="noConversion"/>
  </si>
  <si>
    <t>1*1*0.15*0.5*(東側磺港路(97.98+219.58+224.01+106.53)+西側磺港路(19.55+30.98+49.71+39.56+65.06+124.85))</t>
    <phoneticPr fontId="71" type="noConversion"/>
  </si>
  <si>
    <t>透水紙模地坪B 20*20</t>
    <phoneticPr fontId="71" type="noConversion"/>
  </si>
  <si>
    <t>1*1*0.15*0.5*(東側磺港路(48.83+341.82+97.29+405.49)+西側磺港路(151.38+105.62+65.69+32.86+124.36+31.87+28.46+127.72))</t>
    <phoneticPr fontId="71" type="noConversion"/>
  </si>
  <si>
    <t>1*1*0.15*(西側磺港路(36.73+49.73+77.79+41.08+156.35+32.09))</t>
    <phoneticPr fontId="71" type="noConversion"/>
  </si>
  <si>
    <t>確認位置</t>
    <phoneticPr fontId="71" type="noConversion"/>
  </si>
  <si>
    <t>木棧道A</t>
    <phoneticPr fontId="71" type="noConversion"/>
  </si>
  <si>
    <t>木棧道B</t>
    <phoneticPr fontId="71" type="noConversion"/>
  </si>
  <si>
    <t>基礎0.6*1*2邊*寬2.24</t>
    <phoneticPr fontId="71" type="noConversion"/>
  </si>
  <si>
    <t>1*1*0.15*1.28*16座</t>
    <phoneticPr fontId="71" type="noConversion"/>
  </si>
  <si>
    <t>1*1*0.15*(東側磺港路(48.83+341.82+97.29+405.49)+西側磺港路(151.38+105.62+65.69+32.86+124.36+31.87+28.46+127.72))</t>
    <phoneticPr fontId="71" type="noConversion"/>
  </si>
  <si>
    <t>1*1*0.15*(東側磺港路(97.98+219.58+224.01+106.53)+西側磺港路(19.55+30.98+49.71+39.56+65.06+124.85))</t>
    <phoneticPr fontId="71" type="noConversion"/>
  </si>
  <si>
    <t>1*1*0.15*(公園側(219.38+76.49+68.57+38.49+71.2+214.61+269.72+53.53)+長照中心改A型(159.41+42))</t>
    <phoneticPr fontId="71" type="noConversion"/>
  </si>
  <si>
    <t>公園側木棧道1*1*0.15*(112.06+96.12)</t>
    <phoneticPr fontId="71" type="noConversion"/>
  </si>
  <si>
    <t>1*1*0.15*梯形磚面積(共月橋以北(172.6+128.4+41.6+共月橋以南349.24)</t>
    <phoneticPr fontId="71" type="noConversion"/>
  </si>
  <si>
    <t>1*1*0.15*369</t>
    <phoneticPr fontId="71" type="noConversion"/>
  </si>
  <si>
    <t>1*1*0.15*露骨材面積(16.85+14.38+3.18+0.39)</t>
    <phoneticPr fontId="71" type="noConversion"/>
  </si>
  <si>
    <t>新設現況舖磚舖面(透水紙模)</t>
    <phoneticPr fontId="71" type="noConversion"/>
  </si>
  <si>
    <t>1*1*0.2*11.98(共月橋引道)</t>
    <phoneticPr fontId="71" type="noConversion"/>
  </si>
  <si>
    <t>(平均長2.17+2.68)/2*寬度(0.6*0.2+0.2*0.2)*8條</t>
    <phoneticPr fontId="71" type="noConversion"/>
  </si>
  <si>
    <t>寬1.1*長0.9*0.2*19塊</t>
    <phoneticPr fontId="71" type="noConversion"/>
  </si>
  <si>
    <t>1*1*0.15*11.98(共月橋引道)</t>
    <phoneticPr fontId="71" type="noConversion"/>
  </si>
  <si>
    <t>1*0.1*0.11*總長(延壽橋33.36+延壽橋33.40+延壽橋33.35+木棧道27.26+木棧道13.62+木棧道59.52+木棧道26.99+三合街北向33.97+三合街北向98.88)</t>
    <phoneticPr fontId="71" type="noConversion"/>
  </si>
  <si>
    <t>1*1*0.05*0</t>
    <phoneticPr fontId="71" type="noConversion"/>
  </si>
  <si>
    <t>1*1*0.2*梯形磚面積(共月橋以北(172.6+128.4+41.6+共月橋以南349.24)</t>
    <phoneticPr fontId="71" type="noConversion"/>
  </si>
  <si>
    <t>1*1*0.2*369</t>
    <phoneticPr fontId="71" type="noConversion"/>
  </si>
  <si>
    <t>1*1*0.2*露骨材面積(16.85+14.38+3.18+0.39)</t>
    <phoneticPr fontId="71" type="noConversion"/>
  </si>
  <si>
    <t>(平均長2.17+2.68)/2*0.45*2邊*8條</t>
    <phoneticPr fontId="71" type="noConversion"/>
  </si>
  <si>
    <t>基礎0.75*1*4邊*寬2.24</t>
    <phoneticPr fontId="71" type="noConversion"/>
  </si>
  <si>
    <t>(1.1+0.9)*2*0.2*19塊</t>
    <phoneticPr fontId="71" type="noConversion"/>
  </si>
  <si>
    <t>1*0.11*總長(延壽橋33.36+延壽橋33.40+延壽橋33.35+木棧道27.26+木棧道13.62+木棧道59.52+木棧道26.99+三合街北向33.97+三合街北向98.88)</t>
    <phoneticPr fontId="71" type="noConversion"/>
  </si>
  <si>
    <t>((1*0.18)+(1*0.1))*(西側磺港路-由北至南(49.90+12.82+23.67+16.52+47.33+12.49+19.64+18.63+66.13)+東側磺港路-共月橋以北(77.82+102.79)+東側磺港-共月橋以南(118.36+117.41+1.45+6.18))</t>
    <phoneticPr fontId="71" type="noConversion"/>
  </si>
  <si>
    <t>1*2*0.05*(延壽橋以北(10.37)+公園側-由北至南(11.78+1+21.62+2.4+9.35+8.2+5.26)+東側磺港路-由北至南(110.14+12.96+65.85+138.74+4.11)+分隔島(130.81))</t>
    <phoneticPr fontId="71" type="noConversion"/>
  </si>
  <si>
    <t>1*2*0.05*(西側磺港路-由北至南(3.64+2+45.87+6.19+3.10+0.93+3.75+18.76+16.01+4.08+4.58+42.73+9.03+3.61+12.88+11.92+40.93)+三合街(21.80+32.35+7.64+24.1+4.49))</t>
    <phoneticPr fontId="71" type="noConversion"/>
  </si>
  <si>
    <t>1*2*0.05*(12.51+3.74+3.6+3.61+16.32+7.19+10.67+10.6+3.64+13.89)</t>
    <phoneticPr fontId="71" type="noConversion"/>
  </si>
  <si>
    <t>1*0.15*2*場鑄道路緣石長187.82</t>
    <phoneticPr fontId="71" type="noConversion"/>
  </si>
  <si>
    <t>1*2*0.15*1.28*16座</t>
    <phoneticPr fontId="71" type="noConversion"/>
  </si>
  <si>
    <t>詳數量表 總長31*每徑行米1.82</t>
    <phoneticPr fontId="71" type="noConversion"/>
  </si>
  <si>
    <t>詳數量表 總長18.1*每徑行米3.68</t>
    <phoneticPr fontId="71" type="noConversion"/>
  </si>
  <si>
    <t>詳數量表 總長180.4*每徑行米2</t>
    <phoneticPr fontId="71" type="noConversion"/>
  </si>
  <si>
    <t>詳數量表 總長25.6*每徑行米1.5</t>
    <phoneticPr fontId="71" type="noConversion"/>
  </si>
  <si>
    <t>詳數量表 總長18*每徑行米1.6</t>
    <phoneticPr fontId="71" type="noConversion"/>
  </si>
  <si>
    <t>詳數量表 7座*每徑行米3.64</t>
    <phoneticPr fontId="71" type="noConversion"/>
  </si>
  <si>
    <t>詳數量表 總長7.8*每徑行米2.32</t>
    <phoneticPr fontId="71" type="noConversion"/>
  </si>
  <si>
    <t>詳數量表 總長347.93*每徑行米2.18</t>
    <phoneticPr fontId="71" type="noConversion"/>
  </si>
  <si>
    <t>詳數量表 總長44.7*每徑行米2.22</t>
    <phoneticPr fontId="71" type="noConversion"/>
  </si>
  <si>
    <t>詳重量表</t>
    <phoneticPr fontId="71" type="noConversion"/>
  </si>
  <si>
    <t>詳重量表176.24</t>
    <phoneticPr fontId="71" type="noConversion"/>
  </si>
  <si>
    <t>詳重量表216.01</t>
    <phoneticPr fontId="71" type="noConversion"/>
  </si>
  <si>
    <t>詳數量表總長 32.5M*每徑行米0.01</t>
    <phoneticPr fontId="71" type="noConversion"/>
  </si>
  <si>
    <t>詳數量表總長 32.5M*每徑行米0.32</t>
    <phoneticPr fontId="71" type="noConversion"/>
  </si>
  <si>
    <t>欄杆A</t>
    <phoneticPr fontId="71" type="noConversion"/>
  </si>
  <si>
    <t>詳數量表總長 32.5M*每徑行米0.8</t>
    <phoneticPr fontId="71" type="noConversion"/>
  </si>
  <si>
    <t>詳數量表每徑行米1.4*2座</t>
    <phoneticPr fontId="71" type="noConversion"/>
  </si>
  <si>
    <t>詳數量表每徑行米1.9*3座</t>
    <phoneticPr fontId="71" type="noConversion"/>
  </si>
  <si>
    <t>共月橋人行道引道</t>
    <phoneticPr fontId="3" type="noConversion"/>
  </si>
  <si>
    <t>詳鋼筋重量表</t>
    <phoneticPr fontId="3" type="noConversion"/>
  </si>
  <si>
    <t>詳數量統計表58.25</t>
    <phoneticPr fontId="3" type="noConversion"/>
  </si>
  <si>
    <t>詳數量統計表65.66</t>
    <phoneticPr fontId="3" type="noConversion"/>
  </si>
  <si>
    <t>面積136</t>
    <phoneticPr fontId="3" type="noConversion"/>
  </si>
  <si>
    <t>136*0.1</t>
    <phoneticPr fontId="3" type="noConversion"/>
  </si>
  <si>
    <t>部位5</t>
    <phoneticPr fontId="71" type="noConversion"/>
  </si>
  <si>
    <t>詳重量表6115</t>
    <phoneticPr fontId="71" type="noConversion"/>
  </si>
  <si>
    <t>詳重量表416.36</t>
    <phoneticPr fontId="71" type="noConversion"/>
  </si>
  <si>
    <t>詳重量表890.53</t>
    <phoneticPr fontId="71" type="noConversion"/>
  </si>
  <si>
    <t>詳重量表1448.95</t>
    <phoneticPr fontId="71" type="noConversion"/>
  </si>
  <si>
    <t>詳重量表742.11</t>
    <phoneticPr fontId="71" type="noConversion"/>
  </si>
  <si>
    <t>詳重量表1653.8</t>
    <phoneticPr fontId="71" type="noConversion"/>
  </si>
  <si>
    <t>部位6</t>
    <phoneticPr fontId="71" type="noConversion"/>
  </si>
  <si>
    <t>部位7</t>
    <phoneticPr fontId="71" type="noConversion"/>
  </si>
  <si>
    <t>詳重量表1099</t>
    <phoneticPr fontId="71" type="noConversion"/>
  </si>
  <si>
    <t>詳鋼筋數量表685.46</t>
    <phoneticPr fontId="71" type="noConversion"/>
  </si>
  <si>
    <t>詳數量表5.46</t>
    <phoneticPr fontId="71" type="noConversion"/>
  </si>
  <si>
    <t>詳數量表每座11.01</t>
    <phoneticPr fontId="71" type="noConversion"/>
  </si>
  <si>
    <t>詳數量表1.39</t>
    <phoneticPr fontId="71" type="noConversion"/>
  </si>
  <si>
    <t>詳鋼筋數量表40.84kg</t>
    <phoneticPr fontId="71" type="noConversion"/>
  </si>
  <si>
    <t>詳數量表每座1.22m2</t>
    <phoneticPr fontId="71" type="noConversion"/>
  </si>
  <si>
    <t>詳數量表0.24 m3</t>
    <phoneticPr fontId="71" type="noConversion"/>
  </si>
  <si>
    <t>詳數量表0.04m3</t>
    <phoneticPr fontId="71" type="noConversion"/>
  </si>
  <si>
    <t>詳鋼筋數量表65.69kg</t>
    <phoneticPr fontId="71" type="noConversion"/>
  </si>
  <si>
    <t>詳數量表每座3.38m2</t>
    <phoneticPr fontId="71" type="noConversion"/>
  </si>
  <si>
    <t>詳數量表0.61 m3</t>
    <phoneticPr fontId="71" type="noConversion"/>
  </si>
  <si>
    <t>詳數量表0.1m3</t>
    <phoneticPr fontId="71" type="noConversion"/>
  </si>
  <si>
    <t>耐候鋼固定方管</t>
    <phoneticPr fontId="71" type="noConversion"/>
  </si>
  <si>
    <t>欄杆B立柱(共月橋內側)</t>
    <phoneticPr fontId="71" type="noConversion"/>
  </si>
  <si>
    <t>欄杆B扶手(共月橋內側)</t>
    <phoneticPr fontId="71" type="noConversion"/>
  </si>
  <si>
    <t>欄杆B立柱(主園道)</t>
    <phoneticPr fontId="71" type="noConversion"/>
  </si>
  <si>
    <t>欄杆B扶手(主園道)</t>
    <phoneticPr fontId="71" type="noConversion"/>
  </si>
  <si>
    <t>欄杆C立柱(外側)</t>
    <phoneticPr fontId="71" type="noConversion"/>
  </si>
  <si>
    <t>欄杆C立柱(內側)</t>
    <phoneticPr fontId="71" type="noConversion"/>
  </si>
  <si>
    <t>欄杆C扶手(外側)</t>
    <phoneticPr fontId="71" type="noConversion"/>
  </si>
  <si>
    <t>欄杆C扶手(內側)</t>
    <phoneticPr fontId="71" type="noConversion"/>
  </si>
  <si>
    <t>共月橋側邊封板(路側)</t>
    <phoneticPr fontId="71" type="noConversion"/>
  </si>
  <si>
    <t>共月橋側邊封板(公園側)</t>
    <phoneticPr fontId="71" type="noConversion"/>
  </si>
  <si>
    <t>樓梯B立柱 (外側)</t>
    <phoneticPr fontId="71" type="noConversion"/>
  </si>
  <si>
    <t>樓梯B立柱 (內側)</t>
    <phoneticPr fontId="71" type="noConversion"/>
  </si>
  <si>
    <t>橋墩防落裝置螺栓</t>
    <phoneticPr fontId="71" type="noConversion"/>
  </si>
  <si>
    <t>同鋼鋅鋼料重量</t>
    <phoneticPr fontId="71" type="noConversion"/>
  </si>
  <si>
    <t>樓梯B頂部扶手</t>
    <phoneticPr fontId="71" type="noConversion"/>
  </si>
  <si>
    <t>樓梯B扶手</t>
    <phoneticPr fontId="71" type="noConversion"/>
  </si>
  <si>
    <t>樓梯A扶手</t>
    <phoneticPr fontId="71" type="noConversion"/>
  </si>
  <si>
    <t>樓梯B扶手翼板</t>
    <phoneticPr fontId="71" type="noConversion"/>
  </si>
  <si>
    <t>欄杆B頂部扶手(共月橋內側)</t>
    <phoneticPr fontId="71" type="noConversion"/>
  </si>
  <si>
    <t>欄杆B頂部扶手(主園道)</t>
    <phoneticPr fontId="71" type="noConversion"/>
  </si>
  <si>
    <t>欄杆C頂部扶手(外側)</t>
    <phoneticPr fontId="71" type="noConversion"/>
  </si>
  <si>
    <t>欄杆C頂部扶手(內側)</t>
    <phoneticPr fontId="71" type="noConversion"/>
  </si>
  <si>
    <t>共月橋主園道無障礙引道</t>
    <phoneticPr fontId="3" type="noConversion"/>
  </si>
  <si>
    <t>鋼構上刷毛地坪</t>
    <phoneticPr fontId="71" type="noConversion"/>
  </si>
  <si>
    <t>共月橋主園道無障礙</t>
    <phoneticPr fontId="71" type="noConversion"/>
  </si>
  <si>
    <t>詳共月橋計算</t>
    <phoneticPr fontId="71" type="noConversion"/>
  </si>
  <si>
    <t>仿清水模漆</t>
    <phoneticPr fontId="3" type="noConversion"/>
  </si>
  <si>
    <t>共月橋臨路側無障礙</t>
    <phoneticPr fontId="71" type="noConversion"/>
  </si>
  <si>
    <t>詳數量計算表196.3</t>
    <phoneticPr fontId="71" type="noConversion"/>
  </si>
  <si>
    <t>共月橋造型混凝土牆A2</t>
    <phoneticPr fontId="71" type="noConversion"/>
  </si>
  <si>
    <t>A2造型模板4面*高2</t>
    <phoneticPr fontId="71" type="noConversion"/>
  </si>
  <si>
    <t>詳數量計算表65.16</t>
    <phoneticPr fontId="71" type="noConversion"/>
  </si>
  <si>
    <t>詳數量統計表18.94</t>
    <phoneticPr fontId="3" type="noConversion"/>
  </si>
  <si>
    <t>詳數量統計表1.05</t>
    <phoneticPr fontId="3" type="noConversion"/>
  </si>
  <si>
    <t>詳數量統計表16.26</t>
    <phoneticPr fontId="3" type="noConversion"/>
  </si>
  <si>
    <t>共月橋T型鋼板封頂版(橋面板)</t>
    <phoneticPr fontId="71" type="noConversion"/>
  </si>
  <si>
    <t>每塊1.01m2*35塊+0.5*32塊</t>
    <phoneticPr fontId="71" type="noConversion"/>
  </si>
  <si>
    <t>外圍長</t>
    <phoneticPr fontId="71" type="noConversion"/>
  </si>
  <si>
    <t>共月橋內圍長</t>
    <phoneticPr fontId="71" type="noConversion"/>
  </si>
  <si>
    <t>共月橋G6-G7外側</t>
    <phoneticPr fontId="71" type="noConversion"/>
  </si>
  <si>
    <t>外側</t>
    <phoneticPr fontId="71" type="noConversion"/>
  </si>
  <si>
    <t>內側</t>
    <phoneticPr fontId="71" type="noConversion"/>
  </si>
  <si>
    <t>34.56-平台4.36</t>
    <phoneticPr fontId="71" type="noConversion"/>
  </si>
  <si>
    <t>(外圍長44+平台下1)*2條</t>
    <phoneticPr fontId="71" type="noConversion"/>
  </si>
  <si>
    <t>6.7*2側</t>
    <phoneticPr fontId="71" type="noConversion"/>
  </si>
  <si>
    <t>梯梯B</t>
    <phoneticPr fontId="71" type="noConversion"/>
  </si>
  <si>
    <t>3*2</t>
    <phoneticPr fontId="71" type="noConversion"/>
  </si>
  <si>
    <t>道路緣石A型收邊(圖面未繪置)</t>
    <phoneticPr fontId="71" type="noConversion"/>
  </si>
  <si>
    <t>N0K+800~820(21)*1*0.15*0.05</t>
    <phoneticPr fontId="71" type="noConversion"/>
  </si>
  <si>
    <t>N0K+800~820(21)*1*2*0.05</t>
    <phoneticPr fontId="71" type="noConversion"/>
  </si>
  <si>
    <t>透水地坪B(無紙模)</t>
    <phoneticPr fontId="71" type="noConversion"/>
  </si>
  <si>
    <t>1*1*0.15*公園側-由南至北(30.02+37.27+10.54+60.98+8.36+17.4+56.04+41.69+18.71+62.77+2.78+37+37.09+59.61)</t>
    <phoneticPr fontId="71" type="noConversion"/>
  </si>
  <si>
    <t>新設現況舖磚舖面-木棧道(透水紙模)</t>
    <phoneticPr fontId="71" type="noConversion"/>
  </si>
  <si>
    <t>1*1*0.15*0.5公園側-由南至北(30.02+37.27+10.54+60.98+8.36+17.4+56.04+41.69+18.71+62.77+2.78+37+37.09+59.61)</t>
    <phoneticPr fontId="71" type="noConversion"/>
  </si>
  <si>
    <t>新設現況舖磚舖面-木棧道</t>
    <phoneticPr fontId="71" type="noConversion"/>
  </si>
  <si>
    <t>新設現況舖磚舖面 30*30(透水紙模)</t>
    <phoneticPr fontId="71" type="noConversion"/>
  </si>
  <si>
    <t>新設現況舖磚舖面30*30(透水紙模)</t>
    <phoneticPr fontId="71" type="noConversion"/>
  </si>
  <si>
    <t>詳鋼筋數量表15.32kg</t>
    <phoneticPr fontId="71" type="noConversion"/>
  </si>
  <si>
    <t>詳數量表每座0.88m2</t>
    <phoneticPr fontId="71" type="noConversion"/>
  </si>
  <si>
    <t>詳數量表0.21 m3</t>
    <phoneticPr fontId="71" type="noConversion"/>
  </si>
  <si>
    <t>詳數量表0.05m3</t>
    <phoneticPr fontId="71" type="noConversion"/>
  </si>
  <si>
    <t>B標施作</t>
    <phoneticPr fontId="71" type="noConversion"/>
  </si>
  <si>
    <t>詳統計表2.38*長度17.92</t>
    <phoneticPr fontId="71" type="noConversion"/>
  </si>
  <si>
    <t>詳統計表1.6*長度13.7</t>
    <phoneticPr fontId="71" type="noConversion"/>
  </si>
  <si>
    <t>詳統計表0.48*長度17.92</t>
    <phoneticPr fontId="71" type="noConversion"/>
  </si>
  <si>
    <t>詳統計表0.2*長度13.7</t>
    <phoneticPr fontId="71" type="noConversion"/>
  </si>
  <si>
    <t>詳統計表0.0125*長度13.7</t>
    <phoneticPr fontId="71" type="noConversion"/>
  </si>
  <si>
    <t>詳重量表40.27*長度17.92</t>
    <phoneticPr fontId="71" type="noConversion"/>
  </si>
  <si>
    <t>1*2*(0.45+0.7)*14</t>
    <phoneticPr fontId="71" type="noConversion"/>
  </si>
  <si>
    <t>0.8*2*(0.4+0.25)*14</t>
    <phoneticPr fontId="71" type="noConversion"/>
  </si>
  <si>
    <t>((0.8*1.5)+(6.187*1.5))*14+((0.8*3.565)+(10.694*3.565))*14</t>
    <phoneticPr fontId="71" type="noConversion"/>
  </si>
  <si>
    <t>(0.65*0.2*2*14)+(0.2*4*3*0.994)</t>
    <phoneticPr fontId="71" type="noConversion"/>
  </si>
  <si>
    <t>1*2*(0.45+0.7)*14*2座</t>
    <phoneticPr fontId="71" type="noConversion"/>
  </si>
  <si>
    <t>2*(0.6+0.6)*0.4*14*3座</t>
    <phoneticPr fontId="71" type="noConversion"/>
  </si>
  <si>
    <t>1.5*2*(0.6+0.5)*14*1座</t>
    <phoneticPr fontId="71" type="noConversion"/>
  </si>
  <si>
    <t>3*2*(0.5+0.4)*14*4座</t>
    <phoneticPr fontId="71" type="noConversion"/>
  </si>
  <si>
    <t>0.8*2*(0.4+0.25)*14*2座</t>
    <phoneticPr fontId="71" type="noConversion"/>
  </si>
  <si>
    <t>0.8*2*(0.4+0.25)*14*2座*1.05</t>
    <phoneticPr fontId="71" type="noConversion"/>
  </si>
  <si>
    <t>0.1*2*0.994*12座</t>
    <phoneticPr fontId="71" type="noConversion"/>
  </si>
  <si>
    <t>三合街斜坡道</t>
    <phoneticPr fontId="71" type="noConversion"/>
  </si>
  <si>
    <t>(0.7*0.7*14)+(0.7*0.75*4*14)*62座</t>
    <phoneticPr fontId="71" type="noConversion"/>
  </si>
  <si>
    <t>0.8*2*(0.4+0.25)*14*6座</t>
    <phoneticPr fontId="71" type="noConversion"/>
  </si>
  <si>
    <t>(0.2+0.2+0.11)*1*14*長度275.6</t>
    <phoneticPr fontId="71" type="noConversion"/>
  </si>
  <si>
    <t>((0.405*0.32*14)+(0.405*0.305*2*14))*長度1.3</t>
    <phoneticPr fontId="71" type="noConversion"/>
  </si>
  <si>
    <t>((0.6*0.55*14)+(0.6*0.45*2*14))*長度41.7m</t>
    <phoneticPr fontId="71" type="noConversion"/>
  </si>
  <si>
    <t>((0.6*0.55*14)+(0.6*0.45*2*14))*長度13m</t>
    <phoneticPr fontId="71" type="noConversion"/>
  </si>
  <si>
    <t>0.9*0.5*0.05</t>
    <phoneticPr fontId="71" type="noConversion"/>
  </si>
  <si>
    <t>1.1*0.55*0.05</t>
    <phoneticPr fontId="71" type="noConversion"/>
  </si>
  <si>
    <t>0.05*(0.317+0.541)</t>
    <phoneticPr fontId="71" type="noConversion"/>
  </si>
  <si>
    <t>0.6*0.25*0.05</t>
    <phoneticPr fontId="71" type="noConversion"/>
  </si>
  <si>
    <t>1.6*0.7*0.05*1座</t>
    <phoneticPr fontId="71" type="noConversion"/>
  </si>
  <si>
    <t>1.1*0.55*0.05*2座</t>
    <phoneticPr fontId="71" type="noConversion"/>
  </si>
  <si>
    <t>0.7*0.7*0.05*3座</t>
    <phoneticPr fontId="71" type="noConversion"/>
  </si>
  <si>
    <t>3.1*0.6*0.05*4座</t>
    <phoneticPr fontId="71" type="noConversion"/>
  </si>
  <si>
    <t>0.9*0.5*0.05*2座</t>
    <phoneticPr fontId="71" type="noConversion"/>
  </si>
  <si>
    <t>0.9*0.5*0.05*6座</t>
    <phoneticPr fontId="71" type="noConversion"/>
  </si>
  <si>
    <t>0.6*0.65*0.05*41.7m</t>
    <phoneticPr fontId="71" type="noConversion"/>
  </si>
  <si>
    <t>0.4*0.4*0.05*2座</t>
    <phoneticPr fontId="71" type="noConversion"/>
  </si>
  <si>
    <t>0.4*0.4*0.05*4座</t>
    <phoneticPr fontId="71" type="noConversion"/>
  </si>
  <si>
    <t>0.8*0.8*0.05*62座</t>
    <phoneticPr fontId="71" type="noConversion"/>
  </si>
  <si>
    <t>0.6*0.65*0.05*13m</t>
    <phoneticPr fontId="71" type="noConversion"/>
  </si>
  <si>
    <t>0.32*0.405*0.05*1.3m</t>
    <phoneticPr fontId="71" type="noConversion"/>
  </si>
  <si>
    <t>1*1*0.05*梯形磚面積(共月橋以北(344.5+共月橋以南349.24)</t>
    <phoneticPr fontId="71" type="noConversion"/>
  </si>
  <si>
    <t>橋上人行道護欄 b</t>
    <phoneticPr fontId="71" type="noConversion"/>
  </si>
  <si>
    <t>三合橋RT護欄增築</t>
    <phoneticPr fontId="71" type="noConversion"/>
  </si>
  <si>
    <t>1*0.45*0.7</t>
    <phoneticPr fontId="71" type="noConversion"/>
  </si>
  <si>
    <t>0.8*0.4*0.25</t>
    <phoneticPr fontId="71" type="noConversion"/>
  </si>
  <si>
    <t>(0.6*0.25*0.43)+(0.2*0.2*0.65)</t>
    <phoneticPr fontId="71" type="noConversion"/>
  </si>
  <si>
    <t>1.5*0.6*0.5*1座</t>
    <phoneticPr fontId="71" type="noConversion"/>
  </si>
  <si>
    <t>1*0.45*0.7*2座</t>
    <phoneticPr fontId="71" type="noConversion"/>
  </si>
  <si>
    <t>0.6*0.6*0.4*3座</t>
    <phoneticPr fontId="71" type="noConversion"/>
  </si>
  <si>
    <t>3*0.5*0.4*4座</t>
    <phoneticPr fontId="71" type="noConversion"/>
  </si>
  <si>
    <t>0.8*0.4*0.25*2座</t>
    <phoneticPr fontId="71" type="noConversion"/>
  </si>
  <si>
    <t>0.8*0.4*0.25*6座</t>
    <phoneticPr fontId="71" type="noConversion"/>
  </si>
  <si>
    <t>0.4*0.4*0.2*2座</t>
    <phoneticPr fontId="71" type="noConversion"/>
  </si>
  <si>
    <t>1*0.11*0.2*0.1*275.6m</t>
    <phoneticPr fontId="71" type="noConversion"/>
  </si>
  <si>
    <t>0.4*0.4*0.2*4座</t>
    <phoneticPr fontId="71" type="noConversion"/>
  </si>
  <si>
    <t>((1.5*1.053)+(23.1*0.2*0.05)+(3.565*1.724))</t>
    <phoneticPr fontId="71" type="noConversion"/>
  </si>
  <si>
    <t>((0.7*0.7*0.15)+(0.7*0.6*0.15*4))*62座</t>
    <phoneticPr fontId="71" type="noConversion"/>
  </si>
  <si>
    <t>((0.6*0.55*0.15)+(0.6*0.3*0.15*2))*13m</t>
    <phoneticPr fontId="71" type="noConversion"/>
  </si>
  <si>
    <t>((0.6*0.55*0.15)+(0.6*0.3*0.15*2))*41.7m</t>
    <phoneticPr fontId="71" type="noConversion"/>
  </si>
  <si>
    <t>((0.405*0.32*0.1)+(0.405*0.1*0.15*2))*1.3m</t>
    <phoneticPr fontId="71" type="noConversion"/>
  </si>
  <si>
    <t>(1.6+0.7)*0.55*2</t>
    <phoneticPr fontId="71" type="noConversion"/>
  </si>
  <si>
    <t>(1.1+0.55)*0.75*2</t>
    <phoneticPr fontId="71" type="noConversion"/>
  </si>
  <si>
    <t>(0.9+0.5)*0.3*2</t>
    <phoneticPr fontId="71" type="noConversion"/>
  </si>
  <si>
    <t>(6.187*0.4*2)+(10.694*0.4*2)+(1.5*0.4*6)+(3.565*0.4*6)</t>
    <phoneticPr fontId="71" type="noConversion"/>
  </si>
  <si>
    <t>(0.6+0.25)*0.43*2</t>
    <phoneticPr fontId="71" type="noConversion"/>
  </si>
  <si>
    <t>(1.1+0.55)*0.75*2*2座</t>
    <phoneticPr fontId="71" type="noConversion"/>
  </si>
  <si>
    <t>(0.7+0.7)*0.45*2*3座</t>
    <phoneticPr fontId="71" type="noConversion"/>
  </si>
  <si>
    <t>(0.9+0.5)*0.3*2*6座</t>
    <phoneticPr fontId="71" type="noConversion"/>
  </si>
  <si>
    <t>(0.9+0.5)*0.3*2*2座</t>
    <phoneticPr fontId="71" type="noConversion"/>
  </si>
  <si>
    <t>0.4*0.25*4*4座</t>
    <phoneticPr fontId="71" type="noConversion"/>
  </si>
  <si>
    <t>0.4*0.25*4*2座</t>
    <phoneticPr fontId="71" type="noConversion"/>
  </si>
  <si>
    <t>(3.1+0.6)*0.45*2*4座</t>
    <phoneticPr fontId="71" type="noConversion"/>
  </si>
  <si>
    <t>((0.8*0.8*4)+(0.4*0.6*4))*62座</t>
    <phoneticPr fontId="71" type="noConversion"/>
  </si>
  <si>
    <t>((0.405*0.382*2)+(0.405*0.175*2))*1.3m</t>
    <phoneticPr fontId="71" type="noConversion"/>
  </si>
  <si>
    <t>((0.6*0.5*2)+(0.6*0.23*2))*13</t>
    <phoneticPr fontId="71" type="noConversion"/>
  </si>
  <si>
    <t>((0.6*0.5*2)+(0.6*0.23*2))*41.7</t>
    <phoneticPr fontId="71" type="noConversion"/>
  </si>
  <si>
    <t>1*0.07*2*275.6m</t>
    <phoneticPr fontId="71" type="noConversion"/>
  </si>
  <si>
    <t>(14.49+10)*23.6</t>
    <phoneticPr fontId="71" type="noConversion"/>
  </si>
  <si>
    <t>7.245*5*5.78</t>
    <phoneticPr fontId="71" type="noConversion"/>
  </si>
  <si>
    <t>((13.704*2)+(1.7*9))*23.6</t>
    <phoneticPr fontId="71" type="noConversion"/>
  </si>
  <si>
    <t>13.704*5*5.78</t>
    <phoneticPr fontId="71" type="noConversion"/>
  </si>
  <si>
    <t>12.51+3.74+3.6+3.61+16.32+7.19+10.67+10.6+3.64+13.89</t>
    <phoneticPr fontId="71" type="noConversion"/>
  </si>
  <si>
    <t>道路緣石收邊斜坡式</t>
    <phoneticPr fontId="71" type="noConversion"/>
  </si>
  <si>
    <t>23.42+3+29.92+9.18+3+29.43+9.08+28.73+8.86+12.46+1.50+12.53+16.71</t>
    <phoneticPr fontId="71" type="noConversion"/>
  </si>
  <si>
    <t>詳數量表總長(21.7+17.6)M*每徑行米1.6</t>
    <phoneticPr fontId="71" type="noConversion"/>
  </si>
  <si>
    <t>詳數量表總長 (21.7+17.6)*每徑行米0.15</t>
    <phoneticPr fontId="71" type="noConversion"/>
  </si>
  <si>
    <t>詳數量表總長(21.7+17.6)M*每徑行米0.02</t>
    <phoneticPr fontId="71" type="noConversion"/>
  </si>
  <si>
    <t>1*0.45*0.45*(21.7+17.6)</t>
    <phoneticPr fontId="71" type="noConversion"/>
  </si>
  <si>
    <t>26.3+6.2</t>
    <phoneticPr fontId="71" type="noConversion"/>
  </si>
  <si>
    <t>(21.7+17.6)</t>
    <phoneticPr fontId="71" type="noConversion"/>
  </si>
  <si>
    <t>三合橋斜坡道</t>
    <phoneticPr fontId="71" type="noConversion"/>
  </si>
  <si>
    <t>梯形磚</t>
    <phoneticPr fontId="71" type="noConversion"/>
  </si>
  <si>
    <t>共月橋以南349.2+共月橋以北344.5</t>
    <phoneticPr fontId="71" type="noConversion"/>
  </si>
  <si>
    <t>觀溪亭16.69</t>
    <phoneticPr fontId="71" type="noConversion"/>
  </si>
  <si>
    <t>蝶舞亭16.85</t>
    <phoneticPr fontId="71" type="noConversion"/>
  </si>
  <si>
    <t>露骨材地坪</t>
    <phoneticPr fontId="71" type="noConversion"/>
  </si>
  <si>
    <t>共月橋下引道</t>
    <phoneticPr fontId="71" type="noConversion"/>
  </si>
  <si>
    <t>22.86+45.81+16.47+4.32+8.87+42.93</t>
    <phoneticPr fontId="71" type="noConversion"/>
  </si>
  <si>
    <t>西側磺港路-由北至南</t>
    <phoneticPr fontId="71" type="noConversion"/>
  </si>
  <si>
    <t>19塊</t>
    <phoneticPr fontId="71" type="noConversion"/>
  </si>
  <si>
    <t>瓦斯站以北</t>
    <phoneticPr fontId="71" type="noConversion"/>
  </si>
  <si>
    <t>瓦斯站以南</t>
    <phoneticPr fontId="71" type="noConversion"/>
  </si>
  <si>
    <t>共月橋下</t>
    <phoneticPr fontId="71" type="noConversion"/>
  </si>
  <si>
    <t>0k+760~800</t>
    <phoneticPr fontId="71" type="noConversion"/>
  </si>
  <si>
    <t>0k+660~720</t>
    <phoneticPr fontId="71" type="noConversion"/>
  </si>
  <si>
    <t>共月橋</t>
    <phoneticPr fontId="71" type="noConversion"/>
  </si>
  <si>
    <t>0k+560~600</t>
    <phoneticPr fontId="71" type="noConversion"/>
  </si>
  <si>
    <t>104.15+74.58+41.83</t>
    <phoneticPr fontId="71" type="noConversion"/>
  </si>
  <si>
    <t>0k+460~560</t>
    <phoneticPr fontId="71" type="noConversion"/>
  </si>
  <si>
    <t>23.96+13.32+16.79+44.59</t>
    <phoneticPr fontId="71" type="noConversion"/>
  </si>
  <si>
    <t>43.98+65.41+4.52</t>
    <phoneticPr fontId="71" type="noConversion"/>
  </si>
  <si>
    <t>9.87+15.97</t>
    <phoneticPr fontId="71" type="noConversion"/>
  </si>
  <si>
    <t>0k+72~740綠帶</t>
    <phoneticPr fontId="71" type="noConversion"/>
  </si>
  <si>
    <t>公園外側人行道收邊</t>
    <phoneticPr fontId="71" type="noConversion"/>
  </si>
  <si>
    <t>12.86+7.06+6.16+11.56+13.45</t>
    <phoneticPr fontId="71" type="noConversion"/>
  </si>
  <si>
    <t>沙坑</t>
    <phoneticPr fontId="71" type="noConversion"/>
  </si>
  <si>
    <t>35.79+10.85+12.28+11.68+12.4+26.46</t>
    <phoneticPr fontId="71" type="noConversion"/>
  </si>
  <si>
    <t>廁所</t>
    <phoneticPr fontId="71" type="noConversion"/>
  </si>
  <si>
    <t>10.31+1.32+6.72+1.46+1.33+1.43+1.31+1.33+1.31+2.62+2.71+2.71+3.54+1.54+1.73+3.54+2.66+2.7+1.62</t>
    <phoneticPr fontId="71" type="noConversion"/>
  </si>
  <si>
    <t>3.59+3.59+2.56+2.51+2.62+2.63+2.63+1.31+1.23+1.53+1.59+1.48+1.28+1.60+1.15</t>
    <phoneticPr fontId="71" type="noConversion"/>
  </si>
  <si>
    <t>道路緣石A型收邊(接延壽橋)</t>
    <phoneticPr fontId="71" type="noConversion"/>
  </si>
  <si>
    <t>4.66+14.15</t>
    <phoneticPr fontId="71" type="noConversion"/>
  </si>
  <si>
    <t>伸縮縫</t>
    <phoneticPr fontId="71" type="noConversion"/>
  </si>
  <si>
    <t>1.28*16處</t>
    <phoneticPr fontId="71" type="noConversion"/>
  </si>
  <si>
    <t>警示磚</t>
    <phoneticPr fontId="71" type="noConversion"/>
  </si>
  <si>
    <t>61.37+9.83+18.93+20.05+39.4+39.94+29.37+7.53</t>
    <phoneticPr fontId="71" type="noConversion"/>
  </si>
  <si>
    <t>外側及三合街</t>
    <phoneticPr fontId="71" type="noConversion"/>
  </si>
  <si>
    <t>園內由北至南</t>
    <phoneticPr fontId="71" type="noConversion"/>
  </si>
  <si>
    <t>8.25+10+8.63+7.73+4.06+6.85+76.28+3.04+1.96</t>
    <phoneticPr fontId="71" type="noConversion"/>
  </si>
  <si>
    <t>16.81+15.57+9.89+2.39</t>
    <phoneticPr fontId="71" type="noConversion"/>
  </si>
  <si>
    <t>20.53+10.47</t>
    <phoneticPr fontId="71" type="noConversion"/>
  </si>
  <si>
    <t>10.36+7.66</t>
    <phoneticPr fontId="71" type="noConversion"/>
  </si>
  <si>
    <t>座台B</t>
    <phoneticPr fontId="71" type="noConversion"/>
  </si>
  <si>
    <t>16.9+13.3+65.6+77.2+7.4</t>
    <phoneticPr fontId="71" type="noConversion"/>
  </si>
  <si>
    <t>座台E</t>
    <phoneticPr fontId="71" type="noConversion"/>
  </si>
  <si>
    <t>座台F</t>
    <phoneticPr fontId="71" type="noConversion"/>
  </si>
  <si>
    <t>座台C</t>
    <phoneticPr fontId="71" type="noConversion"/>
  </si>
  <si>
    <t>座台D</t>
    <phoneticPr fontId="71" type="noConversion"/>
  </si>
  <si>
    <t>3.9+3.9</t>
    <phoneticPr fontId="71" type="noConversion"/>
  </si>
  <si>
    <t>座椅D</t>
    <phoneticPr fontId="71" type="noConversion"/>
  </si>
  <si>
    <t>詳鋼筋數量表*每徑行米36.87</t>
    <phoneticPr fontId="71" type="noConversion"/>
  </si>
  <si>
    <t>詳鋼筋數量表*每徑行米20.03</t>
    <phoneticPr fontId="71" type="noConversion"/>
  </si>
  <si>
    <t>詳鋼筋數量表*每徑行米20.83</t>
    <phoneticPr fontId="71" type="noConversion"/>
  </si>
  <si>
    <t>詳鋼筋數量表*每徑行米47.19</t>
    <phoneticPr fontId="71" type="noConversion"/>
  </si>
  <si>
    <t>詳鋼筋數量表*每徑行米68.42</t>
    <phoneticPr fontId="71" type="noConversion"/>
  </si>
  <si>
    <t>詳鋼筋數量表*每徑行米40.56</t>
    <phoneticPr fontId="71" type="noConversion"/>
  </si>
  <si>
    <t>詳鋼筋數量表*每徑行米31.13</t>
    <phoneticPr fontId="71" type="noConversion"/>
  </si>
  <si>
    <t>詳鋼筋數量表*每徑行米35.45</t>
    <phoneticPr fontId="71" type="noConversion"/>
  </si>
  <si>
    <t>詳鋼筋數量表*每徑行米34.39</t>
    <phoneticPr fontId="71" type="noConversion"/>
  </si>
  <si>
    <t>詳鋼筋數量表每徑行米140.57</t>
    <phoneticPr fontId="71" type="noConversion"/>
  </si>
  <si>
    <t>詳鋼筋數量表*每徑行米66.26</t>
    <phoneticPr fontId="71" type="noConversion"/>
  </si>
  <si>
    <t>(主筋1/0.2+副筋2支*)*0.994*1.05*場鑄道路緣石長</t>
    <phoneticPr fontId="71" type="noConversion"/>
  </si>
  <si>
    <t>鋼筋長度0.15*間距1/0.5*0.994*總長度</t>
    <phoneticPr fontId="71" type="noConversion"/>
  </si>
  <si>
    <t>鋼筋長度0.2*間距1/0.5*0.994*總長度</t>
    <phoneticPr fontId="71" type="noConversion"/>
  </si>
  <si>
    <t>詳鋼筋數量表*每徑行米30.42</t>
    <phoneticPr fontId="71" type="noConversion"/>
  </si>
  <si>
    <t>詳重量表26.94*長度</t>
    <phoneticPr fontId="71" type="noConversion"/>
  </si>
  <si>
    <t>透水地坪B 30*30</t>
    <phoneticPr fontId="71" type="noConversion"/>
  </si>
  <si>
    <t>透水地坪B 20*20</t>
    <phoneticPr fontId="71" type="noConversion"/>
  </si>
  <si>
    <t>25.7*(0.3*0.5*2+0.9*0.4)</t>
    <phoneticPr fontId="3" type="noConversion"/>
  </si>
  <si>
    <t>(300-280)*雙孔箱涵數量計算13.8</t>
    <phoneticPr fontId="71" type="noConversion"/>
  </si>
  <si>
    <t>(570-440)*雙孔箱涵數量計算13.8</t>
    <phoneticPr fontId="71" type="noConversion"/>
  </si>
  <si>
    <t>立柱(0.25+0.6)*2*4*2+中間柱0.5*4*2*2+頂版(11.7+11.1)/2*(6.5+10.3)/2-清掃孔2*3+清掃孔內模(2+3)*0.35*2+溢流口2*0.1*2*4+牆內模(6.5+10.3+11.1)*2</t>
    <phoneticPr fontId="71" type="noConversion"/>
  </si>
  <si>
    <t>人行道</t>
    <phoneticPr fontId="3" type="noConversion"/>
  </si>
  <si>
    <t>三合橋圍水(基礎施作)</t>
    <phoneticPr fontId="3" type="noConversion"/>
  </si>
  <si>
    <t>長30m*2包</t>
    <phoneticPr fontId="3" type="noConversion"/>
  </si>
  <si>
    <t>PC樁圍水</t>
    <phoneticPr fontId="3" type="noConversion"/>
  </si>
  <si>
    <t>共月橋P1P2圍水</t>
    <phoneticPr fontId="3" type="noConversion"/>
  </si>
  <si>
    <t>長10m*2包</t>
    <phoneticPr fontId="3" type="noConversion"/>
  </si>
  <si>
    <t>河道側長30m*2包+既有箱涵20*2包</t>
    <phoneticPr fontId="3" type="noConversion"/>
  </si>
  <si>
    <t>側流井圍水(上游砌石施作)</t>
    <phoneticPr fontId="3" type="noConversion"/>
  </si>
  <si>
    <t>三合橋圍水(固床工施作)</t>
    <phoneticPr fontId="3" type="noConversion"/>
  </si>
  <si>
    <t>長70m*3包</t>
    <phoneticPr fontId="3" type="noConversion"/>
  </si>
  <si>
    <t>側流井圍水(砌石分段施作)</t>
    <phoneticPr fontId="3" type="noConversion"/>
  </si>
  <si>
    <t>長22m*2包</t>
    <phoneticPr fontId="3" type="noConversion"/>
  </si>
  <si>
    <t>長28m*2包</t>
    <phoneticPr fontId="3" type="noConversion"/>
  </si>
  <si>
    <t>新做擋牆圍水</t>
    <phoneticPr fontId="3" type="noConversion"/>
  </si>
  <si>
    <t>31M*2包</t>
    <phoneticPr fontId="3" type="noConversion"/>
  </si>
  <si>
    <t>0k+700人行道上人孔</t>
    <phoneticPr fontId="3" type="noConversion"/>
  </si>
  <si>
    <t>座台A</t>
    <phoneticPr fontId="71" type="noConversion"/>
  </si>
  <si>
    <t>座台A-1</t>
    <phoneticPr fontId="71" type="noConversion"/>
  </si>
  <si>
    <t>公園廁無障礙接梯形磚</t>
    <phoneticPr fontId="71" type="noConversion"/>
  </si>
  <si>
    <t>三合橋下游擋牆(RT)</t>
    <phoneticPr fontId="71" type="noConversion"/>
  </si>
  <si>
    <t>三合橋上游坡道(RT-長照中心-兩側)</t>
    <phoneticPr fontId="71" type="noConversion"/>
  </si>
  <si>
    <t>延壽橋</t>
    <phoneticPr fontId="71" type="noConversion"/>
  </si>
  <si>
    <t>19.1+8.62</t>
    <phoneticPr fontId="71" type="noConversion"/>
  </si>
  <si>
    <t>三合橋頭</t>
    <phoneticPr fontId="71" type="noConversion"/>
  </si>
  <si>
    <t>26.1+6.2</t>
    <phoneticPr fontId="71" type="noConversion"/>
  </si>
  <si>
    <t>三合橋舊住宅無障礙(上游)</t>
    <phoneticPr fontId="71" type="noConversion"/>
  </si>
  <si>
    <t>三合橋舊住宅無障礙(下游)</t>
    <phoneticPr fontId="71" type="noConversion"/>
  </si>
  <si>
    <t>三合橋上游擋牆(RT)</t>
    <phoneticPr fontId="71" type="noConversion"/>
  </si>
  <si>
    <t>1.2.45</t>
    <phoneticPr fontId="71" type="noConversion"/>
  </si>
  <si>
    <t>1.2.46</t>
    <phoneticPr fontId="71" type="noConversion"/>
  </si>
  <si>
    <t>1.2.51</t>
    <phoneticPr fontId="71" type="noConversion"/>
  </si>
  <si>
    <t>樓梯L</t>
    <phoneticPr fontId="71" type="noConversion"/>
  </si>
  <si>
    <t>延壽橋兩側</t>
    <phoneticPr fontId="71" type="noConversion"/>
  </si>
  <si>
    <t>13.7+13.7</t>
    <phoneticPr fontId="71" type="noConversion"/>
  </si>
  <si>
    <t>延壽橋人行道</t>
    <phoneticPr fontId="71" type="noConversion"/>
  </si>
  <si>
    <t>三合橋橋上護欄</t>
    <phoneticPr fontId="71" type="noConversion"/>
  </si>
  <si>
    <t>三合橋上游住宅側無障礙(LT)</t>
    <phoneticPr fontId="71" type="noConversion"/>
  </si>
  <si>
    <t>共月橋至三合橋雙黃線</t>
    <phoneticPr fontId="71" type="noConversion"/>
  </si>
  <si>
    <t>139*2*0.1</t>
    <phoneticPr fontId="71" type="noConversion"/>
  </si>
  <si>
    <t>48.6*2*0.1</t>
    <phoneticPr fontId="71" type="noConversion"/>
  </si>
  <si>
    <t>共月橋至清江路177巷雙黃線</t>
    <phoneticPr fontId="71" type="noConversion"/>
  </si>
  <si>
    <t>中央分隔島槽化線(下游)</t>
    <phoneticPr fontId="71" type="noConversion"/>
  </si>
  <si>
    <t>中央分隔島槽化線(上游)</t>
    <phoneticPr fontId="71" type="noConversion"/>
  </si>
  <si>
    <t>(25.4+25.4+2.35*25.4/0.5)*0.2</t>
    <phoneticPr fontId="71" type="noConversion"/>
  </si>
  <si>
    <t>(14.7+14.7+1.6*14.7/0.5)*0.2</t>
    <phoneticPr fontId="71" type="noConversion"/>
  </si>
  <si>
    <t>延壽橋雙黃線</t>
    <phoneticPr fontId="71" type="noConversion"/>
  </si>
  <si>
    <t>12.75*2*0.1</t>
    <phoneticPr fontId="71" type="noConversion"/>
  </si>
  <si>
    <t>4*0.4*10處</t>
    <phoneticPr fontId="71" type="noConversion"/>
  </si>
  <si>
    <t>停止線</t>
    <phoneticPr fontId="71" type="noConversion"/>
  </si>
  <si>
    <t>三合街二段雙黃線</t>
    <phoneticPr fontId="71" type="noConversion"/>
  </si>
  <si>
    <t>11.6*2*0.1</t>
    <phoneticPr fontId="71" type="noConversion"/>
  </si>
  <si>
    <t>機車圖案(含外框)</t>
    <phoneticPr fontId="71" type="noConversion"/>
  </si>
  <si>
    <t>(3+3.5*2*0.1+4.5*2*0.2)*4處</t>
    <phoneticPr fontId="71" type="noConversion"/>
  </si>
  <si>
    <t>行穿線</t>
    <phoneticPr fontId="71" type="noConversion"/>
  </si>
  <si>
    <t>3*0.4*8條*13處</t>
    <phoneticPr fontId="71" type="noConversion"/>
  </si>
  <si>
    <t>時速30</t>
    <phoneticPr fontId="71" type="noConversion"/>
  </si>
  <si>
    <t>1*7處</t>
    <phoneticPr fontId="71" type="noConversion"/>
  </si>
  <si>
    <t>直行左轉標線</t>
    <phoneticPr fontId="71" type="noConversion"/>
  </si>
  <si>
    <t>右轉標線</t>
    <phoneticPr fontId="71" type="noConversion"/>
  </si>
  <si>
    <t>汽車格</t>
    <phoneticPr fontId="71" type="noConversion"/>
  </si>
  <si>
    <t>(6+2)*0.1*52處</t>
    <phoneticPr fontId="71" type="noConversion"/>
  </si>
  <si>
    <t>機車格</t>
    <phoneticPr fontId="71" type="noConversion"/>
  </si>
  <si>
    <t>(2+1)*0.1*46處</t>
    <phoneticPr fontId="71" type="noConversion"/>
  </si>
  <si>
    <t>(7.9+6.9)*2*0.2+8.79*4*2*0.1</t>
    <phoneticPr fontId="71" type="noConversion"/>
  </si>
  <si>
    <t>網狀線-清江路151巷</t>
    <phoneticPr fontId="71" type="noConversion"/>
  </si>
  <si>
    <t>網狀線-清江路177巷</t>
    <phoneticPr fontId="71" type="noConversion"/>
  </si>
  <si>
    <t>(139.2+48.6)*2*0.2</t>
    <phoneticPr fontId="71" type="noConversion"/>
  </si>
  <si>
    <t>配合東側改道繪製臨時禁停紅線</t>
    <phoneticPr fontId="71" type="noConversion"/>
  </si>
  <si>
    <t>配合東側改道繪製臨時雙黃線</t>
    <phoneticPr fontId="71" type="noConversion"/>
  </si>
  <si>
    <t>371.9*0.1*2</t>
    <phoneticPr fontId="71" type="noConversion"/>
  </si>
  <si>
    <t>22.4+17.4</t>
    <phoneticPr fontId="71" type="noConversion"/>
  </si>
  <si>
    <t>三合橋舖面廣場欄杆(LT)</t>
    <phoneticPr fontId="71" type="noConversion"/>
  </si>
  <si>
    <t>三合橋舖面廣場欄杆(RT)</t>
    <phoneticPr fontId="71" type="noConversion"/>
  </si>
  <si>
    <t>15.3+4.0</t>
    <phoneticPr fontId="71" type="noConversion"/>
  </si>
  <si>
    <t>詳數量表總長*每徑行米1.05</t>
    <phoneticPr fontId="71" type="noConversion"/>
  </si>
  <si>
    <t>詳數量表每徑行米5.4*長度</t>
    <phoneticPr fontId="71" type="noConversion"/>
  </si>
  <si>
    <t>詳數量表總長*每徑行米0.12</t>
    <phoneticPr fontId="71" type="noConversion"/>
  </si>
  <si>
    <t>總長度*24.1</t>
    <phoneticPr fontId="71" type="noConversion"/>
  </si>
  <si>
    <t>總長度*45.1</t>
    <phoneticPr fontId="71" type="noConversion"/>
  </si>
  <si>
    <t>總長度*43.2</t>
    <phoneticPr fontId="71" type="noConversion"/>
  </si>
  <si>
    <t>詳數量表每徑行米2.9*長度</t>
    <phoneticPr fontId="71" type="noConversion"/>
  </si>
  <si>
    <t>詳數量表每徑行米0.42*總長度</t>
    <phoneticPr fontId="71" type="noConversion"/>
  </si>
  <si>
    <t>詳數量表每徑行米0.05*總長度</t>
    <phoneticPr fontId="71" type="noConversion"/>
  </si>
  <si>
    <t>詳鋼筋數量表每徑行米41.61*總長度</t>
    <phoneticPr fontId="71" type="noConversion"/>
  </si>
  <si>
    <t>16+13.7+23.3+4.9+5.1+20.5+14.8+11.8+12.2</t>
    <phoneticPr fontId="71" type="noConversion"/>
  </si>
  <si>
    <t>14.7+15.3+19.9+16.1+18.2+16.9</t>
    <phoneticPr fontId="71" type="noConversion"/>
  </si>
  <si>
    <t>(29.1+17.6)+(12.1+12.3+14.5+14.4+14.4+10+15.9)+4.1+12.4+(21.4+16.8+3.5+4.3)+(12.9+13+14.4+14.4)+(2.5+7.8+10)+(29.5+15.8)+(23.5+32.5)+(19+14.4+14.4+15.8)+(14.1+14.2+9+9)</t>
    <phoneticPr fontId="71" type="noConversion"/>
  </si>
  <si>
    <t>(24+14.2)+(6.5+9.3+2.2+1.2+15.1+1.6+18.7+8.6+12.5+12.2)+(16.6+15.8+10.8+14+18.3)+14.4</t>
    <phoneticPr fontId="71" type="noConversion"/>
  </si>
  <si>
    <t>(2.2+2.5+0.8+2.6+2.4+0.4+2.8+3.2+2.5+2.5+3+2.2)+18.06</t>
    <phoneticPr fontId="71" type="noConversion"/>
  </si>
  <si>
    <t>1.1+1.1+3.9+3.2+2.9+6.1+5.1+3+3+1.2+4.8+9.2+3.3+2+7+2.9+17+2.9+1+14.2+14.4+3.8+3.7</t>
    <phoneticPr fontId="71" type="noConversion"/>
  </si>
  <si>
    <t>9.1+8.9+7.8</t>
    <phoneticPr fontId="71" type="noConversion"/>
  </si>
  <si>
    <t>23+11.2+11.8+7.9</t>
    <phoneticPr fontId="71" type="noConversion"/>
  </si>
  <si>
    <t>11.3+9.7</t>
    <phoneticPr fontId="71" type="noConversion"/>
  </si>
  <si>
    <t>46+40.7+13.6+53.7+14.1+8.9+98.6</t>
    <phoneticPr fontId="7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</si>
</sst>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2" formatCode="_-&quot;$&quot;* #,##0_-;\-&quot;$&quot;* #,##0_-;_-&quot;$&quot;* &quot;-&quot;_-;_-@_-"/>
    <numFmt numFmtId="43" formatCode="_-* #,##0.00_-;\-* #,##0.00_-;_-* &quot;-&quot;??_-;_-@_-"/>
    <numFmt numFmtId="176" formatCode="_-* #,##0.0_-;\-* #,##0.0_-;_-* &quot;-&quot;??_-;_-@_-"/>
    <numFmt numFmtId="177" formatCode="[$-404]e&quot;年&quot;m&quot;月&quot;d&quot;日&quot;;@"/>
    <numFmt numFmtId="178" formatCode="#,##0_ "/>
    <numFmt numFmtId="179" formatCode="#,##0.00_ "/>
    <numFmt numFmtId="180" formatCode="_ &quot;\&quot;* #,##0_ ;_ &quot;\&quot;* \-#,##0_ ;_ &quot;\&quot;* &quot;-&quot;_ ;_ @_ "/>
    <numFmt numFmtId="181" formatCode="_ &quot;\&quot;* #,##0.00_ ;_ &quot;\&quot;* \-#,##0.00_ ;_ &quot;\&quot;* &quot;-&quot;??_ ;_ @_ "/>
    <numFmt numFmtId="182" formatCode="#.##"/>
    <numFmt numFmtId="183" formatCode="#,##0.000;[Red]&quot;-&quot;#,##0.000"/>
    <numFmt numFmtId="184" formatCode="_ * #,##0_ ;_ * \-#,##0_ ;_ * &quot;-&quot;_ ;_ @_ "/>
    <numFmt numFmtId="185" formatCode="_ * #,##0.00_ ;_ * \-#,##0.00_ ;_ * &quot;-&quot;??_ ;_ @_ "/>
    <numFmt numFmtId="186" formatCode="&quot;$&quot;#,##0\ ;\(&quot;$&quot;#,##0\)"/>
    <numFmt numFmtId="187" formatCode="0.00_)"/>
    <numFmt numFmtId="188" formatCode="#,##0.00_);[Red]\(#,##0.00\)"/>
    <numFmt numFmtId="189" formatCode="#,##0.00_ ;[Red]\-#,##0.00\ "/>
    <numFmt numFmtId="190" formatCode="0.00_);[Red]\(0.00\)"/>
    <numFmt numFmtId="191" formatCode="0.000_ "/>
    <numFmt numFmtId="192" formatCode="0.00_ "/>
    <numFmt numFmtId="193" formatCode="&quot;$&quot;#,##0.00"/>
    <numFmt numFmtId="194" formatCode="&quot; 0k+&quot;\ General"/>
    <numFmt numFmtId="195" formatCode="General\ &quot;包&quot;"/>
  </numFmts>
  <fonts count="108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b/>
      <sz val="16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8"/>
      <color indexed="8"/>
      <name val="標楷體"/>
      <family val="4"/>
      <charset val="136"/>
    </font>
    <font>
      <sz val="12"/>
      <color indexed="8"/>
      <name val="標楷體"/>
      <family val="4"/>
      <charset val="136"/>
    </font>
    <font>
      <sz val="12"/>
      <color indexed="8"/>
      <name val="新細明體"/>
      <family val="1"/>
      <charset val="136"/>
    </font>
    <font>
      <u/>
      <sz val="9"/>
      <color indexed="8"/>
      <name val="標楷體"/>
      <family val="4"/>
      <charset val="136"/>
    </font>
    <font>
      <b/>
      <sz val="14"/>
      <color indexed="8"/>
      <name val="標楷體"/>
      <family val="4"/>
      <charset val="136"/>
    </font>
    <font>
      <b/>
      <sz val="12"/>
      <color indexed="8"/>
      <name val="新細明體"/>
      <family val="1"/>
      <charset val="136"/>
    </font>
    <font>
      <sz val="12"/>
      <color indexed="8"/>
      <name val="Arial"/>
      <family val="2"/>
    </font>
    <font>
      <sz val="10"/>
      <color indexed="8"/>
      <name val="標楷體"/>
      <family val="4"/>
      <charset val="136"/>
    </font>
    <font>
      <b/>
      <sz val="10"/>
      <color indexed="8"/>
      <name val="新細明體"/>
      <family val="1"/>
      <charset val="136"/>
    </font>
    <font>
      <sz val="9"/>
      <color indexed="8"/>
      <name val="Arial"/>
      <family val="2"/>
    </font>
    <font>
      <sz val="9"/>
      <color rgb="FFFF0000"/>
      <name val="Arial"/>
      <family val="2"/>
    </font>
    <font>
      <sz val="10"/>
      <color rgb="FFFF0000"/>
      <name val="標楷體"/>
      <family val="4"/>
      <charset val="136"/>
    </font>
    <font>
      <sz val="12"/>
      <color rgb="FFFF0000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0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8"/>
      <color theme="1"/>
      <name val="新細明體"/>
      <family val="1"/>
      <charset val="136"/>
      <scheme val="minor"/>
    </font>
    <font>
      <sz val="8"/>
      <color rgb="FFFF0000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2"/>
      <color rgb="FF000000"/>
      <name val="PMingLiu"/>
      <family val="1"/>
      <charset val="136"/>
    </font>
    <font>
      <sz val="9"/>
      <color theme="1"/>
      <name val="新細明體"/>
      <family val="2"/>
      <scheme val="minor"/>
    </font>
    <font>
      <sz val="8"/>
      <name val="新細明體"/>
      <family val="1"/>
      <charset val="136"/>
      <scheme val="minor"/>
    </font>
    <font>
      <sz val="10"/>
      <color theme="1"/>
      <name val="Microsoft JhengHei UI"/>
      <family val="1"/>
      <charset val="136"/>
    </font>
    <font>
      <sz val="10"/>
      <color rgb="FFFF0000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9"/>
      <color rgb="FFFF0000"/>
      <name val="新細明體"/>
      <family val="1"/>
      <charset val="136"/>
      <scheme val="minor"/>
    </font>
    <font>
      <sz val="10"/>
      <name val="標楷體"/>
      <family val="4"/>
      <charset val="136"/>
    </font>
    <font>
      <sz val="9"/>
      <name val="Arial"/>
      <family val="2"/>
    </font>
    <font>
      <sz val="9"/>
      <color theme="1"/>
      <name val="新細明體"/>
      <family val="2"/>
      <charset val="136"/>
      <scheme val="minor"/>
    </font>
    <font>
      <b/>
      <sz val="18"/>
      <color rgb="FFFF0000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4"/>
      <color rgb="FFFF0000"/>
      <name val="標楷體"/>
      <family val="4"/>
      <charset val="136"/>
    </font>
    <font>
      <sz val="8"/>
      <color theme="1"/>
      <name val="新細明體"/>
      <family val="2"/>
      <charset val="136"/>
      <scheme val="minor"/>
    </font>
    <font>
      <sz val="10"/>
      <color rgb="FF0000FF"/>
      <name val="標楷體"/>
      <family val="4"/>
      <charset val="136"/>
    </font>
    <font>
      <sz val="8"/>
      <color rgb="FF0000FF"/>
      <name val="新細明體"/>
      <family val="2"/>
      <charset val="136"/>
      <scheme val="minor"/>
    </font>
    <font>
      <sz val="8"/>
      <color rgb="FF0000FF"/>
      <name val="新細明體"/>
      <family val="1"/>
      <charset val="136"/>
      <scheme val="minor"/>
    </font>
    <font>
      <sz val="12"/>
      <name val="標楷體"/>
      <family val="4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scheme val="minor"/>
    </font>
    <font>
      <sz val="10"/>
      <name val="新細明體"/>
      <family val="2"/>
      <charset val="136"/>
      <scheme val="minor"/>
    </font>
    <font>
      <sz val="10"/>
      <color theme="1"/>
      <name val="標楷體"/>
      <family val="4"/>
      <charset val="136"/>
    </font>
    <font>
      <sz val="9"/>
      <color theme="1"/>
      <name val="Arial"/>
      <family val="2"/>
    </font>
    <font>
      <sz val="9"/>
      <color theme="1"/>
      <name val="標楷體"/>
      <family val="4"/>
      <charset val="136"/>
    </font>
    <font>
      <sz val="12"/>
      <color theme="1"/>
      <name val="新細明體"/>
      <family val="1"/>
      <charset val="136"/>
    </font>
    <font>
      <sz val="7"/>
      <color theme="1"/>
      <name val="新細明體"/>
      <family val="1"/>
      <charset val="136"/>
      <scheme val="minor"/>
    </font>
    <font>
      <sz val="9"/>
      <name val="標楷體"/>
      <family val="4"/>
      <charset val="136"/>
    </font>
    <font>
      <sz val="12"/>
      <name val="¹ÙÅÁÃ¼"/>
      <family val="1"/>
    </font>
    <font>
      <sz val="10"/>
      <name val="Arial"/>
      <family val="2"/>
    </font>
    <font>
      <u/>
      <sz val="10"/>
      <color indexed="14"/>
      <name val="MS Sans Serif"/>
      <family val="2"/>
    </font>
    <font>
      <sz val="11"/>
      <name val="µ¸¿ò"/>
      <family val="1"/>
    </font>
    <font>
      <sz val="12"/>
      <name val="±¼¸²"/>
      <family val="1"/>
    </font>
    <font>
      <sz val="10"/>
      <name val="MS Sans Serif"/>
      <family val="2"/>
    </font>
    <font>
      <sz val="12"/>
      <name val="±¼¸²Ã¼"/>
      <family val="1"/>
    </font>
    <font>
      <u/>
      <sz val="12"/>
      <color indexed="12"/>
      <name val="Tms Rmn"/>
      <family val="1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u/>
      <sz val="10"/>
      <color indexed="12"/>
      <name val="MS Sans Serif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2"/>
      <color theme="1"/>
      <name val="新細明體"/>
      <family val="1"/>
      <charset val="136"/>
      <scheme val="minor"/>
    </font>
    <font>
      <sz val="9"/>
      <name val="華康仿宋體"/>
      <family val="3"/>
      <charset val="136"/>
    </font>
    <font>
      <sz val="12"/>
      <name val="新細明體"/>
      <family val="1"/>
    </font>
    <font>
      <sz val="10"/>
      <name val="標楷體"/>
      <family val="4"/>
    </font>
    <font>
      <sz val="9"/>
      <name val="新細明體"/>
      <family val="3"/>
      <charset val="136"/>
      <scheme val="minor"/>
    </font>
    <font>
      <sz val="11"/>
      <color indexed="8"/>
      <name val="標楷體"/>
      <family val="4"/>
      <charset val="136"/>
    </font>
    <font>
      <sz val="8"/>
      <color indexed="8"/>
      <name val="標楷體"/>
      <family val="4"/>
      <charset val="136"/>
    </font>
    <font>
      <sz val="8"/>
      <name val="標楷體"/>
      <family val="4"/>
      <charset val="136"/>
    </font>
    <font>
      <sz val="8"/>
      <color theme="1"/>
      <name val="標楷體"/>
      <family val="4"/>
      <charset val="136"/>
    </font>
    <font>
      <sz val="6"/>
      <color indexed="8"/>
      <name val="標楷體"/>
      <family val="4"/>
      <charset val="136"/>
    </font>
    <font>
      <sz val="9"/>
      <color indexed="8"/>
      <name val="標楷體"/>
      <family val="4"/>
      <charset val="136"/>
    </font>
    <font>
      <sz val="12"/>
      <color theme="1"/>
      <name val="新細明體"/>
      <family val="2"/>
      <charset val="136"/>
      <scheme val="minor"/>
    </font>
    <font>
      <sz val="9"/>
      <name val="細明體"/>
      <family val="3"/>
      <charset val="136"/>
    </font>
    <font>
      <b/>
      <sz val="9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2"/>
      <color rgb="FFFF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theme="1"/>
      <name val="標楷體"/>
      <family val="4"/>
      <charset val="136"/>
    </font>
    <font>
      <sz val="8"/>
      <name val="PMingLiu"/>
      <family val="1"/>
      <charset val="136"/>
    </font>
    <font>
      <sz val="8"/>
      <color theme="1"/>
      <name val="PMingLiu"/>
      <family val="1"/>
      <charset val="136"/>
    </font>
    <font>
      <sz val="12"/>
      <name val="標楷體"/>
      <family val="4"/>
    </font>
    <font>
      <sz val="12"/>
      <name val="Arial"/>
      <family val="2"/>
    </font>
    <font>
      <b/>
      <sz val="12"/>
      <name val="標楷體"/>
      <family val="4"/>
      <charset val="136"/>
    </font>
    <font>
      <sz val="12"/>
      <name val="細明體"/>
      <family val="2"/>
      <charset val="136"/>
    </font>
    <font>
      <sz val="12"/>
      <name val="標楷體"/>
      <family val="2"/>
      <charset val="136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2"/>
      <name val="新細明體"/>
      <family val="2"/>
      <charset val="136"/>
    </font>
    <font>
      <sz val="12"/>
      <color rgb="FFA5A5A5"/>
      <name val="PMingLiu"/>
      <family val="1"/>
      <charset val="136"/>
    </font>
    <font>
      <sz val="12"/>
      <color rgb="FFFF0000"/>
      <name val="細明體"/>
      <family val="2"/>
      <charset val="136"/>
    </font>
    <font>
      <sz val="12"/>
      <name val="新細明體"/>
      <family val="2"/>
      <scheme val="minor"/>
    </font>
    <font>
      <sz val="11"/>
      <name val="新細明體"/>
      <family val="2"/>
      <scheme val="minor"/>
    </font>
    <font>
      <sz val="8"/>
      <color rgb="FFA5A5A5"/>
      <name val="PMingLiu"/>
      <family val="1"/>
      <charset val="136"/>
    </font>
    <font>
      <sz val="10"/>
      <color theme="1"/>
      <name val="標楷體"/>
      <family val="4"/>
    </font>
    <font>
      <sz val="10"/>
      <color theme="1"/>
      <name val="Arial"/>
      <family val="2"/>
    </font>
    <font>
      <sz val="2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8"/>
      <color theme="0" tint="-0.34998626667073579"/>
      <name val="新細明體"/>
      <family val="2"/>
      <scheme val="minor"/>
    </font>
    <font>
      <sz val="12"/>
      <color rgb="FFFF0000"/>
      <name val="新細明體"/>
      <family val="2"/>
      <scheme val="minor"/>
    </font>
    <font>
      <sz val="12"/>
      <color rgb="FFFF0000"/>
      <name val="標楷體"/>
      <family val="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70">
    <xf numFmtId="0" fontId="0" fillId="0" borderId="0">
      <alignment vertical="center"/>
    </xf>
    <xf numFmtId="0" fontId="17" fillId="0" borderId="0"/>
    <xf numFmtId="0" fontId="18" fillId="0" borderId="0"/>
    <xf numFmtId="0" fontId="17" fillId="0" borderId="0"/>
    <xf numFmtId="0" fontId="24" fillId="0" borderId="0"/>
    <xf numFmtId="0" fontId="44" fillId="0" borderId="0"/>
    <xf numFmtId="0" fontId="53" fillId="0" borderId="0"/>
    <xf numFmtId="0" fontId="53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NumberFormat="0" applyFill="0" applyBorder="0" applyAlignment="0" applyProtection="0"/>
    <xf numFmtId="9" fontId="53" fillId="0" borderId="0" applyFont="0" applyFill="0" applyBorder="0" applyAlignment="0" applyProtection="0"/>
    <xf numFmtId="180" fontId="56" fillId="0" borderId="0" applyFont="0" applyFill="0" applyBorder="0" applyAlignment="0" applyProtection="0"/>
    <xf numFmtId="181" fontId="56" fillId="0" borderId="0" applyFont="0" applyFill="0" applyBorder="0" applyAlignment="0" applyProtection="0"/>
    <xf numFmtId="182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0" fontId="58" fillId="0" borderId="0"/>
    <xf numFmtId="184" fontId="56" fillId="0" borderId="0" applyFont="0" applyFill="0" applyBorder="0" applyAlignment="0" applyProtection="0"/>
    <xf numFmtId="185" fontId="56" fillId="0" borderId="0" applyFont="0" applyFill="0" applyBorder="0" applyAlignment="0" applyProtection="0"/>
    <xf numFmtId="0" fontId="54" fillId="0" borderId="0"/>
    <xf numFmtId="0" fontId="59" fillId="0" borderId="0"/>
    <xf numFmtId="0" fontId="60" fillId="0" borderId="0" applyNumberFormat="0" applyFill="0" applyBorder="0" applyAlignment="0" applyProtection="0">
      <alignment vertical="top"/>
      <protection locked="0"/>
    </xf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3" fontId="5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186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2" fontId="54" fillId="0" borderId="0" applyFont="0" applyFill="0" applyBorder="0" applyAlignment="0" applyProtection="0"/>
    <xf numFmtId="38" fontId="61" fillId="9" borderId="0" applyNumberFormat="0" applyBorder="0" applyAlignment="0" applyProtection="0"/>
    <xf numFmtId="0" fontId="62" fillId="0" borderId="15" applyNumberFormat="0" applyAlignment="0" applyProtection="0">
      <alignment horizontal="left" vertical="center"/>
    </xf>
    <xf numFmtId="0" fontId="62" fillId="0" borderId="16">
      <alignment horizontal="left" vertical="center"/>
    </xf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0" fontId="61" fillId="10" borderId="8" applyNumberFormat="0" applyBorder="0" applyAlignment="0" applyProtection="0"/>
    <xf numFmtId="37" fontId="65" fillId="0" borderId="0"/>
    <xf numFmtId="187" fontId="66" fillId="0" borderId="0"/>
    <xf numFmtId="0" fontId="54" fillId="0" borderId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0" fontId="54" fillId="0" borderId="17" applyNumberFormat="0" applyFont="0" applyFill="0" applyAlignment="0" applyProtection="0"/>
    <xf numFmtId="0" fontId="17" fillId="0" borderId="0"/>
    <xf numFmtId="0" fontId="67" fillId="0" borderId="0">
      <alignment vertical="center"/>
    </xf>
    <xf numFmtId="0" fontId="44" fillId="0" borderId="0">
      <alignment vertical="center"/>
    </xf>
    <xf numFmtId="0" fontId="54" fillId="0" borderId="0"/>
    <xf numFmtId="43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68" fillId="0" borderId="8">
      <alignment vertical="center" wrapText="1"/>
    </xf>
    <xf numFmtId="42" fontId="44" fillId="0" borderId="0" applyFont="0" applyFill="0" applyBorder="0" applyAlignment="0" applyProtection="0"/>
    <xf numFmtId="0" fontId="58" fillId="0" borderId="0"/>
    <xf numFmtId="0" fontId="44" fillId="0" borderId="0">
      <alignment vertical="center"/>
    </xf>
    <xf numFmtId="43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3" fontId="69" fillId="0" borderId="0">
      <alignment vertical="center"/>
    </xf>
    <xf numFmtId="0" fontId="69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43" fontId="78" fillId="0" borderId="0" applyFont="0" applyFill="0" applyBorder="0" applyAlignment="0" applyProtection="0">
      <alignment vertical="center"/>
    </xf>
    <xf numFmtId="0" fontId="81" fillId="0" borderId="0"/>
    <xf numFmtId="43" fontId="81" fillId="0" borderId="0" applyFont="0" applyFill="0" applyBorder="0" applyAlignment="0" applyProtection="0">
      <alignment vertical="center"/>
    </xf>
    <xf numFmtId="0" fontId="78" fillId="0" borderId="0">
      <alignment vertical="center"/>
    </xf>
  </cellStyleXfs>
  <cellXfs count="851">
    <xf numFmtId="0" fontId="0" fillId="0" borderId="0" xfId="0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11" fillId="0" borderId="7" xfId="0" applyFont="1" applyBorder="1" applyAlignment="1">
      <alignment horizontal="center" vertical="center" shrinkToFit="1"/>
    </xf>
    <xf numFmtId="0" fontId="11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 wrapText="1"/>
    </xf>
    <xf numFmtId="179" fontId="13" fillId="0" borderId="7" xfId="0" applyNumberFormat="1" applyFont="1" applyBorder="1" applyAlignment="1">
      <alignment vertical="center" shrinkToFit="1"/>
    </xf>
    <xf numFmtId="0" fontId="11" fillId="0" borderId="7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/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4" fontId="5" fillId="0" borderId="7" xfId="0" applyNumberFormat="1" applyFont="1" applyBorder="1" applyAlignment="1">
      <alignment horizontal="center" vertical="center" wrapText="1"/>
    </xf>
    <xf numFmtId="0" fontId="11" fillId="0" borderId="7" xfId="1" applyFont="1" applyBorder="1" applyAlignment="1">
      <alignment vertical="center" wrapText="1"/>
    </xf>
    <xf numFmtId="0" fontId="11" fillId="0" borderId="7" xfId="1" applyFont="1" applyBorder="1" applyAlignment="1">
      <alignment horizontal="center" vertical="center" wrapText="1" shrinkToFit="1"/>
    </xf>
    <xf numFmtId="179" fontId="13" fillId="0" borderId="7" xfId="1" applyNumberFormat="1" applyFont="1" applyBorder="1" applyAlignment="1">
      <alignment horizontal="right" vertical="center" shrinkToFit="1"/>
    </xf>
    <xf numFmtId="0" fontId="11" fillId="2" borderId="7" xfId="1" applyFont="1" applyFill="1" applyBorder="1" applyAlignment="1">
      <alignment vertical="center" wrapText="1"/>
    </xf>
    <xf numFmtId="0" fontId="11" fillId="2" borderId="7" xfId="1" applyFont="1" applyFill="1" applyBorder="1" applyAlignment="1">
      <alignment horizontal="center" vertical="center" wrapText="1" shrinkToFit="1"/>
    </xf>
    <xf numFmtId="179" fontId="13" fillId="2" borderId="7" xfId="1" applyNumberFormat="1" applyFont="1" applyFill="1" applyBorder="1" applyAlignment="1">
      <alignment horizontal="right" vertical="center" shrinkToFit="1"/>
    </xf>
    <xf numFmtId="0" fontId="11" fillId="0" borderId="6" xfId="1" applyFont="1" applyBorder="1" applyAlignment="1">
      <alignment vertical="center" wrapText="1"/>
    </xf>
    <xf numFmtId="0" fontId="11" fillId="0" borderId="6" xfId="1" applyFont="1" applyBorder="1" applyAlignment="1">
      <alignment horizontal="center" vertical="center" wrapText="1" shrinkToFit="1"/>
    </xf>
    <xf numFmtId="179" fontId="13" fillId="0" borderId="6" xfId="1" applyNumberFormat="1" applyFont="1" applyBorder="1" applyAlignment="1">
      <alignment horizontal="right" vertical="center" shrinkToFit="1"/>
    </xf>
    <xf numFmtId="0" fontId="11" fillId="0" borderId="0" xfId="1" applyFont="1" applyAlignment="1">
      <alignment vertical="center" wrapText="1"/>
    </xf>
    <xf numFmtId="0" fontId="11" fillId="0" borderId="0" xfId="1" applyFont="1" applyAlignment="1">
      <alignment horizontal="center" vertical="center" wrapText="1" shrinkToFit="1"/>
    </xf>
    <xf numFmtId="179" fontId="13" fillId="0" borderId="0" xfId="1" applyNumberFormat="1" applyFont="1" applyAlignment="1">
      <alignment horizontal="right" vertical="center" shrinkToFit="1"/>
    </xf>
    <xf numFmtId="0" fontId="11" fillId="0" borderId="7" xfId="0" applyFont="1" applyBorder="1" applyAlignment="1">
      <alignment horizontal="center" vertical="center" wrapText="1" shrinkToFit="1"/>
    </xf>
    <xf numFmtId="179" fontId="13" fillId="0" borderId="7" xfId="0" applyNumberFormat="1" applyFont="1" applyBorder="1" applyAlignment="1">
      <alignment horizontal="right" vertical="center" shrinkToFit="1"/>
    </xf>
    <xf numFmtId="0" fontId="21" fillId="0" borderId="0" xfId="0" applyFont="1">
      <alignment vertical="center"/>
    </xf>
    <xf numFmtId="179" fontId="13" fillId="3" borderId="7" xfId="0" applyNumberFormat="1" applyFont="1" applyFill="1" applyBorder="1" applyAlignment="1">
      <alignment vertical="center" shrinkToFit="1"/>
    </xf>
    <xf numFmtId="0" fontId="19" fillId="0" borderId="0" xfId="0" applyFont="1">
      <alignment vertical="center"/>
    </xf>
    <xf numFmtId="179" fontId="14" fillId="0" borderId="7" xfId="0" applyNumberFormat="1" applyFont="1" applyBorder="1" applyAlignment="1">
      <alignment vertical="center" shrinkToFit="1"/>
    </xf>
    <xf numFmtId="0" fontId="11" fillId="0" borderId="5" xfId="0" applyFont="1" applyBorder="1" applyAlignment="1">
      <alignment horizontal="center" vertical="center" wrapText="1"/>
    </xf>
    <xf numFmtId="179" fontId="13" fillId="4" borderId="7" xfId="0" applyNumberFormat="1" applyFont="1" applyFill="1" applyBorder="1" applyAlignment="1">
      <alignment vertical="center" shrinkToFit="1"/>
    </xf>
    <xf numFmtId="0" fontId="11" fillId="0" borderId="8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 shrinkToFit="1"/>
    </xf>
    <xf numFmtId="179" fontId="17" fillId="0" borderId="8" xfId="0" applyNumberFormat="1" applyFont="1" applyBorder="1" applyAlignment="1">
      <alignment horizontal="right" vertical="center" shrinkToFit="1"/>
    </xf>
    <xf numFmtId="0" fontId="38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38" fillId="0" borderId="0" xfId="0" applyFont="1" applyAlignment="1">
      <alignment vertical="center" wrapText="1"/>
    </xf>
    <xf numFmtId="0" fontId="15" fillId="0" borderId="0" xfId="1" applyFont="1" applyAlignment="1">
      <alignment vertical="center" wrapText="1"/>
    </xf>
    <xf numFmtId="0" fontId="15" fillId="0" borderId="0" xfId="1" applyFont="1" applyAlignment="1">
      <alignment horizontal="center" vertical="center" wrapText="1" shrinkToFit="1"/>
    </xf>
    <xf numFmtId="179" fontId="14" fillId="0" borderId="0" xfId="1" applyNumberFormat="1" applyFont="1" applyAlignment="1">
      <alignment horizontal="right" vertical="center" shrinkToFit="1"/>
    </xf>
    <xf numFmtId="0" fontId="11" fillId="0" borderId="5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left" vertical="center" wrapText="1"/>
    </xf>
    <xf numFmtId="179" fontId="13" fillId="0" borderId="5" xfId="0" applyNumberFormat="1" applyFont="1" applyBorder="1" applyAlignment="1">
      <alignment vertical="center" shrinkToFit="1"/>
    </xf>
    <xf numFmtId="0" fontId="11" fillId="0" borderId="5" xfId="0" applyFont="1" applyBorder="1" applyAlignment="1">
      <alignment vertical="center" wrapText="1"/>
    </xf>
    <xf numFmtId="0" fontId="1" fillId="0" borderId="0" xfId="0" applyFont="1">
      <alignment vertical="center"/>
    </xf>
    <xf numFmtId="0" fontId="42" fillId="0" borderId="7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 wrapText="1"/>
    </xf>
    <xf numFmtId="4" fontId="42" fillId="0" borderId="7" xfId="0" applyNumberFormat="1" applyFont="1" applyBorder="1" applyAlignment="1">
      <alignment horizontal="center" vertical="center" wrapText="1"/>
    </xf>
    <xf numFmtId="0" fontId="43" fillId="0" borderId="0" xfId="0" applyFont="1">
      <alignment vertical="center"/>
    </xf>
    <xf numFmtId="0" fontId="32" fillId="0" borderId="6" xfId="1" applyFont="1" applyBorder="1" applyAlignment="1">
      <alignment vertical="center" wrapText="1"/>
    </xf>
    <xf numFmtId="0" fontId="32" fillId="0" borderId="6" xfId="1" applyFont="1" applyBorder="1" applyAlignment="1">
      <alignment horizontal="center" vertical="center" wrapText="1" shrinkToFit="1"/>
    </xf>
    <xf numFmtId="179" fontId="33" fillId="0" borderId="6" xfId="1" applyNumberFormat="1" applyFont="1" applyBorder="1" applyAlignment="1">
      <alignment horizontal="right" vertical="center" shrinkToFit="1"/>
    </xf>
    <xf numFmtId="0" fontId="32" fillId="0" borderId="7" xfId="1" applyFont="1" applyBorder="1" applyAlignment="1">
      <alignment vertical="center" wrapText="1"/>
    </xf>
    <xf numFmtId="0" fontId="32" fillId="0" borderId="7" xfId="1" applyFont="1" applyBorder="1" applyAlignment="1">
      <alignment horizontal="center" vertical="center" wrapText="1" shrinkToFit="1"/>
    </xf>
    <xf numFmtId="179" fontId="33" fillId="0" borderId="7" xfId="1" applyNumberFormat="1" applyFont="1" applyBorder="1" applyAlignment="1">
      <alignment horizontal="right" vertical="center" shrinkToFit="1"/>
    </xf>
    <xf numFmtId="0" fontId="32" fillId="0" borderId="7" xfId="0" applyFont="1" applyBorder="1" applyAlignment="1">
      <alignment horizontal="center" vertical="center" shrinkToFit="1"/>
    </xf>
    <xf numFmtId="0" fontId="32" fillId="0" borderId="7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center" vertical="center" wrapText="1"/>
    </xf>
    <xf numFmtId="179" fontId="33" fillId="0" borderId="7" xfId="0" applyNumberFormat="1" applyFont="1" applyBorder="1" applyAlignment="1">
      <alignment vertical="center" shrinkToFit="1"/>
    </xf>
    <xf numFmtId="0" fontId="32" fillId="0" borderId="7" xfId="0" applyFont="1" applyBorder="1" applyAlignment="1">
      <alignment vertical="center" wrapText="1"/>
    </xf>
    <xf numFmtId="0" fontId="26" fillId="0" borderId="0" xfId="0" applyFont="1">
      <alignment vertical="center"/>
    </xf>
    <xf numFmtId="0" fontId="2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vertical="center" wrapText="1"/>
    </xf>
    <xf numFmtId="0" fontId="15" fillId="0" borderId="7" xfId="0" applyFont="1" applyBorder="1" applyAlignment="1">
      <alignment vertical="center" wrapText="1"/>
    </xf>
    <xf numFmtId="49" fontId="11" fillId="0" borderId="6" xfId="1" applyNumberFormat="1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179" fontId="20" fillId="0" borderId="0" xfId="0" applyNumberFormat="1" applyFont="1">
      <alignment vertical="center"/>
    </xf>
    <xf numFmtId="0" fontId="11" fillId="5" borderId="7" xfId="0" applyFont="1" applyFill="1" applyBorder="1" applyAlignment="1">
      <alignment horizontal="center" vertical="center" shrinkToFit="1"/>
    </xf>
    <xf numFmtId="0" fontId="11" fillId="5" borderId="7" xfId="0" applyFont="1" applyFill="1" applyBorder="1" applyAlignment="1">
      <alignment horizontal="left" vertical="center" wrapText="1"/>
    </xf>
    <xf numFmtId="0" fontId="11" fillId="5" borderId="7" xfId="0" applyFont="1" applyFill="1" applyBorder="1" applyAlignment="1">
      <alignment horizontal="center" vertical="center" wrapText="1"/>
    </xf>
    <xf numFmtId="179" fontId="13" fillId="5" borderId="7" xfId="0" applyNumberFormat="1" applyFont="1" applyFill="1" applyBorder="1" applyAlignment="1">
      <alignment vertical="center" shrinkToFit="1"/>
    </xf>
    <xf numFmtId="179" fontId="14" fillId="5" borderId="7" xfId="0" applyNumberFormat="1" applyFont="1" applyFill="1" applyBorder="1" applyAlignment="1">
      <alignment vertical="center" shrinkToFit="1"/>
    </xf>
    <xf numFmtId="0" fontId="11" fillId="5" borderId="7" xfId="0" applyFont="1" applyFill="1" applyBorder="1" applyAlignment="1">
      <alignment vertical="center" wrapText="1"/>
    </xf>
    <xf numFmtId="0" fontId="15" fillId="0" borderId="7" xfId="0" applyFont="1" applyBorder="1" applyAlignment="1">
      <alignment horizontal="center" vertical="center" shrinkToFit="1"/>
    </xf>
    <xf numFmtId="0" fontId="15" fillId="0" borderId="7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center" vertical="center" wrapText="1"/>
    </xf>
    <xf numFmtId="0" fontId="47" fillId="0" borderId="7" xfId="0" applyFont="1" applyBorder="1" applyAlignment="1">
      <alignment horizontal="center" vertical="center" shrinkToFit="1"/>
    </xf>
    <xf numFmtId="0" fontId="47" fillId="0" borderId="7" xfId="0" applyFont="1" applyBorder="1" applyAlignment="1">
      <alignment horizontal="left" vertical="center" wrapText="1"/>
    </xf>
    <xf numFmtId="0" fontId="47" fillId="0" borderId="7" xfId="0" applyFont="1" applyBorder="1" applyAlignment="1">
      <alignment horizontal="center" vertical="center" wrapText="1"/>
    </xf>
    <xf numFmtId="179" fontId="48" fillId="0" borderId="7" xfId="0" applyNumberFormat="1" applyFont="1" applyBorder="1" applyAlignment="1">
      <alignment vertical="center" shrinkToFit="1"/>
    </xf>
    <xf numFmtId="0" fontId="22" fillId="0" borderId="0" xfId="0" applyFont="1">
      <alignment vertical="center"/>
    </xf>
    <xf numFmtId="0" fontId="31" fillId="0" borderId="0" xfId="0" applyFont="1">
      <alignment vertical="center"/>
    </xf>
    <xf numFmtId="179" fontId="33" fillId="5" borderId="7" xfId="0" applyNumberFormat="1" applyFont="1" applyFill="1" applyBorder="1" applyAlignment="1">
      <alignment vertical="center" shrinkToFit="1"/>
    </xf>
    <xf numFmtId="0" fontId="32" fillId="8" borderId="7" xfId="0" applyFont="1" applyFill="1" applyBorder="1" applyAlignment="1">
      <alignment horizontal="center" vertical="center" shrinkToFit="1"/>
    </xf>
    <xf numFmtId="0" fontId="32" fillId="8" borderId="7" xfId="0" applyFont="1" applyFill="1" applyBorder="1" applyAlignment="1">
      <alignment horizontal="left" vertical="center" wrapText="1"/>
    </xf>
    <xf numFmtId="0" fontId="11" fillId="8" borderId="7" xfId="0" applyFont="1" applyFill="1" applyBorder="1" applyAlignment="1">
      <alignment horizontal="center" vertical="center" wrapText="1"/>
    </xf>
    <xf numFmtId="179" fontId="33" fillId="8" borderId="7" xfId="0" applyNumberFormat="1" applyFont="1" applyFill="1" applyBorder="1" applyAlignment="1">
      <alignment vertical="center" shrinkToFit="1"/>
    </xf>
    <xf numFmtId="179" fontId="13" fillId="8" borderId="7" xfId="0" applyNumberFormat="1" applyFont="1" applyFill="1" applyBorder="1" applyAlignment="1">
      <alignment vertical="center" shrinkToFit="1"/>
    </xf>
    <xf numFmtId="179" fontId="14" fillId="8" borderId="7" xfId="0" applyNumberFormat="1" applyFont="1" applyFill="1" applyBorder="1" applyAlignment="1">
      <alignment vertical="center" shrinkToFit="1"/>
    </xf>
    <xf numFmtId="0" fontId="32" fillId="8" borderId="7" xfId="0" applyFont="1" applyFill="1" applyBorder="1" applyAlignment="1">
      <alignment vertical="center" wrapText="1"/>
    </xf>
    <xf numFmtId="0" fontId="32" fillId="8" borderId="7" xfId="0" applyFont="1" applyFill="1" applyBorder="1" applyAlignment="1">
      <alignment horizontal="center" vertical="center" wrapText="1"/>
    </xf>
    <xf numFmtId="0" fontId="52" fillId="0" borderId="7" xfId="0" applyFont="1" applyBorder="1" applyAlignment="1">
      <alignment vertical="center" wrapText="1"/>
    </xf>
    <xf numFmtId="179" fontId="33" fillId="0" borderId="7" xfId="0" applyNumberFormat="1" applyFont="1" applyFill="1" applyBorder="1" applyAlignment="1">
      <alignment vertical="center" shrinkToFit="1"/>
    </xf>
    <xf numFmtId="0" fontId="42" fillId="0" borderId="8" xfId="64" applyFont="1" applyBorder="1" applyAlignment="1">
      <alignment horizontal="center" vertical="center" wrapText="1"/>
    </xf>
    <xf numFmtId="40" fontId="42" fillId="0" borderId="8" xfId="64" applyNumberFormat="1" applyFont="1" applyBorder="1" applyAlignment="1">
      <alignment vertical="center" shrinkToFit="1"/>
    </xf>
    <xf numFmtId="0" fontId="11" fillId="8" borderId="7" xfId="0" applyFont="1" applyFill="1" applyBorder="1" applyAlignment="1">
      <alignment horizontal="center" vertical="center" shrinkToFit="1"/>
    </xf>
    <xf numFmtId="0" fontId="11" fillId="8" borderId="7" xfId="0" applyFont="1" applyFill="1" applyBorder="1" applyAlignment="1">
      <alignment horizontal="left" vertical="center" wrapText="1"/>
    </xf>
    <xf numFmtId="0" fontId="11" fillId="8" borderId="7" xfId="0" applyFont="1" applyFill="1" applyBorder="1" applyAlignment="1">
      <alignment vertical="center" wrapText="1"/>
    </xf>
    <xf numFmtId="0" fontId="11" fillId="0" borderId="7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center" vertical="center" wrapText="1"/>
    </xf>
    <xf numFmtId="179" fontId="13" fillId="0" borderId="7" xfId="0" applyNumberFormat="1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wrapText="1"/>
    </xf>
    <xf numFmtId="49" fontId="70" fillId="8" borderId="18" xfId="0" applyNumberFormat="1" applyFont="1" applyFill="1" applyBorder="1" applyAlignment="1">
      <alignment horizontal="left" vertical="center" wrapText="1"/>
    </xf>
    <xf numFmtId="0" fontId="32" fillId="5" borderId="7" xfId="0" applyFont="1" applyFill="1" applyBorder="1" applyAlignment="1">
      <alignment horizontal="center" vertical="center" shrinkToFit="1"/>
    </xf>
    <xf numFmtId="0" fontId="32" fillId="5" borderId="7" xfId="0" applyFont="1" applyFill="1" applyBorder="1" applyAlignment="1">
      <alignment horizontal="left" vertical="center" wrapText="1"/>
    </xf>
    <xf numFmtId="0" fontId="32" fillId="5" borderId="7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shrinkToFit="1"/>
    </xf>
    <xf numFmtId="0" fontId="15" fillId="8" borderId="7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vertical="center" wrapText="1"/>
    </xf>
    <xf numFmtId="0" fontId="15" fillId="8" borderId="7" xfId="0" applyFont="1" applyFill="1" applyBorder="1" applyAlignment="1">
      <alignment horizontal="left" vertical="center" wrapText="1"/>
    </xf>
    <xf numFmtId="0" fontId="72" fillId="8" borderId="18" xfId="0" applyFont="1" applyFill="1" applyBorder="1" applyAlignment="1">
      <alignment vertical="center" wrapText="1"/>
    </xf>
    <xf numFmtId="0" fontId="15" fillId="5" borderId="7" xfId="0" applyFont="1" applyFill="1" applyBorder="1" applyAlignment="1">
      <alignment horizontal="center" vertical="center" shrinkToFit="1"/>
    </xf>
    <xf numFmtId="0" fontId="15" fillId="5" borderId="7" xfId="0" applyFont="1" applyFill="1" applyBorder="1" applyAlignment="1">
      <alignment horizontal="left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vertical="center" wrapText="1"/>
    </xf>
    <xf numFmtId="179" fontId="13" fillId="8" borderId="7" xfId="0" applyNumberFormat="1" applyFont="1" applyFill="1" applyBorder="1" applyAlignment="1">
      <alignment horizontal="right" vertical="center" shrinkToFit="1"/>
    </xf>
    <xf numFmtId="188" fontId="33" fillId="0" borderId="7" xfId="0" applyNumberFormat="1" applyFont="1" applyFill="1" applyBorder="1" applyAlignment="1">
      <alignment vertical="center" shrinkToFit="1"/>
    </xf>
    <xf numFmtId="188" fontId="33" fillId="0" borderId="7" xfId="0" applyNumberFormat="1" applyFont="1" applyBorder="1" applyAlignment="1">
      <alignment vertical="center" shrinkToFit="1"/>
    </xf>
    <xf numFmtId="188" fontId="33" fillId="5" borderId="7" xfId="0" applyNumberFormat="1" applyFont="1" applyFill="1" applyBorder="1" applyAlignment="1">
      <alignment vertical="center" shrinkToFit="1"/>
    </xf>
    <xf numFmtId="188" fontId="33" fillId="8" borderId="7" xfId="0" applyNumberFormat="1" applyFont="1" applyFill="1" applyBorder="1" applyAlignment="1">
      <alignment vertical="center" shrinkToFit="1"/>
    </xf>
    <xf numFmtId="188" fontId="43" fillId="0" borderId="0" xfId="0" applyNumberFormat="1" applyFont="1">
      <alignment vertical="center"/>
    </xf>
    <xf numFmtId="189" fontId="33" fillId="0" borderId="7" xfId="0" applyNumberFormat="1" applyFont="1" applyFill="1" applyBorder="1" applyAlignment="1">
      <alignment vertical="center" shrinkToFit="1"/>
    </xf>
    <xf numFmtId="189" fontId="14" fillId="0" borderId="7" xfId="0" applyNumberFormat="1" applyFont="1" applyBorder="1" applyAlignment="1">
      <alignment vertical="center" shrinkToFit="1"/>
    </xf>
    <xf numFmtId="189" fontId="14" fillId="5" borderId="7" xfId="0" applyNumberFormat="1" applyFont="1" applyFill="1" applyBorder="1" applyAlignment="1">
      <alignment vertical="center" shrinkToFit="1"/>
    </xf>
    <xf numFmtId="189" fontId="33" fillId="0" borderId="7" xfId="0" applyNumberFormat="1" applyFont="1" applyBorder="1" applyAlignment="1">
      <alignment vertical="center" shrinkToFit="1"/>
    </xf>
    <xf numFmtId="189" fontId="48" fillId="0" borderId="7" xfId="0" applyNumberFormat="1" applyFont="1" applyBorder="1" applyAlignment="1">
      <alignment vertical="center" shrinkToFit="1"/>
    </xf>
    <xf numFmtId="189" fontId="14" fillId="8" borderId="7" xfId="0" applyNumberFormat="1" applyFont="1" applyFill="1" applyBorder="1" applyAlignment="1">
      <alignment vertical="center" shrinkToFit="1"/>
    </xf>
    <xf numFmtId="189" fontId="14" fillId="0" borderId="7" xfId="0" applyNumberFormat="1" applyFont="1" applyFill="1" applyBorder="1" applyAlignment="1">
      <alignment vertical="center" shrinkToFit="1"/>
    </xf>
    <xf numFmtId="189" fontId="33" fillId="5" borderId="7" xfId="0" applyNumberFormat="1" applyFont="1" applyFill="1" applyBorder="1" applyAlignment="1">
      <alignment vertical="center" shrinkToFit="1"/>
    </xf>
    <xf numFmtId="189" fontId="33" fillId="8" borderId="7" xfId="0" applyNumberFormat="1" applyFont="1" applyFill="1" applyBorder="1" applyAlignment="1">
      <alignment vertical="center" shrinkToFit="1"/>
    </xf>
    <xf numFmtId="189" fontId="52" fillId="0" borderId="7" xfId="0" applyNumberFormat="1" applyFont="1" applyBorder="1" applyAlignment="1">
      <alignment vertical="center" wrapText="1"/>
    </xf>
    <xf numFmtId="189" fontId="14" fillId="0" borderId="5" xfId="0" applyNumberFormat="1" applyFont="1" applyBorder="1" applyAlignment="1">
      <alignment vertical="center" shrinkToFit="1"/>
    </xf>
    <xf numFmtId="189" fontId="1" fillId="0" borderId="0" xfId="0" applyNumberFormat="1" applyFont="1">
      <alignment vertical="center"/>
    </xf>
    <xf numFmtId="0" fontId="2" fillId="0" borderId="0" xfId="0" applyFont="1" applyFill="1" applyAlignment="1">
      <alignment horizontal="center" vertical="center"/>
    </xf>
    <xf numFmtId="189" fontId="36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89" fontId="16" fillId="0" borderId="0" xfId="0" applyNumberFormat="1" applyFont="1" applyFill="1">
      <alignment vertical="center"/>
    </xf>
    <xf numFmtId="0" fontId="5" fillId="0" borderId="0" xfId="0" applyFont="1" applyFill="1">
      <alignment vertical="center"/>
    </xf>
    <xf numFmtId="188" fontId="42" fillId="0" borderId="0" xfId="0" applyNumberFormat="1" applyFont="1" applyFill="1" applyAlignment="1">
      <alignment horizontal="right" vertical="center"/>
    </xf>
    <xf numFmtId="0" fontId="5" fillId="0" borderId="2" xfId="0" applyFont="1" applyFill="1" applyBorder="1">
      <alignment vertical="center"/>
    </xf>
    <xf numFmtId="188" fontId="42" fillId="0" borderId="3" xfId="0" applyNumberFormat="1" applyFont="1" applyFill="1" applyBorder="1">
      <alignment vertical="center"/>
    </xf>
    <xf numFmtId="0" fontId="12" fillId="0" borderId="19" xfId="0" applyFont="1" applyBorder="1">
      <alignment vertical="center"/>
    </xf>
    <xf numFmtId="0" fontId="12" fillId="0" borderId="22" xfId="0" applyFont="1" applyBorder="1">
      <alignment vertical="center"/>
    </xf>
    <xf numFmtId="0" fontId="6" fillId="0" borderId="22" xfId="0" applyFont="1" applyBorder="1" applyAlignment="1">
      <alignment vertical="center" wrapText="1"/>
    </xf>
    <xf numFmtId="0" fontId="21" fillId="0" borderId="23" xfId="0" applyFont="1" applyBorder="1">
      <alignment vertical="center"/>
    </xf>
    <xf numFmtId="179" fontId="21" fillId="0" borderId="23" xfId="0" applyNumberFormat="1" applyFont="1" applyBorder="1">
      <alignment vertical="center"/>
    </xf>
    <xf numFmtId="0" fontId="6" fillId="0" borderId="22" xfId="0" applyFont="1" applyFill="1" applyBorder="1" applyAlignment="1">
      <alignment vertical="center" wrapText="1"/>
    </xf>
    <xf numFmtId="179" fontId="21" fillId="0" borderId="23" xfId="0" applyNumberFormat="1" applyFont="1" applyFill="1" applyBorder="1">
      <alignment vertical="center"/>
    </xf>
    <xf numFmtId="0" fontId="21" fillId="0" borderId="23" xfId="0" applyFont="1" applyBorder="1" applyAlignment="1">
      <alignment vertical="center" wrapText="1"/>
    </xf>
    <xf numFmtId="0" fontId="38" fillId="5" borderId="23" xfId="0" applyFont="1" applyFill="1" applyBorder="1" applyAlignment="1">
      <alignment vertical="center" wrapText="1"/>
    </xf>
    <xf numFmtId="0" fontId="21" fillId="5" borderId="23" xfId="0" applyFont="1" applyFill="1" applyBorder="1" applyAlignment="1">
      <alignment vertical="center" wrapText="1"/>
    </xf>
    <xf numFmtId="0" fontId="44" fillId="0" borderId="22" xfId="0" applyFont="1" applyBorder="1" applyAlignment="1">
      <alignment vertical="center" wrapText="1"/>
    </xf>
    <xf numFmtId="0" fontId="45" fillId="0" borderId="23" xfId="2" applyFont="1" applyBorder="1" applyAlignment="1">
      <alignment horizontal="left" vertical="center" wrapText="1"/>
    </xf>
    <xf numFmtId="0" fontId="50" fillId="0" borderId="22" xfId="0" applyFont="1" applyBorder="1" applyAlignment="1">
      <alignment vertical="center" wrapText="1"/>
    </xf>
    <xf numFmtId="0" fontId="25" fillId="0" borderId="23" xfId="2" applyFont="1" applyBorder="1" applyAlignment="1">
      <alignment horizontal="left" vertical="center" wrapText="1"/>
    </xf>
    <xf numFmtId="0" fontId="23" fillId="0" borderId="23" xfId="0" applyFont="1" applyBorder="1" applyAlignment="1">
      <alignment vertical="center" wrapText="1"/>
    </xf>
    <xf numFmtId="0" fontId="20" fillId="0" borderId="24" xfId="0" applyFont="1" applyBorder="1" applyAlignment="1">
      <alignment vertical="center" wrapText="1"/>
    </xf>
    <xf numFmtId="0" fontId="6" fillId="5" borderId="22" xfId="0" applyFont="1" applyFill="1" applyBorder="1" applyAlignment="1">
      <alignment vertical="center" wrapText="1"/>
    </xf>
    <xf numFmtId="0" fontId="21" fillId="5" borderId="23" xfId="0" applyFont="1" applyFill="1" applyBorder="1">
      <alignment vertical="center"/>
    </xf>
    <xf numFmtId="0" fontId="6" fillId="8" borderId="22" xfId="0" applyFont="1" applyFill="1" applyBorder="1" applyAlignment="1">
      <alignment vertical="center" wrapText="1"/>
    </xf>
    <xf numFmtId="0" fontId="26" fillId="8" borderId="23" xfId="0" applyFont="1" applyFill="1" applyBorder="1" applyAlignment="1">
      <alignment vertical="center" wrapText="1"/>
    </xf>
    <xf numFmtId="0" fontId="51" fillId="0" borderId="23" xfId="0" applyFont="1" applyFill="1" applyBorder="1" applyAlignment="1">
      <alignment vertical="center" wrapText="1"/>
    </xf>
    <xf numFmtId="0" fontId="20" fillId="5" borderId="24" xfId="0" applyFont="1" applyFill="1" applyBorder="1" applyAlignment="1">
      <alignment vertical="center" wrapText="1"/>
    </xf>
    <xf numFmtId="0" fontId="26" fillId="0" borderId="23" xfId="0" applyFont="1" applyBorder="1" applyAlignment="1">
      <alignment vertical="center" wrapText="1"/>
    </xf>
    <xf numFmtId="0" fontId="46" fillId="0" borderId="23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31" fillId="0" borderId="23" xfId="0" applyFont="1" applyBorder="1" applyAlignment="1">
      <alignment vertical="center" wrapText="1"/>
    </xf>
    <xf numFmtId="0" fontId="30" fillId="0" borderId="23" xfId="0" applyFont="1" applyBorder="1" applyAlignment="1">
      <alignment vertical="center" wrapText="1"/>
    </xf>
    <xf numFmtId="0" fontId="16" fillId="5" borderId="22" xfId="0" applyFont="1" applyFill="1" applyBorder="1" applyAlignment="1">
      <alignment vertical="center" wrapText="1"/>
    </xf>
    <xf numFmtId="0" fontId="26" fillId="5" borderId="23" xfId="0" applyFont="1" applyFill="1" applyBorder="1" applyAlignment="1">
      <alignment vertical="center" wrapText="1"/>
    </xf>
    <xf numFmtId="0" fontId="16" fillId="8" borderId="22" xfId="0" applyFont="1" applyFill="1" applyBorder="1" applyAlignment="1">
      <alignment vertical="center" wrapText="1"/>
    </xf>
    <xf numFmtId="0" fontId="26" fillId="0" borderId="23" xfId="0" applyFont="1" applyFill="1" applyBorder="1" applyAlignment="1">
      <alignment vertical="center" wrapText="1"/>
    </xf>
    <xf numFmtId="0" fontId="34" fillId="0" borderId="23" xfId="0" applyFont="1" applyBorder="1" applyAlignment="1">
      <alignment vertical="center" wrapText="1"/>
    </xf>
    <xf numFmtId="0" fontId="31" fillId="8" borderId="23" xfId="0" applyFont="1" applyFill="1" applyBorder="1" applyAlignment="1">
      <alignment vertical="center" wrapText="1"/>
    </xf>
    <xf numFmtId="0" fontId="19" fillId="5" borderId="23" xfId="0" applyFont="1" applyFill="1" applyBorder="1" applyAlignment="1">
      <alignment vertical="center" wrapText="1"/>
    </xf>
    <xf numFmtId="0" fontId="21" fillId="8" borderId="23" xfId="0" applyFont="1" applyFill="1" applyBorder="1">
      <alignment vertical="center"/>
    </xf>
    <xf numFmtId="0" fontId="29" fillId="0" borderId="23" xfId="0" applyFont="1" applyBorder="1" applyAlignment="1">
      <alignment vertical="center" wrapText="1"/>
    </xf>
    <xf numFmtId="0" fontId="30" fillId="0" borderId="24" xfId="0" applyFont="1" applyBorder="1" applyAlignment="1">
      <alignment vertical="center" wrapText="1"/>
    </xf>
    <xf numFmtId="0" fontId="21" fillId="0" borderId="23" xfId="0" applyFont="1" applyFill="1" applyBorder="1">
      <alignment vertical="center"/>
    </xf>
    <xf numFmtId="0" fontId="19" fillId="0" borderId="23" xfId="0" applyFont="1" applyBorder="1" applyAlignment="1">
      <alignment vertical="center" wrapText="1"/>
    </xf>
    <xf numFmtId="0" fontId="31" fillId="0" borderId="22" xfId="2" applyFont="1" applyBorder="1" applyAlignment="1">
      <alignment horizontal="left" vertical="center" wrapText="1"/>
    </xf>
    <xf numFmtId="0" fontId="6" fillId="0" borderId="25" xfId="0" applyFont="1" applyBorder="1" applyAlignment="1">
      <alignment vertical="center" wrapText="1"/>
    </xf>
    <xf numFmtId="0" fontId="21" fillId="0" borderId="26" xfId="0" applyFont="1" applyBorder="1">
      <alignment vertical="center"/>
    </xf>
    <xf numFmtId="0" fontId="20" fillId="8" borderId="24" xfId="0" applyFont="1" applyFill="1" applyBorder="1" applyAlignment="1">
      <alignment vertical="center" wrapText="1"/>
    </xf>
    <xf numFmtId="0" fontId="20" fillId="0" borderId="24" xfId="0" applyFont="1" applyFill="1" applyBorder="1" applyAlignment="1">
      <alignment vertical="center" wrapText="1"/>
    </xf>
    <xf numFmtId="0" fontId="30" fillId="8" borderId="24" xfId="0" applyFont="1" applyFill="1" applyBorder="1" applyAlignment="1">
      <alignment vertical="center" wrapText="1"/>
    </xf>
    <xf numFmtId="0" fontId="21" fillId="0" borderId="24" xfId="0" applyFont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0" fillId="0" borderId="27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23" xfId="0" applyFont="1" applyFill="1" applyBorder="1" applyAlignment="1">
      <alignment vertical="center" wrapText="1"/>
    </xf>
    <xf numFmtId="0" fontId="19" fillId="8" borderId="23" xfId="0" applyFont="1" applyFill="1" applyBorder="1" applyAlignment="1">
      <alignment vertical="center" wrapText="1"/>
    </xf>
    <xf numFmtId="0" fontId="49" fillId="8" borderId="23" xfId="0" applyFont="1" applyFill="1" applyBorder="1" applyAlignment="1">
      <alignment horizontal="left" vertical="center" wrapText="1"/>
    </xf>
    <xf numFmtId="0" fontId="19" fillId="5" borderId="23" xfId="0" quotePrefix="1" applyFont="1" applyFill="1" applyBorder="1" applyAlignment="1">
      <alignment vertical="center" wrapText="1"/>
    </xf>
    <xf numFmtId="0" fontId="19" fillId="0" borderId="26" xfId="0" applyFont="1" applyBorder="1" applyAlignment="1">
      <alignment vertical="center" wrapText="1"/>
    </xf>
    <xf numFmtId="0" fontId="11" fillId="11" borderId="7" xfId="0" applyFont="1" applyFill="1" applyBorder="1" applyAlignment="1">
      <alignment horizontal="center" vertical="center" shrinkToFit="1"/>
    </xf>
    <xf numFmtId="0" fontId="11" fillId="11" borderId="7" xfId="0" applyFont="1" applyFill="1" applyBorder="1" applyAlignment="1">
      <alignment horizontal="left" vertical="center" wrapText="1"/>
    </xf>
    <xf numFmtId="0" fontId="11" fillId="11" borderId="7" xfId="0" applyFont="1" applyFill="1" applyBorder="1" applyAlignment="1">
      <alignment horizontal="center" vertical="center" wrapText="1"/>
    </xf>
    <xf numFmtId="179" fontId="13" fillId="11" borderId="7" xfId="0" applyNumberFormat="1" applyFont="1" applyFill="1" applyBorder="1" applyAlignment="1">
      <alignment vertical="center" shrinkToFit="1"/>
    </xf>
    <xf numFmtId="179" fontId="33" fillId="11" borderId="7" xfId="0" applyNumberFormat="1" applyFont="1" applyFill="1" applyBorder="1" applyAlignment="1">
      <alignment vertical="center" shrinkToFit="1"/>
    </xf>
    <xf numFmtId="188" fontId="33" fillId="11" borderId="7" xfId="0" applyNumberFormat="1" applyFont="1" applyFill="1" applyBorder="1" applyAlignment="1">
      <alignment vertical="center" shrinkToFit="1"/>
    </xf>
    <xf numFmtId="189" fontId="33" fillId="11" borderId="7" xfId="0" applyNumberFormat="1" applyFont="1" applyFill="1" applyBorder="1" applyAlignment="1">
      <alignment vertical="center" shrinkToFit="1"/>
    </xf>
    <xf numFmtId="189" fontId="13" fillId="11" borderId="7" xfId="0" applyNumberFormat="1" applyFont="1" applyFill="1" applyBorder="1" applyAlignment="1">
      <alignment vertical="center" shrinkToFit="1"/>
    </xf>
    <xf numFmtId="0" fontId="11" fillId="11" borderId="7" xfId="0" applyFont="1" applyFill="1" applyBorder="1" applyAlignment="1">
      <alignment vertical="center" wrapText="1"/>
    </xf>
    <xf numFmtId="0" fontId="73" fillId="5" borderId="7" xfId="0" applyFont="1" applyFill="1" applyBorder="1" applyAlignment="1">
      <alignment vertical="center" wrapText="1"/>
    </xf>
    <xf numFmtId="0" fontId="73" fillId="0" borderId="7" xfId="0" applyFont="1" applyBorder="1" applyAlignment="1">
      <alignment vertical="center" wrapText="1"/>
    </xf>
    <xf numFmtId="0" fontId="74" fillId="0" borderId="7" xfId="0" applyFont="1" applyBorder="1" applyAlignment="1">
      <alignment vertical="center" wrapText="1"/>
    </xf>
    <xf numFmtId="0" fontId="75" fillId="0" borderId="7" xfId="0" applyFont="1" applyBorder="1" applyAlignment="1">
      <alignment vertical="center" wrapText="1"/>
    </xf>
    <xf numFmtId="0" fontId="73" fillId="11" borderId="7" xfId="0" applyFont="1" applyFill="1" applyBorder="1" applyAlignment="1">
      <alignment vertical="center" wrapText="1"/>
    </xf>
    <xf numFmtId="0" fontId="76" fillId="5" borderId="7" xfId="0" applyFont="1" applyFill="1" applyBorder="1" applyAlignment="1">
      <alignment vertical="center" wrapText="1"/>
    </xf>
    <xf numFmtId="0" fontId="76" fillId="0" borderId="7" xfId="0" applyFont="1" applyBorder="1" applyAlignment="1">
      <alignment vertical="center" wrapText="1"/>
    </xf>
    <xf numFmtId="0" fontId="76" fillId="0" borderId="7" xfId="0" applyFont="1" applyFill="1" applyBorder="1" applyAlignment="1">
      <alignment vertical="center" wrapText="1"/>
    </xf>
    <xf numFmtId="0" fontId="21" fillId="8" borderId="23" xfId="0" applyFont="1" applyFill="1" applyBorder="1" applyAlignment="1">
      <alignment vertical="center" wrapText="1"/>
    </xf>
    <xf numFmtId="0" fontId="11" fillId="12" borderId="7" xfId="0" applyFont="1" applyFill="1" applyBorder="1" applyAlignment="1">
      <alignment horizontal="center" vertical="center" shrinkToFit="1"/>
    </xf>
    <xf numFmtId="0" fontId="11" fillId="12" borderId="7" xfId="0" applyFont="1" applyFill="1" applyBorder="1" applyAlignment="1">
      <alignment horizontal="left" vertical="center" wrapText="1"/>
    </xf>
    <xf numFmtId="0" fontId="11" fillId="12" borderId="7" xfId="0" applyFont="1" applyFill="1" applyBorder="1" applyAlignment="1">
      <alignment horizontal="center" vertical="center" wrapText="1"/>
    </xf>
    <xf numFmtId="179" fontId="13" fillId="12" borderId="7" xfId="0" applyNumberFormat="1" applyFont="1" applyFill="1" applyBorder="1" applyAlignment="1">
      <alignment vertical="center" shrinkToFit="1"/>
    </xf>
    <xf numFmtId="188" fontId="33" fillId="12" borderId="7" xfId="0" applyNumberFormat="1" applyFont="1" applyFill="1" applyBorder="1" applyAlignment="1">
      <alignment vertical="center" shrinkToFit="1"/>
    </xf>
    <xf numFmtId="189" fontId="14" fillId="12" borderId="7" xfId="0" applyNumberFormat="1" applyFont="1" applyFill="1" applyBorder="1" applyAlignment="1">
      <alignment vertical="center" shrinkToFit="1"/>
    </xf>
    <xf numFmtId="0" fontId="73" fillId="12" borderId="7" xfId="0" applyFont="1" applyFill="1" applyBorder="1" applyAlignment="1">
      <alignment vertical="center" wrapText="1"/>
    </xf>
    <xf numFmtId="0" fontId="6" fillId="12" borderId="22" xfId="0" applyFont="1" applyFill="1" applyBorder="1" applyAlignment="1">
      <alignment vertical="center" wrapText="1"/>
    </xf>
    <xf numFmtId="0" fontId="21" fillId="12" borderId="23" xfId="0" applyFont="1" applyFill="1" applyBorder="1">
      <alignment vertical="center"/>
    </xf>
    <xf numFmtId="43" fontId="19" fillId="12" borderId="23" xfId="66" applyFont="1" applyFill="1" applyBorder="1" applyAlignment="1">
      <alignment horizontal="center" vertical="center" wrapText="1"/>
    </xf>
    <xf numFmtId="0" fontId="20" fillId="12" borderId="24" xfId="0" applyFont="1" applyFill="1" applyBorder="1" applyAlignment="1">
      <alignment vertical="center" wrapText="1"/>
    </xf>
    <xf numFmtId="0" fontId="11" fillId="12" borderId="7" xfId="0" applyFont="1" applyFill="1" applyBorder="1" applyAlignment="1">
      <alignment vertical="center" wrapText="1"/>
    </xf>
    <xf numFmtId="0" fontId="11" fillId="13" borderId="7" xfId="0" applyFont="1" applyFill="1" applyBorder="1" applyAlignment="1">
      <alignment horizontal="center" vertical="center" shrinkToFit="1"/>
    </xf>
    <xf numFmtId="0" fontId="11" fillId="13" borderId="7" xfId="0" applyFont="1" applyFill="1" applyBorder="1" applyAlignment="1">
      <alignment horizontal="left" vertical="center" wrapText="1"/>
    </xf>
    <xf numFmtId="0" fontId="11" fillId="13" borderId="7" xfId="0" applyFont="1" applyFill="1" applyBorder="1" applyAlignment="1">
      <alignment horizontal="center" vertical="center" wrapText="1"/>
    </xf>
    <xf numFmtId="179" fontId="13" fillId="13" borderId="7" xfId="0" applyNumberFormat="1" applyFont="1" applyFill="1" applyBorder="1" applyAlignment="1">
      <alignment vertical="center" shrinkToFit="1"/>
    </xf>
    <xf numFmtId="188" fontId="33" fillId="13" borderId="7" xfId="0" applyNumberFormat="1" applyFont="1" applyFill="1" applyBorder="1" applyAlignment="1">
      <alignment vertical="center" shrinkToFit="1"/>
    </xf>
    <xf numFmtId="189" fontId="14" fillId="13" borderId="7" xfId="0" applyNumberFormat="1" applyFont="1" applyFill="1" applyBorder="1" applyAlignment="1">
      <alignment vertical="center" shrinkToFit="1"/>
    </xf>
    <xf numFmtId="0" fontId="11" fillId="13" borderId="7" xfId="0" applyFont="1" applyFill="1" applyBorder="1" applyAlignment="1">
      <alignment vertical="center" wrapText="1"/>
    </xf>
    <xf numFmtId="0" fontId="6" fillId="13" borderId="22" xfId="0" applyFont="1" applyFill="1" applyBorder="1" applyAlignment="1">
      <alignment vertical="center" wrapText="1"/>
    </xf>
    <xf numFmtId="0" fontId="21" fillId="13" borderId="23" xfId="0" applyFont="1" applyFill="1" applyBorder="1">
      <alignment vertical="center"/>
    </xf>
    <xf numFmtId="0" fontId="19" fillId="13" borderId="23" xfId="0" applyFont="1" applyFill="1" applyBorder="1" applyAlignment="1">
      <alignment vertical="center" wrapText="1"/>
    </xf>
    <xf numFmtId="0" fontId="20" fillId="13" borderId="24" xfId="0" applyFont="1" applyFill="1" applyBorder="1" applyAlignment="1">
      <alignment vertical="center" wrapText="1"/>
    </xf>
    <xf numFmtId="0" fontId="32" fillId="12" borderId="7" xfId="0" applyFont="1" applyFill="1" applyBorder="1" applyAlignment="1">
      <alignment horizontal="center" vertical="center" shrinkToFit="1"/>
    </xf>
    <xf numFmtId="0" fontId="32" fillId="12" borderId="7" xfId="0" applyFont="1" applyFill="1" applyBorder="1" applyAlignment="1">
      <alignment horizontal="left" vertical="center" wrapText="1"/>
    </xf>
    <xf numFmtId="0" fontId="32" fillId="12" borderId="7" xfId="0" applyFont="1" applyFill="1" applyBorder="1" applyAlignment="1">
      <alignment horizontal="center" vertical="center" wrapText="1"/>
    </xf>
    <xf numFmtId="179" fontId="33" fillId="12" borderId="7" xfId="0" applyNumberFormat="1" applyFont="1" applyFill="1" applyBorder="1" applyAlignment="1">
      <alignment vertical="center" shrinkToFit="1"/>
    </xf>
    <xf numFmtId="189" fontId="33" fillId="12" borderId="7" xfId="0" applyNumberFormat="1" applyFont="1" applyFill="1" applyBorder="1" applyAlignment="1">
      <alignment vertical="center" shrinkToFit="1"/>
    </xf>
    <xf numFmtId="0" fontId="32" fillId="12" borderId="7" xfId="0" applyFont="1" applyFill="1" applyBorder="1" applyAlignment="1">
      <alignment vertical="center" wrapText="1"/>
    </xf>
    <xf numFmtId="0" fontId="73" fillId="0" borderId="7" xfId="0" applyFont="1" applyFill="1" applyBorder="1" applyAlignment="1">
      <alignment vertical="center" wrapText="1"/>
    </xf>
    <xf numFmtId="0" fontId="21" fillId="0" borderId="23" xfId="0" applyFont="1" applyFill="1" applyBorder="1" applyAlignment="1">
      <alignment vertical="center" wrapText="1"/>
    </xf>
    <xf numFmtId="0" fontId="38" fillId="0" borderId="24" xfId="0" applyFont="1" applyFill="1" applyBorder="1" applyAlignment="1">
      <alignment vertical="center" wrapText="1"/>
    </xf>
    <xf numFmtId="0" fontId="73" fillId="8" borderId="7" xfId="0" applyFont="1" applyFill="1" applyBorder="1" applyAlignment="1">
      <alignment vertical="center" wrapText="1"/>
    </xf>
    <xf numFmtId="0" fontId="34" fillId="5" borderId="23" xfId="0" applyFont="1" applyFill="1" applyBorder="1" applyAlignment="1">
      <alignment vertical="center" wrapText="1"/>
    </xf>
    <xf numFmtId="179" fontId="33" fillId="13" borderId="7" xfId="0" applyNumberFormat="1" applyFont="1" applyFill="1" applyBorder="1" applyAlignment="1">
      <alignment vertical="center" shrinkToFit="1"/>
    </xf>
    <xf numFmtId="189" fontId="33" fillId="13" borderId="7" xfId="0" applyNumberFormat="1" applyFont="1" applyFill="1" applyBorder="1" applyAlignment="1">
      <alignment vertical="center" shrinkToFit="1"/>
    </xf>
    <xf numFmtId="0" fontId="21" fillId="13" borderId="23" xfId="0" applyFont="1" applyFill="1" applyBorder="1" applyAlignment="1">
      <alignment vertical="center" wrapText="1"/>
    </xf>
    <xf numFmtId="0" fontId="11" fillId="4" borderId="7" xfId="0" applyFont="1" applyFill="1" applyBorder="1" applyAlignment="1">
      <alignment horizontal="center" vertical="center" shrinkToFit="1"/>
    </xf>
    <xf numFmtId="0" fontId="11" fillId="4" borderId="7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>
      <alignment horizontal="center" vertical="center" wrapText="1"/>
    </xf>
    <xf numFmtId="188" fontId="33" fillId="4" borderId="7" xfId="0" applyNumberFormat="1" applyFont="1" applyFill="1" applyBorder="1" applyAlignment="1">
      <alignment vertical="center" shrinkToFit="1"/>
    </xf>
    <xf numFmtId="189" fontId="14" fillId="4" borderId="7" xfId="0" applyNumberFormat="1" applyFont="1" applyFill="1" applyBorder="1" applyAlignment="1">
      <alignment vertical="center" shrinkToFit="1"/>
    </xf>
    <xf numFmtId="0" fontId="11" fillId="4" borderId="7" xfId="0" applyFont="1" applyFill="1" applyBorder="1" applyAlignment="1">
      <alignment vertical="center" wrapText="1"/>
    </xf>
    <xf numFmtId="0" fontId="6" fillId="4" borderId="22" xfId="0" applyFont="1" applyFill="1" applyBorder="1" applyAlignment="1">
      <alignment vertical="center" wrapText="1"/>
    </xf>
    <xf numFmtId="0" fontId="21" fillId="4" borderId="23" xfId="0" applyFont="1" applyFill="1" applyBorder="1" applyAlignment="1">
      <alignment vertical="center" wrapText="1"/>
    </xf>
    <xf numFmtId="0" fontId="20" fillId="4" borderId="24" xfId="0" applyFont="1" applyFill="1" applyBorder="1" applyAlignment="1">
      <alignment vertical="center" wrapText="1"/>
    </xf>
    <xf numFmtId="0" fontId="76" fillId="13" borderId="7" xfId="0" applyFont="1" applyFill="1" applyBorder="1" applyAlignment="1">
      <alignment vertical="center" wrapText="1"/>
    </xf>
    <xf numFmtId="0" fontId="26" fillId="13" borderId="23" xfId="0" applyFont="1" applyFill="1" applyBorder="1" applyAlignment="1">
      <alignment vertical="center" wrapText="1"/>
    </xf>
    <xf numFmtId="0" fontId="38" fillId="13" borderId="23" xfId="0" applyFont="1" applyFill="1" applyBorder="1" applyAlignment="1">
      <alignment vertical="center" wrapText="1"/>
    </xf>
    <xf numFmtId="0" fontId="73" fillId="13" borderId="7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vertical="center" wrapText="1"/>
    </xf>
    <xf numFmtId="0" fontId="38" fillId="0" borderId="0" xfId="0" applyFont="1" applyFill="1" applyBorder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30" fillId="0" borderId="0" xfId="0" applyFont="1" applyFill="1" applyBorder="1" applyAlignment="1">
      <alignment vertical="center" wrapText="1"/>
    </xf>
    <xf numFmtId="0" fontId="21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20" fillId="2" borderId="0" xfId="0" applyFont="1" applyFill="1" applyBorder="1" applyAlignment="1">
      <alignment vertical="center" wrapText="1"/>
    </xf>
    <xf numFmtId="0" fontId="38" fillId="2" borderId="0" xfId="0" applyFont="1" applyFill="1" applyBorder="1" applyAlignment="1">
      <alignment vertical="center" wrapText="1"/>
    </xf>
    <xf numFmtId="0" fontId="38" fillId="8" borderId="24" xfId="0" applyFont="1" applyFill="1" applyBorder="1" applyAlignment="1">
      <alignment vertical="center" wrapText="1"/>
    </xf>
    <xf numFmtId="0" fontId="31" fillId="14" borderId="24" xfId="0" applyFont="1" applyFill="1" applyBorder="1" applyAlignment="1">
      <alignment vertical="center" wrapText="1"/>
    </xf>
    <xf numFmtId="0" fontId="20" fillId="14" borderId="10" xfId="0" applyFont="1" applyFill="1" applyBorder="1" applyAlignment="1">
      <alignment vertical="center" wrapText="1"/>
    </xf>
    <xf numFmtId="0" fontId="20" fillId="14" borderId="24" xfId="0" applyFont="1" applyFill="1" applyBorder="1" applyAlignment="1">
      <alignment vertical="center" wrapText="1"/>
    </xf>
    <xf numFmtId="0" fontId="21" fillId="14" borderId="23" xfId="0" applyFont="1" applyFill="1" applyBorder="1" applyAlignment="1">
      <alignment vertical="center" wrapText="1"/>
    </xf>
    <xf numFmtId="0" fontId="19" fillId="14" borderId="23" xfId="0" applyFont="1" applyFill="1" applyBorder="1" applyAlignment="1">
      <alignment vertical="center" wrapText="1"/>
    </xf>
    <xf numFmtId="0" fontId="21" fillId="14" borderId="23" xfId="0" applyFont="1" applyFill="1" applyBorder="1">
      <alignment vertical="center"/>
    </xf>
    <xf numFmtId="0" fontId="28" fillId="14" borderId="23" xfId="0" applyFont="1" applyFill="1" applyBorder="1" applyAlignment="1">
      <alignment vertical="center" wrapText="1"/>
    </xf>
    <xf numFmtId="0" fontId="26" fillId="14" borderId="23" xfId="0" applyFont="1" applyFill="1" applyBorder="1" applyAlignment="1">
      <alignment vertical="center" wrapText="1"/>
    </xf>
    <xf numFmtId="0" fontId="34" fillId="4" borderId="23" xfId="0" applyFont="1" applyFill="1" applyBorder="1" applyAlignment="1">
      <alignment vertical="center" wrapText="1"/>
    </xf>
    <xf numFmtId="0" fontId="20" fillId="4" borderId="0" xfId="0" applyFont="1" applyFill="1" applyBorder="1" applyAlignment="1">
      <alignment vertical="center" wrapText="1"/>
    </xf>
    <xf numFmtId="0" fontId="80" fillId="3" borderId="0" xfId="0" applyFont="1" applyFill="1" applyBorder="1" applyAlignment="1">
      <alignment vertical="center" wrapText="1"/>
    </xf>
    <xf numFmtId="178" fontId="67" fillId="0" borderId="0" xfId="0" applyNumberFormat="1" applyFont="1">
      <alignment vertical="center"/>
    </xf>
    <xf numFmtId="0" fontId="52" fillId="5" borderId="7" xfId="0" applyFont="1" applyFill="1" applyBorder="1" applyAlignment="1">
      <alignment vertical="center" wrapText="1"/>
    </xf>
    <xf numFmtId="190" fontId="5" fillId="0" borderId="31" xfId="67" applyNumberFormat="1" applyFont="1" applyBorder="1" applyAlignment="1">
      <alignment vertical="center" wrapText="1"/>
    </xf>
    <xf numFmtId="190" fontId="5" fillId="0" borderId="32" xfId="67" applyNumberFormat="1" applyFont="1" applyBorder="1" applyAlignment="1">
      <alignment vertical="center" wrapText="1"/>
    </xf>
    <xf numFmtId="0" fontId="18" fillId="0" borderId="0" xfId="67" applyFont="1"/>
    <xf numFmtId="0" fontId="81" fillId="0" borderId="0" xfId="67"/>
    <xf numFmtId="190" fontId="5" fillId="0" borderId="34" xfId="67" applyNumberFormat="1" applyFont="1" applyBorder="1" applyAlignment="1">
      <alignment vertical="center" wrapText="1"/>
    </xf>
    <xf numFmtId="190" fontId="5" fillId="0" borderId="0" xfId="67" applyNumberFormat="1" applyFont="1" applyAlignment="1">
      <alignment vertical="center" wrapText="1"/>
    </xf>
    <xf numFmtId="190" fontId="5" fillId="0" borderId="34" xfId="67" applyNumberFormat="1" applyFont="1" applyBorder="1" applyAlignment="1">
      <alignment vertical="center" shrinkToFit="1"/>
    </xf>
    <xf numFmtId="190" fontId="5" fillId="0" borderId="0" xfId="67" applyNumberFormat="1" applyFont="1" applyAlignment="1">
      <alignment vertical="center" shrinkToFit="1"/>
    </xf>
    <xf numFmtId="0" fontId="5" fillId="0" borderId="33" xfId="67" applyFont="1" applyBorder="1" applyAlignment="1">
      <alignment horizontal="center" vertical="center"/>
    </xf>
    <xf numFmtId="0" fontId="5" fillId="0" borderId="18" xfId="67" applyFont="1" applyBorder="1" applyAlignment="1">
      <alignment horizontal="center" vertical="center" wrapText="1"/>
    </xf>
    <xf numFmtId="4" fontId="5" fillId="0" borderId="35" xfId="67" applyNumberFormat="1" applyFont="1" applyBorder="1" applyAlignment="1">
      <alignment horizontal="center" vertical="center" wrapText="1"/>
    </xf>
    <xf numFmtId="0" fontId="5" fillId="0" borderId="18" xfId="67" applyFont="1" applyBorder="1" applyAlignment="1">
      <alignment horizontal="center" vertical="center" wrapText="1" shrinkToFit="1"/>
    </xf>
    <xf numFmtId="0" fontId="5" fillId="0" borderId="18" xfId="67" applyFont="1" applyBorder="1" applyAlignment="1">
      <alignment horizontal="center" vertical="center" shrinkToFit="1"/>
    </xf>
    <xf numFmtId="190" fontId="82" fillId="0" borderId="0" xfId="67" applyNumberFormat="1" applyFont="1" applyAlignment="1">
      <alignment vertical="center" shrinkToFit="1"/>
    </xf>
    <xf numFmtId="0" fontId="42" fillId="0" borderId="0" xfId="67" applyFont="1"/>
    <xf numFmtId="0" fontId="5" fillId="0" borderId="33" xfId="67" applyFont="1" applyBorder="1" applyAlignment="1">
      <alignment vertical="center" shrinkToFit="1"/>
    </xf>
    <xf numFmtId="0" fontId="5" fillId="0" borderId="18" xfId="67" applyFont="1" applyBorder="1" applyAlignment="1">
      <alignment vertical="center" wrapText="1"/>
    </xf>
    <xf numFmtId="179" fontId="5" fillId="0" borderId="18" xfId="67" applyNumberFormat="1" applyFont="1" applyBorder="1" applyAlignment="1">
      <alignment horizontal="right" vertical="center" shrinkToFit="1"/>
    </xf>
    <xf numFmtId="179" fontId="5" fillId="0" borderId="18" xfId="67" applyNumberFormat="1" applyFont="1" applyBorder="1" applyAlignment="1">
      <alignment horizontal="left" vertical="center" shrinkToFit="1"/>
    </xf>
    <xf numFmtId="0" fontId="5" fillId="0" borderId="18" xfId="67" applyFont="1" applyBorder="1" applyAlignment="1">
      <alignment horizontal="left" vertical="center" wrapText="1" shrinkToFit="1"/>
    </xf>
    <xf numFmtId="0" fontId="5" fillId="0" borderId="33" xfId="67" applyFont="1" applyBorder="1" applyAlignment="1">
      <alignment horizontal="right" vertical="center" shrinkToFit="1"/>
    </xf>
    <xf numFmtId="190" fontId="5" fillId="12" borderId="34" xfId="67" applyNumberFormat="1" applyFont="1" applyFill="1" applyBorder="1" applyAlignment="1">
      <alignment vertical="center" shrinkToFit="1"/>
    </xf>
    <xf numFmtId="179" fontId="83" fillId="0" borderId="18" xfId="67" applyNumberFormat="1" applyFont="1" applyBorder="1" applyAlignment="1">
      <alignment horizontal="left" vertical="center" wrapText="1" shrinkToFit="1"/>
    </xf>
    <xf numFmtId="0" fontId="5" fillId="0" borderId="18" xfId="67" quotePrefix="1" applyFont="1" applyBorder="1" applyAlignment="1">
      <alignment horizontal="left" vertical="center" wrapText="1" shrinkToFit="1"/>
    </xf>
    <xf numFmtId="179" fontId="36" fillId="0" borderId="18" xfId="67" applyNumberFormat="1" applyFont="1" applyBorder="1" applyAlignment="1">
      <alignment horizontal="left" vertical="center" wrapText="1" shrinkToFit="1"/>
    </xf>
    <xf numFmtId="0" fontId="36" fillId="0" borderId="18" xfId="67" quotePrefix="1" applyFont="1" applyBorder="1" applyAlignment="1">
      <alignment horizontal="left" vertical="center" wrapText="1" shrinkToFit="1"/>
    </xf>
    <xf numFmtId="0" fontId="36" fillId="0" borderId="18" xfId="67" applyFont="1" applyBorder="1" applyAlignment="1">
      <alignment horizontal="center" vertical="center" shrinkToFit="1"/>
    </xf>
    <xf numFmtId="0" fontId="84" fillId="0" borderId="0" xfId="67" applyFont="1"/>
    <xf numFmtId="0" fontId="84" fillId="0" borderId="33" xfId="67" applyFont="1" applyBorder="1"/>
    <xf numFmtId="0" fontId="84" fillId="0" borderId="18" xfId="67" applyFont="1" applyBorder="1"/>
    <xf numFmtId="0" fontId="85" fillId="0" borderId="18" xfId="67" applyFont="1" applyBorder="1" applyAlignment="1">
      <alignment vertical="center"/>
    </xf>
    <xf numFmtId="0" fontId="84" fillId="0" borderId="18" xfId="67" applyFont="1" applyBorder="1" applyAlignment="1">
      <alignment horizontal="left"/>
    </xf>
    <xf numFmtId="0" fontId="84" fillId="0" borderId="18" xfId="67" applyFont="1" applyBorder="1" applyAlignment="1">
      <alignment horizontal="left" wrapText="1"/>
    </xf>
    <xf numFmtId="0" fontId="84" fillId="0" borderId="18" xfId="67" applyFont="1" applyBorder="1" applyAlignment="1">
      <alignment horizontal="center"/>
    </xf>
    <xf numFmtId="190" fontId="84" fillId="0" borderId="34" xfId="67" applyNumberFormat="1" applyFont="1" applyBorder="1"/>
    <xf numFmtId="190" fontId="84" fillId="0" borderId="0" xfId="67" applyNumberFormat="1" applyFont="1"/>
    <xf numFmtId="179" fontId="36" fillId="0" borderId="18" xfId="67" applyNumberFormat="1" applyFont="1" applyBorder="1" applyAlignment="1">
      <alignment horizontal="left" vertical="center" shrinkToFit="1"/>
    </xf>
    <xf numFmtId="0" fontId="36" fillId="0" borderId="18" xfId="67" quotePrefix="1" applyFont="1" applyBorder="1" applyAlignment="1">
      <alignment horizontal="center" vertical="center" wrapText="1" shrinkToFit="1"/>
    </xf>
    <xf numFmtId="0" fontId="84" fillId="0" borderId="0" xfId="67" applyFont="1" applyAlignment="1">
      <alignment horizontal="left"/>
    </xf>
    <xf numFmtId="0" fontId="84" fillId="0" borderId="18" xfId="67" applyFont="1" applyBorder="1" applyAlignment="1">
      <alignment horizontal="left" vertical="center" wrapText="1"/>
    </xf>
    <xf numFmtId="0" fontId="84" fillId="0" borderId="0" xfId="67" applyFont="1" applyAlignment="1">
      <alignment horizontal="center"/>
    </xf>
    <xf numFmtId="0" fontId="86" fillId="0" borderId="18" xfId="67" applyFont="1" applyBorder="1" applyAlignment="1">
      <alignment vertical="center"/>
    </xf>
    <xf numFmtId="0" fontId="42" fillId="0" borderId="18" xfId="67" applyFont="1" applyBorder="1" applyAlignment="1">
      <alignment horizontal="left" vertical="center" wrapText="1" shrinkToFit="1"/>
    </xf>
    <xf numFmtId="0" fontId="42" fillId="0" borderId="18" xfId="67" applyFont="1" applyBorder="1" applyAlignment="1">
      <alignment horizontal="center" vertical="center" shrinkToFit="1"/>
    </xf>
    <xf numFmtId="0" fontId="36" fillId="0" borderId="18" xfId="67" applyFont="1" applyBorder="1" applyAlignment="1">
      <alignment horizontal="left" vertical="center" wrapText="1" shrinkToFit="1"/>
    </xf>
    <xf numFmtId="190" fontId="36" fillId="0" borderId="34" xfId="67" applyNumberFormat="1" applyFont="1" applyBorder="1" applyAlignment="1">
      <alignment vertical="center" shrinkToFit="1"/>
    </xf>
    <xf numFmtId="190" fontId="36" fillId="0" borderId="0" xfId="67" applyNumberFormat="1" applyFont="1" applyAlignment="1">
      <alignment vertical="center" shrinkToFit="1"/>
    </xf>
    <xf numFmtId="0" fontId="84" fillId="0" borderId="18" xfId="67" applyFont="1" applyBorder="1" applyAlignment="1">
      <alignment horizontal="left" vertical="center" wrapText="1" shrinkToFit="1"/>
    </xf>
    <xf numFmtId="0" fontId="84" fillId="0" borderId="18" xfId="67" applyFont="1" applyBorder="1" applyAlignment="1">
      <alignment horizontal="center" vertical="center" shrinkToFit="1"/>
    </xf>
    <xf numFmtId="0" fontId="5" fillId="7" borderId="18" xfId="67" applyFont="1" applyFill="1" applyBorder="1" applyAlignment="1">
      <alignment vertical="center" wrapText="1"/>
    </xf>
    <xf numFmtId="190" fontId="84" fillId="0" borderId="34" xfId="67" applyNumberFormat="1" applyFont="1" applyBorder="1" applyAlignment="1">
      <alignment vertical="center" shrinkToFit="1"/>
    </xf>
    <xf numFmtId="190" fontId="84" fillId="0" borderId="0" xfId="67" applyNumberFormat="1" applyFont="1" applyAlignment="1">
      <alignment vertical="center" shrinkToFit="1"/>
    </xf>
    <xf numFmtId="190" fontId="84" fillId="12" borderId="34" xfId="67" applyNumberFormat="1" applyFont="1" applyFill="1" applyBorder="1"/>
    <xf numFmtId="179" fontId="42" fillId="0" borderId="18" xfId="67" applyNumberFormat="1" applyFont="1" applyBorder="1" applyAlignment="1">
      <alignment horizontal="left" vertical="center" shrinkToFit="1"/>
    </xf>
    <xf numFmtId="0" fontId="42" fillId="0" borderId="18" xfId="67" applyFont="1" applyBorder="1" applyAlignment="1">
      <alignment horizontal="left" wrapText="1"/>
    </xf>
    <xf numFmtId="0" fontId="42" fillId="0" borderId="18" xfId="67" applyFont="1" applyBorder="1" applyAlignment="1">
      <alignment horizontal="center"/>
    </xf>
    <xf numFmtId="0" fontId="36" fillId="0" borderId="18" xfId="67" applyFont="1" applyBorder="1" applyAlignment="1">
      <alignment horizontal="left" wrapText="1"/>
    </xf>
    <xf numFmtId="0" fontId="36" fillId="0" borderId="18" xfId="67" applyFont="1" applyBorder="1" applyAlignment="1">
      <alignment horizontal="center"/>
    </xf>
    <xf numFmtId="0" fontId="5" fillId="0" borderId="33" xfId="67" applyFont="1" applyBorder="1" applyAlignment="1">
      <alignment horizontal="left" vertical="center" wrapText="1"/>
    </xf>
    <xf numFmtId="0" fontId="5" fillId="0" borderId="18" xfId="67" applyFont="1" applyBorder="1" applyAlignment="1">
      <alignment horizontal="left" vertical="center" wrapText="1"/>
    </xf>
    <xf numFmtId="0" fontId="42" fillId="0" borderId="18" xfId="67" applyFont="1" applyBorder="1" applyAlignment="1">
      <alignment horizontal="left" vertical="center" wrapText="1"/>
    </xf>
    <xf numFmtId="49" fontId="70" fillId="0" borderId="18" xfId="67" applyNumberFormat="1" applyFont="1" applyBorder="1" applyAlignment="1">
      <alignment horizontal="left" vertical="center" wrapText="1"/>
    </xf>
    <xf numFmtId="0" fontId="5" fillId="0" borderId="36" xfId="67" applyFont="1" applyBorder="1" applyAlignment="1">
      <alignment horizontal="right" vertical="center" shrinkToFit="1"/>
    </xf>
    <xf numFmtId="49" fontId="70" fillId="0" borderId="37" xfId="67" applyNumberFormat="1" applyFont="1" applyBorder="1" applyAlignment="1">
      <alignment horizontal="left" vertical="center" wrapText="1"/>
    </xf>
    <xf numFmtId="0" fontId="5" fillId="0" borderId="37" xfId="67" applyFont="1" applyBorder="1" applyAlignment="1">
      <alignment horizontal="center" vertical="center" wrapText="1" shrinkToFit="1"/>
    </xf>
    <xf numFmtId="179" fontId="5" fillId="0" borderId="37" xfId="67" applyNumberFormat="1" applyFont="1" applyBorder="1" applyAlignment="1">
      <alignment horizontal="right" vertical="center" shrinkToFit="1"/>
    </xf>
    <xf numFmtId="190" fontId="5" fillId="12" borderId="38" xfId="67" applyNumberFormat="1" applyFont="1" applyFill="1" applyBorder="1" applyAlignment="1">
      <alignment vertical="center" shrinkToFit="1"/>
    </xf>
    <xf numFmtId="0" fontId="84" fillId="0" borderId="0" xfId="67" applyFont="1" applyAlignment="1">
      <alignment horizontal="left" wrapText="1"/>
    </xf>
    <xf numFmtId="0" fontId="5" fillId="0" borderId="39" xfId="67" applyFont="1" applyBorder="1" applyAlignment="1">
      <alignment vertical="center" shrinkToFit="1"/>
    </xf>
    <xf numFmtId="0" fontId="5" fillId="0" borderId="35" xfId="67" applyFont="1" applyBorder="1" applyAlignment="1">
      <alignment vertical="center" wrapText="1"/>
    </xf>
    <xf numFmtId="0" fontId="5" fillId="0" borderId="35" xfId="67" applyFont="1" applyBorder="1" applyAlignment="1">
      <alignment horizontal="center" vertical="center" wrapText="1" shrinkToFit="1"/>
    </xf>
    <xf numFmtId="179" fontId="5" fillId="0" borderId="35" xfId="67" applyNumberFormat="1" applyFont="1" applyBorder="1" applyAlignment="1">
      <alignment horizontal="right" vertical="center" shrinkToFit="1"/>
    </xf>
    <xf numFmtId="179" fontId="5" fillId="0" borderId="35" xfId="67" applyNumberFormat="1" applyFont="1" applyBorder="1" applyAlignment="1">
      <alignment horizontal="left" vertical="center" shrinkToFit="1"/>
    </xf>
    <xf numFmtId="0" fontId="5" fillId="0" borderId="35" xfId="67" applyFont="1" applyBorder="1" applyAlignment="1">
      <alignment horizontal="left" vertical="center" wrapText="1" shrinkToFit="1"/>
    </xf>
    <xf numFmtId="0" fontId="5" fillId="0" borderId="35" xfId="67" applyFont="1" applyBorder="1" applyAlignment="1">
      <alignment horizontal="center" vertical="center" shrinkToFit="1"/>
    </xf>
    <xf numFmtId="190" fontId="5" fillId="0" borderId="40" xfId="67" applyNumberFormat="1" applyFont="1" applyBorder="1" applyAlignment="1">
      <alignment vertical="center" shrinkToFit="1"/>
    </xf>
    <xf numFmtId="49" fontId="87" fillId="0" borderId="18" xfId="67" applyNumberFormat="1" applyFont="1" applyBorder="1" applyAlignment="1">
      <alignment horizontal="left" vertical="center" wrapText="1"/>
    </xf>
    <xf numFmtId="49" fontId="87" fillId="0" borderId="18" xfId="67" applyNumberFormat="1" applyFont="1" applyBorder="1" applyAlignment="1">
      <alignment horizontal="center" vertical="center" wrapText="1"/>
    </xf>
    <xf numFmtId="179" fontId="88" fillId="0" borderId="18" xfId="67" applyNumberFormat="1" applyFont="1" applyBorder="1" applyAlignment="1">
      <alignment horizontal="right" vertical="center" shrinkToFit="1"/>
    </xf>
    <xf numFmtId="0" fontId="84" fillId="0" borderId="18" xfId="67" applyFont="1" applyBorder="1" applyAlignment="1">
      <alignment horizontal="center" vertical="center"/>
    </xf>
    <xf numFmtId="0" fontId="36" fillId="0" borderId="18" xfId="67" applyFont="1" applyBorder="1" applyAlignment="1">
      <alignment horizontal="left" vertical="center"/>
    </xf>
    <xf numFmtId="0" fontId="36" fillId="0" borderId="18" xfId="67" applyFont="1" applyBorder="1" applyAlignment="1">
      <alignment horizontal="left" vertical="center" wrapText="1"/>
    </xf>
    <xf numFmtId="192" fontId="36" fillId="0" borderId="18" xfId="67" applyNumberFormat="1" applyFont="1" applyBorder="1" applyAlignment="1">
      <alignment horizontal="center" vertical="center"/>
    </xf>
    <xf numFmtId="0" fontId="5" fillId="0" borderId="41" xfId="67" applyFont="1" applyBorder="1" applyAlignment="1">
      <alignment horizontal="right" vertical="center" shrinkToFit="1"/>
    </xf>
    <xf numFmtId="49" fontId="87" fillId="0" borderId="42" xfId="67" applyNumberFormat="1" applyFont="1" applyBorder="1" applyAlignment="1">
      <alignment horizontal="left" vertical="center" wrapText="1"/>
    </xf>
    <xf numFmtId="49" fontId="87" fillId="0" borderId="42" xfId="67" applyNumberFormat="1" applyFont="1" applyBorder="1" applyAlignment="1">
      <alignment horizontal="center" vertical="center" wrapText="1"/>
    </xf>
    <xf numFmtId="179" fontId="88" fillId="0" borderId="42" xfId="67" applyNumberFormat="1" applyFont="1" applyBorder="1" applyAlignment="1">
      <alignment horizontal="right" vertical="center" shrinkToFit="1"/>
    </xf>
    <xf numFmtId="190" fontId="5" fillId="0" borderId="43" xfId="67" applyNumberFormat="1" applyFont="1" applyBorder="1" applyAlignment="1">
      <alignment vertical="center" shrinkToFit="1"/>
    </xf>
    <xf numFmtId="0" fontId="84" fillId="0" borderId="33" xfId="67" applyFont="1" applyBorder="1" applyAlignment="1">
      <alignment shrinkToFit="1"/>
    </xf>
    <xf numFmtId="190" fontId="84" fillId="0" borderId="34" xfId="67" applyNumberFormat="1" applyFont="1" applyBorder="1" applyAlignment="1">
      <alignment vertical="center"/>
    </xf>
    <xf numFmtId="190" fontId="84" fillId="0" borderId="0" xfId="67" applyNumberFormat="1" applyFont="1" applyAlignment="1">
      <alignment vertical="center"/>
    </xf>
    <xf numFmtId="0" fontId="84" fillId="0" borderId="18" xfId="67" applyFont="1" applyBorder="1" applyAlignment="1">
      <alignment horizontal="left" vertical="center"/>
    </xf>
    <xf numFmtId="0" fontId="84" fillId="12" borderId="0" xfId="67" applyFont="1" applyFill="1" applyAlignment="1">
      <alignment horizontal="left" vertical="center" wrapText="1"/>
    </xf>
    <xf numFmtId="190" fontId="84" fillId="12" borderId="34" xfId="67" applyNumberFormat="1" applyFont="1" applyFill="1" applyBorder="1" applyAlignment="1">
      <alignment vertical="center"/>
    </xf>
    <xf numFmtId="190" fontId="84" fillId="12" borderId="0" xfId="67" applyNumberFormat="1" applyFont="1" applyFill="1" applyAlignment="1">
      <alignment vertical="center"/>
    </xf>
    <xf numFmtId="0" fontId="42" fillId="0" borderId="18" xfId="67" applyFont="1" applyBorder="1" applyAlignment="1">
      <alignment horizontal="center" vertical="center"/>
    </xf>
    <xf numFmtId="192" fontId="42" fillId="0" borderId="18" xfId="67" applyNumberFormat="1" applyFont="1" applyBorder="1" applyAlignment="1">
      <alignment horizontal="center" vertical="center"/>
    </xf>
    <xf numFmtId="0" fontId="42" fillId="12" borderId="18" xfId="67" applyFont="1" applyFill="1" applyBorder="1" applyAlignment="1">
      <alignment horizontal="left" vertical="center" wrapText="1"/>
    </xf>
    <xf numFmtId="0" fontId="42" fillId="0" borderId="18" xfId="67" applyFont="1" applyBorder="1" applyAlignment="1">
      <alignment horizontal="left" vertical="center"/>
    </xf>
    <xf numFmtId="190" fontId="42" fillId="0" borderId="18" xfId="67" applyNumberFormat="1" applyFont="1" applyBorder="1" applyAlignment="1">
      <alignment horizontal="center" vertical="center"/>
    </xf>
    <xf numFmtId="0" fontId="42" fillId="0" borderId="0" xfId="67" applyFont="1" applyAlignment="1">
      <alignment horizontal="left" vertical="center"/>
    </xf>
    <xf numFmtId="0" fontId="42" fillId="0" borderId="0" xfId="67" applyFont="1" applyAlignment="1">
      <alignment horizontal="left" vertical="center" wrapText="1"/>
    </xf>
    <xf numFmtId="190" fontId="42" fillId="0" borderId="0" xfId="67" applyNumberFormat="1" applyFont="1" applyAlignment="1">
      <alignment horizontal="center" vertical="center"/>
    </xf>
    <xf numFmtId="0" fontId="36" fillId="12" borderId="18" xfId="67" applyFont="1" applyFill="1" applyBorder="1" applyAlignment="1">
      <alignment horizontal="left" vertical="center" wrapText="1"/>
    </xf>
    <xf numFmtId="193" fontId="42" fillId="0" borderId="18" xfId="67" applyNumberFormat="1" applyFont="1" applyBorder="1" applyAlignment="1">
      <alignment horizontal="left" vertical="center" wrapText="1"/>
    </xf>
    <xf numFmtId="0" fontId="84" fillId="12" borderId="18" xfId="67" applyFont="1" applyFill="1" applyBorder="1" applyAlignment="1">
      <alignment horizontal="left" vertical="center"/>
    </xf>
    <xf numFmtId="0" fontId="84" fillId="12" borderId="18" xfId="67" applyFont="1" applyFill="1" applyBorder="1" applyAlignment="1">
      <alignment horizontal="left" vertical="center" wrapText="1"/>
    </xf>
    <xf numFmtId="0" fontId="84" fillId="12" borderId="18" xfId="67" applyFont="1" applyFill="1" applyBorder="1" applyAlignment="1">
      <alignment horizontal="center" vertical="center"/>
    </xf>
    <xf numFmtId="0" fontId="84" fillId="12" borderId="18" xfId="67" quotePrefix="1" applyFont="1" applyFill="1" applyBorder="1" applyAlignment="1">
      <alignment horizontal="left" vertical="center" wrapText="1"/>
    </xf>
    <xf numFmtId="0" fontId="36" fillId="0" borderId="18" xfId="67" applyFont="1" applyBorder="1" applyAlignment="1">
      <alignment horizontal="center" vertical="center"/>
    </xf>
    <xf numFmtId="0" fontId="5" fillId="0" borderId="39" xfId="67" applyFont="1" applyBorder="1" applyAlignment="1">
      <alignment horizontal="right" vertical="center" shrinkToFit="1"/>
    </xf>
    <xf numFmtId="49" fontId="87" fillId="0" borderId="35" xfId="67" applyNumberFormat="1" applyFont="1" applyBorder="1" applyAlignment="1">
      <alignment horizontal="left" vertical="center" wrapText="1"/>
    </xf>
    <xf numFmtId="49" fontId="87" fillId="0" borderId="35" xfId="67" applyNumberFormat="1" applyFont="1" applyBorder="1" applyAlignment="1">
      <alignment horizontal="center" vertical="center" wrapText="1"/>
    </xf>
    <xf numFmtId="179" fontId="88" fillId="0" borderId="35" xfId="67" applyNumberFormat="1" applyFont="1" applyBorder="1" applyAlignment="1">
      <alignment horizontal="right" vertical="center" shrinkToFit="1"/>
    </xf>
    <xf numFmtId="0" fontId="84" fillId="0" borderId="35" xfId="67" applyFont="1" applyBorder="1" applyAlignment="1">
      <alignment horizontal="left" vertical="center"/>
    </xf>
    <xf numFmtId="0" fontId="84" fillId="0" borderId="35" xfId="67" applyFont="1" applyBorder="1" applyAlignment="1">
      <alignment horizontal="left" vertical="center" wrapText="1"/>
    </xf>
    <xf numFmtId="0" fontId="84" fillId="0" borderId="35" xfId="67" applyFont="1" applyBorder="1" applyAlignment="1">
      <alignment horizontal="center" vertical="center"/>
    </xf>
    <xf numFmtId="190" fontId="84" fillId="0" borderId="40" xfId="67" applyNumberFormat="1" applyFont="1" applyBorder="1" applyAlignment="1">
      <alignment vertical="center"/>
    </xf>
    <xf numFmtId="0" fontId="84" fillId="0" borderId="36" xfId="67" applyFont="1" applyBorder="1" applyAlignment="1">
      <alignment shrinkToFit="1"/>
    </xf>
    <xf numFmtId="49" fontId="87" fillId="0" borderId="37" xfId="67" applyNumberFormat="1" applyFont="1" applyBorder="1" applyAlignment="1">
      <alignment horizontal="left" vertical="center" wrapText="1"/>
    </xf>
    <xf numFmtId="49" fontId="87" fillId="0" borderId="37" xfId="67" applyNumberFormat="1" applyFont="1" applyBorder="1" applyAlignment="1">
      <alignment horizontal="center" vertical="center" wrapText="1"/>
    </xf>
    <xf numFmtId="179" fontId="88" fillId="0" borderId="37" xfId="67" applyNumberFormat="1" applyFont="1" applyBorder="1" applyAlignment="1">
      <alignment horizontal="right" vertical="center" shrinkToFit="1"/>
    </xf>
    <xf numFmtId="0" fontId="84" fillId="0" borderId="37" xfId="67" applyFont="1" applyBorder="1" applyAlignment="1">
      <alignment horizontal="left" vertical="center"/>
    </xf>
    <xf numFmtId="0" fontId="84" fillId="0" borderId="37" xfId="67" applyFont="1" applyBorder="1" applyAlignment="1">
      <alignment horizontal="left" vertical="center" wrapText="1"/>
    </xf>
    <xf numFmtId="0" fontId="84" fillId="0" borderId="37" xfId="67" applyFont="1" applyBorder="1" applyAlignment="1">
      <alignment horizontal="center" vertical="center"/>
    </xf>
    <xf numFmtId="190" fontId="84" fillId="0" borderId="38" xfId="67" applyNumberFormat="1" applyFont="1" applyBorder="1" applyAlignment="1">
      <alignment vertical="center"/>
    </xf>
    <xf numFmtId="0" fontId="84" fillId="0" borderId="0" xfId="67" applyFont="1" applyAlignment="1">
      <alignment shrinkToFit="1"/>
    </xf>
    <xf numFmtId="49" fontId="87" fillId="0" borderId="0" xfId="67" applyNumberFormat="1" applyFont="1" applyAlignment="1">
      <alignment horizontal="left" vertical="center" wrapText="1"/>
    </xf>
    <xf numFmtId="49" fontId="87" fillId="0" borderId="0" xfId="67" applyNumberFormat="1" applyFont="1" applyAlignment="1">
      <alignment horizontal="center" vertical="center" wrapText="1"/>
    </xf>
    <xf numFmtId="179" fontId="88" fillId="0" borderId="0" xfId="67" applyNumberFormat="1" applyFont="1" applyAlignment="1">
      <alignment horizontal="right" vertical="center" shrinkToFit="1"/>
    </xf>
    <xf numFmtId="0" fontId="84" fillId="8" borderId="0" xfId="67" applyFont="1" applyFill="1"/>
    <xf numFmtId="0" fontId="84" fillId="8" borderId="0" xfId="67" applyFont="1" applyFill="1" applyAlignment="1">
      <alignment wrapText="1"/>
    </xf>
    <xf numFmtId="0" fontId="84" fillId="8" borderId="0" xfId="67" applyFont="1" applyFill="1" applyAlignment="1">
      <alignment horizontal="center"/>
    </xf>
    <xf numFmtId="0" fontId="42" fillId="8" borderId="18" xfId="67" applyFont="1" applyFill="1" applyBorder="1" applyAlignment="1">
      <alignment horizontal="left" vertical="center"/>
    </xf>
    <xf numFmtId="0" fontId="42" fillId="8" borderId="18" xfId="67" applyFont="1" applyFill="1" applyBorder="1" applyAlignment="1">
      <alignment horizontal="left" vertical="center" wrapText="1"/>
    </xf>
    <xf numFmtId="190" fontId="42" fillId="8" borderId="18" xfId="67" applyNumberFormat="1" applyFont="1" applyFill="1" applyBorder="1" applyAlignment="1">
      <alignment horizontal="center" vertical="center"/>
    </xf>
    <xf numFmtId="190" fontId="84" fillId="8" borderId="0" xfId="67" applyNumberFormat="1" applyFont="1" applyFill="1" applyAlignment="1">
      <alignment vertical="center"/>
    </xf>
    <xf numFmtId="0" fontId="84" fillId="0" borderId="0" xfId="67" applyFont="1" applyAlignment="1">
      <alignment wrapText="1"/>
    </xf>
    <xf numFmtId="0" fontId="84" fillId="8" borderId="9" xfId="67" applyFont="1" applyFill="1" applyBorder="1"/>
    <xf numFmtId="0" fontId="72" fillId="8" borderId="18" xfId="67" applyFont="1" applyFill="1" applyBorder="1" applyAlignment="1">
      <alignment vertical="center" wrapText="1"/>
    </xf>
    <xf numFmtId="0" fontId="84" fillId="8" borderId="42" xfId="67" applyFont="1" applyFill="1" applyBorder="1"/>
    <xf numFmtId="192" fontId="42" fillId="8" borderId="18" xfId="67" applyNumberFormat="1" applyFont="1" applyFill="1" applyBorder="1" applyAlignment="1">
      <alignment horizontal="center" vertical="center"/>
    </xf>
    <xf numFmtId="190" fontId="84" fillId="8" borderId="11" xfId="67" applyNumberFormat="1" applyFont="1" applyFill="1" applyBorder="1" applyAlignment="1">
      <alignment vertical="center"/>
    </xf>
    <xf numFmtId="0" fontId="42" fillId="8" borderId="0" xfId="67" applyFont="1" applyFill="1" applyAlignment="1">
      <alignment wrapText="1"/>
    </xf>
    <xf numFmtId="0" fontId="42" fillId="8" borderId="0" xfId="67" applyFont="1" applyFill="1"/>
    <xf numFmtId="0" fontId="42" fillId="8" borderId="18" xfId="67" quotePrefix="1" applyFont="1" applyFill="1" applyBorder="1" applyAlignment="1">
      <alignment horizontal="left" vertical="center" wrapText="1"/>
    </xf>
    <xf numFmtId="190" fontId="42" fillId="8" borderId="0" xfId="67" applyNumberFormat="1" applyFont="1" applyFill="1" applyAlignment="1">
      <alignment vertical="center"/>
    </xf>
    <xf numFmtId="0" fontId="84" fillId="0" borderId="0" xfId="67" applyFont="1" applyAlignment="1">
      <alignment horizontal="left" vertical="center"/>
    </xf>
    <xf numFmtId="0" fontId="84" fillId="0" borderId="0" xfId="67" applyFont="1" applyAlignment="1">
      <alignment horizontal="left" vertical="center" wrapText="1"/>
    </xf>
    <xf numFmtId="0" fontId="84" fillId="0" borderId="0" xfId="67" applyFont="1" applyAlignment="1">
      <alignment horizontal="center" vertical="center"/>
    </xf>
    <xf numFmtId="190" fontId="5" fillId="0" borderId="46" xfId="67" applyNumberFormat="1" applyFont="1" applyBorder="1" applyAlignment="1">
      <alignment vertical="center" wrapText="1"/>
    </xf>
    <xf numFmtId="190" fontId="5" fillId="0" borderId="47" xfId="67" applyNumberFormat="1" applyFont="1" applyBorder="1" applyAlignment="1">
      <alignment vertical="center" wrapText="1"/>
    </xf>
    <xf numFmtId="0" fontId="5" fillId="0" borderId="39" xfId="67" applyFont="1" applyBorder="1" applyAlignment="1">
      <alignment horizontal="center" vertical="center"/>
    </xf>
    <xf numFmtId="0" fontId="5" fillId="0" borderId="35" xfId="67" applyFont="1" applyBorder="1" applyAlignment="1">
      <alignment horizontal="center" vertical="center" wrapText="1"/>
    </xf>
    <xf numFmtId="190" fontId="5" fillId="0" borderId="35" xfId="67" applyNumberFormat="1" applyFont="1" applyBorder="1" applyAlignment="1">
      <alignment horizontal="center" vertical="center" shrinkToFit="1"/>
    </xf>
    <xf numFmtId="49" fontId="70" fillId="5" borderId="44" xfId="67" applyNumberFormat="1" applyFont="1" applyFill="1" applyBorder="1" applyAlignment="1">
      <alignment horizontal="center" vertical="center" shrinkToFit="1"/>
    </xf>
    <xf numFmtId="49" fontId="70" fillId="5" borderId="45" xfId="67" applyNumberFormat="1" applyFont="1" applyFill="1" applyBorder="1" applyAlignment="1">
      <alignment horizontal="left" vertical="center" wrapText="1"/>
    </xf>
    <xf numFmtId="49" fontId="70" fillId="5" borderId="45" xfId="67" applyNumberFormat="1" applyFont="1" applyFill="1" applyBorder="1" applyAlignment="1">
      <alignment horizontal="center" vertical="center" wrapText="1"/>
    </xf>
    <xf numFmtId="179" fontId="54" fillId="5" borderId="45" xfId="67" applyNumberFormat="1" applyFont="1" applyFill="1" applyBorder="1" applyAlignment="1">
      <alignment horizontal="right" vertical="center" shrinkToFit="1"/>
    </xf>
    <xf numFmtId="0" fontId="84" fillId="0" borderId="45" xfId="67" applyFont="1" applyBorder="1"/>
    <xf numFmtId="0" fontId="84" fillId="0" borderId="45" xfId="67" applyFont="1" applyBorder="1" applyAlignment="1">
      <alignment horizontal="left" vertical="center"/>
    </xf>
    <xf numFmtId="0" fontId="84" fillId="0" borderId="45" xfId="67" applyFont="1" applyBorder="1" applyAlignment="1">
      <alignment horizontal="left" vertical="center" wrapText="1"/>
    </xf>
    <xf numFmtId="190" fontId="84" fillId="0" borderId="45" xfId="67" applyNumberFormat="1" applyFont="1" applyBorder="1" applyAlignment="1">
      <alignment horizontal="center" vertical="center"/>
    </xf>
    <xf numFmtId="190" fontId="84" fillId="0" borderId="46" xfId="67" applyNumberFormat="1" applyFont="1" applyBorder="1" applyAlignment="1">
      <alignment vertical="center"/>
    </xf>
    <xf numFmtId="49" fontId="70" fillId="0" borderId="33" xfId="67" applyNumberFormat="1" applyFont="1" applyBorder="1" applyAlignment="1">
      <alignment horizontal="center" vertical="center" shrinkToFit="1"/>
    </xf>
    <xf numFmtId="49" fontId="70" fillId="0" borderId="18" xfId="67" applyNumberFormat="1" applyFont="1" applyBorder="1" applyAlignment="1">
      <alignment horizontal="center" vertical="center" wrapText="1"/>
    </xf>
    <xf numFmtId="179" fontId="54" fillId="0" borderId="18" xfId="67" applyNumberFormat="1" applyFont="1" applyBorder="1" applyAlignment="1">
      <alignment horizontal="right" vertical="center" shrinkToFit="1"/>
    </xf>
    <xf numFmtId="190" fontId="36" fillId="0" borderId="18" xfId="67" applyNumberFormat="1" applyFont="1" applyBorder="1" applyAlignment="1">
      <alignment horizontal="center" vertical="center"/>
    </xf>
    <xf numFmtId="190" fontId="84" fillId="0" borderId="18" xfId="67" applyNumberFormat="1" applyFont="1" applyBorder="1" applyAlignment="1">
      <alignment horizontal="center" vertical="center"/>
    </xf>
    <xf numFmtId="190" fontId="84" fillId="12" borderId="18" xfId="67" applyNumberFormat="1" applyFont="1" applyFill="1" applyBorder="1" applyAlignment="1">
      <alignment horizontal="center" vertical="center"/>
    </xf>
    <xf numFmtId="0" fontId="36" fillId="0" borderId="18" xfId="67" applyFont="1" applyBorder="1" applyAlignment="1">
      <alignment horizontal="left" vertical="center" shrinkToFit="1"/>
    </xf>
    <xf numFmtId="0" fontId="42" fillId="12" borderId="18" xfId="67" quotePrefix="1" applyFont="1" applyFill="1" applyBorder="1" applyAlignment="1">
      <alignment horizontal="left" vertical="center" wrapText="1"/>
    </xf>
    <xf numFmtId="190" fontId="84" fillId="0" borderId="0" xfId="67" applyNumberFormat="1" applyFont="1" applyAlignment="1">
      <alignment horizontal="center" vertical="center"/>
    </xf>
    <xf numFmtId="190" fontId="42" fillId="0" borderId="34" xfId="67" applyNumberFormat="1" applyFont="1" applyBorder="1" applyAlignment="1">
      <alignment vertical="center"/>
    </xf>
    <xf numFmtId="190" fontId="42" fillId="0" borderId="0" xfId="67" applyNumberFormat="1" applyFont="1" applyAlignment="1">
      <alignment vertical="center"/>
    </xf>
    <xf numFmtId="0" fontId="42" fillId="6" borderId="18" xfId="67" applyFont="1" applyFill="1" applyBorder="1" applyAlignment="1">
      <alignment horizontal="left" vertical="center" wrapText="1"/>
    </xf>
    <xf numFmtId="192" fontId="42" fillId="6" borderId="18" xfId="67" applyNumberFormat="1" applyFont="1" applyFill="1" applyBorder="1" applyAlignment="1">
      <alignment horizontal="center" vertical="center"/>
    </xf>
    <xf numFmtId="190" fontId="84" fillId="6" borderId="34" xfId="67" applyNumberFormat="1" applyFont="1" applyFill="1" applyBorder="1" applyAlignment="1">
      <alignment vertical="center"/>
    </xf>
    <xf numFmtId="0" fontId="32" fillId="6" borderId="18" xfId="67" applyFont="1" applyFill="1" applyBorder="1" applyAlignment="1">
      <alignment vertical="center" wrapText="1"/>
    </xf>
    <xf numFmtId="192" fontId="42" fillId="6" borderId="18" xfId="67" applyNumberFormat="1" applyFont="1" applyFill="1" applyBorder="1" applyAlignment="1">
      <alignment horizontal="center" vertical="center" wrapText="1"/>
    </xf>
    <xf numFmtId="0" fontId="32" fillId="0" borderId="18" xfId="67" applyFont="1" applyBorder="1" applyAlignment="1">
      <alignment vertical="center" wrapText="1"/>
    </xf>
    <xf numFmtId="192" fontId="42" fillId="0" borderId="18" xfId="67" applyNumberFormat="1" applyFont="1" applyBorder="1" applyAlignment="1">
      <alignment horizontal="center" vertical="center" wrapText="1"/>
    </xf>
    <xf numFmtId="0" fontId="84" fillId="8" borderId="18" xfId="67" applyFont="1" applyFill="1" applyBorder="1" applyAlignment="1">
      <alignment horizontal="left" vertical="center" wrapText="1"/>
    </xf>
    <xf numFmtId="190" fontId="84" fillId="8" borderId="18" xfId="67" applyNumberFormat="1" applyFont="1" applyFill="1" applyBorder="1" applyAlignment="1">
      <alignment horizontal="center" vertical="center"/>
    </xf>
    <xf numFmtId="49" fontId="70" fillId="0" borderId="39" xfId="67" applyNumberFormat="1" applyFont="1" applyBorder="1" applyAlignment="1">
      <alignment horizontal="center" vertical="center" shrinkToFit="1"/>
    </xf>
    <xf numFmtId="49" fontId="70" fillId="0" borderId="35" xfId="67" applyNumberFormat="1" applyFont="1" applyBorder="1" applyAlignment="1">
      <alignment horizontal="left" vertical="center" wrapText="1"/>
    </xf>
    <xf numFmtId="49" fontId="70" fillId="0" borderId="35" xfId="67" applyNumberFormat="1" applyFont="1" applyBorder="1" applyAlignment="1">
      <alignment horizontal="center" vertical="center" wrapText="1"/>
    </xf>
    <xf numFmtId="179" fontId="54" fillId="0" borderId="35" xfId="67" applyNumberFormat="1" applyFont="1" applyBorder="1" applyAlignment="1">
      <alignment horizontal="right" vertical="center" shrinkToFit="1"/>
    </xf>
    <xf numFmtId="0" fontId="36" fillId="0" borderId="35" xfId="67" applyFont="1" applyBorder="1" applyAlignment="1">
      <alignment horizontal="left" vertical="center"/>
    </xf>
    <xf numFmtId="0" fontId="36" fillId="0" borderId="35" xfId="67" applyFont="1" applyBorder="1" applyAlignment="1">
      <alignment horizontal="left" vertical="center" wrapText="1"/>
    </xf>
    <xf numFmtId="190" fontId="84" fillId="0" borderId="35" xfId="67" applyNumberFormat="1" applyFont="1" applyBorder="1" applyAlignment="1">
      <alignment horizontal="center" vertical="center"/>
    </xf>
    <xf numFmtId="49" fontId="70" fillId="0" borderId="36" xfId="67" applyNumberFormat="1" applyFont="1" applyBorder="1" applyAlignment="1">
      <alignment horizontal="center" vertical="center" shrinkToFit="1"/>
    </xf>
    <xf numFmtId="0" fontId="32" fillId="8" borderId="19" xfId="67" applyFont="1" applyFill="1" applyBorder="1" applyAlignment="1">
      <alignment horizontal="left" vertical="center" wrapText="1"/>
    </xf>
    <xf numFmtId="0" fontId="11" fillId="8" borderId="20" xfId="67" applyFont="1" applyFill="1" applyBorder="1" applyAlignment="1">
      <alignment horizontal="center" vertical="center" wrapText="1"/>
    </xf>
    <xf numFmtId="179" fontId="33" fillId="8" borderId="20" xfId="67" applyNumberFormat="1" applyFont="1" applyFill="1" applyBorder="1" applyAlignment="1">
      <alignment vertical="center" shrinkToFit="1"/>
    </xf>
    <xf numFmtId="0" fontId="84" fillId="8" borderId="20" xfId="67" applyFont="1" applyFill="1" applyBorder="1"/>
    <xf numFmtId="0" fontId="84" fillId="8" borderId="18" xfId="67" applyFont="1" applyFill="1" applyBorder="1" applyAlignment="1">
      <alignment horizontal="left" vertical="center"/>
    </xf>
    <xf numFmtId="190" fontId="84" fillId="8" borderId="46" xfId="67" applyNumberFormat="1" applyFont="1" applyFill="1" applyBorder="1" applyAlignment="1">
      <alignment vertical="center"/>
    </xf>
    <xf numFmtId="0" fontId="32" fillId="8" borderId="22" xfId="67" applyFont="1" applyFill="1" applyBorder="1" applyAlignment="1">
      <alignment horizontal="left" vertical="center" wrapText="1"/>
    </xf>
    <xf numFmtId="0" fontId="11" fillId="8" borderId="23" xfId="67" applyFont="1" applyFill="1" applyBorder="1" applyAlignment="1">
      <alignment horizontal="center" vertical="center" wrapText="1"/>
    </xf>
    <xf numFmtId="179" fontId="33" fillId="8" borderId="23" xfId="67" applyNumberFormat="1" applyFont="1" applyFill="1" applyBorder="1" applyAlignment="1">
      <alignment vertical="center" shrinkToFit="1"/>
    </xf>
    <xf numFmtId="0" fontId="84" fillId="8" borderId="23" xfId="67" applyFont="1" applyFill="1" applyBorder="1"/>
    <xf numFmtId="190" fontId="84" fillId="8" borderId="34" xfId="67" applyNumberFormat="1" applyFont="1" applyFill="1" applyBorder="1" applyAlignment="1">
      <alignment vertical="center"/>
    </xf>
    <xf numFmtId="0" fontId="32" fillId="8" borderId="23" xfId="67" applyFont="1" applyFill="1" applyBorder="1" applyAlignment="1">
      <alignment horizontal="center" vertical="center" wrapText="1"/>
    </xf>
    <xf numFmtId="0" fontId="32" fillId="8" borderId="25" xfId="67" applyFont="1" applyFill="1" applyBorder="1" applyAlignment="1">
      <alignment horizontal="left" vertical="center" wrapText="1"/>
    </xf>
    <xf numFmtId="0" fontId="11" fillId="8" borderId="26" xfId="67" applyFont="1" applyFill="1" applyBorder="1" applyAlignment="1">
      <alignment horizontal="center" vertical="center" wrapText="1"/>
    </xf>
    <xf numFmtId="179" fontId="33" fillId="8" borderId="26" xfId="67" applyNumberFormat="1" applyFont="1" applyFill="1" applyBorder="1" applyAlignment="1">
      <alignment vertical="center" shrinkToFit="1"/>
    </xf>
    <xf numFmtId="0" fontId="84" fillId="8" borderId="26" xfId="67" applyFont="1" applyFill="1" applyBorder="1"/>
    <xf numFmtId="190" fontId="84" fillId="8" borderId="38" xfId="67" applyNumberFormat="1" applyFont="1" applyFill="1" applyBorder="1" applyAlignment="1">
      <alignment vertical="center"/>
    </xf>
    <xf numFmtId="0" fontId="5" fillId="0" borderId="47" xfId="67" applyFont="1" applyBorder="1" applyAlignment="1">
      <alignment horizontal="center" vertical="center" wrapText="1"/>
    </xf>
    <xf numFmtId="0" fontId="5" fillId="0" borderId="0" xfId="67" applyFont="1" applyAlignment="1">
      <alignment horizontal="center" vertical="center" wrapText="1"/>
    </xf>
    <xf numFmtId="0" fontId="5" fillId="0" borderId="44" xfId="67" applyFont="1" applyBorder="1" applyAlignment="1">
      <alignment horizontal="center" vertical="center"/>
    </xf>
    <xf numFmtId="0" fontId="5" fillId="0" borderId="45" xfId="67" applyFont="1" applyBorder="1" applyAlignment="1">
      <alignment horizontal="center" vertical="center" wrapText="1"/>
    </xf>
    <xf numFmtId="0" fontId="5" fillId="0" borderId="45" xfId="67" applyFont="1" applyBorder="1" applyAlignment="1">
      <alignment horizontal="center" vertical="center" wrapText="1" shrinkToFit="1"/>
    </xf>
    <xf numFmtId="192" fontId="5" fillId="0" borderId="45" xfId="67" applyNumberFormat="1" applyFont="1" applyBorder="1" applyAlignment="1">
      <alignment horizontal="center" vertical="center" shrinkToFit="1"/>
    </xf>
    <xf numFmtId="190" fontId="5" fillId="0" borderId="46" xfId="67" applyNumberFormat="1" applyFont="1" applyBorder="1" applyAlignment="1">
      <alignment vertical="center" shrinkToFit="1"/>
    </xf>
    <xf numFmtId="43" fontId="89" fillId="0" borderId="0" xfId="68" applyFont="1" applyAlignment="1">
      <alignment horizontal="center" vertical="center" wrapText="1"/>
    </xf>
    <xf numFmtId="0" fontId="82" fillId="0" borderId="0" xfId="67" applyFont="1" applyAlignment="1">
      <alignment horizontal="center" vertical="center"/>
    </xf>
    <xf numFmtId="49" fontId="87" fillId="5" borderId="33" xfId="67" applyNumberFormat="1" applyFont="1" applyFill="1" applyBorder="1" applyAlignment="1">
      <alignment horizontal="center" vertical="center" shrinkToFit="1"/>
    </xf>
    <xf numFmtId="49" fontId="87" fillId="5" borderId="18" xfId="67" applyNumberFormat="1" applyFont="1" applyFill="1" applyBorder="1" applyAlignment="1">
      <alignment horizontal="left" vertical="center" wrapText="1"/>
    </xf>
    <xf numFmtId="49" fontId="87" fillId="5" borderId="18" xfId="67" applyNumberFormat="1" applyFont="1" applyFill="1" applyBorder="1" applyAlignment="1">
      <alignment horizontal="center" vertical="center" wrapText="1"/>
    </xf>
    <xf numFmtId="179" fontId="88" fillId="5" borderId="18" xfId="67" applyNumberFormat="1" applyFont="1" applyFill="1" applyBorder="1" applyAlignment="1">
      <alignment horizontal="right" vertical="center" shrinkToFit="1"/>
    </xf>
    <xf numFmtId="192" fontId="84" fillId="0" borderId="18" xfId="67" applyNumberFormat="1" applyFont="1" applyBorder="1" applyAlignment="1">
      <alignment horizontal="center" vertical="center"/>
    </xf>
    <xf numFmtId="0" fontId="84" fillId="0" borderId="48" xfId="67" applyFont="1" applyBorder="1" applyAlignment="1">
      <alignment horizontal="center" vertical="center"/>
    </xf>
    <xf numFmtId="179" fontId="10" fillId="0" borderId="18" xfId="67" applyNumberFormat="1" applyFont="1" applyBorder="1" applyAlignment="1">
      <alignment horizontal="right" vertical="center" shrinkToFit="1"/>
    </xf>
    <xf numFmtId="0" fontId="83" fillId="12" borderId="18" xfId="67" applyFont="1" applyFill="1" applyBorder="1" applyAlignment="1">
      <alignment horizontal="left" vertical="center" wrapText="1"/>
    </xf>
    <xf numFmtId="192" fontId="84" fillId="12" borderId="18" xfId="67" applyNumberFormat="1" applyFont="1" applyFill="1" applyBorder="1" applyAlignment="1">
      <alignment horizontal="center" vertical="center"/>
    </xf>
    <xf numFmtId="179" fontId="42" fillId="0" borderId="48" xfId="67" applyNumberFormat="1" applyFont="1" applyBorder="1" applyAlignment="1">
      <alignment horizontal="right" vertical="center" shrinkToFit="1"/>
    </xf>
    <xf numFmtId="0" fontId="5" fillId="0" borderId="0" xfId="67" applyFont="1" applyAlignment="1">
      <alignment horizontal="center" vertical="center" shrinkToFit="1"/>
    </xf>
    <xf numFmtId="0" fontId="42" fillId="0" borderId="18" xfId="67" applyFont="1" applyBorder="1" applyAlignment="1">
      <alignment vertical="center" wrapText="1"/>
    </xf>
    <xf numFmtId="190" fontId="84" fillId="0" borderId="34" xfId="67" applyNumberFormat="1" applyFont="1" applyBorder="1" applyAlignment="1">
      <alignment vertical="center" wrapText="1"/>
    </xf>
    <xf numFmtId="0" fontId="42" fillId="6" borderId="18" xfId="67" applyFont="1" applyFill="1" applyBorder="1" applyAlignment="1">
      <alignment vertical="center" wrapText="1"/>
    </xf>
    <xf numFmtId="190" fontId="84" fillId="6" borderId="34" xfId="67" applyNumberFormat="1" applyFont="1" applyFill="1" applyBorder="1" applyAlignment="1">
      <alignment vertical="center" wrapText="1"/>
    </xf>
    <xf numFmtId="192" fontId="84" fillId="0" borderId="18" xfId="67" applyNumberFormat="1" applyFont="1" applyBorder="1" applyAlignment="1">
      <alignment horizontal="center" vertical="center" wrapText="1"/>
    </xf>
    <xf numFmtId="192" fontId="84" fillId="12" borderId="0" xfId="67" applyNumberFormat="1" applyFont="1" applyFill="1" applyAlignment="1">
      <alignment horizontal="center" vertical="center"/>
    </xf>
    <xf numFmtId="0" fontId="42" fillId="0" borderId="18" xfId="67" quotePrefix="1" applyFont="1" applyBorder="1" applyAlignment="1">
      <alignment vertical="center" wrapText="1"/>
    </xf>
    <xf numFmtId="190" fontId="36" fillId="0" borderId="34" xfId="67" applyNumberFormat="1" applyFont="1" applyBorder="1" applyAlignment="1">
      <alignment vertical="center"/>
    </xf>
    <xf numFmtId="190" fontId="36" fillId="0" borderId="0" xfId="67" applyNumberFormat="1" applyFont="1" applyAlignment="1">
      <alignment vertical="center"/>
    </xf>
    <xf numFmtId="192" fontId="84" fillId="0" borderId="0" xfId="67" applyNumberFormat="1" applyFont="1" applyAlignment="1">
      <alignment horizontal="center" vertical="center"/>
    </xf>
    <xf numFmtId="192" fontId="42" fillId="12" borderId="18" xfId="67" applyNumberFormat="1" applyFont="1" applyFill="1" applyBorder="1" applyAlignment="1">
      <alignment horizontal="center" vertical="center"/>
    </xf>
    <xf numFmtId="179" fontId="92" fillId="0" borderId="18" xfId="67" applyNumberFormat="1" applyFont="1" applyBorder="1" applyAlignment="1">
      <alignment horizontal="right" vertical="center" wrapText="1" shrinkToFit="1"/>
    </xf>
    <xf numFmtId="0" fontId="36" fillId="0" borderId="18" xfId="67" applyFont="1" applyBorder="1" applyAlignment="1">
      <alignment vertical="center" wrapText="1"/>
    </xf>
    <xf numFmtId="179" fontId="10" fillId="0" borderId="18" xfId="67" applyNumberFormat="1" applyFont="1" applyBorder="1" applyAlignment="1">
      <alignment horizontal="right" vertical="center" wrapText="1" shrinkToFit="1"/>
    </xf>
    <xf numFmtId="179" fontId="10" fillId="12" borderId="18" xfId="67" applyNumberFormat="1" applyFont="1" applyFill="1" applyBorder="1" applyAlignment="1">
      <alignment horizontal="right" vertical="center" wrapText="1" shrinkToFit="1"/>
    </xf>
    <xf numFmtId="0" fontId="5" fillId="12" borderId="18" xfId="67" applyFont="1" applyFill="1" applyBorder="1" applyAlignment="1">
      <alignment vertical="center" wrapText="1"/>
    </xf>
    <xf numFmtId="0" fontId="42" fillId="12" borderId="18" xfId="67" applyFont="1" applyFill="1" applyBorder="1" applyAlignment="1">
      <alignment vertical="center" wrapText="1"/>
    </xf>
    <xf numFmtId="192" fontId="42" fillId="12" borderId="18" xfId="67" applyNumberFormat="1" applyFont="1" applyFill="1" applyBorder="1" applyAlignment="1">
      <alignment horizontal="center" vertical="center" wrapText="1"/>
    </xf>
    <xf numFmtId="0" fontId="91" fillId="0" borderId="18" xfId="67" applyFont="1" applyBorder="1" applyAlignment="1">
      <alignment horizontal="left" vertical="center" wrapText="1"/>
    </xf>
    <xf numFmtId="192" fontId="84" fillId="12" borderId="18" xfId="67" applyNumberFormat="1" applyFont="1" applyFill="1" applyBorder="1" applyAlignment="1">
      <alignment horizontal="center" vertical="center" wrapText="1"/>
    </xf>
    <xf numFmtId="0" fontId="42" fillId="7" borderId="18" xfId="67" applyFont="1" applyFill="1" applyBorder="1" applyAlignment="1">
      <alignment horizontal="left" vertical="center" wrapText="1"/>
    </xf>
    <xf numFmtId="0" fontId="42" fillId="7" borderId="18" xfId="67" applyFont="1" applyFill="1" applyBorder="1" applyAlignment="1">
      <alignment vertical="center" wrapText="1"/>
    </xf>
    <xf numFmtId="192" fontId="42" fillId="7" borderId="18" xfId="67" applyNumberFormat="1" applyFont="1" applyFill="1" applyBorder="1" applyAlignment="1">
      <alignment horizontal="center" vertical="center" wrapText="1"/>
    </xf>
    <xf numFmtId="0" fontId="84" fillId="0" borderId="33" xfId="67" applyFont="1" applyBorder="1" applyAlignment="1">
      <alignment horizontal="right" vertical="center" shrinkToFit="1"/>
    </xf>
    <xf numFmtId="0" fontId="84" fillId="0" borderId="18" xfId="67" applyFont="1" applyBorder="1" applyAlignment="1">
      <alignment vertical="center" wrapText="1"/>
    </xf>
    <xf numFmtId="0" fontId="84" fillId="0" borderId="18" xfId="67" applyFont="1" applyBorder="1" applyAlignment="1">
      <alignment horizontal="center" vertical="center" wrapText="1" shrinkToFit="1"/>
    </xf>
    <xf numFmtId="179" fontId="93" fillId="0" borderId="18" xfId="67" applyNumberFormat="1" applyFont="1" applyBorder="1" applyAlignment="1">
      <alignment horizontal="right" vertical="center" shrinkToFit="1"/>
    </xf>
    <xf numFmtId="179" fontId="84" fillId="0" borderId="48" xfId="67" applyNumberFormat="1" applyFont="1" applyBorder="1" applyAlignment="1">
      <alignment horizontal="right" vertical="center" shrinkToFit="1"/>
    </xf>
    <xf numFmtId="0" fontId="84" fillId="0" borderId="18" xfId="67" quotePrefix="1" applyFont="1" applyBorder="1" applyAlignment="1">
      <alignment horizontal="left" vertical="center" wrapText="1"/>
    </xf>
    <xf numFmtId="0" fontId="84" fillId="7" borderId="0" xfId="67" applyFont="1" applyFill="1" applyAlignment="1">
      <alignment horizontal="left" vertical="center" wrapText="1"/>
    </xf>
    <xf numFmtId="192" fontId="42" fillId="7" borderId="18" xfId="67" applyNumberFormat="1" applyFont="1" applyFill="1" applyBorder="1" applyAlignment="1">
      <alignment horizontal="center" vertical="center"/>
    </xf>
    <xf numFmtId="0" fontId="42" fillId="0" borderId="18" xfId="67" quotePrefix="1" applyFont="1" applyBorder="1" applyAlignment="1">
      <alignment horizontal="left" vertical="center" wrapText="1"/>
    </xf>
    <xf numFmtId="0" fontId="36" fillId="7" borderId="18" xfId="67" applyFont="1" applyFill="1" applyBorder="1" applyAlignment="1">
      <alignment horizontal="left" vertical="center" wrapText="1"/>
    </xf>
    <xf numFmtId="0" fontId="36" fillId="7" borderId="18" xfId="67" quotePrefix="1" applyFont="1" applyFill="1" applyBorder="1" applyAlignment="1">
      <alignment horizontal="left" vertical="center" wrapText="1"/>
    </xf>
    <xf numFmtId="192" fontId="84" fillId="7" borderId="18" xfId="67" applyNumberFormat="1" applyFont="1" applyFill="1" applyBorder="1" applyAlignment="1">
      <alignment horizontal="center" vertical="center"/>
    </xf>
    <xf numFmtId="0" fontId="36" fillId="12" borderId="18" xfId="67" applyFont="1" applyFill="1" applyBorder="1" applyAlignment="1">
      <alignment horizontal="center" vertical="center" wrapText="1"/>
    </xf>
    <xf numFmtId="0" fontId="36" fillId="12" borderId="18" xfId="67" quotePrefix="1" applyFont="1" applyFill="1" applyBorder="1" applyAlignment="1">
      <alignment horizontal="left" vertical="center" wrapText="1"/>
    </xf>
    <xf numFmtId="192" fontId="36" fillId="12" borderId="18" xfId="67" applyNumberFormat="1" applyFont="1" applyFill="1" applyBorder="1" applyAlignment="1">
      <alignment horizontal="center" vertical="center"/>
    </xf>
    <xf numFmtId="0" fontId="83" fillId="0" borderId="18" xfId="67" applyFont="1" applyBorder="1" applyAlignment="1">
      <alignment horizontal="left" vertical="center" wrapText="1"/>
    </xf>
    <xf numFmtId="0" fontId="95" fillId="0" borderId="18" xfId="67" applyFont="1" applyBorder="1" applyAlignment="1">
      <alignment vertical="center"/>
    </xf>
    <xf numFmtId="192" fontId="36" fillId="8" borderId="18" xfId="67" applyNumberFormat="1" applyFont="1" applyFill="1" applyBorder="1" applyAlignment="1">
      <alignment horizontal="center" vertical="center"/>
    </xf>
    <xf numFmtId="179" fontId="96" fillId="0" borderId="18" xfId="67" applyNumberFormat="1" applyFont="1" applyBorder="1" applyAlignment="1">
      <alignment horizontal="left" vertical="center" wrapText="1" shrinkToFit="1"/>
    </xf>
    <xf numFmtId="0" fontId="5" fillId="8" borderId="18" xfId="67" applyFont="1" applyFill="1" applyBorder="1" applyAlignment="1">
      <alignment vertical="center" wrapText="1"/>
    </xf>
    <xf numFmtId="192" fontId="84" fillId="8" borderId="18" xfId="67" applyNumberFormat="1" applyFont="1" applyFill="1" applyBorder="1" applyAlignment="1">
      <alignment horizontal="center" vertical="center"/>
    </xf>
    <xf numFmtId="192" fontId="36" fillId="0" borderId="18" xfId="67" applyNumberFormat="1" applyFont="1" applyBorder="1" applyAlignment="1">
      <alignment horizontal="center" vertical="center" wrapText="1"/>
    </xf>
    <xf numFmtId="0" fontId="42" fillId="5" borderId="18" xfId="67" applyFont="1" applyFill="1" applyBorder="1" applyAlignment="1">
      <alignment horizontal="left" vertical="center" wrapText="1"/>
    </xf>
    <xf numFmtId="0" fontId="42" fillId="5" borderId="18" xfId="67" applyFont="1" applyFill="1" applyBorder="1" applyAlignment="1">
      <alignment vertical="center" wrapText="1"/>
    </xf>
    <xf numFmtId="192" fontId="42" fillId="5" borderId="18" xfId="67" applyNumberFormat="1" applyFont="1" applyFill="1" applyBorder="1" applyAlignment="1">
      <alignment horizontal="center" vertical="center" wrapText="1"/>
    </xf>
    <xf numFmtId="0" fontId="84" fillId="0" borderId="36" xfId="67" applyFont="1" applyBorder="1"/>
    <xf numFmtId="0" fontId="84" fillId="0" borderId="37" xfId="67" applyFont="1" applyBorder="1"/>
    <xf numFmtId="192" fontId="84" fillId="0" borderId="37" xfId="67" applyNumberFormat="1" applyFont="1" applyBorder="1" applyAlignment="1">
      <alignment horizontal="center" vertical="center"/>
    </xf>
    <xf numFmtId="0" fontId="84" fillId="8" borderId="49" xfId="67" applyFont="1" applyFill="1" applyBorder="1"/>
    <xf numFmtId="0" fontId="84" fillId="8" borderId="45" xfId="67" applyFont="1" applyFill="1" applyBorder="1"/>
    <xf numFmtId="0" fontId="84" fillId="8" borderId="45" xfId="67" applyFont="1" applyFill="1" applyBorder="1" applyAlignment="1">
      <alignment horizontal="left" vertical="center" wrapText="1"/>
    </xf>
    <xf numFmtId="192" fontId="84" fillId="8" borderId="45" xfId="67" applyNumberFormat="1" applyFont="1" applyFill="1" applyBorder="1" applyAlignment="1">
      <alignment horizontal="center" vertical="center"/>
    </xf>
    <xf numFmtId="190" fontId="84" fillId="8" borderId="50" xfId="67" applyNumberFormat="1" applyFont="1" applyFill="1" applyBorder="1" applyAlignment="1">
      <alignment vertical="center"/>
    </xf>
    <xf numFmtId="0" fontId="84" fillId="8" borderId="42" xfId="67" applyFont="1" applyFill="1" applyBorder="1" applyAlignment="1">
      <alignment horizontal="left" vertical="center" wrapText="1"/>
    </xf>
    <xf numFmtId="192" fontId="84" fillId="8" borderId="42" xfId="67" applyNumberFormat="1" applyFont="1" applyFill="1" applyBorder="1" applyAlignment="1">
      <alignment horizontal="center" vertical="center"/>
    </xf>
    <xf numFmtId="0" fontId="84" fillId="8" borderId="10" xfId="67" applyFont="1" applyFill="1" applyBorder="1"/>
    <xf numFmtId="0" fontId="84" fillId="8" borderId="18" xfId="67" applyFont="1" applyFill="1" applyBorder="1"/>
    <xf numFmtId="192" fontId="84" fillId="8" borderId="18" xfId="67" applyNumberFormat="1" applyFont="1" applyFill="1" applyBorder="1" applyAlignment="1">
      <alignment horizontal="center" vertical="center" wrapText="1"/>
    </xf>
    <xf numFmtId="190" fontId="84" fillId="8" borderId="12" xfId="67" applyNumberFormat="1" applyFont="1" applyFill="1" applyBorder="1" applyAlignment="1">
      <alignment vertical="center"/>
    </xf>
    <xf numFmtId="0" fontId="84" fillId="8" borderId="13" xfId="67" applyFont="1" applyFill="1" applyBorder="1"/>
    <xf numFmtId="0" fontId="84" fillId="8" borderId="35" xfId="67" applyFont="1" applyFill="1" applyBorder="1"/>
    <xf numFmtId="190" fontId="84" fillId="8" borderId="14" xfId="67" applyNumberFormat="1" applyFont="1" applyFill="1" applyBorder="1" applyAlignment="1">
      <alignment vertical="center"/>
    </xf>
    <xf numFmtId="0" fontId="84" fillId="0" borderId="51" xfId="67" applyFont="1" applyBorder="1"/>
    <xf numFmtId="0" fontId="84" fillId="0" borderId="35" xfId="67" applyFont="1" applyBorder="1"/>
    <xf numFmtId="0" fontId="84" fillId="0" borderId="52" xfId="67" applyFont="1" applyBorder="1"/>
    <xf numFmtId="190" fontId="84" fillId="0" borderId="53" xfId="67" applyNumberFormat="1" applyFont="1" applyBorder="1" applyAlignment="1">
      <alignment vertical="center"/>
    </xf>
    <xf numFmtId="0" fontId="84" fillId="0" borderId="13" xfId="67" applyFont="1" applyBorder="1"/>
    <xf numFmtId="192" fontId="84" fillId="0" borderId="35" xfId="67" applyNumberFormat="1" applyFont="1" applyBorder="1" applyAlignment="1">
      <alignment horizontal="center" vertical="center"/>
    </xf>
    <xf numFmtId="190" fontId="84" fillId="0" borderId="14" xfId="67" applyNumberFormat="1" applyFont="1" applyBorder="1" applyAlignment="1">
      <alignment vertical="center"/>
    </xf>
    <xf numFmtId="192" fontId="5" fillId="0" borderId="35" xfId="67" applyNumberFormat="1" applyFont="1" applyBorder="1" applyAlignment="1">
      <alignment horizontal="center" vertical="center" shrinkToFit="1"/>
    </xf>
    <xf numFmtId="192" fontId="84" fillId="0" borderId="45" xfId="67" applyNumberFormat="1" applyFont="1" applyBorder="1" applyAlignment="1">
      <alignment horizontal="center" vertical="center"/>
    </xf>
    <xf numFmtId="190" fontId="84" fillId="0" borderId="54" xfId="67" applyNumberFormat="1" applyFont="1" applyBorder="1" applyAlignment="1">
      <alignment vertical="center"/>
    </xf>
    <xf numFmtId="0" fontId="47" fillId="0" borderId="33" xfId="67" applyFont="1" applyBorder="1"/>
    <xf numFmtId="190" fontId="84" fillId="12" borderId="55" xfId="67" applyNumberFormat="1" applyFont="1" applyFill="1" applyBorder="1" applyAlignment="1">
      <alignment vertical="center"/>
    </xf>
    <xf numFmtId="190" fontId="84" fillId="0" borderId="55" xfId="67" applyNumberFormat="1" applyFont="1" applyBorder="1" applyAlignment="1">
      <alignment vertical="center"/>
    </xf>
    <xf numFmtId="0" fontId="32" fillId="0" borderId="33" xfId="67" applyFont="1" applyBorder="1"/>
    <xf numFmtId="190" fontId="42" fillId="0" borderId="55" xfId="67" applyNumberFormat="1" applyFont="1" applyBorder="1" applyAlignment="1">
      <alignment vertical="center"/>
    </xf>
    <xf numFmtId="0" fontId="97" fillId="0" borderId="0" xfId="67" applyFont="1"/>
    <xf numFmtId="0" fontId="98" fillId="0" borderId="0" xfId="67" applyFont="1"/>
    <xf numFmtId="192" fontId="42" fillId="0" borderId="0" xfId="67" applyNumberFormat="1" applyFont="1" applyAlignment="1">
      <alignment horizontal="center" vertical="center"/>
    </xf>
    <xf numFmtId="0" fontId="47" fillId="8" borderId="33" xfId="67" applyFont="1" applyFill="1" applyBorder="1"/>
    <xf numFmtId="49" fontId="70" fillId="8" borderId="18" xfId="67" applyNumberFormat="1" applyFont="1" applyFill="1" applyBorder="1" applyAlignment="1">
      <alignment horizontal="left" vertical="center" wrapText="1"/>
    </xf>
    <xf numFmtId="49" fontId="70" fillId="8" borderId="18" xfId="67" applyNumberFormat="1" applyFont="1" applyFill="1" applyBorder="1" applyAlignment="1">
      <alignment horizontal="center" vertical="center" wrapText="1"/>
    </xf>
    <xf numFmtId="179" fontId="54" fillId="8" borderId="18" xfId="67" applyNumberFormat="1" applyFont="1" applyFill="1" applyBorder="1" applyAlignment="1">
      <alignment horizontal="right" vertical="center" shrinkToFit="1"/>
    </xf>
    <xf numFmtId="0" fontId="99" fillId="0" borderId="0" xfId="67" applyFont="1" applyAlignment="1">
      <alignment vertical="center"/>
    </xf>
    <xf numFmtId="0" fontId="47" fillId="0" borderId="39" xfId="67" applyFont="1" applyBorder="1"/>
    <xf numFmtId="190" fontId="84" fillId="0" borderId="56" xfId="67" applyNumberFormat="1" applyFont="1" applyBorder="1" applyAlignment="1">
      <alignment vertical="center"/>
    </xf>
    <xf numFmtId="0" fontId="47" fillId="0" borderId="36" xfId="67" applyFont="1" applyBorder="1"/>
    <xf numFmtId="49" fontId="70" fillId="0" borderId="37" xfId="67" applyNumberFormat="1" applyFont="1" applyBorder="1" applyAlignment="1">
      <alignment horizontal="center" vertical="center" wrapText="1"/>
    </xf>
    <xf numFmtId="179" fontId="54" fillId="0" borderId="37" xfId="67" applyNumberFormat="1" applyFont="1" applyBorder="1" applyAlignment="1">
      <alignment horizontal="right" vertical="center" shrinkToFit="1"/>
    </xf>
    <xf numFmtId="190" fontId="84" fillId="0" borderId="57" xfId="67" applyNumberFormat="1" applyFont="1" applyBorder="1" applyAlignment="1">
      <alignment vertical="center"/>
    </xf>
    <xf numFmtId="0" fontId="84" fillId="0" borderId="44" xfId="67" applyFont="1" applyBorder="1" applyAlignment="1">
      <alignment horizontal="center" vertical="center"/>
    </xf>
    <xf numFmtId="179" fontId="54" fillId="0" borderId="33" xfId="67" applyNumberFormat="1" applyFont="1" applyBorder="1" applyAlignment="1">
      <alignment horizontal="right" vertical="center" shrinkToFit="1"/>
    </xf>
    <xf numFmtId="0" fontId="36" fillId="8" borderId="18" xfId="67" applyFont="1" applyFill="1" applyBorder="1" applyAlignment="1">
      <alignment horizontal="left" vertical="center" wrapText="1"/>
    </xf>
    <xf numFmtId="190" fontId="84" fillId="8" borderId="55" xfId="67" applyNumberFormat="1" applyFont="1" applyFill="1" applyBorder="1" applyAlignment="1">
      <alignment vertical="center"/>
    </xf>
    <xf numFmtId="190" fontId="36" fillId="0" borderId="55" xfId="67" applyNumberFormat="1" applyFont="1" applyBorder="1" applyAlignment="1">
      <alignment vertical="center"/>
    </xf>
    <xf numFmtId="0" fontId="36" fillId="0" borderId="37" xfId="67" applyFont="1" applyBorder="1" applyAlignment="1">
      <alignment horizontal="left" vertical="center" wrapText="1"/>
    </xf>
    <xf numFmtId="192" fontId="36" fillId="0" borderId="37" xfId="67" applyNumberFormat="1" applyFont="1" applyBorder="1" applyAlignment="1">
      <alignment horizontal="center" vertical="center"/>
    </xf>
    <xf numFmtId="49" fontId="100" fillId="0" borderId="35" xfId="67" applyNumberFormat="1" applyFont="1" applyBorder="1" applyAlignment="1">
      <alignment horizontal="left" vertical="center" wrapText="1"/>
    </xf>
    <xf numFmtId="49" fontId="100" fillId="0" borderId="35" xfId="67" applyNumberFormat="1" applyFont="1" applyBorder="1" applyAlignment="1">
      <alignment horizontal="center" vertical="center" wrapText="1"/>
    </xf>
    <xf numFmtId="179" fontId="101" fillId="0" borderId="35" xfId="67" applyNumberFormat="1" applyFont="1" applyBorder="1" applyAlignment="1">
      <alignment horizontal="right" vertical="center" shrinkToFit="1"/>
    </xf>
    <xf numFmtId="179" fontId="101" fillId="0" borderId="33" xfId="67" applyNumberFormat="1" applyFont="1" applyBorder="1" applyAlignment="1">
      <alignment horizontal="right" vertical="center" shrinkToFit="1"/>
    </xf>
    <xf numFmtId="0" fontId="47" fillId="0" borderId="58" xfId="67" applyFont="1" applyBorder="1"/>
    <xf numFmtId="49" fontId="70" fillId="0" borderId="59" xfId="67" applyNumberFormat="1" applyFont="1" applyBorder="1" applyAlignment="1">
      <alignment horizontal="left" vertical="center" wrapText="1"/>
    </xf>
    <xf numFmtId="49" fontId="70" fillId="0" borderId="59" xfId="67" applyNumberFormat="1" applyFont="1" applyBorder="1" applyAlignment="1">
      <alignment horizontal="center" vertical="center" wrapText="1"/>
    </xf>
    <xf numFmtId="179" fontId="54" fillId="0" borderId="59" xfId="67" applyNumberFormat="1" applyFont="1" applyBorder="1" applyAlignment="1">
      <alignment horizontal="right" vertical="center" shrinkToFit="1"/>
    </xf>
    <xf numFmtId="0" fontId="36" fillId="0" borderId="59" xfId="67" applyFont="1" applyBorder="1" applyAlignment="1">
      <alignment horizontal="left" vertical="center" wrapText="1"/>
    </xf>
    <xf numFmtId="192" fontId="36" fillId="0" borderId="59" xfId="67" applyNumberFormat="1" applyFont="1" applyBorder="1" applyAlignment="1">
      <alignment horizontal="center" vertical="center"/>
    </xf>
    <xf numFmtId="190" fontId="84" fillId="0" borderId="60" xfId="67" applyNumberFormat="1" applyFont="1" applyBorder="1" applyAlignment="1">
      <alignment vertical="center"/>
    </xf>
    <xf numFmtId="179" fontId="54" fillId="0" borderId="0" xfId="67" applyNumberFormat="1" applyFont="1" applyAlignment="1">
      <alignment horizontal="right" vertical="center" shrinkToFit="1"/>
    </xf>
    <xf numFmtId="0" fontId="36" fillId="8" borderId="0" xfId="67" applyFont="1" applyFill="1" applyAlignment="1">
      <alignment horizontal="left" vertical="center" wrapText="1"/>
    </xf>
    <xf numFmtId="192" fontId="36" fillId="8" borderId="0" xfId="67" applyNumberFormat="1" applyFont="1" applyFill="1" applyAlignment="1">
      <alignment horizontal="center" vertical="center"/>
    </xf>
    <xf numFmtId="0" fontId="36" fillId="0" borderId="0" xfId="67" applyFont="1" applyAlignment="1">
      <alignment horizontal="left" vertical="center" wrapText="1"/>
    </xf>
    <xf numFmtId="192" fontId="36" fillId="0" borderId="0" xfId="67" applyNumberFormat="1" applyFont="1" applyAlignment="1">
      <alignment horizontal="center" vertical="center"/>
    </xf>
    <xf numFmtId="0" fontId="84" fillId="0" borderId="10" xfId="67" applyFont="1" applyBorder="1" applyAlignment="1">
      <alignment horizontal="center" vertical="center"/>
    </xf>
    <xf numFmtId="179" fontId="54" fillId="0" borderId="10" xfId="67" applyNumberFormat="1" applyFont="1" applyBorder="1" applyAlignment="1">
      <alignment horizontal="right" vertical="center" shrinkToFit="1"/>
    </xf>
    <xf numFmtId="190" fontId="18" fillId="0" borderId="0" xfId="67" applyNumberFormat="1" applyFont="1"/>
    <xf numFmtId="49" fontId="100" fillId="0" borderId="18" xfId="67" applyNumberFormat="1" applyFont="1" applyBorder="1" applyAlignment="1">
      <alignment horizontal="left" vertical="center" wrapText="1"/>
    </xf>
    <xf numFmtId="49" fontId="100" fillId="0" borderId="18" xfId="67" applyNumberFormat="1" applyFont="1" applyBorder="1" applyAlignment="1">
      <alignment horizontal="center" vertical="center" wrapText="1"/>
    </xf>
    <xf numFmtId="179" fontId="101" fillId="0" borderId="18" xfId="67" applyNumberFormat="1" applyFont="1" applyBorder="1" applyAlignment="1">
      <alignment horizontal="right" vertical="center" shrinkToFit="1"/>
    </xf>
    <xf numFmtId="179" fontId="101" fillId="0" borderId="10" xfId="67" applyNumberFormat="1" applyFont="1" applyBorder="1" applyAlignment="1">
      <alignment horizontal="right" vertical="center" shrinkToFit="1"/>
    </xf>
    <xf numFmtId="49" fontId="36" fillId="0" borderId="18" xfId="67" applyNumberFormat="1" applyFont="1" applyBorder="1" applyAlignment="1">
      <alignment horizontal="left" vertical="center" wrapText="1"/>
    </xf>
    <xf numFmtId="0" fontId="102" fillId="0" borderId="0" xfId="69" applyFont="1" applyAlignment="1">
      <alignment horizontal="center" vertical="center"/>
    </xf>
    <xf numFmtId="0" fontId="102" fillId="0" borderId="0" xfId="69" applyFont="1">
      <alignment vertical="center"/>
    </xf>
    <xf numFmtId="0" fontId="78" fillId="0" borderId="0" xfId="69">
      <alignment vertical="center"/>
    </xf>
    <xf numFmtId="0" fontId="103" fillId="0" borderId="44" xfId="69" applyFont="1" applyBorder="1">
      <alignment vertical="center"/>
    </xf>
    <xf numFmtId="0" fontId="103" fillId="12" borderId="45" xfId="69" applyFont="1" applyFill="1" applyBorder="1">
      <alignment vertical="center"/>
    </xf>
    <xf numFmtId="0" fontId="103" fillId="12" borderId="50" xfId="69" applyFont="1" applyFill="1" applyBorder="1" applyAlignment="1">
      <alignment vertical="center" wrapText="1"/>
    </xf>
    <xf numFmtId="0" fontId="103" fillId="12" borderId="50" xfId="69" applyFont="1" applyFill="1" applyBorder="1" applyAlignment="1">
      <alignment horizontal="center" vertical="center" wrapText="1"/>
    </xf>
    <xf numFmtId="0" fontId="103" fillId="0" borderId="46" xfId="69" applyFont="1" applyBorder="1">
      <alignment vertical="center"/>
    </xf>
    <xf numFmtId="194" fontId="103" fillId="0" borderId="33" xfId="69" applyNumberFormat="1" applyFont="1" applyBorder="1">
      <alignment vertical="center"/>
    </xf>
    <xf numFmtId="0" fontId="103" fillId="0" borderId="18" xfId="69" applyFont="1" applyBorder="1">
      <alignment vertical="center"/>
    </xf>
    <xf numFmtId="0" fontId="103" fillId="0" borderId="12" xfId="69" applyFont="1" applyBorder="1">
      <alignment vertical="center"/>
    </xf>
    <xf numFmtId="0" fontId="103" fillId="0" borderId="34" xfId="69" applyFont="1" applyBorder="1">
      <alignment vertical="center"/>
    </xf>
    <xf numFmtId="0" fontId="103" fillId="12" borderId="18" xfId="69" applyFont="1" applyFill="1" applyBorder="1">
      <alignment vertical="center"/>
    </xf>
    <xf numFmtId="0" fontId="103" fillId="0" borderId="33" xfId="69" applyFont="1" applyBorder="1">
      <alignment vertical="center"/>
    </xf>
    <xf numFmtId="0" fontId="103" fillId="0" borderId="36" xfId="69" applyFont="1" applyBorder="1">
      <alignment vertical="center"/>
    </xf>
    <xf numFmtId="0" fontId="103" fillId="12" borderId="37" xfId="69" applyFont="1" applyFill="1" applyBorder="1">
      <alignment vertical="center"/>
    </xf>
    <xf numFmtId="0" fontId="103" fillId="0" borderId="37" xfId="69" applyFont="1" applyBorder="1">
      <alignment vertical="center"/>
    </xf>
    <xf numFmtId="195" fontId="103" fillId="0" borderId="37" xfId="69" applyNumberFormat="1" applyFont="1" applyBorder="1">
      <alignment vertical="center"/>
    </xf>
    <xf numFmtId="0" fontId="103" fillId="0" borderId="38" xfId="69" applyFont="1" applyBorder="1">
      <alignment vertical="center"/>
    </xf>
    <xf numFmtId="0" fontId="103" fillId="0" borderId="0" xfId="69" applyFont="1">
      <alignment vertical="center"/>
    </xf>
    <xf numFmtId="0" fontId="103" fillId="12" borderId="0" xfId="69" applyFont="1" applyFill="1">
      <alignment vertical="center"/>
    </xf>
    <xf numFmtId="0" fontId="104" fillId="0" borderId="0" xfId="69" applyFont="1">
      <alignment vertical="center"/>
    </xf>
    <xf numFmtId="0" fontId="104" fillId="12" borderId="0" xfId="69" applyFont="1" applyFill="1">
      <alignment vertical="center"/>
    </xf>
    <xf numFmtId="0" fontId="78" fillId="12" borderId="0" xfId="69" applyFill="1">
      <alignment vertical="center"/>
    </xf>
    <xf numFmtId="190" fontId="5" fillId="7" borderId="0" xfId="67" applyNumberFormat="1" applyFont="1" applyFill="1" applyAlignment="1">
      <alignment vertical="center" shrinkToFit="1"/>
    </xf>
    <xf numFmtId="190" fontId="84" fillId="7" borderId="0" xfId="67" applyNumberFormat="1" applyFont="1" applyFill="1"/>
    <xf numFmtId="179" fontId="42" fillId="0" borderId="18" xfId="67" applyNumberFormat="1" applyFont="1" applyBorder="1" applyAlignment="1">
      <alignment horizontal="left" vertical="center" wrapText="1" shrinkToFit="1"/>
    </xf>
    <xf numFmtId="0" fontId="42" fillId="0" borderId="18" xfId="67" quotePrefix="1" applyFont="1" applyBorder="1" applyAlignment="1">
      <alignment horizontal="left" vertical="center" wrapText="1" shrinkToFit="1"/>
    </xf>
    <xf numFmtId="179" fontId="5" fillId="0" borderId="18" xfId="67" applyNumberFormat="1" applyFont="1" applyFill="1" applyBorder="1" applyAlignment="1">
      <alignment horizontal="left" vertical="center" shrinkToFit="1"/>
    </xf>
    <xf numFmtId="179" fontId="36" fillId="0" borderId="18" xfId="67" applyNumberFormat="1" applyFont="1" applyFill="1" applyBorder="1" applyAlignment="1">
      <alignment horizontal="left" vertical="center" shrinkToFit="1"/>
    </xf>
    <xf numFmtId="179" fontId="5" fillId="0" borderId="18" xfId="67" applyNumberFormat="1" applyFont="1" applyFill="1" applyBorder="1" applyAlignment="1">
      <alignment horizontal="center" vertical="center" shrinkToFit="1"/>
    </xf>
    <xf numFmtId="0" fontId="84" fillId="0" borderId="0" xfId="67" applyFont="1" applyBorder="1" applyAlignment="1">
      <alignment horizontal="left" vertical="center" wrapText="1"/>
    </xf>
    <xf numFmtId="179" fontId="36" fillId="0" borderId="18" xfId="67" applyNumberFormat="1" applyFont="1" applyFill="1" applyBorder="1" applyAlignment="1">
      <alignment horizontal="left" vertical="center" wrapText="1" shrinkToFit="1"/>
    </xf>
    <xf numFmtId="0" fontId="36" fillId="0" borderId="18" xfId="67" quotePrefix="1" applyFont="1" applyFill="1" applyBorder="1" applyAlignment="1">
      <alignment horizontal="left" vertical="center" wrapText="1" shrinkToFit="1"/>
    </xf>
    <xf numFmtId="0" fontId="36" fillId="0" borderId="18" xfId="67" quotePrefix="1" applyFont="1" applyFill="1" applyBorder="1" applyAlignment="1">
      <alignment horizontal="center" vertical="center" wrapText="1" shrinkToFit="1"/>
    </xf>
    <xf numFmtId="190" fontId="5" fillId="14" borderId="0" xfId="67" applyNumberFormat="1" applyFont="1" applyFill="1" applyAlignment="1">
      <alignment vertical="center" shrinkToFit="1"/>
    </xf>
    <xf numFmtId="0" fontId="84" fillId="0" borderId="18" xfId="67" applyFont="1" applyFill="1" applyBorder="1" applyAlignment="1">
      <alignment horizontal="left" vertical="center" wrapText="1"/>
    </xf>
    <xf numFmtId="0" fontId="42" fillId="0" borderId="18" xfId="67" applyFont="1" applyFill="1" applyBorder="1" applyAlignment="1">
      <alignment horizontal="left" vertical="center" wrapText="1"/>
    </xf>
    <xf numFmtId="192" fontId="42" fillId="0" borderId="18" xfId="67" applyNumberFormat="1" applyFont="1" applyFill="1" applyBorder="1" applyAlignment="1">
      <alignment horizontal="center" vertical="center"/>
    </xf>
    <xf numFmtId="179" fontId="83" fillId="0" borderId="18" xfId="67" applyNumberFormat="1" applyFont="1" applyFill="1" applyBorder="1" applyAlignment="1">
      <alignment horizontal="left" vertical="center" wrapText="1" shrinkToFit="1"/>
    </xf>
    <xf numFmtId="0" fontId="5" fillId="0" borderId="18" xfId="67" quotePrefix="1" applyFont="1" applyFill="1" applyBorder="1" applyAlignment="1">
      <alignment horizontal="left" vertical="center" wrapText="1" shrinkToFit="1"/>
    </xf>
    <xf numFmtId="0" fontId="5" fillId="0" borderId="18" xfId="67" applyFont="1" applyFill="1" applyBorder="1" applyAlignment="1">
      <alignment horizontal="center" vertical="center" shrinkToFit="1"/>
    </xf>
    <xf numFmtId="179" fontId="84" fillId="0" borderId="18" xfId="67" applyNumberFormat="1" applyFont="1" applyFill="1" applyBorder="1" applyAlignment="1">
      <alignment horizontal="left" vertical="center" wrapText="1" shrinkToFit="1"/>
    </xf>
    <xf numFmtId="0" fontId="84" fillId="0" borderId="18" xfId="67" quotePrefix="1" applyFont="1" applyFill="1" applyBorder="1" applyAlignment="1">
      <alignment horizontal="left" vertical="center" wrapText="1" shrinkToFit="1"/>
    </xf>
    <xf numFmtId="0" fontId="84" fillId="0" borderId="18" xfId="67" applyFont="1" applyFill="1" applyBorder="1" applyAlignment="1">
      <alignment horizontal="center" vertical="center" shrinkToFit="1"/>
    </xf>
    <xf numFmtId="0" fontId="5" fillId="0" borderId="18" xfId="67" applyFont="1" applyFill="1" applyBorder="1" applyAlignment="1">
      <alignment horizontal="left" vertical="center" wrapText="1" shrinkToFit="1"/>
    </xf>
    <xf numFmtId="179" fontId="84" fillId="0" borderId="18" xfId="67" applyNumberFormat="1" applyFont="1" applyFill="1" applyBorder="1" applyAlignment="1">
      <alignment horizontal="left" vertical="center" shrinkToFit="1"/>
    </xf>
    <xf numFmtId="0" fontId="84" fillId="0" borderId="18" xfId="67" quotePrefix="1" applyFont="1" applyFill="1" applyBorder="1" applyAlignment="1">
      <alignment horizontal="center" vertical="center" wrapText="1" shrinkToFit="1"/>
    </xf>
    <xf numFmtId="0" fontId="36" fillId="0" borderId="18" xfId="67" applyFont="1" applyFill="1" applyBorder="1" applyAlignment="1">
      <alignment horizontal="left" vertical="center" wrapText="1" shrinkToFit="1"/>
    </xf>
    <xf numFmtId="0" fontId="36" fillId="0" borderId="18" xfId="67" applyFont="1" applyFill="1" applyBorder="1" applyAlignment="1">
      <alignment horizontal="center" vertical="center" shrinkToFit="1"/>
    </xf>
    <xf numFmtId="190" fontId="5" fillId="0" borderId="18" xfId="67" applyNumberFormat="1" applyFont="1" applyFill="1" applyBorder="1" applyAlignment="1">
      <alignment horizontal="center" vertical="center" shrinkToFit="1"/>
    </xf>
    <xf numFmtId="190" fontId="5" fillId="0" borderId="34" xfId="67" applyNumberFormat="1" applyFont="1" applyFill="1" applyBorder="1" applyAlignment="1">
      <alignment vertical="center" shrinkToFit="1"/>
    </xf>
    <xf numFmtId="0" fontId="84" fillId="0" borderId="18" xfId="67" applyFont="1" applyFill="1" applyBorder="1" applyAlignment="1">
      <alignment horizontal="left" vertical="center" wrapText="1" shrinkToFit="1"/>
    </xf>
    <xf numFmtId="179" fontId="42" fillId="0" borderId="18" xfId="67" applyNumberFormat="1" applyFont="1" applyFill="1" applyBorder="1" applyAlignment="1">
      <alignment horizontal="left" vertical="center" shrinkToFit="1"/>
    </xf>
    <xf numFmtId="0" fontId="42" fillId="0" borderId="18" xfId="67" applyFont="1" applyFill="1" applyBorder="1" applyAlignment="1">
      <alignment horizontal="left" wrapText="1"/>
    </xf>
    <xf numFmtId="0" fontId="42" fillId="0" borderId="18" xfId="67" applyFont="1" applyFill="1" applyBorder="1" applyAlignment="1">
      <alignment horizontal="center"/>
    </xf>
    <xf numFmtId="0" fontId="84" fillId="0" borderId="18" xfId="67" applyFont="1" applyFill="1" applyBorder="1" applyAlignment="1">
      <alignment horizontal="left" wrapText="1"/>
    </xf>
    <xf numFmtId="0" fontId="84" fillId="0" borderId="18" xfId="67" applyFont="1" applyFill="1" applyBorder="1" applyAlignment="1">
      <alignment horizontal="center"/>
    </xf>
    <xf numFmtId="0" fontId="84" fillId="0" borderId="18" xfId="67" applyFont="1" applyFill="1" applyBorder="1" applyAlignment="1">
      <alignment horizontal="left"/>
    </xf>
    <xf numFmtId="0" fontId="5" fillId="0" borderId="18" xfId="67" applyFont="1" applyFill="1" applyBorder="1" applyAlignment="1">
      <alignment horizontal="left" vertical="center" wrapText="1"/>
    </xf>
    <xf numFmtId="0" fontId="42" fillId="0" borderId="18" xfId="67" applyFont="1" applyFill="1" applyBorder="1" applyAlignment="1">
      <alignment horizontal="left" vertical="center" wrapText="1" shrinkToFit="1"/>
    </xf>
    <xf numFmtId="0" fontId="42" fillId="0" borderId="18" xfId="67" applyFont="1" applyFill="1" applyBorder="1" applyAlignment="1">
      <alignment horizontal="center" vertical="center" shrinkToFit="1"/>
    </xf>
    <xf numFmtId="179" fontId="5" fillId="0" borderId="37" xfId="67" applyNumberFormat="1" applyFont="1" applyFill="1" applyBorder="1" applyAlignment="1">
      <alignment horizontal="left" vertical="center" shrinkToFit="1"/>
    </xf>
    <xf numFmtId="0" fontId="5" fillId="0" borderId="37" xfId="67" applyFont="1" applyFill="1" applyBorder="1" applyAlignment="1">
      <alignment horizontal="left" vertical="center" wrapText="1" shrinkToFit="1"/>
    </xf>
    <xf numFmtId="191" fontId="5" fillId="0" borderId="37" xfId="67" applyNumberFormat="1" applyFont="1" applyFill="1" applyBorder="1" applyAlignment="1">
      <alignment horizontal="center" vertical="center" shrinkToFit="1"/>
    </xf>
    <xf numFmtId="190" fontId="42" fillId="0" borderId="18" xfId="67" applyNumberFormat="1" applyFont="1" applyFill="1" applyBorder="1" applyAlignment="1">
      <alignment horizontal="center" vertical="center"/>
    </xf>
    <xf numFmtId="0" fontId="84" fillId="0" borderId="0" xfId="67" applyFont="1" applyFill="1" applyAlignment="1">
      <alignment horizontal="left" vertical="center"/>
    </xf>
    <xf numFmtId="0" fontId="84" fillId="0" borderId="0" xfId="67" applyFont="1" applyFill="1" applyAlignment="1">
      <alignment horizontal="left" vertical="center" wrapText="1"/>
    </xf>
    <xf numFmtId="0" fontId="84" fillId="0" borderId="0" xfId="67" applyFont="1" applyFill="1" applyAlignment="1">
      <alignment horizontal="center" vertical="center"/>
    </xf>
    <xf numFmtId="0" fontId="36" fillId="0" borderId="18" xfId="67" applyFont="1" applyFill="1" applyBorder="1" applyAlignment="1">
      <alignment horizontal="left" vertical="center"/>
    </xf>
    <xf numFmtId="0" fontId="36" fillId="0" borderId="18" xfId="67" applyFont="1" applyFill="1" applyBorder="1" applyAlignment="1">
      <alignment horizontal="left" vertical="center" wrapText="1"/>
    </xf>
    <xf numFmtId="0" fontId="36" fillId="0" borderId="18" xfId="67" applyFont="1" applyFill="1" applyBorder="1" applyAlignment="1">
      <alignment horizontal="center" vertical="center"/>
    </xf>
    <xf numFmtId="0" fontId="42" fillId="0" borderId="18" xfId="67" applyFont="1" applyFill="1" applyBorder="1" applyAlignment="1">
      <alignment horizontal="left" vertical="center"/>
    </xf>
    <xf numFmtId="0" fontId="42" fillId="0" borderId="18" xfId="67" applyFont="1" applyBorder="1" applyAlignment="1">
      <alignment horizontal="left" vertical="center" shrinkToFit="1"/>
    </xf>
    <xf numFmtId="0" fontId="105" fillId="0" borderId="0" xfId="0" applyFont="1">
      <alignment vertical="center"/>
    </xf>
    <xf numFmtId="179" fontId="90" fillId="8" borderId="18" xfId="67" applyNumberFormat="1" applyFont="1" applyFill="1" applyBorder="1" applyAlignment="1">
      <alignment horizontal="left" vertical="center" wrapText="1" shrinkToFit="1"/>
    </xf>
    <xf numFmtId="0" fontId="42" fillId="8" borderId="18" xfId="67" applyFont="1" applyFill="1" applyBorder="1" applyAlignment="1">
      <alignment vertical="center" wrapText="1"/>
    </xf>
    <xf numFmtId="192" fontId="36" fillId="0" borderId="18" xfId="67" applyNumberFormat="1" applyFont="1" applyFill="1" applyBorder="1" applyAlignment="1">
      <alignment horizontal="center" vertical="center"/>
    </xf>
    <xf numFmtId="190" fontId="84" fillId="0" borderId="34" xfId="67" applyNumberFormat="1" applyFont="1" applyFill="1" applyBorder="1" applyAlignment="1">
      <alignment vertical="center"/>
    </xf>
    <xf numFmtId="0" fontId="42" fillId="0" borderId="18" xfId="67" quotePrefix="1" applyFont="1" applyFill="1" applyBorder="1" applyAlignment="1">
      <alignment horizontal="left" vertical="center" wrapText="1"/>
    </xf>
    <xf numFmtId="190" fontId="42" fillId="0" borderId="34" xfId="67" applyNumberFormat="1" applyFont="1" applyFill="1" applyBorder="1" applyAlignment="1">
      <alignment vertical="center"/>
    </xf>
    <xf numFmtId="179" fontId="90" fillId="0" borderId="18" xfId="67" applyNumberFormat="1" applyFont="1" applyBorder="1" applyAlignment="1">
      <alignment horizontal="right" vertical="center" shrinkToFit="1"/>
    </xf>
    <xf numFmtId="190" fontId="84" fillId="0" borderId="0" xfId="67" applyNumberFormat="1" applyFont="1" applyFill="1" applyAlignment="1">
      <alignment vertical="center"/>
    </xf>
    <xf numFmtId="190" fontId="5" fillId="0" borderId="0" xfId="67" applyNumberFormat="1" applyFont="1" applyFill="1" applyAlignment="1">
      <alignment vertical="center" shrinkToFit="1"/>
    </xf>
    <xf numFmtId="0" fontId="36" fillId="8" borderId="18" xfId="67" applyFont="1" applyFill="1" applyBorder="1" applyAlignment="1">
      <alignment horizontal="left" vertical="center"/>
    </xf>
    <xf numFmtId="0" fontId="84" fillId="0" borderId="18" xfId="67" applyFont="1" applyFill="1" applyBorder="1" applyAlignment="1">
      <alignment horizontal="left" vertical="center"/>
    </xf>
    <xf numFmtId="190" fontId="84" fillId="0" borderId="18" xfId="67" applyNumberFormat="1" applyFont="1" applyFill="1" applyBorder="1" applyAlignment="1">
      <alignment horizontal="center" vertical="center"/>
    </xf>
    <xf numFmtId="190" fontId="36" fillId="0" borderId="18" xfId="67" applyNumberFormat="1" applyFont="1" applyFill="1" applyBorder="1" applyAlignment="1">
      <alignment horizontal="center" vertical="center"/>
    </xf>
    <xf numFmtId="190" fontId="84" fillId="0" borderId="0" xfId="67" applyNumberFormat="1" applyFont="1" applyFill="1" applyAlignment="1">
      <alignment horizontal="center" vertical="center"/>
    </xf>
    <xf numFmtId="0" fontId="42" fillId="0" borderId="0" xfId="67" applyFont="1" applyFill="1" applyAlignment="1">
      <alignment horizontal="left" vertical="center" wrapText="1"/>
    </xf>
    <xf numFmtId="190" fontId="42" fillId="0" borderId="0" xfId="67" applyNumberFormat="1" applyFont="1" applyFill="1" applyAlignment="1">
      <alignment horizontal="center" vertical="center"/>
    </xf>
    <xf numFmtId="0" fontId="36" fillId="0" borderId="18" xfId="67" applyFont="1" applyFill="1" applyBorder="1" applyAlignment="1">
      <alignment horizontal="left" vertical="center" shrinkToFit="1"/>
    </xf>
    <xf numFmtId="49" fontId="70" fillId="0" borderId="0" xfId="67" applyNumberFormat="1" applyFont="1" applyBorder="1" applyAlignment="1">
      <alignment horizontal="center" vertical="center" shrinkToFit="1"/>
    </xf>
    <xf numFmtId="49" fontId="70" fillId="0" borderId="0" xfId="67" applyNumberFormat="1" applyFont="1" applyBorder="1" applyAlignment="1">
      <alignment horizontal="left" vertical="center" wrapText="1"/>
    </xf>
    <xf numFmtId="49" fontId="70" fillId="0" borderId="0" xfId="67" applyNumberFormat="1" applyFont="1" applyBorder="1" applyAlignment="1">
      <alignment horizontal="center" vertical="center" wrapText="1"/>
    </xf>
    <xf numFmtId="179" fontId="54" fillId="0" borderId="0" xfId="67" applyNumberFormat="1" applyFont="1" applyBorder="1" applyAlignment="1">
      <alignment horizontal="right" vertical="center" shrinkToFit="1"/>
    </xf>
    <xf numFmtId="190" fontId="84" fillId="0" borderId="66" xfId="67" applyNumberFormat="1" applyFont="1" applyBorder="1" applyAlignment="1">
      <alignment vertical="center"/>
    </xf>
    <xf numFmtId="0" fontId="32" fillId="0" borderId="63" xfId="67" applyFont="1" applyFill="1" applyBorder="1" applyAlignment="1">
      <alignment horizontal="left" vertical="center" wrapText="1"/>
    </xf>
    <xf numFmtId="0" fontId="11" fillId="0" borderId="64" xfId="67" applyFont="1" applyFill="1" applyBorder="1" applyAlignment="1">
      <alignment horizontal="center" vertical="center" wrapText="1"/>
    </xf>
    <xf numFmtId="179" fontId="33" fillId="0" borderId="64" xfId="67" applyNumberFormat="1" applyFont="1" applyFill="1" applyBorder="1" applyAlignment="1">
      <alignment vertical="center" shrinkToFit="1"/>
    </xf>
    <xf numFmtId="0" fontId="84" fillId="0" borderId="64" xfId="67" applyFont="1" applyFill="1" applyBorder="1"/>
    <xf numFmtId="190" fontId="84" fillId="0" borderId="65" xfId="67" applyNumberFormat="1" applyFont="1" applyFill="1" applyBorder="1" applyAlignment="1">
      <alignment vertical="center"/>
    </xf>
    <xf numFmtId="0" fontId="32" fillId="0" borderId="22" xfId="67" applyFont="1" applyFill="1" applyBorder="1" applyAlignment="1">
      <alignment horizontal="left" vertical="center" wrapText="1"/>
    </xf>
    <xf numFmtId="0" fontId="11" fillId="0" borderId="23" xfId="67" applyFont="1" applyFill="1" applyBorder="1" applyAlignment="1">
      <alignment horizontal="center" vertical="center" wrapText="1"/>
    </xf>
    <xf numFmtId="179" fontId="33" fillId="0" borderId="23" xfId="67" applyNumberFormat="1" applyFont="1" applyFill="1" applyBorder="1" applyAlignment="1">
      <alignment vertical="center" shrinkToFit="1"/>
    </xf>
    <xf numFmtId="0" fontId="84" fillId="0" borderId="23" xfId="67" applyFont="1" applyFill="1" applyBorder="1"/>
    <xf numFmtId="0" fontId="32" fillId="0" borderId="61" xfId="67" applyFont="1" applyFill="1" applyBorder="1" applyAlignment="1">
      <alignment horizontal="left" vertical="center" wrapText="1"/>
    </xf>
    <xf numFmtId="0" fontId="32" fillId="0" borderId="62" xfId="67" applyFont="1" applyFill="1" applyBorder="1" applyAlignment="1">
      <alignment horizontal="center" vertical="center" wrapText="1"/>
    </xf>
    <xf numFmtId="179" fontId="33" fillId="0" borderId="62" xfId="67" applyNumberFormat="1" applyFont="1" applyFill="1" applyBorder="1" applyAlignment="1">
      <alignment vertical="center" shrinkToFit="1"/>
    </xf>
    <xf numFmtId="0" fontId="84" fillId="0" borderId="62" xfId="67" applyFont="1" applyFill="1" applyBorder="1"/>
    <xf numFmtId="190" fontId="84" fillId="0" borderId="40" xfId="67" applyNumberFormat="1" applyFont="1" applyFill="1" applyBorder="1" applyAlignment="1">
      <alignment vertical="center"/>
    </xf>
    <xf numFmtId="0" fontId="32" fillId="0" borderId="25" xfId="67" applyFont="1" applyFill="1" applyBorder="1" applyAlignment="1">
      <alignment horizontal="left" vertical="center" wrapText="1"/>
    </xf>
    <xf numFmtId="0" fontId="11" fillId="0" borderId="26" xfId="67" applyFont="1" applyFill="1" applyBorder="1" applyAlignment="1">
      <alignment horizontal="center" vertical="center" wrapText="1"/>
    </xf>
    <xf numFmtId="179" fontId="33" fillId="0" borderId="26" xfId="67" applyNumberFormat="1" applyFont="1" applyFill="1" applyBorder="1" applyAlignment="1">
      <alignment vertical="center" shrinkToFit="1"/>
    </xf>
    <xf numFmtId="0" fontId="84" fillId="0" borderId="26" xfId="67" applyFont="1" applyFill="1" applyBorder="1"/>
    <xf numFmtId="190" fontId="84" fillId="0" borderId="38" xfId="67" applyNumberFormat="1" applyFont="1" applyFill="1" applyBorder="1" applyAlignment="1">
      <alignment vertical="center"/>
    </xf>
    <xf numFmtId="0" fontId="42" fillId="0" borderId="35" xfId="67" applyFont="1" applyBorder="1" applyAlignment="1">
      <alignment horizontal="left" vertical="center"/>
    </xf>
    <xf numFmtId="0" fontId="42" fillId="0" borderId="35" xfId="67" applyFont="1" applyBorder="1" applyAlignment="1">
      <alignment horizontal="left" vertical="center" wrapText="1"/>
    </xf>
    <xf numFmtId="190" fontId="42" fillId="0" borderId="35" xfId="67" applyNumberFormat="1" applyFont="1" applyBorder="1" applyAlignment="1">
      <alignment horizontal="center" vertical="center"/>
    </xf>
    <xf numFmtId="0" fontId="84" fillId="0" borderId="18" xfId="67" applyFont="1" applyFill="1" applyBorder="1" applyAlignment="1">
      <alignment horizontal="center" vertical="center"/>
    </xf>
    <xf numFmtId="0" fontId="36" fillId="11" borderId="18" xfId="67" applyFont="1" applyFill="1" applyBorder="1" applyAlignment="1">
      <alignment horizontal="left" vertical="center"/>
    </xf>
    <xf numFmtId="0" fontId="84" fillId="8" borderId="0" xfId="67" applyFont="1" applyFill="1" applyAlignment="1">
      <alignment horizontal="center" vertical="center"/>
    </xf>
    <xf numFmtId="0" fontId="106" fillId="0" borderId="0" xfId="67" applyFont="1"/>
    <xf numFmtId="49" fontId="107" fillId="0" borderId="18" xfId="67" applyNumberFormat="1" applyFont="1" applyBorder="1" applyAlignment="1">
      <alignment horizontal="left" vertical="center" wrapText="1"/>
    </xf>
    <xf numFmtId="0" fontId="36" fillId="2" borderId="18" xfId="67" applyFont="1" applyFill="1" applyBorder="1" applyAlignment="1">
      <alignment horizontal="left" vertical="center" wrapText="1"/>
    </xf>
    <xf numFmtId="0" fontId="5" fillId="8" borderId="33" xfId="67" applyFont="1" applyFill="1" applyBorder="1" applyAlignment="1">
      <alignment horizontal="right" vertical="center" shrinkToFit="1"/>
    </xf>
    <xf numFmtId="49" fontId="87" fillId="8" borderId="18" xfId="67" applyNumberFormat="1" applyFont="1" applyFill="1" applyBorder="1" applyAlignment="1">
      <alignment horizontal="left" vertical="center" wrapText="1"/>
    </xf>
    <xf numFmtId="49" fontId="87" fillId="8" borderId="18" xfId="67" applyNumberFormat="1" applyFont="1" applyFill="1" applyBorder="1" applyAlignment="1">
      <alignment horizontal="center" vertical="center" wrapText="1"/>
    </xf>
    <xf numFmtId="179" fontId="88" fillId="8" borderId="18" xfId="67" applyNumberFormat="1" applyFont="1" applyFill="1" applyBorder="1" applyAlignment="1">
      <alignment horizontal="right" vertical="center" shrinkToFit="1"/>
    </xf>
    <xf numFmtId="0" fontId="36" fillId="8" borderId="18" xfId="67" applyFont="1" applyFill="1" applyBorder="1" applyAlignment="1">
      <alignment horizontal="center" vertical="center"/>
    </xf>
    <xf numFmtId="179" fontId="88" fillId="0" borderId="18" xfId="67" applyNumberFormat="1" applyFont="1" applyFill="1" applyBorder="1" applyAlignment="1">
      <alignment horizontal="right" vertical="center" shrinkToFit="1"/>
    </xf>
    <xf numFmtId="0" fontId="84" fillId="0" borderId="18" xfId="67" quotePrefix="1" applyFont="1" applyFill="1" applyBorder="1" applyAlignment="1">
      <alignment horizontal="left" vertical="center" wrapText="1"/>
    </xf>
    <xf numFmtId="0" fontId="84" fillId="5" borderId="18" xfId="67" applyFont="1" applyFill="1" applyBorder="1" applyAlignment="1">
      <alignment horizontal="left" vertical="center" wrapText="1"/>
    </xf>
    <xf numFmtId="0" fontId="38" fillId="0" borderId="23" xfId="0" applyFont="1" applyFill="1" applyBorder="1" applyAlignment="1">
      <alignment vertical="center" wrapText="1"/>
    </xf>
    <xf numFmtId="0" fontId="20" fillId="0" borderId="0" xfId="0" applyFont="1" applyFill="1">
      <alignment vertical="center"/>
    </xf>
    <xf numFmtId="0" fontId="0" fillId="0" borderId="0" xfId="0" applyFill="1">
      <alignment vertical="center"/>
    </xf>
    <xf numFmtId="176" fontId="8" fillId="0" borderId="0" xfId="0" applyNumberFormat="1" applyFont="1" applyAlignment="1">
      <alignment horizontal="center" vertical="center"/>
    </xf>
    <xf numFmtId="176" fontId="5" fillId="0" borderId="1" xfId="0" applyNumberFormat="1" applyFont="1" applyBorder="1" applyAlignment="1">
      <alignment vertical="center" shrinkToFi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/>
    </xf>
    <xf numFmtId="176" fontId="35" fillId="0" borderId="0" xfId="0" applyNumberFormat="1" applyFont="1" applyFill="1" applyAlignment="1">
      <alignment horizontal="center" vertical="center"/>
    </xf>
    <xf numFmtId="179" fontId="11" fillId="0" borderId="5" xfId="0" applyNumberFormat="1" applyFont="1" applyFill="1" applyBorder="1" applyAlignment="1">
      <alignment horizontal="center" vertical="center" wrapText="1"/>
    </xf>
    <xf numFmtId="179" fontId="11" fillId="0" borderId="6" xfId="0" applyNumberFormat="1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8" fillId="0" borderId="0" xfId="0" applyFont="1" applyFill="1" applyAlignment="1">
      <alignment horizontal="center" vertical="center"/>
    </xf>
    <xf numFmtId="0" fontId="37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177" fontId="36" fillId="0" borderId="1" xfId="0" applyNumberFormat="1" applyFont="1" applyFill="1" applyBorder="1" applyAlignment="1">
      <alignment horizontal="left" vertical="center"/>
    </xf>
    <xf numFmtId="177" fontId="5" fillId="0" borderId="1" xfId="0" applyNumberFormat="1" applyFont="1" applyFill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3" fillId="0" borderId="2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5" fillId="0" borderId="2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178" fontId="10" fillId="0" borderId="3" xfId="0" applyNumberFormat="1" applyFont="1" applyFill="1" applyBorder="1">
      <alignment vertical="center"/>
    </xf>
    <xf numFmtId="178" fontId="10" fillId="0" borderId="4" xfId="0" applyNumberFormat="1" applyFont="1" applyFill="1" applyBorder="1">
      <alignment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 wrapText="1"/>
    </xf>
    <xf numFmtId="189" fontId="11" fillId="0" borderId="5" xfId="0" applyNumberFormat="1" applyFont="1" applyFill="1" applyBorder="1" applyAlignment="1">
      <alignment horizontal="center" vertical="center"/>
    </xf>
    <xf numFmtId="189" fontId="11" fillId="0" borderId="6" xfId="0" applyNumberFormat="1" applyFont="1" applyFill="1" applyBorder="1" applyAlignment="1">
      <alignment horizontal="center" vertical="center"/>
    </xf>
    <xf numFmtId="188" fontId="32" fillId="0" borderId="5" xfId="0" applyNumberFormat="1" applyFont="1" applyFill="1" applyBorder="1" applyAlignment="1">
      <alignment horizontal="center" vertical="center"/>
    </xf>
    <xf numFmtId="188" fontId="32" fillId="0" borderId="6" xfId="0" applyNumberFormat="1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5" fillId="0" borderId="29" xfId="67" applyFont="1" applyBorder="1" applyAlignment="1">
      <alignment horizontal="center" vertical="center" wrapText="1"/>
    </xf>
    <xf numFmtId="0" fontId="5" fillId="0" borderId="30" xfId="67" applyFont="1" applyBorder="1" applyAlignment="1">
      <alignment horizontal="center" vertical="center" wrapText="1"/>
    </xf>
    <xf numFmtId="0" fontId="5" fillId="0" borderId="33" xfId="67" applyFont="1" applyBorder="1" applyAlignment="1">
      <alignment horizontal="center" vertical="center" wrapText="1"/>
    </xf>
    <xf numFmtId="0" fontId="5" fillId="0" borderId="18" xfId="67" applyFont="1" applyBorder="1" applyAlignment="1">
      <alignment horizontal="center" vertical="center" wrapText="1"/>
    </xf>
    <xf numFmtId="0" fontId="5" fillId="0" borderId="33" xfId="67" applyFont="1" applyBorder="1" applyAlignment="1">
      <alignment horizontal="left" vertical="center" wrapText="1"/>
    </xf>
    <xf numFmtId="0" fontId="5" fillId="0" borderId="18" xfId="67" applyFont="1" applyBorder="1" applyAlignment="1">
      <alignment horizontal="left" vertical="center" wrapText="1"/>
    </xf>
    <xf numFmtId="0" fontId="5" fillId="0" borderId="18" xfId="67" applyFont="1" applyBorder="1" applyAlignment="1">
      <alignment horizontal="left" vertical="center" shrinkToFit="1"/>
    </xf>
    <xf numFmtId="0" fontId="5" fillId="0" borderId="44" xfId="67" applyFont="1" applyBorder="1" applyAlignment="1">
      <alignment horizontal="center" vertical="center" wrapText="1"/>
    </xf>
    <xf numFmtId="0" fontId="5" fillId="0" borderId="45" xfId="67" applyFont="1" applyBorder="1" applyAlignment="1">
      <alignment horizontal="center" vertical="center" wrapText="1"/>
    </xf>
    <xf numFmtId="0" fontId="5" fillId="0" borderId="39" xfId="67" applyFont="1" applyBorder="1" applyAlignment="1">
      <alignment horizontal="left" vertical="center" wrapText="1"/>
    </xf>
    <xf numFmtId="0" fontId="5" fillId="0" borderId="35" xfId="67" applyFont="1" applyBorder="1" applyAlignment="1">
      <alignment horizontal="left" vertical="center" wrapText="1"/>
    </xf>
    <xf numFmtId="0" fontId="5" fillId="0" borderId="35" xfId="67" applyFont="1" applyBorder="1" applyAlignment="1">
      <alignment horizontal="left" vertical="center" shrinkToFit="1"/>
    </xf>
    <xf numFmtId="0" fontId="102" fillId="0" borderId="0" xfId="69" applyFont="1" applyAlignment="1">
      <alignment horizontal="center" vertical="center"/>
    </xf>
    <xf numFmtId="49" fontId="70" fillId="15" borderId="33" xfId="67" applyNumberFormat="1" applyFont="1" applyFill="1" applyBorder="1" applyAlignment="1">
      <alignment horizontal="center" vertical="center" shrinkToFit="1"/>
    </xf>
    <xf numFmtId="49" fontId="70" fillId="15" borderId="18" xfId="67" applyNumberFormat="1" applyFont="1" applyFill="1" applyBorder="1" applyAlignment="1">
      <alignment horizontal="left" vertical="center" wrapText="1"/>
    </xf>
    <xf numFmtId="49" fontId="70" fillId="15" borderId="18" xfId="67" applyNumberFormat="1" applyFont="1" applyFill="1" applyBorder="1" applyAlignment="1">
      <alignment horizontal="center" vertical="center" wrapText="1"/>
    </xf>
    <xf numFmtId="179" fontId="54" fillId="15" borderId="18" xfId="67" applyNumberFormat="1" applyFont="1" applyFill="1" applyBorder="1" applyAlignment="1">
      <alignment horizontal="right" vertical="center" shrinkToFit="1"/>
    </xf>
    <xf numFmtId="0" fontId="84" fillId="15" borderId="18" xfId="67" applyFont="1" applyFill="1" applyBorder="1" applyAlignment="1">
      <alignment horizontal="left" vertical="center" wrapText="1"/>
    </xf>
    <xf numFmtId="190" fontId="84" fillId="15" borderId="18" xfId="67" applyNumberFormat="1" applyFont="1" applyFill="1" applyBorder="1" applyAlignment="1">
      <alignment horizontal="center" vertical="center"/>
    </xf>
    <xf numFmtId="190" fontId="84" fillId="15" borderId="34" xfId="67" applyNumberFormat="1" applyFont="1" applyFill="1" applyBorder="1" applyAlignment="1">
      <alignment vertical="center"/>
    </xf>
    <xf numFmtId="190" fontId="84" fillId="15" borderId="0" xfId="67" applyNumberFormat="1" applyFont="1" applyFill="1" applyAlignment="1">
      <alignment vertical="center"/>
    </xf>
    <xf numFmtId="0" fontId="72" fillId="0" borderId="7" xfId="0" applyFont="1" applyBorder="1" applyAlignment="1">
      <alignment vertical="center" wrapText="1"/>
    </xf>
    <xf numFmtId="0" fontId="32" fillId="0" borderId="7" xfId="0" applyFont="1" applyFill="1" applyBorder="1" applyAlignment="1">
      <alignment horizontal="center" vertical="center" shrinkToFit="1"/>
    </xf>
    <xf numFmtId="0" fontId="32" fillId="0" borderId="7" xfId="0" applyFont="1" applyFill="1" applyBorder="1" applyAlignment="1">
      <alignment horizontal="left" vertical="center" wrapText="1"/>
    </xf>
    <xf numFmtId="0" fontId="32" fillId="0" borderId="7" xfId="0" applyFont="1" applyFill="1" applyBorder="1" applyAlignment="1">
      <alignment horizontal="center" vertical="center" wrapText="1"/>
    </xf>
    <xf numFmtId="0" fontId="32" fillId="0" borderId="7" xfId="0" applyFont="1" applyFill="1" applyBorder="1" applyAlignment="1">
      <alignment vertical="center" wrapText="1"/>
    </xf>
    <xf numFmtId="0" fontId="16" fillId="0" borderId="22" xfId="0" applyFont="1" applyFill="1" applyBorder="1" applyAlignment="1">
      <alignment vertical="center" wrapText="1"/>
    </xf>
    <xf numFmtId="0" fontId="31" fillId="0" borderId="23" xfId="0" applyFont="1" applyFill="1" applyBorder="1" applyAlignment="1">
      <alignment vertical="center" wrapText="1"/>
    </xf>
    <xf numFmtId="0" fontId="31" fillId="0" borderId="24" xfId="0" applyFont="1" applyFill="1" applyBorder="1" applyAlignment="1">
      <alignment vertical="center" wrapText="1"/>
    </xf>
    <xf numFmtId="0" fontId="22" fillId="0" borderId="0" xfId="0" applyFont="1" applyFill="1">
      <alignment vertical="center"/>
    </xf>
    <xf numFmtId="179" fontId="14" fillId="0" borderId="7" xfId="0" applyNumberFormat="1" applyFont="1" applyFill="1" applyBorder="1" applyAlignment="1">
      <alignment vertical="center" shrinkToFit="1"/>
    </xf>
    <xf numFmtId="0" fontId="30" fillId="0" borderId="23" xfId="0" applyFont="1" applyFill="1" applyBorder="1" applyAlignment="1">
      <alignment vertical="center" wrapText="1"/>
    </xf>
    <xf numFmtId="0" fontId="30" fillId="0" borderId="24" xfId="0" applyFont="1" applyFill="1" applyBorder="1" applyAlignment="1">
      <alignment vertical="center" wrapText="1"/>
    </xf>
    <xf numFmtId="0" fontId="30" fillId="0" borderId="0" xfId="0" applyFont="1" applyFill="1">
      <alignment vertical="center"/>
    </xf>
    <xf numFmtId="0" fontId="77" fillId="0" borderId="7" xfId="0" applyFont="1" applyFill="1" applyBorder="1" applyAlignment="1">
      <alignment vertical="center" wrapText="1"/>
    </xf>
    <xf numFmtId="0" fontId="21" fillId="0" borderId="0" xfId="0" applyFont="1" applyFill="1">
      <alignment vertical="center"/>
    </xf>
    <xf numFmtId="0" fontId="22" fillId="0" borderId="23" xfId="0" applyFont="1" applyFill="1" applyBorder="1" applyAlignment="1">
      <alignment vertical="center" wrapText="1"/>
    </xf>
    <xf numFmtId="0" fontId="38" fillId="0" borderId="0" xfId="0" applyFont="1" applyFill="1" applyBorder="1" applyAlignment="1">
      <alignment horizontal="left" vertical="center" wrapText="1"/>
    </xf>
  </cellXfs>
  <cellStyles count="70">
    <cellStyle name="??&amp;O?&amp;H?_x0008__x000f__x0007_?_x0007__x0001__x0001_" xfId="6" xr:uid="{D6400C33-24A6-4EB8-B41F-57C925F001DF}"/>
    <cellStyle name="??&amp;O?&amp;H?_x0008_??_x0007__x0001__x0001_" xfId="7" xr:uid="{309B6248-AFF8-4179-A617-A49ABCA0A717}"/>
    <cellStyle name="?W?_laroux" xfId="8" xr:uid="{08A56609-BE2D-49E6-B3D4-47B9AA6DA294}"/>
    <cellStyle name="_NEGS" xfId="9" xr:uid="{4D00FDFD-B388-4805-88F9-5029119D7933}"/>
    <cellStyle name="_NEGS_越堤便橋計算式" xfId="10" xr:uid="{FAC7D382-70CE-4A67-AE22-9F323909B05C}"/>
    <cellStyle name="_NEGS_數量計算書-島頭公園980511" xfId="11" xr:uid="{022B2073-1594-4E35-874B-3E4A6A212D4D}"/>
    <cellStyle name="¡¯E¢¶Y [0.00]_laroux" xfId="12" xr:uid="{E646029C-2B6C-45D7-AA52-946A2463331A}"/>
    <cellStyle name="¡¯E¢¶Y_laroux" xfId="13" xr:uid="{A956E18E-549D-422D-9CE6-D6E53621D5FB}"/>
    <cellStyle name="¨«¡¦?©¡¨?e [0.00]_laroux" xfId="14" xr:uid="{6E539CBA-F4ED-4A0A-9D42-2282CB64C806}"/>
    <cellStyle name="¨«¡¦?©¡¨?e_laroux" xfId="15" xr:uid="{185CBC77-E67C-4991-A79A-AAAC81E84C92}"/>
    <cellStyle name="µÚ¿¡ ¿À´Â ÇÏÀÌÆÛ¸µÅ©" xfId="16" xr:uid="{5F8BABC2-84CE-48B0-B129-D0BC082F6BFD}"/>
    <cellStyle name="¹éºÐÀ²_±âÅ¸" xfId="17" xr:uid="{F350687D-E8FC-4DA3-B777-2915A47E15CE}"/>
    <cellStyle name="ÅëÈ­ [0]_¿ùº°" xfId="18" xr:uid="{9037EA12-7BD2-49CD-BC51-E60CF23B5A57}"/>
    <cellStyle name="ÅëÈ­_¿ùº°" xfId="19" xr:uid="{B5DDB58A-F08A-4223-BB2D-9887FD42124F}"/>
    <cellStyle name="AeE¡© [0]_PERSONAL" xfId="20" xr:uid="{4ECCAE70-C0C2-4EF7-9A84-E2B56AF1E885}"/>
    <cellStyle name="AeE¡©_PERSONAL" xfId="21" xr:uid="{B572D1C9-4FBF-4F07-9E6F-14ACBEAEABA3}"/>
    <cellStyle name="ALIGNMENT" xfId="22" xr:uid="{8C0A4A96-F14A-4983-9B7F-D02A812D5B34}"/>
    <cellStyle name="ÄÞ¸¶ [0]_¿ùº°" xfId="23" xr:uid="{77A5BD71-261E-4AA5-AE7C-F102D2A4D9DC}"/>
    <cellStyle name="ÄÞ¸¶_¿ùº°" xfId="24" xr:uid="{2D3D2748-59E1-466B-A918-7CDE36C18863}"/>
    <cellStyle name="C¡ÍA¨ª_PERSONAL" xfId="25" xr:uid="{C3525648-E71B-4E9B-BC64-03712179928D}"/>
    <cellStyle name="Ç¥ÁØ_¿µ»ó" xfId="26" xr:uid="{80C54F7D-5076-4A84-8D32-52DE84995691}"/>
    <cellStyle name="ÇÏÀÌÆÛ¸µÅ©" xfId="27" xr:uid="{522D905D-F0AB-4764-89F5-E63D96FC779C}"/>
    <cellStyle name="Comma [0]_1¿ùÈ¸ºñ³»¿ª (2)" xfId="28" xr:uid="{540D12A0-48CC-4EFE-938C-D0C828FA2B23}"/>
    <cellStyle name="Comma_1¿ùÈ¸ºñ³»¿ª (2)" xfId="29" xr:uid="{E8740EC4-7939-4065-B625-F778D05FF1F5}"/>
    <cellStyle name="Comma0" xfId="30" xr:uid="{4C9D364B-4E01-412A-A6FC-6D893DA206B2}"/>
    <cellStyle name="Currency [0]_1¿ùÈ¸ºñ³»¿ª (2)" xfId="31" xr:uid="{1C086479-C602-4DAC-ABB4-EFBB471B698E}"/>
    <cellStyle name="Currency_1¿ùÈ¸ºñ³»¿ª (2)" xfId="32" xr:uid="{B9735288-3BD0-42DC-ABAD-F526C08016A5}"/>
    <cellStyle name="Currency0" xfId="33" xr:uid="{46A8D971-44DA-4CC4-849D-6A430C869AB3}"/>
    <cellStyle name="Date" xfId="34" xr:uid="{512416EE-7152-4D24-966B-89491AC0787F}"/>
    <cellStyle name="Fixed" xfId="35" xr:uid="{6B0F2B29-0B14-4C5D-8BBB-65FD5678D11D}"/>
    <cellStyle name="Grey" xfId="36" xr:uid="{3CA4718F-3C06-4214-8427-5704B74E84E7}"/>
    <cellStyle name="Header1" xfId="37" xr:uid="{319761A8-43C3-40EC-A91E-A8340887ABC3}"/>
    <cellStyle name="Header2" xfId="38" xr:uid="{EE246866-53E6-4991-94CF-532EAC3B4767}"/>
    <cellStyle name="Heading 1" xfId="39" xr:uid="{D45940E2-759A-4E65-A936-5913490577FD}"/>
    <cellStyle name="Heading 2" xfId="40" xr:uid="{D4AF9BAB-0C8E-4145-ACFE-9C7278B3EC84}"/>
    <cellStyle name="Hyperlink_NEGS" xfId="41" xr:uid="{A5231114-F74D-48C1-B8E5-E5B2AC36ACD2}"/>
    <cellStyle name="Input [yellow]" xfId="42" xr:uid="{165C4701-E1E7-4A99-B8ED-A6FF92D661EC}"/>
    <cellStyle name="no dec" xfId="43" xr:uid="{7F8A5BE8-9095-4809-82DF-63EC0B9A636E}"/>
    <cellStyle name="Normal - Style1" xfId="44" xr:uid="{9F77CF73-34D5-400B-9888-7A67F794C612}"/>
    <cellStyle name="Normal_Capex" xfId="45" xr:uid="{A71B260D-A2AF-47B7-9CE3-BBA1E8F1553F}"/>
    <cellStyle name="Percent [2]" xfId="46" xr:uid="{F0FEAF3D-9B88-4B2A-ABA3-82BCF5CF5F59}"/>
    <cellStyle name="Percent_pldt" xfId="47" xr:uid="{11000C3E-583A-4264-95EE-6453474BDD20}"/>
    <cellStyle name="Total" xfId="48" xr:uid="{3F0EF9C4-4400-448A-AD23-4886CAEF27AB}"/>
    <cellStyle name="一般" xfId="0" builtinId="0"/>
    <cellStyle name="一般 2" xfId="1" xr:uid="{1D870C6C-DF7F-4148-95E3-3E21D5B23910}"/>
    <cellStyle name="一般 2 2" xfId="2" xr:uid="{E36EB93D-52C2-45A4-A65A-A988C0ED8A38}"/>
    <cellStyle name="一般 2 2 2" xfId="49" xr:uid="{BD9BF7C3-8A4F-49B7-99DA-70FA3370A9AA}"/>
    <cellStyle name="一般 2 3" xfId="50" xr:uid="{968D3E0F-DD0C-4A38-A3BF-35AC13587388}"/>
    <cellStyle name="一般 2 4" xfId="58" xr:uid="{64243548-EB57-418D-BEC6-CCD6DC4F782C}"/>
    <cellStyle name="一般 2 5" xfId="64" xr:uid="{13A45D15-A8B3-4739-BB11-1AE6836949AF}"/>
    <cellStyle name="一般 2 6" xfId="69" xr:uid="{ED341FD7-5C69-4A21-AFE4-3494AD84B4CF}"/>
    <cellStyle name="一般 3" xfId="3" xr:uid="{C02C2676-440B-45EE-9771-2343DB5D5033}"/>
    <cellStyle name="一般 4" xfId="4" xr:uid="{9B9195CA-7CD3-4864-8DAB-C09BA2F92B71}"/>
    <cellStyle name="一般 4 2" xfId="51" xr:uid="{794DDAC1-9938-4077-BE79-70499B5D6787}"/>
    <cellStyle name="一般 5" xfId="52" xr:uid="{C2C79821-3C4C-472E-97EC-47D2E076E75A}"/>
    <cellStyle name="一般 6" xfId="62" xr:uid="{96735C8A-4A89-452E-934F-CFD101D52346}"/>
    <cellStyle name="一般 6 2" xfId="65" xr:uid="{2E0CF45E-7379-4859-835B-3584F84C869B}"/>
    <cellStyle name="一般 7" xfId="63" xr:uid="{0325F9AE-A483-4E49-80AB-F18649AB05A3}"/>
    <cellStyle name="一般 8" xfId="5" xr:uid="{A2E415C7-B8A5-45F4-944E-3EDF153E91CB}"/>
    <cellStyle name="一般 9" xfId="67" xr:uid="{90994F6B-04FC-4EEB-81DD-DEA2767A4962}"/>
    <cellStyle name="千分位" xfId="66" builtinId="3"/>
    <cellStyle name="千分位 2" xfId="53" xr:uid="{B28BCC65-0D74-4FC8-9666-1A7B13DFCC01}"/>
    <cellStyle name="千分位 3" xfId="61" xr:uid="{073C31CC-CA82-4CBD-B572-479054F8E26E}"/>
    <cellStyle name="千分位 4" xfId="59" xr:uid="{F65CCEE8-EABB-45BA-923D-72B789AC2E85}"/>
    <cellStyle name="千分位 5" xfId="68" xr:uid="{72F48EC7-7F7A-4B7C-A535-3D95BC15CEF7}"/>
    <cellStyle name="百分比 2" xfId="54" xr:uid="{581211AE-4548-43C0-AF3A-744FEB8102F9}"/>
    <cellStyle name="百分比 3" xfId="60" xr:uid="{45F8E517-C4C2-404D-BA23-F048D9427503}"/>
    <cellStyle name="附註" xfId="55" xr:uid="{D84D78AC-6229-41DC-AED4-2DEE9EC8B680}"/>
    <cellStyle name="貨幣[0]_pldt" xfId="56" xr:uid="{BAB6331C-D965-4EFA-B245-40F77FCD240F}"/>
    <cellStyle name="樣式 1" xfId="57" xr:uid="{3B306E4B-8230-41D8-886C-67BD49FE68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13</xdr:col>
      <xdr:colOff>591727</xdr:colOff>
      <xdr:row>28</xdr:row>
      <xdr:rowOff>134142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AE24451-A5FB-4FFF-82D6-E4B4D289D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57150"/>
          <a:ext cx="8430802" cy="5677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F201-ACAA-431C-807E-7903D3A8E634}">
  <dimension ref="A1:I125"/>
  <sheetViews>
    <sheetView view="pageBreakPreview" topLeftCell="A70" zoomScale="115" zoomScaleNormal="100" zoomScaleSheetLayoutView="115" workbookViewId="0">
      <selection activeCell="B80" sqref="B80"/>
    </sheetView>
  </sheetViews>
  <sheetFormatPr defaultRowHeight="16.5"/>
  <cols>
    <col min="1" max="1" width="8.5" customWidth="1"/>
    <col min="2" max="2" width="18.625" customWidth="1"/>
    <col min="3" max="3" width="7.375" customWidth="1"/>
    <col min="4" max="4" width="10" customWidth="1"/>
    <col min="5" max="5" width="9.625" customWidth="1"/>
    <col min="6" max="6" width="10.75" customWidth="1"/>
    <col min="7" max="7" width="10.875" customWidth="1"/>
  </cols>
  <sheetData>
    <row r="1" spans="1:7" ht="19.5">
      <c r="A1" s="780" t="s">
        <v>0</v>
      </c>
      <c r="B1" s="780"/>
      <c r="C1" s="780"/>
      <c r="D1" s="780"/>
      <c r="E1" s="780"/>
      <c r="F1" s="780"/>
      <c r="G1" s="780"/>
    </row>
    <row r="2" spans="1:7" ht="19.5">
      <c r="A2" s="780" t="s">
        <v>691</v>
      </c>
      <c r="B2" s="780"/>
      <c r="C2" s="780"/>
      <c r="D2" s="780"/>
      <c r="E2" s="780"/>
      <c r="F2" s="780"/>
      <c r="G2" s="780"/>
    </row>
    <row r="3" spans="1:7">
      <c r="A3" s="781" t="s">
        <v>2</v>
      </c>
      <c r="B3" s="781"/>
      <c r="C3" s="781"/>
      <c r="D3" s="781"/>
      <c r="E3" s="781"/>
      <c r="F3" s="781"/>
      <c r="G3" s="781"/>
    </row>
    <row r="4" spans="1:7">
      <c r="A4" s="10" t="s">
        <v>9</v>
      </c>
      <c r="B4" s="11" t="s">
        <v>652</v>
      </c>
      <c r="C4" s="11" t="s">
        <v>11</v>
      </c>
      <c r="D4" s="11" t="s">
        <v>650</v>
      </c>
      <c r="E4" s="12" t="s">
        <v>653</v>
      </c>
      <c r="F4" s="12" t="s">
        <v>651</v>
      </c>
      <c r="G4" s="11" t="s">
        <v>654</v>
      </c>
    </row>
    <row r="5" spans="1:7">
      <c r="A5" s="19" t="s">
        <v>679</v>
      </c>
      <c r="B5" s="19" t="s">
        <v>795</v>
      </c>
      <c r="C5" s="20" t="s">
        <v>796</v>
      </c>
      <c r="D5" s="21">
        <v>1</v>
      </c>
      <c r="E5" s="21">
        <f>F11</f>
        <v>20064.400000000001</v>
      </c>
      <c r="F5" s="21"/>
      <c r="G5" s="19" t="s">
        <v>797</v>
      </c>
    </row>
    <row r="6" spans="1:7" ht="28.5">
      <c r="A6" s="13">
        <v>1</v>
      </c>
      <c r="B6" s="13" t="s">
        <v>681</v>
      </c>
      <c r="C6" s="14" t="s">
        <v>682</v>
      </c>
      <c r="D6" s="15">
        <v>8</v>
      </c>
      <c r="E6" s="15">
        <v>1500</v>
      </c>
      <c r="F6" s="15">
        <f>D6*E6</f>
        <v>12000</v>
      </c>
      <c r="G6" s="13" t="s">
        <v>798</v>
      </c>
    </row>
    <row r="7" spans="1:7" ht="42.75">
      <c r="A7" s="13">
        <v>2</v>
      </c>
      <c r="B7" s="13" t="s">
        <v>793</v>
      </c>
      <c r="C7" s="14" t="s">
        <v>90</v>
      </c>
      <c r="D7" s="15">
        <v>8</v>
      </c>
      <c r="E7" s="15">
        <v>375</v>
      </c>
      <c r="F7" s="15">
        <f>D7*E7</f>
        <v>3000</v>
      </c>
      <c r="G7" s="13" t="s">
        <v>684</v>
      </c>
    </row>
    <row r="8" spans="1:7" ht="42.75">
      <c r="A8" s="13">
        <v>3</v>
      </c>
      <c r="B8" s="13" t="s">
        <v>661</v>
      </c>
      <c r="C8" s="14" t="s">
        <v>90</v>
      </c>
      <c r="D8" s="15">
        <v>16</v>
      </c>
      <c r="E8" s="15">
        <v>280</v>
      </c>
      <c r="F8" s="15">
        <f>D8*E8</f>
        <v>4480</v>
      </c>
      <c r="G8" s="13" t="s">
        <v>662</v>
      </c>
    </row>
    <row r="9" spans="1:7" ht="28.5">
      <c r="A9" s="13">
        <v>4</v>
      </c>
      <c r="B9" s="13" t="s">
        <v>669</v>
      </c>
      <c r="C9" s="14" t="s">
        <v>23</v>
      </c>
      <c r="D9" s="15">
        <v>1</v>
      </c>
      <c r="E9" s="15">
        <f>(F6+F7+F8)*3%</f>
        <v>584.4</v>
      </c>
      <c r="F9" s="15">
        <f>D9*E9</f>
        <v>584.4</v>
      </c>
      <c r="G9" s="13" t="s">
        <v>670</v>
      </c>
    </row>
    <row r="10" spans="1:7">
      <c r="A10" s="13"/>
      <c r="B10" s="13" t="s">
        <v>671</v>
      </c>
      <c r="C10" s="20" t="s">
        <v>796</v>
      </c>
      <c r="D10" s="15">
        <v>1</v>
      </c>
      <c r="E10" s="15"/>
      <c r="F10" s="15">
        <f>F6+F7+F8+F9</f>
        <v>20064.400000000001</v>
      </c>
      <c r="G10" s="13"/>
    </row>
    <row r="11" spans="1:7">
      <c r="A11" s="13"/>
      <c r="B11" s="13" t="s">
        <v>672</v>
      </c>
      <c r="C11" s="20" t="s">
        <v>796</v>
      </c>
      <c r="D11" s="15"/>
      <c r="E11" s="15"/>
      <c r="F11" s="15">
        <f>F10/D10</f>
        <v>20064.400000000001</v>
      </c>
      <c r="G11" s="13"/>
    </row>
    <row r="12" spans="1:7">
      <c r="A12" s="22"/>
      <c r="B12" s="22"/>
      <c r="C12" s="23"/>
      <c r="D12" s="24"/>
      <c r="E12" s="24"/>
      <c r="F12" s="24"/>
      <c r="G12" s="22"/>
    </row>
    <row r="13" spans="1:7">
      <c r="A13" s="10" t="s">
        <v>9</v>
      </c>
      <c r="B13" s="11" t="s">
        <v>652</v>
      </c>
      <c r="C13" s="11" t="s">
        <v>11</v>
      </c>
      <c r="D13" s="11" t="s">
        <v>650</v>
      </c>
      <c r="E13" s="12" t="s">
        <v>653</v>
      </c>
      <c r="F13" s="12" t="s">
        <v>651</v>
      </c>
      <c r="G13" s="11" t="s">
        <v>654</v>
      </c>
    </row>
    <row r="14" spans="1:7" ht="28.5">
      <c r="A14" s="19" t="s">
        <v>777</v>
      </c>
      <c r="B14" s="19" t="s">
        <v>769</v>
      </c>
      <c r="C14" s="20" t="s">
        <v>52</v>
      </c>
      <c r="D14" s="21">
        <v>1</v>
      </c>
      <c r="E14" s="21">
        <f>F19</f>
        <v>165.22229999999999</v>
      </c>
      <c r="F14" s="21"/>
      <c r="G14" s="19" t="s">
        <v>775</v>
      </c>
    </row>
    <row r="15" spans="1:7" ht="28.5">
      <c r="A15" s="13">
        <v>1</v>
      </c>
      <c r="B15" s="13" t="s">
        <v>772</v>
      </c>
      <c r="C15" s="14" t="s">
        <v>773</v>
      </c>
      <c r="D15" s="15">
        <v>0.09</v>
      </c>
      <c r="E15" s="15">
        <v>324</v>
      </c>
      <c r="F15" s="15">
        <f>D15*E15</f>
        <v>29.16</v>
      </c>
      <c r="G15" s="13" t="s">
        <v>778</v>
      </c>
    </row>
    <row r="16" spans="1:7" ht="42.75">
      <c r="A16" s="13">
        <v>2</v>
      </c>
      <c r="B16" s="13" t="s">
        <v>774</v>
      </c>
      <c r="C16" s="14" t="s">
        <v>90</v>
      </c>
      <c r="D16" s="15">
        <v>0.35</v>
      </c>
      <c r="E16" s="15">
        <v>375</v>
      </c>
      <c r="F16" s="15">
        <f>D16*E16</f>
        <v>131.25</v>
      </c>
      <c r="G16" s="13" t="s">
        <v>776</v>
      </c>
    </row>
    <row r="17" spans="1:7" ht="28.5">
      <c r="A17" s="13">
        <v>3</v>
      </c>
      <c r="B17" s="13" t="s">
        <v>669</v>
      </c>
      <c r="C17" s="14" t="s">
        <v>23</v>
      </c>
      <c r="D17" s="15">
        <v>1</v>
      </c>
      <c r="E17" s="15">
        <f>(F14+F15+F16)*3%</f>
        <v>4.8122999999999996</v>
      </c>
      <c r="F17" s="15">
        <f>D17*E17</f>
        <v>4.8122999999999996</v>
      </c>
      <c r="G17" s="13" t="s">
        <v>670</v>
      </c>
    </row>
    <row r="18" spans="1:7">
      <c r="A18" s="13"/>
      <c r="B18" s="13" t="s">
        <v>671</v>
      </c>
      <c r="C18" s="20" t="s">
        <v>52</v>
      </c>
      <c r="D18" s="15">
        <v>1</v>
      </c>
      <c r="E18" s="15"/>
      <c r="F18" s="15">
        <f>F15+F16+F17</f>
        <v>165.22229999999999</v>
      </c>
      <c r="G18" s="13"/>
    </row>
    <row r="19" spans="1:7">
      <c r="A19" s="13"/>
      <c r="B19" s="13" t="s">
        <v>672</v>
      </c>
      <c r="C19" s="20" t="s">
        <v>52</v>
      </c>
      <c r="D19" s="15"/>
      <c r="E19" s="15"/>
      <c r="F19" s="15">
        <f>F18/D18</f>
        <v>165.22229999999999</v>
      </c>
      <c r="G19" s="13"/>
    </row>
    <row r="20" spans="1:7">
      <c r="A20" s="22"/>
      <c r="B20" s="22"/>
      <c r="C20" s="23"/>
      <c r="D20" s="24"/>
      <c r="E20" s="24"/>
      <c r="F20" s="24"/>
      <c r="G20" s="22"/>
    </row>
    <row r="21" spans="1:7" s="51" customFormat="1">
      <c r="A21" s="48" t="s">
        <v>9</v>
      </c>
      <c r="B21" s="49" t="s">
        <v>652</v>
      </c>
      <c r="C21" s="49" t="s">
        <v>11</v>
      </c>
      <c r="D21" s="49" t="s">
        <v>650</v>
      </c>
      <c r="E21" s="50" t="s">
        <v>653</v>
      </c>
      <c r="F21" s="50" t="s">
        <v>651</v>
      </c>
      <c r="G21" s="49" t="s">
        <v>654</v>
      </c>
    </row>
    <row r="22" spans="1:7" s="51" customFormat="1">
      <c r="A22" s="52" t="s">
        <v>757</v>
      </c>
      <c r="B22" s="52" t="s">
        <v>800</v>
      </c>
      <c r="C22" s="53" t="s">
        <v>101</v>
      </c>
      <c r="D22" s="54">
        <v>10000</v>
      </c>
      <c r="E22" s="54">
        <f>F28</f>
        <v>16.212199999999999</v>
      </c>
      <c r="F22" s="54"/>
      <c r="G22" s="52" t="s">
        <v>802</v>
      </c>
    </row>
    <row r="23" spans="1:7" s="51" customFormat="1" ht="28.5">
      <c r="A23" s="55">
        <v>1</v>
      </c>
      <c r="B23" s="55" t="s">
        <v>758</v>
      </c>
      <c r="C23" s="56" t="s">
        <v>90</v>
      </c>
      <c r="D23" s="57">
        <v>40</v>
      </c>
      <c r="E23" s="57">
        <v>3000</v>
      </c>
      <c r="F23" s="57">
        <f>D23*E23</f>
        <v>120000</v>
      </c>
      <c r="G23" s="55" t="s">
        <v>683</v>
      </c>
    </row>
    <row r="24" spans="1:7" s="51" customFormat="1" ht="42.75">
      <c r="A24" s="55">
        <v>2</v>
      </c>
      <c r="B24" s="55" t="s">
        <v>759</v>
      </c>
      <c r="C24" s="56" t="s">
        <v>90</v>
      </c>
      <c r="D24" s="57">
        <v>40</v>
      </c>
      <c r="E24" s="57">
        <v>375</v>
      </c>
      <c r="F24" s="57">
        <f>D24*E24</f>
        <v>15000</v>
      </c>
      <c r="G24" s="55" t="s">
        <v>684</v>
      </c>
    </row>
    <row r="25" spans="1:7" s="51" customFormat="1" ht="42.75">
      <c r="A25" s="55">
        <v>3</v>
      </c>
      <c r="B25" s="55" t="s">
        <v>661</v>
      </c>
      <c r="C25" s="56" t="s">
        <v>90</v>
      </c>
      <c r="D25" s="57">
        <v>80</v>
      </c>
      <c r="E25" s="57">
        <v>280</v>
      </c>
      <c r="F25" s="57">
        <f>D25*E25</f>
        <v>22400</v>
      </c>
      <c r="G25" s="55" t="s">
        <v>662</v>
      </c>
    </row>
    <row r="26" spans="1:7" s="51" customFormat="1" ht="28.5">
      <c r="A26" s="55">
        <v>4</v>
      </c>
      <c r="B26" s="55" t="s">
        <v>669</v>
      </c>
      <c r="C26" s="56" t="s">
        <v>23</v>
      </c>
      <c r="D26" s="57">
        <v>1</v>
      </c>
      <c r="E26" s="57">
        <f>(F23+F24+F25)*3%</f>
        <v>4722</v>
      </c>
      <c r="F26" s="57">
        <f>D26*E26</f>
        <v>4722</v>
      </c>
      <c r="G26" s="55" t="s">
        <v>670</v>
      </c>
    </row>
    <row r="27" spans="1:7" s="51" customFormat="1">
      <c r="A27" s="55"/>
      <c r="B27" s="55" t="s">
        <v>671</v>
      </c>
      <c r="C27" s="53" t="s">
        <v>101</v>
      </c>
      <c r="D27" s="54">
        <v>10000</v>
      </c>
      <c r="E27" s="57"/>
      <c r="F27" s="57">
        <f>F23+F24+F25+F26</f>
        <v>162122</v>
      </c>
      <c r="G27" s="55"/>
    </row>
    <row r="28" spans="1:7" s="51" customFormat="1">
      <c r="A28" s="55"/>
      <c r="B28" s="55" t="s">
        <v>672</v>
      </c>
      <c r="C28" s="53" t="s">
        <v>101</v>
      </c>
      <c r="D28" s="57"/>
      <c r="E28" s="57"/>
      <c r="F28" s="57">
        <f>F27/D27</f>
        <v>16.212199999999999</v>
      </c>
      <c r="G28" s="55"/>
    </row>
    <row r="29" spans="1:7">
      <c r="A29" s="40"/>
      <c r="B29" s="40"/>
      <c r="C29" s="41"/>
      <c r="D29" s="42"/>
      <c r="E29" s="42"/>
      <c r="F29" s="42"/>
      <c r="G29" s="40"/>
    </row>
    <row r="30" spans="1:7">
      <c r="A30" s="10" t="s">
        <v>9</v>
      </c>
      <c r="B30" s="11" t="s">
        <v>652</v>
      </c>
      <c r="C30" s="11" t="s">
        <v>11</v>
      </c>
      <c r="D30" s="11" t="s">
        <v>650</v>
      </c>
      <c r="E30" s="12" t="s">
        <v>653</v>
      </c>
      <c r="F30" s="12" t="s">
        <v>651</v>
      </c>
      <c r="G30" s="11" t="s">
        <v>654</v>
      </c>
    </row>
    <row r="31" spans="1:7" ht="42.75">
      <c r="A31" s="19" t="s">
        <v>674</v>
      </c>
      <c r="B31" s="19" t="s">
        <v>676</v>
      </c>
      <c r="C31" s="20" t="s">
        <v>52</v>
      </c>
      <c r="D31" s="21">
        <v>1</v>
      </c>
      <c r="E31" s="21">
        <f>F41</f>
        <v>3458.387534</v>
      </c>
      <c r="F31" s="21"/>
      <c r="G31" s="19" t="s">
        <v>693</v>
      </c>
    </row>
    <row r="32" spans="1:7" ht="28.5">
      <c r="A32" s="13">
        <v>1</v>
      </c>
      <c r="B32" s="13" t="s">
        <v>103</v>
      </c>
      <c r="C32" s="14" t="s">
        <v>31</v>
      </c>
      <c r="D32" s="15">
        <v>0.06</v>
      </c>
      <c r="E32" s="15">
        <v>3115.13</v>
      </c>
      <c r="F32" s="15">
        <f t="shared" ref="F32:F39" si="0">D32*E32</f>
        <v>186.90780000000001</v>
      </c>
      <c r="G32" s="13" t="s">
        <v>656</v>
      </c>
    </row>
    <row r="33" spans="1:8" ht="42.75">
      <c r="A33" s="16">
        <v>2</v>
      </c>
      <c r="B33" s="16" t="s">
        <v>673</v>
      </c>
      <c r="C33" s="17" t="s">
        <v>657</v>
      </c>
      <c r="D33" s="18">
        <v>0.7</v>
      </c>
      <c r="E33" s="18">
        <v>2300</v>
      </c>
      <c r="F33" s="18">
        <f>D33*E33</f>
        <v>1610</v>
      </c>
      <c r="G33" s="16" t="s">
        <v>658</v>
      </c>
    </row>
    <row r="34" spans="1:8" ht="42.75">
      <c r="A34" s="13">
        <v>3</v>
      </c>
      <c r="B34" s="13" t="s">
        <v>659</v>
      </c>
      <c r="C34" s="14" t="s">
        <v>90</v>
      </c>
      <c r="D34" s="15">
        <v>0.8</v>
      </c>
      <c r="E34" s="15">
        <v>375</v>
      </c>
      <c r="F34" s="15">
        <f t="shared" si="0"/>
        <v>300</v>
      </c>
      <c r="G34" s="13" t="s">
        <v>660</v>
      </c>
    </row>
    <row r="35" spans="1:8" ht="42.75">
      <c r="A35" s="13">
        <v>4</v>
      </c>
      <c r="B35" s="13" t="s">
        <v>661</v>
      </c>
      <c r="C35" s="14" t="s">
        <v>90</v>
      </c>
      <c r="D35" s="15">
        <v>1.44</v>
      </c>
      <c r="E35" s="15">
        <v>280</v>
      </c>
      <c r="F35" s="15">
        <f t="shared" si="0"/>
        <v>403.2</v>
      </c>
      <c r="G35" s="13" t="s">
        <v>662</v>
      </c>
    </row>
    <row r="36" spans="1:8" ht="42.75">
      <c r="A36" s="13">
        <v>5</v>
      </c>
      <c r="B36" s="13" t="s">
        <v>663</v>
      </c>
      <c r="C36" s="14" t="s">
        <v>52</v>
      </c>
      <c r="D36" s="15">
        <v>1</v>
      </c>
      <c r="E36" s="15">
        <v>327.55</v>
      </c>
      <c r="F36" s="15">
        <f t="shared" si="0"/>
        <v>327.55</v>
      </c>
      <c r="G36" s="13" t="s">
        <v>664</v>
      </c>
    </row>
    <row r="37" spans="1:8" ht="42.75">
      <c r="A37" s="13">
        <v>6</v>
      </c>
      <c r="B37" s="13" t="s">
        <v>665</v>
      </c>
      <c r="C37" s="14" t="s">
        <v>23</v>
      </c>
      <c r="D37" s="15">
        <v>1</v>
      </c>
      <c r="E37" s="15">
        <v>30</v>
      </c>
      <c r="F37" s="15">
        <f t="shared" si="0"/>
        <v>30</v>
      </c>
      <c r="G37" s="13" t="s">
        <v>666</v>
      </c>
    </row>
    <row r="38" spans="1:8" ht="28.5">
      <c r="A38" s="13">
        <v>7</v>
      </c>
      <c r="B38" s="13" t="s">
        <v>667</v>
      </c>
      <c r="C38" s="14" t="s">
        <v>657</v>
      </c>
      <c r="D38" s="15">
        <v>1</v>
      </c>
      <c r="E38" s="15">
        <v>500</v>
      </c>
      <c r="F38" s="15">
        <f t="shared" si="0"/>
        <v>500</v>
      </c>
      <c r="G38" s="13" t="s">
        <v>668</v>
      </c>
    </row>
    <row r="39" spans="1:8" ht="28.5">
      <c r="A39" s="13">
        <v>8</v>
      </c>
      <c r="B39" s="13" t="s">
        <v>669</v>
      </c>
      <c r="C39" s="14" t="s">
        <v>23</v>
      </c>
      <c r="D39" s="15">
        <v>1</v>
      </c>
      <c r="E39" s="15">
        <f>SUM(F32:F38)*3%</f>
        <v>100.72973399999999</v>
      </c>
      <c r="F39" s="15">
        <f t="shared" si="0"/>
        <v>100.72973399999999</v>
      </c>
      <c r="G39" s="13" t="s">
        <v>670</v>
      </c>
    </row>
    <row r="40" spans="1:8">
      <c r="A40" s="13"/>
      <c r="B40" s="13" t="s">
        <v>671</v>
      </c>
      <c r="C40" s="14" t="s">
        <v>52</v>
      </c>
      <c r="D40" s="15">
        <v>1</v>
      </c>
      <c r="E40" s="15"/>
      <c r="F40" s="15">
        <f>SUM(F32:F39)</f>
        <v>3458.387534</v>
      </c>
      <c r="G40" s="13"/>
    </row>
    <row r="41" spans="1:8">
      <c r="A41" s="13"/>
      <c r="B41" s="13" t="s">
        <v>672</v>
      </c>
      <c r="C41" s="14" t="s">
        <v>52</v>
      </c>
      <c r="D41" s="15"/>
      <c r="E41" s="15"/>
      <c r="F41" s="15">
        <f>F40/D40</f>
        <v>3458.387534</v>
      </c>
      <c r="G41" s="13"/>
    </row>
    <row r="42" spans="1:8">
      <c r="A42" s="13"/>
      <c r="B42" s="13"/>
      <c r="C42" s="14"/>
      <c r="D42" s="15"/>
      <c r="E42" s="15"/>
      <c r="F42" s="15"/>
      <c r="G42" s="13"/>
    </row>
    <row r="43" spans="1:8">
      <c r="A43" s="22"/>
      <c r="B43" s="22"/>
      <c r="C43" s="23"/>
      <c r="D43" s="24"/>
      <c r="E43" s="24"/>
      <c r="F43" s="24"/>
      <c r="G43" s="22"/>
    </row>
    <row r="44" spans="1:8">
      <c r="A44" s="10" t="s">
        <v>9</v>
      </c>
      <c r="B44" s="11" t="s">
        <v>652</v>
      </c>
      <c r="C44" s="11" t="s">
        <v>11</v>
      </c>
      <c r="D44" s="11" t="s">
        <v>650</v>
      </c>
      <c r="E44" s="12" t="s">
        <v>653</v>
      </c>
      <c r="F44" s="12" t="s">
        <v>651</v>
      </c>
      <c r="G44" s="11" t="s">
        <v>654</v>
      </c>
    </row>
    <row r="45" spans="1:8" s="29" customFormat="1" ht="57">
      <c r="A45" s="33" t="s">
        <v>755</v>
      </c>
      <c r="B45" s="33" t="s">
        <v>694</v>
      </c>
      <c r="C45" s="34" t="s">
        <v>36</v>
      </c>
      <c r="D45" s="35">
        <v>10</v>
      </c>
      <c r="E45" s="35">
        <f>F60</f>
        <v>5734.0514999999996</v>
      </c>
      <c r="F45" s="35"/>
      <c r="G45" s="33" t="s">
        <v>729</v>
      </c>
      <c r="H45" s="36"/>
    </row>
    <row r="46" spans="1:8" s="29" customFormat="1" ht="28.5">
      <c r="A46" s="33">
        <v>1</v>
      </c>
      <c r="B46" s="33" t="s">
        <v>730</v>
      </c>
      <c r="C46" s="34" t="s">
        <v>687</v>
      </c>
      <c r="D46" s="35">
        <v>10</v>
      </c>
      <c r="E46" s="35">
        <v>4551.62</v>
      </c>
      <c r="F46" s="35">
        <f t="shared" ref="F46:F58" si="1">D46*E46</f>
        <v>45516.2</v>
      </c>
      <c r="G46" s="33" t="s">
        <v>731</v>
      </c>
      <c r="H46" s="37" t="s">
        <v>732</v>
      </c>
    </row>
    <row r="47" spans="1:8" s="29" customFormat="1" ht="28.5">
      <c r="A47" s="33">
        <v>2</v>
      </c>
      <c r="B47" s="33" t="s">
        <v>733</v>
      </c>
      <c r="C47" s="34" t="s">
        <v>710</v>
      </c>
      <c r="D47" s="35">
        <v>1</v>
      </c>
      <c r="E47" s="35">
        <v>130</v>
      </c>
      <c r="F47" s="35">
        <f t="shared" si="1"/>
        <v>130</v>
      </c>
      <c r="G47" s="33" t="s">
        <v>734</v>
      </c>
      <c r="H47" s="38" t="s">
        <v>732</v>
      </c>
    </row>
    <row r="48" spans="1:8" s="29" customFormat="1" ht="14.25">
      <c r="A48" s="33">
        <v>3</v>
      </c>
      <c r="B48" s="33" t="s">
        <v>735</v>
      </c>
      <c r="C48" s="34" t="s">
        <v>682</v>
      </c>
      <c r="D48" s="35">
        <v>1.5</v>
      </c>
      <c r="E48" s="35">
        <v>1779.72</v>
      </c>
      <c r="F48" s="35">
        <f t="shared" si="1"/>
        <v>2669.58</v>
      </c>
      <c r="G48" s="33" t="s">
        <v>736</v>
      </c>
      <c r="H48" s="38" t="s">
        <v>732</v>
      </c>
    </row>
    <row r="49" spans="1:8" s="29" customFormat="1" ht="28.5">
      <c r="A49" s="33">
        <v>4</v>
      </c>
      <c r="B49" s="33" t="s">
        <v>737</v>
      </c>
      <c r="C49" s="34" t="s">
        <v>682</v>
      </c>
      <c r="D49" s="35">
        <v>1.5</v>
      </c>
      <c r="E49" s="35">
        <v>375</v>
      </c>
      <c r="F49" s="35">
        <f t="shared" si="1"/>
        <v>562.5</v>
      </c>
      <c r="G49" s="33" t="s">
        <v>738</v>
      </c>
      <c r="H49" s="39" t="s">
        <v>739</v>
      </c>
    </row>
    <row r="50" spans="1:8" s="29" customFormat="1" ht="28.5">
      <c r="A50" s="33">
        <v>5</v>
      </c>
      <c r="B50" s="33" t="s">
        <v>740</v>
      </c>
      <c r="C50" s="34" t="s">
        <v>682</v>
      </c>
      <c r="D50" s="35">
        <v>1.35</v>
      </c>
      <c r="E50" s="35">
        <v>1200</v>
      </c>
      <c r="F50" s="35">
        <f t="shared" si="1"/>
        <v>1620</v>
      </c>
      <c r="G50" s="33" t="s">
        <v>741</v>
      </c>
      <c r="H50" s="39" t="s">
        <v>739</v>
      </c>
    </row>
    <row r="51" spans="1:8" s="29" customFormat="1" ht="28.5">
      <c r="A51" s="33">
        <v>6</v>
      </c>
      <c r="B51" s="33" t="s">
        <v>742</v>
      </c>
      <c r="C51" s="34" t="s">
        <v>682</v>
      </c>
      <c r="D51" s="35">
        <v>1.35</v>
      </c>
      <c r="E51" s="35">
        <v>1365</v>
      </c>
      <c r="F51" s="35">
        <f t="shared" si="1"/>
        <v>1842.7500000000002</v>
      </c>
      <c r="G51" s="33" t="s">
        <v>743</v>
      </c>
      <c r="H51" s="39" t="s">
        <v>739</v>
      </c>
    </row>
    <row r="52" spans="1:8" s="29" customFormat="1" ht="28.5">
      <c r="A52" s="33">
        <v>7</v>
      </c>
      <c r="B52" s="33" t="s">
        <v>716</v>
      </c>
      <c r="C52" s="34" t="s">
        <v>682</v>
      </c>
      <c r="D52" s="35">
        <v>1.35</v>
      </c>
      <c r="E52" s="35">
        <v>437.5</v>
      </c>
      <c r="F52" s="35">
        <f t="shared" si="1"/>
        <v>590.625</v>
      </c>
      <c r="G52" s="33" t="s">
        <v>744</v>
      </c>
      <c r="H52" s="39" t="s">
        <v>739</v>
      </c>
    </row>
    <row r="53" spans="1:8" s="29" customFormat="1" ht="28.5">
      <c r="A53" s="33">
        <v>8</v>
      </c>
      <c r="B53" s="33" t="s">
        <v>745</v>
      </c>
      <c r="C53" s="34" t="s">
        <v>682</v>
      </c>
      <c r="D53" s="35">
        <v>1.35</v>
      </c>
      <c r="E53" s="35">
        <v>375</v>
      </c>
      <c r="F53" s="35">
        <f t="shared" si="1"/>
        <v>506.25000000000006</v>
      </c>
      <c r="G53" s="33" t="s">
        <v>746</v>
      </c>
      <c r="H53" s="39" t="s">
        <v>739</v>
      </c>
    </row>
    <row r="54" spans="1:8" s="29" customFormat="1" ht="28.5">
      <c r="A54" s="33">
        <v>9</v>
      </c>
      <c r="B54" s="33" t="s">
        <v>747</v>
      </c>
      <c r="C54" s="34" t="s">
        <v>682</v>
      </c>
      <c r="D54" s="35">
        <v>1.35</v>
      </c>
      <c r="E54" s="35">
        <v>375</v>
      </c>
      <c r="F54" s="35">
        <f t="shared" si="1"/>
        <v>506.25000000000006</v>
      </c>
      <c r="G54" s="33" t="s">
        <v>748</v>
      </c>
      <c r="H54" s="39" t="s">
        <v>739</v>
      </c>
    </row>
    <row r="55" spans="1:8" s="29" customFormat="1" ht="28.5">
      <c r="A55" s="33">
        <v>10</v>
      </c>
      <c r="B55" s="33" t="s">
        <v>749</v>
      </c>
      <c r="C55" s="34" t="s">
        <v>682</v>
      </c>
      <c r="D55" s="35">
        <v>1.35</v>
      </c>
      <c r="E55" s="35">
        <v>375</v>
      </c>
      <c r="F55" s="35">
        <f t="shared" si="1"/>
        <v>506.25000000000006</v>
      </c>
      <c r="G55" s="33" t="s">
        <v>750</v>
      </c>
      <c r="H55" s="39" t="s">
        <v>739</v>
      </c>
    </row>
    <row r="56" spans="1:8" s="29" customFormat="1" ht="28.5">
      <c r="A56" s="33">
        <v>11</v>
      </c>
      <c r="B56" s="33" t="s">
        <v>717</v>
      </c>
      <c r="C56" s="34" t="s">
        <v>682</v>
      </c>
      <c r="D56" s="35">
        <v>4</v>
      </c>
      <c r="E56" s="35">
        <v>280</v>
      </c>
      <c r="F56" s="35">
        <f t="shared" si="1"/>
        <v>1120</v>
      </c>
      <c r="G56" s="33" t="s">
        <v>718</v>
      </c>
      <c r="H56" s="39" t="s">
        <v>739</v>
      </c>
    </row>
    <row r="57" spans="1:8" s="29" customFormat="1" ht="71.25">
      <c r="A57" s="33">
        <v>12</v>
      </c>
      <c r="B57" s="33" t="s">
        <v>751</v>
      </c>
      <c r="C57" s="34" t="s">
        <v>710</v>
      </c>
      <c r="D57" s="35">
        <v>1</v>
      </c>
      <c r="E57" s="35">
        <v>100</v>
      </c>
      <c r="F57" s="35">
        <f t="shared" si="1"/>
        <v>100</v>
      </c>
      <c r="G57" s="7" t="s">
        <v>752</v>
      </c>
      <c r="H57" s="38" t="s">
        <v>732</v>
      </c>
    </row>
    <row r="58" spans="1:8" s="29" customFormat="1" ht="14.25">
      <c r="A58" s="33">
        <v>13</v>
      </c>
      <c r="B58" s="33" t="s">
        <v>753</v>
      </c>
      <c r="C58" s="34" t="s">
        <v>710</v>
      </c>
      <c r="D58" s="35">
        <v>1</v>
      </c>
      <c r="E58" s="35">
        <f>ROUND(SUM(F46:F57)*3%,2)</f>
        <v>1670.11</v>
      </c>
      <c r="F58" s="35">
        <f t="shared" si="1"/>
        <v>1670.11</v>
      </c>
      <c r="G58" s="33" t="s">
        <v>754</v>
      </c>
      <c r="H58" s="36"/>
    </row>
    <row r="59" spans="1:8" s="29" customFormat="1" ht="14.25">
      <c r="A59" s="33"/>
      <c r="B59" s="33" t="s">
        <v>671</v>
      </c>
      <c r="C59" s="34" t="s">
        <v>36</v>
      </c>
      <c r="D59" s="35">
        <v>10</v>
      </c>
      <c r="E59" s="35"/>
      <c r="F59" s="35">
        <f>SUM(F46:F58)</f>
        <v>57340.514999999999</v>
      </c>
      <c r="G59" s="33"/>
      <c r="H59" s="36"/>
    </row>
    <row r="60" spans="1:8" s="29" customFormat="1" ht="14.25">
      <c r="A60" s="33"/>
      <c r="B60" s="33" t="s">
        <v>672</v>
      </c>
      <c r="C60" s="34" t="s">
        <v>36</v>
      </c>
      <c r="D60" s="35"/>
      <c r="E60" s="35"/>
      <c r="F60" s="35">
        <f>F59/D59</f>
        <v>5734.0514999999996</v>
      </c>
      <c r="G60" s="33"/>
      <c r="H60" s="36"/>
    </row>
    <row r="61" spans="1:8">
      <c r="A61" s="22"/>
      <c r="B61" s="22"/>
      <c r="C61" s="23"/>
      <c r="D61" s="24"/>
      <c r="E61" s="24"/>
      <c r="F61" s="24"/>
      <c r="G61" s="22"/>
    </row>
    <row r="62" spans="1:8">
      <c r="A62" s="10" t="s">
        <v>9</v>
      </c>
      <c r="B62" s="11" t="s">
        <v>652</v>
      </c>
      <c r="C62" s="11" t="s">
        <v>11</v>
      </c>
      <c r="D62" s="11" t="s">
        <v>650</v>
      </c>
      <c r="E62" s="12" t="s">
        <v>653</v>
      </c>
      <c r="F62" s="12" t="s">
        <v>651</v>
      </c>
      <c r="G62" s="11" t="s">
        <v>654</v>
      </c>
    </row>
    <row r="63" spans="1:8" ht="28.5">
      <c r="A63" s="19" t="s">
        <v>756</v>
      </c>
      <c r="B63" s="19" t="s">
        <v>275</v>
      </c>
      <c r="C63" s="14" t="s">
        <v>31</v>
      </c>
      <c r="D63" s="21">
        <v>1</v>
      </c>
      <c r="E63" s="21">
        <f>F72</f>
        <v>3849.7280000000001</v>
      </c>
      <c r="F63" s="21"/>
      <c r="G63" s="19" t="s">
        <v>792</v>
      </c>
      <c r="H63" t="s">
        <v>24</v>
      </c>
    </row>
    <row r="64" spans="1:8" ht="42.75">
      <c r="A64" s="13">
        <v>1</v>
      </c>
      <c r="B64" s="13" t="s">
        <v>790</v>
      </c>
      <c r="C64" s="14" t="s">
        <v>31</v>
      </c>
      <c r="D64" s="15">
        <v>1</v>
      </c>
      <c r="E64" s="15">
        <v>3350</v>
      </c>
      <c r="F64" s="15">
        <f t="shared" ref="F64:F70" si="2">D64*E64</f>
        <v>3350</v>
      </c>
      <c r="G64" s="13" t="s">
        <v>791</v>
      </c>
      <c r="H64" t="s">
        <v>24</v>
      </c>
    </row>
    <row r="65" spans="1:8" ht="42.75">
      <c r="A65" s="13">
        <v>2</v>
      </c>
      <c r="B65" s="13" t="s">
        <v>782</v>
      </c>
      <c r="C65" s="14" t="s">
        <v>90</v>
      </c>
      <c r="D65" s="15">
        <v>0.32</v>
      </c>
      <c r="E65" s="15">
        <v>375</v>
      </c>
      <c r="F65" s="15">
        <f t="shared" si="2"/>
        <v>120</v>
      </c>
      <c r="G65" s="13" t="s">
        <v>783</v>
      </c>
      <c r="H65" t="s">
        <v>24</v>
      </c>
    </row>
    <row r="66" spans="1:8" ht="42.75">
      <c r="A66" s="13">
        <v>3</v>
      </c>
      <c r="B66" s="13" t="s">
        <v>661</v>
      </c>
      <c r="C66" s="14" t="s">
        <v>90</v>
      </c>
      <c r="D66" s="15">
        <v>0.72</v>
      </c>
      <c r="E66" s="15">
        <v>280</v>
      </c>
      <c r="F66" s="15">
        <f t="shared" si="2"/>
        <v>201.6</v>
      </c>
      <c r="G66" s="13" t="s">
        <v>662</v>
      </c>
      <c r="H66" t="s">
        <v>24</v>
      </c>
    </row>
    <row r="67" spans="1:8" ht="42.75">
      <c r="A67" s="13">
        <v>4</v>
      </c>
      <c r="B67" s="13" t="s">
        <v>784</v>
      </c>
      <c r="C67" s="14" t="s">
        <v>23</v>
      </c>
      <c r="D67" s="15">
        <v>1</v>
      </c>
      <c r="E67" s="15">
        <v>13</v>
      </c>
      <c r="F67" s="15">
        <f t="shared" si="2"/>
        <v>13</v>
      </c>
      <c r="G67" s="13" t="s">
        <v>785</v>
      </c>
      <c r="H67" t="s">
        <v>24</v>
      </c>
    </row>
    <row r="68" spans="1:8" ht="28.5">
      <c r="A68" s="13">
        <v>5</v>
      </c>
      <c r="B68" s="13" t="s">
        <v>786</v>
      </c>
      <c r="C68" s="14" t="s">
        <v>23</v>
      </c>
      <c r="D68" s="15">
        <v>1</v>
      </c>
      <c r="E68" s="15">
        <v>13</v>
      </c>
      <c r="F68" s="15">
        <f t="shared" si="2"/>
        <v>13</v>
      </c>
      <c r="G68" s="13" t="s">
        <v>787</v>
      </c>
      <c r="H68" t="s">
        <v>24</v>
      </c>
    </row>
    <row r="69" spans="1:8" ht="42.75">
      <c r="A69" s="13">
        <v>6</v>
      </c>
      <c r="B69" s="13" t="s">
        <v>788</v>
      </c>
      <c r="C69" s="14" t="s">
        <v>23</v>
      </c>
      <c r="D69" s="15">
        <v>1</v>
      </c>
      <c r="E69" s="15">
        <v>40</v>
      </c>
      <c r="F69" s="15">
        <f t="shared" si="2"/>
        <v>40</v>
      </c>
      <c r="G69" s="13" t="s">
        <v>789</v>
      </c>
      <c r="H69" t="s">
        <v>24</v>
      </c>
    </row>
    <row r="70" spans="1:8" ht="28.5">
      <c r="A70" s="13">
        <v>7</v>
      </c>
      <c r="B70" s="13" t="s">
        <v>669</v>
      </c>
      <c r="C70" s="14" t="s">
        <v>23</v>
      </c>
      <c r="D70" s="15">
        <v>1</v>
      </c>
      <c r="E70" s="15">
        <f>(F68+F69+F67+F66+F65+F64)*3%</f>
        <v>112.128</v>
      </c>
      <c r="F70" s="15">
        <f t="shared" si="2"/>
        <v>112.128</v>
      </c>
      <c r="G70" s="13" t="s">
        <v>670</v>
      </c>
      <c r="H70" t="s">
        <v>24</v>
      </c>
    </row>
    <row r="71" spans="1:8">
      <c r="A71" s="13"/>
      <c r="B71" s="13" t="s">
        <v>671</v>
      </c>
      <c r="C71" s="14" t="s">
        <v>31</v>
      </c>
      <c r="D71" s="15">
        <v>1</v>
      </c>
      <c r="E71" s="15"/>
      <c r="F71" s="15">
        <f>F68+F69+F70+F67+F66+F65+F64</f>
        <v>3849.7280000000001</v>
      </c>
      <c r="G71" s="13"/>
      <c r="H71" t="s">
        <v>24</v>
      </c>
    </row>
    <row r="72" spans="1:8">
      <c r="A72" s="13"/>
      <c r="B72" s="13" t="s">
        <v>672</v>
      </c>
      <c r="C72" s="14" t="s">
        <v>31</v>
      </c>
      <c r="D72" s="15"/>
      <c r="E72" s="15"/>
      <c r="F72" s="15">
        <f>F71/D71</f>
        <v>3849.7280000000001</v>
      </c>
      <c r="G72" s="13"/>
      <c r="H72" t="s">
        <v>24</v>
      </c>
    </row>
    <row r="73" spans="1:8">
      <c r="A73" s="13"/>
      <c r="B73" s="13"/>
      <c r="C73" s="14"/>
      <c r="D73" s="15"/>
      <c r="E73" s="15"/>
      <c r="F73" s="15"/>
      <c r="G73" s="13"/>
    </row>
    <row r="74" spans="1:8">
      <c r="A74" s="22"/>
      <c r="B74" s="22"/>
      <c r="C74" s="23"/>
      <c r="D74" s="24"/>
      <c r="E74" s="24"/>
      <c r="F74" s="24"/>
      <c r="G74" s="22"/>
    </row>
    <row r="75" spans="1:8">
      <c r="A75" s="10" t="s">
        <v>9</v>
      </c>
      <c r="B75" s="11" t="s">
        <v>652</v>
      </c>
      <c r="C75" s="11" t="s">
        <v>11</v>
      </c>
      <c r="D75" s="11" t="s">
        <v>650</v>
      </c>
      <c r="E75" s="12" t="s">
        <v>653</v>
      </c>
      <c r="F75" s="12" t="s">
        <v>651</v>
      </c>
      <c r="G75" s="11" t="s">
        <v>654</v>
      </c>
    </row>
    <row r="76" spans="1:8">
      <c r="A76" s="19" t="s">
        <v>835</v>
      </c>
      <c r="B76" s="19" t="s">
        <v>719</v>
      </c>
      <c r="C76" s="20" t="s">
        <v>699</v>
      </c>
      <c r="D76" s="21">
        <v>1</v>
      </c>
      <c r="E76" s="21">
        <f>F83</f>
        <v>695.29892500000005</v>
      </c>
      <c r="F76" s="21"/>
      <c r="G76" s="19" t="s">
        <v>680</v>
      </c>
    </row>
    <row r="77" spans="1:8">
      <c r="A77" s="13">
        <v>1</v>
      </c>
      <c r="B77" s="13" t="s">
        <v>720</v>
      </c>
      <c r="C77" s="14" t="s">
        <v>699</v>
      </c>
      <c r="D77" s="15">
        <v>1</v>
      </c>
      <c r="E77" s="15">
        <v>440</v>
      </c>
      <c r="F77" s="15">
        <f>D77*E77</f>
        <v>440</v>
      </c>
      <c r="G77" s="13" t="s">
        <v>721</v>
      </c>
    </row>
    <row r="78" spans="1:8" ht="28.5">
      <c r="A78" s="13">
        <v>2</v>
      </c>
      <c r="B78" s="13" t="s">
        <v>722</v>
      </c>
      <c r="C78" s="14" t="s">
        <v>31</v>
      </c>
      <c r="D78" s="15">
        <v>0.05</v>
      </c>
      <c r="E78" s="15">
        <v>3733.75</v>
      </c>
      <c r="F78" s="15">
        <f>D78*E78</f>
        <v>186.6875</v>
      </c>
      <c r="G78" s="13" t="s">
        <v>723</v>
      </c>
    </row>
    <row r="79" spans="1:8" ht="28.5">
      <c r="A79" s="13">
        <v>3</v>
      </c>
      <c r="B79" s="13" t="s">
        <v>447</v>
      </c>
      <c r="C79" s="14" t="s">
        <v>52</v>
      </c>
      <c r="D79" s="15">
        <v>0.3</v>
      </c>
      <c r="E79" s="15">
        <v>43.78</v>
      </c>
      <c r="F79" s="15">
        <f>D79*E79</f>
        <v>13.134</v>
      </c>
      <c r="G79" s="13" t="s">
        <v>724</v>
      </c>
    </row>
    <row r="80" spans="1:8">
      <c r="A80" s="13">
        <v>4</v>
      </c>
      <c r="B80" s="13" t="s">
        <v>725</v>
      </c>
      <c r="C80" s="14" t="s">
        <v>98</v>
      </c>
      <c r="D80" s="15">
        <v>0.05</v>
      </c>
      <c r="E80" s="15">
        <v>704.52</v>
      </c>
      <c r="F80" s="15">
        <f>D80*E80</f>
        <v>35.225999999999999</v>
      </c>
      <c r="G80" s="13">
        <v>293100002</v>
      </c>
    </row>
    <row r="81" spans="1:7" ht="28.5">
      <c r="A81" s="13">
        <v>5</v>
      </c>
      <c r="B81" s="13" t="s">
        <v>669</v>
      </c>
      <c r="C81" s="14" t="s">
        <v>23</v>
      </c>
      <c r="D81" s="15">
        <v>1</v>
      </c>
      <c r="E81" s="15">
        <f>(F77+F78+F79+F80)*3%</f>
        <v>20.251425000000001</v>
      </c>
      <c r="F81" s="15">
        <f>D81*E81</f>
        <v>20.251425000000001</v>
      </c>
      <c r="G81" s="13" t="s">
        <v>670</v>
      </c>
    </row>
    <row r="82" spans="1:7">
      <c r="A82" s="13"/>
      <c r="B82" s="13" t="s">
        <v>671</v>
      </c>
      <c r="C82" s="14" t="s">
        <v>52</v>
      </c>
      <c r="D82" s="15">
        <v>1</v>
      </c>
      <c r="E82" s="15"/>
      <c r="F82" s="15">
        <f>F77+F78+F79+F81+F80</f>
        <v>695.29892500000005</v>
      </c>
      <c r="G82" s="13"/>
    </row>
    <row r="83" spans="1:7">
      <c r="A83" s="13"/>
      <c r="B83" s="13" t="s">
        <v>672</v>
      </c>
      <c r="C83" s="14" t="s">
        <v>52</v>
      </c>
      <c r="D83" s="15"/>
      <c r="E83" s="15"/>
      <c r="F83" s="15">
        <f>F82/D82</f>
        <v>695.29892500000005</v>
      </c>
      <c r="G83" s="13"/>
    </row>
    <row r="84" spans="1:7">
      <c r="A84" s="22"/>
      <c r="B84" s="22"/>
      <c r="C84" s="23"/>
      <c r="D84" s="24"/>
      <c r="E84" s="24"/>
      <c r="F84" s="24"/>
      <c r="G84" s="22"/>
    </row>
    <row r="85" spans="1:7">
      <c r="A85" s="10" t="s">
        <v>9</v>
      </c>
      <c r="B85" s="11" t="s">
        <v>652</v>
      </c>
      <c r="C85" s="11" t="s">
        <v>11</v>
      </c>
      <c r="D85" s="11" t="s">
        <v>650</v>
      </c>
      <c r="E85" s="12" t="s">
        <v>653</v>
      </c>
      <c r="F85" s="12" t="s">
        <v>651</v>
      </c>
      <c r="G85" s="11" t="s">
        <v>654</v>
      </c>
    </row>
    <row r="86" spans="1:7" ht="28.5">
      <c r="A86" s="19" t="s">
        <v>707</v>
      </c>
      <c r="B86" s="19" t="s">
        <v>696</v>
      </c>
      <c r="C86" s="20" t="s">
        <v>699</v>
      </c>
      <c r="D86" s="21">
        <v>1</v>
      </c>
      <c r="E86" s="21">
        <f>F92</f>
        <v>1861.4159999999999</v>
      </c>
      <c r="F86" s="21"/>
      <c r="G86" s="19" t="s">
        <v>708</v>
      </c>
    </row>
    <row r="87" spans="1:7" ht="28.5">
      <c r="A87" s="13">
        <v>1</v>
      </c>
      <c r="B87" s="13" t="s">
        <v>709</v>
      </c>
      <c r="C87" s="14" t="s">
        <v>710</v>
      </c>
      <c r="D87" s="15">
        <v>1</v>
      </c>
      <c r="E87" s="15">
        <v>60</v>
      </c>
      <c r="F87" s="15">
        <f>D87*E87</f>
        <v>60</v>
      </c>
      <c r="G87" s="13" t="s">
        <v>711</v>
      </c>
    </row>
    <row r="88" spans="1:7" ht="28.5">
      <c r="A88" s="13">
        <v>2</v>
      </c>
      <c r="B88" s="13" t="s">
        <v>712</v>
      </c>
      <c r="C88" s="14" t="s">
        <v>703</v>
      </c>
      <c r="D88" s="15">
        <v>47.1</v>
      </c>
      <c r="E88" s="15">
        <v>32</v>
      </c>
      <c r="F88" s="15">
        <f>D88*E88</f>
        <v>1507.2</v>
      </c>
      <c r="G88" s="13" t="s">
        <v>713</v>
      </c>
    </row>
    <row r="89" spans="1:7" ht="28.5">
      <c r="A89" s="13">
        <v>3</v>
      </c>
      <c r="B89" s="13" t="s">
        <v>714</v>
      </c>
      <c r="C89" s="14" t="s">
        <v>710</v>
      </c>
      <c r="D89" s="15">
        <v>1</v>
      </c>
      <c r="E89" s="15">
        <v>240</v>
      </c>
      <c r="F89" s="15">
        <f>D89*E89</f>
        <v>240</v>
      </c>
      <c r="G89" s="13" t="s">
        <v>715</v>
      </c>
    </row>
    <row r="90" spans="1:7" ht="28.5">
      <c r="A90" s="13">
        <v>4</v>
      </c>
      <c r="B90" s="13" t="s">
        <v>669</v>
      </c>
      <c r="C90" s="14" t="s">
        <v>23</v>
      </c>
      <c r="D90" s="15">
        <v>1</v>
      </c>
      <c r="E90" s="15">
        <f>(F87+F88+F89)*3%</f>
        <v>54.216000000000001</v>
      </c>
      <c r="F90" s="15">
        <f>D90*E90</f>
        <v>54.216000000000001</v>
      </c>
      <c r="G90" s="13" t="s">
        <v>670</v>
      </c>
    </row>
    <row r="91" spans="1:7">
      <c r="A91" s="13"/>
      <c r="B91" s="13" t="s">
        <v>671</v>
      </c>
      <c r="C91" s="14" t="s">
        <v>52</v>
      </c>
      <c r="D91" s="15">
        <v>1</v>
      </c>
      <c r="E91" s="15"/>
      <c r="F91" s="15">
        <f>F87+F88+F89+F90</f>
        <v>1861.4159999999999</v>
      </c>
      <c r="G91" s="13"/>
    </row>
    <row r="92" spans="1:7">
      <c r="A92" s="13"/>
      <c r="B92" s="13" t="s">
        <v>672</v>
      </c>
      <c r="C92" s="14" t="s">
        <v>52</v>
      </c>
      <c r="D92" s="15"/>
      <c r="E92" s="15"/>
      <c r="F92" s="15">
        <f>F91/D91</f>
        <v>1861.4159999999999</v>
      </c>
      <c r="G92" s="13"/>
    </row>
    <row r="93" spans="1:7">
      <c r="A93" s="22"/>
      <c r="B93" s="22"/>
      <c r="C93" s="23"/>
      <c r="D93" s="24"/>
      <c r="E93" s="24"/>
      <c r="F93" s="24"/>
      <c r="G93" s="22"/>
    </row>
    <row r="94" spans="1:7">
      <c r="A94" s="10" t="s">
        <v>9</v>
      </c>
      <c r="B94" s="11" t="s">
        <v>652</v>
      </c>
      <c r="C94" s="11" t="s">
        <v>11</v>
      </c>
      <c r="D94" s="11" t="s">
        <v>650</v>
      </c>
      <c r="E94" s="12" t="s">
        <v>653</v>
      </c>
      <c r="F94" s="12" t="s">
        <v>651</v>
      </c>
      <c r="G94" s="11" t="s">
        <v>654</v>
      </c>
    </row>
    <row r="95" spans="1:7" ht="28.5">
      <c r="A95" s="19" t="s">
        <v>726</v>
      </c>
      <c r="B95" s="19" t="s">
        <v>701</v>
      </c>
      <c r="C95" s="20" t="s">
        <v>699</v>
      </c>
      <c r="D95" s="21">
        <v>1</v>
      </c>
      <c r="E95" s="21">
        <f>F101</f>
        <v>868.90800000000002</v>
      </c>
      <c r="F95" s="21"/>
      <c r="G95" s="19" t="s">
        <v>727</v>
      </c>
    </row>
    <row r="96" spans="1:7" ht="28.5">
      <c r="A96" s="13">
        <v>1</v>
      </c>
      <c r="B96" s="13" t="s">
        <v>709</v>
      </c>
      <c r="C96" s="14" t="s">
        <v>710</v>
      </c>
      <c r="D96" s="15">
        <v>1</v>
      </c>
      <c r="E96" s="15">
        <v>30</v>
      </c>
      <c r="F96" s="15">
        <f>D96*E96</f>
        <v>30</v>
      </c>
      <c r="G96" s="13" t="s">
        <v>711</v>
      </c>
    </row>
    <row r="97" spans="1:9" ht="28.5">
      <c r="A97" s="13">
        <v>2</v>
      </c>
      <c r="B97" s="13" t="s">
        <v>712</v>
      </c>
      <c r="C97" s="14" t="s">
        <v>703</v>
      </c>
      <c r="D97" s="15">
        <v>23.55</v>
      </c>
      <c r="E97" s="15">
        <v>32</v>
      </c>
      <c r="F97" s="15">
        <f>D97*E97</f>
        <v>753.6</v>
      </c>
      <c r="G97" s="13" t="s">
        <v>713</v>
      </c>
    </row>
    <row r="98" spans="1:9" ht="28.5">
      <c r="A98" s="13">
        <v>3</v>
      </c>
      <c r="B98" s="13" t="s">
        <v>714</v>
      </c>
      <c r="C98" s="14" t="s">
        <v>710</v>
      </c>
      <c r="D98" s="15">
        <v>1</v>
      </c>
      <c r="E98" s="15">
        <v>60</v>
      </c>
      <c r="F98" s="15">
        <f>D98*E98</f>
        <v>60</v>
      </c>
      <c r="G98" s="13" t="s">
        <v>715</v>
      </c>
    </row>
    <row r="99" spans="1:9" ht="28.5">
      <c r="A99" s="13">
        <v>4</v>
      </c>
      <c r="B99" s="13" t="s">
        <v>669</v>
      </c>
      <c r="C99" s="14" t="s">
        <v>23</v>
      </c>
      <c r="D99" s="15">
        <v>1</v>
      </c>
      <c r="E99" s="15">
        <f>(F96+F97+F98)*3%</f>
        <v>25.308</v>
      </c>
      <c r="F99" s="15">
        <f>D99*E99</f>
        <v>25.308</v>
      </c>
      <c r="G99" s="13" t="s">
        <v>670</v>
      </c>
    </row>
    <row r="100" spans="1:9">
      <c r="A100" s="13"/>
      <c r="B100" s="13" t="s">
        <v>671</v>
      </c>
      <c r="C100" s="14" t="s">
        <v>52</v>
      </c>
      <c r="D100" s="15">
        <v>1</v>
      </c>
      <c r="E100" s="15"/>
      <c r="F100" s="15">
        <f>F96+F97+F98+F99</f>
        <v>868.90800000000002</v>
      </c>
      <c r="G100" s="13"/>
    </row>
    <row r="101" spans="1:9">
      <c r="A101" s="13"/>
      <c r="B101" s="13" t="s">
        <v>672</v>
      </c>
      <c r="C101" s="14" t="s">
        <v>52</v>
      </c>
      <c r="D101" s="15"/>
      <c r="E101" s="15"/>
      <c r="F101" s="15">
        <f>F100/D100</f>
        <v>868.90800000000002</v>
      </c>
      <c r="G101" s="13"/>
    </row>
    <row r="102" spans="1:9">
      <c r="A102" s="22"/>
      <c r="B102" s="22"/>
      <c r="C102" s="23"/>
      <c r="D102" s="24"/>
      <c r="E102" s="24"/>
      <c r="F102" s="24"/>
      <c r="G102" s="22"/>
    </row>
    <row r="104" spans="1:9">
      <c r="A104" s="10" t="s">
        <v>9</v>
      </c>
      <c r="B104" s="11" t="s">
        <v>652</v>
      </c>
      <c r="C104" s="11" t="s">
        <v>11</v>
      </c>
      <c r="D104" s="11" t="s">
        <v>650</v>
      </c>
      <c r="E104" s="12" t="s">
        <v>653</v>
      </c>
      <c r="F104" s="12" t="s">
        <v>651</v>
      </c>
      <c r="G104" s="11" t="s">
        <v>654</v>
      </c>
    </row>
    <row r="105" spans="1:9" ht="28.5" customHeight="1">
      <c r="A105" s="68" t="s">
        <v>816</v>
      </c>
      <c r="B105" s="67" t="s">
        <v>815</v>
      </c>
      <c r="C105" s="25" t="s">
        <v>52</v>
      </c>
      <c r="D105" s="26">
        <v>100</v>
      </c>
      <c r="E105" s="26">
        <f>F114</f>
        <v>11557.489919999998</v>
      </c>
      <c r="F105" s="26"/>
      <c r="G105" s="7" t="s">
        <v>817</v>
      </c>
    </row>
    <row r="106" spans="1:9" ht="28.5" customHeight="1">
      <c r="A106" s="7">
        <v>1</v>
      </c>
      <c r="B106" s="7" t="s">
        <v>807</v>
      </c>
      <c r="C106" s="25" t="s">
        <v>36</v>
      </c>
      <c r="D106" s="26">
        <f>12*9</f>
        <v>108</v>
      </c>
      <c r="E106" s="26">
        <v>3090</v>
      </c>
      <c r="F106" s="26">
        <f>D106*E106</f>
        <v>333720</v>
      </c>
      <c r="G106" s="7" t="s">
        <v>808</v>
      </c>
    </row>
    <row r="107" spans="1:9" s="9" customFormat="1" ht="33">
      <c r="A107" s="7">
        <v>2</v>
      </c>
      <c r="B107" s="7" t="s">
        <v>818</v>
      </c>
      <c r="C107" s="25" t="s">
        <v>809</v>
      </c>
      <c r="D107" s="26">
        <v>88</v>
      </c>
      <c r="E107" s="26">
        <v>1250</v>
      </c>
      <c r="F107" s="26">
        <f t="shared" ref="F107:F112" si="3">D107*E107</f>
        <v>110000</v>
      </c>
      <c r="G107" s="7"/>
      <c r="H107" s="8" t="s">
        <v>24</v>
      </c>
      <c r="I107" s="9">
        <f>1250*1</f>
        <v>1250</v>
      </c>
    </row>
    <row r="108" spans="1:9" s="9" customFormat="1" ht="33">
      <c r="A108" s="7">
        <v>3</v>
      </c>
      <c r="B108" s="7" t="s">
        <v>810</v>
      </c>
      <c r="C108" s="25" t="s">
        <v>687</v>
      </c>
      <c r="D108" s="26">
        <v>88</v>
      </c>
      <c r="E108" s="26">
        <v>1650</v>
      </c>
      <c r="F108" s="26">
        <f t="shared" si="3"/>
        <v>145200</v>
      </c>
      <c r="G108" s="7"/>
      <c r="H108" s="8" t="s">
        <v>24</v>
      </c>
    </row>
    <row r="109" spans="1:9" ht="28.5" customHeight="1">
      <c r="A109" s="7">
        <v>4</v>
      </c>
      <c r="B109" s="7" t="s">
        <v>811</v>
      </c>
      <c r="C109" s="25" t="s">
        <v>52</v>
      </c>
      <c r="D109" s="26">
        <v>100</v>
      </c>
      <c r="E109" s="26">
        <v>1250</v>
      </c>
      <c r="F109" s="26">
        <f t="shared" si="3"/>
        <v>125000</v>
      </c>
      <c r="G109" s="7"/>
    </row>
    <row r="110" spans="1:9" ht="28.5" customHeight="1">
      <c r="A110" s="7">
        <v>5</v>
      </c>
      <c r="B110" s="7" t="s">
        <v>819</v>
      </c>
      <c r="C110" s="25" t="s">
        <v>812</v>
      </c>
      <c r="D110" s="26">
        <v>100</v>
      </c>
      <c r="E110" s="26">
        <v>1580</v>
      </c>
      <c r="F110" s="26">
        <f t="shared" si="3"/>
        <v>158000</v>
      </c>
      <c r="G110" s="7"/>
      <c r="I110">
        <f>1580*1</f>
        <v>1580</v>
      </c>
    </row>
    <row r="111" spans="1:9" ht="28.5" customHeight="1">
      <c r="A111" s="7">
        <v>6</v>
      </c>
      <c r="B111" s="7" t="s">
        <v>813</v>
      </c>
      <c r="C111" s="25" t="s">
        <v>90</v>
      </c>
      <c r="D111" s="26">
        <v>64</v>
      </c>
      <c r="E111" s="26">
        <v>3908.85</v>
      </c>
      <c r="F111" s="26">
        <f t="shared" si="3"/>
        <v>250166.39999999999</v>
      </c>
      <c r="G111" s="7" t="s">
        <v>814</v>
      </c>
    </row>
    <row r="112" spans="1:9" ht="28.5" customHeight="1">
      <c r="A112" s="7">
        <v>7</v>
      </c>
      <c r="B112" s="7" t="s">
        <v>669</v>
      </c>
      <c r="C112" s="25" t="s">
        <v>23</v>
      </c>
      <c r="D112" s="26">
        <v>1</v>
      </c>
      <c r="E112" s="26">
        <f>I112</f>
        <v>33662.591999999997</v>
      </c>
      <c r="F112" s="26">
        <f t="shared" si="3"/>
        <v>33662.591999999997</v>
      </c>
      <c r="G112" s="7"/>
      <c r="I112">
        <f>SUM(F106:F111)*0.03</f>
        <v>33662.591999999997</v>
      </c>
    </row>
    <row r="113" spans="1:7">
      <c r="A113" s="7"/>
      <c r="B113" s="7" t="s">
        <v>671</v>
      </c>
      <c r="C113" s="25" t="s">
        <v>52</v>
      </c>
      <c r="D113" s="26">
        <v>100</v>
      </c>
      <c r="E113" s="26"/>
      <c r="F113" s="26">
        <f>SUM(F106:F112)</f>
        <v>1155748.9919999999</v>
      </c>
      <c r="G113" s="7"/>
    </row>
    <row r="114" spans="1:7">
      <c r="A114" s="7"/>
      <c r="B114" s="7" t="s">
        <v>672</v>
      </c>
      <c r="C114" s="25" t="s">
        <v>52</v>
      </c>
      <c r="D114" s="26"/>
      <c r="E114" s="26"/>
      <c r="F114" s="26">
        <f>F113/D113</f>
        <v>11557.489919999998</v>
      </c>
      <c r="G114" s="7"/>
    </row>
    <row r="116" spans="1:7">
      <c r="A116" s="10" t="s">
        <v>9</v>
      </c>
      <c r="B116" s="11" t="s">
        <v>652</v>
      </c>
      <c r="C116" s="11" t="s">
        <v>11</v>
      </c>
      <c r="D116" s="11" t="s">
        <v>650</v>
      </c>
      <c r="E116" s="12" t="s">
        <v>653</v>
      </c>
      <c r="F116" s="12" t="s">
        <v>651</v>
      </c>
      <c r="G116" s="11" t="s">
        <v>654</v>
      </c>
    </row>
    <row r="117" spans="1:7" ht="28.5">
      <c r="A117" s="19">
        <v>5.12</v>
      </c>
      <c r="B117" s="19" t="s">
        <v>595</v>
      </c>
      <c r="C117" s="20" t="s">
        <v>36</v>
      </c>
      <c r="D117" s="21">
        <v>40</v>
      </c>
      <c r="E117" s="21">
        <f>F124</f>
        <v>293.73739562499998</v>
      </c>
      <c r="F117" s="21"/>
      <c r="G117" s="19" t="s">
        <v>822</v>
      </c>
    </row>
    <row r="118" spans="1:7" ht="42.75">
      <c r="A118" s="13">
        <v>1</v>
      </c>
      <c r="B118" s="13" t="s">
        <v>823</v>
      </c>
      <c r="C118" s="14" t="s">
        <v>36</v>
      </c>
      <c r="D118" s="15">
        <v>4</v>
      </c>
      <c r="E118" s="15">
        <v>1877.21</v>
      </c>
      <c r="F118" s="15">
        <f>D118*E118</f>
        <v>7508.84</v>
      </c>
      <c r="G118" s="13" t="s">
        <v>824</v>
      </c>
    </row>
    <row r="119" spans="1:7" ht="42.75">
      <c r="A119" s="13">
        <v>2</v>
      </c>
      <c r="B119" s="13" t="s">
        <v>825</v>
      </c>
      <c r="C119" s="14" t="s">
        <v>36</v>
      </c>
      <c r="D119" s="15">
        <v>2.15</v>
      </c>
      <c r="E119" s="15">
        <v>194.25</v>
      </c>
      <c r="F119" s="15">
        <f>D119*E119</f>
        <v>417.63749999999999</v>
      </c>
      <c r="G119" s="13" t="s">
        <v>826</v>
      </c>
    </row>
    <row r="120" spans="1:7" ht="28.5">
      <c r="A120" s="13">
        <v>3</v>
      </c>
      <c r="B120" s="13" t="s">
        <v>827</v>
      </c>
      <c r="C120" s="14" t="s">
        <v>36</v>
      </c>
      <c r="D120" s="15">
        <v>8</v>
      </c>
      <c r="E120" s="15">
        <v>65.099999999999994</v>
      </c>
      <c r="F120" s="15">
        <f>D120*E120</f>
        <v>520.79999999999995</v>
      </c>
      <c r="G120" s="13" t="s">
        <v>828</v>
      </c>
    </row>
    <row r="121" spans="1:7" ht="42.75">
      <c r="A121" s="13">
        <v>4</v>
      </c>
      <c r="B121" s="13" t="s">
        <v>829</v>
      </c>
      <c r="C121" s="14" t="s">
        <v>23</v>
      </c>
      <c r="D121" s="15">
        <v>1</v>
      </c>
      <c r="E121" s="15">
        <v>2960</v>
      </c>
      <c r="F121" s="15">
        <f>D121*E121</f>
        <v>2960</v>
      </c>
      <c r="G121" s="13" t="s">
        <v>830</v>
      </c>
    </row>
    <row r="122" spans="1:7" ht="28.5">
      <c r="A122" s="13">
        <v>5</v>
      </c>
      <c r="B122" s="13" t="s">
        <v>669</v>
      </c>
      <c r="C122" s="14" t="s">
        <v>23</v>
      </c>
      <c r="D122" s="15">
        <v>1</v>
      </c>
      <c r="E122" s="15">
        <f>(F118+F119+F120+F121)*3%</f>
        <v>342.21832499999999</v>
      </c>
      <c r="F122" s="15">
        <f>D122*E122</f>
        <v>342.21832499999999</v>
      </c>
      <c r="G122" s="13" t="s">
        <v>670</v>
      </c>
    </row>
    <row r="123" spans="1:7">
      <c r="A123" s="13"/>
      <c r="B123" s="13" t="s">
        <v>671</v>
      </c>
      <c r="C123" s="20" t="s">
        <v>36</v>
      </c>
      <c r="D123" s="15">
        <v>40</v>
      </c>
      <c r="E123" s="15"/>
      <c r="F123" s="15">
        <f>F118+F119+F120+F122+F121</f>
        <v>11749.495825</v>
      </c>
      <c r="G123" s="13"/>
    </row>
    <row r="124" spans="1:7">
      <c r="A124" s="13"/>
      <c r="B124" s="13" t="s">
        <v>672</v>
      </c>
      <c r="C124" s="20" t="s">
        <v>36</v>
      </c>
      <c r="D124" s="15"/>
      <c r="E124" s="15"/>
      <c r="F124" s="15">
        <f>F123/D123</f>
        <v>293.73739562499998</v>
      </c>
      <c r="G124" s="13"/>
    </row>
    <row r="125" spans="1:7">
      <c r="A125" s="22"/>
      <c r="B125" s="22"/>
      <c r="C125" s="23"/>
      <c r="D125" s="24"/>
      <c r="E125" s="24"/>
      <c r="F125" s="24"/>
      <c r="G125" s="22"/>
    </row>
  </sheetData>
  <mergeCells count="3">
    <mergeCell ref="A1:G1"/>
    <mergeCell ref="A2:G2"/>
    <mergeCell ref="A3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verticalDpi="300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548A-97D0-4726-A98E-C23DA1AA0598}">
  <sheetPr>
    <tabColor rgb="FFFF0000"/>
  </sheetPr>
  <dimension ref="A1:V514"/>
  <sheetViews>
    <sheetView view="pageBreakPreview" zoomScale="145" zoomScaleNormal="100" zoomScaleSheetLayoutView="145" workbookViewId="0">
      <pane ySplit="8" topLeftCell="A134" activePane="bottomLeft" state="frozen"/>
      <selection pane="bottomLeft" activeCell="A92" sqref="A46:XFD92"/>
    </sheetView>
  </sheetViews>
  <sheetFormatPr defaultRowHeight="16.5"/>
  <cols>
    <col min="1" max="1" width="2.875" customWidth="1"/>
    <col min="2" max="2" width="22.25" customWidth="1"/>
    <col min="3" max="3" width="3.625" customWidth="1"/>
    <col min="4" max="6" width="7.375" customWidth="1"/>
    <col min="7" max="7" width="8.375" customWidth="1"/>
    <col min="8" max="8" width="0" hidden="1" customWidth="1"/>
    <col min="9" max="9" width="7.375" customWidth="1"/>
    <col min="10" max="10" width="12.875" bestFit="1" customWidth="1"/>
    <col min="11" max="11" width="11" customWidth="1"/>
    <col min="12" max="12" width="10.375" style="125" customWidth="1"/>
    <col min="13" max="13" width="9.75" style="137" customWidth="1"/>
    <col min="14" max="14" width="9.875" customWidth="1"/>
    <col min="15" max="15" width="0.5" customWidth="1"/>
    <col min="16" max="16" width="29.25" style="27" customWidth="1"/>
    <col min="17" max="17" width="13.5" style="194" customWidth="1"/>
    <col min="18" max="18" width="19" style="69" customWidth="1"/>
    <col min="19" max="19" width="19" style="270" customWidth="1"/>
    <col min="20" max="20" width="16.5" style="270" customWidth="1"/>
    <col min="21" max="21" width="23.875" style="64" bestFit="1" customWidth="1"/>
    <col min="22" max="22" width="21.875" customWidth="1"/>
  </cols>
  <sheetData>
    <row r="1" spans="1:21" ht="20.25" customHeight="1">
      <c r="A1" s="138"/>
      <c r="B1" s="138"/>
      <c r="C1" s="784" t="s">
        <v>0</v>
      </c>
      <c r="D1" s="784"/>
      <c r="E1" s="784"/>
      <c r="F1" s="784"/>
      <c r="G1" s="784"/>
      <c r="H1" s="784"/>
      <c r="I1" s="784"/>
      <c r="J1" s="784"/>
      <c r="K1" s="784"/>
      <c r="L1" s="785"/>
      <c r="M1" s="139"/>
      <c r="N1" s="140"/>
      <c r="O1" s="1"/>
    </row>
    <row r="2" spans="1:21" ht="15.75" customHeight="1">
      <c r="A2" s="788" t="s">
        <v>1</v>
      </c>
      <c r="B2" s="788"/>
      <c r="C2" s="789" t="s">
        <v>690</v>
      </c>
      <c r="D2" s="789"/>
      <c r="E2" s="789"/>
      <c r="F2" s="789"/>
      <c r="G2" s="789"/>
      <c r="H2" s="789"/>
      <c r="I2" s="789"/>
      <c r="J2" s="789"/>
      <c r="K2" s="789"/>
      <c r="L2" s="790"/>
      <c r="M2" s="141"/>
      <c r="N2" s="142"/>
      <c r="O2" s="1"/>
    </row>
    <row r="3" spans="1:21">
      <c r="A3" s="791" t="s">
        <v>886</v>
      </c>
      <c r="B3" s="791"/>
      <c r="C3" s="791"/>
      <c r="D3" s="791"/>
      <c r="E3" s="791"/>
      <c r="F3" s="791"/>
      <c r="G3" s="791"/>
      <c r="H3" s="791"/>
      <c r="I3" s="791"/>
      <c r="J3" s="791"/>
      <c r="K3" s="791"/>
      <c r="L3" s="143" t="s">
        <v>3</v>
      </c>
      <c r="M3" s="792">
        <v>45657.380879629629</v>
      </c>
      <c r="N3" s="793"/>
      <c r="O3" s="2"/>
    </row>
    <row r="4" spans="1:21">
      <c r="A4" s="797" t="s">
        <v>4</v>
      </c>
      <c r="B4" s="798"/>
      <c r="C4" s="798"/>
      <c r="D4" s="798"/>
      <c r="E4" s="798"/>
      <c r="F4" s="798"/>
      <c r="G4" s="798"/>
      <c r="H4" s="798"/>
      <c r="I4" s="798"/>
      <c r="J4" s="799"/>
      <c r="K4" s="144" t="s">
        <v>5</v>
      </c>
      <c r="L4" s="145"/>
      <c r="M4" s="800">
        <v>324912089</v>
      </c>
      <c r="N4" s="801"/>
      <c r="O4" s="2"/>
    </row>
    <row r="5" spans="1:21">
      <c r="A5" s="797" t="s">
        <v>6</v>
      </c>
      <c r="B5" s="798"/>
      <c r="C5" s="798"/>
      <c r="D5" s="798"/>
      <c r="E5" s="798"/>
      <c r="F5" s="798"/>
      <c r="G5" s="798"/>
      <c r="H5" s="798"/>
      <c r="I5" s="798"/>
      <c r="J5" s="799"/>
      <c r="K5" s="144" t="s">
        <v>905</v>
      </c>
      <c r="L5" s="145"/>
      <c r="M5" s="800">
        <f>SUM(J11:J514)-J513-J507-J487-J466-J462-J422-J392-J384-J342-J252-J234-J215-J189-J141-J40-J11-J511</f>
        <v>380487641.12811661</v>
      </c>
      <c r="N5" s="801"/>
      <c r="O5" s="2"/>
    </row>
    <row r="6" spans="1:21">
      <c r="A6" s="797" t="s">
        <v>7</v>
      </c>
      <c r="B6" s="798"/>
      <c r="C6" s="798"/>
      <c r="D6" s="798"/>
      <c r="E6" s="798"/>
      <c r="F6" s="798"/>
      <c r="G6" s="798"/>
      <c r="H6" s="798"/>
      <c r="I6" s="798"/>
      <c r="J6" s="799"/>
      <c r="K6" s="144" t="s">
        <v>8</v>
      </c>
      <c r="L6" s="145"/>
      <c r="M6" s="800">
        <f>K9</f>
        <v>383980039.66188347</v>
      </c>
      <c r="N6" s="801"/>
      <c r="O6" s="2"/>
      <c r="P6" s="288">
        <f>M6-M5</f>
        <v>3492398.5337668657</v>
      </c>
    </row>
    <row r="7" spans="1:21" ht="13.5" customHeight="1">
      <c r="A7" s="782" t="s">
        <v>9</v>
      </c>
      <c r="B7" s="802" t="s">
        <v>10</v>
      </c>
      <c r="C7" s="802" t="s">
        <v>11</v>
      </c>
      <c r="D7" s="782" t="s">
        <v>906</v>
      </c>
      <c r="E7" s="782" t="s">
        <v>12</v>
      </c>
      <c r="F7" s="786" t="s">
        <v>13</v>
      </c>
      <c r="G7" s="782" t="s">
        <v>14</v>
      </c>
      <c r="H7" s="782" t="s">
        <v>15</v>
      </c>
      <c r="I7" s="782" t="s">
        <v>15</v>
      </c>
      <c r="J7" s="782" t="s">
        <v>16</v>
      </c>
      <c r="K7" s="782" t="s">
        <v>17</v>
      </c>
      <c r="L7" s="807" t="s">
        <v>18</v>
      </c>
      <c r="M7" s="805" t="s">
        <v>19</v>
      </c>
      <c r="N7" s="802" t="s">
        <v>20</v>
      </c>
      <c r="O7" s="146"/>
      <c r="P7" s="811" t="s">
        <v>688</v>
      </c>
      <c r="Q7" s="795" t="s">
        <v>695</v>
      </c>
      <c r="R7" s="809" t="s">
        <v>831</v>
      </c>
      <c r="S7" s="804" t="s">
        <v>894</v>
      </c>
      <c r="T7" s="794" t="s">
        <v>892</v>
      </c>
      <c r="U7" s="794"/>
    </row>
    <row r="8" spans="1:21" ht="12.75" customHeight="1">
      <c r="A8" s="783"/>
      <c r="B8" s="803"/>
      <c r="C8" s="803"/>
      <c r="D8" s="783"/>
      <c r="E8" s="783"/>
      <c r="F8" s="787"/>
      <c r="G8" s="783"/>
      <c r="H8" s="783"/>
      <c r="I8" s="783"/>
      <c r="J8" s="783"/>
      <c r="K8" s="783"/>
      <c r="L8" s="808"/>
      <c r="M8" s="806"/>
      <c r="N8" s="803"/>
      <c r="O8" s="147"/>
      <c r="P8" s="812"/>
      <c r="Q8" s="796"/>
      <c r="R8" s="810"/>
      <c r="S8" s="804"/>
      <c r="T8" s="794"/>
      <c r="U8" s="794"/>
    </row>
    <row r="9" spans="1:21" ht="33">
      <c r="A9" s="3" t="s">
        <v>21</v>
      </c>
      <c r="B9" s="4" t="s">
        <v>22</v>
      </c>
      <c r="C9" s="5" t="s">
        <v>23</v>
      </c>
      <c r="D9" s="6">
        <v>1</v>
      </c>
      <c r="E9" s="6"/>
      <c r="F9" s="6"/>
      <c r="G9" s="6">
        <v>361528714</v>
      </c>
      <c r="H9" s="6"/>
      <c r="I9" s="6"/>
      <c r="J9" s="6">
        <v>365478534</v>
      </c>
      <c r="K9" s="96">
        <f>K10+K392+K422+K462+K466+K487+K507+K510+K511+K513</f>
        <v>383980039.66188347</v>
      </c>
      <c r="L9" s="121">
        <f>K9-J9</f>
        <v>18501505.661883473</v>
      </c>
      <c r="M9" s="126"/>
      <c r="N9" s="7" t="s">
        <v>1</v>
      </c>
      <c r="O9" s="148" t="s">
        <v>24</v>
      </c>
      <c r="P9" s="149"/>
      <c r="Q9" s="184"/>
      <c r="R9" s="161"/>
      <c r="S9" s="268"/>
      <c r="T9" s="268"/>
    </row>
    <row r="10" spans="1:21" ht="33">
      <c r="A10" s="200" t="s">
        <v>25</v>
      </c>
      <c r="B10" s="201" t="s">
        <v>26</v>
      </c>
      <c r="C10" s="202" t="s">
        <v>23</v>
      </c>
      <c r="D10" s="203">
        <v>1</v>
      </c>
      <c r="E10" s="203"/>
      <c r="F10" s="203"/>
      <c r="G10" s="203">
        <v>275489625</v>
      </c>
      <c r="H10" s="203"/>
      <c r="I10" s="203"/>
      <c r="J10" s="203">
        <f>J11+J40+J141+J189+J215+J234+J252+J342+J384</f>
        <v>290445482.15181756</v>
      </c>
      <c r="K10" s="204">
        <f>K11+K40+K141+K189+K215+K234+K252+K342+K384</f>
        <v>291818295.4028492</v>
      </c>
      <c r="L10" s="205">
        <f>L11+L40+L141+L189+L215+L234+L252+L342+L384</f>
        <v>1754816.4703144676</v>
      </c>
      <c r="M10" s="206">
        <f>M11+M40+M141+M189+M215+M234+M252+M342+M384</f>
        <v>-382003.21928277734</v>
      </c>
      <c r="N10" s="208" t="s">
        <v>1</v>
      </c>
      <c r="O10" s="148" t="s">
        <v>24</v>
      </c>
      <c r="P10" s="150"/>
      <c r="Q10" s="184"/>
      <c r="R10" s="161"/>
      <c r="S10" s="268"/>
      <c r="T10" s="268"/>
    </row>
    <row r="11" spans="1:21" ht="33">
      <c r="A11" s="200" t="s">
        <v>27</v>
      </c>
      <c r="B11" s="201" t="s">
        <v>28</v>
      </c>
      <c r="C11" s="202" t="s">
        <v>23</v>
      </c>
      <c r="D11" s="203">
        <v>1</v>
      </c>
      <c r="E11" s="203"/>
      <c r="F11" s="203"/>
      <c r="G11" s="203">
        <f>J11</f>
        <v>90501931.384400025</v>
      </c>
      <c r="H11" s="203"/>
      <c r="I11" s="203"/>
      <c r="J11" s="203">
        <f>SUM(J12:J39)</f>
        <v>90501931.384400025</v>
      </c>
      <c r="K11" s="204">
        <f>SUM(K12:K39)</f>
        <v>92643798.638103992</v>
      </c>
      <c r="L11" s="205">
        <f>SUM(L12:L39)</f>
        <v>2432892.0217039986</v>
      </c>
      <c r="M11" s="206">
        <f>SUM(M12:M39)</f>
        <v>-291024.76799999998</v>
      </c>
      <c r="N11" s="208" t="s">
        <v>1</v>
      </c>
      <c r="O11" s="151" t="s">
        <v>24</v>
      </c>
      <c r="P11" s="152"/>
      <c r="Q11" s="184"/>
      <c r="R11" s="161"/>
      <c r="S11" s="268"/>
      <c r="T11" s="268"/>
    </row>
    <row r="12" spans="1:21" ht="33">
      <c r="A12" s="3" t="s">
        <v>29</v>
      </c>
      <c r="B12" s="4" t="s">
        <v>30</v>
      </c>
      <c r="C12" s="5" t="s">
        <v>31</v>
      </c>
      <c r="D12" s="6">
        <v>544.66</v>
      </c>
      <c r="E12" s="6">
        <f>'整備工程(1)'!J8</f>
        <v>525.96</v>
      </c>
      <c r="F12" s="6">
        <f t="shared" ref="F12:F39" si="0">E12-D12</f>
        <v>-18.699999999999932</v>
      </c>
      <c r="G12" s="6">
        <v>193.12</v>
      </c>
      <c r="H12" s="6"/>
      <c r="I12" s="6"/>
      <c r="J12" s="6">
        <f t="shared" ref="J12:J39" si="1">D12*G12</f>
        <v>105184.7392</v>
      </c>
      <c r="K12" s="6">
        <f t="shared" ref="K12:K39" si="2">E12*G12</f>
        <v>101573.39520000001</v>
      </c>
      <c r="L12" s="122">
        <f>K12-J12</f>
        <v>-3611.3439999999828</v>
      </c>
      <c r="M12" s="127"/>
      <c r="N12" s="7" t="s">
        <v>1</v>
      </c>
      <c r="O12" s="148" t="s">
        <v>24</v>
      </c>
      <c r="P12" s="149"/>
      <c r="Q12" s="184"/>
      <c r="R12" s="161"/>
      <c r="S12" s="268"/>
      <c r="T12" s="268"/>
    </row>
    <row r="13" spans="1:21" ht="33">
      <c r="A13" s="3" t="s">
        <v>32</v>
      </c>
      <c r="B13" s="4" t="s">
        <v>33</v>
      </c>
      <c r="C13" s="5" t="s">
        <v>31</v>
      </c>
      <c r="D13" s="6">
        <v>7089.42</v>
      </c>
      <c r="E13" s="6">
        <f>'整備工程(1)'!J11</f>
        <v>7029.4501999999984</v>
      </c>
      <c r="F13" s="6">
        <f t="shared" si="0"/>
        <v>-59.969800000001669</v>
      </c>
      <c r="G13" s="6">
        <v>1046.22</v>
      </c>
      <c r="H13" s="6"/>
      <c r="I13" s="6"/>
      <c r="J13" s="6">
        <f t="shared" si="1"/>
        <v>7417092.9923999999</v>
      </c>
      <c r="K13" s="6">
        <f t="shared" si="2"/>
        <v>7354351.3882439984</v>
      </c>
      <c r="L13" s="122">
        <f>K13-J13</f>
        <v>-62741.604156001471</v>
      </c>
      <c r="M13" s="127"/>
      <c r="N13" s="7" t="s">
        <v>1</v>
      </c>
      <c r="O13" s="148" t="s">
        <v>24</v>
      </c>
      <c r="P13" s="149"/>
      <c r="Q13" s="184"/>
      <c r="R13" s="161"/>
      <c r="S13" s="268"/>
      <c r="T13" s="268"/>
    </row>
    <row r="14" spans="1:21" ht="52.5">
      <c r="A14" s="3" t="s">
        <v>34</v>
      </c>
      <c r="B14" s="4" t="s">
        <v>35</v>
      </c>
      <c r="C14" s="5" t="s">
        <v>36</v>
      </c>
      <c r="D14" s="6">
        <v>4616</v>
      </c>
      <c r="E14" s="6">
        <f>'整備工程(1)'!J26</f>
        <v>4615.0765000000001</v>
      </c>
      <c r="F14" s="6">
        <f t="shared" si="0"/>
        <v>-0.92349999999987631</v>
      </c>
      <c r="G14" s="6">
        <v>6200</v>
      </c>
      <c r="H14" s="6"/>
      <c r="I14" s="6"/>
      <c r="J14" s="6">
        <f t="shared" si="1"/>
        <v>28619200</v>
      </c>
      <c r="K14" s="6">
        <f t="shared" si="2"/>
        <v>28613474.300000001</v>
      </c>
      <c r="L14" s="122">
        <f>K14-J14</f>
        <v>-5725.6999999992549</v>
      </c>
      <c r="M14" s="127"/>
      <c r="N14" s="210" t="s">
        <v>37</v>
      </c>
      <c r="O14" s="148" t="s">
        <v>24</v>
      </c>
      <c r="P14" s="149"/>
      <c r="Q14" s="184"/>
      <c r="R14" s="161"/>
      <c r="S14" s="268"/>
      <c r="T14" s="268"/>
    </row>
    <row r="15" spans="1:21" ht="42.75">
      <c r="A15" s="3" t="s">
        <v>38</v>
      </c>
      <c r="B15" s="4" t="s">
        <v>39</v>
      </c>
      <c r="C15" s="5" t="s">
        <v>40</v>
      </c>
      <c r="D15" s="6">
        <v>31759</v>
      </c>
      <c r="E15" s="6">
        <f>'整備工程(1)'!J31</f>
        <v>32863</v>
      </c>
      <c r="F15" s="6">
        <f t="shared" si="0"/>
        <v>1104</v>
      </c>
      <c r="G15" s="6">
        <v>48.28</v>
      </c>
      <c r="H15" s="6"/>
      <c r="I15" s="6"/>
      <c r="J15" s="6">
        <f t="shared" si="1"/>
        <v>1533324.52</v>
      </c>
      <c r="K15" s="6">
        <f t="shared" si="2"/>
        <v>1586625.6400000001</v>
      </c>
      <c r="L15" s="122">
        <f>K15-J15</f>
        <v>53301.120000000112</v>
      </c>
      <c r="M15" s="127"/>
      <c r="N15" s="7" t="s">
        <v>1</v>
      </c>
      <c r="O15" s="148" t="s">
        <v>24</v>
      </c>
      <c r="P15" s="153"/>
      <c r="Q15" s="184" t="s">
        <v>837</v>
      </c>
      <c r="R15" s="161"/>
      <c r="S15" s="268"/>
      <c r="T15" s="268"/>
    </row>
    <row r="16" spans="1:21" ht="33">
      <c r="A16" s="3" t="s">
        <v>41</v>
      </c>
      <c r="B16" s="4" t="s">
        <v>42</v>
      </c>
      <c r="C16" s="5" t="s">
        <v>31</v>
      </c>
      <c r="D16" s="6">
        <v>731.44</v>
      </c>
      <c r="E16" s="6">
        <f>'整備工程(1)'!J34</f>
        <v>735.53800000000012</v>
      </c>
      <c r="F16" s="6">
        <f t="shared" si="0"/>
        <v>4.09800000000007</v>
      </c>
      <c r="G16" s="6">
        <v>599.75</v>
      </c>
      <c r="H16" s="6"/>
      <c r="I16" s="6"/>
      <c r="J16" s="6">
        <f t="shared" si="1"/>
        <v>438681.14</v>
      </c>
      <c r="K16" s="6">
        <f t="shared" si="2"/>
        <v>441138.91550000006</v>
      </c>
      <c r="L16" s="122">
        <f>K16-J16</f>
        <v>2457.775500000047</v>
      </c>
      <c r="M16" s="127"/>
      <c r="N16" s="7" t="s">
        <v>1</v>
      </c>
      <c r="O16" s="148" t="s">
        <v>24</v>
      </c>
      <c r="P16" s="149"/>
      <c r="Q16" s="184"/>
      <c r="R16" s="161"/>
      <c r="S16" s="268"/>
      <c r="T16" s="268"/>
    </row>
    <row r="17" spans="1:21" ht="33" customHeight="1">
      <c r="A17" s="241" t="s">
        <v>43</v>
      </c>
      <c r="B17" s="242" t="s">
        <v>44</v>
      </c>
      <c r="C17" s="243" t="s">
        <v>31</v>
      </c>
      <c r="D17" s="244">
        <v>7519</v>
      </c>
      <c r="E17" s="244">
        <f>'整備工程(1)'!J41</f>
        <v>4737.8</v>
      </c>
      <c r="F17" s="244">
        <f t="shared" si="0"/>
        <v>-2781.2</v>
      </c>
      <c r="G17" s="244">
        <v>104.64</v>
      </c>
      <c r="H17" s="244"/>
      <c r="I17" s="244"/>
      <c r="J17" s="244">
        <f t="shared" si="1"/>
        <v>786788.16</v>
      </c>
      <c r="K17" s="244">
        <f t="shared" si="2"/>
        <v>495763.39200000005</v>
      </c>
      <c r="L17" s="222"/>
      <c r="M17" s="245">
        <f>K17-J17</f>
        <v>-291024.76799999998</v>
      </c>
      <c r="N17" s="246" t="s">
        <v>1</v>
      </c>
      <c r="O17" s="148" t="s">
        <v>24</v>
      </c>
      <c r="P17" s="154"/>
      <c r="Q17" s="155"/>
      <c r="R17" s="154"/>
      <c r="S17" s="269"/>
      <c r="T17" s="269"/>
    </row>
    <row r="18" spans="1:21" ht="36" customHeight="1">
      <c r="A18" s="99" t="s">
        <v>45</v>
      </c>
      <c r="B18" s="100" t="s">
        <v>46</v>
      </c>
      <c r="C18" s="89" t="s">
        <v>40</v>
      </c>
      <c r="D18" s="91">
        <f>22240+355</f>
        <v>22595</v>
      </c>
      <c r="E18" s="91">
        <f>'整備工程(1)'!J46</f>
        <v>28125.200000000001</v>
      </c>
      <c r="F18" s="91">
        <f t="shared" si="0"/>
        <v>5530.2000000000007</v>
      </c>
      <c r="G18" s="91">
        <v>1027.43</v>
      </c>
      <c r="H18" s="91"/>
      <c r="I18" s="91"/>
      <c r="J18" s="91">
        <f t="shared" si="1"/>
        <v>23214780.850000001</v>
      </c>
      <c r="K18" s="91">
        <f t="shared" si="2"/>
        <v>28896674.236000001</v>
      </c>
      <c r="L18" s="124">
        <f t="shared" ref="L18:L39" si="3">K18-J18</f>
        <v>5681893.3859999999</v>
      </c>
      <c r="M18" s="131"/>
      <c r="N18" s="250" t="s">
        <v>47</v>
      </c>
      <c r="O18" s="164" t="s">
        <v>24</v>
      </c>
      <c r="P18" s="278"/>
      <c r="Q18" s="217"/>
      <c r="R18" s="276"/>
      <c r="S18" s="275" t="s">
        <v>897</v>
      </c>
      <c r="T18" s="269" t="s">
        <v>895</v>
      </c>
    </row>
    <row r="19" spans="1:21" ht="33">
      <c r="A19" s="3" t="s">
        <v>48</v>
      </c>
      <c r="B19" s="4" t="s">
        <v>49</v>
      </c>
      <c r="C19" s="5" t="s">
        <v>31</v>
      </c>
      <c r="D19" s="6">
        <v>6730.42</v>
      </c>
      <c r="E19" s="6">
        <f>'整備工程(1)'!J49</f>
        <v>6730.42</v>
      </c>
      <c r="F19" s="6">
        <f t="shared" si="0"/>
        <v>0</v>
      </c>
      <c r="G19" s="6">
        <v>1085.04</v>
      </c>
      <c r="H19" s="6"/>
      <c r="I19" s="6"/>
      <c r="J19" s="6">
        <f t="shared" si="1"/>
        <v>7302774.9167999998</v>
      </c>
      <c r="K19" s="6">
        <f t="shared" si="2"/>
        <v>7302774.9167999998</v>
      </c>
      <c r="L19" s="122">
        <f t="shared" si="3"/>
        <v>0</v>
      </c>
      <c r="M19" s="127"/>
      <c r="N19" s="210" t="s">
        <v>1</v>
      </c>
      <c r="O19" s="148" t="s">
        <v>24</v>
      </c>
      <c r="P19" s="149"/>
      <c r="Q19" s="184"/>
      <c r="R19" s="161"/>
      <c r="S19" s="268"/>
      <c r="T19" s="268"/>
    </row>
    <row r="20" spans="1:21" ht="42.75">
      <c r="A20" s="3" t="s">
        <v>50</v>
      </c>
      <c r="B20" s="4" t="s">
        <v>51</v>
      </c>
      <c r="C20" s="5" t="s">
        <v>52</v>
      </c>
      <c r="D20" s="6">
        <v>3735.5</v>
      </c>
      <c r="E20" s="6">
        <f>'整備工程(1)'!J51</f>
        <v>2160</v>
      </c>
      <c r="F20" s="6">
        <f t="shared" si="0"/>
        <v>-1575.5</v>
      </c>
      <c r="G20" s="6">
        <v>30.45</v>
      </c>
      <c r="H20" s="6"/>
      <c r="I20" s="6"/>
      <c r="J20" s="6">
        <f t="shared" si="1"/>
        <v>113745.97499999999</v>
      </c>
      <c r="K20" s="6">
        <f t="shared" si="2"/>
        <v>65772</v>
      </c>
      <c r="L20" s="122">
        <f t="shared" si="3"/>
        <v>-47973.974999999991</v>
      </c>
      <c r="M20" s="127"/>
      <c r="N20" s="210" t="s">
        <v>53</v>
      </c>
      <c r="O20" s="148" t="s">
        <v>24</v>
      </c>
      <c r="P20" s="149"/>
      <c r="Q20" s="184"/>
      <c r="R20" s="161"/>
      <c r="S20" s="268"/>
      <c r="T20" s="268"/>
    </row>
    <row r="21" spans="1:21" ht="42.75">
      <c r="A21" s="3" t="s">
        <v>54</v>
      </c>
      <c r="B21" s="4" t="s">
        <v>55</v>
      </c>
      <c r="C21" s="5" t="s">
        <v>52</v>
      </c>
      <c r="D21" s="6">
        <v>10205</v>
      </c>
      <c r="E21" s="6">
        <f>'整備工程(1)'!J55</f>
        <v>7540.34</v>
      </c>
      <c r="F21" s="6">
        <f t="shared" si="0"/>
        <v>-2664.66</v>
      </c>
      <c r="G21" s="6">
        <v>28.48</v>
      </c>
      <c r="H21" s="6"/>
      <c r="I21" s="6"/>
      <c r="J21" s="6">
        <f t="shared" si="1"/>
        <v>290638.40000000002</v>
      </c>
      <c r="K21" s="6">
        <f t="shared" si="2"/>
        <v>214748.88320000001</v>
      </c>
      <c r="L21" s="122">
        <f t="shared" si="3"/>
        <v>-75889.516800000012</v>
      </c>
      <c r="M21" s="127"/>
      <c r="N21" s="210" t="s">
        <v>1</v>
      </c>
      <c r="O21" s="148" t="s">
        <v>24</v>
      </c>
      <c r="P21" s="149"/>
      <c r="Q21" s="184"/>
      <c r="R21" s="161"/>
      <c r="S21" s="268"/>
      <c r="T21" s="268"/>
    </row>
    <row r="22" spans="1:21" ht="33">
      <c r="A22" s="3" t="s">
        <v>56</v>
      </c>
      <c r="B22" s="4" t="s">
        <v>57</v>
      </c>
      <c r="C22" s="5" t="s">
        <v>36</v>
      </c>
      <c r="D22" s="6">
        <v>142.6</v>
      </c>
      <c r="E22" s="6">
        <f>'整備工程(1)'!J64</f>
        <v>1284.7000000000003</v>
      </c>
      <c r="F22" s="6">
        <f t="shared" si="0"/>
        <v>1142.1000000000004</v>
      </c>
      <c r="G22" s="6">
        <v>65.400000000000006</v>
      </c>
      <c r="H22" s="6"/>
      <c r="I22" s="6"/>
      <c r="J22" s="6">
        <f t="shared" si="1"/>
        <v>9326.0400000000009</v>
      </c>
      <c r="K22" s="6">
        <f t="shared" si="2"/>
        <v>84019.380000000019</v>
      </c>
      <c r="L22" s="122">
        <f t="shared" si="3"/>
        <v>74693.340000000026</v>
      </c>
      <c r="M22" s="127"/>
      <c r="N22" s="210" t="s">
        <v>1</v>
      </c>
      <c r="O22" s="148" t="s">
        <v>24</v>
      </c>
      <c r="P22" s="149"/>
      <c r="Q22" s="184"/>
      <c r="R22" s="161"/>
      <c r="S22" s="268"/>
      <c r="T22" s="268"/>
    </row>
    <row r="23" spans="1:21" ht="33">
      <c r="A23" s="3" t="s">
        <v>58</v>
      </c>
      <c r="B23" s="4" t="s">
        <v>59</v>
      </c>
      <c r="C23" s="5" t="s">
        <v>52</v>
      </c>
      <c r="D23" s="6">
        <v>8459.2999999999993</v>
      </c>
      <c r="E23" s="6">
        <f>'整備工程(1)'!J69</f>
        <v>8305.2000000000007</v>
      </c>
      <c r="F23" s="6">
        <f t="shared" si="0"/>
        <v>-154.09999999999854</v>
      </c>
      <c r="G23" s="6">
        <v>20.190000000000001</v>
      </c>
      <c r="H23" s="6"/>
      <c r="I23" s="6"/>
      <c r="J23" s="6">
        <f t="shared" si="1"/>
        <v>170793.26699999999</v>
      </c>
      <c r="K23" s="6">
        <f t="shared" si="2"/>
        <v>167681.98800000001</v>
      </c>
      <c r="L23" s="122">
        <f t="shared" si="3"/>
        <v>-3111.2789999999804</v>
      </c>
      <c r="M23" s="127"/>
      <c r="N23" s="210" t="s">
        <v>1</v>
      </c>
      <c r="O23" s="148" t="s">
        <v>24</v>
      </c>
      <c r="P23" s="149"/>
      <c r="Q23" s="184"/>
      <c r="R23" s="161"/>
      <c r="S23" s="268"/>
      <c r="T23" s="268"/>
    </row>
    <row r="24" spans="1:21" s="51" customFormat="1" ht="33">
      <c r="A24" s="58" t="s">
        <v>60</v>
      </c>
      <c r="B24" s="59" t="s">
        <v>61</v>
      </c>
      <c r="C24" s="60" t="s">
        <v>31</v>
      </c>
      <c r="D24" s="61">
        <v>1268.9000000000001</v>
      </c>
      <c r="E24" s="61">
        <f>'整備工程(1)'!J76</f>
        <v>108</v>
      </c>
      <c r="F24" s="6">
        <f t="shared" si="0"/>
        <v>-1160.9000000000001</v>
      </c>
      <c r="G24" s="61">
        <v>2492.81</v>
      </c>
      <c r="H24" s="61"/>
      <c r="I24" s="61"/>
      <c r="J24" s="6">
        <f t="shared" si="1"/>
        <v>3163126.6090000002</v>
      </c>
      <c r="K24" s="6">
        <f t="shared" si="2"/>
        <v>269223.48</v>
      </c>
      <c r="L24" s="122">
        <f t="shared" si="3"/>
        <v>-2893903.1290000002</v>
      </c>
      <c r="M24" s="129"/>
      <c r="N24" s="211" t="s">
        <v>689</v>
      </c>
      <c r="O24" s="156" t="s">
        <v>24</v>
      </c>
      <c r="P24" s="157"/>
      <c r="Q24" s="169"/>
      <c r="R24" s="182"/>
      <c r="S24" s="271"/>
      <c r="T24" s="271"/>
      <c r="U24" s="65"/>
    </row>
    <row r="25" spans="1:21" ht="33">
      <c r="A25" s="3" t="s">
        <v>63</v>
      </c>
      <c r="B25" s="4" t="s">
        <v>64</v>
      </c>
      <c r="C25" s="5" t="s">
        <v>65</v>
      </c>
      <c r="D25" s="6">
        <v>659</v>
      </c>
      <c r="E25" s="6">
        <f>'整備工程(1)'!J76</f>
        <v>108</v>
      </c>
      <c r="F25" s="6">
        <f t="shared" si="0"/>
        <v>-551</v>
      </c>
      <c r="G25" s="6">
        <v>521.17999999999995</v>
      </c>
      <c r="H25" s="6"/>
      <c r="I25" s="6"/>
      <c r="J25" s="6">
        <f t="shared" si="1"/>
        <v>343457.62</v>
      </c>
      <c r="K25" s="6">
        <f t="shared" si="2"/>
        <v>56287.439999999995</v>
      </c>
      <c r="L25" s="122">
        <f t="shared" si="3"/>
        <v>-287170.18</v>
      </c>
      <c r="M25" s="127"/>
      <c r="N25" s="210" t="s">
        <v>66</v>
      </c>
      <c r="O25" s="148" t="s">
        <v>24</v>
      </c>
      <c r="P25" s="149"/>
      <c r="Q25" s="184"/>
      <c r="R25" s="161"/>
      <c r="S25" s="268"/>
      <c r="T25" s="268"/>
    </row>
    <row r="26" spans="1:21" ht="33">
      <c r="A26" s="3" t="s">
        <v>67</v>
      </c>
      <c r="B26" s="4" t="s">
        <v>68</v>
      </c>
      <c r="C26" s="5" t="s">
        <v>36</v>
      </c>
      <c r="D26" s="6">
        <v>253.3</v>
      </c>
      <c r="E26" s="6">
        <f>'整備工程(1)'!J82</f>
        <v>253</v>
      </c>
      <c r="F26" s="6">
        <f t="shared" si="0"/>
        <v>-0.30000000000001137</v>
      </c>
      <c r="G26" s="6">
        <v>289.69</v>
      </c>
      <c r="H26" s="6"/>
      <c r="I26" s="6"/>
      <c r="J26" s="6">
        <f t="shared" si="1"/>
        <v>73378.476999999999</v>
      </c>
      <c r="K26" s="6">
        <f t="shared" si="2"/>
        <v>73291.569999999992</v>
      </c>
      <c r="L26" s="122">
        <f t="shared" si="3"/>
        <v>-86.907000000006519</v>
      </c>
      <c r="M26" s="127"/>
      <c r="N26" s="210" t="s">
        <v>1</v>
      </c>
      <c r="O26" s="148" t="s">
        <v>24</v>
      </c>
      <c r="P26" s="149"/>
      <c r="Q26" s="184"/>
      <c r="R26" s="161"/>
      <c r="S26" s="268"/>
      <c r="T26" s="268"/>
    </row>
    <row r="27" spans="1:21" ht="33">
      <c r="A27" s="3" t="s">
        <v>69</v>
      </c>
      <c r="B27" s="4" t="s">
        <v>70</v>
      </c>
      <c r="C27" s="5" t="s">
        <v>71</v>
      </c>
      <c r="D27" s="6">
        <v>80</v>
      </c>
      <c r="E27" s="6">
        <f>'整備工程(1)'!J87</f>
        <v>80</v>
      </c>
      <c r="F27" s="6">
        <f t="shared" si="0"/>
        <v>0</v>
      </c>
      <c r="G27" s="6">
        <v>3311.45</v>
      </c>
      <c r="H27" s="6"/>
      <c r="I27" s="6"/>
      <c r="J27" s="6">
        <f t="shared" si="1"/>
        <v>264916</v>
      </c>
      <c r="K27" s="6">
        <f t="shared" si="2"/>
        <v>264916</v>
      </c>
      <c r="L27" s="122">
        <f t="shared" si="3"/>
        <v>0</v>
      </c>
      <c r="M27" s="127"/>
      <c r="N27" s="210" t="s">
        <v>72</v>
      </c>
      <c r="O27" s="148" t="s">
        <v>24</v>
      </c>
      <c r="P27" s="149"/>
      <c r="Q27" s="184"/>
      <c r="R27" s="161"/>
      <c r="S27" s="268"/>
      <c r="T27" s="268"/>
    </row>
    <row r="28" spans="1:21" ht="33">
      <c r="A28" s="3" t="s">
        <v>73</v>
      </c>
      <c r="B28" s="4" t="s">
        <v>74</v>
      </c>
      <c r="C28" s="5" t="s">
        <v>75</v>
      </c>
      <c r="D28" s="6">
        <v>1278</v>
      </c>
      <c r="E28" s="6">
        <f>'整備工程(1)'!J89</f>
        <v>1278</v>
      </c>
      <c r="F28" s="6">
        <f t="shared" si="0"/>
        <v>0</v>
      </c>
      <c r="G28" s="6">
        <v>3082.28</v>
      </c>
      <c r="H28" s="6"/>
      <c r="I28" s="6"/>
      <c r="J28" s="6">
        <f t="shared" si="1"/>
        <v>3939153.8400000003</v>
      </c>
      <c r="K28" s="6">
        <f t="shared" si="2"/>
        <v>3939153.8400000003</v>
      </c>
      <c r="L28" s="122">
        <f t="shared" si="3"/>
        <v>0</v>
      </c>
      <c r="M28" s="127"/>
      <c r="N28" s="210" t="s">
        <v>1</v>
      </c>
      <c r="O28" s="148" t="s">
        <v>24</v>
      </c>
      <c r="P28" s="149"/>
      <c r="Q28" s="184"/>
      <c r="R28" s="161"/>
      <c r="S28" s="268"/>
      <c r="T28" s="268"/>
    </row>
    <row r="29" spans="1:21" ht="33">
      <c r="A29" s="3" t="s">
        <v>76</v>
      </c>
      <c r="B29" s="4" t="s">
        <v>77</v>
      </c>
      <c r="C29" s="5" t="s">
        <v>78</v>
      </c>
      <c r="D29" s="6">
        <v>30</v>
      </c>
      <c r="E29" s="6">
        <f>'整備工程(1)'!J92</f>
        <v>30</v>
      </c>
      <c r="F29" s="6">
        <f t="shared" si="0"/>
        <v>0</v>
      </c>
      <c r="G29" s="6">
        <v>1200</v>
      </c>
      <c r="H29" s="6"/>
      <c r="I29" s="6"/>
      <c r="J29" s="6">
        <f t="shared" si="1"/>
        <v>36000</v>
      </c>
      <c r="K29" s="6">
        <f t="shared" si="2"/>
        <v>36000</v>
      </c>
      <c r="L29" s="122">
        <f t="shared" si="3"/>
        <v>0</v>
      </c>
      <c r="M29" s="127"/>
      <c r="N29" s="210" t="s">
        <v>72</v>
      </c>
      <c r="O29" s="148" t="s">
        <v>24</v>
      </c>
      <c r="P29" s="149"/>
      <c r="Q29" s="184"/>
      <c r="R29" s="161"/>
      <c r="S29" s="268"/>
      <c r="T29" s="268"/>
    </row>
    <row r="30" spans="1:21" ht="33">
      <c r="A30" s="3" t="s">
        <v>79</v>
      </c>
      <c r="B30" s="4" t="s">
        <v>80</v>
      </c>
      <c r="C30" s="5" t="s">
        <v>78</v>
      </c>
      <c r="D30" s="6">
        <v>12</v>
      </c>
      <c r="E30" s="6">
        <f>'整備工程(1)'!J94</f>
        <v>12</v>
      </c>
      <c r="F30" s="6">
        <f t="shared" si="0"/>
        <v>0</v>
      </c>
      <c r="G30" s="6">
        <v>3000</v>
      </c>
      <c r="H30" s="6"/>
      <c r="I30" s="6"/>
      <c r="J30" s="6">
        <f t="shared" si="1"/>
        <v>36000</v>
      </c>
      <c r="K30" s="6">
        <f t="shared" si="2"/>
        <v>36000</v>
      </c>
      <c r="L30" s="122">
        <f t="shared" si="3"/>
        <v>0</v>
      </c>
      <c r="M30" s="127"/>
      <c r="N30" s="210" t="s">
        <v>72</v>
      </c>
      <c r="O30" s="148" t="s">
        <v>24</v>
      </c>
      <c r="P30" s="149"/>
      <c r="Q30" s="184"/>
      <c r="R30" s="161"/>
      <c r="S30" s="268"/>
      <c r="T30" s="268"/>
    </row>
    <row r="31" spans="1:21" ht="33">
      <c r="A31" s="3" t="s">
        <v>81</v>
      </c>
      <c r="B31" s="4" t="s">
        <v>82</v>
      </c>
      <c r="C31" s="5" t="s">
        <v>78</v>
      </c>
      <c r="D31" s="6">
        <v>20</v>
      </c>
      <c r="E31" s="6">
        <f>'整備工程(1)'!J96</f>
        <v>20</v>
      </c>
      <c r="F31" s="6">
        <f t="shared" si="0"/>
        <v>0</v>
      </c>
      <c r="G31" s="6">
        <v>3000</v>
      </c>
      <c r="H31" s="6"/>
      <c r="I31" s="6"/>
      <c r="J31" s="6">
        <f t="shared" si="1"/>
        <v>60000</v>
      </c>
      <c r="K31" s="6">
        <f t="shared" si="2"/>
        <v>60000</v>
      </c>
      <c r="L31" s="122">
        <f t="shared" si="3"/>
        <v>0</v>
      </c>
      <c r="M31" s="127"/>
      <c r="N31" s="210" t="s">
        <v>72</v>
      </c>
      <c r="O31" s="148" t="s">
        <v>24</v>
      </c>
      <c r="P31" s="149"/>
      <c r="Q31" s="184"/>
      <c r="R31" s="161"/>
      <c r="S31" s="268"/>
      <c r="T31" s="268"/>
    </row>
    <row r="32" spans="1:21" ht="33">
      <c r="A32" s="3" t="s">
        <v>83</v>
      </c>
      <c r="B32" s="4" t="s">
        <v>84</v>
      </c>
      <c r="C32" s="5" t="s">
        <v>78</v>
      </c>
      <c r="D32" s="6">
        <v>19</v>
      </c>
      <c r="E32" s="6">
        <f>'整備工程(1)'!J98</f>
        <v>19</v>
      </c>
      <c r="F32" s="6">
        <f t="shared" si="0"/>
        <v>0</v>
      </c>
      <c r="G32" s="6">
        <v>3000</v>
      </c>
      <c r="H32" s="6"/>
      <c r="I32" s="6"/>
      <c r="J32" s="6">
        <f t="shared" si="1"/>
        <v>57000</v>
      </c>
      <c r="K32" s="6">
        <f t="shared" si="2"/>
        <v>57000</v>
      </c>
      <c r="L32" s="122">
        <f t="shared" si="3"/>
        <v>0</v>
      </c>
      <c r="M32" s="127"/>
      <c r="N32" s="210" t="s">
        <v>72</v>
      </c>
      <c r="O32" s="148" t="s">
        <v>24</v>
      </c>
      <c r="P32" s="149"/>
      <c r="Q32" s="184"/>
      <c r="R32" s="161"/>
      <c r="S32" s="268"/>
      <c r="T32" s="268"/>
    </row>
    <row r="33" spans="1:21" ht="33">
      <c r="A33" s="3" t="s">
        <v>85</v>
      </c>
      <c r="B33" s="4" t="s">
        <v>86</v>
      </c>
      <c r="C33" s="5" t="s">
        <v>23</v>
      </c>
      <c r="D33" s="6">
        <v>1</v>
      </c>
      <c r="E33" s="6">
        <f>'整備工程(1)'!J100</f>
        <v>1</v>
      </c>
      <c r="F33" s="6">
        <f t="shared" si="0"/>
        <v>0</v>
      </c>
      <c r="G33" s="6">
        <v>400000</v>
      </c>
      <c r="H33" s="6"/>
      <c r="I33" s="6"/>
      <c r="J33" s="6">
        <f t="shared" si="1"/>
        <v>400000</v>
      </c>
      <c r="K33" s="6">
        <f t="shared" si="2"/>
        <v>400000</v>
      </c>
      <c r="L33" s="122">
        <f t="shared" si="3"/>
        <v>0</v>
      </c>
      <c r="M33" s="127"/>
      <c r="N33" s="210" t="s">
        <v>87</v>
      </c>
      <c r="O33" s="148" t="s">
        <v>24</v>
      </c>
      <c r="P33" s="149"/>
      <c r="Q33" s="184"/>
      <c r="R33" s="161"/>
      <c r="S33" s="268"/>
      <c r="T33" s="268"/>
    </row>
    <row r="34" spans="1:21" ht="33">
      <c r="A34" s="3" t="s">
        <v>88</v>
      </c>
      <c r="B34" s="4" t="s">
        <v>89</v>
      </c>
      <c r="C34" s="5" t="s">
        <v>90</v>
      </c>
      <c r="D34" s="6">
        <v>30800</v>
      </c>
      <c r="E34" s="6">
        <f>'整備工程(1)'!J102</f>
        <v>30800</v>
      </c>
      <c r="F34" s="6">
        <f t="shared" si="0"/>
        <v>0</v>
      </c>
      <c r="G34" s="6">
        <v>280</v>
      </c>
      <c r="H34" s="6"/>
      <c r="I34" s="6"/>
      <c r="J34" s="6">
        <f t="shared" si="1"/>
        <v>8624000</v>
      </c>
      <c r="K34" s="6">
        <f t="shared" si="2"/>
        <v>8624000</v>
      </c>
      <c r="L34" s="122">
        <f t="shared" si="3"/>
        <v>0</v>
      </c>
      <c r="M34" s="127"/>
      <c r="N34" s="210" t="s">
        <v>91</v>
      </c>
      <c r="O34" s="148" t="s">
        <v>24</v>
      </c>
      <c r="P34" s="149"/>
      <c r="Q34" s="184"/>
      <c r="R34" s="161"/>
      <c r="S34" s="268"/>
      <c r="T34" s="268"/>
    </row>
    <row r="35" spans="1:21" ht="33">
      <c r="A35" s="3" t="s">
        <v>92</v>
      </c>
      <c r="B35" s="4" t="s">
        <v>93</v>
      </c>
      <c r="C35" s="5" t="s">
        <v>52</v>
      </c>
      <c r="D35" s="6">
        <v>2405</v>
      </c>
      <c r="E35" s="6">
        <f>'整備工程(1)'!J118</f>
        <v>2405.0500000000002</v>
      </c>
      <c r="F35" s="6">
        <f t="shared" si="0"/>
        <v>5.0000000000181899E-2</v>
      </c>
      <c r="G35" s="6">
        <v>70.23</v>
      </c>
      <c r="H35" s="6"/>
      <c r="I35" s="6"/>
      <c r="J35" s="6">
        <f t="shared" si="1"/>
        <v>168903.15000000002</v>
      </c>
      <c r="K35" s="6">
        <f t="shared" si="2"/>
        <v>168906.66150000002</v>
      </c>
      <c r="L35" s="122">
        <f t="shared" si="3"/>
        <v>3.5114999999932479</v>
      </c>
      <c r="M35" s="127"/>
      <c r="N35" s="210" t="s">
        <v>94</v>
      </c>
      <c r="O35" s="148" t="s">
        <v>24</v>
      </c>
      <c r="P35" s="149"/>
      <c r="Q35" s="184"/>
      <c r="R35" s="161"/>
      <c r="S35" s="268"/>
      <c r="T35" s="268"/>
    </row>
    <row r="36" spans="1:21" ht="33">
      <c r="A36" s="80">
        <v>26</v>
      </c>
      <c r="B36" s="81" t="s">
        <v>795</v>
      </c>
      <c r="C36" s="82" t="s">
        <v>796</v>
      </c>
      <c r="D36" s="83">
        <v>150</v>
      </c>
      <c r="E36" s="83">
        <f>'整備工程(1)'!J120</f>
        <v>150</v>
      </c>
      <c r="F36" s="83">
        <f t="shared" si="0"/>
        <v>0</v>
      </c>
      <c r="G36" s="83">
        <v>20000</v>
      </c>
      <c r="H36" s="83"/>
      <c r="I36" s="83"/>
      <c r="J36" s="6">
        <f t="shared" si="1"/>
        <v>3000000</v>
      </c>
      <c r="K36" s="6">
        <f t="shared" si="2"/>
        <v>3000000</v>
      </c>
      <c r="L36" s="122">
        <f t="shared" si="3"/>
        <v>0</v>
      </c>
      <c r="M36" s="130"/>
      <c r="N36" s="212" t="s">
        <v>799</v>
      </c>
      <c r="O36" s="158" t="s">
        <v>24</v>
      </c>
      <c r="P36" s="159"/>
      <c r="Q36" s="160"/>
      <c r="R36" s="161"/>
      <c r="S36" s="268"/>
      <c r="T36" s="268"/>
      <c r="U36"/>
    </row>
    <row r="37" spans="1:21" ht="28.5">
      <c r="A37" s="80">
        <v>27</v>
      </c>
      <c r="B37" s="81" t="s">
        <v>770</v>
      </c>
      <c r="C37" s="82" t="s">
        <v>699</v>
      </c>
      <c r="D37" s="83">
        <v>138.05000000000001</v>
      </c>
      <c r="E37" s="83">
        <f>'整備工程(1)'!J122</f>
        <v>138.053</v>
      </c>
      <c r="F37" s="83">
        <f t="shared" si="0"/>
        <v>2.9999999999859028E-3</v>
      </c>
      <c r="G37" s="83">
        <v>165.22</v>
      </c>
      <c r="H37" s="83"/>
      <c r="I37" s="83"/>
      <c r="J37" s="6">
        <f t="shared" si="1"/>
        <v>22808.621000000003</v>
      </c>
      <c r="K37" s="6">
        <f t="shared" si="2"/>
        <v>22809.11666</v>
      </c>
      <c r="L37" s="122">
        <f t="shared" si="3"/>
        <v>0.49565999999686028</v>
      </c>
      <c r="M37" s="130"/>
      <c r="N37" s="212" t="s">
        <v>771</v>
      </c>
      <c r="O37" s="158"/>
      <c r="P37" s="159"/>
      <c r="Q37" s="160"/>
      <c r="R37" s="161"/>
      <c r="S37" s="268"/>
      <c r="T37" s="268"/>
    </row>
    <row r="38" spans="1:21" ht="28.5">
      <c r="A38" s="80">
        <v>28</v>
      </c>
      <c r="B38" s="81" t="s">
        <v>780</v>
      </c>
      <c r="C38" s="82" t="s">
        <v>40</v>
      </c>
      <c r="D38" s="83">
        <v>2000</v>
      </c>
      <c r="E38" s="83">
        <f>'整備工程(1)'!J128</f>
        <v>2007</v>
      </c>
      <c r="F38" s="83">
        <f t="shared" si="0"/>
        <v>7</v>
      </c>
      <c r="G38" s="83">
        <v>100</v>
      </c>
      <c r="H38" s="83"/>
      <c r="I38" s="83"/>
      <c r="J38" s="6">
        <f t="shared" si="1"/>
        <v>200000</v>
      </c>
      <c r="K38" s="6">
        <f t="shared" si="2"/>
        <v>200700</v>
      </c>
      <c r="L38" s="122">
        <f t="shared" si="3"/>
        <v>700</v>
      </c>
      <c r="M38" s="130"/>
      <c r="N38" s="212" t="s">
        <v>806</v>
      </c>
      <c r="O38" s="158"/>
      <c r="P38" s="153"/>
      <c r="Q38" s="160"/>
      <c r="R38" s="161"/>
      <c r="S38" s="268"/>
      <c r="T38" s="268"/>
    </row>
    <row r="39" spans="1:21" ht="21">
      <c r="A39" s="80">
        <v>29</v>
      </c>
      <c r="B39" s="81" t="s">
        <v>781</v>
      </c>
      <c r="C39" s="82" t="s">
        <v>699</v>
      </c>
      <c r="D39" s="83">
        <v>3324.02</v>
      </c>
      <c r="E39" s="83">
        <f>'整備工程(1)'!J131</f>
        <v>3325.7</v>
      </c>
      <c r="F39" s="83">
        <f t="shared" si="0"/>
        <v>1.6799999999998363</v>
      </c>
      <c r="G39" s="83">
        <v>33.35</v>
      </c>
      <c r="H39" s="83"/>
      <c r="I39" s="83"/>
      <c r="J39" s="6">
        <f t="shared" si="1"/>
        <v>110856.06700000001</v>
      </c>
      <c r="K39" s="6">
        <f t="shared" si="2"/>
        <v>110912.095</v>
      </c>
      <c r="L39" s="122">
        <f t="shared" si="3"/>
        <v>56.027999999991152</v>
      </c>
      <c r="M39" s="130"/>
      <c r="N39" s="212" t="s">
        <v>805</v>
      </c>
      <c r="O39" s="158"/>
      <c r="P39" s="153"/>
      <c r="Q39" s="160"/>
      <c r="R39" s="161"/>
      <c r="S39" s="268"/>
      <c r="T39" s="268"/>
    </row>
    <row r="40" spans="1:21" ht="33">
      <c r="A40" s="200" t="s">
        <v>95</v>
      </c>
      <c r="B40" s="201" t="s">
        <v>96</v>
      </c>
      <c r="C40" s="202" t="s">
        <v>23</v>
      </c>
      <c r="D40" s="203"/>
      <c r="E40" s="203"/>
      <c r="F40" s="203"/>
      <c r="G40" s="203">
        <f>J40</f>
        <v>42752872.319100022</v>
      </c>
      <c r="H40" s="203"/>
      <c r="I40" s="203"/>
      <c r="J40" s="203">
        <f>SUM(J41:J134)</f>
        <v>42752872.319100022</v>
      </c>
      <c r="K40" s="203">
        <f>SUM(K41:K134)</f>
        <v>41028603.422026969</v>
      </c>
      <c r="L40" s="205">
        <f>SUM(L41:L134)</f>
        <v>-1724268.8970730572</v>
      </c>
      <c r="M40" s="207">
        <f>SUM(M41:M134)</f>
        <v>0</v>
      </c>
      <c r="N40" s="213" t="s">
        <v>1</v>
      </c>
      <c r="O40" s="151" t="s">
        <v>24</v>
      </c>
      <c r="P40" s="152"/>
      <c r="Q40" s="195"/>
      <c r="R40" s="161"/>
      <c r="S40" s="268"/>
      <c r="T40" s="268"/>
    </row>
    <row r="41" spans="1:21" ht="33">
      <c r="A41" s="3" t="s">
        <v>29</v>
      </c>
      <c r="B41" s="4" t="s">
        <v>97</v>
      </c>
      <c r="C41" s="5" t="s">
        <v>98</v>
      </c>
      <c r="D41" s="6">
        <v>2347.79</v>
      </c>
      <c r="E41" s="6">
        <f>'土建景觀工程(2)'!J7</f>
        <v>2347.7873110000005</v>
      </c>
      <c r="F41" s="6">
        <f t="shared" ref="F41:F72" si="4">E41-D41</f>
        <v>-2.6889999994637037E-3</v>
      </c>
      <c r="G41" s="6">
        <v>320.74</v>
      </c>
      <c r="H41" s="6"/>
      <c r="I41" s="6"/>
      <c r="J41" s="6">
        <f t="shared" ref="J41:J72" si="5">D41*G41</f>
        <v>753030.16460000002</v>
      </c>
      <c r="K41" s="6">
        <f t="shared" ref="K41:K72" si="6">E41*G41</f>
        <v>753029.30213014013</v>
      </c>
      <c r="L41" s="122">
        <f t="shared" ref="L41:L104" si="7">K41-J41</f>
        <v>-0.86246985988691449</v>
      </c>
      <c r="M41" s="127"/>
      <c r="N41" s="210" t="s">
        <v>1</v>
      </c>
      <c r="O41" s="148" t="s">
        <v>24</v>
      </c>
      <c r="P41" s="149"/>
      <c r="Q41" s="184"/>
      <c r="R41" s="161"/>
      <c r="S41" s="268"/>
      <c r="T41" s="268"/>
    </row>
    <row r="42" spans="1:21" ht="33">
      <c r="A42" s="3" t="s">
        <v>32</v>
      </c>
      <c r="B42" s="4" t="s">
        <v>99</v>
      </c>
      <c r="C42" s="5" t="s">
        <v>98</v>
      </c>
      <c r="D42" s="6">
        <v>755.76</v>
      </c>
      <c r="E42" s="6">
        <f>'土建景觀工程(2)'!J22</f>
        <v>742.90103910000005</v>
      </c>
      <c r="F42" s="6">
        <f t="shared" si="4"/>
        <v>-12.858960899999943</v>
      </c>
      <c r="G42" s="6">
        <v>346.08</v>
      </c>
      <c r="H42" s="6"/>
      <c r="I42" s="6"/>
      <c r="J42" s="6">
        <f t="shared" si="5"/>
        <v>261553.42079999999</v>
      </c>
      <c r="K42" s="6">
        <f t="shared" si="6"/>
        <v>257103.19161172799</v>
      </c>
      <c r="L42" s="122">
        <f t="shared" si="7"/>
        <v>-4450.2291882720019</v>
      </c>
      <c r="M42" s="127"/>
      <c r="N42" s="210" t="s">
        <v>1</v>
      </c>
      <c r="O42" s="148" t="s">
        <v>24</v>
      </c>
      <c r="P42" s="149"/>
      <c r="Q42" s="184"/>
      <c r="R42" s="161"/>
      <c r="S42" s="268"/>
      <c r="T42" s="268"/>
    </row>
    <row r="43" spans="1:21" ht="33">
      <c r="A43" s="3" t="s">
        <v>34</v>
      </c>
      <c r="B43" s="4" t="s">
        <v>100</v>
      </c>
      <c r="C43" s="5" t="s">
        <v>101</v>
      </c>
      <c r="D43" s="6">
        <v>37233.480000000003</v>
      </c>
      <c r="E43" s="6">
        <f>'土建景觀工程(2)'!J69</f>
        <v>29975.442407099999</v>
      </c>
      <c r="F43" s="6">
        <f t="shared" si="4"/>
        <v>-7258.0375929000038</v>
      </c>
      <c r="G43" s="6">
        <v>36.4</v>
      </c>
      <c r="H43" s="6"/>
      <c r="I43" s="6"/>
      <c r="J43" s="6">
        <f t="shared" si="5"/>
        <v>1355298.672</v>
      </c>
      <c r="K43" s="6">
        <f t="shared" si="6"/>
        <v>1091106.10361844</v>
      </c>
      <c r="L43" s="122">
        <f t="shared" si="7"/>
        <v>-264192.56838156004</v>
      </c>
      <c r="M43" s="127"/>
      <c r="N43" s="210" t="s">
        <v>102</v>
      </c>
      <c r="O43" s="148" t="s">
        <v>24</v>
      </c>
      <c r="P43" s="149"/>
      <c r="Q43" s="184"/>
      <c r="R43" s="161"/>
      <c r="S43" s="268"/>
      <c r="T43" s="268"/>
    </row>
    <row r="44" spans="1:21" ht="33">
      <c r="A44" s="3" t="s">
        <v>38</v>
      </c>
      <c r="B44" s="4" t="s">
        <v>103</v>
      </c>
      <c r="C44" s="5" t="s">
        <v>31</v>
      </c>
      <c r="D44" s="6">
        <v>294.98</v>
      </c>
      <c r="E44" s="6">
        <f>'土建景觀工程(2)'!J129</f>
        <v>142.24874499999993</v>
      </c>
      <c r="F44" s="6">
        <f t="shared" si="4"/>
        <v>-152.73125500000009</v>
      </c>
      <c r="G44" s="6">
        <v>3115.13</v>
      </c>
      <c r="H44" s="6"/>
      <c r="I44" s="6"/>
      <c r="J44" s="6">
        <f t="shared" si="5"/>
        <v>918901.04740000004</v>
      </c>
      <c r="K44" s="6">
        <f t="shared" si="6"/>
        <v>443123.33301184978</v>
      </c>
      <c r="L44" s="122">
        <f t="shared" si="7"/>
        <v>-475777.71438815026</v>
      </c>
      <c r="M44" s="127"/>
      <c r="N44" s="210" t="s">
        <v>1</v>
      </c>
      <c r="O44" s="148" t="s">
        <v>24</v>
      </c>
      <c r="P44" s="149"/>
      <c r="Q44" s="184"/>
      <c r="R44" s="161"/>
      <c r="S44" s="268"/>
      <c r="T44" s="268"/>
    </row>
    <row r="45" spans="1:21" ht="33">
      <c r="A45" s="3" t="s">
        <v>41</v>
      </c>
      <c r="B45" s="4" t="s">
        <v>104</v>
      </c>
      <c r="C45" s="5" t="s">
        <v>31</v>
      </c>
      <c r="D45" s="6">
        <v>846.68</v>
      </c>
      <c r="E45" s="6">
        <f>'土建景觀工程(2)'!J195</f>
        <v>1069.5952030000008</v>
      </c>
      <c r="F45" s="6">
        <f t="shared" si="4"/>
        <v>222.91520300000082</v>
      </c>
      <c r="G45" s="6">
        <v>3321.13</v>
      </c>
      <c r="H45" s="6"/>
      <c r="I45" s="6"/>
      <c r="J45" s="6">
        <f t="shared" si="5"/>
        <v>2811934.3484</v>
      </c>
      <c r="K45" s="6">
        <f t="shared" si="6"/>
        <v>3552264.7165393927</v>
      </c>
      <c r="L45" s="122">
        <f t="shared" si="7"/>
        <v>740330.3681393927</v>
      </c>
      <c r="M45" s="127"/>
      <c r="N45" s="210" t="s">
        <v>1</v>
      </c>
      <c r="O45" s="148" t="s">
        <v>24</v>
      </c>
      <c r="P45" s="149"/>
      <c r="Q45" s="184"/>
      <c r="R45" s="161"/>
      <c r="S45" s="268"/>
      <c r="T45" s="268"/>
    </row>
    <row r="46" spans="1:21" ht="52.5">
      <c r="A46" s="3" t="s">
        <v>43</v>
      </c>
      <c r="B46" s="4" t="s">
        <v>105</v>
      </c>
      <c r="C46" s="5" t="s">
        <v>52</v>
      </c>
      <c r="D46" s="6">
        <v>2387.33</v>
      </c>
      <c r="E46" s="6">
        <f>'土建景觀工程(2)'!J269</f>
        <v>2612.5814210000012</v>
      </c>
      <c r="F46" s="6">
        <f t="shared" si="4"/>
        <v>225.2514210000013</v>
      </c>
      <c r="G46" s="6">
        <v>533.64</v>
      </c>
      <c r="H46" s="6"/>
      <c r="I46" s="6"/>
      <c r="J46" s="6">
        <f t="shared" si="5"/>
        <v>1273974.7811999999</v>
      </c>
      <c r="K46" s="6">
        <f t="shared" si="6"/>
        <v>1394177.9495024406</v>
      </c>
      <c r="L46" s="122">
        <f t="shared" si="7"/>
        <v>120203.16830244078</v>
      </c>
      <c r="M46" s="127"/>
      <c r="N46" s="210" t="s">
        <v>106</v>
      </c>
      <c r="O46" s="148" t="s">
        <v>24</v>
      </c>
      <c r="P46" s="149"/>
      <c r="Q46" s="184"/>
      <c r="R46" s="161"/>
      <c r="S46" s="268"/>
      <c r="T46" s="268"/>
    </row>
    <row r="47" spans="1:21" ht="33">
      <c r="A47" s="3" t="s">
        <v>45</v>
      </c>
      <c r="B47" s="4" t="s">
        <v>107</v>
      </c>
      <c r="C47" s="5" t="s">
        <v>52</v>
      </c>
      <c r="D47" s="6">
        <v>1362.2</v>
      </c>
      <c r="E47" s="6">
        <f>'土建景觀工程(2)'!J342</f>
        <v>1452.3254000000002</v>
      </c>
      <c r="F47" s="6">
        <f t="shared" si="4"/>
        <v>90.125400000000127</v>
      </c>
      <c r="G47" s="6">
        <v>1299.8900000000001</v>
      </c>
      <c r="H47" s="6"/>
      <c r="I47" s="6"/>
      <c r="J47" s="6">
        <f t="shared" si="5"/>
        <v>1770710.1580000003</v>
      </c>
      <c r="K47" s="6">
        <f t="shared" si="6"/>
        <v>1887863.2642060004</v>
      </c>
      <c r="L47" s="122">
        <f t="shared" si="7"/>
        <v>117153.10620600008</v>
      </c>
      <c r="M47" s="127"/>
      <c r="N47" s="210" t="s">
        <v>108</v>
      </c>
      <c r="O47" s="148" t="s">
        <v>24</v>
      </c>
      <c r="P47" s="149"/>
      <c r="Q47" s="184"/>
      <c r="R47" s="161"/>
      <c r="S47" s="268"/>
      <c r="T47" s="268"/>
    </row>
    <row r="48" spans="1:21" ht="42">
      <c r="A48" s="218" t="s">
        <v>48</v>
      </c>
      <c r="B48" s="219" t="s">
        <v>109</v>
      </c>
      <c r="C48" s="220" t="s">
        <v>101</v>
      </c>
      <c r="D48" s="221">
        <v>4781.5600000000004</v>
      </c>
      <c r="E48" s="221">
        <f>'土建景觀工程(2)'!J353</f>
        <v>6327.4900000000007</v>
      </c>
      <c r="F48" s="221">
        <f t="shared" si="4"/>
        <v>1545.9300000000003</v>
      </c>
      <c r="G48" s="221">
        <v>60</v>
      </c>
      <c r="H48" s="221"/>
      <c r="I48" s="221"/>
      <c r="J48" s="221">
        <f t="shared" si="5"/>
        <v>286893.60000000003</v>
      </c>
      <c r="K48" s="221">
        <f t="shared" si="6"/>
        <v>379649.4</v>
      </c>
      <c r="L48" s="222">
        <f t="shared" si="7"/>
        <v>92755.799999999988</v>
      </c>
      <c r="M48" s="223"/>
      <c r="N48" s="224" t="s">
        <v>110</v>
      </c>
      <c r="O48" s="225" t="s">
        <v>24</v>
      </c>
      <c r="P48" s="226"/>
      <c r="Q48" s="227">
        <v>12241.35</v>
      </c>
      <c r="R48" s="228" t="s">
        <v>878</v>
      </c>
      <c r="S48" s="268"/>
      <c r="T48" s="268"/>
    </row>
    <row r="49" spans="1:20" ht="33">
      <c r="A49" s="218" t="s">
        <v>50</v>
      </c>
      <c r="B49" s="219" t="s">
        <v>111</v>
      </c>
      <c r="C49" s="220" t="s">
        <v>101</v>
      </c>
      <c r="D49" s="221">
        <v>4781.5600000000004</v>
      </c>
      <c r="E49" s="221">
        <f>'土建景觀工程(2)'!J358</f>
        <v>6327.4900000000007</v>
      </c>
      <c r="F49" s="221">
        <f t="shared" si="4"/>
        <v>1545.9300000000003</v>
      </c>
      <c r="G49" s="221">
        <v>31.9</v>
      </c>
      <c r="H49" s="221"/>
      <c r="I49" s="221"/>
      <c r="J49" s="221">
        <f t="shared" si="5"/>
        <v>152531.764</v>
      </c>
      <c r="K49" s="221">
        <f t="shared" si="6"/>
        <v>201846.93100000001</v>
      </c>
      <c r="L49" s="222">
        <f t="shared" si="7"/>
        <v>49315.167000000016</v>
      </c>
      <c r="M49" s="223"/>
      <c r="N49" s="229" t="s">
        <v>1</v>
      </c>
      <c r="O49" s="225" t="s">
        <v>24</v>
      </c>
      <c r="P49" s="226"/>
      <c r="Q49" s="227">
        <v>12241.35</v>
      </c>
      <c r="R49" s="228" t="s">
        <v>878</v>
      </c>
      <c r="S49" s="268"/>
      <c r="T49" s="268"/>
    </row>
    <row r="50" spans="1:20" ht="71.25">
      <c r="A50" s="218" t="s">
        <v>54</v>
      </c>
      <c r="B50" s="219" t="s">
        <v>112</v>
      </c>
      <c r="C50" s="220" t="s">
        <v>101</v>
      </c>
      <c r="D50" s="221">
        <v>2300.86</v>
      </c>
      <c r="E50" s="221">
        <f>'土建景觀工程(2)'!J363</f>
        <v>2300.8638450000003</v>
      </c>
      <c r="F50" s="221">
        <f t="shared" si="4"/>
        <v>3.8450000001830631E-3</v>
      </c>
      <c r="G50" s="221">
        <v>107.31</v>
      </c>
      <c r="H50" s="221"/>
      <c r="I50" s="221"/>
      <c r="J50" s="221">
        <f t="shared" si="5"/>
        <v>246905.28660000002</v>
      </c>
      <c r="K50" s="221">
        <f t="shared" si="6"/>
        <v>246905.69920695003</v>
      </c>
      <c r="L50" s="222">
        <f t="shared" si="7"/>
        <v>0.41260695000528358</v>
      </c>
      <c r="M50" s="223"/>
      <c r="N50" s="229" t="s">
        <v>110</v>
      </c>
      <c r="O50" s="225" t="s">
        <v>24</v>
      </c>
      <c r="P50" s="226"/>
      <c r="Q50" s="227">
        <v>2300.86</v>
      </c>
      <c r="R50" s="228"/>
      <c r="S50" s="268"/>
      <c r="T50" s="268"/>
    </row>
    <row r="51" spans="1:20" ht="33">
      <c r="A51" s="218" t="s">
        <v>56</v>
      </c>
      <c r="B51" s="219" t="s">
        <v>113</v>
      </c>
      <c r="C51" s="220" t="s">
        <v>52</v>
      </c>
      <c r="D51" s="221">
        <v>5207.01</v>
      </c>
      <c r="E51" s="221">
        <f>'土建景觀工程(2)'!J368</f>
        <v>4441.0600000000004</v>
      </c>
      <c r="F51" s="221">
        <f t="shared" si="4"/>
        <v>-765.94999999999982</v>
      </c>
      <c r="G51" s="221">
        <v>2964</v>
      </c>
      <c r="H51" s="221"/>
      <c r="I51" s="221"/>
      <c r="J51" s="221">
        <f t="shared" si="5"/>
        <v>15433577.640000001</v>
      </c>
      <c r="K51" s="221">
        <f t="shared" si="6"/>
        <v>13163301.840000002</v>
      </c>
      <c r="L51" s="222">
        <f t="shared" si="7"/>
        <v>-2270275.7999999989</v>
      </c>
      <c r="M51" s="223"/>
      <c r="N51" s="229" t="s">
        <v>1</v>
      </c>
      <c r="O51" s="225" t="s">
        <v>24</v>
      </c>
      <c r="P51" s="226"/>
      <c r="Q51" s="227">
        <v>5207.01</v>
      </c>
      <c r="R51" s="228"/>
      <c r="S51" s="268"/>
      <c r="T51" s="268"/>
    </row>
    <row r="52" spans="1:20" ht="33">
      <c r="A52" s="218" t="s">
        <v>58</v>
      </c>
      <c r="B52" s="219" t="s">
        <v>114</v>
      </c>
      <c r="C52" s="220" t="s">
        <v>52</v>
      </c>
      <c r="D52" s="221">
        <v>693.8</v>
      </c>
      <c r="E52" s="221">
        <f>'土建景觀工程(2)'!J374</f>
        <v>693.7</v>
      </c>
      <c r="F52" s="221">
        <f t="shared" si="4"/>
        <v>-9.9999999999909051E-2</v>
      </c>
      <c r="G52" s="221">
        <v>3961.57</v>
      </c>
      <c r="H52" s="221"/>
      <c r="I52" s="221"/>
      <c r="J52" s="221">
        <f t="shared" si="5"/>
        <v>2748537.2659999998</v>
      </c>
      <c r="K52" s="221">
        <f t="shared" si="6"/>
        <v>2748141.1090000002</v>
      </c>
      <c r="L52" s="222">
        <f t="shared" si="7"/>
        <v>-396.15699999965727</v>
      </c>
      <c r="M52" s="223"/>
      <c r="N52" s="229" t="s">
        <v>1</v>
      </c>
      <c r="O52" s="225" t="s">
        <v>24</v>
      </c>
      <c r="P52" s="226"/>
      <c r="Q52" s="227">
        <v>693.8</v>
      </c>
      <c r="R52" s="228"/>
      <c r="S52" s="268"/>
      <c r="T52" s="268"/>
    </row>
    <row r="53" spans="1:20" ht="33">
      <c r="A53" s="218" t="s">
        <v>60</v>
      </c>
      <c r="B53" s="219" t="s">
        <v>115</v>
      </c>
      <c r="C53" s="220" t="s">
        <v>52</v>
      </c>
      <c r="D53" s="221">
        <v>375.23</v>
      </c>
      <c r="E53" s="221">
        <f>'土建景觀工程(2)'!J376</f>
        <v>369</v>
      </c>
      <c r="F53" s="221">
        <f t="shared" si="4"/>
        <v>-6.2300000000000182</v>
      </c>
      <c r="G53" s="221">
        <v>3965.81</v>
      </c>
      <c r="H53" s="221"/>
      <c r="I53" s="221"/>
      <c r="J53" s="221">
        <f t="shared" si="5"/>
        <v>1488090.8863000001</v>
      </c>
      <c r="K53" s="221">
        <f t="shared" si="6"/>
        <v>1463383.89</v>
      </c>
      <c r="L53" s="222">
        <f t="shared" si="7"/>
        <v>-24706.996300000232</v>
      </c>
      <c r="M53" s="223"/>
      <c r="N53" s="229" t="s">
        <v>1</v>
      </c>
      <c r="O53" s="225" t="s">
        <v>24</v>
      </c>
      <c r="P53" s="226"/>
      <c r="Q53" s="227">
        <v>375.23</v>
      </c>
      <c r="R53" s="228"/>
      <c r="S53" s="268"/>
      <c r="T53" s="268"/>
    </row>
    <row r="54" spans="1:20" ht="33">
      <c r="A54" s="218" t="s">
        <v>63</v>
      </c>
      <c r="B54" s="219" t="s">
        <v>116</v>
      </c>
      <c r="C54" s="220" t="s">
        <v>52</v>
      </c>
      <c r="D54" s="221">
        <v>34.799999999999997</v>
      </c>
      <c r="E54" s="221">
        <f>'土建景觀工程(2)'!J378</f>
        <v>33.540000000000006</v>
      </c>
      <c r="F54" s="221">
        <f t="shared" si="4"/>
        <v>-1.2599999999999909</v>
      </c>
      <c r="G54" s="221">
        <v>773.88</v>
      </c>
      <c r="H54" s="221"/>
      <c r="I54" s="221"/>
      <c r="J54" s="221">
        <f t="shared" si="5"/>
        <v>26931.023999999998</v>
      </c>
      <c r="K54" s="221">
        <f t="shared" si="6"/>
        <v>25955.935200000004</v>
      </c>
      <c r="L54" s="222">
        <f t="shared" si="7"/>
        <v>-975.08879999999408</v>
      </c>
      <c r="M54" s="223"/>
      <c r="N54" s="229" t="s">
        <v>1</v>
      </c>
      <c r="O54" s="225" t="s">
        <v>24</v>
      </c>
      <c r="P54" s="226"/>
      <c r="Q54" s="227">
        <v>34.799999999999997</v>
      </c>
      <c r="R54" s="228"/>
      <c r="S54" s="268"/>
      <c r="T54" s="268"/>
    </row>
    <row r="55" spans="1:20" ht="33">
      <c r="A55" s="218" t="s">
        <v>67</v>
      </c>
      <c r="B55" s="219" t="s">
        <v>117</v>
      </c>
      <c r="C55" s="220" t="s">
        <v>52</v>
      </c>
      <c r="D55" s="221">
        <v>11.98</v>
      </c>
      <c r="E55" s="221">
        <f>'土建景觀工程(2)'!J381</f>
        <v>11.98</v>
      </c>
      <c r="F55" s="221">
        <f t="shared" si="4"/>
        <v>0</v>
      </c>
      <c r="G55" s="221">
        <v>948.4</v>
      </c>
      <c r="H55" s="221"/>
      <c r="I55" s="221"/>
      <c r="J55" s="221">
        <f t="shared" si="5"/>
        <v>11361.832</v>
      </c>
      <c r="K55" s="221">
        <f t="shared" si="6"/>
        <v>11361.832</v>
      </c>
      <c r="L55" s="222">
        <f t="shared" si="7"/>
        <v>0</v>
      </c>
      <c r="M55" s="223"/>
      <c r="N55" s="229" t="s">
        <v>1</v>
      </c>
      <c r="O55" s="225" t="s">
        <v>24</v>
      </c>
      <c r="P55" s="226"/>
      <c r="Q55" s="227">
        <v>11.98</v>
      </c>
      <c r="R55" s="228"/>
      <c r="S55" s="268"/>
      <c r="T55" s="268"/>
    </row>
    <row r="56" spans="1:20" ht="33">
      <c r="A56" s="218" t="s">
        <v>69</v>
      </c>
      <c r="B56" s="219" t="s">
        <v>118</v>
      </c>
      <c r="C56" s="220" t="s">
        <v>52</v>
      </c>
      <c r="D56" s="221">
        <v>141.26</v>
      </c>
      <c r="E56" s="221">
        <f>'土建景觀工程(2)'!J383</f>
        <v>142.26000000000002</v>
      </c>
      <c r="F56" s="221">
        <f t="shared" si="4"/>
        <v>1.0000000000000284</v>
      </c>
      <c r="G56" s="221">
        <v>6163.46</v>
      </c>
      <c r="H56" s="221"/>
      <c r="I56" s="221"/>
      <c r="J56" s="221">
        <f t="shared" si="5"/>
        <v>870650.35959999997</v>
      </c>
      <c r="K56" s="221">
        <f t="shared" si="6"/>
        <v>876813.81960000016</v>
      </c>
      <c r="L56" s="222">
        <f t="shared" si="7"/>
        <v>6163.4600000001956</v>
      </c>
      <c r="M56" s="223"/>
      <c r="N56" s="229" t="s">
        <v>1</v>
      </c>
      <c r="O56" s="225" t="s">
        <v>24</v>
      </c>
      <c r="P56" s="226"/>
      <c r="Q56" s="227">
        <v>141.26</v>
      </c>
      <c r="R56" s="228"/>
      <c r="S56" s="268"/>
      <c r="T56" s="268"/>
    </row>
    <row r="57" spans="1:20" ht="33">
      <c r="A57" s="218" t="s">
        <v>73</v>
      </c>
      <c r="B57" s="219" t="s">
        <v>119</v>
      </c>
      <c r="C57" s="220" t="s">
        <v>78</v>
      </c>
      <c r="D57" s="221">
        <v>1</v>
      </c>
      <c r="E57" s="221">
        <f>'土建景觀工程(2)'!J385</f>
        <v>1</v>
      </c>
      <c r="F57" s="221">
        <f t="shared" si="4"/>
        <v>0</v>
      </c>
      <c r="G57" s="221">
        <v>169519.61</v>
      </c>
      <c r="H57" s="221"/>
      <c r="I57" s="221"/>
      <c r="J57" s="221">
        <f t="shared" si="5"/>
        <v>169519.61</v>
      </c>
      <c r="K57" s="221">
        <f t="shared" si="6"/>
        <v>169519.61</v>
      </c>
      <c r="L57" s="222">
        <f t="shared" si="7"/>
        <v>0</v>
      </c>
      <c r="M57" s="223"/>
      <c r="N57" s="229" t="s">
        <v>1</v>
      </c>
      <c r="O57" s="225" t="s">
        <v>24</v>
      </c>
      <c r="P57" s="226"/>
      <c r="Q57" s="227">
        <v>1</v>
      </c>
      <c r="R57" s="228"/>
      <c r="S57" s="268"/>
      <c r="T57" s="268"/>
    </row>
    <row r="58" spans="1:20" ht="33">
      <c r="A58" s="218" t="s">
        <v>76</v>
      </c>
      <c r="B58" s="219" t="s">
        <v>120</v>
      </c>
      <c r="C58" s="220" t="s">
        <v>78</v>
      </c>
      <c r="D58" s="221">
        <v>1</v>
      </c>
      <c r="E58" s="221">
        <f>'土建景觀工程(2)'!J387</f>
        <v>1</v>
      </c>
      <c r="F58" s="221">
        <f t="shared" si="4"/>
        <v>0</v>
      </c>
      <c r="G58" s="221">
        <v>350211.64</v>
      </c>
      <c r="H58" s="221"/>
      <c r="I58" s="221"/>
      <c r="J58" s="221">
        <f t="shared" si="5"/>
        <v>350211.64</v>
      </c>
      <c r="K58" s="221">
        <f t="shared" si="6"/>
        <v>350211.64</v>
      </c>
      <c r="L58" s="222">
        <f t="shared" si="7"/>
        <v>0</v>
      </c>
      <c r="M58" s="223"/>
      <c r="N58" s="229" t="s">
        <v>1</v>
      </c>
      <c r="O58" s="225" t="s">
        <v>24</v>
      </c>
      <c r="P58" s="226"/>
      <c r="Q58" s="227">
        <v>1</v>
      </c>
      <c r="R58" s="228"/>
      <c r="S58" s="268"/>
      <c r="T58" s="268"/>
    </row>
    <row r="59" spans="1:20" ht="33">
      <c r="A59" s="218" t="s">
        <v>79</v>
      </c>
      <c r="B59" s="219" t="s">
        <v>121</v>
      </c>
      <c r="C59" s="220" t="s">
        <v>78</v>
      </c>
      <c r="D59" s="221">
        <v>1</v>
      </c>
      <c r="E59" s="221">
        <f>'土建景觀工程(2)'!J389</f>
        <v>1</v>
      </c>
      <c r="F59" s="221">
        <f t="shared" si="4"/>
        <v>0</v>
      </c>
      <c r="G59" s="221">
        <v>309726.87</v>
      </c>
      <c r="H59" s="221"/>
      <c r="I59" s="221"/>
      <c r="J59" s="221">
        <f t="shared" si="5"/>
        <v>309726.87</v>
      </c>
      <c r="K59" s="221">
        <f t="shared" si="6"/>
        <v>309726.87</v>
      </c>
      <c r="L59" s="222">
        <f t="shared" si="7"/>
        <v>0</v>
      </c>
      <c r="M59" s="223"/>
      <c r="N59" s="229" t="s">
        <v>1</v>
      </c>
      <c r="O59" s="225" t="s">
        <v>24</v>
      </c>
      <c r="P59" s="226"/>
      <c r="Q59" s="227">
        <v>1</v>
      </c>
      <c r="R59" s="228"/>
      <c r="S59" s="268"/>
      <c r="T59" s="268"/>
    </row>
    <row r="60" spans="1:20" ht="33">
      <c r="A60" s="218" t="s">
        <v>81</v>
      </c>
      <c r="B60" s="219" t="s">
        <v>122</v>
      </c>
      <c r="C60" s="220" t="s">
        <v>123</v>
      </c>
      <c r="D60" s="221">
        <v>19</v>
      </c>
      <c r="E60" s="221">
        <f>'土建景觀工程(2)'!J391</f>
        <v>19</v>
      </c>
      <c r="F60" s="221">
        <f t="shared" si="4"/>
        <v>0</v>
      </c>
      <c r="G60" s="221">
        <v>1134.56</v>
      </c>
      <c r="H60" s="221"/>
      <c r="I60" s="221"/>
      <c r="J60" s="221">
        <f t="shared" si="5"/>
        <v>21556.639999999999</v>
      </c>
      <c r="K60" s="221">
        <f t="shared" si="6"/>
        <v>21556.639999999999</v>
      </c>
      <c r="L60" s="222">
        <f t="shared" si="7"/>
        <v>0</v>
      </c>
      <c r="M60" s="223"/>
      <c r="N60" s="229" t="s">
        <v>62</v>
      </c>
      <c r="O60" s="225" t="s">
        <v>24</v>
      </c>
      <c r="P60" s="226"/>
      <c r="Q60" s="227">
        <v>19</v>
      </c>
      <c r="R60" s="228"/>
      <c r="S60" s="268"/>
      <c r="T60" s="268"/>
    </row>
    <row r="61" spans="1:20" ht="33">
      <c r="A61" s="218" t="s">
        <v>83</v>
      </c>
      <c r="B61" s="219" t="s">
        <v>124</v>
      </c>
      <c r="C61" s="220" t="s">
        <v>98</v>
      </c>
      <c r="D61" s="221">
        <v>179.11</v>
      </c>
      <c r="E61" s="221">
        <f>'土建景觀工程(2)'!J393</f>
        <v>179.1</v>
      </c>
      <c r="F61" s="221">
        <f t="shared" si="4"/>
        <v>-1.0000000000019327E-2</v>
      </c>
      <c r="G61" s="221">
        <v>145.21</v>
      </c>
      <c r="H61" s="221"/>
      <c r="I61" s="221"/>
      <c r="J61" s="221">
        <f t="shared" si="5"/>
        <v>26008.563100000003</v>
      </c>
      <c r="K61" s="221">
        <f t="shared" si="6"/>
        <v>26007.111000000001</v>
      </c>
      <c r="L61" s="222">
        <f t="shared" si="7"/>
        <v>-1.4521000000022468</v>
      </c>
      <c r="M61" s="223"/>
      <c r="N61" s="229" t="s">
        <v>1</v>
      </c>
      <c r="O61" s="225" t="s">
        <v>24</v>
      </c>
      <c r="P61" s="226"/>
      <c r="Q61" s="227">
        <v>179.11</v>
      </c>
      <c r="R61" s="228"/>
      <c r="S61" s="268"/>
      <c r="T61" s="268"/>
    </row>
    <row r="62" spans="1:20" ht="33">
      <c r="A62" s="218" t="s">
        <v>85</v>
      </c>
      <c r="B62" s="219" t="s">
        <v>125</v>
      </c>
      <c r="C62" s="220" t="s">
        <v>36</v>
      </c>
      <c r="D62" s="221">
        <v>789.8</v>
      </c>
      <c r="E62" s="221">
        <f>'土建景觀工程(2)'!J397</f>
        <v>788.67000000000007</v>
      </c>
      <c r="F62" s="221">
        <f t="shared" si="4"/>
        <v>-1.1299999999998818</v>
      </c>
      <c r="G62" s="221">
        <v>2755.97</v>
      </c>
      <c r="H62" s="221"/>
      <c r="I62" s="221"/>
      <c r="J62" s="221">
        <f t="shared" si="5"/>
        <v>2176665.1059999997</v>
      </c>
      <c r="K62" s="221">
        <f t="shared" si="6"/>
        <v>2173550.8599</v>
      </c>
      <c r="L62" s="222">
        <f t="shared" si="7"/>
        <v>-3114.2460999996401</v>
      </c>
      <c r="M62" s="223"/>
      <c r="N62" s="229" t="s">
        <v>62</v>
      </c>
      <c r="O62" s="225" t="s">
        <v>24</v>
      </c>
      <c r="P62" s="226"/>
      <c r="Q62" s="227">
        <v>789.8</v>
      </c>
      <c r="R62" s="228"/>
      <c r="S62" s="268"/>
      <c r="T62" s="268"/>
    </row>
    <row r="63" spans="1:20" ht="33">
      <c r="A63" s="218" t="s">
        <v>88</v>
      </c>
      <c r="B63" s="219" t="s">
        <v>126</v>
      </c>
      <c r="C63" s="220" t="s">
        <v>36</v>
      </c>
      <c r="D63" s="221">
        <v>31.3</v>
      </c>
      <c r="E63" s="221">
        <f>'土建景觀工程(2)'!J407</f>
        <v>31.3</v>
      </c>
      <c r="F63" s="221">
        <f t="shared" si="4"/>
        <v>0</v>
      </c>
      <c r="G63" s="221">
        <v>576.79999999999995</v>
      </c>
      <c r="H63" s="221"/>
      <c r="I63" s="221"/>
      <c r="J63" s="221">
        <f t="shared" si="5"/>
        <v>18053.84</v>
      </c>
      <c r="K63" s="221">
        <f t="shared" si="6"/>
        <v>18053.84</v>
      </c>
      <c r="L63" s="222">
        <f t="shared" si="7"/>
        <v>0</v>
      </c>
      <c r="M63" s="223"/>
      <c r="N63" s="229" t="s">
        <v>62</v>
      </c>
      <c r="O63" s="225" t="s">
        <v>24</v>
      </c>
      <c r="P63" s="226"/>
      <c r="Q63" s="227">
        <v>31.3</v>
      </c>
      <c r="R63" s="228"/>
      <c r="S63" s="268"/>
      <c r="T63" s="268"/>
    </row>
    <row r="64" spans="1:20" ht="33">
      <c r="A64" s="218" t="s">
        <v>92</v>
      </c>
      <c r="B64" s="219" t="s">
        <v>127</v>
      </c>
      <c r="C64" s="220" t="s">
        <v>36</v>
      </c>
      <c r="D64" s="221">
        <v>360.35</v>
      </c>
      <c r="E64" s="221">
        <f>'土建景觀工程(2)'!J409</f>
        <v>360.35</v>
      </c>
      <c r="F64" s="221">
        <f t="shared" si="4"/>
        <v>0</v>
      </c>
      <c r="G64" s="221">
        <v>615.34</v>
      </c>
      <c r="H64" s="221"/>
      <c r="I64" s="221"/>
      <c r="J64" s="221">
        <f t="shared" si="5"/>
        <v>221737.76900000003</v>
      </c>
      <c r="K64" s="221">
        <f t="shared" si="6"/>
        <v>221737.76900000003</v>
      </c>
      <c r="L64" s="222">
        <f t="shared" si="7"/>
        <v>0</v>
      </c>
      <c r="M64" s="223"/>
      <c r="N64" s="229" t="s">
        <v>1</v>
      </c>
      <c r="O64" s="225" t="s">
        <v>24</v>
      </c>
      <c r="P64" s="226"/>
      <c r="Q64" s="227">
        <v>360.35</v>
      </c>
      <c r="R64" s="228"/>
      <c r="S64" s="268"/>
      <c r="T64" s="268"/>
    </row>
    <row r="65" spans="1:20" ht="33">
      <c r="A65" s="218" t="s">
        <v>128</v>
      </c>
      <c r="B65" s="219" t="s">
        <v>129</v>
      </c>
      <c r="C65" s="220" t="s">
        <v>36</v>
      </c>
      <c r="D65" s="221">
        <v>691.14</v>
      </c>
      <c r="E65" s="221">
        <f>'土建景觀工程(2)'!J411</f>
        <v>691.14</v>
      </c>
      <c r="F65" s="221">
        <f t="shared" si="4"/>
        <v>0</v>
      </c>
      <c r="G65" s="221">
        <v>685.3</v>
      </c>
      <c r="H65" s="221"/>
      <c r="I65" s="221"/>
      <c r="J65" s="221">
        <f t="shared" si="5"/>
        <v>473638.24199999997</v>
      </c>
      <c r="K65" s="221">
        <f t="shared" si="6"/>
        <v>473638.24199999997</v>
      </c>
      <c r="L65" s="222">
        <f t="shared" si="7"/>
        <v>0</v>
      </c>
      <c r="M65" s="223"/>
      <c r="N65" s="229" t="s">
        <v>62</v>
      </c>
      <c r="O65" s="225" t="s">
        <v>24</v>
      </c>
      <c r="P65" s="226"/>
      <c r="Q65" s="227">
        <v>691.14</v>
      </c>
      <c r="R65" s="228"/>
      <c r="S65" s="268"/>
      <c r="T65" s="268"/>
    </row>
    <row r="66" spans="1:20" ht="33">
      <c r="A66" s="218" t="s">
        <v>130</v>
      </c>
      <c r="B66" s="219" t="s">
        <v>131</v>
      </c>
      <c r="C66" s="220" t="s">
        <v>36</v>
      </c>
      <c r="D66" s="221">
        <v>890.62</v>
      </c>
      <c r="E66" s="221">
        <f>'土建景觀工程(2)'!J413</f>
        <v>935.71999999999991</v>
      </c>
      <c r="F66" s="221">
        <f t="shared" si="4"/>
        <v>45.099999999999909</v>
      </c>
      <c r="G66" s="221">
        <v>699.72</v>
      </c>
      <c r="H66" s="221"/>
      <c r="I66" s="221"/>
      <c r="J66" s="221">
        <f t="shared" si="5"/>
        <v>623184.62640000007</v>
      </c>
      <c r="K66" s="221">
        <f t="shared" si="6"/>
        <v>654741.99839999992</v>
      </c>
      <c r="L66" s="222">
        <f t="shared" si="7"/>
        <v>31557.371999999858</v>
      </c>
      <c r="M66" s="223"/>
      <c r="N66" s="229" t="s">
        <v>62</v>
      </c>
      <c r="O66" s="225" t="s">
        <v>24</v>
      </c>
      <c r="P66" s="226"/>
      <c r="Q66" s="227">
        <v>890.62</v>
      </c>
      <c r="R66" s="228"/>
      <c r="S66" s="268"/>
      <c r="T66" s="268"/>
    </row>
    <row r="67" spans="1:20" ht="33">
      <c r="A67" s="218" t="s">
        <v>132</v>
      </c>
      <c r="B67" s="219" t="s">
        <v>133</v>
      </c>
      <c r="C67" s="220" t="s">
        <v>36</v>
      </c>
      <c r="D67" s="221">
        <v>85.77</v>
      </c>
      <c r="E67" s="221">
        <f>'土建景觀工程(2)'!J418</f>
        <v>85.77</v>
      </c>
      <c r="F67" s="221">
        <f t="shared" si="4"/>
        <v>0</v>
      </c>
      <c r="G67" s="221">
        <v>1199.33</v>
      </c>
      <c r="H67" s="221"/>
      <c r="I67" s="221"/>
      <c r="J67" s="221">
        <f t="shared" si="5"/>
        <v>102866.53409999999</v>
      </c>
      <c r="K67" s="221">
        <f t="shared" si="6"/>
        <v>102866.53409999999</v>
      </c>
      <c r="L67" s="222">
        <f t="shared" si="7"/>
        <v>0</v>
      </c>
      <c r="M67" s="223"/>
      <c r="N67" s="229" t="s">
        <v>62</v>
      </c>
      <c r="O67" s="225" t="s">
        <v>24</v>
      </c>
      <c r="P67" s="226"/>
      <c r="Q67" s="227">
        <v>85.77</v>
      </c>
      <c r="R67" s="228"/>
      <c r="S67" s="268"/>
      <c r="T67" s="268"/>
    </row>
    <row r="68" spans="1:20" ht="33">
      <c r="A68" s="218" t="s">
        <v>134</v>
      </c>
      <c r="B68" s="219" t="s">
        <v>135</v>
      </c>
      <c r="C68" s="220" t="s">
        <v>36</v>
      </c>
      <c r="D68" s="221">
        <v>187.82</v>
      </c>
      <c r="E68" s="221">
        <f>'土建景觀工程(2)'!J422</f>
        <v>187.82000000000002</v>
      </c>
      <c r="F68" s="221">
        <f t="shared" si="4"/>
        <v>0</v>
      </c>
      <c r="G68" s="221">
        <v>57.68</v>
      </c>
      <c r="H68" s="221"/>
      <c r="I68" s="221"/>
      <c r="J68" s="221">
        <f t="shared" si="5"/>
        <v>10833.4576</v>
      </c>
      <c r="K68" s="221">
        <f t="shared" si="6"/>
        <v>10833.457600000002</v>
      </c>
      <c r="L68" s="222">
        <f t="shared" si="7"/>
        <v>0</v>
      </c>
      <c r="M68" s="223"/>
      <c r="N68" s="229" t="s">
        <v>62</v>
      </c>
      <c r="O68" s="225" t="s">
        <v>24</v>
      </c>
      <c r="P68" s="226"/>
      <c r="Q68" s="227">
        <v>187.82</v>
      </c>
      <c r="R68" s="228"/>
      <c r="S68" s="268"/>
      <c r="T68" s="268"/>
    </row>
    <row r="69" spans="1:20" ht="33">
      <c r="A69" s="218" t="s">
        <v>136</v>
      </c>
      <c r="B69" s="219" t="s">
        <v>137</v>
      </c>
      <c r="C69" s="220" t="s">
        <v>36</v>
      </c>
      <c r="D69" s="221">
        <v>18.809999999999999</v>
      </c>
      <c r="E69" s="221">
        <f>'土建景觀工程(2)'!J426</f>
        <v>18.810000000000002</v>
      </c>
      <c r="F69" s="221">
        <f t="shared" si="4"/>
        <v>0</v>
      </c>
      <c r="G69" s="221">
        <v>138.84</v>
      </c>
      <c r="H69" s="221"/>
      <c r="I69" s="221"/>
      <c r="J69" s="221">
        <f t="shared" si="5"/>
        <v>2611.5803999999998</v>
      </c>
      <c r="K69" s="221">
        <f t="shared" si="6"/>
        <v>2611.5804000000003</v>
      </c>
      <c r="L69" s="222">
        <f t="shared" si="7"/>
        <v>0</v>
      </c>
      <c r="M69" s="223"/>
      <c r="N69" s="229" t="s">
        <v>1</v>
      </c>
      <c r="O69" s="225" t="s">
        <v>24</v>
      </c>
      <c r="P69" s="226"/>
      <c r="Q69" s="227">
        <v>18.809999999999999</v>
      </c>
      <c r="R69" s="228"/>
      <c r="S69" s="268"/>
      <c r="T69" s="268"/>
    </row>
    <row r="70" spans="1:20" ht="33">
      <c r="A70" s="218" t="s">
        <v>138</v>
      </c>
      <c r="B70" s="219" t="s">
        <v>139</v>
      </c>
      <c r="C70" s="220" t="s">
        <v>52</v>
      </c>
      <c r="D70" s="221">
        <v>20.48</v>
      </c>
      <c r="E70" s="221">
        <f>'土建景觀工程(2)'!J428</f>
        <v>20.48</v>
      </c>
      <c r="F70" s="221">
        <f t="shared" si="4"/>
        <v>0</v>
      </c>
      <c r="G70" s="221">
        <v>2145.42</v>
      </c>
      <c r="H70" s="221"/>
      <c r="I70" s="221"/>
      <c r="J70" s="221">
        <f t="shared" si="5"/>
        <v>43938.2016</v>
      </c>
      <c r="K70" s="221">
        <f t="shared" si="6"/>
        <v>43938.2016</v>
      </c>
      <c r="L70" s="222">
        <f t="shared" si="7"/>
        <v>0</v>
      </c>
      <c r="M70" s="223"/>
      <c r="N70" s="229" t="s">
        <v>62</v>
      </c>
      <c r="O70" s="225" t="s">
        <v>24</v>
      </c>
      <c r="P70" s="226"/>
      <c r="Q70" s="227">
        <v>20.48</v>
      </c>
      <c r="R70" s="228"/>
      <c r="S70" s="268"/>
      <c r="T70" s="268"/>
    </row>
    <row r="71" spans="1:20" ht="33">
      <c r="A71" s="218" t="s">
        <v>140</v>
      </c>
      <c r="B71" s="219" t="s">
        <v>141</v>
      </c>
      <c r="C71" s="220" t="s">
        <v>36</v>
      </c>
      <c r="D71" s="221">
        <v>354.7</v>
      </c>
      <c r="E71" s="221">
        <f>'土建景觀工程(2)'!J430</f>
        <v>353.22</v>
      </c>
      <c r="F71" s="221">
        <f t="shared" si="4"/>
        <v>-1.4799999999999613</v>
      </c>
      <c r="G71" s="221">
        <v>511.4</v>
      </c>
      <c r="H71" s="221"/>
      <c r="I71" s="221"/>
      <c r="J71" s="221">
        <f t="shared" si="5"/>
        <v>181393.58</v>
      </c>
      <c r="K71" s="221">
        <f t="shared" si="6"/>
        <v>180636.70800000001</v>
      </c>
      <c r="L71" s="222">
        <f t="shared" si="7"/>
        <v>-756.87199999997392</v>
      </c>
      <c r="M71" s="223"/>
      <c r="N71" s="229" t="s">
        <v>1</v>
      </c>
      <c r="O71" s="225" t="s">
        <v>24</v>
      </c>
      <c r="P71" s="226"/>
      <c r="Q71" s="227">
        <v>354.7</v>
      </c>
      <c r="R71" s="228"/>
      <c r="S71" s="268"/>
      <c r="T71" s="268"/>
    </row>
    <row r="72" spans="1:20" ht="33">
      <c r="A72" s="218" t="s">
        <v>142</v>
      </c>
      <c r="B72" s="219" t="s">
        <v>143</v>
      </c>
      <c r="C72" s="220" t="s">
        <v>36</v>
      </c>
      <c r="D72" s="221">
        <v>44.7</v>
      </c>
      <c r="E72" s="221">
        <f>'土建景觀工程(2)'!J436</f>
        <v>44.66</v>
      </c>
      <c r="F72" s="221">
        <f t="shared" si="4"/>
        <v>-4.0000000000006253E-2</v>
      </c>
      <c r="G72" s="221">
        <v>578.86</v>
      </c>
      <c r="H72" s="221"/>
      <c r="I72" s="221"/>
      <c r="J72" s="221">
        <f t="shared" si="5"/>
        <v>25875.042000000001</v>
      </c>
      <c r="K72" s="221">
        <f t="shared" si="6"/>
        <v>25851.887599999998</v>
      </c>
      <c r="L72" s="222">
        <f t="shared" si="7"/>
        <v>-23.154400000003079</v>
      </c>
      <c r="M72" s="223"/>
      <c r="N72" s="229" t="s">
        <v>1</v>
      </c>
      <c r="O72" s="225" t="s">
        <v>24</v>
      </c>
      <c r="P72" s="226"/>
      <c r="Q72" s="227">
        <v>44.7</v>
      </c>
      <c r="R72" s="228"/>
      <c r="S72" s="268"/>
      <c r="T72" s="268"/>
    </row>
    <row r="73" spans="1:20" ht="33">
      <c r="A73" s="218" t="s">
        <v>144</v>
      </c>
      <c r="B73" s="219" t="s">
        <v>145</v>
      </c>
      <c r="C73" s="220" t="s">
        <v>36</v>
      </c>
      <c r="D73" s="221">
        <v>31</v>
      </c>
      <c r="E73" s="221">
        <f>'土建景觀工程(2)'!J438</f>
        <v>31</v>
      </c>
      <c r="F73" s="221">
        <f t="shared" ref="F73:F104" si="8">E73-D73</f>
        <v>0</v>
      </c>
      <c r="G73" s="221">
        <v>723.06</v>
      </c>
      <c r="H73" s="221"/>
      <c r="I73" s="221"/>
      <c r="J73" s="221">
        <f t="shared" ref="J73:J104" si="9">D73*G73</f>
        <v>22414.859999999997</v>
      </c>
      <c r="K73" s="221">
        <f t="shared" ref="K73:K104" si="10">E73*G73</f>
        <v>22414.859999999997</v>
      </c>
      <c r="L73" s="222">
        <f t="shared" si="7"/>
        <v>0</v>
      </c>
      <c r="M73" s="223"/>
      <c r="N73" s="229" t="s">
        <v>1</v>
      </c>
      <c r="O73" s="225" t="s">
        <v>24</v>
      </c>
      <c r="P73" s="226"/>
      <c r="Q73" s="227">
        <v>31</v>
      </c>
      <c r="R73" s="228"/>
      <c r="S73" s="268"/>
      <c r="T73" s="268"/>
    </row>
    <row r="74" spans="1:20" ht="33">
      <c r="A74" s="218" t="s">
        <v>146</v>
      </c>
      <c r="B74" s="219" t="s">
        <v>147</v>
      </c>
      <c r="C74" s="220" t="s">
        <v>36</v>
      </c>
      <c r="D74" s="221">
        <v>18.100000000000001</v>
      </c>
      <c r="E74" s="221">
        <f>'土建景觀工程(2)'!J440</f>
        <v>18.02</v>
      </c>
      <c r="F74" s="221">
        <f t="shared" si="8"/>
        <v>-8.0000000000001847E-2</v>
      </c>
      <c r="G74" s="221">
        <v>829.15</v>
      </c>
      <c r="H74" s="221"/>
      <c r="I74" s="221"/>
      <c r="J74" s="221">
        <f t="shared" si="9"/>
        <v>15007.615000000002</v>
      </c>
      <c r="K74" s="221">
        <f t="shared" si="10"/>
        <v>14941.282999999999</v>
      </c>
      <c r="L74" s="222">
        <f t="shared" si="7"/>
        <v>-66.332000000002154</v>
      </c>
      <c r="M74" s="223"/>
      <c r="N74" s="229" t="s">
        <v>1</v>
      </c>
      <c r="O74" s="225" t="s">
        <v>24</v>
      </c>
      <c r="P74" s="226"/>
      <c r="Q74" s="227">
        <v>18.100000000000001</v>
      </c>
      <c r="R74" s="228"/>
      <c r="S74" s="268"/>
      <c r="T74" s="268"/>
    </row>
    <row r="75" spans="1:20" ht="33">
      <c r="A75" s="218" t="s">
        <v>148</v>
      </c>
      <c r="B75" s="219" t="s">
        <v>149</v>
      </c>
      <c r="C75" s="220" t="s">
        <v>36</v>
      </c>
      <c r="D75" s="221">
        <v>180.4</v>
      </c>
      <c r="E75" s="221">
        <f>'土建景觀工程(2)'!J442</f>
        <v>180.4</v>
      </c>
      <c r="F75" s="221">
        <f t="shared" si="8"/>
        <v>0</v>
      </c>
      <c r="G75" s="221">
        <v>443.93</v>
      </c>
      <c r="H75" s="221"/>
      <c r="I75" s="221"/>
      <c r="J75" s="221">
        <f t="shared" si="9"/>
        <v>80084.972000000009</v>
      </c>
      <c r="K75" s="221">
        <f t="shared" si="10"/>
        <v>80084.972000000009</v>
      </c>
      <c r="L75" s="222">
        <f t="shared" si="7"/>
        <v>0</v>
      </c>
      <c r="M75" s="223"/>
      <c r="N75" s="229" t="s">
        <v>1</v>
      </c>
      <c r="O75" s="225" t="s">
        <v>24</v>
      </c>
      <c r="P75" s="226"/>
      <c r="Q75" s="227">
        <v>180.4</v>
      </c>
      <c r="R75" s="228"/>
      <c r="S75" s="268"/>
      <c r="T75" s="268"/>
    </row>
    <row r="76" spans="1:20" ht="33">
      <c r="A76" s="218" t="s">
        <v>150</v>
      </c>
      <c r="B76" s="219" t="s">
        <v>151</v>
      </c>
      <c r="C76" s="220" t="s">
        <v>36</v>
      </c>
      <c r="D76" s="221">
        <v>25.6</v>
      </c>
      <c r="E76" s="221">
        <f>'土建景觀工程(2)'!J444</f>
        <v>25.6</v>
      </c>
      <c r="F76" s="221">
        <f t="shared" si="8"/>
        <v>0</v>
      </c>
      <c r="G76" s="221">
        <v>578.86</v>
      </c>
      <c r="H76" s="221"/>
      <c r="I76" s="221"/>
      <c r="J76" s="221">
        <f t="shared" si="9"/>
        <v>14818.816000000001</v>
      </c>
      <c r="K76" s="221">
        <f t="shared" si="10"/>
        <v>14818.816000000001</v>
      </c>
      <c r="L76" s="222">
        <f t="shared" si="7"/>
        <v>0</v>
      </c>
      <c r="M76" s="223"/>
      <c r="N76" s="229" t="s">
        <v>1</v>
      </c>
      <c r="O76" s="225" t="s">
        <v>24</v>
      </c>
      <c r="P76" s="226"/>
      <c r="Q76" s="227">
        <v>25.6</v>
      </c>
      <c r="R76" s="228"/>
      <c r="S76" s="268"/>
      <c r="T76" s="268"/>
    </row>
    <row r="77" spans="1:20" ht="33">
      <c r="A77" s="218" t="s">
        <v>152</v>
      </c>
      <c r="B77" s="219" t="s">
        <v>153</v>
      </c>
      <c r="C77" s="220" t="s">
        <v>78</v>
      </c>
      <c r="D77" s="221">
        <v>7</v>
      </c>
      <c r="E77" s="221">
        <f>'土建景觀工程(2)'!J446</f>
        <v>7</v>
      </c>
      <c r="F77" s="221">
        <f t="shared" si="8"/>
        <v>0</v>
      </c>
      <c r="G77" s="221">
        <v>17307.09</v>
      </c>
      <c r="H77" s="221"/>
      <c r="I77" s="221"/>
      <c r="J77" s="221">
        <f t="shared" si="9"/>
        <v>121149.63</v>
      </c>
      <c r="K77" s="221">
        <f t="shared" si="10"/>
        <v>121149.63</v>
      </c>
      <c r="L77" s="222">
        <f t="shared" si="7"/>
        <v>0</v>
      </c>
      <c r="M77" s="223"/>
      <c r="N77" s="229" t="s">
        <v>1</v>
      </c>
      <c r="O77" s="225" t="s">
        <v>24</v>
      </c>
      <c r="P77" s="226"/>
      <c r="Q77" s="227">
        <v>7</v>
      </c>
      <c r="R77" s="228"/>
      <c r="S77" s="268"/>
      <c r="T77" s="268"/>
    </row>
    <row r="78" spans="1:20" ht="33">
      <c r="A78" s="218" t="s">
        <v>154</v>
      </c>
      <c r="B78" s="219" t="s">
        <v>155</v>
      </c>
      <c r="C78" s="220" t="s">
        <v>36</v>
      </c>
      <c r="D78" s="221">
        <v>7.8</v>
      </c>
      <c r="E78" s="221">
        <f>'土建景觀工程(2)'!J448</f>
        <v>7.8</v>
      </c>
      <c r="F78" s="221">
        <f t="shared" si="8"/>
        <v>0</v>
      </c>
      <c r="G78" s="221">
        <v>443.93</v>
      </c>
      <c r="H78" s="221"/>
      <c r="I78" s="221"/>
      <c r="J78" s="221">
        <f t="shared" si="9"/>
        <v>3462.654</v>
      </c>
      <c r="K78" s="221">
        <f t="shared" si="10"/>
        <v>3462.654</v>
      </c>
      <c r="L78" s="222">
        <f t="shared" si="7"/>
        <v>0</v>
      </c>
      <c r="M78" s="223"/>
      <c r="N78" s="229" t="s">
        <v>62</v>
      </c>
      <c r="O78" s="225" t="s">
        <v>24</v>
      </c>
      <c r="P78" s="226"/>
      <c r="Q78" s="227">
        <v>7.8</v>
      </c>
      <c r="R78" s="228"/>
      <c r="S78" s="268"/>
      <c r="T78" s="268"/>
    </row>
    <row r="79" spans="1:20" ht="33">
      <c r="A79" s="218" t="s">
        <v>156</v>
      </c>
      <c r="B79" s="219" t="s">
        <v>157</v>
      </c>
      <c r="C79" s="220" t="s">
        <v>78</v>
      </c>
      <c r="D79" s="221">
        <v>2</v>
      </c>
      <c r="E79" s="221">
        <f>'土建景觀工程(2)'!J450</f>
        <v>2</v>
      </c>
      <c r="F79" s="221">
        <f t="shared" si="8"/>
        <v>0</v>
      </c>
      <c r="G79" s="221">
        <v>13705.7</v>
      </c>
      <c r="H79" s="221"/>
      <c r="I79" s="221"/>
      <c r="J79" s="221">
        <f t="shared" si="9"/>
        <v>27411.4</v>
      </c>
      <c r="K79" s="221">
        <f t="shared" si="10"/>
        <v>27411.4</v>
      </c>
      <c r="L79" s="222">
        <f t="shared" si="7"/>
        <v>0</v>
      </c>
      <c r="M79" s="223"/>
      <c r="N79" s="229" t="s">
        <v>1</v>
      </c>
      <c r="O79" s="225" t="s">
        <v>24</v>
      </c>
      <c r="P79" s="226"/>
      <c r="Q79" s="227">
        <v>2</v>
      </c>
      <c r="R79" s="228"/>
      <c r="S79" s="268"/>
      <c r="T79" s="268"/>
    </row>
    <row r="80" spans="1:20" ht="33">
      <c r="A80" s="218" t="s">
        <v>158</v>
      </c>
      <c r="B80" s="219" t="s">
        <v>159</v>
      </c>
      <c r="C80" s="220" t="s">
        <v>78</v>
      </c>
      <c r="D80" s="221">
        <v>3</v>
      </c>
      <c r="E80" s="221">
        <f>'土建景觀工程(2)'!J452</f>
        <v>3</v>
      </c>
      <c r="F80" s="221">
        <f t="shared" si="8"/>
        <v>0</v>
      </c>
      <c r="G80" s="221">
        <v>25126.95</v>
      </c>
      <c r="H80" s="221"/>
      <c r="I80" s="221"/>
      <c r="J80" s="221">
        <f t="shared" si="9"/>
        <v>75380.850000000006</v>
      </c>
      <c r="K80" s="221">
        <f t="shared" si="10"/>
        <v>75380.850000000006</v>
      </c>
      <c r="L80" s="222">
        <f t="shared" si="7"/>
        <v>0</v>
      </c>
      <c r="M80" s="223"/>
      <c r="N80" s="229" t="s">
        <v>1</v>
      </c>
      <c r="O80" s="225" t="s">
        <v>24</v>
      </c>
      <c r="P80" s="226"/>
      <c r="Q80" s="227">
        <v>3</v>
      </c>
      <c r="R80" s="228"/>
      <c r="S80" s="268"/>
      <c r="T80" s="268"/>
    </row>
    <row r="81" spans="1:20" ht="33">
      <c r="A81" s="218" t="s">
        <v>160</v>
      </c>
      <c r="B81" s="219" t="s">
        <v>161</v>
      </c>
      <c r="C81" s="220" t="s">
        <v>36</v>
      </c>
      <c r="D81" s="221">
        <v>18</v>
      </c>
      <c r="E81" s="221">
        <f>'土建景觀工程(2)'!J454</f>
        <v>18</v>
      </c>
      <c r="F81" s="221">
        <f t="shared" si="8"/>
        <v>0</v>
      </c>
      <c r="G81" s="221">
        <v>2901.57</v>
      </c>
      <c r="H81" s="221"/>
      <c r="I81" s="221"/>
      <c r="J81" s="221">
        <f t="shared" si="9"/>
        <v>52228.26</v>
      </c>
      <c r="K81" s="221">
        <f t="shared" si="10"/>
        <v>52228.26</v>
      </c>
      <c r="L81" s="222">
        <f t="shared" si="7"/>
        <v>0</v>
      </c>
      <c r="M81" s="223"/>
      <c r="N81" s="229" t="s">
        <v>62</v>
      </c>
      <c r="O81" s="225" t="s">
        <v>24</v>
      </c>
      <c r="P81" s="226"/>
      <c r="Q81" s="227">
        <v>18</v>
      </c>
      <c r="R81" s="228"/>
      <c r="S81" s="268"/>
      <c r="T81" s="268"/>
    </row>
    <row r="82" spans="1:20" ht="33">
      <c r="A82" s="218" t="s">
        <v>162</v>
      </c>
      <c r="B82" s="219" t="s">
        <v>163</v>
      </c>
      <c r="C82" s="220" t="s">
        <v>36</v>
      </c>
      <c r="D82" s="221">
        <v>17.100000000000001</v>
      </c>
      <c r="E82" s="221">
        <f>'土建景觀工程(2)'!J456</f>
        <v>33.5</v>
      </c>
      <c r="F82" s="221">
        <f t="shared" si="8"/>
        <v>16.399999999999999</v>
      </c>
      <c r="G82" s="221">
        <v>1762.96</v>
      </c>
      <c r="H82" s="221"/>
      <c r="I82" s="221"/>
      <c r="J82" s="221">
        <f t="shared" si="9"/>
        <v>30146.616000000002</v>
      </c>
      <c r="K82" s="221">
        <f t="shared" si="10"/>
        <v>59059.16</v>
      </c>
      <c r="L82" s="222">
        <f t="shared" si="7"/>
        <v>28912.544000000002</v>
      </c>
      <c r="M82" s="223"/>
      <c r="N82" s="229" t="s">
        <v>1</v>
      </c>
      <c r="O82" s="225" t="s">
        <v>24</v>
      </c>
      <c r="P82" s="226"/>
      <c r="Q82" s="227">
        <v>17.100000000000001</v>
      </c>
      <c r="R82" s="228"/>
      <c r="S82" s="268"/>
      <c r="T82" s="268"/>
    </row>
    <row r="83" spans="1:20" ht="33">
      <c r="A83" s="218" t="s">
        <v>164</v>
      </c>
      <c r="B83" s="219" t="s">
        <v>165</v>
      </c>
      <c r="C83" s="220" t="s">
        <v>36</v>
      </c>
      <c r="D83" s="221">
        <v>77.400000000000006</v>
      </c>
      <c r="E83" s="221">
        <f>'土建景觀工程(2)'!J460</f>
        <v>85.7</v>
      </c>
      <c r="F83" s="221">
        <f t="shared" si="8"/>
        <v>8.2999999999999972</v>
      </c>
      <c r="G83" s="221">
        <v>1224.3</v>
      </c>
      <c r="H83" s="221"/>
      <c r="I83" s="221"/>
      <c r="J83" s="221">
        <f t="shared" si="9"/>
        <v>94760.82</v>
      </c>
      <c r="K83" s="221">
        <f t="shared" si="10"/>
        <v>104922.51</v>
      </c>
      <c r="L83" s="222">
        <f t="shared" si="7"/>
        <v>10161.689999999988</v>
      </c>
      <c r="M83" s="223"/>
      <c r="N83" s="229" t="s">
        <v>1</v>
      </c>
      <c r="O83" s="225" t="s">
        <v>24</v>
      </c>
      <c r="P83" s="226"/>
      <c r="Q83" s="227">
        <v>77.400000000000006</v>
      </c>
      <c r="R83" s="228"/>
      <c r="S83" s="268"/>
      <c r="T83" s="268"/>
    </row>
    <row r="84" spans="1:20" ht="33">
      <c r="A84" s="218" t="s">
        <v>166</v>
      </c>
      <c r="B84" s="219" t="s">
        <v>167</v>
      </c>
      <c r="C84" s="220" t="s">
        <v>36</v>
      </c>
      <c r="D84" s="221">
        <v>32.5</v>
      </c>
      <c r="E84" s="221">
        <f>'土建景觀工程(2)'!J464</f>
        <v>32.5</v>
      </c>
      <c r="F84" s="221">
        <f t="shared" si="8"/>
        <v>0</v>
      </c>
      <c r="G84" s="221">
        <v>1148.7</v>
      </c>
      <c r="H84" s="221"/>
      <c r="I84" s="221"/>
      <c r="J84" s="221">
        <f t="shared" si="9"/>
        <v>37332.75</v>
      </c>
      <c r="K84" s="221">
        <f t="shared" si="10"/>
        <v>37332.75</v>
      </c>
      <c r="L84" s="222">
        <f t="shared" si="7"/>
        <v>0</v>
      </c>
      <c r="M84" s="223"/>
      <c r="N84" s="229" t="s">
        <v>1</v>
      </c>
      <c r="O84" s="225" t="s">
        <v>24</v>
      </c>
      <c r="P84" s="226"/>
      <c r="Q84" s="227">
        <v>32.5</v>
      </c>
      <c r="R84" s="228"/>
      <c r="S84" s="268"/>
      <c r="T84" s="268"/>
    </row>
    <row r="85" spans="1:20" ht="33">
      <c r="A85" s="218" t="s">
        <v>168</v>
      </c>
      <c r="B85" s="219" t="s">
        <v>169</v>
      </c>
      <c r="C85" s="220" t="s">
        <v>78</v>
      </c>
      <c r="D85" s="221">
        <v>1</v>
      </c>
      <c r="E85" s="221">
        <f>'土建景觀工程(2)'!J479</f>
        <v>1</v>
      </c>
      <c r="F85" s="221">
        <f t="shared" si="8"/>
        <v>0</v>
      </c>
      <c r="G85" s="221">
        <v>19780.169999999998</v>
      </c>
      <c r="H85" s="221"/>
      <c r="I85" s="221"/>
      <c r="J85" s="221">
        <f t="shared" si="9"/>
        <v>19780.169999999998</v>
      </c>
      <c r="K85" s="221">
        <f t="shared" si="10"/>
        <v>19780.169999999998</v>
      </c>
      <c r="L85" s="222">
        <f t="shared" si="7"/>
        <v>0</v>
      </c>
      <c r="M85" s="223"/>
      <c r="N85" s="229" t="s">
        <v>1</v>
      </c>
      <c r="O85" s="225" t="s">
        <v>24</v>
      </c>
      <c r="P85" s="226"/>
      <c r="Q85" s="227">
        <v>1</v>
      </c>
      <c r="R85" s="228"/>
      <c r="S85" s="268"/>
      <c r="T85" s="268"/>
    </row>
    <row r="86" spans="1:20" ht="33">
      <c r="A86" s="218" t="s">
        <v>170</v>
      </c>
      <c r="B86" s="219" t="s">
        <v>171</v>
      </c>
      <c r="C86" s="220" t="s">
        <v>78</v>
      </c>
      <c r="D86" s="221">
        <v>1</v>
      </c>
      <c r="E86" s="221">
        <f>'土建景觀工程(2)'!J481</f>
        <v>1</v>
      </c>
      <c r="F86" s="221">
        <f t="shared" si="8"/>
        <v>0</v>
      </c>
      <c r="G86" s="221">
        <v>1218.03</v>
      </c>
      <c r="H86" s="221"/>
      <c r="I86" s="221"/>
      <c r="J86" s="221">
        <f t="shared" si="9"/>
        <v>1218.03</v>
      </c>
      <c r="K86" s="221">
        <f t="shared" si="10"/>
        <v>1218.03</v>
      </c>
      <c r="L86" s="222">
        <f t="shared" si="7"/>
        <v>0</v>
      </c>
      <c r="M86" s="223"/>
      <c r="N86" s="229" t="s">
        <v>1</v>
      </c>
      <c r="O86" s="225" t="s">
        <v>24</v>
      </c>
      <c r="P86" s="226"/>
      <c r="Q86" s="227">
        <v>1</v>
      </c>
      <c r="R86" s="228"/>
      <c r="S86" s="268"/>
      <c r="T86" s="268"/>
    </row>
    <row r="87" spans="1:20" ht="33">
      <c r="A87" s="218" t="s">
        <v>172</v>
      </c>
      <c r="B87" s="219" t="s">
        <v>173</v>
      </c>
      <c r="C87" s="220" t="s">
        <v>78</v>
      </c>
      <c r="D87" s="221">
        <v>1</v>
      </c>
      <c r="E87" s="221">
        <f>'土建景觀工程(2)'!J483</f>
        <v>1</v>
      </c>
      <c r="F87" s="221">
        <f t="shared" si="8"/>
        <v>0</v>
      </c>
      <c r="G87" s="221">
        <v>3110.7</v>
      </c>
      <c r="H87" s="221"/>
      <c r="I87" s="221"/>
      <c r="J87" s="221">
        <f t="shared" si="9"/>
        <v>3110.7</v>
      </c>
      <c r="K87" s="221">
        <f t="shared" si="10"/>
        <v>3110.7</v>
      </c>
      <c r="L87" s="222">
        <f t="shared" si="7"/>
        <v>0</v>
      </c>
      <c r="M87" s="223"/>
      <c r="N87" s="229" t="s">
        <v>1</v>
      </c>
      <c r="O87" s="225" t="s">
        <v>24</v>
      </c>
      <c r="P87" s="226"/>
      <c r="Q87" s="227">
        <v>1</v>
      </c>
      <c r="R87" s="228"/>
      <c r="S87" s="268"/>
      <c r="T87" s="268"/>
    </row>
    <row r="88" spans="1:20" ht="33">
      <c r="A88" s="218" t="s">
        <v>174</v>
      </c>
      <c r="B88" s="219" t="s">
        <v>175</v>
      </c>
      <c r="C88" s="220" t="s">
        <v>78</v>
      </c>
      <c r="D88" s="221">
        <v>1</v>
      </c>
      <c r="E88" s="221">
        <f>'土建景觀工程(2)'!J485</f>
        <v>1</v>
      </c>
      <c r="F88" s="221">
        <f t="shared" si="8"/>
        <v>0</v>
      </c>
      <c r="G88" s="221">
        <v>1251.0999999999999</v>
      </c>
      <c r="H88" s="221"/>
      <c r="I88" s="221"/>
      <c r="J88" s="221">
        <f t="shared" si="9"/>
        <v>1251.0999999999999</v>
      </c>
      <c r="K88" s="221">
        <f t="shared" si="10"/>
        <v>1251.0999999999999</v>
      </c>
      <c r="L88" s="222">
        <f t="shared" si="7"/>
        <v>0</v>
      </c>
      <c r="M88" s="223"/>
      <c r="N88" s="229" t="s">
        <v>62</v>
      </c>
      <c r="O88" s="225" t="s">
        <v>24</v>
      </c>
      <c r="P88" s="226"/>
      <c r="Q88" s="227">
        <v>1</v>
      </c>
      <c r="R88" s="228"/>
      <c r="S88" s="268"/>
      <c r="T88" s="268"/>
    </row>
    <row r="89" spans="1:20" ht="33">
      <c r="A89" s="218" t="s">
        <v>176</v>
      </c>
      <c r="B89" s="219" t="s">
        <v>177</v>
      </c>
      <c r="C89" s="220" t="s">
        <v>78</v>
      </c>
      <c r="D89" s="221">
        <v>1</v>
      </c>
      <c r="E89" s="221">
        <f>'土建景觀工程(2)'!J487</f>
        <v>1</v>
      </c>
      <c r="F89" s="221">
        <f t="shared" si="8"/>
        <v>0</v>
      </c>
      <c r="G89" s="221">
        <v>9500.58</v>
      </c>
      <c r="H89" s="221"/>
      <c r="I89" s="221"/>
      <c r="J89" s="221">
        <f t="shared" si="9"/>
        <v>9500.58</v>
      </c>
      <c r="K89" s="221">
        <f t="shared" si="10"/>
        <v>9500.58</v>
      </c>
      <c r="L89" s="222">
        <f t="shared" si="7"/>
        <v>0</v>
      </c>
      <c r="M89" s="223"/>
      <c r="N89" s="229" t="s">
        <v>1</v>
      </c>
      <c r="O89" s="225" t="s">
        <v>24</v>
      </c>
      <c r="P89" s="226"/>
      <c r="Q89" s="227">
        <v>1</v>
      </c>
      <c r="R89" s="228"/>
      <c r="S89" s="268"/>
      <c r="T89" s="268"/>
    </row>
    <row r="90" spans="1:20" ht="33">
      <c r="A90" s="218" t="s">
        <v>178</v>
      </c>
      <c r="B90" s="219" t="s">
        <v>179</v>
      </c>
      <c r="C90" s="220" t="s">
        <v>78</v>
      </c>
      <c r="D90" s="221">
        <v>1</v>
      </c>
      <c r="E90" s="221">
        <f>'土建景觀工程(2)'!J489</f>
        <v>1</v>
      </c>
      <c r="F90" s="221">
        <f t="shared" si="8"/>
        <v>0</v>
      </c>
      <c r="G90" s="221">
        <v>3871.43</v>
      </c>
      <c r="H90" s="221"/>
      <c r="I90" s="221"/>
      <c r="J90" s="221">
        <f t="shared" si="9"/>
        <v>3871.43</v>
      </c>
      <c r="K90" s="221">
        <f t="shared" si="10"/>
        <v>3871.43</v>
      </c>
      <c r="L90" s="222">
        <f t="shared" si="7"/>
        <v>0</v>
      </c>
      <c r="M90" s="223"/>
      <c r="N90" s="229" t="s">
        <v>1</v>
      </c>
      <c r="O90" s="225" t="s">
        <v>24</v>
      </c>
      <c r="P90" s="226"/>
      <c r="Q90" s="227">
        <v>1</v>
      </c>
      <c r="R90" s="228"/>
      <c r="S90" s="268"/>
      <c r="T90" s="268"/>
    </row>
    <row r="91" spans="1:20" ht="33">
      <c r="A91" s="218" t="s">
        <v>180</v>
      </c>
      <c r="B91" s="219" t="s">
        <v>181</v>
      </c>
      <c r="C91" s="220" t="s">
        <v>78</v>
      </c>
      <c r="D91" s="221">
        <v>1</v>
      </c>
      <c r="E91" s="221">
        <f>'土建景觀工程(2)'!J491</f>
        <v>1</v>
      </c>
      <c r="F91" s="221">
        <f t="shared" si="8"/>
        <v>0</v>
      </c>
      <c r="G91" s="221">
        <v>25380.34</v>
      </c>
      <c r="H91" s="221"/>
      <c r="I91" s="221"/>
      <c r="J91" s="221">
        <f t="shared" si="9"/>
        <v>25380.34</v>
      </c>
      <c r="K91" s="221">
        <f t="shared" si="10"/>
        <v>25380.34</v>
      </c>
      <c r="L91" s="222">
        <f t="shared" si="7"/>
        <v>0</v>
      </c>
      <c r="M91" s="223"/>
      <c r="N91" s="229" t="s">
        <v>1</v>
      </c>
      <c r="O91" s="225" t="s">
        <v>24</v>
      </c>
      <c r="P91" s="226"/>
      <c r="Q91" s="227">
        <v>1</v>
      </c>
      <c r="R91" s="228"/>
      <c r="S91" s="268"/>
      <c r="T91" s="268"/>
    </row>
    <row r="92" spans="1:20" ht="33">
      <c r="A92" s="218" t="s">
        <v>182</v>
      </c>
      <c r="B92" s="219" t="s">
        <v>183</v>
      </c>
      <c r="C92" s="220" t="s">
        <v>36</v>
      </c>
      <c r="D92" s="221">
        <v>13.9</v>
      </c>
      <c r="E92" s="221">
        <f>'土建景觀工程(2)'!J493</f>
        <v>39.799999999999997</v>
      </c>
      <c r="F92" s="221">
        <f t="shared" si="8"/>
        <v>25.9</v>
      </c>
      <c r="G92" s="221">
        <v>1285.31</v>
      </c>
      <c r="H92" s="221"/>
      <c r="I92" s="221"/>
      <c r="J92" s="221">
        <f t="shared" si="9"/>
        <v>17865.809000000001</v>
      </c>
      <c r="K92" s="221">
        <f t="shared" si="10"/>
        <v>51155.337999999996</v>
      </c>
      <c r="L92" s="222">
        <f t="shared" si="7"/>
        <v>33289.528999999995</v>
      </c>
      <c r="M92" s="223"/>
      <c r="N92" s="229" t="s">
        <v>1</v>
      </c>
      <c r="O92" s="225" t="s">
        <v>24</v>
      </c>
      <c r="P92" s="226"/>
      <c r="Q92" s="227">
        <v>52.9</v>
      </c>
      <c r="R92" s="228" t="s">
        <v>863</v>
      </c>
      <c r="S92" s="268"/>
      <c r="T92" s="268"/>
    </row>
    <row r="93" spans="1:20" ht="33">
      <c r="A93" s="3" t="s">
        <v>184</v>
      </c>
      <c r="B93" s="4" t="s">
        <v>185</v>
      </c>
      <c r="C93" s="5" t="s">
        <v>36</v>
      </c>
      <c r="D93" s="6">
        <v>94.15</v>
      </c>
      <c r="E93" s="6">
        <f>'土建景觀工程(2)'!J496</f>
        <v>106.10000000000001</v>
      </c>
      <c r="F93" s="6">
        <f t="shared" si="8"/>
        <v>11.950000000000003</v>
      </c>
      <c r="G93" s="6">
        <v>1976.06</v>
      </c>
      <c r="H93" s="6"/>
      <c r="I93" s="6"/>
      <c r="J93" s="6">
        <f t="shared" si="9"/>
        <v>186046.049</v>
      </c>
      <c r="K93" s="6">
        <f t="shared" si="10"/>
        <v>209659.96600000001</v>
      </c>
      <c r="L93" s="122">
        <f t="shared" si="7"/>
        <v>23613.917000000016</v>
      </c>
      <c r="M93" s="127"/>
      <c r="N93" s="7" t="s">
        <v>1</v>
      </c>
      <c r="O93" s="148" t="s">
        <v>24</v>
      </c>
      <c r="P93" s="149"/>
      <c r="Q93" s="184"/>
      <c r="R93" s="161"/>
      <c r="S93" s="268"/>
      <c r="T93" s="268"/>
    </row>
    <row r="94" spans="1:20" ht="33">
      <c r="A94" s="3" t="s">
        <v>186</v>
      </c>
      <c r="B94" s="4" t="s">
        <v>187</v>
      </c>
      <c r="C94" s="5" t="s">
        <v>36</v>
      </c>
      <c r="D94" s="6">
        <v>13.5</v>
      </c>
      <c r="E94" s="6">
        <f>'土建景觀工程(2)'!J503</f>
        <v>13.5</v>
      </c>
      <c r="F94" s="6">
        <f t="shared" si="8"/>
        <v>0</v>
      </c>
      <c r="G94" s="6">
        <v>1889.54</v>
      </c>
      <c r="H94" s="6"/>
      <c r="I94" s="6"/>
      <c r="J94" s="6">
        <f t="shared" si="9"/>
        <v>25508.79</v>
      </c>
      <c r="K94" s="6">
        <f t="shared" si="10"/>
        <v>25508.79</v>
      </c>
      <c r="L94" s="122">
        <f t="shared" si="7"/>
        <v>0</v>
      </c>
      <c r="M94" s="127"/>
      <c r="N94" s="7" t="s">
        <v>1</v>
      </c>
      <c r="O94" s="148" t="s">
        <v>24</v>
      </c>
      <c r="P94" s="149"/>
      <c r="Q94" s="184"/>
      <c r="R94" s="161"/>
      <c r="S94" s="268"/>
      <c r="T94" s="268"/>
    </row>
    <row r="95" spans="1:20" ht="33">
      <c r="A95" s="3" t="s">
        <v>188</v>
      </c>
      <c r="B95" s="4" t="s">
        <v>189</v>
      </c>
      <c r="C95" s="5" t="s">
        <v>36</v>
      </c>
      <c r="D95" s="6">
        <v>13.7</v>
      </c>
      <c r="E95" s="6">
        <f>'土建景觀工程(2)'!J505</f>
        <v>27.4</v>
      </c>
      <c r="F95" s="6">
        <f t="shared" si="8"/>
        <v>13.7</v>
      </c>
      <c r="G95" s="6">
        <v>1778.66</v>
      </c>
      <c r="H95" s="6"/>
      <c r="I95" s="6"/>
      <c r="J95" s="6">
        <f t="shared" si="9"/>
        <v>24367.642</v>
      </c>
      <c r="K95" s="6">
        <f t="shared" si="10"/>
        <v>48735.284</v>
      </c>
      <c r="L95" s="122">
        <f t="shared" si="7"/>
        <v>24367.642</v>
      </c>
      <c r="M95" s="127"/>
      <c r="N95" s="7" t="s">
        <v>1</v>
      </c>
      <c r="O95" s="148" t="s">
        <v>24</v>
      </c>
      <c r="P95" s="149"/>
      <c r="Q95" s="184"/>
      <c r="R95" s="161"/>
      <c r="S95" s="268"/>
      <c r="T95" s="268"/>
    </row>
    <row r="96" spans="1:20" ht="33">
      <c r="A96" s="3" t="s">
        <v>190</v>
      </c>
      <c r="B96" s="4" t="s">
        <v>191</v>
      </c>
      <c r="C96" s="5" t="s">
        <v>36</v>
      </c>
      <c r="D96" s="6">
        <v>17.920000000000002</v>
      </c>
      <c r="E96" s="6">
        <f>'土建景觀工程(2)'!J507</f>
        <v>39.799999999999997</v>
      </c>
      <c r="F96" s="6">
        <f t="shared" si="8"/>
        <v>21.879999999999995</v>
      </c>
      <c r="G96" s="6">
        <v>2939.14</v>
      </c>
      <c r="H96" s="6"/>
      <c r="I96" s="6"/>
      <c r="J96" s="6">
        <f t="shared" si="9"/>
        <v>52669.388800000001</v>
      </c>
      <c r="K96" s="6">
        <f t="shared" si="10"/>
        <v>116977.77199999998</v>
      </c>
      <c r="L96" s="122">
        <f t="shared" si="7"/>
        <v>64308.383199999982</v>
      </c>
      <c r="M96" s="127"/>
      <c r="N96" s="7" t="s">
        <v>1</v>
      </c>
      <c r="O96" s="148" t="s">
        <v>24</v>
      </c>
      <c r="P96" s="149"/>
      <c r="Q96" s="184"/>
      <c r="R96" s="161"/>
      <c r="S96" s="268"/>
      <c r="T96" s="268"/>
    </row>
    <row r="97" spans="1:20" ht="33">
      <c r="A97" s="3" t="s">
        <v>192</v>
      </c>
      <c r="B97" s="4" t="s">
        <v>193</v>
      </c>
      <c r="C97" s="5" t="s">
        <v>78</v>
      </c>
      <c r="D97" s="6">
        <v>1</v>
      </c>
      <c r="E97" s="6">
        <f>'土建景觀工程(2)'!J509</f>
        <v>1</v>
      </c>
      <c r="F97" s="6">
        <f t="shared" si="8"/>
        <v>0</v>
      </c>
      <c r="G97" s="6">
        <v>23030.799999999999</v>
      </c>
      <c r="H97" s="6"/>
      <c r="I97" s="6"/>
      <c r="J97" s="6">
        <f t="shared" si="9"/>
        <v>23030.799999999999</v>
      </c>
      <c r="K97" s="6">
        <f t="shared" si="10"/>
        <v>23030.799999999999</v>
      </c>
      <c r="L97" s="122">
        <f t="shared" si="7"/>
        <v>0</v>
      </c>
      <c r="M97" s="127"/>
      <c r="N97" s="7" t="s">
        <v>62</v>
      </c>
      <c r="O97" s="148" t="s">
        <v>24</v>
      </c>
      <c r="P97" s="149"/>
      <c r="Q97" s="184"/>
      <c r="R97" s="161"/>
      <c r="S97" s="268"/>
      <c r="T97" s="268"/>
    </row>
    <row r="98" spans="1:20" ht="33">
      <c r="A98" s="3" t="s">
        <v>194</v>
      </c>
      <c r="B98" s="4" t="s">
        <v>195</v>
      </c>
      <c r="C98" s="5" t="s">
        <v>78</v>
      </c>
      <c r="D98" s="6">
        <v>2</v>
      </c>
      <c r="E98" s="6">
        <f>'土建景觀工程(2)'!J511</f>
        <v>2</v>
      </c>
      <c r="F98" s="6">
        <f t="shared" si="8"/>
        <v>0</v>
      </c>
      <c r="G98" s="6">
        <v>18605.919999999998</v>
      </c>
      <c r="H98" s="6"/>
      <c r="I98" s="6"/>
      <c r="J98" s="6">
        <f t="shared" si="9"/>
        <v>37211.839999999997</v>
      </c>
      <c r="K98" s="6">
        <f t="shared" si="10"/>
        <v>37211.839999999997</v>
      </c>
      <c r="L98" s="122">
        <f t="shared" si="7"/>
        <v>0</v>
      </c>
      <c r="M98" s="127"/>
      <c r="N98" s="7" t="s">
        <v>62</v>
      </c>
      <c r="O98" s="148" t="s">
        <v>24</v>
      </c>
      <c r="P98" s="149"/>
      <c r="Q98" s="184"/>
      <c r="R98" s="161"/>
      <c r="S98" s="268"/>
      <c r="T98" s="268"/>
    </row>
    <row r="99" spans="1:20" ht="33">
      <c r="A99" s="3" t="s">
        <v>196</v>
      </c>
      <c r="B99" s="4" t="s">
        <v>197</v>
      </c>
      <c r="C99" s="5" t="s">
        <v>78</v>
      </c>
      <c r="D99" s="6">
        <v>1</v>
      </c>
      <c r="E99" s="6">
        <f>'土建景觀工程(2)'!J513</f>
        <v>1</v>
      </c>
      <c r="F99" s="6">
        <f t="shared" si="8"/>
        <v>0</v>
      </c>
      <c r="G99" s="6">
        <v>18605.919999999998</v>
      </c>
      <c r="H99" s="6"/>
      <c r="I99" s="6"/>
      <c r="J99" s="6">
        <f t="shared" si="9"/>
        <v>18605.919999999998</v>
      </c>
      <c r="K99" s="6">
        <f t="shared" si="10"/>
        <v>18605.919999999998</v>
      </c>
      <c r="L99" s="122">
        <f t="shared" si="7"/>
        <v>0</v>
      </c>
      <c r="M99" s="127"/>
      <c r="N99" s="7" t="s">
        <v>1</v>
      </c>
      <c r="O99" s="148" t="s">
        <v>24</v>
      </c>
      <c r="P99" s="149"/>
      <c r="Q99" s="184"/>
      <c r="R99" s="161"/>
      <c r="S99" s="268"/>
      <c r="T99" s="268"/>
    </row>
    <row r="100" spans="1:20" ht="33">
      <c r="A100" s="3" t="s">
        <v>198</v>
      </c>
      <c r="B100" s="4" t="s">
        <v>199</v>
      </c>
      <c r="C100" s="5" t="s">
        <v>78</v>
      </c>
      <c r="D100" s="6">
        <v>3</v>
      </c>
      <c r="E100" s="6">
        <f>'土建景觀工程(2)'!J515</f>
        <v>3</v>
      </c>
      <c r="F100" s="6">
        <f t="shared" si="8"/>
        <v>0</v>
      </c>
      <c r="G100" s="6">
        <v>11655.48</v>
      </c>
      <c r="H100" s="6"/>
      <c r="I100" s="6"/>
      <c r="J100" s="6">
        <f t="shared" si="9"/>
        <v>34966.44</v>
      </c>
      <c r="K100" s="6">
        <f t="shared" si="10"/>
        <v>34966.44</v>
      </c>
      <c r="L100" s="122">
        <f t="shared" si="7"/>
        <v>0</v>
      </c>
      <c r="M100" s="127"/>
      <c r="N100" s="7" t="s">
        <v>1</v>
      </c>
      <c r="O100" s="148" t="s">
        <v>24</v>
      </c>
      <c r="P100" s="149"/>
      <c r="Q100" s="184"/>
      <c r="R100" s="161"/>
      <c r="S100" s="268"/>
      <c r="T100" s="268"/>
    </row>
    <row r="101" spans="1:20" ht="33">
      <c r="A101" s="3" t="s">
        <v>200</v>
      </c>
      <c r="B101" s="4" t="s">
        <v>201</v>
      </c>
      <c r="C101" s="5" t="s">
        <v>78</v>
      </c>
      <c r="D101" s="6">
        <v>4</v>
      </c>
      <c r="E101" s="6">
        <f>'土建景觀工程(2)'!J517</f>
        <v>4</v>
      </c>
      <c r="F101" s="6">
        <f t="shared" si="8"/>
        <v>0</v>
      </c>
      <c r="G101" s="6">
        <v>25108.91</v>
      </c>
      <c r="H101" s="6"/>
      <c r="I101" s="6"/>
      <c r="J101" s="6">
        <f t="shared" si="9"/>
        <v>100435.64</v>
      </c>
      <c r="K101" s="6">
        <f t="shared" si="10"/>
        <v>100435.64</v>
      </c>
      <c r="L101" s="122">
        <f t="shared" si="7"/>
        <v>0</v>
      </c>
      <c r="M101" s="127"/>
      <c r="N101" s="7" t="s">
        <v>1</v>
      </c>
      <c r="O101" s="148" t="s">
        <v>24</v>
      </c>
      <c r="P101" s="149"/>
      <c r="Q101" s="184"/>
      <c r="R101" s="161"/>
      <c r="S101" s="268"/>
      <c r="T101" s="268"/>
    </row>
    <row r="102" spans="1:20" ht="33">
      <c r="A102" s="3" t="s">
        <v>202</v>
      </c>
      <c r="B102" s="4" t="s">
        <v>203</v>
      </c>
      <c r="C102" s="5" t="s">
        <v>78</v>
      </c>
      <c r="D102" s="6">
        <v>5</v>
      </c>
      <c r="E102" s="6">
        <f>'土建景觀工程(2)'!J519</f>
        <v>5</v>
      </c>
      <c r="F102" s="6">
        <f t="shared" si="8"/>
        <v>0</v>
      </c>
      <c r="G102" s="6">
        <v>22416.92</v>
      </c>
      <c r="H102" s="6"/>
      <c r="I102" s="6"/>
      <c r="J102" s="6">
        <f t="shared" si="9"/>
        <v>112084.59999999999</v>
      </c>
      <c r="K102" s="6">
        <f t="shared" si="10"/>
        <v>112084.59999999999</v>
      </c>
      <c r="L102" s="122">
        <f t="shared" si="7"/>
        <v>0</v>
      </c>
      <c r="M102" s="127"/>
      <c r="N102" s="7" t="s">
        <v>1</v>
      </c>
      <c r="O102" s="148" t="s">
        <v>24</v>
      </c>
      <c r="P102" s="149"/>
      <c r="Q102" s="184"/>
      <c r="R102" s="161"/>
      <c r="S102" s="268"/>
      <c r="T102" s="268"/>
    </row>
    <row r="103" spans="1:20" ht="33">
      <c r="A103" s="3" t="s">
        <v>204</v>
      </c>
      <c r="B103" s="4" t="s">
        <v>205</v>
      </c>
      <c r="C103" s="5" t="s">
        <v>78</v>
      </c>
      <c r="D103" s="6">
        <v>1</v>
      </c>
      <c r="E103" s="6">
        <f>'土建景觀工程(2)'!J521</f>
        <v>1</v>
      </c>
      <c r="F103" s="6">
        <f t="shared" si="8"/>
        <v>0</v>
      </c>
      <c r="G103" s="6">
        <v>21724.76</v>
      </c>
      <c r="H103" s="6"/>
      <c r="I103" s="6"/>
      <c r="J103" s="6">
        <f t="shared" si="9"/>
        <v>21724.76</v>
      </c>
      <c r="K103" s="6">
        <f t="shared" si="10"/>
        <v>21724.76</v>
      </c>
      <c r="L103" s="122">
        <f t="shared" si="7"/>
        <v>0</v>
      </c>
      <c r="M103" s="127"/>
      <c r="N103" s="7" t="s">
        <v>1</v>
      </c>
      <c r="O103" s="148" t="s">
        <v>24</v>
      </c>
      <c r="P103" s="149"/>
      <c r="Q103" s="184"/>
      <c r="R103" s="161"/>
      <c r="S103" s="268"/>
      <c r="T103" s="268"/>
    </row>
    <row r="104" spans="1:20" ht="33">
      <c r="A104" s="3" t="s">
        <v>206</v>
      </c>
      <c r="B104" s="4" t="s">
        <v>207</v>
      </c>
      <c r="C104" s="5" t="s">
        <v>78</v>
      </c>
      <c r="D104" s="6">
        <v>2</v>
      </c>
      <c r="E104" s="6">
        <f>'土建景觀工程(2)'!J523</f>
        <v>2</v>
      </c>
      <c r="F104" s="6">
        <f t="shared" si="8"/>
        <v>0</v>
      </c>
      <c r="G104" s="6">
        <v>17341.04</v>
      </c>
      <c r="H104" s="6"/>
      <c r="I104" s="6"/>
      <c r="J104" s="6">
        <f t="shared" si="9"/>
        <v>34682.080000000002</v>
      </c>
      <c r="K104" s="6">
        <f t="shared" si="10"/>
        <v>34682.080000000002</v>
      </c>
      <c r="L104" s="122">
        <f t="shared" si="7"/>
        <v>0</v>
      </c>
      <c r="M104" s="127"/>
      <c r="N104" s="7" t="s">
        <v>1</v>
      </c>
      <c r="O104" s="148" t="s">
        <v>24</v>
      </c>
      <c r="P104" s="149"/>
      <c r="Q104" s="184"/>
      <c r="R104" s="161"/>
      <c r="S104" s="268"/>
      <c r="T104" s="268"/>
    </row>
    <row r="105" spans="1:20" ht="33">
      <c r="A105" s="3" t="s">
        <v>208</v>
      </c>
      <c r="B105" s="4" t="s">
        <v>209</v>
      </c>
      <c r="C105" s="5" t="s">
        <v>78</v>
      </c>
      <c r="D105" s="6">
        <v>1</v>
      </c>
      <c r="E105" s="6">
        <f>'土建景觀工程(2)'!J525</f>
        <v>1</v>
      </c>
      <c r="F105" s="6">
        <f t="shared" ref="F105:F138" si="11">E105-D105</f>
        <v>0</v>
      </c>
      <c r="G105" s="6">
        <v>17341.04</v>
      </c>
      <c r="H105" s="6"/>
      <c r="I105" s="6"/>
      <c r="J105" s="6">
        <f t="shared" ref="J105:J134" si="12">D105*G105</f>
        <v>17341.04</v>
      </c>
      <c r="K105" s="6">
        <f t="shared" ref="K105:K134" si="13">E105*G105</f>
        <v>17341.04</v>
      </c>
      <c r="L105" s="122">
        <f t="shared" ref="L105:L174" si="14">K105-J105</f>
        <v>0</v>
      </c>
      <c r="M105" s="127"/>
      <c r="N105" s="7" t="s">
        <v>1</v>
      </c>
      <c r="O105" s="148" t="s">
        <v>24</v>
      </c>
      <c r="P105" s="149"/>
      <c r="Q105" s="184"/>
      <c r="R105" s="161"/>
      <c r="S105" s="268"/>
      <c r="T105" s="268"/>
    </row>
    <row r="106" spans="1:20" ht="33">
      <c r="A106" s="3" t="s">
        <v>210</v>
      </c>
      <c r="B106" s="4" t="s">
        <v>211</v>
      </c>
      <c r="C106" s="5" t="s">
        <v>78</v>
      </c>
      <c r="D106" s="6">
        <v>6</v>
      </c>
      <c r="E106" s="6">
        <f>'土建景觀工程(2)'!J527</f>
        <v>6</v>
      </c>
      <c r="F106" s="6">
        <f t="shared" si="11"/>
        <v>0</v>
      </c>
      <c r="G106" s="6">
        <v>17341.04</v>
      </c>
      <c r="H106" s="6"/>
      <c r="I106" s="6"/>
      <c r="J106" s="6">
        <f t="shared" si="12"/>
        <v>104046.24</v>
      </c>
      <c r="K106" s="6">
        <f t="shared" si="13"/>
        <v>104046.24</v>
      </c>
      <c r="L106" s="122">
        <f t="shared" si="14"/>
        <v>0</v>
      </c>
      <c r="M106" s="127"/>
      <c r="N106" s="7" t="s">
        <v>1</v>
      </c>
      <c r="O106" s="148" t="s">
        <v>24</v>
      </c>
      <c r="P106" s="149"/>
      <c r="Q106" s="184"/>
      <c r="R106" s="161"/>
      <c r="S106" s="268"/>
      <c r="T106" s="268"/>
    </row>
    <row r="107" spans="1:20" ht="33">
      <c r="A107" s="3" t="s">
        <v>212</v>
      </c>
      <c r="B107" s="4" t="s">
        <v>213</v>
      </c>
      <c r="C107" s="5" t="s">
        <v>78</v>
      </c>
      <c r="D107" s="6">
        <v>2</v>
      </c>
      <c r="E107" s="6">
        <f>'土建景觀工程(2)'!J529</f>
        <v>2</v>
      </c>
      <c r="F107" s="6">
        <f t="shared" si="11"/>
        <v>0</v>
      </c>
      <c r="G107" s="6">
        <v>17497.64</v>
      </c>
      <c r="H107" s="6"/>
      <c r="I107" s="6"/>
      <c r="J107" s="6">
        <f t="shared" si="12"/>
        <v>34995.279999999999</v>
      </c>
      <c r="K107" s="6">
        <f t="shared" si="13"/>
        <v>34995.279999999999</v>
      </c>
      <c r="L107" s="122">
        <f t="shared" si="14"/>
        <v>0</v>
      </c>
      <c r="M107" s="127"/>
      <c r="N107" s="7" t="s">
        <v>1</v>
      </c>
      <c r="O107" s="148" t="s">
        <v>24</v>
      </c>
      <c r="P107" s="149"/>
      <c r="Q107" s="184"/>
      <c r="R107" s="161"/>
      <c r="S107" s="268"/>
      <c r="T107" s="268"/>
    </row>
    <row r="108" spans="1:20" ht="33">
      <c r="A108" s="3" t="s">
        <v>214</v>
      </c>
      <c r="B108" s="4" t="s">
        <v>215</v>
      </c>
      <c r="C108" s="5" t="s">
        <v>78</v>
      </c>
      <c r="D108" s="6">
        <v>2</v>
      </c>
      <c r="E108" s="6">
        <f>'土建景觀工程(2)'!J531</f>
        <v>2</v>
      </c>
      <c r="F108" s="6">
        <f t="shared" si="11"/>
        <v>0</v>
      </c>
      <c r="G108" s="6">
        <v>1501.74</v>
      </c>
      <c r="H108" s="6"/>
      <c r="I108" s="6"/>
      <c r="J108" s="6">
        <f t="shared" si="12"/>
        <v>3003.48</v>
      </c>
      <c r="K108" s="6">
        <f t="shared" si="13"/>
        <v>3003.48</v>
      </c>
      <c r="L108" s="122">
        <f t="shared" si="14"/>
        <v>0</v>
      </c>
      <c r="M108" s="127"/>
      <c r="N108" s="7" t="s">
        <v>1</v>
      </c>
      <c r="O108" s="148" t="s">
        <v>24</v>
      </c>
      <c r="P108" s="149"/>
      <c r="Q108" s="184"/>
      <c r="R108" s="161"/>
      <c r="S108" s="268"/>
      <c r="T108" s="268"/>
    </row>
    <row r="109" spans="1:20" ht="33">
      <c r="A109" s="3" t="s">
        <v>216</v>
      </c>
      <c r="B109" s="4" t="s">
        <v>217</v>
      </c>
      <c r="C109" s="5" t="s">
        <v>78</v>
      </c>
      <c r="D109" s="6">
        <v>1</v>
      </c>
      <c r="E109" s="6">
        <f>'土建景觀工程(2)'!J533</f>
        <v>1</v>
      </c>
      <c r="F109" s="6">
        <f t="shared" si="11"/>
        <v>0</v>
      </c>
      <c r="G109" s="6">
        <v>994.98</v>
      </c>
      <c r="H109" s="6"/>
      <c r="I109" s="6"/>
      <c r="J109" s="6">
        <f t="shared" si="12"/>
        <v>994.98</v>
      </c>
      <c r="K109" s="6">
        <f t="shared" si="13"/>
        <v>994.98</v>
      </c>
      <c r="L109" s="122">
        <f t="shared" si="14"/>
        <v>0</v>
      </c>
      <c r="M109" s="127"/>
      <c r="N109" s="7" t="s">
        <v>1</v>
      </c>
      <c r="O109" s="148" t="s">
        <v>24</v>
      </c>
      <c r="P109" s="149"/>
      <c r="Q109" s="184"/>
      <c r="R109" s="161"/>
      <c r="S109" s="268"/>
      <c r="T109" s="268"/>
    </row>
    <row r="110" spans="1:20" ht="33">
      <c r="A110" s="3" t="s">
        <v>218</v>
      </c>
      <c r="B110" s="4" t="s">
        <v>219</v>
      </c>
      <c r="C110" s="5" t="s">
        <v>78</v>
      </c>
      <c r="D110" s="6">
        <v>12</v>
      </c>
      <c r="E110" s="6">
        <f>'土建景觀工程(2)'!J535</f>
        <v>12</v>
      </c>
      <c r="F110" s="6">
        <f t="shared" si="11"/>
        <v>0</v>
      </c>
      <c r="G110" s="6">
        <v>331.66</v>
      </c>
      <c r="H110" s="6"/>
      <c r="I110" s="6"/>
      <c r="J110" s="6">
        <f t="shared" si="12"/>
        <v>3979.92</v>
      </c>
      <c r="K110" s="6">
        <f t="shared" si="13"/>
        <v>3979.92</v>
      </c>
      <c r="L110" s="122">
        <f t="shared" si="14"/>
        <v>0</v>
      </c>
      <c r="M110" s="127"/>
      <c r="N110" s="7" t="s">
        <v>1</v>
      </c>
      <c r="O110" s="148" t="s">
        <v>24</v>
      </c>
      <c r="P110" s="149"/>
      <c r="Q110" s="184"/>
      <c r="R110" s="161"/>
      <c r="S110" s="268"/>
      <c r="T110" s="268"/>
    </row>
    <row r="111" spans="1:20" ht="33">
      <c r="A111" s="3" t="s">
        <v>220</v>
      </c>
      <c r="B111" s="4" t="s">
        <v>221</v>
      </c>
      <c r="C111" s="5" t="s">
        <v>78</v>
      </c>
      <c r="D111" s="6">
        <v>2</v>
      </c>
      <c r="E111" s="6">
        <f>'土建景觀工程(2)'!J537</f>
        <v>2</v>
      </c>
      <c r="F111" s="6">
        <f t="shared" si="11"/>
        <v>0</v>
      </c>
      <c r="G111" s="6">
        <v>1096.44</v>
      </c>
      <c r="H111" s="6"/>
      <c r="I111" s="6"/>
      <c r="J111" s="6">
        <f t="shared" si="12"/>
        <v>2192.88</v>
      </c>
      <c r="K111" s="6">
        <f t="shared" si="13"/>
        <v>2192.88</v>
      </c>
      <c r="L111" s="122">
        <f t="shared" si="14"/>
        <v>0</v>
      </c>
      <c r="M111" s="127"/>
      <c r="N111" s="7" t="s">
        <v>1</v>
      </c>
      <c r="O111" s="148" t="s">
        <v>24</v>
      </c>
      <c r="P111" s="149"/>
      <c r="Q111" s="184"/>
      <c r="R111" s="161"/>
      <c r="S111" s="268"/>
      <c r="T111" s="268"/>
    </row>
    <row r="112" spans="1:20" ht="33">
      <c r="A112" s="3" t="s">
        <v>222</v>
      </c>
      <c r="B112" s="4" t="s">
        <v>223</v>
      </c>
      <c r="C112" s="5" t="s">
        <v>78</v>
      </c>
      <c r="D112" s="6">
        <v>4</v>
      </c>
      <c r="E112" s="6">
        <f>'土建景觀工程(2)'!J539</f>
        <v>4</v>
      </c>
      <c r="F112" s="6">
        <f t="shared" si="11"/>
        <v>0</v>
      </c>
      <c r="G112" s="6">
        <v>952.24</v>
      </c>
      <c r="H112" s="6"/>
      <c r="I112" s="6"/>
      <c r="J112" s="6">
        <f t="shared" si="12"/>
        <v>3808.96</v>
      </c>
      <c r="K112" s="6">
        <f t="shared" si="13"/>
        <v>3808.96</v>
      </c>
      <c r="L112" s="122">
        <f t="shared" si="14"/>
        <v>0</v>
      </c>
      <c r="M112" s="127"/>
      <c r="N112" s="7" t="s">
        <v>1</v>
      </c>
      <c r="O112" s="148" t="s">
        <v>24</v>
      </c>
      <c r="P112" s="149"/>
      <c r="Q112" s="184"/>
      <c r="R112" s="161"/>
      <c r="S112" s="268"/>
      <c r="T112" s="268"/>
    </row>
    <row r="113" spans="1:21" s="779" customFormat="1" ht="42.75">
      <c r="A113" s="102" t="s">
        <v>224</v>
      </c>
      <c r="B113" s="103" t="s">
        <v>225</v>
      </c>
      <c r="C113" s="104" t="s">
        <v>52</v>
      </c>
      <c r="D113" s="105">
        <v>773.78</v>
      </c>
      <c r="E113" s="105">
        <f>'土建景觀工程(2)'!J541</f>
        <v>740.19399999999996</v>
      </c>
      <c r="F113" s="105">
        <f t="shared" si="11"/>
        <v>-33.586000000000013</v>
      </c>
      <c r="G113" s="105">
        <v>647.70000000000005</v>
      </c>
      <c r="H113" s="105"/>
      <c r="I113" s="105"/>
      <c r="J113" s="105">
        <f t="shared" si="12"/>
        <v>501177.30600000004</v>
      </c>
      <c r="K113" s="105">
        <f t="shared" si="13"/>
        <v>479423.65380000003</v>
      </c>
      <c r="L113" s="121">
        <f t="shared" si="14"/>
        <v>-21753.652200000011</v>
      </c>
      <c r="M113" s="132"/>
      <c r="N113" s="106" t="s">
        <v>1</v>
      </c>
      <c r="O113" s="151" t="s">
        <v>24</v>
      </c>
      <c r="P113" s="777"/>
      <c r="Q113" s="195" t="s">
        <v>836</v>
      </c>
      <c r="R113" s="249"/>
      <c r="S113" s="269"/>
      <c r="T113" s="269" t="s">
        <v>893</v>
      </c>
      <c r="U113" s="778"/>
    </row>
    <row r="114" spans="1:21" ht="33">
      <c r="A114" s="3" t="s">
        <v>226</v>
      </c>
      <c r="B114" s="4" t="s">
        <v>227</v>
      </c>
      <c r="C114" s="5" t="s">
        <v>228</v>
      </c>
      <c r="D114" s="6">
        <v>2</v>
      </c>
      <c r="E114" s="6">
        <f>'土建景觀工程(2)'!J561</f>
        <v>2</v>
      </c>
      <c r="F114" s="6">
        <f t="shared" si="11"/>
        <v>0</v>
      </c>
      <c r="G114" s="6">
        <v>10413.299999999999</v>
      </c>
      <c r="H114" s="6"/>
      <c r="I114" s="6"/>
      <c r="J114" s="6">
        <f t="shared" si="12"/>
        <v>20826.599999999999</v>
      </c>
      <c r="K114" s="6">
        <f t="shared" si="13"/>
        <v>20826.599999999999</v>
      </c>
      <c r="L114" s="122">
        <f t="shared" si="14"/>
        <v>0</v>
      </c>
      <c r="M114" s="127"/>
      <c r="N114" s="7" t="s">
        <v>62</v>
      </c>
      <c r="O114" s="148" t="s">
        <v>24</v>
      </c>
      <c r="P114" s="149"/>
      <c r="Q114" s="184"/>
      <c r="R114" s="161"/>
      <c r="S114" s="268"/>
      <c r="T114" s="268"/>
    </row>
    <row r="115" spans="1:21" ht="33">
      <c r="A115" s="3" t="s">
        <v>229</v>
      </c>
      <c r="B115" s="4" t="s">
        <v>230</v>
      </c>
      <c r="C115" s="5" t="s">
        <v>78</v>
      </c>
      <c r="D115" s="6">
        <v>1</v>
      </c>
      <c r="E115" s="6">
        <f>'土建景觀工程(2)'!J563</f>
        <v>1</v>
      </c>
      <c r="F115" s="6">
        <f t="shared" si="11"/>
        <v>0</v>
      </c>
      <c r="G115" s="6">
        <v>101421.35</v>
      </c>
      <c r="H115" s="6"/>
      <c r="I115" s="6"/>
      <c r="J115" s="6">
        <f t="shared" si="12"/>
        <v>101421.35</v>
      </c>
      <c r="K115" s="6">
        <f t="shared" si="13"/>
        <v>101421.35</v>
      </c>
      <c r="L115" s="122">
        <f t="shared" si="14"/>
        <v>0</v>
      </c>
      <c r="M115" s="127"/>
      <c r="N115" s="7" t="s">
        <v>1</v>
      </c>
      <c r="O115" s="148" t="s">
        <v>24</v>
      </c>
      <c r="P115" s="149"/>
      <c r="Q115" s="184"/>
      <c r="R115" s="161"/>
      <c r="S115" s="268"/>
      <c r="T115" s="268"/>
    </row>
    <row r="116" spans="1:21" ht="33">
      <c r="A116" s="3" t="s">
        <v>231</v>
      </c>
      <c r="B116" s="4" t="s">
        <v>232</v>
      </c>
      <c r="C116" s="5" t="s">
        <v>228</v>
      </c>
      <c r="D116" s="6">
        <v>3</v>
      </c>
      <c r="E116" s="6">
        <f>'土建景觀工程(2)'!J565</f>
        <v>3</v>
      </c>
      <c r="F116" s="6">
        <f t="shared" si="11"/>
        <v>0</v>
      </c>
      <c r="G116" s="6">
        <v>4575.26</v>
      </c>
      <c r="H116" s="6"/>
      <c r="I116" s="6"/>
      <c r="J116" s="6">
        <f t="shared" si="12"/>
        <v>13725.78</v>
      </c>
      <c r="K116" s="6">
        <f t="shared" si="13"/>
        <v>13725.78</v>
      </c>
      <c r="L116" s="122">
        <f t="shared" si="14"/>
        <v>0</v>
      </c>
      <c r="M116" s="127"/>
      <c r="N116" s="7" t="s">
        <v>233</v>
      </c>
      <c r="O116" s="148" t="s">
        <v>24</v>
      </c>
      <c r="P116" s="149"/>
      <c r="Q116" s="184"/>
      <c r="R116" s="161"/>
      <c r="S116" s="268"/>
      <c r="T116" s="268"/>
    </row>
    <row r="117" spans="1:21" ht="33">
      <c r="A117" s="3" t="s">
        <v>234</v>
      </c>
      <c r="B117" s="4" t="s">
        <v>235</v>
      </c>
      <c r="C117" s="5" t="s">
        <v>78</v>
      </c>
      <c r="D117" s="6">
        <v>1</v>
      </c>
      <c r="E117" s="6">
        <f>'土建景觀工程(2)'!J567</f>
        <v>1</v>
      </c>
      <c r="F117" s="6">
        <f t="shared" si="11"/>
        <v>0</v>
      </c>
      <c r="G117" s="6">
        <v>12634.43</v>
      </c>
      <c r="H117" s="6"/>
      <c r="I117" s="6"/>
      <c r="J117" s="6">
        <f t="shared" si="12"/>
        <v>12634.43</v>
      </c>
      <c r="K117" s="6">
        <f t="shared" si="13"/>
        <v>12634.43</v>
      </c>
      <c r="L117" s="122">
        <f t="shared" si="14"/>
        <v>0</v>
      </c>
      <c r="M117" s="127"/>
      <c r="N117" s="7" t="s">
        <v>236</v>
      </c>
      <c r="O117" s="148" t="s">
        <v>24</v>
      </c>
      <c r="P117" s="149"/>
      <c r="Q117" s="184"/>
      <c r="R117" s="161"/>
      <c r="S117" s="268"/>
      <c r="T117" s="268"/>
    </row>
    <row r="118" spans="1:21" ht="33">
      <c r="A118" s="3" t="s">
        <v>237</v>
      </c>
      <c r="B118" s="4" t="s">
        <v>238</v>
      </c>
      <c r="C118" s="5" t="s">
        <v>239</v>
      </c>
      <c r="D118" s="6">
        <v>63.68</v>
      </c>
      <c r="E118" s="6">
        <f>'土建景觀工程(2)'!J569</f>
        <v>63.68</v>
      </c>
      <c r="F118" s="6">
        <f t="shared" si="11"/>
        <v>0</v>
      </c>
      <c r="G118" s="6">
        <v>15300</v>
      </c>
      <c r="H118" s="6"/>
      <c r="I118" s="6"/>
      <c r="J118" s="6">
        <f t="shared" si="12"/>
        <v>974304</v>
      </c>
      <c r="K118" s="6">
        <f t="shared" si="13"/>
        <v>974304</v>
      </c>
      <c r="L118" s="122">
        <f t="shared" si="14"/>
        <v>0</v>
      </c>
      <c r="M118" s="127"/>
      <c r="N118" s="7" t="s">
        <v>240</v>
      </c>
      <c r="O118" s="148" t="s">
        <v>24</v>
      </c>
      <c r="P118" s="149"/>
      <c r="Q118" s="184"/>
      <c r="R118" s="161"/>
      <c r="S118" s="268"/>
      <c r="T118" s="268"/>
    </row>
    <row r="119" spans="1:21" ht="33">
      <c r="A119" s="3" t="s">
        <v>241</v>
      </c>
      <c r="B119" s="4" t="s">
        <v>242</v>
      </c>
      <c r="C119" s="5" t="s">
        <v>78</v>
      </c>
      <c r="D119" s="6">
        <v>62</v>
      </c>
      <c r="E119" s="6">
        <f>'土建景觀工程(2)'!J571</f>
        <v>62</v>
      </c>
      <c r="F119" s="6">
        <f t="shared" si="11"/>
        <v>0</v>
      </c>
      <c r="G119" s="6">
        <v>4498.58</v>
      </c>
      <c r="H119" s="6"/>
      <c r="I119" s="6"/>
      <c r="J119" s="6">
        <f t="shared" si="12"/>
        <v>278911.96000000002</v>
      </c>
      <c r="K119" s="6">
        <f t="shared" si="13"/>
        <v>278911.96000000002</v>
      </c>
      <c r="L119" s="122">
        <f t="shared" si="14"/>
        <v>0</v>
      </c>
      <c r="M119" s="127"/>
      <c r="N119" s="7" t="s">
        <v>1</v>
      </c>
      <c r="O119" s="148" t="s">
        <v>24</v>
      </c>
      <c r="P119" s="149"/>
      <c r="Q119" s="184"/>
      <c r="R119" s="161"/>
      <c r="S119" s="268"/>
      <c r="T119" s="268"/>
    </row>
    <row r="120" spans="1:21" ht="33">
      <c r="A120" s="3" t="s">
        <v>243</v>
      </c>
      <c r="B120" s="4" t="s">
        <v>244</v>
      </c>
      <c r="C120" s="5" t="s">
        <v>78</v>
      </c>
      <c r="D120" s="6">
        <v>15</v>
      </c>
      <c r="E120" s="6">
        <f>'土建景觀工程(2)'!J573</f>
        <v>15</v>
      </c>
      <c r="F120" s="6">
        <f t="shared" si="11"/>
        <v>0</v>
      </c>
      <c r="G120" s="6">
        <v>3353.68</v>
      </c>
      <c r="H120" s="6"/>
      <c r="I120" s="6"/>
      <c r="J120" s="6">
        <f t="shared" si="12"/>
        <v>50305.2</v>
      </c>
      <c r="K120" s="6">
        <f t="shared" si="13"/>
        <v>50305.2</v>
      </c>
      <c r="L120" s="122">
        <f t="shared" si="14"/>
        <v>0</v>
      </c>
      <c r="M120" s="127"/>
      <c r="N120" s="7" t="s">
        <v>1</v>
      </c>
      <c r="O120" s="148" t="s">
        <v>24</v>
      </c>
      <c r="P120" s="149"/>
      <c r="Q120" s="184"/>
      <c r="R120" s="161"/>
      <c r="S120" s="268"/>
      <c r="T120" s="268"/>
    </row>
    <row r="121" spans="1:21" ht="33">
      <c r="A121" s="3" t="s">
        <v>245</v>
      </c>
      <c r="B121" s="4" t="s">
        <v>246</v>
      </c>
      <c r="C121" s="5" t="s">
        <v>36</v>
      </c>
      <c r="D121" s="6">
        <v>13</v>
      </c>
      <c r="E121" s="6">
        <f>'土建景觀工程(2)'!J575</f>
        <v>13</v>
      </c>
      <c r="F121" s="6">
        <f t="shared" si="11"/>
        <v>0</v>
      </c>
      <c r="G121" s="6">
        <v>9874.4</v>
      </c>
      <c r="H121" s="6"/>
      <c r="I121" s="6"/>
      <c r="J121" s="6">
        <f t="shared" si="12"/>
        <v>128367.2</v>
      </c>
      <c r="K121" s="6">
        <f t="shared" si="13"/>
        <v>128367.2</v>
      </c>
      <c r="L121" s="122">
        <f t="shared" si="14"/>
        <v>0</v>
      </c>
      <c r="M121" s="127"/>
      <c r="N121" s="7" t="s">
        <v>1</v>
      </c>
      <c r="O121" s="148" t="s">
        <v>24</v>
      </c>
      <c r="P121" s="149"/>
      <c r="Q121" s="184"/>
      <c r="R121" s="161"/>
      <c r="S121" s="268"/>
      <c r="T121" s="268"/>
    </row>
    <row r="122" spans="1:21" ht="33">
      <c r="A122" s="3" t="s">
        <v>247</v>
      </c>
      <c r="B122" s="4" t="s">
        <v>248</v>
      </c>
      <c r="C122" s="5" t="s">
        <v>36</v>
      </c>
      <c r="D122" s="6">
        <v>41.7</v>
      </c>
      <c r="E122" s="6">
        <f>'土建景觀工程(2)'!J577</f>
        <v>41.7</v>
      </c>
      <c r="F122" s="6">
        <f t="shared" si="11"/>
        <v>0</v>
      </c>
      <c r="G122" s="6">
        <v>6554.37</v>
      </c>
      <c r="H122" s="6"/>
      <c r="I122" s="6"/>
      <c r="J122" s="6">
        <f t="shared" si="12"/>
        <v>273317.22899999999</v>
      </c>
      <c r="K122" s="6">
        <f t="shared" si="13"/>
        <v>273317.22899999999</v>
      </c>
      <c r="L122" s="122">
        <f t="shared" si="14"/>
        <v>0</v>
      </c>
      <c r="M122" s="127"/>
      <c r="N122" s="7" t="s">
        <v>1</v>
      </c>
      <c r="O122" s="148" t="s">
        <v>24</v>
      </c>
      <c r="P122" s="149"/>
      <c r="Q122" s="184"/>
      <c r="R122" s="161"/>
      <c r="S122" s="268"/>
      <c r="T122" s="268"/>
    </row>
    <row r="123" spans="1:21" ht="33">
      <c r="A123" s="3" t="s">
        <v>249</v>
      </c>
      <c r="B123" s="4" t="s">
        <v>250</v>
      </c>
      <c r="C123" s="5" t="s">
        <v>36</v>
      </c>
      <c r="D123" s="6">
        <v>1.3</v>
      </c>
      <c r="E123" s="6">
        <f>'土建景觀工程(2)'!J579</f>
        <v>1.3</v>
      </c>
      <c r="F123" s="6">
        <f t="shared" si="11"/>
        <v>0</v>
      </c>
      <c r="G123" s="6">
        <v>8390.73</v>
      </c>
      <c r="H123" s="6"/>
      <c r="I123" s="6"/>
      <c r="J123" s="6">
        <f t="shared" si="12"/>
        <v>10907.949000000001</v>
      </c>
      <c r="K123" s="6">
        <f t="shared" si="13"/>
        <v>10907.949000000001</v>
      </c>
      <c r="L123" s="122">
        <f t="shared" si="14"/>
        <v>0</v>
      </c>
      <c r="M123" s="127"/>
      <c r="N123" s="7" t="s">
        <v>1</v>
      </c>
      <c r="O123" s="148" t="s">
        <v>24</v>
      </c>
      <c r="P123" s="149"/>
      <c r="Q123" s="184"/>
      <c r="R123" s="161"/>
      <c r="S123" s="268"/>
      <c r="T123" s="268"/>
    </row>
    <row r="124" spans="1:21" ht="33">
      <c r="A124" s="3" t="s">
        <v>251</v>
      </c>
      <c r="B124" s="4" t="s">
        <v>252</v>
      </c>
      <c r="C124" s="5" t="s">
        <v>36</v>
      </c>
      <c r="D124" s="6">
        <v>122.3</v>
      </c>
      <c r="E124" s="6">
        <f>'土建景觀工程(2)'!J581</f>
        <v>122.3</v>
      </c>
      <c r="F124" s="6">
        <f t="shared" si="11"/>
        <v>0</v>
      </c>
      <c r="G124" s="6">
        <v>671.99</v>
      </c>
      <c r="H124" s="6"/>
      <c r="I124" s="6"/>
      <c r="J124" s="6">
        <f t="shared" si="12"/>
        <v>82184.376999999993</v>
      </c>
      <c r="K124" s="6">
        <f t="shared" si="13"/>
        <v>82184.376999999993</v>
      </c>
      <c r="L124" s="122">
        <f t="shared" si="14"/>
        <v>0</v>
      </c>
      <c r="M124" s="127"/>
      <c r="N124" s="7" t="s">
        <v>62</v>
      </c>
      <c r="O124" s="148" t="s">
        <v>24</v>
      </c>
      <c r="P124" s="149"/>
      <c r="Q124" s="184"/>
      <c r="R124" s="161"/>
      <c r="S124" s="268"/>
      <c r="T124" s="268"/>
    </row>
    <row r="125" spans="1:21" ht="33">
      <c r="A125" s="3" t="s">
        <v>253</v>
      </c>
      <c r="B125" s="4" t="s">
        <v>254</v>
      </c>
      <c r="C125" s="5" t="s">
        <v>36</v>
      </c>
      <c r="D125" s="6">
        <v>101.01</v>
      </c>
      <c r="E125" s="6">
        <f>'土建景觀工程(2)'!J583</f>
        <v>101.1</v>
      </c>
      <c r="F125" s="6">
        <f t="shared" si="11"/>
        <v>8.99999999999892E-2</v>
      </c>
      <c r="G125" s="6">
        <v>935.67</v>
      </c>
      <c r="H125" s="6"/>
      <c r="I125" s="6"/>
      <c r="J125" s="6">
        <f t="shared" si="12"/>
        <v>94512.026700000002</v>
      </c>
      <c r="K125" s="6">
        <f t="shared" si="13"/>
        <v>94596.236999999994</v>
      </c>
      <c r="L125" s="122">
        <f t="shared" si="14"/>
        <v>84.210299999991548</v>
      </c>
      <c r="M125" s="127"/>
      <c r="N125" s="7" t="s">
        <v>62</v>
      </c>
      <c r="O125" s="148" t="s">
        <v>24</v>
      </c>
      <c r="P125" s="149"/>
      <c r="Q125" s="184"/>
      <c r="R125" s="161"/>
      <c r="S125" s="268"/>
      <c r="T125" s="268"/>
    </row>
    <row r="126" spans="1:21" ht="33">
      <c r="A126" s="3" t="s">
        <v>255</v>
      </c>
      <c r="B126" s="4" t="s">
        <v>256</v>
      </c>
      <c r="C126" s="5" t="s">
        <v>36</v>
      </c>
      <c r="D126" s="6">
        <v>489</v>
      </c>
      <c r="E126" s="6">
        <f>'土建景觀工程(2)'!J585</f>
        <v>489.00000000000006</v>
      </c>
      <c r="F126" s="6">
        <f t="shared" si="11"/>
        <v>0</v>
      </c>
      <c r="G126" s="6">
        <v>658.31</v>
      </c>
      <c r="H126" s="6"/>
      <c r="I126" s="6"/>
      <c r="J126" s="6">
        <f t="shared" si="12"/>
        <v>321913.58999999997</v>
      </c>
      <c r="K126" s="6">
        <f t="shared" si="13"/>
        <v>321913.59000000003</v>
      </c>
      <c r="L126" s="122">
        <f t="shared" si="14"/>
        <v>0</v>
      </c>
      <c r="M126" s="127"/>
      <c r="N126" s="7" t="s">
        <v>1</v>
      </c>
      <c r="O126" s="148" t="s">
        <v>24</v>
      </c>
      <c r="P126" s="149"/>
      <c r="Q126" s="184"/>
      <c r="R126" s="161"/>
      <c r="S126" s="268"/>
      <c r="T126" s="268"/>
    </row>
    <row r="127" spans="1:21" ht="33">
      <c r="A127" s="3" t="s">
        <v>257</v>
      </c>
      <c r="B127" s="4" t="s">
        <v>258</v>
      </c>
      <c r="C127" s="5" t="s">
        <v>36</v>
      </c>
      <c r="D127" s="6">
        <v>216</v>
      </c>
      <c r="E127" s="6">
        <f>'土建景觀工程(2)'!J587</f>
        <v>216</v>
      </c>
      <c r="F127" s="6">
        <f t="shared" si="11"/>
        <v>0</v>
      </c>
      <c r="G127" s="6">
        <v>730.41</v>
      </c>
      <c r="H127" s="6"/>
      <c r="I127" s="6"/>
      <c r="J127" s="6">
        <f t="shared" si="12"/>
        <v>157768.56</v>
      </c>
      <c r="K127" s="6">
        <f t="shared" si="13"/>
        <v>157768.56</v>
      </c>
      <c r="L127" s="122">
        <f t="shared" si="14"/>
        <v>0</v>
      </c>
      <c r="M127" s="127"/>
      <c r="N127" s="7" t="s">
        <v>1</v>
      </c>
      <c r="O127" s="148" t="s">
        <v>24</v>
      </c>
      <c r="P127" s="149"/>
      <c r="Q127" s="184"/>
      <c r="R127" s="161"/>
      <c r="S127" s="268"/>
      <c r="T127" s="268"/>
    </row>
    <row r="128" spans="1:21" ht="33">
      <c r="A128" s="3" t="s">
        <v>259</v>
      </c>
      <c r="B128" s="4" t="s">
        <v>260</v>
      </c>
      <c r="C128" s="5" t="s">
        <v>36</v>
      </c>
      <c r="D128" s="6">
        <v>45.16</v>
      </c>
      <c r="E128" s="6">
        <f>'土建景觀工程(2)'!J589</f>
        <v>45.16</v>
      </c>
      <c r="F128" s="6">
        <f t="shared" si="11"/>
        <v>0</v>
      </c>
      <c r="G128" s="6">
        <v>406.4</v>
      </c>
      <c r="H128" s="6"/>
      <c r="I128" s="6"/>
      <c r="J128" s="6">
        <f t="shared" si="12"/>
        <v>18353.023999999998</v>
      </c>
      <c r="K128" s="6">
        <f t="shared" si="13"/>
        <v>18353.023999999998</v>
      </c>
      <c r="L128" s="122">
        <f t="shared" si="14"/>
        <v>0</v>
      </c>
      <c r="M128" s="127"/>
      <c r="N128" s="7" t="s">
        <v>1</v>
      </c>
      <c r="O128" s="148" t="s">
        <v>24</v>
      </c>
      <c r="P128" s="149"/>
      <c r="Q128" s="184"/>
      <c r="R128" s="161"/>
      <c r="S128" s="268"/>
      <c r="T128" s="268"/>
    </row>
    <row r="129" spans="1:21" ht="33">
      <c r="A129" s="3" t="s">
        <v>261</v>
      </c>
      <c r="B129" s="4" t="s">
        <v>262</v>
      </c>
      <c r="C129" s="5" t="s">
        <v>36</v>
      </c>
      <c r="D129" s="6">
        <v>116.8</v>
      </c>
      <c r="E129" s="6">
        <f>'土建景觀工程(2)'!J591</f>
        <v>116.8</v>
      </c>
      <c r="F129" s="6">
        <f t="shared" si="11"/>
        <v>0</v>
      </c>
      <c r="G129" s="6">
        <v>457.9</v>
      </c>
      <c r="H129" s="6"/>
      <c r="I129" s="6"/>
      <c r="J129" s="6">
        <f t="shared" si="12"/>
        <v>53482.719999999994</v>
      </c>
      <c r="K129" s="6">
        <f t="shared" si="13"/>
        <v>53482.719999999994</v>
      </c>
      <c r="L129" s="122">
        <f t="shared" si="14"/>
        <v>0</v>
      </c>
      <c r="M129" s="127"/>
      <c r="N129" s="7" t="s">
        <v>62</v>
      </c>
      <c r="O129" s="148" t="s">
        <v>24</v>
      </c>
      <c r="P129" s="149"/>
      <c r="Q129" s="184"/>
      <c r="R129" s="161"/>
      <c r="S129" s="268"/>
      <c r="T129" s="268"/>
    </row>
    <row r="130" spans="1:21" ht="33">
      <c r="A130" s="3" t="s">
        <v>263</v>
      </c>
      <c r="B130" s="4" t="s">
        <v>264</v>
      </c>
      <c r="C130" s="5" t="s">
        <v>36</v>
      </c>
      <c r="D130" s="6">
        <v>25.8</v>
      </c>
      <c r="E130" s="6">
        <f>'土建景觀工程(2)'!J593</f>
        <v>25.8</v>
      </c>
      <c r="F130" s="6">
        <f t="shared" si="11"/>
        <v>0</v>
      </c>
      <c r="G130" s="6">
        <v>499.1</v>
      </c>
      <c r="H130" s="6"/>
      <c r="I130" s="6"/>
      <c r="J130" s="6">
        <f t="shared" si="12"/>
        <v>12876.78</v>
      </c>
      <c r="K130" s="6">
        <f t="shared" si="13"/>
        <v>12876.78</v>
      </c>
      <c r="L130" s="122">
        <f t="shared" si="14"/>
        <v>0</v>
      </c>
      <c r="M130" s="127"/>
      <c r="N130" s="7" t="s">
        <v>62</v>
      </c>
      <c r="O130" s="148" t="s">
        <v>24</v>
      </c>
      <c r="P130" s="149"/>
      <c r="Q130" s="184"/>
      <c r="R130" s="161"/>
      <c r="S130" s="268"/>
      <c r="T130" s="268"/>
    </row>
    <row r="131" spans="1:21" ht="33">
      <c r="A131" s="3" t="s">
        <v>265</v>
      </c>
      <c r="B131" s="4" t="s">
        <v>266</v>
      </c>
      <c r="C131" s="5" t="s">
        <v>36</v>
      </c>
      <c r="D131" s="6">
        <v>53.89</v>
      </c>
      <c r="E131" s="6">
        <f>'土建景觀工程(2)'!J595</f>
        <v>53.9</v>
      </c>
      <c r="F131" s="6">
        <f t="shared" si="11"/>
        <v>9.9999999999980105E-3</v>
      </c>
      <c r="G131" s="6">
        <v>545.85</v>
      </c>
      <c r="H131" s="6"/>
      <c r="I131" s="6"/>
      <c r="J131" s="6">
        <f t="shared" si="12"/>
        <v>29415.856500000002</v>
      </c>
      <c r="K131" s="6">
        <f t="shared" si="13"/>
        <v>29421.314999999999</v>
      </c>
      <c r="L131" s="122">
        <f t="shared" si="14"/>
        <v>5.4584999999970023</v>
      </c>
      <c r="M131" s="127"/>
      <c r="N131" s="7" t="s">
        <v>62</v>
      </c>
      <c r="O131" s="148" t="s">
        <v>24</v>
      </c>
      <c r="P131" s="149"/>
      <c r="Q131" s="184"/>
      <c r="R131" s="161"/>
      <c r="S131" s="268"/>
      <c r="T131" s="268"/>
    </row>
    <row r="132" spans="1:21" ht="33">
      <c r="A132" s="3" t="s">
        <v>267</v>
      </c>
      <c r="B132" s="4" t="s">
        <v>268</v>
      </c>
      <c r="C132" s="5" t="s">
        <v>36</v>
      </c>
      <c r="D132" s="6">
        <v>21</v>
      </c>
      <c r="E132" s="6">
        <f>'土建景觀工程(2)'!J597</f>
        <v>21</v>
      </c>
      <c r="F132" s="6">
        <f t="shared" si="11"/>
        <v>0</v>
      </c>
      <c r="G132" s="6">
        <v>644.09</v>
      </c>
      <c r="H132" s="6"/>
      <c r="I132" s="6"/>
      <c r="J132" s="6">
        <f t="shared" si="12"/>
        <v>13525.890000000001</v>
      </c>
      <c r="K132" s="6">
        <f t="shared" si="13"/>
        <v>13525.890000000001</v>
      </c>
      <c r="L132" s="122">
        <f t="shared" si="14"/>
        <v>0</v>
      </c>
      <c r="M132" s="127"/>
      <c r="N132" s="7" t="s">
        <v>62</v>
      </c>
      <c r="O132" s="148" t="s">
        <v>24</v>
      </c>
      <c r="P132" s="149"/>
      <c r="Q132" s="184"/>
      <c r="R132" s="161"/>
      <c r="S132" s="268"/>
      <c r="T132" s="268"/>
    </row>
    <row r="133" spans="1:21" ht="57">
      <c r="A133" s="3" t="s">
        <v>269</v>
      </c>
      <c r="B133" s="4" t="s">
        <v>270</v>
      </c>
      <c r="C133" s="5" t="s">
        <v>36</v>
      </c>
      <c r="D133" s="6">
        <v>275.60000000000002</v>
      </c>
      <c r="E133" s="6">
        <f>'土建景觀工程(2)'!J599</f>
        <v>275.60000000000002</v>
      </c>
      <c r="F133" s="6">
        <f t="shared" si="11"/>
        <v>0</v>
      </c>
      <c r="G133" s="6">
        <v>7340.41</v>
      </c>
      <c r="H133" s="6"/>
      <c r="I133" s="6"/>
      <c r="J133" s="6">
        <f t="shared" si="12"/>
        <v>2023016.996</v>
      </c>
      <c r="K133" s="6">
        <f t="shared" si="13"/>
        <v>2023016.996</v>
      </c>
      <c r="L133" s="122">
        <f t="shared" si="14"/>
        <v>0</v>
      </c>
      <c r="M133" s="127"/>
      <c r="N133" s="7" t="s">
        <v>108</v>
      </c>
      <c r="O133" s="148" t="s">
        <v>24</v>
      </c>
      <c r="P133" s="149"/>
      <c r="Q133" s="184"/>
      <c r="R133" s="161"/>
      <c r="S133" s="268"/>
      <c r="T133" s="268"/>
    </row>
    <row r="134" spans="1:21" s="27" customFormat="1" ht="33">
      <c r="A134" s="3" t="s">
        <v>271</v>
      </c>
      <c r="B134" s="4" t="s">
        <v>272</v>
      </c>
      <c r="C134" s="5" t="s">
        <v>78</v>
      </c>
      <c r="D134" s="6">
        <v>1</v>
      </c>
      <c r="E134" s="6">
        <f>'土建景觀工程(2)'!J601</f>
        <v>1</v>
      </c>
      <c r="F134" s="6">
        <f t="shared" si="11"/>
        <v>0</v>
      </c>
      <c r="G134" s="6">
        <v>913345.81</v>
      </c>
      <c r="H134" s="6"/>
      <c r="I134" s="6"/>
      <c r="J134" s="6">
        <f t="shared" si="12"/>
        <v>913345.81</v>
      </c>
      <c r="K134" s="6">
        <f t="shared" si="13"/>
        <v>913345.81</v>
      </c>
      <c r="L134" s="122">
        <f t="shared" si="14"/>
        <v>0</v>
      </c>
      <c r="M134" s="127"/>
      <c r="N134" s="7" t="s">
        <v>62</v>
      </c>
      <c r="O134" s="148" t="s">
        <v>24</v>
      </c>
      <c r="P134" s="149"/>
      <c r="Q134" s="184"/>
      <c r="R134" s="161"/>
      <c r="S134" s="268"/>
      <c r="T134" s="268"/>
      <c r="U134" s="64"/>
    </row>
    <row r="135" spans="1:21" s="27" customFormat="1" ht="14.25">
      <c r="A135" s="99"/>
      <c r="B135" s="100" t="s">
        <v>860</v>
      </c>
      <c r="C135" s="89" t="s">
        <v>861</v>
      </c>
      <c r="D135" s="91">
        <v>0</v>
      </c>
      <c r="E135" s="91">
        <f>'土建景觀工程(2)'!J604</f>
        <v>103.84399999999999</v>
      </c>
      <c r="F135" s="91">
        <f t="shared" si="11"/>
        <v>103.84399999999999</v>
      </c>
      <c r="G135" s="91"/>
      <c r="H135" s="91"/>
      <c r="I135" s="91"/>
      <c r="J135" s="91"/>
      <c r="K135" s="91"/>
      <c r="L135" s="124"/>
      <c r="M135" s="131"/>
      <c r="N135" s="101"/>
      <c r="O135" s="99"/>
      <c r="P135" s="100"/>
      <c r="Q135" s="89"/>
      <c r="R135" s="91"/>
      <c r="S135" s="268"/>
      <c r="T135" s="268"/>
      <c r="U135" s="64"/>
    </row>
    <row r="136" spans="1:21" s="27" customFormat="1" ht="28.5">
      <c r="A136" s="99"/>
      <c r="B136" s="100" t="s">
        <v>871</v>
      </c>
      <c r="C136" s="89" t="s">
        <v>872</v>
      </c>
      <c r="D136" s="91">
        <v>0</v>
      </c>
      <c r="E136" s="91">
        <f>'土建景觀工程(2)'!J606</f>
        <v>660</v>
      </c>
      <c r="F136" s="91">
        <f t="shared" si="11"/>
        <v>660</v>
      </c>
      <c r="G136" s="91"/>
      <c r="H136" s="91"/>
      <c r="I136" s="91"/>
      <c r="J136" s="91"/>
      <c r="K136" s="91"/>
      <c r="L136" s="124"/>
      <c r="M136" s="131"/>
      <c r="N136" s="101"/>
      <c r="O136" s="99"/>
      <c r="P136" s="100"/>
      <c r="Q136" s="89"/>
      <c r="R136" s="91"/>
      <c r="S136" s="268"/>
      <c r="T136" s="268"/>
      <c r="U136" s="64"/>
    </row>
    <row r="137" spans="1:21" s="27" customFormat="1" ht="14.25">
      <c r="A137" s="99"/>
      <c r="B137" s="100" t="s">
        <v>880</v>
      </c>
      <c r="C137" s="89" t="s">
        <v>879</v>
      </c>
      <c r="D137" s="91">
        <v>0</v>
      </c>
      <c r="E137" s="91">
        <f>'土建景觀工程(2)'!J608</f>
        <v>293.25</v>
      </c>
      <c r="F137" s="91">
        <f t="shared" si="11"/>
        <v>293.25</v>
      </c>
      <c r="G137" s="91"/>
      <c r="H137" s="91"/>
      <c r="I137" s="91"/>
      <c r="J137" s="91"/>
      <c r="K137" s="91"/>
      <c r="L137" s="124"/>
      <c r="M137" s="131"/>
      <c r="N137" s="101"/>
      <c r="O137" s="99"/>
      <c r="P137" s="100"/>
      <c r="Q137" s="89"/>
      <c r="R137" s="91"/>
      <c r="S137" s="268"/>
      <c r="T137" s="268"/>
      <c r="U137" s="64"/>
    </row>
    <row r="138" spans="1:21" s="27" customFormat="1" ht="14.25">
      <c r="A138" s="99"/>
      <c r="B138" s="100" t="s">
        <v>2119</v>
      </c>
      <c r="C138" s="89" t="s">
        <v>879</v>
      </c>
      <c r="D138" s="91">
        <v>0</v>
      </c>
      <c r="E138" s="91">
        <f>'土建景觀工程(2)'!J610</f>
        <v>909.2</v>
      </c>
      <c r="F138" s="91">
        <f t="shared" si="11"/>
        <v>909.2</v>
      </c>
      <c r="G138" s="91"/>
      <c r="H138" s="91"/>
      <c r="I138" s="91"/>
      <c r="J138" s="91"/>
      <c r="K138" s="91"/>
      <c r="L138" s="124"/>
      <c r="M138" s="131"/>
      <c r="N138" s="101"/>
      <c r="O138" s="99"/>
      <c r="P138" s="100"/>
      <c r="Q138" s="89"/>
      <c r="R138" s="91"/>
      <c r="S138" s="268"/>
      <c r="T138" s="268"/>
      <c r="U138" s="64"/>
    </row>
    <row r="139" spans="1:21" s="27" customFormat="1" ht="14.25">
      <c r="A139" s="3"/>
      <c r="B139" s="4"/>
      <c r="C139" s="5"/>
      <c r="D139" s="6"/>
      <c r="E139" s="6"/>
      <c r="F139" s="6"/>
      <c r="G139" s="6"/>
      <c r="H139" s="6"/>
      <c r="I139" s="6"/>
      <c r="J139" s="6"/>
      <c r="K139" s="6"/>
      <c r="L139" s="122"/>
      <c r="M139" s="127"/>
      <c r="N139" s="7"/>
      <c r="O139" s="3"/>
      <c r="P139" s="4"/>
      <c r="Q139" s="5"/>
      <c r="R139" s="6"/>
      <c r="S139" s="268"/>
      <c r="T139" s="268"/>
      <c r="U139" s="64"/>
    </row>
    <row r="140" spans="1:21" s="27" customFormat="1" ht="14.25">
      <c r="A140" s="3"/>
      <c r="B140" s="4"/>
      <c r="C140" s="5"/>
      <c r="D140" s="6"/>
      <c r="E140" s="6"/>
      <c r="F140" s="6"/>
      <c r="G140" s="6"/>
      <c r="H140" s="6"/>
      <c r="I140" s="6"/>
      <c r="J140" s="6"/>
      <c r="K140" s="6"/>
      <c r="L140" s="122"/>
      <c r="M140" s="127"/>
      <c r="N140" s="7"/>
      <c r="O140" s="3"/>
      <c r="P140" s="4"/>
      <c r="Q140" s="5"/>
      <c r="R140" s="6"/>
      <c r="S140" s="268"/>
      <c r="T140" s="268"/>
      <c r="U140" s="64"/>
    </row>
    <row r="141" spans="1:21" s="27" customFormat="1" ht="33">
      <c r="A141" s="200" t="s">
        <v>273</v>
      </c>
      <c r="B141" s="201" t="s">
        <v>274</v>
      </c>
      <c r="C141" s="202" t="s">
        <v>23</v>
      </c>
      <c r="D141" s="203"/>
      <c r="E141" s="203"/>
      <c r="F141" s="203"/>
      <c r="G141" s="203">
        <f>J141</f>
        <v>61896290.44750002</v>
      </c>
      <c r="H141" s="203"/>
      <c r="I141" s="203"/>
      <c r="J141" s="203">
        <f>SUM(J142:J184)</f>
        <v>61896290.44750002</v>
      </c>
      <c r="K141" s="203">
        <f>SUM(K142:K184)</f>
        <v>61914215.96110075</v>
      </c>
      <c r="L141" s="205">
        <f>SUM(L142:L184)</f>
        <v>108903.96488352615</v>
      </c>
      <c r="M141" s="207">
        <f>SUM(M142:M184)</f>
        <v>-90978.451282777358</v>
      </c>
      <c r="N141" s="208" t="s">
        <v>1</v>
      </c>
      <c r="O141" s="151" t="s">
        <v>24</v>
      </c>
      <c r="P141" s="152"/>
      <c r="Q141" s="184"/>
      <c r="R141" s="161"/>
      <c r="S141" s="268"/>
      <c r="T141" s="268"/>
      <c r="U141" s="64"/>
    </row>
    <row r="142" spans="1:21" s="27" customFormat="1" ht="33">
      <c r="A142" s="3" t="s">
        <v>29</v>
      </c>
      <c r="B142" s="4" t="s">
        <v>97</v>
      </c>
      <c r="C142" s="5" t="s">
        <v>98</v>
      </c>
      <c r="D142" s="6">
        <v>274.45</v>
      </c>
      <c r="E142" s="6">
        <f>'橋梁工程 (3)'!J7</f>
        <v>270.851</v>
      </c>
      <c r="F142" s="6">
        <f t="shared" ref="F142:F188" si="15">E142-D142</f>
        <v>-3.5989999999999895</v>
      </c>
      <c r="G142" s="6">
        <v>320.74</v>
      </c>
      <c r="H142" s="6"/>
      <c r="I142" s="6"/>
      <c r="J142" s="6">
        <f t="shared" ref="J142:J184" si="16">D142*G142</f>
        <v>88027.092999999993</v>
      </c>
      <c r="K142" s="6">
        <f t="shared" ref="K142:K188" si="17">E142*G142</f>
        <v>86872.749739999999</v>
      </c>
      <c r="L142" s="122">
        <f t="shared" si="14"/>
        <v>-1154.3432599999942</v>
      </c>
      <c r="M142" s="127"/>
      <c r="N142" s="7" t="s">
        <v>1</v>
      </c>
      <c r="O142" s="148" t="s">
        <v>24</v>
      </c>
      <c r="P142" s="149"/>
      <c r="Q142" s="184"/>
      <c r="R142" s="161"/>
      <c r="S142" s="268"/>
      <c r="T142" s="268"/>
      <c r="U142" s="64"/>
    </row>
    <row r="143" spans="1:21" s="27" customFormat="1" ht="33">
      <c r="A143" s="3" t="s">
        <v>32</v>
      </c>
      <c r="B143" s="4" t="s">
        <v>103</v>
      </c>
      <c r="C143" s="5" t="s">
        <v>31</v>
      </c>
      <c r="D143" s="6">
        <v>44.22</v>
      </c>
      <c r="E143" s="6">
        <f>'橋梁工程 (3)'!J15</f>
        <v>36.316000000000003</v>
      </c>
      <c r="F143" s="6">
        <f t="shared" si="15"/>
        <v>-7.9039999999999964</v>
      </c>
      <c r="G143" s="6">
        <v>3115.13</v>
      </c>
      <c r="H143" s="6"/>
      <c r="I143" s="6"/>
      <c r="J143" s="6">
        <f t="shared" si="16"/>
        <v>137751.04860000001</v>
      </c>
      <c r="K143" s="6">
        <f t="shared" si="17"/>
        <v>113129.06108000001</v>
      </c>
      <c r="L143" s="122">
        <f t="shared" si="14"/>
        <v>-24621.987519999995</v>
      </c>
      <c r="M143" s="127"/>
      <c r="N143" s="7" t="s">
        <v>1</v>
      </c>
      <c r="O143" s="148" t="s">
        <v>24</v>
      </c>
      <c r="P143" s="149"/>
      <c r="Q143" s="184"/>
      <c r="R143" s="161"/>
      <c r="S143" s="268"/>
      <c r="T143" s="268"/>
      <c r="U143" s="64"/>
    </row>
    <row r="144" spans="1:21" s="27" customFormat="1" ht="33">
      <c r="A144" s="102" t="s">
        <v>34</v>
      </c>
      <c r="B144" s="103" t="s">
        <v>104</v>
      </c>
      <c r="C144" s="104" t="s">
        <v>31</v>
      </c>
      <c r="D144" s="105">
        <v>95.97</v>
      </c>
      <c r="E144" s="105">
        <f>'橋梁工程 (3)'!J23</f>
        <v>86.51</v>
      </c>
      <c r="F144" s="105">
        <f t="shared" si="15"/>
        <v>-9.4599999999999937</v>
      </c>
      <c r="G144" s="105">
        <v>3321.13</v>
      </c>
      <c r="H144" s="105"/>
      <c r="I144" s="105"/>
      <c r="J144" s="105">
        <f t="shared" si="16"/>
        <v>318728.84610000002</v>
      </c>
      <c r="K144" s="105">
        <f t="shared" si="17"/>
        <v>287310.95630000002</v>
      </c>
      <c r="L144" s="121">
        <f t="shared" si="14"/>
        <v>-31417.889800000004</v>
      </c>
      <c r="M144" s="132"/>
      <c r="N144" s="106" t="s">
        <v>1</v>
      </c>
      <c r="O144" s="151" t="s">
        <v>24</v>
      </c>
      <c r="P144" s="166"/>
      <c r="Q144" s="195"/>
      <c r="R144" s="189"/>
      <c r="S144" s="268"/>
      <c r="T144" s="268"/>
      <c r="U144" s="64"/>
    </row>
    <row r="145" spans="1:21" s="848" customFormat="1" ht="33">
      <c r="A145" s="102" t="s">
        <v>38</v>
      </c>
      <c r="B145" s="103" t="s">
        <v>275</v>
      </c>
      <c r="C145" s="104" t="s">
        <v>31</v>
      </c>
      <c r="D145" s="105">
        <v>720.06</v>
      </c>
      <c r="E145" s="105">
        <f>'橋梁工程 (3)'!J30</f>
        <v>709.04667274999997</v>
      </c>
      <c r="F145" s="843">
        <f t="shared" si="15"/>
        <v>-11.013327249999975</v>
      </c>
      <c r="G145" s="105">
        <v>3643.73</v>
      </c>
      <c r="H145" s="105"/>
      <c r="I145" s="105"/>
      <c r="J145" s="105">
        <f t="shared" si="16"/>
        <v>2623704.2237999998</v>
      </c>
      <c r="K145" s="105">
        <f t="shared" si="17"/>
        <v>2583574.6328993575</v>
      </c>
      <c r="L145" s="121"/>
      <c r="M145" s="132">
        <f>K145-J145</f>
        <v>-40129.590900642332</v>
      </c>
      <c r="N145" s="106" t="s">
        <v>1</v>
      </c>
      <c r="O145" s="151" t="s">
        <v>24</v>
      </c>
      <c r="P145" s="849"/>
      <c r="Q145" s="195" t="s">
        <v>836</v>
      </c>
      <c r="R145" s="249"/>
      <c r="S145" s="850"/>
      <c r="T145" s="269"/>
      <c r="U145" s="778"/>
    </row>
    <row r="146" spans="1:21" s="27" customFormat="1" ht="33">
      <c r="A146" s="3" t="s">
        <v>41</v>
      </c>
      <c r="B146" s="4" t="s">
        <v>100</v>
      </c>
      <c r="C146" s="5" t="s">
        <v>101</v>
      </c>
      <c r="D146" s="6">
        <v>4788.7700000000004</v>
      </c>
      <c r="E146" s="6">
        <f>'橋梁工程 (3)'!J44</f>
        <v>12591.65972</v>
      </c>
      <c r="F146" s="6">
        <f t="shared" si="15"/>
        <v>7802.8897199999992</v>
      </c>
      <c r="G146" s="6">
        <v>36.4</v>
      </c>
      <c r="H146" s="6"/>
      <c r="I146" s="6"/>
      <c r="J146" s="6">
        <f t="shared" si="16"/>
        <v>174311.228</v>
      </c>
      <c r="K146" s="6">
        <f t="shared" si="17"/>
        <v>458336.41380799998</v>
      </c>
      <c r="L146" s="122">
        <f t="shared" si="14"/>
        <v>284025.18580799998</v>
      </c>
      <c r="M146" s="127"/>
      <c r="N146" s="210" t="s">
        <v>102</v>
      </c>
      <c r="O146" s="148" t="s">
        <v>24</v>
      </c>
      <c r="P146" s="149"/>
      <c r="Q146" s="184"/>
      <c r="R146" s="249"/>
      <c r="S146" s="269"/>
      <c r="T146" s="269"/>
      <c r="U146" s="64"/>
    </row>
    <row r="147" spans="1:21" s="27" customFormat="1" ht="36" customHeight="1">
      <c r="A147" s="102" t="s">
        <v>43</v>
      </c>
      <c r="B147" s="103" t="s">
        <v>276</v>
      </c>
      <c r="C147" s="104" t="s">
        <v>101</v>
      </c>
      <c r="D147" s="105">
        <v>205535.32</v>
      </c>
      <c r="E147" s="105">
        <f>'橋梁工程 (3)'!J51</f>
        <v>204221.73538666664</v>
      </c>
      <c r="F147" s="96">
        <f t="shared" si="15"/>
        <v>-1313.5846133333689</v>
      </c>
      <c r="G147" s="96">
        <v>38.71</v>
      </c>
      <c r="H147" s="96"/>
      <c r="I147" s="96"/>
      <c r="J147" s="96">
        <f t="shared" si="16"/>
        <v>7956272.2372000003</v>
      </c>
      <c r="K147" s="96">
        <f t="shared" si="17"/>
        <v>7905423.3768178653</v>
      </c>
      <c r="L147" s="121"/>
      <c r="M147" s="126">
        <f>K147-J147</f>
        <v>-50848.860382135026</v>
      </c>
      <c r="N147" s="247" t="s">
        <v>102</v>
      </c>
      <c r="O147" s="151" t="s">
        <v>24</v>
      </c>
      <c r="P147" s="248"/>
      <c r="Q147" s="195"/>
      <c r="R147" s="249"/>
      <c r="S147" s="269"/>
      <c r="T147" s="269"/>
      <c r="U147" s="64">
        <v>-132894.32</v>
      </c>
    </row>
    <row r="148" spans="1:21" s="848" customFormat="1" ht="33">
      <c r="A148" s="102" t="s">
        <v>45</v>
      </c>
      <c r="B148" s="103" t="s">
        <v>277</v>
      </c>
      <c r="C148" s="104" t="s">
        <v>52</v>
      </c>
      <c r="D148" s="105">
        <v>351.34</v>
      </c>
      <c r="E148" s="105">
        <f>'橋梁工程 (3)'!J78</f>
        <v>359.74600000000009</v>
      </c>
      <c r="F148" s="105">
        <f t="shared" si="15"/>
        <v>8.4060000000001196</v>
      </c>
      <c r="G148" s="105">
        <v>1154.98</v>
      </c>
      <c r="H148" s="105"/>
      <c r="I148" s="105"/>
      <c r="J148" s="105">
        <f t="shared" si="16"/>
        <v>405790.67319999996</v>
      </c>
      <c r="K148" s="105">
        <f t="shared" si="17"/>
        <v>415499.43508000014</v>
      </c>
      <c r="L148" s="121">
        <f t="shared" si="14"/>
        <v>9708.7618800001801</v>
      </c>
      <c r="M148" s="132"/>
      <c r="N148" s="247" t="s">
        <v>278</v>
      </c>
      <c r="O148" s="151" t="s">
        <v>24</v>
      </c>
      <c r="P148" s="248"/>
      <c r="Q148" s="195" t="s">
        <v>836</v>
      </c>
      <c r="R148" s="249"/>
      <c r="S148" s="269"/>
      <c r="T148" s="269"/>
      <c r="U148" s="778"/>
    </row>
    <row r="149" spans="1:21" s="848" customFormat="1" ht="41.25">
      <c r="A149" s="102" t="s">
        <v>48</v>
      </c>
      <c r="B149" s="103" t="s">
        <v>279</v>
      </c>
      <c r="C149" s="104" t="s">
        <v>52</v>
      </c>
      <c r="D149" s="105">
        <v>574.89</v>
      </c>
      <c r="E149" s="105">
        <f>'橋梁工程 (3)'!J86</f>
        <v>574.89200000000017</v>
      </c>
      <c r="F149" s="105">
        <f t="shared" si="15"/>
        <v>2.00000000018008E-3</v>
      </c>
      <c r="G149" s="105">
        <v>982.98</v>
      </c>
      <c r="H149" s="105"/>
      <c r="I149" s="105"/>
      <c r="J149" s="105">
        <f t="shared" si="16"/>
        <v>565105.37219999998</v>
      </c>
      <c r="K149" s="105">
        <f t="shared" si="17"/>
        <v>565107.33816000016</v>
      </c>
      <c r="L149" s="121">
        <f t="shared" si="14"/>
        <v>1.9659600001759827</v>
      </c>
      <c r="M149" s="132"/>
      <c r="N149" s="216" t="s">
        <v>280</v>
      </c>
      <c r="O149" s="151" t="s">
        <v>24</v>
      </c>
      <c r="P149" s="849"/>
      <c r="Q149" s="195" t="s">
        <v>836</v>
      </c>
      <c r="R149" s="189"/>
      <c r="S149" s="273"/>
      <c r="T149" s="268"/>
      <c r="U149" s="778"/>
    </row>
    <row r="150" spans="1:21" s="848" customFormat="1" ht="33">
      <c r="A150" s="102" t="s">
        <v>50</v>
      </c>
      <c r="B150" s="103" t="s">
        <v>281</v>
      </c>
      <c r="C150" s="104" t="s">
        <v>52</v>
      </c>
      <c r="D150" s="105">
        <f>42+126.48</f>
        <v>168.48000000000002</v>
      </c>
      <c r="E150" s="105">
        <f>'橋梁工程 (3)'!J94</f>
        <v>138</v>
      </c>
      <c r="F150" s="105">
        <f t="shared" si="15"/>
        <v>-30.480000000000018</v>
      </c>
      <c r="G150" s="105">
        <v>804.79</v>
      </c>
      <c r="H150" s="105"/>
      <c r="I150" s="105"/>
      <c r="J150" s="105">
        <f t="shared" si="16"/>
        <v>135591.01920000001</v>
      </c>
      <c r="K150" s="105">
        <f t="shared" si="17"/>
        <v>111061.01999999999</v>
      </c>
      <c r="L150" s="121">
        <f t="shared" si="14"/>
        <v>-24529.99920000002</v>
      </c>
      <c r="M150" s="132"/>
      <c r="N150" s="216" t="s">
        <v>282</v>
      </c>
      <c r="O150" s="151" t="s">
        <v>24</v>
      </c>
      <c r="P150" s="248"/>
      <c r="Q150" s="195" t="s">
        <v>836</v>
      </c>
      <c r="R150" s="189"/>
      <c r="S150" s="268"/>
      <c r="T150" s="268"/>
      <c r="U150" s="778"/>
    </row>
    <row r="151" spans="1:21" s="27" customFormat="1" ht="33">
      <c r="A151" s="3" t="s">
        <v>54</v>
      </c>
      <c r="B151" s="4" t="s">
        <v>283</v>
      </c>
      <c r="C151" s="5" t="s">
        <v>284</v>
      </c>
      <c r="D151" s="6">
        <v>12205</v>
      </c>
      <c r="E151" s="6">
        <f>'橋梁工程 (3)'!J101</f>
        <v>12365.746719999999</v>
      </c>
      <c r="F151" s="6">
        <f t="shared" si="15"/>
        <v>160.74671999999919</v>
      </c>
      <c r="G151" s="6">
        <v>75</v>
      </c>
      <c r="H151" s="6"/>
      <c r="I151" s="6"/>
      <c r="J151" s="6">
        <f t="shared" si="16"/>
        <v>915375</v>
      </c>
      <c r="K151" s="6">
        <f t="shared" si="17"/>
        <v>927431.00399999996</v>
      </c>
      <c r="L151" s="122">
        <f t="shared" si="14"/>
        <v>12056.003999999957</v>
      </c>
      <c r="M151" s="127"/>
      <c r="N151" s="7" t="s">
        <v>1</v>
      </c>
      <c r="O151" s="148" t="s">
        <v>24</v>
      </c>
      <c r="P151" s="149"/>
      <c r="Q151" s="184"/>
      <c r="R151" s="161"/>
      <c r="S151" s="268"/>
      <c r="T151" s="268"/>
      <c r="U151" s="64"/>
    </row>
    <row r="152" spans="1:21" s="27" customFormat="1" ht="57">
      <c r="A152" s="3" t="s">
        <v>56</v>
      </c>
      <c r="B152" s="4" t="s">
        <v>109</v>
      </c>
      <c r="C152" s="5" t="s">
        <v>101</v>
      </c>
      <c r="D152" s="6">
        <v>8317</v>
      </c>
      <c r="E152" s="6">
        <f>'橋梁工程 (3)'!J109</f>
        <v>8317.0076174545447</v>
      </c>
      <c r="F152" s="6">
        <f t="shared" si="15"/>
        <v>7.6174545447429409E-3</v>
      </c>
      <c r="G152" s="6">
        <v>60</v>
      </c>
      <c r="H152" s="6"/>
      <c r="I152" s="6"/>
      <c r="J152" s="6">
        <f t="shared" si="16"/>
        <v>499020</v>
      </c>
      <c r="K152" s="6">
        <f t="shared" si="17"/>
        <v>499020.45704727271</v>
      </c>
      <c r="L152" s="122">
        <f t="shared" si="14"/>
        <v>0.45704727270640433</v>
      </c>
      <c r="M152" s="127"/>
      <c r="N152" s="7" t="s">
        <v>110</v>
      </c>
      <c r="O152" s="148" t="s">
        <v>24</v>
      </c>
      <c r="P152" s="149"/>
      <c r="Q152" s="184"/>
      <c r="R152" s="161"/>
      <c r="S152" s="268"/>
      <c r="T152" s="268"/>
      <c r="U152" s="64"/>
    </row>
    <row r="153" spans="1:21" s="27" customFormat="1" ht="33">
      <c r="A153" s="3" t="s">
        <v>58</v>
      </c>
      <c r="B153" s="4" t="s">
        <v>111</v>
      </c>
      <c r="C153" s="5" t="s">
        <v>101</v>
      </c>
      <c r="D153" s="6">
        <v>8317</v>
      </c>
      <c r="E153" s="6">
        <f>'橋梁工程 (3)'!J125</f>
        <v>8317.0076174545447</v>
      </c>
      <c r="F153" s="6">
        <f t="shared" si="15"/>
        <v>7.6174545447429409E-3</v>
      </c>
      <c r="G153" s="6">
        <v>31.9</v>
      </c>
      <c r="H153" s="6"/>
      <c r="I153" s="6"/>
      <c r="J153" s="6">
        <f t="shared" si="16"/>
        <v>265312.3</v>
      </c>
      <c r="K153" s="6">
        <f t="shared" si="17"/>
        <v>265312.54299679998</v>
      </c>
      <c r="L153" s="122">
        <f t="shared" si="14"/>
        <v>0.24299679999239743</v>
      </c>
      <c r="M153" s="127"/>
      <c r="N153" s="7" t="s">
        <v>1</v>
      </c>
      <c r="O153" s="148" t="s">
        <v>24</v>
      </c>
      <c r="P153" s="149"/>
      <c r="Q153" s="184"/>
      <c r="R153" s="161"/>
      <c r="S153" s="268"/>
      <c r="T153" s="268"/>
      <c r="U153" s="64"/>
    </row>
    <row r="154" spans="1:21" s="27" customFormat="1" ht="33">
      <c r="A154" s="3" t="s">
        <v>60</v>
      </c>
      <c r="B154" s="4" t="s">
        <v>285</v>
      </c>
      <c r="C154" s="5" t="s">
        <v>101</v>
      </c>
      <c r="D154" s="6">
        <v>1087</v>
      </c>
      <c r="E154" s="6">
        <f>'橋梁工程 (3)'!J127</f>
        <v>1087.0189341656001</v>
      </c>
      <c r="F154" s="6">
        <f t="shared" si="15"/>
        <v>1.8934165600057895E-2</v>
      </c>
      <c r="G154" s="6">
        <v>278.10000000000002</v>
      </c>
      <c r="H154" s="6"/>
      <c r="I154" s="6"/>
      <c r="J154" s="6">
        <f t="shared" si="16"/>
        <v>302294.7</v>
      </c>
      <c r="K154" s="6">
        <f t="shared" si="17"/>
        <v>302299.96559145342</v>
      </c>
      <c r="L154" s="122">
        <f t="shared" si="14"/>
        <v>5.2655914534116164</v>
      </c>
      <c r="M154" s="127"/>
      <c r="N154" s="7" t="s">
        <v>1</v>
      </c>
      <c r="O154" s="148" t="s">
        <v>24</v>
      </c>
      <c r="P154" s="149"/>
      <c r="Q154" s="184"/>
      <c r="R154" s="161"/>
      <c r="S154" s="268"/>
      <c r="T154" s="268"/>
      <c r="U154" s="64"/>
    </row>
    <row r="155" spans="1:21" s="27" customFormat="1" ht="33">
      <c r="A155" s="3" t="s">
        <v>63</v>
      </c>
      <c r="B155" s="4" t="s">
        <v>286</v>
      </c>
      <c r="C155" s="5" t="s">
        <v>52</v>
      </c>
      <c r="D155" s="6">
        <v>172</v>
      </c>
      <c r="E155" s="6">
        <f>'橋梁工程 (3)'!J141</f>
        <v>172</v>
      </c>
      <c r="F155" s="6">
        <f t="shared" si="15"/>
        <v>0</v>
      </c>
      <c r="G155" s="6">
        <v>1400</v>
      </c>
      <c r="H155" s="6"/>
      <c r="I155" s="6"/>
      <c r="J155" s="6">
        <f t="shared" si="16"/>
        <v>240800</v>
      </c>
      <c r="K155" s="6">
        <f t="shared" si="17"/>
        <v>240800</v>
      </c>
      <c r="L155" s="122">
        <f t="shared" si="14"/>
        <v>0</v>
      </c>
      <c r="M155" s="127"/>
      <c r="N155" s="7" t="s">
        <v>62</v>
      </c>
      <c r="O155" s="148" t="s">
        <v>24</v>
      </c>
      <c r="P155" s="149"/>
      <c r="Q155" s="184"/>
      <c r="R155" s="161"/>
      <c r="S155" s="268"/>
      <c r="T155" s="268"/>
      <c r="U155" s="64"/>
    </row>
    <row r="156" spans="1:21" s="848" customFormat="1" ht="71.25">
      <c r="A156" s="102" t="s">
        <v>67</v>
      </c>
      <c r="B156" s="103" t="s">
        <v>112</v>
      </c>
      <c r="C156" s="104" t="s">
        <v>101</v>
      </c>
      <c r="D156" s="105">
        <v>154935.67999999999</v>
      </c>
      <c r="E156" s="105">
        <f>'橋梁工程 (3)'!J143</f>
        <v>154935.97999999998</v>
      </c>
      <c r="F156" s="105">
        <f t="shared" si="15"/>
        <v>0.29999999998835847</v>
      </c>
      <c r="G156" s="105">
        <v>107.31</v>
      </c>
      <c r="H156" s="105"/>
      <c r="I156" s="105"/>
      <c r="J156" s="105">
        <f t="shared" si="16"/>
        <v>16626147.820799999</v>
      </c>
      <c r="K156" s="105">
        <f t="shared" si="17"/>
        <v>16626180.013799999</v>
      </c>
      <c r="L156" s="121">
        <f t="shared" si="14"/>
        <v>32.192999999970198</v>
      </c>
      <c r="M156" s="132"/>
      <c r="N156" s="847" t="s">
        <v>110</v>
      </c>
      <c r="O156" s="151" t="s">
        <v>24</v>
      </c>
      <c r="P156" s="248"/>
      <c r="Q156" s="195"/>
      <c r="R156" s="845"/>
      <c r="S156" s="268"/>
      <c r="T156" s="268"/>
      <c r="U156" s="778"/>
    </row>
    <row r="157" spans="1:21" s="63" customFormat="1" ht="42.75">
      <c r="A157" s="58" t="s">
        <v>69</v>
      </c>
      <c r="B157" s="59" t="s">
        <v>287</v>
      </c>
      <c r="C157" s="60" t="s">
        <v>52</v>
      </c>
      <c r="D157" s="61">
        <v>1140.1600000000001</v>
      </c>
      <c r="E157" s="61">
        <f>'橋梁工程 (3)'!J147</f>
        <v>1147.92</v>
      </c>
      <c r="F157" s="6">
        <f t="shared" si="15"/>
        <v>7.7599999999999909</v>
      </c>
      <c r="G157" s="61">
        <v>692.16</v>
      </c>
      <c r="H157" s="61"/>
      <c r="I157" s="61"/>
      <c r="J157" s="6">
        <f t="shared" si="16"/>
        <v>789173.14560000005</v>
      </c>
      <c r="K157" s="6">
        <f t="shared" si="17"/>
        <v>794544.30720000004</v>
      </c>
      <c r="L157" s="122">
        <f t="shared" si="14"/>
        <v>5371.1615999999922</v>
      </c>
      <c r="M157" s="129"/>
      <c r="N157" s="62" t="s">
        <v>288</v>
      </c>
      <c r="O157" s="156" t="s">
        <v>24</v>
      </c>
      <c r="P157" s="168"/>
      <c r="Q157" s="169"/>
      <c r="R157" s="182"/>
      <c r="S157" s="271"/>
      <c r="T157" s="271"/>
      <c r="U157" s="65"/>
    </row>
    <row r="158" spans="1:21" s="27" customFormat="1" ht="42.75">
      <c r="A158" s="3" t="s">
        <v>73</v>
      </c>
      <c r="B158" s="4" t="s">
        <v>39</v>
      </c>
      <c r="C158" s="5" t="s">
        <v>40</v>
      </c>
      <c r="D158" s="6">
        <v>527.59</v>
      </c>
      <c r="E158" s="6">
        <f>'橋梁工程 (3)'!J151</f>
        <v>527.58600000000001</v>
      </c>
      <c r="F158" s="6">
        <f t="shared" si="15"/>
        <v>-4.0000000000190994E-3</v>
      </c>
      <c r="G158" s="6">
        <v>48.28</v>
      </c>
      <c r="H158" s="6"/>
      <c r="I158" s="6"/>
      <c r="J158" s="6">
        <f t="shared" si="16"/>
        <v>25472.0452</v>
      </c>
      <c r="K158" s="6">
        <f t="shared" si="17"/>
        <v>25471.852080000001</v>
      </c>
      <c r="L158" s="122">
        <f t="shared" si="14"/>
        <v>-0.19311999999990803</v>
      </c>
      <c r="M158" s="127"/>
      <c r="N158" s="7" t="s">
        <v>1</v>
      </c>
      <c r="O158" s="148" t="s">
        <v>24</v>
      </c>
      <c r="P158" s="149"/>
      <c r="Q158" s="184"/>
      <c r="R158" s="161"/>
      <c r="S158" s="268"/>
      <c r="T158" s="268"/>
      <c r="U158" s="64"/>
    </row>
    <row r="159" spans="1:21" s="848" customFormat="1" ht="33">
      <c r="A159" s="102" t="s">
        <v>76</v>
      </c>
      <c r="B159" s="103" t="s">
        <v>888</v>
      </c>
      <c r="C159" s="104" t="s">
        <v>40</v>
      </c>
      <c r="D159" s="105">
        <v>0</v>
      </c>
      <c r="E159" s="105">
        <f>'橋梁工程 (3)'!J154</f>
        <v>0</v>
      </c>
      <c r="F159" s="843">
        <f t="shared" si="15"/>
        <v>0</v>
      </c>
      <c r="G159" s="105">
        <v>721.06</v>
      </c>
      <c r="H159" s="105"/>
      <c r="I159" s="105"/>
      <c r="J159" s="105">
        <f t="shared" si="16"/>
        <v>0</v>
      </c>
      <c r="K159" s="105">
        <f t="shared" si="17"/>
        <v>0</v>
      </c>
      <c r="L159" s="121"/>
      <c r="M159" s="132">
        <f>K159-J159</f>
        <v>0</v>
      </c>
      <c r="N159" s="106" t="s">
        <v>1</v>
      </c>
      <c r="O159" s="151" t="s">
        <v>24</v>
      </c>
      <c r="P159" s="183"/>
      <c r="Q159" s="195"/>
      <c r="R159" s="189"/>
      <c r="S159" s="268"/>
      <c r="T159" s="268"/>
      <c r="U159" s="778"/>
    </row>
    <row r="160" spans="1:21" s="27" customFormat="1" ht="33">
      <c r="A160" s="3" t="s">
        <v>79</v>
      </c>
      <c r="B160" s="4" t="s">
        <v>290</v>
      </c>
      <c r="C160" s="5" t="s">
        <v>52</v>
      </c>
      <c r="D160" s="6">
        <v>32675</v>
      </c>
      <c r="E160" s="6">
        <f>'橋梁工程 (3)'!J156</f>
        <v>32675</v>
      </c>
      <c r="F160" s="6">
        <f t="shared" si="15"/>
        <v>0</v>
      </c>
      <c r="G160" s="6">
        <v>28</v>
      </c>
      <c r="H160" s="6"/>
      <c r="I160" s="6"/>
      <c r="J160" s="6">
        <f t="shared" si="16"/>
        <v>914900</v>
      </c>
      <c r="K160" s="6">
        <f t="shared" si="17"/>
        <v>914900</v>
      </c>
      <c r="L160" s="122">
        <f t="shared" si="14"/>
        <v>0</v>
      </c>
      <c r="M160" s="127"/>
      <c r="N160" s="7" t="s">
        <v>62</v>
      </c>
      <c r="O160" s="148" t="s">
        <v>24</v>
      </c>
      <c r="P160" s="168"/>
      <c r="Q160" s="184"/>
      <c r="R160" s="161"/>
      <c r="S160" s="268"/>
      <c r="T160" s="268"/>
      <c r="U160" s="69"/>
    </row>
    <row r="161" spans="1:21" s="27" customFormat="1" ht="42.75">
      <c r="A161" s="3" t="s">
        <v>81</v>
      </c>
      <c r="B161" s="4" t="s">
        <v>291</v>
      </c>
      <c r="C161" s="5" t="s">
        <v>36</v>
      </c>
      <c r="D161" s="6">
        <v>744</v>
      </c>
      <c r="E161" s="6">
        <f>'橋梁工程 (3)'!J158</f>
        <v>744</v>
      </c>
      <c r="F161" s="6">
        <f t="shared" si="15"/>
        <v>0</v>
      </c>
      <c r="G161" s="6">
        <v>19012.060000000001</v>
      </c>
      <c r="H161" s="6"/>
      <c r="I161" s="6"/>
      <c r="J161" s="6">
        <f t="shared" si="16"/>
        <v>14144972.640000001</v>
      </c>
      <c r="K161" s="6">
        <f t="shared" si="17"/>
        <v>14144972.640000001</v>
      </c>
      <c r="L161" s="122">
        <f t="shared" si="14"/>
        <v>0</v>
      </c>
      <c r="M161" s="127"/>
      <c r="N161" s="7" t="s">
        <v>102</v>
      </c>
      <c r="O161" s="148" t="s">
        <v>24</v>
      </c>
      <c r="P161" s="149"/>
      <c r="Q161" s="184"/>
      <c r="R161" s="161"/>
      <c r="S161" s="268"/>
      <c r="T161" s="268"/>
      <c r="U161" s="64"/>
    </row>
    <row r="162" spans="1:21" s="27" customFormat="1" ht="33">
      <c r="A162" s="3" t="s">
        <v>83</v>
      </c>
      <c r="B162" s="834" t="s">
        <v>292</v>
      </c>
      <c r="C162" s="5" t="s">
        <v>52</v>
      </c>
      <c r="D162" s="6">
        <v>136</v>
      </c>
      <c r="E162" s="6">
        <f>'橋梁工程 (3)'!J161</f>
        <v>124.31</v>
      </c>
      <c r="F162" s="6">
        <f t="shared" si="15"/>
        <v>-11.689999999999998</v>
      </c>
      <c r="G162" s="6">
        <v>373.1</v>
      </c>
      <c r="H162" s="6"/>
      <c r="I162" s="6"/>
      <c r="J162" s="6">
        <f t="shared" si="16"/>
        <v>50741.600000000006</v>
      </c>
      <c r="K162" s="6">
        <f t="shared" si="17"/>
        <v>46380.061000000002</v>
      </c>
      <c r="L162" s="122">
        <f t="shared" si="14"/>
        <v>-4361.5390000000043</v>
      </c>
      <c r="M162" s="127"/>
      <c r="N162" s="7" t="s">
        <v>1</v>
      </c>
      <c r="O162" s="148" t="s">
        <v>24</v>
      </c>
      <c r="P162" s="149"/>
      <c r="Q162" s="184"/>
      <c r="R162" s="161"/>
      <c r="S162" s="268"/>
      <c r="T162" s="268"/>
      <c r="U162" s="64"/>
    </row>
    <row r="163" spans="1:21" s="27" customFormat="1" ht="33">
      <c r="A163" s="3" t="s">
        <v>85</v>
      </c>
      <c r="B163" s="4" t="s">
        <v>293</v>
      </c>
      <c r="C163" s="5" t="s">
        <v>52</v>
      </c>
      <c r="D163" s="6">
        <v>136</v>
      </c>
      <c r="E163" s="6">
        <f>'橋梁工程 (3)'!J165</f>
        <v>136</v>
      </c>
      <c r="F163" s="6">
        <f t="shared" si="15"/>
        <v>0</v>
      </c>
      <c r="G163" s="6">
        <v>616.53</v>
      </c>
      <c r="H163" s="6"/>
      <c r="I163" s="6"/>
      <c r="J163" s="6">
        <f t="shared" si="16"/>
        <v>83848.08</v>
      </c>
      <c r="K163" s="6">
        <f t="shared" si="17"/>
        <v>83848.08</v>
      </c>
      <c r="L163" s="122">
        <f t="shared" si="14"/>
        <v>0</v>
      </c>
      <c r="M163" s="127"/>
      <c r="N163" s="7" t="s">
        <v>1</v>
      </c>
      <c r="O163" s="148" t="s">
        <v>24</v>
      </c>
      <c r="P163" s="149"/>
      <c r="Q163" s="184"/>
      <c r="R163" s="161"/>
      <c r="S163" s="268"/>
      <c r="T163" s="268"/>
      <c r="U163" s="64"/>
    </row>
    <row r="164" spans="1:21" s="27" customFormat="1" ht="33">
      <c r="A164" s="3" t="s">
        <v>88</v>
      </c>
      <c r="B164" s="4" t="s">
        <v>294</v>
      </c>
      <c r="C164" s="5" t="s">
        <v>52</v>
      </c>
      <c r="D164" s="6">
        <v>3.6</v>
      </c>
      <c r="E164" s="6">
        <f>'橋梁工程 (3)'!J167</f>
        <v>0</v>
      </c>
      <c r="F164" s="6">
        <f t="shared" si="15"/>
        <v>-3.6</v>
      </c>
      <c r="G164" s="6">
        <v>2664.06</v>
      </c>
      <c r="H164" s="6"/>
      <c r="I164" s="6"/>
      <c r="J164" s="6">
        <f t="shared" si="16"/>
        <v>9590.616</v>
      </c>
      <c r="K164" s="6">
        <f t="shared" si="17"/>
        <v>0</v>
      </c>
      <c r="L164" s="122">
        <f t="shared" si="14"/>
        <v>-9590.616</v>
      </c>
      <c r="M164" s="127"/>
      <c r="N164" s="7" t="s">
        <v>1</v>
      </c>
      <c r="O164" s="148" t="s">
        <v>24</v>
      </c>
      <c r="P164" s="149"/>
      <c r="Q164" s="184"/>
      <c r="R164" s="161"/>
      <c r="S164" s="268"/>
      <c r="T164" s="268"/>
      <c r="U164" s="64"/>
    </row>
    <row r="165" spans="1:21" s="27" customFormat="1" ht="33">
      <c r="A165" s="3" t="s">
        <v>92</v>
      </c>
      <c r="B165" s="4" t="s">
        <v>295</v>
      </c>
      <c r="C165" s="5" t="s">
        <v>36</v>
      </c>
      <c r="D165" s="6">
        <v>44</v>
      </c>
      <c r="E165" s="6">
        <f>'橋梁工程 (3)'!J169</f>
        <v>44</v>
      </c>
      <c r="F165" s="6">
        <f t="shared" si="15"/>
        <v>0</v>
      </c>
      <c r="G165" s="6">
        <v>5183.22</v>
      </c>
      <c r="H165" s="6"/>
      <c r="I165" s="6"/>
      <c r="J165" s="6">
        <f t="shared" si="16"/>
        <v>228061.68000000002</v>
      </c>
      <c r="K165" s="6">
        <f t="shared" si="17"/>
        <v>228061.68000000002</v>
      </c>
      <c r="L165" s="122">
        <f t="shared" si="14"/>
        <v>0</v>
      </c>
      <c r="M165" s="127"/>
      <c r="N165" s="7" t="s">
        <v>62</v>
      </c>
      <c r="O165" s="148" t="s">
        <v>24</v>
      </c>
      <c r="P165" s="149"/>
      <c r="Q165" s="184"/>
      <c r="R165" s="161"/>
      <c r="S165" s="268"/>
      <c r="T165" s="268"/>
      <c r="U165" s="64"/>
    </row>
    <row r="166" spans="1:21" s="27" customFormat="1" ht="33">
      <c r="A166" s="3" t="s">
        <v>128</v>
      </c>
      <c r="B166" s="4" t="s">
        <v>296</v>
      </c>
      <c r="C166" s="5" t="s">
        <v>36</v>
      </c>
      <c r="D166" s="6">
        <v>94.14</v>
      </c>
      <c r="E166" s="6">
        <f>'橋梁工程 (3)'!J171</f>
        <v>95.25</v>
      </c>
      <c r="F166" s="6">
        <f t="shared" si="15"/>
        <v>1.1099999999999994</v>
      </c>
      <c r="G166" s="6">
        <v>9392.57</v>
      </c>
      <c r="H166" s="6"/>
      <c r="I166" s="6"/>
      <c r="J166" s="6">
        <f t="shared" si="16"/>
        <v>884216.53980000003</v>
      </c>
      <c r="K166" s="6">
        <f t="shared" si="17"/>
        <v>894642.29249999998</v>
      </c>
      <c r="L166" s="122">
        <f t="shared" si="14"/>
        <v>10425.752699999954</v>
      </c>
      <c r="M166" s="127"/>
      <c r="N166" s="7" t="s">
        <v>62</v>
      </c>
      <c r="O166" s="148" t="s">
        <v>24</v>
      </c>
      <c r="P166" s="149"/>
      <c r="Q166" s="184"/>
      <c r="R166" s="161"/>
      <c r="S166" s="268"/>
      <c r="T166" s="268"/>
      <c r="U166" s="64"/>
    </row>
    <row r="167" spans="1:21" s="27" customFormat="1" ht="33">
      <c r="A167" s="3" t="s">
        <v>130</v>
      </c>
      <c r="B167" s="4" t="s">
        <v>297</v>
      </c>
      <c r="C167" s="5" t="s">
        <v>36</v>
      </c>
      <c r="D167" s="6">
        <v>114</v>
      </c>
      <c r="E167" s="6">
        <f>'橋梁工程 (3)'!J174</f>
        <v>64.760000000000005</v>
      </c>
      <c r="F167" s="6">
        <f t="shared" si="15"/>
        <v>-49.239999999999995</v>
      </c>
      <c r="G167" s="6">
        <v>2388.5700000000002</v>
      </c>
      <c r="H167" s="6"/>
      <c r="I167" s="6"/>
      <c r="J167" s="6">
        <f t="shared" si="16"/>
        <v>272296.98000000004</v>
      </c>
      <c r="K167" s="6">
        <f t="shared" si="17"/>
        <v>154683.79320000001</v>
      </c>
      <c r="L167" s="122">
        <f t="shared" si="14"/>
        <v>-117613.18680000002</v>
      </c>
      <c r="M167" s="127"/>
      <c r="N167" s="7" t="s">
        <v>62</v>
      </c>
      <c r="O167" s="148" t="s">
        <v>24</v>
      </c>
      <c r="P167" s="149"/>
      <c r="Q167" s="184"/>
      <c r="R167" s="161"/>
      <c r="S167" s="268"/>
      <c r="T167" s="268"/>
      <c r="U167" s="64"/>
    </row>
    <row r="168" spans="1:21" s="27" customFormat="1" ht="33">
      <c r="A168" s="3" t="s">
        <v>132</v>
      </c>
      <c r="B168" s="4" t="s">
        <v>298</v>
      </c>
      <c r="C168" s="5" t="s">
        <v>36</v>
      </c>
      <c r="D168" s="6">
        <v>44</v>
      </c>
      <c r="E168" s="6">
        <f>'橋梁工程 (3)'!J177</f>
        <v>44</v>
      </c>
      <c r="F168" s="6">
        <f t="shared" si="15"/>
        <v>0</v>
      </c>
      <c r="G168" s="6">
        <v>80192.710000000006</v>
      </c>
      <c r="H168" s="6"/>
      <c r="I168" s="6"/>
      <c r="J168" s="6">
        <f t="shared" si="16"/>
        <v>3528479.24</v>
      </c>
      <c r="K168" s="6">
        <f t="shared" si="17"/>
        <v>3528479.24</v>
      </c>
      <c r="L168" s="122">
        <f t="shared" si="14"/>
        <v>0</v>
      </c>
      <c r="M168" s="127"/>
      <c r="N168" s="7" t="s">
        <v>62</v>
      </c>
      <c r="O168" s="148" t="s">
        <v>24</v>
      </c>
      <c r="P168" s="149"/>
      <c r="Q168" s="184"/>
      <c r="R168" s="161"/>
      <c r="S168" s="268"/>
      <c r="T168" s="268"/>
      <c r="U168" s="64"/>
    </row>
    <row r="169" spans="1:21" s="27" customFormat="1" ht="42.75">
      <c r="A169" s="3" t="s">
        <v>134</v>
      </c>
      <c r="B169" s="4" t="s">
        <v>299</v>
      </c>
      <c r="C169" s="5" t="s">
        <v>36</v>
      </c>
      <c r="D169" s="6">
        <v>90</v>
      </c>
      <c r="E169" s="6">
        <f>'橋梁工程 (3)'!J179</f>
        <v>90</v>
      </c>
      <c r="F169" s="6">
        <f t="shared" si="15"/>
        <v>0</v>
      </c>
      <c r="G169" s="6">
        <v>9257.1299999999992</v>
      </c>
      <c r="H169" s="6"/>
      <c r="I169" s="6"/>
      <c r="J169" s="6">
        <f t="shared" si="16"/>
        <v>833141.7</v>
      </c>
      <c r="K169" s="6">
        <f t="shared" si="17"/>
        <v>833141.7</v>
      </c>
      <c r="L169" s="122">
        <f t="shared" si="14"/>
        <v>0</v>
      </c>
      <c r="M169" s="127"/>
      <c r="N169" s="7" t="s">
        <v>62</v>
      </c>
      <c r="O169" s="148" t="s">
        <v>24</v>
      </c>
      <c r="P169" s="149"/>
      <c r="Q169" s="184"/>
      <c r="R169" s="161"/>
      <c r="S169" s="268"/>
      <c r="T169" s="268"/>
      <c r="U169" s="64"/>
    </row>
    <row r="170" spans="1:21" s="27" customFormat="1" ht="33">
      <c r="A170" s="3" t="s">
        <v>136</v>
      </c>
      <c r="B170" s="4" t="s">
        <v>300</v>
      </c>
      <c r="C170" s="5" t="s">
        <v>78</v>
      </c>
      <c r="D170" s="6">
        <v>1</v>
      </c>
      <c r="E170" s="6">
        <f>'橋梁工程 (3)'!J181</f>
        <v>1</v>
      </c>
      <c r="F170" s="6">
        <f t="shared" si="15"/>
        <v>0</v>
      </c>
      <c r="G170" s="6">
        <v>58649</v>
      </c>
      <c r="H170" s="6"/>
      <c r="I170" s="6"/>
      <c r="J170" s="6">
        <f t="shared" si="16"/>
        <v>58649</v>
      </c>
      <c r="K170" s="6">
        <f t="shared" si="17"/>
        <v>58649</v>
      </c>
      <c r="L170" s="122">
        <f t="shared" si="14"/>
        <v>0</v>
      </c>
      <c r="M170" s="127"/>
      <c r="N170" s="7" t="s">
        <v>62</v>
      </c>
      <c r="O170" s="148" t="s">
        <v>24</v>
      </c>
      <c r="P170" s="149"/>
      <c r="Q170" s="184"/>
      <c r="R170" s="161"/>
      <c r="S170" s="268"/>
      <c r="T170" s="268"/>
      <c r="U170" s="64"/>
    </row>
    <row r="171" spans="1:21" s="27" customFormat="1" ht="33">
      <c r="A171" s="3" t="s">
        <v>138</v>
      </c>
      <c r="B171" s="4" t="s">
        <v>301</v>
      </c>
      <c r="C171" s="5" t="s">
        <v>78</v>
      </c>
      <c r="D171" s="6">
        <v>1</v>
      </c>
      <c r="E171" s="6">
        <f>'橋梁工程 (3)'!J183</f>
        <v>1</v>
      </c>
      <c r="F171" s="6">
        <f t="shared" si="15"/>
        <v>0</v>
      </c>
      <c r="G171" s="6">
        <v>107614.5</v>
      </c>
      <c r="H171" s="6"/>
      <c r="I171" s="6"/>
      <c r="J171" s="6">
        <f t="shared" si="16"/>
        <v>107614.5</v>
      </c>
      <c r="K171" s="6">
        <f t="shared" si="17"/>
        <v>107614.5</v>
      </c>
      <c r="L171" s="122">
        <f t="shared" si="14"/>
        <v>0</v>
      </c>
      <c r="M171" s="127"/>
      <c r="N171" s="7" t="s">
        <v>62</v>
      </c>
      <c r="O171" s="148" t="s">
        <v>24</v>
      </c>
      <c r="P171" s="149"/>
      <c r="Q171" s="184"/>
      <c r="R171" s="161"/>
      <c r="S171" s="268"/>
      <c r="T171" s="268"/>
      <c r="U171" s="64"/>
    </row>
    <row r="172" spans="1:21" s="27" customFormat="1" ht="33">
      <c r="A172" s="3" t="s">
        <v>140</v>
      </c>
      <c r="B172" s="4" t="s">
        <v>302</v>
      </c>
      <c r="C172" s="5" t="s">
        <v>36</v>
      </c>
      <c r="D172" s="6">
        <v>13.2</v>
      </c>
      <c r="E172" s="6">
        <f>'橋梁工程 (3)'!J185</f>
        <v>13.4</v>
      </c>
      <c r="F172" s="6">
        <f t="shared" si="15"/>
        <v>0.20000000000000107</v>
      </c>
      <c r="G172" s="6">
        <v>2809.33</v>
      </c>
      <c r="H172" s="6"/>
      <c r="I172" s="6"/>
      <c r="J172" s="6">
        <f t="shared" si="16"/>
        <v>37083.155999999995</v>
      </c>
      <c r="K172" s="6">
        <f t="shared" si="17"/>
        <v>37645.021999999997</v>
      </c>
      <c r="L172" s="122">
        <f t="shared" si="14"/>
        <v>561.8660000000018</v>
      </c>
      <c r="M172" s="127"/>
      <c r="N172" s="7" t="s">
        <v>62</v>
      </c>
      <c r="O172" s="148" t="s">
        <v>24</v>
      </c>
      <c r="P172" s="149"/>
      <c r="Q172" s="184"/>
      <c r="R172" s="161"/>
      <c r="S172" s="268"/>
      <c r="T172" s="268"/>
      <c r="U172" s="64"/>
    </row>
    <row r="173" spans="1:21" s="27" customFormat="1" ht="33">
      <c r="A173" s="3" t="s">
        <v>142</v>
      </c>
      <c r="B173" s="4" t="s">
        <v>303</v>
      </c>
      <c r="C173" s="5" t="s">
        <v>36</v>
      </c>
      <c r="D173" s="6">
        <v>3</v>
      </c>
      <c r="E173" s="6">
        <f>'橋梁工程 (3)'!J187</f>
        <v>3</v>
      </c>
      <c r="F173" s="6">
        <f t="shared" si="15"/>
        <v>0</v>
      </c>
      <c r="G173" s="6">
        <v>2433.89</v>
      </c>
      <c r="H173" s="6"/>
      <c r="I173" s="6"/>
      <c r="J173" s="6">
        <f t="shared" si="16"/>
        <v>7301.67</v>
      </c>
      <c r="K173" s="6">
        <f t="shared" si="17"/>
        <v>7301.67</v>
      </c>
      <c r="L173" s="122">
        <f t="shared" si="14"/>
        <v>0</v>
      </c>
      <c r="M173" s="127"/>
      <c r="N173" s="7" t="s">
        <v>1</v>
      </c>
      <c r="O173" s="148" t="s">
        <v>24</v>
      </c>
      <c r="P173" s="149"/>
      <c r="Q173" s="184"/>
      <c r="R173" s="161"/>
      <c r="S173" s="268"/>
      <c r="T173" s="268"/>
      <c r="U173" s="64"/>
    </row>
    <row r="174" spans="1:21" s="27" customFormat="1" ht="33">
      <c r="A174" s="3" t="s">
        <v>144</v>
      </c>
      <c r="B174" s="4" t="s">
        <v>304</v>
      </c>
      <c r="C174" s="5" t="s">
        <v>36</v>
      </c>
      <c r="D174" s="6">
        <v>6</v>
      </c>
      <c r="E174" s="6">
        <f>'橋梁工程 (3)'!J189</f>
        <v>6</v>
      </c>
      <c r="F174" s="6">
        <f t="shared" si="15"/>
        <v>0</v>
      </c>
      <c r="G174" s="6">
        <v>2888.64</v>
      </c>
      <c r="H174" s="6"/>
      <c r="I174" s="6"/>
      <c r="J174" s="6">
        <f t="shared" si="16"/>
        <v>17331.84</v>
      </c>
      <c r="K174" s="6">
        <f t="shared" si="17"/>
        <v>17331.84</v>
      </c>
      <c r="L174" s="122">
        <f t="shared" si="14"/>
        <v>0</v>
      </c>
      <c r="M174" s="127"/>
      <c r="N174" s="7" t="s">
        <v>1</v>
      </c>
      <c r="O174" s="148" t="s">
        <v>24</v>
      </c>
      <c r="P174" s="149"/>
      <c r="Q174" s="184"/>
      <c r="R174" s="161"/>
      <c r="S174" s="268"/>
      <c r="T174" s="268"/>
      <c r="U174" s="64"/>
    </row>
    <row r="175" spans="1:21" s="27" customFormat="1" ht="33">
      <c r="A175" s="3" t="s">
        <v>146</v>
      </c>
      <c r="B175" s="4" t="s">
        <v>305</v>
      </c>
      <c r="C175" s="5" t="s">
        <v>23</v>
      </c>
      <c r="D175" s="6">
        <v>1</v>
      </c>
      <c r="E175" s="6">
        <f>'橋梁工程 (3)'!J191</f>
        <v>1</v>
      </c>
      <c r="F175" s="6">
        <f t="shared" si="15"/>
        <v>0</v>
      </c>
      <c r="G175" s="6">
        <v>430876.81</v>
      </c>
      <c r="H175" s="6"/>
      <c r="I175" s="6"/>
      <c r="J175" s="6">
        <f t="shared" si="16"/>
        <v>430876.81</v>
      </c>
      <c r="K175" s="6">
        <f t="shared" si="17"/>
        <v>430876.81</v>
      </c>
      <c r="L175" s="122">
        <f t="shared" ref="L175:L188" si="18">K175-J175</f>
        <v>0</v>
      </c>
      <c r="M175" s="127"/>
      <c r="N175" s="7" t="s">
        <v>62</v>
      </c>
      <c r="O175" s="148" t="s">
        <v>24</v>
      </c>
      <c r="P175" s="149"/>
      <c r="Q175" s="184"/>
      <c r="R175" s="161"/>
      <c r="S175" s="268"/>
      <c r="T175" s="268"/>
      <c r="U175" s="64"/>
    </row>
    <row r="176" spans="1:21" s="27" customFormat="1" ht="33">
      <c r="A176" s="3" t="s">
        <v>148</v>
      </c>
      <c r="B176" s="4" t="s">
        <v>306</v>
      </c>
      <c r="C176" s="5" t="s">
        <v>78</v>
      </c>
      <c r="D176" s="6">
        <v>1</v>
      </c>
      <c r="E176" s="6">
        <f>'橋梁工程 (3)'!J193</f>
        <v>1</v>
      </c>
      <c r="F176" s="6">
        <f t="shared" si="15"/>
        <v>0</v>
      </c>
      <c r="G176" s="6">
        <v>29563.21</v>
      </c>
      <c r="H176" s="6"/>
      <c r="I176" s="6"/>
      <c r="J176" s="6">
        <f t="shared" si="16"/>
        <v>29563.21</v>
      </c>
      <c r="K176" s="6">
        <f t="shared" si="17"/>
        <v>29563.21</v>
      </c>
      <c r="L176" s="122">
        <f t="shared" si="18"/>
        <v>0</v>
      </c>
      <c r="M176" s="127"/>
      <c r="N176" s="7" t="s">
        <v>1</v>
      </c>
      <c r="O176" s="148" t="s">
        <v>24</v>
      </c>
      <c r="P176" s="149"/>
      <c r="Q176" s="184"/>
      <c r="R176" s="161"/>
      <c r="S176" s="268"/>
      <c r="T176" s="268"/>
      <c r="U176" s="64"/>
    </row>
    <row r="177" spans="1:22" s="27" customFormat="1" ht="33">
      <c r="A177" s="3" t="s">
        <v>150</v>
      </c>
      <c r="B177" s="4" t="s">
        <v>307</v>
      </c>
      <c r="C177" s="5" t="s">
        <v>78</v>
      </c>
      <c r="D177" s="6">
        <v>1</v>
      </c>
      <c r="E177" s="6">
        <f>'橋梁工程 (3)'!J195</f>
        <v>1</v>
      </c>
      <c r="F177" s="6">
        <f t="shared" si="15"/>
        <v>0</v>
      </c>
      <c r="G177" s="6">
        <v>1061152.75</v>
      </c>
      <c r="H177" s="6"/>
      <c r="I177" s="6"/>
      <c r="J177" s="6">
        <f t="shared" si="16"/>
        <v>1061152.75</v>
      </c>
      <c r="K177" s="6">
        <f t="shared" si="17"/>
        <v>1061152.75</v>
      </c>
      <c r="L177" s="122">
        <f t="shared" si="18"/>
        <v>0</v>
      </c>
      <c r="M177" s="127"/>
      <c r="N177" s="7" t="s">
        <v>1</v>
      </c>
      <c r="O177" s="148" t="s">
        <v>24</v>
      </c>
      <c r="P177" s="149"/>
      <c r="Q177" s="184"/>
      <c r="R177" s="161"/>
      <c r="S177" s="268"/>
      <c r="T177" s="268"/>
      <c r="U177" s="64"/>
    </row>
    <row r="178" spans="1:22" s="27" customFormat="1" ht="33">
      <c r="A178" s="3" t="s">
        <v>152</v>
      </c>
      <c r="B178" s="4" t="s">
        <v>308</v>
      </c>
      <c r="C178" s="5" t="s">
        <v>78</v>
      </c>
      <c r="D178" s="6">
        <v>1</v>
      </c>
      <c r="E178" s="6">
        <f>'橋梁工程 (3)'!J195</f>
        <v>1</v>
      </c>
      <c r="F178" s="6">
        <f t="shared" si="15"/>
        <v>0</v>
      </c>
      <c r="G178" s="6">
        <v>2431046.88</v>
      </c>
      <c r="H178" s="6"/>
      <c r="I178" s="6"/>
      <c r="J178" s="6">
        <f t="shared" si="16"/>
        <v>2431046.88</v>
      </c>
      <c r="K178" s="6">
        <f t="shared" si="17"/>
        <v>2431046.88</v>
      </c>
      <c r="L178" s="122">
        <f t="shared" si="18"/>
        <v>0</v>
      </c>
      <c r="M178" s="127"/>
      <c r="N178" s="7" t="s">
        <v>1</v>
      </c>
      <c r="O178" s="148" t="s">
        <v>24</v>
      </c>
      <c r="P178" s="149"/>
      <c r="Q178" s="184"/>
      <c r="R178" s="161"/>
      <c r="S178" s="268"/>
      <c r="T178" s="268"/>
      <c r="U178" s="64"/>
    </row>
    <row r="179" spans="1:22" s="27" customFormat="1" ht="33">
      <c r="A179" s="3" t="s">
        <v>154</v>
      </c>
      <c r="B179" s="4" t="s">
        <v>309</v>
      </c>
      <c r="C179" s="5" t="s">
        <v>23</v>
      </c>
      <c r="D179" s="6">
        <v>1</v>
      </c>
      <c r="E179" s="6">
        <f>'橋梁工程 (3)'!J199</f>
        <v>1</v>
      </c>
      <c r="F179" s="6">
        <f t="shared" si="15"/>
        <v>0</v>
      </c>
      <c r="G179" s="6">
        <v>87950.62</v>
      </c>
      <c r="H179" s="6"/>
      <c r="I179" s="6"/>
      <c r="J179" s="6">
        <f t="shared" si="16"/>
        <v>87950.62</v>
      </c>
      <c r="K179" s="6">
        <f t="shared" si="17"/>
        <v>87950.62</v>
      </c>
      <c r="L179" s="122">
        <f t="shared" si="18"/>
        <v>0</v>
      </c>
      <c r="M179" s="127"/>
      <c r="N179" s="7" t="s">
        <v>1</v>
      </c>
      <c r="O179" s="148" t="s">
        <v>24</v>
      </c>
      <c r="P179" s="149"/>
      <c r="Q179" s="184"/>
      <c r="R179" s="161"/>
      <c r="S179" s="268"/>
      <c r="T179" s="268"/>
      <c r="U179" s="64"/>
    </row>
    <row r="180" spans="1:22" s="27" customFormat="1" ht="33">
      <c r="A180" s="3" t="s">
        <v>156</v>
      </c>
      <c r="B180" s="4" t="s">
        <v>310</v>
      </c>
      <c r="C180" s="5" t="s">
        <v>36</v>
      </c>
      <c r="D180" s="6">
        <v>24</v>
      </c>
      <c r="E180" s="6">
        <f>'橋梁工程 (3)'!J201</f>
        <v>24</v>
      </c>
      <c r="F180" s="6">
        <f t="shared" si="15"/>
        <v>0</v>
      </c>
      <c r="G180" s="6">
        <v>4257.93</v>
      </c>
      <c r="H180" s="6"/>
      <c r="I180" s="6"/>
      <c r="J180" s="6">
        <f t="shared" si="16"/>
        <v>102190.32</v>
      </c>
      <c r="K180" s="6">
        <f t="shared" si="17"/>
        <v>102190.32</v>
      </c>
      <c r="L180" s="122">
        <f t="shared" si="18"/>
        <v>0</v>
      </c>
      <c r="M180" s="127"/>
      <c r="N180" s="7" t="s">
        <v>311</v>
      </c>
      <c r="O180" s="148" t="s">
        <v>24</v>
      </c>
      <c r="P180" s="149"/>
      <c r="Q180" s="184"/>
      <c r="R180" s="161"/>
      <c r="S180" s="268"/>
      <c r="T180" s="268"/>
      <c r="U180" s="64"/>
    </row>
    <row r="181" spans="1:22" s="27" customFormat="1" ht="33">
      <c r="A181" s="3" t="s">
        <v>158</v>
      </c>
      <c r="B181" s="4" t="s">
        <v>312</v>
      </c>
      <c r="C181" s="5" t="s">
        <v>313</v>
      </c>
      <c r="D181" s="6">
        <v>1</v>
      </c>
      <c r="E181" s="6">
        <f>'橋梁工程 (3)'!J203</f>
        <v>1</v>
      </c>
      <c r="F181" s="6">
        <f t="shared" si="15"/>
        <v>0</v>
      </c>
      <c r="G181" s="6">
        <v>200835.11</v>
      </c>
      <c r="H181" s="6"/>
      <c r="I181" s="6"/>
      <c r="J181" s="6">
        <f t="shared" si="16"/>
        <v>200835.11</v>
      </c>
      <c r="K181" s="6">
        <f t="shared" si="17"/>
        <v>200835.11</v>
      </c>
      <c r="L181" s="122">
        <f t="shared" si="18"/>
        <v>0</v>
      </c>
      <c r="M181" s="127"/>
      <c r="N181" s="7" t="s">
        <v>1</v>
      </c>
      <c r="O181" s="148" t="s">
        <v>24</v>
      </c>
      <c r="P181" s="149"/>
      <c r="Q181" s="184"/>
      <c r="R181" s="161"/>
      <c r="S181" s="268"/>
      <c r="T181" s="268"/>
      <c r="U181" s="64"/>
    </row>
    <row r="182" spans="1:22" s="842" customFormat="1" ht="28.5">
      <c r="A182" s="835">
        <v>41</v>
      </c>
      <c r="B182" s="836" t="s">
        <v>800</v>
      </c>
      <c r="C182" s="837" t="s">
        <v>801</v>
      </c>
      <c r="D182" s="96">
        <v>154935.67999999999</v>
      </c>
      <c r="E182" s="96">
        <f>'橋梁工程 (3)'!J205</f>
        <v>154935.97999999998</v>
      </c>
      <c r="F182" s="96">
        <f t="shared" si="15"/>
        <v>0.29999999998835847</v>
      </c>
      <c r="G182" s="96">
        <v>16.21</v>
      </c>
      <c r="H182" s="96"/>
      <c r="I182" s="96"/>
      <c r="J182" s="96">
        <f t="shared" si="16"/>
        <v>2511507.3728</v>
      </c>
      <c r="K182" s="105">
        <f t="shared" si="17"/>
        <v>2511512.2357999999</v>
      </c>
      <c r="L182" s="121">
        <f t="shared" si="18"/>
        <v>4.8629999998956919</v>
      </c>
      <c r="M182" s="132"/>
      <c r="N182" s="838" t="s">
        <v>803</v>
      </c>
      <c r="O182" s="839"/>
      <c r="P182" s="176"/>
      <c r="Q182" s="840"/>
      <c r="R182" s="841"/>
      <c r="S182" s="268"/>
      <c r="T182" s="268"/>
    </row>
    <row r="183" spans="1:22" s="84" customFormat="1" ht="28.5">
      <c r="A183" s="58">
        <v>42</v>
      </c>
      <c r="B183" s="59" t="s">
        <v>763</v>
      </c>
      <c r="C183" s="60" t="s">
        <v>677</v>
      </c>
      <c r="D183" s="61">
        <v>18</v>
      </c>
      <c r="E183" s="61">
        <f>'橋梁工程 (3)'!J209</f>
        <v>18</v>
      </c>
      <c r="F183" s="6">
        <f t="shared" si="15"/>
        <v>0</v>
      </c>
      <c r="G183" s="61">
        <v>79588.210000000006</v>
      </c>
      <c r="H183" s="61"/>
      <c r="I183" s="30"/>
      <c r="J183" s="6">
        <f t="shared" si="16"/>
        <v>1432587.78</v>
      </c>
      <c r="K183" s="6">
        <f t="shared" si="17"/>
        <v>1432587.78</v>
      </c>
      <c r="L183" s="122">
        <f t="shared" si="18"/>
        <v>0</v>
      </c>
      <c r="M183" s="127"/>
      <c r="N183" s="62" t="s">
        <v>764</v>
      </c>
      <c r="O183" s="170"/>
      <c r="P183" s="168"/>
      <c r="Q183" s="172"/>
      <c r="R183" s="182"/>
      <c r="S183" s="271"/>
      <c r="T183" s="271"/>
      <c r="U183" s="65"/>
      <c r="V183" s="84" t="s">
        <v>821</v>
      </c>
    </row>
    <row r="184" spans="1:22" s="842" customFormat="1" ht="28.5">
      <c r="A184" s="835">
        <v>43</v>
      </c>
      <c r="B184" s="836" t="s">
        <v>762</v>
      </c>
      <c r="C184" s="837" t="s">
        <v>677</v>
      </c>
      <c r="D184" s="96">
        <v>3</v>
      </c>
      <c r="E184" s="96">
        <f>'橋梁工程 (3)'!J212</f>
        <v>3</v>
      </c>
      <c r="F184" s="105">
        <f t="shared" si="15"/>
        <v>0</v>
      </c>
      <c r="G184" s="96">
        <v>120491.2</v>
      </c>
      <c r="H184" s="96"/>
      <c r="I184" s="843"/>
      <c r="J184" s="105">
        <f t="shared" si="16"/>
        <v>361473.6</v>
      </c>
      <c r="K184" s="105">
        <f t="shared" si="17"/>
        <v>361473.6</v>
      </c>
      <c r="L184" s="121">
        <f t="shared" si="18"/>
        <v>0</v>
      </c>
      <c r="M184" s="132"/>
      <c r="N184" s="838" t="s">
        <v>765</v>
      </c>
      <c r="O184" s="839"/>
      <c r="P184" s="176"/>
      <c r="Q184" s="844" t="s">
        <v>896</v>
      </c>
      <c r="R184" s="845"/>
      <c r="S184" s="271"/>
      <c r="T184" s="268"/>
      <c r="U184" s="846"/>
      <c r="V184" s="842" t="s">
        <v>820</v>
      </c>
    </row>
    <row r="185" spans="1:22" s="84" customFormat="1">
      <c r="A185" s="87"/>
      <c r="B185" s="88" t="s">
        <v>839</v>
      </c>
      <c r="C185" s="89" t="s">
        <v>36</v>
      </c>
      <c r="D185" s="90">
        <v>0</v>
      </c>
      <c r="E185" s="90">
        <f>'橋梁工程 (3)'!J214</f>
        <v>160.32</v>
      </c>
      <c r="F185" s="91">
        <f t="shared" si="15"/>
        <v>160.32</v>
      </c>
      <c r="G185" s="90"/>
      <c r="H185" s="90"/>
      <c r="I185" s="92"/>
      <c r="J185" s="90"/>
      <c r="K185" s="91">
        <f t="shared" si="17"/>
        <v>0</v>
      </c>
      <c r="L185" s="124">
        <f t="shared" si="18"/>
        <v>0</v>
      </c>
      <c r="M185" s="131"/>
      <c r="N185" s="93"/>
      <c r="O185" s="175"/>
      <c r="P185" s="165"/>
      <c r="Q185" s="197" t="s">
        <v>864</v>
      </c>
      <c r="R185" s="190"/>
      <c r="S185" s="271"/>
      <c r="T185" s="271"/>
      <c r="U185" s="65"/>
    </row>
    <row r="186" spans="1:22" s="84" customFormat="1">
      <c r="A186" s="87"/>
      <c r="B186" s="88" t="s">
        <v>840</v>
      </c>
      <c r="C186" s="89" t="s">
        <v>36</v>
      </c>
      <c r="D186" s="90">
        <v>0</v>
      </c>
      <c r="E186" s="90">
        <f>'橋梁工程 (3)'!J216</f>
        <v>80.16</v>
      </c>
      <c r="F186" s="91">
        <f t="shared" si="15"/>
        <v>80.16</v>
      </c>
      <c r="G186" s="90"/>
      <c r="H186" s="90"/>
      <c r="I186" s="92"/>
      <c r="J186" s="90"/>
      <c r="K186" s="91">
        <f t="shared" si="17"/>
        <v>0</v>
      </c>
      <c r="L186" s="124">
        <f t="shared" si="18"/>
        <v>0</v>
      </c>
      <c r="M186" s="131"/>
      <c r="N186" s="93"/>
      <c r="O186" s="175"/>
      <c r="P186" s="165"/>
      <c r="Q186" s="197" t="s">
        <v>865</v>
      </c>
      <c r="R186" s="190"/>
      <c r="S186" s="271"/>
      <c r="T186" s="271"/>
      <c r="U186" s="65"/>
    </row>
    <row r="187" spans="1:22" s="84" customFormat="1">
      <c r="A187" s="87"/>
      <c r="B187" s="88" t="s">
        <v>841</v>
      </c>
      <c r="C187" s="94" t="s">
        <v>677</v>
      </c>
      <c r="D187" s="90">
        <v>0</v>
      </c>
      <c r="E187" s="90">
        <f>'橋梁工程 (3)'!J218</f>
        <v>320.64</v>
      </c>
      <c r="F187" s="91">
        <f t="shared" si="15"/>
        <v>320.64</v>
      </c>
      <c r="G187" s="90"/>
      <c r="H187" s="90"/>
      <c r="I187" s="92"/>
      <c r="J187" s="90"/>
      <c r="K187" s="91">
        <f t="shared" si="17"/>
        <v>0</v>
      </c>
      <c r="L187" s="124">
        <f t="shared" si="18"/>
        <v>0</v>
      </c>
      <c r="M187" s="131"/>
      <c r="N187" s="93"/>
      <c r="O187" s="175"/>
      <c r="P187" s="165"/>
      <c r="Q187" s="197" t="s">
        <v>866</v>
      </c>
      <c r="R187" s="190"/>
      <c r="S187" s="271"/>
      <c r="T187" s="271"/>
      <c r="U187" s="65"/>
    </row>
    <row r="188" spans="1:22" s="84" customFormat="1">
      <c r="A188" s="87"/>
      <c r="B188" s="88" t="s">
        <v>842</v>
      </c>
      <c r="C188" s="89" t="s">
        <v>36</v>
      </c>
      <c r="D188" s="90">
        <v>0</v>
      </c>
      <c r="E188" s="90">
        <f>'橋梁工程 (3)'!J220</f>
        <v>320.64</v>
      </c>
      <c r="F188" s="91">
        <f t="shared" si="15"/>
        <v>320.64</v>
      </c>
      <c r="G188" s="90"/>
      <c r="H188" s="90"/>
      <c r="I188" s="92"/>
      <c r="J188" s="90"/>
      <c r="K188" s="91">
        <f t="shared" si="17"/>
        <v>0</v>
      </c>
      <c r="L188" s="124">
        <f t="shared" si="18"/>
        <v>0</v>
      </c>
      <c r="M188" s="131"/>
      <c r="N188" s="93"/>
      <c r="O188" s="175"/>
      <c r="P188" s="165"/>
      <c r="Q188" s="197" t="s">
        <v>867</v>
      </c>
      <c r="R188" s="190"/>
      <c r="S188" s="271"/>
      <c r="T188" s="271"/>
      <c r="U188" s="65"/>
    </row>
    <row r="189" spans="1:22" s="27" customFormat="1" ht="33">
      <c r="A189" s="200" t="s">
        <v>314</v>
      </c>
      <c r="B189" s="201" t="s">
        <v>315</v>
      </c>
      <c r="C189" s="202" t="s">
        <v>23</v>
      </c>
      <c r="D189" s="203"/>
      <c r="E189" s="203"/>
      <c r="F189" s="203"/>
      <c r="G189" s="203">
        <f>J189</f>
        <v>24713209.179117501</v>
      </c>
      <c r="H189" s="203"/>
      <c r="I189" s="203"/>
      <c r="J189" s="203">
        <f>SUM(J190:J214)</f>
        <v>24713209.179117501</v>
      </c>
      <c r="K189" s="203">
        <f>SUM(K190:K214)</f>
        <v>24713209.179117501</v>
      </c>
      <c r="L189" s="203">
        <f>SUM(L190:L214)</f>
        <v>0</v>
      </c>
      <c r="M189" s="207">
        <f>SUM(M190:M214)</f>
        <v>0</v>
      </c>
      <c r="N189" s="208" t="s">
        <v>1</v>
      </c>
      <c r="O189" s="162" t="s">
        <v>24</v>
      </c>
      <c r="P189" s="176"/>
      <c r="Q189" s="195"/>
      <c r="R189" s="189"/>
      <c r="S189" s="268"/>
      <c r="T189" s="268"/>
      <c r="U189" s="64"/>
    </row>
    <row r="190" spans="1:22" s="27" customFormat="1" ht="33" hidden="1">
      <c r="A190" s="230" t="s">
        <v>29</v>
      </c>
      <c r="B190" s="231" t="s">
        <v>103</v>
      </c>
      <c r="C190" s="232" t="s">
        <v>31</v>
      </c>
      <c r="D190" s="233">
        <v>20</v>
      </c>
      <c r="E190" s="233">
        <v>20</v>
      </c>
      <c r="F190" s="233">
        <f t="shared" ref="F190:F213" si="19">E190-D190</f>
        <v>0</v>
      </c>
      <c r="G190" s="233">
        <v>3115.13</v>
      </c>
      <c r="H190" s="233"/>
      <c r="I190" s="233"/>
      <c r="J190" s="233">
        <f t="shared" ref="J190:J212" si="20">D190*G190</f>
        <v>62302.600000000006</v>
      </c>
      <c r="K190" s="233">
        <f t="shared" ref="K190:K213" si="21">E190*G190</f>
        <v>62302.600000000006</v>
      </c>
      <c r="L190" s="234">
        <f>K190-J190</f>
        <v>0</v>
      </c>
      <c r="M190" s="235"/>
      <c r="N190" s="236" t="s">
        <v>1</v>
      </c>
      <c r="O190" s="237" t="s">
        <v>24</v>
      </c>
      <c r="P190" s="238"/>
      <c r="Q190" s="239"/>
      <c r="R190" s="240"/>
      <c r="S190" s="268"/>
      <c r="T190" s="268"/>
      <c r="U190" s="64"/>
    </row>
    <row r="191" spans="1:22" s="27" customFormat="1" ht="33" hidden="1">
      <c r="A191" s="230" t="s">
        <v>32</v>
      </c>
      <c r="B191" s="231" t="s">
        <v>104</v>
      </c>
      <c r="C191" s="232" t="s">
        <v>31</v>
      </c>
      <c r="D191" s="233">
        <v>354</v>
      </c>
      <c r="E191" s="233">
        <v>354</v>
      </c>
      <c r="F191" s="252">
        <f t="shared" si="19"/>
        <v>0</v>
      </c>
      <c r="G191" s="252">
        <v>3321.13</v>
      </c>
      <c r="H191" s="252"/>
      <c r="I191" s="252"/>
      <c r="J191" s="252">
        <f t="shared" si="20"/>
        <v>1175680.02</v>
      </c>
      <c r="K191" s="252">
        <f t="shared" si="21"/>
        <v>1175680.02</v>
      </c>
      <c r="L191" s="234"/>
      <c r="M191" s="253">
        <f>K191-J191</f>
        <v>0</v>
      </c>
      <c r="N191" s="236" t="s">
        <v>1</v>
      </c>
      <c r="O191" s="237" t="s">
        <v>24</v>
      </c>
      <c r="P191" s="254"/>
      <c r="Q191" s="239"/>
      <c r="R191" s="240"/>
      <c r="S191" s="268"/>
      <c r="T191" s="268"/>
      <c r="U191" s="64"/>
    </row>
    <row r="192" spans="1:22" s="27" customFormat="1" ht="33" hidden="1">
      <c r="A192" s="3" t="s">
        <v>34</v>
      </c>
      <c r="B192" s="4" t="s">
        <v>275</v>
      </c>
      <c r="C192" s="5" t="s">
        <v>31</v>
      </c>
      <c r="D192" s="6">
        <v>0</v>
      </c>
      <c r="E192" s="6">
        <v>0</v>
      </c>
      <c r="F192" s="6">
        <f t="shared" si="19"/>
        <v>0</v>
      </c>
      <c r="G192" s="6">
        <v>3643.73</v>
      </c>
      <c r="H192" s="6"/>
      <c r="I192" s="6"/>
      <c r="J192" s="6">
        <f t="shared" si="20"/>
        <v>0</v>
      </c>
      <c r="K192" s="6">
        <f t="shared" si="21"/>
        <v>0</v>
      </c>
      <c r="L192" s="122">
        <f t="shared" ref="L192:L201" si="22">K192-J192</f>
        <v>0</v>
      </c>
      <c r="M192" s="127">
        <f>K192-J192</f>
        <v>0</v>
      </c>
      <c r="N192" s="7" t="s">
        <v>1</v>
      </c>
      <c r="O192" s="148" t="s">
        <v>24</v>
      </c>
      <c r="P192" s="153"/>
      <c r="Q192" s="177"/>
      <c r="R192" s="182"/>
      <c r="S192" s="271"/>
      <c r="T192" s="271"/>
      <c r="U192" s="65"/>
    </row>
    <row r="193" spans="1:21" ht="33">
      <c r="A193" s="71" t="s">
        <v>38</v>
      </c>
      <c r="B193" s="72" t="s">
        <v>316</v>
      </c>
      <c r="C193" s="73" t="s">
        <v>31</v>
      </c>
      <c r="D193" s="74">
        <f>D190+D191+D211</f>
        <v>1900.8177499999999</v>
      </c>
      <c r="E193" s="74">
        <f>E190+E191+E211</f>
        <v>1900.8177499999999</v>
      </c>
      <c r="F193" s="74">
        <f t="shared" si="19"/>
        <v>0</v>
      </c>
      <c r="G193" s="74">
        <v>200</v>
      </c>
      <c r="H193" s="74"/>
      <c r="I193" s="74"/>
      <c r="J193" s="74">
        <f t="shared" si="20"/>
        <v>380163.55</v>
      </c>
      <c r="K193" s="74">
        <f t="shared" si="21"/>
        <v>380163.55</v>
      </c>
      <c r="L193" s="123">
        <f t="shared" si="22"/>
        <v>0</v>
      </c>
      <c r="M193" s="128"/>
      <c r="N193" s="76" t="s">
        <v>1</v>
      </c>
      <c r="O193" s="162" t="s">
        <v>24</v>
      </c>
      <c r="P193" s="163"/>
      <c r="Q193" s="179" t="s">
        <v>889</v>
      </c>
      <c r="R193" s="167"/>
      <c r="S193" s="268"/>
      <c r="T193" s="268"/>
    </row>
    <row r="194" spans="1:21" ht="67.5" customHeight="1">
      <c r="A194" s="71" t="s">
        <v>41</v>
      </c>
      <c r="B194" s="72" t="s">
        <v>279</v>
      </c>
      <c r="C194" s="73" t="s">
        <v>52</v>
      </c>
      <c r="D194" s="74">
        <v>1437.48</v>
      </c>
      <c r="E194" s="74">
        <v>1437.48</v>
      </c>
      <c r="F194" s="74">
        <f t="shared" si="19"/>
        <v>0</v>
      </c>
      <c r="G194" s="74">
        <v>982.98</v>
      </c>
      <c r="H194" s="74"/>
      <c r="I194" s="74"/>
      <c r="J194" s="74">
        <f t="shared" si="20"/>
        <v>1413014.0904000001</v>
      </c>
      <c r="K194" s="74">
        <f t="shared" si="21"/>
        <v>1413014.0904000001</v>
      </c>
      <c r="L194" s="123">
        <f t="shared" si="22"/>
        <v>0</v>
      </c>
      <c r="M194" s="128"/>
      <c r="N194" s="214" t="s">
        <v>280</v>
      </c>
      <c r="O194" s="162" t="s">
        <v>24</v>
      </c>
      <c r="P194" s="163"/>
      <c r="Q194" s="179" t="s">
        <v>836</v>
      </c>
      <c r="R194" s="279"/>
      <c r="S194" s="274"/>
      <c r="T194" s="268"/>
    </row>
    <row r="195" spans="1:21" ht="67.5" customHeight="1">
      <c r="A195" s="71" t="s">
        <v>43</v>
      </c>
      <c r="B195" s="72" t="s">
        <v>281</v>
      </c>
      <c r="C195" s="73" t="s">
        <v>52</v>
      </c>
      <c r="D195" s="74">
        <v>685.45</v>
      </c>
      <c r="E195" s="74">
        <v>685.45</v>
      </c>
      <c r="F195" s="74">
        <f t="shared" si="19"/>
        <v>0</v>
      </c>
      <c r="G195" s="74">
        <v>804.79</v>
      </c>
      <c r="H195" s="74"/>
      <c r="I195" s="74"/>
      <c r="J195" s="74">
        <f t="shared" si="20"/>
        <v>551643.30550000002</v>
      </c>
      <c r="K195" s="74">
        <f t="shared" si="21"/>
        <v>551643.30550000002</v>
      </c>
      <c r="L195" s="123">
        <f t="shared" si="22"/>
        <v>0</v>
      </c>
      <c r="M195" s="128"/>
      <c r="N195" s="209" t="s">
        <v>282</v>
      </c>
      <c r="O195" s="148" t="s">
        <v>24</v>
      </c>
      <c r="P195" s="155"/>
      <c r="Q195" s="179" t="s">
        <v>836</v>
      </c>
      <c r="R195" s="279"/>
      <c r="S195" s="274"/>
      <c r="T195" s="69"/>
      <c r="U195" s="69"/>
    </row>
    <row r="196" spans="1:21" ht="67.5" customHeight="1">
      <c r="A196" s="71" t="s">
        <v>45</v>
      </c>
      <c r="B196" s="72" t="s">
        <v>100</v>
      </c>
      <c r="C196" s="73" t="s">
        <v>101</v>
      </c>
      <c r="D196" s="74">
        <v>18482.55</v>
      </c>
      <c r="E196" s="74">
        <v>18482.55</v>
      </c>
      <c r="F196" s="74">
        <f t="shared" si="19"/>
        <v>0</v>
      </c>
      <c r="G196" s="74">
        <v>36.4</v>
      </c>
      <c r="H196" s="74"/>
      <c r="I196" s="74"/>
      <c r="J196" s="74">
        <f t="shared" si="20"/>
        <v>672764.82</v>
      </c>
      <c r="K196" s="74">
        <f t="shared" si="21"/>
        <v>672764.82</v>
      </c>
      <c r="L196" s="123">
        <f t="shared" si="22"/>
        <v>0</v>
      </c>
      <c r="M196" s="128"/>
      <c r="N196" s="209" t="s">
        <v>102</v>
      </c>
      <c r="O196" s="148" t="s">
        <v>24</v>
      </c>
      <c r="P196" s="155"/>
      <c r="Q196" s="179" t="s">
        <v>836</v>
      </c>
      <c r="R196" s="279"/>
      <c r="S196" s="274"/>
      <c r="T196" s="268"/>
    </row>
    <row r="197" spans="1:21" ht="67.5" customHeight="1">
      <c r="A197" s="71" t="s">
        <v>48</v>
      </c>
      <c r="B197" s="72" t="s">
        <v>276</v>
      </c>
      <c r="C197" s="73" t="s">
        <v>101</v>
      </c>
      <c r="D197" s="74">
        <v>36650.5</v>
      </c>
      <c r="E197" s="74">
        <v>36650.5</v>
      </c>
      <c r="F197" s="74">
        <f t="shared" si="19"/>
        <v>0</v>
      </c>
      <c r="G197" s="74">
        <v>38.71</v>
      </c>
      <c r="H197" s="74"/>
      <c r="I197" s="74"/>
      <c r="J197" s="74">
        <f t="shared" si="20"/>
        <v>1418740.855</v>
      </c>
      <c r="K197" s="74">
        <f t="shared" si="21"/>
        <v>1418740.855</v>
      </c>
      <c r="L197" s="123">
        <f t="shared" si="22"/>
        <v>0</v>
      </c>
      <c r="M197" s="128"/>
      <c r="N197" s="209" t="s">
        <v>102</v>
      </c>
      <c r="O197" s="162" t="s">
        <v>24</v>
      </c>
      <c r="P197" s="155"/>
      <c r="Q197" s="179" t="s">
        <v>836</v>
      </c>
      <c r="R197" s="279"/>
      <c r="S197" s="274"/>
      <c r="T197" s="268"/>
    </row>
    <row r="198" spans="1:21" ht="33">
      <c r="A198" s="71" t="s">
        <v>50</v>
      </c>
      <c r="B198" s="72" t="s">
        <v>317</v>
      </c>
      <c r="C198" s="73" t="s">
        <v>52</v>
      </c>
      <c r="D198" s="86">
        <v>762.55</v>
      </c>
      <c r="E198" s="86">
        <v>762.55</v>
      </c>
      <c r="F198" s="74">
        <f t="shared" si="19"/>
        <v>0</v>
      </c>
      <c r="G198" s="74">
        <v>2510.79</v>
      </c>
      <c r="H198" s="74"/>
      <c r="I198" s="74"/>
      <c r="J198" s="74">
        <f t="shared" si="20"/>
        <v>1914602.9145</v>
      </c>
      <c r="K198" s="74">
        <f t="shared" si="21"/>
        <v>1914602.9145</v>
      </c>
      <c r="L198" s="123">
        <f t="shared" si="22"/>
        <v>0</v>
      </c>
      <c r="M198" s="128"/>
      <c r="N198" s="209" t="s">
        <v>318</v>
      </c>
      <c r="O198" s="164" t="s">
        <v>24</v>
      </c>
      <c r="P198" s="280"/>
      <c r="Q198" s="281"/>
      <c r="R198" s="279"/>
      <c r="S198" s="274"/>
      <c r="T198" s="268"/>
      <c r="U198" s="69"/>
    </row>
    <row r="199" spans="1:21" ht="33">
      <c r="A199" s="71" t="s">
        <v>54</v>
      </c>
      <c r="B199" s="72" t="s">
        <v>319</v>
      </c>
      <c r="C199" s="73" t="s">
        <v>98</v>
      </c>
      <c r="D199" s="74">
        <v>318.56</v>
      </c>
      <c r="E199" s="74">
        <v>318.56</v>
      </c>
      <c r="F199" s="74">
        <f t="shared" si="19"/>
        <v>0</v>
      </c>
      <c r="G199" s="74">
        <v>3298.06</v>
      </c>
      <c r="H199" s="74"/>
      <c r="I199" s="74"/>
      <c r="J199" s="74">
        <f t="shared" si="20"/>
        <v>1050629.9935999999</v>
      </c>
      <c r="K199" s="74">
        <f t="shared" si="21"/>
        <v>1050629.9935999999</v>
      </c>
      <c r="L199" s="123">
        <f t="shared" si="22"/>
        <v>0</v>
      </c>
      <c r="M199" s="128"/>
      <c r="N199" s="76" t="s">
        <v>62</v>
      </c>
      <c r="O199" s="237" t="s">
        <v>24</v>
      </c>
      <c r="P199" s="282"/>
      <c r="Q199" s="281"/>
      <c r="R199" s="279"/>
      <c r="S199" s="268"/>
      <c r="T199" s="268"/>
    </row>
    <row r="200" spans="1:21" ht="36" customHeight="1">
      <c r="A200" s="71" t="s">
        <v>56</v>
      </c>
      <c r="B200" s="72" t="s">
        <v>900</v>
      </c>
      <c r="C200" s="73" t="s">
        <v>52</v>
      </c>
      <c r="D200" s="74">
        <v>418.05</v>
      </c>
      <c r="E200" s="74">
        <v>418.05</v>
      </c>
      <c r="F200" s="74">
        <f t="shared" si="19"/>
        <v>0</v>
      </c>
      <c r="G200" s="74">
        <v>2952.19</v>
      </c>
      <c r="H200" s="74"/>
      <c r="I200" s="74"/>
      <c r="J200" s="74">
        <f t="shared" si="20"/>
        <v>1234163.0294999999</v>
      </c>
      <c r="K200" s="74">
        <f t="shared" si="21"/>
        <v>1234163.0294999999</v>
      </c>
      <c r="L200" s="123">
        <f t="shared" si="22"/>
        <v>0</v>
      </c>
      <c r="M200" s="128"/>
      <c r="N200" s="76" t="s">
        <v>62</v>
      </c>
      <c r="O200" s="164" t="s">
        <v>24</v>
      </c>
      <c r="P200" s="280"/>
      <c r="Q200" s="281"/>
      <c r="R200" s="279"/>
      <c r="S200" s="274"/>
      <c r="T200" s="268"/>
    </row>
    <row r="201" spans="1:21" ht="33" hidden="1">
      <c r="A201" s="71" t="s">
        <v>58</v>
      </c>
      <c r="B201" s="72" t="s">
        <v>321</v>
      </c>
      <c r="C201" s="73" t="s">
        <v>52</v>
      </c>
      <c r="D201" s="74">
        <v>405</v>
      </c>
      <c r="E201" s="74">
        <v>405</v>
      </c>
      <c r="F201" s="74">
        <f t="shared" si="19"/>
        <v>0</v>
      </c>
      <c r="G201" s="74">
        <v>1454.57</v>
      </c>
      <c r="H201" s="74"/>
      <c r="I201" s="74"/>
      <c r="J201" s="74">
        <f t="shared" si="20"/>
        <v>589100.85</v>
      </c>
      <c r="K201" s="74">
        <f t="shared" si="21"/>
        <v>589100.85</v>
      </c>
      <c r="L201" s="123">
        <f t="shared" si="22"/>
        <v>0</v>
      </c>
      <c r="M201" s="128"/>
      <c r="N201" s="76" t="s">
        <v>1</v>
      </c>
      <c r="O201" s="261" t="s">
        <v>24</v>
      </c>
      <c r="P201" s="280"/>
      <c r="Q201" s="281" t="s">
        <v>836</v>
      </c>
      <c r="R201" s="277"/>
      <c r="S201" s="274"/>
      <c r="T201" s="268"/>
    </row>
    <row r="202" spans="1:21" ht="33" hidden="1">
      <c r="A202" s="71" t="s">
        <v>60</v>
      </c>
      <c r="B202" s="72" t="s">
        <v>322</v>
      </c>
      <c r="C202" s="73" t="s">
        <v>313</v>
      </c>
      <c r="D202" s="74">
        <v>372</v>
      </c>
      <c r="E202" s="74">
        <v>372</v>
      </c>
      <c r="F202" s="74">
        <f t="shared" si="19"/>
        <v>0</v>
      </c>
      <c r="G202" s="74">
        <v>435</v>
      </c>
      <c r="H202" s="74"/>
      <c r="I202" s="74"/>
      <c r="J202" s="74">
        <f t="shared" si="20"/>
        <v>161820</v>
      </c>
      <c r="K202" s="74">
        <f t="shared" si="21"/>
        <v>161820</v>
      </c>
      <c r="L202" s="123"/>
      <c r="M202" s="128">
        <f>K202-J202</f>
        <v>0</v>
      </c>
      <c r="N202" s="76" t="s">
        <v>1</v>
      </c>
      <c r="O202" s="261" t="s">
        <v>24</v>
      </c>
      <c r="P202" s="282"/>
      <c r="Q202" s="281"/>
      <c r="R202" s="279"/>
      <c r="S202" s="274"/>
      <c r="T202" s="268"/>
    </row>
    <row r="203" spans="1:21" ht="33" hidden="1">
      <c r="A203" s="71" t="s">
        <v>63</v>
      </c>
      <c r="B203" s="72" t="s">
        <v>323</v>
      </c>
      <c r="C203" s="73" t="s">
        <v>52</v>
      </c>
      <c r="D203" s="74">
        <v>1984</v>
      </c>
      <c r="E203" s="74">
        <v>1984</v>
      </c>
      <c r="F203" s="74">
        <f t="shared" si="19"/>
        <v>0</v>
      </c>
      <c r="G203" s="74">
        <v>885.8</v>
      </c>
      <c r="H203" s="74"/>
      <c r="I203" s="74"/>
      <c r="J203" s="74">
        <f t="shared" si="20"/>
        <v>1757427.2</v>
      </c>
      <c r="K203" s="74">
        <f t="shared" si="21"/>
        <v>1757427.2</v>
      </c>
      <c r="L203" s="123">
        <f t="shared" ref="L203:L209" si="23">K203-J203</f>
        <v>0</v>
      </c>
      <c r="M203" s="128"/>
      <c r="N203" s="76" t="s">
        <v>62</v>
      </c>
      <c r="O203" s="261" t="s">
        <v>24</v>
      </c>
      <c r="P203" s="282"/>
      <c r="Q203" s="281"/>
      <c r="R203" s="279"/>
      <c r="S203" s="268"/>
      <c r="T203" s="268"/>
    </row>
    <row r="204" spans="1:21" ht="33" hidden="1">
      <c r="A204" s="71" t="s">
        <v>67</v>
      </c>
      <c r="B204" s="72" t="s">
        <v>137</v>
      </c>
      <c r="C204" s="73" t="s">
        <v>36</v>
      </c>
      <c r="D204" s="74">
        <v>45</v>
      </c>
      <c r="E204" s="74">
        <v>45</v>
      </c>
      <c r="F204" s="74">
        <f t="shared" si="19"/>
        <v>0</v>
      </c>
      <c r="G204" s="74">
        <v>138.84</v>
      </c>
      <c r="H204" s="74"/>
      <c r="I204" s="74"/>
      <c r="J204" s="74">
        <f t="shared" si="20"/>
        <v>6247.8</v>
      </c>
      <c r="K204" s="74">
        <f t="shared" si="21"/>
        <v>6247.8</v>
      </c>
      <c r="L204" s="123">
        <f t="shared" si="23"/>
        <v>0</v>
      </c>
      <c r="M204" s="128"/>
      <c r="N204" s="76" t="s">
        <v>1</v>
      </c>
      <c r="O204" s="261" t="s">
        <v>24</v>
      </c>
      <c r="P204" s="282"/>
      <c r="Q204" s="281"/>
      <c r="R204" s="279"/>
      <c r="S204" s="268"/>
      <c r="T204" s="268"/>
    </row>
    <row r="205" spans="1:21" ht="33" hidden="1">
      <c r="A205" s="71" t="s">
        <v>69</v>
      </c>
      <c r="B205" s="72" t="s">
        <v>324</v>
      </c>
      <c r="C205" s="73" t="s">
        <v>36</v>
      </c>
      <c r="D205" s="74">
        <v>62</v>
      </c>
      <c r="E205" s="74">
        <v>62</v>
      </c>
      <c r="F205" s="74">
        <f t="shared" si="19"/>
        <v>0</v>
      </c>
      <c r="G205" s="74">
        <v>326.3</v>
      </c>
      <c r="H205" s="74"/>
      <c r="I205" s="74"/>
      <c r="J205" s="74">
        <f t="shared" si="20"/>
        <v>20230.600000000002</v>
      </c>
      <c r="K205" s="74">
        <f t="shared" si="21"/>
        <v>20230.600000000002</v>
      </c>
      <c r="L205" s="123">
        <f t="shared" si="23"/>
        <v>0</v>
      </c>
      <c r="M205" s="128"/>
      <c r="N205" s="76" t="s">
        <v>1</v>
      </c>
      <c r="O205" s="261" t="s">
        <v>24</v>
      </c>
      <c r="P205" s="282"/>
      <c r="Q205" s="281"/>
      <c r="R205" s="279"/>
      <c r="S205" s="268"/>
      <c r="T205" s="268"/>
    </row>
    <row r="206" spans="1:21" ht="33" hidden="1">
      <c r="A206" s="71" t="s">
        <v>73</v>
      </c>
      <c r="B206" s="72" t="s">
        <v>287</v>
      </c>
      <c r="C206" s="73" t="s">
        <v>52</v>
      </c>
      <c r="D206" s="74">
        <v>275</v>
      </c>
      <c r="E206" s="74">
        <v>275</v>
      </c>
      <c r="F206" s="74">
        <f t="shared" si="19"/>
        <v>0</v>
      </c>
      <c r="G206" s="74">
        <v>692.16</v>
      </c>
      <c r="H206" s="74"/>
      <c r="I206" s="74"/>
      <c r="J206" s="74">
        <f t="shared" si="20"/>
        <v>190344</v>
      </c>
      <c r="K206" s="74">
        <f t="shared" si="21"/>
        <v>190344</v>
      </c>
      <c r="L206" s="123">
        <f t="shared" si="23"/>
        <v>0</v>
      </c>
      <c r="M206" s="128"/>
      <c r="N206" s="209" t="s">
        <v>288</v>
      </c>
      <c r="O206" s="261" t="s">
        <v>24</v>
      </c>
      <c r="P206" s="282"/>
      <c r="Q206" s="281" t="s">
        <v>838</v>
      </c>
      <c r="R206" s="279"/>
      <c r="S206" s="274"/>
      <c r="T206" s="268"/>
    </row>
    <row r="207" spans="1:21" ht="33">
      <c r="A207" s="71" t="s">
        <v>79</v>
      </c>
      <c r="B207" s="72" t="s">
        <v>884</v>
      </c>
      <c r="C207" s="73" t="s">
        <v>40</v>
      </c>
      <c r="D207" s="74">
        <v>2059.1999999999998</v>
      </c>
      <c r="E207" s="74">
        <v>2059.1999999999998</v>
      </c>
      <c r="F207" s="74">
        <f t="shared" si="19"/>
        <v>0</v>
      </c>
      <c r="G207" s="74">
        <v>49</v>
      </c>
      <c r="H207" s="74"/>
      <c r="I207" s="74"/>
      <c r="J207" s="74">
        <f t="shared" si="20"/>
        <v>100900.79999999999</v>
      </c>
      <c r="K207" s="74">
        <f t="shared" si="21"/>
        <v>100900.79999999999</v>
      </c>
      <c r="L207" s="123">
        <f t="shared" si="23"/>
        <v>0</v>
      </c>
      <c r="M207" s="128"/>
      <c r="N207" s="76" t="s">
        <v>1</v>
      </c>
      <c r="O207" s="162" t="s">
        <v>24</v>
      </c>
      <c r="P207" s="280"/>
      <c r="Q207" s="281"/>
      <c r="R207" s="279"/>
      <c r="S207" s="274"/>
      <c r="T207" s="268"/>
    </row>
    <row r="208" spans="1:21" ht="42" hidden="1">
      <c r="A208" s="71" t="s">
        <v>81</v>
      </c>
      <c r="B208" s="72" t="s">
        <v>327</v>
      </c>
      <c r="C208" s="73" t="s">
        <v>31</v>
      </c>
      <c r="D208" s="74">
        <v>1362.5</v>
      </c>
      <c r="E208" s="74">
        <v>1362.5</v>
      </c>
      <c r="F208" s="74">
        <f t="shared" si="19"/>
        <v>0</v>
      </c>
      <c r="G208" s="74">
        <v>926.62</v>
      </c>
      <c r="H208" s="74"/>
      <c r="I208" s="74"/>
      <c r="J208" s="74">
        <f t="shared" si="20"/>
        <v>1262519.75</v>
      </c>
      <c r="K208" s="74">
        <f t="shared" si="21"/>
        <v>1262519.75</v>
      </c>
      <c r="L208" s="123">
        <f t="shared" si="23"/>
        <v>0</v>
      </c>
      <c r="M208" s="128"/>
      <c r="N208" s="209" t="s">
        <v>328</v>
      </c>
      <c r="O208" s="148" t="s">
        <v>24</v>
      </c>
      <c r="P208" s="282"/>
      <c r="Q208" s="281"/>
      <c r="R208" s="279"/>
      <c r="S208" s="268"/>
      <c r="T208" s="268"/>
    </row>
    <row r="209" spans="1:22" s="47" customFormat="1" ht="45">
      <c r="A209" s="108">
        <v>22</v>
      </c>
      <c r="B209" s="109" t="s">
        <v>655</v>
      </c>
      <c r="C209" s="110" t="s">
        <v>52</v>
      </c>
      <c r="D209" s="86">
        <v>805.73</v>
      </c>
      <c r="E209" s="86">
        <v>805.73</v>
      </c>
      <c r="F209" s="86">
        <f t="shared" si="19"/>
        <v>0</v>
      </c>
      <c r="G209" s="86">
        <v>3120.78</v>
      </c>
      <c r="H209" s="86"/>
      <c r="I209" s="86"/>
      <c r="J209" s="86">
        <f t="shared" si="20"/>
        <v>2514506.0694000004</v>
      </c>
      <c r="K209" s="74">
        <f t="shared" si="21"/>
        <v>2514506.0694000004</v>
      </c>
      <c r="L209" s="123">
        <f t="shared" si="23"/>
        <v>0</v>
      </c>
      <c r="M209" s="133"/>
      <c r="N209" s="289" t="s">
        <v>692</v>
      </c>
      <c r="O209" s="175" t="s">
        <v>24</v>
      </c>
      <c r="P209" s="280"/>
      <c r="Q209" s="283"/>
      <c r="R209" s="279"/>
      <c r="S209" s="274"/>
      <c r="T209" s="268"/>
      <c r="V209" s="66" t="s">
        <v>675</v>
      </c>
    </row>
    <row r="210" spans="1:22" s="84" customFormat="1" ht="42.75" hidden="1">
      <c r="A210" s="58">
        <v>23</v>
      </c>
      <c r="B210" s="59" t="s">
        <v>694</v>
      </c>
      <c r="C210" s="60" t="s">
        <v>687</v>
      </c>
      <c r="D210" s="61">
        <v>410</v>
      </c>
      <c r="E210" s="61">
        <v>410</v>
      </c>
      <c r="F210" s="6">
        <f t="shared" si="19"/>
        <v>0</v>
      </c>
      <c r="G210" s="61">
        <v>5733.63</v>
      </c>
      <c r="H210" s="61"/>
      <c r="I210" s="61"/>
      <c r="J210" s="6">
        <f t="shared" si="20"/>
        <v>2350788.2999999998</v>
      </c>
      <c r="K210" s="6">
        <f t="shared" si="21"/>
        <v>2350788.2999999998</v>
      </c>
      <c r="L210" s="122">
        <f>K210-J210</f>
        <v>0</v>
      </c>
      <c r="M210" s="127"/>
      <c r="N210" s="62" t="s">
        <v>702</v>
      </c>
      <c r="O210" s="170"/>
      <c r="P210" s="168"/>
      <c r="Q210" s="171"/>
      <c r="R210" s="161"/>
      <c r="S210" s="268"/>
      <c r="T210" s="268"/>
      <c r="U210" s="64"/>
      <c r="V210" s="85" t="s">
        <v>728</v>
      </c>
    </row>
    <row r="211" spans="1:22" s="27" customFormat="1" ht="69" customHeight="1">
      <c r="A211" s="71">
        <v>24</v>
      </c>
      <c r="B211" s="72" t="s">
        <v>704</v>
      </c>
      <c r="C211" s="73" t="s">
        <v>31</v>
      </c>
      <c r="D211" s="74">
        <v>1526.8177499999999</v>
      </c>
      <c r="E211" s="74">
        <v>1526.8177499999999</v>
      </c>
      <c r="F211" s="74">
        <f t="shared" si="19"/>
        <v>0</v>
      </c>
      <c r="G211" s="74">
        <v>3832.97</v>
      </c>
      <c r="H211" s="74"/>
      <c r="I211" s="74"/>
      <c r="J211" s="74">
        <f t="shared" si="20"/>
        <v>5852246.6312174993</v>
      </c>
      <c r="K211" s="74">
        <f t="shared" si="21"/>
        <v>5852246.6312174993</v>
      </c>
      <c r="L211" s="123">
        <f>K211-J211</f>
        <v>0</v>
      </c>
      <c r="M211" s="128"/>
      <c r="N211" s="76" t="s">
        <v>705</v>
      </c>
      <c r="O211" s="162" t="s">
        <v>24</v>
      </c>
      <c r="P211" s="155"/>
      <c r="Q211" s="198" t="s">
        <v>836</v>
      </c>
      <c r="R211" s="279"/>
      <c r="S211" s="274"/>
      <c r="T211" s="69"/>
      <c r="V211" s="66" t="s">
        <v>794</v>
      </c>
    </row>
    <row r="212" spans="1:22" s="84" customFormat="1" ht="28.5" hidden="1">
      <c r="A212" s="77">
        <v>25</v>
      </c>
      <c r="B212" s="78" t="s">
        <v>698</v>
      </c>
      <c r="C212" s="79" t="s">
        <v>699</v>
      </c>
      <c r="D212" s="30">
        <v>48</v>
      </c>
      <c r="E212" s="30">
        <v>48</v>
      </c>
      <c r="F212" s="6">
        <f t="shared" si="19"/>
        <v>0</v>
      </c>
      <c r="G212" s="30">
        <v>695.25</v>
      </c>
      <c r="H212" s="30"/>
      <c r="I212" s="30"/>
      <c r="J212" s="6">
        <f t="shared" si="20"/>
        <v>33372</v>
      </c>
      <c r="K212" s="6">
        <f t="shared" si="21"/>
        <v>33372</v>
      </c>
      <c r="L212" s="122">
        <f>K212-J212</f>
        <v>0</v>
      </c>
      <c r="M212" s="127"/>
      <c r="N212" s="67" t="s">
        <v>700</v>
      </c>
      <c r="O212" s="170"/>
      <c r="P212" s="168"/>
      <c r="Q212" s="171"/>
      <c r="R212" s="191"/>
      <c r="S212" s="272"/>
      <c r="T212" s="272"/>
      <c r="U212" s="27"/>
    </row>
    <row r="213" spans="1:22" s="84" customFormat="1" ht="28.5" hidden="1">
      <c r="A213" s="111"/>
      <c r="B213" s="101" t="s">
        <v>868</v>
      </c>
      <c r="C213" s="112" t="s">
        <v>869</v>
      </c>
      <c r="D213" s="92">
        <v>912.96</v>
      </c>
      <c r="E213" s="92">
        <v>912.96</v>
      </c>
      <c r="F213" s="91">
        <f t="shared" si="19"/>
        <v>0</v>
      </c>
      <c r="G213" s="92"/>
      <c r="H213" s="92"/>
      <c r="I213" s="92"/>
      <c r="J213" s="91"/>
      <c r="K213" s="91">
        <f t="shared" si="21"/>
        <v>0</v>
      </c>
      <c r="L213" s="124"/>
      <c r="M213" s="131"/>
      <c r="N213" s="113"/>
      <c r="O213" s="175"/>
      <c r="P213" s="165"/>
      <c r="Q213" s="178"/>
      <c r="R213" s="192"/>
      <c r="S213" s="272"/>
      <c r="T213" s="272"/>
      <c r="U213" s="27"/>
    </row>
    <row r="214" spans="1:22" s="84" customFormat="1" ht="47.25" hidden="1">
      <c r="A214" s="111"/>
      <c r="B214" s="115" t="s">
        <v>870</v>
      </c>
      <c r="C214" s="112"/>
      <c r="D214" s="92">
        <v>608</v>
      </c>
      <c r="E214" s="92">
        <v>608</v>
      </c>
      <c r="F214" s="91"/>
      <c r="G214" s="92"/>
      <c r="H214" s="92"/>
      <c r="I214" s="92"/>
      <c r="J214" s="91"/>
      <c r="K214" s="91"/>
      <c r="L214" s="124"/>
      <c r="M214" s="131"/>
      <c r="N214" s="113"/>
      <c r="O214" s="175"/>
      <c r="P214" s="165"/>
      <c r="Q214" s="178"/>
      <c r="R214" s="192"/>
      <c r="S214" s="272"/>
      <c r="T214" s="272"/>
      <c r="U214" s="27"/>
    </row>
    <row r="215" spans="1:22" ht="33">
      <c r="A215" s="200" t="s">
        <v>329</v>
      </c>
      <c r="B215" s="201" t="s">
        <v>330</v>
      </c>
      <c r="C215" s="202" t="s">
        <v>23</v>
      </c>
      <c r="D215" s="203"/>
      <c r="E215" s="203"/>
      <c r="F215" s="203"/>
      <c r="G215" s="203">
        <f>J215</f>
        <v>33600903.752799995</v>
      </c>
      <c r="H215" s="203"/>
      <c r="I215" s="203"/>
      <c r="J215" s="203">
        <f>SUM(J216:J232)</f>
        <v>33600903.752799995</v>
      </c>
      <c r="K215" s="203">
        <f>SUM(K216:K232)</f>
        <v>33600903.752799995</v>
      </c>
      <c r="L215" s="205">
        <f>SUM(L216:L232)</f>
        <v>0</v>
      </c>
      <c r="M215" s="207">
        <f>SUM(M216:M232)</f>
        <v>0</v>
      </c>
      <c r="N215" s="208" t="s">
        <v>1</v>
      </c>
      <c r="O215" s="151" t="s">
        <v>24</v>
      </c>
      <c r="P215" s="152"/>
      <c r="Q215" s="184"/>
      <c r="R215" s="161"/>
      <c r="S215" s="268"/>
      <c r="T215" s="268"/>
    </row>
    <row r="216" spans="1:22" ht="33">
      <c r="A216" s="71" t="s">
        <v>29</v>
      </c>
      <c r="B216" s="72" t="s">
        <v>103</v>
      </c>
      <c r="C216" s="73" t="s">
        <v>31</v>
      </c>
      <c r="D216" s="74">
        <v>30</v>
      </c>
      <c r="E216" s="74">
        <v>30</v>
      </c>
      <c r="F216" s="74">
        <f t="shared" ref="F216:F233" si="24">E216-D216</f>
        <v>0</v>
      </c>
      <c r="G216" s="74">
        <v>3115.13</v>
      </c>
      <c r="H216" s="74"/>
      <c r="I216" s="74"/>
      <c r="J216" s="74">
        <f t="shared" ref="J216:J232" si="25">D216*G216</f>
        <v>93453.900000000009</v>
      </c>
      <c r="K216" s="74">
        <f t="shared" ref="K216:K232" si="26">E216*G216</f>
        <v>93453.900000000009</v>
      </c>
      <c r="L216" s="123"/>
      <c r="M216" s="128">
        <f>K216-J216</f>
        <v>0</v>
      </c>
      <c r="N216" s="76" t="s">
        <v>1</v>
      </c>
      <c r="O216" s="162" t="s">
        <v>24</v>
      </c>
      <c r="P216" s="280"/>
      <c r="Q216" s="281"/>
      <c r="R216" s="279"/>
      <c r="S216" s="268"/>
      <c r="T216" s="268"/>
    </row>
    <row r="217" spans="1:22" ht="33">
      <c r="A217" s="71" t="s">
        <v>32</v>
      </c>
      <c r="B217" s="72" t="s">
        <v>104</v>
      </c>
      <c r="C217" s="73" t="s">
        <v>31</v>
      </c>
      <c r="D217" s="74">
        <v>2593.6999999999998</v>
      </c>
      <c r="E217" s="74">
        <v>2593.6999999999998</v>
      </c>
      <c r="F217" s="74">
        <f t="shared" si="24"/>
        <v>0</v>
      </c>
      <c r="G217" s="74">
        <v>3321.13</v>
      </c>
      <c r="H217" s="74"/>
      <c r="I217" s="74"/>
      <c r="J217" s="74">
        <f t="shared" si="25"/>
        <v>8614014.8809999991</v>
      </c>
      <c r="K217" s="74">
        <f t="shared" si="26"/>
        <v>8614014.8809999991</v>
      </c>
      <c r="L217" s="123">
        <f t="shared" ref="L217:L232" si="27">K217-J217</f>
        <v>0</v>
      </c>
      <c r="M217" s="128"/>
      <c r="N217" s="76" t="s">
        <v>1</v>
      </c>
      <c r="O217" s="162" t="s">
        <v>24</v>
      </c>
      <c r="P217" s="284"/>
      <c r="Q217" s="281"/>
      <c r="R217" s="279"/>
      <c r="S217" s="274"/>
      <c r="T217" s="268"/>
    </row>
    <row r="218" spans="1:22" ht="33">
      <c r="A218" s="71" t="s">
        <v>34</v>
      </c>
      <c r="B218" s="72" t="s">
        <v>331</v>
      </c>
      <c r="C218" s="73" t="s">
        <v>31</v>
      </c>
      <c r="D218" s="74">
        <v>1256.1500000000001</v>
      </c>
      <c r="E218" s="74">
        <v>1256.1500000000001</v>
      </c>
      <c r="F218" s="74">
        <f t="shared" si="24"/>
        <v>0</v>
      </c>
      <c r="G218" s="74">
        <v>1749.25</v>
      </c>
      <c r="H218" s="74"/>
      <c r="I218" s="74"/>
      <c r="J218" s="74">
        <f t="shared" si="25"/>
        <v>2197320.3875000002</v>
      </c>
      <c r="K218" s="74">
        <f t="shared" si="26"/>
        <v>2197320.3875000002</v>
      </c>
      <c r="L218" s="123">
        <f t="shared" si="27"/>
        <v>0</v>
      </c>
      <c r="M218" s="128"/>
      <c r="N218" s="76" t="s">
        <v>1</v>
      </c>
      <c r="O218" s="162" t="s">
        <v>24</v>
      </c>
      <c r="P218" s="155"/>
      <c r="Q218" s="179"/>
      <c r="R218" s="279"/>
      <c r="S218" s="268"/>
      <c r="T218" s="268"/>
    </row>
    <row r="219" spans="1:22" ht="33" hidden="1">
      <c r="A219" s="3" t="s">
        <v>38</v>
      </c>
      <c r="B219" s="4" t="s">
        <v>316</v>
      </c>
      <c r="C219" s="5" t="s">
        <v>31</v>
      </c>
      <c r="D219" s="6">
        <v>3911</v>
      </c>
      <c r="E219" s="6">
        <v>3911</v>
      </c>
      <c r="F219" s="30">
        <f t="shared" si="24"/>
        <v>0</v>
      </c>
      <c r="G219" s="6">
        <v>200</v>
      </c>
      <c r="H219" s="6"/>
      <c r="I219" s="6"/>
      <c r="J219" s="6">
        <f t="shared" si="25"/>
        <v>782200</v>
      </c>
      <c r="K219" s="6">
        <f t="shared" si="26"/>
        <v>782200</v>
      </c>
      <c r="L219" s="122"/>
      <c r="M219" s="127">
        <f>K219-J219</f>
        <v>0</v>
      </c>
      <c r="N219" s="7" t="s">
        <v>1</v>
      </c>
      <c r="O219" s="148" t="s">
        <v>24</v>
      </c>
      <c r="P219" s="149"/>
      <c r="Q219" s="184" t="s">
        <v>890</v>
      </c>
      <c r="R219" s="161"/>
      <c r="S219" s="268"/>
      <c r="T219" s="268"/>
    </row>
    <row r="220" spans="1:22" ht="41.25">
      <c r="A220" s="71" t="s">
        <v>41</v>
      </c>
      <c r="B220" s="72" t="s">
        <v>279</v>
      </c>
      <c r="C220" s="73" t="s">
        <v>52</v>
      </c>
      <c r="D220" s="74">
        <v>5411.06</v>
      </c>
      <c r="E220" s="74">
        <v>5411.06</v>
      </c>
      <c r="F220" s="74">
        <f t="shared" si="24"/>
        <v>0</v>
      </c>
      <c r="G220" s="74">
        <v>982.98</v>
      </c>
      <c r="H220" s="74"/>
      <c r="I220" s="74"/>
      <c r="J220" s="74">
        <f t="shared" si="25"/>
        <v>5318963.7588000009</v>
      </c>
      <c r="K220" s="74">
        <f t="shared" si="26"/>
        <v>5318963.7588000009</v>
      </c>
      <c r="L220" s="123">
        <f t="shared" si="27"/>
        <v>0</v>
      </c>
      <c r="M220" s="128"/>
      <c r="N220" s="214" t="s">
        <v>280</v>
      </c>
      <c r="O220" s="162" t="s">
        <v>24</v>
      </c>
      <c r="P220" s="174"/>
      <c r="Q220" s="179"/>
      <c r="R220" s="279"/>
      <c r="S220" s="274"/>
      <c r="T220" s="268"/>
    </row>
    <row r="221" spans="1:22" ht="33">
      <c r="A221" s="71" t="s">
        <v>43</v>
      </c>
      <c r="B221" s="72" t="s">
        <v>281</v>
      </c>
      <c r="C221" s="73" t="s">
        <v>52</v>
      </c>
      <c r="D221" s="74">
        <v>1811.33</v>
      </c>
      <c r="E221" s="74">
        <v>1811.33</v>
      </c>
      <c r="F221" s="74">
        <f t="shared" si="24"/>
        <v>0</v>
      </c>
      <c r="G221" s="74">
        <v>804.79</v>
      </c>
      <c r="H221" s="74"/>
      <c r="I221" s="74"/>
      <c r="J221" s="74">
        <f t="shared" si="25"/>
        <v>1457740.2706999998</v>
      </c>
      <c r="K221" s="74">
        <f t="shared" si="26"/>
        <v>1457740.2706999998</v>
      </c>
      <c r="L221" s="123">
        <f t="shared" si="27"/>
        <v>0</v>
      </c>
      <c r="M221" s="128"/>
      <c r="N221" s="214" t="s">
        <v>282</v>
      </c>
      <c r="O221" s="162" t="s">
        <v>24</v>
      </c>
      <c r="P221" s="174"/>
      <c r="Q221" s="179"/>
      <c r="R221" s="279"/>
      <c r="S221" s="274"/>
      <c r="T221" s="268"/>
    </row>
    <row r="222" spans="1:22" ht="33">
      <c r="A222" s="71" t="s">
        <v>45</v>
      </c>
      <c r="B222" s="72" t="s">
        <v>105</v>
      </c>
      <c r="C222" s="73" t="s">
        <v>52</v>
      </c>
      <c r="D222" s="74">
        <v>1210.32</v>
      </c>
      <c r="E222" s="74">
        <v>1210.32</v>
      </c>
      <c r="F222" s="74">
        <f t="shared" si="24"/>
        <v>0</v>
      </c>
      <c r="G222" s="74">
        <v>533.64</v>
      </c>
      <c r="H222" s="74"/>
      <c r="I222" s="74"/>
      <c r="J222" s="74">
        <f t="shared" si="25"/>
        <v>645875.16479999991</v>
      </c>
      <c r="K222" s="74">
        <f t="shared" si="26"/>
        <v>645875.16479999991</v>
      </c>
      <c r="L222" s="123">
        <f t="shared" si="27"/>
        <v>0</v>
      </c>
      <c r="M222" s="128"/>
      <c r="N222" s="214" t="s">
        <v>106</v>
      </c>
      <c r="O222" s="162" t="s">
        <v>24</v>
      </c>
      <c r="P222" s="174"/>
      <c r="Q222" s="179"/>
      <c r="R222" s="279"/>
      <c r="S222" s="274"/>
      <c r="T222" s="268"/>
    </row>
    <row r="223" spans="1:22" ht="33">
      <c r="A223" s="71" t="s">
        <v>48</v>
      </c>
      <c r="B223" s="72" t="s">
        <v>100</v>
      </c>
      <c r="C223" s="73" t="s">
        <v>101</v>
      </c>
      <c r="D223" s="74">
        <v>153939</v>
      </c>
      <c r="E223" s="74">
        <v>153939</v>
      </c>
      <c r="F223" s="74">
        <f t="shared" si="24"/>
        <v>0</v>
      </c>
      <c r="G223" s="74">
        <v>36.4</v>
      </c>
      <c r="H223" s="74"/>
      <c r="I223" s="74"/>
      <c r="J223" s="74">
        <f t="shared" si="25"/>
        <v>5603379.5999999996</v>
      </c>
      <c r="K223" s="74">
        <f t="shared" si="26"/>
        <v>5603379.5999999996</v>
      </c>
      <c r="L223" s="123">
        <f t="shared" si="27"/>
        <v>0</v>
      </c>
      <c r="M223" s="128"/>
      <c r="N223" s="214" t="s">
        <v>102</v>
      </c>
      <c r="O223" s="162" t="s">
        <v>24</v>
      </c>
      <c r="P223" s="174"/>
      <c r="Q223" s="179"/>
      <c r="R223" s="279"/>
      <c r="S223" s="274"/>
      <c r="T223" s="268"/>
    </row>
    <row r="224" spans="1:22" ht="33">
      <c r="A224" s="71" t="s">
        <v>50</v>
      </c>
      <c r="B224" s="72" t="s">
        <v>276</v>
      </c>
      <c r="C224" s="73" t="s">
        <v>101</v>
      </c>
      <c r="D224" s="74">
        <v>185226</v>
      </c>
      <c r="E224" s="74">
        <v>185226</v>
      </c>
      <c r="F224" s="74">
        <f t="shared" si="24"/>
        <v>0</v>
      </c>
      <c r="G224" s="74">
        <v>38.71</v>
      </c>
      <c r="H224" s="74"/>
      <c r="I224" s="74"/>
      <c r="J224" s="74">
        <f t="shared" si="25"/>
        <v>7170098.46</v>
      </c>
      <c r="K224" s="74">
        <f t="shared" si="26"/>
        <v>7170098.46</v>
      </c>
      <c r="L224" s="123">
        <f t="shared" si="27"/>
        <v>0</v>
      </c>
      <c r="M224" s="128"/>
      <c r="N224" s="214" t="s">
        <v>102</v>
      </c>
      <c r="O224" s="162" t="s">
        <v>24</v>
      </c>
      <c r="P224" s="174"/>
      <c r="Q224" s="179"/>
      <c r="R224" s="279"/>
      <c r="S224" s="274"/>
      <c r="T224" s="268"/>
    </row>
    <row r="225" spans="1:21" ht="42.75" hidden="1">
      <c r="A225" s="71" t="s">
        <v>54</v>
      </c>
      <c r="B225" s="72" t="s">
        <v>332</v>
      </c>
      <c r="C225" s="73" t="s">
        <v>36</v>
      </c>
      <c r="D225" s="74">
        <v>129</v>
      </c>
      <c r="E225" s="74">
        <v>129</v>
      </c>
      <c r="F225" s="74">
        <f t="shared" si="24"/>
        <v>0</v>
      </c>
      <c r="G225" s="74">
        <v>2865.95</v>
      </c>
      <c r="H225" s="74"/>
      <c r="I225" s="74"/>
      <c r="J225" s="74">
        <f t="shared" si="25"/>
        <v>369707.55</v>
      </c>
      <c r="K225" s="74">
        <f t="shared" si="26"/>
        <v>369707.55</v>
      </c>
      <c r="L225" s="123"/>
      <c r="M225" s="128">
        <f>K225-J225</f>
        <v>0</v>
      </c>
      <c r="N225" s="76" t="s">
        <v>1</v>
      </c>
      <c r="O225" s="162" t="s">
        <v>24</v>
      </c>
      <c r="P225" s="163"/>
      <c r="Q225" s="179"/>
      <c r="R225" s="167"/>
      <c r="S225" s="268"/>
      <c r="T225" s="268"/>
    </row>
    <row r="226" spans="1:21" ht="33" hidden="1">
      <c r="A226" s="3" t="s">
        <v>56</v>
      </c>
      <c r="B226" s="4" t="s">
        <v>333</v>
      </c>
      <c r="C226" s="5" t="s">
        <v>78</v>
      </c>
      <c r="D226" s="6">
        <v>54</v>
      </c>
      <c r="E226" s="6">
        <v>54</v>
      </c>
      <c r="F226" s="6">
        <f t="shared" si="24"/>
        <v>0</v>
      </c>
      <c r="G226" s="6">
        <v>1478.05</v>
      </c>
      <c r="H226" s="6"/>
      <c r="I226" s="6"/>
      <c r="J226" s="6">
        <f t="shared" si="25"/>
        <v>79814.7</v>
      </c>
      <c r="K226" s="6">
        <f t="shared" si="26"/>
        <v>79814.7</v>
      </c>
      <c r="L226" s="122">
        <f t="shared" si="27"/>
        <v>0</v>
      </c>
      <c r="M226" s="127"/>
      <c r="N226" s="7" t="s">
        <v>1</v>
      </c>
      <c r="O226" s="148" t="s">
        <v>24</v>
      </c>
      <c r="P226" s="149"/>
      <c r="Q226" s="184"/>
      <c r="R226" s="161"/>
      <c r="S226" s="268"/>
      <c r="T226" s="268"/>
    </row>
    <row r="227" spans="1:21" ht="42.75" hidden="1">
      <c r="A227" s="3" t="s">
        <v>58</v>
      </c>
      <c r="B227" s="4" t="s">
        <v>334</v>
      </c>
      <c r="C227" s="5" t="s">
        <v>36</v>
      </c>
      <c r="D227" s="6">
        <v>170</v>
      </c>
      <c r="E227" s="6">
        <v>170</v>
      </c>
      <c r="F227" s="6">
        <f t="shared" si="24"/>
        <v>0</v>
      </c>
      <c r="G227" s="6">
        <v>151.72</v>
      </c>
      <c r="H227" s="6"/>
      <c r="I227" s="6"/>
      <c r="J227" s="6">
        <f t="shared" si="25"/>
        <v>25792.400000000001</v>
      </c>
      <c r="K227" s="6">
        <f t="shared" si="26"/>
        <v>25792.400000000001</v>
      </c>
      <c r="L227" s="122">
        <f t="shared" si="27"/>
        <v>0</v>
      </c>
      <c r="M227" s="127"/>
      <c r="N227" s="7" t="s">
        <v>1</v>
      </c>
      <c r="O227" s="148" t="s">
        <v>24</v>
      </c>
      <c r="P227" s="149"/>
      <c r="Q227" s="184"/>
      <c r="R227" s="161"/>
      <c r="S227" s="268"/>
      <c r="T227" s="268"/>
    </row>
    <row r="228" spans="1:21" s="27" customFormat="1" ht="33">
      <c r="A228" s="71" t="s">
        <v>60</v>
      </c>
      <c r="B228" s="72" t="s">
        <v>901</v>
      </c>
      <c r="C228" s="73" t="s">
        <v>228</v>
      </c>
      <c r="D228" s="74">
        <v>6</v>
      </c>
      <c r="E228" s="74">
        <v>6</v>
      </c>
      <c r="F228" s="74">
        <f t="shared" si="24"/>
        <v>0</v>
      </c>
      <c r="G228" s="74">
        <v>15779.6</v>
      </c>
      <c r="H228" s="74"/>
      <c r="I228" s="74"/>
      <c r="J228" s="74">
        <f t="shared" si="25"/>
        <v>94677.6</v>
      </c>
      <c r="K228" s="74">
        <f t="shared" si="26"/>
        <v>94677.6</v>
      </c>
      <c r="L228" s="123">
        <f t="shared" si="27"/>
        <v>0</v>
      </c>
      <c r="M228" s="128"/>
      <c r="N228" s="76" t="s">
        <v>1</v>
      </c>
      <c r="O228" s="162" t="s">
        <v>24</v>
      </c>
      <c r="P228" s="174"/>
      <c r="Q228" s="179"/>
      <c r="R228" s="279"/>
      <c r="S228" s="274"/>
      <c r="T228" s="268"/>
      <c r="U228" s="64"/>
    </row>
    <row r="229" spans="1:21" s="27" customFormat="1" ht="33" hidden="1">
      <c r="A229" s="3" t="s">
        <v>63</v>
      </c>
      <c r="B229" s="4" t="s">
        <v>137</v>
      </c>
      <c r="C229" s="5" t="s">
        <v>36</v>
      </c>
      <c r="D229" s="6">
        <v>453</v>
      </c>
      <c r="E229" s="6">
        <v>453</v>
      </c>
      <c r="F229" s="6">
        <f t="shared" si="24"/>
        <v>0</v>
      </c>
      <c r="G229" s="6">
        <v>138.84</v>
      </c>
      <c r="H229" s="6"/>
      <c r="I229" s="6"/>
      <c r="J229" s="6">
        <f t="shared" si="25"/>
        <v>62894.520000000004</v>
      </c>
      <c r="K229" s="6">
        <f t="shared" si="26"/>
        <v>62894.520000000004</v>
      </c>
      <c r="L229" s="122">
        <f t="shared" si="27"/>
        <v>0</v>
      </c>
      <c r="M229" s="127"/>
      <c r="N229" s="7" t="s">
        <v>1</v>
      </c>
      <c r="O229" s="148" t="s">
        <v>24</v>
      </c>
      <c r="P229" s="149"/>
      <c r="Q229" s="184"/>
      <c r="R229" s="161"/>
      <c r="S229" s="268"/>
      <c r="T229" s="268"/>
      <c r="U229" s="64"/>
    </row>
    <row r="230" spans="1:21" s="27" customFormat="1" ht="33" hidden="1">
      <c r="A230" s="3" t="s">
        <v>67</v>
      </c>
      <c r="B230" s="4" t="s">
        <v>324</v>
      </c>
      <c r="C230" s="5" t="s">
        <v>36</v>
      </c>
      <c r="D230" s="6">
        <v>1680</v>
      </c>
      <c r="E230" s="6">
        <v>1680</v>
      </c>
      <c r="F230" s="6">
        <f t="shared" si="24"/>
        <v>0</v>
      </c>
      <c r="G230" s="6">
        <v>326.3</v>
      </c>
      <c r="H230" s="6"/>
      <c r="I230" s="6"/>
      <c r="J230" s="6">
        <f t="shared" si="25"/>
        <v>548184</v>
      </c>
      <c r="K230" s="6">
        <f t="shared" si="26"/>
        <v>548184</v>
      </c>
      <c r="L230" s="122">
        <f t="shared" si="27"/>
        <v>0</v>
      </c>
      <c r="M230" s="127"/>
      <c r="N230" s="7" t="s">
        <v>1</v>
      </c>
      <c r="O230" s="148" t="s">
        <v>24</v>
      </c>
      <c r="P230" s="149"/>
      <c r="Q230" s="184"/>
      <c r="R230" s="161"/>
      <c r="S230" s="268"/>
      <c r="T230" s="268"/>
      <c r="U230" s="64"/>
    </row>
    <row r="231" spans="1:21" s="27" customFormat="1" ht="42.75" hidden="1">
      <c r="A231" s="3" t="s">
        <v>69</v>
      </c>
      <c r="B231" s="4" t="s">
        <v>287</v>
      </c>
      <c r="C231" s="5" t="s">
        <v>52</v>
      </c>
      <c r="D231" s="6">
        <v>756</v>
      </c>
      <c r="E231" s="6">
        <v>756</v>
      </c>
      <c r="F231" s="6">
        <f t="shared" si="24"/>
        <v>0</v>
      </c>
      <c r="G231" s="6">
        <v>692.16</v>
      </c>
      <c r="H231" s="6"/>
      <c r="I231" s="6"/>
      <c r="J231" s="6">
        <f t="shared" si="25"/>
        <v>523272.95999999996</v>
      </c>
      <c r="K231" s="6">
        <f t="shared" si="26"/>
        <v>523272.95999999996</v>
      </c>
      <c r="L231" s="122">
        <f t="shared" si="27"/>
        <v>0</v>
      </c>
      <c r="M231" s="127"/>
      <c r="N231" s="7" t="s">
        <v>288</v>
      </c>
      <c r="O231" s="148" t="s">
        <v>24</v>
      </c>
      <c r="P231" s="149"/>
      <c r="Q231" s="184"/>
      <c r="R231" s="161"/>
      <c r="S231" s="268"/>
      <c r="T231" s="268"/>
      <c r="U231" s="64"/>
    </row>
    <row r="232" spans="1:21" s="27" customFormat="1" ht="33" hidden="1">
      <c r="A232" s="3" t="s">
        <v>73</v>
      </c>
      <c r="B232" s="4" t="s">
        <v>336</v>
      </c>
      <c r="C232" s="5" t="s">
        <v>337</v>
      </c>
      <c r="D232" s="6">
        <v>32</v>
      </c>
      <c r="E232" s="6">
        <v>32</v>
      </c>
      <c r="F232" s="6">
        <f t="shared" si="24"/>
        <v>0</v>
      </c>
      <c r="G232" s="6">
        <v>422.3</v>
      </c>
      <c r="H232" s="6"/>
      <c r="I232" s="6"/>
      <c r="J232" s="6">
        <f t="shared" si="25"/>
        <v>13513.6</v>
      </c>
      <c r="K232" s="6">
        <f t="shared" si="26"/>
        <v>13513.6</v>
      </c>
      <c r="L232" s="122">
        <f t="shared" si="27"/>
        <v>0</v>
      </c>
      <c r="M232" s="127"/>
      <c r="N232" s="7" t="s">
        <v>1</v>
      </c>
      <c r="O232" s="148" t="s">
        <v>24</v>
      </c>
      <c r="P232" s="149"/>
      <c r="Q232" s="184"/>
      <c r="R232" s="161"/>
      <c r="S232" s="268"/>
      <c r="T232" s="268"/>
      <c r="U232" s="64"/>
    </row>
    <row r="233" spans="1:21" s="27" customFormat="1" ht="42.75" hidden="1">
      <c r="A233" s="99"/>
      <c r="B233" s="107" t="s">
        <v>862</v>
      </c>
      <c r="C233" s="89" t="s">
        <v>36</v>
      </c>
      <c r="D233" s="91">
        <v>25.7</v>
      </c>
      <c r="E233" s="91">
        <v>25.7</v>
      </c>
      <c r="F233" s="91">
        <f t="shared" si="24"/>
        <v>0</v>
      </c>
      <c r="G233" s="91"/>
      <c r="H233" s="91"/>
      <c r="I233" s="91"/>
      <c r="J233" s="91"/>
      <c r="K233" s="91"/>
      <c r="L233" s="124"/>
      <c r="M233" s="131"/>
      <c r="N233" s="101"/>
      <c r="O233" s="148"/>
      <c r="P233" s="149"/>
      <c r="Q233" s="184"/>
      <c r="R233" s="161"/>
      <c r="S233" s="268"/>
      <c r="T233" s="268"/>
      <c r="U233" s="64"/>
    </row>
    <row r="234" spans="1:21" s="27" customFormat="1" ht="33">
      <c r="A234" s="200" t="s">
        <v>338</v>
      </c>
      <c r="B234" s="201" t="s">
        <v>339</v>
      </c>
      <c r="C234" s="202" t="s">
        <v>23</v>
      </c>
      <c r="D234" s="203"/>
      <c r="E234" s="203"/>
      <c r="F234" s="203"/>
      <c r="G234" s="203">
        <f>J234</f>
        <v>12914376.091</v>
      </c>
      <c r="H234" s="203"/>
      <c r="I234" s="203"/>
      <c r="J234" s="203">
        <f>SUM(J235:J250)</f>
        <v>12914376.091</v>
      </c>
      <c r="K234" s="203">
        <f>SUM(K235:K250)</f>
        <v>13851665.471800001</v>
      </c>
      <c r="L234" s="205">
        <f>SUM(L235:L250)</f>
        <v>937289.38080000016</v>
      </c>
      <c r="M234" s="207">
        <f>SUM(M235:M250)</f>
        <v>0</v>
      </c>
      <c r="N234" s="208" t="s">
        <v>1</v>
      </c>
      <c r="O234" s="151" t="s">
        <v>24</v>
      </c>
      <c r="P234" s="152"/>
      <c r="Q234" s="184"/>
      <c r="R234" s="161"/>
      <c r="S234" s="268"/>
      <c r="T234" s="268"/>
      <c r="U234" s="64"/>
    </row>
    <row r="235" spans="1:21" s="27" customFormat="1" ht="33">
      <c r="A235" s="71" t="s">
        <v>29</v>
      </c>
      <c r="B235" s="72" t="s">
        <v>340</v>
      </c>
      <c r="C235" s="73" t="s">
        <v>31</v>
      </c>
      <c r="D235" s="74">
        <v>380.68</v>
      </c>
      <c r="E235" s="74">
        <v>380.68</v>
      </c>
      <c r="F235" s="74">
        <f t="shared" ref="F235:F250" si="28">E235-D235</f>
        <v>0</v>
      </c>
      <c r="G235" s="74">
        <v>7517.56</v>
      </c>
      <c r="H235" s="74"/>
      <c r="I235" s="74"/>
      <c r="J235" s="74">
        <v>1924495.3600000001</v>
      </c>
      <c r="K235" s="74">
        <f t="shared" ref="K235:K250" si="29">E235*G235</f>
        <v>2861784.7408000003</v>
      </c>
      <c r="L235" s="123">
        <f t="shared" ref="L235:L249" si="30">K235-J235</f>
        <v>937289.38080000016</v>
      </c>
      <c r="M235" s="128"/>
      <c r="N235" s="76" t="s">
        <v>1</v>
      </c>
      <c r="O235" s="162" t="s">
        <v>24</v>
      </c>
      <c r="P235" s="155"/>
      <c r="Q235" s="179" t="s">
        <v>891</v>
      </c>
      <c r="R235" s="279"/>
      <c r="S235" s="268"/>
      <c r="T235" s="268"/>
      <c r="U235" s="64"/>
    </row>
    <row r="236" spans="1:21" s="27" customFormat="1" ht="33">
      <c r="A236" s="71" t="s">
        <v>32</v>
      </c>
      <c r="B236" s="72" t="s">
        <v>341</v>
      </c>
      <c r="C236" s="73" t="s">
        <v>31</v>
      </c>
      <c r="D236" s="74">
        <v>917.25</v>
      </c>
      <c r="E236" s="74">
        <v>917.25</v>
      </c>
      <c r="F236" s="74">
        <f t="shared" si="28"/>
        <v>0</v>
      </c>
      <c r="G236" s="74">
        <v>7496.96</v>
      </c>
      <c r="H236" s="74"/>
      <c r="I236" s="74"/>
      <c r="J236" s="74">
        <f t="shared" ref="J236:J250" si="31">D236*G236</f>
        <v>6876586.5599999996</v>
      </c>
      <c r="K236" s="74">
        <f t="shared" si="29"/>
        <v>6876586.5599999996</v>
      </c>
      <c r="L236" s="123">
        <f t="shared" si="30"/>
        <v>0</v>
      </c>
      <c r="M236" s="128"/>
      <c r="N236" s="76" t="s">
        <v>1</v>
      </c>
      <c r="O236" s="162" t="s">
        <v>24</v>
      </c>
      <c r="P236" s="155"/>
      <c r="Q236" s="179" t="s">
        <v>881</v>
      </c>
      <c r="R236" s="279"/>
      <c r="S236" s="268"/>
      <c r="T236" s="268"/>
      <c r="U236" s="64"/>
    </row>
    <row r="237" spans="1:21" s="27" customFormat="1" ht="33" hidden="1">
      <c r="A237" s="3" t="s">
        <v>34</v>
      </c>
      <c r="B237" s="4" t="s">
        <v>342</v>
      </c>
      <c r="C237" s="5" t="s">
        <v>52</v>
      </c>
      <c r="D237" s="6">
        <v>5103</v>
      </c>
      <c r="E237" s="6">
        <v>5103</v>
      </c>
      <c r="F237" s="6">
        <f t="shared" si="28"/>
        <v>0</v>
      </c>
      <c r="G237" s="6">
        <v>11.6</v>
      </c>
      <c r="H237" s="6"/>
      <c r="I237" s="6"/>
      <c r="J237" s="6">
        <f t="shared" si="31"/>
        <v>59194.799999999996</v>
      </c>
      <c r="K237" s="6">
        <f t="shared" si="29"/>
        <v>59194.799999999996</v>
      </c>
      <c r="L237" s="122">
        <f t="shared" si="30"/>
        <v>0</v>
      </c>
      <c r="M237" s="127"/>
      <c r="N237" s="7" t="s">
        <v>1</v>
      </c>
      <c r="O237" s="148" t="s">
        <v>24</v>
      </c>
      <c r="P237" s="155"/>
      <c r="Q237" s="184"/>
      <c r="R237" s="279"/>
      <c r="S237" s="268"/>
      <c r="T237" s="268"/>
      <c r="U237" s="64"/>
    </row>
    <row r="238" spans="1:21" s="27" customFormat="1" ht="33">
      <c r="A238" s="71" t="s">
        <v>38</v>
      </c>
      <c r="B238" s="72" t="s">
        <v>343</v>
      </c>
      <c r="C238" s="73" t="s">
        <v>52</v>
      </c>
      <c r="D238" s="74">
        <v>6734.4</v>
      </c>
      <c r="E238" s="74">
        <v>6734.4</v>
      </c>
      <c r="F238" s="74">
        <f t="shared" si="28"/>
        <v>0</v>
      </c>
      <c r="G238" s="74">
        <v>42.46</v>
      </c>
      <c r="H238" s="74"/>
      <c r="I238" s="74"/>
      <c r="J238" s="74">
        <f t="shared" si="31"/>
        <v>285942.62400000001</v>
      </c>
      <c r="K238" s="74">
        <f t="shared" si="29"/>
        <v>285942.62400000001</v>
      </c>
      <c r="L238" s="123">
        <f t="shared" si="30"/>
        <v>0</v>
      </c>
      <c r="M238" s="128"/>
      <c r="N238" s="76" t="s">
        <v>1</v>
      </c>
      <c r="O238" s="162" t="s">
        <v>24</v>
      </c>
      <c r="P238" s="155"/>
      <c r="Q238" s="179" t="s">
        <v>881</v>
      </c>
      <c r="R238" s="279"/>
      <c r="S238" s="268"/>
      <c r="T238" s="268"/>
      <c r="U238" s="64"/>
    </row>
    <row r="239" spans="1:21" s="27" customFormat="1" ht="33">
      <c r="A239" s="71" t="s">
        <v>41</v>
      </c>
      <c r="B239" s="72" t="s">
        <v>344</v>
      </c>
      <c r="C239" s="73" t="s">
        <v>52</v>
      </c>
      <c r="D239" s="74">
        <v>18400</v>
      </c>
      <c r="E239" s="74">
        <v>18400</v>
      </c>
      <c r="F239" s="74">
        <f t="shared" si="28"/>
        <v>0</v>
      </c>
      <c r="G239" s="74">
        <v>15.96</v>
      </c>
      <c r="H239" s="74"/>
      <c r="I239" s="74"/>
      <c r="J239" s="74">
        <f t="shared" si="31"/>
        <v>293664</v>
      </c>
      <c r="K239" s="74">
        <f t="shared" si="29"/>
        <v>293664</v>
      </c>
      <c r="L239" s="123">
        <f t="shared" si="30"/>
        <v>0</v>
      </c>
      <c r="M239" s="128"/>
      <c r="N239" s="76" t="s">
        <v>1</v>
      </c>
      <c r="O239" s="162" t="s">
        <v>24</v>
      </c>
      <c r="P239" s="155"/>
      <c r="Q239" s="179" t="s">
        <v>836</v>
      </c>
      <c r="R239" s="279"/>
      <c r="S239" s="268"/>
      <c r="T239" s="268"/>
      <c r="U239" s="64"/>
    </row>
    <row r="240" spans="1:21" s="27" customFormat="1" ht="33" hidden="1">
      <c r="A240" s="3" t="s">
        <v>43</v>
      </c>
      <c r="B240" s="4" t="s">
        <v>103</v>
      </c>
      <c r="C240" s="5" t="s">
        <v>31</v>
      </c>
      <c r="D240" s="6">
        <v>24</v>
      </c>
      <c r="E240" s="6">
        <v>24</v>
      </c>
      <c r="F240" s="6">
        <f t="shared" si="28"/>
        <v>0</v>
      </c>
      <c r="G240" s="6">
        <v>3115.13</v>
      </c>
      <c r="H240" s="6"/>
      <c r="I240" s="6"/>
      <c r="J240" s="6">
        <f t="shared" si="31"/>
        <v>74763.12</v>
      </c>
      <c r="K240" s="6">
        <f t="shared" si="29"/>
        <v>74763.12</v>
      </c>
      <c r="L240" s="122">
        <f t="shared" si="30"/>
        <v>0</v>
      </c>
      <c r="M240" s="127"/>
      <c r="N240" s="7" t="s">
        <v>1</v>
      </c>
      <c r="O240" s="148" t="s">
        <v>24</v>
      </c>
      <c r="P240" s="149"/>
      <c r="Q240" s="184"/>
      <c r="R240" s="161"/>
      <c r="S240" s="268"/>
      <c r="T240" s="268"/>
      <c r="U240" s="64"/>
    </row>
    <row r="241" spans="1:21" s="27" customFormat="1" ht="27.95" hidden="1" customHeight="1">
      <c r="A241" s="230" t="s">
        <v>45</v>
      </c>
      <c r="B241" s="231" t="s">
        <v>104</v>
      </c>
      <c r="C241" s="232" t="s">
        <v>31</v>
      </c>
      <c r="D241" s="233">
        <v>237</v>
      </c>
      <c r="E241" s="233">
        <v>237</v>
      </c>
      <c r="F241" s="233">
        <f t="shared" si="28"/>
        <v>0</v>
      </c>
      <c r="G241" s="233">
        <v>3321.13</v>
      </c>
      <c r="H241" s="233"/>
      <c r="I241" s="233"/>
      <c r="J241" s="233">
        <f t="shared" si="31"/>
        <v>787107.81</v>
      </c>
      <c r="K241" s="233">
        <f t="shared" si="29"/>
        <v>787107.81</v>
      </c>
      <c r="L241" s="234">
        <f t="shared" si="30"/>
        <v>0</v>
      </c>
      <c r="M241" s="235"/>
      <c r="N241" s="236" t="s">
        <v>1</v>
      </c>
      <c r="O241" s="237" t="s">
        <v>24</v>
      </c>
      <c r="P241" s="238"/>
      <c r="Q241" s="239"/>
      <c r="R241" s="240"/>
      <c r="S241" s="268"/>
      <c r="T241" s="268"/>
      <c r="U241" s="64"/>
    </row>
    <row r="242" spans="1:21" s="27" customFormat="1" ht="27.95" hidden="1" customHeight="1">
      <c r="A242" s="230" t="s">
        <v>48</v>
      </c>
      <c r="B242" s="231" t="s">
        <v>316</v>
      </c>
      <c r="C242" s="232" t="s">
        <v>31</v>
      </c>
      <c r="D242" s="233">
        <f>D241+D240</f>
        <v>261</v>
      </c>
      <c r="E242" s="233">
        <f>E241+E240</f>
        <v>261</v>
      </c>
      <c r="F242" s="233">
        <f t="shared" si="28"/>
        <v>0</v>
      </c>
      <c r="G242" s="233">
        <v>200</v>
      </c>
      <c r="H242" s="233"/>
      <c r="I242" s="233"/>
      <c r="J242" s="233">
        <f t="shared" si="31"/>
        <v>52200</v>
      </c>
      <c r="K242" s="233">
        <f t="shared" si="29"/>
        <v>52200</v>
      </c>
      <c r="L242" s="234">
        <f t="shared" si="30"/>
        <v>0</v>
      </c>
      <c r="M242" s="235"/>
      <c r="N242" s="236" t="s">
        <v>1</v>
      </c>
      <c r="O242" s="237" t="s">
        <v>24</v>
      </c>
      <c r="P242" s="238"/>
      <c r="Q242" s="239" t="s">
        <v>873</v>
      </c>
      <c r="R242" s="240"/>
      <c r="S242" s="268"/>
      <c r="T242" s="268"/>
      <c r="U242" s="64"/>
    </row>
    <row r="243" spans="1:21" s="27" customFormat="1" ht="27.95" hidden="1" customHeight="1">
      <c r="A243" s="230" t="s">
        <v>50</v>
      </c>
      <c r="B243" s="231" t="s">
        <v>345</v>
      </c>
      <c r="C243" s="232" t="s">
        <v>52</v>
      </c>
      <c r="D243" s="233">
        <v>745</v>
      </c>
      <c r="E243" s="233">
        <v>745</v>
      </c>
      <c r="F243" s="233">
        <f t="shared" si="28"/>
        <v>0</v>
      </c>
      <c r="G243" s="233">
        <v>698.31</v>
      </c>
      <c r="H243" s="233"/>
      <c r="I243" s="233"/>
      <c r="J243" s="233">
        <f t="shared" si="31"/>
        <v>520240.94999999995</v>
      </c>
      <c r="K243" s="233">
        <f t="shared" si="29"/>
        <v>520240.94999999995</v>
      </c>
      <c r="L243" s="234">
        <f t="shared" si="30"/>
        <v>0</v>
      </c>
      <c r="M243" s="235"/>
      <c r="N243" s="264" t="s">
        <v>346</v>
      </c>
      <c r="O243" s="237" t="s">
        <v>24</v>
      </c>
      <c r="P243" s="265"/>
      <c r="Q243" s="266"/>
      <c r="R243" s="240"/>
      <c r="S243" s="268"/>
      <c r="T243" s="268"/>
      <c r="U243" s="64"/>
    </row>
    <row r="244" spans="1:21" s="27" customFormat="1" ht="27.95" hidden="1" customHeight="1">
      <c r="A244" s="230" t="s">
        <v>54</v>
      </c>
      <c r="B244" s="231" t="s">
        <v>105</v>
      </c>
      <c r="C244" s="232" t="s">
        <v>52</v>
      </c>
      <c r="D244" s="233">
        <v>915</v>
      </c>
      <c r="E244" s="233">
        <v>915</v>
      </c>
      <c r="F244" s="233">
        <f t="shared" si="28"/>
        <v>0</v>
      </c>
      <c r="G244" s="233">
        <v>533.64</v>
      </c>
      <c r="H244" s="233"/>
      <c r="I244" s="233"/>
      <c r="J244" s="233">
        <f t="shared" si="31"/>
        <v>488280.6</v>
      </c>
      <c r="K244" s="233">
        <f t="shared" si="29"/>
        <v>488280.6</v>
      </c>
      <c r="L244" s="234">
        <f t="shared" si="30"/>
        <v>0</v>
      </c>
      <c r="M244" s="235"/>
      <c r="N244" s="264" t="s">
        <v>106</v>
      </c>
      <c r="O244" s="237" t="s">
        <v>24</v>
      </c>
      <c r="P244" s="265"/>
      <c r="Q244" s="254"/>
      <c r="R244" s="240"/>
      <c r="S244" s="268"/>
      <c r="T244" s="268"/>
      <c r="U244" s="64"/>
    </row>
    <row r="245" spans="1:21" s="27" customFormat="1" ht="27.95" hidden="1" customHeight="1">
      <c r="A245" s="230" t="s">
        <v>56</v>
      </c>
      <c r="B245" s="231" t="s">
        <v>100</v>
      </c>
      <c r="C245" s="232" t="s">
        <v>101</v>
      </c>
      <c r="D245" s="233">
        <v>9227</v>
      </c>
      <c r="E245" s="233">
        <v>9227</v>
      </c>
      <c r="F245" s="233">
        <f t="shared" si="28"/>
        <v>0</v>
      </c>
      <c r="G245" s="233">
        <v>36.4</v>
      </c>
      <c r="H245" s="233"/>
      <c r="I245" s="233"/>
      <c r="J245" s="233">
        <f t="shared" si="31"/>
        <v>335862.8</v>
      </c>
      <c r="K245" s="233">
        <f t="shared" si="29"/>
        <v>335862.8</v>
      </c>
      <c r="L245" s="234">
        <f t="shared" si="30"/>
        <v>0</v>
      </c>
      <c r="M245" s="235"/>
      <c r="N245" s="264" t="s">
        <v>102</v>
      </c>
      <c r="O245" s="237" t="s">
        <v>24</v>
      </c>
      <c r="P245" s="238"/>
      <c r="Q245" s="239"/>
      <c r="R245" s="240"/>
      <c r="S245" s="268"/>
      <c r="T245" s="268"/>
      <c r="U245" s="64"/>
    </row>
    <row r="246" spans="1:21" s="27" customFormat="1" ht="33" hidden="1">
      <c r="A246" s="230" t="s">
        <v>58</v>
      </c>
      <c r="B246" s="231" t="s">
        <v>347</v>
      </c>
      <c r="C246" s="232" t="s">
        <v>313</v>
      </c>
      <c r="D246" s="233">
        <v>189</v>
      </c>
      <c r="E246" s="233">
        <v>189</v>
      </c>
      <c r="F246" s="233">
        <f t="shared" si="28"/>
        <v>0</v>
      </c>
      <c r="G246" s="233">
        <v>40</v>
      </c>
      <c r="H246" s="233"/>
      <c r="I246" s="233"/>
      <c r="J246" s="233">
        <f t="shared" si="31"/>
        <v>7560</v>
      </c>
      <c r="K246" s="233">
        <f t="shared" si="29"/>
        <v>7560</v>
      </c>
      <c r="L246" s="234">
        <f t="shared" si="30"/>
        <v>0</v>
      </c>
      <c r="M246" s="235"/>
      <c r="N246" s="236" t="s">
        <v>1</v>
      </c>
      <c r="O246" s="237" t="s">
        <v>24</v>
      </c>
      <c r="P246" s="238"/>
      <c r="Q246" s="239"/>
      <c r="R246" s="240"/>
      <c r="S246" s="268"/>
      <c r="T246" s="268"/>
      <c r="U246" s="64"/>
    </row>
    <row r="247" spans="1:21" s="27" customFormat="1" ht="42" hidden="1">
      <c r="A247" s="230" t="s">
        <v>60</v>
      </c>
      <c r="B247" s="231" t="s">
        <v>348</v>
      </c>
      <c r="C247" s="232" t="s">
        <v>228</v>
      </c>
      <c r="D247" s="233">
        <v>118</v>
      </c>
      <c r="E247" s="233">
        <v>118</v>
      </c>
      <c r="F247" s="233">
        <f t="shared" si="28"/>
        <v>0</v>
      </c>
      <c r="G247" s="233">
        <v>3615.3</v>
      </c>
      <c r="H247" s="233"/>
      <c r="I247" s="233"/>
      <c r="J247" s="233">
        <f t="shared" si="31"/>
        <v>426605.4</v>
      </c>
      <c r="K247" s="233">
        <f t="shared" si="29"/>
        <v>426605.4</v>
      </c>
      <c r="L247" s="234">
        <f t="shared" si="30"/>
        <v>0</v>
      </c>
      <c r="M247" s="235"/>
      <c r="N247" s="267" t="s">
        <v>110</v>
      </c>
      <c r="O247" s="237" t="s">
        <v>24</v>
      </c>
      <c r="P247" s="238"/>
      <c r="Q247" s="239"/>
      <c r="R247" s="240"/>
      <c r="S247" s="268"/>
      <c r="T247" s="268"/>
      <c r="U247" s="64"/>
    </row>
    <row r="248" spans="1:21" s="27" customFormat="1" ht="42" hidden="1">
      <c r="A248" s="230" t="s">
        <v>63</v>
      </c>
      <c r="B248" s="231" t="s">
        <v>349</v>
      </c>
      <c r="C248" s="232" t="s">
        <v>101</v>
      </c>
      <c r="D248" s="233">
        <v>2773</v>
      </c>
      <c r="E248" s="233">
        <v>2773</v>
      </c>
      <c r="F248" s="233">
        <f t="shared" si="28"/>
        <v>0</v>
      </c>
      <c r="G248" s="233">
        <v>113.98</v>
      </c>
      <c r="H248" s="233"/>
      <c r="I248" s="233"/>
      <c r="J248" s="233">
        <f t="shared" si="31"/>
        <v>316066.54000000004</v>
      </c>
      <c r="K248" s="233">
        <f t="shared" si="29"/>
        <v>316066.54000000004</v>
      </c>
      <c r="L248" s="234">
        <f t="shared" si="30"/>
        <v>0</v>
      </c>
      <c r="M248" s="235"/>
      <c r="N248" s="267" t="s">
        <v>110</v>
      </c>
      <c r="O248" s="237" t="s">
        <v>24</v>
      </c>
      <c r="P248" s="238"/>
      <c r="Q248" s="239" t="s">
        <v>882</v>
      </c>
      <c r="R248" s="240"/>
      <c r="S248" s="268"/>
      <c r="T248" s="268"/>
      <c r="U248" s="64"/>
    </row>
    <row r="249" spans="1:21" s="27" customFormat="1" ht="33" hidden="1">
      <c r="A249" s="3" t="s">
        <v>67</v>
      </c>
      <c r="B249" s="4" t="s">
        <v>137</v>
      </c>
      <c r="C249" s="5" t="s">
        <v>36</v>
      </c>
      <c r="D249" s="6">
        <v>112</v>
      </c>
      <c r="E249" s="6">
        <v>112</v>
      </c>
      <c r="F249" s="6">
        <f t="shared" si="28"/>
        <v>0</v>
      </c>
      <c r="G249" s="6">
        <v>138.84</v>
      </c>
      <c r="H249" s="6"/>
      <c r="I249" s="6"/>
      <c r="J249" s="6">
        <f t="shared" si="31"/>
        <v>15550.08</v>
      </c>
      <c r="K249" s="6">
        <f t="shared" si="29"/>
        <v>15550.08</v>
      </c>
      <c r="L249" s="122">
        <f t="shared" si="30"/>
        <v>0</v>
      </c>
      <c r="M249" s="127"/>
      <c r="N249" s="7" t="s">
        <v>1</v>
      </c>
      <c r="O249" s="148" t="s">
        <v>24</v>
      </c>
      <c r="P249" s="149"/>
      <c r="Q249" s="184"/>
      <c r="R249" s="161"/>
      <c r="S249" s="268"/>
      <c r="T249" s="268"/>
      <c r="U249" s="64"/>
    </row>
    <row r="250" spans="1:21" s="84" customFormat="1" ht="28.5" hidden="1">
      <c r="A250" s="116">
        <v>16</v>
      </c>
      <c r="B250" s="117" t="s">
        <v>701</v>
      </c>
      <c r="C250" s="118" t="s">
        <v>687</v>
      </c>
      <c r="D250" s="75">
        <v>518.22</v>
      </c>
      <c r="E250" s="75">
        <v>518.22</v>
      </c>
      <c r="F250" s="74">
        <f t="shared" si="28"/>
        <v>0</v>
      </c>
      <c r="G250" s="75">
        <v>868.85</v>
      </c>
      <c r="H250" s="75"/>
      <c r="I250" s="75"/>
      <c r="J250" s="74">
        <f t="shared" si="31"/>
        <v>450255.44700000004</v>
      </c>
      <c r="K250" s="74">
        <f t="shared" si="29"/>
        <v>450255.44700000004</v>
      </c>
      <c r="L250" s="123"/>
      <c r="M250" s="133">
        <f>K250-J250</f>
        <v>0</v>
      </c>
      <c r="N250" s="119" t="s">
        <v>697</v>
      </c>
      <c r="O250" s="173"/>
      <c r="P250" s="174"/>
      <c r="Q250" s="179" t="s">
        <v>883</v>
      </c>
      <c r="R250" s="167"/>
      <c r="S250" s="268"/>
      <c r="T250" s="268"/>
      <c r="U250" s="69"/>
    </row>
    <row r="251" spans="1:21" s="84" customFormat="1" hidden="1">
      <c r="A251" s="111"/>
      <c r="B251" s="114" t="s">
        <v>874</v>
      </c>
      <c r="C251" s="112" t="s">
        <v>875</v>
      </c>
      <c r="D251" s="92">
        <v>1690.23</v>
      </c>
      <c r="E251" s="92">
        <v>1690.23</v>
      </c>
      <c r="F251" s="91"/>
      <c r="G251" s="92"/>
      <c r="H251" s="92"/>
      <c r="I251" s="92"/>
      <c r="J251" s="91"/>
      <c r="K251" s="91"/>
      <c r="L251" s="124"/>
      <c r="M251" s="134"/>
      <c r="N251" s="113"/>
      <c r="O251" s="173"/>
      <c r="P251" s="165"/>
      <c r="Q251" s="178"/>
      <c r="R251" s="188"/>
      <c r="S251" s="268"/>
      <c r="T251" s="268"/>
      <c r="U251" s="69"/>
    </row>
    <row r="252" spans="1:21" s="27" customFormat="1" ht="27.95" customHeight="1">
      <c r="A252" s="200" t="s">
        <v>350</v>
      </c>
      <c r="B252" s="201" t="s">
        <v>351</v>
      </c>
      <c r="C252" s="202" t="s">
        <v>23</v>
      </c>
      <c r="D252" s="203"/>
      <c r="E252" s="203"/>
      <c r="F252" s="203"/>
      <c r="G252" s="203">
        <f>J252</f>
        <v>7859123.6228999989</v>
      </c>
      <c r="H252" s="203"/>
      <c r="I252" s="203"/>
      <c r="J252" s="203">
        <f>SUM(J253:J341)</f>
        <v>7859123.6228999989</v>
      </c>
      <c r="K252" s="203">
        <f>SUM(K253:K341)</f>
        <v>7859123.6228999989</v>
      </c>
      <c r="L252" s="205">
        <f>SUM(L253:L341)</f>
        <v>0</v>
      </c>
      <c r="M252" s="207">
        <f>SUM(M253:M341)</f>
        <v>0</v>
      </c>
      <c r="N252" s="208" t="s">
        <v>1</v>
      </c>
      <c r="O252" s="151" t="s">
        <v>24</v>
      </c>
      <c r="P252" s="152"/>
      <c r="Q252" s="184"/>
      <c r="R252" s="161"/>
      <c r="S252" s="268"/>
      <c r="T252" s="268"/>
      <c r="U252" s="64"/>
    </row>
    <row r="253" spans="1:21" s="27" customFormat="1" ht="42.75" hidden="1">
      <c r="A253" s="71" t="s">
        <v>29</v>
      </c>
      <c r="B253" s="72" t="s">
        <v>352</v>
      </c>
      <c r="C253" s="73" t="s">
        <v>98</v>
      </c>
      <c r="D253" s="74">
        <v>2596.6999999999998</v>
      </c>
      <c r="E253" s="74">
        <v>2596.6999999999998</v>
      </c>
      <c r="F253" s="74">
        <f t="shared" ref="F253:F284" si="32">E253-D253</f>
        <v>0</v>
      </c>
      <c r="G253" s="74">
        <v>704.52</v>
      </c>
      <c r="H253" s="74"/>
      <c r="I253" s="74"/>
      <c r="J253" s="74">
        <f t="shared" ref="J253:J284" si="33">D253*G253</f>
        <v>1829427.0839999998</v>
      </c>
      <c r="K253" s="74">
        <f t="shared" ref="K253:K284" si="34">E253*G253</f>
        <v>1829427.0839999998</v>
      </c>
      <c r="L253" s="123">
        <f t="shared" ref="L253:L316" si="35">K253-J253</f>
        <v>0</v>
      </c>
      <c r="M253" s="128"/>
      <c r="N253" s="76" t="s">
        <v>353</v>
      </c>
      <c r="O253" s="162" t="s">
        <v>24</v>
      </c>
      <c r="P253" s="163"/>
      <c r="Q253" s="179"/>
      <c r="R253" s="167"/>
      <c r="S253" s="268"/>
      <c r="T253" s="268"/>
      <c r="U253" s="64"/>
    </row>
    <row r="254" spans="1:21" s="27" customFormat="1" ht="33" hidden="1">
      <c r="A254" s="3" t="s">
        <v>32</v>
      </c>
      <c r="B254" s="4" t="s">
        <v>354</v>
      </c>
      <c r="C254" s="5" t="s">
        <v>337</v>
      </c>
      <c r="D254" s="6">
        <v>126</v>
      </c>
      <c r="E254" s="6">
        <v>126</v>
      </c>
      <c r="F254" s="6">
        <f t="shared" si="32"/>
        <v>0</v>
      </c>
      <c r="G254" s="6">
        <v>400</v>
      </c>
      <c r="H254" s="6"/>
      <c r="I254" s="6"/>
      <c r="J254" s="6">
        <f t="shared" si="33"/>
        <v>50400</v>
      </c>
      <c r="K254" s="6">
        <f t="shared" si="34"/>
        <v>50400</v>
      </c>
      <c r="L254" s="122">
        <f t="shared" si="35"/>
        <v>0</v>
      </c>
      <c r="M254" s="127"/>
      <c r="N254" s="7" t="s">
        <v>355</v>
      </c>
      <c r="O254" s="148" t="s">
        <v>24</v>
      </c>
      <c r="P254" s="149"/>
      <c r="Q254" s="184"/>
      <c r="R254" s="161"/>
      <c r="S254" s="268"/>
      <c r="T254" s="268"/>
      <c r="U254" s="64"/>
    </row>
    <row r="255" spans="1:21" s="27" customFormat="1" ht="30" hidden="1" customHeight="1">
      <c r="A255" s="71" t="s">
        <v>34</v>
      </c>
      <c r="B255" s="72" t="s">
        <v>356</v>
      </c>
      <c r="C255" s="73" t="s">
        <v>357</v>
      </c>
      <c r="D255" s="244">
        <v>12</v>
      </c>
      <c r="E255" s="244">
        <v>12</v>
      </c>
      <c r="F255" s="74">
        <f t="shared" si="32"/>
        <v>0</v>
      </c>
      <c r="G255" s="74">
        <v>3569.95</v>
      </c>
      <c r="H255" s="74"/>
      <c r="I255" s="74"/>
      <c r="J255" s="74">
        <f t="shared" si="33"/>
        <v>42839.399999999994</v>
      </c>
      <c r="K255" s="74">
        <f t="shared" si="34"/>
        <v>42839.399999999994</v>
      </c>
      <c r="L255" s="123"/>
      <c r="M255" s="133">
        <f t="shared" ref="M255:M262" si="36">K255-J255</f>
        <v>0</v>
      </c>
      <c r="N255" s="76" t="s">
        <v>358</v>
      </c>
      <c r="O255" s="162" t="s">
        <v>24</v>
      </c>
      <c r="P255" s="163"/>
      <c r="Q255" s="179"/>
      <c r="R255" s="279"/>
      <c r="S255" s="268"/>
      <c r="T255" s="268"/>
      <c r="U255" s="70"/>
    </row>
    <row r="256" spans="1:21" s="27" customFormat="1" ht="30" hidden="1" customHeight="1">
      <c r="A256" s="71" t="s">
        <v>38</v>
      </c>
      <c r="B256" s="72" t="s">
        <v>359</v>
      </c>
      <c r="C256" s="73" t="s">
        <v>357</v>
      </c>
      <c r="D256" s="244">
        <v>18</v>
      </c>
      <c r="E256" s="244">
        <v>18</v>
      </c>
      <c r="F256" s="74">
        <f t="shared" si="32"/>
        <v>0</v>
      </c>
      <c r="G256" s="74">
        <v>4083.1</v>
      </c>
      <c r="H256" s="74"/>
      <c r="I256" s="74"/>
      <c r="J256" s="74">
        <f t="shared" si="33"/>
        <v>73495.8</v>
      </c>
      <c r="K256" s="74">
        <f t="shared" si="34"/>
        <v>73495.8</v>
      </c>
      <c r="L256" s="123"/>
      <c r="M256" s="133">
        <f t="shared" si="36"/>
        <v>0</v>
      </c>
      <c r="N256" s="76" t="s">
        <v>360</v>
      </c>
      <c r="O256" s="162" t="s">
        <v>24</v>
      </c>
      <c r="P256" s="163"/>
      <c r="Q256" s="179"/>
      <c r="R256" s="279"/>
      <c r="S256" s="268"/>
      <c r="T256" s="268"/>
      <c r="U256" s="64"/>
    </row>
    <row r="257" spans="1:21" s="27" customFormat="1" ht="30" hidden="1" customHeight="1">
      <c r="A257" s="71" t="s">
        <v>41</v>
      </c>
      <c r="B257" s="72" t="s">
        <v>361</v>
      </c>
      <c r="C257" s="73" t="s">
        <v>357</v>
      </c>
      <c r="D257" s="244">
        <v>5</v>
      </c>
      <c r="E257" s="244">
        <v>5</v>
      </c>
      <c r="F257" s="74">
        <f t="shared" si="32"/>
        <v>0</v>
      </c>
      <c r="G257" s="74">
        <v>7408.5</v>
      </c>
      <c r="H257" s="74"/>
      <c r="I257" s="74"/>
      <c r="J257" s="74">
        <f t="shared" si="33"/>
        <v>37042.5</v>
      </c>
      <c r="K257" s="74">
        <f t="shared" si="34"/>
        <v>37042.5</v>
      </c>
      <c r="L257" s="123"/>
      <c r="M257" s="133">
        <f t="shared" si="36"/>
        <v>0</v>
      </c>
      <c r="N257" s="76" t="s">
        <v>360</v>
      </c>
      <c r="O257" s="162" t="s">
        <v>24</v>
      </c>
      <c r="P257" s="163"/>
      <c r="Q257" s="179"/>
      <c r="R257" s="279"/>
      <c r="S257" s="268"/>
      <c r="T257" s="268"/>
      <c r="U257" s="64"/>
    </row>
    <row r="258" spans="1:21" s="27" customFormat="1" ht="30" hidden="1" customHeight="1">
      <c r="A258" s="71" t="s">
        <v>43</v>
      </c>
      <c r="B258" s="72" t="s">
        <v>362</v>
      </c>
      <c r="C258" s="73" t="s">
        <v>357</v>
      </c>
      <c r="D258" s="244">
        <v>5</v>
      </c>
      <c r="E258" s="244">
        <v>5</v>
      </c>
      <c r="F258" s="74">
        <f t="shared" si="32"/>
        <v>0</v>
      </c>
      <c r="G258" s="74">
        <v>10319.280000000001</v>
      </c>
      <c r="H258" s="74"/>
      <c r="I258" s="74"/>
      <c r="J258" s="74">
        <f t="shared" si="33"/>
        <v>51596.4</v>
      </c>
      <c r="K258" s="74">
        <f t="shared" si="34"/>
        <v>51596.4</v>
      </c>
      <c r="L258" s="123"/>
      <c r="M258" s="133">
        <f t="shared" si="36"/>
        <v>0</v>
      </c>
      <c r="N258" s="76" t="s">
        <v>360</v>
      </c>
      <c r="O258" s="162" t="s">
        <v>24</v>
      </c>
      <c r="P258" s="163"/>
      <c r="Q258" s="179"/>
      <c r="R258" s="279"/>
      <c r="S258" s="268"/>
      <c r="T258" s="268"/>
      <c r="U258" s="64"/>
    </row>
    <row r="259" spans="1:21" s="27" customFormat="1" ht="30" hidden="1" customHeight="1">
      <c r="A259" s="71" t="s">
        <v>45</v>
      </c>
      <c r="B259" s="72" t="s">
        <v>363</v>
      </c>
      <c r="C259" s="73" t="s">
        <v>357</v>
      </c>
      <c r="D259" s="244">
        <v>2</v>
      </c>
      <c r="E259" s="244">
        <v>2</v>
      </c>
      <c r="F259" s="74">
        <f t="shared" si="32"/>
        <v>0</v>
      </c>
      <c r="G259" s="74">
        <v>15164.14</v>
      </c>
      <c r="H259" s="74"/>
      <c r="I259" s="74"/>
      <c r="J259" s="74">
        <f t="shared" si="33"/>
        <v>30328.28</v>
      </c>
      <c r="K259" s="74">
        <f t="shared" si="34"/>
        <v>30328.28</v>
      </c>
      <c r="L259" s="123"/>
      <c r="M259" s="133">
        <f t="shared" si="36"/>
        <v>0</v>
      </c>
      <c r="N259" s="76" t="s">
        <v>358</v>
      </c>
      <c r="O259" s="162" t="s">
        <v>24</v>
      </c>
      <c r="P259" s="163"/>
      <c r="Q259" s="179"/>
      <c r="R259" s="279"/>
      <c r="S259" s="268"/>
      <c r="T259" s="268"/>
      <c r="U259" s="64"/>
    </row>
    <row r="260" spans="1:21" s="27" customFormat="1" ht="30" hidden="1" customHeight="1">
      <c r="A260" s="71" t="s">
        <v>48</v>
      </c>
      <c r="B260" s="72" t="s">
        <v>364</v>
      </c>
      <c r="C260" s="73" t="s">
        <v>357</v>
      </c>
      <c r="D260" s="244">
        <v>6</v>
      </c>
      <c r="E260" s="244">
        <v>6</v>
      </c>
      <c r="F260" s="74">
        <f t="shared" si="32"/>
        <v>0</v>
      </c>
      <c r="G260" s="74">
        <v>21803.06</v>
      </c>
      <c r="H260" s="74"/>
      <c r="I260" s="74"/>
      <c r="J260" s="74">
        <f t="shared" si="33"/>
        <v>130818.36000000002</v>
      </c>
      <c r="K260" s="74">
        <f t="shared" si="34"/>
        <v>130818.36000000002</v>
      </c>
      <c r="L260" s="123"/>
      <c r="M260" s="133">
        <f t="shared" si="36"/>
        <v>0</v>
      </c>
      <c r="N260" s="76" t="s">
        <v>360</v>
      </c>
      <c r="O260" s="162" t="s">
        <v>24</v>
      </c>
      <c r="P260" s="163"/>
      <c r="Q260" s="179"/>
      <c r="R260" s="279"/>
      <c r="S260" s="268"/>
      <c r="T260" s="268"/>
      <c r="U260" s="64"/>
    </row>
    <row r="261" spans="1:21" s="27" customFormat="1" ht="30" hidden="1" customHeight="1">
      <c r="A261" s="71" t="s">
        <v>50</v>
      </c>
      <c r="B261" s="72" t="s">
        <v>365</v>
      </c>
      <c r="C261" s="73" t="s">
        <v>357</v>
      </c>
      <c r="D261" s="244">
        <v>3</v>
      </c>
      <c r="E261" s="244">
        <v>3</v>
      </c>
      <c r="F261" s="74">
        <f t="shared" si="32"/>
        <v>0</v>
      </c>
      <c r="G261" s="74">
        <v>26196.51</v>
      </c>
      <c r="H261" s="74"/>
      <c r="I261" s="74"/>
      <c r="J261" s="74">
        <f t="shared" si="33"/>
        <v>78589.53</v>
      </c>
      <c r="K261" s="74">
        <f t="shared" si="34"/>
        <v>78589.53</v>
      </c>
      <c r="L261" s="123"/>
      <c r="M261" s="133">
        <f t="shared" si="36"/>
        <v>0</v>
      </c>
      <c r="N261" s="76" t="s">
        <v>1</v>
      </c>
      <c r="O261" s="162" t="s">
        <v>24</v>
      </c>
      <c r="P261" s="163"/>
      <c r="Q261" s="179"/>
      <c r="R261" s="279"/>
      <c r="S261" s="268"/>
      <c r="T261" s="268"/>
      <c r="U261" s="64"/>
    </row>
    <row r="262" spans="1:21" s="27" customFormat="1" ht="30" hidden="1" customHeight="1">
      <c r="A262" s="71" t="s">
        <v>54</v>
      </c>
      <c r="B262" s="72" t="s">
        <v>366</v>
      </c>
      <c r="C262" s="73" t="s">
        <v>357</v>
      </c>
      <c r="D262" s="244">
        <v>2</v>
      </c>
      <c r="E262" s="244">
        <v>2</v>
      </c>
      <c r="F262" s="74">
        <f t="shared" si="32"/>
        <v>0</v>
      </c>
      <c r="G262" s="74">
        <v>29984.85</v>
      </c>
      <c r="H262" s="74"/>
      <c r="I262" s="74"/>
      <c r="J262" s="74">
        <f t="shared" si="33"/>
        <v>59969.7</v>
      </c>
      <c r="K262" s="74">
        <f t="shared" si="34"/>
        <v>59969.7</v>
      </c>
      <c r="L262" s="123"/>
      <c r="M262" s="133">
        <f t="shared" si="36"/>
        <v>0</v>
      </c>
      <c r="N262" s="76" t="s">
        <v>1</v>
      </c>
      <c r="O262" s="162" t="s">
        <v>24</v>
      </c>
      <c r="P262" s="163"/>
      <c r="Q262" s="179"/>
      <c r="R262" s="279"/>
      <c r="S262" s="268"/>
      <c r="T262" s="268"/>
      <c r="U262" s="64"/>
    </row>
    <row r="263" spans="1:21" s="27" customFormat="1" ht="30" hidden="1" customHeight="1">
      <c r="A263" s="3" t="s">
        <v>56</v>
      </c>
      <c r="B263" s="4" t="s">
        <v>367</v>
      </c>
      <c r="C263" s="5" t="s">
        <v>357</v>
      </c>
      <c r="D263" s="244">
        <v>3</v>
      </c>
      <c r="E263" s="244">
        <v>3</v>
      </c>
      <c r="F263" s="6">
        <f t="shared" si="32"/>
        <v>0</v>
      </c>
      <c r="G263" s="6">
        <v>38914.949999999997</v>
      </c>
      <c r="H263" s="28"/>
      <c r="I263" s="6"/>
      <c r="J263" s="6">
        <f t="shared" si="33"/>
        <v>116744.84999999999</v>
      </c>
      <c r="K263" s="6">
        <f t="shared" si="34"/>
        <v>116744.84999999999</v>
      </c>
      <c r="L263" s="122">
        <f t="shared" si="35"/>
        <v>0</v>
      </c>
      <c r="M263" s="127"/>
      <c r="N263" s="7" t="s">
        <v>1</v>
      </c>
      <c r="O263" s="148" t="s">
        <v>24</v>
      </c>
      <c r="P263" s="149"/>
      <c r="Q263" s="184"/>
      <c r="R263" s="279"/>
      <c r="S263" s="268"/>
      <c r="T263" s="268"/>
      <c r="U263" s="64"/>
    </row>
    <row r="264" spans="1:21" s="27" customFormat="1" ht="30" hidden="1" customHeight="1">
      <c r="A264" s="71" t="s">
        <v>58</v>
      </c>
      <c r="B264" s="72" t="s">
        <v>368</v>
      </c>
      <c r="C264" s="73" t="s">
        <v>357</v>
      </c>
      <c r="D264" s="244">
        <v>3</v>
      </c>
      <c r="E264" s="244">
        <v>3</v>
      </c>
      <c r="F264" s="74">
        <f t="shared" si="32"/>
        <v>0</v>
      </c>
      <c r="G264" s="74">
        <v>43624.88</v>
      </c>
      <c r="H264" s="74"/>
      <c r="I264" s="74"/>
      <c r="J264" s="74">
        <f t="shared" si="33"/>
        <v>130874.63999999998</v>
      </c>
      <c r="K264" s="74">
        <f t="shared" si="34"/>
        <v>130874.63999999998</v>
      </c>
      <c r="L264" s="123"/>
      <c r="M264" s="133">
        <f>K264-J264</f>
        <v>0</v>
      </c>
      <c r="N264" s="76" t="s">
        <v>1</v>
      </c>
      <c r="O264" s="162" t="s">
        <v>24</v>
      </c>
      <c r="P264" s="163"/>
      <c r="Q264" s="179"/>
      <c r="R264" s="279"/>
      <c r="S264" s="268"/>
      <c r="T264" s="268"/>
      <c r="U264" s="64"/>
    </row>
    <row r="265" spans="1:21" s="27" customFormat="1" ht="30" hidden="1" customHeight="1">
      <c r="A265" s="71" t="s">
        <v>60</v>
      </c>
      <c r="B265" s="72" t="s">
        <v>369</v>
      </c>
      <c r="C265" s="73" t="s">
        <v>357</v>
      </c>
      <c r="D265" s="244">
        <v>1</v>
      </c>
      <c r="E265" s="244">
        <v>1</v>
      </c>
      <c r="F265" s="74">
        <f t="shared" si="32"/>
        <v>0</v>
      </c>
      <c r="G265" s="74">
        <v>73088.800000000003</v>
      </c>
      <c r="H265" s="74"/>
      <c r="I265" s="74"/>
      <c r="J265" s="74">
        <f t="shared" si="33"/>
        <v>73088.800000000003</v>
      </c>
      <c r="K265" s="74">
        <f t="shared" si="34"/>
        <v>73088.800000000003</v>
      </c>
      <c r="L265" s="123"/>
      <c r="M265" s="133">
        <f>K265-J265</f>
        <v>0</v>
      </c>
      <c r="N265" s="76" t="s">
        <v>1</v>
      </c>
      <c r="O265" s="162" t="s">
        <v>24</v>
      </c>
      <c r="P265" s="163"/>
      <c r="Q265" s="179"/>
      <c r="R265" s="279"/>
      <c r="S265" s="268"/>
      <c r="T265" s="268"/>
      <c r="U265" s="64"/>
    </row>
    <row r="266" spans="1:21" s="27" customFormat="1" ht="30" hidden="1" customHeight="1">
      <c r="A266" s="3" t="s">
        <v>63</v>
      </c>
      <c r="B266" s="4" t="s">
        <v>370</v>
      </c>
      <c r="C266" s="5" t="s">
        <v>357</v>
      </c>
      <c r="D266" s="6">
        <v>6</v>
      </c>
      <c r="E266" s="6">
        <v>6</v>
      </c>
      <c r="F266" s="6">
        <f t="shared" si="32"/>
        <v>0</v>
      </c>
      <c r="G266" s="6">
        <v>22814.5</v>
      </c>
      <c r="H266" s="6"/>
      <c r="I266" s="6"/>
      <c r="J266" s="6">
        <f t="shared" si="33"/>
        <v>136887</v>
      </c>
      <c r="K266" s="6">
        <f t="shared" si="34"/>
        <v>136887</v>
      </c>
      <c r="L266" s="122">
        <f t="shared" si="35"/>
        <v>0</v>
      </c>
      <c r="M266" s="127"/>
      <c r="N266" s="7" t="s">
        <v>371</v>
      </c>
      <c r="O266" s="148" t="s">
        <v>24</v>
      </c>
      <c r="P266" s="149"/>
      <c r="Q266" s="184"/>
      <c r="R266" s="161"/>
      <c r="S266" s="268"/>
      <c r="T266" s="268"/>
      <c r="U266" s="64"/>
    </row>
    <row r="267" spans="1:21" s="27" customFormat="1" ht="30" customHeight="1">
      <c r="A267" s="71" t="s">
        <v>67</v>
      </c>
      <c r="B267" s="72" t="s">
        <v>904</v>
      </c>
      <c r="C267" s="73" t="s">
        <v>357</v>
      </c>
      <c r="D267" s="74">
        <f>4+4</f>
        <v>8</v>
      </c>
      <c r="E267" s="74">
        <f>4+4</f>
        <v>8</v>
      </c>
      <c r="F267" s="74">
        <f t="shared" si="32"/>
        <v>0</v>
      </c>
      <c r="G267" s="74">
        <v>1963.3</v>
      </c>
      <c r="H267" s="74"/>
      <c r="I267" s="74"/>
      <c r="J267" s="74">
        <f t="shared" si="33"/>
        <v>15706.4</v>
      </c>
      <c r="K267" s="74">
        <f t="shared" si="34"/>
        <v>15706.4</v>
      </c>
      <c r="L267" s="123">
        <f t="shared" si="35"/>
        <v>0</v>
      </c>
      <c r="M267" s="128"/>
      <c r="N267" s="76" t="s">
        <v>1</v>
      </c>
      <c r="O267" s="162" t="s">
        <v>24</v>
      </c>
      <c r="P267" s="163"/>
      <c r="Q267" s="179"/>
      <c r="R267" s="279"/>
      <c r="S267" s="274"/>
      <c r="T267" s="268"/>
      <c r="U267" s="64"/>
    </row>
    <row r="268" spans="1:21" s="27" customFormat="1" ht="30" customHeight="1">
      <c r="A268" s="71" t="s">
        <v>69</v>
      </c>
      <c r="B268" s="72" t="s">
        <v>373</v>
      </c>
      <c r="C268" s="73" t="s">
        <v>357</v>
      </c>
      <c r="D268" s="74">
        <f>7+3</f>
        <v>10</v>
      </c>
      <c r="E268" s="74">
        <f>7+3</f>
        <v>10</v>
      </c>
      <c r="F268" s="74">
        <f t="shared" si="32"/>
        <v>0</v>
      </c>
      <c r="G268" s="74">
        <v>2216.6</v>
      </c>
      <c r="H268" s="74"/>
      <c r="I268" s="74"/>
      <c r="J268" s="74">
        <f t="shared" si="33"/>
        <v>22166</v>
      </c>
      <c r="K268" s="74">
        <f t="shared" si="34"/>
        <v>22166</v>
      </c>
      <c r="L268" s="123">
        <f t="shared" si="35"/>
        <v>0</v>
      </c>
      <c r="M268" s="128"/>
      <c r="N268" s="76" t="s">
        <v>1</v>
      </c>
      <c r="O268" s="162" t="s">
        <v>24</v>
      </c>
      <c r="P268" s="163"/>
      <c r="Q268" s="179"/>
      <c r="R268" s="279"/>
      <c r="S268" s="274"/>
      <c r="T268" s="268"/>
      <c r="U268" s="64"/>
    </row>
    <row r="269" spans="1:21" s="27" customFormat="1" ht="30" hidden="1" customHeight="1">
      <c r="A269" s="71" t="s">
        <v>73</v>
      </c>
      <c r="B269" s="72" t="s">
        <v>374</v>
      </c>
      <c r="C269" s="73" t="s">
        <v>357</v>
      </c>
      <c r="D269" s="74">
        <v>17</v>
      </c>
      <c r="E269" s="74">
        <v>17</v>
      </c>
      <c r="F269" s="74">
        <f t="shared" si="32"/>
        <v>0</v>
      </c>
      <c r="G269" s="74">
        <v>2999.02</v>
      </c>
      <c r="H269" s="74"/>
      <c r="I269" s="74"/>
      <c r="J269" s="74">
        <f t="shared" si="33"/>
        <v>50983.34</v>
      </c>
      <c r="K269" s="74">
        <f t="shared" si="34"/>
        <v>50983.34</v>
      </c>
      <c r="L269" s="123"/>
      <c r="M269" s="133">
        <f>K269-J269</f>
        <v>0</v>
      </c>
      <c r="N269" s="76" t="s">
        <v>1</v>
      </c>
      <c r="O269" s="162" t="s">
        <v>24</v>
      </c>
      <c r="P269" s="163"/>
      <c r="Q269" s="179"/>
      <c r="R269" s="279"/>
      <c r="S269" s="274"/>
      <c r="T269" s="268"/>
      <c r="U269" s="64"/>
    </row>
    <row r="270" spans="1:21" s="27" customFormat="1" ht="30" hidden="1" customHeight="1">
      <c r="A270" s="3" t="s">
        <v>76</v>
      </c>
      <c r="B270" s="4" t="s">
        <v>375</v>
      </c>
      <c r="C270" s="5" t="s">
        <v>357</v>
      </c>
      <c r="D270" s="6">
        <v>3</v>
      </c>
      <c r="E270" s="6">
        <v>3</v>
      </c>
      <c r="F270" s="6">
        <f t="shared" si="32"/>
        <v>0</v>
      </c>
      <c r="G270" s="6">
        <v>4720.5600000000004</v>
      </c>
      <c r="H270" s="6"/>
      <c r="I270" s="6"/>
      <c r="J270" s="6">
        <f t="shared" si="33"/>
        <v>14161.68</v>
      </c>
      <c r="K270" s="6">
        <f t="shared" si="34"/>
        <v>14161.68</v>
      </c>
      <c r="L270" s="122">
        <f t="shared" si="35"/>
        <v>0</v>
      </c>
      <c r="M270" s="127"/>
      <c r="N270" s="7" t="s">
        <v>1</v>
      </c>
      <c r="O270" s="148" t="s">
        <v>24</v>
      </c>
      <c r="P270" s="149"/>
      <c r="Q270" s="184"/>
      <c r="R270" s="279"/>
      <c r="S270" s="274"/>
      <c r="T270" s="268"/>
      <c r="U270" s="64"/>
    </row>
    <row r="271" spans="1:21" s="27" customFormat="1" ht="30" customHeight="1">
      <c r="A271" s="71" t="s">
        <v>79</v>
      </c>
      <c r="B271" s="72" t="s">
        <v>376</v>
      </c>
      <c r="C271" s="73" t="s">
        <v>357</v>
      </c>
      <c r="D271" s="74">
        <f>4+1</f>
        <v>5</v>
      </c>
      <c r="E271" s="74">
        <f>4+1</f>
        <v>5</v>
      </c>
      <c r="F271" s="74">
        <f t="shared" si="32"/>
        <v>0</v>
      </c>
      <c r="G271" s="74">
        <v>5897.9</v>
      </c>
      <c r="H271" s="74"/>
      <c r="I271" s="74"/>
      <c r="J271" s="74">
        <f t="shared" si="33"/>
        <v>29489.5</v>
      </c>
      <c r="K271" s="74">
        <f t="shared" si="34"/>
        <v>29489.5</v>
      </c>
      <c r="L271" s="123">
        <f t="shared" si="35"/>
        <v>0</v>
      </c>
      <c r="M271" s="128"/>
      <c r="N271" s="76" t="s">
        <v>1</v>
      </c>
      <c r="O271" s="162" t="s">
        <v>24</v>
      </c>
      <c r="P271" s="163"/>
      <c r="Q271" s="179"/>
      <c r="R271" s="279"/>
      <c r="S271" s="274"/>
      <c r="T271" s="268"/>
      <c r="U271" s="64"/>
    </row>
    <row r="272" spans="1:21" s="27" customFormat="1" ht="30" hidden="1" customHeight="1">
      <c r="A272" s="71" t="s">
        <v>81</v>
      </c>
      <c r="B272" s="72" t="s">
        <v>377</v>
      </c>
      <c r="C272" s="73" t="s">
        <v>357</v>
      </c>
      <c r="D272" s="74">
        <v>1</v>
      </c>
      <c r="E272" s="74">
        <v>1</v>
      </c>
      <c r="F272" s="74">
        <f t="shared" si="32"/>
        <v>0</v>
      </c>
      <c r="G272" s="74">
        <v>9356.16</v>
      </c>
      <c r="H272" s="74"/>
      <c r="I272" s="74"/>
      <c r="J272" s="74">
        <f t="shared" si="33"/>
        <v>9356.16</v>
      </c>
      <c r="K272" s="74">
        <f t="shared" si="34"/>
        <v>9356.16</v>
      </c>
      <c r="L272" s="123"/>
      <c r="M272" s="133">
        <f>K272-J272</f>
        <v>0</v>
      </c>
      <c r="N272" s="76" t="s">
        <v>1</v>
      </c>
      <c r="O272" s="162" t="s">
        <v>24</v>
      </c>
      <c r="P272" s="163"/>
      <c r="Q272" s="179"/>
      <c r="R272" s="279"/>
      <c r="S272" s="274"/>
      <c r="T272" s="268"/>
      <c r="U272" s="64"/>
    </row>
    <row r="273" spans="1:21" s="27" customFormat="1" ht="30" hidden="1" customHeight="1">
      <c r="A273" s="71" t="s">
        <v>83</v>
      </c>
      <c r="B273" s="72" t="s">
        <v>378</v>
      </c>
      <c r="C273" s="73" t="s">
        <v>357</v>
      </c>
      <c r="D273" s="74">
        <f>0+1</f>
        <v>1</v>
      </c>
      <c r="E273" s="74">
        <f>0+1</f>
        <v>1</v>
      </c>
      <c r="F273" s="74">
        <f t="shared" si="32"/>
        <v>0</v>
      </c>
      <c r="G273" s="74">
        <v>13184.01</v>
      </c>
      <c r="H273" s="74"/>
      <c r="I273" s="74"/>
      <c r="J273" s="74">
        <f t="shared" si="33"/>
        <v>13184.01</v>
      </c>
      <c r="K273" s="74">
        <f t="shared" si="34"/>
        <v>13184.01</v>
      </c>
      <c r="L273" s="123"/>
      <c r="M273" s="133">
        <f>K273-J273</f>
        <v>0</v>
      </c>
      <c r="N273" s="76" t="s">
        <v>1</v>
      </c>
      <c r="O273" s="162" t="s">
        <v>24</v>
      </c>
      <c r="P273" s="163"/>
      <c r="Q273" s="179"/>
      <c r="R273" s="167"/>
      <c r="S273" s="268"/>
      <c r="T273" s="268"/>
      <c r="U273" s="64"/>
    </row>
    <row r="274" spans="1:21" s="27" customFormat="1" ht="42.75" hidden="1">
      <c r="A274" s="3" t="s">
        <v>85</v>
      </c>
      <c r="B274" s="4" t="s">
        <v>379</v>
      </c>
      <c r="C274" s="5" t="s">
        <v>36</v>
      </c>
      <c r="D274" s="6">
        <v>47.01</v>
      </c>
      <c r="E274" s="6">
        <v>47.01</v>
      </c>
      <c r="F274" s="6">
        <f t="shared" si="32"/>
        <v>0</v>
      </c>
      <c r="G274" s="6">
        <v>1859.87</v>
      </c>
      <c r="H274" s="6"/>
      <c r="I274" s="6"/>
      <c r="J274" s="6">
        <f t="shared" si="33"/>
        <v>87432.488699999987</v>
      </c>
      <c r="K274" s="6">
        <f t="shared" si="34"/>
        <v>87432.488699999987</v>
      </c>
      <c r="L274" s="122">
        <f t="shared" si="35"/>
        <v>0</v>
      </c>
      <c r="M274" s="127"/>
      <c r="N274" s="7" t="s">
        <v>380</v>
      </c>
      <c r="O274" s="148" t="s">
        <v>24</v>
      </c>
      <c r="P274" s="149"/>
      <c r="Q274" s="184"/>
      <c r="R274" s="161"/>
      <c r="S274" s="268"/>
      <c r="T274" s="268"/>
      <c r="U274" s="64"/>
    </row>
    <row r="275" spans="1:21" s="27" customFormat="1" ht="42.75" hidden="1">
      <c r="A275" s="3" t="s">
        <v>88</v>
      </c>
      <c r="B275" s="4" t="s">
        <v>381</v>
      </c>
      <c r="C275" s="5" t="s">
        <v>228</v>
      </c>
      <c r="D275" s="6">
        <v>63</v>
      </c>
      <c r="E275" s="6">
        <v>63</v>
      </c>
      <c r="F275" s="6">
        <f t="shared" si="32"/>
        <v>0</v>
      </c>
      <c r="G275" s="6">
        <v>40</v>
      </c>
      <c r="H275" s="6"/>
      <c r="I275" s="6"/>
      <c r="J275" s="6">
        <f t="shared" si="33"/>
        <v>2520</v>
      </c>
      <c r="K275" s="6">
        <f t="shared" si="34"/>
        <v>2520</v>
      </c>
      <c r="L275" s="122">
        <f t="shared" si="35"/>
        <v>0</v>
      </c>
      <c r="M275" s="127"/>
      <c r="N275" s="7" t="s">
        <v>382</v>
      </c>
      <c r="O275" s="148" t="s">
        <v>24</v>
      </c>
      <c r="P275" s="149"/>
      <c r="Q275" s="184"/>
      <c r="R275" s="161"/>
      <c r="S275" s="268"/>
      <c r="T275" s="268"/>
      <c r="U275" s="64"/>
    </row>
    <row r="276" spans="1:21" s="27" customFormat="1" ht="42.75" hidden="1">
      <c r="A276" s="3" t="s">
        <v>92</v>
      </c>
      <c r="B276" s="4" t="s">
        <v>383</v>
      </c>
      <c r="C276" s="5" t="s">
        <v>123</v>
      </c>
      <c r="D276" s="6">
        <v>315</v>
      </c>
      <c r="E276" s="6">
        <v>315</v>
      </c>
      <c r="F276" s="6">
        <f t="shared" si="32"/>
        <v>0</v>
      </c>
      <c r="G276" s="6">
        <v>35</v>
      </c>
      <c r="H276" s="6"/>
      <c r="I276" s="6"/>
      <c r="J276" s="6">
        <f t="shared" si="33"/>
        <v>11025</v>
      </c>
      <c r="K276" s="6">
        <f t="shared" si="34"/>
        <v>11025</v>
      </c>
      <c r="L276" s="122">
        <f t="shared" si="35"/>
        <v>0</v>
      </c>
      <c r="M276" s="127"/>
      <c r="N276" s="7" t="s">
        <v>384</v>
      </c>
      <c r="O276" s="148" t="s">
        <v>24</v>
      </c>
      <c r="P276" s="149"/>
      <c r="Q276" s="184"/>
      <c r="R276" s="161"/>
      <c r="S276" s="268"/>
      <c r="T276" s="268"/>
      <c r="U276" s="64"/>
    </row>
    <row r="277" spans="1:21" s="27" customFormat="1" ht="42.75" hidden="1">
      <c r="A277" s="3" t="s">
        <v>128</v>
      </c>
      <c r="B277" s="4" t="s">
        <v>385</v>
      </c>
      <c r="C277" s="5" t="s">
        <v>36</v>
      </c>
      <c r="D277" s="6">
        <v>1200</v>
      </c>
      <c r="E277" s="6">
        <v>1200</v>
      </c>
      <c r="F277" s="6">
        <f t="shared" si="32"/>
        <v>0</v>
      </c>
      <c r="G277" s="6">
        <v>10</v>
      </c>
      <c r="H277" s="6"/>
      <c r="I277" s="6"/>
      <c r="J277" s="6">
        <f t="shared" si="33"/>
        <v>12000</v>
      </c>
      <c r="K277" s="6">
        <f t="shared" si="34"/>
        <v>12000</v>
      </c>
      <c r="L277" s="122">
        <f t="shared" si="35"/>
        <v>0</v>
      </c>
      <c r="M277" s="127"/>
      <c r="N277" s="7" t="s">
        <v>1</v>
      </c>
      <c r="O277" s="148" t="s">
        <v>24</v>
      </c>
      <c r="P277" s="149"/>
      <c r="Q277" s="184"/>
      <c r="R277" s="161"/>
      <c r="S277" s="268"/>
      <c r="T277" s="268"/>
      <c r="U277" s="64"/>
    </row>
    <row r="278" spans="1:21" s="27" customFormat="1" ht="33" hidden="1">
      <c r="A278" s="3" t="s">
        <v>130</v>
      </c>
      <c r="B278" s="4" t="s">
        <v>386</v>
      </c>
      <c r="C278" s="5" t="s">
        <v>52</v>
      </c>
      <c r="D278" s="6">
        <v>30.85</v>
      </c>
      <c r="E278" s="6">
        <v>30.85</v>
      </c>
      <c r="F278" s="6">
        <f t="shared" si="32"/>
        <v>0</v>
      </c>
      <c r="G278" s="6">
        <v>531</v>
      </c>
      <c r="H278" s="6"/>
      <c r="I278" s="6"/>
      <c r="J278" s="6">
        <f t="shared" si="33"/>
        <v>16381.35</v>
      </c>
      <c r="K278" s="6">
        <f t="shared" si="34"/>
        <v>16381.35</v>
      </c>
      <c r="L278" s="122">
        <f t="shared" si="35"/>
        <v>0</v>
      </c>
      <c r="M278" s="127"/>
      <c r="N278" s="7" t="s">
        <v>387</v>
      </c>
      <c r="O278" s="148" t="s">
        <v>24</v>
      </c>
      <c r="P278" s="149"/>
      <c r="Q278" s="184"/>
      <c r="R278" s="161"/>
      <c r="S278" s="268"/>
      <c r="T278" s="268"/>
      <c r="U278" s="64"/>
    </row>
    <row r="279" spans="1:21" s="27" customFormat="1" ht="33" hidden="1">
      <c r="A279" s="3" t="s">
        <v>132</v>
      </c>
      <c r="B279" s="4" t="s">
        <v>388</v>
      </c>
      <c r="C279" s="5" t="s">
        <v>31</v>
      </c>
      <c r="D279" s="6">
        <v>3.7</v>
      </c>
      <c r="E279" s="6">
        <v>3.7</v>
      </c>
      <c r="F279" s="6">
        <f t="shared" si="32"/>
        <v>0</v>
      </c>
      <c r="G279" s="6">
        <v>3386.57</v>
      </c>
      <c r="H279" s="6"/>
      <c r="I279" s="6"/>
      <c r="J279" s="6">
        <f t="shared" si="33"/>
        <v>12530.309000000001</v>
      </c>
      <c r="K279" s="6">
        <f t="shared" si="34"/>
        <v>12530.309000000001</v>
      </c>
      <c r="L279" s="122">
        <f t="shared" si="35"/>
        <v>0</v>
      </c>
      <c r="M279" s="127"/>
      <c r="N279" s="7" t="s">
        <v>1</v>
      </c>
      <c r="O279" s="148" t="s">
        <v>24</v>
      </c>
      <c r="P279" s="149"/>
      <c r="Q279" s="184"/>
      <c r="R279" s="161"/>
      <c r="S279" s="268"/>
      <c r="T279" s="268"/>
      <c r="U279" s="64"/>
    </row>
    <row r="280" spans="1:21" s="27" customFormat="1" ht="33" hidden="1">
      <c r="A280" s="3" t="s">
        <v>134</v>
      </c>
      <c r="B280" s="4" t="s">
        <v>389</v>
      </c>
      <c r="C280" s="5" t="s">
        <v>23</v>
      </c>
      <c r="D280" s="6">
        <v>1</v>
      </c>
      <c r="E280" s="6">
        <v>1</v>
      </c>
      <c r="F280" s="6">
        <f t="shared" si="32"/>
        <v>0</v>
      </c>
      <c r="G280" s="6">
        <v>108000</v>
      </c>
      <c r="H280" s="6"/>
      <c r="I280" s="6"/>
      <c r="J280" s="6">
        <f t="shared" si="33"/>
        <v>108000</v>
      </c>
      <c r="K280" s="6">
        <f t="shared" si="34"/>
        <v>108000</v>
      </c>
      <c r="L280" s="122">
        <f t="shared" si="35"/>
        <v>0</v>
      </c>
      <c r="M280" s="127"/>
      <c r="N280" s="7" t="s">
        <v>390</v>
      </c>
      <c r="O280" s="148" t="s">
        <v>24</v>
      </c>
      <c r="P280" s="149"/>
      <c r="Q280" s="184"/>
      <c r="R280" s="161"/>
      <c r="S280" s="268"/>
      <c r="T280" s="268"/>
      <c r="U280" s="64"/>
    </row>
    <row r="281" spans="1:21" s="27" customFormat="1" ht="33" hidden="1">
      <c r="A281" s="3" t="s">
        <v>136</v>
      </c>
      <c r="B281" s="4" t="s">
        <v>391</v>
      </c>
      <c r="C281" s="5" t="s">
        <v>52</v>
      </c>
      <c r="D281" s="6">
        <v>1448.32</v>
      </c>
      <c r="E281" s="6">
        <v>1448.32</v>
      </c>
      <c r="F281" s="6">
        <f t="shared" si="32"/>
        <v>0</v>
      </c>
      <c r="G281" s="6">
        <v>500</v>
      </c>
      <c r="H281" s="6"/>
      <c r="I281" s="6"/>
      <c r="J281" s="6">
        <f t="shared" si="33"/>
        <v>724160</v>
      </c>
      <c r="K281" s="6">
        <f t="shared" si="34"/>
        <v>724160</v>
      </c>
      <c r="L281" s="122">
        <f t="shared" si="35"/>
        <v>0</v>
      </c>
      <c r="M281" s="127"/>
      <c r="N281" s="7" t="s">
        <v>62</v>
      </c>
      <c r="O281" s="148" t="s">
        <v>24</v>
      </c>
      <c r="P281" s="149"/>
      <c r="Q281" s="184"/>
      <c r="R281" s="161"/>
      <c r="S281" s="268"/>
      <c r="T281" s="268"/>
      <c r="U281" s="64"/>
    </row>
    <row r="282" spans="1:21" s="27" customFormat="1" ht="42.75" hidden="1">
      <c r="A282" s="3" t="s">
        <v>138</v>
      </c>
      <c r="B282" s="4" t="s">
        <v>392</v>
      </c>
      <c r="C282" s="5" t="s">
        <v>357</v>
      </c>
      <c r="D282" s="26">
        <v>42</v>
      </c>
      <c r="E282" s="26">
        <v>42</v>
      </c>
      <c r="F282" s="6">
        <f t="shared" si="32"/>
        <v>0</v>
      </c>
      <c r="G282" s="6">
        <v>10176.969999999999</v>
      </c>
      <c r="H282" s="6"/>
      <c r="I282" s="6"/>
      <c r="J282" s="6">
        <f t="shared" si="33"/>
        <v>427432.74</v>
      </c>
      <c r="K282" s="6">
        <f t="shared" si="34"/>
        <v>427432.74</v>
      </c>
      <c r="L282" s="122">
        <f t="shared" si="35"/>
        <v>0</v>
      </c>
      <c r="M282" s="127"/>
      <c r="N282" s="7" t="s">
        <v>62</v>
      </c>
      <c r="O282" s="148" t="s">
        <v>24</v>
      </c>
      <c r="P282" s="149"/>
      <c r="Q282" s="184"/>
      <c r="R282" s="161"/>
      <c r="S282" s="268"/>
      <c r="T282" s="268"/>
      <c r="U282" s="64"/>
    </row>
    <row r="283" spans="1:21" s="27" customFormat="1" ht="42.75" hidden="1">
      <c r="A283" s="3" t="s">
        <v>140</v>
      </c>
      <c r="B283" s="4" t="s">
        <v>393</v>
      </c>
      <c r="C283" s="5" t="s">
        <v>357</v>
      </c>
      <c r="D283" s="26">
        <v>19</v>
      </c>
      <c r="E283" s="26">
        <v>19</v>
      </c>
      <c r="F283" s="6">
        <f t="shared" si="32"/>
        <v>0</v>
      </c>
      <c r="G283" s="6">
        <v>13526.18</v>
      </c>
      <c r="H283" s="6"/>
      <c r="I283" s="6"/>
      <c r="J283" s="6">
        <f t="shared" si="33"/>
        <v>256997.42</v>
      </c>
      <c r="K283" s="6">
        <f t="shared" si="34"/>
        <v>256997.42</v>
      </c>
      <c r="L283" s="122">
        <f t="shared" si="35"/>
        <v>0</v>
      </c>
      <c r="M283" s="127"/>
      <c r="N283" s="7" t="s">
        <v>62</v>
      </c>
      <c r="O283" s="148" t="s">
        <v>24</v>
      </c>
      <c r="P283" s="149"/>
      <c r="Q283" s="184"/>
      <c r="R283" s="161"/>
      <c r="S283" s="268"/>
      <c r="T283" s="268"/>
      <c r="U283" s="64"/>
    </row>
    <row r="284" spans="1:21" s="27" customFormat="1" ht="42.75" hidden="1">
      <c r="A284" s="3" t="s">
        <v>142</v>
      </c>
      <c r="B284" s="4" t="s">
        <v>394</v>
      </c>
      <c r="C284" s="5" t="s">
        <v>357</v>
      </c>
      <c r="D284" s="26">
        <v>8</v>
      </c>
      <c r="E284" s="26">
        <v>8</v>
      </c>
      <c r="F284" s="6">
        <f t="shared" si="32"/>
        <v>0</v>
      </c>
      <c r="G284" s="6">
        <v>8660.64</v>
      </c>
      <c r="H284" s="6"/>
      <c r="I284" s="6"/>
      <c r="J284" s="6">
        <f t="shared" si="33"/>
        <v>69285.119999999995</v>
      </c>
      <c r="K284" s="6">
        <f t="shared" si="34"/>
        <v>69285.119999999995</v>
      </c>
      <c r="L284" s="122">
        <f t="shared" si="35"/>
        <v>0</v>
      </c>
      <c r="M284" s="127"/>
      <c r="N284" s="7" t="s">
        <v>62</v>
      </c>
      <c r="O284" s="148" t="s">
        <v>24</v>
      </c>
      <c r="P284" s="149"/>
      <c r="Q284" s="184"/>
      <c r="R284" s="161"/>
      <c r="S284" s="268"/>
      <c r="T284" s="268"/>
      <c r="U284" s="64"/>
    </row>
    <row r="285" spans="1:21" s="27" customFormat="1" ht="42.75" hidden="1">
      <c r="A285" s="3" t="s">
        <v>144</v>
      </c>
      <c r="B285" s="4" t="s">
        <v>395</v>
      </c>
      <c r="C285" s="5" t="s">
        <v>357</v>
      </c>
      <c r="D285" s="26">
        <v>8</v>
      </c>
      <c r="E285" s="26">
        <v>8</v>
      </c>
      <c r="F285" s="6">
        <f t="shared" ref="F285:F316" si="37">E285-D285</f>
        <v>0</v>
      </c>
      <c r="G285" s="6">
        <v>17930.64</v>
      </c>
      <c r="H285" s="6"/>
      <c r="I285" s="6"/>
      <c r="J285" s="6">
        <f t="shared" ref="J285:J316" si="38">D285*G285</f>
        <v>143445.12</v>
      </c>
      <c r="K285" s="6">
        <f t="shared" ref="K285:K316" si="39">E285*G285</f>
        <v>143445.12</v>
      </c>
      <c r="L285" s="122">
        <f t="shared" si="35"/>
        <v>0</v>
      </c>
      <c r="M285" s="127"/>
      <c r="N285" s="7" t="s">
        <v>62</v>
      </c>
      <c r="O285" s="148" t="s">
        <v>24</v>
      </c>
      <c r="P285" s="149"/>
      <c r="Q285" s="184"/>
      <c r="R285" s="161"/>
      <c r="S285" s="268"/>
      <c r="T285" s="268"/>
      <c r="U285" s="64"/>
    </row>
    <row r="286" spans="1:21" s="27" customFormat="1" ht="42.75" hidden="1">
      <c r="A286" s="3" t="s">
        <v>146</v>
      </c>
      <c r="B286" s="4" t="s">
        <v>396</v>
      </c>
      <c r="C286" s="5" t="s">
        <v>357</v>
      </c>
      <c r="D286" s="26">
        <v>14</v>
      </c>
      <c r="E286" s="26">
        <v>14</v>
      </c>
      <c r="F286" s="6">
        <f t="shared" si="37"/>
        <v>0</v>
      </c>
      <c r="G286" s="6">
        <v>5272.95</v>
      </c>
      <c r="H286" s="6"/>
      <c r="I286" s="6"/>
      <c r="J286" s="6">
        <f t="shared" si="38"/>
        <v>73821.3</v>
      </c>
      <c r="K286" s="6">
        <f t="shared" si="39"/>
        <v>73821.3</v>
      </c>
      <c r="L286" s="122">
        <f t="shared" si="35"/>
        <v>0</v>
      </c>
      <c r="M286" s="127"/>
      <c r="N286" s="7" t="s">
        <v>62</v>
      </c>
      <c r="O286" s="148" t="s">
        <v>24</v>
      </c>
      <c r="P286" s="149"/>
      <c r="Q286" s="184"/>
      <c r="R286" s="161"/>
      <c r="S286" s="268"/>
      <c r="T286" s="268"/>
      <c r="U286" s="64"/>
    </row>
    <row r="287" spans="1:21" s="27" customFormat="1" ht="42.75" hidden="1">
      <c r="A287" s="3" t="s">
        <v>148</v>
      </c>
      <c r="B287" s="4" t="s">
        <v>397</v>
      </c>
      <c r="C287" s="5" t="s">
        <v>357</v>
      </c>
      <c r="D287" s="26">
        <v>15</v>
      </c>
      <c r="E287" s="26">
        <v>15</v>
      </c>
      <c r="F287" s="6">
        <f t="shared" si="37"/>
        <v>0</v>
      </c>
      <c r="G287" s="6">
        <v>5272.95</v>
      </c>
      <c r="H287" s="6"/>
      <c r="I287" s="6"/>
      <c r="J287" s="6">
        <f t="shared" si="38"/>
        <v>79094.25</v>
      </c>
      <c r="K287" s="6">
        <f t="shared" si="39"/>
        <v>79094.25</v>
      </c>
      <c r="L287" s="122">
        <f t="shared" si="35"/>
        <v>0</v>
      </c>
      <c r="M287" s="127"/>
      <c r="N287" s="7" t="s">
        <v>62</v>
      </c>
      <c r="O287" s="148" t="s">
        <v>24</v>
      </c>
      <c r="P287" s="149"/>
      <c r="Q287" s="184"/>
      <c r="R287" s="161"/>
      <c r="S287" s="268"/>
      <c r="T287" s="268"/>
      <c r="U287" s="64"/>
    </row>
    <row r="288" spans="1:21" s="27" customFormat="1" ht="42.75" hidden="1">
      <c r="A288" s="3" t="s">
        <v>150</v>
      </c>
      <c r="B288" s="4" t="s">
        <v>398</v>
      </c>
      <c r="C288" s="5" t="s">
        <v>357</v>
      </c>
      <c r="D288" s="26">
        <v>1</v>
      </c>
      <c r="E288" s="26">
        <v>1</v>
      </c>
      <c r="F288" s="6">
        <f t="shared" si="37"/>
        <v>0</v>
      </c>
      <c r="G288" s="6">
        <v>7859.47</v>
      </c>
      <c r="H288" s="6"/>
      <c r="I288" s="6"/>
      <c r="J288" s="6">
        <f t="shared" si="38"/>
        <v>7859.47</v>
      </c>
      <c r="K288" s="6">
        <f t="shared" si="39"/>
        <v>7859.47</v>
      </c>
      <c r="L288" s="122">
        <f t="shared" si="35"/>
        <v>0</v>
      </c>
      <c r="M288" s="127"/>
      <c r="N288" s="7" t="s">
        <v>62</v>
      </c>
      <c r="O288" s="148" t="s">
        <v>24</v>
      </c>
      <c r="P288" s="149"/>
      <c r="Q288" s="184"/>
      <c r="R288" s="161"/>
      <c r="S288" s="268"/>
      <c r="T288" s="268"/>
      <c r="U288" s="64"/>
    </row>
    <row r="289" spans="1:21" s="27" customFormat="1" ht="42.75" hidden="1">
      <c r="A289" s="3" t="s">
        <v>152</v>
      </c>
      <c r="B289" s="4" t="s">
        <v>399</v>
      </c>
      <c r="C289" s="5" t="s">
        <v>357</v>
      </c>
      <c r="D289" s="26">
        <v>1</v>
      </c>
      <c r="E289" s="26">
        <v>1</v>
      </c>
      <c r="F289" s="6">
        <f t="shared" si="37"/>
        <v>0</v>
      </c>
      <c r="G289" s="6">
        <v>5839.45</v>
      </c>
      <c r="H289" s="6"/>
      <c r="I289" s="6"/>
      <c r="J289" s="6">
        <f t="shared" si="38"/>
        <v>5839.45</v>
      </c>
      <c r="K289" s="6">
        <f t="shared" si="39"/>
        <v>5839.45</v>
      </c>
      <c r="L289" s="122">
        <f t="shared" si="35"/>
        <v>0</v>
      </c>
      <c r="M289" s="127"/>
      <c r="N289" s="7" t="s">
        <v>62</v>
      </c>
      <c r="O289" s="148" t="s">
        <v>24</v>
      </c>
      <c r="P289" s="149"/>
      <c r="Q289" s="184"/>
      <c r="R289" s="161"/>
      <c r="S289" s="268"/>
      <c r="T289" s="268"/>
      <c r="U289" s="64"/>
    </row>
    <row r="290" spans="1:21" s="27" customFormat="1" ht="42.75" hidden="1">
      <c r="A290" s="3" t="s">
        <v>154</v>
      </c>
      <c r="B290" s="4" t="s">
        <v>400</v>
      </c>
      <c r="C290" s="5" t="s">
        <v>357</v>
      </c>
      <c r="D290" s="26">
        <v>1</v>
      </c>
      <c r="E290" s="26">
        <v>1</v>
      </c>
      <c r="F290" s="6">
        <f t="shared" si="37"/>
        <v>0</v>
      </c>
      <c r="G290" s="6">
        <v>7189.97</v>
      </c>
      <c r="H290" s="6"/>
      <c r="I290" s="6"/>
      <c r="J290" s="6">
        <f t="shared" si="38"/>
        <v>7189.97</v>
      </c>
      <c r="K290" s="6">
        <f t="shared" si="39"/>
        <v>7189.97</v>
      </c>
      <c r="L290" s="122">
        <f t="shared" si="35"/>
        <v>0</v>
      </c>
      <c r="M290" s="127"/>
      <c r="N290" s="7" t="s">
        <v>62</v>
      </c>
      <c r="O290" s="148" t="s">
        <v>24</v>
      </c>
      <c r="P290" s="149"/>
      <c r="Q290" s="184"/>
      <c r="R290" s="161"/>
      <c r="S290" s="268"/>
      <c r="T290" s="268"/>
      <c r="U290" s="64"/>
    </row>
    <row r="291" spans="1:21" s="27" customFormat="1" ht="42.75" hidden="1">
      <c r="A291" s="3" t="s">
        <v>156</v>
      </c>
      <c r="B291" s="4" t="s">
        <v>401</v>
      </c>
      <c r="C291" s="5" t="s">
        <v>357</v>
      </c>
      <c r="D291" s="26">
        <v>4</v>
      </c>
      <c r="E291" s="26">
        <v>4</v>
      </c>
      <c r="F291" s="6">
        <f t="shared" si="37"/>
        <v>0</v>
      </c>
      <c r="G291" s="6">
        <v>4860.95</v>
      </c>
      <c r="H291" s="6"/>
      <c r="I291" s="6"/>
      <c r="J291" s="6">
        <f t="shared" si="38"/>
        <v>19443.8</v>
      </c>
      <c r="K291" s="6">
        <f t="shared" si="39"/>
        <v>19443.8</v>
      </c>
      <c r="L291" s="122">
        <f t="shared" si="35"/>
        <v>0</v>
      </c>
      <c r="M291" s="127"/>
      <c r="N291" s="7" t="s">
        <v>62</v>
      </c>
      <c r="O291" s="148" t="s">
        <v>24</v>
      </c>
      <c r="P291" s="149"/>
      <c r="Q291" s="184"/>
      <c r="R291" s="161"/>
      <c r="S291" s="268"/>
      <c r="T291" s="268"/>
      <c r="U291" s="64"/>
    </row>
    <row r="292" spans="1:21" s="27" customFormat="1" ht="42.75" hidden="1">
      <c r="A292" s="3" t="s">
        <v>158</v>
      </c>
      <c r="B292" s="4" t="s">
        <v>402</v>
      </c>
      <c r="C292" s="5" t="s">
        <v>357</v>
      </c>
      <c r="D292" s="26">
        <v>1</v>
      </c>
      <c r="E292" s="26">
        <v>1</v>
      </c>
      <c r="F292" s="6">
        <f t="shared" si="37"/>
        <v>0</v>
      </c>
      <c r="G292" s="6">
        <v>14800.45</v>
      </c>
      <c r="H292" s="6"/>
      <c r="I292" s="6"/>
      <c r="J292" s="6">
        <f t="shared" si="38"/>
        <v>14800.45</v>
      </c>
      <c r="K292" s="6">
        <f t="shared" si="39"/>
        <v>14800.45</v>
      </c>
      <c r="L292" s="122">
        <f t="shared" si="35"/>
        <v>0</v>
      </c>
      <c r="M292" s="127"/>
      <c r="N292" s="7" t="s">
        <v>62</v>
      </c>
      <c r="O292" s="148" t="s">
        <v>24</v>
      </c>
      <c r="P292" s="149"/>
      <c r="Q292" s="184"/>
      <c r="R292" s="161"/>
      <c r="S292" s="268"/>
      <c r="T292" s="268"/>
      <c r="U292" s="64"/>
    </row>
    <row r="293" spans="1:21" s="27" customFormat="1" ht="42.75" hidden="1">
      <c r="A293" s="3" t="s">
        <v>160</v>
      </c>
      <c r="B293" s="4" t="s">
        <v>403</v>
      </c>
      <c r="C293" s="5" t="s">
        <v>357</v>
      </c>
      <c r="D293" s="26">
        <v>1</v>
      </c>
      <c r="E293" s="26">
        <v>1</v>
      </c>
      <c r="F293" s="6">
        <f t="shared" si="37"/>
        <v>0</v>
      </c>
      <c r="G293" s="6">
        <v>6661.47</v>
      </c>
      <c r="H293" s="6"/>
      <c r="I293" s="6"/>
      <c r="J293" s="6">
        <f t="shared" si="38"/>
        <v>6661.47</v>
      </c>
      <c r="K293" s="6">
        <f t="shared" si="39"/>
        <v>6661.47</v>
      </c>
      <c r="L293" s="122">
        <f t="shared" si="35"/>
        <v>0</v>
      </c>
      <c r="M293" s="127"/>
      <c r="N293" s="7" t="s">
        <v>62</v>
      </c>
      <c r="O293" s="148" t="s">
        <v>24</v>
      </c>
      <c r="P293" s="149"/>
      <c r="Q293" s="184"/>
      <c r="R293" s="161"/>
      <c r="S293" s="268"/>
      <c r="T293" s="268"/>
      <c r="U293" s="64"/>
    </row>
    <row r="294" spans="1:21" s="27" customFormat="1" ht="42.75" hidden="1">
      <c r="A294" s="3" t="s">
        <v>162</v>
      </c>
      <c r="B294" s="4" t="s">
        <v>404</v>
      </c>
      <c r="C294" s="5" t="s">
        <v>357</v>
      </c>
      <c r="D294" s="26">
        <v>1</v>
      </c>
      <c r="E294" s="26">
        <v>1</v>
      </c>
      <c r="F294" s="6">
        <f t="shared" si="37"/>
        <v>0</v>
      </c>
      <c r="G294" s="6">
        <v>15584.47</v>
      </c>
      <c r="H294" s="6"/>
      <c r="I294" s="6"/>
      <c r="J294" s="6">
        <f t="shared" si="38"/>
        <v>15584.47</v>
      </c>
      <c r="K294" s="6">
        <f t="shared" si="39"/>
        <v>15584.47</v>
      </c>
      <c r="L294" s="122">
        <f t="shared" si="35"/>
        <v>0</v>
      </c>
      <c r="M294" s="127"/>
      <c r="N294" s="7" t="s">
        <v>62</v>
      </c>
      <c r="O294" s="148" t="s">
        <v>24</v>
      </c>
      <c r="P294" s="149"/>
      <c r="Q294" s="184"/>
      <c r="R294" s="161"/>
      <c r="S294" s="268"/>
      <c r="T294" s="268"/>
      <c r="U294" s="64"/>
    </row>
    <row r="295" spans="1:21" s="27" customFormat="1" ht="42.75" hidden="1">
      <c r="A295" s="3" t="s">
        <v>164</v>
      </c>
      <c r="B295" s="4" t="s">
        <v>405</v>
      </c>
      <c r="C295" s="5" t="s">
        <v>357</v>
      </c>
      <c r="D295" s="26">
        <v>4</v>
      </c>
      <c r="E295" s="26">
        <v>4</v>
      </c>
      <c r="F295" s="6">
        <f t="shared" si="37"/>
        <v>0</v>
      </c>
      <c r="G295" s="6">
        <v>3949.4</v>
      </c>
      <c r="H295" s="6"/>
      <c r="I295" s="6"/>
      <c r="J295" s="6">
        <f t="shared" si="38"/>
        <v>15797.6</v>
      </c>
      <c r="K295" s="6">
        <f t="shared" si="39"/>
        <v>15797.6</v>
      </c>
      <c r="L295" s="122">
        <f t="shared" si="35"/>
        <v>0</v>
      </c>
      <c r="M295" s="127"/>
      <c r="N295" s="7" t="s">
        <v>62</v>
      </c>
      <c r="O295" s="148" t="s">
        <v>24</v>
      </c>
      <c r="P295" s="149"/>
      <c r="Q295" s="184"/>
      <c r="R295" s="161"/>
      <c r="S295" s="268"/>
      <c r="T295" s="268"/>
      <c r="U295" s="64"/>
    </row>
    <row r="296" spans="1:21" s="27" customFormat="1" ht="33" hidden="1">
      <c r="A296" s="99" t="s">
        <v>166</v>
      </c>
      <c r="B296" s="100" t="s">
        <v>406</v>
      </c>
      <c r="C296" s="89" t="s">
        <v>357</v>
      </c>
      <c r="D296" s="120">
        <v>1</v>
      </c>
      <c r="E296" s="120">
        <v>1</v>
      </c>
      <c r="F296" s="91">
        <f t="shared" si="37"/>
        <v>0</v>
      </c>
      <c r="G296" s="91">
        <v>227.07</v>
      </c>
      <c r="H296" s="91"/>
      <c r="I296" s="91"/>
      <c r="J296" s="91">
        <f t="shared" si="38"/>
        <v>227.07</v>
      </c>
      <c r="K296" s="91">
        <f t="shared" si="39"/>
        <v>227.07</v>
      </c>
      <c r="L296" s="124">
        <f t="shared" si="35"/>
        <v>0</v>
      </c>
      <c r="M296" s="131"/>
      <c r="N296" s="101" t="s">
        <v>62</v>
      </c>
      <c r="O296" s="164" t="s">
        <v>24</v>
      </c>
      <c r="P296" s="180"/>
      <c r="Q296" s="196"/>
      <c r="R296" s="188"/>
      <c r="S296" s="268"/>
      <c r="T296" s="268"/>
      <c r="U296" s="64"/>
    </row>
    <row r="297" spans="1:21" s="27" customFormat="1" ht="33" hidden="1">
      <c r="A297" s="99" t="s">
        <v>168</v>
      </c>
      <c r="B297" s="100" t="s">
        <v>407</v>
      </c>
      <c r="C297" s="89" t="s">
        <v>357</v>
      </c>
      <c r="D297" s="120">
        <v>1</v>
      </c>
      <c r="E297" s="120">
        <v>1</v>
      </c>
      <c r="F297" s="91">
        <f t="shared" si="37"/>
        <v>0</v>
      </c>
      <c r="G297" s="91">
        <v>277.02999999999997</v>
      </c>
      <c r="H297" s="91"/>
      <c r="I297" s="91"/>
      <c r="J297" s="91">
        <f t="shared" si="38"/>
        <v>277.02999999999997</v>
      </c>
      <c r="K297" s="91">
        <f t="shared" si="39"/>
        <v>277.02999999999997</v>
      </c>
      <c r="L297" s="124">
        <f t="shared" si="35"/>
        <v>0</v>
      </c>
      <c r="M297" s="131"/>
      <c r="N297" s="101" t="s">
        <v>62</v>
      </c>
      <c r="O297" s="164" t="s">
        <v>24</v>
      </c>
      <c r="P297" s="180"/>
      <c r="Q297" s="196"/>
      <c r="R297" s="188"/>
      <c r="S297" s="268"/>
      <c r="T297" s="268"/>
      <c r="U297" s="64"/>
    </row>
    <row r="298" spans="1:21" s="27" customFormat="1" ht="33" hidden="1">
      <c r="A298" s="99" t="s">
        <v>170</v>
      </c>
      <c r="B298" s="100" t="s">
        <v>408</v>
      </c>
      <c r="C298" s="89" t="s">
        <v>357</v>
      </c>
      <c r="D298" s="120">
        <v>1</v>
      </c>
      <c r="E298" s="120">
        <v>1</v>
      </c>
      <c r="F298" s="91">
        <f t="shared" si="37"/>
        <v>0</v>
      </c>
      <c r="G298" s="91">
        <v>286.3</v>
      </c>
      <c r="H298" s="91"/>
      <c r="I298" s="91"/>
      <c r="J298" s="91">
        <f t="shared" si="38"/>
        <v>286.3</v>
      </c>
      <c r="K298" s="91">
        <f t="shared" si="39"/>
        <v>286.3</v>
      </c>
      <c r="L298" s="124">
        <f t="shared" si="35"/>
        <v>0</v>
      </c>
      <c r="M298" s="131"/>
      <c r="N298" s="101" t="s">
        <v>62</v>
      </c>
      <c r="O298" s="164" t="s">
        <v>24</v>
      </c>
      <c r="P298" s="180"/>
      <c r="Q298" s="196"/>
      <c r="R298" s="188"/>
      <c r="S298" s="268"/>
      <c r="T298" s="268"/>
      <c r="U298" s="64"/>
    </row>
    <row r="299" spans="1:21" s="27" customFormat="1" ht="33" hidden="1">
      <c r="A299" s="99" t="s">
        <v>172</v>
      </c>
      <c r="B299" s="100" t="s">
        <v>409</v>
      </c>
      <c r="C299" s="89" t="s">
        <v>357</v>
      </c>
      <c r="D299" s="120">
        <v>1</v>
      </c>
      <c r="E299" s="120">
        <v>1</v>
      </c>
      <c r="F299" s="91">
        <f t="shared" si="37"/>
        <v>0</v>
      </c>
      <c r="G299" s="91">
        <v>134.37</v>
      </c>
      <c r="H299" s="91"/>
      <c r="I299" s="91"/>
      <c r="J299" s="91">
        <f t="shared" si="38"/>
        <v>134.37</v>
      </c>
      <c r="K299" s="91">
        <f t="shared" si="39"/>
        <v>134.37</v>
      </c>
      <c r="L299" s="124">
        <f t="shared" si="35"/>
        <v>0</v>
      </c>
      <c r="M299" s="131"/>
      <c r="N299" s="101" t="s">
        <v>1</v>
      </c>
      <c r="O299" s="164" t="s">
        <v>24</v>
      </c>
      <c r="P299" s="180"/>
      <c r="Q299" s="196"/>
      <c r="R299" s="188"/>
      <c r="S299" s="268"/>
      <c r="T299" s="268"/>
      <c r="U299" s="64"/>
    </row>
    <row r="300" spans="1:21" s="27" customFormat="1" ht="33" hidden="1">
      <c r="A300" s="99" t="s">
        <v>174</v>
      </c>
      <c r="B300" s="100" t="s">
        <v>410</v>
      </c>
      <c r="C300" s="89" t="s">
        <v>357</v>
      </c>
      <c r="D300" s="120">
        <v>1</v>
      </c>
      <c r="E300" s="120">
        <v>1</v>
      </c>
      <c r="F300" s="91">
        <f t="shared" si="37"/>
        <v>0</v>
      </c>
      <c r="G300" s="91">
        <v>142.1</v>
      </c>
      <c r="H300" s="91"/>
      <c r="I300" s="91"/>
      <c r="J300" s="91">
        <f t="shared" si="38"/>
        <v>142.1</v>
      </c>
      <c r="K300" s="91">
        <f t="shared" si="39"/>
        <v>142.1</v>
      </c>
      <c r="L300" s="124">
        <f t="shared" si="35"/>
        <v>0</v>
      </c>
      <c r="M300" s="131"/>
      <c r="N300" s="101" t="s">
        <v>1</v>
      </c>
      <c r="O300" s="164" t="s">
        <v>24</v>
      </c>
      <c r="P300" s="180"/>
      <c r="Q300" s="196"/>
      <c r="R300" s="188"/>
      <c r="S300" s="268"/>
      <c r="T300" s="268"/>
      <c r="U300" s="64"/>
    </row>
    <row r="301" spans="1:21" s="27" customFormat="1" ht="33" hidden="1">
      <c r="A301" s="99" t="s">
        <v>176</v>
      </c>
      <c r="B301" s="100" t="s">
        <v>411</v>
      </c>
      <c r="C301" s="89" t="s">
        <v>357</v>
      </c>
      <c r="D301" s="120">
        <v>1</v>
      </c>
      <c r="E301" s="120">
        <v>1</v>
      </c>
      <c r="F301" s="91">
        <f t="shared" si="37"/>
        <v>0</v>
      </c>
      <c r="G301" s="91">
        <v>90.32</v>
      </c>
      <c r="H301" s="91"/>
      <c r="I301" s="91"/>
      <c r="J301" s="91">
        <f t="shared" si="38"/>
        <v>90.32</v>
      </c>
      <c r="K301" s="91">
        <f t="shared" si="39"/>
        <v>90.32</v>
      </c>
      <c r="L301" s="124">
        <f t="shared" si="35"/>
        <v>0</v>
      </c>
      <c r="M301" s="131"/>
      <c r="N301" s="101" t="s">
        <v>1</v>
      </c>
      <c r="O301" s="164" t="s">
        <v>24</v>
      </c>
      <c r="P301" s="180"/>
      <c r="Q301" s="196"/>
      <c r="R301" s="188"/>
      <c r="S301" s="268"/>
      <c r="T301" s="268"/>
      <c r="U301" s="64"/>
    </row>
    <row r="302" spans="1:21" s="27" customFormat="1" ht="33" hidden="1">
      <c r="A302" s="99" t="s">
        <v>178</v>
      </c>
      <c r="B302" s="100" t="s">
        <v>412</v>
      </c>
      <c r="C302" s="89" t="s">
        <v>357</v>
      </c>
      <c r="D302" s="120">
        <v>1</v>
      </c>
      <c r="E302" s="120">
        <v>1</v>
      </c>
      <c r="F302" s="91">
        <f t="shared" si="37"/>
        <v>0</v>
      </c>
      <c r="G302" s="91">
        <v>125.1</v>
      </c>
      <c r="H302" s="91"/>
      <c r="I302" s="91"/>
      <c r="J302" s="91">
        <f t="shared" si="38"/>
        <v>125.1</v>
      </c>
      <c r="K302" s="91">
        <f t="shared" si="39"/>
        <v>125.1</v>
      </c>
      <c r="L302" s="124">
        <f t="shared" si="35"/>
        <v>0</v>
      </c>
      <c r="M302" s="131"/>
      <c r="N302" s="101" t="s">
        <v>62</v>
      </c>
      <c r="O302" s="164" t="s">
        <v>24</v>
      </c>
      <c r="P302" s="180"/>
      <c r="Q302" s="196"/>
      <c r="R302" s="188"/>
      <c r="S302" s="268"/>
      <c r="T302" s="268"/>
      <c r="U302" s="64"/>
    </row>
    <row r="303" spans="1:21" s="27" customFormat="1" ht="33" hidden="1">
      <c r="A303" s="99" t="s">
        <v>180</v>
      </c>
      <c r="B303" s="100" t="s">
        <v>413</v>
      </c>
      <c r="C303" s="89" t="s">
        <v>357</v>
      </c>
      <c r="D303" s="120">
        <v>1</v>
      </c>
      <c r="E303" s="120">
        <v>1</v>
      </c>
      <c r="F303" s="91">
        <f t="shared" si="37"/>
        <v>0</v>
      </c>
      <c r="G303" s="91">
        <v>137.04</v>
      </c>
      <c r="H303" s="91"/>
      <c r="I303" s="91"/>
      <c r="J303" s="91">
        <f t="shared" si="38"/>
        <v>137.04</v>
      </c>
      <c r="K303" s="91">
        <f t="shared" si="39"/>
        <v>137.04</v>
      </c>
      <c r="L303" s="124">
        <f t="shared" si="35"/>
        <v>0</v>
      </c>
      <c r="M303" s="131"/>
      <c r="N303" s="101" t="s">
        <v>1</v>
      </c>
      <c r="O303" s="164" t="s">
        <v>24</v>
      </c>
      <c r="P303" s="180"/>
      <c r="Q303" s="196"/>
      <c r="R303" s="188"/>
      <c r="S303" s="268"/>
      <c r="T303" s="268"/>
      <c r="U303" s="64"/>
    </row>
    <row r="304" spans="1:21" s="27" customFormat="1" ht="33" hidden="1">
      <c r="A304" s="99" t="s">
        <v>182</v>
      </c>
      <c r="B304" s="100" t="s">
        <v>414</v>
      </c>
      <c r="C304" s="89" t="s">
        <v>357</v>
      </c>
      <c r="D304" s="120">
        <v>1</v>
      </c>
      <c r="E304" s="120">
        <v>1</v>
      </c>
      <c r="F304" s="91">
        <f t="shared" si="37"/>
        <v>0</v>
      </c>
      <c r="G304" s="91">
        <v>107.12</v>
      </c>
      <c r="H304" s="91"/>
      <c r="I304" s="91"/>
      <c r="J304" s="91">
        <f t="shared" si="38"/>
        <v>107.12</v>
      </c>
      <c r="K304" s="91">
        <f t="shared" si="39"/>
        <v>107.12</v>
      </c>
      <c r="L304" s="124">
        <f t="shared" si="35"/>
        <v>0</v>
      </c>
      <c r="M304" s="131"/>
      <c r="N304" s="101" t="s">
        <v>62</v>
      </c>
      <c r="O304" s="164" t="s">
        <v>24</v>
      </c>
      <c r="P304" s="180"/>
      <c r="Q304" s="196"/>
      <c r="R304" s="188"/>
      <c r="S304" s="268"/>
      <c r="T304" s="268"/>
      <c r="U304" s="64"/>
    </row>
    <row r="305" spans="1:21" s="27" customFormat="1" ht="33" hidden="1">
      <c r="A305" s="99" t="s">
        <v>184</v>
      </c>
      <c r="B305" s="100" t="s">
        <v>415</v>
      </c>
      <c r="C305" s="89" t="s">
        <v>357</v>
      </c>
      <c r="D305" s="120">
        <v>1</v>
      </c>
      <c r="E305" s="120">
        <v>1</v>
      </c>
      <c r="F305" s="91">
        <f t="shared" si="37"/>
        <v>0</v>
      </c>
      <c r="G305" s="91">
        <v>124.17</v>
      </c>
      <c r="H305" s="91"/>
      <c r="I305" s="91"/>
      <c r="J305" s="91">
        <f t="shared" si="38"/>
        <v>124.17</v>
      </c>
      <c r="K305" s="91">
        <f t="shared" si="39"/>
        <v>124.17</v>
      </c>
      <c r="L305" s="124">
        <f t="shared" si="35"/>
        <v>0</v>
      </c>
      <c r="M305" s="131"/>
      <c r="N305" s="101" t="s">
        <v>1</v>
      </c>
      <c r="O305" s="164" t="s">
        <v>24</v>
      </c>
      <c r="P305" s="180"/>
      <c r="Q305" s="196"/>
      <c r="R305" s="188"/>
      <c r="S305" s="268"/>
      <c r="T305" s="268"/>
      <c r="U305" s="64"/>
    </row>
    <row r="306" spans="1:21" s="27" customFormat="1" ht="33" hidden="1">
      <c r="A306" s="99" t="s">
        <v>186</v>
      </c>
      <c r="B306" s="100" t="s">
        <v>416</v>
      </c>
      <c r="C306" s="89" t="s">
        <v>357</v>
      </c>
      <c r="D306" s="120">
        <v>1</v>
      </c>
      <c r="E306" s="120">
        <v>1</v>
      </c>
      <c r="F306" s="91">
        <f t="shared" si="37"/>
        <v>0</v>
      </c>
      <c r="G306" s="91">
        <v>121.59</v>
      </c>
      <c r="H306" s="91"/>
      <c r="I306" s="91"/>
      <c r="J306" s="91">
        <f t="shared" si="38"/>
        <v>121.59</v>
      </c>
      <c r="K306" s="91">
        <f t="shared" si="39"/>
        <v>121.59</v>
      </c>
      <c r="L306" s="124">
        <f t="shared" si="35"/>
        <v>0</v>
      </c>
      <c r="M306" s="131"/>
      <c r="N306" s="101" t="s">
        <v>62</v>
      </c>
      <c r="O306" s="164" t="s">
        <v>24</v>
      </c>
      <c r="P306" s="180"/>
      <c r="Q306" s="196"/>
      <c r="R306" s="188"/>
      <c r="S306" s="268"/>
      <c r="T306" s="268"/>
      <c r="U306" s="64"/>
    </row>
    <row r="307" spans="1:21" s="27" customFormat="1" ht="33" hidden="1">
      <c r="A307" s="99" t="s">
        <v>188</v>
      </c>
      <c r="B307" s="100" t="s">
        <v>417</v>
      </c>
      <c r="C307" s="89" t="s">
        <v>357</v>
      </c>
      <c r="D307" s="120">
        <v>1</v>
      </c>
      <c r="E307" s="120">
        <v>1</v>
      </c>
      <c r="F307" s="91">
        <f t="shared" si="37"/>
        <v>0</v>
      </c>
      <c r="G307" s="91">
        <v>154.51</v>
      </c>
      <c r="H307" s="91"/>
      <c r="I307" s="91"/>
      <c r="J307" s="91">
        <f t="shared" si="38"/>
        <v>154.51</v>
      </c>
      <c r="K307" s="91">
        <f t="shared" si="39"/>
        <v>154.51</v>
      </c>
      <c r="L307" s="124">
        <f t="shared" si="35"/>
        <v>0</v>
      </c>
      <c r="M307" s="131"/>
      <c r="N307" s="101" t="s">
        <v>62</v>
      </c>
      <c r="O307" s="164" t="s">
        <v>24</v>
      </c>
      <c r="P307" s="180"/>
      <c r="Q307" s="196"/>
      <c r="R307" s="188"/>
      <c r="S307" s="268"/>
      <c r="T307" s="268"/>
      <c r="U307" s="64"/>
    </row>
    <row r="308" spans="1:21" s="27" customFormat="1" ht="33" hidden="1">
      <c r="A308" s="99" t="s">
        <v>190</v>
      </c>
      <c r="B308" s="100" t="s">
        <v>418</v>
      </c>
      <c r="C308" s="89" t="s">
        <v>357</v>
      </c>
      <c r="D308" s="120">
        <v>4</v>
      </c>
      <c r="E308" s="120">
        <v>4</v>
      </c>
      <c r="F308" s="91">
        <f t="shared" si="37"/>
        <v>0</v>
      </c>
      <c r="G308" s="91">
        <v>36.549999999999997</v>
      </c>
      <c r="H308" s="91"/>
      <c r="I308" s="91"/>
      <c r="J308" s="91">
        <f t="shared" si="38"/>
        <v>146.19999999999999</v>
      </c>
      <c r="K308" s="91">
        <f t="shared" si="39"/>
        <v>146.19999999999999</v>
      </c>
      <c r="L308" s="124">
        <f t="shared" si="35"/>
        <v>0</v>
      </c>
      <c r="M308" s="131"/>
      <c r="N308" s="101" t="s">
        <v>62</v>
      </c>
      <c r="O308" s="164" t="s">
        <v>24</v>
      </c>
      <c r="P308" s="180"/>
      <c r="Q308" s="196"/>
      <c r="R308" s="188"/>
      <c r="S308" s="268"/>
      <c r="T308" s="268"/>
      <c r="U308" s="64"/>
    </row>
    <row r="309" spans="1:21" s="27" customFormat="1" ht="33" hidden="1">
      <c r="A309" s="99" t="s">
        <v>192</v>
      </c>
      <c r="B309" s="100" t="s">
        <v>419</v>
      </c>
      <c r="C309" s="89" t="s">
        <v>357</v>
      </c>
      <c r="D309" s="120">
        <v>1</v>
      </c>
      <c r="E309" s="120">
        <v>1</v>
      </c>
      <c r="F309" s="91">
        <f t="shared" si="37"/>
        <v>0</v>
      </c>
      <c r="G309" s="91">
        <v>27.8</v>
      </c>
      <c r="H309" s="91"/>
      <c r="I309" s="91"/>
      <c r="J309" s="91">
        <f t="shared" si="38"/>
        <v>27.8</v>
      </c>
      <c r="K309" s="91">
        <f t="shared" si="39"/>
        <v>27.8</v>
      </c>
      <c r="L309" s="124">
        <f t="shared" si="35"/>
        <v>0</v>
      </c>
      <c r="M309" s="131"/>
      <c r="N309" s="101" t="s">
        <v>62</v>
      </c>
      <c r="O309" s="164" t="s">
        <v>24</v>
      </c>
      <c r="P309" s="180"/>
      <c r="Q309" s="196"/>
      <c r="R309" s="188"/>
      <c r="S309" s="268"/>
      <c r="T309" s="268"/>
      <c r="U309" s="64"/>
    </row>
    <row r="310" spans="1:21" s="27" customFormat="1" ht="33" hidden="1">
      <c r="A310" s="99" t="s">
        <v>194</v>
      </c>
      <c r="B310" s="100" t="s">
        <v>420</v>
      </c>
      <c r="C310" s="89" t="s">
        <v>357</v>
      </c>
      <c r="D310" s="120">
        <v>1</v>
      </c>
      <c r="E310" s="120">
        <v>1</v>
      </c>
      <c r="F310" s="91">
        <f t="shared" si="37"/>
        <v>0</v>
      </c>
      <c r="G310" s="91">
        <v>105.13</v>
      </c>
      <c r="H310" s="91"/>
      <c r="I310" s="91"/>
      <c r="J310" s="91">
        <f t="shared" si="38"/>
        <v>105.13</v>
      </c>
      <c r="K310" s="91">
        <f t="shared" si="39"/>
        <v>105.13</v>
      </c>
      <c r="L310" s="124">
        <f t="shared" si="35"/>
        <v>0</v>
      </c>
      <c r="M310" s="131"/>
      <c r="N310" s="101" t="s">
        <v>1</v>
      </c>
      <c r="O310" s="164" t="s">
        <v>24</v>
      </c>
      <c r="P310" s="180"/>
      <c r="Q310" s="196"/>
      <c r="R310" s="188"/>
      <c r="S310" s="268"/>
      <c r="T310" s="268"/>
      <c r="U310" s="64"/>
    </row>
    <row r="311" spans="1:21" s="27" customFormat="1" ht="33" hidden="1">
      <c r="A311" s="99" t="s">
        <v>196</v>
      </c>
      <c r="B311" s="100" t="s">
        <v>421</v>
      </c>
      <c r="C311" s="89" t="s">
        <v>357</v>
      </c>
      <c r="D311" s="120">
        <v>1</v>
      </c>
      <c r="E311" s="120">
        <v>1</v>
      </c>
      <c r="F311" s="91">
        <f t="shared" si="37"/>
        <v>0</v>
      </c>
      <c r="G311" s="91">
        <v>53.12</v>
      </c>
      <c r="H311" s="91"/>
      <c r="I311" s="91"/>
      <c r="J311" s="91">
        <f t="shared" si="38"/>
        <v>53.12</v>
      </c>
      <c r="K311" s="91">
        <f t="shared" si="39"/>
        <v>53.12</v>
      </c>
      <c r="L311" s="124">
        <f t="shared" si="35"/>
        <v>0</v>
      </c>
      <c r="M311" s="131"/>
      <c r="N311" s="101" t="s">
        <v>62</v>
      </c>
      <c r="O311" s="164" t="s">
        <v>24</v>
      </c>
      <c r="P311" s="180"/>
      <c r="Q311" s="196"/>
      <c r="R311" s="188"/>
      <c r="S311" s="268"/>
      <c r="T311" s="268"/>
      <c r="U311" s="64"/>
    </row>
    <row r="312" spans="1:21" s="27" customFormat="1" ht="33" hidden="1">
      <c r="A312" s="99" t="s">
        <v>198</v>
      </c>
      <c r="B312" s="100" t="s">
        <v>422</v>
      </c>
      <c r="C312" s="89" t="s">
        <v>357</v>
      </c>
      <c r="D312" s="120">
        <v>1</v>
      </c>
      <c r="E312" s="120">
        <v>1</v>
      </c>
      <c r="F312" s="91">
        <f t="shared" si="37"/>
        <v>0</v>
      </c>
      <c r="G312" s="91">
        <v>36.380000000000003</v>
      </c>
      <c r="H312" s="91"/>
      <c r="I312" s="91"/>
      <c r="J312" s="91">
        <f t="shared" si="38"/>
        <v>36.380000000000003</v>
      </c>
      <c r="K312" s="91">
        <f t="shared" si="39"/>
        <v>36.380000000000003</v>
      </c>
      <c r="L312" s="124">
        <f t="shared" si="35"/>
        <v>0</v>
      </c>
      <c r="M312" s="131"/>
      <c r="N312" s="101" t="s">
        <v>62</v>
      </c>
      <c r="O312" s="164" t="s">
        <v>24</v>
      </c>
      <c r="P312" s="180"/>
      <c r="Q312" s="196"/>
      <c r="R312" s="188"/>
      <c r="S312" s="268"/>
      <c r="T312" s="268"/>
      <c r="U312" s="64"/>
    </row>
    <row r="313" spans="1:21" s="27" customFormat="1" ht="33" hidden="1">
      <c r="A313" s="99" t="s">
        <v>200</v>
      </c>
      <c r="B313" s="100" t="s">
        <v>423</v>
      </c>
      <c r="C313" s="89" t="s">
        <v>357</v>
      </c>
      <c r="D313" s="120">
        <v>1</v>
      </c>
      <c r="E313" s="120">
        <v>1</v>
      </c>
      <c r="F313" s="91">
        <f t="shared" si="37"/>
        <v>0</v>
      </c>
      <c r="G313" s="91">
        <v>59.74</v>
      </c>
      <c r="H313" s="91"/>
      <c r="I313" s="91"/>
      <c r="J313" s="91">
        <f t="shared" si="38"/>
        <v>59.74</v>
      </c>
      <c r="K313" s="91">
        <f t="shared" si="39"/>
        <v>59.74</v>
      </c>
      <c r="L313" s="124">
        <f t="shared" si="35"/>
        <v>0</v>
      </c>
      <c r="M313" s="131"/>
      <c r="N313" s="101" t="s">
        <v>62</v>
      </c>
      <c r="O313" s="164" t="s">
        <v>24</v>
      </c>
      <c r="P313" s="180"/>
      <c r="Q313" s="196"/>
      <c r="R313" s="188"/>
      <c r="S313" s="268"/>
      <c r="T313" s="268"/>
      <c r="U313" s="64"/>
    </row>
    <row r="314" spans="1:21" s="27" customFormat="1" ht="33" hidden="1">
      <c r="A314" s="99" t="s">
        <v>202</v>
      </c>
      <c r="B314" s="100" t="s">
        <v>424</v>
      </c>
      <c r="C314" s="89" t="s">
        <v>357</v>
      </c>
      <c r="D314" s="120">
        <v>1</v>
      </c>
      <c r="E314" s="120">
        <v>1</v>
      </c>
      <c r="F314" s="91">
        <f t="shared" si="37"/>
        <v>0</v>
      </c>
      <c r="G314" s="91">
        <v>80.41</v>
      </c>
      <c r="H314" s="91"/>
      <c r="I314" s="91"/>
      <c r="J314" s="91">
        <f t="shared" si="38"/>
        <v>80.41</v>
      </c>
      <c r="K314" s="91">
        <f t="shared" si="39"/>
        <v>80.41</v>
      </c>
      <c r="L314" s="124">
        <f t="shared" si="35"/>
        <v>0</v>
      </c>
      <c r="M314" s="131"/>
      <c r="N314" s="101" t="s">
        <v>62</v>
      </c>
      <c r="O314" s="164" t="s">
        <v>24</v>
      </c>
      <c r="P314" s="180"/>
      <c r="Q314" s="196"/>
      <c r="R314" s="188"/>
      <c r="S314" s="268"/>
      <c r="T314" s="268"/>
      <c r="U314" s="64"/>
    </row>
    <row r="315" spans="1:21" s="27" customFormat="1" ht="33" hidden="1">
      <c r="A315" s="99" t="s">
        <v>204</v>
      </c>
      <c r="B315" s="100" t="s">
        <v>425</v>
      </c>
      <c r="C315" s="89" t="s">
        <v>357</v>
      </c>
      <c r="D315" s="120">
        <v>1</v>
      </c>
      <c r="E315" s="120">
        <v>1</v>
      </c>
      <c r="F315" s="91">
        <f t="shared" si="37"/>
        <v>0</v>
      </c>
      <c r="G315" s="91">
        <v>64.959999999999994</v>
      </c>
      <c r="H315" s="91"/>
      <c r="I315" s="91"/>
      <c r="J315" s="91">
        <f t="shared" si="38"/>
        <v>64.959999999999994</v>
      </c>
      <c r="K315" s="91">
        <f t="shared" si="39"/>
        <v>64.959999999999994</v>
      </c>
      <c r="L315" s="124">
        <f t="shared" si="35"/>
        <v>0</v>
      </c>
      <c r="M315" s="131"/>
      <c r="N315" s="101" t="s">
        <v>62</v>
      </c>
      <c r="O315" s="164" t="s">
        <v>24</v>
      </c>
      <c r="P315" s="180"/>
      <c r="Q315" s="196"/>
      <c r="R315" s="188"/>
      <c r="S315" s="268"/>
      <c r="T315" s="268"/>
      <c r="U315" s="64"/>
    </row>
    <row r="316" spans="1:21" s="27" customFormat="1" ht="33" hidden="1">
      <c r="A316" s="99" t="s">
        <v>206</v>
      </c>
      <c r="B316" s="100" t="s">
        <v>426</v>
      </c>
      <c r="C316" s="89" t="s">
        <v>357</v>
      </c>
      <c r="D316" s="120">
        <v>1</v>
      </c>
      <c r="E316" s="120">
        <v>1</v>
      </c>
      <c r="F316" s="91">
        <f t="shared" si="37"/>
        <v>0</v>
      </c>
      <c r="G316" s="91">
        <v>95.86</v>
      </c>
      <c r="H316" s="91"/>
      <c r="I316" s="91"/>
      <c r="J316" s="91">
        <f t="shared" si="38"/>
        <v>95.86</v>
      </c>
      <c r="K316" s="91">
        <f t="shared" si="39"/>
        <v>95.86</v>
      </c>
      <c r="L316" s="124">
        <f t="shared" si="35"/>
        <v>0</v>
      </c>
      <c r="M316" s="131"/>
      <c r="N316" s="101" t="s">
        <v>62</v>
      </c>
      <c r="O316" s="164" t="s">
        <v>24</v>
      </c>
      <c r="P316" s="180"/>
      <c r="Q316" s="196"/>
      <c r="R316" s="188"/>
      <c r="S316" s="268"/>
      <c r="T316" s="268"/>
      <c r="U316" s="64"/>
    </row>
    <row r="317" spans="1:21" s="27" customFormat="1" ht="33" hidden="1">
      <c r="A317" s="99" t="s">
        <v>208</v>
      </c>
      <c r="B317" s="100" t="s">
        <v>427</v>
      </c>
      <c r="C317" s="89" t="s">
        <v>357</v>
      </c>
      <c r="D317" s="120">
        <v>1</v>
      </c>
      <c r="E317" s="120">
        <v>1</v>
      </c>
      <c r="F317" s="91">
        <f t="shared" ref="F317:F341" si="40">E317-D317</f>
        <v>0</v>
      </c>
      <c r="G317" s="91">
        <v>93.29</v>
      </c>
      <c r="H317" s="91"/>
      <c r="I317" s="91"/>
      <c r="J317" s="91">
        <f t="shared" ref="J317:J341" si="41">D317*G317</f>
        <v>93.29</v>
      </c>
      <c r="K317" s="91">
        <f t="shared" ref="K317:K341" si="42">E317*G317</f>
        <v>93.29</v>
      </c>
      <c r="L317" s="124">
        <f t="shared" ref="L317:L341" si="43">K317-J317</f>
        <v>0</v>
      </c>
      <c r="M317" s="131"/>
      <c r="N317" s="101" t="s">
        <v>62</v>
      </c>
      <c r="O317" s="164" t="s">
        <v>24</v>
      </c>
      <c r="P317" s="180"/>
      <c r="Q317" s="196"/>
      <c r="R317" s="188"/>
      <c r="S317" s="268"/>
      <c r="T317" s="268"/>
      <c r="U317" s="64"/>
    </row>
    <row r="318" spans="1:21" s="27" customFormat="1" ht="33" hidden="1">
      <c r="A318" s="99" t="s">
        <v>210</v>
      </c>
      <c r="B318" s="100" t="s">
        <v>428</v>
      </c>
      <c r="C318" s="89" t="s">
        <v>357</v>
      </c>
      <c r="D318" s="120">
        <v>1</v>
      </c>
      <c r="E318" s="120">
        <v>1</v>
      </c>
      <c r="F318" s="91">
        <f t="shared" si="40"/>
        <v>0</v>
      </c>
      <c r="G318" s="91">
        <v>93.8</v>
      </c>
      <c r="H318" s="91"/>
      <c r="I318" s="91"/>
      <c r="J318" s="91">
        <f t="shared" si="41"/>
        <v>93.8</v>
      </c>
      <c r="K318" s="91">
        <f t="shared" si="42"/>
        <v>93.8</v>
      </c>
      <c r="L318" s="124">
        <f t="shared" si="43"/>
        <v>0</v>
      </c>
      <c r="M318" s="131"/>
      <c r="N318" s="101" t="s">
        <v>62</v>
      </c>
      <c r="O318" s="164" t="s">
        <v>24</v>
      </c>
      <c r="P318" s="180"/>
      <c r="Q318" s="196"/>
      <c r="R318" s="188"/>
      <c r="S318" s="268"/>
      <c r="T318" s="268"/>
      <c r="U318" s="64"/>
    </row>
    <row r="319" spans="1:21" s="27" customFormat="1" ht="33" hidden="1">
      <c r="A319" s="99" t="s">
        <v>212</v>
      </c>
      <c r="B319" s="100" t="s">
        <v>429</v>
      </c>
      <c r="C319" s="89" t="s">
        <v>357</v>
      </c>
      <c r="D319" s="120">
        <v>1</v>
      </c>
      <c r="E319" s="120">
        <v>1</v>
      </c>
      <c r="F319" s="91">
        <f t="shared" si="40"/>
        <v>0</v>
      </c>
      <c r="G319" s="91">
        <v>63.35</v>
      </c>
      <c r="H319" s="91"/>
      <c r="I319" s="91"/>
      <c r="J319" s="91">
        <f t="shared" si="41"/>
        <v>63.35</v>
      </c>
      <c r="K319" s="91">
        <f t="shared" si="42"/>
        <v>63.35</v>
      </c>
      <c r="L319" s="124">
        <f t="shared" si="43"/>
        <v>0</v>
      </c>
      <c r="M319" s="131"/>
      <c r="N319" s="101" t="s">
        <v>62</v>
      </c>
      <c r="O319" s="164" t="s">
        <v>24</v>
      </c>
      <c r="P319" s="180"/>
      <c r="Q319" s="196"/>
      <c r="R319" s="188"/>
      <c r="S319" s="268"/>
      <c r="T319" s="268"/>
      <c r="U319" s="64"/>
    </row>
    <row r="320" spans="1:21" s="27" customFormat="1" ht="33" hidden="1">
      <c r="A320" s="99" t="s">
        <v>214</v>
      </c>
      <c r="B320" s="100" t="s">
        <v>430</v>
      </c>
      <c r="C320" s="89" t="s">
        <v>357</v>
      </c>
      <c r="D320" s="120">
        <v>1</v>
      </c>
      <c r="E320" s="120">
        <v>1</v>
      </c>
      <c r="F320" s="91">
        <f t="shared" si="40"/>
        <v>0</v>
      </c>
      <c r="G320" s="91">
        <v>156.05000000000001</v>
      </c>
      <c r="H320" s="91"/>
      <c r="I320" s="91"/>
      <c r="J320" s="91">
        <f t="shared" si="41"/>
        <v>156.05000000000001</v>
      </c>
      <c r="K320" s="91">
        <f t="shared" si="42"/>
        <v>156.05000000000001</v>
      </c>
      <c r="L320" s="124">
        <f t="shared" si="43"/>
        <v>0</v>
      </c>
      <c r="M320" s="131"/>
      <c r="N320" s="101" t="s">
        <v>62</v>
      </c>
      <c r="O320" s="164" t="s">
        <v>24</v>
      </c>
      <c r="P320" s="180"/>
      <c r="Q320" s="196"/>
      <c r="R320" s="188"/>
      <c r="S320" s="268"/>
      <c r="T320" s="268"/>
      <c r="U320" s="64"/>
    </row>
    <row r="321" spans="1:21" s="27" customFormat="1" ht="33" hidden="1">
      <c r="A321" s="99" t="s">
        <v>216</v>
      </c>
      <c r="B321" s="100" t="s">
        <v>431</v>
      </c>
      <c r="C321" s="89" t="s">
        <v>357</v>
      </c>
      <c r="D321" s="120">
        <v>1</v>
      </c>
      <c r="E321" s="120">
        <v>1</v>
      </c>
      <c r="F321" s="91">
        <f t="shared" si="40"/>
        <v>0</v>
      </c>
      <c r="G321" s="91">
        <v>69.08</v>
      </c>
      <c r="H321" s="91"/>
      <c r="I321" s="91"/>
      <c r="J321" s="91">
        <f t="shared" si="41"/>
        <v>69.08</v>
      </c>
      <c r="K321" s="91">
        <f t="shared" si="42"/>
        <v>69.08</v>
      </c>
      <c r="L321" s="124">
        <f t="shared" si="43"/>
        <v>0</v>
      </c>
      <c r="M321" s="131"/>
      <c r="N321" s="101" t="s">
        <v>62</v>
      </c>
      <c r="O321" s="164" t="s">
        <v>24</v>
      </c>
      <c r="P321" s="180"/>
      <c r="Q321" s="196"/>
      <c r="R321" s="188"/>
      <c r="S321" s="268"/>
      <c r="T321" s="268"/>
      <c r="U321" s="64"/>
    </row>
    <row r="322" spans="1:21" s="27" customFormat="1" ht="33" hidden="1">
      <c r="A322" s="99" t="s">
        <v>218</v>
      </c>
      <c r="B322" s="100" t="s">
        <v>432</v>
      </c>
      <c r="C322" s="89" t="s">
        <v>357</v>
      </c>
      <c r="D322" s="120">
        <v>1</v>
      </c>
      <c r="E322" s="120">
        <v>1</v>
      </c>
      <c r="F322" s="91">
        <f t="shared" si="40"/>
        <v>0</v>
      </c>
      <c r="G322" s="91">
        <v>55.62</v>
      </c>
      <c r="H322" s="91"/>
      <c r="I322" s="91"/>
      <c r="J322" s="91">
        <f t="shared" si="41"/>
        <v>55.62</v>
      </c>
      <c r="K322" s="91">
        <f t="shared" si="42"/>
        <v>55.62</v>
      </c>
      <c r="L322" s="124">
        <f t="shared" si="43"/>
        <v>0</v>
      </c>
      <c r="M322" s="131"/>
      <c r="N322" s="101" t="s">
        <v>62</v>
      </c>
      <c r="O322" s="164" t="s">
        <v>24</v>
      </c>
      <c r="P322" s="180"/>
      <c r="Q322" s="196"/>
      <c r="R322" s="188"/>
      <c r="S322" s="268"/>
      <c r="T322" s="268"/>
      <c r="U322" s="64"/>
    </row>
    <row r="323" spans="1:21" s="27" customFormat="1" ht="33" hidden="1">
      <c r="A323" s="99" t="s">
        <v>220</v>
      </c>
      <c r="B323" s="100" t="s">
        <v>433</v>
      </c>
      <c r="C323" s="89" t="s">
        <v>357</v>
      </c>
      <c r="D323" s="120">
        <v>1</v>
      </c>
      <c r="E323" s="120">
        <v>1</v>
      </c>
      <c r="F323" s="91">
        <f t="shared" si="40"/>
        <v>0</v>
      </c>
      <c r="G323" s="91">
        <v>91.67</v>
      </c>
      <c r="H323" s="91"/>
      <c r="I323" s="91"/>
      <c r="J323" s="91">
        <f t="shared" si="41"/>
        <v>91.67</v>
      </c>
      <c r="K323" s="91">
        <f t="shared" si="42"/>
        <v>91.67</v>
      </c>
      <c r="L323" s="124">
        <f t="shared" si="43"/>
        <v>0</v>
      </c>
      <c r="M323" s="131"/>
      <c r="N323" s="101" t="s">
        <v>62</v>
      </c>
      <c r="O323" s="164" t="s">
        <v>24</v>
      </c>
      <c r="P323" s="180"/>
      <c r="Q323" s="196"/>
      <c r="R323" s="188"/>
      <c r="S323" s="268"/>
      <c r="T323" s="268"/>
      <c r="U323" s="64"/>
    </row>
    <row r="324" spans="1:21" s="27" customFormat="1" ht="33" hidden="1">
      <c r="A324" s="99" t="s">
        <v>222</v>
      </c>
      <c r="B324" s="100" t="s">
        <v>434</v>
      </c>
      <c r="C324" s="89" t="s">
        <v>357</v>
      </c>
      <c r="D324" s="120">
        <v>1</v>
      </c>
      <c r="E324" s="120">
        <v>1</v>
      </c>
      <c r="F324" s="91">
        <f t="shared" si="40"/>
        <v>0</v>
      </c>
      <c r="G324" s="91">
        <v>68.5</v>
      </c>
      <c r="H324" s="91"/>
      <c r="I324" s="91"/>
      <c r="J324" s="91">
        <f t="shared" si="41"/>
        <v>68.5</v>
      </c>
      <c r="K324" s="91">
        <f t="shared" si="42"/>
        <v>68.5</v>
      </c>
      <c r="L324" s="124">
        <f t="shared" si="43"/>
        <v>0</v>
      </c>
      <c r="M324" s="131"/>
      <c r="N324" s="101" t="s">
        <v>62</v>
      </c>
      <c r="O324" s="164" t="s">
        <v>24</v>
      </c>
      <c r="P324" s="180"/>
      <c r="Q324" s="196"/>
      <c r="R324" s="188"/>
      <c r="S324" s="268"/>
      <c r="T324" s="268"/>
      <c r="U324" s="64"/>
    </row>
    <row r="325" spans="1:21" s="27" customFormat="1" ht="33" hidden="1">
      <c r="A325" s="99" t="s">
        <v>224</v>
      </c>
      <c r="B325" s="100" t="s">
        <v>435</v>
      </c>
      <c r="C325" s="89" t="s">
        <v>357</v>
      </c>
      <c r="D325" s="120">
        <v>1</v>
      </c>
      <c r="E325" s="120">
        <v>1</v>
      </c>
      <c r="F325" s="91">
        <f t="shared" si="40"/>
        <v>0</v>
      </c>
      <c r="G325" s="91">
        <v>58.2</v>
      </c>
      <c r="H325" s="91"/>
      <c r="I325" s="91"/>
      <c r="J325" s="91">
        <f t="shared" si="41"/>
        <v>58.2</v>
      </c>
      <c r="K325" s="91">
        <f t="shared" si="42"/>
        <v>58.2</v>
      </c>
      <c r="L325" s="124">
        <f t="shared" si="43"/>
        <v>0</v>
      </c>
      <c r="M325" s="131"/>
      <c r="N325" s="101" t="s">
        <v>62</v>
      </c>
      <c r="O325" s="164" t="s">
        <v>24</v>
      </c>
      <c r="P325" s="180"/>
      <c r="Q325" s="196"/>
      <c r="R325" s="188"/>
      <c r="S325" s="268"/>
      <c r="T325" s="268"/>
      <c r="U325" s="64"/>
    </row>
    <row r="326" spans="1:21" s="27" customFormat="1" ht="33" hidden="1">
      <c r="A326" s="99" t="s">
        <v>226</v>
      </c>
      <c r="B326" s="100" t="s">
        <v>436</v>
      </c>
      <c r="C326" s="89" t="s">
        <v>357</v>
      </c>
      <c r="D326" s="120">
        <v>1</v>
      </c>
      <c r="E326" s="120">
        <v>1</v>
      </c>
      <c r="F326" s="91">
        <f t="shared" si="40"/>
        <v>0</v>
      </c>
      <c r="G326" s="91">
        <v>70.040000000000006</v>
      </c>
      <c r="H326" s="91"/>
      <c r="I326" s="91"/>
      <c r="J326" s="91">
        <f t="shared" si="41"/>
        <v>70.040000000000006</v>
      </c>
      <c r="K326" s="91">
        <f t="shared" si="42"/>
        <v>70.040000000000006</v>
      </c>
      <c r="L326" s="124">
        <f t="shared" si="43"/>
        <v>0</v>
      </c>
      <c r="M326" s="131"/>
      <c r="N326" s="101" t="s">
        <v>62</v>
      </c>
      <c r="O326" s="164" t="s">
        <v>24</v>
      </c>
      <c r="P326" s="180"/>
      <c r="Q326" s="196"/>
      <c r="R326" s="188"/>
      <c r="S326" s="268"/>
      <c r="T326" s="268"/>
      <c r="U326" s="64"/>
    </row>
    <row r="327" spans="1:21" ht="33" hidden="1">
      <c r="A327" s="99" t="s">
        <v>229</v>
      </c>
      <c r="B327" s="100" t="s">
        <v>437</v>
      </c>
      <c r="C327" s="89" t="s">
        <v>357</v>
      </c>
      <c r="D327" s="120">
        <v>1</v>
      </c>
      <c r="E327" s="120">
        <v>1</v>
      </c>
      <c r="F327" s="91">
        <f t="shared" si="40"/>
        <v>0</v>
      </c>
      <c r="G327" s="91">
        <v>61.29</v>
      </c>
      <c r="H327" s="91"/>
      <c r="I327" s="91"/>
      <c r="J327" s="91">
        <f t="shared" si="41"/>
        <v>61.29</v>
      </c>
      <c r="K327" s="91">
        <f t="shared" si="42"/>
        <v>61.29</v>
      </c>
      <c r="L327" s="124">
        <f t="shared" si="43"/>
        <v>0</v>
      </c>
      <c r="M327" s="131"/>
      <c r="N327" s="101" t="s">
        <v>62</v>
      </c>
      <c r="O327" s="164" t="s">
        <v>24</v>
      </c>
      <c r="P327" s="180"/>
      <c r="Q327" s="196"/>
      <c r="R327" s="188"/>
      <c r="S327" s="268"/>
      <c r="T327" s="268"/>
    </row>
    <row r="328" spans="1:21" ht="33" hidden="1">
      <c r="A328" s="99" t="s">
        <v>231</v>
      </c>
      <c r="B328" s="100" t="s">
        <v>438</v>
      </c>
      <c r="C328" s="89" t="s">
        <v>357</v>
      </c>
      <c r="D328" s="120">
        <v>1</v>
      </c>
      <c r="E328" s="120">
        <v>1</v>
      </c>
      <c r="F328" s="91">
        <f t="shared" si="40"/>
        <v>0</v>
      </c>
      <c r="G328" s="91">
        <v>59.74</v>
      </c>
      <c r="H328" s="91"/>
      <c r="I328" s="91"/>
      <c r="J328" s="91">
        <f t="shared" si="41"/>
        <v>59.74</v>
      </c>
      <c r="K328" s="91">
        <f t="shared" si="42"/>
        <v>59.74</v>
      </c>
      <c r="L328" s="124">
        <f t="shared" si="43"/>
        <v>0</v>
      </c>
      <c r="M328" s="131"/>
      <c r="N328" s="101" t="s">
        <v>62</v>
      </c>
      <c r="O328" s="164" t="s">
        <v>24</v>
      </c>
      <c r="P328" s="180"/>
      <c r="Q328" s="196"/>
      <c r="R328" s="188"/>
      <c r="S328" s="268"/>
      <c r="T328" s="268"/>
    </row>
    <row r="329" spans="1:21" ht="33" hidden="1">
      <c r="A329" s="99" t="s">
        <v>234</v>
      </c>
      <c r="B329" s="100" t="s">
        <v>439</v>
      </c>
      <c r="C329" s="89" t="s">
        <v>357</v>
      </c>
      <c r="D329" s="120">
        <v>1</v>
      </c>
      <c r="E329" s="120">
        <v>1</v>
      </c>
      <c r="F329" s="91">
        <f t="shared" si="40"/>
        <v>0</v>
      </c>
      <c r="G329" s="91">
        <v>69.58</v>
      </c>
      <c r="H329" s="91"/>
      <c r="I329" s="91"/>
      <c r="J329" s="91">
        <f t="shared" si="41"/>
        <v>69.58</v>
      </c>
      <c r="K329" s="91">
        <f t="shared" si="42"/>
        <v>69.58</v>
      </c>
      <c r="L329" s="124">
        <f t="shared" si="43"/>
        <v>0</v>
      </c>
      <c r="M329" s="131"/>
      <c r="N329" s="101" t="s">
        <v>62</v>
      </c>
      <c r="O329" s="164" t="s">
        <v>24</v>
      </c>
      <c r="P329" s="180"/>
      <c r="Q329" s="196"/>
      <c r="R329" s="188"/>
      <c r="S329" s="268"/>
      <c r="T329" s="268"/>
    </row>
    <row r="330" spans="1:21" ht="33" hidden="1">
      <c r="A330" s="99" t="s">
        <v>237</v>
      </c>
      <c r="B330" s="100" t="s">
        <v>440</v>
      </c>
      <c r="C330" s="89" t="s">
        <v>357</v>
      </c>
      <c r="D330" s="120">
        <v>1</v>
      </c>
      <c r="E330" s="120">
        <v>1</v>
      </c>
      <c r="F330" s="91">
        <f t="shared" si="40"/>
        <v>0</v>
      </c>
      <c r="G330" s="91">
        <v>112.84</v>
      </c>
      <c r="H330" s="91"/>
      <c r="I330" s="91"/>
      <c r="J330" s="91">
        <f t="shared" si="41"/>
        <v>112.84</v>
      </c>
      <c r="K330" s="91">
        <f t="shared" si="42"/>
        <v>112.84</v>
      </c>
      <c r="L330" s="124">
        <f t="shared" si="43"/>
        <v>0</v>
      </c>
      <c r="M330" s="131"/>
      <c r="N330" s="101" t="s">
        <v>62</v>
      </c>
      <c r="O330" s="164" t="s">
        <v>24</v>
      </c>
      <c r="P330" s="180"/>
      <c r="Q330" s="196"/>
      <c r="R330" s="188"/>
      <c r="S330" s="268"/>
      <c r="T330" s="268"/>
    </row>
    <row r="331" spans="1:21" ht="33" hidden="1">
      <c r="A331" s="99" t="s">
        <v>241</v>
      </c>
      <c r="B331" s="100" t="s">
        <v>441</v>
      </c>
      <c r="C331" s="89" t="s">
        <v>357</v>
      </c>
      <c r="D331" s="120">
        <v>1</v>
      </c>
      <c r="E331" s="120">
        <v>1</v>
      </c>
      <c r="F331" s="91">
        <f t="shared" si="40"/>
        <v>0</v>
      </c>
      <c r="G331" s="91">
        <v>102.54</v>
      </c>
      <c r="H331" s="91"/>
      <c r="I331" s="91"/>
      <c r="J331" s="91">
        <f t="shared" si="41"/>
        <v>102.54</v>
      </c>
      <c r="K331" s="91">
        <f t="shared" si="42"/>
        <v>102.54</v>
      </c>
      <c r="L331" s="124">
        <f t="shared" si="43"/>
        <v>0</v>
      </c>
      <c r="M331" s="131"/>
      <c r="N331" s="101" t="s">
        <v>62</v>
      </c>
      <c r="O331" s="164" t="s">
        <v>24</v>
      </c>
      <c r="P331" s="180"/>
      <c r="Q331" s="196"/>
      <c r="R331" s="188"/>
      <c r="S331" s="268"/>
      <c r="T331" s="268"/>
    </row>
    <row r="332" spans="1:21" ht="33" hidden="1">
      <c r="A332" s="99" t="s">
        <v>243</v>
      </c>
      <c r="B332" s="100" t="s">
        <v>442</v>
      </c>
      <c r="C332" s="89" t="s">
        <v>357</v>
      </c>
      <c r="D332" s="120">
        <v>1</v>
      </c>
      <c r="E332" s="120">
        <v>1</v>
      </c>
      <c r="F332" s="91">
        <f t="shared" si="40"/>
        <v>0</v>
      </c>
      <c r="G332" s="91">
        <v>82.99</v>
      </c>
      <c r="H332" s="91"/>
      <c r="I332" s="91"/>
      <c r="J332" s="91">
        <f t="shared" si="41"/>
        <v>82.99</v>
      </c>
      <c r="K332" s="91">
        <f t="shared" si="42"/>
        <v>82.99</v>
      </c>
      <c r="L332" s="124">
        <f t="shared" si="43"/>
        <v>0</v>
      </c>
      <c r="M332" s="131"/>
      <c r="N332" s="101" t="s">
        <v>1</v>
      </c>
      <c r="O332" s="164" t="s">
        <v>24</v>
      </c>
      <c r="P332" s="180"/>
      <c r="Q332" s="196"/>
      <c r="R332" s="188"/>
      <c r="S332" s="268"/>
      <c r="T332" s="268"/>
    </row>
    <row r="333" spans="1:21" ht="33" hidden="1">
      <c r="A333" s="99" t="s">
        <v>245</v>
      </c>
      <c r="B333" s="100" t="s">
        <v>443</v>
      </c>
      <c r="C333" s="89" t="s">
        <v>357</v>
      </c>
      <c r="D333" s="120">
        <v>1</v>
      </c>
      <c r="E333" s="120">
        <v>1</v>
      </c>
      <c r="F333" s="91">
        <f t="shared" si="40"/>
        <v>0</v>
      </c>
      <c r="G333" s="91">
        <v>80.41</v>
      </c>
      <c r="H333" s="91"/>
      <c r="I333" s="91"/>
      <c r="J333" s="91">
        <f t="shared" si="41"/>
        <v>80.41</v>
      </c>
      <c r="K333" s="91">
        <f t="shared" si="42"/>
        <v>80.41</v>
      </c>
      <c r="L333" s="124">
        <f t="shared" si="43"/>
        <v>0</v>
      </c>
      <c r="M333" s="131"/>
      <c r="N333" s="101" t="s">
        <v>1</v>
      </c>
      <c r="O333" s="164" t="s">
        <v>24</v>
      </c>
      <c r="P333" s="180"/>
      <c r="Q333" s="196"/>
      <c r="R333" s="188"/>
      <c r="S333" s="268"/>
      <c r="T333" s="268"/>
    </row>
    <row r="334" spans="1:21" ht="33" hidden="1">
      <c r="A334" s="99" t="s">
        <v>247</v>
      </c>
      <c r="B334" s="100" t="s">
        <v>444</v>
      </c>
      <c r="C334" s="89" t="s">
        <v>357</v>
      </c>
      <c r="D334" s="120">
        <v>1</v>
      </c>
      <c r="E334" s="120">
        <v>1</v>
      </c>
      <c r="F334" s="91">
        <f t="shared" si="40"/>
        <v>0</v>
      </c>
      <c r="G334" s="91">
        <v>101.01</v>
      </c>
      <c r="H334" s="91"/>
      <c r="I334" s="91"/>
      <c r="J334" s="91">
        <f t="shared" si="41"/>
        <v>101.01</v>
      </c>
      <c r="K334" s="91">
        <f t="shared" si="42"/>
        <v>101.01</v>
      </c>
      <c r="L334" s="124">
        <f t="shared" si="43"/>
        <v>0</v>
      </c>
      <c r="M334" s="131"/>
      <c r="N334" s="101" t="s">
        <v>1</v>
      </c>
      <c r="O334" s="164" t="s">
        <v>24</v>
      </c>
      <c r="P334" s="180"/>
      <c r="Q334" s="196"/>
      <c r="R334" s="188"/>
      <c r="S334" s="268"/>
      <c r="T334" s="268"/>
    </row>
    <row r="335" spans="1:21" ht="33" hidden="1">
      <c r="A335" s="99" t="s">
        <v>249</v>
      </c>
      <c r="B335" s="100" t="s">
        <v>445</v>
      </c>
      <c r="C335" s="89" t="s">
        <v>357</v>
      </c>
      <c r="D335" s="120">
        <v>1</v>
      </c>
      <c r="E335" s="120">
        <v>1</v>
      </c>
      <c r="F335" s="91">
        <f t="shared" si="40"/>
        <v>0</v>
      </c>
      <c r="G335" s="91">
        <v>76.290000000000006</v>
      </c>
      <c r="H335" s="91"/>
      <c r="I335" s="91"/>
      <c r="J335" s="91">
        <f t="shared" si="41"/>
        <v>76.290000000000006</v>
      </c>
      <c r="K335" s="91">
        <f t="shared" si="42"/>
        <v>76.290000000000006</v>
      </c>
      <c r="L335" s="124">
        <f t="shared" si="43"/>
        <v>0</v>
      </c>
      <c r="M335" s="131"/>
      <c r="N335" s="101" t="s">
        <v>1</v>
      </c>
      <c r="O335" s="164" t="s">
        <v>24</v>
      </c>
      <c r="P335" s="180"/>
      <c r="Q335" s="196"/>
      <c r="R335" s="188"/>
      <c r="S335" s="268"/>
      <c r="T335" s="268"/>
    </row>
    <row r="336" spans="1:21" ht="33" hidden="1">
      <c r="A336" s="99" t="s">
        <v>251</v>
      </c>
      <c r="B336" s="100" t="s">
        <v>446</v>
      </c>
      <c r="C336" s="89" t="s">
        <v>357</v>
      </c>
      <c r="D336" s="120">
        <v>1</v>
      </c>
      <c r="E336" s="120">
        <v>1</v>
      </c>
      <c r="F336" s="91">
        <f t="shared" si="40"/>
        <v>0</v>
      </c>
      <c r="G336" s="91">
        <v>73.650000000000006</v>
      </c>
      <c r="H336" s="91"/>
      <c r="I336" s="91"/>
      <c r="J336" s="91">
        <f t="shared" si="41"/>
        <v>73.650000000000006</v>
      </c>
      <c r="K336" s="91">
        <f t="shared" si="42"/>
        <v>73.650000000000006</v>
      </c>
      <c r="L336" s="124">
        <f t="shared" si="43"/>
        <v>0</v>
      </c>
      <c r="M336" s="131"/>
      <c r="N336" s="101" t="s">
        <v>1</v>
      </c>
      <c r="O336" s="164" t="s">
        <v>24</v>
      </c>
      <c r="P336" s="180"/>
      <c r="Q336" s="196"/>
      <c r="R336" s="188"/>
      <c r="S336" s="268"/>
      <c r="T336" s="268"/>
    </row>
    <row r="337" spans="1:21" ht="33" hidden="1">
      <c r="A337" s="3" t="s">
        <v>253</v>
      </c>
      <c r="B337" s="4" t="s">
        <v>447</v>
      </c>
      <c r="C337" s="5" t="s">
        <v>52</v>
      </c>
      <c r="D337" s="26">
        <v>1</v>
      </c>
      <c r="E337" s="26">
        <v>1</v>
      </c>
      <c r="F337" s="6">
        <f t="shared" si="40"/>
        <v>0</v>
      </c>
      <c r="G337" s="6">
        <v>43.78</v>
      </c>
      <c r="H337" s="6"/>
      <c r="I337" s="6"/>
      <c r="J337" s="6">
        <f t="shared" si="41"/>
        <v>43.78</v>
      </c>
      <c r="K337" s="6">
        <f t="shared" si="42"/>
        <v>43.78</v>
      </c>
      <c r="L337" s="122">
        <f t="shared" si="43"/>
        <v>0</v>
      </c>
      <c r="M337" s="127"/>
      <c r="N337" s="7" t="s">
        <v>1</v>
      </c>
      <c r="O337" s="148" t="s">
        <v>24</v>
      </c>
      <c r="P337" s="149"/>
      <c r="Q337" s="184"/>
      <c r="R337" s="161"/>
      <c r="S337" s="268"/>
      <c r="T337" s="268"/>
    </row>
    <row r="338" spans="1:21" ht="33" hidden="1">
      <c r="A338" s="99" t="s">
        <v>255</v>
      </c>
      <c r="B338" s="100" t="s">
        <v>448</v>
      </c>
      <c r="C338" s="89" t="s">
        <v>449</v>
      </c>
      <c r="D338" s="120">
        <v>1</v>
      </c>
      <c r="E338" s="120">
        <v>1</v>
      </c>
      <c r="F338" s="91">
        <f t="shared" si="40"/>
        <v>0</v>
      </c>
      <c r="G338" s="91">
        <v>28.11</v>
      </c>
      <c r="H338" s="91"/>
      <c r="I338" s="91"/>
      <c r="J338" s="91">
        <f t="shared" si="41"/>
        <v>28.11</v>
      </c>
      <c r="K338" s="91">
        <f t="shared" si="42"/>
        <v>28.11</v>
      </c>
      <c r="L338" s="124">
        <f t="shared" si="43"/>
        <v>0</v>
      </c>
      <c r="M338" s="131"/>
      <c r="N338" s="101" t="s">
        <v>1</v>
      </c>
      <c r="O338" s="164" t="s">
        <v>24</v>
      </c>
      <c r="P338" s="180"/>
      <c r="Q338" s="196"/>
      <c r="R338" s="188"/>
      <c r="S338" s="268"/>
      <c r="T338" s="268"/>
    </row>
    <row r="339" spans="1:21" ht="33" hidden="1">
      <c r="A339" s="99" t="s">
        <v>257</v>
      </c>
      <c r="B339" s="100" t="s">
        <v>450</v>
      </c>
      <c r="C339" s="89" t="s">
        <v>52</v>
      </c>
      <c r="D339" s="120">
        <v>1</v>
      </c>
      <c r="E339" s="120">
        <v>1</v>
      </c>
      <c r="F339" s="91">
        <f t="shared" si="40"/>
        <v>0</v>
      </c>
      <c r="G339" s="91">
        <v>245.47</v>
      </c>
      <c r="H339" s="91"/>
      <c r="I339" s="91"/>
      <c r="J339" s="91">
        <f t="shared" si="41"/>
        <v>245.47</v>
      </c>
      <c r="K339" s="91">
        <f t="shared" si="42"/>
        <v>245.47</v>
      </c>
      <c r="L339" s="124">
        <f t="shared" si="43"/>
        <v>0</v>
      </c>
      <c r="M339" s="131"/>
      <c r="N339" s="101" t="s">
        <v>451</v>
      </c>
      <c r="O339" s="164" t="s">
        <v>24</v>
      </c>
      <c r="P339" s="180"/>
      <c r="Q339" s="196"/>
      <c r="R339" s="188"/>
      <c r="S339" s="268"/>
      <c r="T339" s="268"/>
    </row>
    <row r="340" spans="1:21" s="47" customFormat="1" ht="33" hidden="1">
      <c r="A340" s="58">
        <v>88</v>
      </c>
      <c r="B340" s="59" t="s">
        <v>678</v>
      </c>
      <c r="C340" s="60" t="s">
        <v>687</v>
      </c>
      <c r="D340" s="61">
        <v>73.48</v>
      </c>
      <c r="E340" s="61">
        <v>73.48</v>
      </c>
      <c r="F340" s="61">
        <f t="shared" si="40"/>
        <v>0</v>
      </c>
      <c r="G340" s="61">
        <v>839.94</v>
      </c>
      <c r="H340" s="61"/>
      <c r="I340" s="61"/>
      <c r="J340" s="6">
        <f t="shared" si="41"/>
        <v>61718.791200000007</v>
      </c>
      <c r="K340" s="6">
        <f t="shared" si="42"/>
        <v>61718.791200000007</v>
      </c>
      <c r="L340" s="122">
        <f t="shared" si="43"/>
        <v>0</v>
      </c>
      <c r="M340" s="129"/>
      <c r="N340" s="95"/>
      <c r="O340" s="170" t="s">
        <v>24</v>
      </c>
      <c r="P340" s="159"/>
      <c r="Q340" s="181"/>
      <c r="R340" s="182"/>
      <c r="S340" s="271"/>
      <c r="T340" s="271"/>
      <c r="U340" s="65"/>
    </row>
    <row r="341" spans="1:21" s="27" customFormat="1" ht="57" hidden="1">
      <c r="A341" s="3">
        <v>89</v>
      </c>
      <c r="B341" s="4" t="s">
        <v>706</v>
      </c>
      <c r="C341" s="5" t="s">
        <v>760</v>
      </c>
      <c r="D341" s="6">
        <v>17856</v>
      </c>
      <c r="E341" s="6">
        <v>17856</v>
      </c>
      <c r="F341" s="6">
        <f t="shared" si="40"/>
        <v>0</v>
      </c>
      <c r="G341" s="6">
        <v>150</v>
      </c>
      <c r="H341" s="6"/>
      <c r="I341" s="6"/>
      <c r="J341" s="6">
        <f t="shared" si="41"/>
        <v>2678400</v>
      </c>
      <c r="K341" s="6">
        <f t="shared" si="42"/>
        <v>2678400</v>
      </c>
      <c r="L341" s="122">
        <f t="shared" si="43"/>
        <v>0</v>
      </c>
      <c r="M341" s="127"/>
      <c r="N341" s="7" t="s">
        <v>761</v>
      </c>
      <c r="O341" s="148" t="s">
        <v>24</v>
      </c>
      <c r="P341" s="153"/>
      <c r="Q341" s="172"/>
      <c r="R341" s="161"/>
      <c r="S341" s="268"/>
      <c r="T341" s="268"/>
    </row>
    <row r="342" spans="1:21" ht="33" hidden="1">
      <c r="A342" s="200" t="s">
        <v>452</v>
      </c>
      <c r="B342" s="201" t="s">
        <v>453</v>
      </c>
      <c r="C342" s="202" t="s">
        <v>23</v>
      </c>
      <c r="D342" s="203"/>
      <c r="E342" s="203"/>
      <c r="F342" s="203"/>
      <c r="G342" s="203">
        <f>J342</f>
        <v>5831452.4899999993</v>
      </c>
      <c r="H342" s="203"/>
      <c r="I342" s="203"/>
      <c r="J342" s="203">
        <f>SUM(J343:J383)</f>
        <v>5831452.4899999993</v>
      </c>
      <c r="K342" s="203">
        <f>SUM(K343:K383)</f>
        <v>5831452.4899999993</v>
      </c>
      <c r="L342" s="205">
        <f>SUM(L343:L383)</f>
        <v>0</v>
      </c>
      <c r="M342" s="207">
        <f>SUM(M343:M383)</f>
        <v>0</v>
      </c>
      <c r="N342" s="208" t="s">
        <v>1</v>
      </c>
      <c r="O342" s="148" t="s">
        <v>24</v>
      </c>
      <c r="P342" s="150"/>
      <c r="Q342" s="184"/>
      <c r="R342" s="161"/>
      <c r="S342" s="268"/>
      <c r="T342" s="268"/>
    </row>
    <row r="343" spans="1:21" ht="33" hidden="1">
      <c r="A343" s="3" t="s">
        <v>29</v>
      </c>
      <c r="B343" s="4" t="s">
        <v>454</v>
      </c>
      <c r="C343" s="5" t="s">
        <v>23</v>
      </c>
      <c r="D343" s="6">
        <v>1</v>
      </c>
      <c r="E343" s="6">
        <v>1</v>
      </c>
      <c r="F343" s="6">
        <f t="shared" ref="F343:F383" si="44">E343-D343</f>
        <v>0</v>
      </c>
      <c r="G343" s="6">
        <v>69458</v>
      </c>
      <c r="H343" s="6"/>
      <c r="I343" s="6"/>
      <c r="J343" s="6">
        <f t="shared" ref="J343:J383" si="45">D343*G343</f>
        <v>69458</v>
      </c>
      <c r="K343" s="6">
        <f t="shared" ref="K343:K383" si="46">E343*G343</f>
        <v>69458</v>
      </c>
      <c r="L343" s="122">
        <f t="shared" ref="L343:L383" si="47">K343-J343</f>
        <v>0</v>
      </c>
      <c r="M343" s="127"/>
      <c r="N343" s="7" t="s">
        <v>1</v>
      </c>
      <c r="O343" s="148" t="s">
        <v>24</v>
      </c>
      <c r="P343" s="149"/>
      <c r="Q343" s="184"/>
      <c r="R343" s="161"/>
      <c r="S343" s="268"/>
      <c r="T343" s="268"/>
    </row>
    <row r="344" spans="1:21" s="27" customFormat="1" ht="33" hidden="1">
      <c r="A344" s="3" t="s">
        <v>32</v>
      </c>
      <c r="B344" s="4" t="s">
        <v>455</v>
      </c>
      <c r="C344" s="5" t="s">
        <v>23</v>
      </c>
      <c r="D344" s="6">
        <v>1</v>
      </c>
      <c r="E344" s="6">
        <v>1</v>
      </c>
      <c r="F344" s="6">
        <f t="shared" si="44"/>
        <v>0</v>
      </c>
      <c r="G344" s="6">
        <v>94852.479999999996</v>
      </c>
      <c r="H344" s="6"/>
      <c r="I344" s="6"/>
      <c r="J344" s="6">
        <f t="shared" si="45"/>
        <v>94852.479999999996</v>
      </c>
      <c r="K344" s="6">
        <f t="shared" si="46"/>
        <v>94852.479999999996</v>
      </c>
      <c r="L344" s="122">
        <f t="shared" si="47"/>
        <v>0</v>
      </c>
      <c r="M344" s="127"/>
      <c r="N344" s="7" t="s">
        <v>1</v>
      </c>
      <c r="O344" s="148" t="s">
        <v>24</v>
      </c>
      <c r="P344" s="149"/>
      <c r="Q344" s="184"/>
      <c r="R344" s="161"/>
      <c r="S344" s="268"/>
      <c r="T344" s="268"/>
      <c r="U344" s="64"/>
    </row>
    <row r="345" spans="1:21" s="27" customFormat="1" ht="33" hidden="1">
      <c r="A345" s="3" t="s">
        <v>34</v>
      </c>
      <c r="B345" s="4" t="s">
        <v>456</v>
      </c>
      <c r="C345" s="5" t="s">
        <v>23</v>
      </c>
      <c r="D345" s="6">
        <v>1</v>
      </c>
      <c r="E345" s="6">
        <v>1</v>
      </c>
      <c r="F345" s="6">
        <f t="shared" si="44"/>
        <v>0</v>
      </c>
      <c r="G345" s="6">
        <v>251510</v>
      </c>
      <c r="H345" s="6"/>
      <c r="I345" s="6"/>
      <c r="J345" s="6">
        <f t="shared" si="45"/>
        <v>251510</v>
      </c>
      <c r="K345" s="6">
        <f t="shared" si="46"/>
        <v>251510</v>
      </c>
      <c r="L345" s="122">
        <f t="shared" si="47"/>
        <v>0</v>
      </c>
      <c r="M345" s="127"/>
      <c r="N345" s="7" t="s">
        <v>1</v>
      </c>
      <c r="O345" s="148" t="s">
        <v>24</v>
      </c>
      <c r="P345" s="149"/>
      <c r="Q345" s="184"/>
      <c r="R345" s="161"/>
      <c r="S345" s="268"/>
      <c r="T345" s="268"/>
      <c r="U345" s="64"/>
    </row>
    <row r="346" spans="1:21" s="27" customFormat="1" ht="33" hidden="1">
      <c r="A346" s="3" t="s">
        <v>38</v>
      </c>
      <c r="B346" s="4" t="s">
        <v>457</v>
      </c>
      <c r="C346" s="5" t="s">
        <v>23</v>
      </c>
      <c r="D346" s="6">
        <v>1</v>
      </c>
      <c r="E346" s="6">
        <v>1</v>
      </c>
      <c r="F346" s="6">
        <f t="shared" si="44"/>
        <v>0</v>
      </c>
      <c r="G346" s="6">
        <v>174688.22</v>
      </c>
      <c r="H346" s="6"/>
      <c r="I346" s="6"/>
      <c r="J346" s="6">
        <f t="shared" si="45"/>
        <v>174688.22</v>
      </c>
      <c r="K346" s="6">
        <f t="shared" si="46"/>
        <v>174688.22</v>
      </c>
      <c r="L346" s="122">
        <f t="shared" si="47"/>
        <v>0</v>
      </c>
      <c r="M346" s="127"/>
      <c r="N346" s="7" t="s">
        <v>1</v>
      </c>
      <c r="O346" s="148" t="s">
        <v>24</v>
      </c>
      <c r="P346" s="149"/>
      <c r="Q346" s="184"/>
      <c r="R346" s="161"/>
      <c r="S346" s="268"/>
      <c r="T346" s="268"/>
      <c r="U346" s="64"/>
    </row>
    <row r="347" spans="1:21" s="27" customFormat="1" ht="33" hidden="1">
      <c r="A347" s="3" t="s">
        <v>41</v>
      </c>
      <c r="B347" s="4" t="s">
        <v>458</v>
      </c>
      <c r="C347" s="5" t="s">
        <v>23</v>
      </c>
      <c r="D347" s="6">
        <v>1</v>
      </c>
      <c r="E347" s="6">
        <v>1</v>
      </c>
      <c r="F347" s="6">
        <f t="shared" si="44"/>
        <v>0</v>
      </c>
      <c r="G347" s="6">
        <v>21221.84</v>
      </c>
      <c r="H347" s="6"/>
      <c r="I347" s="6"/>
      <c r="J347" s="6">
        <f t="shared" si="45"/>
        <v>21221.84</v>
      </c>
      <c r="K347" s="6">
        <f t="shared" si="46"/>
        <v>21221.84</v>
      </c>
      <c r="L347" s="122">
        <f t="shared" si="47"/>
        <v>0</v>
      </c>
      <c r="M347" s="127"/>
      <c r="N347" s="7" t="s">
        <v>1</v>
      </c>
      <c r="O347" s="148" t="s">
        <v>24</v>
      </c>
      <c r="P347" s="149"/>
      <c r="Q347" s="184"/>
      <c r="R347" s="161"/>
      <c r="S347" s="268"/>
      <c r="T347" s="268"/>
      <c r="U347" s="64"/>
    </row>
    <row r="348" spans="1:21" s="27" customFormat="1" ht="42.75" hidden="1">
      <c r="A348" s="3" t="s">
        <v>43</v>
      </c>
      <c r="B348" s="4" t="s">
        <v>459</v>
      </c>
      <c r="C348" s="5" t="s">
        <v>78</v>
      </c>
      <c r="D348" s="6">
        <v>12</v>
      </c>
      <c r="E348" s="6">
        <v>12</v>
      </c>
      <c r="F348" s="6">
        <f t="shared" si="44"/>
        <v>0</v>
      </c>
      <c r="G348" s="6">
        <v>42800</v>
      </c>
      <c r="H348" s="6"/>
      <c r="I348" s="6"/>
      <c r="J348" s="6">
        <f t="shared" si="45"/>
        <v>513600</v>
      </c>
      <c r="K348" s="6">
        <f t="shared" si="46"/>
        <v>513600</v>
      </c>
      <c r="L348" s="122">
        <f t="shared" si="47"/>
        <v>0</v>
      </c>
      <c r="M348" s="127"/>
      <c r="N348" s="7" t="s">
        <v>460</v>
      </c>
      <c r="O348" s="148" t="s">
        <v>24</v>
      </c>
      <c r="P348" s="149"/>
      <c r="Q348" s="184"/>
      <c r="R348" s="161"/>
      <c r="S348" s="268"/>
      <c r="T348" s="268"/>
      <c r="U348" s="64"/>
    </row>
    <row r="349" spans="1:21" s="27" customFormat="1" ht="42.75" hidden="1">
      <c r="A349" s="3" t="s">
        <v>45</v>
      </c>
      <c r="B349" s="4" t="s">
        <v>461</v>
      </c>
      <c r="C349" s="5" t="s">
        <v>78</v>
      </c>
      <c r="D349" s="6">
        <v>7</v>
      </c>
      <c r="E349" s="6">
        <v>7</v>
      </c>
      <c r="F349" s="6">
        <f t="shared" si="44"/>
        <v>0</v>
      </c>
      <c r="G349" s="6">
        <v>60400</v>
      </c>
      <c r="H349" s="6"/>
      <c r="I349" s="6"/>
      <c r="J349" s="6">
        <f t="shared" si="45"/>
        <v>422800</v>
      </c>
      <c r="K349" s="6">
        <f t="shared" si="46"/>
        <v>422800</v>
      </c>
      <c r="L349" s="122">
        <f t="shared" si="47"/>
        <v>0</v>
      </c>
      <c r="M349" s="127"/>
      <c r="N349" s="7" t="s">
        <v>62</v>
      </c>
      <c r="O349" s="148" t="s">
        <v>24</v>
      </c>
      <c r="P349" s="149"/>
      <c r="Q349" s="184"/>
      <c r="R349" s="161"/>
      <c r="S349" s="268"/>
      <c r="T349" s="268"/>
      <c r="U349" s="64"/>
    </row>
    <row r="350" spans="1:21" s="27" customFormat="1" ht="42.75" hidden="1">
      <c r="A350" s="3" t="s">
        <v>48</v>
      </c>
      <c r="B350" s="4" t="s">
        <v>462</v>
      </c>
      <c r="C350" s="5" t="s">
        <v>78</v>
      </c>
      <c r="D350" s="6">
        <v>13</v>
      </c>
      <c r="E350" s="6">
        <v>13</v>
      </c>
      <c r="F350" s="6">
        <f t="shared" si="44"/>
        <v>0</v>
      </c>
      <c r="G350" s="6">
        <v>35000</v>
      </c>
      <c r="H350" s="6"/>
      <c r="I350" s="6"/>
      <c r="J350" s="6">
        <f t="shared" si="45"/>
        <v>455000</v>
      </c>
      <c r="K350" s="6">
        <f t="shared" si="46"/>
        <v>455000</v>
      </c>
      <c r="L350" s="122">
        <f t="shared" si="47"/>
        <v>0</v>
      </c>
      <c r="M350" s="127"/>
      <c r="N350" s="7" t="s">
        <v>62</v>
      </c>
      <c r="O350" s="148" t="s">
        <v>24</v>
      </c>
      <c r="P350" s="149"/>
      <c r="Q350" s="184"/>
      <c r="R350" s="161"/>
      <c r="S350" s="268"/>
      <c r="T350" s="268"/>
      <c r="U350" s="64"/>
    </row>
    <row r="351" spans="1:21" s="27" customFormat="1" ht="33" hidden="1">
      <c r="A351" s="3" t="s">
        <v>50</v>
      </c>
      <c r="B351" s="4" t="s">
        <v>463</v>
      </c>
      <c r="C351" s="5" t="s">
        <v>78</v>
      </c>
      <c r="D351" s="6">
        <v>13</v>
      </c>
      <c r="E351" s="6">
        <v>13</v>
      </c>
      <c r="F351" s="6">
        <f t="shared" si="44"/>
        <v>0</v>
      </c>
      <c r="G351" s="6">
        <v>10000</v>
      </c>
      <c r="H351" s="6"/>
      <c r="I351" s="6"/>
      <c r="J351" s="6">
        <f t="shared" si="45"/>
        <v>130000</v>
      </c>
      <c r="K351" s="6">
        <f t="shared" si="46"/>
        <v>130000</v>
      </c>
      <c r="L351" s="122">
        <f t="shared" si="47"/>
        <v>0</v>
      </c>
      <c r="M351" s="127"/>
      <c r="N351" s="7" t="s">
        <v>62</v>
      </c>
      <c r="O351" s="148" t="s">
        <v>24</v>
      </c>
      <c r="P351" s="149"/>
      <c r="Q351" s="184"/>
      <c r="R351" s="161"/>
      <c r="S351" s="268"/>
      <c r="T351" s="268"/>
      <c r="U351" s="64"/>
    </row>
    <row r="352" spans="1:21" s="27" customFormat="1" ht="33" hidden="1">
      <c r="A352" s="3" t="s">
        <v>54</v>
      </c>
      <c r="B352" s="4" t="s">
        <v>464</v>
      </c>
      <c r="C352" s="5" t="s">
        <v>228</v>
      </c>
      <c r="D352" s="6">
        <v>2</v>
      </c>
      <c r="E352" s="6">
        <v>2</v>
      </c>
      <c r="F352" s="6">
        <f t="shared" si="44"/>
        <v>0</v>
      </c>
      <c r="G352" s="6">
        <v>1500</v>
      </c>
      <c r="H352" s="6"/>
      <c r="I352" s="6"/>
      <c r="J352" s="6">
        <f t="shared" si="45"/>
        <v>3000</v>
      </c>
      <c r="K352" s="6">
        <f t="shared" si="46"/>
        <v>3000</v>
      </c>
      <c r="L352" s="122">
        <f t="shared" si="47"/>
        <v>0</v>
      </c>
      <c r="M352" s="127"/>
      <c r="N352" s="7" t="s">
        <v>1</v>
      </c>
      <c r="O352" s="148" t="s">
        <v>24</v>
      </c>
      <c r="P352" s="149"/>
      <c r="Q352" s="184"/>
      <c r="R352" s="161"/>
      <c r="S352" s="268"/>
      <c r="T352" s="268"/>
      <c r="U352" s="64"/>
    </row>
    <row r="353" spans="1:21" s="27" customFormat="1" ht="33" hidden="1">
      <c r="A353" s="3" t="s">
        <v>56</v>
      </c>
      <c r="B353" s="4" t="s">
        <v>465</v>
      </c>
      <c r="C353" s="5" t="s">
        <v>228</v>
      </c>
      <c r="D353" s="6">
        <v>2</v>
      </c>
      <c r="E353" s="6">
        <v>2</v>
      </c>
      <c r="F353" s="6">
        <f t="shared" si="44"/>
        <v>0</v>
      </c>
      <c r="G353" s="6">
        <v>4000</v>
      </c>
      <c r="H353" s="6"/>
      <c r="I353" s="6"/>
      <c r="J353" s="6">
        <f t="shared" si="45"/>
        <v>8000</v>
      </c>
      <c r="K353" s="6">
        <f t="shared" si="46"/>
        <v>8000</v>
      </c>
      <c r="L353" s="122">
        <f t="shared" si="47"/>
        <v>0</v>
      </c>
      <c r="M353" s="127"/>
      <c r="N353" s="7" t="s">
        <v>1</v>
      </c>
      <c r="O353" s="148" t="s">
        <v>24</v>
      </c>
      <c r="P353" s="149"/>
      <c r="Q353" s="184"/>
      <c r="R353" s="161"/>
      <c r="S353" s="268"/>
      <c r="T353" s="268"/>
      <c r="U353" s="64"/>
    </row>
    <row r="354" spans="1:21" s="27" customFormat="1" ht="33" hidden="1">
      <c r="A354" s="3" t="s">
        <v>58</v>
      </c>
      <c r="B354" s="4" t="s">
        <v>466</v>
      </c>
      <c r="C354" s="5" t="s">
        <v>36</v>
      </c>
      <c r="D354" s="6">
        <v>216.55</v>
      </c>
      <c r="E354" s="6">
        <v>216.55</v>
      </c>
      <c r="F354" s="6">
        <f t="shared" si="44"/>
        <v>0</v>
      </c>
      <c r="G354" s="6">
        <v>800</v>
      </c>
      <c r="H354" s="6"/>
      <c r="I354" s="6"/>
      <c r="J354" s="6">
        <f t="shared" si="45"/>
        <v>173240</v>
      </c>
      <c r="K354" s="6">
        <f t="shared" si="46"/>
        <v>173240</v>
      </c>
      <c r="L354" s="122">
        <f t="shared" si="47"/>
        <v>0</v>
      </c>
      <c r="M354" s="127"/>
      <c r="N354" s="7" t="s">
        <v>1</v>
      </c>
      <c r="O354" s="148" t="s">
        <v>24</v>
      </c>
      <c r="P354" s="149"/>
      <c r="Q354" s="184"/>
      <c r="R354" s="161"/>
      <c r="S354" s="268"/>
      <c r="T354" s="268"/>
      <c r="U354" s="64"/>
    </row>
    <row r="355" spans="1:21" s="27" customFormat="1" ht="33" hidden="1">
      <c r="A355" s="3" t="s">
        <v>60</v>
      </c>
      <c r="B355" s="4" t="s">
        <v>467</v>
      </c>
      <c r="C355" s="5" t="s">
        <v>228</v>
      </c>
      <c r="D355" s="6">
        <v>5</v>
      </c>
      <c r="E355" s="6">
        <v>5</v>
      </c>
      <c r="F355" s="6">
        <f t="shared" si="44"/>
        <v>0</v>
      </c>
      <c r="G355" s="6">
        <v>11300</v>
      </c>
      <c r="H355" s="6"/>
      <c r="I355" s="6"/>
      <c r="J355" s="6">
        <f t="shared" si="45"/>
        <v>56500</v>
      </c>
      <c r="K355" s="6">
        <f t="shared" si="46"/>
        <v>56500</v>
      </c>
      <c r="L355" s="122">
        <f t="shared" si="47"/>
        <v>0</v>
      </c>
      <c r="M355" s="127"/>
      <c r="N355" s="7" t="s">
        <v>1</v>
      </c>
      <c r="O355" s="148" t="s">
        <v>24</v>
      </c>
      <c r="P355" s="149"/>
      <c r="Q355" s="184"/>
      <c r="R355" s="161"/>
      <c r="S355" s="268"/>
      <c r="T355" s="268"/>
      <c r="U355" s="64"/>
    </row>
    <row r="356" spans="1:21" s="27" customFormat="1" ht="33" hidden="1">
      <c r="A356" s="3" t="s">
        <v>63</v>
      </c>
      <c r="B356" s="4" t="s">
        <v>468</v>
      </c>
      <c r="C356" s="5" t="s">
        <v>228</v>
      </c>
      <c r="D356" s="6">
        <v>8</v>
      </c>
      <c r="E356" s="6">
        <v>8</v>
      </c>
      <c r="F356" s="6">
        <f t="shared" si="44"/>
        <v>0</v>
      </c>
      <c r="G356" s="6">
        <v>13500</v>
      </c>
      <c r="H356" s="6"/>
      <c r="I356" s="6"/>
      <c r="J356" s="6">
        <f t="shared" si="45"/>
        <v>108000</v>
      </c>
      <c r="K356" s="6">
        <f t="shared" si="46"/>
        <v>108000</v>
      </c>
      <c r="L356" s="122">
        <f t="shared" si="47"/>
        <v>0</v>
      </c>
      <c r="M356" s="127"/>
      <c r="N356" s="7" t="s">
        <v>1</v>
      </c>
      <c r="O356" s="148" t="s">
        <v>24</v>
      </c>
      <c r="P356" s="149"/>
      <c r="Q356" s="184"/>
      <c r="R356" s="161"/>
      <c r="S356" s="268"/>
      <c r="T356" s="268"/>
      <c r="U356" s="64"/>
    </row>
    <row r="357" spans="1:21" s="27" customFormat="1" ht="42.75" hidden="1">
      <c r="A357" s="3" t="s">
        <v>67</v>
      </c>
      <c r="B357" s="4" t="s">
        <v>469</v>
      </c>
      <c r="C357" s="5" t="s">
        <v>71</v>
      </c>
      <c r="D357" s="6">
        <v>1</v>
      </c>
      <c r="E357" s="6">
        <v>1</v>
      </c>
      <c r="F357" s="6">
        <f t="shared" si="44"/>
        <v>0</v>
      </c>
      <c r="G357" s="6">
        <v>112963.49</v>
      </c>
      <c r="H357" s="6"/>
      <c r="I357" s="6"/>
      <c r="J357" s="6">
        <f t="shared" si="45"/>
        <v>112963.49</v>
      </c>
      <c r="K357" s="6">
        <f t="shared" si="46"/>
        <v>112963.49</v>
      </c>
      <c r="L357" s="122">
        <f t="shared" si="47"/>
        <v>0</v>
      </c>
      <c r="M357" s="127"/>
      <c r="N357" s="7" t="s">
        <v>470</v>
      </c>
      <c r="O357" s="148" t="s">
        <v>24</v>
      </c>
      <c r="P357" s="149"/>
      <c r="Q357" s="184"/>
      <c r="R357" s="161"/>
      <c r="S357" s="268"/>
      <c r="T357" s="268"/>
      <c r="U357" s="64"/>
    </row>
    <row r="358" spans="1:21" s="27" customFormat="1" ht="57" hidden="1">
      <c r="A358" s="3" t="s">
        <v>69</v>
      </c>
      <c r="B358" s="4" t="s">
        <v>471</v>
      </c>
      <c r="C358" s="5" t="s">
        <v>23</v>
      </c>
      <c r="D358" s="6">
        <v>1</v>
      </c>
      <c r="E358" s="6">
        <v>1</v>
      </c>
      <c r="F358" s="6">
        <f t="shared" si="44"/>
        <v>0</v>
      </c>
      <c r="G358" s="6">
        <v>322500</v>
      </c>
      <c r="H358" s="6"/>
      <c r="I358" s="6"/>
      <c r="J358" s="6">
        <f t="shared" si="45"/>
        <v>322500</v>
      </c>
      <c r="K358" s="6">
        <f t="shared" si="46"/>
        <v>322500</v>
      </c>
      <c r="L358" s="122">
        <f t="shared" si="47"/>
        <v>0</v>
      </c>
      <c r="M358" s="127"/>
      <c r="N358" s="7" t="s">
        <v>472</v>
      </c>
      <c r="O358" s="148" t="s">
        <v>24</v>
      </c>
      <c r="P358" s="149"/>
      <c r="Q358" s="184"/>
      <c r="R358" s="161"/>
      <c r="S358" s="268"/>
      <c r="T358" s="268"/>
      <c r="U358" s="64"/>
    </row>
    <row r="359" spans="1:21" s="27" customFormat="1" ht="33" hidden="1">
      <c r="A359" s="3" t="s">
        <v>73</v>
      </c>
      <c r="B359" s="4" t="s">
        <v>473</v>
      </c>
      <c r="C359" s="5" t="s">
        <v>228</v>
      </c>
      <c r="D359" s="6">
        <v>7</v>
      </c>
      <c r="E359" s="6">
        <v>7</v>
      </c>
      <c r="F359" s="6">
        <f t="shared" si="44"/>
        <v>0</v>
      </c>
      <c r="G359" s="6">
        <v>15500</v>
      </c>
      <c r="H359" s="6"/>
      <c r="I359" s="6"/>
      <c r="J359" s="6">
        <f t="shared" si="45"/>
        <v>108500</v>
      </c>
      <c r="K359" s="6">
        <f t="shared" si="46"/>
        <v>108500</v>
      </c>
      <c r="L359" s="122">
        <f t="shared" si="47"/>
        <v>0</v>
      </c>
      <c r="M359" s="127"/>
      <c r="N359" s="7" t="s">
        <v>1</v>
      </c>
      <c r="O359" s="148" t="s">
        <v>24</v>
      </c>
      <c r="P359" s="149"/>
      <c r="Q359" s="184"/>
      <c r="R359" s="161"/>
      <c r="S359" s="268"/>
      <c r="T359" s="268"/>
      <c r="U359" s="64"/>
    </row>
    <row r="360" spans="1:21" s="27" customFormat="1" ht="33" hidden="1">
      <c r="A360" s="3" t="s">
        <v>76</v>
      </c>
      <c r="B360" s="4" t="s">
        <v>474</v>
      </c>
      <c r="C360" s="5" t="s">
        <v>228</v>
      </c>
      <c r="D360" s="6">
        <v>2</v>
      </c>
      <c r="E360" s="6">
        <v>2</v>
      </c>
      <c r="F360" s="6">
        <f t="shared" si="44"/>
        <v>0</v>
      </c>
      <c r="G360" s="6">
        <v>113300</v>
      </c>
      <c r="H360" s="6"/>
      <c r="I360" s="6"/>
      <c r="J360" s="6">
        <f t="shared" si="45"/>
        <v>226600</v>
      </c>
      <c r="K360" s="6">
        <f t="shared" si="46"/>
        <v>226600</v>
      </c>
      <c r="L360" s="122">
        <f t="shared" si="47"/>
        <v>0</v>
      </c>
      <c r="M360" s="127"/>
      <c r="N360" s="7" t="s">
        <v>1</v>
      </c>
      <c r="O360" s="148" t="s">
        <v>24</v>
      </c>
      <c r="P360" s="149"/>
      <c r="Q360" s="184"/>
      <c r="R360" s="161"/>
      <c r="S360" s="268"/>
      <c r="T360" s="268"/>
      <c r="U360" s="64"/>
    </row>
    <row r="361" spans="1:21" s="27" customFormat="1" ht="33" hidden="1">
      <c r="A361" s="3" t="s">
        <v>79</v>
      </c>
      <c r="B361" s="4" t="s">
        <v>475</v>
      </c>
      <c r="C361" s="5" t="s">
        <v>228</v>
      </c>
      <c r="D361" s="6">
        <v>9</v>
      </c>
      <c r="E361" s="6">
        <v>9</v>
      </c>
      <c r="F361" s="6">
        <f t="shared" si="44"/>
        <v>0</v>
      </c>
      <c r="G361" s="6">
        <v>100000</v>
      </c>
      <c r="H361" s="6"/>
      <c r="I361" s="6"/>
      <c r="J361" s="6">
        <f t="shared" si="45"/>
        <v>900000</v>
      </c>
      <c r="K361" s="6">
        <f t="shared" si="46"/>
        <v>900000</v>
      </c>
      <c r="L361" s="122">
        <f t="shared" si="47"/>
        <v>0</v>
      </c>
      <c r="M361" s="127"/>
      <c r="N361" s="7" t="s">
        <v>1</v>
      </c>
      <c r="O361" s="148" t="s">
        <v>24</v>
      </c>
      <c r="P361" s="149"/>
      <c r="Q361" s="184"/>
      <c r="R361" s="161"/>
      <c r="S361" s="268"/>
      <c r="T361" s="268"/>
      <c r="U361" s="64"/>
    </row>
    <row r="362" spans="1:21" s="27" customFormat="1" ht="33" hidden="1">
      <c r="A362" s="3" t="s">
        <v>81</v>
      </c>
      <c r="B362" s="4" t="s">
        <v>476</v>
      </c>
      <c r="C362" s="5" t="s">
        <v>78</v>
      </c>
      <c r="D362" s="6">
        <v>2</v>
      </c>
      <c r="E362" s="6">
        <v>2</v>
      </c>
      <c r="F362" s="6">
        <f t="shared" si="44"/>
        <v>0</v>
      </c>
      <c r="G362" s="6">
        <v>15000</v>
      </c>
      <c r="H362" s="6"/>
      <c r="I362" s="6"/>
      <c r="J362" s="6">
        <f t="shared" si="45"/>
        <v>30000</v>
      </c>
      <c r="K362" s="6">
        <f t="shared" si="46"/>
        <v>30000</v>
      </c>
      <c r="L362" s="122">
        <f t="shared" si="47"/>
        <v>0</v>
      </c>
      <c r="M362" s="127"/>
      <c r="N362" s="7" t="s">
        <v>1</v>
      </c>
      <c r="O362" s="148" t="s">
        <v>24</v>
      </c>
      <c r="P362" s="149"/>
      <c r="Q362" s="184"/>
      <c r="R362" s="161"/>
      <c r="S362" s="268"/>
      <c r="T362" s="268"/>
      <c r="U362" s="64"/>
    </row>
    <row r="363" spans="1:21" s="27" customFormat="1" ht="33" hidden="1">
      <c r="A363" s="3" t="s">
        <v>83</v>
      </c>
      <c r="B363" s="4" t="s">
        <v>477</v>
      </c>
      <c r="C363" s="5" t="s">
        <v>478</v>
      </c>
      <c r="D363" s="6">
        <v>1</v>
      </c>
      <c r="E363" s="6">
        <v>1</v>
      </c>
      <c r="F363" s="6">
        <f t="shared" si="44"/>
        <v>0</v>
      </c>
      <c r="G363" s="6">
        <v>15000</v>
      </c>
      <c r="H363" s="6"/>
      <c r="I363" s="6"/>
      <c r="J363" s="6">
        <f t="shared" si="45"/>
        <v>15000</v>
      </c>
      <c r="K363" s="6">
        <f t="shared" si="46"/>
        <v>15000</v>
      </c>
      <c r="L363" s="122">
        <f t="shared" si="47"/>
        <v>0</v>
      </c>
      <c r="M363" s="127"/>
      <c r="N363" s="7" t="s">
        <v>62</v>
      </c>
      <c r="O363" s="148" t="s">
        <v>24</v>
      </c>
      <c r="P363" s="149"/>
      <c r="Q363" s="184"/>
      <c r="R363" s="161"/>
      <c r="S363" s="268"/>
      <c r="T363" s="268"/>
      <c r="U363" s="64"/>
    </row>
    <row r="364" spans="1:21" s="27" customFormat="1" ht="33" hidden="1">
      <c r="A364" s="3" t="s">
        <v>85</v>
      </c>
      <c r="B364" s="4" t="s">
        <v>479</v>
      </c>
      <c r="C364" s="5" t="s">
        <v>228</v>
      </c>
      <c r="D364" s="6">
        <v>1</v>
      </c>
      <c r="E364" s="6">
        <v>1</v>
      </c>
      <c r="F364" s="6">
        <f t="shared" si="44"/>
        <v>0</v>
      </c>
      <c r="G364" s="6">
        <v>1500</v>
      </c>
      <c r="H364" s="6"/>
      <c r="I364" s="6"/>
      <c r="J364" s="6">
        <f t="shared" si="45"/>
        <v>1500</v>
      </c>
      <c r="K364" s="6">
        <f t="shared" si="46"/>
        <v>1500</v>
      </c>
      <c r="L364" s="122">
        <f t="shared" si="47"/>
        <v>0</v>
      </c>
      <c r="M364" s="127"/>
      <c r="N364" s="7" t="s">
        <v>480</v>
      </c>
      <c r="O364" s="148" t="s">
        <v>24</v>
      </c>
      <c r="P364" s="149"/>
      <c r="Q364" s="184"/>
      <c r="R364" s="161"/>
      <c r="S364" s="268"/>
      <c r="T364" s="268"/>
      <c r="U364" s="64"/>
    </row>
    <row r="365" spans="1:21" s="27" customFormat="1" ht="33" hidden="1">
      <c r="A365" s="3" t="s">
        <v>88</v>
      </c>
      <c r="B365" s="4" t="s">
        <v>481</v>
      </c>
      <c r="C365" s="5" t="s">
        <v>482</v>
      </c>
      <c r="D365" s="6">
        <v>3</v>
      </c>
      <c r="E365" s="6">
        <v>3</v>
      </c>
      <c r="F365" s="6">
        <f t="shared" si="44"/>
        <v>0</v>
      </c>
      <c r="G365" s="6">
        <v>2600</v>
      </c>
      <c r="H365" s="6"/>
      <c r="I365" s="6"/>
      <c r="J365" s="6">
        <f t="shared" si="45"/>
        <v>7800</v>
      </c>
      <c r="K365" s="6">
        <f t="shared" si="46"/>
        <v>7800</v>
      </c>
      <c r="L365" s="122">
        <f t="shared" si="47"/>
        <v>0</v>
      </c>
      <c r="M365" s="127"/>
      <c r="N365" s="7" t="s">
        <v>1</v>
      </c>
      <c r="O365" s="148" t="s">
        <v>24</v>
      </c>
      <c r="P365" s="149"/>
      <c r="Q365" s="184"/>
      <c r="R365" s="161"/>
      <c r="S365" s="268"/>
      <c r="T365" s="268"/>
      <c r="U365" s="64"/>
    </row>
    <row r="366" spans="1:21" s="27" customFormat="1" ht="33" hidden="1">
      <c r="A366" s="3" t="s">
        <v>92</v>
      </c>
      <c r="B366" s="4" t="s">
        <v>483</v>
      </c>
      <c r="C366" s="5" t="s">
        <v>482</v>
      </c>
      <c r="D366" s="6">
        <v>38</v>
      </c>
      <c r="E366" s="6">
        <v>38</v>
      </c>
      <c r="F366" s="6">
        <f t="shared" si="44"/>
        <v>0</v>
      </c>
      <c r="G366" s="6">
        <v>4460</v>
      </c>
      <c r="H366" s="6"/>
      <c r="I366" s="6"/>
      <c r="J366" s="6">
        <f t="shared" si="45"/>
        <v>169480</v>
      </c>
      <c r="K366" s="6">
        <f t="shared" si="46"/>
        <v>169480</v>
      </c>
      <c r="L366" s="122">
        <f t="shared" si="47"/>
        <v>0</v>
      </c>
      <c r="M366" s="127"/>
      <c r="N366" s="7" t="s">
        <v>1</v>
      </c>
      <c r="O366" s="148" t="s">
        <v>24</v>
      </c>
      <c r="P366" s="149"/>
      <c r="Q366" s="184"/>
      <c r="R366" s="161"/>
      <c r="S366" s="268"/>
      <c r="T366" s="268"/>
      <c r="U366" s="64"/>
    </row>
    <row r="367" spans="1:21" s="27" customFormat="1" ht="33" hidden="1">
      <c r="A367" s="3" t="s">
        <v>128</v>
      </c>
      <c r="B367" s="4" t="s">
        <v>484</v>
      </c>
      <c r="C367" s="5" t="s">
        <v>36</v>
      </c>
      <c r="D367" s="6">
        <v>1352</v>
      </c>
      <c r="E367" s="6">
        <v>1352</v>
      </c>
      <c r="F367" s="6">
        <f t="shared" si="44"/>
        <v>0</v>
      </c>
      <c r="G367" s="6">
        <v>30.59</v>
      </c>
      <c r="H367" s="6"/>
      <c r="I367" s="6"/>
      <c r="J367" s="6">
        <f t="shared" si="45"/>
        <v>41357.68</v>
      </c>
      <c r="K367" s="6">
        <f t="shared" si="46"/>
        <v>41357.68</v>
      </c>
      <c r="L367" s="122">
        <f t="shared" si="47"/>
        <v>0</v>
      </c>
      <c r="M367" s="127"/>
      <c r="N367" s="7" t="s">
        <v>1</v>
      </c>
      <c r="O367" s="148" t="s">
        <v>24</v>
      </c>
      <c r="P367" s="149"/>
      <c r="Q367" s="184"/>
      <c r="R367" s="161"/>
      <c r="S367" s="268"/>
      <c r="T367" s="268"/>
      <c r="U367" s="64"/>
    </row>
    <row r="368" spans="1:21" s="27" customFormat="1" ht="33" hidden="1">
      <c r="A368" s="3" t="s">
        <v>130</v>
      </c>
      <c r="B368" s="4" t="s">
        <v>485</v>
      </c>
      <c r="C368" s="5" t="s">
        <v>36</v>
      </c>
      <c r="D368" s="6">
        <v>300</v>
      </c>
      <c r="E368" s="6">
        <v>300</v>
      </c>
      <c r="F368" s="6">
        <f t="shared" si="44"/>
        <v>0</v>
      </c>
      <c r="G368" s="6">
        <v>972.45</v>
      </c>
      <c r="H368" s="6"/>
      <c r="I368" s="6"/>
      <c r="J368" s="6">
        <f t="shared" si="45"/>
        <v>291735</v>
      </c>
      <c r="K368" s="6">
        <f t="shared" si="46"/>
        <v>291735</v>
      </c>
      <c r="L368" s="122">
        <f t="shared" si="47"/>
        <v>0</v>
      </c>
      <c r="M368" s="127"/>
      <c r="N368" s="7" t="s">
        <v>1</v>
      </c>
      <c r="O368" s="148" t="s">
        <v>24</v>
      </c>
      <c r="P368" s="149"/>
      <c r="Q368" s="184"/>
      <c r="R368" s="161"/>
      <c r="S368" s="268"/>
      <c r="T368" s="268"/>
      <c r="U368" s="64"/>
    </row>
    <row r="369" spans="1:21" s="27" customFormat="1" ht="33" hidden="1">
      <c r="A369" s="3" t="s">
        <v>132</v>
      </c>
      <c r="B369" s="4" t="s">
        <v>486</v>
      </c>
      <c r="C369" s="5" t="s">
        <v>36</v>
      </c>
      <c r="D369" s="6">
        <v>252</v>
      </c>
      <c r="E369" s="6">
        <v>252</v>
      </c>
      <c r="F369" s="6">
        <f t="shared" si="44"/>
        <v>0</v>
      </c>
      <c r="G369" s="6">
        <v>628.34</v>
      </c>
      <c r="H369" s="6"/>
      <c r="I369" s="6"/>
      <c r="J369" s="6">
        <f t="shared" si="45"/>
        <v>158341.68000000002</v>
      </c>
      <c r="K369" s="6">
        <f t="shared" si="46"/>
        <v>158341.68000000002</v>
      </c>
      <c r="L369" s="122">
        <f t="shared" si="47"/>
        <v>0</v>
      </c>
      <c r="M369" s="127"/>
      <c r="N369" s="7" t="s">
        <v>1</v>
      </c>
      <c r="O369" s="148" t="s">
        <v>24</v>
      </c>
      <c r="P369" s="149"/>
      <c r="Q369" s="184"/>
      <c r="R369" s="161"/>
      <c r="S369" s="268"/>
      <c r="T369" s="268"/>
      <c r="U369" s="64"/>
    </row>
    <row r="370" spans="1:21" s="27" customFormat="1" ht="33" hidden="1">
      <c r="A370" s="3" t="s">
        <v>134</v>
      </c>
      <c r="B370" s="4" t="s">
        <v>487</v>
      </c>
      <c r="C370" s="5" t="s">
        <v>36</v>
      </c>
      <c r="D370" s="6">
        <v>36</v>
      </c>
      <c r="E370" s="6">
        <v>36</v>
      </c>
      <c r="F370" s="6">
        <f t="shared" si="44"/>
        <v>0</v>
      </c>
      <c r="G370" s="6">
        <v>497.09</v>
      </c>
      <c r="H370" s="6"/>
      <c r="I370" s="6"/>
      <c r="J370" s="6">
        <f t="shared" si="45"/>
        <v>17895.239999999998</v>
      </c>
      <c r="K370" s="6">
        <f t="shared" si="46"/>
        <v>17895.239999999998</v>
      </c>
      <c r="L370" s="122">
        <f t="shared" si="47"/>
        <v>0</v>
      </c>
      <c r="M370" s="127"/>
      <c r="N370" s="7" t="s">
        <v>1</v>
      </c>
      <c r="O370" s="148" t="s">
        <v>24</v>
      </c>
      <c r="P370" s="149"/>
      <c r="Q370" s="184"/>
      <c r="R370" s="161"/>
      <c r="S370" s="268"/>
      <c r="T370" s="268"/>
      <c r="U370" s="64"/>
    </row>
    <row r="371" spans="1:21" s="27" customFormat="1" ht="33" hidden="1">
      <c r="A371" s="3" t="s">
        <v>136</v>
      </c>
      <c r="B371" s="4" t="s">
        <v>488</v>
      </c>
      <c r="C371" s="5" t="s">
        <v>36</v>
      </c>
      <c r="D371" s="6">
        <v>159</v>
      </c>
      <c r="E371" s="6">
        <v>159</v>
      </c>
      <c r="F371" s="6">
        <f t="shared" si="44"/>
        <v>0</v>
      </c>
      <c r="G371" s="6">
        <v>270.2</v>
      </c>
      <c r="H371" s="6"/>
      <c r="I371" s="6"/>
      <c r="J371" s="6">
        <f t="shared" si="45"/>
        <v>42961.799999999996</v>
      </c>
      <c r="K371" s="6">
        <f t="shared" si="46"/>
        <v>42961.799999999996</v>
      </c>
      <c r="L371" s="122">
        <f t="shared" si="47"/>
        <v>0</v>
      </c>
      <c r="M371" s="127"/>
      <c r="N371" s="7" t="s">
        <v>1</v>
      </c>
      <c r="O371" s="148" t="s">
        <v>24</v>
      </c>
      <c r="P371" s="149"/>
      <c r="Q371" s="184"/>
      <c r="R371" s="161"/>
      <c r="S371" s="268"/>
      <c r="T371" s="268"/>
      <c r="U371" s="64"/>
    </row>
    <row r="372" spans="1:21" s="27" customFormat="1" ht="33" hidden="1">
      <c r="A372" s="3" t="s">
        <v>138</v>
      </c>
      <c r="B372" s="4" t="s">
        <v>489</v>
      </c>
      <c r="C372" s="5" t="s">
        <v>36</v>
      </c>
      <c r="D372" s="6">
        <v>1199</v>
      </c>
      <c r="E372" s="6">
        <v>1199</v>
      </c>
      <c r="F372" s="6">
        <f t="shared" si="44"/>
        <v>0</v>
      </c>
      <c r="G372" s="6">
        <v>152.94</v>
      </c>
      <c r="H372" s="6"/>
      <c r="I372" s="6"/>
      <c r="J372" s="6">
        <f t="shared" si="45"/>
        <v>183375.06</v>
      </c>
      <c r="K372" s="6">
        <f t="shared" si="46"/>
        <v>183375.06</v>
      </c>
      <c r="L372" s="122">
        <f t="shared" si="47"/>
        <v>0</v>
      </c>
      <c r="M372" s="127"/>
      <c r="N372" s="7" t="s">
        <v>1</v>
      </c>
      <c r="O372" s="148" t="s">
        <v>24</v>
      </c>
      <c r="P372" s="149"/>
      <c r="Q372" s="184"/>
      <c r="R372" s="161"/>
      <c r="S372" s="268"/>
      <c r="T372" s="268"/>
      <c r="U372" s="64"/>
    </row>
    <row r="373" spans="1:21" s="27" customFormat="1" ht="33" hidden="1">
      <c r="A373" s="3" t="s">
        <v>140</v>
      </c>
      <c r="B373" s="4" t="s">
        <v>490</v>
      </c>
      <c r="C373" s="5" t="s">
        <v>36</v>
      </c>
      <c r="D373" s="6">
        <v>144</v>
      </c>
      <c r="E373" s="6">
        <v>144</v>
      </c>
      <c r="F373" s="6">
        <f t="shared" si="44"/>
        <v>0</v>
      </c>
      <c r="G373" s="6">
        <v>228.14</v>
      </c>
      <c r="H373" s="6"/>
      <c r="I373" s="6"/>
      <c r="J373" s="6">
        <f t="shared" si="45"/>
        <v>32852.159999999996</v>
      </c>
      <c r="K373" s="6">
        <f t="shared" si="46"/>
        <v>32852.159999999996</v>
      </c>
      <c r="L373" s="122">
        <f t="shared" si="47"/>
        <v>0</v>
      </c>
      <c r="M373" s="127"/>
      <c r="N373" s="7" t="s">
        <v>1</v>
      </c>
      <c r="O373" s="148" t="s">
        <v>24</v>
      </c>
      <c r="P373" s="149"/>
      <c r="Q373" s="184"/>
      <c r="R373" s="161"/>
      <c r="S373" s="268"/>
      <c r="T373" s="268"/>
      <c r="U373" s="64"/>
    </row>
    <row r="374" spans="1:21" s="27" customFormat="1" ht="33" hidden="1">
      <c r="A374" s="3" t="s">
        <v>142</v>
      </c>
      <c r="B374" s="4" t="s">
        <v>491</v>
      </c>
      <c r="C374" s="5" t="s">
        <v>23</v>
      </c>
      <c r="D374" s="6">
        <v>1</v>
      </c>
      <c r="E374" s="6">
        <v>1</v>
      </c>
      <c r="F374" s="6">
        <f t="shared" si="44"/>
        <v>0</v>
      </c>
      <c r="G374" s="6">
        <v>90448.13</v>
      </c>
      <c r="H374" s="6"/>
      <c r="I374" s="6"/>
      <c r="J374" s="6">
        <f t="shared" si="45"/>
        <v>90448.13</v>
      </c>
      <c r="K374" s="6">
        <f t="shared" si="46"/>
        <v>90448.13</v>
      </c>
      <c r="L374" s="122">
        <f t="shared" si="47"/>
        <v>0</v>
      </c>
      <c r="M374" s="127"/>
      <c r="N374" s="7" t="s">
        <v>62</v>
      </c>
      <c r="O374" s="148" t="s">
        <v>24</v>
      </c>
      <c r="P374" s="149"/>
      <c r="Q374" s="184"/>
      <c r="R374" s="161"/>
      <c r="S374" s="268"/>
      <c r="T374" s="268"/>
      <c r="U374" s="64"/>
    </row>
    <row r="375" spans="1:21" s="27" customFormat="1" ht="42.75" hidden="1">
      <c r="A375" s="3" t="s">
        <v>144</v>
      </c>
      <c r="B375" s="4" t="s">
        <v>492</v>
      </c>
      <c r="C375" s="5" t="s">
        <v>36</v>
      </c>
      <c r="D375" s="6">
        <v>2702</v>
      </c>
      <c r="E375" s="6">
        <v>2702</v>
      </c>
      <c r="F375" s="6">
        <f t="shared" si="44"/>
        <v>0</v>
      </c>
      <c r="G375" s="6">
        <v>81.569999999999993</v>
      </c>
      <c r="H375" s="6"/>
      <c r="I375" s="6"/>
      <c r="J375" s="6">
        <f t="shared" si="45"/>
        <v>220402.13999999998</v>
      </c>
      <c r="K375" s="6">
        <f t="shared" si="46"/>
        <v>220402.13999999998</v>
      </c>
      <c r="L375" s="122">
        <f t="shared" si="47"/>
        <v>0</v>
      </c>
      <c r="M375" s="127"/>
      <c r="N375" s="7" t="s">
        <v>62</v>
      </c>
      <c r="O375" s="148" t="s">
        <v>24</v>
      </c>
      <c r="P375" s="149"/>
      <c r="Q375" s="184"/>
      <c r="R375" s="161"/>
      <c r="S375" s="268"/>
      <c r="T375" s="268"/>
      <c r="U375" s="64"/>
    </row>
    <row r="376" spans="1:21" s="27" customFormat="1" ht="33" hidden="1">
      <c r="A376" s="3" t="s">
        <v>146</v>
      </c>
      <c r="B376" s="4" t="s">
        <v>493</v>
      </c>
      <c r="C376" s="5" t="s">
        <v>23</v>
      </c>
      <c r="D376" s="6">
        <v>1</v>
      </c>
      <c r="E376" s="6">
        <v>1</v>
      </c>
      <c r="F376" s="6">
        <f t="shared" si="44"/>
        <v>0</v>
      </c>
      <c r="G376" s="6">
        <v>25939</v>
      </c>
      <c r="H376" s="6"/>
      <c r="I376" s="6"/>
      <c r="J376" s="6">
        <f t="shared" si="45"/>
        <v>25939</v>
      </c>
      <c r="K376" s="6">
        <f t="shared" si="46"/>
        <v>25939</v>
      </c>
      <c r="L376" s="122">
        <f t="shared" si="47"/>
        <v>0</v>
      </c>
      <c r="M376" s="127"/>
      <c r="N376" s="7" t="s">
        <v>62</v>
      </c>
      <c r="O376" s="148" t="s">
        <v>24</v>
      </c>
      <c r="P376" s="149"/>
      <c r="Q376" s="184"/>
      <c r="R376" s="161"/>
      <c r="S376" s="268"/>
      <c r="T376" s="268"/>
      <c r="U376" s="64"/>
    </row>
    <row r="377" spans="1:21" s="27" customFormat="1" ht="33" hidden="1">
      <c r="A377" s="3" t="s">
        <v>148</v>
      </c>
      <c r="B377" s="4" t="s">
        <v>494</v>
      </c>
      <c r="C377" s="5" t="s">
        <v>36</v>
      </c>
      <c r="D377" s="6">
        <v>1272</v>
      </c>
      <c r="E377" s="6">
        <v>1272</v>
      </c>
      <c r="F377" s="6">
        <f t="shared" si="44"/>
        <v>0</v>
      </c>
      <c r="G377" s="6">
        <v>36.96</v>
      </c>
      <c r="H377" s="6"/>
      <c r="I377" s="6"/>
      <c r="J377" s="6">
        <f t="shared" si="45"/>
        <v>47013.120000000003</v>
      </c>
      <c r="K377" s="6">
        <f t="shared" si="46"/>
        <v>47013.120000000003</v>
      </c>
      <c r="L377" s="122">
        <f t="shared" si="47"/>
        <v>0</v>
      </c>
      <c r="M377" s="127"/>
      <c r="N377" s="7" t="s">
        <v>1</v>
      </c>
      <c r="O377" s="148" t="s">
        <v>24</v>
      </c>
      <c r="P377" s="149"/>
      <c r="Q377" s="184"/>
      <c r="R377" s="161"/>
      <c r="S377" s="268"/>
      <c r="T377" s="268"/>
      <c r="U377" s="64"/>
    </row>
    <row r="378" spans="1:21" s="27" customFormat="1" ht="33" hidden="1">
      <c r="A378" s="3" t="s">
        <v>150</v>
      </c>
      <c r="B378" s="4" t="s">
        <v>495</v>
      </c>
      <c r="C378" s="5" t="s">
        <v>36</v>
      </c>
      <c r="D378" s="6">
        <v>1470</v>
      </c>
      <c r="E378" s="6">
        <v>1470</v>
      </c>
      <c r="F378" s="6">
        <f t="shared" si="44"/>
        <v>0</v>
      </c>
      <c r="G378" s="6">
        <v>62.45</v>
      </c>
      <c r="H378" s="6"/>
      <c r="I378" s="6"/>
      <c r="J378" s="6">
        <f t="shared" si="45"/>
        <v>91801.5</v>
      </c>
      <c r="K378" s="6">
        <f t="shared" si="46"/>
        <v>91801.5</v>
      </c>
      <c r="L378" s="122">
        <f t="shared" si="47"/>
        <v>0</v>
      </c>
      <c r="M378" s="127"/>
      <c r="N378" s="7" t="s">
        <v>62</v>
      </c>
      <c r="O378" s="148" t="s">
        <v>24</v>
      </c>
      <c r="P378" s="149"/>
      <c r="Q378" s="184"/>
      <c r="R378" s="161"/>
      <c r="S378" s="268"/>
      <c r="T378" s="268"/>
      <c r="U378" s="64"/>
    </row>
    <row r="379" spans="1:21" s="27" customFormat="1" ht="33" hidden="1">
      <c r="A379" s="3" t="s">
        <v>152</v>
      </c>
      <c r="B379" s="4" t="s">
        <v>496</v>
      </c>
      <c r="C379" s="5" t="s">
        <v>36</v>
      </c>
      <c r="D379" s="6">
        <v>407</v>
      </c>
      <c r="E379" s="6">
        <v>407</v>
      </c>
      <c r="F379" s="6">
        <f t="shared" si="44"/>
        <v>0</v>
      </c>
      <c r="G379" s="6">
        <v>90.49</v>
      </c>
      <c r="H379" s="6"/>
      <c r="I379" s="6"/>
      <c r="J379" s="6">
        <f t="shared" si="45"/>
        <v>36829.43</v>
      </c>
      <c r="K379" s="6">
        <f t="shared" si="46"/>
        <v>36829.43</v>
      </c>
      <c r="L379" s="122">
        <f t="shared" si="47"/>
        <v>0</v>
      </c>
      <c r="M379" s="127"/>
      <c r="N379" s="7" t="s">
        <v>1</v>
      </c>
      <c r="O379" s="148" t="s">
        <v>24</v>
      </c>
      <c r="P379" s="149"/>
      <c r="Q379" s="184"/>
      <c r="R379" s="161"/>
      <c r="S379" s="268"/>
      <c r="T379" s="268"/>
      <c r="U379" s="64"/>
    </row>
    <row r="380" spans="1:21" s="27" customFormat="1" ht="33" hidden="1">
      <c r="A380" s="3" t="s">
        <v>154</v>
      </c>
      <c r="B380" s="4" t="s">
        <v>497</v>
      </c>
      <c r="C380" s="5" t="s">
        <v>36</v>
      </c>
      <c r="D380" s="6">
        <v>55</v>
      </c>
      <c r="E380" s="6">
        <v>55</v>
      </c>
      <c r="F380" s="6">
        <f t="shared" si="44"/>
        <v>0</v>
      </c>
      <c r="G380" s="6">
        <v>186.08</v>
      </c>
      <c r="H380" s="6"/>
      <c r="I380" s="6"/>
      <c r="J380" s="6">
        <f t="shared" si="45"/>
        <v>10234.400000000001</v>
      </c>
      <c r="K380" s="6">
        <f t="shared" si="46"/>
        <v>10234.400000000001</v>
      </c>
      <c r="L380" s="122">
        <f t="shared" si="47"/>
        <v>0</v>
      </c>
      <c r="M380" s="127"/>
      <c r="N380" s="7" t="s">
        <v>1</v>
      </c>
      <c r="O380" s="148" t="s">
        <v>24</v>
      </c>
      <c r="P380" s="149"/>
      <c r="Q380" s="184"/>
      <c r="R380" s="161"/>
      <c r="S380" s="268"/>
      <c r="T380" s="268"/>
      <c r="U380" s="64"/>
    </row>
    <row r="381" spans="1:21" s="27" customFormat="1" ht="33" hidden="1">
      <c r="A381" s="3" t="s">
        <v>156</v>
      </c>
      <c r="B381" s="4" t="s">
        <v>498</v>
      </c>
      <c r="C381" s="5" t="s">
        <v>23</v>
      </c>
      <c r="D381" s="6">
        <v>1</v>
      </c>
      <c r="E381" s="6">
        <v>1</v>
      </c>
      <c r="F381" s="6">
        <f t="shared" si="44"/>
        <v>0</v>
      </c>
      <c r="G381" s="6">
        <v>51046</v>
      </c>
      <c r="H381" s="6"/>
      <c r="I381" s="6"/>
      <c r="J381" s="6">
        <f t="shared" si="45"/>
        <v>51046</v>
      </c>
      <c r="K381" s="6">
        <f t="shared" si="46"/>
        <v>51046</v>
      </c>
      <c r="L381" s="122">
        <f t="shared" si="47"/>
        <v>0</v>
      </c>
      <c r="M381" s="127"/>
      <c r="N381" s="7" t="s">
        <v>62</v>
      </c>
      <c r="O381" s="148" t="s">
        <v>24</v>
      </c>
      <c r="P381" s="149"/>
      <c r="Q381" s="184"/>
      <c r="R381" s="161"/>
      <c r="S381" s="268"/>
      <c r="T381" s="268"/>
      <c r="U381" s="64"/>
    </row>
    <row r="382" spans="1:21" s="27" customFormat="1" ht="33" hidden="1">
      <c r="A382" s="3" t="s">
        <v>158</v>
      </c>
      <c r="B382" s="4" t="s">
        <v>499</v>
      </c>
      <c r="C382" s="5" t="s">
        <v>36</v>
      </c>
      <c r="D382" s="6">
        <v>132</v>
      </c>
      <c r="E382" s="6">
        <v>132</v>
      </c>
      <c r="F382" s="6">
        <f t="shared" si="44"/>
        <v>0</v>
      </c>
      <c r="G382" s="6">
        <v>671.66</v>
      </c>
      <c r="H382" s="6"/>
      <c r="I382" s="6"/>
      <c r="J382" s="6">
        <f t="shared" si="45"/>
        <v>88659.12</v>
      </c>
      <c r="K382" s="6">
        <f t="shared" si="46"/>
        <v>88659.12</v>
      </c>
      <c r="L382" s="122">
        <f t="shared" si="47"/>
        <v>0</v>
      </c>
      <c r="M382" s="127"/>
      <c r="N382" s="7" t="s">
        <v>1</v>
      </c>
      <c r="O382" s="148" t="s">
        <v>24</v>
      </c>
      <c r="P382" s="149"/>
      <c r="Q382" s="184"/>
      <c r="R382" s="161"/>
      <c r="S382" s="268"/>
      <c r="T382" s="268"/>
      <c r="U382" s="64"/>
    </row>
    <row r="383" spans="1:21" s="27" customFormat="1" ht="33" hidden="1">
      <c r="A383" s="3" t="s">
        <v>160</v>
      </c>
      <c r="B383" s="4" t="s">
        <v>500</v>
      </c>
      <c r="C383" s="5" t="s">
        <v>23</v>
      </c>
      <c r="D383" s="6">
        <v>1</v>
      </c>
      <c r="E383" s="6">
        <v>1</v>
      </c>
      <c r="F383" s="6">
        <f t="shared" si="44"/>
        <v>0</v>
      </c>
      <c r="G383" s="6">
        <v>24347</v>
      </c>
      <c r="H383" s="6"/>
      <c r="I383" s="6"/>
      <c r="J383" s="6">
        <f t="shared" si="45"/>
        <v>24347</v>
      </c>
      <c r="K383" s="6">
        <f t="shared" si="46"/>
        <v>24347</v>
      </c>
      <c r="L383" s="122">
        <f t="shared" si="47"/>
        <v>0</v>
      </c>
      <c r="M383" s="127"/>
      <c r="N383" s="7" t="s">
        <v>1</v>
      </c>
      <c r="O383" s="148" t="s">
        <v>24</v>
      </c>
      <c r="P383" s="149"/>
      <c r="Q383" s="184"/>
      <c r="R383" s="161"/>
      <c r="S383" s="268"/>
      <c r="T383" s="268"/>
      <c r="U383" s="64"/>
    </row>
    <row r="384" spans="1:21" s="27" customFormat="1" ht="27.95" customHeight="1">
      <c r="A384" s="200" t="s">
        <v>501</v>
      </c>
      <c r="B384" s="201" t="s">
        <v>502</v>
      </c>
      <c r="C384" s="202" t="s">
        <v>23</v>
      </c>
      <c r="D384" s="203"/>
      <c r="E384" s="203"/>
      <c r="F384" s="203"/>
      <c r="G384" s="203">
        <f>J384</f>
        <v>10375322.865</v>
      </c>
      <c r="H384" s="203"/>
      <c r="I384" s="203"/>
      <c r="J384" s="203">
        <f>SUM(J385:J391)</f>
        <v>10375322.865</v>
      </c>
      <c r="K384" s="203">
        <f>SUM(K385:K391)</f>
        <v>10375322.865</v>
      </c>
      <c r="L384" s="205">
        <f>SUM(L385:L391)</f>
        <v>0</v>
      </c>
      <c r="M384" s="207">
        <f>SUM(M385:M391)</f>
        <v>0</v>
      </c>
      <c r="N384" s="208" t="s">
        <v>1</v>
      </c>
      <c r="O384" s="151" t="s">
        <v>24</v>
      </c>
      <c r="P384" s="152"/>
      <c r="Q384" s="195"/>
      <c r="R384" s="161"/>
      <c r="S384" s="268"/>
      <c r="T384" s="268"/>
      <c r="U384" s="64"/>
    </row>
    <row r="385" spans="1:22" s="27" customFormat="1" ht="33">
      <c r="A385" s="71" t="s">
        <v>29</v>
      </c>
      <c r="B385" s="72" t="s">
        <v>503</v>
      </c>
      <c r="C385" s="73" t="s">
        <v>36</v>
      </c>
      <c r="D385" s="74">
        <v>2893</v>
      </c>
      <c r="E385" s="74">
        <v>2893</v>
      </c>
      <c r="F385" s="74">
        <f>E385-D385</f>
        <v>0</v>
      </c>
      <c r="G385" s="74">
        <v>247.2</v>
      </c>
      <c r="H385" s="74"/>
      <c r="I385" s="74"/>
      <c r="J385" s="74">
        <f t="shared" ref="J385:J390" si="48">D385*G385</f>
        <v>715149.6</v>
      </c>
      <c r="K385" s="74">
        <f t="shared" ref="K385:K390" si="49">E385*G385</f>
        <v>715149.6</v>
      </c>
      <c r="L385" s="123">
        <f t="shared" ref="L385:L391" si="50">K385-J385</f>
        <v>0</v>
      </c>
      <c r="M385" s="128"/>
      <c r="N385" s="76" t="s">
        <v>504</v>
      </c>
      <c r="O385" s="162" t="s">
        <v>24</v>
      </c>
      <c r="P385" s="155"/>
      <c r="Q385" s="179" t="s">
        <v>836</v>
      </c>
      <c r="R385" s="167"/>
      <c r="S385" s="268"/>
      <c r="T385" s="268"/>
      <c r="U385" s="64"/>
    </row>
    <row r="386" spans="1:22" s="27" customFormat="1" ht="33">
      <c r="A386" s="71" t="s">
        <v>32</v>
      </c>
      <c r="B386" s="72" t="s">
        <v>505</v>
      </c>
      <c r="C386" s="73" t="s">
        <v>36</v>
      </c>
      <c r="D386" s="74">
        <f>D385</f>
        <v>2893</v>
      </c>
      <c r="E386" s="74">
        <f>E385</f>
        <v>2893</v>
      </c>
      <c r="F386" s="74">
        <f>E386-D386</f>
        <v>0</v>
      </c>
      <c r="G386" s="74">
        <v>236.9</v>
      </c>
      <c r="H386" s="74"/>
      <c r="I386" s="74"/>
      <c r="J386" s="74">
        <f t="shared" si="48"/>
        <v>685351.70000000007</v>
      </c>
      <c r="K386" s="74">
        <f t="shared" si="49"/>
        <v>685351.70000000007</v>
      </c>
      <c r="L386" s="123">
        <f t="shared" si="50"/>
        <v>0</v>
      </c>
      <c r="M386" s="128"/>
      <c r="N386" s="76" t="s">
        <v>1</v>
      </c>
      <c r="O386" s="162" t="s">
        <v>24</v>
      </c>
      <c r="P386" s="155"/>
      <c r="Q386" s="179" t="s">
        <v>836</v>
      </c>
      <c r="R386" s="167"/>
      <c r="S386" s="268"/>
      <c r="T386" s="268"/>
      <c r="U386" s="64"/>
    </row>
    <row r="387" spans="1:22" s="27" customFormat="1" ht="33">
      <c r="A387" s="71" t="s">
        <v>34</v>
      </c>
      <c r="B387" s="72" t="s">
        <v>506</v>
      </c>
      <c r="C387" s="73" t="s">
        <v>507</v>
      </c>
      <c r="D387" s="74">
        <f>9795.5</f>
        <v>9795.5</v>
      </c>
      <c r="E387" s="74">
        <f>9795.5</f>
        <v>9795.5</v>
      </c>
      <c r="F387" s="74">
        <f>E387-D387</f>
        <v>0</v>
      </c>
      <c r="G387" s="74">
        <v>252.35</v>
      </c>
      <c r="H387" s="74"/>
      <c r="I387" s="74"/>
      <c r="J387" s="74">
        <f t="shared" si="48"/>
        <v>2471894.4249999998</v>
      </c>
      <c r="K387" s="74">
        <f t="shared" si="49"/>
        <v>2471894.4249999998</v>
      </c>
      <c r="L387" s="123">
        <f t="shared" si="50"/>
        <v>0</v>
      </c>
      <c r="M387" s="128"/>
      <c r="N387" s="76"/>
      <c r="O387" s="162" t="s">
        <v>24</v>
      </c>
      <c r="P387" s="155"/>
      <c r="Q387" s="179" t="s">
        <v>836</v>
      </c>
      <c r="R387" s="167"/>
      <c r="S387" s="268"/>
      <c r="T387" s="268"/>
      <c r="U387" s="64"/>
    </row>
    <row r="388" spans="1:22" s="27" customFormat="1" ht="42.75" hidden="1">
      <c r="A388" s="3" t="s">
        <v>38</v>
      </c>
      <c r="B388" s="4" t="s">
        <v>508</v>
      </c>
      <c r="C388" s="5" t="s">
        <v>23</v>
      </c>
      <c r="D388" s="6">
        <v>1</v>
      </c>
      <c r="E388" s="6">
        <v>1</v>
      </c>
      <c r="F388" s="6">
        <v>0</v>
      </c>
      <c r="G388" s="6">
        <v>350000</v>
      </c>
      <c r="H388" s="6"/>
      <c r="I388" s="6"/>
      <c r="J388" s="6">
        <f t="shared" si="48"/>
        <v>350000</v>
      </c>
      <c r="K388" s="6">
        <f t="shared" si="49"/>
        <v>350000</v>
      </c>
      <c r="L388" s="122">
        <f t="shared" si="50"/>
        <v>0</v>
      </c>
      <c r="M388" s="127"/>
      <c r="N388" s="7" t="s">
        <v>509</v>
      </c>
      <c r="O388" s="148" t="s">
        <v>24</v>
      </c>
      <c r="P388" s="149"/>
      <c r="Q388" s="179" t="s">
        <v>836</v>
      </c>
      <c r="R388" s="161"/>
      <c r="S388" s="268"/>
      <c r="T388" s="268"/>
      <c r="U388" s="64"/>
    </row>
    <row r="389" spans="1:22" s="27" customFormat="1" ht="33">
      <c r="A389" s="71" t="s">
        <v>41</v>
      </c>
      <c r="B389" s="72" t="s">
        <v>510</v>
      </c>
      <c r="C389" s="73" t="s">
        <v>90</v>
      </c>
      <c r="D389" s="74">
        <f>2480+6*8*6+5*8*4+310</f>
        <v>3238</v>
      </c>
      <c r="E389" s="74">
        <f>2480+6*8*6+5*8*4+310</f>
        <v>3238</v>
      </c>
      <c r="F389" s="74">
        <f>E389-D389</f>
        <v>0</v>
      </c>
      <c r="G389" s="74">
        <v>931.12</v>
      </c>
      <c r="H389" s="74"/>
      <c r="I389" s="74"/>
      <c r="J389" s="74">
        <f t="shared" si="48"/>
        <v>3014966.56</v>
      </c>
      <c r="K389" s="74">
        <f t="shared" si="49"/>
        <v>3014966.56</v>
      </c>
      <c r="L389" s="123">
        <f t="shared" si="50"/>
        <v>0</v>
      </c>
      <c r="M389" s="128"/>
      <c r="N389" s="76" t="s">
        <v>511</v>
      </c>
      <c r="O389" s="162" t="s">
        <v>24</v>
      </c>
      <c r="P389" s="155"/>
      <c r="Q389" s="179"/>
      <c r="R389" s="167"/>
      <c r="S389" s="268"/>
      <c r="T389" s="268"/>
      <c r="U389" s="64"/>
    </row>
    <row r="390" spans="1:22" s="27" customFormat="1" ht="33">
      <c r="A390" s="71" t="s">
        <v>43</v>
      </c>
      <c r="B390" s="72" t="s">
        <v>388</v>
      </c>
      <c r="C390" s="73" t="s">
        <v>31</v>
      </c>
      <c r="D390" s="74">
        <f>291+5*45+8+30</f>
        <v>554</v>
      </c>
      <c r="E390" s="74">
        <f>291+5*45+8+30</f>
        <v>554</v>
      </c>
      <c r="F390" s="74">
        <f>E390-D390</f>
        <v>0</v>
      </c>
      <c r="G390" s="74">
        <v>3386.57</v>
      </c>
      <c r="H390" s="74"/>
      <c r="I390" s="74"/>
      <c r="J390" s="74">
        <f t="shared" si="48"/>
        <v>1876159.78</v>
      </c>
      <c r="K390" s="74">
        <f t="shared" si="49"/>
        <v>1876159.78</v>
      </c>
      <c r="L390" s="123">
        <f t="shared" si="50"/>
        <v>0</v>
      </c>
      <c r="M390" s="128"/>
      <c r="N390" s="76" t="s">
        <v>1</v>
      </c>
      <c r="O390" s="162" t="s">
        <v>24</v>
      </c>
      <c r="P390" s="155"/>
      <c r="Q390" s="251"/>
      <c r="R390" s="167"/>
      <c r="S390" s="268"/>
      <c r="T390" s="268"/>
      <c r="U390" s="64"/>
    </row>
    <row r="391" spans="1:22" s="27" customFormat="1" ht="42.75">
      <c r="A391" s="3" t="s">
        <v>45</v>
      </c>
      <c r="B391" s="4" t="s">
        <v>512</v>
      </c>
      <c r="C391" s="5" t="s">
        <v>36</v>
      </c>
      <c r="D391" s="6">
        <v>130</v>
      </c>
      <c r="E391" s="6">
        <v>130</v>
      </c>
      <c r="F391" s="6">
        <f>E391-D391</f>
        <v>0</v>
      </c>
      <c r="G391" s="6">
        <v>9706.16</v>
      </c>
      <c r="H391" s="6"/>
      <c r="I391" s="6"/>
      <c r="J391" s="6">
        <f>D391*G391</f>
        <v>1261800.8</v>
      </c>
      <c r="K391" s="6">
        <f>E391*G391</f>
        <v>1261800.8</v>
      </c>
      <c r="L391" s="122">
        <f t="shared" si="50"/>
        <v>0</v>
      </c>
      <c r="M391" s="127"/>
      <c r="N391" s="7" t="s">
        <v>1</v>
      </c>
      <c r="O391" s="148" t="s">
        <v>24</v>
      </c>
      <c r="P391" s="149"/>
      <c r="Q391" s="184"/>
      <c r="R391" s="161"/>
      <c r="S391" s="268"/>
      <c r="T391" s="268"/>
      <c r="U391" s="64"/>
    </row>
    <row r="392" spans="1:22" s="27" customFormat="1" ht="26.1" customHeight="1">
      <c r="A392" s="200" t="s">
        <v>513</v>
      </c>
      <c r="B392" s="201" t="s">
        <v>514</v>
      </c>
      <c r="C392" s="202" t="s">
        <v>23</v>
      </c>
      <c r="D392" s="203">
        <v>1</v>
      </c>
      <c r="E392" s="203"/>
      <c r="F392" s="203"/>
      <c r="G392" s="203" t="s">
        <v>885</v>
      </c>
      <c r="H392" s="203"/>
      <c r="I392" s="203"/>
      <c r="J392" s="203">
        <f>SUM(J393:J420)</f>
        <v>27450638.090000004</v>
      </c>
      <c r="K392" s="203">
        <f>SUM(K393:K420)</f>
        <v>27450638.090000004</v>
      </c>
      <c r="L392" s="205">
        <f>SUM(L393:L420)</f>
        <v>0</v>
      </c>
      <c r="M392" s="207">
        <f>SUM(M393:M420)</f>
        <v>0</v>
      </c>
      <c r="N392" s="208" t="s">
        <v>1</v>
      </c>
      <c r="O392" s="151" t="s">
        <v>24</v>
      </c>
      <c r="P392" s="183"/>
      <c r="Q392" s="184"/>
      <c r="R392" s="161"/>
      <c r="S392" s="268"/>
      <c r="T392" s="268"/>
      <c r="U392" s="64"/>
    </row>
    <row r="393" spans="1:22" s="27" customFormat="1" ht="33">
      <c r="A393" s="3" t="s">
        <v>29</v>
      </c>
      <c r="B393" s="4" t="s">
        <v>515</v>
      </c>
      <c r="C393" s="5" t="s">
        <v>23</v>
      </c>
      <c r="D393" s="6">
        <v>1</v>
      </c>
      <c r="E393" s="6">
        <v>1</v>
      </c>
      <c r="F393" s="6">
        <f t="shared" ref="F393:F402" si="51">E393-D393</f>
        <v>0</v>
      </c>
      <c r="G393" s="6">
        <v>711302</v>
      </c>
      <c r="H393" s="6"/>
      <c r="I393" s="6"/>
      <c r="J393" s="6">
        <f t="shared" ref="J393:J401" si="52">D393*G393</f>
        <v>711302</v>
      </c>
      <c r="K393" s="6">
        <f t="shared" ref="K393:K420" si="53">E393*G393</f>
        <v>711302</v>
      </c>
      <c r="L393" s="122">
        <f t="shared" ref="L393:L420" si="54">K393-J393</f>
        <v>0</v>
      </c>
      <c r="M393" s="127"/>
      <c r="N393" s="7" t="s">
        <v>62</v>
      </c>
      <c r="O393" s="148" t="s">
        <v>24</v>
      </c>
      <c r="P393" s="149"/>
      <c r="Q393" s="184"/>
      <c r="R393" s="161"/>
      <c r="S393" s="268"/>
      <c r="T393" s="268"/>
      <c r="U393" s="64"/>
    </row>
    <row r="394" spans="1:22" s="27" customFormat="1" ht="33">
      <c r="A394" s="3" t="s">
        <v>32</v>
      </c>
      <c r="B394" s="4" t="s">
        <v>516</v>
      </c>
      <c r="C394" s="5" t="s">
        <v>517</v>
      </c>
      <c r="D394" s="6">
        <v>7</v>
      </c>
      <c r="E394" s="6">
        <v>7</v>
      </c>
      <c r="F394" s="6">
        <f t="shared" si="51"/>
        <v>0</v>
      </c>
      <c r="G394" s="6">
        <v>50000</v>
      </c>
      <c r="H394" s="6"/>
      <c r="I394" s="6"/>
      <c r="J394" s="6">
        <f t="shared" si="52"/>
        <v>350000</v>
      </c>
      <c r="K394" s="6">
        <f t="shared" si="53"/>
        <v>350000</v>
      </c>
      <c r="L394" s="122">
        <f t="shared" si="54"/>
        <v>0</v>
      </c>
      <c r="M394" s="127"/>
      <c r="N394" s="7" t="s">
        <v>1</v>
      </c>
      <c r="O394" s="148" t="s">
        <v>24</v>
      </c>
      <c r="P394" s="149"/>
      <c r="Q394" s="184"/>
      <c r="R394" s="161"/>
      <c r="S394" s="268"/>
      <c r="T394" s="268"/>
      <c r="U394" s="64"/>
    </row>
    <row r="395" spans="1:22" s="27" customFormat="1" ht="33">
      <c r="A395" s="3" t="s">
        <v>34</v>
      </c>
      <c r="B395" s="4" t="s">
        <v>518</v>
      </c>
      <c r="C395" s="5" t="s">
        <v>52</v>
      </c>
      <c r="D395" s="6">
        <v>400</v>
      </c>
      <c r="E395" s="6">
        <v>400</v>
      </c>
      <c r="F395" s="6">
        <f t="shared" si="51"/>
        <v>0</v>
      </c>
      <c r="G395" s="6">
        <v>22500</v>
      </c>
      <c r="H395" s="6"/>
      <c r="I395" s="6"/>
      <c r="J395" s="6">
        <f t="shared" si="52"/>
        <v>9000000</v>
      </c>
      <c r="K395" s="6">
        <f t="shared" si="53"/>
        <v>9000000</v>
      </c>
      <c r="L395" s="122">
        <f t="shared" si="54"/>
        <v>0</v>
      </c>
      <c r="M395" s="127"/>
      <c r="N395" s="7" t="s">
        <v>1</v>
      </c>
      <c r="O395" s="148" t="s">
        <v>24</v>
      </c>
      <c r="P395" s="153"/>
      <c r="Q395" s="184"/>
      <c r="R395" s="161"/>
      <c r="S395" s="268"/>
      <c r="T395" s="268"/>
    </row>
    <row r="396" spans="1:22" s="27" customFormat="1" ht="57">
      <c r="A396" s="3" t="s">
        <v>38</v>
      </c>
      <c r="B396" s="4" t="s">
        <v>519</v>
      </c>
      <c r="C396" s="5" t="s">
        <v>520</v>
      </c>
      <c r="D396" s="6">
        <v>3650</v>
      </c>
      <c r="E396" s="6">
        <v>3650</v>
      </c>
      <c r="F396" s="6">
        <f t="shared" si="51"/>
        <v>0</v>
      </c>
      <c r="G396" s="6">
        <v>806</v>
      </c>
      <c r="H396" s="6"/>
      <c r="I396" s="6"/>
      <c r="J396" s="6">
        <f t="shared" si="52"/>
        <v>2941900</v>
      </c>
      <c r="K396" s="6">
        <f t="shared" si="53"/>
        <v>2941900</v>
      </c>
      <c r="L396" s="122">
        <f t="shared" si="54"/>
        <v>0</v>
      </c>
      <c r="M396" s="127"/>
      <c r="N396" s="215" t="s">
        <v>521</v>
      </c>
      <c r="O396" s="148" t="s">
        <v>24</v>
      </c>
      <c r="P396" s="153"/>
      <c r="Q396" s="184"/>
      <c r="R396" s="161"/>
      <c r="S396" s="268"/>
      <c r="T396" s="268"/>
      <c r="U396" s="64"/>
      <c r="V396" s="66" t="s">
        <v>804</v>
      </c>
    </row>
    <row r="397" spans="1:22" s="27" customFormat="1" ht="33">
      <c r="A397" s="3" t="s">
        <v>41</v>
      </c>
      <c r="B397" s="4" t="s">
        <v>522</v>
      </c>
      <c r="C397" s="5" t="s">
        <v>517</v>
      </c>
      <c r="D397" s="6">
        <v>5</v>
      </c>
      <c r="E397" s="6">
        <v>5</v>
      </c>
      <c r="F397" s="6">
        <f t="shared" si="51"/>
        <v>0</v>
      </c>
      <c r="G397" s="6">
        <v>50000</v>
      </c>
      <c r="H397" s="6"/>
      <c r="I397" s="6"/>
      <c r="J397" s="6">
        <f t="shared" si="52"/>
        <v>250000</v>
      </c>
      <c r="K397" s="6">
        <f t="shared" si="53"/>
        <v>250000</v>
      </c>
      <c r="L397" s="122">
        <f t="shared" si="54"/>
        <v>0</v>
      </c>
      <c r="M397" s="127"/>
      <c r="N397" s="7" t="s">
        <v>1</v>
      </c>
      <c r="O397" s="148" t="s">
        <v>24</v>
      </c>
      <c r="P397" s="153"/>
      <c r="Q397" s="184"/>
      <c r="R397" s="161"/>
      <c r="S397" s="268"/>
      <c r="T397" s="268"/>
      <c r="U397" s="64"/>
      <c r="V397" s="85"/>
    </row>
    <row r="398" spans="1:22" s="27" customFormat="1" ht="33">
      <c r="A398" s="3" t="s">
        <v>43</v>
      </c>
      <c r="B398" s="4" t="s">
        <v>523</v>
      </c>
      <c r="C398" s="5" t="s">
        <v>524</v>
      </c>
      <c r="D398" s="6">
        <v>24</v>
      </c>
      <c r="E398" s="6">
        <v>24</v>
      </c>
      <c r="F398" s="6">
        <f t="shared" si="51"/>
        <v>0</v>
      </c>
      <c r="G398" s="6">
        <v>180000</v>
      </c>
      <c r="H398" s="6"/>
      <c r="I398" s="6"/>
      <c r="J398" s="6">
        <f t="shared" si="52"/>
        <v>4320000</v>
      </c>
      <c r="K398" s="6">
        <f t="shared" si="53"/>
        <v>4320000</v>
      </c>
      <c r="L398" s="122">
        <f t="shared" si="54"/>
        <v>0</v>
      </c>
      <c r="M398" s="127"/>
      <c r="N398" s="7" t="s">
        <v>1</v>
      </c>
      <c r="O398" s="148" t="s">
        <v>24</v>
      </c>
      <c r="P398" s="149"/>
      <c r="Q398" s="184"/>
      <c r="R398" s="191"/>
      <c r="S398" s="272"/>
      <c r="T398" s="272"/>
      <c r="V398" s="64"/>
    </row>
    <row r="399" spans="1:22" s="27" customFormat="1" ht="33">
      <c r="A399" s="3" t="s">
        <v>45</v>
      </c>
      <c r="B399" s="4" t="s">
        <v>525</v>
      </c>
      <c r="C399" s="5" t="s">
        <v>23</v>
      </c>
      <c r="D399" s="6">
        <v>1</v>
      </c>
      <c r="E399" s="6">
        <v>1</v>
      </c>
      <c r="F399" s="6">
        <f t="shared" si="51"/>
        <v>0</v>
      </c>
      <c r="G399" s="6">
        <v>205982.81</v>
      </c>
      <c r="H399" s="6"/>
      <c r="I399" s="6"/>
      <c r="J399" s="6">
        <f t="shared" si="52"/>
        <v>205982.81</v>
      </c>
      <c r="K399" s="6">
        <f t="shared" si="53"/>
        <v>205982.81</v>
      </c>
      <c r="L399" s="122">
        <f t="shared" si="54"/>
        <v>0</v>
      </c>
      <c r="M399" s="127"/>
      <c r="N399" s="7" t="s">
        <v>62</v>
      </c>
      <c r="O399" s="148" t="s">
        <v>24</v>
      </c>
      <c r="P399" s="149"/>
      <c r="Q399" s="184"/>
      <c r="R399" s="191"/>
      <c r="S399" s="272"/>
      <c r="T399" s="272"/>
      <c r="V399" s="64"/>
    </row>
    <row r="400" spans="1:22" s="27" customFormat="1" ht="33">
      <c r="A400" s="3" t="s">
        <v>48</v>
      </c>
      <c r="B400" s="4" t="s">
        <v>526</v>
      </c>
      <c r="C400" s="5" t="s">
        <v>23</v>
      </c>
      <c r="D400" s="6">
        <v>1</v>
      </c>
      <c r="E400" s="6">
        <v>1</v>
      </c>
      <c r="F400" s="6">
        <f t="shared" si="51"/>
        <v>0</v>
      </c>
      <c r="G400" s="6">
        <v>2425000</v>
      </c>
      <c r="H400" s="6"/>
      <c r="I400" s="6"/>
      <c r="J400" s="6">
        <f t="shared" si="52"/>
        <v>2425000</v>
      </c>
      <c r="K400" s="6">
        <f t="shared" si="53"/>
        <v>2425000</v>
      </c>
      <c r="L400" s="122">
        <f t="shared" si="54"/>
        <v>0</v>
      </c>
      <c r="M400" s="127"/>
      <c r="N400" s="7" t="s">
        <v>62</v>
      </c>
      <c r="O400" s="148" t="s">
        <v>24</v>
      </c>
      <c r="P400" s="149"/>
      <c r="Q400" s="184"/>
      <c r="R400" s="191"/>
      <c r="S400" s="272"/>
      <c r="T400" s="272"/>
      <c r="V400" s="64"/>
    </row>
    <row r="401" spans="1:22" s="27" customFormat="1" ht="33">
      <c r="A401" s="3" t="s">
        <v>50</v>
      </c>
      <c r="B401" s="4" t="s">
        <v>527</v>
      </c>
      <c r="C401" s="5" t="s">
        <v>23</v>
      </c>
      <c r="D401" s="6">
        <v>1</v>
      </c>
      <c r="E401" s="6">
        <v>1</v>
      </c>
      <c r="F401" s="6">
        <f t="shared" si="51"/>
        <v>0</v>
      </c>
      <c r="G401" s="6">
        <v>350000</v>
      </c>
      <c r="H401" s="6"/>
      <c r="I401" s="6"/>
      <c r="J401" s="6">
        <f t="shared" si="52"/>
        <v>350000</v>
      </c>
      <c r="K401" s="6">
        <f t="shared" si="53"/>
        <v>350000</v>
      </c>
      <c r="L401" s="122">
        <f t="shared" si="54"/>
        <v>0</v>
      </c>
      <c r="M401" s="127"/>
      <c r="N401" s="7" t="s">
        <v>1</v>
      </c>
      <c r="O401" s="148" t="s">
        <v>24</v>
      </c>
      <c r="P401" s="149"/>
      <c r="Q401" s="184"/>
      <c r="R401" s="191"/>
      <c r="S401" s="272"/>
      <c r="T401" s="272"/>
      <c r="V401" s="64"/>
    </row>
    <row r="402" spans="1:22" s="27" customFormat="1">
      <c r="A402" s="3">
        <v>10</v>
      </c>
      <c r="B402" s="4" t="s">
        <v>815</v>
      </c>
      <c r="C402" s="5" t="s">
        <v>779</v>
      </c>
      <c r="D402" s="6">
        <v>320</v>
      </c>
      <c r="E402" s="6">
        <v>320</v>
      </c>
      <c r="F402" s="6">
        <f t="shared" si="51"/>
        <v>0</v>
      </c>
      <c r="G402" s="6">
        <v>10869.24</v>
      </c>
      <c r="H402" s="6"/>
      <c r="I402" s="6"/>
      <c r="J402" s="6">
        <f>G402*D402</f>
        <v>3478156.8</v>
      </c>
      <c r="K402" s="6">
        <f t="shared" si="53"/>
        <v>3478156.8</v>
      </c>
      <c r="L402" s="122">
        <f t="shared" si="54"/>
        <v>0</v>
      </c>
      <c r="M402" s="127"/>
      <c r="N402" s="7" t="s">
        <v>1</v>
      </c>
      <c r="O402" s="148"/>
      <c r="P402" s="153"/>
      <c r="Q402" s="184"/>
      <c r="R402" s="161"/>
      <c r="S402" s="268"/>
      <c r="T402" s="268"/>
      <c r="V402" s="85"/>
    </row>
    <row r="403" spans="1:22" s="27" customFormat="1" ht="28.5">
      <c r="A403" s="3">
        <v>11</v>
      </c>
      <c r="B403" s="4" t="s">
        <v>766</v>
      </c>
      <c r="C403" s="5" t="s">
        <v>677</v>
      </c>
      <c r="D403" s="6">
        <v>2</v>
      </c>
      <c r="E403" s="6">
        <v>2</v>
      </c>
      <c r="F403" s="6">
        <f t="shared" ref="F403:F420" si="55">E403-D403</f>
        <v>0</v>
      </c>
      <c r="G403" s="6">
        <v>60995.57</v>
      </c>
      <c r="H403" s="6"/>
      <c r="I403" s="6"/>
      <c r="J403" s="6">
        <f>G403*D403</f>
        <v>121991.14</v>
      </c>
      <c r="K403" s="6">
        <f t="shared" si="53"/>
        <v>121991.14</v>
      </c>
      <c r="L403" s="122">
        <f t="shared" si="54"/>
        <v>0</v>
      </c>
      <c r="M403" s="127"/>
      <c r="N403" s="7" t="s">
        <v>767</v>
      </c>
      <c r="O403" s="148"/>
      <c r="P403" s="153"/>
      <c r="Q403" s="184"/>
      <c r="R403" s="161"/>
      <c r="S403" s="268"/>
      <c r="T403" s="268"/>
      <c r="V403" s="85"/>
    </row>
    <row r="404" spans="1:22" s="27" customFormat="1" ht="28.5">
      <c r="A404" s="3">
        <v>12</v>
      </c>
      <c r="B404" s="4" t="s">
        <v>843</v>
      </c>
      <c r="C404" s="97" t="s">
        <v>90</v>
      </c>
      <c r="D404" s="6">
        <v>220</v>
      </c>
      <c r="E404" s="6">
        <f>D404</f>
        <v>220</v>
      </c>
      <c r="F404" s="6">
        <f t="shared" si="55"/>
        <v>0</v>
      </c>
      <c r="G404" s="6">
        <v>1159.82</v>
      </c>
      <c r="H404" s="6"/>
      <c r="I404" s="6"/>
      <c r="J404" s="6">
        <f t="shared" ref="J404:J467" si="56">D404*G404</f>
        <v>255160.4</v>
      </c>
      <c r="K404" s="6">
        <f t="shared" si="53"/>
        <v>255160.4</v>
      </c>
      <c r="L404" s="122">
        <f t="shared" si="54"/>
        <v>0</v>
      </c>
      <c r="M404" s="127"/>
      <c r="N404" s="7"/>
      <c r="O404" s="148"/>
      <c r="P404" s="153"/>
      <c r="Q404" s="184"/>
      <c r="R404" s="161"/>
      <c r="S404" s="268"/>
      <c r="T404" s="268"/>
      <c r="V404" s="85"/>
    </row>
    <row r="405" spans="1:22" s="27" customFormat="1" ht="28.5">
      <c r="A405" s="3">
        <v>13</v>
      </c>
      <c r="B405" s="4" t="s">
        <v>844</v>
      </c>
      <c r="C405" s="97" t="s">
        <v>90</v>
      </c>
      <c r="D405" s="6">
        <v>264.5</v>
      </c>
      <c r="E405" s="6">
        <f t="shared" ref="E405:E420" si="57">D405</f>
        <v>264.5</v>
      </c>
      <c r="F405" s="6">
        <f t="shared" si="55"/>
        <v>0</v>
      </c>
      <c r="G405" s="6">
        <v>689.89</v>
      </c>
      <c r="H405" s="6"/>
      <c r="I405" s="6"/>
      <c r="J405" s="6">
        <f t="shared" si="56"/>
        <v>182475.905</v>
      </c>
      <c r="K405" s="6">
        <f t="shared" si="53"/>
        <v>182475.905</v>
      </c>
      <c r="L405" s="122">
        <f t="shared" si="54"/>
        <v>0</v>
      </c>
      <c r="M405" s="127"/>
      <c r="N405" s="7"/>
      <c r="O405" s="148"/>
      <c r="P405" s="153"/>
      <c r="Q405" s="184"/>
      <c r="R405" s="161"/>
      <c r="S405" s="268"/>
      <c r="T405" s="268"/>
      <c r="V405" s="85"/>
    </row>
    <row r="406" spans="1:22" s="27" customFormat="1" ht="42.75">
      <c r="A406" s="3">
        <v>14</v>
      </c>
      <c r="B406" s="4" t="s">
        <v>845</v>
      </c>
      <c r="C406" s="97" t="s">
        <v>90</v>
      </c>
      <c r="D406" s="6">
        <v>218.5</v>
      </c>
      <c r="E406" s="6">
        <f t="shared" si="57"/>
        <v>218.5</v>
      </c>
      <c r="F406" s="6">
        <f t="shared" si="55"/>
        <v>0</v>
      </c>
      <c r="G406" s="6">
        <v>899.86</v>
      </c>
      <c r="H406" s="6"/>
      <c r="I406" s="6"/>
      <c r="J406" s="6">
        <f t="shared" si="56"/>
        <v>196619.41</v>
      </c>
      <c r="K406" s="6">
        <f t="shared" si="53"/>
        <v>196619.41</v>
      </c>
      <c r="L406" s="122">
        <f t="shared" si="54"/>
        <v>0</v>
      </c>
      <c r="M406" s="127"/>
      <c r="N406" s="7"/>
      <c r="O406" s="148"/>
      <c r="P406" s="153"/>
      <c r="Q406" s="184"/>
      <c r="R406" s="161"/>
      <c r="S406" s="268"/>
      <c r="T406" s="268"/>
      <c r="V406" s="85"/>
    </row>
    <row r="407" spans="1:22" s="27" customFormat="1" ht="28.5">
      <c r="A407" s="3">
        <v>15</v>
      </c>
      <c r="B407" s="4" t="s">
        <v>846</v>
      </c>
      <c r="C407" s="97" t="s">
        <v>90</v>
      </c>
      <c r="D407" s="6">
        <v>87.5</v>
      </c>
      <c r="E407" s="6">
        <f t="shared" si="57"/>
        <v>87.5</v>
      </c>
      <c r="F407" s="6">
        <f t="shared" si="55"/>
        <v>0</v>
      </c>
      <c r="G407" s="6">
        <v>1499.76</v>
      </c>
      <c r="H407" s="6"/>
      <c r="I407" s="6"/>
      <c r="J407" s="6">
        <f t="shared" si="56"/>
        <v>131229</v>
      </c>
      <c r="K407" s="6">
        <f t="shared" si="53"/>
        <v>131229</v>
      </c>
      <c r="L407" s="122">
        <f t="shared" si="54"/>
        <v>0</v>
      </c>
      <c r="M407" s="127"/>
      <c r="N407" s="7"/>
      <c r="O407" s="148"/>
      <c r="P407" s="153"/>
      <c r="Q407" s="184"/>
      <c r="R407" s="161"/>
      <c r="S407" s="268"/>
      <c r="T407" s="268"/>
      <c r="V407" s="85"/>
    </row>
    <row r="408" spans="1:22" s="27" customFormat="1">
      <c r="A408" s="3">
        <v>16</v>
      </c>
      <c r="B408" s="4" t="s">
        <v>847</v>
      </c>
      <c r="C408" s="97" t="s">
        <v>90</v>
      </c>
      <c r="D408" s="6">
        <v>144.5</v>
      </c>
      <c r="E408" s="6">
        <f t="shared" si="57"/>
        <v>144.5</v>
      </c>
      <c r="F408" s="6">
        <f t="shared" si="55"/>
        <v>0</v>
      </c>
      <c r="G408" s="6">
        <v>1419.78</v>
      </c>
      <c r="H408" s="6"/>
      <c r="I408" s="6"/>
      <c r="J408" s="6">
        <f t="shared" si="56"/>
        <v>205158.21</v>
      </c>
      <c r="K408" s="6">
        <f t="shared" si="53"/>
        <v>205158.21</v>
      </c>
      <c r="L408" s="122">
        <f t="shared" si="54"/>
        <v>0</v>
      </c>
      <c r="M408" s="127"/>
      <c r="N408" s="7"/>
      <c r="O408" s="148"/>
      <c r="P408" s="153"/>
      <c r="Q408" s="184"/>
      <c r="R408" s="161"/>
      <c r="S408" s="268"/>
      <c r="T408" s="268"/>
      <c r="V408" s="85"/>
    </row>
    <row r="409" spans="1:22" s="27" customFormat="1">
      <c r="A409" s="3">
        <v>17</v>
      </c>
      <c r="B409" s="4" t="s">
        <v>848</v>
      </c>
      <c r="C409" s="97" t="s">
        <v>90</v>
      </c>
      <c r="D409" s="6">
        <v>27</v>
      </c>
      <c r="E409" s="6">
        <f t="shared" si="57"/>
        <v>27</v>
      </c>
      <c r="F409" s="6">
        <f t="shared" si="55"/>
        <v>0</v>
      </c>
      <c r="G409" s="6">
        <v>2999.53</v>
      </c>
      <c r="H409" s="6"/>
      <c r="I409" s="6"/>
      <c r="J409" s="6">
        <f t="shared" si="56"/>
        <v>80987.310000000012</v>
      </c>
      <c r="K409" s="6">
        <f t="shared" si="53"/>
        <v>80987.310000000012</v>
      </c>
      <c r="L409" s="122">
        <f t="shared" si="54"/>
        <v>0</v>
      </c>
      <c r="M409" s="127"/>
      <c r="N409" s="7"/>
      <c r="O409" s="148"/>
      <c r="P409" s="153"/>
      <c r="Q409" s="184"/>
      <c r="R409" s="161"/>
      <c r="S409" s="268"/>
      <c r="T409" s="268"/>
      <c r="V409" s="85"/>
    </row>
    <row r="410" spans="1:22" s="27" customFormat="1">
      <c r="A410" s="3">
        <v>18</v>
      </c>
      <c r="B410" s="4" t="s">
        <v>849</v>
      </c>
      <c r="C410" s="97" t="s">
        <v>90</v>
      </c>
      <c r="D410" s="6">
        <v>28</v>
      </c>
      <c r="E410" s="6">
        <f t="shared" si="57"/>
        <v>28</v>
      </c>
      <c r="F410" s="6">
        <f t="shared" si="55"/>
        <v>0</v>
      </c>
      <c r="G410" s="6">
        <v>1364.78</v>
      </c>
      <c r="H410" s="6"/>
      <c r="I410" s="6"/>
      <c r="J410" s="6">
        <f t="shared" si="56"/>
        <v>38213.839999999997</v>
      </c>
      <c r="K410" s="6">
        <f t="shared" si="53"/>
        <v>38213.839999999997</v>
      </c>
      <c r="L410" s="122">
        <f t="shared" si="54"/>
        <v>0</v>
      </c>
      <c r="M410" s="127"/>
      <c r="N410" s="7"/>
      <c r="O410" s="148"/>
      <c r="P410" s="153"/>
      <c r="Q410" s="184"/>
      <c r="R410" s="161"/>
      <c r="S410" s="268"/>
      <c r="T410" s="268"/>
      <c r="V410" s="85"/>
    </row>
    <row r="411" spans="1:22" s="27" customFormat="1">
      <c r="A411" s="3">
        <v>19</v>
      </c>
      <c r="B411" s="4" t="s">
        <v>850</v>
      </c>
      <c r="C411" s="97" t="s">
        <v>90</v>
      </c>
      <c r="D411" s="6">
        <v>156</v>
      </c>
      <c r="E411" s="6">
        <f t="shared" si="57"/>
        <v>156</v>
      </c>
      <c r="F411" s="6">
        <f t="shared" si="55"/>
        <v>0</v>
      </c>
      <c r="G411" s="6">
        <v>771.88</v>
      </c>
      <c r="H411" s="6"/>
      <c r="I411" s="6"/>
      <c r="J411" s="6">
        <f t="shared" si="56"/>
        <v>120413.28</v>
      </c>
      <c r="K411" s="6">
        <f t="shared" si="53"/>
        <v>120413.28</v>
      </c>
      <c r="L411" s="122">
        <f t="shared" si="54"/>
        <v>0</v>
      </c>
      <c r="M411" s="127"/>
      <c r="N411" s="7"/>
      <c r="O411" s="148"/>
      <c r="P411" s="153"/>
      <c r="Q411" s="184"/>
      <c r="R411" s="161"/>
      <c r="S411" s="268"/>
      <c r="T411" s="268"/>
      <c r="V411" s="85"/>
    </row>
    <row r="412" spans="1:22" s="27" customFormat="1" ht="28.5">
      <c r="A412" s="3">
        <v>20</v>
      </c>
      <c r="B412" s="4" t="s">
        <v>851</v>
      </c>
      <c r="C412" s="97" t="s">
        <v>90</v>
      </c>
      <c r="D412" s="6">
        <v>1917</v>
      </c>
      <c r="E412" s="6">
        <f t="shared" si="57"/>
        <v>1917</v>
      </c>
      <c r="F412" s="6">
        <f t="shared" si="55"/>
        <v>0</v>
      </c>
      <c r="G412" s="6">
        <v>400.94</v>
      </c>
      <c r="H412" s="6"/>
      <c r="I412" s="6"/>
      <c r="J412" s="6">
        <f t="shared" si="56"/>
        <v>768601.98</v>
      </c>
      <c r="K412" s="6">
        <f t="shared" si="53"/>
        <v>768601.98</v>
      </c>
      <c r="L412" s="122">
        <f t="shared" si="54"/>
        <v>0</v>
      </c>
      <c r="M412" s="127"/>
      <c r="N412" s="7"/>
      <c r="O412" s="148"/>
      <c r="P412" s="153"/>
      <c r="Q412" s="184"/>
      <c r="R412" s="161"/>
      <c r="S412" s="268"/>
      <c r="T412" s="268"/>
      <c r="V412" s="85"/>
    </row>
    <row r="413" spans="1:22" s="27" customFormat="1">
      <c r="A413" s="3">
        <v>21</v>
      </c>
      <c r="B413" s="4" t="s">
        <v>852</v>
      </c>
      <c r="C413" s="97" t="s">
        <v>90</v>
      </c>
      <c r="D413" s="6">
        <v>380</v>
      </c>
      <c r="E413" s="6">
        <f t="shared" si="57"/>
        <v>380</v>
      </c>
      <c r="F413" s="6">
        <f t="shared" si="55"/>
        <v>0</v>
      </c>
      <c r="G413" s="6">
        <v>280.95999999999998</v>
      </c>
      <c r="H413" s="6"/>
      <c r="I413" s="6"/>
      <c r="J413" s="6">
        <f t="shared" si="56"/>
        <v>106764.79999999999</v>
      </c>
      <c r="K413" s="6">
        <f t="shared" si="53"/>
        <v>106764.79999999999</v>
      </c>
      <c r="L413" s="122">
        <f t="shared" si="54"/>
        <v>0</v>
      </c>
      <c r="M413" s="127"/>
      <c r="N413" s="7"/>
      <c r="O413" s="148"/>
      <c r="P413" s="153"/>
      <c r="Q413" s="184"/>
      <c r="R413" s="161"/>
      <c r="S413" s="268"/>
      <c r="T413" s="268"/>
      <c r="V413" s="85"/>
    </row>
    <row r="414" spans="1:22" s="27" customFormat="1" ht="28.5">
      <c r="A414" s="3">
        <v>22</v>
      </c>
      <c r="B414" s="4" t="s">
        <v>853</v>
      </c>
      <c r="C414" s="97" t="s">
        <v>90</v>
      </c>
      <c r="D414" s="6">
        <v>660.5</v>
      </c>
      <c r="E414" s="6">
        <f t="shared" si="57"/>
        <v>660.5</v>
      </c>
      <c r="F414" s="6">
        <f t="shared" si="55"/>
        <v>0</v>
      </c>
      <c r="G414" s="6">
        <v>800.87</v>
      </c>
      <c r="H414" s="6"/>
      <c r="I414" s="6"/>
      <c r="J414" s="6">
        <f t="shared" si="56"/>
        <v>528974.63500000001</v>
      </c>
      <c r="K414" s="6">
        <f t="shared" si="53"/>
        <v>528974.63500000001</v>
      </c>
      <c r="L414" s="122">
        <f t="shared" si="54"/>
        <v>0</v>
      </c>
      <c r="M414" s="127"/>
      <c r="N414" s="7"/>
      <c r="O414" s="148"/>
      <c r="P414" s="153"/>
      <c r="Q414" s="184"/>
      <c r="R414" s="161"/>
      <c r="S414" s="268"/>
      <c r="T414" s="268"/>
      <c r="V414" s="85"/>
    </row>
    <row r="415" spans="1:22" s="27" customFormat="1">
      <c r="A415" s="3">
        <v>23</v>
      </c>
      <c r="B415" s="4" t="s">
        <v>854</v>
      </c>
      <c r="C415" s="97" t="s">
        <v>90</v>
      </c>
      <c r="D415" s="6">
        <v>288.5</v>
      </c>
      <c r="E415" s="6">
        <f t="shared" si="57"/>
        <v>288.5</v>
      </c>
      <c r="F415" s="6">
        <f t="shared" si="55"/>
        <v>0</v>
      </c>
      <c r="G415" s="6">
        <v>561.91</v>
      </c>
      <c r="H415" s="6"/>
      <c r="I415" s="6"/>
      <c r="J415" s="6">
        <f t="shared" si="56"/>
        <v>162111.035</v>
      </c>
      <c r="K415" s="6">
        <f t="shared" si="53"/>
        <v>162111.035</v>
      </c>
      <c r="L415" s="122">
        <f t="shared" si="54"/>
        <v>0</v>
      </c>
      <c r="M415" s="127"/>
      <c r="N415" s="7"/>
      <c r="O415" s="148"/>
      <c r="P415" s="153"/>
      <c r="Q415" s="184"/>
      <c r="R415" s="161"/>
      <c r="S415" s="268"/>
      <c r="T415" s="268"/>
      <c r="V415" s="85"/>
    </row>
    <row r="416" spans="1:22" s="27" customFormat="1" ht="28.5">
      <c r="A416" s="3">
        <v>24</v>
      </c>
      <c r="B416" s="4" t="s">
        <v>855</v>
      </c>
      <c r="C416" s="97" t="s">
        <v>90</v>
      </c>
      <c r="D416" s="6">
        <v>438</v>
      </c>
      <c r="E416" s="6">
        <f t="shared" si="57"/>
        <v>438</v>
      </c>
      <c r="F416" s="6">
        <f t="shared" si="55"/>
        <v>0</v>
      </c>
      <c r="G416" s="6">
        <v>519.91999999999996</v>
      </c>
      <c r="H416" s="6"/>
      <c r="I416" s="6"/>
      <c r="J416" s="6">
        <f t="shared" si="56"/>
        <v>227724.96</v>
      </c>
      <c r="K416" s="6">
        <f t="shared" si="53"/>
        <v>227724.96</v>
      </c>
      <c r="L416" s="122">
        <f t="shared" si="54"/>
        <v>0</v>
      </c>
      <c r="M416" s="127"/>
      <c r="N416" s="7"/>
      <c r="O416" s="148"/>
      <c r="P416" s="153"/>
      <c r="Q416" s="184"/>
      <c r="R416" s="161"/>
      <c r="S416" s="268"/>
      <c r="T416" s="268"/>
      <c r="V416" s="85"/>
    </row>
    <row r="417" spans="1:22" s="27" customFormat="1">
      <c r="A417" s="3">
        <v>25</v>
      </c>
      <c r="B417" s="4" t="s">
        <v>856</v>
      </c>
      <c r="C417" s="97" t="s">
        <v>90</v>
      </c>
      <c r="D417" s="6">
        <v>54</v>
      </c>
      <c r="E417" s="6">
        <f t="shared" si="57"/>
        <v>54</v>
      </c>
      <c r="F417" s="6">
        <f t="shared" si="55"/>
        <v>0</v>
      </c>
      <c r="G417" s="6">
        <v>1579.75</v>
      </c>
      <c r="H417" s="6"/>
      <c r="I417" s="6"/>
      <c r="J417" s="6">
        <f t="shared" si="56"/>
        <v>85306.5</v>
      </c>
      <c r="K417" s="6">
        <f t="shared" si="53"/>
        <v>85306.5</v>
      </c>
      <c r="L417" s="122">
        <f t="shared" si="54"/>
        <v>0</v>
      </c>
      <c r="M417" s="127"/>
      <c r="N417" s="7"/>
      <c r="O417" s="148"/>
      <c r="P417" s="153"/>
      <c r="Q417" s="184"/>
      <c r="R417" s="161"/>
      <c r="S417" s="268"/>
      <c r="T417" s="268"/>
      <c r="V417" s="85"/>
    </row>
    <row r="418" spans="1:22" s="27" customFormat="1">
      <c r="A418" s="3">
        <v>26</v>
      </c>
      <c r="B418" s="4" t="s">
        <v>857</v>
      </c>
      <c r="C418" s="97" t="s">
        <v>90</v>
      </c>
      <c r="D418" s="6">
        <v>519.5</v>
      </c>
      <c r="E418" s="6">
        <f t="shared" si="57"/>
        <v>519.5</v>
      </c>
      <c r="F418" s="6">
        <f t="shared" si="55"/>
        <v>0</v>
      </c>
      <c r="G418" s="6">
        <v>209.97</v>
      </c>
      <c r="H418" s="6"/>
      <c r="I418" s="6"/>
      <c r="J418" s="6">
        <f t="shared" si="56"/>
        <v>109079.41499999999</v>
      </c>
      <c r="K418" s="6">
        <f t="shared" si="53"/>
        <v>109079.41499999999</v>
      </c>
      <c r="L418" s="122">
        <f t="shared" si="54"/>
        <v>0</v>
      </c>
      <c r="M418" s="127"/>
      <c r="N418" s="7"/>
      <c r="O418" s="148"/>
      <c r="P418" s="153"/>
      <c r="Q418" s="184"/>
      <c r="R418" s="161"/>
      <c r="S418" s="268"/>
      <c r="T418" s="268"/>
      <c r="V418" s="85"/>
    </row>
    <row r="419" spans="1:22" s="27" customFormat="1" ht="42.75">
      <c r="A419" s="3">
        <v>27</v>
      </c>
      <c r="B419" s="4" t="s">
        <v>858</v>
      </c>
      <c r="C419" s="97" t="s">
        <v>65</v>
      </c>
      <c r="D419" s="6">
        <v>5</v>
      </c>
      <c r="E419" s="6">
        <f t="shared" si="57"/>
        <v>5</v>
      </c>
      <c r="F419" s="6">
        <f t="shared" si="55"/>
        <v>0</v>
      </c>
      <c r="G419" s="6">
        <v>10798.3</v>
      </c>
      <c r="H419" s="6"/>
      <c r="I419" s="98"/>
      <c r="J419" s="6">
        <f t="shared" si="56"/>
        <v>53991.5</v>
      </c>
      <c r="K419" s="6">
        <f t="shared" si="53"/>
        <v>53991.5</v>
      </c>
      <c r="L419" s="122">
        <f t="shared" si="54"/>
        <v>0</v>
      </c>
      <c r="M419" s="127"/>
      <c r="N419" s="7"/>
      <c r="O419" s="148"/>
      <c r="P419" s="153"/>
      <c r="Q419" s="184"/>
      <c r="R419" s="161"/>
      <c r="S419" s="268"/>
      <c r="T419" s="268"/>
      <c r="V419" s="85"/>
    </row>
    <row r="420" spans="1:22" s="27" customFormat="1" ht="42.75">
      <c r="A420" s="3">
        <v>28</v>
      </c>
      <c r="B420" s="4" t="s">
        <v>859</v>
      </c>
      <c r="C420" s="97" t="s">
        <v>65</v>
      </c>
      <c r="D420" s="6">
        <v>6</v>
      </c>
      <c r="E420" s="6">
        <f t="shared" si="57"/>
        <v>6</v>
      </c>
      <c r="F420" s="6">
        <f t="shared" si="55"/>
        <v>0</v>
      </c>
      <c r="G420" s="6">
        <v>7248.86</v>
      </c>
      <c r="H420" s="6"/>
      <c r="I420" s="98"/>
      <c r="J420" s="6">
        <f t="shared" si="56"/>
        <v>43493.159999999996</v>
      </c>
      <c r="K420" s="6">
        <f t="shared" si="53"/>
        <v>43493.159999999996</v>
      </c>
      <c r="L420" s="122">
        <f t="shared" si="54"/>
        <v>0</v>
      </c>
      <c r="M420" s="127"/>
      <c r="N420" s="7"/>
      <c r="O420" s="148"/>
      <c r="P420" s="153"/>
      <c r="Q420" s="184"/>
      <c r="R420" s="161"/>
      <c r="S420" s="268"/>
      <c r="T420" s="268"/>
      <c r="V420" s="85"/>
    </row>
    <row r="421" spans="1:22" s="27" customFormat="1">
      <c r="A421" s="3"/>
      <c r="B421" s="4"/>
      <c r="C421" s="97"/>
      <c r="D421" s="6"/>
      <c r="E421" s="6"/>
      <c r="F421" s="6"/>
      <c r="G421" s="98"/>
      <c r="H421" s="6"/>
      <c r="I421" s="98"/>
      <c r="J421" s="6"/>
      <c r="K421" s="6"/>
      <c r="L421" s="122"/>
      <c r="M421" s="127"/>
      <c r="N421" s="7"/>
      <c r="O421" s="148"/>
      <c r="P421" s="153"/>
      <c r="Q421" s="184"/>
      <c r="R421" s="161"/>
      <c r="S421" s="268"/>
      <c r="T421" s="268"/>
      <c r="V421" s="85"/>
    </row>
    <row r="422" spans="1:22" s="27" customFormat="1" ht="26.1" customHeight="1">
      <c r="A422" s="200" t="s">
        <v>528</v>
      </c>
      <c r="B422" s="201" t="s">
        <v>529</v>
      </c>
      <c r="C422" s="202" t="s">
        <v>23</v>
      </c>
      <c r="D422" s="203">
        <v>1</v>
      </c>
      <c r="E422" s="203"/>
      <c r="F422" s="203"/>
      <c r="G422" s="203">
        <f>J422</f>
        <v>3727423.7099999995</v>
      </c>
      <c r="H422" s="203"/>
      <c r="I422" s="203"/>
      <c r="J422" s="203">
        <f>SUM(J423:J461)</f>
        <v>3727423.7099999995</v>
      </c>
      <c r="K422" s="203">
        <f>SUM(K423:K461)</f>
        <v>3727423.7099999995</v>
      </c>
      <c r="L422" s="205">
        <f>SUM(L423:L461)</f>
        <v>0</v>
      </c>
      <c r="M422" s="207">
        <f>SUM(M423:M461)</f>
        <v>0</v>
      </c>
      <c r="N422" s="208" t="s">
        <v>1</v>
      </c>
      <c r="O422" s="151" t="s">
        <v>24</v>
      </c>
      <c r="P422" s="183"/>
      <c r="Q422" s="195"/>
      <c r="R422" s="161"/>
      <c r="S422" s="268"/>
      <c r="T422" s="268"/>
      <c r="U422" s="64"/>
    </row>
    <row r="423" spans="1:22" s="27" customFormat="1" ht="57">
      <c r="A423" s="3" t="s">
        <v>29</v>
      </c>
      <c r="B423" s="4" t="s">
        <v>530</v>
      </c>
      <c r="C423" s="5" t="s">
        <v>123</v>
      </c>
      <c r="D423" s="6">
        <v>340</v>
      </c>
      <c r="E423" s="6">
        <v>340</v>
      </c>
      <c r="F423" s="6">
        <f>E423-D423</f>
        <v>0</v>
      </c>
      <c r="G423" s="6">
        <v>300</v>
      </c>
      <c r="H423" s="6"/>
      <c r="I423" s="6"/>
      <c r="J423" s="6">
        <f t="shared" si="56"/>
        <v>102000</v>
      </c>
      <c r="K423" s="6">
        <f t="shared" ref="K423:K488" si="58">E423*G423</f>
        <v>102000</v>
      </c>
      <c r="L423" s="122">
        <f t="shared" ref="L423:L461" si="59">K423-J423</f>
        <v>0</v>
      </c>
      <c r="M423" s="127"/>
      <c r="N423" s="7" t="s">
        <v>1</v>
      </c>
      <c r="O423" s="148" t="s">
        <v>24</v>
      </c>
      <c r="P423" s="149"/>
      <c r="Q423" s="184"/>
      <c r="R423" s="161"/>
      <c r="S423" s="268"/>
      <c r="T423" s="268"/>
      <c r="U423" s="64"/>
    </row>
    <row r="424" spans="1:22" s="27" customFormat="1" ht="42.75">
      <c r="A424" s="3" t="s">
        <v>32</v>
      </c>
      <c r="B424" s="4" t="s">
        <v>531</v>
      </c>
      <c r="C424" s="5" t="s">
        <v>228</v>
      </c>
      <c r="D424" s="6">
        <v>68</v>
      </c>
      <c r="E424" s="6">
        <v>68</v>
      </c>
      <c r="F424" s="6">
        <f>E424-D424</f>
        <v>0</v>
      </c>
      <c r="G424" s="6">
        <v>3000</v>
      </c>
      <c r="H424" s="6"/>
      <c r="I424" s="6"/>
      <c r="J424" s="6">
        <f t="shared" si="56"/>
        <v>204000</v>
      </c>
      <c r="K424" s="6">
        <f t="shared" si="58"/>
        <v>204000</v>
      </c>
      <c r="L424" s="122">
        <f t="shared" si="59"/>
        <v>0</v>
      </c>
      <c r="M424" s="127"/>
      <c r="N424" s="7" t="s">
        <v>62</v>
      </c>
      <c r="O424" s="148" t="s">
        <v>24</v>
      </c>
      <c r="P424" s="149"/>
      <c r="Q424" s="184"/>
      <c r="R424" s="161"/>
      <c r="S424" s="268"/>
      <c r="T424" s="268"/>
      <c r="U424" s="64"/>
    </row>
    <row r="425" spans="1:22" s="27" customFormat="1" ht="33">
      <c r="A425" s="3" t="s">
        <v>34</v>
      </c>
      <c r="B425" s="4" t="s">
        <v>532</v>
      </c>
      <c r="C425" s="5" t="s">
        <v>228</v>
      </c>
      <c r="D425" s="6">
        <v>68</v>
      </c>
      <c r="E425" s="6">
        <v>68</v>
      </c>
      <c r="F425" s="6">
        <f t="shared" ref="F425:F489" si="60">E425-D425</f>
        <v>0</v>
      </c>
      <c r="G425" s="6">
        <v>150</v>
      </c>
      <c r="H425" s="6"/>
      <c r="I425" s="6"/>
      <c r="J425" s="6">
        <f t="shared" si="56"/>
        <v>10200</v>
      </c>
      <c r="K425" s="6">
        <f t="shared" si="58"/>
        <v>10200</v>
      </c>
      <c r="L425" s="122">
        <f t="shared" si="59"/>
        <v>0</v>
      </c>
      <c r="M425" s="127"/>
      <c r="N425" s="7" t="s">
        <v>62</v>
      </c>
      <c r="O425" s="148" t="s">
        <v>24</v>
      </c>
      <c r="P425" s="149"/>
      <c r="Q425" s="184"/>
      <c r="R425" s="161"/>
      <c r="S425" s="268"/>
      <c r="T425" s="268"/>
      <c r="U425" s="64"/>
    </row>
    <row r="426" spans="1:22" s="27" customFormat="1" ht="42.75">
      <c r="A426" s="3" t="s">
        <v>38</v>
      </c>
      <c r="B426" s="4" t="s">
        <v>533</v>
      </c>
      <c r="C426" s="5" t="s">
        <v>534</v>
      </c>
      <c r="D426" s="6">
        <v>9</v>
      </c>
      <c r="E426" s="6">
        <v>9</v>
      </c>
      <c r="F426" s="6">
        <f t="shared" si="60"/>
        <v>0</v>
      </c>
      <c r="G426" s="6">
        <v>1200</v>
      </c>
      <c r="H426" s="6"/>
      <c r="I426" s="6"/>
      <c r="J426" s="6">
        <f t="shared" si="56"/>
        <v>10800</v>
      </c>
      <c r="K426" s="6">
        <f t="shared" si="58"/>
        <v>10800</v>
      </c>
      <c r="L426" s="122">
        <f t="shared" si="59"/>
        <v>0</v>
      </c>
      <c r="M426" s="127"/>
      <c r="N426" s="7" t="s">
        <v>62</v>
      </c>
      <c r="O426" s="148" t="s">
        <v>24</v>
      </c>
      <c r="P426" s="149"/>
      <c r="Q426" s="184"/>
      <c r="R426" s="161"/>
      <c r="S426" s="268"/>
      <c r="T426" s="268"/>
      <c r="U426" s="64"/>
    </row>
    <row r="427" spans="1:22" s="27" customFormat="1" ht="57">
      <c r="A427" s="3" t="s">
        <v>41</v>
      </c>
      <c r="B427" s="4" t="s">
        <v>535</v>
      </c>
      <c r="C427" s="5" t="s">
        <v>228</v>
      </c>
      <c r="D427" s="6">
        <v>38</v>
      </c>
      <c r="E427" s="6">
        <v>38</v>
      </c>
      <c r="F427" s="6">
        <f t="shared" si="60"/>
        <v>0</v>
      </c>
      <c r="G427" s="6">
        <v>650</v>
      </c>
      <c r="H427" s="6"/>
      <c r="I427" s="6"/>
      <c r="J427" s="6">
        <f t="shared" si="56"/>
        <v>24700</v>
      </c>
      <c r="K427" s="6">
        <f t="shared" si="58"/>
        <v>24700</v>
      </c>
      <c r="L427" s="122">
        <f t="shared" si="59"/>
        <v>0</v>
      </c>
      <c r="M427" s="127"/>
      <c r="N427" s="7" t="s">
        <v>536</v>
      </c>
      <c r="O427" s="148" t="s">
        <v>24</v>
      </c>
      <c r="P427" s="149"/>
      <c r="Q427" s="184"/>
      <c r="R427" s="161"/>
      <c r="S427" s="268"/>
      <c r="T427" s="268"/>
      <c r="U427" s="64"/>
    </row>
    <row r="428" spans="1:22" s="27" customFormat="1" ht="57">
      <c r="A428" s="3" t="s">
        <v>43</v>
      </c>
      <c r="B428" s="4" t="s">
        <v>537</v>
      </c>
      <c r="C428" s="5" t="s">
        <v>228</v>
      </c>
      <c r="D428" s="6">
        <v>38</v>
      </c>
      <c r="E428" s="6">
        <v>38</v>
      </c>
      <c r="F428" s="6">
        <f t="shared" si="60"/>
        <v>0</v>
      </c>
      <c r="G428" s="6">
        <v>1300</v>
      </c>
      <c r="H428" s="6"/>
      <c r="I428" s="6"/>
      <c r="J428" s="6">
        <f t="shared" si="56"/>
        <v>49400</v>
      </c>
      <c r="K428" s="6">
        <f t="shared" si="58"/>
        <v>49400</v>
      </c>
      <c r="L428" s="122">
        <f t="shared" si="59"/>
        <v>0</v>
      </c>
      <c r="M428" s="127"/>
      <c r="N428" s="7" t="s">
        <v>536</v>
      </c>
      <c r="O428" s="148" t="s">
        <v>24</v>
      </c>
      <c r="P428" s="149"/>
      <c r="Q428" s="184"/>
      <c r="R428" s="161"/>
      <c r="S428" s="268"/>
      <c r="T428" s="268"/>
      <c r="U428" s="64"/>
    </row>
    <row r="429" spans="1:22" s="27" customFormat="1" ht="57">
      <c r="A429" s="3" t="s">
        <v>45</v>
      </c>
      <c r="B429" s="4" t="s">
        <v>538</v>
      </c>
      <c r="C429" s="5" t="s">
        <v>228</v>
      </c>
      <c r="D429" s="6">
        <v>7</v>
      </c>
      <c r="E429" s="6">
        <v>7</v>
      </c>
      <c r="F429" s="6">
        <f t="shared" si="60"/>
        <v>0</v>
      </c>
      <c r="G429" s="6">
        <v>3500</v>
      </c>
      <c r="H429" s="6"/>
      <c r="I429" s="6"/>
      <c r="J429" s="6">
        <f t="shared" si="56"/>
        <v>24500</v>
      </c>
      <c r="K429" s="6">
        <f t="shared" si="58"/>
        <v>24500</v>
      </c>
      <c r="L429" s="122">
        <f t="shared" si="59"/>
        <v>0</v>
      </c>
      <c r="M429" s="127"/>
      <c r="N429" s="7" t="s">
        <v>1</v>
      </c>
      <c r="O429" s="148" t="s">
        <v>24</v>
      </c>
      <c r="P429" s="149"/>
      <c r="Q429" s="184"/>
      <c r="R429" s="161"/>
      <c r="S429" s="268"/>
      <c r="T429" s="268"/>
      <c r="U429" s="64"/>
    </row>
    <row r="430" spans="1:22" s="27" customFormat="1" ht="57">
      <c r="A430" s="3" t="s">
        <v>48</v>
      </c>
      <c r="B430" s="4" t="s">
        <v>539</v>
      </c>
      <c r="C430" s="5" t="s">
        <v>228</v>
      </c>
      <c r="D430" s="6">
        <v>5</v>
      </c>
      <c r="E430" s="6">
        <v>5</v>
      </c>
      <c r="F430" s="6">
        <f t="shared" si="60"/>
        <v>0</v>
      </c>
      <c r="G430" s="6">
        <v>700</v>
      </c>
      <c r="H430" s="6"/>
      <c r="I430" s="6"/>
      <c r="J430" s="6">
        <f t="shared" si="56"/>
        <v>3500</v>
      </c>
      <c r="K430" s="6">
        <f t="shared" si="58"/>
        <v>3500</v>
      </c>
      <c r="L430" s="122">
        <f t="shared" si="59"/>
        <v>0</v>
      </c>
      <c r="M430" s="127"/>
      <c r="N430" s="7" t="s">
        <v>1</v>
      </c>
      <c r="O430" s="148" t="s">
        <v>24</v>
      </c>
      <c r="P430" s="149"/>
      <c r="Q430" s="184"/>
      <c r="R430" s="161"/>
      <c r="S430" s="268"/>
      <c r="T430" s="268"/>
      <c r="U430" s="64"/>
    </row>
    <row r="431" spans="1:22" s="27" customFormat="1" ht="42.75">
      <c r="A431" s="3" t="s">
        <v>50</v>
      </c>
      <c r="B431" s="4" t="s">
        <v>540</v>
      </c>
      <c r="C431" s="5" t="s">
        <v>65</v>
      </c>
      <c r="D431" s="6">
        <v>1</v>
      </c>
      <c r="E431" s="6">
        <v>1</v>
      </c>
      <c r="F431" s="6">
        <f t="shared" si="60"/>
        <v>0</v>
      </c>
      <c r="G431" s="6">
        <v>15000</v>
      </c>
      <c r="H431" s="6"/>
      <c r="I431" s="6"/>
      <c r="J431" s="6">
        <f t="shared" si="56"/>
        <v>15000</v>
      </c>
      <c r="K431" s="6">
        <f t="shared" si="58"/>
        <v>15000</v>
      </c>
      <c r="L431" s="122">
        <f t="shared" si="59"/>
        <v>0</v>
      </c>
      <c r="M431" s="127"/>
      <c r="N431" s="7" t="s">
        <v>1</v>
      </c>
      <c r="O431" s="148" t="s">
        <v>24</v>
      </c>
      <c r="P431" s="149"/>
      <c r="Q431" s="184"/>
      <c r="R431" s="161"/>
      <c r="S431" s="268"/>
      <c r="T431" s="268"/>
      <c r="U431" s="64"/>
    </row>
    <row r="432" spans="1:22" s="27" customFormat="1" ht="42.75">
      <c r="A432" s="3" t="s">
        <v>54</v>
      </c>
      <c r="B432" s="4" t="s">
        <v>541</v>
      </c>
      <c r="C432" s="5" t="s">
        <v>228</v>
      </c>
      <c r="D432" s="6">
        <v>1</v>
      </c>
      <c r="E432" s="6">
        <v>1</v>
      </c>
      <c r="F432" s="6">
        <f t="shared" si="60"/>
        <v>0</v>
      </c>
      <c r="G432" s="6">
        <v>6000</v>
      </c>
      <c r="H432" s="6"/>
      <c r="I432" s="6"/>
      <c r="J432" s="6">
        <f t="shared" si="56"/>
        <v>6000</v>
      </c>
      <c r="K432" s="6">
        <f t="shared" si="58"/>
        <v>6000</v>
      </c>
      <c r="L432" s="122">
        <f t="shared" si="59"/>
        <v>0</v>
      </c>
      <c r="M432" s="127"/>
      <c r="N432" s="7" t="s">
        <v>62</v>
      </c>
      <c r="O432" s="148" t="s">
        <v>24</v>
      </c>
      <c r="P432" s="149"/>
      <c r="Q432" s="184"/>
      <c r="R432" s="161"/>
      <c r="S432" s="268"/>
      <c r="T432" s="268"/>
      <c r="U432" s="64"/>
    </row>
    <row r="433" spans="1:21" s="27" customFormat="1" ht="85.5">
      <c r="A433" s="3" t="s">
        <v>56</v>
      </c>
      <c r="B433" s="4" t="s">
        <v>542</v>
      </c>
      <c r="C433" s="5" t="s">
        <v>228</v>
      </c>
      <c r="D433" s="6">
        <v>1</v>
      </c>
      <c r="E433" s="6">
        <v>1</v>
      </c>
      <c r="F433" s="6">
        <f t="shared" si="60"/>
        <v>0</v>
      </c>
      <c r="G433" s="6">
        <v>49500</v>
      </c>
      <c r="H433" s="6"/>
      <c r="I433" s="6"/>
      <c r="J433" s="6">
        <f t="shared" si="56"/>
        <v>49500</v>
      </c>
      <c r="K433" s="6">
        <f t="shared" si="58"/>
        <v>49500</v>
      </c>
      <c r="L433" s="122">
        <f t="shared" si="59"/>
        <v>0</v>
      </c>
      <c r="M433" s="127"/>
      <c r="N433" s="7" t="s">
        <v>1</v>
      </c>
      <c r="O433" s="148" t="s">
        <v>24</v>
      </c>
      <c r="P433" s="149"/>
      <c r="Q433" s="184"/>
      <c r="R433" s="161"/>
      <c r="S433" s="268"/>
      <c r="T433" s="268"/>
      <c r="U433" s="64"/>
    </row>
    <row r="434" spans="1:21" s="27" customFormat="1" ht="57">
      <c r="A434" s="3" t="s">
        <v>58</v>
      </c>
      <c r="B434" s="4" t="s">
        <v>543</v>
      </c>
      <c r="C434" s="5" t="s">
        <v>228</v>
      </c>
      <c r="D434" s="6">
        <v>8</v>
      </c>
      <c r="E434" s="6">
        <v>8</v>
      </c>
      <c r="F434" s="6">
        <f t="shared" si="60"/>
        <v>0</v>
      </c>
      <c r="G434" s="6">
        <v>3000</v>
      </c>
      <c r="H434" s="6"/>
      <c r="I434" s="6"/>
      <c r="J434" s="6">
        <f t="shared" si="56"/>
        <v>24000</v>
      </c>
      <c r="K434" s="6">
        <f t="shared" si="58"/>
        <v>24000</v>
      </c>
      <c r="L434" s="122">
        <f t="shared" si="59"/>
        <v>0</v>
      </c>
      <c r="M434" s="127"/>
      <c r="N434" s="7" t="s">
        <v>1</v>
      </c>
      <c r="O434" s="148" t="s">
        <v>24</v>
      </c>
      <c r="P434" s="149"/>
      <c r="Q434" s="184"/>
      <c r="R434" s="161"/>
      <c r="S434" s="268"/>
      <c r="T434" s="268"/>
      <c r="U434" s="64"/>
    </row>
    <row r="435" spans="1:21" s="27" customFormat="1" ht="33">
      <c r="A435" s="3" t="s">
        <v>60</v>
      </c>
      <c r="B435" s="4" t="s">
        <v>544</v>
      </c>
      <c r="C435" s="5" t="s">
        <v>65</v>
      </c>
      <c r="D435" s="6">
        <v>75</v>
      </c>
      <c r="E435" s="6">
        <v>75</v>
      </c>
      <c r="F435" s="6">
        <f t="shared" si="60"/>
        <v>0</v>
      </c>
      <c r="G435" s="6">
        <v>12000</v>
      </c>
      <c r="H435" s="6"/>
      <c r="I435" s="6"/>
      <c r="J435" s="6">
        <f t="shared" si="56"/>
        <v>900000</v>
      </c>
      <c r="K435" s="6">
        <f t="shared" si="58"/>
        <v>900000</v>
      </c>
      <c r="L435" s="122">
        <f t="shared" si="59"/>
        <v>0</v>
      </c>
      <c r="M435" s="127"/>
      <c r="N435" s="7" t="s">
        <v>1</v>
      </c>
      <c r="O435" s="148" t="s">
        <v>24</v>
      </c>
      <c r="P435" s="149"/>
      <c r="Q435" s="184"/>
      <c r="R435" s="161"/>
      <c r="S435" s="268"/>
      <c r="T435" s="268"/>
      <c r="U435" s="64"/>
    </row>
    <row r="436" spans="1:21" s="27" customFormat="1" ht="33">
      <c r="A436" s="3" t="s">
        <v>63</v>
      </c>
      <c r="B436" s="4" t="s">
        <v>545</v>
      </c>
      <c r="C436" s="5" t="s">
        <v>517</v>
      </c>
      <c r="D436" s="6">
        <v>75</v>
      </c>
      <c r="E436" s="6">
        <v>75</v>
      </c>
      <c r="F436" s="6">
        <f t="shared" si="60"/>
        <v>0</v>
      </c>
      <c r="G436" s="6">
        <v>1500</v>
      </c>
      <c r="H436" s="6"/>
      <c r="I436" s="6"/>
      <c r="J436" s="6">
        <f t="shared" si="56"/>
        <v>112500</v>
      </c>
      <c r="K436" s="6">
        <f t="shared" si="58"/>
        <v>112500</v>
      </c>
      <c r="L436" s="122">
        <f t="shared" si="59"/>
        <v>0</v>
      </c>
      <c r="M436" s="127"/>
      <c r="N436" s="7" t="s">
        <v>1</v>
      </c>
      <c r="O436" s="148" t="s">
        <v>24</v>
      </c>
      <c r="P436" s="149"/>
      <c r="Q436" s="184"/>
      <c r="R436" s="161"/>
      <c r="S436" s="268"/>
      <c r="T436" s="268"/>
      <c r="U436" s="64"/>
    </row>
    <row r="437" spans="1:21" s="27" customFormat="1" ht="57">
      <c r="A437" s="3" t="s">
        <v>67</v>
      </c>
      <c r="B437" s="4" t="s">
        <v>546</v>
      </c>
      <c r="C437" s="5" t="s">
        <v>228</v>
      </c>
      <c r="D437" s="6">
        <v>1</v>
      </c>
      <c r="E437" s="6">
        <v>1</v>
      </c>
      <c r="F437" s="6">
        <f t="shared" si="60"/>
        <v>0</v>
      </c>
      <c r="G437" s="6">
        <v>12000</v>
      </c>
      <c r="H437" s="6"/>
      <c r="I437" s="6"/>
      <c r="J437" s="6">
        <f t="shared" si="56"/>
        <v>12000</v>
      </c>
      <c r="K437" s="6">
        <f t="shared" si="58"/>
        <v>12000</v>
      </c>
      <c r="L437" s="122">
        <f t="shared" si="59"/>
        <v>0</v>
      </c>
      <c r="M437" s="127"/>
      <c r="N437" s="7" t="s">
        <v>62</v>
      </c>
      <c r="O437" s="148" t="s">
        <v>24</v>
      </c>
      <c r="P437" s="149"/>
      <c r="Q437" s="184"/>
      <c r="R437" s="161"/>
      <c r="S437" s="268"/>
      <c r="T437" s="268"/>
      <c r="U437" s="64"/>
    </row>
    <row r="438" spans="1:21" s="27" customFormat="1" ht="42.75">
      <c r="A438" s="3" t="s">
        <v>69</v>
      </c>
      <c r="B438" s="4" t="s">
        <v>547</v>
      </c>
      <c r="C438" s="5" t="s">
        <v>228</v>
      </c>
      <c r="D438" s="6">
        <v>1</v>
      </c>
      <c r="E438" s="6">
        <v>1</v>
      </c>
      <c r="F438" s="6">
        <f t="shared" si="60"/>
        <v>0</v>
      </c>
      <c r="G438" s="6">
        <v>2000</v>
      </c>
      <c r="H438" s="6"/>
      <c r="I438" s="6"/>
      <c r="J438" s="6">
        <f t="shared" si="56"/>
        <v>2000</v>
      </c>
      <c r="K438" s="6">
        <f t="shared" si="58"/>
        <v>2000</v>
      </c>
      <c r="L438" s="122">
        <f t="shared" si="59"/>
        <v>0</v>
      </c>
      <c r="M438" s="127"/>
      <c r="N438" s="7" t="s">
        <v>1</v>
      </c>
      <c r="O438" s="148" t="s">
        <v>24</v>
      </c>
      <c r="P438" s="149"/>
      <c r="Q438" s="184"/>
      <c r="R438" s="161"/>
      <c r="S438" s="268"/>
      <c r="T438" s="268"/>
      <c r="U438" s="64"/>
    </row>
    <row r="439" spans="1:21" s="27" customFormat="1" ht="57">
      <c r="A439" s="3" t="s">
        <v>73</v>
      </c>
      <c r="B439" s="4" t="s">
        <v>548</v>
      </c>
      <c r="C439" s="5" t="s">
        <v>228</v>
      </c>
      <c r="D439" s="6">
        <v>14</v>
      </c>
      <c r="E439" s="6">
        <v>14</v>
      </c>
      <c r="F439" s="6">
        <f t="shared" si="60"/>
        <v>0</v>
      </c>
      <c r="G439" s="6">
        <v>3000</v>
      </c>
      <c r="H439" s="6"/>
      <c r="I439" s="6"/>
      <c r="J439" s="6">
        <f t="shared" si="56"/>
        <v>42000</v>
      </c>
      <c r="K439" s="6">
        <f t="shared" si="58"/>
        <v>42000</v>
      </c>
      <c r="L439" s="122">
        <f t="shared" si="59"/>
        <v>0</v>
      </c>
      <c r="M439" s="127"/>
      <c r="N439" s="7" t="s">
        <v>62</v>
      </c>
      <c r="O439" s="148" t="s">
        <v>24</v>
      </c>
      <c r="P439" s="149"/>
      <c r="Q439" s="184"/>
      <c r="R439" s="161"/>
      <c r="S439" s="268"/>
      <c r="T439" s="268"/>
      <c r="U439" s="64"/>
    </row>
    <row r="440" spans="1:21" s="27" customFormat="1" ht="42.75">
      <c r="A440" s="3" t="s">
        <v>76</v>
      </c>
      <c r="B440" s="4" t="s">
        <v>549</v>
      </c>
      <c r="C440" s="5" t="s">
        <v>228</v>
      </c>
      <c r="D440" s="6">
        <v>3</v>
      </c>
      <c r="E440" s="6">
        <v>3</v>
      </c>
      <c r="F440" s="6">
        <f t="shared" si="60"/>
        <v>0</v>
      </c>
      <c r="G440" s="6">
        <v>1400</v>
      </c>
      <c r="H440" s="6"/>
      <c r="I440" s="6"/>
      <c r="J440" s="6">
        <f t="shared" si="56"/>
        <v>4200</v>
      </c>
      <c r="K440" s="6">
        <f t="shared" si="58"/>
        <v>4200</v>
      </c>
      <c r="L440" s="122">
        <f t="shared" si="59"/>
        <v>0</v>
      </c>
      <c r="M440" s="127"/>
      <c r="N440" s="7" t="s">
        <v>62</v>
      </c>
      <c r="O440" s="148" t="s">
        <v>24</v>
      </c>
      <c r="P440" s="149"/>
      <c r="Q440" s="184"/>
      <c r="R440" s="161"/>
      <c r="S440" s="268"/>
      <c r="T440" s="268"/>
      <c r="U440" s="64"/>
    </row>
    <row r="441" spans="1:21" s="27" customFormat="1" ht="57">
      <c r="A441" s="3" t="s">
        <v>79</v>
      </c>
      <c r="B441" s="4" t="s">
        <v>550</v>
      </c>
      <c r="C441" s="5" t="s">
        <v>65</v>
      </c>
      <c r="D441" s="6">
        <v>5</v>
      </c>
      <c r="E441" s="6">
        <v>5</v>
      </c>
      <c r="F441" s="6">
        <f t="shared" si="60"/>
        <v>0</v>
      </c>
      <c r="G441" s="6">
        <v>18000</v>
      </c>
      <c r="H441" s="6"/>
      <c r="I441" s="6"/>
      <c r="J441" s="6">
        <f t="shared" si="56"/>
        <v>90000</v>
      </c>
      <c r="K441" s="6">
        <f t="shared" si="58"/>
        <v>90000</v>
      </c>
      <c r="L441" s="122">
        <f t="shared" si="59"/>
        <v>0</v>
      </c>
      <c r="M441" s="127"/>
      <c r="N441" s="7" t="s">
        <v>1</v>
      </c>
      <c r="O441" s="148" t="s">
        <v>24</v>
      </c>
      <c r="P441" s="149"/>
      <c r="Q441" s="184"/>
      <c r="R441" s="161"/>
      <c r="S441" s="268"/>
      <c r="T441" s="268"/>
      <c r="U441" s="64"/>
    </row>
    <row r="442" spans="1:21" s="27" customFormat="1" ht="42.75">
      <c r="A442" s="3" t="s">
        <v>81</v>
      </c>
      <c r="B442" s="4" t="s">
        <v>551</v>
      </c>
      <c r="C442" s="5" t="s">
        <v>65</v>
      </c>
      <c r="D442" s="6">
        <v>1</v>
      </c>
      <c r="E442" s="6">
        <v>1</v>
      </c>
      <c r="F442" s="6">
        <f t="shared" si="60"/>
        <v>0</v>
      </c>
      <c r="G442" s="6">
        <v>9000</v>
      </c>
      <c r="H442" s="6"/>
      <c r="I442" s="6"/>
      <c r="J442" s="6">
        <f t="shared" si="56"/>
        <v>9000</v>
      </c>
      <c r="K442" s="6">
        <f t="shared" si="58"/>
        <v>9000</v>
      </c>
      <c r="L442" s="122">
        <f t="shared" si="59"/>
        <v>0</v>
      </c>
      <c r="M442" s="127"/>
      <c r="N442" s="7" t="s">
        <v>1</v>
      </c>
      <c r="O442" s="148" t="s">
        <v>24</v>
      </c>
      <c r="P442" s="149"/>
      <c r="Q442" s="184"/>
      <c r="R442" s="161"/>
      <c r="S442" s="268"/>
      <c r="T442" s="268"/>
      <c r="U442" s="64"/>
    </row>
    <row r="443" spans="1:21" s="27" customFormat="1" ht="42.75">
      <c r="A443" s="3" t="s">
        <v>83</v>
      </c>
      <c r="B443" s="4" t="s">
        <v>552</v>
      </c>
      <c r="C443" s="5" t="s">
        <v>228</v>
      </c>
      <c r="D443" s="6">
        <v>3</v>
      </c>
      <c r="E443" s="6">
        <v>3</v>
      </c>
      <c r="F443" s="6">
        <f t="shared" si="60"/>
        <v>0</v>
      </c>
      <c r="G443" s="6">
        <v>6000</v>
      </c>
      <c r="H443" s="6"/>
      <c r="I443" s="6"/>
      <c r="J443" s="6">
        <f t="shared" si="56"/>
        <v>18000</v>
      </c>
      <c r="K443" s="6">
        <f t="shared" si="58"/>
        <v>18000</v>
      </c>
      <c r="L443" s="122">
        <f t="shared" si="59"/>
        <v>0</v>
      </c>
      <c r="M443" s="127"/>
      <c r="N443" s="7" t="s">
        <v>1</v>
      </c>
      <c r="O443" s="148" t="s">
        <v>24</v>
      </c>
      <c r="P443" s="149"/>
      <c r="Q443" s="184"/>
      <c r="R443" s="161"/>
      <c r="S443" s="268"/>
      <c r="T443" s="268"/>
      <c r="U443" s="64"/>
    </row>
    <row r="444" spans="1:21" ht="42.75">
      <c r="A444" s="3" t="s">
        <v>85</v>
      </c>
      <c r="B444" s="4" t="s">
        <v>553</v>
      </c>
      <c r="C444" s="5" t="s">
        <v>65</v>
      </c>
      <c r="D444" s="6">
        <v>1</v>
      </c>
      <c r="E444" s="6">
        <v>1</v>
      </c>
      <c r="F444" s="6">
        <f t="shared" si="60"/>
        <v>0</v>
      </c>
      <c r="G444" s="6">
        <v>2500</v>
      </c>
      <c r="H444" s="6"/>
      <c r="I444" s="6"/>
      <c r="J444" s="6">
        <f t="shared" si="56"/>
        <v>2500</v>
      </c>
      <c r="K444" s="6">
        <f t="shared" si="58"/>
        <v>2500</v>
      </c>
      <c r="L444" s="122">
        <f t="shared" si="59"/>
        <v>0</v>
      </c>
      <c r="M444" s="127"/>
      <c r="N444" s="7" t="s">
        <v>1</v>
      </c>
      <c r="O444" s="148" t="s">
        <v>24</v>
      </c>
      <c r="P444" s="149"/>
      <c r="Q444" s="184"/>
      <c r="R444" s="161"/>
      <c r="S444" s="268"/>
      <c r="T444" s="268"/>
    </row>
    <row r="445" spans="1:21" ht="42.75">
      <c r="A445" s="3" t="s">
        <v>88</v>
      </c>
      <c r="B445" s="4" t="s">
        <v>554</v>
      </c>
      <c r="C445" s="5" t="s">
        <v>65</v>
      </c>
      <c r="D445" s="6">
        <v>1</v>
      </c>
      <c r="E445" s="6">
        <v>1</v>
      </c>
      <c r="F445" s="6">
        <f t="shared" si="60"/>
        <v>0</v>
      </c>
      <c r="G445" s="6">
        <v>2500</v>
      </c>
      <c r="H445" s="6"/>
      <c r="I445" s="6"/>
      <c r="J445" s="6">
        <f t="shared" si="56"/>
        <v>2500</v>
      </c>
      <c r="K445" s="6">
        <f t="shared" si="58"/>
        <v>2500</v>
      </c>
      <c r="L445" s="122">
        <f t="shared" si="59"/>
        <v>0</v>
      </c>
      <c r="M445" s="127"/>
      <c r="N445" s="7" t="s">
        <v>1</v>
      </c>
      <c r="O445" s="148" t="s">
        <v>24</v>
      </c>
      <c r="P445" s="149"/>
      <c r="Q445" s="184"/>
      <c r="R445" s="161"/>
      <c r="S445" s="268"/>
      <c r="T445" s="268"/>
    </row>
    <row r="446" spans="1:21" ht="42.75">
      <c r="A446" s="3" t="s">
        <v>92</v>
      </c>
      <c r="B446" s="4" t="s">
        <v>555</v>
      </c>
      <c r="C446" s="5" t="s">
        <v>228</v>
      </c>
      <c r="D446" s="6">
        <v>4</v>
      </c>
      <c r="E446" s="6">
        <v>4</v>
      </c>
      <c r="F446" s="6">
        <f t="shared" si="60"/>
        <v>0</v>
      </c>
      <c r="G446" s="6">
        <v>3000</v>
      </c>
      <c r="H446" s="6"/>
      <c r="I446" s="6"/>
      <c r="J446" s="6">
        <f t="shared" si="56"/>
        <v>12000</v>
      </c>
      <c r="K446" s="6">
        <f t="shared" si="58"/>
        <v>12000</v>
      </c>
      <c r="L446" s="122">
        <f t="shared" si="59"/>
        <v>0</v>
      </c>
      <c r="M446" s="127"/>
      <c r="N446" s="7" t="s">
        <v>1</v>
      </c>
      <c r="O446" s="148" t="s">
        <v>24</v>
      </c>
      <c r="P446" s="149"/>
      <c r="Q446" s="184"/>
      <c r="R446" s="161"/>
      <c r="S446" s="268"/>
      <c r="T446" s="268"/>
    </row>
    <row r="447" spans="1:21" ht="57">
      <c r="A447" s="3" t="s">
        <v>128</v>
      </c>
      <c r="B447" s="4" t="s">
        <v>556</v>
      </c>
      <c r="C447" s="5" t="s">
        <v>228</v>
      </c>
      <c r="D447" s="6">
        <v>2</v>
      </c>
      <c r="E447" s="6">
        <v>2</v>
      </c>
      <c r="F447" s="6">
        <f t="shared" si="60"/>
        <v>0</v>
      </c>
      <c r="G447" s="6">
        <v>20000</v>
      </c>
      <c r="H447" s="6"/>
      <c r="I447" s="6"/>
      <c r="J447" s="6">
        <f t="shared" si="56"/>
        <v>40000</v>
      </c>
      <c r="K447" s="6">
        <f t="shared" si="58"/>
        <v>40000</v>
      </c>
      <c r="L447" s="122">
        <f t="shared" si="59"/>
        <v>0</v>
      </c>
      <c r="M447" s="127"/>
      <c r="N447" s="7" t="s">
        <v>62</v>
      </c>
      <c r="O447" s="148" t="s">
        <v>24</v>
      </c>
      <c r="P447" s="149"/>
      <c r="Q447" s="184"/>
      <c r="R447" s="161"/>
      <c r="S447" s="268"/>
      <c r="T447" s="268"/>
    </row>
    <row r="448" spans="1:21" ht="42.75">
      <c r="A448" s="3" t="s">
        <v>130</v>
      </c>
      <c r="B448" s="4" t="s">
        <v>557</v>
      </c>
      <c r="C448" s="5" t="s">
        <v>65</v>
      </c>
      <c r="D448" s="6">
        <v>1</v>
      </c>
      <c r="E448" s="6">
        <v>1</v>
      </c>
      <c r="F448" s="6">
        <f t="shared" si="60"/>
        <v>0</v>
      </c>
      <c r="G448" s="6">
        <v>15000</v>
      </c>
      <c r="H448" s="6"/>
      <c r="I448" s="6"/>
      <c r="J448" s="6">
        <f t="shared" si="56"/>
        <v>15000</v>
      </c>
      <c r="K448" s="6">
        <f t="shared" si="58"/>
        <v>15000</v>
      </c>
      <c r="L448" s="122">
        <f t="shared" si="59"/>
        <v>0</v>
      </c>
      <c r="M448" s="127"/>
      <c r="N448" s="7" t="s">
        <v>1</v>
      </c>
      <c r="O448" s="148" t="s">
        <v>24</v>
      </c>
      <c r="P448" s="149"/>
      <c r="Q448" s="184"/>
      <c r="R448" s="161"/>
      <c r="S448" s="268"/>
      <c r="T448" s="268"/>
    </row>
    <row r="449" spans="1:22" ht="42.75">
      <c r="A449" s="3" t="s">
        <v>132</v>
      </c>
      <c r="B449" s="4" t="s">
        <v>558</v>
      </c>
      <c r="C449" s="5" t="s">
        <v>559</v>
      </c>
      <c r="D449" s="6">
        <v>3</v>
      </c>
      <c r="E449" s="6">
        <v>3</v>
      </c>
      <c r="F449" s="6">
        <f t="shared" si="60"/>
        <v>0</v>
      </c>
      <c r="G449" s="6">
        <v>1300</v>
      </c>
      <c r="H449" s="6"/>
      <c r="I449" s="6"/>
      <c r="J449" s="6">
        <f t="shared" si="56"/>
        <v>3900</v>
      </c>
      <c r="K449" s="6">
        <f t="shared" si="58"/>
        <v>3900</v>
      </c>
      <c r="L449" s="122">
        <f t="shared" si="59"/>
        <v>0</v>
      </c>
      <c r="M449" s="127"/>
      <c r="N449" s="7" t="s">
        <v>1</v>
      </c>
      <c r="O449" s="148" t="s">
        <v>24</v>
      </c>
      <c r="P449" s="149"/>
      <c r="Q449" s="184"/>
      <c r="R449" s="161"/>
      <c r="S449" s="268"/>
      <c r="T449" s="268"/>
    </row>
    <row r="450" spans="1:22" ht="33">
      <c r="A450" s="3" t="s">
        <v>134</v>
      </c>
      <c r="B450" s="4" t="s">
        <v>560</v>
      </c>
      <c r="C450" s="5" t="s">
        <v>559</v>
      </c>
      <c r="D450" s="6">
        <v>6</v>
      </c>
      <c r="E450" s="6">
        <v>6</v>
      </c>
      <c r="F450" s="6">
        <f t="shared" si="60"/>
        <v>0</v>
      </c>
      <c r="G450" s="6">
        <v>1000</v>
      </c>
      <c r="H450" s="6"/>
      <c r="I450" s="6"/>
      <c r="J450" s="6">
        <f t="shared" si="56"/>
        <v>6000</v>
      </c>
      <c r="K450" s="6">
        <f t="shared" si="58"/>
        <v>6000</v>
      </c>
      <c r="L450" s="122">
        <f t="shared" si="59"/>
        <v>0</v>
      </c>
      <c r="M450" s="127"/>
      <c r="N450" s="7" t="s">
        <v>1</v>
      </c>
      <c r="O450" s="148" t="s">
        <v>24</v>
      </c>
      <c r="P450" s="149"/>
      <c r="Q450" s="184"/>
      <c r="R450" s="161"/>
      <c r="S450" s="268"/>
      <c r="T450" s="268"/>
    </row>
    <row r="451" spans="1:22" ht="33">
      <c r="A451" s="3" t="s">
        <v>136</v>
      </c>
      <c r="B451" s="4" t="s">
        <v>561</v>
      </c>
      <c r="C451" s="5" t="s">
        <v>228</v>
      </c>
      <c r="D451" s="6">
        <v>2</v>
      </c>
      <c r="E451" s="6">
        <v>2</v>
      </c>
      <c r="F451" s="6">
        <f t="shared" si="60"/>
        <v>0</v>
      </c>
      <c r="G451" s="6">
        <v>9000</v>
      </c>
      <c r="H451" s="6"/>
      <c r="I451" s="6"/>
      <c r="J451" s="6">
        <f t="shared" si="56"/>
        <v>18000</v>
      </c>
      <c r="K451" s="6">
        <f t="shared" si="58"/>
        <v>18000</v>
      </c>
      <c r="L451" s="122">
        <f t="shared" si="59"/>
        <v>0</v>
      </c>
      <c r="M451" s="127"/>
      <c r="N451" s="7" t="s">
        <v>62</v>
      </c>
      <c r="O451" s="148" t="s">
        <v>24</v>
      </c>
      <c r="P451" s="149"/>
      <c r="Q451" s="184"/>
      <c r="R451" s="161"/>
      <c r="S451" s="268"/>
      <c r="T451" s="268"/>
    </row>
    <row r="452" spans="1:22" ht="42.75">
      <c r="A452" s="3" t="s">
        <v>138</v>
      </c>
      <c r="B452" s="4" t="s">
        <v>562</v>
      </c>
      <c r="C452" s="5" t="s">
        <v>228</v>
      </c>
      <c r="D452" s="6">
        <v>3</v>
      </c>
      <c r="E452" s="6">
        <v>3</v>
      </c>
      <c r="F452" s="6">
        <f t="shared" si="60"/>
        <v>0</v>
      </c>
      <c r="G452" s="6">
        <v>4200</v>
      </c>
      <c r="H452" s="6"/>
      <c r="I452" s="6"/>
      <c r="J452" s="6">
        <f t="shared" si="56"/>
        <v>12600</v>
      </c>
      <c r="K452" s="6">
        <f t="shared" si="58"/>
        <v>12600</v>
      </c>
      <c r="L452" s="122">
        <f t="shared" si="59"/>
        <v>0</v>
      </c>
      <c r="M452" s="127"/>
      <c r="N452" s="7" t="s">
        <v>1</v>
      </c>
      <c r="O452" s="148" t="s">
        <v>24</v>
      </c>
      <c r="P452" s="149"/>
      <c r="Q452" s="184"/>
      <c r="R452" s="161"/>
      <c r="S452" s="268"/>
      <c r="T452" s="268"/>
    </row>
    <row r="453" spans="1:22" ht="42.75">
      <c r="A453" s="3" t="s">
        <v>140</v>
      </c>
      <c r="B453" s="4" t="s">
        <v>563</v>
      </c>
      <c r="C453" s="5" t="s">
        <v>65</v>
      </c>
      <c r="D453" s="6">
        <v>4</v>
      </c>
      <c r="E453" s="6">
        <v>4</v>
      </c>
      <c r="F453" s="6">
        <f t="shared" si="60"/>
        <v>0</v>
      </c>
      <c r="G453" s="6">
        <v>1000</v>
      </c>
      <c r="H453" s="6"/>
      <c r="I453" s="6"/>
      <c r="J453" s="6">
        <f t="shared" si="56"/>
        <v>4000</v>
      </c>
      <c r="K453" s="6">
        <f t="shared" si="58"/>
        <v>4000</v>
      </c>
      <c r="L453" s="122">
        <f t="shared" si="59"/>
        <v>0</v>
      </c>
      <c r="M453" s="127"/>
      <c r="N453" s="7" t="s">
        <v>1</v>
      </c>
      <c r="O453" s="148" t="s">
        <v>24</v>
      </c>
      <c r="P453" s="149"/>
      <c r="Q453" s="184"/>
      <c r="R453" s="161"/>
      <c r="S453" s="268"/>
      <c r="T453" s="268"/>
    </row>
    <row r="454" spans="1:22" ht="42.75">
      <c r="A454" s="3" t="s">
        <v>142</v>
      </c>
      <c r="B454" s="4" t="s">
        <v>564</v>
      </c>
      <c r="C454" s="5" t="s">
        <v>228</v>
      </c>
      <c r="D454" s="6">
        <v>15</v>
      </c>
      <c r="E454" s="6">
        <v>15</v>
      </c>
      <c r="F454" s="6">
        <f t="shared" si="60"/>
        <v>0</v>
      </c>
      <c r="G454" s="6">
        <v>4500</v>
      </c>
      <c r="H454" s="6"/>
      <c r="I454" s="6"/>
      <c r="J454" s="6">
        <f t="shared" si="56"/>
        <v>67500</v>
      </c>
      <c r="K454" s="6">
        <f t="shared" si="58"/>
        <v>67500</v>
      </c>
      <c r="L454" s="122">
        <f t="shared" si="59"/>
        <v>0</v>
      </c>
      <c r="M454" s="127"/>
      <c r="N454" s="7" t="s">
        <v>1</v>
      </c>
      <c r="O454" s="148" t="s">
        <v>24</v>
      </c>
      <c r="P454" s="149"/>
      <c r="Q454" s="184"/>
      <c r="R454" s="161"/>
      <c r="S454" s="268"/>
      <c r="T454" s="268"/>
    </row>
    <row r="455" spans="1:22" ht="33">
      <c r="A455" s="3" t="s">
        <v>144</v>
      </c>
      <c r="B455" s="4" t="s">
        <v>565</v>
      </c>
      <c r="C455" s="5" t="s">
        <v>228</v>
      </c>
      <c r="D455" s="6">
        <v>2</v>
      </c>
      <c r="E455" s="6">
        <v>2</v>
      </c>
      <c r="F455" s="6">
        <f t="shared" si="60"/>
        <v>0</v>
      </c>
      <c r="G455" s="6">
        <v>636300</v>
      </c>
      <c r="H455" s="6"/>
      <c r="I455" s="6"/>
      <c r="J455" s="6">
        <f t="shared" si="56"/>
        <v>1272600</v>
      </c>
      <c r="K455" s="6">
        <f t="shared" si="58"/>
        <v>1272600</v>
      </c>
      <c r="L455" s="122">
        <f t="shared" si="59"/>
        <v>0</v>
      </c>
      <c r="M455" s="127"/>
      <c r="N455" s="7" t="s">
        <v>1</v>
      </c>
      <c r="O455" s="148" t="s">
        <v>24</v>
      </c>
      <c r="P455" s="149"/>
      <c r="Q455" s="184"/>
      <c r="R455" s="161"/>
      <c r="S455" s="268"/>
      <c r="T455" s="268"/>
    </row>
    <row r="456" spans="1:22" ht="42.75">
      <c r="A456" s="3" t="s">
        <v>146</v>
      </c>
      <c r="B456" s="4" t="s">
        <v>566</v>
      </c>
      <c r="C456" s="5" t="s">
        <v>567</v>
      </c>
      <c r="D456" s="6">
        <v>4</v>
      </c>
      <c r="E456" s="6">
        <v>4</v>
      </c>
      <c r="F456" s="6">
        <f t="shared" si="60"/>
        <v>0</v>
      </c>
      <c r="G456" s="6">
        <v>2000</v>
      </c>
      <c r="H456" s="6"/>
      <c r="I456" s="6"/>
      <c r="J456" s="6">
        <f t="shared" si="56"/>
        <v>8000</v>
      </c>
      <c r="K456" s="6">
        <f t="shared" si="58"/>
        <v>8000</v>
      </c>
      <c r="L456" s="122">
        <f t="shared" si="59"/>
        <v>0</v>
      </c>
      <c r="M456" s="127"/>
      <c r="N456" s="7" t="s">
        <v>62</v>
      </c>
      <c r="O456" s="148" t="s">
        <v>24</v>
      </c>
      <c r="P456" s="149"/>
      <c r="Q456" s="184"/>
      <c r="R456" s="161"/>
      <c r="S456" s="268"/>
      <c r="T456" s="268"/>
    </row>
    <row r="457" spans="1:22" ht="33">
      <c r="A457" s="3" t="s">
        <v>148</v>
      </c>
      <c r="B457" s="4" t="s">
        <v>568</v>
      </c>
      <c r="C457" s="5" t="s">
        <v>228</v>
      </c>
      <c r="D457" s="6">
        <v>1</v>
      </c>
      <c r="E457" s="6">
        <v>1</v>
      </c>
      <c r="F457" s="6">
        <f t="shared" si="60"/>
        <v>0</v>
      </c>
      <c r="G457" s="6">
        <v>119161.05</v>
      </c>
      <c r="H457" s="6"/>
      <c r="I457" s="6"/>
      <c r="J457" s="6">
        <f t="shared" si="56"/>
        <v>119161.05</v>
      </c>
      <c r="K457" s="6">
        <f t="shared" si="58"/>
        <v>119161.05</v>
      </c>
      <c r="L457" s="122">
        <f t="shared" si="59"/>
        <v>0</v>
      </c>
      <c r="M457" s="127"/>
      <c r="N457" s="7" t="s">
        <v>1</v>
      </c>
      <c r="O457" s="148" t="s">
        <v>24</v>
      </c>
      <c r="P457" s="149"/>
      <c r="Q457" s="184"/>
      <c r="R457" s="161"/>
      <c r="S457" s="268"/>
      <c r="T457" s="268"/>
    </row>
    <row r="458" spans="1:22" s="47" customFormat="1" ht="33.75">
      <c r="A458" s="58">
        <v>36</v>
      </c>
      <c r="B458" s="59" t="s">
        <v>685</v>
      </c>
      <c r="C458" s="60" t="s">
        <v>677</v>
      </c>
      <c r="D458" s="61">
        <v>1</v>
      </c>
      <c r="E458" s="61">
        <v>1</v>
      </c>
      <c r="F458" s="61">
        <f t="shared" si="60"/>
        <v>0</v>
      </c>
      <c r="G458" s="61">
        <v>74988.5</v>
      </c>
      <c r="H458" s="61"/>
      <c r="I458" s="61"/>
      <c r="J458" s="61">
        <f t="shared" si="56"/>
        <v>74988.5</v>
      </c>
      <c r="K458" s="61">
        <f t="shared" si="58"/>
        <v>74988.5</v>
      </c>
      <c r="L458" s="122">
        <f t="shared" si="59"/>
        <v>0</v>
      </c>
      <c r="M458" s="129"/>
      <c r="N458" s="95" t="s">
        <v>686</v>
      </c>
      <c r="O458" s="170" t="s">
        <v>24</v>
      </c>
      <c r="P458" s="157"/>
      <c r="Q458" s="181"/>
      <c r="R458" s="161"/>
      <c r="S458" s="268"/>
      <c r="T458" s="268"/>
      <c r="U458" s="64"/>
      <c r="V458" s="85" t="s">
        <v>768</v>
      </c>
    </row>
    <row r="459" spans="1:22" s="47" customFormat="1" ht="57">
      <c r="A459" s="58">
        <v>37</v>
      </c>
      <c r="B459" s="59" t="s">
        <v>832</v>
      </c>
      <c r="C459" s="60" t="s">
        <v>228</v>
      </c>
      <c r="D459" s="61">
        <v>2</v>
      </c>
      <c r="E459" s="61">
        <v>2</v>
      </c>
      <c r="F459" s="61">
        <f t="shared" si="60"/>
        <v>0</v>
      </c>
      <c r="G459" s="61">
        <v>83493.929999999993</v>
      </c>
      <c r="H459" s="61">
        <v>83500</v>
      </c>
      <c r="I459" s="61"/>
      <c r="J459" s="61">
        <f t="shared" si="56"/>
        <v>166987.85999999999</v>
      </c>
      <c r="K459" s="61">
        <f t="shared" si="58"/>
        <v>166987.85999999999</v>
      </c>
      <c r="L459" s="122">
        <f t="shared" si="59"/>
        <v>0</v>
      </c>
      <c r="M459" s="135"/>
      <c r="N459" s="95"/>
      <c r="O459" s="185"/>
      <c r="P459" s="171"/>
      <c r="Q459" s="171"/>
      <c r="R459" s="161"/>
      <c r="S459" s="268"/>
      <c r="T459" s="268"/>
    </row>
    <row r="460" spans="1:22" s="47" customFormat="1" ht="42.75">
      <c r="A460" s="58">
        <v>38</v>
      </c>
      <c r="B460" s="59" t="s">
        <v>833</v>
      </c>
      <c r="C460" s="60" t="s">
        <v>228</v>
      </c>
      <c r="D460" s="61">
        <v>2</v>
      </c>
      <c r="E460" s="61">
        <v>2</v>
      </c>
      <c r="F460" s="61">
        <f t="shared" si="60"/>
        <v>0</v>
      </c>
      <c r="G460" s="61">
        <v>76194.460000000006</v>
      </c>
      <c r="H460" s="61">
        <v>76200</v>
      </c>
      <c r="I460" s="61"/>
      <c r="J460" s="61">
        <f t="shared" si="56"/>
        <v>152388.92000000001</v>
      </c>
      <c r="K460" s="61">
        <f t="shared" si="58"/>
        <v>152388.92000000001</v>
      </c>
      <c r="L460" s="122">
        <f t="shared" si="59"/>
        <v>0</v>
      </c>
      <c r="M460" s="135"/>
      <c r="N460" s="95"/>
      <c r="O460" s="185"/>
      <c r="P460" s="171"/>
      <c r="Q460" s="171"/>
      <c r="R460" s="161"/>
      <c r="S460" s="268"/>
      <c r="T460" s="268"/>
    </row>
    <row r="461" spans="1:22" s="47" customFormat="1" ht="42.75">
      <c r="A461" s="58">
        <v>39</v>
      </c>
      <c r="B461" s="59" t="s">
        <v>834</v>
      </c>
      <c r="C461" s="60" t="s">
        <v>228</v>
      </c>
      <c r="D461" s="61">
        <v>2</v>
      </c>
      <c r="E461" s="61">
        <v>2</v>
      </c>
      <c r="F461" s="61">
        <f t="shared" si="60"/>
        <v>0</v>
      </c>
      <c r="G461" s="61">
        <v>17998.689999999999</v>
      </c>
      <c r="H461" s="61">
        <v>21600</v>
      </c>
      <c r="I461" s="61"/>
      <c r="J461" s="61">
        <f t="shared" si="56"/>
        <v>35997.379999999997</v>
      </c>
      <c r="K461" s="61">
        <f t="shared" si="58"/>
        <v>35997.379999999997</v>
      </c>
      <c r="L461" s="122">
        <f t="shared" si="59"/>
        <v>0</v>
      </c>
      <c r="M461" s="135"/>
      <c r="N461" s="95"/>
      <c r="O461" s="185"/>
      <c r="P461" s="171"/>
      <c r="Q461" s="171"/>
      <c r="R461" s="161"/>
      <c r="S461" s="268"/>
      <c r="T461" s="268"/>
    </row>
    <row r="462" spans="1:22" ht="26.1" customHeight="1">
      <c r="A462" s="200" t="s">
        <v>569</v>
      </c>
      <c r="B462" s="201" t="s">
        <v>570</v>
      </c>
      <c r="C462" s="202" t="s">
        <v>23</v>
      </c>
      <c r="D462" s="203">
        <v>1</v>
      </c>
      <c r="E462" s="203"/>
      <c r="F462" s="203"/>
      <c r="G462" s="203">
        <f>J462</f>
        <v>2798664.24</v>
      </c>
      <c r="H462" s="203"/>
      <c r="I462" s="203"/>
      <c r="J462" s="203">
        <f>SUM(J463:J465)</f>
        <v>2798664.24</v>
      </c>
      <c r="K462" s="203">
        <f>SUM(K463:K465)</f>
        <v>2798664.24</v>
      </c>
      <c r="L462" s="205">
        <f>SUM(L463:L465)</f>
        <v>0</v>
      </c>
      <c r="M462" s="207">
        <f>SUM(M463:M465)</f>
        <v>0</v>
      </c>
      <c r="N462" s="208" t="s">
        <v>1</v>
      </c>
      <c r="O462" s="151" t="s">
        <v>24</v>
      </c>
      <c r="P462" s="183"/>
      <c r="Q462" s="184"/>
      <c r="R462" s="161"/>
      <c r="S462" s="268"/>
      <c r="T462" s="268"/>
    </row>
    <row r="463" spans="1:22" s="27" customFormat="1" ht="33">
      <c r="A463" s="3" t="s">
        <v>29</v>
      </c>
      <c r="B463" s="4" t="s">
        <v>571</v>
      </c>
      <c r="C463" s="5" t="s">
        <v>572</v>
      </c>
      <c r="D463" s="6">
        <v>48</v>
      </c>
      <c r="E463" s="6">
        <v>48</v>
      </c>
      <c r="F463" s="6">
        <f t="shared" si="60"/>
        <v>0</v>
      </c>
      <c r="G463" s="6">
        <v>13068.13</v>
      </c>
      <c r="H463" s="6"/>
      <c r="I463" s="6"/>
      <c r="J463" s="6">
        <f t="shared" si="56"/>
        <v>627270.24</v>
      </c>
      <c r="K463" s="6">
        <f t="shared" si="58"/>
        <v>627270.24</v>
      </c>
      <c r="L463" s="122">
        <f>K463-J463</f>
        <v>0</v>
      </c>
      <c r="M463" s="127"/>
      <c r="N463" s="7" t="s">
        <v>1</v>
      </c>
      <c r="O463" s="148" t="s">
        <v>24</v>
      </c>
      <c r="P463" s="149"/>
      <c r="Q463" s="184"/>
      <c r="R463" s="161"/>
      <c r="S463" s="268"/>
      <c r="T463" s="268"/>
      <c r="U463" s="64"/>
    </row>
    <row r="464" spans="1:22" s="27" customFormat="1" ht="78.75">
      <c r="A464" s="255" t="s">
        <v>32</v>
      </c>
      <c r="B464" s="256" t="s">
        <v>573</v>
      </c>
      <c r="C464" s="257" t="s">
        <v>507</v>
      </c>
      <c r="D464" s="32">
        <v>6720</v>
      </c>
      <c r="E464" s="32">
        <v>6720</v>
      </c>
      <c r="F464" s="32">
        <f t="shared" si="60"/>
        <v>0</v>
      </c>
      <c r="G464" s="32">
        <v>54.57</v>
      </c>
      <c r="H464" s="32"/>
      <c r="I464" s="32"/>
      <c r="J464" s="32">
        <f t="shared" si="56"/>
        <v>366710.4</v>
      </c>
      <c r="K464" s="32">
        <f t="shared" si="58"/>
        <v>366710.4</v>
      </c>
      <c r="L464" s="258">
        <f>K464-J464</f>
        <v>0</v>
      </c>
      <c r="M464" s="259"/>
      <c r="N464" s="260" t="s">
        <v>574</v>
      </c>
      <c r="O464" s="261" t="s">
        <v>24</v>
      </c>
      <c r="P464" s="262" t="s">
        <v>898</v>
      </c>
      <c r="Q464" s="285" t="s">
        <v>887</v>
      </c>
      <c r="R464" s="263"/>
      <c r="S464" s="286" t="s">
        <v>899</v>
      </c>
      <c r="T464" s="287" t="s">
        <v>902</v>
      </c>
      <c r="U464" s="64"/>
    </row>
    <row r="465" spans="1:21" s="27" customFormat="1" ht="33">
      <c r="A465" s="3" t="s">
        <v>34</v>
      </c>
      <c r="B465" s="4" t="s">
        <v>575</v>
      </c>
      <c r="C465" s="5" t="s">
        <v>576</v>
      </c>
      <c r="D465" s="6">
        <v>1570</v>
      </c>
      <c r="E465" s="6">
        <v>1570</v>
      </c>
      <c r="F465" s="6">
        <f t="shared" si="60"/>
        <v>0</v>
      </c>
      <c r="G465" s="6">
        <v>1149.48</v>
      </c>
      <c r="H465" s="6"/>
      <c r="I465" s="6"/>
      <c r="J465" s="6">
        <f t="shared" si="56"/>
        <v>1804683.6</v>
      </c>
      <c r="K465" s="6">
        <f t="shared" si="58"/>
        <v>1804683.6</v>
      </c>
      <c r="L465" s="122">
        <f>K465-J465</f>
        <v>0</v>
      </c>
      <c r="M465" s="127"/>
      <c r="N465" s="7" t="s">
        <v>1</v>
      </c>
      <c r="O465" s="148" t="s">
        <v>24</v>
      </c>
      <c r="P465" s="149"/>
      <c r="Q465" s="184"/>
      <c r="R465" s="161"/>
      <c r="S465" s="268"/>
      <c r="T465" s="268"/>
      <c r="U465" s="64"/>
    </row>
    <row r="466" spans="1:21" s="27" customFormat="1" ht="26.1" customHeight="1">
      <c r="A466" s="200" t="s">
        <v>577</v>
      </c>
      <c r="B466" s="201" t="s">
        <v>578</v>
      </c>
      <c r="C466" s="202" t="s">
        <v>23</v>
      </c>
      <c r="D466" s="203">
        <v>1</v>
      </c>
      <c r="E466" s="203"/>
      <c r="F466" s="203"/>
      <c r="G466" s="203">
        <f>J466</f>
        <v>10451612.066299999</v>
      </c>
      <c r="H466" s="203"/>
      <c r="I466" s="203"/>
      <c r="J466" s="203">
        <f>SUM(J467:J485)</f>
        <v>10451612.066299999</v>
      </c>
      <c r="K466" s="203">
        <f>SUM(K467:K485)</f>
        <v>10451612.066299999</v>
      </c>
      <c r="L466" s="205">
        <f>SUM(L467:L485)</f>
        <v>0</v>
      </c>
      <c r="M466" s="207">
        <f>SUM(M467:M485)</f>
        <v>0</v>
      </c>
      <c r="N466" s="208" t="s">
        <v>1</v>
      </c>
      <c r="O466" s="151" t="s">
        <v>24</v>
      </c>
      <c r="P466" s="183"/>
      <c r="Q466" s="184"/>
      <c r="R466" s="161"/>
      <c r="S466" s="268"/>
      <c r="T466" s="268"/>
      <c r="U466" s="64"/>
    </row>
    <row r="467" spans="1:21" s="27" customFormat="1" ht="33">
      <c r="A467" s="3" t="s">
        <v>29</v>
      </c>
      <c r="B467" s="4" t="s">
        <v>579</v>
      </c>
      <c r="C467" s="5" t="s">
        <v>36</v>
      </c>
      <c r="D467" s="6">
        <v>1698.29</v>
      </c>
      <c r="E467" s="6">
        <v>1698.29</v>
      </c>
      <c r="F467" s="6">
        <f t="shared" si="60"/>
        <v>0</v>
      </c>
      <c r="G467" s="6">
        <v>3662.23</v>
      </c>
      <c r="H467" s="6"/>
      <c r="I467" s="6"/>
      <c r="J467" s="6">
        <f t="shared" si="56"/>
        <v>6219528.5866999999</v>
      </c>
      <c r="K467" s="6">
        <f t="shared" si="58"/>
        <v>6219528.5866999999</v>
      </c>
      <c r="L467" s="122">
        <f t="shared" ref="L467:L486" si="61">K467-J467</f>
        <v>0</v>
      </c>
      <c r="M467" s="127"/>
      <c r="N467" s="7" t="s">
        <v>580</v>
      </c>
      <c r="O467" s="148" t="s">
        <v>24</v>
      </c>
      <c r="P467" s="149"/>
      <c r="Q467" s="184"/>
      <c r="R467" s="161"/>
      <c r="S467" s="268"/>
      <c r="T467" s="268"/>
      <c r="U467" s="64"/>
    </row>
    <row r="468" spans="1:21" s="27" customFormat="1" ht="42.75">
      <c r="A468" s="3" t="s">
        <v>32</v>
      </c>
      <c r="B468" s="4" t="s">
        <v>581</v>
      </c>
      <c r="C468" s="5" t="s">
        <v>52</v>
      </c>
      <c r="D468" s="6">
        <v>2123.4</v>
      </c>
      <c r="E468" s="6">
        <v>2123.4</v>
      </c>
      <c r="F468" s="6">
        <f t="shared" si="60"/>
        <v>0</v>
      </c>
      <c r="G468" s="6">
        <v>353</v>
      </c>
      <c r="H468" s="6"/>
      <c r="I468" s="6"/>
      <c r="J468" s="6">
        <f t="shared" ref="J468:J486" si="62">D468*G468</f>
        <v>749560.20000000007</v>
      </c>
      <c r="K468" s="6">
        <f t="shared" si="58"/>
        <v>749560.20000000007</v>
      </c>
      <c r="L468" s="122">
        <f t="shared" si="61"/>
        <v>0</v>
      </c>
      <c r="M468" s="127"/>
      <c r="N468" s="7" t="s">
        <v>582</v>
      </c>
      <c r="O468" s="148" t="s">
        <v>24</v>
      </c>
      <c r="P468" s="149"/>
      <c r="Q468" s="184"/>
      <c r="R468" s="161"/>
      <c r="S468" s="268"/>
      <c r="T468" s="268"/>
      <c r="U468" s="64"/>
    </row>
    <row r="469" spans="1:21" s="27" customFormat="1" ht="33">
      <c r="A469" s="3" t="s">
        <v>34</v>
      </c>
      <c r="B469" s="4" t="s">
        <v>583</v>
      </c>
      <c r="C469" s="5" t="s">
        <v>123</v>
      </c>
      <c r="D469" s="6">
        <v>59</v>
      </c>
      <c r="E469" s="6">
        <v>59</v>
      </c>
      <c r="F469" s="6">
        <f t="shared" si="60"/>
        <v>0</v>
      </c>
      <c r="G469" s="6">
        <v>217.02</v>
      </c>
      <c r="H469" s="6"/>
      <c r="I469" s="6"/>
      <c r="J469" s="6">
        <f t="shared" si="62"/>
        <v>12804.18</v>
      </c>
      <c r="K469" s="6">
        <f t="shared" si="58"/>
        <v>12804.18</v>
      </c>
      <c r="L469" s="122">
        <f t="shared" si="61"/>
        <v>0</v>
      </c>
      <c r="M469" s="127"/>
      <c r="N469" s="7" t="s">
        <v>1</v>
      </c>
      <c r="O469" s="148" t="s">
        <v>24</v>
      </c>
      <c r="P469" s="149"/>
      <c r="Q469" s="184"/>
      <c r="R469" s="161"/>
      <c r="S469" s="268"/>
      <c r="T469" s="268"/>
      <c r="U469" s="64"/>
    </row>
    <row r="470" spans="1:21" s="27" customFormat="1" ht="33">
      <c r="A470" s="3" t="s">
        <v>38</v>
      </c>
      <c r="B470" s="4" t="s">
        <v>584</v>
      </c>
      <c r="C470" s="5" t="s">
        <v>337</v>
      </c>
      <c r="D470" s="6">
        <v>30</v>
      </c>
      <c r="E470" s="6">
        <v>30</v>
      </c>
      <c r="F470" s="6">
        <f t="shared" si="60"/>
        <v>0</v>
      </c>
      <c r="G470" s="6">
        <v>50</v>
      </c>
      <c r="H470" s="6"/>
      <c r="I470" s="6"/>
      <c r="J470" s="6">
        <f t="shared" si="62"/>
        <v>1500</v>
      </c>
      <c r="K470" s="6">
        <f t="shared" si="58"/>
        <v>1500</v>
      </c>
      <c r="L470" s="122">
        <f t="shared" si="61"/>
        <v>0</v>
      </c>
      <c r="M470" s="127"/>
      <c r="N470" s="7" t="s">
        <v>1</v>
      </c>
      <c r="O470" s="148" t="s">
        <v>24</v>
      </c>
      <c r="P470" s="149"/>
      <c r="Q470" s="184"/>
      <c r="R470" s="161"/>
      <c r="S470" s="268"/>
      <c r="T470" s="268"/>
      <c r="U470" s="64"/>
    </row>
    <row r="471" spans="1:21" s="27" customFormat="1" ht="33">
      <c r="A471" s="3" t="s">
        <v>41</v>
      </c>
      <c r="B471" s="4" t="s">
        <v>585</v>
      </c>
      <c r="C471" s="5" t="s">
        <v>78</v>
      </c>
      <c r="D471" s="6">
        <v>9</v>
      </c>
      <c r="E471" s="6">
        <v>9</v>
      </c>
      <c r="F471" s="6">
        <f t="shared" si="60"/>
        <v>0</v>
      </c>
      <c r="G471" s="6">
        <v>1900.97</v>
      </c>
      <c r="H471" s="6"/>
      <c r="I471" s="6"/>
      <c r="J471" s="6">
        <f t="shared" si="62"/>
        <v>17108.73</v>
      </c>
      <c r="K471" s="6">
        <f t="shared" si="58"/>
        <v>17108.73</v>
      </c>
      <c r="L471" s="122">
        <f t="shared" si="61"/>
        <v>0</v>
      </c>
      <c r="M471" s="127"/>
      <c r="N471" s="7" t="s">
        <v>1</v>
      </c>
      <c r="O471" s="148" t="s">
        <v>24</v>
      </c>
      <c r="P471" s="149"/>
      <c r="Q471" s="184"/>
      <c r="R471" s="161"/>
      <c r="S471" s="268"/>
      <c r="T471" s="268"/>
      <c r="U471" s="64"/>
    </row>
    <row r="472" spans="1:21" s="27" customFormat="1" ht="33">
      <c r="A472" s="3" t="s">
        <v>43</v>
      </c>
      <c r="B472" s="4" t="s">
        <v>586</v>
      </c>
      <c r="C472" s="5" t="s">
        <v>78</v>
      </c>
      <c r="D472" s="6">
        <v>5</v>
      </c>
      <c r="E472" s="6">
        <v>5</v>
      </c>
      <c r="F472" s="6">
        <f t="shared" si="60"/>
        <v>0</v>
      </c>
      <c r="G472" s="6">
        <v>1230.75</v>
      </c>
      <c r="H472" s="6"/>
      <c r="I472" s="6"/>
      <c r="J472" s="6">
        <f t="shared" si="62"/>
        <v>6153.75</v>
      </c>
      <c r="K472" s="6">
        <f t="shared" si="58"/>
        <v>6153.75</v>
      </c>
      <c r="L472" s="122">
        <f t="shared" si="61"/>
        <v>0</v>
      </c>
      <c r="M472" s="127"/>
      <c r="N472" s="7" t="s">
        <v>1</v>
      </c>
      <c r="O472" s="148" t="s">
        <v>24</v>
      </c>
      <c r="P472" s="149"/>
      <c r="Q472" s="184"/>
      <c r="R472" s="161"/>
      <c r="S472" s="268"/>
      <c r="T472" s="268"/>
      <c r="U472" s="64"/>
    </row>
    <row r="473" spans="1:21" s="27" customFormat="1" ht="33">
      <c r="A473" s="3" t="s">
        <v>45</v>
      </c>
      <c r="B473" s="4" t="s">
        <v>587</v>
      </c>
      <c r="C473" s="5" t="s">
        <v>78</v>
      </c>
      <c r="D473" s="6">
        <v>756</v>
      </c>
      <c r="E473" s="6">
        <v>756</v>
      </c>
      <c r="F473" s="6">
        <f t="shared" si="60"/>
        <v>0</v>
      </c>
      <c r="G473" s="6">
        <v>1666.11</v>
      </c>
      <c r="H473" s="6"/>
      <c r="I473" s="6"/>
      <c r="J473" s="6">
        <f t="shared" si="62"/>
        <v>1259579.1599999999</v>
      </c>
      <c r="K473" s="6">
        <f t="shared" si="58"/>
        <v>1259579.1599999999</v>
      </c>
      <c r="L473" s="122">
        <f t="shared" si="61"/>
        <v>0</v>
      </c>
      <c r="M473" s="127"/>
      <c r="N473" s="7" t="s">
        <v>1</v>
      </c>
      <c r="O473" s="148" t="s">
        <v>24</v>
      </c>
      <c r="P473" s="149"/>
      <c r="Q473" s="184"/>
      <c r="R473" s="161"/>
      <c r="S473" s="268"/>
      <c r="T473" s="268"/>
      <c r="U473" s="64"/>
    </row>
    <row r="474" spans="1:21" s="27" customFormat="1" ht="42.75">
      <c r="A474" s="3" t="s">
        <v>48</v>
      </c>
      <c r="B474" s="4" t="s">
        <v>588</v>
      </c>
      <c r="C474" s="5" t="s">
        <v>78</v>
      </c>
      <c r="D474" s="6">
        <v>2</v>
      </c>
      <c r="E474" s="6">
        <v>2</v>
      </c>
      <c r="F474" s="6">
        <f t="shared" si="60"/>
        <v>0</v>
      </c>
      <c r="G474" s="6">
        <v>48513</v>
      </c>
      <c r="H474" s="6"/>
      <c r="I474" s="6"/>
      <c r="J474" s="6">
        <f t="shared" si="62"/>
        <v>97026</v>
      </c>
      <c r="K474" s="6">
        <f t="shared" si="58"/>
        <v>97026</v>
      </c>
      <c r="L474" s="122">
        <f t="shared" si="61"/>
        <v>0</v>
      </c>
      <c r="M474" s="127"/>
      <c r="N474" s="7" t="s">
        <v>1</v>
      </c>
      <c r="O474" s="148" t="s">
        <v>24</v>
      </c>
      <c r="P474" s="149"/>
      <c r="Q474" s="184"/>
      <c r="R474" s="161"/>
      <c r="S474" s="268"/>
      <c r="T474" s="268"/>
      <c r="U474" s="64"/>
    </row>
    <row r="475" spans="1:21" s="27" customFormat="1" ht="85.5">
      <c r="A475" s="3" t="s">
        <v>50</v>
      </c>
      <c r="B475" s="4" t="s">
        <v>589</v>
      </c>
      <c r="C475" s="5" t="s">
        <v>590</v>
      </c>
      <c r="D475" s="6">
        <v>38</v>
      </c>
      <c r="E475" s="6">
        <v>38</v>
      </c>
      <c r="F475" s="6">
        <f t="shared" si="60"/>
        <v>0</v>
      </c>
      <c r="G475" s="6">
        <v>587.1</v>
      </c>
      <c r="H475" s="6"/>
      <c r="I475" s="6"/>
      <c r="J475" s="6">
        <f t="shared" si="62"/>
        <v>22309.8</v>
      </c>
      <c r="K475" s="6">
        <f t="shared" si="58"/>
        <v>22309.8</v>
      </c>
      <c r="L475" s="122">
        <f t="shared" si="61"/>
        <v>0</v>
      </c>
      <c r="M475" s="127"/>
      <c r="N475" s="7" t="s">
        <v>591</v>
      </c>
      <c r="O475" s="148" t="s">
        <v>24</v>
      </c>
      <c r="P475" s="149"/>
      <c r="Q475" s="184"/>
      <c r="R475" s="161"/>
      <c r="S475" s="268"/>
      <c r="T475" s="268"/>
      <c r="U475" s="64"/>
    </row>
    <row r="476" spans="1:21" s="27" customFormat="1" ht="33">
      <c r="A476" s="3" t="s">
        <v>54</v>
      </c>
      <c r="B476" s="4" t="s">
        <v>592</v>
      </c>
      <c r="C476" s="5" t="s">
        <v>123</v>
      </c>
      <c r="D476" s="6">
        <v>9</v>
      </c>
      <c r="E476" s="6">
        <v>9</v>
      </c>
      <c r="F476" s="6">
        <f t="shared" si="60"/>
        <v>0</v>
      </c>
      <c r="G476" s="6">
        <v>664.14</v>
      </c>
      <c r="H476" s="6"/>
      <c r="I476" s="6"/>
      <c r="J476" s="6">
        <f t="shared" si="62"/>
        <v>5977.26</v>
      </c>
      <c r="K476" s="6">
        <f t="shared" si="58"/>
        <v>5977.26</v>
      </c>
      <c r="L476" s="122">
        <f t="shared" si="61"/>
        <v>0</v>
      </c>
      <c r="M476" s="127"/>
      <c r="N476" s="7" t="s">
        <v>1</v>
      </c>
      <c r="O476" s="148" t="s">
        <v>24</v>
      </c>
      <c r="P476" s="149"/>
      <c r="Q476" s="184"/>
      <c r="R476" s="161"/>
      <c r="S476" s="268"/>
      <c r="T476" s="268"/>
      <c r="U476" s="64"/>
    </row>
    <row r="477" spans="1:21" s="27" customFormat="1" ht="42.75">
      <c r="A477" s="3" t="s">
        <v>56</v>
      </c>
      <c r="B477" s="4" t="s">
        <v>593</v>
      </c>
      <c r="C477" s="5" t="s">
        <v>78</v>
      </c>
      <c r="D477" s="6">
        <v>68</v>
      </c>
      <c r="E477" s="6">
        <v>68</v>
      </c>
      <c r="F477" s="6">
        <f t="shared" si="60"/>
        <v>0</v>
      </c>
      <c r="G477" s="6">
        <v>847.07</v>
      </c>
      <c r="H477" s="6"/>
      <c r="I477" s="6"/>
      <c r="J477" s="6">
        <f t="shared" si="62"/>
        <v>57600.76</v>
      </c>
      <c r="K477" s="6">
        <f t="shared" si="58"/>
        <v>57600.76</v>
      </c>
      <c r="L477" s="122">
        <f t="shared" si="61"/>
        <v>0</v>
      </c>
      <c r="M477" s="127"/>
      <c r="N477" s="7" t="s">
        <v>594</v>
      </c>
      <c r="O477" s="148" t="s">
        <v>24</v>
      </c>
      <c r="P477" s="149"/>
      <c r="Q477" s="184"/>
      <c r="R477" s="161"/>
      <c r="S477" s="268"/>
      <c r="T477" s="268"/>
      <c r="U477" s="64"/>
    </row>
    <row r="478" spans="1:21" s="27" customFormat="1" ht="99.75">
      <c r="A478" s="3" t="s">
        <v>58</v>
      </c>
      <c r="B478" s="4" t="s">
        <v>595</v>
      </c>
      <c r="C478" s="5" t="s">
        <v>36</v>
      </c>
      <c r="D478" s="6">
        <v>87.54</v>
      </c>
      <c r="E478" s="6">
        <v>87.54</v>
      </c>
      <c r="F478" s="6">
        <f t="shared" si="60"/>
        <v>0</v>
      </c>
      <c r="G478" s="6">
        <v>293.74</v>
      </c>
      <c r="H478" s="6"/>
      <c r="I478" s="6"/>
      <c r="J478" s="6">
        <f t="shared" si="62"/>
        <v>25713.999600000003</v>
      </c>
      <c r="K478" s="6">
        <f t="shared" si="58"/>
        <v>25713.999600000003</v>
      </c>
      <c r="L478" s="122">
        <f t="shared" si="61"/>
        <v>0</v>
      </c>
      <c r="M478" s="127"/>
      <c r="N478" s="7" t="s">
        <v>596</v>
      </c>
      <c r="O478" s="148" t="s">
        <v>24</v>
      </c>
      <c r="P478" s="153"/>
      <c r="Q478" s="177"/>
      <c r="R478" s="161"/>
      <c r="S478" s="268"/>
      <c r="T478" s="268"/>
      <c r="U478" s="64"/>
    </row>
    <row r="479" spans="1:21" s="27" customFormat="1" ht="33">
      <c r="A479" s="3" t="s">
        <v>60</v>
      </c>
      <c r="B479" s="4" t="s">
        <v>597</v>
      </c>
      <c r="C479" s="5" t="s">
        <v>598</v>
      </c>
      <c r="D479" s="6">
        <v>2</v>
      </c>
      <c r="E479" s="6">
        <v>2</v>
      </c>
      <c r="F479" s="6">
        <f t="shared" si="60"/>
        <v>0</v>
      </c>
      <c r="G479" s="6">
        <v>10000</v>
      </c>
      <c r="H479" s="6"/>
      <c r="I479" s="6"/>
      <c r="J479" s="6">
        <f t="shared" si="62"/>
        <v>20000</v>
      </c>
      <c r="K479" s="6">
        <f t="shared" si="58"/>
        <v>20000</v>
      </c>
      <c r="L479" s="122">
        <f t="shared" si="61"/>
        <v>0</v>
      </c>
      <c r="M479" s="127"/>
      <c r="N479" s="7" t="s">
        <v>1</v>
      </c>
      <c r="O479" s="148" t="s">
        <v>24</v>
      </c>
      <c r="P479" s="149"/>
      <c r="Q479" s="184"/>
      <c r="R479" s="161"/>
      <c r="S479" s="268"/>
      <c r="T479" s="268"/>
      <c r="U479" s="64"/>
    </row>
    <row r="480" spans="1:21" s="27" customFormat="1" ht="33">
      <c r="A480" s="3" t="s">
        <v>63</v>
      </c>
      <c r="B480" s="4" t="s">
        <v>599</v>
      </c>
      <c r="C480" s="5" t="s">
        <v>36</v>
      </c>
      <c r="D480" s="6">
        <v>1064.31</v>
      </c>
      <c r="E480" s="6">
        <v>1064.31</v>
      </c>
      <c r="F480" s="6">
        <f t="shared" si="60"/>
        <v>0</v>
      </c>
      <c r="G480" s="6">
        <v>210</v>
      </c>
      <c r="H480" s="6"/>
      <c r="I480" s="6"/>
      <c r="J480" s="6">
        <f t="shared" si="62"/>
        <v>223505.09999999998</v>
      </c>
      <c r="K480" s="6">
        <f t="shared" si="58"/>
        <v>223505.09999999998</v>
      </c>
      <c r="L480" s="122">
        <f t="shared" si="61"/>
        <v>0</v>
      </c>
      <c r="M480" s="127"/>
      <c r="N480" s="7" t="s">
        <v>600</v>
      </c>
      <c r="O480" s="148" t="s">
        <v>24</v>
      </c>
      <c r="P480" s="149"/>
      <c r="Q480" s="184"/>
      <c r="R480" s="161"/>
      <c r="S480" s="268"/>
      <c r="T480" s="268"/>
      <c r="U480" s="64"/>
    </row>
    <row r="481" spans="1:21" s="27" customFormat="1" ht="33">
      <c r="A481" s="3" t="s">
        <v>67</v>
      </c>
      <c r="B481" s="4" t="s">
        <v>601</v>
      </c>
      <c r="C481" s="5" t="s">
        <v>36</v>
      </c>
      <c r="D481" s="6">
        <v>1910.54</v>
      </c>
      <c r="E481" s="6">
        <v>1910.54</v>
      </c>
      <c r="F481" s="6">
        <f t="shared" si="60"/>
        <v>0</v>
      </c>
      <c r="G481" s="6">
        <v>300</v>
      </c>
      <c r="H481" s="6"/>
      <c r="I481" s="6"/>
      <c r="J481" s="6">
        <f t="shared" si="62"/>
        <v>573162</v>
      </c>
      <c r="K481" s="6">
        <f t="shared" si="58"/>
        <v>573162</v>
      </c>
      <c r="L481" s="122">
        <f t="shared" si="61"/>
        <v>0</v>
      </c>
      <c r="M481" s="127"/>
      <c r="N481" s="7" t="s">
        <v>1</v>
      </c>
      <c r="O481" s="148" t="s">
        <v>24</v>
      </c>
      <c r="P481" s="149"/>
      <c r="Q481" s="184"/>
      <c r="R481" s="161"/>
      <c r="S481" s="268"/>
      <c r="T481" s="268"/>
      <c r="U481" s="64"/>
    </row>
    <row r="482" spans="1:21" s="27" customFormat="1" ht="33">
      <c r="A482" s="3" t="s">
        <v>69</v>
      </c>
      <c r="B482" s="4" t="s">
        <v>602</v>
      </c>
      <c r="C482" s="5" t="s">
        <v>36</v>
      </c>
      <c r="D482" s="6">
        <v>2738.45</v>
      </c>
      <c r="E482" s="6">
        <v>2738.45</v>
      </c>
      <c r="F482" s="6">
        <f t="shared" si="60"/>
        <v>0</v>
      </c>
      <c r="G482" s="6">
        <v>200</v>
      </c>
      <c r="H482" s="6"/>
      <c r="I482" s="6"/>
      <c r="J482" s="6">
        <f t="shared" si="62"/>
        <v>547690</v>
      </c>
      <c r="K482" s="6">
        <f t="shared" si="58"/>
        <v>547690</v>
      </c>
      <c r="L482" s="122">
        <f t="shared" si="61"/>
        <v>0</v>
      </c>
      <c r="M482" s="127"/>
      <c r="N482" s="7" t="s">
        <v>1</v>
      </c>
      <c r="O482" s="148" t="s">
        <v>24</v>
      </c>
      <c r="P482" s="149"/>
      <c r="Q482" s="184"/>
      <c r="R482" s="161"/>
      <c r="S482" s="268"/>
      <c r="T482" s="268"/>
      <c r="U482" s="64"/>
    </row>
    <row r="483" spans="1:21" s="27" customFormat="1" ht="33">
      <c r="A483" s="3" t="s">
        <v>73</v>
      </c>
      <c r="B483" s="4" t="s">
        <v>603</v>
      </c>
      <c r="C483" s="5" t="s">
        <v>23</v>
      </c>
      <c r="D483" s="6">
        <v>1</v>
      </c>
      <c r="E483" s="6">
        <v>1</v>
      </c>
      <c r="F483" s="6">
        <f t="shared" si="60"/>
        <v>0</v>
      </c>
      <c r="G483" s="6">
        <v>21460.9</v>
      </c>
      <c r="H483" s="6"/>
      <c r="I483" s="6"/>
      <c r="J483" s="6">
        <f t="shared" si="62"/>
        <v>21460.9</v>
      </c>
      <c r="K483" s="6">
        <f t="shared" si="58"/>
        <v>21460.9</v>
      </c>
      <c r="L483" s="122">
        <f t="shared" si="61"/>
        <v>0</v>
      </c>
      <c r="M483" s="127"/>
      <c r="N483" s="7" t="s">
        <v>1</v>
      </c>
      <c r="O483" s="148" t="s">
        <v>24</v>
      </c>
      <c r="P483" s="149"/>
      <c r="Q483" s="184"/>
      <c r="R483" s="161"/>
      <c r="S483" s="268"/>
      <c r="T483" s="268"/>
      <c r="U483" s="64"/>
    </row>
    <row r="484" spans="1:21" s="27" customFormat="1" ht="33">
      <c r="A484" s="3" t="s">
        <v>76</v>
      </c>
      <c r="B484" s="4" t="s">
        <v>604</v>
      </c>
      <c r="C484" s="5" t="s">
        <v>90</v>
      </c>
      <c r="D484" s="6">
        <v>720</v>
      </c>
      <c r="E484" s="6">
        <v>720</v>
      </c>
      <c r="F484" s="6">
        <f t="shared" si="60"/>
        <v>0</v>
      </c>
      <c r="G484" s="6">
        <v>273.11</v>
      </c>
      <c r="H484" s="6"/>
      <c r="I484" s="6"/>
      <c r="J484" s="6">
        <f t="shared" si="62"/>
        <v>196639.2</v>
      </c>
      <c r="K484" s="6">
        <f t="shared" si="58"/>
        <v>196639.2</v>
      </c>
      <c r="L484" s="122">
        <f t="shared" si="61"/>
        <v>0</v>
      </c>
      <c r="M484" s="127"/>
      <c r="N484" s="7" t="s">
        <v>1</v>
      </c>
      <c r="O484" s="148" t="s">
        <v>24</v>
      </c>
      <c r="P484" s="149"/>
      <c r="Q484" s="184"/>
      <c r="R484" s="161"/>
      <c r="S484" s="268"/>
      <c r="T484" s="268"/>
      <c r="U484" s="64"/>
    </row>
    <row r="485" spans="1:21" s="27" customFormat="1" ht="42.75">
      <c r="A485" s="3" t="s">
        <v>79</v>
      </c>
      <c r="B485" s="4" t="s">
        <v>605</v>
      </c>
      <c r="C485" s="5" t="s">
        <v>36</v>
      </c>
      <c r="D485" s="6">
        <v>212</v>
      </c>
      <c r="E485" s="6">
        <v>212</v>
      </c>
      <c r="F485" s="6">
        <f t="shared" si="60"/>
        <v>0</v>
      </c>
      <c r="G485" s="6">
        <v>1859.87</v>
      </c>
      <c r="H485" s="6"/>
      <c r="I485" s="6"/>
      <c r="J485" s="6">
        <f t="shared" si="62"/>
        <v>394292.44</v>
      </c>
      <c r="K485" s="6">
        <f t="shared" si="58"/>
        <v>394292.44</v>
      </c>
      <c r="L485" s="122">
        <f t="shared" si="61"/>
        <v>0</v>
      </c>
      <c r="M485" s="127"/>
      <c r="N485" s="7" t="s">
        <v>606</v>
      </c>
      <c r="O485" s="148" t="s">
        <v>24</v>
      </c>
      <c r="P485" s="149"/>
      <c r="Q485" s="184"/>
      <c r="R485" s="161"/>
      <c r="S485" s="268"/>
      <c r="T485" s="268"/>
      <c r="U485" s="64"/>
    </row>
    <row r="486" spans="1:21" s="27" customFormat="1" ht="28.5">
      <c r="A486" s="3">
        <v>20</v>
      </c>
      <c r="B486" s="4" t="s">
        <v>876</v>
      </c>
      <c r="C486" s="5" t="s">
        <v>877</v>
      </c>
      <c r="D486" s="6">
        <v>1</v>
      </c>
      <c r="E486" s="6">
        <v>1</v>
      </c>
      <c r="F486" s="6">
        <f t="shared" si="60"/>
        <v>0</v>
      </c>
      <c r="G486" s="6">
        <v>263694.64</v>
      </c>
      <c r="H486" s="6"/>
      <c r="I486" s="6"/>
      <c r="J486" s="6">
        <f t="shared" si="62"/>
        <v>263694.64</v>
      </c>
      <c r="K486" s="6">
        <f t="shared" si="58"/>
        <v>263694.64</v>
      </c>
      <c r="L486" s="122">
        <f t="shared" si="61"/>
        <v>0</v>
      </c>
      <c r="M486" s="127"/>
      <c r="N486" s="7"/>
      <c r="O486" s="148"/>
      <c r="P486" s="149"/>
      <c r="Q486" s="184"/>
      <c r="R486" s="161"/>
      <c r="S486" s="268"/>
      <c r="T486" s="268"/>
      <c r="U486" s="64"/>
    </row>
    <row r="487" spans="1:21" s="27" customFormat="1" ht="26.1" customHeight="1">
      <c r="A487" s="200" t="s">
        <v>607</v>
      </c>
      <c r="B487" s="201" t="s">
        <v>608</v>
      </c>
      <c r="C487" s="202" t="s">
        <v>23</v>
      </c>
      <c r="D487" s="203">
        <v>1</v>
      </c>
      <c r="E487" s="203"/>
      <c r="F487" s="203"/>
      <c r="G487" s="203">
        <f>J487</f>
        <v>3143726.9600000004</v>
      </c>
      <c r="H487" s="203"/>
      <c r="I487" s="203"/>
      <c r="J487" s="203">
        <f>SUM(J488:J506)</f>
        <v>3143726.9600000004</v>
      </c>
      <c r="K487" s="203">
        <f>SUM(K488:K506)</f>
        <v>3143726.9600000004</v>
      </c>
      <c r="L487" s="205">
        <f>SUM(L488:L506)</f>
        <v>0</v>
      </c>
      <c r="M487" s="207">
        <f>SUM(M488:M506)</f>
        <v>0</v>
      </c>
      <c r="N487" s="208" t="s">
        <v>1</v>
      </c>
      <c r="O487" s="151" t="s">
        <v>24</v>
      </c>
      <c r="P487" s="183"/>
      <c r="Q487" s="184"/>
      <c r="R487" s="161"/>
      <c r="S487" s="268"/>
      <c r="T487" s="268"/>
      <c r="U487" s="64"/>
    </row>
    <row r="488" spans="1:21" s="27" customFormat="1" ht="33">
      <c r="A488" s="3" t="s">
        <v>29</v>
      </c>
      <c r="B488" s="4" t="s">
        <v>609</v>
      </c>
      <c r="C488" s="5" t="s">
        <v>517</v>
      </c>
      <c r="D488" s="6">
        <v>10</v>
      </c>
      <c r="E488" s="6">
        <v>10</v>
      </c>
      <c r="F488" s="6">
        <f t="shared" si="60"/>
        <v>0</v>
      </c>
      <c r="G488" s="6">
        <v>770</v>
      </c>
      <c r="H488" s="6"/>
      <c r="I488" s="6"/>
      <c r="J488" s="6">
        <f t="shared" ref="J488:J506" si="63">D488*G488</f>
        <v>7700</v>
      </c>
      <c r="K488" s="6">
        <f t="shared" si="58"/>
        <v>7700</v>
      </c>
      <c r="L488" s="122">
        <f t="shared" ref="L488:L506" si="64">K488-J488</f>
        <v>0</v>
      </c>
      <c r="M488" s="127"/>
      <c r="N488" s="7" t="s">
        <v>1</v>
      </c>
      <c r="O488" s="148" t="s">
        <v>24</v>
      </c>
      <c r="P488" s="149"/>
      <c r="Q488" s="184"/>
      <c r="R488" s="161"/>
      <c r="S488" s="268"/>
      <c r="T488" s="268"/>
      <c r="U488" s="64"/>
    </row>
    <row r="489" spans="1:21" s="27" customFormat="1" ht="33">
      <c r="A489" s="3" t="s">
        <v>32</v>
      </c>
      <c r="B489" s="4" t="s">
        <v>610</v>
      </c>
      <c r="C489" s="5" t="s">
        <v>611</v>
      </c>
      <c r="D489" s="6">
        <v>100</v>
      </c>
      <c r="E489" s="6">
        <v>100</v>
      </c>
      <c r="F489" s="6">
        <f t="shared" si="60"/>
        <v>0</v>
      </c>
      <c r="G489" s="6">
        <v>201</v>
      </c>
      <c r="H489" s="6"/>
      <c r="I489" s="6"/>
      <c r="J489" s="6">
        <f t="shared" si="63"/>
        <v>20100</v>
      </c>
      <c r="K489" s="6">
        <f t="shared" ref="K489:K506" si="65">E489*G489</f>
        <v>20100</v>
      </c>
      <c r="L489" s="122">
        <f t="shared" si="64"/>
        <v>0</v>
      </c>
      <c r="M489" s="127"/>
      <c r="N489" s="7" t="s">
        <v>1</v>
      </c>
      <c r="O489" s="148" t="s">
        <v>24</v>
      </c>
      <c r="P489" s="149"/>
      <c r="Q489" s="184"/>
      <c r="R489" s="161"/>
      <c r="S489" s="268"/>
      <c r="T489" s="268"/>
      <c r="U489" s="64"/>
    </row>
    <row r="490" spans="1:21" s="27" customFormat="1" ht="33">
      <c r="A490" s="3" t="s">
        <v>34</v>
      </c>
      <c r="B490" s="4" t="s">
        <v>612</v>
      </c>
      <c r="C490" s="5" t="s">
        <v>613</v>
      </c>
      <c r="D490" s="6">
        <v>50</v>
      </c>
      <c r="E490" s="6">
        <v>50</v>
      </c>
      <c r="F490" s="6">
        <f t="shared" ref="F490:F509" si="66">E490-D490</f>
        <v>0</v>
      </c>
      <c r="G490" s="6">
        <v>300</v>
      </c>
      <c r="H490" s="6"/>
      <c r="I490" s="6"/>
      <c r="J490" s="6">
        <f t="shared" si="63"/>
        <v>15000</v>
      </c>
      <c r="K490" s="6">
        <f t="shared" si="65"/>
        <v>15000</v>
      </c>
      <c r="L490" s="122">
        <f t="shared" si="64"/>
        <v>0</v>
      </c>
      <c r="M490" s="127"/>
      <c r="N490" s="7" t="s">
        <v>1</v>
      </c>
      <c r="O490" s="148" t="s">
        <v>24</v>
      </c>
      <c r="P490" s="149"/>
      <c r="Q490" s="184"/>
      <c r="R490" s="161"/>
      <c r="S490" s="268"/>
      <c r="T490" s="268"/>
      <c r="U490" s="64"/>
    </row>
    <row r="491" spans="1:21" s="27" customFormat="1" ht="33">
      <c r="A491" s="3" t="s">
        <v>38</v>
      </c>
      <c r="B491" s="4" t="s">
        <v>614</v>
      </c>
      <c r="C491" s="5" t="s">
        <v>228</v>
      </c>
      <c r="D491" s="6">
        <v>75</v>
      </c>
      <c r="E491" s="6">
        <v>75</v>
      </c>
      <c r="F491" s="6">
        <f t="shared" si="66"/>
        <v>0</v>
      </c>
      <c r="G491" s="6">
        <v>650</v>
      </c>
      <c r="H491" s="6"/>
      <c r="I491" s="6"/>
      <c r="J491" s="6">
        <f t="shared" si="63"/>
        <v>48750</v>
      </c>
      <c r="K491" s="6">
        <f t="shared" si="65"/>
        <v>48750</v>
      </c>
      <c r="L491" s="122">
        <f t="shared" si="64"/>
        <v>0</v>
      </c>
      <c r="M491" s="127"/>
      <c r="N491" s="7" t="s">
        <v>1</v>
      </c>
      <c r="O491" s="148" t="s">
        <v>24</v>
      </c>
      <c r="P491" s="149"/>
      <c r="Q491" s="184"/>
      <c r="R491" s="161"/>
      <c r="S491" s="268"/>
      <c r="T491" s="268"/>
      <c r="U491" s="64"/>
    </row>
    <row r="492" spans="1:21" s="27" customFormat="1" ht="33">
      <c r="A492" s="3" t="s">
        <v>41</v>
      </c>
      <c r="B492" s="4" t="s">
        <v>615</v>
      </c>
      <c r="C492" s="5" t="s">
        <v>616</v>
      </c>
      <c r="D492" s="6">
        <v>200</v>
      </c>
      <c r="E492" s="6">
        <v>200</v>
      </c>
      <c r="F492" s="6">
        <f t="shared" si="66"/>
        <v>0</v>
      </c>
      <c r="G492" s="6">
        <v>28</v>
      </c>
      <c r="H492" s="6"/>
      <c r="I492" s="6"/>
      <c r="J492" s="6">
        <f t="shared" si="63"/>
        <v>5600</v>
      </c>
      <c r="K492" s="6">
        <f t="shared" si="65"/>
        <v>5600</v>
      </c>
      <c r="L492" s="122">
        <f t="shared" si="64"/>
        <v>0</v>
      </c>
      <c r="M492" s="127"/>
      <c r="N492" s="7" t="s">
        <v>1</v>
      </c>
      <c r="O492" s="148" t="s">
        <v>24</v>
      </c>
      <c r="P492" s="149"/>
      <c r="Q492" s="184"/>
      <c r="R492" s="161"/>
      <c r="S492" s="268"/>
      <c r="T492" s="268"/>
      <c r="U492" s="64"/>
    </row>
    <row r="493" spans="1:21" s="27" customFormat="1" ht="33">
      <c r="A493" s="3" t="s">
        <v>43</v>
      </c>
      <c r="B493" s="4" t="s">
        <v>617</v>
      </c>
      <c r="C493" s="5" t="s">
        <v>616</v>
      </c>
      <c r="D493" s="6">
        <v>100</v>
      </c>
      <c r="E493" s="6">
        <v>100</v>
      </c>
      <c r="F493" s="6">
        <f t="shared" si="66"/>
        <v>0</v>
      </c>
      <c r="G493" s="6">
        <v>500</v>
      </c>
      <c r="H493" s="6"/>
      <c r="I493" s="6"/>
      <c r="J493" s="6">
        <f t="shared" si="63"/>
        <v>50000</v>
      </c>
      <c r="K493" s="6">
        <f t="shared" si="65"/>
        <v>50000</v>
      </c>
      <c r="L493" s="122">
        <f t="shared" si="64"/>
        <v>0</v>
      </c>
      <c r="M493" s="127"/>
      <c r="N493" s="7" t="s">
        <v>1</v>
      </c>
      <c r="O493" s="148" t="s">
        <v>24</v>
      </c>
      <c r="P493" s="149"/>
      <c r="Q493" s="184"/>
      <c r="R493" s="161"/>
      <c r="S493" s="268"/>
      <c r="T493" s="268"/>
      <c r="U493" s="64"/>
    </row>
    <row r="494" spans="1:21" s="27" customFormat="1" ht="33">
      <c r="A494" s="3" t="s">
        <v>45</v>
      </c>
      <c r="B494" s="4" t="s">
        <v>618</v>
      </c>
      <c r="C494" s="5" t="s">
        <v>619</v>
      </c>
      <c r="D494" s="6">
        <v>75</v>
      </c>
      <c r="E494" s="6">
        <v>75</v>
      </c>
      <c r="F494" s="6">
        <f t="shared" si="66"/>
        <v>0</v>
      </c>
      <c r="G494" s="6">
        <v>280</v>
      </c>
      <c r="H494" s="6"/>
      <c r="I494" s="6"/>
      <c r="J494" s="6">
        <f t="shared" si="63"/>
        <v>21000</v>
      </c>
      <c r="K494" s="6">
        <f t="shared" si="65"/>
        <v>21000</v>
      </c>
      <c r="L494" s="122">
        <f t="shared" si="64"/>
        <v>0</v>
      </c>
      <c r="M494" s="127"/>
      <c r="N494" s="7" t="s">
        <v>1</v>
      </c>
      <c r="O494" s="148" t="s">
        <v>24</v>
      </c>
      <c r="P494" s="149"/>
      <c r="Q494" s="184"/>
      <c r="R494" s="161"/>
      <c r="S494" s="268"/>
      <c r="T494" s="268"/>
      <c r="U494" s="64"/>
    </row>
    <row r="495" spans="1:21" s="27" customFormat="1" ht="57">
      <c r="A495" s="3" t="s">
        <v>48</v>
      </c>
      <c r="B495" s="4" t="s">
        <v>620</v>
      </c>
      <c r="C495" s="5" t="s">
        <v>619</v>
      </c>
      <c r="D495" s="6">
        <v>50</v>
      </c>
      <c r="E495" s="6">
        <v>50</v>
      </c>
      <c r="F495" s="6">
        <f t="shared" si="66"/>
        <v>0</v>
      </c>
      <c r="G495" s="6">
        <v>350</v>
      </c>
      <c r="H495" s="6"/>
      <c r="I495" s="6"/>
      <c r="J495" s="6">
        <f t="shared" si="63"/>
        <v>17500</v>
      </c>
      <c r="K495" s="6">
        <f t="shared" si="65"/>
        <v>17500</v>
      </c>
      <c r="L495" s="122">
        <f t="shared" si="64"/>
        <v>0</v>
      </c>
      <c r="M495" s="127"/>
      <c r="N495" s="7" t="s">
        <v>1</v>
      </c>
      <c r="O495" s="148" t="s">
        <v>24</v>
      </c>
      <c r="P495" s="149"/>
      <c r="Q495" s="184"/>
      <c r="R495" s="161"/>
      <c r="S495" s="268"/>
      <c r="T495" s="268"/>
      <c r="U495" s="64"/>
    </row>
    <row r="496" spans="1:21" s="27" customFormat="1" ht="33">
      <c r="A496" s="3" t="s">
        <v>50</v>
      </c>
      <c r="B496" s="4" t="s">
        <v>621</v>
      </c>
      <c r="C496" s="5" t="s">
        <v>228</v>
      </c>
      <c r="D496" s="6">
        <v>10</v>
      </c>
      <c r="E496" s="6">
        <v>10</v>
      </c>
      <c r="F496" s="6">
        <f t="shared" si="66"/>
        <v>0</v>
      </c>
      <c r="G496" s="6">
        <v>560</v>
      </c>
      <c r="H496" s="6"/>
      <c r="I496" s="6"/>
      <c r="J496" s="6">
        <f t="shared" si="63"/>
        <v>5600</v>
      </c>
      <c r="K496" s="6">
        <f t="shared" si="65"/>
        <v>5600</v>
      </c>
      <c r="L496" s="122">
        <f t="shared" si="64"/>
        <v>0</v>
      </c>
      <c r="M496" s="127"/>
      <c r="N496" s="7" t="s">
        <v>1</v>
      </c>
      <c r="O496" s="148" t="s">
        <v>24</v>
      </c>
      <c r="P496" s="149"/>
      <c r="Q496" s="184"/>
      <c r="R496" s="161"/>
      <c r="S496" s="268"/>
      <c r="T496" s="268"/>
      <c r="U496" s="64"/>
    </row>
    <row r="497" spans="1:21" s="27" customFormat="1" ht="33">
      <c r="A497" s="3" t="s">
        <v>54</v>
      </c>
      <c r="B497" s="4" t="s">
        <v>622</v>
      </c>
      <c r="C497" s="5" t="s">
        <v>123</v>
      </c>
      <c r="D497" s="6">
        <v>4</v>
      </c>
      <c r="E497" s="6">
        <v>4</v>
      </c>
      <c r="F497" s="6">
        <f t="shared" si="66"/>
        <v>0</v>
      </c>
      <c r="G497" s="6">
        <v>250</v>
      </c>
      <c r="H497" s="6"/>
      <c r="I497" s="6"/>
      <c r="J497" s="6">
        <f t="shared" si="63"/>
        <v>1000</v>
      </c>
      <c r="K497" s="6">
        <f t="shared" si="65"/>
        <v>1000</v>
      </c>
      <c r="L497" s="122">
        <f t="shared" si="64"/>
        <v>0</v>
      </c>
      <c r="M497" s="127"/>
      <c r="N497" s="7" t="s">
        <v>1</v>
      </c>
      <c r="O497" s="148" t="s">
        <v>24</v>
      </c>
      <c r="P497" s="149"/>
      <c r="Q497" s="184"/>
      <c r="R497" s="161"/>
      <c r="S497" s="268"/>
      <c r="T497" s="268"/>
      <c r="U497" s="64"/>
    </row>
    <row r="498" spans="1:21" s="27" customFormat="1" ht="42.75">
      <c r="A498" s="3" t="s">
        <v>56</v>
      </c>
      <c r="B498" s="4" t="s">
        <v>623</v>
      </c>
      <c r="C498" s="5" t="s">
        <v>228</v>
      </c>
      <c r="D498" s="6">
        <v>5</v>
      </c>
      <c r="E498" s="6">
        <v>5</v>
      </c>
      <c r="F498" s="6">
        <f t="shared" si="66"/>
        <v>0</v>
      </c>
      <c r="G498" s="6">
        <v>8300</v>
      </c>
      <c r="H498" s="6"/>
      <c r="I498" s="6"/>
      <c r="J498" s="6">
        <f t="shared" si="63"/>
        <v>41500</v>
      </c>
      <c r="K498" s="6">
        <f t="shared" si="65"/>
        <v>41500</v>
      </c>
      <c r="L498" s="122">
        <f t="shared" si="64"/>
        <v>0</v>
      </c>
      <c r="M498" s="127"/>
      <c r="N498" s="7" t="s">
        <v>1</v>
      </c>
      <c r="O498" s="148" t="s">
        <v>24</v>
      </c>
      <c r="P498" s="149"/>
      <c r="Q498" s="184"/>
      <c r="R498" s="161"/>
      <c r="S498" s="268"/>
      <c r="T498" s="268"/>
      <c r="U498" s="64"/>
    </row>
    <row r="499" spans="1:21" s="27" customFormat="1" ht="33">
      <c r="A499" s="3" t="s">
        <v>58</v>
      </c>
      <c r="B499" s="4" t="s">
        <v>624</v>
      </c>
      <c r="C499" s="5" t="s">
        <v>228</v>
      </c>
      <c r="D499" s="6">
        <v>5</v>
      </c>
      <c r="E499" s="6">
        <v>5</v>
      </c>
      <c r="F499" s="6">
        <f t="shared" si="66"/>
        <v>0</v>
      </c>
      <c r="G499" s="6">
        <v>1160</v>
      </c>
      <c r="H499" s="6"/>
      <c r="I499" s="6"/>
      <c r="J499" s="6">
        <f t="shared" si="63"/>
        <v>5800</v>
      </c>
      <c r="K499" s="6">
        <f t="shared" si="65"/>
        <v>5800</v>
      </c>
      <c r="L499" s="122">
        <f t="shared" si="64"/>
        <v>0</v>
      </c>
      <c r="M499" s="127"/>
      <c r="N499" s="7" t="s">
        <v>1</v>
      </c>
      <c r="O499" s="148" t="s">
        <v>24</v>
      </c>
      <c r="P499" s="149"/>
      <c r="Q499" s="184"/>
      <c r="R499" s="161"/>
      <c r="S499" s="268"/>
      <c r="T499" s="268"/>
      <c r="U499" s="64"/>
    </row>
    <row r="500" spans="1:21" s="27" customFormat="1" ht="42.75">
      <c r="A500" s="3" t="s">
        <v>60</v>
      </c>
      <c r="B500" s="4" t="s">
        <v>625</v>
      </c>
      <c r="C500" s="5" t="s">
        <v>228</v>
      </c>
      <c r="D500" s="6">
        <v>5</v>
      </c>
      <c r="E500" s="6">
        <v>5</v>
      </c>
      <c r="F500" s="6">
        <f t="shared" si="66"/>
        <v>0</v>
      </c>
      <c r="G500" s="6">
        <v>600</v>
      </c>
      <c r="H500" s="6"/>
      <c r="I500" s="6"/>
      <c r="J500" s="6">
        <f t="shared" si="63"/>
        <v>3000</v>
      </c>
      <c r="K500" s="6">
        <f t="shared" si="65"/>
        <v>3000</v>
      </c>
      <c r="L500" s="122">
        <f t="shared" si="64"/>
        <v>0</v>
      </c>
      <c r="M500" s="127"/>
      <c r="N500" s="7" t="s">
        <v>1</v>
      </c>
      <c r="O500" s="148" t="s">
        <v>24</v>
      </c>
      <c r="P500" s="149"/>
      <c r="Q500" s="184"/>
      <c r="R500" s="161"/>
      <c r="S500" s="268"/>
      <c r="T500" s="268"/>
      <c r="U500" s="64"/>
    </row>
    <row r="501" spans="1:21" s="27" customFormat="1" ht="42.75">
      <c r="A501" s="3" t="s">
        <v>63</v>
      </c>
      <c r="B501" s="4" t="s">
        <v>626</v>
      </c>
      <c r="C501" s="5" t="s">
        <v>228</v>
      </c>
      <c r="D501" s="6">
        <v>5</v>
      </c>
      <c r="E501" s="6">
        <v>5</v>
      </c>
      <c r="F501" s="6">
        <f t="shared" si="66"/>
        <v>0</v>
      </c>
      <c r="G501" s="6">
        <v>1800</v>
      </c>
      <c r="H501" s="6"/>
      <c r="I501" s="6"/>
      <c r="J501" s="6">
        <f t="shared" si="63"/>
        <v>9000</v>
      </c>
      <c r="K501" s="6">
        <f t="shared" si="65"/>
        <v>9000</v>
      </c>
      <c r="L501" s="122">
        <f t="shared" si="64"/>
        <v>0</v>
      </c>
      <c r="M501" s="127"/>
      <c r="N501" s="7" t="s">
        <v>1</v>
      </c>
      <c r="O501" s="148" t="s">
        <v>24</v>
      </c>
      <c r="P501" s="149"/>
      <c r="Q501" s="184"/>
      <c r="R501" s="161"/>
      <c r="S501" s="268"/>
      <c r="T501" s="268"/>
      <c r="U501" s="64"/>
    </row>
    <row r="502" spans="1:21" s="27" customFormat="1" ht="33">
      <c r="A502" s="3" t="s">
        <v>67</v>
      </c>
      <c r="B502" s="4" t="s">
        <v>627</v>
      </c>
      <c r="C502" s="5" t="s">
        <v>228</v>
      </c>
      <c r="D502" s="6">
        <v>80</v>
      </c>
      <c r="E502" s="6">
        <v>80</v>
      </c>
      <c r="F502" s="6">
        <f t="shared" si="66"/>
        <v>0</v>
      </c>
      <c r="G502" s="6">
        <v>2200</v>
      </c>
      <c r="H502" s="6"/>
      <c r="I502" s="6"/>
      <c r="J502" s="6">
        <f t="shared" si="63"/>
        <v>176000</v>
      </c>
      <c r="K502" s="6">
        <f t="shared" si="65"/>
        <v>176000</v>
      </c>
      <c r="L502" s="122">
        <f t="shared" si="64"/>
        <v>0</v>
      </c>
      <c r="M502" s="127"/>
      <c r="N502" s="7" t="s">
        <v>1</v>
      </c>
      <c r="O502" s="148" t="s">
        <v>24</v>
      </c>
      <c r="P502" s="149"/>
      <c r="Q502" s="184"/>
      <c r="R502" s="161"/>
      <c r="S502" s="268"/>
      <c r="T502" s="268"/>
      <c r="U502" s="64"/>
    </row>
    <row r="503" spans="1:21" s="27" customFormat="1" ht="33">
      <c r="A503" s="3" t="s">
        <v>69</v>
      </c>
      <c r="B503" s="4" t="s">
        <v>628</v>
      </c>
      <c r="C503" s="5" t="s">
        <v>23</v>
      </c>
      <c r="D503" s="6">
        <v>1</v>
      </c>
      <c r="E503" s="6">
        <v>1</v>
      </c>
      <c r="F503" s="6">
        <f t="shared" si="66"/>
        <v>0</v>
      </c>
      <c r="G503" s="6">
        <v>261478.99</v>
      </c>
      <c r="H503" s="6"/>
      <c r="I503" s="6"/>
      <c r="J503" s="6">
        <f t="shared" si="63"/>
        <v>261478.99</v>
      </c>
      <c r="K503" s="6">
        <f t="shared" si="65"/>
        <v>261478.99</v>
      </c>
      <c r="L503" s="122">
        <f t="shared" si="64"/>
        <v>0</v>
      </c>
      <c r="M503" s="127"/>
      <c r="N503" s="7" t="s">
        <v>1</v>
      </c>
      <c r="O503" s="148" t="s">
        <v>24</v>
      </c>
      <c r="P503" s="149"/>
      <c r="Q503" s="184"/>
      <c r="R503" s="161"/>
      <c r="S503" s="268"/>
      <c r="T503" s="268"/>
      <c r="U503" s="64"/>
    </row>
    <row r="504" spans="1:21" s="27" customFormat="1" ht="33">
      <c r="A504" s="3" t="s">
        <v>73</v>
      </c>
      <c r="B504" s="4" t="s">
        <v>629</v>
      </c>
      <c r="C504" s="5" t="s">
        <v>36</v>
      </c>
      <c r="D504" s="6">
        <v>5000</v>
      </c>
      <c r="E504" s="6">
        <v>5000</v>
      </c>
      <c r="F504" s="6">
        <f t="shared" si="66"/>
        <v>0</v>
      </c>
      <c r="G504" s="6">
        <v>13</v>
      </c>
      <c r="H504" s="6"/>
      <c r="I504" s="6"/>
      <c r="J504" s="6">
        <f t="shared" si="63"/>
        <v>65000</v>
      </c>
      <c r="K504" s="6">
        <f t="shared" si="65"/>
        <v>65000</v>
      </c>
      <c r="L504" s="122">
        <f t="shared" si="64"/>
        <v>0</v>
      </c>
      <c r="M504" s="127"/>
      <c r="N504" s="7" t="s">
        <v>1</v>
      </c>
      <c r="O504" s="148" t="s">
        <v>24</v>
      </c>
      <c r="P504" s="149"/>
      <c r="Q504" s="184"/>
      <c r="R504" s="161"/>
      <c r="S504" s="268"/>
      <c r="T504" s="268"/>
      <c r="U504" s="64"/>
    </row>
    <row r="505" spans="1:21" s="27" customFormat="1" ht="42.75">
      <c r="A505" s="3" t="s">
        <v>76</v>
      </c>
      <c r="B505" s="4" t="s">
        <v>630</v>
      </c>
      <c r="C505" s="5" t="s">
        <v>631</v>
      </c>
      <c r="D505" s="6">
        <v>48</v>
      </c>
      <c r="E505" s="6">
        <v>48</v>
      </c>
      <c r="F505" s="6">
        <f t="shared" si="66"/>
        <v>0</v>
      </c>
      <c r="G505" s="6">
        <v>47468</v>
      </c>
      <c r="H505" s="6"/>
      <c r="I505" s="6"/>
      <c r="J505" s="6">
        <f t="shared" si="63"/>
        <v>2278464</v>
      </c>
      <c r="K505" s="6">
        <f t="shared" si="65"/>
        <v>2278464</v>
      </c>
      <c r="L505" s="122">
        <f t="shared" si="64"/>
        <v>0</v>
      </c>
      <c r="M505" s="127"/>
      <c r="N505" s="7" t="s">
        <v>632</v>
      </c>
      <c r="O505" s="148" t="s">
        <v>24</v>
      </c>
      <c r="P505" s="149"/>
      <c r="Q505" s="184"/>
      <c r="R505" s="161"/>
      <c r="S505" s="268"/>
      <c r="T505" s="268"/>
      <c r="U505" s="64"/>
    </row>
    <row r="506" spans="1:21" s="27" customFormat="1" ht="33">
      <c r="A506" s="3" t="s">
        <v>79</v>
      </c>
      <c r="B506" s="4" t="s">
        <v>633</v>
      </c>
      <c r="C506" s="5" t="s">
        <v>23</v>
      </c>
      <c r="D506" s="6">
        <v>1</v>
      </c>
      <c r="E506" s="6">
        <v>1</v>
      </c>
      <c r="F506" s="6">
        <f t="shared" si="66"/>
        <v>0</v>
      </c>
      <c r="G506" s="6">
        <v>111233.97</v>
      </c>
      <c r="H506" s="6"/>
      <c r="I506" s="6"/>
      <c r="J506" s="6">
        <f t="shared" si="63"/>
        <v>111233.97</v>
      </c>
      <c r="K506" s="6">
        <f t="shared" si="65"/>
        <v>111233.97</v>
      </c>
      <c r="L506" s="122">
        <f t="shared" si="64"/>
        <v>0</v>
      </c>
      <c r="M506" s="127"/>
      <c r="N506" s="7" t="s">
        <v>634</v>
      </c>
      <c r="O506" s="148" t="s">
        <v>24</v>
      </c>
      <c r="P506" s="149"/>
      <c r="Q506" s="184"/>
      <c r="R506" s="161"/>
      <c r="S506" s="268"/>
      <c r="T506" s="268"/>
      <c r="U506" s="64"/>
    </row>
    <row r="507" spans="1:21" s="27" customFormat="1" ht="26.1" customHeight="1">
      <c r="A507" s="200" t="s">
        <v>635</v>
      </c>
      <c r="B507" s="201" t="s">
        <v>636</v>
      </c>
      <c r="C507" s="202" t="s">
        <v>23</v>
      </c>
      <c r="D507" s="203">
        <v>1</v>
      </c>
      <c r="E507" s="203"/>
      <c r="F507" s="203"/>
      <c r="G507" s="203">
        <f>J507</f>
        <v>2884379.96</v>
      </c>
      <c r="H507" s="203"/>
      <c r="I507" s="203"/>
      <c r="J507" s="203">
        <f>SUM(J508:J509)</f>
        <v>2884379.96</v>
      </c>
      <c r="K507" s="203">
        <f>SUM(K508:K509)</f>
        <v>2884379.96</v>
      </c>
      <c r="L507" s="205">
        <f>SUM(L508:L509)</f>
        <v>0</v>
      </c>
      <c r="M507" s="207">
        <f>SUM(M508:M509)</f>
        <v>0</v>
      </c>
      <c r="N507" s="208" t="s">
        <v>1</v>
      </c>
      <c r="O507" s="148" t="s">
        <v>24</v>
      </c>
      <c r="P507" s="149"/>
      <c r="Q507" s="184"/>
      <c r="R507" s="161"/>
      <c r="S507" s="268"/>
      <c r="T507" s="268"/>
      <c r="U507" s="64"/>
    </row>
    <row r="508" spans="1:21" s="27" customFormat="1" ht="42.75">
      <c r="A508" s="3" t="s">
        <v>29</v>
      </c>
      <c r="B508" s="4" t="s">
        <v>637</v>
      </c>
      <c r="C508" s="5" t="s">
        <v>631</v>
      </c>
      <c r="D508" s="6">
        <v>48</v>
      </c>
      <c r="E508" s="6">
        <v>48</v>
      </c>
      <c r="F508" s="6">
        <f t="shared" si="66"/>
        <v>0</v>
      </c>
      <c r="G508" s="6">
        <v>47468</v>
      </c>
      <c r="H508" s="6"/>
      <c r="I508" s="6"/>
      <c r="J508" s="6">
        <f t="shared" ref="J508:J514" si="67">D508*G508</f>
        <v>2278464</v>
      </c>
      <c r="K508" s="6">
        <f>E508*G508</f>
        <v>2278464</v>
      </c>
      <c r="L508" s="122">
        <f>K508-J508</f>
        <v>0</v>
      </c>
      <c r="M508" s="127"/>
      <c r="N508" s="7" t="s">
        <v>632</v>
      </c>
      <c r="O508" s="148" t="s">
        <v>24</v>
      </c>
      <c r="P508" s="149"/>
      <c r="Q508" s="184"/>
      <c r="R508" s="161"/>
      <c r="S508" s="268"/>
      <c r="T508" s="268"/>
      <c r="U508" s="64"/>
    </row>
    <row r="509" spans="1:21" s="27" customFormat="1" ht="42.75">
      <c r="A509" s="3" t="s">
        <v>32</v>
      </c>
      <c r="B509" s="4" t="s">
        <v>638</v>
      </c>
      <c r="C509" s="5" t="s">
        <v>23</v>
      </c>
      <c r="D509" s="6">
        <v>1</v>
      </c>
      <c r="E509" s="6">
        <v>1</v>
      </c>
      <c r="F509" s="6">
        <f t="shared" si="66"/>
        <v>0</v>
      </c>
      <c r="G509" s="6">
        <v>605915.96</v>
      </c>
      <c r="H509" s="6"/>
      <c r="I509" s="6"/>
      <c r="J509" s="6">
        <f t="shared" si="67"/>
        <v>605915.96</v>
      </c>
      <c r="K509" s="6">
        <f>E509*G509</f>
        <v>605915.96</v>
      </c>
      <c r="L509" s="122">
        <f>K509-J509</f>
        <v>0</v>
      </c>
      <c r="M509" s="127"/>
      <c r="N509" s="7" t="s">
        <v>639</v>
      </c>
      <c r="O509" s="148" t="s">
        <v>24</v>
      </c>
      <c r="P509" s="149"/>
      <c r="Q509" s="184"/>
      <c r="R509" s="161"/>
      <c r="S509" s="268"/>
      <c r="T509" s="268"/>
      <c r="U509" s="64"/>
    </row>
    <row r="510" spans="1:21" s="27" customFormat="1" ht="42">
      <c r="A510" s="3" t="s">
        <v>640</v>
      </c>
      <c r="B510" s="4" t="s">
        <v>641</v>
      </c>
      <c r="C510" s="5" t="s">
        <v>23</v>
      </c>
      <c r="D510" s="6">
        <v>1</v>
      </c>
      <c r="E510" s="6"/>
      <c r="F510" s="6"/>
      <c r="G510" s="6">
        <f>J510</f>
        <v>35719969.310000002</v>
      </c>
      <c r="H510" s="6"/>
      <c r="I510" s="6"/>
      <c r="J510" s="6">
        <v>35719969.310000002</v>
      </c>
      <c r="K510" s="6">
        <f>(K507+K487+K466+K422+K392+K384+K342+K252+K234+K215+K189+K40+K11+K141+K462)*10.89/100</f>
        <v>37273719.232734352</v>
      </c>
      <c r="L510" s="122">
        <f>K510-J510</f>
        <v>1553749.92273435</v>
      </c>
      <c r="M510" s="127"/>
      <c r="N510" s="210" t="s">
        <v>642</v>
      </c>
      <c r="O510" s="148" t="s">
        <v>24</v>
      </c>
      <c r="P510" s="149"/>
      <c r="Q510" s="184"/>
      <c r="R510" s="161"/>
      <c r="S510" s="268"/>
      <c r="T510" s="268"/>
      <c r="U510" s="64"/>
    </row>
    <row r="511" spans="1:21" s="27" customFormat="1" ht="41.25">
      <c r="A511" s="102" t="s">
        <v>643</v>
      </c>
      <c r="B511" s="103" t="s">
        <v>644</v>
      </c>
      <c r="C511" s="104" t="s">
        <v>23</v>
      </c>
      <c r="D511" s="105">
        <v>1</v>
      </c>
      <c r="E511" s="105"/>
      <c r="F511" s="105"/>
      <c r="G511" s="105">
        <v>3336000</v>
      </c>
      <c r="H511" s="105"/>
      <c r="I511" s="105"/>
      <c r="J511" s="105">
        <f>J512</f>
        <v>3389250</v>
      </c>
      <c r="K511" s="105">
        <f>K512</f>
        <v>4218780</v>
      </c>
      <c r="L511" s="121"/>
      <c r="M511" s="132"/>
      <c r="N511" s="216" t="s">
        <v>645</v>
      </c>
      <c r="O511" s="148" t="s">
        <v>24</v>
      </c>
      <c r="P511" s="149"/>
      <c r="Q511" s="184"/>
      <c r="R511" s="161"/>
      <c r="S511" s="268"/>
      <c r="T511" s="268"/>
      <c r="U511" s="64"/>
    </row>
    <row r="512" spans="1:21" s="27" customFormat="1" ht="33">
      <c r="A512" s="71" t="s">
        <v>29</v>
      </c>
      <c r="B512" s="72" t="s">
        <v>644</v>
      </c>
      <c r="C512" s="73" t="s">
        <v>31</v>
      </c>
      <c r="D512" s="74">
        <f>D18</f>
        <v>22595</v>
      </c>
      <c r="E512" s="74">
        <f>E18</f>
        <v>28125.200000000001</v>
      </c>
      <c r="F512" s="74">
        <f>E512-D512</f>
        <v>5530.2000000000007</v>
      </c>
      <c r="G512" s="74">
        <v>150</v>
      </c>
      <c r="H512" s="74"/>
      <c r="I512" s="74"/>
      <c r="J512" s="74">
        <f t="shared" si="67"/>
        <v>3389250</v>
      </c>
      <c r="K512" s="74">
        <f>E512*G512</f>
        <v>4218780</v>
      </c>
      <c r="L512" s="123">
        <f>K512-J512</f>
        <v>829530</v>
      </c>
      <c r="M512" s="128"/>
      <c r="N512" s="76" t="s">
        <v>1</v>
      </c>
      <c r="O512" s="162" t="s">
        <v>24</v>
      </c>
      <c r="P512" s="163"/>
      <c r="Q512" s="179"/>
      <c r="R512" s="279" t="s">
        <v>903</v>
      </c>
      <c r="S512" s="268"/>
      <c r="T512" s="268"/>
      <c r="U512" s="64"/>
    </row>
    <row r="513" spans="1:21" s="27" customFormat="1" ht="142.5">
      <c r="A513" s="102" t="s">
        <v>646</v>
      </c>
      <c r="B513" s="103" t="s">
        <v>647</v>
      </c>
      <c r="C513" s="104" t="s">
        <v>23</v>
      </c>
      <c r="D513" s="105">
        <v>1</v>
      </c>
      <c r="E513" s="105"/>
      <c r="F513" s="105"/>
      <c r="G513" s="105">
        <v>212800</v>
      </c>
      <c r="H513" s="105"/>
      <c r="I513" s="105"/>
      <c r="J513" s="105">
        <f>J514</f>
        <v>212800</v>
      </c>
      <c r="K513" s="105">
        <f>K514</f>
        <v>212800</v>
      </c>
      <c r="L513" s="121"/>
      <c r="M513" s="132"/>
      <c r="N513" s="106" t="s">
        <v>648</v>
      </c>
      <c r="O513" s="148" t="s">
        <v>24</v>
      </c>
      <c r="P513" s="149"/>
      <c r="Q513" s="184"/>
      <c r="R513" s="161"/>
      <c r="S513" s="268"/>
      <c r="T513" s="268"/>
      <c r="U513" s="64"/>
    </row>
    <row r="514" spans="1:21" s="27" customFormat="1" ht="33">
      <c r="A514" s="43" t="s">
        <v>29</v>
      </c>
      <c r="B514" s="44" t="s">
        <v>649</v>
      </c>
      <c r="C514" s="31" t="s">
        <v>52</v>
      </c>
      <c r="D514" s="45">
        <v>3800</v>
      </c>
      <c r="E514" s="45">
        <v>3800</v>
      </c>
      <c r="F514" s="45">
        <v>0</v>
      </c>
      <c r="G514" s="45">
        <v>56</v>
      </c>
      <c r="H514" s="45"/>
      <c r="I514" s="45"/>
      <c r="J514" s="6">
        <f t="shared" si="67"/>
        <v>212800</v>
      </c>
      <c r="K514" s="6">
        <f>E514*G514</f>
        <v>212800</v>
      </c>
      <c r="L514" s="122">
        <f>K514-J514</f>
        <v>0</v>
      </c>
      <c r="M514" s="136"/>
      <c r="N514" s="46" t="s">
        <v>1</v>
      </c>
      <c r="O514" s="186" t="s">
        <v>24</v>
      </c>
      <c r="P514" s="187"/>
      <c r="Q514" s="199"/>
      <c r="R514" s="193"/>
      <c r="S514" s="268"/>
      <c r="T514" s="268"/>
      <c r="U514" s="64"/>
    </row>
  </sheetData>
  <autoFilter ref="A1:V514" xr:uid="{879D548A-97D0-4726-A98E-C23DA1AA0598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31">
    <mergeCell ref="S7:S8"/>
    <mergeCell ref="N7:N8"/>
    <mergeCell ref="M7:M8"/>
    <mergeCell ref="K7:K8"/>
    <mergeCell ref="L7:L8"/>
    <mergeCell ref="R7:R8"/>
    <mergeCell ref="P7:P8"/>
    <mergeCell ref="A2:B2"/>
    <mergeCell ref="C2:L2"/>
    <mergeCell ref="A3:K3"/>
    <mergeCell ref="M3:N3"/>
    <mergeCell ref="U7:U8"/>
    <mergeCell ref="T7:T8"/>
    <mergeCell ref="Q7:Q8"/>
    <mergeCell ref="A4:J4"/>
    <mergeCell ref="M4:N4"/>
    <mergeCell ref="A5:J5"/>
    <mergeCell ref="M5:N5"/>
    <mergeCell ref="A6:J6"/>
    <mergeCell ref="M6:N6"/>
    <mergeCell ref="A7:A8"/>
    <mergeCell ref="B7:B8"/>
    <mergeCell ref="C7:C8"/>
    <mergeCell ref="G7:G8"/>
    <mergeCell ref="H7:H8"/>
    <mergeCell ref="I7:I8"/>
    <mergeCell ref="J7:J8"/>
    <mergeCell ref="C1:L1"/>
    <mergeCell ref="D7:D8"/>
    <mergeCell ref="E7:E8"/>
    <mergeCell ref="F7:F8"/>
  </mergeCells>
  <phoneticPr fontId="3" type="noConversion"/>
  <pageMargins left="0.51181102362204722" right="0.31496062992125984" top="0.55118110236220474" bottom="0.55118110236220474" header="0.31496062992125984" footer="0.31496062992125984"/>
  <pageSetup paperSize="8" scale="105" fitToHeight="0" orientation="landscape" r:id="rId1"/>
  <headerFoot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8B6F-471A-48E9-80EC-380A11A0B5CD}">
  <sheetPr>
    <tabColor rgb="FFFF0000"/>
  </sheetPr>
  <dimension ref="A1:K226"/>
  <sheetViews>
    <sheetView view="pageBreakPreview" zoomScale="130" zoomScaleNormal="100" zoomScaleSheetLayoutView="130" workbookViewId="0">
      <pane ySplit="5" topLeftCell="A9" activePane="bottomLeft" state="frozen"/>
      <selection activeCell="K1" sqref="K1:L1048576"/>
      <selection pane="bottomLeft" activeCell="F131" sqref="F131:H131"/>
    </sheetView>
  </sheetViews>
  <sheetFormatPr defaultRowHeight="16.5"/>
  <cols>
    <col min="1" max="1" width="5.125" style="317" customWidth="1"/>
    <col min="2" max="2" width="28" style="317" customWidth="1"/>
    <col min="3" max="3" width="6" style="317" customWidth="1"/>
    <col min="4" max="4" width="14.375" style="317" customWidth="1"/>
    <col min="5" max="5" width="12.5" style="317" customWidth="1"/>
    <col min="6" max="6" width="26.875" style="328" customWidth="1"/>
    <col min="7" max="7" width="26.875" style="357" customWidth="1"/>
    <col min="8" max="8" width="11.5" style="330" customWidth="1"/>
    <col min="9" max="9" width="10.75" style="325" customWidth="1"/>
    <col min="10" max="10" width="12.125" style="325" customWidth="1"/>
    <col min="11" max="11" width="9" style="292"/>
    <col min="12" max="16384" width="9" style="293"/>
  </cols>
  <sheetData>
    <row r="1" spans="1:11" ht="21" customHeight="1">
      <c r="A1" s="813" t="s">
        <v>0</v>
      </c>
      <c r="B1" s="814"/>
      <c r="C1" s="814"/>
      <c r="D1" s="814"/>
      <c r="E1" s="814"/>
      <c r="F1" s="814"/>
      <c r="G1" s="814"/>
      <c r="H1" s="814"/>
      <c r="I1" s="290"/>
      <c r="J1" s="291"/>
    </row>
    <row r="2" spans="1:11">
      <c r="A2" s="815" t="s">
        <v>907</v>
      </c>
      <c r="B2" s="816"/>
      <c r="C2" s="816"/>
      <c r="D2" s="816"/>
      <c r="E2" s="816"/>
      <c r="F2" s="816"/>
      <c r="G2" s="816"/>
      <c r="H2" s="816"/>
      <c r="I2" s="294"/>
      <c r="J2" s="295"/>
    </row>
    <row r="3" spans="1:11">
      <c r="A3" s="817" t="s">
        <v>908</v>
      </c>
      <c r="B3" s="818"/>
      <c r="C3" s="818"/>
      <c r="D3" s="818"/>
      <c r="E3" s="818"/>
      <c r="F3" s="818"/>
      <c r="G3" s="818"/>
      <c r="H3" s="818"/>
      <c r="I3" s="294"/>
      <c r="J3" s="295"/>
    </row>
    <row r="4" spans="1:11">
      <c r="A4" s="817" t="s">
        <v>909</v>
      </c>
      <c r="B4" s="818"/>
      <c r="C4" s="818"/>
      <c r="D4" s="818"/>
      <c r="E4" s="818"/>
      <c r="F4" s="818"/>
      <c r="G4" s="819" t="s">
        <v>910</v>
      </c>
      <c r="H4" s="819"/>
      <c r="I4" s="296"/>
      <c r="J4" s="297"/>
    </row>
    <row r="5" spans="1:11">
      <c r="A5" s="298" t="s">
        <v>9</v>
      </c>
      <c r="B5" s="299" t="s">
        <v>911</v>
      </c>
      <c r="C5" s="299" t="s">
        <v>11</v>
      </c>
      <c r="D5" s="299" t="s">
        <v>912</v>
      </c>
      <c r="E5" s="299" t="s">
        <v>913</v>
      </c>
      <c r="F5" s="300" t="s">
        <v>914</v>
      </c>
      <c r="G5" s="301" t="s">
        <v>915</v>
      </c>
      <c r="H5" s="302" t="s">
        <v>916</v>
      </c>
      <c r="I5" s="296" t="s">
        <v>1920</v>
      </c>
      <c r="J5" s="303" t="s">
        <v>917</v>
      </c>
      <c r="K5" s="304"/>
    </row>
    <row r="6" spans="1:11">
      <c r="A6" s="305" t="s">
        <v>918</v>
      </c>
      <c r="B6" s="306" t="s">
        <v>26</v>
      </c>
      <c r="C6" s="301" t="s">
        <v>23</v>
      </c>
      <c r="D6" s="307">
        <v>1</v>
      </c>
      <c r="E6" s="307"/>
      <c r="F6" s="308"/>
      <c r="G6" s="309"/>
      <c r="H6" s="302"/>
      <c r="I6" s="296"/>
      <c r="J6" s="297"/>
    </row>
    <row r="7" spans="1:11">
      <c r="A7" s="305" t="s">
        <v>919</v>
      </c>
      <c r="B7" s="306" t="s">
        <v>28</v>
      </c>
      <c r="C7" s="301" t="s">
        <v>23</v>
      </c>
      <c r="D7" s="307">
        <v>1</v>
      </c>
      <c r="E7" s="307"/>
      <c r="F7" s="308"/>
      <c r="G7" s="309"/>
      <c r="H7" s="302"/>
      <c r="I7" s="296"/>
      <c r="J7" s="297"/>
    </row>
    <row r="8" spans="1:11" ht="66">
      <c r="A8" s="310" t="s">
        <v>920</v>
      </c>
      <c r="B8" s="306" t="s">
        <v>30</v>
      </c>
      <c r="C8" s="301" t="s">
        <v>31</v>
      </c>
      <c r="D8" s="307">
        <v>544.66</v>
      </c>
      <c r="E8" s="307"/>
      <c r="F8" s="683" t="s">
        <v>921</v>
      </c>
      <c r="G8" s="684" t="s">
        <v>922</v>
      </c>
      <c r="H8" s="685">
        <f>(131+146.5+160.4+149.8+24.6+311.1)*0.1</f>
        <v>92.340000000000018</v>
      </c>
      <c r="I8" s="311">
        <f>SUM(H8:H9)</f>
        <v>525.96</v>
      </c>
      <c r="J8" s="668">
        <f>SUM(H8:H9)</f>
        <v>525.96</v>
      </c>
    </row>
    <row r="9" spans="1:11" ht="66">
      <c r="A9" s="310"/>
      <c r="B9" s="306"/>
      <c r="C9" s="301"/>
      <c r="D9" s="307"/>
      <c r="E9" s="307"/>
      <c r="F9" s="683" t="s">
        <v>923</v>
      </c>
      <c r="G9" s="684" t="s">
        <v>924</v>
      </c>
      <c r="H9" s="685">
        <f>(339.4+542.2+512+774.5)*0.2</f>
        <v>433.62</v>
      </c>
      <c r="I9" s="296"/>
      <c r="J9" s="297"/>
    </row>
    <row r="10" spans="1:11">
      <c r="A10" s="310"/>
      <c r="B10" s="306"/>
      <c r="C10" s="301"/>
      <c r="D10" s="307"/>
      <c r="E10" s="307"/>
      <c r="F10" s="312"/>
      <c r="G10" s="313"/>
      <c r="H10" s="302"/>
      <c r="I10" s="296"/>
      <c r="J10" s="297"/>
    </row>
    <row r="11" spans="1:11" ht="33">
      <c r="A11" s="310" t="s">
        <v>925</v>
      </c>
      <c r="B11" s="306" t="s">
        <v>33</v>
      </c>
      <c r="C11" s="301" t="s">
        <v>31</v>
      </c>
      <c r="D11" s="307">
        <v>7089.42</v>
      </c>
      <c r="E11" s="307"/>
      <c r="F11" s="683" t="s">
        <v>926</v>
      </c>
      <c r="G11" s="684" t="s">
        <v>927</v>
      </c>
      <c r="H11" s="685">
        <f>(825.8+623.9+1160.3+964.3+522.6+839.7)*0.3</f>
        <v>1480.98</v>
      </c>
      <c r="I11" s="311">
        <f>SUM(H11:H24)-H13-H15-H16</f>
        <v>6176.5002999999988</v>
      </c>
      <c r="J11" s="668">
        <f>SUM(H11:H24)</f>
        <v>7029.4501999999984</v>
      </c>
    </row>
    <row r="12" spans="1:11" ht="33">
      <c r="A12" s="310"/>
      <c r="B12" s="306"/>
      <c r="C12" s="301"/>
      <c r="D12" s="307"/>
      <c r="E12" s="307"/>
      <c r="F12" s="683" t="s">
        <v>928</v>
      </c>
      <c r="G12" s="684" t="s">
        <v>929</v>
      </c>
      <c r="H12" s="685">
        <f>(69.3+116+83.4+87+0+34.5)*2.6</f>
        <v>1014.5200000000002</v>
      </c>
      <c r="I12" s="296"/>
      <c r="J12" s="297"/>
    </row>
    <row r="13" spans="1:11" ht="33">
      <c r="A13" s="310"/>
      <c r="B13" s="306"/>
      <c r="C13" s="301"/>
      <c r="D13" s="307"/>
      <c r="E13" s="307"/>
      <c r="F13" s="314" t="s">
        <v>930</v>
      </c>
      <c r="G13" s="315" t="s">
        <v>931</v>
      </c>
      <c r="H13" s="316">
        <f>(52.8+101.5+85+42.9+18.9+17.9)*1</f>
        <v>318.99999999999994</v>
      </c>
      <c r="I13" s="296"/>
      <c r="J13" s="297"/>
    </row>
    <row r="14" spans="1:11">
      <c r="A14" s="310"/>
      <c r="B14" s="306"/>
      <c r="C14" s="301"/>
      <c r="D14" s="307"/>
      <c r="E14" s="307"/>
      <c r="F14" s="683" t="s">
        <v>932</v>
      </c>
      <c r="G14" s="684" t="s">
        <v>933</v>
      </c>
      <c r="H14" s="685">
        <f>(16.7+14.8+0+0+0+5.1)*2.2</f>
        <v>80.52000000000001</v>
      </c>
      <c r="I14" s="296"/>
      <c r="J14" s="297"/>
    </row>
    <row r="15" spans="1:11" ht="33">
      <c r="A15" s="310"/>
      <c r="B15" s="306"/>
      <c r="C15" s="301"/>
      <c r="D15" s="307"/>
      <c r="E15" s="307"/>
      <c r="F15" s="314" t="s">
        <v>934</v>
      </c>
      <c r="G15" s="315" t="s">
        <v>935</v>
      </c>
      <c r="H15" s="316">
        <f>(209.5+221.3+250.5+260.6+0+218.8)*0.44</f>
        <v>510.70800000000003</v>
      </c>
      <c r="I15" s="296"/>
      <c r="J15" s="297"/>
    </row>
    <row r="16" spans="1:11" ht="33">
      <c r="A16" s="310"/>
      <c r="B16" s="306"/>
      <c r="C16" s="301"/>
      <c r="D16" s="307"/>
      <c r="E16" s="307"/>
      <c r="F16" s="314" t="s">
        <v>936</v>
      </c>
      <c r="G16" s="315" t="s">
        <v>937</v>
      </c>
      <c r="H16" s="316">
        <f>(144+162+145.7+151.7+0+100.9)*0.033</f>
        <v>23.241900000000001</v>
      </c>
      <c r="I16" s="296"/>
      <c r="J16" s="297"/>
    </row>
    <row r="17" spans="1:10">
      <c r="A17" s="310"/>
      <c r="B17" s="306"/>
      <c r="C17" s="301"/>
      <c r="D17" s="307"/>
      <c r="E17" s="307"/>
      <c r="F17" s="683" t="s">
        <v>938</v>
      </c>
      <c r="G17" s="684" t="s">
        <v>939</v>
      </c>
      <c r="H17" s="685">
        <f>(0+0+0+0+0+3.3)*0.4</f>
        <v>1.32</v>
      </c>
      <c r="I17" s="296"/>
      <c r="J17" s="297"/>
    </row>
    <row r="18" spans="1:10" ht="49.5">
      <c r="A18" s="310"/>
      <c r="B18" s="306"/>
      <c r="C18" s="301"/>
      <c r="D18" s="307"/>
      <c r="E18" s="307"/>
      <c r="F18" s="683" t="s">
        <v>940</v>
      </c>
      <c r="G18" s="684" t="s">
        <v>941</v>
      </c>
      <c r="H18" s="685">
        <f>(9.32-6.28)*54.61/2*7.2 + 2.5*52.14*8.7 + (9.28-8.01)*22.33/2*7.2</f>
        <v>1833.7895999999998</v>
      </c>
      <c r="I18" s="296"/>
      <c r="J18" s="297"/>
    </row>
    <row r="19" spans="1:10" ht="49.5">
      <c r="A19" s="310"/>
      <c r="B19" s="306"/>
      <c r="C19" s="301"/>
      <c r="D19" s="307"/>
      <c r="E19" s="307"/>
      <c r="F19" s="683" t="s">
        <v>942</v>
      </c>
      <c r="G19" s="684" t="s">
        <v>943</v>
      </c>
      <c r="H19" s="685">
        <f>6.2*19.95*1.5+6.2*19.95*1.5+3*1.5*2.2/2*2+1.95*1.05*1.8/2*2</f>
        <v>384.65549999999996</v>
      </c>
      <c r="I19" s="296"/>
      <c r="J19" s="297"/>
    </row>
    <row r="20" spans="1:10" ht="33">
      <c r="A20" s="310"/>
      <c r="B20" s="306"/>
      <c r="C20" s="301"/>
      <c r="D20" s="307"/>
      <c r="E20" s="307"/>
      <c r="F20" s="683" t="s">
        <v>944</v>
      </c>
      <c r="G20" s="684" t="s">
        <v>945</v>
      </c>
      <c r="H20" s="685">
        <f>11.78*13.55*2+11.78*13.55*2</f>
        <v>638.476</v>
      </c>
      <c r="I20" s="296"/>
      <c r="J20" s="297"/>
    </row>
    <row r="21" spans="1:10" ht="49.5">
      <c r="A21" s="310"/>
      <c r="B21" s="306"/>
      <c r="C21" s="301"/>
      <c r="D21" s="307"/>
      <c r="E21" s="307"/>
      <c r="F21" s="670" t="s">
        <v>946</v>
      </c>
      <c r="G21" s="671" t="s">
        <v>947</v>
      </c>
      <c r="H21" s="333">
        <f>20.98*3*0.5*2.5+236.2*0.5+20*2.5*0.3</f>
        <v>211.77499999999998</v>
      </c>
      <c r="I21" s="296"/>
      <c r="J21" s="297"/>
    </row>
    <row r="22" spans="1:10">
      <c r="A22" s="310"/>
      <c r="B22" s="306"/>
      <c r="C22" s="301"/>
      <c r="D22" s="307"/>
      <c r="E22" s="307"/>
      <c r="F22" s="683" t="s">
        <v>948</v>
      </c>
      <c r="G22" s="684" t="s">
        <v>949</v>
      </c>
      <c r="H22" s="685">
        <f>0.6*80*3</f>
        <v>144</v>
      </c>
      <c r="I22" s="296"/>
      <c r="J22" s="297"/>
    </row>
    <row r="23" spans="1:10" ht="66">
      <c r="A23" s="310"/>
      <c r="B23" s="306"/>
      <c r="C23" s="301"/>
      <c r="D23" s="307"/>
      <c r="E23" s="307"/>
      <c r="F23" s="670" t="s">
        <v>1893</v>
      </c>
      <c r="G23" s="671" t="s">
        <v>1894</v>
      </c>
      <c r="H23" s="333">
        <f>300*0.3*2+0.3*1.5*300+5*0.3*1.2*4</f>
        <v>322.2</v>
      </c>
      <c r="I23" s="296"/>
      <c r="J23" s="297"/>
    </row>
    <row r="24" spans="1:10" ht="33">
      <c r="A24" s="310"/>
      <c r="B24" s="306"/>
      <c r="C24" s="301"/>
      <c r="D24" s="307"/>
      <c r="F24" s="686" t="s">
        <v>950</v>
      </c>
      <c r="G24" s="687" t="s">
        <v>951</v>
      </c>
      <c r="H24" s="688">
        <f>11.77*5.46</f>
        <v>64.264200000000002</v>
      </c>
      <c r="I24" s="296"/>
      <c r="J24" s="297"/>
    </row>
    <row r="25" spans="1:10">
      <c r="A25" s="310"/>
      <c r="B25" s="306"/>
      <c r="C25" s="301"/>
      <c r="D25" s="307"/>
      <c r="F25" s="314"/>
      <c r="G25" s="313"/>
      <c r="H25" s="316"/>
      <c r="I25" s="296"/>
      <c r="J25" s="297"/>
    </row>
    <row r="26" spans="1:10" ht="113.25" customHeight="1">
      <c r="A26" s="310" t="s">
        <v>952</v>
      </c>
      <c r="B26" s="306" t="s">
        <v>35</v>
      </c>
      <c r="C26" s="301" t="s">
        <v>36</v>
      </c>
      <c r="D26" s="307">
        <v>4616</v>
      </c>
      <c r="E26" s="307"/>
      <c r="F26" s="683" t="s">
        <v>940</v>
      </c>
      <c r="G26" s="684" t="s">
        <v>1896</v>
      </c>
      <c r="H26" s="685">
        <f>54.61+54.61*(9.32-6.28)/2*2 + 52.14*8.7*6 + 22.33+22.33*(9.28-8.01)/2*2</f>
        <v>2993.0215000000003</v>
      </c>
      <c r="I26" s="311">
        <f>SUM(H26:H28)</f>
        <v>4615.0765000000001</v>
      </c>
      <c r="J26" s="668">
        <f>SUM(H26:H28)</f>
        <v>4615.0765000000001</v>
      </c>
    </row>
    <row r="27" spans="1:10" ht="49.5">
      <c r="A27" s="318"/>
      <c r="B27" s="319"/>
      <c r="C27" s="319"/>
      <c r="D27" s="319"/>
      <c r="E27" s="319"/>
      <c r="F27" s="683" t="s">
        <v>942</v>
      </c>
      <c r="G27" s="684" t="s">
        <v>1895</v>
      </c>
      <c r="H27" s="685">
        <f>19.95*6.2*4 + 1.5*2.2/2*3*2 + 1.05*1.8/2</f>
        <v>505.60499999999996</v>
      </c>
      <c r="I27" s="296"/>
      <c r="J27" s="297"/>
    </row>
    <row r="28" spans="1:10" ht="115.5">
      <c r="A28" s="318"/>
      <c r="B28" s="319"/>
      <c r="C28" s="319"/>
      <c r="D28" s="319"/>
      <c r="E28" s="319"/>
      <c r="F28" s="683" t="s">
        <v>944</v>
      </c>
      <c r="G28" s="684" t="s">
        <v>1897</v>
      </c>
      <c r="H28" s="685">
        <f>ROUND(13.55+13.55*14*0.8+11.78*0.8*8*2+11.78*1*13.55*2+13.55*(21.3-1.5)/2*2+11.78*(13.55/0.6)*0.8,2)</f>
        <v>1116.45</v>
      </c>
      <c r="I28" s="296"/>
      <c r="J28" s="297"/>
    </row>
    <row r="29" spans="1:10">
      <c r="A29" s="318"/>
      <c r="B29" s="319"/>
      <c r="C29" s="319"/>
      <c r="D29" s="319"/>
      <c r="E29" s="319"/>
      <c r="F29" s="320"/>
      <c r="G29" s="309"/>
      <c r="H29" s="302"/>
      <c r="I29" s="296"/>
      <c r="J29" s="297"/>
    </row>
    <row r="30" spans="1:10">
      <c r="A30" s="318"/>
      <c r="B30" s="319"/>
      <c r="C30" s="319"/>
      <c r="D30" s="319"/>
      <c r="E30" s="319"/>
      <c r="F30" s="320"/>
      <c r="G30" s="309"/>
      <c r="H30" s="302"/>
      <c r="I30" s="296"/>
      <c r="J30" s="297"/>
    </row>
    <row r="31" spans="1:10" ht="33">
      <c r="A31" s="310" t="s">
        <v>953</v>
      </c>
      <c r="B31" s="306" t="s">
        <v>39</v>
      </c>
      <c r="C31" s="301" t="s">
        <v>40</v>
      </c>
      <c r="D31" s="307">
        <v>29759</v>
      </c>
      <c r="E31" s="307"/>
      <c r="F31" s="683" t="s">
        <v>954</v>
      </c>
      <c r="G31" s="689">
        <v>32863</v>
      </c>
      <c r="H31" s="685">
        <f>G31</f>
        <v>32863</v>
      </c>
      <c r="I31" s="311">
        <f>H31</f>
        <v>32863</v>
      </c>
      <c r="J31" s="668">
        <f>I31</f>
        <v>32863</v>
      </c>
    </row>
    <row r="32" spans="1:10">
      <c r="A32" s="318"/>
      <c r="B32" s="319"/>
      <c r="C32" s="319"/>
      <c r="D32" s="319"/>
      <c r="E32" s="319"/>
      <c r="F32" s="321"/>
      <c r="G32" s="322"/>
      <c r="H32" s="323"/>
      <c r="I32" s="324"/>
    </row>
    <row r="33" spans="1:10">
      <c r="A33" s="318"/>
      <c r="B33" s="319"/>
      <c r="C33" s="319"/>
      <c r="D33" s="319"/>
      <c r="E33" s="319"/>
      <c r="F33" s="320"/>
      <c r="G33" s="309"/>
      <c r="H33" s="302"/>
      <c r="I33" s="296"/>
      <c r="J33" s="297"/>
    </row>
    <row r="34" spans="1:10" ht="33">
      <c r="A34" s="310" t="s">
        <v>955</v>
      </c>
      <c r="B34" s="306" t="s">
        <v>42</v>
      </c>
      <c r="C34" s="301" t="s">
        <v>31</v>
      </c>
      <c r="D34" s="307">
        <v>731.44</v>
      </c>
      <c r="E34" s="307"/>
      <c r="F34" s="672" t="s">
        <v>956</v>
      </c>
      <c r="G34" s="689" t="s">
        <v>957</v>
      </c>
      <c r="H34" s="685">
        <f>892.19*0.1</f>
        <v>89.219000000000008</v>
      </c>
      <c r="I34" s="311">
        <f>SUM(H34:H37)-H37-H39</f>
        <v>328.8900000000001</v>
      </c>
      <c r="J34" s="668">
        <f>SUM(H34:H39)</f>
        <v>735.53800000000012</v>
      </c>
    </row>
    <row r="35" spans="1:10" ht="33">
      <c r="A35" s="318"/>
      <c r="B35" s="319"/>
      <c r="C35" s="319"/>
      <c r="D35" s="319"/>
      <c r="E35" s="319"/>
      <c r="F35" s="690" t="s">
        <v>958</v>
      </c>
      <c r="G35" s="687" t="s">
        <v>959</v>
      </c>
      <c r="H35" s="691">
        <f>(613.36+615.86+589.71+964.58)*0.1</f>
        <v>278.35100000000006</v>
      </c>
      <c r="I35" s="296"/>
      <c r="J35" s="297"/>
    </row>
    <row r="36" spans="1:10">
      <c r="A36" s="318"/>
      <c r="B36" s="319"/>
      <c r="C36" s="319"/>
      <c r="D36" s="319"/>
      <c r="E36" s="319"/>
      <c r="F36" s="690" t="s">
        <v>960</v>
      </c>
      <c r="G36" s="687" t="s">
        <v>961</v>
      </c>
      <c r="H36" s="691">
        <f>346.6*0.2</f>
        <v>69.320000000000007</v>
      </c>
      <c r="I36" s="296"/>
      <c r="J36" s="297"/>
    </row>
    <row r="37" spans="1:10">
      <c r="A37" s="318"/>
      <c r="B37" s="319"/>
      <c r="C37" s="319"/>
      <c r="D37" s="319"/>
      <c r="E37" s="319"/>
      <c r="F37" s="326" t="s">
        <v>962</v>
      </c>
      <c r="G37" s="315" t="s">
        <v>963</v>
      </c>
      <c r="H37" s="327">
        <f>605.24*0.2</f>
        <v>121.048</v>
      </c>
      <c r="I37" s="296"/>
      <c r="J37" s="297"/>
    </row>
    <row r="38" spans="1:10">
      <c r="A38" s="318"/>
      <c r="B38" s="319"/>
      <c r="C38" s="319"/>
      <c r="D38" s="319"/>
      <c r="E38" s="319"/>
      <c r="F38" s="328" t="s">
        <v>964</v>
      </c>
      <c r="G38" s="329" t="s">
        <v>965</v>
      </c>
      <c r="H38" s="330">
        <f>69.6*10*0.1</f>
        <v>69.600000000000009</v>
      </c>
      <c r="I38" s="296"/>
      <c r="J38" s="297"/>
    </row>
    <row r="39" spans="1:10" s="292" customFormat="1" ht="33">
      <c r="A39" s="318"/>
      <c r="B39" s="319"/>
      <c r="C39" s="319"/>
      <c r="D39" s="319"/>
      <c r="E39" s="319"/>
      <c r="F39" s="676" t="s">
        <v>1909</v>
      </c>
      <c r="G39" s="677" t="s">
        <v>1916</v>
      </c>
      <c r="H39" s="678">
        <f>(800-440)*6*0.05</f>
        <v>108</v>
      </c>
      <c r="I39" s="296"/>
      <c r="J39" s="297"/>
    </row>
    <row r="40" spans="1:10" s="292" customFormat="1">
      <c r="A40" s="318"/>
      <c r="B40" s="319"/>
      <c r="C40" s="319"/>
      <c r="D40" s="319"/>
      <c r="E40" s="319"/>
      <c r="F40" s="676"/>
      <c r="G40" s="677"/>
      <c r="H40" s="678"/>
      <c r="I40" s="296"/>
      <c r="J40" s="297"/>
    </row>
    <row r="41" spans="1:10" s="292" customFormat="1">
      <c r="A41" s="310" t="s">
        <v>966</v>
      </c>
      <c r="B41" s="306" t="s">
        <v>44</v>
      </c>
      <c r="C41" s="301" t="s">
        <v>31</v>
      </c>
      <c r="D41" s="307">
        <v>7519</v>
      </c>
      <c r="E41" s="307"/>
      <c r="F41" s="673">
        <v>0</v>
      </c>
      <c r="G41" s="692">
        <v>0</v>
      </c>
      <c r="H41" s="693">
        <v>0</v>
      </c>
      <c r="I41" s="311">
        <v>0</v>
      </c>
      <c r="J41" s="668">
        <f>SUM(H41:H44)</f>
        <v>4737.8</v>
      </c>
    </row>
    <row r="42" spans="1:10" s="292" customFormat="1" ht="33">
      <c r="A42" s="310"/>
      <c r="B42" s="306"/>
      <c r="C42" s="301"/>
      <c r="D42" s="307"/>
      <c r="E42" s="307"/>
      <c r="F42" s="312" t="s">
        <v>967</v>
      </c>
      <c r="G42" s="332">
        <v>1590.6</v>
      </c>
      <c r="H42" s="333">
        <f>G42</f>
        <v>1590.6</v>
      </c>
      <c r="I42" s="296">
        <f>H42</f>
        <v>1590.6</v>
      </c>
      <c r="J42" s="297"/>
    </row>
    <row r="43" spans="1:10" s="292" customFormat="1" ht="33">
      <c r="A43" s="310"/>
      <c r="B43" s="306"/>
      <c r="C43" s="301"/>
      <c r="D43" s="307"/>
      <c r="E43" s="307"/>
      <c r="F43" s="314" t="s">
        <v>968</v>
      </c>
      <c r="G43" s="334">
        <v>1147.2</v>
      </c>
      <c r="H43" s="316">
        <f>G43</f>
        <v>1147.2</v>
      </c>
      <c r="I43" s="335"/>
      <c r="J43" s="336"/>
    </row>
    <row r="44" spans="1:10" s="292" customFormat="1">
      <c r="A44" s="310"/>
      <c r="B44" s="306"/>
      <c r="C44" s="301"/>
      <c r="D44" s="307"/>
      <c r="E44" s="307"/>
      <c r="F44" s="314" t="s">
        <v>969</v>
      </c>
      <c r="G44" s="334">
        <v>2000</v>
      </c>
      <c r="H44" s="316">
        <v>2000</v>
      </c>
      <c r="I44" s="335"/>
      <c r="J44" s="336"/>
    </row>
    <row r="45" spans="1:10" s="292" customFormat="1">
      <c r="A45" s="318"/>
      <c r="B45" s="319"/>
      <c r="C45" s="319"/>
      <c r="D45" s="319"/>
      <c r="E45" s="319"/>
      <c r="F45" s="320"/>
      <c r="G45" s="309"/>
      <c r="H45" s="302"/>
      <c r="I45" s="296"/>
      <c r="J45" s="297"/>
    </row>
    <row r="46" spans="1:10" s="292" customFormat="1">
      <c r="A46" s="310" t="s">
        <v>970</v>
      </c>
      <c r="B46" s="306" t="s">
        <v>46</v>
      </c>
      <c r="C46" s="301" t="s">
        <v>40</v>
      </c>
      <c r="D46" s="307">
        <v>22240</v>
      </c>
      <c r="E46" s="307"/>
      <c r="F46" s="672" t="s">
        <v>971</v>
      </c>
      <c r="G46" s="689"/>
      <c r="H46" s="694">
        <f>J31-J41</f>
        <v>28125.200000000001</v>
      </c>
      <c r="I46" s="311">
        <f>H46</f>
        <v>28125.200000000001</v>
      </c>
      <c r="J46" s="668">
        <f>I46</f>
        <v>28125.200000000001</v>
      </c>
    </row>
    <row r="47" spans="1:10" s="292" customFormat="1">
      <c r="A47" s="310"/>
      <c r="B47" s="306"/>
      <c r="C47" s="301"/>
      <c r="D47" s="307"/>
      <c r="E47" s="307"/>
      <c r="F47" s="672"/>
      <c r="G47" s="689"/>
      <c r="H47" s="685"/>
      <c r="I47" s="695"/>
      <c r="J47" s="297"/>
    </row>
    <row r="48" spans="1:10" s="292" customFormat="1">
      <c r="A48" s="318"/>
      <c r="B48" s="319"/>
      <c r="C48" s="319"/>
      <c r="D48" s="319"/>
      <c r="E48" s="319"/>
      <c r="F48" s="320"/>
      <c r="G48" s="309"/>
      <c r="H48" s="302"/>
      <c r="I48" s="296"/>
      <c r="J48" s="297"/>
    </row>
    <row r="49" spans="1:10" s="292" customFormat="1" ht="33">
      <c r="A49" s="310" t="s">
        <v>972</v>
      </c>
      <c r="B49" s="306" t="s">
        <v>49</v>
      </c>
      <c r="C49" s="301" t="s">
        <v>31</v>
      </c>
      <c r="D49" s="307">
        <v>6730.42</v>
      </c>
      <c r="E49" s="307"/>
      <c r="F49" s="690" t="s">
        <v>973</v>
      </c>
      <c r="G49" s="696">
        <v>4956</v>
      </c>
      <c r="H49" s="688">
        <f>G49</f>
        <v>4956</v>
      </c>
      <c r="I49" s="311">
        <f>H49</f>
        <v>4956</v>
      </c>
      <c r="J49" s="668">
        <v>6730.42</v>
      </c>
    </row>
    <row r="50" spans="1:10" s="292" customFormat="1">
      <c r="A50" s="318"/>
      <c r="B50" s="319"/>
      <c r="C50" s="319"/>
      <c r="D50" s="319"/>
      <c r="E50" s="319"/>
      <c r="F50" s="331"/>
      <c r="G50" s="337"/>
      <c r="H50" s="338"/>
      <c r="I50" s="296"/>
      <c r="J50" s="297"/>
    </row>
    <row r="51" spans="1:10" s="292" customFormat="1" ht="49.5" customHeight="1">
      <c r="A51" s="310" t="s">
        <v>974</v>
      </c>
      <c r="B51" s="339" t="s">
        <v>51</v>
      </c>
      <c r="C51" s="301" t="s">
        <v>52</v>
      </c>
      <c r="D51" s="307">
        <v>3735.5</v>
      </c>
      <c r="E51" s="307"/>
      <c r="F51" s="676" t="s">
        <v>1909</v>
      </c>
      <c r="G51" s="677" t="s">
        <v>1910</v>
      </c>
      <c r="H51" s="678">
        <f>(800-440)*6</f>
        <v>2160</v>
      </c>
      <c r="I51" s="311">
        <v>0</v>
      </c>
      <c r="J51" s="668">
        <f>H51</f>
        <v>2160</v>
      </c>
    </row>
    <row r="52" spans="1:10" s="292" customFormat="1">
      <c r="A52" s="318"/>
      <c r="B52" s="319"/>
      <c r="C52" s="319"/>
      <c r="D52" s="319"/>
      <c r="E52" s="319"/>
      <c r="F52" s="672"/>
      <c r="G52" s="672"/>
      <c r="H52" s="674"/>
      <c r="I52" s="296"/>
      <c r="J52" s="297"/>
    </row>
    <row r="53" spans="1:10" s="292" customFormat="1">
      <c r="A53" s="318"/>
      <c r="B53" s="319"/>
      <c r="C53" s="319"/>
      <c r="D53" s="319"/>
      <c r="E53" s="319"/>
      <c r="F53" s="673"/>
      <c r="G53" s="334"/>
      <c r="H53" s="316"/>
      <c r="I53" s="340"/>
      <c r="J53" s="341"/>
    </row>
    <row r="54" spans="1:10" s="292" customFormat="1">
      <c r="A54" s="318"/>
      <c r="B54" s="319"/>
      <c r="C54" s="319"/>
      <c r="D54" s="319"/>
      <c r="E54" s="319"/>
      <c r="F54" s="321"/>
      <c r="G54" s="309"/>
      <c r="H54" s="302"/>
      <c r="I54" s="296"/>
      <c r="J54" s="297"/>
    </row>
    <row r="55" spans="1:10" s="292" customFormat="1" ht="33">
      <c r="A55" s="310" t="s">
        <v>975</v>
      </c>
      <c r="B55" s="339" t="s">
        <v>55</v>
      </c>
      <c r="C55" s="301" t="s">
        <v>52</v>
      </c>
      <c r="D55" s="307">
        <v>10205</v>
      </c>
      <c r="E55" s="307"/>
      <c r="F55" s="673"/>
      <c r="G55" s="692"/>
      <c r="H55" s="693">
        <f>G55</f>
        <v>0</v>
      </c>
      <c r="I55" s="311">
        <f>SUM(H56:H57)</f>
        <v>762.80000000000007</v>
      </c>
      <c r="J55" s="668">
        <f>SUM(H55:H62)</f>
        <v>7540.34</v>
      </c>
    </row>
    <row r="56" spans="1:10" s="292" customFormat="1">
      <c r="A56" s="310"/>
      <c r="B56" s="306"/>
      <c r="C56" s="301"/>
      <c r="D56" s="307"/>
      <c r="E56" s="307"/>
      <c r="F56" s="328" t="s">
        <v>964</v>
      </c>
      <c r="G56" s="329" t="s">
        <v>965</v>
      </c>
      <c r="H56" s="330">
        <f>69.6*10*0.1</f>
        <v>69.600000000000009</v>
      </c>
      <c r="I56" s="296"/>
      <c r="J56" s="297"/>
    </row>
    <row r="57" spans="1:10" s="292" customFormat="1">
      <c r="A57" s="310"/>
      <c r="B57" s="306"/>
      <c r="C57" s="301"/>
      <c r="D57" s="307"/>
      <c r="E57" s="307"/>
      <c r="F57" s="672" t="s">
        <v>960</v>
      </c>
      <c r="G57" s="672" t="s">
        <v>1903</v>
      </c>
      <c r="H57" s="674">
        <f>346.6*2</f>
        <v>693.2</v>
      </c>
      <c r="I57" s="296"/>
      <c r="J57" s="297"/>
    </row>
    <row r="58" spans="1:10" s="292" customFormat="1">
      <c r="A58" s="310"/>
      <c r="B58" s="306"/>
      <c r="C58" s="301"/>
      <c r="D58" s="307"/>
      <c r="E58" s="307"/>
      <c r="F58" s="673" t="s">
        <v>1898</v>
      </c>
      <c r="G58" s="334" t="s">
        <v>1904</v>
      </c>
      <c r="H58" s="316">
        <f>964.6*2</f>
        <v>1929.2</v>
      </c>
      <c r="I58" s="296"/>
      <c r="J58" s="297"/>
    </row>
    <row r="59" spans="1:10" s="292" customFormat="1">
      <c r="A59" s="310"/>
      <c r="B59" s="306"/>
      <c r="C59" s="301"/>
      <c r="D59" s="307"/>
      <c r="E59" s="307"/>
      <c r="F59" s="673" t="s">
        <v>1899</v>
      </c>
      <c r="G59" s="334" t="s">
        <v>1905</v>
      </c>
      <c r="H59" s="316">
        <f>589.71*2</f>
        <v>1179.42</v>
      </c>
      <c r="I59" s="296"/>
      <c r="J59" s="297"/>
    </row>
    <row r="60" spans="1:10" s="292" customFormat="1">
      <c r="A60" s="310"/>
      <c r="B60" s="306"/>
      <c r="C60" s="301"/>
      <c r="D60" s="307"/>
      <c r="E60" s="307"/>
      <c r="F60" s="673" t="s">
        <v>1900</v>
      </c>
      <c r="G60" s="334" t="s">
        <v>1906</v>
      </c>
      <c r="H60" s="316">
        <f>615.86*2</f>
        <v>1231.72</v>
      </c>
      <c r="I60" s="296"/>
      <c r="J60" s="297"/>
    </row>
    <row r="61" spans="1:10" s="292" customFormat="1">
      <c r="A61" s="310"/>
      <c r="B61" s="306"/>
      <c r="C61" s="301"/>
      <c r="D61" s="307"/>
      <c r="E61" s="307"/>
      <c r="F61" s="673" t="s">
        <v>1901</v>
      </c>
      <c r="G61" s="334" t="s">
        <v>1907</v>
      </c>
      <c r="H61" s="316">
        <f>613.36*2</f>
        <v>1226.72</v>
      </c>
      <c r="I61" s="296"/>
      <c r="J61" s="297"/>
    </row>
    <row r="62" spans="1:10" s="292" customFormat="1">
      <c r="A62" s="310"/>
      <c r="B62" s="306"/>
      <c r="C62" s="301"/>
      <c r="D62" s="307"/>
      <c r="E62" s="307"/>
      <c r="F62" s="673" t="s">
        <v>1902</v>
      </c>
      <c r="G62" s="334" t="s">
        <v>1908</v>
      </c>
      <c r="H62" s="316">
        <f>605.24*2</f>
        <v>1210.48</v>
      </c>
      <c r="I62" s="296"/>
      <c r="J62" s="297"/>
    </row>
    <row r="63" spans="1:10" s="292" customFormat="1">
      <c r="A63" s="310"/>
      <c r="B63" s="306"/>
      <c r="C63" s="301"/>
      <c r="D63" s="307"/>
      <c r="E63" s="307"/>
      <c r="F63" s="328"/>
      <c r="G63" s="675"/>
      <c r="H63" s="330"/>
      <c r="I63" s="296"/>
      <c r="J63" s="297"/>
    </row>
    <row r="64" spans="1:10" s="292" customFormat="1" ht="99">
      <c r="A64" s="310" t="s">
        <v>976</v>
      </c>
      <c r="B64" s="306" t="s">
        <v>57</v>
      </c>
      <c r="C64" s="301" t="s">
        <v>36</v>
      </c>
      <c r="D64" s="307">
        <v>142.6</v>
      </c>
      <c r="E64" s="307"/>
      <c r="F64" s="326" t="s">
        <v>1911</v>
      </c>
      <c r="G64" s="334" t="s">
        <v>1912</v>
      </c>
      <c r="H64" s="316">
        <f>((64)+(43.5)+(63.7)+(27)+(38.3)+(25.8)+(61.35)+(67.8)+(45.7)+(14.4)+(30.1)+(44.4))*2</f>
        <v>1052.1000000000001</v>
      </c>
      <c r="I64" s="311">
        <f>H66</f>
        <v>73</v>
      </c>
      <c r="J64" s="668">
        <f>SUM(H64:H67)</f>
        <v>1284.7000000000003</v>
      </c>
    </row>
    <row r="65" spans="1:10" s="292" customFormat="1" ht="119.25" customHeight="1">
      <c r="A65" s="310"/>
      <c r="B65" s="306"/>
      <c r="C65" s="301"/>
      <c r="D65" s="307"/>
      <c r="E65" s="307"/>
      <c r="F65" s="326" t="s">
        <v>1913</v>
      </c>
      <c r="G65" s="334" t="s">
        <v>1914</v>
      </c>
      <c r="H65" s="316">
        <f>2*((5)+(6.6)+(4.8)+(4.6)+(3.8)+(6.8)+(5.7)+(5.1)+(3.8)+(3.4)+(4.5)+(9.6)+(16.1))</f>
        <v>159.60000000000002</v>
      </c>
      <c r="I65" s="296"/>
      <c r="J65" s="297"/>
    </row>
    <row r="66" spans="1:10" s="292" customFormat="1">
      <c r="A66" s="310"/>
      <c r="B66" s="306"/>
      <c r="C66" s="301"/>
      <c r="D66" s="307"/>
      <c r="E66" s="307"/>
      <c r="F66" s="672" t="s">
        <v>977</v>
      </c>
      <c r="G66" s="689">
        <v>73</v>
      </c>
      <c r="H66" s="685">
        <v>73</v>
      </c>
      <c r="I66" s="296"/>
      <c r="J66" s="297"/>
    </row>
    <row r="67" spans="1:10" s="292" customFormat="1">
      <c r="A67" s="310"/>
      <c r="B67" s="306"/>
      <c r="C67" s="301"/>
      <c r="D67" s="307"/>
      <c r="E67" s="307"/>
      <c r="F67" s="308"/>
      <c r="G67" s="309"/>
      <c r="H67" s="302"/>
      <c r="I67" s="296"/>
      <c r="J67" s="297"/>
    </row>
    <row r="68" spans="1:10" s="292" customFormat="1">
      <c r="A68" s="318"/>
      <c r="B68" s="319"/>
      <c r="C68" s="319"/>
      <c r="D68" s="319"/>
      <c r="E68" s="319"/>
      <c r="F68" s="321"/>
      <c r="G68" s="309"/>
      <c r="H68" s="302"/>
      <c r="I68" s="296"/>
      <c r="J68" s="297"/>
    </row>
    <row r="69" spans="1:10" s="292" customFormat="1" ht="33">
      <c r="A69" s="310" t="s">
        <v>978</v>
      </c>
      <c r="B69" s="306" t="s">
        <v>59</v>
      </c>
      <c r="C69" s="301" t="s">
        <v>52</v>
      </c>
      <c r="D69" s="307">
        <v>8459.2999999999993</v>
      </c>
      <c r="E69" s="307"/>
      <c r="F69" s="672" t="s">
        <v>979</v>
      </c>
      <c r="G69" s="689">
        <v>1576.7</v>
      </c>
      <c r="H69" s="685">
        <v>1576.7</v>
      </c>
      <c r="I69" s="311">
        <f>SUM(H69:H74)</f>
        <v>8305.2000000000007</v>
      </c>
      <c r="J69" s="668">
        <f>SUM(H69:H74)</f>
        <v>8305.2000000000007</v>
      </c>
    </row>
    <row r="70" spans="1:10" s="292" customFormat="1">
      <c r="A70" s="310"/>
      <c r="B70" s="306"/>
      <c r="C70" s="301"/>
      <c r="D70" s="307"/>
      <c r="E70" s="307"/>
      <c r="F70" s="672" t="s">
        <v>979</v>
      </c>
      <c r="G70" s="689">
        <v>1676.7</v>
      </c>
      <c r="H70" s="685">
        <v>1676.7</v>
      </c>
      <c r="I70" s="296"/>
      <c r="J70" s="297"/>
    </row>
    <row r="71" spans="1:10" s="292" customFormat="1">
      <c r="A71" s="310"/>
      <c r="B71" s="306"/>
      <c r="C71" s="301"/>
      <c r="D71" s="307"/>
      <c r="E71" s="307"/>
      <c r="F71" s="672" t="s">
        <v>979</v>
      </c>
      <c r="G71" s="689">
        <v>2426.3000000000002</v>
      </c>
      <c r="H71" s="685">
        <v>2426.3000000000002</v>
      </c>
      <c r="I71" s="296"/>
      <c r="J71" s="297"/>
    </row>
    <row r="72" spans="1:10" s="292" customFormat="1">
      <c r="A72" s="310"/>
      <c r="B72" s="306"/>
      <c r="C72" s="301"/>
      <c r="D72" s="307"/>
      <c r="E72" s="307"/>
      <c r="F72" s="672" t="s">
        <v>980</v>
      </c>
      <c r="G72" s="689">
        <v>732.1</v>
      </c>
      <c r="H72" s="685">
        <v>732.1</v>
      </c>
      <c r="I72" s="296"/>
      <c r="J72" s="297"/>
    </row>
    <row r="73" spans="1:10" s="292" customFormat="1">
      <c r="A73" s="310"/>
      <c r="B73" s="306"/>
      <c r="C73" s="301"/>
      <c r="D73" s="307"/>
      <c r="E73" s="307"/>
      <c r="F73" s="672" t="s">
        <v>979</v>
      </c>
      <c r="G73" s="689">
        <v>1741</v>
      </c>
      <c r="H73" s="685">
        <v>1741</v>
      </c>
      <c r="I73" s="296"/>
      <c r="J73" s="297"/>
    </row>
    <row r="74" spans="1:10" s="292" customFormat="1">
      <c r="A74" s="310"/>
      <c r="B74" s="306"/>
      <c r="C74" s="301"/>
      <c r="D74" s="307"/>
      <c r="E74" s="307"/>
      <c r="F74" s="672" t="s">
        <v>979</v>
      </c>
      <c r="G74" s="689">
        <v>306.5</v>
      </c>
      <c r="H74" s="685">
        <v>152.4</v>
      </c>
      <c r="I74" s="296"/>
      <c r="J74" s="297"/>
    </row>
    <row r="75" spans="1:10" s="292" customFormat="1">
      <c r="A75" s="310"/>
      <c r="B75" s="306"/>
      <c r="C75" s="301"/>
      <c r="D75" s="307"/>
      <c r="E75" s="307"/>
      <c r="F75" s="308"/>
      <c r="G75" s="322"/>
      <c r="H75" s="302"/>
      <c r="I75" s="296"/>
      <c r="J75" s="297"/>
    </row>
    <row r="76" spans="1:10" s="292" customFormat="1">
      <c r="A76" s="310" t="s">
        <v>981</v>
      </c>
      <c r="B76" s="306" t="s">
        <v>61</v>
      </c>
      <c r="C76" s="301" t="s">
        <v>31</v>
      </c>
      <c r="D76" s="307">
        <v>1268.9000000000001</v>
      </c>
      <c r="E76" s="307"/>
      <c r="F76" s="672" t="s">
        <v>973</v>
      </c>
      <c r="G76" s="689">
        <v>108</v>
      </c>
      <c r="H76" s="685">
        <v>108</v>
      </c>
      <c r="I76" s="311">
        <f>H76</f>
        <v>108</v>
      </c>
      <c r="J76" s="668">
        <f>SUM(H76:H76)</f>
        <v>108</v>
      </c>
    </row>
    <row r="77" spans="1:10" s="292" customFormat="1">
      <c r="A77" s="310"/>
      <c r="B77" s="306"/>
      <c r="C77" s="301"/>
      <c r="D77" s="307"/>
      <c r="E77" s="307"/>
      <c r="F77" s="672"/>
      <c r="G77" s="689"/>
      <c r="H77" s="685"/>
      <c r="I77" s="296"/>
      <c r="J77" s="297"/>
    </row>
    <row r="78" spans="1:10" s="292" customFormat="1">
      <c r="A78" s="310" t="s">
        <v>982</v>
      </c>
      <c r="B78" s="306" t="s">
        <v>64</v>
      </c>
      <c r="C78" s="301" t="s">
        <v>65</v>
      </c>
      <c r="D78" s="307">
        <v>659</v>
      </c>
      <c r="E78" s="307"/>
      <c r="F78" s="672" t="s">
        <v>983</v>
      </c>
      <c r="G78" s="689" t="s">
        <v>984</v>
      </c>
      <c r="H78" s="685">
        <f>55*2+53*6+23*2</f>
        <v>474</v>
      </c>
      <c r="I78" s="311">
        <f>SUM(H78:H80)</f>
        <v>656</v>
      </c>
      <c r="J78" s="668">
        <f>SUM(H78:H81)</f>
        <v>656</v>
      </c>
    </row>
    <row r="79" spans="1:10" s="292" customFormat="1">
      <c r="A79" s="318"/>
      <c r="B79" s="306"/>
      <c r="C79" s="301"/>
      <c r="D79" s="307"/>
      <c r="E79" s="307"/>
      <c r="F79" s="672" t="s">
        <v>985</v>
      </c>
      <c r="G79" s="689" t="s">
        <v>986</v>
      </c>
      <c r="H79" s="685">
        <f>20*4+2*3+1</f>
        <v>87</v>
      </c>
      <c r="I79" s="296"/>
      <c r="J79" s="297"/>
    </row>
    <row r="80" spans="1:10" s="292" customFormat="1">
      <c r="A80" s="318"/>
      <c r="B80" s="306"/>
      <c r="C80" s="301"/>
      <c r="D80" s="307"/>
      <c r="E80" s="307"/>
      <c r="F80" s="672" t="s">
        <v>944</v>
      </c>
      <c r="G80" s="672" t="s">
        <v>987</v>
      </c>
      <c r="H80" s="685">
        <f>12*(3+2)+7*(3+2)</f>
        <v>95</v>
      </c>
      <c r="I80" s="296"/>
      <c r="J80" s="297"/>
    </row>
    <row r="81" spans="1:10" s="292" customFormat="1">
      <c r="A81" s="310"/>
      <c r="B81" s="319"/>
      <c r="C81" s="319"/>
      <c r="D81" s="319"/>
      <c r="E81" s="319"/>
      <c r="F81" s="321"/>
      <c r="G81" s="684"/>
      <c r="H81" s="302"/>
      <c r="I81" s="296"/>
      <c r="J81" s="297"/>
    </row>
    <row r="82" spans="1:10" s="292" customFormat="1" ht="33">
      <c r="A82" s="310" t="s">
        <v>988</v>
      </c>
      <c r="B82" s="306" t="s">
        <v>68</v>
      </c>
      <c r="C82" s="301" t="s">
        <v>36</v>
      </c>
      <c r="D82" s="307">
        <v>253.3</v>
      </c>
      <c r="E82" s="307"/>
      <c r="F82" s="672" t="s">
        <v>989</v>
      </c>
      <c r="G82" s="689">
        <v>46.2</v>
      </c>
      <c r="H82" s="685">
        <v>46.2</v>
      </c>
      <c r="I82" s="311">
        <f>SUM(H82:H85)</f>
        <v>253</v>
      </c>
      <c r="J82" s="668">
        <f>SUM(H82:H85)</f>
        <v>253</v>
      </c>
    </row>
    <row r="83" spans="1:10" s="292" customFormat="1">
      <c r="A83" s="310"/>
      <c r="B83" s="319"/>
      <c r="C83" s="319"/>
      <c r="D83" s="319"/>
      <c r="E83" s="319"/>
      <c r="F83" s="697" t="s">
        <v>989</v>
      </c>
      <c r="G83" s="698">
        <v>90</v>
      </c>
      <c r="H83" s="699">
        <v>90</v>
      </c>
      <c r="I83" s="296"/>
      <c r="J83" s="297"/>
    </row>
    <row r="84" spans="1:10" s="292" customFormat="1">
      <c r="A84" s="310"/>
      <c r="B84" s="319"/>
      <c r="C84" s="319"/>
      <c r="D84" s="319"/>
      <c r="E84" s="319"/>
      <c r="F84" s="697" t="s">
        <v>989</v>
      </c>
      <c r="G84" s="698">
        <v>83.1</v>
      </c>
      <c r="H84" s="699">
        <v>83.1</v>
      </c>
      <c r="I84" s="296"/>
      <c r="J84" s="297"/>
    </row>
    <row r="85" spans="1:10" s="292" customFormat="1">
      <c r="A85" s="310"/>
      <c r="B85" s="319"/>
      <c r="C85" s="319"/>
      <c r="D85" s="319"/>
      <c r="E85" s="319"/>
      <c r="F85" s="672" t="s">
        <v>989</v>
      </c>
      <c r="G85" s="700">
        <v>33.700000000000003</v>
      </c>
      <c r="H85" s="701">
        <v>33.700000000000003</v>
      </c>
      <c r="I85" s="296"/>
      <c r="J85" s="297"/>
    </row>
    <row r="86" spans="1:10" s="292" customFormat="1">
      <c r="A86" s="310"/>
      <c r="B86" s="319"/>
      <c r="C86" s="319"/>
      <c r="D86" s="319"/>
      <c r="E86" s="319"/>
      <c r="F86" s="321"/>
      <c r="G86" s="322"/>
      <c r="H86" s="323"/>
      <c r="I86" s="296"/>
      <c r="J86" s="297"/>
    </row>
    <row r="87" spans="1:10" s="292" customFormat="1">
      <c r="A87" s="310" t="s">
        <v>990</v>
      </c>
      <c r="B87" s="306" t="s">
        <v>70</v>
      </c>
      <c r="C87" s="301" t="s">
        <v>71</v>
      </c>
      <c r="D87" s="307">
        <v>80</v>
      </c>
      <c r="E87" s="307"/>
      <c r="F87" s="326" t="s">
        <v>991</v>
      </c>
      <c r="G87" s="334" t="s">
        <v>992</v>
      </c>
      <c r="H87" s="302">
        <f>13+14+19+16+10+8</f>
        <v>80</v>
      </c>
      <c r="I87" s="296">
        <f>H87</f>
        <v>80</v>
      </c>
      <c r="J87" s="668">
        <f>H87</f>
        <v>80</v>
      </c>
    </row>
    <row r="88" spans="1:10" s="292" customFormat="1">
      <c r="A88" s="310"/>
      <c r="B88" s="319"/>
      <c r="C88" s="319"/>
      <c r="D88" s="319"/>
      <c r="E88" s="319"/>
      <c r="F88" s="321"/>
      <c r="G88" s="322"/>
      <c r="H88" s="323"/>
      <c r="I88" s="324"/>
      <c r="J88" s="325"/>
    </row>
    <row r="89" spans="1:10" s="292" customFormat="1">
      <c r="A89" s="310" t="s">
        <v>993</v>
      </c>
      <c r="B89" s="306" t="s">
        <v>74</v>
      </c>
      <c r="C89" s="301" t="s">
        <v>75</v>
      </c>
      <c r="D89" s="307">
        <v>1278</v>
      </c>
      <c r="E89" s="307"/>
      <c r="F89" s="672" t="s">
        <v>994</v>
      </c>
      <c r="G89" s="700">
        <v>945</v>
      </c>
      <c r="H89" s="701">
        <v>945</v>
      </c>
      <c r="I89" s="342">
        <f>H89</f>
        <v>945</v>
      </c>
      <c r="J89" s="669">
        <v>1278</v>
      </c>
    </row>
    <row r="90" spans="1:10" s="292" customFormat="1">
      <c r="A90" s="310"/>
      <c r="B90" s="306"/>
      <c r="C90" s="301"/>
      <c r="D90" s="307"/>
      <c r="E90" s="307"/>
      <c r="F90" s="343" t="s">
        <v>994</v>
      </c>
      <c r="G90" s="344">
        <v>54</v>
      </c>
      <c r="H90" s="345">
        <v>54</v>
      </c>
      <c r="I90" s="324">
        <f>SUM(H89:H90)</f>
        <v>999</v>
      </c>
      <c r="J90" s="325"/>
    </row>
    <row r="91" spans="1:10" s="292" customFormat="1">
      <c r="A91" s="310"/>
      <c r="B91" s="306"/>
      <c r="C91" s="301"/>
      <c r="D91" s="307"/>
      <c r="E91" s="307"/>
      <c r="F91" s="326"/>
      <c r="G91" s="346"/>
      <c r="H91" s="347"/>
      <c r="I91" s="324"/>
      <c r="J91" s="325"/>
    </row>
    <row r="92" spans="1:10" s="292" customFormat="1">
      <c r="A92" s="310" t="s">
        <v>995</v>
      </c>
      <c r="B92" s="306" t="s">
        <v>77</v>
      </c>
      <c r="C92" s="301" t="s">
        <v>78</v>
      </c>
      <c r="D92" s="307">
        <v>30</v>
      </c>
      <c r="E92" s="307"/>
      <c r="F92" s="326">
        <v>30</v>
      </c>
      <c r="G92" s="309">
        <v>30</v>
      </c>
      <c r="H92" s="302">
        <v>30</v>
      </c>
      <c r="I92" s="296">
        <f>H92</f>
        <v>30</v>
      </c>
      <c r="J92" s="668">
        <f>I92</f>
        <v>30</v>
      </c>
    </row>
    <row r="93" spans="1:10" s="292" customFormat="1">
      <c r="A93" s="310"/>
      <c r="B93" s="306"/>
      <c r="C93" s="301"/>
      <c r="D93" s="307"/>
      <c r="E93" s="307"/>
      <c r="F93" s="308"/>
      <c r="G93" s="322"/>
      <c r="H93" s="323"/>
      <c r="I93" s="324"/>
      <c r="J93" s="325"/>
    </row>
    <row r="94" spans="1:10" s="292" customFormat="1">
      <c r="A94" s="310" t="s">
        <v>996</v>
      </c>
      <c r="B94" s="306" t="s">
        <v>80</v>
      </c>
      <c r="C94" s="301" t="s">
        <v>78</v>
      </c>
      <c r="D94" s="307">
        <v>12</v>
      </c>
      <c r="E94" s="307"/>
      <c r="F94" s="672">
        <v>12</v>
      </c>
      <c r="G94" s="689">
        <v>12</v>
      </c>
      <c r="H94" s="701">
        <v>12</v>
      </c>
      <c r="I94" s="311">
        <f>H94</f>
        <v>12</v>
      </c>
      <c r="J94" s="668">
        <f>I94</f>
        <v>12</v>
      </c>
    </row>
    <row r="95" spans="1:10" s="292" customFormat="1">
      <c r="A95" s="310"/>
      <c r="B95" s="306"/>
      <c r="C95" s="301"/>
      <c r="D95" s="307"/>
      <c r="E95" s="307"/>
      <c r="F95" s="672"/>
      <c r="G95" s="689"/>
      <c r="H95" s="701"/>
      <c r="I95" s="296"/>
      <c r="J95" s="297"/>
    </row>
    <row r="96" spans="1:10" s="292" customFormat="1">
      <c r="A96" s="310" t="s">
        <v>997</v>
      </c>
      <c r="B96" s="306" t="s">
        <v>82</v>
      </c>
      <c r="C96" s="301" t="s">
        <v>78</v>
      </c>
      <c r="D96" s="307">
        <v>20</v>
      </c>
      <c r="E96" s="307"/>
      <c r="F96" s="672">
        <v>20</v>
      </c>
      <c r="G96" s="689">
        <v>20</v>
      </c>
      <c r="H96" s="701">
        <v>20</v>
      </c>
      <c r="I96" s="311">
        <f>H96</f>
        <v>20</v>
      </c>
      <c r="J96" s="668">
        <f>I96</f>
        <v>20</v>
      </c>
    </row>
    <row r="97" spans="1:10" s="292" customFormat="1">
      <c r="A97" s="310"/>
      <c r="B97" s="319"/>
      <c r="C97" s="319"/>
      <c r="D97" s="319"/>
      <c r="E97" s="319"/>
      <c r="F97" s="702"/>
      <c r="G97" s="689"/>
      <c r="H97" s="701"/>
      <c r="I97" s="296"/>
      <c r="J97" s="297"/>
    </row>
    <row r="98" spans="1:10" s="292" customFormat="1">
      <c r="A98" s="310" t="s">
        <v>998</v>
      </c>
      <c r="B98" s="306" t="s">
        <v>84</v>
      </c>
      <c r="C98" s="301" t="s">
        <v>78</v>
      </c>
      <c r="D98" s="307">
        <v>19</v>
      </c>
      <c r="E98" s="307"/>
      <c r="F98" s="672">
        <v>19</v>
      </c>
      <c r="G98" s="689">
        <v>19</v>
      </c>
      <c r="H98" s="701">
        <v>19</v>
      </c>
      <c r="I98" s="311">
        <f>H98</f>
        <v>19</v>
      </c>
      <c r="J98" s="668">
        <f>I98</f>
        <v>19</v>
      </c>
    </row>
    <row r="99" spans="1:10" s="292" customFormat="1">
      <c r="A99" s="318"/>
      <c r="B99" s="319"/>
      <c r="C99" s="319"/>
      <c r="D99" s="319"/>
      <c r="E99" s="319"/>
      <c r="F99" s="702"/>
      <c r="G99" s="700"/>
      <c r="H99" s="701"/>
      <c r="I99" s="324"/>
      <c r="J99" s="325"/>
    </row>
    <row r="100" spans="1:10" s="292" customFormat="1">
      <c r="A100" s="310" t="s">
        <v>999</v>
      </c>
      <c r="B100" s="306" t="s">
        <v>86</v>
      </c>
      <c r="C100" s="301" t="s">
        <v>23</v>
      </c>
      <c r="D100" s="307">
        <v>1</v>
      </c>
      <c r="E100" s="307"/>
      <c r="F100" s="672">
        <v>1</v>
      </c>
      <c r="G100" s="689">
        <v>1</v>
      </c>
      <c r="H100" s="685">
        <v>1</v>
      </c>
      <c r="I100" s="311">
        <v>1</v>
      </c>
      <c r="J100" s="668">
        <f>I100</f>
        <v>1</v>
      </c>
    </row>
    <row r="101" spans="1:10" s="292" customFormat="1">
      <c r="A101" s="310"/>
      <c r="B101" s="306"/>
      <c r="C101" s="301"/>
      <c r="D101" s="307"/>
      <c r="E101" s="307"/>
      <c r="F101" s="672"/>
      <c r="G101" s="689"/>
      <c r="H101" s="685"/>
      <c r="I101" s="296"/>
      <c r="J101" s="297"/>
    </row>
    <row r="102" spans="1:10" s="292" customFormat="1" ht="33">
      <c r="A102" s="310" t="s">
        <v>1000</v>
      </c>
      <c r="B102" s="306" t="s">
        <v>89</v>
      </c>
      <c r="C102" s="301" t="s">
        <v>90</v>
      </c>
      <c r="D102" s="307">
        <v>30800</v>
      </c>
      <c r="E102" s="307"/>
      <c r="F102" s="672" t="s">
        <v>1001</v>
      </c>
      <c r="G102" s="689">
        <v>0</v>
      </c>
      <c r="H102" s="685">
        <v>0</v>
      </c>
      <c r="I102" s="311">
        <f>SUM(H102:H115)</f>
        <v>11360</v>
      </c>
      <c r="J102" s="668">
        <v>30800</v>
      </c>
    </row>
    <row r="103" spans="1:10" s="292" customFormat="1">
      <c r="A103" s="348"/>
      <c r="B103" s="349"/>
      <c r="C103" s="349"/>
      <c r="D103" s="349"/>
      <c r="E103" s="349"/>
      <c r="F103" s="703" t="s">
        <v>1002</v>
      </c>
      <c r="G103" s="689" t="s">
        <v>1003</v>
      </c>
      <c r="H103" s="685">
        <f>4*30*8</f>
        <v>960</v>
      </c>
      <c r="I103" s="296"/>
      <c r="J103" s="297"/>
    </row>
    <row r="104" spans="1:10" s="292" customFormat="1">
      <c r="A104" s="348"/>
      <c r="B104" s="349"/>
      <c r="C104" s="349"/>
      <c r="D104" s="349"/>
      <c r="E104" s="349"/>
      <c r="F104" s="672" t="s">
        <v>1004</v>
      </c>
      <c r="G104" s="689" t="s">
        <v>1005</v>
      </c>
      <c r="H104" s="685">
        <v>80</v>
      </c>
      <c r="I104" s="296"/>
      <c r="J104" s="297"/>
    </row>
    <row r="105" spans="1:10" s="292" customFormat="1">
      <c r="A105" s="348"/>
      <c r="B105" s="349"/>
      <c r="C105" s="349"/>
      <c r="D105" s="349"/>
      <c r="E105" s="349"/>
      <c r="F105" s="703" t="s">
        <v>1006</v>
      </c>
      <c r="G105" s="689" t="s">
        <v>1007</v>
      </c>
      <c r="H105" s="685">
        <v>480</v>
      </c>
      <c r="I105" s="296"/>
      <c r="J105" s="297"/>
    </row>
    <row r="106" spans="1:10" s="292" customFormat="1">
      <c r="A106" s="348"/>
      <c r="B106" s="349"/>
      <c r="C106" s="349"/>
      <c r="D106" s="349"/>
      <c r="E106" s="349"/>
      <c r="F106" s="672" t="s">
        <v>1008</v>
      </c>
      <c r="G106" s="689" t="s">
        <v>1009</v>
      </c>
      <c r="H106" s="685">
        <v>0</v>
      </c>
      <c r="I106" s="296"/>
      <c r="J106" s="297"/>
    </row>
    <row r="107" spans="1:10" s="292" customFormat="1">
      <c r="A107" s="348"/>
      <c r="B107" s="349"/>
      <c r="C107" s="349"/>
      <c r="D107" s="349"/>
      <c r="E107" s="349"/>
      <c r="F107" s="703" t="s">
        <v>1010</v>
      </c>
      <c r="G107" s="689" t="s">
        <v>1011</v>
      </c>
      <c r="H107" s="685">
        <f>960+960</f>
        <v>1920</v>
      </c>
      <c r="I107" s="296"/>
      <c r="J107" s="297"/>
    </row>
    <row r="108" spans="1:10" s="292" customFormat="1">
      <c r="A108" s="348"/>
      <c r="B108" s="349"/>
      <c r="C108" s="349"/>
      <c r="D108" s="349"/>
      <c r="E108" s="349"/>
      <c r="F108" s="672" t="s">
        <v>1012</v>
      </c>
      <c r="G108" s="689" t="s">
        <v>1013</v>
      </c>
      <c r="H108" s="685">
        <v>1080</v>
      </c>
      <c r="I108" s="296"/>
      <c r="J108" s="297"/>
    </row>
    <row r="109" spans="1:10" s="292" customFormat="1">
      <c r="A109" s="348"/>
      <c r="B109" s="349"/>
      <c r="C109" s="349"/>
      <c r="D109" s="349"/>
      <c r="E109" s="349"/>
      <c r="F109" s="703" t="s">
        <v>1014</v>
      </c>
      <c r="G109" s="689" t="s">
        <v>1013</v>
      </c>
      <c r="H109" s="685">
        <v>1080</v>
      </c>
      <c r="I109" s="296"/>
      <c r="J109" s="297"/>
    </row>
    <row r="110" spans="1:10" s="292" customFormat="1">
      <c r="A110" s="348"/>
      <c r="B110" s="349"/>
      <c r="C110" s="349"/>
      <c r="D110" s="349"/>
      <c r="E110" s="349"/>
      <c r="F110" s="672" t="s">
        <v>1015</v>
      </c>
      <c r="G110" s="689" t="s">
        <v>1013</v>
      </c>
      <c r="H110" s="685">
        <v>1080</v>
      </c>
      <c r="I110" s="296"/>
      <c r="J110" s="297"/>
    </row>
    <row r="111" spans="1:10" s="292" customFormat="1">
      <c r="A111" s="348"/>
      <c r="B111" s="349"/>
      <c r="C111" s="349"/>
      <c r="D111" s="349"/>
      <c r="E111" s="349"/>
      <c r="F111" s="703" t="s">
        <v>1016</v>
      </c>
      <c r="G111" s="689" t="s">
        <v>1013</v>
      </c>
      <c r="H111" s="685">
        <v>1080</v>
      </c>
      <c r="I111" s="296"/>
      <c r="J111" s="297"/>
    </row>
    <row r="112" spans="1:10" s="292" customFormat="1">
      <c r="A112" s="348"/>
      <c r="B112" s="349"/>
      <c r="C112" s="349"/>
      <c r="D112" s="349"/>
      <c r="E112" s="349"/>
      <c r="F112" s="672" t="s">
        <v>1017</v>
      </c>
      <c r="G112" s="689" t="s">
        <v>1009</v>
      </c>
      <c r="H112" s="685">
        <v>0</v>
      </c>
      <c r="I112" s="296"/>
      <c r="J112" s="297"/>
    </row>
    <row r="113" spans="1:10" s="292" customFormat="1">
      <c r="A113" s="348"/>
      <c r="B113" s="349"/>
      <c r="C113" s="349"/>
      <c r="D113" s="349"/>
      <c r="E113" s="349"/>
      <c r="F113" s="703" t="s">
        <v>1018</v>
      </c>
      <c r="G113" s="689" t="s">
        <v>1019</v>
      </c>
      <c r="H113" s="685">
        <f>1080*2</f>
        <v>2160</v>
      </c>
      <c r="I113" s="296"/>
      <c r="J113" s="297"/>
    </row>
    <row r="114" spans="1:10" s="292" customFormat="1">
      <c r="A114" s="348"/>
      <c r="B114" s="349"/>
      <c r="C114" s="349"/>
      <c r="D114" s="349"/>
      <c r="E114" s="349"/>
      <c r="F114" s="681" t="s">
        <v>1020</v>
      </c>
      <c r="G114" s="704" t="s">
        <v>1021</v>
      </c>
      <c r="H114" s="705">
        <f>30*3*8</f>
        <v>720</v>
      </c>
      <c r="I114" s="296"/>
      <c r="J114" s="297"/>
    </row>
    <row r="115" spans="1:10" s="292" customFormat="1">
      <c r="A115" s="348"/>
      <c r="B115" s="349"/>
      <c r="C115" s="349"/>
      <c r="D115" s="349"/>
      <c r="E115" s="349"/>
      <c r="F115" s="350" t="s">
        <v>1022</v>
      </c>
      <c r="G115" s="332" t="s">
        <v>1021</v>
      </c>
      <c r="H115" s="333">
        <f>30*3*8</f>
        <v>720</v>
      </c>
      <c r="I115" s="296"/>
      <c r="J115" s="297"/>
    </row>
    <row r="116" spans="1:10" s="292" customFormat="1">
      <c r="A116" s="348"/>
      <c r="B116" s="349"/>
      <c r="C116" s="349"/>
      <c r="D116" s="349"/>
      <c r="E116" s="349"/>
      <c r="F116" s="350"/>
      <c r="G116" s="332"/>
      <c r="H116" s="333"/>
      <c r="I116" s="296"/>
      <c r="J116" s="297"/>
    </row>
    <row r="117" spans="1:10" s="292" customFormat="1">
      <c r="A117" s="348"/>
      <c r="B117" s="349"/>
      <c r="C117" s="349"/>
      <c r="D117" s="349"/>
      <c r="E117" s="349"/>
      <c r="F117" s="349"/>
      <c r="G117" s="309"/>
      <c r="H117" s="302"/>
      <c r="I117" s="296"/>
      <c r="J117" s="297"/>
    </row>
    <row r="118" spans="1:10" s="292" customFormat="1" ht="33" customHeight="1">
      <c r="A118" s="310" t="s">
        <v>1023</v>
      </c>
      <c r="B118" s="306" t="s">
        <v>93</v>
      </c>
      <c r="C118" s="301" t="s">
        <v>52</v>
      </c>
      <c r="D118" s="307">
        <v>2405</v>
      </c>
      <c r="E118" s="307"/>
      <c r="F118" s="703" t="s">
        <v>1915</v>
      </c>
      <c r="G118" s="684" t="s">
        <v>1024</v>
      </c>
      <c r="H118" s="685">
        <f>29.7*50+27*18.3/2+13.46*50</f>
        <v>2405.0500000000002</v>
      </c>
      <c r="I118" s="311">
        <f>H118</f>
        <v>2405.0500000000002</v>
      </c>
      <c r="J118" s="668">
        <f>I118</f>
        <v>2405.0500000000002</v>
      </c>
    </row>
    <row r="119" spans="1:10" s="292" customFormat="1">
      <c r="A119" s="310"/>
      <c r="B119" s="306"/>
      <c r="C119" s="301"/>
      <c r="D119" s="307"/>
      <c r="E119" s="307"/>
      <c r="F119" s="308"/>
      <c r="G119" s="309"/>
      <c r="H119" s="302"/>
      <c r="I119" s="296"/>
      <c r="J119" s="297"/>
    </row>
    <row r="120" spans="1:10" s="292" customFormat="1">
      <c r="A120" s="310" t="s">
        <v>679</v>
      </c>
      <c r="B120" s="306" t="s">
        <v>1025</v>
      </c>
      <c r="C120" s="301" t="s">
        <v>1026</v>
      </c>
      <c r="D120" s="307">
        <v>150</v>
      </c>
      <c r="E120" s="307"/>
      <c r="F120" s="308" t="s">
        <v>1027</v>
      </c>
      <c r="G120" s="309">
        <v>150</v>
      </c>
      <c r="H120" s="302">
        <v>150</v>
      </c>
      <c r="I120" s="311">
        <f>H120</f>
        <v>150</v>
      </c>
      <c r="J120" s="668">
        <f>I120</f>
        <v>150</v>
      </c>
    </row>
    <row r="121" spans="1:10" s="292" customFormat="1">
      <c r="A121" s="310"/>
      <c r="B121" s="306"/>
      <c r="C121" s="301"/>
      <c r="D121" s="307"/>
      <c r="E121" s="307"/>
      <c r="F121" s="308"/>
      <c r="G121" s="309"/>
      <c r="H121" s="302"/>
      <c r="I121" s="296"/>
      <c r="J121" s="297"/>
    </row>
    <row r="122" spans="1:10" s="292" customFormat="1" ht="33">
      <c r="A122" s="310" t="s">
        <v>1028</v>
      </c>
      <c r="B122" s="306" t="s">
        <v>769</v>
      </c>
      <c r="C122" s="301" t="s">
        <v>52</v>
      </c>
      <c r="D122" s="307">
        <v>138.05000000000001</v>
      </c>
      <c r="E122" s="307"/>
      <c r="F122" s="672" t="s">
        <v>1029</v>
      </c>
      <c r="G122" s="684" t="s">
        <v>1030</v>
      </c>
      <c r="H122" s="685">
        <f>137.28*0.1+1.83*25*0.1+65.76*0.1+1.83*12*0.1</f>
        <v>27.075000000000003</v>
      </c>
      <c r="I122" s="311">
        <f>SUM(H122:H126)</f>
        <v>138.053</v>
      </c>
      <c r="J122" s="668">
        <f>SUM(H122:H126)</f>
        <v>138.053</v>
      </c>
    </row>
    <row r="123" spans="1:10" s="292" customFormat="1" ht="33">
      <c r="A123" s="310" t="s">
        <v>1031</v>
      </c>
      <c r="B123" s="306"/>
      <c r="C123" s="301"/>
      <c r="D123" s="307"/>
      <c r="E123" s="307"/>
      <c r="F123" s="672" t="s">
        <v>1032</v>
      </c>
      <c r="G123" s="684" t="s">
        <v>1033</v>
      </c>
      <c r="H123" s="685">
        <f>(3.41+10.3+5.6+4.85)*0.1+1.65*(5+14+8+8)*0.1</f>
        <v>8.1910000000000007</v>
      </c>
      <c r="I123" s="324"/>
      <c r="J123" s="325"/>
    </row>
    <row r="124" spans="1:10" s="292" customFormat="1">
      <c r="A124" s="310"/>
      <c r="B124" s="306"/>
      <c r="C124" s="301"/>
      <c r="D124" s="307"/>
      <c r="E124" s="307"/>
      <c r="F124" s="672" t="s">
        <v>1034</v>
      </c>
      <c r="G124" s="684" t="s">
        <v>1035</v>
      </c>
      <c r="H124" s="685">
        <f>5.43*0.1+2.04*2*0.1</f>
        <v>0.95100000000000007</v>
      </c>
      <c r="I124" s="324"/>
      <c r="J124" s="325"/>
    </row>
    <row r="125" spans="1:10" s="292" customFormat="1">
      <c r="A125" s="310"/>
      <c r="B125" s="306"/>
      <c r="C125" s="301"/>
      <c r="D125" s="307"/>
      <c r="E125" s="307"/>
      <c r="F125" s="672" t="s">
        <v>1036</v>
      </c>
      <c r="G125" s="684" t="s">
        <v>1037</v>
      </c>
      <c r="H125" s="685">
        <f>137.28*2*0.1</f>
        <v>27.456000000000003</v>
      </c>
      <c r="I125" s="324"/>
      <c r="J125" s="325"/>
    </row>
    <row r="126" spans="1:10" s="292" customFormat="1">
      <c r="A126" s="310"/>
      <c r="B126" s="306"/>
      <c r="C126" s="301"/>
      <c r="D126" s="307"/>
      <c r="E126" s="307"/>
      <c r="F126" s="672" t="s">
        <v>1038</v>
      </c>
      <c r="G126" s="684" t="s">
        <v>1039</v>
      </c>
      <c r="H126" s="685">
        <f>371.9*2*0.1</f>
        <v>74.38</v>
      </c>
      <c r="I126" s="324"/>
      <c r="J126" s="325"/>
    </row>
    <row r="127" spans="1:10" s="292" customFormat="1">
      <c r="A127" s="310"/>
      <c r="B127" s="306"/>
      <c r="C127" s="301"/>
      <c r="D127" s="307"/>
      <c r="E127" s="307"/>
      <c r="F127" s="308"/>
      <c r="G127" s="313"/>
      <c r="H127" s="302"/>
      <c r="I127" s="324"/>
      <c r="J127" s="325"/>
    </row>
    <row r="128" spans="1:10" s="292" customFormat="1">
      <c r="A128" s="310" t="s">
        <v>777</v>
      </c>
      <c r="B128" s="306" t="s">
        <v>780</v>
      </c>
      <c r="C128" s="301" t="s">
        <v>1040</v>
      </c>
      <c r="D128" s="307">
        <v>2000</v>
      </c>
      <c r="E128" s="307"/>
      <c r="F128" s="672" t="s">
        <v>1041</v>
      </c>
      <c r="G128" s="684" t="s">
        <v>1042</v>
      </c>
      <c r="H128" s="685">
        <f>1.8*50*22.3</f>
        <v>2007</v>
      </c>
      <c r="I128" s="311">
        <f>H128</f>
        <v>2007</v>
      </c>
      <c r="J128" s="668">
        <f>I128</f>
        <v>2007</v>
      </c>
    </row>
    <row r="129" spans="1:10" s="292" customFormat="1">
      <c r="A129" s="310"/>
      <c r="B129" s="351"/>
      <c r="C129" s="301"/>
      <c r="D129" s="307"/>
      <c r="E129" s="307"/>
      <c r="F129" s="308"/>
      <c r="G129" s="313"/>
      <c r="H129" s="302"/>
      <c r="I129" s="296"/>
      <c r="J129" s="297"/>
    </row>
    <row r="130" spans="1:10" s="292" customFormat="1">
      <c r="A130" s="310"/>
      <c r="B130" s="351"/>
      <c r="C130" s="301"/>
      <c r="D130" s="307"/>
      <c r="E130" s="307"/>
      <c r="F130" s="308"/>
      <c r="G130" s="313"/>
      <c r="H130" s="302"/>
      <c r="I130" s="296"/>
      <c r="J130" s="297"/>
    </row>
    <row r="131" spans="1:10" s="292" customFormat="1">
      <c r="A131" s="352" t="s">
        <v>1043</v>
      </c>
      <c r="B131" s="353" t="s">
        <v>1044</v>
      </c>
      <c r="C131" s="354" t="s">
        <v>1045</v>
      </c>
      <c r="D131" s="355">
        <v>3324.02</v>
      </c>
      <c r="E131" s="355"/>
      <c r="F131" s="706"/>
      <c r="G131" s="707" t="s">
        <v>1046</v>
      </c>
      <c r="H131" s="708">
        <f>2405+29.7*31</f>
        <v>3325.7</v>
      </c>
      <c r="I131" s="356">
        <f>H131</f>
        <v>3325.7</v>
      </c>
      <c r="J131" s="668">
        <f>I131</f>
        <v>3325.7</v>
      </c>
    </row>
    <row r="154" spans="1:11" s="325" customFormat="1">
      <c r="A154" s="317"/>
      <c r="B154" s="317"/>
      <c r="C154" s="317"/>
      <c r="D154" s="317"/>
      <c r="E154" s="317"/>
      <c r="F154" s="328"/>
      <c r="G154" s="357"/>
      <c r="H154" s="330">
        <v>16</v>
      </c>
      <c r="K154" s="292"/>
    </row>
    <row r="226" spans="1:11" s="357" customFormat="1">
      <c r="A226" s="317"/>
      <c r="B226" s="317"/>
      <c r="C226" s="317"/>
      <c r="D226" s="317"/>
      <c r="E226" s="317"/>
      <c r="F226" s="328" t="s">
        <v>1047</v>
      </c>
      <c r="H226" s="330"/>
      <c r="I226" s="325"/>
      <c r="J226" s="325"/>
      <c r="K226" s="292"/>
    </row>
  </sheetData>
  <mergeCells count="5">
    <mergeCell ref="A1:H1"/>
    <mergeCell ref="A2:H2"/>
    <mergeCell ref="A3:H3"/>
    <mergeCell ref="A4:F4"/>
    <mergeCell ref="G4:H4"/>
  </mergeCells>
  <phoneticPr fontId="7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0C13-6600-46B8-8EE8-EC56E00172B0}">
  <sheetPr>
    <tabColor rgb="FFFF0000"/>
  </sheetPr>
  <dimension ref="A1:N611"/>
  <sheetViews>
    <sheetView view="pageBreakPreview" zoomScale="115" zoomScaleNormal="100" zoomScaleSheetLayoutView="115" workbookViewId="0">
      <pane ySplit="5" topLeftCell="A587" activePane="bottomLeft" state="frozen"/>
      <selection activeCell="K1" sqref="K1:L1048576"/>
      <selection pane="bottomLeft" activeCell="C612" sqref="C612"/>
    </sheetView>
  </sheetViews>
  <sheetFormatPr defaultRowHeight="16.5"/>
  <cols>
    <col min="1" max="1" width="5.125" style="317" customWidth="1"/>
    <col min="2" max="2" width="22.5" style="427" customWidth="1"/>
    <col min="3" max="3" width="5.5" style="317" customWidth="1"/>
    <col min="4" max="4" width="12.75" style="317" customWidth="1"/>
    <col min="5" max="5" width="12.5" style="317" customWidth="1"/>
    <col min="6" max="6" width="31.625" style="437" customWidth="1"/>
    <col min="7" max="7" width="28.5" style="438" customWidth="1"/>
    <col min="8" max="8" width="10.75" style="439" customWidth="1"/>
    <col min="9" max="9" width="10.75" style="380" customWidth="1"/>
    <col min="10" max="10" width="12" style="380" customWidth="1"/>
    <col min="11" max="11" width="9" style="292"/>
    <col min="12" max="12" width="15.375" style="293" customWidth="1"/>
    <col min="13" max="13" width="17.125" style="293" customWidth="1"/>
    <col min="14" max="16384" width="9" style="293"/>
  </cols>
  <sheetData>
    <row r="1" spans="1:11" ht="21" customHeight="1">
      <c r="A1" s="813" t="s">
        <v>0</v>
      </c>
      <c r="B1" s="814"/>
      <c r="C1" s="814"/>
      <c r="D1" s="814"/>
      <c r="E1" s="814"/>
      <c r="F1" s="814"/>
      <c r="G1" s="814"/>
      <c r="H1" s="814"/>
      <c r="I1" s="290"/>
      <c r="J1" s="291"/>
    </row>
    <row r="2" spans="1:11">
      <c r="A2" s="815" t="s">
        <v>907</v>
      </c>
      <c r="B2" s="816"/>
      <c r="C2" s="816"/>
      <c r="D2" s="816"/>
      <c r="E2" s="816"/>
      <c r="F2" s="816"/>
      <c r="G2" s="816"/>
      <c r="H2" s="816"/>
      <c r="I2" s="294"/>
      <c r="J2" s="295"/>
    </row>
    <row r="3" spans="1:11">
      <c r="A3" s="817" t="s">
        <v>908</v>
      </c>
      <c r="B3" s="818"/>
      <c r="C3" s="818"/>
      <c r="D3" s="818"/>
      <c r="E3" s="818"/>
      <c r="F3" s="818"/>
      <c r="G3" s="818"/>
      <c r="H3" s="818"/>
      <c r="I3" s="294"/>
      <c r="J3" s="295"/>
    </row>
    <row r="4" spans="1:11">
      <c r="A4" s="817" t="s">
        <v>909</v>
      </c>
      <c r="B4" s="818"/>
      <c r="C4" s="818"/>
      <c r="D4" s="818"/>
      <c r="E4" s="818"/>
      <c r="F4" s="818"/>
      <c r="G4" s="819" t="s">
        <v>910</v>
      </c>
      <c r="H4" s="819"/>
      <c r="I4" s="296"/>
      <c r="J4" s="297"/>
    </row>
    <row r="5" spans="1:11">
      <c r="A5" s="298" t="s">
        <v>9</v>
      </c>
      <c r="B5" s="299" t="s">
        <v>911</v>
      </c>
      <c r="C5" s="299" t="s">
        <v>11</v>
      </c>
      <c r="D5" s="299" t="s">
        <v>912</v>
      </c>
      <c r="E5" s="299" t="s">
        <v>913</v>
      </c>
      <c r="F5" s="300" t="s">
        <v>914</v>
      </c>
      <c r="G5" s="301" t="s">
        <v>915</v>
      </c>
      <c r="H5" s="302" t="s">
        <v>916</v>
      </c>
      <c r="I5" s="296" t="s">
        <v>1920</v>
      </c>
      <c r="J5" s="303" t="s">
        <v>917</v>
      </c>
      <c r="K5" s="304"/>
    </row>
    <row r="6" spans="1:11">
      <c r="A6" s="358" t="s">
        <v>1048</v>
      </c>
      <c r="B6" s="359" t="s">
        <v>1049</v>
      </c>
      <c r="C6" s="360" t="s">
        <v>23</v>
      </c>
      <c r="D6" s="361">
        <v>1</v>
      </c>
      <c r="E6" s="361"/>
      <c r="F6" s="362"/>
      <c r="G6" s="363"/>
      <c r="H6" s="364"/>
      <c r="I6" s="365"/>
      <c r="J6" s="297"/>
    </row>
    <row r="7" spans="1:11" ht="33">
      <c r="A7" s="310" t="s">
        <v>1050</v>
      </c>
      <c r="B7" s="366" t="s">
        <v>97</v>
      </c>
      <c r="C7" s="367" t="s">
        <v>98</v>
      </c>
      <c r="D7" s="368">
        <v>2347.79</v>
      </c>
      <c r="E7" s="369"/>
      <c r="F7" s="370" t="s">
        <v>1051</v>
      </c>
      <c r="G7" s="371" t="s">
        <v>1052</v>
      </c>
      <c r="H7" s="372">
        <f>1*1*0.39*5207.01</f>
        <v>2030.7339000000002</v>
      </c>
      <c r="I7" s="296">
        <v>0</v>
      </c>
      <c r="J7" s="679">
        <f>SUM(H7:H20)</f>
        <v>2347.7873110000005</v>
      </c>
    </row>
    <row r="8" spans="1:11">
      <c r="A8" s="373"/>
      <c r="B8" s="374"/>
      <c r="C8" s="375"/>
      <c r="D8" s="376"/>
      <c r="E8" s="369"/>
      <c r="F8" s="370" t="s">
        <v>1053</v>
      </c>
      <c r="G8" s="371" t="s">
        <v>1054</v>
      </c>
      <c r="H8" s="372">
        <f>1*1*0.23*375.23</f>
        <v>86.302900000000008</v>
      </c>
      <c r="I8" s="377"/>
      <c r="J8" s="297"/>
    </row>
    <row r="9" spans="1:11">
      <c r="A9" s="373"/>
      <c r="B9" s="374"/>
      <c r="C9" s="375"/>
      <c r="D9" s="376"/>
      <c r="E9" s="369"/>
      <c r="F9" s="370" t="s">
        <v>1055</v>
      </c>
      <c r="G9" s="371" t="s">
        <v>1056</v>
      </c>
      <c r="H9" s="372">
        <v>0</v>
      </c>
      <c r="I9" s="377"/>
      <c r="J9" s="297"/>
    </row>
    <row r="10" spans="1:11">
      <c r="A10" s="373"/>
      <c r="B10" s="374"/>
      <c r="C10" s="375"/>
      <c r="D10" s="376"/>
      <c r="E10" s="369"/>
      <c r="F10" s="370" t="s">
        <v>1057</v>
      </c>
      <c r="G10" s="371" t="s">
        <v>1058</v>
      </c>
      <c r="H10" s="372">
        <f>1*1*0.2*34.8</f>
        <v>6.96</v>
      </c>
      <c r="I10" s="377"/>
      <c r="J10" s="297"/>
    </row>
    <row r="11" spans="1:11">
      <c r="A11" s="373"/>
      <c r="B11" s="374"/>
      <c r="C11" s="375"/>
      <c r="D11" s="376"/>
      <c r="E11" s="369"/>
      <c r="F11" s="370" t="s">
        <v>1059</v>
      </c>
      <c r="G11" s="371" t="s">
        <v>1060</v>
      </c>
      <c r="H11" s="372">
        <f>1*1*0.2*11.98</f>
        <v>2.3960000000000004</v>
      </c>
      <c r="I11" s="377"/>
      <c r="J11" s="297"/>
    </row>
    <row r="12" spans="1:11">
      <c r="A12" s="373"/>
      <c r="B12" s="374"/>
      <c r="C12" s="375"/>
      <c r="D12" s="376"/>
      <c r="E12" s="369"/>
      <c r="F12" s="370" t="s">
        <v>1061</v>
      </c>
      <c r="G12" s="371" t="s">
        <v>1062</v>
      </c>
      <c r="H12" s="372">
        <f>2.425*0.6*0.45*8</f>
        <v>5.2379999999999995</v>
      </c>
      <c r="I12" s="377"/>
      <c r="J12" s="297"/>
    </row>
    <row r="13" spans="1:11">
      <c r="A13" s="373"/>
      <c r="B13" s="374"/>
      <c r="C13" s="375"/>
      <c r="D13" s="376"/>
      <c r="E13" s="369"/>
      <c r="F13" s="370" t="s">
        <v>1063</v>
      </c>
      <c r="G13" s="371" t="s">
        <v>1064</v>
      </c>
      <c r="H13" s="372">
        <f>1.1*0.9*0.33*19</f>
        <v>6.2073000000000009</v>
      </c>
      <c r="I13" s="377"/>
      <c r="J13" s="297"/>
    </row>
    <row r="14" spans="1:11">
      <c r="A14" s="373"/>
      <c r="B14" s="374"/>
      <c r="C14" s="375"/>
      <c r="D14" s="376"/>
      <c r="E14" s="369"/>
      <c r="F14" s="370" t="s">
        <v>1065</v>
      </c>
      <c r="G14" s="371" t="s">
        <v>1066</v>
      </c>
      <c r="H14" s="372">
        <f>1*0.1*0.29*360.35</f>
        <v>10.450150000000001</v>
      </c>
      <c r="I14" s="377"/>
      <c r="J14" s="297"/>
    </row>
    <row r="15" spans="1:11">
      <c r="A15" s="373"/>
      <c r="B15" s="374"/>
      <c r="C15" s="375"/>
      <c r="D15" s="376"/>
      <c r="E15" s="369"/>
      <c r="F15" s="370" t="s">
        <v>1067</v>
      </c>
      <c r="G15" s="371" t="s">
        <v>1068</v>
      </c>
      <c r="H15" s="372">
        <f>1*0.23*0.33*691.14</f>
        <v>52.457526000000009</v>
      </c>
      <c r="I15" s="377"/>
      <c r="J15" s="297"/>
    </row>
    <row r="16" spans="1:11">
      <c r="A16" s="373"/>
      <c r="B16" s="374"/>
      <c r="C16" s="375"/>
      <c r="D16" s="376"/>
      <c r="E16" s="369"/>
      <c r="F16" s="370" t="s">
        <v>1069</v>
      </c>
      <c r="G16" s="371" t="s">
        <v>1070</v>
      </c>
      <c r="H16" s="372">
        <f>1*0.15*0.3*890.62</f>
        <v>40.0779</v>
      </c>
      <c r="I16" s="377"/>
      <c r="J16" s="297"/>
    </row>
    <row r="17" spans="1:10">
      <c r="A17" s="373"/>
      <c r="B17" s="374"/>
      <c r="C17" s="375"/>
      <c r="D17" s="376"/>
      <c r="E17" s="369"/>
      <c r="F17" s="370" t="s">
        <v>1071</v>
      </c>
      <c r="G17" s="371" t="s">
        <v>1072</v>
      </c>
      <c r="H17" s="372">
        <f>1*0.15*0.27*85.77</f>
        <v>3.4736850000000001</v>
      </c>
      <c r="I17" s="377"/>
      <c r="J17" s="297"/>
    </row>
    <row r="18" spans="1:10">
      <c r="A18" s="373"/>
      <c r="B18" s="374"/>
      <c r="C18" s="375"/>
      <c r="D18" s="376"/>
      <c r="E18" s="369"/>
      <c r="F18" s="370" t="s">
        <v>1073</v>
      </c>
      <c r="G18" s="371" t="s">
        <v>1074</v>
      </c>
      <c r="H18" s="372">
        <f>1*0.15*0.15*187.82</f>
        <v>4.2259500000000001</v>
      </c>
      <c r="I18" s="377" t="s">
        <v>1075</v>
      </c>
      <c r="J18" s="297"/>
    </row>
    <row r="19" spans="1:10">
      <c r="A19" s="373"/>
      <c r="B19" s="374"/>
      <c r="C19" s="375"/>
      <c r="D19" s="376"/>
      <c r="E19" s="369"/>
      <c r="F19" s="370" t="s">
        <v>1076</v>
      </c>
      <c r="G19" s="371" t="s">
        <v>1077</v>
      </c>
      <c r="H19" s="372">
        <f>1*1*0.3*20.48</f>
        <v>6.1440000000000001</v>
      </c>
      <c r="I19" s="377"/>
      <c r="J19" s="297"/>
    </row>
    <row r="20" spans="1:10">
      <c r="A20" s="373"/>
      <c r="B20" s="374"/>
      <c r="C20" s="375"/>
      <c r="D20" s="376"/>
      <c r="E20" s="369"/>
      <c r="F20" s="370" t="s">
        <v>1078</v>
      </c>
      <c r="G20" s="371"/>
      <c r="H20" s="372">
        <v>93.12</v>
      </c>
      <c r="I20" s="377"/>
      <c r="J20" s="297"/>
    </row>
    <row r="21" spans="1:10">
      <c r="A21" s="373"/>
      <c r="B21" s="374"/>
      <c r="C21" s="375"/>
      <c r="D21" s="376"/>
      <c r="E21" s="376"/>
      <c r="F21" s="370"/>
      <c r="G21" s="371"/>
      <c r="H21" s="372"/>
      <c r="I21" s="377"/>
      <c r="J21" s="297"/>
    </row>
    <row r="22" spans="1:10" ht="33">
      <c r="A22" s="378" t="s">
        <v>1079</v>
      </c>
      <c r="B22" s="366" t="s">
        <v>99</v>
      </c>
      <c r="C22" s="367" t="s">
        <v>98</v>
      </c>
      <c r="D22" s="368">
        <v>755.76</v>
      </c>
      <c r="E22" s="368"/>
      <c r="F22" s="370" t="s">
        <v>1080</v>
      </c>
      <c r="G22" s="371" t="s">
        <v>1081</v>
      </c>
      <c r="H22" s="372">
        <f>1*0.2*0.29*354.7</f>
        <v>20.572599999999998</v>
      </c>
      <c r="I22" s="379">
        <v>0</v>
      </c>
      <c r="J22" s="679">
        <f>SUM(H22:H67)</f>
        <v>742.90103910000005</v>
      </c>
    </row>
    <row r="23" spans="1:10">
      <c r="A23" s="378"/>
      <c r="B23" s="366"/>
      <c r="C23" s="367"/>
      <c r="D23" s="368"/>
      <c r="E23" s="368"/>
      <c r="F23" s="370" t="s">
        <v>1082</v>
      </c>
      <c r="G23" s="371" t="s">
        <v>1083</v>
      </c>
      <c r="H23" s="372">
        <f>1*0.3*0.29*44.7</f>
        <v>3.8889</v>
      </c>
      <c r="I23" s="379"/>
    </row>
    <row r="24" spans="1:10">
      <c r="A24" s="378"/>
      <c r="B24" s="366"/>
      <c r="C24" s="367"/>
      <c r="D24" s="368"/>
      <c r="E24" s="368"/>
      <c r="F24" s="370" t="s">
        <v>1084</v>
      </c>
      <c r="G24" s="371" t="s">
        <v>1085</v>
      </c>
      <c r="H24" s="372">
        <f>1*0.8*0.45*31</f>
        <v>11.160000000000002</v>
      </c>
      <c r="I24" s="379"/>
    </row>
    <row r="25" spans="1:10">
      <c r="A25" s="378"/>
      <c r="B25" s="366"/>
      <c r="C25" s="367"/>
      <c r="D25" s="368"/>
      <c r="E25" s="368"/>
      <c r="F25" s="370" t="s">
        <v>1086</v>
      </c>
      <c r="G25" s="371" t="s">
        <v>1087</v>
      </c>
      <c r="H25" s="372">
        <f>1*0.3*0.7*18.1</f>
        <v>3.8010000000000002</v>
      </c>
      <c r="I25" s="379"/>
    </row>
    <row r="26" spans="1:10">
      <c r="A26" s="378"/>
      <c r="B26" s="366"/>
      <c r="C26" s="367"/>
      <c r="D26" s="368"/>
      <c r="E26" s="368"/>
      <c r="F26" s="370" t="s">
        <v>1088</v>
      </c>
      <c r="G26" s="371" t="s">
        <v>1089</v>
      </c>
      <c r="H26" s="372">
        <f>1*0.4*0.29*180.4</f>
        <v>20.926399999999997</v>
      </c>
      <c r="I26" s="379"/>
    </row>
    <row r="27" spans="1:10">
      <c r="A27" s="378"/>
      <c r="B27" s="366"/>
      <c r="C27" s="367"/>
      <c r="D27" s="368"/>
      <c r="E27" s="368"/>
      <c r="F27" s="370" t="s">
        <v>1090</v>
      </c>
      <c r="G27" s="371" t="s">
        <v>1091</v>
      </c>
      <c r="H27" s="372">
        <f>1*0.3*0.29*25.6</f>
        <v>2.2271999999999998</v>
      </c>
      <c r="I27" s="379"/>
    </row>
    <row r="28" spans="1:10" ht="33">
      <c r="A28" s="378"/>
      <c r="B28" s="366"/>
      <c r="C28" s="367"/>
      <c r="D28" s="368"/>
      <c r="E28" s="368"/>
      <c r="F28" s="370" t="s">
        <v>1092</v>
      </c>
      <c r="G28" s="371" t="s">
        <v>1093</v>
      </c>
      <c r="H28" s="372">
        <f>(1.5*0.647*0.29)+(1*0.225*0.29)*7</f>
        <v>0.73819499999999993</v>
      </c>
      <c r="I28" s="379"/>
    </row>
    <row r="29" spans="1:10">
      <c r="A29" s="378"/>
      <c r="B29" s="366"/>
      <c r="C29" s="367"/>
      <c r="D29" s="368"/>
      <c r="E29" s="368"/>
      <c r="F29" s="370" t="s">
        <v>1094</v>
      </c>
      <c r="G29" s="371" t="s">
        <v>1095</v>
      </c>
      <c r="H29" s="372">
        <f>1*0.5*0.29*7.8</f>
        <v>1.131</v>
      </c>
      <c r="I29" s="379"/>
    </row>
    <row r="30" spans="1:10">
      <c r="A30" s="378"/>
      <c r="B30" s="366"/>
      <c r="C30" s="367"/>
      <c r="D30" s="368"/>
      <c r="E30" s="368"/>
      <c r="F30" s="370" t="s">
        <v>1096</v>
      </c>
      <c r="G30" s="371" t="s">
        <v>1097</v>
      </c>
      <c r="H30" s="372">
        <f>0.3*0.2*0.367*2</f>
        <v>4.4039999999999996E-2</v>
      </c>
      <c r="I30" s="379"/>
    </row>
    <row r="31" spans="1:10">
      <c r="A31" s="378"/>
      <c r="B31" s="366"/>
      <c r="C31" s="367"/>
      <c r="D31" s="368"/>
      <c r="E31" s="368"/>
      <c r="F31" s="370" t="s">
        <v>1098</v>
      </c>
      <c r="G31" s="371" t="s">
        <v>1099</v>
      </c>
      <c r="H31" s="372">
        <f>0.56*0.56*0.192*3</f>
        <v>0.18063360000000003</v>
      </c>
      <c r="I31" s="379"/>
    </row>
    <row r="32" spans="1:10">
      <c r="A32" s="378"/>
      <c r="B32" s="366"/>
      <c r="C32" s="367"/>
      <c r="D32" s="368"/>
      <c r="E32" s="368"/>
      <c r="F32" s="370" t="s">
        <v>1100</v>
      </c>
      <c r="G32" s="371" t="s">
        <v>1101</v>
      </c>
      <c r="H32" s="372">
        <f>1*0.8*0.4*18</f>
        <v>5.7600000000000016</v>
      </c>
      <c r="I32" s="379"/>
    </row>
    <row r="33" spans="1:9">
      <c r="A33" s="378"/>
      <c r="B33" s="366"/>
      <c r="C33" s="367"/>
      <c r="D33" s="368"/>
      <c r="E33" s="368"/>
      <c r="F33" s="370" t="s">
        <v>1102</v>
      </c>
      <c r="G33" s="371" t="s">
        <v>1103</v>
      </c>
      <c r="H33" s="372">
        <f>1*1.2*1.1*17.1</f>
        <v>22.572000000000003</v>
      </c>
      <c r="I33" s="379"/>
    </row>
    <row r="34" spans="1:9">
      <c r="A34" s="378"/>
      <c r="B34" s="366"/>
      <c r="C34" s="367"/>
      <c r="D34" s="368"/>
      <c r="E34" s="368"/>
      <c r="F34" s="370" t="s">
        <v>1104</v>
      </c>
      <c r="G34" s="371" t="s">
        <v>2218</v>
      </c>
      <c r="H34" s="372">
        <f>1*0.45*0.45*(21.7+17.6)</f>
        <v>7.9582499999999996</v>
      </c>
      <c r="I34" s="379"/>
    </row>
    <row r="35" spans="1:9">
      <c r="A35" s="378"/>
      <c r="B35" s="366"/>
      <c r="C35" s="367"/>
      <c r="D35" s="368"/>
      <c r="E35" s="368"/>
      <c r="F35" s="370" t="s">
        <v>1105</v>
      </c>
      <c r="G35" s="371" t="s">
        <v>1106</v>
      </c>
      <c r="H35" s="372">
        <f>1*0.3*1.48*32.5</f>
        <v>14.43</v>
      </c>
      <c r="I35" s="379"/>
    </row>
    <row r="36" spans="1:9">
      <c r="A36" s="378"/>
      <c r="B36" s="366"/>
      <c r="C36" s="367"/>
      <c r="D36" s="368"/>
      <c r="E36" s="368"/>
      <c r="F36" s="370" t="s">
        <v>1107</v>
      </c>
      <c r="G36" s="371" t="s">
        <v>1108</v>
      </c>
      <c r="H36" s="372">
        <f>13.89*2*0.55</f>
        <v>15.279000000000002</v>
      </c>
      <c r="I36" s="379"/>
    </row>
    <row r="37" spans="1:9">
      <c r="A37" s="378"/>
      <c r="B37" s="366"/>
      <c r="C37" s="367"/>
      <c r="D37" s="368"/>
      <c r="E37" s="368"/>
      <c r="F37" s="370" t="s">
        <v>1109</v>
      </c>
      <c r="G37" s="371" t="s">
        <v>1110</v>
      </c>
      <c r="H37" s="372">
        <f>0.66*1.2*0.3</f>
        <v>0.23760000000000001</v>
      </c>
      <c r="I37" s="379"/>
    </row>
    <row r="38" spans="1:9">
      <c r="A38" s="378"/>
      <c r="B38" s="366"/>
      <c r="C38" s="367"/>
      <c r="D38" s="368"/>
      <c r="E38" s="368"/>
      <c r="F38" s="370" t="s">
        <v>1111</v>
      </c>
      <c r="G38" s="371" t="s">
        <v>1112</v>
      </c>
      <c r="H38" s="372">
        <f>1.32*1.2*0.4</f>
        <v>0.63360000000000005</v>
      </c>
      <c r="I38" s="379"/>
    </row>
    <row r="39" spans="1:9">
      <c r="A39" s="378"/>
      <c r="B39" s="366"/>
      <c r="C39" s="367"/>
      <c r="D39" s="368"/>
      <c r="E39" s="368"/>
      <c r="F39" s="370" t="s">
        <v>1113</v>
      </c>
      <c r="G39" s="371" t="s">
        <v>1114</v>
      </c>
      <c r="H39" s="372">
        <f>1.98*1.2*0.47</f>
        <v>1.1167199999999999</v>
      </c>
      <c r="I39" s="379"/>
    </row>
    <row r="40" spans="1:9">
      <c r="A40" s="378"/>
      <c r="B40" s="366"/>
      <c r="C40" s="367"/>
      <c r="D40" s="368"/>
      <c r="E40" s="368"/>
      <c r="F40" s="370" t="s">
        <v>1115</v>
      </c>
      <c r="G40" s="371" t="s">
        <v>1116</v>
      </c>
      <c r="H40" s="372">
        <f>0.3*6.63*0.35</f>
        <v>0.69614999999999994</v>
      </c>
      <c r="I40" s="379"/>
    </row>
    <row r="41" spans="1:9">
      <c r="A41" s="378"/>
      <c r="B41" s="366"/>
      <c r="C41" s="367"/>
      <c r="D41" s="368"/>
      <c r="E41" s="368"/>
      <c r="F41" s="370" t="s">
        <v>1117</v>
      </c>
      <c r="G41" s="371" t="s">
        <v>1118</v>
      </c>
      <c r="H41" s="372">
        <f>1.6*0.7*0.76</f>
        <v>0.85119999999999996</v>
      </c>
      <c r="I41" s="379"/>
    </row>
    <row r="42" spans="1:9">
      <c r="A42" s="378"/>
      <c r="B42" s="366"/>
      <c r="C42" s="367"/>
      <c r="D42" s="368"/>
      <c r="E42" s="368"/>
      <c r="F42" s="370" t="s">
        <v>1119</v>
      </c>
      <c r="G42" s="371" t="s">
        <v>1120</v>
      </c>
      <c r="H42" s="372">
        <f>1.1*0.55*1*2</f>
        <v>1.2100000000000002</v>
      </c>
      <c r="I42" s="379"/>
    </row>
    <row r="43" spans="1:9">
      <c r="A43" s="378"/>
      <c r="B43" s="366"/>
      <c r="C43" s="367"/>
      <c r="D43" s="368"/>
      <c r="E43" s="368"/>
      <c r="F43" s="370" t="s">
        <v>1121</v>
      </c>
      <c r="G43" s="371" t="s">
        <v>1122</v>
      </c>
      <c r="H43" s="372">
        <f>1.1*0.55*0.75</f>
        <v>0.4537500000000001</v>
      </c>
      <c r="I43" s="379"/>
    </row>
    <row r="44" spans="1:9">
      <c r="A44" s="378"/>
      <c r="B44" s="366"/>
      <c r="C44" s="367"/>
      <c r="D44" s="368"/>
      <c r="E44" s="368"/>
      <c r="F44" s="370" t="s">
        <v>1123</v>
      </c>
      <c r="G44" s="371" t="s">
        <v>1124</v>
      </c>
      <c r="H44" s="372">
        <f>0.7*0.7*0.66*3</f>
        <v>0.97019999999999995</v>
      </c>
      <c r="I44" s="379"/>
    </row>
    <row r="45" spans="1:9">
      <c r="A45" s="378"/>
      <c r="B45" s="366"/>
      <c r="C45" s="367"/>
      <c r="D45" s="368"/>
      <c r="E45" s="368"/>
      <c r="F45" s="370" t="s">
        <v>1125</v>
      </c>
      <c r="G45" s="371" t="s">
        <v>1126</v>
      </c>
      <c r="H45" s="372">
        <f>3.1*0.6*0.25*4</f>
        <v>1.8599999999999999</v>
      </c>
      <c r="I45" s="379"/>
    </row>
    <row r="46" spans="1:9">
      <c r="A46" s="378"/>
      <c r="B46" s="366"/>
      <c r="C46" s="367"/>
      <c r="D46" s="368"/>
      <c r="E46" s="368"/>
      <c r="F46" s="370" t="s">
        <v>1127</v>
      </c>
      <c r="G46" s="371" t="s">
        <v>1128</v>
      </c>
      <c r="H46" s="372">
        <f>0.9*0.5*0.43*5</f>
        <v>0.96750000000000003</v>
      </c>
      <c r="I46" s="379"/>
    </row>
    <row r="47" spans="1:9">
      <c r="A47" s="378"/>
      <c r="B47" s="366"/>
      <c r="C47" s="367"/>
      <c r="D47" s="368"/>
      <c r="E47" s="368"/>
      <c r="F47" s="370" t="s">
        <v>1129</v>
      </c>
      <c r="G47" s="371" t="s">
        <v>1130</v>
      </c>
      <c r="H47" s="372">
        <f>0.9*0.5*0.43</f>
        <v>0.19350000000000001</v>
      </c>
      <c r="I47" s="379"/>
    </row>
    <row r="48" spans="1:9">
      <c r="A48" s="378"/>
      <c r="B48" s="366"/>
      <c r="C48" s="367"/>
      <c r="D48" s="368"/>
      <c r="E48" s="368"/>
      <c r="F48" s="370" t="s">
        <v>1131</v>
      </c>
      <c r="G48" s="371" t="s">
        <v>1132</v>
      </c>
      <c r="H48" s="372">
        <f>0.9*0.5*0.43*6</f>
        <v>1.161</v>
      </c>
      <c r="I48" s="379"/>
    </row>
    <row r="49" spans="1:9">
      <c r="A49" s="378"/>
      <c r="B49" s="366"/>
      <c r="C49" s="367"/>
      <c r="D49" s="368"/>
      <c r="E49" s="368"/>
      <c r="F49" s="370" t="s">
        <v>1133</v>
      </c>
      <c r="G49" s="371" t="s">
        <v>1134</v>
      </c>
      <c r="H49" s="372">
        <f>0.9*0.5*0.43*2</f>
        <v>0.38700000000000001</v>
      </c>
      <c r="I49" s="379"/>
    </row>
    <row r="50" spans="1:9">
      <c r="A50" s="378"/>
      <c r="B50" s="366"/>
      <c r="C50" s="367"/>
      <c r="D50" s="368"/>
      <c r="E50" s="368"/>
      <c r="F50" s="370" t="s">
        <v>1135</v>
      </c>
      <c r="G50" s="371" t="s">
        <v>1136</v>
      </c>
      <c r="H50" s="372">
        <f>0.4*0.4*0.41*2</f>
        <v>0.13120000000000001</v>
      </c>
      <c r="I50" s="379"/>
    </row>
    <row r="51" spans="1:9">
      <c r="A51" s="378"/>
      <c r="B51" s="366"/>
      <c r="C51" s="367"/>
      <c r="D51" s="368"/>
      <c r="E51" s="368"/>
      <c r="F51" s="370" t="s">
        <v>1137</v>
      </c>
      <c r="G51" s="371" t="s">
        <v>1138</v>
      </c>
      <c r="H51" s="372">
        <f>0.4*0.4*0.41*4</f>
        <v>0.26240000000000002</v>
      </c>
      <c r="I51" s="379"/>
    </row>
    <row r="52" spans="1:9" ht="33">
      <c r="A52" s="378"/>
      <c r="B52" s="366"/>
      <c r="C52" s="367"/>
      <c r="D52" s="368"/>
      <c r="E52" s="368"/>
      <c r="F52" s="370" t="s">
        <v>1139</v>
      </c>
      <c r="G52" s="371" t="s">
        <v>1140</v>
      </c>
      <c r="H52" s="372">
        <f>(6.187*1.5*0.45)+(10.694*3.565*0.45)</f>
        <v>21.332074500000004</v>
      </c>
      <c r="I52" s="379"/>
    </row>
    <row r="53" spans="1:9">
      <c r="A53" s="378"/>
      <c r="B53" s="366"/>
      <c r="C53" s="367"/>
      <c r="D53" s="368"/>
      <c r="E53" s="368"/>
      <c r="F53" s="370" t="s">
        <v>1141</v>
      </c>
      <c r="G53" s="371" t="s">
        <v>1142</v>
      </c>
      <c r="H53" s="372">
        <f>(0.6*0.25*0.48)*1</f>
        <v>7.1999999999999995E-2</v>
      </c>
      <c r="I53" s="379"/>
    </row>
    <row r="54" spans="1:9">
      <c r="A54" s="378"/>
      <c r="B54" s="366"/>
      <c r="C54" s="367"/>
      <c r="D54" s="368"/>
      <c r="E54" s="368"/>
      <c r="F54" s="370" t="s">
        <v>1143</v>
      </c>
      <c r="G54" s="371" t="s">
        <v>1144</v>
      </c>
      <c r="H54" s="372">
        <f>0.8*0.8*0.95*62</f>
        <v>37.696000000000005</v>
      </c>
      <c r="I54" s="379"/>
    </row>
    <row r="55" spans="1:9">
      <c r="A55" s="378"/>
      <c r="B55" s="366"/>
      <c r="C55" s="367"/>
      <c r="D55" s="368"/>
      <c r="E55" s="368"/>
      <c r="F55" s="370" t="s">
        <v>1145</v>
      </c>
      <c r="G55" s="371" t="s">
        <v>1146</v>
      </c>
      <c r="H55" s="372">
        <f>0.6*0.65*0.5*13</f>
        <v>2.5350000000000001</v>
      </c>
      <c r="I55" s="379"/>
    </row>
    <row r="56" spans="1:9">
      <c r="A56" s="378"/>
      <c r="B56" s="366"/>
      <c r="C56" s="367"/>
      <c r="D56" s="368"/>
      <c r="E56" s="368"/>
      <c r="F56" s="370" t="s">
        <v>1147</v>
      </c>
      <c r="G56" s="371" t="s">
        <v>1148</v>
      </c>
      <c r="H56" s="372">
        <f>0.6*0.65*0.5*41.7</f>
        <v>8.1315000000000008</v>
      </c>
      <c r="I56" s="379"/>
    </row>
    <row r="57" spans="1:9">
      <c r="A57" s="378"/>
      <c r="B57" s="366"/>
      <c r="C57" s="367"/>
      <c r="D57" s="368"/>
      <c r="E57" s="368"/>
      <c r="F57" s="370" t="s">
        <v>1149</v>
      </c>
      <c r="G57" s="371" t="s">
        <v>1150</v>
      </c>
      <c r="H57" s="372">
        <f>0.32*0.405*0.5*1.3</f>
        <v>8.4240000000000023E-2</v>
      </c>
      <c r="I57" s="379"/>
    </row>
    <row r="58" spans="1:9">
      <c r="A58" s="378"/>
      <c r="B58" s="366"/>
      <c r="C58" s="367"/>
      <c r="D58" s="368"/>
      <c r="E58" s="368"/>
      <c r="F58" s="370" t="s">
        <v>1151</v>
      </c>
      <c r="G58" s="371" t="s">
        <v>1152</v>
      </c>
      <c r="H58" s="372">
        <f>1*0.4*0.6*122.3</f>
        <v>29.351999999999997</v>
      </c>
      <c r="I58" s="379"/>
    </row>
    <row r="59" spans="1:9">
      <c r="A59" s="378"/>
      <c r="B59" s="366"/>
      <c r="C59" s="367"/>
      <c r="D59" s="368"/>
      <c r="E59" s="368"/>
      <c r="F59" s="370" t="s">
        <v>1153</v>
      </c>
      <c r="G59" s="371" t="s">
        <v>1154</v>
      </c>
      <c r="H59" s="372">
        <f>1*0.4*0.6*101.1</f>
        <v>24.263999999999999</v>
      </c>
      <c r="I59" s="379"/>
    </row>
    <row r="60" spans="1:9">
      <c r="A60" s="378"/>
      <c r="B60" s="366"/>
      <c r="C60" s="367"/>
      <c r="D60" s="368"/>
      <c r="E60" s="368"/>
      <c r="F60" s="370" t="s">
        <v>1155</v>
      </c>
      <c r="G60" s="371" t="s">
        <v>1156</v>
      </c>
      <c r="H60" s="372">
        <f>1*0.95*0.5*489</f>
        <v>232.27499999999998</v>
      </c>
      <c r="I60" s="379"/>
    </row>
    <row r="61" spans="1:9">
      <c r="A61" s="378"/>
      <c r="B61" s="366"/>
      <c r="C61" s="367"/>
      <c r="D61" s="368"/>
      <c r="E61" s="368"/>
      <c r="F61" s="370" t="s">
        <v>980</v>
      </c>
      <c r="G61" s="371" t="s">
        <v>1157</v>
      </c>
      <c r="H61" s="372">
        <f>1*0.95*0.5*216</f>
        <v>102.6</v>
      </c>
      <c r="I61" s="379"/>
    </row>
    <row r="62" spans="1:9">
      <c r="A62" s="378"/>
      <c r="B62" s="366"/>
      <c r="C62" s="367"/>
      <c r="D62" s="368"/>
      <c r="E62" s="368"/>
      <c r="F62" s="370" t="s">
        <v>1158</v>
      </c>
      <c r="G62" s="371" t="s">
        <v>1159</v>
      </c>
      <c r="H62" s="372">
        <f>1*0.95*0.5*45.16</f>
        <v>21.450999999999997</v>
      </c>
      <c r="I62" s="379"/>
    </row>
    <row r="63" spans="1:9">
      <c r="A63" s="378"/>
      <c r="B63" s="366"/>
      <c r="C63" s="367"/>
      <c r="D63" s="368"/>
      <c r="E63" s="368"/>
      <c r="F63" s="370" t="s">
        <v>1160</v>
      </c>
      <c r="G63" s="371" t="s">
        <v>1161</v>
      </c>
      <c r="H63" s="372">
        <f>1*0.95*0.5*116.8</f>
        <v>55.48</v>
      </c>
      <c r="I63" s="379"/>
    </row>
    <row r="64" spans="1:9">
      <c r="A64" s="378"/>
      <c r="B64" s="366"/>
      <c r="C64" s="367"/>
      <c r="D64" s="368"/>
      <c r="E64" s="368"/>
      <c r="F64" s="370" t="s">
        <v>1162</v>
      </c>
      <c r="G64" s="371" t="s">
        <v>1163</v>
      </c>
      <c r="H64" s="372">
        <f>1*0.95*0.5*25.8</f>
        <v>12.254999999999999</v>
      </c>
      <c r="I64" s="379"/>
    </row>
    <row r="65" spans="1:10">
      <c r="A65" s="378"/>
      <c r="B65" s="366"/>
      <c r="C65" s="367"/>
      <c r="D65" s="368"/>
      <c r="E65" s="368"/>
      <c r="F65" s="370" t="s">
        <v>1164</v>
      </c>
      <c r="G65" s="371" t="s">
        <v>1165</v>
      </c>
      <c r="H65" s="372">
        <f>1*0.95*0.5*53.89</f>
        <v>25.597749999999998</v>
      </c>
      <c r="I65" s="379"/>
    </row>
    <row r="66" spans="1:10">
      <c r="A66" s="378"/>
      <c r="B66" s="366"/>
      <c r="C66" s="367"/>
      <c r="D66" s="368"/>
      <c r="E66" s="368"/>
      <c r="F66" s="370" t="s">
        <v>1166</v>
      </c>
      <c r="G66" s="371" t="s">
        <v>1167</v>
      </c>
      <c r="H66" s="372">
        <f>1*0.95*0.5*21</f>
        <v>9.9749999999999996</v>
      </c>
      <c r="I66" s="379"/>
    </row>
    <row r="67" spans="1:10">
      <c r="A67" s="378"/>
      <c r="B67" s="366"/>
      <c r="C67" s="367"/>
      <c r="D67" s="368"/>
      <c r="E67" s="368"/>
      <c r="F67" s="370" t="s">
        <v>1168</v>
      </c>
      <c r="G67" s="371" t="s">
        <v>1169</v>
      </c>
      <c r="H67" s="372">
        <f>1*0.311*0.21*275.6</f>
        <v>17.999435999999999</v>
      </c>
      <c r="I67" s="379"/>
    </row>
    <row r="68" spans="1:10">
      <c r="A68" s="378"/>
      <c r="B68" s="366"/>
      <c r="C68" s="367"/>
      <c r="D68" s="368"/>
      <c r="E68" s="368"/>
      <c r="F68" s="381"/>
      <c r="G68" s="329"/>
      <c r="H68" s="369"/>
      <c r="I68" s="379"/>
    </row>
    <row r="69" spans="1:10" s="292" customFormat="1">
      <c r="A69" s="310" t="s">
        <v>1170</v>
      </c>
      <c r="B69" s="366" t="s">
        <v>100</v>
      </c>
      <c r="C69" s="367" t="s">
        <v>101</v>
      </c>
      <c r="D69" s="368">
        <v>37233.480000000003</v>
      </c>
      <c r="E69" s="368"/>
      <c r="F69" s="710">
        <v>0</v>
      </c>
      <c r="G69" s="711">
        <v>0</v>
      </c>
      <c r="H69" s="712">
        <v>0</v>
      </c>
      <c r="I69" s="383">
        <f>SUM(H73:H76)</f>
        <v>3719.4419999999996</v>
      </c>
      <c r="J69" s="679">
        <f>SUM(H69:H127)</f>
        <v>29975.442407099999</v>
      </c>
    </row>
    <row r="70" spans="1:10" s="292" customFormat="1">
      <c r="A70" s="310"/>
      <c r="B70" s="366"/>
      <c r="C70" s="367"/>
      <c r="D70" s="368"/>
      <c r="E70" s="368"/>
      <c r="F70" s="371" t="s">
        <v>1061</v>
      </c>
      <c r="G70" s="371" t="s">
        <v>2032</v>
      </c>
      <c r="H70" s="372">
        <v>176.24</v>
      </c>
      <c r="I70" s="379"/>
      <c r="J70" s="380"/>
    </row>
    <row r="71" spans="1:10" s="292" customFormat="1">
      <c r="A71" s="310"/>
      <c r="B71" s="366"/>
      <c r="C71" s="367"/>
      <c r="D71" s="368"/>
      <c r="E71" s="368"/>
      <c r="F71" s="371" t="s">
        <v>1991</v>
      </c>
      <c r="G71" s="371" t="s">
        <v>2033</v>
      </c>
      <c r="H71" s="372">
        <v>216.01</v>
      </c>
      <c r="I71" s="379"/>
      <c r="J71" s="380"/>
    </row>
    <row r="72" spans="1:10" s="292" customFormat="1">
      <c r="A72" s="310"/>
      <c r="B72" s="366"/>
      <c r="C72" s="367"/>
      <c r="D72" s="368"/>
      <c r="E72" s="368"/>
      <c r="F72" s="371" t="s">
        <v>1992</v>
      </c>
      <c r="G72" s="371">
        <v>0</v>
      </c>
      <c r="H72" s="372">
        <v>0</v>
      </c>
      <c r="I72" s="379"/>
      <c r="J72" s="380"/>
    </row>
    <row r="73" spans="1:10" s="292" customFormat="1" ht="66">
      <c r="A73" s="310"/>
      <c r="B73" s="366"/>
      <c r="C73" s="367"/>
      <c r="D73" s="368"/>
      <c r="E73" s="368"/>
      <c r="F73" s="350" t="s">
        <v>1918</v>
      </c>
      <c r="G73" s="350" t="s">
        <v>1171</v>
      </c>
      <c r="H73" s="385">
        <f>ROUND(((1.4+0.5+1.4+0.2)*10/0.15+8*2*10+6*10+10/0.15*0.8)*0.994,2)</f>
        <v>503.63</v>
      </c>
      <c r="I73" s="379"/>
      <c r="J73" s="380"/>
    </row>
    <row r="74" spans="1:10" s="292" customFormat="1">
      <c r="A74" s="310"/>
      <c r="B74" s="366"/>
      <c r="C74" s="367"/>
      <c r="D74" s="368"/>
      <c r="E74" s="368"/>
      <c r="F74" s="681" t="s">
        <v>1172</v>
      </c>
      <c r="G74" s="681" t="s">
        <v>1173</v>
      </c>
      <c r="H74" s="709">
        <f>1108.24</f>
        <v>1108.24</v>
      </c>
      <c r="I74" s="379"/>
      <c r="J74" s="380"/>
    </row>
    <row r="75" spans="1:10" s="292" customFormat="1" ht="33">
      <c r="A75" s="310"/>
      <c r="B75" s="366"/>
      <c r="C75" s="367"/>
      <c r="D75" s="368"/>
      <c r="E75" s="368"/>
      <c r="F75" s="388" t="s">
        <v>1174</v>
      </c>
      <c r="G75" s="350" t="s">
        <v>1175</v>
      </c>
      <c r="H75" s="389">
        <f>((625-280-15)*(0.994)+(625-280-15)/0.5*0.4)*1.1</f>
        <v>651.22199999999998</v>
      </c>
      <c r="I75" s="379"/>
      <c r="J75" s="380"/>
    </row>
    <row r="76" spans="1:10" s="292" customFormat="1" ht="33">
      <c r="A76" s="310"/>
      <c r="B76" s="366"/>
      <c r="C76" s="367"/>
      <c r="D76" s="368"/>
      <c r="E76" s="368"/>
      <c r="F76" s="329" t="s">
        <v>1917</v>
      </c>
      <c r="G76" s="681" t="s">
        <v>2376</v>
      </c>
      <c r="H76" s="386">
        <f>41.61*J433</f>
        <v>1456.35</v>
      </c>
      <c r="I76" s="379"/>
      <c r="J76" s="380"/>
    </row>
    <row r="77" spans="1:10" s="292" customFormat="1" ht="33">
      <c r="A77" s="310"/>
      <c r="B77" s="366"/>
      <c r="C77" s="367"/>
      <c r="D77" s="368"/>
      <c r="E77" s="368"/>
      <c r="F77" s="714" t="s">
        <v>1922</v>
      </c>
      <c r="G77" s="714" t="s">
        <v>2284</v>
      </c>
      <c r="H77" s="372">
        <f>0.2*1/0.5*0.994*J397*1.05</f>
        <v>329.25395160000005</v>
      </c>
      <c r="I77" s="379"/>
      <c r="J77" s="380"/>
    </row>
    <row r="78" spans="1:10" s="292" customFormat="1" ht="33">
      <c r="A78" s="310"/>
      <c r="B78" s="366"/>
      <c r="C78" s="367"/>
      <c r="D78" s="368"/>
      <c r="E78" s="368"/>
      <c r="F78" s="714" t="s">
        <v>1923</v>
      </c>
      <c r="G78" s="714" t="s">
        <v>2283</v>
      </c>
      <c r="H78" s="372">
        <f>0.15*1/0.5*0.994*J407*1.05</f>
        <v>9.800342999999998</v>
      </c>
      <c r="I78" s="379"/>
      <c r="J78" s="380"/>
    </row>
    <row r="79" spans="1:10" s="292" customFormat="1" ht="49.5">
      <c r="A79" s="310"/>
      <c r="B79" s="366"/>
      <c r="C79" s="367"/>
      <c r="D79" s="368"/>
      <c r="E79" s="368"/>
      <c r="F79" s="371" t="s">
        <v>1073</v>
      </c>
      <c r="G79" s="371" t="s">
        <v>2282</v>
      </c>
      <c r="H79" s="372">
        <f>(1/0.2+2)*0.994*0.15*J422</f>
        <v>196.02773400000004</v>
      </c>
      <c r="I79" s="379"/>
      <c r="J79" s="380"/>
    </row>
    <row r="80" spans="1:10" s="292" customFormat="1">
      <c r="A80" s="310"/>
      <c r="B80" s="366"/>
      <c r="C80" s="367"/>
      <c r="D80" s="368"/>
      <c r="E80" s="368"/>
      <c r="F80" s="371" t="s">
        <v>1080</v>
      </c>
      <c r="G80" s="371" t="s">
        <v>2285</v>
      </c>
      <c r="H80" s="372">
        <f>J433*30.42</f>
        <v>1064.7</v>
      </c>
      <c r="I80" s="379"/>
      <c r="J80" s="380"/>
    </row>
    <row r="81" spans="1:10" s="292" customFormat="1">
      <c r="A81" s="310"/>
      <c r="B81" s="366"/>
      <c r="C81" s="367"/>
      <c r="D81" s="368"/>
      <c r="E81" s="368"/>
      <c r="F81" s="371" t="s">
        <v>1082</v>
      </c>
      <c r="G81" s="371" t="s">
        <v>2277</v>
      </c>
      <c r="H81" s="372">
        <f>J438*31.13</f>
        <v>965.03</v>
      </c>
      <c r="I81" s="379"/>
      <c r="J81" s="380"/>
    </row>
    <row r="82" spans="1:10" s="292" customFormat="1">
      <c r="A82" s="310"/>
      <c r="B82" s="366"/>
      <c r="C82" s="367"/>
      <c r="D82" s="368"/>
      <c r="E82" s="368"/>
      <c r="F82" s="371" t="s">
        <v>1084</v>
      </c>
      <c r="G82" s="371" t="s">
        <v>2276</v>
      </c>
      <c r="H82" s="372">
        <f>J438*40.56</f>
        <v>1257.3600000000001</v>
      </c>
      <c r="I82" s="379"/>
      <c r="J82" s="380"/>
    </row>
    <row r="83" spans="1:10" s="292" customFormat="1">
      <c r="A83" s="310"/>
      <c r="B83" s="366"/>
      <c r="C83" s="367"/>
      <c r="D83" s="368"/>
      <c r="E83" s="368"/>
      <c r="F83" s="371" t="s">
        <v>1086</v>
      </c>
      <c r="G83" s="371" t="s">
        <v>2275</v>
      </c>
      <c r="H83" s="372">
        <f>J440*68.42</f>
        <v>1232.9284</v>
      </c>
      <c r="I83" s="379"/>
      <c r="J83" s="380"/>
    </row>
    <row r="84" spans="1:10" s="292" customFormat="1">
      <c r="A84" s="310"/>
      <c r="B84" s="366"/>
      <c r="C84" s="367"/>
      <c r="D84" s="368"/>
      <c r="E84" s="368"/>
      <c r="F84" s="371" t="s">
        <v>1088</v>
      </c>
      <c r="G84" s="371" t="s">
        <v>2279</v>
      </c>
      <c r="H84" s="372">
        <f>J442*34.39</f>
        <v>6203.9560000000001</v>
      </c>
      <c r="I84" s="379"/>
      <c r="J84" s="380"/>
    </row>
    <row r="85" spans="1:10" s="292" customFormat="1">
      <c r="A85" s="310"/>
      <c r="B85" s="366"/>
      <c r="C85" s="367"/>
      <c r="D85" s="368"/>
      <c r="E85" s="368"/>
      <c r="F85" s="371" t="s">
        <v>1090</v>
      </c>
      <c r="G85" s="371" t="s">
        <v>2278</v>
      </c>
      <c r="H85" s="372">
        <f>J444*35.45</f>
        <v>907.5200000000001</v>
      </c>
      <c r="I85" s="379"/>
      <c r="J85" s="380"/>
    </row>
    <row r="86" spans="1:10" s="292" customFormat="1">
      <c r="A86" s="310"/>
      <c r="B86" s="366"/>
      <c r="C86" s="367"/>
      <c r="D86" s="368"/>
      <c r="E86" s="368"/>
      <c r="F86" s="371" t="s">
        <v>1092</v>
      </c>
      <c r="G86" s="371" t="s">
        <v>2280</v>
      </c>
      <c r="H86" s="372">
        <f>J446*140.57</f>
        <v>983.99</v>
      </c>
      <c r="I86" s="379"/>
      <c r="J86" s="380"/>
    </row>
    <row r="87" spans="1:10" s="292" customFormat="1">
      <c r="A87" s="310"/>
      <c r="B87" s="366"/>
      <c r="C87" s="367"/>
      <c r="D87" s="368"/>
      <c r="E87" s="368"/>
      <c r="F87" s="371" t="s">
        <v>1094</v>
      </c>
      <c r="G87" s="371" t="s">
        <v>2281</v>
      </c>
      <c r="H87" s="372">
        <f>J448*66.26</f>
        <v>516.82799999999997</v>
      </c>
      <c r="I87" s="379"/>
      <c r="J87" s="380"/>
    </row>
    <row r="88" spans="1:10" s="292" customFormat="1">
      <c r="A88" s="310"/>
      <c r="B88" s="366"/>
      <c r="C88" s="367"/>
      <c r="D88" s="368"/>
      <c r="E88" s="368"/>
      <c r="F88" s="371" t="s">
        <v>1096</v>
      </c>
      <c r="G88" s="371">
        <v>0</v>
      </c>
      <c r="H88" s="372">
        <f>J450</f>
        <v>2</v>
      </c>
      <c r="I88" s="379"/>
      <c r="J88" s="380"/>
    </row>
    <row r="89" spans="1:10" s="292" customFormat="1">
      <c r="A89" s="310"/>
      <c r="B89" s="366"/>
      <c r="C89" s="367"/>
      <c r="D89" s="368"/>
      <c r="E89" s="368"/>
      <c r="F89" s="768" t="s">
        <v>2270</v>
      </c>
      <c r="G89" s="371"/>
      <c r="H89" s="372"/>
      <c r="I89" s="379"/>
      <c r="J89" s="380"/>
    </row>
    <row r="90" spans="1:10" s="292" customFormat="1">
      <c r="A90" s="310"/>
      <c r="B90" s="366"/>
      <c r="C90" s="367"/>
      <c r="D90" s="368"/>
      <c r="E90" s="368"/>
      <c r="F90" s="371" t="s">
        <v>1098</v>
      </c>
      <c r="G90" s="371">
        <v>0</v>
      </c>
      <c r="H90" s="372">
        <v>0</v>
      </c>
      <c r="I90" s="379"/>
      <c r="J90" s="380"/>
    </row>
    <row r="91" spans="1:10" s="292" customFormat="1">
      <c r="A91" s="310"/>
      <c r="B91" s="366"/>
      <c r="C91" s="367"/>
      <c r="D91" s="368"/>
      <c r="E91" s="368"/>
      <c r="F91" s="371" t="s">
        <v>1100</v>
      </c>
      <c r="G91" s="371" t="s">
        <v>2271</v>
      </c>
      <c r="H91" s="372">
        <f>H454*36.87</f>
        <v>663.66</v>
      </c>
      <c r="I91" s="379"/>
      <c r="J91" s="380"/>
    </row>
    <row r="92" spans="1:10" s="292" customFormat="1">
      <c r="A92" s="310"/>
      <c r="B92" s="366"/>
      <c r="C92" s="367"/>
      <c r="D92" s="368"/>
      <c r="E92" s="368"/>
      <c r="F92" s="371" t="s">
        <v>1924</v>
      </c>
      <c r="G92" s="371">
        <v>0</v>
      </c>
      <c r="H92" s="372">
        <v>0</v>
      </c>
      <c r="I92" s="379"/>
      <c r="J92" s="380"/>
    </row>
    <row r="93" spans="1:10" s="292" customFormat="1">
      <c r="A93" s="310"/>
      <c r="B93" s="366"/>
      <c r="C93" s="367"/>
      <c r="D93" s="368"/>
      <c r="E93" s="368"/>
      <c r="F93" s="371" t="s">
        <v>1925</v>
      </c>
      <c r="G93" s="371">
        <v>0</v>
      </c>
      <c r="H93" s="372">
        <v>0</v>
      </c>
      <c r="I93" s="379"/>
      <c r="J93" s="380"/>
    </row>
    <row r="94" spans="1:10" s="292" customFormat="1">
      <c r="A94" s="310"/>
      <c r="B94" s="366"/>
      <c r="C94" s="367"/>
      <c r="D94" s="368"/>
      <c r="E94" s="368"/>
      <c r="F94" s="350" t="s">
        <v>1102</v>
      </c>
      <c r="G94" s="350" t="s">
        <v>2274</v>
      </c>
      <c r="H94" s="386">
        <f>H456*47.19</f>
        <v>670.09799999999996</v>
      </c>
      <c r="I94" s="379"/>
      <c r="J94" s="380"/>
    </row>
    <row r="95" spans="1:10" s="292" customFormat="1">
      <c r="A95" s="310"/>
      <c r="B95" s="366"/>
      <c r="C95" s="367"/>
      <c r="D95" s="368"/>
      <c r="E95" s="368"/>
      <c r="F95" s="371" t="s">
        <v>1104</v>
      </c>
      <c r="G95" s="371" t="s">
        <v>2272</v>
      </c>
      <c r="H95" s="372">
        <f>J460*20.03</f>
        <v>1716.5710000000001</v>
      </c>
      <c r="I95" s="379"/>
      <c r="J95" s="380"/>
    </row>
    <row r="96" spans="1:10" s="292" customFormat="1">
      <c r="A96" s="310"/>
      <c r="B96" s="366"/>
      <c r="C96" s="367"/>
      <c r="D96" s="368"/>
      <c r="E96" s="368"/>
      <c r="F96" s="371" t="s">
        <v>1105</v>
      </c>
      <c r="G96" s="371" t="s">
        <v>2273</v>
      </c>
      <c r="H96" s="372">
        <f>J464*20.83</f>
        <v>676.97499999999991</v>
      </c>
      <c r="I96" s="379"/>
      <c r="J96" s="380"/>
    </row>
    <row r="97" spans="1:10" s="292" customFormat="1">
      <c r="A97" s="310"/>
      <c r="B97" s="366"/>
      <c r="C97" s="367"/>
      <c r="D97" s="368"/>
      <c r="E97" s="368"/>
      <c r="F97" s="371" t="s">
        <v>1107</v>
      </c>
      <c r="G97" s="371" t="s">
        <v>2056</v>
      </c>
      <c r="H97" s="372">
        <v>685.46</v>
      </c>
      <c r="I97" s="379"/>
      <c r="J97" s="380"/>
    </row>
    <row r="98" spans="1:10" s="292" customFormat="1">
      <c r="A98" s="310"/>
      <c r="B98" s="366"/>
      <c r="C98" s="367"/>
      <c r="D98" s="368"/>
      <c r="E98" s="368"/>
      <c r="F98" s="371" t="s">
        <v>1109</v>
      </c>
      <c r="G98" s="371" t="s">
        <v>2060</v>
      </c>
      <c r="H98" s="372">
        <v>40.840000000000003</v>
      </c>
      <c r="I98" s="379"/>
      <c r="J98" s="380"/>
    </row>
    <row r="99" spans="1:10" s="292" customFormat="1">
      <c r="A99" s="310"/>
      <c r="B99" s="366"/>
      <c r="C99" s="367"/>
      <c r="D99" s="368"/>
      <c r="E99" s="368"/>
      <c r="F99" s="371" t="s">
        <v>1111</v>
      </c>
      <c r="G99" s="371" t="s">
        <v>2064</v>
      </c>
      <c r="H99" s="372">
        <v>65.69</v>
      </c>
      <c r="I99" s="379"/>
      <c r="J99" s="380"/>
    </row>
    <row r="100" spans="1:10" s="292" customFormat="1">
      <c r="A100" s="310"/>
      <c r="B100" s="366"/>
      <c r="C100" s="367"/>
      <c r="D100" s="368"/>
      <c r="E100" s="368"/>
      <c r="F100" s="371" t="s">
        <v>1926</v>
      </c>
      <c r="G100" s="371" t="s">
        <v>2126</v>
      </c>
      <c r="H100" s="372">
        <v>15.32</v>
      </c>
      <c r="I100" s="379"/>
      <c r="J100" s="380"/>
    </row>
    <row r="101" spans="1:10" s="292" customFormat="1">
      <c r="A101" s="310"/>
      <c r="B101" s="366"/>
      <c r="C101" s="367"/>
      <c r="D101" s="368"/>
      <c r="E101" s="368"/>
      <c r="F101" s="371" t="s">
        <v>1927</v>
      </c>
      <c r="G101" s="329">
        <v>0</v>
      </c>
      <c r="H101" s="386">
        <v>0</v>
      </c>
      <c r="I101" s="379"/>
      <c r="J101" s="380"/>
    </row>
    <row r="102" spans="1:10" s="292" customFormat="1">
      <c r="A102" s="310"/>
      <c r="B102" s="366"/>
      <c r="C102" s="367"/>
      <c r="D102" s="368"/>
      <c r="E102" s="368"/>
      <c r="F102" s="371" t="s">
        <v>1928</v>
      </c>
      <c r="G102" s="329" t="s">
        <v>2130</v>
      </c>
      <c r="H102" s="386">
        <v>0</v>
      </c>
      <c r="I102" s="379"/>
      <c r="J102" s="380"/>
    </row>
    <row r="103" spans="1:10" s="292" customFormat="1">
      <c r="A103" s="310"/>
      <c r="B103" s="366"/>
      <c r="C103" s="367"/>
      <c r="D103" s="368"/>
      <c r="E103" s="368"/>
      <c r="F103" s="371" t="s">
        <v>1929</v>
      </c>
      <c r="G103" s="371">
        <v>0</v>
      </c>
      <c r="H103" s="372">
        <v>0</v>
      </c>
      <c r="I103" s="379"/>
      <c r="J103" s="380"/>
    </row>
    <row r="104" spans="1:10" s="292" customFormat="1">
      <c r="A104" s="310"/>
      <c r="B104" s="366"/>
      <c r="C104" s="367"/>
      <c r="D104" s="368"/>
      <c r="E104" s="368"/>
      <c r="F104" s="371" t="s">
        <v>1930</v>
      </c>
      <c r="G104" s="371">
        <v>0</v>
      </c>
      <c r="H104" s="372">
        <v>0</v>
      </c>
      <c r="I104" s="379"/>
      <c r="J104" s="380"/>
    </row>
    <row r="105" spans="1:10" s="292" customFormat="1">
      <c r="A105" s="310"/>
      <c r="B105" s="366"/>
      <c r="C105" s="367"/>
      <c r="D105" s="368"/>
      <c r="E105" s="368"/>
      <c r="F105" s="371" t="s">
        <v>1113</v>
      </c>
      <c r="G105" s="329" t="s">
        <v>2130</v>
      </c>
      <c r="H105" s="372">
        <v>0</v>
      </c>
      <c r="I105" s="379"/>
      <c r="J105" s="380"/>
    </row>
    <row r="106" spans="1:10" s="292" customFormat="1">
      <c r="A106" s="310"/>
      <c r="B106" s="366"/>
      <c r="C106" s="367"/>
      <c r="D106" s="368"/>
      <c r="E106" s="368"/>
      <c r="F106" s="371" t="s">
        <v>1931</v>
      </c>
      <c r="G106" s="371">
        <v>0</v>
      </c>
      <c r="H106" s="372">
        <v>0</v>
      </c>
      <c r="I106" s="379"/>
      <c r="J106" s="380"/>
    </row>
    <row r="107" spans="1:10" s="292" customFormat="1">
      <c r="A107" s="310"/>
      <c r="B107" s="366"/>
      <c r="C107" s="367"/>
      <c r="D107" s="368"/>
      <c r="E107" s="368"/>
      <c r="F107" s="371" t="s">
        <v>1932</v>
      </c>
      <c r="G107" s="371">
        <v>0</v>
      </c>
      <c r="H107" s="372">
        <v>0</v>
      </c>
      <c r="I107" s="379"/>
      <c r="J107" s="380"/>
    </row>
    <row r="108" spans="1:10" s="292" customFormat="1">
      <c r="A108" s="310"/>
      <c r="B108" s="366"/>
      <c r="C108" s="367"/>
      <c r="D108" s="368"/>
      <c r="E108" s="368"/>
      <c r="F108" s="371" t="s">
        <v>1115</v>
      </c>
      <c r="G108" s="329" t="s">
        <v>2130</v>
      </c>
      <c r="H108" s="372">
        <v>0</v>
      </c>
      <c r="I108" s="379"/>
      <c r="J108" s="380"/>
    </row>
    <row r="109" spans="1:10" s="292" customFormat="1">
      <c r="A109" s="310"/>
      <c r="B109" s="366"/>
      <c r="C109" s="367"/>
      <c r="D109" s="368"/>
      <c r="E109" s="368"/>
      <c r="F109" s="371" t="s">
        <v>1933</v>
      </c>
      <c r="G109" s="371" t="s">
        <v>2286</v>
      </c>
      <c r="H109" s="372">
        <f>26.94*13.7</f>
        <v>369.07799999999997</v>
      </c>
      <c r="I109" s="379"/>
      <c r="J109" s="380"/>
    </row>
    <row r="110" spans="1:10" s="292" customFormat="1">
      <c r="A110" s="310"/>
      <c r="B110" s="366"/>
      <c r="C110" s="367"/>
      <c r="D110" s="368"/>
      <c r="E110" s="368"/>
      <c r="F110" s="371" t="s">
        <v>2173</v>
      </c>
      <c r="G110" s="371" t="s">
        <v>2136</v>
      </c>
      <c r="H110" s="372">
        <f>40.27*17.92</f>
        <v>721.63840000000016</v>
      </c>
      <c r="I110" s="379"/>
      <c r="J110" s="380"/>
    </row>
    <row r="111" spans="1:10" s="292" customFormat="1">
      <c r="A111" s="310"/>
      <c r="B111" s="366"/>
      <c r="C111" s="367"/>
      <c r="D111" s="368"/>
      <c r="E111" s="368"/>
      <c r="F111" s="371" t="s">
        <v>1117</v>
      </c>
      <c r="G111" s="371" t="s">
        <v>2143</v>
      </c>
      <c r="H111" s="372">
        <f>1.5*2*(0.6+0.5)*14*1.05</f>
        <v>48.510000000000005</v>
      </c>
      <c r="I111" s="379"/>
      <c r="J111" s="380"/>
    </row>
    <row r="112" spans="1:10" s="292" customFormat="1">
      <c r="A112" s="310"/>
      <c r="B112" s="366"/>
      <c r="C112" s="367"/>
      <c r="D112" s="368"/>
      <c r="E112" s="368"/>
      <c r="F112" s="371" t="s">
        <v>1119</v>
      </c>
      <c r="G112" s="371" t="s">
        <v>2141</v>
      </c>
      <c r="H112" s="372">
        <f>1*2*(0.45+0.7)*14*2*1.05</f>
        <v>67.61999999999999</v>
      </c>
      <c r="I112" s="379"/>
      <c r="J112" s="380"/>
    </row>
    <row r="113" spans="1:10" s="292" customFormat="1">
      <c r="A113" s="310"/>
      <c r="B113" s="366"/>
      <c r="C113" s="367"/>
      <c r="D113" s="368"/>
      <c r="E113" s="368"/>
      <c r="F113" s="371" t="s">
        <v>1121</v>
      </c>
      <c r="G113" s="371" t="s">
        <v>2137</v>
      </c>
      <c r="H113" s="372">
        <f>1*2*(0.45+0.7)*14*1.05</f>
        <v>33.809999999999995</v>
      </c>
      <c r="I113" s="379"/>
      <c r="J113" s="380"/>
    </row>
    <row r="114" spans="1:10" s="292" customFormat="1">
      <c r="A114" s="310"/>
      <c r="B114" s="366"/>
      <c r="C114" s="367"/>
      <c r="D114" s="368"/>
      <c r="E114" s="368"/>
      <c r="F114" s="371" t="s">
        <v>1123</v>
      </c>
      <c r="G114" s="371" t="s">
        <v>2142</v>
      </c>
      <c r="H114" s="372">
        <f>2*(0.6+0.6)*0.4*14*3*1.05</f>
        <v>42.336000000000006</v>
      </c>
      <c r="I114" s="379"/>
      <c r="J114" s="380"/>
    </row>
    <row r="115" spans="1:10" s="292" customFormat="1">
      <c r="A115" s="310"/>
      <c r="B115" s="366"/>
      <c r="C115" s="367"/>
      <c r="D115" s="368"/>
      <c r="E115" s="368"/>
      <c r="F115" s="371" t="s">
        <v>1125</v>
      </c>
      <c r="G115" s="371" t="s">
        <v>2144</v>
      </c>
      <c r="H115" s="372">
        <f>3*2*(0.5+0.4)*14*4*1.05</f>
        <v>317.52000000000004</v>
      </c>
      <c r="I115" s="379"/>
      <c r="J115" s="380"/>
    </row>
    <row r="116" spans="1:10" s="292" customFormat="1">
      <c r="A116" s="310"/>
      <c r="B116" s="366"/>
      <c r="C116" s="367"/>
      <c r="D116" s="368"/>
      <c r="E116" s="368"/>
      <c r="F116" s="371" t="s">
        <v>1127</v>
      </c>
      <c r="G116" s="371" t="s">
        <v>2145</v>
      </c>
      <c r="H116" s="372">
        <f>0.8*2*(0.4+0.25)*14*2*1.05</f>
        <v>30.576000000000004</v>
      </c>
      <c r="I116" s="379"/>
      <c r="J116" s="380"/>
    </row>
    <row r="117" spans="1:10" s="292" customFormat="1">
      <c r="A117" s="310"/>
      <c r="B117" s="366"/>
      <c r="C117" s="367"/>
      <c r="D117" s="368"/>
      <c r="E117" s="368"/>
      <c r="F117" s="371" t="s">
        <v>1129</v>
      </c>
      <c r="G117" s="371" t="s">
        <v>2138</v>
      </c>
      <c r="H117" s="372">
        <f>0.8*2*(0.4+0.25)*14*1.05</f>
        <v>15.288000000000002</v>
      </c>
      <c r="I117" s="379"/>
      <c r="J117" s="380"/>
    </row>
    <row r="118" spans="1:10" s="292" customFormat="1">
      <c r="A118" s="310"/>
      <c r="B118" s="366"/>
      <c r="C118" s="367"/>
      <c r="D118" s="368"/>
      <c r="E118" s="368"/>
      <c r="F118" s="371" t="s">
        <v>1131</v>
      </c>
      <c r="G118" s="371" t="s">
        <v>2150</v>
      </c>
      <c r="H118" s="372">
        <f>0.8*2*(0.4+0.25)*14*6*1.05</f>
        <v>91.728000000000009</v>
      </c>
      <c r="I118" s="379"/>
      <c r="J118" s="380"/>
    </row>
    <row r="119" spans="1:10" s="292" customFormat="1" ht="33">
      <c r="A119" s="310"/>
      <c r="B119" s="366"/>
      <c r="C119" s="367"/>
      <c r="D119" s="368"/>
      <c r="E119" s="368"/>
      <c r="F119" s="371" t="s">
        <v>1133</v>
      </c>
      <c r="G119" s="371" t="s">
        <v>2146</v>
      </c>
      <c r="H119" s="372">
        <f>0.8*2*(0.4+0.25)*14*2*1.05</f>
        <v>30.576000000000004</v>
      </c>
      <c r="I119" s="379"/>
      <c r="J119" s="380"/>
    </row>
    <row r="120" spans="1:10" s="292" customFormat="1">
      <c r="A120" s="310"/>
      <c r="B120" s="366"/>
      <c r="C120" s="367"/>
      <c r="D120" s="368"/>
      <c r="E120" s="368"/>
      <c r="F120" s="371" t="s">
        <v>1934</v>
      </c>
      <c r="G120" s="371" t="s">
        <v>2147</v>
      </c>
      <c r="H120" s="372">
        <f>0.1*2*0.994*12*1.05</f>
        <v>2.5048800000000004</v>
      </c>
      <c r="I120" s="379"/>
      <c r="J120" s="380"/>
    </row>
    <row r="121" spans="1:10" s="292" customFormat="1" ht="49.5">
      <c r="A121" s="310"/>
      <c r="B121" s="366"/>
      <c r="C121" s="367"/>
      <c r="D121" s="368"/>
      <c r="E121" s="368"/>
      <c r="F121" s="371" t="s">
        <v>2148</v>
      </c>
      <c r="G121" s="371" t="s">
        <v>2139</v>
      </c>
      <c r="H121" s="372">
        <f>((0.8*1.5)+(6.187*1.5))*14+((0.8*3.565)+(10.694*3.565))*14*1.05</f>
        <v>749.07581700000003</v>
      </c>
      <c r="I121" s="379"/>
      <c r="J121" s="380"/>
    </row>
    <row r="122" spans="1:10" s="292" customFormat="1" ht="33">
      <c r="A122" s="310"/>
      <c r="B122" s="366"/>
      <c r="C122" s="367"/>
      <c r="D122" s="368"/>
      <c r="E122" s="368"/>
      <c r="F122" s="371" t="s">
        <v>1141</v>
      </c>
      <c r="G122" s="371" t="s">
        <v>2140</v>
      </c>
      <c r="H122" s="372">
        <f>(0.65*0.2*2*14)+(0.2*4*3*0.994)</f>
        <v>6.0256000000000007</v>
      </c>
      <c r="I122" s="379"/>
      <c r="J122" s="380"/>
    </row>
    <row r="123" spans="1:10" s="292" customFormat="1" ht="33">
      <c r="A123" s="310"/>
      <c r="B123" s="366"/>
      <c r="C123" s="367"/>
      <c r="D123" s="368"/>
      <c r="E123" s="368"/>
      <c r="F123" s="371" t="s">
        <v>1143</v>
      </c>
      <c r="G123" s="371" t="s">
        <v>2149</v>
      </c>
      <c r="H123" s="372">
        <f>((0.7*0.7*14)+(0.7*0.75*4*14))*1.05*62</f>
        <v>2360.5259999999994</v>
      </c>
      <c r="I123" s="379"/>
      <c r="J123" s="380"/>
    </row>
    <row r="124" spans="1:10" s="292" customFormat="1" ht="33">
      <c r="A124" s="310"/>
      <c r="B124" s="366"/>
      <c r="C124" s="367"/>
      <c r="D124" s="368"/>
      <c r="E124" s="368"/>
      <c r="F124" s="371" t="s">
        <v>1145</v>
      </c>
      <c r="G124" s="371" t="s">
        <v>2154</v>
      </c>
      <c r="H124" s="372">
        <f>((0.6*0.55*14)+(0.6*0.45*2*14))*13*1.05</f>
        <v>166.25700000000001</v>
      </c>
      <c r="I124" s="379"/>
      <c r="J124" s="380"/>
    </row>
    <row r="125" spans="1:10" s="292" customFormat="1" ht="33">
      <c r="A125" s="310"/>
      <c r="B125" s="366"/>
      <c r="C125" s="367"/>
      <c r="D125" s="368"/>
      <c r="E125" s="368"/>
      <c r="F125" s="371" t="s">
        <v>1147</v>
      </c>
      <c r="G125" s="371" t="s">
        <v>2153</v>
      </c>
      <c r="H125" s="372">
        <f>((0.6*0.55*14)+(0.6*0.45*2*14))*41.7*1.05</f>
        <v>533.30130000000008</v>
      </c>
      <c r="I125" s="379"/>
      <c r="J125" s="380"/>
    </row>
    <row r="126" spans="1:10" s="292" customFormat="1" ht="33">
      <c r="A126" s="310"/>
      <c r="B126" s="366"/>
      <c r="C126" s="367"/>
      <c r="D126" s="368"/>
      <c r="E126" s="368"/>
      <c r="F126" s="371" t="s">
        <v>1149</v>
      </c>
      <c r="G126" s="371" t="s">
        <v>2152</v>
      </c>
      <c r="H126" s="372">
        <f>((0.405*0.32*14)+(0.405*0.305*2*14))*1.3*1.05</f>
        <v>7.1977815000000014</v>
      </c>
      <c r="I126" s="379"/>
      <c r="J126" s="380"/>
    </row>
    <row r="127" spans="1:10" s="292" customFormat="1" ht="33">
      <c r="A127" s="310"/>
      <c r="B127" s="366"/>
      <c r="C127" s="367"/>
      <c r="D127" s="368"/>
      <c r="E127" s="368"/>
      <c r="F127" s="371" t="s">
        <v>1168</v>
      </c>
      <c r="G127" s="371" t="s">
        <v>2151</v>
      </c>
      <c r="H127" s="372">
        <f>(0.2+0.2+0.11)*1*14*275.6*1.05</f>
        <v>2066.1732000000006</v>
      </c>
      <c r="I127" s="379"/>
      <c r="J127" s="380"/>
    </row>
    <row r="128" spans="1:10" s="292" customFormat="1">
      <c r="A128" s="310"/>
      <c r="B128" s="366"/>
      <c r="C128" s="367"/>
      <c r="D128" s="368"/>
      <c r="E128" s="368"/>
      <c r="F128" s="329"/>
      <c r="G128" s="329"/>
      <c r="H128" s="386"/>
      <c r="I128" s="379"/>
      <c r="J128" s="380"/>
    </row>
    <row r="129" spans="1:10" s="292" customFormat="1" ht="33">
      <c r="A129" s="378" t="s">
        <v>1176</v>
      </c>
      <c r="B129" s="366" t="s">
        <v>103</v>
      </c>
      <c r="C129" s="367" t="s">
        <v>31</v>
      </c>
      <c r="D129" s="368">
        <v>294.98</v>
      </c>
      <c r="E129" s="368"/>
      <c r="F129" s="710">
        <v>0</v>
      </c>
      <c r="G129" s="711">
        <v>0</v>
      </c>
      <c r="H129" s="712">
        <v>0</v>
      </c>
      <c r="I129" s="384">
        <f>SUM(H144:H146)</f>
        <v>2.56</v>
      </c>
      <c r="J129" s="679">
        <f>SUM(H129:H193)</f>
        <v>142.24874499999993</v>
      </c>
    </row>
    <row r="130" spans="1:10" s="292" customFormat="1" ht="49.5">
      <c r="A130" s="310"/>
      <c r="B130" s="366"/>
      <c r="C130" s="367"/>
      <c r="D130" s="368"/>
      <c r="E130" s="368"/>
      <c r="F130" s="371" t="s">
        <v>1963</v>
      </c>
      <c r="G130" s="371" t="s">
        <v>2171</v>
      </c>
      <c r="H130" s="372">
        <f>0.05*(344.5+349.24)</f>
        <v>34.687000000000005</v>
      </c>
      <c r="I130" s="372"/>
      <c r="J130" s="380"/>
    </row>
    <row r="131" spans="1:10" s="292" customFormat="1">
      <c r="A131" s="310"/>
      <c r="B131" s="366"/>
      <c r="C131" s="367"/>
      <c r="D131" s="368"/>
      <c r="E131" s="368"/>
      <c r="F131" s="371" t="s">
        <v>1965</v>
      </c>
      <c r="G131" s="371" t="s">
        <v>1964</v>
      </c>
      <c r="H131" s="372">
        <f>369*0.05</f>
        <v>18.45</v>
      </c>
      <c r="I131" s="379"/>
      <c r="J131" s="380"/>
    </row>
    <row r="132" spans="1:10" s="292" customFormat="1">
      <c r="A132" s="310"/>
      <c r="B132" s="366"/>
      <c r="C132" s="367"/>
      <c r="D132" s="368"/>
      <c r="E132" s="725"/>
      <c r="F132" s="371" t="s">
        <v>1055</v>
      </c>
      <c r="G132" s="371" t="s">
        <v>2008</v>
      </c>
      <c r="H132" s="372">
        <v>0</v>
      </c>
      <c r="I132" s="379"/>
      <c r="J132" s="380"/>
    </row>
    <row r="133" spans="1:10" s="292" customFormat="1" ht="33">
      <c r="A133" s="310"/>
      <c r="B133" s="366"/>
      <c r="C133" s="367"/>
      <c r="D133" s="368"/>
      <c r="E133" s="725" t="s">
        <v>1970</v>
      </c>
      <c r="F133" s="371" t="s">
        <v>1057</v>
      </c>
      <c r="G133" s="371" t="s">
        <v>1966</v>
      </c>
      <c r="H133" s="372">
        <f>1*1*0.05*(16.85+14.38+3.18+0.39)</f>
        <v>1.7400000000000002</v>
      </c>
      <c r="I133" s="379"/>
      <c r="J133" s="380"/>
    </row>
    <row r="134" spans="1:10" s="292" customFormat="1">
      <c r="A134" s="310"/>
      <c r="B134" s="366"/>
      <c r="C134" s="367"/>
      <c r="D134" s="368"/>
      <c r="E134" s="368"/>
      <c r="F134" s="371" t="s">
        <v>1059</v>
      </c>
      <c r="G134" s="371" t="s">
        <v>1967</v>
      </c>
      <c r="H134" s="372">
        <f>11.98*0.05</f>
        <v>0.59900000000000009</v>
      </c>
      <c r="I134" s="379"/>
      <c r="J134" s="380"/>
    </row>
    <row r="135" spans="1:10" s="292" customFormat="1" ht="33">
      <c r="A135" s="310"/>
      <c r="B135" s="366"/>
      <c r="C135" s="367"/>
      <c r="D135" s="368"/>
      <c r="E135" s="368"/>
      <c r="F135" s="371" t="s">
        <v>1061</v>
      </c>
      <c r="G135" s="371" t="s">
        <v>1968</v>
      </c>
      <c r="H135" s="372">
        <f>(2.17+2.68)/2*0.6*0.05*8</f>
        <v>0.58199999999999996</v>
      </c>
      <c r="I135" s="379"/>
      <c r="J135" s="380"/>
    </row>
    <row r="136" spans="1:10" s="292" customFormat="1">
      <c r="A136" s="310"/>
      <c r="B136" s="366"/>
      <c r="C136" s="367"/>
      <c r="D136" s="368"/>
      <c r="E136" s="368"/>
      <c r="F136" s="371" t="s">
        <v>1063</v>
      </c>
      <c r="G136" s="371" t="s">
        <v>1969</v>
      </c>
      <c r="H136" s="372">
        <f>1.1*0.9*0.05*19</f>
        <v>0.94050000000000022</v>
      </c>
      <c r="I136" s="379"/>
      <c r="J136" s="380"/>
    </row>
    <row r="137" spans="1:10" s="292" customFormat="1" ht="99">
      <c r="A137" s="310"/>
      <c r="B137" s="366"/>
      <c r="C137" s="367"/>
      <c r="D137" s="368"/>
      <c r="E137" s="368"/>
      <c r="F137" s="371" t="s">
        <v>1065</v>
      </c>
      <c r="G137" s="371" t="s">
        <v>1971</v>
      </c>
      <c r="H137" s="372">
        <f>1*0.1*0.05*(33.36+33.4+33.35+27.26+13.62+59.52+26.99+33.97+98.88)</f>
        <v>1.8017500000000004</v>
      </c>
      <c r="I137" s="379"/>
      <c r="J137" s="380"/>
    </row>
    <row r="138" spans="1:10" s="292" customFormat="1" ht="139.5" customHeight="1">
      <c r="A138" s="310"/>
      <c r="B138" s="366"/>
      <c r="C138" s="367"/>
      <c r="D138" s="368"/>
      <c r="E138" s="368"/>
      <c r="F138" s="371" t="s">
        <v>1067</v>
      </c>
      <c r="G138" s="371" t="s">
        <v>1972</v>
      </c>
      <c r="H138" s="372">
        <f>1*0.23*0.18*((49.9+12.82+23.67+16.52+47.33+12.49+19.64+18.63+66.13)+(77.82+102.79)+(118.36+117.41+1.45+6.18))</f>
        <v>28.613195999999999</v>
      </c>
      <c r="I138" s="379"/>
      <c r="J138" s="380"/>
    </row>
    <row r="139" spans="1:10" s="292" customFormat="1" ht="99">
      <c r="A139" s="310"/>
      <c r="B139" s="366"/>
      <c r="C139" s="367"/>
      <c r="D139" s="368"/>
      <c r="E139" s="368"/>
      <c r="F139" s="371" t="s">
        <v>1973</v>
      </c>
      <c r="G139" s="371" t="s">
        <v>1975</v>
      </c>
      <c r="H139" s="372">
        <f>1*0.15*0.05*(10.37+11.78+110.14+130.81+21.62+1+12.96+65.85+2.4+9.35+65.85+8.2+138.74+5.26)</f>
        <v>4.4574749999999996</v>
      </c>
      <c r="I139" s="520"/>
      <c r="J139" s="380"/>
    </row>
    <row r="140" spans="1:10" s="292" customFormat="1">
      <c r="A140" s="310"/>
      <c r="B140" s="366"/>
      <c r="C140" s="367"/>
      <c r="D140" s="368"/>
      <c r="E140" s="368"/>
      <c r="F140" s="371" t="s">
        <v>2116</v>
      </c>
      <c r="G140" s="371" t="s">
        <v>2117</v>
      </c>
      <c r="H140" s="372">
        <f>21*1*0.15*0.05</f>
        <v>0.1575</v>
      </c>
      <c r="I140" s="520"/>
      <c r="J140" s="380"/>
    </row>
    <row r="141" spans="1:10" s="292" customFormat="1" ht="132">
      <c r="A141" s="310"/>
      <c r="B141" s="366"/>
      <c r="C141" s="367"/>
      <c r="D141" s="368"/>
      <c r="E141" s="368"/>
      <c r="F141" s="371" t="s">
        <v>1974</v>
      </c>
      <c r="G141" s="371" t="s">
        <v>1976</v>
      </c>
      <c r="H141" s="372">
        <f>1*0.15*0.05*((3.64+2+45.87+6.19+3.1+0.93+3.75+18.76+16.01+4.08+4.58+42.73+9.03+3.61+12.88+11.92+40.93)+(21.8+32.35+7.64+24.1+4.49))</f>
        <v>2.4029249999999998</v>
      </c>
      <c r="I141" s="379"/>
      <c r="J141" s="380"/>
    </row>
    <row r="142" spans="1:10" s="292" customFormat="1" ht="49.5">
      <c r="A142" s="310"/>
      <c r="B142" s="366"/>
      <c r="C142" s="367"/>
      <c r="D142" s="368"/>
      <c r="E142" s="368"/>
      <c r="F142" s="371" t="s">
        <v>1071</v>
      </c>
      <c r="G142" s="371" t="s">
        <v>1977</v>
      </c>
      <c r="H142" s="372">
        <f>1*0.15*0.05*(12.51+3.74+3.6+3.61+16.32+7.19+10.67+10.6+3.64+13.89)</f>
        <v>0.64327499999999993</v>
      </c>
      <c r="I142" s="379"/>
      <c r="J142" s="380"/>
    </row>
    <row r="143" spans="1:10" s="292" customFormat="1" ht="66">
      <c r="A143" s="310"/>
      <c r="B143" s="366"/>
      <c r="C143" s="367"/>
      <c r="D143" s="368"/>
      <c r="E143" s="368"/>
      <c r="F143" s="371" t="s">
        <v>1073</v>
      </c>
      <c r="G143" s="371" t="s">
        <v>1978</v>
      </c>
      <c r="H143" s="372">
        <f>1*0.15*0.05*187.82</f>
        <v>1.40865</v>
      </c>
      <c r="I143" s="379"/>
      <c r="J143" s="380"/>
    </row>
    <row r="144" spans="1:10" s="292" customFormat="1">
      <c r="A144" s="378"/>
      <c r="B144" s="366"/>
      <c r="C144" s="367"/>
      <c r="D144" s="368"/>
      <c r="E144" s="368"/>
      <c r="F144" s="388" t="s">
        <v>1177</v>
      </c>
      <c r="G144" s="350" t="s">
        <v>1178</v>
      </c>
      <c r="H144" s="385">
        <f>10*0.05*(0.5+0.2+0.2)</f>
        <v>0.44999999999999996</v>
      </c>
      <c r="I144" s="379"/>
      <c r="J144" s="380"/>
    </row>
    <row r="145" spans="1:10" s="292" customFormat="1" ht="33">
      <c r="A145" s="378"/>
      <c r="B145" s="366"/>
      <c r="C145" s="367"/>
      <c r="D145" s="368"/>
      <c r="E145" s="368"/>
      <c r="F145" s="329" t="s">
        <v>1919</v>
      </c>
      <c r="G145" s="350" t="s">
        <v>1179</v>
      </c>
      <c r="H145" s="385">
        <f>(11.9+4.1)*0.45*0.05</f>
        <v>0.36000000000000004</v>
      </c>
      <c r="I145" s="379"/>
      <c r="J145" s="380"/>
    </row>
    <row r="146" spans="1:10" s="292" customFormat="1" ht="34.5" customHeight="1">
      <c r="A146" s="378"/>
      <c r="B146" s="366"/>
      <c r="C146" s="367"/>
      <c r="D146" s="368"/>
      <c r="E146" s="368"/>
      <c r="F146" s="329" t="s">
        <v>1917</v>
      </c>
      <c r="G146" s="681" t="s">
        <v>2375</v>
      </c>
      <c r="H146" s="386">
        <f>0.05*J433</f>
        <v>1.75</v>
      </c>
      <c r="I146" s="379"/>
      <c r="J146" s="380"/>
    </row>
    <row r="147" spans="1:10" s="292" customFormat="1" ht="33">
      <c r="A147" s="310"/>
      <c r="B147" s="366"/>
      <c r="C147" s="367"/>
      <c r="D147" s="368"/>
      <c r="E147" s="368"/>
      <c r="F147" s="371" t="s">
        <v>1080</v>
      </c>
      <c r="G147" s="371" t="s">
        <v>1936</v>
      </c>
      <c r="H147" s="372">
        <f>354.7*0.03</f>
        <v>10.641</v>
      </c>
      <c r="I147" s="379"/>
      <c r="J147" s="380"/>
    </row>
    <row r="148" spans="1:10" s="292" customFormat="1" ht="33">
      <c r="A148" s="310"/>
      <c r="B148" s="366"/>
      <c r="C148" s="367"/>
      <c r="D148" s="368"/>
      <c r="E148" s="368"/>
      <c r="F148" s="371" t="s">
        <v>1082</v>
      </c>
      <c r="G148" s="371" t="s">
        <v>1937</v>
      </c>
      <c r="H148" s="372">
        <f>44.7*0.03</f>
        <v>1.341</v>
      </c>
      <c r="I148" s="379"/>
      <c r="J148" s="380"/>
    </row>
    <row r="149" spans="1:10" s="292" customFormat="1" ht="33">
      <c r="A149" s="310"/>
      <c r="B149" s="366"/>
      <c r="C149" s="367"/>
      <c r="D149" s="368"/>
      <c r="E149" s="368"/>
      <c r="F149" s="371" t="s">
        <v>1084</v>
      </c>
      <c r="G149" s="371" t="s">
        <v>1938</v>
      </c>
      <c r="H149" s="372">
        <f>31*0.04</f>
        <v>1.24</v>
      </c>
      <c r="I149" s="379"/>
      <c r="J149" s="380"/>
    </row>
    <row r="150" spans="1:10" s="292" customFormat="1" ht="33">
      <c r="A150" s="310"/>
      <c r="B150" s="366"/>
      <c r="C150" s="367"/>
      <c r="D150" s="368"/>
      <c r="E150" s="368"/>
      <c r="F150" s="371" t="s">
        <v>1086</v>
      </c>
      <c r="G150" s="371" t="s">
        <v>1939</v>
      </c>
      <c r="H150" s="372">
        <f>18.1*0.08</f>
        <v>1.4480000000000002</v>
      </c>
      <c r="I150" s="379"/>
      <c r="J150" s="380"/>
    </row>
    <row r="151" spans="1:10" s="292" customFormat="1" ht="33">
      <c r="A151" s="310"/>
      <c r="B151" s="366"/>
      <c r="C151" s="367"/>
      <c r="D151" s="368"/>
      <c r="E151" s="368"/>
      <c r="F151" s="371" t="s">
        <v>1088</v>
      </c>
      <c r="G151" s="371" t="s">
        <v>1940</v>
      </c>
      <c r="H151" s="372">
        <f>180.4*0.08</f>
        <v>14.432</v>
      </c>
      <c r="I151" s="379"/>
      <c r="J151" s="380"/>
    </row>
    <row r="152" spans="1:10" s="292" customFormat="1" ht="33">
      <c r="A152" s="310"/>
      <c r="B152" s="366"/>
      <c r="C152" s="367"/>
      <c r="D152" s="368"/>
      <c r="E152" s="368"/>
      <c r="F152" s="371" t="s">
        <v>1090</v>
      </c>
      <c r="G152" s="371" t="s">
        <v>1941</v>
      </c>
      <c r="H152" s="372">
        <f>25.6*0.05</f>
        <v>1.2800000000000002</v>
      </c>
      <c r="I152" s="379"/>
      <c r="J152" s="380"/>
    </row>
    <row r="153" spans="1:10" s="292" customFormat="1">
      <c r="A153" s="310"/>
      <c r="B153" s="366"/>
      <c r="C153" s="367"/>
      <c r="D153" s="368"/>
      <c r="E153" s="368"/>
      <c r="F153" s="371" t="s">
        <v>1092</v>
      </c>
      <c r="G153" s="371" t="s">
        <v>1942</v>
      </c>
      <c r="H153" s="372">
        <f>7*0.08</f>
        <v>0.56000000000000005</v>
      </c>
      <c r="I153" s="379"/>
      <c r="J153" s="380"/>
    </row>
    <row r="154" spans="1:10" s="292" customFormat="1">
      <c r="A154" s="310"/>
      <c r="B154" s="366"/>
      <c r="C154" s="367"/>
      <c r="D154" s="368"/>
      <c r="E154" s="368"/>
      <c r="F154" s="371" t="s">
        <v>1094</v>
      </c>
      <c r="G154" s="371" t="s">
        <v>1943</v>
      </c>
      <c r="H154" s="372">
        <f>7.8*0.08</f>
        <v>0.624</v>
      </c>
      <c r="I154" s="379"/>
      <c r="J154" s="380"/>
    </row>
    <row r="155" spans="1:10" s="292" customFormat="1">
      <c r="A155" s="310"/>
      <c r="B155" s="366"/>
      <c r="C155" s="367"/>
      <c r="D155" s="368"/>
      <c r="E155" s="368"/>
      <c r="F155" s="371" t="s">
        <v>1096</v>
      </c>
      <c r="G155" s="371" t="s">
        <v>1944</v>
      </c>
      <c r="H155" s="372">
        <f>2*0.02</f>
        <v>0.04</v>
      </c>
      <c r="I155" s="379"/>
      <c r="J155" s="380"/>
    </row>
    <row r="156" spans="1:10" s="292" customFormat="1">
      <c r="A156" s="310"/>
      <c r="B156" s="366"/>
      <c r="C156" s="367"/>
      <c r="D156" s="368"/>
      <c r="E156" s="368"/>
      <c r="F156" s="371" t="s">
        <v>1098</v>
      </c>
      <c r="G156" s="371" t="s">
        <v>1948</v>
      </c>
      <c r="H156" s="372">
        <v>0</v>
      </c>
      <c r="I156" s="379"/>
      <c r="J156" s="380"/>
    </row>
    <row r="157" spans="1:10" s="292" customFormat="1" ht="33">
      <c r="A157" s="310"/>
      <c r="B157" s="366"/>
      <c r="C157" s="367"/>
      <c r="D157" s="368"/>
      <c r="E157" s="368"/>
      <c r="F157" s="371" t="s">
        <v>1100</v>
      </c>
      <c r="G157" s="371" t="s">
        <v>1945</v>
      </c>
      <c r="H157" s="372">
        <f>18*0.04</f>
        <v>0.72</v>
      </c>
      <c r="I157" s="379"/>
      <c r="J157" s="380"/>
    </row>
    <row r="158" spans="1:10" s="292" customFormat="1">
      <c r="A158" s="310"/>
      <c r="B158" s="366"/>
      <c r="C158" s="367"/>
      <c r="D158" s="368"/>
      <c r="E158" s="368"/>
      <c r="F158" s="371" t="s">
        <v>1924</v>
      </c>
      <c r="G158" s="371">
        <v>0</v>
      </c>
      <c r="H158" s="372">
        <v>0</v>
      </c>
      <c r="I158" s="379"/>
      <c r="J158" s="380"/>
    </row>
    <row r="159" spans="1:10" s="292" customFormat="1">
      <c r="A159" s="310"/>
      <c r="B159" s="366"/>
      <c r="C159" s="367"/>
      <c r="D159" s="368"/>
      <c r="E159" s="368"/>
      <c r="F159" s="371" t="s">
        <v>1925</v>
      </c>
      <c r="G159" s="371">
        <v>0</v>
      </c>
      <c r="H159" s="372">
        <v>0</v>
      </c>
      <c r="I159" s="379"/>
      <c r="J159" s="380"/>
    </row>
    <row r="160" spans="1:10" s="292" customFormat="1">
      <c r="A160" s="310"/>
      <c r="B160" s="366"/>
      <c r="C160" s="367"/>
      <c r="D160" s="368"/>
      <c r="E160" s="368"/>
      <c r="F160" s="350" t="s">
        <v>1102</v>
      </c>
      <c r="G160" s="350" t="s">
        <v>2369</v>
      </c>
      <c r="H160" s="386">
        <f>J456*0.12</f>
        <v>4.0199999999999996</v>
      </c>
      <c r="I160" s="379"/>
      <c r="J160" s="380"/>
    </row>
    <row r="161" spans="1:10" s="292" customFormat="1" ht="33">
      <c r="A161" s="310"/>
      <c r="B161" s="366"/>
      <c r="C161" s="367"/>
      <c r="D161" s="368"/>
      <c r="E161" s="368"/>
      <c r="F161" s="371" t="s">
        <v>1104</v>
      </c>
      <c r="G161" s="371" t="s">
        <v>2217</v>
      </c>
      <c r="H161" s="372">
        <f>(21.7+17.6)*0.02</f>
        <v>0.78599999999999992</v>
      </c>
      <c r="I161" s="379"/>
      <c r="J161" s="380"/>
    </row>
    <row r="162" spans="1:10" s="292" customFormat="1" ht="33">
      <c r="A162" s="310"/>
      <c r="B162" s="366"/>
      <c r="C162" s="367"/>
      <c r="D162" s="368"/>
      <c r="E162" s="368"/>
      <c r="F162" s="371" t="s">
        <v>1105</v>
      </c>
      <c r="G162" s="371" t="s">
        <v>2034</v>
      </c>
      <c r="H162" s="372">
        <f>32.5*0.01</f>
        <v>0.32500000000000001</v>
      </c>
      <c r="I162" s="379"/>
      <c r="J162" s="380"/>
    </row>
    <row r="163" spans="1:10" s="292" customFormat="1">
      <c r="A163" s="310"/>
      <c r="B163" s="366"/>
      <c r="C163" s="367"/>
      <c r="D163" s="368"/>
      <c r="E163" s="368"/>
      <c r="F163" s="371" t="s">
        <v>1107</v>
      </c>
      <c r="G163" s="371" t="s">
        <v>2059</v>
      </c>
      <c r="H163" s="372">
        <v>1.39</v>
      </c>
      <c r="I163" s="379"/>
      <c r="J163" s="380"/>
    </row>
    <row r="164" spans="1:10" s="292" customFormat="1">
      <c r="A164" s="310"/>
      <c r="B164" s="366"/>
      <c r="C164" s="367"/>
      <c r="D164" s="368"/>
      <c r="E164" s="368"/>
      <c r="F164" s="371" t="s">
        <v>1109</v>
      </c>
      <c r="G164" s="371" t="s">
        <v>2063</v>
      </c>
      <c r="H164" s="372">
        <v>0.04</v>
      </c>
      <c r="I164" s="379"/>
      <c r="J164" s="380"/>
    </row>
    <row r="165" spans="1:10" s="292" customFormat="1">
      <c r="A165" s="310"/>
      <c r="B165" s="366"/>
      <c r="C165" s="367"/>
      <c r="D165" s="368"/>
      <c r="E165" s="368"/>
      <c r="F165" s="371" t="s">
        <v>1111</v>
      </c>
      <c r="G165" s="371" t="s">
        <v>2067</v>
      </c>
      <c r="H165" s="372">
        <v>0.1</v>
      </c>
      <c r="I165" s="379"/>
      <c r="J165" s="380"/>
    </row>
    <row r="166" spans="1:10" s="292" customFormat="1">
      <c r="A166" s="310"/>
      <c r="B166" s="366"/>
      <c r="C166" s="367"/>
      <c r="D166" s="368"/>
      <c r="E166" s="368"/>
      <c r="F166" s="371" t="s">
        <v>1926</v>
      </c>
      <c r="G166" s="371" t="s">
        <v>2129</v>
      </c>
      <c r="H166" s="372">
        <v>0.05</v>
      </c>
      <c r="I166" s="379"/>
      <c r="J166" s="380"/>
    </row>
    <row r="167" spans="1:10" s="292" customFormat="1">
      <c r="A167" s="310"/>
      <c r="B167" s="366"/>
      <c r="C167" s="367"/>
      <c r="D167" s="368"/>
      <c r="E167" s="368"/>
      <c r="F167" s="371" t="s">
        <v>1927</v>
      </c>
      <c r="G167" s="329">
        <v>0</v>
      </c>
      <c r="H167" s="386">
        <v>0</v>
      </c>
      <c r="I167" s="379"/>
      <c r="J167" s="380"/>
    </row>
    <row r="168" spans="1:10" s="292" customFormat="1">
      <c r="A168" s="310"/>
      <c r="B168" s="366"/>
      <c r="C168" s="367"/>
      <c r="D168" s="368"/>
      <c r="E168" s="368"/>
      <c r="F168" s="371" t="s">
        <v>1928</v>
      </c>
      <c r="G168" s="329" t="s">
        <v>2130</v>
      </c>
      <c r="H168" s="386">
        <v>0</v>
      </c>
      <c r="I168" s="379"/>
      <c r="J168" s="380"/>
    </row>
    <row r="169" spans="1:10" s="292" customFormat="1">
      <c r="A169" s="310"/>
      <c r="B169" s="366"/>
      <c r="C169" s="367"/>
      <c r="D169" s="368"/>
      <c r="E169" s="368"/>
      <c r="F169" s="371" t="s">
        <v>1929</v>
      </c>
      <c r="G169" s="371">
        <v>0</v>
      </c>
      <c r="H169" s="372">
        <v>0</v>
      </c>
      <c r="I169" s="379"/>
      <c r="J169" s="380"/>
    </row>
    <row r="170" spans="1:10" s="292" customFormat="1">
      <c r="A170" s="310"/>
      <c r="B170" s="366"/>
      <c r="C170" s="367"/>
      <c r="D170" s="368"/>
      <c r="E170" s="368"/>
      <c r="F170" s="371" t="s">
        <v>1930</v>
      </c>
      <c r="G170" s="371">
        <v>0</v>
      </c>
      <c r="H170" s="372">
        <v>0</v>
      </c>
      <c r="I170" s="379"/>
      <c r="J170" s="380"/>
    </row>
    <row r="171" spans="1:10" s="292" customFormat="1">
      <c r="A171" s="310"/>
      <c r="B171" s="366"/>
      <c r="C171" s="367"/>
      <c r="D171" s="368"/>
      <c r="E171" s="368"/>
      <c r="F171" s="371" t="s">
        <v>1113</v>
      </c>
      <c r="G171" s="329" t="s">
        <v>2130</v>
      </c>
      <c r="H171" s="386">
        <v>0</v>
      </c>
      <c r="I171" s="379"/>
      <c r="J171" s="380"/>
    </row>
    <row r="172" spans="1:10" s="292" customFormat="1">
      <c r="A172" s="310"/>
      <c r="B172" s="366"/>
      <c r="C172" s="367"/>
      <c r="D172" s="368"/>
      <c r="E172" s="368"/>
      <c r="F172" s="371" t="s">
        <v>1931</v>
      </c>
      <c r="G172" s="371">
        <v>0</v>
      </c>
      <c r="H172" s="386">
        <v>0</v>
      </c>
      <c r="I172" s="379"/>
      <c r="J172" s="380"/>
    </row>
    <row r="173" spans="1:10" s="292" customFormat="1">
      <c r="A173" s="310"/>
      <c r="B173" s="366"/>
      <c r="C173" s="367"/>
      <c r="D173" s="368"/>
      <c r="E173" s="368"/>
      <c r="F173" s="371" t="s">
        <v>1932</v>
      </c>
      <c r="G173" s="371">
        <v>0</v>
      </c>
      <c r="H173" s="372">
        <v>0</v>
      </c>
      <c r="I173" s="379"/>
      <c r="J173" s="380"/>
    </row>
    <row r="174" spans="1:10" s="292" customFormat="1">
      <c r="A174" s="310"/>
      <c r="B174" s="366"/>
      <c r="C174" s="367"/>
      <c r="D174" s="368"/>
      <c r="E174" s="368"/>
      <c r="F174" s="371" t="s">
        <v>1115</v>
      </c>
      <c r="G174" s="329" t="s">
        <v>2130</v>
      </c>
      <c r="H174" s="386">
        <v>0</v>
      </c>
      <c r="I174" s="379"/>
      <c r="J174" s="380"/>
    </row>
    <row r="175" spans="1:10" s="292" customFormat="1">
      <c r="A175" s="310"/>
      <c r="B175" s="366"/>
      <c r="C175" s="367"/>
      <c r="D175" s="368"/>
      <c r="E175" s="368"/>
      <c r="F175" s="371" t="s">
        <v>1933</v>
      </c>
      <c r="G175" s="371" t="s">
        <v>2135</v>
      </c>
      <c r="H175" s="372">
        <f>0.0125*13.7</f>
        <v>0.17125000000000001</v>
      </c>
      <c r="I175" s="379"/>
      <c r="J175" s="380"/>
    </row>
    <row r="176" spans="1:10" s="292" customFormat="1">
      <c r="A176" s="310"/>
      <c r="B176" s="371"/>
      <c r="C176" s="367"/>
      <c r="D176" s="368"/>
      <c r="E176" s="368"/>
      <c r="F176" s="371" t="s">
        <v>1117</v>
      </c>
      <c r="G176" s="371" t="s">
        <v>2159</v>
      </c>
      <c r="H176" s="372">
        <f>1.6*0.7*0.05</f>
        <v>5.5999999999999994E-2</v>
      </c>
      <c r="I176" s="379"/>
      <c r="J176" s="380"/>
    </row>
    <row r="177" spans="1:10" s="292" customFormat="1">
      <c r="A177" s="310"/>
      <c r="B177" s="371"/>
      <c r="C177" s="367"/>
      <c r="D177" s="368"/>
      <c r="E177" s="368"/>
      <c r="F177" s="371" t="s">
        <v>1119</v>
      </c>
      <c r="G177" s="371" t="s">
        <v>2160</v>
      </c>
      <c r="H177" s="372">
        <f>1.1*0.55*0.05*2</f>
        <v>6.0500000000000012E-2</v>
      </c>
      <c r="I177" s="379"/>
      <c r="J177" s="380"/>
    </row>
    <row r="178" spans="1:10" s="292" customFormat="1">
      <c r="A178" s="310"/>
      <c r="B178" s="371"/>
      <c r="C178" s="367"/>
      <c r="D178" s="368"/>
      <c r="E178" s="368"/>
      <c r="F178" s="371" t="s">
        <v>1121</v>
      </c>
      <c r="G178" s="371" t="s">
        <v>2156</v>
      </c>
      <c r="H178" s="372">
        <f>1.1*0.55*0.05</f>
        <v>3.0250000000000006E-2</v>
      </c>
      <c r="I178" s="379"/>
      <c r="J178" s="380"/>
    </row>
    <row r="179" spans="1:10" s="292" customFormat="1">
      <c r="A179" s="310"/>
      <c r="B179" s="371"/>
      <c r="C179" s="367"/>
      <c r="D179" s="368"/>
      <c r="E179" s="368"/>
      <c r="F179" s="371" t="s">
        <v>1123</v>
      </c>
      <c r="G179" s="371" t="s">
        <v>2161</v>
      </c>
      <c r="H179" s="372">
        <f>0.7*0.7*0.05*3</f>
        <v>7.3499999999999996E-2</v>
      </c>
      <c r="I179" s="379"/>
      <c r="J179" s="380"/>
    </row>
    <row r="180" spans="1:10" s="292" customFormat="1">
      <c r="A180" s="310"/>
      <c r="B180" s="371"/>
      <c r="C180" s="367"/>
      <c r="D180" s="368"/>
      <c r="E180" s="368"/>
      <c r="F180" s="371" t="s">
        <v>1125</v>
      </c>
      <c r="G180" s="371" t="s">
        <v>2162</v>
      </c>
      <c r="H180" s="372">
        <f>3.1*0.6*0.05*4</f>
        <v>0.372</v>
      </c>
      <c r="I180" s="379"/>
      <c r="J180" s="380"/>
    </row>
    <row r="181" spans="1:10" s="292" customFormat="1">
      <c r="A181" s="310"/>
      <c r="B181" s="371"/>
      <c r="C181" s="367"/>
      <c r="D181" s="368"/>
      <c r="E181" s="368"/>
      <c r="F181" s="371" t="s">
        <v>1127</v>
      </c>
      <c r="G181" s="371" t="s">
        <v>2163</v>
      </c>
      <c r="H181" s="372">
        <f>0.9*0.5*0.05*2</f>
        <v>4.5000000000000005E-2</v>
      </c>
      <c r="I181" s="379"/>
      <c r="J181" s="380"/>
    </row>
    <row r="182" spans="1:10" s="292" customFormat="1">
      <c r="A182" s="310"/>
      <c r="B182" s="371"/>
      <c r="C182" s="367"/>
      <c r="D182" s="368"/>
      <c r="E182" s="368"/>
      <c r="F182" s="371" t="s">
        <v>1129</v>
      </c>
      <c r="G182" s="371" t="s">
        <v>2155</v>
      </c>
      <c r="H182" s="372">
        <f>0.9*0.5*0.05</f>
        <v>2.2500000000000003E-2</v>
      </c>
      <c r="I182" s="379"/>
      <c r="J182" s="380"/>
    </row>
    <row r="183" spans="1:10" s="292" customFormat="1">
      <c r="A183" s="310"/>
      <c r="B183" s="371"/>
      <c r="C183" s="367"/>
      <c r="D183" s="368"/>
      <c r="E183" s="368"/>
      <c r="F183" s="371" t="s">
        <v>1131</v>
      </c>
      <c r="G183" s="371" t="s">
        <v>2164</v>
      </c>
      <c r="H183" s="372">
        <f>0.9*0.5*0.05*6</f>
        <v>0.13500000000000001</v>
      </c>
      <c r="I183" s="379"/>
      <c r="J183" s="380"/>
    </row>
    <row r="184" spans="1:10" s="292" customFormat="1">
      <c r="A184" s="310"/>
      <c r="B184" s="371"/>
      <c r="C184" s="367"/>
      <c r="D184" s="368"/>
      <c r="E184" s="368"/>
      <c r="F184" s="371" t="s">
        <v>1133</v>
      </c>
      <c r="G184" s="371" t="s">
        <v>2163</v>
      </c>
      <c r="H184" s="372">
        <f>0.9*0.5*0.05*2</f>
        <v>4.5000000000000005E-2</v>
      </c>
      <c r="I184" s="379"/>
      <c r="J184" s="380"/>
    </row>
    <row r="185" spans="1:10" s="292" customFormat="1">
      <c r="A185" s="310"/>
      <c r="B185" s="371"/>
      <c r="C185" s="367"/>
      <c r="D185" s="368"/>
      <c r="E185" s="368"/>
      <c r="F185" s="371"/>
      <c r="G185" s="371"/>
      <c r="H185" s="372"/>
      <c r="I185" s="379"/>
      <c r="J185" s="380"/>
    </row>
    <row r="186" spans="1:10" s="292" customFormat="1">
      <c r="A186" s="310"/>
      <c r="B186" s="371"/>
      <c r="C186" s="367"/>
      <c r="D186" s="368"/>
      <c r="E186" s="368"/>
      <c r="F186" s="371" t="s">
        <v>1135</v>
      </c>
      <c r="G186" s="371" t="s">
        <v>2166</v>
      </c>
      <c r="H186" s="372">
        <f>0.4*0.4*0.05*2</f>
        <v>1.6000000000000004E-2</v>
      </c>
      <c r="I186" s="379"/>
      <c r="J186" s="380"/>
    </row>
    <row r="187" spans="1:10" s="292" customFormat="1">
      <c r="A187" s="310"/>
      <c r="B187" s="371"/>
      <c r="C187" s="367"/>
      <c r="D187" s="368"/>
      <c r="E187" s="368"/>
      <c r="F187" s="371" t="s">
        <v>1137</v>
      </c>
      <c r="G187" s="371" t="s">
        <v>2167</v>
      </c>
      <c r="H187" s="372">
        <f>0.4*0.4*0.05*4</f>
        <v>3.2000000000000008E-2</v>
      </c>
      <c r="I187" s="379"/>
      <c r="J187" s="380"/>
    </row>
    <row r="188" spans="1:10" s="292" customFormat="1">
      <c r="A188" s="310"/>
      <c r="B188" s="371"/>
      <c r="C188" s="367"/>
      <c r="D188" s="368"/>
      <c r="E188" s="368"/>
      <c r="F188" s="371" t="s">
        <v>1139</v>
      </c>
      <c r="G188" s="371" t="s">
        <v>2157</v>
      </c>
      <c r="H188" s="372">
        <f>0.05*(0.317+0.541)</f>
        <v>4.2900000000000008E-2</v>
      </c>
      <c r="I188" s="379"/>
      <c r="J188" s="380"/>
    </row>
    <row r="189" spans="1:10" s="292" customFormat="1">
      <c r="A189" s="310"/>
      <c r="B189" s="371"/>
      <c r="C189" s="367"/>
      <c r="D189" s="368"/>
      <c r="E189" s="368"/>
      <c r="F189" s="371" t="s">
        <v>1141</v>
      </c>
      <c r="G189" s="371" t="s">
        <v>2158</v>
      </c>
      <c r="H189" s="372">
        <f>0.6*0.25*0.05</f>
        <v>7.4999999999999997E-3</v>
      </c>
      <c r="I189" s="379"/>
      <c r="J189" s="380"/>
    </row>
    <row r="190" spans="1:10" s="292" customFormat="1">
      <c r="A190" s="310"/>
      <c r="B190" s="371"/>
      <c r="C190" s="367"/>
      <c r="D190" s="368"/>
      <c r="E190" s="368"/>
      <c r="F190" s="371" t="s">
        <v>1143</v>
      </c>
      <c r="G190" s="371" t="s">
        <v>2168</v>
      </c>
      <c r="H190" s="372">
        <f>0.8*0.8*0.05*62</f>
        <v>1.9840000000000004</v>
      </c>
      <c r="I190" s="379"/>
      <c r="J190" s="380"/>
    </row>
    <row r="191" spans="1:10" s="292" customFormat="1">
      <c r="A191" s="310"/>
      <c r="B191" s="371"/>
      <c r="C191" s="367"/>
      <c r="D191" s="368"/>
      <c r="E191" s="368"/>
      <c r="F191" s="371" t="s">
        <v>1145</v>
      </c>
      <c r="G191" s="371" t="s">
        <v>2169</v>
      </c>
      <c r="H191" s="372">
        <f>0.6*0.65*0.05*13</f>
        <v>0.25350000000000006</v>
      </c>
      <c r="I191" s="379"/>
      <c r="J191" s="380"/>
    </row>
    <row r="192" spans="1:10" s="292" customFormat="1">
      <c r="A192" s="310"/>
      <c r="B192" s="371"/>
      <c r="C192" s="367"/>
      <c r="D192" s="368"/>
      <c r="E192" s="368"/>
      <c r="F192" s="371" t="s">
        <v>1147</v>
      </c>
      <c r="G192" s="371" t="s">
        <v>2165</v>
      </c>
      <c r="H192" s="372">
        <f>0.6*0.65*0.05*41.7</f>
        <v>0.81315000000000015</v>
      </c>
      <c r="I192" s="379"/>
      <c r="J192" s="380"/>
    </row>
    <row r="193" spans="1:10" s="292" customFormat="1">
      <c r="A193" s="310"/>
      <c r="B193" s="371"/>
      <c r="C193" s="367"/>
      <c r="D193" s="368"/>
      <c r="E193" s="368"/>
      <c r="F193" s="371" t="s">
        <v>1149</v>
      </c>
      <c r="G193" s="371" t="s">
        <v>2170</v>
      </c>
      <c r="H193" s="372">
        <f>0.32*0.405*0.05*1.3</f>
        <v>8.4240000000000027E-3</v>
      </c>
      <c r="I193" s="379"/>
      <c r="J193" s="380"/>
    </row>
    <row r="194" spans="1:10" s="292" customFormat="1">
      <c r="A194" s="378"/>
      <c r="B194" s="366"/>
      <c r="C194" s="367"/>
      <c r="D194" s="368"/>
      <c r="E194" s="368"/>
      <c r="F194" s="329"/>
      <c r="G194" s="329"/>
      <c r="H194" s="718"/>
      <c r="I194" s="379"/>
      <c r="J194" s="380"/>
    </row>
    <row r="195" spans="1:10" s="292" customFormat="1" ht="33">
      <c r="A195" s="310" t="s">
        <v>1180</v>
      </c>
      <c r="B195" s="366" t="s">
        <v>104</v>
      </c>
      <c r="C195" s="367" t="s">
        <v>31</v>
      </c>
      <c r="D195" s="368">
        <v>846.68</v>
      </c>
      <c r="E195" s="368"/>
      <c r="F195" s="713">
        <v>0</v>
      </c>
      <c r="G195" s="714">
        <v>0</v>
      </c>
      <c r="H195" s="715">
        <v>0</v>
      </c>
      <c r="I195" s="384">
        <f>SUM(H214:H215)</f>
        <v>27.054680000000001</v>
      </c>
      <c r="J195" s="679">
        <f>SUM(H195:H268)</f>
        <v>1069.5952030000008</v>
      </c>
    </row>
    <row r="196" spans="1:10" s="292" customFormat="1" ht="161.25" customHeight="1">
      <c r="A196" s="310"/>
      <c r="B196" s="366"/>
      <c r="C196" s="367"/>
      <c r="D196" s="368"/>
      <c r="E196" s="368"/>
      <c r="F196" s="713" t="s">
        <v>1979</v>
      </c>
      <c r="G196" s="714" t="s">
        <v>1988</v>
      </c>
      <c r="H196" s="715">
        <f>ROUND(1*1*0.15*0.5*((48.83+341.82+97.29+405.49)+(151.38+105.62+65.69+32.86+124.36+31.87+28.46+127.72)),2)</f>
        <v>117.1</v>
      </c>
      <c r="I196" s="379"/>
      <c r="J196" s="727"/>
    </row>
    <row r="197" spans="1:10" s="292" customFormat="1" ht="82.5">
      <c r="A197" s="310"/>
      <c r="B197" s="366"/>
      <c r="C197" s="367"/>
      <c r="D197" s="368"/>
      <c r="E197" s="368"/>
      <c r="F197" s="713" t="s">
        <v>1980</v>
      </c>
      <c r="G197" s="714" t="s">
        <v>1986</v>
      </c>
      <c r="H197" s="715">
        <f>ROUND(1*1*0.15*0.5*((97.98+219.58+224.01+106.53)+(19.55+30.98+49.71+39.56+65.06+124.85)),2)</f>
        <v>73.34</v>
      </c>
      <c r="I197" s="379"/>
      <c r="J197" s="727"/>
    </row>
    <row r="198" spans="1:10" s="292" customFormat="1" ht="66">
      <c r="A198" s="310"/>
      <c r="B198" s="366"/>
      <c r="C198" s="367"/>
      <c r="D198" s="368"/>
      <c r="E198" s="368"/>
      <c r="F198" s="713" t="s">
        <v>1981</v>
      </c>
      <c r="G198" s="714" t="s">
        <v>1984</v>
      </c>
      <c r="H198" s="715">
        <f>ROUND(1*1*0.15*0.5*((219.38+76.49+68.57+38.49+71.2+214.61+269.72+53.53)+(159.41+42)),2)</f>
        <v>91.01</v>
      </c>
      <c r="I198" s="379"/>
      <c r="J198" s="727"/>
    </row>
    <row r="199" spans="1:10" s="292" customFormat="1" ht="49.5">
      <c r="A199" s="310"/>
      <c r="B199" s="366"/>
      <c r="C199" s="367"/>
      <c r="D199" s="368"/>
      <c r="E199" s="368"/>
      <c r="F199" s="764" t="s">
        <v>2287</v>
      </c>
      <c r="G199" s="714" t="s">
        <v>1983</v>
      </c>
      <c r="H199" s="715">
        <f>1*1*0.15*((91.35+77.25+234.92+111.88))</f>
        <v>77.309999999999988</v>
      </c>
      <c r="I199" s="379"/>
      <c r="J199" s="727"/>
    </row>
    <row r="200" spans="1:10" s="292" customFormat="1" ht="49.5">
      <c r="A200" s="310"/>
      <c r="B200" s="366"/>
      <c r="C200" s="367"/>
      <c r="D200" s="368"/>
      <c r="E200" s="368"/>
      <c r="F200" s="764" t="s">
        <v>2288</v>
      </c>
      <c r="G200" s="714" t="s">
        <v>1989</v>
      </c>
      <c r="H200" s="715">
        <f>ROUND((1*1*0.15*(36.73+49.73+77.79+41.08+156.35+32.09)),2)</f>
        <v>59.07</v>
      </c>
      <c r="I200" s="379"/>
      <c r="J200" s="727"/>
    </row>
    <row r="201" spans="1:10" s="292" customFormat="1" ht="66">
      <c r="A201" s="310"/>
      <c r="B201" s="366"/>
      <c r="C201" s="367"/>
      <c r="D201" s="368"/>
      <c r="E201" s="368"/>
      <c r="F201" s="713" t="s">
        <v>2002</v>
      </c>
      <c r="G201" s="714" t="s">
        <v>2122</v>
      </c>
      <c r="H201" s="715">
        <f>1*1*0.15*0.5*(30.02+37.27+10.54+60.98+8.36+17.4+56.04+41.69+18.71+62.77+2.78+37+37.09+59.61)</f>
        <v>36.019500000000001</v>
      </c>
      <c r="I201" s="379"/>
      <c r="J201" s="727"/>
    </row>
    <row r="202" spans="1:10" s="292" customFormat="1" ht="33">
      <c r="A202" s="310"/>
      <c r="B202" s="366"/>
      <c r="C202" s="367"/>
      <c r="D202" s="368"/>
      <c r="E202" s="368"/>
      <c r="F202" s="713" t="s">
        <v>2121</v>
      </c>
      <c r="G202" s="714" t="s">
        <v>1985</v>
      </c>
      <c r="H202" s="715">
        <f>ROUND(1*1*0.15*0.5*(112.06+96.12),2)</f>
        <v>15.61</v>
      </c>
      <c r="I202" s="379"/>
      <c r="J202" s="727"/>
    </row>
    <row r="203" spans="1:10" s="292" customFormat="1" ht="49.5">
      <c r="A203" s="310"/>
      <c r="B203" s="366"/>
      <c r="C203" s="367"/>
      <c r="D203" s="368"/>
      <c r="E203" s="368"/>
      <c r="F203" s="371" t="s">
        <v>1963</v>
      </c>
      <c r="G203" s="371" t="s">
        <v>1999</v>
      </c>
      <c r="H203" s="372">
        <f>H130/0.05*0.15</f>
        <v>104.06099999999999</v>
      </c>
      <c r="I203" s="379"/>
      <c r="J203" s="726"/>
    </row>
    <row r="204" spans="1:10" s="292" customFormat="1">
      <c r="A204" s="310"/>
      <c r="B204" s="366"/>
      <c r="C204" s="367"/>
      <c r="D204" s="368"/>
      <c r="E204" s="368"/>
      <c r="F204" s="371" t="s">
        <v>1076</v>
      </c>
      <c r="G204" s="371" t="s">
        <v>1994</v>
      </c>
      <c r="H204" s="372">
        <f>1*1*0.15*1.28*16</f>
        <v>3.0720000000000001</v>
      </c>
      <c r="I204" s="379"/>
      <c r="J204" s="726"/>
    </row>
    <row r="205" spans="1:10" s="292" customFormat="1">
      <c r="A205" s="310"/>
      <c r="B205" s="366"/>
      <c r="C205" s="367"/>
      <c r="D205" s="368"/>
      <c r="E205" s="368"/>
      <c r="F205" s="371" t="s">
        <v>1965</v>
      </c>
      <c r="G205" s="371" t="s">
        <v>2000</v>
      </c>
      <c r="H205" s="372">
        <f>369*0.15</f>
        <v>55.35</v>
      </c>
      <c r="I205" s="379"/>
      <c r="J205" s="726"/>
    </row>
    <row r="206" spans="1:10" s="292" customFormat="1" ht="33">
      <c r="A206" s="310"/>
      <c r="B206" s="366"/>
      <c r="C206" s="367"/>
      <c r="D206" s="368"/>
      <c r="E206" s="725" t="s">
        <v>1990</v>
      </c>
      <c r="F206" s="371" t="s">
        <v>1057</v>
      </c>
      <c r="G206" s="371" t="s">
        <v>2001</v>
      </c>
      <c r="H206" s="372">
        <f>1*1*0.15*(16.85+14.38+3.18+0.39)</f>
        <v>5.2200000000000006</v>
      </c>
      <c r="I206" s="379"/>
      <c r="J206" s="726"/>
    </row>
    <row r="207" spans="1:10" s="292" customFormat="1">
      <c r="A207" s="310"/>
      <c r="B207" s="366"/>
      <c r="C207" s="367"/>
      <c r="D207" s="368"/>
      <c r="E207" s="368"/>
      <c r="F207" s="371" t="s">
        <v>1059</v>
      </c>
      <c r="G207" s="371" t="s">
        <v>2006</v>
      </c>
      <c r="H207" s="372">
        <f>11.98*0.15</f>
        <v>1.7969999999999999</v>
      </c>
      <c r="I207" s="379"/>
      <c r="J207" s="726"/>
    </row>
    <row r="208" spans="1:10" s="292" customFormat="1" ht="33">
      <c r="A208" s="310"/>
      <c r="B208" s="366"/>
      <c r="C208" s="367"/>
      <c r="D208" s="368"/>
      <c r="E208" s="368"/>
      <c r="F208" s="371" t="s">
        <v>1061</v>
      </c>
      <c r="G208" s="371" t="s">
        <v>2004</v>
      </c>
      <c r="H208" s="372">
        <f>(2.17+2.68)/2*(0.6*0.2+0.2*0.2)*8</f>
        <v>3.1039999999999996</v>
      </c>
      <c r="I208" s="379"/>
      <c r="J208" s="726"/>
    </row>
    <row r="209" spans="1:10" s="292" customFormat="1">
      <c r="A209" s="310"/>
      <c r="B209" s="366"/>
      <c r="C209" s="367"/>
      <c r="D209" s="368"/>
      <c r="E209" s="368"/>
      <c r="F209" s="371" t="s">
        <v>1991</v>
      </c>
      <c r="G209" s="371" t="s">
        <v>1993</v>
      </c>
      <c r="H209" s="372">
        <f>0.6*1*2*2.24</f>
        <v>2.6880000000000002</v>
      </c>
      <c r="I209" s="379"/>
      <c r="J209" s="726"/>
    </row>
    <row r="210" spans="1:10" s="292" customFormat="1">
      <c r="A210" s="310"/>
      <c r="B210" s="366"/>
      <c r="C210" s="367"/>
      <c r="D210" s="368"/>
      <c r="E210" s="368"/>
      <c r="F210" s="371" t="s">
        <v>1992</v>
      </c>
      <c r="G210" s="371">
        <v>0</v>
      </c>
      <c r="H210" s="372">
        <v>0</v>
      </c>
      <c r="I210" s="379"/>
      <c r="J210" s="726"/>
    </row>
    <row r="211" spans="1:10" s="292" customFormat="1">
      <c r="A211" s="310"/>
      <c r="B211" s="366"/>
      <c r="C211" s="367"/>
      <c r="D211" s="368"/>
      <c r="E211" s="368"/>
      <c r="F211" s="371" t="s">
        <v>1063</v>
      </c>
      <c r="G211" s="371" t="s">
        <v>2005</v>
      </c>
      <c r="H211" s="372">
        <f>1.1*0.9*0.2*19</f>
        <v>3.7620000000000009</v>
      </c>
      <c r="I211" s="379"/>
      <c r="J211" s="726"/>
    </row>
    <row r="212" spans="1:10" s="292" customFormat="1" ht="99">
      <c r="A212" s="310"/>
      <c r="B212" s="366"/>
      <c r="C212" s="367"/>
      <c r="D212" s="368"/>
      <c r="E212" s="368"/>
      <c r="F212" s="371" t="s">
        <v>1065</v>
      </c>
      <c r="G212" s="371" t="s">
        <v>2007</v>
      </c>
      <c r="H212" s="372">
        <f>1*0.1*0.11*(33.36+33.4+33.35+27.26+13.62+59.52+26.99+33.97+98.88)</f>
        <v>3.9638500000000008</v>
      </c>
      <c r="I212" s="379"/>
      <c r="J212" s="726"/>
    </row>
    <row r="213" spans="1:10" s="292" customFormat="1" ht="33">
      <c r="A213" s="310"/>
      <c r="B213" s="366"/>
      <c r="C213" s="367"/>
      <c r="D213" s="368"/>
      <c r="E213" s="368"/>
      <c r="F213" s="371" t="s">
        <v>1073</v>
      </c>
      <c r="G213" s="371" t="s">
        <v>1954</v>
      </c>
      <c r="H213" s="372">
        <f>1*0.15*0.1*187.82</f>
        <v>2.8172999999999999</v>
      </c>
      <c r="I213" s="379"/>
      <c r="J213" s="380"/>
    </row>
    <row r="214" spans="1:10" s="292" customFormat="1" ht="49.5">
      <c r="A214" s="310"/>
      <c r="B214" s="366"/>
      <c r="C214" s="367"/>
      <c r="D214" s="368"/>
      <c r="E214" s="368"/>
      <c r="F214" s="394" t="s">
        <v>1181</v>
      </c>
      <c r="G214" s="350" t="s">
        <v>1182</v>
      </c>
      <c r="H214" s="385">
        <f>12*3*0.1+2.1*2.9*0.1</f>
        <v>4.2089999999999996</v>
      </c>
      <c r="I214" s="379"/>
      <c r="J214" s="726"/>
    </row>
    <row r="215" spans="1:10" s="292" customFormat="1">
      <c r="A215" s="310"/>
      <c r="B215" s="366"/>
      <c r="C215" s="367"/>
      <c r="D215" s="368"/>
      <c r="E215" s="368"/>
      <c r="F215" s="388" t="s">
        <v>1183</v>
      </c>
      <c r="G215" s="350" t="s">
        <v>1184</v>
      </c>
      <c r="H215" s="389">
        <f>0.22*2.6*(17.76+22.18)</f>
        <v>22.845680000000002</v>
      </c>
      <c r="I215" s="379"/>
      <c r="J215" s="380"/>
    </row>
    <row r="216" spans="1:10" s="292" customFormat="1" ht="33">
      <c r="A216" s="310"/>
      <c r="B216" s="366"/>
      <c r="C216" s="367"/>
      <c r="D216" s="368"/>
      <c r="E216" s="368"/>
      <c r="F216" s="388" t="s">
        <v>2172</v>
      </c>
      <c r="G216" s="350" t="s">
        <v>1186</v>
      </c>
      <c r="H216" s="389">
        <f>(0.83+0.22)*(17.76+22.18)*0.4</f>
        <v>16.774799999999999</v>
      </c>
      <c r="I216" s="379"/>
      <c r="J216" s="380"/>
    </row>
    <row r="217" spans="1:10" s="292" customFormat="1">
      <c r="A217" s="310"/>
      <c r="B217" s="366"/>
      <c r="C217" s="367"/>
      <c r="D217" s="368"/>
      <c r="E217" s="368"/>
      <c r="F217" s="388" t="s">
        <v>1174</v>
      </c>
      <c r="G217" s="350" t="s">
        <v>1187</v>
      </c>
      <c r="H217" s="389">
        <f>(625-280-15)*(0.25)*0.15</f>
        <v>12.375</v>
      </c>
      <c r="I217" s="379"/>
      <c r="J217" s="380"/>
    </row>
    <row r="218" spans="1:10" s="292" customFormat="1" ht="36" customHeight="1">
      <c r="A218" s="310"/>
      <c r="B218" s="366"/>
      <c r="C218" s="367"/>
      <c r="D218" s="368"/>
      <c r="E218" s="368"/>
      <c r="F218" s="329" t="s">
        <v>1917</v>
      </c>
      <c r="G218" s="681" t="s">
        <v>2374</v>
      </c>
      <c r="H218" s="386">
        <f>0.42*J433</f>
        <v>14.7</v>
      </c>
      <c r="I218" s="379"/>
      <c r="J218" s="380"/>
    </row>
    <row r="219" spans="1:10" s="292" customFormat="1" ht="33">
      <c r="A219" s="310"/>
      <c r="B219" s="366"/>
      <c r="C219" s="367"/>
      <c r="D219" s="368"/>
      <c r="E219" s="368"/>
      <c r="F219" s="371" t="s">
        <v>1080</v>
      </c>
      <c r="G219" s="371" t="s">
        <v>1953</v>
      </c>
      <c r="H219" s="372">
        <f>354.7*0.27</f>
        <v>95.769000000000005</v>
      </c>
      <c r="I219" s="379"/>
      <c r="J219" s="380"/>
    </row>
    <row r="220" spans="1:10" s="292" customFormat="1" ht="33">
      <c r="A220" s="310"/>
      <c r="B220" s="366"/>
      <c r="C220" s="367"/>
      <c r="D220" s="368"/>
      <c r="E220" s="368"/>
      <c r="F220" s="371" t="s">
        <v>1082</v>
      </c>
      <c r="G220" s="371" t="s">
        <v>1955</v>
      </c>
      <c r="H220" s="372">
        <f>44.7*0.38</f>
        <v>16.986000000000001</v>
      </c>
      <c r="I220" s="379"/>
      <c r="J220" s="380"/>
    </row>
    <row r="221" spans="1:10" s="292" customFormat="1" ht="33">
      <c r="A221" s="310"/>
      <c r="B221" s="366"/>
      <c r="C221" s="367"/>
      <c r="D221" s="368"/>
      <c r="E221" s="368"/>
      <c r="F221" s="371" t="s">
        <v>1084</v>
      </c>
      <c r="G221" s="371" t="s">
        <v>1956</v>
      </c>
      <c r="H221" s="372">
        <f>31*0.41</f>
        <v>12.709999999999999</v>
      </c>
      <c r="I221" s="379"/>
      <c r="J221" s="380"/>
    </row>
    <row r="222" spans="1:10" s="292" customFormat="1" ht="33">
      <c r="A222" s="310"/>
      <c r="B222" s="366"/>
      <c r="C222" s="367"/>
      <c r="D222" s="368"/>
      <c r="E222" s="368"/>
      <c r="F222" s="371" t="s">
        <v>1086</v>
      </c>
      <c r="G222" s="371" t="s">
        <v>1957</v>
      </c>
      <c r="H222" s="372">
        <f>18.1*0.68</f>
        <v>12.308000000000002</v>
      </c>
      <c r="I222" s="379"/>
      <c r="J222" s="380"/>
    </row>
    <row r="223" spans="1:10" s="292" customFormat="1" ht="33">
      <c r="A223" s="310"/>
      <c r="B223" s="366"/>
      <c r="C223" s="367"/>
      <c r="D223" s="368"/>
      <c r="E223" s="368"/>
      <c r="F223" s="371" t="s">
        <v>1088</v>
      </c>
      <c r="G223" s="371" t="s">
        <v>1958</v>
      </c>
      <c r="H223" s="372">
        <f>180.4*0.37</f>
        <v>66.748000000000005</v>
      </c>
      <c r="I223" s="379"/>
      <c r="J223" s="380"/>
    </row>
    <row r="224" spans="1:10" s="292" customFormat="1" ht="33">
      <c r="A224" s="310"/>
      <c r="B224" s="366"/>
      <c r="C224" s="367"/>
      <c r="D224" s="368"/>
      <c r="E224" s="368"/>
      <c r="F224" s="371" t="s">
        <v>1090</v>
      </c>
      <c r="G224" s="371" t="s">
        <v>1959</v>
      </c>
      <c r="H224" s="372">
        <f>25.6*0.38</f>
        <v>9.7280000000000015</v>
      </c>
      <c r="I224" s="379"/>
      <c r="J224" s="380"/>
    </row>
    <row r="225" spans="1:10" s="292" customFormat="1">
      <c r="A225" s="310"/>
      <c r="B225" s="366"/>
      <c r="C225" s="367"/>
      <c r="D225" s="368"/>
      <c r="E225" s="368"/>
      <c r="F225" s="371" t="s">
        <v>1092</v>
      </c>
      <c r="G225" s="371" t="s">
        <v>1960</v>
      </c>
      <c r="H225" s="372">
        <f>7*0.97</f>
        <v>6.79</v>
      </c>
      <c r="I225" s="379"/>
      <c r="J225" s="380"/>
    </row>
    <row r="226" spans="1:10" s="292" customFormat="1">
      <c r="A226" s="310"/>
      <c r="B226" s="366"/>
      <c r="C226" s="367"/>
      <c r="D226" s="368"/>
      <c r="E226" s="368"/>
      <c r="F226" s="371" t="s">
        <v>1094</v>
      </c>
      <c r="G226" s="371" t="s">
        <v>1961</v>
      </c>
      <c r="H226" s="372">
        <f>7.8*0.76</f>
        <v>5.9279999999999999</v>
      </c>
      <c r="I226" s="379"/>
      <c r="J226" s="380"/>
    </row>
    <row r="227" spans="1:10" s="292" customFormat="1">
      <c r="A227" s="310"/>
      <c r="B227" s="366"/>
      <c r="C227" s="367"/>
      <c r="D227" s="368"/>
      <c r="E227" s="368"/>
      <c r="F227" s="371" t="s">
        <v>1096</v>
      </c>
      <c r="G227" s="371" t="s">
        <v>1962</v>
      </c>
      <c r="H227" s="372">
        <f>2*0.05</f>
        <v>0.1</v>
      </c>
      <c r="I227" s="379"/>
      <c r="J227" s="380"/>
    </row>
    <row r="228" spans="1:10" s="292" customFormat="1">
      <c r="A228" s="310"/>
      <c r="B228" s="366"/>
      <c r="C228" s="367"/>
      <c r="D228" s="368"/>
      <c r="E228" s="368"/>
      <c r="F228" s="371" t="s">
        <v>1098</v>
      </c>
      <c r="G228" s="371" t="s">
        <v>1946</v>
      </c>
      <c r="H228" s="372">
        <f>3*0.23</f>
        <v>0.69000000000000006</v>
      </c>
      <c r="I228" s="379"/>
      <c r="J228" s="380"/>
    </row>
    <row r="229" spans="1:10" s="292" customFormat="1" ht="33">
      <c r="A229" s="310"/>
      <c r="B229" s="366"/>
      <c r="C229" s="367"/>
      <c r="D229" s="368"/>
      <c r="E229" s="368"/>
      <c r="F229" s="371" t="s">
        <v>1100</v>
      </c>
      <c r="G229" s="371" t="s">
        <v>1947</v>
      </c>
      <c r="H229" s="372">
        <f>18*0.36</f>
        <v>6.4799999999999995</v>
      </c>
      <c r="I229" s="379"/>
      <c r="J229" s="380"/>
    </row>
    <row r="230" spans="1:10" s="292" customFormat="1">
      <c r="A230" s="310"/>
      <c r="B230" s="366"/>
      <c r="C230" s="367"/>
      <c r="D230" s="368"/>
      <c r="E230" s="368"/>
      <c r="F230" s="371" t="s">
        <v>1924</v>
      </c>
      <c r="G230" s="371">
        <v>0</v>
      </c>
      <c r="H230" s="372">
        <v>0</v>
      </c>
      <c r="I230" s="379"/>
      <c r="J230" s="380"/>
    </row>
    <row r="231" spans="1:10" s="292" customFormat="1">
      <c r="A231" s="310"/>
      <c r="B231" s="366"/>
      <c r="C231" s="367"/>
      <c r="D231" s="368"/>
      <c r="E231" s="368"/>
      <c r="F231" s="371" t="s">
        <v>1925</v>
      </c>
      <c r="G231" s="371">
        <v>0</v>
      </c>
      <c r="H231" s="372">
        <v>0</v>
      </c>
      <c r="I231" s="379"/>
      <c r="J231" s="380"/>
    </row>
    <row r="232" spans="1:10" s="292" customFormat="1">
      <c r="A232" s="310"/>
      <c r="B232" s="366"/>
      <c r="C232" s="367"/>
      <c r="D232" s="368"/>
      <c r="E232" s="368"/>
      <c r="F232" s="371" t="s">
        <v>1102</v>
      </c>
      <c r="G232" s="371" t="s">
        <v>2367</v>
      </c>
      <c r="H232" s="372">
        <f>J456*1.05</f>
        <v>35.175000000000004</v>
      </c>
      <c r="I232" s="379"/>
      <c r="J232" s="380"/>
    </row>
    <row r="233" spans="1:10" s="292" customFormat="1" ht="33">
      <c r="A233" s="310"/>
      <c r="B233" s="366"/>
      <c r="C233" s="367"/>
      <c r="D233" s="368"/>
      <c r="E233" s="368"/>
      <c r="F233" s="371" t="s">
        <v>1104</v>
      </c>
      <c r="G233" s="371" t="s">
        <v>2216</v>
      </c>
      <c r="H233" s="372">
        <f>(21.7+17.6)*0.15</f>
        <v>5.8949999999999996</v>
      </c>
      <c r="I233" s="379"/>
      <c r="J233" s="380"/>
    </row>
    <row r="234" spans="1:10" s="292" customFormat="1" ht="33">
      <c r="A234" s="310"/>
      <c r="B234" s="366"/>
      <c r="C234" s="367"/>
      <c r="D234" s="368"/>
      <c r="E234" s="368"/>
      <c r="F234" s="371" t="s">
        <v>1105</v>
      </c>
      <c r="G234" s="371" t="s">
        <v>2035</v>
      </c>
      <c r="H234" s="372">
        <f>32.5*0.32</f>
        <v>10.4</v>
      </c>
      <c r="I234" s="379"/>
      <c r="J234" s="380"/>
    </row>
    <row r="235" spans="1:10" s="292" customFormat="1">
      <c r="A235" s="310"/>
      <c r="B235" s="366"/>
      <c r="C235" s="367"/>
      <c r="D235" s="368"/>
      <c r="E235" s="368"/>
      <c r="F235" s="371" t="s">
        <v>1107</v>
      </c>
      <c r="G235" s="371" t="s">
        <v>2057</v>
      </c>
      <c r="H235" s="372">
        <v>5.46</v>
      </c>
      <c r="I235" s="379"/>
      <c r="J235" s="380"/>
    </row>
    <row r="236" spans="1:10" s="292" customFormat="1">
      <c r="A236" s="310"/>
      <c r="B236" s="366"/>
      <c r="C236" s="367"/>
      <c r="D236" s="368"/>
      <c r="E236" s="368"/>
      <c r="F236" s="371" t="s">
        <v>1109</v>
      </c>
      <c r="G236" s="371" t="s">
        <v>2062</v>
      </c>
      <c r="H236" s="372">
        <v>0.24</v>
      </c>
      <c r="I236" s="379"/>
      <c r="J236" s="380"/>
    </row>
    <row r="237" spans="1:10" s="292" customFormat="1">
      <c r="A237" s="310"/>
      <c r="B237" s="366"/>
      <c r="C237" s="367"/>
      <c r="D237" s="368"/>
      <c r="E237" s="368"/>
      <c r="F237" s="371" t="s">
        <v>1111</v>
      </c>
      <c r="G237" s="371" t="s">
        <v>2066</v>
      </c>
      <c r="H237" s="372">
        <v>0.61</v>
      </c>
      <c r="I237" s="379"/>
      <c r="J237" s="380"/>
    </row>
    <row r="238" spans="1:10" s="292" customFormat="1">
      <c r="A238" s="310"/>
      <c r="B238" s="366"/>
      <c r="C238" s="367"/>
      <c r="D238" s="368"/>
      <c r="E238" s="368"/>
      <c r="F238" s="371" t="s">
        <v>1926</v>
      </c>
      <c r="G238" s="371" t="s">
        <v>2128</v>
      </c>
      <c r="H238" s="372">
        <v>0.21</v>
      </c>
      <c r="I238" s="379"/>
      <c r="J238" s="380"/>
    </row>
    <row r="239" spans="1:10" s="292" customFormat="1">
      <c r="A239" s="310"/>
      <c r="B239" s="366"/>
      <c r="C239" s="367"/>
      <c r="D239" s="368"/>
      <c r="E239" s="368"/>
      <c r="F239" s="371" t="s">
        <v>1927</v>
      </c>
      <c r="G239" s="329">
        <v>0</v>
      </c>
      <c r="H239" s="386">
        <v>0</v>
      </c>
      <c r="I239" s="379"/>
      <c r="J239" s="380"/>
    </row>
    <row r="240" spans="1:10" s="292" customFormat="1">
      <c r="A240" s="310"/>
      <c r="B240" s="366"/>
      <c r="C240" s="367"/>
      <c r="D240" s="368"/>
      <c r="E240" s="368"/>
      <c r="F240" s="371" t="s">
        <v>1928</v>
      </c>
      <c r="G240" s="329" t="s">
        <v>2130</v>
      </c>
      <c r="H240" s="386">
        <v>0</v>
      </c>
      <c r="I240" s="379"/>
      <c r="J240" s="380"/>
    </row>
    <row r="241" spans="1:10" s="292" customFormat="1">
      <c r="A241" s="310"/>
      <c r="B241" s="366"/>
      <c r="C241" s="367"/>
      <c r="D241" s="368"/>
      <c r="E241" s="368"/>
      <c r="F241" s="371" t="s">
        <v>1929</v>
      </c>
      <c r="G241" s="371">
        <v>0</v>
      </c>
      <c r="H241" s="372">
        <v>0</v>
      </c>
      <c r="I241" s="379"/>
      <c r="J241" s="380"/>
    </row>
    <row r="242" spans="1:10" s="292" customFormat="1">
      <c r="A242" s="310"/>
      <c r="B242" s="366"/>
      <c r="C242" s="367"/>
      <c r="D242" s="368"/>
      <c r="E242" s="368"/>
      <c r="F242" s="371" t="s">
        <v>1930</v>
      </c>
      <c r="G242" s="371">
        <v>0</v>
      </c>
      <c r="H242" s="372">
        <v>0</v>
      </c>
      <c r="I242" s="379"/>
      <c r="J242" s="380"/>
    </row>
    <row r="243" spans="1:10" s="292" customFormat="1">
      <c r="A243" s="310"/>
      <c r="B243" s="366"/>
      <c r="C243" s="367"/>
      <c r="D243" s="368"/>
      <c r="E243" s="368"/>
      <c r="F243" s="371" t="s">
        <v>1113</v>
      </c>
      <c r="G243" s="329" t="s">
        <v>2130</v>
      </c>
      <c r="H243" s="372">
        <v>0</v>
      </c>
      <c r="I243" s="379"/>
      <c r="J243" s="380"/>
    </row>
    <row r="244" spans="1:10" s="292" customFormat="1">
      <c r="A244" s="310"/>
      <c r="B244" s="366"/>
      <c r="C244" s="367"/>
      <c r="D244" s="368"/>
      <c r="E244" s="368"/>
      <c r="F244" s="371" t="s">
        <v>1931</v>
      </c>
      <c r="G244" s="371">
        <v>0</v>
      </c>
      <c r="H244" s="372">
        <v>0</v>
      </c>
      <c r="I244" s="379"/>
      <c r="J244" s="380"/>
    </row>
    <row r="245" spans="1:10" s="292" customFormat="1">
      <c r="A245" s="310"/>
      <c r="B245" s="366"/>
      <c r="C245" s="367"/>
      <c r="D245" s="368"/>
      <c r="E245" s="368"/>
      <c r="F245" s="371" t="s">
        <v>1932</v>
      </c>
      <c r="G245" s="371">
        <v>0</v>
      </c>
      <c r="H245" s="372">
        <v>0</v>
      </c>
      <c r="I245" s="379"/>
      <c r="J245" s="380"/>
    </row>
    <row r="246" spans="1:10" s="292" customFormat="1">
      <c r="A246" s="310"/>
      <c r="B246" s="366"/>
      <c r="C246" s="367"/>
      <c r="D246" s="368"/>
      <c r="E246" s="368"/>
      <c r="F246" s="371" t="s">
        <v>1115</v>
      </c>
      <c r="G246" s="329" t="s">
        <v>2130</v>
      </c>
      <c r="H246" s="372">
        <v>0</v>
      </c>
      <c r="I246" s="379"/>
      <c r="J246" s="380"/>
    </row>
    <row r="247" spans="1:10" s="292" customFormat="1">
      <c r="A247" s="310"/>
      <c r="B247" s="366"/>
      <c r="C247" s="367"/>
      <c r="D247" s="368"/>
      <c r="E247" s="368"/>
      <c r="F247" s="371" t="s">
        <v>1933</v>
      </c>
      <c r="G247" s="371" t="s">
        <v>2134</v>
      </c>
      <c r="H247" s="372">
        <f>0.2*13.7</f>
        <v>2.74</v>
      </c>
      <c r="I247" s="379"/>
      <c r="J247" s="380"/>
    </row>
    <row r="248" spans="1:10" s="292" customFormat="1">
      <c r="A248" s="310"/>
      <c r="B248" s="366"/>
      <c r="C248" s="367"/>
      <c r="D248" s="368"/>
      <c r="E248" s="368"/>
      <c r="F248" s="371" t="s">
        <v>2173</v>
      </c>
      <c r="G248" s="371" t="s">
        <v>2133</v>
      </c>
      <c r="H248" s="372">
        <f>0.48*17.92</f>
        <v>8.6016000000000012</v>
      </c>
      <c r="I248" s="379"/>
      <c r="J248" s="380"/>
    </row>
    <row r="249" spans="1:10" s="292" customFormat="1" ht="16.5" customHeight="1">
      <c r="A249" s="310"/>
      <c r="B249" s="366"/>
      <c r="C249" s="367"/>
      <c r="D249" s="371"/>
      <c r="E249" s="368"/>
      <c r="F249" s="371" t="s">
        <v>1117</v>
      </c>
      <c r="G249" s="371" t="s">
        <v>2177</v>
      </c>
      <c r="H249" s="372">
        <f>1.5*0.6*0.5*1</f>
        <v>0.44999999999999996</v>
      </c>
      <c r="I249" s="379"/>
      <c r="J249" s="380"/>
    </row>
    <row r="250" spans="1:10" s="292" customFormat="1" ht="16.5" customHeight="1">
      <c r="A250" s="310"/>
      <c r="B250" s="366"/>
      <c r="C250" s="367"/>
      <c r="D250" s="371"/>
      <c r="E250" s="368"/>
      <c r="F250" s="371" t="s">
        <v>1119</v>
      </c>
      <c r="G250" s="371" t="s">
        <v>2178</v>
      </c>
      <c r="H250" s="372">
        <f>1*0.45*0.7*2</f>
        <v>0.63</v>
      </c>
      <c r="I250" s="379"/>
      <c r="J250" s="380"/>
    </row>
    <row r="251" spans="1:10" s="292" customFormat="1" ht="16.5" customHeight="1">
      <c r="A251" s="310"/>
      <c r="B251" s="366"/>
      <c r="C251" s="367"/>
      <c r="D251" s="371"/>
      <c r="E251" s="368"/>
      <c r="F251" s="371" t="s">
        <v>1121</v>
      </c>
      <c r="G251" s="371" t="s">
        <v>2174</v>
      </c>
      <c r="H251" s="372">
        <f>1*0.45*0.7</f>
        <v>0.315</v>
      </c>
      <c r="I251" s="379"/>
      <c r="J251" s="380"/>
    </row>
    <row r="252" spans="1:10" s="292" customFormat="1" ht="16.5" customHeight="1">
      <c r="A252" s="310"/>
      <c r="B252" s="366"/>
      <c r="C252" s="367"/>
      <c r="D252" s="371"/>
      <c r="E252" s="368"/>
      <c r="F252" s="371" t="s">
        <v>1123</v>
      </c>
      <c r="G252" s="371" t="s">
        <v>2179</v>
      </c>
      <c r="H252" s="372">
        <f>0.6*0.6*0.4*3</f>
        <v>0.43199999999999994</v>
      </c>
      <c r="I252" s="379"/>
      <c r="J252" s="380"/>
    </row>
    <row r="253" spans="1:10" s="292" customFormat="1" ht="16.5" customHeight="1">
      <c r="A253" s="310"/>
      <c r="B253" s="366"/>
      <c r="C253" s="367"/>
      <c r="D253" s="371"/>
      <c r="E253" s="368"/>
      <c r="F253" s="371" t="s">
        <v>1125</v>
      </c>
      <c r="G253" s="371" t="s">
        <v>2180</v>
      </c>
      <c r="H253" s="372">
        <f>3*0.5*0.4*4</f>
        <v>2.4000000000000004</v>
      </c>
      <c r="I253" s="379"/>
      <c r="J253" s="380"/>
    </row>
    <row r="254" spans="1:10" s="292" customFormat="1" ht="16.5" customHeight="1">
      <c r="A254" s="310"/>
      <c r="B254" s="366"/>
      <c r="C254" s="367"/>
      <c r="D254" s="371"/>
      <c r="E254" s="368"/>
      <c r="F254" s="371" t="s">
        <v>1127</v>
      </c>
      <c r="G254" s="371" t="s">
        <v>2181</v>
      </c>
      <c r="H254" s="372">
        <f>0.8*0.4*0.25*2</f>
        <v>0.16000000000000003</v>
      </c>
      <c r="I254" s="379"/>
      <c r="J254" s="380"/>
    </row>
    <row r="255" spans="1:10" s="292" customFormat="1" ht="16.5" customHeight="1">
      <c r="A255" s="310"/>
      <c r="B255" s="366"/>
      <c r="C255" s="367"/>
      <c r="D255" s="371"/>
      <c r="E255" s="368"/>
      <c r="F255" s="371" t="s">
        <v>1129</v>
      </c>
      <c r="G255" s="371" t="s">
        <v>2175</v>
      </c>
      <c r="H255" s="372">
        <f>0.8*0.4*0.25</f>
        <v>8.0000000000000016E-2</v>
      </c>
      <c r="I255" s="379"/>
      <c r="J255" s="380"/>
    </row>
    <row r="256" spans="1:10" s="292" customFormat="1" ht="16.5" customHeight="1">
      <c r="A256" s="310"/>
      <c r="B256" s="366"/>
      <c r="C256" s="367"/>
      <c r="D256" s="371"/>
      <c r="E256" s="368"/>
      <c r="F256" s="371" t="s">
        <v>1131</v>
      </c>
      <c r="G256" s="371" t="s">
        <v>2182</v>
      </c>
      <c r="H256" s="372">
        <f>0.8*0.4*0.25*6</f>
        <v>0.48000000000000009</v>
      </c>
      <c r="I256" s="379"/>
      <c r="J256" s="380"/>
    </row>
    <row r="257" spans="1:10" s="292" customFormat="1" ht="16.5" customHeight="1">
      <c r="A257" s="310"/>
      <c r="B257" s="366"/>
      <c r="C257" s="367"/>
      <c r="D257" s="371"/>
      <c r="E257" s="368"/>
      <c r="F257" s="371" t="s">
        <v>1133</v>
      </c>
      <c r="G257" s="371" t="s">
        <v>2181</v>
      </c>
      <c r="H257" s="372">
        <f>0.8*0.4*0.25*2</f>
        <v>0.16000000000000003</v>
      </c>
      <c r="I257" s="379"/>
      <c r="J257" s="380"/>
    </row>
    <row r="258" spans="1:10" s="292" customFormat="1" ht="16.5" customHeight="1">
      <c r="A258" s="310"/>
      <c r="B258" s="366"/>
      <c r="C258" s="367"/>
      <c r="D258" s="371"/>
      <c r="E258" s="368"/>
      <c r="F258" s="371" t="s">
        <v>1135</v>
      </c>
      <c r="G258" s="371" t="s">
        <v>2183</v>
      </c>
      <c r="H258" s="372">
        <f>0.4*0.4*0.2*2</f>
        <v>6.4000000000000015E-2</v>
      </c>
      <c r="I258" s="379"/>
      <c r="J258" s="380"/>
    </row>
    <row r="259" spans="1:10" s="292" customFormat="1" ht="16.5" customHeight="1">
      <c r="A259" s="310"/>
      <c r="B259" s="366"/>
      <c r="C259" s="367"/>
      <c r="D259" s="371"/>
      <c r="E259" s="368"/>
      <c r="F259" s="371" t="s">
        <v>1137</v>
      </c>
      <c r="G259" s="371" t="s">
        <v>2185</v>
      </c>
      <c r="H259" s="372">
        <f>0.4*0.4*0.2*4</f>
        <v>0.12800000000000003</v>
      </c>
      <c r="I259" s="379"/>
      <c r="J259" s="380"/>
    </row>
    <row r="260" spans="1:10" s="292" customFormat="1">
      <c r="A260" s="310"/>
      <c r="B260" s="366"/>
      <c r="C260" s="367"/>
      <c r="D260" s="371"/>
      <c r="E260" s="368"/>
      <c r="F260" s="371" t="s">
        <v>1935</v>
      </c>
      <c r="G260" s="371">
        <v>0</v>
      </c>
      <c r="H260" s="372">
        <f>0</f>
        <v>0</v>
      </c>
      <c r="I260" s="379"/>
      <c r="J260" s="380"/>
    </row>
    <row r="261" spans="1:10" s="292" customFormat="1" ht="34.5" customHeight="1">
      <c r="A261" s="310"/>
      <c r="B261" s="366"/>
      <c r="C261" s="367"/>
      <c r="D261" s="371"/>
      <c r="E261" s="368"/>
      <c r="F261" s="371" t="s">
        <v>1139</v>
      </c>
      <c r="G261" s="371" t="s">
        <v>2186</v>
      </c>
      <c r="H261" s="372">
        <f>((1.5*1.053)+(23.1*0.2*0.05)+(3.565*1.724))</f>
        <v>7.9565599999999996</v>
      </c>
      <c r="I261" s="379"/>
      <c r="J261" s="380"/>
    </row>
    <row r="262" spans="1:10" s="292" customFormat="1" ht="34.5" customHeight="1">
      <c r="A262" s="310"/>
      <c r="B262" s="366"/>
      <c r="C262" s="367"/>
      <c r="D262" s="371"/>
      <c r="E262" s="368"/>
      <c r="F262" s="371" t="s">
        <v>1141</v>
      </c>
      <c r="G262" s="371" t="s">
        <v>2176</v>
      </c>
      <c r="H262" s="372">
        <f>(0.6*0.25*0.43)+(0.2*0.2*0.65)</f>
        <v>9.0500000000000011E-2</v>
      </c>
      <c r="I262" s="379"/>
      <c r="J262" s="380"/>
    </row>
    <row r="263" spans="1:10" s="292" customFormat="1" ht="34.5" customHeight="1">
      <c r="A263" s="310"/>
      <c r="B263" s="366"/>
      <c r="C263" s="367"/>
      <c r="D263" s="371"/>
      <c r="E263" s="368"/>
      <c r="F263" s="371" t="s">
        <v>1143</v>
      </c>
      <c r="G263" s="371" t="s">
        <v>2187</v>
      </c>
      <c r="H263" s="372">
        <f>((0.7*0.7*0.15)+(0.7*0.6*0.15*4))*62</f>
        <v>20.181000000000001</v>
      </c>
      <c r="I263" s="379"/>
      <c r="J263" s="380"/>
    </row>
    <row r="264" spans="1:10" s="292" customFormat="1" ht="34.5" customHeight="1">
      <c r="A264" s="310"/>
      <c r="B264" s="366"/>
      <c r="C264" s="367"/>
      <c r="D264" s="371"/>
      <c r="E264" s="368"/>
      <c r="F264" s="371" t="s">
        <v>1145</v>
      </c>
      <c r="G264" s="371" t="s">
        <v>2188</v>
      </c>
      <c r="H264" s="372">
        <f>((0.6*0.55*0.15)+(0.6*0.3*0.15*2))*13</f>
        <v>1.3455000000000001</v>
      </c>
      <c r="I264" s="379"/>
      <c r="J264" s="380"/>
    </row>
    <row r="265" spans="1:10" s="292" customFormat="1" ht="36.75" customHeight="1">
      <c r="A265" s="310"/>
      <c r="B265" s="366"/>
      <c r="C265" s="367"/>
      <c r="D265" s="371"/>
      <c r="E265" s="368"/>
      <c r="F265" s="371" t="s">
        <v>1147</v>
      </c>
      <c r="G265" s="371" t="s">
        <v>2189</v>
      </c>
      <c r="H265" s="372">
        <f>((0.6*0.55*0.15)+(0.6*0.3*0.15*2))*41.7</f>
        <v>4.3159500000000008</v>
      </c>
      <c r="I265" s="379"/>
      <c r="J265" s="380"/>
    </row>
    <row r="266" spans="1:10" s="292" customFormat="1" ht="43.5" customHeight="1">
      <c r="A266" s="310"/>
      <c r="B266" s="366"/>
      <c r="C266" s="367"/>
      <c r="D266" s="371"/>
      <c r="E266" s="368"/>
      <c r="F266" s="371" t="s">
        <v>1149</v>
      </c>
      <c r="G266" s="371" t="s">
        <v>2190</v>
      </c>
      <c r="H266" s="372">
        <f>((0.405*0.32*0.1)+(0.405*0.1*0.15*2))*1.3</f>
        <v>3.2643000000000012E-2</v>
      </c>
      <c r="I266" s="379"/>
      <c r="J266" s="380"/>
    </row>
    <row r="267" spans="1:10" s="292" customFormat="1">
      <c r="A267" s="310"/>
      <c r="B267" s="366"/>
      <c r="C267" s="367"/>
      <c r="D267" s="371"/>
      <c r="E267" s="368"/>
      <c r="F267" s="371" t="s">
        <v>1168</v>
      </c>
      <c r="G267" s="371" t="s">
        <v>2184</v>
      </c>
      <c r="H267" s="372">
        <f>1*0.11*0.2*0.1*275.6</f>
        <v>0.60632000000000008</v>
      </c>
      <c r="I267" s="379"/>
      <c r="J267" s="380"/>
    </row>
    <row r="268" spans="1:10" s="292" customFormat="1">
      <c r="A268" s="310"/>
      <c r="B268" s="366"/>
      <c r="C268" s="367"/>
      <c r="D268" s="718"/>
      <c r="E268" s="368"/>
      <c r="F268" s="388"/>
      <c r="H268" s="389"/>
      <c r="I268" s="379"/>
      <c r="J268" s="380"/>
    </row>
    <row r="269" spans="1:10" s="292" customFormat="1">
      <c r="A269" s="378" t="s">
        <v>1188</v>
      </c>
      <c r="B269" s="366" t="s">
        <v>105</v>
      </c>
      <c r="C269" s="367" t="s">
        <v>52</v>
      </c>
      <c r="D269" s="368">
        <v>2387.33</v>
      </c>
      <c r="E269" s="368"/>
      <c r="F269" s="395">
        <v>0</v>
      </c>
      <c r="G269" s="396">
        <v>0</v>
      </c>
      <c r="H269" s="397">
        <v>0</v>
      </c>
      <c r="I269" s="379"/>
      <c r="J269" s="679">
        <f>SUM(H269:H341)</f>
        <v>2612.5814210000012</v>
      </c>
    </row>
    <row r="270" spans="1:10" s="292" customFormat="1" ht="161.25" customHeight="1">
      <c r="A270" s="310"/>
      <c r="B270" s="366"/>
      <c r="C270" s="367"/>
      <c r="D270" s="368"/>
      <c r="E270" s="368"/>
      <c r="F270" s="713" t="s">
        <v>1979</v>
      </c>
      <c r="G270" s="714" t="s">
        <v>1995</v>
      </c>
      <c r="H270" s="715">
        <f>ROUND(1*1*0.15*((48.83+341.82+97.29+405.49)+(151.38+105.62+65.69+32.86+124.36+31.87+28.46+127.72)),2)</f>
        <v>234.21</v>
      </c>
      <c r="I270" s="379"/>
      <c r="J270" s="727"/>
    </row>
    <row r="271" spans="1:10" s="292" customFormat="1" ht="82.5">
      <c r="A271" s="310"/>
      <c r="B271" s="366"/>
      <c r="C271" s="367"/>
      <c r="D271" s="368"/>
      <c r="E271" s="368"/>
      <c r="F271" s="713" t="s">
        <v>1980</v>
      </c>
      <c r="G271" s="714" t="s">
        <v>1996</v>
      </c>
      <c r="H271" s="715">
        <f>ROUND(1*1*0.15*((97.98+219.58+224.01+106.53)+(19.55+30.98+49.71+39.56+65.06+124.85)),2)</f>
        <v>146.66999999999999</v>
      </c>
      <c r="I271" s="379"/>
      <c r="J271" s="727"/>
    </row>
    <row r="272" spans="1:10" s="292" customFormat="1" ht="66">
      <c r="A272" s="310"/>
      <c r="B272" s="366"/>
      <c r="C272" s="367"/>
      <c r="D272" s="368"/>
      <c r="E272" s="368"/>
      <c r="F272" s="713" t="s">
        <v>1981</v>
      </c>
      <c r="G272" s="714" t="s">
        <v>1997</v>
      </c>
      <c r="H272" s="715">
        <f>ROUND(1*1*0.15*((219.38+76.49+68.57+38.49+71.2+214.61+269.72+53.53)+(159.41+42)),2)</f>
        <v>182.01</v>
      </c>
      <c r="I272" s="379"/>
      <c r="J272" s="727"/>
    </row>
    <row r="273" spans="1:10" s="292" customFormat="1" ht="49.5">
      <c r="A273" s="310"/>
      <c r="B273" s="366"/>
      <c r="C273" s="367"/>
      <c r="D273" s="368"/>
      <c r="E273" s="368"/>
      <c r="F273" s="713" t="s">
        <v>2287</v>
      </c>
      <c r="G273" s="714" t="s">
        <v>1983</v>
      </c>
      <c r="H273" s="715">
        <f>1*1*0.15*((91.35+77.25+234.92+111.88))</f>
        <v>77.309999999999988</v>
      </c>
      <c r="I273" s="379"/>
      <c r="J273" s="727"/>
    </row>
    <row r="274" spans="1:10" s="292" customFormat="1" ht="49.5">
      <c r="A274" s="310"/>
      <c r="B274" s="366"/>
      <c r="C274" s="367"/>
      <c r="D274" s="368"/>
      <c r="E274" s="368"/>
      <c r="F274" s="713" t="s">
        <v>2288</v>
      </c>
      <c r="G274" s="714" t="s">
        <v>1989</v>
      </c>
      <c r="H274" s="715">
        <f>ROUND((1*1*0.15*(36.73+49.73+77.79+41.08+156.35+32.09)),2)</f>
        <v>59.07</v>
      </c>
      <c r="I274" s="379"/>
      <c r="J274" s="727"/>
    </row>
    <row r="275" spans="1:10" s="292" customFormat="1" ht="66">
      <c r="A275" s="310"/>
      <c r="B275" s="366"/>
      <c r="C275" s="367"/>
      <c r="D275" s="368"/>
      <c r="E275" s="368"/>
      <c r="F275" s="713" t="s">
        <v>2002</v>
      </c>
      <c r="G275" s="714" t="s">
        <v>2120</v>
      </c>
      <c r="H275" s="715">
        <f>1*1*0.15*(30.02+37.27+10.54+60.98+8.36+17.4+56.04+41.69+18.71+62.77+2.78+37+37.09+59.61)</f>
        <v>72.039000000000001</v>
      </c>
      <c r="I275" s="379"/>
      <c r="J275" s="727"/>
    </row>
    <row r="276" spans="1:10" s="292" customFormat="1" ht="33">
      <c r="A276" s="310"/>
      <c r="B276" s="366"/>
      <c r="C276" s="367"/>
      <c r="D276" s="368"/>
      <c r="E276" s="368"/>
      <c r="F276" s="713" t="s">
        <v>2123</v>
      </c>
      <c r="G276" s="714" t="s">
        <v>1998</v>
      </c>
      <c r="H276" s="715">
        <f>ROUND(1*1*0.15*(112.06+96.12),2)</f>
        <v>31.23</v>
      </c>
      <c r="I276" s="379"/>
      <c r="J276" s="727"/>
    </row>
    <row r="277" spans="1:10" s="292" customFormat="1" ht="49.5">
      <c r="A277" s="310"/>
      <c r="B277" s="366"/>
      <c r="C277" s="367"/>
      <c r="D277" s="368"/>
      <c r="E277" s="368"/>
      <c r="F277" s="714" t="s">
        <v>1963</v>
      </c>
      <c r="G277" s="714" t="s">
        <v>2009</v>
      </c>
      <c r="H277" s="721">
        <f>H130/0.05*0.2</f>
        <v>138.74800000000002</v>
      </c>
      <c r="I277" s="379"/>
      <c r="J277" s="726"/>
    </row>
    <row r="278" spans="1:10" s="292" customFormat="1">
      <c r="A278" s="310"/>
      <c r="B278" s="366"/>
      <c r="C278" s="367"/>
      <c r="D278" s="368"/>
      <c r="E278" s="368"/>
      <c r="F278" s="371" t="s">
        <v>1076</v>
      </c>
      <c r="G278" s="371" t="s">
        <v>2021</v>
      </c>
      <c r="H278" s="372">
        <f>1*2*0.15*1.28*16</f>
        <v>6.1440000000000001</v>
      </c>
      <c r="I278" s="379"/>
      <c r="J278" s="726"/>
    </row>
    <row r="279" spans="1:10" s="292" customFormat="1">
      <c r="A279" s="310"/>
      <c r="B279" s="366"/>
      <c r="C279" s="367"/>
      <c r="D279" s="368"/>
      <c r="E279" s="368"/>
      <c r="F279" s="371" t="s">
        <v>1965</v>
      </c>
      <c r="G279" s="371" t="s">
        <v>2010</v>
      </c>
      <c r="H279" s="372">
        <f>369*0.2</f>
        <v>73.8</v>
      </c>
      <c r="I279" s="379"/>
      <c r="J279" s="726"/>
    </row>
    <row r="280" spans="1:10" s="292" customFormat="1" ht="33">
      <c r="A280" s="310"/>
      <c r="B280" s="366"/>
      <c r="C280" s="367"/>
      <c r="D280" s="368"/>
      <c r="E280" s="725" t="s">
        <v>1990</v>
      </c>
      <c r="F280" s="371" t="s">
        <v>1057</v>
      </c>
      <c r="G280" s="371" t="s">
        <v>2011</v>
      </c>
      <c r="H280" s="372">
        <f>1*1*0.2*(16.85+14.38+3.18+0.39)</f>
        <v>6.9600000000000009</v>
      </c>
      <c r="I280" s="379"/>
      <c r="J280" s="726"/>
    </row>
    <row r="281" spans="1:10" s="292" customFormat="1">
      <c r="A281" s="310"/>
      <c r="B281" s="366"/>
      <c r="C281" s="367"/>
      <c r="D281" s="368"/>
      <c r="E281" s="368"/>
      <c r="F281" s="371" t="s">
        <v>1059</v>
      </c>
      <c r="G281" s="371" t="s">
        <v>2003</v>
      </c>
      <c r="H281" s="372">
        <f>11.98*0.2</f>
        <v>2.3960000000000004</v>
      </c>
      <c r="I281" s="379"/>
      <c r="J281" s="726"/>
    </row>
    <row r="282" spans="1:10" s="292" customFormat="1" ht="33">
      <c r="A282" s="310"/>
      <c r="B282" s="366"/>
      <c r="C282" s="367"/>
      <c r="D282" s="368"/>
      <c r="E282" s="368"/>
      <c r="F282" s="371" t="s">
        <v>1061</v>
      </c>
      <c r="G282" s="371" t="s">
        <v>2012</v>
      </c>
      <c r="H282" s="372">
        <f>(2.17+2.68)/2*0.45*2*8</f>
        <v>17.46</v>
      </c>
      <c r="I282" s="379"/>
      <c r="J282" s="726"/>
    </row>
    <row r="283" spans="1:10" s="292" customFormat="1">
      <c r="A283" s="310"/>
      <c r="B283" s="366"/>
      <c r="C283" s="367"/>
      <c r="D283" s="368"/>
      <c r="E283" s="368"/>
      <c r="F283" s="371" t="s">
        <v>1991</v>
      </c>
      <c r="G283" s="371" t="s">
        <v>2013</v>
      </c>
      <c r="H283" s="372">
        <f>2.24*0.75*4</f>
        <v>6.7200000000000006</v>
      </c>
      <c r="I283" s="379"/>
      <c r="J283" s="726"/>
    </row>
    <row r="284" spans="1:10" s="292" customFormat="1">
      <c r="A284" s="310"/>
      <c r="B284" s="366"/>
      <c r="C284" s="367"/>
      <c r="D284" s="368"/>
      <c r="E284" s="368"/>
      <c r="F284" s="371" t="s">
        <v>1992</v>
      </c>
      <c r="G284" s="371">
        <v>0</v>
      </c>
      <c r="H284" s="372">
        <v>0</v>
      </c>
      <c r="I284" s="379"/>
      <c r="J284" s="726"/>
    </row>
    <row r="285" spans="1:10" s="292" customFormat="1">
      <c r="A285" s="310"/>
      <c r="B285" s="366"/>
      <c r="C285" s="367"/>
      <c r="D285" s="368"/>
      <c r="E285" s="368"/>
      <c r="F285" s="371" t="s">
        <v>1063</v>
      </c>
      <c r="G285" s="371" t="s">
        <v>2014</v>
      </c>
      <c r="H285" s="372">
        <f>(1.1+0.9)*2*0.2*19</f>
        <v>15.200000000000001</v>
      </c>
      <c r="I285" s="379"/>
      <c r="J285" s="726"/>
    </row>
    <row r="286" spans="1:10" s="292" customFormat="1" ht="82.5">
      <c r="A286" s="310"/>
      <c r="B286" s="366"/>
      <c r="C286" s="367"/>
      <c r="D286" s="368"/>
      <c r="E286" s="368"/>
      <c r="F286" s="371" t="s">
        <v>1065</v>
      </c>
      <c r="G286" s="371" t="s">
        <v>2015</v>
      </c>
      <c r="H286" s="372">
        <f>1*0.11*(33.36+33.4+33.35+27.26+13.62+59.52+26.99+33.97+98.88)</f>
        <v>39.638500000000001</v>
      </c>
      <c r="I286" s="379"/>
      <c r="J286" s="726"/>
    </row>
    <row r="287" spans="1:10" s="292" customFormat="1" ht="139.5" customHeight="1">
      <c r="A287" s="310"/>
      <c r="B287" s="366"/>
      <c r="C287" s="367"/>
      <c r="D287" s="368"/>
      <c r="E287" s="368"/>
      <c r="F287" s="371" t="s">
        <v>1067</v>
      </c>
      <c r="G287" s="371" t="s">
        <v>2016</v>
      </c>
      <c r="H287" s="372">
        <f>((1*0.18)+(1*0.1))*((49.9+12.82+23.67+16.52+47.33+12.49+19.64+18.63+66.13)+(77.82+102.79)+(118.36+117.41+1.45+6.18))</f>
        <v>193.51920000000001</v>
      </c>
      <c r="I287" s="379"/>
      <c r="J287" s="726"/>
    </row>
    <row r="288" spans="1:10" s="292" customFormat="1" ht="99">
      <c r="A288" s="310"/>
      <c r="B288" s="366"/>
      <c r="C288" s="367"/>
      <c r="D288" s="368"/>
      <c r="E288" s="368"/>
      <c r="F288" s="371" t="s">
        <v>1973</v>
      </c>
      <c r="G288" s="371" t="s">
        <v>2017</v>
      </c>
      <c r="H288" s="372">
        <f>1*2*0.05*(10.37+11.78+110.14+130.81+21.62+1+12.96+65.85+2.4+9.35+65.85+8.2+138.74+5.26)</f>
        <v>59.432999999999993</v>
      </c>
      <c r="I288" s="379"/>
      <c r="J288" s="726"/>
    </row>
    <row r="289" spans="1:10" s="292" customFormat="1">
      <c r="A289" s="310"/>
      <c r="B289" s="366"/>
      <c r="C289" s="367"/>
      <c r="D289" s="368"/>
      <c r="E289" s="368"/>
      <c r="F289" s="371" t="s">
        <v>2116</v>
      </c>
      <c r="G289" s="371" t="s">
        <v>2118</v>
      </c>
      <c r="H289" s="372">
        <f>1*2*0.05</f>
        <v>0.1</v>
      </c>
      <c r="I289" s="379"/>
      <c r="J289" s="380"/>
    </row>
    <row r="290" spans="1:10" s="292" customFormat="1" ht="132">
      <c r="A290" s="310"/>
      <c r="B290" s="366"/>
      <c r="C290" s="367"/>
      <c r="D290" s="368"/>
      <c r="E290" s="368"/>
      <c r="F290" s="371" t="s">
        <v>1974</v>
      </c>
      <c r="G290" s="371" t="s">
        <v>2018</v>
      </c>
      <c r="H290" s="372">
        <f>1*2*0.05*((3.64+2+45.87+6.19+3.1+0.93+3.75+18.76+16.01+4.08+4.58+42.73+9.03+3.61+12.88+11.92+40.93)+(21.8+32.35+7.64+24.1+4.49))</f>
        <v>32.039000000000001</v>
      </c>
      <c r="I290" s="379"/>
      <c r="J290" s="726"/>
    </row>
    <row r="291" spans="1:10" s="292" customFormat="1" ht="49.5">
      <c r="A291" s="310"/>
      <c r="B291" s="366"/>
      <c r="C291" s="367"/>
      <c r="D291" s="368"/>
      <c r="E291" s="368"/>
      <c r="F291" s="371" t="s">
        <v>1071</v>
      </c>
      <c r="G291" s="371" t="s">
        <v>2019</v>
      </c>
      <c r="H291" s="372">
        <f>1*2*0.05*(12.51+3.74+3.6+3.61+16.32+7.19+10.67+10.6+3.64+13.89)</f>
        <v>8.577</v>
      </c>
      <c r="I291" s="379"/>
      <c r="J291" s="726"/>
    </row>
    <row r="292" spans="1:10" s="292" customFormat="1" ht="33">
      <c r="A292" s="310"/>
      <c r="B292" s="366"/>
      <c r="C292" s="367"/>
      <c r="D292" s="368"/>
      <c r="E292" s="368"/>
      <c r="F292" s="371" t="s">
        <v>1073</v>
      </c>
      <c r="G292" s="371" t="s">
        <v>2020</v>
      </c>
      <c r="H292" s="372">
        <f>1*0.15*2*187.82</f>
        <v>56.345999999999997</v>
      </c>
      <c r="I292" s="379"/>
      <c r="J292" s="380"/>
    </row>
    <row r="293" spans="1:10" s="292" customFormat="1" ht="33">
      <c r="A293" s="378"/>
      <c r="B293" s="366"/>
      <c r="C293" s="367"/>
      <c r="D293" s="368"/>
      <c r="E293" s="368"/>
      <c r="F293" s="381" t="s">
        <v>1177</v>
      </c>
      <c r="G293" s="329" t="s">
        <v>1189</v>
      </c>
      <c r="H293" s="369">
        <f>10*1.5*2+0.8*0.2*2+1.3*0.2*2</f>
        <v>30.84</v>
      </c>
      <c r="I293" s="379"/>
      <c r="J293" s="380"/>
    </row>
    <row r="294" spans="1:10" s="292" customFormat="1" ht="49.5">
      <c r="A294" s="378"/>
      <c r="B294" s="366"/>
      <c r="C294" s="367"/>
      <c r="D294" s="368"/>
      <c r="E294" s="368"/>
      <c r="F294" s="394" t="s">
        <v>1181</v>
      </c>
      <c r="G294" s="350" t="s">
        <v>1190</v>
      </c>
      <c r="H294" s="385">
        <f>12*2+2.1*2*0.1</f>
        <v>24.42</v>
      </c>
      <c r="I294" s="379"/>
      <c r="J294" s="380"/>
    </row>
    <row r="295" spans="1:10" s="292" customFormat="1">
      <c r="A295" s="378"/>
      <c r="B295" s="366"/>
      <c r="C295" s="367"/>
      <c r="D295" s="368"/>
      <c r="E295" s="368"/>
      <c r="F295" s="388" t="s">
        <v>1191</v>
      </c>
      <c r="G295" s="350" t="s">
        <v>1192</v>
      </c>
      <c r="H295" s="389">
        <f>0.22*2*(17.76+22.18)</f>
        <v>17.573599999999999</v>
      </c>
      <c r="I295" s="379"/>
      <c r="J295" s="380"/>
    </row>
    <row r="296" spans="1:10" s="292" customFormat="1">
      <c r="A296" s="378"/>
      <c r="B296" s="366"/>
      <c r="C296" s="367"/>
      <c r="D296" s="368"/>
      <c r="E296" s="368"/>
      <c r="F296" s="388" t="s">
        <v>1185</v>
      </c>
      <c r="G296" s="350" t="s">
        <v>1193</v>
      </c>
      <c r="H296" s="389">
        <f>(0.83+0.22)*2*(17.76+22.18)</f>
        <v>83.873999999999995</v>
      </c>
      <c r="I296" s="379"/>
      <c r="J296" s="380"/>
    </row>
    <row r="297" spans="1:10" s="292" customFormat="1">
      <c r="A297" s="378"/>
      <c r="B297" s="366"/>
      <c r="C297" s="367"/>
      <c r="D297" s="368"/>
      <c r="E297" s="368"/>
      <c r="F297" s="388" t="s">
        <v>1174</v>
      </c>
      <c r="G297" s="350" t="s">
        <v>1194</v>
      </c>
      <c r="H297" s="389">
        <f>(625-280-15)*(0.25)*2</f>
        <v>165</v>
      </c>
      <c r="I297" s="379"/>
      <c r="J297" s="380"/>
    </row>
    <row r="298" spans="1:10" s="292" customFormat="1" ht="30.75" customHeight="1">
      <c r="A298" s="378"/>
      <c r="B298" s="366"/>
      <c r="C298" s="367"/>
      <c r="D298" s="368"/>
      <c r="E298" s="368"/>
      <c r="F298" s="329" t="s">
        <v>1917</v>
      </c>
      <c r="G298" s="681" t="s">
        <v>2373</v>
      </c>
      <c r="H298" s="386">
        <f>2.9*J433</f>
        <v>101.5</v>
      </c>
      <c r="I298" s="379"/>
      <c r="J298" s="380"/>
    </row>
    <row r="299" spans="1:10" customFormat="1" ht="16.5" customHeight="1">
      <c r="A299" s="378"/>
      <c r="B299" s="366"/>
      <c r="C299" s="367"/>
      <c r="D299" s="368"/>
      <c r="E299" s="368"/>
      <c r="F299" s="371" t="s">
        <v>1096</v>
      </c>
      <c r="G299" s="714" t="s">
        <v>2038</v>
      </c>
      <c r="H299" s="399">
        <f>1.4*2</f>
        <v>2.8</v>
      </c>
      <c r="I299" s="379"/>
    </row>
    <row r="300" spans="1:10" customFormat="1" ht="16.5" customHeight="1">
      <c r="A300" s="378"/>
      <c r="B300" s="366"/>
      <c r="C300" s="367"/>
      <c r="D300" s="368"/>
      <c r="E300" s="368"/>
      <c r="F300" s="371" t="s">
        <v>1098</v>
      </c>
      <c r="G300" s="714" t="s">
        <v>2039</v>
      </c>
      <c r="H300" s="399">
        <f>3*1.9</f>
        <v>5.6999999999999993</v>
      </c>
      <c r="I300" s="379"/>
    </row>
    <row r="301" spans="1:10" customFormat="1" ht="16.5" customHeight="1">
      <c r="A301" s="378"/>
      <c r="B301" s="366"/>
      <c r="C301" s="367"/>
      <c r="D301" s="368"/>
      <c r="E301" s="368"/>
      <c r="F301" s="371" t="s">
        <v>1924</v>
      </c>
      <c r="G301" s="371">
        <v>0</v>
      </c>
      <c r="H301" s="399">
        <v>0</v>
      </c>
      <c r="I301" s="379"/>
    </row>
    <row r="302" spans="1:10" customFormat="1" ht="16.5" customHeight="1">
      <c r="A302" s="378"/>
      <c r="B302" s="366"/>
      <c r="C302" s="367"/>
      <c r="D302" s="368"/>
      <c r="E302" s="368"/>
      <c r="F302" s="371" t="s">
        <v>1925</v>
      </c>
      <c r="G302" s="371">
        <v>0</v>
      </c>
      <c r="H302" s="399">
        <v>0</v>
      </c>
      <c r="I302" s="379"/>
    </row>
    <row r="303" spans="1:10" customFormat="1" ht="16.5" customHeight="1">
      <c r="A303" s="378"/>
      <c r="B303" s="366"/>
      <c r="C303" s="367"/>
      <c r="D303" s="368"/>
      <c r="E303" s="368"/>
      <c r="F303" s="371" t="s">
        <v>1102</v>
      </c>
      <c r="G303" s="350" t="s">
        <v>2368</v>
      </c>
      <c r="H303" s="386">
        <f>5.4*J456</f>
        <v>180.9</v>
      </c>
      <c r="I303" s="379"/>
    </row>
    <row r="304" spans="1:10" customFormat="1" ht="33.75" customHeight="1">
      <c r="A304" s="378"/>
      <c r="B304" s="366"/>
      <c r="C304" s="367"/>
      <c r="D304" s="368"/>
      <c r="E304" s="368"/>
      <c r="F304" s="371" t="s">
        <v>1104</v>
      </c>
      <c r="G304" s="371" t="s">
        <v>2215</v>
      </c>
      <c r="H304" s="372">
        <f>39.3*1.6</f>
        <v>62.879999999999995</v>
      </c>
      <c r="I304" s="379"/>
    </row>
    <row r="305" spans="1:9" customFormat="1" ht="38.25" customHeight="1">
      <c r="A305" s="378"/>
      <c r="B305" s="366"/>
      <c r="C305" s="367"/>
      <c r="D305" s="368"/>
      <c r="E305" s="368"/>
      <c r="F305" s="371" t="s">
        <v>1105</v>
      </c>
      <c r="G305" s="371" t="s">
        <v>2037</v>
      </c>
      <c r="H305" s="372">
        <f>32.5*0.8</f>
        <v>26</v>
      </c>
      <c r="I305" s="379"/>
    </row>
    <row r="306" spans="1:9" customFormat="1" ht="16.5" customHeight="1">
      <c r="A306" s="378"/>
      <c r="B306" s="366"/>
      <c r="C306" s="367"/>
      <c r="D306" s="368"/>
      <c r="E306" s="368"/>
      <c r="F306" s="371" t="s">
        <v>1107</v>
      </c>
      <c r="G306" s="371" t="s">
        <v>2058</v>
      </c>
      <c r="H306" s="399">
        <v>11.01</v>
      </c>
      <c r="I306" s="379"/>
    </row>
    <row r="307" spans="1:9" customFormat="1" ht="16.5" customHeight="1">
      <c r="A307" s="378"/>
      <c r="B307" s="366"/>
      <c r="C307" s="367"/>
      <c r="D307" s="368"/>
      <c r="E307" s="368"/>
      <c r="F307" s="371" t="s">
        <v>1109</v>
      </c>
      <c r="G307" s="371" t="s">
        <v>2061</v>
      </c>
      <c r="H307" s="399">
        <v>1.22</v>
      </c>
      <c r="I307" s="379"/>
    </row>
    <row r="308" spans="1:9" customFormat="1" ht="16.5" customHeight="1">
      <c r="A308" s="378"/>
      <c r="B308" s="366"/>
      <c r="C308" s="367"/>
      <c r="D308" s="368"/>
      <c r="E308" s="368"/>
      <c r="F308" s="371" t="s">
        <v>1111</v>
      </c>
      <c r="G308" s="371" t="s">
        <v>2065</v>
      </c>
      <c r="H308" s="399">
        <v>3.38</v>
      </c>
      <c r="I308" s="379"/>
    </row>
    <row r="309" spans="1:9" customFormat="1" ht="16.5" customHeight="1">
      <c r="A309" s="378"/>
      <c r="B309" s="366"/>
      <c r="C309" s="367"/>
      <c r="D309" s="368"/>
      <c r="E309" s="368"/>
      <c r="F309" s="371" t="s">
        <v>1926</v>
      </c>
      <c r="G309" s="371" t="s">
        <v>2127</v>
      </c>
      <c r="H309" s="369">
        <v>0.88</v>
      </c>
      <c r="I309" s="379"/>
    </row>
    <row r="310" spans="1:9" customFormat="1" ht="16.5" customHeight="1">
      <c r="A310" s="378"/>
      <c r="B310" s="366"/>
      <c r="C310" s="367"/>
      <c r="D310" s="368"/>
      <c r="E310" s="368"/>
      <c r="F310" s="371" t="s">
        <v>1927</v>
      </c>
      <c r="G310" s="329">
        <v>0</v>
      </c>
      <c r="H310" s="369">
        <v>0</v>
      </c>
      <c r="I310" s="379"/>
    </row>
    <row r="311" spans="1:9" customFormat="1" ht="16.5" customHeight="1">
      <c r="A311" s="378"/>
      <c r="B311" s="366"/>
      <c r="C311" s="367"/>
      <c r="D311" s="368"/>
      <c r="E311" s="368"/>
      <c r="F311" s="371" t="s">
        <v>1928</v>
      </c>
      <c r="G311" s="329" t="s">
        <v>2130</v>
      </c>
      <c r="H311" s="369">
        <v>0</v>
      </c>
      <c r="I311" s="379"/>
    </row>
    <row r="312" spans="1:9" customFormat="1" ht="16.5" customHeight="1">
      <c r="A312" s="378"/>
      <c r="B312" s="366"/>
      <c r="C312" s="367"/>
      <c r="D312" s="368"/>
      <c r="E312" s="368"/>
      <c r="F312" s="371" t="s">
        <v>1929</v>
      </c>
      <c r="G312" s="329">
        <v>0</v>
      </c>
      <c r="H312" s="369">
        <v>0</v>
      </c>
      <c r="I312" s="379"/>
    </row>
    <row r="313" spans="1:9" customFormat="1" ht="16.5" customHeight="1">
      <c r="A313" s="378"/>
      <c r="B313" s="366"/>
      <c r="C313" s="367"/>
      <c r="D313" s="368"/>
      <c r="E313" s="368"/>
      <c r="F313" s="371" t="s">
        <v>1930</v>
      </c>
      <c r="G313" s="329">
        <v>0</v>
      </c>
      <c r="H313" s="369">
        <v>0</v>
      </c>
      <c r="I313" s="379"/>
    </row>
    <row r="314" spans="1:9" customFormat="1" ht="16.5" customHeight="1">
      <c r="A314" s="378"/>
      <c r="B314" s="366"/>
      <c r="C314" s="367"/>
      <c r="D314" s="368"/>
      <c r="E314" s="368"/>
      <c r="F314" s="371" t="s">
        <v>1113</v>
      </c>
      <c r="G314" s="329" t="s">
        <v>2130</v>
      </c>
      <c r="H314" s="386">
        <v>0</v>
      </c>
      <c r="I314" s="379"/>
    </row>
    <row r="315" spans="1:9" customFormat="1" ht="16.5" customHeight="1">
      <c r="A315" s="378"/>
      <c r="B315" s="366"/>
      <c r="C315" s="367"/>
      <c r="D315" s="368"/>
      <c r="E315" s="368"/>
      <c r="F315" s="371" t="s">
        <v>1931</v>
      </c>
      <c r="G315" s="329">
        <v>0</v>
      </c>
      <c r="H315" s="369">
        <v>0</v>
      </c>
      <c r="I315" s="379"/>
    </row>
    <row r="316" spans="1:9" customFormat="1" ht="16.5" customHeight="1">
      <c r="A316" s="378"/>
      <c r="B316" s="366"/>
      <c r="C316" s="367"/>
      <c r="D316" s="368"/>
      <c r="E316" s="368"/>
      <c r="F316" s="371" t="s">
        <v>1932</v>
      </c>
      <c r="G316" s="329">
        <v>0</v>
      </c>
      <c r="H316" s="369">
        <v>0</v>
      </c>
      <c r="I316" s="379"/>
    </row>
    <row r="317" spans="1:9" customFormat="1" ht="16.5" customHeight="1">
      <c r="A317" s="378"/>
      <c r="B317" s="366"/>
      <c r="C317" s="367"/>
      <c r="D317" s="368"/>
      <c r="E317" s="368"/>
      <c r="F317" s="371" t="s">
        <v>1115</v>
      </c>
      <c r="G317" s="329" t="s">
        <v>2130</v>
      </c>
      <c r="H317" s="386">
        <v>0</v>
      </c>
      <c r="I317" s="379"/>
    </row>
    <row r="318" spans="1:9" customFormat="1" ht="16.5" customHeight="1">
      <c r="A318" s="378"/>
      <c r="B318" s="366"/>
      <c r="C318" s="367"/>
      <c r="D318" s="368"/>
      <c r="E318" s="368"/>
      <c r="F318" s="371" t="s">
        <v>2036</v>
      </c>
      <c r="G318" s="329"/>
      <c r="H318" s="369"/>
      <c r="I318" s="379"/>
    </row>
    <row r="319" spans="1:9" customFormat="1" ht="16.5" customHeight="1">
      <c r="A319" s="378"/>
      <c r="B319" s="366"/>
      <c r="C319" s="367"/>
      <c r="D319" s="368"/>
      <c r="E319" s="368"/>
      <c r="F319" s="371" t="s">
        <v>1933</v>
      </c>
      <c r="G319" s="371" t="s">
        <v>2132</v>
      </c>
      <c r="H319" s="372">
        <f>1.6*13.7</f>
        <v>21.92</v>
      </c>
      <c r="I319" s="379"/>
    </row>
    <row r="320" spans="1:9" customFormat="1" ht="16.5" customHeight="1">
      <c r="A320" s="378"/>
      <c r="B320" s="366"/>
      <c r="C320" s="367"/>
      <c r="D320" s="368"/>
      <c r="E320" s="368"/>
      <c r="F320" s="371" t="s">
        <v>2173</v>
      </c>
      <c r="G320" s="371" t="s">
        <v>2131</v>
      </c>
      <c r="H320" s="372">
        <f>2.38*17.92</f>
        <v>42.6496</v>
      </c>
      <c r="I320" s="379"/>
    </row>
    <row r="321" spans="1:14" customFormat="1" ht="16.5" customHeight="1">
      <c r="A321" s="378"/>
      <c r="B321" s="366"/>
      <c r="C321" s="367"/>
      <c r="D321" s="368"/>
      <c r="E321" s="368"/>
      <c r="F321" s="371" t="s">
        <v>1117</v>
      </c>
      <c r="G321" s="371" t="s">
        <v>2191</v>
      </c>
      <c r="H321" s="372">
        <f>(1.6+0.7)*0.55*2</f>
        <v>2.5299999999999998</v>
      </c>
      <c r="I321" s="379"/>
      <c r="L321" s="371" t="s">
        <v>1117</v>
      </c>
      <c r="M321" s="371" t="s">
        <v>2177</v>
      </c>
      <c r="N321" s="372">
        <f>1.5*0.6*0.5*1</f>
        <v>0.44999999999999996</v>
      </c>
    </row>
    <row r="322" spans="1:14" customFormat="1" ht="16.5" customHeight="1">
      <c r="A322" s="378"/>
      <c r="B322" s="366"/>
      <c r="C322" s="367"/>
      <c r="D322" s="368"/>
      <c r="E322" s="368"/>
      <c r="F322" s="371" t="s">
        <v>1119</v>
      </c>
      <c r="G322" s="371" t="s">
        <v>2196</v>
      </c>
      <c r="H322" s="372">
        <f>(1.1+0.55)*0.75*2*2</f>
        <v>4.95</v>
      </c>
      <c r="I322" s="379"/>
      <c r="L322" s="371"/>
      <c r="M322" s="371"/>
      <c r="N322" s="372"/>
    </row>
    <row r="323" spans="1:14" customFormat="1" ht="16.5" customHeight="1">
      <c r="A323" s="378"/>
      <c r="B323" s="366"/>
      <c r="C323" s="367"/>
      <c r="D323" s="368"/>
      <c r="E323" s="368"/>
      <c r="F323" s="371" t="s">
        <v>1121</v>
      </c>
      <c r="G323" s="371" t="s">
        <v>2192</v>
      </c>
      <c r="H323" s="372">
        <f>(1.1+0.55)*0.75*2</f>
        <v>2.4750000000000001</v>
      </c>
      <c r="I323" s="379"/>
      <c r="L323" s="371"/>
      <c r="M323" s="371"/>
      <c r="N323" s="372"/>
    </row>
    <row r="324" spans="1:14" customFormat="1" ht="16.5" customHeight="1">
      <c r="A324" s="378"/>
      <c r="B324" s="366"/>
      <c r="C324" s="367"/>
      <c r="D324" s="368"/>
      <c r="E324" s="368"/>
      <c r="F324" s="371" t="s">
        <v>1123</v>
      </c>
      <c r="G324" s="371" t="s">
        <v>2197</v>
      </c>
      <c r="H324" s="372">
        <f>(0.7+0.7)*0.45*2*3</f>
        <v>3.7800000000000002</v>
      </c>
      <c r="I324" s="379"/>
      <c r="L324" s="371"/>
      <c r="M324" s="371"/>
      <c r="N324" s="372"/>
    </row>
    <row r="325" spans="1:14" customFormat="1" ht="16.5" customHeight="1">
      <c r="A325" s="378"/>
      <c r="B325" s="366"/>
      <c r="C325" s="367"/>
      <c r="D325" s="368"/>
      <c r="E325" s="368"/>
      <c r="F325" s="371" t="s">
        <v>1125</v>
      </c>
      <c r="G325" s="371" t="s">
        <v>2202</v>
      </c>
      <c r="H325" s="372">
        <f>(3.1+0.6)*0.45*2*4</f>
        <v>13.32</v>
      </c>
      <c r="I325" s="379"/>
      <c r="L325" s="371"/>
      <c r="M325" s="371"/>
      <c r="N325" s="372"/>
    </row>
    <row r="326" spans="1:14" customFormat="1" ht="16.5" customHeight="1">
      <c r="A326" s="378"/>
      <c r="B326" s="366"/>
      <c r="C326" s="367"/>
      <c r="D326" s="368"/>
      <c r="E326" s="368"/>
      <c r="F326" s="371" t="s">
        <v>1127</v>
      </c>
      <c r="G326" s="371" t="s">
        <v>2199</v>
      </c>
      <c r="H326" s="372">
        <f>(0.9+0.5)*0.3*2*2</f>
        <v>1.68</v>
      </c>
      <c r="I326" s="379"/>
      <c r="L326" s="371"/>
      <c r="M326" s="371"/>
      <c r="N326" s="372"/>
    </row>
    <row r="327" spans="1:14" customFormat="1" ht="16.5" customHeight="1">
      <c r="A327" s="378"/>
      <c r="B327" s="366"/>
      <c r="C327" s="367"/>
      <c r="D327" s="368"/>
      <c r="E327" s="368"/>
      <c r="F327" s="371" t="s">
        <v>1129</v>
      </c>
      <c r="G327" s="371" t="s">
        <v>2193</v>
      </c>
      <c r="H327" s="372">
        <f>(0.9+0.5)*0.3*2</f>
        <v>0.84</v>
      </c>
      <c r="I327" s="379"/>
      <c r="L327" s="371"/>
      <c r="M327" s="371"/>
      <c r="N327" s="372"/>
    </row>
    <row r="328" spans="1:14" customFormat="1" ht="16.5" customHeight="1">
      <c r="A328" s="378"/>
      <c r="B328" s="366"/>
      <c r="C328" s="367"/>
      <c r="D328" s="368"/>
      <c r="E328" s="368"/>
      <c r="F328" s="371" t="s">
        <v>1131</v>
      </c>
      <c r="G328" s="371" t="s">
        <v>2198</v>
      </c>
      <c r="H328" s="372">
        <f>(0.9+0.5)*0.3*2*6</f>
        <v>5.04</v>
      </c>
      <c r="I328" s="379"/>
      <c r="L328" s="371"/>
      <c r="M328" s="371"/>
      <c r="N328" s="372"/>
    </row>
    <row r="329" spans="1:14" customFormat="1" ht="16.5" customHeight="1">
      <c r="A329" s="378"/>
      <c r="B329" s="366"/>
      <c r="C329" s="367"/>
      <c r="D329" s="368"/>
      <c r="E329" s="368"/>
      <c r="F329" s="371" t="s">
        <v>1133</v>
      </c>
      <c r="G329" s="371" t="s">
        <v>2199</v>
      </c>
      <c r="H329" s="372">
        <f>(0.9+0.5)*0.3*2*2</f>
        <v>1.68</v>
      </c>
      <c r="I329" s="379"/>
      <c r="L329" s="371"/>
      <c r="M329" s="371"/>
      <c r="N329" s="372"/>
    </row>
    <row r="330" spans="1:14" customFormat="1" ht="16.5" customHeight="1">
      <c r="A330" s="378"/>
      <c r="B330" s="366"/>
      <c r="C330" s="367"/>
      <c r="D330" s="368"/>
      <c r="E330" s="368"/>
      <c r="F330" s="371" t="s">
        <v>1135</v>
      </c>
      <c r="G330" s="371" t="s">
        <v>2201</v>
      </c>
      <c r="H330" s="372">
        <f>0.4*0.25*4*2</f>
        <v>0.8</v>
      </c>
      <c r="I330" s="379"/>
      <c r="L330" s="371"/>
      <c r="M330" s="371"/>
      <c r="N330" s="372"/>
    </row>
    <row r="331" spans="1:14" customFormat="1" ht="16.5" customHeight="1">
      <c r="A331" s="378"/>
      <c r="B331" s="366"/>
      <c r="C331" s="367"/>
      <c r="D331" s="368"/>
      <c r="E331" s="368"/>
      <c r="F331" s="371" t="s">
        <v>1137</v>
      </c>
      <c r="G331" s="371" t="s">
        <v>2200</v>
      </c>
      <c r="H331" s="372">
        <f>0.4*0.25*4*4</f>
        <v>1.6</v>
      </c>
      <c r="I331" s="379"/>
      <c r="L331" s="371"/>
      <c r="M331" s="371"/>
      <c r="N331" s="372"/>
    </row>
    <row r="332" spans="1:14" customFormat="1" ht="16.5" customHeight="1">
      <c r="A332" s="378"/>
      <c r="B332" s="366"/>
      <c r="C332" s="367"/>
      <c r="D332" s="368"/>
      <c r="E332" s="368"/>
      <c r="F332" s="371" t="s">
        <v>1935</v>
      </c>
      <c r="G332" s="371">
        <v>0</v>
      </c>
      <c r="H332" s="372">
        <v>0</v>
      </c>
      <c r="I332" s="379"/>
      <c r="L332" s="371"/>
      <c r="M332" s="371"/>
      <c r="N332" s="372"/>
    </row>
    <row r="333" spans="1:14" customFormat="1" ht="16.5" customHeight="1">
      <c r="A333" s="378"/>
      <c r="B333" s="366"/>
      <c r="C333" s="367"/>
      <c r="D333" s="368"/>
      <c r="E333" s="368"/>
      <c r="F333" s="371" t="s">
        <v>1139</v>
      </c>
      <c r="G333" s="371" t="s">
        <v>2194</v>
      </c>
      <c r="H333" s="372">
        <f>(6.187*0.4*2)+(10.694*0.4*2)+(1.5*0.4*6)+(3.565*0.4*6)</f>
        <v>25.660800000000002</v>
      </c>
      <c r="I333" s="379"/>
      <c r="L333" s="371"/>
      <c r="M333" s="371"/>
      <c r="N333" s="372"/>
    </row>
    <row r="334" spans="1:14" customFormat="1" ht="16.5" customHeight="1">
      <c r="A334" s="378"/>
      <c r="B334" s="366"/>
      <c r="C334" s="367"/>
      <c r="D334" s="368"/>
      <c r="E334" s="368"/>
      <c r="F334" s="371" t="s">
        <v>1141</v>
      </c>
      <c r="G334" s="371" t="s">
        <v>2195</v>
      </c>
      <c r="H334" s="372">
        <f>(0.6+0.25)*0.43*2</f>
        <v>0.73099999999999998</v>
      </c>
      <c r="I334" s="379"/>
      <c r="L334" s="371"/>
      <c r="M334" s="371"/>
      <c r="N334" s="372"/>
    </row>
    <row r="335" spans="1:14" customFormat="1" ht="16.5" customHeight="1">
      <c r="A335" s="378"/>
      <c r="B335" s="366"/>
      <c r="C335" s="367"/>
      <c r="D335" s="368"/>
      <c r="E335" s="368"/>
      <c r="F335" s="371" t="s">
        <v>1143</v>
      </c>
      <c r="G335" s="371" t="s">
        <v>2203</v>
      </c>
      <c r="H335" s="372">
        <f>((0.8*0.8*4)+(0.4*0.6*4))*62</f>
        <v>218.24000000000004</v>
      </c>
      <c r="I335" s="379"/>
      <c r="L335" s="371"/>
      <c r="M335" s="371"/>
      <c r="N335" s="372"/>
    </row>
    <row r="336" spans="1:14" customFormat="1" ht="16.5" customHeight="1">
      <c r="A336" s="378"/>
      <c r="B336" s="366"/>
      <c r="C336" s="367"/>
      <c r="D336" s="368"/>
      <c r="E336" s="368"/>
      <c r="F336" s="371" t="s">
        <v>1145</v>
      </c>
      <c r="G336" s="371" t="s">
        <v>2205</v>
      </c>
      <c r="H336" s="372">
        <f>((0.6*0.5*2)+(0.6*0.23*2))*13</f>
        <v>11.388</v>
      </c>
      <c r="I336" s="379"/>
      <c r="L336" s="371"/>
      <c r="M336" s="371"/>
      <c r="N336" s="372"/>
    </row>
    <row r="337" spans="1:14" customFormat="1" ht="16.5" customHeight="1">
      <c r="A337" s="378"/>
      <c r="B337" s="366"/>
      <c r="C337" s="367"/>
      <c r="D337" s="368"/>
      <c r="E337" s="368"/>
      <c r="F337" s="371" t="s">
        <v>1147</v>
      </c>
      <c r="G337" s="371" t="s">
        <v>2206</v>
      </c>
      <c r="H337" s="372">
        <f>((0.6*0.5*2)+(0.6*0.23*2))*41.7</f>
        <v>36.529200000000003</v>
      </c>
      <c r="I337" s="379"/>
      <c r="L337" s="371"/>
      <c r="M337" s="371"/>
      <c r="N337" s="372"/>
    </row>
    <row r="338" spans="1:14" customFormat="1" ht="16.5" customHeight="1">
      <c r="A338" s="378"/>
      <c r="B338" s="366"/>
      <c r="C338" s="367"/>
      <c r="D338" s="368"/>
      <c r="E338" s="368"/>
      <c r="F338" s="371" t="s">
        <v>1149</v>
      </c>
      <c r="G338" s="371" t="s">
        <v>2204</v>
      </c>
      <c r="H338" s="372">
        <f>((0.405*0.382*2)+(0.405*0.175*2))*1.3</f>
        <v>0.58652100000000007</v>
      </c>
      <c r="I338" s="379"/>
      <c r="L338" s="371"/>
      <c r="M338" s="371"/>
      <c r="N338" s="372"/>
    </row>
    <row r="339" spans="1:14" customFormat="1" ht="16.5" customHeight="1">
      <c r="A339" s="378"/>
      <c r="B339" s="366"/>
      <c r="C339" s="367"/>
      <c r="D339" s="368"/>
      <c r="E339" s="368"/>
      <c r="F339" s="371" t="s">
        <v>1168</v>
      </c>
      <c r="G339" s="371" t="s">
        <v>2207</v>
      </c>
      <c r="H339" s="372">
        <f>1*0.07*2*275.6</f>
        <v>38.58400000000001</v>
      </c>
      <c r="I339" s="379"/>
      <c r="L339" s="371"/>
      <c r="M339" s="371"/>
      <c r="N339" s="372"/>
    </row>
    <row r="340" spans="1:14" s="292" customFormat="1">
      <c r="A340" s="378"/>
      <c r="B340" s="366"/>
      <c r="C340" s="367"/>
      <c r="D340" s="368"/>
      <c r="E340" s="368"/>
      <c r="F340" s="329"/>
      <c r="G340" s="329"/>
      <c r="H340" s="369"/>
      <c r="I340" s="379"/>
      <c r="J340" s="380"/>
    </row>
    <row r="341" spans="1:14" s="292" customFormat="1">
      <c r="A341" s="378"/>
      <c r="B341" s="366"/>
      <c r="C341" s="367"/>
      <c r="D341" s="368"/>
      <c r="E341" s="368"/>
      <c r="F341" s="381"/>
      <c r="G341" s="329"/>
      <c r="H341" s="369"/>
      <c r="I341" s="379"/>
      <c r="J341" s="380"/>
    </row>
    <row r="342" spans="1:14" s="292" customFormat="1">
      <c r="A342" s="310" t="s">
        <v>1195</v>
      </c>
      <c r="B342" s="366" t="s">
        <v>107</v>
      </c>
      <c r="C342" s="367" t="s">
        <v>52</v>
      </c>
      <c r="D342" s="368">
        <v>1362.2</v>
      </c>
      <c r="E342" s="368"/>
      <c r="F342" s="395">
        <v>0</v>
      </c>
      <c r="G342" s="396">
        <v>0</v>
      </c>
      <c r="H342" s="397">
        <v>0</v>
      </c>
      <c r="I342" s="379"/>
      <c r="J342" s="679">
        <f>SUM(H342:H352)</f>
        <v>1452.3254000000002</v>
      </c>
    </row>
    <row r="343" spans="1:14" s="292" customFormat="1" ht="33">
      <c r="A343" s="310"/>
      <c r="B343" s="366"/>
      <c r="C343" s="367"/>
      <c r="D343" s="368"/>
      <c r="E343" s="368"/>
      <c r="F343" s="371" t="s">
        <v>1080</v>
      </c>
      <c r="G343" s="371" t="s">
        <v>2029</v>
      </c>
      <c r="H343" s="372">
        <f>347.93*2.18</f>
        <v>758.48740000000009</v>
      </c>
      <c r="I343" s="379"/>
      <c r="J343" s="380"/>
    </row>
    <row r="344" spans="1:14" customFormat="1" ht="33" customHeight="1">
      <c r="A344" s="378"/>
      <c r="B344" s="366"/>
      <c r="C344" s="367"/>
      <c r="D344" s="368"/>
      <c r="E344" s="368"/>
      <c r="F344" s="371" t="s">
        <v>1082</v>
      </c>
      <c r="G344" s="371" t="s">
        <v>2030</v>
      </c>
      <c r="H344" s="372">
        <f>44.7*2.22</f>
        <v>99.234000000000009</v>
      </c>
      <c r="I344" s="379"/>
    </row>
    <row r="345" spans="1:14" customFormat="1" ht="33" customHeight="1">
      <c r="A345" s="378"/>
      <c r="B345" s="366"/>
      <c r="C345" s="367"/>
      <c r="D345" s="368"/>
      <c r="E345" s="368"/>
      <c r="F345" s="371" t="s">
        <v>1084</v>
      </c>
      <c r="G345" s="371" t="s">
        <v>2022</v>
      </c>
      <c r="H345" s="372">
        <f>31*1.82</f>
        <v>56.42</v>
      </c>
      <c r="I345" s="379"/>
    </row>
    <row r="346" spans="1:14" customFormat="1" ht="33" customHeight="1">
      <c r="A346" s="378"/>
      <c r="B346" s="366"/>
      <c r="C346" s="367"/>
      <c r="D346" s="368"/>
      <c r="E346" s="368"/>
      <c r="F346" s="371" t="s">
        <v>1086</v>
      </c>
      <c r="G346" s="371" t="s">
        <v>2023</v>
      </c>
      <c r="H346" s="372">
        <f>18.1*3.68</f>
        <v>66.608000000000004</v>
      </c>
      <c r="I346" s="379"/>
    </row>
    <row r="347" spans="1:14" customFormat="1" ht="33" customHeight="1">
      <c r="A347" s="378"/>
      <c r="B347" s="366"/>
      <c r="C347" s="367"/>
      <c r="D347" s="368"/>
      <c r="E347" s="368"/>
      <c r="F347" s="371" t="s">
        <v>1088</v>
      </c>
      <c r="G347" s="371" t="s">
        <v>2024</v>
      </c>
      <c r="H347" s="372">
        <f>180.4*2</f>
        <v>360.8</v>
      </c>
      <c r="I347" s="379"/>
    </row>
    <row r="348" spans="1:14" customFormat="1" ht="33" customHeight="1">
      <c r="A348" s="378"/>
      <c r="B348" s="366"/>
      <c r="C348" s="367"/>
      <c r="D348" s="368"/>
      <c r="E348" s="368"/>
      <c r="F348" s="371" t="s">
        <v>1090</v>
      </c>
      <c r="G348" s="371" t="s">
        <v>2025</v>
      </c>
      <c r="H348" s="372">
        <f>25.6*1.5</f>
        <v>38.400000000000006</v>
      </c>
      <c r="I348" s="379"/>
    </row>
    <row r="349" spans="1:14" customFormat="1" ht="33" customHeight="1">
      <c r="A349" s="378"/>
      <c r="B349" s="366"/>
      <c r="C349" s="367"/>
      <c r="D349" s="368"/>
      <c r="E349" s="368"/>
      <c r="F349" s="371" t="s">
        <v>1092</v>
      </c>
      <c r="G349" s="371" t="s">
        <v>2027</v>
      </c>
      <c r="H349" s="372">
        <f>7*3.64</f>
        <v>25.48</v>
      </c>
      <c r="I349" s="379"/>
    </row>
    <row r="350" spans="1:14" customFormat="1" ht="33" customHeight="1">
      <c r="A350" s="378"/>
      <c r="B350" s="366"/>
      <c r="C350" s="367"/>
      <c r="D350" s="368"/>
      <c r="E350" s="368"/>
      <c r="F350" s="371" t="s">
        <v>1094</v>
      </c>
      <c r="G350" s="371" t="s">
        <v>2028</v>
      </c>
      <c r="H350" s="372">
        <f>7.8*2.32</f>
        <v>18.096</v>
      </c>
      <c r="I350" s="379"/>
    </row>
    <row r="351" spans="1:14" customFormat="1" ht="33" customHeight="1">
      <c r="A351" s="378"/>
      <c r="B351" s="366"/>
      <c r="C351" s="367"/>
      <c r="D351" s="368"/>
      <c r="E351" s="368"/>
      <c r="F351" s="371" t="s">
        <v>1100</v>
      </c>
      <c r="G351" s="371" t="s">
        <v>2026</v>
      </c>
      <c r="H351" s="372">
        <f>18*1.6</f>
        <v>28.8</v>
      </c>
      <c r="I351" s="379"/>
    </row>
    <row r="352" spans="1:14" s="292" customFormat="1">
      <c r="A352" s="310"/>
      <c r="B352" s="366"/>
      <c r="C352" s="367"/>
      <c r="D352" s="368"/>
      <c r="E352" s="368"/>
      <c r="F352" s="381"/>
      <c r="G352" s="329"/>
      <c r="H352" s="369"/>
      <c r="I352" s="379"/>
      <c r="J352" s="380"/>
    </row>
    <row r="353" spans="1:10" s="292" customFormat="1">
      <c r="A353" s="378" t="s">
        <v>1196</v>
      </c>
      <c r="B353" s="366" t="s">
        <v>109</v>
      </c>
      <c r="C353" s="367" t="s">
        <v>101</v>
      </c>
      <c r="D353" s="368">
        <v>4781.5600000000004</v>
      </c>
      <c r="E353" s="368"/>
      <c r="F353" s="395">
        <v>0</v>
      </c>
      <c r="G353" s="396">
        <v>0</v>
      </c>
      <c r="H353" s="397">
        <v>0</v>
      </c>
      <c r="I353" s="379"/>
      <c r="J353" s="679">
        <f>SUM(H353:H356)</f>
        <v>6327.4900000000007</v>
      </c>
    </row>
    <row r="354" spans="1:10" s="292" customFormat="1">
      <c r="A354" s="378"/>
      <c r="B354" s="366"/>
      <c r="C354" s="367"/>
      <c r="D354" s="368"/>
      <c r="E354" s="774"/>
      <c r="F354" s="729" t="s">
        <v>183</v>
      </c>
      <c r="G354" s="680" t="s">
        <v>1198</v>
      </c>
      <c r="H354" s="763">
        <f>J493*24.1</f>
        <v>959.18</v>
      </c>
      <c r="I354" s="722"/>
      <c r="J354" s="380"/>
    </row>
    <row r="355" spans="1:10" s="292" customFormat="1">
      <c r="A355" s="378"/>
      <c r="B355" s="366"/>
      <c r="C355" s="367"/>
      <c r="D355" s="368"/>
      <c r="E355" s="774"/>
      <c r="F355" s="729" t="s">
        <v>185</v>
      </c>
      <c r="G355" s="680" t="s">
        <v>1199</v>
      </c>
      <c r="H355" s="763">
        <f>J496*45.1</f>
        <v>4785.1100000000006</v>
      </c>
      <c r="I355" s="722"/>
      <c r="J355" s="380"/>
    </row>
    <row r="356" spans="1:10" s="292" customFormat="1">
      <c r="A356" s="378"/>
      <c r="B356" s="366"/>
      <c r="C356" s="367"/>
      <c r="D356" s="368"/>
      <c r="E356" s="774"/>
      <c r="F356" s="729" t="s">
        <v>187</v>
      </c>
      <c r="G356" s="680" t="s">
        <v>1200</v>
      </c>
      <c r="H356" s="763">
        <f>J503*43.2</f>
        <v>583.20000000000005</v>
      </c>
      <c r="I356" s="722"/>
      <c r="J356" s="380"/>
    </row>
    <row r="357" spans="1:10" s="292" customFormat="1">
      <c r="A357" s="378"/>
      <c r="B357" s="366"/>
      <c r="C357" s="367"/>
      <c r="D357" s="368"/>
      <c r="E357" s="774"/>
      <c r="F357" s="729"/>
      <c r="G357" s="680"/>
      <c r="H357" s="763"/>
      <c r="I357" s="722"/>
      <c r="J357" s="380"/>
    </row>
    <row r="358" spans="1:10" s="292" customFormat="1" ht="33">
      <c r="A358" s="310" t="s">
        <v>1201</v>
      </c>
      <c r="B358" s="366" t="s">
        <v>111</v>
      </c>
      <c r="C358" s="367" t="s">
        <v>101</v>
      </c>
      <c r="D358" s="368">
        <v>4781.5600000000004</v>
      </c>
      <c r="E358" s="368"/>
      <c r="F358" s="395">
        <v>0</v>
      </c>
      <c r="G358" s="396">
        <v>0</v>
      </c>
      <c r="H358" s="397">
        <v>0</v>
      </c>
      <c r="I358" s="379"/>
      <c r="J358" s="679">
        <f>SUM(H358:H361)</f>
        <v>6327.4900000000007</v>
      </c>
    </row>
    <row r="359" spans="1:10" s="292" customFormat="1">
      <c r="A359" s="310"/>
      <c r="B359" s="366"/>
      <c r="C359" s="367"/>
      <c r="D359" s="368"/>
      <c r="E359" s="368"/>
      <c r="F359" s="381" t="s">
        <v>183</v>
      </c>
      <c r="G359" s="329" t="s">
        <v>2370</v>
      </c>
      <c r="H359" s="369">
        <f>J493*24.1</f>
        <v>959.18</v>
      </c>
      <c r="I359" s="379"/>
      <c r="J359" s="380"/>
    </row>
    <row r="360" spans="1:10" s="292" customFormat="1">
      <c r="A360" s="310"/>
      <c r="B360" s="366"/>
      <c r="C360" s="367"/>
      <c r="D360" s="368"/>
      <c r="E360" s="368"/>
      <c r="F360" s="381" t="s">
        <v>185</v>
      </c>
      <c r="G360" s="329" t="s">
        <v>2371</v>
      </c>
      <c r="H360" s="369">
        <f>J496*45.1</f>
        <v>4785.1100000000006</v>
      </c>
      <c r="I360" s="379"/>
      <c r="J360" s="380"/>
    </row>
    <row r="361" spans="1:10" s="292" customFormat="1">
      <c r="A361" s="310"/>
      <c r="B361" s="366"/>
      <c r="C361" s="367"/>
      <c r="D361" s="368"/>
      <c r="E361" s="368"/>
      <c r="F361" s="381" t="s">
        <v>187</v>
      </c>
      <c r="G361" s="329" t="s">
        <v>2372</v>
      </c>
      <c r="H361" s="369">
        <f>J503*43.2</f>
        <v>583.20000000000005</v>
      </c>
      <c r="I361" s="379"/>
      <c r="J361" s="380"/>
    </row>
    <row r="362" spans="1:10" s="292" customFormat="1">
      <c r="A362" s="310"/>
      <c r="B362" s="366"/>
      <c r="C362" s="367"/>
      <c r="D362" s="368"/>
      <c r="E362" s="368"/>
      <c r="F362" s="381"/>
      <c r="G362" s="329"/>
      <c r="H362" s="369"/>
      <c r="I362" s="379"/>
      <c r="J362" s="380"/>
    </row>
    <row r="363" spans="1:10" s="292" customFormat="1" ht="82.5">
      <c r="A363" s="378" t="s">
        <v>1202</v>
      </c>
      <c r="B363" s="366" t="s">
        <v>112</v>
      </c>
      <c r="C363" s="367" t="s">
        <v>101</v>
      </c>
      <c r="D363" s="368">
        <v>2300.86</v>
      </c>
      <c r="E363" s="368"/>
      <c r="F363" s="371" t="s">
        <v>1991</v>
      </c>
      <c r="G363" s="371" t="s">
        <v>2208</v>
      </c>
      <c r="H363" s="372">
        <f>(14.49+10)*23.6*1.05</f>
        <v>606.86220000000003</v>
      </c>
      <c r="I363" s="379"/>
      <c r="J363" s="679">
        <f>SUM(H363:H366)</f>
        <v>2300.8638450000003</v>
      </c>
    </row>
    <row r="364" spans="1:10" s="292" customFormat="1">
      <c r="A364" s="378"/>
      <c r="B364" s="366"/>
      <c r="C364" s="367"/>
      <c r="D364" s="368"/>
      <c r="E364" s="368"/>
      <c r="F364" s="371" t="s">
        <v>1991</v>
      </c>
      <c r="G364" s="371" t="s">
        <v>2209</v>
      </c>
      <c r="H364" s="372">
        <f>7.245*5*5.78*1.05</f>
        <v>219.84952500000003</v>
      </c>
      <c r="I364" s="379"/>
      <c r="J364" s="380"/>
    </row>
    <row r="365" spans="1:10" s="292" customFormat="1">
      <c r="A365" s="378"/>
      <c r="B365" s="366"/>
      <c r="C365" s="367"/>
      <c r="D365" s="368"/>
      <c r="E365" s="368"/>
      <c r="F365" s="371" t="s">
        <v>1992</v>
      </c>
      <c r="G365" s="371" t="s">
        <v>2210</v>
      </c>
      <c r="H365" s="372">
        <f>((13.704*2)+(1.7*9))*23.6*1.05</f>
        <v>1058.3042400000002</v>
      </c>
      <c r="I365" s="379"/>
      <c r="J365" s="380"/>
    </row>
    <row r="366" spans="1:10" s="292" customFormat="1">
      <c r="A366" s="378"/>
      <c r="B366" s="366"/>
      <c r="C366" s="367"/>
      <c r="D366" s="368"/>
      <c r="E366" s="368"/>
      <c r="F366" s="371" t="s">
        <v>1992</v>
      </c>
      <c r="G366" s="371" t="s">
        <v>2211</v>
      </c>
      <c r="H366" s="372">
        <f>13.704*5*5.78*1.05</f>
        <v>415.84788000000009</v>
      </c>
      <c r="I366" s="379"/>
      <c r="J366" s="380"/>
    </row>
    <row r="367" spans="1:10" s="292" customFormat="1">
      <c r="A367" s="378"/>
      <c r="B367" s="366"/>
      <c r="C367" s="367"/>
      <c r="D367" s="368"/>
      <c r="E367" s="368"/>
      <c r="F367" s="381"/>
      <c r="G367" s="329"/>
      <c r="H367" s="369"/>
      <c r="I367" s="379"/>
      <c r="J367" s="380"/>
    </row>
    <row r="368" spans="1:10" s="292" customFormat="1" ht="82.5">
      <c r="A368" s="310" t="s">
        <v>1203</v>
      </c>
      <c r="B368" s="366" t="s">
        <v>113</v>
      </c>
      <c r="C368" s="367" t="s">
        <v>52</v>
      </c>
      <c r="D368" s="368">
        <v>5207.01</v>
      </c>
      <c r="E368" s="368"/>
      <c r="F368" s="713" t="s">
        <v>1979</v>
      </c>
      <c r="G368" s="714" t="s">
        <v>1988</v>
      </c>
      <c r="H368" s="399">
        <f>ROUND(H196/0.15/0.5,2)</f>
        <v>1561.33</v>
      </c>
      <c r="I368" s="379"/>
      <c r="J368" s="679">
        <f>SUM(H368:H372)</f>
        <v>4441.0600000000004</v>
      </c>
    </row>
    <row r="369" spans="1:10" s="292" customFormat="1" ht="82.5">
      <c r="A369" s="310"/>
      <c r="B369" s="366"/>
      <c r="C369" s="367"/>
      <c r="D369" s="368"/>
      <c r="E369" s="368"/>
      <c r="F369" s="713" t="s">
        <v>1980</v>
      </c>
      <c r="G369" s="714" t="s">
        <v>1986</v>
      </c>
      <c r="H369" s="399">
        <f>ROUND(H197/0.15/0.5,2)</f>
        <v>977.87</v>
      </c>
      <c r="I369" s="379"/>
      <c r="J369" s="380"/>
    </row>
    <row r="370" spans="1:10" s="292" customFormat="1" ht="66">
      <c r="A370" s="310"/>
      <c r="B370" s="366"/>
      <c r="C370" s="367"/>
      <c r="D370" s="368"/>
      <c r="E370" s="368"/>
      <c r="F370" s="713" t="s">
        <v>1981</v>
      </c>
      <c r="G370" s="714" t="s">
        <v>1984</v>
      </c>
      <c r="H370" s="399">
        <f>ROUND(H198/0.15/0.5,2)</f>
        <v>1213.47</v>
      </c>
      <c r="I370" s="379"/>
      <c r="J370" s="380"/>
    </row>
    <row r="371" spans="1:10" s="292" customFormat="1" ht="66">
      <c r="A371" s="310"/>
      <c r="B371" s="366"/>
      <c r="C371" s="367"/>
      <c r="D371" s="368"/>
      <c r="E371" s="368"/>
      <c r="F371" s="713" t="s">
        <v>2124</v>
      </c>
      <c r="G371" s="714" t="s">
        <v>2120</v>
      </c>
      <c r="H371" s="715">
        <f>H201/0.15/0.5</f>
        <v>480.26000000000005</v>
      </c>
      <c r="I371" s="379"/>
      <c r="J371" s="380"/>
    </row>
    <row r="372" spans="1:10" s="292" customFormat="1" ht="33">
      <c r="A372" s="310"/>
      <c r="B372" s="366"/>
      <c r="C372" s="367"/>
      <c r="D372" s="368"/>
      <c r="E372" s="368"/>
      <c r="F372" s="713" t="s">
        <v>2125</v>
      </c>
      <c r="G372" s="714" t="s">
        <v>1985</v>
      </c>
      <c r="H372" s="399">
        <f>ROUND(H202/0.15/0.5,2)</f>
        <v>208.13</v>
      </c>
      <c r="I372" s="379"/>
      <c r="J372" s="380"/>
    </row>
    <row r="373" spans="1:10" s="292" customFormat="1">
      <c r="A373" s="310"/>
      <c r="B373" s="366"/>
      <c r="C373" s="367"/>
      <c r="D373" s="368"/>
      <c r="E373" s="368"/>
      <c r="F373" s="713"/>
      <c r="G373" s="714"/>
      <c r="H373" s="399"/>
      <c r="I373" s="379"/>
      <c r="J373" s="380"/>
    </row>
    <row r="374" spans="1:10" s="292" customFormat="1" ht="33">
      <c r="A374" s="378" t="s">
        <v>1204</v>
      </c>
      <c r="B374" s="366" t="s">
        <v>114</v>
      </c>
      <c r="C374" s="367" t="s">
        <v>52</v>
      </c>
      <c r="D374" s="368">
        <v>693.8</v>
      </c>
      <c r="E374" s="368"/>
      <c r="F374" s="713" t="s">
        <v>2222</v>
      </c>
      <c r="G374" s="714" t="s">
        <v>2223</v>
      </c>
      <c r="H374" s="399">
        <f>349.2+344.5</f>
        <v>693.7</v>
      </c>
      <c r="I374" s="379"/>
      <c r="J374" s="679">
        <f>SUM(H374:H375)</f>
        <v>693.7</v>
      </c>
    </row>
    <row r="375" spans="1:10" s="292" customFormat="1">
      <c r="A375" s="378"/>
      <c r="B375" s="366"/>
      <c r="C375" s="367"/>
      <c r="D375" s="368"/>
      <c r="E375" s="368"/>
      <c r="F375" s="381"/>
      <c r="G375" s="329"/>
      <c r="H375" s="369"/>
      <c r="I375" s="379"/>
      <c r="J375" s="380"/>
    </row>
    <row r="376" spans="1:10" s="292" customFormat="1">
      <c r="A376" s="310" t="s">
        <v>1205</v>
      </c>
      <c r="B376" s="366" t="s">
        <v>115</v>
      </c>
      <c r="C376" s="367" t="s">
        <v>52</v>
      </c>
      <c r="D376" s="368">
        <v>375.23</v>
      </c>
      <c r="E376" s="368"/>
      <c r="F376" s="371" t="s">
        <v>1965</v>
      </c>
      <c r="G376" s="371">
        <v>369</v>
      </c>
      <c r="H376" s="372">
        <f>G376</f>
        <v>369</v>
      </c>
      <c r="I376" s="379"/>
      <c r="J376" s="679">
        <f>SUM(H376:H376)</f>
        <v>369</v>
      </c>
    </row>
    <row r="377" spans="1:10" s="292" customFormat="1">
      <c r="A377" s="310"/>
      <c r="B377" s="366"/>
      <c r="C377" s="367"/>
      <c r="D377" s="368"/>
      <c r="E377" s="368"/>
      <c r="F377" s="381"/>
      <c r="G377" s="329"/>
      <c r="H377" s="369"/>
      <c r="I377" s="379"/>
      <c r="J377" s="380"/>
    </row>
    <row r="378" spans="1:10" s="292" customFormat="1">
      <c r="A378" s="378" t="s">
        <v>1206</v>
      </c>
      <c r="B378" s="366" t="s">
        <v>116</v>
      </c>
      <c r="C378" s="367" t="s">
        <v>52</v>
      </c>
      <c r="D378" s="368">
        <v>34.799999999999997</v>
      </c>
      <c r="E378" s="368"/>
      <c r="F378" s="370" t="s">
        <v>2226</v>
      </c>
      <c r="G378" s="371" t="s">
        <v>2225</v>
      </c>
      <c r="H378" s="399">
        <v>16.850000000000001</v>
      </c>
      <c r="I378" s="379"/>
      <c r="J378" s="679">
        <f>SUM(H378:H380)</f>
        <v>33.540000000000006</v>
      </c>
    </row>
    <row r="379" spans="1:10" s="292" customFormat="1">
      <c r="A379" s="378"/>
      <c r="B379" s="366"/>
      <c r="C379" s="367"/>
      <c r="D379" s="368"/>
      <c r="E379" s="368"/>
      <c r="F379" s="370"/>
      <c r="G379" s="371" t="s">
        <v>2224</v>
      </c>
      <c r="H379" s="399">
        <v>16.690000000000001</v>
      </c>
      <c r="I379" s="379"/>
      <c r="J379" s="380"/>
    </row>
    <row r="380" spans="1:10" s="292" customFormat="1">
      <c r="A380" s="378"/>
      <c r="B380" s="366"/>
      <c r="C380" s="367"/>
      <c r="D380" s="368"/>
      <c r="E380" s="368"/>
      <c r="F380" s="370"/>
      <c r="G380" s="371"/>
      <c r="H380" s="399"/>
      <c r="I380" s="379"/>
      <c r="J380" s="380"/>
    </row>
    <row r="381" spans="1:10" s="292" customFormat="1">
      <c r="A381" s="310" t="s">
        <v>1207</v>
      </c>
      <c r="B381" s="366" t="s">
        <v>117</v>
      </c>
      <c r="C381" s="367" t="s">
        <v>52</v>
      </c>
      <c r="D381" s="368">
        <v>11.98</v>
      </c>
      <c r="E381" s="368"/>
      <c r="F381" s="370" t="s">
        <v>2227</v>
      </c>
      <c r="G381" s="371">
        <v>11.98</v>
      </c>
      <c r="H381" s="399">
        <v>11.98</v>
      </c>
      <c r="I381" s="379"/>
      <c r="J381" s="679">
        <f>SUM(H381:H382)</f>
        <v>11.98</v>
      </c>
    </row>
    <row r="382" spans="1:10" s="292" customFormat="1">
      <c r="A382" s="310"/>
      <c r="B382" s="366"/>
      <c r="C382" s="367"/>
      <c r="D382" s="368"/>
      <c r="E382" s="368"/>
      <c r="F382" s="766"/>
      <c r="G382" s="766"/>
      <c r="H382" s="399"/>
      <c r="I382" s="379"/>
      <c r="J382" s="380"/>
    </row>
    <row r="383" spans="1:10" s="292" customFormat="1" ht="33">
      <c r="A383" s="378" t="s">
        <v>1208</v>
      </c>
      <c r="B383" s="366" t="s">
        <v>118</v>
      </c>
      <c r="C383" s="367" t="s">
        <v>52</v>
      </c>
      <c r="D383" s="368">
        <v>141.26</v>
      </c>
      <c r="E383" s="368"/>
      <c r="F383" s="381" t="s">
        <v>2229</v>
      </c>
      <c r="G383" s="329" t="s">
        <v>2228</v>
      </c>
      <c r="H383" s="369">
        <f>22.86+45.81+16.47+4.32+8.87+42.93</f>
        <v>141.26000000000002</v>
      </c>
      <c r="I383" s="379"/>
      <c r="J383" s="679">
        <f>SUM(H383:H385)</f>
        <v>142.26000000000002</v>
      </c>
    </row>
    <row r="384" spans="1:10" s="292" customFormat="1">
      <c r="A384" s="378"/>
      <c r="B384" s="366"/>
      <c r="C384" s="367"/>
      <c r="D384" s="368"/>
      <c r="E384" s="368"/>
      <c r="F384" s="381"/>
      <c r="G384" s="329"/>
      <c r="H384" s="369"/>
      <c r="I384" s="379"/>
      <c r="J384" s="380"/>
    </row>
    <row r="385" spans="1:10" s="292" customFormat="1">
      <c r="A385" s="310" t="s">
        <v>1209</v>
      </c>
      <c r="B385" s="366" t="s">
        <v>119</v>
      </c>
      <c r="C385" s="367" t="s">
        <v>78</v>
      </c>
      <c r="D385" s="368">
        <v>1</v>
      </c>
      <c r="E385" s="368"/>
      <c r="F385" s="381"/>
      <c r="G385" s="329">
        <v>1</v>
      </c>
      <c r="H385" s="369">
        <v>1</v>
      </c>
      <c r="I385" s="379"/>
      <c r="J385" s="679">
        <f>SUM(H385:H386)</f>
        <v>1</v>
      </c>
    </row>
    <row r="386" spans="1:10" s="292" customFormat="1">
      <c r="A386" s="310"/>
      <c r="B386" s="366"/>
      <c r="C386" s="367"/>
      <c r="D386" s="368"/>
      <c r="E386" s="368"/>
      <c r="F386" s="381"/>
      <c r="G386" s="329"/>
      <c r="H386" s="369"/>
      <c r="I386" s="379"/>
      <c r="J386" s="380"/>
    </row>
    <row r="387" spans="1:10" s="292" customFormat="1">
      <c r="A387" s="378" t="s">
        <v>1210</v>
      </c>
      <c r="B387" s="366" t="s">
        <v>120</v>
      </c>
      <c r="C387" s="367" t="s">
        <v>78</v>
      </c>
      <c r="D387" s="368">
        <v>1</v>
      </c>
      <c r="E387" s="368"/>
      <c r="F387" s="381"/>
      <c r="G387" s="329">
        <v>1</v>
      </c>
      <c r="H387" s="369">
        <v>1</v>
      </c>
      <c r="I387" s="379"/>
      <c r="J387" s="679">
        <f>SUM(H387:H388)</f>
        <v>1</v>
      </c>
    </row>
    <row r="388" spans="1:10" s="292" customFormat="1">
      <c r="A388" s="378"/>
      <c r="B388" s="366"/>
      <c r="C388" s="367"/>
      <c r="D388" s="368"/>
      <c r="E388" s="368"/>
      <c r="F388" s="381"/>
      <c r="G388" s="329"/>
      <c r="H388" s="369"/>
      <c r="I388" s="379"/>
      <c r="J388" s="380"/>
    </row>
    <row r="389" spans="1:10" s="292" customFormat="1">
      <c r="A389" s="310" t="s">
        <v>1211</v>
      </c>
      <c r="B389" s="366" t="s">
        <v>121</v>
      </c>
      <c r="C389" s="367" t="s">
        <v>78</v>
      </c>
      <c r="D389" s="368">
        <v>1</v>
      </c>
      <c r="E389" s="368"/>
      <c r="F389" s="381"/>
      <c r="G389" s="329">
        <v>1</v>
      </c>
      <c r="H389" s="369">
        <v>1</v>
      </c>
      <c r="I389" s="379"/>
      <c r="J389" s="679">
        <f>SUM(H389:H390)</f>
        <v>1</v>
      </c>
    </row>
    <row r="390" spans="1:10" s="292" customFormat="1">
      <c r="A390" s="310"/>
      <c r="B390" s="366"/>
      <c r="C390" s="367"/>
      <c r="D390" s="368"/>
      <c r="E390" s="368"/>
      <c r="F390" s="381"/>
      <c r="G390" s="329"/>
      <c r="H390" s="369"/>
      <c r="I390" s="379"/>
      <c r="J390" s="380"/>
    </row>
    <row r="391" spans="1:10" s="292" customFormat="1">
      <c r="A391" s="378" t="s">
        <v>1212</v>
      </c>
      <c r="B391" s="366" t="s">
        <v>122</v>
      </c>
      <c r="C391" s="367" t="s">
        <v>123</v>
      </c>
      <c r="D391" s="368">
        <v>19</v>
      </c>
      <c r="E391" s="368"/>
      <c r="F391" s="371" t="s">
        <v>1063</v>
      </c>
      <c r="G391" s="371" t="s">
        <v>2230</v>
      </c>
      <c r="H391" s="372">
        <v>19</v>
      </c>
      <c r="I391" s="379"/>
      <c r="J391" s="679">
        <f>SUM(H391:H392)</f>
        <v>19</v>
      </c>
    </row>
    <row r="392" spans="1:10" s="292" customFormat="1">
      <c r="A392" s="378"/>
      <c r="B392" s="366"/>
      <c r="C392" s="367"/>
      <c r="D392" s="368"/>
      <c r="E392" s="368"/>
      <c r="F392" s="381"/>
      <c r="G392" s="329"/>
      <c r="H392" s="369"/>
      <c r="I392" s="379"/>
      <c r="J392" s="380"/>
    </row>
    <row r="393" spans="1:10" s="292" customFormat="1">
      <c r="A393" s="310" t="s">
        <v>1213</v>
      </c>
      <c r="B393" s="366" t="s">
        <v>124</v>
      </c>
      <c r="C393" s="367" t="s">
        <v>98</v>
      </c>
      <c r="D393" s="368">
        <v>179.11</v>
      </c>
      <c r="E393" s="368"/>
      <c r="F393" s="370" t="s">
        <v>2231</v>
      </c>
      <c r="G393" s="371">
        <v>97.98</v>
      </c>
      <c r="H393" s="399">
        <f>G393</f>
        <v>97.98</v>
      </c>
      <c r="I393" s="526"/>
      <c r="J393" s="679">
        <f>SUM(H393:H395)</f>
        <v>179.1</v>
      </c>
    </row>
    <row r="394" spans="1:10" s="292" customFormat="1">
      <c r="A394" s="310"/>
      <c r="B394" s="366"/>
      <c r="C394" s="367"/>
      <c r="D394" s="368"/>
      <c r="E394" s="368"/>
      <c r="F394" s="370" t="s">
        <v>2232</v>
      </c>
      <c r="G394" s="371">
        <v>69.8</v>
      </c>
      <c r="H394" s="399">
        <f>G394</f>
        <v>69.8</v>
      </c>
      <c r="I394" s="526"/>
      <c r="J394" s="380"/>
    </row>
    <row r="395" spans="1:10" s="292" customFormat="1">
      <c r="A395" s="310"/>
      <c r="B395" s="366"/>
      <c r="C395" s="367"/>
      <c r="D395" s="368"/>
      <c r="E395" s="368"/>
      <c r="F395" s="370" t="s">
        <v>2233</v>
      </c>
      <c r="G395" s="371">
        <v>11.32</v>
      </c>
      <c r="H395" s="399">
        <v>11.32</v>
      </c>
      <c r="I395" s="526"/>
      <c r="J395" s="380"/>
    </row>
    <row r="396" spans="1:10" s="292" customFormat="1">
      <c r="A396" s="310"/>
      <c r="B396" s="366"/>
      <c r="C396" s="367"/>
      <c r="D396" s="368"/>
      <c r="E396" s="368"/>
      <c r="F396" s="370"/>
      <c r="G396" s="371"/>
      <c r="H396" s="399"/>
      <c r="I396" s="526"/>
      <c r="J396" s="380"/>
    </row>
    <row r="397" spans="1:10" s="292" customFormat="1">
      <c r="A397" s="378" t="s">
        <v>1214</v>
      </c>
      <c r="B397" s="366" t="s">
        <v>125</v>
      </c>
      <c r="C397" s="367" t="s">
        <v>36</v>
      </c>
      <c r="D397" s="368">
        <v>789.8</v>
      </c>
      <c r="E397" s="368"/>
      <c r="F397" s="370" t="s">
        <v>2234</v>
      </c>
      <c r="G397" s="371" t="s">
        <v>2241</v>
      </c>
      <c r="H397" s="399">
        <f>43.98+65.41+4.52</f>
        <v>113.90999999999998</v>
      </c>
      <c r="I397" s="379"/>
      <c r="J397" s="679">
        <f>SUM(H397:H405)</f>
        <v>788.67000000000007</v>
      </c>
    </row>
    <row r="398" spans="1:10" s="292" customFormat="1">
      <c r="A398" s="378"/>
      <c r="B398" s="366"/>
      <c r="C398" s="367"/>
      <c r="D398" s="368"/>
      <c r="E398" s="368"/>
      <c r="F398" s="370" t="s">
        <v>2235</v>
      </c>
      <c r="G398" s="371">
        <v>113.15</v>
      </c>
      <c r="H398" s="399">
        <f>113.15</f>
        <v>113.15</v>
      </c>
      <c r="I398" s="379"/>
      <c r="J398" s="380"/>
    </row>
    <row r="399" spans="1:10" s="292" customFormat="1">
      <c r="A399" s="378"/>
      <c r="B399" s="366"/>
      <c r="C399" s="367"/>
      <c r="D399" s="368"/>
      <c r="E399" s="368"/>
      <c r="F399" s="370" t="s">
        <v>2236</v>
      </c>
      <c r="G399" s="371">
        <v>4.1100000000000003</v>
      </c>
      <c r="H399" s="399">
        <f>4.11</f>
        <v>4.1100000000000003</v>
      </c>
      <c r="I399" s="379"/>
      <c r="J399" s="380"/>
    </row>
    <row r="400" spans="1:10" s="292" customFormat="1">
      <c r="A400" s="378"/>
      <c r="B400" s="366"/>
      <c r="C400" s="367"/>
      <c r="D400" s="368"/>
      <c r="E400" s="368"/>
      <c r="F400" s="370" t="s">
        <v>2239</v>
      </c>
      <c r="G400" s="371" t="s">
        <v>2238</v>
      </c>
      <c r="H400" s="399">
        <f>104.15+74.58+41.83</f>
        <v>220.56</v>
      </c>
      <c r="I400" s="379"/>
      <c r="J400" s="380"/>
    </row>
    <row r="401" spans="1:10" s="292" customFormat="1">
      <c r="A401" s="378"/>
      <c r="B401" s="366"/>
      <c r="C401" s="367"/>
      <c r="D401" s="368"/>
      <c r="E401" s="368"/>
      <c r="F401" s="370" t="s">
        <v>2237</v>
      </c>
      <c r="G401" s="371" t="s">
        <v>2240</v>
      </c>
      <c r="H401" s="399">
        <f>23.96+13.32+16.79+44.59</f>
        <v>98.66</v>
      </c>
      <c r="I401" s="379"/>
      <c r="J401" s="380"/>
    </row>
    <row r="402" spans="1:10" s="292" customFormat="1">
      <c r="A402" s="378"/>
      <c r="B402" s="366"/>
      <c r="C402" s="367"/>
      <c r="D402" s="368"/>
      <c r="E402" s="368"/>
      <c r="F402" s="370" t="s">
        <v>2243</v>
      </c>
      <c r="G402" s="371" t="s">
        <v>2242</v>
      </c>
      <c r="H402" s="399">
        <f>9.87+15.97</f>
        <v>25.84</v>
      </c>
      <c r="I402" s="379"/>
      <c r="J402" s="380"/>
    </row>
    <row r="403" spans="1:10" s="292" customFormat="1" ht="66">
      <c r="A403" s="378"/>
      <c r="B403" s="366"/>
      <c r="C403" s="367"/>
      <c r="D403" s="368"/>
      <c r="E403" s="368"/>
      <c r="F403" s="370" t="s">
        <v>2244</v>
      </c>
      <c r="G403" s="371" t="s">
        <v>2249</v>
      </c>
      <c r="H403" s="399">
        <f>10.31+1.32+6.72+1.46+1.33+1.43+1.31+1.33+1.31+2.62+2.71+2.71+3.54+1.54+1.73+3.54+2.66+2.7+1.62</f>
        <v>51.889999999999993</v>
      </c>
      <c r="I403" s="379"/>
      <c r="J403" s="380"/>
    </row>
    <row r="404" spans="1:10" s="292" customFormat="1">
      <c r="A404" s="378"/>
      <c r="B404" s="366"/>
      <c r="C404" s="367"/>
      <c r="D404" s="368"/>
      <c r="E404" s="368"/>
      <c r="F404" s="370" t="s">
        <v>2246</v>
      </c>
      <c r="G404" s="371" t="s">
        <v>2245</v>
      </c>
      <c r="H404" s="399">
        <f>12.86+7.06+6.16+11.56+13.45</f>
        <v>51.09</v>
      </c>
      <c r="I404" s="379"/>
      <c r="J404" s="380"/>
    </row>
    <row r="405" spans="1:10" s="292" customFormat="1" ht="33">
      <c r="A405" s="378"/>
      <c r="B405" s="366"/>
      <c r="C405" s="367"/>
      <c r="D405" s="368"/>
      <c r="E405" s="368"/>
      <c r="F405" s="370" t="s">
        <v>2248</v>
      </c>
      <c r="G405" s="371" t="s">
        <v>2247</v>
      </c>
      <c r="H405" s="399">
        <f>35.79+10.85+12.28+11.68+12.4+26.46</f>
        <v>109.46000000000001</v>
      </c>
      <c r="I405" s="379"/>
      <c r="J405" s="380"/>
    </row>
    <row r="406" spans="1:10" s="292" customFormat="1">
      <c r="A406" s="378"/>
      <c r="B406" s="366"/>
      <c r="C406" s="367"/>
      <c r="D406" s="368"/>
      <c r="E406" s="368"/>
      <c r="F406" s="381"/>
      <c r="G406" s="329"/>
      <c r="H406" s="369"/>
      <c r="I406" s="379"/>
      <c r="J406" s="380"/>
    </row>
    <row r="407" spans="1:10" s="292" customFormat="1" ht="49.5">
      <c r="A407" s="310" t="s">
        <v>1215</v>
      </c>
      <c r="B407" s="366" t="s">
        <v>126</v>
      </c>
      <c r="C407" s="367" t="s">
        <v>36</v>
      </c>
      <c r="D407" s="368">
        <v>31.3</v>
      </c>
      <c r="E407" s="368"/>
      <c r="F407" s="381"/>
      <c r="G407" s="371" t="s">
        <v>2250</v>
      </c>
      <c r="H407" s="399">
        <f>3.59+3.59+2.56+2.51+2.62+2.63+2.63+1.31+1.23+1.53+1.59+1.48+1.28+1.6+1.15</f>
        <v>31.3</v>
      </c>
      <c r="I407" s="379"/>
      <c r="J407" s="679">
        <f>SUM(H407:H408)</f>
        <v>31.3</v>
      </c>
    </row>
    <row r="408" spans="1:10" s="292" customFormat="1">
      <c r="A408" s="310"/>
      <c r="B408" s="366"/>
      <c r="C408" s="367"/>
      <c r="D408" s="368"/>
      <c r="E408" s="368"/>
      <c r="F408" s="381"/>
      <c r="G408" s="329"/>
      <c r="H408" s="369"/>
      <c r="I408" s="379"/>
      <c r="J408" s="380"/>
    </row>
    <row r="409" spans="1:10" s="292" customFormat="1" ht="99">
      <c r="A409" s="310" t="s">
        <v>1216</v>
      </c>
      <c r="B409" s="366" t="s">
        <v>1217</v>
      </c>
      <c r="C409" s="367" t="s">
        <v>36</v>
      </c>
      <c r="D409" s="368">
        <v>360.35</v>
      </c>
      <c r="E409" s="368"/>
      <c r="F409" s="371" t="s">
        <v>1065</v>
      </c>
      <c r="G409" s="371" t="s">
        <v>1971</v>
      </c>
      <c r="H409" s="372">
        <f>H137/0.1/0.05</f>
        <v>360.35</v>
      </c>
      <c r="I409" s="379"/>
      <c r="J409" s="679">
        <f>SUM(H409:H410)</f>
        <v>360.35</v>
      </c>
    </row>
    <row r="410" spans="1:10" s="292" customFormat="1">
      <c r="A410" s="378"/>
      <c r="B410" s="366"/>
      <c r="C410" s="367"/>
      <c r="D410" s="368"/>
      <c r="E410" s="368"/>
      <c r="F410" s="381"/>
      <c r="G410" s="329"/>
      <c r="H410" s="369"/>
      <c r="I410" s="379"/>
      <c r="J410" s="380"/>
    </row>
    <row r="411" spans="1:10" s="292" customFormat="1" ht="132">
      <c r="A411" s="310" t="s">
        <v>1218</v>
      </c>
      <c r="B411" s="366" t="s">
        <v>1219</v>
      </c>
      <c r="C411" s="367" t="s">
        <v>36</v>
      </c>
      <c r="D411" s="368">
        <v>691.14</v>
      </c>
      <c r="E411" s="368"/>
      <c r="F411" s="371" t="s">
        <v>1067</v>
      </c>
      <c r="G411" s="371" t="s">
        <v>1972</v>
      </c>
      <c r="H411" s="399">
        <f>H138/0.23/0.18</f>
        <v>691.14</v>
      </c>
      <c r="I411" s="379"/>
      <c r="J411" s="679">
        <f>SUM(H411:H412)</f>
        <v>691.14</v>
      </c>
    </row>
    <row r="412" spans="1:10" s="292" customFormat="1">
      <c r="A412" s="310"/>
      <c r="B412" s="366"/>
      <c r="C412" s="367"/>
      <c r="D412" s="368"/>
      <c r="E412" s="368"/>
      <c r="F412" s="381"/>
      <c r="G412" s="329"/>
      <c r="H412" s="369"/>
      <c r="I412" s="379"/>
      <c r="J412" s="380"/>
    </row>
    <row r="413" spans="1:10" s="292" customFormat="1">
      <c r="A413" s="378" t="s">
        <v>1220</v>
      </c>
      <c r="B413" s="366" t="s">
        <v>1069</v>
      </c>
      <c r="C413" s="367" t="s">
        <v>36</v>
      </c>
      <c r="D413" s="368">
        <v>890.62</v>
      </c>
      <c r="E413" s="368"/>
      <c r="F413" s="729">
        <v>0</v>
      </c>
      <c r="G413" s="680">
        <v>0</v>
      </c>
      <c r="H413" s="763">
        <v>0</v>
      </c>
      <c r="I413" s="722"/>
      <c r="J413" s="679">
        <f>SUM(H413:H416)</f>
        <v>935.71999999999991</v>
      </c>
    </row>
    <row r="414" spans="1:10" s="292" customFormat="1" ht="99">
      <c r="A414" s="378"/>
      <c r="B414" s="366"/>
      <c r="C414" s="367"/>
      <c r="D414" s="368"/>
      <c r="E414" s="368"/>
      <c r="F414" s="371" t="s">
        <v>1973</v>
      </c>
      <c r="G414" s="371" t="s">
        <v>1975</v>
      </c>
      <c r="H414" s="372">
        <f>H139/1/0.15/0.05</f>
        <v>594.32999999999993</v>
      </c>
      <c r="I414" s="379"/>
      <c r="J414" s="380"/>
    </row>
    <row r="415" spans="1:10" s="292" customFormat="1">
      <c r="A415" s="378"/>
      <c r="B415" s="366"/>
      <c r="C415" s="367"/>
      <c r="D415" s="368"/>
      <c r="E415" s="368"/>
      <c r="F415" s="371" t="s">
        <v>2251</v>
      </c>
      <c r="G415" s="371" t="s">
        <v>2117</v>
      </c>
      <c r="H415" s="372">
        <f>H140/1/0.15/0.05</f>
        <v>21</v>
      </c>
      <c r="I415" s="379"/>
      <c r="J415" s="380"/>
    </row>
    <row r="416" spans="1:10" s="292" customFormat="1" ht="132">
      <c r="A416" s="378"/>
      <c r="B416" s="366"/>
      <c r="C416" s="367"/>
      <c r="D416" s="368"/>
      <c r="E416" s="368"/>
      <c r="F416" s="371" t="s">
        <v>1974</v>
      </c>
      <c r="G416" s="371" t="s">
        <v>1976</v>
      </c>
      <c r="H416" s="372">
        <f>H141/1/0.15/0.05</f>
        <v>320.39</v>
      </c>
      <c r="I416" s="379"/>
      <c r="J416" s="380"/>
    </row>
    <row r="417" spans="1:10" s="292" customFormat="1">
      <c r="A417" s="378"/>
      <c r="B417" s="366"/>
      <c r="C417" s="367"/>
      <c r="D417" s="368"/>
      <c r="E417" s="368"/>
      <c r="F417" s="381"/>
      <c r="G417" s="329"/>
      <c r="H417" s="369"/>
      <c r="I417" s="379"/>
      <c r="J417" s="380"/>
    </row>
    <row r="418" spans="1:10" s="292" customFormat="1" ht="33">
      <c r="A418" s="310" t="s">
        <v>1221</v>
      </c>
      <c r="B418" s="366" t="s">
        <v>133</v>
      </c>
      <c r="C418" s="367" t="s">
        <v>36</v>
      </c>
      <c r="D418" s="368">
        <v>85.77</v>
      </c>
      <c r="E418" s="368"/>
      <c r="F418" s="370" t="s">
        <v>2213</v>
      </c>
      <c r="G418" s="371" t="s">
        <v>2212</v>
      </c>
      <c r="H418" s="399">
        <f>12.51+3.74+3.6+3.61+16.32+7.19+10.67+10.6+3.64+13.89</f>
        <v>85.77</v>
      </c>
      <c r="I418" s="379"/>
      <c r="J418" s="679">
        <f>H418</f>
        <v>85.77</v>
      </c>
    </row>
    <row r="419" spans="1:10" s="292" customFormat="1">
      <c r="A419" s="310"/>
      <c r="B419" s="366"/>
      <c r="C419" s="367"/>
      <c r="D419" s="368"/>
      <c r="E419" s="368"/>
      <c r="F419" s="381"/>
      <c r="G419" s="329"/>
      <c r="H419" s="369"/>
      <c r="I419" s="379"/>
      <c r="J419" s="380"/>
    </row>
    <row r="420" spans="1:10" s="292" customFormat="1">
      <c r="A420" s="310"/>
      <c r="B420" s="366"/>
      <c r="C420" s="367"/>
      <c r="D420" s="368"/>
      <c r="E420" s="368"/>
      <c r="F420" s="381"/>
      <c r="G420" s="329"/>
      <c r="H420" s="369"/>
      <c r="I420" s="379"/>
      <c r="J420" s="380"/>
    </row>
    <row r="421" spans="1:10" s="292" customFormat="1">
      <c r="A421" s="310"/>
      <c r="B421" s="366"/>
      <c r="C421" s="367"/>
      <c r="D421" s="368"/>
      <c r="E421" s="368"/>
      <c r="F421" s="381"/>
      <c r="G421" s="329"/>
      <c r="H421" s="369"/>
      <c r="I421" s="379"/>
      <c r="J421" s="380"/>
    </row>
    <row r="422" spans="1:10" s="292" customFormat="1" ht="49.5">
      <c r="A422" s="378" t="s">
        <v>1222</v>
      </c>
      <c r="B422" s="366" t="s">
        <v>135</v>
      </c>
      <c r="C422" s="367" t="s">
        <v>36</v>
      </c>
      <c r="D422" s="368">
        <v>187.82</v>
      </c>
      <c r="E422" s="368"/>
      <c r="F422" s="767" t="s">
        <v>135</v>
      </c>
      <c r="G422" s="371" t="s">
        <v>2214</v>
      </c>
      <c r="H422" s="399">
        <f>23.42+3+29.92+9.18+3+29.43+9.08+28.73+8.86+12.46+1.5+12.53+16.71</f>
        <v>187.82000000000002</v>
      </c>
      <c r="I422" s="379"/>
      <c r="J422" s="679">
        <f>H422</f>
        <v>187.82000000000002</v>
      </c>
    </row>
    <row r="423" spans="1:10" s="292" customFormat="1">
      <c r="A423" s="378"/>
      <c r="B423" s="366"/>
      <c r="C423" s="367"/>
      <c r="D423" s="368"/>
      <c r="E423" s="368"/>
      <c r="F423" s="370"/>
      <c r="G423" s="371"/>
      <c r="H423" s="399"/>
      <c r="I423" s="379"/>
      <c r="J423" s="380"/>
    </row>
    <row r="424" spans="1:10" s="292" customFormat="1">
      <c r="A424" s="378"/>
      <c r="B424" s="366"/>
      <c r="C424" s="367"/>
      <c r="D424" s="368"/>
      <c r="E424" s="368"/>
      <c r="F424" s="370"/>
      <c r="G424" s="371"/>
      <c r="H424" s="399"/>
      <c r="I424" s="379"/>
      <c r="J424" s="380"/>
    </row>
    <row r="425" spans="1:10" s="292" customFormat="1">
      <c r="A425" s="378"/>
      <c r="B425" s="366"/>
      <c r="C425" s="367"/>
      <c r="D425" s="368"/>
      <c r="E425" s="368"/>
      <c r="F425" s="370"/>
      <c r="G425" s="371"/>
      <c r="H425" s="399"/>
      <c r="I425" s="379"/>
      <c r="J425" s="380"/>
    </row>
    <row r="426" spans="1:10" s="292" customFormat="1">
      <c r="A426" s="310" t="s">
        <v>1223</v>
      </c>
      <c r="B426" s="366" t="s">
        <v>137</v>
      </c>
      <c r="C426" s="367" t="s">
        <v>36</v>
      </c>
      <c r="D426" s="368">
        <v>18.809999999999999</v>
      </c>
      <c r="E426" s="368"/>
      <c r="F426" s="370" t="s">
        <v>2253</v>
      </c>
      <c r="G426" s="371" t="s">
        <v>2252</v>
      </c>
      <c r="H426" s="399">
        <f>4.66+14.15</f>
        <v>18.810000000000002</v>
      </c>
      <c r="I426" s="379"/>
      <c r="J426" s="679">
        <f>H426</f>
        <v>18.810000000000002</v>
      </c>
    </row>
    <row r="427" spans="1:10" s="292" customFormat="1">
      <c r="A427" s="310"/>
      <c r="B427" s="366"/>
      <c r="C427" s="367"/>
      <c r="D427" s="368"/>
      <c r="E427" s="368"/>
      <c r="F427" s="370"/>
      <c r="G427" s="371"/>
      <c r="H427" s="399"/>
      <c r="I427" s="379"/>
      <c r="J427" s="380"/>
    </row>
    <row r="428" spans="1:10" s="292" customFormat="1">
      <c r="A428" s="378" t="s">
        <v>1224</v>
      </c>
      <c r="B428" s="366" t="s">
        <v>139</v>
      </c>
      <c r="C428" s="367" t="s">
        <v>52</v>
      </c>
      <c r="D428" s="368">
        <v>20.48</v>
      </c>
      <c r="E428" s="368"/>
      <c r="F428" s="370" t="s">
        <v>2255</v>
      </c>
      <c r="G428" s="371" t="s">
        <v>2254</v>
      </c>
      <c r="H428" s="399">
        <f>1.28*16</f>
        <v>20.48</v>
      </c>
      <c r="I428" s="379"/>
      <c r="J428" s="679">
        <f>H428</f>
        <v>20.48</v>
      </c>
    </row>
    <row r="429" spans="1:10" s="292" customFormat="1">
      <c r="A429" s="378"/>
      <c r="B429" s="366"/>
      <c r="C429" s="367"/>
      <c r="D429" s="368"/>
      <c r="E429" s="368"/>
      <c r="F429" s="370"/>
      <c r="G429" s="371"/>
      <c r="H429" s="399"/>
      <c r="I429" s="379"/>
      <c r="J429" s="380"/>
    </row>
    <row r="430" spans="1:10" s="292" customFormat="1" ht="33">
      <c r="A430" s="310" t="s">
        <v>1225</v>
      </c>
      <c r="B430" s="366" t="s">
        <v>2309</v>
      </c>
      <c r="C430" s="367" t="s">
        <v>36</v>
      </c>
      <c r="D430" s="368">
        <v>354.7</v>
      </c>
      <c r="E430" s="368"/>
      <c r="F430" s="370" t="s">
        <v>2258</v>
      </c>
      <c r="G430" s="371" t="s">
        <v>2256</v>
      </c>
      <c r="H430" s="399">
        <f>61.37+9.83+18.93+20.05+39.4+39.94+29.37+7.53</f>
        <v>226.42</v>
      </c>
      <c r="I430" s="379"/>
      <c r="J430" s="679">
        <f>SUM(H430:H431)</f>
        <v>353.22</v>
      </c>
    </row>
    <row r="431" spans="1:10" s="292" customFormat="1" ht="33">
      <c r="A431" s="310"/>
      <c r="B431" s="366"/>
      <c r="C431" s="367"/>
      <c r="D431" s="368"/>
      <c r="E431" s="368"/>
      <c r="F431" s="370" t="s">
        <v>2257</v>
      </c>
      <c r="G431" s="371" t="s">
        <v>2259</v>
      </c>
      <c r="H431" s="399">
        <f>8.25+10+8.63+7.73+4.06+6.85+76.28+3.04+1.96</f>
        <v>126.80000000000001</v>
      </c>
      <c r="I431" s="379"/>
      <c r="J431" s="380"/>
    </row>
    <row r="432" spans="1:10" s="292" customFormat="1">
      <c r="A432" s="310"/>
      <c r="B432" s="366"/>
      <c r="C432" s="367"/>
      <c r="D432" s="368"/>
      <c r="E432" s="368"/>
      <c r="F432" s="370"/>
      <c r="G432" s="371"/>
      <c r="H432" s="399"/>
      <c r="I432" s="379"/>
      <c r="J432" s="380"/>
    </row>
    <row r="433" spans="1:10" s="292" customFormat="1">
      <c r="A433" s="769"/>
      <c r="B433" s="770" t="s">
        <v>2310</v>
      </c>
      <c r="C433" s="771" t="s">
        <v>36</v>
      </c>
      <c r="D433" s="772"/>
      <c r="E433" s="772"/>
      <c r="F433" s="728" t="s">
        <v>2311</v>
      </c>
      <c r="G433" s="615">
        <v>35</v>
      </c>
      <c r="H433" s="773">
        <v>35</v>
      </c>
      <c r="I433" s="492"/>
      <c r="J433" s="679">
        <f>SUM(H433:H434)</f>
        <v>35</v>
      </c>
    </row>
    <row r="434" spans="1:10" s="292" customFormat="1">
      <c r="A434" s="310"/>
      <c r="B434" s="366"/>
      <c r="C434" s="367"/>
      <c r="D434" s="368"/>
      <c r="E434" s="368"/>
      <c r="F434" s="370"/>
      <c r="G434" s="371"/>
      <c r="H434" s="399"/>
      <c r="I434" s="379"/>
      <c r="J434" s="380"/>
    </row>
    <row r="435" spans="1:10" s="292" customFormat="1">
      <c r="A435" s="310"/>
      <c r="B435" s="366"/>
      <c r="C435" s="367"/>
      <c r="D435" s="368"/>
      <c r="E435" s="368"/>
      <c r="F435" s="370"/>
      <c r="G435" s="371"/>
      <c r="H435" s="399"/>
      <c r="I435" s="379"/>
      <c r="J435" s="380"/>
    </row>
    <row r="436" spans="1:10" s="292" customFormat="1">
      <c r="A436" s="378" t="s">
        <v>1226</v>
      </c>
      <c r="B436" s="366" t="s">
        <v>143</v>
      </c>
      <c r="C436" s="367" t="s">
        <v>36</v>
      </c>
      <c r="D436" s="368">
        <v>44.7</v>
      </c>
      <c r="E436" s="368"/>
      <c r="F436" s="370" t="s">
        <v>2263</v>
      </c>
      <c r="G436" s="371" t="s">
        <v>2260</v>
      </c>
      <c r="H436" s="399">
        <f>16.81+15.57+9.89+2.39</f>
        <v>44.66</v>
      </c>
      <c r="I436" s="379"/>
      <c r="J436" s="679">
        <f>SUM(H436:H437)</f>
        <v>44.66</v>
      </c>
    </row>
    <row r="437" spans="1:10" s="292" customFormat="1">
      <c r="A437" s="378"/>
      <c r="B437" s="366"/>
      <c r="C437" s="367"/>
      <c r="D437" s="368"/>
      <c r="E437" s="368"/>
      <c r="F437" s="370"/>
      <c r="G437" s="371"/>
      <c r="H437" s="399"/>
      <c r="I437" s="379"/>
      <c r="J437" s="380"/>
    </row>
    <row r="438" spans="1:10" s="292" customFormat="1">
      <c r="A438" s="310" t="s">
        <v>1227</v>
      </c>
      <c r="B438" s="366" t="s">
        <v>145</v>
      </c>
      <c r="C438" s="367" t="s">
        <v>36</v>
      </c>
      <c r="D438" s="368">
        <v>31</v>
      </c>
      <c r="E438" s="368"/>
      <c r="F438" s="370" t="s">
        <v>2267</v>
      </c>
      <c r="G438" s="371" t="s">
        <v>2261</v>
      </c>
      <c r="H438" s="399">
        <f>20.53+10.47</f>
        <v>31</v>
      </c>
      <c r="I438" s="379"/>
      <c r="J438" s="679">
        <f>SUM(H438:H439)</f>
        <v>31</v>
      </c>
    </row>
    <row r="439" spans="1:10" s="292" customFormat="1">
      <c r="A439" s="310"/>
      <c r="B439" s="366"/>
      <c r="C439" s="367"/>
      <c r="D439" s="368"/>
      <c r="E439" s="368"/>
      <c r="F439" s="370"/>
      <c r="G439" s="371"/>
      <c r="H439" s="399"/>
      <c r="I439" s="379"/>
      <c r="J439" s="380"/>
    </row>
    <row r="440" spans="1:10" s="292" customFormat="1">
      <c r="A440" s="378" t="s">
        <v>1228</v>
      </c>
      <c r="B440" s="366" t="s">
        <v>147</v>
      </c>
      <c r="C440" s="367" t="s">
        <v>36</v>
      </c>
      <c r="D440" s="368">
        <v>18.100000000000001</v>
      </c>
      <c r="E440" s="368"/>
      <c r="F440" s="370" t="s">
        <v>2268</v>
      </c>
      <c r="G440" s="371" t="s">
        <v>2262</v>
      </c>
      <c r="H440" s="399">
        <f>10.36+7.66</f>
        <v>18.02</v>
      </c>
      <c r="I440" s="379"/>
      <c r="J440" s="679">
        <f>SUM(H440:H441)</f>
        <v>18.02</v>
      </c>
    </row>
    <row r="441" spans="1:10" s="292" customFormat="1">
      <c r="A441" s="378"/>
      <c r="B441" s="366"/>
      <c r="C441" s="367"/>
      <c r="D441" s="368"/>
      <c r="E441" s="368"/>
      <c r="F441" s="370"/>
      <c r="G441" s="371"/>
      <c r="H441" s="399"/>
      <c r="I441" s="379"/>
      <c r="J441" s="380"/>
    </row>
    <row r="442" spans="1:10" s="292" customFormat="1">
      <c r="A442" s="310" t="s">
        <v>1229</v>
      </c>
      <c r="B442" s="366" t="s">
        <v>149</v>
      </c>
      <c r="C442" s="367" t="s">
        <v>36</v>
      </c>
      <c r="D442" s="368">
        <v>180.4</v>
      </c>
      <c r="E442" s="368"/>
      <c r="F442" s="370" t="s">
        <v>2265</v>
      </c>
      <c r="G442" s="371" t="s">
        <v>2264</v>
      </c>
      <c r="H442" s="399">
        <f>16.9+13.3+65.6+77.2+7.4</f>
        <v>180.4</v>
      </c>
      <c r="I442" s="379"/>
      <c r="J442" s="679">
        <f>SUM(H442:H443)</f>
        <v>180.4</v>
      </c>
    </row>
    <row r="443" spans="1:10" s="292" customFormat="1">
      <c r="A443" s="310"/>
      <c r="B443" s="366"/>
      <c r="C443" s="367"/>
      <c r="D443" s="368"/>
      <c r="E443" s="368"/>
      <c r="F443" s="370"/>
      <c r="G443" s="371"/>
      <c r="H443" s="399"/>
      <c r="I443" s="379"/>
      <c r="J443" s="380"/>
    </row>
    <row r="444" spans="1:10" s="292" customFormat="1">
      <c r="A444" s="378" t="s">
        <v>1230</v>
      </c>
      <c r="B444" s="366" t="s">
        <v>151</v>
      </c>
      <c r="C444" s="367" t="s">
        <v>36</v>
      </c>
      <c r="D444" s="368">
        <v>25.6</v>
      </c>
      <c r="E444" s="368"/>
      <c r="F444" s="370" t="s">
        <v>2266</v>
      </c>
      <c r="G444" s="371">
        <v>25.6</v>
      </c>
      <c r="H444" s="399">
        <v>25.6</v>
      </c>
      <c r="I444" s="379"/>
      <c r="J444" s="679">
        <f>SUM(H444:H445)</f>
        <v>25.6</v>
      </c>
    </row>
    <row r="445" spans="1:10" s="292" customFormat="1">
      <c r="A445" s="378"/>
      <c r="B445" s="366"/>
      <c r="C445" s="367"/>
      <c r="D445" s="368"/>
      <c r="E445" s="368"/>
      <c r="F445" s="370"/>
      <c r="G445" s="371"/>
      <c r="H445" s="399"/>
      <c r="I445" s="379"/>
      <c r="J445" s="380"/>
    </row>
    <row r="446" spans="1:10" s="292" customFormat="1">
      <c r="A446" s="310" t="s">
        <v>1231</v>
      </c>
      <c r="B446" s="366" t="s">
        <v>153</v>
      </c>
      <c r="C446" s="367" t="s">
        <v>78</v>
      </c>
      <c r="D446" s="368">
        <v>7</v>
      </c>
      <c r="E446" s="368"/>
      <c r="F446" s="370">
        <v>7</v>
      </c>
      <c r="G446" s="371">
        <v>7</v>
      </c>
      <c r="H446" s="399">
        <v>7</v>
      </c>
      <c r="I446" s="379"/>
      <c r="J446" s="679">
        <f>SUM(H446:H447)</f>
        <v>7</v>
      </c>
    </row>
    <row r="447" spans="1:10" s="292" customFormat="1">
      <c r="A447" s="310"/>
      <c r="B447" s="366"/>
      <c r="C447" s="367"/>
      <c r="D447" s="368"/>
      <c r="E447" s="368"/>
      <c r="F447" s="370"/>
      <c r="G447" s="371"/>
      <c r="H447" s="399"/>
      <c r="I447" s="379"/>
      <c r="J447" s="380"/>
    </row>
    <row r="448" spans="1:10" s="292" customFormat="1">
      <c r="A448" s="378" t="s">
        <v>1232</v>
      </c>
      <c r="B448" s="366" t="s">
        <v>155</v>
      </c>
      <c r="C448" s="367" t="s">
        <v>36</v>
      </c>
      <c r="D448" s="368">
        <v>7.8</v>
      </c>
      <c r="E448" s="368"/>
      <c r="F448" s="370"/>
      <c r="G448" s="371" t="s">
        <v>2269</v>
      </c>
      <c r="H448" s="399">
        <f>3.9+3.9</f>
        <v>7.8</v>
      </c>
      <c r="I448" s="379"/>
      <c r="J448" s="679">
        <f>SUM(H448:H449)</f>
        <v>7.8</v>
      </c>
    </row>
    <row r="449" spans="1:10" s="292" customFormat="1">
      <c r="A449" s="378"/>
      <c r="B449" s="366"/>
      <c r="C449" s="367"/>
      <c r="D449" s="368"/>
      <c r="E449" s="368"/>
      <c r="F449" s="370"/>
      <c r="G449" s="371"/>
      <c r="H449" s="399"/>
      <c r="I449" s="379"/>
      <c r="J449" s="380"/>
    </row>
    <row r="450" spans="1:10" s="292" customFormat="1">
      <c r="A450" s="310" t="s">
        <v>1233</v>
      </c>
      <c r="B450" s="366" t="s">
        <v>157</v>
      </c>
      <c r="C450" s="367" t="s">
        <v>78</v>
      </c>
      <c r="D450" s="368">
        <v>2</v>
      </c>
      <c r="E450" s="368"/>
      <c r="F450" s="370"/>
      <c r="G450" s="371">
        <v>2</v>
      </c>
      <c r="H450" s="399">
        <v>2</v>
      </c>
      <c r="I450" s="379"/>
      <c r="J450" s="679">
        <f>SUM(H450:H451)</f>
        <v>2</v>
      </c>
    </row>
    <row r="451" spans="1:10" s="292" customFormat="1">
      <c r="A451" s="310"/>
      <c r="B451" s="366"/>
      <c r="C451" s="367"/>
      <c r="D451" s="368"/>
      <c r="E451" s="368"/>
      <c r="F451" s="370"/>
      <c r="G451" s="371"/>
      <c r="H451" s="399"/>
      <c r="I451" s="379"/>
      <c r="J451" s="380"/>
    </row>
    <row r="452" spans="1:10" s="292" customFormat="1">
      <c r="A452" s="378" t="s">
        <v>1234</v>
      </c>
      <c r="B452" s="366" t="s">
        <v>159</v>
      </c>
      <c r="C452" s="367" t="s">
        <v>78</v>
      </c>
      <c r="D452" s="368">
        <v>3</v>
      </c>
      <c r="E452" s="368"/>
      <c r="F452" s="370"/>
      <c r="G452" s="371">
        <v>3</v>
      </c>
      <c r="H452" s="399">
        <v>3</v>
      </c>
      <c r="I452" s="379"/>
      <c r="J452" s="679">
        <f>SUM(H452:H453)</f>
        <v>3</v>
      </c>
    </row>
    <row r="453" spans="1:10" s="292" customFormat="1">
      <c r="A453" s="378"/>
      <c r="B453" s="366"/>
      <c r="C453" s="367"/>
      <c r="D453" s="368"/>
      <c r="E453" s="368"/>
      <c r="F453" s="370"/>
      <c r="G453" s="371"/>
      <c r="H453" s="399"/>
      <c r="I453" s="379"/>
      <c r="J453" s="380"/>
    </row>
    <row r="454" spans="1:10" s="292" customFormat="1">
      <c r="A454" s="310" t="s">
        <v>1235</v>
      </c>
      <c r="B454" s="366" t="s">
        <v>161</v>
      </c>
      <c r="C454" s="367" t="s">
        <v>36</v>
      </c>
      <c r="D454" s="368">
        <v>18</v>
      </c>
      <c r="E454" s="368"/>
      <c r="F454" s="370"/>
      <c r="G454" s="371">
        <v>18</v>
      </c>
      <c r="H454" s="399">
        <v>18</v>
      </c>
      <c r="I454" s="379"/>
      <c r="J454" s="679">
        <f>H454</f>
        <v>18</v>
      </c>
    </row>
    <row r="455" spans="1:10" s="292" customFormat="1">
      <c r="A455" s="310"/>
      <c r="B455" s="366"/>
      <c r="C455" s="367"/>
      <c r="D455" s="368"/>
      <c r="E455" s="368"/>
      <c r="F455" s="370"/>
      <c r="G455" s="371"/>
      <c r="H455" s="399"/>
      <c r="I455" s="379"/>
      <c r="J455" s="380"/>
    </row>
    <row r="456" spans="1:10" s="292" customFormat="1">
      <c r="A456" s="378" t="s">
        <v>1236</v>
      </c>
      <c r="B456" s="366" t="s">
        <v>163</v>
      </c>
      <c r="C456" s="367" t="s">
        <v>36</v>
      </c>
      <c r="D456" s="368">
        <v>17.100000000000001</v>
      </c>
      <c r="E456" s="368"/>
      <c r="F456" s="370" t="s">
        <v>2320</v>
      </c>
      <c r="G456" s="371">
        <v>14.2</v>
      </c>
      <c r="H456" s="399">
        <f>G456</f>
        <v>14.2</v>
      </c>
      <c r="I456" s="526"/>
      <c r="J456" s="679">
        <f>SUM(H456:H458)</f>
        <v>33.5</v>
      </c>
    </row>
    <row r="457" spans="1:10" s="292" customFormat="1">
      <c r="A457" s="378"/>
      <c r="B457" s="366"/>
      <c r="C457" s="367"/>
      <c r="D457" s="368"/>
      <c r="E457" s="368"/>
      <c r="F457" s="370" t="s">
        <v>2312</v>
      </c>
      <c r="G457" s="371" t="s">
        <v>2366</v>
      </c>
      <c r="H457" s="399">
        <f>15.3+4</f>
        <v>19.3</v>
      </c>
      <c r="I457" s="526"/>
      <c r="J457" s="679"/>
    </row>
    <row r="458" spans="1:10" s="292" customFormat="1">
      <c r="A458" s="378"/>
      <c r="B458" s="366"/>
      <c r="C458" s="367"/>
      <c r="D458" s="368"/>
      <c r="E458" s="368"/>
      <c r="F458" s="370"/>
      <c r="G458" s="371"/>
      <c r="H458" s="399"/>
      <c r="I458" s="526"/>
      <c r="J458" s="380"/>
    </row>
    <row r="459" spans="1:10" s="292" customFormat="1">
      <c r="A459" s="378"/>
      <c r="B459" s="366"/>
      <c r="C459" s="367"/>
      <c r="D459" s="368"/>
      <c r="E459" s="368"/>
      <c r="F459" s="370"/>
      <c r="G459" s="371"/>
      <c r="H459" s="399"/>
      <c r="I459" s="526"/>
      <c r="J459" s="380"/>
    </row>
    <row r="460" spans="1:10" s="292" customFormat="1">
      <c r="A460" s="310" t="s">
        <v>1237</v>
      </c>
      <c r="B460" s="366" t="s">
        <v>165</v>
      </c>
      <c r="C460" s="367" t="s">
        <v>36</v>
      </c>
      <c r="D460" s="368">
        <v>77.400000000000006</v>
      </c>
      <c r="E460" s="368"/>
      <c r="F460" s="370" t="s">
        <v>2313</v>
      </c>
      <c r="G460" s="371" t="s">
        <v>2220</v>
      </c>
      <c r="H460" s="399">
        <f>(21.7+17.6)</f>
        <v>39.299999999999997</v>
      </c>
      <c r="I460" s="526"/>
      <c r="J460" s="679">
        <f>SUM(H460:H462)</f>
        <v>85.7</v>
      </c>
    </row>
    <row r="461" spans="1:10" s="292" customFormat="1">
      <c r="A461" s="310"/>
      <c r="B461" s="366"/>
      <c r="C461" s="367"/>
      <c r="D461" s="368"/>
      <c r="E461" s="368"/>
      <c r="F461" s="370" t="s">
        <v>2329</v>
      </c>
      <c r="G461" s="371">
        <v>38.5</v>
      </c>
      <c r="H461" s="399">
        <v>38.5</v>
      </c>
      <c r="I461" s="526"/>
      <c r="J461" s="380"/>
    </row>
    <row r="462" spans="1:10" s="292" customFormat="1">
      <c r="A462" s="310"/>
      <c r="B462" s="366"/>
      <c r="C462" s="367"/>
      <c r="D462" s="368"/>
      <c r="E462" s="368"/>
      <c r="F462" s="370" t="s">
        <v>2327</v>
      </c>
      <c r="G462" s="371">
        <v>7.9</v>
      </c>
      <c r="H462" s="399">
        <f>G462</f>
        <v>7.9</v>
      </c>
      <c r="I462" s="526"/>
      <c r="J462" s="380"/>
    </row>
    <row r="463" spans="1:10" s="292" customFormat="1">
      <c r="A463" s="310"/>
      <c r="B463" s="366"/>
      <c r="C463" s="367"/>
      <c r="D463" s="368"/>
      <c r="E463" s="368"/>
      <c r="F463" s="370"/>
      <c r="G463" s="371"/>
      <c r="H463" s="399"/>
      <c r="I463" s="526"/>
      <c r="J463" s="380"/>
    </row>
    <row r="464" spans="1:10" s="292" customFormat="1">
      <c r="A464" s="378" t="s">
        <v>1238</v>
      </c>
      <c r="B464" s="366" t="s">
        <v>167</v>
      </c>
      <c r="C464" s="367" t="s">
        <v>36</v>
      </c>
      <c r="D464" s="368">
        <v>32.5</v>
      </c>
      <c r="E464" s="368"/>
      <c r="F464" s="370" t="s">
        <v>2221</v>
      </c>
      <c r="G464" s="371" t="s">
        <v>2219</v>
      </c>
      <c r="H464" s="399">
        <f>26.3+6.2</f>
        <v>32.5</v>
      </c>
      <c r="I464" s="526"/>
      <c r="J464" s="679">
        <f>H464</f>
        <v>32.5</v>
      </c>
    </row>
    <row r="465" spans="1:10" s="292" customFormat="1">
      <c r="A465" s="378"/>
      <c r="B465" s="366"/>
      <c r="C465" s="367"/>
      <c r="D465" s="368"/>
      <c r="E465" s="368"/>
      <c r="F465" s="381"/>
      <c r="G465" s="329"/>
      <c r="H465" s="369"/>
      <c r="I465" s="379"/>
      <c r="J465" s="380"/>
    </row>
    <row r="466" spans="1:10" s="292" customFormat="1" hidden="1">
      <c r="A466" s="310" t="s">
        <v>1239</v>
      </c>
      <c r="B466" s="366" t="s">
        <v>169</v>
      </c>
      <c r="C466" s="367" t="s">
        <v>78</v>
      </c>
      <c r="D466" s="368">
        <v>1</v>
      </c>
      <c r="E466" s="368"/>
      <c r="F466" s="381"/>
      <c r="G466" s="329"/>
      <c r="H466" s="369"/>
      <c r="I466" s="379"/>
      <c r="J466" s="380"/>
    </row>
    <row r="467" spans="1:10" s="292" customFormat="1" hidden="1">
      <c r="A467" s="310"/>
      <c r="B467" s="366"/>
      <c r="C467" s="367"/>
      <c r="D467" s="368"/>
      <c r="E467" s="368"/>
      <c r="F467" s="381"/>
      <c r="G467" s="329"/>
      <c r="H467" s="369"/>
      <c r="I467" s="379"/>
      <c r="J467" s="380"/>
    </row>
    <row r="468" spans="1:10" s="292" customFormat="1" hidden="1">
      <c r="A468" s="378" t="s">
        <v>1240</v>
      </c>
      <c r="B468" s="366" t="s">
        <v>171</v>
      </c>
      <c r="C468" s="367" t="s">
        <v>78</v>
      </c>
      <c r="D468" s="368">
        <v>1</v>
      </c>
      <c r="E468" s="368"/>
      <c r="F468" s="381"/>
      <c r="G468" s="329"/>
      <c r="H468" s="369"/>
      <c r="I468" s="379"/>
      <c r="J468" s="380"/>
    </row>
    <row r="469" spans="1:10" s="292" customFormat="1" hidden="1">
      <c r="A469" s="378"/>
      <c r="B469" s="366"/>
      <c r="C469" s="367"/>
      <c r="D469" s="368"/>
      <c r="E469" s="368"/>
      <c r="F469" s="381"/>
      <c r="G469" s="329"/>
      <c r="H469" s="369"/>
      <c r="I469" s="379"/>
      <c r="J469" s="380"/>
    </row>
    <row r="470" spans="1:10" s="292" customFormat="1" hidden="1">
      <c r="A470" s="310" t="s">
        <v>1241</v>
      </c>
      <c r="B470" s="366" t="s">
        <v>173</v>
      </c>
      <c r="C470" s="367" t="s">
        <v>78</v>
      </c>
      <c r="D470" s="368">
        <v>1</v>
      </c>
      <c r="E470" s="368"/>
      <c r="F470" s="381"/>
      <c r="G470" s="329"/>
      <c r="H470" s="369"/>
      <c r="I470" s="379"/>
      <c r="J470" s="380"/>
    </row>
    <row r="471" spans="1:10" s="292" customFormat="1" hidden="1">
      <c r="A471" s="310"/>
      <c r="B471" s="366"/>
      <c r="C471" s="367"/>
      <c r="D471" s="368"/>
      <c r="E471" s="368"/>
      <c r="F471" s="381"/>
      <c r="G471" s="329"/>
      <c r="H471" s="369"/>
      <c r="I471" s="379"/>
      <c r="J471" s="380"/>
    </row>
    <row r="472" spans="1:10" s="292" customFormat="1" hidden="1">
      <c r="A472" s="378" t="s">
        <v>1242</v>
      </c>
      <c r="B472" s="366" t="s">
        <v>175</v>
      </c>
      <c r="C472" s="367" t="s">
        <v>78</v>
      </c>
      <c r="D472" s="368">
        <v>1</v>
      </c>
      <c r="E472" s="368"/>
      <c r="F472" s="381"/>
      <c r="G472" s="329"/>
      <c r="H472" s="369"/>
      <c r="I472" s="379"/>
      <c r="J472" s="380"/>
    </row>
    <row r="473" spans="1:10" s="292" customFormat="1" hidden="1">
      <c r="A473" s="378"/>
      <c r="B473" s="366"/>
      <c r="C473" s="367"/>
      <c r="D473" s="368"/>
      <c r="E473" s="368"/>
      <c r="F473" s="381"/>
      <c r="G473" s="329"/>
      <c r="H473" s="369"/>
      <c r="I473" s="379"/>
      <c r="J473" s="380"/>
    </row>
    <row r="474" spans="1:10" s="292" customFormat="1" hidden="1">
      <c r="A474" s="310" t="s">
        <v>1243</v>
      </c>
      <c r="B474" s="366" t="s">
        <v>177</v>
      </c>
      <c r="C474" s="367" t="s">
        <v>78</v>
      </c>
      <c r="D474" s="368">
        <v>1</v>
      </c>
      <c r="E474" s="368"/>
      <c r="F474" s="381"/>
      <c r="G474" s="329"/>
      <c r="H474" s="369"/>
      <c r="I474" s="379"/>
      <c r="J474" s="380"/>
    </row>
    <row r="475" spans="1:10" s="292" customFormat="1" hidden="1">
      <c r="A475" s="310"/>
      <c r="B475" s="366"/>
      <c r="C475" s="367"/>
      <c r="D475" s="368"/>
      <c r="E475" s="368"/>
      <c r="F475" s="381"/>
      <c r="G475" s="329"/>
      <c r="H475" s="369"/>
      <c r="I475" s="379"/>
      <c r="J475" s="380"/>
    </row>
    <row r="476" spans="1:10" s="292" customFormat="1" hidden="1">
      <c r="A476" s="378" t="s">
        <v>1244</v>
      </c>
      <c r="B476" s="366" t="s">
        <v>179</v>
      </c>
      <c r="C476" s="367" t="s">
        <v>78</v>
      </c>
      <c r="D476" s="368">
        <v>1</v>
      </c>
      <c r="E476" s="368"/>
      <c r="F476" s="381"/>
      <c r="G476" s="329"/>
      <c r="H476" s="369"/>
      <c r="I476" s="379"/>
      <c r="J476" s="380"/>
    </row>
    <row r="477" spans="1:10" s="292" customFormat="1" hidden="1">
      <c r="A477" s="378"/>
      <c r="B477" s="366"/>
      <c r="C477" s="367"/>
      <c r="D477" s="368"/>
      <c r="E477" s="368"/>
      <c r="F477" s="381"/>
      <c r="G477" s="329"/>
      <c r="H477" s="369"/>
      <c r="I477" s="379"/>
      <c r="J477" s="380"/>
    </row>
    <row r="478" spans="1:10" s="292" customFormat="1" hidden="1">
      <c r="A478" s="310" t="s">
        <v>1245</v>
      </c>
      <c r="B478" s="366" t="s">
        <v>181</v>
      </c>
      <c r="C478" s="367" t="s">
        <v>78</v>
      </c>
      <c r="D478" s="368">
        <v>1</v>
      </c>
      <c r="E478" s="368"/>
      <c r="F478" s="381"/>
      <c r="G478" s="329"/>
      <c r="H478" s="369"/>
      <c r="I478" s="379"/>
      <c r="J478" s="380"/>
    </row>
    <row r="479" spans="1:10" s="292" customFormat="1">
      <c r="A479" s="378" t="s">
        <v>2321</v>
      </c>
      <c r="B479" s="366" t="s">
        <v>169</v>
      </c>
      <c r="C479" s="367" t="s">
        <v>78</v>
      </c>
      <c r="D479" s="368">
        <v>1</v>
      </c>
      <c r="E479" s="368"/>
      <c r="F479" s="381"/>
      <c r="G479" s="329"/>
      <c r="H479" s="369">
        <v>1</v>
      </c>
      <c r="I479" s="379"/>
      <c r="J479" s="679">
        <f>H479</f>
        <v>1</v>
      </c>
    </row>
    <row r="480" spans="1:10" s="292" customFormat="1">
      <c r="A480" s="378"/>
      <c r="B480" s="366"/>
      <c r="C480" s="367"/>
      <c r="D480" s="368"/>
      <c r="E480" s="368"/>
      <c r="F480" s="381"/>
      <c r="G480" s="329"/>
      <c r="H480" s="369"/>
      <c r="I480" s="379"/>
      <c r="J480" s="727"/>
    </row>
    <row r="481" spans="1:10" s="292" customFormat="1">
      <c r="A481" s="378" t="s">
        <v>2322</v>
      </c>
      <c r="B481" s="366" t="s">
        <v>171</v>
      </c>
      <c r="C481" s="367" t="s">
        <v>78</v>
      </c>
      <c r="D481" s="368">
        <v>1</v>
      </c>
      <c r="E481" s="368"/>
      <c r="F481" s="381"/>
      <c r="G481" s="329"/>
      <c r="H481" s="369">
        <v>1</v>
      </c>
      <c r="I481" s="379"/>
      <c r="J481" s="679">
        <f>H481</f>
        <v>1</v>
      </c>
    </row>
    <row r="482" spans="1:10" s="292" customFormat="1">
      <c r="A482" s="378"/>
      <c r="B482" s="366"/>
      <c r="C482" s="367"/>
      <c r="D482" s="368"/>
      <c r="E482" s="368"/>
      <c r="F482" s="381"/>
      <c r="G482" s="329"/>
      <c r="H482" s="369"/>
      <c r="I482" s="379"/>
      <c r="J482" s="727"/>
    </row>
    <row r="483" spans="1:10" s="292" customFormat="1">
      <c r="A483" s="378" t="s">
        <v>1241</v>
      </c>
      <c r="B483" s="366" t="s">
        <v>173</v>
      </c>
      <c r="C483" s="367" t="s">
        <v>78</v>
      </c>
      <c r="D483" s="368">
        <v>1</v>
      </c>
      <c r="E483" s="368"/>
      <c r="F483" s="381"/>
      <c r="G483" s="329"/>
      <c r="H483" s="369">
        <v>1</v>
      </c>
      <c r="I483" s="379"/>
      <c r="J483" s="679">
        <f>H483</f>
        <v>1</v>
      </c>
    </row>
    <row r="484" spans="1:10" s="292" customFormat="1">
      <c r="A484" s="378"/>
      <c r="B484" s="366"/>
      <c r="C484" s="367"/>
      <c r="D484" s="368"/>
      <c r="E484" s="368"/>
      <c r="F484" s="381"/>
      <c r="G484" s="329"/>
      <c r="H484" s="369"/>
      <c r="I484" s="379"/>
      <c r="J484" s="727"/>
    </row>
    <row r="485" spans="1:10" s="292" customFormat="1">
      <c r="A485" s="378" t="s">
        <v>1242</v>
      </c>
      <c r="B485" s="366" t="s">
        <v>175</v>
      </c>
      <c r="C485" s="367" t="s">
        <v>78</v>
      </c>
      <c r="D485" s="368">
        <v>1</v>
      </c>
      <c r="E485" s="368"/>
      <c r="F485" s="381"/>
      <c r="G485" s="329"/>
      <c r="H485" s="369">
        <v>1</v>
      </c>
      <c r="I485" s="379"/>
      <c r="J485" s="679">
        <f>H485</f>
        <v>1</v>
      </c>
    </row>
    <row r="486" spans="1:10" s="292" customFormat="1">
      <c r="A486" s="378"/>
      <c r="B486" s="366"/>
      <c r="C486" s="367"/>
      <c r="D486" s="368"/>
      <c r="E486" s="368"/>
      <c r="F486" s="381"/>
      <c r="G486" s="329"/>
      <c r="H486" s="369"/>
      <c r="I486" s="379"/>
      <c r="J486" s="727"/>
    </row>
    <row r="487" spans="1:10" s="292" customFormat="1">
      <c r="A487" s="378" t="s">
        <v>1243</v>
      </c>
      <c r="B487" s="366" t="s">
        <v>177</v>
      </c>
      <c r="C487" s="367" t="s">
        <v>78</v>
      </c>
      <c r="D487" s="368">
        <v>1</v>
      </c>
      <c r="E487" s="368"/>
      <c r="F487" s="381"/>
      <c r="G487" s="329"/>
      <c r="H487" s="369">
        <v>1</v>
      </c>
      <c r="I487" s="379"/>
      <c r="J487" s="679">
        <f>H487</f>
        <v>1</v>
      </c>
    </row>
    <row r="488" spans="1:10" s="292" customFormat="1">
      <c r="A488" s="378"/>
      <c r="B488" s="366"/>
      <c r="C488" s="367"/>
      <c r="D488" s="368"/>
      <c r="E488" s="368"/>
      <c r="F488" s="381"/>
      <c r="G488" s="329"/>
      <c r="H488" s="369"/>
      <c r="I488" s="379"/>
      <c r="J488" s="727"/>
    </row>
    <row r="489" spans="1:10" s="292" customFormat="1">
      <c r="A489" s="378" t="s">
        <v>1244</v>
      </c>
      <c r="B489" s="366" t="s">
        <v>179</v>
      </c>
      <c r="C489" s="367" t="s">
        <v>78</v>
      </c>
      <c r="D489" s="368">
        <v>1</v>
      </c>
      <c r="E489" s="368"/>
      <c r="F489" s="381"/>
      <c r="G489" s="329"/>
      <c r="H489" s="369">
        <v>1</v>
      </c>
      <c r="I489" s="379"/>
      <c r="J489" s="679">
        <f>H489</f>
        <v>1</v>
      </c>
    </row>
    <row r="490" spans="1:10" s="292" customFormat="1">
      <c r="A490" s="310"/>
      <c r="B490" s="366"/>
      <c r="C490" s="367"/>
      <c r="D490" s="368"/>
      <c r="E490" s="368"/>
      <c r="F490" s="381"/>
      <c r="G490" s="329"/>
      <c r="H490" s="369"/>
      <c r="I490" s="379"/>
      <c r="J490" s="380"/>
    </row>
    <row r="491" spans="1:10" s="292" customFormat="1">
      <c r="A491" s="378" t="s">
        <v>2323</v>
      </c>
      <c r="B491" s="366" t="s">
        <v>2324</v>
      </c>
      <c r="C491" s="367" t="s">
        <v>78</v>
      </c>
      <c r="D491" s="368">
        <v>1</v>
      </c>
      <c r="E491" s="368"/>
      <c r="F491" s="381"/>
      <c r="G491" s="329"/>
      <c r="H491" s="369">
        <v>1</v>
      </c>
      <c r="I491" s="379"/>
      <c r="J491" s="679">
        <f>H491</f>
        <v>1</v>
      </c>
    </row>
    <row r="492" spans="1:10" s="292" customFormat="1">
      <c r="A492" s="310"/>
      <c r="B492" s="366"/>
      <c r="C492" s="367"/>
      <c r="D492" s="368"/>
      <c r="E492" s="368"/>
      <c r="F492" s="381"/>
      <c r="G492" s="329"/>
      <c r="H492" s="369"/>
      <c r="I492" s="379"/>
      <c r="J492" s="380"/>
    </row>
    <row r="493" spans="1:10" s="292" customFormat="1">
      <c r="A493" s="378" t="s">
        <v>1246</v>
      </c>
      <c r="B493" s="366" t="s">
        <v>183</v>
      </c>
      <c r="C493" s="367" t="s">
        <v>36</v>
      </c>
      <c r="D493" s="368">
        <v>13.9</v>
      </c>
      <c r="E493" s="368"/>
      <c r="F493" s="395">
        <v>0</v>
      </c>
      <c r="G493" s="396">
        <v>0</v>
      </c>
      <c r="H493" s="397">
        <v>0</v>
      </c>
      <c r="I493" s="383"/>
      <c r="J493" s="679">
        <f>SUM(H493:H494)</f>
        <v>39.799999999999997</v>
      </c>
    </row>
    <row r="494" spans="1:10" s="292" customFormat="1">
      <c r="A494" s="378"/>
      <c r="B494" s="366"/>
      <c r="C494" s="367"/>
      <c r="D494" s="368"/>
      <c r="E494" s="368"/>
      <c r="F494" s="381" t="s">
        <v>1197</v>
      </c>
      <c r="G494" s="329" t="s">
        <v>2363</v>
      </c>
      <c r="H494" s="369">
        <f>22.4+17.4</f>
        <v>39.799999999999997</v>
      </c>
      <c r="I494" s="379"/>
      <c r="J494" s="380"/>
    </row>
    <row r="495" spans="1:10" s="292" customFormat="1">
      <c r="A495" s="378"/>
      <c r="B495" s="366"/>
      <c r="C495" s="367"/>
      <c r="D495" s="368"/>
      <c r="E495" s="368"/>
      <c r="F495" s="381"/>
      <c r="G495" s="329"/>
      <c r="H495" s="369"/>
      <c r="I495" s="379"/>
      <c r="J495" s="380"/>
    </row>
    <row r="496" spans="1:10" s="292" customFormat="1">
      <c r="A496" s="310" t="s">
        <v>1247</v>
      </c>
      <c r="B496" s="366" t="s">
        <v>185</v>
      </c>
      <c r="C496" s="367" t="s">
        <v>36</v>
      </c>
      <c r="D496" s="368">
        <v>94.15</v>
      </c>
      <c r="E496" s="368"/>
      <c r="F496" s="381" t="s">
        <v>2314</v>
      </c>
      <c r="G496" s="329" t="s">
        <v>2315</v>
      </c>
      <c r="H496" s="369">
        <f>19.1+8.62</f>
        <v>27.72</v>
      </c>
      <c r="I496" s="379"/>
      <c r="J496" s="679">
        <f>SUM(H496:H502)</f>
        <v>106.10000000000001</v>
      </c>
    </row>
    <row r="497" spans="1:10" s="292" customFormat="1">
      <c r="A497" s="310"/>
      <c r="B497" s="366"/>
      <c r="C497" s="367"/>
      <c r="D497" s="368"/>
      <c r="E497" s="368"/>
      <c r="F497" s="381" t="s">
        <v>2316</v>
      </c>
      <c r="G497" s="329">
        <v>16.899999999999999</v>
      </c>
      <c r="H497" s="369">
        <f>G497</f>
        <v>16.899999999999999</v>
      </c>
      <c r="I497" s="379"/>
      <c r="J497" s="380"/>
    </row>
    <row r="498" spans="1:10" s="292" customFormat="1">
      <c r="A498" s="310"/>
      <c r="B498" s="366"/>
      <c r="C498" s="367"/>
      <c r="D498" s="368"/>
      <c r="E498" s="368"/>
      <c r="F498" s="381" t="s">
        <v>2318</v>
      </c>
      <c r="G498" s="329" t="s">
        <v>2317</v>
      </c>
      <c r="H498" s="369">
        <f>26.1+6.2</f>
        <v>32.300000000000004</v>
      </c>
      <c r="I498" s="379"/>
      <c r="J498" s="380"/>
    </row>
    <row r="499" spans="1:10" s="292" customFormat="1">
      <c r="A499" s="310"/>
      <c r="B499" s="366"/>
      <c r="C499" s="367"/>
      <c r="D499" s="368"/>
      <c r="E499" s="368"/>
      <c r="F499" s="381" t="s">
        <v>2319</v>
      </c>
      <c r="G499" s="329">
        <v>3.48</v>
      </c>
      <c r="H499" s="369">
        <f>G499</f>
        <v>3.48</v>
      </c>
      <c r="I499" s="379"/>
      <c r="J499" s="380"/>
    </row>
    <row r="500" spans="1:10" s="292" customFormat="1">
      <c r="A500" s="310"/>
      <c r="B500" s="366"/>
      <c r="C500" s="367"/>
      <c r="D500" s="368"/>
      <c r="E500" s="368"/>
      <c r="F500" s="381" t="s">
        <v>2364</v>
      </c>
      <c r="G500" s="329">
        <v>11.5</v>
      </c>
      <c r="H500" s="369">
        <v>11.5</v>
      </c>
      <c r="I500" s="379"/>
      <c r="J500" s="380"/>
    </row>
    <row r="501" spans="1:10" s="292" customFormat="1">
      <c r="A501" s="310"/>
      <c r="B501" s="366"/>
      <c r="C501" s="367"/>
      <c r="D501" s="368"/>
      <c r="E501" s="368"/>
      <c r="F501" s="381" t="s">
        <v>2365</v>
      </c>
      <c r="G501" s="329">
        <v>14.2</v>
      </c>
      <c r="H501" s="369">
        <v>14.2</v>
      </c>
      <c r="I501" s="379"/>
      <c r="J501" s="380"/>
    </row>
    <row r="502" spans="1:10" s="292" customFormat="1">
      <c r="A502" s="310"/>
      <c r="B502" s="366"/>
      <c r="C502" s="367"/>
      <c r="D502" s="368"/>
      <c r="E502" s="368"/>
      <c r="F502" s="381"/>
      <c r="G502" s="329"/>
      <c r="H502" s="369"/>
      <c r="I502" s="379"/>
      <c r="J502" s="380"/>
    </row>
    <row r="503" spans="1:10" s="292" customFormat="1">
      <c r="A503" s="378" t="s">
        <v>1248</v>
      </c>
      <c r="B503" s="366" t="s">
        <v>187</v>
      </c>
      <c r="C503" s="367" t="s">
        <v>36</v>
      </c>
      <c r="D503" s="368">
        <v>13.5</v>
      </c>
      <c r="E503" s="368"/>
      <c r="F503" s="381" t="s">
        <v>2314</v>
      </c>
      <c r="G503" s="329">
        <v>13.5</v>
      </c>
      <c r="H503" s="369">
        <f>G503</f>
        <v>13.5</v>
      </c>
      <c r="I503" s="379"/>
      <c r="J503" s="679">
        <f>SUM(H503:H504)</f>
        <v>13.5</v>
      </c>
    </row>
    <row r="504" spans="1:10" s="292" customFormat="1">
      <c r="A504" s="378"/>
      <c r="B504" s="366"/>
      <c r="C504" s="367"/>
      <c r="D504" s="368"/>
      <c r="E504" s="368"/>
      <c r="F504" s="381"/>
      <c r="G504" s="329"/>
      <c r="H504" s="369"/>
      <c r="I504" s="379"/>
      <c r="J504" s="380"/>
    </row>
    <row r="505" spans="1:10" s="292" customFormat="1">
      <c r="A505" s="310" t="s">
        <v>1249</v>
      </c>
      <c r="B505" s="366" t="s">
        <v>189</v>
      </c>
      <c r="C505" s="367" t="s">
        <v>36</v>
      </c>
      <c r="D505" s="368">
        <v>13.7</v>
      </c>
      <c r="E505" s="368"/>
      <c r="F505" s="381" t="s">
        <v>2325</v>
      </c>
      <c r="G505" s="329" t="s">
        <v>2326</v>
      </c>
      <c r="H505" s="369">
        <f>13.7*2</f>
        <v>27.4</v>
      </c>
      <c r="I505" s="379"/>
      <c r="J505" s="679">
        <f>SUM(H505:H506)</f>
        <v>27.4</v>
      </c>
    </row>
    <row r="506" spans="1:10" s="292" customFormat="1">
      <c r="A506" s="310"/>
      <c r="B506" s="366"/>
      <c r="C506" s="367"/>
      <c r="D506" s="368"/>
      <c r="E506" s="368"/>
      <c r="F506" s="381"/>
      <c r="G506" s="329"/>
      <c r="H506" s="369"/>
      <c r="I506" s="379"/>
      <c r="J506" s="380"/>
    </row>
    <row r="507" spans="1:10" s="292" customFormat="1">
      <c r="A507" s="378" t="s">
        <v>1250</v>
      </c>
      <c r="B507" s="366" t="s">
        <v>191</v>
      </c>
      <c r="C507" s="367" t="s">
        <v>36</v>
      </c>
      <c r="D507" s="368">
        <v>17.920000000000002</v>
      </c>
      <c r="E507" s="368"/>
      <c r="F507" s="381" t="s">
        <v>2328</v>
      </c>
      <c r="G507" s="329" t="s">
        <v>2363</v>
      </c>
      <c r="H507" s="369">
        <f>22.4+17.4</f>
        <v>39.799999999999997</v>
      </c>
      <c r="I507" s="379"/>
      <c r="J507" s="679">
        <f>SUM(H507:H508)</f>
        <v>39.799999999999997</v>
      </c>
    </row>
    <row r="508" spans="1:10" s="292" customFormat="1">
      <c r="A508" s="378"/>
      <c r="B508" s="366"/>
      <c r="C508" s="367"/>
      <c r="D508" s="368"/>
      <c r="E508" s="368"/>
      <c r="F508" s="381"/>
      <c r="G508" s="329"/>
      <c r="H508" s="369"/>
      <c r="I508" s="379"/>
      <c r="J508" s="380"/>
    </row>
    <row r="509" spans="1:10" s="292" customFormat="1">
      <c r="A509" s="310" t="s">
        <v>1251</v>
      </c>
      <c r="B509" s="366" t="s">
        <v>193</v>
      </c>
      <c r="C509" s="367" t="s">
        <v>78</v>
      </c>
      <c r="D509" s="368">
        <v>1</v>
      </c>
      <c r="E509" s="368"/>
      <c r="F509" s="381"/>
      <c r="G509" s="329"/>
      <c r="H509" s="369">
        <v>1</v>
      </c>
      <c r="I509" s="379"/>
      <c r="J509" s="679">
        <f>SUM(H509:H510)</f>
        <v>1</v>
      </c>
    </row>
    <row r="510" spans="1:10" s="292" customFormat="1">
      <c r="A510" s="310"/>
      <c r="B510" s="366"/>
      <c r="C510" s="367"/>
      <c r="D510" s="368"/>
      <c r="E510" s="368"/>
      <c r="F510" s="381"/>
      <c r="G510" s="329"/>
      <c r="H510" s="369"/>
      <c r="I510" s="379"/>
      <c r="J510" s="380"/>
    </row>
    <row r="511" spans="1:10" s="292" customFormat="1">
      <c r="A511" s="378" t="s">
        <v>1252</v>
      </c>
      <c r="B511" s="366" t="s">
        <v>195</v>
      </c>
      <c r="C511" s="367" t="s">
        <v>78</v>
      </c>
      <c r="D511" s="368">
        <v>2</v>
      </c>
      <c r="E511" s="368"/>
      <c r="F511" s="381"/>
      <c r="G511" s="329"/>
      <c r="H511" s="369">
        <v>2</v>
      </c>
      <c r="I511" s="379"/>
      <c r="J511" s="679">
        <f>SUM(H511:H512)</f>
        <v>2</v>
      </c>
    </row>
    <row r="512" spans="1:10" s="292" customFormat="1">
      <c r="A512" s="378"/>
      <c r="B512" s="366"/>
      <c r="C512" s="367"/>
      <c r="D512" s="368"/>
      <c r="E512" s="368"/>
      <c r="F512" s="381"/>
      <c r="G512" s="329"/>
      <c r="H512" s="369"/>
      <c r="I512" s="379"/>
      <c r="J512" s="380"/>
    </row>
    <row r="513" spans="1:10" s="292" customFormat="1">
      <c r="A513" s="310" t="s">
        <v>1253</v>
      </c>
      <c r="B513" s="366" t="s">
        <v>197</v>
      </c>
      <c r="C513" s="367" t="s">
        <v>78</v>
      </c>
      <c r="D513" s="368">
        <v>1</v>
      </c>
      <c r="E513" s="368"/>
      <c r="F513" s="381"/>
      <c r="G513" s="329"/>
      <c r="H513" s="369">
        <v>1</v>
      </c>
      <c r="I513" s="379"/>
      <c r="J513" s="679">
        <f>SUM(H513:H514)</f>
        <v>1</v>
      </c>
    </row>
    <row r="514" spans="1:10" s="292" customFormat="1">
      <c r="A514" s="310"/>
      <c r="B514" s="366"/>
      <c r="C514" s="367"/>
      <c r="D514" s="368"/>
      <c r="E514" s="368"/>
      <c r="F514" s="381"/>
      <c r="G514" s="329"/>
      <c r="H514" s="369"/>
      <c r="I514" s="379"/>
      <c r="J514" s="380"/>
    </row>
    <row r="515" spans="1:10" s="292" customFormat="1">
      <c r="A515" s="378" t="s">
        <v>1254</v>
      </c>
      <c r="B515" s="366" t="s">
        <v>199</v>
      </c>
      <c r="C515" s="367" t="s">
        <v>78</v>
      </c>
      <c r="D515" s="368">
        <v>3</v>
      </c>
      <c r="E515" s="368"/>
      <c r="F515" s="381"/>
      <c r="G515" s="329"/>
      <c r="H515" s="369">
        <v>3</v>
      </c>
      <c r="I515" s="379"/>
      <c r="J515" s="679">
        <f>SUM(H515:H516)</f>
        <v>3</v>
      </c>
    </row>
    <row r="516" spans="1:10" s="292" customFormat="1">
      <c r="A516" s="378"/>
      <c r="B516" s="366"/>
      <c r="C516" s="367"/>
      <c r="D516" s="368"/>
      <c r="E516" s="368"/>
      <c r="F516" s="381"/>
      <c r="G516" s="329"/>
      <c r="H516" s="369"/>
      <c r="I516" s="379"/>
      <c r="J516" s="380"/>
    </row>
    <row r="517" spans="1:10" s="292" customFormat="1">
      <c r="A517" s="310" t="s">
        <v>1255</v>
      </c>
      <c r="B517" s="366" t="s">
        <v>201</v>
      </c>
      <c r="C517" s="367" t="s">
        <v>78</v>
      </c>
      <c r="D517" s="368">
        <v>4</v>
      </c>
      <c r="E517" s="368"/>
      <c r="F517" s="381"/>
      <c r="G517" s="329"/>
      <c r="H517" s="369">
        <v>4</v>
      </c>
      <c r="I517" s="379"/>
      <c r="J517" s="679">
        <f>SUM(H517:H518)</f>
        <v>4</v>
      </c>
    </row>
    <row r="518" spans="1:10" s="292" customFormat="1">
      <c r="A518" s="310"/>
      <c r="B518" s="366"/>
      <c r="C518" s="367"/>
      <c r="D518" s="368"/>
      <c r="E518" s="368"/>
      <c r="F518" s="381"/>
      <c r="G518" s="329"/>
      <c r="H518" s="369"/>
      <c r="I518" s="379"/>
      <c r="J518" s="380"/>
    </row>
    <row r="519" spans="1:10" s="292" customFormat="1">
      <c r="A519" s="378" t="s">
        <v>1256</v>
      </c>
      <c r="B519" s="366" t="s">
        <v>203</v>
      </c>
      <c r="C519" s="367" t="s">
        <v>78</v>
      </c>
      <c r="D519" s="368">
        <v>5</v>
      </c>
      <c r="E519" s="368"/>
      <c r="F519" s="381"/>
      <c r="G519" s="329"/>
      <c r="H519" s="369">
        <v>5</v>
      </c>
      <c r="I519" s="379"/>
      <c r="J519" s="679">
        <f>SUM(H519:H520)</f>
        <v>5</v>
      </c>
    </row>
    <row r="520" spans="1:10" s="292" customFormat="1">
      <c r="A520" s="378"/>
      <c r="B520" s="366"/>
      <c r="C520" s="367"/>
      <c r="D520" s="368"/>
      <c r="E520" s="368"/>
      <c r="F520" s="381"/>
      <c r="G520" s="329"/>
      <c r="H520" s="369"/>
      <c r="I520" s="379"/>
      <c r="J520" s="380"/>
    </row>
    <row r="521" spans="1:10" s="292" customFormat="1">
      <c r="A521" s="310" t="s">
        <v>1257</v>
      </c>
      <c r="B521" s="366" t="s">
        <v>205</v>
      </c>
      <c r="C521" s="367" t="s">
        <v>78</v>
      </c>
      <c r="D521" s="368">
        <v>1</v>
      </c>
      <c r="E521" s="368"/>
      <c r="F521" s="381"/>
      <c r="G521" s="329"/>
      <c r="H521" s="369">
        <v>1</v>
      </c>
      <c r="I521" s="379"/>
      <c r="J521" s="679">
        <f>SUM(H521:H522)</f>
        <v>1</v>
      </c>
    </row>
    <row r="522" spans="1:10" s="292" customFormat="1">
      <c r="A522" s="310"/>
      <c r="B522" s="366"/>
      <c r="C522" s="367"/>
      <c r="D522" s="368"/>
      <c r="E522" s="368"/>
      <c r="F522" s="381"/>
      <c r="G522" s="329"/>
      <c r="H522" s="369"/>
      <c r="I522" s="379"/>
      <c r="J522" s="380"/>
    </row>
    <row r="523" spans="1:10" s="292" customFormat="1">
      <c r="A523" s="378" t="s">
        <v>1258</v>
      </c>
      <c r="B523" s="366" t="s">
        <v>207</v>
      </c>
      <c r="C523" s="367" t="s">
        <v>78</v>
      </c>
      <c r="D523" s="368">
        <v>2</v>
      </c>
      <c r="E523" s="368"/>
      <c r="F523" s="381"/>
      <c r="G523" s="329"/>
      <c r="H523" s="369">
        <v>2</v>
      </c>
      <c r="I523" s="379"/>
      <c r="J523" s="679">
        <f>SUM(H523:H524)</f>
        <v>2</v>
      </c>
    </row>
    <row r="524" spans="1:10" s="292" customFormat="1">
      <c r="A524" s="378"/>
      <c r="B524" s="366"/>
      <c r="C524" s="367"/>
      <c r="D524" s="368"/>
      <c r="E524" s="368"/>
      <c r="F524" s="381"/>
      <c r="G524" s="329"/>
      <c r="H524" s="369"/>
      <c r="I524" s="379"/>
      <c r="J524" s="380"/>
    </row>
    <row r="525" spans="1:10" s="292" customFormat="1">
      <c r="A525" s="310" t="s">
        <v>1259</v>
      </c>
      <c r="B525" s="366" t="s">
        <v>209</v>
      </c>
      <c r="C525" s="367" t="s">
        <v>78</v>
      </c>
      <c r="D525" s="368">
        <v>1</v>
      </c>
      <c r="E525" s="368"/>
      <c r="F525" s="381"/>
      <c r="G525" s="329"/>
      <c r="H525" s="369">
        <v>1</v>
      </c>
      <c r="I525" s="379"/>
      <c r="J525" s="679">
        <f>SUM(H525:H526)</f>
        <v>1</v>
      </c>
    </row>
    <row r="526" spans="1:10" s="292" customFormat="1">
      <c r="A526" s="310"/>
      <c r="B526" s="366"/>
      <c r="C526" s="367"/>
      <c r="D526" s="368"/>
      <c r="E526" s="368"/>
      <c r="F526" s="381"/>
      <c r="G526" s="329"/>
      <c r="H526" s="369"/>
      <c r="I526" s="379"/>
      <c r="J526" s="380"/>
    </row>
    <row r="527" spans="1:10" s="292" customFormat="1">
      <c r="A527" s="378" t="s">
        <v>1260</v>
      </c>
      <c r="B527" s="366" t="s">
        <v>211</v>
      </c>
      <c r="C527" s="367" t="s">
        <v>78</v>
      </c>
      <c r="D527" s="368">
        <v>6</v>
      </c>
      <c r="E527" s="368"/>
      <c r="F527" s="381"/>
      <c r="G527" s="329"/>
      <c r="H527" s="369">
        <v>6</v>
      </c>
      <c r="I527" s="379"/>
      <c r="J527" s="679">
        <f>SUM(H527:H528)</f>
        <v>6</v>
      </c>
    </row>
    <row r="528" spans="1:10" s="292" customFormat="1">
      <c r="A528" s="378"/>
      <c r="B528" s="366"/>
      <c r="C528" s="367"/>
      <c r="D528" s="368"/>
      <c r="E528" s="368"/>
      <c r="F528" s="381"/>
      <c r="G528" s="329"/>
      <c r="H528" s="369"/>
      <c r="I528" s="379"/>
      <c r="J528" s="380"/>
    </row>
    <row r="529" spans="1:10" s="292" customFormat="1">
      <c r="A529" s="310" t="s">
        <v>1261</v>
      </c>
      <c r="B529" s="366" t="s">
        <v>213</v>
      </c>
      <c r="C529" s="367" t="s">
        <v>78</v>
      </c>
      <c r="D529" s="368">
        <v>2</v>
      </c>
      <c r="E529" s="368"/>
      <c r="F529" s="381"/>
      <c r="G529" s="329"/>
      <c r="H529" s="369">
        <v>2</v>
      </c>
      <c r="I529" s="379"/>
      <c r="J529" s="679">
        <f>SUM(H529:H530)</f>
        <v>2</v>
      </c>
    </row>
    <row r="530" spans="1:10" s="292" customFormat="1">
      <c r="A530" s="310"/>
      <c r="B530" s="366"/>
      <c r="C530" s="367"/>
      <c r="D530" s="368"/>
      <c r="E530" s="368"/>
      <c r="F530" s="381"/>
      <c r="G530" s="329"/>
      <c r="H530" s="369"/>
      <c r="I530" s="379"/>
      <c r="J530" s="380"/>
    </row>
    <row r="531" spans="1:10" s="292" customFormat="1">
      <c r="A531" s="378" t="s">
        <v>1262</v>
      </c>
      <c r="B531" s="366" t="s">
        <v>215</v>
      </c>
      <c r="C531" s="367" t="s">
        <v>78</v>
      </c>
      <c r="D531" s="368">
        <v>2</v>
      </c>
      <c r="E531" s="368"/>
      <c r="F531" s="381"/>
      <c r="G531" s="329"/>
      <c r="H531" s="369">
        <v>2</v>
      </c>
      <c r="I531" s="379"/>
      <c r="J531" s="679">
        <f>SUM(H531:H532)</f>
        <v>2</v>
      </c>
    </row>
    <row r="532" spans="1:10" s="292" customFormat="1">
      <c r="A532" s="378"/>
      <c r="B532" s="366"/>
      <c r="C532" s="367"/>
      <c r="D532" s="368"/>
      <c r="E532" s="368"/>
      <c r="F532" s="381"/>
      <c r="G532" s="329"/>
      <c r="H532" s="369"/>
      <c r="I532" s="379"/>
      <c r="J532" s="380"/>
    </row>
    <row r="533" spans="1:10" s="292" customFormat="1">
      <c r="A533" s="310" t="s">
        <v>1263</v>
      </c>
      <c r="B533" s="366" t="s">
        <v>217</v>
      </c>
      <c r="C533" s="367" t="s">
        <v>78</v>
      </c>
      <c r="D533" s="368">
        <v>1</v>
      </c>
      <c r="E533" s="368"/>
      <c r="F533" s="381"/>
      <c r="G533" s="329"/>
      <c r="H533" s="369">
        <v>1</v>
      </c>
      <c r="I533" s="379"/>
      <c r="J533" s="679">
        <f>SUM(H533:H534)</f>
        <v>1</v>
      </c>
    </row>
    <row r="534" spans="1:10" s="292" customFormat="1">
      <c r="A534" s="310"/>
      <c r="B534" s="366"/>
      <c r="C534" s="367"/>
      <c r="D534" s="368"/>
      <c r="E534" s="368"/>
      <c r="F534" s="381"/>
      <c r="G534" s="329"/>
      <c r="H534" s="369"/>
      <c r="I534" s="379"/>
      <c r="J534" s="380"/>
    </row>
    <row r="535" spans="1:10" s="292" customFormat="1">
      <c r="A535" s="378" t="s">
        <v>1264</v>
      </c>
      <c r="B535" s="366" t="s">
        <v>219</v>
      </c>
      <c r="C535" s="367" t="s">
        <v>78</v>
      </c>
      <c r="D535" s="368">
        <v>12</v>
      </c>
      <c r="E535" s="368"/>
      <c r="F535" s="381"/>
      <c r="G535" s="329"/>
      <c r="H535" s="369">
        <v>12</v>
      </c>
      <c r="I535" s="379"/>
      <c r="J535" s="679">
        <f>SUM(H535:H536)</f>
        <v>12</v>
      </c>
    </row>
    <row r="536" spans="1:10" s="292" customFormat="1">
      <c r="A536" s="378"/>
      <c r="B536" s="366"/>
      <c r="C536" s="367"/>
      <c r="D536" s="368"/>
      <c r="E536" s="368"/>
      <c r="F536" s="381"/>
      <c r="G536" s="329"/>
      <c r="H536" s="369"/>
      <c r="I536" s="379"/>
      <c r="J536" s="380"/>
    </row>
    <row r="537" spans="1:10" s="292" customFormat="1">
      <c r="A537" s="310" t="s">
        <v>1265</v>
      </c>
      <c r="B537" s="366" t="s">
        <v>221</v>
      </c>
      <c r="C537" s="367" t="s">
        <v>78</v>
      </c>
      <c r="D537" s="368">
        <v>2</v>
      </c>
      <c r="E537" s="368"/>
      <c r="F537" s="381"/>
      <c r="G537" s="329"/>
      <c r="H537" s="369">
        <v>2</v>
      </c>
      <c r="I537" s="379"/>
      <c r="J537" s="679">
        <f>SUM(H537:H538)</f>
        <v>2</v>
      </c>
    </row>
    <row r="538" spans="1:10" s="292" customFormat="1">
      <c r="A538" s="310"/>
      <c r="B538" s="366"/>
      <c r="C538" s="367"/>
      <c r="D538" s="368"/>
      <c r="E538" s="368"/>
      <c r="F538" s="381"/>
      <c r="G538" s="329"/>
      <c r="H538" s="369"/>
      <c r="I538" s="379"/>
      <c r="J538" s="380"/>
    </row>
    <row r="539" spans="1:10" s="292" customFormat="1">
      <c r="A539" s="378" t="s">
        <v>1266</v>
      </c>
      <c r="B539" s="366" t="s">
        <v>223</v>
      </c>
      <c r="C539" s="367" t="s">
        <v>78</v>
      </c>
      <c r="D539" s="368">
        <v>4</v>
      </c>
      <c r="E539" s="368"/>
      <c r="F539" s="381"/>
      <c r="G539" s="329"/>
      <c r="H539" s="369">
        <v>4</v>
      </c>
      <c r="I539" s="379"/>
      <c r="J539" s="679">
        <f>SUM(H539:H540)</f>
        <v>4</v>
      </c>
    </row>
    <row r="540" spans="1:10" s="292" customFormat="1">
      <c r="A540" s="378"/>
      <c r="B540" s="366"/>
      <c r="C540" s="367"/>
      <c r="D540" s="368"/>
      <c r="E540" s="368"/>
      <c r="F540" s="381"/>
      <c r="G540" s="329"/>
      <c r="H540" s="369"/>
      <c r="I540" s="379"/>
      <c r="J540" s="380"/>
    </row>
    <row r="541" spans="1:10" s="292" customFormat="1" ht="106.5" customHeight="1">
      <c r="A541" s="310" t="s">
        <v>1267</v>
      </c>
      <c r="B541" s="366" t="s">
        <v>225</v>
      </c>
      <c r="C541" s="367" t="s">
        <v>52</v>
      </c>
      <c r="D541" s="368">
        <v>676.98</v>
      </c>
      <c r="E541" s="368">
        <v>773.78</v>
      </c>
      <c r="F541" s="396" t="s">
        <v>1047</v>
      </c>
      <c r="G541" s="398" t="s">
        <v>1268</v>
      </c>
      <c r="H541" s="397">
        <f>137.28*2*0.1+371.9*2*0.1+72*2*0.1+72*2*0.1+71*0.1*4+8*7+3*0.4*9+0.4*4*5+30*0.1*2</f>
        <v>239.83600000000001</v>
      </c>
      <c r="I541" s="383"/>
      <c r="J541" s="679">
        <f>SUM(H541:H560)</f>
        <v>740.19399999999996</v>
      </c>
    </row>
    <row r="542" spans="1:10" s="292" customFormat="1" ht="16.5" customHeight="1">
      <c r="A542" s="310"/>
      <c r="B542" s="366"/>
      <c r="C542" s="367"/>
      <c r="D542" s="368"/>
      <c r="E542" s="774"/>
      <c r="F542" s="680" t="s">
        <v>2330</v>
      </c>
      <c r="G542" s="775" t="s">
        <v>2331</v>
      </c>
      <c r="H542" s="763">
        <f>139.2*2*0.1</f>
        <v>27.84</v>
      </c>
      <c r="I542" s="722"/>
      <c r="J542" s="727"/>
    </row>
    <row r="543" spans="1:10" s="292" customFormat="1" ht="16.5" customHeight="1">
      <c r="A543" s="310"/>
      <c r="B543" s="366"/>
      <c r="C543" s="367"/>
      <c r="D543" s="368"/>
      <c r="E543" s="774"/>
      <c r="F543" s="680" t="s">
        <v>2333</v>
      </c>
      <c r="G543" s="775" t="s">
        <v>2332</v>
      </c>
      <c r="H543" s="763">
        <f>48.6*2*0.1</f>
        <v>9.7200000000000006</v>
      </c>
      <c r="I543" s="722"/>
      <c r="J543" s="727"/>
    </row>
    <row r="544" spans="1:10" s="292" customFormat="1" ht="16.5" customHeight="1">
      <c r="A544" s="310"/>
      <c r="B544" s="366"/>
      <c r="C544" s="367"/>
      <c r="D544" s="368"/>
      <c r="E544" s="774"/>
      <c r="F544" s="680" t="s">
        <v>2342</v>
      </c>
      <c r="G544" s="775" t="s">
        <v>2343</v>
      </c>
      <c r="H544" s="763">
        <f>11.6*2*0.1</f>
        <v>2.3199999999999998</v>
      </c>
      <c r="I544" s="722"/>
      <c r="J544" s="727"/>
    </row>
    <row r="545" spans="1:10" s="292" customFormat="1" ht="16.5" customHeight="1">
      <c r="A545" s="310"/>
      <c r="B545" s="366"/>
      <c r="C545" s="367"/>
      <c r="D545" s="368"/>
      <c r="E545" s="774"/>
      <c r="F545" s="680" t="s">
        <v>2334</v>
      </c>
      <c r="G545" s="775" t="s">
        <v>2336</v>
      </c>
      <c r="H545" s="763">
        <f>(25.4+25.4+2.35*25.4/0.5)*0.2</f>
        <v>34.036000000000001</v>
      </c>
      <c r="I545" s="722"/>
      <c r="J545" s="727"/>
    </row>
    <row r="546" spans="1:10" s="292" customFormat="1" ht="16.5" customHeight="1">
      <c r="A546" s="310"/>
      <c r="B546" s="366"/>
      <c r="C546" s="367"/>
      <c r="D546" s="368"/>
      <c r="E546" s="774"/>
      <c r="F546" s="680" t="s">
        <v>2335</v>
      </c>
      <c r="G546" s="775" t="s">
        <v>2337</v>
      </c>
      <c r="H546" s="763">
        <f>(14.7+14.7+1.6*14.7/0.5)*0.2</f>
        <v>15.288</v>
      </c>
      <c r="I546" s="722"/>
      <c r="J546" s="727"/>
    </row>
    <row r="547" spans="1:10" s="292" customFormat="1" ht="16.5" customHeight="1">
      <c r="A547" s="310"/>
      <c r="B547" s="366"/>
      <c r="C547" s="367"/>
      <c r="D547" s="368"/>
      <c r="E547" s="774"/>
      <c r="F547" s="680" t="s">
        <v>2338</v>
      </c>
      <c r="G547" s="775" t="s">
        <v>2339</v>
      </c>
      <c r="H547" s="763">
        <f>12.75*2*0.1</f>
        <v>2.5500000000000003</v>
      </c>
      <c r="I547" s="722"/>
      <c r="J547" s="727"/>
    </row>
    <row r="548" spans="1:10" s="292" customFormat="1" ht="16.5" customHeight="1">
      <c r="A548" s="310"/>
      <c r="B548" s="366"/>
      <c r="C548" s="367"/>
      <c r="D548" s="368"/>
      <c r="E548" s="774"/>
      <c r="F548" s="680" t="s">
        <v>2341</v>
      </c>
      <c r="G548" s="775" t="s">
        <v>2340</v>
      </c>
      <c r="H548" s="763">
        <f>4*0.4*10</f>
        <v>16</v>
      </c>
      <c r="I548" s="722"/>
      <c r="J548" s="727"/>
    </row>
    <row r="549" spans="1:10" s="292" customFormat="1" ht="16.5" customHeight="1">
      <c r="A549" s="310"/>
      <c r="B549" s="366"/>
      <c r="C549" s="367"/>
      <c r="D549" s="368"/>
      <c r="E549" s="774"/>
      <c r="F549" s="680" t="s">
        <v>2344</v>
      </c>
      <c r="G549" s="775" t="s">
        <v>2345</v>
      </c>
      <c r="H549" s="763">
        <f>(3+3.5*2*0.1+4.5*2*0.2)*4</f>
        <v>22</v>
      </c>
      <c r="I549" s="722"/>
      <c r="J549" s="727"/>
    </row>
    <row r="550" spans="1:10" s="292" customFormat="1" ht="16.5" customHeight="1">
      <c r="A550" s="310"/>
      <c r="B550" s="366"/>
      <c r="C550" s="367"/>
      <c r="D550" s="368"/>
      <c r="E550" s="774"/>
      <c r="F550" s="680" t="s">
        <v>2346</v>
      </c>
      <c r="G550" s="775" t="s">
        <v>2347</v>
      </c>
      <c r="H550" s="763">
        <f>3*0.4*8*13</f>
        <v>124.80000000000001</v>
      </c>
      <c r="I550" s="722"/>
      <c r="J550" s="727"/>
    </row>
    <row r="551" spans="1:10" s="292" customFormat="1" ht="16.5" customHeight="1">
      <c r="A551" s="310"/>
      <c r="B551" s="366"/>
      <c r="C551" s="367"/>
      <c r="D551" s="368"/>
      <c r="E551" s="774"/>
      <c r="F551" s="680" t="s">
        <v>2348</v>
      </c>
      <c r="G551" s="775" t="s">
        <v>2349</v>
      </c>
      <c r="H551" s="763">
        <f>1*7</f>
        <v>7</v>
      </c>
      <c r="I551" s="722"/>
      <c r="J551" s="727"/>
    </row>
    <row r="552" spans="1:10" s="292" customFormat="1" ht="16.5" customHeight="1">
      <c r="A552" s="310"/>
      <c r="B552" s="366"/>
      <c r="C552" s="367"/>
      <c r="D552" s="368"/>
      <c r="E552" s="774"/>
      <c r="F552" s="680" t="s">
        <v>2351</v>
      </c>
      <c r="G552" s="775">
        <v>3</v>
      </c>
      <c r="H552" s="763">
        <v>3</v>
      </c>
      <c r="I552" s="722"/>
      <c r="J552" s="727"/>
    </row>
    <row r="553" spans="1:10" s="292" customFormat="1" ht="16.5" customHeight="1">
      <c r="A553" s="310"/>
      <c r="B553" s="366"/>
      <c r="C553" s="367"/>
      <c r="D553" s="368"/>
      <c r="E553" s="774"/>
      <c r="F553" s="680" t="s">
        <v>2350</v>
      </c>
      <c r="G553" s="775">
        <v>5</v>
      </c>
      <c r="H553" s="763">
        <v>5</v>
      </c>
      <c r="I553" s="722"/>
      <c r="J553" s="727"/>
    </row>
    <row r="554" spans="1:10" s="292" customFormat="1" ht="16.5" customHeight="1">
      <c r="A554" s="310"/>
      <c r="B554" s="366"/>
      <c r="C554" s="367"/>
      <c r="D554" s="368"/>
      <c r="E554" s="774"/>
      <c r="F554" s="680" t="s">
        <v>2352</v>
      </c>
      <c r="G554" s="775" t="s">
        <v>2353</v>
      </c>
      <c r="H554" s="763">
        <f>(6+2)*0.1*52</f>
        <v>41.6</v>
      </c>
      <c r="I554" s="722"/>
      <c r="J554" s="727"/>
    </row>
    <row r="555" spans="1:10" s="292" customFormat="1" ht="16.5" customHeight="1">
      <c r="A555" s="310"/>
      <c r="B555" s="366"/>
      <c r="C555" s="367"/>
      <c r="D555" s="368"/>
      <c r="E555" s="774"/>
      <c r="F555" s="680" t="s">
        <v>2354</v>
      </c>
      <c r="G555" s="775" t="s">
        <v>2355</v>
      </c>
      <c r="H555" s="763">
        <f>(2+1)*0.1*46</f>
        <v>13.800000000000002</v>
      </c>
      <c r="I555" s="722"/>
      <c r="J555" s="727"/>
    </row>
    <row r="556" spans="1:10" s="292" customFormat="1" ht="16.5" customHeight="1">
      <c r="A556" s="310"/>
      <c r="B556" s="366"/>
      <c r="C556" s="367"/>
      <c r="D556" s="368"/>
      <c r="E556" s="774"/>
      <c r="F556" s="680" t="s">
        <v>2357</v>
      </c>
      <c r="G556" s="775" t="s">
        <v>2356</v>
      </c>
      <c r="H556" s="763">
        <f>(7.9+6.9)*2*0.2+8.79*4*2*0.1</f>
        <v>12.952000000000002</v>
      </c>
      <c r="I556" s="722"/>
      <c r="J556" s="727"/>
    </row>
    <row r="557" spans="1:10" s="292" customFormat="1" ht="16.5" customHeight="1">
      <c r="A557" s="310"/>
      <c r="B557" s="366"/>
      <c r="C557" s="367"/>
      <c r="D557" s="368"/>
      <c r="E557" s="774"/>
      <c r="F557" s="680" t="s">
        <v>2358</v>
      </c>
      <c r="G557" s="775" t="s">
        <v>2356</v>
      </c>
      <c r="H557" s="763">
        <f>(7.9+6.9)*2*0.2+8.79*4*2*0.1</f>
        <v>12.952000000000002</v>
      </c>
      <c r="I557" s="722"/>
      <c r="J557" s="727"/>
    </row>
    <row r="558" spans="1:10" s="292" customFormat="1" ht="16.5" customHeight="1">
      <c r="A558" s="310"/>
      <c r="B558" s="366"/>
      <c r="C558" s="367"/>
      <c r="D558" s="368"/>
      <c r="E558" s="774"/>
      <c r="F558" s="776" t="s">
        <v>2361</v>
      </c>
      <c r="G558" s="775" t="s">
        <v>2359</v>
      </c>
      <c r="H558" s="763">
        <f>(139.2+48.6)*2*0.2</f>
        <v>75.11999999999999</v>
      </c>
      <c r="I558" s="722"/>
      <c r="J558" s="727"/>
    </row>
    <row r="559" spans="1:10" s="292" customFormat="1" ht="16.5" customHeight="1">
      <c r="A559" s="310"/>
      <c r="B559" s="366"/>
      <c r="C559" s="367"/>
      <c r="D559" s="368"/>
      <c r="E559" s="774"/>
      <c r="F559" s="776" t="s">
        <v>2360</v>
      </c>
      <c r="G559" s="775" t="s">
        <v>2362</v>
      </c>
      <c r="H559" s="763">
        <f>371.9*0.1*2</f>
        <v>74.38</v>
      </c>
      <c r="I559" s="722"/>
      <c r="J559" s="727"/>
    </row>
    <row r="560" spans="1:10" s="292" customFormat="1">
      <c r="A560" s="310"/>
      <c r="B560" s="366"/>
      <c r="C560" s="367"/>
      <c r="D560" s="368"/>
      <c r="E560" s="368"/>
      <c r="F560" s="381"/>
      <c r="G560" s="329"/>
      <c r="H560" s="369"/>
      <c r="I560" s="379"/>
      <c r="J560" s="380"/>
    </row>
    <row r="561" spans="1:10" s="292" customFormat="1">
      <c r="A561" s="378" t="s">
        <v>1269</v>
      </c>
      <c r="B561" s="366" t="s">
        <v>227</v>
      </c>
      <c r="C561" s="367" t="s">
        <v>228</v>
      </c>
      <c r="D561" s="368">
        <v>2</v>
      </c>
      <c r="E561" s="368"/>
      <c r="F561" s="381"/>
      <c r="G561" s="371">
        <v>2</v>
      </c>
      <c r="H561" s="399">
        <v>2</v>
      </c>
      <c r="I561" s="379"/>
      <c r="J561" s="679">
        <f>SUM(H561:H562)</f>
        <v>2</v>
      </c>
    </row>
    <row r="562" spans="1:10" s="292" customFormat="1">
      <c r="A562" s="378"/>
      <c r="B562" s="366"/>
      <c r="C562" s="367"/>
      <c r="D562" s="368"/>
      <c r="E562" s="368"/>
      <c r="F562" s="381"/>
      <c r="G562" s="371"/>
      <c r="H562" s="399"/>
      <c r="I562" s="379"/>
      <c r="J562" s="380"/>
    </row>
    <row r="563" spans="1:10" s="292" customFormat="1">
      <c r="A563" s="310" t="s">
        <v>1270</v>
      </c>
      <c r="B563" s="366" t="s">
        <v>230</v>
      </c>
      <c r="C563" s="367" t="s">
        <v>78</v>
      </c>
      <c r="D563" s="368">
        <v>1</v>
      </c>
      <c r="E563" s="368"/>
      <c r="F563" s="381"/>
      <c r="G563" s="371">
        <v>1</v>
      </c>
      <c r="H563" s="399">
        <v>1</v>
      </c>
      <c r="I563" s="379"/>
      <c r="J563" s="679">
        <f>SUM(H563:H564)</f>
        <v>1</v>
      </c>
    </row>
    <row r="564" spans="1:10" s="292" customFormat="1">
      <c r="A564" s="310"/>
      <c r="B564" s="366"/>
      <c r="C564" s="367"/>
      <c r="D564" s="368"/>
      <c r="E564" s="368"/>
      <c r="F564" s="381"/>
      <c r="G564" s="371"/>
      <c r="H564" s="399"/>
      <c r="I564" s="379"/>
      <c r="J564" s="380"/>
    </row>
    <row r="565" spans="1:10" s="292" customFormat="1">
      <c r="A565" s="378" t="s">
        <v>1271</v>
      </c>
      <c r="B565" s="366" t="s">
        <v>232</v>
      </c>
      <c r="C565" s="367" t="s">
        <v>228</v>
      </c>
      <c r="D565" s="368">
        <v>3</v>
      </c>
      <c r="E565" s="368"/>
      <c r="F565" s="381"/>
      <c r="G565" s="371">
        <v>3</v>
      </c>
      <c r="H565" s="399">
        <v>3</v>
      </c>
      <c r="I565" s="379"/>
      <c r="J565" s="679">
        <f>SUM(H565:H566)</f>
        <v>3</v>
      </c>
    </row>
    <row r="566" spans="1:10" s="292" customFormat="1">
      <c r="A566" s="378"/>
      <c r="B566" s="366"/>
      <c r="C566" s="367"/>
      <c r="D566" s="368"/>
      <c r="E566" s="368"/>
      <c r="F566" s="381"/>
      <c r="G566" s="371"/>
      <c r="H566" s="399"/>
      <c r="I566" s="379"/>
      <c r="J566" s="380"/>
    </row>
    <row r="567" spans="1:10" s="292" customFormat="1">
      <c r="A567" s="310" t="s">
        <v>1272</v>
      </c>
      <c r="B567" s="366" t="s">
        <v>235</v>
      </c>
      <c r="C567" s="367" t="s">
        <v>78</v>
      </c>
      <c r="D567" s="368">
        <v>1</v>
      </c>
      <c r="E567" s="368"/>
      <c r="F567" s="381"/>
      <c r="G567" s="371">
        <v>1</v>
      </c>
      <c r="H567" s="399">
        <v>1</v>
      </c>
      <c r="I567" s="379"/>
      <c r="J567" s="679">
        <f>SUM(H567:H568)</f>
        <v>1</v>
      </c>
    </row>
    <row r="568" spans="1:10" s="292" customFormat="1">
      <c r="A568" s="310"/>
      <c r="B568" s="366"/>
      <c r="C568" s="367"/>
      <c r="D568" s="368"/>
      <c r="E568" s="368"/>
      <c r="F568" s="381"/>
      <c r="G568" s="329"/>
      <c r="H568" s="369"/>
      <c r="I568" s="379"/>
      <c r="J568" s="380"/>
    </row>
    <row r="569" spans="1:10" s="292" customFormat="1">
      <c r="A569" s="378" t="s">
        <v>1273</v>
      </c>
      <c r="B569" s="366" t="s">
        <v>238</v>
      </c>
      <c r="C569" s="367" t="s">
        <v>239</v>
      </c>
      <c r="D569" s="368">
        <v>63.68</v>
      </c>
      <c r="E569" s="368"/>
      <c r="F569" s="381"/>
      <c r="G569" s="329">
        <v>63.68</v>
      </c>
      <c r="H569" s="369">
        <v>63.68</v>
      </c>
      <c r="I569" s="379"/>
      <c r="J569" s="679">
        <f>SUM(H569:H570)</f>
        <v>63.68</v>
      </c>
    </row>
    <row r="570" spans="1:10" s="292" customFormat="1">
      <c r="A570" s="378"/>
      <c r="B570" s="366"/>
      <c r="C570" s="367"/>
      <c r="D570" s="368"/>
      <c r="E570" s="368"/>
      <c r="F570" s="381"/>
      <c r="G570" s="329"/>
      <c r="H570" s="369"/>
      <c r="I570" s="379"/>
      <c r="J570" s="380"/>
    </row>
    <row r="571" spans="1:10" s="292" customFormat="1">
      <c r="A571" s="310" t="s">
        <v>1274</v>
      </c>
      <c r="B571" s="366" t="s">
        <v>242</v>
      </c>
      <c r="C571" s="367" t="s">
        <v>78</v>
      </c>
      <c r="D571" s="368">
        <v>62</v>
      </c>
      <c r="E571" s="368"/>
      <c r="F571" s="381"/>
      <c r="G571" s="371">
        <v>62</v>
      </c>
      <c r="H571" s="399">
        <v>62</v>
      </c>
      <c r="I571" s="379"/>
      <c r="J571" s="679">
        <f>SUM(H571:H572)</f>
        <v>62</v>
      </c>
    </row>
    <row r="572" spans="1:10" s="292" customFormat="1">
      <c r="A572" s="310"/>
      <c r="B572" s="366"/>
      <c r="C572" s="367"/>
      <c r="D572" s="368"/>
      <c r="E572" s="368"/>
      <c r="F572" s="381"/>
      <c r="G572" s="371"/>
      <c r="H572" s="399"/>
      <c r="I572" s="379"/>
      <c r="J572" s="380"/>
    </row>
    <row r="573" spans="1:10" s="292" customFormat="1">
      <c r="A573" s="378" t="s">
        <v>1275</v>
      </c>
      <c r="B573" s="366" t="s">
        <v>244</v>
      </c>
      <c r="C573" s="367" t="s">
        <v>78</v>
      </c>
      <c r="D573" s="368">
        <v>15</v>
      </c>
      <c r="E573" s="368"/>
      <c r="F573" s="381"/>
      <c r="G573" s="371">
        <v>15</v>
      </c>
      <c r="H573" s="399">
        <v>15</v>
      </c>
      <c r="I573" s="379"/>
      <c r="J573" s="679">
        <f>SUM(H573:H574)</f>
        <v>15</v>
      </c>
    </row>
    <row r="574" spans="1:10" s="292" customFormat="1">
      <c r="A574" s="378"/>
      <c r="B574" s="366"/>
      <c r="C574" s="367"/>
      <c r="D574" s="368"/>
      <c r="E574" s="368"/>
      <c r="F574" s="381"/>
      <c r="G574" s="371"/>
      <c r="H574" s="399"/>
      <c r="I574" s="379"/>
      <c r="J574" s="380"/>
    </row>
    <row r="575" spans="1:10" s="292" customFormat="1">
      <c r="A575" s="310" t="s">
        <v>1276</v>
      </c>
      <c r="B575" s="366" t="s">
        <v>246</v>
      </c>
      <c r="C575" s="367" t="s">
        <v>36</v>
      </c>
      <c r="D575" s="368">
        <v>13</v>
      </c>
      <c r="E575" s="368"/>
      <c r="F575" s="381"/>
      <c r="G575" s="371">
        <v>13</v>
      </c>
      <c r="H575" s="399">
        <v>13</v>
      </c>
      <c r="I575" s="379"/>
      <c r="J575" s="679">
        <f>SUM(H575:H576)</f>
        <v>13</v>
      </c>
    </row>
    <row r="576" spans="1:10" s="292" customFormat="1">
      <c r="A576" s="310"/>
      <c r="B576" s="366"/>
      <c r="C576" s="367"/>
      <c r="D576" s="368"/>
      <c r="E576" s="368"/>
      <c r="F576" s="381"/>
      <c r="G576" s="371"/>
      <c r="H576" s="399"/>
      <c r="I576" s="379"/>
      <c r="J576" s="380"/>
    </row>
    <row r="577" spans="1:10" s="292" customFormat="1">
      <c r="A577" s="378" t="s">
        <v>1277</v>
      </c>
      <c r="B577" s="366" t="s">
        <v>248</v>
      </c>
      <c r="C577" s="367" t="s">
        <v>36</v>
      </c>
      <c r="D577" s="368">
        <v>41.7</v>
      </c>
      <c r="E577" s="368"/>
      <c r="F577" s="381"/>
      <c r="G577" s="371">
        <v>41.7</v>
      </c>
      <c r="H577" s="399">
        <v>41.7</v>
      </c>
      <c r="I577" s="379"/>
      <c r="J577" s="679">
        <f>SUM(H577:H578)</f>
        <v>41.7</v>
      </c>
    </row>
    <row r="578" spans="1:10" s="292" customFormat="1">
      <c r="A578" s="378"/>
      <c r="B578" s="366"/>
      <c r="C578" s="367"/>
      <c r="D578" s="368"/>
      <c r="E578" s="368"/>
      <c r="F578" s="381"/>
      <c r="G578" s="371"/>
      <c r="H578" s="399"/>
      <c r="I578" s="379"/>
      <c r="J578" s="380"/>
    </row>
    <row r="579" spans="1:10" s="292" customFormat="1">
      <c r="A579" s="310" t="s">
        <v>1278</v>
      </c>
      <c r="B579" s="366" t="s">
        <v>250</v>
      </c>
      <c r="C579" s="367" t="s">
        <v>36</v>
      </c>
      <c r="D579" s="368">
        <v>1.3</v>
      </c>
      <c r="E579" s="368"/>
      <c r="F579" s="381"/>
      <c r="G579" s="371">
        <v>1.3</v>
      </c>
      <c r="H579" s="399">
        <v>1.3</v>
      </c>
      <c r="I579" s="379"/>
      <c r="J579" s="679">
        <f>SUM(H579:H580)</f>
        <v>1.3</v>
      </c>
    </row>
    <row r="580" spans="1:10" s="292" customFormat="1">
      <c r="A580" s="310"/>
      <c r="B580" s="366"/>
      <c r="C580" s="367"/>
      <c r="D580" s="368"/>
      <c r="E580" s="368"/>
      <c r="F580" s="381"/>
      <c r="G580" s="329"/>
      <c r="H580" s="369"/>
      <c r="I580" s="379"/>
      <c r="J580" s="380"/>
    </row>
    <row r="581" spans="1:10" s="292" customFormat="1" ht="33">
      <c r="A581" s="378" t="s">
        <v>1279</v>
      </c>
      <c r="B581" s="366" t="s">
        <v>252</v>
      </c>
      <c r="C581" s="367" t="s">
        <v>36</v>
      </c>
      <c r="D581" s="368">
        <v>122.3</v>
      </c>
      <c r="E581" s="368"/>
      <c r="F581" s="381"/>
      <c r="G581" s="329" t="s">
        <v>2377</v>
      </c>
      <c r="H581" s="369">
        <f>16+13.7+23.3+4.9+5.1+20.5+14.8+11.8+12.2</f>
        <v>122.3</v>
      </c>
      <c r="I581" s="379"/>
      <c r="J581" s="679">
        <f>SUM(H581:H582)</f>
        <v>122.3</v>
      </c>
    </row>
    <row r="582" spans="1:10" s="292" customFormat="1">
      <c r="A582" s="378"/>
      <c r="B582" s="366"/>
      <c r="C582" s="367"/>
      <c r="D582" s="368"/>
      <c r="E582" s="368"/>
      <c r="F582" s="381"/>
      <c r="G582" s="329"/>
      <c r="H582" s="369"/>
      <c r="I582" s="379"/>
      <c r="J582" s="380"/>
    </row>
    <row r="583" spans="1:10" s="292" customFormat="1" ht="33">
      <c r="A583" s="310" t="s">
        <v>1280</v>
      </c>
      <c r="B583" s="366" t="s">
        <v>254</v>
      </c>
      <c r="C583" s="367" t="s">
        <v>36</v>
      </c>
      <c r="D583" s="368">
        <v>101.01</v>
      </c>
      <c r="E583" s="368"/>
      <c r="F583" s="381"/>
      <c r="G583" s="329" t="s">
        <v>2378</v>
      </c>
      <c r="H583" s="369">
        <f>14.7+15.3+19.9+16.1+18.2+16.9</f>
        <v>101.1</v>
      </c>
      <c r="I583" s="379"/>
      <c r="J583" s="679">
        <f>SUM(H583:H584)</f>
        <v>101.1</v>
      </c>
    </row>
    <row r="584" spans="1:10" s="292" customFormat="1">
      <c r="A584" s="310"/>
      <c r="B584" s="366"/>
      <c r="C584" s="367"/>
      <c r="D584" s="368"/>
      <c r="E584" s="368"/>
      <c r="F584" s="381"/>
      <c r="G584" s="329"/>
      <c r="H584" s="369"/>
      <c r="I584" s="379"/>
      <c r="J584" s="380"/>
    </row>
    <row r="585" spans="1:10" s="292" customFormat="1" ht="115.5">
      <c r="A585" s="378" t="s">
        <v>1281</v>
      </c>
      <c r="B585" s="366" t="s">
        <v>256</v>
      </c>
      <c r="C585" s="367" t="s">
        <v>36</v>
      </c>
      <c r="D585" s="368">
        <v>489</v>
      </c>
      <c r="E585" s="368"/>
      <c r="F585" s="381"/>
      <c r="G585" s="329" t="s">
        <v>2379</v>
      </c>
      <c r="H585" s="369">
        <f>(29.1+17.6)+(12.1+12.3+14.5+14.4+14.4+10+15.9)+4.1+12.4+(21.4+16.8+3.5+4.3)+(12.9+13+14.4+14.4)+(2.5+7.8+10)+(29.5+15.8)+(23.5+32.5)+(19+14.4+14.4+15.8)+(14.1+14.2+9+9)</f>
        <v>489.00000000000006</v>
      </c>
      <c r="I585" s="379"/>
      <c r="J585" s="679">
        <f>SUM(H585:H586)</f>
        <v>489.00000000000006</v>
      </c>
    </row>
    <row r="586" spans="1:10" s="292" customFormat="1">
      <c r="A586" s="378"/>
      <c r="B586" s="366"/>
      <c r="C586" s="367"/>
      <c r="D586" s="368"/>
      <c r="E586" s="368"/>
      <c r="F586" s="381"/>
      <c r="G586" s="329"/>
      <c r="H586" s="369"/>
      <c r="I586" s="379"/>
      <c r="J586" s="380"/>
    </row>
    <row r="587" spans="1:10" s="292" customFormat="1" ht="66">
      <c r="A587" s="310" t="s">
        <v>1282</v>
      </c>
      <c r="B587" s="366" t="s">
        <v>258</v>
      </c>
      <c r="C587" s="367" t="s">
        <v>36</v>
      </c>
      <c r="D587" s="368">
        <v>216</v>
      </c>
      <c r="E587" s="368"/>
      <c r="F587" s="381"/>
      <c r="G587" s="329" t="s">
        <v>2380</v>
      </c>
      <c r="H587" s="369">
        <f>(24+14.2)+(6.5+9.3+2.2+1.2+15.1+1.6+18.7+8.6+12.5+12.2)+(16.6+15.8+10.8+14+18.3)+14.4</f>
        <v>216</v>
      </c>
      <c r="I587" s="379"/>
      <c r="J587" s="679">
        <f>SUM(H587:H588)</f>
        <v>216</v>
      </c>
    </row>
    <row r="588" spans="1:10" s="292" customFormat="1">
      <c r="A588" s="310"/>
      <c r="B588" s="366"/>
      <c r="C588" s="367"/>
      <c r="D588" s="368"/>
      <c r="E588" s="368"/>
      <c r="F588" s="381"/>
      <c r="G588" s="329"/>
      <c r="H588" s="369"/>
      <c r="I588" s="379"/>
      <c r="J588" s="380"/>
    </row>
    <row r="589" spans="1:10" s="292" customFormat="1" ht="33">
      <c r="A589" s="378" t="s">
        <v>1283</v>
      </c>
      <c r="B589" s="366" t="s">
        <v>260</v>
      </c>
      <c r="C589" s="367" t="s">
        <v>36</v>
      </c>
      <c r="D589" s="368">
        <v>45.16</v>
      </c>
      <c r="E589" s="368"/>
      <c r="F589" s="381"/>
      <c r="G589" s="329" t="s">
        <v>2381</v>
      </c>
      <c r="H589" s="369">
        <f>(2.2+2.5+0.8+2.6+2.4+0.4+2.8+3.2+2.5+2.5+3+2.2)+18.06</f>
        <v>45.16</v>
      </c>
      <c r="I589" s="379"/>
      <c r="J589" s="679">
        <f>SUM(H589:H590)</f>
        <v>45.16</v>
      </c>
    </row>
    <row r="590" spans="1:10" s="292" customFormat="1">
      <c r="A590" s="378"/>
      <c r="B590" s="366"/>
      <c r="C590" s="367"/>
      <c r="D590" s="368"/>
      <c r="E590" s="368"/>
      <c r="F590" s="381"/>
      <c r="G590" s="329"/>
      <c r="H590" s="369"/>
      <c r="I590" s="379"/>
      <c r="J590" s="380"/>
    </row>
    <row r="591" spans="1:10" s="292" customFormat="1" ht="66">
      <c r="A591" s="310" t="s">
        <v>1284</v>
      </c>
      <c r="B591" s="366" t="s">
        <v>262</v>
      </c>
      <c r="C591" s="367" t="s">
        <v>36</v>
      </c>
      <c r="D591" s="368">
        <v>116.8</v>
      </c>
      <c r="E591" s="368"/>
      <c r="F591" s="381"/>
      <c r="G591" s="329" t="s">
        <v>2382</v>
      </c>
      <c r="H591" s="369">
        <f>1.1+1.1+3.9+3.2+2.9+6.1+5.1+3+3+1.2+4.8+9.2+3.3+2+7+2.9+17+2.9+1+14.2+14.4+3.8+3.7</f>
        <v>116.8</v>
      </c>
      <c r="I591" s="379"/>
      <c r="J591" s="679">
        <f>SUM(H591:H592)</f>
        <v>116.8</v>
      </c>
    </row>
    <row r="592" spans="1:10" s="292" customFormat="1">
      <c r="A592" s="310"/>
      <c r="B592" s="366"/>
      <c r="C592" s="367"/>
      <c r="D592" s="368"/>
      <c r="E592" s="368"/>
      <c r="F592" s="381"/>
      <c r="G592" s="329"/>
      <c r="H592" s="369"/>
      <c r="I592" s="379"/>
      <c r="J592" s="380"/>
    </row>
    <row r="593" spans="1:11" s="292" customFormat="1" ht="33">
      <c r="A593" s="378" t="s">
        <v>1285</v>
      </c>
      <c r="B593" s="366" t="s">
        <v>264</v>
      </c>
      <c r="C593" s="367" t="s">
        <v>36</v>
      </c>
      <c r="D593" s="368">
        <v>25.8</v>
      </c>
      <c r="E593" s="368"/>
      <c r="F593" s="381"/>
      <c r="G593" s="329" t="s">
        <v>2383</v>
      </c>
      <c r="H593" s="369">
        <f>9.1+8.9+7.8</f>
        <v>25.8</v>
      </c>
      <c r="I593" s="379"/>
      <c r="J593" s="679">
        <f>SUM(H593:H594)</f>
        <v>25.8</v>
      </c>
    </row>
    <row r="594" spans="1:11" s="292" customFormat="1">
      <c r="A594" s="378"/>
      <c r="B594" s="366"/>
      <c r="C594" s="367"/>
      <c r="D594" s="368"/>
      <c r="E594" s="368"/>
      <c r="F594" s="381"/>
      <c r="G594" s="329"/>
      <c r="H594" s="369"/>
      <c r="I594" s="379"/>
      <c r="J594" s="380"/>
    </row>
    <row r="595" spans="1:11" s="292" customFormat="1">
      <c r="A595" s="310" t="s">
        <v>1286</v>
      </c>
      <c r="B595" s="366" t="s">
        <v>266</v>
      </c>
      <c r="C595" s="367" t="s">
        <v>36</v>
      </c>
      <c r="D595" s="368">
        <v>53.89</v>
      </c>
      <c r="E595" s="368"/>
      <c r="F595" s="381"/>
      <c r="G595" s="329" t="s">
        <v>2384</v>
      </c>
      <c r="H595" s="369">
        <f>23+11.2+11.8+7.9</f>
        <v>53.9</v>
      </c>
      <c r="I595" s="379"/>
      <c r="J595" s="679">
        <f>SUM(H595:H596)</f>
        <v>53.9</v>
      </c>
    </row>
    <row r="596" spans="1:11" s="292" customFormat="1">
      <c r="A596" s="310"/>
      <c r="B596" s="366"/>
      <c r="C596" s="367"/>
      <c r="D596" s="368"/>
      <c r="E596" s="368"/>
      <c r="F596" s="381"/>
      <c r="G596" s="329"/>
      <c r="H596" s="369"/>
      <c r="I596" s="379"/>
      <c r="J596" s="380"/>
    </row>
    <row r="597" spans="1:11" s="292" customFormat="1">
      <c r="A597" s="378" t="s">
        <v>1287</v>
      </c>
      <c r="B597" s="366" t="s">
        <v>268</v>
      </c>
      <c r="C597" s="367" t="s">
        <v>36</v>
      </c>
      <c r="D597" s="368">
        <v>21</v>
      </c>
      <c r="E597" s="368"/>
      <c r="F597" s="381"/>
      <c r="G597" s="329" t="s">
        <v>2385</v>
      </c>
      <c r="H597" s="369">
        <f>11.3+9.7</f>
        <v>21</v>
      </c>
      <c r="I597" s="379"/>
      <c r="J597" s="679">
        <f>SUM(H597:H598)</f>
        <v>21</v>
      </c>
    </row>
    <row r="598" spans="1:11" s="292" customFormat="1">
      <c r="A598" s="378"/>
      <c r="B598" s="366"/>
      <c r="C598" s="367"/>
      <c r="D598" s="368"/>
      <c r="E598" s="368"/>
      <c r="F598" s="381"/>
      <c r="G598" s="329"/>
      <c r="H598" s="369"/>
      <c r="I598" s="379"/>
      <c r="J598" s="380"/>
    </row>
    <row r="599" spans="1:11" s="292" customFormat="1" ht="33">
      <c r="A599" s="310" t="s">
        <v>1288</v>
      </c>
      <c r="B599" s="366" t="s">
        <v>270</v>
      </c>
      <c r="C599" s="367" t="s">
        <v>36</v>
      </c>
      <c r="D599" s="368">
        <v>275.60000000000002</v>
      </c>
      <c r="E599" s="368"/>
      <c r="F599" s="381"/>
      <c r="G599" s="329" t="s">
        <v>2386</v>
      </c>
      <c r="H599" s="369">
        <f>46+40.7+13.6+53.7+14.1+8.9+98.6</f>
        <v>275.60000000000002</v>
      </c>
      <c r="I599" s="379"/>
      <c r="J599" s="679">
        <f>SUM(H599:H600)</f>
        <v>275.60000000000002</v>
      </c>
    </row>
    <row r="600" spans="1:11" s="292" customFormat="1">
      <c r="A600" s="400"/>
      <c r="B600" s="401"/>
      <c r="C600" s="402"/>
      <c r="D600" s="403"/>
      <c r="E600" s="403"/>
      <c r="F600" s="404"/>
      <c r="G600" s="405"/>
      <c r="H600" s="406"/>
      <c r="I600" s="407"/>
      <c r="J600" s="380"/>
    </row>
    <row r="601" spans="1:11" s="292" customFormat="1">
      <c r="A601" s="408" t="s">
        <v>1289</v>
      </c>
      <c r="B601" s="409" t="s">
        <v>272</v>
      </c>
      <c r="C601" s="410" t="s">
        <v>78</v>
      </c>
      <c r="D601" s="411">
        <v>1</v>
      </c>
      <c r="E601" s="411"/>
      <c r="F601" s="412"/>
      <c r="G601" s="413">
        <v>1</v>
      </c>
      <c r="H601" s="414">
        <v>1</v>
      </c>
      <c r="I601" s="415"/>
      <c r="J601" s="679">
        <f>SUM(H601:H602)</f>
        <v>1</v>
      </c>
    </row>
    <row r="602" spans="1:11" s="292" customFormat="1">
      <c r="A602" s="408"/>
      <c r="B602" s="409"/>
      <c r="C602" s="410"/>
      <c r="D602" s="411"/>
      <c r="E602" s="411"/>
      <c r="F602" s="412"/>
      <c r="G602" s="413"/>
      <c r="H602" s="414"/>
      <c r="I602" s="415"/>
      <c r="J602" s="380"/>
    </row>
    <row r="603" spans="1:11" s="292" customFormat="1" ht="17.25" customHeight="1">
      <c r="A603" s="416"/>
      <c r="B603" s="417"/>
      <c r="C603" s="418"/>
      <c r="D603" s="419"/>
      <c r="E603" s="419"/>
      <c r="F603" s="404"/>
      <c r="G603" s="405"/>
      <c r="H603" s="406"/>
      <c r="I603" s="380"/>
      <c r="J603" s="380"/>
    </row>
    <row r="604" spans="1:11" s="292" customFormat="1">
      <c r="A604" s="420"/>
      <c r="B604" s="421" t="s">
        <v>1290</v>
      </c>
      <c r="C604" s="422" t="s">
        <v>879</v>
      </c>
      <c r="D604" s="420"/>
      <c r="E604" s="420"/>
      <c r="F604" s="423" t="s">
        <v>1183</v>
      </c>
      <c r="G604" s="424" t="s">
        <v>1291</v>
      </c>
      <c r="H604" s="425">
        <f>2.6*(17.76+22.18)</f>
        <v>103.84399999999999</v>
      </c>
      <c r="I604" s="426"/>
      <c r="J604" s="679">
        <f>SUM(H604:H605)</f>
        <v>103.84399999999999</v>
      </c>
    </row>
    <row r="605" spans="1:11" s="292" customFormat="1">
      <c r="A605" s="317"/>
      <c r="B605" s="427"/>
      <c r="C605" s="330"/>
      <c r="D605" s="317"/>
      <c r="E605" s="317"/>
      <c r="F605" s="388"/>
      <c r="G605" s="350"/>
      <c r="H605" s="389"/>
      <c r="I605" s="380"/>
      <c r="J605" s="380"/>
    </row>
    <row r="606" spans="1:11" s="292" customFormat="1" ht="47.25">
      <c r="A606" s="428"/>
      <c r="B606" s="429" t="s">
        <v>871</v>
      </c>
      <c r="C606" s="430"/>
      <c r="D606" s="430"/>
      <c r="E606" s="430"/>
      <c r="F606" s="424" t="s">
        <v>1292</v>
      </c>
      <c r="G606" s="424" t="s">
        <v>1293</v>
      </c>
      <c r="H606" s="431">
        <f>ROUND(((625-280-15))/0.5,0)</f>
        <v>660</v>
      </c>
      <c r="I606" s="432">
        <f>H606</f>
        <v>660</v>
      </c>
      <c r="J606" s="679">
        <f>SUM(H606:H607)</f>
        <v>660</v>
      </c>
    </row>
    <row r="608" spans="1:11" s="380" customFormat="1">
      <c r="A608" s="317"/>
      <c r="B608" s="433" t="s">
        <v>1294</v>
      </c>
      <c r="C608" s="434" t="s">
        <v>879</v>
      </c>
      <c r="D608" s="434"/>
      <c r="E608" s="434"/>
      <c r="F608" s="424" t="s">
        <v>1174</v>
      </c>
      <c r="G608" s="435" t="s">
        <v>1295</v>
      </c>
      <c r="H608" s="431">
        <f>(625-280)*(0.6+0.25)</f>
        <v>293.25</v>
      </c>
      <c r="I608" s="436"/>
      <c r="J608" s="679">
        <f>SUM(H608:H609)</f>
        <v>293.25</v>
      </c>
      <c r="K608" s="292"/>
    </row>
    <row r="610" spans="2:10" ht="49.5">
      <c r="B610" s="433" t="s">
        <v>2119</v>
      </c>
      <c r="C610" s="434" t="s">
        <v>1045</v>
      </c>
      <c r="D610" s="420"/>
      <c r="E610" s="420"/>
      <c r="F610" s="728" t="s">
        <v>1982</v>
      </c>
      <c r="G610" s="615" t="s">
        <v>1983</v>
      </c>
      <c r="H610" s="765">
        <f>H199/0.15</f>
        <v>515.4</v>
      </c>
      <c r="I610" s="426"/>
      <c r="J610" s="679">
        <f>SUM(H610:H611)</f>
        <v>909.2</v>
      </c>
    </row>
    <row r="611" spans="2:10" ht="49.5">
      <c r="F611" s="713" t="s">
        <v>1987</v>
      </c>
      <c r="G611" s="714" t="s">
        <v>1989</v>
      </c>
      <c r="H611" s="712">
        <f>H200/0.15</f>
        <v>393.8</v>
      </c>
    </row>
  </sheetData>
  <mergeCells count="5">
    <mergeCell ref="A1:H1"/>
    <mergeCell ref="A2:H2"/>
    <mergeCell ref="A3:H3"/>
    <mergeCell ref="A4:F4"/>
    <mergeCell ref="G4:H4"/>
  </mergeCells>
  <phoneticPr fontId="71" type="noConversion"/>
  <pageMargins left="0.51181102362204722" right="0.51181102362204722" top="0.74803149606299213" bottom="0.74803149606299213" header="0.31496062992125984" footer="0.31496062992125984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94ED-E79D-4296-83A9-57508088DBB6}">
  <sheetPr>
    <tabColor rgb="FFFF0000"/>
  </sheetPr>
  <dimension ref="A1:K229"/>
  <sheetViews>
    <sheetView tabSelected="1" view="pageBreakPreview" zoomScale="115" zoomScaleNormal="100" zoomScaleSheetLayoutView="115" workbookViewId="0">
      <pane ySplit="5" topLeftCell="A102" activePane="bottomLeft" state="frozen"/>
      <selection activeCell="K1" sqref="K1:L1048576"/>
      <selection pane="bottomLeft" activeCell="J203" sqref="J203"/>
    </sheetView>
  </sheetViews>
  <sheetFormatPr defaultRowHeight="16.5"/>
  <cols>
    <col min="1" max="1" width="5.125" style="317" customWidth="1"/>
    <col min="2" max="2" width="14.625" style="427" customWidth="1"/>
    <col min="3" max="3" width="5.375" style="317" customWidth="1"/>
    <col min="4" max="4" width="11.75" style="317" customWidth="1"/>
    <col min="5" max="5" width="11.625" style="317" customWidth="1"/>
    <col min="6" max="6" width="26.125" style="437" customWidth="1"/>
    <col min="7" max="7" width="30.875" style="438" customWidth="1"/>
    <col min="8" max="8" width="10.5" style="462" customWidth="1"/>
    <col min="9" max="9" width="10.125" style="380" customWidth="1"/>
    <col min="10" max="10" width="11.625" style="380" customWidth="1"/>
    <col min="11" max="11" width="9" style="292"/>
    <col min="12" max="16384" width="9" style="293"/>
  </cols>
  <sheetData>
    <row r="1" spans="1:11" ht="21" customHeight="1">
      <c r="A1" s="820" t="s">
        <v>0</v>
      </c>
      <c r="B1" s="821"/>
      <c r="C1" s="821"/>
      <c r="D1" s="821"/>
      <c r="E1" s="821"/>
      <c r="F1" s="821"/>
      <c r="G1" s="821"/>
      <c r="H1" s="821"/>
      <c r="I1" s="440"/>
      <c r="J1" s="441"/>
    </row>
    <row r="2" spans="1:11">
      <c r="A2" s="815" t="s">
        <v>907</v>
      </c>
      <c r="B2" s="816"/>
      <c r="C2" s="816"/>
      <c r="D2" s="816"/>
      <c r="E2" s="816"/>
      <c r="F2" s="816"/>
      <c r="G2" s="816"/>
      <c r="H2" s="816"/>
      <c r="I2" s="294"/>
      <c r="J2" s="295"/>
    </row>
    <row r="3" spans="1:11">
      <c r="A3" s="817" t="s">
        <v>908</v>
      </c>
      <c r="B3" s="818"/>
      <c r="C3" s="818"/>
      <c r="D3" s="818"/>
      <c r="E3" s="818"/>
      <c r="F3" s="818"/>
      <c r="G3" s="818"/>
      <c r="H3" s="818"/>
      <c r="I3" s="294"/>
      <c r="J3" s="295"/>
    </row>
    <row r="4" spans="1:11">
      <c r="A4" s="817" t="s">
        <v>909</v>
      </c>
      <c r="B4" s="818"/>
      <c r="C4" s="818"/>
      <c r="D4" s="818"/>
      <c r="E4" s="818"/>
      <c r="F4" s="818"/>
      <c r="G4" s="819" t="s">
        <v>910</v>
      </c>
      <c r="H4" s="819"/>
      <c r="I4" s="296"/>
      <c r="J4" s="297"/>
    </row>
    <row r="5" spans="1:11" ht="33">
      <c r="A5" s="442" t="s">
        <v>9</v>
      </c>
      <c r="B5" s="443" t="s">
        <v>911</v>
      </c>
      <c r="C5" s="443" t="s">
        <v>11</v>
      </c>
      <c r="D5" s="443" t="s">
        <v>912</v>
      </c>
      <c r="E5" s="443" t="s">
        <v>913</v>
      </c>
      <c r="F5" s="300" t="s">
        <v>914</v>
      </c>
      <c r="G5" s="360" t="s">
        <v>915</v>
      </c>
      <c r="H5" s="444" t="s">
        <v>916</v>
      </c>
      <c r="I5" s="365" t="s">
        <v>915</v>
      </c>
      <c r="J5" s="303" t="s">
        <v>917</v>
      </c>
      <c r="K5" s="304"/>
    </row>
    <row r="6" spans="1:11">
      <c r="A6" s="445" t="s">
        <v>273</v>
      </c>
      <c r="B6" s="446" t="s">
        <v>274</v>
      </c>
      <c r="C6" s="447" t="s">
        <v>23</v>
      </c>
      <c r="D6" s="448">
        <v>1</v>
      </c>
      <c r="E6" s="449"/>
      <c r="F6" s="450"/>
      <c r="G6" s="451"/>
      <c r="H6" s="452"/>
      <c r="I6" s="453"/>
    </row>
    <row r="7" spans="1:11" ht="28.5">
      <c r="A7" s="454" t="s">
        <v>1296</v>
      </c>
      <c r="B7" s="351" t="s">
        <v>97</v>
      </c>
      <c r="C7" s="455" t="s">
        <v>98</v>
      </c>
      <c r="D7" s="456">
        <v>274.45</v>
      </c>
      <c r="E7" s="456"/>
      <c r="F7" s="710">
        <v>0</v>
      </c>
      <c r="G7" s="711">
        <v>0</v>
      </c>
      <c r="H7" s="732">
        <v>0</v>
      </c>
      <c r="I7" s="722">
        <v>0</v>
      </c>
      <c r="J7" s="384">
        <f>SUM(H8:H14)</f>
        <v>270.851</v>
      </c>
    </row>
    <row r="8" spans="1:11" ht="33">
      <c r="A8" s="454"/>
      <c r="B8" s="351"/>
      <c r="C8" s="455"/>
      <c r="D8" s="456"/>
      <c r="E8" s="456"/>
      <c r="F8" s="716" t="s">
        <v>1297</v>
      </c>
      <c r="G8" s="681" t="s">
        <v>1298</v>
      </c>
      <c r="H8" s="709">
        <f>(1.5*1.25+0.5*1.5+0.5*0.42)*(15.6+15)</f>
        <v>86.751000000000005</v>
      </c>
      <c r="I8" s="722">
        <f>H8</f>
        <v>86.751000000000005</v>
      </c>
    </row>
    <row r="9" spans="1:11">
      <c r="A9" s="454"/>
      <c r="B9" s="351"/>
      <c r="C9" s="455"/>
      <c r="D9" s="456"/>
      <c r="E9" s="456"/>
      <c r="F9" s="713" t="s">
        <v>1299</v>
      </c>
      <c r="G9" s="714" t="s">
        <v>1300</v>
      </c>
      <c r="H9" s="731">
        <f>5*6*1.1*2+8.42+5*2*1.1</f>
        <v>85.42</v>
      </c>
      <c r="I9" s="722"/>
    </row>
    <row r="10" spans="1:11">
      <c r="A10" s="454"/>
      <c r="B10" s="351"/>
      <c r="C10" s="455"/>
      <c r="D10" s="456"/>
      <c r="E10" s="456"/>
      <c r="F10" s="370" t="s">
        <v>1301</v>
      </c>
      <c r="G10" s="371">
        <v>0</v>
      </c>
      <c r="H10" s="457">
        <v>0</v>
      </c>
      <c r="I10" s="379"/>
    </row>
    <row r="11" spans="1:11">
      <c r="A11" s="454"/>
      <c r="B11" s="351"/>
      <c r="C11" s="455"/>
      <c r="D11" s="456"/>
      <c r="E11" s="456"/>
      <c r="F11" s="370" t="s">
        <v>1302</v>
      </c>
      <c r="G11" s="371">
        <v>19.600000000000001</v>
      </c>
      <c r="H11" s="457">
        <f>G11</f>
        <v>19.600000000000001</v>
      </c>
      <c r="I11" s="379"/>
    </row>
    <row r="12" spans="1:11">
      <c r="A12" s="454"/>
      <c r="B12" s="351"/>
      <c r="C12" s="455"/>
      <c r="D12" s="456"/>
      <c r="E12" s="456"/>
      <c r="F12" s="713" t="s">
        <v>1303</v>
      </c>
      <c r="G12" s="714">
        <v>65.680000000000007</v>
      </c>
      <c r="H12" s="731">
        <f>G12</f>
        <v>65.680000000000007</v>
      </c>
      <c r="I12" s="722"/>
    </row>
    <row r="13" spans="1:11">
      <c r="A13" s="454"/>
      <c r="B13" s="351"/>
      <c r="C13" s="455"/>
      <c r="D13" s="456"/>
      <c r="E13" s="456"/>
      <c r="F13" s="713" t="s">
        <v>1304</v>
      </c>
      <c r="G13" s="714">
        <v>13.4</v>
      </c>
      <c r="H13" s="731">
        <f>G13</f>
        <v>13.4</v>
      </c>
      <c r="I13" s="722"/>
    </row>
    <row r="14" spans="1:11">
      <c r="A14" s="454"/>
      <c r="B14" s="351"/>
      <c r="C14" s="455"/>
      <c r="D14" s="456"/>
      <c r="E14" s="456"/>
      <c r="F14" s="729"/>
      <c r="G14" s="680"/>
      <c r="H14" s="730"/>
      <c r="I14" s="722"/>
    </row>
    <row r="15" spans="1:11" ht="28.5">
      <c r="A15" s="454" t="s">
        <v>1305</v>
      </c>
      <c r="B15" s="351" t="s">
        <v>103</v>
      </c>
      <c r="C15" s="455" t="s">
        <v>31</v>
      </c>
      <c r="D15" s="456">
        <v>44.22</v>
      </c>
      <c r="E15" s="456"/>
      <c r="F15" s="729" t="s">
        <v>1306</v>
      </c>
      <c r="G15" s="680" t="s">
        <v>1307</v>
      </c>
      <c r="H15" s="730">
        <f>16.5*1.92*0.1</f>
        <v>3.1680000000000001</v>
      </c>
      <c r="I15" s="722">
        <f>SUM(H15:H17)</f>
        <v>16.986000000000001</v>
      </c>
      <c r="J15" s="384">
        <f>SUM(H15:H22)</f>
        <v>36.316000000000003</v>
      </c>
    </row>
    <row r="16" spans="1:11">
      <c r="A16" s="454"/>
      <c r="B16" s="351"/>
      <c r="C16" s="455"/>
      <c r="D16" s="456"/>
      <c r="E16" s="456"/>
      <c r="F16" s="729" t="s">
        <v>1308</v>
      </c>
      <c r="G16" s="680" t="s">
        <v>1309</v>
      </c>
      <c r="H16" s="730">
        <f>16.5*(1+1.5+0.42)*0.1</f>
        <v>4.8180000000000005</v>
      </c>
      <c r="I16" s="722"/>
    </row>
    <row r="17" spans="1:10">
      <c r="A17" s="454"/>
      <c r="B17" s="351"/>
      <c r="C17" s="455"/>
      <c r="D17" s="456"/>
      <c r="E17" s="456"/>
      <c r="F17" s="716" t="s">
        <v>1310</v>
      </c>
      <c r="G17" s="681" t="s">
        <v>1311</v>
      </c>
      <c r="H17" s="709">
        <f>9*5*2*0.1</f>
        <v>9</v>
      </c>
      <c r="I17" s="722"/>
    </row>
    <row r="18" spans="1:10" s="292" customFormat="1" ht="33" customHeight="1">
      <c r="A18" s="454"/>
      <c r="B18" s="351"/>
      <c r="C18" s="455"/>
      <c r="D18" s="456"/>
      <c r="E18" s="456"/>
      <c r="F18" s="735" t="s">
        <v>1312</v>
      </c>
      <c r="G18" s="714" t="s">
        <v>2045</v>
      </c>
      <c r="H18" s="731">
        <f>136*0.1</f>
        <v>13.600000000000001</v>
      </c>
      <c r="I18" s="722"/>
      <c r="J18" s="380"/>
    </row>
    <row r="19" spans="1:10" s="292" customFormat="1">
      <c r="A19" s="454"/>
      <c r="B19" s="351"/>
      <c r="C19" s="455"/>
      <c r="D19" s="456"/>
      <c r="E19" s="456"/>
      <c r="F19" s="717" t="s">
        <v>1302</v>
      </c>
      <c r="G19" s="350" t="s">
        <v>2102</v>
      </c>
      <c r="H19" s="389">
        <v>1.05</v>
      </c>
      <c r="I19" s="379"/>
      <c r="J19" s="380"/>
    </row>
    <row r="20" spans="1:10" s="292" customFormat="1">
      <c r="A20" s="454"/>
      <c r="B20" s="351"/>
      <c r="C20" s="455"/>
      <c r="D20" s="456"/>
      <c r="E20" s="456"/>
      <c r="F20" s="717" t="s">
        <v>1303</v>
      </c>
      <c r="G20" s="350" t="s">
        <v>2042</v>
      </c>
      <c r="H20" s="389">
        <v>3.28</v>
      </c>
      <c r="I20" s="379"/>
      <c r="J20" s="380"/>
    </row>
    <row r="21" spans="1:10" s="292" customFormat="1">
      <c r="A21" s="454"/>
      <c r="B21" s="351"/>
      <c r="C21" s="455"/>
      <c r="D21" s="456"/>
      <c r="E21" s="456"/>
      <c r="F21" s="717" t="s">
        <v>1304</v>
      </c>
      <c r="G21" s="350">
        <v>1.4</v>
      </c>
      <c r="H21" s="389">
        <f>G21</f>
        <v>1.4</v>
      </c>
      <c r="I21" s="379"/>
      <c r="J21" s="380"/>
    </row>
    <row r="22" spans="1:10" s="292" customFormat="1">
      <c r="A22" s="454"/>
      <c r="B22" s="351"/>
      <c r="C22" s="455"/>
      <c r="D22" s="456"/>
      <c r="E22" s="456"/>
      <c r="F22" s="381"/>
      <c r="G22" s="329"/>
      <c r="H22" s="458"/>
      <c r="I22" s="379"/>
      <c r="J22" s="380"/>
    </row>
    <row r="23" spans="1:10" s="292" customFormat="1" ht="28.5">
      <c r="A23" s="454" t="s">
        <v>1313</v>
      </c>
      <c r="B23" s="351" t="s">
        <v>104</v>
      </c>
      <c r="C23" s="455" t="s">
        <v>31</v>
      </c>
      <c r="D23" s="456">
        <v>95.97</v>
      </c>
      <c r="E23" s="456"/>
      <c r="F23" s="370" t="s">
        <v>1301</v>
      </c>
      <c r="G23" s="371">
        <v>0</v>
      </c>
      <c r="H23" s="457">
        <v>0</v>
      </c>
      <c r="I23" s="379">
        <v>0</v>
      </c>
      <c r="J23" s="384">
        <f>SUM(H23:H26)</f>
        <v>86.51</v>
      </c>
    </row>
    <row r="24" spans="1:10" s="292" customFormat="1">
      <c r="A24" s="454"/>
      <c r="B24" s="351"/>
      <c r="C24" s="455"/>
      <c r="D24" s="456"/>
      <c r="E24" s="456"/>
      <c r="F24" s="717" t="s">
        <v>1921</v>
      </c>
      <c r="G24" s="350" t="s">
        <v>2103</v>
      </c>
      <c r="H24" s="389">
        <v>16.260000000000002</v>
      </c>
      <c r="I24" s="379"/>
      <c r="J24" s="380"/>
    </row>
    <row r="25" spans="1:10" s="292" customFormat="1">
      <c r="A25" s="454"/>
      <c r="B25" s="351"/>
      <c r="C25" s="455"/>
      <c r="D25" s="456"/>
      <c r="E25" s="456"/>
      <c r="F25" s="717" t="s">
        <v>1303</v>
      </c>
      <c r="G25" s="350" t="s">
        <v>2042</v>
      </c>
      <c r="H25" s="389">
        <v>58.25</v>
      </c>
      <c r="I25" s="379"/>
      <c r="J25" s="380"/>
    </row>
    <row r="26" spans="1:10" s="292" customFormat="1">
      <c r="A26" s="454"/>
      <c r="B26" s="351"/>
      <c r="C26" s="455"/>
      <c r="D26" s="456"/>
      <c r="E26" s="456"/>
      <c r="F26" s="717" t="s">
        <v>1304</v>
      </c>
      <c r="G26" s="350">
        <v>12</v>
      </c>
      <c r="H26" s="389">
        <v>12</v>
      </c>
      <c r="I26" s="379"/>
      <c r="J26" s="380"/>
    </row>
    <row r="27" spans="1:10" s="292" customFormat="1">
      <c r="A27" s="454"/>
      <c r="B27" s="351"/>
      <c r="C27" s="455"/>
      <c r="D27" s="456"/>
      <c r="E27" s="456"/>
      <c r="F27" s="460"/>
      <c r="G27" s="371"/>
      <c r="H27" s="457"/>
      <c r="I27" s="379"/>
      <c r="J27" s="380"/>
    </row>
    <row r="28" spans="1:10" s="292" customFormat="1">
      <c r="A28" s="454"/>
      <c r="B28" s="351"/>
      <c r="C28" s="455"/>
      <c r="D28" s="456"/>
      <c r="E28" s="456"/>
      <c r="F28" s="460"/>
      <c r="G28" s="371"/>
      <c r="H28" s="457"/>
      <c r="I28" s="379"/>
      <c r="J28" s="380"/>
    </row>
    <row r="29" spans="1:10" s="292" customFormat="1">
      <c r="A29" s="454"/>
      <c r="B29" s="351"/>
      <c r="C29" s="455"/>
      <c r="D29" s="456"/>
      <c r="E29" s="456"/>
      <c r="F29" s="381"/>
      <c r="G29" s="329"/>
      <c r="H29" s="458"/>
      <c r="I29" s="379"/>
      <c r="J29" s="380"/>
    </row>
    <row r="30" spans="1:10" s="292" customFormat="1" ht="33">
      <c r="A30" s="454" t="s">
        <v>1314</v>
      </c>
      <c r="B30" s="351" t="s">
        <v>275</v>
      </c>
      <c r="C30" s="455" t="s">
        <v>31</v>
      </c>
      <c r="D30" s="456">
        <v>1216.8</v>
      </c>
      <c r="E30" s="456"/>
      <c r="F30" s="681" t="s">
        <v>1315</v>
      </c>
      <c r="G30" s="723" t="s">
        <v>1316</v>
      </c>
      <c r="H30" s="709">
        <f>6*8*1.2+1.1*0.9*1.2*2+0.4*0.4*0.25*2+0.4*0.4*3.14*(5-3.2)*2</f>
        <v>61.864639999999987</v>
      </c>
      <c r="I30" s="722">
        <f>SUM(H30:H39)-H38</f>
        <v>542.32667275000006</v>
      </c>
      <c r="J30" s="384">
        <f>SUM(H30:H41)</f>
        <v>709.04667274999997</v>
      </c>
    </row>
    <row r="31" spans="1:10" s="292" customFormat="1" ht="66">
      <c r="A31" s="454"/>
      <c r="B31" s="351"/>
      <c r="C31" s="455"/>
      <c r="D31" s="456"/>
      <c r="E31" s="456"/>
      <c r="F31" s="681" t="s">
        <v>1317</v>
      </c>
      <c r="G31" s="723" t="s">
        <v>1318</v>
      </c>
      <c r="H31" s="709">
        <f>6*5*1+2*(5-3.2)*0.4*0.4*3.14+(1.86+1.3)/2*1.18*1.2+0.2*0.3*2*1.2+0.4*0.4*0.25*2</f>
        <v>34.269919999999999</v>
      </c>
      <c r="I31" s="722"/>
      <c r="J31" s="380"/>
    </row>
    <row r="32" spans="1:10" s="292" customFormat="1" ht="52.5" customHeight="1">
      <c r="A32" s="454"/>
      <c r="B32" s="351"/>
      <c r="C32" s="455"/>
      <c r="D32" s="456"/>
      <c r="E32" s="456"/>
      <c r="F32" s="681" t="s">
        <v>1319</v>
      </c>
      <c r="G32" s="723" t="s">
        <v>1320</v>
      </c>
      <c r="H32" s="709">
        <f>(1.2+0.8)/2*1.8*1.29*1.71+(5-3.2)*0.4*0.4*3.14+5*2*1+1.2*0.3*0.27*2+0.4*0.4*0.25*2</f>
        <v>15.149339999999999</v>
      </c>
      <c r="I32" s="722"/>
      <c r="J32" s="380"/>
    </row>
    <row r="33" spans="1:10" s="292" customFormat="1" ht="57.75" customHeight="1">
      <c r="A33" s="454"/>
      <c r="B33" s="351"/>
      <c r="C33" s="455"/>
      <c r="D33" s="456"/>
      <c r="E33" s="456"/>
      <c r="F33" s="681" t="s">
        <v>1321</v>
      </c>
      <c r="G33" s="723" t="s">
        <v>1322</v>
      </c>
      <c r="H33" s="709">
        <f>1.5*1.15*1.836+(0.5+0.42)*1.836*(1.15+0.5+1.05)+0.4*0.4*0.25*2+0.3*0.5*2+0.5*0.35*1.836</f>
        <v>8.4290240000000018</v>
      </c>
      <c r="I33" s="722"/>
      <c r="J33" s="380"/>
    </row>
    <row r="34" spans="1:10" s="292" customFormat="1">
      <c r="A34" s="454"/>
      <c r="B34" s="351"/>
      <c r="C34" s="455"/>
      <c r="D34" s="456"/>
      <c r="E34" s="456"/>
      <c r="F34" s="681" t="s">
        <v>1323</v>
      </c>
      <c r="G34" s="681" t="s">
        <v>1324</v>
      </c>
      <c r="H34" s="709">
        <f>18.1*1.92*1.15+(0.92*1.5-0.42*0.35+2*1.2)*18.1+0.4*0.4*0.25*8+1.044*1.5*0.3*2</f>
        <v>106.98169999999999</v>
      </c>
      <c r="I34" s="722"/>
      <c r="J34" s="380"/>
    </row>
    <row r="35" spans="1:10" s="292" customFormat="1">
      <c r="A35" s="454"/>
      <c r="B35" s="351"/>
      <c r="C35" s="455"/>
      <c r="D35" s="456"/>
      <c r="E35" s="456"/>
      <c r="F35" s="681" t="s">
        <v>1325</v>
      </c>
      <c r="G35" s="681" t="s">
        <v>1324</v>
      </c>
      <c r="H35" s="709">
        <f>16.5*(1+1.5+0.42)*0.5+16.5*1.92*1.05-16.5*0.42*0.35+0.4*0.4*0.25*8+1.05*0.3*2.92*2+16.5*0.3*0.5</f>
        <v>59.563099999999999</v>
      </c>
      <c r="I35" s="722"/>
      <c r="J35" s="380"/>
    </row>
    <row r="36" spans="1:10" s="292" customFormat="1">
      <c r="A36" s="454"/>
      <c r="B36" s="351"/>
      <c r="C36" s="455"/>
      <c r="D36" s="456"/>
      <c r="E36" s="456"/>
      <c r="F36" s="733" t="s">
        <v>1326</v>
      </c>
      <c r="G36" s="733" t="s">
        <v>1327</v>
      </c>
      <c r="H36" s="734">
        <f>16.5*1.2*1.5*2+0.3*23.5*12.5</f>
        <v>147.52500000000001</v>
      </c>
      <c r="I36" s="722"/>
      <c r="J36" s="380"/>
    </row>
    <row r="37" spans="1:10" s="292" customFormat="1">
      <c r="A37" s="454"/>
      <c r="B37" s="351"/>
      <c r="C37" s="455"/>
      <c r="D37" s="456"/>
      <c r="E37" s="456"/>
      <c r="F37" s="390" t="s">
        <v>1310</v>
      </c>
      <c r="G37" s="391" t="s">
        <v>1328</v>
      </c>
      <c r="H37" s="392">
        <f>12*0.3*5+12*0.3*5</f>
        <v>36</v>
      </c>
      <c r="I37" s="379"/>
      <c r="J37" s="380"/>
    </row>
    <row r="38" spans="1:10" s="292" customFormat="1">
      <c r="A38" s="454"/>
      <c r="B38" s="351"/>
      <c r="C38" s="455"/>
      <c r="D38" s="456"/>
      <c r="E38" s="456"/>
      <c r="F38" s="350" t="s">
        <v>1329</v>
      </c>
      <c r="G38" s="350"/>
      <c r="H38" s="389"/>
      <c r="I38" s="380"/>
      <c r="J38" s="380"/>
    </row>
    <row r="39" spans="1:10" s="292" customFormat="1" ht="33">
      <c r="A39" s="454"/>
      <c r="B39" s="351"/>
      <c r="C39" s="455"/>
      <c r="D39" s="456"/>
      <c r="E39" s="456"/>
      <c r="F39" s="350" t="s">
        <v>1330</v>
      </c>
      <c r="G39" s="350" t="s">
        <v>1331</v>
      </c>
      <c r="H39" s="389">
        <f>((17.81+22.3)*0.5*15*1.06)*0.2275</f>
        <v>72.543948749999998</v>
      </c>
      <c r="I39" s="379"/>
      <c r="J39" s="380"/>
    </row>
    <row r="40" spans="1:10" s="292" customFormat="1" ht="33">
      <c r="A40" s="454"/>
      <c r="B40" s="351"/>
      <c r="C40" s="455"/>
      <c r="D40" s="456"/>
      <c r="E40" s="456"/>
      <c r="F40" s="329" t="s">
        <v>1332</v>
      </c>
      <c r="G40" s="329" t="s">
        <v>1333</v>
      </c>
      <c r="H40" s="458">
        <f>4.76*20</f>
        <v>95.199999999999989</v>
      </c>
      <c r="I40" s="379"/>
      <c r="J40" s="380"/>
    </row>
    <row r="41" spans="1:10" s="292" customFormat="1" ht="33">
      <c r="A41" s="454"/>
      <c r="B41" s="351"/>
      <c r="C41" s="455"/>
      <c r="D41" s="456"/>
      <c r="E41" s="456"/>
      <c r="F41" s="329" t="s">
        <v>1334</v>
      </c>
      <c r="G41" s="329" t="s">
        <v>1335</v>
      </c>
      <c r="H41" s="458">
        <f>3.576*20</f>
        <v>71.52</v>
      </c>
      <c r="I41" s="379"/>
      <c r="J41" s="380"/>
    </row>
    <row r="42" spans="1:10" s="292" customFormat="1">
      <c r="A42" s="454"/>
      <c r="B42" s="351"/>
      <c r="C42" s="455"/>
      <c r="D42" s="456"/>
      <c r="E42" s="456"/>
      <c r="F42" s="329"/>
      <c r="G42" s="329"/>
      <c r="H42" s="458"/>
      <c r="I42" s="379"/>
      <c r="J42" s="380"/>
    </row>
    <row r="43" spans="1:10" s="292" customFormat="1">
      <c r="A43" s="454"/>
      <c r="B43" s="351"/>
      <c r="C43" s="455"/>
      <c r="D43" s="456"/>
      <c r="E43" s="456"/>
      <c r="F43" s="329"/>
      <c r="G43" s="329"/>
      <c r="H43" s="458"/>
      <c r="I43" s="379"/>
      <c r="J43" s="380"/>
    </row>
    <row r="44" spans="1:10" s="292" customFormat="1">
      <c r="A44" s="454" t="s">
        <v>1336</v>
      </c>
      <c r="B44" s="351" t="s">
        <v>100</v>
      </c>
      <c r="C44" s="455" t="s">
        <v>101</v>
      </c>
      <c r="D44" s="456">
        <v>4788.7700000000004</v>
      </c>
      <c r="E44" s="456"/>
      <c r="F44" s="681" t="s">
        <v>1337</v>
      </c>
      <c r="G44" s="681">
        <v>2040</v>
      </c>
      <c r="H44" s="709">
        <v>2040</v>
      </c>
      <c r="I44" s="722">
        <f>H45+H46</f>
        <v>182.27972</v>
      </c>
      <c r="J44" s="384">
        <f>SUM(H44:H50)</f>
        <v>12591.65972</v>
      </c>
    </row>
    <row r="45" spans="1:10" s="292" customFormat="1">
      <c r="A45" s="454"/>
      <c r="B45" s="351"/>
      <c r="C45" s="455"/>
      <c r="D45" s="456"/>
      <c r="E45" s="456"/>
      <c r="F45" s="681" t="s">
        <v>1338</v>
      </c>
      <c r="G45" s="681" t="s">
        <v>1339</v>
      </c>
      <c r="H45" s="709">
        <f>0.994*18.1*(1.5/0.3)*1.06</f>
        <v>95.354420000000019</v>
      </c>
      <c r="I45" s="722">
        <f>SUM(H44:H48)-H44-H47-H48</f>
        <v>182.27971999999863</v>
      </c>
      <c r="J45" s="380"/>
    </row>
    <row r="46" spans="1:10" s="292" customFormat="1">
      <c r="A46" s="454"/>
      <c r="B46" s="351"/>
      <c r="C46" s="455"/>
      <c r="D46" s="456"/>
      <c r="E46" s="456"/>
      <c r="F46" s="681" t="s">
        <v>1340</v>
      </c>
      <c r="G46" s="681" t="s">
        <v>1341</v>
      </c>
      <c r="H46" s="709">
        <f>0.994*16.5*(1.5/0.3)*1.06</f>
        <v>86.925299999999993</v>
      </c>
      <c r="I46" s="722"/>
      <c r="J46" s="380"/>
    </row>
    <row r="47" spans="1:10" s="292" customFormat="1">
      <c r="A47" s="454"/>
      <c r="B47" s="351"/>
      <c r="C47" s="455"/>
      <c r="D47" s="456"/>
      <c r="E47" s="456"/>
      <c r="F47" s="681" t="s">
        <v>1302</v>
      </c>
      <c r="G47" s="681">
        <v>864.68</v>
      </c>
      <c r="H47" s="709">
        <f>G47</f>
        <v>864.68</v>
      </c>
      <c r="I47" s="722"/>
      <c r="J47" s="380"/>
    </row>
    <row r="48" spans="1:10" s="292" customFormat="1">
      <c r="A48" s="454"/>
      <c r="B48" s="351"/>
      <c r="C48" s="455"/>
      <c r="D48" s="456"/>
      <c r="E48" s="456"/>
      <c r="F48" s="681" t="s">
        <v>1303</v>
      </c>
      <c r="G48" s="681" t="s">
        <v>2041</v>
      </c>
      <c r="H48" s="709">
        <v>9504.7000000000007</v>
      </c>
      <c r="I48" s="722"/>
      <c r="J48" s="380"/>
    </row>
    <row r="49" spans="1:10" s="292" customFormat="1">
      <c r="A49" s="454"/>
      <c r="B49" s="351"/>
      <c r="C49" s="455"/>
      <c r="D49" s="456"/>
      <c r="E49" s="456"/>
      <c r="F49" s="710"/>
      <c r="G49" s="711"/>
      <c r="H49" s="732"/>
      <c r="I49" s="722"/>
      <c r="J49" s="380"/>
    </row>
    <row r="50" spans="1:10" s="292" customFormat="1">
      <c r="A50" s="454"/>
      <c r="B50" s="351"/>
      <c r="C50" s="455"/>
      <c r="D50" s="456"/>
      <c r="E50" s="456"/>
      <c r="F50" s="681"/>
      <c r="G50" s="681"/>
      <c r="H50" s="709"/>
      <c r="I50" s="722"/>
      <c r="J50" s="380"/>
    </row>
    <row r="51" spans="1:10" s="292" customFormat="1">
      <c r="A51" s="454" t="s">
        <v>1342</v>
      </c>
      <c r="B51" s="351" t="s">
        <v>276</v>
      </c>
      <c r="C51" s="455" t="s">
        <v>101</v>
      </c>
      <c r="D51" s="456">
        <v>205535.32</v>
      </c>
      <c r="E51" s="456"/>
      <c r="F51" s="680" t="s">
        <v>1343</v>
      </c>
      <c r="G51" s="680" t="s">
        <v>1324</v>
      </c>
      <c r="H51" s="730">
        <v>7257.9</v>
      </c>
      <c r="I51" s="722">
        <f>SUM(H51:H66)</f>
        <v>47956.587386666659</v>
      </c>
      <c r="J51" s="384">
        <f>SUM(H51:H76)</f>
        <v>204221.73538666664</v>
      </c>
    </row>
    <row r="52" spans="1:10" s="292" customFormat="1">
      <c r="A52" s="454"/>
      <c r="B52" s="351"/>
      <c r="C52" s="455"/>
      <c r="D52" s="456"/>
      <c r="E52" s="456"/>
      <c r="F52" s="680" t="s">
        <v>1344</v>
      </c>
      <c r="G52" s="680" t="s">
        <v>1324</v>
      </c>
      <c r="H52" s="730">
        <v>952.04</v>
      </c>
      <c r="I52" s="722"/>
      <c r="J52" s="380"/>
    </row>
    <row r="53" spans="1:10" s="292" customFormat="1">
      <c r="A53" s="454"/>
      <c r="B53" s="351"/>
      <c r="C53" s="455"/>
      <c r="D53" s="456"/>
      <c r="E53" s="456"/>
      <c r="F53" s="680" t="s">
        <v>1345</v>
      </c>
      <c r="G53" s="680" t="s">
        <v>1324</v>
      </c>
      <c r="H53" s="730">
        <v>673.67520000000002</v>
      </c>
      <c r="I53" s="722"/>
      <c r="J53" s="380"/>
    </row>
    <row r="54" spans="1:10" s="292" customFormat="1">
      <c r="A54" s="454"/>
      <c r="B54" s="351"/>
      <c r="C54" s="455"/>
      <c r="D54" s="456"/>
      <c r="E54" s="456"/>
      <c r="F54" s="680" t="s">
        <v>1346</v>
      </c>
      <c r="G54" s="680" t="s">
        <v>1324</v>
      </c>
      <c r="H54" s="730">
        <v>4802.0206666666672</v>
      </c>
      <c r="I54" s="379"/>
      <c r="J54" s="380"/>
    </row>
    <row r="55" spans="1:10" s="292" customFormat="1">
      <c r="A55" s="454"/>
      <c r="B55" s="351"/>
      <c r="C55" s="455"/>
      <c r="D55" s="456"/>
      <c r="E55" s="456"/>
      <c r="F55" s="680" t="s">
        <v>1347</v>
      </c>
      <c r="G55" s="680" t="s">
        <v>1324</v>
      </c>
      <c r="H55" s="730">
        <v>775.00661333333358</v>
      </c>
      <c r="I55" s="379"/>
      <c r="J55" s="380"/>
    </row>
    <row r="56" spans="1:10" s="292" customFormat="1">
      <c r="A56" s="454"/>
      <c r="B56" s="351"/>
      <c r="C56" s="455"/>
      <c r="D56" s="456"/>
      <c r="E56" s="456"/>
      <c r="F56" s="680" t="s">
        <v>1348</v>
      </c>
      <c r="G56" s="680" t="s">
        <v>1324</v>
      </c>
      <c r="H56" s="730">
        <v>882.97</v>
      </c>
      <c r="I56" s="379"/>
      <c r="J56" s="380"/>
    </row>
    <row r="57" spans="1:10" s="292" customFormat="1">
      <c r="A57" s="454"/>
      <c r="B57" s="351"/>
      <c r="C57" s="455"/>
      <c r="D57" s="456"/>
      <c r="E57" s="456"/>
      <c r="F57" s="680" t="s">
        <v>1349</v>
      </c>
      <c r="G57" s="680" t="s">
        <v>1324</v>
      </c>
      <c r="H57" s="730">
        <v>1782.1980000000003</v>
      </c>
      <c r="I57" s="379"/>
      <c r="J57" s="380"/>
    </row>
    <row r="58" spans="1:10" s="292" customFormat="1">
      <c r="A58" s="454"/>
      <c r="B58" s="351"/>
      <c r="C58" s="455"/>
      <c r="D58" s="456"/>
      <c r="E58" s="456"/>
      <c r="F58" s="680" t="s">
        <v>1350</v>
      </c>
      <c r="G58" s="680" t="s">
        <v>1324</v>
      </c>
      <c r="H58" s="730">
        <v>387.50330666666679</v>
      </c>
      <c r="I58" s="379"/>
      <c r="J58" s="380"/>
    </row>
    <row r="59" spans="1:10" s="292" customFormat="1">
      <c r="A59" s="454"/>
      <c r="B59" s="351"/>
      <c r="C59" s="455"/>
      <c r="D59" s="456"/>
      <c r="E59" s="456"/>
      <c r="F59" s="680" t="s">
        <v>1351</v>
      </c>
      <c r="G59" s="680" t="s">
        <v>1324</v>
      </c>
      <c r="H59" s="730">
        <v>336.83760000000001</v>
      </c>
      <c r="I59" s="379"/>
      <c r="J59" s="380"/>
    </row>
    <row r="60" spans="1:10" s="292" customFormat="1">
      <c r="A60" s="454"/>
      <c r="B60" s="351"/>
      <c r="C60" s="455"/>
      <c r="D60" s="456"/>
      <c r="E60" s="456"/>
      <c r="F60" s="681" t="s">
        <v>1352</v>
      </c>
      <c r="G60" s="680" t="s">
        <v>1324</v>
      </c>
      <c r="H60" s="709">
        <v>3013.6859999999992</v>
      </c>
      <c r="I60" s="379"/>
      <c r="J60" s="380"/>
    </row>
    <row r="61" spans="1:10" s="292" customFormat="1">
      <c r="A61" s="454"/>
      <c r="B61" s="351"/>
      <c r="C61" s="455"/>
      <c r="D61" s="456"/>
      <c r="E61" s="456"/>
      <c r="F61" s="681" t="s">
        <v>1353</v>
      </c>
      <c r="G61" s="680" t="s">
        <v>1324</v>
      </c>
      <c r="H61" s="709">
        <v>435</v>
      </c>
      <c r="I61" s="379"/>
      <c r="J61" s="380"/>
    </row>
    <row r="62" spans="1:10" s="292" customFormat="1">
      <c r="A62" s="454"/>
      <c r="B62" s="351"/>
      <c r="C62" s="455"/>
      <c r="D62" s="456"/>
      <c r="E62" s="456"/>
      <c r="F62" s="681" t="s">
        <v>1354</v>
      </c>
      <c r="G62" s="680" t="s">
        <v>1324</v>
      </c>
      <c r="H62" s="709">
        <v>233</v>
      </c>
      <c r="I62" s="379"/>
      <c r="J62" s="380"/>
    </row>
    <row r="63" spans="1:10" s="292" customFormat="1">
      <c r="A63" s="454"/>
      <c r="B63" s="351"/>
      <c r="C63" s="455"/>
      <c r="D63" s="456"/>
      <c r="E63" s="456"/>
      <c r="F63" s="681" t="s">
        <v>1323</v>
      </c>
      <c r="G63" s="681" t="s">
        <v>1355</v>
      </c>
      <c r="H63" s="709">
        <v>10995.74</v>
      </c>
      <c r="I63" s="463"/>
      <c r="J63" s="464"/>
    </row>
    <row r="64" spans="1:10" s="292" customFormat="1">
      <c r="A64" s="454"/>
      <c r="B64" s="351"/>
      <c r="C64" s="455"/>
      <c r="D64" s="456"/>
      <c r="E64" s="456"/>
      <c r="F64" s="681" t="s">
        <v>1325</v>
      </c>
      <c r="G64" s="681" t="s">
        <v>1356</v>
      </c>
      <c r="H64" s="709">
        <v>10824.81</v>
      </c>
      <c r="I64" s="463"/>
      <c r="J64" s="464"/>
    </row>
    <row r="65" spans="1:10" s="292" customFormat="1">
      <c r="A65" s="454"/>
      <c r="B65" s="351"/>
      <c r="C65" s="455"/>
      <c r="D65" s="456"/>
      <c r="E65" s="456"/>
      <c r="F65" s="681" t="s">
        <v>1357</v>
      </c>
      <c r="G65" s="681" t="s">
        <v>1358</v>
      </c>
      <c r="H65" s="709">
        <v>870</v>
      </c>
      <c r="I65" s="379"/>
      <c r="J65" s="380"/>
    </row>
    <row r="66" spans="1:10" s="292" customFormat="1">
      <c r="A66" s="454"/>
      <c r="B66" s="351"/>
      <c r="C66" s="455"/>
      <c r="D66" s="456"/>
      <c r="E66" s="456"/>
      <c r="F66" s="681" t="s">
        <v>1359</v>
      </c>
      <c r="G66" s="681" t="s">
        <v>1360</v>
      </c>
      <c r="H66" s="709">
        <v>3734.2</v>
      </c>
      <c r="I66" s="379"/>
      <c r="J66" s="380"/>
    </row>
    <row r="67" spans="1:10" s="292" customFormat="1">
      <c r="A67" s="454"/>
      <c r="B67" s="351"/>
      <c r="C67" s="455"/>
      <c r="D67" s="456"/>
      <c r="E67" s="456"/>
      <c r="F67" s="681" t="s">
        <v>1330</v>
      </c>
      <c r="G67" s="681" t="s">
        <v>1361</v>
      </c>
      <c r="H67" s="709">
        <v>19172.54</v>
      </c>
      <c r="I67" s="379"/>
      <c r="J67" s="380"/>
    </row>
    <row r="68" spans="1:10" s="292" customFormat="1">
      <c r="A68" s="454"/>
      <c r="B68" s="351"/>
      <c r="C68" s="455"/>
      <c r="D68" s="456"/>
      <c r="E68" s="456"/>
      <c r="F68" s="681" t="s">
        <v>1310</v>
      </c>
      <c r="G68" s="681" t="s">
        <v>1362</v>
      </c>
      <c r="H68" s="709">
        <v>5512.7</v>
      </c>
      <c r="I68" s="379"/>
      <c r="J68" s="380"/>
    </row>
    <row r="69" spans="1:10" s="292" customFormat="1" ht="33">
      <c r="A69" s="454"/>
      <c r="B69" s="351"/>
      <c r="C69" s="455"/>
      <c r="D69" s="456"/>
      <c r="E69" s="456"/>
      <c r="F69" s="465" t="s">
        <v>1363</v>
      </c>
      <c r="G69" s="465" t="s">
        <v>1364</v>
      </c>
      <c r="H69" s="466">
        <f>(300-280)*723.47</f>
        <v>14469.400000000001</v>
      </c>
      <c r="I69" s="467"/>
      <c r="J69" s="380"/>
    </row>
    <row r="70" spans="1:10" s="292" customFormat="1" ht="33">
      <c r="A70" s="454"/>
      <c r="B70" s="351"/>
      <c r="C70" s="455"/>
      <c r="D70" s="456"/>
      <c r="E70" s="456"/>
      <c r="F70" s="465" t="s">
        <v>1365</v>
      </c>
      <c r="G70" s="465" t="s">
        <v>1366</v>
      </c>
      <c r="H70" s="466">
        <f>(320-300)*723.47</f>
        <v>14469.400000000001</v>
      </c>
      <c r="I70" s="467"/>
      <c r="J70" s="380"/>
    </row>
    <row r="71" spans="1:10" s="292" customFormat="1" ht="33">
      <c r="A71" s="454"/>
      <c r="B71" s="351"/>
      <c r="C71" s="455"/>
      <c r="D71" s="456"/>
      <c r="E71" s="456"/>
      <c r="F71" s="465" t="s">
        <v>1367</v>
      </c>
      <c r="G71" s="465" t="s">
        <v>1368</v>
      </c>
      <c r="H71" s="466">
        <f>(340-320)*723.47</f>
        <v>14469.400000000001</v>
      </c>
      <c r="I71" s="467"/>
      <c r="J71" s="380"/>
    </row>
    <row r="72" spans="1:10" s="292" customFormat="1" ht="33">
      <c r="A72" s="454"/>
      <c r="B72" s="351"/>
      <c r="C72" s="455"/>
      <c r="D72" s="456"/>
      <c r="E72" s="456"/>
      <c r="F72" s="465" t="s">
        <v>1369</v>
      </c>
      <c r="G72" s="465" t="s">
        <v>1370</v>
      </c>
      <c r="H72" s="466">
        <f>(380-340)*804.7</f>
        <v>32188</v>
      </c>
      <c r="I72" s="467"/>
      <c r="J72" s="380"/>
    </row>
    <row r="73" spans="1:10" s="292" customFormat="1" ht="33">
      <c r="A73" s="454"/>
      <c r="B73" s="351"/>
      <c r="C73" s="455"/>
      <c r="D73" s="456"/>
      <c r="E73" s="456"/>
      <c r="F73" s="465" t="s">
        <v>1371</v>
      </c>
      <c r="G73" s="465" t="s">
        <v>1372</v>
      </c>
      <c r="H73" s="466">
        <f>(420-380)*804.7</f>
        <v>32188</v>
      </c>
      <c r="I73" s="467"/>
      <c r="J73" s="380"/>
    </row>
    <row r="74" spans="1:10" s="292" customFormat="1" ht="33">
      <c r="A74" s="454"/>
      <c r="B74" s="351"/>
      <c r="C74" s="455"/>
      <c r="D74" s="456"/>
      <c r="E74" s="456"/>
      <c r="F74" s="465" t="s">
        <v>1373</v>
      </c>
      <c r="G74" s="465" t="s">
        <v>1374</v>
      </c>
      <c r="H74" s="466">
        <f>172.33*20</f>
        <v>3446.6000000000004</v>
      </c>
      <c r="I74" s="467"/>
      <c r="J74" s="380"/>
    </row>
    <row r="75" spans="1:10" s="292" customFormat="1" ht="33">
      <c r="A75" s="454"/>
      <c r="B75" s="351"/>
      <c r="C75" s="455"/>
      <c r="D75" s="456"/>
      <c r="E75" s="456"/>
      <c r="F75" s="465" t="s">
        <v>1375</v>
      </c>
      <c r="G75" s="468" t="s">
        <v>1376</v>
      </c>
      <c r="H75" s="469">
        <f>29.8*434.81</f>
        <v>12957.338</v>
      </c>
      <c r="I75" s="467"/>
      <c r="J75" s="380"/>
    </row>
    <row r="76" spans="1:10" s="292" customFormat="1" ht="33">
      <c r="A76" s="454"/>
      <c r="B76" s="351"/>
      <c r="C76" s="455"/>
      <c r="D76" s="456"/>
      <c r="E76" s="456"/>
      <c r="F76" s="465" t="s">
        <v>1377</v>
      </c>
      <c r="G76" s="468" t="s">
        <v>1378</v>
      </c>
      <c r="H76" s="469">
        <f>(4+5+8)*434.81</f>
        <v>7391.77</v>
      </c>
      <c r="I76" s="467"/>
      <c r="J76" s="380"/>
    </row>
    <row r="77" spans="1:10" s="292" customFormat="1">
      <c r="A77" s="454"/>
      <c r="B77" s="351"/>
      <c r="C77" s="455"/>
      <c r="D77" s="456"/>
      <c r="E77" s="456"/>
      <c r="F77" s="350"/>
      <c r="G77" s="470"/>
      <c r="H77" s="471"/>
      <c r="I77" s="379"/>
      <c r="J77" s="380"/>
    </row>
    <row r="78" spans="1:10" s="292" customFormat="1">
      <c r="A78" s="454" t="s">
        <v>1379</v>
      </c>
      <c r="B78" s="351" t="s">
        <v>277</v>
      </c>
      <c r="C78" s="455" t="s">
        <v>52</v>
      </c>
      <c r="D78" s="456">
        <v>320.89999999999998</v>
      </c>
      <c r="E78" s="456"/>
      <c r="F78" s="681" t="s">
        <v>1302</v>
      </c>
      <c r="G78" s="681" t="s">
        <v>2100</v>
      </c>
      <c r="H78" s="709">
        <v>65.16</v>
      </c>
      <c r="I78" s="722">
        <f>SUM(H78:H83)-H78-H79-H80</f>
        <v>38.936000000000064</v>
      </c>
      <c r="J78" s="384">
        <f>SUM(H78:H84)</f>
        <v>359.74600000000009</v>
      </c>
    </row>
    <row r="79" spans="1:10" s="292" customFormat="1">
      <c r="A79" s="454"/>
      <c r="B79" s="351"/>
      <c r="C79" s="455"/>
      <c r="D79" s="456"/>
      <c r="E79" s="456"/>
      <c r="F79" s="681" t="s">
        <v>1303</v>
      </c>
      <c r="G79" s="681" t="s">
        <v>2097</v>
      </c>
      <c r="H79" s="709">
        <v>196.3</v>
      </c>
      <c r="I79" s="722"/>
      <c r="J79" s="380"/>
    </row>
    <row r="80" spans="1:10" s="292" customFormat="1">
      <c r="A80" s="454"/>
      <c r="B80" s="351"/>
      <c r="C80" s="455"/>
      <c r="D80" s="456"/>
      <c r="E80" s="456"/>
      <c r="F80" s="681" t="s">
        <v>2098</v>
      </c>
      <c r="G80" s="681" t="s">
        <v>2099</v>
      </c>
      <c r="H80" s="709">
        <f>4*2</f>
        <v>8</v>
      </c>
      <c r="I80" s="722"/>
      <c r="J80" s="380"/>
    </row>
    <row r="81" spans="1:10" s="292" customFormat="1">
      <c r="A81" s="454"/>
      <c r="B81" s="351"/>
      <c r="C81" s="455"/>
      <c r="D81" s="456"/>
      <c r="E81" s="456"/>
      <c r="F81" s="681" t="s">
        <v>1344</v>
      </c>
      <c r="G81" s="681" t="s">
        <v>1324</v>
      </c>
      <c r="H81" s="709">
        <f>(1.8+1.3)*0.8*3.14*2</f>
        <v>15.574400000000002</v>
      </c>
      <c r="I81" s="722"/>
      <c r="J81" s="380"/>
    </row>
    <row r="82" spans="1:10" s="292" customFormat="1">
      <c r="A82" s="454"/>
      <c r="B82" s="351"/>
      <c r="C82" s="455"/>
      <c r="D82" s="456"/>
      <c r="E82" s="456"/>
      <c r="F82" s="681" t="s">
        <v>1347</v>
      </c>
      <c r="G82" s="681" t="s">
        <v>1324</v>
      </c>
      <c r="H82" s="709">
        <f>(1.8+1.3)*0.8*3.14*2</f>
        <v>15.574400000000002</v>
      </c>
      <c r="I82" s="722"/>
      <c r="J82" s="380"/>
    </row>
    <row r="83" spans="1:10" s="292" customFormat="1">
      <c r="A83" s="454"/>
      <c r="B83" s="351"/>
      <c r="C83" s="455"/>
      <c r="D83" s="456"/>
      <c r="E83" s="456"/>
      <c r="F83" s="681" t="s">
        <v>1351</v>
      </c>
      <c r="G83" s="681" t="s">
        <v>1324</v>
      </c>
      <c r="H83" s="709">
        <f>(1.8+1.3)*0.8*3.14*1</f>
        <v>7.7872000000000012</v>
      </c>
      <c r="I83" s="722"/>
      <c r="J83" s="380"/>
    </row>
    <row r="84" spans="1:10" s="292" customFormat="1" ht="33">
      <c r="A84" s="454"/>
      <c r="B84" s="351"/>
      <c r="C84" s="455"/>
      <c r="D84" s="456"/>
      <c r="E84" s="456"/>
      <c r="F84" s="350" t="s">
        <v>2104</v>
      </c>
      <c r="G84" s="350" t="s">
        <v>2105</v>
      </c>
      <c r="H84" s="389">
        <f>1.01*35+0.5*32</f>
        <v>51.35</v>
      </c>
      <c r="I84" s="379"/>
      <c r="J84" s="380"/>
    </row>
    <row r="85" spans="1:10" s="292" customFormat="1">
      <c r="A85" s="454"/>
      <c r="B85" s="351"/>
      <c r="C85" s="455"/>
      <c r="D85" s="456"/>
      <c r="E85" s="456"/>
      <c r="F85" s="329"/>
      <c r="G85" s="329"/>
      <c r="H85" s="458"/>
      <c r="I85" s="379"/>
      <c r="J85" s="380"/>
    </row>
    <row r="86" spans="1:10" s="292" customFormat="1">
      <c r="A86" s="454" t="s">
        <v>1380</v>
      </c>
      <c r="B86" s="351" t="s">
        <v>279</v>
      </c>
      <c r="C86" s="455" t="s">
        <v>52</v>
      </c>
      <c r="D86" s="456">
        <v>493.85</v>
      </c>
      <c r="E86" s="456"/>
      <c r="F86" s="680" t="s">
        <v>1323</v>
      </c>
      <c r="G86" s="680" t="s">
        <v>1324</v>
      </c>
      <c r="H86" s="730">
        <f>18.1*(1.15+1.5)*2+1.15*1.5*2+0.3*1.5*2*2</f>
        <v>101.18</v>
      </c>
      <c r="I86" s="722">
        <f>SUM(H86:H92)-H88</f>
        <v>252.81000000000017</v>
      </c>
      <c r="J86" s="384">
        <f>SUM(H86:H92)</f>
        <v>574.89200000000017</v>
      </c>
    </row>
    <row r="87" spans="1:10" s="292" customFormat="1">
      <c r="A87" s="454"/>
      <c r="B87" s="351"/>
      <c r="C87" s="455"/>
      <c r="D87" s="456"/>
      <c r="E87" s="456"/>
      <c r="F87" s="680" t="s">
        <v>1325</v>
      </c>
      <c r="G87" s="680" t="s">
        <v>1324</v>
      </c>
      <c r="H87" s="730">
        <f>16.5*(1.55+1.15)*2+(1*0.5+1.92*1.55)*2+0.3*1.05*2*2</f>
        <v>97.312000000000012</v>
      </c>
      <c r="I87" s="722"/>
      <c r="J87" s="380"/>
    </row>
    <row r="88" spans="1:10" s="292" customFormat="1" ht="33">
      <c r="A88" s="454"/>
      <c r="B88" s="351"/>
      <c r="C88" s="455"/>
      <c r="D88" s="456"/>
      <c r="E88" s="456"/>
      <c r="F88" s="681" t="s">
        <v>1330</v>
      </c>
      <c r="G88" s="681" t="s">
        <v>1381</v>
      </c>
      <c r="H88" s="709">
        <f>(17.3*21.78)+(17.3+21.78)*0.2-0.4*8*(19.54)</f>
        <v>322.08199999999999</v>
      </c>
      <c r="I88" s="722"/>
      <c r="J88" s="380"/>
    </row>
    <row r="89" spans="1:10" s="292" customFormat="1">
      <c r="A89" s="454"/>
      <c r="B89" s="351"/>
      <c r="C89" s="455"/>
      <c r="D89" s="456"/>
      <c r="E89" s="456"/>
      <c r="F89" s="680" t="s">
        <v>1345</v>
      </c>
      <c r="G89" s="680" t="s">
        <v>1324</v>
      </c>
      <c r="H89" s="709">
        <f>0.9*(1.2+1.1)*2+(0.25*4)*2*2</f>
        <v>8.14</v>
      </c>
      <c r="I89" s="722"/>
      <c r="J89" s="380"/>
    </row>
    <row r="90" spans="1:10" s="292" customFormat="1">
      <c r="A90" s="454"/>
      <c r="B90" s="351"/>
      <c r="C90" s="455"/>
      <c r="D90" s="456"/>
      <c r="E90" s="456"/>
      <c r="F90" s="680" t="s">
        <v>1348</v>
      </c>
      <c r="G90" s="680" t="s">
        <v>1324</v>
      </c>
      <c r="H90" s="709">
        <f>1.29*(1.71+1.2)*2+(0.25*4)*2*2+(0.3*1.2)*4</f>
        <v>12.947799999999999</v>
      </c>
      <c r="I90" s="722"/>
      <c r="J90" s="380"/>
    </row>
    <row r="91" spans="1:10" s="292" customFormat="1">
      <c r="A91" s="454"/>
      <c r="B91" s="351"/>
      <c r="C91" s="455"/>
      <c r="D91" s="456"/>
      <c r="E91" s="456"/>
      <c r="F91" s="680" t="s">
        <v>1350</v>
      </c>
      <c r="G91" s="680" t="s">
        <v>1324</v>
      </c>
      <c r="H91" s="709">
        <f>1.29*(1.71+1.2)*2+(0.25*4)*2*2+(0.3*1.2)*4</f>
        <v>12.947799999999999</v>
      </c>
      <c r="I91" s="722"/>
      <c r="J91" s="380"/>
    </row>
    <row r="92" spans="1:10" s="292" customFormat="1">
      <c r="A92" s="454"/>
      <c r="B92" s="351"/>
      <c r="C92" s="455"/>
      <c r="D92" s="456"/>
      <c r="E92" s="456"/>
      <c r="F92" s="680" t="s">
        <v>1382</v>
      </c>
      <c r="G92" s="680" t="s">
        <v>1324</v>
      </c>
      <c r="H92" s="709">
        <f>(1.15+0.5+1.05)*(1.92+1.836)*2</f>
        <v>20.282400000000003</v>
      </c>
      <c r="I92" s="722"/>
      <c r="J92" s="380"/>
    </row>
    <row r="93" spans="1:10" s="292" customFormat="1">
      <c r="A93" s="454"/>
      <c r="B93" s="351"/>
      <c r="C93" s="455"/>
      <c r="D93" s="456"/>
      <c r="E93" s="456"/>
      <c r="F93" s="680"/>
      <c r="G93" s="680"/>
      <c r="H93" s="730"/>
      <c r="I93" s="722"/>
      <c r="J93" s="380"/>
    </row>
    <row r="94" spans="1:10" s="292" customFormat="1">
      <c r="A94" s="454" t="s">
        <v>1383</v>
      </c>
      <c r="B94" s="351" t="s">
        <v>281</v>
      </c>
      <c r="C94" s="455" t="s">
        <v>52</v>
      </c>
      <c r="D94" s="456">
        <v>126.48</v>
      </c>
      <c r="E94" s="456"/>
      <c r="F94" s="681" t="s">
        <v>1384</v>
      </c>
      <c r="G94" s="680" t="s">
        <v>1324</v>
      </c>
      <c r="H94" s="730">
        <v>33.6</v>
      </c>
      <c r="I94" s="722">
        <f>SUM(H94:H96)</f>
        <v>69.599999999999994</v>
      </c>
      <c r="J94" s="384">
        <f>SUM(H94:H99)</f>
        <v>138</v>
      </c>
    </row>
    <row r="95" spans="1:10" s="292" customFormat="1">
      <c r="A95" s="454"/>
      <c r="B95" s="351"/>
      <c r="C95" s="455"/>
      <c r="D95" s="456"/>
      <c r="E95" s="456"/>
      <c r="F95" s="681" t="s">
        <v>1385</v>
      </c>
      <c r="G95" s="680" t="s">
        <v>1324</v>
      </c>
      <c r="H95" s="730">
        <v>22</v>
      </c>
      <c r="I95" s="722"/>
      <c r="J95" s="380"/>
    </row>
    <row r="96" spans="1:10" s="292" customFormat="1">
      <c r="A96" s="454"/>
      <c r="B96" s="351"/>
      <c r="C96" s="455"/>
      <c r="D96" s="456"/>
      <c r="E96" s="456"/>
      <c r="F96" s="681" t="s">
        <v>1386</v>
      </c>
      <c r="G96" s="680" t="s">
        <v>1324</v>
      </c>
      <c r="H96" s="730">
        <v>14</v>
      </c>
      <c r="I96" s="722"/>
      <c r="J96" s="380"/>
    </row>
    <row r="97" spans="1:10" s="292" customFormat="1">
      <c r="A97" s="454"/>
      <c r="B97" s="351"/>
      <c r="C97" s="455"/>
      <c r="D97" s="456"/>
      <c r="E97" s="456"/>
      <c r="F97" s="681" t="s">
        <v>1387</v>
      </c>
      <c r="G97" s="681" t="s">
        <v>1388</v>
      </c>
      <c r="H97" s="709">
        <f>(9+5)*2*0.6*2</f>
        <v>33.6</v>
      </c>
      <c r="I97" s="722"/>
      <c r="J97" s="380"/>
    </row>
    <row r="98" spans="1:10" s="292" customFormat="1">
      <c r="A98" s="454"/>
      <c r="B98" s="351"/>
      <c r="C98" s="455"/>
      <c r="D98" s="456"/>
      <c r="E98" s="456"/>
      <c r="F98" s="350" t="s">
        <v>1389</v>
      </c>
      <c r="G98" s="350" t="s">
        <v>1390</v>
      </c>
      <c r="H98" s="389">
        <f>(9+5)*2*0.3*2</f>
        <v>16.8</v>
      </c>
      <c r="I98" s="379"/>
      <c r="J98" s="380"/>
    </row>
    <row r="99" spans="1:10" s="292" customFormat="1">
      <c r="A99" s="454"/>
      <c r="B99" s="351"/>
      <c r="C99" s="455"/>
      <c r="D99" s="456"/>
      <c r="E99" s="456"/>
      <c r="F99" s="350" t="s">
        <v>1391</v>
      </c>
      <c r="G99" s="350" t="s">
        <v>1392</v>
      </c>
      <c r="H99" s="389">
        <f>15*2*2*0.3</f>
        <v>18</v>
      </c>
      <c r="I99" s="379"/>
      <c r="J99" s="380"/>
    </row>
    <row r="100" spans="1:10" s="292" customFormat="1">
      <c r="A100" s="454"/>
      <c r="B100" s="351"/>
      <c r="C100" s="455"/>
      <c r="D100" s="456"/>
      <c r="E100" s="456"/>
      <c r="F100" s="371"/>
      <c r="G100" s="371"/>
      <c r="H100" s="457"/>
      <c r="I100" s="379"/>
      <c r="J100" s="380"/>
    </row>
    <row r="101" spans="1:10" s="292" customFormat="1">
      <c r="A101" s="454" t="s">
        <v>1393</v>
      </c>
      <c r="B101" s="351" t="s">
        <v>283</v>
      </c>
      <c r="C101" s="455" t="s">
        <v>284</v>
      </c>
      <c r="D101" s="456">
        <v>12205</v>
      </c>
      <c r="E101" s="456"/>
      <c r="F101" s="329" t="s">
        <v>1394</v>
      </c>
      <c r="G101" s="329" t="s">
        <v>2047</v>
      </c>
      <c r="H101" s="458">
        <v>6114.9992799999991</v>
      </c>
      <c r="I101" s="379"/>
      <c r="J101" s="384">
        <f>SUM(H101:H107)</f>
        <v>12365.746719999999</v>
      </c>
    </row>
    <row r="102" spans="1:10" s="292" customFormat="1" ht="30" customHeight="1">
      <c r="A102" s="454"/>
      <c r="B102" s="351"/>
      <c r="C102" s="455"/>
      <c r="D102" s="456"/>
      <c r="E102" s="456"/>
      <c r="F102" s="329" t="s">
        <v>1395</v>
      </c>
      <c r="G102" s="329" t="s">
        <v>2048</v>
      </c>
      <c r="H102" s="458">
        <v>416.36400000000003</v>
      </c>
      <c r="I102" s="379"/>
      <c r="J102" s="380"/>
    </row>
    <row r="103" spans="1:10" s="292" customFormat="1" ht="18.75" customHeight="1">
      <c r="A103" s="454"/>
      <c r="B103" s="351"/>
      <c r="C103" s="455"/>
      <c r="D103" s="456"/>
      <c r="E103" s="456"/>
      <c r="F103" s="329" t="s">
        <v>1396</v>
      </c>
      <c r="G103" s="329" t="s">
        <v>2051</v>
      </c>
      <c r="H103" s="458">
        <f>0.7421076*1000</f>
        <v>742.10759999999993</v>
      </c>
      <c r="I103" s="379"/>
      <c r="J103" s="380"/>
    </row>
    <row r="104" spans="1:10" s="292" customFormat="1">
      <c r="A104" s="454"/>
      <c r="B104" s="351"/>
      <c r="C104" s="455"/>
      <c r="D104" s="456"/>
      <c r="E104" s="456"/>
      <c r="F104" s="329" t="s">
        <v>1397</v>
      </c>
      <c r="G104" s="329" t="s">
        <v>2049</v>
      </c>
      <c r="H104" s="458">
        <v>890.52911999999992</v>
      </c>
      <c r="I104" s="379"/>
      <c r="J104" s="380"/>
    </row>
    <row r="105" spans="1:10" s="292" customFormat="1">
      <c r="A105" s="454"/>
      <c r="B105" s="351"/>
      <c r="C105" s="455"/>
      <c r="D105" s="456"/>
      <c r="E105" s="456"/>
      <c r="F105" s="329" t="s">
        <v>2046</v>
      </c>
      <c r="G105" s="329" t="s">
        <v>2050</v>
      </c>
      <c r="H105" s="458">
        <v>1448.9467199999999</v>
      </c>
      <c r="I105" s="379"/>
      <c r="J105" s="380"/>
    </row>
    <row r="106" spans="1:10" s="292" customFormat="1">
      <c r="A106" s="454"/>
      <c r="B106" s="351"/>
      <c r="C106" s="455"/>
      <c r="D106" s="456"/>
      <c r="E106" s="456"/>
      <c r="F106" s="329" t="s">
        <v>2053</v>
      </c>
      <c r="G106" s="329" t="s">
        <v>2052</v>
      </c>
      <c r="H106" s="458">
        <v>1653.8</v>
      </c>
      <c r="I106" s="379"/>
      <c r="J106" s="380"/>
    </row>
    <row r="107" spans="1:10" s="292" customFormat="1">
      <c r="A107" s="454"/>
      <c r="B107" s="351"/>
      <c r="C107" s="455"/>
      <c r="D107" s="456"/>
      <c r="E107" s="456"/>
      <c r="F107" s="329" t="s">
        <v>2054</v>
      </c>
      <c r="G107" s="329" t="s">
        <v>2055</v>
      </c>
      <c r="H107" s="458">
        <v>1099</v>
      </c>
      <c r="I107" s="379"/>
      <c r="J107" s="380"/>
    </row>
    <row r="108" spans="1:10" s="292" customFormat="1">
      <c r="A108" s="454"/>
      <c r="B108" s="351"/>
      <c r="C108" s="455"/>
      <c r="D108" s="456"/>
      <c r="E108" s="456"/>
      <c r="F108" s="329"/>
      <c r="G108" s="329"/>
      <c r="H108" s="458"/>
      <c r="I108" s="379"/>
      <c r="J108" s="380"/>
    </row>
    <row r="109" spans="1:10" s="292" customFormat="1">
      <c r="A109" s="454" t="s">
        <v>1398</v>
      </c>
      <c r="B109" s="351" t="s">
        <v>109</v>
      </c>
      <c r="C109" s="455" t="s">
        <v>101</v>
      </c>
      <c r="D109" s="456">
        <v>8317</v>
      </c>
      <c r="E109" s="456"/>
      <c r="F109" s="329" t="s">
        <v>2068</v>
      </c>
      <c r="G109" s="329" t="s">
        <v>2031</v>
      </c>
      <c r="H109" s="458">
        <v>1110.3040000000001</v>
      </c>
      <c r="I109" s="379"/>
      <c r="J109" s="384">
        <f>SUM(H109:H123)</f>
        <v>8317.0076174545447</v>
      </c>
    </row>
    <row r="110" spans="1:10" s="292" customFormat="1">
      <c r="A110" s="454"/>
      <c r="B110" s="351"/>
      <c r="C110" s="455"/>
      <c r="D110" s="456"/>
      <c r="E110" s="456"/>
      <c r="F110" s="329" t="s">
        <v>2068</v>
      </c>
      <c r="G110" s="329" t="s">
        <v>2031</v>
      </c>
      <c r="H110" s="458">
        <v>1110.3040000000001</v>
      </c>
      <c r="I110" s="379"/>
      <c r="J110" s="380"/>
    </row>
    <row r="111" spans="1:10" s="292" customFormat="1">
      <c r="A111" s="454"/>
      <c r="B111" s="351"/>
      <c r="C111" s="455"/>
      <c r="D111" s="456"/>
      <c r="E111" s="456"/>
      <c r="F111" s="329" t="s">
        <v>2069</v>
      </c>
      <c r="G111" s="329" t="s">
        <v>2031</v>
      </c>
      <c r="H111" s="458">
        <v>134.14419119999999</v>
      </c>
      <c r="I111" s="379"/>
      <c r="J111" s="380"/>
    </row>
    <row r="112" spans="1:10" s="292" customFormat="1">
      <c r="A112" s="454"/>
      <c r="B112" s="351"/>
      <c r="C112" s="455"/>
      <c r="D112" s="456"/>
      <c r="E112" s="456"/>
      <c r="F112" s="329" t="s">
        <v>2070</v>
      </c>
      <c r="G112" s="329" t="s">
        <v>2031</v>
      </c>
      <c r="H112" s="458">
        <v>815.30099999999993</v>
      </c>
      <c r="I112" s="379"/>
      <c r="J112" s="380"/>
    </row>
    <row r="113" spans="1:10" s="292" customFormat="1">
      <c r="A113" s="454"/>
      <c r="B113" s="351"/>
      <c r="C113" s="455"/>
      <c r="D113" s="456"/>
      <c r="E113" s="456"/>
      <c r="F113" s="329" t="s">
        <v>2071</v>
      </c>
      <c r="G113" s="329" t="s">
        <v>2031</v>
      </c>
      <c r="H113" s="458">
        <v>51.844288800000001</v>
      </c>
      <c r="I113" s="379"/>
      <c r="J113" s="380"/>
    </row>
    <row r="114" spans="1:10" s="292" customFormat="1">
      <c r="A114" s="454"/>
      <c r="B114" s="351"/>
      <c r="C114" s="455"/>
      <c r="D114" s="456"/>
      <c r="E114" s="456"/>
      <c r="F114" s="329" t="s">
        <v>2072</v>
      </c>
      <c r="G114" s="329" t="s">
        <v>2031</v>
      </c>
      <c r="H114" s="458">
        <v>315.09899999999999</v>
      </c>
      <c r="I114" s="379"/>
      <c r="J114" s="380"/>
    </row>
    <row r="115" spans="1:10" s="292" customFormat="1">
      <c r="A115" s="454"/>
      <c r="B115" s="351"/>
      <c r="C115" s="455"/>
      <c r="D115" s="456"/>
      <c r="E115" s="456"/>
      <c r="F115" s="329" t="s">
        <v>2073</v>
      </c>
      <c r="G115" s="329" t="s">
        <v>2031</v>
      </c>
      <c r="H115" s="458">
        <v>640.03990181818187</v>
      </c>
      <c r="I115" s="379"/>
      <c r="J115" s="380"/>
    </row>
    <row r="116" spans="1:10" s="292" customFormat="1">
      <c r="A116" s="454"/>
      <c r="B116" s="351"/>
      <c r="C116" s="455"/>
      <c r="D116" s="456"/>
      <c r="E116" s="456"/>
      <c r="F116" s="329" t="s">
        <v>2074</v>
      </c>
      <c r="G116" s="329" t="s">
        <v>2031</v>
      </c>
      <c r="H116" s="458">
        <v>544.8440936363636</v>
      </c>
      <c r="I116" s="379"/>
      <c r="J116" s="380"/>
    </row>
    <row r="117" spans="1:10" s="292" customFormat="1">
      <c r="A117" s="454"/>
      <c r="B117" s="351"/>
      <c r="C117" s="455"/>
      <c r="D117" s="456"/>
      <c r="E117" s="456"/>
      <c r="F117" s="329" t="s">
        <v>2075</v>
      </c>
      <c r="G117" s="329" t="s">
        <v>2031</v>
      </c>
      <c r="H117" s="458">
        <v>446.50799999999992</v>
      </c>
      <c r="I117" s="379"/>
      <c r="J117" s="380"/>
    </row>
    <row r="118" spans="1:10" s="292" customFormat="1">
      <c r="A118" s="454"/>
      <c r="B118" s="351"/>
      <c r="C118" s="455"/>
      <c r="D118" s="456"/>
      <c r="E118" s="456"/>
      <c r="F118" s="329" t="s">
        <v>2076</v>
      </c>
      <c r="G118" s="329" t="s">
        <v>2031</v>
      </c>
      <c r="H118" s="458">
        <v>380.09699999999992</v>
      </c>
      <c r="I118" s="379"/>
      <c r="J118" s="380"/>
    </row>
    <row r="119" spans="1:10" s="292" customFormat="1">
      <c r="A119" s="454"/>
      <c r="B119" s="351"/>
      <c r="C119" s="455"/>
      <c r="D119" s="456"/>
      <c r="E119" s="456"/>
      <c r="F119" s="329" t="s">
        <v>2077</v>
      </c>
      <c r="G119" s="329" t="s">
        <v>2031</v>
      </c>
      <c r="H119" s="458">
        <v>759.48749999999995</v>
      </c>
      <c r="I119" s="379"/>
      <c r="J119" s="380"/>
    </row>
    <row r="120" spans="1:10" s="292" customFormat="1">
      <c r="A120" s="454"/>
      <c r="B120" s="351"/>
      <c r="C120" s="455"/>
      <c r="D120" s="456"/>
      <c r="E120" s="456"/>
      <c r="F120" s="329" t="s">
        <v>2078</v>
      </c>
      <c r="G120" s="329" t="s">
        <v>2031</v>
      </c>
      <c r="H120" s="458">
        <v>759.48749999999995</v>
      </c>
      <c r="I120" s="379"/>
      <c r="J120" s="380"/>
    </row>
    <row r="121" spans="1:10" s="292" customFormat="1">
      <c r="A121" s="454"/>
      <c r="B121" s="351"/>
      <c r="C121" s="455"/>
      <c r="D121" s="456"/>
      <c r="E121" s="456"/>
      <c r="F121" s="329" t="s">
        <v>2079</v>
      </c>
      <c r="G121" s="329" t="s">
        <v>2031</v>
      </c>
      <c r="H121" s="458">
        <v>73.523571000000004</v>
      </c>
      <c r="I121" s="379"/>
      <c r="J121" s="380"/>
    </row>
    <row r="122" spans="1:10" s="292" customFormat="1">
      <c r="A122" s="454"/>
      <c r="B122" s="351"/>
      <c r="C122" s="455"/>
      <c r="D122" s="456"/>
      <c r="E122" s="456"/>
      <c r="F122" s="329" t="s">
        <v>2080</v>
      </c>
      <c r="G122" s="329" t="s">
        <v>2031</v>
      </c>
      <c r="H122" s="458">
        <v>73.523571000000004</v>
      </c>
      <c r="I122" s="379"/>
      <c r="J122" s="380"/>
    </row>
    <row r="123" spans="1:10" s="292" customFormat="1">
      <c r="A123" s="454"/>
      <c r="B123" s="351"/>
      <c r="C123" s="455"/>
      <c r="D123" s="456"/>
      <c r="E123" s="456"/>
      <c r="F123" s="329" t="s">
        <v>2081</v>
      </c>
      <c r="G123" s="329" t="s">
        <v>2031</v>
      </c>
      <c r="H123" s="458">
        <v>1102.5</v>
      </c>
      <c r="I123" s="379"/>
      <c r="J123" s="380"/>
    </row>
    <row r="124" spans="1:10" s="292" customFormat="1">
      <c r="A124" s="454"/>
      <c r="B124" s="351"/>
      <c r="C124" s="455"/>
      <c r="D124" s="456"/>
      <c r="E124" s="456"/>
      <c r="F124" s="329"/>
      <c r="G124" s="329"/>
      <c r="H124" s="458"/>
      <c r="I124" s="379"/>
      <c r="J124" s="380"/>
    </row>
    <row r="125" spans="1:10" s="292" customFormat="1" ht="42.75">
      <c r="A125" s="454" t="s">
        <v>1399</v>
      </c>
      <c r="B125" s="351" t="s">
        <v>111</v>
      </c>
      <c r="C125" s="455" t="s">
        <v>101</v>
      </c>
      <c r="D125" s="456">
        <v>8317</v>
      </c>
      <c r="E125" s="456"/>
      <c r="F125" s="329" t="s">
        <v>2082</v>
      </c>
      <c r="G125" s="329" t="s">
        <v>2082</v>
      </c>
      <c r="H125" s="458"/>
      <c r="I125" s="379"/>
      <c r="J125" s="384">
        <f>J109</f>
        <v>8317.0076174545447</v>
      </c>
    </row>
    <row r="126" spans="1:10" s="292" customFormat="1">
      <c r="A126" s="454"/>
      <c r="B126" s="351"/>
      <c r="C126" s="455"/>
      <c r="D126" s="456"/>
      <c r="E126" s="456"/>
      <c r="F126" s="329"/>
      <c r="G126" s="329"/>
      <c r="H126" s="458"/>
      <c r="I126" s="379"/>
      <c r="J126" s="380"/>
    </row>
    <row r="127" spans="1:10" s="292" customFormat="1" ht="28.5">
      <c r="A127" s="454" t="s">
        <v>1400</v>
      </c>
      <c r="B127" s="351" t="s">
        <v>285</v>
      </c>
      <c r="C127" s="455" t="s">
        <v>101</v>
      </c>
      <c r="D127" s="456">
        <v>1087</v>
      </c>
      <c r="E127" s="456"/>
      <c r="F127" s="329" t="s">
        <v>2087</v>
      </c>
      <c r="G127" s="329" t="s">
        <v>2031</v>
      </c>
      <c r="H127" s="458">
        <v>179.20315980000001</v>
      </c>
      <c r="I127" s="379"/>
      <c r="J127" s="384">
        <f>SUM(H127:H140)</f>
        <v>1087.0189341656001</v>
      </c>
    </row>
    <row r="128" spans="1:10" s="292" customFormat="1">
      <c r="A128" s="454"/>
      <c r="B128" s="351"/>
      <c r="C128" s="455"/>
      <c r="D128" s="456"/>
      <c r="E128" s="456"/>
      <c r="F128" s="329" t="s">
        <v>2070</v>
      </c>
      <c r="G128" s="329" t="s">
        <v>2031</v>
      </c>
      <c r="H128" s="458">
        <v>113.77978400000001</v>
      </c>
      <c r="I128" s="379"/>
      <c r="J128" s="380"/>
    </row>
    <row r="129" spans="1:10" s="292" customFormat="1">
      <c r="A129" s="454"/>
      <c r="B129" s="351"/>
      <c r="C129" s="455"/>
      <c r="D129" s="456"/>
      <c r="E129" s="456"/>
      <c r="F129" s="329" t="s">
        <v>2088</v>
      </c>
      <c r="G129" s="329" t="s">
        <v>2031</v>
      </c>
      <c r="H129" s="458">
        <v>69.258760199999998</v>
      </c>
      <c r="I129" s="379"/>
      <c r="J129" s="380"/>
    </row>
    <row r="130" spans="1:10" s="292" customFormat="1">
      <c r="A130" s="454"/>
      <c r="B130" s="351"/>
      <c r="C130" s="455"/>
      <c r="D130" s="456"/>
      <c r="E130" s="456"/>
      <c r="F130" s="329" t="s">
        <v>2072</v>
      </c>
      <c r="G130" s="329" t="s">
        <v>2031</v>
      </c>
      <c r="H130" s="458">
        <v>43.973815999999999</v>
      </c>
      <c r="I130" s="379"/>
      <c r="J130" s="380"/>
    </row>
    <row r="131" spans="1:10" s="292" customFormat="1">
      <c r="A131" s="454"/>
      <c r="B131" s="351"/>
      <c r="C131" s="455"/>
      <c r="D131" s="456"/>
      <c r="E131" s="456"/>
      <c r="F131" s="329" t="s">
        <v>2089</v>
      </c>
      <c r="G131" s="329" t="s">
        <v>2031</v>
      </c>
      <c r="H131" s="458">
        <v>98.14245840000001</v>
      </c>
      <c r="I131" s="379"/>
      <c r="J131" s="380"/>
    </row>
    <row r="132" spans="1:10" s="292" customFormat="1">
      <c r="A132" s="454"/>
      <c r="B132" s="351"/>
      <c r="C132" s="455"/>
      <c r="D132" s="456"/>
      <c r="E132" s="456"/>
      <c r="F132" s="329" t="s">
        <v>2075</v>
      </c>
      <c r="G132" s="329" t="s">
        <v>2031</v>
      </c>
      <c r="H132" s="458">
        <v>62.312671999999992</v>
      </c>
      <c r="I132" s="379"/>
      <c r="J132" s="380"/>
    </row>
    <row r="133" spans="1:10" s="292" customFormat="1">
      <c r="A133" s="454"/>
      <c r="B133" s="351"/>
      <c r="C133" s="455"/>
      <c r="D133" s="456"/>
      <c r="E133" s="456"/>
      <c r="F133" s="329" t="s">
        <v>2090</v>
      </c>
      <c r="G133" s="329" t="s">
        <v>2031</v>
      </c>
      <c r="H133" s="458">
        <v>83.545320599999982</v>
      </c>
      <c r="I133" s="379"/>
      <c r="J133" s="380"/>
    </row>
    <row r="134" spans="1:10" s="292" customFormat="1">
      <c r="A134" s="454"/>
      <c r="B134" s="351"/>
      <c r="C134" s="455"/>
      <c r="D134" s="456"/>
      <c r="E134" s="456"/>
      <c r="F134" s="329" t="s">
        <v>2076</v>
      </c>
      <c r="G134" s="329" t="s">
        <v>2031</v>
      </c>
      <c r="H134" s="458">
        <v>53.044647999999995</v>
      </c>
      <c r="I134" s="379"/>
      <c r="J134" s="380"/>
    </row>
    <row r="135" spans="1:10" s="292" customFormat="1">
      <c r="A135" s="454"/>
      <c r="B135" s="351"/>
      <c r="C135" s="455"/>
      <c r="D135" s="456"/>
      <c r="E135" s="456"/>
      <c r="F135" s="329" t="s">
        <v>2083</v>
      </c>
      <c r="G135" s="329" t="s">
        <v>2031</v>
      </c>
      <c r="H135" s="458">
        <v>28.984325277599993</v>
      </c>
      <c r="I135" s="379"/>
      <c r="J135" s="380"/>
    </row>
    <row r="136" spans="1:10" s="292" customFormat="1">
      <c r="A136" s="454"/>
      <c r="B136" s="351"/>
      <c r="C136" s="455"/>
      <c r="D136" s="456"/>
      <c r="E136" s="456"/>
      <c r="F136" s="329" t="s">
        <v>2084</v>
      </c>
      <c r="G136" s="329" t="s">
        <v>2031</v>
      </c>
      <c r="H136" s="458">
        <v>18.402746208</v>
      </c>
      <c r="I136" s="379"/>
      <c r="J136" s="380"/>
    </row>
    <row r="137" spans="1:10" s="292" customFormat="1">
      <c r="A137" s="454"/>
      <c r="B137" s="351"/>
      <c r="C137" s="455"/>
      <c r="D137" s="456"/>
      <c r="E137" s="456"/>
      <c r="F137" s="329" t="s">
        <v>2085</v>
      </c>
      <c r="G137" s="329" t="s">
        <v>2031</v>
      </c>
      <c r="H137" s="458">
        <v>15.335621839999998</v>
      </c>
      <c r="I137" s="379"/>
      <c r="J137" s="380"/>
    </row>
    <row r="138" spans="1:10" s="292" customFormat="1">
      <c r="A138" s="454"/>
      <c r="B138" s="351"/>
      <c r="C138" s="455"/>
      <c r="D138" s="456"/>
      <c r="E138" s="456"/>
      <c r="F138" s="329" t="s">
        <v>2085</v>
      </c>
      <c r="G138" s="329" t="s">
        <v>2031</v>
      </c>
      <c r="H138" s="458">
        <v>15.335621839999998</v>
      </c>
      <c r="I138" s="379"/>
      <c r="J138" s="380"/>
    </row>
    <row r="139" spans="1:10" s="292" customFormat="1">
      <c r="A139" s="454"/>
      <c r="B139" s="351"/>
      <c r="C139" s="455"/>
      <c r="D139" s="456"/>
      <c r="E139" s="456"/>
      <c r="F139" s="329" t="s">
        <v>2086</v>
      </c>
      <c r="G139" s="329" t="s">
        <v>2031</v>
      </c>
      <c r="H139" s="458">
        <v>305.70000000000005</v>
      </c>
      <c r="I139" s="379"/>
      <c r="J139" s="380"/>
    </row>
    <row r="140" spans="1:10" s="292" customFormat="1">
      <c r="A140" s="454"/>
      <c r="B140" s="351"/>
      <c r="C140" s="455"/>
      <c r="D140" s="456"/>
      <c r="E140" s="456"/>
      <c r="F140" s="329"/>
      <c r="G140" s="329"/>
      <c r="H140" s="458"/>
      <c r="I140" s="379"/>
      <c r="J140" s="380"/>
    </row>
    <row r="141" spans="1:10" s="292" customFormat="1" ht="42.75">
      <c r="A141" s="826" t="s">
        <v>1401</v>
      </c>
      <c r="B141" s="827" t="s">
        <v>286</v>
      </c>
      <c r="C141" s="828" t="s">
        <v>52</v>
      </c>
      <c r="D141" s="829">
        <v>172</v>
      </c>
      <c r="E141" s="829"/>
      <c r="F141" s="830"/>
      <c r="G141" s="830"/>
      <c r="H141" s="831">
        <v>172</v>
      </c>
      <c r="I141" s="832"/>
      <c r="J141" s="833">
        <f>H141</f>
        <v>172</v>
      </c>
    </row>
    <row r="142" spans="1:10" s="292" customFormat="1">
      <c r="A142" s="454"/>
      <c r="B142" s="351"/>
      <c r="C142" s="455"/>
      <c r="D142" s="456"/>
      <c r="E142" s="456"/>
      <c r="F142" s="329"/>
      <c r="G142" s="329"/>
      <c r="H142" s="458"/>
      <c r="I142" s="379"/>
      <c r="J142" s="380"/>
    </row>
    <row r="143" spans="1:10" s="292" customFormat="1" ht="99.75">
      <c r="A143" s="454" t="s">
        <v>1402</v>
      </c>
      <c r="B143" s="351" t="s">
        <v>112</v>
      </c>
      <c r="C143" s="455" t="s">
        <v>101</v>
      </c>
      <c r="D143" s="456">
        <v>150400</v>
      </c>
      <c r="E143" s="456"/>
      <c r="F143" s="680" t="s">
        <v>944</v>
      </c>
      <c r="G143" s="680" t="s">
        <v>1403</v>
      </c>
      <c r="H143" s="730">
        <f>69695.67</f>
        <v>69695.67</v>
      </c>
      <c r="I143" s="722">
        <f>H143</f>
        <v>69695.67</v>
      </c>
      <c r="J143" s="384">
        <f>SUM(H143:H145)</f>
        <v>154935.97999999998</v>
      </c>
    </row>
    <row r="144" spans="1:10" s="292" customFormat="1" ht="49.5">
      <c r="A144" s="454"/>
      <c r="B144" s="351"/>
      <c r="C144" s="455"/>
      <c r="D144" s="456"/>
      <c r="E144" s="456"/>
      <c r="F144" s="388" t="s">
        <v>1299</v>
      </c>
      <c r="G144" s="350" t="s">
        <v>1404</v>
      </c>
      <c r="H144" s="389">
        <f>(13227.06)+(12277.18)+(14316.92)+(14316.92)+(15655.29)+(7986.33)+(6243.61)</f>
        <v>84023.31</v>
      </c>
      <c r="I144" s="379"/>
      <c r="J144" s="380"/>
    </row>
    <row r="145" spans="1:10" s="292" customFormat="1">
      <c r="A145" s="454"/>
      <c r="B145" s="351"/>
      <c r="C145" s="455"/>
      <c r="D145" s="456"/>
      <c r="E145" s="456"/>
      <c r="F145" s="680" t="s">
        <v>1405</v>
      </c>
      <c r="G145" s="680">
        <v>1217</v>
      </c>
      <c r="H145" s="730">
        <v>1217</v>
      </c>
      <c r="I145" s="379"/>
      <c r="J145" s="380"/>
    </row>
    <row r="146" spans="1:10" s="292" customFormat="1">
      <c r="A146" s="454"/>
      <c r="B146" s="351"/>
      <c r="C146" s="455"/>
      <c r="D146" s="456"/>
      <c r="E146" s="456"/>
      <c r="F146" s="329"/>
      <c r="G146" s="329"/>
      <c r="H146" s="458"/>
      <c r="I146" s="379"/>
      <c r="J146" s="380"/>
    </row>
    <row r="147" spans="1:10" s="292" customFormat="1" ht="49.5">
      <c r="A147" s="454" t="s">
        <v>1406</v>
      </c>
      <c r="B147" s="351" t="s">
        <v>287</v>
      </c>
      <c r="C147" s="455" t="s">
        <v>52</v>
      </c>
      <c r="D147" s="456">
        <v>1140.1600000000001</v>
      </c>
      <c r="E147" s="456"/>
      <c r="F147" s="680" t="s">
        <v>944</v>
      </c>
      <c r="G147" s="680" t="s">
        <v>1407</v>
      </c>
      <c r="H147" s="730">
        <f>(17.5*2*1.8*3)+(16.5*1.8*3)*2+299.58</f>
        <v>666.78</v>
      </c>
      <c r="I147" s="722">
        <f>H147</f>
        <v>666.78</v>
      </c>
      <c r="J147" s="384">
        <f>H147+H148</f>
        <v>1147.92</v>
      </c>
    </row>
    <row r="148" spans="1:10" s="292" customFormat="1" ht="33">
      <c r="A148" s="454"/>
      <c r="B148" s="351"/>
      <c r="C148" s="455"/>
      <c r="D148" s="456"/>
      <c r="E148" s="456"/>
      <c r="F148" s="388" t="s">
        <v>1299</v>
      </c>
      <c r="G148" s="350" t="s">
        <v>1408</v>
      </c>
      <c r="H148" s="389">
        <f>49.5*(0.6+0.6+0.6)*(1.8*3)</f>
        <v>481.14</v>
      </c>
      <c r="I148" s="379"/>
      <c r="J148" s="380"/>
    </row>
    <row r="149" spans="1:10" s="292" customFormat="1">
      <c r="A149" s="454"/>
      <c r="B149" s="351"/>
      <c r="C149" s="455"/>
      <c r="D149" s="456"/>
      <c r="E149" s="456"/>
      <c r="F149" s="370"/>
      <c r="G149" s="371"/>
      <c r="H149" s="457"/>
      <c r="I149" s="379"/>
      <c r="J149" s="380"/>
    </row>
    <row r="150" spans="1:10" s="292" customFormat="1">
      <c r="A150" s="454"/>
      <c r="B150" s="351"/>
      <c r="C150" s="455"/>
      <c r="D150" s="456"/>
      <c r="E150" s="456"/>
      <c r="F150" s="370"/>
      <c r="G150" s="371"/>
      <c r="H150" s="457"/>
      <c r="I150" s="379"/>
      <c r="J150" s="380"/>
    </row>
    <row r="151" spans="1:10" s="292" customFormat="1" ht="57">
      <c r="A151" s="454" t="s">
        <v>1409</v>
      </c>
      <c r="B151" s="351" t="s">
        <v>39</v>
      </c>
      <c r="C151" s="455" t="s">
        <v>40</v>
      </c>
      <c r="D151" s="456">
        <v>527.59</v>
      </c>
      <c r="E151" s="456"/>
      <c r="F151" s="729" t="s">
        <v>1299</v>
      </c>
      <c r="G151" s="680" t="s">
        <v>1410</v>
      </c>
      <c r="H151" s="730">
        <f>(5+1.6)*(6+1.6)*(1.1+1)*2+(3.5+1.6)*(1.15+1.65)*(1.5+1.6)+(5+1.6)*(2+1.6)*(1.1+1)</f>
        <v>304.83600000000001</v>
      </c>
      <c r="I151" s="722">
        <f>H151</f>
        <v>304.83600000000001</v>
      </c>
      <c r="J151" s="384">
        <f>H151+H152</f>
        <v>527.58600000000001</v>
      </c>
    </row>
    <row r="152" spans="1:10" s="292" customFormat="1">
      <c r="A152" s="454"/>
      <c r="B152" s="351"/>
      <c r="C152" s="455"/>
      <c r="D152" s="456"/>
      <c r="E152" s="456"/>
      <c r="F152" s="381" t="s">
        <v>944</v>
      </c>
      <c r="G152" s="329" t="s">
        <v>1411</v>
      </c>
      <c r="H152" s="458">
        <f>4.5*1.5*(16+17)</f>
        <v>222.75</v>
      </c>
      <c r="I152" s="379">
        <f>H151+H152</f>
        <v>527.58600000000001</v>
      </c>
      <c r="J152" s="380"/>
    </row>
    <row r="153" spans="1:10" s="292" customFormat="1">
      <c r="A153" s="454"/>
      <c r="B153" s="351"/>
      <c r="C153" s="455"/>
      <c r="D153" s="456"/>
      <c r="E153" s="456"/>
      <c r="F153" s="370"/>
      <c r="G153" s="371"/>
      <c r="H153" s="457"/>
      <c r="I153" s="379"/>
      <c r="J153" s="380"/>
    </row>
    <row r="154" spans="1:10" s="292" customFormat="1" ht="42.75">
      <c r="A154" s="454" t="s">
        <v>76</v>
      </c>
      <c r="B154" s="351" t="s">
        <v>289</v>
      </c>
      <c r="C154" s="455" t="s">
        <v>40</v>
      </c>
      <c r="D154" s="456">
        <v>355.42</v>
      </c>
      <c r="E154" s="456"/>
      <c r="F154" s="381"/>
      <c r="G154" s="329"/>
      <c r="H154" s="458">
        <v>0</v>
      </c>
      <c r="I154" s="379"/>
      <c r="J154" s="380">
        <v>0</v>
      </c>
    </row>
    <row r="155" spans="1:10" s="292" customFormat="1">
      <c r="A155" s="454"/>
      <c r="B155" s="351"/>
      <c r="C155" s="455"/>
      <c r="D155" s="456"/>
      <c r="E155" s="456"/>
      <c r="F155" s="381"/>
      <c r="G155" s="329"/>
      <c r="H155" s="458"/>
      <c r="I155" s="379"/>
      <c r="J155" s="380"/>
    </row>
    <row r="156" spans="1:10" s="292" customFormat="1">
      <c r="A156" s="454" t="s">
        <v>79</v>
      </c>
      <c r="B156" s="351" t="s">
        <v>290</v>
      </c>
      <c r="C156" s="455" t="s">
        <v>52</v>
      </c>
      <c r="D156" s="456">
        <v>272</v>
      </c>
      <c r="E156" s="456">
        <v>32675</v>
      </c>
      <c r="F156" s="729"/>
      <c r="G156" s="680">
        <v>32675</v>
      </c>
      <c r="H156" s="730">
        <v>32675</v>
      </c>
      <c r="I156" s="722">
        <f>H156</f>
        <v>32675</v>
      </c>
      <c r="J156" s="384">
        <f>H156</f>
        <v>32675</v>
      </c>
    </row>
    <row r="157" spans="1:10" s="292" customFormat="1">
      <c r="A157" s="454"/>
      <c r="B157" s="351"/>
      <c r="C157" s="455"/>
      <c r="D157" s="456"/>
      <c r="E157" s="456"/>
      <c r="F157" s="381"/>
      <c r="G157" s="329"/>
      <c r="H157" s="458"/>
      <c r="I157" s="379"/>
      <c r="J157" s="380"/>
    </row>
    <row r="158" spans="1:10" s="292" customFormat="1" ht="28.5">
      <c r="A158" s="454" t="s">
        <v>81</v>
      </c>
      <c r="B158" s="351" t="s">
        <v>291</v>
      </c>
      <c r="C158" s="455" t="s">
        <v>36</v>
      </c>
      <c r="D158" s="456">
        <v>744</v>
      </c>
      <c r="E158" s="456"/>
      <c r="F158" s="729" t="s">
        <v>1299</v>
      </c>
      <c r="G158" s="680" t="s">
        <v>1412</v>
      </c>
      <c r="H158" s="730">
        <f>8*45+2*30+2*15+12*1</f>
        <v>462</v>
      </c>
      <c r="I158" s="722">
        <f>H158+H159</f>
        <v>744</v>
      </c>
      <c r="J158" s="384">
        <f>SUM(H158:H160)</f>
        <v>744</v>
      </c>
    </row>
    <row r="159" spans="1:10" s="292" customFormat="1">
      <c r="A159" s="454"/>
      <c r="B159" s="351"/>
      <c r="C159" s="455"/>
      <c r="D159" s="456"/>
      <c r="E159" s="456"/>
      <c r="F159" s="729" t="s">
        <v>944</v>
      </c>
      <c r="G159" s="680" t="s">
        <v>1413</v>
      </c>
      <c r="H159" s="730">
        <f>3*45+3*48+3*1</f>
        <v>282</v>
      </c>
      <c r="I159" s="722"/>
      <c r="J159" s="380"/>
    </row>
    <row r="160" spans="1:10" s="292" customFormat="1">
      <c r="A160" s="454"/>
      <c r="B160" s="351"/>
      <c r="C160" s="455"/>
      <c r="D160" s="456"/>
      <c r="E160" s="456"/>
      <c r="F160" s="381"/>
      <c r="G160" s="329"/>
      <c r="H160" s="458"/>
      <c r="I160" s="379"/>
      <c r="J160" s="380"/>
    </row>
    <row r="161" spans="1:10" s="292" customFormat="1" ht="28.5">
      <c r="A161" s="454" t="s">
        <v>83</v>
      </c>
      <c r="B161" s="351" t="s">
        <v>292</v>
      </c>
      <c r="C161" s="455" t="s">
        <v>52</v>
      </c>
      <c r="D161" s="456">
        <v>136</v>
      </c>
      <c r="E161" s="456"/>
      <c r="F161" s="329" t="s">
        <v>2040</v>
      </c>
      <c r="G161" s="329" t="s">
        <v>2043</v>
      </c>
      <c r="H161" s="458">
        <v>65.66</v>
      </c>
      <c r="I161" s="379"/>
      <c r="J161" s="384">
        <f>SUM(H161:H163)</f>
        <v>124.31</v>
      </c>
    </row>
    <row r="162" spans="1:10" s="292" customFormat="1">
      <c r="A162" s="454"/>
      <c r="B162" s="351"/>
      <c r="C162" s="455"/>
      <c r="D162" s="456"/>
      <c r="E162" s="456"/>
      <c r="F162" s="329" t="s">
        <v>2091</v>
      </c>
      <c r="G162" s="329" t="s">
        <v>2101</v>
      </c>
      <c r="H162" s="458">
        <v>18.940000000000001</v>
      </c>
      <c r="I162" s="379"/>
      <c r="J162" s="380"/>
    </row>
    <row r="163" spans="1:10" s="292" customFormat="1">
      <c r="A163" s="454"/>
      <c r="B163" s="351"/>
      <c r="C163" s="455"/>
      <c r="D163" s="456"/>
      <c r="E163" s="456"/>
      <c r="F163" s="329" t="s">
        <v>2092</v>
      </c>
      <c r="G163" s="329">
        <v>39.71</v>
      </c>
      <c r="H163" s="458">
        <v>39.71</v>
      </c>
      <c r="I163" s="379"/>
      <c r="J163" s="380"/>
    </row>
    <row r="164" spans="1:10" s="292" customFormat="1">
      <c r="A164" s="454"/>
      <c r="B164" s="351"/>
      <c r="C164" s="455"/>
      <c r="D164" s="456"/>
      <c r="E164" s="456"/>
      <c r="F164" s="370"/>
      <c r="G164" s="329"/>
      <c r="H164" s="458"/>
      <c r="I164" s="379"/>
      <c r="J164" s="380"/>
    </row>
    <row r="165" spans="1:10" s="292" customFormat="1" ht="42.75">
      <c r="A165" s="454" t="s">
        <v>85</v>
      </c>
      <c r="B165" s="351" t="s">
        <v>293</v>
      </c>
      <c r="C165" s="455" t="s">
        <v>52</v>
      </c>
      <c r="D165" s="456">
        <v>136</v>
      </c>
      <c r="E165" s="456"/>
      <c r="F165" s="370">
        <v>136</v>
      </c>
      <c r="G165" s="329" t="s">
        <v>2044</v>
      </c>
      <c r="H165" s="458">
        <v>136</v>
      </c>
      <c r="I165" s="379"/>
      <c r="J165" s="384">
        <f>SUM(H165:H166)</f>
        <v>136</v>
      </c>
    </row>
    <row r="166" spans="1:10" s="292" customFormat="1">
      <c r="A166" s="454"/>
      <c r="B166" s="351"/>
      <c r="C166" s="455"/>
      <c r="D166" s="456"/>
      <c r="E166" s="456"/>
      <c r="F166" s="370"/>
      <c r="G166" s="329"/>
      <c r="H166" s="458"/>
      <c r="I166" s="379"/>
      <c r="J166" s="380"/>
    </row>
    <row r="167" spans="1:10" s="292" customFormat="1" ht="28.5">
      <c r="A167" s="454" t="s">
        <v>88</v>
      </c>
      <c r="B167" s="351" t="s">
        <v>294</v>
      </c>
      <c r="C167" s="455" t="s">
        <v>52</v>
      </c>
      <c r="D167" s="456">
        <v>3.6</v>
      </c>
      <c r="E167" s="456"/>
      <c r="F167" s="370">
        <v>0</v>
      </c>
      <c r="G167" s="329">
        <v>0</v>
      </c>
      <c r="H167" s="458">
        <v>0</v>
      </c>
      <c r="I167" s="379"/>
      <c r="J167" s="384">
        <f>SUM(H167:H168)</f>
        <v>0</v>
      </c>
    </row>
    <row r="168" spans="1:10" s="292" customFormat="1">
      <c r="A168" s="454"/>
      <c r="B168" s="351"/>
      <c r="C168" s="455"/>
      <c r="D168" s="456"/>
      <c r="E168" s="456"/>
      <c r="F168" s="370"/>
      <c r="G168" s="329"/>
      <c r="H168" s="458"/>
      <c r="I168" s="379"/>
      <c r="J168" s="380"/>
    </row>
    <row r="169" spans="1:10" s="292" customFormat="1" ht="28.5">
      <c r="A169" s="454" t="s">
        <v>92</v>
      </c>
      <c r="B169" s="351" t="s">
        <v>295</v>
      </c>
      <c r="C169" s="455" t="s">
        <v>36</v>
      </c>
      <c r="D169" s="456">
        <v>44</v>
      </c>
      <c r="E169" s="456"/>
      <c r="F169" s="388" t="s">
        <v>2106</v>
      </c>
      <c r="G169" s="329">
        <v>44</v>
      </c>
      <c r="H169" s="458">
        <v>44</v>
      </c>
      <c r="I169" s="379"/>
      <c r="J169" s="384">
        <f>SUM(H169:H170)</f>
        <v>44</v>
      </c>
    </row>
    <row r="170" spans="1:10" s="292" customFormat="1">
      <c r="A170" s="454"/>
      <c r="B170" s="351"/>
      <c r="C170" s="455"/>
      <c r="D170" s="456"/>
      <c r="E170" s="456"/>
      <c r="F170" s="370"/>
      <c r="G170" s="329"/>
      <c r="H170" s="458"/>
      <c r="I170" s="379"/>
      <c r="J170" s="380"/>
    </row>
    <row r="171" spans="1:10" s="292" customFormat="1" ht="28.5">
      <c r="A171" s="454" t="s">
        <v>128</v>
      </c>
      <c r="B171" s="351" t="s">
        <v>296</v>
      </c>
      <c r="C171" s="455" t="s">
        <v>36</v>
      </c>
      <c r="D171" s="456">
        <v>94.14</v>
      </c>
      <c r="E171" s="456"/>
      <c r="F171" s="370" t="s">
        <v>2107</v>
      </c>
      <c r="G171" s="329">
        <f>57.7+9.78</f>
        <v>67.48</v>
      </c>
      <c r="H171" s="458">
        <f>G171</f>
        <v>67.48</v>
      </c>
      <c r="I171" s="379"/>
      <c r="J171" s="384">
        <f>SUM(H171:H173)</f>
        <v>95.25</v>
      </c>
    </row>
    <row r="172" spans="1:10" s="292" customFormat="1">
      <c r="A172" s="454"/>
      <c r="B172" s="351"/>
      <c r="C172" s="455"/>
      <c r="D172" s="456"/>
      <c r="E172" s="456"/>
      <c r="F172" s="370" t="s">
        <v>2108</v>
      </c>
      <c r="G172" s="329">
        <v>27.77</v>
      </c>
      <c r="H172" s="458">
        <f>G172</f>
        <v>27.77</v>
      </c>
      <c r="I172" s="379"/>
      <c r="J172" s="384"/>
    </row>
    <row r="173" spans="1:10" s="292" customFormat="1">
      <c r="A173" s="454"/>
      <c r="B173" s="351"/>
      <c r="C173" s="455"/>
      <c r="D173" s="456"/>
      <c r="E173" s="456"/>
      <c r="F173" s="370"/>
      <c r="G173" s="329"/>
      <c r="H173" s="458"/>
      <c r="I173" s="379"/>
      <c r="J173" s="380"/>
    </row>
    <row r="174" spans="1:10" s="292" customFormat="1" ht="28.5">
      <c r="A174" s="454" t="s">
        <v>130</v>
      </c>
      <c r="B174" s="351" t="s">
        <v>297</v>
      </c>
      <c r="C174" s="455" t="s">
        <v>36</v>
      </c>
      <c r="D174" s="456">
        <v>114</v>
      </c>
      <c r="E174" s="456"/>
      <c r="F174" s="370" t="s">
        <v>2109</v>
      </c>
      <c r="G174" s="329">
        <v>34.56</v>
      </c>
      <c r="H174" s="458">
        <v>34.56</v>
      </c>
      <c r="I174" s="379"/>
      <c r="J174" s="384">
        <f>SUM(H174:H175)</f>
        <v>64.760000000000005</v>
      </c>
    </row>
    <row r="175" spans="1:10" s="292" customFormat="1">
      <c r="A175" s="454"/>
      <c r="B175" s="351"/>
      <c r="C175" s="455"/>
      <c r="D175" s="456"/>
      <c r="E175" s="456"/>
      <c r="F175" s="370" t="s">
        <v>2110</v>
      </c>
      <c r="G175" s="329" t="s">
        <v>2111</v>
      </c>
      <c r="H175" s="458">
        <f>34.56-4.36</f>
        <v>30.200000000000003</v>
      </c>
      <c r="I175" s="379"/>
      <c r="J175" s="380"/>
    </row>
    <row r="176" spans="1:10" s="292" customFormat="1">
      <c r="A176" s="454"/>
      <c r="B176" s="351"/>
      <c r="C176" s="455"/>
      <c r="D176" s="456"/>
      <c r="E176" s="456"/>
      <c r="F176" s="370"/>
      <c r="G176" s="329"/>
      <c r="H176" s="458"/>
      <c r="I176" s="379"/>
      <c r="J176" s="380"/>
    </row>
    <row r="177" spans="1:10" s="292" customFormat="1" ht="42.75">
      <c r="A177" s="454" t="s">
        <v>132</v>
      </c>
      <c r="B177" s="351" t="s">
        <v>298</v>
      </c>
      <c r="C177" s="455" t="s">
        <v>36</v>
      </c>
      <c r="D177" s="456">
        <v>44</v>
      </c>
      <c r="E177" s="456"/>
      <c r="F177" s="388" t="s">
        <v>2106</v>
      </c>
      <c r="G177" s="329">
        <v>44</v>
      </c>
      <c r="H177" s="458">
        <v>44</v>
      </c>
      <c r="I177" s="379"/>
      <c r="J177" s="384">
        <f>SUM(H177:H178)</f>
        <v>44</v>
      </c>
    </row>
    <row r="178" spans="1:10" s="292" customFormat="1">
      <c r="A178" s="454"/>
      <c r="B178" s="351"/>
      <c r="C178" s="455"/>
      <c r="D178" s="456"/>
      <c r="E178" s="456"/>
      <c r="F178" s="370"/>
      <c r="G178" s="329"/>
      <c r="H178" s="458"/>
      <c r="I178" s="379"/>
      <c r="J178" s="380"/>
    </row>
    <row r="179" spans="1:10" s="292" customFormat="1" ht="57">
      <c r="A179" s="454" t="s">
        <v>134</v>
      </c>
      <c r="B179" s="351" t="s">
        <v>299</v>
      </c>
      <c r="C179" s="455" t="s">
        <v>36</v>
      </c>
      <c r="D179" s="456">
        <v>90</v>
      </c>
      <c r="E179" s="456"/>
      <c r="F179" s="388" t="s">
        <v>2106</v>
      </c>
      <c r="G179" s="329" t="s">
        <v>2112</v>
      </c>
      <c r="H179" s="458">
        <f>(44+1)*2</f>
        <v>90</v>
      </c>
      <c r="I179" s="379"/>
      <c r="J179" s="384">
        <f>SUM(H179:H180)</f>
        <v>90</v>
      </c>
    </row>
    <row r="180" spans="1:10" s="292" customFormat="1">
      <c r="A180" s="454"/>
      <c r="B180" s="351"/>
      <c r="C180" s="455"/>
      <c r="D180" s="456"/>
      <c r="E180" s="456"/>
      <c r="F180" s="370"/>
      <c r="G180" s="329"/>
      <c r="H180" s="458"/>
      <c r="I180" s="379"/>
      <c r="J180" s="380"/>
    </row>
    <row r="181" spans="1:10" s="292" customFormat="1">
      <c r="A181" s="454" t="s">
        <v>136</v>
      </c>
      <c r="B181" s="351" t="s">
        <v>300</v>
      </c>
      <c r="C181" s="455" t="s">
        <v>78</v>
      </c>
      <c r="D181" s="456">
        <v>1</v>
      </c>
      <c r="E181" s="456"/>
      <c r="F181" s="388">
        <v>1</v>
      </c>
      <c r="G181" s="350">
        <v>1</v>
      </c>
      <c r="H181" s="389">
        <v>1</v>
      </c>
      <c r="I181" s="379"/>
      <c r="J181" s="384">
        <f>SUM(H181:H182)</f>
        <v>1</v>
      </c>
    </row>
    <row r="182" spans="1:10" s="292" customFormat="1">
      <c r="A182" s="454"/>
      <c r="B182" s="351"/>
      <c r="C182" s="455"/>
      <c r="D182" s="456"/>
      <c r="E182" s="456"/>
      <c r="F182" s="388"/>
      <c r="G182" s="350"/>
      <c r="H182" s="389"/>
      <c r="I182" s="379"/>
      <c r="J182" s="380"/>
    </row>
    <row r="183" spans="1:10" s="292" customFormat="1">
      <c r="A183" s="454" t="s">
        <v>138</v>
      </c>
      <c r="B183" s="351" t="s">
        <v>301</v>
      </c>
      <c r="C183" s="455" t="s">
        <v>78</v>
      </c>
      <c r="D183" s="456">
        <v>1</v>
      </c>
      <c r="E183" s="456"/>
      <c r="F183" s="388">
        <v>1</v>
      </c>
      <c r="G183" s="350">
        <v>1</v>
      </c>
      <c r="H183" s="389">
        <v>1</v>
      </c>
      <c r="I183" s="379"/>
      <c r="J183" s="384">
        <f>SUM(H183:H184)</f>
        <v>1</v>
      </c>
    </row>
    <row r="184" spans="1:10" s="292" customFormat="1">
      <c r="A184" s="454"/>
      <c r="B184" s="351"/>
      <c r="C184" s="455"/>
      <c r="D184" s="456"/>
      <c r="E184" s="456"/>
      <c r="F184" s="370"/>
      <c r="G184" s="371"/>
      <c r="H184" s="458"/>
      <c r="I184" s="379"/>
      <c r="J184" s="380"/>
    </row>
    <row r="185" spans="1:10" s="292" customFormat="1">
      <c r="A185" s="454" t="s">
        <v>140</v>
      </c>
      <c r="B185" s="351" t="s">
        <v>302</v>
      </c>
      <c r="C185" s="455" t="s">
        <v>36</v>
      </c>
      <c r="D185" s="456">
        <v>13.2</v>
      </c>
      <c r="E185" s="456"/>
      <c r="F185" s="370" t="s">
        <v>1107</v>
      </c>
      <c r="G185" s="371" t="s">
        <v>2113</v>
      </c>
      <c r="H185" s="457">
        <f>6.7*2</f>
        <v>13.4</v>
      </c>
      <c r="I185" s="379"/>
      <c r="J185" s="384">
        <f>SUM(H185:H186)</f>
        <v>13.4</v>
      </c>
    </row>
    <row r="186" spans="1:10" s="292" customFormat="1">
      <c r="A186" s="454"/>
      <c r="B186" s="351"/>
      <c r="C186" s="455"/>
      <c r="D186" s="456"/>
      <c r="E186" s="456"/>
      <c r="F186" s="370"/>
      <c r="G186" s="371"/>
      <c r="H186" s="457"/>
      <c r="I186" s="379"/>
      <c r="J186" s="380"/>
    </row>
    <row r="187" spans="1:10" s="292" customFormat="1" ht="28.5">
      <c r="A187" s="454" t="s">
        <v>142</v>
      </c>
      <c r="B187" s="351" t="s">
        <v>303</v>
      </c>
      <c r="C187" s="455" t="s">
        <v>36</v>
      </c>
      <c r="D187" s="456">
        <v>3</v>
      </c>
      <c r="E187" s="456"/>
      <c r="F187" s="370" t="s">
        <v>2114</v>
      </c>
      <c r="G187" s="371">
        <v>3</v>
      </c>
      <c r="H187" s="457">
        <v>3</v>
      </c>
      <c r="I187" s="379"/>
      <c r="J187" s="384">
        <f>SUM(H187:H188)</f>
        <v>3</v>
      </c>
    </row>
    <row r="188" spans="1:10" s="292" customFormat="1">
      <c r="A188" s="454"/>
      <c r="B188" s="351"/>
      <c r="C188" s="455"/>
      <c r="D188" s="456"/>
      <c r="E188" s="456"/>
      <c r="F188" s="370"/>
      <c r="G188" s="371"/>
      <c r="H188" s="458"/>
      <c r="I188" s="379"/>
      <c r="J188" s="380"/>
    </row>
    <row r="189" spans="1:10" s="292" customFormat="1" ht="28.5">
      <c r="A189" s="454" t="s">
        <v>144</v>
      </c>
      <c r="B189" s="351" t="s">
        <v>304</v>
      </c>
      <c r="C189" s="455" t="s">
        <v>36</v>
      </c>
      <c r="D189" s="456">
        <v>6</v>
      </c>
      <c r="E189" s="456"/>
      <c r="F189" s="370" t="s">
        <v>2114</v>
      </c>
      <c r="G189" s="371" t="s">
        <v>2115</v>
      </c>
      <c r="H189" s="458">
        <v>6</v>
      </c>
      <c r="I189" s="379"/>
      <c r="J189" s="384">
        <f>SUM(H189:H190)</f>
        <v>6</v>
      </c>
    </row>
    <row r="190" spans="1:10" s="292" customFormat="1">
      <c r="A190" s="454"/>
      <c r="B190" s="351"/>
      <c r="C190" s="455"/>
      <c r="D190" s="456"/>
      <c r="E190" s="456"/>
      <c r="F190" s="370"/>
      <c r="G190" s="371"/>
      <c r="H190" s="458"/>
      <c r="I190" s="379"/>
      <c r="J190" s="380"/>
    </row>
    <row r="191" spans="1:10" s="292" customFormat="1" ht="42.75">
      <c r="A191" s="454" t="s">
        <v>146</v>
      </c>
      <c r="B191" s="351" t="s">
        <v>305</v>
      </c>
      <c r="C191" s="455" t="s">
        <v>23</v>
      </c>
      <c r="D191" s="456">
        <v>1</v>
      </c>
      <c r="E191" s="456"/>
      <c r="F191" s="388">
        <v>1</v>
      </c>
      <c r="G191" s="350">
        <v>1</v>
      </c>
      <c r="H191" s="389">
        <v>1</v>
      </c>
      <c r="I191" s="379"/>
      <c r="J191" s="384">
        <f>SUM(H191:H192)</f>
        <v>1</v>
      </c>
    </row>
    <row r="192" spans="1:10" s="292" customFormat="1">
      <c r="A192" s="454"/>
      <c r="B192" s="351"/>
      <c r="C192" s="455"/>
      <c r="D192" s="456"/>
      <c r="E192" s="456"/>
      <c r="F192" s="370"/>
      <c r="G192" s="371"/>
      <c r="H192" s="458"/>
      <c r="I192" s="379"/>
      <c r="J192" s="380"/>
    </row>
    <row r="193" spans="1:10" s="292" customFormat="1" ht="28.5">
      <c r="A193" s="454" t="s">
        <v>148</v>
      </c>
      <c r="B193" s="351" t="s">
        <v>306</v>
      </c>
      <c r="C193" s="455" t="s">
        <v>78</v>
      </c>
      <c r="D193" s="456">
        <v>1</v>
      </c>
      <c r="E193" s="456"/>
      <c r="F193" s="388">
        <v>1</v>
      </c>
      <c r="G193" s="350">
        <v>1</v>
      </c>
      <c r="H193" s="389">
        <v>1</v>
      </c>
      <c r="I193" s="463"/>
      <c r="J193" s="384">
        <f>SUM(H193:H194)</f>
        <v>1</v>
      </c>
    </row>
    <row r="194" spans="1:10" s="292" customFormat="1">
      <c r="A194" s="454"/>
      <c r="B194" s="351"/>
      <c r="C194" s="455"/>
      <c r="D194" s="456"/>
      <c r="E194" s="456"/>
      <c r="F194" s="370"/>
      <c r="G194" s="371"/>
      <c r="H194" s="458"/>
      <c r="I194" s="379"/>
      <c r="J194" s="380"/>
    </row>
    <row r="195" spans="1:10" s="292" customFormat="1">
      <c r="A195" s="454" t="s">
        <v>150</v>
      </c>
      <c r="B195" s="351" t="s">
        <v>307</v>
      </c>
      <c r="C195" s="455" t="s">
        <v>78</v>
      </c>
      <c r="D195" s="456">
        <v>1</v>
      </c>
      <c r="E195" s="456"/>
      <c r="F195" s="388">
        <v>1</v>
      </c>
      <c r="G195" s="350">
        <v>1</v>
      </c>
      <c r="H195" s="389">
        <v>1</v>
      </c>
      <c r="I195" s="463"/>
      <c r="J195" s="384">
        <f>SUM(H195:H196)</f>
        <v>1</v>
      </c>
    </row>
    <row r="196" spans="1:10" s="292" customFormat="1">
      <c r="A196" s="454"/>
      <c r="B196" s="351"/>
      <c r="C196" s="455"/>
      <c r="D196" s="456"/>
      <c r="E196" s="456"/>
      <c r="F196" s="388"/>
      <c r="G196" s="350"/>
      <c r="H196" s="389"/>
      <c r="I196" s="463"/>
      <c r="J196" s="380"/>
    </row>
    <row r="197" spans="1:10" s="292" customFormat="1">
      <c r="A197" s="454" t="s">
        <v>152</v>
      </c>
      <c r="B197" s="351" t="s">
        <v>308</v>
      </c>
      <c r="C197" s="455" t="s">
        <v>78</v>
      </c>
      <c r="D197" s="456">
        <v>1</v>
      </c>
      <c r="E197" s="456"/>
      <c r="F197" s="388">
        <v>1</v>
      </c>
      <c r="G197" s="350">
        <v>1</v>
      </c>
      <c r="H197" s="389">
        <v>1</v>
      </c>
      <c r="I197" s="463">
        <f>H197</f>
        <v>1</v>
      </c>
      <c r="J197" s="384">
        <f>SUM(H197:H198)</f>
        <v>1</v>
      </c>
    </row>
    <row r="198" spans="1:10" s="292" customFormat="1">
      <c r="A198" s="454"/>
      <c r="B198" s="351"/>
      <c r="C198" s="455"/>
      <c r="D198" s="456"/>
      <c r="E198" s="456"/>
      <c r="F198" s="381"/>
      <c r="G198" s="329"/>
      <c r="H198" s="458"/>
      <c r="I198" s="379"/>
      <c r="J198" s="380"/>
    </row>
    <row r="199" spans="1:10" s="292" customFormat="1">
      <c r="A199" s="454" t="s">
        <v>154</v>
      </c>
      <c r="B199" s="351" t="s">
        <v>309</v>
      </c>
      <c r="C199" s="455" t="s">
        <v>23</v>
      </c>
      <c r="D199" s="456">
        <v>0</v>
      </c>
      <c r="E199" s="456">
        <v>1</v>
      </c>
      <c r="F199" s="395">
        <v>1</v>
      </c>
      <c r="G199" s="396">
        <v>1</v>
      </c>
      <c r="H199" s="459">
        <v>1</v>
      </c>
      <c r="I199" s="383">
        <f>H199</f>
        <v>1</v>
      </c>
      <c r="J199" s="384">
        <f>SUM(H199:H200)</f>
        <v>1</v>
      </c>
    </row>
    <row r="200" spans="1:10" s="292" customFormat="1">
      <c r="A200" s="454"/>
      <c r="B200" s="351"/>
      <c r="C200" s="455"/>
      <c r="D200" s="456"/>
      <c r="E200" s="456"/>
      <c r="F200" s="381"/>
      <c r="G200" s="329"/>
      <c r="H200" s="458"/>
      <c r="I200" s="379"/>
      <c r="J200" s="380"/>
    </row>
    <row r="201" spans="1:10" s="292" customFormat="1">
      <c r="A201" s="454" t="s">
        <v>156</v>
      </c>
      <c r="B201" s="351" t="s">
        <v>310</v>
      </c>
      <c r="C201" s="455" t="s">
        <v>36</v>
      </c>
      <c r="D201" s="456">
        <v>0</v>
      </c>
      <c r="E201" s="456">
        <v>24</v>
      </c>
      <c r="F201" s="395" t="s">
        <v>1414</v>
      </c>
      <c r="G201" s="396" t="s">
        <v>1415</v>
      </c>
      <c r="H201" s="459">
        <v>24</v>
      </c>
      <c r="I201" s="383">
        <f>H201</f>
        <v>24</v>
      </c>
      <c r="J201" s="384">
        <f>SUM(H201:H202)</f>
        <v>24</v>
      </c>
    </row>
    <row r="202" spans="1:10" s="292" customFormat="1">
      <c r="A202" s="454"/>
      <c r="B202" s="351"/>
      <c r="C202" s="455"/>
      <c r="D202" s="456"/>
      <c r="E202" s="456"/>
      <c r="F202" s="381"/>
      <c r="G202" s="329"/>
      <c r="H202" s="458"/>
      <c r="I202" s="379"/>
      <c r="J202" s="380"/>
    </row>
    <row r="203" spans="1:10" s="292" customFormat="1">
      <c r="A203" s="454" t="s">
        <v>158</v>
      </c>
      <c r="B203" s="351" t="s">
        <v>312</v>
      </c>
      <c r="C203" s="455" t="s">
        <v>313</v>
      </c>
      <c r="D203" s="456">
        <v>0</v>
      </c>
      <c r="E203" s="456">
        <v>1</v>
      </c>
      <c r="F203" s="395">
        <v>1</v>
      </c>
      <c r="G203" s="396">
        <v>1</v>
      </c>
      <c r="H203" s="459">
        <v>1</v>
      </c>
      <c r="I203" s="383">
        <f>H203</f>
        <v>1</v>
      </c>
      <c r="J203" s="384">
        <f>SUM(H203:H204)</f>
        <v>1</v>
      </c>
    </row>
    <row r="204" spans="1:10" s="292" customFormat="1">
      <c r="A204" s="454"/>
      <c r="B204" s="351"/>
      <c r="C204" s="455"/>
      <c r="D204" s="456"/>
      <c r="E204" s="456"/>
      <c r="F204" s="381"/>
      <c r="G204" s="329"/>
      <c r="H204" s="458"/>
      <c r="I204" s="379"/>
      <c r="J204" s="380"/>
    </row>
    <row r="205" spans="1:10" s="292" customFormat="1" ht="99">
      <c r="A205" s="454" t="s">
        <v>160</v>
      </c>
      <c r="B205" s="351" t="s">
        <v>1416</v>
      </c>
      <c r="C205" s="455" t="s">
        <v>284</v>
      </c>
      <c r="D205" s="456">
        <v>0</v>
      </c>
      <c r="E205" s="456">
        <v>150400</v>
      </c>
      <c r="F205" s="381" t="s">
        <v>944</v>
      </c>
      <c r="G205" s="329" t="s">
        <v>1417</v>
      </c>
      <c r="H205" s="458">
        <f>69695.67</f>
        <v>69695.67</v>
      </c>
      <c r="I205" s="379">
        <f>H205</f>
        <v>69695.67</v>
      </c>
      <c r="J205" s="384">
        <f>SUM(H205:H207)</f>
        <v>154935.97999999998</v>
      </c>
    </row>
    <row r="206" spans="1:10" s="292" customFormat="1" ht="49.5">
      <c r="A206" s="454"/>
      <c r="B206" s="351"/>
      <c r="C206" s="455"/>
      <c r="D206" s="456"/>
      <c r="E206" s="456"/>
      <c r="F206" s="388" t="s">
        <v>1299</v>
      </c>
      <c r="G206" s="350" t="s">
        <v>1404</v>
      </c>
      <c r="H206" s="389">
        <f>(13227.06)+(12277.18)+(14316.92)+(14316.92)+(15655.29)+(7986.33)+(6243.61)</f>
        <v>84023.31</v>
      </c>
      <c r="I206" s="379"/>
      <c r="J206" s="380"/>
    </row>
    <row r="207" spans="1:10" s="292" customFormat="1">
      <c r="A207" s="454"/>
      <c r="B207" s="351"/>
      <c r="C207" s="455"/>
      <c r="D207" s="456"/>
      <c r="E207" s="456"/>
      <c r="F207" s="472" t="s">
        <v>1405</v>
      </c>
      <c r="G207" s="472">
        <v>3000</v>
      </c>
      <c r="H207" s="473">
        <v>1217</v>
      </c>
      <c r="I207" s="379"/>
      <c r="J207" s="380"/>
    </row>
    <row r="208" spans="1:10" s="292" customFormat="1">
      <c r="A208" s="454"/>
      <c r="B208" s="351"/>
      <c r="C208" s="455"/>
      <c r="D208" s="456"/>
      <c r="E208" s="456"/>
      <c r="F208" s="329"/>
      <c r="G208" s="329"/>
      <c r="H208" s="458"/>
      <c r="I208" s="379"/>
      <c r="J208" s="380"/>
    </row>
    <row r="209" spans="1:10" s="292" customFormat="1" ht="28.5">
      <c r="A209" s="454" t="s">
        <v>162</v>
      </c>
      <c r="B209" s="351" t="s">
        <v>1418</v>
      </c>
      <c r="C209" s="455" t="s">
        <v>228</v>
      </c>
      <c r="D209" s="456">
        <v>0</v>
      </c>
      <c r="E209" s="456">
        <v>18</v>
      </c>
      <c r="F209" s="381" t="s">
        <v>944</v>
      </c>
      <c r="G209" s="329" t="s">
        <v>1419</v>
      </c>
      <c r="H209" s="458">
        <v>16</v>
      </c>
      <c r="I209" s="379">
        <f>H209</f>
        <v>16</v>
      </c>
      <c r="J209" s="384">
        <f>SUM(H209:H211)</f>
        <v>18</v>
      </c>
    </row>
    <row r="210" spans="1:10" s="292" customFormat="1">
      <c r="A210" s="474"/>
      <c r="B210" s="475"/>
      <c r="C210" s="476"/>
      <c r="D210" s="477"/>
      <c r="E210" s="477"/>
      <c r="F210" s="760" t="s">
        <v>1299</v>
      </c>
      <c r="G210" s="761" t="s">
        <v>1420</v>
      </c>
      <c r="H210" s="762">
        <v>2</v>
      </c>
      <c r="I210" s="407"/>
      <c r="J210" s="380"/>
    </row>
    <row r="211" spans="1:10" s="292" customFormat="1">
      <c r="A211" s="474"/>
      <c r="B211" s="475"/>
      <c r="C211" s="476"/>
      <c r="D211" s="477"/>
      <c r="E211" s="477"/>
      <c r="F211" s="404"/>
      <c r="G211" s="405"/>
      <c r="H211" s="480"/>
      <c r="I211" s="407"/>
      <c r="J211" s="380"/>
    </row>
    <row r="212" spans="1:10" s="292" customFormat="1" ht="28.5">
      <c r="A212" s="481" t="s">
        <v>164</v>
      </c>
      <c r="B212" s="475" t="s">
        <v>1421</v>
      </c>
      <c r="C212" s="476" t="s">
        <v>228</v>
      </c>
      <c r="D212" s="477">
        <v>0</v>
      </c>
      <c r="E212" s="477">
        <v>2</v>
      </c>
      <c r="F212" s="760" t="s">
        <v>1299</v>
      </c>
      <c r="G212" s="761" t="s">
        <v>1422</v>
      </c>
      <c r="H212" s="762">
        <v>3</v>
      </c>
      <c r="I212" s="407"/>
      <c r="J212" s="384">
        <f>SUM(H212:H213)</f>
        <v>3</v>
      </c>
    </row>
    <row r="213" spans="1:10" s="292" customFormat="1">
      <c r="A213" s="736"/>
      <c r="B213" s="737"/>
      <c r="C213" s="738"/>
      <c r="D213" s="739"/>
      <c r="E213" s="739"/>
      <c r="F213" s="478"/>
      <c r="G213" s="479"/>
      <c r="H213" s="480"/>
      <c r="I213" s="740"/>
      <c r="J213" s="380"/>
    </row>
    <row r="214" spans="1:10" s="292" customFormat="1" ht="28.5">
      <c r="A214" s="317"/>
      <c r="B214" s="482" t="s">
        <v>839</v>
      </c>
      <c r="C214" s="483" t="s">
        <v>36</v>
      </c>
      <c r="D214" s="484"/>
      <c r="E214" s="485"/>
      <c r="F214" s="486" t="s">
        <v>864</v>
      </c>
      <c r="G214" s="472" t="s">
        <v>1423</v>
      </c>
      <c r="H214" s="473">
        <f>4*((18.71+21.45)/2+10+10)</f>
        <v>160.32</v>
      </c>
      <c r="I214" s="487">
        <f>H214</f>
        <v>160.32</v>
      </c>
      <c r="J214" s="384">
        <f>SUM(H214:H215)</f>
        <v>160.32</v>
      </c>
    </row>
    <row r="215" spans="1:10" s="292" customFormat="1">
      <c r="A215" s="317"/>
      <c r="B215" s="741"/>
      <c r="C215" s="742"/>
      <c r="D215" s="743"/>
      <c r="E215" s="744"/>
      <c r="F215" s="729"/>
      <c r="G215" s="680"/>
      <c r="H215" s="730"/>
      <c r="I215" s="745"/>
      <c r="J215" s="726"/>
    </row>
    <row r="216" spans="1:10" s="292" customFormat="1" ht="27.75" customHeight="1">
      <c r="A216" s="317"/>
      <c r="B216" s="488" t="s">
        <v>840</v>
      </c>
      <c r="C216" s="489" t="s">
        <v>36</v>
      </c>
      <c r="D216" s="490"/>
      <c r="E216" s="491"/>
      <c r="F216" s="486" t="s">
        <v>865</v>
      </c>
      <c r="G216" s="472" t="s">
        <v>1424</v>
      </c>
      <c r="H216" s="473">
        <f>2*((18.71+21.45)/2+10+10)</f>
        <v>80.16</v>
      </c>
      <c r="I216" s="492">
        <f>H216</f>
        <v>80.16</v>
      </c>
      <c r="J216" s="384">
        <f>SUM(H216:H217)</f>
        <v>80.16</v>
      </c>
    </row>
    <row r="217" spans="1:10" s="292" customFormat="1" ht="27.75" customHeight="1">
      <c r="A217" s="317"/>
      <c r="B217" s="746"/>
      <c r="C217" s="747"/>
      <c r="D217" s="748"/>
      <c r="E217" s="749"/>
      <c r="F217" s="729"/>
      <c r="G217" s="680"/>
      <c r="H217" s="730"/>
      <c r="I217" s="722"/>
      <c r="J217" s="726"/>
    </row>
    <row r="218" spans="1:10" s="292" customFormat="1" ht="28.5">
      <c r="A218" s="317"/>
      <c r="B218" s="488" t="s">
        <v>841</v>
      </c>
      <c r="C218" s="493" t="s">
        <v>677</v>
      </c>
      <c r="D218" s="490"/>
      <c r="E218" s="491"/>
      <c r="F218" s="486" t="s">
        <v>866</v>
      </c>
      <c r="G218" s="472" t="s">
        <v>1425</v>
      </c>
      <c r="H218" s="473">
        <f>8*((18.71+21.45)/2+10+10)</f>
        <v>320.64</v>
      </c>
      <c r="I218" s="492">
        <f>H218</f>
        <v>320.64</v>
      </c>
      <c r="J218" s="384">
        <f>SUM(H218:H219)</f>
        <v>320.64</v>
      </c>
    </row>
    <row r="219" spans="1:10" s="292" customFormat="1">
      <c r="A219" s="317"/>
      <c r="B219" s="750"/>
      <c r="C219" s="751"/>
      <c r="D219" s="752"/>
      <c r="E219" s="753"/>
      <c r="F219" s="729"/>
      <c r="G219" s="680"/>
      <c r="H219" s="730"/>
      <c r="I219" s="754"/>
      <c r="J219" s="726"/>
    </row>
    <row r="220" spans="1:10" s="292" customFormat="1" ht="28.5">
      <c r="A220" s="317"/>
      <c r="B220" s="494" t="s">
        <v>842</v>
      </c>
      <c r="C220" s="495" t="s">
        <v>36</v>
      </c>
      <c r="D220" s="496"/>
      <c r="E220" s="497"/>
      <c r="F220" s="486" t="s">
        <v>867</v>
      </c>
      <c r="G220" s="472" t="s">
        <v>1425</v>
      </c>
      <c r="H220" s="473">
        <f>8*((18.71+21.45)/2+10+10)</f>
        <v>320.64</v>
      </c>
      <c r="I220" s="498">
        <f>H220</f>
        <v>320.64</v>
      </c>
      <c r="J220" s="384">
        <f>SUM(H220:H221)</f>
        <v>320.64</v>
      </c>
    </row>
    <row r="221" spans="1:10" s="292" customFormat="1">
      <c r="A221" s="317"/>
      <c r="B221" s="755"/>
      <c r="C221" s="756"/>
      <c r="D221" s="757"/>
      <c r="E221" s="758"/>
      <c r="F221" s="729"/>
      <c r="G221" s="680"/>
      <c r="H221" s="730"/>
      <c r="I221" s="759"/>
      <c r="J221" s="726"/>
    </row>
    <row r="222" spans="1:10">
      <c r="B222" s="494" t="s">
        <v>2095</v>
      </c>
      <c r="C222" s="495" t="s">
        <v>1045</v>
      </c>
      <c r="D222" s="496"/>
      <c r="E222" s="497"/>
      <c r="F222" s="486" t="s">
        <v>2093</v>
      </c>
      <c r="G222" s="472" t="s">
        <v>2094</v>
      </c>
      <c r="H222" s="473">
        <v>30.37</v>
      </c>
      <c r="I222" s="498"/>
      <c r="J222" s="384">
        <f>SUM(H222:H223)</f>
        <v>131.09</v>
      </c>
    </row>
    <row r="223" spans="1:10">
      <c r="F223" s="729" t="s">
        <v>2096</v>
      </c>
      <c r="G223" s="680" t="s">
        <v>2094</v>
      </c>
      <c r="H223" s="730">
        <v>100.72</v>
      </c>
    </row>
    <row r="229" spans="1:11" s="438" customFormat="1">
      <c r="A229" s="317"/>
      <c r="B229" s="427"/>
      <c r="C229" s="317"/>
      <c r="D229" s="317"/>
      <c r="E229" s="317"/>
      <c r="F229" s="437" t="s">
        <v>1047</v>
      </c>
      <c r="H229" s="462"/>
      <c r="I229" s="380"/>
      <c r="J229" s="380"/>
      <c r="K229" s="292"/>
    </row>
  </sheetData>
  <mergeCells count="5">
    <mergeCell ref="A1:H1"/>
    <mergeCell ref="A2:H2"/>
    <mergeCell ref="A3:H3"/>
    <mergeCell ref="A4:F4"/>
    <mergeCell ref="G4:H4"/>
  </mergeCells>
  <phoneticPr fontId="71" type="noConversion"/>
  <pageMargins left="0.51181102362204722" right="0.31496062992125984" top="0.74803149606299213" bottom="0.74803149606299213" header="0.31496062992125984" footer="0.31496062992125984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0E3F3-62C9-4310-A112-EFEAEB7EE8DD}">
  <sheetPr>
    <tabColor rgb="FFFF0000"/>
  </sheetPr>
  <dimension ref="A1:M141"/>
  <sheetViews>
    <sheetView view="pageBreakPreview" zoomScale="115" zoomScaleNormal="100" zoomScaleSheetLayoutView="115" workbookViewId="0">
      <pane ySplit="5" topLeftCell="A125" activePane="bottomLeft" state="frozen"/>
      <selection activeCell="K1" sqref="K1:L1048576"/>
      <selection pane="bottomLeft" activeCell="H59" sqref="H59"/>
    </sheetView>
  </sheetViews>
  <sheetFormatPr defaultRowHeight="16.5"/>
  <cols>
    <col min="1" max="1" width="5.125" style="317" customWidth="1"/>
    <col min="2" max="2" width="27.625" style="317" customWidth="1"/>
    <col min="3" max="3" width="5.375" style="317" customWidth="1"/>
    <col min="4" max="4" width="12.375" style="317" customWidth="1"/>
    <col min="5" max="5" width="12.5" style="317" customWidth="1"/>
    <col min="6" max="6" width="26.875" style="438" customWidth="1"/>
    <col min="7" max="7" width="28.125" style="438" customWidth="1"/>
    <col min="8" max="8" width="11.5" style="528" customWidth="1"/>
    <col min="9" max="9" width="10.75" style="380" customWidth="1"/>
    <col min="10" max="10" width="13.125" style="380" customWidth="1"/>
    <col min="11" max="11" width="12.25" style="439" customWidth="1"/>
    <col min="12" max="12" width="12.75" style="292" customWidth="1"/>
    <col min="13" max="16384" width="9" style="292"/>
  </cols>
  <sheetData>
    <row r="1" spans="1:13" ht="21" customHeight="1">
      <c r="A1" s="820" t="s">
        <v>0</v>
      </c>
      <c r="B1" s="821"/>
      <c r="C1" s="821"/>
      <c r="D1" s="821"/>
      <c r="E1" s="821"/>
      <c r="F1" s="821"/>
      <c r="G1" s="821"/>
      <c r="H1" s="821"/>
      <c r="I1" s="440"/>
      <c r="J1" s="441"/>
      <c r="K1" s="499"/>
    </row>
    <row r="2" spans="1:13">
      <c r="A2" s="815" t="s">
        <v>907</v>
      </c>
      <c r="B2" s="816"/>
      <c r="C2" s="816"/>
      <c r="D2" s="816"/>
      <c r="E2" s="816"/>
      <c r="F2" s="816"/>
      <c r="G2" s="816"/>
      <c r="H2" s="816"/>
      <c r="I2" s="294"/>
      <c r="J2" s="295"/>
      <c r="K2" s="500"/>
    </row>
    <row r="3" spans="1:13">
      <c r="A3" s="817" t="s">
        <v>908</v>
      </c>
      <c r="B3" s="818"/>
      <c r="C3" s="818"/>
      <c r="D3" s="818"/>
      <c r="E3" s="818"/>
      <c r="F3" s="818"/>
      <c r="G3" s="818"/>
      <c r="H3" s="818"/>
      <c r="I3" s="294"/>
      <c r="J3" s="295"/>
    </row>
    <row r="4" spans="1:13">
      <c r="A4" s="822" t="s">
        <v>909</v>
      </c>
      <c r="B4" s="823"/>
      <c r="C4" s="823"/>
      <c r="D4" s="823"/>
      <c r="E4" s="823"/>
      <c r="F4" s="823"/>
      <c r="G4" s="824" t="s">
        <v>910</v>
      </c>
      <c r="H4" s="824"/>
      <c r="I4" s="365"/>
      <c r="J4" s="297"/>
    </row>
    <row r="5" spans="1:13">
      <c r="A5" s="501" t="s">
        <v>9</v>
      </c>
      <c r="B5" s="502" t="s">
        <v>911</v>
      </c>
      <c r="C5" s="502" t="s">
        <v>11</v>
      </c>
      <c r="D5" s="502" t="s">
        <v>912</v>
      </c>
      <c r="E5" s="502" t="s">
        <v>913</v>
      </c>
      <c r="F5" s="300" t="s">
        <v>914</v>
      </c>
      <c r="G5" s="503" t="s">
        <v>915</v>
      </c>
      <c r="H5" s="504" t="s">
        <v>916</v>
      </c>
      <c r="I5" s="505" t="s">
        <v>1426</v>
      </c>
      <c r="J5" s="303" t="s">
        <v>917</v>
      </c>
      <c r="K5" s="506"/>
      <c r="L5" s="507"/>
      <c r="M5" s="304"/>
    </row>
    <row r="6" spans="1:13">
      <c r="A6" s="508" t="s">
        <v>1427</v>
      </c>
      <c r="B6" s="509" t="s">
        <v>1428</v>
      </c>
      <c r="C6" s="510"/>
      <c r="D6" s="511"/>
      <c r="E6" s="319"/>
      <c r="F6" s="329"/>
      <c r="G6" s="329"/>
      <c r="H6" s="512"/>
      <c r="I6" s="379"/>
      <c r="K6" s="513"/>
    </row>
    <row r="7" spans="1:13" ht="33">
      <c r="A7" s="310" t="s">
        <v>1429</v>
      </c>
      <c r="B7" s="306" t="s">
        <v>103</v>
      </c>
      <c r="C7" s="301" t="s">
        <v>31</v>
      </c>
      <c r="D7" s="514">
        <v>20</v>
      </c>
      <c r="E7" s="368"/>
      <c r="F7" s="515" t="s">
        <v>1430</v>
      </c>
      <c r="G7" s="398" t="s">
        <v>1431</v>
      </c>
      <c r="H7" s="516">
        <f>(618.1-307)*(0.75*0.05)</f>
        <v>11.666250000000003</v>
      </c>
      <c r="I7" s="383">
        <f>SUM(H7:H11)-H9</f>
        <v>12.296250000000004</v>
      </c>
      <c r="J7" s="384">
        <f>SUM(H7:H11)</f>
        <v>19.589250000000003</v>
      </c>
      <c r="K7" s="517"/>
      <c r="L7" s="518"/>
    </row>
    <row r="8" spans="1:13">
      <c r="A8" s="310"/>
      <c r="B8" s="306"/>
      <c r="C8" s="301"/>
      <c r="D8" s="514"/>
      <c r="E8" s="368"/>
      <c r="F8" s="396" t="s">
        <v>1432</v>
      </c>
      <c r="G8" s="398" t="s">
        <v>1433</v>
      </c>
      <c r="H8" s="516">
        <f>16.8*(0.75*0.05)</f>
        <v>0.63000000000000012</v>
      </c>
      <c r="I8" s="379">
        <f>SUM(H7:H11)</f>
        <v>19.589250000000003</v>
      </c>
      <c r="K8" s="517"/>
    </row>
    <row r="9" spans="1:13" ht="29.25" customHeight="1">
      <c r="A9" s="310"/>
      <c r="B9" s="306"/>
      <c r="C9" s="301"/>
      <c r="D9" s="514"/>
      <c r="E9" s="368"/>
      <c r="F9" s="350" t="s">
        <v>1434</v>
      </c>
      <c r="G9" s="519" t="s">
        <v>1435</v>
      </c>
      <c r="H9" s="471">
        <f>42.9*1.7*0.1</f>
        <v>7.2929999999999993</v>
      </c>
      <c r="I9" s="520"/>
      <c r="K9" s="517"/>
    </row>
    <row r="10" spans="1:13" ht="33">
      <c r="A10" s="310"/>
      <c r="B10" s="306"/>
      <c r="C10" s="301"/>
      <c r="D10" s="514"/>
      <c r="E10" s="368"/>
      <c r="F10" s="465" t="s">
        <v>1436</v>
      </c>
      <c r="G10" s="521" t="s">
        <v>1437</v>
      </c>
      <c r="H10" s="469"/>
      <c r="I10" s="522" t="s">
        <v>1438</v>
      </c>
      <c r="K10" s="517"/>
    </row>
    <row r="11" spans="1:13" ht="33">
      <c r="A11" s="310"/>
      <c r="B11" s="306"/>
      <c r="C11" s="301"/>
      <c r="D11" s="514"/>
      <c r="E11" s="368"/>
      <c r="F11" s="465" t="s">
        <v>1439</v>
      </c>
      <c r="G11" s="521" t="s">
        <v>1440</v>
      </c>
      <c r="H11" s="469"/>
      <c r="I11" s="522" t="s">
        <v>1438</v>
      </c>
      <c r="K11" s="517"/>
    </row>
    <row r="12" spans="1:13">
      <c r="A12" s="310"/>
      <c r="B12" s="306"/>
      <c r="C12" s="301"/>
      <c r="D12" s="514"/>
      <c r="E12" s="368"/>
      <c r="F12" s="329"/>
      <c r="G12" s="306"/>
      <c r="H12" s="523"/>
      <c r="I12" s="379"/>
      <c r="K12" s="517"/>
    </row>
    <row r="13" spans="1:13" ht="36.75" customHeight="1">
      <c r="A13" s="310" t="s">
        <v>1441</v>
      </c>
      <c r="B13" s="306" t="s">
        <v>104</v>
      </c>
      <c r="C13" s="301" t="s">
        <v>31</v>
      </c>
      <c r="D13" s="514">
        <v>354</v>
      </c>
      <c r="E13" s="368"/>
      <c r="F13" s="382">
        <v>0</v>
      </c>
      <c r="G13" s="382">
        <v>0</v>
      </c>
      <c r="H13" s="524">
        <v>0</v>
      </c>
      <c r="I13" s="384">
        <v>0</v>
      </c>
      <c r="J13" s="384">
        <f>SUM(H13:H20)</f>
        <v>327.67149999999998</v>
      </c>
      <c r="K13" s="517"/>
      <c r="L13" s="518"/>
    </row>
    <row r="14" spans="1:13">
      <c r="A14" s="310"/>
      <c r="B14" s="306"/>
      <c r="C14" s="301"/>
      <c r="D14" s="514"/>
      <c r="E14" s="368"/>
      <c r="F14" s="350" t="s">
        <v>1442</v>
      </c>
      <c r="G14" s="525" t="s">
        <v>1443</v>
      </c>
      <c r="H14" s="471">
        <f>41*0.3*0.3*3.14*10</f>
        <v>115.86599999999999</v>
      </c>
      <c r="I14" s="463">
        <f>SUM(H14:H16)</f>
        <v>139.08599999999998</v>
      </c>
      <c r="J14" s="464"/>
      <c r="K14" s="517"/>
    </row>
    <row r="15" spans="1:13">
      <c r="A15" s="310"/>
      <c r="B15" s="306"/>
      <c r="C15" s="301"/>
      <c r="D15" s="514"/>
      <c r="E15" s="368"/>
      <c r="F15" s="350" t="s">
        <v>1444</v>
      </c>
      <c r="G15" s="519" t="s">
        <v>1445</v>
      </c>
      <c r="H15" s="471">
        <f>10*0.2*5.4</f>
        <v>10.8</v>
      </c>
      <c r="I15" s="526"/>
      <c r="J15" s="527"/>
      <c r="K15" s="517"/>
    </row>
    <row r="16" spans="1:13">
      <c r="A16" s="310"/>
      <c r="B16" s="306"/>
      <c r="C16" s="301"/>
      <c r="D16" s="514"/>
      <c r="E16" s="368"/>
      <c r="F16" s="350" t="s">
        <v>1446</v>
      </c>
      <c r="G16" s="438" t="s">
        <v>1447</v>
      </c>
      <c r="H16" s="528">
        <f>(591.5-580)*0.2*5.4</f>
        <v>12.420000000000002</v>
      </c>
      <c r="I16" s="526"/>
      <c r="J16" s="527"/>
      <c r="K16" s="517"/>
    </row>
    <row r="17" spans="1:12" ht="148.5">
      <c r="A17" s="310"/>
      <c r="B17" s="306"/>
      <c r="C17" s="301"/>
      <c r="D17" s="514"/>
      <c r="E17" s="368"/>
      <c r="F17" s="350" t="s">
        <v>1448</v>
      </c>
      <c r="G17" s="350" t="s">
        <v>1449</v>
      </c>
      <c r="H17" s="386">
        <f>(10.4+0.25+0.25)*(4.6+8.2+1.2+1.2)/2*0.45+(10.4+0.25+0.25+4.6+8.2)*0.25*2+(10.4+0.25+0.25)*(4.6+8.2)/2*0.45-2.6*3.6*0.45+5*0.25*0.25*2+11.5*0.35*0.1</f>
        <v>77.335499999999996</v>
      </c>
      <c r="I17" s="520"/>
      <c r="J17" s="527"/>
      <c r="K17" s="517"/>
    </row>
    <row r="18" spans="1:12" ht="33">
      <c r="A18" s="310"/>
      <c r="B18" s="306"/>
      <c r="C18" s="301"/>
      <c r="D18" s="514"/>
      <c r="E18" s="368"/>
      <c r="F18" s="350" t="s">
        <v>1450</v>
      </c>
      <c r="G18" s="350" t="s">
        <v>1451</v>
      </c>
      <c r="H18" s="386">
        <f>(570-560)*7.525</f>
        <v>75.25</v>
      </c>
      <c r="I18" s="520"/>
      <c r="J18" s="527"/>
      <c r="K18" s="517"/>
    </row>
    <row r="19" spans="1:12" ht="33">
      <c r="A19" s="310"/>
      <c r="B19" s="306"/>
      <c r="C19" s="301"/>
      <c r="D19" s="514"/>
      <c r="E19" s="368"/>
      <c r="F19" s="387" t="s">
        <v>1363</v>
      </c>
      <c r="G19" s="387" t="s">
        <v>1452</v>
      </c>
      <c r="H19" s="529">
        <f>(320-300)*1.8</f>
        <v>36</v>
      </c>
      <c r="I19" s="520"/>
      <c r="J19" s="527"/>
      <c r="K19" s="517"/>
    </row>
    <row r="20" spans="1:12">
      <c r="A20" s="310"/>
      <c r="B20" s="306"/>
      <c r="C20" s="301"/>
      <c r="D20" s="514"/>
      <c r="E20" s="368"/>
      <c r="F20" s="530"/>
      <c r="G20" s="531"/>
      <c r="H20" s="372"/>
      <c r="I20" s="526"/>
      <c r="J20" s="527"/>
      <c r="K20" s="517"/>
    </row>
    <row r="21" spans="1:12" ht="29.25" customHeight="1">
      <c r="A21" s="310" t="s">
        <v>1453</v>
      </c>
      <c r="B21" s="306" t="s">
        <v>275</v>
      </c>
      <c r="C21" s="301" t="s">
        <v>31</v>
      </c>
      <c r="D21" s="514">
        <v>690</v>
      </c>
      <c r="E21" s="368">
        <v>0</v>
      </c>
      <c r="F21" s="329" t="s">
        <v>1454</v>
      </c>
      <c r="G21" s="306">
        <v>0</v>
      </c>
      <c r="H21" s="512">
        <v>0</v>
      </c>
      <c r="I21" s="379"/>
      <c r="K21" s="517"/>
      <c r="L21" s="518"/>
    </row>
    <row r="22" spans="1:12">
      <c r="A22" s="310"/>
      <c r="B22" s="306"/>
      <c r="C22" s="301"/>
      <c r="D22" s="514"/>
      <c r="E22" s="368"/>
      <c r="F22" s="532"/>
      <c r="G22" s="306"/>
      <c r="H22" s="512"/>
      <c r="I22" s="379"/>
      <c r="K22" s="517"/>
    </row>
    <row r="23" spans="1:12" ht="33">
      <c r="A23" s="310" t="s">
        <v>1455</v>
      </c>
      <c r="B23" s="306" t="s">
        <v>316</v>
      </c>
      <c r="C23" s="301" t="s">
        <v>31</v>
      </c>
      <c r="D23" s="514">
        <v>1065</v>
      </c>
      <c r="E23" s="368"/>
      <c r="F23" s="533"/>
      <c r="G23" s="534" t="s">
        <v>1456</v>
      </c>
      <c r="H23" s="516">
        <f>I7+I115</f>
        <v>705.45875000000001</v>
      </c>
      <c r="I23" s="383">
        <f>H23</f>
        <v>705.45875000000001</v>
      </c>
      <c r="J23" s="384">
        <f>J13+J7+J115</f>
        <v>1874.0784999999998</v>
      </c>
      <c r="K23" s="517"/>
      <c r="L23" s="518"/>
    </row>
    <row r="24" spans="1:12" ht="33">
      <c r="A24" s="310"/>
      <c r="B24" s="306"/>
      <c r="C24" s="301"/>
      <c r="D24" s="514"/>
      <c r="E24" s="368"/>
      <c r="F24" s="532"/>
      <c r="G24" s="306" t="s">
        <v>1456</v>
      </c>
      <c r="H24" s="512"/>
      <c r="I24" s="379">
        <f>I14+I8+I116</f>
        <v>1106.8419999999999</v>
      </c>
      <c r="K24" s="517"/>
    </row>
    <row r="25" spans="1:12">
      <c r="A25" s="310"/>
      <c r="B25" s="306"/>
      <c r="C25" s="301"/>
      <c r="D25" s="514"/>
      <c r="E25" s="368"/>
      <c r="F25" s="532"/>
      <c r="G25" s="306"/>
      <c r="H25" s="512"/>
      <c r="I25" s="379"/>
      <c r="K25" s="517"/>
    </row>
    <row r="26" spans="1:12">
      <c r="A26" s="310" t="s">
        <v>1457</v>
      </c>
      <c r="B26" s="306" t="s">
        <v>279</v>
      </c>
      <c r="C26" s="301" t="s">
        <v>52</v>
      </c>
      <c r="D26" s="514">
        <v>1229</v>
      </c>
      <c r="E26" s="368"/>
      <c r="F26" s="396" t="s">
        <v>1458</v>
      </c>
      <c r="G26" s="398" t="s">
        <v>1459</v>
      </c>
      <c r="H26" s="516">
        <f>16.8*(1.5*2)</f>
        <v>50.400000000000006</v>
      </c>
      <c r="I26" s="383">
        <f>H26+H27+H30+H31</f>
        <v>1118.3062500000001</v>
      </c>
      <c r="J26" s="384">
        <f>SUM(H26:H32)</f>
        <v>1437.4812499999998</v>
      </c>
      <c r="K26" s="517"/>
      <c r="L26" s="518"/>
    </row>
    <row r="27" spans="1:12" ht="33">
      <c r="A27" s="310"/>
      <c r="B27" s="306"/>
      <c r="C27" s="301"/>
      <c r="D27" s="514"/>
      <c r="E27" s="368"/>
      <c r="F27" s="396" t="s">
        <v>1460</v>
      </c>
      <c r="G27" s="398" t="s">
        <v>1461</v>
      </c>
      <c r="H27" s="516">
        <f>(618.1-307)*(1.5*2)+(620-307)/20*1.5*0.75</f>
        <v>950.90625000000011</v>
      </c>
      <c r="I27" s="379">
        <f>SUM(H26:H32)</f>
        <v>1437.4812499999998</v>
      </c>
      <c r="K27" s="517"/>
      <c r="L27" s="518"/>
    </row>
    <row r="28" spans="1:12" ht="29.25" customHeight="1">
      <c r="A28" s="310"/>
      <c r="B28" s="306"/>
      <c r="C28" s="301"/>
      <c r="D28" s="514"/>
      <c r="E28" s="368"/>
      <c r="F28" s="350" t="s">
        <v>1462</v>
      </c>
      <c r="G28" s="519" t="s">
        <v>1463</v>
      </c>
      <c r="H28" s="471">
        <f>42.9*(3.4)</f>
        <v>145.85999999999999</v>
      </c>
      <c r="I28" s="379"/>
      <c r="K28" s="517"/>
    </row>
    <row r="29" spans="1:12" ht="33">
      <c r="A29" s="310"/>
      <c r="B29" s="306"/>
      <c r="C29" s="301"/>
      <c r="D29" s="514"/>
      <c r="E29" s="368"/>
      <c r="F29" s="350" t="s">
        <v>1464</v>
      </c>
      <c r="G29" s="519" t="s">
        <v>1465</v>
      </c>
      <c r="H29" s="471">
        <f>(625.1-606.85)*3.4</f>
        <v>62.05</v>
      </c>
      <c r="I29" s="379"/>
      <c r="K29" s="517"/>
    </row>
    <row r="30" spans="1:12" ht="33">
      <c r="A30" s="310"/>
      <c r="B30" s="306"/>
      <c r="C30" s="301"/>
      <c r="D30" s="514"/>
      <c r="E30" s="368"/>
      <c r="F30" s="387" t="s">
        <v>1375</v>
      </c>
      <c r="G30" s="535" t="s">
        <v>1466</v>
      </c>
      <c r="H30" s="536">
        <f>29.8*2.5</f>
        <v>74.5</v>
      </c>
      <c r="I30" s="379"/>
      <c r="K30" s="517"/>
    </row>
    <row r="31" spans="1:12" ht="35.25" customHeight="1">
      <c r="A31" s="310"/>
      <c r="B31" s="306"/>
      <c r="C31" s="301"/>
      <c r="D31" s="514"/>
      <c r="E31" s="368"/>
      <c r="F31" s="387" t="s">
        <v>1377</v>
      </c>
      <c r="G31" s="535" t="s">
        <v>1467</v>
      </c>
      <c r="H31" s="536">
        <f>(4+5+8)*2.5</f>
        <v>42.5</v>
      </c>
      <c r="I31" s="379"/>
      <c r="K31" s="517"/>
    </row>
    <row r="32" spans="1:12" ht="35.25" customHeight="1">
      <c r="A32" s="310"/>
      <c r="B32" s="306"/>
      <c r="C32" s="301"/>
      <c r="D32" s="514"/>
      <c r="E32" s="368"/>
      <c r="F32" s="350" t="s">
        <v>1468</v>
      </c>
      <c r="G32" s="519" t="s">
        <v>1469</v>
      </c>
      <c r="H32" s="471">
        <f>(625.1-523.95)*0.55*2</f>
        <v>111.26499999999999</v>
      </c>
      <c r="I32" s="379"/>
      <c r="K32" s="517"/>
    </row>
    <row r="33" spans="1:12">
      <c r="A33" s="310"/>
      <c r="B33" s="306"/>
      <c r="C33" s="301"/>
      <c r="D33" s="514"/>
      <c r="E33" s="368"/>
      <c r="F33" s="532"/>
      <c r="G33" s="306"/>
      <c r="H33" s="512"/>
      <c r="I33" s="379"/>
      <c r="K33" s="517"/>
    </row>
    <row r="34" spans="1:12" ht="30.75" customHeight="1">
      <c r="A34" s="310" t="s">
        <v>1470</v>
      </c>
      <c r="B34" s="306" t="s">
        <v>281</v>
      </c>
      <c r="C34" s="301" t="s">
        <v>52</v>
      </c>
      <c r="D34" s="514">
        <v>285</v>
      </c>
      <c r="E34" s="368"/>
      <c r="F34" s="537" t="s">
        <v>1471</v>
      </c>
      <c r="G34" s="519" t="s">
        <v>1472</v>
      </c>
      <c r="H34" s="471">
        <f>42.9*(0.6*2)+42.9*(3.4)</f>
        <v>197.33999999999997</v>
      </c>
      <c r="I34" s="383">
        <f>H36+H37+H38+H39+H40+H41</f>
        <v>379.63125000000002</v>
      </c>
      <c r="J34" s="384">
        <f>SUM(H34:H42)</f>
        <v>685.44624999999996</v>
      </c>
      <c r="K34" s="517"/>
      <c r="L34" s="518"/>
    </row>
    <row r="35" spans="1:12" ht="33">
      <c r="A35" s="310"/>
      <c r="B35" s="306"/>
      <c r="C35" s="301"/>
      <c r="D35" s="514"/>
      <c r="E35" s="368"/>
      <c r="F35" s="350" t="s">
        <v>1473</v>
      </c>
      <c r="G35" s="519" t="s">
        <v>1474</v>
      </c>
      <c r="H35" s="471">
        <f>(625.1-606.85)*(3.4+0.45*2)</f>
        <v>78.474999999999994</v>
      </c>
      <c r="I35" s="379">
        <f>SUM(H34:H41)</f>
        <v>655.44624999999996</v>
      </c>
      <c r="K35" s="517"/>
    </row>
    <row r="36" spans="1:12" ht="33">
      <c r="A36" s="310"/>
      <c r="B36" s="306"/>
      <c r="C36" s="301"/>
      <c r="D36" s="514"/>
      <c r="E36" s="368"/>
      <c r="F36" s="396" t="s">
        <v>1475</v>
      </c>
      <c r="G36" s="534" t="s">
        <v>1476</v>
      </c>
      <c r="H36" s="538">
        <f>29.8*(2.5+(0.5+1)*2)</f>
        <v>163.9</v>
      </c>
      <c r="I36" s="379"/>
      <c r="K36" s="517"/>
    </row>
    <row r="37" spans="1:12" ht="34.5" customHeight="1">
      <c r="A37" s="310"/>
      <c r="B37" s="306"/>
      <c r="C37" s="301"/>
      <c r="D37" s="514"/>
      <c r="E37" s="368"/>
      <c r="F37" s="396" t="s">
        <v>1477</v>
      </c>
      <c r="G37" s="534" t="s">
        <v>1478</v>
      </c>
      <c r="H37" s="538">
        <f>(4+5+8)*(2.5+(0.5+1)*2)</f>
        <v>93.5</v>
      </c>
      <c r="I37" s="379"/>
      <c r="K37" s="517"/>
    </row>
    <row r="38" spans="1:12" ht="33">
      <c r="A38" s="310"/>
      <c r="B38" s="306"/>
      <c r="C38" s="301"/>
      <c r="D38" s="514"/>
      <c r="E38" s="368"/>
      <c r="F38" s="396" t="s">
        <v>1479</v>
      </c>
      <c r="G38" s="398" t="s">
        <v>1480</v>
      </c>
      <c r="H38" s="516">
        <f>0.25*(599.6-278.1)+(599.6-278.1)/20*1.4*0.25</f>
        <v>86.001249999999999</v>
      </c>
      <c r="I38" s="379"/>
      <c r="K38" s="517"/>
    </row>
    <row r="39" spans="1:12">
      <c r="A39" s="310"/>
      <c r="B39" s="306"/>
      <c r="C39" s="301"/>
      <c r="D39" s="514"/>
      <c r="E39" s="368"/>
      <c r="F39" s="515" t="s">
        <v>1481</v>
      </c>
      <c r="G39" s="398" t="s">
        <v>1482</v>
      </c>
      <c r="H39" s="516">
        <f>(6+1.5)*0.25*2</f>
        <v>3.75</v>
      </c>
      <c r="I39" s="379"/>
      <c r="K39" s="517"/>
    </row>
    <row r="40" spans="1:12" ht="34.5" customHeight="1">
      <c r="A40" s="310"/>
      <c r="B40" s="306"/>
      <c r="C40" s="301"/>
      <c r="D40" s="514"/>
      <c r="E40" s="368"/>
      <c r="F40" s="515" t="s">
        <v>1483</v>
      </c>
      <c r="G40" s="398" t="s">
        <v>1484</v>
      </c>
      <c r="H40" s="516">
        <f>((6+1.5)*1.5-1*1)+(6+1.5)*2*0.25</f>
        <v>14</v>
      </c>
      <c r="I40" s="379"/>
      <c r="K40" s="517"/>
    </row>
    <row r="41" spans="1:12" ht="49.5">
      <c r="A41" s="310"/>
      <c r="B41" s="306"/>
      <c r="C41" s="301"/>
      <c r="D41" s="514"/>
      <c r="E41" s="368"/>
      <c r="F41" s="396" t="s">
        <v>980</v>
      </c>
      <c r="G41" s="396" t="s">
        <v>1485</v>
      </c>
      <c r="H41" s="459">
        <f>(1.55-0.35)*2*8*0.42+0.42*(1.15+0.4)*2*8</f>
        <v>18.479999999999997</v>
      </c>
      <c r="I41" s="379"/>
      <c r="K41" s="517"/>
    </row>
    <row r="42" spans="1:12" ht="35.25" customHeight="1">
      <c r="A42" s="310"/>
      <c r="B42" s="306"/>
      <c r="C42" s="301"/>
      <c r="D42" s="514"/>
      <c r="E42" s="368"/>
      <c r="F42" s="539" t="s">
        <v>1486</v>
      </c>
      <c r="G42" s="540" t="s">
        <v>1487</v>
      </c>
      <c r="H42" s="541">
        <f>30*0.5*2</f>
        <v>30</v>
      </c>
      <c r="I42" s="379"/>
      <c r="K42" s="517"/>
    </row>
    <row r="43" spans="1:12">
      <c r="A43" s="310"/>
      <c r="B43" s="306"/>
      <c r="C43" s="301"/>
      <c r="D43" s="514"/>
      <c r="E43" s="368"/>
      <c r="F43" s="532"/>
      <c r="G43" s="306"/>
      <c r="H43" s="512"/>
      <c r="I43" s="379"/>
      <c r="K43" s="517"/>
    </row>
    <row r="44" spans="1:12">
      <c r="A44" s="310" t="s">
        <v>1488</v>
      </c>
      <c r="B44" s="306" t="s">
        <v>100</v>
      </c>
      <c r="C44" s="301" t="s">
        <v>101</v>
      </c>
      <c r="D44" s="514">
        <v>13716</v>
      </c>
      <c r="E44" s="368"/>
      <c r="F44" s="396" t="s">
        <v>1489</v>
      </c>
      <c r="G44" s="398" t="s">
        <v>1490</v>
      </c>
      <c r="H44" s="516">
        <f>16.8*21.53</f>
        <v>361.70400000000001</v>
      </c>
      <c r="I44" s="383">
        <f>H44+H45+H48+H49+H50+H51</f>
        <v>13452.891000000001</v>
      </c>
      <c r="J44" s="384">
        <f>SUM(H44:H53)</f>
        <v>18482.547333333332</v>
      </c>
      <c r="K44" s="517"/>
      <c r="L44" s="518"/>
    </row>
    <row r="45" spans="1:12" ht="33">
      <c r="A45" s="310"/>
      <c r="B45" s="306"/>
      <c r="C45" s="301"/>
      <c r="D45" s="514"/>
      <c r="E45" s="368"/>
      <c r="F45" s="396" t="s">
        <v>1430</v>
      </c>
      <c r="G45" s="398" t="s">
        <v>1491</v>
      </c>
      <c r="H45" s="516">
        <f>(618.1-307)*21.53</f>
        <v>6697.9830000000011</v>
      </c>
      <c r="I45" s="379">
        <f>SUM(H44:H52)</f>
        <v>17878.195333333333</v>
      </c>
      <c r="K45" s="517"/>
      <c r="L45" s="518"/>
    </row>
    <row r="46" spans="1:12" ht="33">
      <c r="A46" s="310"/>
      <c r="B46" s="306"/>
      <c r="C46" s="301"/>
      <c r="D46" s="514"/>
      <c r="E46" s="368"/>
      <c r="F46" s="350" t="s">
        <v>1462</v>
      </c>
      <c r="G46" s="519" t="s">
        <v>1492</v>
      </c>
      <c r="H46" s="471">
        <f>42.9*49.43</f>
        <v>2120.547</v>
      </c>
      <c r="I46" s="379"/>
      <c r="K46" s="517"/>
      <c r="L46" s="518"/>
    </row>
    <row r="47" spans="1:12" ht="33">
      <c r="A47" s="310"/>
      <c r="B47" s="306"/>
      <c r="C47" s="301"/>
      <c r="D47" s="514"/>
      <c r="E47" s="368"/>
      <c r="F47" s="350" t="s">
        <v>1464</v>
      </c>
      <c r="G47" s="519" t="s">
        <v>1493</v>
      </c>
      <c r="H47" s="471">
        <f>(625.1-606.85)*89.56</f>
        <v>1634.47</v>
      </c>
      <c r="I47" s="379"/>
      <c r="K47" s="517"/>
    </row>
    <row r="48" spans="1:12" ht="33">
      <c r="A48" s="310"/>
      <c r="B48" s="306"/>
      <c r="C48" s="301"/>
      <c r="D48" s="514"/>
      <c r="E48" s="368"/>
      <c r="F48" s="387" t="s">
        <v>1375</v>
      </c>
      <c r="G48" s="535" t="s">
        <v>1494</v>
      </c>
      <c r="H48" s="536">
        <f>29.8*102.68</f>
        <v>3059.8640000000005</v>
      </c>
      <c r="I48" s="379"/>
      <c r="K48" s="517"/>
    </row>
    <row r="49" spans="1:12">
      <c r="A49" s="310"/>
      <c r="B49" s="306"/>
      <c r="C49" s="301"/>
      <c r="D49" s="514"/>
      <c r="E49" s="368"/>
      <c r="F49" s="387" t="s">
        <v>1377</v>
      </c>
      <c r="G49" s="535" t="s">
        <v>1495</v>
      </c>
      <c r="H49" s="536">
        <f>(4+5+8)*102.68</f>
        <v>1745.5600000000002</v>
      </c>
      <c r="I49" s="379"/>
      <c r="K49" s="517"/>
    </row>
    <row r="50" spans="1:12" ht="33">
      <c r="A50" s="310"/>
      <c r="B50" s="306"/>
      <c r="C50" s="301"/>
      <c r="D50" s="514"/>
      <c r="E50" s="368"/>
      <c r="F50" s="387" t="s">
        <v>1483</v>
      </c>
      <c r="G50" s="461" t="s">
        <v>1484</v>
      </c>
      <c r="H50" s="529">
        <f>((6+1.5)*1.5-1*1)+(6+1.5)*2*0.25</f>
        <v>14</v>
      </c>
      <c r="I50" s="379"/>
      <c r="K50" s="517"/>
    </row>
    <row r="51" spans="1:12">
      <c r="A51" s="310"/>
      <c r="B51" s="306"/>
      <c r="C51" s="301"/>
      <c r="D51" s="514"/>
      <c r="E51" s="368"/>
      <c r="F51" s="387" t="s">
        <v>1496</v>
      </c>
      <c r="G51" s="461" t="s">
        <v>1497</v>
      </c>
      <c r="H51" s="529">
        <v>1573.78</v>
      </c>
      <c r="I51" s="379"/>
      <c r="K51" s="517"/>
    </row>
    <row r="52" spans="1:12" ht="49.5">
      <c r="A52" s="542"/>
      <c r="B52" s="543"/>
      <c r="C52" s="544"/>
      <c r="D52" s="545"/>
      <c r="E52" s="545"/>
      <c r="F52" s="350" t="s">
        <v>1468</v>
      </c>
      <c r="G52" s="519" t="s">
        <v>1498</v>
      </c>
      <c r="H52" s="471">
        <f>(625.1-523.95)*0.994*(0.5+0.2)/0.15+(625.1-523.95)*0.994*2</f>
        <v>670.28733333333321</v>
      </c>
      <c r="I52" s="379"/>
      <c r="K52" s="546"/>
    </row>
    <row r="53" spans="1:12" ht="33">
      <c r="A53" s="310"/>
      <c r="B53" s="306"/>
      <c r="C53" s="301"/>
      <c r="D53" s="514"/>
      <c r="E53" s="368"/>
      <c r="F53" s="539" t="s">
        <v>1486</v>
      </c>
      <c r="G53" s="540" t="s">
        <v>1499</v>
      </c>
      <c r="H53" s="541">
        <f>(30/0.3*(0.4+1.2)*2*0.994)+(8*0.994*30)*1.2</f>
        <v>604.35199999999998</v>
      </c>
      <c r="I53" s="379"/>
      <c r="K53" s="517"/>
    </row>
    <row r="54" spans="1:12">
      <c r="A54" s="310"/>
      <c r="B54" s="306"/>
      <c r="C54" s="301"/>
      <c r="D54" s="514"/>
      <c r="E54" s="368"/>
      <c r="F54" s="532"/>
      <c r="G54" s="306"/>
      <c r="H54" s="512"/>
      <c r="I54" s="379"/>
      <c r="K54" s="517"/>
    </row>
    <row r="55" spans="1:12">
      <c r="A55" s="310" t="s">
        <v>1500</v>
      </c>
      <c r="B55" s="306" t="s">
        <v>276</v>
      </c>
      <c r="C55" s="301" t="s">
        <v>101</v>
      </c>
      <c r="D55" s="514">
        <v>13810</v>
      </c>
      <c r="E55" s="368"/>
      <c r="F55" s="387" t="s">
        <v>1458</v>
      </c>
      <c r="G55" s="461" t="s">
        <v>1501</v>
      </c>
      <c r="H55" s="529">
        <f>16.8*58.11</f>
        <v>976.24800000000005</v>
      </c>
      <c r="I55" s="383">
        <f>H55+H56+H60</f>
        <v>19054.269</v>
      </c>
      <c r="J55" s="384">
        <f>SUM(H55:H61)</f>
        <v>36577.194499999998</v>
      </c>
      <c r="K55" s="517"/>
      <c r="L55" s="518"/>
    </row>
    <row r="56" spans="1:12" ht="33">
      <c r="A56" s="310"/>
      <c r="B56" s="306"/>
      <c r="C56" s="301"/>
      <c r="D56" s="514"/>
      <c r="E56" s="368"/>
      <c r="F56" s="387" t="s">
        <v>1460</v>
      </c>
      <c r="G56" s="461" t="s">
        <v>1502</v>
      </c>
      <c r="H56" s="529">
        <f>(618.1-307)*58.11</f>
        <v>18078.021000000001</v>
      </c>
      <c r="I56" s="379">
        <f>SUM(H55:H60)</f>
        <v>36577.194499999998</v>
      </c>
      <c r="K56" s="517"/>
      <c r="L56" s="518"/>
    </row>
    <row r="57" spans="1:12" ht="33">
      <c r="A57" s="310"/>
      <c r="B57" s="306"/>
      <c r="C57" s="301"/>
      <c r="D57" s="514"/>
      <c r="E57" s="368"/>
      <c r="F57" s="350" t="s">
        <v>1462</v>
      </c>
      <c r="G57" s="519" t="s">
        <v>1503</v>
      </c>
      <c r="H57" s="471">
        <f>42.9*121.62</f>
        <v>5217.4979999999996</v>
      </c>
      <c r="I57" s="379"/>
      <c r="K57" s="517"/>
      <c r="L57" s="518"/>
    </row>
    <row r="58" spans="1:12" ht="33">
      <c r="A58" s="310"/>
      <c r="B58" s="306"/>
      <c r="C58" s="301"/>
      <c r="D58" s="514"/>
      <c r="E58" s="368"/>
      <c r="F58" s="350" t="s">
        <v>1464</v>
      </c>
      <c r="G58" s="519" t="s">
        <v>1504</v>
      </c>
      <c r="H58" s="471">
        <f>(625.1-606.85)*674.27</f>
        <v>12305.4275</v>
      </c>
      <c r="I58" s="379"/>
      <c r="K58" s="517"/>
    </row>
    <row r="59" spans="1:12" ht="33">
      <c r="A59" s="310"/>
      <c r="B59" s="306"/>
      <c r="C59" s="301"/>
      <c r="D59" s="514"/>
      <c r="E59" s="368"/>
      <c r="F59" s="465" t="s">
        <v>1375</v>
      </c>
      <c r="G59" s="521" t="s">
        <v>1376</v>
      </c>
      <c r="H59" s="469"/>
      <c r="I59" s="522" t="s">
        <v>1505</v>
      </c>
      <c r="K59" s="517"/>
    </row>
    <row r="60" spans="1:12" ht="33">
      <c r="A60" s="310"/>
      <c r="B60" s="306"/>
      <c r="C60" s="301"/>
      <c r="D60" s="514"/>
      <c r="E60" s="368"/>
      <c r="F60" s="465" t="s">
        <v>1377</v>
      </c>
      <c r="G60" s="521" t="s">
        <v>1378</v>
      </c>
      <c r="H60" s="469"/>
      <c r="I60" s="522" t="s">
        <v>1505</v>
      </c>
      <c r="K60" s="517"/>
    </row>
    <row r="61" spans="1:12">
      <c r="A61" s="310"/>
      <c r="B61" s="306"/>
      <c r="C61" s="301"/>
      <c r="D61" s="514"/>
      <c r="E61" s="368"/>
      <c r="F61" s="329"/>
      <c r="G61" s="547"/>
      <c r="H61" s="512"/>
      <c r="I61" s="379"/>
      <c r="K61" s="517"/>
    </row>
    <row r="62" spans="1:12">
      <c r="A62" s="310" t="s">
        <v>1506</v>
      </c>
      <c r="B62" s="306" t="s">
        <v>317</v>
      </c>
      <c r="C62" s="301" t="s">
        <v>52</v>
      </c>
      <c r="D62" s="514">
        <v>699</v>
      </c>
      <c r="E62" s="368">
        <v>754.47</v>
      </c>
      <c r="F62" s="539" t="s">
        <v>1507</v>
      </c>
      <c r="G62" s="548">
        <v>762.55</v>
      </c>
      <c r="H62" s="549">
        <f>G62</f>
        <v>762.55</v>
      </c>
      <c r="I62" s="383">
        <f>H62</f>
        <v>762.55</v>
      </c>
      <c r="J62" s="384">
        <f>SUM(H62:H63)</f>
        <v>762.55</v>
      </c>
      <c r="K62" s="517"/>
      <c r="L62" s="518"/>
    </row>
    <row r="63" spans="1:12">
      <c r="A63" s="310"/>
      <c r="B63" s="306"/>
      <c r="C63" s="301"/>
      <c r="D63" s="514"/>
      <c r="E63" s="368"/>
      <c r="F63" s="350"/>
      <c r="G63" s="550"/>
      <c r="H63" s="386"/>
      <c r="I63" s="379"/>
      <c r="K63" s="517"/>
      <c r="L63" s="518"/>
    </row>
    <row r="64" spans="1:12">
      <c r="A64" s="310"/>
      <c r="B64" s="306"/>
      <c r="C64" s="301"/>
      <c r="D64" s="514"/>
      <c r="E64" s="368"/>
      <c r="F64" s="329"/>
      <c r="G64" s="306"/>
      <c r="H64" s="523"/>
      <c r="I64" s="379"/>
      <c r="K64" s="517"/>
    </row>
    <row r="65" spans="1:12">
      <c r="A65" s="310" t="s">
        <v>1508</v>
      </c>
      <c r="B65" s="306" t="s">
        <v>319</v>
      </c>
      <c r="C65" s="301" t="s">
        <v>98</v>
      </c>
      <c r="D65" s="514">
        <v>275</v>
      </c>
      <c r="E65" s="368"/>
      <c r="F65" s="539" t="s">
        <v>1507</v>
      </c>
      <c r="G65" s="548">
        <v>318.56</v>
      </c>
      <c r="H65" s="549">
        <f>G65</f>
        <v>318.56</v>
      </c>
      <c r="I65" s="383">
        <f>H65</f>
        <v>318.56</v>
      </c>
      <c r="J65" s="384">
        <f>SUM(H65:H66)</f>
        <v>318.56</v>
      </c>
      <c r="K65" s="517"/>
      <c r="L65" s="518"/>
    </row>
    <row r="66" spans="1:12">
      <c r="A66" s="310"/>
      <c r="B66" s="306"/>
      <c r="C66" s="301"/>
      <c r="D66" s="514"/>
      <c r="E66" s="368"/>
      <c r="F66" s="350"/>
      <c r="G66" s="519"/>
      <c r="H66" s="386"/>
      <c r="I66" s="379"/>
      <c r="K66" s="517"/>
      <c r="L66" s="518"/>
    </row>
    <row r="67" spans="1:12">
      <c r="A67" s="310"/>
      <c r="B67" s="306"/>
      <c r="C67" s="301"/>
      <c r="D67" s="514"/>
      <c r="E67" s="368"/>
      <c r="F67" s="350"/>
      <c r="G67" s="306"/>
      <c r="H67" s="512"/>
      <c r="I67" s="379"/>
      <c r="K67" s="517"/>
    </row>
    <row r="68" spans="1:12">
      <c r="A68" s="310" t="s">
        <v>1509</v>
      </c>
      <c r="B68" s="306" t="s">
        <v>320</v>
      </c>
      <c r="C68" s="301" t="s">
        <v>52</v>
      </c>
      <c r="D68" s="514">
        <v>203</v>
      </c>
      <c r="E68" s="368"/>
      <c r="F68" s="551" t="s">
        <v>1510</v>
      </c>
      <c r="G68" s="552" t="s">
        <v>1511</v>
      </c>
      <c r="H68" s="553">
        <v>128.39999999999998</v>
      </c>
      <c r="I68" s="383">
        <f>H68+H69+H72</f>
        <v>184.88</v>
      </c>
      <c r="J68" s="384">
        <f>SUM(H68:H75)</f>
        <v>418.04999999999995</v>
      </c>
      <c r="K68" s="517"/>
      <c r="L68" s="518"/>
    </row>
    <row r="69" spans="1:12">
      <c r="A69" s="310"/>
      <c r="B69" s="306"/>
      <c r="C69" s="301"/>
      <c r="D69" s="514"/>
      <c r="E69" s="368"/>
      <c r="F69" s="350" t="s">
        <v>1512</v>
      </c>
      <c r="G69" s="552" t="s">
        <v>1511</v>
      </c>
      <c r="H69" s="516">
        <v>20.52</v>
      </c>
      <c r="I69" s="379"/>
      <c r="K69" s="517"/>
    </row>
    <row r="70" spans="1:12">
      <c r="A70" s="310"/>
      <c r="B70" s="306"/>
      <c r="C70" s="301"/>
      <c r="D70" s="514"/>
      <c r="E70" s="368"/>
      <c r="F70" s="393" t="s">
        <v>1513</v>
      </c>
      <c r="G70" s="552" t="s">
        <v>1511</v>
      </c>
      <c r="H70" s="554">
        <v>74.88000000000001</v>
      </c>
      <c r="I70" s="379"/>
      <c r="K70" s="517"/>
    </row>
    <row r="71" spans="1:12">
      <c r="A71" s="310"/>
      <c r="B71" s="306"/>
      <c r="C71" s="301"/>
      <c r="D71" s="514"/>
      <c r="E71" s="368"/>
      <c r="F71" s="393" t="s">
        <v>1514</v>
      </c>
      <c r="G71" s="552" t="s">
        <v>1511</v>
      </c>
      <c r="H71" s="554">
        <v>30</v>
      </c>
      <c r="I71" s="379"/>
      <c r="K71" s="517"/>
    </row>
    <row r="72" spans="1:12">
      <c r="A72" s="310"/>
      <c r="B72" s="306"/>
      <c r="C72" s="301"/>
      <c r="D72" s="514"/>
      <c r="E72" s="368"/>
      <c r="F72" s="393" t="s">
        <v>1515</v>
      </c>
      <c r="G72" s="552" t="s">
        <v>1511</v>
      </c>
      <c r="H72" s="554">
        <v>35.96</v>
      </c>
      <c r="I72" s="379"/>
      <c r="K72" s="517"/>
    </row>
    <row r="73" spans="1:12">
      <c r="A73" s="310"/>
      <c r="B73" s="306"/>
      <c r="C73" s="301"/>
      <c r="D73" s="514"/>
      <c r="E73" s="368"/>
      <c r="F73" s="350" t="s">
        <v>1516</v>
      </c>
      <c r="G73" s="552" t="s">
        <v>1511</v>
      </c>
      <c r="H73" s="528">
        <v>17.75</v>
      </c>
      <c r="I73" s="379"/>
      <c r="K73" s="517"/>
    </row>
    <row r="74" spans="1:12">
      <c r="A74" s="310"/>
      <c r="B74" s="306"/>
      <c r="C74" s="301"/>
      <c r="D74" s="514"/>
      <c r="E74" s="368"/>
      <c r="F74" s="350" t="s">
        <v>1517</v>
      </c>
      <c r="G74" s="552" t="s">
        <v>1511</v>
      </c>
      <c r="H74" s="512">
        <v>72.25</v>
      </c>
      <c r="I74" s="379"/>
      <c r="K74" s="517"/>
    </row>
    <row r="75" spans="1:12">
      <c r="A75" s="310"/>
      <c r="B75" s="306"/>
      <c r="C75" s="301"/>
      <c r="D75" s="514"/>
      <c r="E75" s="368"/>
      <c r="F75" s="371" t="s">
        <v>1518</v>
      </c>
      <c r="G75" s="552" t="s">
        <v>1511</v>
      </c>
      <c r="H75" s="372">
        <v>38.289999999999992</v>
      </c>
      <c r="I75" s="379"/>
      <c r="K75" s="517"/>
    </row>
    <row r="76" spans="1:12">
      <c r="A76" s="310"/>
      <c r="B76" s="306"/>
      <c r="C76" s="301"/>
      <c r="D76" s="514"/>
      <c r="E76" s="368"/>
      <c r="F76" s="350"/>
      <c r="H76" s="512"/>
      <c r="I76" s="379"/>
      <c r="K76" s="517"/>
    </row>
    <row r="77" spans="1:12" ht="33">
      <c r="A77" s="310" t="s">
        <v>1519</v>
      </c>
      <c r="B77" s="306" t="s">
        <v>321</v>
      </c>
      <c r="C77" s="301" t="s">
        <v>52</v>
      </c>
      <c r="D77" s="514">
        <v>405</v>
      </c>
      <c r="E77" s="368"/>
      <c r="F77" s="393" t="s">
        <v>1174</v>
      </c>
      <c r="G77" s="555" t="s">
        <v>1952</v>
      </c>
      <c r="H77" s="556">
        <f>(625-280-15)*(0.5+0.25+0.2)</f>
        <v>313.5</v>
      </c>
      <c r="I77" s="383"/>
      <c r="J77" s="384">
        <f>SUM(H77:H79)</f>
        <v>701.928</v>
      </c>
      <c r="K77" s="517"/>
      <c r="L77" s="518"/>
    </row>
    <row r="78" spans="1:12" ht="33">
      <c r="A78" s="310"/>
      <c r="B78" s="306"/>
      <c r="C78" s="301"/>
      <c r="D78" s="514"/>
      <c r="E78" s="368"/>
      <c r="F78" s="681" t="s">
        <v>1950</v>
      </c>
      <c r="G78" s="723" t="s">
        <v>1951</v>
      </c>
      <c r="H78" s="682">
        <f>(625-280-15)*(0.6+0.25+0.05)</f>
        <v>297</v>
      </c>
      <c r="I78" s="724"/>
      <c r="J78" s="384"/>
      <c r="K78" s="517"/>
      <c r="L78" s="518"/>
    </row>
    <row r="79" spans="1:12" ht="33">
      <c r="A79" s="310"/>
      <c r="B79" s="306"/>
      <c r="C79" s="301"/>
      <c r="D79" s="514"/>
      <c r="E79" s="368"/>
      <c r="F79" s="350" t="s">
        <v>1172</v>
      </c>
      <c r="G79" s="550" t="s">
        <v>1520</v>
      </c>
      <c r="H79" s="386">
        <f>(22.3+17.8)*(0.83+0.83+0.22+0.4)</f>
        <v>91.427999999999997</v>
      </c>
      <c r="I79" s="463">
        <f>H79</f>
        <v>91.427999999999997</v>
      </c>
      <c r="J79" s="464"/>
      <c r="K79" s="517"/>
    </row>
    <row r="80" spans="1:12">
      <c r="A80" s="310"/>
      <c r="B80" s="306"/>
      <c r="C80" s="301"/>
      <c r="D80" s="514"/>
      <c r="E80" s="368"/>
      <c r="F80" s="532"/>
      <c r="G80" s="306"/>
      <c r="H80" s="512"/>
      <c r="I80" s="379"/>
      <c r="K80" s="517"/>
    </row>
    <row r="81" spans="1:12" ht="33">
      <c r="A81" s="310" t="s">
        <v>1521</v>
      </c>
      <c r="B81" s="306" t="s">
        <v>322</v>
      </c>
      <c r="C81" s="301" t="s">
        <v>313</v>
      </c>
      <c r="D81" s="514">
        <v>372</v>
      </c>
      <c r="E81" s="368"/>
      <c r="F81" s="387">
        <v>0</v>
      </c>
      <c r="G81" s="461">
        <v>0</v>
      </c>
      <c r="H81" s="529">
        <v>0</v>
      </c>
      <c r="I81" s="383">
        <v>0</v>
      </c>
      <c r="J81" s="384">
        <f>H82</f>
        <v>292</v>
      </c>
      <c r="K81" s="517"/>
      <c r="L81" s="518"/>
    </row>
    <row r="82" spans="1:12" ht="33">
      <c r="A82" s="310"/>
      <c r="B82" s="306"/>
      <c r="C82" s="301"/>
      <c r="D82" s="514"/>
      <c r="E82" s="368"/>
      <c r="F82" s="350" t="s">
        <v>1464</v>
      </c>
      <c r="G82" s="519" t="s">
        <v>1522</v>
      </c>
      <c r="H82" s="471">
        <f>ROUND((625.1-606.85)*(2.4/0.15),0)</f>
        <v>292</v>
      </c>
      <c r="I82" s="379">
        <f>H82</f>
        <v>292</v>
      </c>
      <c r="K82" s="517"/>
      <c r="L82" s="518"/>
    </row>
    <row r="83" spans="1:12">
      <c r="A83" s="310"/>
      <c r="B83" s="306"/>
      <c r="C83" s="301"/>
      <c r="D83" s="514"/>
      <c r="E83" s="368"/>
      <c r="F83" s="350"/>
      <c r="G83" s="519"/>
      <c r="H83" s="471"/>
      <c r="I83" s="379"/>
      <c r="K83" s="517"/>
      <c r="L83" s="518"/>
    </row>
    <row r="84" spans="1:12">
      <c r="A84" s="310"/>
      <c r="B84" s="306"/>
      <c r="C84" s="301"/>
      <c r="D84" s="514"/>
      <c r="E84" s="368"/>
      <c r="F84" s="532"/>
      <c r="G84" s="306"/>
      <c r="H84" s="512"/>
      <c r="I84" s="379"/>
      <c r="K84" s="517"/>
    </row>
    <row r="85" spans="1:12">
      <c r="A85" s="310" t="s">
        <v>1523</v>
      </c>
      <c r="B85" s="306" t="s">
        <v>323</v>
      </c>
      <c r="C85" s="301" t="s">
        <v>52</v>
      </c>
      <c r="D85" s="514">
        <v>1984</v>
      </c>
      <c r="E85" s="368"/>
      <c r="F85" s="515" t="s">
        <v>1324</v>
      </c>
      <c r="G85" s="398">
        <v>1795.5</v>
      </c>
      <c r="H85" s="516">
        <f>G85</f>
        <v>1795.5</v>
      </c>
      <c r="I85" s="383">
        <f>H85</f>
        <v>1795.5</v>
      </c>
      <c r="J85" s="384"/>
      <c r="K85" s="517"/>
      <c r="L85" s="518"/>
    </row>
    <row r="86" spans="1:12">
      <c r="A86" s="310"/>
      <c r="B86" s="306"/>
      <c r="C86" s="301"/>
      <c r="D86" s="514"/>
      <c r="E86" s="368"/>
      <c r="F86" s="532"/>
      <c r="G86" s="306"/>
      <c r="H86" s="512"/>
      <c r="I86" s="379"/>
      <c r="K86" s="517"/>
    </row>
    <row r="87" spans="1:12">
      <c r="A87" s="310"/>
      <c r="B87" s="306"/>
      <c r="C87" s="301"/>
      <c r="D87" s="514"/>
      <c r="E87" s="368"/>
      <c r="F87" s="532"/>
      <c r="G87" s="306"/>
      <c r="H87" s="512"/>
      <c r="I87" s="379"/>
      <c r="K87" s="517"/>
    </row>
    <row r="88" spans="1:12">
      <c r="A88" s="310" t="s">
        <v>1524</v>
      </c>
      <c r="B88" s="306" t="s">
        <v>137</v>
      </c>
      <c r="C88" s="301" t="s">
        <v>36</v>
      </c>
      <c r="D88" s="514">
        <v>45</v>
      </c>
      <c r="E88" s="368"/>
      <c r="F88" s="387">
        <v>0</v>
      </c>
      <c r="G88" s="461">
        <v>0</v>
      </c>
      <c r="H88" s="529">
        <v>0</v>
      </c>
      <c r="I88" s="383">
        <v>0</v>
      </c>
      <c r="J88" s="384">
        <f>SUM(H88:H91)</f>
        <v>45.727875000000004</v>
      </c>
      <c r="K88" s="517"/>
      <c r="L88" s="518"/>
    </row>
    <row r="89" spans="1:12">
      <c r="A89" s="310"/>
      <c r="B89" s="306"/>
      <c r="C89" s="301"/>
      <c r="D89" s="514"/>
      <c r="E89" s="368"/>
      <c r="F89" s="557" t="s">
        <v>1525</v>
      </c>
      <c r="G89" s="547" t="s">
        <v>1526</v>
      </c>
      <c r="H89" s="512">
        <f>1.5*((620-307+19.8)/20)</f>
        <v>24.96</v>
      </c>
      <c r="I89" s="379">
        <f>SUM(H89:H91)</f>
        <v>45.727875000000004</v>
      </c>
      <c r="K89" s="517"/>
    </row>
    <row r="90" spans="1:12">
      <c r="A90" s="310"/>
      <c r="B90" s="306"/>
      <c r="C90" s="301"/>
      <c r="D90" s="514"/>
      <c r="E90" s="368"/>
      <c r="F90" s="537" t="s">
        <v>1527</v>
      </c>
      <c r="G90" s="519" t="s">
        <v>1528</v>
      </c>
      <c r="H90" s="386">
        <f>(4.6+1.7)*(42.9)/20</f>
        <v>13.513499999999999</v>
      </c>
      <c r="I90" s="379"/>
      <c r="K90" s="517"/>
    </row>
    <row r="91" spans="1:12" ht="33">
      <c r="A91" s="310"/>
      <c r="B91" s="306"/>
      <c r="C91" s="301"/>
      <c r="D91" s="514"/>
      <c r="E91" s="368"/>
      <c r="F91" s="537" t="s">
        <v>1529</v>
      </c>
      <c r="G91" s="519" t="s">
        <v>1530</v>
      </c>
      <c r="H91" s="386">
        <f>(3.3+0.5+0.95+3.2)*(18.25)/20</f>
        <v>7.2543750000000005</v>
      </c>
      <c r="I91" s="379"/>
      <c r="K91" s="517"/>
    </row>
    <row r="92" spans="1:12">
      <c r="A92" s="310"/>
      <c r="B92" s="306"/>
      <c r="C92" s="301"/>
      <c r="D92" s="514"/>
      <c r="E92" s="368"/>
      <c r="F92" s="530"/>
      <c r="G92" s="558"/>
      <c r="H92" s="512"/>
      <c r="I92" s="379"/>
      <c r="K92" s="517"/>
    </row>
    <row r="93" spans="1:12">
      <c r="A93" s="310" t="s">
        <v>1531</v>
      </c>
      <c r="B93" s="306" t="s">
        <v>324</v>
      </c>
      <c r="C93" s="301" t="s">
        <v>36</v>
      </c>
      <c r="D93" s="514">
        <v>62</v>
      </c>
      <c r="E93" s="368"/>
      <c r="F93" s="387">
        <v>0</v>
      </c>
      <c r="G93" s="461">
        <v>0</v>
      </c>
      <c r="H93" s="529">
        <v>0</v>
      </c>
      <c r="I93" s="383">
        <v>0</v>
      </c>
      <c r="J93" s="384">
        <f>SUM(H93:H96)</f>
        <v>61.15</v>
      </c>
      <c r="K93" s="517"/>
      <c r="L93" s="518"/>
    </row>
    <row r="94" spans="1:12">
      <c r="A94" s="310"/>
      <c r="B94" s="306"/>
      <c r="C94" s="301"/>
      <c r="D94" s="514"/>
      <c r="E94" s="368"/>
      <c r="F94" s="350" t="s">
        <v>1527</v>
      </c>
      <c r="G94" s="550">
        <v>42.9</v>
      </c>
      <c r="H94" s="386">
        <f>G94</f>
        <v>42.9</v>
      </c>
      <c r="I94" s="379">
        <f>SUM(H94:H95)</f>
        <v>61.15</v>
      </c>
      <c r="K94" s="517"/>
      <c r="L94" s="518"/>
    </row>
    <row r="95" spans="1:12">
      <c r="A95" s="310"/>
      <c r="B95" s="306"/>
      <c r="C95" s="301"/>
      <c r="D95" s="514"/>
      <c r="E95" s="368"/>
      <c r="F95" s="350" t="s">
        <v>1529</v>
      </c>
      <c r="G95" s="550">
        <v>18.25</v>
      </c>
      <c r="H95" s="386">
        <f>G95</f>
        <v>18.25</v>
      </c>
      <c r="I95" s="379"/>
      <c r="K95" s="517"/>
      <c r="L95" s="518"/>
    </row>
    <row r="96" spans="1:12">
      <c r="A96" s="310"/>
      <c r="B96" s="306"/>
      <c r="C96" s="301"/>
      <c r="D96" s="514"/>
      <c r="E96" s="368"/>
      <c r="F96" s="532"/>
      <c r="G96" s="306"/>
      <c r="H96" s="512"/>
      <c r="I96" s="379"/>
      <c r="K96" s="517"/>
    </row>
    <row r="97" spans="1:12" ht="33">
      <c r="A97" s="310" t="s">
        <v>1532</v>
      </c>
      <c r="B97" s="306" t="s">
        <v>287</v>
      </c>
      <c r="C97" s="301" t="s">
        <v>52</v>
      </c>
      <c r="D97" s="514">
        <v>275</v>
      </c>
      <c r="E97" s="368"/>
      <c r="F97" s="396" t="s">
        <v>1436</v>
      </c>
      <c r="G97" s="534" t="s">
        <v>1533</v>
      </c>
      <c r="H97" s="538">
        <f>29.8*1.8*2*1</f>
        <v>107.28</v>
      </c>
      <c r="I97" s="383">
        <f>SUM(H97:H101)-H99-H100</f>
        <v>1356.48</v>
      </c>
      <c r="J97" s="384">
        <f>SUM(H97:H101)</f>
        <v>1984.05</v>
      </c>
      <c r="K97" s="517"/>
      <c r="L97" s="518"/>
    </row>
    <row r="98" spans="1:12">
      <c r="A98" s="310"/>
      <c r="B98" s="306"/>
      <c r="C98" s="301"/>
      <c r="D98" s="514"/>
      <c r="E98" s="368"/>
      <c r="F98" s="396" t="s">
        <v>1439</v>
      </c>
      <c r="G98" s="534" t="s">
        <v>1534</v>
      </c>
      <c r="H98" s="538">
        <f>(4+5+8)*1.8*2*1</f>
        <v>61.2</v>
      </c>
      <c r="I98" s="379">
        <f>SUM(H97:H101)</f>
        <v>1984.05</v>
      </c>
      <c r="K98" s="517"/>
    </row>
    <row r="99" spans="1:12">
      <c r="A99" s="310"/>
      <c r="B99" s="306"/>
      <c r="C99" s="301"/>
      <c r="D99" s="514"/>
      <c r="E99" s="368"/>
      <c r="F99" s="350" t="s">
        <v>1527</v>
      </c>
      <c r="G99" s="519" t="s">
        <v>1535</v>
      </c>
      <c r="H99" s="471">
        <f>42.9*2*3*1.8</f>
        <v>463.32</v>
      </c>
      <c r="I99" s="379"/>
      <c r="K99" s="517"/>
    </row>
    <row r="100" spans="1:12">
      <c r="A100" s="310"/>
      <c r="B100" s="306"/>
      <c r="C100" s="301"/>
      <c r="D100" s="514"/>
      <c r="E100" s="368"/>
      <c r="F100" s="350" t="s">
        <v>1536</v>
      </c>
      <c r="G100" s="350" t="s">
        <v>1537</v>
      </c>
      <c r="H100" s="471">
        <f>18.25*(3+2)*1.8</f>
        <v>164.25</v>
      </c>
      <c r="I100" s="379"/>
      <c r="K100" s="517"/>
    </row>
    <row r="101" spans="1:12">
      <c r="A101" s="310"/>
      <c r="B101" s="306"/>
      <c r="C101" s="301"/>
      <c r="D101" s="514"/>
      <c r="E101" s="368"/>
      <c r="F101" s="719" t="s">
        <v>1538</v>
      </c>
      <c r="G101" s="720" t="s">
        <v>1949</v>
      </c>
      <c r="H101" s="431">
        <f>(625-280-15)*(1.8*2)</f>
        <v>1188</v>
      </c>
      <c r="I101" s="379"/>
      <c r="K101" s="517"/>
    </row>
    <row r="102" spans="1:12">
      <c r="A102" s="310"/>
      <c r="B102" s="306"/>
      <c r="C102" s="301"/>
      <c r="D102" s="514"/>
      <c r="E102" s="368"/>
      <c r="F102" s="560"/>
      <c r="G102" s="531"/>
      <c r="H102" s="372"/>
      <c r="I102" s="379"/>
      <c r="K102" s="517"/>
    </row>
    <row r="103" spans="1:12">
      <c r="A103" s="310" t="s">
        <v>1539</v>
      </c>
      <c r="B103" s="306" t="s">
        <v>325</v>
      </c>
      <c r="C103" s="301" t="s">
        <v>36</v>
      </c>
      <c r="D103" s="514">
        <v>429</v>
      </c>
      <c r="E103" s="368">
        <v>0</v>
      </c>
      <c r="F103" s="329">
        <v>0</v>
      </c>
      <c r="G103" s="349">
        <v>0</v>
      </c>
      <c r="H103" s="512"/>
      <c r="I103" s="379"/>
      <c r="K103" s="517"/>
      <c r="L103" s="518"/>
    </row>
    <row r="104" spans="1:12">
      <c r="A104" s="310"/>
      <c r="B104" s="306"/>
      <c r="C104" s="301"/>
      <c r="D104" s="514"/>
      <c r="E104" s="368"/>
      <c r="F104" s="532"/>
      <c r="G104" s="306"/>
      <c r="H104" s="512"/>
      <c r="I104" s="379"/>
      <c r="K104" s="517"/>
    </row>
    <row r="105" spans="1:12">
      <c r="A105" s="310" t="s">
        <v>1540</v>
      </c>
      <c r="B105" s="306" t="s">
        <v>326</v>
      </c>
      <c r="C105" s="301" t="s">
        <v>40</v>
      </c>
      <c r="D105" s="514">
        <v>1597.5</v>
      </c>
      <c r="E105" s="368"/>
      <c r="F105" s="396" t="s">
        <v>1541</v>
      </c>
      <c r="G105" s="534" t="s">
        <v>1542</v>
      </c>
      <c r="H105" s="516">
        <f>(620-280)*9*0.5</f>
        <v>1530</v>
      </c>
      <c r="I105" s="383">
        <f>H105</f>
        <v>1530</v>
      </c>
      <c r="J105" s="384">
        <f>SUM(H105:H106)</f>
        <v>2059.1999999999998</v>
      </c>
      <c r="K105" s="517"/>
      <c r="L105" s="518"/>
    </row>
    <row r="106" spans="1:12">
      <c r="A106" s="310"/>
      <c r="B106" s="306"/>
      <c r="C106" s="301"/>
      <c r="D106" s="514"/>
      <c r="E106" s="368"/>
      <c r="F106" s="424" t="s">
        <v>1543</v>
      </c>
      <c r="G106" s="561" t="s">
        <v>1544</v>
      </c>
      <c r="H106" s="562">
        <f>(670.4-620)*10.5</f>
        <v>529.19999999999982</v>
      </c>
      <c r="I106" s="379"/>
      <c r="K106" s="517"/>
    </row>
    <row r="107" spans="1:12">
      <c r="A107" s="310"/>
      <c r="B107" s="306"/>
      <c r="C107" s="301"/>
      <c r="D107" s="514"/>
      <c r="E107" s="368"/>
      <c r="F107" s="532"/>
      <c r="G107" s="306"/>
      <c r="H107" s="512"/>
      <c r="I107" s="379"/>
      <c r="K107" s="517"/>
    </row>
    <row r="108" spans="1:12">
      <c r="A108" s="310" t="s">
        <v>1545</v>
      </c>
      <c r="B108" s="366" t="s">
        <v>327</v>
      </c>
      <c r="C108" s="367" t="s">
        <v>31</v>
      </c>
      <c r="D108" s="368">
        <v>0</v>
      </c>
      <c r="E108" s="368">
        <v>1362.5</v>
      </c>
      <c r="F108" s="396" t="s">
        <v>1541</v>
      </c>
      <c r="G108" s="534" t="s">
        <v>1546</v>
      </c>
      <c r="H108" s="516">
        <f>(620-280)*8*0.5</f>
        <v>1360</v>
      </c>
      <c r="I108" s="383">
        <f>H108</f>
        <v>1360</v>
      </c>
      <c r="J108" s="384">
        <f>I108</f>
        <v>1360</v>
      </c>
      <c r="K108" s="517"/>
      <c r="L108" s="518"/>
    </row>
    <row r="109" spans="1:12">
      <c r="A109" s="310"/>
      <c r="B109" s="366"/>
      <c r="C109" s="367"/>
      <c r="D109" s="368"/>
      <c r="E109" s="368"/>
      <c r="F109" s="329"/>
      <c r="G109" s="329"/>
      <c r="H109" s="512"/>
      <c r="I109" s="379"/>
      <c r="K109" s="517"/>
    </row>
    <row r="110" spans="1:12" ht="33" customHeight="1">
      <c r="A110" s="310" t="s">
        <v>1547</v>
      </c>
      <c r="B110" s="366" t="s">
        <v>655</v>
      </c>
      <c r="C110" s="367" t="s">
        <v>52</v>
      </c>
      <c r="D110" s="368">
        <v>0</v>
      </c>
      <c r="E110" s="368">
        <v>548.70000000000005</v>
      </c>
      <c r="F110" s="350" t="s">
        <v>1507</v>
      </c>
      <c r="G110" s="438">
        <v>805.73</v>
      </c>
      <c r="H110" s="386">
        <f>G110</f>
        <v>805.73</v>
      </c>
      <c r="I110" s="383">
        <f>SUM(H110:H111)-H111</f>
        <v>805.73</v>
      </c>
      <c r="J110" s="384">
        <f>SUM(H110:H112)</f>
        <v>805.73</v>
      </c>
      <c r="K110" s="517"/>
      <c r="L110" s="518"/>
    </row>
    <row r="111" spans="1:12">
      <c r="A111" s="310"/>
      <c r="B111" s="366"/>
      <c r="C111" s="367"/>
      <c r="D111" s="368"/>
      <c r="E111" s="368"/>
      <c r="F111" s="350"/>
      <c r="G111" s="519"/>
      <c r="H111" s="386"/>
      <c r="I111" s="379"/>
      <c r="K111" s="517"/>
    </row>
    <row r="112" spans="1:12">
      <c r="A112" s="310"/>
      <c r="B112" s="366"/>
      <c r="C112" s="367"/>
      <c r="D112" s="368"/>
      <c r="E112" s="368"/>
      <c r="F112" s="329"/>
      <c r="G112" s="329"/>
      <c r="H112" s="512"/>
      <c r="I112" s="379"/>
      <c r="K112" s="517"/>
    </row>
    <row r="113" spans="1:12" ht="49.5">
      <c r="A113" s="310" t="s">
        <v>1548</v>
      </c>
      <c r="B113" s="366" t="s">
        <v>1549</v>
      </c>
      <c r="C113" s="367" t="s">
        <v>36</v>
      </c>
      <c r="D113" s="368">
        <v>0</v>
      </c>
      <c r="E113" s="368">
        <v>410</v>
      </c>
      <c r="F113" s="396" t="s">
        <v>1550</v>
      </c>
      <c r="G113" s="396" t="s">
        <v>1551</v>
      </c>
      <c r="H113" s="516">
        <f>41*10</f>
        <v>410</v>
      </c>
      <c r="I113" s="383">
        <f>H113</f>
        <v>410</v>
      </c>
      <c r="J113" s="384">
        <f>I113</f>
        <v>410</v>
      </c>
      <c r="K113" s="517"/>
      <c r="L113" s="518"/>
    </row>
    <row r="114" spans="1:12">
      <c r="A114" s="310"/>
      <c r="B114" s="366"/>
      <c r="C114" s="367"/>
      <c r="D114" s="368"/>
      <c r="E114" s="368"/>
      <c r="F114" s="329"/>
      <c r="G114" s="329"/>
      <c r="H114" s="512"/>
      <c r="I114" s="379"/>
      <c r="K114" s="517"/>
    </row>
    <row r="115" spans="1:12" ht="33">
      <c r="A115" s="310" t="s">
        <v>1552</v>
      </c>
      <c r="B115" s="366" t="s">
        <v>1553</v>
      </c>
      <c r="C115" s="367" t="s">
        <v>31</v>
      </c>
      <c r="D115" s="368">
        <v>0</v>
      </c>
      <c r="E115" s="368">
        <v>690</v>
      </c>
      <c r="F115" s="396" t="s">
        <v>1430</v>
      </c>
      <c r="G115" s="398" t="s">
        <v>1554</v>
      </c>
      <c r="H115" s="516">
        <f>(618.1-307)*(0.75*1.5)</f>
        <v>349.98750000000001</v>
      </c>
      <c r="I115" s="383">
        <f>SUM(H115:H125)-H117-H118</f>
        <v>693.16250000000002</v>
      </c>
      <c r="J115" s="384">
        <f>SUM(H115:H130)</f>
        <v>1526.8177499999999</v>
      </c>
      <c r="K115" s="517"/>
      <c r="L115" s="518"/>
    </row>
    <row r="116" spans="1:12">
      <c r="A116" s="310"/>
      <c r="B116" s="366"/>
      <c r="C116" s="367"/>
      <c r="D116" s="368"/>
      <c r="E116" s="368"/>
      <c r="F116" s="396" t="s">
        <v>1432</v>
      </c>
      <c r="G116" s="398" t="s">
        <v>1555</v>
      </c>
      <c r="H116" s="516">
        <f>16.8*(0.75*1.5)</f>
        <v>18.900000000000002</v>
      </c>
      <c r="I116" s="379">
        <f>SUM(H115:H125)</f>
        <v>948.16674999999998</v>
      </c>
      <c r="K116" s="517"/>
    </row>
    <row r="117" spans="1:12" ht="33.75" customHeight="1">
      <c r="A117" s="310"/>
      <c r="B117" s="366"/>
      <c r="C117" s="367"/>
      <c r="D117" s="368"/>
      <c r="E117" s="368"/>
      <c r="F117" s="350" t="s">
        <v>1434</v>
      </c>
      <c r="G117" s="519" t="s">
        <v>1556</v>
      </c>
      <c r="H117" s="471">
        <f>42.9*(1.7*0.6+(0.5+1.7)/2*3.5)</f>
        <v>208.92300000000003</v>
      </c>
      <c r="I117" s="379"/>
      <c r="K117" s="517"/>
    </row>
    <row r="118" spans="1:12" ht="33.75" customHeight="1">
      <c r="A118" s="310"/>
      <c r="B118" s="366"/>
      <c r="C118" s="367"/>
      <c r="D118" s="368"/>
      <c r="E118" s="368"/>
      <c r="F118" s="350" t="s">
        <v>1557</v>
      </c>
      <c r="G118" s="519" t="s">
        <v>1558</v>
      </c>
      <c r="H118" s="471">
        <f>(625.1-606.85)*(2.5*0.45+0.4*3.5)</f>
        <v>46.081250000000004</v>
      </c>
      <c r="I118" s="379"/>
      <c r="K118" s="517"/>
    </row>
    <row r="119" spans="1:12" ht="33">
      <c r="A119" s="310"/>
      <c r="B119" s="366"/>
      <c r="C119" s="367"/>
      <c r="D119" s="368"/>
      <c r="E119" s="368"/>
      <c r="F119" s="396" t="s">
        <v>1436</v>
      </c>
      <c r="G119" s="534" t="s">
        <v>1559</v>
      </c>
      <c r="H119" s="538">
        <f>29.8*(2.5*1+0.75*(2.5-1.5))</f>
        <v>96.850000000000009</v>
      </c>
      <c r="I119" s="379"/>
      <c r="K119" s="517"/>
    </row>
    <row r="120" spans="1:12" ht="33">
      <c r="A120" s="310"/>
      <c r="B120" s="366"/>
      <c r="C120" s="367"/>
      <c r="D120" s="368"/>
      <c r="E120" s="368"/>
      <c r="F120" s="396" t="s">
        <v>1439</v>
      </c>
      <c r="G120" s="534" t="s">
        <v>1560</v>
      </c>
      <c r="H120" s="538">
        <f>(4+5+8)*(2.5*1+0.75*(2.5-1.5))</f>
        <v>55.25</v>
      </c>
      <c r="I120" s="379"/>
      <c r="K120" s="517"/>
    </row>
    <row r="121" spans="1:12">
      <c r="A121" s="310"/>
      <c r="B121" s="366"/>
      <c r="C121" s="367"/>
      <c r="D121" s="368"/>
      <c r="E121" s="368"/>
      <c r="F121" s="515" t="s">
        <v>1561</v>
      </c>
      <c r="G121" s="398" t="s">
        <v>1562</v>
      </c>
      <c r="H121" s="516">
        <f>0.15*15*(22.8+17)/2</f>
        <v>44.774999999999999</v>
      </c>
      <c r="I121" s="379"/>
      <c r="K121" s="517"/>
    </row>
    <row r="122" spans="1:12" ht="33">
      <c r="A122" s="310"/>
      <c r="B122" s="366"/>
      <c r="C122" s="367"/>
      <c r="D122" s="368"/>
      <c r="E122" s="368"/>
      <c r="F122" s="515" t="s">
        <v>1479</v>
      </c>
      <c r="G122" s="398" t="s">
        <v>1563</v>
      </c>
      <c r="H122" s="516">
        <f>0.25*1.4*(599.6-278.1)</f>
        <v>112.52499999999999</v>
      </c>
      <c r="I122" s="379"/>
      <c r="K122" s="517"/>
    </row>
    <row r="123" spans="1:12">
      <c r="A123" s="310"/>
      <c r="B123" s="366"/>
      <c r="C123" s="367"/>
      <c r="D123" s="368"/>
      <c r="E123" s="368"/>
      <c r="F123" s="515" t="s">
        <v>1481</v>
      </c>
      <c r="G123" s="398" t="s">
        <v>1564</v>
      </c>
      <c r="H123" s="516">
        <f>(6+1.5)*1.5*0.25</f>
        <v>2.8125</v>
      </c>
      <c r="I123" s="379"/>
      <c r="K123" s="517"/>
    </row>
    <row r="124" spans="1:12" ht="35.25" customHeight="1">
      <c r="A124" s="310"/>
      <c r="B124" s="366"/>
      <c r="C124" s="367"/>
      <c r="D124" s="368"/>
      <c r="E124" s="368"/>
      <c r="F124" s="515" t="s">
        <v>1483</v>
      </c>
      <c r="G124" s="398" t="s">
        <v>1565</v>
      </c>
      <c r="H124" s="516">
        <f>((6+1.5)*1.5-1*1)*0.25</f>
        <v>2.5625</v>
      </c>
      <c r="I124" s="379"/>
      <c r="K124" s="517"/>
    </row>
    <row r="125" spans="1:12">
      <c r="A125" s="310"/>
      <c r="B125" s="366"/>
      <c r="C125" s="367"/>
      <c r="D125" s="368"/>
      <c r="E125" s="368"/>
      <c r="F125" s="515" t="s">
        <v>1496</v>
      </c>
      <c r="G125" s="398" t="s">
        <v>1566</v>
      </c>
      <c r="H125" s="516">
        <f>(6+1.5+2)*0.25*(2)*2</f>
        <v>9.5</v>
      </c>
      <c r="I125" s="379"/>
      <c r="K125" s="517"/>
    </row>
    <row r="126" spans="1:12" ht="33">
      <c r="A126" s="310"/>
      <c r="B126" s="366"/>
      <c r="C126" s="367"/>
      <c r="D126" s="368"/>
      <c r="E126" s="368"/>
      <c r="F126" s="350" t="s">
        <v>1567</v>
      </c>
      <c r="G126" s="519" t="s">
        <v>1568</v>
      </c>
      <c r="H126" s="471">
        <f>(0.75+0.8+0.8)*0.2*(296.7-280+620-307)</f>
        <v>154.95900000000003</v>
      </c>
      <c r="I126" s="379"/>
      <c r="K126" s="517"/>
    </row>
    <row r="127" spans="1:12">
      <c r="A127" s="310"/>
      <c r="B127" s="366"/>
      <c r="C127" s="367"/>
      <c r="D127" s="368"/>
      <c r="E127" s="368"/>
      <c r="F127" s="371" t="s">
        <v>1569</v>
      </c>
      <c r="G127" s="531" t="s">
        <v>1570</v>
      </c>
      <c r="H127" s="563">
        <f>375.58*0.2</f>
        <v>75.116</v>
      </c>
      <c r="I127" s="379"/>
      <c r="K127" s="517"/>
    </row>
    <row r="128" spans="1:12">
      <c r="A128" s="310"/>
      <c r="B128" s="366"/>
      <c r="C128" s="367"/>
      <c r="D128" s="368"/>
      <c r="E128" s="368"/>
      <c r="F128" s="350" t="s">
        <v>1446</v>
      </c>
      <c r="G128" s="519" t="s">
        <v>1571</v>
      </c>
      <c r="H128" s="471">
        <f>11.5*0.2*5.4</f>
        <v>12.420000000000002</v>
      </c>
      <c r="I128" s="379"/>
      <c r="K128" s="517"/>
    </row>
    <row r="129" spans="1:12">
      <c r="A129" s="310"/>
      <c r="B129" s="366"/>
      <c r="C129" s="367"/>
      <c r="D129" s="368"/>
      <c r="E129" s="368"/>
      <c r="F129" s="515" t="s">
        <v>1572</v>
      </c>
      <c r="G129" s="398" t="s">
        <v>1573</v>
      </c>
      <c r="H129" s="516">
        <f>(J110+J62)*0.2</f>
        <v>313.65600000000001</v>
      </c>
      <c r="I129" s="379"/>
      <c r="K129" s="517"/>
    </row>
    <row r="130" spans="1:12" ht="33">
      <c r="A130" s="310"/>
      <c r="B130" s="366"/>
      <c r="C130" s="367"/>
      <c r="D130" s="368"/>
      <c r="E130" s="368"/>
      <c r="F130" s="564" t="s">
        <v>1486</v>
      </c>
      <c r="G130" s="565" t="s">
        <v>1574</v>
      </c>
      <c r="H130" s="566">
        <f>30*0.5*1.5</f>
        <v>22.5</v>
      </c>
      <c r="I130" s="379"/>
      <c r="K130" s="517"/>
    </row>
    <row r="131" spans="1:12">
      <c r="A131" s="310"/>
      <c r="B131" s="366"/>
      <c r="C131" s="367"/>
      <c r="D131" s="368"/>
      <c r="E131" s="368"/>
      <c r="F131" s="350"/>
      <c r="G131" s="519"/>
      <c r="H131" s="471"/>
      <c r="I131" s="379"/>
      <c r="K131" s="517"/>
    </row>
    <row r="132" spans="1:12">
      <c r="A132" s="310" t="s">
        <v>1575</v>
      </c>
      <c r="B132" s="366" t="s">
        <v>719</v>
      </c>
      <c r="C132" s="367" t="s">
        <v>52</v>
      </c>
      <c r="D132" s="368">
        <v>0</v>
      </c>
      <c r="E132" s="368">
        <v>48</v>
      </c>
      <c r="F132" s="396"/>
      <c r="G132" s="396">
        <v>48</v>
      </c>
      <c r="H132" s="516">
        <v>48</v>
      </c>
      <c r="I132" s="383">
        <f>H132</f>
        <v>48</v>
      </c>
      <c r="J132" s="384">
        <f>I132</f>
        <v>48</v>
      </c>
      <c r="K132" s="517"/>
      <c r="L132" s="518"/>
    </row>
    <row r="133" spans="1:12">
      <c r="A133" s="318"/>
      <c r="B133" s="319"/>
      <c r="C133" s="319"/>
      <c r="D133" s="319"/>
      <c r="E133" s="319"/>
      <c r="F133" s="329"/>
      <c r="G133" s="329"/>
      <c r="H133" s="512"/>
      <c r="I133" s="379"/>
      <c r="K133" s="513"/>
    </row>
    <row r="134" spans="1:12">
      <c r="A134" s="567"/>
      <c r="B134" s="568"/>
      <c r="C134" s="568"/>
      <c r="D134" s="568"/>
      <c r="E134" s="568"/>
      <c r="F134" s="413"/>
      <c r="G134" s="413"/>
      <c r="H134" s="569"/>
      <c r="I134" s="415"/>
      <c r="K134" s="513"/>
    </row>
    <row r="135" spans="1:12">
      <c r="A135" s="570"/>
      <c r="B135" s="571" t="s">
        <v>1576</v>
      </c>
      <c r="C135" s="571"/>
      <c r="D135" s="571"/>
      <c r="E135" s="571"/>
      <c r="F135" s="572" t="s">
        <v>1577</v>
      </c>
      <c r="G135" s="572" t="s">
        <v>1578</v>
      </c>
      <c r="H135" s="573">
        <f>(599.6-278.1)*1.4</f>
        <v>450.09999999999997</v>
      </c>
      <c r="I135" s="574">
        <f>SUM(H135:H138)</f>
        <v>919.12</v>
      </c>
      <c r="J135" s="426">
        <f>SUM(H135:H138)</f>
        <v>919.12</v>
      </c>
    </row>
    <row r="136" spans="1:12">
      <c r="A136" s="428"/>
      <c r="B136" s="430"/>
      <c r="C136" s="430"/>
      <c r="D136" s="430"/>
      <c r="E136" s="430"/>
      <c r="F136" s="575" t="s">
        <v>1579</v>
      </c>
      <c r="G136" s="575" t="s">
        <v>1580</v>
      </c>
      <c r="H136" s="576">
        <f>15*20</f>
        <v>300</v>
      </c>
      <c r="I136" s="432"/>
      <c r="J136" s="426"/>
    </row>
    <row r="137" spans="1:12">
      <c r="A137" s="577"/>
      <c r="B137" s="578"/>
      <c r="C137" s="578"/>
      <c r="D137" s="578"/>
      <c r="E137" s="578"/>
      <c r="F137" s="472" t="s">
        <v>1581</v>
      </c>
      <c r="G137" s="561" t="s">
        <v>1582</v>
      </c>
      <c r="H137" s="579">
        <f>19.8*5.4</f>
        <v>106.92000000000002</v>
      </c>
      <c r="I137" s="580"/>
      <c r="J137" s="426"/>
    </row>
    <row r="138" spans="1:12">
      <c r="A138" s="581"/>
      <c r="B138" s="582"/>
      <c r="C138" s="582"/>
      <c r="D138" s="582"/>
      <c r="E138" s="582"/>
      <c r="F138" s="472" t="s">
        <v>1583</v>
      </c>
      <c r="G138" s="561" t="s">
        <v>1584</v>
      </c>
      <c r="H138" s="579">
        <f>11.5*5.4</f>
        <v>62.1</v>
      </c>
      <c r="I138" s="583"/>
      <c r="J138" s="426"/>
    </row>
    <row r="139" spans="1:12">
      <c r="A139" s="584"/>
      <c r="B139" s="585"/>
      <c r="C139" s="586"/>
      <c r="D139" s="586"/>
      <c r="E139" s="586"/>
      <c r="F139" s="329"/>
      <c r="G139" s="306"/>
      <c r="H139" s="523"/>
      <c r="I139" s="587"/>
    </row>
    <row r="140" spans="1:12" ht="33">
      <c r="A140" s="428"/>
      <c r="B140" s="561" t="s">
        <v>870</v>
      </c>
      <c r="C140" s="430"/>
      <c r="D140" s="430"/>
      <c r="E140" s="430"/>
      <c r="F140" s="424" t="s">
        <v>1585</v>
      </c>
      <c r="G140" s="424" t="s">
        <v>1586</v>
      </c>
      <c r="H140" s="431">
        <f>16.8/0.15*2*2</f>
        <v>448.00000000000006</v>
      </c>
      <c r="I140" s="432">
        <f>H140+H141</f>
        <v>448.00000000000006</v>
      </c>
      <c r="J140" s="426">
        <f>H140</f>
        <v>448.00000000000006</v>
      </c>
    </row>
    <row r="141" spans="1:12">
      <c r="A141" s="588"/>
      <c r="B141" s="585"/>
      <c r="C141" s="585"/>
      <c r="D141" s="585"/>
      <c r="E141" s="585"/>
      <c r="F141" s="405"/>
      <c r="G141" s="405"/>
      <c r="H141" s="589"/>
      <c r="I141" s="590"/>
    </row>
  </sheetData>
  <mergeCells count="5">
    <mergeCell ref="A1:H1"/>
    <mergeCell ref="A2:H2"/>
    <mergeCell ref="A3:H3"/>
    <mergeCell ref="A4:F4"/>
    <mergeCell ref="G4:H4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85" orientation="landscape" r:id="rId1"/>
  <rowBreaks count="1" manualBreakCount="1">
    <brk id="44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C973-F904-4B9F-868C-D03442EA27B5}">
  <sheetPr>
    <tabColor rgb="FFFF0000"/>
  </sheetPr>
  <dimension ref="A1:K234"/>
  <sheetViews>
    <sheetView zoomScaleNormal="100" workbookViewId="0">
      <pane ySplit="5" topLeftCell="A84" activePane="bottomLeft" state="frozen"/>
      <selection activeCell="K1" sqref="K1:L1048576"/>
      <selection pane="bottomLeft" activeCell="F100" sqref="F100"/>
    </sheetView>
  </sheetViews>
  <sheetFormatPr defaultRowHeight="16.5"/>
  <cols>
    <col min="1" max="1" width="5.125" style="317" customWidth="1"/>
    <col min="2" max="2" width="36.875" style="317" customWidth="1"/>
    <col min="3" max="3" width="7.125" style="317" customWidth="1"/>
    <col min="4" max="4" width="14.375" style="317" customWidth="1"/>
    <col min="5" max="5" width="12.5" style="317" customWidth="1"/>
    <col min="6" max="7" width="26.875" style="438" customWidth="1"/>
    <col min="8" max="8" width="11.5" style="528" customWidth="1"/>
    <col min="9" max="9" width="13.25" style="380" customWidth="1"/>
    <col min="10" max="10" width="14" style="380" customWidth="1"/>
    <col min="11" max="11" width="9" style="292"/>
    <col min="12" max="16384" width="9" style="293"/>
  </cols>
  <sheetData>
    <row r="1" spans="1:11" ht="21" customHeight="1">
      <c r="A1" s="820" t="s">
        <v>0</v>
      </c>
      <c r="B1" s="821"/>
      <c r="C1" s="821"/>
      <c r="D1" s="821"/>
      <c r="E1" s="821"/>
      <c r="F1" s="821"/>
      <c r="G1" s="821"/>
      <c r="H1" s="821"/>
      <c r="I1" s="440"/>
      <c r="J1" s="441"/>
    </row>
    <row r="2" spans="1:11">
      <c r="A2" s="815" t="s">
        <v>907</v>
      </c>
      <c r="B2" s="816"/>
      <c r="C2" s="816"/>
      <c r="D2" s="816"/>
      <c r="E2" s="816"/>
      <c r="F2" s="816"/>
      <c r="G2" s="816"/>
      <c r="H2" s="816"/>
      <c r="I2" s="294"/>
      <c r="J2" s="295"/>
    </row>
    <row r="3" spans="1:11">
      <c r="A3" s="817" t="s">
        <v>908</v>
      </c>
      <c r="B3" s="818"/>
      <c r="C3" s="818"/>
      <c r="D3" s="818"/>
      <c r="E3" s="818"/>
      <c r="F3" s="818"/>
      <c r="G3" s="818"/>
      <c r="H3" s="818"/>
      <c r="I3" s="294"/>
      <c r="J3" s="295"/>
    </row>
    <row r="4" spans="1:11">
      <c r="A4" s="817" t="s">
        <v>909</v>
      </c>
      <c r="B4" s="818"/>
      <c r="C4" s="818"/>
      <c r="D4" s="818"/>
      <c r="E4" s="818"/>
      <c r="F4" s="818"/>
      <c r="G4" s="819" t="s">
        <v>910</v>
      </c>
      <c r="H4" s="819"/>
      <c r="I4" s="296"/>
      <c r="J4" s="297"/>
    </row>
    <row r="5" spans="1:11">
      <c r="A5" s="442" t="s">
        <v>9</v>
      </c>
      <c r="B5" s="443" t="s">
        <v>911</v>
      </c>
      <c r="C5" s="443" t="s">
        <v>11</v>
      </c>
      <c r="D5" s="443" t="s">
        <v>912</v>
      </c>
      <c r="E5" s="443" t="s">
        <v>913</v>
      </c>
      <c r="F5" s="300" t="s">
        <v>914</v>
      </c>
      <c r="G5" s="360" t="s">
        <v>915</v>
      </c>
      <c r="H5" s="591" t="s">
        <v>916</v>
      </c>
      <c r="I5" s="365" t="s">
        <v>1426</v>
      </c>
      <c r="J5" s="303" t="s">
        <v>917</v>
      </c>
      <c r="K5" s="304"/>
    </row>
    <row r="6" spans="1:11">
      <c r="A6" s="445" t="s">
        <v>1587</v>
      </c>
      <c r="B6" s="446" t="s">
        <v>1588</v>
      </c>
      <c r="C6" s="447"/>
      <c r="D6" s="448"/>
      <c r="E6" s="449"/>
      <c r="F6" s="451"/>
      <c r="G6" s="451"/>
      <c r="H6" s="592"/>
      <c r="I6" s="453"/>
      <c r="J6" s="593"/>
    </row>
    <row r="7" spans="1:11" ht="33">
      <c r="A7" s="594" t="s">
        <v>1589</v>
      </c>
      <c r="B7" s="351" t="s">
        <v>103</v>
      </c>
      <c r="C7" s="455" t="s">
        <v>31</v>
      </c>
      <c r="D7" s="456">
        <v>250</v>
      </c>
      <c r="E7" s="456"/>
      <c r="F7" s="465" t="s">
        <v>1436</v>
      </c>
      <c r="G7" s="468" t="s">
        <v>1437</v>
      </c>
      <c r="H7" s="469">
        <f>29.8*2.5*0.1</f>
        <v>7.45</v>
      </c>
      <c r="I7" s="467"/>
      <c r="J7" s="595">
        <f>H7+H8</f>
        <v>11.7</v>
      </c>
    </row>
    <row r="8" spans="1:11">
      <c r="A8" s="594"/>
      <c r="B8" s="351"/>
      <c r="C8" s="455"/>
      <c r="D8" s="456"/>
      <c r="E8" s="456"/>
      <c r="F8" s="465" t="s">
        <v>1439</v>
      </c>
      <c r="G8" s="468" t="s">
        <v>1440</v>
      </c>
      <c r="H8" s="469">
        <f>(4+5+8)*2.5*0.1</f>
        <v>4.25</v>
      </c>
      <c r="I8" s="467"/>
      <c r="J8" s="596"/>
    </row>
    <row r="9" spans="1:11">
      <c r="A9" s="594"/>
      <c r="B9" s="351"/>
      <c r="C9" s="455"/>
      <c r="D9" s="456"/>
      <c r="E9" s="456"/>
      <c r="F9" s="350"/>
      <c r="G9" s="470"/>
      <c r="H9" s="471"/>
      <c r="I9" s="379"/>
      <c r="J9" s="596"/>
    </row>
    <row r="10" spans="1:11">
      <c r="A10" s="594"/>
      <c r="B10" s="351"/>
      <c r="C10" s="455"/>
      <c r="D10" s="456"/>
      <c r="E10" s="456"/>
      <c r="F10" s="350"/>
      <c r="G10" s="470"/>
      <c r="H10" s="471"/>
      <c r="I10" s="379"/>
      <c r="J10" s="596"/>
    </row>
    <row r="11" spans="1:11">
      <c r="A11" s="594"/>
      <c r="B11" s="351"/>
      <c r="C11" s="455"/>
      <c r="D11" s="456"/>
      <c r="E11" s="456"/>
      <c r="F11" s="350"/>
      <c r="G11" s="470"/>
      <c r="H11" s="471"/>
      <c r="I11" s="379"/>
      <c r="J11" s="596"/>
    </row>
    <row r="12" spans="1:11">
      <c r="A12" s="594"/>
      <c r="B12" s="351"/>
      <c r="C12" s="455"/>
      <c r="D12" s="456"/>
      <c r="E12" s="456"/>
      <c r="F12" s="350"/>
      <c r="G12" s="470"/>
      <c r="H12" s="471"/>
      <c r="I12" s="379"/>
      <c r="J12" s="596"/>
    </row>
    <row r="13" spans="1:11" ht="33">
      <c r="A13" s="594" t="s">
        <v>1590</v>
      </c>
      <c r="B13" s="351" t="s">
        <v>104</v>
      </c>
      <c r="C13" s="455" t="s">
        <v>31</v>
      </c>
      <c r="D13" s="456">
        <v>2474</v>
      </c>
      <c r="E13" s="456"/>
      <c r="F13" s="387" t="s">
        <v>1591</v>
      </c>
      <c r="G13" s="387" t="s">
        <v>1592</v>
      </c>
      <c r="H13" s="529">
        <f>(300-280)*1.8</f>
        <v>36</v>
      </c>
      <c r="I13" s="383">
        <f>SUM(H14:H25)-H14-H18-H20-H21-H19-H22-H23-H25</f>
        <v>518.40000000000009</v>
      </c>
      <c r="J13" s="595">
        <f>SUM(H13:H25)</f>
        <v>2593.6999999999998</v>
      </c>
    </row>
    <row r="14" spans="1:11" ht="33">
      <c r="A14" s="594"/>
      <c r="B14" s="351"/>
      <c r="C14" s="455"/>
      <c r="D14" s="456"/>
      <c r="E14" s="456"/>
      <c r="F14" s="350" t="s">
        <v>1373</v>
      </c>
      <c r="G14" s="350" t="s">
        <v>1593</v>
      </c>
      <c r="H14" s="386">
        <f>(320-300)*1.8</f>
        <v>36</v>
      </c>
      <c r="I14" s="379"/>
      <c r="J14" s="596"/>
    </row>
    <row r="15" spans="1:11" ht="33">
      <c r="A15" s="594"/>
      <c r="B15" s="351"/>
      <c r="C15" s="455"/>
      <c r="D15" s="456"/>
      <c r="E15" s="456"/>
      <c r="F15" s="387" t="s">
        <v>1594</v>
      </c>
      <c r="G15" s="387" t="s">
        <v>1595</v>
      </c>
      <c r="H15" s="529">
        <f>(580-320)*1.8</f>
        <v>468</v>
      </c>
      <c r="I15" s="379"/>
      <c r="J15" s="596"/>
    </row>
    <row r="16" spans="1:11" ht="33">
      <c r="A16" s="594"/>
      <c r="B16" s="351"/>
      <c r="C16" s="455"/>
      <c r="D16" s="456"/>
      <c r="E16" s="456"/>
      <c r="F16" s="387" t="s">
        <v>1596</v>
      </c>
      <c r="G16" s="387" t="s">
        <v>1597</v>
      </c>
      <c r="H16" s="529">
        <f>(608-580)*1.8</f>
        <v>50.4</v>
      </c>
      <c r="I16" s="379"/>
      <c r="J16" s="596"/>
    </row>
    <row r="17" spans="1:10" ht="33">
      <c r="A17" s="594"/>
      <c r="B17" s="351"/>
      <c r="C17" s="455"/>
      <c r="D17" s="456"/>
      <c r="E17" s="456"/>
      <c r="F17" s="465" t="s">
        <v>1363</v>
      </c>
      <c r="G17" s="465" t="s">
        <v>1452</v>
      </c>
      <c r="H17" s="466"/>
      <c r="I17" s="522" t="s">
        <v>1598</v>
      </c>
      <c r="J17" s="596"/>
    </row>
    <row r="18" spans="1:10" ht="33">
      <c r="A18" s="594"/>
      <c r="B18" s="351"/>
      <c r="C18" s="455"/>
      <c r="D18" s="456"/>
      <c r="E18" s="456"/>
      <c r="F18" s="350" t="s">
        <v>1365</v>
      </c>
      <c r="G18" s="350" t="s">
        <v>1599</v>
      </c>
      <c r="H18" s="386">
        <f>(320-300)*7.525</f>
        <v>150.5</v>
      </c>
      <c r="I18" s="379"/>
      <c r="J18" s="596"/>
    </row>
    <row r="19" spans="1:10" ht="33">
      <c r="A19" s="594"/>
      <c r="B19" s="351"/>
      <c r="C19" s="455"/>
      <c r="D19" s="456"/>
      <c r="E19" s="456"/>
      <c r="F19" s="350" t="s">
        <v>1367</v>
      </c>
      <c r="G19" s="350" t="s">
        <v>1600</v>
      </c>
      <c r="H19" s="386">
        <f>(340-320)*7.525</f>
        <v>150.5</v>
      </c>
      <c r="I19" s="379"/>
      <c r="J19" s="596"/>
    </row>
    <row r="20" spans="1:10" ht="33">
      <c r="A20" s="594"/>
      <c r="B20" s="351"/>
      <c r="C20" s="455"/>
      <c r="D20" s="456"/>
      <c r="E20" s="456"/>
      <c r="F20" s="350" t="s">
        <v>1601</v>
      </c>
      <c r="G20" s="350" t="s">
        <v>1602</v>
      </c>
      <c r="H20" s="386">
        <f>(360-340)*8.11</f>
        <v>162.19999999999999</v>
      </c>
      <c r="I20" s="379"/>
      <c r="J20" s="596"/>
    </row>
    <row r="21" spans="1:10" ht="33">
      <c r="A21" s="594"/>
      <c r="B21" s="351"/>
      <c r="C21" s="455"/>
      <c r="D21" s="456"/>
      <c r="E21" s="456"/>
      <c r="F21" s="350" t="s">
        <v>1603</v>
      </c>
      <c r="G21" s="350" t="s">
        <v>1604</v>
      </c>
      <c r="H21" s="386">
        <f>(420-360)*8.11</f>
        <v>486.59999999999997</v>
      </c>
      <c r="I21" s="379"/>
      <c r="J21" s="596"/>
    </row>
    <row r="22" spans="1:10" ht="33">
      <c r="A22" s="594"/>
      <c r="B22" s="351"/>
      <c r="C22" s="455"/>
      <c r="D22" s="456"/>
      <c r="E22" s="456"/>
      <c r="F22" s="350" t="s">
        <v>1605</v>
      </c>
      <c r="G22" s="350" t="s">
        <v>1606</v>
      </c>
      <c r="H22" s="386">
        <f>(440-420)*7.525</f>
        <v>150.5</v>
      </c>
      <c r="I22" s="379"/>
      <c r="J22" s="596"/>
    </row>
    <row r="23" spans="1:10" ht="33">
      <c r="A23" s="594"/>
      <c r="B23" s="351"/>
      <c r="C23" s="455"/>
      <c r="D23" s="456"/>
      <c r="E23" s="456"/>
      <c r="F23" s="350" t="s">
        <v>1607</v>
      </c>
      <c r="G23" s="350" t="s">
        <v>1608</v>
      </c>
      <c r="H23" s="386">
        <f>(560-440)*7.525</f>
        <v>903</v>
      </c>
      <c r="I23" s="379"/>
      <c r="J23" s="596"/>
    </row>
    <row r="24" spans="1:10" ht="33">
      <c r="A24" s="594"/>
      <c r="B24" s="351"/>
      <c r="C24" s="455"/>
      <c r="D24" s="456"/>
      <c r="E24" s="456"/>
      <c r="F24" s="465" t="s">
        <v>1450</v>
      </c>
      <c r="G24" s="465" t="s">
        <v>1451</v>
      </c>
      <c r="H24" s="466"/>
      <c r="I24" s="522" t="s">
        <v>1598</v>
      </c>
      <c r="J24" s="596"/>
    </row>
    <row r="25" spans="1:10" ht="148.5">
      <c r="A25" s="594"/>
      <c r="B25" s="351"/>
      <c r="C25" s="455"/>
      <c r="D25" s="456"/>
      <c r="E25" s="456"/>
      <c r="F25" s="465" t="s">
        <v>1448</v>
      </c>
      <c r="G25" s="465" t="s">
        <v>1449</v>
      </c>
      <c r="H25" s="466"/>
      <c r="I25" s="522" t="s">
        <v>1598</v>
      </c>
      <c r="J25" s="596"/>
    </row>
    <row r="26" spans="1:10">
      <c r="A26" s="594"/>
      <c r="B26" s="351"/>
      <c r="C26" s="455"/>
      <c r="D26" s="456"/>
      <c r="E26" s="456"/>
      <c r="F26" s="329"/>
      <c r="G26" s="329"/>
      <c r="H26" s="512"/>
      <c r="I26" s="379"/>
      <c r="J26" s="596"/>
    </row>
    <row r="27" spans="1:10">
      <c r="A27" s="594" t="s">
        <v>1609</v>
      </c>
      <c r="B27" s="351" t="s">
        <v>331</v>
      </c>
      <c r="C27" s="455" t="s">
        <v>31</v>
      </c>
      <c r="D27" s="456">
        <v>1187</v>
      </c>
      <c r="E27" s="456"/>
      <c r="F27" s="382">
        <v>0</v>
      </c>
      <c r="G27" s="382">
        <v>0</v>
      </c>
      <c r="H27" s="524">
        <v>0</v>
      </c>
      <c r="I27" s="383">
        <v>0</v>
      </c>
      <c r="J27" s="595">
        <f>SUM(H28:H33)</f>
        <v>1256.15005</v>
      </c>
    </row>
    <row r="28" spans="1:10" ht="66">
      <c r="A28" s="594"/>
      <c r="B28" s="351"/>
      <c r="C28" s="455"/>
      <c r="D28" s="456"/>
      <c r="E28" s="456"/>
      <c r="F28" s="350" t="s">
        <v>1610</v>
      </c>
      <c r="G28" s="350" t="s">
        <v>1611</v>
      </c>
      <c r="H28" s="386">
        <f>396.2+(15*(3.52*1.29+1.29*11.83/2))</f>
        <v>578.76724999999999</v>
      </c>
      <c r="I28" s="379"/>
      <c r="J28" s="596"/>
    </row>
    <row r="29" spans="1:10">
      <c r="A29" s="594"/>
      <c r="B29" s="351"/>
      <c r="C29" s="455"/>
      <c r="D29" s="456"/>
      <c r="E29" s="456"/>
      <c r="F29" s="350" t="s">
        <v>1612</v>
      </c>
      <c r="G29" s="350" t="s">
        <v>1613</v>
      </c>
      <c r="H29" s="386">
        <f>9*5*0.4*1</f>
        <v>18</v>
      </c>
      <c r="I29" s="379"/>
      <c r="J29" s="596"/>
    </row>
    <row r="30" spans="1:10">
      <c r="A30" s="594"/>
      <c r="B30" s="351"/>
      <c r="C30" s="455"/>
      <c r="D30" s="456"/>
      <c r="E30" s="456"/>
      <c r="F30" s="350" t="s">
        <v>1614</v>
      </c>
      <c r="G30" s="350">
        <v>371.2</v>
      </c>
      <c r="H30" s="386">
        <v>371.2</v>
      </c>
      <c r="I30" s="379"/>
      <c r="J30" s="596"/>
    </row>
    <row r="31" spans="1:10">
      <c r="A31" s="594"/>
      <c r="B31" s="351"/>
      <c r="C31" s="455"/>
      <c r="D31" s="456"/>
      <c r="E31" s="456"/>
      <c r="F31" s="371" t="s">
        <v>1615</v>
      </c>
      <c r="G31" s="371">
        <v>217.8</v>
      </c>
      <c r="H31" s="372">
        <v>217.8</v>
      </c>
      <c r="I31" s="379"/>
      <c r="J31" s="596"/>
    </row>
    <row r="32" spans="1:10">
      <c r="A32" s="594"/>
      <c r="B32" s="351"/>
      <c r="C32" s="455"/>
      <c r="D32" s="456"/>
      <c r="E32" s="456"/>
      <c r="F32" s="371" t="s">
        <v>1616</v>
      </c>
      <c r="G32" s="371" t="s">
        <v>1617</v>
      </c>
      <c r="H32" s="372">
        <f>49.1*(0.3*0.88*2+1.4*0.4)</f>
        <v>53.420800000000007</v>
      </c>
      <c r="I32" s="379"/>
      <c r="J32" s="596"/>
    </row>
    <row r="33" spans="1:10">
      <c r="A33" s="594"/>
      <c r="B33" s="351"/>
      <c r="C33" s="455"/>
      <c r="D33" s="456"/>
      <c r="E33" s="456"/>
      <c r="F33" s="371" t="s">
        <v>1618</v>
      </c>
      <c r="G33" s="371" t="s">
        <v>2289</v>
      </c>
      <c r="H33" s="372">
        <f>25.7*(0.3*0.5*2+0.9*0.4)</f>
        <v>16.962</v>
      </c>
      <c r="I33" s="379"/>
      <c r="J33" s="596"/>
    </row>
    <row r="34" spans="1:10">
      <c r="A34" s="594"/>
      <c r="B34" s="351"/>
      <c r="C34" s="455"/>
      <c r="D34" s="456"/>
      <c r="E34" s="456"/>
      <c r="F34" s="329"/>
      <c r="G34" s="329"/>
      <c r="H34" s="512"/>
      <c r="I34" s="379"/>
      <c r="J34" s="596"/>
    </row>
    <row r="35" spans="1:10">
      <c r="A35" s="594" t="s">
        <v>1619</v>
      </c>
      <c r="B35" s="351" t="s">
        <v>316</v>
      </c>
      <c r="C35" s="455" t="s">
        <v>31</v>
      </c>
      <c r="D35" s="456">
        <v>3911</v>
      </c>
      <c r="E35" s="456"/>
      <c r="F35" s="396" t="s">
        <v>1620</v>
      </c>
      <c r="G35" s="396"/>
      <c r="H35" s="516">
        <f>I13+I7+I27</f>
        <v>518.40000000000009</v>
      </c>
      <c r="I35" s="383">
        <f>H35</f>
        <v>518.40000000000009</v>
      </c>
      <c r="J35" s="595">
        <f>J27+J13+J7</f>
        <v>3861.5500499999998</v>
      </c>
    </row>
    <row r="36" spans="1:10">
      <c r="A36" s="594"/>
      <c r="B36" s="351"/>
      <c r="C36" s="455"/>
      <c r="D36" s="456"/>
      <c r="E36" s="456"/>
      <c r="F36" s="329" t="s">
        <v>1620</v>
      </c>
      <c r="G36" s="329"/>
      <c r="H36" s="512"/>
      <c r="I36" s="379">
        <f>I28+I14</f>
        <v>0</v>
      </c>
      <c r="J36" s="596"/>
    </row>
    <row r="37" spans="1:10">
      <c r="A37" s="594"/>
      <c r="B37" s="351"/>
      <c r="C37" s="455"/>
      <c r="D37" s="456"/>
      <c r="E37" s="456"/>
      <c r="F37" s="329"/>
      <c r="G37" s="329"/>
      <c r="H37" s="512"/>
      <c r="I37" s="379"/>
      <c r="J37" s="596"/>
    </row>
    <row r="38" spans="1:10" ht="33">
      <c r="A38" s="594" t="s">
        <v>1621</v>
      </c>
      <c r="B38" s="351" t="s">
        <v>279</v>
      </c>
      <c r="C38" s="455" t="s">
        <v>52</v>
      </c>
      <c r="D38" s="456">
        <v>3820</v>
      </c>
      <c r="E38" s="456">
        <v>4730</v>
      </c>
      <c r="F38" s="387" t="s">
        <v>1591</v>
      </c>
      <c r="G38" s="387" t="s">
        <v>1622</v>
      </c>
      <c r="H38" s="529">
        <f>(300-280)*3.6</f>
        <v>72</v>
      </c>
      <c r="I38" s="383">
        <f>H40+H38+H41</f>
        <v>1384.8</v>
      </c>
      <c r="J38" s="595">
        <f>SUM(H38:H48)</f>
        <v>5411.06</v>
      </c>
    </row>
    <row r="39" spans="1:10" ht="33">
      <c r="A39" s="594"/>
      <c r="B39" s="351"/>
      <c r="C39" s="455"/>
      <c r="D39" s="456"/>
      <c r="E39" s="456"/>
      <c r="F39" s="350" t="s">
        <v>1373</v>
      </c>
      <c r="G39" s="350" t="s">
        <v>1623</v>
      </c>
      <c r="H39" s="386">
        <f>(320-300)*3.6</f>
        <v>72</v>
      </c>
      <c r="I39" s="379"/>
      <c r="J39" s="596"/>
    </row>
    <row r="40" spans="1:10" ht="33">
      <c r="A40" s="594"/>
      <c r="B40" s="351"/>
      <c r="C40" s="455"/>
      <c r="D40" s="456"/>
      <c r="E40" s="456"/>
      <c r="F40" s="387" t="s">
        <v>1624</v>
      </c>
      <c r="G40" s="387" t="s">
        <v>1625</v>
      </c>
      <c r="H40" s="529">
        <f>(608-320)*3.6</f>
        <v>1036.8</v>
      </c>
      <c r="I40" s="379"/>
      <c r="J40" s="596"/>
    </row>
    <row r="41" spans="1:10" ht="33">
      <c r="A41" s="594"/>
      <c r="B41" s="351"/>
      <c r="C41" s="455"/>
      <c r="D41" s="456"/>
      <c r="E41" s="456"/>
      <c r="F41" s="387" t="s">
        <v>1363</v>
      </c>
      <c r="G41" s="387" t="s">
        <v>2290</v>
      </c>
      <c r="H41" s="529">
        <f>(300-280)*13.8</f>
        <v>276</v>
      </c>
      <c r="I41" s="379"/>
      <c r="J41" s="596"/>
    </row>
    <row r="42" spans="1:10" ht="33">
      <c r="A42" s="594"/>
      <c r="B42" s="351"/>
      <c r="C42" s="455"/>
      <c r="D42" s="456"/>
      <c r="E42" s="456"/>
      <c r="F42" s="350" t="s">
        <v>1365</v>
      </c>
      <c r="G42" s="350" t="s">
        <v>1626</v>
      </c>
      <c r="H42" s="386">
        <f>(320-300)*13.8</f>
        <v>276</v>
      </c>
      <c r="I42" s="379"/>
      <c r="J42" s="596"/>
    </row>
    <row r="43" spans="1:10" ht="33">
      <c r="A43" s="594"/>
      <c r="B43" s="351"/>
      <c r="C43" s="455"/>
      <c r="D43" s="456"/>
      <c r="E43" s="456"/>
      <c r="F43" s="350" t="s">
        <v>1367</v>
      </c>
      <c r="G43" s="350" t="s">
        <v>1627</v>
      </c>
      <c r="H43" s="386">
        <f>(340-320)*13.8</f>
        <v>276</v>
      </c>
      <c r="I43" s="379"/>
      <c r="J43" s="596"/>
    </row>
    <row r="44" spans="1:10" ht="33">
      <c r="A44" s="594"/>
      <c r="B44" s="351"/>
      <c r="C44" s="455"/>
      <c r="D44" s="456"/>
      <c r="E44" s="456"/>
      <c r="F44" s="350" t="s">
        <v>1601</v>
      </c>
      <c r="G44" s="350" t="s">
        <v>1628</v>
      </c>
      <c r="H44" s="386">
        <f>(360-340)*14.5</f>
        <v>290</v>
      </c>
      <c r="I44" s="379"/>
      <c r="J44" s="596"/>
    </row>
    <row r="45" spans="1:10" ht="33">
      <c r="A45" s="594"/>
      <c r="B45" s="351"/>
      <c r="C45" s="455"/>
      <c r="D45" s="456"/>
      <c r="E45" s="456"/>
      <c r="F45" s="350" t="s">
        <v>1603</v>
      </c>
      <c r="G45" s="350" t="s">
        <v>1629</v>
      </c>
      <c r="H45" s="386">
        <f>(420-360)*14.5</f>
        <v>870</v>
      </c>
      <c r="I45" s="379"/>
      <c r="J45" s="596"/>
    </row>
    <row r="46" spans="1:10" ht="33">
      <c r="A46" s="594"/>
      <c r="B46" s="351"/>
      <c r="C46" s="455"/>
      <c r="D46" s="456"/>
      <c r="E46" s="456"/>
      <c r="F46" s="350" t="s">
        <v>1605</v>
      </c>
      <c r="G46" s="350" t="s">
        <v>1630</v>
      </c>
      <c r="H46" s="386">
        <f>(440-420)*13.8</f>
        <v>276</v>
      </c>
      <c r="I46" s="379"/>
      <c r="J46" s="596"/>
    </row>
    <row r="47" spans="1:10" ht="33">
      <c r="A47" s="594"/>
      <c r="B47" s="351"/>
      <c r="C47" s="455"/>
      <c r="D47" s="456"/>
      <c r="E47" s="456"/>
      <c r="F47" s="350" t="s">
        <v>1631</v>
      </c>
      <c r="G47" s="350" t="s">
        <v>2291</v>
      </c>
      <c r="H47" s="386">
        <f>(570-440)*13.8</f>
        <v>1794</v>
      </c>
      <c r="I47" s="379"/>
      <c r="J47" s="596"/>
    </row>
    <row r="48" spans="1:10" ht="115.5">
      <c r="A48" s="594"/>
      <c r="B48" s="351"/>
      <c r="C48" s="455"/>
      <c r="D48" s="456"/>
      <c r="E48" s="456"/>
      <c r="F48" s="350" t="s">
        <v>1632</v>
      </c>
      <c r="G48" s="350" t="s">
        <v>2292</v>
      </c>
      <c r="H48" s="386">
        <f>(0.25+0.6)*2*4*2+0.5*4*2*2+(11.7+11.1)/2*(6.5+10.3)/2-2*3+(2+3)*0.35*2+2*0.1*2*4+(6.5+10.3+11.1)*2</f>
        <v>172.26</v>
      </c>
      <c r="I48" s="379"/>
      <c r="J48" s="596"/>
    </row>
    <row r="49" spans="1:11">
      <c r="A49" s="594"/>
      <c r="B49" s="351"/>
      <c r="C49" s="455"/>
      <c r="D49" s="456"/>
      <c r="E49" s="456"/>
      <c r="F49" s="329"/>
      <c r="G49" s="329"/>
      <c r="H49" s="512"/>
      <c r="I49" s="379"/>
      <c r="J49" s="596"/>
    </row>
    <row r="50" spans="1:11" ht="33">
      <c r="A50" s="594" t="s">
        <v>1633</v>
      </c>
      <c r="B50" s="351" t="s">
        <v>281</v>
      </c>
      <c r="C50" s="455" t="s">
        <v>52</v>
      </c>
      <c r="D50" s="456">
        <v>800</v>
      </c>
      <c r="E50" s="456"/>
      <c r="F50" s="387" t="s">
        <v>1363</v>
      </c>
      <c r="G50" s="387" t="s">
        <v>1634</v>
      </c>
      <c r="H50" s="529">
        <f>(300-280)*6.228</f>
        <v>124.56</v>
      </c>
      <c r="I50" s="383">
        <f>H50</f>
        <v>124.56</v>
      </c>
      <c r="J50" s="595">
        <f>SUM(H50:H57)</f>
        <v>1811.3309999999997</v>
      </c>
    </row>
    <row r="51" spans="1:11" s="600" customFormat="1" ht="33">
      <c r="A51" s="597"/>
      <c r="B51" s="351"/>
      <c r="C51" s="455"/>
      <c r="D51" s="456"/>
      <c r="E51" s="456"/>
      <c r="F51" s="350" t="s">
        <v>1365</v>
      </c>
      <c r="G51" s="350" t="s">
        <v>1635</v>
      </c>
      <c r="H51" s="386">
        <f>(320-300)*6.228</f>
        <v>124.56</v>
      </c>
      <c r="I51" s="463"/>
      <c r="J51" s="598"/>
      <c r="K51" s="599"/>
    </row>
    <row r="52" spans="1:11" ht="33">
      <c r="A52" s="594"/>
      <c r="B52" s="351"/>
      <c r="C52" s="455"/>
      <c r="D52" s="456"/>
      <c r="E52" s="456"/>
      <c r="F52" s="350" t="s">
        <v>1367</v>
      </c>
      <c r="G52" s="350" t="s">
        <v>1636</v>
      </c>
      <c r="H52" s="386">
        <f>(340-320)*6.228</f>
        <v>124.56</v>
      </c>
      <c r="I52" s="379"/>
      <c r="J52" s="596"/>
    </row>
    <row r="53" spans="1:11" ht="33">
      <c r="A53" s="594"/>
      <c r="B53" s="351"/>
      <c r="C53" s="455"/>
      <c r="D53" s="456"/>
      <c r="E53" s="456"/>
      <c r="F53" s="350" t="s">
        <v>1601</v>
      </c>
      <c r="G53" s="350" t="s">
        <v>1637</v>
      </c>
      <c r="H53" s="386">
        <f>(360-340)*5.318</f>
        <v>106.35999999999999</v>
      </c>
      <c r="I53" s="379"/>
      <c r="J53" s="596"/>
    </row>
    <row r="54" spans="1:11" ht="33">
      <c r="A54" s="594"/>
      <c r="B54" s="351"/>
      <c r="C54" s="455"/>
      <c r="D54" s="456"/>
      <c r="E54" s="456"/>
      <c r="F54" s="350" t="s">
        <v>1603</v>
      </c>
      <c r="G54" s="350" t="s">
        <v>1638</v>
      </c>
      <c r="H54" s="386">
        <f>(420-360)*5.318</f>
        <v>319.08</v>
      </c>
      <c r="I54" s="379"/>
      <c r="J54" s="596"/>
    </row>
    <row r="55" spans="1:11">
      <c r="A55" s="594"/>
      <c r="B55" s="351"/>
      <c r="C55" s="455"/>
      <c r="D55" s="456"/>
      <c r="E55" s="456"/>
      <c r="F55" s="350" t="s">
        <v>1605</v>
      </c>
      <c r="G55" s="350">
        <v>6.2279999999999998</v>
      </c>
      <c r="H55" s="386">
        <f>(440-420)*6.228</f>
        <v>124.56</v>
      </c>
      <c r="I55" s="379"/>
      <c r="J55" s="596"/>
    </row>
    <row r="56" spans="1:11" ht="33">
      <c r="A56" s="594"/>
      <c r="B56" s="351"/>
      <c r="C56" s="455"/>
      <c r="D56" s="456"/>
      <c r="E56" s="456"/>
      <c r="F56" s="350" t="s">
        <v>1631</v>
      </c>
      <c r="G56" s="350" t="s">
        <v>1639</v>
      </c>
      <c r="H56" s="386">
        <f>(570-440)*6.228</f>
        <v>809.64</v>
      </c>
      <c r="I56" s="379"/>
      <c r="J56" s="596"/>
    </row>
    <row r="57" spans="1:11" ht="120" customHeight="1">
      <c r="A57" s="594"/>
      <c r="B57" s="351"/>
      <c r="C57" s="455"/>
      <c r="D57" s="456"/>
      <c r="E57" s="456"/>
      <c r="F57" s="350" t="s">
        <v>1640</v>
      </c>
      <c r="G57" s="391" t="s">
        <v>1641</v>
      </c>
      <c r="H57" s="601">
        <f>0.35*(6.5+10.3+11.7+11.1)*0.35+(6.5+10.3+11.1)*2+(6.5+10.3+11.7+11.1)*0.35+(3+2)*2*0.35</f>
        <v>78.010999999999996</v>
      </c>
      <c r="I57" s="379"/>
      <c r="J57" s="596"/>
    </row>
    <row r="58" spans="1:11">
      <c r="A58" s="594"/>
      <c r="B58" s="351"/>
      <c r="C58" s="455"/>
      <c r="D58" s="456"/>
      <c r="E58" s="456"/>
      <c r="I58" s="379"/>
      <c r="J58" s="596"/>
    </row>
    <row r="59" spans="1:11" ht="33">
      <c r="A59" s="594" t="s">
        <v>1642</v>
      </c>
      <c r="B59" s="351" t="s">
        <v>105</v>
      </c>
      <c r="C59" s="455" t="s">
        <v>52</v>
      </c>
      <c r="D59" s="456">
        <v>258</v>
      </c>
      <c r="E59" s="456"/>
      <c r="F59" s="387" t="s">
        <v>1591</v>
      </c>
      <c r="G59" s="387" t="s">
        <v>1643</v>
      </c>
      <c r="H59" s="529">
        <f>(300-280)*3.69</f>
        <v>73.8</v>
      </c>
      <c r="I59" s="383">
        <f xml:space="preserve"> SUM(H59:H61)-H60</f>
        <v>1136.52</v>
      </c>
      <c r="J59" s="595">
        <f>SUM(H59:H61)</f>
        <v>1210.32</v>
      </c>
    </row>
    <row r="60" spans="1:11" ht="33">
      <c r="A60" s="594"/>
      <c r="B60" s="351"/>
      <c r="C60" s="455"/>
      <c r="D60" s="456"/>
      <c r="E60" s="456"/>
      <c r="F60" s="350" t="s">
        <v>1373</v>
      </c>
      <c r="G60" s="350" t="s">
        <v>1644</v>
      </c>
      <c r="H60" s="386">
        <f>(320-300)*3.69</f>
        <v>73.8</v>
      </c>
      <c r="I60" s="379">
        <f xml:space="preserve"> SUM(H59:H61)</f>
        <v>1210.32</v>
      </c>
      <c r="J60" s="596"/>
    </row>
    <row r="61" spans="1:11" ht="33">
      <c r="A61" s="594"/>
      <c r="B61" s="351"/>
      <c r="C61" s="455"/>
      <c r="D61" s="456"/>
      <c r="E61" s="456"/>
      <c r="F61" s="387" t="s">
        <v>1624</v>
      </c>
      <c r="G61" s="387" t="s">
        <v>1645</v>
      </c>
      <c r="H61" s="529">
        <f>(608-320)*3.69</f>
        <v>1062.72</v>
      </c>
      <c r="I61" s="463"/>
      <c r="J61" s="598"/>
    </row>
    <row r="62" spans="1:11">
      <c r="A62" s="594"/>
      <c r="B62" s="351"/>
      <c r="C62" s="455"/>
      <c r="D62" s="456"/>
      <c r="E62" s="456"/>
      <c r="F62" s="350"/>
      <c r="G62" s="350"/>
      <c r="H62" s="386"/>
      <c r="I62" s="379"/>
      <c r="J62" s="596"/>
    </row>
    <row r="63" spans="1:11">
      <c r="A63" s="594"/>
      <c r="B63" s="351"/>
      <c r="C63" s="455"/>
      <c r="D63" s="456"/>
      <c r="E63" s="456"/>
      <c r="F63" s="371"/>
      <c r="G63" s="371"/>
      <c r="H63" s="372"/>
      <c r="I63" s="379"/>
      <c r="J63" s="596"/>
    </row>
    <row r="64" spans="1:11" ht="33">
      <c r="A64" s="594" t="s">
        <v>1646</v>
      </c>
      <c r="B64" s="351" t="s">
        <v>100</v>
      </c>
      <c r="C64" s="455" t="s">
        <v>101</v>
      </c>
      <c r="D64" s="456">
        <v>133401</v>
      </c>
      <c r="E64" s="456"/>
      <c r="F64" s="387" t="s">
        <v>1591</v>
      </c>
      <c r="G64" s="387" t="s">
        <v>1647</v>
      </c>
      <c r="H64" s="529">
        <f>(300-280)*114.81</f>
        <v>2296.1999999999998</v>
      </c>
      <c r="I64" s="383">
        <f>H66+H64+H67</f>
        <v>43181.279999999999</v>
      </c>
      <c r="J64" s="595">
        <f>SUM(H64:H73)</f>
        <v>153939.46000000002</v>
      </c>
    </row>
    <row r="65" spans="1:10" ht="33">
      <c r="A65" s="594"/>
      <c r="B65" s="351"/>
      <c r="C65" s="455"/>
      <c r="D65" s="456"/>
      <c r="E65" s="456"/>
      <c r="F65" s="350" t="s">
        <v>1373</v>
      </c>
      <c r="G65" s="350" t="s">
        <v>1648</v>
      </c>
      <c r="H65" s="386">
        <f>(320-300)*114.81</f>
        <v>2296.1999999999998</v>
      </c>
      <c r="I65" s="379">
        <f>SUM(H64:H73)</f>
        <v>153939.46000000002</v>
      </c>
      <c r="J65" s="596"/>
    </row>
    <row r="66" spans="1:10" ht="33">
      <c r="A66" s="594"/>
      <c r="B66" s="351"/>
      <c r="C66" s="455"/>
      <c r="D66" s="456"/>
      <c r="E66" s="456"/>
      <c r="F66" s="387" t="s">
        <v>1624</v>
      </c>
      <c r="G66" s="387" t="s">
        <v>1649</v>
      </c>
      <c r="H66" s="529">
        <f>(608-320)*114.81</f>
        <v>33065.279999999999</v>
      </c>
      <c r="I66" s="379"/>
      <c r="J66" s="596"/>
    </row>
    <row r="67" spans="1:10" ht="33">
      <c r="A67" s="594"/>
      <c r="B67" s="351"/>
      <c r="C67" s="455"/>
      <c r="D67" s="456"/>
      <c r="E67" s="456"/>
      <c r="F67" s="387" t="s">
        <v>1363</v>
      </c>
      <c r="G67" s="387" t="s">
        <v>1650</v>
      </c>
      <c r="H67" s="529">
        <f>(300-280)*390.99</f>
        <v>7819.8</v>
      </c>
      <c r="I67" s="379"/>
      <c r="J67" s="596"/>
    </row>
    <row r="68" spans="1:10" ht="33">
      <c r="A68" s="594"/>
      <c r="B68" s="351"/>
      <c r="C68" s="455"/>
      <c r="D68" s="456"/>
      <c r="E68" s="456"/>
      <c r="F68" s="350" t="s">
        <v>1365</v>
      </c>
      <c r="G68" s="350" t="s">
        <v>1651</v>
      </c>
      <c r="H68" s="386">
        <f>(320-300)*390.99</f>
        <v>7819.8</v>
      </c>
      <c r="I68" s="379"/>
      <c r="J68" s="596"/>
    </row>
    <row r="69" spans="1:10" ht="33">
      <c r="A69" s="594"/>
      <c r="B69" s="351"/>
      <c r="C69" s="455"/>
      <c r="D69" s="456"/>
      <c r="E69" s="456"/>
      <c r="F69" s="350" t="s">
        <v>1367</v>
      </c>
      <c r="G69" s="350" t="s">
        <v>1652</v>
      </c>
      <c r="H69" s="386">
        <f>(340-320)*390.99</f>
        <v>7819.8</v>
      </c>
      <c r="I69" s="379"/>
      <c r="J69" s="596"/>
    </row>
    <row r="70" spans="1:10" ht="33">
      <c r="A70" s="594"/>
      <c r="B70" s="351"/>
      <c r="C70" s="455"/>
      <c r="D70" s="456"/>
      <c r="E70" s="456"/>
      <c r="F70" s="350" t="s">
        <v>1653</v>
      </c>
      <c r="G70" s="350" t="s">
        <v>1654</v>
      </c>
      <c r="H70" s="386">
        <f>(440-360)*418.8</f>
        <v>33504</v>
      </c>
      <c r="I70" s="379"/>
      <c r="J70" s="596"/>
    </row>
    <row r="71" spans="1:10" ht="33">
      <c r="A71" s="594"/>
      <c r="B71" s="351"/>
      <c r="C71" s="455"/>
      <c r="D71" s="456"/>
      <c r="E71" s="456"/>
      <c r="F71" s="350" t="s">
        <v>1605</v>
      </c>
      <c r="G71" s="350" t="s">
        <v>1655</v>
      </c>
      <c r="H71" s="386">
        <f>(340-320)*390.99</f>
        <v>7819.8</v>
      </c>
      <c r="I71" s="379"/>
      <c r="J71" s="596"/>
    </row>
    <row r="72" spans="1:10" ht="33">
      <c r="A72" s="594"/>
      <c r="B72" s="351"/>
      <c r="C72" s="455"/>
      <c r="D72" s="456"/>
      <c r="E72" s="456"/>
      <c r="F72" s="350" t="s">
        <v>1631</v>
      </c>
      <c r="G72" s="350" t="s">
        <v>1656</v>
      </c>
      <c r="H72" s="386">
        <f>(570-440)*390.99</f>
        <v>50828.700000000004</v>
      </c>
      <c r="I72" s="379"/>
      <c r="J72" s="596"/>
    </row>
    <row r="73" spans="1:10">
      <c r="A73" s="594"/>
      <c r="B73" s="351"/>
      <c r="C73" s="455"/>
      <c r="D73" s="456"/>
      <c r="E73" s="456"/>
      <c r="F73" s="438" t="s">
        <v>1448</v>
      </c>
      <c r="G73" s="438" t="s">
        <v>1657</v>
      </c>
      <c r="H73" s="528">
        <v>669.88</v>
      </c>
      <c r="I73" s="379"/>
      <c r="J73" s="596"/>
    </row>
    <row r="74" spans="1:10">
      <c r="A74" s="594"/>
      <c r="B74" s="351"/>
      <c r="C74" s="455"/>
      <c r="D74" s="456"/>
      <c r="E74" s="456"/>
      <c r="F74" s="329"/>
      <c r="G74" s="329"/>
      <c r="H74" s="372"/>
      <c r="I74" s="379"/>
      <c r="J74" s="596"/>
    </row>
    <row r="75" spans="1:10" ht="33">
      <c r="A75" s="594" t="s">
        <v>1658</v>
      </c>
      <c r="B75" s="351" t="s">
        <v>276</v>
      </c>
      <c r="C75" s="455" t="s">
        <v>101</v>
      </c>
      <c r="D75" s="456">
        <v>118802</v>
      </c>
      <c r="E75" s="456"/>
      <c r="F75" s="387" t="s">
        <v>1591</v>
      </c>
      <c r="G75" s="387" t="s">
        <v>1659</v>
      </c>
      <c r="H75" s="529"/>
      <c r="I75" s="379" t="s">
        <v>1505</v>
      </c>
      <c r="J75" s="595">
        <f>SUM(H75:H85)</f>
        <v>185226.6</v>
      </c>
    </row>
    <row r="76" spans="1:10" ht="33">
      <c r="A76" s="594"/>
      <c r="B76" s="351"/>
      <c r="C76" s="455"/>
      <c r="D76" s="456"/>
      <c r="E76" s="456"/>
      <c r="F76" s="350" t="s">
        <v>1373</v>
      </c>
      <c r="G76" s="350" t="s">
        <v>1374</v>
      </c>
      <c r="H76" s="386">
        <f>(320-300)*172.33</f>
        <v>3446.6000000000004</v>
      </c>
      <c r="I76" s="379"/>
      <c r="J76" s="596"/>
    </row>
    <row r="77" spans="1:10" ht="33">
      <c r="A77" s="594"/>
      <c r="B77" s="351"/>
      <c r="C77" s="455"/>
      <c r="D77" s="456"/>
      <c r="E77" s="456"/>
      <c r="F77" s="387" t="s">
        <v>1624</v>
      </c>
      <c r="G77" s="387" t="s">
        <v>1660</v>
      </c>
      <c r="H77" s="529">
        <f>(608-320)*172.33</f>
        <v>49631.040000000001</v>
      </c>
      <c r="I77" s="379"/>
      <c r="J77" s="596"/>
    </row>
    <row r="78" spans="1:10" ht="33">
      <c r="A78" s="594"/>
      <c r="B78" s="351"/>
      <c r="C78" s="455"/>
      <c r="D78" s="456"/>
      <c r="E78" s="456"/>
      <c r="F78" s="465" t="s">
        <v>1363</v>
      </c>
      <c r="G78" s="465" t="s">
        <v>1364</v>
      </c>
      <c r="H78" s="466"/>
      <c r="I78" s="467" t="s">
        <v>1505</v>
      </c>
      <c r="J78" s="596"/>
    </row>
    <row r="79" spans="1:10" ht="33">
      <c r="A79" s="594"/>
      <c r="B79" s="351"/>
      <c r="C79" s="455"/>
      <c r="D79" s="456"/>
      <c r="E79" s="456"/>
      <c r="F79" s="465" t="s">
        <v>1365</v>
      </c>
      <c r="G79" s="465" t="s">
        <v>1366</v>
      </c>
      <c r="H79" s="466"/>
      <c r="I79" s="467" t="s">
        <v>1505</v>
      </c>
      <c r="J79" s="596"/>
    </row>
    <row r="80" spans="1:10" ht="33">
      <c r="A80" s="594"/>
      <c r="B80" s="351"/>
      <c r="C80" s="455"/>
      <c r="D80" s="456"/>
      <c r="E80" s="456"/>
      <c r="F80" s="465" t="s">
        <v>1367</v>
      </c>
      <c r="G80" s="465" t="s">
        <v>1368</v>
      </c>
      <c r="H80" s="466"/>
      <c r="I80" s="467" t="s">
        <v>1505</v>
      </c>
      <c r="J80" s="596"/>
    </row>
    <row r="81" spans="1:10" ht="33">
      <c r="A81" s="594"/>
      <c r="B81" s="351"/>
      <c r="C81" s="455"/>
      <c r="D81" s="456"/>
      <c r="E81" s="456"/>
      <c r="F81" s="465" t="s">
        <v>1369</v>
      </c>
      <c r="G81" s="465" t="s">
        <v>1370</v>
      </c>
      <c r="H81" s="466"/>
      <c r="I81" s="467" t="s">
        <v>1505</v>
      </c>
      <c r="J81" s="596"/>
    </row>
    <row r="82" spans="1:10" ht="33">
      <c r="A82" s="594"/>
      <c r="B82" s="351"/>
      <c r="C82" s="455"/>
      <c r="D82" s="456"/>
      <c r="E82" s="456"/>
      <c r="F82" s="465" t="s">
        <v>1371</v>
      </c>
      <c r="G82" s="465" t="s">
        <v>1372</v>
      </c>
      <c r="H82" s="466"/>
      <c r="I82" s="467" t="s">
        <v>1505</v>
      </c>
      <c r="J82" s="596"/>
    </row>
    <row r="83" spans="1:10" ht="33">
      <c r="A83" s="594"/>
      <c r="B83" s="351"/>
      <c r="C83" s="455"/>
      <c r="D83" s="456"/>
      <c r="E83" s="456"/>
      <c r="F83" s="350" t="s">
        <v>1605</v>
      </c>
      <c r="G83" s="350" t="s">
        <v>1661</v>
      </c>
      <c r="H83" s="386">
        <f>(440-420)*723.47</f>
        <v>14469.400000000001</v>
      </c>
      <c r="I83" s="379"/>
      <c r="J83" s="596"/>
    </row>
    <row r="84" spans="1:10" ht="33">
      <c r="A84" s="594"/>
      <c r="B84" s="351"/>
      <c r="C84" s="455"/>
      <c r="D84" s="456"/>
      <c r="E84" s="456"/>
      <c r="F84" s="350" t="s">
        <v>1631</v>
      </c>
      <c r="G84" s="350" t="s">
        <v>1662</v>
      </c>
      <c r="H84" s="386">
        <f>(570-440)*723.47</f>
        <v>94051.1</v>
      </c>
      <c r="I84" s="379"/>
      <c r="J84" s="596"/>
    </row>
    <row r="85" spans="1:10">
      <c r="A85" s="594"/>
      <c r="B85" s="351"/>
      <c r="C85" s="455"/>
      <c r="D85" s="456"/>
      <c r="E85" s="456"/>
      <c r="F85" s="350" t="s">
        <v>1448</v>
      </c>
      <c r="G85" s="350" t="s">
        <v>1663</v>
      </c>
      <c r="H85" s="386">
        <v>23628.46</v>
      </c>
      <c r="I85" s="379"/>
      <c r="J85" s="596"/>
    </row>
    <row r="86" spans="1:10">
      <c r="A86" s="594"/>
      <c r="B86" s="351"/>
      <c r="C86" s="455"/>
      <c r="D86" s="456"/>
      <c r="E86" s="456"/>
      <c r="F86" s="371"/>
      <c r="G86" s="371"/>
      <c r="H86" s="372"/>
      <c r="I86" s="379"/>
      <c r="J86" s="596"/>
    </row>
    <row r="87" spans="1:10" ht="28.5">
      <c r="A87" s="594" t="s">
        <v>1664</v>
      </c>
      <c r="B87" s="351" t="s">
        <v>332</v>
      </c>
      <c r="C87" s="455" t="s">
        <v>36</v>
      </c>
      <c r="D87" s="456">
        <v>129</v>
      </c>
      <c r="E87" s="456"/>
      <c r="F87" s="329"/>
      <c r="G87" s="329">
        <v>0</v>
      </c>
      <c r="H87" s="512">
        <v>0</v>
      </c>
      <c r="I87" s="379"/>
      <c r="J87" s="595">
        <v>0</v>
      </c>
    </row>
    <row r="88" spans="1:10">
      <c r="A88" s="594"/>
      <c r="B88" s="351"/>
      <c r="C88" s="455"/>
      <c r="D88" s="456"/>
      <c r="E88" s="456"/>
      <c r="F88" s="329"/>
      <c r="G88" s="329"/>
      <c r="H88" s="512"/>
      <c r="I88" s="379"/>
      <c r="J88" s="596"/>
    </row>
    <row r="89" spans="1:10">
      <c r="A89" s="594" t="s">
        <v>1665</v>
      </c>
      <c r="B89" s="351" t="s">
        <v>333</v>
      </c>
      <c r="C89" s="455" t="s">
        <v>78</v>
      </c>
      <c r="D89" s="456">
        <v>54</v>
      </c>
      <c r="E89" s="456"/>
      <c r="F89" s="329"/>
      <c r="G89" s="329"/>
      <c r="H89" s="512"/>
      <c r="I89" s="379"/>
      <c r="J89" s="596"/>
    </row>
    <row r="90" spans="1:10">
      <c r="A90" s="594"/>
      <c r="B90" s="351"/>
      <c r="C90" s="455"/>
      <c r="D90" s="456"/>
      <c r="E90" s="456"/>
      <c r="F90" s="329"/>
      <c r="G90" s="329"/>
      <c r="H90" s="512"/>
      <c r="I90" s="379"/>
      <c r="J90" s="596"/>
    </row>
    <row r="91" spans="1:10" ht="28.5">
      <c r="A91" s="594" t="s">
        <v>1666</v>
      </c>
      <c r="B91" s="351" t="s">
        <v>334</v>
      </c>
      <c r="C91" s="455" t="s">
        <v>36</v>
      </c>
      <c r="D91" s="456">
        <v>170</v>
      </c>
      <c r="E91" s="456"/>
      <c r="F91" s="329"/>
      <c r="G91" s="329"/>
      <c r="H91" s="512"/>
      <c r="I91" s="379"/>
      <c r="J91" s="596"/>
    </row>
    <row r="92" spans="1:10">
      <c r="A92" s="594"/>
      <c r="B92" s="351"/>
      <c r="C92" s="455"/>
      <c r="D92" s="456"/>
      <c r="E92" s="456"/>
      <c r="F92" s="329"/>
      <c r="G92" s="329"/>
      <c r="H92" s="512"/>
      <c r="I92" s="379"/>
      <c r="J92" s="596"/>
    </row>
    <row r="93" spans="1:10" ht="28.5">
      <c r="A93" s="594" t="s">
        <v>1667</v>
      </c>
      <c r="B93" s="351" t="s">
        <v>335</v>
      </c>
      <c r="C93" s="455" t="s">
        <v>228</v>
      </c>
      <c r="D93" s="456">
        <v>4</v>
      </c>
      <c r="E93" s="456"/>
      <c r="F93" s="329" t="s">
        <v>1668</v>
      </c>
      <c r="G93" s="329">
        <v>1</v>
      </c>
      <c r="H93" s="512">
        <v>1</v>
      </c>
      <c r="I93" s="379">
        <f>H93</f>
        <v>1</v>
      </c>
      <c r="J93" s="595">
        <f>SUM(H93:H97)</f>
        <v>8</v>
      </c>
    </row>
    <row r="94" spans="1:10">
      <c r="A94" s="594"/>
      <c r="B94" s="351"/>
      <c r="C94" s="455"/>
      <c r="D94" s="456"/>
      <c r="E94" s="456"/>
      <c r="F94" s="371" t="s">
        <v>1669</v>
      </c>
      <c r="G94" s="371">
        <v>4</v>
      </c>
      <c r="H94" s="372">
        <v>4</v>
      </c>
      <c r="I94" s="379"/>
      <c r="J94" s="596"/>
    </row>
    <row r="95" spans="1:10">
      <c r="A95" s="594"/>
      <c r="B95" s="351"/>
      <c r="C95" s="455"/>
      <c r="D95" s="456"/>
      <c r="E95" s="456"/>
      <c r="F95" s="371" t="s">
        <v>1670</v>
      </c>
      <c r="G95" s="371">
        <v>1</v>
      </c>
      <c r="H95" s="372">
        <v>1</v>
      </c>
      <c r="I95" s="379"/>
      <c r="J95" s="596"/>
    </row>
    <row r="96" spans="1:10">
      <c r="A96" s="602"/>
      <c r="B96" s="603"/>
      <c r="C96" s="604"/>
      <c r="D96" s="605"/>
      <c r="E96" s="605"/>
      <c r="F96" s="472" t="s">
        <v>1671</v>
      </c>
      <c r="G96" s="472">
        <v>1</v>
      </c>
      <c r="H96" s="562">
        <v>1</v>
      </c>
      <c r="I96" s="492"/>
      <c r="J96" s="596"/>
    </row>
    <row r="97" spans="1:10">
      <c r="A97" s="602"/>
      <c r="B97" s="603"/>
      <c r="C97" s="604"/>
      <c r="D97" s="605"/>
      <c r="E97" s="605"/>
      <c r="F97" s="472" t="s">
        <v>2308</v>
      </c>
      <c r="G97" s="472">
        <v>1</v>
      </c>
      <c r="H97" s="562">
        <v>1</v>
      </c>
      <c r="I97" s="492"/>
      <c r="J97" s="596"/>
    </row>
    <row r="98" spans="1:10">
      <c r="A98" s="594"/>
      <c r="B98" s="351"/>
      <c r="C98" s="455"/>
      <c r="D98" s="456"/>
      <c r="E98" s="456"/>
      <c r="F98" s="329"/>
      <c r="G98" s="329"/>
      <c r="H98" s="512"/>
      <c r="I98" s="379"/>
      <c r="J98" s="596"/>
    </row>
    <row r="99" spans="1:10">
      <c r="A99" s="594" t="s">
        <v>1672</v>
      </c>
      <c r="B99" s="351" t="s">
        <v>137</v>
      </c>
      <c r="C99" s="455" t="s">
        <v>36</v>
      </c>
      <c r="D99" s="456">
        <v>453</v>
      </c>
      <c r="E99" s="456"/>
      <c r="F99" s="387">
        <v>0</v>
      </c>
      <c r="G99" s="387">
        <v>0</v>
      </c>
      <c r="H99" s="529">
        <v>0</v>
      </c>
      <c r="I99" s="383">
        <f>H99</f>
        <v>0</v>
      </c>
      <c r="J99" s="595">
        <f>SUM(H99:H102)</f>
        <v>460.98</v>
      </c>
    </row>
    <row r="100" spans="1:10" ht="49.5">
      <c r="A100" s="594"/>
      <c r="B100" s="351"/>
      <c r="C100" s="455"/>
      <c r="D100" s="456"/>
      <c r="E100" s="456"/>
      <c r="F100" s="350" t="s">
        <v>1673</v>
      </c>
      <c r="G100" s="350" t="s">
        <v>1674</v>
      </c>
      <c r="H100" s="386">
        <f>(570-280-80)/20*((3+3+0.35+0.35+0.35)*2+(2+0.35+0.35)*3)</f>
        <v>233.1</v>
      </c>
      <c r="I100" s="379">
        <f>SUM(H100:H102)</f>
        <v>460.98</v>
      </c>
      <c r="J100" s="596"/>
    </row>
    <row r="101" spans="1:10" ht="33">
      <c r="A101" s="594"/>
      <c r="B101" s="351"/>
      <c r="C101" s="455"/>
      <c r="D101" s="456"/>
      <c r="E101" s="456"/>
      <c r="F101" s="350" t="s">
        <v>1675</v>
      </c>
      <c r="G101" s="350" t="s">
        <v>1676</v>
      </c>
      <c r="H101" s="386">
        <f>(608-280)/20*(1.2+0.3+0.3)*4</f>
        <v>118.08</v>
      </c>
      <c r="I101" s="379"/>
      <c r="J101" s="596"/>
    </row>
    <row r="102" spans="1:10" ht="66">
      <c r="A102" s="594"/>
      <c r="B102" s="351"/>
      <c r="C102" s="455"/>
      <c r="D102" s="456"/>
      <c r="E102" s="456"/>
      <c r="F102" s="350" t="s">
        <v>1677</v>
      </c>
      <c r="G102" s="350" t="s">
        <v>1678</v>
      </c>
      <c r="H102" s="386">
        <f>(80)/20*((1.7-0.35-0.35+0.5+0.5)*4+(3-0.35-0.35)*2+1.5+(7.05+2.4+2.4+1.5))</f>
        <v>109.8</v>
      </c>
      <c r="I102" s="379"/>
      <c r="J102" s="596"/>
    </row>
    <row r="103" spans="1:10">
      <c r="A103" s="594"/>
      <c r="B103" s="351"/>
      <c r="C103" s="455"/>
      <c r="D103" s="456"/>
      <c r="E103" s="456"/>
      <c r="F103" s="329"/>
      <c r="G103" s="606"/>
      <c r="H103" s="512"/>
      <c r="I103" s="379"/>
      <c r="J103" s="596"/>
    </row>
    <row r="104" spans="1:10">
      <c r="A104" s="594" t="s">
        <v>1679</v>
      </c>
      <c r="B104" s="351" t="s">
        <v>324</v>
      </c>
      <c r="C104" s="455" t="s">
        <v>36</v>
      </c>
      <c r="D104" s="456">
        <v>1680</v>
      </c>
      <c r="E104" s="456"/>
      <c r="F104" s="387">
        <v>0</v>
      </c>
      <c r="G104" s="387">
        <v>0</v>
      </c>
      <c r="H104" s="529">
        <v>0</v>
      </c>
      <c r="I104" s="383">
        <f>H104</f>
        <v>0</v>
      </c>
      <c r="J104" s="595">
        <f>SUM(H104:H105)</f>
        <v>1680</v>
      </c>
    </row>
    <row r="105" spans="1:10" ht="33">
      <c r="A105" s="594"/>
      <c r="B105" s="351"/>
      <c r="C105" s="455"/>
      <c r="D105" s="456"/>
      <c r="E105" s="456"/>
      <c r="F105" s="350" t="s">
        <v>1680</v>
      </c>
      <c r="G105" s="350" t="s">
        <v>1681</v>
      </c>
      <c r="H105" s="386">
        <f>280*6</f>
        <v>1680</v>
      </c>
      <c r="I105" s="379">
        <f>H105</f>
        <v>1680</v>
      </c>
      <c r="J105" s="596"/>
    </row>
    <row r="106" spans="1:10">
      <c r="A106" s="594"/>
      <c r="B106" s="351"/>
      <c r="C106" s="455"/>
      <c r="D106" s="456"/>
      <c r="E106" s="456"/>
      <c r="F106" s="350"/>
      <c r="G106" s="350"/>
      <c r="H106" s="386"/>
      <c r="I106" s="379"/>
      <c r="J106" s="596"/>
    </row>
    <row r="107" spans="1:10">
      <c r="A107" s="594"/>
      <c r="B107" s="351"/>
      <c r="C107" s="455"/>
      <c r="D107" s="456"/>
      <c r="E107" s="456"/>
      <c r="F107" s="329"/>
      <c r="G107" s="329"/>
      <c r="H107" s="512"/>
      <c r="I107" s="379"/>
      <c r="J107" s="596"/>
    </row>
    <row r="108" spans="1:10">
      <c r="A108" s="594" t="s">
        <v>1682</v>
      </c>
      <c r="B108" s="351" t="s">
        <v>287</v>
      </c>
      <c r="C108" s="455" t="s">
        <v>52</v>
      </c>
      <c r="D108" s="456">
        <v>756</v>
      </c>
      <c r="E108" s="456"/>
      <c r="F108" s="387">
        <v>0</v>
      </c>
      <c r="G108" s="387">
        <v>0</v>
      </c>
      <c r="H108" s="529">
        <v>0</v>
      </c>
      <c r="I108" s="383">
        <f>H108</f>
        <v>0</v>
      </c>
      <c r="J108" s="595">
        <f>SUM(H108:H109)</f>
        <v>756</v>
      </c>
    </row>
    <row r="109" spans="1:10">
      <c r="A109" s="607"/>
      <c r="B109" s="475"/>
      <c r="C109" s="476"/>
      <c r="D109" s="477"/>
      <c r="E109" s="477"/>
      <c r="F109" s="350" t="s">
        <v>1673</v>
      </c>
      <c r="G109" s="350" t="s">
        <v>1683</v>
      </c>
      <c r="H109" s="386">
        <f>2.7*280</f>
        <v>756</v>
      </c>
      <c r="I109" s="407">
        <f>H109</f>
        <v>756</v>
      </c>
      <c r="J109" s="608"/>
    </row>
    <row r="110" spans="1:10">
      <c r="A110" s="607"/>
      <c r="B110" s="475"/>
      <c r="C110" s="476"/>
      <c r="D110" s="477"/>
      <c r="E110" s="477"/>
      <c r="F110" s="405"/>
      <c r="G110" s="405"/>
      <c r="H110" s="589"/>
      <c r="I110" s="407"/>
      <c r="J110" s="608"/>
    </row>
    <row r="111" spans="1:10">
      <c r="A111" s="609" t="s">
        <v>1684</v>
      </c>
      <c r="B111" s="353" t="s">
        <v>336</v>
      </c>
      <c r="C111" s="610" t="s">
        <v>337</v>
      </c>
      <c r="D111" s="611">
        <v>32</v>
      </c>
      <c r="E111" s="611"/>
      <c r="F111" s="413"/>
      <c r="G111" s="413"/>
      <c r="H111" s="569"/>
      <c r="I111" s="415"/>
      <c r="J111" s="608"/>
    </row>
    <row r="113" spans="1:10" ht="28.5">
      <c r="A113" s="602" t="s">
        <v>1664</v>
      </c>
      <c r="B113" s="603" t="s">
        <v>1685</v>
      </c>
      <c r="C113" s="604" t="s">
        <v>36</v>
      </c>
      <c r="D113" s="605"/>
      <c r="E113" s="605"/>
      <c r="F113" s="472"/>
      <c r="G113" s="472">
        <v>49.1</v>
      </c>
      <c r="H113" s="562"/>
      <c r="I113" s="492"/>
      <c r="J113" s="426"/>
    </row>
    <row r="115" spans="1:10" ht="28.5">
      <c r="A115" s="602" t="s">
        <v>1664</v>
      </c>
      <c r="B115" s="603" t="s">
        <v>862</v>
      </c>
      <c r="C115" s="604" t="s">
        <v>36</v>
      </c>
      <c r="D115" s="605"/>
      <c r="E115" s="605"/>
      <c r="F115" s="472"/>
      <c r="G115" s="472">
        <v>25.7</v>
      </c>
      <c r="H115" s="562"/>
      <c r="I115" s="492"/>
      <c r="J115" s="426"/>
    </row>
    <row r="162" spans="8:8">
      <c r="H162" s="528">
        <v>16</v>
      </c>
    </row>
    <row r="234" spans="6:6" ht="115.5">
      <c r="F234" s="438" t="s">
        <v>1047</v>
      </c>
    </row>
  </sheetData>
  <mergeCells count="5">
    <mergeCell ref="A1:H1"/>
    <mergeCell ref="A2:H2"/>
    <mergeCell ref="A3:H3"/>
    <mergeCell ref="A4:F4"/>
    <mergeCell ref="G4:H4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70DB9-8087-4650-AF4C-B5861B87CC89}">
  <sheetPr>
    <tabColor rgb="FFFF0000"/>
  </sheetPr>
  <dimension ref="A1:M207"/>
  <sheetViews>
    <sheetView zoomScaleNormal="100" workbookViewId="0">
      <pane ySplit="5" topLeftCell="A51" activePane="bottomLeft" state="frozen"/>
      <selection activeCell="K1" sqref="K1:L1048576"/>
      <selection pane="bottomLeft" activeCell="H63" sqref="H63:H64"/>
    </sheetView>
  </sheetViews>
  <sheetFormatPr defaultRowHeight="16.5"/>
  <cols>
    <col min="1" max="1" width="5.125" style="317" customWidth="1"/>
    <col min="2" max="2" width="36.875" style="317" customWidth="1"/>
    <col min="3" max="3" width="7.125" style="317" customWidth="1"/>
    <col min="4" max="4" width="14.375" style="317" customWidth="1"/>
    <col min="5" max="5" width="12.5" style="317" customWidth="1"/>
    <col min="6" max="7" width="26.875" style="438" customWidth="1"/>
    <col min="8" max="8" width="11.5" style="528" customWidth="1"/>
    <col min="9" max="9" width="10.75" style="380" customWidth="1"/>
    <col min="10" max="10" width="13.875" style="380" customWidth="1"/>
    <col min="11" max="11" width="12.5" style="439" customWidth="1"/>
    <col min="12" max="12" width="12.75" style="292" customWidth="1"/>
    <col min="13" max="13" width="9" style="292"/>
    <col min="14" max="16384" width="9" style="293"/>
  </cols>
  <sheetData>
    <row r="1" spans="1:13" ht="21" customHeight="1">
      <c r="A1" s="820" t="s">
        <v>0</v>
      </c>
      <c r="B1" s="821"/>
      <c r="C1" s="821"/>
      <c r="D1" s="821"/>
      <c r="E1" s="821"/>
      <c r="F1" s="821"/>
      <c r="G1" s="821"/>
      <c r="H1" s="821"/>
      <c r="I1" s="440"/>
      <c r="J1" s="441"/>
      <c r="K1" s="499"/>
    </row>
    <row r="2" spans="1:13">
      <c r="A2" s="815" t="s">
        <v>907</v>
      </c>
      <c r="B2" s="816"/>
      <c r="C2" s="816"/>
      <c r="D2" s="816"/>
      <c r="E2" s="816"/>
      <c r="F2" s="816"/>
      <c r="G2" s="816"/>
      <c r="H2" s="816"/>
      <c r="I2" s="294"/>
      <c r="J2" s="295"/>
      <c r="K2" s="500"/>
    </row>
    <row r="3" spans="1:13">
      <c r="A3" s="817" t="s">
        <v>908</v>
      </c>
      <c r="B3" s="818"/>
      <c r="C3" s="818"/>
      <c r="D3" s="818"/>
      <c r="E3" s="818"/>
      <c r="F3" s="818"/>
      <c r="G3" s="818"/>
      <c r="H3" s="818"/>
      <c r="I3" s="294"/>
      <c r="J3" s="295"/>
    </row>
    <row r="4" spans="1:13">
      <c r="A4" s="817" t="s">
        <v>909</v>
      </c>
      <c r="B4" s="818"/>
      <c r="C4" s="818"/>
      <c r="D4" s="818"/>
      <c r="E4" s="818"/>
      <c r="F4" s="818"/>
      <c r="G4" s="819" t="s">
        <v>910</v>
      </c>
      <c r="H4" s="819"/>
      <c r="I4" s="296"/>
      <c r="J4" s="297"/>
    </row>
    <row r="5" spans="1:13" ht="33">
      <c r="A5" s="442" t="s">
        <v>9</v>
      </c>
      <c r="B5" s="443" t="s">
        <v>911</v>
      </c>
      <c r="C5" s="443" t="s">
        <v>11</v>
      </c>
      <c r="D5" s="443" t="s">
        <v>912</v>
      </c>
      <c r="E5" s="443" t="s">
        <v>913</v>
      </c>
      <c r="F5" s="300" t="s">
        <v>914</v>
      </c>
      <c r="G5" s="360" t="s">
        <v>915</v>
      </c>
      <c r="H5" s="591" t="s">
        <v>916</v>
      </c>
      <c r="I5" s="365" t="s">
        <v>1426</v>
      </c>
      <c r="J5" s="303" t="s">
        <v>917</v>
      </c>
      <c r="K5" s="506" t="s">
        <v>1686</v>
      </c>
      <c r="L5" s="507" t="s">
        <v>1687</v>
      </c>
      <c r="M5" s="304"/>
    </row>
    <row r="6" spans="1:13">
      <c r="A6" s="445" t="s">
        <v>1688</v>
      </c>
      <c r="B6" s="446" t="s">
        <v>1689</v>
      </c>
      <c r="C6" s="447"/>
      <c r="D6" s="448"/>
      <c r="E6" s="449"/>
      <c r="F6" s="451"/>
      <c r="G6" s="451"/>
      <c r="H6" s="592"/>
      <c r="I6" s="453"/>
      <c r="J6" s="612"/>
      <c r="K6" s="613"/>
    </row>
    <row r="7" spans="1:13">
      <c r="A7" s="594" t="s">
        <v>1690</v>
      </c>
      <c r="B7" s="351" t="s">
        <v>1691</v>
      </c>
      <c r="C7" s="455" t="s">
        <v>31</v>
      </c>
      <c r="D7" s="456">
        <v>256</v>
      </c>
      <c r="E7" s="456"/>
      <c r="F7" s="396" t="s">
        <v>1692</v>
      </c>
      <c r="G7" s="396" t="s">
        <v>965</v>
      </c>
      <c r="H7" s="516">
        <f>69.6*10*0.1</f>
        <v>69.600000000000009</v>
      </c>
      <c r="I7" s="383">
        <f>H7</f>
        <v>69.600000000000009</v>
      </c>
      <c r="J7" s="595">
        <f>SUM(H7:H10)</f>
        <v>380.67500000000001</v>
      </c>
      <c r="K7" s="614">
        <v>69.599999999999994</v>
      </c>
    </row>
    <row r="8" spans="1:13" ht="49.5">
      <c r="A8" s="594"/>
      <c r="B8" s="351"/>
      <c r="C8" s="455"/>
      <c r="D8" s="456"/>
      <c r="E8" s="456"/>
      <c r="F8" s="371" t="s">
        <v>1693</v>
      </c>
      <c r="G8" s="371" t="s">
        <v>1694</v>
      </c>
      <c r="H8" s="372">
        <f>(6170.45-426.27)*0.05-5.5</f>
        <v>281.709</v>
      </c>
      <c r="I8" s="379">
        <f>H7+H9+H10</f>
        <v>98.966000000000008</v>
      </c>
      <c r="J8" s="596"/>
      <c r="K8" s="614"/>
    </row>
    <row r="9" spans="1:13" ht="33">
      <c r="A9" s="594"/>
      <c r="B9" s="351"/>
      <c r="C9" s="455"/>
      <c r="D9" s="456"/>
      <c r="E9" s="456"/>
      <c r="F9" s="350" t="s">
        <v>1695</v>
      </c>
      <c r="G9" s="350" t="s">
        <v>1696</v>
      </c>
      <c r="H9" s="386">
        <f>(11*7.3+10.5*9+7*9)*0.05</f>
        <v>11.89</v>
      </c>
      <c r="I9" s="379"/>
      <c r="J9" s="596"/>
      <c r="K9" s="614"/>
    </row>
    <row r="10" spans="1:13" ht="49.5">
      <c r="A10" s="594"/>
      <c r="B10" s="351"/>
      <c r="C10" s="455"/>
      <c r="D10" s="456"/>
      <c r="E10" s="456"/>
      <c r="F10" s="350" t="s">
        <v>1697</v>
      </c>
      <c r="G10" s="350" t="s">
        <v>1698</v>
      </c>
      <c r="H10" s="386">
        <f>0.05*(11.5*7.4+(20.9-(8.5+5.9)/2)*9+(8.5+5.9)/2*19.6)</f>
        <v>17.475999999999999</v>
      </c>
      <c r="I10" s="379"/>
      <c r="J10" s="596"/>
      <c r="K10" s="614"/>
    </row>
    <row r="11" spans="1:13" ht="33">
      <c r="A11" s="602"/>
      <c r="B11" s="603"/>
      <c r="C11" s="604"/>
      <c r="D11" s="605"/>
      <c r="E11" s="605"/>
      <c r="F11" s="615" t="s">
        <v>1699</v>
      </c>
      <c r="G11" s="615" t="s">
        <v>1700</v>
      </c>
      <c r="H11" s="559">
        <f>300*4*0.1</f>
        <v>120</v>
      </c>
      <c r="I11" s="492"/>
      <c r="J11" s="616"/>
      <c r="K11" s="614"/>
    </row>
    <row r="12" spans="1:13">
      <c r="A12" s="594"/>
      <c r="B12" s="351"/>
      <c r="C12" s="455"/>
      <c r="D12" s="456"/>
      <c r="E12" s="456"/>
      <c r="F12" s="329"/>
      <c r="G12" s="329"/>
      <c r="H12" s="512"/>
      <c r="I12" s="379"/>
      <c r="J12" s="596"/>
      <c r="K12" s="614"/>
    </row>
    <row r="13" spans="1:13" ht="28.5">
      <c r="A13" s="594" t="s">
        <v>1701</v>
      </c>
      <c r="B13" s="351" t="s">
        <v>341</v>
      </c>
      <c r="C13" s="455" t="s">
        <v>31</v>
      </c>
      <c r="D13" s="456">
        <v>766</v>
      </c>
      <c r="E13" s="456"/>
      <c r="F13" s="350">
        <v>0</v>
      </c>
      <c r="G13" s="350">
        <v>0</v>
      </c>
      <c r="H13" s="386">
        <v>0</v>
      </c>
      <c r="I13" s="379">
        <f>SUM(H13:H16)-H14</f>
        <v>56.447000000000003</v>
      </c>
      <c r="J13" s="595">
        <f>SUM(H13:H16)</f>
        <v>917.24840000000006</v>
      </c>
      <c r="K13" s="614">
        <v>0</v>
      </c>
    </row>
    <row r="14" spans="1:13" ht="49.5">
      <c r="A14" s="594"/>
      <c r="B14" s="351"/>
      <c r="C14" s="455"/>
      <c r="D14" s="456"/>
      <c r="E14" s="456"/>
      <c r="F14" s="371" t="s">
        <v>1693</v>
      </c>
      <c r="G14" s="371" t="s">
        <v>1702</v>
      </c>
      <c r="H14" s="372">
        <f>(6170.45-426.27-((18.71+21.45)/2+9*5*2)*0.05)*0.15</f>
        <v>860.80140000000006</v>
      </c>
      <c r="I14" s="379"/>
      <c r="J14" s="596"/>
      <c r="K14" s="614"/>
    </row>
    <row r="15" spans="1:13">
      <c r="A15" s="594"/>
      <c r="B15" s="351"/>
      <c r="C15" s="455"/>
      <c r="D15" s="456"/>
      <c r="E15" s="456"/>
      <c r="F15" s="350" t="s">
        <v>1695</v>
      </c>
      <c r="G15" s="350" t="s">
        <v>1703</v>
      </c>
      <c r="H15" s="386">
        <f>(11*7.3+7*9)*0.15</f>
        <v>21.495000000000001</v>
      </c>
      <c r="I15" s="379"/>
      <c r="J15" s="596"/>
      <c r="K15" s="614"/>
    </row>
    <row r="16" spans="1:13" ht="49.5">
      <c r="A16" s="594"/>
      <c r="B16" s="351"/>
      <c r="C16" s="455"/>
      <c r="D16" s="456"/>
      <c r="E16" s="456"/>
      <c r="F16" s="350" t="s">
        <v>1704</v>
      </c>
      <c r="G16" s="350" t="s">
        <v>1705</v>
      </c>
      <c r="H16" s="386">
        <f>0.1*(11.5*7.4+(20.9-(8.5+5.9)/2)*9+(8.5+5.9)/2*19.6)</f>
        <v>34.951999999999998</v>
      </c>
      <c r="I16" s="379"/>
      <c r="J16" s="596"/>
      <c r="K16" s="614"/>
    </row>
    <row r="17" spans="1:11">
      <c r="A17" s="594"/>
      <c r="B17" s="351"/>
      <c r="C17" s="455"/>
      <c r="D17" s="456"/>
      <c r="E17" s="456"/>
      <c r="F17" s="329"/>
      <c r="G17" s="329"/>
      <c r="H17" s="512"/>
      <c r="I17" s="379"/>
      <c r="J17" s="596"/>
      <c r="K17" s="614"/>
    </row>
    <row r="18" spans="1:11" ht="33">
      <c r="A18" s="594" t="s">
        <v>1706</v>
      </c>
      <c r="B18" s="351" t="s">
        <v>342</v>
      </c>
      <c r="C18" s="455" t="s">
        <v>52</v>
      </c>
      <c r="D18" s="456">
        <v>5103</v>
      </c>
      <c r="E18" s="456"/>
      <c r="F18" s="329" t="s">
        <v>1707</v>
      </c>
      <c r="G18" s="371" t="s">
        <v>1708</v>
      </c>
      <c r="H18" s="372">
        <f>6067-428-20.55/0.05</f>
        <v>5228</v>
      </c>
      <c r="I18" s="379"/>
      <c r="J18" s="596"/>
      <c r="K18" s="614">
        <v>0</v>
      </c>
    </row>
    <row r="19" spans="1:11">
      <c r="A19" s="594"/>
      <c r="B19" s="351"/>
      <c r="C19" s="455"/>
      <c r="D19" s="456"/>
      <c r="E19" s="456"/>
      <c r="F19" s="329"/>
      <c r="G19" s="371"/>
      <c r="H19" s="372"/>
      <c r="I19" s="379"/>
      <c r="J19" s="596"/>
      <c r="K19" s="614"/>
    </row>
    <row r="20" spans="1:11">
      <c r="A20" s="594"/>
      <c r="B20" s="351"/>
      <c r="C20" s="455"/>
      <c r="D20" s="456"/>
      <c r="E20" s="456"/>
      <c r="F20" s="329"/>
      <c r="G20" s="371"/>
      <c r="H20" s="372"/>
      <c r="I20" s="379"/>
      <c r="J20" s="596"/>
      <c r="K20" s="614"/>
    </row>
    <row r="21" spans="1:11">
      <c r="A21" s="594"/>
      <c r="B21" s="351"/>
      <c r="C21" s="455"/>
      <c r="D21" s="456"/>
      <c r="E21" s="456"/>
      <c r="F21" s="329"/>
      <c r="G21" s="371"/>
      <c r="H21" s="372"/>
      <c r="I21" s="379"/>
      <c r="J21" s="596"/>
      <c r="K21" s="614"/>
    </row>
    <row r="22" spans="1:11">
      <c r="A22" s="594"/>
      <c r="B22" s="351"/>
      <c r="C22" s="455"/>
      <c r="D22" s="456"/>
      <c r="E22" s="456"/>
      <c r="F22" s="329"/>
      <c r="G22" s="329"/>
      <c r="H22" s="512"/>
      <c r="I22" s="379"/>
      <c r="J22" s="596"/>
      <c r="K22" s="614"/>
    </row>
    <row r="23" spans="1:11">
      <c r="A23" s="594" t="s">
        <v>1709</v>
      </c>
      <c r="B23" s="351" t="s">
        <v>343</v>
      </c>
      <c r="C23" s="455" t="s">
        <v>52</v>
      </c>
      <c r="D23" s="456">
        <v>5103</v>
      </c>
      <c r="E23" s="456"/>
      <c r="F23" s="396" t="s">
        <v>1692</v>
      </c>
      <c r="G23" s="396" t="s">
        <v>1710</v>
      </c>
      <c r="H23" s="516">
        <f>69.6*10</f>
        <v>696</v>
      </c>
      <c r="I23" s="383">
        <f>H23</f>
        <v>696</v>
      </c>
      <c r="J23" s="595">
        <f>SUM(H23:H25)</f>
        <v>6734.4000000000005</v>
      </c>
      <c r="K23" s="614">
        <v>696</v>
      </c>
    </row>
    <row r="24" spans="1:11" ht="33">
      <c r="A24" s="594"/>
      <c r="B24" s="351"/>
      <c r="C24" s="455"/>
      <c r="D24" s="456"/>
      <c r="E24" s="456"/>
      <c r="F24" s="350" t="s">
        <v>1711</v>
      </c>
      <c r="G24" s="350" t="s">
        <v>1712</v>
      </c>
      <c r="H24" s="386">
        <f>(11*7.3+29*9+7*9)*1</f>
        <v>404.3</v>
      </c>
      <c r="I24" s="379">
        <f>H23+H24+H25</f>
        <v>6734.4000000000005</v>
      </c>
      <c r="J24" s="596"/>
      <c r="K24" s="614"/>
    </row>
    <row r="25" spans="1:11" ht="49.5">
      <c r="A25" s="594"/>
      <c r="B25" s="351"/>
      <c r="C25" s="455"/>
      <c r="D25" s="456"/>
      <c r="E25" s="456"/>
      <c r="F25" s="350" t="s">
        <v>1693</v>
      </c>
      <c r="G25" s="350" t="s">
        <v>1713</v>
      </c>
      <c r="H25" s="386">
        <f>(6170.45-426.27)-110.08</f>
        <v>5634.1</v>
      </c>
      <c r="I25" s="379"/>
      <c r="J25" s="596"/>
      <c r="K25" s="614"/>
    </row>
    <row r="26" spans="1:11" ht="33">
      <c r="A26" s="602"/>
      <c r="B26" s="603"/>
      <c r="C26" s="604"/>
      <c r="D26" s="605"/>
      <c r="E26" s="605"/>
      <c r="F26" s="615" t="s">
        <v>1699</v>
      </c>
      <c r="G26" s="615" t="s">
        <v>1714</v>
      </c>
      <c r="H26" s="559">
        <f>300*4*0.05</f>
        <v>60</v>
      </c>
      <c r="I26" s="492"/>
      <c r="J26" s="616"/>
      <c r="K26" s="614"/>
    </row>
    <row r="27" spans="1:11">
      <c r="A27" s="594"/>
      <c r="B27" s="351"/>
      <c r="C27" s="455"/>
      <c r="D27" s="456"/>
      <c r="E27" s="456"/>
      <c r="F27" s="371"/>
      <c r="G27" s="371"/>
      <c r="H27" s="372"/>
      <c r="I27" s="379"/>
      <c r="J27" s="596"/>
      <c r="K27" s="614"/>
    </row>
    <row r="28" spans="1:11">
      <c r="A28" s="594" t="s">
        <v>1715</v>
      </c>
      <c r="B28" s="351" t="s">
        <v>344</v>
      </c>
      <c r="C28" s="455" t="s">
        <v>52</v>
      </c>
      <c r="D28" s="456">
        <v>15307</v>
      </c>
      <c r="E28" s="456"/>
      <c r="F28" s="350" t="s">
        <v>1695</v>
      </c>
      <c r="G28" s="350" t="s">
        <v>1716</v>
      </c>
      <c r="H28" s="386">
        <f>(11*7.3+7*9)*3</f>
        <v>429.90000000000003</v>
      </c>
      <c r="I28" s="379">
        <f>SUM(H28:H31)-H29</f>
        <v>2124.9000000000015</v>
      </c>
      <c r="J28" s="595">
        <f>SUM(H28:H31)</f>
        <v>19027.200000000004</v>
      </c>
      <c r="K28" s="614">
        <v>0</v>
      </c>
    </row>
    <row r="29" spans="1:11" ht="49.5">
      <c r="A29" s="594"/>
      <c r="B29" s="351"/>
      <c r="C29" s="455"/>
      <c r="D29" s="456"/>
      <c r="E29" s="456"/>
      <c r="F29" s="371" t="s">
        <v>1693</v>
      </c>
      <c r="G29" s="371" t="s">
        <v>1717</v>
      </c>
      <c r="H29" s="372">
        <f>(6170.45-426.27-110.08)*3</f>
        <v>16902.300000000003</v>
      </c>
      <c r="I29" s="379"/>
      <c r="J29" s="596"/>
      <c r="K29" s="614"/>
    </row>
    <row r="30" spans="1:11">
      <c r="A30" s="594"/>
      <c r="B30" s="351"/>
      <c r="C30" s="455"/>
      <c r="D30" s="456"/>
      <c r="E30" s="456"/>
      <c r="F30" s="329" t="s">
        <v>1692</v>
      </c>
      <c r="G30" s="329" t="s">
        <v>1718</v>
      </c>
      <c r="H30" s="512">
        <f>69.6*10*1</f>
        <v>696</v>
      </c>
      <c r="I30" s="379"/>
      <c r="J30" s="596"/>
      <c r="K30" s="614"/>
    </row>
    <row r="31" spans="1:11" ht="33">
      <c r="A31" s="594"/>
      <c r="B31" s="351"/>
      <c r="C31" s="455"/>
      <c r="D31" s="456"/>
      <c r="E31" s="456"/>
      <c r="F31" s="350" t="s">
        <v>1704</v>
      </c>
      <c r="G31" s="350" t="s">
        <v>1719</v>
      </c>
      <c r="H31" s="386">
        <f>(45-20+90-70)*(9-0.8-0.8)*3</f>
        <v>999</v>
      </c>
      <c r="I31" s="379"/>
      <c r="J31" s="596"/>
      <c r="K31" s="614"/>
    </row>
    <row r="32" spans="1:11">
      <c r="A32" s="594"/>
      <c r="B32" s="351"/>
      <c r="C32" s="455"/>
      <c r="D32" s="456"/>
      <c r="E32" s="456"/>
      <c r="F32" s="350"/>
      <c r="G32" s="350"/>
      <c r="H32" s="386"/>
      <c r="I32" s="379"/>
      <c r="J32" s="596"/>
      <c r="K32" s="614"/>
    </row>
    <row r="33" spans="1:11">
      <c r="A33" s="594" t="s">
        <v>1720</v>
      </c>
      <c r="B33" s="351" t="s">
        <v>103</v>
      </c>
      <c r="C33" s="455" t="s">
        <v>31</v>
      </c>
      <c r="D33" s="456">
        <v>24</v>
      </c>
      <c r="E33" s="456"/>
      <c r="F33" s="371" t="s">
        <v>1721</v>
      </c>
      <c r="G33" s="371" t="s">
        <v>1722</v>
      </c>
      <c r="H33" s="372">
        <f>556.6*0.8*0.05</f>
        <v>22.264000000000003</v>
      </c>
      <c r="I33" s="379"/>
      <c r="J33" s="595">
        <f>H33</f>
        <v>22.264000000000003</v>
      </c>
      <c r="K33" s="614">
        <v>0</v>
      </c>
    </row>
    <row r="34" spans="1:11">
      <c r="A34" s="594"/>
      <c r="B34" s="351"/>
      <c r="C34" s="455"/>
      <c r="D34" s="456"/>
      <c r="E34" s="456"/>
      <c r="F34" s="329"/>
      <c r="G34" s="329"/>
      <c r="H34" s="512"/>
      <c r="I34" s="379"/>
      <c r="J34" s="596"/>
      <c r="K34" s="614"/>
    </row>
    <row r="35" spans="1:11">
      <c r="A35" s="594" t="s">
        <v>1723</v>
      </c>
      <c r="B35" s="351" t="s">
        <v>104</v>
      </c>
      <c r="C35" s="455" t="s">
        <v>31</v>
      </c>
      <c r="D35" s="456">
        <v>237</v>
      </c>
      <c r="E35" s="456"/>
      <c r="F35" s="350" t="s">
        <v>1724</v>
      </c>
      <c r="G35" s="350" t="s">
        <v>1725</v>
      </c>
      <c r="H35" s="386">
        <f>17*0.8*1-0.4*0.4*1*3</f>
        <v>13.120000000000001</v>
      </c>
      <c r="I35" s="526">
        <f>H35</f>
        <v>13.120000000000001</v>
      </c>
      <c r="J35" s="595">
        <f>SUM(H35:H38)</f>
        <v>338.27800000000008</v>
      </c>
      <c r="K35" s="614">
        <v>0</v>
      </c>
    </row>
    <row r="36" spans="1:11">
      <c r="A36" s="594"/>
      <c r="B36" s="351"/>
      <c r="C36" s="455"/>
      <c r="D36" s="456"/>
      <c r="E36" s="456"/>
      <c r="F36" s="371" t="s">
        <v>1721</v>
      </c>
      <c r="G36" s="371" t="s">
        <v>1726</v>
      </c>
      <c r="H36" s="372">
        <f>556.6*0.53</f>
        <v>294.99800000000005</v>
      </c>
      <c r="I36" s="379"/>
      <c r="J36" s="596"/>
      <c r="K36" s="614"/>
    </row>
    <row r="37" spans="1:11">
      <c r="A37" s="594"/>
      <c r="B37" s="351"/>
      <c r="C37" s="455"/>
      <c r="D37" s="456"/>
      <c r="E37" s="456"/>
      <c r="F37" s="371" t="s">
        <v>1143</v>
      </c>
      <c r="G37" s="371" t="s">
        <v>1727</v>
      </c>
      <c r="H37" s="372">
        <f>29*1.04</f>
        <v>30.16</v>
      </c>
      <c r="I37" s="379"/>
      <c r="J37" s="596"/>
      <c r="K37" s="614"/>
    </row>
    <row r="38" spans="1:11">
      <c r="A38" s="594"/>
      <c r="B38" s="351"/>
      <c r="C38" s="455"/>
      <c r="D38" s="456"/>
      <c r="E38" s="456"/>
      <c r="F38" s="371"/>
      <c r="G38" s="371"/>
      <c r="H38" s="372"/>
      <c r="I38" s="379"/>
      <c r="J38" s="596"/>
      <c r="K38" s="614"/>
    </row>
    <row r="39" spans="1:11">
      <c r="A39" s="594" t="s">
        <v>1728</v>
      </c>
      <c r="B39" s="351" t="s">
        <v>316</v>
      </c>
      <c r="C39" s="455" t="s">
        <v>31</v>
      </c>
      <c r="D39" s="456">
        <v>261</v>
      </c>
      <c r="E39" s="456"/>
      <c r="F39" s="350"/>
      <c r="G39" s="329"/>
      <c r="H39" s="512">
        <f>I35+I33</f>
        <v>13.120000000000001</v>
      </c>
      <c r="I39" s="379">
        <f>H39</f>
        <v>13.120000000000001</v>
      </c>
      <c r="J39" s="595">
        <f>J35+J33</f>
        <v>360.54200000000009</v>
      </c>
      <c r="K39" s="614">
        <v>0</v>
      </c>
    </row>
    <row r="40" spans="1:11">
      <c r="A40" s="594"/>
      <c r="B40" s="351"/>
      <c r="C40" s="455"/>
      <c r="D40" s="456"/>
      <c r="E40" s="456"/>
      <c r="F40" s="350"/>
      <c r="G40" s="329"/>
      <c r="H40" s="512"/>
      <c r="I40" s="379"/>
      <c r="J40" s="596"/>
      <c r="K40" s="614"/>
    </row>
    <row r="41" spans="1:11">
      <c r="A41" s="594" t="s">
        <v>1729</v>
      </c>
      <c r="B41" s="351" t="s">
        <v>345</v>
      </c>
      <c r="C41" s="455" t="s">
        <v>52</v>
      </c>
      <c r="D41" s="456">
        <v>745</v>
      </c>
      <c r="E41" s="456"/>
      <c r="F41" s="371" t="s">
        <v>1724</v>
      </c>
      <c r="G41" s="371">
        <v>0</v>
      </c>
      <c r="H41" s="372">
        <v>0</v>
      </c>
      <c r="I41" s="526">
        <f>H41</f>
        <v>0</v>
      </c>
      <c r="J41" s="595">
        <f>SUM(H41:H44)</f>
        <v>971.57280000000014</v>
      </c>
      <c r="K41" s="614">
        <v>0</v>
      </c>
    </row>
    <row r="42" spans="1:11">
      <c r="A42" s="594"/>
      <c r="B42" s="351"/>
      <c r="C42" s="455"/>
      <c r="D42" s="456"/>
      <c r="E42" s="456"/>
      <c r="F42" s="371" t="s">
        <v>1721</v>
      </c>
      <c r="G42" s="371" t="s">
        <v>1730</v>
      </c>
      <c r="H42" s="372">
        <f>556.6*1.608</f>
        <v>895.01280000000008</v>
      </c>
      <c r="I42" s="526"/>
      <c r="J42" s="617"/>
      <c r="K42" s="614"/>
    </row>
    <row r="43" spans="1:11">
      <c r="A43" s="594"/>
      <c r="B43" s="351"/>
      <c r="C43" s="455"/>
      <c r="D43" s="456"/>
      <c r="E43" s="456"/>
      <c r="F43" s="371" t="s">
        <v>1143</v>
      </c>
      <c r="G43" s="371" t="s">
        <v>1731</v>
      </c>
      <c r="H43" s="372">
        <f>29*2.64</f>
        <v>76.56</v>
      </c>
      <c r="I43" s="526"/>
      <c r="J43" s="617"/>
      <c r="K43" s="614"/>
    </row>
    <row r="44" spans="1:11">
      <c r="A44" s="594"/>
      <c r="B44" s="351"/>
      <c r="C44" s="455"/>
      <c r="D44" s="456"/>
      <c r="E44" s="456"/>
      <c r="F44" s="371"/>
      <c r="G44" s="371"/>
      <c r="H44" s="372"/>
      <c r="I44" s="526"/>
      <c r="J44" s="617"/>
      <c r="K44" s="614"/>
    </row>
    <row r="45" spans="1:11">
      <c r="A45" s="594" t="s">
        <v>1732</v>
      </c>
      <c r="B45" s="351" t="s">
        <v>105</v>
      </c>
      <c r="C45" s="455" t="s">
        <v>52</v>
      </c>
      <c r="D45" s="456">
        <v>915</v>
      </c>
      <c r="E45" s="456"/>
      <c r="F45" s="371" t="s">
        <v>1724</v>
      </c>
      <c r="G45" s="371" t="s">
        <v>1733</v>
      </c>
      <c r="H45" s="372">
        <f>17*2*1</f>
        <v>34</v>
      </c>
      <c r="I45" s="526">
        <f>H45</f>
        <v>34</v>
      </c>
      <c r="J45" s="595">
        <f>SUM(H45:H48)</f>
        <v>1229.0677000000001</v>
      </c>
      <c r="K45" s="614">
        <v>0</v>
      </c>
    </row>
    <row r="46" spans="1:11">
      <c r="A46" s="594"/>
      <c r="B46" s="351"/>
      <c r="C46" s="455"/>
      <c r="D46" s="456"/>
      <c r="E46" s="456"/>
      <c r="F46" s="371" t="s">
        <v>1721</v>
      </c>
      <c r="G46" s="371" t="s">
        <v>1734</v>
      </c>
      <c r="H46" s="372">
        <f>556.6*1.9095</f>
        <v>1062.8277</v>
      </c>
      <c r="I46" s="526"/>
      <c r="J46" s="617"/>
      <c r="K46" s="614"/>
    </row>
    <row r="47" spans="1:11">
      <c r="A47" s="594"/>
      <c r="B47" s="351"/>
      <c r="C47" s="455"/>
      <c r="D47" s="456"/>
      <c r="E47" s="456"/>
      <c r="F47" s="371" t="s">
        <v>1143</v>
      </c>
      <c r="G47" s="371" t="s">
        <v>1735</v>
      </c>
      <c r="H47" s="372">
        <f>29*4.56</f>
        <v>132.23999999999998</v>
      </c>
      <c r="I47" s="526"/>
      <c r="J47" s="617"/>
      <c r="K47" s="614"/>
    </row>
    <row r="48" spans="1:11">
      <c r="A48" s="594"/>
      <c r="B48" s="351"/>
      <c r="C48" s="455"/>
      <c r="D48" s="456"/>
      <c r="E48" s="456"/>
      <c r="F48" s="371"/>
      <c r="G48" s="371"/>
      <c r="H48" s="372"/>
      <c r="I48" s="379"/>
      <c r="J48" s="596"/>
      <c r="K48" s="614"/>
    </row>
    <row r="49" spans="1:11" s="292" customFormat="1">
      <c r="A49" s="594" t="s">
        <v>1736</v>
      </c>
      <c r="B49" s="351" t="s">
        <v>100</v>
      </c>
      <c r="C49" s="455" t="s">
        <v>101</v>
      </c>
      <c r="D49" s="456">
        <v>9227</v>
      </c>
      <c r="E49" s="456"/>
      <c r="F49" s="371" t="s">
        <v>1721</v>
      </c>
      <c r="G49" s="371" t="s">
        <v>1737</v>
      </c>
      <c r="H49" s="372">
        <f>556.6*89.8</f>
        <v>49982.68</v>
      </c>
      <c r="I49" s="526"/>
      <c r="J49" s="595">
        <f>SUM(H49:H50)</f>
        <v>52733.62</v>
      </c>
      <c r="K49" s="614">
        <v>0</v>
      </c>
    </row>
    <row r="50" spans="1:11" s="292" customFormat="1">
      <c r="A50" s="594"/>
      <c r="B50" s="351"/>
      <c r="C50" s="455"/>
      <c r="D50" s="456"/>
      <c r="E50" s="456"/>
      <c r="F50" s="371" t="s">
        <v>1143</v>
      </c>
      <c r="G50" s="371" t="s">
        <v>1738</v>
      </c>
      <c r="H50" s="372">
        <f>29*94.86</f>
        <v>2750.94</v>
      </c>
      <c r="I50" s="379"/>
      <c r="J50" s="596"/>
      <c r="K50" s="614"/>
    </row>
    <row r="51" spans="1:11" s="292" customFormat="1">
      <c r="A51" s="594"/>
      <c r="B51" s="351"/>
      <c r="C51" s="455"/>
      <c r="D51" s="456"/>
      <c r="E51" s="456"/>
      <c r="F51" s="329"/>
      <c r="G51" s="329"/>
      <c r="H51" s="512"/>
      <c r="I51" s="379"/>
      <c r="J51" s="596"/>
      <c r="K51" s="614"/>
    </row>
    <row r="52" spans="1:11" s="292" customFormat="1" ht="28.5">
      <c r="A52" s="594" t="s">
        <v>1739</v>
      </c>
      <c r="B52" s="351" t="s">
        <v>347</v>
      </c>
      <c r="C52" s="455" t="s">
        <v>313</v>
      </c>
      <c r="D52" s="456">
        <v>189</v>
      </c>
      <c r="E52" s="456"/>
      <c r="I52" s="526"/>
      <c r="J52" s="617"/>
      <c r="K52" s="614">
        <v>0</v>
      </c>
    </row>
    <row r="53" spans="1:11" s="292" customFormat="1">
      <c r="A53" s="594"/>
      <c r="B53" s="351"/>
      <c r="C53" s="455"/>
      <c r="D53" s="456"/>
      <c r="E53" s="456"/>
      <c r="F53" s="371"/>
      <c r="G53" s="371"/>
      <c r="H53" s="372"/>
      <c r="I53" s="379"/>
      <c r="J53" s="596"/>
      <c r="K53" s="614"/>
    </row>
    <row r="54" spans="1:11" s="292" customFormat="1">
      <c r="A54" s="594" t="s">
        <v>1740</v>
      </c>
      <c r="B54" s="351" t="s">
        <v>348</v>
      </c>
      <c r="C54" s="455" t="s">
        <v>228</v>
      </c>
      <c r="D54" s="456">
        <v>118</v>
      </c>
      <c r="E54" s="456"/>
      <c r="F54" s="371">
        <v>118</v>
      </c>
      <c r="G54" s="371">
        <v>118</v>
      </c>
      <c r="H54" s="372">
        <f>G54</f>
        <v>118</v>
      </c>
      <c r="I54" s="379"/>
      <c r="J54" s="596"/>
      <c r="K54" s="614">
        <v>0</v>
      </c>
    </row>
    <row r="55" spans="1:11" s="292" customFormat="1">
      <c r="A55" s="594"/>
      <c r="B55" s="351"/>
      <c r="C55" s="455"/>
      <c r="D55" s="456"/>
      <c r="E55" s="456"/>
      <c r="F55" s="371"/>
      <c r="G55" s="371"/>
      <c r="H55" s="372"/>
      <c r="I55" s="379"/>
      <c r="J55" s="596"/>
      <c r="K55" s="614"/>
    </row>
    <row r="56" spans="1:11" s="292" customFormat="1" ht="28.5">
      <c r="A56" s="594" t="s">
        <v>1741</v>
      </c>
      <c r="B56" s="351" t="s">
        <v>349</v>
      </c>
      <c r="C56" s="455" t="s">
        <v>101</v>
      </c>
      <c r="D56" s="456">
        <v>2773</v>
      </c>
      <c r="E56" s="456"/>
      <c r="F56" s="371" t="s">
        <v>1742</v>
      </c>
      <c r="G56" s="371" t="s">
        <v>1743</v>
      </c>
      <c r="H56" s="372">
        <f>118*(16+27.9)</f>
        <v>5180.2</v>
      </c>
      <c r="I56" s="379"/>
      <c r="J56" s="595">
        <f>H56</f>
        <v>5180.2</v>
      </c>
      <c r="K56" s="614">
        <v>0</v>
      </c>
    </row>
    <row r="57" spans="1:11" s="292" customFormat="1">
      <c r="A57" s="594"/>
      <c r="B57" s="351"/>
      <c r="C57" s="455"/>
      <c r="D57" s="456"/>
      <c r="E57" s="456"/>
      <c r="F57" s="329"/>
      <c r="G57" s="329"/>
      <c r="H57" s="512"/>
      <c r="I57" s="379"/>
      <c r="J57" s="596"/>
      <c r="K57" s="614"/>
    </row>
    <row r="58" spans="1:11" s="292" customFormat="1">
      <c r="A58" s="594" t="s">
        <v>1744</v>
      </c>
      <c r="B58" s="351" t="s">
        <v>137</v>
      </c>
      <c r="C58" s="455" t="s">
        <v>36</v>
      </c>
      <c r="D58" s="456">
        <v>112</v>
      </c>
      <c r="E58" s="456"/>
      <c r="F58" s="329"/>
      <c r="G58" s="618" t="s">
        <v>1745</v>
      </c>
      <c r="H58" s="619">
        <f>(0.6*2+0.8)*(556.67/10)</f>
        <v>111.33399999999999</v>
      </c>
      <c r="I58" s="379"/>
      <c r="J58" s="596"/>
      <c r="K58" s="614">
        <v>0</v>
      </c>
    </row>
    <row r="59" spans="1:11" s="292" customFormat="1">
      <c r="A59" s="594"/>
      <c r="B59" s="351"/>
      <c r="C59" s="455"/>
      <c r="D59" s="456"/>
      <c r="E59" s="456"/>
      <c r="F59" s="329"/>
      <c r="G59" s="329"/>
      <c r="H59" s="512"/>
      <c r="I59" s="379"/>
      <c r="J59" s="596"/>
      <c r="K59" s="614"/>
    </row>
    <row r="60" spans="1:11" s="292" customFormat="1">
      <c r="A60" s="607"/>
      <c r="B60" s="620"/>
      <c r="C60" s="621"/>
      <c r="D60" s="622"/>
      <c r="E60" s="622"/>
      <c r="F60" s="329"/>
      <c r="G60" s="329"/>
      <c r="H60" s="512"/>
      <c r="I60" s="407"/>
      <c r="J60" s="608"/>
      <c r="K60" s="623"/>
    </row>
    <row r="61" spans="1:11" s="292" customFormat="1">
      <c r="A61" s="609" t="s">
        <v>1746</v>
      </c>
      <c r="B61" s="353" t="s">
        <v>1747</v>
      </c>
      <c r="C61" s="610" t="s">
        <v>52</v>
      </c>
      <c r="D61" s="611">
        <v>0</v>
      </c>
      <c r="E61" s="611">
        <v>518.22</v>
      </c>
      <c r="F61" s="371" t="s">
        <v>1721</v>
      </c>
      <c r="G61" s="371" t="s">
        <v>1748</v>
      </c>
      <c r="H61" s="372">
        <f>552.6*0.5</f>
        <v>276.3</v>
      </c>
      <c r="I61" s="415"/>
      <c r="J61" s="595">
        <f>SUM(H61:H62)</f>
        <v>327.42</v>
      </c>
      <c r="K61" s="614">
        <v>0</v>
      </c>
    </row>
    <row r="62" spans="1:11" s="292" customFormat="1">
      <c r="A62" s="624"/>
      <c r="B62" s="625"/>
      <c r="C62" s="626"/>
      <c r="D62" s="627"/>
      <c r="E62" s="627"/>
      <c r="F62" s="628" t="s">
        <v>1749</v>
      </c>
      <c r="G62" s="628" t="s">
        <v>1750</v>
      </c>
      <c r="H62" s="629">
        <f>42.6*0.6*2</f>
        <v>51.12</v>
      </c>
      <c r="I62" s="630"/>
      <c r="J62" s="380"/>
      <c r="K62" s="631"/>
    </row>
    <row r="63" spans="1:11" ht="49.5">
      <c r="A63" s="420"/>
      <c r="B63" s="420" t="s">
        <v>1751</v>
      </c>
      <c r="C63" s="420"/>
      <c r="D63" s="420"/>
      <c r="E63" s="420"/>
      <c r="F63" s="632" t="s">
        <v>1752</v>
      </c>
      <c r="G63" s="632" t="s">
        <v>1753</v>
      </c>
      <c r="H63" s="633">
        <f>((6170.45-426.27)-((18.71+21.45)/2+9*5*2))*0.3</f>
        <v>1690.23</v>
      </c>
      <c r="I63" s="426"/>
      <c r="J63" s="426"/>
    </row>
    <row r="64" spans="1:11">
      <c r="F64" s="634" t="s">
        <v>2293</v>
      </c>
      <c r="G64" s="634"/>
      <c r="H64" s="528">
        <f>('土建景觀工程(2)'!J368+'土建景觀工程(2)'!J610)*0.15</f>
        <v>802.53899999999999</v>
      </c>
    </row>
    <row r="67" spans="7:8">
      <c r="G67" s="634"/>
      <c r="H67" s="635"/>
    </row>
    <row r="135" spans="8:8">
      <c r="H135" s="528">
        <v>16</v>
      </c>
    </row>
    <row r="207" spans="6:6" ht="115.5">
      <c r="F207" s="438" t="s">
        <v>1047</v>
      </c>
    </row>
  </sheetData>
  <mergeCells count="5">
    <mergeCell ref="A1:H1"/>
    <mergeCell ref="A2:H2"/>
    <mergeCell ref="A3:H3"/>
    <mergeCell ref="A4:F4"/>
    <mergeCell ref="G4:H4"/>
  </mergeCells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CB59-064A-4096-9354-ACEACA3B9FA4}">
  <sheetPr>
    <tabColor rgb="FFFF0000"/>
  </sheetPr>
  <dimension ref="A1:M220"/>
  <sheetViews>
    <sheetView zoomScaleNormal="100" workbookViewId="0">
      <pane ySplit="5" topLeftCell="A51" activePane="bottomLeft" state="frozen"/>
      <selection activeCell="K1" sqref="K1:L1048576"/>
      <selection pane="bottomLeft" activeCell="B62" sqref="B62"/>
    </sheetView>
  </sheetViews>
  <sheetFormatPr defaultRowHeight="16.5"/>
  <cols>
    <col min="1" max="1" width="7.5" style="317" customWidth="1"/>
    <col min="2" max="2" width="36.875" style="317" customWidth="1"/>
    <col min="3" max="3" width="7.125" style="317" customWidth="1"/>
    <col min="4" max="4" width="14.375" style="317" customWidth="1"/>
    <col min="5" max="5" width="12.5" style="317" customWidth="1"/>
    <col min="6" max="7" width="26.875" style="438" customWidth="1"/>
    <col min="8" max="8" width="11.5" style="528" customWidth="1"/>
    <col min="9" max="9" width="10.75" style="380" customWidth="1"/>
    <col min="10" max="10" width="13.875" style="380" customWidth="1"/>
    <col min="11" max="11" width="14.25" style="439" customWidth="1"/>
    <col min="12" max="12" width="12.75" style="292" customWidth="1"/>
    <col min="13" max="13" width="9" style="292"/>
    <col min="14" max="16384" width="9" style="293"/>
  </cols>
  <sheetData>
    <row r="1" spans="1:13" ht="21" customHeight="1">
      <c r="A1" s="820" t="s">
        <v>0</v>
      </c>
      <c r="B1" s="821"/>
      <c r="C1" s="821"/>
      <c r="D1" s="821"/>
      <c r="E1" s="821"/>
      <c r="F1" s="821"/>
      <c r="G1" s="821"/>
      <c r="H1" s="821"/>
      <c r="I1" s="440"/>
      <c r="J1" s="441"/>
      <c r="K1" s="499"/>
    </row>
    <row r="2" spans="1:13">
      <c r="A2" s="815" t="s">
        <v>907</v>
      </c>
      <c r="B2" s="816"/>
      <c r="C2" s="816"/>
      <c r="D2" s="816"/>
      <c r="E2" s="816"/>
      <c r="F2" s="816"/>
      <c r="G2" s="816"/>
      <c r="H2" s="816"/>
      <c r="I2" s="294"/>
      <c r="J2" s="295"/>
      <c r="K2" s="500"/>
    </row>
    <row r="3" spans="1:13">
      <c r="A3" s="817" t="s">
        <v>908</v>
      </c>
      <c r="B3" s="818"/>
      <c r="C3" s="818"/>
      <c r="D3" s="818"/>
      <c r="E3" s="818"/>
      <c r="F3" s="818"/>
      <c r="G3" s="818"/>
      <c r="H3" s="818"/>
      <c r="I3" s="294"/>
      <c r="J3" s="295"/>
    </row>
    <row r="4" spans="1:13">
      <c r="A4" s="817" t="s">
        <v>909</v>
      </c>
      <c r="B4" s="818"/>
      <c r="C4" s="818"/>
      <c r="D4" s="818"/>
      <c r="E4" s="818"/>
      <c r="F4" s="818"/>
      <c r="G4" s="819" t="s">
        <v>910</v>
      </c>
      <c r="H4" s="819"/>
      <c r="I4" s="296"/>
      <c r="J4" s="297"/>
    </row>
    <row r="5" spans="1:13" ht="33">
      <c r="A5" s="442" t="s">
        <v>9</v>
      </c>
      <c r="B5" s="443" t="s">
        <v>911</v>
      </c>
      <c r="C5" s="443" t="s">
        <v>11</v>
      </c>
      <c r="D5" s="443" t="s">
        <v>912</v>
      </c>
      <c r="E5" s="443" t="s">
        <v>913</v>
      </c>
      <c r="F5" s="300" t="s">
        <v>914</v>
      </c>
      <c r="G5" s="360" t="s">
        <v>915</v>
      </c>
      <c r="H5" s="591" t="s">
        <v>916</v>
      </c>
      <c r="I5" s="365" t="s">
        <v>1426</v>
      </c>
      <c r="J5" s="303" t="s">
        <v>917</v>
      </c>
      <c r="K5" s="506" t="s">
        <v>1686</v>
      </c>
      <c r="L5" s="507" t="s">
        <v>1687</v>
      </c>
      <c r="M5" s="304"/>
    </row>
    <row r="6" spans="1:13">
      <c r="A6" s="445" t="s">
        <v>1754</v>
      </c>
      <c r="B6" s="446" t="s">
        <v>1689</v>
      </c>
      <c r="C6" s="447"/>
      <c r="D6" s="448"/>
      <c r="E6" s="449"/>
      <c r="F6" s="451"/>
      <c r="G6" s="451"/>
      <c r="H6" s="592"/>
      <c r="I6" s="453"/>
      <c r="J6" s="593"/>
      <c r="K6" s="636"/>
    </row>
    <row r="7" spans="1:13" ht="33">
      <c r="A7" s="594" t="s">
        <v>1755</v>
      </c>
      <c r="B7" s="351" t="s">
        <v>352</v>
      </c>
      <c r="C7" s="455" t="s">
        <v>98</v>
      </c>
      <c r="D7" s="456">
        <v>2596.6999999999998</v>
      </c>
      <c r="E7" s="456"/>
      <c r="F7" s="329" t="s">
        <v>1756</v>
      </c>
      <c r="G7" s="371" t="s">
        <v>1757</v>
      </c>
      <c r="H7" s="372">
        <f>(606.5+39.6+83.2+130.9+84.3)*0.5</f>
        <v>472.25</v>
      </c>
      <c r="I7" s="379"/>
      <c r="J7" s="596"/>
      <c r="K7" s="637">
        <v>0</v>
      </c>
    </row>
    <row r="8" spans="1:13">
      <c r="A8" s="594"/>
      <c r="B8" s="351"/>
      <c r="C8" s="455"/>
      <c r="D8" s="456"/>
      <c r="E8" s="456"/>
      <c r="F8" s="329" t="s">
        <v>1758</v>
      </c>
      <c r="G8" s="371" t="s">
        <v>1759</v>
      </c>
      <c r="H8" s="372">
        <f>(1488.5+138.3+7062.4)*0.3</f>
        <v>2606.7599999999998</v>
      </c>
      <c r="I8" s="379"/>
      <c r="J8" s="596"/>
      <c r="K8" s="637"/>
    </row>
    <row r="9" spans="1:13">
      <c r="A9" s="594"/>
      <c r="B9" s="351"/>
      <c r="C9" s="455"/>
      <c r="D9" s="456"/>
      <c r="E9" s="456"/>
      <c r="F9" s="329"/>
      <c r="G9" s="329"/>
      <c r="H9" s="512"/>
      <c r="I9" s="379"/>
      <c r="J9" s="596"/>
      <c r="K9" s="637"/>
    </row>
    <row r="10" spans="1:13">
      <c r="A10" s="594" t="s">
        <v>1760</v>
      </c>
      <c r="B10" s="351" t="s">
        <v>354</v>
      </c>
      <c r="C10" s="455" t="s">
        <v>337</v>
      </c>
      <c r="D10" s="456">
        <v>126</v>
      </c>
      <c r="E10" s="456"/>
      <c r="F10" s="371" t="s">
        <v>1761</v>
      </c>
      <c r="G10" s="371">
        <v>126</v>
      </c>
      <c r="H10" s="512"/>
      <c r="I10" s="379"/>
      <c r="J10" s="596"/>
      <c r="K10" s="637">
        <v>0</v>
      </c>
    </row>
    <row r="11" spans="1:13">
      <c r="A11" s="594"/>
      <c r="B11" s="351"/>
      <c r="C11" s="455"/>
      <c r="D11" s="456"/>
      <c r="E11" s="456"/>
      <c r="F11" s="329"/>
      <c r="G11" s="329"/>
      <c r="H11" s="512"/>
      <c r="I11" s="379"/>
      <c r="J11" s="596"/>
      <c r="K11" s="637"/>
    </row>
    <row r="12" spans="1:13">
      <c r="A12" s="594" t="s">
        <v>1762</v>
      </c>
      <c r="B12" s="351" t="s">
        <v>356</v>
      </c>
      <c r="C12" s="455" t="s">
        <v>357</v>
      </c>
      <c r="D12" s="456">
        <v>12</v>
      </c>
      <c r="E12" s="456"/>
      <c r="F12" s="329" t="s">
        <v>1763</v>
      </c>
      <c r="G12" s="329">
        <v>11</v>
      </c>
      <c r="H12" s="512">
        <f>G12</f>
        <v>11</v>
      </c>
      <c r="I12" s="379">
        <f>H12</f>
        <v>11</v>
      </c>
      <c r="J12" s="596"/>
      <c r="K12" s="637">
        <v>0</v>
      </c>
      <c r="L12" s="638">
        <f>I12-K12</f>
        <v>11</v>
      </c>
    </row>
    <row r="13" spans="1:13">
      <c r="A13" s="594"/>
      <c r="B13" s="351"/>
      <c r="C13" s="455"/>
      <c r="D13" s="456"/>
      <c r="E13" s="456"/>
      <c r="F13" s="329"/>
      <c r="G13" s="329"/>
      <c r="H13" s="512"/>
      <c r="I13" s="379"/>
      <c r="J13" s="596"/>
      <c r="K13" s="637"/>
    </row>
    <row r="14" spans="1:13">
      <c r="A14" s="594" t="s">
        <v>1764</v>
      </c>
      <c r="B14" s="351" t="s">
        <v>359</v>
      </c>
      <c r="C14" s="455" t="s">
        <v>357</v>
      </c>
      <c r="D14" s="456">
        <v>18</v>
      </c>
      <c r="E14" s="456"/>
      <c r="F14" s="329" t="s">
        <v>1763</v>
      </c>
      <c r="G14" s="329">
        <v>12</v>
      </c>
      <c r="H14" s="512">
        <f>G14</f>
        <v>12</v>
      </c>
      <c r="I14" s="379">
        <f>H14</f>
        <v>12</v>
      </c>
      <c r="J14" s="596"/>
      <c r="K14" s="637">
        <v>5</v>
      </c>
      <c r="L14" s="638">
        <f>I14-K14</f>
        <v>7</v>
      </c>
    </row>
    <row r="15" spans="1:13">
      <c r="A15" s="594"/>
      <c r="B15" s="351"/>
      <c r="C15" s="455"/>
      <c r="D15" s="456"/>
      <c r="E15" s="456"/>
      <c r="F15" s="329"/>
      <c r="G15" s="329"/>
      <c r="H15" s="512"/>
      <c r="I15" s="379"/>
      <c r="J15" s="596"/>
      <c r="K15" s="637"/>
    </row>
    <row r="16" spans="1:13">
      <c r="A16" s="594" t="s">
        <v>1765</v>
      </c>
      <c r="B16" s="351" t="s">
        <v>361</v>
      </c>
      <c r="C16" s="455" t="s">
        <v>357</v>
      </c>
      <c r="D16" s="456">
        <v>5</v>
      </c>
      <c r="E16" s="456"/>
      <c r="F16" s="329" t="s">
        <v>1763</v>
      </c>
      <c r="G16" s="329">
        <v>4</v>
      </c>
      <c r="H16" s="512">
        <f>G16</f>
        <v>4</v>
      </c>
      <c r="I16" s="379">
        <f>H16</f>
        <v>4</v>
      </c>
      <c r="J16" s="596"/>
      <c r="K16" s="637">
        <v>5</v>
      </c>
      <c r="L16" s="638">
        <f>I16-K16</f>
        <v>-1</v>
      </c>
    </row>
    <row r="17" spans="1:12">
      <c r="A17" s="594"/>
      <c r="B17" s="351"/>
      <c r="C17" s="455"/>
      <c r="D17" s="456"/>
      <c r="E17" s="456"/>
      <c r="F17" s="329"/>
      <c r="G17" s="329"/>
      <c r="H17" s="512"/>
      <c r="I17" s="379"/>
      <c r="J17" s="596"/>
      <c r="K17" s="637"/>
    </row>
    <row r="18" spans="1:12">
      <c r="A18" s="594" t="s">
        <v>1766</v>
      </c>
      <c r="B18" s="351" t="s">
        <v>362</v>
      </c>
      <c r="C18" s="455" t="s">
        <v>357</v>
      </c>
      <c r="D18" s="456">
        <v>5</v>
      </c>
      <c r="E18" s="456"/>
      <c r="F18" s="329" t="s">
        <v>1763</v>
      </c>
      <c r="G18" s="329">
        <v>3</v>
      </c>
      <c r="H18" s="512">
        <f>G18</f>
        <v>3</v>
      </c>
      <c r="I18" s="379">
        <f>H18</f>
        <v>3</v>
      </c>
      <c r="J18" s="596"/>
      <c r="K18" s="637">
        <v>5</v>
      </c>
      <c r="L18" s="638">
        <f>I18-K18</f>
        <v>-2</v>
      </c>
    </row>
    <row r="19" spans="1:12">
      <c r="A19" s="594"/>
      <c r="B19" s="351"/>
      <c r="C19" s="455"/>
      <c r="D19" s="456"/>
      <c r="E19" s="456"/>
      <c r="F19" s="329"/>
      <c r="G19" s="329"/>
      <c r="H19" s="512"/>
      <c r="I19" s="379"/>
      <c r="J19" s="596"/>
      <c r="K19" s="637"/>
    </row>
    <row r="20" spans="1:12">
      <c r="A20" s="594" t="s">
        <v>1767</v>
      </c>
      <c r="B20" s="351" t="s">
        <v>363</v>
      </c>
      <c r="C20" s="455" t="s">
        <v>357</v>
      </c>
      <c r="D20" s="456">
        <v>2</v>
      </c>
      <c r="E20" s="456"/>
      <c r="F20" s="329" t="s">
        <v>1763</v>
      </c>
      <c r="G20" s="329">
        <v>1</v>
      </c>
      <c r="H20" s="512">
        <f>G20</f>
        <v>1</v>
      </c>
      <c r="I20" s="379">
        <f>H20</f>
        <v>1</v>
      </c>
      <c r="J20" s="596"/>
      <c r="K20" s="637">
        <v>2</v>
      </c>
      <c r="L20" s="638">
        <f>I20-K20</f>
        <v>-1</v>
      </c>
    </row>
    <row r="21" spans="1:12">
      <c r="A21" s="594"/>
      <c r="B21" s="351"/>
      <c r="C21" s="455"/>
      <c r="D21" s="456"/>
      <c r="E21" s="456"/>
      <c r="F21" s="329"/>
      <c r="G21" s="329"/>
      <c r="H21" s="512"/>
      <c r="I21" s="379"/>
      <c r="J21" s="596"/>
      <c r="K21" s="637"/>
    </row>
    <row r="22" spans="1:12">
      <c r="A22" s="594" t="s">
        <v>1768</v>
      </c>
      <c r="B22" s="351" t="s">
        <v>364</v>
      </c>
      <c r="C22" s="455" t="s">
        <v>357</v>
      </c>
      <c r="D22" s="456">
        <v>6</v>
      </c>
      <c r="E22" s="456"/>
      <c r="F22" s="329" t="s">
        <v>1763</v>
      </c>
      <c r="G22" s="329">
        <v>1</v>
      </c>
      <c r="H22" s="512">
        <f>G22</f>
        <v>1</v>
      </c>
      <c r="I22" s="379">
        <f>H22</f>
        <v>1</v>
      </c>
      <c r="J22" s="596"/>
      <c r="K22" s="637">
        <v>6</v>
      </c>
      <c r="L22" s="638">
        <f>I22-K22</f>
        <v>-5</v>
      </c>
    </row>
    <row r="23" spans="1:12">
      <c r="A23" s="594"/>
      <c r="B23" s="351"/>
      <c r="C23" s="455"/>
      <c r="D23" s="456"/>
      <c r="E23" s="456"/>
      <c r="F23" s="329"/>
      <c r="G23" s="329"/>
      <c r="H23" s="512"/>
      <c r="I23" s="379"/>
      <c r="J23" s="596"/>
      <c r="K23" s="637"/>
    </row>
    <row r="24" spans="1:12">
      <c r="A24" s="594" t="s">
        <v>1769</v>
      </c>
      <c r="B24" s="351" t="s">
        <v>365</v>
      </c>
      <c r="C24" s="455" t="s">
        <v>357</v>
      </c>
      <c r="D24" s="456">
        <v>3</v>
      </c>
      <c r="E24" s="456"/>
      <c r="F24" s="329" t="s">
        <v>1763</v>
      </c>
      <c r="G24" s="329">
        <v>2</v>
      </c>
      <c r="H24" s="512">
        <f>G24</f>
        <v>2</v>
      </c>
      <c r="I24" s="379">
        <f>H24</f>
        <v>2</v>
      </c>
      <c r="J24" s="596"/>
      <c r="K24" s="637">
        <v>3</v>
      </c>
      <c r="L24" s="638">
        <f>I24-K24</f>
        <v>-1</v>
      </c>
    </row>
    <row r="25" spans="1:12">
      <c r="A25" s="594"/>
      <c r="B25" s="351"/>
      <c r="C25" s="455"/>
      <c r="D25" s="456"/>
      <c r="E25" s="456"/>
      <c r="F25" s="329"/>
      <c r="G25" s="329"/>
      <c r="H25" s="512"/>
      <c r="I25" s="379"/>
      <c r="J25" s="596"/>
      <c r="K25" s="637"/>
    </row>
    <row r="26" spans="1:12">
      <c r="A26" s="594" t="s">
        <v>1770</v>
      </c>
      <c r="B26" s="351" t="s">
        <v>366</v>
      </c>
      <c r="C26" s="455" t="s">
        <v>357</v>
      </c>
      <c r="D26" s="456">
        <v>2</v>
      </c>
      <c r="E26" s="456"/>
      <c r="F26" s="329" t="s">
        <v>1763</v>
      </c>
      <c r="G26" s="329">
        <v>1</v>
      </c>
      <c r="H26" s="512">
        <f>G26</f>
        <v>1</v>
      </c>
      <c r="I26" s="379">
        <f>H26</f>
        <v>1</v>
      </c>
      <c r="J26" s="596"/>
      <c r="K26" s="637">
        <v>2</v>
      </c>
      <c r="L26" s="638">
        <f>I26-K26</f>
        <v>-1</v>
      </c>
    </row>
    <row r="27" spans="1:12">
      <c r="A27" s="594"/>
      <c r="B27" s="351"/>
      <c r="C27" s="455"/>
      <c r="D27" s="456"/>
      <c r="E27" s="456"/>
      <c r="F27" s="329"/>
      <c r="G27" s="329"/>
      <c r="H27" s="512"/>
      <c r="I27" s="379"/>
      <c r="J27" s="596"/>
      <c r="K27" s="637"/>
    </row>
    <row r="28" spans="1:12">
      <c r="A28" s="594" t="s">
        <v>1771</v>
      </c>
      <c r="B28" s="351" t="s">
        <v>367</v>
      </c>
      <c r="C28" s="455" t="s">
        <v>357</v>
      </c>
      <c r="D28" s="456">
        <v>3</v>
      </c>
      <c r="E28" s="456"/>
      <c r="F28" s="329" t="s">
        <v>1763</v>
      </c>
      <c r="G28" s="329">
        <v>3</v>
      </c>
      <c r="H28" s="512">
        <f>G28</f>
        <v>3</v>
      </c>
      <c r="I28" s="379">
        <f>H28</f>
        <v>3</v>
      </c>
      <c r="J28" s="596"/>
      <c r="K28" s="637">
        <v>3</v>
      </c>
      <c r="L28" s="638">
        <f>I28-K28</f>
        <v>0</v>
      </c>
    </row>
    <row r="29" spans="1:12">
      <c r="A29" s="594"/>
      <c r="B29" s="351"/>
      <c r="C29" s="455"/>
      <c r="D29" s="456"/>
      <c r="E29" s="456"/>
      <c r="F29" s="329"/>
      <c r="G29" s="329"/>
      <c r="H29" s="512"/>
      <c r="I29" s="379"/>
      <c r="J29" s="596"/>
      <c r="K29" s="637"/>
    </row>
    <row r="30" spans="1:12">
      <c r="A30" s="594" t="s">
        <v>1772</v>
      </c>
      <c r="B30" s="351" t="s">
        <v>368</v>
      </c>
      <c r="C30" s="455" t="s">
        <v>357</v>
      </c>
      <c r="D30" s="456">
        <v>3</v>
      </c>
      <c r="E30" s="456"/>
      <c r="F30" s="329" t="s">
        <v>1763</v>
      </c>
      <c r="G30" s="329">
        <v>1</v>
      </c>
      <c r="H30" s="512">
        <f>G30</f>
        <v>1</v>
      </c>
      <c r="I30" s="379">
        <f>H30</f>
        <v>1</v>
      </c>
      <c r="J30" s="596"/>
      <c r="K30" s="637">
        <v>3</v>
      </c>
      <c r="L30" s="638">
        <f>I30-K30</f>
        <v>-2</v>
      </c>
    </row>
    <row r="31" spans="1:12">
      <c r="A31" s="594"/>
      <c r="B31" s="351"/>
      <c r="C31" s="455"/>
      <c r="D31" s="456"/>
      <c r="E31" s="456"/>
      <c r="F31" s="329"/>
      <c r="G31" s="329"/>
      <c r="H31" s="512"/>
      <c r="I31" s="379">
        <f>SUM(H31:H42)-H32-H35</f>
        <v>34</v>
      </c>
      <c r="J31" s="596"/>
      <c r="K31" s="637"/>
    </row>
    <row r="32" spans="1:12">
      <c r="A32" s="594" t="s">
        <v>1773</v>
      </c>
      <c r="B32" s="351" t="s">
        <v>369</v>
      </c>
      <c r="C32" s="455" t="s">
        <v>357</v>
      </c>
      <c r="D32" s="456">
        <v>1</v>
      </c>
      <c r="E32" s="456"/>
      <c r="F32" s="329" t="s">
        <v>1763</v>
      </c>
      <c r="G32" s="329">
        <v>0</v>
      </c>
      <c r="H32" s="512">
        <f>G32</f>
        <v>0</v>
      </c>
      <c r="I32" s="379">
        <f>H32</f>
        <v>0</v>
      </c>
      <c r="J32" s="596"/>
      <c r="K32" s="637">
        <v>1</v>
      </c>
      <c r="L32" s="638">
        <f>I32-K32</f>
        <v>-1</v>
      </c>
    </row>
    <row r="33" spans="1:12">
      <c r="A33" s="594"/>
      <c r="B33" s="351"/>
      <c r="C33" s="455"/>
      <c r="D33" s="456"/>
      <c r="E33" s="456"/>
      <c r="F33" s="329"/>
      <c r="G33" s="329"/>
      <c r="H33" s="512"/>
      <c r="I33" s="379"/>
      <c r="J33" s="596"/>
      <c r="K33" s="637"/>
    </row>
    <row r="34" spans="1:12">
      <c r="A34" s="594" t="s">
        <v>1774</v>
      </c>
      <c r="B34" s="351" t="s">
        <v>370</v>
      </c>
      <c r="C34" s="455" t="s">
        <v>357</v>
      </c>
      <c r="D34" s="456">
        <v>6</v>
      </c>
      <c r="E34" s="456"/>
      <c r="F34" s="329" t="s">
        <v>1763</v>
      </c>
      <c r="G34" s="329">
        <v>6</v>
      </c>
      <c r="H34" s="512">
        <f>G34</f>
        <v>6</v>
      </c>
      <c r="I34" s="379">
        <f>H34</f>
        <v>6</v>
      </c>
      <c r="J34" s="596"/>
      <c r="K34" s="637">
        <v>0</v>
      </c>
      <c r="L34" s="638">
        <f>I34-K34</f>
        <v>6</v>
      </c>
    </row>
    <row r="35" spans="1:12">
      <c r="A35" s="594"/>
      <c r="B35" s="351"/>
      <c r="C35" s="455"/>
      <c r="D35" s="456"/>
      <c r="E35" s="456"/>
      <c r="F35" s="329"/>
      <c r="G35" s="329"/>
      <c r="H35" s="512"/>
      <c r="I35" s="379"/>
      <c r="J35" s="596"/>
      <c r="K35" s="637"/>
    </row>
    <row r="36" spans="1:12" ht="28.5">
      <c r="A36" s="594" t="s">
        <v>1775</v>
      </c>
      <c r="B36" s="351" t="s">
        <v>372</v>
      </c>
      <c r="C36" s="455" t="s">
        <v>357</v>
      </c>
      <c r="D36" s="456">
        <v>3</v>
      </c>
      <c r="E36" s="456"/>
      <c r="F36" s="329" t="s">
        <v>1763</v>
      </c>
      <c r="G36" s="329">
        <v>4</v>
      </c>
      <c r="H36" s="512">
        <f>G36</f>
        <v>4</v>
      </c>
      <c r="I36" s="379">
        <f>H36</f>
        <v>4</v>
      </c>
      <c r="J36" s="596"/>
      <c r="K36" s="637">
        <v>3</v>
      </c>
      <c r="L36" s="638">
        <f>I36-K36</f>
        <v>1</v>
      </c>
    </row>
    <row r="37" spans="1:12">
      <c r="A37" s="594"/>
      <c r="B37" s="351"/>
      <c r="C37" s="455"/>
      <c r="D37" s="456"/>
      <c r="E37" s="456"/>
      <c r="F37" s="329"/>
      <c r="G37" s="329"/>
      <c r="H37" s="512"/>
      <c r="I37" s="379"/>
      <c r="J37" s="596"/>
      <c r="K37" s="637"/>
    </row>
    <row r="38" spans="1:12" ht="28.5">
      <c r="A38" s="594" t="s">
        <v>1776</v>
      </c>
      <c r="B38" s="351" t="s">
        <v>373</v>
      </c>
      <c r="C38" s="455" t="s">
        <v>357</v>
      </c>
      <c r="D38" s="456">
        <v>5</v>
      </c>
      <c r="E38" s="456"/>
      <c r="F38" s="329" t="s">
        <v>1763</v>
      </c>
      <c r="G38" s="329">
        <v>7</v>
      </c>
      <c r="H38" s="512">
        <f>G38</f>
        <v>7</v>
      </c>
      <c r="I38" s="379">
        <f>H38</f>
        <v>7</v>
      </c>
      <c r="J38" s="596"/>
      <c r="K38" s="637">
        <v>5</v>
      </c>
      <c r="L38" s="638">
        <f>I38-K38</f>
        <v>2</v>
      </c>
    </row>
    <row r="39" spans="1:12">
      <c r="A39" s="594"/>
      <c r="B39" s="351"/>
      <c r="C39" s="455"/>
      <c r="D39" s="456"/>
      <c r="E39" s="456"/>
      <c r="F39" s="329"/>
      <c r="G39" s="329"/>
      <c r="H39" s="512"/>
      <c r="I39" s="379"/>
      <c r="J39" s="596"/>
      <c r="K39" s="637"/>
    </row>
    <row r="40" spans="1:12" ht="28.5">
      <c r="A40" s="594" t="s">
        <v>1777</v>
      </c>
      <c r="B40" s="351" t="s">
        <v>374</v>
      </c>
      <c r="C40" s="455" t="s">
        <v>357</v>
      </c>
      <c r="D40" s="456">
        <v>7</v>
      </c>
      <c r="E40" s="456">
        <v>17</v>
      </c>
      <c r="F40" s="329" t="s">
        <v>1763</v>
      </c>
      <c r="G40" s="329">
        <v>14</v>
      </c>
      <c r="H40" s="512">
        <f>G40</f>
        <v>14</v>
      </c>
      <c r="I40" s="379">
        <f>H40</f>
        <v>14</v>
      </c>
      <c r="J40" s="596"/>
      <c r="K40" s="637">
        <v>7</v>
      </c>
      <c r="L40" s="638">
        <f>I40-K40</f>
        <v>7</v>
      </c>
    </row>
    <row r="41" spans="1:12">
      <c r="A41" s="594"/>
      <c r="B41" s="351"/>
      <c r="C41" s="455"/>
      <c r="D41" s="456"/>
      <c r="E41" s="456"/>
      <c r="F41" s="329"/>
      <c r="G41" s="329"/>
      <c r="H41" s="512"/>
      <c r="I41" s="379"/>
      <c r="J41" s="596"/>
      <c r="K41" s="637"/>
    </row>
    <row r="42" spans="1:12" ht="28.5">
      <c r="A42" s="594" t="s">
        <v>1778</v>
      </c>
      <c r="B42" s="351" t="s">
        <v>375</v>
      </c>
      <c r="C42" s="455" t="s">
        <v>357</v>
      </c>
      <c r="D42" s="456">
        <v>3</v>
      </c>
      <c r="E42" s="456"/>
      <c r="F42" s="329" t="s">
        <v>1763</v>
      </c>
      <c r="G42" s="329">
        <v>3</v>
      </c>
      <c r="H42" s="512">
        <v>3</v>
      </c>
      <c r="I42" s="379">
        <f>H42</f>
        <v>3</v>
      </c>
      <c r="J42" s="596"/>
      <c r="K42" s="637">
        <v>3</v>
      </c>
      <c r="L42" s="638">
        <f>I42-K42</f>
        <v>0</v>
      </c>
    </row>
    <row r="43" spans="1:12">
      <c r="A43" s="594"/>
      <c r="B43" s="351"/>
      <c r="C43" s="455"/>
      <c r="D43" s="456"/>
      <c r="E43" s="456"/>
      <c r="F43" s="329"/>
      <c r="G43" s="329"/>
      <c r="H43" s="512"/>
      <c r="I43" s="379"/>
      <c r="J43" s="596"/>
      <c r="K43" s="637"/>
    </row>
    <row r="44" spans="1:12">
      <c r="A44" s="594"/>
      <c r="B44" s="351"/>
      <c r="C44" s="455"/>
      <c r="D44" s="456"/>
      <c r="E44" s="456"/>
      <c r="F44" s="329"/>
      <c r="G44" s="329"/>
      <c r="H44" s="512"/>
      <c r="I44" s="379"/>
      <c r="J44" s="596"/>
      <c r="K44" s="637"/>
    </row>
    <row r="45" spans="1:12" ht="28.5">
      <c r="A45" s="594" t="s">
        <v>1779</v>
      </c>
      <c r="B45" s="351" t="s">
        <v>376</v>
      </c>
      <c r="C45" s="455" t="s">
        <v>357</v>
      </c>
      <c r="D45" s="456">
        <v>4</v>
      </c>
      <c r="E45" s="456"/>
      <c r="F45" s="329" t="s">
        <v>1763</v>
      </c>
      <c r="G45" s="329">
        <v>4</v>
      </c>
      <c r="H45" s="512">
        <f>G45</f>
        <v>4</v>
      </c>
      <c r="I45" s="379">
        <f>SUM(H45:H53)-H46</f>
        <v>51.01</v>
      </c>
      <c r="J45" s="596"/>
      <c r="K45" s="637">
        <v>4</v>
      </c>
      <c r="L45" s="638">
        <f>I45-K45</f>
        <v>47.01</v>
      </c>
    </row>
    <row r="46" spans="1:12">
      <c r="A46" s="594"/>
      <c r="B46" s="351"/>
      <c r="C46" s="455"/>
      <c r="D46" s="456"/>
      <c r="E46" s="456"/>
      <c r="F46" s="329"/>
      <c r="G46" s="329"/>
      <c r="H46" s="512"/>
      <c r="I46" s="379"/>
      <c r="J46" s="596"/>
      <c r="K46" s="637"/>
    </row>
    <row r="47" spans="1:12" ht="28.5">
      <c r="A47" s="594" t="s">
        <v>1780</v>
      </c>
      <c r="B47" s="351" t="s">
        <v>377</v>
      </c>
      <c r="C47" s="455" t="s">
        <v>357</v>
      </c>
      <c r="D47" s="456">
        <v>1</v>
      </c>
      <c r="E47" s="456"/>
      <c r="F47" s="329" t="s">
        <v>1763</v>
      </c>
      <c r="G47" s="329">
        <v>0</v>
      </c>
      <c r="H47" s="512">
        <f>G47</f>
        <v>0</v>
      </c>
      <c r="I47" s="379">
        <f>H47</f>
        <v>0</v>
      </c>
      <c r="J47" s="596"/>
      <c r="K47" s="637">
        <v>1</v>
      </c>
      <c r="L47" s="638">
        <f>I47-K47</f>
        <v>-1</v>
      </c>
    </row>
    <row r="48" spans="1:12">
      <c r="A48" s="594"/>
      <c r="B48" s="351"/>
      <c r="C48" s="455"/>
      <c r="D48" s="456"/>
      <c r="E48" s="456"/>
      <c r="F48" s="329"/>
      <c r="G48" s="329"/>
      <c r="H48" s="512"/>
      <c r="I48" s="379"/>
      <c r="J48" s="596"/>
      <c r="K48" s="637"/>
    </row>
    <row r="49" spans="1:12" ht="28.5">
      <c r="A49" s="594" t="s">
        <v>1781</v>
      </c>
      <c r="B49" s="351" t="s">
        <v>378</v>
      </c>
      <c r="C49" s="455" t="s">
        <v>357</v>
      </c>
      <c r="D49" s="456">
        <v>1</v>
      </c>
      <c r="E49" s="456"/>
      <c r="F49" s="329" t="s">
        <v>1763</v>
      </c>
      <c r="G49" s="329">
        <v>0</v>
      </c>
      <c r="H49" s="512">
        <f>G49</f>
        <v>0</v>
      </c>
      <c r="I49" s="379">
        <f>H49</f>
        <v>0</v>
      </c>
      <c r="J49" s="596"/>
      <c r="K49" s="637">
        <v>1</v>
      </c>
      <c r="L49" s="638">
        <f>I49-K49</f>
        <v>-1</v>
      </c>
    </row>
    <row r="50" spans="1:12">
      <c r="A50" s="594"/>
      <c r="B50" s="351"/>
      <c r="C50" s="455"/>
      <c r="D50" s="456"/>
      <c r="E50" s="456"/>
      <c r="F50" s="329"/>
      <c r="G50" s="329"/>
      <c r="H50" s="512"/>
      <c r="I50" s="379"/>
      <c r="J50" s="596"/>
      <c r="K50" s="637"/>
    </row>
    <row r="51" spans="1:12">
      <c r="A51" s="594" t="s">
        <v>1782</v>
      </c>
      <c r="B51" s="351" t="s">
        <v>379</v>
      </c>
      <c r="C51" s="455" t="s">
        <v>36</v>
      </c>
      <c r="D51" s="456">
        <v>47.01</v>
      </c>
      <c r="E51" s="456"/>
      <c r="F51" s="329"/>
      <c r="G51" s="329">
        <v>47.01</v>
      </c>
      <c r="H51" s="512">
        <f>G51</f>
        <v>47.01</v>
      </c>
      <c r="I51" s="379">
        <f>H51</f>
        <v>47.01</v>
      </c>
      <c r="J51" s="596"/>
      <c r="K51" s="637">
        <v>47.01</v>
      </c>
      <c r="L51" s="638">
        <f>I51-K51</f>
        <v>0</v>
      </c>
    </row>
    <row r="52" spans="1:12">
      <c r="A52" s="594"/>
      <c r="B52" s="351"/>
      <c r="C52" s="455"/>
      <c r="D52" s="456"/>
      <c r="E52" s="456"/>
      <c r="F52" s="329"/>
      <c r="G52" s="329"/>
      <c r="H52" s="512"/>
      <c r="I52" s="379"/>
      <c r="J52" s="596"/>
      <c r="K52" s="637"/>
    </row>
    <row r="53" spans="1:12">
      <c r="A53" s="594"/>
      <c r="B53" s="639"/>
      <c r="C53" s="640"/>
      <c r="D53" s="641"/>
      <c r="E53" s="641"/>
      <c r="F53" s="329"/>
      <c r="G53" s="329"/>
      <c r="H53" s="512"/>
      <c r="I53" s="379"/>
      <c r="J53" s="596"/>
      <c r="K53" s="642"/>
    </row>
    <row r="54" spans="1:12" ht="28.5">
      <c r="A54" s="594" t="s">
        <v>1783</v>
      </c>
      <c r="B54" s="351" t="s">
        <v>381</v>
      </c>
      <c r="C54" s="455" t="s">
        <v>228</v>
      </c>
      <c r="D54" s="456">
        <v>63</v>
      </c>
      <c r="E54" s="456"/>
      <c r="F54" s="329"/>
      <c r="G54" s="329">
        <v>63</v>
      </c>
      <c r="H54" s="512">
        <f>G54</f>
        <v>63</v>
      </c>
      <c r="I54" s="379">
        <f>H54</f>
        <v>63</v>
      </c>
      <c r="J54" s="596"/>
      <c r="K54" s="637">
        <v>63</v>
      </c>
      <c r="L54" s="638">
        <f>I54-K54</f>
        <v>0</v>
      </c>
    </row>
    <row r="55" spans="1:12">
      <c r="A55" s="594"/>
      <c r="B55" s="351"/>
      <c r="C55" s="455"/>
      <c r="D55" s="456"/>
      <c r="E55" s="456"/>
      <c r="F55" s="329"/>
      <c r="G55" s="329"/>
      <c r="H55" s="512"/>
      <c r="I55" s="379"/>
      <c r="J55" s="596"/>
      <c r="K55" s="637"/>
    </row>
    <row r="56" spans="1:12" ht="28.5">
      <c r="A56" s="594" t="s">
        <v>1784</v>
      </c>
      <c r="B56" s="351" t="s">
        <v>383</v>
      </c>
      <c r="C56" s="455" t="s">
        <v>123</v>
      </c>
      <c r="D56" s="456">
        <v>315</v>
      </c>
      <c r="E56" s="456"/>
      <c r="F56" s="329"/>
      <c r="G56" s="329">
        <v>315</v>
      </c>
      <c r="H56" s="512">
        <f>G56</f>
        <v>315</v>
      </c>
      <c r="I56" s="379">
        <f>H56</f>
        <v>315</v>
      </c>
      <c r="J56" s="596"/>
      <c r="K56" s="637">
        <v>315</v>
      </c>
      <c r="L56" s="638">
        <f>I56-K56</f>
        <v>0</v>
      </c>
    </row>
    <row r="57" spans="1:12">
      <c r="A57" s="594"/>
      <c r="B57" s="351"/>
      <c r="C57" s="455"/>
      <c r="D57" s="456"/>
      <c r="E57" s="456"/>
      <c r="F57" s="329"/>
      <c r="G57" s="329"/>
      <c r="H57" s="512"/>
      <c r="I57" s="379"/>
      <c r="J57" s="596"/>
      <c r="K57" s="637"/>
    </row>
    <row r="58" spans="1:12" ht="28.5">
      <c r="A58" s="594" t="s">
        <v>1785</v>
      </c>
      <c r="B58" s="351" t="s">
        <v>385</v>
      </c>
      <c r="C58" s="455" t="s">
        <v>36</v>
      </c>
      <c r="D58" s="456">
        <v>1200</v>
      </c>
      <c r="E58" s="456"/>
      <c r="F58" s="329"/>
      <c r="G58" s="371">
        <v>1200</v>
      </c>
      <c r="H58" s="512"/>
      <c r="I58" s="379"/>
      <c r="J58" s="596"/>
      <c r="K58" s="637">
        <v>0</v>
      </c>
    </row>
    <row r="59" spans="1:12">
      <c r="A59" s="594"/>
      <c r="B59" s="351"/>
      <c r="C59" s="455"/>
      <c r="D59" s="456"/>
      <c r="E59" s="456"/>
      <c r="F59" s="329"/>
      <c r="G59" s="329"/>
      <c r="H59" s="512"/>
      <c r="I59" s="379"/>
      <c r="J59" s="596"/>
      <c r="K59" s="637"/>
    </row>
    <row r="60" spans="1:12">
      <c r="A60" s="594" t="s">
        <v>1786</v>
      </c>
      <c r="B60" s="351" t="s">
        <v>386</v>
      </c>
      <c r="C60" s="455" t="s">
        <v>52</v>
      </c>
      <c r="D60" s="456">
        <v>30.85</v>
      </c>
      <c r="E60" s="456"/>
      <c r="F60" s="329"/>
      <c r="G60" s="329">
        <v>30.85</v>
      </c>
      <c r="H60" s="512">
        <f>G60</f>
        <v>30.85</v>
      </c>
      <c r="I60" s="379">
        <f>H60</f>
        <v>30.85</v>
      </c>
      <c r="J60" s="596"/>
      <c r="K60" s="637">
        <v>30.85</v>
      </c>
      <c r="L60" s="638">
        <f>I60-K60</f>
        <v>0</v>
      </c>
    </row>
    <row r="61" spans="1:12">
      <c r="A61" s="594"/>
      <c r="B61" s="351"/>
      <c r="C61" s="455"/>
      <c r="D61" s="456"/>
      <c r="E61" s="456"/>
      <c r="F61" s="329"/>
      <c r="G61" s="329"/>
      <c r="H61" s="512"/>
      <c r="I61" s="379"/>
      <c r="J61" s="596"/>
      <c r="K61" s="637"/>
    </row>
    <row r="62" spans="1:12">
      <c r="A62" s="594" t="s">
        <v>1787</v>
      </c>
      <c r="B62" s="351" t="s">
        <v>388</v>
      </c>
      <c r="C62" s="455" t="s">
        <v>31</v>
      </c>
      <c r="D62" s="456">
        <v>3.7</v>
      </c>
      <c r="E62" s="456"/>
      <c r="F62" s="329"/>
      <c r="G62" s="329">
        <v>3.7</v>
      </c>
      <c r="H62" s="512">
        <f>G62</f>
        <v>3.7</v>
      </c>
      <c r="I62" s="379">
        <f>H62</f>
        <v>3.7</v>
      </c>
      <c r="J62" s="596"/>
      <c r="K62" s="637">
        <v>3.7</v>
      </c>
      <c r="L62" s="638">
        <f>I62-K62</f>
        <v>0</v>
      </c>
    </row>
    <row r="63" spans="1:12">
      <c r="A63" s="594"/>
      <c r="B63" s="351"/>
      <c r="C63" s="455"/>
      <c r="D63" s="456"/>
      <c r="E63" s="456"/>
      <c r="F63" s="329"/>
      <c r="G63" s="329"/>
      <c r="H63" s="512"/>
      <c r="I63" s="379"/>
      <c r="J63" s="596"/>
      <c r="K63" s="637"/>
    </row>
    <row r="64" spans="1:12">
      <c r="A64" s="594" t="s">
        <v>1788</v>
      </c>
      <c r="B64" s="351" t="s">
        <v>389</v>
      </c>
      <c r="C64" s="455" t="s">
        <v>23</v>
      </c>
      <c r="D64" s="456">
        <v>1</v>
      </c>
      <c r="E64" s="456"/>
      <c r="F64" s="329"/>
      <c r="G64" s="643">
        <v>1</v>
      </c>
      <c r="H64" s="512"/>
      <c r="I64" s="379"/>
      <c r="J64" s="596"/>
      <c r="K64" s="637">
        <v>0</v>
      </c>
    </row>
    <row r="65" spans="1:11">
      <c r="A65" s="594" t="s">
        <v>1789</v>
      </c>
      <c r="B65" s="351" t="s">
        <v>391</v>
      </c>
      <c r="C65" s="455" t="s">
        <v>52</v>
      </c>
      <c r="D65" s="456">
        <v>1448.32</v>
      </c>
      <c r="E65" s="456"/>
      <c r="F65" s="329"/>
      <c r="G65" s="643">
        <v>1448.32</v>
      </c>
      <c r="H65" s="512"/>
      <c r="I65" s="379"/>
      <c r="J65" s="596"/>
      <c r="K65" s="637">
        <v>0</v>
      </c>
    </row>
    <row r="66" spans="1:11" ht="28.5">
      <c r="A66" s="594" t="s">
        <v>1790</v>
      </c>
      <c r="B66" s="351" t="s">
        <v>392</v>
      </c>
      <c r="C66" s="455" t="s">
        <v>357</v>
      </c>
      <c r="D66" s="456">
        <v>42</v>
      </c>
      <c r="E66" s="456"/>
      <c r="F66" s="329"/>
      <c r="G66" s="456">
        <v>42</v>
      </c>
      <c r="H66" s="512"/>
      <c r="I66" s="379"/>
      <c r="J66" s="596">
        <f>G66</f>
        <v>42</v>
      </c>
      <c r="K66" s="637">
        <v>0</v>
      </c>
    </row>
    <row r="67" spans="1:11" ht="28.5">
      <c r="A67" s="594" t="s">
        <v>1791</v>
      </c>
      <c r="B67" s="351" t="s">
        <v>393</v>
      </c>
      <c r="C67" s="455" t="s">
        <v>357</v>
      </c>
      <c r="D67" s="456">
        <v>19</v>
      </c>
      <c r="E67" s="456"/>
      <c r="F67" s="329"/>
      <c r="G67" s="456">
        <v>19</v>
      </c>
      <c r="H67" s="512"/>
      <c r="I67" s="379"/>
      <c r="J67" s="596">
        <f t="shared" ref="J67:J123" si="0">G67</f>
        <v>19</v>
      </c>
      <c r="K67" s="637">
        <v>0</v>
      </c>
    </row>
    <row r="68" spans="1:11" ht="28.5">
      <c r="A68" s="594" t="s">
        <v>1792</v>
      </c>
      <c r="B68" s="351" t="s">
        <v>394</v>
      </c>
      <c r="C68" s="455" t="s">
        <v>357</v>
      </c>
      <c r="D68" s="456">
        <v>8</v>
      </c>
      <c r="E68" s="456"/>
      <c r="F68" s="329"/>
      <c r="G68" s="456">
        <v>8</v>
      </c>
      <c r="H68" s="512"/>
      <c r="I68" s="379"/>
      <c r="J68" s="596">
        <f t="shared" si="0"/>
        <v>8</v>
      </c>
      <c r="K68" s="637">
        <v>0</v>
      </c>
    </row>
    <row r="69" spans="1:11" ht="28.5">
      <c r="A69" s="594" t="s">
        <v>1793</v>
      </c>
      <c r="B69" s="351" t="s">
        <v>395</v>
      </c>
      <c r="C69" s="455" t="s">
        <v>357</v>
      </c>
      <c r="D69" s="456">
        <v>8</v>
      </c>
      <c r="E69" s="456"/>
      <c r="F69" s="329"/>
      <c r="G69" s="456">
        <v>8</v>
      </c>
      <c r="H69" s="512"/>
      <c r="I69" s="379"/>
      <c r="J69" s="596">
        <f t="shared" si="0"/>
        <v>8</v>
      </c>
      <c r="K69" s="637">
        <v>0</v>
      </c>
    </row>
    <row r="70" spans="1:11" ht="28.5">
      <c r="A70" s="594" t="s">
        <v>1794</v>
      </c>
      <c r="B70" s="351" t="s">
        <v>396</v>
      </c>
      <c r="C70" s="455" t="s">
        <v>357</v>
      </c>
      <c r="D70" s="456">
        <v>14</v>
      </c>
      <c r="E70" s="456"/>
      <c r="F70" s="329"/>
      <c r="G70" s="456">
        <v>14</v>
      </c>
      <c r="H70" s="512"/>
      <c r="I70" s="379"/>
      <c r="J70" s="596">
        <f t="shared" si="0"/>
        <v>14</v>
      </c>
      <c r="K70" s="637">
        <v>0</v>
      </c>
    </row>
    <row r="71" spans="1:11" ht="28.5">
      <c r="A71" s="594" t="s">
        <v>1795</v>
      </c>
      <c r="B71" s="351" t="s">
        <v>397</v>
      </c>
      <c r="C71" s="455" t="s">
        <v>357</v>
      </c>
      <c r="D71" s="456">
        <v>15</v>
      </c>
      <c r="E71" s="456"/>
      <c r="F71" s="329"/>
      <c r="G71" s="456">
        <v>15</v>
      </c>
      <c r="H71" s="512"/>
      <c r="I71" s="379"/>
      <c r="J71" s="596">
        <f t="shared" si="0"/>
        <v>15</v>
      </c>
      <c r="K71" s="637">
        <v>0</v>
      </c>
    </row>
    <row r="72" spans="1:11" ht="28.5">
      <c r="A72" s="602" t="s">
        <v>1796</v>
      </c>
      <c r="B72" s="603" t="s">
        <v>398</v>
      </c>
      <c r="C72" s="604" t="s">
        <v>357</v>
      </c>
      <c r="D72" s="605">
        <v>1</v>
      </c>
      <c r="E72" s="605"/>
      <c r="F72" s="472"/>
      <c r="G72" s="605">
        <v>1</v>
      </c>
      <c r="H72" s="562"/>
      <c r="I72" s="492"/>
      <c r="J72" s="596">
        <f t="shared" si="0"/>
        <v>1</v>
      </c>
      <c r="K72" s="637">
        <v>0</v>
      </c>
    </row>
    <row r="73" spans="1:11" ht="28.5">
      <c r="A73" s="602" t="s">
        <v>1797</v>
      </c>
      <c r="B73" s="603" t="s">
        <v>399</v>
      </c>
      <c r="C73" s="604" t="s">
        <v>357</v>
      </c>
      <c r="D73" s="605">
        <v>1</v>
      </c>
      <c r="E73" s="605"/>
      <c r="F73" s="472"/>
      <c r="G73" s="605">
        <v>1</v>
      </c>
      <c r="H73" s="562"/>
      <c r="I73" s="492">
        <f>SUM(H73:H75)</f>
        <v>0</v>
      </c>
      <c r="J73" s="596">
        <f t="shared" si="0"/>
        <v>1</v>
      </c>
      <c r="K73" s="637">
        <v>0</v>
      </c>
    </row>
    <row r="74" spans="1:11" ht="28.5">
      <c r="A74" s="602" t="s">
        <v>1798</v>
      </c>
      <c r="B74" s="603" t="s">
        <v>400</v>
      </c>
      <c r="C74" s="604" t="s">
        <v>357</v>
      </c>
      <c r="D74" s="605">
        <v>1</v>
      </c>
      <c r="E74" s="605"/>
      <c r="F74" s="472"/>
      <c r="G74" s="605">
        <v>1</v>
      </c>
      <c r="H74" s="562"/>
      <c r="I74" s="492"/>
      <c r="J74" s="596">
        <f t="shared" si="0"/>
        <v>1</v>
      </c>
      <c r="K74" s="637">
        <v>0</v>
      </c>
    </row>
    <row r="75" spans="1:11" ht="28.5">
      <c r="A75" s="602" t="s">
        <v>1799</v>
      </c>
      <c r="B75" s="603" t="s">
        <v>401</v>
      </c>
      <c r="C75" s="604" t="s">
        <v>357</v>
      </c>
      <c r="D75" s="605">
        <v>4</v>
      </c>
      <c r="E75" s="605"/>
      <c r="F75" s="472"/>
      <c r="G75" s="605">
        <v>4</v>
      </c>
      <c r="H75" s="562"/>
      <c r="I75" s="492"/>
      <c r="J75" s="596">
        <f t="shared" si="0"/>
        <v>4</v>
      </c>
      <c r="K75" s="637">
        <v>0</v>
      </c>
    </row>
    <row r="76" spans="1:11" ht="28.5">
      <c r="A76" s="602" t="s">
        <v>1800</v>
      </c>
      <c r="B76" s="603" t="s">
        <v>402</v>
      </c>
      <c r="C76" s="604" t="s">
        <v>357</v>
      </c>
      <c r="D76" s="605">
        <v>1</v>
      </c>
      <c r="E76" s="605"/>
      <c r="F76" s="472"/>
      <c r="G76" s="605">
        <v>1</v>
      </c>
      <c r="H76" s="559"/>
      <c r="I76" s="492"/>
      <c r="J76" s="596">
        <f t="shared" si="0"/>
        <v>1</v>
      </c>
      <c r="K76" s="637">
        <v>0</v>
      </c>
    </row>
    <row r="77" spans="1:11" ht="28.5">
      <c r="A77" s="602" t="s">
        <v>1801</v>
      </c>
      <c r="B77" s="603" t="s">
        <v>403</v>
      </c>
      <c r="C77" s="604" t="s">
        <v>357</v>
      </c>
      <c r="D77" s="605">
        <v>1</v>
      </c>
      <c r="E77" s="605"/>
      <c r="F77" s="472"/>
      <c r="G77" s="605">
        <v>1</v>
      </c>
      <c r="H77" s="562"/>
      <c r="I77" s="492"/>
      <c r="J77" s="596">
        <f t="shared" si="0"/>
        <v>1</v>
      </c>
      <c r="K77" s="637">
        <v>0</v>
      </c>
    </row>
    <row r="78" spans="1:11" ht="28.5">
      <c r="A78" s="602" t="s">
        <v>1802</v>
      </c>
      <c r="B78" s="603" t="s">
        <v>404</v>
      </c>
      <c r="C78" s="604" t="s">
        <v>357</v>
      </c>
      <c r="D78" s="605">
        <v>1</v>
      </c>
      <c r="E78" s="605"/>
      <c r="F78" s="472"/>
      <c r="G78" s="605">
        <v>1</v>
      </c>
      <c r="H78" s="562"/>
      <c r="I78" s="492"/>
      <c r="J78" s="596">
        <f t="shared" si="0"/>
        <v>1</v>
      </c>
      <c r="K78" s="637">
        <v>0</v>
      </c>
    </row>
    <row r="79" spans="1:11" ht="28.5">
      <c r="A79" s="594" t="s">
        <v>1803</v>
      </c>
      <c r="B79" s="351" t="s">
        <v>405</v>
      </c>
      <c r="C79" s="455" t="s">
        <v>357</v>
      </c>
      <c r="D79" s="456">
        <v>4</v>
      </c>
      <c r="E79" s="456"/>
      <c r="F79" s="329"/>
      <c r="G79" s="456">
        <v>4</v>
      </c>
      <c r="H79" s="512"/>
      <c r="I79" s="379"/>
      <c r="J79" s="596">
        <f t="shared" si="0"/>
        <v>4</v>
      </c>
      <c r="K79" s="637">
        <v>0</v>
      </c>
    </row>
    <row r="80" spans="1:11" ht="28.5">
      <c r="A80" s="602" t="s">
        <v>1804</v>
      </c>
      <c r="B80" s="603" t="s">
        <v>406</v>
      </c>
      <c r="C80" s="604" t="s">
        <v>357</v>
      </c>
      <c r="D80" s="605">
        <v>1</v>
      </c>
      <c r="E80" s="605"/>
      <c r="F80" s="472"/>
      <c r="G80" s="605">
        <v>1</v>
      </c>
      <c r="H80" s="559"/>
      <c r="I80" s="492"/>
      <c r="J80" s="596">
        <f t="shared" si="0"/>
        <v>1</v>
      </c>
      <c r="K80" s="637">
        <v>0</v>
      </c>
    </row>
    <row r="81" spans="1:11">
      <c r="A81" s="602" t="s">
        <v>1805</v>
      </c>
      <c r="B81" s="603" t="s">
        <v>407</v>
      </c>
      <c r="C81" s="604" t="s">
        <v>357</v>
      </c>
      <c r="D81" s="605">
        <v>1</v>
      </c>
      <c r="E81" s="605"/>
      <c r="F81" s="472"/>
      <c r="G81" s="605">
        <v>1</v>
      </c>
      <c r="H81" s="562"/>
      <c r="I81" s="492"/>
      <c r="J81" s="596">
        <f t="shared" si="0"/>
        <v>1</v>
      </c>
      <c r="K81" s="637">
        <v>0</v>
      </c>
    </row>
    <row r="82" spans="1:11">
      <c r="A82" s="602" t="s">
        <v>1806</v>
      </c>
      <c r="B82" s="603" t="s">
        <v>408</v>
      </c>
      <c r="C82" s="604" t="s">
        <v>357</v>
      </c>
      <c r="D82" s="605">
        <v>1</v>
      </c>
      <c r="E82" s="605"/>
      <c r="F82" s="472"/>
      <c r="G82" s="605">
        <v>1</v>
      </c>
      <c r="H82" s="562"/>
      <c r="I82" s="492"/>
      <c r="J82" s="596">
        <f t="shared" si="0"/>
        <v>1</v>
      </c>
      <c r="K82" s="637">
        <v>0</v>
      </c>
    </row>
    <row r="83" spans="1:11">
      <c r="A83" s="602" t="s">
        <v>1807</v>
      </c>
      <c r="B83" s="603" t="s">
        <v>409</v>
      </c>
      <c r="C83" s="604" t="s">
        <v>357</v>
      </c>
      <c r="D83" s="605">
        <v>1</v>
      </c>
      <c r="E83" s="605"/>
      <c r="F83" s="472"/>
      <c r="G83" s="605">
        <v>1</v>
      </c>
      <c r="H83" s="562"/>
      <c r="I83" s="492"/>
      <c r="J83" s="596">
        <f t="shared" si="0"/>
        <v>1</v>
      </c>
      <c r="K83" s="637">
        <v>0</v>
      </c>
    </row>
    <row r="84" spans="1:11">
      <c r="A84" s="602" t="s">
        <v>1808</v>
      </c>
      <c r="B84" s="603" t="s">
        <v>410</v>
      </c>
      <c r="C84" s="604" t="s">
        <v>357</v>
      </c>
      <c r="D84" s="605">
        <v>1</v>
      </c>
      <c r="E84" s="605"/>
      <c r="F84" s="472"/>
      <c r="G84" s="605">
        <v>1</v>
      </c>
      <c r="H84" s="562"/>
      <c r="I84" s="492"/>
      <c r="J84" s="596">
        <f t="shared" si="0"/>
        <v>1</v>
      </c>
      <c r="K84" s="637">
        <v>0</v>
      </c>
    </row>
    <row r="85" spans="1:11">
      <c r="A85" s="602" t="s">
        <v>1809</v>
      </c>
      <c r="B85" s="603" t="s">
        <v>411</v>
      </c>
      <c r="C85" s="604" t="s">
        <v>357</v>
      </c>
      <c r="D85" s="605">
        <v>1</v>
      </c>
      <c r="E85" s="605"/>
      <c r="F85" s="472"/>
      <c r="G85" s="605">
        <v>1</v>
      </c>
      <c r="H85" s="562"/>
      <c r="I85" s="492"/>
      <c r="J85" s="596">
        <f t="shared" si="0"/>
        <v>1</v>
      </c>
      <c r="K85" s="637">
        <v>0</v>
      </c>
    </row>
    <row r="86" spans="1:11">
      <c r="A86" s="602" t="s">
        <v>1810</v>
      </c>
      <c r="B86" s="603" t="s">
        <v>412</v>
      </c>
      <c r="C86" s="604" t="s">
        <v>357</v>
      </c>
      <c r="D86" s="605">
        <v>1</v>
      </c>
      <c r="E86" s="605"/>
      <c r="F86" s="472"/>
      <c r="G86" s="605">
        <v>1</v>
      </c>
      <c r="H86" s="562"/>
      <c r="I86" s="492"/>
      <c r="J86" s="596">
        <f t="shared" si="0"/>
        <v>1</v>
      </c>
      <c r="K86" s="637">
        <v>0</v>
      </c>
    </row>
    <row r="87" spans="1:11">
      <c r="A87" s="602" t="s">
        <v>1811</v>
      </c>
      <c r="B87" s="603" t="s">
        <v>413</v>
      </c>
      <c r="C87" s="604" t="s">
        <v>357</v>
      </c>
      <c r="D87" s="605">
        <v>1</v>
      </c>
      <c r="E87" s="605"/>
      <c r="F87" s="472"/>
      <c r="G87" s="605">
        <v>1</v>
      </c>
      <c r="H87" s="562"/>
      <c r="I87" s="492"/>
      <c r="J87" s="596">
        <f t="shared" si="0"/>
        <v>1</v>
      </c>
      <c r="K87" s="637">
        <v>0</v>
      </c>
    </row>
    <row r="88" spans="1:11">
      <c r="A88" s="602" t="s">
        <v>1812</v>
      </c>
      <c r="B88" s="603" t="s">
        <v>414</v>
      </c>
      <c r="C88" s="604" t="s">
        <v>357</v>
      </c>
      <c r="D88" s="605">
        <v>1</v>
      </c>
      <c r="E88" s="605"/>
      <c r="F88" s="472"/>
      <c r="G88" s="605">
        <v>1</v>
      </c>
      <c r="H88" s="562"/>
      <c r="I88" s="492"/>
      <c r="J88" s="596">
        <f t="shared" si="0"/>
        <v>1</v>
      </c>
      <c r="K88" s="637">
        <v>0</v>
      </c>
    </row>
    <row r="89" spans="1:11">
      <c r="A89" s="602" t="s">
        <v>1813</v>
      </c>
      <c r="B89" s="603" t="s">
        <v>415</v>
      </c>
      <c r="C89" s="604" t="s">
        <v>357</v>
      </c>
      <c r="D89" s="605">
        <v>1</v>
      </c>
      <c r="E89" s="605"/>
      <c r="F89" s="472"/>
      <c r="G89" s="605">
        <v>1</v>
      </c>
      <c r="H89" s="562"/>
      <c r="I89" s="492"/>
      <c r="J89" s="596">
        <f t="shared" si="0"/>
        <v>1</v>
      </c>
      <c r="K89" s="637">
        <v>0</v>
      </c>
    </row>
    <row r="90" spans="1:11">
      <c r="A90" s="602" t="s">
        <v>1814</v>
      </c>
      <c r="B90" s="603" t="s">
        <v>416</v>
      </c>
      <c r="C90" s="604" t="s">
        <v>357</v>
      </c>
      <c r="D90" s="605">
        <v>1</v>
      </c>
      <c r="E90" s="605"/>
      <c r="F90" s="472"/>
      <c r="G90" s="605">
        <v>1</v>
      </c>
      <c r="H90" s="562"/>
      <c r="I90" s="492"/>
      <c r="J90" s="596">
        <f t="shared" si="0"/>
        <v>1</v>
      </c>
      <c r="K90" s="637">
        <v>0</v>
      </c>
    </row>
    <row r="91" spans="1:11">
      <c r="A91" s="602" t="s">
        <v>1815</v>
      </c>
      <c r="B91" s="603" t="s">
        <v>417</v>
      </c>
      <c r="C91" s="604" t="s">
        <v>357</v>
      </c>
      <c r="D91" s="605">
        <v>1</v>
      </c>
      <c r="E91" s="605"/>
      <c r="F91" s="472"/>
      <c r="G91" s="605">
        <v>1</v>
      </c>
      <c r="H91" s="562"/>
      <c r="I91" s="492"/>
      <c r="J91" s="596">
        <f t="shared" si="0"/>
        <v>1</v>
      </c>
      <c r="K91" s="637">
        <v>0</v>
      </c>
    </row>
    <row r="92" spans="1:11" ht="28.5">
      <c r="A92" s="602" t="s">
        <v>1816</v>
      </c>
      <c r="B92" s="603" t="s">
        <v>418</v>
      </c>
      <c r="C92" s="604" t="s">
        <v>357</v>
      </c>
      <c r="D92" s="605">
        <v>1</v>
      </c>
      <c r="E92" s="605"/>
      <c r="F92" s="472"/>
      <c r="G92" s="605">
        <v>1</v>
      </c>
      <c r="H92" s="562"/>
      <c r="I92" s="492"/>
      <c r="J92" s="596">
        <f t="shared" si="0"/>
        <v>1</v>
      </c>
      <c r="K92" s="637">
        <v>0</v>
      </c>
    </row>
    <row r="93" spans="1:11">
      <c r="A93" s="602" t="s">
        <v>1817</v>
      </c>
      <c r="B93" s="603" t="s">
        <v>419</v>
      </c>
      <c r="C93" s="604" t="s">
        <v>357</v>
      </c>
      <c r="D93" s="605">
        <v>1</v>
      </c>
      <c r="E93" s="605"/>
      <c r="F93" s="472"/>
      <c r="G93" s="605">
        <v>1</v>
      </c>
      <c r="H93" s="562"/>
      <c r="I93" s="492"/>
      <c r="J93" s="596">
        <f t="shared" si="0"/>
        <v>1</v>
      </c>
      <c r="K93" s="637">
        <v>0</v>
      </c>
    </row>
    <row r="94" spans="1:11">
      <c r="A94" s="602" t="s">
        <v>1818</v>
      </c>
      <c r="B94" s="603" t="s">
        <v>420</v>
      </c>
      <c r="C94" s="604" t="s">
        <v>357</v>
      </c>
      <c r="D94" s="605">
        <v>1</v>
      </c>
      <c r="E94" s="605"/>
      <c r="F94" s="472"/>
      <c r="G94" s="605">
        <v>1</v>
      </c>
      <c r="H94" s="562"/>
      <c r="I94" s="492"/>
      <c r="J94" s="596">
        <f t="shared" si="0"/>
        <v>1</v>
      </c>
      <c r="K94" s="637">
        <v>0</v>
      </c>
    </row>
    <row r="95" spans="1:11">
      <c r="A95" s="602" t="s">
        <v>1819</v>
      </c>
      <c r="B95" s="603" t="s">
        <v>421</v>
      </c>
      <c r="C95" s="604" t="s">
        <v>357</v>
      </c>
      <c r="D95" s="605">
        <v>1</v>
      </c>
      <c r="E95" s="605"/>
      <c r="F95" s="472"/>
      <c r="G95" s="605">
        <v>1</v>
      </c>
      <c r="H95" s="562"/>
      <c r="I95" s="492"/>
      <c r="J95" s="596">
        <f t="shared" si="0"/>
        <v>1</v>
      </c>
      <c r="K95" s="637">
        <v>0</v>
      </c>
    </row>
    <row r="96" spans="1:11">
      <c r="A96" s="602" t="s">
        <v>1820</v>
      </c>
      <c r="B96" s="603" t="s">
        <v>422</v>
      </c>
      <c r="C96" s="604" t="s">
        <v>357</v>
      </c>
      <c r="D96" s="605">
        <v>1</v>
      </c>
      <c r="E96" s="605"/>
      <c r="F96" s="472"/>
      <c r="G96" s="605">
        <v>1</v>
      </c>
      <c r="H96" s="562"/>
      <c r="I96" s="492"/>
      <c r="J96" s="596">
        <f t="shared" si="0"/>
        <v>1</v>
      </c>
      <c r="K96" s="637">
        <v>0</v>
      </c>
    </row>
    <row r="97" spans="1:11">
      <c r="A97" s="602" t="s">
        <v>1821</v>
      </c>
      <c r="B97" s="603" t="s">
        <v>423</v>
      </c>
      <c r="C97" s="604" t="s">
        <v>357</v>
      </c>
      <c r="D97" s="605">
        <v>1</v>
      </c>
      <c r="E97" s="605"/>
      <c r="F97" s="472"/>
      <c r="G97" s="605">
        <v>1</v>
      </c>
      <c r="H97" s="562"/>
      <c r="I97" s="492"/>
      <c r="J97" s="596">
        <f t="shared" si="0"/>
        <v>1</v>
      </c>
      <c r="K97" s="637">
        <v>0</v>
      </c>
    </row>
    <row r="98" spans="1:11">
      <c r="A98" s="602" t="s">
        <v>1822</v>
      </c>
      <c r="B98" s="603" t="s">
        <v>424</v>
      </c>
      <c r="C98" s="604" t="s">
        <v>357</v>
      </c>
      <c r="D98" s="605">
        <v>1</v>
      </c>
      <c r="E98" s="605"/>
      <c r="F98" s="472"/>
      <c r="G98" s="605">
        <v>1</v>
      </c>
      <c r="H98" s="562"/>
      <c r="I98" s="492"/>
      <c r="J98" s="596">
        <f t="shared" si="0"/>
        <v>1</v>
      </c>
      <c r="K98" s="637">
        <v>0</v>
      </c>
    </row>
    <row r="99" spans="1:11">
      <c r="A99" s="602" t="s">
        <v>1823</v>
      </c>
      <c r="B99" s="603" t="s">
        <v>425</v>
      </c>
      <c r="C99" s="604" t="s">
        <v>357</v>
      </c>
      <c r="D99" s="605">
        <v>1</v>
      </c>
      <c r="E99" s="605"/>
      <c r="F99" s="472"/>
      <c r="G99" s="605">
        <v>1</v>
      </c>
      <c r="H99" s="562"/>
      <c r="I99" s="492"/>
      <c r="J99" s="596">
        <f t="shared" si="0"/>
        <v>1</v>
      </c>
      <c r="K99" s="637">
        <v>0</v>
      </c>
    </row>
    <row r="100" spans="1:11" ht="28.5">
      <c r="A100" s="602" t="s">
        <v>1824</v>
      </c>
      <c r="B100" s="603" t="s">
        <v>426</v>
      </c>
      <c r="C100" s="604" t="s">
        <v>357</v>
      </c>
      <c r="D100" s="605">
        <v>1</v>
      </c>
      <c r="E100" s="605"/>
      <c r="F100" s="472"/>
      <c r="G100" s="605">
        <v>1</v>
      </c>
      <c r="H100" s="562"/>
      <c r="I100" s="492"/>
      <c r="J100" s="596">
        <f t="shared" si="0"/>
        <v>1</v>
      </c>
      <c r="K100" s="637">
        <v>0</v>
      </c>
    </row>
    <row r="101" spans="1:11">
      <c r="A101" s="602" t="s">
        <v>1825</v>
      </c>
      <c r="B101" s="603" t="s">
        <v>427</v>
      </c>
      <c r="C101" s="604" t="s">
        <v>357</v>
      </c>
      <c r="D101" s="605">
        <v>1</v>
      </c>
      <c r="E101" s="605"/>
      <c r="F101" s="472"/>
      <c r="G101" s="605">
        <v>1</v>
      </c>
      <c r="H101" s="562"/>
      <c r="I101" s="492"/>
      <c r="J101" s="596">
        <f t="shared" si="0"/>
        <v>1</v>
      </c>
      <c r="K101" s="637">
        <v>0</v>
      </c>
    </row>
    <row r="102" spans="1:11" ht="28.5">
      <c r="A102" s="602" t="s">
        <v>1826</v>
      </c>
      <c r="B102" s="603" t="s">
        <v>428</v>
      </c>
      <c r="C102" s="604" t="s">
        <v>357</v>
      </c>
      <c r="D102" s="605">
        <v>1</v>
      </c>
      <c r="E102" s="605"/>
      <c r="F102" s="472"/>
      <c r="G102" s="605">
        <v>1</v>
      </c>
      <c r="H102" s="562"/>
      <c r="I102" s="492"/>
      <c r="J102" s="596">
        <f t="shared" si="0"/>
        <v>1</v>
      </c>
      <c r="K102" s="637">
        <v>0</v>
      </c>
    </row>
    <row r="103" spans="1:11">
      <c r="A103" s="602" t="s">
        <v>1827</v>
      </c>
      <c r="B103" s="603" t="s">
        <v>429</v>
      </c>
      <c r="C103" s="604" t="s">
        <v>357</v>
      </c>
      <c r="D103" s="605">
        <v>1</v>
      </c>
      <c r="E103" s="605"/>
      <c r="F103" s="472"/>
      <c r="G103" s="605">
        <v>1</v>
      </c>
      <c r="H103" s="562"/>
      <c r="I103" s="492"/>
      <c r="J103" s="596">
        <f t="shared" si="0"/>
        <v>1</v>
      </c>
      <c r="K103" s="637">
        <v>0</v>
      </c>
    </row>
    <row r="104" spans="1:11">
      <c r="A104" s="602" t="s">
        <v>1828</v>
      </c>
      <c r="B104" s="603" t="s">
        <v>430</v>
      </c>
      <c r="C104" s="604" t="s">
        <v>357</v>
      </c>
      <c r="D104" s="605">
        <v>1</v>
      </c>
      <c r="E104" s="605"/>
      <c r="F104" s="472"/>
      <c r="G104" s="605">
        <v>1</v>
      </c>
      <c r="H104" s="562"/>
      <c r="I104" s="492"/>
      <c r="J104" s="596">
        <f t="shared" si="0"/>
        <v>1</v>
      </c>
      <c r="K104" s="637">
        <v>0</v>
      </c>
    </row>
    <row r="105" spans="1:11" ht="28.5">
      <c r="A105" s="602" t="s">
        <v>1829</v>
      </c>
      <c r="B105" s="603" t="s">
        <v>431</v>
      </c>
      <c r="C105" s="604" t="s">
        <v>357</v>
      </c>
      <c r="D105" s="605">
        <v>1</v>
      </c>
      <c r="E105" s="605"/>
      <c r="F105" s="472"/>
      <c r="G105" s="605">
        <v>1</v>
      </c>
      <c r="H105" s="562"/>
      <c r="I105" s="492"/>
      <c r="J105" s="596">
        <f t="shared" si="0"/>
        <v>1</v>
      </c>
      <c r="K105" s="637">
        <v>0</v>
      </c>
    </row>
    <row r="106" spans="1:11">
      <c r="A106" s="602" t="s">
        <v>1830</v>
      </c>
      <c r="B106" s="603" t="s">
        <v>432</v>
      </c>
      <c r="C106" s="604" t="s">
        <v>357</v>
      </c>
      <c r="D106" s="605">
        <v>1</v>
      </c>
      <c r="E106" s="605"/>
      <c r="F106" s="472"/>
      <c r="G106" s="605">
        <v>1</v>
      </c>
      <c r="H106" s="562"/>
      <c r="I106" s="492"/>
      <c r="J106" s="596">
        <f t="shared" si="0"/>
        <v>1</v>
      </c>
      <c r="K106" s="637">
        <v>0</v>
      </c>
    </row>
    <row r="107" spans="1:11">
      <c r="A107" s="602" t="s">
        <v>1831</v>
      </c>
      <c r="B107" s="603" t="s">
        <v>433</v>
      </c>
      <c r="C107" s="604" t="s">
        <v>357</v>
      </c>
      <c r="D107" s="605">
        <v>1</v>
      </c>
      <c r="E107" s="605"/>
      <c r="F107" s="472"/>
      <c r="G107" s="605">
        <v>1</v>
      </c>
      <c r="H107" s="562"/>
      <c r="I107" s="492"/>
      <c r="J107" s="596">
        <f t="shared" si="0"/>
        <v>1</v>
      </c>
      <c r="K107" s="637">
        <v>0</v>
      </c>
    </row>
    <row r="108" spans="1:11">
      <c r="A108" s="602" t="s">
        <v>1832</v>
      </c>
      <c r="B108" s="603" t="s">
        <v>434</v>
      </c>
      <c r="C108" s="604" t="s">
        <v>357</v>
      </c>
      <c r="D108" s="605">
        <v>1</v>
      </c>
      <c r="E108" s="605"/>
      <c r="F108" s="472"/>
      <c r="G108" s="605">
        <v>1</v>
      </c>
      <c r="H108" s="562"/>
      <c r="I108" s="492"/>
      <c r="J108" s="596">
        <f t="shared" si="0"/>
        <v>1</v>
      </c>
      <c r="K108" s="637">
        <v>0</v>
      </c>
    </row>
    <row r="109" spans="1:11">
      <c r="A109" s="602" t="s">
        <v>1833</v>
      </c>
      <c r="B109" s="603" t="s">
        <v>435</v>
      </c>
      <c r="C109" s="604" t="s">
        <v>357</v>
      </c>
      <c r="D109" s="605">
        <v>1</v>
      </c>
      <c r="E109" s="605"/>
      <c r="F109" s="472"/>
      <c r="G109" s="605">
        <v>1</v>
      </c>
      <c r="H109" s="562"/>
      <c r="I109" s="492"/>
      <c r="J109" s="596">
        <f t="shared" si="0"/>
        <v>1</v>
      </c>
      <c r="K109" s="637">
        <v>0</v>
      </c>
    </row>
    <row r="110" spans="1:11">
      <c r="A110" s="602" t="s">
        <v>1834</v>
      </c>
      <c r="B110" s="603" t="s">
        <v>436</v>
      </c>
      <c r="C110" s="604" t="s">
        <v>357</v>
      </c>
      <c r="D110" s="605">
        <v>1</v>
      </c>
      <c r="E110" s="605"/>
      <c r="F110" s="472"/>
      <c r="G110" s="605">
        <v>1</v>
      </c>
      <c r="H110" s="562"/>
      <c r="I110" s="492"/>
      <c r="J110" s="596">
        <f t="shared" si="0"/>
        <v>1</v>
      </c>
      <c r="K110" s="637">
        <v>0</v>
      </c>
    </row>
    <row r="111" spans="1:11">
      <c r="A111" s="602" t="s">
        <v>1835</v>
      </c>
      <c r="B111" s="603" t="s">
        <v>437</v>
      </c>
      <c r="C111" s="604" t="s">
        <v>357</v>
      </c>
      <c r="D111" s="605">
        <v>1</v>
      </c>
      <c r="E111" s="605"/>
      <c r="F111" s="472"/>
      <c r="G111" s="605">
        <v>1</v>
      </c>
      <c r="H111" s="562"/>
      <c r="I111" s="492"/>
      <c r="J111" s="596">
        <f t="shared" si="0"/>
        <v>1</v>
      </c>
      <c r="K111" s="637">
        <v>0</v>
      </c>
    </row>
    <row r="112" spans="1:11">
      <c r="A112" s="602" t="s">
        <v>1836</v>
      </c>
      <c r="B112" s="603" t="s">
        <v>438</v>
      </c>
      <c r="C112" s="604" t="s">
        <v>357</v>
      </c>
      <c r="D112" s="605">
        <v>1</v>
      </c>
      <c r="E112" s="605"/>
      <c r="F112" s="472"/>
      <c r="G112" s="605">
        <v>1</v>
      </c>
      <c r="H112" s="562"/>
      <c r="I112" s="492"/>
      <c r="J112" s="596">
        <f t="shared" si="0"/>
        <v>1</v>
      </c>
      <c r="K112" s="637">
        <v>0</v>
      </c>
    </row>
    <row r="113" spans="1:11">
      <c r="A113" s="602" t="s">
        <v>1837</v>
      </c>
      <c r="B113" s="603" t="s">
        <v>439</v>
      </c>
      <c r="C113" s="604" t="s">
        <v>357</v>
      </c>
      <c r="D113" s="605">
        <v>1</v>
      </c>
      <c r="E113" s="605"/>
      <c r="F113" s="472"/>
      <c r="G113" s="605">
        <v>1</v>
      </c>
      <c r="H113" s="562"/>
      <c r="I113" s="492"/>
      <c r="J113" s="596">
        <f t="shared" si="0"/>
        <v>1</v>
      </c>
      <c r="K113" s="637">
        <v>0</v>
      </c>
    </row>
    <row r="114" spans="1:11">
      <c r="A114" s="602" t="s">
        <v>1838</v>
      </c>
      <c r="B114" s="603" t="s">
        <v>440</v>
      </c>
      <c r="C114" s="604" t="s">
        <v>357</v>
      </c>
      <c r="D114" s="605">
        <v>1</v>
      </c>
      <c r="E114" s="605"/>
      <c r="F114" s="472"/>
      <c r="G114" s="605">
        <v>1</v>
      </c>
      <c r="H114" s="562"/>
      <c r="I114" s="492"/>
      <c r="J114" s="596">
        <f t="shared" si="0"/>
        <v>1</v>
      </c>
      <c r="K114" s="637">
        <v>0</v>
      </c>
    </row>
    <row r="115" spans="1:11">
      <c r="A115" s="602" t="s">
        <v>1839</v>
      </c>
      <c r="B115" s="603" t="s">
        <v>441</v>
      </c>
      <c r="C115" s="604" t="s">
        <v>357</v>
      </c>
      <c r="D115" s="605">
        <v>1</v>
      </c>
      <c r="E115" s="605"/>
      <c r="F115" s="472"/>
      <c r="G115" s="605">
        <v>1</v>
      </c>
      <c r="H115" s="562"/>
      <c r="I115" s="492"/>
      <c r="J115" s="596">
        <f t="shared" si="0"/>
        <v>1</v>
      </c>
      <c r="K115" s="637">
        <v>0</v>
      </c>
    </row>
    <row r="116" spans="1:11">
      <c r="A116" s="602" t="s">
        <v>1840</v>
      </c>
      <c r="B116" s="603" t="s">
        <v>442</v>
      </c>
      <c r="C116" s="604" t="s">
        <v>357</v>
      </c>
      <c r="D116" s="605">
        <v>1</v>
      </c>
      <c r="E116" s="605"/>
      <c r="F116" s="472"/>
      <c r="G116" s="605">
        <v>1</v>
      </c>
      <c r="H116" s="562"/>
      <c r="I116" s="492"/>
      <c r="J116" s="596">
        <f t="shared" si="0"/>
        <v>1</v>
      </c>
      <c r="K116" s="637">
        <v>0</v>
      </c>
    </row>
    <row r="117" spans="1:11">
      <c r="A117" s="602" t="s">
        <v>1841</v>
      </c>
      <c r="B117" s="603" t="s">
        <v>443</v>
      </c>
      <c r="C117" s="604" t="s">
        <v>357</v>
      </c>
      <c r="D117" s="605">
        <v>1</v>
      </c>
      <c r="E117" s="605"/>
      <c r="F117" s="472"/>
      <c r="G117" s="605">
        <v>1</v>
      </c>
      <c r="H117" s="562"/>
      <c r="I117" s="492"/>
      <c r="J117" s="596">
        <f t="shared" si="0"/>
        <v>1</v>
      </c>
      <c r="K117" s="637">
        <v>0</v>
      </c>
    </row>
    <row r="118" spans="1:11">
      <c r="A118" s="602" t="s">
        <v>1842</v>
      </c>
      <c r="B118" s="603" t="s">
        <v>444</v>
      </c>
      <c r="C118" s="604" t="s">
        <v>357</v>
      </c>
      <c r="D118" s="605">
        <v>1</v>
      </c>
      <c r="E118" s="605"/>
      <c r="F118" s="472"/>
      <c r="G118" s="605">
        <v>1</v>
      </c>
      <c r="H118" s="562"/>
      <c r="I118" s="492"/>
      <c r="J118" s="596">
        <f t="shared" si="0"/>
        <v>1</v>
      </c>
      <c r="K118" s="637">
        <v>0</v>
      </c>
    </row>
    <row r="119" spans="1:11">
      <c r="A119" s="602" t="s">
        <v>1843</v>
      </c>
      <c r="B119" s="603" t="s">
        <v>445</v>
      </c>
      <c r="C119" s="604" t="s">
        <v>357</v>
      </c>
      <c r="D119" s="605">
        <v>1</v>
      </c>
      <c r="E119" s="605"/>
      <c r="F119" s="472"/>
      <c r="G119" s="605">
        <v>1</v>
      </c>
      <c r="H119" s="562"/>
      <c r="I119" s="492"/>
      <c r="J119" s="596">
        <f t="shared" si="0"/>
        <v>1</v>
      </c>
      <c r="K119" s="637">
        <v>0</v>
      </c>
    </row>
    <row r="120" spans="1:11">
      <c r="A120" s="602" t="s">
        <v>1844</v>
      </c>
      <c r="B120" s="603" t="s">
        <v>446</v>
      </c>
      <c r="C120" s="604" t="s">
        <v>357</v>
      </c>
      <c r="D120" s="605">
        <v>1</v>
      </c>
      <c r="E120" s="605"/>
      <c r="F120" s="472"/>
      <c r="G120" s="605">
        <v>1</v>
      </c>
      <c r="H120" s="562"/>
      <c r="I120" s="492"/>
      <c r="J120" s="596">
        <f t="shared" si="0"/>
        <v>1</v>
      </c>
      <c r="K120" s="637">
        <v>0</v>
      </c>
    </row>
    <row r="121" spans="1:11">
      <c r="A121" s="594" t="s">
        <v>1845</v>
      </c>
      <c r="B121" s="351" t="s">
        <v>447</v>
      </c>
      <c r="C121" s="455" t="s">
        <v>52</v>
      </c>
      <c r="D121" s="456">
        <v>1</v>
      </c>
      <c r="E121" s="456"/>
      <c r="F121" s="329"/>
      <c r="G121" s="456">
        <v>1</v>
      </c>
      <c r="H121" s="512"/>
      <c r="I121" s="379"/>
      <c r="J121" s="596">
        <f t="shared" si="0"/>
        <v>1</v>
      </c>
      <c r="K121" s="637">
        <v>0</v>
      </c>
    </row>
    <row r="122" spans="1:11">
      <c r="A122" s="602" t="s">
        <v>1846</v>
      </c>
      <c r="B122" s="603" t="s">
        <v>448</v>
      </c>
      <c r="C122" s="604" t="s">
        <v>449</v>
      </c>
      <c r="D122" s="605">
        <v>1</v>
      </c>
      <c r="E122" s="605"/>
      <c r="F122" s="472"/>
      <c r="G122" s="605">
        <v>1</v>
      </c>
      <c r="H122" s="562"/>
      <c r="I122" s="492"/>
      <c r="J122" s="596">
        <f t="shared" si="0"/>
        <v>1</v>
      </c>
      <c r="K122" s="637">
        <v>0</v>
      </c>
    </row>
    <row r="123" spans="1:11">
      <c r="A123" s="602" t="s">
        <v>1847</v>
      </c>
      <c r="B123" s="603" t="s">
        <v>450</v>
      </c>
      <c r="C123" s="604" t="s">
        <v>52</v>
      </c>
      <c r="D123" s="605">
        <v>1</v>
      </c>
      <c r="E123" s="605"/>
      <c r="F123" s="472"/>
      <c r="G123" s="605">
        <v>1</v>
      </c>
      <c r="H123" s="562"/>
      <c r="I123" s="492"/>
      <c r="J123" s="596">
        <f t="shared" si="0"/>
        <v>1</v>
      </c>
      <c r="K123" s="637">
        <v>0</v>
      </c>
    </row>
    <row r="124" spans="1:11">
      <c r="A124" s="594" t="s">
        <v>1848</v>
      </c>
      <c r="B124" s="351" t="s">
        <v>1849</v>
      </c>
      <c r="C124" s="455" t="s">
        <v>36</v>
      </c>
      <c r="D124" s="456">
        <v>0</v>
      </c>
      <c r="E124" s="456">
        <v>73.48</v>
      </c>
      <c r="F124" s="329"/>
      <c r="G124" s="329">
        <v>73.48</v>
      </c>
      <c r="H124" s="512">
        <f>G124</f>
        <v>73.48</v>
      </c>
      <c r="I124" s="379"/>
      <c r="J124" s="596"/>
      <c r="K124" s="637">
        <v>0</v>
      </c>
    </row>
    <row r="125" spans="1:11">
      <c r="A125" s="609" t="s">
        <v>1850</v>
      </c>
      <c r="B125" s="353" t="s">
        <v>1851</v>
      </c>
      <c r="C125" s="610" t="s">
        <v>1852</v>
      </c>
      <c r="D125" s="611">
        <v>0</v>
      </c>
      <c r="E125" s="611">
        <v>17856</v>
      </c>
      <c r="F125" s="413"/>
      <c r="G125" s="413" t="s">
        <v>1853</v>
      </c>
      <c r="H125" s="569">
        <f>7844+2156</f>
        <v>10000</v>
      </c>
      <c r="I125" s="415"/>
      <c r="J125" s="608"/>
      <c r="K125" s="637">
        <v>10000</v>
      </c>
    </row>
    <row r="148" spans="8:8">
      <c r="H148" s="528">
        <v>16</v>
      </c>
    </row>
    <row r="220" spans="6:6" ht="115.5">
      <c r="F220" s="438" t="s">
        <v>1047</v>
      </c>
    </row>
  </sheetData>
  <mergeCells count="5">
    <mergeCell ref="A1:H1"/>
    <mergeCell ref="A2:H2"/>
    <mergeCell ref="A3:H3"/>
    <mergeCell ref="A4:F4"/>
    <mergeCell ref="G4:H4"/>
  </mergeCells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4981-8877-4E7D-867D-610C473AB60A}">
  <sheetPr>
    <tabColor rgb="FFFF0000"/>
  </sheetPr>
  <dimension ref="A1:M236"/>
  <sheetViews>
    <sheetView zoomScale="110" zoomScaleNormal="110" workbookViewId="0">
      <pane ySplit="5" topLeftCell="A6" activePane="bottomLeft" state="frozen"/>
      <selection activeCell="K1" sqref="K1:L1048576"/>
      <selection pane="bottomLeft" activeCell="H42" sqref="H42"/>
    </sheetView>
  </sheetViews>
  <sheetFormatPr defaultRowHeight="16.5"/>
  <cols>
    <col min="1" max="1" width="5.125" style="317" customWidth="1"/>
    <col min="2" max="2" width="28" style="317" customWidth="1"/>
    <col min="3" max="3" width="5.875" style="317" customWidth="1"/>
    <col min="4" max="4" width="12.875" style="317" customWidth="1"/>
    <col min="5" max="5" width="12.5" style="317" customWidth="1"/>
    <col min="6" max="7" width="26.875" style="438" customWidth="1"/>
    <col min="8" max="8" width="11.5" style="528" customWidth="1"/>
    <col min="9" max="9" width="10.75" style="380" customWidth="1"/>
    <col min="10" max="10" width="13" style="380" customWidth="1"/>
    <col min="11" max="11" width="13.125" style="439" customWidth="1"/>
    <col min="12" max="12" width="12.75" style="292" customWidth="1"/>
    <col min="13" max="13" width="9" style="292"/>
    <col min="14" max="16384" width="9" style="293"/>
  </cols>
  <sheetData>
    <row r="1" spans="1:13" ht="21" customHeight="1">
      <c r="A1" s="820" t="s">
        <v>0</v>
      </c>
      <c r="B1" s="821"/>
      <c r="C1" s="821"/>
      <c r="D1" s="821"/>
      <c r="E1" s="821"/>
      <c r="F1" s="821"/>
      <c r="G1" s="821"/>
      <c r="H1" s="821"/>
      <c r="I1" s="440"/>
      <c r="J1" s="441"/>
      <c r="K1" s="499"/>
    </row>
    <row r="2" spans="1:13">
      <c r="A2" s="815" t="s">
        <v>907</v>
      </c>
      <c r="B2" s="816"/>
      <c r="C2" s="816"/>
      <c r="D2" s="816"/>
      <c r="E2" s="816"/>
      <c r="F2" s="816"/>
      <c r="G2" s="816"/>
      <c r="H2" s="816"/>
      <c r="I2" s="294"/>
      <c r="J2" s="295"/>
      <c r="K2" s="500"/>
    </row>
    <row r="3" spans="1:13">
      <c r="A3" s="817" t="s">
        <v>908</v>
      </c>
      <c r="B3" s="818"/>
      <c r="C3" s="818"/>
      <c r="D3" s="818"/>
      <c r="E3" s="818"/>
      <c r="F3" s="818"/>
      <c r="G3" s="818"/>
      <c r="H3" s="818"/>
      <c r="I3" s="294"/>
      <c r="J3" s="295"/>
    </row>
    <row r="4" spans="1:13">
      <c r="A4" s="817" t="s">
        <v>909</v>
      </c>
      <c r="B4" s="818"/>
      <c r="C4" s="818"/>
      <c r="D4" s="818"/>
      <c r="E4" s="818"/>
      <c r="F4" s="818"/>
      <c r="G4" s="819" t="s">
        <v>910</v>
      </c>
      <c r="H4" s="819"/>
      <c r="I4" s="296"/>
      <c r="J4" s="297"/>
    </row>
    <row r="5" spans="1:13" ht="33">
      <c r="A5" s="442" t="s">
        <v>9</v>
      </c>
      <c r="B5" s="443" t="s">
        <v>911</v>
      </c>
      <c r="C5" s="443" t="s">
        <v>11</v>
      </c>
      <c r="D5" s="443" t="s">
        <v>912</v>
      </c>
      <c r="E5" s="443" t="s">
        <v>913</v>
      </c>
      <c r="F5" s="300" t="s">
        <v>914</v>
      </c>
      <c r="G5" s="360" t="s">
        <v>915</v>
      </c>
      <c r="H5" s="591" t="s">
        <v>916</v>
      </c>
      <c r="I5" s="365" t="s">
        <v>1426</v>
      </c>
      <c r="J5" s="303" t="s">
        <v>917</v>
      </c>
      <c r="K5" s="506" t="s">
        <v>1686</v>
      </c>
      <c r="L5" s="507" t="s">
        <v>1687</v>
      </c>
      <c r="M5" s="304"/>
    </row>
    <row r="6" spans="1:13">
      <c r="A6" s="445" t="s">
        <v>1854</v>
      </c>
      <c r="B6" s="446" t="s">
        <v>1855</v>
      </c>
      <c r="C6" s="449"/>
      <c r="D6" s="449"/>
      <c r="E6" s="449"/>
      <c r="F6" s="451"/>
      <c r="G6" s="451"/>
      <c r="H6" s="592"/>
      <c r="I6" s="453"/>
      <c r="J6" s="593"/>
      <c r="K6" s="636"/>
    </row>
    <row r="7" spans="1:13">
      <c r="A7" s="454"/>
      <c r="B7" s="351"/>
      <c r="C7" s="319"/>
      <c r="D7" s="319"/>
      <c r="E7" s="319"/>
      <c r="F7" s="329"/>
      <c r="G7" s="329"/>
      <c r="H7" s="512"/>
      <c r="I7" s="379"/>
      <c r="J7" s="596"/>
      <c r="K7" s="636"/>
    </row>
    <row r="8" spans="1:13" ht="33">
      <c r="A8" s="454" t="s">
        <v>29</v>
      </c>
      <c r="B8" s="351" t="s">
        <v>503</v>
      </c>
      <c r="C8" s="455" t="s">
        <v>36</v>
      </c>
      <c r="D8" s="456">
        <v>1088</v>
      </c>
      <c r="E8" s="456">
        <v>975</v>
      </c>
      <c r="F8" s="396" t="s">
        <v>1856</v>
      </c>
      <c r="G8" s="396" t="s">
        <v>1857</v>
      </c>
      <c r="H8" s="516">
        <f>120</f>
        <v>120</v>
      </c>
      <c r="I8" s="383">
        <f>SUM(H8:H13)</f>
        <v>2893</v>
      </c>
      <c r="J8" s="595">
        <f>SUM(H8:H13)</f>
        <v>2893</v>
      </c>
      <c r="K8" s="637">
        <v>360</v>
      </c>
      <c r="L8" s="637">
        <f>I8-K8</f>
        <v>2533</v>
      </c>
    </row>
    <row r="9" spans="1:13">
      <c r="A9" s="454"/>
      <c r="B9" s="351"/>
      <c r="C9" s="455"/>
      <c r="D9" s="456"/>
      <c r="E9" s="456"/>
      <c r="F9" s="396" t="s">
        <v>1858</v>
      </c>
      <c r="G9" s="396" t="s">
        <v>1859</v>
      </c>
      <c r="H9" s="516">
        <f>1*6*42</f>
        <v>252</v>
      </c>
      <c r="I9" s="379"/>
      <c r="J9" s="596"/>
      <c r="K9" s="637"/>
    </row>
    <row r="10" spans="1:13">
      <c r="A10" s="454"/>
      <c r="B10" s="351"/>
      <c r="C10" s="455"/>
      <c r="D10" s="456"/>
      <c r="E10" s="456"/>
      <c r="F10" s="537" t="s">
        <v>1860</v>
      </c>
      <c r="G10" s="329" t="s">
        <v>1861</v>
      </c>
      <c r="H10" s="512">
        <f>1*6*276</f>
        <v>1656</v>
      </c>
      <c r="I10" s="379"/>
      <c r="J10" s="596"/>
      <c r="K10" s="637"/>
    </row>
    <row r="11" spans="1:13">
      <c r="A11" s="454"/>
      <c r="B11" s="351"/>
      <c r="C11" s="455"/>
      <c r="D11" s="456"/>
      <c r="E11" s="456"/>
      <c r="F11" s="350" t="s">
        <v>1862</v>
      </c>
      <c r="G11" s="329" t="s">
        <v>1863</v>
      </c>
      <c r="H11" s="512">
        <f>1*9*13</f>
        <v>117</v>
      </c>
      <c r="I11" s="379"/>
      <c r="J11" s="596"/>
      <c r="K11" s="637"/>
    </row>
    <row r="12" spans="1:13">
      <c r="A12" s="454"/>
      <c r="B12" s="351"/>
      <c r="C12" s="455"/>
      <c r="D12" s="456"/>
      <c r="E12" s="456"/>
      <c r="F12" s="371" t="s">
        <v>1864</v>
      </c>
      <c r="G12" s="371" t="s">
        <v>1865</v>
      </c>
      <c r="H12" s="372">
        <f>(49.1+25.7)*2*5</f>
        <v>748</v>
      </c>
      <c r="I12" s="379"/>
      <c r="J12" s="596"/>
      <c r="K12" s="637"/>
    </row>
    <row r="13" spans="1:13">
      <c r="A13" s="454"/>
      <c r="B13" s="351"/>
      <c r="C13" s="455"/>
      <c r="D13" s="456"/>
      <c r="E13" s="456"/>
      <c r="F13" s="371"/>
      <c r="G13" s="371"/>
      <c r="H13" s="372"/>
      <c r="I13" s="379"/>
      <c r="J13" s="596"/>
      <c r="K13" s="637"/>
    </row>
    <row r="14" spans="1:13">
      <c r="A14" s="454"/>
      <c r="B14" s="351"/>
      <c r="C14" s="455"/>
      <c r="D14" s="456"/>
      <c r="E14" s="456"/>
      <c r="F14" s="329"/>
      <c r="G14" s="329"/>
      <c r="H14" s="512"/>
      <c r="I14" s="379"/>
      <c r="J14" s="596"/>
      <c r="K14" s="637"/>
    </row>
    <row r="15" spans="1:13" ht="33">
      <c r="A15" s="454" t="s">
        <v>32</v>
      </c>
      <c r="B15" s="351" t="s">
        <v>505</v>
      </c>
      <c r="C15" s="455" t="s">
        <v>36</v>
      </c>
      <c r="D15" s="456">
        <v>1088</v>
      </c>
      <c r="E15" s="456">
        <v>975</v>
      </c>
      <c r="F15" s="396" t="s">
        <v>1856</v>
      </c>
      <c r="G15" s="396" t="s">
        <v>1857</v>
      </c>
      <c r="H15" s="516">
        <f>120</f>
        <v>120</v>
      </c>
      <c r="I15" s="383">
        <f>SUM(H15:H19)</f>
        <v>2893</v>
      </c>
      <c r="J15" s="595">
        <f>SUM(H15:H20)</f>
        <v>2893</v>
      </c>
      <c r="K15" s="637">
        <v>360</v>
      </c>
      <c r="L15" s="637">
        <f>I15-K15</f>
        <v>2533</v>
      </c>
    </row>
    <row r="16" spans="1:13">
      <c r="A16" s="454"/>
      <c r="B16" s="351"/>
      <c r="C16" s="455"/>
      <c r="D16" s="456"/>
      <c r="E16" s="456"/>
      <c r="F16" s="396" t="s">
        <v>1858</v>
      </c>
      <c r="G16" s="396" t="s">
        <v>1859</v>
      </c>
      <c r="H16" s="516">
        <f>1*6*42</f>
        <v>252</v>
      </c>
      <c r="I16" s="379"/>
      <c r="J16" s="596"/>
      <c r="K16" s="637"/>
    </row>
    <row r="17" spans="1:12">
      <c r="A17" s="454"/>
      <c r="B17" s="351"/>
      <c r="C17" s="455"/>
      <c r="D17" s="456"/>
      <c r="E17" s="456"/>
      <c r="F17" s="537" t="s">
        <v>1860</v>
      </c>
      <c r="G17" s="329" t="s">
        <v>1861</v>
      </c>
      <c r="H17" s="512">
        <f>1*6*276</f>
        <v>1656</v>
      </c>
      <c r="I17" s="379"/>
      <c r="J17" s="596"/>
      <c r="K17" s="637"/>
    </row>
    <row r="18" spans="1:12">
      <c r="A18" s="454"/>
      <c r="B18" s="351"/>
      <c r="C18" s="455"/>
      <c r="D18" s="456"/>
      <c r="E18" s="456"/>
      <c r="F18" s="350" t="s">
        <v>1862</v>
      </c>
      <c r="G18" s="329" t="s">
        <v>1863</v>
      </c>
      <c r="H18" s="512">
        <f>1*9*13</f>
        <v>117</v>
      </c>
      <c r="I18" s="379"/>
      <c r="J18" s="596"/>
      <c r="K18" s="637"/>
    </row>
    <row r="19" spans="1:12">
      <c r="A19" s="454"/>
      <c r="B19" s="351"/>
      <c r="C19" s="455"/>
      <c r="D19" s="456"/>
      <c r="E19" s="456"/>
      <c r="F19" s="371" t="s">
        <v>1864</v>
      </c>
      <c r="G19" s="371" t="s">
        <v>1865</v>
      </c>
      <c r="H19" s="372">
        <f>(49.1+25.7)*2*5</f>
        <v>748</v>
      </c>
      <c r="I19" s="379"/>
      <c r="J19" s="596"/>
      <c r="K19" s="637"/>
    </row>
    <row r="20" spans="1:12">
      <c r="A20" s="454"/>
      <c r="B20" s="351"/>
      <c r="C20" s="455"/>
      <c r="D20" s="456"/>
      <c r="E20" s="456"/>
      <c r="F20" s="371"/>
      <c r="G20" s="371"/>
      <c r="H20" s="372"/>
      <c r="I20" s="379"/>
      <c r="J20" s="596"/>
      <c r="K20" s="637"/>
    </row>
    <row r="21" spans="1:12">
      <c r="A21" s="454"/>
      <c r="B21" s="351"/>
      <c r="C21" s="455"/>
      <c r="D21" s="456"/>
      <c r="E21" s="456"/>
      <c r="F21" s="371"/>
      <c r="G21" s="371"/>
      <c r="H21" s="372"/>
      <c r="I21" s="379"/>
      <c r="J21" s="596"/>
      <c r="K21" s="637"/>
    </row>
    <row r="22" spans="1:12" ht="33">
      <c r="A22" s="454" t="s">
        <v>34</v>
      </c>
      <c r="B22" s="351" t="s">
        <v>1866</v>
      </c>
      <c r="C22" s="455" t="s">
        <v>507</v>
      </c>
      <c r="D22" s="456">
        <v>6984</v>
      </c>
      <c r="E22" s="456">
        <v>8744</v>
      </c>
      <c r="F22" s="396" t="s">
        <v>1867</v>
      </c>
      <c r="G22" s="396" t="s">
        <v>1868</v>
      </c>
      <c r="H22" s="516">
        <f>(649.2-300)*2.5*3*3</f>
        <v>7857.0000000000018</v>
      </c>
      <c r="I22" s="383">
        <f>SUM(H22:H26)</f>
        <v>9795.5000000000018</v>
      </c>
      <c r="J22" s="595">
        <f>SUM(H22:H26)</f>
        <v>9795.5000000000018</v>
      </c>
      <c r="K22" s="637">
        <v>7744</v>
      </c>
      <c r="L22" s="637">
        <f>I22-K22</f>
        <v>2051.5000000000018</v>
      </c>
    </row>
    <row r="23" spans="1:12">
      <c r="A23" s="454"/>
      <c r="B23" s="351"/>
      <c r="C23" s="455"/>
      <c r="D23" s="456"/>
      <c r="E23" s="456"/>
      <c r="F23" s="371" t="s">
        <v>1864</v>
      </c>
      <c r="G23" s="371" t="s">
        <v>1869</v>
      </c>
      <c r="H23" s="372">
        <f>(49.1+25.7)*2.5*2</f>
        <v>374</v>
      </c>
      <c r="I23" s="379"/>
      <c r="J23" s="596"/>
      <c r="K23" s="637"/>
    </row>
    <row r="24" spans="1:12">
      <c r="A24" s="454"/>
      <c r="B24" s="351"/>
      <c r="C24" s="455"/>
      <c r="D24" s="456"/>
      <c r="E24" s="456"/>
      <c r="F24" s="329" t="s">
        <v>1870</v>
      </c>
      <c r="G24" s="329">
        <v>852</v>
      </c>
      <c r="H24" s="512">
        <v>852</v>
      </c>
      <c r="I24" s="379"/>
      <c r="J24" s="596"/>
      <c r="K24" s="637"/>
    </row>
    <row r="25" spans="1:12">
      <c r="A25" s="454"/>
      <c r="B25" s="351"/>
      <c r="C25" s="455"/>
      <c r="D25" s="456"/>
      <c r="E25" s="456"/>
      <c r="F25" s="537" t="s">
        <v>1860</v>
      </c>
      <c r="G25" s="350" t="s">
        <v>1871</v>
      </c>
      <c r="H25" s="372">
        <f>285*2.5</f>
        <v>712.5</v>
      </c>
      <c r="I25" s="379"/>
      <c r="J25" s="596"/>
      <c r="K25" s="637"/>
    </row>
    <row r="26" spans="1:12">
      <c r="A26" s="454"/>
      <c r="B26" s="351"/>
      <c r="C26" s="455"/>
      <c r="D26" s="456"/>
      <c r="E26" s="456"/>
      <c r="F26" s="329"/>
      <c r="G26" s="329"/>
      <c r="H26" s="512"/>
      <c r="I26" s="379"/>
      <c r="J26" s="596"/>
      <c r="K26" s="637"/>
    </row>
    <row r="27" spans="1:12" ht="28.5">
      <c r="A27" s="454" t="s">
        <v>38</v>
      </c>
      <c r="B27" s="351" t="s">
        <v>508</v>
      </c>
      <c r="C27" s="455" t="s">
        <v>23</v>
      </c>
      <c r="D27" s="456">
        <v>1</v>
      </c>
      <c r="E27" s="456"/>
      <c r="F27" s="329"/>
      <c r="G27" s="329"/>
      <c r="H27" s="512">
        <v>1</v>
      </c>
      <c r="I27" s="379">
        <v>1</v>
      </c>
      <c r="J27" s="596"/>
      <c r="K27" s="637">
        <v>1</v>
      </c>
      <c r="L27" s="637">
        <f>I27-K27</f>
        <v>0</v>
      </c>
    </row>
    <row r="28" spans="1:12">
      <c r="A28" s="454"/>
      <c r="B28" s="351"/>
      <c r="C28" s="455"/>
      <c r="D28" s="456"/>
      <c r="E28" s="456"/>
      <c r="F28" s="329"/>
      <c r="G28" s="329"/>
      <c r="H28" s="512"/>
      <c r="I28" s="379"/>
      <c r="J28" s="596"/>
      <c r="K28" s="637"/>
    </row>
    <row r="29" spans="1:12" ht="28.5">
      <c r="A29" s="454" t="s">
        <v>41</v>
      </c>
      <c r="B29" s="351" t="s">
        <v>510</v>
      </c>
      <c r="C29" s="455" t="s">
        <v>90</v>
      </c>
      <c r="D29" s="456">
        <v>1</v>
      </c>
      <c r="E29" s="456">
        <v>2480</v>
      </c>
      <c r="F29" s="396" t="s">
        <v>1027</v>
      </c>
      <c r="G29" s="396">
        <v>1164</v>
      </c>
      <c r="H29" s="516">
        <f>G29</f>
        <v>1164</v>
      </c>
      <c r="I29" s="383">
        <f>H29</f>
        <v>1164</v>
      </c>
      <c r="J29" s="595">
        <f>SUM(H29:H33)</f>
        <v>3149</v>
      </c>
      <c r="K29" s="637">
        <v>1164</v>
      </c>
      <c r="L29" s="637">
        <f>I29-K29</f>
        <v>0</v>
      </c>
    </row>
    <row r="30" spans="1:12">
      <c r="A30" s="454"/>
      <c r="B30" s="351"/>
      <c r="C30" s="455"/>
      <c r="D30" s="456"/>
      <c r="E30" s="456"/>
      <c r="F30" s="329" t="s">
        <v>1872</v>
      </c>
      <c r="G30" s="329" t="s">
        <v>1873</v>
      </c>
      <c r="H30" s="512">
        <f>40*8</f>
        <v>320</v>
      </c>
      <c r="I30" s="379">
        <f>SUM(H29:H32)</f>
        <v>1996</v>
      </c>
      <c r="J30" s="596"/>
      <c r="K30" s="637"/>
    </row>
    <row r="31" spans="1:12">
      <c r="A31" s="454"/>
      <c r="B31" s="351"/>
      <c r="C31" s="455"/>
      <c r="D31" s="456"/>
      <c r="E31" s="456"/>
      <c r="F31" s="329" t="s">
        <v>1874</v>
      </c>
      <c r="G31" s="329" t="s">
        <v>1875</v>
      </c>
      <c r="H31" s="512">
        <f>4*8*8</f>
        <v>256</v>
      </c>
      <c r="I31" s="379"/>
      <c r="J31" s="596"/>
      <c r="K31" s="637"/>
    </row>
    <row r="32" spans="1:12">
      <c r="A32" s="454"/>
      <c r="B32" s="351"/>
      <c r="C32" s="455"/>
      <c r="D32" s="456"/>
      <c r="E32" s="456"/>
      <c r="F32" s="329" t="s">
        <v>1876</v>
      </c>
      <c r="G32" s="329" t="s">
        <v>1875</v>
      </c>
      <c r="H32" s="512">
        <f>4*8*8</f>
        <v>256</v>
      </c>
      <c r="I32" s="379"/>
      <c r="J32" s="596"/>
      <c r="K32" s="637"/>
    </row>
    <row r="33" spans="1:12">
      <c r="A33" s="454"/>
      <c r="B33" s="351"/>
      <c r="C33" s="455"/>
      <c r="D33" s="456"/>
      <c r="E33" s="456"/>
      <c r="F33" s="329" t="s">
        <v>1877</v>
      </c>
      <c r="G33" s="329">
        <v>1153</v>
      </c>
      <c r="H33" s="512">
        <v>1153</v>
      </c>
      <c r="I33" s="379"/>
      <c r="J33" s="596"/>
      <c r="K33" s="637"/>
    </row>
    <row r="34" spans="1:12">
      <c r="A34" s="454"/>
      <c r="B34" s="351"/>
      <c r="C34" s="455"/>
      <c r="D34" s="456"/>
      <c r="E34" s="456"/>
      <c r="F34" s="329"/>
      <c r="G34" s="329"/>
      <c r="H34" s="512"/>
      <c r="I34" s="379"/>
      <c r="J34" s="596"/>
      <c r="K34" s="637"/>
    </row>
    <row r="35" spans="1:12">
      <c r="A35" s="454" t="s">
        <v>43</v>
      </c>
      <c r="B35" s="351" t="s">
        <v>388</v>
      </c>
      <c r="C35" s="455" t="s">
        <v>31</v>
      </c>
      <c r="D35" s="456">
        <v>1</v>
      </c>
      <c r="E35" s="456">
        <v>291</v>
      </c>
      <c r="F35" s="396" t="s">
        <v>2296</v>
      </c>
      <c r="G35" s="396" t="s">
        <v>2302</v>
      </c>
      <c r="H35" s="516">
        <f>70*3</f>
        <v>210</v>
      </c>
      <c r="I35" s="383">
        <f>H35</f>
        <v>210</v>
      </c>
      <c r="J35" s="595">
        <f>SUM(H35:H42)</f>
        <v>554</v>
      </c>
      <c r="K35" s="637">
        <v>251</v>
      </c>
      <c r="L35" s="637">
        <f>I35-K35</f>
        <v>-41</v>
      </c>
    </row>
    <row r="36" spans="1:12" ht="33">
      <c r="A36" s="454"/>
      <c r="B36" s="351"/>
      <c r="C36" s="455"/>
      <c r="D36" s="456"/>
      <c r="E36" s="456"/>
      <c r="F36" s="396" t="s">
        <v>2294</v>
      </c>
      <c r="G36" s="396" t="s">
        <v>2299</v>
      </c>
      <c r="H36" s="516">
        <f>30*2+20*2</f>
        <v>100</v>
      </c>
      <c r="I36" s="383"/>
      <c r="J36" s="596"/>
      <c r="K36" s="637"/>
      <c r="L36" s="631"/>
    </row>
    <row r="37" spans="1:12">
      <c r="A37" s="454"/>
      <c r="B37" s="351"/>
      <c r="C37" s="455"/>
      <c r="D37" s="456"/>
      <c r="E37" s="456"/>
      <c r="F37" s="396" t="s">
        <v>2301</v>
      </c>
      <c r="G37" s="396" t="s">
        <v>2295</v>
      </c>
      <c r="H37" s="516">
        <f>30*2</f>
        <v>60</v>
      </c>
      <c r="I37" s="383"/>
      <c r="J37" s="596"/>
      <c r="K37" s="637"/>
      <c r="L37" s="631"/>
    </row>
    <row r="38" spans="1:12">
      <c r="A38" s="454"/>
      <c r="B38" s="351"/>
      <c r="C38" s="455"/>
      <c r="D38" s="456"/>
      <c r="E38" s="456"/>
      <c r="F38" s="396" t="s">
        <v>2300</v>
      </c>
      <c r="G38" s="396" t="s">
        <v>2305</v>
      </c>
      <c r="H38" s="516">
        <f>28*2</f>
        <v>56</v>
      </c>
      <c r="I38" s="383"/>
      <c r="J38" s="596"/>
      <c r="K38" s="637"/>
      <c r="L38" s="631"/>
    </row>
    <row r="39" spans="1:12">
      <c r="A39" s="454"/>
      <c r="B39" s="351"/>
      <c r="C39" s="455"/>
      <c r="D39" s="456"/>
      <c r="E39" s="456"/>
      <c r="F39" s="396" t="s">
        <v>2303</v>
      </c>
      <c r="G39" s="396" t="s">
        <v>2304</v>
      </c>
      <c r="H39" s="516">
        <f>23*2</f>
        <v>46</v>
      </c>
      <c r="I39" s="383"/>
      <c r="J39" s="596"/>
      <c r="K39" s="637"/>
      <c r="L39" s="631"/>
    </row>
    <row r="40" spans="1:12">
      <c r="A40" s="454"/>
      <c r="B40" s="351"/>
      <c r="C40" s="455"/>
      <c r="D40" s="456"/>
      <c r="E40" s="456"/>
      <c r="F40" s="396" t="s">
        <v>2297</v>
      </c>
      <c r="G40" s="396" t="s">
        <v>2298</v>
      </c>
      <c r="H40" s="516">
        <f>10*2</f>
        <v>20</v>
      </c>
      <c r="I40" s="383"/>
      <c r="J40" s="596"/>
      <c r="K40" s="637"/>
      <c r="L40" s="631"/>
    </row>
    <row r="41" spans="1:12">
      <c r="A41" s="454"/>
      <c r="B41" s="351"/>
      <c r="C41" s="455"/>
      <c r="D41" s="456"/>
      <c r="E41" s="456"/>
      <c r="F41" s="396" t="s">
        <v>2306</v>
      </c>
      <c r="G41" s="396" t="s">
        <v>2307</v>
      </c>
      <c r="H41" s="516">
        <f>31*2</f>
        <v>62</v>
      </c>
      <c r="I41" s="383"/>
      <c r="J41" s="596"/>
      <c r="K41" s="637"/>
      <c r="L41" s="631"/>
    </row>
    <row r="42" spans="1:12">
      <c r="A42" s="454"/>
      <c r="B42" s="351"/>
      <c r="C42" s="455"/>
      <c r="D42" s="456"/>
      <c r="E42" s="456"/>
      <c r="F42" s="396"/>
      <c r="G42" s="396"/>
      <c r="H42" s="516"/>
      <c r="I42" s="383"/>
      <c r="J42" s="596"/>
      <c r="K42" s="637"/>
      <c r="L42" s="631"/>
    </row>
    <row r="43" spans="1:12">
      <c r="A43" s="454"/>
      <c r="B43" s="351"/>
      <c r="C43" s="455"/>
      <c r="D43" s="456"/>
      <c r="E43" s="456"/>
      <c r="F43" s="329"/>
      <c r="G43" s="329"/>
      <c r="H43" s="512"/>
      <c r="I43" s="379"/>
      <c r="J43" s="596"/>
      <c r="K43" s="637"/>
    </row>
    <row r="44" spans="1:12" ht="49.5">
      <c r="A44" s="454" t="s">
        <v>45</v>
      </c>
      <c r="B44" s="351" t="s">
        <v>512</v>
      </c>
      <c r="C44" s="455" t="s">
        <v>36</v>
      </c>
      <c r="D44" s="456">
        <v>0</v>
      </c>
      <c r="E44" s="456">
        <v>130</v>
      </c>
      <c r="F44" s="396" t="s">
        <v>1878</v>
      </c>
      <c r="G44" s="396" t="s">
        <v>1879</v>
      </c>
      <c r="H44" s="516">
        <f>(12+25+25)*2</f>
        <v>124</v>
      </c>
      <c r="I44" s="383">
        <f>H44+H45</f>
        <v>138</v>
      </c>
      <c r="J44" s="595">
        <f>H44+H45</f>
        <v>138</v>
      </c>
      <c r="K44" s="637">
        <v>74</v>
      </c>
      <c r="L44" s="637">
        <f>I44-K44</f>
        <v>64</v>
      </c>
    </row>
    <row r="45" spans="1:12">
      <c r="A45" s="567"/>
      <c r="B45" s="568"/>
      <c r="C45" s="568"/>
      <c r="D45" s="568"/>
      <c r="E45" s="568"/>
      <c r="F45" s="413" t="s">
        <v>1880</v>
      </c>
      <c r="G45" s="413">
        <v>14</v>
      </c>
      <c r="H45" s="569">
        <v>14</v>
      </c>
      <c r="I45" s="415">
        <f>H44+H45</f>
        <v>138</v>
      </c>
    </row>
    <row r="84" spans="6:9">
      <c r="F84" s="438" t="s">
        <v>980</v>
      </c>
    </row>
    <row r="86" spans="6:9">
      <c r="H86" s="528">
        <v>152.4</v>
      </c>
      <c r="I86" s="380">
        <f>SUM(H86:H95)-H87-H90</f>
        <v>179.06600000000026</v>
      </c>
    </row>
    <row r="87" spans="6:9">
      <c r="H87" s="528">
        <f>172.33*20</f>
        <v>3446.6000000000004</v>
      </c>
    </row>
    <row r="89" spans="6:9">
      <c r="I89" s="380">
        <f>SUM(H89:H91)</f>
        <v>0</v>
      </c>
    </row>
    <row r="92" spans="6:9" ht="33">
      <c r="F92" s="438" t="s">
        <v>1299</v>
      </c>
      <c r="G92" s="438" t="s">
        <v>1881</v>
      </c>
      <c r="H92" s="635">
        <f>(3.5+1.92)*2*1.15+3.5*1.7*2+1*0.5*4+0.5*0.3*2</f>
        <v>26.666</v>
      </c>
    </row>
    <row r="96" spans="6:9">
      <c r="G96" s="634"/>
      <c r="H96" s="635"/>
    </row>
    <row r="164" spans="8:8">
      <c r="H164" s="528">
        <v>16</v>
      </c>
    </row>
    <row r="236" spans="6:6" ht="115.5">
      <c r="F236" s="438" t="s">
        <v>1047</v>
      </c>
    </row>
  </sheetData>
  <mergeCells count="5">
    <mergeCell ref="A1:H1"/>
    <mergeCell ref="A2:H2"/>
    <mergeCell ref="A3:H3"/>
    <mergeCell ref="A4:F4"/>
    <mergeCell ref="G4:H4"/>
  </mergeCells>
  <phoneticPr fontId="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1972-477B-4249-B2BF-2EF1B01AA2A1}">
  <sheetPr>
    <pageSetUpPr fitToPage="1"/>
  </sheetPr>
  <dimension ref="A1:G30"/>
  <sheetViews>
    <sheetView zoomScale="85" zoomScaleNormal="85" workbookViewId="0">
      <selection activeCell="K1" sqref="K1:L1048576"/>
    </sheetView>
  </sheetViews>
  <sheetFormatPr defaultRowHeight="16.5"/>
  <cols>
    <col min="1" max="1" width="18.5" style="646" customWidth="1"/>
    <col min="2" max="2" width="20.625" style="667" customWidth="1"/>
    <col min="3" max="6" width="22.625" style="646" customWidth="1"/>
    <col min="7" max="7" width="25.125" style="646" customWidth="1"/>
    <col min="8" max="16384" width="9" style="646"/>
  </cols>
  <sheetData>
    <row r="1" spans="1:7" ht="43.5" customHeight="1">
      <c r="A1" s="825" t="s">
        <v>1882</v>
      </c>
      <c r="B1" s="825"/>
      <c r="C1" s="825"/>
      <c r="D1" s="644"/>
      <c r="E1" s="644"/>
      <c r="F1" s="644"/>
      <c r="G1" s="645"/>
    </row>
    <row r="2" spans="1:7" ht="41.25" customHeight="1">
      <c r="A2" s="647" t="s">
        <v>1883</v>
      </c>
      <c r="B2" s="648" t="s">
        <v>1884</v>
      </c>
      <c r="C2" s="648" t="s">
        <v>1885</v>
      </c>
      <c r="D2" s="649" t="s">
        <v>1886</v>
      </c>
      <c r="E2" s="650" t="s">
        <v>1887</v>
      </c>
      <c r="F2" s="650" t="s">
        <v>1888</v>
      </c>
      <c r="G2" s="651" t="s">
        <v>1889</v>
      </c>
    </row>
    <row r="3" spans="1:7" ht="24.95" customHeight="1">
      <c r="A3" s="652">
        <v>280</v>
      </c>
      <c r="B3" s="653">
        <v>0</v>
      </c>
      <c r="C3" s="653"/>
      <c r="D3" s="654"/>
      <c r="E3" s="654"/>
      <c r="F3" s="654"/>
      <c r="G3" s="655"/>
    </row>
    <row r="4" spans="1:7" ht="24.95" customHeight="1">
      <c r="A4" s="652">
        <v>300</v>
      </c>
      <c r="B4" s="653">
        <v>5.41</v>
      </c>
      <c r="C4" s="653">
        <f>B4*10</f>
        <v>54.1</v>
      </c>
      <c r="D4" s="654">
        <f>(A4-A3)*10</f>
        <v>200</v>
      </c>
      <c r="E4" s="654">
        <f>ROUND((A4-A3)/0.3*2,0)</f>
        <v>133</v>
      </c>
      <c r="F4" s="654">
        <f>ROUND((A4-A3)*2/0.3,0)</f>
        <v>133</v>
      </c>
      <c r="G4" s="655" t="s">
        <v>1890</v>
      </c>
    </row>
    <row r="5" spans="1:7" ht="24.95" customHeight="1">
      <c r="A5" s="652">
        <v>320</v>
      </c>
      <c r="B5" s="653">
        <v>0</v>
      </c>
      <c r="C5" s="653"/>
      <c r="D5" s="654"/>
      <c r="E5" s="654"/>
      <c r="F5" s="654"/>
      <c r="G5" s="655" t="s">
        <v>1890</v>
      </c>
    </row>
    <row r="6" spans="1:7" ht="24.95" customHeight="1">
      <c r="A6" s="652">
        <v>340</v>
      </c>
      <c r="B6" s="656">
        <v>9.2200000000000006</v>
      </c>
      <c r="C6" s="653">
        <f>B6*20</f>
        <v>184.4</v>
      </c>
      <c r="D6" s="654">
        <f>(A6-A5)*10</f>
        <v>200</v>
      </c>
      <c r="E6" s="654">
        <f>ROUND((A6-A5)/0.3*2,0)</f>
        <v>133</v>
      </c>
      <c r="F6" s="654">
        <f t="shared" ref="F6:F22" si="0">ROUND((A6-A5)*2/0.3,0)</f>
        <v>133</v>
      </c>
      <c r="G6" s="655"/>
    </row>
    <row r="7" spans="1:7" ht="24.95" customHeight="1">
      <c r="A7" s="652">
        <v>360</v>
      </c>
      <c r="B7" s="656">
        <v>6.5</v>
      </c>
      <c r="C7" s="653">
        <f t="shared" ref="C7:C20" si="1">B7*20</f>
        <v>130</v>
      </c>
      <c r="D7" s="654">
        <f t="shared" ref="D7:D20" si="2">(A7-A6)*10</f>
        <v>200</v>
      </c>
      <c r="E7" s="654">
        <f t="shared" ref="E7:E22" si="3">ROUND((A7-A6)/0.3*2,0)</f>
        <v>133</v>
      </c>
      <c r="F7" s="654">
        <f t="shared" si="0"/>
        <v>133</v>
      </c>
      <c r="G7" s="655"/>
    </row>
    <row r="8" spans="1:7" ht="24.95" customHeight="1">
      <c r="A8" s="652">
        <v>380</v>
      </c>
      <c r="B8" s="656">
        <v>5.5</v>
      </c>
      <c r="C8" s="653">
        <f t="shared" si="1"/>
        <v>110</v>
      </c>
      <c r="D8" s="654">
        <f t="shared" si="2"/>
        <v>200</v>
      </c>
      <c r="E8" s="654">
        <f t="shared" si="3"/>
        <v>133</v>
      </c>
      <c r="F8" s="654">
        <f t="shared" si="0"/>
        <v>133</v>
      </c>
      <c r="G8" s="655"/>
    </row>
    <row r="9" spans="1:7" ht="24.95" customHeight="1">
      <c r="A9" s="652">
        <v>400</v>
      </c>
      <c r="B9" s="656">
        <v>5.28</v>
      </c>
      <c r="C9" s="653">
        <f t="shared" si="1"/>
        <v>105.60000000000001</v>
      </c>
      <c r="D9" s="654">
        <f t="shared" si="2"/>
        <v>200</v>
      </c>
      <c r="E9" s="654">
        <f t="shared" si="3"/>
        <v>133</v>
      </c>
      <c r="F9" s="654">
        <f t="shared" si="0"/>
        <v>133</v>
      </c>
      <c r="G9" s="655"/>
    </row>
    <row r="10" spans="1:7" ht="24.95" customHeight="1">
      <c r="A10" s="652">
        <v>420</v>
      </c>
      <c r="B10" s="656">
        <v>4.08</v>
      </c>
      <c r="C10" s="653">
        <f t="shared" si="1"/>
        <v>81.599999999999994</v>
      </c>
      <c r="D10" s="654">
        <f t="shared" si="2"/>
        <v>200</v>
      </c>
      <c r="E10" s="654">
        <f t="shared" si="3"/>
        <v>133</v>
      </c>
      <c r="F10" s="654">
        <f t="shared" si="0"/>
        <v>133</v>
      </c>
      <c r="G10" s="655"/>
    </row>
    <row r="11" spans="1:7" ht="24.95" customHeight="1">
      <c r="A11" s="652">
        <v>440</v>
      </c>
      <c r="B11" s="656">
        <v>4.99</v>
      </c>
      <c r="C11" s="653">
        <f t="shared" si="1"/>
        <v>99.800000000000011</v>
      </c>
      <c r="D11" s="654">
        <f t="shared" si="2"/>
        <v>200</v>
      </c>
      <c r="E11" s="654">
        <f t="shared" si="3"/>
        <v>133</v>
      </c>
      <c r="F11" s="654">
        <f t="shared" si="0"/>
        <v>133</v>
      </c>
      <c r="G11" s="655"/>
    </row>
    <row r="12" spans="1:7" ht="24.95" customHeight="1">
      <c r="A12" s="652">
        <v>460</v>
      </c>
      <c r="B12" s="656">
        <v>5.84</v>
      </c>
      <c r="C12" s="653">
        <f t="shared" si="1"/>
        <v>116.8</v>
      </c>
      <c r="D12" s="654">
        <f t="shared" si="2"/>
        <v>200</v>
      </c>
      <c r="E12" s="654">
        <f t="shared" si="3"/>
        <v>133</v>
      </c>
      <c r="F12" s="654">
        <f t="shared" si="0"/>
        <v>133</v>
      </c>
      <c r="G12" s="655"/>
    </row>
    <row r="13" spans="1:7" ht="24.95" customHeight="1">
      <c r="A13" s="652">
        <v>480</v>
      </c>
      <c r="B13" s="656">
        <v>8.4</v>
      </c>
      <c r="C13" s="653">
        <f t="shared" si="1"/>
        <v>168</v>
      </c>
      <c r="D13" s="654">
        <f t="shared" si="2"/>
        <v>200</v>
      </c>
      <c r="E13" s="654">
        <f t="shared" si="3"/>
        <v>133</v>
      </c>
      <c r="F13" s="654">
        <f t="shared" si="0"/>
        <v>133</v>
      </c>
      <c r="G13" s="655"/>
    </row>
    <row r="14" spans="1:7" ht="24.95" customHeight="1">
      <c r="A14" s="652">
        <v>500</v>
      </c>
      <c r="B14" s="656">
        <v>3.54</v>
      </c>
      <c r="C14" s="653">
        <f t="shared" si="1"/>
        <v>70.8</v>
      </c>
      <c r="D14" s="654">
        <f t="shared" si="2"/>
        <v>200</v>
      </c>
      <c r="E14" s="654">
        <f t="shared" si="3"/>
        <v>133</v>
      </c>
      <c r="F14" s="654">
        <f t="shared" si="0"/>
        <v>133</v>
      </c>
      <c r="G14" s="655"/>
    </row>
    <row r="15" spans="1:7" ht="24.95" customHeight="1">
      <c r="A15" s="652">
        <v>520</v>
      </c>
      <c r="B15" s="656">
        <v>3.38</v>
      </c>
      <c r="C15" s="653">
        <f t="shared" si="1"/>
        <v>67.599999999999994</v>
      </c>
      <c r="D15" s="654">
        <f t="shared" si="2"/>
        <v>200</v>
      </c>
      <c r="E15" s="654">
        <f t="shared" si="3"/>
        <v>133</v>
      </c>
      <c r="F15" s="654">
        <f t="shared" si="0"/>
        <v>133</v>
      </c>
      <c r="G15" s="655"/>
    </row>
    <row r="16" spans="1:7" ht="24.95" customHeight="1">
      <c r="A16" s="652">
        <v>540</v>
      </c>
      <c r="B16" s="656">
        <v>7.03</v>
      </c>
      <c r="C16" s="653">
        <f t="shared" si="1"/>
        <v>140.6</v>
      </c>
      <c r="D16" s="654">
        <f t="shared" si="2"/>
        <v>200</v>
      </c>
      <c r="E16" s="654">
        <f t="shared" si="3"/>
        <v>133</v>
      </c>
      <c r="F16" s="654">
        <f t="shared" si="0"/>
        <v>133</v>
      </c>
      <c r="G16" s="655"/>
    </row>
    <row r="17" spans="1:7" ht="24.95" customHeight="1">
      <c r="A17" s="652">
        <v>560</v>
      </c>
      <c r="B17" s="656">
        <v>6.08</v>
      </c>
      <c r="C17" s="653">
        <f t="shared" si="1"/>
        <v>121.6</v>
      </c>
      <c r="D17" s="654">
        <f t="shared" si="2"/>
        <v>200</v>
      </c>
      <c r="E17" s="654">
        <f t="shared" si="3"/>
        <v>133</v>
      </c>
      <c r="F17" s="654">
        <f t="shared" si="0"/>
        <v>133</v>
      </c>
      <c r="G17" s="655"/>
    </row>
    <row r="18" spans="1:7" ht="24.95" customHeight="1">
      <c r="A18" s="652">
        <v>580</v>
      </c>
      <c r="B18" s="656">
        <v>6.69</v>
      </c>
      <c r="C18" s="653">
        <f t="shared" si="1"/>
        <v>133.80000000000001</v>
      </c>
      <c r="D18" s="654">
        <f t="shared" si="2"/>
        <v>200</v>
      </c>
      <c r="E18" s="654">
        <f t="shared" si="3"/>
        <v>133</v>
      </c>
      <c r="F18" s="654">
        <f t="shared" si="0"/>
        <v>133</v>
      </c>
      <c r="G18" s="655"/>
    </row>
    <row r="19" spans="1:7" ht="24.95" customHeight="1">
      <c r="A19" s="652">
        <v>600</v>
      </c>
      <c r="B19" s="656">
        <v>5.29</v>
      </c>
      <c r="C19" s="653">
        <f t="shared" si="1"/>
        <v>105.8</v>
      </c>
      <c r="D19" s="654">
        <f t="shared" si="2"/>
        <v>200</v>
      </c>
      <c r="E19" s="654">
        <f t="shared" si="3"/>
        <v>133</v>
      </c>
      <c r="F19" s="654">
        <f t="shared" si="0"/>
        <v>133</v>
      </c>
      <c r="G19" s="655"/>
    </row>
    <row r="20" spans="1:7" ht="24.95" customHeight="1">
      <c r="A20" s="652">
        <v>620</v>
      </c>
      <c r="B20" s="656">
        <v>5.25</v>
      </c>
      <c r="C20" s="653">
        <f t="shared" si="1"/>
        <v>105</v>
      </c>
      <c r="D20" s="654">
        <f t="shared" si="2"/>
        <v>200</v>
      </c>
      <c r="E20" s="654">
        <f t="shared" si="3"/>
        <v>133</v>
      </c>
      <c r="F20" s="654">
        <f t="shared" si="0"/>
        <v>133</v>
      </c>
      <c r="G20" s="655"/>
    </row>
    <row r="21" spans="1:7" ht="24.95" customHeight="1">
      <c r="A21" s="652">
        <v>640</v>
      </c>
      <c r="B21" s="656">
        <v>0</v>
      </c>
      <c r="C21" s="653"/>
      <c r="D21" s="654"/>
      <c r="E21" s="654">
        <f t="shared" si="3"/>
        <v>133</v>
      </c>
      <c r="F21" s="654">
        <f t="shared" si="0"/>
        <v>133</v>
      </c>
      <c r="G21" s="655"/>
    </row>
    <row r="22" spans="1:7" ht="24.95" customHeight="1">
      <c r="A22" s="652">
        <v>649.20000000000005</v>
      </c>
      <c r="B22" s="656">
        <v>0</v>
      </c>
      <c r="C22" s="653"/>
      <c r="D22" s="654"/>
      <c r="E22" s="654">
        <f t="shared" si="3"/>
        <v>61</v>
      </c>
      <c r="F22" s="654">
        <f t="shared" si="0"/>
        <v>61</v>
      </c>
      <c r="G22" s="655"/>
    </row>
    <row r="23" spans="1:7" ht="24.95" customHeight="1">
      <c r="A23" s="657"/>
      <c r="B23" s="656"/>
      <c r="C23" s="653"/>
      <c r="D23" s="654"/>
      <c r="E23" s="654"/>
      <c r="F23" s="654"/>
      <c r="G23" s="655"/>
    </row>
    <row r="24" spans="1:7" ht="18.75">
      <c r="A24" s="658" t="s">
        <v>1891</v>
      </c>
      <c r="B24" s="659"/>
      <c r="C24" s="660">
        <f>SUM(C3:C23)</f>
        <v>1795.4999999999995</v>
      </c>
      <c r="D24" s="661">
        <f>SUM(D4:D23)</f>
        <v>3200</v>
      </c>
      <c r="E24" s="661">
        <f>SUM(E4:E23)</f>
        <v>2322</v>
      </c>
      <c r="F24" s="661">
        <f>SUM(F4:F23)</f>
        <v>2322</v>
      </c>
      <c r="G24" s="662"/>
    </row>
    <row r="25" spans="1:7" ht="18.75">
      <c r="A25" s="663"/>
      <c r="B25" s="664"/>
      <c r="C25" s="663"/>
      <c r="D25" s="663"/>
      <c r="E25" s="663"/>
      <c r="F25" s="663"/>
      <c r="G25" s="663"/>
    </row>
    <row r="26" spans="1:7" ht="18.75">
      <c r="A26" s="663"/>
      <c r="B26" s="664"/>
      <c r="C26" s="663"/>
      <c r="D26" s="663"/>
      <c r="E26" s="663"/>
      <c r="F26" s="663"/>
      <c r="G26" s="663"/>
    </row>
    <row r="27" spans="1:7">
      <c r="A27" s="665"/>
      <c r="B27" s="666"/>
      <c r="C27" s="665"/>
      <c r="D27" s="665"/>
      <c r="E27" s="665"/>
      <c r="F27" s="665"/>
      <c r="G27" s="665"/>
    </row>
    <row r="28" spans="1:7">
      <c r="A28" s="665"/>
      <c r="B28" s="666"/>
      <c r="C28" s="665"/>
      <c r="D28" s="665"/>
      <c r="E28" s="665"/>
      <c r="F28" s="665" t="s">
        <v>1892</v>
      </c>
      <c r="G28" s="665"/>
    </row>
    <row r="29" spans="1:7">
      <c r="A29" s="665"/>
      <c r="B29" s="666"/>
      <c r="C29" s="665"/>
      <c r="D29" s="665"/>
      <c r="E29" s="665"/>
      <c r="F29" s="665"/>
      <c r="G29" s="665"/>
    </row>
    <row r="30" spans="1:7">
      <c r="A30" s="665"/>
      <c r="B30" s="666"/>
      <c r="C30" s="665"/>
      <c r="D30" s="665"/>
      <c r="E30" s="665"/>
      <c r="F30" s="665"/>
      <c r="G30" s="665"/>
    </row>
  </sheetData>
  <mergeCells count="1">
    <mergeCell ref="A1:C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1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2836A-BF7F-4637-BA87-679EF1227460}">
  <dimension ref="A1"/>
  <sheetViews>
    <sheetView workbookViewId="0">
      <selection activeCell="K1" sqref="K1:L1048576"/>
    </sheetView>
  </sheetViews>
  <sheetFormatPr defaultRowHeight="15.75"/>
  <cols>
    <col min="1" max="16384" width="9" style="293"/>
  </cols>
  <sheetData/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7</vt:i4>
      </vt:variant>
    </vt:vector>
  </HeadingPairs>
  <TitlesOfParts>
    <vt:vector size="19" baseType="lpstr">
      <vt:lpstr>單價分析表 (3)</vt:lpstr>
      <vt:lpstr>變更對照項目詳細表</vt:lpstr>
      <vt:lpstr>整備工程(1)</vt:lpstr>
      <vt:lpstr>土建景觀工程(2)</vt:lpstr>
      <vt:lpstr>橋梁工程 (3)</vt:lpstr>
      <vt:lpstr>河川工程 (4)</vt:lpstr>
      <vt:lpstr>下水道工程 (5)</vt:lpstr>
      <vt:lpstr>道路附屬工程 (6)</vt:lpstr>
      <vt:lpstr>植栽工程 (8)</vt:lpstr>
      <vt:lpstr>臨時動員及圍排水設施費 9)</vt:lpstr>
      <vt:lpstr>蜂巢隔網計算</vt:lpstr>
      <vt:lpstr>整備工程-表土清除</vt:lpstr>
      <vt:lpstr>'土建景觀工程(2)'!Print_Area</vt:lpstr>
      <vt:lpstr>'河川工程 (4)'!Print_Area</vt:lpstr>
      <vt:lpstr>'單價分析表 (3)'!Print_Area</vt:lpstr>
      <vt:lpstr>'整備工程(1)'!Print_Area</vt:lpstr>
      <vt:lpstr>'橋梁工程 (3)'!Print_Area</vt:lpstr>
      <vt:lpstr>變更對照項目詳細表!Print_Area</vt:lpstr>
      <vt:lpstr>變更對照項目詳細表!Print_Titles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吳宜儒Yiju</dc:creator>
  <cp:lastModifiedBy>aa28941204@outlook.com</cp:lastModifiedBy>
  <cp:lastPrinted>2025-02-18T09:34:53Z</cp:lastPrinted>
  <dcterms:created xsi:type="dcterms:W3CDTF">2024-01-09T04:02:28Z</dcterms:created>
  <dcterms:modified xsi:type="dcterms:W3CDTF">2025-04-02T06:43:59Z</dcterms:modified>
</cp:coreProperties>
</file>