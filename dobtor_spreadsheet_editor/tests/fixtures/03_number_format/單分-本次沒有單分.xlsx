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03C7829-90A3-4E03-9C25-804D5189FB60}" xr6:coauthVersionLast="47" xr6:coauthVersionMax="47" xr10:uidLastSave="{00000000-0000-0000-0000-000000000000}"/>
  <bookViews>
    <workbookView xWindow="-105" yWindow="0" windowWidth="14610" windowHeight="15585" tabRatio="718" xr2:uid="{00000000-000D-0000-FFFF-FFFF00000000}"/>
  </bookViews>
  <sheets>
    <sheet name="單價分析表2 (白議價中)" sheetId="11" r:id="rId1"/>
    <sheet name="單價分析表1 (白議價後)" sheetId="10" r:id="rId2"/>
    <sheet name="單價分析1 (白議價中)" sheetId="9" r:id="rId3"/>
    <sheet name="單價分析表(阿洨)" sheetId="8" state="hidden" r:id="rId4"/>
  </sheets>
  <definedNames>
    <definedName name="_xlnm.Database" localSheetId="2">#REF!</definedName>
    <definedName name="_xlnm.Database" localSheetId="1">#REF!</definedName>
    <definedName name="_xlnm.Database" localSheetId="0">#REF!</definedName>
    <definedName name="_xlnm.Database">#REF!</definedName>
    <definedName name="_xlnm.Print_Area" localSheetId="2">'單價分析1 (白議價中)'!$A$1:$G$34</definedName>
    <definedName name="_xlnm.Print_Area" localSheetId="3">'單價分析表(阿洨)'!$A$1:$G$320</definedName>
    <definedName name="_xlnm.Print_Area" localSheetId="1">'單價分析表1 (白議價後)'!$A$1:$G$34</definedName>
    <definedName name="_xlnm.Print_Area" localSheetId="0">'單價分析表2 (白議價中)'!$A$1:$G$154</definedName>
    <definedName name="_xlnm.Print_Titles" localSheetId="2">'單價分析1 (白議價中)'!$1:$4</definedName>
    <definedName name="_xlnm.Print_Titles" localSheetId="3">'單價分析表(阿洨)'!$1:$4</definedName>
    <definedName name="_xlnm.Print_Titles" localSheetId="1">'單價分析表1 (白議價後)'!$1:$4</definedName>
    <definedName name="_xlnm.Print_Titles" localSheetId="0">'單價分析表2 (白議價中)'!$1:$4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3" i="11" l="1"/>
  <c r="N124" i="11"/>
  <c r="N99" i="11"/>
  <c r="N100" i="11"/>
  <c r="N88" i="11"/>
  <c r="L89" i="11"/>
  <c r="N89" i="11"/>
  <c r="J75" i="11"/>
  <c r="J71" i="11"/>
  <c r="N55" i="11"/>
  <c r="N56" i="11"/>
  <c r="J56" i="11"/>
  <c r="N21" i="11"/>
  <c r="N22" i="11"/>
  <c r="J22" i="11"/>
  <c r="J18" i="11"/>
  <c r="J143" i="11"/>
  <c r="J139" i="11"/>
  <c r="J124" i="11"/>
  <c r="J138" i="11"/>
  <c r="L139" i="11"/>
  <c r="J136" i="11"/>
  <c r="J137" i="11"/>
  <c r="I137" i="11"/>
  <c r="I136" i="11"/>
  <c r="L123" i="11"/>
  <c r="L124" i="11"/>
  <c r="J118" i="11"/>
  <c r="J119" i="11"/>
  <c r="J120" i="11" s="1"/>
  <c r="J117" i="11"/>
  <c r="J114" i="11"/>
  <c r="J113" i="11"/>
  <c r="I114" i="11"/>
  <c r="I113" i="11"/>
  <c r="J115" i="11"/>
  <c r="J116" i="11"/>
  <c r="I119" i="11"/>
  <c r="I117" i="11"/>
  <c r="I116" i="11"/>
  <c r="I115" i="11"/>
  <c r="N112" i="11"/>
  <c r="J72" i="11"/>
  <c r="J61" i="11"/>
  <c r="J60" i="11"/>
  <c r="J59" i="11"/>
  <c r="N58" i="11"/>
  <c r="O58" i="11"/>
  <c r="I61" i="11"/>
  <c r="O113" i="11"/>
  <c r="O112" i="11"/>
  <c r="L110" i="11"/>
  <c r="J110" i="11"/>
  <c r="I105" i="11"/>
  <c r="I104" i="11"/>
  <c r="I103" i="11"/>
  <c r="J105" i="11"/>
  <c r="J104" i="11"/>
  <c r="J103" i="11"/>
  <c r="J107" i="11"/>
  <c r="L100" i="11"/>
  <c r="J100" i="11"/>
  <c r="L99" i="11" s="1"/>
  <c r="I92" i="11"/>
  <c r="J92" i="11"/>
  <c r="J97" i="11" s="1"/>
  <c r="N91" i="11"/>
  <c r="J89" i="11"/>
  <c r="L88" i="11" s="1"/>
  <c r="L54" i="11"/>
  <c r="J86" i="11"/>
  <c r="J79" i="11"/>
  <c r="I79" i="11"/>
  <c r="O78" i="11"/>
  <c r="N78" i="11"/>
  <c r="N75" i="11" l="1"/>
  <c r="L75" i="11"/>
  <c r="L143" i="11"/>
  <c r="L142" i="11" s="1"/>
  <c r="I60" i="11"/>
  <c r="I59" i="11"/>
  <c r="I70" i="11"/>
  <c r="J70" i="11" s="1"/>
  <c r="L109" i="11"/>
  <c r="L55" i="11"/>
  <c r="L56" i="11"/>
  <c r="I47" i="11"/>
  <c r="J47" i="11"/>
  <c r="J19" i="10"/>
  <c r="J18" i="10"/>
  <c r="J17" i="10"/>
  <c r="J16" i="10"/>
  <c r="O15" i="11"/>
  <c r="J19" i="11"/>
  <c r="L20" i="11" s="1"/>
  <c r="J16" i="11"/>
  <c r="I16" i="11"/>
  <c r="O45" i="11"/>
  <c r="J51" i="11"/>
  <c r="J50" i="11"/>
  <c r="J49" i="11"/>
  <c r="J48" i="11"/>
  <c r="J46" i="11"/>
  <c r="N45" i="11"/>
  <c r="I15" i="11"/>
  <c r="O145" i="11"/>
  <c r="N145" i="11"/>
  <c r="N135" i="11"/>
  <c r="N126" i="11"/>
  <c r="N102" i="11"/>
  <c r="N34" i="11"/>
  <c r="O135" i="11"/>
  <c r="O126" i="11"/>
  <c r="O102" i="11"/>
  <c r="O91" i="11"/>
  <c r="O34" i="11"/>
  <c r="O24" i="11"/>
  <c r="N24" i="11"/>
  <c r="N15" i="11"/>
  <c r="L12" i="10"/>
  <c r="J13" i="10"/>
  <c r="L13" i="10"/>
  <c r="L11" i="10"/>
  <c r="J10" i="10"/>
  <c r="J9" i="10"/>
  <c r="M3" i="11"/>
  <c r="O5" i="10"/>
  <c r="N15" i="10"/>
  <c r="J6" i="10"/>
  <c r="F21" i="10"/>
  <c r="I19" i="10" s="1"/>
  <c r="F20" i="10"/>
  <c r="J8" i="10"/>
  <c r="J7" i="10"/>
  <c r="N5" i="10"/>
  <c r="O75" i="11" l="1"/>
  <c r="N74" i="11"/>
  <c r="L22" i="11"/>
  <c r="L21" i="11"/>
  <c r="I16" i="10"/>
  <c r="I18" i="10"/>
  <c r="I17" i="10"/>
  <c r="L74" i="11" l="1"/>
  <c r="J20" i="10"/>
  <c r="J53" i="11"/>
</calcChain>
</file>

<file path=xl/sharedStrings.xml><?xml version="1.0" encoding="utf-8"?>
<sst xmlns="http://schemas.openxmlformats.org/spreadsheetml/2006/main" count="1555" uniqueCount="450">
  <si>
    <t xml:space="preserve"> 第1次變更設計新增項目單價分析表</t>
  </si>
  <si>
    <t>項次</t>
  </si>
  <si>
    <t>項目及說明</t>
  </si>
  <si>
    <t>單位</t>
  </si>
  <si>
    <t>數量</t>
  </si>
  <si>
    <t>單  價</t>
  </si>
  <si>
    <t>複  價</t>
  </si>
  <si>
    <t>備  註</t>
  </si>
  <si>
    <t>分析表1</t>
  </si>
  <si>
    <t>構造物回填，回填及夯實(實際)</t>
  </si>
  <si>
    <t>C.M3</t>
  </si>
  <si>
    <t>'023174000A</t>
  </si>
  <si>
    <t xml:space="preserve">
</t>
  </si>
  <si>
    <t>普通工</t>
  </si>
  <si>
    <t>時</t>
  </si>
  <si>
    <t xml:space="preserve">L000006000001
</t>
  </si>
  <si>
    <t>回填土搗固機</t>
  </si>
  <si>
    <t xml:space="preserve">E000005800001
</t>
  </si>
  <si>
    <t>機具操作技術工，壓實機</t>
  </si>
  <si>
    <t xml:space="preserve">L0000051000N1
</t>
  </si>
  <si>
    <t>零星工料</t>
  </si>
  <si>
    <t>式</t>
  </si>
  <si>
    <t xml:space="preserve">W0127110004
</t>
  </si>
  <si>
    <t>** 單價計 **</t>
  </si>
  <si>
    <t>0.00%       契約部份總價：       0.00    元</t>
  </si>
  <si>
    <t>100.00%       新增部份總價：       320.74    元</t>
  </si>
  <si>
    <t>分析表2</t>
  </si>
  <si>
    <t>餘方近運利用，0≦運距＜5km，總重15t傾卸貨車</t>
  </si>
  <si>
    <t>B.M3</t>
  </si>
  <si>
    <t>'023231X0003</t>
  </si>
  <si>
    <t>傾卸貨車，總重15-15.9t</t>
  </si>
  <si>
    <t xml:space="preserve">E000003415001
契約單價
</t>
  </si>
  <si>
    <t>駕駛，傾卸貨車</t>
  </si>
  <si>
    <t xml:space="preserve">L000005300011
契約單價
</t>
  </si>
  <si>
    <t>** 小計 **</t>
  </si>
  <si>
    <t>100.00%       契約部份總價：       154.95    元</t>
  </si>
  <si>
    <t>0.00%       新增部份總價：       0.00    元</t>
  </si>
  <si>
    <t>分析表3</t>
  </si>
  <si>
    <t>工地清理，喬木移除，米高樹徑≧10cm</t>
  </si>
  <si>
    <t>棵</t>
  </si>
  <si>
    <t>'02230C0101</t>
  </si>
  <si>
    <t>小工</t>
  </si>
  <si>
    <t xml:space="preserve">L000006100001
契約單價
</t>
  </si>
  <si>
    <t>開挖機，0.70~0.79m3</t>
  </si>
  <si>
    <t xml:space="preserve">E000004407001
契約單價
</t>
  </si>
  <si>
    <t>機具操作技術工</t>
  </si>
  <si>
    <t xml:space="preserve">L000005100001
契約單價
</t>
  </si>
  <si>
    <t>清除，垃圾及廢棄物(以體積計)，含運費</t>
  </si>
  <si>
    <t>M3</t>
  </si>
  <si>
    <t xml:space="preserve">02234A0003
契約單價
</t>
  </si>
  <si>
    <t>100.00%       契約部份總價：       20,949.10    元</t>
  </si>
  <si>
    <t>分析表4</t>
  </si>
  <si>
    <t>金屬材料，鋼料，裁切加工銲製(工廠加工)</t>
  </si>
  <si>
    <t>M</t>
  </si>
  <si>
    <t>'050606B001</t>
  </si>
  <si>
    <t>技術工</t>
  </si>
  <si>
    <t xml:space="preserve">L000005000001
契約單價
</t>
  </si>
  <si>
    <t>100.00%       契約部份總價：       689.89    元</t>
  </si>
  <si>
    <t>分析表5</t>
  </si>
  <si>
    <t>截流溝(3mm鋼板及鍍鋅格柵蓋板)</t>
  </si>
  <si>
    <t>'055306A061</t>
  </si>
  <si>
    <t>結構用鋼材，銲接結構用軋鋼料，SM400B鋼構工程及製作、組立工程(含加勁板、續接板、螺絲、螺栓、螺帽等)</t>
  </si>
  <si>
    <t>KG</t>
  </si>
  <si>
    <t xml:space="preserve">0512540009
契約單價
</t>
  </si>
  <si>
    <t>鍍鋅鋼料</t>
  </si>
  <si>
    <t xml:space="preserve">05500R0009A
契約單價
</t>
  </si>
  <si>
    <t xml:space="preserve">050606B009
契約單價
</t>
  </si>
  <si>
    <t>100.00%       契約部份總價：       6,075.23    元</t>
  </si>
  <si>
    <t>分析表6</t>
  </si>
  <si>
    <t>入口地標A</t>
  </si>
  <si>
    <t>'055000B004A</t>
  </si>
  <si>
    <t>金屬材料，鋼料，組裝</t>
  </si>
  <si>
    <t xml:space="preserve">050606D009
契約單價
</t>
  </si>
  <si>
    <t>金屬製品，氟碳烤漆(一底二度，厚度50μ以上)</t>
  </si>
  <si>
    <t>M2</t>
  </si>
  <si>
    <t xml:space="preserve">055000b002
契約單價
</t>
  </si>
  <si>
    <t>金屬接合，化學螺栓(含零配件)</t>
  </si>
  <si>
    <t xml:space="preserve">050900A004
契約單價
</t>
  </si>
  <si>
    <t>吊卡車，15米-噸</t>
  </si>
  <si>
    <t xml:space="preserve">E000003E10001
契約單價
</t>
  </si>
  <si>
    <t>機具操作技術工，吊放機具</t>
  </si>
  <si>
    <t xml:space="preserve">L0000051000P1
契約單價
</t>
  </si>
  <si>
    <t>100.00%       契約部份總價：       181,427.92    元</t>
  </si>
  <si>
    <t>分析表7</t>
  </si>
  <si>
    <t>入口地標B</t>
  </si>
  <si>
    <t>'055000B004B</t>
  </si>
  <si>
    <t>無收縮水泥砂漿</t>
  </si>
  <si>
    <t xml:space="preserve">0360100003
契約單價
</t>
  </si>
  <si>
    <t>金屬製品，雷射切割</t>
  </si>
  <si>
    <t xml:space="preserve">055000D001
</t>
  </si>
  <si>
    <t>金屬製品，電腦雷射蝕刻填漆</t>
  </si>
  <si>
    <t xml:space="preserve">055000g004
</t>
  </si>
  <si>
    <t>鍍鋅鋼料，鍍鋅沖孔網，厚2.5mm</t>
  </si>
  <si>
    <t xml:space="preserve">05500R6062
契約單價
</t>
  </si>
  <si>
    <t>水泥砂漿粉刷，1：3水泥砂漿，粉光刷水泥漆</t>
  </si>
  <si>
    <t xml:space="preserve">0922030082
契約單價
</t>
  </si>
  <si>
    <t>結構用混凝土，預拌，210kgf/cm2</t>
  </si>
  <si>
    <t xml:space="preserve">0331025003a
契約單價
</t>
  </si>
  <si>
    <t>93.77%       契約部份總價：       348,331.51    元</t>
  </si>
  <si>
    <t>6.23%       新增部份總價：       23,147.79    元</t>
  </si>
  <si>
    <t>分析表8</t>
  </si>
  <si>
    <t>解說牌</t>
  </si>
  <si>
    <t>座</t>
  </si>
  <si>
    <t>'055000000B2</t>
  </si>
  <si>
    <t>戶外專用電腦噴繪輸出及彩色膠膜</t>
  </si>
  <si>
    <t xml:space="preserve">164040A192
契約單價
</t>
  </si>
  <si>
    <t>不銹鋼料，SUS304，含加工安裝等</t>
  </si>
  <si>
    <t xml:space="preserve">05500Pc009
契約單價
</t>
  </si>
  <si>
    <t>100.00%       契約部份總價：       9,607.45    元</t>
  </si>
  <si>
    <t>分析表9</t>
  </si>
  <si>
    <t>解說牌(福慶宮歷史)</t>
  </si>
  <si>
    <t>'055000000B5</t>
  </si>
  <si>
    <t>100.00%       契約部份總價：       68,654.75    元</t>
  </si>
  <si>
    <t>分析表10</t>
  </si>
  <si>
    <t>標誌，指示標誌(標示牌)</t>
  </si>
  <si>
    <t>'028918000E</t>
  </si>
  <si>
    <t>標誌，基礎</t>
  </si>
  <si>
    <t xml:space="preserve">02891N0004
契約單價
</t>
  </si>
  <si>
    <t>100.00%       契約部份總價：       23,861.11    元</t>
  </si>
  <si>
    <t>分析表11</t>
  </si>
  <si>
    <t>標誌，地名方向指示牌(指引牌)</t>
  </si>
  <si>
    <t>'02891d000E</t>
  </si>
  <si>
    <t>分析表12</t>
  </si>
  <si>
    <t>既有路燈移設及埋設管線</t>
  </si>
  <si>
    <t>盞</t>
  </si>
  <si>
    <t>'022525300A</t>
  </si>
  <si>
    <t>導線管，硬質聚氯乙烯塑膠管，E管，標稱41mm，厚3.1mm</t>
  </si>
  <si>
    <t xml:space="preserve">161323106301
契約單價
</t>
  </si>
  <si>
    <t>電線及電纜，600V交連聚乙烯絕緣聚氯乙烯被覆電力電纜(XLPE)，1/C，14mm2</t>
  </si>
  <si>
    <t xml:space="preserve">1612061A0001
契約單價
</t>
  </si>
  <si>
    <t>電線及電纜，600V聚氯乙烯絕緣電線，絞線，8.0mm2</t>
  </si>
  <si>
    <t xml:space="preserve">161201280001
契約單價
</t>
  </si>
  <si>
    <t>接地，(第三種，責任施工)</t>
  </si>
  <si>
    <t>處</t>
  </si>
  <si>
    <t xml:space="preserve">160610001A
契約單價
</t>
  </si>
  <si>
    <t>道路照明，燈桿混凝土基礎，螺栓式</t>
  </si>
  <si>
    <t>組</t>
  </si>
  <si>
    <t xml:space="preserve">16525A200008
</t>
  </si>
  <si>
    <t>室內配線、配電線路裝修技術工，照明設備安裝工資</t>
  </si>
  <si>
    <t>工</t>
  </si>
  <si>
    <t xml:space="preserve">L0000059000V2
契約單價
</t>
  </si>
  <si>
    <t>44.15%       契約部份總價：       4,170.50    元</t>
  </si>
  <si>
    <t>55.85%       新增部份總價：       5,275.12    元</t>
  </si>
  <si>
    <t>分析表13</t>
  </si>
  <si>
    <t>田代氏石斑木，40≦ 高度＜50㎝，30≦寬度＜35cm</t>
  </si>
  <si>
    <t>株</t>
  </si>
  <si>
    <t>'029322H8601</t>
  </si>
  <si>
    <t>產品，田代氏石斑木，40≦ 高度＜50㎝，30≦寬度＜35cm</t>
  </si>
  <si>
    <t xml:space="preserve">M029322H8601
</t>
  </si>
  <si>
    <t>植栽，換置客土，砂質壤土，人工挖方，就地平衡</t>
  </si>
  <si>
    <t xml:space="preserve">02900R1122
契約單價
</t>
  </si>
  <si>
    <t>植栽，肥料，有機肥料</t>
  </si>
  <si>
    <t xml:space="preserve">02900A1009
契約單價
</t>
  </si>
  <si>
    <t>植栽種植工</t>
  </si>
  <si>
    <t xml:space="preserve">L000005e00001
契約單價
</t>
  </si>
  <si>
    <t>植栽養護工，灌木類</t>
  </si>
  <si>
    <t xml:space="preserve">L000005f30001
契約單價
</t>
  </si>
  <si>
    <t>34.80%       契約部份總價：       55.88    元</t>
  </si>
  <si>
    <t>65.20%       新增部份總價：       104.68    元</t>
  </si>
  <si>
    <t>分析表14</t>
  </si>
  <si>
    <t>小葉厚殼樹，40≦ 高度＜50㎝，30≦寬度＜35cm</t>
  </si>
  <si>
    <t>'02932P58601</t>
  </si>
  <si>
    <t>產品，小葉厚殼樹，40≦ 高度＜50㎝，30≦寬度＜35cm</t>
  </si>
  <si>
    <t xml:space="preserve">M02932P58601
</t>
  </si>
  <si>
    <t>17.74%       契約部份總價：       55.88    元</t>
  </si>
  <si>
    <t>82.26%       新增部份總價：       259.18    元</t>
  </si>
  <si>
    <t>分析表15</t>
  </si>
  <si>
    <t>冇骨消，40≦ 高度＜50㎝，20≦寬度＜25cm</t>
  </si>
  <si>
    <t>'02932bA8401</t>
  </si>
  <si>
    <t>產品，冇骨消，40≦ 高度＜50㎝，20≦寬度＜25cm</t>
  </si>
  <si>
    <t xml:space="preserve">M02932bA8401
</t>
  </si>
  <si>
    <t>分析表16</t>
  </si>
  <si>
    <t>毛胡枝子，40≦ 高度＜50㎝，30≦寬度＜35cm</t>
  </si>
  <si>
    <t>'029324d8601</t>
  </si>
  <si>
    <t>產品，毛胡枝子，40≦ 高度＜50㎝，30≦寬度＜35cm</t>
  </si>
  <si>
    <t xml:space="preserve">M029324d8601
</t>
  </si>
  <si>
    <t>26.35%       契約部份總價：       55.88    元</t>
  </si>
  <si>
    <t>73.65%       新增部份總價：       156.18    元</t>
  </si>
  <si>
    <t>分析表17</t>
  </si>
  <si>
    <t>山素英，40 ≦ 高度(枝長) &lt; 50㎝，30≦寬度＜40cm</t>
  </si>
  <si>
    <t>'029341J5401</t>
  </si>
  <si>
    <t>產品，山素英，40 ≦ 高度(枝長) &lt; 50㎝，30≦寬度＜40cm</t>
  </si>
  <si>
    <t xml:space="preserve">M029341J5401
</t>
  </si>
  <si>
    <t>31.25%       契約部份總價：       55.88    元</t>
  </si>
  <si>
    <t>68.75%       新增部份總價：       122.95    元</t>
  </si>
  <si>
    <t>分析表18</t>
  </si>
  <si>
    <t>土丁桂，20 ≦ 高度(枝長) &lt; 30㎝，30≦寬度＜40cm</t>
  </si>
  <si>
    <t>'02934833401</t>
  </si>
  <si>
    <t>產品，土丁桂，20 ≦ 高度(枝長) &lt; 30㎝，30≦寬度＜40cm</t>
  </si>
  <si>
    <t xml:space="preserve">M02934833401
</t>
  </si>
  <si>
    <t>植栽養護工，地被及草花類</t>
  </si>
  <si>
    <t xml:space="preserve">L000005f50001
契約單價
</t>
  </si>
  <si>
    <t>27.61%       契約部份總價：       39.74    元</t>
  </si>
  <si>
    <t>72.39%       新增部份總價：       104.19    元</t>
  </si>
  <si>
    <t>分析表19</t>
  </si>
  <si>
    <t>金銀花，30 ≦ 高度(枝長) &lt; 40㎝，20≦寬度＜30cm</t>
  </si>
  <si>
    <t>'02934314301</t>
  </si>
  <si>
    <t>產品，金銀花，30 ≦ 高度(枝長) &lt; 40㎝，20≦寬度＜30cm</t>
  </si>
  <si>
    <t xml:space="preserve">M02934314301
</t>
  </si>
  <si>
    <t>27.70%       契約部份總價：       39.74    元</t>
  </si>
  <si>
    <t>72.30%       新增部份總價：       103.74    元</t>
  </si>
  <si>
    <t>分析表20</t>
  </si>
  <si>
    <t>虎杖，40≦高度＜50cm，20≦寬度＜30cm</t>
  </si>
  <si>
    <t>'029223C4301</t>
  </si>
  <si>
    <t>產品，虎杖，40≦高度＜50cm，20≦寬度＜30cm</t>
  </si>
  <si>
    <t xml:space="preserve">M029223C4301
</t>
  </si>
  <si>
    <t>20.33%       契約部份總價：       39.74    元</t>
  </si>
  <si>
    <t>79.67%       新增部份總價：       155.69    元</t>
  </si>
  <si>
    <t>分析表21</t>
  </si>
  <si>
    <t>海岸擬茀蕨，40≦高度＜50cm，20≦寬度＜30cm</t>
  </si>
  <si>
    <t>'02922144301</t>
  </si>
  <si>
    <t>產品，海岸擬茀蕨，40≦高度＜50cm，20≦寬度＜30cm</t>
  </si>
  <si>
    <t xml:space="preserve">M02922144301
</t>
  </si>
  <si>
    <t>16.09%       契約部份總價：       39.74    元</t>
  </si>
  <si>
    <t>83.91%       新增部份總價：       207.19    元</t>
  </si>
  <si>
    <t>分析表22</t>
  </si>
  <si>
    <t>麥門冬(大葉)，40≦高度＜50cm，20≦寬度＜30cm</t>
  </si>
  <si>
    <t>'029228E4301</t>
  </si>
  <si>
    <t>產品，麥門冬(大葉)，40≦高度＜50cm，20≦寬度＜30cm</t>
  </si>
  <si>
    <t xml:space="preserve">M029228E4301
</t>
  </si>
  <si>
    <t>分析表23</t>
  </si>
  <si>
    <t>隨意草，40≦高度＜50cm，20≦寬度＜30cm</t>
  </si>
  <si>
    <t>'029226B4301</t>
  </si>
  <si>
    <t>產品，隨意草，40≦高度＜50cm，20≦寬度＜30cm</t>
  </si>
  <si>
    <t xml:space="preserve">M029226B4301
</t>
  </si>
  <si>
    <t>分析表24</t>
  </si>
  <si>
    <t>越橘葉蔓榕，高度(枝長)&lt;10cm，10≦寬度＜20cm</t>
  </si>
  <si>
    <t>'02934BK1201</t>
  </si>
  <si>
    <t>產品，越橘葉蔓榕，高度(枝長)&lt;10cm，10≦寬度＜20cm</t>
  </si>
  <si>
    <t xml:space="preserve">M02934BK1201
</t>
  </si>
  <si>
    <t>41.56%       契約部份總價：       32.92    元</t>
  </si>
  <si>
    <t>58.44%       新增部份總價：       46.30    元</t>
  </si>
  <si>
    <t>分析表25</t>
  </si>
  <si>
    <t>受保護樹保護作業</t>
  </si>
  <si>
    <t>'0293517004</t>
  </si>
  <si>
    <t>受保護喬木修剪</t>
  </si>
  <si>
    <t xml:space="preserve">029351C67A
</t>
  </si>
  <si>
    <t>人工拆除</t>
  </si>
  <si>
    <t xml:space="preserve">0222020043
</t>
  </si>
  <si>
    <t>菱形網護樹圍網，高度2m</t>
  </si>
  <si>
    <t xml:space="preserve">01564C2001#
</t>
  </si>
  <si>
    <t>麻布袋及麻繩，尺寸L90*60cm</t>
  </si>
  <si>
    <t xml:space="preserve">M02900D6012
</t>
  </si>
  <si>
    <t>產品，平面式塑膠警示帶，聚氯乙烯(PVC)，寬度=200mm</t>
  </si>
  <si>
    <t xml:space="preserve">M0250611301
</t>
  </si>
  <si>
    <t>透氣管，HDPE(L=100cm，D=10cm)</t>
  </si>
  <si>
    <t>支</t>
  </si>
  <si>
    <t xml:space="preserve">02900U105A
</t>
  </si>
  <si>
    <t>樹木生長狀況監控</t>
  </si>
  <si>
    <t xml:space="preserve">1652510K0112A
</t>
  </si>
  <si>
    <t>鬆土(空氣挖掘機)</t>
  </si>
  <si>
    <t xml:space="preserve">0290030042
</t>
  </si>
  <si>
    <t>新設路緣石</t>
  </si>
  <si>
    <t xml:space="preserve">0277011001
</t>
  </si>
  <si>
    <t>新設車擋</t>
  </si>
  <si>
    <t xml:space="preserve">0305441101
</t>
  </si>
  <si>
    <t>面鋪細石子</t>
  </si>
  <si>
    <t xml:space="preserve">027262000B
</t>
  </si>
  <si>
    <t>導根板</t>
  </si>
  <si>
    <t xml:space="preserve">02900T10A2
</t>
  </si>
  <si>
    <t>清水模板，鋼模</t>
  </si>
  <si>
    <t xml:space="preserve">03110212A1a
</t>
  </si>
  <si>
    <t>吊放吊物，吊車(20t以下)</t>
  </si>
  <si>
    <t xml:space="preserve">01271AB101
契約單價
</t>
  </si>
  <si>
    <t>樹木支架(鋼索)</t>
  </si>
  <si>
    <t xml:space="preserve">02900F2808
</t>
  </si>
  <si>
    <t>樹木支撐架(鍍鋅鋼管)</t>
  </si>
  <si>
    <t xml:space="preserve">02900E6504
</t>
  </si>
  <si>
    <t>4.01%       契約部份總價：       34,080.64    元</t>
  </si>
  <si>
    <t>95.99%       新增部份總價：       815,799.10    元</t>
  </si>
  <si>
    <t>工程名稱：磺港溪再造護岸及步道整建工程(延壽橋至三合橋)</t>
    <phoneticPr fontId="1" type="noConversion"/>
  </si>
  <si>
    <t>100.00%       契約部份總價：       1,149.48    元</t>
  </si>
  <si>
    <t xml:space="preserve">L000005300031
契約單價
</t>
  </si>
  <si>
    <t>駕駛，灑水車</t>
  </si>
  <si>
    <t xml:space="preserve">E000002880001
契約單價
</t>
  </si>
  <si>
    <t>灑水車，8.0~8.9m3</t>
  </si>
  <si>
    <t>'01572K400K</t>
  </si>
  <si>
    <t>車</t>
  </si>
  <si>
    <t>環境保護費用，灑水車</t>
  </si>
  <si>
    <t>100.00%       新增部份總價：       9,951.09    元</t>
  </si>
  <si>
    <t xml:space="preserve">02255PWD40A04
</t>
  </si>
  <si>
    <t>臨時擋土樁設施，鋼板樁，拉固工料費</t>
  </si>
  <si>
    <t xml:space="preserve">0225540D34
</t>
  </si>
  <si>
    <t>臨時擋土樁設施，鋼板樁，L=13m，打拔</t>
  </si>
  <si>
    <t xml:space="preserve">M0225540DC4
</t>
  </si>
  <si>
    <t>產品，臨時擋土樁設施，鋼板樁，L=13m(租金，4.5月)</t>
  </si>
  <si>
    <t>'0225540D21c</t>
  </si>
  <si>
    <t>臨時河道圍水設施，鋼板樁，L=13cm，(單邊水平長度，未含擋土支撐系統)</t>
  </si>
  <si>
    <t>72.73%       新增部份總價：       3,174.75    元</t>
  </si>
  <si>
    <t>27.27%       契約部份總價：       1,190.63    元</t>
  </si>
  <si>
    <t xml:space="preserve">W01271400B4
契約單價
</t>
  </si>
  <si>
    <t>搬運費，含機械設備材料裝卸</t>
  </si>
  <si>
    <t xml:space="preserve">L0000051000H1
</t>
  </si>
  <si>
    <t>操作手，鑽孔機</t>
  </si>
  <si>
    <t xml:space="preserve">L000004000001n
契約單價
</t>
  </si>
  <si>
    <t>領班</t>
  </si>
  <si>
    <t>'0221070001</t>
  </si>
  <si>
    <t>管線探測，鑽孔</t>
  </si>
  <si>
    <t>工程名稱：磺港溪再造C段護岸及步道整建工程(延壽橋至三合橋)</t>
  </si>
  <si>
    <t>臺北市政府工務局水利工程處</t>
    <phoneticPr fontId="1" type="noConversion"/>
  </si>
  <si>
    <t>臺北市政府工務局水利工程處</t>
    <phoneticPr fontId="11" type="noConversion"/>
  </si>
  <si>
    <t>單價</t>
    <phoneticPr fontId="11" type="noConversion"/>
  </si>
  <si>
    <t>折數</t>
    <phoneticPr fontId="11" type="noConversion"/>
  </si>
  <si>
    <t>複價</t>
    <phoneticPr fontId="11" type="noConversion"/>
  </si>
  <si>
    <t>總差額=舊單價-新單價</t>
    <phoneticPr fontId="11" type="noConversion"/>
  </si>
  <si>
    <t>新增部分總價(調整後)</t>
    <phoneticPr fontId="11" type="noConversion"/>
  </si>
  <si>
    <t>27.96%       契約部份總價：       1,190.63    元</t>
    <phoneticPr fontId="11" type="noConversion"/>
  </si>
  <si>
    <t>72.04%       新增部份總價：       3,067.30    元</t>
    <phoneticPr fontId="11" type="noConversion"/>
  </si>
  <si>
    <t>100.00%       新增部份總價：       9,706.16    元</t>
    <phoneticPr fontId="11" type="noConversion"/>
  </si>
  <si>
    <t>領班</t>
    <phoneticPr fontId="11" type="noConversion"/>
  </si>
  <si>
    <t>100.00%       契約部份總價：       3,908.85    元</t>
  </si>
  <si>
    <t>操作手，吊放機具</t>
  </si>
  <si>
    <t xml:space="preserve">E3814ZFB201
契約單價
</t>
  </si>
  <si>
    <t>吊車，20t以上</t>
  </si>
  <si>
    <t>'01271AB201a</t>
  </si>
  <si>
    <t>吊放吊物，吊車(20t以上)</t>
  </si>
  <si>
    <t>100.00%       新增部份總價：       29,664.00    元</t>
    <phoneticPr fontId="1" type="noConversion"/>
  </si>
  <si>
    <t xml:space="preserve">M02256300N1A
</t>
  </si>
  <si>
    <t>產品，臨時擋土支撐工法，中間支撐，(租金，1月)</t>
  </si>
  <si>
    <t xml:space="preserve">02563000C1
</t>
  </si>
  <si>
    <t>臨時擋土支撐工法，中間支撐，打拔</t>
  </si>
  <si>
    <t>'0225630001A</t>
  </si>
  <si>
    <t>臨時擋土支撐工法，中間支撐</t>
  </si>
  <si>
    <t>100.00%       契約部份總價：       704.52    元</t>
  </si>
  <si>
    <t xml:space="preserve">M02900B100B
契約單價
</t>
  </si>
  <si>
    <t>產品，植栽，客土，砂質壤土</t>
  </si>
  <si>
    <t>'0293100002</t>
  </si>
  <si>
    <t>種植費，客土施放</t>
  </si>
  <si>
    <t>76.99%       新增部份總價：       836,836.27    元</t>
    <phoneticPr fontId="1" type="noConversion"/>
  </si>
  <si>
    <t>23.01%       契約部份總價：       250,166.40    元</t>
    <phoneticPr fontId="1" type="noConversion"/>
  </si>
  <si>
    <t>01271AB201a
&lt;契約單價組成&gt;
分析表13</t>
  </si>
  <si>
    <t xml:space="preserve">01532D001D
</t>
  </si>
  <si>
    <t>M2月</t>
  </si>
  <si>
    <t>覆工版租金</t>
  </si>
  <si>
    <t xml:space="preserve">01532D0002
</t>
  </si>
  <si>
    <t>覆工版，裝拆</t>
  </si>
  <si>
    <t xml:space="preserve">02256200B2a
</t>
  </si>
  <si>
    <t>支撐工法，H型鋼，裝拆(含螺栓配件)</t>
  </si>
  <si>
    <t xml:space="preserve">M02256PWDC00ABa
</t>
  </si>
  <si>
    <t>M月</t>
  </si>
  <si>
    <t>產品，支撐工法，H型鋼</t>
  </si>
  <si>
    <t>0225630001A
分析表12</t>
  </si>
  <si>
    <t>'13801A0002m</t>
  </si>
  <si>
    <t>臨時構台便橋</t>
  </si>
  <si>
    <t>100.00%       新增部份總價：       868.91    元</t>
  </si>
  <si>
    <t xml:space="preserve">05060#A004
</t>
  </si>
  <si>
    <t>裁切加工電焊(含安裝)</t>
  </si>
  <si>
    <t xml:space="preserve">M05500F0009
</t>
  </si>
  <si>
    <t>產品，鋼板及其他鋼料</t>
  </si>
  <si>
    <t xml:space="preserve">M05060CC004
</t>
  </si>
  <si>
    <t>產品，金屬材料，鋼料，加強支撐鋼材</t>
  </si>
  <si>
    <t>'03110700h2</t>
  </si>
  <si>
    <t>(免拆模板，鋼質)，厚3mm鋼模</t>
  </si>
  <si>
    <t>66.19%       新增部份總價：       460.25    元</t>
  </si>
  <si>
    <t>33.81%       契約部份總價：       235.05    元</t>
  </si>
  <si>
    <t>0293100002
&lt;契約單價組成&gt;
分析表11</t>
  </si>
  <si>
    <t xml:space="preserve">0292012C02
契約單價
</t>
  </si>
  <si>
    <t>植草，草種噴植，混合草種，養護</t>
  </si>
  <si>
    <t xml:space="preserve">0406130003
契約單價
</t>
  </si>
  <si>
    <t>水泥砂漿，1:3</t>
  </si>
  <si>
    <t xml:space="preserve">M0422200002
</t>
  </si>
  <si>
    <t>產品，混凝土植草磚</t>
  </si>
  <si>
    <t>'0422200002</t>
  </si>
  <si>
    <t>混凝土植草磚</t>
  </si>
  <si>
    <t>90.31%       新增部份總價：       3,461.65    元</t>
  </si>
  <si>
    <t>9.69%       契約部份總價：       371.60    元</t>
  </si>
  <si>
    <t xml:space="preserve">E3532PWDX60104
契約單價
</t>
  </si>
  <si>
    <t>混凝土輸送設備</t>
  </si>
  <si>
    <t xml:space="preserve">0339000004
契約單價
</t>
  </si>
  <si>
    <t>混凝土養護</t>
  </si>
  <si>
    <t xml:space="preserve">E000003100004
契約單價
</t>
  </si>
  <si>
    <t>混凝土振動器</t>
  </si>
  <si>
    <t xml:space="preserve">L000006900021
契約單價
</t>
  </si>
  <si>
    <t>混凝土作業工，澆置</t>
  </si>
  <si>
    <t xml:space="preserve">M0305046203
</t>
  </si>
  <si>
    <t/>
  </si>
  <si>
    <t>產品，預拌混凝土材料費，280kgf/cm2，第2型水泥</t>
  </si>
  <si>
    <t>'0331027203</t>
  </si>
  <si>
    <t>結構用混凝土，預拌，280kgf/cm2(第二型水泥)</t>
  </si>
  <si>
    <t>87.35%       新增部份總價：       50,085.89    元</t>
    <phoneticPr fontId="1" type="noConversion"/>
  </si>
  <si>
    <t>12.65%       契約部份總價：       7,254.63    元</t>
    <phoneticPr fontId="1" type="noConversion"/>
  </si>
  <si>
    <t xml:space="preserve">0245760044
</t>
  </si>
  <si>
    <t>預力混凝土基樁，D=600mm，樁頭處理(含無收縮混凝土、鋼筋、吊模及與基礎之接樁處理)</t>
  </si>
  <si>
    <t xml:space="preserve">L000005c00011
契約單價
</t>
  </si>
  <si>
    <t>金屬建材架構工，鋼索絞結工</t>
  </si>
  <si>
    <t xml:space="preserve">L000005100041
契約單價
</t>
  </si>
  <si>
    <t>機具操作技術工，移動式起重機</t>
  </si>
  <si>
    <t xml:space="preserve">L0000051000C1
契約單價
</t>
  </si>
  <si>
    <t>操作手，打樁設備</t>
  </si>
  <si>
    <t xml:space="preserve">E000008b10001
契約單價
</t>
  </si>
  <si>
    <t>移動式起重機，10~19t</t>
  </si>
  <si>
    <t xml:space="preserve">E00000PWD10H1001
契約單價
</t>
  </si>
  <si>
    <t>打樁機械，(錘重，2.0~2.9t)</t>
  </si>
  <si>
    <t xml:space="preserve">L0000051000R1
契約單價
</t>
  </si>
  <si>
    <t>操作手，迴轉鑽井機</t>
  </si>
  <si>
    <t xml:space="preserve">E3571X0BAA1
</t>
  </si>
  <si>
    <t>鑽掘機</t>
  </si>
  <si>
    <t xml:space="preserve">E093106230001
</t>
  </si>
  <si>
    <t>基樁吊運費用</t>
  </si>
  <si>
    <t xml:space="preserve">M0245762001
</t>
  </si>
  <si>
    <t>產品，預力混凝土基樁，D=600mm，B種</t>
  </si>
  <si>
    <t>'0245760011a</t>
  </si>
  <si>
    <t>預力混凝土基樁，D=600mm，(打樁，含樁，空打及PC版樁隱蔽障礙物清除處理)</t>
  </si>
  <si>
    <t>54.50%       新增部份總價：       1,700.90    元</t>
  </si>
  <si>
    <t>45.50%       契約部份總價：       1,420.11    元</t>
  </si>
  <si>
    <t xml:space="preserve">00006701000
契約單價
</t>
  </si>
  <si>
    <t>L.M3</t>
  </si>
  <si>
    <t>塊石搬運</t>
  </si>
  <si>
    <t xml:space="preserve">M1510710000B4
契約單價
</t>
  </si>
  <si>
    <t>產品，硬質聚氯乙烯塑膠管(A管薄管)，洩水孔用</t>
  </si>
  <si>
    <t xml:space="preserve">L000005000011
契約單價
</t>
  </si>
  <si>
    <t>技術工，砌石</t>
  </si>
  <si>
    <t xml:space="preserve">M023860000A
</t>
  </si>
  <si>
    <t>產品，砌排石工，(卵石，均厚70cm，未含勾縫)</t>
  </si>
  <si>
    <t xml:space="preserve">0331023003
契約單價
</t>
  </si>
  <si>
    <t>結構用混凝土，預拌，140kgf/cm2</t>
  </si>
  <si>
    <t>'0238632202b</t>
  </si>
  <si>
    <t>砌排石工，混凝土砌石(卵石均厚70cm)</t>
  </si>
  <si>
    <t>100.00%       契約部份總價：       162,122.00    元</t>
    <phoneticPr fontId="1" type="noConversion"/>
  </si>
  <si>
    <t>kg</t>
  </si>
  <si>
    <t>操作手</t>
  </si>
  <si>
    <t>'055000A009</t>
  </si>
  <si>
    <t>鋼構吊裝</t>
  </si>
  <si>
    <t xml:space="preserve">E000003400001
契約單價
</t>
  </si>
  <si>
    <t>傾卸貨車，總重8-8.9t</t>
  </si>
  <si>
    <t>'02323M00AA</t>
  </si>
  <si>
    <t>餘方近運1km小搬運</t>
  </si>
  <si>
    <t>20.56%       新增部份總價：       33.97    元</t>
  </si>
  <si>
    <t>79.44%       契約部份總價：       131.25    元</t>
  </si>
  <si>
    <t xml:space="preserve">L028985000001
契約單價
</t>
  </si>
  <si>
    <t>標線，技術工</t>
  </si>
  <si>
    <t xml:space="preserve">m02898a000a
</t>
  </si>
  <si>
    <t>L</t>
  </si>
  <si>
    <t>產品，標線路線漆</t>
  </si>
  <si>
    <t>'02898120E2</t>
  </si>
  <si>
    <t>路線漆標線，12公尺以下道路及零星路段繪設</t>
  </si>
  <si>
    <t>100.00%       契約部份總價：       20,000.00    元</t>
  </si>
  <si>
    <t xml:space="preserve">W0127110004a
契約單價
</t>
  </si>
  <si>
    <t>'02323M00AC</t>
  </si>
  <si>
    <t>日</t>
  </si>
  <si>
    <t>餘土分類處理</t>
  </si>
  <si>
    <t xml:space="preserve"> 第2次變更設計新增項目單價分析表</t>
  </si>
  <si>
    <t>上溢營造股份有限公司</t>
    <phoneticPr fontId="11" type="noConversion"/>
  </si>
  <si>
    <t>100.00%       契約部份總價：       10000.00    元</t>
    <phoneticPr fontId="1" type="noConversion"/>
  </si>
  <si>
    <t>新單價</t>
    <phoneticPr fontId="11" type="noConversion"/>
  </si>
  <si>
    <t>新複價</t>
    <phoneticPr fontId="11" type="noConversion"/>
  </si>
  <si>
    <t>原價</t>
    <phoneticPr fontId="13" type="noConversion"/>
  </si>
  <si>
    <t>議價</t>
    <phoneticPr fontId="13" type="noConversion"/>
  </si>
  <si>
    <t>契約單價</t>
    <phoneticPr fontId="11" type="noConversion"/>
  </si>
  <si>
    <t>新增單價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</si>
</sst>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_(&quot;$&quot;* #,##0_);_(&quot;$&quot;* \(#,##0\);_(&quot;$&quot;* &quot;-&quot;_);_(@_)"/>
    <numFmt numFmtId="177" formatCode="#,##0.00_ "/>
    <numFmt numFmtId="178" formatCode="_-* #,##0.0_-;\-* #,##0.0_-;_-* &quot;-&quot;??_-;_-@_-"/>
    <numFmt numFmtId="179" formatCode="_-* #,##0.000000_-;\-* #,##0.000000_-;_-* &quot;-&quot;??_-;_-@_-"/>
    <numFmt numFmtId="180" formatCode="0.0%"/>
    <numFmt numFmtId="181" formatCode="#,##0.0000000_ "/>
    <numFmt numFmtId="183" formatCode="_-* #,##0_-;\-* #,##0_-;_-* &quot;-&quot;??_-;_-@_-"/>
    <numFmt numFmtId="184" formatCode="_-* #,##0.000_-;\-* #,##0.000_-;_-* &quot;-&quot;??_-;_-@_-"/>
    <numFmt numFmtId="185" formatCode="_-* #,##0.00000000_-;\-* #,##0.00000000_-;_-* &quot;-&quot;??_-;_-@_-"/>
    <numFmt numFmtId="188" formatCode="_-* #,##0.00000_-;\-* #,##0.00000_-;_-* &quot;-&quot;??_-;_-@_-"/>
  </numFmts>
  <fonts count="18" x14ac:knownFonts="1">
    <font>
      <sz val="12"/>
      <name val="新細明體"/>
      <family val="1"/>
    </font>
    <font>
      <sz val="12"/>
      <name val="新細明體"/>
      <family val="1"/>
    </font>
    <font>
      <sz val="12"/>
      <name val="Times New Roman"/>
      <family val="1"/>
    </font>
    <font>
      <sz val="12"/>
      <name val="標楷體"/>
      <family val="4"/>
    </font>
    <font>
      <b/>
      <sz val="12"/>
      <name val="標楷體"/>
      <family val="4"/>
    </font>
    <font>
      <sz val="10"/>
      <name val="標楷體"/>
      <family val="4"/>
    </font>
    <font>
      <sz val="10"/>
      <name val="新細明體"/>
      <family val="1"/>
    </font>
    <font>
      <b/>
      <sz val="14"/>
      <color indexed="8"/>
      <name val="標楷體"/>
      <family val="4"/>
    </font>
    <font>
      <sz val="12"/>
      <color indexed="8"/>
      <name val="標楷體"/>
      <family val="4"/>
    </font>
    <font>
      <sz val="12"/>
      <name val="新細明體"/>
      <family val="1"/>
    </font>
    <font>
      <sz val="9"/>
      <name val="Arial"/>
      <family val="2"/>
    </font>
    <font>
      <sz val="9"/>
      <name val="細明體"/>
      <family val="3"/>
      <charset val="136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color theme="9" tint="-0.499984740745262"/>
      <name val="標楷體"/>
      <family val="4"/>
      <charset val="136"/>
    </font>
    <font>
      <sz val="12"/>
      <color rgb="FFFF0000"/>
      <name val="標楷體"/>
      <family val="4"/>
    </font>
    <font>
      <sz val="12"/>
      <color rgb="FFFFC000"/>
      <name val="標楷體"/>
      <family val="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>
      <alignment vertical="center"/>
    </xf>
    <xf numFmtId="176" fontId="2" fillId="0" borderId="0"/>
    <xf numFmtId="9" fontId="1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178" fontId="3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shrinkToFit="1"/>
    </xf>
    <xf numFmtId="177" fontId="10" fillId="0" borderId="1" xfId="0" applyNumberFormat="1" applyFont="1" applyBorder="1" applyAlignment="1">
      <alignment horizontal="right" vertical="center" shrinkToFit="1"/>
    </xf>
    <xf numFmtId="0" fontId="6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/>
    </xf>
    <xf numFmtId="43" fontId="3" fillId="0" borderId="0" xfId="1" applyFont="1">
      <alignment vertical="center"/>
    </xf>
    <xf numFmtId="43" fontId="8" fillId="0" borderId="0" xfId="1" applyFont="1">
      <alignment vertical="center"/>
    </xf>
    <xf numFmtId="179" fontId="3" fillId="0" borderId="0" xfId="1" applyNumberFormat="1" applyFont="1">
      <alignment vertical="center"/>
    </xf>
    <xf numFmtId="43" fontId="4" fillId="0" borderId="0" xfId="1" applyFont="1" applyAlignment="1">
      <alignment horizontal="center" vertical="center"/>
    </xf>
    <xf numFmtId="178" fontId="4" fillId="0" borderId="0" xfId="1" applyNumberFormat="1" applyFont="1" applyAlignment="1">
      <alignment horizontal="center" vertical="center"/>
    </xf>
    <xf numFmtId="0" fontId="6" fillId="2" borderId="1" xfId="0" applyFont="1" applyFill="1" applyBorder="1" applyAlignment="1">
      <alignment vertical="center" wrapText="1" readingOrder="1"/>
    </xf>
    <xf numFmtId="180" fontId="3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43" fontId="3" fillId="0" borderId="0" xfId="1" applyFont="1" applyAlignment="1">
      <alignment horizontal="center" vertical="center"/>
    </xf>
    <xf numFmtId="177" fontId="10" fillId="0" borderId="1" xfId="0" applyNumberFormat="1" applyFont="1" applyBorder="1" applyAlignment="1">
      <alignment horizontal="right" vertical="center" shrinkToFit="1"/>
    </xf>
    <xf numFmtId="178" fontId="12" fillId="0" borderId="0" xfId="1" applyNumberFormat="1" applyFont="1" applyAlignment="1">
      <alignment horizontal="center" vertical="center"/>
    </xf>
    <xf numFmtId="43" fontId="12" fillId="0" borderId="0" xfId="1" applyFont="1" applyAlignment="1">
      <alignment horizontal="center" vertical="center"/>
    </xf>
    <xf numFmtId="43" fontId="14" fillId="0" borderId="0" xfId="1" applyFont="1" applyAlignment="1">
      <alignment horizontal="center" vertical="center"/>
    </xf>
    <xf numFmtId="181" fontId="15" fillId="0" borderId="0" xfId="1" applyNumberFormat="1" applyFont="1" applyAlignment="1">
      <alignment horizontal="center" vertical="center"/>
    </xf>
    <xf numFmtId="43" fontId="3" fillId="0" borderId="0" xfId="1" applyNumberFormat="1" applyFont="1">
      <alignment vertical="center"/>
    </xf>
    <xf numFmtId="183" fontId="3" fillId="0" borderId="0" xfId="1" applyNumberFormat="1" applyFont="1">
      <alignment vertical="center"/>
    </xf>
    <xf numFmtId="43" fontId="8" fillId="0" borderId="0" xfId="1" applyNumberFormat="1" applyFont="1">
      <alignment vertical="center"/>
    </xf>
    <xf numFmtId="43" fontId="4" fillId="0" borderId="0" xfId="1" applyNumberFormat="1" applyFont="1">
      <alignment vertical="center"/>
    </xf>
    <xf numFmtId="183" fontId="8" fillId="0" borderId="0" xfId="1" applyNumberFormat="1" applyFont="1">
      <alignment vertical="center"/>
    </xf>
    <xf numFmtId="183" fontId="4" fillId="0" borderId="0" xfId="1" applyNumberFormat="1" applyFont="1">
      <alignment vertical="center"/>
    </xf>
    <xf numFmtId="0" fontId="6" fillId="3" borderId="1" xfId="0" applyFont="1" applyFill="1" applyBorder="1" applyAlignment="1">
      <alignment vertical="center" wrapText="1" readingOrder="1"/>
    </xf>
    <xf numFmtId="43" fontId="4" fillId="0" borderId="0" xfId="1" applyNumberFormat="1" applyFont="1" applyAlignment="1">
      <alignment horizontal="center" vertical="center"/>
    </xf>
    <xf numFmtId="43" fontId="16" fillId="0" borderId="0" xfId="1" applyNumberFormat="1" applyFont="1">
      <alignment vertical="center"/>
    </xf>
    <xf numFmtId="184" fontId="3" fillId="0" borderId="0" xfId="1" applyNumberFormat="1" applyFont="1" applyAlignment="1">
      <alignment horizontal="center" vertical="center"/>
    </xf>
    <xf numFmtId="185" fontId="3" fillId="0" borderId="0" xfId="1" applyNumberFormat="1" applyFont="1">
      <alignment vertical="center"/>
    </xf>
    <xf numFmtId="43" fontId="3" fillId="0" borderId="0" xfId="1" applyNumberFormat="1" applyFont="1" applyAlignment="1">
      <alignment horizontal="left" vertical="center"/>
    </xf>
    <xf numFmtId="43" fontId="12" fillId="0" borderId="0" xfId="1" applyNumberFormat="1" applyFont="1" applyAlignment="1">
      <alignment horizontal="center" vertical="center"/>
    </xf>
    <xf numFmtId="43" fontId="14" fillId="0" borderId="0" xfId="1" applyNumberFormat="1" applyFont="1" applyAlignment="1">
      <alignment horizontal="center" vertical="center"/>
    </xf>
    <xf numFmtId="43" fontId="17" fillId="3" borderId="0" xfId="1" applyNumberFormat="1" applyFont="1" applyFill="1">
      <alignment vertical="center"/>
    </xf>
    <xf numFmtId="178" fontId="7" fillId="0" borderId="0" xfId="1" applyNumberFormat="1" applyFont="1" applyAlignment="1">
      <alignment horizontal="center" vertical="center"/>
    </xf>
    <xf numFmtId="178" fontId="3" fillId="0" borderId="2" xfId="1" applyNumberFormat="1" applyFont="1" applyBorder="1" applyAlignment="1">
      <alignment vertical="center" shrinkToFit="1"/>
    </xf>
    <xf numFmtId="0" fontId="1" fillId="0" borderId="2" xfId="0" applyFont="1" applyBorder="1">
      <alignment vertical="center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shrinkToFit="1"/>
    </xf>
    <xf numFmtId="177" fontId="10" fillId="0" borderId="1" xfId="0" applyNumberFormat="1" applyFont="1" applyBorder="1" applyAlignment="1">
      <alignment horizontal="right" vertical="center" shrinkToFit="1"/>
    </xf>
    <xf numFmtId="0" fontId="6" fillId="0" borderId="1" xfId="0" applyFont="1" applyBorder="1" applyAlignment="1">
      <alignment horizontal="right" vertical="center" wrapText="1" readingOrder="1"/>
    </xf>
    <xf numFmtId="0" fontId="9" fillId="0" borderId="2" xfId="0" applyFont="1" applyBorder="1">
      <alignment vertical="center"/>
    </xf>
    <xf numFmtId="188" fontId="8" fillId="0" borderId="0" xfId="1" applyNumberFormat="1" applyFont="1">
      <alignment vertical="center"/>
    </xf>
    <xf numFmtId="188" fontId="3" fillId="0" borderId="0" xfId="1" applyNumberFormat="1" applyFont="1">
      <alignment vertical="center"/>
    </xf>
    <xf numFmtId="188" fontId="4" fillId="0" borderId="0" xfId="1" applyNumberFormat="1" applyFont="1">
      <alignment vertical="center"/>
    </xf>
  </cellXfs>
  <cellStyles count="4">
    <cellStyle name="一般" xfId="0" builtinId="0"/>
    <cellStyle name="千分位" xfId="1" builtinId="3"/>
    <cellStyle name="百分比" xfId="3" builtinId="5"/>
    <cellStyle name="貨幣[0]_S018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4E17-B2AC-44BF-9E19-E321AF70D672}">
  <dimension ref="A1:Q307"/>
  <sheetViews>
    <sheetView tabSelected="1" view="pageBreakPreview" topLeftCell="F131" zoomScale="70" zoomScaleNormal="75" zoomScaleSheetLayoutView="70" workbookViewId="0">
      <selection activeCell="J136" sqref="J136:J138"/>
    </sheetView>
  </sheetViews>
  <sheetFormatPr defaultColWidth="9" defaultRowHeight="22.5" customHeight="1" x14ac:dyDescent="0.25"/>
  <cols>
    <col min="1" max="1" width="9.75" style="1" customWidth="1"/>
    <col min="2" max="2" width="21.25" style="1" customWidth="1"/>
    <col min="3" max="3" width="8.5" style="1" customWidth="1"/>
    <col min="4" max="4" width="11.375" style="1" customWidth="1"/>
    <col min="5" max="5" width="11" style="1" customWidth="1"/>
    <col min="6" max="6" width="12.25" style="1" customWidth="1"/>
    <col min="7" max="7" width="12.5" style="1" customWidth="1"/>
    <col min="8" max="8" width="5.875" style="26" bestFit="1" customWidth="1"/>
    <col min="9" max="9" width="13.375" style="25" bestFit="1" customWidth="1"/>
    <col min="10" max="10" width="26.125" style="25" bestFit="1" customWidth="1"/>
    <col min="11" max="11" width="13.375" style="25" bestFit="1" customWidth="1"/>
    <col min="12" max="12" width="13.25" style="1" customWidth="1"/>
    <col min="13" max="13" width="12.125" style="1" bestFit="1" customWidth="1"/>
    <col min="14" max="14" width="23.75" style="49" bestFit="1" customWidth="1"/>
    <col min="15" max="15" width="19.125" style="25" customWidth="1"/>
    <col min="16" max="16" width="9" style="1"/>
    <col min="17" max="17" width="14.5" style="1" bestFit="1" customWidth="1"/>
    <col min="18" max="16384" width="9" style="1"/>
  </cols>
  <sheetData>
    <row r="1" spans="1:17" s="2" customFormat="1" ht="19.5" customHeight="1" x14ac:dyDescent="0.25">
      <c r="A1" s="40" t="s">
        <v>442</v>
      </c>
      <c r="B1" s="40"/>
      <c r="C1" s="40"/>
      <c r="D1" s="40"/>
      <c r="E1" s="40"/>
      <c r="F1" s="40"/>
      <c r="G1" s="40"/>
      <c r="H1" s="29"/>
      <c r="I1" s="27"/>
      <c r="J1" s="27"/>
      <c r="K1" s="27"/>
      <c r="N1" s="48"/>
      <c r="O1" s="27"/>
    </row>
    <row r="2" spans="1:17" s="2" customFormat="1" ht="19.5" customHeight="1" x14ac:dyDescent="0.25">
      <c r="A2" s="40" t="s">
        <v>441</v>
      </c>
      <c r="B2" s="40"/>
      <c r="C2" s="40"/>
      <c r="D2" s="40"/>
      <c r="E2" s="40"/>
      <c r="F2" s="40"/>
      <c r="G2" s="40"/>
      <c r="H2" s="29"/>
      <c r="I2" s="27"/>
      <c r="J2" s="27"/>
      <c r="K2" s="37" t="s">
        <v>446</v>
      </c>
      <c r="L2" s="22">
        <v>13091951.619999999</v>
      </c>
      <c r="M2" s="21"/>
      <c r="N2" s="48"/>
      <c r="O2" s="27"/>
    </row>
    <row r="3" spans="1:17" ht="19.5" customHeight="1" x14ac:dyDescent="0.25">
      <c r="A3" s="41" t="s">
        <v>298</v>
      </c>
      <c r="B3" s="42"/>
      <c r="C3" s="42"/>
      <c r="D3" s="42"/>
      <c r="E3" s="42"/>
      <c r="F3" s="42"/>
      <c r="G3" s="42"/>
      <c r="K3" s="38" t="s">
        <v>447</v>
      </c>
      <c r="L3" s="23">
        <v>13091000</v>
      </c>
      <c r="M3" s="24">
        <f>L3/L2</f>
        <v>0.99992731259420897</v>
      </c>
    </row>
    <row r="4" spans="1:17" s="3" customFormat="1" ht="19.5" customHeight="1" x14ac:dyDescent="0.25">
      <c r="A4" s="4" t="s">
        <v>1</v>
      </c>
      <c r="B4" s="5" t="s">
        <v>2</v>
      </c>
      <c r="C4" s="5" t="s">
        <v>3</v>
      </c>
      <c r="D4" s="5" t="s">
        <v>4</v>
      </c>
      <c r="E4" s="6" t="s">
        <v>5</v>
      </c>
      <c r="F4" s="6" t="s">
        <v>6</v>
      </c>
      <c r="G4" s="5" t="s">
        <v>7</v>
      </c>
      <c r="H4" s="30">
        <v>1</v>
      </c>
      <c r="I4" s="28"/>
      <c r="J4" s="28"/>
      <c r="K4" s="28"/>
      <c r="N4" s="50"/>
      <c r="O4" s="28"/>
    </row>
    <row r="5" spans="1:17" ht="16.5" x14ac:dyDescent="0.25">
      <c r="A5" s="10" t="s">
        <v>8</v>
      </c>
      <c r="B5" s="10" t="s">
        <v>440</v>
      </c>
      <c r="C5" s="7" t="s">
        <v>439</v>
      </c>
      <c r="D5" s="20"/>
      <c r="E5" s="20">
        <v>20000</v>
      </c>
      <c r="F5" s="20"/>
      <c r="G5" s="9" t="s">
        <v>438</v>
      </c>
      <c r="H5" s="26" t="s">
        <v>12</v>
      </c>
      <c r="M5" s="3"/>
      <c r="P5" s="3"/>
      <c r="Q5" s="3"/>
    </row>
    <row r="6" spans="1:17" ht="42.75" x14ac:dyDescent="0.25">
      <c r="A6" s="10">
        <v>1</v>
      </c>
      <c r="B6" s="10" t="s">
        <v>43</v>
      </c>
      <c r="C6" s="7" t="s">
        <v>14</v>
      </c>
      <c r="D6" s="20">
        <v>8</v>
      </c>
      <c r="E6" s="20">
        <v>1500</v>
      </c>
      <c r="F6" s="20">
        <v>12000</v>
      </c>
      <c r="G6" s="9" t="s">
        <v>44</v>
      </c>
      <c r="H6" s="26" t="s">
        <v>12</v>
      </c>
    </row>
    <row r="7" spans="1:17" ht="42.75" x14ac:dyDescent="0.25">
      <c r="A7" s="10">
        <v>2</v>
      </c>
      <c r="B7" s="10" t="s">
        <v>420</v>
      </c>
      <c r="C7" s="7" t="s">
        <v>14</v>
      </c>
      <c r="D7" s="20">
        <v>8</v>
      </c>
      <c r="E7" s="20">
        <v>375</v>
      </c>
      <c r="F7" s="20">
        <v>3000</v>
      </c>
      <c r="G7" s="9" t="s">
        <v>46</v>
      </c>
      <c r="H7" s="26" t="s">
        <v>12</v>
      </c>
    </row>
    <row r="8" spans="1:17" ht="42.75" x14ac:dyDescent="0.25">
      <c r="A8" s="10">
        <v>3</v>
      </c>
      <c r="B8" s="10" t="s">
        <v>41</v>
      </c>
      <c r="C8" s="7" t="s">
        <v>14</v>
      </c>
      <c r="D8" s="20">
        <v>16</v>
      </c>
      <c r="E8" s="20">
        <v>280</v>
      </c>
      <c r="F8" s="20">
        <v>4480</v>
      </c>
      <c r="G8" s="9" t="s">
        <v>42</v>
      </c>
      <c r="H8" s="26" t="s">
        <v>12</v>
      </c>
    </row>
    <row r="9" spans="1:17" ht="42.75" x14ac:dyDescent="0.25">
      <c r="A9" s="10">
        <v>4</v>
      </c>
      <c r="B9" s="10" t="s">
        <v>20</v>
      </c>
      <c r="C9" s="7" t="s">
        <v>21</v>
      </c>
      <c r="D9" s="20">
        <v>1</v>
      </c>
      <c r="E9" s="20">
        <v>520</v>
      </c>
      <c r="F9" s="20">
        <v>520</v>
      </c>
      <c r="G9" s="9" t="s">
        <v>437</v>
      </c>
      <c r="H9" s="26" t="s">
        <v>12</v>
      </c>
    </row>
    <row r="10" spans="1:17" ht="16.5" x14ac:dyDescent="0.25">
      <c r="A10" s="10"/>
      <c r="B10" s="10" t="s">
        <v>23</v>
      </c>
      <c r="C10" s="7"/>
      <c r="D10" s="20"/>
      <c r="E10" s="20"/>
      <c r="F10" s="20">
        <v>20000</v>
      </c>
      <c r="G10" s="9"/>
      <c r="H10" s="26" t="s">
        <v>12</v>
      </c>
    </row>
    <row r="11" spans="1:17" ht="16.5" x14ac:dyDescent="0.25">
      <c r="A11" s="10"/>
      <c r="B11" s="10"/>
      <c r="C11" s="7"/>
      <c r="D11" s="20"/>
      <c r="E11" s="20"/>
      <c r="F11" s="20"/>
      <c r="G11" s="9"/>
    </row>
    <row r="12" spans="1:17" ht="16.5" x14ac:dyDescent="0.25">
      <c r="A12" s="43" t="s">
        <v>436</v>
      </c>
      <c r="B12" s="43"/>
      <c r="C12" s="44"/>
      <c r="D12" s="45"/>
      <c r="E12" s="45"/>
      <c r="F12" s="45"/>
      <c r="G12" s="46"/>
    </row>
    <row r="13" spans="1:17" ht="16.5" x14ac:dyDescent="0.25">
      <c r="A13" s="43" t="s">
        <v>36</v>
      </c>
      <c r="B13" s="43"/>
      <c r="C13" s="44"/>
      <c r="D13" s="45"/>
      <c r="E13" s="45"/>
      <c r="F13" s="45"/>
      <c r="G13" s="46"/>
    </row>
    <row r="14" spans="1:17" ht="19.5" customHeight="1" x14ac:dyDescent="0.25">
      <c r="H14" s="26">
        <v>2</v>
      </c>
      <c r="I14" s="32" t="s">
        <v>444</v>
      </c>
      <c r="J14" s="32" t="s">
        <v>445</v>
      </c>
      <c r="K14" s="28"/>
      <c r="L14" s="3"/>
      <c r="N14" s="50" t="s">
        <v>302</v>
      </c>
      <c r="O14" s="28" t="s">
        <v>304</v>
      </c>
    </row>
    <row r="15" spans="1:17" ht="28.5" x14ac:dyDescent="0.25">
      <c r="A15" s="10" t="s">
        <v>26</v>
      </c>
      <c r="B15" s="10" t="s">
        <v>435</v>
      </c>
      <c r="C15" s="7" t="s">
        <v>74</v>
      </c>
      <c r="D15" s="20"/>
      <c r="E15" s="20">
        <v>165.22</v>
      </c>
      <c r="F15" s="20"/>
      <c r="G15" s="9" t="s">
        <v>434</v>
      </c>
      <c r="H15" s="26" t="s">
        <v>12</v>
      </c>
      <c r="I15" s="25">
        <f>E15*N15</f>
        <v>165.20799058681521</v>
      </c>
      <c r="N15" s="49">
        <f>M3</f>
        <v>0.99992731259420897</v>
      </c>
      <c r="O15" s="36">
        <f>E15-I15</f>
        <v>1.2009413184784989E-2</v>
      </c>
    </row>
    <row r="16" spans="1:17" ht="28.5" x14ac:dyDescent="0.25">
      <c r="A16" s="10">
        <v>1</v>
      </c>
      <c r="B16" s="10" t="s">
        <v>433</v>
      </c>
      <c r="C16" s="7" t="s">
        <v>432</v>
      </c>
      <c r="D16" s="20">
        <v>0.09</v>
      </c>
      <c r="E16" s="20">
        <v>324</v>
      </c>
      <c r="F16" s="20">
        <v>29.16</v>
      </c>
      <c r="G16" s="9" t="s">
        <v>431</v>
      </c>
      <c r="H16" s="26" t="s">
        <v>12</v>
      </c>
      <c r="I16" s="25">
        <f>324-O15</f>
        <v>323.98799058681522</v>
      </c>
      <c r="J16" s="25">
        <f>D16*I16</f>
        <v>29.158919152813368</v>
      </c>
    </row>
    <row r="17" spans="1:15" ht="42.75" x14ac:dyDescent="0.25">
      <c r="A17" s="10">
        <v>2</v>
      </c>
      <c r="B17" s="10" t="s">
        <v>430</v>
      </c>
      <c r="C17" s="7" t="s">
        <v>14</v>
      </c>
      <c r="D17" s="20">
        <v>0.35</v>
      </c>
      <c r="E17" s="20">
        <v>375</v>
      </c>
      <c r="F17" s="20">
        <v>131.25</v>
      </c>
      <c r="G17" s="16" t="s">
        <v>429</v>
      </c>
      <c r="H17" s="26" t="s">
        <v>12</v>
      </c>
      <c r="I17" s="33">
        <v>375</v>
      </c>
      <c r="J17" s="33">
        <v>131.25</v>
      </c>
    </row>
    <row r="18" spans="1:15" ht="28.5" x14ac:dyDescent="0.25">
      <c r="A18" s="10">
        <v>3</v>
      </c>
      <c r="B18" s="10" t="s">
        <v>20</v>
      </c>
      <c r="C18" s="7" t="s">
        <v>21</v>
      </c>
      <c r="D18" s="20">
        <v>1</v>
      </c>
      <c r="E18" s="20">
        <v>4.8099999999999996</v>
      </c>
      <c r="F18" s="20">
        <v>4.8099999999999996</v>
      </c>
      <c r="G18" s="9" t="s">
        <v>22</v>
      </c>
      <c r="H18" s="26" t="s">
        <v>12</v>
      </c>
      <c r="I18" s="25">
        <v>4.8099999999999996</v>
      </c>
      <c r="J18" s="25">
        <f>D18*I18-0.01</f>
        <v>4.8</v>
      </c>
    </row>
    <row r="19" spans="1:15" ht="16.5" x14ac:dyDescent="0.25">
      <c r="A19" s="10"/>
      <c r="B19" s="10" t="s">
        <v>23</v>
      </c>
      <c r="C19" s="7"/>
      <c r="D19" s="20"/>
      <c r="E19" s="20"/>
      <c r="F19" s="20">
        <v>165.22</v>
      </c>
      <c r="G19" s="9"/>
      <c r="H19" s="26" t="s">
        <v>12</v>
      </c>
      <c r="J19" s="25">
        <f>SUM(J16:J18)</f>
        <v>165.20891915281339</v>
      </c>
    </row>
    <row r="20" spans="1:15" ht="16.5" x14ac:dyDescent="0.25">
      <c r="A20" s="10"/>
      <c r="B20" s="10"/>
      <c r="C20" s="7"/>
      <c r="D20" s="20"/>
      <c r="E20" s="20"/>
      <c r="F20" s="20"/>
      <c r="G20" s="9"/>
      <c r="L20" s="34">
        <f>J19</f>
        <v>165.20891915281339</v>
      </c>
    </row>
    <row r="21" spans="1:15" ht="16.5" x14ac:dyDescent="0.25">
      <c r="A21" s="43" t="s">
        <v>428</v>
      </c>
      <c r="B21" s="43"/>
      <c r="C21" s="44"/>
      <c r="D21" s="45"/>
      <c r="E21" s="45"/>
      <c r="F21" s="45"/>
      <c r="G21" s="46"/>
      <c r="J21" s="25" t="s">
        <v>305</v>
      </c>
      <c r="L21" s="18">
        <f>F17/L20</f>
        <v>0.79444863311887903</v>
      </c>
      <c r="N21" s="25">
        <f>J19-N22</f>
        <v>131.25000000000003</v>
      </c>
    </row>
    <row r="22" spans="1:15" ht="16.5" x14ac:dyDescent="0.25">
      <c r="A22" s="43" t="s">
        <v>427</v>
      </c>
      <c r="B22" s="43"/>
      <c r="C22" s="44"/>
      <c r="D22" s="45"/>
      <c r="E22" s="45"/>
      <c r="F22" s="45"/>
      <c r="G22" s="46"/>
      <c r="J22" s="25">
        <f>J16+J18</f>
        <v>33.958919152813365</v>
      </c>
      <c r="L22" s="18">
        <f>J22/L20</f>
        <v>0.20555136688112077</v>
      </c>
      <c r="N22" s="25">
        <f>J22</f>
        <v>33.958919152813365</v>
      </c>
    </row>
    <row r="23" spans="1:15" ht="19.5" customHeight="1" x14ac:dyDescent="0.25">
      <c r="H23" s="26">
        <v>3</v>
      </c>
      <c r="I23" s="32" t="s">
        <v>444</v>
      </c>
      <c r="J23" s="32" t="s">
        <v>445</v>
      </c>
      <c r="K23" s="28"/>
      <c r="L23" s="3"/>
      <c r="N23" s="50" t="s">
        <v>302</v>
      </c>
      <c r="O23" s="28" t="s">
        <v>304</v>
      </c>
    </row>
    <row r="24" spans="1:15" ht="16.5" x14ac:dyDescent="0.25">
      <c r="A24" s="10" t="s">
        <v>37</v>
      </c>
      <c r="B24" s="10" t="s">
        <v>426</v>
      </c>
      <c r="C24" s="7" t="s">
        <v>28</v>
      </c>
      <c r="D24" s="20">
        <v>100</v>
      </c>
      <c r="E24" s="20">
        <v>100</v>
      </c>
      <c r="F24" s="20"/>
      <c r="G24" s="9" t="s">
        <v>425</v>
      </c>
      <c r="H24" s="26" t="s">
        <v>12</v>
      </c>
      <c r="N24" s="49">
        <f>M3</f>
        <v>0.99992731259420897</v>
      </c>
      <c r="O24" s="36">
        <f>E24-I24</f>
        <v>100</v>
      </c>
    </row>
    <row r="25" spans="1:15" ht="42.75" x14ac:dyDescent="0.25">
      <c r="A25" s="10">
        <v>1</v>
      </c>
      <c r="B25" s="10" t="s">
        <v>424</v>
      </c>
      <c r="C25" s="7" t="s">
        <v>14</v>
      </c>
      <c r="D25" s="20">
        <v>9.1999999999999993</v>
      </c>
      <c r="E25" s="20">
        <v>690</v>
      </c>
      <c r="F25" s="20">
        <v>6348</v>
      </c>
      <c r="G25" s="16" t="s">
        <v>423</v>
      </c>
      <c r="H25" s="26" t="s">
        <v>12</v>
      </c>
      <c r="I25" s="33"/>
      <c r="J25" s="33"/>
    </row>
    <row r="26" spans="1:15" ht="42.75" x14ac:dyDescent="0.25">
      <c r="A26" s="10">
        <v>2</v>
      </c>
      <c r="B26" s="10" t="s">
        <v>32</v>
      </c>
      <c r="C26" s="7" t="s">
        <v>14</v>
      </c>
      <c r="D26" s="20">
        <v>9.1999999999999993</v>
      </c>
      <c r="E26" s="20">
        <v>375</v>
      </c>
      <c r="F26" s="20">
        <v>3450</v>
      </c>
      <c r="G26" s="16" t="s">
        <v>33</v>
      </c>
      <c r="H26" s="26" t="s">
        <v>12</v>
      </c>
      <c r="I26" s="33"/>
      <c r="J26" s="33"/>
    </row>
    <row r="27" spans="1:15" ht="28.5" x14ac:dyDescent="0.25">
      <c r="A27" s="10">
        <v>3</v>
      </c>
      <c r="B27" s="10" t="s">
        <v>20</v>
      </c>
      <c r="C27" s="7" t="s">
        <v>21</v>
      </c>
      <c r="D27" s="20">
        <v>1</v>
      </c>
      <c r="E27" s="20">
        <v>293.94</v>
      </c>
      <c r="F27" s="20">
        <v>293.94</v>
      </c>
      <c r="G27" s="9" t="s">
        <v>22</v>
      </c>
      <c r="H27" s="26" t="s">
        <v>12</v>
      </c>
    </row>
    <row r="28" spans="1:15" ht="16.5" x14ac:dyDescent="0.25">
      <c r="A28" s="10"/>
      <c r="B28" s="10" t="s">
        <v>34</v>
      </c>
      <c r="C28" s="7" t="s">
        <v>28</v>
      </c>
      <c r="D28" s="20">
        <v>100</v>
      </c>
      <c r="E28" s="20"/>
      <c r="F28" s="20">
        <v>10000</v>
      </c>
      <c r="G28" s="9"/>
      <c r="H28" s="26" t="s">
        <v>12</v>
      </c>
    </row>
    <row r="29" spans="1:15" ht="16.5" x14ac:dyDescent="0.25">
      <c r="A29" s="10"/>
      <c r="B29" s="10" t="s">
        <v>23</v>
      </c>
      <c r="C29" s="7"/>
      <c r="D29" s="20"/>
      <c r="E29" s="20"/>
      <c r="F29" s="20">
        <v>100</v>
      </c>
      <c r="G29" s="9"/>
      <c r="H29" s="26" t="s">
        <v>12</v>
      </c>
    </row>
    <row r="30" spans="1:15" ht="16.5" x14ac:dyDescent="0.25">
      <c r="A30" s="10"/>
      <c r="B30" s="10"/>
      <c r="C30" s="7"/>
      <c r="D30" s="20"/>
      <c r="E30" s="20"/>
      <c r="F30" s="20"/>
      <c r="G30" s="9"/>
    </row>
    <row r="31" spans="1:15" ht="16.5" x14ac:dyDescent="0.25">
      <c r="A31" s="43" t="s">
        <v>443</v>
      </c>
      <c r="B31" s="43"/>
      <c r="C31" s="44"/>
      <c r="D31" s="45"/>
      <c r="E31" s="45"/>
      <c r="F31" s="45"/>
      <c r="G31" s="46"/>
    </row>
    <row r="32" spans="1:15" ht="16.5" x14ac:dyDescent="0.25">
      <c r="A32" s="43" t="s">
        <v>36</v>
      </c>
      <c r="B32" s="43"/>
      <c r="C32" s="44"/>
      <c r="D32" s="45"/>
      <c r="E32" s="45"/>
      <c r="F32" s="45"/>
      <c r="G32" s="46"/>
    </row>
    <row r="33" spans="1:15" ht="19.5" customHeight="1" x14ac:dyDescent="0.25">
      <c r="H33" s="26">
        <v>4</v>
      </c>
      <c r="I33" s="32" t="s">
        <v>444</v>
      </c>
      <c r="J33" s="32" t="s">
        <v>445</v>
      </c>
      <c r="K33" s="28"/>
      <c r="L33" s="3"/>
      <c r="N33" s="50" t="s">
        <v>302</v>
      </c>
      <c r="O33" s="28" t="s">
        <v>304</v>
      </c>
    </row>
    <row r="34" spans="1:15" ht="16.5" x14ac:dyDescent="0.25">
      <c r="A34" s="10" t="s">
        <v>51</v>
      </c>
      <c r="B34" s="10" t="s">
        <v>422</v>
      </c>
      <c r="C34" s="7" t="s">
        <v>419</v>
      </c>
      <c r="D34" s="20">
        <v>10000</v>
      </c>
      <c r="E34" s="20">
        <v>16.21</v>
      </c>
      <c r="F34" s="20"/>
      <c r="G34" s="9" t="s">
        <v>421</v>
      </c>
      <c r="H34" s="26" t="s">
        <v>12</v>
      </c>
      <c r="N34" s="49">
        <f>M3</f>
        <v>0.99992731259420897</v>
      </c>
      <c r="O34" s="36">
        <f>E34-I34</f>
        <v>16.21</v>
      </c>
    </row>
    <row r="35" spans="1:15" ht="42.75" x14ac:dyDescent="0.25">
      <c r="A35" s="10">
        <v>1</v>
      </c>
      <c r="B35" s="10" t="s">
        <v>313</v>
      </c>
      <c r="C35" s="7" t="s">
        <v>14</v>
      </c>
      <c r="D35" s="20">
        <v>40</v>
      </c>
      <c r="E35" s="20">
        <v>3000</v>
      </c>
      <c r="F35" s="20">
        <v>120000</v>
      </c>
      <c r="G35" s="16" t="s">
        <v>312</v>
      </c>
      <c r="H35" s="26" t="s">
        <v>12</v>
      </c>
    </row>
    <row r="36" spans="1:15" ht="42.75" x14ac:dyDescent="0.25">
      <c r="A36" s="10">
        <v>2</v>
      </c>
      <c r="B36" s="10" t="s">
        <v>420</v>
      </c>
      <c r="C36" s="7" t="s">
        <v>14</v>
      </c>
      <c r="D36" s="20">
        <v>40</v>
      </c>
      <c r="E36" s="20">
        <v>375</v>
      </c>
      <c r="F36" s="20">
        <v>15000</v>
      </c>
      <c r="G36" s="16" t="s">
        <v>46</v>
      </c>
      <c r="H36" s="26" t="s">
        <v>12</v>
      </c>
    </row>
    <row r="37" spans="1:15" ht="42.75" x14ac:dyDescent="0.25">
      <c r="A37" s="10">
        <v>3</v>
      </c>
      <c r="B37" s="10" t="s">
        <v>41</v>
      </c>
      <c r="C37" s="7" t="s">
        <v>14</v>
      </c>
      <c r="D37" s="20">
        <v>80</v>
      </c>
      <c r="E37" s="20">
        <v>280</v>
      </c>
      <c r="F37" s="20">
        <v>22400</v>
      </c>
      <c r="G37" s="16" t="s">
        <v>42</v>
      </c>
      <c r="H37" s="26" t="s">
        <v>12</v>
      </c>
    </row>
    <row r="38" spans="1:15" ht="28.5" x14ac:dyDescent="0.25">
      <c r="A38" s="10">
        <v>4</v>
      </c>
      <c r="B38" s="10" t="s">
        <v>20</v>
      </c>
      <c r="C38" s="7" t="s">
        <v>21</v>
      </c>
      <c r="D38" s="20">
        <v>1</v>
      </c>
      <c r="E38" s="20">
        <v>4722</v>
      </c>
      <c r="F38" s="20">
        <v>4722</v>
      </c>
      <c r="G38" s="9" t="s">
        <v>22</v>
      </c>
      <c r="H38" s="26" t="s">
        <v>12</v>
      </c>
    </row>
    <row r="39" spans="1:15" ht="16.5" x14ac:dyDescent="0.25">
      <c r="A39" s="10"/>
      <c r="B39" s="10" t="s">
        <v>34</v>
      </c>
      <c r="C39" s="7" t="s">
        <v>419</v>
      </c>
      <c r="D39" s="20">
        <v>10000</v>
      </c>
      <c r="E39" s="20"/>
      <c r="F39" s="20">
        <v>162122</v>
      </c>
      <c r="G39" s="9"/>
      <c r="H39" s="26" t="s">
        <v>12</v>
      </c>
    </row>
    <row r="40" spans="1:15" ht="16.5" x14ac:dyDescent="0.25">
      <c r="A40" s="10"/>
      <c r="B40" s="10" t="s">
        <v>23</v>
      </c>
      <c r="C40" s="7"/>
      <c r="D40" s="20"/>
      <c r="E40" s="20"/>
      <c r="F40" s="20">
        <v>16.21</v>
      </c>
      <c r="G40" s="9"/>
      <c r="H40" s="26" t="s">
        <v>12</v>
      </c>
    </row>
    <row r="41" spans="1:15" ht="16.5" x14ac:dyDescent="0.25">
      <c r="A41" s="10"/>
      <c r="B41" s="10"/>
      <c r="C41" s="7"/>
      <c r="D41" s="20"/>
      <c r="E41" s="20"/>
      <c r="F41" s="20"/>
      <c r="G41" s="9"/>
    </row>
    <row r="42" spans="1:15" ht="16.5" x14ac:dyDescent="0.25">
      <c r="A42" s="43" t="s">
        <v>418</v>
      </c>
      <c r="B42" s="43"/>
      <c r="C42" s="44"/>
      <c r="D42" s="45"/>
      <c r="E42" s="45"/>
      <c r="F42" s="45"/>
      <c r="G42" s="46"/>
    </row>
    <row r="43" spans="1:15" ht="16.5" x14ac:dyDescent="0.25">
      <c r="A43" s="43" t="s">
        <v>36</v>
      </c>
      <c r="B43" s="43"/>
      <c r="C43" s="44"/>
      <c r="D43" s="45"/>
      <c r="E43" s="45"/>
      <c r="F43" s="45"/>
      <c r="G43" s="46"/>
    </row>
    <row r="44" spans="1:15" ht="19.5" customHeight="1" x14ac:dyDescent="0.25">
      <c r="H44" s="26">
        <v>5</v>
      </c>
      <c r="I44" s="32" t="s">
        <v>444</v>
      </c>
      <c r="J44" s="32" t="s">
        <v>445</v>
      </c>
      <c r="K44" s="28"/>
      <c r="L44" s="3"/>
      <c r="N44" s="50" t="s">
        <v>302</v>
      </c>
      <c r="O44" s="28" t="s">
        <v>304</v>
      </c>
    </row>
    <row r="45" spans="1:15" ht="28.5" x14ac:dyDescent="0.25">
      <c r="A45" s="10" t="s">
        <v>58</v>
      </c>
      <c r="B45" s="10" t="s">
        <v>417</v>
      </c>
      <c r="C45" s="7" t="s">
        <v>74</v>
      </c>
      <c r="D45" s="20"/>
      <c r="E45" s="20">
        <v>3121.01</v>
      </c>
      <c r="F45" s="20"/>
      <c r="G45" s="9" t="s">
        <v>416</v>
      </c>
      <c r="H45" s="26" t="s">
        <v>12</v>
      </c>
      <c r="I45" s="25">
        <v>3120.78</v>
      </c>
      <c r="N45" s="49">
        <f>I45/E45</f>
        <v>0.99992630590738252</v>
      </c>
      <c r="O45" s="36">
        <f>E45-I45</f>
        <v>0.23000000000001819</v>
      </c>
    </row>
    <row r="46" spans="1:15" ht="42.75" x14ac:dyDescent="0.25">
      <c r="A46" s="10">
        <v>1</v>
      </c>
      <c r="B46" s="10" t="s">
        <v>415</v>
      </c>
      <c r="C46" s="7" t="s">
        <v>48</v>
      </c>
      <c r="D46" s="20">
        <v>0.06</v>
      </c>
      <c r="E46" s="20">
        <v>3115.13</v>
      </c>
      <c r="F46" s="20">
        <v>186.91</v>
      </c>
      <c r="G46" s="16" t="s">
        <v>414</v>
      </c>
      <c r="H46" s="26" t="s">
        <v>12</v>
      </c>
      <c r="I46" s="33">
        <v>3115.13</v>
      </c>
      <c r="J46" s="33">
        <f t="shared" ref="J46:J51" si="0">D46*I46</f>
        <v>186.90780000000001</v>
      </c>
    </row>
    <row r="47" spans="1:15" ht="28.5" x14ac:dyDescent="0.25">
      <c r="A47" s="10">
        <v>2</v>
      </c>
      <c r="B47" s="10" t="s">
        <v>413</v>
      </c>
      <c r="C47" s="7" t="s">
        <v>406</v>
      </c>
      <c r="D47" s="20">
        <v>0.7</v>
      </c>
      <c r="E47" s="20">
        <v>2300</v>
      </c>
      <c r="F47" s="20">
        <v>1610</v>
      </c>
      <c r="G47" s="9" t="s">
        <v>412</v>
      </c>
      <c r="H47" s="26" t="s">
        <v>12</v>
      </c>
      <c r="I47" s="25">
        <f>J47/D47</f>
        <v>2299.6714285714288</v>
      </c>
      <c r="J47" s="25">
        <f>F47-O45</f>
        <v>1609.77</v>
      </c>
    </row>
    <row r="48" spans="1:15" ht="42.75" x14ac:dyDescent="0.25">
      <c r="A48" s="10">
        <v>3</v>
      </c>
      <c r="B48" s="10" t="s">
        <v>411</v>
      </c>
      <c r="C48" s="7" t="s">
        <v>14</v>
      </c>
      <c r="D48" s="20">
        <v>0.8</v>
      </c>
      <c r="E48" s="20">
        <v>375</v>
      </c>
      <c r="F48" s="20">
        <v>300</v>
      </c>
      <c r="G48" s="16" t="s">
        <v>410</v>
      </c>
      <c r="H48" s="26" t="s">
        <v>12</v>
      </c>
      <c r="I48" s="33">
        <v>375</v>
      </c>
      <c r="J48" s="33">
        <f t="shared" si="0"/>
        <v>300</v>
      </c>
    </row>
    <row r="49" spans="1:17" ht="42.75" x14ac:dyDescent="0.25">
      <c r="A49" s="10">
        <v>4</v>
      </c>
      <c r="B49" s="10" t="s">
        <v>41</v>
      </c>
      <c r="C49" s="7" t="s">
        <v>14</v>
      </c>
      <c r="D49" s="20">
        <v>1.44</v>
      </c>
      <c r="E49" s="20">
        <v>280</v>
      </c>
      <c r="F49" s="20">
        <v>403.2</v>
      </c>
      <c r="G49" s="16" t="s">
        <v>42</v>
      </c>
      <c r="H49" s="26" t="s">
        <v>12</v>
      </c>
      <c r="I49" s="33">
        <v>280</v>
      </c>
      <c r="J49" s="33">
        <f t="shared" si="0"/>
        <v>403.2</v>
      </c>
    </row>
    <row r="50" spans="1:17" ht="42.75" x14ac:dyDescent="0.25">
      <c r="A50" s="10">
        <v>5</v>
      </c>
      <c r="B50" s="10" t="s">
        <v>409</v>
      </c>
      <c r="C50" s="7" t="s">
        <v>21</v>
      </c>
      <c r="D50" s="20">
        <v>1</v>
      </c>
      <c r="E50" s="20">
        <v>30</v>
      </c>
      <c r="F50" s="20">
        <v>30</v>
      </c>
      <c r="G50" s="16" t="s">
        <v>408</v>
      </c>
      <c r="H50" s="26" t="s">
        <v>12</v>
      </c>
      <c r="I50" s="33">
        <v>30</v>
      </c>
      <c r="J50" s="33">
        <f t="shared" si="0"/>
        <v>30</v>
      </c>
    </row>
    <row r="51" spans="1:17" ht="42.75" x14ac:dyDescent="0.25">
      <c r="A51" s="10">
        <v>6</v>
      </c>
      <c r="B51" s="10" t="s">
        <v>407</v>
      </c>
      <c r="C51" s="7" t="s">
        <v>406</v>
      </c>
      <c r="D51" s="20">
        <v>1</v>
      </c>
      <c r="E51" s="20">
        <v>500</v>
      </c>
      <c r="F51" s="20">
        <v>500</v>
      </c>
      <c r="G51" s="16" t="s">
        <v>405</v>
      </c>
      <c r="H51" s="26" t="s">
        <v>12</v>
      </c>
      <c r="I51" s="33">
        <v>500</v>
      </c>
      <c r="J51" s="33">
        <f t="shared" si="0"/>
        <v>500</v>
      </c>
    </row>
    <row r="52" spans="1:17" ht="28.5" x14ac:dyDescent="0.25">
      <c r="A52" s="10">
        <v>7</v>
      </c>
      <c r="B52" s="10" t="s">
        <v>20</v>
      </c>
      <c r="C52" s="7" t="s">
        <v>21</v>
      </c>
      <c r="D52" s="20">
        <v>1</v>
      </c>
      <c r="E52" s="20">
        <v>90.9</v>
      </c>
      <c r="F52" s="20">
        <v>90.9</v>
      </c>
      <c r="G52" s="9" t="s">
        <v>22</v>
      </c>
      <c r="H52" s="26" t="s">
        <v>12</v>
      </c>
      <c r="I52" s="25">
        <v>90.9</v>
      </c>
      <c r="J52" s="25">
        <v>90.9</v>
      </c>
    </row>
    <row r="53" spans="1:17" ht="16.5" x14ac:dyDescent="0.25">
      <c r="A53" s="10"/>
      <c r="B53" s="10" t="s">
        <v>23</v>
      </c>
      <c r="C53" s="7"/>
      <c r="D53" s="20"/>
      <c r="E53" s="20"/>
      <c r="F53" s="20">
        <v>3121.01</v>
      </c>
      <c r="G53" s="9"/>
      <c r="H53" s="26" t="s">
        <v>12</v>
      </c>
      <c r="J53" s="25">
        <f>SUM(J46:J52)</f>
        <v>3120.7777999999998</v>
      </c>
    </row>
    <row r="54" spans="1:17" ht="16.5" x14ac:dyDescent="0.25">
      <c r="A54" s="10"/>
      <c r="B54" s="10"/>
      <c r="C54" s="7"/>
      <c r="D54" s="20"/>
      <c r="E54" s="20"/>
      <c r="F54" s="20"/>
      <c r="G54" s="9"/>
      <c r="L54" s="34">
        <f>J53</f>
        <v>3120.7777999999998</v>
      </c>
    </row>
    <row r="55" spans="1:17" ht="16.5" x14ac:dyDescent="0.25">
      <c r="A55" s="43" t="s">
        <v>404</v>
      </c>
      <c r="B55" s="43"/>
      <c r="C55" s="44"/>
      <c r="D55" s="45"/>
      <c r="E55" s="45"/>
      <c r="F55" s="45"/>
      <c r="G55" s="46"/>
      <c r="J55" s="25" t="s">
        <v>305</v>
      </c>
      <c r="K55" s="25" t="s">
        <v>448</v>
      </c>
      <c r="L55" s="18">
        <f>100%-L56</f>
        <v>0.45504931494962564</v>
      </c>
      <c r="N55" s="25">
        <f>I45-N56</f>
        <v>1420.1100000000001</v>
      </c>
    </row>
    <row r="56" spans="1:17" ht="16.5" x14ac:dyDescent="0.25">
      <c r="A56" s="43" t="s">
        <v>403</v>
      </c>
      <c r="B56" s="43"/>
      <c r="C56" s="44"/>
      <c r="D56" s="45"/>
      <c r="E56" s="45"/>
      <c r="F56" s="45"/>
      <c r="G56" s="46"/>
      <c r="J56" s="25">
        <f>J47+J52</f>
        <v>1700.67</v>
      </c>
      <c r="K56" s="25" t="s">
        <v>449</v>
      </c>
      <c r="L56" s="18">
        <f>J56/L54</f>
        <v>0.54495068505037436</v>
      </c>
      <c r="N56" s="25">
        <f>J56</f>
        <v>1700.67</v>
      </c>
    </row>
    <row r="57" spans="1:17" ht="19.5" customHeight="1" x14ac:dyDescent="0.25">
      <c r="H57" s="26">
        <v>6</v>
      </c>
      <c r="I57" s="32" t="s">
        <v>444</v>
      </c>
      <c r="J57" s="32" t="s">
        <v>445</v>
      </c>
      <c r="K57" s="28"/>
      <c r="L57" s="3"/>
      <c r="N57" s="50" t="s">
        <v>302</v>
      </c>
      <c r="O57" s="28" t="s">
        <v>304</v>
      </c>
    </row>
    <row r="58" spans="1:17" ht="42.75" x14ac:dyDescent="0.25">
      <c r="A58" s="10" t="s">
        <v>68</v>
      </c>
      <c r="B58" s="10" t="s">
        <v>402</v>
      </c>
      <c r="C58" s="7" t="s">
        <v>53</v>
      </c>
      <c r="D58" s="20">
        <v>10</v>
      </c>
      <c r="E58" s="20">
        <v>5734.05</v>
      </c>
      <c r="F58" s="20"/>
      <c r="G58" s="9" t="s">
        <v>401</v>
      </c>
      <c r="H58" s="26" t="s">
        <v>12</v>
      </c>
      <c r="I58" s="25">
        <v>5733.6332067808244</v>
      </c>
      <c r="N58" s="49">
        <f>I58/F73</f>
        <v>0.99992731259420897</v>
      </c>
      <c r="O58" s="36">
        <f>E58-I58</f>
        <v>0.41679321917581547</v>
      </c>
      <c r="Q58" s="35"/>
    </row>
    <row r="59" spans="1:17" ht="28.5" x14ac:dyDescent="0.25">
      <c r="A59" s="10">
        <v>1</v>
      </c>
      <c r="B59" s="10" t="s">
        <v>400</v>
      </c>
      <c r="C59" s="7" t="s">
        <v>53</v>
      </c>
      <c r="D59" s="20">
        <v>10</v>
      </c>
      <c r="E59" s="20">
        <v>4551.62</v>
      </c>
      <c r="F59" s="20">
        <v>45516.2</v>
      </c>
      <c r="G59" s="9" t="s">
        <v>399</v>
      </c>
      <c r="H59" s="26" t="s">
        <v>12</v>
      </c>
      <c r="I59" s="25">
        <f>E59*N58</f>
        <v>4551.2891545500534</v>
      </c>
      <c r="J59" s="25">
        <f>D59*I59</f>
        <v>45512.891545500534</v>
      </c>
      <c r="L59" s="25"/>
    </row>
    <row r="60" spans="1:17" ht="28.5" x14ac:dyDescent="0.25">
      <c r="A60" s="10">
        <v>2</v>
      </c>
      <c r="B60" s="10" t="s">
        <v>398</v>
      </c>
      <c r="C60" s="7" t="s">
        <v>21</v>
      </c>
      <c r="D60" s="20">
        <v>1</v>
      </c>
      <c r="E60" s="20">
        <v>130</v>
      </c>
      <c r="F60" s="20">
        <v>130</v>
      </c>
      <c r="G60" s="9" t="s">
        <v>397</v>
      </c>
      <c r="H60" s="26" t="s">
        <v>12</v>
      </c>
      <c r="I60" s="25">
        <f>E60*N58</f>
        <v>129.99055063724717</v>
      </c>
      <c r="J60" s="25">
        <f>D60*I60</f>
        <v>129.99055063724717</v>
      </c>
      <c r="L60" s="25"/>
    </row>
    <row r="61" spans="1:17" ht="28.5" x14ac:dyDescent="0.25">
      <c r="A61" s="10">
        <v>3</v>
      </c>
      <c r="B61" s="10" t="s">
        <v>396</v>
      </c>
      <c r="C61" s="7" t="s">
        <v>14</v>
      </c>
      <c r="D61" s="20">
        <v>1.5</v>
      </c>
      <c r="E61" s="20">
        <v>1779.72</v>
      </c>
      <c r="F61" s="20">
        <v>2669.58</v>
      </c>
      <c r="G61" s="9" t="s">
        <v>395</v>
      </c>
      <c r="H61" s="26" t="s">
        <v>12</v>
      </c>
      <c r="I61" s="25">
        <f>E61*N58</f>
        <v>1779.5906367701657</v>
      </c>
      <c r="J61" s="25">
        <f>D61*I61</f>
        <v>2669.3859551552487</v>
      </c>
    </row>
    <row r="62" spans="1:17" ht="42.75" x14ac:dyDescent="0.25">
      <c r="A62" s="10">
        <v>4</v>
      </c>
      <c r="B62" s="10" t="s">
        <v>394</v>
      </c>
      <c r="C62" s="7" t="s">
        <v>14</v>
      </c>
      <c r="D62" s="20">
        <v>1.5</v>
      </c>
      <c r="E62" s="20">
        <v>375</v>
      </c>
      <c r="F62" s="20">
        <v>562.5</v>
      </c>
      <c r="G62" s="16" t="s">
        <v>393</v>
      </c>
      <c r="H62" s="26" t="s">
        <v>12</v>
      </c>
      <c r="I62" s="33">
        <v>375</v>
      </c>
      <c r="J62" s="33">
        <v>562.5</v>
      </c>
      <c r="L62" s="25"/>
    </row>
    <row r="63" spans="1:17" ht="57" x14ac:dyDescent="0.25">
      <c r="A63" s="10">
        <v>5</v>
      </c>
      <c r="B63" s="10" t="s">
        <v>392</v>
      </c>
      <c r="C63" s="7" t="s">
        <v>14</v>
      </c>
      <c r="D63" s="20">
        <v>1.35</v>
      </c>
      <c r="E63" s="20">
        <v>1200</v>
      </c>
      <c r="F63" s="20">
        <v>1620</v>
      </c>
      <c r="G63" s="16" t="s">
        <v>391</v>
      </c>
      <c r="H63" s="26" t="s">
        <v>12</v>
      </c>
      <c r="I63" s="33">
        <v>1200</v>
      </c>
      <c r="J63" s="33">
        <v>1620</v>
      </c>
      <c r="L63" s="25"/>
    </row>
    <row r="64" spans="1:17" ht="42.75" x14ac:dyDescent="0.25">
      <c r="A64" s="10">
        <v>6</v>
      </c>
      <c r="B64" s="10" t="s">
        <v>390</v>
      </c>
      <c r="C64" s="7" t="s">
        <v>14</v>
      </c>
      <c r="D64" s="20">
        <v>1.35</v>
      </c>
      <c r="E64" s="20">
        <v>1365</v>
      </c>
      <c r="F64" s="20">
        <v>1842.75</v>
      </c>
      <c r="G64" s="16" t="s">
        <v>389</v>
      </c>
      <c r="H64" s="26" t="s">
        <v>12</v>
      </c>
      <c r="I64" s="33">
        <v>1365</v>
      </c>
      <c r="J64" s="33">
        <v>1842.75</v>
      </c>
      <c r="L64" s="25"/>
    </row>
    <row r="65" spans="1:15" ht="42.75" x14ac:dyDescent="0.25">
      <c r="A65" s="10">
        <v>7</v>
      </c>
      <c r="B65" s="10" t="s">
        <v>295</v>
      </c>
      <c r="C65" s="7" t="s">
        <v>14</v>
      </c>
      <c r="D65" s="20">
        <v>1.35</v>
      </c>
      <c r="E65" s="20">
        <v>437.5</v>
      </c>
      <c r="F65" s="20">
        <v>590.63</v>
      </c>
      <c r="G65" s="16" t="s">
        <v>294</v>
      </c>
      <c r="H65" s="26" t="s">
        <v>12</v>
      </c>
      <c r="I65" s="33">
        <v>437.5</v>
      </c>
      <c r="J65" s="33">
        <v>590.63</v>
      </c>
      <c r="L65" s="25"/>
    </row>
    <row r="66" spans="1:15" ht="42.75" x14ac:dyDescent="0.25">
      <c r="A66" s="10">
        <v>8</v>
      </c>
      <c r="B66" s="10" t="s">
        <v>388</v>
      </c>
      <c r="C66" s="7" t="s">
        <v>14</v>
      </c>
      <c r="D66" s="20">
        <v>1.35</v>
      </c>
      <c r="E66" s="20">
        <v>375</v>
      </c>
      <c r="F66" s="20">
        <v>506.25</v>
      </c>
      <c r="G66" s="16" t="s">
        <v>387</v>
      </c>
      <c r="H66" s="26" t="s">
        <v>12</v>
      </c>
      <c r="I66" s="33">
        <v>375</v>
      </c>
      <c r="J66" s="33">
        <v>506.25</v>
      </c>
      <c r="L66" s="25"/>
    </row>
    <row r="67" spans="1:15" ht="42.75" x14ac:dyDescent="0.25">
      <c r="A67" s="10">
        <v>9</v>
      </c>
      <c r="B67" s="10" t="s">
        <v>386</v>
      </c>
      <c r="C67" s="7" t="s">
        <v>14</v>
      </c>
      <c r="D67" s="20">
        <v>1.35</v>
      </c>
      <c r="E67" s="20">
        <v>375</v>
      </c>
      <c r="F67" s="20">
        <v>506.25</v>
      </c>
      <c r="G67" s="16" t="s">
        <v>385</v>
      </c>
      <c r="H67" s="26" t="s">
        <v>12</v>
      </c>
      <c r="I67" s="33">
        <v>375</v>
      </c>
      <c r="J67" s="33">
        <v>506.25</v>
      </c>
      <c r="L67" s="25"/>
      <c r="M67" s="25"/>
    </row>
    <row r="68" spans="1:15" ht="42.75" x14ac:dyDescent="0.25">
      <c r="A68" s="10">
        <v>10</v>
      </c>
      <c r="B68" s="10" t="s">
        <v>384</v>
      </c>
      <c r="C68" s="7" t="s">
        <v>14</v>
      </c>
      <c r="D68" s="20">
        <v>1.35</v>
      </c>
      <c r="E68" s="20">
        <v>375</v>
      </c>
      <c r="F68" s="20">
        <v>506.25</v>
      </c>
      <c r="G68" s="16" t="s">
        <v>383</v>
      </c>
      <c r="H68" s="26" t="s">
        <v>12</v>
      </c>
      <c r="I68" s="33">
        <v>375</v>
      </c>
      <c r="J68" s="33">
        <v>506.25</v>
      </c>
      <c r="L68" s="25"/>
    </row>
    <row r="69" spans="1:15" ht="42.75" x14ac:dyDescent="0.25">
      <c r="A69" s="10">
        <v>11</v>
      </c>
      <c r="B69" s="10" t="s">
        <v>41</v>
      </c>
      <c r="C69" s="7" t="s">
        <v>14</v>
      </c>
      <c r="D69" s="20">
        <v>4</v>
      </c>
      <c r="E69" s="20">
        <v>280</v>
      </c>
      <c r="F69" s="20">
        <v>1120</v>
      </c>
      <c r="G69" s="16" t="s">
        <v>42</v>
      </c>
      <c r="H69" s="26" t="s">
        <v>12</v>
      </c>
      <c r="I69" s="33">
        <v>280</v>
      </c>
      <c r="J69" s="33">
        <v>1120</v>
      </c>
      <c r="L69" s="25"/>
    </row>
    <row r="70" spans="1:15" ht="57" x14ac:dyDescent="0.25">
      <c r="A70" s="10">
        <v>12</v>
      </c>
      <c r="B70" s="10" t="s">
        <v>382</v>
      </c>
      <c r="C70" s="7" t="s">
        <v>21</v>
      </c>
      <c r="D70" s="20">
        <v>1</v>
      </c>
      <c r="E70" s="20">
        <v>100</v>
      </c>
      <c r="F70" s="20">
        <v>100</v>
      </c>
      <c r="G70" s="9" t="s">
        <v>381</v>
      </c>
      <c r="H70" s="26" t="s">
        <v>12</v>
      </c>
      <c r="I70" s="25">
        <f>E70*N58</f>
        <v>99.992731259420893</v>
      </c>
      <c r="J70" s="25">
        <f>D70*I70</f>
        <v>99.992731259420893</v>
      </c>
      <c r="L70" s="25"/>
      <c r="M70" s="25"/>
    </row>
    <row r="71" spans="1:15" ht="28.5" x14ac:dyDescent="0.25">
      <c r="A71" s="10">
        <v>13</v>
      </c>
      <c r="B71" s="10" t="s">
        <v>20</v>
      </c>
      <c r="C71" s="7" t="s">
        <v>21</v>
      </c>
      <c r="D71" s="20">
        <v>1</v>
      </c>
      <c r="E71" s="20">
        <v>1670.11</v>
      </c>
      <c r="F71" s="20">
        <v>1670.11</v>
      </c>
      <c r="G71" s="9" t="s">
        <v>22</v>
      </c>
      <c r="H71" s="26" t="s">
        <v>12</v>
      </c>
      <c r="I71" s="25">
        <v>1670.11</v>
      </c>
      <c r="J71" s="25">
        <f>D71*I71-0.71</f>
        <v>1669.3999999999999</v>
      </c>
    </row>
    <row r="72" spans="1:15" ht="16.5" x14ac:dyDescent="0.25">
      <c r="A72" s="10"/>
      <c r="B72" s="10" t="s">
        <v>34</v>
      </c>
      <c r="C72" s="7" t="s">
        <v>53</v>
      </c>
      <c r="D72" s="20">
        <v>10</v>
      </c>
      <c r="E72" s="20"/>
      <c r="F72" s="20">
        <v>57340.52</v>
      </c>
      <c r="G72" s="9"/>
      <c r="H72" s="26" t="s">
        <v>12</v>
      </c>
      <c r="J72" s="25">
        <f>SUM(J59:J71)/10</f>
        <v>5733.6290782552442</v>
      </c>
      <c r="L72" s="25"/>
    </row>
    <row r="73" spans="1:15" ht="16.5" x14ac:dyDescent="0.25">
      <c r="A73" s="10"/>
      <c r="B73" s="10" t="s">
        <v>23</v>
      </c>
      <c r="C73" s="7"/>
      <c r="D73" s="20"/>
      <c r="E73" s="20"/>
      <c r="F73" s="20">
        <v>5734.05</v>
      </c>
      <c r="G73" s="9"/>
      <c r="H73" s="26" t="s">
        <v>12</v>
      </c>
      <c r="L73" s="34"/>
    </row>
    <row r="74" spans="1:15" ht="16.5" x14ac:dyDescent="0.25">
      <c r="A74" s="10"/>
      <c r="B74" s="10"/>
      <c r="C74" s="7"/>
      <c r="D74" s="20"/>
      <c r="E74" s="20"/>
      <c r="F74" s="20"/>
      <c r="G74" s="9"/>
      <c r="J74" s="25" t="s">
        <v>305</v>
      </c>
      <c r="K74" s="25" t="s">
        <v>448</v>
      </c>
      <c r="L74" s="18">
        <f>100%-L75</f>
        <v>0.12652771745408398</v>
      </c>
      <c r="N74" s="25">
        <f>I58-N75</f>
        <v>725.46712852557994</v>
      </c>
    </row>
    <row r="75" spans="1:15" ht="16.5" x14ac:dyDescent="0.25">
      <c r="A75" s="43" t="s">
        <v>380</v>
      </c>
      <c r="B75" s="43"/>
      <c r="C75" s="44"/>
      <c r="D75" s="45"/>
      <c r="E75" s="45"/>
      <c r="F75" s="45"/>
      <c r="G75" s="46"/>
      <c r="J75" s="25">
        <f>(J59+J60+J61+J70+J71)/10</f>
        <v>5008.1660782552444</v>
      </c>
      <c r="K75" s="25" t="s">
        <v>449</v>
      </c>
      <c r="L75" s="18">
        <f>J75/J72</f>
        <v>0.87347228254591602</v>
      </c>
      <c r="N75" s="25">
        <f>J75</f>
        <v>5008.1660782552444</v>
      </c>
      <c r="O75" s="25">
        <f>I58*N75</f>
        <v>28714987.331357561</v>
      </c>
    </row>
    <row r="76" spans="1:15" ht="16.5" x14ac:dyDescent="0.25">
      <c r="A76" s="43" t="s">
        <v>379</v>
      </c>
      <c r="B76" s="43"/>
      <c r="C76" s="44"/>
      <c r="D76" s="45"/>
      <c r="E76" s="45"/>
      <c r="F76" s="45"/>
      <c r="G76" s="46"/>
    </row>
    <row r="77" spans="1:15" ht="19.5" customHeight="1" x14ac:dyDescent="0.25">
      <c r="H77" s="26">
        <v>7</v>
      </c>
      <c r="I77" s="32" t="s">
        <v>444</v>
      </c>
      <c r="J77" s="32" t="s">
        <v>445</v>
      </c>
      <c r="K77" s="28"/>
      <c r="L77" s="3"/>
      <c r="N77" s="50" t="s">
        <v>302</v>
      </c>
      <c r="O77" s="28" t="s">
        <v>304</v>
      </c>
    </row>
    <row r="78" spans="1:15" ht="28.5" x14ac:dyDescent="0.25">
      <c r="A78" s="10" t="s">
        <v>83</v>
      </c>
      <c r="B78" s="10" t="s">
        <v>378</v>
      </c>
      <c r="C78" s="7" t="s">
        <v>48</v>
      </c>
      <c r="D78" s="20"/>
      <c r="E78" s="20">
        <v>3833.25</v>
      </c>
      <c r="F78" s="20"/>
      <c r="G78" s="9" t="s">
        <v>377</v>
      </c>
      <c r="H78" s="26" t="s">
        <v>12</v>
      </c>
      <c r="I78" s="25">
        <v>3832.9713710017513</v>
      </c>
      <c r="N78" s="49">
        <f>M3</f>
        <v>0.99992731259420897</v>
      </c>
      <c r="O78" s="36">
        <f>E78-I78</f>
        <v>0.27862899824867782</v>
      </c>
    </row>
    <row r="79" spans="1:15" ht="28.5" x14ac:dyDescent="0.25">
      <c r="A79" s="10">
        <v>1</v>
      </c>
      <c r="B79" s="10" t="s">
        <v>376</v>
      </c>
      <c r="C79" s="7" t="s">
        <v>375</v>
      </c>
      <c r="D79" s="20">
        <v>1</v>
      </c>
      <c r="E79" s="20">
        <v>3350</v>
      </c>
      <c r="F79" s="20">
        <v>3350</v>
      </c>
      <c r="G79" s="9" t="s">
        <v>374</v>
      </c>
      <c r="H79" s="26" t="s">
        <v>12</v>
      </c>
      <c r="I79" s="25">
        <f>3350-O78</f>
        <v>3349.7213710017513</v>
      </c>
      <c r="J79" s="25">
        <f>D79*I79</f>
        <v>3349.7213710017513</v>
      </c>
    </row>
    <row r="80" spans="1:15" ht="42.75" x14ac:dyDescent="0.25">
      <c r="A80" s="10">
        <v>2</v>
      </c>
      <c r="B80" s="10" t="s">
        <v>373</v>
      </c>
      <c r="C80" s="7" t="s">
        <v>14</v>
      </c>
      <c r="D80" s="20">
        <v>0.32</v>
      </c>
      <c r="E80" s="20">
        <v>375</v>
      </c>
      <c r="F80" s="20">
        <v>120</v>
      </c>
      <c r="G80" s="16" t="s">
        <v>372</v>
      </c>
      <c r="H80" s="26" t="s">
        <v>12</v>
      </c>
      <c r="I80" s="33">
        <v>375</v>
      </c>
      <c r="J80" s="33">
        <v>120</v>
      </c>
    </row>
    <row r="81" spans="1:15" ht="42.75" x14ac:dyDescent="0.25">
      <c r="A81" s="10">
        <v>3</v>
      </c>
      <c r="B81" s="10" t="s">
        <v>41</v>
      </c>
      <c r="C81" s="7" t="s">
        <v>14</v>
      </c>
      <c r="D81" s="20">
        <v>0.72</v>
      </c>
      <c r="E81" s="20">
        <v>280</v>
      </c>
      <c r="F81" s="20">
        <v>201.6</v>
      </c>
      <c r="G81" s="16" t="s">
        <v>42</v>
      </c>
      <c r="H81" s="26" t="s">
        <v>12</v>
      </c>
      <c r="I81" s="33">
        <v>280</v>
      </c>
      <c r="J81" s="33">
        <v>201.6</v>
      </c>
    </row>
    <row r="82" spans="1:15" ht="42.75" x14ac:dyDescent="0.25">
      <c r="A82" s="10">
        <v>4</v>
      </c>
      <c r="B82" s="10" t="s">
        <v>371</v>
      </c>
      <c r="C82" s="7" t="s">
        <v>21</v>
      </c>
      <c r="D82" s="20">
        <v>1</v>
      </c>
      <c r="E82" s="20">
        <v>10</v>
      </c>
      <c r="F82" s="20">
        <v>10</v>
      </c>
      <c r="G82" s="16" t="s">
        <v>370</v>
      </c>
      <c r="H82" s="26" t="s">
        <v>12</v>
      </c>
      <c r="I82" s="33">
        <v>10</v>
      </c>
      <c r="J82" s="33">
        <v>10</v>
      </c>
    </row>
    <row r="83" spans="1:15" ht="42.75" x14ac:dyDescent="0.25">
      <c r="A83" s="10">
        <v>5</v>
      </c>
      <c r="B83" s="10" t="s">
        <v>369</v>
      </c>
      <c r="C83" s="7" t="s">
        <v>21</v>
      </c>
      <c r="D83" s="20">
        <v>1</v>
      </c>
      <c r="E83" s="20">
        <v>10</v>
      </c>
      <c r="F83" s="20">
        <v>10</v>
      </c>
      <c r="G83" s="16" t="s">
        <v>368</v>
      </c>
      <c r="H83" s="26" t="s">
        <v>12</v>
      </c>
      <c r="I83" s="33">
        <v>10</v>
      </c>
      <c r="J83" s="33">
        <v>10</v>
      </c>
    </row>
    <row r="84" spans="1:15" ht="57" x14ac:dyDescent="0.25">
      <c r="A84" s="10">
        <v>6</v>
      </c>
      <c r="B84" s="10" t="s">
        <v>367</v>
      </c>
      <c r="C84" s="7" t="s">
        <v>21</v>
      </c>
      <c r="D84" s="20">
        <v>1</v>
      </c>
      <c r="E84" s="20">
        <v>30</v>
      </c>
      <c r="F84" s="20">
        <v>30</v>
      </c>
      <c r="G84" s="16" t="s">
        <v>366</v>
      </c>
      <c r="H84" s="26" t="s">
        <v>12</v>
      </c>
      <c r="I84" s="33">
        <v>30</v>
      </c>
      <c r="J84" s="33">
        <v>30</v>
      </c>
    </row>
    <row r="85" spans="1:15" ht="28.5" x14ac:dyDescent="0.25">
      <c r="A85" s="10">
        <v>7</v>
      </c>
      <c r="B85" s="10" t="s">
        <v>20</v>
      </c>
      <c r="C85" s="7" t="s">
        <v>21</v>
      </c>
      <c r="D85" s="20">
        <v>1</v>
      </c>
      <c r="E85" s="20">
        <v>111.65</v>
      </c>
      <c r="F85" s="20">
        <v>111.65</v>
      </c>
      <c r="G85" s="9" t="s">
        <v>22</v>
      </c>
      <c r="H85" s="26" t="s">
        <v>12</v>
      </c>
      <c r="I85" s="25">
        <v>111.65</v>
      </c>
      <c r="J85" s="25">
        <v>111.65</v>
      </c>
    </row>
    <row r="86" spans="1:15" ht="16.5" x14ac:dyDescent="0.25">
      <c r="A86" s="10"/>
      <c r="B86" s="10" t="s">
        <v>23</v>
      </c>
      <c r="C86" s="7"/>
      <c r="D86" s="20"/>
      <c r="E86" s="20"/>
      <c r="F86" s="20">
        <v>3833.25</v>
      </c>
      <c r="G86" s="9"/>
      <c r="H86" s="26" t="s">
        <v>12</v>
      </c>
      <c r="J86" s="25">
        <f>SUM(J79:J85)</f>
        <v>3832.9713710017513</v>
      </c>
    </row>
    <row r="87" spans="1:15" ht="16.5" x14ac:dyDescent="0.25">
      <c r="A87" s="10"/>
      <c r="B87" s="10"/>
      <c r="C87" s="7"/>
      <c r="D87" s="20"/>
      <c r="E87" s="20"/>
      <c r="F87" s="20"/>
      <c r="G87" s="9"/>
    </row>
    <row r="88" spans="1:15" ht="16.5" x14ac:dyDescent="0.25">
      <c r="A88" s="43" t="s">
        <v>365</v>
      </c>
      <c r="B88" s="43"/>
      <c r="C88" s="44"/>
      <c r="D88" s="45"/>
      <c r="E88" s="45"/>
      <c r="F88" s="45"/>
      <c r="G88" s="46"/>
      <c r="J88" s="25" t="s">
        <v>305</v>
      </c>
      <c r="K88" s="25" t="s">
        <v>448</v>
      </c>
      <c r="L88" s="18">
        <f>100%-L89</f>
        <v>9.6948284772312765E-2</v>
      </c>
      <c r="N88" s="25">
        <f>I78-N89</f>
        <v>371.59999999999991</v>
      </c>
    </row>
    <row r="89" spans="1:15" ht="16.5" x14ac:dyDescent="0.25">
      <c r="A89" s="43" t="s">
        <v>364</v>
      </c>
      <c r="B89" s="43"/>
      <c r="C89" s="44"/>
      <c r="D89" s="45"/>
      <c r="E89" s="45"/>
      <c r="F89" s="45"/>
      <c r="G89" s="46"/>
      <c r="J89" s="25">
        <f>J79+J85</f>
        <v>3461.3713710017514</v>
      </c>
      <c r="K89" s="25" t="s">
        <v>449</v>
      </c>
      <c r="L89" s="18">
        <f>J89/J86</f>
        <v>0.90305171522768724</v>
      </c>
      <c r="N89" s="25">
        <f>J89</f>
        <v>3461.3713710017514</v>
      </c>
    </row>
    <row r="90" spans="1:15" ht="19.5" customHeight="1" x14ac:dyDescent="0.25">
      <c r="H90" s="26">
        <v>8</v>
      </c>
      <c r="I90" s="32" t="s">
        <v>444</v>
      </c>
      <c r="J90" s="32" t="s">
        <v>445</v>
      </c>
      <c r="K90" s="28"/>
      <c r="L90" s="3"/>
      <c r="N90" s="50" t="s">
        <v>302</v>
      </c>
      <c r="O90" s="28" t="s">
        <v>304</v>
      </c>
    </row>
    <row r="91" spans="1:15" ht="16.5" x14ac:dyDescent="0.25">
      <c r="A91" s="10" t="s">
        <v>100</v>
      </c>
      <c r="B91" s="10" t="s">
        <v>363</v>
      </c>
      <c r="C91" s="7" t="s">
        <v>74</v>
      </c>
      <c r="D91" s="20"/>
      <c r="E91" s="20">
        <v>695.3</v>
      </c>
      <c r="F91" s="20"/>
      <c r="G91" s="9" t="s">
        <v>362</v>
      </c>
      <c r="H91" s="26" t="s">
        <v>12</v>
      </c>
      <c r="I91" s="25">
        <v>695.24946044675346</v>
      </c>
      <c r="N91" s="49">
        <f>M3</f>
        <v>0.99992731259420897</v>
      </c>
      <c r="O91" s="36">
        <f>E91-I91</f>
        <v>5.0539553246494506E-2</v>
      </c>
    </row>
    <row r="92" spans="1:15" ht="28.5" x14ac:dyDescent="0.25">
      <c r="A92" s="10">
        <v>1</v>
      </c>
      <c r="B92" s="10" t="s">
        <v>361</v>
      </c>
      <c r="C92" s="7" t="s">
        <v>74</v>
      </c>
      <c r="D92" s="20">
        <v>1</v>
      </c>
      <c r="E92" s="20">
        <v>440</v>
      </c>
      <c r="F92" s="20">
        <v>440</v>
      </c>
      <c r="G92" s="9" t="s">
        <v>360</v>
      </c>
      <c r="H92" s="26" t="s">
        <v>12</v>
      </c>
      <c r="I92" s="25">
        <f>E92-O91</f>
        <v>439.94946044675351</v>
      </c>
      <c r="J92" s="25">
        <f>D92*I92</f>
        <v>439.94946044675351</v>
      </c>
    </row>
    <row r="93" spans="1:15" ht="42.75" x14ac:dyDescent="0.25">
      <c r="A93" s="10">
        <v>2</v>
      </c>
      <c r="B93" s="10" t="s">
        <v>359</v>
      </c>
      <c r="C93" s="7" t="s">
        <v>48</v>
      </c>
      <c r="D93" s="20">
        <v>0.05</v>
      </c>
      <c r="E93" s="20">
        <v>3733.75</v>
      </c>
      <c r="F93" s="20">
        <v>186.69</v>
      </c>
      <c r="G93" s="16" t="s">
        <v>358</v>
      </c>
      <c r="H93" s="26" t="s">
        <v>12</v>
      </c>
      <c r="I93" s="33">
        <v>3733.75</v>
      </c>
      <c r="J93" s="33">
        <v>186.69</v>
      </c>
    </row>
    <row r="94" spans="1:15" ht="42.75" x14ac:dyDescent="0.25">
      <c r="A94" s="10">
        <v>3</v>
      </c>
      <c r="B94" s="10" t="s">
        <v>357</v>
      </c>
      <c r="C94" s="7" t="s">
        <v>74</v>
      </c>
      <c r="D94" s="20">
        <v>0.3</v>
      </c>
      <c r="E94" s="20">
        <v>43.78</v>
      </c>
      <c r="F94" s="20">
        <v>13.13</v>
      </c>
      <c r="G94" s="16" t="s">
        <v>356</v>
      </c>
      <c r="H94" s="26" t="s">
        <v>12</v>
      </c>
      <c r="I94" s="33">
        <v>43.78</v>
      </c>
      <c r="J94" s="33">
        <v>13.13</v>
      </c>
    </row>
    <row r="95" spans="1:15" ht="42.75" x14ac:dyDescent="0.25">
      <c r="A95" s="10">
        <v>4</v>
      </c>
      <c r="B95" s="10" t="s">
        <v>327</v>
      </c>
      <c r="C95" s="7" t="s">
        <v>10</v>
      </c>
      <c r="D95" s="20">
        <v>0.05</v>
      </c>
      <c r="E95" s="20">
        <v>704.52</v>
      </c>
      <c r="F95" s="20">
        <v>35.229999999999997</v>
      </c>
      <c r="G95" s="31" t="s">
        <v>355</v>
      </c>
      <c r="H95" s="26" t="s">
        <v>12</v>
      </c>
      <c r="I95" s="33">
        <v>704.52</v>
      </c>
      <c r="J95" s="33">
        <v>35.229999999999997</v>
      </c>
    </row>
    <row r="96" spans="1:15" ht="28.5" x14ac:dyDescent="0.25">
      <c r="A96" s="10">
        <v>5</v>
      </c>
      <c r="B96" s="10" t="s">
        <v>20</v>
      </c>
      <c r="C96" s="7" t="s">
        <v>21</v>
      </c>
      <c r="D96" s="20">
        <v>1</v>
      </c>
      <c r="E96" s="20">
        <v>20.25</v>
      </c>
      <c r="F96" s="20">
        <v>20.25</v>
      </c>
      <c r="G96" s="9" t="s">
        <v>22</v>
      </c>
      <c r="H96" s="26" t="s">
        <v>12</v>
      </c>
      <c r="I96" s="25">
        <v>20.25</v>
      </c>
      <c r="J96" s="25">
        <v>20.25</v>
      </c>
    </row>
    <row r="97" spans="1:15" ht="16.5" x14ac:dyDescent="0.25">
      <c r="A97" s="10"/>
      <c r="B97" s="10" t="s">
        <v>23</v>
      </c>
      <c r="C97" s="7"/>
      <c r="D97" s="20"/>
      <c r="E97" s="20"/>
      <c r="F97" s="20">
        <v>695.3</v>
      </c>
      <c r="G97" s="9"/>
      <c r="H97" s="26" t="s">
        <v>12</v>
      </c>
      <c r="J97" s="25">
        <f>SUM(J92:J96)</f>
        <v>695.24946044675346</v>
      </c>
    </row>
    <row r="98" spans="1:15" ht="16.5" x14ac:dyDescent="0.25">
      <c r="A98" s="10"/>
      <c r="B98" s="10"/>
      <c r="C98" s="7"/>
      <c r="D98" s="20"/>
      <c r="E98" s="20"/>
      <c r="F98" s="20"/>
      <c r="G98" s="9"/>
    </row>
    <row r="99" spans="1:15" ht="16.5" x14ac:dyDescent="0.25">
      <c r="A99" s="43" t="s">
        <v>354</v>
      </c>
      <c r="B99" s="43"/>
      <c r="C99" s="44"/>
      <c r="D99" s="45"/>
      <c r="E99" s="45"/>
      <c r="F99" s="45"/>
      <c r="G99" s="46"/>
      <c r="J99" s="25" t="s">
        <v>305</v>
      </c>
      <c r="K99" s="25" t="s">
        <v>448</v>
      </c>
      <c r="L99" s="18">
        <f>100%-L100</f>
        <v>0.33808008976944981</v>
      </c>
      <c r="N99" s="25">
        <f>I91-N100</f>
        <v>235.04999999999995</v>
      </c>
    </row>
    <row r="100" spans="1:15" ht="16.5" x14ac:dyDescent="0.25">
      <c r="A100" s="43" t="s">
        <v>353</v>
      </c>
      <c r="B100" s="43"/>
      <c r="C100" s="44"/>
      <c r="D100" s="45"/>
      <c r="E100" s="45"/>
      <c r="F100" s="45"/>
      <c r="G100" s="46"/>
      <c r="J100" s="25">
        <f>J92+J96</f>
        <v>460.19946044675351</v>
      </c>
      <c r="K100" s="25" t="s">
        <v>449</v>
      </c>
      <c r="L100" s="18">
        <f>J100/J97</f>
        <v>0.66191991023055019</v>
      </c>
      <c r="N100" s="25">
        <f>J100</f>
        <v>460.19946044675351</v>
      </c>
    </row>
    <row r="101" spans="1:15" ht="19.5" customHeight="1" x14ac:dyDescent="0.25">
      <c r="H101" s="26">
        <v>9</v>
      </c>
      <c r="I101" s="32" t="s">
        <v>444</v>
      </c>
      <c r="J101" s="32" t="s">
        <v>445</v>
      </c>
      <c r="K101" s="28"/>
      <c r="L101" s="3"/>
      <c r="N101" s="50" t="s">
        <v>302</v>
      </c>
      <c r="O101" s="28" t="s">
        <v>304</v>
      </c>
    </row>
    <row r="102" spans="1:15" ht="28.5" x14ac:dyDescent="0.25">
      <c r="A102" s="10" t="s">
        <v>109</v>
      </c>
      <c r="B102" s="10" t="s">
        <v>352</v>
      </c>
      <c r="C102" s="7" t="s">
        <v>74</v>
      </c>
      <c r="D102" s="20"/>
      <c r="E102" s="20">
        <v>868.91</v>
      </c>
      <c r="F102" s="20"/>
      <c r="G102" s="9" t="s">
        <v>351</v>
      </c>
      <c r="H102" s="26" t="s">
        <v>12</v>
      </c>
      <c r="I102" s="25">
        <v>868.84684118623397</v>
      </c>
      <c r="N102" s="49">
        <f>M3</f>
        <v>0.99992731259420897</v>
      </c>
      <c r="O102" s="36">
        <f>E102-I102</f>
        <v>6.3158813765994637E-2</v>
      </c>
    </row>
    <row r="103" spans="1:15" ht="28.5" x14ac:dyDescent="0.25">
      <c r="A103" s="10">
        <v>1</v>
      </c>
      <c r="B103" s="10" t="s">
        <v>350</v>
      </c>
      <c r="C103" s="7" t="s">
        <v>21</v>
      </c>
      <c r="D103" s="20">
        <v>1</v>
      </c>
      <c r="E103" s="20">
        <v>30</v>
      </c>
      <c r="F103" s="20">
        <v>30</v>
      </c>
      <c r="G103" s="9" t="s">
        <v>349</v>
      </c>
      <c r="H103" s="26" t="s">
        <v>12</v>
      </c>
      <c r="I103" s="25">
        <f>E103*N102</f>
        <v>29.997819377826268</v>
      </c>
      <c r="J103" s="25">
        <f>D103*I103</f>
        <v>29.997819377826268</v>
      </c>
    </row>
    <row r="104" spans="1:15" ht="28.5" x14ac:dyDescent="0.25">
      <c r="A104" s="10">
        <v>2</v>
      </c>
      <c r="B104" s="10" t="s">
        <v>348</v>
      </c>
      <c r="C104" s="7" t="s">
        <v>62</v>
      </c>
      <c r="D104" s="20">
        <v>23.55</v>
      </c>
      <c r="E104" s="20">
        <v>32</v>
      </c>
      <c r="F104" s="20">
        <v>753.6</v>
      </c>
      <c r="G104" s="9" t="s">
        <v>347</v>
      </c>
      <c r="H104" s="26" t="s">
        <v>12</v>
      </c>
      <c r="I104" s="25">
        <f>E104*N102</f>
        <v>31.997674003014687</v>
      </c>
      <c r="J104" s="25">
        <f>D104*I104</f>
        <v>753.54522277099591</v>
      </c>
    </row>
    <row r="105" spans="1:15" ht="28.5" x14ac:dyDescent="0.25">
      <c r="A105" s="10">
        <v>3</v>
      </c>
      <c r="B105" s="10" t="s">
        <v>346</v>
      </c>
      <c r="C105" s="7" t="s">
        <v>21</v>
      </c>
      <c r="D105" s="20">
        <v>1</v>
      </c>
      <c r="E105" s="20">
        <v>60</v>
      </c>
      <c r="F105" s="20">
        <v>60</v>
      </c>
      <c r="G105" s="9" t="s">
        <v>345</v>
      </c>
      <c r="H105" s="26" t="s">
        <v>12</v>
      </c>
      <c r="I105" s="25">
        <f>E105*N102</f>
        <v>59.995638755652536</v>
      </c>
      <c r="J105" s="25">
        <f>D105*I105</f>
        <v>59.995638755652536</v>
      </c>
    </row>
    <row r="106" spans="1:15" ht="28.5" x14ac:dyDescent="0.25">
      <c r="A106" s="10">
        <v>4</v>
      </c>
      <c r="B106" s="10" t="s">
        <v>20</v>
      </c>
      <c r="C106" s="7" t="s">
        <v>21</v>
      </c>
      <c r="D106" s="20">
        <v>1</v>
      </c>
      <c r="E106" s="20">
        <v>25.31</v>
      </c>
      <c r="F106" s="20">
        <v>25.31</v>
      </c>
      <c r="G106" s="9" t="s">
        <v>22</v>
      </c>
      <c r="H106" s="26" t="s">
        <v>12</v>
      </c>
      <c r="I106" s="25">
        <v>25.31</v>
      </c>
      <c r="J106" s="25">
        <v>25.31</v>
      </c>
    </row>
    <row r="107" spans="1:15" ht="16.5" x14ac:dyDescent="0.25">
      <c r="A107" s="10"/>
      <c r="B107" s="10" t="s">
        <v>23</v>
      </c>
      <c r="C107" s="7"/>
      <c r="D107" s="20"/>
      <c r="E107" s="20"/>
      <c r="F107" s="20">
        <v>868.91</v>
      </c>
      <c r="G107" s="9"/>
      <c r="H107" s="26" t="s">
        <v>12</v>
      </c>
      <c r="J107" s="25">
        <f>SUM(J103:J106)</f>
        <v>868.84868090447469</v>
      </c>
    </row>
    <row r="108" spans="1:15" ht="16.5" x14ac:dyDescent="0.25">
      <c r="A108" s="10"/>
      <c r="B108" s="10"/>
      <c r="C108" s="7"/>
      <c r="D108" s="20"/>
      <c r="E108" s="20"/>
      <c r="F108" s="20"/>
      <c r="G108" s="9"/>
    </row>
    <row r="109" spans="1:15" ht="16.5" x14ac:dyDescent="0.25">
      <c r="A109" s="43" t="s">
        <v>24</v>
      </c>
      <c r="B109" s="43"/>
      <c r="C109" s="44"/>
      <c r="D109" s="45"/>
      <c r="E109" s="45"/>
      <c r="F109" s="45"/>
      <c r="G109" s="46"/>
      <c r="J109" s="25" t="s">
        <v>305</v>
      </c>
      <c r="K109" s="25" t="s">
        <v>448</v>
      </c>
      <c r="L109" s="18">
        <f>100%-L110</f>
        <v>0</v>
      </c>
    </row>
    <row r="110" spans="1:15" ht="16.5" x14ac:dyDescent="0.25">
      <c r="A110" s="43" t="s">
        <v>344</v>
      </c>
      <c r="B110" s="43"/>
      <c r="C110" s="44"/>
      <c r="D110" s="45"/>
      <c r="E110" s="45"/>
      <c r="F110" s="45"/>
      <c r="G110" s="46"/>
      <c r="J110" s="25">
        <f>J103+J104+J105+J106</f>
        <v>868.84868090447469</v>
      </c>
      <c r="K110" s="25" t="s">
        <v>449</v>
      </c>
      <c r="L110" s="18">
        <f>J110/J107</f>
        <v>1</v>
      </c>
    </row>
    <row r="111" spans="1:15" ht="19.5" customHeight="1" x14ac:dyDescent="0.25">
      <c r="H111" s="26">
        <v>10</v>
      </c>
      <c r="I111" s="32" t="s">
        <v>444</v>
      </c>
      <c r="J111" s="32" t="s">
        <v>445</v>
      </c>
      <c r="K111" s="28"/>
      <c r="L111" s="3"/>
      <c r="N111" s="50" t="s">
        <v>302</v>
      </c>
      <c r="O111" s="28" t="s">
        <v>304</v>
      </c>
    </row>
    <row r="112" spans="1:15" ht="16.5" x14ac:dyDescent="0.25">
      <c r="A112" s="10" t="s">
        <v>113</v>
      </c>
      <c r="B112" s="10" t="s">
        <v>343</v>
      </c>
      <c r="C112" s="7" t="s">
        <v>74</v>
      </c>
      <c r="D112" s="20">
        <v>100</v>
      </c>
      <c r="E112" s="20">
        <v>10870.03</v>
      </c>
      <c r="F112" s="20"/>
      <c r="G112" s="9" t="s">
        <v>342</v>
      </c>
      <c r="H112" s="26" t="s">
        <v>12</v>
      </c>
      <c r="I112" s="25">
        <v>10869.24</v>
      </c>
      <c r="N112" s="49">
        <f>M3</f>
        <v>0.99992731259420897</v>
      </c>
      <c r="O112" s="36">
        <f>E112-I112</f>
        <v>0.79000000000087311</v>
      </c>
    </row>
    <row r="113" spans="1:15" ht="28.5" x14ac:dyDescent="0.25">
      <c r="A113" s="10">
        <v>1</v>
      </c>
      <c r="B113" s="10" t="s">
        <v>322</v>
      </c>
      <c r="C113" s="7" t="s">
        <v>53</v>
      </c>
      <c r="D113" s="20">
        <v>108</v>
      </c>
      <c r="E113" s="20">
        <v>2472</v>
      </c>
      <c r="F113" s="20">
        <v>266976</v>
      </c>
      <c r="G113" s="31" t="s">
        <v>341</v>
      </c>
      <c r="H113" s="26" t="s">
        <v>12</v>
      </c>
      <c r="I113" s="25">
        <f>E113*N112</f>
        <v>2471.8203167328847</v>
      </c>
      <c r="J113" s="39">
        <f t="shared" ref="J113:J118" si="1">D113*I113</f>
        <v>266956.59420715156</v>
      </c>
      <c r="O113" s="25">
        <f>0.79/4</f>
        <v>0.19750000000000001</v>
      </c>
    </row>
    <row r="114" spans="1:15" ht="42.75" x14ac:dyDescent="0.25">
      <c r="A114" s="10">
        <v>2</v>
      </c>
      <c r="B114" s="10" t="s">
        <v>340</v>
      </c>
      <c r="C114" s="7" t="s">
        <v>339</v>
      </c>
      <c r="D114" s="20">
        <v>88</v>
      </c>
      <c r="E114" s="20">
        <v>1250</v>
      </c>
      <c r="F114" s="20">
        <v>110000</v>
      </c>
      <c r="G114" s="9" t="s">
        <v>338</v>
      </c>
      <c r="H114" s="26" t="s">
        <v>12</v>
      </c>
      <c r="I114" s="25">
        <f>E114*N112</f>
        <v>1249.9091407427611</v>
      </c>
      <c r="J114" s="25">
        <f t="shared" si="1"/>
        <v>109992.00438536298</v>
      </c>
      <c r="L114" s="25"/>
    </row>
    <row r="115" spans="1:15" ht="28.5" x14ac:dyDescent="0.25">
      <c r="A115" s="10">
        <v>3</v>
      </c>
      <c r="B115" s="10" t="s">
        <v>337</v>
      </c>
      <c r="C115" s="7" t="s">
        <v>53</v>
      </c>
      <c r="D115" s="20">
        <v>88</v>
      </c>
      <c r="E115" s="20">
        <v>1650</v>
      </c>
      <c r="F115" s="20">
        <v>145200</v>
      </c>
      <c r="G115" s="9" t="s">
        <v>336</v>
      </c>
      <c r="H115" s="26" t="s">
        <v>12</v>
      </c>
      <c r="I115" s="25">
        <f>E115*N112</f>
        <v>1649.8800657804447</v>
      </c>
      <c r="J115" s="25">
        <f t="shared" si="1"/>
        <v>145189.44578867915</v>
      </c>
      <c r="L115" s="25"/>
    </row>
    <row r="116" spans="1:15" ht="28.5" x14ac:dyDescent="0.25">
      <c r="A116" s="10">
        <v>4</v>
      </c>
      <c r="B116" s="10" t="s">
        <v>335</v>
      </c>
      <c r="C116" s="7" t="s">
        <v>74</v>
      </c>
      <c r="D116" s="20">
        <v>100</v>
      </c>
      <c r="E116" s="20">
        <v>1250</v>
      </c>
      <c r="F116" s="20">
        <v>125000</v>
      </c>
      <c r="G116" s="9" t="s">
        <v>334</v>
      </c>
      <c r="H116" s="26" t="s">
        <v>12</v>
      </c>
      <c r="I116" s="25">
        <f>E116*N112</f>
        <v>1249.9091407427611</v>
      </c>
      <c r="J116" s="25">
        <f t="shared" si="1"/>
        <v>124990.91407427611</v>
      </c>
      <c r="L116" s="25"/>
    </row>
    <row r="117" spans="1:15" ht="28.5" x14ac:dyDescent="0.25">
      <c r="A117" s="10">
        <v>5</v>
      </c>
      <c r="B117" s="10" t="s">
        <v>333</v>
      </c>
      <c r="C117" s="7" t="s">
        <v>332</v>
      </c>
      <c r="D117" s="20">
        <v>100</v>
      </c>
      <c r="E117" s="20">
        <v>1580</v>
      </c>
      <c r="F117" s="20">
        <v>158000</v>
      </c>
      <c r="G117" s="9" t="s">
        <v>331</v>
      </c>
      <c r="H117" s="26" t="s">
        <v>12</v>
      </c>
      <c r="I117" s="25">
        <f>E117*N112</f>
        <v>1579.8851538988501</v>
      </c>
      <c r="J117" s="25">
        <f t="shared" si="1"/>
        <v>157988.51538988503</v>
      </c>
      <c r="L117" s="25"/>
    </row>
    <row r="118" spans="1:15" ht="42.75" x14ac:dyDescent="0.25">
      <c r="A118" s="10">
        <v>6</v>
      </c>
      <c r="B118" s="10" t="s">
        <v>315</v>
      </c>
      <c r="C118" s="7" t="s">
        <v>14</v>
      </c>
      <c r="D118" s="20">
        <v>64</v>
      </c>
      <c r="E118" s="20">
        <v>3908.85</v>
      </c>
      <c r="F118" s="20">
        <v>250166.39999999999</v>
      </c>
      <c r="G118" s="31" t="s">
        <v>330</v>
      </c>
      <c r="H118" s="26" t="s">
        <v>12</v>
      </c>
      <c r="I118" s="33">
        <v>3908.85</v>
      </c>
      <c r="J118" s="33">
        <f t="shared" si="1"/>
        <v>250166.39999999999</v>
      </c>
    </row>
    <row r="119" spans="1:15" ht="28.5" x14ac:dyDescent="0.25">
      <c r="A119" s="10">
        <v>7</v>
      </c>
      <c r="B119" s="10" t="s">
        <v>20</v>
      </c>
      <c r="C119" s="7" t="s">
        <v>21</v>
      </c>
      <c r="D119" s="20">
        <v>1</v>
      </c>
      <c r="E119" s="20">
        <v>31660.27</v>
      </c>
      <c r="F119" s="20">
        <v>31660.27</v>
      </c>
      <c r="G119" s="9" t="s">
        <v>22</v>
      </c>
      <c r="H119" s="26" t="s">
        <v>12</v>
      </c>
      <c r="I119" s="25">
        <f>E119*N112</f>
        <v>31657.968697107059</v>
      </c>
      <c r="J119" s="25">
        <f>D119*I119-18</f>
        <v>31639.968697107059</v>
      </c>
    </row>
    <row r="120" spans="1:15" ht="16.5" x14ac:dyDescent="0.25">
      <c r="A120" s="10"/>
      <c r="B120" s="10" t="s">
        <v>34</v>
      </c>
      <c r="C120" s="7" t="s">
        <v>74</v>
      </c>
      <c r="D120" s="20">
        <v>100</v>
      </c>
      <c r="E120" s="20"/>
      <c r="F120" s="20">
        <v>1087002.67</v>
      </c>
      <c r="G120" s="9"/>
      <c r="H120" s="26" t="s">
        <v>12</v>
      </c>
      <c r="J120" s="25">
        <f>SUM(J113:J119)/100</f>
        <v>10869.238425424621</v>
      </c>
      <c r="L120" s="25"/>
    </row>
    <row r="121" spans="1:15" ht="16.5" x14ac:dyDescent="0.25">
      <c r="A121" s="10"/>
      <c r="B121" s="10" t="s">
        <v>23</v>
      </c>
      <c r="C121" s="7"/>
      <c r="D121" s="20"/>
      <c r="E121" s="20"/>
      <c r="F121" s="20">
        <v>10870.03</v>
      </c>
      <c r="G121" s="9"/>
      <c r="H121" s="26" t="s">
        <v>12</v>
      </c>
      <c r="M121" s="25"/>
    </row>
    <row r="122" spans="1:15" ht="16.5" x14ac:dyDescent="0.25">
      <c r="A122" s="10"/>
      <c r="B122" s="10"/>
      <c r="C122" s="7"/>
      <c r="D122" s="20"/>
      <c r="E122" s="20"/>
      <c r="F122" s="20"/>
      <c r="G122" s="9"/>
    </row>
    <row r="123" spans="1:15" ht="16.5" x14ac:dyDescent="0.25">
      <c r="A123" s="43" t="s">
        <v>329</v>
      </c>
      <c r="B123" s="43"/>
      <c r="C123" s="44"/>
      <c r="D123" s="45"/>
      <c r="E123" s="45"/>
      <c r="F123" s="45"/>
      <c r="G123" s="46"/>
      <c r="J123" s="25" t="s">
        <v>305</v>
      </c>
      <c r="K123" s="25" t="s">
        <v>448</v>
      </c>
      <c r="L123" s="18">
        <f>100%-L124</f>
        <v>0.23016000772862533</v>
      </c>
      <c r="N123" s="25">
        <f>I112-N124</f>
        <v>2501.6655745753815</v>
      </c>
    </row>
    <row r="124" spans="1:15" ht="16.5" x14ac:dyDescent="0.25">
      <c r="A124" s="43" t="s">
        <v>328</v>
      </c>
      <c r="B124" s="43"/>
      <c r="C124" s="44"/>
      <c r="D124" s="45"/>
      <c r="E124" s="45"/>
      <c r="F124" s="45"/>
      <c r="G124" s="46"/>
      <c r="J124" s="25">
        <f>(J113+J114+J115+J116+J117+J119)/100</f>
        <v>8367.5744254246183</v>
      </c>
      <c r="K124" s="25" t="s">
        <v>449</v>
      </c>
      <c r="L124" s="18">
        <f>J124/J120</f>
        <v>0.76983999227137467</v>
      </c>
      <c r="N124" s="25">
        <f>J124</f>
        <v>8367.5744254246183</v>
      </c>
    </row>
    <row r="125" spans="1:15" ht="19.5" customHeight="1" x14ac:dyDescent="0.25">
      <c r="H125" s="26">
        <v>11</v>
      </c>
      <c r="I125" s="32" t="s">
        <v>444</v>
      </c>
      <c r="J125" s="32" t="s">
        <v>445</v>
      </c>
      <c r="K125" s="28"/>
      <c r="L125" s="3"/>
      <c r="N125" s="50" t="s">
        <v>302</v>
      </c>
      <c r="O125" s="28" t="s">
        <v>304</v>
      </c>
    </row>
    <row r="126" spans="1:15" ht="16.5" x14ac:dyDescent="0.25">
      <c r="A126" s="10" t="s">
        <v>119</v>
      </c>
      <c r="B126" s="10" t="s">
        <v>327</v>
      </c>
      <c r="C126" s="7" t="s">
        <v>10</v>
      </c>
      <c r="D126" s="20"/>
      <c r="E126" s="20">
        <v>704.52</v>
      </c>
      <c r="F126" s="20"/>
      <c r="G126" s="9" t="s">
        <v>326</v>
      </c>
      <c r="H126" s="26" t="s">
        <v>12</v>
      </c>
      <c r="N126" s="49">
        <f>M3</f>
        <v>0.99992731259420897</v>
      </c>
      <c r="O126" s="36">
        <f>E126-I126</f>
        <v>704.52</v>
      </c>
    </row>
    <row r="127" spans="1:15" ht="42.75" x14ac:dyDescent="0.25">
      <c r="A127" s="10">
        <v>1</v>
      </c>
      <c r="B127" s="10" t="s">
        <v>325</v>
      </c>
      <c r="C127" s="7" t="s">
        <v>28</v>
      </c>
      <c r="D127" s="20">
        <v>1</v>
      </c>
      <c r="E127" s="20">
        <v>488</v>
      </c>
      <c r="F127" s="20">
        <v>488</v>
      </c>
      <c r="G127" s="16" t="s">
        <v>324</v>
      </c>
      <c r="H127" s="26" t="s">
        <v>12</v>
      </c>
    </row>
    <row r="128" spans="1:15" ht="42.75" x14ac:dyDescent="0.25">
      <c r="A128" s="10">
        <v>2</v>
      </c>
      <c r="B128" s="10" t="s">
        <v>41</v>
      </c>
      <c r="C128" s="7" t="s">
        <v>14</v>
      </c>
      <c r="D128" s="20">
        <v>0.7</v>
      </c>
      <c r="E128" s="20">
        <v>280</v>
      </c>
      <c r="F128" s="20">
        <v>196</v>
      </c>
      <c r="G128" s="16" t="s">
        <v>42</v>
      </c>
      <c r="H128" s="26" t="s">
        <v>12</v>
      </c>
    </row>
    <row r="129" spans="1:15" ht="28.5" x14ac:dyDescent="0.25">
      <c r="A129" s="10">
        <v>3</v>
      </c>
      <c r="B129" s="10" t="s">
        <v>20</v>
      </c>
      <c r="C129" s="7" t="s">
        <v>21</v>
      </c>
      <c r="D129" s="20">
        <v>1</v>
      </c>
      <c r="E129" s="20">
        <v>20.52</v>
      </c>
      <c r="F129" s="20">
        <v>20.52</v>
      </c>
      <c r="G129" s="9" t="s">
        <v>22</v>
      </c>
      <c r="H129" s="26" t="s">
        <v>12</v>
      </c>
    </row>
    <row r="130" spans="1:15" ht="16.5" x14ac:dyDescent="0.25">
      <c r="A130" s="10"/>
      <c r="B130" s="10" t="s">
        <v>23</v>
      </c>
      <c r="C130" s="7"/>
      <c r="D130" s="20"/>
      <c r="E130" s="20"/>
      <c r="F130" s="20">
        <v>704.52</v>
      </c>
      <c r="G130" s="9"/>
      <c r="H130" s="26" t="s">
        <v>12</v>
      </c>
    </row>
    <row r="131" spans="1:15" ht="16.5" x14ac:dyDescent="0.25">
      <c r="A131" s="10"/>
      <c r="B131" s="10"/>
      <c r="C131" s="7"/>
      <c r="D131" s="20"/>
      <c r="E131" s="20"/>
      <c r="F131" s="20"/>
      <c r="G131" s="9"/>
    </row>
    <row r="132" spans="1:15" ht="16.5" x14ac:dyDescent="0.25">
      <c r="A132" s="43" t="s">
        <v>323</v>
      </c>
      <c r="B132" s="43"/>
      <c r="C132" s="44"/>
      <c r="D132" s="45"/>
      <c r="E132" s="45"/>
      <c r="F132" s="45"/>
      <c r="G132" s="46"/>
    </row>
    <row r="133" spans="1:15" ht="16.5" x14ac:dyDescent="0.25">
      <c r="A133" s="43" t="s">
        <v>36</v>
      </c>
      <c r="B133" s="43"/>
      <c r="C133" s="44"/>
      <c r="D133" s="45"/>
      <c r="E133" s="45"/>
      <c r="F133" s="45"/>
      <c r="G133" s="46"/>
    </row>
    <row r="134" spans="1:15" ht="19.5" customHeight="1" x14ac:dyDescent="0.25">
      <c r="H134" s="26">
        <v>12</v>
      </c>
      <c r="I134" s="32" t="s">
        <v>444</v>
      </c>
      <c r="J134" s="32" t="s">
        <v>445</v>
      </c>
      <c r="K134" s="28"/>
      <c r="L134" s="3"/>
      <c r="N134" s="50" t="s">
        <v>302</v>
      </c>
      <c r="O134" s="28" t="s">
        <v>304</v>
      </c>
    </row>
    <row r="135" spans="1:15" ht="28.5" x14ac:dyDescent="0.25">
      <c r="A135" s="10" t="s">
        <v>122</v>
      </c>
      <c r="B135" s="10" t="s">
        <v>322</v>
      </c>
      <c r="C135" s="7" t="s">
        <v>53</v>
      </c>
      <c r="D135" s="20">
        <v>12</v>
      </c>
      <c r="E135" s="20">
        <v>2472</v>
      </c>
      <c r="F135" s="20"/>
      <c r="G135" s="9" t="s">
        <v>321</v>
      </c>
      <c r="H135" s="26" t="s">
        <v>12</v>
      </c>
      <c r="I135" s="25">
        <v>2471.8203167328847</v>
      </c>
      <c r="N135" s="49">
        <f>M3</f>
        <v>0.99992731259420897</v>
      </c>
      <c r="O135" s="36">
        <f>E135-I135</f>
        <v>0.17968326711525151</v>
      </c>
    </row>
    <row r="136" spans="1:15" ht="28.5" x14ac:dyDescent="0.25">
      <c r="A136" s="10">
        <v>1</v>
      </c>
      <c r="B136" s="10" t="s">
        <v>320</v>
      </c>
      <c r="C136" s="7" t="s">
        <v>53</v>
      </c>
      <c r="D136" s="20">
        <v>12</v>
      </c>
      <c r="E136" s="20">
        <v>2000</v>
      </c>
      <c r="F136" s="20">
        <v>24000</v>
      </c>
      <c r="G136" s="9" t="s">
        <v>319</v>
      </c>
      <c r="H136" s="26" t="s">
        <v>12</v>
      </c>
      <c r="I136" s="25">
        <f>N135*E136</f>
        <v>1999.8546251884179</v>
      </c>
      <c r="J136" s="25">
        <f>D136*I136</f>
        <v>23998.255502261014</v>
      </c>
    </row>
    <row r="137" spans="1:15" ht="28.5" x14ac:dyDescent="0.25">
      <c r="A137" s="10">
        <v>2</v>
      </c>
      <c r="B137" s="10" t="s">
        <v>318</v>
      </c>
      <c r="C137" s="7" t="s">
        <v>53</v>
      </c>
      <c r="D137" s="20">
        <v>12</v>
      </c>
      <c r="E137" s="20">
        <v>400</v>
      </c>
      <c r="F137" s="20">
        <v>4800</v>
      </c>
      <c r="G137" s="9" t="s">
        <v>317</v>
      </c>
      <c r="H137" s="26" t="s">
        <v>12</v>
      </c>
      <c r="I137" s="25">
        <f>N135*E137</f>
        <v>399.97092503768357</v>
      </c>
      <c r="J137" s="25">
        <f>D137*I137</f>
        <v>4799.6511004522026</v>
      </c>
    </row>
    <row r="138" spans="1:15" ht="28.5" x14ac:dyDescent="0.25">
      <c r="A138" s="10">
        <v>3</v>
      </c>
      <c r="B138" s="10" t="s">
        <v>20</v>
      </c>
      <c r="C138" s="7" t="s">
        <v>21</v>
      </c>
      <c r="D138" s="20">
        <v>1</v>
      </c>
      <c r="E138" s="20">
        <v>864</v>
      </c>
      <c r="F138" s="20">
        <v>864</v>
      </c>
      <c r="G138" s="9" t="s">
        <v>22</v>
      </c>
      <c r="H138" s="26" t="s">
        <v>12</v>
      </c>
      <c r="I138" s="25">
        <v>864</v>
      </c>
      <c r="J138" s="25">
        <f>D138*I138-0.06</f>
        <v>863.94</v>
      </c>
    </row>
    <row r="139" spans="1:15" ht="16.5" x14ac:dyDescent="0.25">
      <c r="A139" s="10"/>
      <c r="B139" s="10" t="s">
        <v>34</v>
      </c>
      <c r="C139" s="7" t="s">
        <v>53</v>
      </c>
      <c r="D139" s="20">
        <v>12</v>
      </c>
      <c r="E139" s="20"/>
      <c r="F139" s="20">
        <v>29664</v>
      </c>
      <c r="G139" s="9"/>
      <c r="H139" s="26" t="s">
        <v>12</v>
      </c>
      <c r="J139" s="25">
        <f>SUM(J136:J138)/12</f>
        <v>2471.8205502261012</v>
      </c>
      <c r="L139" s="25">
        <f>(J139-I135)*12</f>
        <v>2.8019185974699212E-3</v>
      </c>
    </row>
    <row r="140" spans="1:15" ht="16.5" x14ac:dyDescent="0.25">
      <c r="A140" s="10"/>
      <c r="B140" s="10" t="s">
        <v>23</v>
      </c>
      <c r="C140" s="7"/>
      <c r="D140" s="20"/>
      <c r="E140" s="20"/>
      <c r="F140" s="20">
        <v>2472</v>
      </c>
      <c r="G140" s="9"/>
      <c r="H140" s="26" t="s">
        <v>12</v>
      </c>
    </row>
    <row r="141" spans="1:15" ht="16.5" x14ac:dyDescent="0.25">
      <c r="A141" s="10"/>
      <c r="B141" s="10"/>
      <c r="C141" s="7"/>
      <c r="D141" s="20"/>
      <c r="E141" s="20"/>
      <c r="F141" s="20"/>
      <c r="G141" s="9"/>
    </row>
    <row r="142" spans="1:15" ht="16.5" x14ac:dyDescent="0.25">
      <c r="A142" s="43" t="s">
        <v>24</v>
      </c>
      <c r="B142" s="43"/>
      <c r="C142" s="44"/>
      <c r="D142" s="45"/>
      <c r="E142" s="45"/>
      <c r="F142" s="45"/>
      <c r="G142" s="46"/>
      <c r="J142" s="25" t="s">
        <v>305</v>
      </c>
      <c r="K142" s="25" t="s">
        <v>448</v>
      </c>
      <c r="L142" s="18">
        <f>100%-L143</f>
        <v>0</v>
      </c>
    </row>
    <row r="143" spans="1:15" ht="16.5" x14ac:dyDescent="0.25">
      <c r="A143" s="43" t="s">
        <v>316</v>
      </c>
      <c r="B143" s="43"/>
      <c r="C143" s="44"/>
      <c r="D143" s="45"/>
      <c r="E143" s="45"/>
      <c r="F143" s="45"/>
      <c r="G143" s="46"/>
      <c r="J143" s="25">
        <f>(J136+J137+J138)/12</f>
        <v>2471.8205502261012</v>
      </c>
      <c r="K143" s="25" t="s">
        <v>449</v>
      </c>
      <c r="L143" s="18">
        <f>J143/J139</f>
        <v>1</v>
      </c>
    </row>
    <row r="144" spans="1:15" ht="19.5" customHeight="1" x14ac:dyDescent="0.25">
      <c r="H144" s="26">
        <v>13</v>
      </c>
      <c r="I144" s="32" t="s">
        <v>444</v>
      </c>
      <c r="J144" s="32" t="s">
        <v>445</v>
      </c>
      <c r="K144" s="28"/>
      <c r="L144" s="3"/>
      <c r="N144" s="50" t="s">
        <v>302</v>
      </c>
      <c r="O144" s="28" t="s">
        <v>304</v>
      </c>
    </row>
    <row r="145" spans="1:15" ht="16.5" x14ac:dyDescent="0.25">
      <c r="A145" s="10" t="s">
        <v>143</v>
      </c>
      <c r="B145" s="10" t="s">
        <v>315</v>
      </c>
      <c r="C145" s="7" t="s">
        <v>14</v>
      </c>
      <c r="D145" s="20"/>
      <c r="E145" s="20">
        <v>3908.85</v>
      </c>
      <c r="F145" s="20"/>
      <c r="G145" s="9" t="s">
        <v>314</v>
      </c>
      <c r="H145" s="26" t="s">
        <v>12</v>
      </c>
      <c r="N145" s="49">
        <f>M3</f>
        <v>0.99992731259420897</v>
      </c>
      <c r="O145" s="36">
        <f>E145-I145</f>
        <v>3908.85</v>
      </c>
    </row>
    <row r="146" spans="1:15" ht="42.75" x14ac:dyDescent="0.25">
      <c r="A146" s="10">
        <v>1</v>
      </c>
      <c r="B146" s="10" t="s">
        <v>313</v>
      </c>
      <c r="C146" s="7" t="s">
        <v>14</v>
      </c>
      <c r="D146" s="20">
        <v>1</v>
      </c>
      <c r="E146" s="20">
        <v>3000</v>
      </c>
      <c r="F146" s="20">
        <v>3000</v>
      </c>
      <c r="G146" s="16" t="s">
        <v>312</v>
      </c>
      <c r="H146" s="26" t="s">
        <v>12</v>
      </c>
    </row>
    <row r="147" spans="1:15" ht="42.75" x14ac:dyDescent="0.25">
      <c r="A147" s="10">
        <v>2</v>
      </c>
      <c r="B147" s="10" t="s">
        <v>311</v>
      </c>
      <c r="C147" s="7" t="s">
        <v>14</v>
      </c>
      <c r="D147" s="20">
        <v>1</v>
      </c>
      <c r="E147" s="20">
        <v>375</v>
      </c>
      <c r="F147" s="20">
        <v>375</v>
      </c>
      <c r="G147" s="16" t="s">
        <v>81</v>
      </c>
      <c r="H147" s="26" t="s">
        <v>12</v>
      </c>
    </row>
    <row r="148" spans="1:15" ht="42.75" x14ac:dyDescent="0.25">
      <c r="A148" s="10">
        <v>3</v>
      </c>
      <c r="B148" s="10" t="s">
        <v>41</v>
      </c>
      <c r="C148" s="7" t="s">
        <v>14</v>
      </c>
      <c r="D148" s="20">
        <v>1.5</v>
      </c>
      <c r="E148" s="20">
        <v>280</v>
      </c>
      <c r="F148" s="20">
        <v>420</v>
      </c>
      <c r="G148" s="16" t="s">
        <v>42</v>
      </c>
      <c r="H148" s="26" t="s">
        <v>12</v>
      </c>
    </row>
    <row r="149" spans="1:15" ht="28.5" x14ac:dyDescent="0.25">
      <c r="A149" s="10">
        <v>4</v>
      </c>
      <c r="B149" s="10" t="s">
        <v>20</v>
      </c>
      <c r="C149" s="7" t="s">
        <v>21</v>
      </c>
      <c r="D149" s="20">
        <v>1</v>
      </c>
      <c r="E149" s="20">
        <v>113.85</v>
      </c>
      <c r="F149" s="20">
        <v>113.85</v>
      </c>
      <c r="G149" s="9" t="s">
        <v>22</v>
      </c>
      <c r="H149" s="26" t="s">
        <v>12</v>
      </c>
    </row>
    <row r="150" spans="1:15" ht="16.5" x14ac:dyDescent="0.25">
      <c r="A150" s="10"/>
      <c r="B150" s="10" t="s">
        <v>23</v>
      </c>
      <c r="C150" s="7"/>
      <c r="D150" s="20"/>
      <c r="E150" s="20"/>
      <c r="F150" s="20">
        <v>3908.85</v>
      </c>
      <c r="G150" s="9"/>
      <c r="H150" s="26" t="s">
        <v>12</v>
      </c>
    </row>
    <row r="151" spans="1:15" ht="16.5" x14ac:dyDescent="0.25">
      <c r="A151" s="10"/>
      <c r="B151" s="10"/>
      <c r="C151" s="7"/>
      <c r="D151" s="20"/>
      <c r="E151" s="20"/>
      <c r="F151" s="20"/>
      <c r="G151" s="9"/>
    </row>
    <row r="152" spans="1:15" ht="16.5" x14ac:dyDescent="0.25">
      <c r="A152" s="43" t="s">
        <v>310</v>
      </c>
      <c r="B152" s="43"/>
      <c r="C152" s="44"/>
      <c r="D152" s="45"/>
      <c r="E152" s="45"/>
      <c r="F152" s="45"/>
      <c r="G152" s="46"/>
    </row>
    <row r="153" spans="1:15" ht="16.5" x14ac:dyDescent="0.25">
      <c r="A153" s="43" t="s">
        <v>36</v>
      </c>
      <c r="B153" s="43"/>
      <c r="C153" s="44"/>
      <c r="D153" s="45"/>
      <c r="E153" s="45"/>
      <c r="F153" s="45"/>
      <c r="G153" s="46"/>
    </row>
    <row r="154" spans="1:15" ht="19.5" customHeight="1" x14ac:dyDescent="0.25"/>
    <row r="155" spans="1:15" ht="19.5" customHeight="1" x14ac:dyDescent="0.25"/>
    <row r="156" spans="1:15" ht="19.5" customHeight="1" x14ac:dyDescent="0.25"/>
    <row r="157" spans="1:15" ht="28.5" customHeight="1" x14ac:dyDescent="0.25"/>
    <row r="158" spans="1:15" ht="28.5" customHeight="1" x14ac:dyDescent="0.25"/>
    <row r="160" spans="1:15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9.5" customHeight="1" x14ac:dyDescent="0.25"/>
    <row r="209" ht="19.5" customHeight="1" x14ac:dyDescent="0.25"/>
    <row r="210" ht="19.5" customHeight="1" x14ac:dyDescent="0.25"/>
    <row r="211" ht="19.5" customHeight="1" x14ac:dyDescent="0.25"/>
    <row r="212" ht="19.5" customHeight="1" x14ac:dyDescent="0.25"/>
    <row r="213" ht="19.5" customHeight="1" x14ac:dyDescent="0.25"/>
    <row r="214" ht="19.5" customHeight="1" x14ac:dyDescent="0.25"/>
    <row r="215" ht="19.5" customHeight="1" x14ac:dyDescent="0.25"/>
    <row r="216" ht="19.5" customHeight="1" x14ac:dyDescent="0.25"/>
    <row r="217" ht="19.5" customHeight="1" x14ac:dyDescent="0.25"/>
    <row r="218" ht="19.5" customHeight="1" x14ac:dyDescent="0.25"/>
    <row r="219" ht="19.5" customHeight="1" x14ac:dyDescent="0.25"/>
    <row r="220" ht="19.5" customHeight="1" x14ac:dyDescent="0.25"/>
    <row r="221" ht="19.5" customHeight="1" x14ac:dyDescent="0.25"/>
    <row r="222" ht="19.5" customHeight="1" x14ac:dyDescent="0.25"/>
    <row r="223" ht="19.5" customHeight="1" x14ac:dyDescent="0.25"/>
    <row r="224" ht="19.5" customHeight="1" x14ac:dyDescent="0.25"/>
    <row r="225" ht="19.5" customHeight="1" x14ac:dyDescent="0.25"/>
    <row r="226" ht="19.5" customHeight="1" x14ac:dyDescent="0.25"/>
    <row r="227" ht="19.5" customHeight="1" x14ac:dyDescent="0.25"/>
    <row r="228" ht="19.5" customHeight="1" x14ac:dyDescent="0.25"/>
    <row r="229" ht="19.5" customHeight="1" x14ac:dyDescent="0.25"/>
    <row r="230" ht="19.5" customHeight="1" x14ac:dyDescent="0.25"/>
    <row r="231" ht="19.5" customHeight="1" x14ac:dyDescent="0.25"/>
    <row r="232" ht="19.5" customHeight="1" x14ac:dyDescent="0.25"/>
    <row r="233" ht="19.5" customHeight="1" x14ac:dyDescent="0.25"/>
    <row r="234" ht="19.5" customHeight="1" x14ac:dyDescent="0.25"/>
    <row r="235" ht="19.5" customHeight="1" x14ac:dyDescent="0.25"/>
    <row r="236" ht="19.5" customHeight="1" x14ac:dyDescent="0.25"/>
    <row r="237" ht="19.5" customHeight="1" x14ac:dyDescent="0.25"/>
    <row r="238" ht="19.5" customHeight="1" x14ac:dyDescent="0.25"/>
    <row r="239" ht="19.5" customHeight="1" x14ac:dyDescent="0.25"/>
    <row r="240" ht="19.5" customHeight="1" x14ac:dyDescent="0.25"/>
    <row r="241" ht="19.5" customHeight="1" x14ac:dyDescent="0.25"/>
    <row r="242" ht="19.5" customHeight="1" x14ac:dyDescent="0.25"/>
    <row r="243" ht="19.5" customHeight="1" x14ac:dyDescent="0.25"/>
    <row r="244" ht="19.5" customHeight="1" x14ac:dyDescent="0.25"/>
    <row r="245" ht="19.5" customHeight="1" x14ac:dyDescent="0.25"/>
    <row r="246" ht="19.5" customHeight="1" x14ac:dyDescent="0.25"/>
    <row r="247" ht="19.5" customHeight="1" x14ac:dyDescent="0.25"/>
    <row r="248" ht="19.5" customHeight="1" x14ac:dyDescent="0.25"/>
    <row r="249" ht="19.5" customHeight="1" x14ac:dyDescent="0.25"/>
    <row r="250" ht="19.5" customHeight="1" x14ac:dyDescent="0.25"/>
    <row r="251" ht="19.5" customHeight="1" x14ac:dyDescent="0.25"/>
    <row r="252" ht="19.5" customHeight="1" x14ac:dyDescent="0.25"/>
    <row r="253" ht="19.5" customHeight="1" x14ac:dyDescent="0.25"/>
    <row r="254" ht="19.5" customHeight="1" x14ac:dyDescent="0.25"/>
    <row r="255" ht="19.5" customHeight="1" x14ac:dyDescent="0.25"/>
    <row r="256" ht="19.5" customHeight="1" x14ac:dyDescent="0.25"/>
    <row r="257" ht="19.5" customHeight="1" x14ac:dyDescent="0.25"/>
    <row r="258" ht="19.5" customHeight="1" x14ac:dyDescent="0.25"/>
    <row r="259" ht="19.5" customHeight="1" x14ac:dyDescent="0.25"/>
    <row r="260" ht="19.5" customHeight="1" x14ac:dyDescent="0.25"/>
    <row r="261" ht="19.5" customHeight="1" x14ac:dyDescent="0.25"/>
    <row r="262" ht="19.5" customHeight="1" x14ac:dyDescent="0.25"/>
    <row r="263" ht="19.5" customHeight="1" x14ac:dyDescent="0.25"/>
    <row r="264" ht="19.5" customHeight="1" x14ac:dyDescent="0.25"/>
    <row r="265" ht="19.5" customHeight="1" x14ac:dyDescent="0.25"/>
    <row r="266" ht="19.5" customHeight="1" x14ac:dyDescent="0.25"/>
    <row r="267" ht="19.5" customHeight="1" x14ac:dyDescent="0.25"/>
    <row r="268" ht="19.5" customHeight="1" x14ac:dyDescent="0.25"/>
    <row r="269" ht="19.5" customHeight="1" x14ac:dyDescent="0.25"/>
    <row r="270" ht="19.5" customHeight="1" x14ac:dyDescent="0.25"/>
    <row r="271" ht="19.5" customHeight="1" x14ac:dyDescent="0.25"/>
    <row r="272" ht="19.5" customHeight="1" x14ac:dyDescent="0.25"/>
    <row r="273" ht="19.5" customHeight="1" x14ac:dyDescent="0.25"/>
    <row r="274" ht="19.5" customHeight="1" x14ac:dyDescent="0.25"/>
    <row r="275" ht="19.5" customHeight="1" x14ac:dyDescent="0.25"/>
    <row r="276" ht="19.5" customHeight="1" x14ac:dyDescent="0.25"/>
    <row r="277" ht="19.5" customHeight="1" x14ac:dyDescent="0.25"/>
    <row r="278" ht="19.5" customHeight="1" x14ac:dyDescent="0.25"/>
    <row r="279" ht="19.5" customHeight="1" x14ac:dyDescent="0.25"/>
    <row r="280" ht="19.5" customHeight="1" x14ac:dyDescent="0.25"/>
    <row r="281" ht="19.5" customHeight="1" x14ac:dyDescent="0.25"/>
    <row r="282" ht="19.5" customHeight="1" x14ac:dyDescent="0.25"/>
    <row r="283" ht="19.5" customHeight="1" x14ac:dyDescent="0.25"/>
    <row r="284" ht="19.5" customHeight="1" x14ac:dyDescent="0.25"/>
    <row r="285" ht="19.5" customHeight="1" x14ac:dyDescent="0.25"/>
    <row r="286" ht="19.5" customHeight="1" x14ac:dyDescent="0.25"/>
    <row r="287" ht="19.5" customHeight="1" x14ac:dyDescent="0.25"/>
    <row r="288" ht="19.5" customHeight="1" x14ac:dyDescent="0.25"/>
    <row r="289" ht="19.5" customHeight="1" x14ac:dyDescent="0.25"/>
    <row r="290" ht="19.5" customHeight="1" x14ac:dyDescent="0.25"/>
    <row r="291" ht="19.5" customHeight="1" x14ac:dyDescent="0.25"/>
    <row r="292" ht="19.5" customHeight="1" x14ac:dyDescent="0.25"/>
    <row r="293" ht="19.5" customHeight="1" x14ac:dyDescent="0.25"/>
    <row r="294" ht="19.5" customHeight="1" x14ac:dyDescent="0.25"/>
    <row r="295" ht="19.5" customHeight="1" x14ac:dyDescent="0.25"/>
    <row r="296" ht="19.5" customHeight="1" x14ac:dyDescent="0.25"/>
    <row r="297" ht="19.5" customHeight="1" x14ac:dyDescent="0.25"/>
    <row r="298" ht="19.5" customHeight="1" x14ac:dyDescent="0.25"/>
    <row r="299" ht="19.5" customHeight="1" x14ac:dyDescent="0.25"/>
    <row r="300" ht="19.5" customHeight="1" x14ac:dyDescent="0.25"/>
    <row r="301" ht="19.5" customHeight="1" x14ac:dyDescent="0.25"/>
    <row r="302" ht="19.5" customHeight="1" x14ac:dyDescent="0.25"/>
    <row r="303" ht="19.5" customHeight="1" x14ac:dyDescent="0.25"/>
    <row r="304" ht="19.5" customHeight="1" x14ac:dyDescent="0.25"/>
    <row r="305" ht="19.5" customHeight="1" x14ac:dyDescent="0.25"/>
    <row r="306" ht="19.5" customHeight="1" x14ac:dyDescent="0.25"/>
    <row r="307" ht="19.5" customHeight="1" x14ac:dyDescent="0.25"/>
  </sheetData>
  <sheetProtection formatCells="0" formatColumns="0" formatRows="0" insertRows="0" deleteRows="0" sort="0" autoFilter="0"/>
  <mergeCells count="29">
    <mergeCell ref="A133:G133"/>
    <mergeCell ref="A142:G142"/>
    <mergeCell ref="A143:G143"/>
    <mergeCell ref="A152:G152"/>
    <mergeCell ref="A153:G153"/>
    <mergeCell ref="A43:G43"/>
    <mergeCell ref="A55:G55"/>
    <mergeCell ref="A132:G132"/>
    <mergeCell ref="A56:G56"/>
    <mergeCell ref="A75:G75"/>
    <mergeCell ref="A76:G76"/>
    <mergeCell ref="A88:G88"/>
    <mergeCell ref="A89:G89"/>
    <mergeCell ref="A99:G99"/>
    <mergeCell ref="A100:G100"/>
    <mergeCell ref="A109:G109"/>
    <mergeCell ref="A110:G110"/>
    <mergeCell ref="A123:G123"/>
    <mergeCell ref="A124:G124"/>
    <mergeCell ref="A21:G21"/>
    <mergeCell ref="A22:G22"/>
    <mergeCell ref="A31:G31"/>
    <mergeCell ref="A32:G32"/>
    <mergeCell ref="A42:G42"/>
    <mergeCell ref="A1:G1"/>
    <mergeCell ref="A2:G2"/>
    <mergeCell ref="A3:G3"/>
    <mergeCell ref="A12:G12"/>
    <mergeCell ref="A13:G13"/>
  </mergeCells>
  <phoneticPr fontId="11" type="noConversion"/>
  <printOptions horizontalCentered="1"/>
  <pageMargins left="0.39370078740157483" right="0.39370078740157483" top="0.78740157480314965" bottom="1.0900000000000001" header="0.51181102362204722" footer="0.78"/>
  <pageSetup paperSize="9" scale="85" orientation="portrait" verticalDpi="300" r:id="rId1"/>
  <headerFooter alignWithMargins="0">
    <oddHeader xml:space="preserve">&amp;C&amp;G&amp;R&amp;"Times New Roman,標準"
</oddHeader>
    <oddFooter>&amp;L&amp;"標楷體,標準"          編製：     &amp;C&amp;"標楷體,標準"          校核：&amp;R&amp;"標楷體,標準"第&amp;P頁，共&amp;N頁</oddFooter>
  </headerFooter>
  <rowBreaks count="5" manualBreakCount="5">
    <brk id="33" max="6" man="1"/>
    <brk id="57" max="6" man="1"/>
    <brk id="77" max="6" man="1"/>
    <brk id="101" max="6" man="1"/>
    <brk id="134" max="6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9AC-E379-4261-AC39-4CAEEA5F1C08}">
  <dimension ref="A1:O67"/>
  <sheetViews>
    <sheetView view="pageBreakPreview" zoomScale="70" zoomScaleNormal="75" zoomScaleSheetLayoutView="70" workbookViewId="0">
      <selection activeCell="J19" sqref="J19"/>
    </sheetView>
  </sheetViews>
  <sheetFormatPr defaultColWidth="9" defaultRowHeight="22.5" customHeight="1" x14ac:dyDescent="0.25"/>
  <cols>
    <col min="1" max="1" width="9.625" style="1" customWidth="1"/>
    <col min="2" max="2" width="21.25" style="1" customWidth="1"/>
    <col min="3" max="3" width="8.5" style="1" customWidth="1"/>
    <col min="4" max="4" width="11.5" style="1" customWidth="1"/>
    <col min="5" max="5" width="11" style="1" customWidth="1"/>
    <col min="6" max="6" width="12.25" style="1" customWidth="1"/>
    <col min="7" max="7" width="12.5" style="1" customWidth="1"/>
    <col min="8" max="8" width="1.5" style="1" customWidth="1"/>
    <col min="9" max="9" width="15.125" style="11" bestFit="1" customWidth="1"/>
    <col min="10" max="10" width="15.125" style="1" bestFit="1" customWidth="1"/>
    <col min="11" max="11" width="11.25" style="1" bestFit="1" customWidth="1"/>
    <col min="12" max="12" width="13.875" style="1" bestFit="1" customWidth="1"/>
    <col min="13" max="13" width="9" style="1"/>
    <col min="14" max="14" width="15.125" style="1" bestFit="1" customWidth="1"/>
    <col min="15" max="16384" width="9" style="1"/>
  </cols>
  <sheetData>
    <row r="1" spans="1:15" s="2" customFormat="1" ht="19.5" customHeight="1" x14ac:dyDescent="0.25">
      <c r="A1" s="40" t="s">
        <v>300</v>
      </c>
      <c r="B1" s="40"/>
      <c r="C1" s="40"/>
      <c r="D1" s="40"/>
      <c r="E1" s="40"/>
      <c r="F1" s="40"/>
      <c r="G1" s="40"/>
      <c r="I1" s="12"/>
    </row>
    <row r="2" spans="1:15" s="2" customFormat="1" ht="19.5" customHeight="1" x14ac:dyDescent="0.25">
      <c r="A2" s="40" t="s">
        <v>0</v>
      </c>
      <c r="B2" s="40"/>
      <c r="C2" s="40"/>
      <c r="D2" s="40"/>
      <c r="E2" s="40"/>
      <c r="F2" s="40"/>
      <c r="G2" s="40"/>
      <c r="I2" s="12"/>
    </row>
    <row r="3" spans="1:15" ht="19.5" customHeight="1" x14ac:dyDescent="0.25">
      <c r="A3" s="41" t="s">
        <v>298</v>
      </c>
      <c r="B3" s="42"/>
      <c r="C3" s="42"/>
      <c r="D3" s="42"/>
      <c r="E3" s="42"/>
      <c r="F3" s="42"/>
      <c r="G3" s="42"/>
    </row>
    <row r="4" spans="1:15" s="3" customFormat="1" ht="19.5" customHeight="1" x14ac:dyDescent="0.25">
      <c r="A4" s="4" t="s">
        <v>1</v>
      </c>
      <c r="B4" s="5" t="s">
        <v>2</v>
      </c>
      <c r="C4" s="5" t="s">
        <v>3</v>
      </c>
      <c r="D4" s="5" t="s">
        <v>4</v>
      </c>
      <c r="E4" s="6" t="s">
        <v>5</v>
      </c>
      <c r="F4" s="6" t="s">
        <v>6</v>
      </c>
      <c r="G4" s="5" t="s">
        <v>7</v>
      </c>
      <c r="I4" s="14" t="s">
        <v>301</v>
      </c>
      <c r="J4" s="15" t="s">
        <v>303</v>
      </c>
      <c r="N4" s="3" t="s">
        <v>302</v>
      </c>
      <c r="O4" s="3" t="s">
        <v>304</v>
      </c>
    </row>
    <row r="5" spans="1:15" ht="16.5" x14ac:dyDescent="0.25">
      <c r="A5" s="10" t="s">
        <v>8</v>
      </c>
      <c r="B5" s="10" t="s">
        <v>297</v>
      </c>
      <c r="C5" s="7" t="s">
        <v>53</v>
      </c>
      <c r="D5" s="8"/>
      <c r="E5" s="8">
        <v>4257.93</v>
      </c>
      <c r="F5" s="8"/>
      <c r="G5" s="9" t="s">
        <v>296</v>
      </c>
      <c r="H5" s="1" t="s">
        <v>12</v>
      </c>
      <c r="I5" s="11">
        <v>4257.93</v>
      </c>
      <c r="N5" s="13">
        <f>I5/E5</f>
        <v>1</v>
      </c>
      <c r="O5" s="11">
        <f>E5-I5</f>
        <v>0</v>
      </c>
    </row>
    <row r="6" spans="1:15" ht="42.75" x14ac:dyDescent="0.25">
      <c r="A6" s="10">
        <v>1</v>
      </c>
      <c r="B6" s="10" t="s">
        <v>295</v>
      </c>
      <c r="C6" s="7" t="s">
        <v>14</v>
      </c>
      <c r="D6" s="8">
        <v>2.15</v>
      </c>
      <c r="E6" s="8">
        <v>437.5</v>
      </c>
      <c r="F6" s="8">
        <v>940.625</v>
      </c>
      <c r="G6" s="16" t="s">
        <v>294</v>
      </c>
      <c r="H6" s="1" t="s">
        <v>12</v>
      </c>
      <c r="I6" s="11">
        <v>437.5</v>
      </c>
      <c r="J6" s="11">
        <f>D6*I6</f>
        <v>940.625</v>
      </c>
    </row>
    <row r="7" spans="1:15" ht="28.5" x14ac:dyDescent="0.25">
      <c r="A7" s="10">
        <v>2</v>
      </c>
      <c r="B7" s="10" t="s">
        <v>293</v>
      </c>
      <c r="C7" s="7" t="s">
        <v>14</v>
      </c>
      <c r="D7" s="8">
        <v>7.6</v>
      </c>
      <c r="E7" s="8">
        <v>386.87</v>
      </c>
      <c r="F7" s="8">
        <v>2940.212</v>
      </c>
      <c r="G7" s="9" t="s">
        <v>292</v>
      </c>
      <c r="H7" s="1" t="s">
        <v>12</v>
      </c>
      <c r="I7" s="11">
        <v>386.87</v>
      </c>
      <c r="J7" s="11">
        <f>D7*I7</f>
        <v>2940.212</v>
      </c>
    </row>
    <row r="8" spans="1:15" ht="42.75" x14ac:dyDescent="0.25">
      <c r="A8" s="10">
        <v>3</v>
      </c>
      <c r="B8" s="10" t="s">
        <v>291</v>
      </c>
      <c r="C8" s="7" t="s">
        <v>21</v>
      </c>
      <c r="D8" s="8">
        <v>1</v>
      </c>
      <c r="E8" s="8">
        <v>250</v>
      </c>
      <c r="F8" s="8">
        <v>250</v>
      </c>
      <c r="G8" s="16" t="s">
        <v>290</v>
      </c>
      <c r="H8" s="1" t="s">
        <v>12</v>
      </c>
      <c r="I8" s="11">
        <v>250</v>
      </c>
      <c r="J8" s="11">
        <f t="shared" ref="J8" si="0">D8*I8</f>
        <v>250</v>
      </c>
    </row>
    <row r="9" spans="1:15" ht="28.5" x14ac:dyDescent="0.25">
      <c r="A9" s="10">
        <v>4</v>
      </c>
      <c r="B9" s="10" t="s">
        <v>20</v>
      </c>
      <c r="C9" s="7" t="s">
        <v>21</v>
      </c>
      <c r="D9" s="8">
        <v>1</v>
      </c>
      <c r="E9" s="8">
        <v>127.09</v>
      </c>
      <c r="F9" s="8">
        <v>127.09</v>
      </c>
      <c r="G9" s="9" t="s">
        <v>22</v>
      </c>
      <c r="H9" s="1" t="s">
        <v>12</v>
      </c>
      <c r="I9" s="11">
        <v>127.09</v>
      </c>
      <c r="J9" s="11">
        <f>D9*I9</f>
        <v>127.09</v>
      </c>
    </row>
    <row r="10" spans="1:15" ht="16.5" x14ac:dyDescent="0.25">
      <c r="A10" s="10"/>
      <c r="B10" s="10" t="s">
        <v>23</v>
      </c>
      <c r="C10" s="7"/>
      <c r="D10" s="8"/>
      <c r="E10" s="8"/>
      <c r="F10" s="8">
        <v>4257.9269999999997</v>
      </c>
      <c r="G10" s="9"/>
      <c r="H10" s="1" t="s">
        <v>12</v>
      </c>
      <c r="J10" s="11">
        <f>SUM(J6:J9)</f>
        <v>4257.9269999999997</v>
      </c>
    </row>
    <row r="11" spans="1:15" ht="16.5" x14ac:dyDescent="0.25">
      <c r="A11" s="10"/>
      <c r="B11" s="10"/>
      <c r="C11" s="7"/>
      <c r="D11" s="8"/>
      <c r="E11" s="8"/>
      <c r="F11" s="8"/>
      <c r="G11" s="9"/>
      <c r="L11" s="19">
        <f>J10</f>
        <v>4257.9269999999997</v>
      </c>
    </row>
    <row r="12" spans="1:15" ht="16.5" x14ac:dyDescent="0.25">
      <c r="A12" s="43" t="s">
        <v>306</v>
      </c>
      <c r="B12" s="43"/>
      <c r="C12" s="44"/>
      <c r="D12" s="45"/>
      <c r="E12" s="45"/>
      <c r="F12" s="45"/>
      <c r="G12" s="46"/>
      <c r="J12" s="1" t="s">
        <v>305</v>
      </c>
      <c r="L12" s="18">
        <f>1190.63/L11</f>
        <v>0.27962668218595582</v>
      </c>
    </row>
    <row r="13" spans="1:15" ht="16.5" x14ac:dyDescent="0.25">
      <c r="A13" s="43" t="s">
        <v>307</v>
      </c>
      <c r="B13" s="43"/>
      <c r="C13" s="44"/>
      <c r="D13" s="45"/>
      <c r="E13" s="45"/>
      <c r="F13" s="45"/>
      <c r="G13" s="46"/>
      <c r="J13" s="11">
        <f>J7+J9</f>
        <v>3067.3020000000001</v>
      </c>
      <c r="L13" s="18">
        <f>3067.3/L11</f>
        <v>0.72037402238225323</v>
      </c>
    </row>
    <row r="14" spans="1:15" ht="19.5" customHeight="1" x14ac:dyDescent="0.25">
      <c r="I14" s="14" t="s">
        <v>301</v>
      </c>
      <c r="J14" s="15" t="s">
        <v>303</v>
      </c>
      <c r="L14" s="17"/>
    </row>
    <row r="15" spans="1:15" ht="42.75" x14ac:dyDescent="0.25">
      <c r="A15" s="10" t="s">
        <v>26</v>
      </c>
      <c r="B15" s="10" t="s">
        <v>287</v>
      </c>
      <c r="C15" s="7" t="s">
        <v>53</v>
      </c>
      <c r="D15" s="8">
        <v>10</v>
      </c>
      <c r="E15" s="8">
        <v>9706.16</v>
      </c>
      <c r="F15" s="8"/>
      <c r="G15" s="9" t="s">
        <v>286</v>
      </c>
      <c r="H15" s="1" t="s">
        <v>12</v>
      </c>
      <c r="I15" s="11">
        <v>9706.16</v>
      </c>
      <c r="J15" s="11"/>
      <c r="N15" s="13">
        <f>I15/F21</f>
        <v>1.0000000058482068</v>
      </c>
    </row>
    <row r="16" spans="1:15" ht="42.75" x14ac:dyDescent="0.25">
      <c r="A16" s="10">
        <v>1</v>
      </c>
      <c r="B16" s="10" t="s">
        <v>285</v>
      </c>
      <c r="C16" s="7" t="s">
        <v>21</v>
      </c>
      <c r="D16" s="8">
        <v>1</v>
      </c>
      <c r="E16" s="8">
        <v>51463.836323458032</v>
      </c>
      <c r="F16" s="8">
        <v>51463.836323458032</v>
      </c>
      <c r="G16" s="9" t="s">
        <v>284</v>
      </c>
      <c r="H16" s="1" t="s">
        <v>12</v>
      </c>
      <c r="I16" s="11">
        <f>N$15*E16</f>
        <v>51463.83662442919</v>
      </c>
      <c r="J16" s="11">
        <f>D16*I16</f>
        <v>51463.83662442919</v>
      </c>
    </row>
    <row r="17" spans="1:10" ht="28.5" x14ac:dyDescent="0.25">
      <c r="A17" s="10">
        <v>2</v>
      </c>
      <c r="B17" s="10" t="s">
        <v>283</v>
      </c>
      <c r="C17" s="7" t="s">
        <v>21</v>
      </c>
      <c r="D17" s="8">
        <v>1</v>
      </c>
      <c r="E17" s="8">
        <v>42185.471139342524</v>
      </c>
      <c r="F17" s="8">
        <v>42185.471139342524</v>
      </c>
      <c r="G17" s="9" t="s">
        <v>282</v>
      </c>
      <c r="H17" s="1" t="s">
        <v>12</v>
      </c>
      <c r="I17" s="11">
        <f t="shared" ref="I17:I19" si="1">N$15*E17</f>
        <v>42185.471386051882</v>
      </c>
      <c r="J17" s="11">
        <f>D17*I17</f>
        <v>42185.471386051882</v>
      </c>
    </row>
    <row r="18" spans="1:10" ht="28.5" x14ac:dyDescent="0.25">
      <c r="A18" s="10">
        <v>3</v>
      </c>
      <c r="B18" s="10" t="s">
        <v>281</v>
      </c>
      <c r="C18" s="7" t="s">
        <v>21</v>
      </c>
      <c r="D18" s="8">
        <v>1</v>
      </c>
      <c r="E18" s="8">
        <v>585.23196956313325</v>
      </c>
      <c r="F18" s="8">
        <v>585.23196956313325</v>
      </c>
      <c r="G18" s="9" t="s">
        <v>280</v>
      </c>
      <c r="H18" s="1" t="s">
        <v>12</v>
      </c>
      <c r="I18" s="11">
        <f t="shared" si="1"/>
        <v>585.23197298569085</v>
      </c>
      <c r="J18" s="11">
        <f>D18*I18</f>
        <v>585.23197298569085</v>
      </c>
    </row>
    <row r="19" spans="1:10" ht="28.5" x14ac:dyDescent="0.25">
      <c r="A19" s="10">
        <v>4</v>
      </c>
      <c r="B19" s="10" t="s">
        <v>20</v>
      </c>
      <c r="C19" s="7" t="s">
        <v>21</v>
      </c>
      <c r="D19" s="8">
        <v>1</v>
      </c>
      <c r="E19" s="8">
        <v>2827.06</v>
      </c>
      <c r="F19" s="8">
        <v>2827.06</v>
      </c>
      <c r="G19" s="9" t="s">
        <v>22</v>
      </c>
      <c r="H19" s="1" t="s">
        <v>12</v>
      </c>
      <c r="I19" s="11">
        <f t="shared" si="1"/>
        <v>2827.0600165332316</v>
      </c>
      <c r="J19" s="11">
        <f>D19*I19</f>
        <v>2827.0600165332316</v>
      </c>
    </row>
    <row r="20" spans="1:10" ht="16.5" x14ac:dyDescent="0.25">
      <c r="A20" s="10"/>
      <c r="B20" s="10" t="s">
        <v>34</v>
      </c>
      <c r="C20" s="7" t="s">
        <v>53</v>
      </c>
      <c r="D20" s="8">
        <v>10</v>
      </c>
      <c r="E20" s="8"/>
      <c r="F20" s="8">
        <f>SUM(F16:F19)</f>
        <v>97061.599432363684</v>
      </c>
      <c r="G20" s="9"/>
      <c r="H20" s="1" t="s">
        <v>12</v>
      </c>
      <c r="J20" s="11">
        <f>SUM(J16:J19)/10</f>
        <v>9706.16</v>
      </c>
    </row>
    <row r="21" spans="1:10" ht="16.5" x14ac:dyDescent="0.25">
      <c r="A21" s="10"/>
      <c r="B21" s="10" t="s">
        <v>23</v>
      </c>
      <c r="C21" s="7"/>
      <c r="D21" s="8"/>
      <c r="E21" s="8"/>
      <c r="F21" s="8">
        <f>F20/10</f>
        <v>9706.1599432363691</v>
      </c>
      <c r="G21" s="9"/>
      <c r="H21" s="1" t="s">
        <v>12</v>
      </c>
    </row>
    <row r="22" spans="1:10" ht="16.5" x14ac:dyDescent="0.25">
      <c r="A22" s="10"/>
      <c r="B22" s="10"/>
      <c r="C22" s="7"/>
      <c r="D22" s="8"/>
      <c r="E22" s="8"/>
      <c r="F22" s="8"/>
      <c r="G22" s="9"/>
      <c r="J22" s="11"/>
    </row>
    <row r="23" spans="1:10" ht="16.5" x14ac:dyDescent="0.25">
      <c r="A23" s="43" t="s">
        <v>24</v>
      </c>
      <c r="B23" s="43"/>
      <c r="C23" s="44"/>
      <c r="D23" s="45"/>
      <c r="E23" s="45"/>
      <c r="F23" s="45"/>
      <c r="G23" s="46"/>
      <c r="J23" s="11"/>
    </row>
    <row r="24" spans="1:10" ht="16.5" x14ac:dyDescent="0.25">
      <c r="A24" s="43" t="s">
        <v>308</v>
      </c>
      <c r="B24" s="43"/>
      <c r="C24" s="44"/>
      <c r="D24" s="45"/>
      <c r="E24" s="45"/>
      <c r="F24" s="45"/>
      <c r="G24" s="46"/>
      <c r="J24" s="11"/>
    </row>
    <row r="25" spans="1:10" ht="19.5" customHeight="1" x14ac:dyDescent="0.25">
      <c r="J25" s="11"/>
    </row>
    <row r="26" spans="1:10" ht="16.5" x14ac:dyDescent="0.25">
      <c r="A26" s="10" t="s">
        <v>37</v>
      </c>
      <c r="B26" s="10" t="s">
        <v>278</v>
      </c>
      <c r="C26" s="7" t="s">
        <v>277</v>
      </c>
      <c r="D26" s="8"/>
      <c r="E26" s="8">
        <v>1149.48</v>
      </c>
      <c r="F26" s="8"/>
      <c r="G26" s="9" t="s">
        <v>276</v>
      </c>
      <c r="H26" s="1" t="s">
        <v>12</v>
      </c>
      <c r="J26" s="11"/>
    </row>
    <row r="27" spans="1:10" ht="42.75" x14ac:dyDescent="0.25">
      <c r="A27" s="10">
        <v>1</v>
      </c>
      <c r="B27" s="10" t="s">
        <v>275</v>
      </c>
      <c r="C27" s="7" t="s">
        <v>14</v>
      </c>
      <c r="D27" s="8">
        <v>1</v>
      </c>
      <c r="E27" s="8">
        <v>741</v>
      </c>
      <c r="F27" s="8">
        <v>741</v>
      </c>
      <c r="G27" s="9" t="s">
        <v>274</v>
      </c>
      <c r="H27" s="1" t="s">
        <v>12</v>
      </c>
      <c r="J27" s="11"/>
    </row>
    <row r="28" spans="1:10" ht="42.75" x14ac:dyDescent="0.25">
      <c r="A28" s="10">
        <v>2</v>
      </c>
      <c r="B28" s="10" t="s">
        <v>273</v>
      </c>
      <c r="C28" s="7" t="s">
        <v>14</v>
      </c>
      <c r="D28" s="8">
        <v>1</v>
      </c>
      <c r="E28" s="8">
        <v>375</v>
      </c>
      <c r="F28" s="8">
        <v>375</v>
      </c>
      <c r="G28" s="9" t="s">
        <v>272</v>
      </c>
      <c r="H28" s="1" t="s">
        <v>12</v>
      </c>
      <c r="J28" s="11"/>
    </row>
    <row r="29" spans="1:10" ht="28.5" x14ac:dyDescent="0.25">
      <c r="A29" s="10">
        <v>3</v>
      </c>
      <c r="B29" s="10" t="s">
        <v>20</v>
      </c>
      <c r="C29" s="7" t="s">
        <v>21</v>
      </c>
      <c r="D29" s="8">
        <v>1</v>
      </c>
      <c r="E29" s="8">
        <v>33.479999999999997</v>
      </c>
      <c r="F29" s="8">
        <v>33.479999999999997</v>
      </c>
      <c r="G29" s="9" t="s">
        <v>22</v>
      </c>
      <c r="H29" s="1" t="s">
        <v>12</v>
      </c>
      <c r="J29" s="11"/>
    </row>
    <row r="30" spans="1:10" ht="16.5" x14ac:dyDescent="0.25">
      <c r="A30" s="10"/>
      <c r="B30" s="10" t="s">
        <v>23</v>
      </c>
      <c r="C30" s="7"/>
      <c r="D30" s="8"/>
      <c r="E30" s="8"/>
      <c r="F30" s="8">
        <v>1149.48</v>
      </c>
      <c r="G30" s="9"/>
      <c r="H30" s="1" t="s">
        <v>12</v>
      </c>
      <c r="J30" s="11"/>
    </row>
    <row r="31" spans="1:10" ht="16.5" x14ac:dyDescent="0.25">
      <c r="A31" s="10"/>
      <c r="B31" s="10"/>
      <c r="C31" s="7"/>
      <c r="D31" s="8"/>
      <c r="E31" s="8"/>
      <c r="F31" s="8"/>
      <c r="G31" s="9"/>
      <c r="J31" s="11"/>
    </row>
    <row r="32" spans="1:10" ht="16.5" x14ac:dyDescent="0.25">
      <c r="A32" s="43" t="s">
        <v>271</v>
      </c>
      <c r="B32" s="43"/>
      <c r="C32" s="44"/>
      <c r="D32" s="45"/>
      <c r="E32" s="45"/>
      <c r="F32" s="45"/>
      <c r="G32" s="46"/>
      <c r="J32" s="11"/>
    </row>
    <row r="33" spans="1:10" ht="16.5" x14ac:dyDescent="0.25">
      <c r="A33" s="43" t="s">
        <v>36</v>
      </c>
      <c r="B33" s="43"/>
      <c r="C33" s="44"/>
      <c r="D33" s="45"/>
      <c r="E33" s="45"/>
      <c r="F33" s="45"/>
      <c r="G33" s="46"/>
      <c r="J33" s="11"/>
    </row>
    <row r="34" spans="1:10" ht="19.5" customHeight="1" x14ac:dyDescent="0.25">
      <c r="J34" s="11"/>
    </row>
    <row r="35" spans="1:10" ht="19.5" customHeight="1" x14ac:dyDescent="0.25">
      <c r="J35" s="11"/>
    </row>
    <row r="36" spans="1:10" ht="19.5" customHeight="1" x14ac:dyDescent="0.25">
      <c r="J36" s="11"/>
    </row>
    <row r="37" spans="1:10" ht="28.5" customHeight="1" x14ac:dyDescent="0.25">
      <c r="J37" s="11"/>
    </row>
    <row r="38" spans="1:10" ht="28.5" customHeight="1" x14ac:dyDescent="0.25">
      <c r="J38" s="11"/>
    </row>
    <row r="39" spans="1:10" ht="22.5" customHeight="1" x14ac:dyDescent="0.25">
      <c r="J39" s="11"/>
    </row>
    <row r="40" spans="1:10" ht="19.5" customHeight="1" x14ac:dyDescent="0.25">
      <c r="J40" s="11"/>
    </row>
    <row r="41" spans="1:10" ht="19.5" customHeight="1" x14ac:dyDescent="0.25">
      <c r="J41" s="11"/>
    </row>
    <row r="42" spans="1:10" ht="19.5" customHeight="1" x14ac:dyDescent="0.25">
      <c r="J42" s="11"/>
    </row>
    <row r="43" spans="1:10" ht="19.5" customHeight="1" x14ac:dyDescent="0.25">
      <c r="J43" s="11"/>
    </row>
    <row r="44" spans="1:10" ht="19.5" customHeight="1" x14ac:dyDescent="0.25">
      <c r="J44" s="11"/>
    </row>
    <row r="45" spans="1:10" ht="19.5" customHeight="1" x14ac:dyDescent="0.25">
      <c r="J45" s="11"/>
    </row>
    <row r="46" spans="1:10" ht="19.5" customHeight="1" x14ac:dyDescent="0.25">
      <c r="J46" s="11"/>
    </row>
    <row r="47" spans="1:10" ht="19.5" customHeight="1" x14ac:dyDescent="0.25">
      <c r="J47" s="11"/>
    </row>
    <row r="48" spans="1:10" ht="19.5" customHeight="1" x14ac:dyDescent="0.25">
      <c r="J48" s="11"/>
    </row>
    <row r="49" spans="10:10" ht="19.5" customHeight="1" x14ac:dyDescent="0.25">
      <c r="J49" s="11"/>
    </row>
    <row r="50" spans="10:10" ht="19.5" customHeight="1" x14ac:dyDescent="0.25">
      <c r="J50" s="11"/>
    </row>
    <row r="51" spans="10:10" ht="19.5" customHeight="1" x14ac:dyDescent="0.25">
      <c r="J51" s="11"/>
    </row>
    <row r="52" spans="10:10" ht="19.5" customHeight="1" x14ac:dyDescent="0.25">
      <c r="J52" s="11"/>
    </row>
    <row r="53" spans="10:10" ht="19.5" customHeight="1" x14ac:dyDescent="0.25">
      <c r="J53" s="11"/>
    </row>
    <row r="54" spans="10:10" ht="19.5" customHeight="1" x14ac:dyDescent="0.25">
      <c r="J54" s="11"/>
    </row>
    <row r="55" spans="10:10" ht="19.5" customHeight="1" x14ac:dyDescent="0.25">
      <c r="J55" s="11"/>
    </row>
    <row r="56" spans="10:10" ht="19.5" customHeight="1" x14ac:dyDescent="0.25">
      <c r="J56" s="11"/>
    </row>
    <row r="57" spans="10:10" ht="19.5" customHeight="1" x14ac:dyDescent="0.25">
      <c r="J57" s="11"/>
    </row>
    <row r="58" spans="10:10" ht="19.5" customHeight="1" x14ac:dyDescent="0.25">
      <c r="J58" s="11"/>
    </row>
    <row r="59" spans="10:10" ht="19.5" customHeight="1" x14ac:dyDescent="0.25">
      <c r="J59" s="11"/>
    </row>
    <row r="60" spans="10:10" ht="19.5" customHeight="1" x14ac:dyDescent="0.25">
      <c r="J60" s="11"/>
    </row>
    <row r="61" spans="10:10" ht="19.5" customHeight="1" x14ac:dyDescent="0.25">
      <c r="J61" s="11"/>
    </row>
    <row r="62" spans="10:10" ht="19.5" customHeight="1" x14ac:dyDescent="0.25">
      <c r="J62" s="11"/>
    </row>
    <row r="63" spans="10:10" ht="19.5" customHeight="1" x14ac:dyDescent="0.25">
      <c r="J63" s="11"/>
    </row>
    <row r="64" spans="10:10" ht="19.5" customHeight="1" x14ac:dyDescent="0.25"/>
    <row r="65" ht="19.5" customHeight="1" x14ac:dyDescent="0.25"/>
    <row r="66" ht="19.5" customHeight="1" x14ac:dyDescent="0.25"/>
    <row r="67" ht="19.5" customHeight="1" x14ac:dyDescent="0.25"/>
  </sheetData>
  <sheetProtection formatCells="0" formatColumns="0" formatRows="0" insertRows="0" deleteRows="0" sort="0" autoFilter="0"/>
  <mergeCells count="9">
    <mergeCell ref="A24:G24"/>
    <mergeCell ref="A32:G32"/>
    <mergeCell ref="A33:G33"/>
    <mergeCell ref="A1:G1"/>
    <mergeCell ref="A2:G2"/>
    <mergeCell ref="A3:G3"/>
    <mergeCell ref="A12:G12"/>
    <mergeCell ref="A13:G13"/>
    <mergeCell ref="A23:G23"/>
  </mergeCells>
  <phoneticPr fontId="11" type="noConversion"/>
  <printOptions horizontalCentered="1"/>
  <pageMargins left="0.39370078740157483" right="0.39370078740157483" top="0.78740157480314965" bottom="1.1023622047244095" header="0.51181102362204722" footer="0.78740157480314965"/>
  <pageSetup paperSize="9" orientation="portrait" verticalDpi="300" r:id="rId1"/>
  <headerFooter alignWithMargins="0">
    <oddFooter>&amp;L&amp;"標楷體,標準"          編製：     &amp;C&amp;"標楷體,標準"          校核：&amp;R&amp;"標楷體,標準"第&amp;P頁，共&amp;N頁</oddFooter>
  </headerFooter>
  <rowBreaks count="1" manualBreakCount="1">
    <brk id="25" max="6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E376-F3EF-4BFB-B948-96BE3B70EC31}">
  <dimension ref="A1:J67"/>
  <sheetViews>
    <sheetView view="pageBreakPreview" zoomScaleNormal="75" zoomScaleSheetLayoutView="75" workbookViewId="0">
      <selection activeCell="F7" sqref="F7"/>
    </sheetView>
  </sheetViews>
  <sheetFormatPr defaultColWidth="9" defaultRowHeight="22.5" customHeight="1" x14ac:dyDescent="0.25"/>
  <cols>
    <col min="1" max="1" width="9.625" style="1" customWidth="1"/>
    <col min="2" max="2" width="21.25" style="1" customWidth="1"/>
    <col min="3" max="3" width="8.5" style="1" customWidth="1"/>
    <col min="4" max="4" width="11.5" style="1" customWidth="1"/>
    <col min="5" max="5" width="11" style="1" customWidth="1"/>
    <col min="6" max="6" width="12.25" style="1" customWidth="1"/>
    <col min="7" max="7" width="12.5" style="1" customWidth="1"/>
    <col min="8" max="8" width="1.5" style="1" customWidth="1"/>
    <col min="9" max="9" width="11.625" style="1" bestFit="1" customWidth="1"/>
    <col min="10" max="16384" width="9" style="1"/>
  </cols>
  <sheetData>
    <row r="1" spans="1:10" s="2" customFormat="1" ht="19.5" customHeight="1" x14ac:dyDescent="0.25">
      <c r="A1" s="40" t="s">
        <v>300</v>
      </c>
      <c r="B1" s="40"/>
      <c r="C1" s="40"/>
      <c r="D1" s="40"/>
      <c r="E1" s="40"/>
      <c r="F1" s="40"/>
      <c r="G1" s="40"/>
    </row>
    <row r="2" spans="1:10" s="2" customFormat="1" ht="19.5" customHeight="1" x14ac:dyDescent="0.25">
      <c r="A2" s="40" t="s">
        <v>0</v>
      </c>
      <c r="B2" s="40"/>
      <c r="C2" s="40"/>
      <c r="D2" s="40"/>
      <c r="E2" s="40"/>
      <c r="F2" s="40"/>
      <c r="G2" s="40"/>
    </row>
    <row r="3" spans="1:10" ht="19.5" customHeight="1" x14ac:dyDescent="0.25">
      <c r="A3" s="41" t="s">
        <v>298</v>
      </c>
      <c r="B3" s="42"/>
      <c r="C3" s="42"/>
      <c r="D3" s="42"/>
      <c r="E3" s="42"/>
      <c r="F3" s="42"/>
      <c r="G3" s="42"/>
    </row>
    <row r="4" spans="1:10" s="3" customFormat="1" ht="19.5" customHeight="1" x14ac:dyDescent="0.25">
      <c r="A4" s="4" t="s">
        <v>1</v>
      </c>
      <c r="B4" s="5" t="s">
        <v>2</v>
      </c>
      <c r="C4" s="5" t="s">
        <v>3</v>
      </c>
      <c r="D4" s="5" t="s">
        <v>4</v>
      </c>
      <c r="E4" s="6" t="s">
        <v>5</v>
      </c>
      <c r="F4" s="6" t="s">
        <v>6</v>
      </c>
      <c r="G4" s="5" t="s">
        <v>7</v>
      </c>
    </row>
    <row r="5" spans="1:10" ht="16.5" x14ac:dyDescent="0.25">
      <c r="A5" s="10" t="s">
        <v>8</v>
      </c>
      <c r="B5" s="10" t="s">
        <v>297</v>
      </c>
      <c r="C5" s="7" t="s">
        <v>53</v>
      </c>
      <c r="D5" s="8"/>
      <c r="E5" s="8">
        <v>4365.38</v>
      </c>
      <c r="F5" s="8"/>
      <c r="G5" s="9" t="s">
        <v>296</v>
      </c>
      <c r="H5" s="1" t="s">
        <v>12</v>
      </c>
    </row>
    <row r="6" spans="1:10" ht="42.75" x14ac:dyDescent="0.25">
      <c r="A6" s="10">
        <v>1</v>
      </c>
      <c r="B6" s="10" t="s">
        <v>309</v>
      </c>
      <c r="C6" s="7" t="s">
        <v>14</v>
      </c>
      <c r="D6" s="8">
        <v>2.15</v>
      </c>
      <c r="E6" s="8">
        <v>437.5</v>
      </c>
      <c r="F6" s="8">
        <v>940.63</v>
      </c>
      <c r="G6" s="9" t="s">
        <v>294</v>
      </c>
      <c r="H6" s="1" t="s">
        <v>12</v>
      </c>
      <c r="J6" s="11"/>
    </row>
    <row r="7" spans="1:10" ht="28.5" x14ac:dyDescent="0.25">
      <c r="A7" s="10">
        <v>2</v>
      </c>
      <c r="B7" s="10" t="s">
        <v>293</v>
      </c>
      <c r="C7" s="7" t="s">
        <v>14</v>
      </c>
      <c r="D7" s="8">
        <v>7.6</v>
      </c>
      <c r="E7" s="8">
        <v>401</v>
      </c>
      <c r="F7" s="8">
        <v>3047.6</v>
      </c>
      <c r="G7" s="9" t="s">
        <v>292</v>
      </c>
      <c r="H7" s="1" t="s">
        <v>12</v>
      </c>
    </row>
    <row r="8" spans="1:10" ht="42.75" x14ac:dyDescent="0.25">
      <c r="A8" s="10">
        <v>3</v>
      </c>
      <c r="B8" s="10" t="s">
        <v>291</v>
      </c>
      <c r="C8" s="7" t="s">
        <v>21</v>
      </c>
      <c r="D8" s="8">
        <v>1</v>
      </c>
      <c r="E8" s="8">
        <v>250</v>
      </c>
      <c r="F8" s="8">
        <v>250</v>
      </c>
      <c r="G8" s="9" t="s">
        <v>290</v>
      </c>
      <c r="H8" s="1" t="s">
        <v>12</v>
      </c>
    </row>
    <row r="9" spans="1:10" ht="28.5" x14ac:dyDescent="0.25">
      <c r="A9" s="10">
        <v>4</v>
      </c>
      <c r="B9" s="10" t="s">
        <v>20</v>
      </c>
      <c r="C9" s="7" t="s">
        <v>21</v>
      </c>
      <c r="D9" s="8">
        <v>1</v>
      </c>
      <c r="E9" s="8">
        <v>127.15</v>
      </c>
      <c r="F9" s="8">
        <v>127.15</v>
      </c>
      <c r="G9" s="9" t="s">
        <v>22</v>
      </c>
      <c r="H9" s="1" t="s">
        <v>12</v>
      </c>
    </row>
    <row r="10" spans="1:10" ht="16.5" x14ac:dyDescent="0.25">
      <c r="A10" s="10"/>
      <c r="B10" s="10" t="s">
        <v>23</v>
      </c>
      <c r="C10" s="7"/>
      <c r="D10" s="8"/>
      <c r="E10" s="8"/>
      <c r="F10" s="8">
        <v>4365.38</v>
      </c>
      <c r="G10" s="9"/>
      <c r="H10" s="1" t="s">
        <v>12</v>
      </c>
    </row>
    <row r="11" spans="1:10" ht="16.5" x14ac:dyDescent="0.25">
      <c r="A11" s="10"/>
      <c r="B11" s="10"/>
      <c r="C11" s="7"/>
      <c r="D11" s="8"/>
      <c r="E11" s="8"/>
      <c r="F11" s="8"/>
      <c r="G11" s="9"/>
    </row>
    <row r="12" spans="1:10" ht="16.5" x14ac:dyDescent="0.25">
      <c r="A12" s="43" t="s">
        <v>289</v>
      </c>
      <c r="B12" s="43"/>
      <c r="C12" s="44"/>
      <c r="D12" s="45"/>
      <c r="E12" s="45"/>
      <c r="F12" s="45"/>
      <c r="G12" s="46"/>
    </row>
    <row r="13" spans="1:10" ht="16.5" x14ac:dyDescent="0.25">
      <c r="A13" s="43" t="s">
        <v>288</v>
      </c>
      <c r="B13" s="43"/>
      <c r="C13" s="44"/>
      <c r="D13" s="45"/>
      <c r="E13" s="45"/>
      <c r="F13" s="45"/>
      <c r="G13" s="46"/>
    </row>
    <row r="14" spans="1:10" ht="19.5" customHeight="1" x14ac:dyDescent="0.25"/>
    <row r="15" spans="1:10" ht="42.75" x14ac:dyDescent="0.25">
      <c r="A15" s="10" t="s">
        <v>26</v>
      </c>
      <c r="B15" s="10" t="s">
        <v>287</v>
      </c>
      <c r="C15" s="7" t="s">
        <v>53</v>
      </c>
      <c r="D15" s="8">
        <v>10</v>
      </c>
      <c r="E15" s="8">
        <v>9951.09</v>
      </c>
      <c r="F15" s="8"/>
      <c r="G15" s="9" t="s">
        <v>286</v>
      </c>
      <c r="H15" s="1" t="s">
        <v>12</v>
      </c>
    </row>
    <row r="16" spans="1:10" ht="42.75" x14ac:dyDescent="0.25">
      <c r="A16" s="10">
        <v>1</v>
      </c>
      <c r="B16" s="10" t="s">
        <v>285</v>
      </c>
      <c r="C16" s="7" t="s">
        <v>21</v>
      </c>
      <c r="D16" s="8">
        <v>1</v>
      </c>
      <c r="E16" s="8">
        <v>52762.5</v>
      </c>
      <c r="F16" s="8">
        <v>52762.5</v>
      </c>
      <c r="G16" s="9" t="s">
        <v>284</v>
      </c>
      <c r="H16" s="1" t="s">
        <v>12</v>
      </c>
    </row>
    <row r="17" spans="1:8" ht="28.5" x14ac:dyDescent="0.25">
      <c r="A17" s="10">
        <v>2</v>
      </c>
      <c r="B17" s="10" t="s">
        <v>283</v>
      </c>
      <c r="C17" s="7" t="s">
        <v>21</v>
      </c>
      <c r="D17" s="8">
        <v>1</v>
      </c>
      <c r="E17" s="8">
        <v>43250</v>
      </c>
      <c r="F17" s="8">
        <v>43250</v>
      </c>
      <c r="G17" s="9" t="s">
        <v>282</v>
      </c>
      <c r="H17" s="1" t="s">
        <v>12</v>
      </c>
    </row>
    <row r="18" spans="1:8" ht="28.5" x14ac:dyDescent="0.25">
      <c r="A18" s="10">
        <v>3</v>
      </c>
      <c r="B18" s="10" t="s">
        <v>281</v>
      </c>
      <c r="C18" s="7" t="s">
        <v>21</v>
      </c>
      <c r="D18" s="8">
        <v>1</v>
      </c>
      <c r="E18" s="8">
        <v>600</v>
      </c>
      <c r="F18" s="8">
        <v>600</v>
      </c>
      <c r="G18" s="9" t="s">
        <v>280</v>
      </c>
      <c r="H18" s="1" t="s">
        <v>12</v>
      </c>
    </row>
    <row r="19" spans="1:8" ht="28.5" x14ac:dyDescent="0.25">
      <c r="A19" s="10">
        <v>4</v>
      </c>
      <c r="B19" s="10" t="s">
        <v>20</v>
      </c>
      <c r="C19" s="7" t="s">
        <v>21</v>
      </c>
      <c r="D19" s="8">
        <v>1</v>
      </c>
      <c r="E19" s="8">
        <v>2898.38</v>
      </c>
      <c r="F19" s="8">
        <v>2898.38</v>
      </c>
      <c r="G19" s="9" t="s">
        <v>22</v>
      </c>
      <c r="H19" s="1" t="s">
        <v>12</v>
      </c>
    </row>
    <row r="20" spans="1:8" ht="16.5" x14ac:dyDescent="0.25">
      <c r="A20" s="10"/>
      <c r="B20" s="10" t="s">
        <v>34</v>
      </c>
      <c r="C20" s="7" t="s">
        <v>53</v>
      </c>
      <c r="D20" s="8">
        <v>10</v>
      </c>
      <c r="E20" s="8"/>
      <c r="F20" s="8">
        <v>99510.88</v>
      </c>
      <c r="G20" s="9"/>
      <c r="H20" s="1" t="s">
        <v>12</v>
      </c>
    </row>
    <row r="21" spans="1:8" ht="16.5" x14ac:dyDescent="0.25">
      <c r="A21" s="10"/>
      <c r="B21" s="10" t="s">
        <v>23</v>
      </c>
      <c r="C21" s="7"/>
      <c r="D21" s="8"/>
      <c r="E21" s="8"/>
      <c r="F21" s="8">
        <v>9951.09</v>
      </c>
      <c r="G21" s="9"/>
      <c r="H21" s="1" t="s">
        <v>12</v>
      </c>
    </row>
    <row r="22" spans="1:8" ht="16.5" x14ac:dyDescent="0.25">
      <c r="A22" s="10"/>
      <c r="B22" s="10"/>
      <c r="C22" s="7"/>
      <c r="D22" s="8"/>
      <c r="E22" s="8"/>
      <c r="F22" s="8"/>
      <c r="G22" s="9"/>
    </row>
    <row r="23" spans="1:8" ht="16.5" x14ac:dyDescent="0.25">
      <c r="A23" s="43" t="s">
        <v>24</v>
      </c>
      <c r="B23" s="43"/>
      <c r="C23" s="44"/>
      <c r="D23" s="45"/>
      <c r="E23" s="45"/>
      <c r="F23" s="45"/>
      <c r="G23" s="46"/>
    </row>
    <row r="24" spans="1:8" ht="16.5" x14ac:dyDescent="0.25">
      <c r="A24" s="43" t="s">
        <v>279</v>
      </c>
      <c r="B24" s="43"/>
      <c r="C24" s="44"/>
      <c r="D24" s="45"/>
      <c r="E24" s="45"/>
      <c r="F24" s="45"/>
      <c r="G24" s="46"/>
    </row>
    <row r="25" spans="1:8" ht="19.5" customHeight="1" x14ac:dyDescent="0.25"/>
    <row r="26" spans="1:8" ht="16.5" x14ac:dyDescent="0.25">
      <c r="A26" s="10" t="s">
        <v>37</v>
      </c>
      <c r="B26" s="10" t="s">
        <v>278</v>
      </c>
      <c r="C26" s="7" t="s">
        <v>277</v>
      </c>
      <c r="D26" s="8"/>
      <c r="E26" s="8">
        <v>1149.48</v>
      </c>
      <c r="F26" s="8"/>
      <c r="G26" s="9" t="s">
        <v>276</v>
      </c>
      <c r="H26" s="1" t="s">
        <v>12</v>
      </c>
    </row>
    <row r="27" spans="1:8" ht="42.75" x14ac:dyDescent="0.25">
      <c r="A27" s="10">
        <v>1</v>
      </c>
      <c r="B27" s="10" t="s">
        <v>275</v>
      </c>
      <c r="C27" s="7" t="s">
        <v>14</v>
      </c>
      <c r="D27" s="8">
        <v>1</v>
      </c>
      <c r="E27" s="8">
        <v>741</v>
      </c>
      <c r="F27" s="8">
        <v>741</v>
      </c>
      <c r="G27" s="9" t="s">
        <v>274</v>
      </c>
      <c r="H27" s="1" t="s">
        <v>12</v>
      </c>
    </row>
    <row r="28" spans="1:8" ht="42.75" x14ac:dyDescent="0.25">
      <c r="A28" s="10">
        <v>2</v>
      </c>
      <c r="B28" s="10" t="s">
        <v>273</v>
      </c>
      <c r="C28" s="7" t="s">
        <v>14</v>
      </c>
      <c r="D28" s="8">
        <v>1</v>
      </c>
      <c r="E28" s="8">
        <v>375</v>
      </c>
      <c r="F28" s="8">
        <v>375</v>
      </c>
      <c r="G28" s="9" t="s">
        <v>272</v>
      </c>
      <c r="H28" s="1" t="s">
        <v>12</v>
      </c>
    </row>
    <row r="29" spans="1:8" ht="28.5" x14ac:dyDescent="0.25">
      <c r="A29" s="10">
        <v>3</v>
      </c>
      <c r="B29" s="10" t="s">
        <v>20</v>
      </c>
      <c r="C29" s="7" t="s">
        <v>21</v>
      </c>
      <c r="D29" s="8">
        <v>1</v>
      </c>
      <c r="E29" s="8">
        <v>33.479999999999997</v>
      </c>
      <c r="F29" s="8">
        <v>33.479999999999997</v>
      </c>
      <c r="G29" s="9" t="s">
        <v>22</v>
      </c>
      <c r="H29" s="1" t="s">
        <v>12</v>
      </c>
    </row>
    <row r="30" spans="1:8" ht="16.5" x14ac:dyDescent="0.25">
      <c r="A30" s="10"/>
      <c r="B30" s="10" t="s">
        <v>23</v>
      </c>
      <c r="C30" s="7"/>
      <c r="D30" s="8"/>
      <c r="E30" s="8"/>
      <c r="F30" s="8">
        <v>1149.48</v>
      </c>
      <c r="G30" s="9"/>
      <c r="H30" s="1" t="s">
        <v>12</v>
      </c>
    </row>
    <row r="31" spans="1:8" ht="16.5" x14ac:dyDescent="0.25">
      <c r="A31" s="10"/>
      <c r="B31" s="10"/>
      <c r="C31" s="7"/>
      <c r="D31" s="8"/>
      <c r="E31" s="8"/>
      <c r="F31" s="8"/>
      <c r="G31" s="9"/>
    </row>
    <row r="32" spans="1:8" ht="16.5" x14ac:dyDescent="0.25">
      <c r="A32" s="43" t="s">
        <v>271</v>
      </c>
      <c r="B32" s="43"/>
      <c r="C32" s="44"/>
      <c r="D32" s="45"/>
      <c r="E32" s="45"/>
      <c r="F32" s="45"/>
      <c r="G32" s="46"/>
    </row>
    <row r="33" spans="1:7" ht="16.5" x14ac:dyDescent="0.25">
      <c r="A33" s="43" t="s">
        <v>36</v>
      </c>
      <c r="B33" s="43"/>
      <c r="C33" s="44"/>
      <c r="D33" s="45"/>
      <c r="E33" s="45"/>
      <c r="F33" s="45"/>
      <c r="G33" s="46"/>
    </row>
    <row r="34" spans="1:7" ht="19.5" customHeight="1" x14ac:dyDescent="0.25"/>
    <row r="35" spans="1:7" ht="19.5" customHeight="1" x14ac:dyDescent="0.25"/>
    <row r="36" spans="1:7" ht="19.5" customHeight="1" x14ac:dyDescent="0.25"/>
    <row r="37" spans="1:7" ht="28.5" customHeight="1" x14ac:dyDescent="0.25"/>
    <row r="38" spans="1:7" ht="28.5" customHeight="1" x14ac:dyDescent="0.25"/>
    <row r="40" spans="1:7" ht="19.5" customHeight="1" x14ac:dyDescent="0.25"/>
    <row r="41" spans="1:7" ht="19.5" customHeight="1" x14ac:dyDescent="0.25"/>
    <row r="42" spans="1:7" ht="19.5" customHeight="1" x14ac:dyDescent="0.25"/>
    <row r="43" spans="1:7" ht="19.5" customHeight="1" x14ac:dyDescent="0.25"/>
    <row r="44" spans="1:7" ht="19.5" customHeight="1" x14ac:dyDescent="0.25"/>
    <row r="45" spans="1:7" ht="19.5" customHeight="1" x14ac:dyDescent="0.25"/>
    <row r="46" spans="1:7" ht="19.5" customHeight="1" x14ac:dyDescent="0.25"/>
    <row r="47" spans="1:7" ht="19.5" customHeight="1" x14ac:dyDescent="0.25"/>
    <row r="48" spans="1:7" ht="19.5" customHeight="1" x14ac:dyDescent="0.25"/>
    <row r="49" s="1" customFormat="1" ht="19.5" customHeight="1" x14ac:dyDescent="0.25"/>
    <row r="50" s="1" customFormat="1" ht="19.5" customHeight="1" x14ac:dyDescent="0.25"/>
    <row r="51" s="1" customFormat="1" ht="19.5" customHeight="1" x14ac:dyDescent="0.25"/>
    <row r="52" s="1" customFormat="1" ht="19.5" customHeight="1" x14ac:dyDescent="0.25"/>
    <row r="53" s="1" customFormat="1" ht="19.5" customHeight="1" x14ac:dyDescent="0.25"/>
    <row r="54" s="1" customFormat="1" ht="19.5" customHeight="1" x14ac:dyDescent="0.25"/>
    <row r="55" s="1" customFormat="1" ht="19.5" customHeight="1" x14ac:dyDescent="0.25"/>
    <row r="56" s="1" customFormat="1" ht="19.5" customHeight="1" x14ac:dyDescent="0.25"/>
    <row r="57" s="1" customFormat="1" ht="19.5" customHeight="1" x14ac:dyDescent="0.25"/>
    <row r="58" s="1" customFormat="1" ht="19.5" customHeight="1" x14ac:dyDescent="0.25"/>
    <row r="59" s="1" customFormat="1" ht="19.5" customHeight="1" x14ac:dyDescent="0.25"/>
    <row r="60" s="1" customFormat="1" ht="19.5" customHeight="1" x14ac:dyDescent="0.25"/>
    <row r="61" s="1" customFormat="1" ht="19.5" customHeight="1" x14ac:dyDescent="0.25"/>
    <row r="62" s="1" customFormat="1" ht="19.5" customHeight="1" x14ac:dyDescent="0.25"/>
    <row r="63" s="1" customFormat="1" ht="19.5" customHeight="1" x14ac:dyDescent="0.25"/>
    <row r="64" s="1" customFormat="1" ht="19.5" customHeight="1" x14ac:dyDescent="0.25"/>
    <row r="65" s="1" customFormat="1" ht="19.5" customHeight="1" x14ac:dyDescent="0.25"/>
    <row r="66" s="1" customFormat="1" ht="19.5" customHeight="1" x14ac:dyDescent="0.25"/>
    <row r="67" s="1" customFormat="1" ht="19.5" customHeight="1" x14ac:dyDescent="0.25"/>
  </sheetData>
  <sheetProtection formatCells="0" formatColumns="0" formatRows="0" insertRows="0" deleteRows="0" sort="0" autoFilter="0"/>
  <mergeCells count="9">
    <mergeCell ref="A24:G24"/>
    <mergeCell ref="A32:G32"/>
    <mergeCell ref="A33:G33"/>
    <mergeCell ref="A1:G1"/>
    <mergeCell ref="A2:G2"/>
    <mergeCell ref="A3:G3"/>
    <mergeCell ref="A12:G12"/>
    <mergeCell ref="A13:G13"/>
    <mergeCell ref="A23:G23"/>
  </mergeCells>
  <phoneticPr fontId="11" type="noConversion"/>
  <printOptions horizontalCentered="1"/>
  <pageMargins left="0.39370078740157483" right="0.39370078740157483" top="0.78740157480314965" bottom="1.1023622047244095" header="0.51181102362204722" footer="0.78740157480314965"/>
  <pageSetup paperSize="9" orientation="portrait" verticalDpi="300" r:id="rId1"/>
  <headerFooter alignWithMargins="0">
    <oddFooter>&amp;L&amp;"標楷體,標準"          編製：     &amp;C&amp;"標楷體,標準"          校核：&amp;R&amp;"標楷體,標準"第&amp;P頁，共&amp;N頁</oddFooter>
  </headerFooter>
  <rowBreaks count="1" manualBreakCount="1">
    <brk id="25" max="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9"/>
  <sheetViews>
    <sheetView view="pageBreakPreview" topLeftCell="A31" zoomScaleNormal="75" zoomScaleSheetLayoutView="75" workbookViewId="0">
      <selection activeCell="B47" sqref="B47"/>
    </sheetView>
  </sheetViews>
  <sheetFormatPr defaultColWidth="9" defaultRowHeight="22.5" customHeight="1" x14ac:dyDescent="0.25"/>
  <cols>
    <col min="1" max="1" width="9.75" style="1" customWidth="1"/>
    <col min="2" max="2" width="21.25" style="1" customWidth="1"/>
    <col min="3" max="3" width="8.5" style="1" customWidth="1"/>
    <col min="4" max="4" width="11.375" style="1" customWidth="1"/>
    <col min="5" max="5" width="11" style="1" customWidth="1"/>
    <col min="6" max="6" width="12.25" style="1" customWidth="1"/>
    <col min="7" max="7" width="12.5" style="1" customWidth="1"/>
    <col min="8" max="8" width="1.625" style="1" customWidth="1"/>
    <col min="9" max="9" width="9" style="1" customWidth="1"/>
    <col min="10" max="16384" width="9" style="1"/>
  </cols>
  <sheetData>
    <row r="1" spans="1:8" s="2" customFormat="1" ht="19.5" customHeight="1" x14ac:dyDescent="0.25">
      <c r="A1" s="40" t="s">
        <v>299</v>
      </c>
      <c r="B1" s="40"/>
      <c r="C1" s="40"/>
      <c r="D1" s="40"/>
      <c r="E1" s="40"/>
      <c r="F1" s="40"/>
      <c r="G1" s="40"/>
    </row>
    <row r="2" spans="1:8" s="2" customFormat="1" ht="19.5" customHeight="1" x14ac:dyDescent="0.25">
      <c r="A2" s="40" t="s">
        <v>0</v>
      </c>
      <c r="B2" s="40"/>
      <c r="C2" s="40"/>
      <c r="D2" s="40"/>
      <c r="E2" s="40"/>
      <c r="F2" s="40"/>
      <c r="G2" s="40"/>
    </row>
    <row r="3" spans="1:8" ht="19.5" customHeight="1" x14ac:dyDescent="0.25">
      <c r="A3" s="41" t="s">
        <v>270</v>
      </c>
      <c r="B3" s="47"/>
      <c r="C3" s="47"/>
      <c r="D3" s="47"/>
      <c r="E3" s="47"/>
      <c r="F3" s="47"/>
      <c r="G3" s="47"/>
    </row>
    <row r="4" spans="1:8" s="3" customFormat="1" ht="19.5" customHeight="1" x14ac:dyDescent="0.25">
      <c r="A4" s="4" t="s">
        <v>1</v>
      </c>
      <c r="B4" s="5" t="s">
        <v>2</v>
      </c>
      <c r="C4" s="5" t="s">
        <v>3</v>
      </c>
      <c r="D4" s="5" t="s">
        <v>4</v>
      </c>
      <c r="E4" s="6" t="s">
        <v>5</v>
      </c>
      <c r="F4" s="6" t="s">
        <v>6</v>
      </c>
      <c r="G4" s="5" t="s">
        <v>7</v>
      </c>
    </row>
    <row r="5" spans="1:8" ht="28.5" x14ac:dyDescent="0.25">
      <c r="A5" s="10" t="s">
        <v>8</v>
      </c>
      <c r="B5" s="10" t="s">
        <v>9</v>
      </c>
      <c r="C5" s="7" t="s">
        <v>10</v>
      </c>
      <c r="D5" s="8"/>
      <c r="E5" s="8">
        <v>320.74</v>
      </c>
      <c r="F5" s="8"/>
      <c r="G5" s="9" t="s">
        <v>11</v>
      </c>
      <c r="H5" s="1" t="s">
        <v>12</v>
      </c>
    </row>
    <row r="6" spans="1:8" ht="28.5" x14ac:dyDescent="0.25">
      <c r="A6" s="10">
        <v>1</v>
      </c>
      <c r="B6" s="10" t="s">
        <v>13</v>
      </c>
      <c r="C6" s="7" t="s">
        <v>14</v>
      </c>
      <c r="D6" s="8">
        <v>0.8</v>
      </c>
      <c r="E6" s="8">
        <v>280</v>
      </c>
      <c r="F6" s="8">
        <v>224</v>
      </c>
      <c r="G6" s="9" t="s">
        <v>15</v>
      </c>
      <c r="H6" s="1" t="s">
        <v>12</v>
      </c>
    </row>
    <row r="7" spans="1:8" ht="28.5" x14ac:dyDescent="0.25">
      <c r="A7" s="10">
        <v>2</v>
      </c>
      <c r="B7" s="10" t="s">
        <v>16</v>
      </c>
      <c r="C7" s="7" t="s">
        <v>14</v>
      </c>
      <c r="D7" s="8">
        <v>0.2</v>
      </c>
      <c r="E7" s="8">
        <v>62</v>
      </c>
      <c r="F7" s="8">
        <v>12.4</v>
      </c>
      <c r="G7" s="9" t="s">
        <v>17</v>
      </c>
      <c r="H7" s="1" t="s">
        <v>12</v>
      </c>
    </row>
    <row r="8" spans="1:8" ht="28.5" x14ac:dyDescent="0.25">
      <c r="A8" s="10">
        <v>3</v>
      </c>
      <c r="B8" s="10" t="s">
        <v>18</v>
      </c>
      <c r="C8" s="7" t="s">
        <v>14</v>
      </c>
      <c r="D8" s="8">
        <v>0.2</v>
      </c>
      <c r="E8" s="8">
        <v>375</v>
      </c>
      <c r="F8" s="8">
        <v>75</v>
      </c>
      <c r="G8" s="9" t="s">
        <v>19</v>
      </c>
      <c r="H8" s="1" t="s">
        <v>12</v>
      </c>
    </row>
    <row r="9" spans="1:8" ht="28.5" x14ac:dyDescent="0.25">
      <c r="A9" s="10">
        <v>4</v>
      </c>
      <c r="B9" s="10" t="s">
        <v>20</v>
      </c>
      <c r="C9" s="7" t="s">
        <v>21</v>
      </c>
      <c r="D9" s="8">
        <v>1</v>
      </c>
      <c r="E9" s="8">
        <v>9.34</v>
      </c>
      <c r="F9" s="8">
        <v>9.34</v>
      </c>
      <c r="G9" s="9" t="s">
        <v>22</v>
      </c>
      <c r="H9" s="1" t="s">
        <v>12</v>
      </c>
    </row>
    <row r="10" spans="1:8" ht="16.5" x14ac:dyDescent="0.25">
      <c r="A10" s="10"/>
      <c r="B10" s="10" t="s">
        <v>23</v>
      </c>
      <c r="C10" s="7"/>
      <c r="D10" s="8"/>
      <c r="E10" s="8"/>
      <c r="F10" s="8">
        <v>320.74</v>
      </c>
      <c r="G10" s="9"/>
      <c r="H10" s="1" t="s">
        <v>12</v>
      </c>
    </row>
    <row r="11" spans="1:8" ht="16.5" x14ac:dyDescent="0.25">
      <c r="A11" s="10"/>
      <c r="B11" s="10"/>
      <c r="C11" s="7"/>
      <c r="D11" s="8"/>
      <c r="E11" s="8"/>
      <c r="F11" s="8"/>
      <c r="G11" s="9"/>
    </row>
    <row r="12" spans="1:8" ht="16.5" x14ac:dyDescent="0.25">
      <c r="A12" s="43" t="s">
        <v>24</v>
      </c>
      <c r="B12" s="43"/>
      <c r="C12" s="44"/>
      <c r="D12" s="45"/>
      <c r="E12" s="45"/>
      <c r="F12" s="45"/>
      <c r="G12" s="46"/>
    </row>
    <row r="13" spans="1:8" ht="16.5" x14ac:dyDescent="0.25">
      <c r="A13" s="43" t="s">
        <v>25</v>
      </c>
      <c r="B13" s="43"/>
      <c r="C13" s="44"/>
      <c r="D13" s="45"/>
      <c r="E13" s="45"/>
      <c r="F13" s="45"/>
      <c r="G13" s="46"/>
    </row>
    <row r="14" spans="1:8" ht="19.5" customHeight="1" x14ac:dyDescent="0.25"/>
    <row r="15" spans="1:8" ht="28.5" x14ac:dyDescent="0.25">
      <c r="A15" s="10" t="s">
        <v>26</v>
      </c>
      <c r="B15" s="10" t="s">
        <v>27</v>
      </c>
      <c r="C15" s="7" t="s">
        <v>28</v>
      </c>
      <c r="D15" s="8">
        <v>100</v>
      </c>
      <c r="E15" s="8">
        <v>154.94999999999999</v>
      </c>
      <c r="F15" s="8"/>
      <c r="G15" s="9" t="s">
        <v>29</v>
      </c>
      <c r="H15" s="1" t="s">
        <v>12</v>
      </c>
    </row>
    <row r="16" spans="1:8" ht="42.75" x14ac:dyDescent="0.25">
      <c r="A16" s="10">
        <v>1</v>
      </c>
      <c r="B16" s="10" t="s">
        <v>30</v>
      </c>
      <c r="C16" s="7" t="s">
        <v>14</v>
      </c>
      <c r="D16" s="8">
        <v>9.6</v>
      </c>
      <c r="E16" s="8">
        <v>1200</v>
      </c>
      <c r="F16" s="8">
        <v>11520</v>
      </c>
      <c r="G16" s="9" t="s">
        <v>31</v>
      </c>
      <c r="H16" s="1" t="s">
        <v>12</v>
      </c>
    </row>
    <row r="17" spans="1:8" ht="42.75" x14ac:dyDescent="0.25">
      <c r="A17" s="10">
        <v>2</v>
      </c>
      <c r="B17" s="10" t="s">
        <v>32</v>
      </c>
      <c r="C17" s="7" t="s">
        <v>14</v>
      </c>
      <c r="D17" s="8">
        <v>9.6</v>
      </c>
      <c r="E17" s="8">
        <v>367</v>
      </c>
      <c r="F17" s="8">
        <v>3523.2</v>
      </c>
      <c r="G17" s="9" t="s">
        <v>33</v>
      </c>
      <c r="H17" s="1" t="s">
        <v>12</v>
      </c>
    </row>
    <row r="18" spans="1:8" ht="28.5" x14ac:dyDescent="0.25">
      <c r="A18" s="10">
        <v>3</v>
      </c>
      <c r="B18" s="10" t="s">
        <v>20</v>
      </c>
      <c r="C18" s="7" t="s">
        <v>21</v>
      </c>
      <c r="D18" s="8">
        <v>1</v>
      </c>
      <c r="E18" s="8">
        <v>451.3</v>
      </c>
      <c r="F18" s="8">
        <v>451.3</v>
      </c>
      <c r="G18" s="9" t="s">
        <v>22</v>
      </c>
      <c r="H18" s="1" t="s">
        <v>12</v>
      </c>
    </row>
    <row r="19" spans="1:8" ht="16.5" x14ac:dyDescent="0.25">
      <c r="A19" s="10"/>
      <c r="B19" s="10" t="s">
        <v>34</v>
      </c>
      <c r="C19" s="7" t="s">
        <v>28</v>
      </c>
      <c r="D19" s="8">
        <v>100</v>
      </c>
      <c r="E19" s="8"/>
      <c r="F19" s="8">
        <v>15494.5</v>
      </c>
      <c r="G19" s="9"/>
      <c r="H19" s="1" t="s">
        <v>12</v>
      </c>
    </row>
    <row r="20" spans="1:8" ht="16.5" x14ac:dyDescent="0.25">
      <c r="A20" s="10"/>
      <c r="B20" s="10" t="s">
        <v>23</v>
      </c>
      <c r="C20" s="7"/>
      <c r="D20" s="8"/>
      <c r="E20" s="8"/>
      <c r="F20" s="8">
        <v>154.94999999999999</v>
      </c>
      <c r="G20" s="9"/>
      <c r="H20" s="1" t="s">
        <v>12</v>
      </c>
    </row>
    <row r="21" spans="1:8" ht="16.5" x14ac:dyDescent="0.25">
      <c r="A21" s="10"/>
      <c r="B21" s="10"/>
      <c r="C21" s="7"/>
      <c r="D21" s="8"/>
      <c r="E21" s="8"/>
      <c r="F21" s="8"/>
      <c r="G21" s="9"/>
    </row>
    <row r="22" spans="1:8" ht="16.5" x14ac:dyDescent="0.25">
      <c r="A22" s="43" t="s">
        <v>35</v>
      </c>
      <c r="B22" s="43"/>
      <c r="C22" s="44"/>
      <c r="D22" s="45"/>
      <c r="E22" s="45"/>
      <c r="F22" s="45"/>
      <c r="G22" s="46"/>
    </row>
    <row r="23" spans="1:8" ht="16.5" x14ac:dyDescent="0.25">
      <c r="A23" s="43" t="s">
        <v>36</v>
      </c>
      <c r="B23" s="43"/>
      <c r="C23" s="44"/>
      <c r="D23" s="45"/>
      <c r="E23" s="45"/>
      <c r="F23" s="45"/>
      <c r="G23" s="46"/>
    </row>
    <row r="24" spans="1:8" ht="19.5" customHeight="1" x14ac:dyDescent="0.25"/>
    <row r="25" spans="1:8" ht="28.5" x14ac:dyDescent="0.25">
      <c r="A25" s="10" t="s">
        <v>37</v>
      </c>
      <c r="B25" s="10" t="s">
        <v>38</v>
      </c>
      <c r="C25" s="7" t="s">
        <v>39</v>
      </c>
      <c r="D25" s="8"/>
      <c r="E25" s="8">
        <v>20949.099999999999</v>
      </c>
      <c r="F25" s="8"/>
      <c r="G25" s="9" t="s">
        <v>40</v>
      </c>
      <c r="H25" s="1" t="s">
        <v>12</v>
      </c>
    </row>
    <row r="26" spans="1:8" ht="42.75" x14ac:dyDescent="0.25">
      <c r="A26" s="10">
        <v>1</v>
      </c>
      <c r="B26" s="10" t="s">
        <v>41</v>
      </c>
      <c r="C26" s="7" t="s">
        <v>14</v>
      </c>
      <c r="D26" s="8">
        <v>5.5</v>
      </c>
      <c r="E26" s="8">
        <v>280</v>
      </c>
      <c r="F26" s="8">
        <v>1540</v>
      </c>
      <c r="G26" s="9" t="s">
        <v>42</v>
      </c>
      <c r="H26" s="1" t="s">
        <v>12</v>
      </c>
    </row>
    <row r="27" spans="1:8" ht="42.75" x14ac:dyDescent="0.25">
      <c r="A27" s="10">
        <v>2</v>
      </c>
      <c r="B27" s="10" t="s">
        <v>43</v>
      </c>
      <c r="C27" s="7" t="s">
        <v>14</v>
      </c>
      <c r="D27" s="8">
        <v>1.5</v>
      </c>
      <c r="E27" s="8">
        <v>1500</v>
      </c>
      <c r="F27" s="8">
        <v>2250</v>
      </c>
      <c r="G27" s="9" t="s">
        <v>44</v>
      </c>
      <c r="H27" s="1" t="s">
        <v>12</v>
      </c>
    </row>
    <row r="28" spans="1:8" ht="42.75" x14ac:dyDescent="0.25">
      <c r="A28" s="10">
        <v>3</v>
      </c>
      <c r="B28" s="10" t="s">
        <v>45</v>
      </c>
      <c r="C28" s="7" t="s">
        <v>14</v>
      </c>
      <c r="D28" s="8">
        <v>1.5</v>
      </c>
      <c r="E28" s="8">
        <v>367</v>
      </c>
      <c r="F28" s="8">
        <v>550.5</v>
      </c>
      <c r="G28" s="9" t="s">
        <v>46</v>
      </c>
      <c r="H28" s="1" t="s">
        <v>12</v>
      </c>
    </row>
    <row r="29" spans="1:8" ht="42.75" x14ac:dyDescent="0.25">
      <c r="A29" s="10">
        <v>4</v>
      </c>
      <c r="B29" s="10" t="s">
        <v>47</v>
      </c>
      <c r="C29" s="7" t="s">
        <v>48</v>
      </c>
      <c r="D29" s="8">
        <v>7</v>
      </c>
      <c r="E29" s="8">
        <v>2285.4899999999998</v>
      </c>
      <c r="F29" s="8">
        <v>15998.43</v>
      </c>
      <c r="G29" s="9" t="s">
        <v>49</v>
      </c>
      <c r="H29" s="1" t="s">
        <v>12</v>
      </c>
    </row>
    <row r="30" spans="1:8" ht="28.5" x14ac:dyDescent="0.25">
      <c r="A30" s="10">
        <v>5</v>
      </c>
      <c r="B30" s="10" t="s">
        <v>20</v>
      </c>
      <c r="C30" s="7" t="s">
        <v>21</v>
      </c>
      <c r="D30" s="8">
        <v>1</v>
      </c>
      <c r="E30" s="8">
        <v>610.16999999999996</v>
      </c>
      <c r="F30" s="8">
        <v>610.16999999999996</v>
      </c>
      <c r="G30" s="9" t="s">
        <v>22</v>
      </c>
      <c r="H30" s="1" t="s">
        <v>12</v>
      </c>
    </row>
    <row r="31" spans="1:8" ht="16.5" x14ac:dyDescent="0.25">
      <c r="A31" s="10"/>
      <c r="B31" s="10" t="s">
        <v>23</v>
      </c>
      <c r="C31" s="7"/>
      <c r="D31" s="8"/>
      <c r="E31" s="8"/>
      <c r="F31" s="8">
        <v>20949.099999999999</v>
      </c>
      <c r="G31" s="9"/>
      <c r="H31" s="1" t="s">
        <v>12</v>
      </c>
    </row>
    <row r="32" spans="1:8" ht="16.5" x14ac:dyDescent="0.25">
      <c r="A32" s="10"/>
      <c r="B32" s="10"/>
      <c r="C32" s="7"/>
      <c r="D32" s="8"/>
      <c r="E32" s="8"/>
      <c r="F32" s="8"/>
      <c r="G32" s="9"/>
    </row>
    <row r="33" spans="1:8" ht="16.5" x14ac:dyDescent="0.25">
      <c r="A33" s="43" t="s">
        <v>50</v>
      </c>
      <c r="B33" s="43"/>
      <c r="C33" s="44"/>
      <c r="D33" s="45"/>
      <c r="E33" s="45"/>
      <c r="F33" s="45"/>
      <c r="G33" s="46"/>
    </row>
    <row r="34" spans="1:8" ht="16.5" x14ac:dyDescent="0.25">
      <c r="A34" s="43" t="s">
        <v>36</v>
      </c>
      <c r="B34" s="43"/>
      <c r="C34" s="44"/>
      <c r="D34" s="45"/>
      <c r="E34" s="45"/>
      <c r="F34" s="45"/>
      <c r="G34" s="46"/>
    </row>
    <row r="35" spans="1:8" ht="19.5" customHeight="1" x14ac:dyDescent="0.25"/>
    <row r="36" spans="1:8" ht="28.5" x14ac:dyDescent="0.25">
      <c r="A36" s="10" t="s">
        <v>51</v>
      </c>
      <c r="B36" s="10" t="s">
        <v>52</v>
      </c>
      <c r="C36" s="7" t="s">
        <v>53</v>
      </c>
      <c r="D36" s="8"/>
      <c r="E36" s="8">
        <v>689.89</v>
      </c>
      <c r="F36" s="8"/>
      <c r="G36" s="9" t="s">
        <v>54</v>
      </c>
      <c r="H36" s="1" t="s">
        <v>12</v>
      </c>
    </row>
    <row r="37" spans="1:8" ht="42.75" x14ac:dyDescent="0.25">
      <c r="A37" s="10">
        <v>1</v>
      </c>
      <c r="B37" s="10" t="s">
        <v>55</v>
      </c>
      <c r="C37" s="7" t="s">
        <v>14</v>
      </c>
      <c r="D37" s="8">
        <v>1.8</v>
      </c>
      <c r="E37" s="8">
        <v>341</v>
      </c>
      <c r="F37" s="8">
        <v>613.79999999999995</v>
      </c>
      <c r="G37" s="9" t="s">
        <v>56</v>
      </c>
      <c r="H37" s="1" t="s">
        <v>12</v>
      </c>
    </row>
    <row r="38" spans="1:8" ht="42.75" x14ac:dyDescent="0.25">
      <c r="A38" s="10">
        <v>2</v>
      </c>
      <c r="B38" s="10" t="s">
        <v>41</v>
      </c>
      <c r="C38" s="7" t="s">
        <v>14</v>
      </c>
      <c r="D38" s="8">
        <v>0.2</v>
      </c>
      <c r="E38" s="8">
        <v>280</v>
      </c>
      <c r="F38" s="8">
        <v>56</v>
      </c>
      <c r="G38" s="9" t="s">
        <v>42</v>
      </c>
      <c r="H38" s="1" t="s">
        <v>12</v>
      </c>
    </row>
    <row r="39" spans="1:8" ht="28.5" x14ac:dyDescent="0.25">
      <c r="A39" s="10">
        <v>3</v>
      </c>
      <c r="B39" s="10" t="s">
        <v>20</v>
      </c>
      <c r="C39" s="7" t="s">
        <v>21</v>
      </c>
      <c r="D39" s="8">
        <v>1</v>
      </c>
      <c r="E39" s="8">
        <v>20.09</v>
      </c>
      <c r="F39" s="8">
        <v>20.09</v>
      </c>
      <c r="G39" s="9" t="s">
        <v>22</v>
      </c>
      <c r="H39" s="1" t="s">
        <v>12</v>
      </c>
    </row>
    <row r="40" spans="1:8" ht="16.5" x14ac:dyDescent="0.25">
      <c r="A40" s="10"/>
      <c r="B40" s="10" t="s">
        <v>23</v>
      </c>
      <c r="C40" s="7"/>
      <c r="D40" s="8"/>
      <c r="E40" s="8"/>
      <c r="F40" s="8">
        <v>689.89</v>
      </c>
      <c r="G40" s="9"/>
      <c r="H40" s="1" t="s">
        <v>12</v>
      </c>
    </row>
    <row r="41" spans="1:8" ht="16.5" x14ac:dyDescent="0.25">
      <c r="A41" s="10"/>
      <c r="B41" s="10"/>
      <c r="C41" s="7"/>
      <c r="D41" s="8"/>
      <c r="E41" s="8"/>
      <c r="F41" s="8"/>
      <c r="G41" s="9"/>
    </row>
    <row r="42" spans="1:8" ht="16.5" x14ac:dyDescent="0.25">
      <c r="A42" s="43" t="s">
        <v>57</v>
      </c>
      <c r="B42" s="43"/>
      <c r="C42" s="44"/>
      <c r="D42" s="45"/>
      <c r="E42" s="45"/>
      <c r="F42" s="45"/>
      <c r="G42" s="46"/>
    </row>
    <row r="43" spans="1:8" ht="16.5" x14ac:dyDescent="0.25">
      <c r="A43" s="43" t="s">
        <v>36</v>
      </c>
      <c r="B43" s="43"/>
      <c r="C43" s="44"/>
      <c r="D43" s="45"/>
      <c r="E43" s="45"/>
      <c r="F43" s="45"/>
      <c r="G43" s="46"/>
    </row>
    <row r="44" spans="1:8" ht="19.5" customHeight="1" x14ac:dyDescent="0.25"/>
    <row r="45" spans="1:8" ht="28.5" x14ac:dyDescent="0.25">
      <c r="A45" s="10" t="s">
        <v>58</v>
      </c>
      <c r="B45" s="10" t="s">
        <v>59</v>
      </c>
      <c r="C45" s="7" t="s">
        <v>53</v>
      </c>
      <c r="D45" s="8"/>
      <c r="E45" s="8">
        <v>6075.23</v>
      </c>
      <c r="F45" s="8"/>
      <c r="G45" s="9" t="s">
        <v>60</v>
      </c>
      <c r="H45" s="1" t="s">
        <v>12</v>
      </c>
    </row>
    <row r="46" spans="1:8" ht="71.25" x14ac:dyDescent="0.25">
      <c r="A46" s="10">
        <v>1</v>
      </c>
      <c r="B46" s="10" t="s">
        <v>61</v>
      </c>
      <c r="C46" s="7" t="s">
        <v>62</v>
      </c>
      <c r="D46" s="8">
        <v>18.3</v>
      </c>
      <c r="E46" s="8">
        <v>107.29</v>
      </c>
      <c r="F46" s="8">
        <v>1963.41</v>
      </c>
      <c r="G46" s="9" t="s">
        <v>63</v>
      </c>
      <c r="H46" s="1" t="s">
        <v>12</v>
      </c>
    </row>
    <row r="47" spans="1:8" ht="42.75" x14ac:dyDescent="0.25">
      <c r="A47" s="10">
        <v>2</v>
      </c>
      <c r="B47" s="10" t="s">
        <v>64</v>
      </c>
      <c r="C47" s="7" t="s">
        <v>62</v>
      </c>
      <c r="D47" s="8">
        <v>34</v>
      </c>
      <c r="E47" s="8">
        <v>60</v>
      </c>
      <c r="F47" s="8">
        <v>2040</v>
      </c>
      <c r="G47" s="9" t="s">
        <v>65</v>
      </c>
      <c r="H47" s="1" t="s">
        <v>12</v>
      </c>
    </row>
    <row r="48" spans="1:8" ht="42.75" x14ac:dyDescent="0.25">
      <c r="A48" s="10">
        <v>3</v>
      </c>
      <c r="B48" s="10" t="s">
        <v>52</v>
      </c>
      <c r="C48" s="7" t="s">
        <v>62</v>
      </c>
      <c r="D48" s="8">
        <v>52.3</v>
      </c>
      <c r="E48" s="8">
        <v>31.9</v>
      </c>
      <c r="F48" s="8">
        <v>1668.37</v>
      </c>
      <c r="G48" s="9" t="s">
        <v>66</v>
      </c>
      <c r="H48" s="1" t="s">
        <v>12</v>
      </c>
    </row>
    <row r="49" spans="1:8" ht="42.75" x14ac:dyDescent="0.25">
      <c r="A49" s="10">
        <v>4</v>
      </c>
      <c r="B49" s="10" t="s">
        <v>55</v>
      </c>
      <c r="C49" s="7" t="s">
        <v>14</v>
      </c>
      <c r="D49" s="8">
        <v>0.5</v>
      </c>
      <c r="E49" s="8">
        <v>341</v>
      </c>
      <c r="F49" s="8">
        <v>170.5</v>
      </c>
      <c r="G49" s="9" t="s">
        <v>56</v>
      </c>
      <c r="H49" s="1" t="s">
        <v>12</v>
      </c>
    </row>
    <row r="50" spans="1:8" ht="42.75" x14ac:dyDescent="0.25">
      <c r="A50" s="10">
        <v>5</v>
      </c>
      <c r="B50" s="10" t="s">
        <v>41</v>
      </c>
      <c r="C50" s="7" t="s">
        <v>14</v>
      </c>
      <c r="D50" s="8">
        <v>0.2</v>
      </c>
      <c r="E50" s="8">
        <v>280</v>
      </c>
      <c r="F50" s="8">
        <v>56</v>
      </c>
      <c r="G50" s="9" t="s">
        <v>42</v>
      </c>
      <c r="H50" s="1" t="s">
        <v>12</v>
      </c>
    </row>
    <row r="51" spans="1:8" ht="28.5" x14ac:dyDescent="0.25">
      <c r="A51" s="10">
        <v>6</v>
      </c>
      <c r="B51" s="10" t="s">
        <v>20</v>
      </c>
      <c r="C51" s="7" t="s">
        <v>21</v>
      </c>
      <c r="D51" s="8">
        <v>1</v>
      </c>
      <c r="E51" s="8">
        <v>176.95</v>
      </c>
      <c r="F51" s="8">
        <v>176.95</v>
      </c>
      <c r="G51" s="9" t="s">
        <v>22</v>
      </c>
      <c r="H51" s="1" t="s">
        <v>12</v>
      </c>
    </row>
    <row r="52" spans="1:8" ht="16.5" x14ac:dyDescent="0.25">
      <c r="A52" s="10"/>
      <c r="B52" s="10" t="s">
        <v>23</v>
      </c>
      <c r="C52" s="7"/>
      <c r="D52" s="8"/>
      <c r="E52" s="8"/>
      <c r="F52" s="8">
        <v>6075.23</v>
      </c>
      <c r="G52" s="9"/>
      <c r="H52" s="1" t="s">
        <v>12</v>
      </c>
    </row>
    <row r="53" spans="1:8" ht="16.5" x14ac:dyDescent="0.25">
      <c r="A53" s="10"/>
      <c r="B53" s="10"/>
      <c r="C53" s="7"/>
      <c r="D53" s="8"/>
      <c r="E53" s="8"/>
      <c r="F53" s="8"/>
      <c r="G53" s="9"/>
    </row>
    <row r="54" spans="1:8" ht="16.5" x14ac:dyDescent="0.25">
      <c r="A54" s="43" t="s">
        <v>67</v>
      </c>
      <c r="B54" s="43"/>
      <c r="C54" s="44"/>
      <c r="D54" s="45"/>
      <c r="E54" s="45"/>
      <c r="F54" s="45"/>
      <c r="G54" s="46"/>
    </row>
    <row r="55" spans="1:8" ht="16.5" x14ac:dyDescent="0.25">
      <c r="A55" s="43" t="s">
        <v>36</v>
      </c>
      <c r="B55" s="43"/>
      <c r="C55" s="44"/>
      <c r="D55" s="45"/>
      <c r="E55" s="45"/>
      <c r="F55" s="45"/>
      <c r="G55" s="46"/>
    </row>
    <row r="56" spans="1:8" ht="19.5" customHeight="1" x14ac:dyDescent="0.25"/>
    <row r="57" spans="1:8" ht="16.5" x14ac:dyDescent="0.25">
      <c r="A57" s="10" t="s">
        <v>68</v>
      </c>
      <c r="B57" s="10" t="s">
        <v>69</v>
      </c>
      <c r="C57" s="7" t="s">
        <v>21</v>
      </c>
      <c r="D57" s="8"/>
      <c r="E57" s="8">
        <v>181427.92</v>
      </c>
      <c r="F57" s="8"/>
      <c r="G57" s="9" t="s">
        <v>70</v>
      </c>
      <c r="H57" s="1" t="s">
        <v>12</v>
      </c>
    </row>
    <row r="58" spans="1:8" ht="42.75" x14ac:dyDescent="0.25">
      <c r="A58" s="10">
        <v>1</v>
      </c>
      <c r="B58" s="10" t="s">
        <v>64</v>
      </c>
      <c r="C58" s="7" t="s">
        <v>62</v>
      </c>
      <c r="D58" s="8">
        <v>600.66</v>
      </c>
      <c r="E58" s="8">
        <v>60</v>
      </c>
      <c r="F58" s="8">
        <v>36039.599999999999</v>
      </c>
      <c r="G58" s="9" t="s">
        <v>65</v>
      </c>
      <c r="H58" s="1" t="s">
        <v>12</v>
      </c>
    </row>
    <row r="59" spans="1:8" ht="42.75" x14ac:dyDescent="0.25">
      <c r="A59" s="10">
        <v>2</v>
      </c>
      <c r="B59" s="10" t="s">
        <v>71</v>
      </c>
      <c r="C59" s="7" t="s">
        <v>62</v>
      </c>
      <c r="D59" s="8">
        <v>600.66</v>
      </c>
      <c r="E59" s="8">
        <v>10.54</v>
      </c>
      <c r="F59" s="8">
        <v>6330.96</v>
      </c>
      <c r="G59" s="9" t="s">
        <v>72</v>
      </c>
      <c r="H59" s="1" t="s">
        <v>12</v>
      </c>
    </row>
    <row r="60" spans="1:8" ht="42.75" x14ac:dyDescent="0.25">
      <c r="A60" s="10">
        <v>3</v>
      </c>
      <c r="B60" s="10" t="s">
        <v>52</v>
      </c>
      <c r="C60" s="7" t="s">
        <v>62</v>
      </c>
      <c r="D60" s="8">
        <v>600.66</v>
      </c>
      <c r="E60" s="8">
        <v>31.9</v>
      </c>
      <c r="F60" s="8">
        <v>19161.05</v>
      </c>
      <c r="G60" s="9" t="s">
        <v>66</v>
      </c>
      <c r="H60" s="1" t="s">
        <v>12</v>
      </c>
    </row>
    <row r="61" spans="1:8" ht="42.75" x14ac:dyDescent="0.25">
      <c r="A61" s="10">
        <v>4</v>
      </c>
      <c r="B61" s="10" t="s">
        <v>73</v>
      </c>
      <c r="C61" s="7" t="s">
        <v>74</v>
      </c>
      <c r="D61" s="8">
        <v>17.7</v>
      </c>
      <c r="E61" s="8">
        <v>1400</v>
      </c>
      <c r="F61" s="8">
        <v>24780</v>
      </c>
      <c r="G61" s="9" t="s">
        <v>75</v>
      </c>
      <c r="H61" s="1" t="s">
        <v>12</v>
      </c>
    </row>
    <row r="62" spans="1:8" ht="42.75" x14ac:dyDescent="0.25">
      <c r="A62" s="10">
        <v>5</v>
      </c>
      <c r="B62" s="10" t="s">
        <v>76</v>
      </c>
      <c r="C62" s="7" t="s">
        <v>21</v>
      </c>
      <c r="D62" s="8">
        <v>1</v>
      </c>
      <c r="E62" s="8">
        <v>1120</v>
      </c>
      <c r="F62" s="8">
        <v>1120</v>
      </c>
      <c r="G62" s="9" t="s">
        <v>77</v>
      </c>
      <c r="H62" s="1" t="s">
        <v>12</v>
      </c>
    </row>
    <row r="63" spans="1:8" ht="42.75" x14ac:dyDescent="0.25">
      <c r="A63" s="10">
        <v>6</v>
      </c>
      <c r="B63" s="10" t="s">
        <v>78</v>
      </c>
      <c r="C63" s="7" t="s">
        <v>14</v>
      </c>
      <c r="D63" s="8">
        <v>24</v>
      </c>
      <c r="E63" s="8">
        <v>1300</v>
      </c>
      <c r="F63" s="8">
        <v>31200</v>
      </c>
      <c r="G63" s="9" t="s">
        <v>79</v>
      </c>
      <c r="H63" s="1" t="s">
        <v>12</v>
      </c>
    </row>
    <row r="64" spans="1:8" ht="42.75" x14ac:dyDescent="0.25">
      <c r="A64" s="10">
        <v>7</v>
      </c>
      <c r="B64" s="10" t="s">
        <v>80</v>
      </c>
      <c r="C64" s="7" t="s">
        <v>14</v>
      </c>
      <c r="D64" s="8">
        <v>24</v>
      </c>
      <c r="E64" s="8">
        <v>367</v>
      </c>
      <c r="F64" s="8">
        <v>8808</v>
      </c>
      <c r="G64" s="9" t="s">
        <v>81</v>
      </c>
      <c r="H64" s="1" t="s">
        <v>12</v>
      </c>
    </row>
    <row r="65" spans="1:8" ht="42.75" x14ac:dyDescent="0.25">
      <c r="A65" s="10">
        <v>8</v>
      </c>
      <c r="B65" s="10" t="s">
        <v>55</v>
      </c>
      <c r="C65" s="7" t="s">
        <v>14</v>
      </c>
      <c r="D65" s="8">
        <v>64</v>
      </c>
      <c r="E65" s="8">
        <v>341</v>
      </c>
      <c r="F65" s="8">
        <v>21824</v>
      </c>
      <c r="G65" s="9" t="s">
        <v>56</v>
      </c>
      <c r="H65" s="1" t="s">
        <v>12</v>
      </c>
    </row>
    <row r="66" spans="1:8" ht="42.75" x14ac:dyDescent="0.25">
      <c r="A66" s="10">
        <v>9</v>
      </c>
      <c r="B66" s="10" t="s">
        <v>41</v>
      </c>
      <c r="C66" s="7" t="s">
        <v>14</v>
      </c>
      <c r="D66" s="8">
        <v>96</v>
      </c>
      <c r="E66" s="8">
        <v>280</v>
      </c>
      <c r="F66" s="8">
        <v>26880</v>
      </c>
      <c r="G66" s="9" t="s">
        <v>42</v>
      </c>
      <c r="H66" s="1" t="s">
        <v>12</v>
      </c>
    </row>
    <row r="67" spans="1:8" ht="28.5" x14ac:dyDescent="0.25">
      <c r="A67" s="10">
        <v>10</v>
      </c>
      <c r="B67" s="10" t="s">
        <v>20</v>
      </c>
      <c r="C67" s="7" t="s">
        <v>21</v>
      </c>
      <c r="D67" s="8">
        <v>1</v>
      </c>
      <c r="E67" s="8">
        <v>5284.31</v>
      </c>
      <c r="F67" s="8">
        <v>5284.31</v>
      </c>
      <c r="G67" s="9" t="s">
        <v>22</v>
      </c>
      <c r="H67" s="1" t="s">
        <v>12</v>
      </c>
    </row>
    <row r="68" spans="1:8" ht="16.5" x14ac:dyDescent="0.25">
      <c r="A68" s="10"/>
      <c r="B68" s="10" t="s">
        <v>23</v>
      </c>
      <c r="C68" s="7"/>
      <c r="D68" s="8"/>
      <c r="E68" s="8"/>
      <c r="F68" s="8">
        <v>181427.92</v>
      </c>
      <c r="G68" s="9"/>
      <c r="H68" s="1" t="s">
        <v>12</v>
      </c>
    </row>
    <row r="69" spans="1:8" ht="16.5" x14ac:dyDescent="0.25">
      <c r="A69" s="10"/>
      <c r="B69" s="10"/>
      <c r="C69" s="7"/>
      <c r="D69" s="8"/>
      <c r="E69" s="8"/>
      <c r="F69" s="8"/>
      <c r="G69" s="9"/>
    </row>
    <row r="70" spans="1:8" ht="16.5" x14ac:dyDescent="0.25">
      <c r="A70" s="43" t="s">
        <v>82</v>
      </c>
      <c r="B70" s="43"/>
      <c r="C70" s="44"/>
      <c r="D70" s="45"/>
      <c r="E70" s="45"/>
      <c r="F70" s="45"/>
      <c r="G70" s="46"/>
    </row>
    <row r="71" spans="1:8" ht="16.5" x14ac:dyDescent="0.25">
      <c r="A71" s="43" t="s">
        <v>36</v>
      </c>
      <c r="B71" s="43"/>
      <c r="C71" s="44"/>
      <c r="D71" s="45"/>
      <c r="E71" s="45"/>
      <c r="F71" s="45"/>
      <c r="G71" s="46"/>
    </row>
    <row r="72" spans="1:8" ht="19.5" customHeight="1" x14ac:dyDescent="0.25"/>
    <row r="73" spans="1:8" ht="16.5" x14ac:dyDescent="0.25">
      <c r="A73" s="10" t="s">
        <v>83</v>
      </c>
      <c r="B73" s="10" t="s">
        <v>84</v>
      </c>
      <c r="C73" s="7" t="s">
        <v>21</v>
      </c>
      <c r="D73" s="8"/>
      <c r="E73" s="8">
        <v>371479.3</v>
      </c>
      <c r="F73" s="8"/>
      <c r="G73" s="9" t="s">
        <v>85</v>
      </c>
      <c r="H73" s="1" t="s">
        <v>12</v>
      </c>
    </row>
    <row r="74" spans="1:8" ht="42.75" x14ac:dyDescent="0.25">
      <c r="A74" s="10">
        <v>1</v>
      </c>
      <c r="B74" s="10" t="s">
        <v>86</v>
      </c>
      <c r="C74" s="7" t="s">
        <v>48</v>
      </c>
      <c r="D74" s="8">
        <v>1</v>
      </c>
      <c r="E74" s="8">
        <v>16000</v>
      </c>
      <c r="F74" s="8">
        <v>16000</v>
      </c>
      <c r="G74" s="9" t="s">
        <v>87</v>
      </c>
      <c r="H74" s="1" t="s">
        <v>12</v>
      </c>
    </row>
    <row r="75" spans="1:8" ht="42.75" x14ac:dyDescent="0.25">
      <c r="A75" s="10">
        <v>2</v>
      </c>
      <c r="B75" s="10" t="s">
        <v>64</v>
      </c>
      <c r="C75" s="7" t="s">
        <v>62</v>
      </c>
      <c r="D75" s="8">
        <v>793.3</v>
      </c>
      <c r="E75" s="8">
        <v>60</v>
      </c>
      <c r="F75" s="8">
        <v>47598</v>
      </c>
      <c r="G75" s="9" t="s">
        <v>65</v>
      </c>
      <c r="H75" s="1" t="s">
        <v>12</v>
      </c>
    </row>
    <row r="76" spans="1:8" ht="42.75" x14ac:dyDescent="0.25">
      <c r="A76" s="10">
        <v>3</v>
      </c>
      <c r="B76" s="10" t="s">
        <v>71</v>
      </c>
      <c r="C76" s="7" t="s">
        <v>62</v>
      </c>
      <c r="D76" s="8">
        <v>793.3</v>
      </c>
      <c r="E76" s="8">
        <v>10.54</v>
      </c>
      <c r="F76" s="8">
        <v>8361.3799999999992</v>
      </c>
      <c r="G76" s="9" t="s">
        <v>72</v>
      </c>
      <c r="H76" s="1" t="s">
        <v>12</v>
      </c>
    </row>
    <row r="77" spans="1:8" ht="42.75" x14ac:dyDescent="0.25">
      <c r="A77" s="10">
        <v>4</v>
      </c>
      <c r="B77" s="10" t="s">
        <v>52</v>
      </c>
      <c r="C77" s="7" t="s">
        <v>62</v>
      </c>
      <c r="D77" s="8">
        <v>793.3</v>
      </c>
      <c r="E77" s="8">
        <v>31.9</v>
      </c>
      <c r="F77" s="8">
        <v>25306.27</v>
      </c>
      <c r="G77" s="9" t="s">
        <v>66</v>
      </c>
      <c r="H77" s="1" t="s">
        <v>12</v>
      </c>
    </row>
    <row r="78" spans="1:8" ht="42.75" x14ac:dyDescent="0.25">
      <c r="A78" s="10">
        <v>5</v>
      </c>
      <c r="B78" s="10" t="s">
        <v>73</v>
      </c>
      <c r="C78" s="7" t="s">
        <v>74</v>
      </c>
      <c r="D78" s="8">
        <v>66.7</v>
      </c>
      <c r="E78" s="8">
        <v>1400</v>
      </c>
      <c r="F78" s="8">
        <v>93380</v>
      </c>
      <c r="G78" s="9" t="s">
        <v>75</v>
      </c>
      <c r="H78" s="1" t="s">
        <v>12</v>
      </c>
    </row>
    <row r="79" spans="1:8" ht="28.5" x14ac:dyDescent="0.25">
      <c r="A79" s="10">
        <v>6</v>
      </c>
      <c r="B79" s="10" t="s">
        <v>88</v>
      </c>
      <c r="C79" s="7" t="s">
        <v>53</v>
      </c>
      <c r="D79" s="8">
        <v>29.1</v>
      </c>
      <c r="E79" s="8">
        <v>80</v>
      </c>
      <c r="F79" s="8">
        <v>2328</v>
      </c>
      <c r="G79" s="9" t="s">
        <v>89</v>
      </c>
      <c r="H79" s="1" t="s">
        <v>12</v>
      </c>
    </row>
    <row r="80" spans="1:8" ht="28.5" x14ac:dyDescent="0.25">
      <c r="A80" s="10">
        <v>7</v>
      </c>
      <c r="B80" s="10" t="s">
        <v>90</v>
      </c>
      <c r="C80" s="7" t="s">
        <v>21</v>
      </c>
      <c r="D80" s="8">
        <v>1</v>
      </c>
      <c r="E80" s="8">
        <v>10000</v>
      </c>
      <c r="F80" s="8">
        <v>10000</v>
      </c>
      <c r="G80" s="9" t="s">
        <v>91</v>
      </c>
      <c r="H80" s="1" t="s">
        <v>12</v>
      </c>
    </row>
    <row r="81" spans="1:8" ht="42.75" x14ac:dyDescent="0.25">
      <c r="A81" s="10">
        <v>8</v>
      </c>
      <c r="B81" s="10" t="s">
        <v>92</v>
      </c>
      <c r="C81" s="7" t="s">
        <v>74</v>
      </c>
      <c r="D81" s="8">
        <v>23</v>
      </c>
      <c r="E81" s="8">
        <v>3030.36</v>
      </c>
      <c r="F81" s="8">
        <v>69698.28</v>
      </c>
      <c r="G81" s="9" t="s">
        <v>93</v>
      </c>
      <c r="H81" s="1" t="s">
        <v>12</v>
      </c>
    </row>
    <row r="82" spans="1:8" ht="42.75" x14ac:dyDescent="0.25">
      <c r="A82" s="10">
        <v>9</v>
      </c>
      <c r="B82" s="10" t="s">
        <v>76</v>
      </c>
      <c r="C82" s="7" t="s">
        <v>21</v>
      </c>
      <c r="D82" s="8">
        <v>1</v>
      </c>
      <c r="E82" s="8">
        <v>1120</v>
      </c>
      <c r="F82" s="8">
        <v>1120</v>
      </c>
      <c r="G82" s="9" t="s">
        <v>77</v>
      </c>
      <c r="H82" s="1" t="s">
        <v>12</v>
      </c>
    </row>
    <row r="83" spans="1:8" ht="42.75" x14ac:dyDescent="0.25">
      <c r="A83" s="10">
        <v>10</v>
      </c>
      <c r="B83" s="10" t="s">
        <v>94</v>
      </c>
      <c r="C83" s="7" t="s">
        <v>74</v>
      </c>
      <c r="D83" s="8">
        <v>24.94</v>
      </c>
      <c r="E83" s="8">
        <v>1849.42</v>
      </c>
      <c r="F83" s="8">
        <v>46124.53</v>
      </c>
      <c r="G83" s="9" t="s">
        <v>95</v>
      </c>
      <c r="H83" s="1" t="s">
        <v>12</v>
      </c>
    </row>
    <row r="84" spans="1:8" ht="42.75" x14ac:dyDescent="0.25">
      <c r="A84" s="10">
        <v>11</v>
      </c>
      <c r="B84" s="10" t="s">
        <v>96</v>
      </c>
      <c r="C84" s="7" t="s">
        <v>48</v>
      </c>
      <c r="D84" s="8">
        <v>0.41</v>
      </c>
      <c r="E84" s="8">
        <v>2958.65</v>
      </c>
      <c r="F84" s="8">
        <v>1213.05</v>
      </c>
      <c r="G84" s="9" t="s">
        <v>97</v>
      </c>
      <c r="H84" s="1" t="s">
        <v>12</v>
      </c>
    </row>
    <row r="85" spans="1:8" ht="42.75" x14ac:dyDescent="0.25">
      <c r="A85" s="10">
        <v>12</v>
      </c>
      <c r="B85" s="10" t="s">
        <v>78</v>
      </c>
      <c r="C85" s="7" t="s">
        <v>14</v>
      </c>
      <c r="D85" s="8">
        <v>16</v>
      </c>
      <c r="E85" s="8">
        <v>1300</v>
      </c>
      <c r="F85" s="8">
        <v>20800</v>
      </c>
      <c r="G85" s="9" t="s">
        <v>79</v>
      </c>
      <c r="H85" s="1" t="s">
        <v>12</v>
      </c>
    </row>
    <row r="86" spans="1:8" ht="42.75" x14ac:dyDescent="0.25">
      <c r="A86" s="10">
        <v>13</v>
      </c>
      <c r="B86" s="10" t="s">
        <v>80</v>
      </c>
      <c r="C86" s="7" t="s">
        <v>14</v>
      </c>
      <c r="D86" s="8">
        <v>16</v>
      </c>
      <c r="E86" s="8">
        <v>367</v>
      </c>
      <c r="F86" s="8">
        <v>5872</v>
      </c>
      <c r="G86" s="9" t="s">
        <v>81</v>
      </c>
      <c r="H86" s="1" t="s">
        <v>12</v>
      </c>
    </row>
    <row r="87" spans="1:8" ht="42.75" x14ac:dyDescent="0.25">
      <c r="A87" s="10">
        <v>14</v>
      </c>
      <c r="B87" s="10" t="s">
        <v>55</v>
      </c>
      <c r="C87" s="7" t="s">
        <v>14</v>
      </c>
      <c r="D87" s="8">
        <v>18</v>
      </c>
      <c r="E87" s="8">
        <v>341</v>
      </c>
      <c r="F87" s="8">
        <v>6138</v>
      </c>
      <c r="G87" s="9" t="s">
        <v>56</v>
      </c>
      <c r="H87" s="1" t="s">
        <v>12</v>
      </c>
    </row>
    <row r="88" spans="1:8" ht="42.75" x14ac:dyDescent="0.25">
      <c r="A88" s="10">
        <v>15</v>
      </c>
      <c r="B88" s="10" t="s">
        <v>41</v>
      </c>
      <c r="C88" s="7" t="s">
        <v>14</v>
      </c>
      <c r="D88" s="8">
        <v>24</v>
      </c>
      <c r="E88" s="8">
        <v>280</v>
      </c>
      <c r="F88" s="8">
        <v>6720</v>
      </c>
      <c r="G88" s="9" t="s">
        <v>42</v>
      </c>
      <c r="H88" s="1" t="s">
        <v>12</v>
      </c>
    </row>
    <row r="89" spans="1:8" ht="28.5" x14ac:dyDescent="0.25">
      <c r="A89" s="10">
        <v>16</v>
      </c>
      <c r="B89" s="10" t="s">
        <v>20</v>
      </c>
      <c r="C89" s="7" t="s">
        <v>21</v>
      </c>
      <c r="D89" s="8">
        <v>1</v>
      </c>
      <c r="E89" s="8">
        <v>10819.79</v>
      </c>
      <c r="F89" s="8">
        <v>10819.79</v>
      </c>
      <c r="G89" s="9" t="s">
        <v>22</v>
      </c>
      <c r="H89" s="1" t="s">
        <v>12</v>
      </c>
    </row>
    <row r="90" spans="1:8" ht="16.5" x14ac:dyDescent="0.25">
      <c r="A90" s="10"/>
      <c r="B90" s="10" t="s">
        <v>23</v>
      </c>
      <c r="C90" s="7"/>
      <c r="D90" s="8"/>
      <c r="E90" s="8"/>
      <c r="F90" s="8">
        <v>371479.3</v>
      </c>
      <c r="G90" s="9"/>
      <c r="H90" s="1" t="s">
        <v>12</v>
      </c>
    </row>
    <row r="91" spans="1:8" ht="16.5" x14ac:dyDescent="0.25">
      <c r="A91" s="10"/>
      <c r="B91" s="10"/>
      <c r="C91" s="7"/>
      <c r="D91" s="8"/>
      <c r="E91" s="8"/>
      <c r="F91" s="8"/>
      <c r="G91" s="9"/>
    </row>
    <row r="92" spans="1:8" ht="16.5" x14ac:dyDescent="0.25">
      <c r="A92" s="43" t="s">
        <v>98</v>
      </c>
      <c r="B92" s="43"/>
      <c r="C92" s="44"/>
      <c r="D92" s="45"/>
      <c r="E92" s="45"/>
      <c r="F92" s="45"/>
      <c r="G92" s="46"/>
    </row>
    <row r="93" spans="1:8" ht="16.5" x14ac:dyDescent="0.25">
      <c r="A93" s="43" t="s">
        <v>99</v>
      </c>
      <c r="B93" s="43"/>
      <c r="C93" s="44"/>
      <c r="D93" s="45"/>
      <c r="E93" s="45"/>
      <c r="F93" s="45"/>
      <c r="G93" s="46"/>
    </row>
    <row r="94" spans="1:8" ht="19.5" customHeight="1" x14ac:dyDescent="0.25"/>
    <row r="95" spans="1:8" ht="16.5" x14ac:dyDescent="0.25">
      <c r="A95" s="10" t="s">
        <v>100</v>
      </c>
      <c r="B95" s="10" t="s">
        <v>101</v>
      </c>
      <c r="C95" s="7" t="s">
        <v>102</v>
      </c>
      <c r="D95" s="8"/>
      <c r="E95" s="8">
        <v>9607.4500000000007</v>
      </c>
      <c r="F95" s="8"/>
      <c r="G95" s="9" t="s">
        <v>103</v>
      </c>
      <c r="H95" s="1" t="s">
        <v>12</v>
      </c>
    </row>
    <row r="96" spans="1:8" ht="42.75" x14ac:dyDescent="0.25">
      <c r="A96" s="10">
        <v>1</v>
      </c>
      <c r="B96" s="10" t="s">
        <v>104</v>
      </c>
      <c r="C96" s="7" t="s">
        <v>74</v>
      </c>
      <c r="D96" s="8">
        <v>0.25</v>
      </c>
      <c r="E96" s="8">
        <v>4200</v>
      </c>
      <c r="F96" s="8">
        <v>1050</v>
      </c>
      <c r="G96" s="9" t="s">
        <v>105</v>
      </c>
      <c r="H96" s="1" t="s">
        <v>12</v>
      </c>
    </row>
    <row r="97" spans="1:8" ht="42.75" x14ac:dyDescent="0.25">
      <c r="A97" s="10">
        <v>2</v>
      </c>
      <c r="B97" s="10" t="s">
        <v>106</v>
      </c>
      <c r="C97" s="7" t="s">
        <v>62</v>
      </c>
      <c r="D97" s="8">
        <v>20.2</v>
      </c>
      <c r="E97" s="8">
        <v>278.10000000000002</v>
      </c>
      <c r="F97" s="8">
        <v>5617.62</v>
      </c>
      <c r="G97" s="9" t="s">
        <v>107</v>
      </c>
      <c r="H97" s="1" t="s">
        <v>12</v>
      </c>
    </row>
    <row r="98" spans="1:8" ht="42.75" x14ac:dyDescent="0.25">
      <c r="A98" s="10">
        <v>3</v>
      </c>
      <c r="B98" s="10" t="s">
        <v>73</v>
      </c>
      <c r="C98" s="7" t="s">
        <v>74</v>
      </c>
      <c r="D98" s="8">
        <v>0.9</v>
      </c>
      <c r="E98" s="8">
        <v>1400</v>
      </c>
      <c r="F98" s="8">
        <v>1260</v>
      </c>
      <c r="G98" s="9" t="s">
        <v>75</v>
      </c>
      <c r="H98" s="1" t="s">
        <v>12</v>
      </c>
    </row>
    <row r="99" spans="1:8" ht="42.75" x14ac:dyDescent="0.25">
      <c r="A99" s="10">
        <v>4</v>
      </c>
      <c r="B99" s="10" t="s">
        <v>41</v>
      </c>
      <c r="C99" s="7" t="s">
        <v>14</v>
      </c>
      <c r="D99" s="8">
        <v>5</v>
      </c>
      <c r="E99" s="8">
        <v>280</v>
      </c>
      <c r="F99" s="8">
        <v>1400</v>
      </c>
      <c r="G99" s="9" t="s">
        <v>42</v>
      </c>
      <c r="H99" s="1" t="s">
        <v>12</v>
      </c>
    </row>
    <row r="100" spans="1:8" ht="28.5" x14ac:dyDescent="0.25">
      <c r="A100" s="10">
        <v>5</v>
      </c>
      <c r="B100" s="10" t="s">
        <v>20</v>
      </c>
      <c r="C100" s="7" t="s">
        <v>21</v>
      </c>
      <c r="D100" s="8">
        <v>1</v>
      </c>
      <c r="E100" s="8">
        <v>279.83</v>
      </c>
      <c r="F100" s="8">
        <v>279.83</v>
      </c>
      <c r="G100" s="9" t="s">
        <v>22</v>
      </c>
      <c r="H100" s="1" t="s">
        <v>12</v>
      </c>
    </row>
    <row r="101" spans="1:8" ht="16.5" x14ac:dyDescent="0.25">
      <c r="A101" s="10"/>
      <c r="B101" s="10" t="s">
        <v>23</v>
      </c>
      <c r="C101" s="7"/>
      <c r="D101" s="8"/>
      <c r="E101" s="8"/>
      <c r="F101" s="8">
        <v>9607.4500000000007</v>
      </c>
      <c r="G101" s="9"/>
      <c r="H101" s="1" t="s">
        <v>12</v>
      </c>
    </row>
    <row r="102" spans="1:8" ht="16.5" x14ac:dyDescent="0.25">
      <c r="A102" s="10"/>
      <c r="B102" s="10"/>
      <c r="C102" s="7"/>
      <c r="D102" s="8"/>
      <c r="E102" s="8"/>
      <c r="F102" s="8"/>
      <c r="G102" s="9"/>
    </row>
    <row r="103" spans="1:8" ht="16.5" x14ac:dyDescent="0.25">
      <c r="A103" s="43" t="s">
        <v>108</v>
      </c>
      <c r="B103" s="43"/>
      <c r="C103" s="44"/>
      <c r="D103" s="45"/>
      <c r="E103" s="45"/>
      <c r="F103" s="45"/>
      <c r="G103" s="46"/>
    </row>
    <row r="104" spans="1:8" ht="16.5" x14ac:dyDescent="0.25">
      <c r="A104" s="43" t="s">
        <v>36</v>
      </c>
      <c r="B104" s="43"/>
      <c r="C104" s="44"/>
      <c r="D104" s="45"/>
      <c r="E104" s="45"/>
      <c r="F104" s="45"/>
      <c r="G104" s="46"/>
    </row>
    <row r="105" spans="1:8" ht="19.5" customHeight="1" x14ac:dyDescent="0.25"/>
    <row r="106" spans="1:8" ht="16.5" x14ac:dyDescent="0.25">
      <c r="A106" s="10" t="s">
        <v>109</v>
      </c>
      <c r="B106" s="10" t="s">
        <v>110</v>
      </c>
      <c r="C106" s="7" t="s">
        <v>102</v>
      </c>
      <c r="D106" s="8"/>
      <c r="E106" s="8">
        <v>68654.75</v>
      </c>
      <c r="F106" s="8"/>
      <c r="G106" s="9" t="s">
        <v>111</v>
      </c>
      <c r="H106" s="1" t="s">
        <v>12</v>
      </c>
    </row>
    <row r="107" spans="1:8" ht="42.75" x14ac:dyDescent="0.25">
      <c r="A107" s="10">
        <v>1</v>
      </c>
      <c r="B107" s="10" t="s">
        <v>104</v>
      </c>
      <c r="C107" s="7" t="s">
        <v>74</v>
      </c>
      <c r="D107" s="8">
        <v>2.2599999999999998</v>
      </c>
      <c r="E107" s="8">
        <v>4200</v>
      </c>
      <c r="F107" s="8">
        <v>9492</v>
      </c>
      <c r="G107" s="9" t="s">
        <v>105</v>
      </c>
      <c r="H107" s="1" t="s">
        <v>12</v>
      </c>
    </row>
    <row r="108" spans="1:8" ht="42.75" x14ac:dyDescent="0.25">
      <c r="A108" s="10">
        <v>2</v>
      </c>
      <c r="B108" s="10" t="s">
        <v>106</v>
      </c>
      <c r="C108" s="7" t="s">
        <v>62</v>
      </c>
      <c r="D108" s="8">
        <v>151</v>
      </c>
      <c r="E108" s="8">
        <v>278.10000000000002</v>
      </c>
      <c r="F108" s="8">
        <v>41993.1</v>
      </c>
      <c r="G108" s="9" t="s">
        <v>107</v>
      </c>
      <c r="H108" s="1" t="s">
        <v>12</v>
      </c>
    </row>
    <row r="109" spans="1:8" ht="42.75" x14ac:dyDescent="0.25">
      <c r="A109" s="10">
        <v>3</v>
      </c>
      <c r="B109" s="10" t="s">
        <v>73</v>
      </c>
      <c r="C109" s="7" t="s">
        <v>74</v>
      </c>
      <c r="D109" s="8">
        <v>8</v>
      </c>
      <c r="E109" s="8">
        <v>1400</v>
      </c>
      <c r="F109" s="8">
        <v>11200</v>
      </c>
      <c r="G109" s="9" t="s">
        <v>75</v>
      </c>
      <c r="H109" s="1" t="s">
        <v>12</v>
      </c>
    </row>
    <row r="110" spans="1:8" ht="42.75" x14ac:dyDescent="0.25">
      <c r="A110" s="10">
        <v>4</v>
      </c>
      <c r="B110" s="10" t="s">
        <v>55</v>
      </c>
      <c r="C110" s="7" t="s">
        <v>14</v>
      </c>
      <c r="D110" s="8">
        <v>10</v>
      </c>
      <c r="E110" s="8">
        <v>341</v>
      </c>
      <c r="F110" s="8">
        <v>3410</v>
      </c>
      <c r="G110" s="9" t="s">
        <v>56</v>
      </c>
      <c r="H110" s="1" t="s">
        <v>12</v>
      </c>
    </row>
    <row r="111" spans="1:8" ht="42.75" x14ac:dyDescent="0.25">
      <c r="A111" s="10">
        <v>5</v>
      </c>
      <c r="B111" s="10" t="s">
        <v>41</v>
      </c>
      <c r="C111" s="7" t="s">
        <v>14</v>
      </c>
      <c r="D111" s="8">
        <v>2</v>
      </c>
      <c r="E111" s="8">
        <v>280</v>
      </c>
      <c r="F111" s="8">
        <v>560</v>
      </c>
      <c r="G111" s="9" t="s">
        <v>42</v>
      </c>
      <c r="H111" s="1" t="s">
        <v>12</v>
      </c>
    </row>
    <row r="112" spans="1:8" ht="28.5" x14ac:dyDescent="0.25">
      <c r="A112" s="10">
        <v>6</v>
      </c>
      <c r="B112" s="10" t="s">
        <v>20</v>
      </c>
      <c r="C112" s="7" t="s">
        <v>21</v>
      </c>
      <c r="D112" s="8">
        <v>1</v>
      </c>
      <c r="E112" s="8">
        <v>1999.65</v>
      </c>
      <c r="F112" s="8">
        <v>1999.65</v>
      </c>
      <c r="G112" s="9" t="s">
        <v>22</v>
      </c>
      <c r="H112" s="1" t="s">
        <v>12</v>
      </c>
    </row>
    <row r="113" spans="1:8" ht="16.5" x14ac:dyDescent="0.25">
      <c r="A113" s="10"/>
      <c r="B113" s="10" t="s">
        <v>23</v>
      </c>
      <c r="C113" s="7"/>
      <c r="D113" s="8"/>
      <c r="E113" s="8"/>
      <c r="F113" s="8">
        <v>68654.75</v>
      </c>
      <c r="G113" s="9"/>
      <c r="H113" s="1" t="s">
        <v>12</v>
      </c>
    </row>
    <row r="114" spans="1:8" ht="16.5" x14ac:dyDescent="0.25">
      <c r="A114" s="10"/>
      <c r="B114" s="10"/>
      <c r="C114" s="7"/>
      <c r="D114" s="8"/>
      <c r="E114" s="8"/>
      <c r="F114" s="8"/>
      <c r="G114" s="9"/>
    </row>
    <row r="115" spans="1:8" ht="16.5" x14ac:dyDescent="0.25">
      <c r="A115" s="43" t="s">
        <v>112</v>
      </c>
      <c r="B115" s="43"/>
      <c r="C115" s="44"/>
      <c r="D115" s="45"/>
      <c r="E115" s="45"/>
      <c r="F115" s="45"/>
      <c r="G115" s="46"/>
    </row>
    <row r="116" spans="1:8" ht="16.5" x14ac:dyDescent="0.25">
      <c r="A116" s="43" t="s">
        <v>36</v>
      </c>
      <c r="B116" s="43"/>
      <c r="C116" s="44"/>
      <c r="D116" s="45"/>
      <c r="E116" s="45"/>
      <c r="F116" s="45"/>
      <c r="G116" s="46"/>
    </row>
    <row r="117" spans="1:8" ht="19.5" customHeight="1" x14ac:dyDescent="0.25"/>
    <row r="118" spans="1:8" ht="16.5" x14ac:dyDescent="0.25">
      <c r="A118" s="10" t="s">
        <v>113</v>
      </c>
      <c r="B118" s="10" t="s">
        <v>114</v>
      </c>
      <c r="C118" s="7" t="s">
        <v>102</v>
      </c>
      <c r="D118" s="8"/>
      <c r="E118" s="8">
        <v>23861.11</v>
      </c>
      <c r="F118" s="8"/>
      <c r="G118" s="9" t="s">
        <v>115</v>
      </c>
      <c r="H118" s="1" t="s">
        <v>12</v>
      </c>
    </row>
    <row r="119" spans="1:8" ht="42.75" x14ac:dyDescent="0.25">
      <c r="A119" s="10">
        <v>1</v>
      </c>
      <c r="B119" s="10" t="s">
        <v>104</v>
      </c>
      <c r="C119" s="7" t="s">
        <v>74</v>
      </c>
      <c r="D119" s="8">
        <v>1.06</v>
      </c>
      <c r="E119" s="8">
        <v>4200</v>
      </c>
      <c r="F119" s="8">
        <v>4452</v>
      </c>
      <c r="G119" s="9" t="s">
        <v>105</v>
      </c>
      <c r="H119" s="1" t="s">
        <v>12</v>
      </c>
    </row>
    <row r="120" spans="1:8" ht="42.75" x14ac:dyDescent="0.25">
      <c r="A120" s="10">
        <v>2</v>
      </c>
      <c r="B120" s="10" t="s">
        <v>106</v>
      </c>
      <c r="C120" s="7" t="s">
        <v>62</v>
      </c>
      <c r="D120" s="8">
        <v>47.3</v>
      </c>
      <c r="E120" s="8">
        <v>278.10000000000002</v>
      </c>
      <c r="F120" s="8">
        <v>13154.13</v>
      </c>
      <c r="G120" s="9" t="s">
        <v>107</v>
      </c>
      <c r="H120" s="1" t="s">
        <v>12</v>
      </c>
    </row>
    <row r="121" spans="1:8" ht="42.75" x14ac:dyDescent="0.25">
      <c r="A121" s="10">
        <v>3</v>
      </c>
      <c r="B121" s="10" t="s">
        <v>73</v>
      </c>
      <c r="C121" s="7" t="s">
        <v>74</v>
      </c>
      <c r="D121" s="8">
        <v>2.2999999999999998</v>
      </c>
      <c r="E121" s="8">
        <v>1400</v>
      </c>
      <c r="F121" s="8">
        <v>3220</v>
      </c>
      <c r="G121" s="9" t="s">
        <v>75</v>
      </c>
      <c r="H121" s="1" t="s">
        <v>12</v>
      </c>
    </row>
    <row r="122" spans="1:8" ht="42.75" x14ac:dyDescent="0.25">
      <c r="A122" s="10">
        <v>4</v>
      </c>
      <c r="B122" s="10" t="s">
        <v>41</v>
      </c>
      <c r="C122" s="7" t="s">
        <v>14</v>
      </c>
      <c r="D122" s="8">
        <v>5.5</v>
      </c>
      <c r="E122" s="8">
        <v>280</v>
      </c>
      <c r="F122" s="8">
        <v>1540</v>
      </c>
      <c r="G122" s="9" t="s">
        <v>42</v>
      </c>
      <c r="H122" s="1" t="s">
        <v>12</v>
      </c>
    </row>
    <row r="123" spans="1:8" ht="42.75" x14ac:dyDescent="0.25">
      <c r="A123" s="10">
        <v>5</v>
      </c>
      <c r="B123" s="10" t="s">
        <v>116</v>
      </c>
      <c r="C123" s="7" t="s">
        <v>21</v>
      </c>
      <c r="D123" s="8">
        <v>1</v>
      </c>
      <c r="E123" s="8">
        <v>800</v>
      </c>
      <c r="F123" s="8">
        <v>800</v>
      </c>
      <c r="G123" s="9" t="s">
        <v>117</v>
      </c>
      <c r="H123" s="1" t="s">
        <v>12</v>
      </c>
    </row>
    <row r="124" spans="1:8" ht="28.5" x14ac:dyDescent="0.25">
      <c r="A124" s="10">
        <v>6</v>
      </c>
      <c r="B124" s="10" t="s">
        <v>20</v>
      </c>
      <c r="C124" s="7" t="s">
        <v>21</v>
      </c>
      <c r="D124" s="8">
        <v>1</v>
      </c>
      <c r="E124" s="8">
        <v>694.98</v>
      </c>
      <c r="F124" s="8">
        <v>694.98</v>
      </c>
      <c r="G124" s="9" t="s">
        <v>22</v>
      </c>
      <c r="H124" s="1" t="s">
        <v>12</v>
      </c>
    </row>
    <row r="125" spans="1:8" ht="16.5" x14ac:dyDescent="0.25">
      <c r="A125" s="10"/>
      <c r="B125" s="10" t="s">
        <v>23</v>
      </c>
      <c r="C125" s="7"/>
      <c r="D125" s="8"/>
      <c r="E125" s="8"/>
      <c r="F125" s="8">
        <v>23861.11</v>
      </c>
      <c r="G125" s="9"/>
      <c r="H125" s="1" t="s">
        <v>12</v>
      </c>
    </row>
    <row r="126" spans="1:8" ht="16.5" x14ac:dyDescent="0.25">
      <c r="A126" s="10"/>
      <c r="B126" s="10"/>
      <c r="C126" s="7"/>
      <c r="D126" s="8"/>
      <c r="E126" s="8"/>
      <c r="F126" s="8"/>
      <c r="G126" s="9"/>
    </row>
    <row r="127" spans="1:8" ht="16.5" x14ac:dyDescent="0.25">
      <c r="A127" s="43" t="s">
        <v>118</v>
      </c>
      <c r="B127" s="43"/>
      <c r="C127" s="44"/>
      <c r="D127" s="45"/>
      <c r="E127" s="45"/>
      <c r="F127" s="45"/>
      <c r="G127" s="46"/>
    </row>
    <row r="128" spans="1:8" ht="16.5" x14ac:dyDescent="0.25">
      <c r="A128" s="43" t="s">
        <v>36</v>
      </c>
      <c r="B128" s="43"/>
      <c r="C128" s="44"/>
      <c r="D128" s="45"/>
      <c r="E128" s="45"/>
      <c r="F128" s="45"/>
      <c r="G128" s="46"/>
    </row>
    <row r="129" spans="1:8" ht="19.5" customHeight="1" x14ac:dyDescent="0.25"/>
    <row r="130" spans="1:8" ht="28.5" x14ac:dyDescent="0.25">
      <c r="A130" s="10" t="s">
        <v>119</v>
      </c>
      <c r="B130" s="10" t="s">
        <v>120</v>
      </c>
      <c r="C130" s="7" t="s">
        <v>102</v>
      </c>
      <c r="D130" s="8"/>
      <c r="E130" s="8">
        <v>23861.11</v>
      </c>
      <c r="F130" s="8"/>
      <c r="G130" s="9" t="s">
        <v>121</v>
      </c>
      <c r="H130" s="1" t="s">
        <v>12</v>
      </c>
    </row>
    <row r="131" spans="1:8" ht="42.75" x14ac:dyDescent="0.25">
      <c r="A131" s="10">
        <v>1</v>
      </c>
      <c r="B131" s="10" t="s">
        <v>104</v>
      </c>
      <c r="C131" s="7" t="s">
        <v>74</v>
      </c>
      <c r="D131" s="8">
        <v>1.06</v>
      </c>
      <c r="E131" s="8">
        <v>4200</v>
      </c>
      <c r="F131" s="8">
        <v>4452</v>
      </c>
      <c r="G131" s="9" t="s">
        <v>105</v>
      </c>
      <c r="H131" s="1" t="s">
        <v>12</v>
      </c>
    </row>
    <row r="132" spans="1:8" ht="42.75" x14ac:dyDescent="0.25">
      <c r="A132" s="10">
        <v>2</v>
      </c>
      <c r="B132" s="10" t="s">
        <v>106</v>
      </c>
      <c r="C132" s="7" t="s">
        <v>62</v>
      </c>
      <c r="D132" s="8">
        <v>47.3</v>
      </c>
      <c r="E132" s="8">
        <v>278.10000000000002</v>
      </c>
      <c r="F132" s="8">
        <v>13154.13</v>
      </c>
      <c r="G132" s="9" t="s">
        <v>107</v>
      </c>
      <c r="H132" s="1" t="s">
        <v>12</v>
      </c>
    </row>
    <row r="133" spans="1:8" ht="42.75" x14ac:dyDescent="0.25">
      <c r="A133" s="10">
        <v>3</v>
      </c>
      <c r="B133" s="10" t="s">
        <v>73</v>
      </c>
      <c r="C133" s="7" t="s">
        <v>74</v>
      </c>
      <c r="D133" s="8">
        <v>2.2999999999999998</v>
      </c>
      <c r="E133" s="8">
        <v>1400</v>
      </c>
      <c r="F133" s="8">
        <v>3220</v>
      </c>
      <c r="G133" s="9" t="s">
        <v>75</v>
      </c>
      <c r="H133" s="1" t="s">
        <v>12</v>
      </c>
    </row>
    <row r="134" spans="1:8" ht="42.75" x14ac:dyDescent="0.25">
      <c r="A134" s="10">
        <v>4</v>
      </c>
      <c r="B134" s="10" t="s">
        <v>41</v>
      </c>
      <c r="C134" s="7" t="s">
        <v>14</v>
      </c>
      <c r="D134" s="8">
        <v>5.5</v>
      </c>
      <c r="E134" s="8">
        <v>280</v>
      </c>
      <c r="F134" s="8">
        <v>1540</v>
      </c>
      <c r="G134" s="9" t="s">
        <v>42</v>
      </c>
      <c r="H134" s="1" t="s">
        <v>12</v>
      </c>
    </row>
    <row r="135" spans="1:8" ht="42.75" x14ac:dyDescent="0.25">
      <c r="A135" s="10">
        <v>5</v>
      </c>
      <c r="B135" s="10" t="s">
        <v>116</v>
      </c>
      <c r="C135" s="7" t="s">
        <v>21</v>
      </c>
      <c r="D135" s="8">
        <v>1</v>
      </c>
      <c r="E135" s="8">
        <v>800</v>
      </c>
      <c r="F135" s="8">
        <v>800</v>
      </c>
      <c r="G135" s="9" t="s">
        <v>117</v>
      </c>
      <c r="H135" s="1" t="s">
        <v>12</v>
      </c>
    </row>
    <row r="136" spans="1:8" ht="28.5" x14ac:dyDescent="0.25">
      <c r="A136" s="10">
        <v>6</v>
      </c>
      <c r="B136" s="10" t="s">
        <v>20</v>
      </c>
      <c r="C136" s="7" t="s">
        <v>21</v>
      </c>
      <c r="D136" s="8">
        <v>1</v>
      </c>
      <c r="E136" s="8">
        <v>694.98</v>
      </c>
      <c r="F136" s="8">
        <v>694.98</v>
      </c>
      <c r="G136" s="9" t="s">
        <v>22</v>
      </c>
      <c r="H136" s="1" t="s">
        <v>12</v>
      </c>
    </row>
    <row r="137" spans="1:8" ht="16.5" x14ac:dyDescent="0.25">
      <c r="A137" s="10"/>
      <c r="B137" s="10" t="s">
        <v>23</v>
      </c>
      <c r="C137" s="7"/>
      <c r="D137" s="8"/>
      <c r="E137" s="8"/>
      <c r="F137" s="8">
        <v>23861.11</v>
      </c>
      <c r="G137" s="9"/>
      <c r="H137" s="1" t="s">
        <v>12</v>
      </c>
    </row>
    <row r="138" spans="1:8" ht="16.5" x14ac:dyDescent="0.25">
      <c r="A138" s="10"/>
      <c r="B138" s="10"/>
      <c r="C138" s="7"/>
      <c r="D138" s="8"/>
      <c r="E138" s="8"/>
      <c r="F138" s="8"/>
      <c r="G138" s="9"/>
    </row>
    <row r="139" spans="1:8" ht="16.5" x14ac:dyDescent="0.25">
      <c r="A139" s="43" t="s">
        <v>118</v>
      </c>
      <c r="B139" s="43"/>
      <c r="C139" s="44"/>
      <c r="D139" s="45"/>
      <c r="E139" s="45"/>
      <c r="F139" s="45"/>
      <c r="G139" s="46"/>
    </row>
    <row r="140" spans="1:8" ht="16.5" x14ac:dyDescent="0.25">
      <c r="A140" s="43" t="s">
        <v>36</v>
      </c>
      <c r="B140" s="43"/>
      <c r="C140" s="44"/>
      <c r="D140" s="45"/>
      <c r="E140" s="45"/>
      <c r="F140" s="45"/>
      <c r="G140" s="46"/>
    </row>
    <row r="141" spans="1:8" ht="19.5" customHeight="1" x14ac:dyDescent="0.25"/>
    <row r="142" spans="1:8" ht="16.5" x14ac:dyDescent="0.25">
      <c r="A142" s="10" t="s">
        <v>122</v>
      </c>
      <c r="B142" s="10" t="s">
        <v>123</v>
      </c>
      <c r="C142" s="7" t="s">
        <v>124</v>
      </c>
      <c r="D142" s="8"/>
      <c r="E142" s="8">
        <v>9445.6200000000008</v>
      </c>
      <c r="F142" s="8"/>
      <c r="G142" s="9" t="s">
        <v>125</v>
      </c>
      <c r="H142" s="1" t="s">
        <v>12</v>
      </c>
    </row>
    <row r="143" spans="1:8" ht="42.75" x14ac:dyDescent="0.25">
      <c r="A143" s="10">
        <v>1</v>
      </c>
      <c r="B143" s="10" t="s">
        <v>126</v>
      </c>
      <c r="C143" s="7" t="s">
        <v>53</v>
      </c>
      <c r="D143" s="8">
        <v>1.5</v>
      </c>
      <c r="E143" s="8">
        <v>46</v>
      </c>
      <c r="F143" s="8">
        <v>69</v>
      </c>
      <c r="G143" s="9" t="s">
        <v>127</v>
      </c>
      <c r="H143" s="1" t="s">
        <v>12</v>
      </c>
    </row>
    <row r="144" spans="1:8" ht="57" x14ac:dyDescent="0.25">
      <c r="A144" s="10">
        <v>2</v>
      </c>
      <c r="B144" s="10" t="s">
        <v>128</v>
      </c>
      <c r="C144" s="7" t="s">
        <v>53</v>
      </c>
      <c r="D144" s="8">
        <v>1.5</v>
      </c>
      <c r="E144" s="8">
        <v>51</v>
      </c>
      <c r="F144" s="8">
        <v>76.5</v>
      </c>
      <c r="G144" s="9" t="s">
        <v>129</v>
      </c>
      <c r="H144" s="1" t="s">
        <v>12</v>
      </c>
    </row>
    <row r="145" spans="1:8" ht="42.75" x14ac:dyDescent="0.25">
      <c r="A145" s="10">
        <v>3</v>
      </c>
      <c r="B145" s="10" t="s">
        <v>130</v>
      </c>
      <c r="C145" s="7" t="s">
        <v>53</v>
      </c>
      <c r="D145" s="8">
        <v>1</v>
      </c>
      <c r="E145" s="8">
        <v>26</v>
      </c>
      <c r="F145" s="8">
        <v>26</v>
      </c>
      <c r="G145" s="9" t="s">
        <v>131</v>
      </c>
      <c r="H145" s="1" t="s">
        <v>12</v>
      </c>
    </row>
    <row r="146" spans="1:8" ht="42.75" x14ac:dyDescent="0.25">
      <c r="A146" s="10">
        <v>4</v>
      </c>
      <c r="B146" s="10" t="s">
        <v>132</v>
      </c>
      <c r="C146" s="7" t="s">
        <v>133</v>
      </c>
      <c r="D146" s="8">
        <v>1</v>
      </c>
      <c r="E146" s="8">
        <v>999</v>
      </c>
      <c r="F146" s="8">
        <v>999</v>
      </c>
      <c r="G146" s="9" t="s">
        <v>134</v>
      </c>
      <c r="H146" s="1" t="s">
        <v>12</v>
      </c>
    </row>
    <row r="147" spans="1:8" ht="28.5" x14ac:dyDescent="0.25">
      <c r="A147" s="10">
        <v>5</v>
      </c>
      <c r="B147" s="10" t="s">
        <v>135</v>
      </c>
      <c r="C147" s="7" t="s">
        <v>136</v>
      </c>
      <c r="D147" s="8">
        <v>1</v>
      </c>
      <c r="E147" s="8">
        <v>5000</v>
      </c>
      <c r="F147" s="8">
        <v>5000</v>
      </c>
      <c r="G147" s="9" t="s">
        <v>137</v>
      </c>
      <c r="H147" s="1" t="s">
        <v>12</v>
      </c>
    </row>
    <row r="148" spans="1:8" ht="42.75" x14ac:dyDescent="0.25">
      <c r="A148" s="10">
        <v>6</v>
      </c>
      <c r="B148" s="10" t="s">
        <v>138</v>
      </c>
      <c r="C148" s="7" t="s">
        <v>139</v>
      </c>
      <c r="D148" s="8">
        <v>1</v>
      </c>
      <c r="E148" s="8">
        <v>3000</v>
      </c>
      <c r="F148" s="8">
        <v>3000</v>
      </c>
      <c r="G148" s="9" t="s">
        <v>140</v>
      </c>
      <c r="H148" s="1" t="s">
        <v>12</v>
      </c>
    </row>
    <row r="149" spans="1:8" ht="28.5" x14ac:dyDescent="0.25">
      <c r="A149" s="10">
        <v>7</v>
      </c>
      <c r="B149" s="10" t="s">
        <v>20</v>
      </c>
      <c r="C149" s="7" t="s">
        <v>21</v>
      </c>
      <c r="D149" s="8">
        <v>1</v>
      </c>
      <c r="E149" s="8">
        <v>275.12</v>
      </c>
      <c r="F149" s="8">
        <v>275.12</v>
      </c>
      <c r="G149" s="9" t="s">
        <v>22</v>
      </c>
      <c r="H149" s="1" t="s">
        <v>12</v>
      </c>
    </row>
    <row r="150" spans="1:8" ht="16.5" x14ac:dyDescent="0.25">
      <c r="A150" s="10"/>
      <c r="B150" s="10" t="s">
        <v>23</v>
      </c>
      <c r="C150" s="7"/>
      <c r="D150" s="8"/>
      <c r="E150" s="8"/>
      <c r="F150" s="8">
        <v>9445.6200000000008</v>
      </c>
      <c r="G150" s="9"/>
      <c r="H150" s="1" t="s">
        <v>12</v>
      </c>
    </row>
    <row r="151" spans="1:8" ht="16.5" x14ac:dyDescent="0.25">
      <c r="A151" s="10"/>
      <c r="B151" s="10"/>
      <c r="C151" s="7"/>
      <c r="D151" s="8"/>
      <c r="E151" s="8"/>
      <c r="F151" s="8"/>
      <c r="G151" s="9"/>
    </row>
    <row r="152" spans="1:8" ht="16.5" x14ac:dyDescent="0.25">
      <c r="A152" s="43" t="s">
        <v>141</v>
      </c>
      <c r="B152" s="43"/>
      <c r="C152" s="44"/>
      <c r="D152" s="45"/>
      <c r="E152" s="45"/>
      <c r="F152" s="45"/>
      <c r="G152" s="46"/>
    </row>
    <row r="153" spans="1:8" ht="16.5" x14ac:dyDescent="0.25">
      <c r="A153" s="43" t="s">
        <v>142</v>
      </c>
      <c r="B153" s="43"/>
      <c r="C153" s="44"/>
      <c r="D153" s="45"/>
      <c r="E153" s="45"/>
      <c r="F153" s="45"/>
      <c r="G153" s="46"/>
    </row>
    <row r="154" spans="1:8" ht="19.5" customHeight="1" x14ac:dyDescent="0.25"/>
    <row r="155" spans="1:8" ht="28.5" x14ac:dyDescent="0.25">
      <c r="A155" s="10" t="s">
        <v>143</v>
      </c>
      <c r="B155" s="10" t="s">
        <v>144</v>
      </c>
      <c r="C155" s="7" t="s">
        <v>145</v>
      </c>
      <c r="D155" s="8"/>
      <c r="E155" s="8">
        <v>160.56</v>
      </c>
      <c r="F155" s="8"/>
      <c r="G155" s="9" t="s">
        <v>146</v>
      </c>
      <c r="H155" s="1" t="s">
        <v>12</v>
      </c>
    </row>
    <row r="156" spans="1:8" ht="42.75" x14ac:dyDescent="0.25">
      <c r="A156" s="10">
        <v>1</v>
      </c>
      <c r="B156" s="10" t="s">
        <v>147</v>
      </c>
      <c r="C156" s="7" t="s">
        <v>145</v>
      </c>
      <c r="D156" s="8">
        <v>1</v>
      </c>
      <c r="E156" s="8">
        <v>100</v>
      </c>
      <c r="F156" s="8">
        <v>100</v>
      </c>
      <c r="G156" s="9" t="s">
        <v>148</v>
      </c>
      <c r="H156" s="1" t="s">
        <v>12</v>
      </c>
    </row>
    <row r="157" spans="1:8" ht="42.75" x14ac:dyDescent="0.25">
      <c r="A157" s="10">
        <v>2</v>
      </c>
      <c r="B157" s="10" t="s">
        <v>149</v>
      </c>
      <c r="C157" s="7" t="s">
        <v>10</v>
      </c>
      <c r="D157" s="8">
        <v>0.02</v>
      </c>
      <c r="E157" s="8">
        <v>1544.74</v>
      </c>
      <c r="F157" s="8">
        <v>30.89</v>
      </c>
      <c r="G157" s="9" t="s">
        <v>150</v>
      </c>
      <c r="H157" s="1" t="s">
        <v>12</v>
      </c>
    </row>
    <row r="158" spans="1:8" ht="42.75" x14ac:dyDescent="0.25">
      <c r="A158" s="10">
        <v>3</v>
      </c>
      <c r="B158" s="10" t="s">
        <v>151</v>
      </c>
      <c r="C158" s="7" t="s">
        <v>62</v>
      </c>
      <c r="D158" s="8">
        <v>0.08</v>
      </c>
      <c r="E158" s="8">
        <v>14</v>
      </c>
      <c r="F158" s="8">
        <v>1.1200000000000001</v>
      </c>
      <c r="G158" s="9" t="s">
        <v>152</v>
      </c>
      <c r="H158" s="1" t="s">
        <v>12</v>
      </c>
    </row>
    <row r="159" spans="1:8" ht="42.75" x14ac:dyDescent="0.25">
      <c r="A159" s="10">
        <v>4</v>
      </c>
      <c r="B159" s="10" t="s">
        <v>153</v>
      </c>
      <c r="C159" s="7" t="s">
        <v>14</v>
      </c>
      <c r="D159" s="8">
        <v>0.02</v>
      </c>
      <c r="E159" s="8">
        <v>341</v>
      </c>
      <c r="F159" s="8">
        <v>6.82</v>
      </c>
      <c r="G159" s="9" t="s">
        <v>154</v>
      </c>
      <c r="H159" s="1" t="s">
        <v>12</v>
      </c>
    </row>
    <row r="160" spans="1:8" ht="42.75" x14ac:dyDescent="0.25">
      <c r="A160" s="10">
        <v>5</v>
      </c>
      <c r="B160" s="10" t="s">
        <v>155</v>
      </c>
      <c r="C160" s="7" t="s">
        <v>14</v>
      </c>
      <c r="D160" s="8">
        <v>0.05</v>
      </c>
      <c r="E160" s="8">
        <v>341</v>
      </c>
      <c r="F160" s="8">
        <v>17.05</v>
      </c>
      <c r="G160" s="9" t="s">
        <v>156</v>
      </c>
      <c r="H160" s="1" t="s">
        <v>12</v>
      </c>
    </row>
    <row r="161" spans="1:8" ht="28.5" x14ac:dyDescent="0.25">
      <c r="A161" s="10">
        <v>6</v>
      </c>
      <c r="B161" s="10" t="s">
        <v>20</v>
      </c>
      <c r="C161" s="7" t="s">
        <v>21</v>
      </c>
      <c r="D161" s="8">
        <v>1</v>
      </c>
      <c r="E161" s="8">
        <v>4.68</v>
      </c>
      <c r="F161" s="8">
        <v>4.68</v>
      </c>
      <c r="G161" s="9" t="s">
        <v>22</v>
      </c>
      <c r="H161" s="1" t="s">
        <v>12</v>
      </c>
    </row>
    <row r="162" spans="1:8" ht="16.5" x14ac:dyDescent="0.25">
      <c r="A162" s="10"/>
      <c r="B162" s="10" t="s">
        <v>23</v>
      </c>
      <c r="C162" s="7"/>
      <c r="D162" s="8"/>
      <c r="E162" s="8"/>
      <c r="F162" s="8">
        <v>160.56</v>
      </c>
      <c r="G162" s="9"/>
      <c r="H162" s="1" t="s">
        <v>12</v>
      </c>
    </row>
    <row r="163" spans="1:8" ht="16.5" x14ac:dyDescent="0.25">
      <c r="A163" s="10"/>
      <c r="B163" s="10"/>
      <c r="C163" s="7"/>
      <c r="D163" s="8"/>
      <c r="E163" s="8"/>
      <c r="F163" s="8"/>
      <c r="G163" s="9"/>
    </row>
    <row r="164" spans="1:8" ht="16.5" x14ac:dyDescent="0.25">
      <c r="A164" s="43" t="s">
        <v>157</v>
      </c>
      <c r="B164" s="43"/>
      <c r="C164" s="44"/>
      <c r="D164" s="45"/>
      <c r="E164" s="45"/>
      <c r="F164" s="45"/>
      <c r="G164" s="46"/>
    </row>
    <row r="165" spans="1:8" ht="16.5" x14ac:dyDescent="0.25">
      <c r="A165" s="43" t="s">
        <v>158</v>
      </c>
      <c r="B165" s="43"/>
      <c r="C165" s="44"/>
      <c r="D165" s="45"/>
      <c r="E165" s="45"/>
      <c r="F165" s="45"/>
      <c r="G165" s="46"/>
    </row>
    <row r="166" spans="1:8" ht="19.5" customHeight="1" x14ac:dyDescent="0.25"/>
    <row r="167" spans="1:8" ht="28.5" x14ac:dyDescent="0.25">
      <c r="A167" s="10" t="s">
        <v>159</v>
      </c>
      <c r="B167" s="10" t="s">
        <v>160</v>
      </c>
      <c r="C167" s="7" t="s">
        <v>145</v>
      </c>
      <c r="D167" s="8"/>
      <c r="E167" s="8">
        <v>315.06</v>
      </c>
      <c r="F167" s="8"/>
      <c r="G167" s="9" t="s">
        <v>161</v>
      </c>
      <c r="H167" s="1" t="s">
        <v>12</v>
      </c>
    </row>
    <row r="168" spans="1:8" ht="42.75" x14ac:dyDescent="0.25">
      <c r="A168" s="10">
        <v>1</v>
      </c>
      <c r="B168" s="10" t="s">
        <v>162</v>
      </c>
      <c r="C168" s="7" t="s">
        <v>145</v>
      </c>
      <c r="D168" s="8">
        <v>1</v>
      </c>
      <c r="E168" s="8">
        <v>250</v>
      </c>
      <c r="F168" s="8">
        <v>250</v>
      </c>
      <c r="G168" s="9" t="s">
        <v>163</v>
      </c>
      <c r="H168" s="1" t="s">
        <v>12</v>
      </c>
    </row>
    <row r="169" spans="1:8" ht="42.75" x14ac:dyDescent="0.25">
      <c r="A169" s="10">
        <v>2</v>
      </c>
      <c r="B169" s="10" t="s">
        <v>149</v>
      </c>
      <c r="C169" s="7" t="s">
        <v>10</v>
      </c>
      <c r="D169" s="8">
        <v>0.02</v>
      </c>
      <c r="E169" s="8">
        <v>1544.74</v>
      </c>
      <c r="F169" s="8">
        <v>30.89</v>
      </c>
      <c r="G169" s="9" t="s">
        <v>150</v>
      </c>
      <c r="H169" s="1" t="s">
        <v>12</v>
      </c>
    </row>
    <row r="170" spans="1:8" ht="42.75" x14ac:dyDescent="0.25">
      <c r="A170" s="10">
        <v>3</v>
      </c>
      <c r="B170" s="10" t="s">
        <v>151</v>
      </c>
      <c r="C170" s="7" t="s">
        <v>62</v>
      </c>
      <c r="D170" s="8">
        <v>0.08</v>
      </c>
      <c r="E170" s="8">
        <v>14</v>
      </c>
      <c r="F170" s="8">
        <v>1.1200000000000001</v>
      </c>
      <c r="G170" s="9" t="s">
        <v>152</v>
      </c>
      <c r="H170" s="1" t="s">
        <v>12</v>
      </c>
    </row>
    <row r="171" spans="1:8" ht="42.75" x14ac:dyDescent="0.25">
      <c r="A171" s="10">
        <v>4</v>
      </c>
      <c r="B171" s="10" t="s">
        <v>153</v>
      </c>
      <c r="C171" s="7" t="s">
        <v>14</v>
      </c>
      <c r="D171" s="8">
        <v>0.02</v>
      </c>
      <c r="E171" s="8">
        <v>341</v>
      </c>
      <c r="F171" s="8">
        <v>6.82</v>
      </c>
      <c r="G171" s="9" t="s">
        <v>154</v>
      </c>
      <c r="H171" s="1" t="s">
        <v>12</v>
      </c>
    </row>
    <row r="172" spans="1:8" ht="42.75" x14ac:dyDescent="0.25">
      <c r="A172" s="10">
        <v>5</v>
      </c>
      <c r="B172" s="10" t="s">
        <v>155</v>
      </c>
      <c r="C172" s="7" t="s">
        <v>14</v>
      </c>
      <c r="D172" s="8">
        <v>0.05</v>
      </c>
      <c r="E172" s="8">
        <v>341</v>
      </c>
      <c r="F172" s="8">
        <v>17.05</v>
      </c>
      <c r="G172" s="9" t="s">
        <v>156</v>
      </c>
      <c r="H172" s="1" t="s">
        <v>12</v>
      </c>
    </row>
    <row r="173" spans="1:8" ht="28.5" x14ac:dyDescent="0.25">
      <c r="A173" s="10">
        <v>6</v>
      </c>
      <c r="B173" s="10" t="s">
        <v>20</v>
      </c>
      <c r="C173" s="7" t="s">
        <v>21</v>
      </c>
      <c r="D173" s="8">
        <v>1</v>
      </c>
      <c r="E173" s="8">
        <v>9.18</v>
      </c>
      <c r="F173" s="8">
        <v>9.18</v>
      </c>
      <c r="G173" s="9" t="s">
        <v>22</v>
      </c>
      <c r="H173" s="1" t="s">
        <v>12</v>
      </c>
    </row>
    <row r="174" spans="1:8" ht="16.5" x14ac:dyDescent="0.25">
      <c r="A174" s="10"/>
      <c r="B174" s="10" t="s">
        <v>23</v>
      </c>
      <c r="C174" s="7"/>
      <c r="D174" s="8"/>
      <c r="E174" s="8"/>
      <c r="F174" s="8">
        <v>315.06</v>
      </c>
      <c r="G174" s="9"/>
      <c r="H174" s="1" t="s">
        <v>12</v>
      </c>
    </row>
    <row r="175" spans="1:8" ht="16.5" x14ac:dyDescent="0.25">
      <c r="A175" s="10"/>
      <c r="B175" s="10"/>
      <c r="C175" s="7"/>
      <c r="D175" s="8"/>
      <c r="E175" s="8"/>
      <c r="F175" s="8"/>
      <c r="G175" s="9"/>
    </row>
    <row r="176" spans="1:8" ht="16.5" x14ac:dyDescent="0.25">
      <c r="A176" s="43" t="s">
        <v>164</v>
      </c>
      <c r="B176" s="43"/>
      <c r="C176" s="44"/>
      <c r="D176" s="45"/>
      <c r="E176" s="45"/>
      <c r="F176" s="45"/>
      <c r="G176" s="46"/>
    </row>
    <row r="177" spans="1:8" ht="16.5" x14ac:dyDescent="0.25">
      <c r="A177" s="43" t="s">
        <v>165</v>
      </c>
      <c r="B177" s="43"/>
      <c r="C177" s="44"/>
      <c r="D177" s="45"/>
      <c r="E177" s="45"/>
      <c r="F177" s="45"/>
      <c r="G177" s="46"/>
    </row>
    <row r="178" spans="1:8" ht="19.5" customHeight="1" x14ac:dyDescent="0.25"/>
    <row r="179" spans="1:8" ht="28.5" x14ac:dyDescent="0.25">
      <c r="A179" s="10" t="s">
        <v>166</v>
      </c>
      <c r="B179" s="10" t="s">
        <v>167</v>
      </c>
      <c r="C179" s="7" t="s">
        <v>145</v>
      </c>
      <c r="D179" s="8"/>
      <c r="E179" s="8">
        <v>160.56</v>
      </c>
      <c r="F179" s="8"/>
      <c r="G179" s="9" t="s">
        <v>168</v>
      </c>
      <c r="H179" s="1" t="s">
        <v>12</v>
      </c>
    </row>
    <row r="180" spans="1:8" ht="28.5" x14ac:dyDescent="0.25">
      <c r="A180" s="10">
        <v>1</v>
      </c>
      <c r="B180" s="10" t="s">
        <v>169</v>
      </c>
      <c r="C180" s="7" t="s">
        <v>145</v>
      </c>
      <c r="D180" s="8">
        <v>1</v>
      </c>
      <c r="E180" s="8">
        <v>100</v>
      </c>
      <c r="F180" s="8">
        <v>100</v>
      </c>
      <c r="G180" s="9" t="s">
        <v>170</v>
      </c>
      <c r="H180" s="1" t="s">
        <v>12</v>
      </c>
    </row>
    <row r="181" spans="1:8" ht="42.75" x14ac:dyDescent="0.25">
      <c r="A181" s="10">
        <v>2</v>
      </c>
      <c r="B181" s="10" t="s">
        <v>149</v>
      </c>
      <c r="C181" s="7" t="s">
        <v>10</v>
      </c>
      <c r="D181" s="8">
        <v>0.02</v>
      </c>
      <c r="E181" s="8">
        <v>1544.74</v>
      </c>
      <c r="F181" s="8">
        <v>30.89</v>
      </c>
      <c r="G181" s="9" t="s">
        <v>150</v>
      </c>
      <c r="H181" s="1" t="s">
        <v>12</v>
      </c>
    </row>
    <row r="182" spans="1:8" ht="42.75" x14ac:dyDescent="0.25">
      <c r="A182" s="10">
        <v>3</v>
      </c>
      <c r="B182" s="10" t="s">
        <v>151</v>
      </c>
      <c r="C182" s="7" t="s">
        <v>62</v>
      </c>
      <c r="D182" s="8">
        <v>0.08</v>
      </c>
      <c r="E182" s="8">
        <v>14</v>
      </c>
      <c r="F182" s="8">
        <v>1.1200000000000001</v>
      </c>
      <c r="G182" s="9" t="s">
        <v>152</v>
      </c>
      <c r="H182" s="1" t="s">
        <v>12</v>
      </c>
    </row>
    <row r="183" spans="1:8" ht="42.75" x14ac:dyDescent="0.25">
      <c r="A183" s="10">
        <v>4</v>
      </c>
      <c r="B183" s="10" t="s">
        <v>153</v>
      </c>
      <c r="C183" s="7" t="s">
        <v>14</v>
      </c>
      <c r="D183" s="8">
        <v>0.02</v>
      </c>
      <c r="E183" s="8">
        <v>341</v>
      </c>
      <c r="F183" s="8">
        <v>6.82</v>
      </c>
      <c r="G183" s="9" t="s">
        <v>154</v>
      </c>
      <c r="H183" s="1" t="s">
        <v>12</v>
      </c>
    </row>
    <row r="184" spans="1:8" ht="42.75" x14ac:dyDescent="0.25">
      <c r="A184" s="10">
        <v>5</v>
      </c>
      <c r="B184" s="10" t="s">
        <v>155</v>
      </c>
      <c r="C184" s="7" t="s">
        <v>14</v>
      </c>
      <c r="D184" s="8">
        <v>0.05</v>
      </c>
      <c r="E184" s="8">
        <v>341</v>
      </c>
      <c r="F184" s="8">
        <v>17.05</v>
      </c>
      <c r="G184" s="9" t="s">
        <v>156</v>
      </c>
      <c r="H184" s="1" t="s">
        <v>12</v>
      </c>
    </row>
    <row r="185" spans="1:8" ht="28.5" x14ac:dyDescent="0.25">
      <c r="A185" s="10">
        <v>6</v>
      </c>
      <c r="B185" s="10" t="s">
        <v>20</v>
      </c>
      <c r="C185" s="7" t="s">
        <v>21</v>
      </c>
      <c r="D185" s="8">
        <v>1</v>
      </c>
      <c r="E185" s="8">
        <v>4.68</v>
      </c>
      <c r="F185" s="8">
        <v>4.68</v>
      </c>
      <c r="G185" s="9" t="s">
        <v>22</v>
      </c>
      <c r="H185" s="1" t="s">
        <v>12</v>
      </c>
    </row>
    <row r="186" spans="1:8" ht="16.5" x14ac:dyDescent="0.25">
      <c r="A186" s="10"/>
      <c r="B186" s="10" t="s">
        <v>23</v>
      </c>
      <c r="C186" s="7"/>
      <c r="D186" s="8"/>
      <c r="E186" s="8"/>
      <c r="F186" s="8">
        <v>160.56</v>
      </c>
      <c r="G186" s="9"/>
      <c r="H186" s="1" t="s">
        <v>12</v>
      </c>
    </row>
    <row r="187" spans="1:8" ht="16.5" x14ac:dyDescent="0.25">
      <c r="A187" s="10"/>
      <c r="B187" s="10"/>
      <c r="C187" s="7"/>
      <c r="D187" s="8"/>
      <c r="E187" s="8"/>
      <c r="F187" s="8"/>
      <c r="G187" s="9"/>
    </row>
    <row r="188" spans="1:8" ht="16.5" x14ac:dyDescent="0.25">
      <c r="A188" s="43" t="s">
        <v>157</v>
      </c>
      <c r="B188" s="43"/>
      <c r="C188" s="44"/>
      <c r="D188" s="45"/>
      <c r="E188" s="45"/>
      <c r="F188" s="45"/>
      <c r="G188" s="46"/>
    </row>
    <row r="189" spans="1:8" ht="16.5" x14ac:dyDescent="0.25">
      <c r="A189" s="43" t="s">
        <v>158</v>
      </c>
      <c r="B189" s="43"/>
      <c r="C189" s="44"/>
      <c r="D189" s="45"/>
      <c r="E189" s="45"/>
      <c r="F189" s="45"/>
      <c r="G189" s="46"/>
    </row>
    <row r="190" spans="1:8" ht="19.5" customHeight="1" x14ac:dyDescent="0.25"/>
    <row r="191" spans="1:8" ht="28.5" x14ac:dyDescent="0.25">
      <c r="A191" s="10" t="s">
        <v>171</v>
      </c>
      <c r="B191" s="10" t="s">
        <v>172</v>
      </c>
      <c r="C191" s="7" t="s">
        <v>145</v>
      </c>
      <c r="D191" s="8"/>
      <c r="E191" s="8">
        <v>212.06</v>
      </c>
      <c r="F191" s="8"/>
      <c r="G191" s="9" t="s">
        <v>173</v>
      </c>
      <c r="H191" s="1" t="s">
        <v>12</v>
      </c>
    </row>
    <row r="192" spans="1:8" ht="42.75" x14ac:dyDescent="0.25">
      <c r="A192" s="10">
        <v>1</v>
      </c>
      <c r="B192" s="10" t="s">
        <v>174</v>
      </c>
      <c r="C192" s="7" t="s">
        <v>145</v>
      </c>
      <c r="D192" s="8">
        <v>1</v>
      </c>
      <c r="E192" s="8">
        <v>150</v>
      </c>
      <c r="F192" s="8">
        <v>150</v>
      </c>
      <c r="G192" s="9" t="s">
        <v>175</v>
      </c>
      <c r="H192" s="1" t="s">
        <v>12</v>
      </c>
    </row>
    <row r="193" spans="1:8" ht="42.75" x14ac:dyDescent="0.25">
      <c r="A193" s="10">
        <v>2</v>
      </c>
      <c r="B193" s="10" t="s">
        <v>149</v>
      </c>
      <c r="C193" s="7" t="s">
        <v>10</v>
      </c>
      <c r="D193" s="8">
        <v>0.02</v>
      </c>
      <c r="E193" s="8">
        <v>1544.74</v>
      </c>
      <c r="F193" s="8">
        <v>30.89</v>
      </c>
      <c r="G193" s="9" t="s">
        <v>150</v>
      </c>
      <c r="H193" s="1" t="s">
        <v>12</v>
      </c>
    </row>
    <row r="194" spans="1:8" ht="42.75" x14ac:dyDescent="0.25">
      <c r="A194" s="10">
        <v>3</v>
      </c>
      <c r="B194" s="10" t="s">
        <v>151</v>
      </c>
      <c r="C194" s="7" t="s">
        <v>62</v>
      </c>
      <c r="D194" s="8">
        <v>0.08</v>
      </c>
      <c r="E194" s="8">
        <v>14</v>
      </c>
      <c r="F194" s="8">
        <v>1.1200000000000001</v>
      </c>
      <c r="G194" s="9" t="s">
        <v>152</v>
      </c>
      <c r="H194" s="1" t="s">
        <v>12</v>
      </c>
    </row>
    <row r="195" spans="1:8" ht="42.75" x14ac:dyDescent="0.25">
      <c r="A195" s="10">
        <v>4</v>
      </c>
      <c r="B195" s="10" t="s">
        <v>153</v>
      </c>
      <c r="C195" s="7" t="s">
        <v>14</v>
      </c>
      <c r="D195" s="8">
        <v>0.02</v>
      </c>
      <c r="E195" s="8">
        <v>341</v>
      </c>
      <c r="F195" s="8">
        <v>6.82</v>
      </c>
      <c r="G195" s="9" t="s">
        <v>154</v>
      </c>
      <c r="H195" s="1" t="s">
        <v>12</v>
      </c>
    </row>
    <row r="196" spans="1:8" ht="42.75" x14ac:dyDescent="0.25">
      <c r="A196" s="10">
        <v>5</v>
      </c>
      <c r="B196" s="10" t="s">
        <v>155</v>
      </c>
      <c r="C196" s="7" t="s">
        <v>14</v>
      </c>
      <c r="D196" s="8">
        <v>0.05</v>
      </c>
      <c r="E196" s="8">
        <v>341</v>
      </c>
      <c r="F196" s="8">
        <v>17.05</v>
      </c>
      <c r="G196" s="9" t="s">
        <v>156</v>
      </c>
      <c r="H196" s="1" t="s">
        <v>12</v>
      </c>
    </row>
    <row r="197" spans="1:8" ht="28.5" x14ac:dyDescent="0.25">
      <c r="A197" s="10">
        <v>6</v>
      </c>
      <c r="B197" s="10" t="s">
        <v>20</v>
      </c>
      <c r="C197" s="7" t="s">
        <v>21</v>
      </c>
      <c r="D197" s="8">
        <v>1</v>
      </c>
      <c r="E197" s="8">
        <v>6.18</v>
      </c>
      <c r="F197" s="8">
        <v>6.18</v>
      </c>
      <c r="G197" s="9" t="s">
        <v>22</v>
      </c>
      <c r="H197" s="1" t="s">
        <v>12</v>
      </c>
    </row>
    <row r="198" spans="1:8" ht="16.5" x14ac:dyDescent="0.25">
      <c r="A198" s="10"/>
      <c r="B198" s="10" t="s">
        <v>23</v>
      </c>
      <c r="C198" s="7"/>
      <c r="D198" s="8"/>
      <c r="E198" s="8"/>
      <c r="F198" s="8">
        <v>212.06</v>
      </c>
      <c r="G198" s="9"/>
      <c r="H198" s="1" t="s">
        <v>12</v>
      </c>
    </row>
    <row r="199" spans="1:8" ht="16.5" x14ac:dyDescent="0.25">
      <c r="A199" s="10"/>
      <c r="B199" s="10"/>
      <c r="C199" s="7"/>
      <c r="D199" s="8"/>
      <c r="E199" s="8"/>
      <c r="F199" s="8"/>
      <c r="G199" s="9"/>
    </row>
    <row r="200" spans="1:8" ht="16.5" x14ac:dyDescent="0.25">
      <c r="A200" s="43" t="s">
        <v>176</v>
      </c>
      <c r="B200" s="43"/>
      <c r="C200" s="44"/>
      <c r="D200" s="45"/>
      <c r="E200" s="45"/>
      <c r="F200" s="45"/>
      <c r="G200" s="46"/>
    </row>
    <row r="201" spans="1:8" ht="16.5" x14ac:dyDescent="0.25">
      <c r="A201" s="43" t="s">
        <v>177</v>
      </c>
      <c r="B201" s="43"/>
      <c r="C201" s="44"/>
      <c r="D201" s="45"/>
      <c r="E201" s="45"/>
      <c r="F201" s="45"/>
      <c r="G201" s="46"/>
    </row>
    <row r="202" spans="1:8" ht="19.5" customHeight="1" x14ac:dyDescent="0.25"/>
    <row r="203" spans="1:8" ht="42.75" x14ac:dyDescent="0.25">
      <c r="A203" s="10" t="s">
        <v>178</v>
      </c>
      <c r="B203" s="10" t="s">
        <v>179</v>
      </c>
      <c r="C203" s="7" t="s">
        <v>145</v>
      </c>
      <c r="D203" s="8"/>
      <c r="E203" s="8">
        <v>178.83</v>
      </c>
      <c r="F203" s="8"/>
      <c r="G203" s="9" t="s">
        <v>180</v>
      </c>
      <c r="H203" s="1" t="s">
        <v>12</v>
      </c>
    </row>
    <row r="204" spans="1:8" ht="42.75" x14ac:dyDescent="0.25">
      <c r="A204" s="10">
        <v>1</v>
      </c>
      <c r="B204" s="10" t="s">
        <v>181</v>
      </c>
      <c r="C204" s="7" t="s">
        <v>145</v>
      </c>
      <c r="D204" s="8">
        <v>1</v>
      </c>
      <c r="E204" s="8">
        <v>117.74</v>
      </c>
      <c r="F204" s="8">
        <v>117.74</v>
      </c>
      <c r="G204" s="9" t="s">
        <v>182</v>
      </c>
      <c r="H204" s="1" t="s">
        <v>12</v>
      </c>
    </row>
    <row r="205" spans="1:8" ht="42.75" x14ac:dyDescent="0.25">
      <c r="A205" s="10">
        <v>2</v>
      </c>
      <c r="B205" s="10" t="s">
        <v>149</v>
      </c>
      <c r="C205" s="7" t="s">
        <v>10</v>
      </c>
      <c r="D205" s="8">
        <v>0.02</v>
      </c>
      <c r="E205" s="8">
        <v>1544.74</v>
      </c>
      <c r="F205" s="8">
        <v>30.89</v>
      </c>
      <c r="G205" s="9" t="s">
        <v>150</v>
      </c>
      <c r="H205" s="1" t="s">
        <v>12</v>
      </c>
    </row>
    <row r="206" spans="1:8" ht="42.75" x14ac:dyDescent="0.25">
      <c r="A206" s="10">
        <v>3</v>
      </c>
      <c r="B206" s="10" t="s">
        <v>151</v>
      </c>
      <c r="C206" s="7" t="s">
        <v>62</v>
      </c>
      <c r="D206" s="8">
        <v>0.08</v>
      </c>
      <c r="E206" s="8">
        <v>14</v>
      </c>
      <c r="F206" s="8">
        <v>1.1200000000000001</v>
      </c>
      <c r="G206" s="9" t="s">
        <v>152</v>
      </c>
      <c r="H206" s="1" t="s">
        <v>12</v>
      </c>
    </row>
    <row r="207" spans="1:8" ht="42.75" x14ac:dyDescent="0.25">
      <c r="A207" s="10">
        <v>4</v>
      </c>
      <c r="B207" s="10" t="s">
        <v>153</v>
      </c>
      <c r="C207" s="7" t="s">
        <v>14</v>
      </c>
      <c r="D207" s="8">
        <v>0.02</v>
      </c>
      <c r="E207" s="8">
        <v>341</v>
      </c>
      <c r="F207" s="8">
        <v>6.82</v>
      </c>
      <c r="G207" s="9" t="s">
        <v>154</v>
      </c>
      <c r="H207" s="1" t="s">
        <v>12</v>
      </c>
    </row>
    <row r="208" spans="1:8" ht="42.75" x14ac:dyDescent="0.25">
      <c r="A208" s="10">
        <v>5</v>
      </c>
      <c r="B208" s="10" t="s">
        <v>155</v>
      </c>
      <c r="C208" s="7" t="s">
        <v>14</v>
      </c>
      <c r="D208" s="8">
        <v>0.05</v>
      </c>
      <c r="E208" s="8">
        <v>341</v>
      </c>
      <c r="F208" s="8">
        <v>17.05</v>
      </c>
      <c r="G208" s="9" t="s">
        <v>156</v>
      </c>
      <c r="H208" s="1" t="s">
        <v>12</v>
      </c>
    </row>
    <row r="209" spans="1:8" ht="28.5" x14ac:dyDescent="0.25">
      <c r="A209" s="10">
        <v>6</v>
      </c>
      <c r="B209" s="10" t="s">
        <v>20</v>
      </c>
      <c r="C209" s="7" t="s">
        <v>21</v>
      </c>
      <c r="D209" s="8">
        <v>1</v>
      </c>
      <c r="E209" s="8">
        <v>5.21</v>
      </c>
      <c r="F209" s="8">
        <v>5.21</v>
      </c>
      <c r="G209" s="9" t="s">
        <v>22</v>
      </c>
      <c r="H209" s="1" t="s">
        <v>12</v>
      </c>
    </row>
    <row r="210" spans="1:8" ht="16.5" x14ac:dyDescent="0.25">
      <c r="A210" s="10"/>
      <c r="B210" s="10" t="s">
        <v>23</v>
      </c>
      <c r="C210" s="7"/>
      <c r="D210" s="8"/>
      <c r="E210" s="8"/>
      <c r="F210" s="8">
        <v>178.83</v>
      </c>
      <c r="G210" s="9"/>
      <c r="H210" s="1" t="s">
        <v>12</v>
      </c>
    </row>
    <row r="211" spans="1:8" ht="16.5" x14ac:dyDescent="0.25">
      <c r="A211" s="10"/>
      <c r="B211" s="10"/>
      <c r="C211" s="7"/>
      <c r="D211" s="8"/>
      <c r="E211" s="8"/>
      <c r="F211" s="8"/>
      <c r="G211" s="9"/>
    </row>
    <row r="212" spans="1:8" ht="16.5" x14ac:dyDescent="0.25">
      <c r="A212" s="43" t="s">
        <v>183</v>
      </c>
      <c r="B212" s="43"/>
      <c r="C212" s="44"/>
      <c r="D212" s="45"/>
      <c r="E212" s="45"/>
      <c r="F212" s="45"/>
      <c r="G212" s="46"/>
    </row>
    <row r="213" spans="1:8" ht="16.5" x14ac:dyDescent="0.25">
      <c r="A213" s="43" t="s">
        <v>184</v>
      </c>
      <c r="B213" s="43"/>
      <c r="C213" s="44"/>
      <c r="D213" s="45"/>
      <c r="E213" s="45"/>
      <c r="F213" s="45"/>
      <c r="G213" s="46"/>
    </row>
    <row r="214" spans="1:8" ht="19.5" customHeight="1" x14ac:dyDescent="0.25"/>
    <row r="215" spans="1:8" ht="42.75" x14ac:dyDescent="0.25">
      <c r="A215" s="10" t="s">
        <v>185</v>
      </c>
      <c r="B215" s="10" t="s">
        <v>186</v>
      </c>
      <c r="C215" s="7" t="s">
        <v>145</v>
      </c>
      <c r="D215" s="8"/>
      <c r="E215" s="8">
        <v>143.93</v>
      </c>
      <c r="F215" s="8"/>
      <c r="G215" s="9" t="s">
        <v>187</v>
      </c>
      <c r="H215" s="1" t="s">
        <v>12</v>
      </c>
    </row>
    <row r="216" spans="1:8" ht="42.75" x14ac:dyDescent="0.25">
      <c r="A216" s="10">
        <v>1</v>
      </c>
      <c r="B216" s="10" t="s">
        <v>188</v>
      </c>
      <c r="C216" s="7" t="s">
        <v>145</v>
      </c>
      <c r="D216" s="8">
        <v>1</v>
      </c>
      <c r="E216" s="8">
        <v>100</v>
      </c>
      <c r="F216" s="8">
        <v>100</v>
      </c>
      <c r="G216" s="9" t="s">
        <v>189</v>
      </c>
      <c r="H216" s="1" t="s">
        <v>12</v>
      </c>
    </row>
    <row r="217" spans="1:8" ht="42.75" x14ac:dyDescent="0.25">
      <c r="A217" s="10">
        <v>2</v>
      </c>
      <c r="B217" s="10" t="s">
        <v>149</v>
      </c>
      <c r="C217" s="7" t="s">
        <v>10</v>
      </c>
      <c r="D217" s="8">
        <v>0.01</v>
      </c>
      <c r="E217" s="8">
        <v>1544.74</v>
      </c>
      <c r="F217" s="8">
        <v>15.45</v>
      </c>
      <c r="G217" s="9" t="s">
        <v>150</v>
      </c>
      <c r="H217" s="1" t="s">
        <v>12</v>
      </c>
    </row>
    <row r="218" spans="1:8" ht="42.75" x14ac:dyDescent="0.25">
      <c r="A218" s="10">
        <v>3</v>
      </c>
      <c r="B218" s="10" t="s">
        <v>151</v>
      </c>
      <c r="C218" s="7" t="s">
        <v>62</v>
      </c>
      <c r="D218" s="8">
        <v>0.03</v>
      </c>
      <c r="E218" s="8">
        <v>14</v>
      </c>
      <c r="F218" s="8">
        <v>0.42</v>
      </c>
      <c r="G218" s="9" t="s">
        <v>152</v>
      </c>
      <c r="H218" s="1" t="s">
        <v>12</v>
      </c>
    </row>
    <row r="219" spans="1:8" ht="42.75" x14ac:dyDescent="0.25">
      <c r="A219" s="10">
        <v>4</v>
      </c>
      <c r="B219" s="10" t="s">
        <v>153</v>
      </c>
      <c r="C219" s="7" t="s">
        <v>14</v>
      </c>
      <c r="D219" s="8">
        <v>0.02</v>
      </c>
      <c r="E219" s="8">
        <v>341</v>
      </c>
      <c r="F219" s="8">
        <v>6.82</v>
      </c>
      <c r="G219" s="9" t="s">
        <v>154</v>
      </c>
      <c r="H219" s="1" t="s">
        <v>12</v>
      </c>
    </row>
    <row r="220" spans="1:8" ht="42.75" x14ac:dyDescent="0.25">
      <c r="A220" s="10">
        <v>5</v>
      </c>
      <c r="B220" s="10" t="s">
        <v>190</v>
      </c>
      <c r="C220" s="7" t="s">
        <v>14</v>
      </c>
      <c r="D220" s="8">
        <v>0.05</v>
      </c>
      <c r="E220" s="8">
        <v>341</v>
      </c>
      <c r="F220" s="8">
        <v>17.05</v>
      </c>
      <c r="G220" s="9" t="s">
        <v>191</v>
      </c>
      <c r="H220" s="1" t="s">
        <v>12</v>
      </c>
    </row>
    <row r="221" spans="1:8" ht="28.5" x14ac:dyDescent="0.25">
      <c r="A221" s="10">
        <v>6</v>
      </c>
      <c r="B221" s="10" t="s">
        <v>20</v>
      </c>
      <c r="C221" s="7" t="s">
        <v>21</v>
      </c>
      <c r="D221" s="8">
        <v>1</v>
      </c>
      <c r="E221" s="8">
        <v>4.1900000000000004</v>
      </c>
      <c r="F221" s="8">
        <v>4.1900000000000004</v>
      </c>
      <c r="G221" s="9" t="s">
        <v>22</v>
      </c>
      <c r="H221" s="1" t="s">
        <v>12</v>
      </c>
    </row>
    <row r="222" spans="1:8" ht="16.5" x14ac:dyDescent="0.25">
      <c r="A222" s="10"/>
      <c r="B222" s="10" t="s">
        <v>23</v>
      </c>
      <c r="C222" s="7"/>
      <c r="D222" s="8"/>
      <c r="E222" s="8"/>
      <c r="F222" s="8">
        <v>143.93</v>
      </c>
      <c r="G222" s="9"/>
      <c r="H222" s="1" t="s">
        <v>12</v>
      </c>
    </row>
    <row r="223" spans="1:8" ht="16.5" x14ac:dyDescent="0.25">
      <c r="A223" s="10"/>
      <c r="B223" s="10"/>
      <c r="C223" s="7"/>
      <c r="D223" s="8"/>
      <c r="E223" s="8"/>
      <c r="F223" s="8"/>
      <c r="G223" s="9"/>
    </row>
    <row r="224" spans="1:8" ht="16.5" x14ac:dyDescent="0.25">
      <c r="A224" s="43" t="s">
        <v>192</v>
      </c>
      <c r="B224" s="43"/>
      <c r="C224" s="44"/>
      <c r="D224" s="45"/>
      <c r="E224" s="45"/>
      <c r="F224" s="45"/>
      <c r="G224" s="46"/>
    </row>
    <row r="225" spans="1:8" ht="16.5" x14ac:dyDescent="0.25">
      <c r="A225" s="43" t="s">
        <v>193</v>
      </c>
      <c r="B225" s="43"/>
      <c r="C225" s="44"/>
      <c r="D225" s="45"/>
      <c r="E225" s="45"/>
      <c r="F225" s="45"/>
      <c r="G225" s="46"/>
    </row>
    <row r="226" spans="1:8" ht="19.5" customHeight="1" x14ac:dyDescent="0.25"/>
    <row r="227" spans="1:8" ht="42.75" x14ac:dyDescent="0.25">
      <c r="A227" s="10" t="s">
        <v>194</v>
      </c>
      <c r="B227" s="10" t="s">
        <v>195</v>
      </c>
      <c r="C227" s="7" t="s">
        <v>145</v>
      </c>
      <c r="D227" s="8"/>
      <c r="E227" s="8">
        <v>143.47999999999999</v>
      </c>
      <c r="F227" s="8"/>
      <c r="G227" s="9" t="s">
        <v>196</v>
      </c>
      <c r="H227" s="1" t="s">
        <v>12</v>
      </c>
    </row>
    <row r="228" spans="1:8" ht="42.75" x14ac:dyDescent="0.25">
      <c r="A228" s="10">
        <v>1</v>
      </c>
      <c r="B228" s="10" t="s">
        <v>197</v>
      </c>
      <c r="C228" s="7" t="s">
        <v>145</v>
      </c>
      <c r="D228" s="8">
        <v>1</v>
      </c>
      <c r="E228" s="8">
        <v>99.56</v>
      </c>
      <c r="F228" s="8">
        <v>99.56</v>
      </c>
      <c r="G228" s="9" t="s">
        <v>198</v>
      </c>
      <c r="H228" s="1" t="s">
        <v>12</v>
      </c>
    </row>
    <row r="229" spans="1:8" ht="42.75" x14ac:dyDescent="0.25">
      <c r="A229" s="10">
        <v>2</v>
      </c>
      <c r="B229" s="10" t="s">
        <v>149</v>
      </c>
      <c r="C229" s="7" t="s">
        <v>10</v>
      </c>
      <c r="D229" s="8">
        <v>0.01</v>
      </c>
      <c r="E229" s="8">
        <v>1544.74</v>
      </c>
      <c r="F229" s="8">
        <v>15.45</v>
      </c>
      <c r="G229" s="9" t="s">
        <v>150</v>
      </c>
      <c r="H229" s="1" t="s">
        <v>12</v>
      </c>
    </row>
    <row r="230" spans="1:8" ht="42.75" x14ac:dyDescent="0.25">
      <c r="A230" s="10">
        <v>3</v>
      </c>
      <c r="B230" s="10" t="s">
        <v>151</v>
      </c>
      <c r="C230" s="7" t="s">
        <v>62</v>
      </c>
      <c r="D230" s="8">
        <v>0.03</v>
      </c>
      <c r="E230" s="8">
        <v>14</v>
      </c>
      <c r="F230" s="8">
        <v>0.42</v>
      </c>
      <c r="G230" s="9" t="s">
        <v>152</v>
      </c>
      <c r="H230" s="1" t="s">
        <v>12</v>
      </c>
    </row>
    <row r="231" spans="1:8" ht="42.75" x14ac:dyDescent="0.25">
      <c r="A231" s="10">
        <v>4</v>
      </c>
      <c r="B231" s="10" t="s">
        <v>153</v>
      </c>
      <c r="C231" s="7" t="s">
        <v>14</v>
      </c>
      <c r="D231" s="8">
        <v>0.02</v>
      </c>
      <c r="E231" s="8">
        <v>341</v>
      </c>
      <c r="F231" s="8">
        <v>6.82</v>
      </c>
      <c r="G231" s="9" t="s">
        <v>154</v>
      </c>
      <c r="H231" s="1" t="s">
        <v>12</v>
      </c>
    </row>
    <row r="232" spans="1:8" ht="42.75" x14ac:dyDescent="0.25">
      <c r="A232" s="10">
        <v>5</v>
      </c>
      <c r="B232" s="10" t="s">
        <v>155</v>
      </c>
      <c r="C232" s="7" t="s">
        <v>14</v>
      </c>
      <c r="D232" s="8">
        <v>0.05</v>
      </c>
      <c r="E232" s="8">
        <v>341</v>
      </c>
      <c r="F232" s="8">
        <v>17.05</v>
      </c>
      <c r="G232" s="9" t="s">
        <v>156</v>
      </c>
      <c r="H232" s="1" t="s">
        <v>12</v>
      </c>
    </row>
    <row r="233" spans="1:8" ht="28.5" x14ac:dyDescent="0.25">
      <c r="A233" s="10">
        <v>6</v>
      </c>
      <c r="B233" s="10" t="s">
        <v>20</v>
      </c>
      <c r="C233" s="7" t="s">
        <v>21</v>
      </c>
      <c r="D233" s="8">
        <v>1</v>
      </c>
      <c r="E233" s="8">
        <v>4.18</v>
      </c>
      <c r="F233" s="8">
        <v>4.18</v>
      </c>
      <c r="G233" s="9" t="s">
        <v>22</v>
      </c>
      <c r="H233" s="1" t="s">
        <v>12</v>
      </c>
    </row>
    <row r="234" spans="1:8" ht="16.5" x14ac:dyDescent="0.25">
      <c r="A234" s="10"/>
      <c r="B234" s="10" t="s">
        <v>23</v>
      </c>
      <c r="C234" s="7"/>
      <c r="D234" s="8"/>
      <c r="E234" s="8"/>
      <c r="F234" s="8">
        <v>143.47999999999999</v>
      </c>
      <c r="G234" s="9"/>
      <c r="H234" s="1" t="s">
        <v>12</v>
      </c>
    </row>
    <row r="235" spans="1:8" ht="16.5" x14ac:dyDescent="0.25">
      <c r="A235" s="10"/>
      <c r="B235" s="10"/>
      <c r="C235" s="7"/>
      <c r="D235" s="8"/>
      <c r="E235" s="8"/>
      <c r="F235" s="8"/>
      <c r="G235" s="9"/>
    </row>
    <row r="236" spans="1:8" ht="16.5" x14ac:dyDescent="0.25">
      <c r="A236" s="43" t="s">
        <v>199</v>
      </c>
      <c r="B236" s="43"/>
      <c r="C236" s="44"/>
      <c r="D236" s="45"/>
      <c r="E236" s="45"/>
      <c r="F236" s="45"/>
      <c r="G236" s="46"/>
    </row>
    <row r="237" spans="1:8" ht="16.5" x14ac:dyDescent="0.25">
      <c r="A237" s="43" t="s">
        <v>200</v>
      </c>
      <c r="B237" s="43"/>
      <c r="C237" s="44"/>
      <c r="D237" s="45"/>
      <c r="E237" s="45"/>
      <c r="F237" s="45"/>
      <c r="G237" s="46"/>
    </row>
    <row r="238" spans="1:8" ht="19.5" customHeight="1" x14ac:dyDescent="0.25"/>
    <row r="239" spans="1:8" ht="28.5" x14ac:dyDescent="0.25">
      <c r="A239" s="10" t="s">
        <v>201</v>
      </c>
      <c r="B239" s="10" t="s">
        <v>202</v>
      </c>
      <c r="C239" s="7" t="s">
        <v>145</v>
      </c>
      <c r="D239" s="8"/>
      <c r="E239" s="8">
        <v>195.43</v>
      </c>
      <c r="F239" s="8"/>
      <c r="G239" s="9" t="s">
        <v>203</v>
      </c>
      <c r="H239" s="1" t="s">
        <v>12</v>
      </c>
    </row>
    <row r="240" spans="1:8" ht="28.5" x14ac:dyDescent="0.25">
      <c r="A240" s="10">
        <v>1</v>
      </c>
      <c r="B240" s="10" t="s">
        <v>204</v>
      </c>
      <c r="C240" s="7" t="s">
        <v>145</v>
      </c>
      <c r="D240" s="8">
        <v>1</v>
      </c>
      <c r="E240" s="8">
        <v>150</v>
      </c>
      <c r="F240" s="8">
        <v>150</v>
      </c>
      <c r="G240" s="9" t="s">
        <v>205</v>
      </c>
      <c r="H240" s="1" t="s">
        <v>12</v>
      </c>
    </row>
    <row r="241" spans="1:8" ht="42.75" x14ac:dyDescent="0.25">
      <c r="A241" s="10">
        <v>2</v>
      </c>
      <c r="B241" s="10" t="s">
        <v>149</v>
      </c>
      <c r="C241" s="7" t="s">
        <v>10</v>
      </c>
      <c r="D241" s="8">
        <v>0.01</v>
      </c>
      <c r="E241" s="8">
        <v>1544.74</v>
      </c>
      <c r="F241" s="8">
        <v>15.45</v>
      </c>
      <c r="G241" s="9" t="s">
        <v>150</v>
      </c>
      <c r="H241" s="1" t="s">
        <v>12</v>
      </c>
    </row>
    <row r="242" spans="1:8" ht="42.75" x14ac:dyDescent="0.25">
      <c r="A242" s="10">
        <v>3</v>
      </c>
      <c r="B242" s="10" t="s">
        <v>151</v>
      </c>
      <c r="C242" s="7" t="s">
        <v>62</v>
      </c>
      <c r="D242" s="8">
        <v>0.03</v>
      </c>
      <c r="E242" s="8">
        <v>14</v>
      </c>
      <c r="F242" s="8">
        <v>0.42</v>
      </c>
      <c r="G242" s="9" t="s">
        <v>152</v>
      </c>
      <c r="H242" s="1" t="s">
        <v>12</v>
      </c>
    </row>
    <row r="243" spans="1:8" ht="42.75" x14ac:dyDescent="0.25">
      <c r="A243" s="10">
        <v>4</v>
      </c>
      <c r="B243" s="10" t="s">
        <v>153</v>
      </c>
      <c r="C243" s="7" t="s">
        <v>14</v>
      </c>
      <c r="D243" s="8">
        <v>0.02</v>
      </c>
      <c r="E243" s="8">
        <v>341</v>
      </c>
      <c r="F243" s="8">
        <v>6.82</v>
      </c>
      <c r="G243" s="9" t="s">
        <v>154</v>
      </c>
      <c r="H243" s="1" t="s">
        <v>12</v>
      </c>
    </row>
    <row r="244" spans="1:8" ht="42.75" x14ac:dyDescent="0.25">
      <c r="A244" s="10">
        <v>5</v>
      </c>
      <c r="B244" s="10" t="s">
        <v>190</v>
      </c>
      <c r="C244" s="7" t="s">
        <v>14</v>
      </c>
      <c r="D244" s="8">
        <v>0.05</v>
      </c>
      <c r="E244" s="8">
        <v>341</v>
      </c>
      <c r="F244" s="8">
        <v>17.05</v>
      </c>
      <c r="G244" s="9" t="s">
        <v>191</v>
      </c>
      <c r="H244" s="1" t="s">
        <v>12</v>
      </c>
    </row>
    <row r="245" spans="1:8" ht="28.5" x14ac:dyDescent="0.25">
      <c r="A245" s="10">
        <v>6</v>
      </c>
      <c r="B245" s="10" t="s">
        <v>20</v>
      </c>
      <c r="C245" s="7" t="s">
        <v>21</v>
      </c>
      <c r="D245" s="8">
        <v>1</v>
      </c>
      <c r="E245" s="8">
        <v>5.69</v>
      </c>
      <c r="F245" s="8">
        <v>5.69</v>
      </c>
      <c r="G245" s="9" t="s">
        <v>22</v>
      </c>
      <c r="H245" s="1" t="s">
        <v>12</v>
      </c>
    </row>
    <row r="246" spans="1:8" ht="16.5" x14ac:dyDescent="0.25">
      <c r="A246" s="10"/>
      <c r="B246" s="10" t="s">
        <v>23</v>
      </c>
      <c r="C246" s="7"/>
      <c r="D246" s="8"/>
      <c r="E246" s="8"/>
      <c r="F246" s="8">
        <v>195.43</v>
      </c>
      <c r="G246" s="9"/>
      <c r="H246" s="1" t="s">
        <v>12</v>
      </c>
    </row>
    <row r="247" spans="1:8" ht="16.5" x14ac:dyDescent="0.25">
      <c r="A247" s="10"/>
      <c r="B247" s="10"/>
      <c r="C247" s="7"/>
      <c r="D247" s="8"/>
      <c r="E247" s="8"/>
      <c r="F247" s="8"/>
      <c r="G247" s="9"/>
    </row>
    <row r="248" spans="1:8" ht="16.5" x14ac:dyDescent="0.25">
      <c r="A248" s="43" t="s">
        <v>206</v>
      </c>
      <c r="B248" s="43"/>
      <c r="C248" s="44"/>
      <c r="D248" s="45"/>
      <c r="E248" s="45"/>
      <c r="F248" s="45"/>
      <c r="G248" s="46"/>
    </row>
    <row r="249" spans="1:8" ht="16.5" x14ac:dyDescent="0.25">
      <c r="A249" s="43" t="s">
        <v>207</v>
      </c>
      <c r="B249" s="43"/>
      <c r="C249" s="44"/>
      <c r="D249" s="45"/>
      <c r="E249" s="45"/>
      <c r="F249" s="45"/>
      <c r="G249" s="46"/>
    </row>
    <row r="250" spans="1:8" ht="19.5" customHeight="1" x14ac:dyDescent="0.25"/>
    <row r="251" spans="1:8" ht="28.5" x14ac:dyDescent="0.25">
      <c r="A251" s="10" t="s">
        <v>208</v>
      </c>
      <c r="B251" s="10" t="s">
        <v>209</v>
      </c>
      <c r="C251" s="7" t="s">
        <v>145</v>
      </c>
      <c r="D251" s="8"/>
      <c r="E251" s="8">
        <v>246.93</v>
      </c>
      <c r="F251" s="8"/>
      <c r="G251" s="9" t="s">
        <v>210</v>
      </c>
      <c r="H251" s="1" t="s">
        <v>12</v>
      </c>
    </row>
    <row r="252" spans="1:8" ht="42.75" x14ac:dyDescent="0.25">
      <c r="A252" s="10">
        <v>1</v>
      </c>
      <c r="B252" s="10" t="s">
        <v>211</v>
      </c>
      <c r="C252" s="7" t="s">
        <v>145</v>
      </c>
      <c r="D252" s="8">
        <v>1</v>
      </c>
      <c r="E252" s="8">
        <v>200</v>
      </c>
      <c r="F252" s="8">
        <v>200</v>
      </c>
      <c r="G252" s="9" t="s">
        <v>212</v>
      </c>
      <c r="H252" s="1" t="s">
        <v>12</v>
      </c>
    </row>
    <row r="253" spans="1:8" ht="42.75" x14ac:dyDescent="0.25">
      <c r="A253" s="10">
        <v>2</v>
      </c>
      <c r="B253" s="10" t="s">
        <v>149</v>
      </c>
      <c r="C253" s="7" t="s">
        <v>10</v>
      </c>
      <c r="D253" s="8">
        <v>0.01</v>
      </c>
      <c r="E253" s="8">
        <v>1544.74</v>
      </c>
      <c r="F253" s="8">
        <v>15.45</v>
      </c>
      <c r="G253" s="9" t="s">
        <v>150</v>
      </c>
      <c r="H253" s="1" t="s">
        <v>12</v>
      </c>
    </row>
    <row r="254" spans="1:8" ht="42.75" x14ac:dyDescent="0.25">
      <c r="A254" s="10">
        <v>3</v>
      </c>
      <c r="B254" s="10" t="s">
        <v>151</v>
      </c>
      <c r="C254" s="7" t="s">
        <v>62</v>
      </c>
      <c r="D254" s="8">
        <v>0.03</v>
      </c>
      <c r="E254" s="8">
        <v>14</v>
      </c>
      <c r="F254" s="8">
        <v>0.42</v>
      </c>
      <c r="G254" s="9" t="s">
        <v>152</v>
      </c>
      <c r="H254" s="1" t="s">
        <v>12</v>
      </c>
    </row>
    <row r="255" spans="1:8" ht="42.75" x14ac:dyDescent="0.25">
      <c r="A255" s="10">
        <v>4</v>
      </c>
      <c r="B255" s="10" t="s">
        <v>153</v>
      </c>
      <c r="C255" s="7" t="s">
        <v>14</v>
      </c>
      <c r="D255" s="8">
        <v>0.02</v>
      </c>
      <c r="E255" s="8">
        <v>341</v>
      </c>
      <c r="F255" s="8">
        <v>6.82</v>
      </c>
      <c r="G255" s="9" t="s">
        <v>154</v>
      </c>
      <c r="H255" s="1" t="s">
        <v>12</v>
      </c>
    </row>
    <row r="256" spans="1:8" ht="42.75" x14ac:dyDescent="0.25">
      <c r="A256" s="10">
        <v>5</v>
      </c>
      <c r="B256" s="10" t="s">
        <v>190</v>
      </c>
      <c r="C256" s="7" t="s">
        <v>14</v>
      </c>
      <c r="D256" s="8">
        <v>0.05</v>
      </c>
      <c r="E256" s="8">
        <v>341</v>
      </c>
      <c r="F256" s="8">
        <v>17.05</v>
      </c>
      <c r="G256" s="9" t="s">
        <v>191</v>
      </c>
      <c r="H256" s="1" t="s">
        <v>12</v>
      </c>
    </row>
    <row r="257" spans="1:8" ht="28.5" x14ac:dyDescent="0.25">
      <c r="A257" s="10">
        <v>6</v>
      </c>
      <c r="B257" s="10" t="s">
        <v>20</v>
      </c>
      <c r="C257" s="7" t="s">
        <v>21</v>
      </c>
      <c r="D257" s="8">
        <v>1</v>
      </c>
      <c r="E257" s="8">
        <v>7.19</v>
      </c>
      <c r="F257" s="8">
        <v>7.19</v>
      </c>
      <c r="G257" s="9" t="s">
        <v>22</v>
      </c>
      <c r="H257" s="1" t="s">
        <v>12</v>
      </c>
    </row>
    <row r="258" spans="1:8" ht="16.5" x14ac:dyDescent="0.25">
      <c r="A258" s="10"/>
      <c r="B258" s="10" t="s">
        <v>23</v>
      </c>
      <c r="C258" s="7"/>
      <c r="D258" s="8"/>
      <c r="E258" s="8"/>
      <c r="F258" s="8">
        <v>246.93</v>
      </c>
      <c r="G258" s="9"/>
      <c r="H258" s="1" t="s">
        <v>12</v>
      </c>
    </row>
    <row r="259" spans="1:8" ht="16.5" x14ac:dyDescent="0.25">
      <c r="A259" s="10"/>
      <c r="B259" s="10"/>
      <c r="C259" s="7"/>
      <c r="D259" s="8"/>
      <c r="E259" s="8"/>
      <c r="F259" s="8"/>
      <c r="G259" s="9"/>
    </row>
    <row r="260" spans="1:8" ht="16.5" x14ac:dyDescent="0.25">
      <c r="A260" s="43" t="s">
        <v>213</v>
      </c>
      <c r="B260" s="43"/>
      <c r="C260" s="44"/>
      <c r="D260" s="45"/>
      <c r="E260" s="45"/>
      <c r="F260" s="45"/>
      <c r="G260" s="46"/>
    </row>
    <row r="261" spans="1:8" ht="16.5" x14ac:dyDescent="0.25">
      <c r="A261" s="43" t="s">
        <v>214</v>
      </c>
      <c r="B261" s="43"/>
      <c r="C261" s="44"/>
      <c r="D261" s="45"/>
      <c r="E261" s="45"/>
      <c r="F261" s="45"/>
      <c r="G261" s="46"/>
    </row>
    <row r="262" spans="1:8" ht="19.5" customHeight="1" x14ac:dyDescent="0.25"/>
    <row r="263" spans="1:8" ht="28.5" x14ac:dyDescent="0.25">
      <c r="A263" s="10" t="s">
        <v>215</v>
      </c>
      <c r="B263" s="10" t="s">
        <v>216</v>
      </c>
      <c r="C263" s="7" t="s">
        <v>145</v>
      </c>
      <c r="D263" s="8"/>
      <c r="E263" s="8">
        <v>246.93</v>
      </c>
      <c r="F263" s="8"/>
      <c r="G263" s="9" t="s">
        <v>217</v>
      </c>
      <c r="H263" s="1" t="s">
        <v>12</v>
      </c>
    </row>
    <row r="264" spans="1:8" ht="42.75" x14ac:dyDescent="0.25">
      <c r="A264" s="10">
        <v>1</v>
      </c>
      <c r="B264" s="10" t="s">
        <v>218</v>
      </c>
      <c r="C264" s="7" t="s">
        <v>145</v>
      </c>
      <c r="D264" s="8">
        <v>1</v>
      </c>
      <c r="E264" s="8">
        <v>200</v>
      </c>
      <c r="F264" s="8">
        <v>200</v>
      </c>
      <c r="G264" s="9" t="s">
        <v>219</v>
      </c>
      <c r="H264" s="1" t="s">
        <v>12</v>
      </c>
    </row>
    <row r="265" spans="1:8" ht="42.75" x14ac:dyDescent="0.25">
      <c r="A265" s="10">
        <v>2</v>
      </c>
      <c r="B265" s="10" t="s">
        <v>149</v>
      </c>
      <c r="C265" s="7" t="s">
        <v>10</v>
      </c>
      <c r="D265" s="8">
        <v>0.01</v>
      </c>
      <c r="E265" s="8">
        <v>1544.74</v>
      </c>
      <c r="F265" s="8">
        <v>15.45</v>
      </c>
      <c r="G265" s="9" t="s">
        <v>150</v>
      </c>
      <c r="H265" s="1" t="s">
        <v>12</v>
      </c>
    </row>
    <row r="266" spans="1:8" ht="42.75" x14ac:dyDescent="0.25">
      <c r="A266" s="10">
        <v>3</v>
      </c>
      <c r="B266" s="10" t="s">
        <v>151</v>
      </c>
      <c r="C266" s="7" t="s">
        <v>62</v>
      </c>
      <c r="D266" s="8">
        <v>0.03</v>
      </c>
      <c r="E266" s="8">
        <v>14</v>
      </c>
      <c r="F266" s="8">
        <v>0.42</v>
      </c>
      <c r="G266" s="9" t="s">
        <v>152</v>
      </c>
      <c r="H266" s="1" t="s">
        <v>12</v>
      </c>
    </row>
    <row r="267" spans="1:8" ht="42.75" x14ac:dyDescent="0.25">
      <c r="A267" s="10">
        <v>4</v>
      </c>
      <c r="B267" s="10" t="s">
        <v>153</v>
      </c>
      <c r="C267" s="7" t="s">
        <v>14</v>
      </c>
      <c r="D267" s="8">
        <v>0.02</v>
      </c>
      <c r="E267" s="8">
        <v>341</v>
      </c>
      <c r="F267" s="8">
        <v>6.82</v>
      </c>
      <c r="G267" s="9" t="s">
        <v>154</v>
      </c>
      <c r="H267" s="1" t="s">
        <v>12</v>
      </c>
    </row>
    <row r="268" spans="1:8" ht="42.75" x14ac:dyDescent="0.25">
      <c r="A268" s="10">
        <v>5</v>
      </c>
      <c r="B268" s="10" t="s">
        <v>190</v>
      </c>
      <c r="C268" s="7" t="s">
        <v>14</v>
      </c>
      <c r="D268" s="8">
        <v>0.05</v>
      </c>
      <c r="E268" s="8">
        <v>341</v>
      </c>
      <c r="F268" s="8">
        <v>17.05</v>
      </c>
      <c r="G268" s="9" t="s">
        <v>191</v>
      </c>
      <c r="H268" s="1" t="s">
        <v>12</v>
      </c>
    </row>
    <row r="269" spans="1:8" ht="28.5" x14ac:dyDescent="0.25">
      <c r="A269" s="10">
        <v>6</v>
      </c>
      <c r="B269" s="10" t="s">
        <v>20</v>
      </c>
      <c r="C269" s="7" t="s">
        <v>21</v>
      </c>
      <c r="D269" s="8">
        <v>1</v>
      </c>
      <c r="E269" s="8">
        <v>7.19</v>
      </c>
      <c r="F269" s="8">
        <v>7.19</v>
      </c>
      <c r="G269" s="9" t="s">
        <v>22</v>
      </c>
      <c r="H269" s="1" t="s">
        <v>12</v>
      </c>
    </row>
    <row r="270" spans="1:8" ht="16.5" x14ac:dyDescent="0.25">
      <c r="A270" s="10"/>
      <c r="B270" s="10" t="s">
        <v>23</v>
      </c>
      <c r="C270" s="7"/>
      <c r="D270" s="8"/>
      <c r="E270" s="8"/>
      <c r="F270" s="8">
        <v>246.93</v>
      </c>
      <c r="G270" s="9"/>
      <c r="H270" s="1" t="s">
        <v>12</v>
      </c>
    </row>
    <row r="271" spans="1:8" ht="16.5" x14ac:dyDescent="0.25">
      <c r="A271" s="10"/>
      <c r="B271" s="10"/>
      <c r="C271" s="7"/>
      <c r="D271" s="8"/>
      <c r="E271" s="8"/>
      <c r="F271" s="8"/>
      <c r="G271" s="9"/>
    </row>
    <row r="272" spans="1:8" ht="16.5" x14ac:dyDescent="0.25">
      <c r="A272" s="43" t="s">
        <v>213</v>
      </c>
      <c r="B272" s="43"/>
      <c r="C272" s="44"/>
      <c r="D272" s="45"/>
      <c r="E272" s="45"/>
      <c r="F272" s="45"/>
      <c r="G272" s="46"/>
    </row>
    <row r="273" spans="1:8" ht="16.5" x14ac:dyDescent="0.25">
      <c r="A273" s="43" t="s">
        <v>214</v>
      </c>
      <c r="B273" s="43"/>
      <c r="C273" s="44"/>
      <c r="D273" s="45"/>
      <c r="E273" s="45"/>
      <c r="F273" s="45"/>
      <c r="G273" s="46"/>
    </row>
    <row r="274" spans="1:8" ht="19.5" customHeight="1" x14ac:dyDescent="0.25"/>
    <row r="275" spans="1:8" ht="28.5" x14ac:dyDescent="0.25">
      <c r="A275" s="10" t="s">
        <v>220</v>
      </c>
      <c r="B275" s="10" t="s">
        <v>221</v>
      </c>
      <c r="C275" s="7" t="s">
        <v>145</v>
      </c>
      <c r="D275" s="8"/>
      <c r="E275" s="8">
        <v>195.43</v>
      </c>
      <c r="F275" s="8"/>
      <c r="G275" s="9" t="s">
        <v>222</v>
      </c>
      <c r="H275" s="1" t="s">
        <v>12</v>
      </c>
    </row>
    <row r="276" spans="1:8" ht="28.5" x14ac:dyDescent="0.25">
      <c r="A276" s="10">
        <v>1</v>
      </c>
      <c r="B276" s="10" t="s">
        <v>223</v>
      </c>
      <c r="C276" s="7" t="s">
        <v>145</v>
      </c>
      <c r="D276" s="8">
        <v>1</v>
      </c>
      <c r="E276" s="8">
        <v>150</v>
      </c>
      <c r="F276" s="8">
        <v>150</v>
      </c>
      <c r="G276" s="9" t="s">
        <v>224</v>
      </c>
      <c r="H276" s="1" t="s">
        <v>12</v>
      </c>
    </row>
    <row r="277" spans="1:8" ht="42.75" x14ac:dyDescent="0.25">
      <c r="A277" s="10">
        <v>2</v>
      </c>
      <c r="B277" s="10" t="s">
        <v>149</v>
      </c>
      <c r="C277" s="7" t="s">
        <v>10</v>
      </c>
      <c r="D277" s="8">
        <v>0.01</v>
      </c>
      <c r="E277" s="8">
        <v>1544.74</v>
      </c>
      <c r="F277" s="8">
        <v>15.45</v>
      </c>
      <c r="G277" s="9" t="s">
        <v>150</v>
      </c>
      <c r="H277" s="1" t="s">
        <v>12</v>
      </c>
    </row>
    <row r="278" spans="1:8" ht="42.75" x14ac:dyDescent="0.25">
      <c r="A278" s="10">
        <v>3</v>
      </c>
      <c r="B278" s="10" t="s">
        <v>151</v>
      </c>
      <c r="C278" s="7" t="s">
        <v>62</v>
      </c>
      <c r="D278" s="8">
        <v>0.03</v>
      </c>
      <c r="E278" s="8">
        <v>14</v>
      </c>
      <c r="F278" s="8">
        <v>0.42</v>
      </c>
      <c r="G278" s="9" t="s">
        <v>152</v>
      </c>
      <c r="H278" s="1" t="s">
        <v>12</v>
      </c>
    </row>
    <row r="279" spans="1:8" ht="42.75" x14ac:dyDescent="0.25">
      <c r="A279" s="10">
        <v>4</v>
      </c>
      <c r="B279" s="10" t="s">
        <v>153</v>
      </c>
      <c r="C279" s="7" t="s">
        <v>14</v>
      </c>
      <c r="D279" s="8">
        <v>0.02</v>
      </c>
      <c r="E279" s="8">
        <v>341</v>
      </c>
      <c r="F279" s="8">
        <v>6.82</v>
      </c>
      <c r="G279" s="9" t="s">
        <v>154</v>
      </c>
      <c r="H279" s="1" t="s">
        <v>12</v>
      </c>
    </row>
    <row r="280" spans="1:8" ht="42.75" x14ac:dyDescent="0.25">
      <c r="A280" s="10">
        <v>5</v>
      </c>
      <c r="B280" s="10" t="s">
        <v>190</v>
      </c>
      <c r="C280" s="7" t="s">
        <v>14</v>
      </c>
      <c r="D280" s="8">
        <v>0.05</v>
      </c>
      <c r="E280" s="8">
        <v>341</v>
      </c>
      <c r="F280" s="8">
        <v>17.05</v>
      </c>
      <c r="G280" s="9" t="s">
        <v>191</v>
      </c>
      <c r="H280" s="1" t="s">
        <v>12</v>
      </c>
    </row>
    <row r="281" spans="1:8" ht="28.5" x14ac:dyDescent="0.25">
      <c r="A281" s="10">
        <v>6</v>
      </c>
      <c r="B281" s="10" t="s">
        <v>20</v>
      </c>
      <c r="C281" s="7" t="s">
        <v>21</v>
      </c>
      <c r="D281" s="8">
        <v>1</v>
      </c>
      <c r="E281" s="8">
        <v>5.69</v>
      </c>
      <c r="F281" s="8">
        <v>5.69</v>
      </c>
      <c r="G281" s="9" t="s">
        <v>22</v>
      </c>
      <c r="H281" s="1" t="s">
        <v>12</v>
      </c>
    </row>
    <row r="282" spans="1:8" ht="16.5" x14ac:dyDescent="0.25">
      <c r="A282" s="10"/>
      <c r="B282" s="10" t="s">
        <v>23</v>
      </c>
      <c r="C282" s="7"/>
      <c r="D282" s="8"/>
      <c r="E282" s="8"/>
      <c r="F282" s="8">
        <v>195.43</v>
      </c>
      <c r="G282" s="9"/>
      <c r="H282" s="1" t="s">
        <v>12</v>
      </c>
    </row>
    <row r="283" spans="1:8" ht="16.5" x14ac:dyDescent="0.25">
      <c r="A283" s="10"/>
      <c r="B283" s="10"/>
      <c r="C283" s="7"/>
      <c r="D283" s="8"/>
      <c r="E283" s="8"/>
      <c r="F283" s="8"/>
      <c r="G283" s="9"/>
    </row>
    <row r="284" spans="1:8" ht="16.5" x14ac:dyDescent="0.25">
      <c r="A284" s="43" t="s">
        <v>206</v>
      </c>
      <c r="B284" s="43"/>
      <c r="C284" s="44"/>
      <c r="D284" s="45"/>
      <c r="E284" s="45"/>
      <c r="F284" s="45"/>
      <c r="G284" s="46"/>
    </row>
    <row r="285" spans="1:8" ht="16.5" x14ac:dyDescent="0.25">
      <c r="A285" s="43" t="s">
        <v>207</v>
      </c>
      <c r="B285" s="43"/>
      <c r="C285" s="44"/>
      <c r="D285" s="45"/>
      <c r="E285" s="45"/>
      <c r="F285" s="45"/>
      <c r="G285" s="46"/>
    </row>
    <row r="286" spans="1:8" ht="19.5" customHeight="1" x14ac:dyDescent="0.25"/>
    <row r="287" spans="1:8" ht="42.75" x14ac:dyDescent="0.25">
      <c r="A287" s="10" t="s">
        <v>225</v>
      </c>
      <c r="B287" s="10" t="s">
        <v>226</v>
      </c>
      <c r="C287" s="7" t="s">
        <v>145</v>
      </c>
      <c r="D287" s="8"/>
      <c r="E287" s="8">
        <v>79.22</v>
      </c>
      <c r="F287" s="8"/>
      <c r="G287" s="9" t="s">
        <v>227</v>
      </c>
      <c r="H287" s="1" t="s">
        <v>12</v>
      </c>
    </row>
    <row r="288" spans="1:8" ht="42.75" x14ac:dyDescent="0.25">
      <c r="A288" s="10">
        <v>1</v>
      </c>
      <c r="B288" s="10" t="s">
        <v>228</v>
      </c>
      <c r="C288" s="7" t="s">
        <v>145</v>
      </c>
      <c r="D288" s="8">
        <v>1</v>
      </c>
      <c r="E288" s="8">
        <v>43.99</v>
      </c>
      <c r="F288" s="8">
        <v>43.99</v>
      </c>
      <c r="G288" s="9" t="s">
        <v>229</v>
      </c>
      <c r="H288" s="1" t="s">
        <v>12</v>
      </c>
    </row>
    <row r="289" spans="1:8" ht="42.75" x14ac:dyDescent="0.25">
      <c r="A289" s="10">
        <v>2</v>
      </c>
      <c r="B289" s="10" t="s">
        <v>149</v>
      </c>
      <c r="C289" s="7" t="s">
        <v>10</v>
      </c>
      <c r="D289" s="8">
        <v>0.01</v>
      </c>
      <c r="E289" s="8">
        <v>1544.74</v>
      </c>
      <c r="F289" s="8">
        <v>15.45</v>
      </c>
      <c r="G289" s="9" t="s">
        <v>150</v>
      </c>
      <c r="H289" s="1" t="s">
        <v>12</v>
      </c>
    </row>
    <row r="290" spans="1:8" ht="42.75" x14ac:dyDescent="0.25">
      <c r="A290" s="10">
        <v>3</v>
      </c>
      <c r="B290" s="10" t="s">
        <v>151</v>
      </c>
      <c r="C290" s="7" t="s">
        <v>62</v>
      </c>
      <c r="D290" s="8">
        <v>0.03</v>
      </c>
      <c r="E290" s="8">
        <v>14</v>
      </c>
      <c r="F290" s="8">
        <v>0.42</v>
      </c>
      <c r="G290" s="9" t="s">
        <v>152</v>
      </c>
      <c r="H290" s="1" t="s">
        <v>12</v>
      </c>
    </row>
    <row r="291" spans="1:8" ht="42.75" x14ac:dyDescent="0.25">
      <c r="A291" s="10">
        <v>4</v>
      </c>
      <c r="B291" s="10" t="s">
        <v>153</v>
      </c>
      <c r="C291" s="7" t="s">
        <v>14</v>
      </c>
      <c r="D291" s="8">
        <v>0.01</v>
      </c>
      <c r="E291" s="8">
        <v>341</v>
      </c>
      <c r="F291" s="8">
        <v>3.41</v>
      </c>
      <c r="G291" s="9" t="s">
        <v>154</v>
      </c>
      <c r="H291" s="1" t="s">
        <v>12</v>
      </c>
    </row>
    <row r="292" spans="1:8" ht="42.75" x14ac:dyDescent="0.25">
      <c r="A292" s="10">
        <v>5</v>
      </c>
      <c r="B292" s="10" t="s">
        <v>190</v>
      </c>
      <c r="C292" s="7" t="s">
        <v>14</v>
      </c>
      <c r="D292" s="8">
        <v>0.04</v>
      </c>
      <c r="E292" s="8">
        <v>341</v>
      </c>
      <c r="F292" s="8">
        <v>13.64</v>
      </c>
      <c r="G292" s="9" t="s">
        <v>191</v>
      </c>
      <c r="H292" s="1" t="s">
        <v>12</v>
      </c>
    </row>
    <row r="293" spans="1:8" ht="28.5" x14ac:dyDescent="0.25">
      <c r="A293" s="10">
        <v>6</v>
      </c>
      <c r="B293" s="10" t="s">
        <v>20</v>
      </c>
      <c r="C293" s="7" t="s">
        <v>21</v>
      </c>
      <c r="D293" s="8">
        <v>1</v>
      </c>
      <c r="E293" s="8">
        <v>2.31</v>
      </c>
      <c r="F293" s="8">
        <v>2.31</v>
      </c>
      <c r="G293" s="9" t="s">
        <v>22</v>
      </c>
      <c r="H293" s="1" t="s">
        <v>12</v>
      </c>
    </row>
    <row r="294" spans="1:8" ht="16.5" x14ac:dyDescent="0.25">
      <c r="A294" s="10"/>
      <c r="B294" s="10" t="s">
        <v>23</v>
      </c>
      <c r="C294" s="7"/>
      <c r="D294" s="8"/>
      <c r="E294" s="8"/>
      <c r="F294" s="8">
        <v>79.22</v>
      </c>
      <c r="G294" s="9"/>
      <c r="H294" s="1" t="s">
        <v>12</v>
      </c>
    </row>
    <row r="295" spans="1:8" ht="16.5" x14ac:dyDescent="0.25">
      <c r="A295" s="10"/>
      <c r="B295" s="10"/>
      <c r="C295" s="7"/>
      <c r="D295" s="8"/>
      <c r="E295" s="8"/>
      <c r="F295" s="8"/>
      <c r="G295" s="9"/>
    </row>
    <row r="296" spans="1:8" ht="16.5" x14ac:dyDescent="0.25">
      <c r="A296" s="43" t="s">
        <v>230</v>
      </c>
      <c r="B296" s="43"/>
      <c r="C296" s="44"/>
      <c r="D296" s="45"/>
      <c r="E296" s="45"/>
      <c r="F296" s="45"/>
      <c r="G296" s="46"/>
    </row>
    <row r="297" spans="1:8" ht="16.5" x14ac:dyDescent="0.25">
      <c r="A297" s="43" t="s">
        <v>231</v>
      </c>
      <c r="B297" s="43"/>
      <c r="C297" s="44"/>
      <c r="D297" s="45"/>
      <c r="E297" s="45"/>
      <c r="F297" s="45"/>
      <c r="G297" s="46"/>
    </row>
    <row r="298" spans="1:8" ht="19.5" customHeight="1" x14ac:dyDescent="0.25"/>
    <row r="299" spans="1:8" ht="16.5" x14ac:dyDescent="0.25">
      <c r="A299" s="10" t="s">
        <v>232</v>
      </c>
      <c r="B299" s="10" t="s">
        <v>233</v>
      </c>
      <c r="C299" s="7" t="s">
        <v>21</v>
      </c>
      <c r="D299" s="8"/>
      <c r="E299" s="8">
        <v>849879.74</v>
      </c>
      <c r="F299" s="8"/>
      <c r="G299" s="9" t="s">
        <v>234</v>
      </c>
      <c r="H299" s="1" t="s">
        <v>12</v>
      </c>
    </row>
    <row r="300" spans="1:8" ht="28.5" x14ac:dyDescent="0.25">
      <c r="A300" s="10">
        <v>1</v>
      </c>
      <c r="B300" s="10" t="s">
        <v>235</v>
      </c>
      <c r="C300" s="7" t="s">
        <v>145</v>
      </c>
      <c r="D300" s="8">
        <v>4</v>
      </c>
      <c r="E300" s="8">
        <v>44715</v>
      </c>
      <c r="F300" s="8">
        <v>178860</v>
      </c>
      <c r="G300" s="9" t="s">
        <v>236</v>
      </c>
      <c r="H300" s="1" t="s">
        <v>12</v>
      </c>
    </row>
    <row r="301" spans="1:8" ht="28.5" x14ac:dyDescent="0.25">
      <c r="A301" s="10">
        <v>2</v>
      </c>
      <c r="B301" s="10" t="s">
        <v>237</v>
      </c>
      <c r="C301" s="7" t="s">
        <v>48</v>
      </c>
      <c r="D301" s="8">
        <v>29.63</v>
      </c>
      <c r="E301" s="8">
        <v>4980</v>
      </c>
      <c r="F301" s="8">
        <v>147557.4</v>
      </c>
      <c r="G301" s="9" t="s">
        <v>238</v>
      </c>
      <c r="H301" s="1" t="s">
        <v>12</v>
      </c>
    </row>
    <row r="302" spans="1:8" ht="28.5" x14ac:dyDescent="0.25">
      <c r="A302" s="10">
        <v>3</v>
      </c>
      <c r="B302" s="10" t="s">
        <v>239</v>
      </c>
      <c r="C302" s="7" t="s">
        <v>53</v>
      </c>
      <c r="D302" s="8">
        <v>39.299999999999997</v>
      </c>
      <c r="E302" s="8">
        <v>650</v>
      </c>
      <c r="F302" s="8">
        <v>25545</v>
      </c>
      <c r="G302" s="9" t="s">
        <v>240</v>
      </c>
      <c r="H302" s="1" t="s">
        <v>12</v>
      </c>
    </row>
    <row r="303" spans="1:8" ht="28.5" x14ac:dyDescent="0.25">
      <c r="A303" s="10">
        <v>4</v>
      </c>
      <c r="B303" s="10" t="s">
        <v>241</v>
      </c>
      <c r="C303" s="7" t="s">
        <v>74</v>
      </c>
      <c r="D303" s="8">
        <v>29.46</v>
      </c>
      <c r="E303" s="8">
        <v>840</v>
      </c>
      <c r="F303" s="8">
        <v>24746.400000000001</v>
      </c>
      <c r="G303" s="9" t="s">
        <v>242</v>
      </c>
      <c r="H303" s="1" t="s">
        <v>12</v>
      </c>
    </row>
    <row r="304" spans="1:8" ht="42.75" x14ac:dyDescent="0.25">
      <c r="A304" s="10">
        <v>5</v>
      </c>
      <c r="B304" s="10" t="s">
        <v>243</v>
      </c>
      <c r="C304" s="7" t="s">
        <v>53</v>
      </c>
      <c r="D304" s="8">
        <v>80</v>
      </c>
      <c r="E304" s="8">
        <v>10</v>
      </c>
      <c r="F304" s="8">
        <v>800</v>
      </c>
      <c r="G304" s="9" t="s">
        <v>244</v>
      </c>
      <c r="H304" s="1" t="s">
        <v>12</v>
      </c>
    </row>
    <row r="305" spans="1:8" ht="28.5" x14ac:dyDescent="0.25">
      <c r="A305" s="10">
        <v>6</v>
      </c>
      <c r="B305" s="10" t="s">
        <v>245</v>
      </c>
      <c r="C305" s="7" t="s">
        <v>246</v>
      </c>
      <c r="D305" s="8">
        <v>24</v>
      </c>
      <c r="E305" s="8">
        <v>1190</v>
      </c>
      <c r="F305" s="8">
        <v>28560</v>
      </c>
      <c r="G305" s="9" t="s">
        <v>247</v>
      </c>
      <c r="H305" s="1" t="s">
        <v>12</v>
      </c>
    </row>
    <row r="306" spans="1:8" ht="28.5" x14ac:dyDescent="0.25">
      <c r="A306" s="10">
        <v>7</v>
      </c>
      <c r="B306" s="10" t="s">
        <v>248</v>
      </c>
      <c r="C306" s="7" t="s">
        <v>21</v>
      </c>
      <c r="D306" s="8">
        <v>4</v>
      </c>
      <c r="E306" s="8">
        <v>4500</v>
      </c>
      <c r="F306" s="8">
        <v>18000</v>
      </c>
      <c r="G306" s="9" t="s">
        <v>249</v>
      </c>
      <c r="H306" s="1" t="s">
        <v>12</v>
      </c>
    </row>
    <row r="307" spans="1:8" ht="28.5" x14ac:dyDescent="0.25">
      <c r="A307" s="10">
        <v>8</v>
      </c>
      <c r="B307" s="10" t="s">
        <v>250</v>
      </c>
      <c r="C307" s="7" t="s">
        <v>74</v>
      </c>
      <c r="D307" s="8">
        <v>131.30000000000001</v>
      </c>
      <c r="E307" s="8">
        <v>500</v>
      </c>
      <c r="F307" s="8">
        <v>65650</v>
      </c>
      <c r="G307" s="9" t="s">
        <v>251</v>
      </c>
      <c r="H307" s="1" t="s">
        <v>12</v>
      </c>
    </row>
    <row r="308" spans="1:8" ht="28.5" x14ac:dyDescent="0.25">
      <c r="A308" s="10">
        <v>9</v>
      </c>
      <c r="B308" s="10" t="s">
        <v>252</v>
      </c>
      <c r="C308" s="7" t="s">
        <v>53</v>
      </c>
      <c r="D308" s="8">
        <v>37.6</v>
      </c>
      <c r="E308" s="8">
        <v>821</v>
      </c>
      <c r="F308" s="8">
        <v>30869.599999999999</v>
      </c>
      <c r="G308" s="9" t="s">
        <v>253</v>
      </c>
      <c r="H308" s="1" t="s">
        <v>12</v>
      </c>
    </row>
    <row r="309" spans="1:8" ht="28.5" x14ac:dyDescent="0.25">
      <c r="A309" s="10">
        <v>10</v>
      </c>
      <c r="B309" s="10" t="s">
        <v>254</v>
      </c>
      <c r="C309" s="7" t="s">
        <v>53</v>
      </c>
      <c r="D309" s="8">
        <v>37.6</v>
      </c>
      <c r="E309" s="8">
        <v>2860</v>
      </c>
      <c r="F309" s="8">
        <v>107536</v>
      </c>
      <c r="G309" s="9" t="s">
        <v>255</v>
      </c>
      <c r="H309" s="1" t="s">
        <v>12</v>
      </c>
    </row>
    <row r="310" spans="1:8" ht="28.5" x14ac:dyDescent="0.25">
      <c r="A310" s="10">
        <v>11</v>
      </c>
      <c r="B310" s="10" t="s">
        <v>256</v>
      </c>
      <c r="C310" s="7" t="s">
        <v>48</v>
      </c>
      <c r="D310" s="8">
        <v>13.13</v>
      </c>
      <c r="E310" s="8">
        <v>800</v>
      </c>
      <c r="F310" s="8">
        <v>10504</v>
      </c>
      <c r="G310" s="9" t="s">
        <v>257</v>
      </c>
      <c r="H310" s="1" t="s">
        <v>12</v>
      </c>
    </row>
    <row r="311" spans="1:8" ht="28.5" x14ac:dyDescent="0.25">
      <c r="A311" s="10">
        <v>12</v>
      </c>
      <c r="B311" s="10" t="s">
        <v>258</v>
      </c>
      <c r="C311" s="7" t="s">
        <v>74</v>
      </c>
      <c r="D311" s="8">
        <v>37.6</v>
      </c>
      <c r="E311" s="8">
        <v>1000</v>
      </c>
      <c r="F311" s="8">
        <v>37600</v>
      </c>
      <c r="G311" s="9" t="s">
        <v>259</v>
      </c>
      <c r="H311" s="1" t="s">
        <v>12</v>
      </c>
    </row>
    <row r="312" spans="1:8" ht="28.5" x14ac:dyDescent="0.25">
      <c r="A312" s="10">
        <v>13</v>
      </c>
      <c r="B312" s="10" t="s">
        <v>260</v>
      </c>
      <c r="C312" s="7" t="s">
        <v>74</v>
      </c>
      <c r="D312" s="8">
        <v>24.6</v>
      </c>
      <c r="E312" s="8">
        <v>1200</v>
      </c>
      <c r="F312" s="8">
        <v>29520</v>
      </c>
      <c r="G312" s="9" t="s">
        <v>261</v>
      </c>
      <c r="H312" s="1" t="s">
        <v>12</v>
      </c>
    </row>
    <row r="313" spans="1:8" ht="42.75" x14ac:dyDescent="0.25">
      <c r="A313" s="10">
        <v>14</v>
      </c>
      <c r="B313" s="10" t="s">
        <v>262</v>
      </c>
      <c r="C313" s="7" t="s">
        <v>14</v>
      </c>
      <c r="D313" s="8">
        <v>16</v>
      </c>
      <c r="E313" s="8">
        <v>2130.04</v>
      </c>
      <c r="F313" s="8">
        <v>34080.639999999999</v>
      </c>
      <c r="G313" s="9" t="s">
        <v>263</v>
      </c>
      <c r="H313" s="1" t="s">
        <v>12</v>
      </c>
    </row>
    <row r="314" spans="1:8" ht="28.5" x14ac:dyDescent="0.25">
      <c r="A314" s="10">
        <v>15</v>
      </c>
      <c r="B314" s="10" t="s">
        <v>264</v>
      </c>
      <c r="C314" s="7" t="s">
        <v>136</v>
      </c>
      <c r="D314" s="8">
        <v>8</v>
      </c>
      <c r="E314" s="8">
        <v>7000</v>
      </c>
      <c r="F314" s="8">
        <v>56000</v>
      </c>
      <c r="G314" s="9" t="s">
        <v>265</v>
      </c>
      <c r="H314" s="1" t="s">
        <v>12</v>
      </c>
    </row>
    <row r="315" spans="1:8" ht="28.5" x14ac:dyDescent="0.25">
      <c r="A315" s="10">
        <v>16</v>
      </c>
      <c r="B315" s="10" t="s">
        <v>266</v>
      </c>
      <c r="C315" s="7" t="s">
        <v>21</v>
      </c>
      <c r="D315" s="8">
        <v>1</v>
      </c>
      <c r="E315" s="8">
        <v>54050.7</v>
      </c>
      <c r="F315" s="8">
        <v>54050.7</v>
      </c>
      <c r="G315" s="9" t="s">
        <v>267</v>
      </c>
      <c r="H315" s="1" t="s">
        <v>12</v>
      </c>
    </row>
    <row r="316" spans="1:8" ht="16.5" x14ac:dyDescent="0.25">
      <c r="A316" s="10"/>
      <c r="B316" s="10" t="s">
        <v>23</v>
      </c>
      <c r="C316" s="7"/>
      <c r="D316" s="8"/>
      <c r="E316" s="8"/>
      <c r="F316" s="8">
        <v>849879.74</v>
      </c>
      <c r="G316" s="9"/>
      <c r="H316" s="1" t="s">
        <v>12</v>
      </c>
    </row>
    <row r="317" spans="1:8" ht="16.5" x14ac:dyDescent="0.25">
      <c r="A317" s="10"/>
      <c r="B317" s="10"/>
      <c r="C317" s="7"/>
      <c r="D317" s="8"/>
      <c r="E317" s="8"/>
      <c r="F317" s="8"/>
      <c r="G317" s="9"/>
    </row>
    <row r="318" spans="1:8" ht="16.5" x14ac:dyDescent="0.25">
      <c r="A318" s="43" t="s">
        <v>268</v>
      </c>
      <c r="B318" s="43"/>
      <c r="C318" s="44"/>
      <c r="D318" s="45"/>
      <c r="E318" s="45"/>
      <c r="F318" s="45"/>
      <c r="G318" s="46"/>
    </row>
    <row r="319" spans="1:8" ht="16.5" x14ac:dyDescent="0.25">
      <c r="A319" s="43" t="s">
        <v>269</v>
      </c>
      <c r="B319" s="43"/>
      <c r="C319" s="44"/>
      <c r="D319" s="45"/>
      <c r="E319" s="45"/>
      <c r="F319" s="45"/>
      <c r="G319" s="46"/>
    </row>
    <row r="320" spans="1:8" ht="19.5" customHeight="1" x14ac:dyDescent="0.25"/>
    <row r="321" ht="19.5" customHeight="1" x14ac:dyDescent="0.25"/>
    <row r="322" ht="19.5" customHeight="1" x14ac:dyDescent="0.25"/>
    <row r="323" ht="28.5" customHeight="1" x14ac:dyDescent="0.25"/>
    <row r="324" ht="28.5" customHeight="1" x14ac:dyDescent="0.25"/>
    <row r="326" ht="19.5" customHeight="1" x14ac:dyDescent="0.25"/>
    <row r="327" ht="19.5" customHeight="1" x14ac:dyDescent="0.25"/>
    <row r="328" ht="19.5" customHeight="1" x14ac:dyDescent="0.25"/>
    <row r="329" ht="19.5" customHeight="1" x14ac:dyDescent="0.25"/>
    <row r="330" ht="19.5" customHeight="1" x14ac:dyDescent="0.25"/>
    <row r="331" ht="19.5" customHeight="1" x14ac:dyDescent="0.25"/>
    <row r="332" ht="19.5" customHeight="1" x14ac:dyDescent="0.25"/>
    <row r="333" ht="19.5" customHeight="1" x14ac:dyDescent="0.25"/>
    <row r="334" ht="19.5" customHeight="1" x14ac:dyDescent="0.25"/>
    <row r="335" ht="19.5" customHeight="1" x14ac:dyDescent="0.25"/>
    <row r="336" ht="19.5" customHeight="1" x14ac:dyDescent="0.25"/>
    <row r="337" ht="19.5" customHeight="1" x14ac:dyDescent="0.25"/>
    <row r="338" ht="19.5" customHeight="1" x14ac:dyDescent="0.25"/>
    <row r="339" ht="19.5" customHeight="1" x14ac:dyDescent="0.25"/>
    <row r="340" ht="19.5" customHeight="1" x14ac:dyDescent="0.25"/>
    <row r="341" ht="19.5" customHeight="1" x14ac:dyDescent="0.25"/>
    <row r="342" ht="19.5" customHeight="1" x14ac:dyDescent="0.25"/>
    <row r="343" ht="19.5" customHeight="1" x14ac:dyDescent="0.25"/>
    <row r="344" ht="19.5" customHeight="1" x14ac:dyDescent="0.25"/>
    <row r="345" ht="19.5" customHeight="1" x14ac:dyDescent="0.25"/>
    <row r="346" ht="19.5" customHeight="1" x14ac:dyDescent="0.25"/>
    <row r="347" ht="19.5" customHeight="1" x14ac:dyDescent="0.25"/>
    <row r="348" ht="19.5" customHeight="1" x14ac:dyDescent="0.25"/>
    <row r="349" ht="19.5" customHeight="1" x14ac:dyDescent="0.25"/>
    <row r="350" ht="19.5" customHeight="1" x14ac:dyDescent="0.25"/>
    <row r="351" ht="19.5" customHeight="1" x14ac:dyDescent="0.25"/>
    <row r="352" ht="19.5" customHeight="1" x14ac:dyDescent="0.25"/>
    <row r="353" ht="19.5" customHeight="1" x14ac:dyDescent="0.25"/>
    <row r="354" ht="19.5" customHeight="1" x14ac:dyDescent="0.25"/>
    <row r="355" ht="19.5" customHeight="1" x14ac:dyDescent="0.25"/>
    <row r="356" ht="19.5" customHeight="1" x14ac:dyDescent="0.25"/>
    <row r="357" ht="19.5" customHeight="1" x14ac:dyDescent="0.25"/>
    <row r="358" ht="19.5" customHeight="1" x14ac:dyDescent="0.25"/>
    <row r="359" ht="19.5" customHeight="1" x14ac:dyDescent="0.25"/>
    <row r="360" ht="19.5" customHeight="1" x14ac:dyDescent="0.25"/>
    <row r="361" ht="19.5" customHeight="1" x14ac:dyDescent="0.25"/>
    <row r="362" ht="19.5" customHeight="1" x14ac:dyDescent="0.25"/>
    <row r="363" ht="19.5" customHeight="1" x14ac:dyDescent="0.25"/>
    <row r="364" ht="19.5" customHeight="1" x14ac:dyDescent="0.25"/>
    <row r="365" ht="19.5" customHeight="1" x14ac:dyDescent="0.25"/>
    <row r="366" ht="19.5" customHeight="1" x14ac:dyDescent="0.25"/>
    <row r="367" ht="19.5" customHeight="1" x14ac:dyDescent="0.25"/>
    <row r="368" ht="19.5" customHeight="1" x14ac:dyDescent="0.25"/>
    <row r="369" ht="19.5" customHeight="1" x14ac:dyDescent="0.25"/>
    <row r="370" ht="19.5" customHeight="1" x14ac:dyDescent="0.25"/>
    <row r="371" ht="19.5" customHeight="1" x14ac:dyDescent="0.25"/>
    <row r="372" ht="19.5" customHeight="1" x14ac:dyDescent="0.25"/>
    <row r="373" ht="19.5" customHeight="1" x14ac:dyDescent="0.25"/>
    <row r="374" ht="19.5" customHeight="1" x14ac:dyDescent="0.25"/>
    <row r="375" ht="19.5" customHeight="1" x14ac:dyDescent="0.25"/>
    <row r="376" ht="19.5" customHeight="1" x14ac:dyDescent="0.25"/>
    <row r="377" ht="19.5" customHeight="1" x14ac:dyDescent="0.25"/>
    <row r="378" ht="19.5" customHeight="1" x14ac:dyDescent="0.25"/>
    <row r="379" ht="19.5" customHeight="1" x14ac:dyDescent="0.25"/>
    <row r="380" ht="19.5" customHeight="1" x14ac:dyDescent="0.25"/>
    <row r="381" ht="19.5" customHeight="1" x14ac:dyDescent="0.25"/>
    <row r="382" ht="19.5" customHeight="1" x14ac:dyDescent="0.25"/>
    <row r="383" ht="19.5" customHeight="1" x14ac:dyDescent="0.25"/>
    <row r="384" ht="19.5" customHeight="1" x14ac:dyDescent="0.25"/>
    <row r="385" ht="19.5" customHeight="1" x14ac:dyDescent="0.25"/>
    <row r="386" ht="19.5" customHeight="1" x14ac:dyDescent="0.25"/>
    <row r="387" ht="19.5" customHeight="1" x14ac:dyDescent="0.25"/>
    <row r="388" ht="19.5" customHeight="1" x14ac:dyDescent="0.25"/>
    <row r="389" ht="19.5" customHeight="1" x14ac:dyDescent="0.25"/>
    <row r="390" ht="19.5" customHeight="1" x14ac:dyDescent="0.25"/>
    <row r="391" ht="19.5" customHeight="1" x14ac:dyDescent="0.25"/>
    <row r="392" ht="19.5" customHeight="1" x14ac:dyDescent="0.25"/>
    <row r="393" ht="19.5" customHeight="1" x14ac:dyDescent="0.25"/>
    <row r="394" ht="19.5" customHeight="1" x14ac:dyDescent="0.25"/>
    <row r="395" ht="19.5" customHeight="1" x14ac:dyDescent="0.25"/>
    <row r="396" ht="19.5" customHeight="1" x14ac:dyDescent="0.25"/>
    <row r="397" ht="19.5" customHeight="1" x14ac:dyDescent="0.25"/>
    <row r="398" ht="19.5" customHeight="1" x14ac:dyDescent="0.25"/>
    <row r="399" ht="19.5" customHeight="1" x14ac:dyDescent="0.25"/>
    <row r="400" ht="19.5" customHeight="1" x14ac:dyDescent="0.25"/>
    <row r="401" ht="19.5" customHeight="1" x14ac:dyDescent="0.25"/>
    <row r="402" ht="19.5" customHeight="1" x14ac:dyDescent="0.25"/>
    <row r="403" ht="19.5" customHeight="1" x14ac:dyDescent="0.25"/>
    <row r="404" ht="19.5" customHeight="1" x14ac:dyDescent="0.25"/>
    <row r="405" ht="19.5" customHeight="1" x14ac:dyDescent="0.25"/>
    <row r="406" ht="19.5" customHeight="1" x14ac:dyDescent="0.25"/>
    <row r="407" ht="19.5" customHeight="1" x14ac:dyDescent="0.25"/>
    <row r="408" ht="19.5" customHeight="1" x14ac:dyDescent="0.25"/>
    <row r="409" ht="19.5" customHeight="1" x14ac:dyDescent="0.25"/>
    <row r="410" ht="19.5" customHeight="1" x14ac:dyDescent="0.25"/>
    <row r="411" ht="19.5" customHeight="1" x14ac:dyDescent="0.25"/>
    <row r="412" ht="19.5" customHeight="1" x14ac:dyDescent="0.25"/>
    <row r="413" ht="19.5" customHeight="1" x14ac:dyDescent="0.25"/>
    <row r="414" ht="19.5" customHeight="1" x14ac:dyDescent="0.25"/>
    <row r="415" ht="19.5" customHeight="1" x14ac:dyDescent="0.25"/>
    <row r="416" ht="19.5" customHeight="1" x14ac:dyDescent="0.25"/>
    <row r="417" ht="19.5" customHeight="1" x14ac:dyDescent="0.25"/>
    <row r="418" ht="19.5" customHeight="1" x14ac:dyDescent="0.25"/>
    <row r="419" ht="19.5" customHeight="1" x14ac:dyDescent="0.25"/>
    <row r="420" ht="19.5" customHeight="1" x14ac:dyDescent="0.25"/>
    <row r="421" ht="19.5" customHeight="1" x14ac:dyDescent="0.25"/>
    <row r="422" ht="19.5" customHeight="1" x14ac:dyDescent="0.25"/>
    <row r="423" ht="19.5" customHeight="1" x14ac:dyDescent="0.25"/>
    <row r="424" ht="19.5" customHeight="1" x14ac:dyDescent="0.25"/>
    <row r="425" ht="19.5" customHeight="1" x14ac:dyDescent="0.25"/>
    <row r="426" ht="19.5" customHeight="1" x14ac:dyDescent="0.25"/>
    <row r="427" ht="19.5" customHeight="1" x14ac:dyDescent="0.25"/>
    <row r="428" ht="19.5" customHeight="1" x14ac:dyDescent="0.25"/>
    <row r="429" ht="19.5" customHeight="1" x14ac:dyDescent="0.25"/>
    <row r="430" ht="19.5" customHeight="1" x14ac:dyDescent="0.25"/>
    <row r="431" ht="19.5" customHeight="1" x14ac:dyDescent="0.25"/>
    <row r="432" ht="19.5" customHeight="1" x14ac:dyDescent="0.25"/>
    <row r="433" ht="19.5" customHeight="1" x14ac:dyDescent="0.25"/>
    <row r="434" ht="19.5" customHeight="1" x14ac:dyDescent="0.25"/>
    <row r="435" ht="19.5" customHeight="1" x14ac:dyDescent="0.25"/>
    <row r="436" ht="19.5" customHeight="1" x14ac:dyDescent="0.25"/>
    <row r="437" ht="19.5" customHeight="1" x14ac:dyDescent="0.25"/>
    <row r="438" ht="19.5" customHeight="1" x14ac:dyDescent="0.25"/>
    <row r="439" ht="19.5" customHeight="1" x14ac:dyDescent="0.25"/>
    <row r="440" ht="19.5" customHeight="1" x14ac:dyDescent="0.25"/>
    <row r="441" ht="19.5" customHeight="1" x14ac:dyDescent="0.25"/>
    <row r="442" ht="19.5" customHeight="1" x14ac:dyDescent="0.25"/>
    <row r="443" ht="19.5" customHeight="1" x14ac:dyDescent="0.25"/>
    <row r="444" ht="19.5" customHeight="1" x14ac:dyDescent="0.25"/>
    <row r="445" ht="19.5" customHeight="1" x14ac:dyDescent="0.25"/>
    <row r="446" ht="19.5" customHeight="1" x14ac:dyDescent="0.25"/>
    <row r="447" ht="19.5" customHeight="1" x14ac:dyDescent="0.25"/>
    <row r="448" ht="19.5" customHeight="1" x14ac:dyDescent="0.25"/>
    <row r="449" ht="19.5" customHeight="1" x14ac:dyDescent="0.25"/>
    <row r="450" ht="19.5" customHeight="1" x14ac:dyDescent="0.25"/>
    <row r="451" ht="19.5" customHeight="1" x14ac:dyDescent="0.25"/>
    <row r="452" ht="19.5" customHeight="1" x14ac:dyDescent="0.25"/>
    <row r="453" ht="19.5" customHeight="1" x14ac:dyDescent="0.25"/>
    <row r="454" ht="19.5" customHeight="1" x14ac:dyDescent="0.25"/>
    <row r="455" ht="19.5" customHeight="1" x14ac:dyDescent="0.25"/>
    <row r="456" ht="19.5" customHeight="1" x14ac:dyDescent="0.25"/>
    <row r="457" ht="19.5" customHeight="1" x14ac:dyDescent="0.25"/>
    <row r="458" ht="19.5" customHeight="1" x14ac:dyDescent="0.25"/>
    <row r="459" ht="19.5" customHeight="1" x14ac:dyDescent="0.25"/>
    <row r="460" ht="19.5" customHeight="1" x14ac:dyDescent="0.25"/>
    <row r="461" ht="19.5" customHeight="1" x14ac:dyDescent="0.25"/>
    <row r="462" ht="19.5" customHeight="1" x14ac:dyDescent="0.25"/>
    <row r="463" ht="19.5" customHeight="1" x14ac:dyDescent="0.25"/>
    <row r="464" ht="19.5" customHeight="1" x14ac:dyDescent="0.25"/>
    <row r="465" ht="19.5" customHeight="1" x14ac:dyDescent="0.25"/>
    <row r="466" ht="19.5" customHeight="1" x14ac:dyDescent="0.25"/>
    <row r="467" ht="19.5" customHeight="1" x14ac:dyDescent="0.25"/>
    <row r="468" ht="19.5" customHeight="1" x14ac:dyDescent="0.25"/>
    <row r="469" ht="19.5" customHeight="1" x14ac:dyDescent="0.25"/>
    <row r="470" ht="19.5" customHeight="1" x14ac:dyDescent="0.25"/>
    <row r="471" ht="19.5" customHeight="1" x14ac:dyDescent="0.25"/>
    <row r="472" ht="19.5" customHeight="1" x14ac:dyDescent="0.25"/>
    <row r="473" ht="19.5" customHeight="1" x14ac:dyDescent="0.25"/>
    <row r="474" ht="19.5" customHeight="1" x14ac:dyDescent="0.25"/>
    <row r="475" ht="19.5" customHeight="1" x14ac:dyDescent="0.25"/>
    <row r="476" ht="19.5" customHeight="1" x14ac:dyDescent="0.25"/>
    <row r="477" ht="19.5" customHeight="1" x14ac:dyDescent="0.25"/>
    <row r="478" ht="19.5" customHeight="1" x14ac:dyDescent="0.25"/>
    <row r="479" ht="19.5" customHeight="1" x14ac:dyDescent="0.25"/>
    <row r="480" ht="19.5" customHeight="1" x14ac:dyDescent="0.25"/>
    <row r="481" ht="19.5" customHeight="1" x14ac:dyDescent="0.25"/>
    <row r="482" ht="19.5" customHeight="1" x14ac:dyDescent="0.25"/>
    <row r="483" ht="19.5" customHeight="1" x14ac:dyDescent="0.25"/>
    <row r="484" ht="19.5" customHeight="1" x14ac:dyDescent="0.25"/>
    <row r="485" ht="19.5" customHeight="1" x14ac:dyDescent="0.25"/>
    <row r="486" ht="19.5" customHeight="1" x14ac:dyDescent="0.25"/>
    <row r="487" ht="19.5" customHeight="1" x14ac:dyDescent="0.25"/>
    <row r="488" ht="19.5" customHeight="1" x14ac:dyDescent="0.25"/>
    <row r="489" ht="19.5" customHeight="1" x14ac:dyDescent="0.25"/>
    <row r="490" ht="19.5" customHeight="1" x14ac:dyDescent="0.25"/>
    <row r="491" ht="19.5" customHeight="1" x14ac:dyDescent="0.25"/>
    <row r="492" ht="19.5" customHeight="1" x14ac:dyDescent="0.25"/>
    <row r="493" ht="19.5" customHeight="1" x14ac:dyDescent="0.25"/>
    <row r="494" ht="19.5" customHeight="1" x14ac:dyDescent="0.25"/>
    <row r="495" ht="19.5" customHeight="1" x14ac:dyDescent="0.25"/>
    <row r="496" ht="19.5" customHeight="1" x14ac:dyDescent="0.25"/>
    <row r="497" ht="19.5" customHeight="1" x14ac:dyDescent="0.25"/>
    <row r="498" ht="19.5" customHeight="1" x14ac:dyDescent="0.25"/>
    <row r="499" ht="19.5" customHeight="1" x14ac:dyDescent="0.25"/>
    <row r="500" ht="19.5" customHeight="1" x14ac:dyDescent="0.25"/>
    <row r="501" ht="19.5" customHeight="1" x14ac:dyDescent="0.25"/>
    <row r="502" ht="19.5" customHeight="1" x14ac:dyDescent="0.25"/>
    <row r="503" ht="19.5" customHeight="1" x14ac:dyDescent="0.25"/>
    <row r="504" ht="19.5" customHeight="1" x14ac:dyDescent="0.25"/>
    <row r="505" ht="19.5" customHeight="1" x14ac:dyDescent="0.25"/>
    <row r="506" ht="19.5" customHeight="1" x14ac:dyDescent="0.25"/>
    <row r="507" ht="19.5" customHeight="1" x14ac:dyDescent="0.25"/>
    <row r="508" ht="19.5" customHeight="1" x14ac:dyDescent="0.25"/>
    <row r="509" ht="19.5" customHeight="1" x14ac:dyDescent="0.25"/>
    <row r="510" ht="19.5" customHeight="1" x14ac:dyDescent="0.25"/>
    <row r="511" ht="19.5" customHeight="1" x14ac:dyDescent="0.25"/>
    <row r="512" ht="19.5" customHeight="1" x14ac:dyDescent="0.25"/>
    <row r="513" ht="19.5" customHeight="1" x14ac:dyDescent="0.25"/>
    <row r="514" ht="19.5" customHeight="1" x14ac:dyDescent="0.25"/>
    <row r="515" ht="19.5" customHeight="1" x14ac:dyDescent="0.25"/>
    <row r="516" ht="19.5" customHeight="1" x14ac:dyDescent="0.25"/>
    <row r="517" ht="19.5" customHeight="1" x14ac:dyDescent="0.25"/>
    <row r="518" ht="19.5" customHeight="1" x14ac:dyDescent="0.25"/>
    <row r="519" ht="19.5" customHeight="1" x14ac:dyDescent="0.25"/>
    <row r="520" ht="19.5" customHeight="1" x14ac:dyDescent="0.25"/>
    <row r="521" ht="19.5" customHeight="1" x14ac:dyDescent="0.25"/>
    <row r="522" ht="19.5" customHeight="1" x14ac:dyDescent="0.25"/>
    <row r="523" ht="19.5" customHeight="1" x14ac:dyDescent="0.25"/>
    <row r="524" ht="19.5" customHeight="1" x14ac:dyDescent="0.25"/>
    <row r="525" ht="19.5" customHeight="1" x14ac:dyDescent="0.25"/>
    <row r="526" ht="19.5" customHeight="1" x14ac:dyDescent="0.25"/>
    <row r="527" ht="19.5" customHeight="1" x14ac:dyDescent="0.25"/>
    <row r="528" ht="19.5" customHeight="1" x14ac:dyDescent="0.25"/>
    <row r="529" ht="19.5" customHeight="1" x14ac:dyDescent="0.25"/>
    <row r="530" ht="19.5" customHeight="1" x14ac:dyDescent="0.25"/>
    <row r="531" ht="19.5" customHeight="1" x14ac:dyDescent="0.25"/>
    <row r="532" ht="19.5" customHeight="1" x14ac:dyDescent="0.25"/>
    <row r="533" ht="19.5" customHeight="1" x14ac:dyDescent="0.25"/>
    <row r="534" ht="19.5" customHeight="1" x14ac:dyDescent="0.25"/>
    <row r="535" ht="19.5" customHeight="1" x14ac:dyDescent="0.25"/>
    <row r="536" ht="19.5" customHeight="1" x14ac:dyDescent="0.25"/>
    <row r="537" ht="19.5" customHeight="1" x14ac:dyDescent="0.25"/>
    <row r="538" ht="19.5" customHeight="1" x14ac:dyDescent="0.25"/>
    <row r="539" ht="19.5" customHeight="1" x14ac:dyDescent="0.25"/>
    <row r="540" ht="19.5" customHeight="1" x14ac:dyDescent="0.25"/>
    <row r="541" ht="19.5" customHeight="1" x14ac:dyDescent="0.25"/>
    <row r="542" ht="19.5" customHeight="1" x14ac:dyDescent="0.25"/>
    <row r="543" ht="19.5" customHeight="1" x14ac:dyDescent="0.25"/>
    <row r="544" ht="19.5" customHeight="1" x14ac:dyDescent="0.25"/>
    <row r="545" ht="19.5" customHeight="1" x14ac:dyDescent="0.25"/>
    <row r="546" ht="19.5" customHeight="1" x14ac:dyDescent="0.25"/>
    <row r="547" ht="19.5" customHeight="1" x14ac:dyDescent="0.25"/>
    <row r="548" ht="19.5" customHeight="1" x14ac:dyDescent="0.25"/>
    <row r="549" ht="19.5" customHeight="1" x14ac:dyDescent="0.25"/>
    <row r="550" ht="19.5" customHeight="1" x14ac:dyDescent="0.25"/>
    <row r="551" ht="19.5" customHeight="1" x14ac:dyDescent="0.25"/>
    <row r="552" ht="19.5" customHeight="1" x14ac:dyDescent="0.25"/>
    <row r="553" ht="19.5" customHeight="1" x14ac:dyDescent="0.25"/>
    <row r="554" ht="19.5" customHeight="1" x14ac:dyDescent="0.25"/>
    <row r="555" ht="19.5" customHeight="1" x14ac:dyDescent="0.25"/>
    <row r="556" ht="19.5" customHeight="1" x14ac:dyDescent="0.25"/>
    <row r="557" ht="19.5" customHeight="1" x14ac:dyDescent="0.25"/>
    <row r="558" ht="19.5" customHeight="1" x14ac:dyDescent="0.25"/>
    <row r="559" ht="19.5" customHeight="1" x14ac:dyDescent="0.25"/>
    <row r="560" ht="19.5" customHeight="1" x14ac:dyDescent="0.25"/>
    <row r="561" ht="19.5" customHeight="1" x14ac:dyDescent="0.25"/>
    <row r="562" ht="19.5" customHeight="1" x14ac:dyDescent="0.25"/>
    <row r="563" ht="19.5" customHeight="1" x14ac:dyDescent="0.25"/>
    <row r="564" ht="19.5" customHeight="1" x14ac:dyDescent="0.25"/>
    <row r="565" ht="19.5" customHeight="1" x14ac:dyDescent="0.25"/>
    <row r="566" ht="19.5" customHeight="1" x14ac:dyDescent="0.25"/>
    <row r="567" ht="19.5" customHeight="1" x14ac:dyDescent="0.25"/>
    <row r="568" ht="19.5" customHeight="1" x14ac:dyDescent="0.25"/>
    <row r="569" ht="19.5" customHeight="1" x14ac:dyDescent="0.25"/>
    <row r="570" ht="19.5" customHeight="1" x14ac:dyDescent="0.25"/>
    <row r="571" ht="19.5" customHeight="1" x14ac:dyDescent="0.25"/>
    <row r="572" ht="19.5" customHeight="1" x14ac:dyDescent="0.25"/>
    <row r="573" ht="19.5" customHeight="1" x14ac:dyDescent="0.25"/>
    <row r="574" ht="19.5" customHeight="1" x14ac:dyDescent="0.25"/>
    <row r="575" ht="19.5" customHeight="1" x14ac:dyDescent="0.25"/>
    <row r="576" ht="19.5" customHeight="1" x14ac:dyDescent="0.25"/>
    <row r="577" ht="19.5" customHeight="1" x14ac:dyDescent="0.25"/>
    <row r="578" ht="19.5" customHeight="1" x14ac:dyDescent="0.25"/>
    <row r="579" ht="19.5" customHeight="1" x14ac:dyDescent="0.25"/>
    <row r="580" ht="19.5" customHeight="1" x14ac:dyDescent="0.25"/>
    <row r="581" ht="19.5" customHeight="1" x14ac:dyDescent="0.25"/>
    <row r="582" ht="19.5" customHeight="1" x14ac:dyDescent="0.25"/>
    <row r="583" ht="19.5" customHeight="1" x14ac:dyDescent="0.25"/>
    <row r="584" ht="19.5" customHeight="1" x14ac:dyDescent="0.25"/>
    <row r="585" ht="19.5" customHeight="1" x14ac:dyDescent="0.25"/>
    <row r="586" ht="19.5" customHeight="1" x14ac:dyDescent="0.25"/>
    <row r="587" ht="19.5" customHeight="1" x14ac:dyDescent="0.25"/>
    <row r="588" ht="19.5" customHeight="1" x14ac:dyDescent="0.25"/>
    <row r="589" ht="19.5" customHeight="1" x14ac:dyDescent="0.25"/>
    <row r="590" ht="19.5" customHeight="1" x14ac:dyDescent="0.25"/>
    <row r="591" ht="19.5" customHeight="1" x14ac:dyDescent="0.25"/>
    <row r="592" ht="19.5" customHeight="1" x14ac:dyDescent="0.25"/>
    <row r="593" ht="19.5" customHeight="1" x14ac:dyDescent="0.25"/>
    <row r="594" ht="19.5" customHeight="1" x14ac:dyDescent="0.25"/>
    <row r="595" ht="19.5" customHeight="1" x14ac:dyDescent="0.25"/>
    <row r="596" ht="19.5" customHeight="1" x14ac:dyDescent="0.25"/>
    <row r="597" ht="19.5" customHeight="1" x14ac:dyDescent="0.25"/>
    <row r="598" ht="19.5" customHeight="1" x14ac:dyDescent="0.25"/>
    <row r="599" ht="19.5" customHeight="1" x14ac:dyDescent="0.25"/>
    <row r="600" ht="19.5" customHeight="1" x14ac:dyDescent="0.25"/>
    <row r="601" ht="19.5" customHeight="1" x14ac:dyDescent="0.25"/>
    <row r="602" ht="19.5" customHeight="1" x14ac:dyDescent="0.25"/>
    <row r="603" ht="19.5" customHeight="1" x14ac:dyDescent="0.25"/>
    <row r="604" ht="19.5" customHeight="1" x14ac:dyDescent="0.25"/>
    <row r="605" ht="19.5" customHeight="1" x14ac:dyDescent="0.25"/>
    <row r="606" ht="19.5" customHeight="1" x14ac:dyDescent="0.25"/>
    <row r="607" ht="19.5" customHeight="1" x14ac:dyDescent="0.25"/>
    <row r="608" ht="19.5" customHeight="1" x14ac:dyDescent="0.25"/>
    <row r="609" ht="19.5" customHeight="1" x14ac:dyDescent="0.25"/>
    <row r="610" ht="19.5" customHeight="1" x14ac:dyDescent="0.25"/>
    <row r="611" ht="19.5" customHeight="1" x14ac:dyDescent="0.25"/>
    <row r="612" ht="19.5" customHeight="1" x14ac:dyDescent="0.25"/>
    <row r="613" ht="19.5" customHeight="1" x14ac:dyDescent="0.25"/>
    <row r="614" ht="19.5" customHeight="1" x14ac:dyDescent="0.25"/>
    <row r="615" ht="19.5" customHeight="1" x14ac:dyDescent="0.25"/>
    <row r="616" ht="19.5" customHeight="1" x14ac:dyDescent="0.25"/>
    <row r="617" ht="19.5" customHeight="1" x14ac:dyDescent="0.25"/>
    <row r="618" ht="19.5" customHeight="1" x14ac:dyDescent="0.25"/>
    <row r="619" ht="19.5" customHeight="1" x14ac:dyDescent="0.25"/>
    <row r="620" ht="19.5" customHeight="1" x14ac:dyDescent="0.25"/>
    <row r="621" ht="19.5" customHeight="1" x14ac:dyDescent="0.25"/>
    <row r="622" ht="19.5" customHeight="1" x14ac:dyDescent="0.25"/>
    <row r="623" ht="19.5" customHeight="1" x14ac:dyDescent="0.25"/>
    <row r="624" ht="19.5" customHeight="1" x14ac:dyDescent="0.25"/>
    <row r="625" ht="19.5" customHeight="1" x14ac:dyDescent="0.25"/>
    <row r="626" ht="19.5" customHeight="1" x14ac:dyDescent="0.25"/>
    <row r="627" ht="19.5" customHeight="1" x14ac:dyDescent="0.25"/>
    <row r="628" ht="19.5" customHeight="1" x14ac:dyDescent="0.25"/>
    <row r="629" ht="19.5" customHeight="1" x14ac:dyDescent="0.25"/>
    <row r="630" ht="19.5" customHeight="1" x14ac:dyDescent="0.25"/>
    <row r="631" ht="19.5" customHeight="1" x14ac:dyDescent="0.25"/>
    <row r="632" ht="19.5" customHeight="1" x14ac:dyDescent="0.25"/>
    <row r="633" ht="19.5" customHeight="1" x14ac:dyDescent="0.25"/>
    <row r="634" ht="19.5" customHeight="1" x14ac:dyDescent="0.25"/>
    <row r="635" ht="19.5" customHeight="1" x14ac:dyDescent="0.25"/>
    <row r="636" ht="19.5" customHeight="1" x14ac:dyDescent="0.25"/>
    <row r="637" ht="19.5" customHeight="1" x14ac:dyDescent="0.25"/>
    <row r="638" ht="19.5" customHeight="1" x14ac:dyDescent="0.25"/>
    <row r="639" ht="19.5" customHeight="1" x14ac:dyDescent="0.25"/>
  </sheetData>
  <sheetProtection formatCells="0" formatColumns="0" formatRows="0" insertRows="0" deleteRows="0" sort="0" autoFilter="0"/>
  <mergeCells count="53">
    <mergeCell ref="A1:G1"/>
    <mergeCell ref="A2:G2"/>
    <mergeCell ref="A3:G3"/>
    <mergeCell ref="A12:G12"/>
    <mergeCell ref="A13:G13"/>
    <mergeCell ref="A22:G22"/>
    <mergeCell ref="A23:G23"/>
    <mergeCell ref="A33:G33"/>
    <mergeCell ref="A34:G34"/>
    <mergeCell ref="A42:G42"/>
    <mergeCell ref="A43:G43"/>
    <mergeCell ref="A54:G54"/>
    <mergeCell ref="A55:G55"/>
    <mergeCell ref="A70:G70"/>
    <mergeCell ref="A71:G71"/>
    <mergeCell ref="A92:G92"/>
    <mergeCell ref="A93:G93"/>
    <mergeCell ref="A103:G103"/>
    <mergeCell ref="A104:G104"/>
    <mergeCell ref="A115:G115"/>
    <mergeCell ref="A116:G116"/>
    <mergeCell ref="A127:G127"/>
    <mergeCell ref="A128:G128"/>
    <mergeCell ref="A139:G139"/>
    <mergeCell ref="A140:G140"/>
    <mergeCell ref="A152:G152"/>
    <mergeCell ref="A153:G153"/>
    <mergeCell ref="A164:G164"/>
    <mergeCell ref="A165:G165"/>
    <mergeCell ref="A176:G176"/>
    <mergeCell ref="A177:G177"/>
    <mergeCell ref="A188:G188"/>
    <mergeCell ref="A189:G189"/>
    <mergeCell ref="A200:G200"/>
    <mergeCell ref="A201:G201"/>
    <mergeCell ref="A212:G212"/>
    <mergeCell ref="A213:G213"/>
    <mergeCell ref="A224:G224"/>
    <mergeCell ref="A225:G225"/>
    <mergeCell ref="A236:G236"/>
    <mergeCell ref="A237:G237"/>
    <mergeCell ref="A248:G248"/>
    <mergeCell ref="A249:G249"/>
    <mergeCell ref="A260:G260"/>
    <mergeCell ref="A261:G261"/>
    <mergeCell ref="A297:G297"/>
    <mergeCell ref="A318:G318"/>
    <mergeCell ref="A319:G319"/>
    <mergeCell ref="A272:G272"/>
    <mergeCell ref="A273:G273"/>
    <mergeCell ref="A284:G284"/>
    <mergeCell ref="A285:G285"/>
    <mergeCell ref="A296:G296"/>
  </mergeCells>
  <phoneticPr fontId="1" type="noConversion"/>
  <printOptions horizontalCentered="1"/>
  <pageMargins left="0.39370078740157483" right="0.39370078740157483" top="0.78740157480314965" bottom="1.0900000000000001" header="0.51181102362204722" footer="0.78"/>
  <pageSetup paperSize="9" orientation="portrait" verticalDpi="300" r:id="rId1"/>
  <headerFooter alignWithMargins="0">
    <oddHeader xml:space="preserve">&amp;C&amp;G&amp;R&amp;"Times New Roman,標準"
</oddHeader>
    <oddFooter>&amp;L&amp;"標楷體,標準"          編製：     &amp;C&amp;"標楷體,標準"          校核：&amp;R&amp;"標楷體,標準"第&amp;P頁，共&amp;N頁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單價分析表2 (白議價中)</vt:lpstr>
      <vt:lpstr>單價分析表1 (白議價後)</vt:lpstr>
      <vt:lpstr>單價分析1 (白議價中)</vt:lpstr>
      <vt:lpstr>單價分析表(阿洨)</vt:lpstr>
      <vt:lpstr>'單價分析1 (白議價中)'!Print_Area</vt:lpstr>
      <vt:lpstr>'單價分析表(阿洨)'!Print_Area</vt:lpstr>
      <vt:lpstr>'單價分析表1 (白議價後)'!Print_Area</vt:lpstr>
      <vt:lpstr>'單價分析表2 (白議價中)'!Print_Area</vt:lpstr>
      <vt:lpstr>'單價分析1 (白議價中)'!Print_Titles</vt:lpstr>
      <vt:lpstr>'單價分析表(阿洨)'!Print_Titles</vt:lpstr>
      <vt:lpstr>'單價分析表1 (白議價後)'!Print_Titles</vt:lpstr>
      <vt:lpstr>'單價分析表2 (白議價中)'!Print_Titles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</dc:creator>
  <cp:lastModifiedBy>User</cp:lastModifiedBy>
  <cp:lastPrinted>2023-12-06T02:14:44Z</cp:lastPrinted>
  <dcterms:created xsi:type="dcterms:W3CDTF">2006-07-25T08:31:14Z</dcterms:created>
  <dcterms:modified xsi:type="dcterms:W3CDTF">2024-08-06T07:34:07Z</dcterms:modified>
</cp:coreProperties>
</file>