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第5次變更\第5次變更-6議價後\"/>
    </mc:Choice>
  </mc:AlternateContent>
  <xr:revisionPtr revIDLastSave="0" documentId="13_ncr:1_{5B8DF006-BD3E-4CA7-90D7-8F0E9963F433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差異說明" sheetId="6" state="hidden" r:id="rId1"/>
    <sheet name="原稿" sheetId="5" state="hidden" r:id="rId2"/>
    <sheet name="6+7" sheetId="4" state="hidden" r:id="rId3"/>
    <sheet name="變更設計議價項目總表(水利)" sheetId="11" r:id="rId4"/>
    <sheet name="新增項目需議價(議價後) " sheetId="21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0" localSheetId="2">[1]水電詳細表!#REF!</definedName>
    <definedName name="_0" localSheetId="1">[1]水電詳細表!#REF!</definedName>
    <definedName name="_0" localSheetId="0">[1]水電詳細表!#REF!</definedName>
    <definedName name="_0">[1]水電詳細表!#REF!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 localSheetId="4">#REF!</definedName>
    <definedName name="_xlnm.Database" localSheetId="3">#REF!</definedName>
    <definedName name="_xlnm.Database">#REF!</definedName>
    <definedName name="L" localSheetId="2">[2]數量統計表!#REF!</definedName>
    <definedName name="L" localSheetId="1">[2]數量統計表!#REF!</definedName>
    <definedName name="L" localSheetId="0">[2]數量統計表!#REF!</definedName>
    <definedName name="L">[2]數量統計表!#REF!</definedName>
    <definedName name="_xlnm.Print_Area" localSheetId="2">'6+7'!$A$1:$G$15</definedName>
    <definedName name="_xlnm.Print_Area" localSheetId="1">原稿!$A$1:$J$24</definedName>
    <definedName name="_xlnm.Print_Area" localSheetId="0">差異說明!$A$1:$J$17</definedName>
    <definedName name="_xlnm.Print_Area" localSheetId="4">'新增項目需議價(議價後) '!$A$1:$R$31</definedName>
    <definedName name="_xlnm.Print_Area" localSheetId="3">'變更設計議價項目總表(水利)'!$A$1:$H$39</definedName>
    <definedName name="_xlnm.Print_Area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2">'6+7'!$1:$1</definedName>
    <definedName name="_xlnm.Print_Titles" localSheetId="1">原稿!$1:$1</definedName>
    <definedName name="_xlnm.Print_Titles" localSheetId="0">差異說明!$1:$1</definedName>
    <definedName name="_xlnm.Print_Titles" localSheetId="4">'新增項目需議價(議價後) '!$1:$4</definedName>
    <definedName name="_xlnm.Print_Titles" localSheetId="3">'變更設計議價項目總表(水利)'!$1:$5</definedName>
    <definedName name="_xlnm.Print_Titles">#REF!</definedName>
    <definedName name="稅金">[3]單價分析表!#REF!</definedName>
    <definedName name="號數13" localSheetId="2">[4]單價分析表!#REF!</definedName>
    <definedName name="號數13" localSheetId="1">[4]單價分析表!#REF!</definedName>
    <definedName name="號數13" localSheetId="0">[4]單價分析表!#REF!</definedName>
    <definedName name="號數13">[4]單價分析表!#REF!</definedName>
    <definedName name="號數15" localSheetId="2">[4]單價分析表!#REF!</definedName>
    <definedName name="號數15" localSheetId="1">[4]單價分析表!#REF!</definedName>
    <definedName name="號數15" localSheetId="0">[4]單價分析表!#REF!</definedName>
    <definedName name="號數15">[4]單價分析表!#REF!</definedName>
    <definedName name="號數16" localSheetId="2">[4]單價分析表!#REF!</definedName>
    <definedName name="號數16" localSheetId="1">[4]單價分析表!#REF!</definedName>
    <definedName name="號數16" localSheetId="0">[4]單價分析表!#REF!</definedName>
    <definedName name="號數16">[4]單價分析表!#REF!</definedName>
    <definedName name="號數17" localSheetId="2">[5]單價分析表!#REF!</definedName>
    <definedName name="號數17" localSheetId="1">[5]單價分析表!#REF!</definedName>
    <definedName name="號數17" localSheetId="0">[5]單價分析表!#REF!</definedName>
    <definedName name="號數17">[5]單價分析表!#REF!</definedName>
    <definedName name="號數21" localSheetId="2">[5]單價分析表!#REF!</definedName>
    <definedName name="號數21" localSheetId="1">[5]單價分析表!#REF!</definedName>
    <definedName name="號數21" localSheetId="0">[5]單價分析表!#REF!</definedName>
    <definedName name="號數21">[5]單價分析表!#REF!</definedName>
    <definedName name="號數22" localSheetId="2">[6]單價分析表!#REF!</definedName>
    <definedName name="號數22" localSheetId="1">[6]單價分析表!#REF!</definedName>
    <definedName name="號數22" localSheetId="0">[6]單價分析表!#REF!</definedName>
    <definedName name="號數22">[6]單價分析表!#REF!</definedName>
    <definedName name="號數23" localSheetId="2">[6]單價分析表!#REF!</definedName>
    <definedName name="號數23" localSheetId="1">[6]單價分析表!#REF!</definedName>
    <definedName name="號數23" localSheetId="0">[6]單價分析表!#REF!</definedName>
    <definedName name="號數23">[6]單價分析表!#REF!</definedName>
    <definedName name="號數24" localSheetId="2">[6]單價分析表!#REF!</definedName>
    <definedName name="號數24" localSheetId="1">[6]單價分析表!#REF!</definedName>
    <definedName name="號數24" localSheetId="0">[6]單價分析表!#REF!</definedName>
    <definedName name="號數24">[6]單價分析表!#REF!</definedName>
    <definedName name="號數25" localSheetId="2">[6]單價分析表!#REF!</definedName>
    <definedName name="號數25" localSheetId="1">[6]單價分析表!#REF!</definedName>
    <definedName name="號數25" localSheetId="0">[6]單價分析表!#REF!</definedName>
    <definedName name="號數25">[6]單價分析表!#REF!</definedName>
    <definedName name="號數26" localSheetId="2">[6]單價分析表!#REF!</definedName>
    <definedName name="號數26" localSheetId="1">[6]單價分析表!#REF!</definedName>
    <definedName name="號數26" localSheetId="0">[6]單價分析表!#REF!</definedName>
    <definedName name="號數26">[6]單價分析表!#REF!</definedName>
    <definedName name="號數27" localSheetId="2">[4]單價分析表!#REF!</definedName>
    <definedName name="號數27" localSheetId="1">[4]單價分析表!#REF!</definedName>
    <definedName name="號數27" localSheetId="0">[4]單價分析表!#REF!</definedName>
    <definedName name="號數27">[4]單價分析表!#REF!</definedName>
    <definedName name="號數30" localSheetId="2">[6]單價分析表!#REF!</definedName>
    <definedName name="號數30" localSheetId="1">[6]單價分析表!#REF!</definedName>
    <definedName name="號數30" localSheetId="0">[6]單價分析表!#REF!</definedName>
    <definedName name="號數30">[6]單價分析表!#REF!</definedName>
    <definedName name="號數33" localSheetId="2">[6]單價分析表!#REF!</definedName>
    <definedName name="號數33" localSheetId="1">[6]單價分析表!#REF!</definedName>
    <definedName name="號數33" localSheetId="0">[6]單價分析表!#REF!</definedName>
    <definedName name="號數33">[6]單價分析表!#REF!</definedName>
    <definedName name="號數36" localSheetId="2">[6]單價分析表!#REF!</definedName>
    <definedName name="號數36" localSheetId="1">[6]單價分析表!#REF!</definedName>
    <definedName name="號數36" localSheetId="0">[6]單價分析表!#REF!</definedName>
    <definedName name="號數36">[6]單價分析表!#REF!</definedName>
    <definedName name="號數4" localSheetId="2">[6]單價分析表!#REF!</definedName>
    <definedName name="號數4" localSheetId="1">[6]單價分析表!#REF!</definedName>
    <definedName name="號數4" localSheetId="0">[6]單價分析表!#REF!</definedName>
    <definedName name="號數4">[6]單價分析表!#REF!</definedName>
    <definedName name="號數46" localSheetId="2">[3]單價分析表!#REF!</definedName>
    <definedName name="號數46" localSheetId="1">[3]單價分析表!#REF!</definedName>
    <definedName name="號數46" localSheetId="0">[3]單價分析表!#REF!</definedName>
    <definedName name="號數46">[3]單價分析表!#REF!</definedName>
    <definedName name="號數47" localSheetId="2">[5]單價分析表!#REF!</definedName>
    <definedName name="號數47" localSheetId="1">[5]單價分析表!#REF!</definedName>
    <definedName name="號數47" localSheetId="0">[5]單價分析表!#REF!</definedName>
    <definedName name="號數47">[5]單價分析表!#REF!</definedName>
    <definedName name="號數48" localSheetId="2">[3]單價分析表!#REF!</definedName>
    <definedName name="號數48" localSheetId="1">[3]單價分析表!#REF!</definedName>
    <definedName name="號數48" localSheetId="0">[3]單價分析表!#REF!</definedName>
    <definedName name="號數48">[3]單價分析表!#REF!</definedName>
    <definedName name="號數49" localSheetId="2">[5]單價分析表!#REF!</definedName>
    <definedName name="號數49" localSheetId="1">[5]單價分析表!#REF!</definedName>
    <definedName name="號數49" localSheetId="0">[5]單價分析表!#REF!</definedName>
    <definedName name="號數49">[5]單價分析表!#REF!</definedName>
    <definedName name="號數5" localSheetId="2">[5]單價分析表!#REF!</definedName>
    <definedName name="號數5" localSheetId="1">[5]單價分析表!#REF!</definedName>
    <definedName name="號數5" localSheetId="0">[5]單價分析表!#REF!</definedName>
    <definedName name="號數5">[5]單價分析表!#REF!</definedName>
    <definedName name="號數50" localSheetId="2">[3]單價分析表!#REF!</definedName>
    <definedName name="號數50" localSheetId="1">[3]單價分析表!#REF!</definedName>
    <definedName name="號數50" localSheetId="0">[3]單價分析表!#REF!</definedName>
    <definedName name="號數50">[3]單價分析表!#REF!</definedName>
    <definedName name="號數51" localSheetId="2">[3]單價分析表!#REF!</definedName>
    <definedName name="號數51" localSheetId="1">[3]單價分析表!#REF!</definedName>
    <definedName name="號數51" localSheetId="0">[3]單價分析表!#REF!</definedName>
    <definedName name="號數51">[3]單價分析表!#REF!</definedName>
    <definedName name="號數52" localSheetId="2">[3]單價分析表!#REF!</definedName>
    <definedName name="號數52" localSheetId="1">[3]單價分析表!#REF!</definedName>
    <definedName name="號數52" localSheetId="0">[3]單價分析表!#REF!</definedName>
    <definedName name="號數52">[3]單價分析表!#REF!</definedName>
    <definedName name="號數53" localSheetId="2">[3]單價分析表!#REF!</definedName>
    <definedName name="號數53" localSheetId="1">[3]單價分析表!#REF!</definedName>
    <definedName name="號數53" localSheetId="0">[3]單價分析表!#REF!</definedName>
    <definedName name="號數53">[3]單價分析表!#REF!</definedName>
    <definedName name="說明" localSheetId="0">[4]單價分析表!#REF!</definedName>
    <definedName name="說明">[4]單價分析表!#REF!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21" l="1"/>
  <c r="N7" i="21"/>
  <c r="N6" i="21"/>
  <c r="N5" i="21"/>
  <c r="O5" i="21" s="1"/>
  <c r="I43" i="21"/>
  <c r="J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6" i="11"/>
  <c r="L38" i="11" s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1" i="21" l="1"/>
  <c r="F35" i="21" s="1"/>
  <c r="O2" i="21" s="1"/>
  <c r="O30" i="21" s="1"/>
  <c r="H32" i="21"/>
  <c r="F38" i="11"/>
  <c r="L40" i="11" s="1"/>
  <c r="P30" i="21" l="1"/>
  <c r="N27" i="21"/>
  <c r="O27" i="21" s="1"/>
  <c r="P27" i="21" s="1"/>
  <c r="N26" i="21"/>
  <c r="O26" i="21" s="1"/>
  <c r="P26" i="21" s="1"/>
  <c r="N10" i="21"/>
  <c r="O10" i="21" s="1"/>
  <c r="P10" i="21" s="1"/>
  <c r="N8" i="21"/>
  <c r="O8" i="21" s="1"/>
  <c r="P8" i="21" s="1"/>
  <c r="O6" i="21"/>
  <c r="P6" i="21" s="1"/>
  <c r="N29" i="21"/>
  <c r="O29" i="21" s="1"/>
  <c r="P29" i="21" s="1"/>
  <c r="N25" i="21"/>
  <c r="O25" i="21" s="1"/>
  <c r="P25" i="21" s="1"/>
  <c r="N24" i="21"/>
  <c r="O24" i="21" s="1"/>
  <c r="P24" i="21" s="1"/>
  <c r="N23" i="21"/>
  <c r="O23" i="21" s="1"/>
  <c r="P23" i="21" s="1"/>
  <c r="N22" i="21"/>
  <c r="O22" i="21" s="1"/>
  <c r="P22" i="21" s="1"/>
  <c r="N21" i="21"/>
  <c r="O21" i="21" s="1"/>
  <c r="P21" i="21" s="1"/>
  <c r="N20" i="21"/>
  <c r="O20" i="21" s="1"/>
  <c r="P20" i="21" s="1"/>
  <c r="N17" i="21"/>
  <c r="O17" i="21" s="1"/>
  <c r="P17" i="21" s="1"/>
  <c r="N19" i="21"/>
  <c r="O19" i="21" s="1"/>
  <c r="P19" i="21" s="1"/>
  <c r="N18" i="21"/>
  <c r="O18" i="21" s="1"/>
  <c r="P18" i="21" s="1"/>
  <c r="N16" i="21"/>
  <c r="O16" i="21" s="1"/>
  <c r="P16" i="21" s="1"/>
  <c r="N15" i="21"/>
  <c r="O15" i="21" s="1"/>
  <c r="P15" i="21" s="1"/>
  <c r="N14" i="21"/>
  <c r="O14" i="21" s="1"/>
  <c r="P14" i="21" s="1"/>
  <c r="N13" i="21"/>
  <c r="O13" i="21" s="1"/>
  <c r="P13" i="21" s="1"/>
  <c r="N12" i="21"/>
  <c r="O12" i="21" s="1"/>
  <c r="P12" i="21" s="1"/>
  <c r="N11" i="21"/>
  <c r="O11" i="21" s="1"/>
  <c r="P11" i="21" s="1"/>
  <c r="N9" i="21"/>
  <c r="O9" i="21" s="1"/>
  <c r="P9" i="21" s="1"/>
  <c r="O7" i="21"/>
  <c r="P7" i="21" s="1"/>
  <c r="N28" i="21"/>
  <c r="O28" i="21" s="1"/>
  <c r="P28" i="21" s="1"/>
  <c r="I32" i="21"/>
  <c r="P5" i="21" l="1"/>
  <c r="P31" i="21" s="1"/>
  <c r="E43" i="11" l="1"/>
  <c r="E45" i="11"/>
  <c r="E44" i="11" l="1"/>
  <c r="F44" i="11" s="1"/>
  <c r="F43" i="11"/>
  <c r="F45" i="11" l="1"/>
  <c r="H4" i="6"/>
  <c r="H5" i="6"/>
  <c r="H6" i="6"/>
  <c r="H7" i="6"/>
  <c r="H8" i="6"/>
  <c r="H9" i="6"/>
  <c r="H10" i="6"/>
  <c r="H11" i="6"/>
  <c r="H12" i="6"/>
  <c r="H13" i="6"/>
  <c r="I13" i="6" s="1"/>
  <c r="H14" i="6"/>
  <c r="F4" i="6"/>
  <c r="I4" i="6" s="1"/>
  <c r="F5" i="6"/>
  <c r="F6" i="6"/>
  <c r="F7" i="6"/>
  <c r="F8" i="6"/>
  <c r="F9" i="6"/>
  <c r="F10" i="6"/>
  <c r="F11" i="6"/>
  <c r="F12" i="6"/>
  <c r="F13" i="6"/>
  <c r="F14" i="6"/>
  <c r="F25" i="6"/>
  <c r="H25" i="6" s="1"/>
  <c r="I26" i="6" s="1"/>
  <c r="F4" i="5"/>
  <c r="F5" i="5"/>
  <c r="F6" i="5"/>
  <c r="F7" i="5"/>
  <c r="F8" i="5"/>
  <c r="F9" i="5"/>
  <c r="F10" i="5"/>
  <c r="F11" i="5"/>
  <c r="F12" i="5"/>
  <c r="F13" i="5"/>
  <c r="F14" i="5"/>
  <c r="F15" i="5"/>
  <c r="I15" i="5" s="1"/>
  <c r="F16" i="5"/>
  <c r="F17" i="5"/>
  <c r="F18" i="5"/>
  <c r="F19" i="5"/>
  <c r="F20" i="5"/>
  <c r="F21" i="5"/>
  <c r="H5" i="5"/>
  <c r="H6" i="5"/>
  <c r="H7" i="5"/>
  <c r="H8" i="5"/>
  <c r="H9" i="5"/>
  <c r="H11" i="5"/>
  <c r="I11" i="5" s="1"/>
  <c r="H13" i="5"/>
  <c r="H14" i="5"/>
  <c r="H15" i="5"/>
  <c r="H16" i="5"/>
  <c r="H17" i="5"/>
  <c r="F32" i="5"/>
  <c r="H32" i="5"/>
  <c r="I8" i="6"/>
  <c r="F3" i="4"/>
  <c r="F4" i="4"/>
  <c r="F5" i="4"/>
  <c r="F6" i="4"/>
  <c r="F7" i="4"/>
  <c r="F8" i="4"/>
  <c r="F9" i="4"/>
  <c r="F10" i="4"/>
  <c r="F11" i="4"/>
  <c r="F12" i="4"/>
  <c r="F13" i="4"/>
  <c r="F14" i="4"/>
  <c r="F15" i="6" l="1"/>
  <c r="F15" i="4"/>
  <c r="I10" i="6"/>
  <c r="I11" i="6"/>
  <c r="I7" i="5"/>
  <c r="H15" i="6"/>
  <c r="I12" i="6"/>
  <c r="I9" i="6"/>
  <c r="I9" i="5"/>
  <c r="I16" i="5"/>
  <c r="I14" i="5"/>
  <c r="I17" i="5"/>
  <c r="I5" i="5"/>
  <c r="I7" i="6"/>
  <c r="F22" i="5"/>
  <c r="I6" i="6"/>
  <c r="I5" i="6"/>
  <c r="I15" i="6" s="1"/>
  <c r="I8" i="5"/>
  <c r="I13" i="5"/>
  <c r="I14" i="6"/>
  <c r="I6" i="5"/>
  <c r="I22" i="5" l="1"/>
  <c r="I16" i="6"/>
  <c r="I17" i="6" s="1"/>
  <c r="I23" i="5"/>
  <c r="I24" i="5" s="1"/>
  <c r="M22" i="5"/>
  <c r="I25" i="5" s="1"/>
  <c r="I33" i="5" s="1"/>
</calcChain>
</file>

<file path=xl/sharedStrings.xml><?xml version="1.0" encoding="utf-8"?>
<sst xmlns="http://schemas.openxmlformats.org/spreadsheetml/2006/main" count="348" uniqueCount="172">
  <si>
    <t>項目</t>
    <phoneticPr fontId="2" type="noConversion"/>
  </si>
  <si>
    <t>說明</t>
    <phoneticPr fontId="2" type="noConversion"/>
  </si>
  <si>
    <t>單位</t>
    <phoneticPr fontId="2" type="noConversion"/>
  </si>
  <si>
    <t>數量</t>
    <phoneticPr fontId="2" type="noConversion"/>
  </si>
  <si>
    <t>單價</t>
    <phoneticPr fontId="2" type="noConversion"/>
  </si>
  <si>
    <t>複價</t>
    <phoneticPr fontId="2" type="noConversion"/>
  </si>
  <si>
    <t>備註</t>
    <phoneticPr fontId="2" type="noConversion"/>
  </si>
  <si>
    <t>合計</t>
    <phoneticPr fontId="2" type="noConversion"/>
  </si>
  <si>
    <t>工程名稱：北投士林科技園區區段徵收公共工程－填土整地工程（第2期－T16、T17、T18以外工區）</t>
    <phoneticPr fontId="2" type="noConversion"/>
  </si>
  <si>
    <t>組</t>
    <phoneticPr fontId="2" type="noConversion"/>
  </si>
  <si>
    <t>現地試挖及回填</t>
    <phoneticPr fontId="2" type="noConversion"/>
  </si>
  <si>
    <t>處</t>
    <phoneticPr fontId="2" type="noConversion"/>
  </si>
  <si>
    <t>TR磚拆除及運置</t>
    <phoneticPr fontId="2" type="noConversion"/>
  </si>
  <si>
    <t>式</t>
    <phoneticPr fontId="2" type="noConversion"/>
  </si>
  <si>
    <t>帆布</t>
    <phoneticPr fontId="2" type="noConversion"/>
  </si>
  <si>
    <t>M2</t>
    <phoneticPr fontId="2" type="noConversion"/>
  </si>
  <si>
    <t>梁、柱拆除及運置</t>
    <phoneticPr fontId="2" type="noConversion"/>
  </si>
  <si>
    <t>根</t>
    <phoneticPr fontId="2" type="noConversion"/>
  </si>
  <si>
    <t>預鑄鋼筋混凝土基座(埋管用)，D=1000mm管用</t>
    <phoneticPr fontId="2" type="noConversion"/>
  </si>
  <si>
    <t>座</t>
    <phoneticPr fontId="2" type="noConversion"/>
  </si>
  <si>
    <t>臨時擋土樁設施，鋼板樁50kg/m(L=6m，間距=50cm)</t>
    <phoneticPr fontId="2" type="noConversion"/>
  </si>
  <si>
    <t>M</t>
    <phoneticPr fontId="2" type="noConversion"/>
  </si>
  <si>
    <t>品質管制，透水管試驗費</t>
    <phoneticPr fontId="2" type="noConversion"/>
  </si>
  <si>
    <t>組</t>
    <phoneticPr fontId="2" type="noConversion"/>
  </si>
  <si>
    <t>品質管制，毒性特性溶出試驗費</t>
    <phoneticPr fontId="2" type="noConversion"/>
  </si>
  <si>
    <t>工地覆蓋防塵布</t>
    <phoneticPr fontId="2" type="noConversion"/>
  </si>
  <si>
    <t xml:space="preserve">新增項目  </t>
    <phoneticPr fontId="2" type="noConversion"/>
  </si>
  <si>
    <t xml:space="preserve">新增項目    </t>
    <phoneticPr fontId="2" type="noConversion"/>
  </si>
  <si>
    <t>新增項目      分析表6</t>
    <phoneticPr fontId="2" type="noConversion"/>
  </si>
  <si>
    <t>140kgf/cm2混凝土澆置，T=5cm(含鍍鋅菱形鐵絲網)</t>
  </si>
  <si>
    <t>M2</t>
  </si>
  <si>
    <t xml:space="preserve">新增項目  </t>
    <phoneticPr fontId="2" type="noConversion"/>
  </si>
  <si>
    <t>標誌，鋁板標誌牌(附掛)</t>
    <phoneticPr fontId="2" type="noConversion"/>
  </si>
  <si>
    <t>式</t>
  </si>
  <si>
    <t>新增項目     分析表5</t>
    <phoneticPr fontId="2" type="noConversion"/>
  </si>
  <si>
    <t>新增項目      分析表7</t>
    <phoneticPr fontId="2" type="noConversion"/>
  </si>
  <si>
    <t xml:space="preserve">新增項目
契約單價
分析表1      </t>
    <phoneticPr fontId="2" type="noConversion"/>
  </si>
  <si>
    <t xml:space="preserve">新增項目  
分析表2   </t>
    <phoneticPr fontId="2" type="noConversion"/>
  </si>
  <si>
    <t xml:space="preserve">新增項目
契約單價   </t>
    <phoneticPr fontId="2" type="noConversion"/>
  </si>
  <si>
    <t xml:space="preserve">新增項目
契約單價
分析表3   </t>
    <phoneticPr fontId="2" type="noConversion"/>
  </si>
  <si>
    <t xml:space="preserve">新增項目
契約單價
分析表4   </t>
    <phoneticPr fontId="2" type="noConversion"/>
  </si>
  <si>
    <t>福國路臨洲美街9、10鄰便道使用期間維管費用</t>
    <phoneticPr fontId="2" type="noConversion"/>
  </si>
  <si>
    <t>本次變更</t>
    <phoneticPr fontId="2" type="noConversion"/>
  </si>
  <si>
    <t>設計便簽</t>
    <phoneticPr fontId="2" type="noConversion"/>
  </si>
  <si>
    <t>6變</t>
    <phoneticPr fontId="2" type="noConversion"/>
  </si>
  <si>
    <t>6變</t>
    <phoneticPr fontId="2" type="noConversion"/>
  </si>
  <si>
    <t>7變</t>
    <phoneticPr fontId="2" type="noConversion"/>
  </si>
  <si>
    <t>差額</t>
    <phoneticPr fontId="2" type="noConversion"/>
  </si>
  <si>
    <t>8.11</t>
    <phoneticPr fontId="2" type="noConversion"/>
  </si>
  <si>
    <t>植草，撒草種(覆蓋稻草蓆)</t>
    <phoneticPr fontId="2" type="noConversion"/>
  </si>
  <si>
    <t>2變</t>
    <phoneticPr fontId="2" type="noConversion"/>
  </si>
  <si>
    <t>鋼筋混凝土管(B型)，D=1000mm，三級管，未含開挖回填</t>
    <phoneticPr fontId="2" type="noConversion"/>
  </si>
  <si>
    <t>M</t>
    <phoneticPr fontId="2" type="noConversion"/>
  </si>
  <si>
    <t>項次</t>
    <phoneticPr fontId="2" type="noConversion"/>
  </si>
  <si>
    <t>紐澤西護欄，活動式預鑄混凝土護欄</t>
    <phoneticPr fontId="2" type="noConversion"/>
  </si>
  <si>
    <t>座</t>
    <phoneticPr fontId="2" type="noConversion"/>
  </si>
  <si>
    <t>契約單價</t>
    <phoneticPr fontId="2" type="noConversion"/>
  </si>
  <si>
    <t>設計編列單價</t>
    <phoneticPr fontId="2" type="noConversion"/>
  </si>
  <si>
    <t>契約單價</t>
    <phoneticPr fontId="2" type="noConversion"/>
  </si>
  <si>
    <t>鋼筋，SD280W</t>
    <phoneticPr fontId="2" type="noConversion"/>
  </si>
  <si>
    <t>KG</t>
    <phoneticPr fontId="2" type="noConversion"/>
  </si>
  <si>
    <t>原合約</t>
    <phoneticPr fontId="2" type="noConversion"/>
  </si>
  <si>
    <t>含稅</t>
    <phoneticPr fontId="2" type="noConversion"/>
  </si>
  <si>
    <t>6變追加</t>
    <phoneticPr fontId="2" type="noConversion"/>
  </si>
  <si>
    <t>7變追減</t>
    <phoneticPr fontId="2" type="noConversion"/>
  </si>
  <si>
    <t>小計</t>
    <phoneticPr fontId="2" type="noConversion"/>
  </si>
  <si>
    <t>設計便簽</t>
    <phoneticPr fontId="2" type="noConversion"/>
  </si>
  <si>
    <t>本次辦理</t>
    <phoneticPr fontId="2" type="noConversion"/>
  </si>
  <si>
    <t>透水管埋設(150mmψ，高抗壓防側壓軟管)</t>
    <phoneticPr fontId="2" type="noConversion"/>
  </si>
  <si>
    <t>標線，熱塑性塑膠，反光，厚2mm，含玻璃珠</t>
    <phoneticPr fontId="2" type="noConversion"/>
  </si>
  <si>
    <t>M2</t>
    <phoneticPr fontId="2" type="noConversion"/>
  </si>
  <si>
    <t>M2</t>
    <phoneticPr fontId="2" type="noConversion"/>
  </si>
  <si>
    <t>小計(未稅)</t>
    <phoneticPr fontId="2" type="noConversion"/>
  </si>
  <si>
    <t>稅金</t>
    <phoneticPr fontId="2" type="noConversion"/>
  </si>
  <si>
    <t>合計</t>
    <phoneticPr fontId="2" type="noConversion"/>
  </si>
  <si>
    <t xml:space="preserve">新增項目
契約單價   </t>
    <phoneticPr fontId="2" type="noConversion"/>
  </si>
  <si>
    <t>M</t>
  </si>
  <si>
    <t>組</t>
  </si>
  <si>
    <t>臺北市政府工務局水利工程處</t>
    <phoneticPr fontId="2" type="noConversion"/>
  </si>
  <si>
    <t>詳細表</t>
    <phoneticPr fontId="2" type="noConversion"/>
  </si>
  <si>
    <t>單　價</t>
    <phoneticPr fontId="2" type="noConversion"/>
  </si>
  <si>
    <t>複  價</t>
    <phoneticPr fontId="1" type="noConversion"/>
  </si>
  <si>
    <t>備　註</t>
    <phoneticPr fontId="2" type="noConversion"/>
  </si>
  <si>
    <t>原契約部分</t>
    <phoneticPr fontId="2" type="noConversion"/>
  </si>
  <si>
    <t>新增部分</t>
    <phoneticPr fontId="2" type="noConversion"/>
  </si>
  <si>
    <t>新增</t>
    <phoneticPr fontId="2" type="noConversion"/>
  </si>
  <si>
    <t>契約</t>
    <phoneticPr fontId="2" type="noConversion"/>
  </si>
  <si>
    <t>臺北市政府工務局水利工程處工程變更設計議價項目總表</t>
    <phoneticPr fontId="2" type="noConversion"/>
  </si>
  <si>
    <t>承辦工務所：北投工務所</t>
    <phoneticPr fontId="2" type="noConversion"/>
  </si>
  <si>
    <t>工務所填列</t>
    <phoneticPr fontId="2" type="noConversion"/>
  </si>
  <si>
    <t>採購審查小組填列</t>
    <phoneticPr fontId="2" type="noConversion"/>
  </si>
  <si>
    <t>項次</t>
    <phoneticPr fontId="2" type="noConversion"/>
  </si>
  <si>
    <t>工作項目及說明</t>
    <phoneticPr fontId="2" type="noConversion"/>
  </si>
  <si>
    <t>單位</t>
    <phoneticPr fontId="2" type="noConversion"/>
  </si>
  <si>
    <t>數量</t>
    <phoneticPr fontId="2" type="noConversion"/>
  </si>
  <si>
    <t>原單價</t>
    <phoneticPr fontId="2" type="noConversion"/>
  </si>
  <si>
    <t>原總價</t>
    <phoneticPr fontId="2" type="noConversion"/>
  </si>
  <si>
    <t>建議單價</t>
    <phoneticPr fontId="2" type="noConversion"/>
  </si>
  <si>
    <t>建議總價</t>
    <phoneticPr fontId="2" type="noConversion"/>
  </si>
  <si>
    <t>該項佔原契約單價金額(A)</t>
    <phoneticPr fontId="2" type="noConversion"/>
  </si>
  <si>
    <t>(A)*變更數量</t>
    <phoneticPr fontId="2" type="noConversion"/>
  </si>
  <si>
    <t>原總價合計(A)：</t>
    <phoneticPr fontId="2" type="noConversion"/>
  </si>
  <si>
    <t>建議總價合計(B)：</t>
    <phoneticPr fontId="2" type="noConversion"/>
  </si>
  <si>
    <t>打折數(B/A)：</t>
    <phoneticPr fontId="2" type="noConversion"/>
  </si>
  <si>
    <t>本次變更原契約部分總價</t>
    <phoneticPr fontId="2" type="noConversion"/>
  </si>
  <si>
    <t>所佔比例</t>
    <phoneticPr fontId="2" type="noConversion"/>
  </si>
  <si>
    <t>原契約部分</t>
    <phoneticPr fontId="2" type="noConversion"/>
  </si>
  <si>
    <t>新增部分</t>
    <phoneticPr fontId="2" type="noConversion"/>
  </si>
  <si>
    <t>C.M3</t>
  </si>
  <si>
    <t>工程名稱：磺港溪再造C段護岸及步道整建工程(三合橋至奇岩抽水站)</t>
    <phoneticPr fontId="2" type="noConversion"/>
  </si>
  <si>
    <t>級配粒料底層，碎石級配</t>
  </si>
  <si>
    <t>工程名稱：磺港溪再造C段護岸及步道整建工程(延壽橋至三合橋)</t>
    <phoneticPr fontId="2" type="noConversion"/>
  </si>
  <si>
    <t>才</t>
  </si>
  <si>
    <t>座</t>
  </si>
  <si>
    <t>蝶舞亭地坪及外飾面(含板材手工鍛造成型、板材手工拋磨、造型製作、工廠內假組立等)</t>
  </si>
  <si>
    <t>觀溪亭地坪及外飾面</t>
  </si>
  <si>
    <t>手孔埋設</t>
  </si>
  <si>
    <t>株</t>
  </si>
  <si>
    <t>九重葛，120≦高度&lt;150cm</t>
  </si>
  <si>
    <t>紙莎草，30≦高度&lt;40cm，寬度&lt;10cm</t>
  </si>
  <si>
    <t>番茉莉，50≦高度&lt;60cm，25≦寬度&lt;30cm</t>
  </si>
  <si>
    <t>個</t>
  </si>
  <si>
    <t>樟樹，400≦樹高&lt;450cm，200≦樹幅&lt;220cm，10≦米高直徑&lt;12cm</t>
  </si>
  <si>
    <t>烏桕，400≦樹高&lt;450cm，200≦樹幅&lt;220cm，14≦米高直徑&lt;16cm</t>
  </si>
  <si>
    <t>水柳，450≦樹高&lt;500cm，220≦樹幅&lt;240cm，14≦米高直徑&lt;16cm</t>
  </si>
  <si>
    <t>九芎，450≦樹高&lt;500cm，220≦樹幅&lt;240cm，14≦米高直徑&lt;16cm</t>
  </si>
  <si>
    <t>台灣石楠，250≦樹高&lt;300cm，160≦樹幅&lt;180cm，8≦米高直徑&lt;10cm</t>
  </si>
  <si>
    <t>水茄苳，450≦樹高&lt;500cm，220≦樹幅&lt;240cm，14≦米高直徑&lt;16cm</t>
  </si>
  <si>
    <t>道路交通標誌牌面</t>
  </si>
  <si>
    <t>人行道化妝蓋板及底座</t>
  </si>
  <si>
    <t>地工織物，抗沖蝕網，疊接施工</t>
  </si>
  <si>
    <t>仿清水混凝土塗裝</t>
  </si>
  <si>
    <t>6"PVC管埋設及附掛(含接頭、彎管及吊架、過管補強版等)</t>
  </si>
  <si>
    <t>3"PVC管埋設(含接頭、彎管、導線佈設等)</t>
  </si>
  <si>
    <t>處</t>
  </si>
  <si>
    <t>園區既有鋼料除銹打磨修整塗裝</t>
  </si>
  <si>
    <t>園區內木作欄杆修整，含護木漆塗布</t>
  </si>
  <si>
    <t>既有木作修復更新，含拆除、運棄</t>
  </si>
  <si>
    <t>特殊地坪，壓花地坪</t>
  </si>
  <si>
    <t>戶外專用電腦噴繪輸出及彩色膠膜</t>
  </si>
  <si>
    <t>鋼筋，植筋，D13mm，鑽孔(含空氣槍清孔)及化學藥劑</t>
  </si>
  <si>
    <t>孔</t>
  </si>
  <si>
    <t>洩水袋</t>
  </si>
  <si>
    <t>鋼筋，植筋，D16mm，鑽孔(含空氣槍清孔)及化學藥劑</t>
  </si>
  <si>
    <t>12"排水鋼管，含埋設</t>
  </si>
  <si>
    <t>液位警報系統(系統規劃建置、網路線佈設等)</t>
  </si>
  <si>
    <t>不鏽鋼板雷射造型切割</t>
  </si>
  <si>
    <t>工程效益宣導活動</t>
  </si>
  <si>
    <t>可議價金額</t>
  </si>
  <si>
    <t>不需議價金額</t>
  </si>
  <si>
    <t>備註：
原契約部分總價：4,424,866.28元(29.48%)。
新增部分總價：10,582,410.68元(70.52%)。</t>
    <phoneticPr fontId="2" type="noConversion"/>
  </si>
  <si>
    <t>折數:</t>
    <phoneticPr fontId="2" type="noConversion"/>
  </si>
  <si>
    <t>打折後複價</t>
    <phoneticPr fontId="2" type="noConversion"/>
  </si>
  <si>
    <t>議價後單價</t>
    <phoneticPr fontId="2" type="noConversion"/>
  </si>
  <si>
    <t>議價後複價</t>
    <phoneticPr fontId="2" type="noConversion"/>
  </si>
  <si>
    <t>調整項</t>
    <phoneticPr fontId="2" type="noConversion"/>
  </si>
  <si>
    <t>彈性地墊、收邊更新，含既有地墊拆除、運棄</t>
  </si>
  <si>
    <t>既有木作修復更新</t>
  </si>
  <si>
    <t>既有棧道更新，含基礎鋼料更新</t>
  </si>
  <si>
    <t>既有木棧橋鋪面更新，含護木漆塗布</t>
  </si>
  <si>
    <t>水位計遷移費</t>
  </si>
  <si>
    <t>水位尺，含安裝</t>
  </si>
  <si>
    <t>磺港溪沖孔飾板，含加工、安裝</t>
  </si>
  <si>
    <t>汙水管線附屬工作，人孔蓋及蓋座，標稱直徑750mm，球狀石墨鑄鐵</t>
  </si>
  <si>
    <t>標線，路線漆</t>
  </si>
  <si>
    <t>褐根病防治處理(植物保護，一般藥劑燻蒸處理)</t>
  </si>
  <si>
    <t>烏心石，400≦樹高&lt;450cm，160cm≦樹幅&lt;180cm，8≦米高直徑&lt;10cm</t>
  </si>
  <si>
    <t>光臘樹，450≦樹高&lt;500cm，220cm≦樹幅&lt;240cm，10≦米高直徑&lt;12cm</t>
  </si>
  <si>
    <t>紙莎草，30≦枝長&lt;40cm，寬度&lt;10cm</t>
  </si>
  <si>
    <t>森氏紅淡比，250≦樹高&lt;300cm，160cm≦樹幅&lt;180cm，8≦米高直徑&lt;10cm</t>
  </si>
  <si>
    <t>白鶴芋，25≦高度&lt;30cm，20≦寬度&lt;25cm</t>
  </si>
  <si>
    <t>九重葛，120≦高度(枝長)&lt;150cm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</si>
</sst>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3" formatCode="_-* #,##0.00_-;\-* #,##0.00_-;_-* &quot;-&quot;??_-;_-@_-"/>
    <numFmt numFmtId="176" formatCode="#,##0.00_);[Red]\(#,##0.00\)"/>
    <numFmt numFmtId="177" formatCode="#,##0.00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#.##"/>
    <numFmt numFmtId="181" formatCode="#,##0.000;[Red]&quot;-&quot;#,##0.000"/>
    <numFmt numFmtId="182" formatCode="_ * #,##0_ ;_ * \-#,##0_ ;_ * &quot;-&quot;_ ;_ @_ "/>
    <numFmt numFmtId="183" formatCode="_ * #,##0.00_ ;_ * \-#,##0.00_ ;_ * &quot;-&quot;??_ ;_ @_ "/>
    <numFmt numFmtId="184" formatCode="&quot;$&quot;#,##0\ ;\(&quot;$&quot;#,##0\)"/>
    <numFmt numFmtId="185" formatCode="0.00_)"/>
    <numFmt numFmtId="186" formatCode="#,##0_ "/>
    <numFmt numFmtId="187" formatCode="#,##0_);[Red]\(#,##0\)"/>
    <numFmt numFmtId="188" formatCode="_-* #,##0.0_-;\-* #,##0.0_-;_-* &quot;-&quot;??_-;_-@_-"/>
    <numFmt numFmtId="189" formatCode="0.00_);[Red]\(0.00\)"/>
    <numFmt numFmtId="190" formatCode="0.000000%"/>
    <numFmt numFmtId="191" formatCode="0.0000000%"/>
  </numFmts>
  <fonts count="3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¹ÙÅÁÃ¼"/>
      <family val="1"/>
    </font>
    <font>
      <sz val="10"/>
      <name val="Arial"/>
      <family val="2"/>
    </font>
    <font>
      <u/>
      <sz val="10"/>
      <color indexed="14"/>
      <name val="MS Sans Serif"/>
      <family val="2"/>
    </font>
    <font>
      <sz val="11"/>
      <name val="µ¸¿ò"/>
      <family val="1"/>
    </font>
    <font>
      <sz val="12"/>
      <name val="±¼¸²"/>
      <family val="1"/>
    </font>
    <font>
      <sz val="10"/>
      <name val="MS Sans Serif"/>
      <family val="2"/>
    </font>
    <font>
      <sz val="12"/>
      <name val="±¼¸²Ã¼"/>
      <family val="1"/>
    </font>
    <font>
      <u/>
      <sz val="12"/>
      <color indexed="12"/>
      <name val="Tms Rmn"/>
      <family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color indexed="8"/>
      <name val="Arial"/>
      <family val="2"/>
    </font>
    <font>
      <sz val="12"/>
      <color theme="1"/>
      <name val="新細明體"/>
      <family val="1"/>
      <charset val="136"/>
      <scheme val="minor"/>
    </font>
    <font>
      <sz val="9"/>
      <name val="華康仿宋體"/>
      <family val="3"/>
      <charset val="136"/>
    </font>
    <font>
      <sz val="12"/>
      <name val="標楷體"/>
      <family val="4"/>
      <charset val="136"/>
    </font>
    <font>
      <sz val="12"/>
      <name val="Arial"/>
      <family val="2"/>
    </font>
    <font>
      <sz val="14"/>
      <name val="標楷體"/>
      <family val="4"/>
      <charset val="136"/>
    </font>
    <font>
      <sz val="14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0000CC"/>
      <name val="標楷體"/>
      <family val="4"/>
      <charset val="136"/>
    </font>
    <font>
      <sz val="14"/>
      <color rgb="FF0000CC"/>
      <name val="標楷體"/>
      <family val="4"/>
      <charset val="136"/>
    </font>
    <font>
      <sz val="12"/>
      <color rgb="FF0000CC"/>
      <name val="Arial"/>
      <family val="2"/>
    </font>
    <font>
      <sz val="12"/>
      <color theme="1"/>
      <name val="標楷體"/>
      <family val="4"/>
      <charset val="136"/>
    </font>
    <font>
      <sz val="12"/>
      <name val="新細明體"/>
      <family val="1"/>
    </font>
    <font>
      <sz val="18"/>
      <name val="新細明體"/>
      <family val="1"/>
      <charset val="136"/>
    </font>
    <font>
      <b/>
      <sz val="18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sz val="18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6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8" fillId="0" borderId="0"/>
    <xf numFmtId="182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4" fillId="0" borderId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38" fontId="11" fillId="2" borderId="0" applyNumberFormat="0" applyBorder="0" applyAlignment="0" applyProtection="0"/>
    <xf numFmtId="0" fontId="12" fillId="0" borderId="3" applyNumberFormat="0" applyAlignment="0" applyProtection="0">
      <alignment horizontal="left" vertical="center"/>
    </xf>
    <xf numFmtId="0" fontId="12" fillId="0" borderId="4">
      <alignment horizontal="left" vertical="center"/>
    </xf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0" fontId="11" fillId="3" borderId="2" applyNumberFormat="0" applyBorder="0" applyAlignment="0" applyProtection="0"/>
    <xf numFmtId="37" fontId="15" fillId="0" borderId="0"/>
    <xf numFmtId="185" fontId="16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4" fillId="0" borderId="5" applyNumberFormat="0" applyFont="0" applyFill="0" applyAlignment="0" applyProtection="0"/>
    <xf numFmtId="0" fontId="17" fillId="0" borderId="0"/>
    <xf numFmtId="0" fontId="17" fillId="0" borderId="0"/>
    <xf numFmtId="0" fontId="18" fillId="0" borderId="0">
      <alignment vertical="center"/>
    </xf>
    <xf numFmtId="0" fontId="17" fillId="0" borderId="0"/>
    <xf numFmtId="0" fontId="1" fillId="0" borderId="0">
      <alignment vertical="center"/>
    </xf>
    <xf numFmtId="0" fontId="4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2">
      <alignment vertical="center" wrapText="1"/>
    </xf>
    <xf numFmtId="42" fontId="1" fillId="0" borderId="0" applyFont="0" applyFill="0" applyBorder="0" applyAlignment="0" applyProtection="0"/>
    <xf numFmtId="0" fontId="8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</cellStyleXfs>
  <cellXfs count="118">
    <xf numFmtId="0" fontId="0" fillId="0" borderId="0" xfId="0"/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177" fontId="21" fillId="0" borderId="2" xfId="0" applyNumberFormat="1" applyFont="1" applyBorder="1" applyAlignment="1">
      <alignment vertical="center" shrinkToFit="1"/>
    </xf>
    <xf numFmtId="0" fontId="20" fillId="0" borderId="0" xfId="0" applyFont="1"/>
    <xf numFmtId="0" fontId="20" fillId="0" borderId="2" xfId="0" applyFont="1" applyBorder="1" applyAlignment="1">
      <alignment horizontal="distributed" vertical="center"/>
    </xf>
    <xf numFmtId="0" fontId="20" fillId="0" borderId="2" xfId="0" applyFont="1" applyBorder="1" applyAlignment="1">
      <alignment horizontal="center" vertical="center"/>
    </xf>
    <xf numFmtId="176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 wrapText="1" shrinkToFit="1"/>
    </xf>
    <xf numFmtId="177" fontId="20" fillId="0" borderId="2" xfId="0" applyNumberFormat="1" applyFont="1" applyBorder="1" applyAlignment="1">
      <alignment horizontal="right" vertical="center" shrinkToFit="1"/>
    </xf>
    <xf numFmtId="177" fontId="20" fillId="0" borderId="2" xfId="0" applyNumberFormat="1" applyFont="1" applyBorder="1" applyAlignment="1">
      <alignment vertical="center" shrinkToFit="1"/>
    </xf>
    <xf numFmtId="0" fontId="20" fillId="0" borderId="2" xfId="0" applyFont="1" applyBorder="1" applyAlignment="1">
      <alignment horizontal="left" vertical="center"/>
    </xf>
    <xf numFmtId="177" fontId="20" fillId="0" borderId="0" xfId="0" applyNumberFormat="1" applyFont="1"/>
    <xf numFmtId="0" fontId="20" fillId="4" borderId="0" xfId="0" applyFont="1" applyFill="1"/>
    <xf numFmtId="0" fontId="20" fillId="4" borderId="2" xfId="0" applyFont="1" applyFill="1" applyBorder="1" applyAlignment="1">
      <alignment horizontal="distributed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 wrapText="1"/>
    </xf>
    <xf numFmtId="176" fontId="20" fillId="4" borderId="2" xfId="0" applyNumberFormat="1" applyFont="1" applyFill="1" applyBorder="1" applyAlignment="1">
      <alignment vertical="center"/>
    </xf>
    <xf numFmtId="0" fontId="20" fillId="4" borderId="2" xfId="0" applyFont="1" applyFill="1" applyBorder="1" applyAlignment="1">
      <alignment horizontal="center" vertical="center" wrapText="1"/>
    </xf>
    <xf numFmtId="177" fontId="21" fillId="4" borderId="2" xfId="0" applyNumberFormat="1" applyFont="1" applyFill="1" applyBorder="1" applyAlignment="1">
      <alignment vertical="center" shrinkToFit="1"/>
    </xf>
    <xf numFmtId="0" fontId="20" fillId="4" borderId="2" xfId="0" applyFont="1" applyFill="1" applyBorder="1" applyAlignment="1">
      <alignment horizontal="center" vertical="center" wrapText="1" shrinkToFit="1"/>
    </xf>
    <xf numFmtId="177" fontId="20" fillId="4" borderId="2" xfId="0" applyNumberFormat="1" applyFont="1" applyFill="1" applyBorder="1" applyAlignment="1">
      <alignment horizontal="right" vertical="center" shrinkToFit="1"/>
    </xf>
    <xf numFmtId="177" fontId="20" fillId="4" borderId="2" xfId="0" applyNumberFormat="1" applyFont="1" applyFill="1" applyBorder="1" applyAlignment="1">
      <alignment vertical="center" shrinkToFit="1"/>
    </xf>
    <xf numFmtId="0" fontId="20" fillId="4" borderId="2" xfId="0" applyFont="1" applyFill="1" applyBorder="1" applyAlignment="1">
      <alignment horizontal="left" vertical="center"/>
    </xf>
    <xf numFmtId="177" fontId="20" fillId="4" borderId="0" xfId="0" applyNumberFormat="1" applyFont="1" applyFill="1"/>
    <xf numFmtId="49" fontId="20" fillId="4" borderId="2" xfId="0" applyNumberFormat="1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left" vertical="center" wrapText="1"/>
    </xf>
    <xf numFmtId="176" fontId="24" fillId="4" borderId="2" xfId="0" applyNumberFormat="1" applyFont="1" applyFill="1" applyBorder="1" applyAlignment="1">
      <alignment vertical="center"/>
    </xf>
    <xf numFmtId="0" fontId="24" fillId="4" borderId="2" xfId="0" applyFont="1" applyFill="1" applyBorder="1" applyAlignment="1">
      <alignment horizontal="center" vertical="center" wrapText="1"/>
    </xf>
    <xf numFmtId="0" fontId="24" fillId="4" borderId="0" xfId="0" applyFont="1" applyFill="1"/>
    <xf numFmtId="0" fontId="25" fillId="4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center" vertical="center" wrapText="1"/>
    </xf>
    <xf numFmtId="176" fontId="25" fillId="4" borderId="2" xfId="0" applyNumberFormat="1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 wrapText="1"/>
    </xf>
    <xf numFmtId="0" fontId="25" fillId="4" borderId="0" xfId="0" applyFont="1" applyFill="1"/>
    <xf numFmtId="177" fontId="27" fillId="4" borderId="2" xfId="0" applyNumberFormat="1" applyFont="1" applyFill="1" applyBorder="1" applyAlignment="1">
      <alignment vertical="center" shrinkToFit="1"/>
    </xf>
    <xf numFmtId="176" fontId="24" fillId="4" borderId="0" xfId="0" applyNumberFormat="1" applyFont="1" applyFill="1"/>
    <xf numFmtId="0" fontId="20" fillId="4" borderId="2" xfId="0" applyFont="1" applyFill="1" applyBorder="1" applyAlignment="1">
      <alignment horizontal="right"/>
    </xf>
    <xf numFmtId="186" fontId="20" fillId="4" borderId="2" xfId="0" applyNumberFormat="1" applyFont="1" applyFill="1" applyBorder="1" applyAlignment="1">
      <alignment horizontal="left"/>
    </xf>
    <xf numFmtId="0" fontId="20" fillId="4" borderId="2" xfId="0" applyFont="1" applyFill="1" applyBorder="1"/>
    <xf numFmtId="187" fontId="20" fillId="4" borderId="2" xfId="0" applyNumberFormat="1" applyFont="1" applyFill="1" applyBorder="1"/>
    <xf numFmtId="177" fontId="24" fillId="4" borderId="2" xfId="0" applyNumberFormat="1" applyFont="1" applyFill="1" applyBorder="1" applyAlignment="1">
      <alignment horizontal="right" vertical="center"/>
    </xf>
    <xf numFmtId="176" fontId="27" fillId="4" borderId="2" xfId="0" applyNumberFormat="1" applyFont="1" applyFill="1" applyBorder="1" applyAlignment="1">
      <alignment vertical="center" shrinkToFit="1"/>
    </xf>
    <xf numFmtId="0" fontId="26" fillId="4" borderId="9" xfId="0" applyFont="1" applyFill="1" applyBorder="1" applyAlignment="1">
      <alignment horizontal="center" vertical="center" wrapText="1"/>
    </xf>
    <xf numFmtId="176" fontId="20" fillId="0" borderId="2" xfId="0" applyNumberFormat="1" applyFont="1" applyBorder="1" applyAlignment="1">
      <alignment vertical="center" shrinkToFit="1"/>
    </xf>
    <xf numFmtId="0" fontId="30" fillId="0" borderId="0" xfId="60" applyFont="1">
      <alignment vertical="center"/>
    </xf>
    <xf numFmtId="188" fontId="32" fillId="0" borderId="0" xfId="56" applyNumberFormat="1" applyFont="1" applyAlignment="1">
      <alignment vertical="center"/>
    </xf>
    <xf numFmtId="0" fontId="1" fillId="0" borderId="0" xfId="60">
      <alignment vertical="center"/>
    </xf>
    <xf numFmtId="0" fontId="1" fillId="0" borderId="0" xfId="60" applyAlignment="1">
      <alignment horizontal="left" vertical="center"/>
    </xf>
    <xf numFmtId="0" fontId="20" fillId="0" borderId="2" xfId="60" applyFont="1" applyBorder="1">
      <alignment vertical="center"/>
    </xf>
    <xf numFmtId="188" fontId="20" fillId="0" borderId="2" xfId="56" applyNumberFormat="1" applyFont="1" applyBorder="1" applyAlignment="1">
      <alignment horizontal="center" vertical="center"/>
    </xf>
    <xf numFmtId="0" fontId="20" fillId="0" borderId="2" xfId="60" applyFont="1" applyBorder="1" applyAlignment="1">
      <alignment horizontal="center" vertical="center"/>
    </xf>
    <xf numFmtId="0" fontId="20" fillId="0" borderId="0" xfId="60" applyFont="1">
      <alignment vertical="center"/>
    </xf>
    <xf numFmtId="4" fontId="1" fillId="0" borderId="0" xfId="60" applyNumberFormat="1">
      <alignment vertical="center"/>
    </xf>
    <xf numFmtId="0" fontId="1" fillId="0" borderId="2" xfId="60" applyBorder="1">
      <alignment vertical="center"/>
    </xf>
    <xf numFmtId="189" fontId="1" fillId="0" borderId="2" xfId="60" applyNumberFormat="1" applyBorder="1">
      <alignment vertical="center"/>
    </xf>
    <xf numFmtId="10" fontId="0" fillId="0" borderId="0" xfId="57" applyNumberFormat="1" applyFont="1" applyBorder="1">
      <alignment vertical="center"/>
    </xf>
    <xf numFmtId="10" fontId="0" fillId="0" borderId="0" xfId="57" applyNumberFormat="1" applyFont="1">
      <alignment vertical="center"/>
    </xf>
    <xf numFmtId="2" fontId="1" fillId="0" borderId="0" xfId="60" applyNumberFormat="1">
      <alignment vertical="center"/>
    </xf>
    <xf numFmtId="0" fontId="28" fillId="0" borderId="0" xfId="63" applyFont="1">
      <alignment vertical="center"/>
    </xf>
    <xf numFmtId="0" fontId="28" fillId="0" borderId="2" xfId="63" applyFont="1" applyBorder="1" applyAlignment="1">
      <alignment horizontal="center" vertical="center"/>
    </xf>
    <xf numFmtId="0" fontId="1" fillId="0" borderId="2" xfId="55" applyBorder="1" applyAlignment="1">
      <alignment horizontal="center" vertical="center"/>
    </xf>
    <xf numFmtId="176" fontId="20" fillId="4" borderId="2" xfId="55" applyNumberFormat="1" applyFont="1" applyFill="1" applyBorder="1">
      <alignment vertical="center"/>
    </xf>
    <xf numFmtId="0" fontId="28" fillId="0" borderId="2" xfId="63" applyFont="1" applyBorder="1">
      <alignment vertical="center"/>
    </xf>
    <xf numFmtId="4" fontId="28" fillId="0" borderId="0" xfId="63" applyNumberFormat="1" applyFont="1">
      <alignment vertical="center"/>
    </xf>
    <xf numFmtId="176" fontId="28" fillId="0" borderId="2" xfId="63" applyNumberFormat="1" applyFont="1" applyBorder="1">
      <alignment vertical="center"/>
    </xf>
    <xf numFmtId="2" fontId="28" fillId="0" borderId="0" xfId="63" applyNumberFormat="1" applyFont="1">
      <alignment vertical="center"/>
    </xf>
    <xf numFmtId="0" fontId="28" fillId="0" borderId="0" xfId="63" applyFont="1" applyAlignment="1">
      <alignment horizontal="center" vertical="center"/>
    </xf>
    <xf numFmtId="10" fontId="28" fillId="0" borderId="0" xfId="57" applyNumberFormat="1" applyFont="1">
      <alignment vertical="center"/>
    </xf>
    <xf numFmtId="10" fontId="28" fillId="0" borderId="0" xfId="63" applyNumberFormat="1" applyFont="1">
      <alignment vertical="center"/>
    </xf>
    <xf numFmtId="177" fontId="20" fillId="0" borderId="2" xfId="61" applyNumberFormat="1" applyFont="1" applyBorder="1" applyAlignment="1">
      <alignment horizontal="right" vertical="center" shrinkToFit="1"/>
    </xf>
    <xf numFmtId="177" fontId="20" fillId="0" borderId="2" xfId="61" applyNumberFormat="1" applyFont="1" applyBorder="1" applyAlignment="1">
      <alignment vertical="center"/>
    </xf>
    <xf numFmtId="4" fontId="34" fillId="0" borderId="0" xfId="63" applyNumberFormat="1" applyFont="1">
      <alignment vertical="center"/>
    </xf>
    <xf numFmtId="0" fontId="34" fillId="0" borderId="0" xfId="63" applyFont="1">
      <alignment vertical="center"/>
    </xf>
    <xf numFmtId="0" fontId="20" fillId="0" borderId="7" xfId="0" applyFont="1" applyBorder="1" applyAlignment="1">
      <alignment horizontal="distributed" vertical="center"/>
    </xf>
    <xf numFmtId="0" fontId="20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176" fontId="20" fillId="0" borderId="7" xfId="0" applyNumberFormat="1" applyFont="1" applyBorder="1" applyAlignment="1">
      <alignment vertical="center" shrinkToFit="1"/>
    </xf>
    <xf numFmtId="0" fontId="22" fillId="0" borderId="0" xfId="0" applyFont="1" applyAlignment="1">
      <alignment horizontal="right" vertical="center"/>
    </xf>
    <xf numFmtId="190" fontId="1" fillId="0" borderId="0" xfId="60" applyNumberFormat="1">
      <alignment vertical="center"/>
    </xf>
    <xf numFmtId="0" fontId="20" fillId="5" borderId="2" xfId="0" applyFont="1" applyFill="1" applyBorder="1" applyAlignment="1">
      <alignment horizontal="center" vertical="center"/>
    </xf>
    <xf numFmtId="43" fontId="20" fillId="0" borderId="2" xfId="56" applyFont="1" applyBorder="1" applyAlignment="1">
      <alignment horizontal="center" vertical="center"/>
    </xf>
    <xf numFmtId="177" fontId="20" fillId="5" borderId="2" xfId="0" applyNumberFormat="1" applyFont="1" applyFill="1" applyBorder="1" applyAlignment="1">
      <alignment vertical="center"/>
    </xf>
    <xf numFmtId="177" fontId="20" fillId="0" borderId="2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177" fontId="1" fillId="0" borderId="0" xfId="60" applyNumberFormat="1">
      <alignment vertical="center"/>
    </xf>
    <xf numFmtId="191" fontId="1" fillId="0" borderId="0" xfId="57" applyNumberFormat="1">
      <alignment vertical="center"/>
    </xf>
    <xf numFmtId="0" fontId="1" fillId="6" borderId="0" xfId="60" applyFill="1">
      <alignment vertical="center"/>
    </xf>
    <xf numFmtId="43" fontId="20" fillId="7" borderId="2" xfId="56" applyFont="1" applyFill="1" applyBorder="1" applyAlignment="1">
      <alignment horizontal="center" vertical="center"/>
    </xf>
    <xf numFmtId="177" fontId="20" fillId="7" borderId="2" xfId="0" applyNumberFormat="1" applyFont="1" applyFill="1" applyBorder="1" applyAlignment="1">
      <alignment vertical="center"/>
    </xf>
    <xf numFmtId="0" fontId="35" fillId="6" borderId="0" xfId="0" applyFont="1" applyFill="1"/>
    <xf numFmtId="0" fontId="20" fillId="4" borderId="2" xfId="0" applyFont="1" applyFill="1" applyBorder="1" applyAlignment="1">
      <alignment horizontal="center"/>
    </xf>
    <xf numFmtId="0" fontId="20" fillId="4" borderId="1" xfId="0" applyFont="1" applyFill="1" applyBorder="1" applyAlignment="1">
      <alignment vertical="center" shrinkToFit="1"/>
    </xf>
    <xf numFmtId="0" fontId="20" fillId="4" borderId="6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 shrinkToFit="1"/>
    </xf>
    <xf numFmtId="0" fontId="20" fillId="4" borderId="4" xfId="0" applyFont="1" applyFill="1" applyBorder="1" applyAlignment="1">
      <alignment horizontal="center" vertical="center" shrinkToFit="1"/>
    </xf>
    <xf numFmtId="0" fontId="20" fillId="4" borderId="9" xfId="0" applyFont="1" applyFill="1" applyBorder="1" applyAlignment="1">
      <alignment horizontal="center" vertical="center" shrinkToFit="1"/>
    </xf>
    <xf numFmtId="0" fontId="20" fillId="4" borderId="6" xfId="0" applyFont="1" applyFill="1" applyBorder="1" applyAlignment="1">
      <alignment horizontal="center" vertical="center" shrinkToFit="1"/>
    </xf>
    <xf numFmtId="0" fontId="20" fillId="4" borderId="7" xfId="0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28" fillId="0" borderId="10" xfId="63" applyFont="1" applyBorder="1" applyAlignment="1">
      <alignment horizontal="left" vertical="center" wrapText="1"/>
    </xf>
    <xf numFmtId="0" fontId="28" fillId="0" borderId="11" xfId="63" applyFont="1" applyBorder="1" applyAlignment="1">
      <alignment horizontal="left" vertical="center"/>
    </xf>
    <xf numFmtId="0" fontId="28" fillId="0" borderId="12" xfId="63" applyFont="1" applyBorder="1" applyAlignment="1">
      <alignment horizontal="left" vertical="center"/>
    </xf>
    <xf numFmtId="0" fontId="28" fillId="0" borderId="13" xfId="63" applyFont="1" applyBorder="1" applyAlignment="1">
      <alignment horizontal="left" vertical="center"/>
    </xf>
    <xf numFmtId="0" fontId="28" fillId="0" borderId="1" xfId="63" applyFont="1" applyBorder="1" applyAlignment="1">
      <alignment horizontal="left" vertical="center"/>
    </xf>
    <xf numFmtId="0" fontId="28" fillId="0" borderId="14" xfId="63" applyFont="1" applyBorder="1" applyAlignment="1">
      <alignment horizontal="left" vertical="center"/>
    </xf>
    <xf numFmtId="0" fontId="33" fillId="0" borderId="0" xfId="63" applyFont="1" applyAlignment="1">
      <alignment horizontal="center" vertical="center"/>
    </xf>
    <xf numFmtId="0" fontId="28" fillId="0" borderId="2" xfId="63" applyFont="1" applyBorder="1" applyAlignment="1">
      <alignment horizontal="left" vertical="center"/>
    </xf>
    <xf numFmtId="0" fontId="28" fillId="0" borderId="2" xfId="63" applyFont="1" applyBorder="1" applyAlignment="1">
      <alignment horizontal="center" vertical="center"/>
    </xf>
    <xf numFmtId="188" fontId="31" fillId="0" borderId="0" xfId="56" applyNumberFormat="1" applyFont="1" applyAlignment="1">
      <alignment horizontal="center" vertical="center"/>
    </xf>
    <xf numFmtId="188" fontId="32" fillId="0" borderId="0" xfId="56" applyNumberFormat="1" applyFont="1" applyAlignment="1">
      <alignment horizontal="center" vertical="center"/>
    </xf>
    <xf numFmtId="188" fontId="20" fillId="0" borderId="1" xfId="56" applyNumberFormat="1" applyFont="1" applyBorder="1" applyAlignment="1">
      <alignment horizontal="left" vertical="center" shrinkToFit="1"/>
    </xf>
  </cellXfs>
  <cellStyles count="64">
    <cellStyle name="??&amp;O?&amp;H?_x0008__x000f__x0007_?_x0007__x0001__x0001_" xfId="1" xr:uid="{00000000-0005-0000-0000-000000000000}"/>
    <cellStyle name="??&amp;O?&amp;H?_x0008_??_x0007__x0001__x0001_" xfId="2" xr:uid="{00000000-0005-0000-0000-000001000000}"/>
    <cellStyle name="?W?_laroux" xfId="3" xr:uid="{00000000-0005-0000-0000-000002000000}"/>
    <cellStyle name="_NEGS" xfId="4" xr:uid="{00000000-0005-0000-0000-000003000000}"/>
    <cellStyle name="_NEGS_越堤便橋計算式" xfId="5" xr:uid="{00000000-0005-0000-0000-000004000000}"/>
    <cellStyle name="_NEGS_數量計算書-島頭公園980511" xfId="6" xr:uid="{00000000-0005-0000-0000-000005000000}"/>
    <cellStyle name="¡¯E¢¶Y [0.00]_laroux" xfId="7" xr:uid="{00000000-0005-0000-0000-000006000000}"/>
    <cellStyle name="¡¯E¢¶Y_laroux" xfId="8" xr:uid="{00000000-0005-0000-0000-000007000000}"/>
    <cellStyle name="¨«¡¦?©¡¨?e [0.00]_laroux" xfId="9" xr:uid="{00000000-0005-0000-0000-000008000000}"/>
    <cellStyle name="¨«¡¦?©¡¨?e_laroux" xfId="10" xr:uid="{00000000-0005-0000-0000-000009000000}"/>
    <cellStyle name="µÚ¿¡ ¿À´Â ÇÏÀÌÆÛ¸µÅ©" xfId="11" xr:uid="{00000000-0005-0000-0000-00000A000000}"/>
    <cellStyle name="¹éºÐÀ²_±âÅ¸" xfId="12" xr:uid="{00000000-0005-0000-0000-00000B000000}"/>
    <cellStyle name="ÅëÈ­ [0]_¿ùº°" xfId="13" xr:uid="{00000000-0005-0000-0000-00000C000000}"/>
    <cellStyle name="ÅëÈ­_¿ùº°" xfId="14" xr:uid="{00000000-0005-0000-0000-00000D000000}"/>
    <cellStyle name="AeE¡© [0]_PERSONAL" xfId="15" xr:uid="{00000000-0005-0000-0000-00000E000000}"/>
    <cellStyle name="AeE¡©_PERSONAL" xfId="16" xr:uid="{00000000-0005-0000-0000-00000F000000}"/>
    <cellStyle name="ALIGNMENT" xfId="17" xr:uid="{00000000-0005-0000-0000-000010000000}"/>
    <cellStyle name="ÄÞ¸¶ [0]_¿ùº°" xfId="18" xr:uid="{00000000-0005-0000-0000-000011000000}"/>
    <cellStyle name="ÄÞ¸¶_¿ùº°" xfId="19" xr:uid="{00000000-0005-0000-0000-000012000000}"/>
    <cellStyle name="C¡ÍA¨ª_PERSONAL" xfId="20" xr:uid="{00000000-0005-0000-0000-000013000000}"/>
    <cellStyle name="Ç¥ÁØ_¿µ»ó" xfId="21" xr:uid="{00000000-0005-0000-0000-000014000000}"/>
    <cellStyle name="ÇÏÀÌÆÛ¸µÅ©" xfId="22" xr:uid="{00000000-0005-0000-0000-000015000000}"/>
    <cellStyle name="Comma [0]_1¿ùÈ¸ºñ³»¿ª (2)" xfId="23" xr:uid="{00000000-0005-0000-0000-000016000000}"/>
    <cellStyle name="Comma_1¿ùÈ¸ºñ³»¿ª (2)" xfId="24" xr:uid="{00000000-0005-0000-0000-000017000000}"/>
    <cellStyle name="Comma0" xfId="25" xr:uid="{00000000-0005-0000-0000-000018000000}"/>
    <cellStyle name="Currency [0]_1¿ùÈ¸ºñ³»¿ª (2)" xfId="26" xr:uid="{00000000-0005-0000-0000-000019000000}"/>
    <cellStyle name="Currency_1¿ùÈ¸ºñ³»¿ª (2)" xfId="27" xr:uid="{00000000-0005-0000-0000-00001A000000}"/>
    <cellStyle name="Currency0" xfId="28" xr:uid="{00000000-0005-0000-0000-00001B000000}"/>
    <cellStyle name="Date" xfId="29" xr:uid="{00000000-0005-0000-0000-00001C000000}"/>
    <cellStyle name="Fixed" xfId="30" xr:uid="{00000000-0005-0000-0000-00001D000000}"/>
    <cellStyle name="Grey" xfId="31" xr:uid="{00000000-0005-0000-0000-00001E000000}"/>
    <cellStyle name="Header1" xfId="32" xr:uid="{00000000-0005-0000-0000-00001F000000}"/>
    <cellStyle name="Header2" xfId="33" xr:uid="{00000000-0005-0000-0000-000020000000}"/>
    <cellStyle name="Heading 1" xfId="34" xr:uid="{00000000-0005-0000-0000-000021000000}"/>
    <cellStyle name="Heading 2" xfId="35" xr:uid="{00000000-0005-0000-0000-000022000000}"/>
    <cellStyle name="Hyperlink_NEGS" xfId="36" xr:uid="{00000000-0005-0000-0000-000023000000}"/>
    <cellStyle name="Input [yellow]" xfId="37" xr:uid="{00000000-0005-0000-0000-000024000000}"/>
    <cellStyle name="no dec" xfId="38" xr:uid="{00000000-0005-0000-0000-000025000000}"/>
    <cellStyle name="Normal - Style1" xfId="39" xr:uid="{00000000-0005-0000-0000-000026000000}"/>
    <cellStyle name="Normal_Capex" xfId="40" xr:uid="{00000000-0005-0000-0000-000027000000}"/>
    <cellStyle name="Percent [2]" xfId="41" xr:uid="{00000000-0005-0000-0000-000028000000}"/>
    <cellStyle name="Percent_pldt" xfId="42" xr:uid="{00000000-0005-0000-0000-000029000000}"/>
    <cellStyle name="Total" xfId="43" xr:uid="{00000000-0005-0000-0000-00002A000000}"/>
    <cellStyle name="一般" xfId="0" builtinId="0"/>
    <cellStyle name="一般 2" xfId="44" xr:uid="{00000000-0005-0000-0000-00002C000000}"/>
    <cellStyle name="一般 2 2" xfId="45" xr:uid="{00000000-0005-0000-0000-00002D000000}"/>
    <cellStyle name="一般 2 3" xfId="46" xr:uid="{00000000-0005-0000-0000-00002E000000}"/>
    <cellStyle name="一般 2 4" xfId="55" xr:uid="{00000000-0005-0000-0000-00002F000000}"/>
    <cellStyle name="一般 2 5" xfId="62" xr:uid="{00000000-0005-0000-0000-000030000000}"/>
    <cellStyle name="一般 3" xfId="47" xr:uid="{00000000-0005-0000-0000-000031000000}"/>
    <cellStyle name="一般 4" xfId="48" xr:uid="{00000000-0005-0000-0000-000032000000}"/>
    <cellStyle name="一般 5" xfId="49" xr:uid="{00000000-0005-0000-0000-000033000000}"/>
    <cellStyle name="一般 6" xfId="59" xr:uid="{00000000-0005-0000-0000-000034000000}"/>
    <cellStyle name="一般 6 2" xfId="63" xr:uid="{00000000-0005-0000-0000-000035000000}"/>
    <cellStyle name="一般 7" xfId="60" xr:uid="{00000000-0005-0000-0000-000036000000}"/>
    <cellStyle name="一般_世運大道第一次變更設計標單(空)" xfId="61" xr:uid="{00000000-0005-0000-0000-000037000000}"/>
    <cellStyle name="千分位" xfId="56" builtinId="3"/>
    <cellStyle name="千分位 2" xfId="50" xr:uid="{00000000-0005-0000-0000-000039000000}"/>
    <cellStyle name="千分位 3" xfId="58" xr:uid="{00000000-0005-0000-0000-00003A000000}"/>
    <cellStyle name="百分比" xfId="57" builtinId="5"/>
    <cellStyle name="百分比 2" xfId="51" xr:uid="{00000000-0005-0000-0000-00003C000000}"/>
    <cellStyle name="附註" xfId="52" xr:uid="{00000000-0005-0000-0000-00003D000000}"/>
    <cellStyle name="貨幣[0]_pldt" xfId="53" xr:uid="{00000000-0005-0000-0000-00003E000000}"/>
    <cellStyle name="樣式 1" xfId="54" xr:uid="{00000000-0005-0000-0000-00003F000000}"/>
  </cellStyles>
  <dxfs count="0"/>
  <tableStyles count="0" defaultTableStyle="TableStyleMedium2" defaultPivotStyle="PivotStyleLight16"/>
  <colors>
    <mruColors>
      <color rgb="FF0000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c313\&#20843;&#37324;&#37129;&#20844;&#25152;\314&#20849;&#29992;&#36039;&#26009;&#22846;\&#24066;&#22580;&#31649;&#29702;&#34389;\&#25104;&#24503;\&#25104;&#24503;&#38928;&#31639;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sla\c\&#34945;&#29790;&#29664;\&#27665;&#26063;&#26481;&#35199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sla\c\&#34945;&#29790;&#29664;\&#22235;&#32929;&#27284;&#26696;&#20849;&#23384;&#21312;\&#38515;&#37101;&#27491;\PublicDWG\DONHU\87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l2011\d\Jim\XLS\chom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\86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sla\c\&#34945;&#29790;&#29664;\&#22235;&#32929;&#27284;&#26696;&#20849;&#23384;&#21312;\&#38515;&#37101;&#27491;\&#24310;&#21271;&#20116;&#27573;&#19968;&#2405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步"/>
      <sheetName val="細預"/>
      <sheetName val="細預總"/>
      <sheetName val="細預詳細表"/>
      <sheetName val="細預單價分析表"/>
      <sheetName val="數量計算"/>
      <sheetName val="水電詳細表"/>
      <sheetName val="水電單價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預算書"/>
      <sheetName val="詳細表"/>
      <sheetName val="單價分析表"/>
      <sheetName val="數量表"/>
      <sheetName val="數量統計表"/>
      <sheetName val="數量計算表"/>
      <sheetName val="參數"/>
      <sheetName val="詳細表空白"/>
      <sheetName val="單價分析表空白"/>
      <sheetName val="施工進度表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預算書"/>
      <sheetName val="詳細表"/>
      <sheetName val="單價分析表"/>
      <sheetName val="工程數量表"/>
      <sheetName val="工程數量統計表"/>
      <sheetName val="土方計算表"/>
      <sheetName val="施工進度表"/>
      <sheetName val="工程材料檢(試)驗總表"/>
      <sheetName val="詳細表 (2)"/>
      <sheetName val="單價分析表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預算書"/>
      <sheetName val="詳細表"/>
      <sheetName val="工程數量表"/>
      <sheetName val="單價分析表"/>
      <sheetName val="施工進度表"/>
      <sheetName val="土方計算"/>
      <sheetName val="工程材料檢(試)驗總表"/>
      <sheetName val="工程數量統計表"/>
      <sheetName val="1"/>
      <sheetName val="Module3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預算書"/>
      <sheetName val="單價分析表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預算書"/>
      <sheetName val="詳細表"/>
      <sheetName val="詳細表 (2)"/>
      <sheetName val="單價分析表"/>
      <sheetName val="單價分析表 (2)"/>
      <sheetName val="工程數量表"/>
      <sheetName val="工程數量統計表"/>
      <sheetName val="土方計算表"/>
      <sheetName val="施工進度表"/>
      <sheetName val="工程材料檢(試)驗總表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120"/>
  <sheetViews>
    <sheetView showGridLines="0" view="pageBreakPreview" zoomScaleNormal="100" zoomScaleSheetLayoutView="100" workbookViewId="0">
      <selection activeCell="G5" sqref="G5"/>
    </sheetView>
  </sheetViews>
  <sheetFormatPr defaultColWidth="9" defaultRowHeight="16.5"/>
  <cols>
    <col min="1" max="1" width="7.5" style="13" bestFit="1" customWidth="1"/>
    <col min="2" max="2" width="32.125" style="13" customWidth="1"/>
    <col min="3" max="3" width="5.625" style="13" customWidth="1"/>
    <col min="4" max="4" width="12.625" style="13" customWidth="1"/>
    <col min="5" max="9" width="15.625" style="13" customWidth="1"/>
    <col min="10" max="10" width="13.875" style="13" bestFit="1" customWidth="1"/>
    <col min="11" max="11" width="16.125" style="13" bestFit="1" customWidth="1"/>
    <col min="12" max="12" width="12.75" style="13" bestFit="1" customWidth="1"/>
    <col min="13" max="16384" width="9" style="13"/>
  </cols>
  <sheetData>
    <row r="1" spans="1:11" ht="36" customHeight="1">
      <c r="A1" s="96" t="s">
        <v>8</v>
      </c>
      <c r="B1" s="96"/>
      <c r="C1" s="96"/>
      <c r="D1" s="96"/>
      <c r="E1" s="96"/>
      <c r="F1" s="96"/>
      <c r="G1" s="96"/>
      <c r="H1" s="96"/>
      <c r="I1" s="96"/>
      <c r="J1" s="96"/>
    </row>
    <row r="2" spans="1:11" ht="36" customHeight="1">
      <c r="A2" s="97" t="s">
        <v>53</v>
      </c>
      <c r="B2" s="99" t="s">
        <v>1</v>
      </c>
      <c r="C2" s="97" t="s">
        <v>2</v>
      </c>
      <c r="D2" s="100" t="s">
        <v>42</v>
      </c>
      <c r="E2" s="101"/>
      <c r="F2" s="102"/>
      <c r="G2" s="100" t="s">
        <v>43</v>
      </c>
      <c r="H2" s="102"/>
      <c r="I2" s="103" t="s">
        <v>47</v>
      </c>
      <c r="J2" s="97" t="s">
        <v>6</v>
      </c>
    </row>
    <row r="3" spans="1:11" ht="49.5" customHeight="1">
      <c r="A3" s="98"/>
      <c r="B3" s="99"/>
      <c r="C3" s="98"/>
      <c r="D3" s="14" t="s">
        <v>3</v>
      </c>
      <c r="E3" s="14" t="s">
        <v>56</v>
      </c>
      <c r="F3" s="14" t="s">
        <v>5</v>
      </c>
      <c r="G3" s="14" t="s">
        <v>57</v>
      </c>
      <c r="H3" s="14" t="s">
        <v>5</v>
      </c>
      <c r="I3" s="104"/>
      <c r="J3" s="98"/>
    </row>
    <row r="4" spans="1:11" s="32" customFormat="1" ht="62.1" customHeight="1">
      <c r="A4" s="28">
        <v>1.19</v>
      </c>
      <c r="B4" s="29" t="s">
        <v>49</v>
      </c>
      <c r="C4" s="28" t="s">
        <v>15</v>
      </c>
      <c r="D4" s="30">
        <v>66734.2</v>
      </c>
      <c r="E4" s="30">
        <v>31</v>
      </c>
      <c r="F4" s="30">
        <f>D4*E4</f>
        <v>2068760.2</v>
      </c>
      <c r="G4" s="30">
        <v>33.1</v>
      </c>
      <c r="H4" s="30">
        <f>D4*G4</f>
        <v>2208902.02</v>
      </c>
      <c r="I4" s="30">
        <f>H4-F4</f>
        <v>140141.82000000007</v>
      </c>
      <c r="J4" s="31" t="s">
        <v>58</v>
      </c>
    </row>
    <row r="5" spans="1:11" s="32" customFormat="1" ht="62.1" customHeight="1">
      <c r="A5" s="28">
        <v>1.26</v>
      </c>
      <c r="B5" s="29" t="s">
        <v>54</v>
      </c>
      <c r="C5" s="28" t="s">
        <v>55</v>
      </c>
      <c r="D5" s="30">
        <v>516</v>
      </c>
      <c r="E5" s="30">
        <v>1250</v>
      </c>
      <c r="F5" s="30">
        <f>D5*E5</f>
        <v>645000</v>
      </c>
      <c r="G5" s="30">
        <v>1318.77</v>
      </c>
      <c r="H5" s="30">
        <f>D5*G5</f>
        <v>680485.32</v>
      </c>
      <c r="I5" s="30">
        <f>H5-F5</f>
        <v>35485.319999999949</v>
      </c>
      <c r="J5" s="31" t="s">
        <v>58</v>
      </c>
    </row>
    <row r="6" spans="1:11" s="38" customFormat="1" ht="62.1" customHeight="1">
      <c r="A6" s="33">
        <v>1.31</v>
      </c>
      <c r="B6" s="34" t="s">
        <v>12</v>
      </c>
      <c r="C6" s="33" t="s">
        <v>13</v>
      </c>
      <c r="D6" s="36">
        <v>1</v>
      </c>
      <c r="E6" s="36">
        <v>130787.26</v>
      </c>
      <c r="F6" s="36">
        <f t="shared" ref="F6:F14" si="0">D6*E6</f>
        <v>130787.26</v>
      </c>
      <c r="G6" s="36">
        <v>133342.56</v>
      </c>
      <c r="H6" s="36">
        <f>D6*G6</f>
        <v>133342.56</v>
      </c>
      <c r="I6" s="36">
        <f>H6-F6</f>
        <v>2555.3000000000029</v>
      </c>
      <c r="J6" s="37" t="s">
        <v>37</v>
      </c>
    </row>
    <row r="7" spans="1:11" s="38" customFormat="1" ht="62.1" customHeight="1">
      <c r="A7" s="33">
        <v>1.32</v>
      </c>
      <c r="B7" s="34" t="s">
        <v>14</v>
      </c>
      <c r="C7" s="33" t="s">
        <v>15</v>
      </c>
      <c r="D7" s="36">
        <v>144</v>
      </c>
      <c r="E7" s="36">
        <v>26.35</v>
      </c>
      <c r="F7" s="36">
        <f t="shared" si="0"/>
        <v>3794.4</v>
      </c>
      <c r="G7" s="36">
        <v>33.33</v>
      </c>
      <c r="H7" s="36">
        <f t="shared" ref="H7:H9" si="1">D7*G7</f>
        <v>4799.5199999999995</v>
      </c>
      <c r="I7" s="36">
        <f t="shared" ref="I7:I9" si="2">H7-F7</f>
        <v>1005.1199999999994</v>
      </c>
      <c r="J7" s="37" t="s">
        <v>38</v>
      </c>
    </row>
    <row r="8" spans="1:11" s="38" customFormat="1" ht="62.1" customHeight="1">
      <c r="A8" s="33">
        <v>1.33</v>
      </c>
      <c r="B8" s="34" t="s">
        <v>16</v>
      </c>
      <c r="C8" s="33" t="s">
        <v>17</v>
      </c>
      <c r="D8" s="36">
        <v>77</v>
      </c>
      <c r="E8" s="36">
        <v>911.09</v>
      </c>
      <c r="F8" s="36">
        <f t="shared" si="0"/>
        <v>70153.930000000008</v>
      </c>
      <c r="G8" s="36">
        <v>973.67</v>
      </c>
      <c r="H8" s="36">
        <f t="shared" si="1"/>
        <v>74972.59</v>
      </c>
      <c r="I8" s="36">
        <f t="shared" si="2"/>
        <v>4818.6599999999889</v>
      </c>
      <c r="J8" s="37" t="s">
        <v>39</v>
      </c>
    </row>
    <row r="9" spans="1:11" s="32" customFormat="1" ht="62.1" customHeight="1">
      <c r="A9" s="28">
        <v>2.35</v>
      </c>
      <c r="B9" s="29" t="s">
        <v>51</v>
      </c>
      <c r="C9" s="31" t="s">
        <v>52</v>
      </c>
      <c r="D9" s="30">
        <v>180</v>
      </c>
      <c r="E9" s="30">
        <v>3279.27</v>
      </c>
      <c r="F9" s="30">
        <f t="shared" si="0"/>
        <v>590268.6</v>
      </c>
      <c r="G9" s="30">
        <v>4572.58</v>
      </c>
      <c r="H9" s="30">
        <f t="shared" si="1"/>
        <v>823064.4</v>
      </c>
      <c r="I9" s="30">
        <f t="shared" si="2"/>
        <v>232795.80000000005</v>
      </c>
      <c r="J9" s="31" t="s">
        <v>58</v>
      </c>
    </row>
    <row r="10" spans="1:11" s="38" customFormat="1" ht="62.1" customHeight="1">
      <c r="A10" s="33">
        <v>2.37</v>
      </c>
      <c r="B10" s="34" t="s">
        <v>20</v>
      </c>
      <c r="C10" s="33" t="s">
        <v>21</v>
      </c>
      <c r="D10" s="36">
        <v>180</v>
      </c>
      <c r="E10" s="36">
        <v>2597.5500000000002</v>
      </c>
      <c r="F10" s="36">
        <f t="shared" si="0"/>
        <v>467559.00000000006</v>
      </c>
      <c r="G10" s="36">
        <v>2598</v>
      </c>
      <c r="H10" s="36">
        <f t="shared" ref="H10:H14" si="3">D10*G10</f>
        <v>467640</v>
      </c>
      <c r="I10" s="36">
        <f t="shared" ref="I10:I14" si="4">H10-F10</f>
        <v>80.999999999941792</v>
      </c>
      <c r="J10" s="37" t="s">
        <v>34</v>
      </c>
    </row>
    <row r="11" spans="1:11" s="32" customFormat="1" ht="62.1" customHeight="1">
      <c r="A11" s="28">
        <v>3.3</v>
      </c>
      <c r="B11" s="29" t="s">
        <v>68</v>
      </c>
      <c r="C11" s="28" t="s">
        <v>52</v>
      </c>
      <c r="D11" s="45">
        <v>-1804.8</v>
      </c>
      <c r="E11" s="30">
        <v>526.33000000000004</v>
      </c>
      <c r="F11" s="45">
        <f t="shared" si="0"/>
        <v>-949920.38400000008</v>
      </c>
      <c r="G11" s="30">
        <v>526.38</v>
      </c>
      <c r="H11" s="45">
        <f t="shared" si="3"/>
        <v>-950010.62399999995</v>
      </c>
      <c r="I11" s="45">
        <f t="shared" si="4"/>
        <v>-90.239999999874271</v>
      </c>
      <c r="J11" s="31" t="s">
        <v>58</v>
      </c>
    </row>
    <row r="12" spans="1:11" s="32" customFormat="1" ht="62.1" customHeight="1">
      <c r="A12" s="28">
        <v>3.11</v>
      </c>
      <c r="B12" s="29" t="s">
        <v>59</v>
      </c>
      <c r="C12" s="28" t="s">
        <v>60</v>
      </c>
      <c r="D12" s="45">
        <v>-10017</v>
      </c>
      <c r="E12" s="30">
        <v>15.46</v>
      </c>
      <c r="F12" s="45">
        <f t="shared" si="0"/>
        <v>-154862.82</v>
      </c>
      <c r="G12" s="30">
        <v>15.16</v>
      </c>
      <c r="H12" s="45">
        <f t="shared" si="3"/>
        <v>-151857.72</v>
      </c>
      <c r="I12" s="30">
        <f t="shared" si="4"/>
        <v>3005.1000000000058</v>
      </c>
      <c r="J12" s="31" t="s">
        <v>58</v>
      </c>
      <c r="K12" s="40"/>
    </row>
    <row r="13" spans="1:11" s="32" customFormat="1" ht="62.1" customHeight="1">
      <c r="A13" s="28">
        <v>5.16</v>
      </c>
      <c r="B13" s="29" t="s">
        <v>69</v>
      </c>
      <c r="C13" s="28" t="s">
        <v>71</v>
      </c>
      <c r="D13" s="45">
        <v>142.80000000000001</v>
      </c>
      <c r="E13" s="30">
        <v>225</v>
      </c>
      <c r="F13" s="30">
        <f t="shared" si="0"/>
        <v>32130.000000000004</v>
      </c>
      <c r="G13" s="30">
        <v>258</v>
      </c>
      <c r="H13" s="30">
        <f t="shared" si="3"/>
        <v>36842.400000000001</v>
      </c>
      <c r="I13" s="30">
        <f t="shared" si="4"/>
        <v>4712.3999999999978</v>
      </c>
      <c r="J13" s="31" t="s">
        <v>58</v>
      </c>
      <c r="K13" s="40"/>
    </row>
    <row r="14" spans="1:11" s="38" customFormat="1" ht="62.1" customHeight="1">
      <c r="A14" s="33">
        <v>5.19</v>
      </c>
      <c r="B14" s="34" t="s">
        <v>32</v>
      </c>
      <c r="C14" s="37" t="s">
        <v>70</v>
      </c>
      <c r="D14" s="46">
        <v>1.44</v>
      </c>
      <c r="E14" s="39">
        <v>4937.58</v>
      </c>
      <c r="F14" s="36">
        <f t="shared" si="0"/>
        <v>7110.1151999999993</v>
      </c>
      <c r="G14" s="36">
        <v>5243.08</v>
      </c>
      <c r="H14" s="36">
        <f t="shared" si="3"/>
        <v>7550.0351999999993</v>
      </c>
      <c r="I14" s="36">
        <f t="shared" si="4"/>
        <v>439.92000000000007</v>
      </c>
      <c r="J14" s="37" t="s">
        <v>28</v>
      </c>
    </row>
    <row r="15" spans="1:11">
      <c r="A15" s="15"/>
      <c r="B15" s="18" t="s">
        <v>72</v>
      </c>
      <c r="C15" s="20"/>
      <c r="D15" s="21"/>
      <c r="E15" s="22"/>
      <c r="F15" s="22">
        <f>SUM(F4:F14)</f>
        <v>2910780.3012000001</v>
      </c>
      <c r="G15" s="22"/>
      <c r="H15" s="22">
        <f>SUM(H4:H14)</f>
        <v>3335730.5011999998</v>
      </c>
      <c r="I15" s="22">
        <f>SUM(I4:I14)</f>
        <v>424950.20000000013</v>
      </c>
      <c r="J15" s="23"/>
      <c r="K15" s="13">
        <v>0.108683498</v>
      </c>
    </row>
    <row r="16" spans="1:11">
      <c r="A16" s="15"/>
      <c r="B16" s="18" t="s">
        <v>73</v>
      </c>
      <c r="C16" s="20"/>
      <c r="D16" s="21"/>
      <c r="E16" s="22"/>
      <c r="F16" s="22"/>
      <c r="G16" s="22"/>
      <c r="H16" s="22"/>
      <c r="I16" s="22">
        <f>I15*K15</f>
        <v>46185.074211799612</v>
      </c>
      <c r="J16" s="23"/>
    </row>
    <row r="17" spans="1:11">
      <c r="A17" s="15"/>
      <c r="B17" s="18" t="s">
        <v>74</v>
      </c>
      <c r="C17" s="20"/>
      <c r="D17" s="21"/>
      <c r="E17" s="22"/>
      <c r="F17" s="22"/>
      <c r="G17" s="22"/>
      <c r="H17" s="22"/>
      <c r="I17" s="22">
        <f>I15+I16</f>
        <v>471135.27421179973</v>
      </c>
      <c r="J17" s="23"/>
    </row>
    <row r="18" spans="1:11" ht="16.5" customHeight="1">
      <c r="I18" s="24"/>
      <c r="K18" s="24"/>
    </row>
    <row r="19" spans="1:11" ht="16.5" customHeight="1">
      <c r="K19" s="24"/>
    </row>
    <row r="20" spans="1:11" ht="16.5" customHeight="1">
      <c r="F20" s="24"/>
      <c r="G20" s="24"/>
      <c r="H20" s="24"/>
      <c r="I20" s="24"/>
      <c r="J20" s="24"/>
      <c r="K20" s="24"/>
    </row>
    <row r="21" spans="1:11" ht="16.5" customHeight="1">
      <c r="I21" s="24"/>
    </row>
    <row r="22" spans="1:11" ht="16.5" customHeight="1">
      <c r="E22" s="95" t="s">
        <v>66</v>
      </c>
      <c r="F22" s="95"/>
      <c r="G22" s="43" t="s">
        <v>67</v>
      </c>
      <c r="H22" s="43" t="s">
        <v>47</v>
      </c>
      <c r="J22" s="24"/>
    </row>
    <row r="23" spans="1:11" ht="16.5" customHeight="1">
      <c r="E23" s="41" t="s">
        <v>63</v>
      </c>
      <c r="F23" s="42">
        <v>52102871</v>
      </c>
      <c r="G23" s="44"/>
      <c r="H23" s="44"/>
    </row>
    <row r="24" spans="1:11" ht="16.5" customHeight="1">
      <c r="E24" s="41" t="s">
        <v>64</v>
      </c>
      <c r="F24" s="42">
        <v>6472503</v>
      </c>
      <c r="G24" s="44"/>
      <c r="H24" s="44"/>
      <c r="J24" s="24"/>
    </row>
    <row r="25" spans="1:11" ht="16.5" customHeight="1">
      <c r="E25" s="41" t="s">
        <v>65</v>
      </c>
      <c r="F25" s="42">
        <f>F23-F24</f>
        <v>45630368</v>
      </c>
      <c r="G25" s="44">
        <v>45159135</v>
      </c>
      <c r="H25" s="44">
        <f>F25-G25</f>
        <v>471233</v>
      </c>
    </row>
    <row r="26" spans="1:11" ht="16.5" customHeight="1">
      <c r="I26" s="24">
        <f>I18-H25</f>
        <v>-471233</v>
      </c>
    </row>
    <row r="27" spans="1:11" ht="16.5" customHeight="1">
      <c r="G27" s="24"/>
    </row>
    <row r="28" spans="1:11" ht="16.5" customHeight="1"/>
    <row r="29" spans="1:11" ht="16.5" customHeight="1"/>
    <row r="30" spans="1:11" ht="16.5" customHeight="1"/>
    <row r="31" spans="1:11" ht="16.5" customHeight="1"/>
    <row r="32" spans="1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30" customHeight="1"/>
    <row r="80" ht="21" customHeight="1"/>
    <row r="81" ht="24" customHeight="1"/>
    <row r="82" ht="21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mergeCells count="9">
    <mergeCell ref="E22:F22"/>
    <mergeCell ref="A1:J1"/>
    <mergeCell ref="A2:A3"/>
    <mergeCell ref="B2:B3"/>
    <mergeCell ref="C2:C3"/>
    <mergeCell ref="D2:F2"/>
    <mergeCell ref="G2:H2"/>
    <mergeCell ref="I2:I3"/>
    <mergeCell ref="J2:J3"/>
  </mergeCells>
  <phoneticPr fontId="2" type="noConversion"/>
  <pageMargins left="0.70866141732283472" right="0.70866141732283472" top="0.74803149606299213" bottom="0.51181102362204722" header="0.31496062992125984" footer="0.31496062992125984"/>
  <pageSetup paperSize="9" scale="58" fitToHeight="0" orientation="portrait" r:id="rId1"/>
  <headerFooter alignWithMargins="0">
    <oddHeader>&amp;C&amp;"標楷體,標準"&amp;18臺北市政府工務局水利工程處
詳細表&amp;R&amp;"標楷體,標準"
第&amp;P頁共&amp;N頁</oddHeader>
    <oddFooter>&amp;L&amp;"標楷體,標準"          編製&amp;C&amp;"標楷體,標準"            校核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M127"/>
  <sheetViews>
    <sheetView showGridLines="0" view="pageBreakPreview" zoomScaleNormal="100" zoomScaleSheetLayoutView="100" workbookViewId="0">
      <selection activeCell="G5" sqref="G5"/>
    </sheetView>
  </sheetViews>
  <sheetFormatPr defaultColWidth="9" defaultRowHeight="16.5"/>
  <cols>
    <col min="1" max="1" width="5.625" style="13" customWidth="1"/>
    <col min="2" max="2" width="32.125" style="13" customWidth="1"/>
    <col min="3" max="3" width="5.625" style="13" customWidth="1"/>
    <col min="4" max="4" width="12.625" style="13" customWidth="1"/>
    <col min="5" max="9" width="15.625" style="13" customWidth="1"/>
    <col min="10" max="10" width="13.875" style="13" bestFit="1" customWidth="1"/>
    <col min="11" max="11" width="9" style="13"/>
    <col min="12" max="12" width="16.125" style="13" bestFit="1" customWidth="1"/>
    <col min="13" max="13" width="12.75" style="13" bestFit="1" customWidth="1"/>
    <col min="14" max="16384" width="9" style="13"/>
  </cols>
  <sheetData>
    <row r="1" spans="1:12" ht="36" customHeight="1">
      <c r="A1" s="96" t="s">
        <v>8</v>
      </c>
      <c r="B1" s="96"/>
      <c r="C1" s="96"/>
      <c r="D1" s="96"/>
      <c r="E1" s="96"/>
      <c r="F1" s="96"/>
      <c r="G1" s="96"/>
      <c r="H1" s="96"/>
      <c r="I1" s="96"/>
      <c r="J1" s="96"/>
    </row>
    <row r="2" spans="1:12" ht="36" customHeight="1">
      <c r="A2" s="97" t="s">
        <v>53</v>
      </c>
      <c r="B2" s="99" t="s">
        <v>1</v>
      </c>
      <c r="C2" s="97" t="s">
        <v>2</v>
      </c>
      <c r="D2" s="100" t="s">
        <v>42</v>
      </c>
      <c r="E2" s="101"/>
      <c r="F2" s="102"/>
      <c r="G2" s="100" t="s">
        <v>43</v>
      </c>
      <c r="H2" s="102"/>
      <c r="I2" s="103" t="s">
        <v>47</v>
      </c>
      <c r="J2" s="97" t="s">
        <v>6</v>
      </c>
    </row>
    <row r="3" spans="1:12" ht="49.5" customHeight="1">
      <c r="A3" s="98"/>
      <c r="B3" s="99"/>
      <c r="C3" s="98"/>
      <c r="D3" s="14" t="s">
        <v>3</v>
      </c>
      <c r="E3" s="14" t="s">
        <v>56</v>
      </c>
      <c r="F3" s="14" t="s">
        <v>5</v>
      </c>
      <c r="G3" s="14" t="s">
        <v>57</v>
      </c>
      <c r="H3" s="14" t="s">
        <v>5</v>
      </c>
      <c r="I3" s="104"/>
      <c r="J3" s="98"/>
    </row>
    <row r="4" spans="1:12" ht="62.1" hidden="1" customHeight="1">
      <c r="A4" s="15">
        <v>1.3</v>
      </c>
      <c r="B4" s="16" t="s">
        <v>10</v>
      </c>
      <c r="C4" s="15" t="s">
        <v>11</v>
      </c>
      <c r="D4" s="17">
        <v>9</v>
      </c>
      <c r="E4" s="17">
        <v>1496.46</v>
      </c>
      <c r="F4" s="17">
        <f>D4*E4</f>
        <v>13468.14</v>
      </c>
      <c r="G4" s="17"/>
      <c r="H4" s="17"/>
      <c r="I4" s="17"/>
      <c r="J4" s="18" t="s">
        <v>36</v>
      </c>
    </row>
    <row r="5" spans="1:12" s="32" customFormat="1" ht="62.1" customHeight="1">
      <c r="A5" s="28">
        <v>1.19</v>
      </c>
      <c r="B5" s="29" t="s">
        <v>49</v>
      </c>
      <c r="C5" s="28" t="s">
        <v>15</v>
      </c>
      <c r="D5" s="30">
        <v>66734.2</v>
      </c>
      <c r="E5" s="30">
        <v>31</v>
      </c>
      <c r="F5" s="30">
        <f>D5*E5</f>
        <v>2068760.2</v>
      </c>
      <c r="G5" s="30">
        <v>33.1</v>
      </c>
      <c r="H5" s="30">
        <f>D5*G5</f>
        <v>2208902.02</v>
      </c>
      <c r="I5" s="30">
        <f>H5-F5</f>
        <v>140141.82000000007</v>
      </c>
      <c r="J5" s="31" t="s">
        <v>58</v>
      </c>
      <c r="K5" s="27" t="s">
        <v>50</v>
      </c>
    </row>
    <row r="6" spans="1:12" s="32" customFormat="1" ht="62.1" customHeight="1">
      <c r="A6" s="28">
        <v>1.26</v>
      </c>
      <c r="B6" s="29" t="s">
        <v>54</v>
      </c>
      <c r="C6" s="28" t="s">
        <v>55</v>
      </c>
      <c r="D6" s="30">
        <v>516</v>
      </c>
      <c r="E6" s="30">
        <v>1250</v>
      </c>
      <c r="F6" s="30">
        <f>D6*E6</f>
        <v>645000</v>
      </c>
      <c r="G6" s="30">
        <v>1318.77</v>
      </c>
      <c r="H6" s="30">
        <f>D6*G6</f>
        <v>680485.32</v>
      </c>
      <c r="I6" s="30">
        <f>H6-F6</f>
        <v>35485.319999999949</v>
      </c>
      <c r="J6" s="31" t="s">
        <v>58</v>
      </c>
      <c r="K6" s="27" t="s">
        <v>50</v>
      </c>
    </row>
    <row r="7" spans="1:12" s="38" customFormat="1" ht="62.1" customHeight="1">
      <c r="A7" s="33">
        <v>1.31</v>
      </c>
      <c r="B7" s="34" t="s">
        <v>12</v>
      </c>
      <c r="C7" s="33" t="s">
        <v>13</v>
      </c>
      <c r="D7" s="36">
        <v>1</v>
      </c>
      <c r="E7" s="36">
        <v>130787.26</v>
      </c>
      <c r="F7" s="36">
        <f t="shared" ref="F7:F21" si="0">D7*E7</f>
        <v>130787.26</v>
      </c>
      <c r="G7" s="36">
        <v>133342.56</v>
      </c>
      <c r="H7" s="36">
        <f>D7*G7</f>
        <v>133342.56</v>
      </c>
      <c r="I7" s="36">
        <f>H7-F7</f>
        <v>2555.3000000000029</v>
      </c>
      <c r="J7" s="37" t="s">
        <v>37</v>
      </c>
      <c r="K7" s="35" t="s">
        <v>45</v>
      </c>
    </row>
    <row r="8" spans="1:12" s="38" customFormat="1" ht="62.1" customHeight="1">
      <c r="A8" s="33">
        <v>1.32</v>
      </c>
      <c r="B8" s="34" t="s">
        <v>14</v>
      </c>
      <c r="C8" s="33" t="s">
        <v>15</v>
      </c>
      <c r="D8" s="36">
        <v>144</v>
      </c>
      <c r="E8" s="36">
        <v>26.35</v>
      </c>
      <c r="F8" s="36">
        <f t="shared" si="0"/>
        <v>3794.4</v>
      </c>
      <c r="G8" s="36">
        <v>33.33</v>
      </c>
      <c r="H8" s="36">
        <f t="shared" ref="H8:H11" si="1">D8*G8</f>
        <v>4799.5199999999995</v>
      </c>
      <c r="I8" s="36">
        <f t="shared" ref="I8:I11" si="2">H8-F8</f>
        <v>1005.1199999999994</v>
      </c>
      <c r="J8" s="37" t="s">
        <v>38</v>
      </c>
      <c r="K8" s="35" t="s">
        <v>45</v>
      </c>
    </row>
    <row r="9" spans="1:12" s="38" customFormat="1" ht="62.1" customHeight="1">
      <c r="A9" s="33">
        <v>1.33</v>
      </c>
      <c r="B9" s="34" t="s">
        <v>16</v>
      </c>
      <c r="C9" s="33" t="s">
        <v>17</v>
      </c>
      <c r="D9" s="36">
        <v>77</v>
      </c>
      <c r="E9" s="36">
        <v>911.09</v>
      </c>
      <c r="F9" s="36">
        <f t="shared" si="0"/>
        <v>70153.930000000008</v>
      </c>
      <c r="G9" s="36">
        <v>973.67</v>
      </c>
      <c r="H9" s="36">
        <f t="shared" si="1"/>
        <v>74972.59</v>
      </c>
      <c r="I9" s="36">
        <f t="shared" si="2"/>
        <v>4818.6599999999889</v>
      </c>
      <c r="J9" s="37" t="s">
        <v>39</v>
      </c>
      <c r="K9" s="35" t="s">
        <v>45</v>
      </c>
    </row>
    <row r="10" spans="1:12" ht="62.1" hidden="1" customHeight="1">
      <c r="A10" s="15">
        <v>1.34</v>
      </c>
      <c r="B10" s="16" t="s">
        <v>29</v>
      </c>
      <c r="C10" s="18" t="s">
        <v>15</v>
      </c>
      <c r="D10" s="17">
        <v>478</v>
      </c>
      <c r="E10" s="17">
        <v>417.06</v>
      </c>
      <c r="F10" s="17">
        <f t="shared" si="0"/>
        <v>199354.68</v>
      </c>
      <c r="G10" s="17"/>
      <c r="H10" s="17"/>
      <c r="I10" s="17"/>
      <c r="J10" s="18" t="s">
        <v>40</v>
      </c>
      <c r="K10" s="26" t="s">
        <v>46</v>
      </c>
    </row>
    <row r="11" spans="1:12" s="32" customFormat="1" ht="62.1" customHeight="1">
      <c r="A11" s="28">
        <v>2.35</v>
      </c>
      <c r="B11" s="29" t="s">
        <v>51</v>
      </c>
      <c r="C11" s="31" t="s">
        <v>52</v>
      </c>
      <c r="D11" s="30">
        <v>180</v>
      </c>
      <c r="E11" s="30">
        <v>3279.27</v>
      </c>
      <c r="F11" s="30">
        <f t="shared" si="0"/>
        <v>590268.6</v>
      </c>
      <c r="G11" s="30">
        <v>4572.58</v>
      </c>
      <c r="H11" s="30">
        <f t="shared" si="1"/>
        <v>823064.4</v>
      </c>
      <c r="I11" s="30">
        <f t="shared" si="2"/>
        <v>232795.80000000005</v>
      </c>
      <c r="J11" s="31" t="s">
        <v>58</v>
      </c>
      <c r="K11" s="27" t="s">
        <v>50</v>
      </c>
    </row>
    <row r="12" spans="1:12" ht="62.1" hidden="1" customHeight="1">
      <c r="A12" s="15">
        <v>2.36</v>
      </c>
      <c r="B12" s="16" t="s">
        <v>18</v>
      </c>
      <c r="C12" s="15" t="s">
        <v>19</v>
      </c>
      <c r="D12" s="17">
        <v>76</v>
      </c>
      <c r="E12" s="17">
        <v>1478</v>
      </c>
      <c r="F12" s="17">
        <f t="shared" si="0"/>
        <v>112328</v>
      </c>
      <c r="G12" s="17"/>
      <c r="H12" s="17"/>
      <c r="I12" s="17"/>
      <c r="J12" s="18" t="s">
        <v>26</v>
      </c>
      <c r="K12" s="26" t="s">
        <v>45</v>
      </c>
    </row>
    <row r="13" spans="1:12" s="38" customFormat="1" ht="62.1" customHeight="1">
      <c r="A13" s="33">
        <v>2.37</v>
      </c>
      <c r="B13" s="34" t="s">
        <v>20</v>
      </c>
      <c r="C13" s="33" t="s">
        <v>21</v>
      </c>
      <c r="D13" s="36">
        <v>180</v>
      </c>
      <c r="E13" s="36">
        <v>2597.5500000000002</v>
      </c>
      <c r="F13" s="36">
        <f t="shared" si="0"/>
        <v>467559.00000000006</v>
      </c>
      <c r="G13" s="36">
        <v>2598</v>
      </c>
      <c r="H13" s="36">
        <f t="shared" ref="H13:H17" si="3">D13*G13</f>
        <v>467640</v>
      </c>
      <c r="I13" s="36">
        <f t="shared" ref="I13:I17" si="4">H13-F13</f>
        <v>80.999999999941792</v>
      </c>
      <c r="J13" s="37" t="s">
        <v>34</v>
      </c>
      <c r="K13" s="35" t="s">
        <v>44</v>
      </c>
    </row>
    <row r="14" spans="1:12" s="32" customFormat="1" ht="62.1" customHeight="1">
      <c r="A14" s="28">
        <v>3.3</v>
      </c>
      <c r="B14" s="29" t="s">
        <v>68</v>
      </c>
      <c r="C14" s="28" t="s">
        <v>52</v>
      </c>
      <c r="D14" s="45">
        <v>-1804.8</v>
      </c>
      <c r="E14" s="30">
        <v>526.33000000000004</v>
      </c>
      <c r="F14" s="45">
        <f t="shared" si="0"/>
        <v>-949920.38400000008</v>
      </c>
      <c r="G14" s="30">
        <v>526.38</v>
      </c>
      <c r="H14" s="45">
        <f t="shared" si="3"/>
        <v>-950010.62399999995</v>
      </c>
      <c r="I14" s="45">
        <f t="shared" si="4"/>
        <v>-90.239999999874271</v>
      </c>
      <c r="J14" s="31" t="s">
        <v>58</v>
      </c>
      <c r="K14" s="27"/>
    </row>
    <row r="15" spans="1:12" s="32" customFormat="1" ht="62.1" customHeight="1">
      <c r="A15" s="28">
        <v>3.11</v>
      </c>
      <c r="B15" s="29" t="s">
        <v>59</v>
      </c>
      <c r="C15" s="28" t="s">
        <v>60</v>
      </c>
      <c r="D15" s="45">
        <v>-10017</v>
      </c>
      <c r="E15" s="30">
        <v>15.46</v>
      </c>
      <c r="F15" s="45">
        <f t="shared" si="0"/>
        <v>-154862.82</v>
      </c>
      <c r="G15" s="30">
        <v>15.16</v>
      </c>
      <c r="H15" s="45">
        <f t="shared" si="3"/>
        <v>-151857.72</v>
      </c>
      <c r="I15" s="30">
        <f t="shared" si="4"/>
        <v>3005.1000000000058</v>
      </c>
      <c r="J15" s="31" t="s">
        <v>58</v>
      </c>
      <c r="K15" s="27" t="s">
        <v>61</v>
      </c>
      <c r="L15" s="40"/>
    </row>
    <row r="16" spans="1:12" s="32" customFormat="1" ht="62.1" customHeight="1">
      <c r="A16" s="28">
        <v>5.16</v>
      </c>
      <c r="B16" s="29" t="s">
        <v>69</v>
      </c>
      <c r="C16" s="28" t="s">
        <v>71</v>
      </c>
      <c r="D16" s="45">
        <v>142.80000000000001</v>
      </c>
      <c r="E16" s="30">
        <v>225</v>
      </c>
      <c r="F16" s="30">
        <f t="shared" si="0"/>
        <v>32130.000000000004</v>
      </c>
      <c r="G16" s="30">
        <v>258</v>
      </c>
      <c r="H16" s="30">
        <f t="shared" si="3"/>
        <v>36842.400000000001</v>
      </c>
      <c r="I16" s="30">
        <f t="shared" si="4"/>
        <v>4712.3999999999978</v>
      </c>
      <c r="J16" s="31" t="s">
        <v>58</v>
      </c>
      <c r="K16" s="27"/>
      <c r="L16" s="40"/>
    </row>
    <row r="17" spans="1:13" s="38" customFormat="1" ht="62.1" customHeight="1">
      <c r="A17" s="33">
        <v>5.19</v>
      </c>
      <c r="B17" s="34" t="s">
        <v>32</v>
      </c>
      <c r="C17" s="37" t="s">
        <v>70</v>
      </c>
      <c r="D17" s="46">
        <v>1.44</v>
      </c>
      <c r="E17" s="39">
        <v>4937.58</v>
      </c>
      <c r="F17" s="36">
        <f t="shared" si="0"/>
        <v>7110.1151999999993</v>
      </c>
      <c r="G17" s="36">
        <v>5243.08</v>
      </c>
      <c r="H17" s="36">
        <f t="shared" si="3"/>
        <v>7550.0351999999993</v>
      </c>
      <c r="I17" s="36">
        <f t="shared" si="4"/>
        <v>439.92000000000007</v>
      </c>
      <c r="J17" s="37" t="s">
        <v>28</v>
      </c>
      <c r="K17" s="47" t="s">
        <v>46</v>
      </c>
    </row>
    <row r="18" spans="1:13" ht="62.1" hidden="1" customHeight="1">
      <c r="A18" s="15">
        <v>5.2</v>
      </c>
      <c r="B18" s="16" t="s">
        <v>41</v>
      </c>
      <c r="C18" s="18" t="s">
        <v>33</v>
      </c>
      <c r="D18" s="19">
        <v>1</v>
      </c>
      <c r="E18" s="19">
        <v>60000</v>
      </c>
      <c r="F18" s="17">
        <f t="shared" si="0"/>
        <v>60000</v>
      </c>
      <c r="G18" s="17"/>
      <c r="H18" s="17"/>
      <c r="I18" s="17"/>
      <c r="J18" s="18" t="s">
        <v>26</v>
      </c>
    </row>
    <row r="19" spans="1:13" ht="62.1" hidden="1" customHeight="1">
      <c r="A19" s="15">
        <v>7.19</v>
      </c>
      <c r="B19" s="16" t="s">
        <v>22</v>
      </c>
      <c r="C19" s="15" t="s">
        <v>9</v>
      </c>
      <c r="D19" s="17">
        <v>1</v>
      </c>
      <c r="E19" s="17">
        <v>7000</v>
      </c>
      <c r="F19" s="17">
        <f t="shared" si="0"/>
        <v>7000</v>
      </c>
      <c r="G19" s="17"/>
      <c r="H19" s="17"/>
      <c r="I19" s="17"/>
      <c r="J19" s="18" t="s">
        <v>26</v>
      </c>
    </row>
    <row r="20" spans="1:13" ht="62.1" hidden="1" customHeight="1">
      <c r="A20" s="25" t="s">
        <v>48</v>
      </c>
      <c r="B20" s="16" t="s">
        <v>24</v>
      </c>
      <c r="C20" s="15" t="s">
        <v>9</v>
      </c>
      <c r="D20" s="17">
        <v>2</v>
      </c>
      <c r="E20" s="17">
        <v>8000</v>
      </c>
      <c r="F20" s="17">
        <f t="shared" si="0"/>
        <v>16000</v>
      </c>
      <c r="G20" s="17"/>
      <c r="H20" s="17"/>
      <c r="I20" s="17"/>
      <c r="J20" s="18" t="s">
        <v>27</v>
      </c>
    </row>
    <row r="21" spans="1:13" ht="62.1" hidden="1" customHeight="1">
      <c r="A21" s="15">
        <v>12</v>
      </c>
      <c r="B21" s="16" t="s">
        <v>25</v>
      </c>
      <c r="C21" s="15" t="s">
        <v>15</v>
      </c>
      <c r="D21" s="17">
        <v>3530</v>
      </c>
      <c r="E21" s="17">
        <v>21.63</v>
      </c>
      <c r="F21" s="17">
        <f t="shared" si="0"/>
        <v>76353.899999999994</v>
      </c>
      <c r="G21" s="17"/>
      <c r="H21" s="17"/>
      <c r="I21" s="17"/>
      <c r="J21" s="18" t="s">
        <v>35</v>
      </c>
    </row>
    <row r="22" spans="1:13">
      <c r="A22" s="15"/>
      <c r="B22" s="18" t="s">
        <v>72</v>
      </c>
      <c r="C22" s="20"/>
      <c r="D22" s="21"/>
      <c r="E22" s="22"/>
      <c r="F22" s="22">
        <f>SUM(F4:F21)</f>
        <v>3395285.0211999998</v>
      </c>
      <c r="G22" s="22"/>
      <c r="H22" s="22"/>
      <c r="I22" s="22">
        <f>SUM(I4:I21)</f>
        <v>424950.20000000013</v>
      </c>
      <c r="J22" s="23"/>
      <c r="L22" s="13">
        <v>0.108683498</v>
      </c>
      <c r="M22" s="13">
        <f>I22*L22</f>
        <v>46185.074211799612</v>
      </c>
    </row>
    <row r="23" spans="1:13">
      <c r="A23" s="15"/>
      <c r="B23" s="18" t="s">
        <v>73</v>
      </c>
      <c r="C23" s="20"/>
      <c r="D23" s="21"/>
      <c r="E23" s="22"/>
      <c r="F23" s="22"/>
      <c r="G23" s="22"/>
      <c r="H23" s="22"/>
      <c r="I23" s="22">
        <f>I22*L22</f>
        <v>46185.074211799612</v>
      </c>
      <c r="J23" s="23"/>
    </row>
    <row r="24" spans="1:13">
      <c r="A24" s="15"/>
      <c r="B24" s="18" t="s">
        <v>74</v>
      </c>
      <c r="C24" s="20"/>
      <c r="D24" s="21"/>
      <c r="E24" s="22"/>
      <c r="F24" s="22"/>
      <c r="G24" s="22"/>
      <c r="H24" s="22"/>
      <c r="I24" s="22">
        <f>I22+I23</f>
        <v>471135.27421179973</v>
      </c>
      <c r="J24" s="23"/>
    </row>
    <row r="25" spans="1:13" ht="16.5" customHeight="1">
      <c r="H25" s="13" t="s">
        <v>62</v>
      </c>
      <c r="I25" s="24">
        <f>I22+M22</f>
        <v>471135.27421179973</v>
      </c>
      <c r="L25" s="24"/>
    </row>
    <row r="26" spans="1:13" ht="16.5" customHeight="1"/>
    <row r="27" spans="1:13" ht="16.5" customHeight="1">
      <c r="F27" s="24"/>
      <c r="G27" s="24"/>
      <c r="H27" s="24"/>
      <c r="I27" s="24"/>
      <c r="J27" s="24"/>
      <c r="L27" s="24"/>
    </row>
    <row r="28" spans="1:13" ht="16.5" customHeight="1">
      <c r="I28" s="24"/>
    </row>
    <row r="29" spans="1:13" ht="16.5" customHeight="1">
      <c r="E29" s="95" t="s">
        <v>66</v>
      </c>
      <c r="F29" s="95"/>
      <c r="G29" s="43" t="s">
        <v>67</v>
      </c>
      <c r="H29" s="43" t="s">
        <v>47</v>
      </c>
      <c r="J29" s="24"/>
    </row>
    <row r="30" spans="1:13" ht="16.5" customHeight="1">
      <c r="E30" s="41" t="s">
        <v>63</v>
      </c>
      <c r="F30" s="42">
        <v>52102871</v>
      </c>
      <c r="G30" s="44"/>
      <c r="H30" s="44"/>
    </row>
    <row r="31" spans="1:13" ht="16.5" customHeight="1">
      <c r="E31" s="41" t="s">
        <v>64</v>
      </c>
      <c r="F31" s="42">
        <v>6472503</v>
      </c>
      <c r="G31" s="44"/>
      <c r="H31" s="44"/>
      <c r="J31" s="24"/>
    </row>
    <row r="32" spans="1:13" ht="16.5" customHeight="1">
      <c r="E32" s="41" t="s">
        <v>65</v>
      </c>
      <c r="F32" s="42">
        <f>F30-F31</f>
        <v>45630368</v>
      </c>
      <c r="G32" s="44">
        <v>45159135</v>
      </c>
      <c r="H32" s="44">
        <f>F32-G32</f>
        <v>471233</v>
      </c>
    </row>
    <row r="33" spans="7:9" ht="16.5" customHeight="1">
      <c r="I33" s="24">
        <f>I25-H32</f>
        <v>-97.72578820027411</v>
      </c>
    </row>
    <row r="34" spans="7:9" ht="16.5" customHeight="1">
      <c r="G34" s="24"/>
    </row>
    <row r="35" spans="7:9" ht="16.5" customHeight="1"/>
    <row r="36" spans="7:9" ht="16.5" customHeight="1"/>
    <row r="37" spans="7:9" ht="16.5" customHeight="1"/>
    <row r="38" spans="7:9" ht="16.5" customHeight="1"/>
    <row r="39" spans="7:9" ht="16.5" customHeight="1"/>
    <row r="40" spans="7:9" ht="16.5" customHeight="1"/>
    <row r="41" spans="7:9" ht="16.5" customHeight="1"/>
    <row r="42" spans="7:9" ht="16.5" customHeight="1"/>
    <row r="43" spans="7:9" ht="16.5" customHeight="1"/>
    <row r="44" spans="7:9" ht="16.5" customHeight="1"/>
    <row r="45" spans="7:9" ht="16.5" customHeight="1"/>
    <row r="46" spans="7:9" ht="16.5" customHeight="1"/>
    <row r="47" spans="7:9" ht="16.5" customHeight="1"/>
    <row r="48" spans="7:9" ht="16.5" customHeight="1"/>
    <row r="49" ht="16.5" customHeight="1"/>
    <row r="50" ht="16.5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30" customHeight="1"/>
    <row r="87" ht="21" customHeight="1"/>
    <row r="88" ht="24" customHeight="1"/>
    <row r="89" ht="21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</sheetData>
  <mergeCells count="9">
    <mergeCell ref="E29:F29"/>
    <mergeCell ref="A1:J1"/>
    <mergeCell ref="A2:A3"/>
    <mergeCell ref="B2:B3"/>
    <mergeCell ref="C2:C3"/>
    <mergeCell ref="D2:F2"/>
    <mergeCell ref="G2:H2"/>
    <mergeCell ref="J2:J3"/>
    <mergeCell ref="I2:I3"/>
  </mergeCells>
  <phoneticPr fontId="2" type="noConversion"/>
  <pageMargins left="0.70866141732283472" right="0.70866141732283472" top="0.74803149606299213" bottom="0.51181102362204722" header="0.31496062992125984" footer="0.31496062992125984"/>
  <pageSetup paperSize="9" scale="58" fitToHeight="0" orientation="portrait" r:id="rId1"/>
  <headerFooter alignWithMargins="0">
    <oddHeader>&amp;C&amp;"標楷體,標準"&amp;18臺北市政府工務局水利工程處
詳細表&amp;R&amp;"標楷體,標準"
第&amp;P頁共&amp;N頁</oddHeader>
    <oddFooter>&amp;L&amp;"標楷體,標準"          編製&amp;C&amp;"標楷體,標準"            校核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G118"/>
  <sheetViews>
    <sheetView showGridLines="0" view="pageBreakPreview" zoomScaleNormal="100" zoomScaleSheetLayoutView="100" workbookViewId="0">
      <selection activeCell="G5" sqref="G5"/>
    </sheetView>
  </sheetViews>
  <sheetFormatPr defaultColWidth="9" defaultRowHeight="16.5"/>
  <cols>
    <col min="1" max="1" width="5.625" style="4" customWidth="1"/>
    <col min="2" max="2" width="32.125" style="4" customWidth="1"/>
    <col min="3" max="3" width="5.625" style="4" customWidth="1"/>
    <col min="4" max="4" width="12.625" style="4" customWidth="1"/>
    <col min="5" max="6" width="15.625" style="4" customWidth="1"/>
    <col min="7" max="7" width="13.875" style="4" bestFit="1" customWidth="1"/>
    <col min="8" max="16384" width="9" style="4"/>
  </cols>
  <sheetData>
    <row r="1" spans="1:7" ht="36" customHeight="1">
      <c r="A1" s="105" t="s">
        <v>8</v>
      </c>
      <c r="B1" s="105"/>
      <c r="C1" s="105"/>
      <c r="D1" s="105"/>
      <c r="E1" s="105"/>
      <c r="F1" s="105"/>
      <c r="G1" s="105"/>
    </row>
    <row r="2" spans="1:7" ht="49.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62.1" customHeight="1">
      <c r="A3" s="6">
        <v>1</v>
      </c>
      <c r="B3" s="1" t="s">
        <v>10</v>
      </c>
      <c r="C3" s="6" t="s">
        <v>11</v>
      </c>
      <c r="D3" s="7">
        <v>9</v>
      </c>
      <c r="E3" s="7">
        <v>1496.46</v>
      </c>
      <c r="F3" s="7">
        <f>D3*E3</f>
        <v>13468.14</v>
      </c>
      <c r="G3" s="2" t="s">
        <v>36</v>
      </c>
    </row>
    <row r="4" spans="1:7" ht="62.1" customHeight="1">
      <c r="A4" s="6">
        <v>2</v>
      </c>
      <c r="B4" s="1" t="s">
        <v>12</v>
      </c>
      <c r="C4" s="6" t="s">
        <v>13</v>
      </c>
      <c r="D4" s="7">
        <v>1</v>
      </c>
      <c r="E4" s="7">
        <v>130787.26</v>
      </c>
      <c r="F4" s="7">
        <f t="shared" ref="F4:F14" si="0">D4*E4</f>
        <v>130787.26</v>
      </c>
      <c r="G4" s="2" t="s">
        <v>37</v>
      </c>
    </row>
    <row r="5" spans="1:7" ht="62.1" customHeight="1">
      <c r="A5" s="6">
        <v>3</v>
      </c>
      <c r="B5" s="1" t="s">
        <v>14</v>
      </c>
      <c r="C5" s="6" t="s">
        <v>15</v>
      </c>
      <c r="D5" s="7">
        <v>144</v>
      </c>
      <c r="E5" s="7">
        <v>26.35</v>
      </c>
      <c r="F5" s="7">
        <f t="shared" si="0"/>
        <v>3794.4</v>
      </c>
      <c r="G5" s="2" t="s">
        <v>75</v>
      </c>
    </row>
    <row r="6" spans="1:7" ht="62.1" customHeight="1">
      <c r="A6" s="6">
        <v>4</v>
      </c>
      <c r="B6" s="1" t="s">
        <v>16</v>
      </c>
      <c r="C6" s="6" t="s">
        <v>17</v>
      </c>
      <c r="D6" s="7">
        <v>77</v>
      </c>
      <c r="E6" s="7">
        <v>911.09</v>
      </c>
      <c r="F6" s="7">
        <f t="shared" si="0"/>
        <v>70153.930000000008</v>
      </c>
      <c r="G6" s="2" t="s">
        <v>39</v>
      </c>
    </row>
    <row r="7" spans="1:7" ht="62.1" customHeight="1">
      <c r="A7" s="6">
        <v>5</v>
      </c>
      <c r="B7" s="1" t="s">
        <v>29</v>
      </c>
      <c r="C7" s="2" t="s">
        <v>30</v>
      </c>
      <c r="D7" s="7">
        <v>478</v>
      </c>
      <c r="E7" s="7">
        <v>417.06</v>
      </c>
      <c r="F7" s="7">
        <f t="shared" si="0"/>
        <v>199354.68</v>
      </c>
      <c r="G7" s="2" t="s">
        <v>40</v>
      </c>
    </row>
    <row r="8" spans="1:7" ht="62.1" customHeight="1">
      <c r="A8" s="6">
        <v>6</v>
      </c>
      <c r="B8" s="1" t="s">
        <v>18</v>
      </c>
      <c r="C8" s="6" t="s">
        <v>19</v>
      </c>
      <c r="D8" s="7">
        <v>76</v>
      </c>
      <c r="E8" s="7">
        <v>1478</v>
      </c>
      <c r="F8" s="7">
        <f t="shared" si="0"/>
        <v>112328</v>
      </c>
      <c r="G8" s="2" t="s">
        <v>31</v>
      </c>
    </row>
    <row r="9" spans="1:7" ht="62.1" customHeight="1">
      <c r="A9" s="6">
        <v>7</v>
      </c>
      <c r="B9" s="1" t="s">
        <v>20</v>
      </c>
      <c r="C9" s="6" t="s">
        <v>21</v>
      </c>
      <c r="D9" s="7">
        <v>180</v>
      </c>
      <c r="E9" s="7">
        <v>2597.5500000000002</v>
      </c>
      <c r="F9" s="7">
        <f t="shared" si="0"/>
        <v>467559.00000000006</v>
      </c>
      <c r="G9" s="2" t="s">
        <v>34</v>
      </c>
    </row>
    <row r="10" spans="1:7" ht="62.1" customHeight="1">
      <c r="A10" s="6">
        <v>8</v>
      </c>
      <c r="B10" s="1" t="s">
        <v>32</v>
      </c>
      <c r="C10" s="2" t="s">
        <v>30</v>
      </c>
      <c r="D10" s="3">
        <v>1.44</v>
      </c>
      <c r="E10" s="3">
        <v>4937.58</v>
      </c>
      <c r="F10" s="7">
        <f t="shared" si="0"/>
        <v>7110.1151999999993</v>
      </c>
      <c r="G10" s="2" t="s">
        <v>28</v>
      </c>
    </row>
    <row r="11" spans="1:7" ht="62.1" customHeight="1">
      <c r="A11" s="6">
        <v>9</v>
      </c>
      <c r="B11" s="1" t="s">
        <v>41</v>
      </c>
      <c r="C11" s="2" t="s">
        <v>33</v>
      </c>
      <c r="D11" s="3">
        <v>1</v>
      </c>
      <c r="E11" s="3">
        <v>60000</v>
      </c>
      <c r="F11" s="7">
        <f t="shared" si="0"/>
        <v>60000</v>
      </c>
      <c r="G11" s="2" t="s">
        <v>31</v>
      </c>
    </row>
    <row r="12" spans="1:7" ht="62.1" customHeight="1">
      <c r="A12" s="6">
        <v>10</v>
      </c>
      <c r="B12" s="1" t="s">
        <v>22</v>
      </c>
      <c r="C12" s="6" t="s">
        <v>23</v>
      </c>
      <c r="D12" s="7">
        <v>1</v>
      </c>
      <c r="E12" s="7">
        <v>7000</v>
      </c>
      <c r="F12" s="7">
        <f t="shared" si="0"/>
        <v>7000</v>
      </c>
      <c r="G12" s="2" t="s">
        <v>26</v>
      </c>
    </row>
    <row r="13" spans="1:7" ht="62.1" customHeight="1">
      <c r="A13" s="6">
        <v>11</v>
      </c>
      <c r="B13" s="1" t="s">
        <v>24</v>
      </c>
      <c r="C13" s="6" t="s">
        <v>9</v>
      </c>
      <c r="D13" s="7">
        <v>2</v>
      </c>
      <c r="E13" s="7">
        <v>8000</v>
      </c>
      <c r="F13" s="7">
        <f t="shared" si="0"/>
        <v>16000</v>
      </c>
      <c r="G13" s="2" t="s">
        <v>27</v>
      </c>
    </row>
    <row r="14" spans="1:7" ht="62.1" customHeight="1">
      <c r="A14" s="6">
        <v>12</v>
      </c>
      <c r="B14" s="1" t="s">
        <v>25</v>
      </c>
      <c r="C14" s="6" t="s">
        <v>15</v>
      </c>
      <c r="D14" s="7">
        <v>3530</v>
      </c>
      <c r="E14" s="7">
        <v>21.63</v>
      </c>
      <c r="F14" s="7">
        <f t="shared" si="0"/>
        <v>76353.899999999994</v>
      </c>
      <c r="G14" s="2" t="s">
        <v>35</v>
      </c>
    </row>
    <row r="15" spans="1:7" ht="62.1" customHeight="1">
      <c r="A15" s="6"/>
      <c r="B15" s="2" t="s">
        <v>7</v>
      </c>
      <c r="C15" s="8"/>
      <c r="D15" s="9"/>
      <c r="E15" s="10"/>
      <c r="F15" s="10">
        <f>SUM(F3:F14)</f>
        <v>1163909.4251999999</v>
      </c>
      <c r="G15" s="11"/>
    </row>
    <row r="16" spans="1:7" ht="16.5" customHeight="1"/>
    <row r="17" spans="6:6" ht="16.5" customHeight="1"/>
    <row r="18" spans="6:6" ht="16.5" customHeight="1">
      <c r="F18" s="12"/>
    </row>
    <row r="19" spans="6:6" ht="16.5" customHeight="1"/>
    <row r="20" spans="6:6" ht="16.5" customHeight="1"/>
    <row r="21" spans="6:6" ht="16.5" customHeight="1"/>
    <row r="22" spans="6:6" ht="16.5" customHeight="1"/>
    <row r="23" spans="6:6" ht="16.5" customHeight="1"/>
    <row r="24" spans="6:6" ht="16.5" customHeight="1"/>
    <row r="25" spans="6:6" ht="16.5" customHeight="1"/>
    <row r="26" spans="6:6" ht="16.5" customHeight="1"/>
    <row r="27" spans="6:6" ht="16.5" customHeight="1"/>
    <row r="28" spans="6:6" ht="16.5" customHeight="1"/>
    <row r="29" spans="6:6" ht="16.5" customHeight="1"/>
    <row r="30" spans="6:6" ht="16.5" customHeight="1"/>
    <row r="31" spans="6:6" ht="16.5" customHeight="1"/>
    <row r="32" spans="6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30" customHeight="1"/>
    <row r="78" ht="21" customHeight="1"/>
    <row r="79" ht="24" customHeight="1"/>
    <row r="80" ht="21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</sheetData>
  <mergeCells count="1">
    <mergeCell ref="A1:G1"/>
  </mergeCells>
  <phoneticPr fontId="2" type="noConversion"/>
  <pageMargins left="0.70866141732283472" right="0.70866141732283472" top="0.74803149606299213" bottom="0.51181102362204722" header="0.31496062992125984" footer="0.31496062992125984"/>
  <pageSetup paperSize="9" scale="86" fitToHeight="0" orientation="portrait" r:id="rId1"/>
  <headerFooter alignWithMargins="0">
    <oddHeader>&amp;C&amp;"標楷體,標準"&amp;18臺北市政府工務局水利工程處
詳細表&amp;R&amp;"標楷體,標準"
第&amp;P頁共&amp;N頁</oddHeader>
    <oddFooter>&amp;L&amp;"標楷體,標準"          編製&amp;C&amp;"標楷體,標準"            校核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view="pageBreakPreview" topLeftCell="A27" zoomScale="96" zoomScaleNormal="100" zoomScaleSheetLayoutView="96" workbookViewId="0">
      <selection activeCell="H43" sqref="H43"/>
    </sheetView>
  </sheetViews>
  <sheetFormatPr defaultRowHeight="16.5"/>
  <cols>
    <col min="1" max="1" width="5.5" style="63" bestFit="1" customWidth="1"/>
    <col min="2" max="2" width="40.25" style="63" customWidth="1"/>
    <col min="3" max="3" width="5.5" style="63" bestFit="1" customWidth="1"/>
    <col min="4" max="4" width="12.375" style="63" customWidth="1"/>
    <col min="5" max="5" width="14.875" style="63" customWidth="1"/>
    <col min="6" max="6" width="19.875" style="63" customWidth="1"/>
    <col min="7" max="7" width="18.875" style="63" customWidth="1"/>
    <col min="8" max="8" width="20.25" style="63" customWidth="1"/>
    <col min="9" max="9" width="6.5" style="63" customWidth="1"/>
    <col min="10" max="10" width="4.75" style="63" customWidth="1"/>
    <col min="11" max="11" width="19.625" style="63" customWidth="1"/>
    <col min="12" max="12" width="14.75" style="63" bestFit="1" customWidth="1"/>
    <col min="13" max="256" width="9" style="63"/>
    <col min="257" max="257" width="5.5" style="63" bestFit="1" customWidth="1"/>
    <col min="258" max="258" width="32.75" style="63" customWidth="1"/>
    <col min="259" max="259" width="5.5" style="63" bestFit="1" customWidth="1"/>
    <col min="260" max="261" width="15.625" style="63" customWidth="1"/>
    <col min="262" max="262" width="21.625" style="63" customWidth="1"/>
    <col min="263" max="263" width="19.375" style="63" bestFit="1" customWidth="1"/>
    <col min="264" max="264" width="21.625" style="63" customWidth="1"/>
    <col min="265" max="266" width="9" style="63"/>
    <col min="267" max="267" width="24.125" style="63" bestFit="1" customWidth="1"/>
    <col min="268" max="268" width="14.75" style="63" bestFit="1" customWidth="1"/>
    <col min="269" max="512" width="9" style="63"/>
    <col min="513" max="513" width="5.5" style="63" bestFit="1" customWidth="1"/>
    <col min="514" max="514" width="32.75" style="63" customWidth="1"/>
    <col min="515" max="515" width="5.5" style="63" bestFit="1" customWidth="1"/>
    <col min="516" max="517" width="15.625" style="63" customWidth="1"/>
    <col min="518" max="518" width="21.625" style="63" customWidth="1"/>
    <col min="519" max="519" width="19.375" style="63" bestFit="1" customWidth="1"/>
    <col min="520" max="520" width="21.625" style="63" customWidth="1"/>
    <col min="521" max="522" width="9" style="63"/>
    <col min="523" max="523" width="24.125" style="63" bestFit="1" customWidth="1"/>
    <col min="524" max="524" width="14.75" style="63" bestFit="1" customWidth="1"/>
    <col min="525" max="768" width="9" style="63"/>
    <col min="769" max="769" width="5.5" style="63" bestFit="1" customWidth="1"/>
    <col min="770" max="770" width="32.75" style="63" customWidth="1"/>
    <col min="771" max="771" width="5.5" style="63" bestFit="1" customWidth="1"/>
    <col min="772" max="773" width="15.625" style="63" customWidth="1"/>
    <col min="774" max="774" width="21.625" style="63" customWidth="1"/>
    <col min="775" max="775" width="19.375" style="63" bestFit="1" customWidth="1"/>
    <col min="776" max="776" width="21.625" style="63" customWidth="1"/>
    <col min="777" max="778" width="9" style="63"/>
    <col min="779" max="779" width="24.125" style="63" bestFit="1" customWidth="1"/>
    <col min="780" max="780" width="14.75" style="63" bestFit="1" customWidth="1"/>
    <col min="781" max="1024" width="9" style="63"/>
    <col min="1025" max="1025" width="5.5" style="63" bestFit="1" customWidth="1"/>
    <col min="1026" max="1026" width="32.75" style="63" customWidth="1"/>
    <col min="1027" max="1027" width="5.5" style="63" bestFit="1" customWidth="1"/>
    <col min="1028" max="1029" width="15.625" style="63" customWidth="1"/>
    <col min="1030" max="1030" width="21.625" style="63" customWidth="1"/>
    <col min="1031" max="1031" width="19.375" style="63" bestFit="1" customWidth="1"/>
    <col min="1032" max="1032" width="21.625" style="63" customWidth="1"/>
    <col min="1033" max="1034" width="9" style="63"/>
    <col min="1035" max="1035" width="24.125" style="63" bestFit="1" customWidth="1"/>
    <col min="1036" max="1036" width="14.75" style="63" bestFit="1" customWidth="1"/>
    <col min="1037" max="1280" width="9" style="63"/>
    <col min="1281" max="1281" width="5.5" style="63" bestFit="1" customWidth="1"/>
    <col min="1282" max="1282" width="32.75" style="63" customWidth="1"/>
    <col min="1283" max="1283" width="5.5" style="63" bestFit="1" customWidth="1"/>
    <col min="1284" max="1285" width="15.625" style="63" customWidth="1"/>
    <col min="1286" max="1286" width="21.625" style="63" customWidth="1"/>
    <col min="1287" max="1287" width="19.375" style="63" bestFit="1" customWidth="1"/>
    <col min="1288" max="1288" width="21.625" style="63" customWidth="1"/>
    <col min="1289" max="1290" width="9" style="63"/>
    <col min="1291" max="1291" width="24.125" style="63" bestFit="1" customWidth="1"/>
    <col min="1292" max="1292" width="14.75" style="63" bestFit="1" customWidth="1"/>
    <col min="1293" max="1536" width="9" style="63"/>
    <col min="1537" max="1537" width="5.5" style="63" bestFit="1" customWidth="1"/>
    <col min="1538" max="1538" width="32.75" style="63" customWidth="1"/>
    <col min="1539" max="1539" width="5.5" style="63" bestFit="1" customWidth="1"/>
    <col min="1540" max="1541" width="15.625" style="63" customWidth="1"/>
    <col min="1542" max="1542" width="21.625" style="63" customWidth="1"/>
    <col min="1543" max="1543" width="19.375" style="63" bestFit="1" customWidth="1"/>
    <col min="1544" max="1544" width="21.625" style="63" customWidth="1"/>
    <col min="1545" max="1546" width="9" style="63"/>
    <col min="1547" max="1547" width="24.125" style="63" bestFit="1" customWidth="1"/>
    <col min="1548" max="1548" width="14.75" style="63" bestFit="1" customWidth="1"/>
    <col min="1549" max="1792" width="9" style="63"/>
    <col min="1793" max="1793" width="5.5" style="63" bestFit="1" customWidth="1"/>
    <col min="1794" max="1794" width="32.75" style="63" customWidth="1"/>
    <col min="1795" max="1795" width="5.5" style="63" bestFit="1" customWidth="1"/>
    <col min="1796" max="1797" width="15.625" style="63" customWidth="1"/>
    <col min="1798" max="1798" width="21.625" style="63" customWidth="1"/>
    <col min="1799" max="1799" width="19.375" style="63" bestFit="1" customWidth="1"/>
    <col min="1800" max="1800" width="21.625" style="63" customWidth="1"/>
    <col min="1801" max="1802" width="9" style="63"/>
    <col min="1803" max="1803" width="24.125" style="63" bestFit="1" customWidth="1"/>
    <col min="1804" max="1804" width="14.75" style="63" bestFit="1" customWidth="1"/>
    <col min="1805" max="2048" width="9" style="63"/>
    <col min="2049" max="2049" width="5.5" style="63" bestFit="1" customWidth="1"/>
    <col min="2050" max="2050" width="32.75" style="63" customWidth="1"/>
    <col min="2051" max="2051" width="5.5" style="63" bestFit="1" customWidth="1"/>
    <col min="2052" max="2053" width="15.625" style="63" customWidth="1"/>
    <col min="2054" max="2054" width="21.625" style="63" customWidth="1"/>
    <col min="2055" max="2055" width="19.375" style="63" bestFit="1" customWidth="1"/>
    <col min="2056" max="2056" width="21.625" style="63" customWidth="1"/>
    <col min="2057" max="2058" width="9" style="63"/>
    <col min="2059" max="2059" width="24.125" style="63" bestFit="1" customWidth="1"/>
    <col min="2060" max="2060" width="14.75" style="63" bestFit="1" customWidth="1"/>
    <col min="2061" max="2304" width="9" style="63"/>
    <col min="2305" max="2305" width="5.5" style="63" bestFit="1" customWidth="1"/>
    <col min="2306" max="2306" width="32.75" style="63" customWidth="1"/>
    <col min="2307" max="2307" width="5.5" style="63" bestFit="1" customWidth="1"/>
    <col min="2308" max="2309" width="15.625" style="63" customWidth="1"/>
    <col min="2310" max="2310" width="21.625" style="63" customWidth="1"/>
    <col min="2311" max="2311" width="19.375" style="63" bestFit="1" customWidth="1"/>
    <col min="2312" max="2312" width="21.625" style="63" customWidth="1"/>
    <col min="2313" max="2314" width="9" style="63"/>
    <col min="2315" max="2315" width="24.125" style="63" bestFit="1" customWidth="1"/>
    <col min="2316" max="2316" width="14.75" style="63" bestFit="1" customWidth="1"/>
    <col min="2317" max="2560" width="9" style="63"/>
    <col min="2561" max="2561" width="5.5" style="63" bestFit="1" customWidth="1"/>
    <col min="2562" max="2562" width="32.75" style="63" customWidth="1"/>
    <col min="2563" max="2563" width="5.5" style="63" bestFit="1" customWidth="1"/>
    <col min="2564" max="2565" width="15.625" style="63" customWidth="1"/>
    <col min="2566" max="2566" width="21.625" style="63" customWidth="1"/>
    <col min="2567" max="2567" width="19.375" style="63" bestFit="1" customWidth="1"/>
    <col min="2568" max="2568" width="21.625" style="63" customWidth="1"/>
    <col min="2569" max="2570" width="9" style="63"/>
    <col min="2571" max="2571" width="24.125" style="63" bestFit="1" customWidth="1"/>
    <col min="2572" max="2572" width="14.75" style="63" bestFit="1" customWidth="1"/>
    <col min="2573" max="2816" width="9" style="63"/>
    <col min="2817" max="2817" width="5.5" style="63" bestFit="1" customWidth="1"/>
    <col min="2818" max="2818" width="32.75" style="63" customWidth="1"/>
    <col min="2819" max="2819" width="5.5" style="63" bestFit="1" customWidth="1"/>
    <col min="2820" max="2821" width="15.625" style="63" customWidth="1"/>
    <col min="2822" max="2822" width="21.625" style="63" customWidth="1"/>
    <col min="2823" max="2823" width="19.375" style="63" bestFit="1" customWidth="1"/>
    <col min="2824" max="2824" width="21.625" style="63" customWidth="1"/>
    <col min="2825" max="2826" width="9" style="63"/>
    <col min="2827" max="2827" width="24.125" style="63" bestFit="1" customWidth="1"/>
    <col min="2828" max="2828" width="14.75" style="63" bestFit="1" customWidth="1"/>
    <col min="2829" max="3072" width="9" style="63"/>
    <col min="3073" max="3073" width="5.5" style="63" bestFit="1" customWidth="1"/>
    <col min="3074" max="3074" width="32.75" style="63" customWidth="1"/>
    <col min="3075" max="3075" width="5.5" style="63" bestFit="1" customWidth="1"/>
    <col min="3076" max="3077" width="15.625" style="63" customWidth="1"/>
    <col min="3078" max="3078" width="21.625" style="63" customWidth="1"/>
    <col min="3079" max="3079" width="19.375" style="63" bestFit="1" customWidth="1"/>
    <col min="3080" max="3080" width="21.625" style="63" customWidth="1"/>
    <col min="3081" max="3082" width="9" style="63"/>
    <col min="3083" max="3083" width="24.125" style="63" bestFit="1" customWidth="1"/>
    <col min="3084" max="3084" width="14.75" style="63" bestFit="1" customWidth="1"/>
    <col min="3085" max="3328" width="9" style="63"/>
    <col min="3329" max="3329" width="5.5" style="63" bestFit="1" customWidth="1"/>
    <col min="3330" max="3330" width="32.75" style="63" customWidth="1"/>
    <col min="3331" max="3331" width="5.5" style="63" bestFit="1" customWidth="1"/>
    <col min="3332" max="3333" width="15.625" style="63" customWidth="1"/>
    <col min="3334" max="3334" width="21.625" style="63" customWidth="1"/>
    <col min="3335" max="3335" width="19.375" style="63" bestFit="1" customWidth="1"/>
    <col min="3336" max="3336" width="21.625" style="63" customWidth="1"/>
    <col min="3337" max="3338" width="9" style="63"/>
    <col min="3339" max="3339" width="24.125" style="63" bestFit="1" customWidth="1"/>
    <col min="3340" max="3340" width="14.75" style="63" bestFit="1" customWidth="1"/>
    <col min="3341" max="3584" width="9" style="63"/>
    <col min="3585" max="3585" width="5.5" style="63" bestFit="1" customWidth="1"/>
    <col min="3586" max="3586" width="32.75" style="63" customWidth="1"/>
    <col min="3587" max="3587" width="5.5" style="63" bestFit="1" customWidth="1"/>
    <col min="3588" max="3589" width="15.625" style="63" customWidth="1"/>
    <col min="3590" max="3590" width="21.625" style="63" customWidth="1"/>
    <col min="3591" max="3591" width="19.375" style="63" bestFit="1" customWidth="1"/>
    <col min="3592" max="3592" width="21.625" style="63" customWidth="1"/>
    <col min="3593" max="3594" width="9" style="63"/>
    <col min="3595" max="3595" width="24.125" style="63" bestFit="1" customWidth="1"/>
    <col min="3596" max="3596" width="14.75" style="63" bestFit="1" customWidth="1"/>
    <col min="3597" max="3840" width="9" style="63"/>
    <col min="3841" max="3841" width="5.5" style="63" bestFit="1" customWidth="1"/>
    <col min="3842" max="3842" width="32.75" style="63" customWidth="1"/>
    <col min="3843" max="3843" width="5.5" style="63" bestFit="1" customWidth="1"/>
    <col min="3844" max="3845" width="15.625" style="63" customWidth="1"/>
    <col min="3846" max="3846" width="21.625" style="63" customWidth="1"/>
    <col min="3847" max="3847" width="19.375" style="63" bestFit="1" customWidth="1"/>
    <col min="3848" max="3848" width="21.625" style="63" customWidth="1"/>
    <col min="3849" max="3850" width="9" style="63"/>
    <col min="3851" max="3851" width="24.125" style="63" bestFit="1" customWidth="1"/>
    <col min="3852" max="3852" width="14.75" style="63" bestFit="1" customWidth="1"/>
    <col min="3853" max="4096" width="9" style="63"/>
    <col min="4097" max="4097" width="5.5" style="63" bestFit="1" customWidth="1"/>
    <col min="4098" max="4098" width="32.75" style="63" customWidth="1"/>
    <col min="4099" max="4099" width="5.5" style="63" bestFit="1" customWidth="1"/>
    <col min="4100" max="4101" width="15.625" style="63" customWidth="1"/>
    <col min="4102" max="4102" width="21.625" style="63" customWidth="1"/>
    <col min="4103" max="4103" width="19.375" style="63" bestFit="1" customWidth="1"/>
    <col min="4104" max="4104" width="21.625" style="63" customWidth="1"/>
    <col min="4105" max="4106" width="9" style="63"/>
    <col min="4107" max="4107" width="24.125" style="63" bestFit="1" customWidth="1"/>
    <col min="4108" max="4108" width="14.75" style="63" bestFit="1" customWidth="1"/>
    <col min="4109" max="4352" width="9" style="63"/>
    <col min="4353" max="4353" width="5.5" style="63" bestFit="1" customWidth="1"/>
    <col min="4354" max="4354" width="32.75" style="63" customWidth="1"/>
    <col min="4355" max="4355" width="5.5" style="63" bestFit="1" customWidth="1"/>
    <col min="4356" max="4357" width="15.625" style="63" customWidth="1"/>
    <col min="4358" max="4358" width="21.625" style="63" customWidth="1"/>
    <col min="4359" max="4359" width="19.375" style="63" bestFit="1" customWidth="1"/>
    <col min="4360" max="4360" width="21.625" style="63" customWidth="1"/>
    <col min="4361" max="4362" width="9" style="63"/>
    <col min="4363" max="4363" width="24.125" style="63" bestFit="1" customWidth="1"/>
    <col min="4364" max="4364" width="14.75" style="63" bestFit="1" customWidth="1"/>
    <col min="4365" max="4608" width="9" style="63"/>
    <col min="4609" max="4609" width="5.5" style="63" bestFit="1" customWidth="1"/>
    <col min="4610" max="4610" width="32.75" style="63" customWidth="1"/>
    <col min="4611" max="4611" width="5.5" style="63" bestFit="1" customWidth="1"/>
    <col min="4612" max="4613" width="15.625" style="63" customWidth="1"/>
    <col min="4614" max="4614" width="21.625" style="63" customWidth="1"/>
    <col min="4615" max="4615" width="19.375" style="63" bestFit="1" customWidth="1"/>
    <col min="4616" max="4616" width="21.625" style="63" customWidth="1"/>
    <col min="4617" max="4618" width="9" style="63"/>
    <col min="4619" max="4619" width="24.125" style="63" bestFit="1" customWidth="1"/>
    <col min="4620" max="4620" width="14.75" style="63" bestFit="1" customWidth="1"/>
    <col min="4621" max="4864" width="9" style="63"/>
    <col min="4865" max="4865" width="5.5" style="63" bestFit="1" customWidth="1"/>
    <col min="4866" max="4866" width="32.75" style="63" customWidth="1"/>
    <col min="4867" max="4867" width="5.5" style="63" bestFit="1" customWidth="1"/>
    <col min="4868" max="4869" width="15.625" style="63" customWidth="1"/>
    <col min="4870" max="4870" width="21.625" style="63" customWidth="1"/>
    <col min="4871" max="4871" width="19.375" style="63" bestFit="1" customWidth="1"/>
    <col min="4872" max="4872" width="21.625" style="63" customWidth="1"/>
    <col min="4873" max="4874" width="9" style="63"/>
    <col min="4875" max="4875" width="24.125" style="63" bestFit="1" customWidth="1"/>
    <col min="4876" max="4876" width="14.75" style="63" bestFit="1" customWidth="1"/>
    <col min="4877" max="5120" width="9" style="63"/>
    <col min="5121" max="5121" width="5.5" style="63" bestFit="1" customWidth="1"/>
    <col min="5122" max="5122" width="32.75" style="63" customWidth="1"/>
    <col min="5123" max="5123" width="5.5" style="63" bestFit="1" customWidth="1"/>
    <col min="5124" max="5125" width="15.625" style="63" customWidth="1"/>
    <col min="5126" max="5126" width="21.625" style="63" customWidth="1"/>
    <col min="5127" max="5127" width="19.375" style="63" bestFit="1" customWidth="1"/>
    <col min="5128" max="5128" width="21.625" style="63" customWidth="1"/>
    <col min="5129" max="5130" width="9" style="63"/>
    <col min="5131" max="5131" width="24.125" style="63" bestFit="1" customWidth="1"/>
    <col min="5132" max="5132" width="14.75" style="63" bestFit="1" customWidth="1"/>
    <col min="5133" max="5376" width="9" style="63"/>
    <col min="5377" max="5377" width="5.5" style="63" bestFit="1" customWidth="1"/>
    <col min="5378" max="5378" width="32.75" style="63" customWidth="1"/>
    <col min="5379" max="5379" width="5.5" style="63" bestFit="1" customWidth="1"/>
    <col min="5380" max="5381" width="15.625" style="63" customWidth="1"/>
    <col min="5382" max="5382" width="21.625" style="63" customWidth="1"/>
    <col min="5383" max="5383" width="19.375" style="63" bestFit="1" customWidth="1"/>
    <col min="5384" max="5384" width="21.625" style="63" customWidth="1"/>
    <col min="5385" max="5386" width="9" style="63"/>
    <col min="5387" max="5387" width="24.125" style="63" bestFit="1" customWidth="1"/>
    <col min="5388" max="5388" width="14.75" style="63" bestFit="1" customWidth="1"/>
    <col min="5389" max="5632" width="9" style="63"/>
    <col min="5633" max="5633" width="5.5" style="63" bestFit="1" customWidth="1"/>
    <col min="5634" max="5634" width="32.75" style="63" customWidth="1"/>
    <col min="5635" max="5635" width="5.5" style="63" bestFit="1" customWidth="1"/>
    <col min="5636" max="5637" width="15.625" style="63" customWidth="1"/>
    <col min="5638" max="5638" width="21.625" style="63" customWidth="1"/>
    <col min="5639" max="5639" width="19.375" style="63" bestFit="1" customWidth="1"/>
    <col min="5640" max="5640" width="21.625" style="63" customWidth="1"/>
    <col min="5641" max="5642" width="9" style="63"/>
    <col min="5643" max="5643" width="24.125" style="63" bestFit="1" customWidth="1"/>
    <col min="5644" max="5644" width="14.75" style="63" bestFit="1" customWidth="1"/>
    <col min="5645" max="5888" width="9" style="63"/>
    <col min="5889" max="5889" width="5.5" style="63" bestFit="1" customWidth="1"/>
    <col min="5890" max="5890" width="32.75" style="63" customWidth="1"/>
    <col min="5891" max="5891" width="5.5" style="63" bestFit="1" customWidth="1"/>
    <col min="5892" max="5893" width="15.625" style="63" customWidth="1"/>
    <col min="5894" max="5894" width="21.625" style="63" customWidth="1"/>
    <col min="5895" max="5895" width="19.375" style="63" bestFit="1" customWidth="1"/>
    <col min="5896" max="5896" width="21.625" style="63" customWidth="1"/>
    <col min="5897" max="5898" width="9" style="63"/>
    <col min="5899" max="5899" width="24.125" style="63" bestFit="1" customWidth="1"/>
    <col min="5900" max="5900" width="14.75" style="63" bestFit="1" customWidth="1"/>
    <col min="5901" max="6144" width="9" style="63"/>
    <col min="6145" max="6145" width="5.5" style="63" bestFit="1" customWidth="1"/>
    <col min="6146" max="6146" width="32.75" style="63" customWidth="1"/>
    <col min="6147" max="6147" width="5.5" style="63" bestFit="1" customWidth="1"/>
    <col min="6148" max="6149" width="15.625" style="63" customWidth="1"/>
    <col min="6150" max="6150" width="21.625" style="63" customWidth="1"/>
    <col min="6151" max="6151" width="19.375" style="63" bestFit="1" customWidth="1"/>
    <col min="6152" max="6152" width="21.625" style="63" customWidth="1"/>
    <col min="6153" max="6154" width="9" style="63"/>
    <col min="6155" max="6155" width="24.125" style="63" bestFit="1" customWidth="1"/>
    <col min="6156" max="6156" width="14.75" style="63" bestFit="1" customWidth="1"/>
    <col min="6157" max="6400" width="9" style="63"/>
    <col min="6401" max="6401" width="5.5" style="63" bestFit="1" customWidth="1"/>
    <col min="6402" max="6402" width="32.75" style="63" customWidth="1"/>
    <col min="6403" max="6403" width="5.5" style="63" bestFit="1" customWidth="1"/>
    <col min="6404" max="6405" width="15.625" style="63" customWidth="1"/>
    <col min="6406" max="6406" width="21.625" style="63" customWidth="1"/>
    <col min="6407" max="6407" width="19.375" style="63" bestFit="1" customWidth="1"/>
    <col min="6408" max="6408" width="21.625" style="63" customWidth="1"/>
    <col min="6409" max="6410" width="9" style="63"/>
    <col min="6411" max="6411" width="24.125" style="63" bestFit="1" customWidth="1"/>
    <col min="6412" max="6412" width="14.75" style="63" bestFit="1" customWidth="1"/>
    <col min="6413" max="6656" width="9" style="63"/>
    <col min="6657" max="6657" width="5.5" style="63" bestFit="1" customWidth="1"/>
    <col min="6658" max="6658" width="32.75" style="63" customWidth="1"/>
    <col min="6659" max="6659" width="5.5" style="63" bestFit="1" customWidth="1"/>
    <col min="6660" max="6661" width="15.625" style="63" customWidth="1"/>
    <col min="6662" max="6662" width="21.625" style="63" customWidth="1"/>
    <col min="6663" max="6663" width="19.375" style="63" bestFit="1" customWidth="1"/>
    <col min="6664" max="6664" width="21.625" style="63" customWidth="1"/>
    <col min="6665" max="6666" width="9" style="63"/>
    <col min="6667" max="6667" width="24.125" style="63" bestFit="1" customWidth="1"/>
    <col min="6668" max="6668" width="14.75" style="63" bestFit="1" customWidth="1"/>
    <col min="6669" max="6912" width="9" style="63"/>
    <col min="6913" max="6913" width="5.5" style="63" bestFit="1" customWidth="1"/>
    <col min="6914" max="6914" width="32.75" style="63" customWidth="1"/>
    <col min="6915" max="6915" width="5.5" style="63" bestFit="1" customWidth="1"/>
    <col min="6916" max="6917" width="15.625" style="63" customWidth="1"/>
    <col min="6918" max="6918" width="21.625" style="63" customWidth="1"/>
    <col min="6919" max="6919" width="19.375" style="63" bestFit="1" customWidth="1"/>
    <col min="6920" max="6920" width="21.625" style="63" customWidth="1"/>
    <col min="6921" max="6922" width="9" style="63"/>
    <col min="6923" max="6923" width="24.125" style="63" bestFit="1" customWidth="1"/>
    <col min="6924" max="6924" width="14.75" style="63" bestFit="1" customWidth="1"/>
    <col min="6925" max="7168" width="9" style="63"/>
    <col min="7169" max="7169" width="5.5" style="63" bestFit="1" customWidth="1"/>
    <col min="7170" max="7170" width="32.75" style="63" customWidth="1"/>
    <col min="7171" max="7171" width="5.5" style="63" bestFit="1" customWidth="1"/>
    <col min="7172" max="7173" width="15.625" style="63" customWidth="1"/>
    <col min="7174" max="7174" width="21.625" style="63" customWidth="1"/>
    <col min="7175" max="7175" width="19.375" style="63" bestFit="1" customWidth="1"/>
    <col min="7176" max="7176" width="21.625" style="63" customWidth="1"/>
    <col min="7177" max="7178" width="9" style="63"/>
    <col min="7179" max="7179" width="24.125" style="63" bestFit="1" customWidth="1"/>
    <col min="7180" max="7180" width="14.75" style="63" bestFit="1" customWidth="1"/>
    <col min="7181" max="7424" width="9" style="63"/>
    <col min="7425" max="7425" width="5.5" style="63" bestFit="1" customWidth="1"/>
    <col min="7426" max="7426" width="32.75" style="63" customWidth="1"/>
    <col min="7427" max="7427" width="5.5" style="63" bestFit="1" customWidth="1"/>
    <col min="7428" max="7429" width="15.625" style="63" customWidth="1"/>
    <col min="7430" max="7430" width="21.625" style="63" customWidth="1"/>
    <col min="7431" max="7431" width="19.375" style="63" bestFit="1" customWidth="1"/>
    <col min="7432" max="7432" width="21.625" style="63" customWidth="1"/>
    <col min="7433" max="7434" width="9" style="63"/>
    <col min="7435" max="7435" width="24.125" style="63" bestFit="1" customWidth="1"/>
    <col min="7436" max="7436" width="14.75" style="63" bestFit="1" customWidth="1"/>
    <col min="7437" max="7680" width="9" style="63"/>
    <col min="7681" max="7681" width="5.5" style="63" bestFit="1" customWidth="1"/>
    <col min="7682" max="7682" width="32.75" style="63" customWidth="1"/>
    <col min="7683" max="7683" width="5.5" style="63" bestFit="1" customWidth="1"/>
    <col min="7684" max="7685" width="15.625" style="63" customWidth="1"/>
    <col min="7686" max="7686" width="21.625" style="63" customWidth="1"/>
    <col min="7687" max="7687" width="19.375" style="63" bestFit="1" customWidth="1"/>
    <col min="7688" max="7688" width="21.625" style="63" customWidth="1"/>
    <col min="7689" max="7690" width="9" style="63"/>
    <col min="7691" max="7691" width="24.125" style="63" bestFit="1" customWidth="1"/>
    <col min="7692" max="7692" width="14.75" style="63" bestFit="1" customWidth="1"/>
    <col min="7693" max="7936" width="9" style="63"/>
    <col min="7937" max="7937" width="5.5" style="63" bestFit="1" customWidth="1"/>
    <col min="7938" max="7938" width="32.75" style="63" customWidth="1"/>
    <col min="7939" max="7939" width="5.5" style="63" bestFit="1" customWidth="1"/>
    <col min="7940" max="7941" width="15.625" style="63" customWidth="1"/>
    <col min="7942" max="7942" width="21.625" style="63" customWidth="1"/>
    <col min="7943" max="7943" width="19.375" style="63" bestFit="1" customWidth="1"/>
    <col min="7944" max="7944" width="21.625" style="63" customWidth="1"/>
    <col min="7945" max="7946" width="9" style="63"/>
    <col min="7947" max="7947" width="24.125" style="63" bestFit="1" customWidth="1"/>
    <col min="7948" max="7948" width="14.75" style="63" bestFit="1" customWidth="1"/>
    <col min="7949" max="8192" width="9" style="63"/>
    <col min="8193" max="8193" width="5.5" style="63" bestFit="1" customWidth="1"/>
    <col min="8194" max="8194" width="32.75" style="63" customWidth="1"/>
    <col min="8195" max="8195" width="5.5" style="63" bestFit="1" customWidth="1"/>
    <col min="8196" max="8197" width="15.625" style="63" customWidth="1"/>
    <col min="8198" max="8198" width="21.625" style="63" customWidth="1"/>
    <col min="8199" max="8199" width="19.375" style="63" bestFit="1" customWidth="1"/>
    <col min="8200" max="8200" width="21.625" style="63" customWidth="1"/>
    <col min="8201" max="8202" width="9" style="63"/>
    <col min="8203" max="8203" width="24.125" style="63" bestFit="1" customWidth="1"/>
    <col min="8204" max="8204" width="14.75" style="63" bestFit="1" customWidth="1"/>
    <col min="8205" max="8448" width="9" style="63"/>
    <col min="8449" max="8449" width="5.5" style="63" bestFit="1" customWidth="1"/>
    <col min="8450" max="8450" width="32.75" style="63" customWidth="1"/>
    <col min="8451" max="8451" width="5.5" style="63" bestFit="1" customWidth="1"/>
    <col min="8452" max="8453" width="15.625" style="63" customWidth="1"/>
    <col min="8454" max="8454" width="21.625" style="63" customWidth="1"/>
    <col min="8455" max="8455" width="19.375" style="63" bestFit="1" customWidth="1"/>
    <col min="8456" max="8456" width="21.625" style="63" customWidth="1"/>
    <col min="8457" max="8458" width="9" style="63"/>
    <col min="8459" max="8459" width="24.125" style="63" bestFit="1" customWidth="1"/>
    <col min="8460" max="8460" width="14.75" style="63" bestFit="1" customWidth="1"/>
    <col min="8461" max="8704" width="9" style="63"/>
    <col min="8705" max="8705" width="5.5" style="63" bestFit="1" customWidth="1"/>
    <col min="8706" max="8706" width="32.75" style="63" customWidth="1"/>
    <col min="8707" max="8707" width="5.5" style="63" bestFit="1" customWidth="1"/>
    <col min="8708" max="8709" width="15.625" style="63" customWidth="1"/>
    <col min="8710" max="8710" width="21.625" style="63" customWidth="1"/>
    <col min="8711" max="8711" width="19.375" style="63" bestFit="1" customWidth="1"/>
    <col min="8712" max="8712" width="21.625" style="63" customWidth="1"/>
    <col min="8713" max="8714" width="9" style="63"/>
    <col min="8715" max="8715" width="24.125" style="63" bestFit="1" customWidth="1"/>
    <col min="8716" max="8716" width="14.75" style="63" bestFit="1" customWidth="1"/>
    <col min="8717" max="8960" width="9" style="63"/>
    <col min="8961" max="8961" width="5.5" style="63" bestFit="1" customWidth="1"/>
    <col min="8962" max="8962" width="32.75" style="63" customWidth="1"/>
    <col min="8963" max="8963" width="5.5" style="63" bestFit="1" customWidth="1"/>
    <col min="8964" max="8965" width="15.625" style="63" customWidth="1"/>
    <col min="8966" max="8966" width="21.625" style="63" customWidth="1"/>
    <col min="8967" max="8967" width="19.375" style="63" bestFit="1" customWidth="1"/>
    <col min="8968" max="8968" width="21.625" style="63" customWidth="1"/>
    <col min="8969" max="8970" width="9" style="63"/>
    <col min="8971" max="8971" width="24.125" style="63" bestFit="1" customWidth="1"/>
    <col min="8972" max="8972" width="14.75" style="63" bestFit="1" customWidth="1"/>
    <col min="8973" max="9216" width="9" style="63"/>
    <col min="9217" max="9217" width="5.5" style="63" bestFit="1" customWidth="1"/>
    <col min="9218" max="9218" width="32.75" style="63" customWidth="1"/>
    <col min="9219" max="9219" width="5.5" style="63" bestFit="1" customWidth="1"/>
    <col min="9220" max="9221" width="15.625" style="63" customWidth="1"/>
    <col min="9222" max="9222" width="21.625" style="63" customWidth="1"/>
    <col min="9223" max="9223" width="19.375" style="63" bestFit="1" customWidth="1"/>
    <col min="9224" max="9224" width="21.625" style="63" customWidth="1"/>
    <col min="9225" max="9226" width="9" style="63"/>
    <col min="9227" max="9227" width="24.125" style="63" bestFit="1" customWidth="1"/>
    <col min="9228" max="9228" width="14.75" style="63" bestFit="1" customWidth="1"/>
    <col min="9229" max="9472" width="9" style="63"/>
    <col min="9473" max="9473" width="5.5" style="63" bestFit="1" customWidth="1"/>
    <col min="9474" max="9474" width="32.75" style="63" customWidth="1"/>
    <col min="9475" max="9475" width="5.5" style="63" bestFit="1" customWidth="1"/>
    <col min="9476" max="9477" width="15.625" style="63" customWidth="1"/>
    <col min="9478" max="9478" width="21.625" style="63" customWidth="1"/>
    <col min="9479" max="9479" width="19.375" style="63" bestFit="1" customWidth="1"/>
    <col min="9480" max="9480" width="21.625" style="63" customWidth="1"/>
    <col min="9481" max="9482" width="9" style="63"/>
    <col min="9483" max="9483" width="24.125" style="63" bestFit="1" customWidth="1"/>
    <col min="9484" max="9484" width="14.75" style="63" bestFit="1" customWidth="1"/>
    <col min="9485" max="9728" width="9" style="63"/>
    <col min="9729" max="9729" width="5.5" style="63" bestFit="1" customWidth="1"/>
    <col min="9730" max="9730" width="32.75" style="63" customWidth="1"/>
    <col min="9731" max="9731" width="5.5" style="63" bestFit="1" customWidth="1"/>
    <col min="9732" max="9733" width="15.625" style="63" customWidth="1"/>
    <col min="9734" max="9734" width="21.625" style="63" customWidth="1"/>
    <col min="9735" max="9735" width="19.375" style="63" bestFit="1" customWidth="1"/>
    <col min="9736" max="9736" width="21.625" style="63" customWidth="1"/>
    <col min="9737" max="9738" width="9" style="63"/>
    <col min="9739" max="9739" width="24.125" style="63" bestFit="1" customWidth="1"/>
    <col min="9740" max="9740" width="14.75" style="63" bestFit="1" customWidth="1"/>
    <col min="9741" max="9984" width="9" style="63"/>
    <col min="9985" max="9985" width="5.5" style="63" bestFit="1" customWidth="1"/>
    <col min="9986" max="9986" width="32.75" style="63" customWidth="1"/>
    <col min="9987" max="9987" width="5.5" style="63" bestFit="1" customWidth="1"/>
    <col min="9988" max="9989" width="15.625" style="63" customWidth="1"/>
    <col min="9990" max="9990" width="21.625" style="63" customWidth="1"/>
    <col min="9991" max="9991" width="19.375" style="63" bestFit="1" customWidth="1"/>
    <col min="9992" max="9992" width="21.625" style="63" customWidth="1"/>
    <col min="9993" max="9994" width="9" style="63"/>
    <col min="9995" max="9995" width="24.125" style="63" bestFit="1" customWidth="1"/>
    <col min="9996" max="9996" width="14.75" style="63" bestFit="1" customWidth="1"/>
    <col min="9997" max="10240" width="9" style="63"/>
    <col min="10241" max="10241" width="5.5" style="63" bestFit="1" customWidth="1"/>
    <col min="10242" max="10242" width="32.75" style="63" customWidth="1"/>
    <col min="10243" max="10243" width="5.5" style="63" bestFit="1" customWidth="1"/>
    <col min="10244" max="10245" width="15.625" style="63" customWidth="1"/>
    <col min="10246" max="10246" width="21.625" style="63" customWidth="1"/>
    <col min="10247" max="10247" width="19.375" style="63" bestFit="1" customWidth="1"/>
    <col min="10248" max="10248" width="21.625" style="63" customWidth="1"/>
    <col min="10249" max="10250" width="9" style="63"/>
    <col min="10251" max="10251" width="24.125" style="63" bestFit="1" customWidth="1"/>
    <col min="10252" max="10252" width="14.75" style="63" bestFit="1" customWidth="1"/>
    <col min="10253" max="10496" width="9" style="63"/>
    <col min="10497" max="10497" width="5.5" style="63" bestFit="1" customWidth="1"/>
    <col min="10498" max="10498" width="32.75" style="63" customWidth="1"/>
    <col min="10499" max="10499" width="5.5" style="63" bestFit="1" customWidth="1"/>
    <col min="10500" max="10501" width="15.625" style="63" customWidth="1"/>
    <col min="10502" max="10502" width="21.625" style="63" customWidth="1"/>
    <col min="10503" max="10503" width="19.375" style="63" bestFit="1" customWidth="1"/>
    <col min="10504" max="10504" width="21.625" style="63" customWidth="1"/>
    <col min="10505" max="10506" width="9" style="63"/>
    <col min="10507" max="10507" width="24.125" style="63" bestFit="1" customWidth="1"/>
    <col min="10508" max="10508" width="14.75" style="63" bestFit="1" customWidth="1"/>
    <col min="10509" max="10752" width="9" style="63"/>
    <col min="10753" max="10753" width="5.5" style="63" bestFit="1" customWidth="1"/>
    <col min="10754" max="10754" width="32.75" style="63" customWidth="1"/>
    <col min="10755" max="10755" width="5.5" style="63" bestFit="1" customWidth="1"/>
    <col min="10756" max="10757" width="15.625" style="63" customWidth="1"/>
    <col min="10758" max="10758" width="21.625" style="63" customWidth="1"/>
    <col min="10759" max="10759" width="19.375" style="63" bestFit="1" customWidth="1"/>
    <col min="10760" max="10760" width="21.625" style="63" customWidth="1"/>
    <col min="10761" max="10762" width="9" style="63"/>
    <col min="10763" max="10763" width="24.125" style="63" bestFit="1" customWidth="1"/>
    <col min="10764" max="10764" width="14.75" style="63" bestFit="1" customWidth="1"/>
    <col min="10765" max="11008" width="9" style="63"/>
    <col min="11009" max="11009" width="5.5" style="63" bestFit="1" customWidth="1"/>
    <col min="11010" max="11010" width="32.75" style="63" customWidth="1"/>
    <col min="11011" max="11011" width="5.5" style="63" bestFit="1" customWidth="1"/>
    <col min="11012" max="11013" width="15.625" style="63" customWidth="1"/>
    <col min="11014" max="11014" width="21.625" style="63" customWidth="1"/>
    <col min="11015" max="11015" width="19.375" style="63" bestFit="1" customWidth="1"/>
    <col min="11016" max="11016" width="21.625" style="63" customWidth="1"/>
    <col min="11017" max="11018" width="9" style="63"/>
    <col min="11019" max="11019" width="24.125" style="63" bestFit="1" customWidth="1"/>
    <col min="11020" max="11020" width="14.75" style="63" bestFit="1" customWidth="1"/>
    <col min="11021" max="11264" width="9" style="63"/>
    <col min="11265" max="11265" width="5.5" style="63" bestFit="1" customWidth="1"/>
    <col min="11266" max="11266" width="32.75" style="63" customWidth="1"/>
    <col min="11267" max="11267" width="5.5" style="63" bestFit="1" customWidth="1"/>
    <col min="11268" max="11269" width="15.625" style="63" customWidth="1"/>
    <col min="11270" max="11270" width="21.625" style="63" customWidth="1"/>
    <col min="11271" max="11271" width="19.375" style="63" bestFit="1" customWidth="1"/>
    <col min="11272" max="11272" width="21.625" style="63" customWidth="1"/>
    <col min="11273" max="11274" width="9" style="63"/>
    <col min="11275" max="11275" width="24.125" style="63" bestFit="1" customWidth="1"/>
    <col min="11276" max="11276" width="14.75" style="63" bestFit="1" customWidth="1"/>
    <col min="11277" max="11520" width="9" style="63"/>
    <col min="11521" max="11521" width="5.5" style="63" bestFit="1" customWidth="1"/>
    <col min="11522" max="11522" width="32.75" style="63" customWidth="1"/>
    <col min="11523" max="11523" width="5.5" style="63" bestFit="1" customWidth="1"/>
    <col min="11524" max="11525" width="15.625" style="63" customWidth="1"/>
    <col min="11526" max="11526" width="21.625" style="63" customWidth="1"/>
    <col min="11527" max="11527" width="19.375" style="63" bestFit="1" customWidth="1"/>
    <col min="11528" max="11528" width="21.625" style="63" customWidth="1"/>
    <col min="11529" max="11530" width="9" style="63"/>
    <col min="11531" max="11531" width="24.125" style="63" bestFit="1" customWidth="1"/>
    <col min="11532" max="11532" width="14.75" style="63" bestFit="1" customWidth="1"/>
    <col min="11533" max="11776" width="9" style="63"/>
    <col min="11777" max="11777" width="5.5" style="63" bestFit="1" customWidth="1"/>
    <col min="11778" max="11778" width="32.75" style="63" customWidth="1"/>
    <col min="11779" max="11779" width="5.5" style="63" bestFit="1" customWidth="1"/>
    <col min="11780" max="11781" width="15.625" style="63" customWidth="1"/>
    <col min="11782" max="11782" width="21.625" style="63" customWidth="1"/>
    <col min="11783" max="11783" width="19.375" style="63" bestFit="1" customWidth="1"/>
    <col min="11784" max="11784" width="21.625" style="63" customWidth="1"/>
    <col min="11785" max="11786" width="9" style="63"/>
    <col min="11787" max="11787" width="24.125" style="63" bestFit="1" customWidth="1"/>
    <col min="11788" max="11788" width="14.75" style="63" bestFit="1" customWidth="1"/>
    <col min="11789" max="12032" width="9" style="63"/>
    <col min="12033" max="12033" width="5.5" style="63" bestFit="1" customWidth="1"/>
    <col min="12034" max="12034" width="32.75" style="63" customWidth="1"/>
    <col min="12035" max="12035" width="5.5" style="63" bestFit="1" customWidth="1"/>
    <col min="12036" max="12037" width="15.625" style="63" customWidth="1"/>
    <col min="12038" max="12038" width="21.625" style="63" customWidth="1"/>
    <col min="12039" max="12039" width="19.375" style="63" bestFit="1" customWidth="1"/>
    <col min="12040" max="12040" width="21.625" style="63" customWidth="1"/>
    <col min="12041" max="12042" width="9" style="63"/>
    <col min="12043" max="12043" width="24.125" style="63" bestFit="1" customWidth="1"/>
    <col min="12044" max="12044" width="14.75" style="63" bestFit="1" customWidth="1"/>
    <col min="12045" max="12288" width="9" style="63"/>
    <col min="12289" max="12289" width="5.5" style="63" bestFit="1" customWidth="1"/>
    <col min="12290" max="12290" width="32.75" style="63" customWidth="1"/>
    <col min="12291" max="12291" width="5.5" style="63" bestFit="1" customWidth="1"/>
    <col min="12292" max="12293" width="15.625" style="63" customWidth="1"/>
    <col min="12294" max="12294" width="21.625" style="63" customWidth="1"/>
    <col min="12295" max="12295" width="19.375" style="63" bestFit="1" customWidth="1"/>
    <col min="12296" max="12296" width="21.625" style="63" customWidth="1"/>
    <col min="12297" max="12298" width="9" style="63"/>
    <col min="12299" max="12299" width="24.125" style="63" bestFit="1" customWidth="1"/>
    <col min="12300" max="12300" width="14.75" style="63" bestFit="1" customWidth="1"/>
    <col min="12301" max="12544" width="9" style="63"/>
    <col min="12545" max="12545" width="5.5" style="63" bestFit="1" customWidth="1"/>
    <col min="12546" max="12546" width="32.75" style="63" customWidth="1"/>
    <col min="12547" max="12547" width="5.5" style="63" bestFit="1" customWidth="1"/>
    <col min="12548" max="12549" width="15.625" style="63" customWidth="1"/>
    <col min="12550" max="12550" width="21.625" style="63" customWidth="1"/>
    <col min="12551" max="12551" width="19.375" style="63" bestFit="1" customWidth="1"/>
    <col min="12552" max="12552" width="21.625" style="63" customWidth="1"/>
    <col min="12553" max="12554" width="9" style="63"/>
    <col min="12555" max="12555" width="24.125" style="63" bestFit="1" customWidth="1"/>
    <col min="12556" max="12556" width="14.75" style="63" bestFit="1" customWidth="1"/>
    <col min="12557" max="12800" width="9" style="63"/>
    <col min="12801" max="12801" width="5.5" style="63" bestFit="1" customWidth="1"/>
    <col min="12802" max="12802" width="32.75" style="63" customWidth="1"/>
    <col min="12803" max="12803" width="5.5" style="63" bestFit="1" customWidth="1"/>
    <col min="12804" max="12805" width="15.625" style="63" customWidth="1"/>
    <col min="12806" max="12806" width="21.625" style="63" customWidth="1"/>
    <col min="12807" max="12807" width="19.375" style="63" bestFit="1" customWidth="1"/>
    <col min="12808" max="12808" width="21.625" style="63" customWidth="1"/>
    <col min="12809" max="12810" width="9" style="63"/>
    <col min="12811" max="12811" width="24.125" style="63" bestFit="1" customWidth="1"/>
    <col min="12812" max="12812" width="14.75" style="63" bestFit="1" customWidth="1"/>
    <col min="12813" max="13056" width="9" style="63"/>
    <col min="13057" max="13057" width="5.5" style="63" bestFit="1" customWidth="1"/>
    <col min="13058" max="13058" width="32.75" style="63" customWidth="1"/>
    <col min="13059" max="13059" width="5.5" style="63" bestFit="1" customWidth="1"/>
    <col min="13060" max="13061" width="15.625" style="63" customWidth="1"/>
    <col min="13062" max="13062" width="21.625" style="63" customWidth="1"/>
    <col min="13063" max="13063" width="19.375" style="63" bestFit="1" customWidth="1"/>
    <col min="13064" max="13064" width="21.625" style="63" customWidth="1"/>
    <col min="13065" max="13066" width="9" style="63"/>
    <col min="13067" max="13067" width="24.125" style="63" bestFit="1" customWidth="1"/>
    <col min="13068" max="13068" width="14.75" style="63" bestFit="1" customWidth="1"/>
    <col min="13069" max="13312" width="9" style="63"/>
    <col min="13313" max="13313" width="5.5" style="63" bestFit="1" customWidth="1"/>
    <col min="13314" max="13314" width="32.75" style="63" customWidth="1"/>
    <col min="13315" max="13315" width="5.5" style="63" bestFit="1" customWidth="1"/>
    <col min="13316" max="13317" width="15.625" style="63" customWidth="1"/>
    <col min="13318" max="13318" width="21.625" style="63" customWidth="1"/>
    <col min="13319" max="13319" width="19.375" style="63" bestFit="1" customWidth="1"/>
    <col min="13320" max="13320" width="21.625" style="63" customWidth="1"/>
    <col min="13321" max="13322" width="9" style="63"/>
    <col min="13323" max="13323" width="24.125" style="63" bestFit="1" customWidth="1"/>
    <col min="13324" max="13324" width="14.75" style="63" bestFit="1" customWidth="1"/>
    <col min="13325" max="13568" width="9" style="63"/>
    <col min="13569" max="13569" width="5.5" style="63" bestFit="1" customWidth="1"/>
    <col min="13570" max="13570" width="32.75" style="63" customWidth="1"/>
    <col min="13571" max="13571" width="5.5" style="63" bestFit="1" customWidth="1"/>
    <col min="13572" max="13573" width="15.625" style="63" customWidth="1"/>
    <col min="13574" max="13574" width="21.625" style="63" customWidth="1"/>
    <col min="13575" max="13575" width="19.375" style="63" bestFit="1" customWidth="1"/>
    <col min="13576" max="13576" width="21.625" style="63" customWidth="1"/>
    <col min="13577" max="13578" width="9" style="63"/>
    <col min="13579" max="13579" width="24.125" style="63" bestFit="1" customWidth="1"/>
    <col min="13580" max="13580" width="14.75" style="63" bestFit="1" customWidth="1"/>
    <col min="13581" max="13824" width="9" style="63"/>
    <col min="13825" max="13825" width="5.5" style="63" bestFit="1" customWidth="1"/>
    <col min="13826" max="13826" width="32.75" style="63" customWidth="1"/>
    <col min="13827" max="13827" width="5.5" style="63" bestFit="1" customWidth="1"/>
    <col min="13828" max="13829" width="15.625" style="63" customWidth="1"/>
    <col min="13830" max="13830" width="21.625" style="63" customWidth="1"/>
    <col min="13831" max="13831" width="19.375" style="63" bestFit="1" customWidth="1"/>
    <col min="13832" max="13832" width="21.625" style="63" customWidth="1"/>
    <col min="13833" max="13834" width="9" style="63"/>
    <col min="13835" max="13835" width="24.125" style="63" bestFit="1" customWidth="1"/>
    <col min="13836" max="13836" width="14.75" style="63" bestFit="1" customWidth="1"/>
    <col min="13837" max="14080" width="9" style="63"/>
    <col min="14081" max="14081" width="5.5" style="63" bestFit="1" customWidth="1"/>
    <col min="14082" max="14082" width="32.75" style="63" customWidth="1"/>
    <col min="14083" max="14083" width="5.5" style="63" bestFit="1" customWidth="1"/>
    <col min="14084" max="14085" width="15.625" style="63" customWidth="1"/>
    <col min="14086" max="14086" width="21.625" style="63" customWidth="1"/>
    <col min="14087" max="14087" width="19.375" style="63" bestFit="1" customWidth="1"/>
    <col min="14088" max="14088" width="21.625" style="63" customWidth="1"/>
    <col min="14089" max="14090" width="9" style="63"/>
    <col min="14091" max="14091" width="24.125" style="63" bestFit="1" customWidth="1"/>
    <col min="14092" max="14092" width="14.75" style="63" bestFit="1" customWidth="1"/>
    <col min="14093" max="14336" width="9" style="63"/>
    <col min="14337" max="14337" width="5.5" style="63" bestFit="1" customWidth="1"/>
    <col min="14338" max="14338" width="32.75" style="63" customWidth="1"/>
    <col min="14339" max="14339" width="5.5" style="63" bestFit="1" customWidth="1"/>
    <col min="14340" max="14341" width="15.625" style="63" customWidth="1"/>
    <col min="14342" max="14342" width="21.625" style="63" customWidth="1"/>
    <col min="14343" max="14343" width="19.375" style="63" bestFit="1" customWidth="1"/>
    <col min="14344" max="14344" width="21.625" style="63" customWidth="1"/>
    <col min="14345" max="14346" width="9" style="63"/>
    <col min="14347" max="14347" width="24.125" style="63" bestFit="1" customWidth="1"/>
    <col min="14348" max="14348" width="14.75" style="63" bestFit="1" customWidth="1"/>
    <col min="14349" max="14592" width="9" style="63"/>
    <col min="14593" max="14593" width="5.5" style="63" bestFit="1" customWidth="1"/>
    <col min="14594" max="14594" width="32.75" style="63" customWidth="1"/>
    <col min="14595" max="14595" width="5.5" style="63" bestFit="1" customWidth="1"/>
    <col min="14596" max="14597" width="15.625" style="63" customWidth="1"/>
    <col min="14598" max="14598" width="21.625" style="63" customWidth="1"/>
    <col min="14599" max="14599" width="19.375" style="63" bestFit="1" customWidth="1"/>
    <col min="14600" max="14600" width="21.625" style="63" customWidth="1"/>
    <col min="14601" max="14602" width="9" style="63"/>
    <col min="14603" max="14603" width="24.125" style="63" bestFit="1" customWidth="1"/>
    <col min="14604" max="14604" width="14.75" style="63" bestFit="1" customWidth="1"/>
    <col min="14605" max="14848" width="9" style="63"/>
    <col min="14849" max="14849" width="5.5" style="63" bestFit="1" customWidth="1"/>
    <col min="14850" max="14850" width="32.75" style="63" customWidth="1"/>
    <col min="14851" max="14851" width="5.5" style="63" bestFit="1" customWidth="1"/>
    <col min="14852" max="14853" width="15.625" style="63" customWidth="1"/>
    <col min="14854" max="14854" width="21.625" style="63" customWidth="1"/>
    <col min="14855" max="14855" width="19.375" style="63" bestFit="1" customWidth="1"/>
    <col min="14856" max="14856" width="21.625" style="63" customWidth="1"/>
    <col min="14857" max="14858" width="9" style="63"/>
    <col min="14859" max="14859" width="24.125" style="63" bestFit="1" customWidth="1"/>
    <col min="14860" max="14860" width="14.75" style="63" bestFit="1" customWidth="1"/>
    <col min="14861" max="15104" width="9" style="63"/>
    <col min="15105" max="15105" width="5.5" style="63" bestFit="1" customWidth="1"/>
    <col min="15106" max="15106" width="32.75" style="63" customWidth="1"/>
    <col min="15107" max="15107" width="5.5" style="63" bestFit="1" customWidth="1"/>
    <col min="15108" max="15109" width="15.625" style="63" customWidth="1"/>
    <col min="15110" max="15110" width="21.625" style="63" customWidth="1"/>
    <col min="15111" max="15111" width="19.375" style="63" bestFit="1" customWidth="1"/>
    <col min="15112" max="15112" width="21.625" style="63" customWidth="1"/>
    <col min="15113" max="15114" width="9" style="63"/>
    <col min="15115" max="15115" width="24.125" style="63" bestFit="1" customWidth="1"/>
    <col min="15116" max="15116" width="14.75" style="63" bestFit="1" customWidth="1"/>
    <col min="15117" max="15360" width="9" style="63"/>
    <col min="15361" max="15361" width="5.5" style="63" bestFit="1" customWidth="1"/>
    <col min="15362" max="15362" width="32.75" style="63" customWidth="1"/>
    <col min="15363" max="15363" width="5.5" style="63" bestFit="1" customWidth="1"/>
    <col min="15364" max="15365" width="15.625" style="63" customWidth="1"/>
    <col min="15366" max="15366" width="21.625" style="63" customWidth="1"/>
    <col min="15367" max="15367" width="19.375" style="63" bestFit="1" customWidth="1"/>
    <col min="15368" max="15368" width="21.625" style="63" customWidth="1"/>
    <col min="15369" max="15370" width="9" style="63"/>
    <col min="15371" max="15371" width="24.125" style="63" bestFit="1" customWidth="1"/>
    <col min="15372" max="15372" width="14.75" style="63" bestFit="1" customWidth="1"/>
    <col min="15373" max="15616" width="9" style="63"/>
    <col min="15617" max="15617" width="5.5" style="63" bestFit="1" customWidth="1"/>
    <col min="15618" max="15618" width="32.75" style="63" customWidth="1"/>
    <col min="15619" max="15619" width="5.5" style="63" bestFit="1" customWidth="1"/>
    <col min="15620" max="15621" width="15.625" style="63" customWidth="1"/>
    <col min="15622" max="15622" width="21.625" style="63" customWidth="1"/>
    <col min="15623" max="15623" width="19.375" style="63" bestFit="1" customWidth="1"/>
    <col min="15624" max="15624" width="21.625" style="63" customWidth="1"/>
    <col min="15625" max="15626" width="9" style="63"/>
    <col min="15627" max="15627" width="24.125" style="63" bestFit="1" customWidth="1"/>
    <col min="15628" max="15628" width="14.75" style="63" bestFit="1" customWidth="1"/>
    <col min="15629" max="15872" width="9" style="63"/>
    <col min="15873" max="15873" width="5.5" style="63" bestFit="1" customWidth="1"/>
    <col min="15874" max="15874" width="32.75" style="63" customWidth="1"/>
    <col min="15875" max="15875" width="5.5" style="63" bestFit="1" customWidth="1"/>
    <col min="15876" max="15877" width="15.625" style="63" customWidth="1"/>
    <col min="15878" max="15878" width="21.625" style="63" customWidth="1"/>
    <col min="15879" max="15879" width="19.375" style="63" bestFit="1" customWidth="1"/>
    <col min="15880" max="15880" width="21.625" style="63" customWidth="1"/>
    <col min="15881" max="15882" width="9" style="63"/>
    <col min="15883" max="15883" width="24.125" style="63" bestFit="1" customWidth="1"/>
    <col min="15884" max="15884" width="14.75" style="63" bestFit="1" customWidth="1"/>
    <col min="15885" max="16128" width="9" style="63"/>
    <col min="16129" max="16129" width="5.5" style="63" bestFit="1" customWidth="1"/>
    <col min="16130" max="16130" width="32.75" style="63" customWidth="1"/>
    <col min="16131" max="16131" width="5.5" style="63" bestFit="1" customWidth="1"/>
    <col min="16132" max="16133" width="15.625" style="63" customWidth="1"/>
    <col min="16134" max="16134" width="21.625" style="63" customWidth="1"/>
    <col min="16135" max="16135" width="19.375" style="63" bestFit="1" customWidth="1"/>
    <col min="16136" max="16136" width="21.625" style="63" customWidth="1"/>
    <col min="16137" max="16138" width="9" style="63"/>
    <col min="16139" max="16139" width="24.125" style="63" bestFit="1" customWidth="1"/>
    <col min="16140" max="16140" width="14.75" style="63" bestFit="1" customWidth="1"/>
    <col min="16141" max="16384" width="9" style="63"/>
  </cols>
  <sheetData>
    <row r="1" spans="1:12" ht="29.25" customHeight="1">
      <c r="A1" s="112" t="s">
        <v>87</v>
      </c>
      <c r="B1" s="112"/>
      <c r="C1" s="112"/>
      <c r="D1" s="112"/>
      <c r="E1" s="112"/>
      <c r="F1" s="112"/>
      <c r="G1" s="112"/>
      <c r="H1" s="112"/>
    </row>
    <row r="2" spans="1:12" ht="5.25" customHeight="1"/>
    <row r="3" spans="1:12" ht="21" customHeight="1">
      <c r="A3" s="113" t="s">
        <v>111</v>
      </c>
      <c r="B3" s="113"/>
      <c r="C3" s="113"/>
      <c r="D3" s="113"/>
      <c r="E3" s="113"/>
      <c r="F3" s="113"/>
      <c r="G3" s="114" t="s">
        <v>88</v>
      </c>
      <c r="H3" s="114"/>
    </row>
    <row r="4" spans="1:12" ht="21" customHeight="1">
      <c r="A4" s="114" t="s">
        <v>89</v>
      </c>
      <c r="B4" s="114"/>
      <c r="C4" s="114"/>
      <c r="D4" s="114"/>
      <c r="E4" s="114"/>
      <c r="F4" s="114"/>
      <c r="G4" s="114" t="s">
        <v>90</v>
      </c>
      <c r="H4" s="114"/>
    </row>
    <row r="5" spans="1:12" ht="21" customHeight="1">
      <c r="A5" s="64" t="s">
        <v>91</v>
      </c>
      <c r="B5" s="64" t="s">
        <v>92</v>
      </c>
      <c r="C5" s="64" t="s">
        <v>93</v>
      </c>
      <c r="D5" s="64" t="s">
        <v>94</v>
      </c>
      <c r="E5" s="64" t="s">
        <v>95</v>
      </c>
      <c r="F5" s="64" t="s">
        <v>96</v>
      </c>
      <c r="G5" s="64" t="s">
        <v>97</v>
      </c>
      <c r="H5" s="64" t="s">
        <v>98</v>
      </c>
      <c r="K5" s="77" t="s">
        <v>99</v>
      </c>
      <c r="L5" s="63" t="s">
        <v>100</v>
      </c>
    </row>
    <row r="6" spans="1:12" ht="32.1" customHeight="1">
      <c r="A6" s="65">
        <v>1</v>
      </c>
      <c r="B6" s="1" t="s">
        <v>138</v>
      </c>
      <c r="C6" s="2" t="s">
        <v>30</v>
      </c>
      <c r="D6" s="75">
        <v>145.4</v>
      </c>
      <c r="E6" s="75">
        <v>970</v>
      </c>
      <c r="F6" s="66">
        <f>ROUND(D6*E6,2)</f>
        <v>141038</v>
      </c>
      <c r="G6" s="67"/>
      <c r="H6" s="67"/>
      <c r="K6" s="63">
        <v>0</v>
      </c>
      <c r="L6" s="63">
        <f>ROUND(D6*K6,2)</f>
        <v>0</v>
      </c>
    </row>
    <row r="7" spans="1:12" ht="32.1" customHeight="1">
      <c r="A7" s="65">
        <v>2</v>
      </c>
      <c r="B7" s="1" t="s">
        <v>137</v>
      </c>
      <c r="C7" s="2" t="s">
        <v>112</v>
      </c>
      <c r="D7" s="75">
        <v>1454</v>
      </c>
      <c r="E7" s="75">
        <v>676.26</v>
      </c>
      <c r="F7" s="66">
        <f t="shared" ref="F7:F36" si="0">ROUND(D7*E7,2)</f>
        <v>983282.04</v>
      </c>
      <c r="G7" s="67"/>
      <c r="H7" s="67"/>
      <c r="K7" s="68">
        <v>597.20000000000005</v>
      </c>
      <c r="L7" s="63">
        <f t="shared" ref="L7:L36" si="1">ROUND(D7*K7,2)</f>
        <v>868328.8</v>
      </c>
    </row>
    <row r="8" spans="1:12" ht="32.1" customHeight="1">
      <c r="A8" s="65">
        <v>3</v>
      </c>
      <c r="B8" s="1" t="s">
        <v>136</v>
      </c>
      <c r="C8" s="2" t="s">
        <v>30</v>
      </c>
      <c r="D8" s="75">
        <v>988</v>
      </c>
      <c r="E8" s="75">
        <v>532</v>
      </c>
      <c r="F8" s="66">
        <f t="shared" si="0"/>
        <v>525616</v>
      </c>
      <c r="G8" s="67"/>
      <c r="H8" s="67"/>
      <c r="K8" s="68">
        <v>196.5</v>
      </c>
      <c r="L8" s="63">
        <f t="shared" si="1"/>
        <v>194142</v>
      </c>
    </row>
    <row r="9" spans="1:12" ht="32.1" customHeight="1">
      <c r="A9" s="65">
        <v>4</v>
      </c>
      <c r="B9" s="1" t="s">
        <v>135</v>
      </c>
      <c r="C9" s="2" t="s">
        <v>30</v>
      </c>
      <c r="D9" s="75">
        <v>100.8</v>
      </c>
      <c r="E9" s="75">
        <v>1635.13</v>
      </c>
      <c r="F9" s="66">
        <f t="shared" si="0"/>
        <v>164821.1</v>
      </c>
      <c r="G9" s="67"/>
      <c r="H9" s="67"/>
      <c r="K9" s="68">
        <v>1399</v>
      </c>
      <c r="L9" s="63">
        <f t="shared" si="1"/>
        <v>141019.20000000001</v>
      </c>
    </row>
    <row r="10" spans="1:12" ht="32.1" customHeight="1">
      <c r="A10" s="65">
        <v>5</v>
      </c>
      <c r="B10" s="1" t="s">
        <v>139</v>
      </c>
      <c r="C10" s="2" t="s">
        <v>30</v>
      </c>
      <c r="D10" s="75">
        <v>17.190000000000001</v>
      </c>
      <c r="E10" s="75">
        <v>4200</v>
      </c>
      <c r="F10" s="66">
        <f t="shared" si="0"/>
        <v>72198</v>
      </c>
      <c r="G10" s="67"/>
      <c r="H10" s="67"/>
      <c r="K10" s="68">
        <v>0</v>
      </c>
      <c r="L10" s="63">
        <f t="shared" si="1"/>
        <v>0</v>
      </c>
    </row>
    <row r="11" spans="1:12" ht="42" customHeight="1">
      <c r="A11" s="65">
        <v>6</v>
      </c>
      <c r="B11" s="1" t="s">
        <v>140</v>
      </c>
      <c r="C11" s="2" t="s">
        <v>141</v>
      </c>
      <c r="D11" s="75">
        <v>920</v>
      </c>
      <c r="E11" s="75">
        <v>52</v>
      </c>
      <c r="F11" s="66">
        <f t="shared" si="0"/>
        <v>47840</v>
      </c>
      <c r="G11" s="67"/>
      <c r="H11" s="67"/>
      <c r="K11" s="68">
        <v>0</v>
      </c>
      <c r="L11" s="63">
        <f t="shared" si="1"/>
        <v>0</v>
      </c>
    </row>
    <row r="12" spans="1:12" ht="32.1" customHeight="1">
      <c r="A12" s="65">
        <v>7</v>
      </c>
      <c r="B12" s="1" t="s">
        <v>133</v>
      </c>
      <c r="C12" s="2" t="s">
        <v>76</v>
      </c>
      <c r="D12" s="75">
        <v>160</v>
      </c>
      <c r="E12" s="75">
        <v>304.37</v>
      </c>
      <c r="F12" s="66">
        <f t="shared" si="0"/>
        <v>48699.199999999997</v>
      </c>
      <c r="G12" s="67"/>
      <c r="H12" s="67"/>
      <c r="K12" s="68">
        <v>145.5</v>
      </c>
      <c r="L12" s="63">
        <f t="shared" si="1"/>
        <v>23280</v>
      </c>
    </row>
    <row r="13" spans="1:12" ht="42" customHeight="1">
      <c r="A13" s="65">
        <v>8</v>
      </c>
      <c r="B13" s="1" t="s">
        <v>132</v>
      </c>
      <c r="C13" s="2" t="s">
        <v>76</v>
      </c>
      <c r="D13" s="75">
        <v>320</v>
      </c>
      <c r="E13" s="75">
        <v>788.49</v>
      </c>
      <c r="F13" s="66">
        <f t="shared" si="0"/>
        <v>252316.79999999999</v>
      </c>
      <c r="G13" s="67"/>
      <c r="H13" s="67"/>
      <c r="K13" s="68">
        <v>685.52</v>
      </c>
      <c r="L13" s="63">
        <f t="shared" si="1"/>
        <v>219366.39999999999</v>
      </c>
    </row>
    <row r="14" spans="1:12" ht="32.1" customHeight="1">
      <c r="A14" s="65">
        <v>9</v>
      </c>
      <c r="B14" s="1" t="s">
        <v>131</v>
      </c>
      <c r="C14" s="2" t="s">
        <v>30</v>
      </c>
      <c r="D14" s="75">
        <v>131.09</v>
      </c>
      <c r="E14" s="75">
        <v>3427.06</v>
      </c>
      <c r="F14" s="66">
        <f t="shared" si="0"/>
        <v>449253.3</v>
      </c>
      <c r="G14" s="67"/>
      <c r="H14" s="67"/>
      <c r="K14" s="68">
        <v>1027.24</v>
      </c>
      <c r="L14" s="63">
        <f t="shared" si="1"/>
        <v>134660.89000000001</v>
      </c>
    </row>
    <row r="15" spans="1:12" ht="32.1" customHeight="1">
      <c r="A15" s="65">
        <v>10</v>
      </c>
      <c r="B15" s="1" t="s">
        <v>130</v>
      </c>
      <c r="C15" s="2" t="s">
        <v>30</v>
      </c>
      <c r="D15" s="75">
        <v>2140.9</v>
      </c>
      <c r="E15" s="75">
        <v>613.88</v>
      </c>
      <c r="F15" s="66">
        <f t="shared" si="0"/>
        <v>1314255.69</v>
      </c>
      <c r="G15" s="67"/>
      <c r="H15" s="67"/>
      <c r="K15" s="68">
        <v>210</v>
      </c>
      <c r="L15" s="63">
        <f t="shared" si="1"/>
        <v>449589</v>
      </c>
    </row>
    <row r="16" spans="1:12" ht="32.1" customHeight="1">
      <c r="A16" s="65">
        <v>11</v>
      </c>
      <c r="B16" s="1" t="s">
        <v>142</v>
      </c>
      <c r="C16" s="2" t="s">
        <v>121</v>
      </c>
      <c r="D16" s="75">
        <v>428</v>
      </c>
      <c r="E16" s="75">
        <v>325</v>
      </c>
      <c r="F16" s="66">
        <f t="shared" si="0"/>
        <v>139100</v>
      </c>
      <c r="G16" s="67"/>
      <c r="H16" s="67"/>
      <c r="K16" s="68">
        <v>0</v>
      </c>
      <c r="L16" s="63">
        <f t="shared" si="1"/>
        <v>0</v>
      </c>
    </row>
    <row r="17" spans="1:12" ht="42" customHeight="1">
      <c r="A17" s="65">
        <v>12</v>
      </c>
      <c r="B17" s="1" t="s">
        <v>143</v>
      </c>
      <c r="C17" s="2" t="s">
        <v>141</v>
      </c>
      <c r="D17" s="75">
        <v>568</v>
      </c>
      <c r="E17" s="75">
        <v>95</v>
      </c>
      <c r="F17" s="66">
        <f t="shared" si="0"/>
        <v>53960</v>
      </c>
      <c r="G17" s="67"/>
      <c r="H17" s="67"/>
      <c r="K17" s="68">
        <v>0</v>
      </c>
      <c r="L17" s="63">
        <f t="shared" si="1"/>
        <v>0</v>
      </c>
    </row>
    <row r="18" spans="1:12" ht="32.1" customHeight="1">
      <c r="A18" s="65">
        <v>13</v>
      </c>
      <c r="B18" s="1" t="s">
        <v>144</v>
      </c>
      <c r="C18" s="2" t="s">
        <v>76</v>
      </c>
      <c r="D18" s="75">
        <v>12</v>
      </c>
      <c r="E18" s="75">
        <v>3850</v>
      </c>
      <c r="F18" s="66">
        <f t="shared" si="0"/>
        <v>46200</v>
      </c>
      <c r="G18" s="67"/>
      <c r="H18" s="67"/>
      <c r="K18" s="68">
        <v>0</v>
      </c>
      <c r="L18" s="63">
        <f t="shared" si="1"/>
        <v>0</v>
      </c>
    </row>
    <row r="19" spans="1:12" ht="32.1" customHeight="1">
      <c r="A19" s="65">
        <v>14</v>
      </c>
      <c r="B19" s="1" t="s">
        <v>110</v>
      </c>
      <c r="C19" s="2" t="s">
        <v>108</v>
      </c>
      <c r="D19" s="75">
        <v>879.36</v>
      </c>
      <c r="E19" s="75">
        <v>1299.6400000000001</v>
      </c>
      <c r="F19" s="66">
        <f t="shared" si="0"/>
        <v>1142851.43</v>
      </c>
      <c r="G19" s="67"/>
      <c r="H19" s="67"/>
      <c r="K19" s="68">
        <v>84.97</v>
      </c>
      <c r="L19" s="63">
        <f t="shared" si="1"/>
        <v>74719.22</v>
      </c>
    </row>
    <row r="20" spans="1:12" ht="32.1" customHeight="1">
      <c r="A20" s="65">
        <v>15</v>
      </c>
      <c r="B20" s="1" t="s">
        <v>129</v>
      </c>
      <c r="C20" s="2" t="s">
        <v>77</v>
      </c>
      <c r="D20" s="75">
        <v>30</v>
      </c>
      <c r="E20" s="75">
        <v>6031.68</v>
      </c>
      <c r="F20" s="66">
        <f t="shared" si="0"/>
        <v>180950.39999999999</v>
      </c>
      <c r="G20" s="67"/>
      <c r="H20" s="67"/>
      <c r="K20" s="68">
        <v>1356</v>
      </c>
      <c r="L20" s="63">
        <f t="shared" si="1"/>
        <v>40680</v>
      </c>
    </row>
    <row r="21" spans="1:12" ht="32.1" customHeight="1">
      <c r="A21" s="65">
        <v>16</v>
      </c>
      <c r="B21" s="1" t="s">
        <v>128</v>
      </c>
      <c r="C21" s="2" t="s">
        <v>77</v>
      </c>
      <c r="D21" s="75">
        <v>9</v>
      </c>
      <c r="E21" s="75">
        <v>3991.58</v>
      </c>
      <c r="F21" s="66">
        <f t="shared" si="0"/>
        <v>35924.22</v>
      </c>
      <c r="G21" s="67"/>
      <c r="H21" s="67"/>
      <c r="K21" s="68">
        <v>1515.78</v>
      </c>
      <c r="L21" s="63">
        <f t="shared" si="1"/>
        <v>13642.02</v>
      </c>
    </row>
    <row r="22" spans="1:12" ht="42" customHeight="1">
      <c r="A22" s="65">
        <v>17</v>
      </c>
      <c r="B22" s="1" t="s">
        <v>127</v>
      </c>
      <c r="C22" s="2" t="s">
        <v>117</v>
      </c>
      <c r="D22" s="75">
        <v>19</v>
      </c>
      <c r="E22" s="75">
        <v>40433.199999999997</v>
      </c>
      <c r="F22" s="66">
        <f t="shared" si="0"/>
        <v>768230.8</v>
      </c>
      <c r="G22" s="67"/>
      <c r="H22" s="67"/>
      <c r="K22" s="68">
        <v>3255.53</v>
      </c>
      <c r="L22" s="63">
        <f t="shared" si="1"/>
        <v>61855.07</v>
      </c>
    </row>
    <row r="23" spans="1:12" ht="42" customHeight="1">
      <c r="A23" s="65">
        <v>18</v>
      </c>
      <c r="B23" s="1" t="s">
        <v>126</v>
      </c>
      <c r="C23" s="2" t="s">
        <v>117</v>
      </c>
      <c r="D23" s="75">
        <v>15</v>
      </c>
      <c r="E23" s="75">
        <v>24876.400000000001</v>
      </c>
      <c r="F23" s="66">
        <f t="shared" si="0"/>
        <v>373146</v>
      </c>
      <c r="G23" s="67"/>
      <c r="H23" s="67"/>
      <c r="K23" s="68">
        <v>1985.17</v>
      </c>
      <c r="L23" s="63">
        <f t="shared" si="1"/>
        <v>29777.55</v>
      </c>
    </row>
    <row r="24" spans="1:12" ht="42" customHeight="1">
      <c r="A24" s="65">
        <v>19</v>
      </c>
      <c r="B24" s="1" t="s">
        <v>125</v>
      </c>
      <c r="C24" s="2" t="s">
        <v>117</v>
      </c>
      <c r="D24" s="75">
        <v>18</v>
      </c>
      <c r="E24" s="75">
        <v>42664.9</v>
      </c>
      <c r="F24" s="66">
        <f t="shared" si="0"/>
        <v>767968.2</v>
      </c>
      <c r="G24" s="67"/>
      <c r="H24" s="67"/>
      <c r="K24" s="68">
        <v>3255.53</v>
      </c>
      <c r="L24" s="63">
        <f t="shared" si="1"/>
        <v>58599.54</v>
      </c>
    </row>
    <row r="25" spans="1:12" ht="42" customHeight="1">
      <c r="A25" s="65">
        <v>20</v>
      </c>
      <c r="B25" s="1" t="s">
        <v>124</v>
      </c>
      <c r="C25" s="2" t="s">
        <v>117</v>
      </c>
      <c r="D25" s="75">
        <v>13</v>
      </c>
      <c r="E25" s="75">
        <v>32708.2</v>
      </c>
      <c r="F25" s="66">
        <f t="shared" si="0"/>
        <v>425206.6</v>
      </c>
      <c r="G25" s="67"/>
      <c r="H25" s="67"/>
      <c r="K25" s="68">
        <v>3255.53</v>
      </c>
      <c r="L25" s="63">
        <f t="shared" si="1"/>
        <v>42321.89</v>
      </c>
    </row>
    <row r="26" spans="1:12" ht="42" customHeight="1">
      <c r="A26" s="65">
        <v>21</v>
      </c>
      <c r="B26" s="1" t="s">
        <v>123</v>
      </c>
      <c r="C26" s="2" t="s">
        <v>117</v>
      </c>
      <c r="D26" s="75">
        <v>4</v>
      </c>
      <c r="E26" s="75">
        <v>31883.19</v>
      </c>
      <c r="F26" s="66">
        <f t="shared" si="0"/>
        <v>127532.76</v>
      </c>
      <c r="G26" s="67"/>
      <c r="H26" s="67"/>
      <c r="K26" s="68">
        <v>2454.5500000000002</v>
      </c>
      <c r="L26" s="63">
        <f t="shared" si="1"/>
        <v>9818.2000000000007</v>
      </c>
    </row>
    <row r="27" spans="1:12" ht="42" customHeight="1">
      <c r="A27" s="65">
        <v>22</v>
      </c>
      <c r="B27" s="1" t="s">
        <v>122</v>
      </c>
      <c r="C27" s="2" t="s">
        <v>117</v>
      </c>
      <c r="D27" s="75">
        <v>18</v>
      </c>
      <c r="E27" s="75">
        <v>10974.7</v>
      </c>
      <c r="F27" s="66">
        <f t="shared" si="0"/>
        <v>197544.6</v>
      </c>
      <c r="G27" s="67"/>
      <c r="H27" s="67"/>
      <c r="K27" s="68">
        <v>2454.5500000000002</v>
      </c>
      <c r="L27" s="63">
        <f t="shared" si="1"/>
        <v>44181.9</v>
      </c>
    </row>
    <row r="28" spans="1:12" ht="32.1" customHeight="1">
      <c r="A28" s="65">
        <v>23</v>
      </c>
      <c r="B28" s="1" t="s">
        <v>120</v>
      </c>
      <c r="C28" s="2" t="s">
        <v>117</v>
      </c>
      <c r="D28" s="75">
        <v>2760</v>
      </c>
      <c r="E28" s="75">
        <v>132.72999999999999</v>
      </c>
      <c r="F28" s="66">
        <f t="shared" si="0"/>
        <v>366334.8</v>
      </c>
      <c r="G28" s="67"/>
      <c r="H28" s="67"/>
      <c r="K28" s="68">
        <v>71.86</v>
      </c>
      <c r="L28" s="63">
        <f t="shared" si="1"/>
        <v>198333.6</v>
      </c>
    </row>
    <row r="29" spans="1:12" ht="32.1" customHeight="1">
      <c r="A29" s="65">
        <v>24</v>
      </c>
      <c r="B29" s="1" t="s">
        <v>119</v>
      </c>
      <c r="C29" s="2" t="s">
        <v>117</v>
      </c>
      <c r="D29" s="75">
        <v>1323</v>
      </c>
      <c r="E29" s="75">
        <v>142.32</v>
      </c>
      <c r="F29" s="66">
        <f t="shared" si="0"/>
        <v>188289.36</v>
      </c>
      <c r="G29" s="67"/>
      <c r="H29" s="67"/>
      <c r="K29" s="68">
        <v>41.5</v>
      </c>
      <c r="L29" s="63">
        <f t="shared" si="1"/>
        <v>54904.5</v>
      </c>
    </row>
    <row r="30" spans="1:12" ht="32.1" customHeight="1">
      <c r="A30" s="65">
        <v>25</v>
      </c>
      <c r="B30" s="1" t="s">
        <v>118</v>
      </c>
      <c r="C30" s="2" t="s">
        <v>117</v>
      </c>
      <c r="D30" s="75">
        <v>446</v>
      </c>
      <c r="E30" s="75">
        <v>417.2</v>
      </c>
      <c r="F30" s="66">
        <f t="shared" si="0"/>
        <v>186071.2</v>
      </c>
      <c r="G30" s="67"/>
      <c r="H30" s="67"/>
      <c r="K30" s="68">
        <v>67.05</v>
      </c>
      <c r="L30" s="63">
        <f t="shared" si="1"/>
        <v>29904.3</v>
      </c>
    </row>
    <row r="31" spans="1:12" ht="32.1" customHeight="1">
      <c r="A31" s="65">
        <v>26</v>
      </c>
      <c r="B31" s="1" t="s">
        <v>116</v>
      </c>
      <c r="C31" s="2" t="s">
        <v>113</v>
      </c>
      <c r="D31" s="75">
        <v>17</v>
      </c>
      <c r="E31" s="75">
        <v>9349.65</v>
      </c>
      <c r="F31" s="66">
        <f t="shared" si="0"/>
        <v>158944.04999999999</v>
      </c>
      <c r="G31" s="67"/>
      <c r="H31" s="67"/>
      <c r="K31" s="68">
        <v>3217.33</v>
      </c>
      <c r="L31" s="63">
        <f t="shared" si="1"/>
        <v>54694.61</v>
      </c>
    </row>
    <row r="32" spans="1:12" ht="42" customHeight="1">
      <c r="A32" s="65">
        <v>27</v>
      </c>
      <c r="B32" s="1" t="s">
        <v>145</v>
      </c>
      <c r="C32" s="2" t="s">
        <v>33</v>
      </c>
      <c r="D32" s="75">
        <v>1</v>
      </c>
      <c r="E32" s="75">
        <v>645000</v>
      </c>
      <c r="F32" s="66">
        <f t="shared" si="0"/>
        <v>645000</v>
      </c>
      <c r="G32" s="67"/>
      <c r="H32" s="67"/>
      <c r="K32" s="68">
        <v>0</v>
      </c>
      <c r="L32" s="63">
        <f t="shared" si="1"/>
        <v>0</v>
      </c>
    </row>
    <row r="33" spans="1:12" ht="32.1" customHeight="1">
      <c r="A33" s="65">
        <v>28</v>
      </c>
      <c r="B33" s="1" t="s">
        <v>146</v>
      </c>
      <c r="C33" s="2" t="s">
        <v>30</v>
      </c>
      <c r="D33" s="75">
        <v>94.85</v>
      </c>
      <c r="E33" s="75">
        <v>5000</v>
      </c>
      <c r="F33" s="66">
        <f t="shared" si="0"/>
        <v>474250</v>
      </c>
      <c r="G33" s="67"/>
      <c r="H33" s="67"/>
      <c r="K33" s="68">
        <v>0</v>
      </c>
      <c r="L33" s="63">
        <f t="shared" si="1"/>
        <v>0</v>
      </c>
    </row>
    <row r="34" spans="1:12" ht="32.1" customHeight="1">
      <c r="A34" s="65">
        <v>29</v>
      </c>
      <c r="B34" s="1" t="s">
        <v>115</v>
      </c>
      <c r="C34" s="2" t="s">
        <v>113</v>
      </c>
      <c r="D34" s="75">
        <v>1</v>
      </c>
      <c r="E34" s="75">
        <v>738582.8</v>
      </c>
      <c r="F34" s="66">
        <f t="shared" si="0"/>
        <v>738582.8</v>
      </c>
      <c r="G34" s="67"/>
      <c r="H34" s="67"/>
      <c r="K34" s="68">
        <v>707662.68</v>
      </c>
      <c r="L34" s="63">
        <f t="shared" si="1"/>
        <v>707662.68</v>
      </c>
    </row>
    <row r="35" spans="1:12" ht="57.75" customHeight="1">
      <c r="A35" s="65">
        <v>30</v>
      </c>
      <c r="B35" s="1" t="s">
        <v>114</v>
      </c>
      <c r="C35" s="2" t="s">
        <v>113</v>
      </c>
      <c r="D35" s="75">
        <v>1</v>
      </c>
      <c r="E35" s="75">
        <v>3291869.61</v>
      </c>
      <c r="F35" s="66">
        <f t="shared" si="0"/>
        <v>3291869.61</v>
      </c>
      <c r="G35" s="67"/>
      <c r="H35" s="67"/>
      <c r="K35" s="68">
        <v>973384.91</v>
      </c>
      <c r="L35" s="63">
        <f t="shared" si="1"/>
        <v>973384.91</v>
      </c>
    </row>
    <row r="36" spans="1:12" ht="32.1" customHeight="1">
      <c r="A36" s="65">
        <v>31</v>
      </c>
      <c r="B36" s="1" t="s">
        <v>147</v>
      </c>
      <c r="C36" s="2" t="s">
        <v>33</v>
      </c>
      <c r="D36" s="75">
        <v>1</v>
      </c>
      <c r="E36" s="75">
        <v>700000</v>
      </c>
      <c r="F36" s="66">
        <f t="shared" si="0"/>
        <v>700000</v>
      </c>
      <c r="G36" s="67"/>
      <c r="H36" s="67"/>
      <c r="K36" s="68">
        <v>0</v>
      </c>
      <c r="L36" s="63">
        <f t="shared" si="1"/>
        <v>0</v>
      </c>
    </row>
    <row r="37" spans="1:12" ht="24.75" customHeight="1">
      <c r="A37" s="106" t="s">
        <v>150</v>
      </c>
      <c r="B37" s="107"/>
      <c r="C37" s="107"/>
      <c r="D37" s="107"/>
      <c r="E37" s="108"/>
      <c r="F37" s="64" t="s">
        <v>101</v>
      </c>
      <c r="G37" s="64" t="s">
        <v>102</v>
      </c>
      <c r="H37" s="67"/>
    </row>
    <row r="38" spans="1:12" ht="49.5" customHeight="1">
      <c r="A38" s="109"/>
      <c r="B38" s="110"/>
      <c r="C38" s="110"/>
      <c r="D38" s="110"/>
      <c r="E38" s="111"/>
      <c r="F38" s="69">
        <f>SUM(F6:F36)</f>
        <v>15007276.959999999</v>
      </c>
      <c r="G38" s="67" t="s">
        <v>103</v>
      </c>
      <c r="H38" s="67"/>
      <c r="K38" s="63" t="s">
        <v>104</v>
      </c>
      <c r="L38" s="70">
        <f>SUM(L6:L36)</f>
        <v>4424866.28</v>
      </c>
    </row>
    <row r="39" spans="1:12" ht="12.75" customHeight="1"/>
    <row r="40" spans="1:12">
      <c r="K40" s="71" t="s">
        <v>105</v>
      </c>
      <c r="L40" s="72">
        <f>L38/F38</f>
        <v>0.29484804550445243</v>
      </c>
    </row>
    <row r="43" spans="1:12">
      <c r="D43" s="63" t="s">
        <v>106</v>
      </c>
      <c r="E43" s="76">
        <f>L38</f>
        <v>4424866.28</v>
      </c>
      <c r="F43" s="73">
        <f>L40</f>
        <v>0.29484804550445243</v>
      </c>
    </row>
    <row r="44" spans="1:12">
      <c r="D44" s="63" t="s">
        <v>107</v>
      </c>
      <c r="E44" s="76">
        <f>E45-E43</f>
        <v>10582410.68</v>
      </c>
      <c r="F44" s="73">
        <f>E44/E45</f>
        <v>0.70515195449554768</v>
      </c>
    </row>
    <row r="45" spans="1:12">
      <c r="E45" s="76">
        <f>F38</f>
        <v>15007276.959999999</v>
      </c>
      <c r="F45" s="68">
        <f>SUM(F43:F44)</f>
        <v>1</v>
      </c>
    </row>
  </sheetData>
  <mergeCells count="6">
    <mergeCell ref="A37:E38"/>
    <mergeCell ref="A1:H1"/>
    <mergeCell ref="A3:F3"/>
    <mergeCell ref="G3:H3"/>
    <mergeCell ref="A4:F4"/>
    <mergeCell ref="G4:H4"/>
  </mergeCells>
  <phoneticPr fontId="2" type="noConversion"/>
  <pageMargins left="0.70866141732283472" right="0.70866141732283472" top="0.55118110236220474" bottom="0.74803149606299213" header="0.31496062992125984" footer="0.31496062992125984"/>
  <pageSetup paperSize="9" scale="95" orientation="landscape" r:id="rId1"/>
  <headerFooter>
    <oddFooter>&amp;L&amp;"標楷體,標準"監造單位：                                工務所承辦人：                                工務所主任：</oddFooter>
  </headerFooter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9F66-CF3E-47A8-BB6D-64CD3A991DBB}">
  <sheetPr>
    <tabColor rgb="FFFF0000"/>
  </sheetPr>
  <dimension ref="A1:T43"/>
  <sheetViews>
    <sheetView tabSelected="1" view="pageBreakPreview" topLeftCell="A21" zoomScale="80" zoomScaleNormal="100" zoomScaleSheetLayoutView="80" workbookViewId="0">
      <selection activeCell="P37" sqref="P37"/>
    </sheetView>
  </sheetViews>
  <sheetFormatPr defaultRowHeight="16.5"/>
  <cols>
    <col min="1" max="1" width="5.5" style="51" bestFit="1" customWidth="1"/>
    <col min="2" max="2" width="29.75" style="56" customWidth="1"/>
    <col min="3" max="3" width="6" style="51" customWidth="1"/>
    <col min="4" max="5" width="12.625" style="51" customWidth="1"/>
    <col min="6" max="6" width="14.5" style="51" bestFit="1" customWidth="1"/>
    <col min="7" max="7" width="12.875" style="56" customWidth="1"/>
    <col min="8" max="8" width="13.375" style="51" hidden="1" customWidth="1"/>
    <col min="9" max="9" width="10.75" style="51" hidden="1" customWidth="1"/>
    <col min="10" max="10" width="13.375" style="51" hidden="1" customWidth="1"/>
    <col min="11" max="13" width="0" style="51" hidden="1" customWidth="1"/>
    <col min="14" max="14" width="17.75" style="51" customWidth="1"/>
    <col min="15" max="15" width="15.75" style="51" customWidth="1"/>
    <col min="16" max="16" width="19" style="51" customWidth="1"/>
    <col min="17" max="17" width="2.25" style="51" customWidth="1"/>
    <col min="18" max="18" width="9.875" style="51" customWidth="1"/>
    <col min="19" max="19" width="11.25" style="51" customWidth="1"/>
    <col min="20" max="20" width="11.875" style="51" customWidth="1"/>
    <col min="21" max="21" width="3.625" style="51" customWidth="1"/>
    <col min="22" max="22" width="13.75" style="51" customWidth="1"/>
    <col min="23" max="260" width="9" style="51"/>
    <col min="261" max="261" width="5.5" style="51" bestFit="1" customWidth="1"/>
    <col min="262" max="262" width="24.5" style="51" customWidth="1"/>
    <col min="263" max="263" width="6" style="51" customWidth="1"/>
    <col min="264" max="265" width="12.625" style="51" customWidth="1"/>
    <col min="266" max="266" width="14.5" style="51" bestFit="1" customWidth="1"/>
    <col min="267" max="267" width="16.125" style="51" customWidth="1"/>
    <col min="268" max="273" width="0" style="51" hidden="1" customWidth="1"/>
    <col min="274" max="516" width="9" style="51"/>
    <col min="517" max="517" width="5.5" style="51" bestFit="1" customWidth="1"/>
    <col min="518" max="518" width="24.5" style="51" customWidth="1"/>
    <col min="519" max="519" width="6" style="51" customWidth="1"/>
    <col min="520" max="521" width="12.625" style="51" customWidth="1"/>
    <col min="522" max="522" width="14.5" style="51" bestFit="1" customWidth="1"/>
    <col min="523" max="523" width="16.125" style="51" customWidth="1"/>
    <col min="524" max="529" width="0" style="51" hidden="1" customWidth="1"/>
    <col min="530" max="772" width="9" style="51"/>
    <col min="773" max="773" width="5.5" style="51" bestFit="1" customWidth="1"/>
    <col min="774" max="774" width="24.5" style="51" customWidth="1"/>
    <col min="775" max="775" width="6" style="51" customWidth="1"/>
    <col min="776" max="777" width="12.625" style="51" customWidth="1"/>
    <col min="778" max="778" width="14.5" style="51" bestFit="1" customWidth="1"/>
    <col min="779" max="779" width="16.125" style="51" customWidth="1"/>
    <col min="780" max="785" width="0" style="51" hidden="1" customWidth="1"/>
    <col min="786" max="1028" width="9" style="51"/>
    <col min="1029" max="1029" width="5.5" style="51" bestFit="1" customWidth="1"/>
    <col min="1030" max="1030" width="24.5" style="51" customWidth="1"/>
    <col min="1031" max="1031" width="6" style="51" customWidth="1"/>
    <col min="1032" max="1033" width="12.625" style="51" customWidth="1"/>
    <col min="1034" max="1034" width="14.5" style="51" bestFit="1" customWidth="1"/>
    <col min="1035" max="1035" width="16.125" style="51" customWidth="1"/>
    <col min="1036" max="1041" width="0" style="51" hidden="1" customWidth="1"/>
    <col min="1042" max="1284" width="9" style="51"/>
    <col min="1285" max="1285" width="5.5" style="51" bestFit="1" customWidth="1"/>
    <col min="1286" max="1286" width="24.5" style="51" customWidth="1"/>
    <col min="1287" max="1287" width="6" style="51" customWidth="1"/>
    <col min="1288" max="1289" width="12.625" style="51" customWidth="1"/>
    <col min="1290" max="1290" width="14.5" style="51" bestFit="1" customWidth="1"/>
    <col min="1291" max="1291" width="16.125" style="51" customWidth="1"/>
    <col min="1292" max="1297" width="0" style="51" hidden="1" customWidth="1"/>
    <col min="1298" max="1540" width="9" style="51"/>
    <col min="1541" max="1541" width="5.5" style="51" bestFit="1" customWidth="1"/>
    <col min="1542" max="1542" width="24.5" style="51" customWidth="1"/>
    <col min="1543" max="1543" width="6" style="51" customWidth="1"/>
    <col min="1544" max="1545" width="12.625" style="51" customWidth="1"/>
    <col min="1546" max="1546" width="14.5" style="51" bestFit="1" customWidth="1"/>
    <col min="1547" max="1547" width="16.125" style="51" customWidth="1"/>
    <col min="1548" max="1553" width="0" style="51" hidden="1" customWidth="1"/>
    <col min="1554" max="1796" width="9" style="51"/>
    <col min="1797" max="1797" width="5.5" style="51" bestFit="1" customWidth="1"/>
    <col min="1798" max="1798" width="24.5" style="51" customWidth="1"/>
    <col min="1799" max="1799" width="6" style="51" customWidth="1"/>
    <col min="1800" max="1801" width="12.625" style="51" customWidth="1"/>
    <col min="1802" max="1802" width="14.5" style="51" bestFit="1" customWidth="1"/>
    <col min="1803" max="1803" width="16.125" style="51" customWidth="1"/>
    <col min="1804" max="1809" width="0" style="51" hidden="1" customWidth="1"/>
    <col min="1810" max="2052" width="9" style="51"/>
    <col min="2053" max="2053" width="5.5" style="51" bestFit="1" customWidth="1"/>
    <col min="2054" max="2054" width="24.5" style="51" customWidth="1"/>
    <col min="2055" max="2055" width="6" style="51" customWidth="1"/>
    <col min="2056" max="2057" width="12.625" style="51" customWidth="1"/>
    <col min="2058" max="2058" width="14.5" style="51" bestFit="1" customWidth="1"/>
    <col min="2059" max="2059" width="16.125" style="51" customWidth="1"/>
    <col min="2060" max="2065" width="0" style="51" hidden="1" customWidth="1"/>
    <col min="2066" max="2308" width="9" style="51"/>
    <col min="2309" max="2309" width="5.5" style="51" bestFit="1" customWidth="1"/>
    <col min="2310" max="2310" width="24.5" style="51" customWidth="1"/>
    <col min="2311" max="2311" width="6" style="51" customWidth="1"/>
    <col min="2312" max="2313" width="12.625" style="51" customWidth="1"/>
    <col min="2314" max="2314" width="14.5" style="51" bestFit="1" customWidth="1"/>
    <col min="2315" max="2315" width="16.125" style="51" customWidth="1"/>
    <col min="2316" max="2321" width="0" style="51" hidden="1" customWidth="1"/>
    <col min="2322" max="2564" width="9" style="51"/>
    <col min="2565" max="2565" width="5.5" style="51" bestFit="1" customWidth="1"/>
    <col min="2566" max="2566" width="24.5" style="51" customWidth="1"/>
    <col min="2567" max="2567" width="6" style="51" customWidth="1"/>
    <col min="2568" max="2569" width="12.625" style="51" customWidth="1"/>
    <col min="2570" max="2570" width="14.5" style="51" bestFit="1" customWidth="1"/>
    <col min="2571" max="2571" width="16.125" style="51" customWidth="1"/>
    <col min="2572" max="2577" width="0" style="51" hidden="1" customWidth="1"/>
    <col min="2578" max="2820" width="9" style="51"/>
    <col min="2821" max="2821" width="5.5" style="51" bestFit="1" customWidth="1"/>
    <col min="2822" max="2822" width="24.5" style="51" customWidth="1"/>
    <col min="2823" max="2823" width="6" style="51" customWidth="1"/>
    <col min="2824" max="2825" width="12.625" style="51" customWidth="1"/>
    <col min="2826" max="2826" width="14.5" style="51" bestFit="1" customWidth="1"/>
    <col min="2827" max="2827" width="16.125" style="51" customWidth="1"/>
    <col min="2828" max="2833" width="0" style="51" hidden="1" customWidth="1"/>
    <col min="2834" max="3076" width="9" style="51"/>
    <col min="3077" max="3077" width="5.5" style="51" bestFit="1" customWidth="1"/>
    <col min="3078" max="3078" width="24.5" style="51" customWidth="1"/>
    <col min="3079" max="3079" width="6" style="51" customWidth="1"/>
    <col min="3080" max="3081" width="12.625" style="51" customWidth="1"/>
    <col min="3082" max="3082" width="14.5" style="51" bestFit="1" customWidth="1"/>
    <col min="3083" max="3083" width="16.125" style="51" customWidth="1"/>
    <col min="3084" max="3089" width="0" style="51" hidden="1" customWidth="1"/>
    <col min="3090" max="3332" width="9" style="51"/>
    <col min="3333" max="3333" width="5.5" style="51" bestFit="1" customWidth="1"/>
    <col min="3334" max="3334" width="24.5" style="51" customWidth="1"/>
    <col min="3335" max="3335" width="6" style="51" customWidth="1"/>
    <col min="3336" max="3337" width="12.625" style="51" customWidth="1"/>
    <col min="3338" max="3338" width="14.5" style="51" bestFit="1" customWidth="1"/>
    <col min="3339" max="3339" width="16.125" style="51" customWidth="1"/>
    <col min="3340" max="3345" width="0" style="51" hidden="1" customWidth="1"/>
    <col min="3346" max="3588" width="9" style="51"/>
    <col min="3589" max="3589" width="5.5" style="51" bestFit="1" customWidth="1"/>
    <col min="3590" max="3590" width="24.5" style="51" customWidth="1"/>
    <col min="3591" max="3591" width="6" style="51" customWidth="1"/>
    <col min="3592" max="3593" width="12.625" style="51" customWidth="1"/>
    <col min="3594" max="3594" width="14.5" style="51" bestFit="1" customWidth="1"/>
    <col min="3595" max="3595" width="16.125" style="51" customWidth="1"/>
    <col min="3596" max="3601" width="0" style="51" hidden="1" customWidth="1"/>
    <col min="3602" max="3844" width="9" style="51"/>
    <col min="3845" max="3845" width="5.5" style="51" bestFit="1" customWidth="1"/>
    <col min="3846" max="3846" width="24.5" style="51" customWidth="1"/>
    <col min="3847" max="3847" width="6" style="51" customWidth="1"/>
    <col min="3848" max="3849" width="12.625" style="51" customWidth="1"/>
    <col min="3850" max="3850" width="14.5" style="51" bestFit="1" customWidth="1"/>
    <col min="3851" max="3851" width="16.125" style="51" customWidth="1"/>
    <col min="3852" max="3857" width="0" style="51" hidden="1" customWidth="1"/>
    <col min="3858" max="4100" width="9" style="51"/>
    <col min="4101" max="4101" width="5.5" style="51" bestFit="1" customWidth="1"/>
    <col min="4102" max="4102" width="24.5" style="51" customWidth="1"/>
    <col min="4103" max="4103" width="6" style="51" customWidth="1"/>
    <col min="4104" max="4105" width="12.625" style="51" customWidth="1"/>
    <col min="4106" max="4106" width="14.5" style="51" bestFit="1" customWidth="1"/>
    <col min="4107" max="4107" width="16.125" style="51" customWidth="1"/>
    <col min="4108" max="4113" width="0" style="51" hidden="1" customWidth="1"/>
    <col min="4114" max="4356" width="9" style="51"/>
    <col min="4357" max="4357" width="5.5" style="51" bestFit="1" customWidth="1"/>
    <col min="4358" max="4358" width="24.5" style="51" customWidth="1"/>
    <col min="4359" max="4359" width="6" style="51" customWidth="1"/>
    <col min="4360" max="4361" width="12.625" style="51" customWidth="1"/>
    <col min="4362" max="4362" width="14.5" style="51" bestFit="1" customWidth="1"/>
    <col min="4363" max="4363" width="16.125" style="51" customWidth="1"/>
    <col min="4364" max="4369" width="0" style="51" hidden="1" customWidth="1"/>
    <col min="4370" max="4612" width="9" style="51"/>
    <col min="4613" max="4613" width="5.5" style="51" bestFit="1" customWidth="1"/>
    <col min="4614" max="4614" width="24.5" style="51" customWidth="1"/>
    <col min="4615" max="4615" width="6" style="51" customWidth="1"/>
    <col min="4616" max="4617" width="12.625" style="51" customWidth="1"/>
    <col min="4618" max="4618" width="14.5" style="51" bestFit="1" customWidth="1"/>
    <col min="4619" max="4619" width="16.125" style="51" customWidth="1"/>
    <col min="4620" max="4625" width="0" style="51" hidden="1" customWidth="1"/>
    <col min="4626" max="4868" width="9" style="51"/>
    <col min="4869" max="4869" width="5.5" style="51" bestFit="1" customWidth="1"/>
    <col min="4870" max="4870" width="24.5" style="51" customWidth="1"/>
    <col min="4871" max="4871" width="6" style="51" customWidth="1"/>
    <col min="4872" max="4873" width="12.625" style="51" customWidth="1"/>
    <col min="4874" max="4874" width="14.5" style="51" bestFit="1" customWidth="1"/>
    <col min="4875" max="4875" width="16.125" style="51" customWidth="1"/>
    <col min="4876" max="4881" width="0" style="51" hidden="1" customWidth="1"/>
    <col min="4882" max="5124" width="9" style="51"/>
    <col min="5125" max="5125" width="5.5" style="51" bestFit="1" customWidth="1"/>
    <col min="5126" max="5126" width="24.5" style="51" customWidth="1"/>
    <col min="5127" max="5127" width="6" style="51" customWidth="1"/>
    <col min="5128" max="5129" width="12.625" style="51" customWidth="1"/>
    <col min="5130" max="5130" width="14.5" style="51" bestFit="1" customWidth="1"/>
    <col min="5131" max="5131" width="16.125" style="51" customWidth="1"/>
    <col min="5132" max="5137" width="0" style="51" hidden="1" customWidth="1"/>
    <col min="5138" max="5380" width="9" style="51"/>
    <col min="5381" max="5381" width="5.5" style="51" bestFit="1" customWidth="1"/>
    <col min="5382" max="5382" width="24.5" style="51" customWidth="1"/>
    <col min="5383" max="5383" width="6" style="51" customWidth="1"/>
    <col min="5384" max="5385" width="12.625" style="51" customWidth="1"/>
    <col min="5386" max="5386" width="14.5" style="51" bestFit="1" customWidth="1"/>
    <col min="5387" max="5387" width="16.125" style="51" customWidth="1"/>
    <col min="5388" max="5393" width="0" style="51" hidden="1" customWidth="1"/>
    <col min="5394" max="5636" width="9" style="51"/>
    <col min="5637" max="5637" width="5.5" style="51" bestFit="1" customWidth="1"/>
    <col min="5638" max="5638" width="24.5" style="51" customWidth="1"/>
    <col min="5639" max="5639" width="6" style="51" customWidth="1"/>
    <col min="5640" max="5641" width="12.625" style="51" customWidth="1"/>
    <col min="5642" max="5642" width="14.5" style="51" bestFit="1" customWidth="1"/>
    <col min="5643" max="5643" width="16.125" style="51" customWidth="1"/>
    <col min="5644" max="5649" width="0" style="51" hidden="1" customWidth="1"/>
    <col min="5650" max="5892" width="9" style="51"/>
    <col min="5893" max="5893" width="5.5" style="51" bestFit="1" customWidth="1"/>
    <col min="5894" max="5894" width="24.5" style="51" customWidth="1"/>
    <col min="5895" max="5895" width="6" style="51" customWidth="1"/>
    <col min="5896" max="5897" width="12.625" style="51" customWidth="1"/>
    <col min="5898" max="5898" width="14.5" style="51" bestFit="1" customWidth="1"/>
    <col min="5899" max="5899" width="16.125" style="51" customWidth="1"/>
    <col min="5900" max="5905" width="0" style="51" hidden="1" customWidth="1"/>
    <col min="5906" max="6148" width="9" style="51"/>
    <col min="6149" max="6149" width="5.5" style="51" bestFit="1" customWidth="1"/>
    <col min="6150" max="6150" width="24.5" style="51" customWidth="1"/>
    <col min="6151" max="6151" width="6" style="51" customWidth="1"/>
    <col min="6152" max="6153" width="12.625" style="51" customWidth="1"/>
    <col min="6154" max="6154" width="14.5" style="51" bestFit="1" customWidth="1"/>
    <col min="6155" max="6155" width="16.125" style="51" customWidth="1"/>
    <col min="6156" max="6161" width="0" style="51" hidden="1" customWidth="1"/>
    <col min="6162" max="6404" width="9" style="51"/>
    <col min="6405" max="6405" width="5.5" style="51" bestFit="1" customWidth="1"/>
    <col min="6406" max="6406" width="24.5" style="51" customWidth="1"/>
    <col min="6407" max="6407" width="6" style="51" customWidth="1"/>
    <col min="6408" max="6409" width="12.625" style="51" customWidth="1"/>
    <col min="6410" max="6410" width="14.5" style="51" bestFit="1" customWidth="1"/>
    <col min="6411" max="6411" width="16.125" style="51" customWidth="1"/>
    <col min="6412" max="6417" width="0" style="51" hidden="1" customWidth="1"/>
    <col min="6418" max="6660" width="9" style="51"/>
    <col min="6661" max="6661" width="5.5" style="51" bestFit="1" customWidth="1"/>
    <col min="6662" max="6662" width="24.5" style="51" customWidth="1"/>
    <col min="6663" max="6663" width="6" style="51" customWidth="1"/>
    <col min="6664" max="6665" width="12.625" style="51" customWidth="1"/>
    <col min="6666" max="6666" width="14.5" style="51" bestFit="1" customWidth="1"/>
    <col min="6667" max="6667" width="16.125" style="51" customWidth="1"/>
    <col min="6668" max="6673" width="0" style="51" hidden="1" customWidth="1"/>
    <col min="6674" max="6916" width="9" style="51"/>
    <col min="6917" max="6917" width="5.5" style="51" bestFit="1" customWidth="1"/>
    <col min="6918" max="6918" width="24.5" style="51" customWidth="1"/>
    <col min="6919" max="6919" width="6" style="51" customWidth="1"/>
    <col min="6920" max="6921" width="12.625" style="51" customWidth="1"/>
    <col min="6922" max="6922" width="14.5" style="51" bestFit="1" customWidth="1"/>
    <col min="6923" max="6923" width="16.125" style="51" customWidth="1"/>
    <col min="6924" max="6929" width="0" style="51" hidden="1" customWidth="1"/>
    <col min="6930" max="7172" width="9" style="51"/>
    <col min="7173" max="7173" width="5.5" style="51" bestFit="1" customWidth="1"/>
    <col min="7174" max="7174" width="24.5" style="51" customWidth="1"/>
    <col min="7175" max="7175" width="6" style="51" customWidth="1"/>
    <col min="7176" max="7177" width="12.625" style="51" customWidth="1"/>
    <col min="7178" max="7178" width="14.5" style="51" bestFit="1" customWidth="1"/>
    <col min="7179" max="7179" width="16.125" style="51" customWidth="1"/>
    <col min="7180" max="7185" width="0" style="51" hidden="1" customWidth="1"/>
    <col min="7186" max="7428" width="9" style="51"/>
    <col min="7429" max="7429" width="5.5" style="51" bestFit="1" customWidth="1"/>
    <col min="7430" max="7430" width="24.5" style="51" customWidth="1"/>
    <col min="7431" max="7431" width="6" style="51" customWidth="1"/>
    <col min="7432" max="7433" width="12.625" style="51" customWidth="1"/>
    <col min="7434" max="7434" width="14.5" style="51" bestFit="1" customWidth="1"/>
    <col min="7435" max="7435" width="16.125" style="51" customWidth="1"/>
    <col min="7436" max="7441" width="0" style="51" hidden="1" customWidth="1"/>
    <col min="7442" max="7684" width="9" style="51"/>
    <col min="7685" max="7685" width="5.5" style="51" bestFit="1" customWidth="1"/>
    <col min="7686" max="7686" width="24.5" style="51" customWidth="1"/>
    <col min="7687" max="7687" width="6" style="51" customWidth="1"/>
    <col min="7688" max="7689" width="12.625" style="51" customWidth="1"/>
    <col min="7690" max="7690" width="14.5" style="51" bestFit="1" customWidth="1"/>
    <col min="7691" max="7691" width="16.125" style="51" customWidth="1"/>
    <col min="7692" max="7697" width="0" style="51" hidden="1" customWidth="1"/>
    <col min="7698" max="7940" width="9" style="51"/>
    <col min="7941" max="7941" width="5.5" style="51" bestFit="1" customWidth="1"/>
    <col min="7942" max="7942" width="24.5" style="51" customWidth="1"/>
    <col min="7943" max="7943" width="6" style="51" customWidth="1"/>
    <col min="7944" max="7945" width="12.625" style="51" customWidth="1"/>
    <col min="7946" max="7946" width="14.5" style="51" bestFit="1" customWidth="1"/>
    <col min="7947" max="7947" width="16.125" style="51" customWidth="1"/>
    <col min="7948" max="7953" width="0" style="51" hidden="1" customWidth="1"/>
    <col min="7954" max="8196" width="9" style="51"/>
    <col min="8197" max="8197" width="5.5" style="51" bestFit="1" customWidth="1"/>
    <col min="8198" max="8198" width="24.5" style="51" customWidth="1"/>
    <col min="8199" max="8199" width="6" style="51" customWidth="1"/>
    <col min="8200" max="8201" width="12.625" style="51" customWidth="1"/>
    <col min="8202" max="8202" width="14.5" style="51" bestFit="1" customWidth="1"/>
    <col min="8203" max="8203" width="16.125" style="51" customWidth="1"/>
    <col min="8204" max="8209" width="0" style="51" hidden="1" customWidth="1"/>
    <col min="8210" max="8452" width="9" style="51"/>
    <col min="8453" max="8453" width="5.5" style="51" bestFit="1" customWidth="1"/>
    <col min="8454" max="8454" width="24.5" style="51" customWidth="1"/>
    <col min="8455" max="8455" width="6" style="51" customWidth="1"/>
    <col min="8456" max="8457" width="12.625" style="51" customWidth="1"/>
    <col min="8458" max="8458" width="14.5" style="51" bestFit="1" customWidth="1"/>
    <col min="8459" max="8459" width="16.125" style="51" customWidth="1"/>
    <col min="8460" max="8465" width="0" style="51" hidden="1" customWidth="1"/>
    <col min="8466" max="8708" width="9" style="51"/>
    <col min="8709" max="8709" width="5.5" style="51" bestFit="1" customWidth="1"/>
    <col min="8710" max="8710" width="24.5" style="51" customWidth="1"/>
    <col min="8711" max="8711" width="6" style="51" customWidth="1"/>
    <col min="8712" max="8713" width="12.625" style="51" customWidth="1"/>
    <col min="8714" max="8714" width="14.5" style="51" bestFit="1" customWidth="1"/>
    <col min="8715" max="8715" width="16.125" style="51" customWidth="1"/>
    <col min="8716" max="8721" width="0" style="51" hidden="1" customWidth="1"/>
    <col min="8722" max="8964" width="9" style="51"/>
    <col min="8965" max="8965" width="5.5" style="51" bestFit="1" customWidth="1"/>
    <col min="8966" max="8966" width="24.5" style="51" customWidth="1"/>
    <col min="8967" max="8967" width="6" style="51" customWidth="1"/>
    <col min="8968" max="8969" width="12.625" style="51" customWidth="1"/>
    <col min="8970" max="8970" width="14.5" style="51" bestFit="1" customWidth="1"/>
    <col min="8971" max="8971" width="16.125" style="51" customWidth="1"/>
    <col min="8972" max="8977" width="0" style="51" hidden="1" customWidth="1"/>
    <col min="8978" max="9220" width="9" style="51"/>
    <col min="9221" max="9221" width="5.5" style="51" bestFit="1" customWidth="1"/>
    <col min="9222" max="9222" width="24.5" style="51" customWidth="1"/>
    <col min="9223" max="9223" width="6" style="51" customWidth="1"/>
    <col min="9224" max="9225" width="12.625" style="51" customWidth="1"/>
    <col min="9226" max="9226" width="14.5" style="51" bestFit="1" customWidth="1"/>
    <col min="9227" max="9227" width="16.125" style="51" customWidth="1"/>
    <col min="9228" max="9233" width="0" style="51" hidden="1" customWidth="1"/>
    <col min="9234" max="9476" width="9" style="51"/>
    <col min="9477" max="9477" width="5.5" style="51" bestFit="1" customWidth="1"/>
    <col min="9478" max="9478" width="24.5" style="51" customWidth="1"/>
    <col min="9479" max="9479" width="6" style="51" customWidth="1"/>
    <col min="9480" max="9481" width="12.625" style="51" customWidth="1"/>
    <col min="9482" max="9482" width="14.5" style="51" bestFit="1" customWidth="1"/>
    <col min="9483" max="9483" width="16.125" style="51" customWidth="1"/>
    <col min="9484" max="9489" width="0" style="51" hidden="1" customWidth="1"/>
    <col min="9490" max="9732" width="9" style="51"/>
    <col min="9733" max="9733" width="5.5" style="51" bestFit="1" customWidth="1"/>
    <col min="9734" max="9734" width="24.5" style="51" customWidth="1"/>
    <col min="9735" max="9735" width="6" style="51" customWidth="1"/>
    <col min="9736" max="9737" width="12.625" style="51" customWidth="1"/>
    <col min="9738" max="9738" width="14.5" style="51" bestFit="1" customWidth="1"/>
    <col min="9739" max="9739" width="16.125" style="51" customWidth="1"/>
    <col min="9740" max="9745" width="0" style="51" hidden="1" customWidth="1"/>
    <col min="9746" max="9988" width="9" style="51"/>
    <col min="9989" max="9989" width="5.5" style="51" bestFit="1" customWidth="1"/>
    <col min="9990" max="9990" width="24.5" style="51" customWidth="1"/>
    <col min="9991" max="9991" width="6" style="51" customWidth="1"/>
    <col min="9992" max="9993" width="12.625" style="51" customWidth="1"/>
    <col min="9994" max="9994" width="14.5" style="51" bestFit="1" customWidth="1"/>
    <col min="9995" max="9995" width="16.125" style="51" customWidth="1"/>
    <col min="9996" max="10001" width="0" style="51" hidden="1" customWidth="1"/>
    <col min="10002" max="10244" width="9" style="51"/>
    <col min="10245" max="10245" width="5.5" style="51" bestFit="1" customWidth="1"/>
    <col min="10246" max="10246" width="24.5" style="51" customWidth="1"/>
    <col min="10247" max="10247" width="6" style="51" customWidth="1"/>
    <col min="10248" max="10249" width="12.625" style="51" customWidth="1"/>
    <col min="10250" max="10250" width="14.5" style="51" bestFit="1" customWidth="1"/>
    <col min="10251" max="10251" width="16.125" style="51" customWidth="1"/>
    <col min="10252" max="10257" width="0" style="51" hidden="1" customWidth="1"/>
    <col min="10258" max="10500" width="9" style="51"/>
    <col min="10501" max="10501" width="5.5" style="51" bestFit="1" customWidth="1"/>
    <col min="10502" max="10502" width="24.5" style="51" customWidth="1"/>
    <col min="10503" max="10503" width="6" style="51" customWidth="1"/>
    <col min="10504" max="10505" width="12.625" style="51" customWidth="1"/>
    <col min="10506" max="10506" width="14.5" style="51" bestFit="1" customWidth="1"/>
    <col min="10507" max="10507" width="16.125" style="51" customWidth="1"/>
    <col min="10508" max="10513" width="0" style="51" hidden="1" customWidth="1"/>
    <col min="10514" max="10756" width="9" style="51"/>
    <col min="10757" max="10757" width="5.5" style="51" bestFit="1" customWidth="1"/>
    <col min="10758" max="10758" width="24.5" style="51" customWidth="1"/>
    <col min="10759" max="10759" width="6" style="51" customWidth="1"/>
    <col min="10760" max="10761" width="12.625" style="51" customWidth="1"/>
    <col min="10762" max="10762" width="14.5" style="51" bestFit="1" customWidth="1"/>
    <col min="10763" max="10763" width="16.125" style="51" customWidth="1"/>
    <col min="10764" max="10769" width="0" style="51" hidden="1" customWidth="1"/>
    <col min="10770" max="11012" width="9" style="51"/>
    <col min="11013" max="11013" width="5.5" style="51" bestFit="1" customWidth="1"/>
    <col min="11014" max="11014" width="24.5" style="51" customWidth="1"/>
    <col min="11015" max="11015" width="6" style="51" customWidth="1"/>
    <col min="11016" max="11017" width="12.625" style="51" customWidth="1"/>
    <col min="11018" max="11018" width="14.5" style="51" bestFit="1" customWidth="1"/>
    <col min="11019" max="11019" width="16.125" style="51" customWidth="1"/>
    <col min="11020" max="11025" width="0" style="51" hidden="1" customWidth="1"/>
    <col min="11026" max="11268" width="9" style="51"/>
    <col min="11269" max="11269" width="5.5" style="51" bestFit="1" customWidth="1"/>
    <col min="11270" max="11270" width="24.5" style="51" customWidth="1"/>
    <col min="11271" max="11271" width="6" style="51" customWidth="1"/>
    <col min="11272" max="11273" width="12.625" style="51" customWidth="1"/>
    <col min="11274" max="11274" width="14.5" style="51" bestFit="1" customWidth="1"/>
    <col min="11275" max="11275" width="16.125" style="51" customWidth="1"/>
    <col min="11276" max="11281" width="0" style="51" hidden="1" customWidth="1"/>
    <col min="11282" max="11524" width="9" style="51"/>
    <col min="11525" max="11525" width="5.5" style="51" bestFit="1" customWidth="1"/>
    <col min="11526" max="11526" width="24.5" style="51" customWidth="1"/>
    <col min="11527" max="11527" width="6" style="51" customWidth="1"/>
    <col min="11528" max="11529" width="12.625" style="51" customWidth="1"/>
    <col min="11530" max="11530" width="14.5" style="51" bestFit="1" customWidth="1"/>
    <col min="11531" max="11531" width="16.125" style="51" customWidth="1"/>
    <col min="11532" max="11537" width="0" style="51" hidden="1" customWidth="1"/>
    <col min="11538" max="11780" width="9" style="51"/>
    <col min="11781" max="11781" width="5.5" style="51" bestFit="1" customWidth="1"/>
    <col min="11782" max="11782" width="24.5" style="51" customWidth="1"/>
    <col min="11783" max="11783" width="6" style="51" customWidth="1"/>
    <col min="11784" max="11785" width="12.625" style="51" customWidth="1"/>
    <col min="11786" max="11786" width="14.5" style="51" bestFit="1" customWidth="1"/>
    <col min="11787" max="11787" width="16.125" style="51" customWidth="1"/>
    <col min="11788" max="11793" width="0" style="51" hidden="1" customWidth="1"/>
    <col min="11794" max="12036" width="9" style="51"/>
    <col min="12037" max="12037" width="5.5" style="51" bestFit="1" customWidth="1"/>
    <col min="12038" max="12038" width="24.5" style="51" customWidth="1"/>
    <col min="12039" max="12039" width="6" style="51" customWidth="1"/>
    <col min="12040" max="12041" width="12.625" style="51" customWidth="1"/>
    <col min="12042" max="12042" width="14.5" style="51" bestFit="1" customWidth="1"/>
    <col min="12043" max="12043" width="16.125" style="51" customWidth="1"/>
    <col min="12044" max="12049" width="0" style="51" hidden="1" customWidth="1"/>
    <col min="12050" max="12292" width="9" style="51"/>
    <col min="12293" max="12293" width="5.5" style="51" bestFit="1" customWidth="1"/>
    <col min="12294" max="12294" width="24.5" style="51" customWidth="1"/>
    <col min="12295" max="12295" width="6" style="51" customWidth="1"/>
    <col min="12296" max="12297" width="12.625" style="51" customWidth="1"/>
    <col min="12298" max="12298" width="14.5" style="51" bestFit="1" customWidth="1"/>
    <col min="12299" max="12299" width="16.125" style="51" customWidth="1"/>
    <col min="12300" max="12305" width="0" style="51" hidden="1" customWidth="1"/>
    <col min="12306" max="12548" width="9" style="51"/>
    <col min="12549" max="12549" width="5.5" style="51" bestFit="1" customWidth="1"/>
    <col min="12550" max="12550" width="24.5" style="51" customWidth="1"/>
    <col min="12551" max="12551" width="6" style="51" customWidth="1"/>
    <col min="12552" max="12553" width="12.625" style="51" customWidth="1"/>
    <col min="12554" max="12554" width="14.5" style="51" bestFit="1" customWidth="1"/>
    <col min="12555" max="12555" width="16.125" style="51" customWidth="1"/>
    <col min="12556" max="12561" width="0" style="51" hidden="1" customWidth="1"/>
    <col min="12562" max="12804" width="9" style="51"/>
    <col min="12805" max="12805" width="5.5" style="51" bestFit="1" customWidth="1"/>
    <col min="12806" max="12806" width="24.5" style="51" customWidth="1"/>
    <col min="12807" max="12807" width="6" style="51" customWidth="1"/>
    <col min="12808" max="12809" width="12.625" style="51" customWidth="1"/>
    <col min="12810" max="12810" width="14.5" style="51" bestFit="1" customWidth="1"/>
    <col min="12811" max="12811" width="16.125" style="51" customWidth="1"/>
    <col min="12812" max="12817" width="0" style="51" hidden="1" customWidth="1"/>
    <col min="12818" max="13060" width="9" style="51"/>
    <col min="13061" max="13061" width="5.5" style="51" bestFit="1" customWidth="1"/>
    <col min="13062" max="13062" width="24.5" style="51" customWidth="1"/>
    <col min="13063" max="13063" width="6" style="51" customWidth="1"/>
    <col min="13064" max="13065" width="12.625" style="51" customWidth="1"/>
    <col min="13066" max="13066" width="14.5" style="51" bestFit="1" customWidth="1"/>
    <col min="13067" max="13067" width="16.125" style="51" customWidth="1"/>
    <col min="13068" max="13073" width="0" style="51" hidden="1" customWidth="1"/>
    <col min="13074" max="13316" width="9" style="51"/>
    <col min="13317" max="13317" width="5.5" style="51" bestFit="1" customWidth="1"/>
    <col min="13318" max="13318" width="24.5" style="51" customWidth="1"/>
    <col min="13319" max="13319" width="6" style="51" customWidth="1"/>
    <col min="13320" max="13321" width="12.625" style="51" customWidth="1"/>
    <col min="13322" max="13322" width="14.5" style="51" bestFit="1" customWidth="1"/>
    <col min="13323" max="13323" width="16.125" style="51" customWidth="1"/>
    <col min="13324" max="13329" width="0" style="51" hidden="1" customWidth="1"/>
    <col min="13330" max="13572" width="9" style="51"/>
    <col min="13573" max="13573" width="5.5" style="51" bestFit="1" customWidth="1"/>
    <col min="13574" max="13574" width="24.5" style="51" customWidth="1"/>
    <col min="13575" max="13575" width="6" style="51" customWidth="1"/>
    <col min="13576" max="13577" width="12.625" style="51" customWidth="1"/>
    <col min="13578" max="13578" width="14.5" style="51" bestFit="1" customWidth="1"/>
    <col min="13579" max="13579" width="16.125" style="51" customWidth="1"/>
    <col min="13580" max="13585" width="0" style="51" hidden="1" customWidth="1"/>
    <col min="13586" max="13828" width="9" style="51"/>
    <col min="13829" max="13829" width="5.5" style="51" bestFit="1" customWidth="1"/>
    <col min="13830" max="13830" width="24.5" style="51" customWidth="1"/>
    <col min="13831" max="13831" width="6" style="51" customWidth="1"/>
    <col min="13832" max="13833" width="12.625" style="51" customWidth="1"/>
    <col min="13834" max="13834" width="14.5" style="51" bestFit="1" customWidth="1"/>
    <col min="13835" max="13835" width="16.125" style="51" customWidth="1"/>
    <col min="13836" max="13841" width="0" style="51" hidden="1" customWidth="1"/>
    <col min="13842" max="14084" width="9" style="51"/>
    <col min="14085" max="14085" width="5.5" style="51" bestFit="1" customWidth="1"/>
    <col min="14086" max="14086" width="24.5" style="51" customWidth="1"/>
    <col min="14087" max="14087" width="6" style="51" customWidth="1"/>
    <col min="14088" max="14089" width="12.625" style="51" customWidth="1"/>
    <col min="14090" max="14090" width="14.5" style="51" bestFit="1" customWidth="1"/>
    <col min="14091" max="14091" width="16.125" style="51" customWidth="1"/>
    <col min="14092" max="14097" width="0" style="51" hidden="1" customWidth="1"/>
    <col min="14098" max="14340" width="9" style="51"/>
    <col min="14341" max="14341" width="5.5" style="51" bestFit="1" customWidth="1"/>
    <col min="14342" max="14342" width="24.5" style="51" customWidth="1"/>
    <col min="14343" max="14343" width="6" style="51" customWidth="1"/>
    <col min="14344" max="14345" width="12.625" style="51" customWidth="1"/>
    <col min="14346" max="14346" width="14.5" style="51" bestFit="1" customWidth="1"/>
    <col min="14347" max="14347" width="16.125" style="51" customWidth="1"/>
    <col min="14348" max="14353" width="0" style="51" hidden="1" customWidth="1"/>
    <col min="14354" max="14596" width="9" style="51"/>
    <col min="14597" max="14597" width="5.5" style="51" bestFit="1" customWidth="1"/>
    <col min="14598" max="14598" width="24.5" style="51" customWidth="1"/>
    <col min="14599" max="14599" width="6" style="51" customWidth="1"/>
    <col min="14600" max="14601" width="12.625" style="51" customWidth="1"/>
    <col min="14602" max="14602" width="14.5" style="51" bestFit="1" customWidth="1"/>
    <col min="14603" max="14603" width="16.125" style="51" customWidth="1"/>
    <col min="14604" max="14609" width="0" style="51" hidden="1" customWidth="1"/>
    <col min="14610" max="14852" width="9" style="51"/>
    <col min="14853" max="14853" width="5.5" style="51" bestFit="1" customWidth="1"/>
    <col min="14854" max="14854" width="24.5" style="51" customWidth="1"/>
    <col min="14855" max="14855" width="6" style="51" customWidth="1"/>
    <col min="14856" max="14857" width="12.625" style="51" customWidth="1"/>
    <col min="14858" max="14858" width="14.5" style="51" bestFit="1" customWidth="1"/>
    <col min="14859" max="14859" width="16.125" style="51" customWidth="1"/>
    <col min="14860" max="14865" width="0" style="51" hidden="1" customWidth="1"/>
    <col min="14866" max="15108" width="9" style="51"/>
    <col min="15109" max="15109" width="5.5" style="51" bestFit="1" customWidth="1"/>
    <col min="15110" max="15110" width="24.5" style="51" customWidth="1"/>
    <col min="15111" max="15111" width="6" style="51" customWidth="1"/>
    <col min="15112" max="15113" width="12.625" style="51" customWidth="1"/>
    <col min="15114" max="15114" width="14.5" style="51" bestFit="1" customWidth="1"/>
    <col min="15115" max="15115" width="16.125" style="51" customWidth="1"/>
    <col min="15116" max="15121" width="0" style="51" hidden="1" customWidth="1"/>
    <col min="15122" max="15364" width="9" style="51"/>
    <col min="15365" max="15365" width="5.5" style="51" bestFit="1" customWidth="1"/>
    <col min="15366" max="15366" width="24.5" style="51" customWidth="1"/>
    <col min="15367" max="15367" width="6" style="51" customWidth="1"/>
    <col min="15368" max="15369" width="12.625" style="51" customWidth="1"/>
    <col min="15370" max="15370" width="14.5" style="51" bestFit="1" customWidth="1"/>
    <col min="15371" max="15371" width="16.125" style="51" customWidth="1"/>
    <col min="15372" max="15377" width="0" style="51" hidden="1" customWidth="1"/>
    <col min="15378" max="15620" width="9" style="51"/>
    <col min="15621" max="15621" width="5.5" style="51" bestFit="1" customWidth="1"/>
    <col min="15622" max="15622" width="24.5" style="51" customWidth="1"/>
    <col min="15623" max="15623" width="6" style="51" customWidth="1"/>
    <col min="15624" max="15625" width="12.625" style="51" customWidth="1"/>
    <col min="15626" max="15626" width="14.5" style="51" bestFit="1" customWidth="1"/>
    <col min="15627" max="15627" width="16.125" style="51" customWidth="1"/>
    <col min="15628" max="15633" width="0" style="51" hidden="1" customWidth="1"/>
    <col min="15634" max="15876" width="9" style="51"/>
    <col min="15877" max="15877" width="5.5" style="51" bestFit="1" customWidth="1"/>
    <col min="15878" max="15878" width="24.5" style="51" customWidth="1"/>
    <col min="15879" max="15879" width="6" style="51" customWidth="1"/>
    <col min="15880" max="15881" width="12.625" style="51" customWidth="1"/>
    <col min="15882" max="15882" width="14.5" style="51" bestFit="1" customWidth="1"/>
    <col min="15883" max="15883" width="16.125" style="51" customWidth="1"/>
    <col min="15884" max="15889" width="0" style="51" hidden="1" customWidth="1"/>
    <col min="15890" max="16132" width="9" style="51"/>
    <col min="16133" max="16133" width="5.5" style="51" bestFit="1" customWidth="1"/>
    <col min="16134" max="16134" width="24.5" style="51" customWidth="1"/>
    <col min="16135" max="16135" width="6" style="51" customWidth="1"/>
    <col min="16136" max="16137" width="12.625" style="51" customWidth="1"/>
    <col min="16138" max="16138" width="14.5" style="51" bestFit="1" customWidth="1"/>
    <col min="16139" max="16139" width="16.125" style="51" customWidth="1"/>
    <col min="16140" max="16145" width="0" style="51" hidden="1" customWidth="1"/>
    <col min="16146" max="16384" width="9" style="51"/>
  </cols>
  <sheetData>
    <row r="1" spans="1:20" s="49" customFormat="1" ht="27.95" customHeight="1">
      <c r="B1" s="115" t="s">
        <v>78</v>
      </c>
      <c r="C1" s="115"/>
      <c r="D1" s="115"/>
      <c r="E1" s="115"/>
      <c r="F1" s="115"/>
      <c r="G1" s="115"/>
    </row>
    <row r="2" spans="1:20" ht="21.75" customHeight="1">
      <c r="A2" s="116" t="s">
        <v>79</v>
      </c>
      <c r="B2" s="116"/>
      <c r="C2" s="116"/>
      <c r="D2" s="116"/>
      <c r="E2" s="116"/>
      <c r="F2" s="116"/>
      <c r="G2" s="116"/>
      <c r="H2" s="50"/>
      <c r="N2" s="82" t="s">
        <v>151</v>
      </c>
      <c r="O2" s="83">
        <f>F35</f>
        <v>0.99945481436481787</v>
      </c>
    </row>
    <row r="3" spans="1:20" ht="20.25" customHeight="1">
      <c r="A3" s="117" t="s">
        <v>109</v>
      </c>
      <c r="B3" s="117"/>
      <c r="C3" s="117"/>
      <c r="D3" s="117"/>
      <c r="E3" s="117"/>
      <c r="F3" s="117"/>
      <c r="G3" s="117"/>
      <c r="H3" s="52"/>
    </row>
    <row r="4" spans="1:20" s="56" customFormat="1" ht="20.25" customHeight="1">
      <c r="A4" s="53" t="s">
        <v>53</v>
      </c>
      <c r="B4" s="54" t="s">
        <v>1</v>
      </c>
      <c r="C4" s="54" t="s">
        <v>2</v>
      </c>
      <c r="D4" s="54" t="s">
        <v>3</v>
      </c>
      <c r="E4" s="54" t="s">
        <v>80</v>
      </c>
      <c r="F4" s="54" t="s">
        <v>81</v>
      </c>
      <c r="G4" s="54" t="s">
        <v>82</v>
      </c>
      <c r="H4" s="55" t="s">
        <v>83</v>
      </c>
      <c r="I4" s="55" t="s">
        <v>84</v>
      </c>
      <c r="K4" s="56" t="s">
        <v>85</v>
      </c>
      <c r="L4" s="56" t="s">
        <v>86</v>
      </c>
      <c r="N4" s="6" t="s">
        <v>152</v>
      </c>
      <c r="O4" s="84" t="s">
        <v>153</v>
      </c>
      <c r="P4" s="6" t="s">
        <v>154</v>
      </c>
      <c r="S4" s="56" t="s">
        <v>148</v>
      </c>
      <c r="T4" s="56" t="s">
        <v>149</v>
      </c>
    </row>
    <row r="5" spans="1:20" s="4" customFormat="1" ht="32.1" customHeight="1">
      <c r="A5" s="5">
        <v>1</v>
      </c>
      <c r="B5" s="1" t="s">
        <v>156</v>
      </c>
      <c r="C5" s="2" t="s">
        <v>113</v>
      </c>
      <c r="D5" s="48">
        <v>1</v>
      </c>
      <c r="E5" s="48">
        <v>230790.46</v>
      </c>
      <c r="F5" s="48">
        <f>ROUND(D5*E5,2)</f>
        <v>230790.46</v>
      </c>
      <c r="G5" s="2"/>
      <c r="N5" s="85">
        <f>ROUND(O2*F5,2)</f>
        <v>230664.64</v>
      </c>
      <c r="O5" s="86">
        <f>ROUND(N5/D5,2)</f>
        <v>230664.64</v>
      </c>
      <c r="P5" s="87">
        <f>ROUND(D5*O5,2)</f>
        <v>230664.64</v>
      </c>
    </row>
    <row r="6" spans="1:20" s="4" customFormat="1" ht="39" customHeight="1">
      <c r="A6" s="5">
        <v>2</v>
      </c>
      <c r="B6" s="1" t="s">
        <v>157</v>
      </c>
      <c r="C6" s="2" t="s">
        <v>134</v>
      </c>
      <c r="D6" s="48">
        <v>5</v>
      </c>
      <c r="E6" s="48">
        <v>5541.73</v>
      </c>
      <c r="F6" s="48">
        <f t="shared" ref="F6:F20" si="0">ROUND(D6*E6,2)</f>
        <v>27708.65</v>
      </c>
      <c r="G6" s="2"/>
      <c r="N6" s="85">
        <f>ROUND(O2*F6,2)</f>
        <v>27693.54</v>
      </c>
      <c r="O6" s="86">
        <f t="shared" ref="O6:O29" si="1">ROUND(N6/D6,2)</f>
        <v>5538.71</v>
      </c>
      <c r="P6" s="87">
        <f t="shared" ref="P6:P30" si="2">ROUND(D6*O6,2)</f>
        <v>27693.55</v>
      </c>
    </row>
    <row r="7" spans="1:20" s="4" customFormat="1" ht="39" customHeight="1">
      <c r="A7" s="5">
        <v>3</v>
      </c>
      <c r="B7" s="1" t="s">
        <v>158</v>
      </c>
      <c r="C7" s="2" t="s">
        <v>30</v>
      </c>
      <c r="D7" s="48">
        <v>54.66</v>
      </c>
      <c r="E7" s="48">
        <v>15635.15</v>
      </c>
      <c r="F7" s="48">
        <f t="shared" si="0"/>
        <v>854617.3</v>
      </c>
      <c r="G7" s="2"/>
      <c r="N7" s="85">
        <f>ROUND(O2*F7,2)</f>
        <v>854151.37</v>
      </c>
      <c r="O7" s="86">
        <f t="shared" si="1"/>
        <v>15626.63</v>
      </c>
      <c r="P7" s="87">
        <f t="shared" si="2"/>
        <v>854151.6</v>
      </c>
    </row>
    <row r="8" spans="1:20" s="4" customFormat="1" ht="39" customHeight="1">
      <c r="A8" s="5">
        <v>4</v>
      </c>
      <c r="B8" s="1" t="s">
        <v>136</v>
      </c>
      <c r="C8" s="2" t="s">
        <v>30</v>
      </c>
      <c r="D8" s="48">
        <v>200</v>
      </c>
      <c r="E8" s="48">
        <v>531.97</v>
      </c>
      <c r="F8" s="48">
        <f t="shared" si="0"/>
        <v>106394</v>
      </c>
      <c r="G8" s="2"/>
      <c r="N8" s="85">
        <f>ROUND(O2*F8,2)</f>
        <v>106336</v>
      </c>
      <c r="O8" s="86">
        <f t="shared" si="1"/>
        <v>531.67999999999995</v>
      </c>
      <c r="P8" s="87">
        <f t="shared" si="2"/>
        <v>106336</v>
      </c>
    </row>
    <row r="9" spans="1:20" s="4" customFormat="1" ht="39" customHeight="1">
      <c r="A9" s="5">
        <v>5</v>
      </c>
      <c r="B9" s="1" t="s">
        <v>159</v>
      </c>
      <c r="C9" s="2" t="s">
        <v>30</v>
      </c>
      <c r="D9" s="48">
        <v>39.200000000000003</v>
      </c>
      <c r="E9" s="48">
        <v>11578.43</v>
      </c>
      <c r="F9" s="48">
        <f t="shared" si="0"/>
        <v>453874.46</v>
      </c>
      <c r="G9" s="2"/>
      <c r="N9" s="85">
        <f>ROUND(O2*F9,2)</f>
        <v>453627.01</v>
      </c>
      <c r="O9" s="86">
        <f t="shared" si="1"/>
        <v>11572.12</v>
      </c>
      <c r="P9" s="87">
        <f t="shared" si="2"/>
        <v>453627.1</v>
      </c>
    </row>
    <row r="10" spans="1:20" s="4" customFormat="1" ht="39" customHeight="1">
      <c r="A10" s="5">
        <v>6</v>
      </c>
      <c r="B10" s="1" t="s">
        <v>139</v>
      </c>
      <c r="C10" s="2" t="s">
        <v>30</v>
      </c>
      <c r="D10" s="48">
        <v>14.51</v>
      </c>
      <c r="E10" s="48">
        <v>4200</v>
      </c>
      <c r="F10" s="48">
        <f t="shared" si="0"/>
        <v>60942</v>
      </c>
      <c r="G10" s="2"/>
      <c r="N10" s="85">
        <f>ROUND(O2*F10,2)</f>
        <v>60908.78</v>
      </c>
      <c r="O10" s="86">
        <f t="shared" si="1"/>
        <v>4197.71</v>
      </c>
      <c r="P10" s="87">
        <f t="shared" si="2"/>
        <v>60908.77</v>
      </c>
    </row>
    <row r="11" spans="1:20" s="4" customFormat="1" ht="39" customHeight="1">
      <c r="A11" s="5">
        <v>7</v>
      </c>
      <c r="B11" s="1" t="s">
        <v>160</v>
      </c>
      <c r="C11" s="2" t="s">
        <v>33</v>
      </c>
      <c r="D11" s="48">
        <v>1</v>
      </c>
      <c r="E11" s="48">
        <v>86520</v>
      </c>
      <c r="F11" s="48">
        <f t="shared" si="0"/>
        <v>86520</v>
      </c>
      <c r="G11" s="2"/>
      <c r="N11" s="85">
        <f>ROUND(O2*F11,2)</f>
        <v>86472.83</v>
      </c>
      <c r="O11" s="86">
        <f t="shared" si="1"/>
        <v>86472.83</v>
      </c>
      <c r="P11" s="87">
        <f t="shared" si="2"/>
        <v>86472.83</v>
      </c>
    </row>
    <row r="12" spans="1:20" s="4" customFormat="1" ht="39" customHeight="1">
      <c r="A12" s="5">
        <v>8</v>
      </c>
      <c r="B12" s="1" t="s">
        <v>161</v>
      </c>
      <c r="C12" s="2" t="s">
        <v>113</v>
      </c>
      <c r="D12" s="48">
        <v>1</v>
      </c>
      <c r="E12" s="48">
        <v>42963.09</v>
      </c>
      <c r="F12" s="48">
        <f t="shared" si="0"/>
        <v>42963.09</v>
      </c>
      <c r="G12" s="2"/>
      <c r="N12" s="85">
        <f>ROUND(O2*F12,2)</f>
        <v>42939.67</v>
      </c>
      <c r="O12" s="86">
        <f t="shared" si="1"/>
        <v>42939.67</v>
      </c>
      <c r="P12" s="87">
        <f t="shared" si="2"/>
        <v>42939.67</v>
      </c>
    </row>
    <row r="13" spans="1:20" s="4" customFormat="1" ht="39" customHeight="1">
      <c r="A13" s="5">
        <v>9</v>
      </c>
      <c r="B13" s="1" t="s">
        <v>162</v>
      </c>
      <c r="C13" s="2" t="s">
        <v>113</v>
      </c>
      <c r="D13" s="48">
        <v>1</v>
      </c>
      <c r="E13" s="48">
        <v>351972.76</v>
      </c>
      <c r="F13" s="48">
        <f t="shared" si="0"/>
        <v>351972.76</v>
      </c>
      <c r="G13" s="2"/>
      <c r="N13" s="85">
        <f>ROUND(O2*F13,2)</f>
        <v>351780.87</v>
      </c>
      <c r="O13" s="86">
        <f t="shared" si="1"/>
        <v>351780.87</v>
      </c>
      <c r="P13" s="87">
        <f t="shared" si="2"/>
        <v>351780.87</v>
      </c>
    </row>
    <row r="14" spans="1:20" s="4" customFormat="1" ht="39" customHeight="1">
      <c r="A14" s="5">
        <v>10</v>
      </c>
      <c r="B14" s="1" t="s">
        <v>131</v>
      </c>
      <c r="C14" s="2" t="s">
        <v>30</v>
      </c>
      <c r="D14" s="48">
        <v>44.42</v>
      </c>
      <c r="E14" s="48">
        <v>3426.99</v>
      </c>
      <c r="F14" s="48">
        <f t="shared" si="0"/>
        <v>152226.9</v>
      </c>
      <c r="G14" s="2"/>
      <c r="N14" s="85">
        <f>ROUND(O2*F14,2)</f>
        <v>152143.91</v>
      </c>
      <c r="O14" s="86">
        <f t="shared" si="1"/>
        <v>3425.12</v>
      </c>
      <c r="P14" s="87">
        <f t="shared" si="2"/>
        <v>152143.82999999999</v>
      </c>
    </row>
    <row r="15" spans="1:20" s="4" customFormat="1" ht="32.1" customHeight="1">
      <c r="A15" s="5">
        <v>11</v>
      </c>
      <c r="B15" s="1" t="s">
        <v>130</v>
      </c>
      <c r="C15" s="2" t="s">
        <v>30</v>
      </c>
      <c r="D15" s="48">
        <v>1768</v>
      </c>
      <c r="E15" s="48">
        <v>613.87</v>
      </c>
      <c r="F15" s="48">
        <f t="shared" si="0"/>
        <v>1085322.1599999999</v>
      </c>
      <c r="G15" s="2"/>
      <c r="N15" s="85">
        <f>ROUND(O2*F15,2)</f>
        <v>1084730.46</v>
      </c>
      <c r="O15" s="86">
        <f t="shared" si="1"/>
        <v>613.54</v>
      </c>
      <c r="P15" s="87">
        <f t="shared" si="2"/>
        <v>1084738.72</v>
      </c>
      <c r="Q15" s="88"/>
    </row>
    <row r="16" spans="1:20" s="4" customFormat="1" ht="39" customHeight="1">
      <c r="A16" s="5">
        <v>12</v>
      </c>
      <c r="B16" s="1" t="s">
        <v>140</v>
      </c>
      <c r="C16" s="2" t="s">
        <v>141</v>
      </c>
      <c r="D16" s="48">
        <v>1100</v>
      </c>
      <c r="E16" s="48">
        <v>52</v>
      </c>
      <c r="F16" s="48">
        <f t="shared" si="0"/>
        <v>57200</v>
      </c>
      <c r="G16" s="2"/>
      <c r="N16" s="85">
        <f>ROUND(O2*F16,2)</f>
        <v>57168.82</v>
      </c>
      <c r="O16" s="86">
        <f t="shared" si="1"/>
        <v>51.97</v>
      </c>
      <c r="P16" s="87">
        <f t="shared" si="2"/>
        <v>57167</v>
      </c>
    </row>
    <row r="17" spans="1:18" s="4" customFormat="1" ht="32.1" customHeight="1">
      <c r="A17" s="5">
        <v>13</v>
      </c>
      <c r="B17" s="1" t="s">
        <v>143</v>
      </c>
      <c r="C17" s="2" t="s">
        <v>141</v>
      </c>
      <c r="D17" s="48">
        <v>18</v>
      </c>
      <c r="E17" s="48">
        <v>95</v>
      </c>
      <c r="F17" s="48">
        <f t="shared" si="0"/>
        <v>1710</v>
      </c>
      <c r="G17" s="2"/>
      <c r="N17" s="85">
        <f>ROUND(O2*F17,2)</f>
        <v>1709.07</v>
      </c>
      <c r="O17" s="86">
        <f t="shared" si="1"/>
        <v>94.95</v>
      </c>
      <c r="P17" s="87">
        <f t="shared" si="2"/>
        <v>1709.1</v>
      </c>
    </row>
    <row r="18" spans="1:18" s="4" customFormat="1" ht="38.1" customHeight="1">
      <c r="A18" s="5">
        <v>14</v>
      </c>
      <c r="B18" s="1" t="s">
        <v>163</v>
      </c>
      <c r="C18" s="2" t="s">
        <v>77</v>
      </c>
      <c r="D18" s="48">
        <v>1</v>
      </c>
      <c r="E18" s="48">
        <v>29640</v>
      </c>
      <c r="F18" s="48">
        <f t="shared" si="0"/>
        <v>29640</v>
      </c>
      <c r="G18" s="2"/>
      <c r="N18" s="85">
        <f>ROUND(O2*F18,2)</f>
        <v>29623.84</v>
      </c>
      <c r="O18" s="86">
        <f t="shared" si="1"/>
        <v>29623.84</v>
      </c>
      <c r="P18" s="87">
        <f t="shared" si="2"/>
        <v>29623.84</v>
      </c>
      <c r="Q18" s="51"/>
    </row>
    <row r="19" spans="1:18" s="4" customFormat="1" ht="38.1" customHeight="1">
      <c r="A19" s="5">
        <v>15</v>
      </c>
      <c r="B19" s="1" t="s">
        <v>144</v>
      </c>
      <c r="C19" s="2" t="s">
        <v>76</v>
      </c>
      <c r="D19" s="48">
        <v>38</v>
      </c>
      <c r="E19" s="48">
        <v>3850</v>
      </c>
      <c r="F19" s="48">
        <f t="shared" si="0"/>
        <v>146300</v>
      </c>
      <c r="G19" s="2"/>
      <c r="N19" s="85">
        <f>ROUND(O2*F19,2)</f>
        <v>146220.24</v>
      </c>
      <c r="O19" s="86">
        <f t="shared" si="1"/>
        <v>3847.9</v>
      </c>
      <c r="P19" s="87">
        <f t="shared" si="2"/>
        <v>146220.20000000001</v>
      </c>
      <c r="Q19" s="51"/>
    </row>
    <row r="20" spans="1:18" s="4" customFormat="1" ht="38.1" customHeight="1">
      <c r="A20" s="5">
        <v>16</v>
      </c>
      <c r="B20" s="1" t="s">
        <v>164</v>
      </c>
      <c r="C20" s="2" t="s">
        <v>30</v>
      </c>
      <c r="D20" s="48">
        <v>498.33</v>
      </c>
      <c r="E20" s="48">
        <v>300</v>
      </c>
      <c r="F20" s="48">
        <f t="shared" si="0"/>
        <v>149499</v>
      </c>
      <c r="G20" s="2"/>
      <c r="N20" s="85">
        <f>ROUND(O2*F20,2)</f>
        <v>149417.5</v>
      </c>
      <c r="O20" s="86">
        <f t="shared" si="1"/>
        <v>299.83999999999997</v>
      </c>
      <c r="P20" s="87">
        <f t="shared" si="2"/>
        <v>149419.26999999999</v>
      </c>
      <c r="Q20" s="51"/>
    </row>
    <row r="21" spans="1:18" s="4" customFormat="1" ht="61.5" customHeight="1">
      <c r="A21" s="5">
        <v>17</v>
      </c>
      <c r="B21" s="1" t="s">
        <v>128</v>
      </c>
      <c r="C21" s="2" t="s">
        <v>77</v>
      </c>
      <c r="D21" s="48">
        <v>14</v>
      </c>
      <c r="E21" s="48">
        <v>3991.57</v>
      </c>
      <c r="F21" s="48">
        <f>ROUND(D21*E21,2)</f>
        <v>55881.98</v>
      </c>
      <c r="G21" s="2"/>
      <c r="N21" s="85">
        <f>ROUND(O2*F21,2)</f>
        <v>55851.51</v>
      </c>
      <c r="O21" s="86">
        <f t="shared" si="1"/>
        <v>3989.39</v>
      </c>
      <c r="P21" s="87">
        <f t="shared" si="2"/>
        <v>55851.46</v>
      </c>
      <c r="Q21" s="51"/>
    </row>
    <row r="22" spans="1:18" s="4" customFormat="1" ht="51.95" customHeight="1">
      <c r="A22" s="78">
        <v>18</v>
      </c>
      <c r="B22" s="79" t="s">
        <v>165</v>
      </c>
      <c r="C22" s="80" t="s">
        <v>30</v>
      </c>
      <c r="D22" s="81">
        <v>187.2</v>
      </c>
      <c r="E22" s="81">
        <v>1440.99</v>
      </c>
      <c r="F22" s="81">
        <f>ROUND(D22*E22,2)</f>
        <v>269753.33</v>
      </c>
      <c r="G22" s="80"/>
      <c r="N22" s="85">
        <f>ROUND(O2*F22,2)</f>
        <v>269606.26</v>
      </c>
      <c r="O22" s="86">
        <f t="shared" si="1"/>
        <v>1440.2</v>
      </c>
      <c r="P22" s="87">
        <f t="shared" si="2"/>
        <v>269605.44</v>
      </c>
      <c r="Q22" s="51"/>
    </row>
    <row r="23" spans="1:18" s="4" customFormat="1" ht="51.95" customHeight="1">
      <c r="A23" s="5">
        <v>19</v>
      </c>
      <c r="B23" s="1" t="s">
        <v>166</v>
      </c>
      <c r="C23" s="2" t="s">
        <v>117</v>
      </c>
      <c r="D23" s="48">
        <v>33</v>
      </c>
      <c r="E23" s="48">
        <v>7008.14</v>
      </c>
      <c r="F23" s="48">
        <f t="shared" ref="F23:F30" si="3">ROUND(D23*E23,2)</f>
        <v>231268.62</v>
      </c>
      <c r="G23" s="2"/>
      <c r="N23" s="85">
        <f>ROUND(O2*F23,2)</f>
        <v>231142.54</v>
      </c>
      <c r="O23" s="86">
        <f t="shared" si="1"/>
        <v>7004.32</v>
      </c>
      <c r="P23" s="87">
        <f t="shared" si="2"/>
        <v>231142.56</v>
      </c>
      <c r="Q23" s="51"/>
    </row>
    <row r="24" spans="1:18" s="4" customFormat="1" ht="51.95" customHeight="1">
      <c r="A24" s="78">
        <v>20</v>
      </c>
      <c r="B24" s="1" t="s">
        <v>167</v>
      </c>
      <c r="C24" s="2" t="s">
        <v>117</v>
      </c>
      <c r="D24" s="48">
        <v>19</v>
      </c>
      <c r="E24" s="48">
        <v>12446.37</v>
      </c>
      <c r="F24" s="48">
        <f t="shared" si="3"/>
        <v>236481.03</v>
      </c>
      <c r="G24" s="2"/>
      <c r="N24" s="85">
        <f>ROUND(O2*F24,2)</f>
        <v>236352.1</v>
      </c>
      <c r="O24" s="86">
        <f t="shared" si="1"/>
        <v>12439.58</v>
      </c>
      <c r="P24" s="87">
        <f t="shared" si="2"/>
        <v>236352.02</v>
      </c>
      <c r="Q24" s="51"/>
    </row>
    <row r="25" spans="1:18" s="4" customFormat="1" ht="51.95" customHeight="1">
      <c r="A25" s="5">
        <v>21</v>
      </c>
      <c r="B25" s="1" t="s">
        <v>168</v>
      </c>
      <c r="C25" s="2" t="s">
        <v>117</v>
      </c>
      <c r="D25" s="48">
        <v>949</v>
      </c>
      <c r="E25" s="48">
        <v>140.94999999999999</v>
      </c>
      <c r="F25" s="48">
        <f t="shared" si="3"/>
        <v>133761.54999999999</v>
      </c>
      <c r="G25" s="2"/>
      <c r="N25" s="85">
        <f>ROUND(O2*F25,2)</f>
        <v>133688.63</v>
      </c>
      <c r="O25" s="86">
        <f t="shared" si="1"/>
        <v>140.87</v>
      </c>
      <c r="P25" s="87">
        <f t="shared" si="2"/>
        <v>133685.63</v>
      </c>
      <c r="Q25" s="51"/>
    </row>
    <row r="26" spans="1:18" s="4" customFormat="1" ht="51.95" customHeight="1">
      <c r="A26" s="78">
        <v>22</v>
      </c>
      <c r="B26" s="1" t="s">
        <v>169</v>
      </c>
      <c r="C26" s="2" t="s">
        <v>117</v>
      </c>
      <c r="D26" s="48">
        <v>19</v>
      </c>
      <c r="E26" s="48">
        <v>5904.3</v>
      </c>
      <c r="F26" s="48">
        <f t="shared" si="3"/>
        <v>112181.7</v>
      </c>
      <c r="G26" s="2"/>
      <c r="N26" s="85">
        <f>ROUND(O2*F26,2)</f>
        <v>112120.54</v>
      </c>
      <c r="O26" s="86">
        <f t="shared" si="1"/>
        <v>5901.08</v>
      </c>
      <c r="P26" s="87">
        <f t="shared" si="2"/>
        <v>112120.52</v>
      </c>
      <c r="Q26" s="51"/>
    </row>
    <row r="27" spans="1:18" s="4" customFormat="1" ht="38.1" customHeight="1">
      <c r="A27" s="5">
        <v>23</v>
      </c>
      <c r="B27" s="1" t="s">
        <v>120</v>
      </c>
      <c r="C27" s="2" t="s">
        <v>117</v>
      </c>
      <c r="D27" s="48">
        <v>1520</v>
      </c>
      <c r="E27" s="48">
        <v>129.97</v>
      </c>
      <c r="F27" s="48">
        <f t="shared" si="3"/>
        <v>197554.4</v>
      </c>
      <c r="G27" s="2"/>
      <c r="N27" s="85">
        <f>ROUND(O2*F27,2)</f>
        <v>197446.7</v>
      </c>
      <c r="O27" s="86">
        <f t="shared" si="1"/>
        <v>129.9</v>
      </c>
      <c r="P27" s="87">
        <f t="shared" si="2"/>
        <v>197448</v>
      </c>
      <c r="Q27" s="51"/>
    </row>
    <row r="28" spans="1:18" s="4" customFormat="1" ht="38.1" customHeight="1">
      <c r="A28" s="78">
        <v>24</v>
      </c>
      <c r="B28" s="1" t="s">
        <v>170</v>
      </c>
      <c r="C28" s="2" t="s">
        <v>117</v>
      </c>
      <c r="D28" s="48">
        <v>4915</v>
      </c>
      <c r="E28" s="48">
        <v>111.42</v>
      </c>
      <c r="F28" s="48">
        <f t="shared" si="3"/>
        <v>547629.30000000005</v>
      </c>
      <c r="G28" s="2"/>
      <c r="N28" s="85">
        <f>ROUND(O2*F28,2)</f>
        <v>547330.74</v>
      </c>
      <c r="O28" s="86">
        <f t="shared" si="1"/>
        <v>111.36</v>
      </c>
      <c r="P28" s="87">
        <f t="shared" si="2"/>
        <v>547334.40000000002</v>
      </c>
      <c r="Q28" s="51"/>
    </row>
    <row r="29" spans="1:18" s="4" customFormat="1" ht="38.1" customHeight="1">
      <c r="A29" s="5">
        <v>25</v>
      </c>
      <c r="B29" s="1" t="s">
        <v>171</v>
      </c>
      <c r="C29" s="2" t="s">
        <v>117</v>
      </c>
      <c r="D29" s="48">
        <v>388</v>
      </c>
      <c r="E29" s="48">
        <v>415.83</v>
      </c>
      <c r="F29" s="48">
        <f t="shared" si="3"/>
        <v>161342.04</v>
      </c>
      <c r="G29" s="2"/>
      <c r="N29" s="85">
        <f>ROUND(O2*F29,2)</f>
        <v>161254.07999999999</v>
      </c>
      <c r="O29" s="86">
        <f t="shared" si="1"/>
        <v>415.6</v>
      </c>
      <c r="P29" s="87">
        <f t="shared" si="2"/>
        <v>161252.79999999999</v>
      </c>
      <c r="Q29" s="51"/>
    </row>
    <row r="30" spans="1:18" s="4" customFormat="1" ht="27.95" customHeight="1">
      <c r="A30" s="5">
        <v>31</v>
      </c>
      <c r="B30" s="1" t="s">
        <v>147</v>
      </c>
      <c r="C30" s="2" t="s">
        <v>33</v>
      </c>
      <c r="D30" s="48">
        <v>1</v>
      </c>
      <c r="E30" s="48">
        <v>700000</v>
      </c>
      <c r="F30" s="48">
        <f t="shared" si="3"/>
        <v>700000</v>
      </c>
      <c r="G30" s="2"/>
      <c r="N30" s="92">
        <f>ROUND(O2*F30,2)-8.19</f>
        <v>699610.18</v>
      </c>
      <c r="O30" s="93">
        <f>ROUND(N30/D30,2)</f>
        <v>699610.18</v>
      </c>
      <c r="P30" s="93">
        <f t="shared" si="2"/>
        <v>699610.18</v>
      </c>
      <c r="Q30" s="91"/>
      <c r="R30" s="94" t="s">
        <v>155</v>
      </c>
    </row>
    <row r="31" spans="1:18" ht="27.95" customHeight="1">
      <c r="A31" s="58"/>
      <c r="B31" s="53" t="s">
        <v>7</v>
      </c>
      <c r="C31" s="58"/>
      <c r="D31" s="58"/>
      <c r="E31" s="58"/>
      <c r="F31" s="74">
        <f>SUM(F5:F30)</f>
        <v>6483534.7300000004</v>
      </c>
      <c r="G31" s="53"/>
      <c r="H31" s="58"/>
      <c r="I31" s="59"/>
      <c r="J31" s="57">
        <f>SUM(H31:I31)</f>
        <v>0</v>
      </c>
      <c r="P31" s="89">
        <f>SUM(P5:P30)</f>
        <v>6479999.9999999991</v>
      </c>
    </row>
    <row r="32" spans="1:18">
      <c r="H32" s="60" t="e">
        <f>#REF!/#REF!</f>
        <v>#REF!</v>
      </c>
      <c r="I32" s="61" t="e">
        <f>#REF!/#REF!</f>
        <v>#REF!</v>
      </c>
    </row>
    <row r="33" spans="6:9">
      <c r="F33" s="62"/>
    </row>
    <row r="34" spans="6:9">
      <c r="F34" s="51">
        <v>6480000</v>
      </c>
      <c r="H34" s="60"/>
      <c r="I34" s="61"/>
    </row>
    <row r="35" spans="6:9">
      <c r="F35" s="90">
        <f>F34/F31</f>
        <v>0.99945481436481787</v>
      </c>
    </row>
    <row r="43" spans="6:9">
      <c r="I43" s="51">
        <f>1470000/1506123.88</f>
        <v>0.97601533281578412</v>
      </c>
    </row>
  </sheetData>
  <sheetProtection formatCells="0" formatColumns="0" formatRows="0"/>
  <mergeCells count="3">
    <mergeCell ref="B1:G1"/>
    <mergeCell ref="A2:G2"/>
    <mergeCell ref="A3:G3"/>
  </mergeCells>
  <phoneticPr fontId="2" type="noConversion"/>
  <printOptions horizontalCentered="1"/>
  <pageMargins left="0.39370078740157483" right="0.39370078740157483" top="0.78740157480314965" bottom="1.0629921259842521" header="0.51181102362204722" footer="0.39370078740157483"/>
  <pageSetup paperSize="9" scale="87" orientation="landscape" r:id="rId1"/>
  <headerFooter alignWithMargins="0">
    <oddHeader>&amp;C&amp;G</oddHeader>
    <oddFooter xml:space="preserve">&amp;L&amp;"標楷體,標準"編製：
&amp;C&amp;"標楷體,標準"
校核：
&amp;10第&amp;P頁共&amp;N頁&amp;R&amp;"標楷體,標準"       </oddFooter>
  </headerFooter>
  <rowBreaks count="2" manualBreakCount="2">
    <brk id="16" max="17" man="1"/>
    <brk id="25" max="17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10</vt:i4>
      </vt:variant>
    </vt:vector>
  </HeadingPairs>
  <TitlesOfParts>
    <vt:vector size="15" baseType="lpstr">
      <vt:lpstr>差異說明</vt:lpstr>
      <vt:lpstr>原稿</vt:lpstr>
      <vt:lpstr>6+7</vt:lpstr>
      <vt:lpstr>變更設計議價項目總表(水利)</vt:lpstr>
      <vt:lpstr>新增項目需議價(議價後) </vt:lpstr>
      <vt:lpstr>'6+7'!Print_Area</vt:lpstr>
      <vt:lpstr>原稿!Print_Area</vt:lpstr>
      <vt:lpstr>差異說明!Print_Area</vt:lpstr>
      <vt:lpstr>'新增項目需議價(議價後) '!Print_Area</vt:lpstr>
      <vt:lpstr>'變更設計議價項目總表(水利)'!Print_Area</vt:lpstr>
      <vt:lpstr>'6+7'!Print_Titles</vt:lpstr>
      <vt:lpstr>原稿!Print_Titles</vt:lpstr>
      <vt:lpstr>差異說明!Print_Titles</vt:lpstr>
      <vt:lpstr>'新增項目需議價(議價後) '!Print_Titles</vt:lpstr>
      <vt:lpstr>'變更設計議價項目總表(水利)'!Print_Titles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陳銘忠</dc:creator>
  <cp:lastModifiedBy>User</cp:lastModifiedBy>
  <cp:lastPrinted>2025-12-12T00:49:13Z</cp:lastPrinted>
  <dcterms:created xsi:type="dcterms:W3CDTF">2018-04-10T03:00:22Z</dcterms:created>
  <dcterms:modified xsi:type="dcterms:W3CDTF">2025-12-12T10:02:34Z</dcterms:modified>
</cp:coreProperties>
</file>